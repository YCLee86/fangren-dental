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sheets/sheet27.xml" ContentType="application/vnd.openxmlformats-officedocument.spreadsheetml.worksheet+xml"/>
  <Override PartName="/xl/tables/table28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ables/table39.xml" ContentType="application/vnd.openxmlformats-officedocument.spreadsheetml.table+xml"/>
  <Override PartName="/xl/worksheets/sheet45.xml" ContentType="application/vnd.openxmlformats-officedocument.spreadsheetml.worksheet+xml"/>
  <Override PartName="/xl/tables/table4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cabfdda7c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班能力摘要" sheetId="1" r:id="R827bdccead4f4c5b"/>
    <x:sheet xmlns:r="http://schemas.openxmlformats.org/officeDocument/2006/relationships" name="技能明細" sheetId="2" r:id="Rdc4075f18d4145ae"/>
    <x:sheet xmlns:r="http://schemas.openxmlformats.org/officeDocument/2006/relationships" name="原始能力表" sheetId="3" r:id="R7eadd6b044ca4610"/>
    <x:sheet xmlns:r="http://schemas.openxmlformats.org/officeDocument/2006/relationships" name="資料字典" sheetId="4" r:id="Ra08e0bc5f5a64277"/>
    <x:sheet xmlns:r="http://schemas.openxmlformats.org/officeDocument/2006/relationships" name="模型設定" sheetId="5" r:id="Recae94f32cc94cba"/>
    <x:sheet xmlns:r="http://schemas.openxmlformats.org/officeDocument/2006/relationships" name="技能主檔_V1" sheetId="6" r:id="R8e75254398a74940"/>
    <x:sheet xmlns:r="http://schemas.openxmlformats.org/officeDocument/2006/relationships" name="李醫師治療模式" sheetId="7" r:id="R4e6fcbb860b04802"/>
    <x:sheet xmlns:r="http://schemas.openxmlformats.org/officeDocument/2006/relationships" name="李醫師能力要求" sheetId="8" r:id="Rced15fbbef994511"/>
    <x:sheet xmlns:r="http://schemas.openxmlformats.org/officeDocument/2006/relationships" name="試行員工主檔" sheetId="9" r:id="Rc7586219e25b4e4c"/>
    <x:sheet xmlns:r="http://schemas.openxmlformats.org/officeDocument/2006/relationships" name="試行能力狀態" sheetId="10" r:id="R9cf6af5581bd4929"/>
    <x:sheet xmlns:r="http://schemas.openxmlformats.org/officeDocument/2006/relationships" name="試行熟悉度" sheetId="11" r:id="R1e6270ddbe6641b2"/>
    <x:sheet xmlns:r="http://schemas.openxmlformats.org/officeDocument/2006/relationships" name="資格有效性" sheetId="12" r:id="R5e3906df53214b20"/>
    <x:sheet xmlns:r="http://schemas.openxmlformats.org/officeDocument/2006/relationships" name="適配要求展開" sheetId="13" r:id="Rc6bad3f36c6440b4"/>
    <x:sheet xmlns:r="http://schemas.openxmlformats.org/officeDocument/2006/relationships" name="排班適配試算" sheetId="14" r:id="Rc6c8ce7f691c480e"/>
    <x:sheet xmlns:r="http://schemas.openxmlformats.org/officeDocument/2006/relationships" name="RPD支援者候選" sheetId="15" r:id="Rec628a14de28455e"/>
    <x:sheet xmlns:r="http://schemas.openxmlformats.org/officeDocument/2006/relationships" name="續作總覽" sheetId="16" r:id="Rda8b57b548584af4"/>
    <x:sheet xmlns:r="http://schemas.openxmlformats.org/officeDocument/2006/relationships" name="班次需求輸入" sheetId="17" r:id="R488e41374d104ec1"/>
    <x:sheet xmlns:r="http://schemas.openxmlformats.org/officeDocument/2006/relationships" name="排班配置輸入" sheetId="18" r:id="R869b3eadf2b04770"/>
    <x:sheet xmlns:r="http://schemas.openxmlformats.org/officeDocument/2006/relationships" name="班次檢核總覽" sheetId="19" r:id="Rf3b6127e41df455b"/>
    <x:sheet xmlns:r="http://schemas.openxmlformats.org/officeDocument/2006/relationships" name="主管核定中心" sheetId="20" r:id="R8b56a3537e21451f"/>
    <x:sheet xmlns:r="http://schemas.openxmlformats.org/officeDocument/2006/relationships" name="檢核表版本" sheetId="21" r:id="R82c81ada55b84fac"/>
    <x:sheet xmlns:r="http://schemas.openxmlformats.org/officeDocument/2006/relationships" name="考核紀錄輸入" sheetId="22" r:id="R2e8519fadd734359"/>
    <x:sheet xmlns:r="http://schemas.openxmlformats.org/officeDocument/2006/relationships" name="工作觀察輸入" sheetId="23" r:id="R35f830fbb6344970"/>
    <x:sheet xmlns:r="http://schemas.openxmlformats.org/officeDocument/2006/relationships" name="面談與異議" sheetId="24" r:id="R8373ff26829d4f38"/>
    <x:sheet xmlns:r="http://schemas.openxmlformats.org/officeDocument/2006/relationships" name="複評待辦" sheetId="25" r:id="R051bf9dfcd994d48"/>
    <x:sheet xmlns:r="http://schemas.openxmlformats.org/officeDocument/2006/relationships" name="能力升級候選" sheetId="26" r:id="R4816c1273b714ceb"/>
    <x:sheet xmlns:r="http://schemas.openxmlformats.org/officeDocument/2006/relationships" name="資格恢復處理" sheetId="27" r:id="R01cd9bb075554ce6"/>
    <x:sheet xmlns:r="http://schemas.openxmlformats.org/officeDocument/2006/relationships" name="主管工作台" sheetId="28" r:id="R7e4611979fb04334"/>
    <x:sheet xmlns:r="http://schemas.openxmlformats.org/officeDocument/2006/relationships" name="事件與限制" sheetId="29" r:id="R6d10de795ad841cd"/>
    <x:sheet xmlns:r="http://schemas.openxmlformats.org/officeDocument/2006/relationships" name="醫師模式規則輸入" sheetId="30" r:id="Rf137851ffac14f43"/>
    <x:sheet xmlns:r="http://schemas.openxmlformats.org/officeDocument/2006/relationships" name="流動層級規則輸入" sheetId="31" r:id="R9a63976b0e4e428c"/>
    <x:sheet xmlns:r="http://schemas.openxmlformats.org/officeDocument/2006/relationships" name="職級矩陣規則輸入" sheetId="32" r:id="Rd9fee17dbdc2432f"/>
    <x:sheet xmlns:r="http://schemas.openxmlformats.org/officeDocument/2006/relationships" name="諮詢排班視圖" sheetId="33" r:id="Rbbe5d6428f514e84"/>
    <x:sheet xmlns:r="http://schemas.openxmlformats.org/officeDocument/2006/relationships" name="支援者資格核定" sheetId="34" r:id="Rf5ecbf85e36b473e"/>
    <x:sheet xmlns:r="http://schemas.openxmlformats.org/officeDocument/2006/relationships" name="員工治理核定" sheetId="35" r:id="R80f73cfc9df24b83"/>
    <x:sheet xmlns:r="http://schemas.openxmlformats.org/officeDocument/2006/relationships" name="技能名稱對照" sheetId="36" r:id="Rc296a7a16955483b"/>
    <x:sheet xmlns:r="http://schemas.openxmlformats.org/officeDocument/2006/relationships" name="檢核表項目輸入" sheetId="37" r:id="R5d936142608f4908"/>
    <x:sheet xmlns:r="http://schemas.openxmlformats.org/officeDocument/2006/relationships" name="排班例外核定" sheetId="38" r:id="R518ab44cccb84d1f"/>
    <x:sheet xmlns:r="http://schemas.openxmlformats.org/officeDocument/2006/relationships" name="主管操作導引" sheetId="39" r:id="Rd22835441c434e62"/>
    <x:sheet xmlns:r="http://schemas.openxmlformats.org/officeDocument/2006/relationships" name="上線準備" sheetId="40" r:id="Rfdcbd668bbe64207"/>
    <x:sheet xmlns:r="http://schemas.openxmlformats.org/officeDocument/2006/relationships" name="正式資料收件" sheetId="41" r:id="Rd4217f52f3ee4a99"/>
    <x:sheet xmlns:r="http://schemas.openxmlformats.org/officeDocument/2006/relationships" name="正式試排驗收" sheetId="42" r:id="R0efae41a1cac411c"/>
    <x:sheet xmlns:r="http://schemas.openxmlformats.org/officeDocument/2006/relationships" name="主管核定批次" sheetId="43" r:id="R65d8d6bf17a74384"/>
    <x:sheet xmlns:r="http://schemas.openxmlformats.org/officeDocument/2006/relationships" name="模式能力要求輸入" sheetId="44" r:id="Re5c4013246f64a51"/>
    <x:sheet xmlns:r="http://schemas.openxmlformats.org/officeDocument/2006/relationships" name="排班模式清單" sheetId="45" r:id="R4243b4a72809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0.0%"/>
    <x:numFmt numFmtId="203" formatCode="#,##0"/>
    <x:numFmt numFmtId="204" formatCode="hh:mm"/>
    <x:numFmt numFmtId="205" formatCode="0"/>
  </x:numFmts>
  <x:fonts count="23">
    <x:font>
      <x:sz val="11"/>
      <x:name val="Carlito"/>
    </x:font>
    <x:font>
      <x:b/>
      <x:sz val="14"/>
      <x:color rgb="FF17324D"/>
      <x:name val="Arial"/>
    </x:font>
    <x:font>
      <x:i/>
      <x:sz val="10"/>
      <x:color rgb="FF526575"/>
      <x:name val="Arial"/>
    </x:font>
    <x:font>
      <x:sz val="10"/>
      <x:color rgb="FF1F2933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  <x:font>
      <x:b/>
      <x:sz val="9"/>
      <x:color rgb="FF17324D"/>
      <x:name val="Arial"/>
    </x:font>
    <x:font>
      <x:b/>
      <x:sz val="14"/>
      <x:color rgb="FF263238"/>
      <x:name val="Microsoft JhengHei"/>
    </x:font>
    <x:font>
      <x:i/>
      <x:sz val="10"/>
      <x:color rgb="FF607D8B"/>
      <x:name val="Microsoft JhengHei"/>
    </x:font>
    <x:font>
      <x:b/>
      <x:sz val="10"/>
      <x:color rgb="FFFFFFFF"/>
      <x:name val="Microsoft JhengHei"/>
    </x:font>
    <x:font>
      <x:sz val="10"/>
      <x:color rgb="FF263238"/>
      <x:name val="Microsoft JhengHei"/>
    </x:font>
    <x:font>
      <x:b/>
      <x:sz val="10"/>
      <x:color rgb="FF263238"/>
      <x:name val="Microsoft JhengHei"/>
    </x:font>
    <x:font>
      <x:b/>
      <x:sz val="14"/>
      <x:color rgb="FF263238"/>
      <x:name val="Arial"/>
    </x:font>
    <x:font>
      <x:i/>
      <x:sz val="10"/>
      <x:color rgb="FF607D8B"/>
      <x:name val="Arial"/>
    </x:font>
    <x:font>
      <x:sz val="10"/>
      <x:color rgb="FF263238"/>
      <x:name val="Arial"/>
    </x:font>
    <x:font>
      <x:b/>
      <x:sz val="10"/>
      <x:color rgb="FF263238"/>
      <x:name val="Arial"/>
    </x:font>
    <x:font>
      <x:b/>
      <x:sz val="15"/>
      <x:color rgb="FF263238"/>
      <x:name val="Arial"/>
    </x:font>
    <x:font>
      <x:b/>
      <x:sz val="10"/>
      <x:color rgb="FF7F6000"/>
      <x:name val="Arial"/>
    </x:font>
    <x:font>
      <x:b/>
      <x:sz val="11"/>
      <x:color rgb="FF263238"/>
      <x:name val="Arial"/>
    </x:font>
    <x:font>
      <x:sz val="10"/>
      <x:color rgb="FF9C0006"/>
      <x:name val="Arial"/>
    </x:font>
    <x:font>
      <x:b/>
      <x:sz val="10"/>
      <x:color rgb="FF9C0006"/>
      <x:name val="Arial"/>
    </x:font>
    <x:font>
      <x:b/>
      <x:sz val="13"/>
      <x:color rgb="FF263238"/>
      <x:name val="Arial"/>
    </x:font>
    <x:font>
      <x:b/>
      <x:sz val="12"/>
      <x:color rgb="FF263238"/>
      <x:name val="Arial"/>
    </x:font>
  </x:fonts>
  <x:fills count="140">
    <x:fill>
      <x:patternFill patternType="none"/>
    </x:fill>
    <x:fill>
      <x:patternFill patternType="gray125"/>
    </x:fill>
    <x:fill>
      <x:patternFill patternType="solid">
        <x:fgColor rgb="FF22577A"/>
      </x:patternFill>
    </x:fill>
    <x:fill>
      <x:patternFill patternType="solid">
        <x:fgColor rgb="FFFFF4CC"/>
      </x:patternFill>
    </x:fill>
    <x:fill>
      <x:patternFill patternType="solid">
        <x:fgColor rgb="FFD9EAF7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E7E6E6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DDEBF7"/>
      </x:patternFill>
    </x:fill>
    <x:fill>
      <x:patternFill patternType="solid">
        <x:fgColor rgb="FFEAF5FA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DDEBF7"/>
      </x:patternFill>
    </x:fill>
    <x:fill>
      <x:patternFill patternType="solid">
        <x:fgColor rgb="FFEAF5FA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F7FBF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C55A11"/>
      </x:patternFill>
    </x:fill>
    <x:fill>
      <x:patternFill patternType="solid">
        <x:fgColor rgb="FFFCE4D6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F7FBF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7FBFD"/>
      </x:patternFill>
    </x:fill>
    <x:fill>
      <x:patternFill patternType="solid">
        <x:fgColor rgb="FFEAF5FA"/>
      </x:patternFill>
    </x:fill>
    <x:fill>
      <x:patternFill patternType="solid">
        <x:fgColor rgb="FFFFFFFF"/>
      </x:patternFill>
    </x:fill>
    <x:fill>
      <x:patternFill patternType="solid">
        <x:fgColor rgb="FF1F5E78"/>
      </x:patternFill>
    </x:fill>
    <x:fill>
      <x:patternFill patternType="solid">
        <x:fgColor rgb="FFDDEBF7"/>
      </x:patternFill>
    </x:fill>
    <x:fill>
      <x:patternFill patternType="solid">
        <x:fgColor rgb="FFF7FBFD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  <x:fill>
      <x:patternFill patternType="solid">
        <x:fgColor rgb="FFD9EAF2"/>
      </x:patternFill>
    </x:fill>
    <x:fill>
      <x:patternFill patternType="solid">
        <x:fgColor rgb="FFF7FBFD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7FBFD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DDEBF7"/>
      </x:patternFill>
    </x:fill>
    <x:fill>
      <x:patternFill patternType="solid">
        <x:fgColor rgb="FFF7FBFD"/>
      </x:patternFill>
    </x:fill>
    <x:fill>
      <x:patternFill patternType="solid">
        <x:fgColor rgb="FFEAF5FA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9EAF2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EAF5F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1F5E78"/>
      </x:patternFill>
    </x:fill>
    <x:fill>
      <x:patternFill patternType="solid">
        <x:fgColor rgb="FFDDEBF7"/>
      </x:patternFill>
    </x:fill>
    <x:fill>
      <x:patternFill patternType="solid">
        <x:fgColor rgb="FFF7FBFD"/>
      </x:patternFill>
    </x:fill>
    <x:fill>
      <x:patternFill patternType="solid">
        <x:fgColor rgb="FFEAF5FA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9EAF2"/>
      </x:patternFill>
    </x:fill>
    <x:fill>
      <x:patternFill patternType="solid">
        <x:fgColor rgb="FF1F5E78"/>
      </x:patternFill>
    </x:fill>
    <x:fill>
      <x:patternFill patternType="solid">
        <x:fgColor rgb="FFFFF2CC"/>
      </x:patternFill>
    </x:fill>
    <x:fill>
      <x:patternFill patternType="solid">
        <x:fgColor rgb="FFEAF5FA"/>
      </x:patternFill>
    </x:fill>
  </x:fills>
  <x:borders count="7">
    <x:border/>
    <x:border>
      <x:bottom style="thin">
        <x:color rgb="FF8FB3C9"/>
      </x:bottom>
    </x:border>
    <x:border>
      <x:bottom style="thin">
        <x:color rgb="FFB7C9D3"/>
      </x:bottom>
    </x:border>
    <x:border>
      <x:bottom style="thin">
        <x:color rgb="FFDCE6EB"/>
      </x:bottom>
    </x:border>
    <x:border>
      <x:top style="thin">
        <x:color rgb="FFDCE6EB"/>
      </x:top>
      <x:bottom style="thin">
        <x:color rgb="FFDCE6EB"/>
      </x:bottom>
    </x:border>
    <x:border>
      <x:top style="thin">
        <x:color rgb="FFDCE6EB"/>
      </x:top>
      <x:bottom style="thin">
        <x:color rgb="FFB7C9D3"/>
      </x:bottom>
    </x:border>
    <x:border>
      <x:bottom style="hair">
        <x:color rgb="FFB7C9D3"/>
      </x:bottom>
    </x:border>
  </x:borders>
  <x:cellStyleXfs count="1">
    <x:xf numFmtId="0" fontId="0" fillId="0" borderId="0"/>
  </x:cellStyleXfs>
  <x:cellXfs count="59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0" fillId="0" borderId="2" xfId="0" applyNumberFormat="1" applyFont="1" applyFill="1" applyBorder="1"/>
    <x:xf numFmtId="0" fontId="8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201" fontId="10" fillId="0" borderId="4" xfId="0" applyNumberFormat="1" applyFont="1" applyFill="1" applyBorder="1" applyAlignment="1">
      <x:alignment vertical="center"/>
    </x:xf>
    <x:xf numFmtId="202" fontId="10" fillId="0" borderId="4" xfId="0" applyNumberFormat="1" applyFont="1" applyFill="1" applyBorder="1" applyAlignment="1">
      <x:alignment vertical="center"/>
    </x:xf>
    <x:xf numFmtId="201" fontId="10" fillId="0" borderId="5" xfId="0" applyNumberFormat="1" applyFont="1" applyFill="1" applyBorder="1" applyAlignment="1">
      <x:alignment vertical="center"/>
    </x:xf>
    <x:xf numFmtId="0" fontId="10" fillId="6" borderId="4" xfId="0" applyNumberFormat="1" applyFont="1" applyFill="1" applyBorder="1" applyAlignment="1">
      <x:alignment vertical="center"/>
    </x:xf>
    <x:xf numFmtId="0" fontId="10" fillId="6" borderId="5" xfId="0" applyNumberFormat="1" applyFont="1" applyFill="1" applyBorder="1" applyAlignment="1">
      <x:alignment vertical="center"/>
    </x:xf>
    <x:xf numFmtId="201" fontId="10" fillId="6" borderId="4" xfId="0" applyNumberFormat="1" applyFont="1" applyFill="1" applyBorder="1" applyAlignment="1">
      <x:alignment vertical="center"/>
    </x:xf>
    <x:xf numFmtId="201" fontId="10" fillId="6" borderId="5" xfId="0" applyNumberFormat="1" applyFont="1" applyFill="1" applyBorder="1" applyAlignment="1">
      <x:alignment vertical="center"/>
    </x:xf>
    <x:xf numFmtId="0" fontId="10" fillId="7" borderId="4" xfId="0" applyNumberFormat="1" applyFont="1" applyFill="1" applyBorder="1" applyAlignment="1">
      <x:alignment vertical="center"/>
    </x:xf>
    <x:xf numFmtId="0" fontId="10" fillId="7" borderId="5" xfId="0" applyNumberFormat="1" applyFont="1" applyFill="1" applyBorder="1" applyAlignment="1">
      <x:alignment vertical="center"/>
    </x:xf>
    <x:xf numFmtId="202" fontId="10" fillId="0" borderId="5" xfId="0" applyNumberFormat="1" applyFont="1" applyFill="1" applyBorder="1" applyAlignment="1">
      <x:alignment vertical="center"/>
    </x:xf>
    <x:xf numFmtId="202" fontId="10" fillId="7" borderId="4" xfId="0" applyNumberFormat="1" applyFont="1" applyFill="1" applyBorder="1" applyAlignment="1">
      <x:alignment vertical="center"/>
    </x:xf>
    <x:xf numFmtId="202" fontId="10" fillId="7" borderId="5" xfId="0" applyNumberFormat="1" applyFont="1" applyFill="1" applyBorder="1" applyAlignment="1">
      <x:alignment vertical="center"/>
    </x:xf>
    <x:xf numFmtId="0" fontId="10" fillId="7" borderId="4" xfId="0" applyNumberFormat="1" applyFont="1" applyFill="1" applyBorder="1" applyAlignment="1">
      <x:alignment vertical="center" wrapText="1"/>
    </x:xf>
    <x:xf numFmtId="0" fontId="10" fillId="7" borderId="5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203" fontId="10" fillId="0" borderId="3" xfId="0" applyNumberFormat="1" applyFont="1" applyFill="1" applyBorder="1"/>
    <x:xf numFmtId="203" fontId="10" fillId="0" borderId="4" xfId="0" applyNumberFormat="1" applyFont="1" applyFill="1" applyBorder="1"/>
    <x:xf numFmtId="203" fontId="10" fillId="0" borderId="5" xfId="0" applyNumberFormat="1" applyFont="1" applyFill="1" applyBorder="1"/>
    <x:xf numFmtId="0" fontId="10" fillId="6" borderId="3" xfId="0" applyNumberFormat="1" applyFont="1" applyFill="1" applyBorder="1"/>
    <x:xf numFmtId="0" fontId="10" fillId="6" borderId="4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4" fillId="10" borderId="0" xfId="0" applyNumberFormat="1" applyFont="1" applyFill="1" applyBorder="1" applyAlignment="1">
      <x:alignment vertical="center"/>
    </x:xf>
    <x:xf numFmtId="201" fontId="14" fillId="10" borderId="0" xfId="0" applyNumberFormat="1" applyFont="1" applyFill="1" applyBorder="1" applyAlignment="1">
      <x:alignment vertical="center"/>
    </x:xf>
    <x:xf numFmtId="204" fontId="14" fillId="10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vertical="center"/>
    </x:xf>
    <x:xf numFmtId="201" fontId="14" fillId="11" borderId="0" xfId="0" applyNumberFormat="1" applyFont="1" applyFill="1" applyBorder="1" applyAlignment="1">
      <x:alignment vertical="center"/>
    </x:xf>
    <x:xf numFmtId="204" fontId="1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horizontal="center"/>
    </x:xf>
    <x:xf numFmtId="202" fontId="15" fillId="13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/>
    <x:xf numFmtId="0" fontId="14" fillId="13" borderId="0" xfId="0" applyNumberFormat="1" applyFont="1" applyFill="1" applyBorder="1"/>
    <x:xf numFmtId="201" fontId="14" fillId="14" borderId="0" xfId="0" applyNumberFormat="1" applyFont="1" applyFill="1" applyBorder="1"/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201" fontId="14" fillId="0" borderId="0" xfId="0" applyNumberFormat="1" applyFont="1" applyFill="1" applyBorder="1"/>
    <x:xf numFmtId="0" fontId="14" fillId="16" borderId="0" xfId="0" applyNumberFormat="1" applyFont="1" applyFill="1" applyBorder="1"/>
    <x:xf numFmtId="0" fontId="14" fillId="17" borderId="0" xfId="0" applyNumberFormat="1" applyFont="1" applyFill="1" applyBorder="1"/>
    <x:xf numFmtId="201" fontId="14" fillId="16" borderId="0" xfId="0" applyNumberFormat="1" applyFont="1" applyFill="1" applyBorder="1"/>
    <x:xf numFmtId="201" fontId="14" fillId="17" borderId="0" xfId="0" applyNumberFormat="1" applyFont="1" applyFill="1" applyBorder="1"/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14" fillId="19" borderId="0" xfId="0" applyNumberFormat="1" applyFont="1" applyFill="1" applyBorder="1"/>
    <x:xf numFmtId="0" fontId="14" fillId="20" borderId="0" xfId="0" applyNumberFormat="1" applyFont="1" applyFill="1" applyBorder="1"/>
    <x:xf numFmtId="201" fontId="14" fillId="19" borderId="0" xfId="0" applyNumberFormat="1" applyFont="1" applyFill="1" applyBorder="1"/>
    <x:xf numFmtId="201" fontId="14" fillId="20" borderId="0" xfId="0" applyNumberFormat="1" applyFont="1" applyFill="1" applyBorder="1"/>
    <x:xf numFmtId="0" fontId="16" fillId="0" borderId="0" xfId="0" applyNumberFormat="1" applyFont="1" applyFill="1" applyBorder="1"/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0" xfId="0" applyNumberFormat="1" applyFont="1" applyFill="1" applyBorder="1" applyAlignment="1">
      <x:alignment horizontal="center"/>
    </x:xf>
    <x:xf numFmtId="0" fontId="4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203" fontId="12" fillId="22" borderId="0" xfId="0" applyNumberFormat="1" applyFont="1" applyFill="1" applyBorder="1"/>
    <x:xf numFmtId="203" fontId="12" fillId="22" borderId="0" xfId="0" applyNumberFormat="1" applyFont="1" applyFill="1" applyBorder="1" applyAlignment="1">
      <x:alignment horizontal="center"/>
    </x:xf>
    <x:xf numFmtId="203" fontId="12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0" xfId="0" applyNumberFormat="1" applyFont="1" applyFill="1" applyBorder="1" applyAlignment="1">
      <x:alignment horizontal="center"/>
    </x:xf>
    <x:xf numFmtId="0" fontId="15" fillId="23" borderId="0" xfId="0" applyNumberFormat="1" applyFont="1" applyFill="1" applyBorder="1" applyAlignment="1">
      <x:alignment horizontal="center" vertical="center"/>
    </x:xf>
    <x:xf numFmtId="0" fontId="14" fillId="21" borderId="0" xfId="0" applyNumberFormat="1" applyFont="1" applyFill="1" applyBorder="1"/>
    <x:xf numFmtId="0" fontId="14" fillId="22" borderId="0" xfId="0" applyNumberFormat="1" applyFont="1" applyFill="1" applyBorder="1"/>
    <x:xf numFmtId="0" fontId="15" fillId="22" borderId="0" xfId="0" applyNumberFormat="1" applyFont="1" applyFill="1" applyBorder="1"/>
    <x:xf numFmtId="203" fontId="15" fillId="22" borderId="0" xfId="0" applyNumberFormat="1" applyFont="1" applyFill="1" applyBorder="1"/>
    <x:xf numFmtId="203" fontId="15" fillId="22" borderId="0" xfId="0" applyNumberFormat="1" applyFont="1" applyFill="1" applyBorder="1" applyAlignment="1">
      <x:alignment horizontal="right"/>
    </x:xf>
    <x:xf numFmtId="0" fontId="14" fillId="0" xfId="0" applyNumberFormat="1" applyFont="1" applyFill="1" applyBorder="0"/>
    <x:xf numFmtId="203" fontId="15" fillId="22" xfId="0" applyNumberFormat="1" applyFont="1" applyFill="1" applyBorder="0" applyAlignment="1">
      <x:alignment horizontal="right"/>
    </x:xf>
    <x:xf numFmtId="0" fontId="14" fillId="0" borderId="6" xfId="0" applyNumberFormat="1" applyFont="1" applyFill="1" applyBorder="1"/>
    <x:xf numFmtId="203" fontId="15" fillId="22" borderId="6" xfId="0" applyNumberFormat="1" applyFont="1" applyFill="1" applyBorder="1" applyAlignment="1">
      <x:alignment horizontal="right"/>
    </x:xf>
    <x:xf numFmtId="0" fontId="4" fillId="21" borderId="0" xfId="0" applyNumberFormat="1" applyFont="1" applyFill="1" applyBorder="1" applyAlignment="1">
      <x:alignment horizontal="left"/>
    </x:xf>
    <x:xf numFmtId="0" fontId="15" fillId="22" borderId="0" xfId="0" applyNumberFormat="1" applyFont="1" applyFill="1" applyBorder="1" applyAlignment="1">
      <x:alignment horizontal="center"/>
    </x:xf>
    <x:xf numFmtId="0" fontId="15" fillId="22" xfId="0" applyNumberFormat="1" applyFont="1" applyFill="1" applyBorder="0" applyAlignment="1">
      <x:alignment horizontal="center"/>
    </x:xf>
    <x:xf numFmtId="0" fontId="15" fillId="22" borderId="6" xfId="0" applyNumberFormat="1" applyFont="1" applyFill="1" applyBorder="1" applyAlignment="1">
      <x:alignment horizontal="center"/>
    </x:xf>
    <x:xf numFmtId="0" fontId="14" fillId="0" xfId="0" applyNumberFormat="1" applyFont="1" applyFill="1" applyBorder="0" applyAlignment="1">
      <x:alignment vertical="center"/>
    </x:xf>
    <x:xf numFmtId="0" fontId="14" fillId="0" borderId="6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4" fillId="24" borderId="0" xfId="0" applyNumberFormat="1" applyFont="1" applyFill="1" applyBorder="1"/>
    <x:xf numFmtId="0" fontId="4" fillId="24" borderId="0" xfId="0" applyNumberFormat="1" applyFont="1" applyFill="1" applyBorder="1" applyAlignment="1">
      <x:alignment wrapText="1"/>
    </x:xf>
    <x:xf numFmtId="0" fontId="4" fillId="24" borderId="0" xfId="0" applyNumberFormat="1" applyFont="1" applyFill="1" applyBorder="1" applyAlignment="1">
      <x:alignment horizontal="center" wrapText="1"/>
    </x:xf>
    <x:xf numFmtId="0" fontId="4" fillId="24" borderId="0" xfId="0" applyNumberFormat="1" applyFont="1" applyFill="1" applyBorder="1" applyAlignment="1">
      <x:alignment horizontal="center" vertical="center" wrapText="1"/>
    </x:xf>
    <x:xf numFmtId="0" fontId="14" fillId="25" borderId="0" xfId="0" applyNumberFormat="1" applyFont="1" applyFill="1" applyBorder="1"/>
    <x:xf numFmtId="0" fontId="14" fillId="26" borderId="0" xfId="0" applyNumberFormat="1" applyFont="1" applyFill="1" applyBorder="1"/>
    <x:xf numFmtId="201" fontId="14" fillId="25" borderId="0" xfId="0" applyNumberFormat="1" applyFont="1" applyFill="1" applyBorder="1"/>
    <x:xf numFmtId="0" fontId="14" fillId="27" borderId="6" xfId="0" applyNumberFormat="1" applyFont="1" applyFill="1" applyBorder="1"/>
    <x:xf numFmtId="0" fontId="15" fillId="27" borderId="6" xfId="0" applyNumberFormat="1" applyFont="1" applyFill="1" applyBorder="1"/>
    <x:xf numFmtId="203" fontId="15" fillId="27" borderId="6" xfId="0" applyNumberFormat="1" applyFont="1" applyFill="1" applyBorder="1"/>
    <x:xf numFmtId="203" fontId="15" fillId="27" borderId="6" xfId="0" applyNumberFormat="1" applyFont="1" applyFill="1" applyBorder="1" applyAlignment="1">
      <x:alignment horizontal="right"/>
    </x:xf>
    <x:xf numFmtId="0" fontId="14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horizontal="center"/>
    </x:xf>
    <x:xf numFmtId="0" fontId="15" fillId="27" borderId="6" xfId="0" applyNumberFormat="1" applyFont="1" applyFill="1" applyBorder="1" applyAlignment="1">
      <x:alignment horizontal="center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borderId="0" xfId="0" applyNumberFormat="1" applyFont="1" applyFill="1" applyBorder="1" applyAlignment="1">
      <x:alignment wrapText="1"/>
    </x:xf>
    <x:xf numFmtId="0" fontId="4" fillId="28" borderId="0" xfId="0" applyNumberFormat="1" applyFont="1" applyFill="1" applyBorder="1" applyAlignment="1">
      <x:alignment horizontal="center" wrapText="1"/>
    </x:xf>
    <x:xf numFmtId="0" fontId="4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14" fillId="29" borderId="0" xfId="0" applyNumberFormat="1" applyFont="1" applyFill="1" applyBorder="1"/>
    <x:xf numFmtId="201" fontId="14" fillId="29" borderId="0" xfId="0" applyNumberFormat="1" applyFont="1" applyFill="1" applyBorder="1"/>
    <x:xf numFmtId="0" fontId="14" fillId="30" xfId="0" applyNumberFormat="1" applyFont="1" applyFill="1" applyBorder="0"/>
    <x:xf numFmtId="0" fontId="14" fillId="30" borderId="6" xfId="0" applyNumberFormat="1" applyFont="1" applyFill="1" applyBorder="1"/>
    <x:xf numFmtId="0" fontId="15" fillId="30" xfId="0" applyNumberFormat="1" applyFont="1" applyFill="1" applyBorder="0"/>
    <x:xf numFmtId="0" fontId="15" fillId="30" borderId="6" xfId="0" applyNumberFormat="1" applyFont="1" applyFill="1" applyBorder="1"/>
    <x:xf numFmtId="203" fontId="15" fillId="30" xfId="0" applyNumberFormat="1" applyFont="1" applyFill="1" applyBorder="0"/>
    <x:xf numFmtId="203" fontId="15" fillId="30" borderId="6" xfId="0" applyNumberFormat="1" applyFont="1" applyFill="1" applyBorder="1"/>
    <x:xf numFmtId="203" fontId="15" fillId="30" xfId="0" applyNumberFormat="1" applyFont="1" applyFill="1" applyBorder="0" applyAlignment="1">
      <x:alignment horizontal="right"/>
    </x:xf>
    <x:xf numFmtId="203" fontId="15" fillId="30" borderId="6" xfId="0" applyNumberFormat="1" applyFont="1" applyFill="1" applyBorder="1" applyAlignment="1">
      <x:alignment horizontal="right"/>
    </x:xf>
    <x:xf numFmtId="0" fontId="14" fillId="29" xfId="0" applyNumberFormat="1" applyFont="1" applyFill="1" applyBorder="0"/>
    <x:xf numFmtId="0" fontId="14" fillId="29" borderId="6" xfId="0" applyNumberFormat="1" applyFont="1" applyFill="1" applyBorder="1"/>
    <x:xf numFmtId="0" fontId="17" fillId="29" xfId="0" applyNumberFormat="1" applyFont="1" applyFill="1" applyBorder="0"/>
    <x:xf numFmtId="0" fontId="17" fillId="29" borderId="6" xfId="0" applyNumberFormat="1" applyFont="1" applyFill="1" applyBorder="1"/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4" fillId="31" borderId="0" xfId="0" applyNumberFormat="1" applyFont="1" applyFill="1" applyBorder="1" applyAlignment="1">
      <x:alignment wrapText="1"/>
    </x:xf>
    <x:xf numFmtId="0" fontId="4" fillId="31" borderId="0" xfId="0" applyNumberFormat="1" applyFont="1" applyFill="1" applyBorder="1" applyAlignment="1">
      <x:alignment horizontal="center" wrapText="1"/>
    </x:xf>
    <x:xf numFmtId="0" fontId="4" fillId="31" borderId="0" xfId="0" applyNumberFormat="1" applyFont="1" applyFill="1" applyBorder="1" applyAlignment="1">
      <x:alignment horizontal="center" vertical="center" wrapText="1"/>
    </x:xf>
    <x:xf numFmtId="0" fontId="14" fillId="32" borderId="0" xfId="0" applyNumberFormat="1" applyFont="1" applyFill="1" applyBorder="1"/>
    <x:xf numFmtId="0" fontId="14" fillId="33" borderId="0" xfId="0" applyNumberFormat="1" applyFont="1" applyFill="1" applyBorder="1"/>
    <x:xf numFmtId="201" fontId="14" fillId="32" borderId="0" xfId="0" applyNumberFormat="1" applyFont="1" applyFill="1" applyBorder="1"/>
    <x:xf numFmtId="201" fontId="14" fillId="33" borderId="0" xfId="0" applyNumberFormat="1" applyFont="1" applyFill="1" applyBorder="1"/>
    <x:xf numFmtId="0" fontId="14" fillId="7" borderId="0" xfId="0" applyNumberFormat="1" applyFont="1" applyFill="1" applyBorder="1" applyAlignment="1">
      <x:alignment vertical="center"/>
    </x:xf>
    <x:xf numFmtId="0" fontId="14" fillId="32" borderId="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horizontal="center"/>
    </x:xf>
    <x:xf numFmtId="0" fontId="4" fillId="34" borderId="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203" fontId="12" fillId="35" borderId="0" xfId="0" applyNumberFormat="1" applyFont="1" applyFill="1" applyBorder="1"/>
    <x:xf numFmtId="203" fontId="12" fillId="35" borderId="0" xfId="0" applyNumberFormat="1" applyFont="1" applyFill="1" applyBorder="1" applyAlignment="1">
      <x:alignment horizontal="center"/>
    </x:xf>
    <x:xf numFmtId="203" fontId="12" fillId="35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horizontal="center"/>
    </x:xf>
    <x:xf numFmtId="0" fontId="14" fillId="36" borderId="0" xfId="0" applyNumberFormat="1" applyFont="1" applyFill="1" applyBorder="1" applyAlignment="1">
      <x:alignment horizontal="center" vertical="center"/>
    </x:xf>
    <x:xf numFmtId="0" fontId="4" fillId="34" borderId="0" xfId="0" applyNumberFormat="1" applyFont="1" applyFill="1" applyBorder="1" applyAlignment="1">
      <x:alignment wrapText="1"/>
    </x:xf>
    <x:xf numFmtId="0" fontId="4" fillId="34" borderId="0" xfId="0" applyNumberFormat="1" applyFont="1" applyFill="1" applyBorder="1" applyAlignment="1">
      <x:alignment horizontal="center" wrapText="1"/>
    </x:xf>
    <x:xf numFmtId="0" fontId="4" fillId="34" borderId="0" xfId="0" applyNumberFormat="1" applyFont="1" applyFill="1" applyBorder="1" applyAlignment="1">
      <x:alignment horizontal="center" vertical="center" wrapText="1"/>
    </x:xf>
    <x:xf numFmtId="201" fontId="14" fillId="0" borderId="0" xfId="0" applyNumberFormat="1" applyFont="1" applyFill="1" applyBorder="1" applyAlignment="1">
      <x:alignment vertical="center"/>
    </x:xf>
    <x:xf numFmtId="204" fontId="14" fillId="0" borderId="0" xfId="0" applyNumberFormat="1" applyFont="1" applyFill="1" applyBorder="1" applyAlignment="1">
      <x:alignment vertical="center"/>
    </x:xf>
    <x:xf numFmtId="203" fontId="14" fillId="0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4" fillId="37" borderId="0" xfId="0" applyNumberFormat="1" applyFont="1" applyFill="1" applyBorder="1" applyAlignment="1">
      <x:alignment wrapText="1"/>
    </x:xf>
    <x:xf numFmtId="0" fontId="4" fillId="37" borderId="0" xfId="0" applyNumberFormat="1" applyFont="1" applyFill="1" applyBorder="1" applyAlignment="1">
      <x:alignment horizontal="center" wrapText="1"/>
    </x:xf>
    <x:xf numFmtId="0" fontId="4" fillId="37" borderId="0" xfId="0" applyNumberFormat="1" applyFont="1" applyFill="1" applyBorder="1" applyAlignment="1">
      <x:alignment horizontal="center" vertical="center" wrapText="1"/>
    </x:xf>
    <x:xf numFmtId="0" fontId="14" fillId="38" borderId="0" xfId="0" applyNumberFormat="1" applyFont="1" applyFill="1" applyBorder="1"/>
    <x:xf numFmtId="0" fontId="14" fillId="39" borderId="0" xfId="0" applyNumberFormat="1" applyFont="1" applyFill="1" applyBorder="1"/>
    <x:xf numFmtId="201" fontId="14" fillId="39" borderId="0" xfId="0" applyNumberFormat="1" applyFont="1" applyFill="1" applyBorder="1"/>
    <x:xf numFmtId="0" fontId="14" fillId="40" borderId="6" xfId="0" applyNumberFormat="1" applyFont="1" applyFill="1" applyBorder="1"/>
    <x:xf numFmtId="0" fontId="15" fillId="40" borderId="6" xfId="0" applyNumberFormat="1" applyFont="1" applyFill="1" applyBorder="1"/>
    <x:xf numFmtId="203" fontId="15" fillId="40" borderId="6" xfId="0" applyNumberFormat="1" applyFont="1" applyFill="1" applyBorder="1"/>
    <x:xf numFmtId="203" fontId="15" fillId="40" borderId="6" xfId="0" applyNumberFormat="1" applyFont="1" applyFill="1" applyBorder="1" applyAlignment="1">
      <x:alignment horizontal="right"/>
    </x:xf>
    <x:xf numFmtId="0" fontId="17" fillId="41" xfId="0" applyNumberFormat="1" applyFont="1" applyFill="1" applyBorder="0"/>
    <x:xf numFmtId="0" fontId="17" fillId="41" borderId="6" xfId="0" applyNumberFormat="1" applyFont="1" applyFill="1" applyBorder="1"/>
    <x:xf numFmtId="203" fontId="0" fillId="0" borderId="0" xfId="0" applyNumberFormat="1" applyFont="1" applyFill="1" applyBorder="1"/>
    <x:xf numFmtId="0" fontId="0" fillId="42" borderId="0" xfId="0" applyNumberFormat="1" applyFont="1" applyFill="1" applyBorder="1"/>
    <x:xf numFmtId="0" fontId="4" fillId="42" borderId="0" xfId="0" applyNumberFormat="1" applyFont="1" applyFill="1" applyBorder="1"/>
    <x:xf numFmtId="0" fontId="4" fillId="42" borderId="0" xfId="0" applyNumberFormat="1" applyFont="1" applyFill="1" applyBorder="1" applyAlignment="1">
      <x:alignment wrapText="1"/>
    </x:xf>
    <x:xf numFmtId="0" fontId="4" fillId="42" borderId="0" xfId="0" applyNumberFormat="1" applyFont="1" applyFill="1" applyBorder="1" applyAlignment="1">
      <x:alignment horizontal="center" wrapText="1"/>
    </x:xf>
    <x:xf numFmtId="0" fontId="4" fillId="42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14" fillId="43" borderId="0" xfId="0" applyNumberFormat="1" applyFont="1" applyFill="1" applyBorder="1"/>
    <x:xf numFmtId="0" fontId="0" fillId="44" borderId="0" xfId="0" applyNumberFormat="1" applyFont="1" applyFill="1" applyBorder="1"/>
    <x:xf numFmtId="0" fontId="4" fillId="44" borderId="0" xfId="0" applyNumberFormat="1" applyFont="1" applyFill="1" applyBorder="1"/>
    <x:xf numFmtId="0" fontId="4" fillId="44" borderId="0" xfId="0" applyNumberFormat="1" applyFont="1" applyFill="1" applyBorder="1" applyAlignment="1">
      <x:alignment wrapText="1"/>
    </x:xf>
    <x:xf numFmtId="0" fontId="4" fillId="44" borderId="0" xfId="0" applyNumberFormat="1" applyFont="1" applyFill="1" applyBorder="1" applyAlignment="1">
      <x:alignment horizontal="center" wrapText="1"/>
    </x:xf>
    <x:xf numFmtId="0" fontId="4" fillId="44" borderId="0" xfId="0" applyNumberFormat="1" applyFont="1" applyFill="1" applyBorder="1" applyAlignment="1">
      <x:alignment horizontal="center" vertical="center" wrapText="1"/>
    </x:xf>
    <x:xf numFmtId="0" fontId="14" fillId="45" borderId="0" xfId="0" applyNumberFormat="1" applyFont="1" applyFill="1" applyBorder="1"/>
    <x:xf numFmtId="0" fontId="14" fillId="46" borderId="0" xfId="0" applyNumberFormat="1" applyFont="1" applyFill="1" applyBorder="1"/>
    <x:xf numFmtId="201" fontId="14" fillId="45" borderId="0" xfId="0" applyNumberFormat="1" applyFont="1" applyFill="1" applyBorder="1"/>
    <x:xf numFmtId="0" fontId="0" fillId="46" borderId="0" xfId="0" applyNumberFormat="1" applyFont="1" applyFill="1" applyBorder="1"/>
    <x:xf numFmtId="0" fontId="10" fillId="46" borderId="4" xfId="0" applyNumberFormat="1" applyFont="1" applyFill="1" applyBorder="1" applyAlignment="1">
      <x:alignment vertical="center"/>
    </x:xf>
    <x:xf numFmtId="0" fontId="10" fillId="46" borderId="5" xfId="0" applyNumberFormat="1" applyFont="1" applyFill="1" applyBorder="1" applyAlignment="1">
      <x:alignment vertical="center"/>
    </x:xf>
    <x:xf numFmtId="201" fontId="14" fillId="46" borderId="0" xfId="0" applyNumberFormat="1" applyFont="1" applyFill="1" applyBorder="1"/>
    <x:xf numFmtId="0" fontId="14" fillId="47" borderId="6" xfId="0" applyNumberFormat="1" applyFont="1" applyFill="1" applyBorder="1"/>
    <x:xf numFmtId="0" fontId="15" fillId="47" borderId="6" xfId="0" applyNumberFormat="1" applyFont="1" applyFill="1" applyBorder="1"/>
    <x:xf numFmtId="203" fontId="15" fillId="47" borderId="6" xfId="0" applyNumberFormat="1" applyFont="1" applyFill="1" applyBorder="1"/>
    <x:xf numFmtId="203" fontId="15" fillId="47" borderId="6" xfId="0" applyNumberFormat="1" applyFont="1" applyFill="1" applyBorder="1" applyAlignment="1">
      <x:alignment horizontal="right"/>
    </x:xf>
    <x:xf numFmtId="0" fontId="14" fillId="45" borderId="6" xfId="0" applyNumberFormat="1" applyFont="1" applyFill="1" applyBorder="1"/>
    <x:xf numFmtId="0" fontId="17" fillId="45" borderId="6" xfId="0" applyNumberFormat="1" applyFont="1" applyFill="1" applyBorder="1"/>
    <x:xf numFmtId="0" fontId="0" fillId="48" borderId="0" xfId="0" applyNumberFormat="1" applyFont="1" applyFill="1" applyBorder="1"/>
    <x:xf numFmtId="0" fontId="4" fillId="48" borderId="0" xfId="0" applyNumberFormat="1" applyFont="1" applyFill="1" applyBorder="1"/>
    <x:xf numFmtId="0" fontId="4" fillId="48" borderId="0" xfId="0" applyNumberFormat="1" applyFont="1" applyFill="1" applyBorder="1" applyAlignment="1">
      <x:alignment wrapText="1"/>
    </x:xf>
    <x:xf numFmtId="0" fontId="4" fillId="48" borderId="0" xfId="0" applyNumberFormat="1" applyFont="1" applyFill="1" applyBorder="1" applyAlignment="1">
      <x:alignment horizontal="center" wrapText="1"/>
    </x:xf>
    <x:xf numFmtId="0" fontId="4" fillId="48" borderId="0" xfId="0" applyNumberFormat="1" applyFont="1" applyFill="1" applyBorder="1" applyAlignment="1">
      <x:alignment horizontal="center" vertical="center" wrapText="1"/>
    </x:xf>
    <x:xf numFmtId="0" fontId="14" fillId="49" borderId="0" xfId="0" applyNumberFormat="1" applyFont="1" applyFill="1" applyBorder="1"/>
    <x:xf numFmtId="0" fontId="14" fillId="50" borderId="0" xfId="0" applyNumberFormat="1" applyFont="1" applyFill="1" applyBorder="1"/>
    <x:xf numFmtId="201" fontId="14" fillId="50" borderId="0" xfId="0" applyNumberFormat="1" applyFont="1" applyFill="1" applyBorder="1"/>
    <x:xf numFmtId="0" fontId="14" fillId="49" borderId="0" xfId="0" applyNumberFormat="1" applyFont="1" applyFill="1" applyBorder="1" applyAlignment="1">
      <x:alignment wrapText="1"/>
    </x:xf>
    <x:xf numFmtId="0" fontId="14" fillId="50" borderId="0" xfId="0" applyNumberFormat="1" applyFont="1" applyFill="1" applyBorder="1" applyAlignment="1">
      <x:alignment wrapText="1"/>
    </x:xf>
    <x:xf numFmtId="201" fontId="14" fillId="50" borderId="0" xfId="0" applyNumberFormat="1" applyFont="1" applyFill="1" applyBorder="1" applyAlignment="1">
      <x:alignment wrapText="1"/>
    </x:xf>
    <x:xf numFmtId="0" fontId="14" fillId="51" borderId="6" xfId="0" applyNumberFormat="1" applyFont="1" applyFill="1" applyBorder="1"/>
    <x:xf numFmtId="0" fontId="15" fillId="51" borderId="6" xfId="0" applyNumberFormat="1" applyFont="1" applyFill="1" applyBorder="1"/>
    <x:xf numFmtId="203" fontId="15" fillId="51" borderId="6" xfId="0" applyNumberFormat="1" applyFont="1" applyFill="1" applyBorder="1"/>
    <x:xf numFmtId="203" fontId="15" fillId="51" borderId="6" xfId="0" applyNumberFormat="1" applyFont="1" applyFill="1" applyBorder="1" applyAlignment="1">
      <x:alignment horizontal="right"/>
    </x:xf>
    <x:xf numFmtId="0" fontId="14" fillId="50" borderId="6" xfId="0" applyNumberFormat="1" applyFont="1" applyFill="1" applyBorder="1"/>
    <x:xf numFmtId="0" fontId="17" fillId="50" borderId="6" xfId="0" applyNumberFormat="1" applyFont="1" applyFill="1" applyBorder="1"/>
    <x:xf numFmtId="0" fontId="4" fillId="52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4" fillId="52" borderId="0" xfId="0" applyNumberFormat="1" applyFont="1" applyFill="1" applyBorder="1"/>
    <x:xf numFmtId="0" fontId="4" fillId="52" borderId="0" xfId="0" applyNumberFormat="1" applyFont="1" applyFill="1" applyBorder="1" applyAlignment="1">
      <x:alignment wrapText="1"/>
    </x:xf>
    <x:xf numFmtId="0" fontId="4" fillId="52" borderId="0" xfId="0" applyNumberFormat="1" applyFont="1" applyFill="1" applyBorder="1" applyAlignment="1">
      <x:alignment horizontal="center" wrapText="1"/>
    </x:xf>
    <x:xf numFmtId="0" fontId="14" fillId="53" borderId="0" xfId="0" applyNumberFormat="1" applyFont="1" applyFill="1" applyBorder="1"/>
    <x:xf numFmtId="201" fontId="14" fillId="53" borderId="0" xfId="0" applyNumberFormat="1" applyFont="1" applyFill="1" applyBorder="1"/>
    <x:xf numFmtId="0" fontId="0" fillId="54" borderId="0" xfId="0" applyNumberFormat="1" applyFont="1" applyFill="1" applyBorder="1"/>
    <x:xf numFmtId="0" fontId="0" fillId="53" borderId="0" xfId="0" applyNumberFormat="1" applyFont="1" applyFill="1" applyBorder="1"/>
    <x:xf numFmtId="0" fontId="14" fillId="54" borderId="0" xfId="0" applyNumberFormat="1" applyFont="1" applyFill="1" applyBorder="1"/>
    <x:xf numFmtId="0" fontId="14" fillId="53" borderId="0" xfId="0" applyNumberFormat="1" applyFont="1" applyFill="1" applyBorder="1" applyAlignment="1">
      <x:alignment wrapText="1"/>
    </x:xf>
    <x:xf numFmtId="201" fontId="14" fillId="53" borderId="0" xfId="0" applyNumberFormat="1" applyFont="1" applyFill="1" applyBorder="1" applyAlignment="1">
      <x:alignment wrapText="1"/>
    </x:xf>
    <x:xf numFmtId="0" fontId="14" fillId="54" borderId="0" xfId="0" applyNumberFormat="1" applyFont="1" applyFill="1" applyBorder="1" applyAlignment="1">
      <x:alignment wrapText="1"/>
    </x:xf>
    <x:xf numFmtId="201" fontId="14" fillId="6" borderId="0" xfId="0" applyNumberFormat="1" applyFont="1" applyFill="1" applyBorder="1"/>
    <x:xf numFmtId="201" fontId="0" fillId="0" borderId="0" xfId="0" applyNumberFormat="1" applyFont="1" applyFill="1" applyBorder="1"/>
    <x:xf numFmtId="0" fontId="14" fillId="55" borderId="6" xfId="0" applyNumberFormat="1" applyFont="1" applyFill="1" applyBorder="1"/>
    <x:xf numFmtId="0" fontId="15" fillId="55" borderId="6" xfId="0" applyNumberFormat="1" applyFont="1" applyFill="1" applyBorder="1"/>
    <x:xf numFmtId="203" fontId="15" fillId="55" borderId="6" xfId="0" applyNumberFormat="1" applyFont="1" applyFill="1" applyBorder="1"/>
    <x:xf numFmtId="203" fontId="15" fillId="55" borderId="6" xfId="0" applyNumberFormat="1" applyFont="1" applyFill="1" applyBorder="1" applyAlignment="1">
      <x:alignment horizontal="right"/>
    </x:xf>
    <x:xf numFmtId="0" fontId="14" fillId="53" borderId="6" xfId="0" applyNumberFormat="1" applyFont="1" applyFill="1" applyBorder="1"/>
    <x:xf numFmtId="0" fontId="17" fillId="53" borderId="6" xfId="0" applyNumberFormat="1" applyFont="1" applyFill="1" applyBorder="1"/>
    <x:xf numFmtId="205" fontId="14" fillId="7" borderId="0" xfId="0" applyNumberFormat="1" applyFont="1" applyFill="1" applyBorder="1"/>
    <x:xf numFmtId="205" fontId="0" fillId="0" borderId="0" xfId="0" applyNumberFormat="1" applyFont="1" applyFill="1" applyBorder="1"/>
    <x:xf numFmtId="0" fontId="0" fillId="56" borderId="0" xfId="0" applyNumberFormat="1" applyFont="1" applyFill="1" applyBorder="1"/>
    <x:xf numFmtId="0" fontId="4" fillId="56" borderId="0" xfId="0" applyNumberFormat="1" applyFont="1" applyFill="1" applyBorder="1"/>
    <x:xf numFmtId="0" fontId="4" fillId="56" borderId="0" xfId="0" applyNumberFormat="1" applyFont="1" applyFill="1" applyBorder="1" applyAlignment="1">
      <x:alignment wrapText="1"/>
    </x:xf>
    <x:xf numFmtId="0" fontId="4" fillId="56" borderId="0" xfId="0" applyNumberFormat="1" applyFont="1" applyFill="1" applyBorder="1" applyAlignment="1">
      <x:alignment horizontal="center" wrapText="1"/>
    </x:xf>
    <x:xf numFmtId="0" fontId="4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0" fillId="58" borderId="0" xfId="0" applyNumberFormat="1" applyFont="1" applyFill="1" applyBorder="1"/>
    <x:xf numFmtId="0" fontId="14" fillId="57" borderId="0" xfId="0" applyNumberFormat="1" applyFont="1" applyFill="1" applyBorder="1"/>
    <x:xf numFmtId="0" fontId="14" fillId="58" borderId="0" xfId="0" applyNumberFormat="1" applyFont="1" applyFill="1" applyBorder="1"/>
    <x:xf numFmtId="201" fontId="14" fillId="58" borderId="0" xfId="0" applyNumberFormat="1" applyFont="1" applyFill="1" applyBorder="1"/>
    <x:xf numFmtId="201" fontId="14" fillId="57" borderId="0" xfId="0" applyNumberFormat="1" applyFont="1" applyFill="1" applyBorder="1"/>
    <x:xf numFmtId="0" fontId="14" fillId="57" borderId="0" xfId="0" applyNumberFormat="1" applyFont="1" applyFill="1" applyBorder="1" applyAlignment="1">
      <x:alignment wrapText="1"/>
    </x:xf>
    <x:xf numFmtId="201" fontId="14" fillId="58" borderId="0" xfId="0" applyNumberFormat="1" applyFont="1" applyFill="1" applyBorder="1" applyAlignment="1">
      <x:alignment wrapText="1"/>
    </x:xf>
    <x:xf numFmtId="0" fontId="14" fillId="58" borderId="0" xfId="0" applyNumberFormat="1" applyFont="1" applyFill="1" applyBorder="1" applyAlignment="1">
      <x:alignment wrapText="1"/>
    </x:xf>
    <x:xf numFmtId="201" fontId="14" fillId="57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/>
    <x:xf numFmtId="0" fontId="4" fillId="59" borderId="0" xfId="0" applyNumberFormat="1" applyFont="1" applyFill="1" applyBorder="1"/>
    <x:xf numFmtId="0" fontId="4" fillId="59" borderId="0" xfId="0" applyNumberFormat="1" applyFont="1" applyFill="1" applyBorder="1" applyAlignment="1">
      <x:alignment wrapText="1"/>
    </x:xf>
    <x:xf numFmtId="0" fontId="4" fillId="59" borderId="0" xfId="0" applyNumberFormat="1" applyFont="1" applyFill="1" applyBorder="1" applyAlignment="1">
      <x:alignment horizontal="center" wrapText="1"/>
    </x:xf>
    <x:xf numFmtId="0" fontId="4" fillId="59" borderId="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14" fillId="60" borderId="0" xfId="0" applyNumberFormat="1" applyFont="1" applyFill="1" applyBorder="1"/>
    <x:xf numFmtId="0" fontId="14" fillId="61" borderId="6" xfId="0" applyNumberFormat="1" applyFont="1" applyFill="1" applyBorder="1"/>
    <x:xf numFmtId="0" fontId="15" fillId="61" borderId="6" xfId="0" applyNumberFormat="1" applyFont="1" applyFill="1" applyBorder="1"/>
    <x:xf numFmtId="203" fontId="15" fillId="61" borderId="6" xfId="0" applyNumberFormat="1" applyFont="1" applyFill="1" applyBorder="1"/>
    <x:xf numFmtId="203" fontId="15" fillId="61" borderId="6" xfId="0" applyNumberFormat="1" applyFont="1" applyFill="1" applyBorder="1" applyAlignment="1">
      <x:alignment horizontal="right"/>
    </x:xf>
    <x:xf numFmtId="0" fontId="14" fillId="62" borderId="6" xfId="0" applyNumberFormat="1" applyFont="1" applyFill="1" applyBorder="1"/>
    <x:xf numFmtId="0" fontId="17" fillId="62" borderId="6" xfId="0" applyNumberFormat="1" applyFont="1" applyFill="1" applyBorder="1"/>
    <x:xf numFmtId="0" fontId="0" fillId="63" borderId="0" xfId="0" applyNumberFormat="1" applyFont="1" applyFill="1" applyBorder="1"/>
    <x:xf numFmtId="0" fontId="4" fillId="63" borderId="0" xfId="0" applyNumberFormat="1" applyFont="1" applyFill="1" applyBorder="1"/>
    <x:xf numFmtId="0" fontId="4" fillId="63" borderId="0" xfId="0" applyNumberFormat="1" applyFont="1" applyFill="1" applyBorder="1" applyAlignment="1">
      <x:alignment vertical="center"/>
    </x:xf>
    <x:xf numFmtId="0" fontId="0" fillId="64" borderId="0" xfId="0" applyNumberFormat="1" applyFont="1" applyFill="1" applyBorder="1"/>
    <x:xf numFmtId="0" fontId="18" fillId="64" borderId="0" xfId="0" applyNumberFormat="1" applyFont="1" applyFill="1" applyBorder="1"/>
    <x:xf numFmtId="0" fontId="18" fillId="64" borderId="0" xfId="0" applyNumberFormat="1" applyFont="1" applyFill="1" applyBorder="1" applyAlignment="1">
      <x:alignment wrapText="1"/>
    </x:xf>
    <x:xf numFmtId="0" fontId="18" fillId="64" borderId="0" xfId="0" applyNumberFormat="1" applyFont="1" applyFill="1" applyBorder="1" applyAlignment="1">
      <x:alignment vertical="center" wrapText="1"/>
    </x:xf>
    <x:xf numFmtId="0" fontId="4" fillId="63" borderId="0" xfId="0" applyNumberFormat="1" applyFont="1" applyFill="1" applyBorder="1" applyAlignment="1">
      <x:alignment wrapText="1"/>
    </x:xf>
    <x:xf numFmtId="0" fontId="4" fillId="63" borderId="0" xfId="0" applyNumberFormat="1" applyFont="1" applyFill="1" applyBorder="1" applyAlignment="1">
      <x:alignment horizontal="center" wrapText="1"/>
    </x:xf>
    <x:xf numFmtId="0" fontId="4" fillId="63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65" borderId="0" xfId="0" applyNumberFormat="1" applyFont="1" applyFill="1" applyBorder="1" applyAlignment="1">
      <x:alignment vertical="center" wrapText="1"/>
    </x:xf>
    <x:xf numFmtId="0" fontId="14" fillId="64" borderId="0" xfId="0" applyNumberFormat="1" applyFont="1" applyFill="1" applyBorder="1" applyAlignment="1">
      <x:alignment vertical="center" wrapText="1"/>
    </x:xf>
    <x:xf numFmtId="0" fontId="14" fillId="66" borderId="0" xfId="0" applyNumberFormat="1" applyFont="1" applyFill="1" applyBorder="1" applyAlignment="1">
      <x:alignment vertical="center" wrapText="1"/>
    </x:xf>
    <x:xf numFmtId="0" fontId="14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4" fillId="68" borderId="0" xfId="0" applyNumberFormat="1" applyFont="1" applyFill="1" applyBorder="1"/>
    <x:xf numFmtId="0" fontId="4" fillId="68" borderId="0" xfId="0" applyNumberFormat="1" applyFont="1" applyFill="1" applyBorder="1" applyAlignment="1">
      <x:alignment horizontal="center"/>
    </x:xf>
    <x:xf numFmtId="0" fontId="0" fillId="69" borderId="0" xfId="0" applyNumberFormat="1" applyFont="1" applyFill="1" applyBorder="1"/>
    <x:xf numFmtId="0" fontId="19" fillId="69" borderId="0" xfId="0" applyNumberFormat="1" applyFont="1" applyFill="1" applyBorder="1"/>
    <x:xf numFmtId="0" fontId="19" fillId="69" borderId="0" xfId="0" applyNumberFormat="1" applyFont="1" applyFill="1" applyBorder="1" applyAlignment="1">
      <x:alignment wrapText="1"/>
    </x:xf>
    <x:xf numFmtId="0" fontId="19" fillId="69" borderId="0" xfId="0" applyNumberFormat="1" applyFont="1" applyFill="1" applyBorder="1" applyAlignment="1">
      <x:alignment vertical="center" wrapText="1"/>
    </x:xf>
    <x:xf numFmtId="0" fontId="20" fillId="6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5" fillId="64" borderId="0" xfId="0" applyNumberFormat="1" applyFont="1" applyFill="1" applyBorder="1"/>
    <x:xf numFmtId="0" fontId="15" fillId="64" borderId="0" xfId="0" applyNumberFormat="1" applyFont="1" applyFill="1" applyBorder="1" applyAlignment="1">
      <x:alignment wrapText="1"/>
    </x:xf>
    <x:xf numFmtId="0" fontId="15" fillId="64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4" fillId="70" borderId="0" xfId="0" applyNumberFormat="1" applyFont="1" applyFill="1" applyBorder="1"/>
    <x:xf numFmtId="0" fontId="4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18" fillId="71" borderId="0" xfId="0" applyNumberFormat="1" applyFont="1" applyFill="1" applyBorder="1"/>
    <x:xf numFmtId="0" fontId="18" fillId="71" borderId="0" xfId="0" applyNumberFormat="1" applyFont="1" applyFill="1" applyBorder="1" applyAlignment="1">
      <x:alignment wrapText="1"/>
    </x:xf>
    <x:xf numFmtId="0" fontId="4" fillId="70" borderId="0" xfId="0" applyNumberFormat="1" applyFont="1" applyFill="1" applyBorder="1" applyAlignment="1">
      <x:alignment horizontal="center"/>
    </x:xf>
    <x:xf numFmtId="0" fontId="0" fillId="72" borderId="0" xfId="0" applyNumberFormat="1" applyFont="1" applyFill="1" applyBorder="1"/>
    <x:xf numFmtId="0" fontId="21" fillId="72" borderId="0" xfId="0" applyNumberFormat="1" applyFont="1" applyFill="1" applyBorder="1"/>
    <x:xf numFmtId="0" fontId="21" fillId="72" borderId="0" xfId="0" applyNumberFormat="1" applyFont="1" applyFill="1" applyBorder="1" applyAlignment="1">
      <x:alignment horizontal="center"/>
    </x:xf>
    <x:xf numFmtId="0" fontId="4" fillId="70" borderId="0" xfId="0" applyNumberFormat="1" applyFont="1" applyFill="1" applyBorder="1" applyAlignment="1">
      <x:alignment wrapText="1"/>
    </x:xf>
    <x:xf numFmtId="0" fontId="4" fillId="70" borderId="0" xfId="0" applyNumberFormat="1" applyFont="1" applyFill="1" applyBorder="1" applyAlignment="1">
      <x:alignment horizontal="center" wrapText="1"/>
    </x:xf>
    <x:xf numFmtId="0" fontId="4" fillId="70" borderId="0" xfId="0" applyNumberFormat="1" applyFont="1" applyFill="1" applyBorder="1" applyAlignment="1">
      <x:alignment horizontal="center" vertical="center" wrapText="1"/>
    </x:xf>
    <x:xf numFmtId="0" fontId="14" fillId="73" borderId="0" xfId="0" applyNumberFormat="1" applyFont="1" applyFill="1" applyBorder="1" applyAlignment="1">
      <x:alignment vertical="center" wrapText="1"/>
    </x:xf>
    <x:xf numFmtId="0" fontId="14" fillId="74" borderId="0" xfId="0" applyNumberFormat="1" applyFont="1" applyFill="1" applyBorder="1" applyAlignment="1">
      <x:alignment vertical="center" wrapText="1"/>
    </x:xf>
    <x:xf numFmtId="0" fontId="14" fillId="71" borderId="0" xfId="0" applyNumberFormat="1" applyFont="1" applyFill="1" applyBorder="1" applyAlignment="1">
      <x:alignment vertical="center" wrapText="1"/>
    </x:xf>
    <x:xf numFmtId="201" fontId="14" fillId="74" borderId="0" xfId="0" applyNumberFormat="1" applyFont="1" applyFill="1" applyBorder="1" applyAlignment="1">
      <x:alignment vertical="center" wrapText="1"/>
    </x:xf>
    <x:xf numFmtId="0" fontId="14" fillId="75" borderId="6" xfId="0" applyNumberFormat="1" applyFont="1" applyFill="1" applyBorder="1"/>
    <x:xf numFmtId="0" fontId="15" fillId="75" borderId="6" xfId="0" applyNumberFormat="1" applyFont="1" applyFill="1" applyBorder="1"/>
    <x:xf numFmtId="203" fontId="15" fillId="75" borderId="6" xfId="0" applyNumberFormat="1" applyFont="1" applyFill="1" applyBorder="1"/>
    <x:xf numFmtId="203" fontId="15" fillId="75" borderId="6" xfId="0" applyNumberFormat="1" applyFont="1" applyFill="1" applyBorder="1" applyAlignment="1">
      <x:alignment horizontal="right"/>
    </x:xf>
    <x:xf numFmtId="0" fontId="14" fillId="76" borderId="6" xfId="0" applyNumberFormat="1" applyFont="1" applyFill="1" applyBorder="1"/>
    <x:xf numFmtId="0" fontId="17" fillId="76" borderId="6" xfId="0" applyNumberFormat="1" applyFont="1" applyFill="1" applyBorder="1"/>
    <x:xf numFmtId="0" fontId="0" fillId="77" borderId="0" xfId="0" applyNumberFormat="1" applyFont="1" applyFill="1" applyBorder="1"/>
    <x:xf numFmtId="0" fontId="0" fillId="78" borderId="0" xfId="0" applyNumberFormat="1" applyFont="1" applyFill="1" applyBorder="1"/>
    <x:xf numFmtId="0" fontId="0" fillId="79" borderId="0" xfId="0" applyNumberFormat="1" applyFont="1" applyFill="1" applyBorder="1"/>
    <x:xf numFmtId="0" fontId="0" fillId="76" borderId="0" xfId="0" applyNumberFormat="1" applyFont="1" applyFill="1" applyBorder="1"/>
    <x:xf numFmtId="0" fontId="14" fillId="77" borderId="0" xfId="0" applyNumberFormat="1" applyFont="1" applyFill="1" applyBorder="1"/>
    <x:xf numFmtId="0" fontId="14" fillId="78" borderId="0" xfId="0" applyNumberFormat="1" applyFont="1" applyFill="1" applyBorder="1"/>
    <x:xf numFmtId="0" fontId="14" fillId="79" borderId="0" xfId="0" applyNumberFormat="1" applyFont="1" applyFill="1" applyBorder="1"/>
    <x:xf numFmtId="0" fontId="14" fillId="76" borderId="0" xfId="0" applyNumberFormat="1" applyFont="1" applyFill="1" applyBorder="1"/>
    <x:xf numFmtId="0" fontId="14" fillId="77" borderId="0" xfId="0" applyNumberFormat="1" applyFont="1" applyFill="1" applyBorder="1" applyAlignment="1">
      <x:alignment wrapText="1"/>
    </x:xf>
    <x:xf numFmtId="0" fontId="14" fillId="78" borderId="0" xfId="0" applyNumberFormat="1" applyFont="1" applyFill="1" applyBorder="1" applyAlignment="1">
      <x:alignment wrapText="1"/>
    </x:xf>
    <x:xf numFmtId="0" fontId="14" fillId="79" borderId="0" xfId="0" applyNumberFormat="1" applyFont="1" applyFill="1" applyBorder="1" applyAlignment="1">
      <x:alignment wrapText="1"/>
    </x:xf>
    <x:xf numFmtId="0" fontId="14" fillId="76" borderId="0" xfId="0" applyNumberFormat="1" applyFont="1" applyFill="1" applyBorder="1" applyAlignment="1">
      <x:alignment wrapText="1"/>
    </x:xf>
    <x:xf numFmtId="0" fontId="14" fillId="77" borderId="0" xfId="0" applyNumberFormat="1" applyFont="1" applyFill="1" applyBorder="1" applyAlignment="1">
      <x:alignment vertical="center" wrapText="1"/>
    </x:xf>
    <x:xf numFmtId="0" fontId="14" fillId="78" borderId="0" xfId="0" applyNumberFormat="1" applyFont="1" applyFill="1" applyBorder="1" applyAlignment="1">
      <x:alignment vertical="center" wrapText="1"/>
    </x:xf>
    <x:xf numFmtId="0" fontId="14" fillId="79" borderId="0" xfId="0" applyNumberFormat="1" applyFont="1" applyFill="1" applyBorder="1" applyAlignment="1">
      <x:alignment vertical="center" wrapText="1"/>
    </x:xf>
    <x:xf numFmtId="0" fontId="14" fillId="76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4" fillId="80" borderId="0" xfId="0" applyNumberFormat="1" applyFont="1" applyFill="1" applyBorder="1"/>
    <x:xf numFmtId="0" fontId="4" fillId="80" borderId="0" xfId="0" applyNumberFormat="1" applyFont="1" applyFill="1" applyBorder="1" applyAlignment="1">
      <x:alignment horizontal="center"/>
    </x:xf>
    <x:xf numFmtId="0" fontId="4" fillId="80" borderId="0" xfId="0" applyNumberFormat="1" applyFont="1" applyFill="1" applyBorder="1" applyAlignment="1">
      <x:alignment horizontal="center" vertical="center"/>
    </x:xf>
    <x:xf numFmtId="0" fontId="0" fillId="81" borderId="0" xfId="0" applyNumberFormat="1" applyFont="1" applyFill="1" applyBorder="1"/>
    <x:xf numFmtId="0" fontId="22" fillId="81" borderId="0" xfId="0" applyNumberFormat="1" applyFont="1" applyFill="1" applyBorder="1"/>
    <x:xf numFmtId="0" fontId="22" fillId="81" borderId="0" xfId="0" applyNumberFormat="1" applyFont="1" applyFill="1" applyBorder="1" applyAlignment="1">
      <x:alignment wrapText="1"/>
    </x:xf>
    <x:xf numFmtId="0" fontId="22" fillId="81" borderId="0" xfId="0" applyNumberFormat="1" applyFont="1" applyFill="1" applyBorder="1" applyAlignment="1">
      <x:alignment horizontal="center" wrapText="1"/>
    </x:xf>
    <x:xf numFmtId="0" fontId="22" fillId="81" borderId="0" xfId="0" applyNumberFormat="1" applyFont="1" applyFill="1" applyBorder="1" applyAlignment="1">
      <x:alignment horizontal="center" vertical="center" wrapText="1"/>
    </x:xf>
    <x:xf numFmtId="0" fontId="4" fillId="80" borderId="0" xfId="0" applyNumberFormat="1" applyFont="1" applyFill="1" applyBorder="1" applyAlignment="1">
      <x:alignment wrapText="1"/>
    </x:xf>
    <x:xf numFmtId="0" fontId="4" fillId="80" borderId="0" xfId="0" applyNumberFormat="1" applyFont="1" applyFill="1" applyBorder="1" applyAlignment="1">
      <x:alignment horizontal="center" wrapText="1"/>
    </x:xf>
    <x:xf numFmtId="0" fontId="4" fillId="80" borderId="0" xfId="0" applyNumberFormat="1" applyFont="1" applyFill="1" applyBorder="1" applyAlignment="1">
      <x:alignment horizontal="center" vertical="center" wrapText="1"/>
    </x:xf>
    <x:xf numFmtId="0" fontId="14" fillId="82" borderId="0" xfId="0" applyNumberFormat="1" applyFont="1" applyFill="1" applyBorder="1" applyAlignment="1">
      <x:alignment vertical="center" wrapText="1"/>
    </x:xf>
    <x:xf numFmtId="0" fontId="14" fillId="83" borderId="0" xfId="0" applyNumberFormat="1" applyFont="1" applyFill="1" applyBorder="1" applyAlignment="1">
      <x:alignment vertical="center" wrapText="1"/>
    </x:xf>
    <x:xf numFmtId="0" fontId="14" fillId="84" borderId="0" xfId="0" applyNumberFormat="1" applyFont="1" applyFill="1" applyBorder="1" applyAlignment="1">
      <x:alignment vertical="center" wrapText="1"/>
    </x:xf>
    <x:xf numFmtId="201" fontId="14" fillId="83" borderId="0" xfId="0" applyNumberFormat="1" applyFont="1" applyFill="1" applyBorder="1" applyAlignment="1">
      <x:alignment vertical="center" wrapText="1"/>
    </x:xf>
    <x:xf numFmtId="0" fontId="14" fillId="85" borderId="6" xfId="0" applyNumberFormat="1" applyFont="1" applyFill="1" applyBorder="1"/>
    <x:xf numFmtId="0" fontId="15" fillId="85" borderId="6" xfId="0" applyNumberFormat="1" applyFont="1" applyFill="1" applyBorder="1"/>
    <x:xf numFmtId="203" fontId="15" fillId="85" borderId="6" xfId="0" applyNumberFormat="1" applyFont="1" applyFill="1" applyBorder="1"/>
    <x:xf numFmtId="203" fontId="15" fillId="85" borderId="6" xfId="0" applyNumberFormat="1" applyFont="1" applyFill="1" applyBorder="1" applyAlignment="1">
      <x:alignment horizontal="right"/>
    </x:xf>
    <x:xf numFmtId="0" fontId="14" fillId="86" borderId="6" xfId="0" applyNumberFormat="1" applyFont="1" applyFill="1" applyBorder="1"/>
    <x:xf numFmtId="0" fontId="17" fillId="86" borderId="6" xfId="0" applyNumberFormat="1" applyFont="1" applyFill="1" applyBorder="1"/>
    <x:xf numFmtId="0" fontId="0" fillId="87" borderId="0" xfId="0" applyNumberFormat="1" applyFont="1" applyFill="1" applyBorder="1"/>
    <x:xf numFmtId="0" fontId="4" fillId="87" borderId="0" xfId="0" applyNumberFormat="1" applyFont="1" applyFill="1" applyBorder="1"/>
    <x:xf numFmtId="0" fontId="4" fillId="87" borderId="0" xfId="0" applyNumberFormat="1" applyFont="1" applyFill="1" applyBorder="1" applyAlignment="1">
      <x:alignment wrapText="1"/>
    </x:xf>
    <x:xf numFmtId="0" fontId="4" fillId="87" borderId="0" xfId="0" applyNumberFormat="1" applyFont="1" applyFill="1" applyBorder="1" applyAlignment="1">
      <x:alignment horizontal="center" wrapText="1"/>
    </x:xf>
    <x:xf numFmtId="0" fontId="4" fillId="87" borderId="0" xfId="0" applyNumberFormat="1" applyFont="1" applyFill="1" applyBorder="1" applyAlignment="1">
      <x:alignment horizontal="center" vertical="center" wrapText="1"/>
    </x:xf>
    <x:xf numFmtId="0" fontId="0" fillId="88" borderId="0" xfId="0" applyNumberFormat="1" applyFont="1" applyFill="1" applyBorder="1"/>
    <x:xf numFmtId="0" fontId="14" fillId="88" borderId="0" xfId="0" applyNumberFormat="1" applyFont="1" applyFill="1" applyBorder="1"/>
    <x:xf numFmtId="0" fontId="14" fillId="88" borderId="0" xfId="0" applyNumberFormat="1" applyFont="1" applyFill="1" applyBorder="1" applyAlignment="1">
      <x:alignment wrapText="1"/>
    </x:xf>
    <x:xf numFmtId="0" fontId="14" fillId="88" borderId="0" xfId="0" applyNumberFormat="1" applyFont="1" applyFill="1" applyBorder="1" applyAlignment="1">
      <x:alignment vertical="center" wrapText="1"/>
    </x:xf>
    <x:xf numFmtId="0" fontId="4" fillId="89" borderId="0" xfId="0" applyNumberFormat="1" applyFont="1" applyFill="1" applyBorder="1" applyAlignment="1">
      <x:alignment horizontal="center" vertical="center" wrapText="1"/>
    </x:xf>
    <x:xf numFmtId="0" fontId="14" fillId="90" borderId="0" xfId="0" applyNumberFormat="1" applyFont="1" applyFill="1" applyBorder="1" applyAlignment="1">
      <x:alignment vertical="center" wrapText="1"/>
    </x:xf>
    <x:xf numFmtId="0" fontId="0" fillId="91" borderId="0" xfId="0" applyNumberFormat="1" applyFont="1" applyFill="1" applyBorder="1"/>
    <x:xf numFmtId="0" fontId="4" fillId="91" borderId="0" xfId="0" applyNumberFormat="1" applyFont="1" applyFill="1" applyBorder="1"/>
    <x:xf numFmtId="0" fontId="4" fillId="91" borderId="0" xfId="0" applyNumberFormat="1" applyFont="1" applyFill="1" applyBorder="1" applyAlignment="1">
      <x:alignment horizontal="center"/>
    </x:xf>
    <x:xf numFmtId="0" fontId="4" fillId="91" borderId="0" xfId="0" applyNumberFormat="1" applyFont="1" applyFill="1" applyBorder="1" applyAlignment="1">
      <x:alignment horizontal="center" vertical="center"/>
    </x:xf>
    <x:xf numFmtId="0" fontId="0" fillId="92" borderId="0" xfId="0" applyNumberFormat="1" applyFont="1" applyFill="1" applyBorder="1"/>
    <x:xf numFmtId="0" fontId="22" fillId="92" borderId="0" xfId="0" applyNumberFormat="1" applyFont="1" applyFill="1" applyBorder="1"/>
    <x:xf numFmtId="0" fontId="22" fillId="92" borderId="0" xfId="0" applyNumberFormat="1" applyFont="1" applyFill="1" applyBorder="1" applyAlignment="1">
      <x:alignment horizontal="center"/>
    </x:xf>
    <x:xf numFmtId="0" fontId="22" fillId="92" borderId="0" xfId="0" applyNumberFormat="1" applyFont="1" applyFill="1" applyBorder="1" applyAlignment="1">
      <x:alignment horizontal="center" vertical="center"/>
    </x:xf>
    <x:xf numFmtId="0" fontId="0" fillId="93" borderId="0" xfId="0" applyNumberFormat="1" applyFont="1" applyFill="1" applyBorder="1"/>
    <x:xf numFmtId="0" fontId="18" fillId="93" borderId="0" xfId="0" applyNumberFormat="1" applyFont="1" applyFill="1" applyBorder="1"/>
    <x:xf numFmtId="0" fontId="18" fillId="93" borderId="0" xfId="0" applyNumberFormat="1" applyFont="1" applyFill="1" applyBorder="1" applyAlignment="1">
      <x:alignment wrapText="1"/>
    </x:xf>
    <x:xf numFmtId="0" fontId="18" fillId="93" borderId="0" xfId="0" applyNumberFormat="1" applyFont="1" applyFill="1" applyBorder="1" applyAlignment="1">
      <x:alignment horizontal="center" wrapText="1"/>
    </x:xf>
    <x:xf numFmtId="0" fontId="18" fillId="93" borderId="0" xfId="0" applyNumberFormat="1" applyFont="1" applyFill="1" applyBorder="1" applyAlignment="1">
      <x:alignment horizontal="center" vertical="center" wrapText="1"/>
    </x:xf>
    <x:xf numFmtId="0" fontId="0" fillId="94" borderId="0" xfId="0" applyNumberFormat="1" applyFont="1" applyFill="1" applyBorder="1"/>
    <x:xf numFmtId="0" fontId="15" fillId="94" borderId="0" xfId="0" applyNumberFormat="1" applyFont="1" applyFill="1" applyBorder="1"/>
    <x:xf numFmtId="0" fontId="14" fillId="95" borderId="0" xfId="0" applyNumberFormat="1" applyFont="1" applyFill="1" applyBorder="1" applyAlignment="1">
      <x:alignment vertical="center"/>
    </x:xf>
    <x:xf numFmtId="0" fontId="15" fillId="95" borderId="0" xfId="0" applyNumberFormat="1" applyFont="1" applyFill="1" applyBorder="1" applyAlignment="1">
      <x:alignment vertical="center"/>
    </x:xf>
    <x:xf numFmtId="0" fontId="4" fillId="91" borderId="0" xfId="0" applyNumberFormat="1" applyFont="1" applyFill="1" applyBorder="1" applyAlignment="1">
      <x:alignment wrapText="1"/>
    </x:xf>
    <x:xf numFmtId="0" fontId="4" fillId="91" borderId="0" xfId="0" applyNumberFormat="1" applyFont="1" applyFill="1" applyBorder="1" applyAlignment="1">
      <x:alignment horizontal="center" wrapText="1"/>
    </x:xf>
    <x:xf numFmtId="0" fontId="4" fillId="91" borderId="0" xfId="0" applyNumberFormat="1" applyFont="1" applyFill="1" applyBorder="1" applyAlignment="1">
      <x:alignment horizontal="center" vertical="center" wrapText="1"/>
    </x:xf>
    <x:xf numFmtId="0" fontId="14" fillId="95" borderId="0" xfId="0" applyNumberFormat="1" applyFont="1" applyFill="1" applyBorder="1" applyAlignment="1">
      <x:alignment vertical="center" wrapText="1"/>
    </x:xf>
    <x:xf numFmtId="0" fontId="14" fillId="93" borderId="0" xfId="0" applyNumberFormat="1" applyFont="1" applyFill="1" applyBorder="1" applyAlignment="1">
      <x:alignment vertical="center" wrapText="1"/>
    </x:xf>
    <x:xf numFmtId="0" fontId="14" fillId="92" borderId="0" xfId="0" applyNumberFormat="1" applyFont="1" applyFill="1" applyBorder="1" applyAlignment="1">
      <x:alignment vertical="center" wrapText="1"/>
    </x:xf>
    <x:xf numFmtId="0" fontId="14" fillId="96" borderId="0" xfId="0" applyNumberFormat="1" applyFont="1" applyFill="1" applyBorder="1" applyAlignment="1">
      <x:alignment vertical="center" wrapText="1"/>
    </x:xf>
    <x:xf numFmtId="0" fontId="0" fillId="95" borderId="0" xfId="0" applyNumberFormat="1" applyFont="1" applyFill="1" applyBorder="1"/>
    <x:xf numFmtId="0" fontId="15" fillId="95" borderId="0" xfId="0" applyNumberFormat="1" applyFont="1" applyFill="1" applyBorder="1"/>
    <x:xf numFmtId="0" fontId="14" fillId="92" borderId="0" xfId="0" applyNumberFormat="1" applyFont="1" applyFill="1" applyBorder="1"/>
    <x:xf numFmtId="0" fontId="14" fillId="92" borderId="0" xfId="0" applyNumberFormat="1" applyFont="1" applyFill="1" applyBorder="1" applyAlignment="1">
      <x:alignment wrapText="1"/>
    </x:xf>
    <x:xf numFmtId="0" fontId="15" fillId="92" borderId="0" xfId="0" applyNumberFormat="1" applyFont="1" applyFill="1" applyBorder="1"/>
    <x:xf numFmtId="0" fontId="15" fillId="92" borderId="0" xfId="0" applyNumberFormat="1" applyFont="1" applyFill="1" applyBorder="1" applyAlignment="1">
      <x:alignment wrapText="1"/>
    </x:xf>
    <x:xf numFmtId="201" fontId="14" fillId="92" borderId="0" xfId="0" applyNumberFormat="1" applyFont="1" applyFill="1" applyBorder="1" applyAlignment="1">
      <x:alignment wrapText="1"/>
    </x:xf>
    <x:xf numFmtId="201" fontId="15" fillId="92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4" fillId="97" borderId="6" xfId="0" applyNumberFormat="1" applyFont="1" applyFill="1" applyBorder="1"/>
    <x:xf numFmtId="0" fontId="15" fillId="97" borderId="6" xfId="0" applyNumberFormat="1" applyFont="1" applyFill="1" applyBorder="1"/>
    <x:xf numFmtId="203" fontId="15" fillId="97" borderId="6" xfId="0" applyNumberFormat="1" applyFont="1" applyFill="1" applyBorder="1"/>
    <x:xf numFmtId="203" fontId="15" fillId="97" borderId="6" xfId="0" applyNumberFormat="1" applyFont="1" applyFill="1" applyBorder="1" applyAlignment="1">
      <x:alignment horizontal="right"/>
    </x:xf>
    <x:xf numFmtId="0" fontId="14" fillId="98" borderId="6" xfId="0" applyNumberFormat="1" applyFont="1" applyFill="1" applyBorder="1"/>
    <x:xf numFmtId="0" fontId="17" fillId="98" borderId="6" xfId="0" applyNumberFormat="1" applyFont="1" applyFill="1" applyBorder="1"/>
    <x:xf numFmtId="0" fontId="15" fillId="99" borderId="0" xfId="0" applyNumberFormat="1" applyFont="1" applyFill="1" applyBorder="1"/>
    <x:xf numFmtId="0" fontId="15" fillId="99" borderId="0" xfId="0" applyNumberFormat="1" applyFont="1" applyFill="1" applyBorder="1" applyAlignment="1">
      <x:alignment vertical="center"/>
    </x:xf>
    <x:xf numFmtId="201" fontId="15" fillId="100" borderId="0" xfId="0" applyNumberFormat="1" applyFont="1" applyFill="1" applyBorder="1" applyAlignment="1">
      <x:alignment wrapText="1"/>
    </x:xf>
    <x:xf numFmtId="201" fontId="15" fillId="100" borderId="0" xfId="0" applyNumberFormat="1" applyFont="1" applyFill="1" applyBorder="1" applyAlignment="1">
      <x:alignment vertical="center" wrapText="1"/>
    </x:xf>
    <x:xf numFmtId="0" fontId="0" fillId="101" borderId="0" xfId="0" applyNumberFormat="1" applyFont="1" applyFill="1" applyBorder="1"/>
    <x:xf numFmtId="0" fontId="4" fillId="101" borderId="0" xfId="0" applyNumberFormat="1" applyFont="1" applyFill="1" applyBorder="1"/>
    <x:xf numFmtId="0" fontId="4" fillId="101" borderId="0" xfId="0" applyNumberFormat="1" applyFont="1" applyFill="1" applyBorder="1" applyAlignment="1">
      <x:alignment horizontal="center"/>
    </x:xf>
    <x:xf numFmtId="0" fontId="4" fillId="101" borderId="0" xfId="0" applyNumberFormat="1" applyFont="1" applyFill="1" applyBorder="1" applyAlignment="1">
      <x:alignment horizontal="center" vertical="center"/>
    </x:xf>
    <x:xf numFmtId="0" fontId="0" fillId="102" borderId="0" xfId="0" applyNumberFormat="1" applyFont="1" applyFill="1" applyBorder="1"/>
    <x:xf numFmtId="0" fontId="22" fillId="102" borderId="0" xfId="0" applyNumberFormat="1" applyFont="1" applyFill="1" applyBorder="1"/>
    <x:xf numFmtId="0" fontId="22" fillId="102" borderId="0" xfId="0" applyNumberFormat="1" applyFont="1" applyFill="1" applyBorder="1" applyAlignment="1">
      <x:alignment wrapText="1"/>
    </x:xf>
    <x:xf numFmtId="0" fontId="22" fillId="102" borderId="0" xfId="0" applyNumberFormat="1" applyFont="1" applyFill="1" applyBorder="1" applyAlignment="1">
      <x:alignment horizontal="center" wrapText="1"/>
    </x:xf>
    <x:xf numFmtId="0" fontId="22" fillId="102" borderId="0" xfId="0" applyNumberFormat="1" applyFont="1" applyFill="1" applyBorder="1" applyAlignment="1">
      <x:alignment horizontal="center" vertical="center" wrapText="1"/>
    </x:xf>
    <x:xf numFmtId="0" fontId="4" fillId="101" borderId="0" xfId="0" applyNumberFormat="1" applyFont="1" applyFill="1" applyBorder="1" applyAlignment="1">
      <x:alignment wrapText="1"/>
    </x:xf>
    <x:xf numFmtId="0" fontId="4" fillId="101" borderId="0" xfId="0" applyNumberFormat="1" applyFont="1" applyFill="1" applyBorder="1" applyAlignment="1">
      <x:alignment horizontal="center" wrapText="1"/>
    </x:xf>
    <x:xf numFmtId="0" fontId="4" fillId="101" borderId="0" xfId="0" applyNumberFormat="1" applyFont="1" applyFill="1" applyBorder="1" applyAlignment="1">
      <x:alignment horizontal="center" vertical="center" wrapText="1"/>
    </x:xf>
    <x:xf numFmtId="0" fontId="14" fillId="103" borderId="0" xfId="0" applyNumberFormat="1" applyFont="1" applyFill="1" applyBorder="1" applyAlignment="1">
      <x:alignment vertical="center" wrapText="1"/>
    </x:xf>
    <x:xf numFmtId="0" fontId="14" fillId="104" borderId="0" xfId="0" applyNumberFormat="1" applyFont="1" applyFill="1" applyBorder="1" applyAlignment="1">
      <x:alignment vertical="center" wrapText="1"/>
    </x:xf>
    <x:xf numFmtId="0" fontId="15" fillId="104" borderId="0" xfId="0" applyNumberFormat="1" applyFont="1" applyFill="1" applyBorder="1" applyAlignment="1">
      <x:alignment vertical="center" wrapText="1"/>
    </x:xf>
    <x:xf numFmtId="203" fontId="15" fillId="104" borderId="0" xfId="0" applyNumberFormat="1" applyFont="1" applyFill="1" applyBorder="1" applyAlignment="1">
      <x:alignment vertical="center" wrapText="1"/>
    </x:xf>
    <x:xf numFmtId="203" fontId="15" fillId="104" borderId="0" xfId="0" applyNumberFormat="1" applyFont="1" applyFill="1" applyBorder="1" applyAlignment="1">
      <x:alignment horizontal="right" vertical="center" wrapText="1"/>
    </x:xf>
    <x:xf numFmtId="0" fontId="14" fillId="105" borderId="0" xfId="0" applyNumberFormat="1" applyFont="1" applyFill="1" applyBorder="1" applyAlignment="1">
      <x:alignment vertical="center" wrapText="1"/>
    </x:xf>
    <x:xf numFmtId="0" fontId="14" fillId="106" borderId="0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15" fillId="107" borderId="0" xfId="0" applyNumberFormat="1" applyFont="1" applyFill="1" applyBorder="1"/>
    <x:xf numFmtId="201" fontId="14" fillId="105" borderId="0" xfId="0" applyNumberFormat="1" applyFont="1" applyFill="1" applyBorder="1" applyAlignment="1">
      <x:alignment vertical="center" wrapText="1"/>
    </x:xf>
    <x:xf numFmtId="203" fontId="14" fillId="105" borderId="0" xfId="0" applyNumberFormat="1" applyFont="1" applyFill="1" applyBorder="1" applyAlignment="1">
      <x:alignment vertical="center" wrapText="1"/>
    </x:xf>
    <x:xf numFmtId="0" fontId="14" fillId="108" borderId="6" xfId="0" applyNumberFormat="1" applyFont="1" applyFill="1" applyBorder="1"/>
    <x:xf numFmtId="0" fontId="15" fillId="108" borderId="6" xfId="0" applyNumberFormat="1" applyFont="1" applyFill="1" applyBorder="1"/>
    <x:xf numFmtId="203" fontId="15" fillId="108" borderId="6" xfId="0" applyNumberFormat="1" applyFont="1" applyFill="1" applyBorder="1"/>
    <x:xf numFmtId="203" fontId="15" fillId="108" borderId="6" xfId="0" applyNumberFormat="1" applyFont="1" applyFill="1" applyBorder="1" applyAlignment="1">
      <x:alignment horizontal="right"/>
    </x:xf>
    <x:xf numFmtId="0" fontId="14" fillId="109" borderId="6" xfId="0" applyNumberFormat="1" applyFont="1" applyFill="1" applyBorder="1"/>
    <x:xf numFmtId="0" fontId="17" fillId="109" borderId="6" xfId="0" applyNumberFormat="1" applyFont="1" applyFill="1" applyBorder="1"/>
    <x:xf numFmtId="0" fontId="0" fillId="110" borderId="0" xfId="0" applyNumberFormat="1" applyFont="1" applyFill="1" applyBorder="1"/>
    <x:xf numFmtId="0" fontId="4" fillId="110" borderId="0" xfId="0" applyNumberFormat="1" applyFont="1" applyFill="1" applyBorder="1"/>
    <x:xf numFmtId="0" fontId="4" fillId="110" borderId="0" xfId="0" applyNumberFormat="1" applyFont="1" applyFill="1" applyBorder="1" applyAlignment="1">
      <x:alignment wrapText="1"/>
    </x:xf>
    <x:xf numFmtId="0" fontId="4" fillId="110" borderId="0" xfId="0" applyNumberFormat="1" applyFont="1" applyFill="1" applyBorder="1" applyAlignment="1">
      <x:alignment horizontal="center" wrapText="1"/>
    </x:xf>
    <x:xf numFmtId="0" fontId="4" fillId="110" borderId="0" xfId="0" applyNumberFormat="1" applyFont="1" applyFill="1" applyBorder="1" applyAlignment="1">
      <x:alignment horizontal="center" vertical="center" wrapText="1"/>
    </x:xf>
    <x:xf numFmtId="0" fontId="0" fillId="111" borderId="0" xfId="0" applyNumberFormat="1" applyFont="1" applyFill="1" applyBorder="1"/>
    <x:xf numFmtId="0" fontId="14" fillId="111" borderId="0" xfId="0" applyNumberFormat="1" applyFont="1" applyFill="1" applyBorder="1"/>
    <x:xf numFmtId="0" fontId="14" fillId="111" borderId="0" xfId="0" applyNumberFormat="1" applyFont="1" applyFill="1" applyBorder="1" applyAlignment="1">
      <x:alignment wrapText="1"/>
    </x:xf>
    <x:xf numFmtId="0" fontId="14" fillId="111" borderId="0" xfId="0" applyNumberFormat="1" applyFont="1" applyFill="1" applyBorder="1" applyAlignment="1">
      <x:alignment vertical="center" wrapText="1"/>
    </x:xf>
    <x:xf numFmtId="0" fontId="14" fillId="112" borderId="6" xfId="0" applyNumberFormat="1" applyFont="1" applyFill="1" applyBorder="1"/>
    <x:xf numFmtId="0" fontId="15" fillId="112" borderId="6" xfId="0" applyNumberFormat="1" applyFont="1" applyFill="1" applyBorder="1"/>
    <x:xf numFmtId="203" fontId="15" fillId="112" borderId="6" xfId="0" applyNumberFormat="1" applyFont="1" applyFill="1" applyBorder="1"/>
    <x:xf numFmtId="203" fontId="15" fillId="112" borderId="6" xfId="0" applyNumberFormat="1" applyFont="1" applyFill="1" applyBorder="1" applyAlignment="1">
      <x:alignment horizontal="right"/>
    </x:xf>
    <x:xf numFmtId="0" fontId="14" fillId="113" borderId="6" xfId="0" applyNumberFormat="1" applyFont="1" applyFill="1" applyBorder="1"/>
    <x:xf numFmtId="0" fontId="17" fillId="113" borderId="6" xfId="0" applyNumberFormat="1" applyFont="1" applyFill="1" applyBorder="1"/>
    <x:xf numFmtId="0" fontId="4" fillId="114" borderId="0" xfId="0" applyNumberFormat="1" applyFont="1" applyFill="1" applyBorder="1" applyAlignment="1">
      <x:alignment horizontal="center" vertical="center" wrapText="1"/>
    </x:xf>
    <x:xf numFmtId="0" fontId="14" fillId="115" borderId="0" xfId="0" applyNumberFormat="1" applyFont="1" applyFill="1" applyBorder="1" applyAlignment="1">
      <x:alignment vertical="center" wrapText="1"/>
    </x:xf>
    <x:xf numFmtId="0" fontId="0" fillId="114" borderId="0" xfId="0" applyNumberFormat="1" applyFont="1" applyFill="1" applyBorder="1"/>
    <x:xf numFmtId="0" fontId="4" fillId="114" borderId="0" xfId="0" applyNumberFormat="1" applyFont="1" applyFill="1" applyBorder="1"/>
    <x:xf numFmtId="0" fontId="4" fillId="114" borderId="0" xfId="0" applyNumberFormat="1" applyFont="1" applyFill="1" applyBorder="1" applyAlignment="1">
      <x:alignment wrapText="1"/>
    </x:xf>
    <x:xf numFmtId="0" fontId="4" fillId="114" borderId="0" xfId="0" applyNumberFormat="1" applyFont="1" applyFill="1" applyBorder="1" applyAlignment="1">
      <x:alignment horizontal="center" wrapText="1"/>
    </x:xf>
    <x:xf numFmtId="0" fontId="0" fillId="115" borderId="0" xfId="0" applyNumberFormat="1" applyFont="1" applyFill="1" applyBorder="1"/>
    <x:xf numFmtId="0" fontId="14" fillId="115" borderId="0" xfId="0" applyNumberFormat="1" applyFont="1" applyFill="1" applyBorder="1"/>
    <x:xf numFmtId="0" fontId="14" fillId="115" borderId="0" xfId="0" applyNumberFormat="1" applyFont="1" applyFill="1" applyBorder="1" applyAlignment="1">
      <x:alignment wrapText="1"/>
    </x:xf>
    <x:xf numFmtId="0" fontId="15" fillId="6" borderId="6" xfId="0" applyNumberFormat="1" applyFont="1" applyFill="1" applyBorder="1"/>
    <x:xf numFmtId="203" fontId="15" fillId="116" borderId="6" xfId="0" applyNumberFormat="1" applyFont="1" applyFill="1" applyBorder="1" applyAlignment="1">
      <x:alignment horizontal="right"/>
    </x:xf>
    <x:xf numFmtId="0" fontId="15" fillId="117" borderId="6" xfId="0" applyNumberFormat="1" applyFont="1" applyFill="1" applyBorder="1"/>
    <x:xf numFmtId="0" fontId="17" fillId="117" borderId="6" xfId="0" applyNumberFormat="1" applyFont="1" applyFill="1" applyBorder="1"/>
    <x:xf numFmtId="0" fontId="4" fillId="118" borderId="0" xfId="0" applyNumberFormat="1" applyFont="1" applyFill="1" applyBorder="1" applyAlignment="1">
      <x:alignment horizontal="center" vertical="center" wrapText="1"/>
    </x:xf>
    <x:xf numFmtId="0" fontId="14" fillId="119" borderId="0" xfId="0" applyNumberFormat="1" applyFont="1" applyFill="1" applyBorder="1" applyAlignment="1">
      <x:alignment vertical="center" wrapText="1"/>
    </x:xf>
    <x:xf numFmtId="203" fontId="15" fillId="120" borderId="6" xfId="0" applyNumberFormat="1" applyFont="1" applyFill="1" applyBorder="1" applyAlignment="1">
      <x:alignment horizontal="right"/>
    </x:xf>
    <x:xf numFmtId="0" fontId="15" fillId="121" borderId="6" xfId="0" applyNumberFormat="1" applyFont="1" applyFill="1" applyBorder="1"/>
    <x:xf numFmtId="0" fontId="17" fillId="121" borderId="6" xfId="0" applyNumberFormat="1" applyFont="1" applyFill="1" applyBorder="1"/>
    <x:xf numFmtId="0" fontId="4" fillId="122" borderId="0" xfId="0" applyNumberFormat="1" applyFont="1" applyFill="1" applyBorder="1" applyAlignment="1">
      <x:alignment horizontal="center" vertical="center" wrapText="1"/>
    </x:xf>
    <x:xf numFmtId="0" fontId="14" fillId="123" borderId="0" xfId="0" applyNumberFormat="1" applyFont="1" applyFill="1" applyBorder="1" applyAlignment="1">
      <x:alignment vertical="center" wrapText="1"/>
    </x:xf>
    <x:xf numFmtId="203" fontId="15" fillId="124" borderId="6" xfId="0" applyNumberFormat="1" applyFont="1" applyFill="1" applyBorder="1" applyAlignment="1">
      <x:alignment horizontal="right"/>
    </x:xf>
    <x:xf numFmtId="0" fontId="15" fillId="125" borderId="6" xfId="0" applyNumberFormat="1" applyFont="1" applyFill="1" applyBorder="1"/>
    <x:xf numFmtId="0" fontId="17" fillId="125" borderId="6" xfId="0" applyNumberFormat="1" applyFont="1" applyFill="1" applyBorder="1"/>
    <x:xf numFmtId="0" fontId="4" fillId="126" borderId="0" xfId="0" applyNumberFormat="1" applyFont="1" applyFill="1" applyBorder="1" applyAlignment="1">
      <x:alignment horizontal="center" vertical="center" wrapText="1"/>
    </x:xf>
    <x:xf numFmtId="0" fontId="14" fillId="127" borderId="0" xfId="0" applyNumberFormat="1" applyFont="1" applyFill="1" applyBorder="1" applyAlignment="1">
      <x:alignment vertical="center" wrapText="1"/>
    </x:xf>
    <x:xf numFmtId="203" fontId="15" fillId="128" borderId="6" xfId="0" applyNumberFormat="1" applyFont="1" applyFill="1" applyBorder="1" applyAlignment="1">
      <x:alignment horizontal="right"/>
    </x:xf>
    <x:xf numFmtId="0" fontId="15" fillId="129" borderId="6" xfId="0" applyNumberFormat="1" applyFont="1" applyFill="1" applyBorder="1"/>
    <x:xf numFmtId="0" fontId="17" fillId="129" borderId="6" xfId="0" applyNumberFormat="1" applyFont="1" applyFill="1" applyBorder="1"/>
    <x:xf numFmtId="0" fontId="0" fillId="130" borderId="0" xfId="0" applyNumberFormat="1" applyFont="1" applyFill="1" applyBorder="1"/>
    <x:xf numFmtId="0" fontId="4" fillId="130" borderId="0" xfId="0" applyNumberFormat="1" applyFont="1" applyFill="1" applyBorder="1"/>
    <x:xf numFmtId="0" fontId="4" fillId="130" borderId="0" xfId="0" applyNumberFormat="1" applyFont="1" applyFill="1" applyBorder="1" applyAlignment="1">
      <x:alignment horizontal="center"/>
    </x:xf>
    <x:xf numFmtId="0" fontId="4" fillId="130" borderId="0" xfId="0" applyNumberFormat="1" applyFont="1" applyFill="1" applyBorder="1" applyAlignment="1">
      <x:alignment horizontal="center" vertical="center"/>
    </x:xf>
    <x:xf numFmtId="0" fontId="0" fillId="131" borderId="0" xfId="0" applyNumberFormat="1" applyFont="1" applyFill="1" applyBorder="1"/>
    <x:xf numFmtId="0" fontId="22" fillId="131" borderId="0" xfId="0" applyNumberFormat="1" applyFont="1" applyFill="1" applyBorder="1"/>
    <x:xf numFmtId="0" fontId="22" fillId="131" borderId="0" xfId="0" applyNumberFormat="1" applyFont="1" applyFill="1" applyBorder="1" applyAlignment="1">
      <x:alignment horizontal="center"/>
    </x:xf>
    <x:xf numFmtId="0" fontId="22" fillId="131" borderId="0" xfId="0" applyNumberFormat="1" applyFont="1" applyFill="1" applyBorder="1" applyAlignment="1">
      <x:alignment horizontal="center" vertical="center"/>
    </x:xf>
    <x:xf numFmtId="203" fontId="15" fillId="7" borderId="0" xfId="0" applyNumberFormat="1" applyFont="1" applyFill="1" applyBorder="1" applyAlignment="1">
      <x:alignment horizontal="right"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132" borderId="0" xfId="0" applyNumberFormat="1" applyFont="1" applyFill="1" applyBorder="1" applyAlignment="1">
      <x:alignment vertical="center" wrapText="1"/>
    </x:xf>
    <x:xf numFmtId="203" fontId="15" fillId="133" borderId="0" xfId="0" applyNumberFormat="1" applyFont="1" applyFill="1" applyBorder="1" applyAlignment="1">
      <x:alignment horizontal="right" vertical="center" wrapText="1"/>
    </x:xf>
    <x:xf numFmtId="0" fontId="14" fillId="134" borderId="0" xfId="0" applyNumberFormat="1" applyFont="1" applyFill="1" applyBorder="1" applyAlignment="1">
      <x:alignment vertical="center" wrapText="1"/>
    </x:xf>
    <x:xf numFmtId="0" fontId="14" fillId="135" borderId="0" xfId="0" applyNumberFormat="1" applyFont="1" applyFill="1" applyBorder="1" applyAlignment="1">
      <x:alignment vertical="center" wrapText="1"/>
    </x:xf>
    <x:xf numFmtId="0" fontId="15" fillId="134" borderId="0" xfId="0" applyNumberFormat="1" applyFont="1" applyFill="1" applyBorder="1" applyAlignment="1">
      <x:alignment vertical="center" wrapText="1"/>
    </x:xf>
    <x:xf numFmtId="203" fontId="15" fillId="134" borderId="0" xfId="0" applyNumberFormat="1" applyFont="1" applyFill="1" applyBorder="1" applyAlignment="1">
      <x:alignment vertical="center" wrapText="1"/>
    </x:xf>
    <x:xf numFmtId="203" fontId="15" fillId="134" borderId="0" xfId="0" applyNumberFormat="1" applyFont="1" applyFill="1" applyBorder="1" applyAlignment="1">
      <x:alignment horizontal="right" vertical="center" wrapText="1"/>
    </x:xf>
    <x:xf numFmtId="0" fontId="14" fillId="133" borderId="0" xfId="0" applyNumberFormat="1" applyFont="1" applyFill="1" applyBorder="1" applyAlignment="1">
      <x:alignment vertical="center" wrapText="1"/>
    </x:xf>
    <x:xf numFmtId="203" fontId="14" fillId="133" borderId="0" xfId="0" applyNumberFormat="1" applyFont="1" applyFill="1" applyBorder="1" applyAlignment="1">
      <x:alignment vertical="center" wrapText="1"/>
    </x:xf>
    <x:xf numFmtId="0" fontId="15" fillId="133" borderId="0" xfId="0" applyNumberFormat="1" applyFont="1" applyFill="1" applyBorder="1" applyAlignment="1">
      <x:alignment vertical="center" wrapText="1"/>
    </x:xf>
    <x:xf numFmtId="203" fontId="15" fillId="133" borderId="0" xfId="0" applyNumberFormat="1" applyFont="1" applyFill="1" applyBorder="1" applyAlignment="1">
      <x:alignment vertical="center" wrapText="1"/>
    </x:xf>
    <x:xf numFmtId="0" fontId="15" fillId="136" borderId="0" xfId="0" applyNumberFormat="1" applyFont="1" applyFill="1" applyBorder="1"/>
    <x:xf numFmtId="0" fontId="0" fillId="136" borderId="0" xfId="0" applyNumberFormat="1" applyFont="1" applyFill="1" applyBorder="1"/>
    <x:xf numFmtId="0" fontId="4" fillId="130" borderId="0" xfId="0" applyNumberFormat="1" applyFont="1" applyFill="1" applyBorder="1" applyAlignment="1">
      <x:alignment horizontal="center" vertical="center" wrapText="1"/>
    </x:xf>
    <x:xf numFmtId="0" fontId="4" fillId="130" borderId="0" xfId="0" applyNumberFormat="1" applyFont="1" applyFill="1" applyBorder="1" applyAlignment="1">
      <x:alignment wrapText="1"/>
    </x:xf>
    <x:xf numFmtId="0" fontId="4" fillId="130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vertical="center" wrapText="1"/>
    </x:xf>
    <x:xf numFmtId="203" fontId="14" fillId="6" borderId="0" xfId="0" applyNumberFormat="1" applyFont="1" applyFill="1" applyBorder="1" applyAlignment="1">
      <x:alignment vertical="center" wrapText="1"/>
    </x:xf>
    <x:xf numFmtId="201" fontId="14" fillId="6" borderId="0" xfId="0" applyNumberFormat="1" applyFont="1" applyFill="1" applyBorder="1" applyAlignment="1">
      <x:alignment vertical="center" wrapText="1"/>
    </x:xf>
    <x:xf numFmtId="203" fontId="14" fillId="134" borderId="0" xfId="0" applyNumberFormat="1" applyFont="1" applyFill="1" applyBorder="1" applyAlignment="1">
      <x:alignment vertical="center" wrapText="1"/>
    </x:xf>
    <x:xf numFmtId="201" fontId="14" fillId="134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0" fontId="0" fillId="137" borderId="0" xfId="0" applyNumberFormat="1" applyFont="1" applyFill="1" applyBorder="1"/>
    <x:xf numFmtId="0" fontId="4" fillId="137" borderId="0" xfId="0" applyNumberFormat="1" applyFont="1" applyFill="1" applyBorder="1"/>
    <x:xf numFmtId="0" fontId="4" fillId="137" borderId="0" xfId="0" applyNumberFormat="1" applyFont="1" applyFill="1" applyBorder="1" applyAlignment="1">
      <x:alignment wrapText="1"/>
    </x:xf>
    <x:xf numFmtId="0" fontId="4" fillId="137" borderId="0" xfId="0" applyNumberFormat="1" applyFont="1" applyFill="1" applyBorder="1" applyAlignment="1">
      <x:alignment horizontal="center" wrapText="1"/>
    </x:xf>
    <x:xf numFmtId="0" fontId="4" fillId="137" borderId="0" xfId="0" applyNumberFormat="1" applyFont="1" applyFill="1" applyBorder="1" applyAlignment="1">
      <x:alignment horizontal="center" vertical="center" wrapText="1"/>
    </x:xf>
    <x:xf numFmtId="0" fontId="0" fillId="138" borderId="0" xfId="0" applyNumberFormat="1" applyFont="1" applyFill="1" applyBorder="1"/>
    <x:xf numFmtId="0" fontId="14" fillId="138" borderId="0" xfId="0" applyNumberFormat="1" applyFont="1" applyFill="1" applyBorder="1"/>
    <x:xf numFmtId="0" fontId="14" fillId="138" borderId="0" xfId="0" applyNumberFormat="1" applyFont="1" applyFill="1" applyBorder="1" applyAlignment="1">
      <x:alignment wrapText="1"/>
    </x:xf>
    <x:xf numFmtId="0" fontId="14" fillId="138" borderId="0" xfId="0" applyNumberFormat="1" applyFont="1" applyFill="1" applyBorder="1" applyAlignment="1">
      <x:alignment vertical="center" wrapText="1"/>
    </x:xf>
    <x:xf numFmtId="201" fontId="14" fillId="138" borderId="0" xfId="0" applyNumberFormat="1" applyFont="1" applyFill="1" applyBorder="1" applyAlignment="1">
      <x:alignment vertical="center" wrapText="1"/>
    </x:xf>
    <x:xf numFmtId="0" fontId="14" fillId="139" borderId="0" xfId="0" applyNumberFormat="1" applyFont="1" applyFill="1" applyBorder="1" applyAlignment="1">
      <x:alignment vertical="center" wrapText="1"/>
    </x:xf>
    <x:xf numFmtId="0" fontId="0" fillId="139" borderId="0" xfId="0" applyNumberFormat="1" applyFont="1" applyFill="1" applyBorder="1"/>
    <x:xf numFmtId="0" fontId="14" fillId="139" borderId="0" xfId="0" applyNumberFormat="1" applyFont="1" applyFill="1" applyBorder="1"/>
    <x:xf numFmtId="0" fontId="14" fillId="139" borderId="0" xfId="0" applyNumberFormat="1" applyFont="1" applyFill="1" applyBorder="1" applyAlignment="1">
      <x:alignment wrapText="1"/>
    </x:xf>
    <x:xf numFmtId="205" fontId="14" fillId="139" borderId="0" xfId="0" applyNumberFormat="1" applyFont="1" applyFill="1" applyBorder="1" applyAlignment="1">
      <x:alignment vertical="center" wrapText="1"/>
    </x:xf>
    <x:xf numFmtId="0" fontId="14" fillId="139" borderId="6" xfId="0" applyNumberFormat="1" applyFont="1" applyFill="1" applyBorder="1"/>
    <x:xf numFmtId="0" fontId="15" fillId="139" borderId="6" xfId="0" applyNumberFormat="1" applyFont="1" applyFill="1" applyBorder="1"/>
    <x:xf numFmtId="203" fontId="15" fillId="139" borderId="6" xfId="0" applyNumberFormat="1" applyFont="1" applyFill="1" applyBorder="1"/>
    <x:xf numFmtId="203" fontId="15" fillId="139" borderId="6" xfId="0" applyNumberFormat="1" applyFont="1" applyFill="1" applyBorder="1" applyAlignment="1">
      <x:alignment horizontal="right"/>
    </x:xf>
    <x:xf numFmtId="0" fontId="14" fillId="138" borderId="6" xfId="0" applyNumberFormat="1" applyFont="1" applyFill="1" applyBorder="1"/>
    <x:xf numFmtId="0" fontId="17" fillId="138" borderId="6" xfId="0" applyNumberFormat="1" applyFont="1" applyFill="1" applyBorder="1"/>
    <x:xf numFmtId="0" fontId="17" fillId="138" borderId="6" xfId="0" applyNumberFormat="1" applyFont="1" applyFill="1" applyBorder="1" applyAlignment="1">
      <x:alignment wrapText="1"/>
    </x:xf>
  </x:cellXfs>
  <x:cellStyles count="1">
    <x:cellStyle name="Normal" xfId="0"/>
  </x:cellStyles>
  <x:dxfs count="184">
    <x:dxf>
      <x:font>
        <x:b/>
        <x:color rgb="FF375623"/>
      </x:font>
      <x:fill>
        <x:patternFill>
          <x:bgColor rgb="FFC6E0B4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b/>
        <x:color rgb="FFC65911"/>
      </x:font>
      <x:fill>
        <x:patternFill>
          <x:bgColor rgb="FFFCE4D6"/>
        </x:patternFill>
      </x:fill>
    </x:dxf>
    <x:dxf>
      <x:font>
        <x:color rgb="FF7030A0"/>
      </x:font>
      <x:fill>
        <x:patternFill>
          <x:bgColor rgb="FFE4DFE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337bc89574e7b" /><Relationship Type="http://schemas.openxmlformats.org/officeDocument/2006/relationships/theme" Target="/xl/theme/theme1.xml" Id="R907efcdac7bf4f15" /><Relationship Type="http://schemas.openxmlformats.org/officeDocument/2006/relationships/sharedStrings" Target="/xl/sharedStrings.xml" Id="R7dc0e62b9320487c" /><Relationship Type="http://schemas.openxmlformats.org/officeDocument/2006/relationships/worksheet" Target="/xl/worksheets/sheet1.xml" Id="R827bdccead4f4c5b" /><Relationship Type="http://schemas.openxmlformats.org/officeDocument/2006/relationships/worksheet" Target="/xl/worksheets/sheet2.xml" Id="Rdc4075f18d4145ae" /><Relationship Type="http://schemas.openxmlformats.org/officeDocument/2006/relationships/worksheet" Target="/xl/worksheets/sheet3.xml" Id="R7eadd6b044ca4610" /><Relationship Type="http://schemas.openxmlformats.org/officeDocument/2006/relationships/worksheet" Target="/xl/worksheets/sheet4.xml" Id="Ra08e0bc5f5a64277" /><Relationship Type="http://schemas.openxmlformats.org/officeDocument/2006/relationships/worksheet" Target="/xl/worksheets/sheet5.xml" Id="Recae94f32cc94cba" /><Relationship Type="http://schemas.openxmlformats.org/officeDocument/2006/relationships/worksheet" Target="/xl/worksheets/sheet6.xml" Id="R8e75254398a74940" /><Relationship Type="http://schemas.openxmlformats.org/officeDocument/2006/relationships/worksheet" Target="/xl/worksheets/sheet7.xml" Id="R4e6fcbb860b04802" /><Relationship Type="http://schemas.openxmlformats.org/officeDocument/2006/relationships/worksheet" Target="/xl/worksheets/sheet8.xml" Id="Rced15fbbef994511" /><Relationship Type="http://schemas.openxmlformats.org/officeDocument/2006/relationships/worksheet" Target="/xl/worksheets/sheet9.xml" Id="Rc7586219e25b4e4c" /><Relationship Type="http://schemas.openxmlformats.org/officeDocument/2006/relationships/worksheet" Target="/xl/worksheets/sheet10.xml" Id="R9cf6af5581bd4929" /><Relationship Type="http://schemas.openxmlformats.org/officeDocument/2006/relationships/worksheet" Target="/xl/worksheets/sheet11.xml" Id="R1e6270ddbe6641b2" /><Relationship Type="http://schemas.openxmlformats.org/officeDocument/2006/relationships/worksheet" Target="/xl/worksheets/sheet12.xml" Id="R5e3906df53214b20" /><Relationship Type="http://schemas.openxmlformats.org/officeDocument/2006/relationships/worksheet" Target="/xl/worksheets/sheet13.xml" Id="Rc6bad3f36c6440b4" /><Relationship Type="http://schemas.openxmlformats.org/officeDocument/2006/relationships/worksheet" Target="/xl/worksheets/sheet14.xml" Id="Rc6c8ce7f691c480e" /><Relationship Type="http://schemas.openxmlformats.org/officeDocument/2006/relationships/worksheet" Target="/xl/worksheets/sheet15.xml" Id="Rec628a14de28455e" /><Relationship Type="http://schemas.openxmlformats.org/officeDocument/2006/relationships/worksheet" Target="/xl/worksheets/sheet16.xml" Id="Rda8b57b548584af4" /><Relationship Type="http://schemas.openxmlformats.org/officeDocument/2006/relationships/worksheet" Target="/xl/worksheets/sheet17.xml" Id="R488e41374d104ec1" /><Relationship Type="http://schemas.openxmlformats.org/officeDocument/2006/relationships/worksheet" Target="/xl/worksheets/sheet18.xml" Id="R869b3eadf2b04770" /><Relationship Type="http://schemas.openxmlformats.org/officeDocument/2006/relationships/worksheet" Target="/xl/worksheets/sheet19.xml" Id="Rf3b6127e41df455b" /><Relationship Type="http://schemas.openxmlformats.org/officeDocument/2006/relationships/worksheet" Target="/xl/worksheets/sheet20.xml" Id="R8b56a3537e21451f" /><Relationship Type="http://schemas.openxmlformats.org/officeDocument/2006/relationships/worksheet" Target="/xl/worksheets/sheet21.xml" Id="R82c81ada55b84fac" /><Relationship Type="http://schemas.openxmlformats.org/officeDocument/2006/relationships/worksheet" Target="/xl/worksheets/sheet22.xml" Id="R2e8519fadd734359" /><Relationship Type="http://schemas.openxmlformats.org/officeDocument/2006/relationships/worksheet" Target="/xl/worksheets/sheet23.xml" Id="R35f830fbb6344970" /><Relationship Type="http://schemas.openxmlformats.org/officeDocument/2006/relationships/worksheet" Target="/xl/worksheets/sheet24.xml" Id="R8373ff26829d4f38" /><Relationship Type="http://schemas.openxmlformats.org/officeDocument/2006/relationships/worksheet" Target="/xl/worksheets/sheet25.xml" Id="R051bf9dfcd994d48" /><Relationship Type="http://schemas.openxmlformats.org/officeDocument/2006/relationships/worksheet" Target="/xl/worksheets/sheet26.xml" Id="R4816c1273b714ceb" /><Relationship Type="http://schemas.openxmlformats.org/officeDocument/2006/relationships/worksheet" Target="/xl/worksheets/sheet27.xml" Id="R01cd9bb075554ce6" /><Relationship Type="http://schemas.openxmlformats.org/officeDocument/2006/relationships/worksheet" Target="/xl/worksheets/sheet28.xml" Id="R7e4611979fb04334" /><Relationship Type="http://schemas.openxmlformats.org/officeDocument/2006/relationships/worksheet" Target="/xl/worksheets/sheet29.xml" Id="R6d10de795ad841cd" /><Relationship Type="http://schemas.openxmlformats.org/officeDocument/2006/relationships/worksheet" Target="/xl/worksheets/sheet30.xml" Id="Rf137851ffac14f43" /><Relationship Type="http://schemas.openxmlformats.org/officeDocument/2006/relationships/worksheet" Target="/xl/worksheets/sheet31.xml" Id="R9a63976b0e4e428c" /><Relationship Type="http://schemas.openxmlformats.org/officeDocument/2006/relationships/worksheet" Target="/xl/worksheets/sheet32.xml" Id="Rd9fee17dbdc2432f" /><Relationship Type="http://schemas.openxmlformats.org/officeDocument/2006/relationships/worksheet" Target="/xl/worksheets/sheet33.xml" Id="Rbbe5d6428f514e84" /><Relationship Type="http://schemas.openxmlformats.org/officeDocument/2006/relationships/worksheet" Target="/xl/worksheets/sheet34.xml" Id="Rf5ecbf85e36b473e" /><Relationship Type="http://schemas.openxmlformats.org/officeDocument/2006/relationships/worksheet" Target="/xl/worksheets/sheet35.xml" Id="R80f73cfc9df24b83" /><Relationship Type="http://schemas.openxmlformats.org/officeDocument/2006/relationships/worksheet" Target="/xl/worksheets/sheet36.xml" Id="Rc296a7a16955483b" /><Relationship Type="http://schemas.openxmlformats.org/officeDocument/2006/relationships/worksheet" Target="/xl/worksheets/sheet37.xml" Id="R5d936142608f4908" /><Relationship Type="http://schemas.openxmlformats.org/officeDocument/2006/relationships/worksheet" Target="/xl/worksheets/sheet38.xml" Id="R518ab44cccb84d1f" /><Relationship Type="http://schemas.openxmlformats.org/officeDocument/2006/relationships/worksheet" Target="/xl/worksheets/sheet39.xml" Id="Rd22835441c434e62" /><Relationship Type="http://schemas.openxmlformats.org/officeDocument/2006/relationships/worksheet" Target="/xl/worksheets/sheet40.xml" Id="Rfdcbd668bbe64207" /><Relationship Type="http://schemas.openxmlformats.org/officeDocument/2006/relationships/worksheet" Target="/xl/worksheets/sheet41.xml" Id="Rd4217f52f3ee4a99" /><Relationship Type="http://schemas.openxmlformats.org/officeDocument/2006/relationships/worksheet" Target="/xl/worksheets/sheet42.xml" Id="R0efae41a1cac411c" /><Relationship Type="http://schemas.openxmlformats.org/officeDocument/2006/relationships/worksheet" Target="/xl/worksheets/sheet43.xml" Id="R65d8d6bf17a74384" /><Relationship Type="http://schemas.openxmlformats.org/officeDocument/2006/relationships/worksheet" Target="/xl/worksheets/sheet44.xml" Id="Re5c4013246f64a51" /><Relationship Type="http://schemas.openxmlformats.org/officeDocument/2006/relationships/worksheet" Target="/xl/worksheets/sheet45.xml" Id="R4243b4a7280940e1" /></Relationships>
</file>

<file path=xl/tables/table1.xml><?xml version="1.0" encoding="utf-8"?>
<x:table xmlns:x="http://schemas.openxmlformats.org/spreadsheetml/2006/main" id="1" name="SchedulingSkillSummary" displayName="SchedulingSkillSummary" ref="A6:P20" headerRowCount="1" totalsRowCount="0" totalsRowShown="0">
  <x:tableColumns count="16">
    <x:tableColumn id="1" name="員工編號"/>
    <x:tableColumn id="2" name="姓名"/>
    <x:tableColumn id="3" name="原表等級"/>
    <x:tableColumn id="4" name="行政班"/>
    <x:tableColumn id="5" name="流動工作"/>
    <x:tableColumn id="6" name="衛教"/>
    <x:tableColumn id="7" name="李柄輝醫師"/>
    <x:tableColumn id="8" name="李侑津醫師"/>
    <x:tableColumn id="9" name="廖立揚醫師"/>
    <x:tableColumn id="10" name="楊小瑩醫師"/>
    <x:tableColumn id="11" name="王俊偉醫師"/>
    <x:tableColumn id="12" name="許馨文醫師"/>
    <x:tableColumn id="13" name="林晏妤醫師"/>
    <x:tableColumn id="14" name="謝耀慶醫師"/>
    <x:tableColumn id="15" name="陳醫師"/>
    <x:tableColumn id="16" name="櫃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DetailTable" displayName="SkillDetailTable" ref="A6:I1644" headerRowCount="1" totalsRowCount="0" totalsRowShown="0">
  <x:tableColumns count="9">
    <x:tableColumn id="1" name="員工編號"/>
    <x:tableColumn id="2" name="姓名"/>
    <x:tableColumn id="3" name="等級"/>
    <x:tableColumn id="4" name="工作區塊"/>
    <x:tableColumn id="5" name="分類"/>
    <x:tableColumn id="6" name="技能項目"/>
    <x:tableColumn id="7" name="評等符號"/>
    <x:tableColumn id="8" name="評等說明"/>
    <x:tableColumn id="9" name="原表列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vpDataDictionary" displayName="MvpDataDictionary" ref="A6:F24" headerRowCount="1" totalsRowCount="0" totalsRowShown="0">
  <x:autoFilter ref="A6:F24"/>
  <x:tableColumns count="6">
    <x:tableColumn id="1" name="表代碼"/>
    <x:tableColumn id="2" name="邏輯資料表"/>
    <x:tableColumn id="3" name="本次建置"/>
    <x:tableColumn id="4" name="主鍵"/>
    <x:tableColumn id="5" name="最小欄位"/>
    <x:tableColumn id="6" name="用途／規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elSettings" displayName="ModelSettings" ref="A6:E24" headerRowCount="1" totalsRowCount="0" totalsRowShown="0">
  <x:autoFilter ref="A6:E24"/>
  <x:tableColumns count="5">
    <x:tableColumn id="1" name="規則類別"/>
    <x:tableColumn id="2" name="參數代碼"/>
    <x:tableColumn id="3" name="參數值"/>
    <x:tableColumn id="4" name="確認狀態"/>
    <x:tableColumn id="5" name="說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killMasterV1" displayName="SkillMasterV1" ref="A6:K24" headerRowCount="1" totalsRowCount="0" totalsRowShown="0">
  <x:autoFilter ref="A6:K24"/>
  <x:tableColumns count="11">
    <x:tableColumn id="1" name="技能代碼"/>
    <x:tableColumn id="2" name="標準名稱"/>
    <x:tableColumn id="3" name="技能類型"/>
    <x:tableColumn id="4" name="來源工作區塊"/>
    <x:tableColumn id="5" name="來源分類"/>
    <x:tableColumn id="6" name="來源文字"/>
    <x:tableColumn id="7" name="風險／複評類型"/>
    <x:tableColumn id="8" name="半年複評"/>
    <x:tableColumn id="9" name="週期（月）"/>
    <x:tableColumn id="10" name="狀態"/>
    <x:tableColumn id="11" name="備註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TreatmentModes" displayName="LiTreatmentModes" ref="A6:O19" headerRowCount="1" totalsRowCount="0" totalsRowShown="0">
  <x:autoFilter ref="A6:O19"/>
  <x:tableColumns count="15">
    <x:tableColumn id="1" name="模式代碼"/>
    <x:tableColumn id="2" name="醫師"/>
    <x:tableColumn id="3" name="模式群組"/>
    <x:tableColumn id="4" name="治療項目"/>
    <x:tableColumn id="5" name="療程階段"/>
    <x:tableColumn id="6" name="複雜度"/>
    <x:tableColumn id="7" name="一般需求人數"/>
    <x:tableColumn id="8" name="條件排支援名額"/>
    <x:tableColumn id="9" name="固定短時支援人數"/>
    <x:tableColumn id="10" name="預設支援分鐘"/>
    <x:tableColumn id="11" name="跟診熟悉度要求"/>
    <x:tableColumn id="12" name="版本"/>
    <x:tableColumn id="13" name="生效日"/>
    <x:tableColumn id="14" name="狀態"/>
    <x:tableColumn id="15" name="備註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ModeRequirements" displayName="LiModeRequirements" ref="A6:L59" headerRowCount="1" totalsRowCount="0" totalsRowShown="0">
  <x:autoFilter ref="A6:L59"/>
  <x:tableColumns count="12">
    <x:tableColumn id="1" name="要求代碼"/>
    <x:tableColumn id="2" name="模式代碼"/>
    <x:tableColumn id="3" name="治療項目"/>
    <x:tableColumn id="4" name="療程階段"/>
    <x:tableColumn id="5" name="技能代碼"/>
    <x:tableColumn id="6" name="人員角色"/>
    <x:tableColumn id="7" name="必要性"/>
    <x:tableColumn id="8" name="獨立最低評等"/>
    <x:tableColumn id="9" name="條件排最低評等"/>
    <x:tableColumn id="10" name="支援規則"/>
    <x:tableColumn id="11" name="確認狀態"/>
    <x:tableColumn id="12" name="版本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ilotEmployees" displayName="PilotEmployees" ref="A6:I20" headerRowCount="1" totalsRowCount="0" totalsRowShown="0">
  <x:autoFilter ref="A6:I20"/>
  <x:tableColumns count="9">
    <x:tableColumn id="1" name="員工編號"/>
    <x:tableColumn id="2" name="姓名"/>
    <x:tableColumn id="3" name="聘用型態"/>
    <x:tableColumn id="4" name="原表職級"/>
    <x:tableColumn id="5" name="能力路徑"/>
    <x:tableColumn id="6" name="主要培訓組"/>
    <x:tableColumn id="7" name="日常主管"/>
    <x:tableColumn id="8" name="在職狀態"/>
    <x:tableColumn id="9" name="資料來源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ilotAbilityStatus" displayName="PilotAbilityStatus" ref="A6:L258" headerRowCount="1" totalsRowCount="0" totalsRowShown="0">
  <x:autoFilter ref="A6:L258"/>
  <x:tableColumns count="12">
    <x:tableColumn id="1" name="員工編號"/>
    <x:tableColumn id="2" name="姓名"/>
    <x:tableColumn id="3" name="技能代碼"/>
    <x:tableColumn id="4" name="來源技能文字"/>
    <x:tableColumn id="5" name="目前評等"/>
    <x:tableColumn id="6" name="有效狀態"/>
    <x:tableColumn id="7" name="來源類型"/>
    <x:tableColumn id="8" name="基準日"/>
    <x:tableColumn id="9" name="核定人"/>
    <x:tableColumn id="10" name="核定日"/>
    <x:tableColumn id="11" name="原表列號"/>
    <x:tableColumn id="12" name="查找鍵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ilotFamiliarity" displayName="PilotFamiliarity" ref="A6:K20" headerRowCount="1" totalsRowCount="0" totalsRowShown="0">
  <x:autoFilter ref="A6:K20"/>
  <x:tableColumns count="11">
    <x:tableColumn id="1" name="員工編號"/>
    <x:tableColumn id="2" name="姓名"/>
    <x:tableColumn id="3" name="醫師"/>
    <x:tableColumn id="4" name="來源符號"/>
    <x:tableColumn id="5" name="初步熟悉度"/>
    <x:tableColumn id="6" name="有效狀態"/>
    <x:tableColumn id="7" name="轉換依據"/>
    <x:tableColumn id="8" name="基準日"/>
    <x:tableColumn id="9" name="核定人"/>
    <x:tableColumn id="10" name="核定日"/>
    <x:tableColumn id="11" name="查找鍵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ilotQualifications" displayName="PilotQualifications" ref="A6:L62" headerRowCount="1" totalsRowCount="0" totalsRowShown="0">
  <x:autoFilter ref="A6:L62"/>
  <x:tableColumns count="12">
    <x:tableColumn id="1" name="員工編號"/>
    <x:tableColumn id="2" name="姓名"/>
    <x:tableColumn id="3" name="技能代碼"/>
    <x:tableColumn id="4" name="目前評等"/>
    <x:tableColumn id="5" name="資格狀態"/>
    <x:tableColumn id="6" name="有效起日"/>
    <x:tableColumn id="7" name="到期日"/>
    <x:tableColumn id="8" name="寬限天數"/>
    <x:tableColumn id="9" name="補考日"/>
    <x:tableColumn id="10" name="寬限到期日"/>
    <x:tableColumn id="11" name="備註"/>
    <x:tableColumn id="12" name="查找鍵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tRequirementExpansion" displayName="FitRequirementExpansion" ref="A6:Q734" headerRowCount="1" totalsRowCount="0" totalsRowShown="0">
  <x:autoFilter ref="A6:Q734"/>
  <x:tableColumns count="17">
    <x:tableColumn id="1" name="員工編號"/>
    <x:tableColumn id="2" name="姓名"/>
    <x:tableColumn id="3" name="模式代碼"/>
    <x:tableColumn id="4" name="治療項目"/>
    <x:tableColumn id="5" name="療程階段"/>
    <x:tableColumn id="6" name="複雜度"/>
    <x:tableColumn id="7" name="技能代碼"/>
    <x:tableColumn id="8" name="必要性"/>
    <x:tableColumn id="9" name="要求確認狀態"/>
    <x:tableColumn id="10" name="獨立最低評等"/>
    <x:tableColumn id="11" name="條件排最低評等"/>
    <x:tableColumn id="12" name="目前評等"/>
    <x:tableColumn id="13" name="能力有效狀態"/>
    <x:tableColumn id="14" name="技能判定"/>
    <x:tableColumn id="15" name="跟診熟悉度"/>
    <x:tableColumn id="16" name="熟悉度有效狀態"/>
    <x:tableColumn id="17" name="支援規則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itSimulation" displayName="FitSimulation" ref="A6:U188" headerRowCount="1" totalsRowCount="0" totalsRowShown="0">
  <x:autoFilter ref="A6:U188"/>
  <x:tableColumns count="21">
    <x:tableColumn id="1" name="員工編號"/>
    <x:tableColumn id="2" name="姓名"/>
    <x:tableColumn id="3" name="模式代碼"/>
    <x:tableColumn id="4" name="模式群組"/>
    <x:tableColumn id="5" name="治療項目"/>
    <x:tableColumn id="6" name="療程階段"/>
    <x:tableColumn id="7" name="複雜度"/>
    <x:tableColumn id="8" name="主技能代碼"/>
    <x:tableColumn id="9" name="要求技能數"/>
    <x:tableColumn id="10" name="待確認要求數"/>
    <x:tableColumn id="11" name="低於 Ø 項數"/>
    <x:tableColumn id="12" name="Ø 項數"/>
    <x:tableColumn id="13" name="Ø 比例"/>
    <x:tableColumn id="14" name="跟診熟悉度"/>
    <x:tableColumn id="15" name="資料核定狀態"/>
    <x:tableColumn id="16" name="資格狀態"/>
    <x:tableColumn id="17" name="固定短時支援人數"/>
    <x:tableColumn id="18" name="預設支援分鐘"/>
    <x:tableColumn id="19" name="能力試算結果"/>
    <x:tableColumn id="20" name="支援需求"/>
    <x:tableColumn id="21" name="正式狀態／待辦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pdSupportCandidates" displayName="RpdSupportCandidates" ref="A6:I20" headerRowCount="1" totalsRowCount="0" totalsRowShown="0">
  <x:autoFilter ref="A6:I20"/>
  <x:tableColumns count="9">
    <x:tableColumn id="1" name="員工編號"/>
    <x:tableColumn id="2" name="姓名"/>
    <x:tableColumn id="3" name="技能代碼"/>
    <x:tableColumn id="4" name="目前評等"/>
    <x:tableColumn id="5" name="能力有效狀態"/>
    <x:tableColumn id="6" name="資格狀態"/>
    <x:tableColumn id="7" name="需李醫師熟悉度"/>
    <x:tableColumn id="8" name="候選結果"/>
    <x:tableColumn id="9" name="原因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hiftDemandInput" displayName="ShiftDemandInput" ref="A6:L36" headerRowCount="1" totalsRowCount="0" totalsRowShown="0">
  <x:tableColumns count="12">
    <x:tableColumn id="1" name="需求編號"/>
    <x:tableColumn id="2" name="日期"/>
    <x:tableColumn id="3" name="開始時間"/>
    <x:tableColumn id="4" name="結束時間"/>
    <x:tableColumn id="5" name="醫師"/>
    <x:tableColumn id="6" name="模式代碼"/>
    <x:tableColumn id="7" name="療程確認"/>
    <x:tableColumn id="8" name="主跟診需求人數"/>
    <x:tableColumn id="9" name="固定短時支援人數"/>
    <x:tableColumn id="10" name="預設支援分鐘"/>
    <x:tableColumn id="11" name="資料狀態"/>
    <x:tableColumn id="12" name="備註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30" name="ScheduleConfirmations" displayName="ScheduleConfirmations" ref="M6:X36" headerRowCount="1" totalsRowCount="0" totalsRowShown="0">
  <x:tableColumns count="12">
    <x:tableColumn id="1" name="三週前截止日"/>
    <x:tableColumn id="2" name="三週標記人"/>
    <x:tableColumn id="3" name="三週標記日"/>
    <x:tableColumn id="4" name="一週前截止日"/>
    <x:tableColumn id="5" name="一週確認人"/>
    <x:tableColumn id="6" name="一週確認日"/>
    <x:tableColumn id="7" name="診前確認結果"/>
    <x:tableColumn id="8" name="異動類型"/>
    <x:tableColumn id="9" name="異動說明"/>
    <x:tableColumn id="10" name="人力處理狀態"/>
    <x:tableColumn id="11" name="處理主管"/>
    <x:tableColumn id="12" name="確認流程狀態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38" name="FormalShiftEntryValidation" displayName="FormalShiftEntryValidation" ref="Y6:AF36" headerRowCount="1" totalsRowCount="0" totalsRowShown="0">
  <x:tableColumns count="8">
    <x:tableColumn id="1" name="編號檢核"/>
    <x:tableColumn id="2" name="必填檢核"/>
    <x:tableColumn id="3" name="日期時間檢核"/>
    <x:tableColumn id="4" name="醫師模式檢核"/>
    <x:tableColumn id="5" name="人力參數檢核"/>
    <x:tableColumn id="6" name="基本建檔狀態"/>
    <x:tableColumn id="7" name="正式流程狀態"/>
    <x:tableColumn id="8" name="下一步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6" name="ShiftAssignments" displayName="ShiftAssignments" ref="A6:R66" headerRowCount="1" totalsRowCount="0" totalsRowShown="0">
  <x:tableColumns count="18">
    <x:tableColumn id="1" name="配置編號"/>
    <x:tableColumn id="2" name="需求編號"/>
    <x:tableColumn id="3" name="員工編號"/>
    <x:tableColumn id="4" name="姓名"/>
    <x:tableColumn id="5" name="角色"/>
    <x:tableColumn id="6" name="可用支援名額"/>
    <x:tableColumn id="7" name="當班可調度"/>
    <x:tableColumn id="8" name="模式代碼"/>
    <x:tableColumn id="9" name="能力試算結果"/>
    <x:tableColumn id="10" name="正式狀態"/>
    <x:tableColumn id="11" name="角色資格檢核"/>
    <x:tableColumn id="12" name="支援占用名額"/>
    <x:tableColumn id="13" name="日期"/>
    <x:tableColumn id="14" name="開始時間"/>
    <x:tableColumn id="15" name="結束時間"/>
    <x:tableColumn id="16" name="時段重疊數"/>
    <x:tableColumn id="17" name="配置狀態"/>
    <x:tableColumn id="18" name="備註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7" name="ShiftChecks" displayName="ShiftChecks" ref="A6:R36" headerRowCount="1" totalsRowCount="0" totalsRowShown="0">
  <x:tableColumns count="18">
    <x:tableColumn id="1" name="需求編號"/>
    <x:tableColumn id="2" name="日期"/>
    <x:tableColumn id="3" name="開始"/>
    <x:tableColumn id="4" name="結束"/>
    <x:tableColumn id="5" name="模式代碼"/>
    <x:tableColumn id="6" name="治療項目"/>
    <x:tableColumn id="7" name="療程確認"/>
    <x:tableColumn id="8" name="主跟診需求"/>
    <x:tableColumn id="9" name="已配置主跟診"/>
    <x:tableColumn id="10" name="試算可用主跟診"/>
    <x:tableColumn id="11" name="正式可用主跟診"/>
    <x:tableColumn id="12" name="支援需求名額"/>
    <x:tableColumn id="13" name="可用支援名額"/>
    <x:tableColumn id="14" name="短時支援需求"/>
    <x:tableColumn id="15" name="已配置短時支援"/>
    <x:tableColumn id="16" name="衝突配置數"/>
    <x:tableColumn id="17" name="班次結果"/>
    <x:tableColumn id="18" name="下一步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31" name="ScheduleReleaseStatus" displayName="ScheduleReleaseStatus" ref="R6:U36" headerRowCount="1" totalsRowCount="0" totalsRowShown="0">
  <x:tableColumns count="4">
    <x:tableColumn id="1" name="資料狀態"/>
    <x:tableColumn id="2" name="確認流程狀態"/>
    <x:tableColumn id="3" name="異動類型"/>
    <x:tableColumn id="4" name="發布狀態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8" name="SupervisorApprovals" displayName="SupervisorApprovals" ref="A11:K372" headerRowCount="1" totalsRowCount="0" totalsRowShown="0">
  <x:tableColumns count="11">
    <x:tableColumn id="1" name="核定鍵"/>
    <x:tableColumn id="2" name="核定類型"/>
    <x:tableColumn id="3" name="員工／治療"/>
    <x:tableColumn id="4" name="核定對象"/>
    <x:tableColumn id="5" name="目前狀態"/>
    <x:tableColumn id="6" name="建議內容"/>
    <x:tableColumn id="7" name="主管決定"/>
    <x:tableColumn id="8" name="生效日"/>
    <x:tableColumn id="9" name="核定人"/>
    <x:tableColumn id="10" name="核定備註"/>
    <x:tableColumn id="11" name="核定結果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19" name="ChecklistVersions" displayName="ChecklistVersions" ref="A6:F13" headerRowCount="1" totalsRowCount="0" totalsRowShown="0">
  <x:tableColumns count="6">
    <x:tableColumn id="1" name="檢核表代碼"/>
    <x:tableColumn id="2" name="適用技能／類別"/>
    <x:tableColumn id="3" name="版本"/>
    <x:tableColumn id="4" name="建立日"/>
    <x:tableColumn id="5" name="發布狀態"/>
    <x:tableColumn id="6" name="項目結構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0" name="AssessmentRecords" displayName="AssessmentRecords" ref="A6:Q106" headerRowCount="1" totalsRowCount="0" totalsRowShown="0">
  <x:tableColumns count="17">
    <x:tableColumn id="1" name="考核編號"/>
    <x:tableColumn id="2" name="考核日"/>
    <x:tableColumn id="3" name="員工編號"/>
    <x:tableColumn id="4" name="姓名"/>
    <x:tableColumn id="5" name="技能代碼"/>
    <x:tableColumn id="6" name="檢核表代碼"/>
    <x:tableColumn id="7" name="檢核表版本"/>
    <x:tableColumn id="8" name="考核人"/>
    <x:tableColumn id="9" name="關鍵必要未通過數"/>
    <x:tableColumn id="10" name="一般必要需提醒數"/>
    <x:tableColumn id="11" name="觀察項目問題"/>
    <x:tableColumn id="12" name="整體結果"/>
    <x:tableColumn id="13" name="建議評等"/>
    <x:tableColumn id="14" name="改善事項"/>
    <x:tableColumn id="15" name="助理已知悉"/>
    <x:tableColumn id="16" name="知悉日"/>
    <x:tableColumn id="17" name="異議狀態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1" name="WorkObservations" displayName="WorkObservations" ref="A6:N206" headerRowCount="1" totalsRowCount="0" totalsRowShown="0">
  <x:tableColumns count="14">
    <x:tableColumn id="1" name="觀察編號"/>
    <x:tableColumn id="2" name="日期"/>
    <x:tableColumn id="3" name="員工編號"/>
    <x:tableColumn id="4" name="姓名"/>
    <x:tableColumn id="5" name="醫師"/>
    <x:tableColumn id="6" name="模式代碼"/>
    <x:tableColumn id="7" name="技能代碼"/>
    <x:tableColumn id="8" name="獨立完成"/>
    <x:tableColumn id="9" name="需要提醒"/>
    <x:tableColumn id="10" name="關鍵遺漏"/>
    <x:tableColumn id="11" name="觀察人"/>
    <x:tableColumn id="12" name="備註"/>
    <x:tableColumn id="13" name="成功觀察"/>
    <x:tableColumn id="14" name="查找鍵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2" name="InterviewAppeals" displayName="InterviewAppeals" ref="A6:L106" headerRowCount="1" totalsRowCount="0" totalsRowShown="0">
  <x:tableColumns count="12">
    <x:tableColumn id="1" name="紀錄編號"/>
    <x:tableColumn id="2" name="日期"/>
    <x:tableColumn id="3" name="員工編號"/>
    <x:tableColumn id="4" name="姓名"/>
    <x:tableColumn id="5" name="類型"/>
    <x:tableColumn id="6" name="關聯技能"/>
    <x:tableColumn id="7" name="主管結論"/>
    <x:tableColumn id="8" name="助理已知悉"/>
    <x:tableColumn id="9" name="異議狀態"/>
    <x:tableColumn id="10" name="複核人"/>
    <x:tableColumn id="11" name="最終決定"/>
    <x:tableColumn id="12" name="備註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3" name="RecheckTasks" displayName="RecheckTasks" ref="A6:J62" headerRowCount="1" totalsRowCount="0" totalsRowShown="0">
  <x:tableColumns count="10">
    <x:tableColumn id="1" name="員工編號"/>
    <x:tableColumn id="2" name="姓名"/>
    <x:tableColumn id="3" name="技能代碼"/>
    <x:tableColumn id="4" name="目前評等"/>
    <x:tableColumn id="5" name="資格狀態"/>
    <x:tableColumn id="6" name="到期日"/>
    <x:tableColumn id="7" name="寬限天數"/>
    <x:tableColumn id="8" name="補考日"/>
    <x:tableColumn id="9" name="剩餘天數"/>
    <x:tableColumn id="10" name="處理建議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4" name="AbilityUpgradeCandidates" displayName="AbilityUpgradeCandidates" ref="A6:R258" headerRowCount="1" totalsRowCount="0" totalsRowShown="0">
  <x:tableColumns count="18">
    <x:tableColumn id="1" name="升級鍵"/>
    <x:tableColumn id="2" name="員工編號"/>
    <x:tableColumn id="3" name="姓名"/>
    <x:tableColumn id="4" name="技能代碼"/>
    <x:tableColumn id="5" name="基準評等"/>
    <x:tableColumn id="6" name="基準核定狀態"/>
    <x:tableColumn id="7" name="成功觀察數"/>
    <x:tableColumn id="8" name="首次成功日"/>
    <x:tableColumn id="9" name="最近成功日"/>
    <x:tableColumn id="10" name="觀察日證據"/>
    <x:tableColumn id="11" name="關鍵遺漏數"/>
    <x:tableColumn id="12" name="兩個月面談數"/>
    <x:tableColumn id="13" name="候選狀態"/>
    <x:tableColumn id="14" name="主管決定"/>
    <x:tableColumn id="15" name="生效日"/>
    <x:tableColumn id="16" name="核定人"/>
    <x:tableColumn id="17" name="核定備註"/>
    <x:tableColumn id="18" name="升級結果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5" name="QualificationRecovery" displayName="QualificationRecovery" ref="A6:S62" headerRowCount="1" totalsRowCount="0" totalsRowShown="0">
  <x:tableColumns count="19">
    <x:tableColumn id="1" name="恢復鍵"/>
    <x:tableColumn id="2" name="員工編號"/>
    <x:tableColumn id="3" name="姓名"/>
    <x:tableColumn id="4" name="技能代碼"/>
    <x:tableColumn id="5" name="基準評等"/>
    <x:tableColumn id="6" name="原資格狀態"/>
    <x:tableColumn id="7" name="原有效起日"/>
    <x:tableColumn id="8" name="原到期日"/>
    <x:tableColumn id="9" name="停權／失效原因"/>
    <x:tableColumn id="10" name="補訓完成日"/>
    <x:tableColumn id="11" name="複評考核編號"/>
    <x:tableColumn id="12" name="複評結果"/>
    <x:tableColumn id="13" name="考核資料一致"/>
    <x:tableColumn id="14" name="主管決定"/>
    <x:tableColumn id="15" name="新生效日"/>
    <x:tableColumn id="16" name="新到期日"/>
    <x:tableColumn id="17" name="核定人"/>
    <x:tableColumn id="18" name="核定備註"/>
    <x:tableColumn id="19" name="恢復結果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6" name="IncidentRestrictions" displayName="IncidentRestrictions" ref="A6:R106" headerRowCount="1" totalsRowCount="0" totalsRowShown="0">
  <x:tableColumns count="18">
    <x:tableColumn id="1" name="事件編號"/>
    <x:tableColumn id="2" name="發生日"/>
    <x:tableColumn id="3" name="員工編號"/>
    <x:tableColumn id="4" name="姓名"/>
    <x:tableColumn id="5" name="技能代碼"/>
    <x:tableColumn id="6" name="醫師"/>
    <x:tableColumn id="7" name="模式代碼"/>
    <x:tableColumn id="8" name="事件級別"/>
    <x:tableColumn id="9" name="建議處理"/>
    <x:tableColumn id="10" name="實際影響"/>
    <x:tableColumn id="11" name="潛在影響"/>
    <x:tableColumn id="12" name="事件說明"/>
    <x:tableColumn id="13" name="主管決定"/>
    <x:tableColumn id="14" name="限制起日"/>
    <x:tableColumn id="15" name="限制迄日"/>
    <x:tableColumn id="16" name="核定人"/>
    <x:tableColumn id="17" name="限制狀態"/>
    <x:tableColumn id="18" name="調查／複評狀態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7" name="DoctorModeRuleInput" displayName="DoctorModeRuleInput" ref="A6:P156" headerRowCount="1" totalsRowCount="0" totalsRowShown="0">
  <x:tableColumns count="16">
    <x:tableColumn id="1" name="規則編號"/>
    <x:tableColumn id="2" name="醫師"/>
    <x:tableColumn id="3" name="醫師型態"/>
    <x:tableColumn id="4" name="模式代碼"/>
    <x:tableColumn id="5" name="治療項目"/>
    <x:tableColumn id="6" name="療程階段"/>
    <x:tableColumn id="7" name="複雜度"/>
    <x:tableColumn id="8" name="主跟診需求人數"/>
    <x:tableColumn id="9" name="支援需求人數"/>
    <x:tableColumn id="10" name="短時支援分鐘"/>
    <x:tableColumn id="11" name="療程確認提前天數"/>
    <x:tableColumn id="12" name="版本"/>
    <x:tableColumn id="13" name="生效日"/>
    <x:tableColumn id="14" name="核定狀態"/>
    <x:tableColumn id="15" name="核定人"/>
    <x:tableColumn id="16" name="備註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8" name="MobilityLevelRuleInput" displayName="MobilityLevelRuleInput" ref="A6:L126" headerRowCount="1" totalsRowCount="0" totalsRowShown="0">
  <x:tableColumns count="12">
    <x:tableColumn id="1" name="規則編號"/>
    <x:tableColumn id="2" name="能力路徑"/>
    <x:tableColumn id="3" name="流動級別"/>
    <x:tableColumn id="4" name="任務／技能代碼"/>
    <x:tableColumn id="5" name="任務／技能名稱"/>
    <x:tableColumn id="6" name="最低評等"/>
    <x:tableColumn id="7" name="必要性"/>
    <x:tableColumn id="8" name="版本"/>
    <x:tableColumn id="9" name="生效日"/>
    <x:tableColumn id="10" name="核定狀態"/>
    <x:tableColumn id="11" name="核定人"/>
    <x:tableColumn id="12" name="備註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29" name="GradeMatrixRuleInput" displayName="GradeMatrixRuleInput" ref="A6:K156" headerRowCount="1" totalsRowCount="0" totalsRowShown="0">
  <x:tableColumns count="11">
    <x:tableColumn id="1" name="規則編號"/>
    <x:tableColumn id="2" name="正式職級"/>
    <x:tableColumn id="3" name="條件類型"/>
    <x:tableColumn id="4" name="條件代碼／名稱"/>
    <x:tableColumn id="5" name="最低標準"/>
    <x:tableColumn id="6" name="必要性"/>
    <x:tableColumn id="7" name="版本"/>
    <x:tableColumn id="8" name="生效日"/>
    <x:tableColumn id="9" name="核定狀態"/>
    <x:tableColumn id="10" name="核定人"/>
    <x:tableColumn id="11" name="備註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2" name="ConsultationScheduleView" displayName="ConsultationScheduleView" ref="A10:T40" headerRowCount="1" totalsRowCount="0" totalsRowShown="0">
  <x:tableColumns count="20">
    <x:tableColumn id="1" name="需求編號"/>
    <x:tableColumn id="2" name="資料狀態"/>
    <x:tableColumn id="3" name="日期"/>
    <x:tableColumn id="4" name="開始"/>
    <x:tableColumn id="5" name="結束"/>
    <x:tableColumn id="6" name="醫師"/>
    <x:tableColumn id="7" name="治療項目"/>
    <x:tableColumn id="8" name="模式代碼"/>
    <x:tableColumn id="9" name="療程確認"/>
    <x:tableColumn id="10" name="主跟診需求"/>
    <x:tableColumn id="11" name="支援需求名額"/>
    <x:tableColumn id="12" name="短時支援人數"/>
    <x:tableColumn id="13" name="支援分鐘"/>
    <x:tableColumn id="14" name="三週截止日"/>
    <x:tableColumn id="15" name="一週截止日"/>
    <x:tableColumn id="16" name="確認流程"/>
    <x:tableColumn id="17" name="異動類型"/>
    <x:tableColumn id="18" name="人力處理狀態"/>
    <x:tableColumn id="19" name="發布狀態"/>
    <x:tableColumn id="20" name="下一步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3" name="SupportQualifications" displayName="SupportQualifications" ref="A6:P188" headerRowCount="1" totalsRowCount="0" totalsRowShown="0">
  <x:tableColumns count="16">
    <x:tableColumn id="1" name="支援資格鍵"/>
    <x:tableColumn id="2" name="員工編號"/>
    <x:tableColumn id="3" name="姓名"/>
    <x:tableColumn id="4" name="模式代碼"/>
    <x:tableColumn id="5" name="治療項目"/>
    <x:tableColumn id="6" name="複雜度"/>
    <x:tableColumn id="7" name="能力試算結果"/>
    <x:tableColumn id="8" name="正式適配狀態"/>
    <x:tableColumn id="9" name="建議支援類型"/>
    <x:tableColumn id="10" name="主管決定"/>
    <x:tableColumn id="11" name="生效日"/>
    <x:tableColumn id="12" name="核定人"/>
    <x:tableColumn id="13" name="核定備註"/>
    <x:tableColumn id="14" name="支援資格結果"/>
    <x:tableColumn id="15" name="核定名額上限"/>
    <x:tableColumn id="16" name="可支援高複雜度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4" name="EmployeeGovernanceApproval" displayName="EmployeeGovernanceApproval" ref="A6:P106" headerRowCount="1" totalsRowCount="0" totalsRowShown="0">
  <x:tableColumns count="16">
    <x:tableColumn id="1" name="治理紀錄鍵"/>
    <x:tableColumn id="2" name="員工編號"/>
    <x:tableColumn id="3" name="姓名"/>
    <x:tableColumn id="4" name="聘用型態"/>
    <x:tableColumn id="5" name="原表職級"/>
    <x:tableColumn id="6" name="核定能力路徑"/>
    <x:tableColumn id="7" name="主要培訓組"/>
    <x:tableColumn id="8" name="日常主管"/>
    <x:tableColumn id="9" name="新正式職級"/>
    <x:tableColumn id="10" name="生效日"/>
    <x:tableColumn id="11" name="核定狀態"/>
    <x:tableColumn id="12" name="核定人"/>
    <x:tableColumn id="13" name="核定原因"/>
    <x:tableColumn id="14" name="收件檢核"/>
    <x:tableColumn id="15" name="歷程狀態"/>
    <x:tableColumn id="16" name="生效員工鍵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5" name="SkillNameMapping" displayName="SkillNameMapping" ref="A6:V123" headerRowCount="1" totalsRowCount="0" totalsRowShown="0">
  <x:tableColumns count="22">
    <x:tableColumn id="1" name="對照鍵"/>
    <x:tableColumn id="2" name="來源工作區塊"/>
    <x:tableColumn id="3" name="來源分類"/>
    <x:tableColumn id="4" name="來源技能文字"/>
    <x:tableColumn id="5" name="納入員工數"/>
    <x:tableColumn id="6" name="有評等人數"/>
    <x:tableColumn id="7" name="原表列號"/>
    <x:tableColumn id="8" name="建議標準名稱"/>
    <x:tableColumn id="9" name="建議類型"/>
    <x:tableColumn id="10" name="建議標準代碼"/>
    <x:tableColumn id="11" name="建議處理"/>
    <x:tableColumn id="12" name="主管決定"/>
    <x:tableColumn id="13" name="核定標準名稱"/>
    <x:tableColumn id="14" name="核定標準代碼"/>
    <x:tableColumn id="15" name="生效日"/>
    <x:tableColumn id="16" name="核定人"/>
    <x:tableColumn id="17" name="備註"/>
    <x:tableColumn id="18" name="收件檢核"/>
    <x:tableColumn id="19" name="最終標準名稱"/>
    <x:tableColumn id="20" name="最終標準代碼"/>
    <x:tableColumn id="21" name="代碼檢核"/>
    <x:tableColumn id="22" name="發布狀態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6" name="ChecklistItems" displayName="ChecklistItems" ref="A6:P106" headerRowCount="1" totalsRowCount="0" totalsRowShown="0">
  <x:tableColumns count="16">
    <x:tableColumn id="1" name="項目鍵"/>
    <x:tableColumn id="2" name="檢核表代碼"/>
    <x:tableColumn id="3" name="適用技能／類別"/>
    <x:tableColumn id="4" name="版本"/>
    <x:tableColumn id="5" name="技能分項"/>
    <x:tableColumn id="6" name="項次"/>
    <x:tableColumn id="7" name="項目類型"/>
    <x:tableColumn id="8" name="操作檢核項目"/>
    <x:tableColumn id="9" name="通過標準"/>
    <x:tableColumn id="10" name="證據／紀錄方式"/>
    <x:tableColumn id="11" name="啟用"/>
    <x:tableColumn id="12" name="主管決定"/>
    <x:tableColumn id="13" name="生效日"/>
    <x:tableColumn id="14" name="核定人"/>
    <x:tableColumn id="15" name="備註"/>
    <x:tableColumn id="16" name="收件檢核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7" name="SchedulingExceptions" displayName="SchedulingExceptions" ref="A6:U106" headerRowCount="1" totalsRowCount="0" totalsRowShown="0">
  <x:tableColumns count="21">
    <x:tableColumn id="1" name="例外紀錄鍵"/>
    <x:tableColumn id="2" name="需求編號"/>
    <x:tableColumn id="3" name="班次日期"/>
    <x:tableColumn id="4" name="原班次結果"/>
    <x:tableColumn id="5" name="原發布狀態"/>
    <x:tableColumn id="6" name="例外類型"/>
    <x:tableColumn id="7" name="例外原因"/>
    <x:tableColumn id="8" name="補償措施"/>
    <x:tableColumn id="9" name="相關配置編號"/>
    <x:tableColumn id="10" name="佐證／核定依據"/>
    <x:tableColumn id="11" name="申請人"/>
    <x:tableColumn id="12" name="申請日"/>
    <x:tableColumn id="13" name="有效日期"/>
    <x:tableColumn id="14" name="主管決定"/>
    <x:tableColumn id="15" name="核定人"/>
    <x:tableColumn id="16" name="核定日"/>
    <x:tableColumn id="17" name="紀錄狀態"/>
    <x:tableColumn id="18" name="收件檢核"/>
    <x:tableColumn id="19" name="安全閘門"/>
    <x:tableColumn id="20" name="生效狀態"/>
    <x:tableColumn id="21" name="生效需求鍵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ModeSkillRequirementInput" displayName="ModeSkillRequirementInput" ref="A6:S306" headerRowCount="1" totalsRowCount="0" totalsRowShown="0">
  <x:tableColumns count="19">
    <x:tableColumn id="1" name="要求編號"/>
    <x:tableColumn id="2" name="模式代碼"/>
    <x:tableColumn id="3" name="醫師"/>
    <x:tableColumn id="4" name="技能代碼"/>
    <x:tableColumn id="5" name="人員角色"/>
    <x:tableColumn id="6" name="必要性"/>
    <x:tableColumn id="7" name="獨立最低評等"/>
    <x:tableColumn id="8" name="條件排最低評等"/>
    <x:tableColumn id="9" name="資格要求"/>
    <x:tableColumn id="10" name="支援規則"/>
    <x:tableColumn id="11" name="版本"/>
    <x:tableColumn id="12" name="生效日"/>
    <x:tableColumn id="13" name="核定狀態"/>
    <x:tableColumn id="14" name="核定人"/>
    <x:tableColumn id="15" name="來源文件／版本"/>
    <x:tableColumn id="16" name="來源定位"/>
    <x:tableColumn id="17" name="備註"/>
    <x:tableColumn id="18" name="收件檢核"/>
    <x:tableColumn id="19" name="下一步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UnifiedSchedulingModes" displayName="UnifiedSchedulingModes" ref="A6:Q169" headerRowCount="1" totalsRowCount="0" totalsRowShown="0">
  <x:tableColumns count="17">
    <x:tableColumn id="1" name="模式代碼"/>
    <x:tableColumn id="2" name="醫師"/>
    <x:tableColumn id="3" name="治療項目"/>
    <x:tableColumn id="4" name="療程階段"/>
    <x:tableColumn id="5" name="複雜度"/>
    <x:tableColumn id="6" name="主跟診需求"/>
    <x:tableColumn id="7" name="支援需求"/>
    <x:tableColumn id="8" name="支援分鐘"/>
    <x:tableColumn id="9" name="提前確認天數"/>
    <x:tableColumn id="10" name="來源規則"/>
    <x:tableColumn id="11" name="模式規則狀態"/>
    <x:tableColumn id="12" name="要求總數"/>
    <x:tableColumn id="13" name="已發布要求"/>
    <x:tableColumn id="14" name="主跟診必備要求"/>
    <x:tableColumn id="15" name="要求集狀態"/>
    <x:tableColumn id="16" name="排班建檔狀態"/>
    <x:tableColumn id="17" name="排班下拉代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c055d43b4847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f68db22acf4f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d8cf42bc1d41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d22ee2ceb041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0f91b5174f40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8d7f0205f344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4261e3aac14c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b99aa271b449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ce32b0a3d064e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1294de6103f49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6be1660200e4e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c463c844d064b5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003e71633974ac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0beb780c9cf420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15196ba4e9c84931" /><Relationship Type="http://schemas.openxmlformats.org/officeDocument/2006/relationships/table" Target="/xl/tables/table16.xml" Id="Rc47c270f7f994f9b" /><Relationship Type="http://schemas.openxmlformats.org/officeDocument/2006/relationships/table" Target="/xl/tables/table17.xml" Id="R43cf2fcede68459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bd6771a97024cb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afb317593a74e25" /><Relationship Type="http://schemas.openxmlformats.org/officeDocument/2006/relationships/table" Target="/xl/tables/table20.xml" Id="R9f39f46ef5a244f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9532cb9773bc42e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c58b3fed893e476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3.xml" Id="R13ca26bc511b489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4.xml" Id="Re8dbe6f63a414ea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5.xml" Id="Re144d41d42cd45d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6.xml" Id="Rd17f92a28bb14fe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7.xml" Id="R80a52d3194e84ef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8.xml" Id="R9e3e3fa351984ae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f047bd05a28b479b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99826da2f98b454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4c4b9f78b4774f5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3818f18ec8da4730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b81a7d3a1e6b497c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0a6e74a146a4446c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a1da8fa2666246a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53a9256b1eb24d8c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4d4ae9892e594a6e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7bce86452feb4cba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39.xml" Id="Rbde9d151d94a4736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0.xml" Id="R486b01aa40224eb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2">
      <x:c r="A2" s="2" t="str">
        <x:v>助理排班能力摘要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5" t="str">
        <x:v>依 2026-09-01 工作能力表初步判定。Ø 不超過 3 項列為可支援；有 △、※ 或缺評則不列為熟練。行政班目前依指定名單。</x:v>
      </x:c>
    </x:row>
    <x:row r="6" ht="24" customHeight="1">
      <x:c r="A6" s="11" t="str">
        <x:v>員工編號</x:v>
      </x:c>
      <x:c r="B6" s="11" t="str">
        <x:v>姓名</x:v>
      </x:c>
      <x:c r="C6" s="11" t="str">
        <x:v>原表等級</x:v>
      </x:c>
      <x:c r="D6" s="11" t="str">
        <x:v>行政班</x:v>
      </x:c>
      <x:c r="E6" s="11" t="str">
        <x:v>流動工作</x:v>
      </x:c>
      <x:c r="F6" s="11" t="str">
        <x:v>衛教</x:v>
      </x:c>
      <x:c r="G6" s="11" t="str">
        <x:v>李柄輝醫師</x:v>
      </x:c>
      <x:c r="H6" s="11" t="str">
        <x:v>李侑津醫師</x:v>
      </x:c>
      <x:c r="I6" s="11" t="str">
        <x:v>廖立揚醫師</x:v>
      </x:c>
      <x:c r="J6" s="11" t="str">
        <x:v>楊小瑩醫師</x:v>
      </x:c>
      <x:c r="K6" s="11" t="str">
        <x:v>王俊偉醫師</x:v>
      </x:c>
      <x:c r="L6" s="11" t="str">
        <x:v>許馨文醫師</x:v>
      </x:c>
      <x:c r="M6" s="11" t="str">
        <x:v>林晏妤醫師</x:v>
      </x:c>
      <x:c r="N6" s="11" t="str">
        <x:v>謝耀慶醫師</x:v>
      </x:c>
      <x:c r="O6" s="11" t="str">
        <x:v>陳醫師</x:v>
      </x:c>
      <x:c r="P6" s="11" t="str">
        <x:v>櫃台</x:v>
      </x:c>
    </x:row>
    <x:row r="7" ht="24" customHeight="1">
      <x:c r="A7" s="15" t="str">
        <x:v>1001</x:v>
      </x:c>
      <x:c r="B7" s="14" t="str"/>
      <x:c r="C7" s="16" t="str">
        <x:v>Lv.10</x:v>
      </x:c>
      <x:c r="D7" s="18" t="str">
        <x:v>可排</x:v>
      </x:c>
      <x:c r="E7" s="17" t="str">
        <x:v>熟練</x:v>
      </x:c>
      <x:c r="F7" s="17" t="str">
        <x:v>熟練</x:v>
      </x:c>
      <x:c r="G7" s="17" t="str">
        <x:v>熟練</x:v>
      </x:c>
      <x:c r="H7" s="17" t="str">
        <x:v>熟練</x:v>
      </x:c>
      <x:c r="I7" s="17" t="str">
        <x:v>熟練</x:v>
      </x:c>
      <x:c r="J7" s="17" t="str">
        <x:v>學習中</x:v>
      </x:c>
      <x:c r="K7" s="17" t="str">
        <x:v>熟練</x:v>
      </x:c>
      <x:c r="L7" s="17" t="str">
        <x:v>熟練</x:v>
      </x:c>
      <x:c r="M7" s="17" t="str">
        <x:v>熟練</x:v>
      </x:c>
      <x:c r="N7" s="17" t="str">
        <x:v>熟練</x:v>
      </x:c>
      <x:c r="O7" s="17" t="str">
        <x:v>可支援</x:v>
      </x:c>
      <x:c r="P7" s="17" t="str">
        <x:v>熟練</x:v>
      </x:c>
    </x:row>
    <x:row r="8" ht="24" customHeight="1">
      <x:c r="A8" s="15" t="str">
        <x:v>1004</x:v>
      </x:c>
      <x:c r="B8" s="14" t="str"/>
      <x:c r="C8" s="16" t="str">
        <x:v>Lv.8</x:v>
      </x:c>
      <x:c r="D8" s="18" t="str">
        <x:v>可排</x:v>
      </x:c>
      <x:c r="E8" s="17" t="str">
        <x:v>熟練</x:v>
      </x:c>
      <x:c r="F8" s="17" t="str">
        <x:v>熟練</x:v>
      </x:c>
      <x:c r="G8" s="17" t="str">
        <x:v>熟練</x:v>
      </x:c>
      <x:c r="H8" s="17" t="str">
        <x:v>熟練</x:v>
      </x:c>
      <x:c r="I8" s="17" t="str">
        <x:v>熟練</x:v>
      </x:c>
      <x:c r="J8" s="17" t="str">
        <x:v>學習中</x:v>
      </x:c>
      <x:c r="K8" s="17" t="str">
        <x:v>熟練</x:v>
      </x:c>
      <x:c r="L8" s="17" t="str">
        <x:v>熟練</x:v>
      </x:c>
      <x:c r="M8" s="17" t="str">
        <x:v>熟練</x:v>
      </x:c>
      <x:c r="N8" s="17" t="str">
        <x:v>熟練</x:v>
      </x:c>
      <x:c r="O8" s="17" t="str">
        <x:v>需加強</x:v>
      </x:c>
      <x:c r="P8" s="17" t="str">
        <x:v>熟練</x:v>
      </x:c>
    </x:row>
    <x:row r="9" ht="24" customHeight="1">
      <x:c r="A9" s="15" t="str">
        <x:v>1013</x:v>
      </x:c>
      <x:c r="B9" s="14" t="str"/>
      <x:c r="C9" s="16" t="str">
        <x:v>Lv.7</x:v>
      </x:c>
      <x:c r="D9" s="18" t="str">
        <x:v>可排</x:v>
      </x:c>
      <x:c r="E9" s="17" t="str">
        <x:v>熟練</x:v>
      </x:c>
      <x:c r="F9" s="17" t="str">
        <x:v>熟練</x:v>
      </x:c>
      <x:c r="G9" s="17" t="str">
        <x:v>熟練</x:v>
      </x:c>
      <x:c r="H9" s="17" t="str">
        <x:v>熟練</x:v>
      </x:c>
      <x:c r="I9" s="17" t="str">
        <x:v>熟練</x:v>
      </x:c>
      <x:c r="J9" s="17" t="str">
        <x:v>學習中</x:v>
      </x:c>
      <x:c r="K9" s="17" t="str">
        <x:v>熟練</x:v>
      </x:c>
      <x:c r="L9" s="17" t="str">
        <x:v>熟練</x:v>
      </x:c>
      <x:c r="M9" s="17" t="str">
        <x:v>熟練</x:v>
      </x:c>
      <x:c r="N9" s="17" t="str">
        <x:v>熟練</x:v>
      </x:c>
      <x:c r="O9" s="17" t="str">
        <x:v>需加強</x:v>
      </x:c>
      <x:c r="P9" s="17" t="str">
        <x:v>熟練</x:v>
      </x:c>
    </x:row>
    <x:row r="10" ht="24" customHeight="1">
      <x:c r="A10" s="15" t="str">
        <x:v>1019</x:v>
      </x:c>
      <x:c r="B10" s="14" t="str"/>
      <x:c r="C10" s="16" t="str">
        <x:v>Lv.6</x:v>
      </x:c>
      <x:c r="D10" s="18" t="str">
        <x:v>待確認</x:v>
      </x:c>
      <x:c r="E10" s="17" t="str">
        <x:v>熟練</x:v>
      </x:c>
      <x:c r="F10" s="17" t="str">
        <x:v>熟練</x:v>
      </x:c>
      <x:c r="G10" s="17" t="str">
        <x:v>熟練</x:v>
      </x:c>
      <x:c r="H10" s="17" t="str">
        <x:v>熟練</x:v>
      </x:c>
      <x:c r="I10" s="17" t="str">
        <x:v>熟練</x:v>
      </x:c>
      <x:c r="J10" s="17" t="str">
        <x:v>學習中</x:v>
      </x:c>
      <x:c r="K10" s="17" t="str">
        <x:v>熟練</x:v>
      </x:c>
      <x:c r="L10" s="17" t="str">
        <x:v>熟練</x:v>
      </x:c>
      <x:c r="M10" s="17" t="str">
        <x:v>熟練</x:v>
      </x:c>
      <x:c r="N10" s="17" t="str">
        <x:v>熟練</x:v>
      </x:c>
      <x:c r="O10" s="17" t="str">
        <x:v>學習中</x:v>
      </x:c>
      <x:c r="P10" s="17" t="str">
        <x:v>熟練</x:v>
      </x:c>
    </x:row>
    <x:row r="11" ht="24" customHeight="1">
      <x:c r="A11" s="15" t="str">
        <x:v>1020</x:v>
      </x:c>
      <x:c r="B11" s="14" t="str"/>
      <x:c r="C11" s="16" t="str">
        <x:v>Lv.5</x:v>
      </x:c>
      <x:c r="D11" s="18" t="str">
        <x:v>待確認</x:v>
      </x:c>
      <x:c r="E11" s="17" t="str">
        <x:v>熟練</x:v>
      </x:c>
      <x:c r="F11" s="17" t="str">
        <x:v>熟練</x:v>
      </x:c>
      <x:c r="G11" s="17" t="str">
        <x:v>熟練</x:v>
      </x:c>
      <x:c r="H11" s="17" t="str">
        <x:v>熟練</x:v>
      </x:c>
      <x:c r="I11" s="17" t="str">
        <x:v>熟練</x:v>
      </x:c>
      <x:c r="J11" s="17" t="str">
        <x:v>學習中</x:v>
      </x:c>
      <x:c r="K11" s="17" t="str">
        <x:v>熟練</x:v>
      </x:c>
      <x:c r="L11" s="17" t="str">
        <x:v>熟練</x:v>
      </x:c>
      <x:c r="M11" s="17" t="str">
        <x:v>熟練</x:v>
      </x:c>
      <x:c r="N11" s="17" t="str">
        <x:v>學習中</x:v>
      </x:c>
      <x:c r="O11" s="17" t="str">
        <x:v>學習中</x:v>
      </x:c>
      <x:c r="P11" s="17" t="str">
        <x:v>可支援</x:v>
      </x:c>
    </x:row>
    <x:row r="12" ht="24" customHeight="1">
      <x:c r="A12" s="15" t="str">
        <x:v>1025</x:v>
      </x:c>
      <x:c r="B12" s="14" t="str"/>
      <x:c r="C12" s="16" t="str">
        <x:v>Lv.3</x:v>
      </x:c>
      <x:c r="D12" s="18" t="str">
        <x:v>待確認</x:v>
      </x:c>
      <x:c r="E12" s="17" t="str">
        <x:v>熟練</x:v>
      </x:c>
      <x:c r="F12" s="17" t="str">
        <x:v>熟練</x:v>
      </x:c>
      <x:c r="G12" s="17" t="str">
        <x:v>可支援</x:v>
      </x:c>
      <x:c r="H12" s="17" t="str">
        <x:v>學習中</x:v>
      </x:c>
      <x:c r="I12" s="17" t="str">
        <x:v>可支援</x:v>
      </x:c>
      <x:c r="J12" s="17" t="str">
        <x:v>學習中</x:v>
      </x:c>
      <x:c r="K12" s="17" t="str">
        <x:v>可支援</x:v>
      </x:c>
      <x:c r="L12" s="17" t="str">
        <x:v>熟練</x:v>
      </x:c>
      <x:c r="M12" s="17" t="str">
        <x:v>可支援</x:v>
      </x:c>
      <x:c r="N12" s="17" t="str">
        <x:v>學習中</x:v>
      </x:c>
      <x:c r="O12" s="17" t="str">
        <x:v>學習中</x:v>
      </x:c>
      <x:c r="P12" s="17" t="str">
        <x:v>未評分</x:v>
      </x:c>
    </x:row>
    <x:row r="13" ht="24" customHeight="1">
      <x:c r="A13" s="15" t="str">
        <x:v>1026</x:v>
      </x:c>
      <x:c r="B13" s="14" t="str"/>
      <x:c r="C13" s="16" t="str">
        <x:v>Lv.2</x:v>
      </x:c>
      <x:c r="D13" s="18" t="str">
        <x:v>待確認</x:v>
      </x:c>
      <x:c r="E13" s="17" t="str">
        <x:v>熟練</x:v>
      </x:c>
      <x:c r="F13" s="17" t="str">
        <x:v>熟練</x:v>
      </x:c>
      <x:c r="G13" s="17" t="str">
        <x:v>需加強</x:v>
      </x:c>
      <x:c r="H13" s="17" t="str">
        <x:v>學習中</x:v>
      </x:c>
      <x:c r="I13" s="17" t="str">
        <x:v>需加強</x:v>
      </x:c>
      <x:c r="J13" s="17" t="str">
        <x:v>學習中</x:v>
      </x:c>
      <x:c r="K13" s="17" t="str">
        <x:v>需加強</x:v>
      </x:c>
      <x:c r="L13" s="17" t="str">
        <x:v>熟練</x:v>
      </x:c>
      <x:c r="M13" s="17" t="str">
        <x:v>學習中</x:v>
      </x:c>
      <x:c r="N13" s="17" t="str">
        <x:v>學習中</x:v>
      </x:c>
      <x:c r="O13" s="17" t="str">
        <x:v>未評分</x:v>
      </x:c>
      <x:c r="P13" s="17" t="str">
        <x:v>未評分</x:v>
      </x:c>
    </x:row>
    <x:row r="14" ht="24" customHeight="1">
      <x:c r="A14" s="15" t="str">
        <x:v>1027</x:v>
      </x:c>
      <x:c r="B14" s="14" t="str"/>
      <x:c r="C14" s="16" t="str">
        <x:v>Lv.3</x:v>
      </x:c>
      <x:c r="D14" s="18" t="str">
        <x:v>待確認</x:v>
      </x:c>
      <x:c r="E14" s="17" t="str">
        <x:v>熟練</x:v>
      </x:c>
      <x:c r="F14" s="17" t="str">
        <x:v>熟練</x:v>
      </x:c>
      <x:c r="G14" s="17" t="str">
        <x:v>可支援</x:v>
      </x:c>
      <x:c r="H14" s="17" t="str">
        <x:v>學習中</x:v>
      </x:c>
      <x:c r="I14" s="17" t="str">
        <x:v>需加強</x:v>
      </x:c>
      <x:c r="J14" s="17" t="str">
        <x:v>學習中</x:v>
      </x:c>
      <x:c r="K14" s="17" t="str">
        <x:v>可支援</x:v>
      </x:c>
      <x:c r="L14" s="17" t="str">
        <x:v>熟練</x:v>
      </x:c>
      <x:c r="M14" s="17" t="str">
        <x:v>學習中</x:v>
      </x:c>
      <x:c r="N14" s="17" t="str">
        <x:v>學習中</x:v>
      </x:c>
      <x:c r="O14" s="17" t="str">
        <x:v>未評分</x:v>
      </x:c>
      <x:c r="P14" s="17" t="str">
        <x:v>未評分</x:v>
      </x:c>
    </x:row>
    <x:row r="15" ht="24" customHeight="1">
      <x:c r="A15" s="15" t="str">
        <x:v>1028</x:v>
      </x:c>
      <x:c r="B15" s="14" t="str"/>
      <x:c r="C15" s="16" t="str">
        <x:v>Lv.2</x:v>
      </x:c>
      <x:c r="D15" s="18" t="str">
        <x:v>待確認</x:v>
      </x:c>
      <x:c r="E15" s="17" t="str">
        <x:v>可支援</x:v>
      </x:c>
      <x:c r="F15" s="17" t="str">
        <x:v>熟練</x:v>
      </x:c>
      <x:c r="G15" s="17" t="str">
        <x:v>需加強</x:v>
      </x:c>
      <x:c r="H15" s="17" t="str">
        <x:v>學習中</x:v>
      </x:c>
      <x:c r="I15" s="17" t="str">
        <x:v>可支援</x:v>
      </x:c>
      <x:c r="J15" s="17" t="str">
        <x:v>學習中</x:v>
      </x:c>
      <x:c r="K15" s="17" t="str">
        <x:v>未評分</x:v>
      </x:c>
      <x:c r="L15" s="17" t="str">
        <x:v>熟練</x:v>
      </x:c>
      <x:c r="M15" s="17" t="str">
        <x:v>未評分</x:v>
      </x:c>
      <x:c r="N15" s="17" t="str">
        <x:v>未評分</x:v>
      </x:c>
      <x:c r="O15" s="17" t="str">
        <x:v>未評分</x:v>
      </x:c>
      <x:c r="P15" s="17" t="str">
        <x:v>未評分</x:v>
      </x:c>
    </x:row>
    <x:row r="16" ht="24" customHeight="1">
      <x:c r="A16" s="15" t="str">
        <x:v>1029</x:v>
      </x:c>
      <x:c r="B16" s="14" t="str"/>
      <x:c r="C16" s="16" t="str">
        <x:v>Lv.1</x:v>
      </x:c>
      <x:c r="D16" s="18" t="str">
        <x:v>待確認</x:v>
      </x:c>
      <x:c r="E16" s="17" t="str">
        <x:v>需加強</x:v>
      </x:c>
      <x:c r="F16" s="17" t="str">
        <x:v>熟練</x:v>
      </x:c>
      <x:c r="G16" s="17" t="str">
        <x:v>學習中</x:v>
      </x:c>
      <x:c r="H16" s="17" t="str">
        <x:v>未評分</x:v>
      </x:c>
      <x:c r="I16" s="17" t="str">
        <x:v>未評分</x:v>
      </x:c>
      <x:c r="J16" s="17" t="str">
        <x:v>未評分</x:v>
      </x:c>
      <x:c r="K16" s="17" t="str">
        <x:v>未評分</x:v>
      </x:c>
      <x:c r="L16" s="17" t="str">
        <x:v>需加強</x:v>
      </x:c>
      <x:c r="M16" s="17" t="str">
        <x:v>未評分</x:v>
      </x:c>
      <x:c r="N16" s="17" t="str">
        <x:v>未評分</x:v>
      </x:c>
      <x:c r="O16" s="17" t="str">
        <x:v>未評分</x:v>
      </x:c>
      <x:c r="P16" s="17" t="str">
        <x:v>未評分</x:v>
      </x:c>
    </x:row>
    <x:row r="17" ht="24" customHeight="1">
      <x:c r="A17" s="15" t="str">
        <x:v>1030</x:v>
      </x:c>
      <x:c r="B17" s="14" t="str"/>
      <x:c r="C17" s="16" t="str">
        <x:v>Lv.1</x:v>
      </x:c>
      <x:c r="D17" s="18" t="str">
        <x:v>待確認</x:v>
      </x:c>
      <x:c r="E17" s="17" t="str">
        <x:v>需加強</x:v>
      </x:c>
      <x:c r="F17" s="17" t="str">
        <x:v>熟練</x:v>
      </x:c>
      <x:c r="G17" s="17" t="str">
        <x:v>學習中</x:v>
      </x:c>
      <x:c r="H17" s="17" t="str">
        <x:v>未評分</x:v>
      </x:c>
      <x:c r="I17" s="17" t="str">
        <x:v>未評分</x:v>
      </x:c>
      <x:c r="J17" s="17" t="str">
        <x:v>未評分</x:v>
      </x:c>
      <x:c r="K17" s="17" t="str">
        <x:v>未評分</x:v>
      </x:c>
      <x:c r="L17" s="17" t="str">
        <x:v>需加強</x:v>
      </x:c>
      <x:c r="M17" s="17" t="str">
        <x:v>未評分</x:v>
      </x:c>
      <x:c r="N17" s="17" t="str">
        <x:v>未評分</x:v>
      </x:c>
      <x:c r="O17" s="17" t="str">
        <x:v>未評分</x:v>
      </x:c>
      <x:c r="P17" s="17" t="str">
        <x:v>未評分</x:v>
      </x:c>
    </x:row>
    <x:row r="18" ht="24" customHeight="1">
      <x:c r="A18" s="15" t="str">
        <x:v>1031</x:v>
      </x:c>
      <x:c r="B18" s="14" t="str"/>
      <x:c r="C18" s="16" t="str">
        <x:v>未評分</x:v>
      </x:c>
      <x:c r="D18" s="18" t="str">
        <x:v>待確認</x:v>
      </x:c>
      <x:c r="E18" s="17" t="str">
        <x:v>未評分</x:v>
      </x:c>
      <x:c r="F18" s="17" t="str">
        <x:v>未評分</x:v>
      </x:c>
      <x:c r="G18" s="17" t="str">
        <x:v>未評分</x:v>
      </x:c>
      <x:c r="H18" s="17" t="str">
        <x:v>未評分</x:v>
      </x:c>
      <x:c r="I18" s="17" t="str">
        <x:v>未評分</x:v>
      </x:c>
      <x:c r="J18" s="17" t="str">
        <x:v>未評分</x:v>
      </x:c>
      <x:c r="K18" s="17" t="str">
        <x:v>未評分</x:v>
      </x:c>
      <x:c r="L18" s="17" t="str">
        <x:v>未評分</x:v>
      </x:c>
      <x:c r="M18" s="17" t="str">
        <x:v>未評分</x:v>
      </x:c>
      <x:c r="N18" s="17" t="str">
        <x:v>未評分</x:v>
      </x:c>
      <x:c r="O18" s="17" t="str">
        <x:v>未評分</x:v>
      </x:c>
      <x:c r="P18" s="17" t="str">
        <x:v>未評分</x:v>
      </x:c>
    </x:row>
    <x:row r="19" ht="24" customHeight="1">
      <x:c r="A19" s="15" t="str">
        <x:v>2006</x:v>
      </x:c>
      <x:c r="B19" s="14" t="str"/>
      <x:c r="C19" s="16" t="str">
        <x:v>Lv.2</x:v>
      </x:c>
      <x:c r="D19" s="18" t="str">
        <x:v>待確認</x:v>
      </x:c>
      <x:c r="E19" s="17" t="str">
        <x:v>學習中</x:v>
      </x:c>
      <x:c r="F19" s="17" t="str">
        <x:v>熟練</x:v>
      </x:c>
      <x:c r="G19" s="17" t="str">
        <x:v>未評分</x:v>
      </x:c>
      <x:c r="H19" s="17" t="str">
        <x:v>未評分</x:v>
      </x:c>
      <x:c r="I19" s="17" t="str">
        <x:v>未評分</x:v>
      </x:c>
      <x:c r="J19" s="17" t="str">
        <x:v>未評分</x:v>
      </x:c>
      <x:c r="K19" s="17" t="str">
        <x:v>未評分</x:v>
      </x:c>
      <x:c r="L19" s="17" t="str">
        <x:v>未評分</x:v>
      </x:c>
      <x:c r="M19" s="17" t="str">
        <x:v>未評分</x:v>
      </x:c>
      <x:c r="N19" s="17" t="str">
        <x:v>未評分</x:v>
      </x:c>
      <x:c r="O19" s="17" t="str">
        <x:v>未評分</x:v>
      </x:c>
      <x:c r="P19" s="17" t="str">
        <x:v>未評分</x:v>
      </x:c>
    </x:row>
    <x:row r="20" ht="24" customHeight="1">
      <x:c r="A20" s="15" t="str">
        <x:v>2007</x:v>
      </x:c>
      <x:c r="B20" s="14" t="str"/>
      <x:c r="C20" s="16" t="str">
        <x:v>Lv.8</x:v>
      </x:c>
      <x:c r="D20" s="18" t="str">
        <x:v>待確認</x:v>
      </x:c>
      <x:c r="E20" s="17" t="str">
        <x:v>熟練</x:v>
      </x:c>
      <x:c r="F20" s="17" t="str">
        <x:v>熟練</x:v>
      </x:c>
      <x:c r="G20" s="17" t="str">
        <x:v>未評分</x:v>
      </x:c>
      <x:c r="H20" s="17" t="str">
        <x:v>未評分</x:v>
      </x:c>
      <x:c r="I20" s="17" t="str">
        <x:v>未評分</x:v>
      </x:c>
      <x:c r="J20" s="17" t="str">
        <x:v>未評分</x:v>
      </x:c>
      <x:c r="K20" s="17" t="str">
        <x:v>未評分</x:v>
      </x:c>
      <x:c r="L20" s="17" t="str">
        <x:v>未評分</x:v>
      </x:c>
      <x:c r="M20" s="17" t="str">
        <x:v>未評分</x:v>
      </x:c>
      <x:c r="N20" s="17" t="str">
        <x:v>未評分</x:v>
      </x:c>
      <x:c r="O20" s="17" t="str">
        <x:v>未評分</x:v>
      </x:c>
      <x:c r="P20" s="17" t="str">
        <x:v>未評分</x:v>
      </x:c>
    </x:row>
  </x:sheetData>
  <x:mergeCells>
    <x:mergeCell ref="A2:P2"/>
    <x:mergeCell ref="A4:P4"/>
  </x:mergeCells>
  <x:conditionalFormatting sqref="E7:P20">
    <x:cfRule type="containsText" dxfId="0" priority="1" operator="containsText" text="熟練"/>
    <x:cfRule type="containsText" dxfId="1" priority="2" operator="containsText" text="可支援"/>
    <x:cfRule type="containsText" dxfId="2" priority="3" operator="containsText" text="需加強"/>
    <x:cfRule type="containsText" dxfId="3" priority="4" operator="containsText" text="學習中"/>
    <x:cfRule type="containsText" dxfId="4" priority="5" operator="containsText" text="未評分"/>
  </x:conditionalFormatting>
  <x:dataValidations count="2">
    <x:dataValidation type="list" sqref="D7:D20">
      <x:formula1>"待確認,可排,不可排"</x:formula1>
    </x:dataValidation>
    <x:dataValidation type="list" sqref="E7:P20">
      <x:formula1>"熟練,可支援,需加強,學習中,未評分"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c055d43b4847e4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0" hidden="0" customWidth="1"/>
    <x:col min="4" max="4" width="18" hidden="0" customWidth="1"/>
    <x:col min="5" max="5" width="18" hidden="0" customWidth="1"/>
    <x:col min="6" max="6" width="34" hidden="0" customWidth="1"/>
    <x:col min="7" max="7" width="13" hidden="0" customWidth="1"/>
    <x:col min="8" max="8" width="13" hidden="0" customWidth="1"/>
    <x:col min="9" max="9" width="11" hidden="0" customWidth="1"/>
  </x:cols>
  <x:sheetData>
    <x:row r="2">
      <x:c r="A2" s="1" t="str">
        <x:v>助理技能明細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4" t="str">
        <x:v>符號：◎ 熟練、Ø 尚未熟練、△ 需加強、※ 學習中；空白視為未評分。</x:v>
      </x:c>
    </x:row>
    <x:row r="6">
      <x:c r="A6" s="11" t="str">
        <x:v>員工編號</x:v>
      </x:c>
      <x:c r="B6" s="11" t="str">
        <x:v>姓名</x:v>
      </x:c>
      <x:c r="C6" s="11" t="str">
        <x:v>等級</x:v>
      </x:c>
      <x:c r="D6" s="11" t="str">
        <x:v>工作區塊</x:v>
      </x:c>
      <x:c r="E6" s="11" t="str">
        <x:v>分類</x:v>
      </x:c>
      <x:c r="F6" s="11" t="str">
        <x:v>技能項目</x:v>
      </x:c>
      <x:c r="G6" s="11" t="str">
        <x:v>評等符號</x:v>
      </x:c>
      <x:c r="H6" s="11" t="str">
        <x:v>評等說明</x:v>
      </x:c>
      <x:c r="I6" s="11" t="str">
        <x:v>原表列號</x:v>
      </x:c>
    </x:row>
    <x:row r="7">
      <x:c r="A7" s="13" t="str">
        <x:v>1001</x:v>
      </x:c>
      <x:c r="B7" s="14" t="str"/>
      <x:c r="C7" s="14" t="str">
        <x:v>Lv.10</x:v>
      </x:c>
      <x:c r="D7" s="14" t="str">
        <x:v>流動工作</x:v>
      </x:c>
      <x:c r="E7" s="6" t="str"/>
      <x:c r="F7" s="6" t="str">
        <x:v>撤備台</x:v>
      </x:c>
      <x:c r="G7" s="19" t="str">
        <x:v>◎</x:v>
      </x:c>
      <x:c r="H7" s="17" t="str">
        <x:v>熟練</x:v>
      </x:c>
      <x:c r="I7" s="6" t="n">
        <x:v>5</x:v>
      </x:c>
    </x:row>
    <x:row r="8">
      <x:c r="A8" s="13" t="str">
        <x:v>1001</x:v>
      </x:c>
      <x:c r="B8" s="14" t="str"/>
      <x:c r="C8" s="14" t="str">
        <x:v>Lv.10</x:v>
      </x:c>
      <x:c r="D8" s="14" t="str">
        <x:v>流動工作</x:v>
      </x:c>
      <x:c r="E8" s="6" t="str"/>
      <x:c r="F8" s="6" t="str">
        <x:v>器械清消流程</x:v>
      </x:c>
      <x:c r="G8" s="19" t="str">
        <x:v>◎</x:v>
      </x:c>
      <x:c r="H8" s="17" t="str">
        <x:v>熟練</x:v>
      </x:c>
      <x:c r="I8" s="6" t="n">
        <x:v>6</x:v>
      </x:c>
    </x:row>
    <x:row r="9">
      <x:c r="A9" s="13" t="str">
        <x:v>1001</x:v>
      </x:c>
      <x:c r="B9" s="14" t="str"/>
      <x:c r="C9" s="14" t="str">
        <x:v>Lv.10</x:v>
      </x:c>
      <x:c r="D9" s="14" t="str">
        <x:v>流動工作</x:v>
      </x:c>
      <x:c r="E9" s="6" t="str"/>
      <x:c r="F9" s="6" t="str">
        <x:v>認識治療項目</x:v>
      </x:c>
      <x:c r="G9" s="19" t="str">
        <x:v>◎</x:v>
      </x:c>
      <x:c r="H9" s="17" t="str">
        <x:v>熟練</x:v>
      </x:c>
      <x:c r="I9" s="6" t="n">
        <x:v>7</x:v>
      </x:c>
    </x:row>
    <x:row r="10">
      <x:c r="A10" s="13" t="str">
        <x:v>1001</x:v>
      </x:c>
      <x:c r="B10" s="14" t="str"/>
      <x:c r="C10" s="14" t="str">
        <x:v>Lv.10</x:v>
      </x:c>
      <x:c r="D10" s="14" t="str">
        <x:v>流動工作</x:v>
      </x:c>
      <x:c r="E10" s="6" t="str"/>
      <x:c r="F10" s="6" t="str">
        <x:v>替代跟診人員灌模</x:v>
      </x:c>
      <x:c r="G10" s="19" t="str">
        <x:v>◎</x:v>
      </x:c>
      <x:c r="H10" s="17" t="str">
        <x:v>熟練</x:v>
      </x:c>
      <x:c r="I10" s="6" t="n">
        <x:v>8</x:v>
      </x:c>
    </x:row>
    <x:row r="11">
      <x:c r="A11" s="13" t="str">
        <x:v>1001</x:v>
      </x:c>
      <x:c r="B11" s="14" t="str"/>
      <x:c r="C11" s="14" t="str">
        <x:v>Lv.10</x:v>
      </x:c>
      <x:c r="D11" s="14" t="str">
        <x:v>流動工作</x:v>
      </x:c>
      <x:c r="E11" s="6" t="str"/>
      <x:c r="F11" s="6" t="str">
        <x:v>拍攝X光片(PANO)</x:v>
      </x:c>
      <x:c r="G11" s="19" t="str">
        <x:v>◎</x:v>
      </x:c>
      <x:c r="H11" s="17" t="str">
        <x:v>熟練</x:v>
      </x:c>
      <x:c r="I11" s="6" t="n">
        <x:v>9</x:v>
      </x:c>
    </x:row>
    <x:row r="12">
      <x:c r="A12" s="13" t="str">
        <x:v>1001</x:v>
      </x:c>
      <x:c r="B12" s="14" t="str"/>
      <x:c r="C12" s="14" t="str">
        <x:v>Lv.10</x:v>
      </x:c>
      <x:c r="D12" s="14" t="str">
        <x:v>流動工作</x:v>
      </x:c>
      <x:c r="E12" s="6" t="str"/>
      <x:c r="F12" s="6" t="str">
        <x:v>拍攝根尖片(用鱷魚夾)</x:v>
      </x:c>
      <x:c r="G12" s="19" t="str">
        <x:v>◎</x:v>
      </x:c>
      <x:c r="H12" s="17" t="str">
        <x:v>熟練</x:v>
      </x:c>
      <x:c r="I12" s="6" t="n">
        <x:v>10</x:v>
      </x:c>
    </x:row>
    <x:row r="13">
      <x:c r="A13" s="13" t="str">
        <x:v>1001</x:v>
      </x:c>
      <x:c r="B13" s="14" t="str"/>
      <x:c r="C13" s="14" t="str">
        <x:v>Lv.10</x:v>
      </x:c>
      <x:c r="D13" s="14" t="str">
        <x:v>流動工作</x:v>
      </x:c>
      <x:c r="E13" s="6" t="str"/>
      <x:c r="F13" s="6" t="str">
        <x:v>拍攝根尖片(手壓片)</x:v>
      </x:c>
      <x:c r="G13" s="19" t="str">
        <x:v>◎</x:v>
      </x:c>
      <x:c r="H13" s="17" t="str">
        <x:v>熟練</x:v>
      </x:c>
      <x:c r="I13" s="6" t="n">
        <x:v>11</x:v>
      </x:c>
    </x:row>
    <x:row r="14">
      <x:c r="A14" s="13" t="str">
        <x:v>1001</x:v>
      </x:c>
      <x:c r="B14" s="14" t="str"/>
      <x:c r="C14" s="14" t="str">
        <x:v>Lv.10</x:v>
      </x:c>
      <x:c r="D14" s="14" t="str">
        <x:v>流動工作</x:v>
      </x:c>
      <x:c r="E14" s="6" t="str"/>
      <x:c r="F14" s="6" t="str">
        <x:v>開、關診工作</x:v>
      </x:c>
      <x:c r="G14" s="19" t="str">
        <x:v>◎</x:v>
      </x:c>
      <x:c r="H14" s="17" t="str">
        <x:v>熟練</x:v>
      </x:c>
      <x:c r="I14" s="6" t="n">
        <x:v>12</x:v>
      </x:c>
    </x:row>
    <x:row r="15">
      <x:c r="A15" s="13" t="str">
        <x:v>1001</x:v>
      </x:c>
      <x:c r="B15" s="14" t="str"/>
      <x:c r="C15" s="14" t="str">
        <x:v>Lv.10</x:v>
      </x:c>
      <x:c r="D15" s="14" t="str">
        <x:v>流動工作</x:v>
      </x:c>
      <x:c r="E15" s="6" t="str"/>
      <x:c r="F15" s="6" t="str">
        <x:v>備品補充+器械安全庫存</x:v>
      </x:c>
      <x:c r="G15" s="19" t="str">
        <x:v>◎</x:v>
      </x:c>
      <x:c r="H15" s="17" t="str">
        <x:v>熟練</x:v>
      </x:c>
      <x:c r="I15" s="6" t="n">
        <x:v>13</x:v>
      </x:c>
    </x:row>
    <x:row r="16">
      <x:c r="A16" s="13" t="str">
        <x:v>1001</x:v>
      </x:c>
      <x:c r="B16" s="14" t="str"/>
      <x:c r="C16" s="14" t="str">
        <x:v>Lv.10</x:v>
      </x:c>
      <x:c r="D16" s="14" t="str">
        <x:v>衛教</x:v>
      </x:c>
      <x:c r="E16" s="6" t="str"/>
      <x:c r="F16" s="6" t="str">
        <x:v>基礎衛教</x:v>
      </x:c>
      <x:c r="G16" s="19" t="str">
        <x:v>◎</x:v>
      </x:c>
      <x:c r="H16" s="17" t="str">
        <x:v>熟練</x:v>
      </x:c>
      <x:c r="I16" s="6" t="n">
        <x:v>14</x:v>
      </x:c>
    </x:row>
    <x:row r="17">
      <x:c r="A17" s="13" t="str">
        <x:v>1001</x:v>
      </x:c>
      <x:c r="B17" s="14" t="str"/>
      <x:c r="C17" s="14" t="str">
        <x:v>Lv.10</x:v>
      </x:c>
      <x:c r="D17" s="14" t="str">
        <x:v>衛教</x:v>
      </x:c>
      <x:c r="E17" s="6" t="str"/>
      <x:c r="F17" s="6" t="str">
        <x:v>進階衛教</x:v>
      </x:c>
      <x:c r="G17" s="19" t="str">
        <x:v>◎</x:v>
      </x:c>
      <x:c r="H17" s="17" t="str">
        <x:v>熟練</x:v>
      </x:c>
      <x:c r="I17" s="6" t="n">
        <x:v>15</x:v>
      </x:c>
    </x:row>
    <x:row r="18">
      <x:c r="A18" s="13" t="str">
        <x:v>1001</x:v>
      </x:c>
      <x:c r="B18" s="14" t="str"/>
      <x:c r="C18" s="14" t="str">
        <x:v>Lv.10</x:v>
      </x:c>
      <x:c r="D18" s="14" t="str">
        <x:v>李柄輝醫師</x:v>
      </x:c>
      <x:c r="E18" s="6" t="str">
        <x:v>器械準備</x:v>
      </x:c>
      <x:c r="F18" s="6" t="str">
        <x:v>洗牙</x:v>
      </x:c>
      <x:c r="G18" s="19" t="str">
        <x:v>◎</x:v>
      </x:c>
      <x:c r="H18" s="17" t="str">
        <x:v>熟練</x:v>
      </x:c>
      <x:c r="I18" s="6" t="n">
        <x:v>16</x:v>
      </x:c>
    </x:row>
    <x:row r="19">
      <x:c r="A19" s="13" t="str">
        <x:v>1001</x:v>
      </x:c>
      <x:c r="B19" s="14" t="str"/>
      <x:c r="C19" s="14" t="str">
        <x:v>Lv.10</x:v>
      </x:c>
      <x:c r="D19" s="14" t="str">
        <x:v>李柄輝醫師</x:v>
      </x:c>
      <x:c r="E19" s="6" t="str">
        <x:v>器械準備</x:v>
      </x:c>
      <x:c r="F19" s="6" t="str">
        <x:v>補牙</x:v>
      </x:c>
      <x:c r="G19" s="19" t="str">
        <x:v>◎</x:v>
      </x:c>
      <x:c r="H19" s="17" t="str">
        <x:v>熟練</x:v>
      </x:c>
      <x:c r="I19" s="6" t="n">
        <x:v>17</x:v>
      </x:c>
    </x:row>
    <x:row r="20">
      <x:c r="A20" s="13" t="str">
        <x:v>1001</x:v>
      </x:c>
      <x:c r="B20" s="14" t="str"/>
      <x:c r="C20" s="14" t="str">
        <x:v>Lv.10</x:v>
      </x:c>
      <x:c r="D20" s="14" t="str">
        <x:v>李柄輝醫師</x:v>
      </x:c>
      <x:c r="E20" s="6" t="str">
        <x:v>器械準備</x:v>
      </x:c>
      <x:c r="F20" s="6" t="str">
        <x:v>牙周統合</x:v>
      </x:c>
      <x:c r="G20" s="19" t="str">
        <x:v>◎</x:v>
      </x:c>
      <x:c r="H20" s="17" t="str">
        <x:v>熟練</x:v>
      </x:c>
      <x:c r="I20" s="6" t="n">
        <x:v>18</x:v>
      </x:c>
    </x:row>
    <x:row r="21">
      <x:c r="A21" s="13" t="str">
        <x:v>1001</x:v>
      </x:c>
      <x:c r="B21" s="14" t="str"/>
      <x:c r="C21" s="14" t="str">
        <x:v>Lv.10</x:v>
      </x:c>
      <x:c r="D21" s="14" t="str">
        <x:v>李柄輝醫師</x:v>
      </x:c>
      <x:c r="E21" s="6" t="str">
        <x:v>器械準備</x:v>
      </x:c>
      <x:c r="F21" s="6" t="str">
        <x:v>根管治療(插針照)</x:v>
      </x:c>
      <x:c r="G21" s="19" t="str">
        <x:v>◎</x:v>
      </x:c>
      <x:c r="H21" s="17" t="str">
        <x:v>熟練</x:v>
      </x:c>
      <x:c r="I21" s="6" t="n">
        <x:v>19</x:v>
      </x:c>
    </x:row>
    <x:row r="22">
      <x:c r="A22" s="13" t="str">
        <x:v>1001</x:v>
      </x:c>
      <x:c r="B22" s="14" t="str"/>
      <x:c r="C22" s="14" t="str">
        <x:v>Lv.10</x:v>
      </x:c>
      <x:c r="D22" s="14" t="str">
        <x:v>李柄輝醫師</x:v>
      </x:c>
      <x:c r="E22" s="6" t="str">
        <x:v>器械準備</x:v>
      </x:c>
      <x:c r="F22" s="6" t="str">
        <x:v>拆crown/post</x:v>
      </x:c>
      <x:c r="G22" s="19" t="str">
        <x:v>◎</x:v>
      </x:c>
      <x:c r="H22" s="17" t="str">
        <x:v>熟練</x:v>
      </x:c>
      <x:c r="I22" s="6" t="n">
        <x:v>20</x:v>
      </x:c>
    </x:row>
    <x:row r="23">
      <x:c r="A23" s="13" t="str">
        <x:v>1001</x:v>
      </x:c>
      <x:c r="B23" s="14" t="str"/>
      <x:c r="C23" s="14" t="str">
        <x:v>Lv.10</x:v>
      </x:c>
      <x:c r="D23" s="14" t="str">
        <x:v>李柄輝醫師</x:v>
      </x:c>
      <x:c r="E23" s="6" t="str">
        <x:v>器械準備</x:v>
      </x:c>
      <x:c r="F23" s="6" t="str">
        <x:v>拔牙</x:v>
      </x:c>
      <x:c r="G23" s="19" t="str">
        <x:v>◎</x:v>
      </x:c>
      <x:c r="H23" s="17" t="str">
        <x:v>熟練</x:v>
      </x:c>
      <x:c r="I23" s="6" t="n">
        <x:v>21</x:v>
      </x:c>
    </x:row>
    <x:row r="24">
      <x:c r="A24" s="13" t="str">
        <x:v>1001</x:v>
      </x:c>
      <x:c r="B24" s="14" t="str"/>
      <x:c r="C24" s="14" t="str">
        <x:v>Lv.10</x:v>
      </x:c>
      <x:c r="D24" s="14" t="str">
        <x:v>李柄輝醫師</x:v>
      </x:c>
      <x:c r="E24" s="6" t="str">
        <x:v>自費</x:v>
      </x:c>
      <x:c r="F24" s="6" t="str">
        <x:v>固定假牙(黏著劑)</x:v>
      </x:c>
      <x:c r="G24" s="19" t="str">
        <x:v>◎</x:v>
      </x:c>
      <x:c r="H24" s="17" t="str">
        <x:v>熟練</x:v>
      </x:c>
      <x:c r="I24" s="6" t="n">
        <x:v>22</x:v>
      </x:c>
    </x:row>
    <x:row r="25">
      <x:c r="A25" s="13" t="str">
        <x:v>1001</x:v>
      </x:c>
      <x:c r="B25" s="14" t="str"/>
      <x:c r="C25" s="14" t="str">
        <x:v>Lv.10</x:v>
      </x:c>
      <x:c r="D25" s="14" t="str">
        <x:v>李柄輝醫師</x:v>
      </x:c>
      <x:c r="E25" s="6" t="str"/>
      <x:c r="F25" s="6" t="str">
        <x:v>跟診順暢度</x:v>
      </x:c>
      <x:c r="G25" s="19" t="str">
        <x:v>◎</x:v>
      </x:c>
      <x:c r="H25" s="17" t="str">
        <x:v>熟練</x:v>
      </x:c>
      <x:c r="I25" s="6" t="n">
        <x:v>23</x:v>
      </x:c>
    </x:row>
    <x:row r="26">
      <x:c r="A26" s="13" t="str">
        <x:v>1001</x:v>
      </x:c>
      <x:c r="B26" s="14" t="str"/>
      <x:c r="C26" s="14" t="str">
        <x:v>Lv.10</x:v>
      </x:c>
      <x:c r="D26" s="14" t="str">
        <x:v>李柄輝醫師</x:v>
      </x:c>
      <x:c r="E26" s="6" t="str"/>
      <x:c r="F26" s="6" t="str">
        <x:v>病歷紀錄</x:v>
      </x:c>
      <x:c r="G26" s="19" t="str">
        <x:v>◎</x:v>
      </x:c>
      <x:c r="H26" s="17" t="str">
        <x:v>熟練</x:v>
      </x:c>
      <x:c r="I26" s="6" t="n">
        <x:v>24</x:v>
      </x:c>
    </x:row>
    <x:row r="27">
      <x:c r="A27" s="13" t="str">
        <x:v>1001</x:v>
      </x:c>
      <x:c r="B27" s="14" t="str"/>
      <x:c r="C27" s="14" t="str">
        <x:v>Lv.10</x:v>
      </x:c>
      <x:c r="D27" s="14" t="str">
        <x:v>李柄輝醫師</x:v>
      </x:c>
      <x:c r="E27" s="6" t="str"/>
      <x:c r="F27" s="6" t="str">
        <x:v>健保申報</x:v>
      </x:c>
      <x:c r="G27" s="19" t="str">
        <x:v>◎</x:v>
      </x:c>
      <x:c r="H27" s="17" t="str">
        <x:v>熟練</x:v>
      </x:c>
      <x:c r="I27" s="6" t="n">
        <x:v>25</x:v>
      </x:c>
    </x:row>
    <x:row r="28">
      <x:c r="A28" s="13" t="str">
        <x:v>1001</x:v>
      </x:c>
      <x:c r="B28" s="14" t="str"/>
      <x:c r="C28" s="14" t="str">
        <x:v>Lv.10</x:v>
      </x:c>
      <x:c r="D28" s="14" t="str">
        <x:v>李柄輝醫師</x:v>
      </x:c>
      <x:c r="E28" s="6" t="str"/>
      <x:c r="F28" s="6" t="str">
        <x:v>X光片紀錄</x:v>
      </x:c>
      <x:c r="G28" s="19" t="str">
        <x:v>◎</x:v>
      </x:c>
      <x:c r="H28" s="17" t="str">
        <x:v>熟練</x:v>
      </x:c>
      <x:c r="I28" s="6" t="n">
        <x:v>26</x:v>
      </x:c>
    </x:row>
    <x:row r="29">
      <x:c r="A29" s="13" t="str">
        <x:v>1001</x:v>
      </x:c>
      <x:c r="B29" s="14" t="str"/>
      <x:c r="C29" s="14" t="str">
        <x:v>Lv.10</x:v>
      </x:c>
      <x:c r="D29" s="14" t="str">
        <x:v>李柄輝醫師</x:v>
      </x:c>
      <x:c r="E29" s="6" t="str"/>
      <x:c r="F29" s="6" t="str">
        <x:v>拍PA</x:v>
      </x:c>
      <x:c r="G29" s="19" t="str">
        <x:v>◎</x:v>
      </x:c>
      <x:c r="H29" s="17" t="str">
        <x:v>熟練</x:v>
      </x:c>
      <x:c r="I29" s="6" t="n">
        <x:v>27</x:v>
      </x:c>
    </x:row>
    <x:row r="30">
      <x:c r="A30" s="13" t="str">
        <x:v>1001</x:v>
      </x:c>
      <x:c r="B30" s="14" t="str"/>
      <x:c r="C30" s="14" t="str">
        <x:v>Lv.10</x:v>
      </x:c>
      <x:c r="D30" s="14" t="str">
        <x:v>李侑津醫師</x:v>
      </x:c>
      <x:c r="E30" s="6" t="str">
        <x:v>器械準備</x:v>
      </x:c>
      <x:c r="F30" s="6" t="str">
        <x:v>洗牙</x:v>
      </x:c>
      <x:c r="G30" s="19" t="str">
        <x:v>◎</x:v>
      </x:c>
      <x:c r="H30" s="17" t="str">
        <x:v>熟練</x:v>
      </x:c>
      <x:c r="I30" s="6" t="n">
        <x:v>28</x:v>
      </x:c>
    </x:row>
    <x:row r="31">
      <x:c r="A31" s="13" t="str">
        <x:v>1001</x:v>
      </x:c>
      <x:c r="B31" s="14" t="str"/>
      <x:c r="C31" s="14" t="str">
        <x:v>Lv.10</x:v>
      </x:c>
      <x:c r="D31" s="14" t="str">
        <x:v>李侑津醫師</x:v>
      </x:c>
      <x:c r="E31" s="6" t="str">
        <x:v>器械準備</x:v>
      </x:c>
      <x:c r="F31" s="6" t="str">
        <x:v>補牙</x:v>
      </x:c>
      <x:c r="G31" s="19" t="str">
        <x:v>◎</x:v>
      </x:c>
      <x:c r="H31" s="17" t="str">
        <x:v>熟練</x:v>
      </x:c>
      <x:c r="I31" s="6" t="n">
        <x:v>29</x:v>
      </x:c>
    </x:row>
    <x:row r="32">
      <x:c r="A32" s="13" t="str">
        <x:v>1001</x:v>
      </x:c>
      <x:c r="B32" s="14" t="str"/>
      <x:c r="C32" s="14" t="str">
        <x:v>Lv.10</x:v>
      </x:c>
      <x:c r="D32" s="14" t="str">
        <x:v>李侑津醫師</x:v>
      </x:c>
      <x:c r="E32" s="6" t="str">
        <x:v>器械準備</x:v>
      </x:c>
      <x:c r="F32" s="6" t="str">
        <x:v>牙周統合</x:v>
      </x:c>
      <x:c r="G32" s="19" t="str">
        <x:v>◎</x:v>
      </x:c>
      <x:c r="H32" s="17" t="str">
        <x:v>熟練</x:v>
      </x:c>
      <x:c r="I32" s="6" t="n">
        <x:v>30</x:v>
      </x:c>
    </x:row>
    <x:row r="33">
      <x:c r="A33" s="13" t="str">
        <x:v>1001</x:v>
      </x:c>
      <x:c r="B33" s="14" t="str"/>
      <x:c r="C33" s="14" t="str">
        <x:v>Lv.10</x:v>
      </x:c>
      <x:c r="D33" s="14" t="str">
        <x:v>李侑津醫師</x:v>
      </x:c>
      <x:c r="E33" s="6" t="str">
        <x:v>器械準備</x:v>
      </x:c>
      <x:c r="F33" s="6" t="str">
        <x:v>根管治療</x:v>
      </x:c>
      <x:c r="G33" s="19" t="str">
        <x:v>◎</x:v>
      </x:c>
      <x:c r="H33" s="17" t="str">
        <x:v>熟練</x:v>
      </x:c>
      <x:c r="I33" s="6" t="n">
        <x:v>31</x:v>
      </x:c>
    </x:row>
    <x:row r="34">
      <x:c r="A34" s="13" t="str">
        <x:v>1001</x:v>
      </x:c>
      <x:c r="B34" s="14" t="str"/>
      <x:c r="C34" s="14" t="str">
        <x:v>Lv.10</x:v>
      </x:c>
      <x:c r="D34" s="14" t="str">
        <x:v>李侑津醫師</x:v>
      </x:c>
      <x:c r="E34" s="6" t="str">
        <x:v>器械準備</x:v>
      </x:c>
      <x:c r="F34" s="6" t="str">
        <x:v>拔牙</x:v>
      </x:c>
      <x:c r="G34" s="19" t="str">
        <x:v>◎</x:v>
      </x:c>
      <x:c r="H34" s="17" t="str">
        <x:v>熟練</x:v>
      </x:c>
      <x:c r="I34" s="6" t="n">
        <x:v>32</x:v>
      </x:c>
    </x:row>
    <x:row r="35">
      <x:c r="A35" s="13" t="str">
        <x:v>1001</x:v>
      </x:c>
      <x:c r="B35" s="14" t="str"/>
      <x:c r="C35" s="14" t="str">
        <x:v>Lv.10</x:v>
      </x:c>
      <x:c r="D35" s="14" t="str">
        <x:v>李侑津醫師</x:v>
      </x:c>
      <x:c r="E35" s="6" t="str">
        <x:v>器械準備</x:v>
      </x:c>
      <x:c r="F35" s="6" t="str">
        <x:v>拆 crown/post</x:v>
      </x:c>
      <x:c r="G35" s="19" t="str">
        <x:v>◎</x:v>
      </x:c>
      <x:c r="H35" s="17" t="str">
        <x:v>熟練</x:v>
      </x:c>
      <x:c r="I35" s="6" t="n">
        <x:v>33</x:v>
      </x:c>
    </x:row>
    <x:row r="36">
      <x:c r="A36" s="13" t="str">
        <x:v>1001</x:v>
      </x:c>
      <x:c r="B36" s="14" t="str"/>
      <x:c r="C36" s="14" t="str">
        <x:v>Lv.10</x:v>
      </x:c>
      <x:c r="D36" s="14" t="str">
        <x:v>李侑津醫師</x:v>
      </x:c>
      <x:c r="E36" s="6" t="str">
        <x:v>自費</x:v>
      </x:c>
      <x:c r="F36" s="6" t="str">
        <x:v>固定假牙</x:v>
      </x:c>
      <x:c r="G36" s="19" t="str">
        <x:v>◎</x:v>
      </x:c>
      <x:c r="H36" s="17" t="str">
        <x:v>熟練</x:v>
      </x:c>
      <x:c r="I36" s="6" t="n">
        <x:v>34</x:v>
      </x:c>
    </x:row>
    <x:row r="37">
      <x:c r="A37" s="13" t="str">
        <x:v>1001</x:v>
      </x:c>
      <x:c r="B37" s="14" t="str"/>
      <x:c r="C37" s="14" t="str">
        <x:v>Lv.10</x:v>
      </x:c>
      <x:c r="D37" s="14" t="str">
        <x:v>李侑津醫師</x:v>
      </x:c>
      <x:c r="E37" s="6" t="str">
        <x:v>自費</x:v>
      </x:c>
      <x:c r="F37" s="6" t="str">
        <x:v>RPD</x:v>
      </x:c>
      <x:c r="G37" s="19" t="str">
        <x:v>◎</x:v>
      </x:c>
      <x:c r="H37" s="17" t="str">
        <x:v>熟練</x:v>
      </x:c>
      <x:c r="I37" s="6" t="n">
        <x:v>35</x:v>
      </x:c>
    </x:row>
    <x:row r="38">
      <x:c r="A38" s="13" t="str">
        <x:v>1001</x:v>
      </x:c>
      <x:c r="B38" s="14" t="str"/>
      <x:c r="C38" s="14" t="str">
        <x:v>Lv.10</x:v>
      </x:c>
      <x:c r="D38" s="14" t="str">
        <x:v>李侑津醫師</x:v>
      </x:c>
      <x:c r="E38" s="6" t="str">
        <x:v>自費</x:v>
      </x:c>
      <x:c r="F38" s="6" t="str">
        <x:v>噴砂美白</x:v>
      </x:c>
      <x:c r="G38" s="19" t="str">
        <x:v>◎</x:v>
      </x:c>
      <x:c r="H38" s="17" t="str">
        <x:v>熟練</x:v>
      </x:c>
      <x:c r="I38" s="6" t="n">
        <x:v>36</x:v>
      </x:c>
    </x:row>
    <x:row r="39">
      <x:c r="A39" s="13" t="str">
        <x:v>1001</x:v>
      </x:c>
      <x:c r="B39" s="14" t="str"/>
      <x:c r="C39" s="14" t="str">
        <x:v>Lv.10</x:v>
      </x:c>
      <x:c r="D39" s="14" t="str">
        <x:v>李侑津醫師</x:v>
      </x:c>
      <x:c r="E39" s="6" t="str">
        <x:v>手術</x:v>
      </x:c>
      <x:c r="F39" s="6" t="str">
        <x:v>牙周手術</x:v>
      </x:c>
      <x:c r="G39" s="19" t="str">
        <x:v>◎</x:v>
      </x:c>
      <x:c r="H39" s="17" t="str">
        <x:v>熟練</x:v>
      </x:c>
      <x:c r="I39" s="6" t="n">
        <x:v>37</x:v>
      </x:c>
    </x:row>
    <x:row r="40">
      <x:c r="A40" s="13" t="str">
        <x:v>1001</x:v>
      </x:c>
      <x:c r="B40" s="14" t="str"/>
      <x:c r="C40" s="14" t="str">
        <x:v>Lv.10</x:v>
      </x:c>
      <x:c r="D40" s="14" t="str">
        <x:v>李侑津醫師</x:v>
      </x:c>
      <x:c r="E40" s="6" t="str">
        <x:v>手術</x:v>
      </x:c>
      <x:c r="F40" s="6" t="str">
        <x:v>顯微根管</x:v>
      </x:c>
      <x:c r="G40" s="19" t="str">
        <x:v>◎</x:v>
      </x:c>
      <x:c r="H40" s="17" t="str">
        <x:v>熟練</x:v>
      </x:c>
      <x:c r="I40" s="6" t="n">
        <x:v>38</x:v>
      </x:c>
    </x:row>
    <x:row r="41">
      <x:c r="A41" s="13" t="str">
        <x:v>1001</x:v>
      </x:c>
      <x:c r="B41" s="14" t="str"/>
      <x:c r="C41" s="14" t="str">
        <x:v>Lv.10</x:v>
      </x:c>
      <x:c r="D41" s="14" t="str">
        <x:v>李侑津醫師</x:v>
      </x:c>
      <x:c r="E41" s="6" t="str">
        <x:v>手術</x:v>
      </x:c>
      <x:c r="F41" s="6" t="str">
        <x:v>植 牙</x:v>
      </x:c>
      <x:c r="G41" s="19" t="str">
        <x:v>◎</x:v>
      </x:c>
      <x:c r="H41" s="17" t="str">
        <x:v>熟練</x:v>
      </x:c>
      <x:c r="I41" s="6" t="n">
        <x:v>39</x:v>
      </x:c>
    </x:row>
    <x:row r="42">
      <x:c r="A42" s="13" t="str">
        <x:v>1001</x:v>
      </x:c>
      <x:c r="B42" s="14" t="str"/>
      <x:c r="C42" s="14" t="str">
        <x:v>Lv.10</x:v>
      </x:c>
      <x:c r="D42" s="14" t="str">
        <x:v>李侑津醫師</x:v>
      </x:c>
      <x:c r="E42" s="6" t="str"/>
      <x:c r="F42" s="6" t="str">
        <x:v>跟診順暢度</x:v>
      </x:c>
      <x:c r="G42" s="19" t="str">
        <x:v>◎</x:v>
      </x:c>
      <x:c r="H42" s="17" t="str">
        <x:v>熟練</x:v>
      </x:c>
      <x:c r="I42" s="6" t="n">
        <x:v>40</x:v>
      </x:c>
    </x:row>
    <x:row r="43">
      <x:c r="A43" s="13" t="str">
        <x:v>1001</x:v>
      </x:c>
      <x:c r="B43" s="14" t="str"/>
      <x:c r="C43" s="14" t="str">
        <x:v>Lv.10</x:v>
      </x:c>
      <x:c r="D43" s="14" t="str">
        <x:v>李侑津醫師</x:v>
      </x:c>
      <x:c r="E43" s="6" t="str"/>
      <x:c r="F43" s="6" t="str">
        <x:v>病歷紀錄</x:v>
      </x:c>
      <x:c r="G43" s="19" t="str">
        <x:v>◎</x:v>
      </x:c>
      <x:c r="H43" s="17" t="str">
        <x:v>熟練</x:v>
      </x:c>
      <x:c r="I43" s="6" t="n">
        <x:v>41</x:v>
      </x:c>
    </x:row>
    <x:row r="44">
      <x:c r="A44" s="13" t="str">
        <x:v>1001</x:v>
      </x:c>
      <x:c r="B44" s="14" t="str"/>
      <x:c r="C44" s="14" t="str">
        <x:v>Lv.10</x:v>
      </x:c>
      <x:c r="D44" s="14" t="str">
        <x:v>李侑津醫師</x:v>
      </x:c>
      <x:c r="E44" s="6" t="str"/>
      <x:c r="F44" s="6" t="str">
        <x:v>健保申報</x:v>
      </x:c>
      <x:c r="G44" s="19" t="str">
        <x:v>◎</x:v>
      </x:c>
      <x:c r="H44" s="17" t="str">
        <x:v>熟練</x:v>
      </x:c>
      <x:c r="I44" s="6" t="n">
        <x:v>42</x:v>
      </x:c>
    </x:row>
    <x:row r="45">
      <x:c r="A45" s="13" t="str">
        <x:v>1001</x:v>
      </x:c>
      <x:c r="B45" s="14" t="str"/>
      <x:c r="C45" s="14" t="str">
        <x:v>Lv.10</x:v>
      </x:c>
      <x:c r="D45" s="14" t="str">
        <x:v>李侑津醫師</x:v>
      </x:c>
      <x:c r="E45" s="6" t="str"/>
      <x:c r="F45" s="6" t="str">
        <x:v>X光片紀錄</x:v>
      </x:c>
      <x:c r="G45" s="19" t="str">
        <x:v>◎</x:v>
      </x:c>
      <x:c r="H45" s="17" t="str">
        <x:v>熟練</x:v>
      </x:c>
      <x:c r="I45" s="6" t="n">
        <x:v>43</x:v>
      </x:c>
    </x:row>
    <x:row r="46">
      <x:c r="A46" s="13" t="str">
        <x:v>1001</x:v>
      </x:c>
      <x:c r="B46" s="14" t="str"/>
      <x:c r="C46" s="14" t="str">
        <x:v>Lv.10</x:v>
      </x:c>
      <x:c r="D46" s="14" t="str">
        <x:v>李侑津醫師</x:v>
      </x:c>
      <x:c r="E46" s="6" t="str"/>
      <x:c r="F46" s="6" t="str">
        <x:v>拍PA</x:v>
      </x:c>
      <x:c r="G46" s="19" t="str">
        <x:v>◎</x:v>
      </x:c>
      <x:c r="H46" s="17" t="str">
        <x:v>熟練</x:v>
      </x:c>
      <x:c r="I46" s="6" t="n">
        <x:v>44</x:v>
      </x:c>
    </x:row>
    <x:row r="47">
      <x:c r="A47" s="13" t="str">
        <x:v>1001</x:v>
      </x:c>
      <x:c r="B47" s="14" t="str"/>
      <x:c r="C47" s="14" t="str">
        <x:v>Lv.10</x:v>
      </x:c>
      <x:c r="D47" s="14" t="str">
        <x:v>李侑津醫師</x:v>
      </x:c>
      <x:c r="E47" s="6" t="str"/>
      <x:c r="F47" s="6" t="str">
        <x:v>口掃機運用</x:v>
      </x:c>
      <x:c r="G47" s="19" t="str">
        <x:v>◎</x:v>
      </x:c>
      <x:c r="H47" s="17" t="str">
        <x:v>熟練</x:v>
      </x:c>
      <x:c r="I47" s="6" t="n">
        <x:v>45</x:v>
      </x:c>
    </x:row>
    <x:row r="48">
      <x:c r="A48" s="13" t="str">
        <x:v>1001</x:v>
      </x:c>
      <x:c r="B48" s="14" t="str"/>
      <x:c r="C48" s="14" t="str">
        <x:v>Lv.10</x:v>
      </x:c>
      <x:c r="D48" s="14" t="str">
        <x:v>廖立揚醫師</x:v>
      </x:c>
      <x:c r="E48" s="6" t="str"/>
      <x:c r="F48" s="6" t="str">
        <x:v>器械熟悉度</x:v>
      </x:c>
      <x:c r="G48" s="19" t="str">
        <x:v>◎</x:v>
      </x:c>
      <x:c r="H48" s="17" t="str">
        <x:v>熟練</x:v>
      </x:c>
      <x:c r="I48" s="6" t="n">
        <x:v>46</x:v>
      </x:c>
    </x:row>
    <x:row r="49">
      <x:c r="A49" s="13" t="str">
        <x:v>1001</x:v>
      </x:c>
      <x:c r="B49" s="14" t="str"/>
      <x:c r="C49" s="14" t="str">
        <x:v>Lv.10</x:v>
      </x:c>
      <x:c r="D49" s="14" t="str">
        <x:v>廖立揚醫師</x:v>
      </x:c>
      <x:c r="E49" s="6" t="str"/>
      <x:c r="F49" s="6" t="str">
        <x:v>跟診順暢度</x:v>
      </x:c>
      <x:c r="G49" s="19" t="str">
        <x:v>◎</x:v>
      </x:c>
      <x:c r="H49" s="17" t="str">
        <x:v>熟練</x:v>
      </x:c>
      <x:c r="I49" s="6" t="n">
        <x:v>47</x:v>
      </x:c>
    </x:row>
    <x:row r="50">
      <x:c r="A50" s="13" t="str">
        <x:v>1001</x:v>
      </x:c>
      <x:c r="B50" s="14" t="str"/>
      <x:c r="C50" s="14" t="str">
        <x:v>Lv.10</x:v>
      </x:c>
      <x:c r="D50" s="14" t="str">
        <x:v>廖立揚醫師</x:v>
      </x:c>
      <x:c r="E50" s="6" t="str"/>
      <x:c r="F50" s="6" t="str">
        <x:v>病歷紀錄</x:v>
      </x:c>
      <x:c r="G50" s="19" t="str">
        <x:v>◎</x:v>
      </x:c>
      <x:c r="H50" s="17" t="str">
        <x:v>熟練</x:v>
      </x:c>
      <x:c r="I50" s="6" t="n">
        <x:v>48</x:v>
      </x:c>
    </x:row>
    <x:row r="51">
      <x:c r="A51" s="13" t="str">
        <x:v>1001</x:v>
      </x:c>
      <x:c r="B51" s="14" t="str"/>
      <x:c r="C51" s="14" t="str">
        <x:v>Lv.10</x:v>
      </x:c>
      <x:c r="D51" s="14" t="str">
        <x:v>廖立揚醫師</x:v>
      </x:c>
      <x:c r="E51" s="6" t="str"/>
      <x:c r="F51" s="6" t="str">
        <x:v>健保申報(初診pano)</x:v>
      </x:c>
      <x:c r="G51" s="19" t="str">
        <x:v>◎</x:v>
      </x:c>
      <x:c r="H51" s="17" t="str">
        <x:v>熟練</x:v>
      </x:c>
      <x:c r="I51" s="6" t="n">
        <x:v>49</x:v>
      </x:c>
    </x:row>
    <x:row r="52">
      <x:c r="A52" s="13" t="str">
        <x:v>1001</x:v>
      </x:c>
      <x:c r="B52" s="14" t="str"/>
      <x:c r="C52" s="14" t="str">
        <x:v>Lv.10</x:v>
      </x:c>
      <x:c r="D52" s="14" t="str">
        <x:v>廖立揚醫師</x:v>
      </x:c>
      <x:c r="E52" s="6" t="str"/>
      <x:c r="F52" s="6" t="str">
        <x:v>X光片紀錄</x:v>
      </x:c>
      <x:c r="G52" s="19" t="str">
        <x:v>◎</x:v>
      </x:c>
      <x:c r="H52" s="17" t="str">
        <x:v>熟練</x:v>
      </x:c>
      <x:c r="I52" s="6" t="n">
        <x:v>50</x:v>
      </x:c>
    </x:row>
    <x:row r="53">
      <x:c r="A53" s="13" t="str">
        <x:v>1001</x:v>
      </x:c>
      <x:c r="B53" s="14" t="str"/>
      <x:c r="C53" s="14" t="str">
        <x:v>Lv.10</x:v>
      </x:c>
      <x:c r="D53" s="14" t="str">
        <x:v>廖立揚醫師</x:v>
      </x:c>
      <x:c r="E53" s="6" t="str"/>
      <x:c r="F53" s="6" t="str">
        <x:v>拍PANO、PA</x:v>
      </x:c>
      <x:c r="G53" s="19" t="str">
        <x:v>◎</x:v>
      </x:c>
      <x:c r="H53" s="17" t="str">
        <x:v>熟練</x:v>
      </x:c>
      <x:c r="I53" s="6" t="n">
        <x:v>51</x:v>
      </x:c>
    </x:row>
    <x:row r="54">
      <x:c r="A54" s="13" t="str">
        <x:v>1001</x:v>
      </x:c>
      <x:c r="B54" s="14" t="str"/>
      <x:c r="C54" s="14" t="str">
        <x:v>Lv.10</x:v>
      </x:c>
      <x:c r="D54" s="14" t="str">
        <x:v>廖立揚醫師</x:v>
      </x:c>
      <x:c r="E54" s="6" t="str"/>
      <x:c r="F54" s="6" t="str">
        <x:v>CT照</x:v>
      </x:c>
      <x:c r="G54" s="19" t="str">
        <x:v>◎</x:v>
      </x:c>
      <x:c r="H54" s="17" t="str">
        <x:v>熟練</x:v>
      </x:c>
      <x:c r="I54" s="6" t="n">
        <x:v>52</x:v>
      </x:c>
    </x:row>
    <x:row r="55">
      <x:c r="A55" s="13" t="str">
        <x:v>1001</x:v>
      </x:c>
      <x:c r="B55" s="14" t="str"/>
      <x:c r="C55" s="14" t="str">
        <x:v>Lv.10</x:v>
      </x:c>
      <x:c r="D55" s="14" t="str">
        <x:v>廖立揚醫師</x:v>
      </x:c>
      <x:c r="E55" s="6" t="str"/>
      <x:c r="F55" s="6" t="str">
        <x:v>側頭顱照</x:v>
      </x:c>
      <x:c r="G55" s="19" t="str">
        <x:v>◎</x:v>
      </x:c>
      <x:c r="H55" s="17" t="str">
        <x:v>熟練</x:v>
      </x:c>
      <x:c r="I55" s="6" t="n">
        <x:v>53</x:v>
      </x:c>
    </x:row>
    <x:row r="56">
      <x:c r="A56" s="13" t="str">
        <x:v>1001</x:v>
      </x:c>
      <x:c r="B56" s="14" t="str"/>
      <x:c r="C56" s="14" t="str">
        <x:v>Lv.10</x:v>
      </x:c>
      <x:c r="D56" s="14" t="str">
        <x:v>廖立揚醫師</x:v>
      </x:c>
      <x:c r="E56" s="6" t="str"/>
      <x:c r="F56" s="6" t="str">
        <x:v>口掃機運用</x:v>
      </x:c>
      <x:c r="G56" s="19" t="str">
        <x:v>◎</x:v>
      </x:c>
      <x:c r="H56" s="17" t="str">
        <x:v>熟練</x:v>
      </x:c>
      <x:c r="I56" s="6" t="n">
        <x:v>54</x:v>
      </x:c>
    </x:row>
    <x:row r="57">
      <x:c r="A57" s="13" t="str">
        <x:v>1001</x:v>
      </x:c>
      <x:c r="B57" s="14" t="str"/>
      <x:c r="C57" s="14" t="str">
        <x:v>Lv.10</x:v>
      </x:c>
      <x:c r="D57" s="14" t="str">
        <x:v>楊小瑩醫師</x:v>
      </x:c>
      <x:c r="E57" s="6" t="str">
        <x:v>器械準備</x:v>
      </x:c>
      <x:c r="F57" s="6" t="str">
        <x:v>洗牙</x:v>
      </x:c>
      <x:c r="G57" s="19" t="str">
        <x:v>◎</x:v>
      </x:c>
      <x:c r="H57" s="17" t="str">
        <x:v>熟練</x:v>
      </x:c>
      <x:c r="I57" s="6" t="n">
        <x:v>55</x:v>
      </x:c>
    </x:row>
    <x:row r="58">
      <x:c r="A58" s="13" t="str">
        <x:v>1001</x:v>
      </x:c>
      <x:c r="B58" s="14" t="str"/>
      <x:c r="C58" s="14" t="str">
        <x:v>Lv.10</x:v>
      </x:c>
      <x:c r="D58" s="14" t="str">
        <x:v>楊小瑩醫師</x:v>
      </x:c>
      <x:c r="E58" s="6" t="str">
        <x:v>器械準備</x:v>
      </x:c>
      <x:c r="F58" s="6" t="str">
        <x:v>補牙</x:v>
      </x:c>
      <x:c r="G58" s="19" t="str">
        <x:v>◎</x:v>
      </x:c>
      <x:c r="H58" s="17" t="str">
        <x:v>熟練</x:v>
      </x:c>
      <x:c r="I58" s="6" t="n">
        <x:v>56</x:v>
      </x:c>
    </x:row>
    <x:row r="59">
      <x:c r="A59" s="13" t="str">
        <x:v>1001</x:v>
      </x:c>
      <x:c r="B59" s="14" t="str"/>
      <x:c r="C59" s="14" t="str">
        <x:v>Lv.10</x:v>
      </x:c>
      <x:c r="D59" s="14" t="str">
        <x:v>楊小瑩醫師</x:v>
      </x:c>
      <x:c r="E59" s="6" t="str">
        <x:v>器械準備</x:v>
      </x:c>
      <x:c r="F59" s="6" t="str">
        <x:v>根管治療</x:v>
      </x:c>
      <x:c r="G59" s="19" t="str">
        <x:v>◎</x:v>
      </x:c>
      <x:c r="H59" s="17" t="str">
        <x:v>熟練</x:v>
      </x:c>
      <x:c r="I59" s="6" t="n">
        <x:v>57</x:v>
      </x:c>
    </x:row>
    <x:row r="60">
      <x:c r="A60" s="13" t="str">
        <x:v>1001</x:v>
      </x:c>
      <x:c r="B60" s="14" t="str"/>
      <x:c r="C60" s="14" t="str">
        <x:v>Lv.10</x:v>
      </x:c>
      <x:c r="D60" s="14" t="str">
        <x:v>楊小瑩醫師</x:v>
      </x:c>
      <x:c r="E60" s="6" t="str">
        <x:v>器械準備</x:v>
      </x:c>
      <x:c r="F60" s="6" t="str">
        <x:v>拔牙</x:v>
      </x:c>
      <x:c r="G60" s="19" t="str">
        <x:v>◎</x:v>
      </x:c>
      <x:c r="H60" s="17" t="str">
        <x:v>熟練</x:v>
      </x:c>
      <x:c r="I60" s="6" t="n">
        <x:v>58</x:v>
      </x:c>
    </x:row>
    <x:row r="61">
      <x:c r="A61" s="13" t="str">
        <x:v>1001</x:v>
      </x:c>
      <x:c r="B61" s="14" t="str"/>
      <x:c r="C61" s="14" t="str">
        <x:v>Lv.10</x:v>
      </x:c>
      <x:c r="D61" s="14" t="str">
        <x:v>楊小瑩醫師</x:v>
      </x:c>
      <x:c r="E61" s="6" t="str">
        <x:v>器械準備</x:v>
      </x:c>
      <x:c r="F61" s="6" t="str">
        <x:v>拆 crown/post</x:v>
      </x:c>
      <x:c r="G61" s="19" t="str">
        <x:v>◎</x:v>
      </x:c>
      <x:c r="H61" s="17" t="str">
        <x:v>熟練</x:v>
      </x:c>
      <x:c r="I61" s="6" t="n">
        <x:v>59</x:v>
      </x:c>
    </x:row>
    <x:row r="62">
      <x:c r="A62" s="13" t="str">
        <x:v>1001</x:v>
      </x:c>
      <x:c r="B62" s="14" t="str"/>
      <x:c r="C62" s="14" t="str">
        <x:v>Lv.10</x:v>
      </x:c>
      <x:c r="D62" s="14" t="str">
        <x:v>楊小瑩醫師</x:v>
      </x:c>
      <x:c r="E62" s="6" t="str">
        <x:v>自費</x:v>
      </x:c>
      <x:c r="F62" s="6" t="str">
        <x:v>固定假牙</x:v>
      </x:c>
      <x:c r="G62" s="19" t="str">
        <x:v>◎</x:v>
      </x:c>
      <x:c r="H62" s="17" t="str">
        <x:v>熟練</x:v>
      </x:c>
      <x:c r="I62" s="6" t="n">
        <x:v>60</x:v>
      </x:c>
    </x:row>
    <x:row r="63">
      <x:c r="A63" s="13" t="str">
        <x:v>1001</x:v>
      </x:c>
      <x:c r="B63" s="14" t="str"/>
      <x:c r="C63" s="14" t="str">
        <x:v>Lv.10</x:v>
      </x:c>
      <x:c r="D63" s="14" t="str">
        <x:v>楊小瑩醫師</x:v>
      </x:c>
      <x:c r="E63" s="6" t="str">
        <x:v>自費</x:v>
      </x:c>
      <x:c r="F63" s="6" t="str">
        <x:v>RPD</x:v>
      </x:c>
      <x:c r="G63" s="19" t="str">
        <x:v>※</x:v>
      </x:c>
      <x:c r="H63" s="17" t="str">
        <x:v>學習中</x:v>
      </x:c>
      <x:c r="I63" s="6" t="n">
        <x:v>61</x:v>
      </x:c>
    </x:row>
    <x:row r="64">
      <x:c r="A64" s="13" t="str">
        <x:v>1001</x:v>
      </x:c>
      <x:c r="B64" s="14" t="str"/>
      <x:c r="C64" s="14" t="str">
        <x:v>Lv.10</x:v>
      </x:c>
      <x:c r="D64" s="14" t="str">
        <x:v>楊小瑩醫師</x:v>
      </x:c>
      <x:c r="E64" s="6" t="str">
        <x:v>自費</x:v>
      </x:c>
      <x:c r="F64" s="6" t="str">
        <x:v>噴砂美白</x:v>
      </x:c>
      <x:c r="G64" s="19" t="str">
        <x:v>◎</x:v>
      </x:c>
      <x:c r="H64" s="17" t="str">
        <x:v>熟練</x:v>
      </x:c>
      <x:c r="I64" s="6" t="n">
        <x:v>62</x:v>
      </x:c>
    </x:row>
    <x:row r="65">
      <x:c r="A65" s="13" t="str">
        <x:v>1001</x:v>
      </x:c>
      <x:c r="B65" s="14" t="str"/>
      <x:c r="C65" s="14" t="str">
        <x:v>Lv.10</x:v>
      </x:c>
      <x:c r="D65" s="14" t="str">
        <x:v>楊小瑩醫師</x:v>
      </x:c>
      <x:c r="E65" s="6" t="str"/>
      <x:c r="F65" s="6" t="str">
        <x:v>跟診順暢度</x:v>
      </x:c>
      <x:c r="G65" s="19" t="str">
        <x:v>◎</x:v>
      </x:c>
      <x:c r="H65" s="17" t="str">
        <x:v>熟練</x:v>
      </x:c>
      <x:c r="I65" s="6" t="n">
        <x:v>63</x:v>
      </x:c>
    </x:row>
    <x:row r="66">
      <x:c r="A66" s="13" t="str">
        <x:v>1001</x:v>
      </x:c>
      <x:c r="B66" s="14" t="str"/>
      <x:c r="C66" s="14" t="str">
        <x:v>Lv.10</x:v>
      </x:c>
      <x:c r="D66" s="14" t="str">
        <x:v>楊小瑩醫師</x:v>
      </x:c>
      <x:c r="E66" s="6" t="str"/>
      <x:c r="F66" s="6" t="str">
        <x:v>病歷紀錄</x:v>
      </x:c>
      <x:c r="G66" s="19" t="str">
        <x:v>◎</x:v>
      </x:c>
      <x:c r="H66" s="17" t="str">
        <x:v>熟練</x:v>
      </x:c>
      <x:c r="I66" s="6" t="n">
        <x:v>64</x:v>
      </x:c>
    </x:row>
    <x:row r="67">
      <x:c r="A67" s="13" t="str">
        <x:v>1001</x:v>
      </x:c>
      <x:c r="B67" s="14" t="str"/>
      <x:c r="C67" s="14" t="str">
        <x:v>Lv.10</x:v>
      </x:c>
      <x:c r="D67" s="14" t="str">
        <x:v>楊小瑩醫師</x:v>
      </x:c>
      <x:c r="E67" s="6" t="str"/>
      <x:c r="F67" s="6" t="str">
        <x:v>健保申報</x:v>
      </x:c>
      <x:c r="G67" s="19" t="str">
        <x:v>◎</x:v>
      </x:c>
      <x:c r="H67" s="17" t="str">
        <x:v>熟練</x:v>
      </x:c>
      <x:c r="I67" s="6" t="n">
        <x:v>65</x:v>
      </x:c>
    </x:row>
    <x:row r="68">
      <x:c r="A68" s="13" t="str">
        <x:v>1001</x:v>
      </x:c>
      <x:c r="B68" s="14" t="str"/>
      <x:c r="C68" s="14" t="str">
        <x:v>Lv.10</x:v>
      </x:c>
      <x:c r="D68" s="14" t="str">
        <x:v>楊小瑩醫師</x:v>
      </x:c>
      <x:c r="E68" s="6" t="str"/>
      <x:c r="F68" s="6" t="str">
        <x:v>X光片紀錄</x:v>
      </x:c>
      <x:c r="G68" s="19" t="str">
        <x:v>◎</x:v>
      </x:c>
      <x:c r="H68" s="17" t="str">
        <x:v>熟練</x:v>
      </x:c>
      <x:c r="I68" s="6" t="n">
        <x:v>66</x:v>
      </x:c>
    </x:row>
    <x:row r="69">
      <x:c r="A69" s="13" t="str">
        <x:v>1001</x:v>
      </x:c>
      <x:c r="B69" s="14" t="str"/>
      <x:c r="C69" s="14" t="str">
        <x:v>Lv.10</x:v>
      </x:c>
      <x:c r="D69" s="14" t="str">
        <x:v>楊小瑩醫師</x:v>
      </x:c>
      <x:c r="E69" s="6" t="str"/>
      <x:c r="F69" s="6" t="str">
        <x:v>拍PA</x:v>
      </x:c>
      <x:c r="G69" s="19" t="str">
        <x:v>◎</x:v>
      </x:c>
      <x:c r="H69" s="17" t="str">
        <x:v>熟練</x:v>
      </x:c>
      <x:c r="I69" s="6" t="n">
        <x:v>67</x:v>
      </x:c>
    </x:row>
    <x:row r="70">
      <x:c r="A70" s="13" t="str">
        <x:v>1001</x:v>
      </x:c>
      <x:c r="B70" s="14" t="str"/>
      <x:c r="C70" s="14" t="str">
        <x:v>Lv.10</x:v>
      </x:c>
      <x:c r="D70" s="14" t="str">
        <x:v>王俊偉醫師</x:v>
      </x:c>
      <x:c r="E70" s="6" t="str"/>
      <x:c r="F70" s="6" t="str">
        <x:v>器械熟悉度</x:v>
      </x:c>
      <x:c r="G70" s="19" t="str">
        <x:v>◎</x:v>
      </x:c>
      <x:c r="H70" s="17" t="str">
        <x:v>熟練</x:v>
      </x:c>
      <x:c r="I70" s="6" t="n">
        <x:v>68</x:v>
      </x:c>
    </x:row>
    <x:row r="71">
      <x:c r="A71" s="13" t="str">
        <x:v>1001</x:v>
      </x:c>
      <x:c r="B71" s="14" t="str"/>
      <x:c r="C71" s="14" t="str">
        <x:v>Lv.10</x:v>
      </x:c>
      <x:c r="D71" s="14" t="str">
        <x:v>王俊偉醫師</x:v>
      </x:c>
      <x:c r="E71" s="6" t="str"/>
      <x:c r="F71" s="6" t="str">
        <x:v>跟診順暢度</x:v>
      </x:c>
      <x:c r="G71" s="19" t="str">
        <x:v>◎</x:v>
      </x:c>
      <x:c r="H71" s="17" t="str">
        <x:v>熟練</x:v>
      </x:c>
      <x:c r="I71" s="6" t="n">
        <x:v>69</x:v>
      </x:c>
    </x:row>
    <x:row r="72">
      <x:c r="A72" s="13" t="str">
        <x:v>1001</x:v>
      </x:c>
      <x:c r="B72" s="14" t="str"/>
      <x:c r="C72" s="14" t="str">
        <x:v>Lv.10</x:v>
      </x:c>
      <x:c r="D72" s="14" t="str">
        <x:v>王俊偉醫師</x:v>
      </x:c>
      <x:c r="E72" s="6" t="str"/>
      <x:c r="F72" s="6" t="str">
        <x:v>病歷紀錄</x:v>
      </x:c>
      <x:c r="G72" s="19" t="str">
        <x:v>◎</x:v>
      </x:c>
      <x:c r="H72" s="17" t="str">
        <x:v>熟練</x:v>
      </x:c>
      <x:c r="I72" s="6" t="n">
        <x:v>70</x:v>
      </x:c>
    </x:row>
    <x:row r="73">
      <x:c r="A73" s="13" t="str">
        <x:v>1001</x:v>
      </x:c>
      <x:c r="B73" s="14" t="str"/>
      <x:c r="C73" s="14" t="str">
        <x:v>Lv.10</x:v>
      </x:c>
      <x:c r="D73" s="14" t="str">
        <x:v>王俊偉醫師</x:v>
      </x:c>
      <x:c r="E73" s="6" t="str"/>
      <x:c r="F73" s="6" t="str">
        <x:v>健保申報</x:v>
      </x:c>
      <x:c r="G73" s="19" t="str">
        <x:v>◎</x:v>
      </x:c>
      <x:c r="H73" s="17" t="str">
        <x:v>熟練</x:v>
      </x:c>
      <x:c r="I73" s="6" t="n">
        <x:v>71</x:v>
      </x:c>
    </x:row>
    <x:row r="74">
      <x:c r="A74" s="13" t="str">
        <x:v>1001</x:v>
      </x:c>
      <x:c r="B74" s="14" t="str"/>
      <x:c r="C74" s="14" t="str">
        <x:v>Lv.10</x:v>
      </x:c>
      <x:c r="D74" s="14" t="str">
        <x:v>王俊偉醫師</x:v>
      </x:c>
      <x:c r="E74" s="6" t="str"/>
      <x:c r="F74" s="6" t="str">
        <x:v>X光片紀錄</x:v>
      </x:c>
      <x:c r="G74" s="19" t="str">
        <x:v>◎</x:v>
      </x:c>
      <x:c r="H74" s="17" t="str">
        <x:v>熟練</x:v>
      </x:c>
      <x:c r="I74" s="6" t="n">
        <x:v>72</x:v>
      </x:c>
    </x:row>
    <x:row r="75">
      <x:c r="A75" s="13" t="str">
        <x:v>1001</x:v>
      </x:c>
      <x:c r="B75" s="14" t="str"/>
      <x:c r="C75" s="14" t="str">
        <x:v>Lv.10</x:v>
      </x:c>
      <x:c r="D75" s="14" t="str">
        <x:v>王俊偉醫師</x:v>
      </x:c>
      <x:c r="E75" s="6" t="str"/>
      <x:c r="F75" s="6" t="str">
        <x:v>拍PANO、PA</x:v>
      </x:c>
      <x:c r="G75" s="19" t="str">
        <x:v>◎</x:v>
      </x:c>
      <x:c r="H75" s="17" t="str">
        <x:v>熟練</x:v>
      </x:c>
      <x:c r="I75" s="6" t="n">
        <x:v>73</x:v>
      </x:c>
    </x:row>
    <x:row r="76">
      <x:c r="A76" s="13" t="str">
        <x:v>1001</x:v>
      </x:c>
      <x:c r="B76" s="14" t="str"/>
      <x:c r="C76" s="14" t="str">
        <x:v>Lv.10</x:v>
      </x:c>
      <x:c r="D76" s="14" t="str">
        <x:v>王俊偉醫師</x:v>
      </x:c>
      <x:c r="E76" s="6" t="str"/>
      <x:c r="F76" s="6" t="str">
        <x:v>CT照</x:v>
      </x:c>
      <x:c r="G76" s="19" t="str">
        <x:v>◎</x:v>
      </x:c>
      <x:c r="H76" s="17" t="str">
        <x:v>熟練</x:v>
      </x:c>
      <x:c r="I76" s="6" t="n">
        <x:v>74</x:v>
      </x:c>
    </x:row>
    <x:row r="77">
      <x:c r="A77" s="13" t="str">
        <x:v>1001</x:v>
      </x:c>
      <x:c r="B77" s="14" t="str"/>
      <x:c r="C77" s="14" t="str">
        <x:v>Lv.10</x:v>
      </x:c>
      <x:c r="D77" s="14" t="str">
        <x:v>王俊偉醫師</x:v>
      </x:c>
      <x:c r="E77" s="6" t="str"/>
      <x:c r="F77" s="6" t="str">
        <x:v>側頭顱照</x:v>
      </x:c>
      <x:c r="G77" s="19" t="str">
        <x:v>◎</x:v>
      </x:c>
      <x:c r="H77" s="17" t="str">
        <x:v>熟練</x:v>
      </x:c>
      <x:c r="I77" s="6" t="n">
        <x:v>75</x:v>
      </x:c>
    </x:row>
    <x:row r="78">
      <x:c r="A78" s="13" t="str">
        <x:v>1001</x:v>
      </x:c>
      <x:c r="B78" s="14" t="str"/>
      <x:c r="C78" s="14" t="str">
        <x:v>Lv.10</x:v>
      </x:c>
      <x:c r="D78" s="14" t="str">
        <x:v>王俊偉醫師</x:v>
      </x:c>
      <x:c r="E78" s="6" t="str"/>
      <x:c r="F78" s="6" t="str">
        <x:v>口掃機運用</x:v>
      </x:c>
      <x:c r="G78" s="19" t="str">
        <x:v>◎</x:v>
      </x:c>
      <x:c r="H78" s="17" t="str">
        <x:v>熟練</x:v>
      </x:c>
      <x:c r="I78" s="6" t="n">
        <x:v>76</x:v>
      </x:c>
    </x:row>
    <x:row r="79">
      <x:c r="A79" s="13" t="str">
        <x:v>1001</x:v>
      </x:c>
      <x:c r="B79" s="14" t="str"/>
      <x:c r="C79" s="14" t="str">
        <x:v>Lv.10</x:v>
      </x:c>
      <x:c r="D79" s="14" t="str">
        <x:v>許馨文醫師</x:v>
      </x:c>
      <x:c r="E79" s="6" t="str"/>
      <x:c r="F79" s="6" t="str">
        <x:v>器械熟悉度</x:v>
      </x:c>
      <x:c r="G79" s="19" t="str">
        <x:v>◎</x:v>
      </x:c>
      <x:c r="H79" s="17" t="str">
        <x:v>熟練</x:v>
      </x:c>
      <x:c r="I79" s="6" t="n">
        <x:v>77</x:v>
      </x:c>
    </x:row>
    <x:row r="80">
      <x:c r="A80" s="13" t="str">
        <x:v>1001</x:v>
      </x:c>
      <x:c r="B80" s="14" t="str"/>
      <x:c r="C80" s="14" t="str">
        <x:v>Lv.10</x:v>
      </x:c>
      <x:c r="D80" s="14" t="str">
        <x:v>許馨文醫師</x:v>
      </x:c>
      <x:c r="E80" s="6" t="str"/>
      <x:c r="F80" s="6" t="str">
        <x:v>吸口水技巧</x:v>
      </x:c>
      <x:c r="G80" s="19" t="str">
        <x:v>◎</x:v>
      </x:c>
      <x:c r="H80" s="17" t="str">
        <x:v>熟練</x:v>
      </x:c>
      <x:c r="I80" s="6" t="n">
        <x:v>78</x:v>
      </x:c>
    </x:row>
    <x:row r="81">
      <x:c r="A81" s="13" t="str">
        <x:v>1001</x:v>
      </x:c>
      <x:c r="B81" s="14" t="str"/>
      <x:c r="C81" s="14" t="str">
        <x:v>Lv.10</x:v>
      </x:c>
      <x:c r="D81" s="14" t="str">
        <x:v>許馨文醫師</x:v>
      </x:c>
      <x:c r="E81" s="6" t="str"/>
      <x:c r="F81" s="6" t="str">
        <x:v>病歷紀錄</x:v>
      </x:c>
      <x:c r="G81" s="19" t="str">
        <x:v>◎</x:v>
      </x:c>
      <x:c r="H81" s="17" t="str">
        <x:v>熟練</x:v>
      </x:c>
      <x:c r="I81" s="6" t="n">
        <x:v>79</x:v>
      </x:c>
    </x:row>
    <x:row r="82">
      <x:c r="A82" s="13" t="str">
        <x:v>1001</x:v>
      </x:c>
      <x:c r="B82" s="14" t="str"/>
      <x:c r="C82" s="14" t="str">
        <x:v>Lv.10</x:v>
      </x:c>
      <x:c r="D82" s="14" t="str">
        <x:v>許馨文醫師</x:v>
      </x:c>
      <x:c r="E82" s="6" t="str"/>
      <x:c r="F82" s="6" t="str">
        <x:v>健保申報</x:v>
      </x:c>
      <x:c r="G82" s="19" t="str">
        <x:v>◎</x:v>
      </x:c>
      <x:c r="H82" s="17" t="str">
        <x:v>熟練</x:v>
      </x:c>
      <x:c r="I82" s="6" t="n">
        <x:v>80</x:v>
      </x:c>
    </x:row>
    <x:row r="83">
      <x:c r="A83" s="13" t="str">
        <x:v>1001</x:v>
      </x:c>
      <x:c r="B83" s="14" t="str"/>
      <x:c r="C83" s="14" t="str">
        <x:v>Lv.10</x:v>
      </x:c>
      <x:c r="D83" s="14" t="str">
        <x:v>許馨文醫師</x:v>
      </x:c>
      <x:c r="E83" s="6" t="str"/>
      <x:c r="F83" s="6" t="str">
        <x:v>X光片紀錄</x:v>
      </x:c>
      <x:c r="G83" s="19" t="str">
        <x:v>◎</x:v>
      </x:c>
      <x:c r="H83" s="17" t="str">
        <x:v>熟練</x:v>
      </x:c>
      <x:c r="I83" s="6" t="n">
        <x:v>81</x:v>
      </x:c>
    </x:row>
    <x:row r="84">
      <x:c r="A84" s="13" t="str">
        <x:v>1001</x:v>
      </x:c>
      <x:c r="B84" s="14" t="str"/>
      <x:c r="C84" s="14" t="str">
        <x:v>Lv.10</x:v>
      </x:c>
      <x:c r="D84" s="14" t="str">
        <x:v>許馨文醫師</x:v>
      </x:c>
      <x:c r="E84" s="6" t="str"/>
      <x:c r="F84" s="6" t="str">
        <x:v>拍PANO、PA</x:v>
      </x:c>
      <x:c r="G84" s="19" t="str">
        <x:v>◎</x:v>
      </x:c>
      <x:c r="H84" s="17" t="str">
        <x:v>熟練</x:v>
      </x:c>
      <x:c r="I84" s="6" t="n">
        <x:v>82</x:v>
      </x:c>
    </x:row>
    <x:row r="85">
      <x:c r="A85" s="13" t="str">
        <x:v>1001</x:v>
      </x:c>
      <x:c r="B85" s="14" t="str"/>
      <x:c r="C85" s="14" t="str">
        <x:v>Lv.10</x:v>
      </x:c>
      <x:c r="D85" s="14" t="str">
        <x:v>林晏妤醫師</x:v>
      </x:c>
      <x:c r="E85" s="6" t="str"/>
      <x:c r="F85" s="6" t="str">
        <x:v>器械熟悉度</x:v>
      </x:c>
      <x:c r="G85" s="19" t="str">
        <x:v>◎</x:v>
      </x:c>
      <x:c r="H85" s="17" t="str">
        <x:v>熟練</x:v>
      </x:c>
      <x:c r="I85" s="6" t="n">
        <x:v>83</x:v>
      </x:c>
    </x:row>
    <x:row r="86">
      <x:c r="A86" s="13" t="str">
        <x:v>1001</x:v>
      </x:c>
      <x:c r="B86" s="14" t="str"/>
      <x:c r="C86" s="14" t="str">
        <x:v>Lv.10</x:v>
      </x:c>
      <x:c r="D86" s="14" t="str">
        <x:v>林晏妤醫師</x:v>
      </x:c>
      <x:c r="E86" s="6" t="str"/>
      <x:c r="F86" s="6" t="str">
        <x:v>跟診順暢度</x:v>
      </x:c>
      <x:c r="G86" s="19" t="str">
        <x:v>◎</x:v>
      </x:c>
      <x:c r="H86" s="17" t="str">
        <x:v>熟練</x:v>
      </x:c>
      <x:c r="I86" s="6" t="n">
        <x:v>84</x:v>
      </x:c>
    </x:row>
    <x:row r="87">
      <x:c r="A87" s="13" t="str">
        <x:v>1001</x:v>
      </x:c>
      <x:c r="B87" s="14" t="str"/>
      <x:c r="C87" s="14" t="str">
        <x:v>Lv.10</x:v>
      </x:c>
      <x:c r="D87" s="14" t="str">
        <x:v>林晏妤醫師</x:v>
      </x:c>
      <x:c r="E87" s="6" t="str"/>
      <x:c r="F87" s="6" t="str">
        <x:v>病歷紀錄</x:v>
      </x:c>
      <x:c r="G87" s="19" t="str">
        <x:v>◎</x:v>
      </x:c>
      <x:c r="H87" s="17" t="str">
        <x:v>熟練</x:v>
      </x:c>
      <x:c r="I87" s="6" t="n">
        <x:v>85</x:v>
      </x:c>
    </x:row>
    <x:row r="88">
      <x:c r="A88" s="13" t="str">
        <x:v>1001</x:v>
      </x:c>
      <x:c r="B88" s="14" t="str"/>
      <x:c r="C88" s="14" t="str">
        <x:v>Lv.10</x:v>
      </x:c>
      <x:c r="D88" s="14" t="str">
        <x:v>林晏妤醫師</x:v>
      </x:c>
      <x:c r="E88" s="6" t="str"/>
      <x:c r="F88" s="6" t="str">
        <x:v>X光片紀錄</x:v>
      </x:c>
      <x:c r="G88" s="19" t="str">
        <x:v>◎</x:v>
      </x:c>
      <x:c r="H88" s="17" t="str">
        <x:v>熟練</x:v>
      </x:c>
      <x:c r="I88" s="6" t="n">
        <x:v>86</x:v>
      </x:c>
    </x:row>
    <x:row r="89">
      <x:c r="A89" s="13" t="str">
        <x:v>1001</x:v>
      </x:c>
      <x:c r="B89" s="14" t="str"/>
      <x:c r="C89" s="14" t="str">
        <x:v>Lv.10</x:v>
      </x:c>
      <x:c r="D89" s="14" t="str">
        <x:v>林晏妤醫師</x:v>
      </x:c>
      <x:c r="E89" s="6" t="str"/>
      <x:c r="F89" s="6" t="str">
        <x:v>手持X光機</x:v>
      </x:c>
      <x:c r="G89" s="19" t="str">
        <x:v>◎</x:v>
      </x:c>
      <x:c r="H89" s="17" t="str">
        <x:v>熟練</x:v>
      </x:c>
      <x:c r="I89" s="6" t="n">
        <x:v>87</x:v>
      </x:c>
    </x:row>
    <x:row r="90">
      <x:c r="A90" s="13" t="str">
        <x:v>1001</x:v>
      </x:c>
      <x:c r="B90" s="14" t="str"/>
      <x:c r="C90" s="14" t="str">
        <x:v>Lv.10</x:v>
      </x:c>
      <x:c r="D90" s="14" t="str">
        <x:v>林晏妤醫師</x:v>
      </x:c>
      <x:c r="E90" s="6" t="str"/>
      <x:c r="F90" s="6" t="str">
        <x:v>健保申報</x:v>
      </x:c>
      <x:c r="G90" s="19" t="str">
        <x:v>◎</x:v>
      </x:c>
      <x:c r="H90" s="17" t="str">
        <x:v>熟練</x:v>
      </x:c>
      <x:c r="I90" s="6" t="n">
        <x:v>88</x:v>
      </x:c>
    </x:row>
    <x:row r="91">
      <x:c r="A91" s="13" t="str">
        <x:v>1001</x:v>
      </x:c>
      <x:c r="B91" s="14" t="str"/>
      <x:c r="C91" s="14" t="str">
        <x:v>Lv.10</x:v>
      </x:c>
      <x:c r="D91" s="14" t="str">
        <x:v>林晏妤醫師</x:v>
      </x:c>
      <x:c r="E91" s="6" t="str"/>
      <x:c r="F91" s="6" t="str">
        <x:v>舒眠手術</x:v>
      </x:c>
      <x:c r="G91" s="19" t="str">
        <x:v>◎</x:v>
      </x:c>
      <x:c r="H91" s="17" t="str">
        <x:v>熟練</x:v>
      </x:c>
      <x:c r="I91" s="6" t="n">
        <x:v>89</x:v>
      </x:c>
    </x:row>
    <x:row r="92">
      <x:c r="A92" s="13" t="str">
        <x:v>1001</x:v>
      </x:c>
      <x:c r="B92" s="14" t="str"/>
      <x:c r="C92" s="14" t="str">
        <x:v>Lv.10</x:v>
      </x:c>
      <x:c r="D92" s="14" t="str">
        <x:v>謝耀慶醫師</x:v>
      </x:c>
      <x:c r="E92" s="6" t="str">
        <x:v>器械準備</x:v>
      </x:c>
      <x:c r="F92" s="6" t="str">
        <x:v>洗牙</x:v>
      </x:c>
      <x:c r="G92" s="19" t="str">
        <x:v>◎</x:v>
      </x:c>
      <x:c r="H92" s="17" t="str">
        <x:v>熟練</x:v>
      </x:c>
      <x:c r="I92" s="6" t="n">
        <x:v>90</x:v>
      </x:c>
    </x:row>
    <x:row r="93">
      <x:c r="A93" s="13" t="str">
        <x:v>1001</x:v>
      </x:c>
      <x:c r="B93" s="14" t="str"/>
      <x:c r="C93" s="14" t="str">
        <x:v>Lv.10</x:v>
      </x:c>
      <x:c r="D93" s="14" t="str">
        <x:v>謝耀慶醫師</x:v>
      </x:c>
      <x:c r="E93" s="6" t="str">
        <x:v>器械準備</x:v>
      </x:c>
      <x:c r="F93" s="6" t="str">
        <x:v>補牙</x:v>
      </x:c>
      <x:c r="G93" s="19" t="str">
        <x:v>◎</x:v>
      </x:c>
      <x:c r="H93" s="17" t="str">
        <x:v>熟練</x:v>
      </x:c>
      <x:c r="I93" s="6" t="n">
        <x:v>91</x:v>
      </x:c>
    </x:row>
    <x:row r="94">
      <x:c r="A94" s="13" t="str">
        <x:v>1001</x:v>
      </x:c>
      <x:c r="B94" s="14" t="str"/>
      <x:c r="C94" s="14" t="str">
        <x:v>Lv.10</x:v>
      </x:c>
      <x:c r="D94" s="14" t="str">
        <x:v>謝耀慶醫師</x:v>
      </x:c>
      <x:c r="E94" s="6" t="str">
        <x:v>器械準備</x:v>
      </x:c>
      <x:c r="F94" s="6" t="str">
        <x:v>牙周統合治療</x:v>
      </x:c>
      <x:c r="G94" s="19" t="str"/>
      <x:c r="H94" s="17" t="str">
        <x:v>未評分</x:v>
      </x:c>
      <x:c r="I94" s="6" t="n">
        <x:v>92</x:v>
      </x:c>
    </x:row>
    <x:row r="95">
      <x:c r="A95" s="13" t="str">
        <x:v>1001</x:v>
      </x:c>
      <x:c r="B95" s="14" t="str"/>
      <x:c r="C95" s="14" t="str">
        <x:v>Lv.10</x:v>
      </x:c>
      <x:c r="D95" s="14" t="str">
        <x:v>謝耀慶醫師</x:v>
      </x:c>
      <x:c r="E95" s="6" t="str">
        <x:v>器械準備</x:v>
      </x:c>
      <x:c r="F95" s="6" t="str">
        <x:v>簡單拔牙</x:v>
      </x:c>
      <x:c r="G95" s="19" t="str"/>
      <x:c r="H95" s="17" t="str">
        <x:v>未評分</x:v>
      </x:c>
      <x:c r="I95" s="6" t="n">
        <x:v>93</x:v>
      </x:c>
    </x:row>
    <x:row r="96">
      <x:c r="A96" s="13" t="str">
        <x:v>1001</x:v>
      </x:c>
      <x:c r="B96" s="14" t="str"/>
      <x:c r="C96" s="14" t="str">
        <x:v>Lv.10</x:v>
      </x:c>
      <x:c r="D96" s="14" t="str">
        <x:v>謝耀慶醫師</x:v>
      </x:c>
      <x:c r="E96" s="6" t="str"/>
      <x:c r="F96" s="6" t="str">
        <x:v>器械熟悉度</x:v>
      </x:c>
      <x:c r="G96" s="19" t="str">
        <x:v>◎</x:v>
      </x:c>
      <x:c r="H96" s="17" t="str">
        <x:v>熟練</x:v>
      </x:c>
      <x:c r="I96" s="6" t="n">
        <x:v>94</x:v>
      </x:c>
    </x:row>
    <x:row r="97">
      <x:c r="A97" s="13" t="str">
        <x:v>1001</x:v>
      </x:c>
      <x:c r="B97" s="14" t="str"/>
      <x:c r="C97" s="14" t="str">
        <x:v>Lv.10</x:v>
      </x:c>
      <x:c r="D97" s="14" t="str">
        <x:v>謝耀慶醫師</x:v>
      </x:c>
      <x:c r="E97" s="6" t="str"/>
      <x:c r="F97" s="6" t="str">
        <x:v>跟診順暢度</x:v>
      </x:c>
      <x:c r="G97" s="19" t="str">
        <x:v>◎</x:v>
      </x:c>
      <x:c r="H97" s="17" t="str">
        <x:v>熟練</x:v>
      </x:c>
      <x:c r="I97" s="6" t="n">
        <x:v>95</x:v>
      </x:c>
    </x:row>
    <x:row r="98">
      <x:c r="A98" s="13" t="str">
        <x:v>1001</x:v>
      </x:c>
      <x:c r="B98" s="14" t="str"/>
      <x:c r="C98" s="14" t="str">
        <x:v>Lv.10</x:v>
      </x:c>
      <x:c r="D98" s="14" t="str">
        <x:v>謝耀慶醫師</x:v>
      </x:c>
      <x:c r="E98" s="6" t="str"/>
      <x:c r="F98" s="6" t="str">
        <x:v>病歷紀錄</x:v>
      </x:c>
      <x:c r="G98" s="19" t="str">
        <x:v>◎</x:v>
      </x:c>
      <x:c r="H98" s="17" t="str">
        <x:v>熟練</x:v>
      </x:c>
      <x:c r="I98" s="6" t="n">
        <x:v>96</x:v>
      </x:c>
    </x:row>
    <x:row r="99">
      <x:c r="A99" s="13" t="str">
        <x:v>1001</x:v>
      </x:c>
      <x:c r="B99" s="14" t="str"/>
      <x:c r="C99" s="14" t="str">
        <x:v>Lv.10</x:v>
      </x:c>
      <x:c r="D99" s="14" t="str">
        <x:v>謝耀慶醫師</x:v>
      </x:c>
      <x:c r="E99" s="6" t="str"/>
      <x:c r="F99" s="6" t="str">
        <x:v>X光片紀錄</x:v>
      </x:c>
      <x:c r="G99" s="19" t="str">
        <x:v>◎</x:v>
      </x:c>
      <x:c r="H99" s="17" t="str">
        <x:v>熟練</x:v>
      </x:c>
      <x:c r="I99" s="6" t="n">
        <x:v>97</x:v>
      </x:c>
    </x:row>
    <x:row r="100">
      <x:c r="A100" s="13" t="str">
        <x:v>1001</x:v>
      </x:c>
      <x:c r="B100" s="14" t="str"/>
      <x:c r="C100" s="14" t="str">
        <x:v>Lv.10</x:v>
      </x:c>
      <x:c r="D100" s="14" t="str">
        <x:v>謝耀慶醫師</x:v>
      </x:c>
      <x:c r="E100" s="6" t="str"/>
      <x:c r="F100" s="6" t="str">
        <x:v>手持X光機</x:v>
      </x:c>
      <x:c r="G100" s="19" t="str">
        <x:v>◎</x:v>
      </x:c>
      <x:c r="H100" s="17" t="str">
        <x:v>熟練</x:v>
      </x:c>
      <x:c r="I100" s="6" t="n">
        <x:v>98</x:v>
      </x:c>
    </x:row>
    <x:row r="101">
      <x:c r="A101" s="13" t="str">
        <x:v>1001</x:v>
      </x:c>
      <x:c r="B101" s="14" t="str"/>
      <x:c r="C101" s="14" t="str">
        <x:v>Lv.10</x:v>
      </x:c>
      <x:c r="D101" s="14" t="str">
        <x:v>謝耀慶醫師</x:v>
      </x:c>
      <x:c r="E101" s="6" t="str"/>
      <x:c r="F101" s="6" t="str">
        <x:v>健保申報</x:v>
      </x:c>
      <x:c r="G101" s="19" t="str">
        <x:v>◎</x:v>
      </x:c>
      <x:c r="H101" s="17" t="str">
        <x:v>熟練</x:v>
      </x:c>
      <x:c r="I101" s="6" t="n">
        <x:v>99</x:v>
      </x:c>
    </x:row>
    <x:row r="102">
      <x:c r="A102" s="13" t="str">
        <x:v>1001</x:v>
      </x:c>
      <x:c r="B102" s="14" t="str"/>
      <x:c r="C102" s="14" t="str">
        <x:v>Lv.10</x:v>
      </x:c>
      <x:c r="D102" s="14" t="str">
        <x:v>謝耀慶醫師</x:v>
      </x:c>
      <x:c r="E102" s="6" t="str"/>
      <x:c r="F102" s="6" t="str">
        <x:v>舒眠手術</x:v>
      </x:c>
      <x:c r="G102" s="19" t="str">
        <x:v>◎</x:v>
      </x:c>
      <x:c r="H102" s="17" t="str">
        <x:v>熟練</x:v>
      </x:c>
      <x:c r="I102" s="6" t="n">
        <x:v>100</x:v>
      </x:c>
    </x:row>
    <x:row r="103">
      <x:c r="A103" s="13" t="str">
        <x:v>1001</x:v>
      </x:c>
      <x:c r="B103" s="14" t="str"/>
      <x:c r="C103" s="14" t="str">
        <x:v>Lv.10</x:v>
      </x:c>
      <x:c r="D103" s="14" t="str">
        <x:v>陳醫師</x:v>
      </x:c>
      <x:c r="E103" s="6" t="str">
        <x:v>器械準備</x:v>
      </x:c>
      <x:c r="F103" s="6" t="str">
        <x:v>洗牙</x:v>
      </x:c>
      <x:c r="G103" s="19" t="str">
        <x:v>◎</x:v>
      </x:c>
      <x:c r="H103" s="17" t="str">
        <x:v>熟練</x:v>
      </x:c>
      <x:c r="I103" s="6" t="n">
        <x:v>101</x:v>
      </x:c>
    </x:row>
    <x:row r="104">
      <x:c r="A104" s="13" t="str">
        <x:v>1001</x:v>
      </x:c>
      <x:c r="B104" s="14" t="str"/>
      <x:c r="C104" s="14" t="str">
        <x:v>Lv.10</x:v>
      </x:c>
      <x:c r="D104" s="14" t="str">
        <x:v>陳醫師</x:v>
      </x:c>
      <x:c r="E104" s="6" t="str">
        <x:v>器械準備</x:v>
      </x:c>
      <x:c r="F104" s="6" t="str">
        <x:v>補牙</x:v>
      </x:c>
      <x:c r="G104" s="19" t="str">
        <x:v>◎</x:v>
      </x:c>
      <x:c r="H104" s="17" t="str">
        <x:v>熟練</x:v>
      </x:c>
      <x:c r="I104" s="6" t="n">
        <x:v>102</x:v>
      </x:c>
    </x:row>
    <x:row r="105">
      <x:c r="A105" s="13" t="str">
        <x:v>1001</x:v>
      </x:c>
      <x:c r="B105" s="14" t="str"/>
      <x:c r="C105" s="14" t="str">
        <x:v>Lv.10</x:v>
      </x:c>
      <x:c r="D105" s="14" t="str">
        <x:v>陳醫師</x:v>
      </x:c>
      <x:c r="E105" s="6" t="str">
        <x:v>器械準備</x:v>
      </x:c>
      <x:c r="F105" s="6" t="str">
        <x:v>根管治療</x:v>
      </x:c>
      <x:c r="G105" s="19" t="str">
        <x:v>◎</x:v>
      </x:c>
      <x:c r="H105" s="17" t="str">
        <x:v>熟練</x:v>
      </x:c>
      <x:c r="I105" s="6" t="n">
        <x:v>103</x:v>
      </x:c>
    </x:row>
    <x:row r="106">
      <x:c r="A106" s="13" t="str">
        <x:v>1001</x:v>
      </x:c>
      <x:c r="B106" s="14" t="str"/>
      <x:c r="C106" s="14" t="str">
        <x:v>Lv.10</x:v>
      </x:c>
      <x:c r="D106" s="14" t="str">
        <x:v>陳醫師</x:v>
      </x:c>
      <x:c r="E106" s="6" t="str"/>
      <x:c r="F106" s="6" t="str">
        <x:v>跟診順暢度</x:v>
      </x:c>
      <x:c r="G106" s="19" t="str">
        <x:v>◎</x:v>
      </x:c>
      <x:c r="H106" s="17" t="str">
        <x:v>熟練</x:v>
      </x:c>
      <x:c r="I106" s="6" t="n">
        <x:v>104</x:v>
      </x:c>
    </x:row>
    <x:row r="107">
      <x:c r="A107" s="13" t="str">
        <x:v>1001</x:v>
      </x:c>
      <x:c r="B107" s="14" t="str"/>
      <x:c r="C107" s="14" t="str">
        <x:v>Lv.10</x:v>
      </x:c>
      <x:c r="D107" s="14" t="str">
        <x:v>陳醫師</x:v>
      </x:c>
      <x:c r="E107" s="6" t="str"/>
      <x:c r="F107" s="6" t="str">
        <x:v>病歷紀錄</x:v>
      </x:c>
      <x:c r="G107" s="19" t="str">
        <x:v>◎</x:v>
      </x:c>
      <x:c r="H107" s="17" t="str">
        <x:v>熟練</x:v>
      </x:c>
      <x:c r="I107" s="6" t="n">
        <x:v>105</x:v>
      </x:c>
    </x:row>
    <x:row r="108">
      <x:c r="A108" s="13" t="str">
        <x:v>1001</x:v>
      </x:c>
      <x:c r="B108" s="14" t="str"/>
      <x:c r="C108" s="14" t="str">
        <x:v>Lv.10</x:v>
      </x:c>
      <x:c r="D108" s="14" t="str">
        <x:v>陳醫師</x:v>
      </x:c>
      <x:c r="E108" s="6" t="str"/>
      <x:c r="F108" s="6" t="str">
        <x:v>拍PANO、PA</x:v>
      </x:c>
      <x:c r="G108" s="19" t="str">
        <x:v>◎</x:v>
      </x:c>
      <x:c r="H108" s="17" t="str">
        <x:v>熟練</x:v>
      </x:c>
      <x:c r="I108" s="6" t="n">
        <x:v>106</x:v>
      </x:c>
    </x:row>
    <x:row r="109">
      <x:c r="A109" s="13" t="str">
        <x:v>1001</x:v>
      </x:c>
      <x:c r="B109" s="14" t="str"/>
      <x:c r="C109" s="14" t="str">
        <x:v>Lv.10</x:v>
      </x:c>
      <x:c r="D109" s="14" t="str">
        <x:v>陳醫師</x:v>
      </x:c>
      <x:c r="E109" s="6" t="str"/>
      <x:c r="F109" s="6" t="str">
        <x:v>X光片紀錄</x:v>
      </x:c>
      <x:c r="G109" s="19" t="str">
        <x:v>◎</x:v>
      </x:c>
      <x:c r="H109" s="17" t="str">
        <x:v>熟練</x:v>
      </x:c>
      <x:c r="I109" s="6" t="n">
        <x:v>107</x:v>
      </x:c>
    </x:row>
    <x:row r="110">
      <x:c r="A110" s="13" t="str">
        <x:v>1001</x:v>
      </x:c>
      <x:c r="B110" s="14" t="str"/>
      <x:c r="C110" s="14" t="str">
        <x:v>Lv.10</x:v>
      </x:c>
      <x:c r="D110" s="14" t="str">
        <x:v>陳醫師</x:v>
      </x:c>
      <x:c r="E110" s="6" t="str"/>
      <x:c r="F110" s="6" t="str">
        <x:v>健保申報</x:v>
      </x:c>
      <x:c r="G110" s="19" t="str">
        <x:v>◎</x:v>
      </x:c>
      <x:c r="H110" s="17" t="str">
        <x:v>熟練</x:v>
      </x:c>
      <x:c r="I110" s="6" t="n">
        <x:v>108</x:v>
      </x:c>
    </x:row>
    <x:row r="111">
      <x:c r="A111" s="13" t="str">
        <x:v>1001</x:v>
      </x:c>
      <x:c r="B111" s="14" t="str"/>
      <x:c r="C111" s="14" t="str">
        <x:v>Lv.10</x:v>
      </x:c>
      <x:c r="D111" s="14" t="str">
        <x:v>陳醫師</x:v>
      </x:c>
      <x:c r="E111" s="6" t="str"/>
      <x:c r="F111" s="6" t="str">
        <x:v>固定假牙</x:v>
      </x:c>
      <x:c r="G111" s="19" t="str">
        <x:v>Ø</x:v>
      </x:c>
      <x:c r="H111" s="17" t="str">
        <x:v>尚未熟練</x:v>
      </x:c>
      <x:c r="I111" s="6" t="n">
        <x:v>109</x:v>
      </x:c>
    </x:row>
    <x:row r="112">
      <x:c r="A112" s="13" t="str">
        <x:v>1001</x:v>
      </x:c>
      <x:c r="B112" s="14" t="str"/>
      <x:c r="C112" s="14" t="str">
        <x:v>Lv.10</x:v>
      </x:c>
      <x:c r="D112" s="14" t="str">
        <x:v>陳醫師</x:v>
      </x:c>
      <x:c r="E112" s="6" t="str"/>
      <x:c r="F112" s="6" t="str">
        <x:v>顯微根管</x:v>
      </x:c>
      <x:c r="G112" s="19" t="str">
        <x:v>◎</x:v>
      </x:c>
      <x:c r="H112" s="17" t="str">
        <x:v>熟練</x:v>
      </x:c>
      <x:c r="I112" s="6" t="n">
        <x:v>110</x:v>
      </x:c>
    </x:row>
    <x:row r="113">
      <x:c r="A113" s="13" t="str">
        <x:v>1001</x:v>
      </x:c>
      <x:c r="B113" s="14" t="str"/>
      <x:c r="C113" s="14" t="str">
        <x:v>Lv.10</x:v>
      </x:c>
      <x:c r="D113" s="14" t="str">
        <x:v>櫃台</x:v>
      </x:c>
      <x:c r="E113" s="6" t="str"/>
      <x:c r="F113" s="6" t="str">
        <x:v>掛號處理(含初診處理)開立一般收據及藥單</x:v>
      </x:c>
      <x:c r="G113" s="19" t="str">
        <x:v>◎</x:v>
      </x:c>
      <x:c r="H113" s="17" t="str">
        <x:v>熟練</x:v>
      </x:c>
      <x:c r="I113" s="6" t="n">
        <x:v>111</x:v>
      </x:c>
    </x:row>
    <x:row r="114">
      <x:c r="A114" s="13" t="str">
        <x:v>1001</x:v>
      </x:c>
      <x:c r="B114" s="14" t="str"/>
      <x:c r="C114" s="14" t="str">
        <x:v>Lv.10</x:v>
      </x:c>
      <x:c r="D114" s="14" t="str">
        <x:v>櫃台</x:v>
      </x:c>
      <x:c r="E114" s="6" t="str"/>
      <x:c r="F114" s="6" t="str">
        <x:v>收費紀錄</x:v>
      </x:c>
      <x:c r="G114" s="19" t="str">
        <x:v>◎</x:v>
      </x:c>
      <x:c r="H114" s="17" t="str">
        <x:v>熟練</x:v>
      </x:c>
      <x:c r="I114" s="6" t="n">
        <x:v>112</x:v>
      </x:c>
    </x:row>
    <x:row r="115">
      <x:c r="A115" s="13" t="str">
        <x:v>1001</x:v>
      </x:c>
      <x:c r="B115" s="14" t="str"/>
      <x:c r="C115" s="14" t="str">
        <x:v>Lv.10</x:v>
      </x:c>
      <x:c r="D115" s="14" t="str">
        <x:v>櫃台</x:v>
      </x:c>
      <x:c r="E115" s="6" t="str"/>
      <x:c r="F115" s="6" t="str">
        <x:v>病歷整理</x:v>
      </x:c>
      <x:c r="G115" s="19" t="str">
        <x:v>◎</x:v>
      </x:c>
      <x:c r="H115" s="17" t="str">
        <x:v>熟練</x:v>
      </x:c>
      <x:c r="I115" s="6" t="n">
        <x:v>113</x:v>
      </x:c>
    </x:row>
    <x:row r="116">
      <x:c r="A116" s="13" t="str">
        <x:v>1001</x:v>
      </x:c>
      <x:c r="B116" s="14" t="str"/>
      <x:c r="C116" s="14" t="str">
        <x:v>Lv.10</x:v>
      </x:c>
      <x:c r="D116" s="14" t="str">
        <x:v>櫃台</x:v>
      </x:c>
      <x:c r="E116" s="6" t="str"/>
      <x:c r="F116" s="6" t="str">
        <x:v>治療同意書填寫</x:v>
      </x:c>
      <x:c r="G116" s="19" t="str">
        <x:v>◎</x:v>
      </x:c>
      <x:c r="H116" s="17" t="str">
        <x:v>熟練</x:v>
      </x:c>
      <x:c r="I116" s="6" t="n">
        <x:v>114</x:v>
      </x:c>
    </x:row>
    <x:row r="117">
      <x:c r="A117" s="13" t="str">
        <x:v>1001</x:v>
      </x:c>
      <x:c r="B117" s="14" t="str"/>
      <x:c r="C117" s="14" t="str">
        <x:v>Lv.10</x:v>
      </x:c>
      <x:c r="D117" s="14" t="str">
        <x:v>櫃台</x:v>
      </x:c>
      <x:c r="E117" s="6" t="str"/>
      <x:c r="F117" s="6" t="str">
        <x:v>與患者應對</x:v>
      </x:c>
      <x:c r="G117" s="19" t="str">
        <x:v>◎</x:v>
      </x:c>
      <x:c r="H117" s="17" t="str">
        <x:v>熟練</x:v>
      </x:c>
      <x:c r="I117" s="6" t="n">
        <x:v>115</x:v>
      </x:c>
    </x:row>
    <x:row r="118">
      <x:c r="A118" s="13" t="str">
        <x:v>1001</x:v>
      </x:c>
      <x:c r="B118" s="14" t="str"/>
      <x:c r="C118" s="14" t="str">
        <x:v>Lv.10</x:v>
      </x:c>
      <x:c r="D118" s="14" t="str">
        <x:v>櫃台</x:v>
      </x:c>
      <x:c r="E118" s="6" t="str"/>
      <x:c r="F118" s="6" t="str">
        <x:v>約診</x:v>
      </x:c>
      <x:c r="G118" s="19" t="str">
        <x:v>◎</x:v>
      </x:c>
      <x:c r="H118" s="17" t="str">
        <x:v>熟練</x:v>
      </x:c>
      <x:c r="I118" s="6" t="n">
        <x:v>116</x:v>
      </x:c>
    </x:row>
    <x:row r="119">
      <x:c r="A119" s="13" t="str">
        <x:v>1001</x:v>
      </x:c>
      <x:c r="B119" s="14" t="str"/>
      <x:c r="C119" s="14" t="str">
        <x:v>Lv.10</x:v>
      </x:c>
      <x:c r="D119" s="14" t="str">
        <x:v>櫃台</x:v>
      </x:c>
      <x:c r="E119" s="6" t="str"/>
      <x:c r="F119" s="6" t="str">
        <x:v>報表製作</x:v>
      </x:c>
      <x:c r="G119" s="19" t="str">
        <x:v>◎</x:v>
      </x:c>
      <x:c r="H119" s="17" t="str">
        <x:v>熟練</x:v>
      </x:c>
      <x:c r="I119" s="6" t="n">
        <x:v>117</x:v>
      </x:c>
    </x:row>
    <x:row r="120">
      <x:c r="A120" s="13" t="str">
        <x:v>1001</x:v>
      </x:c>
      <x:c r="B120" s="14" t="str"/>
      <x:c r="C120" s="14" t="str">
        <x:v>Lv.10</x:v>
      </x:c>
      <x:c r="D120" s="14" t="str">
        <x:v>櫃台</x:v>
      </x:c>
      <x:c r="E120" s="6" t="str"/>
      <x:c r="F120" s="6" t="str">
        <x:v>診斷證明書</x:v>
      </x:c>
      <x:c r="G120" s="19" t="str">
        <x:v>◎</x:v>
      </x:c>
      <x:c r="H120" s="17" t="str">
        <x:v>熟練</x:v>
      </x:c>
      <x:c r="I120" s="6" t="n">
        <x:v>118</x:v>
      </x:c>
    </x:row>
    <x:row r="121">
      <x:c r="A121" s="13" t="str">
        <x:v>1001</x:v>
      </x:c>
      <x:c r="B121" s="14" t="str"/>
      <x:c r="C121" s="14" t="str">
        <x:v>Lv.10</x:v>
      </x:c>
      <x:c r="D121" s="14" t="str">
        <x:v>櫃台</x:v>
      </x:c>
      <x:c r="E121" s="6" t="str"/>
      <x:c r="F121" s="6" t="str">
        <x:v>牙統VPN</x:v>
      </x:c>
      <x:c r="G121" s="19" t="str">
        <x:v>◎</x:v>
      </x:c>
      <x:c r="H121" s="17" t="str">
        <x:v>熟練</x:v>
      </x:c>
      <x:c r="I121" s="6" t="n">
        <x:v>119</x:v>
      </x:c>
    </x:row>
    <x:row r="122">
      <x:c r="A122" s="13" t="str">
        <x:v>1001</x:v>
      </x:c>
      <x:c r="B122" s="14" t="str"/>
      <x:c r="C122" s="14" t="str">
        <x:v>Lv.10</x:v>
      </x:c>
      <x:c r="D122" s="14" t="str">
        <x:v>櫃台</x:v>
      </x:c>
      <x:c r="E122" s="6" t="str"/>
      <x:c r="F122" s="6" t="str">
        <x:v>病歷檢查核對</x:v>
      </x:c>
      <x:c r="G122" s="19" t="str">
        <x:v>◎</x:v>
      </x:c>
      <x:c r="H122" s="17" t="str">
        <x:v>熟練</x:v>
      </x:c>
      <x:c r="I122" s="6" t="n">
        <x:v>120</x:v>
      </x:c>
    </x:row>
    <x:row r="123">
      <x:c r="A123" s="13" t="str">
        <x:v>1001</x:v>
      </x:c>
      <x:c r="B123" s="14" t="str"/>
      <x:c r="C123" s="14" t="str">
        <x:v>Lv.10</x:v>
      </x:c>
      <x:c r="D123" s="14" t="str">
        <x:v>櫃台</x:v>
      </x:c>
      <x:c r="E123" s="6" t="str"/>
      <x:c r="F123" s="6" t="str">
        <x:v>抽審資料處理</x:v>
      </x:c>
      <x:c r="G123" s="19" t="str">
        <x:v>◎</x:v>
      </x:c>
      <x:c r="H123" s="17" t="str">
        <x:v>熟練</x:v>
      </x:c>
      <x:c r="I123" s="6" t="n">
        <x:v>121</x:v>
      </x:c>
    </x:row>
    <x:row r="124">
      <x:c r="A124" s="13" t="str">
        <x:v>1004</x:v>
      </x:c>
      <x:c r="B124" s="14" t="str"/>
      <x:c r="C124" s="14" t="str">
        <x:v>Lv.8</x:v>
      </x:c>
      <x:c r="D124" s="14" t="str">
        <x:v>流動工作</x:v>
      </x:c>
      <x:c r="E124" s="6" t="str"/>
      <x:c r="F124" s="6" t="str">
        <x:v>撤備台</x:v>
      </x:c>
      <x:c r="G124" s="19" t="str">
        <x:v>◎</x:v>
      </x:c>
      <x:c r="H124" s="17" t="str">
        <x:v>熟練</x:v>
      </x:c>
      <x:c r="I124" s="6" t="n">
        <x:v>5</x:v>
      </x:c>
    </x:row>
    <x:row r="125">
      <x:c r="A125" s="13" t="str">
        <x:v>1004</x:v>
      </x:c>
      <x:c r="B125" s="14" t="str"/>
      <x:c r="C125" s="14" t="str">
        <x:v>Lv.8</x:v>
      </x:c>
      <x:c r="D125" s="14" t="str">
        <x:v>流動工作</x:v>
      </x:c>
      <x:c r="E125" s="6" t="str"/>
      <x:c r="F125" s="6" t="str">
        <x:v>器械清消流程</x:v>
      </x:c>
      <x:c r="G125" s="19" t="str">
        <x:v>◎</x:v>
      </x:c>
      <x:c r="H125" s="17" t="str">
        <x:v>熟練</x:v>
      </x:c>
      <x:c r="I125" s="6" t="n">
        <x:v>6</x:v>
      </x:c>
    </x:row>
    <x:row r="126">
      <x:c r="A126" s="13" t="str">
        <x:v>1004</x:v>
      </x:c>
      <x:c r="B126" s="14" t="str"/>
      <x:c r="C126" s="14" t="str">
        <x:v>Lv.8</x:v>
      </x:c>
      <x:c r="D126" s="14" t="str">
        <x:v>流動工作</x:v>
      </x:c>
      <x:c r="E126" s="6" t="str"/>
      <x:c r="F126" s="6" t="str">
        <x:v>認識治療項目</x:v>
      </x:c>
      <x:c r="G126" s="19" t="str">
        <x:v>◎</x:v>
      </x:c>
      <x:c r="H126" s="17" t="str">
        <x:v>熟練</x:v>
      </x:c>
      <x:c r="I126" s="6" t="n">
        <x:v>7</x:v>
      </x:c>
    </x:row>
    <x:row r="127">
      <x:c r="A127" s="13" t="str">
        <x:v>1004</x:v>
      </x:c>
      <x:c r="B127" s="14" t="str"/>
      <x:c r="C127" s="14" t="str">
        <x:v>Lv.8</x:v>
      </x:c>
      <x:c r="D127" s="14" t="str">
        <x:v>流動工作</x:v>
      </x:c>
      <x:c r="E127" s="6" t="str"/>
      <x:c r="F127" s="6" t="str">
        <x:v>替代跟診人員灌模</x:v>
      </x:c>
      <x:c r="G127" s="19" t="str">
        <x:v>◎</x:v>
      </x:c>
      <x:c r="H127" s="17" t="str">
        <x:v>熟練</x:v>
      </x:c>
      <x:c r="I127" s="6" t="n">
        <x:v>8</x:v>
      </x:c>
    </x:row>
    <x:row r="128">
      <x:c r="A128" s="13" t="str">
        <x:v>1004</x:v>
      </x:c>
      <x:c r="B128" s="14" t="str"/>
      <x:c r="C128" s="14" t="str">
        <x:v>Lv.8</x:v>
      </x:c>
      <x:c r="D128" s="14" t="str">
        <x:v>流動工作</x:v>
      </x:c>
      <x:c r="E128" s="6" t="str"/>
      <x:c r="F128" s="6" t="str">
        <x:v>拍攝X光片(PANO)</x:v>
      </x:c>
      <x:c r="G128" s="19" t="str">
        <x:v>◎</x:v>
      </x:c>
      <x:c r="H128" s="17" t="str">
        <x:v>熟練</x:v>
      </x:c>
      <x:c r="I128" s="6" t="n">
        <x:v>9</x:v>
      </x:c>
    </x:row>
    <x:row r="129">
      <x:c r="A129" s="13" t="str">
        <x:v>1004</x:v>
      </x:c>
      <x:c r="B129" s="14" t="str"/>
      <x:c r="C129" s="14" t="str">
        <x:v>Lv.8</x:v>
      </x:c>
      <x:c r="D129" s="14" t="str">
        <x:v>流動工作</x:v>
      </x:c>
      <x:c r="E129" s="6" t="str"/>
      <x:c r="F129" s="6" t="str">
        <x:v>拍攝根尖片(用鱷魚夾)</x:v>
      </x:c>
      <x:c r="G129" s="19" t="str">
        <x:v>◎</x:v>
      </x:c>
      <x:c r="H129" s="17" t="str">
        <x:v>熟練</x:v>
      </x:c>
      <x:c r="I129" s="6" t="n">
        <x:v>10</x:v>
      </x:c>
    </x:row>
    <x:row r="130">
      <x:c r="A130" s="13" t="str">
        <x:v>1004</x:v>
      </x:c>
      <x:c r="B130" s="14" t="str"/>
      <x:c r="C130" s="14" t="str">
        <x:v>Lv.8</x:v>
      </x:c>
      <x:c r="D130" s="14" t="str">
        <x:v>流動工作</x:v>
      </x:c>
      <x:c r="E130" s="6" t="str"/>
      <x:c r="F130" s="6" t="str">
        <x:v>拍攝根尖片(手壓片)</x:v>
      </x:c>
      <x:c r="G130" s="19" t="str">
        <x:v>◎</x:v>
      </x:c>
      <x:c r="H130" s="17" t="str">
        <x:v>熟練</x:v>
      </x:c>
      <x:c r="I130" s="6" t="n">
        <x:v>11</x:v>
      </x:c>
    </x:row>
    <x:row r="131">
      <x:c r="A131" s="13" t="str">
        <x:v>1004</x:v>
      </x:c>
      <x:c r="B131" s="14" t="str"/>
      <x:c r="C131" s="14" t="str">
        <x:v>Lv.8</x:v>
      </x:c>
      <x:c r="D131" s="14" t="str">
        <x:v>流動工作</x:v>
      </x:c>
      <x:c r="E131" s="6" t="str"/>
      <x:c r="F131" s="6" t="str">
        <x:v>開、關診工作</x:v>
      </x:c>
      <x:c r="G131" s="19" t="str">
        <x:v>◎</x:v>
      </x:c>
      <x:c r="H131" s="17" t="str">
        <x:v>熟練</x:v>
      </x:c>
      <x:c r="I131" s="6" t="n">
        <x:v>12</x:v>
      </x:c>
    </x:row>
    <x:row r="132">
      <x:c r="A132" s="13" t="str">
        <x:v>1004</x:v>
      </x:c>
      <x:c r="B132" s="14" t="str"/>
      <x:c r="C132" s="14" t="str">
        <x:v>Lv.8</x:v>
      </x:c>
      <x:c r="D132" s="14" t="str">
        <x:v>流動工作</x:v>
      </x:c>
      <x:c r="E132" s="6" t="str"/>
      <x:c r="F132" s="6" t="str">
        <x:v>備品補充+器械安全庫存</x:v>
      </x:c>
      <x:c r="G132" s="19" t="str">
        <x:v>◎</x:v>
      </x:c>
      <x:c r="H132" s="17" t="str">
        <x:v>熟練</x:v>
      </x:c>
      <x:c r="I132" s="6" t="n">
        <x:v>13</x:v>
      </x:c>
    </x:row>
    <x:row r="133">
      <x:c r="A133" s="13" t="str">
        <x:v>1004</x:v>
      </x:c>
      <x:c r="B133" s="14" t="str"/>
      <x:c r="C133" s="14" t="str">
        <x:v>Lv.8</x:v>
      </x:c>
      <x:c r="D133" s="14" t="str">
        <x:v>衛教</x:v>
      </x:c>
      <x:c r="E133" s="6" t="str"/>
      <x:c r="F133" s="6" t="str">
        <x:v>基礎衛教</x:v>
      </x:c>
      <x:c r="G133" s="19" t="str">
        <x:v>◎</x:v>
      </x:c>
      <x:c r="H133" s="17" t="str">
        <x:v>熟練</x:v>
      </x:c>
      <x:c r="I133" s="6" t="n">
        <x:v>14</x:v>
      </x:c>
    </x:row>
    <x:row r="134">
      <x:c r="A134" s="13" t="str">
        <x:v>1004</x:v>
      </x:c>
      <x:c r="B134" s="14" t="str"/>
      <x:c r="C134" s="14" t="str">
        <x:v>Lv.8</x:v>
      </x:c>
      <x:c r="D134" s="14" t="str">
        <x:v>衛教</x:v>
      </x:c>
      <x:c r="E134" s="6" t="str"/>
      <x:c r="F134" s="6" t="str">
        <x:v>進階衛教</x:v>
      </x:c>
      <x:c r="G134" s="19" t="str">
        <x:v>◎</x:v>
      </x:c>
      <x:c r="H134" s="17" t="str">
        <x:v>熟練</x:v>
      </x:c>
      <x:c r="I134" s="6" t="n">
        <x:v>15</x:v>
      </x:c>
    </x:row>
    <x:row r="135">
      <x:c r="A135" s="13" t="str">
        <x:v>1004</x:v>
      </x:c>
      <x:c r="B135" s="14" t="str"/>
      <x:c r="C135" s="14" t="str">
        <x:v>Lv.8</x:v>
      </x:c>
      <x:c r="D135" s="14" t="str">
        <x:v>李柄輝醫師</x:v>
      </x:c>
      <x:c r="E135" s="6" t="str">
        <x:v>器械準備</x:v>
      </x:c>
      <x:c r="F135" s="6" t="str">
        <x:v>洗牙</x:v>
      </x:c>
      <x:c r="G135" s="19" t="str">
        <x:v>◎</x:v>
      </x:c>
      <x:c r="H135" s="17" t="str">
        <x:v>熟練</x:v>
      </x:c>
      <x:c r="I135" s="6" t="n">
        <x:v>16</x:v>
      </x:c>
    </x:row>
    <x:row r="136">
      <x:c r="A136" s="13" t="str">
        <x:v>1004</x:v>
      </x:c>
      <x:c r="B136" s="14" t="str"/>
      <x:c r="C136" s="14" t="str">
        <x:v>Lv.8</x:v>
      </x:c>
      <x:c r="D136" s="14" t="str">
        <x:v>李柄輝醫師</x:v>
      </x:c>
      <x:c r="E136" s="6" t="str">
        <x:v>器械準備</x:v>
      </x:c>
      <x:c r="F136" s="6" t="str">
        <x:v>補牙</x:v>
      </x:c>
      <x:c r="G136" s="19" t="str">
        <x:v>◎</x:v>
      </x:c>
      <x:c r="H136" s="17" t="str">
        <x:v>熟練</x:v>
      </x:c>
      <x:c r="I136" s="6" t="n">
        <x:v>17</x:v>
      </x:c>
    </x:row>
    <x:row r="137">
      <x:c r="A137" s="13" t="str">
        <x:v>1004</x:v>
      </x:c>
      <x:c r="B137" s="14" t="str"/>
      <x:c r="C137" s="14" t="str">
        <x:v>Lv.8</x:v>
      </x:c>
      <x:c r="D137" s="14" t="str">
        <x:v>李柄輝醫師</x:v>
      </x:c>
      <x:c r="E137" s="6" t="str">
        <x:v>器械準備</x:v>
      </x:c>
      <x:c r="F137" s="6" t="str">
        <x:v>牙周統合</x:v>
      </x:c>
      <x:c r="G137" s="19" t="str">
        <x:v>◎</x:v>
      </x:c>
      <x:c r="H137" s="17" t="str">
        <x:v>熟練</x:v>
      </x:c>
      <x:c r="I137" s="6" t="n">
        <x:v>18</x:v>
      </x:c>
    </x:row>
    <x:row r="138">
      <x:c r="A138" s="13" t="str">
        <x:v>1004</x:v>
      </x:c>
      <x:c r="B138" s="14" t="str"/>
      <x:c r="C138" s="14" t="str">
        <x:v>Lv.8</x:v>
      </x:c>
      <x:c r="D138" s="14" t="str">
        <x:v>李柄輝醫師</x:v>
      </x:c>
      <x:c r="E138" s="6" t="str">
        <x:v>器械準備</x:v>
      </x:c>
      <x:c r="F138" s="6" t="str">
        <x:v>根管治療(插針照)</x:v>
      </x:c>
      <x:c r="G138" s="19" t="str">
        <x:v>◎</x:v>
      </x:c>
      <x:c r="H138" s="17" t="str">
        <x:v>熟練</x:v>
      </x:c>
      <x:c r="I138" s="6" t="n">
        <x:v>19</x:v>
      </x:c>
    </x:row>
    <x:row r="139">
      <x:c r="A139" s="13" t="str">
        <x:v>1004</x:v>
      </x:c>
      <x:c r="B139" s="14" t="str"/>
      <x:c r="C139" s="14" t="str">
        <x:v>Lv.8</x:v>
      </x:c>
      <x:c r="D139" s="14" t="str">
        <x:v>李柄輝醫師</x:v>
      </x:c>
      <x:c r="E139" s="6" t="str">
        <x:v>器械準備</x:v>
      </x:c>
      <x:c r="F139" s="6" t="str">
        <x:v>拆crown/post</x:v>
      </x:c>
      <x:c r="G139" s="19" t="str">
        <x:v>◎</x:v>
      </x:c>
      <x:c r="H139" s="17" t="str">
        <x:v>熟練</x:v>
      </x:c>
      <x:c r="I139" s="6" t="n">
        <x:v>20</x:v>
      </x:c>
    </x:row>
    <x:row r="140">
      <x:c r="A140" s="13" t="str">
        <x:v>1004</x:v>
      </x:c>
      <x:c r="B140" s="14" t="str"/>
      <x:c r="C140" s="14" t="str">
        <x:v>Lv.8</x:v>
      </x:c>
      <x:c r="D140" s="14" t="str">
        <x:v>李柄輝醫師</x:v>
      </x:c>
      <x:c r="E140" s="6" t="str">
        <x:v>器械準備</x:v>
      </x:c>
      <x:c r="F140" s="6" t="str">
        <x:v>拔牙</x:v>
      </x:c>
      <x:c r="G140" s="19" t="str">
        <x:v>◎</x:v>
      </x:c>
      <x:c r="H140" s="17" t="str">
        <x:v>熟練</x:v>
      </x:c>
      <x:c r="I140" s="6" t="n">
        <x:v>21</x:v>
      </x:c>
    </x:row>
    <x:row r="141">
      <x:c r="A141" s="13" t="str">
        <x:v>1004</x:v>
      </x:c>
      <x:c r="B141" s="14" t="str"/>
      <x:c r="C141" s="14" t="str">
        <x:v>Lv.8</x:v>
      </x:c>
      <x:c r="D141" s="14" t="str">
        <x:v>李柄輝醫師</x:v>
      </x:c>
      <x:c r="E141" s="6" t="str">
        <x:v>自費</x:v>
      </x:c>
      <x:c r="F141" s="6" t="str">
        <x:v>固定假牙(黏著劑)</x:v>
      </x:c>
      <x:c r="G141" s="19" t="str">
        <x:v>◎</x:v>
      </x:c>
      <x:c r="H141" s="17" t="str">
        <x:v>熟練</x:v>
      </x:c>
      <x:c r="I141" s="6" t="n">
        <x:v>22</x:v>
      </x:c>
    </x:row>
    <x:row r="142">
      <x:c r="A142" s="13" t="str">
        <x:v>1004</x:v>
      </x:c>
      <x:c r="B142" s="14" t="str"/>
      <x:c r="C142" s="14" t="str">
        <x:v>Lv.8</x:v>
      </x:c>
      <x:c r="D142" s="14" t="str">
        <x:v>李柄輝醫師</x:v>
      </x:c>
      <x:c r="E142" s="6" t="str"/>
      <x:c r="F142" s="6" t="str">
        <x:v>跟診順暢度</x:v>
      </x:c>
      <x:c r="G142" s="19" t="str">
        <x:v>◎</x:v>
      </x:c>
      <x:c r="H142" s="17" t="str">
        <x:v>熟練</x:v>
      </x:c>
      <x:c r="I142" s="6" t="n">
        <x:v>23</x:v>
      </x:c>
    </x:row>
    <x:row r="143">
      <x:c r="A143" s="13" t="str">
        <x:v>1004</x:v>
      </x:c>
      <x:c r="B143" s="14" t="str"/>
      <x:c r="C143" s="14" t="str">
        <x:v>Lv.8</x:v>
      </x:c>
      <x:c r="D143" s="14" t="str">
        <x:v>李柄輝醫師</x:v>
      </x:c>
      <x:c r="E143" s="6" t="str"/>
      <x:c r="F143" s="6" t="str">
        <x:v>病歷紀錄</x:v>
      </x:c>
      <x:c r="G143" s="19" t="str">
        <x:v>◎</x:v>
      </x:c>
      <x:c r="H143" s="17" t="str">
        <x:v>熟練</x:v>
      </x:c>
      <x:c r="I143" s="6" t="n">
        <x:v>24</x:v>
      </x:c>
    </x:row>
    <x:row r="144">
      <x:c r="A144" s="13" t="str">
        <x:v>1004</x:v>
      </x:c>
      <x:c r="B144" s="14" t="str"/>
      <x:c r="C144" s="14" t="str">
        <x:v>Lv.8</x:v>
      </x:c>
      <x:c r="D144" s="14" t="str">
        <x:v>李柄輝醫師</x:v>
      </x:c>
      <x:c r="E144" s="6" t="str"/>
      <x:c r="F144" s="6" t="str">
        <x:v>健保申報</x:v>
      </x:c>
      <x:c r="G144" s="19" t="str">
        <x:v>◎</x:v>
      </x:c>
      <x:c r="H144" s="17" t="str">
        <x:v>熟練</x:v>
      </x:c>
      <x:c r="I144" s="6" t="n">
        <x:v>25</x:v>
      </x:c>
    </x:row>
    <x:row r="145">
      <x:c r="A145" s="13" t="str">
        <x:v>1004</x:v>
      </x:c>
      <x:c r="B145" s="14" t="str"/>
      <x:c r="C145" s="14" t="str">
        <x:v>Lv.8</x:v>
      </x:c>
      <x:c r="D145" s="14" t="str">
        <x:v>李柄輝醫師</x:v>
      </x:c>
      <x:c r="E145" s="6" t="str"/>
      <x:c r="F145" s="6" t="str">
        <x:v>X光片紀錄</x:v>
      </x:c>
      <x:c r="G145" s="19" t="str">
        <x:v>◎</x:v>
      </x:c>
      <x:c r="H145" s="17" t="str">
        <x:v>熟練</x:v>
      </x:c>
      <x:c r="I145" s="6" t="n">
        <x:v>26</x:v>
      </x:c>
    </x:row>
    <x:row r="146">
      <x:c r="A146" s="13" t="str">
        <x:v>1004</x:v>
      </x:c>
      <x:c r="B146" s="14" t="str"/>
      <x:c r="C146" s="14" t="str">
        <x:v>Lv.8</x:v>
      </x:c>
      <x:c r="D146" s="14" t="str">
        <x:v>李柄輝醫師</x:v>
      </x:c>
      <x:c r="E146" s="6" t="str"/>
      <x:c r="F146" s="6" t="str">
        <x:v>拍PA</x:v>
      </x:c>
      <x:c r="G146" s="19" t="str">
        <x:v>◎</x:v>
      </x:c>
      <x:c r="H146" s="17" t="str">
        <x:v>熟練</x:v>
      </x:c>
      <x:c r="I146" s="6" t="n">
        <x:v>27</x:v>
      </x:c>
    </x:row>
    <x:row r="147">
      <x:c r="A147" s="13" t="str">
        <x:v>1004</x:v>
      </x:c>
      <x:c r="B147" s="14" t="str"/>
      <x:c r="C147" s="14" t="str">
        <x:v>Lv.8</x:v>
      </x:c>
      <x:c r="D147" s="14" t="str">
        <x:v>李侑津醫師</x:v>
      </x:c>
      <x:c r="E147" s="6" t="str">
        <x:v>器械準備</x:v>
      </x:c>
      <x:c r="F147" s="6" t="str">
        <x:v>洗牙</x:v>
      </x:c>
      <x:c r="G147" s="19" t="str">
        <x:v>◎</x:v>
      </x:c>
      <x:c r="H147" s="17" t="str">
        <x:v>熟練</x:v>
      </x:c>
      <x:c r="I147" s="6" t="n">
        <x:v>28</x:v>
      </x:c>
    </x:row>
    <x:row r="148">
      <x:c r="A148" s="13" t="str">
        <x:v>1004</x:v>
      </x:c>
      <x:c r="B148" s="14" t="str"/>
      <x:c r="C148" s="14" t="str">
        <x:v>Lv.8</x:v>
      </x:c>
      <x:c r="D148" s="14" t="str">
        <x:v>李侑津醫師</x:v>
      </x:c>
      <x:c r="E148" s="6" t="str">
        <x:v>器械準備</x:v>
      </x:c>
      <x:c r="F148" s="6" t="str">
        <x:v>補牙</x:v>
      </x:c>
      <x:c r="G148" s="19" t="str">
        <x:v>◎</x:v>
      </x:c>
      <x:c r="H148" s="17" t="str">
        <x:v>熟練</x:v>
      </x:c>
      <x:c r="I148" s="6" t="n">
        <x:v>29</x:v>
      </x:c>
    </x:row>
    <x:row r="149">
      <x:c r="A149" s="13" t="str">
        <x:v>1004</x:v>
      </x:c>
      <x:c r="B149" s="14" t="str"/>
      <x:c r="C149" s="14" t="str">
        <x:v>Lv.8</x:v>
      </x:c>
      <x:c r="D149" s="14" t="str">
        <x:v>李侑津醫師</x:v>
      </x:c>
      <x:c r="E149" s="6" t="str">
        <x:v>器械準備</x:v>
      </x:c>
      <x:c r="F149" s="6" t="str">
        <x:v>牙周統合</x:v>
      </x:c>
      <x:c r="G149" s="19" t="str">
        <x:v>◎</x:v>
      </x:c>
      <x:c r="H149" s="17" t="str">
        <x:v>熟練</x:v>
      </x:c>
      <x:c r="I149" s="6" t="n">
        <x:v>30</x:v>
      </x:c>
    </x:row>
    <x:row r="150">
      <x:c r="A150" s="13" t="str">
        <x:v>1004</x:v>
      </x:c>
      <x:c r="B150" s="14" t="str"/>
      <x:c r="C150" s="14" t="str">
        <x:v>Lv.8</x:v>
      </x:c>
      <x:c r="D150" s="14" t="str">
        <x:v>李侑津醫師</x:v>
      </x:c>
      <x:c r="E150" s="6" t="str">
        <x:v>器械準備</x:v>
      </x:c>
      <x:c r="F150" s="6" t="str">
        <x:v>根管治療</x:v>
      </x:c>
      <x:c r="G150" s="19" t="str">
        <x:v>◎</x:v>
      </x:c>
      <x:c r="H150" s="17" t="str">
        <x:v>熟練</x:v>
      </x:c>
      <x:c r="I150" s="6" t="n">
        <x:v>31</x:v>
      </x:c>
    </x:row>
    <x:row r="151">
      <x:c r="A151" s="13" t="str">
        <x:v>1004</x:v>
      </x:c>
      <x:c r="B151" s="14" t="str"/>
      <x:c r="C151" s="14" t="str">
        <x:v>Lv.8</x:v>
      </x:c>
      <x:c r="D151" s="14" t="str">
        <x:v>李侑津醫師</x:v>
      </x:c>
      <x:c r="E151" s="6" t="str">
        <x:v>器械準備</x:v>
      </x:c>
      <x:c r="F151" s="6" t="str">
        <x:v>拔牙</x:v>
      </x:c>
      <x:c r="G151" s="19" t="str">
        <x:v>◎</x:v>
      </x:c>
      <x:c r="H151" s="17" t="str">
        <x:v>熟練</x:v>
      </x:c>
      <x:c r="I151" s="6" t="n">
        <x:v>32</x:v>
      </x:c>
    </x:row>
    <x:row r="152">
      <x:c r="A152" s="13" t="str">
        <x:v>1004</x:v>
      </x:c>
      <x:c r="B152" s="14" t="str"/>
      <x:c r="C152" s="14" t="str">
        <x:v>Lv.8</x:v>
      </x:c>
      <x:c r="D152" s="14" t="str">
        <x:v>李侑津醫師</x:v>
      </x:c>
      <x:c r="E152" s="6" t="str">
        <x:v>器械準備</x:v>
      </x:c>
      <x:c r="F152" s="6" t="str">
        <x:v>拆 crown/post</x:v>
      </x:c>
      <x:c r="G152" s="19" t="str">
        <x:v>◎</x:v>
      </x:c>
      <x:c r="H152" s="17" t="str">
        <x:v>熟練</x:v>
      </x:c>
      <x:c r="I152" s="6" t="n">
        <x:v>33</x:v>
      </x:c>
    </x:row>
    <x:row r="153">
      <x:c r="A153" s="13" t="str">
        <x:v>1004</x:v>
      </x:c>
      <x:c r="B153" s="14" t="str"/>
      <x:c r="C153" s="14" t="str">
        <x:v>Lv.8</x:v>
      </x:c>
      <x:c r="D153" s="14" t="str">
        <x:v>李侑津醫師</x:v>
      </x:c>
      <x:c r="E153" s="6" t="str">
        <x:v>自費</x:v>
      </x:c>
      <x:c r="F153" s="6" t="str">
        <x:v>固定假牙</x:v>
      </x:c>
      <x:c r="G153" s="19" t="str">
        <x:v>◎</x:v>
      </x:c>
      <x:c r="H153" s="17" t="str">
        <x:v>熟練</x:v>
      </x:c>
      <x:c r="I153" s="6" t="n">
        <x:v>34</x:v>
      </x:c>
    </x:row>
    <x:row r="154">
      <x:c r="A154" s="13" t="str">
        <x:v>1004</x:v>
      </x:c>
      <x:c r="B154" s="14" t="str"/>
      <x:c r="C154" s="14" t="str">
        <x:v>Lv.8</x:v>
      </x:c>
      <x:c r="D154" s="14" t="str">
        <x:v>李侑津醫師</x:v>
      </x:c>
      <x:c r="E154" s="6" t="str">
        <x:v>自費</x:v>
      </x:c>
      <x:c r="F154" s="6" t="str">
        <x:v>RPD</x:v>
      </x:c>
      <x:c r="G154" s="19" t="str">
        <x:v>◎</x:v>
      </x:c>
      <x:c r="H154" s="17" t="str">
        <x:v>熟練</x:v>
      </x:c>
      <x:c r="I154" s="6" t="n">
        <x:v>35</x:v>
      </x:c>
    </x:row>
    <x:row r="155">
      <x:c r="A155" s="13" t="str">
        <x:v>1004</x:v>
      </x:c>
      <x:c r="B155" s="14" t="str"/>
      <x:c r="C155" s="14" t="str">
        <x:v>Lv.8</x:v>
      </x:c>
      <x:c r="D155" s="14" t="str">
        <x:v>李侑津醫師</x:v>
      </x:c>
      <x:c r="E155" s="6" t="str">
        <x:v>自費</x:v>
      </x:c>
      <x:c r="F155" s="6" t="str">
        <x:v>噴砂美白</x:v>
      </x:c>
      <x:c r="G155" s="19" t="str">
        <x:v>◎</x:v>
      </x:c>
      <x:c r="H155" s="17" t="str">
        <x:v>熟練</x:v>
      </x:c>
      <x:c r="I155" s="6" t="n">
        <x:v>36</x:v>
      </x:c>
    </x:row>
    <x:row r="156">
      <x:c r="A156" s="13" t="str">
        <x:v>1004</x:v>
      </x:c>
      <x:c r="B156" s="14" t="str"/>
      <x:c r="C156" s="14" t="str">
        <x:v>Lv.8</x:v>
      </x:c>
      <x:c r="D156" s="14" t="str">
        <x:v>李侑津醫師</x:v>
      </x:c>
      <x:c r="E156" s="6" t="str">
        <x:v>手術</x:v>
      </x:c>
      <x:c r="F156" s="6" t="str">
        <x:v>牙周手術</x:v>
      </x:c>
      <x:c r="G156" s="19" t="str">
        <x:v>◎</x:v>
      </x:c>
      <x:c r="H156" s="17" t="str">
        <x:v>熟練</x:v>
      </x:c>
      <x:c r="I156" s="6" t="n">
        <x:v>37</x:v>
      </x:c>
    </x:row>
    <x:row r="157">
      <x:c r="A157" s="13" t="str">
        <x:v>1004</x:v>
      </x:c>
      <x:c r="B157" s="14" t="str"/>
      <x:c r="C157" s="14" t="str">
        <x:v>Lv.8</x:v>
      </x:c>
      <x:c r="D157" s="14" t="str">
        <x:v>李侑津醫師</x:v>
      </x:c>
      <x:c r="E157" s="6" t="str">
        <x:v>手術</x:v>
      </x:c>
      <x:c r="F157" s="6" t="str">
        <x:v>顯微根管</x:v>
      </x:c>
      <x:c r="G157" s="19" t="str">
        <x:v>◎</x:v>
      </x:c>
      <x:c r="H157" s="17" t="str">
        <x:v>熟練</x:v>
      </x:c>
      <x:c r="I157" s="6" t="n">
        <x:v>38</x:v>
      </x:c>
    </x:row>
    <x:row r="158">
      <x:c r="A158" s="13" t="str">
        <x:v>1004</x:v>
      </x:c>
      <x:c r="B158" s="14" t="str"/>
      <x:c r="C158" s="14" t="str">
        <x:v>Lv.8</x:v>
      </x:c>
      <x:c r="D158" s="14" t="str">
        <x:v>李侑津醫師</x:v>
      </x:c>
      <x:c r="E158" s="6" t="str">
        <x:v>手術</x:v>
      </x:c>
      <x:c r="F158" s="6" t="str">
        <x:v>植 牙</x:v>
      </x:c>
      <x:c r="G158" s="19" t="str">
        <x:v>◎</x:v>
      </x:c>
      <x:c r="H158" s="17" t="str">
        <x:v>熟練</x:v>
      </x:c>
      <x:c r="I158" s="6" t="n">
        <x:v>39</x:v>
      </x:c>
    </x:row>
    <x:row r="159">
      <x:c r="A159" s="13" t="str">
        <x:v>1004</x:v>
      </x:c>
      <x:c r="B159" s="14" t="str"/>
      <x:c r="C159" s="14" t="str">
        <x:v>Lv.8</x:v>
      </x:c>
      <x:c r="D159" s="14" t="str">
        <x:v>李侑津醫師</x:v>
      </x:c>
      <x:c r="E159" s="6" t="str"/>
      <x:c r="F159" s="6" t="str">
        <x:v>跟診順暢度</x:v>
      </x:c>
      <x:c r="G159" s="19" t="str">
        <x:v>◎</x:v>
      </x:c>
      <x:c r="H159" s="17" t="str">
        <x:v>熟練</x:v>
      </x:c>
      <x:c r="I159" s="6" t="n">
        <x:v>40</x:v>
      </x:c>
    </x:row>
    <x:row r="160">
      <x:c r="A160" s="13" t="str">
        <x:v>1004</x:v>
      </x:c>
      <x:c r="B160" s="14" t="str"/>
      <x:c r="C160" s="14" t="str">
        <x:v>Lv.8</x:v>
      </x:c>
      <x:c r="D160" s="14" t="str">
        <x:v>李侑津醫師</x:v>
      </x:c>
      <x:c r="E160" s="6" t="str"/>
      <x:c r="F160" s="6" t="str">
        <x:v>病歷紀錄</x:v>
      </x:c>
      <x:c r="G160" s="19" t="str">
        <x:v>◎</x:v>
      </x:c>
      <x:c r="H160" s="17" t="str">
        <x:v>熟練</x:v>
      </x:c>
      <x:c r="I160" s="6" t="n">
        <x:v>41</x:v>
      </x:c>
    </x:row>
    <x:row r="161">
      <x:c r="A161" s="13" t="str">
        <x:v>1004</x:v>
      </x:c>
      <x:c r="B161" s="14" t="str"/>
      <x:c r="C161" s="14" t="str">
        <x:v>Lv.8</x:v>
      </x:c>
      <x:c r="D161" s="14" t="str">
        <x:v>李侑津醫師</x:v>
      </x:c>
      <x:c r="E161" s="6" t="str"/>
      <x:c r="F161" s="6" t="str">
        <x:v>健保申報</x:v>
      </x:c>
      <x:c r="G161" s="19" t="str">
        <x:v>◎</x:v>
      </x:c>
      <x:c r="H161" s="17" t="str">
        <x:v>熟練</x:v>
      </x:c>
      <x:c r="I161" s="6" t="n">
        <x:v>42</x:v>
      </x:c>
    </x:row>
    <x:row r="162">
      <x:c r="A162" s="13" t="str">
        <x:v>1004</x:v>
      </x:c>
      <x:c r="B162" s="14" t="str"/>
      <x:c r="C162" s="14" t="str">
        <x:v>Lv.8</x:v>
      </x:c>
      <x:c r="D162" s="14" t="str">
        <x:v>李侑津醫師</x:v>
      </x:c>
      <x:c r="E162" s="6" t="str"/>
      <x:c r="F162" s="6" t="str">
        <x:v>X光片紀錄</x:v>
      </x:c>
      <x:c r="G162" s="19" t="str">
        <x:v>◎</x:v>
      </x:c>
      <x:c r="H162" s="17" t="str">
        <x:v>熟練</x:v>
      </x:c>
      <x:c r="I162" s="6" t="n">
        <x:v>43</x:v>
      </x:c>
    </x:row>
    <x:row r="163">
      <x:c r="A163" s="13" t="str">
        <x:v>1004</x:v>
      </x:c>
      <x:c r="B163" s="14" t="str"/>
      <x:c r="C163" s="14" t="str">
        <x:v>Lv.8</x:v>
      </x:c>
      <x:c r="D163" s="14" t="str">
        <x:v>李侑津醫師</x:v>
      </x:c>
      <x:c r="E163" s="6" t="str"/>
      <x:c r="F163" s="6" t="str">
        <x:v>拍PA</x:v>
      </x:c>
      <x:c r="G163" s="19" t="str">
        <x:v>◎</x:v>
      </x:c>
      <x:c r="H163" s="17" t="str">
        <x:v>熟練</x:v>
      </x:c>
      <x:c r="I163" s="6" t="n">
        <x:v>44</x:v>
      </x:c>
    </x:row>
    <x:row r="164">
      <x:c r="A164" s="13" t="str">
        <x:v>1004</x:v>
      </x:c>
      <x:c r="B164" s="14" t="str"/>
      <x:c r="C164" s="14" t="str">
        <x:v>Lv.8</x:v>
      </x:c>
      <x:c r="D164" s="14" t="str">
        <x:v>李侑津醫師</x:v>
      </x:c>
      <x:c r="E164" s="6" t="str"/>
      <x:c r="F164" s="6" t="str">
        <x:v>口掃機運用</x:v>
      </x:c>
      <x:c r="G164" s="19" t="str">
        <x:v>◎</x:v>
      </x:c>
      <x:c r="H164" s="17" t="str">
        <x:v>熟練</x:v>
      </x:c>
      <x:c r="I164" s="6" t="n">
        <x:v>45</x:v>
      </x:c>
    </x:row>
    <x:row r="165">
      <x:c r="A165" s="13" t="str">
        <x:v>1004</x:v>
      </x:c>
      <x:c r="B165" s="14" t="str"/>
      <x:c r="C165" s="14" t="str">
        <x:v>Lv.8</x:v>
      </x:c>
      <x:c r="D165" s="14" t="str">
        <x:v>廖立揚醫師</x:v>
      </x:c>
      <x:c r="E165" s="6" t="str"/>
      <x:c r="F165" s="6" t="str">
        <x:v>器械熟悉度</x:v>
      </x:c>
      <x:c r="G165" s="19" t="str">
        <x:v>◎</x:v>
      </x:c>
      <x:c r="H165" s="17" t="str">
        <x:v>熟練</x:v>
      </x:c>
      <x:c r="I165" s="6" t="n">
        <x:v>46</x:v>
      </x:c>
    </x:row>
    <x:row r="166">
      <x:c r="A166" s="13" t="str">
        <x:v>1004</x:v>
      </x:c>
      <x:c r="B166" s="14" t="str"/>
      <x:c r="C166" s="14" t="str">
        <x:v>Lv.8</x:v>
      </x:c>
      <x:c r="D166" s="14" t="str">
        <x:v>廖立揚醫師</x:v>
      </x:c>
      <x:c r="E166" s="6" t="str"/>
      <x:c r="F166" s="6" t="str">
        <x:v>跟診順暢度</x:v>
      </x:c>
      <x:c r="G166" s="19" t="str">
        <x:v>◎</x:v>
      </x:c>
      <x:c r="H166" s="17" t="str">
        <x:v>熟練</x:v>
      </x:c>
      <x:c r="I166" s="6" t="n">
        <x:v>47</x:v>
      </x:c>
    </x:row>
    <x:row r="167">
      <x:c r="A167" s="13" t="str">
        <x:v>1004</x:v>
      </x:c>
      <x:c r="B167" s="14" t="str"/>
      <x:c r="C167" s="14" t="str">
        <x:v>Lv.8</x:v>
      </x:c>
      <x:c r="D167" s="14" t="str">
        <x:v>廖立揚醫師</x:v>
      </x:c>
      <x:c r="E167" s="6" t="str"/>
      <x:c r="F167" s="6" t="str">
        <x:v>病歷紀錄</x:v>
      </x:c>
      <x:c r="G167" s="19" t="str">
        <x:v>◎</x:v>
      </x:c>
      <x:c r="H167" s="17" t="str">
        <x:v>熟練</x:v>
      </x:c>
      <x:c r="I167" s="6" t="n">
        <x:v>48</x:v>
      </x:c>
    </x:row>
    <x:row r="168">
      <x:c r="A168" s="13" t="str">
        <x:v>1004</x:v>
      </x:c>
      <x:c r="B168" s="14" t="str"/>
      <x:c r="C168" s="14" t="str">
        <x:v>Lv.8</x:v>
      </x:c>
      <x:c r="D168" s="14" t="str">
        <x:v>廖立揚醫師</x:v>
      </x:c>
      <x:c r="E168" s="6" t="str"/>
      <x:c r="F168" s="6" t="str">
        <x:v>健保申報(初診pano)</x:v>
      </x:c>
      <x:c r="G168" s="19" t="str">
        <x:v>◎</x:v>
      </x:c>
      <x:c r="H168" s="17" t="str">
        <x:v>熟練</x:v>
      </x:c>
      <x:c r="I168" s="6" t="n">
        <x:v>49</x:v>
      </x:c>
    </x:row>
    <x:row r="169">
      <x:c r="A169" s="13" t="str">
        <x:v>1004</x:v>
      </x:c>
      <x:c r="B169" s="14" t="str"/>
      <x:c r="C169" s="14" t="str">
        <x:v>Lv.8</x:v>
      </x:c>
      <x:c r="D169" s="14" t="str">
        <x:v>廖立揚醫師</x:v>
      </x:c>
      <x:c r="E169" s="6" t="str"/>
      <x:c r="F169" s="6" t="str">
        <x:v>X光片紀錄</x:v>
      </x:c>
      <x:c r="G169" s="19" t="str">
        <x:v>◎</x:v>
      </x:c>
      <x:c r="H169" s="17" t="str">
        <x:v>熟練</x:v>
      </x:c>
      <x:c r="I169" s="6" t="n">
        <x:v>50</x:v>
      </x:c>
    </x:row>
    <x:row r="170">
      <x:c r="A170" s="13" t="str">
        <x:v>1004</x:v>
      </x:c>
      <x:c r="B170" s="14" t="str"/>
      <x:c r="C170" s="14" t="str">
        <x:v>Lv.8</x:v>
      </x:c>
      <x:c r="D170" s="14" t="str">
        <x:v>廖立揚醫師</x:v>
      </x:c>
      <x:c r="E170" s="6" t="str"/>
      <x:c r="F170" s="6" t="str">
        <x:v>拍PANO、PA</x:v>
      </x:c>
      <x:c r="G170" s="19" t="str">
        <x:v>◎</x:v>
      </x:c>
      <x:c r="H170" s="17" t="str">
        <x:v>熟練</x:v>
      </x:c>
      <x:c r="I170" s="6" t="n">
        <x:v>51</x:v>
      </x:c>
    </x:row>
    <x:row r="171">
      <x:c r="A171" s="13" t="str">
        <x:v>1004</x:v>
      </x:c>
      <x:c r="B171" s="14" t="str"/>
      <x:c r="C171" s="14" t="str">
        <x:v>Lv.8</x:v>
      </x:c>
      <x:c r="D171" s="14" t="str">
        <x:v>廖立揚醫師</x:v>
      </x:c>
      <x:c r="E171" s="6" t="str"/>
      <x:c r="F171" s="6" t="str">
        <x:v>CT照</x:v>
      </x:c>
      <x:c r="G171" s="19" t="str">
        <x:v>◎</x:v>
      </x:c>
      <x:c r="H171" s="17" t="str">
        <x:v>熟練</x:v>
      </x:c>
      <x:c r="I171" s="6" t="n">
        <x:v>52</x:v>
      </x:c>
    </x:row>
    <x:row r="172">
      <x:c r="A172" s="13" t="str">
        <x:v>1004</x:v>
      </x:c>
      <x:c r="B172" s="14" t="str"/>
      <x:c r="C172" s="14" t="str">
        <x:v>Lv.8</x:v>
      </x:c>
      <x:c r="D172" s="14" t="str">
        <x:v>廖立揚醫師</x:v>
      </x:c>
      <x:c r="E172" s="6" t="str"/>
      <x:c r="F172" s="6" t="str">
        <x:v>側頭顱照</x:v>
      </x:c>
      <x:c r="G172" s="19" t="str">
        <x:v>◎</x:v>
      </x:c>
      <x:c r="H172" s="17" t="str">
        <x:v>熟練</x:v>
      </x:c>
      <x:c r="I172" s="6" t="n">
        <x:v>53</x:v>
      </x:c>
    </x:row>
    <x:row r="173">
      <x:c r="A173" s="13" t="str">
        <x:v>1004</x:v>
      </x:c>
      <x:c r="B173" s="14" t="str"/>
      <x:c r="C173" s="14" t="str">
        <x:v>Lv.8</x:v>
      </x:c>
      <x:c r="D173" s="14" t="str">
        <x:v>廖立揚醫師</x:v>
      </x:c>
      <x:c r="E173" s="6" t="str"/>
      <x:c r="F173" s="6" t="str">
        <x:v>口掃機運用</x:v>
      </x:c>
      <x:c r="G173" s="19" t="str">
        <x:v>◎</x:v>
      </x:c>
      <x:c r="H173" s="17" t="str">
        <x:v>熟練</x:v>
      </x:c>
      <x:c r="I173" s="6" t="n">
        <x:v>54</x:v>
      </x:c>
    </x:row>
    <x:row r="174">
      <x:c r="A174" s="13" t="str">
        <x:v>1004</x:v>
      </x:c>
      <x:c r="B174" s="14" t="str"/>
      <x:c r="C174" s="14" t="str">
        <x:v>Lv.8</x:v>
      </x:c>
      <x:c r="D174" s="14" t="str">
        <x:v>楊小瑩醫師</x:v>
      </x:c>
      <x:c r="E174" s="6" t="str">
        <x:v>器械準備</x:v>
      </x:c>
      <x:c r="F174" s="6" t="str">
        <x:v>洗牙</x:v>
      </x:c>
      <x:c r="G174" s="19" t="str">
        <x:v>◎</x:v>
      </x:c>
      <x:c r="H174" s="17" t="str">
        <x:v>熟練</x:v>
      </x:c>
      <x:c r="I174" s="6" t="n">
        <x:v>55</x:v>
      </x:c>
    </x:row>
    <x:row r="175">
      <x:c r="A175" s="13" t="str">
        <x:v>1004</x:v>
      </x:c>
      <x:c r="B175" s="14" t="str"/>
      <x:c r="C175" s="14" t="str">
        <x:v>Lv.8</x:v>
      </x:c>
      <x:c r="D175" s="14" t="str">
        <x:v>楊小瑩醫師</x:v>
      </x:c>
      <x:c r="E175" s="6" t="str">
        <x:v>器械準備</x:v>
      </x:c>
      <x:c r="F175" s="6" t="str">
        <x:v>補牙</x:v>
      </x:c>
      <x:c r="G175" s="19" t="str">
        <x:v>◎</x:v>
      </x:c>
      <x:c r="H175" s="17" t="str">
        <x:v>熟練</x:v>
      </x:c>
      <x:c r="I175" s="6" t="n">
        <x:v>56</x:v>
      </x:c>
    </x:row>
    <x:row r="176">
      <x:c r="A176" s="13" t="str">
        <x:v>1004</x:v>
      </x:c>
      <x:c r="B176" s="14" t="str"/>
      <x:c r="C176" s="14" t="str">
        <x:v>Lv.8</x:v>
      </x:c>
      <x:c r="D176" s="14" t="str">
        <x:v>楊小瑩醫師</x:v>
      </x:c>
      <x:c r="E176" s="6" t="str">
        <x:v>器械準備</x:v>
      </x:c>
      <x:c r="F176" s="6" t="str">
        <x:v>根管治療</x:v>
      </x:c>
      <x:c r="G176" s="19" t="str">
        <x:v>◎</x:v>
      </x:c>
      <x:c r="H176" s="17" t="str">
        <x:v>熟練</x:v>
      </x:c>
      <x:c r="I176" s="6" t="n">
        <x:v>57</x:v>
      </x:c>
    </x:row>
    <x:row r="177">
      <x:c r="A177" s="13" t="str">
        <x:v>1004</x:v>
      </x:c>
      <x:c r="B177" s="14" t="str"/>
      <x:c r="C177" s="14" t="str">
        <x:v>Lv.8</x:v>
      </x:c>
      <x:c r="D177" s="14" t="str">
        <x:v>楊小瑩醫師</x:v>
      </x:c>
      <x:c r="E177" s="6" t="str">
        <x:v>器械準備</x:v>
      </x:c>
      <x:c r="F177" s="6" t="str">
        <x:v>拔牙</x:v>
      </x:c>
      <x:c r="G177" s="19" t="str">
        <x:v>◎</x:v>
      </x:c>
      <x:c r="H177" s="17" t="str">
        <x:v>熟練</x:v>
      </x:c>
      <x:c r="I177" s="6" t="n">
        <x:v>58</x:v>
      </x:c>
    </x:row>
    <x:row r="178">
      <x:c r="A178" s="13" t="str">
        <x:v>1004</x:v>
      </x:c>
      <x:c r="B178" s="14" t="str"/>
      <x:c r="C178" s="14" t="str">
        <x:v>Lv.8</x:v>
      </x:c>
      <x:c r="D178" s="14" t="str">
        <x:v>楊小瑩醫師</x:v>
      </x:c>
      <x:c r="E178" s="6" t="str">
        <x:v>器械準備</x:v>
      </x:c>
      <x:c r="F178" s="6" t="str">
        <x:v>拆 crown/post</x:v>
      </x:c>
      <x:c r="G178" s="19" t="str">
        <x:v>◎</x:v>
      </x:c>
      <x:c r="H178" s="17" t="str">
        <x:v>熟練</x:v>
      </x:c>
      <x:c r="I178" s="6" t="n">
        <x:v>59</x:v>
      </x:c>
    </x:row>
    <x:row r="179">
      <x:c r="A179" s="13" t="str">
        <x:v>1004</x:v>
      </x:c>
      <x:c r="B179" s="14" t="str"/>
      <x:c r="C179" s="14" t="str">
        <x:v>Lv.8</x:v>
      </x:c>
      <x:c r="D179" s="14" t="str">
        <x:v>楊小瑩醫師</x:v>
      </x:c>
      <x:c r="E179" s="6" t="str">
        <x:v>自費</x:v>
      </x:c>
      <x:c r="F179" s="6" t="str">
        <x:v>固定假牙</x:v>
      </x:c>
      <x:c r="G179" s="19" t="str">
        <x:v>◎</x:v>
      </x:c>
      <x:c r="H179" s="17" t="str">
        <x:v>熟練</x:v>
      </x:c>
      <x:c r="I179" s="6" t="n">
        <x:v>60</x:v>
      </x:c>
    </x:row>
    <x:row r="180">
      <x:c r="A180" s="13" t="str">
        <x:v>1004</x:v>
      </x:c>
      <x:c r="B180" s="14" t="str"/>
      <x:c r="C180" s="14" t="str">
        <x:v>Lv.8</x:v>
      </x:c>
      <x:c r="D180" s="14" t="str">
        <x:v>楊小瑩醫師</x:v>
      </x:c>
      <x:c r="E180" s="6" t="str">
        <x:v>自費</x:v>
      </x:c>
      <x:c r="F180" s="6" t="str">
        <x:v>RPD</x:v>
      </x:c>
      <x:c r="G180" s="19" t="str">
        <x:v>※</x:v>
      </x:c>
      <x:c r="H180" s="17" t="str">
        <x:v>學習中</x:v>
      </x:c>
      <x:c r="I180" s="6" t="n">
        <x:v>61</x:v>
      </x:c>
    </x:row>
    <x:row r="181">
      <x:c r="A181" s="13" t="str">
        <x:v>1004</x:v>
      </x:c>
      <x:c r="B181" s="14" t="str"/>
      <x:c r="C181" s="14" t="str">
        <x:v>Lv.8</x:v>
      </x:c>
      <x:c r="D181" s="14" t="str">
        <x:v>楊小瑩醫師</x:v>
      </x:c>
      <x:c r="E181" s="6" t="str">
        <x:v>自費</x:v>
      </x:c>
      <x:c r="F181" s="6" t="str">
        <x:v>噴砂美白</x:v>
      </x:c>
      <x:c r="G181" s="19" t="str">
        <x:v>◎</x:v>
      </x:c>
      <x:c r="H181" s="17" t="str">
        <x:v>熟練</x:v>
      </x:c>
      <x:c r="I181" s="6" t="n">
        <x:v>62</x:v>
      </x:c>
    </x:row>
    <x:row r="182">
      <x:c r="A182" s="13" t="str">
        <x:v>1004</x:v>
      </x:c>
      <x:c r="B182" s="14" t="str"/>
      <x:c r="C182" s="14" t="str">
        <x:v>Lv.8</x:v>
      </x:c>
      <x:c r="D182" s="14" t="str">
        <x:v>楊小瑩醫師</x:v>
      </x:c>
      <x:c r="E182" s="6" t="str"/>
      <x:c r="F182" s="6" t="str">
        <x:v>跟診順暢度</x:v>
      </x:c>
      <x:c r="G182" s="19" t="str">
        <x:v>◎</x:v>
      </x:c>
      <x:c r="H182" s="17" t="str">
        <x:v>熟練</x:v>
      </x:c>
      <x:c r="I182" s="6" t="n">
        <x:v>63</x:v>
      </x:c>
    </x:row>
    <x:row r="183">
      <x:c r="A183" s="13" t="str">
        <x:v>1004</x:v>
      </x:c>
      <x:c r="B183" s="14" t="str"/>
      <x:c r="C183" s="14" t="str">
        <x:v>Lv.8</x:v>
      </x:c>
      <x:c r="D183" s="14" t="str">
        <x:v>楊小瑩醫師</x:v>
      </x:c>
      <x:c r="E183" s="6" t="str"/>
      <x:c r="F183" s="6" t="str">
        <x:v>病歷紀錄</x:v>
      </x:c>
      <x:c r="G183" s="19" t="str">
        <x:v>◎</x:v>
      </x:c>
      <x:c r="H183" s="17" t="str">
        <x:v>熟練</x:v>
      </x:c>
      <x:c r="I183" s="6" t="n">
        <x:v>64</x:v>
      </x:c>
    </x:row>
    <x:row r="184">
      <x:c r="A184" s="13" t="str">
        <x:v>1004</x:v>
      </x:c>
      <x:c r="B184" s="14" t="str"/>
      <x:c r="C184" s="14" t="str">
        <x:v>Lv.8</x:v>
      </x:c>
      <x:c r="D184" s="14" t="str">
        <x:v>楊小瑩醫師</x:v>
      </x:c>
      <x:c r="E184" s="6" t="str"/>
      <x:c r="F184" s="6" t="str">
        <x:v>健保申報</x:v>
      </x:c>
      <x:c r="G184" s="19" t="str">
        <x:v>◎</x:v>
      </x:c>
      <x:c r="H184" s="17" t="str">
        <x:v>熟練</x:v>
      </x:c>
      <x:c r="I184" s="6" t="n">
        <x:v>65</x:v>
      </x:c>
    </x:row>
    <x:row r="185">
      <x:c r="A185" s="13" t="str">
        <x:v>1004</x:v>
      </x:c>
      <x:c r="B185" s="14" t="str"/>
      <x:c r="C185" s="14" t="str">
        <x:v>Lv.8</x:v>
      </x:c>
      <x:c r="D185" s="14" t="str">
        <x:v>楊小瑩醫師</x:v>
      </x:c>
      <x:c r="E185" s="6" t="str"/>
      <x:c r="F185" s="6" t="str">
        <x:v>X光片紀錄</x:v>
      </x:c>
      <x:c r="G185" s="19" t="str">
        <x:v>◎</x:v>
      </x:c>
      <x:c r="H185" s="17" t="str">
        <x:v>熟練</x:v>
      </x:c>
      <x:c r="I185" s="6" t="n">
        <x:v>66</x:v>
      </x:c>
    </x:row>
    <x:row r="186">
      <x:c r="A186" s="13" t="str">
        <x:v>1004</x:v>
      </x:c>
      <x:c r="B186" s="14" t="str"/>
      <x:c r="C186" s="14" t="str">
        <x:v>Lv.8</x:v>
      </x:c>
      <x:c r="D186" s="14" t="str">
        <x:v>楊小瑩醫師</x:v>
      </x:c>
      <x:c r="E186" s="6" t="str"/>
      <x:c r="F186" s="6" t="str">
        <x:v>拍PA</x:v>
      </x:c>
      <x:c r="G186" s="19" t="str">
        <x:v>◎</x:v>
      </x:c>
      <x:c r="H186" s="17" t="str">
        <x:v>熟練</x:v>
      </x:c>
      <x:c r="I186" s="6" t="n">
        <x:v>67</x:v>
      </x:c>
    </x:row>
    <x:row r="187">
      <x:c r="A187" s="13" t="str">
        <x:v>1004</x:v>
      </x:c>
      <x:c r="B187" s="14" t="str"/>
      <x:c r="C187" s="14" t="str">
        <x:v>Lv.8</x:v>
      </x:c>
      <x:c r="D187" s="14" t="str">
        <x:v>王俊偉醫師</x:v>
      </x:c>
      <x:c r="E187" s="6" t="str"/>
      <x:c r="F187" s="6" t="str">
        <x:v>器械熟悉度</x:v>
      </x:c>
      <x:c r="G187" s="19" t="str">
        <x:v>◎</x:v>
      </x:c>
      <x:c r="H187" s="17" t="str">
        <x:v>熟練</x:v>
      </x:c>
      <x:c r="I187" s="6" t="n">
        <x:v>68</x:v>
      </x:c>
    </x:row>
    <x:row r="188">
      <x:c r="A188" s="13" t="str">
        <x:v>1004</x:v>
      </x:c>
      <x:c r="B188" s="14" t="str"/>
      <x:c r="C188" s="14" t="str">
        <x:v>Lv.8</x:v>
      </x:c>
      <x:c r="D188" s="14" t="str">
        <x:v>王俊偉醫師</x:v>
      </x:c>
      <x:c r="E188" s="6" t="str"/>
      <x:c r="F188" s="6" t="str">
        <x:v>跟診順暢度</x:v>
      </x:c>
      <x:c r="G188" s="19" t="str">
        <x:v>◎</x:v>
      </x:c>
      <x:c r="H188" s="17" t="str">
        <x:v>熟練</x:v>
      </x:c>
      <x:c r="I188" s="6" t="n">
        <x:v>69</x:v>
      </x:c>
    </x:row>
    <x:row r="189">
      <x:c r="A189" s="13" t="str">
        <x:v>1004</x:v>
      </x:c>
      <x:c r="B189" s="14" t="str"/>
      <x:c r="C189" s="14" t="str">
        <x:v>Lv.8</x:v>
      </x:c>
      <x:c r="D189" s="14" t="str">
        <x:v>王俊偉醫師</x:v>
      </x:c>
      <x:c r="E189" s="6" t="str"/>
      <x:c r="F189" s="6" t="str">
        <x:v>病歷紀錄</x:v>
      </x:c>
      <x:c r="G189" s="19" t="str">
        <x:v>◎</x:v>
      </x:c>
      <x:c r="H189" s="17" t="str">
        <x:v>熟練</x:v>
      </x:c>
      <x:c r="I189" s="6" t="n">
        <x:v>70</x:v>
      </x:c>
    </x:row>
    <x:row r="190">
      <x:c r="A190" s="13" t="str">
        <x:v>1004</x:v>
      </x:c>
      <x:c r="B190" s="14" t="str"/>
      <x:c r="C190" s="14" t="str">
        <x:v>Lv.8</x:v>
      </x:c>
      <x:c r="D190" s="14" t="str">
        <x:v>王俊偉醫師</x:v>
      </x:c>
      <x:c r="E190" s="6" t="str"/>
      <x:c r="F190" s="6" t="str">
        <x:v>健保申報</x:v>
      </x:c>
      <x:c r="G190" s="19" t="str">
        <x:v>◎</x:v>
      </x:c>
      <x:c r="H190" s="17" t="str">
        <x:v>熟練</x:v>
      </x:c>
      <x:c r="I190" s="6" t="n">
        <x:v>71</x:v>
      </x:c>
    </x:row>
    <x:row r="191">
      <x:c r="A191" s="13" t="str">
        <x:v>1004</x:v>
      </x:c>
      <x:c r="B191" s="14" t="str"/>
      <x:c r="C191" s="14" t="str">
        <x:v>Lv.8</x:v>
      </x:c>
      <x:c r="D191" s="14" t="str">
        <x:v>王俊偉醫師</x:v>
      </x:c>
      <x:c r="E191" s="6" t="str"/>
      <x:c r="F191" s="6" t="str">
        <x:v>X光片紀錄</x:v>
      </x:c>
      <x:c r="G191" s="19" t="str">
        <x:v>◎</x:v>
      </x:c>
      <x:c r="H191" s="17" t="str">
        <x:v>熟練</x:v>
      </x:c>
      <x:c r="I191" s="6" t="n">
        <x:v>72</x:v>
      </x:c>
    </x:row>
    <x:row r="192">
      <x:c r="A192" s="13" t="str">
        <x:v>1004</x:v>
      </x:c>
      <x:c r="B192" s="14" t="str"/>
      <x:c r="C192" s="14" t="str">
        <x:v>Lv.8</x:v>
      </x:c>
      <x:c r="D192" s="14" t="str">
        <x:v>王俊偉醫師</x:v>
      </x:c>
      <x:c r="E192" s="6" t="str"/>
      <x:c r="F192" s="6" t="str">
        <x:v>拍PANO、PA</x:v>
      </x:c>
      <x:c r="G192" s="19" t="str">
        <x:v>◎</x:v>
      </x:c>
      <x:c r="H192" s="17" t="str">
        <x:v>熟練</x:v>
      </x:c>
      <x:c r="I192" s="6" t="n">
        <x:v>73</x:v>
      </x:c>
    </x:row>
    <x:row r="193">
      <x:c r="A193" s="13" t="str">
        <x:v>1004</x:v>
      </x:c>
      <x:c r="B193" s="14" t="str"/>
      <x:c r="C193" s="14" t="str">
        <x:v>Lv.8</x:v>
      </x:c>
      <x:c r="D193" s="14" t="str">
        <x:v>王俊偉醫師</x:v>
      </x:c>
      <x:c r="E193" s="6" t="str"/>
      <x:c r="F193" s="6" t="str">
        <x:v>CT照</x:v>
      </x:c>
      <x:c r="G193" s="19" t="str">
        <x:v>◎</x:v>
      </x:c>
      <x:c r="H193" s="17" t="str">
        <x:v>熟練</x:v>
      </x:c>
      <x:c r="I193" s="6" t="n">
        <x:v>74</x:v>
      </x:c>
    </x:row>
    <x:row r="194">
      <x:c r="A194" s="13" t="str">
        <x:v>1004</x:v>
      </x:c>
      <x:c r="B194" s="14" t="str"/>
      <x:c r="C194" s="14" t="str">
        <x:v>Lv.8</x:v>
      </x:c>
      <x:c r="D194" s="14" t="str">
        <x:v>王俊偉醫師</x:v>
      </x:c>
      <x:c r="E194" s="6" t="str"/>
      <x:c r="F194" s="6" t="str">
        <x:v>側頭顱照</x:v>
      </x:c>
      <x:c r="G194" s="19" t="str">
        <x:v>◎</x:v>
      </x:c>
      <x:c r="H194" s="17" t="str">
        <x:v>熟練</x:v>
      </x:c>
      <x:c r="I194" s="6" t="n">
        <x:v>75</x:v>
      </x:c>
    </x:row>
    <x:row r="195">
      <x:c r="A195" s="13" t="str">
        <x:v>1004</x:v>
      </x:c>
      <x:c r="B195" s="14" t="str"/>
      <x:c r="C195" s="14" t="str">
        <x:v>Lv.8</x:v>
      </x:c>
      <x:c r="D195" s="14" t="str">
        <x:v>王俊偉醫師</x:v>
      </x:c>
      <x:c r="E195" s="6" t="str"/>
      <x:c r="F195" s="6" t="str">
        <x:v>口掃機運用</x:v>
      </x:c>
      <x:c r="G195" s="19" t="str">
        <x:v>◎</x:v>
      </x:c>
      <x:c r="H195" s="17" t="str">
        <x:v>熟練</x:v>
      </x:c>
      <x:c r="I195" s="6" t="n">
        <x:v>76</x:v>
      </x:c>
    </x:row>
    <x:row r="196">
      <x:c r="A196" s="13" t="str">
        <x:v>1004</x:v>
      </x:c>
      <x:c r="B196" s="14" t="str"/>
      <x:c r="C196" s="14" t="str">
        <x:v>Lv.8</x:v>
      </x:c>
      <x:c r="D196" s="14" t="str">
        <x:v>許馨文醫師</x:v>
      </x:c>
      <x:c r="E196" s="6" t="str"/>
      <x:c r="F196" s="6" t="str">
        <x:v>器械熟悉度</x:v>
      </x:c>
      <x:c r="G196" s="19" t="str">
        <x:v>◎</x:v>
      </x:c>
      <x:c r="H196" s="17" t="str">
        <x:v>熟練</x:v>
      </x:c>
      <x:c r="I196" s="6" t="n">
        <x:v>77</x:v>
      </x:c>
    </x:row>
    <x:row r="197">
      <x:c r="A197" s="13" t="str">
        <x:v>1004</x:v>
      </x:c>
      <x:c r="B197" s="14" t="str"/>
      <x:c r="C197" s="14" t="str">
        <x:v>Lv.8</x:v>
      </x:c>
      <x:c r="D197" s="14" t="str">
        <x:v>許馨文醫師</x:v>
      </x:c>
      <x:c r="E197" s="6" t="str"/>
      <x:c r="F197" s="6" t="str">
        <x:v>吸口水技巧</x:v>
      </x:c>
      <x:c r="G197" s="19" t="str">
        <x:v>◎</x:v>
      </x:c>
      <x:c r="H197" s="17" t="str">
        <x:v>熟練</x:v>
      </x:c>
      <x:c r="I197" s="6" t="n">
        <x:v>78</x:v>
      </x:c>
    </x:row>
    <x:row r="198">
      <x:c r="A198" s="13" t="str">
        <x:v>1004</x:v>
      </x:c>
      <x:c r="B198" s="14" t="str"/>
      <x:c r="C198" s="14" t="str">
        <x:v>Lv.8</x:v>
      </x:c>
      <x:c r="D198" s="14" t="str">
        <x:v>許馨文醫師</x:v>
      </x:c>
      <x:c r="E198" s="6" t="str"/>
      <x:c r="F198" s="6" t="str">
        <x:v>病歷紀錄</x:v>
      </x:c>
      <x:c r="G198" s="19" t="str">
        <x:v>◎</x:v>
      </x:c>
      <x:c r="H198" s="17" t="str">
        <x:v>熟練</x:v>
      </x:c>
      <x:c r="I198" s="6" t="n">
        <x:v>79</x:v>
      </x:c>
    </x:row>
    <x:row r="199">
      <x:c r="A199" s="13" t="str">
        <x:v>1004</x:v>
      </x:c>
      <x:c r="B199" s="14" t="str"/>
      <x:c r="C199" s="14" t="str">
        <x:v>Lv.8</x:v>
      </x:c>
      <x:c r="D199" s="14" t="str">
        <x:v>許馨文醫師</x:v>
      </x:c>
      <x:c r="E199" s="6" t="str"/>
      <x:c r="F199" s="6" t="str">
        <x:v>健保申報</x:v>
      </x:c>
      <x:c r="G199" s="19" t="str">
        <x:v>◎</x:v>
      </x:c>
      <x:c r="H199" s="17" t="str">
        <x:v>熟練</x:v>
      </x:c>
      <x:c r="I199" s="6" t="n">
        <x:v>80</x:v>
      </x:c>
    </x:row>
    <x:row r="200">
      <x:c r="A200" s="13" t="str">
        <x:v>1004</x:v>
      </x:c>
      <x:c r="B200" s="14" t="str"/>
      <x:c r="C200" s="14" t="str">
        <x:v>Lv.8</x:v>
      </x:c>
      <x:c r="D200" s="14" t="str">
        <x:v>許馨文醫師</x:v>
      </x:c>
      <x:c r="E200" s="6" t="str"/>
      <x:c r="F200" s="6" t="str">
        <x:v>X光片紀錄</x:v>
      </x:c>
      <x:c r="G200" s="19" t="str">
        <x:v>◎</x:v>
      </x:c>
      <x:c r="H200" s="17" t="str">
        <x:v>熟練</x:v>
      </x:c>
      <x:c r="I200" s="6" t="n">
        <x:v>81</x:v>
      </x:c>
    </x:row>
    <x:row r="201">
      <x:c r="A201" s="13" t="str">
        <x:v>1004</x:v>
      </x:c>
      <x:c r="B201" s="14" t="str"/>
      <x:c r="C201" s="14" t="str">
        <x:v>Lv.8</x:v>
      </x:c>
      <x:c r="D201" s="14" t="str">
        <x:v>許馨文醫師</x:v>
      </x:c>
      <x:c r="E201" s="6" t="str"/>
      <x:c r="F201" s="6" t="str">
        <x:v>拍PANO、PA</x:v>
      </x:c>
      <x:c r="G201" s="19" t="str">
        <x:v>◎</x:v>
      </x:c>
      <x:c r="H201" s="17" t="str">
        <x:v>熟練</x:v>
      </x:c>
      <x:c r="I201" s="6" t="n">
        <x:v>82</x:v>
      </x:c>
    </x:row>
    <x:row r="202">
      <x:c r="A202" s="13" t="str">
        <x:v>1004</x:v>
      </x:c>
      <x:c r="B202" s="14" t="str"/>
      <x:c r="C202" s="14" t="str">
        <x:v>Lv.8</x:v>
      </x:c>
      <x:c r="D202" s="14" t="str">
        <x:v>林晏妤醫師</x:v>
      </x:c>
      <x:c r="E202" s="6" t="str"/>
      <x:c r="F202" s="6" t="str">
        <x:v>器械熟悉度</x:v>
      </x:c>
      <x:c r="G202" s="19" t="str">
        <x:v>◎</x:v>
      </x:c>
      <x:c r="H202" s="17" t="str">
        <x:v>熟練</x:v>
      </x:c>
      <x:c r="I202" s="6" t="n">
        <x:v>83</x:v>
      </x:c>
    </x:row>
    <x:row r="203">
      <x:c r="A203" s="13" t="str">
        <x:v>1004</x:v>
      </x:c>
      <x:c r="B203" s="14" t="str"/>
      <x:c r="C203" s="14" t="str">
        <x:v>Lv.8</x:v>
      </x:c>
      <x:c r="D203" s="14" t="str">
        <x:v>林晏妤醫師</x:v>
      </x:c>
      <x:c r="E203" s="6" t="str"/>
      <x:c r="F203" s="6" t="str">
        <x:v>跟診順暢度</x:v>
      </x:c>
      <x:c r="G203" s="19" t="str">
        <x:v>◎</x:v>
      </x:c>
      <x:c r="H203" s="17" t="str">
        <x:v>熟練</x:v>
      </x:c>
      <x:c r="I203" s="6" t="n">
        <x:v>84</x:v>
      </x:c>
    </x:row>
    <x:row r="204">
      <x:c r="A204" s="13" t="str">
        <x:v>1004</x:v>
      </x:c>
      <x:c r="B204" s="14" t="str"/>
      <x:c r="C204" s="14" t="str">
        <x:v>Lv.8</x:v>
      </x:c>
      <x:c r="D204" s="14" t="str">
        <x:v>林晏妤醫師</x:v>
      </x:c>
      <x:c r="E204" s="6" t="str"/>
      <x:c r="F204" s="6" t="str">
        <x:v>病歷紀錄</x:v>
      </x:c>
      <x:c r="G204" s="19" t="str">
        <x:v>◎</x:v>
      </x:c>
      <x:c r="H204" s="17" t="str">
        <x:v>熟練</x:v>
      </x:c>
      <x:c r="I204" s="6" t="n">
        <x:v>85</x:v>
      </x:c>
    </x:row>
    <x:row r="205">
      <x:c r="A205" s="13" t="str">
        <x:v>1004</x:v>
      </x:c>
      <x:c r="B205" s="14" t="str"/>
      <x:c r="C205" s="14" t="str">
        <x:v>Lv.8</x:v>
      </x:c>
      <x:c r="D205" s="14" t="str">
        <x:v>林晏妤醫師</x:v>
      </x:c>
      <x:c r="E205" s="6" t="str"/>
      <x:c r="F205" s="6" t="str">
        <x:v>X光片紀錄</x:v>
      </x:c>
      <x:c r="G205" s="19" t="str">
        <x:v>◎</x:v>
      </x:c>
      <x:c r="H205" s="17" t="str">
        <x:v>熟練</x:v>
      </x:c>
      <x:c r="I205" s="6" t="n">
        <x:v>86</x:v>
      </x:c>
    </x:row>
    <x:row r="206">
      <x:c r="A206" s="13" t="str">
        <x:v>1004</x:v>
      </x:c>
      <x:c r="B206" s="14" t="str"/>
      <x:c r="C206" s="14" t="str">
        <x:v>Lv.8</x:v>
      </x:c>
      <x:c r="D206" s="14" t="str">
        <x:v>林晏妤醫師</x:v>
      </x:c>
      <x:c r="E206" s="6" t="str"/>
      <x:c r="F206" s="6" t="str">
        <x:v>手持X光機</x:v>
      </x:c>
      <x:c r="G206" s="19" t="str">
        <x:v>◎</x:v>
      </x:c>
      <x:c r="H206" s="17" t="str">
        <x:v>熟練</x:v>
      </x:c>
      <x:c r="I206" s="6" t="n">
        <x:v>87</x:v>
      </x:c>
    </x:row>
    <x:row r="207">
      <x:c r="A207" s="13" t="str">
        <x:v>1004</x:v>
      </x:c>
      <x:c r="B207" s="14" t="str"/>
      <x:c r="C207" s="14" t="str">
        <x:v>Lv.8</x:v>
      </x:c>
      <x:c r="D207" s="14" t="str">
        <x:v>林晏妤醫師</x:v>
      </x:c>
      <x:c r="E207" s="6" t="str"/>
      <x:c r="F207" s="6" t="str">
        <x:v>健保申報</x:v>
      </x:c>
      <x:c r="G207" s="19" t="str">
        <x:v>◎</x:v>
      </x:c>
      <x:c r="H207" s="17" t="str">
        <x:v>熟練</x:v>
      </x:c>
      <x:c r="I207" s="6" t="n">
        <x:v>88</x:v>
      </x:c>
    </x:row>
    <x:row r="208">
      <x:c r="A208" s="13" t="str">
        <x:v>1004</x:v>
      </x:c>
      <x:c r="B208" s="14" t="str"/>
      <x:c r="C208" s="14" t="str">
        <x:v>Lv.8</x:v>
      </x:c>
      <x:c r="D208" s="14" t="str">
        <x:v>林晏妤醫師</x:v>
      </x:c>
      <x:c r="E208" s="6" t="str"/>
      <x:c r="F208" s="6" t="str">
        <x:v>舒眠手術</x:v>
      </x:c>
      <x:c r="G208" s="19" t="str">
        <x:v>◎</x:v>
      </x:c>
      <x:c r="H208" s="17" t="str">
        <x:v>熟練</x:v>
      </x:c>
      <x:c r="I208" s="6" t="n">
        <x:v>89</x:v>
      </x:c>
    </x:row>
    <x:row r="209">
      <x:c r="A209" s="13" t="str">
        <x:v>1004</x:v>
      </x:c>
      <x:c r="B209" s="14" t="str"/>
      <x:c r="C209" s="14" t="str">
        <x:v>Lv.8</x:v>
      </x:c>
      <x:c r="D209" s="14" t="str">
        <x:v>謝耀慶醫師</x:v>
      </x:c>
      <x:c r="E209" s="6" t="str">
        <x:v>器械準備</x:v>
      </x:c>
      <x:c r="F209" s="6" t="str">
        <x:v>洗牙</x:v>
      </x:c>
      <x:c r="G209" s="19" t="str">
        <x:v>◎</x:v>
      </x:c>
      <x:c r="H209" s="17" t="str">
        <x:v>熟練</x:v>
      </x:c>
      <x:c r="I209" s="6" t="n">
        <x:v>90</x:v>
      </x:c>
    </x:row>
    <x:row r="210">
      <x:c r="A210" s="13" t="str">
        <x:v>1004</x:v>
      </x:c>
      <x:c r="B210" s="14" t="str"/>
      <x:c r="C210" s="14" t="str">
        <x:v>Lv.8</x:v>
      </x:c>
      <x:c r="D210" s="14" t="str">
        <x:v>謝耀慶醫師</x:v>
      </x:c>
      <x:c r="E210" s="6" t="str">
        <x:v>器械準備</x:v>
      </x:c>
      <x:c r="F210" s="6" t="str">
        <x:v>補牙</x:v>
      </x:c>
      <x:c r="G210" s="19" t="str">
        <x:v>◎</x:v>
      </x:c>
      <x:c r="H210" s="17" t="str">
        <x:v>熟練</x:v>
      </x:c>
      <x:c r="I210" s="6" t="n">
        <x:v>91</x:v>
      </x:c>
    </x:row>
    <x:row r="211">
      <x:c r="A211" s="13" t="str">
        <x:v>1004</x:v>
      </x:c>
      <x:c r="B211" s="14" t="str"/>
      <x:c r="C211" s="14" t="str">
        <x:v>Lv.8</x:v>
      </x:c>
      <x:c r="D211" s="14" t="str">
        <x:v>謝耀慶醫師</x:v>
      </x:c>
      <x:c r="E211" s="6" t="str">
        <x:v>器械準備</x:v>
      </x:c>
      <x:c r="F211" s="6" t="str">
        <x:v>牙周統合治療</x:v>
      </x:c>
      <x:c r="G211" s="19" t="str"/>
      <x:c r="H211" s="17" t="str">
        <x:v>未評分</x:v>
      </x:c>
      <x:c r="I211" s="6" t="n">
        <x:v>92</x:v>
      </x:c>
    </x:row>
    <x:row r="212">
      <x:c r="A212" s="13" t="str">
        <x:v>1004</x:v>
      </x:c>
      <x:c r="B212" s="14" t="str"/>
      <x:c r="C212" s="14" t="str">
        <x:v>Lv.8</x:v>
      </x:c>
      <x:c r="D212" s="14" t="str">
        <x:v>謝耀慶醫師</x:v>
      </x:c>
      <x:c r="E212" s="6" t="str">
        <x:v>器械準備</x:v>
      </x:c>
      <x:c r="F212" s="6" t="str">
        <x:v>簡單拔牙</x:v>
      </x:c>
      <x:c r="G212" s="19" t="str"/>
      <x:c r="H212" s="17" t="str">
        <x:v>未評分</x:v>
      </x:c>
      <x:c r="I212" s="6" t="n">
        <x:v>93</x:v>
      </x:c>
    </x:row>
    <x:row r="213">
      <x:c r="A213" s="13" t="str">
        <x:v>1004</x:v>
      </x:c>
      <x:c r="B213" s="14" t="str"/>
      <x:c r="C213" s="14" t="str">
        <x:v>Lv.8</x:v>
      </x:c>
      <x:c r="D213" s="14" t="str">
        <x:v>謝耀慶醫師</x:v>
      </x:c>
      <x:c r="E213" s="6" t="str"/>
      <x:c r="F213" s="6" t="str">
        <x:v>器械熟悉度</x:v>
      </x:c>
      <x:c r="G213" s="19" t="str">
        <x:v>◎</x:v>
      </x:c>
      <x:c r="H213" s="17" t="str">
        <x:v>熟練</x:v>
      </x:c>
      <x:c r="I213" s="6" t="n">
        <x:v>94</x:v>
      </x:c>
    </x:row>
    <x:row r="214">
      <x:c r="A214" s="13" t="str">
        <x:v>1004</x:v>
      </x:c>
      <x:c r="B214" s="14" t="str"/>
      <x:c r="C214" s="14" t="str">
        <x:v>Lv.8</x:v>
      </x:c>
      <x:c r="D214" s="14" t="str">
        <x:v>謝耀慶醫師</x:v>
      </x:c>
      <x:c r="E214" s="6" t="str"/>
      <x:c r="F214" s="6" t="str">
        <x:v>跟診順暢度</x:v>
      </x:c>
      <x:c r="G214" s="19" t="str">
        <x:v>◎</x:v>
      </x:c>
      <x:c r="H214" s="17" t="str">
        <x:v>熟練</x:v>
      </x:c>
      <x:c r="I214" s="6" t="n">
        <x:v>95</x:v>
      </x:c>
    </x:row>
    <x:row r="215">
      <x:c r="A215" s="13" t="str">
        <x:v>1004</x:v>
      </x:c>
      <x:c r="B215" s="14" t="str"/>
      <x:c r="C215" s="14" t="str">
        <x:v>Lv.8</x:v>
      </x:c>
      <x:c r="D215" s="14" t="str">
        <x:v>謝耀慶醫師</x:v>
      </x:c>
      <x:c r="E215" s="6" t="str"/>
      <x:c r="F215" s="6" t="str">
        <x:v>病歷紀錄</x:v>
      </x:c>
      <x:c r="G215" s="19" t="str">
        <x:v>◎</x:v>
      </x:c>
      <x:c r="H215" s="17" t="str">
        <x:v>熟練</x:v>
      </x:c>
      <x:c r="I215" s="6" t="n">
        <x:v>96</x:v>
      </x:c>
    </x:row>
    <x:row r="216">
      <x:c r="A216" s="13" t="str">
        <x:v>1004</x:v>
      </x:c>
      <x:c r="B216" s="14" t="str"/>
      <x:c r="C216" s="14" t="str">
        <x:v>Lv.8</x:v>
      </x:c>
      <x:c r="D216" s="14" t="str">
        <x:v>謝耀慶醫師</x:v>
      </x:c>
      <x:c r="E216" s="6" t="str"/>
      <x:c r="F216" s="6" t="str">
        <x:v>X光片紀錄</x:v>
      </x:c>
      <x:c r="G216" s="19" t="str">
        <x:v>◎</x:v>
      </x:c>
      <x:c r="H216" s="17" t="str">
        <x:v>熟練</x:v>
      </x:c>
      <x:c r="I216" s="6" t="n">
        <x:v>97</x:v>
      </x:c>
    </x:row>
    <x:row r="217">
      <x:c r="A217" s="13" t="str">
        <x:v>1004</x:v>
      </x:c>
      <x:c r="B217" s="14" t="str"/>
      <x:c r="C217" s="14" t="str">
        <x:v>Lv.8</x:v>
      </x:c>
      <x:c r="D217" s="14" t="str">
        <x:v>謝耀慶醫師</x:v>
      </x:c>
      <x:c r="E217" s="6" t="str"/>
      <x:c r="F217" s="6" t="str">
        <x:v>手持X光機</x:v>
      </x:c>
      <x:c r="G217" s="19" t="str">
        <x:v>◎</x:v>
      </x:c>
      <x:c r="H217" s="17" t="str">
        <x:v>熟練</x:v>
      </x:c>
      <x:c r="I217" s="6" t="n">
        <x:v>98</x:v>
      </x:c>
    </x:row>
    <x:row r="218">
      <x:c r="A218" s="13" t="str">
        <x:v>1004</x:v>
      </x:c>
      <x:c r="B218" s="14" t="str"/>
      <x:c r="C218" s="14" t="str">
        <x:v>Lv.8</x:v>
      </x:c>
      <x:c r="D218" s="14" t="str">
        <x:v>謝耀慶醫師</x:v>
      </x:c>
      <x:c r="E218" s="6" t="str"/>
      <x:c r="F218" s="6" t="str">
        <x:v>健保申報</x:v>
      </x:c>
      <x:c r="G218" s="19" t="str">
        <x:v>◎</x:v>
      </x:c>
      <x:c r="H218" s="17" t="str">
        <x:v>熟練</x:v>
      </x:c>
      <x:c r="I218" s="6" t="n">
        <x:v>99</x:v>
      </x:c>
    </x:row>
    <x:row r="219">
      <x:c r="A219" s="13" t="str">
        <x:v>1004</x:v>
      </x:c>
      <x:c r="B219" s="14" t="str"/>
      <x:c r="C219" s="14" t="str">
        <x:v>Lv.8</x:v>
      </x:c>
      <x:c r="D219" s="14" t="str">
        <x:v>謝耀慶醫師</x:v>
      </x:c>
      <x:c r="E219" s="6" t="str"/>
      <x:c r="F219" s="6" t="str">
        <x:v>舒眠手術</x:v>
      </x:c>
      <x:c r="G219" s="19" t="str">
        <x:v>◎</x:v>
      </x:c>
      <x:c r="H219" s="17" t="str">
        <x:v>熟練</x:v>
      </x:c>
      <x:c r="I219" s="6" t="n">
        <x:v>100</x:v>
      </x:c>
    </x:row>
    <x:row r="220">
      <x:c r="A220" s="13" t="str">
        <x:v>1004</x:v>
      </x:c>
      <x:c r="B220" s="14" t="str"/>
      <x:c r="C220" s="14" t="str">
        <x:v>Lv.8</x:v>
      </x:c>
      <x:c r="D220" s="14" t="str">
        <x:v>陳醫師</x:v>
      </x:c>
      <x:c r="E220" s="6" t="str">
        <x:v>器械準備</x:v>
      </x:c>
      <x:c r="F220" s="6" t="str">
        <x:v>洗牙</x:v>
      </x:c>
      <x:c r="G220" s="19" t="str">
        <x:v>◎</x:v>
      </x:c>
      <x:c r="H220" s="17" t="str">
        <x:v>熟練</x:v>
      </x:c>
      <x:c r="I220" s="6" t="n">
        <x:v>101</x:v>
      </x:c>
    </x:row>
    <x:row r="221">
      <x:c r="A221" s="13" t="str">
        <x:v>1004</x:v>
      </x:c>
      <x:c r="B221" s="14" t="str"/>
      <x:c r="C221" s="14" t="str">
        <x:v>Lv.8</x:v>
      </x:c>
      <x:c r="D221" s="14" t="str">
        <x:v>陳醫師</x:v>
      </x:c>
      <x:c r="E221" s="6" t="str">
        <x:v>器械準備</x:v>
      </x:c>
      <x:c r="F221" s="6" t="str">
        <x:v>補牙</x:v>
      </x:c>
      <x:c r="G221" s="19" t="str">
        <x:v>◎</x:v>
      </x:c>
      <x:c r="H221" s="17" t="str">
        <x:v>熟練</x:v>
      </x:c>
      <x:c r="I221" s="6" t="n">
        <x:v>102</x:v>
      </x:c>
    </x:row>
    <x:row r="222">
      <x:c r="A222" s="13" t="str">
        <x:v>1004</x:v>
      </x:c>
      <x:c r="B222" s="14" t="str"/>
      <x:c r="C222" s="14" t="str">
        <x:v>Lv.8</x:v>
      </x:c>
      <x:c r="D222" s="14" t="str">
        <x:v>陳醫師</x:v>
      </x:c>
      <x:c r="E222" s="6" t="str">
        <x:v>器械準備</x:v>
      </x:c>
      <x:c r="F222" s="6" t="str">
        <x:v>根管治療</x:v>
      </x:c>
      <x:c r="G222" s="19" t="str">
        <x:v>Ø</x:v>
      </x:c>
      <x:c r="H222" s="17" t="str">
        <x:v>尚未熟練</x:v>
      </x:c>
      <x:c r="I222" s="6" t="n">
        <x:v>103</x:v>
      </x:c>
    </x:row>
    <x:row r="223">
      <x:c r="A223" s="13" t="str">
        <x:v>1004</x:v>
      </x:c>
      <x:c r="B223" s="14" t="str"/>
      <x:c r="C223" s="14" t="str">
        <x:v>Lv.8</x:v>
      </x:c>
      <x:c r="D223" s="14" t="str">
        <x:v>陳醫師</x:v>
      </x:c>
      <x:c r="E223" s="6" t="str"/>
      <x:c r="F223" s="6" t="str">
        <x:v>跟診順暢度</x:v>
      </x:c>
      <x:c r="G223" s="19" t="str">
        <x:v>Ø</x:v>
      </x:c>
      <x:c r="H223" s="17" t="str">
        <x:v>尚未熟練</x:v>
      </x:c>
      <x:c r="I223" s="6" t="n">
        <x:v>104</x:v>
      </x:c>
    </x:row>
    <x:row r="224">
      <x:c r="A224" s="13" t="str">
        <x:v>1004</x:v>
      </x:c>
      <x:c r="B224" s="14" t="str"/>
      <x:c r="C224" s="14" t="str">
        <x:v>Lv.8</x:v>
      </x:c>
      <x:c r="D224" s="14" t="str">
        <x:v>陳醫師</x:v>
      </x:c>
      <x:c r="E224" s="6" t="str"/>
      <x:c r="F224" s="6" t="str">
        <x:v>病歷紀錄</x:v>
      </x:c>
      <x:c r="G224" s="19" t="str">
        <x:v>Ø</x:v>
      </x:c>
      <x:c r="H224" s="17" t="str">
        <x:v>尚未熟練</x:v>
      </x:c>
      <x:c r="I224" s="6" t="n">
        <x:v>105</x:v>
      </x:c>
    </x:row>
    <x:row r="225">
      <x:c r="A225" s="13" t="str">
        <x:v>1004</x:v>
      </x:c>
      <x:c r="B225" s="14" t="str"/>
      <x:c r="C225" s="14" t="str">
        <x:v>Lv.8</x:v>
      </x:c>
      <x:c r="D225" s="14" t="str">
        <x:v>陳醫師</x:v>
      </x:c>
      <x:c r="E225" s="6" t="str"/>
      <x:c r="F225" s="6" t="str">
        <x:v>拍PANO、PA</x:v>
      </x:c>
      <x:c r="G225" s="19" t="str">
        <x:v>Ø</x:v>
      </x:c>
      <x:c r="H225" s="17" t="str">
        <x:v>尚未熟練</x:v>
      </x:c>
      <x:c r="I225" s="6" t="n">
        <x:v>106</x:v>
      </x:c>
    </x:row>
    <x:row r="226">
      <x:c r="A226" s="13" t="str">
        <x:v>1004</x:v>
      </x:c>
      <x:c r="B226" s="14" t="str"/>
      <x:c r="C226" s="14" t="str">
        <x:v>Lv.8</x:v>
      </x:c>
      <x:c r="D226" s="14" t="str">
        <x:v>陳醫師</x:v>
      </x:c>
      <x:c r="E226" s="6" t="str"/>
      <x:c r="F226" s="6" t="str">
        <x:v>X光片紀錄</x:v>
      </x:c>
      <x:c r="G226" s="19" t="str">
        <x:v>Ø</x:v>
      </x:c>
      <x:c r="H226" s="17" t="str">
        <x:v>尚未熟練</x:v>
      </x:c>
      <x:c r="I226" s="6" t="n">
        <x:v>107</x:v>
      </x:c>
    </x:row>
    <x:row r="227">
      <x:c r="A227" s="13" t="str">
        <x:v>1004</x:v>
      </x:c>
      <x:c r="B227" s="14" t="str"/>
      <x:c r="C227" s="14" t="str">
        <x:v>Lv.8</x:v>
      </x:c>
      <x:c r="D227" s="14" t="str">
        <x:v>陳醫師</x:v>
      </x:c>
      <x:c r="E227" s="6" t="str"/>
      <x:c r="F227" s="6" t="str">
        <x:v>健保申報</x:v>
      </x:c>
      <x:c r="G227" s="19" t="str">
        <x:v>Ø</x:v>
      </x:c>
      <x:c r="H227" s="17" t="str">
        <x:v>尚未熟練</x:v>
      </x:c>
      <x:c r="I227" s="6" t="n">
        <x:v>108</x:v>
      </x:c>
    </x:row>
    <x:row r="228">
      <x:c r="A228" s="13" t="str">
        <x:v>1004</x:v>
      </x:c>
      <x:c r="B228" s="14" t="str"/>
      <x:c r="C228" s="14" t="str">
        <x:v>Lv.8</x:v>
      </x:c>
      <x:c r="D228" s="14" t="str">
        <x:v>陳醫師</x:v>
      </x:c>
      <x:c r="E228" s="6" t="str"/>
      <x:c r="F228" s="6" t="str">
        <x:v>固定假牙</x:v>
      </x:c>
      <x:c r="G228" s="19" t="str">
        <x:v>Ø</x:v>
      </x:c>
      <x:c r="H228" s="17" t="str">
        <x:v>尚未熟練</x:v>
      </x:c>
      <x:c r="I228" s="6" t="n">
        <x:v>109</x:v>
      </x:c>
    </x:row>
    <x:row r="229">
      <x:c r="A229" s="13" t="str">
        <x:v>1004</x:v>
      </x:c>
      <x:c r="B229" s="14" t="str"/>
      <x:c r="C229" s="14" t="str">
        <x:v>Lv.8</x:v>
      </x:c>
      <x:c r="D229" s="14" t="str">
        <x:v>陳醫師</x:v>
      </x:c>
      <x:c r="E229" s="6" t="str"/>
      <x:c r="F229" s="6" t="str">
        <x:v>顯微根管</x:v>
      </x:c>
      <x:c r="G229" s="19" t="str">
        <x:v>Ø</x:v>
      </x:c>
      <x:c r="H229" s="17" t="str">
        <x:v>尚未熟練</x:v>
      </x:c>
      <x:c r="I229" s="6" t="n">
        <x:v>110</x:v>
      </x:c>
    </x:row>
    <x:row r="230">
      <x:c r="A230" s="13" t="str">
        <x:v>1004</x:v>
      </x:c>
      <x:c r="B230" s="14" t="str"/>
      <x:c r="C230" s="14" t="str">
        <x:v>Lv.8</x:v>
      </x:c>
      <x:c r="D230" s="14" t="str">
        <x:v>櫃台</x:v>
      </x:c>
      <x:c r="E230" s="6" t="str"/>
      <x:c r="F230" s="6" t="str">
        <x:v>掛號處理(含初診處理)開立一般收據及藥單</x:v>
      </x:c>
      <x:c r="G230" s="19" t="str">
        <x:v>◎</x:v>
      </x:c>
      <x:c r="H230" s="17" t="str">
        <x:v>熟練</x:v>
      </x:c>
      <x:c r="I230" s="6" t="n">
        <x:v>111</x:v>
      </x:c>
    </x:row>
    <x:row r="231">
      <x:c r="A231" s="13" t="str">
        <x:v>1004</x:v>
      </x:c>
      <x:c r="B231" s="14" t="str"/>
      <x:c r="C231" s="14" t="str">
        <x:v>Lv.8</x:v>
      </x:c>
      <x:c r="D231" s="14" t="str">
        <x:v>櫃台</x:v>
      </x:c>
      <x:c r="E231" s="6" t="str"/>
      <x:c r="F231" s="6" t="str">
        <x:v>收費紀錄</x:v>
      </x:c>
      <x:c r="G231" s="19" t="str">
        <x:v>◎</x:v>
      </x:c>
      <x:c r="H231" s="17" t="str">
        <x:v>熟練</x:v>
      </x:c>
      <x:c r="I231" s="6" t="n">
        <x:v>112</x:v>
      </x:c>
    </x:row>
    <x:row r="232">
      <x:c r="A232" s="13" t="str">
        <x:v>1004</x:v>
      </x:c>
      <x:c r="B232" s="14" t="str"/>
      <x:c r="C232" s="14" t="str">
        <x:v>Lv.8</x:v>
      </x:c>
      <x:c r="D232" s="14" t="str">
        <x:v>櫃台</x:v>
      </x:c>
      <x:c r="E232" s="6" t="str"/>
      <x:c r="F232" s="6" t="str">
        <x:v>病歷整理</x:v>
      </x:c>
      <x:c r="G232" s="19" t="str">
        <x:v>◎</x:v>
      </x:c>
      <x:c r="H232" s="17" t="str">
        <x:v>熟練</x:v>
      </x:c>
      <x:c r="I232" s="6" t="n">
        <x:v>113</x:v>
      </x:c>
    </x:row>
    <x:row r="233">
      <x:c r="A233" s="13" t="str">
        <x:v>1004</x:v>
      </x:c>
      <x:c r="B233" s="14" t="str"/>
      <x:c r="C233" s="14" t="str">
        <x:v>Lv.8</x:v>
      </x:c>
      <x:c r="D233" s="14" t="str">
        <x:v>櫃台</x:v>
      </x:c>
      <x:c r="E233" s="6" t="str"/>
      <x:c r="F233" s="6" t="str">
        <x:v>治療同意書填寫</x:v>
      </x:c>
      <x:c r="G233" s="19" t="str">
        <x:v>◎</x:v>
      </x:c>
      <x:c r="H233" s="17" t="str">
        <x:v>熟練</x:v>
      </x:c>
      <x:c r="I233" s="6" t="n">
        <x:v>114</x:v>
      </x:c>
    </x:row>
    <x:row r="234">
      <x:c r="A234" s="13" t="str">
        <x:v>1004</x:v>
      </x:c>
      <x:c r="B234" s="14" t="str"/>
      <x:c r="C234" s="14" t="str">
        <x:v>Lv.8</x:v>
      </x:c>
      <x:c r="D234" s="14" t="str">
        <x:v>櫃台</x:v>
      </x:c>
      <x:c r="E234" s="6" t="str"/>
      <x:c r="F234" s="6" t="str">
        <x:v>與患者應對</x:v>
      </x:c>
      <x:c r="G234" s="19" t="str">
        <x:v>◎</x:v>
      </x:c>
      <x:c r="H234" s="17" t="str">
        <x:v>熟練</x:v>
      </x:c>
      <x:c r="I234" s="6" t="n">
        <x:v>115</x:v>
      </x:c>
    </x:row>
    <x:row r="235">
      <x:c r="A235" s="13" t="str">
        <x:v>1004</x:v>
      </x:c>
      <x:c r="B235" s="14" t="str"/>
      <x:c r="C235" s="14" t="str">
        <x:v>Lv.8</x:v>
      </x:c>
      <x:c r="D235" s="14" t="str">
        <x:v>櫃台</x:v>
      </x:c>
      <x:c r="E235" s="6" t="str"/>
      <x:c r="F235" s="6" t="str">
        <x:v>約診</x:v>
      </x:c>
      <x:c r="G235" s="19" t="str">
        <x:v>◎</x:v>
      </x:c>
      <x:c r="H235" s="17" t="str">
        <x:v>熟練</x:v>
      </x:c>
      <x:c r="I235" s="6" t="n">
        <x:v>116</x:v>
      </x:c>
    </x:row>
    <x:row r="236">
      <x:c r="A236" s="13" t="str">
        <x:v>1004</x:v>
      </x:c>
      <x:c r="B236" s="14" t="str"/>
      <x:c r="C236" s="14" t="str">
        <x:v>Lv.8</x:v>
      </x:c>
      <x:c r="D236" s="14" t="str">
        <x:v>櫃台</x:v>
      </x:c>
      <x:c r="E236" s="6" t="str"/>
      <x:c r="F236" s="6" t="str">
        <x:v>報表製作</x:v>
      </x:c>
      <x:c r="G236" s="19" t="str">
        <x:v>◎</x:v>
      </x:c>
      <x:c r="H236" s="17" t="str">
        <x:v>熟練</x:v>
      </x:c>
      <x:c r="I236" s="6" t="n">
        <x:v>117</x:v>
      </x:c>
    </x:row>
    <x:row r="237">
      <x:c r="A237" s="13" t="str">
        <x:v>1004</x:v>
      </x:c>
      <x:c r="B237" s="14" t="str"/>
      <x:c r="C237" s="14" t="str">
        <x:v>Lv.8</x:v>
      </x:c>
      <x:c r="D237" s="14" t="str">
        <x:v>櫃台</x:v>
      </x:c>
      <x:c r="E237" s="6" t="str"/>
      <x:c r="F237" s="6" t="str">
        <x:v>診斷證明書</x:v>
      </x:c>
      <x:c r="G237" s="19" t="str">
        <x:v>◎</x:v>
      </x:c>
      <x:c r="H237" s="17" t="str">
        <x:v>熟練</x:v>
      </x:c>
      <x:c r="I237" s="6" t="n">
        <x:v>118</x:v>
      </x:c>
    </x:row>
    <x:row r="238">
      <x:c r="A238" s="13" t="str">
        <x:v>1004</x:v>
      </x:c>
      <x:c r="B238" s="14" t="str"/>
      <x:c r="C238" s="14" t="str">
        <x:v>Lv.8</x:v>
      </x:c>
      <x:c r="D238" s="14" t="str">
        <x:v>櫃台</x:v>
      </x:c>
      <x:c r="E238" s="6" t="str"/>
      <x:c r="F238" s="6" t="str">
        <x:v>牙統VPN</x:v>
      </x:c>
      <x:c r="G238" s="19" t="str">
        <x:v>◎</x:v>
      </x:c>
      <x:c r="H238" s="17" t="str">
        <x:v>熟練</x:v>
      </x:c>
      <x:c r="I238" s="6" t="n">
        <x:v>119</x:v>
      </x:c>
    </x:row>
    <x:row r="239">
      <x:c r="A239" s="13" t="str">
        <x:v>1004</x:v>
      </x:c>
      <x:c r="B239" s="14" t="str"/>
      <x:c r="C239" s="14" t="str">
        <x:v>Lv.8</x:v>
      </x:c>
      <x:c r="D239" s="14" t="str">
        <x:v>櫃台</x:v>
      </x:c>
      <x:c r="E239" s="6" t="str"/>
      <x:c r="F239" s="6" t="str">
        <x:v>病歷檢查核對</x:v>
      </x:c>
      <x:c r="G239" s="19" t="str">
        <x:v>◎</x:v>
      </x:c>
      <x:c r="H239" s="17" t="str">
        <x:v>熟練</x:v>
      </x:c>
      <x:c r="I239" s="6" t="n">
        <x:v>120</x:v>
      </x:c>
    </x:row>
    <x:row r="240">
      <x:c r="A240" s="13" t="str">
        <x:v>1004</x:v>
      </x:c>
      <x:c r="B240" s="14" t="str"/>
      <x:c r="C240" s="14" t="str">
        <x:v>Lv.8</x:v>
      </x:c>
      <x:c r="D240" s="14" t="str">
        <x:v>櫃台</x:v>
      </x:c>
      <x:c r="E240" s="6" t="str"/>
      <x:c r="F240" s="6" t="str">
        <x:v>抽審資料處理</x:v>
      </x:c>
      <x:c r="G240" s="19" t="str">
        <x:v>◎</x:v>
      </x:c>
      <x:c r="H240" s="17" t="str">
        <x:v>熟練</x:v>
      </x:c>
      <x:c r="I240" s="6" t="n">
        <x:v>121</x:v>
      </x:c>
    </x:row>
    <x:row r="241">
      <x:c r="A241" s="13" t="str">
        <x:v>1013</x:v>
      </x:c>
      <x:c r="B241" s="14" t="str"/>
      <x:c r="C241" s="14" t="str">
        <x:v>Lv.7</x:v>
      </x:c>
      <x:c r="D241" s="14" t="str">
        <x:v>流動工作</x:v>
      </x:c>
      <x:c r="E241" s="6" t="str"/>
      <x:c r="F241" s="6" t="str">
        <x:v>撤備台</x:v>
      </x:c>
      <x:c r="G241" s="19" t="str">
        <x:v>◎</x:v>
      </x:c>
      <x:c r="H241" s="17" t="str">
        <x:v>熟練</x:v>
      </x:c>
      <x:c r="I241" s="6" t="n">
        <x:v>5</x:v>
      </x:c>
    </x:row>
    <x:row r="242">
      <x:c r="A242" s="13" t="str">
        <x:v>1013</x:v>
      </x:c>
      <x:c r="B242" s="14" t="str"/>
      <x:c r="C242" s="14" t="str">
        <x:v>Lv.7</x:v>
      </x:c>
      <x:c r="D242" s="14" t="str">
        <x:v>流動工作</x:v>
      </x:c>
      <x:c r="E242" s="6" t="str"/>
      <x:c r="F242" s="6" t="str">
        <x:v>器械清消流程</x:v>
      </x:c>
      <x:c r="G242" s="19" t="str">
        <x:v>◎</x:v>
      </x:c>
      <x:c r="H242" s="17" t="str">
        <x:v>熟練</x:v>
      </x:c>
      <x:c r="I242" s="6" t="n">
        <x:v>6</x:v>
      </x:c>
    </x:row>
    <x:row r="243">
      <x:c r="A243" s="13" t="str">
        <x:v>1013</x:v>
      </x:c>
      <x:c r="B243" s="14" t="str"/>
      <x:c r="C243" s="14" t="str">
        <x:v>Lv.7</x:v>
      </x:c>
      <x:c r="D243" s="14" t="str">
        <x:v>流動工作</x:v>
      </x:c>
      <x:c r="E243" s="6" t="str"/>
      <x:c r="F243" s="6" t="str">
        <x:v>認識治療項目</x:v>
      </x:c>
      <x:c r="G243" s="19" t="str">
        <x:v>◎</x:v>
      </x:c>
      <x:c r="H243" s="17" t="str">
        <x:v>熟練</x:v>
      </x:c>
      <x:c r="I243" s="6" t="n">
        <x:v>7</x:v>
      </x:c>
    </x:row>
    <x:row r="244">
      <x:c r="A244" s="13" t="str">
        <x:v>1013</x:v>
      </x:c>
      <x:c r="B244" s="14" t="str"/>
      <x:c r="C244" s="14" t="str">
        <x:v>Lv.7</x:v>
      </x:c>
      <x:c r="D244" s="14" t="str">
        <x:v>流動工作</x:v>
      </x:c>
      <x:c r="E244" s="6" t="str"/>
      <x:c r="F244" s="6" t="str">
        <x:v>替代跟診人員灌模</x:v>
      </x:c>
      <x:c r="G244" s="19" t="str">
        <x:v>◎</x:v>
      </x:c>
      <x:c r="H244" s="17" t="str">
        <x:v>熟練</x:v>
      </x:c>
      <x:c r="I244" s="6" t="n">
        <x:v>8</x:v>
      </x:c>
    </x:row>
    <x:row r="245">
      <x:c r="A245" s="13" t="str">
        <x:v>1013</x:v>
      </x:c>
      <x:c r="B245" s="14" t="str"/>
      <x:c r="C245" s="14" t="str">
        <x:v>Lv.7</x:v>
      </x:c>
      <x:c r="D245" s="14" t="str">
        <x:v>流動工作</x:v>
      </x:c>
      <x:c r="E245" s="6" t="str"/>
      <x:c r="F245" s="6" t="str">
        <x:v>拍攝X光片(PANO)</x:v>
      </x:c>
      <x:c r="G245" s="19" t="str">
        <x:v>◎</x:v>
      </x:c>
      <x:c r="H245" s="17" t="str">
        <x:v>熟練</x:v>
      </x:c>
      <x:c r="I245" s="6" t="n">
        <x:v>9</x:v>
      </x:c>
    </x:row>
    <x:row r="246">
      <x:c r="A246" s="13" t="str">
        <x:v>1013</x:v>
      </x:c>
      <x:c r="B246" s="14" t="str"/>
      <x:c r="C246" s="14" t="str">
        <x:v>Lv.7</x:v>
      </x:c>
      <x:c r="D246" s="14" t="str">
        <x:v>流動工作</x:v>
      </x:c>
      <x:c r="E246" s="6" t="str"/>
      <x:c r="F246" s="6" t="str">
        <x:v>拍攝根尖片(用鱷魚夾)</x:v>
      </x:c>
      <x:c r="G246" s="19" t="str">
        <x:v>◎</x:v>
      </x:c>
      <x:c r="H246" s="17" t="str">
        <x:v>熟練</x:v>
      </x:c>
      <x:c r="I246" s="6" t="n">
        <x:v>10</x:v>
      </x:c>
    </x:row>
    <x:row r="247">
      <x:c r="A247" s="13" t="str">
        <x:v>1013</x:v>
      </x:c>
      <x:c r="B247" s="14" t="str"/>
      <x:c r="C247" s="14" t="str">
        <x:v>Lv.7</x:v>
      </x:c>
      <x:c r="D247" s="14" t="str">
        <x:v>流動工作</x:v>
      </x:c>
      <x:c r="E247" s="6" t="str"/>
      <x:c r="F247" s="6" t="str">
        <x:v>拍攝根尖片(手壓片)</x:v>
      </x:c>
      <x:c r="G247" s="19" t="str">
        <x:v>◎</x:v>
      </x:c>
      <x:c r="H247" s="17" t="str">
        <x:v>熟練</x:v>
      </x:c>
      <x:c r="I247" s="6" t="n">
        <x:v>11</x:v>
      </x:c>
    </x:row>
    <x:row r="248">
      <x:c r="A248" s="13" t="str">
        <x:v>1013</x:v>
      </x:c>
      <x:c r="B248" s="14" t="str"/>
      <x:c r="C248" s="14" t="str">
        <x:v>Lv.7</x:v>
      </x:c>
      <x:c r="D248" s="14" t="str">
        <x:v>流動工作</x:v>
      </x:c>
      <x:c r="E248" s="6" t="str"/>
      <x:c r="F248" s="6" t="str">
        <x:v>開、關診工作</x:v>
      </x:c>
      <x:c r="G248" s="19" t="str">
        <x:v>◎</x:v>
      </x:c>
      <x:c r="H248" s="17" t="str">
        <x:v>熟練</x:v>
      </x:c>
      <x:c r="I248" s="6" t="n">
        <x:v>12</x:v>
      </x:c>
    </x:row>
    <x:row r="249">
      <x:c r="A249" s="13" t="str">
        <x:v>1013</x:v>
      </x:c>
      <x:c r="B249" s="14" t="str"/>
      <x:c r="C249" s="14" t="str">
        <x:v>Lv.7</x:v>
      </x:c>
      <x:c r="D249" s="14" t="str">
        <x:v>流動工作</x:v>
      </x:c>
      <x:c r="E249" s="6" t="str"/>
      <x:c r="F249" s="6" t="str">
        <x:v>備品補充+器械安全庫存</x:v>
      </x:c>
      <x:c r="G249" s="19" t="str">
        <x:v>◎</x:v>
      </x:c>
      <x:c r="H249" s="17" t="str">
        <x:v>熟練</x:v>
      </x:c>
      <x:c r="I249" s="6" t="n">
        <x:v>13</x:v>
      </x:c>
    </x:row>
    <x:row r="250">
      <x:c r="A250" s="13" t="str">
        <x:v>1013</x:v>
      </x:c>
      <x:c r="B250" s="14" t="str"/>
      <x:c r="C250" s="14" t="str">
        <x:v>Lv.7</x:v>
      </x:c>
      <x:c r="D250" s="14" t="str">
        <x:v>衛教</x:v>
      </x:c>
      <x:c r="E250" s="6" t="str"/>
      <x:c r="F250" s="6" t="str">
        <x:v>基礎衛教</x:v>
      </x:c>
      <x:c r="G250" s="19" t="str">
        <x:v>◎</x:v>
      </x:c>
      <x:c r="H250" s="17" t="str">
        <x:v>熟練</x:v>
      </x:c>
      <x:c r="I250" s="6" t="n">
        <x:v>14</x:v>
      </x:c>
    </x:row>
    <x:row r="251">
      <x:c r="A251" s="13" t="str">
        <x:v>1013</x:v>
      </x:c>
      <x:c r="B251" s="14" t="str"/>
      <x:c r="C251" s="14" t="str">
        <x:v>Lv.7</x:v>
      </x:c>
      <x:c r="D251" s="14" t="str">
        <x:v>衛教</x:v>
      </x:c>
      <x:c r="E251" s="6" t="str"/>
      <x:c r="F251" s="6" t="str">
        <x:v>進階衛教</x:v>
      </x:c>
      <x:c r="G251" s="19" t="str">
        <x:v>◎</x:v>
      </x:c>
      <x:c r="H251" s="17" t="str">
        <x:v>熟練</x:v>
      </x:c>
      <x:c r="I251" s="6" t="n">
        <x:v>15</x:v>
      </x:c>
    </x:row>
    <x:row r="252">
      <x:c r="A252" s="13" t="str">
        <x:v>1013</x:v>
      </x:c>
      <x:c r="B252" s="14" t="str"/>
      <x:c r="C252" s="14" t="str">
        <x:v>Lv.7</x:v>
      </x:c>
      <x:c r="D252" s="14" t="str">
        <x:v>李柄輝醫師</x:v>
      </x:c>
      <x:c r="E252" s="6" t="str">
        <x:v>器械準備</x:v>
      </x:c>
      <x:c r="F252" s="6" t="str">
        <x:v>洗牙</x:v>
      </x:c>
      <x:c r="G252" s="19" t="str">
        <x:v>◎</x:v>
      </x:c>
      <x:c r="H252" s="17" t="str">
        <x:v>熟練</x:v>
      </x:c>
      <x:c r="I252" s="6" t="n">
        <x:v>16</x:v>
      </x:c>
    </x:row>
    <x:row r="253">
      <x:c r="A253" s="13" t="str">
        <x:v>1013</x:v>
      </x:c>
      <x:c r="B253" s="14" t="str"/>
      <x:c r="C253" s="14" t="str">
        <x:v>Lv.7</x:v>
      </x:c>
      <x:c r="D253" s="14" t="str">
        <x:v>李柄輝醫師</x:v>
      </x:c>
      <x:c r="E253" s="6" t="str">
        <x:v>器械準備</x:v>
      </x:c>
      <x:c r="F253" s="6" t="str">
        <x:v>補牙</x:v>
      </x:c>
      <x:c r="G253" s="19" t="str">
        <x:v>◎</x:v>
      </x:c>
      <x:c r="H253" s="17" t="str">
        <x:v>熟練</x:v>
      </x:c>
      <x:c r="I253" s="6" t="n">
        <x:v>17</x:v>
      </x:c>
    </x:row>
    <x:row r="254">
      <x:c r="A254" s="13" t="str">
        <x:v>1013</x:v>
      </x:c>
      <x:c r="B254" s="14" t="str"/>
      <x:c r="C254" s="14" t="str">
        <x:v>Lv.7</x:v>
      </x:c>
      <x:c r="D254" s="14" t="str">
        <x:v>李柄輝醫師</x:v>
      </x:c>
      <x:c r="E254" s="6" t="str">
        <x:v>器械準備</x:v>
      </x:c>
      <x:c r="F254" s="6" t="str">
        <x:v>牙周統合</x:v>
      </x:c>
      <x:c r="G254" s="19" t="str">
        <x:v>◎</x:v>
      </x:c>
      <x:c r="H254" s="17" t="str">
        <x:v>熟練</x:v>
      </x:c>
      <x:c r="I254" s="6" t="n">
        <x:v>18</x:v>
      </x:c>
    </x:row>
    <x:row r="255">
      <x:c r="A255" s="13" t="str">
        <x:v>1013</x:v>
      </x:c>
      <x:c r="B255" s="14" t="str"/>
      <x:c r="C255" s="14" t="str">
        <x:v>Lv.7</x:v>
      </x:c>
      <x:c r="D255" s="14" t="str">
        <x:v>李柄輝醫師</x:v>
      </x:c>
      <x:c r="E255" s="6" t="str">
        <x:v>器械準備</x:v>
      </x:c>
      <x:c r="F255" s="6" t="str">
        <x:v>根管治療(插針照)</x:v>
      </x:c>
      <x:c r="G255" s="19" t="str">
        <x:v>◎</x:v>
      </x:c>
      <x:c r="H255" s="17" t="str">
        <x:v>熟練</x:v>
      </x:c>
      <x:c r="I255" s="6" t="n">
        <x:v>19</x:v>
      </x:c>
    </x:row>
    <x:row r="256">
      <x:c r="A256" s="13" t="str">
        <x:v>1013</x:v>
      </x:c>
      <x:c r="B256" s="14" t="str"/>
      <x:c r="C256" s="14" t="str">
        <x:v>Lv.7</x:v>
      </x:c>
      <x:c r="D256" s="14" t="str">
        <x:v>李柄輝醫師</x:v>
      </x:c>
      <x:c r="E256" s="6" t="str">
        <x:v>器械準備</x:v>
      </x:c>
      <x:c r="F256" s="6" t="str">
        <x:v>拆crown/post</x:v>
      </x:c>
      <x:c r="G256" s="19" t="str">
        <x:v>◎</x:v>
      </x:c>
      <x:c r="H256" s="17" t="str">
        <x:v>熟練</x:v>
      </x:c>
      <x:c r="I256" s="6" t="n">
        <x:v>20</x:v>
      </x:c>
    </x:row>
    <x:row r="257">
      <x:c r="A257" s="13" t="str">
        <x:v>1013</x:v>
      </x:c>
      <x:c r="B257" s="14" t="str"/>
      <x:c r="C257" s="14" t="str">
        <x:v>Lv.7</x:v>
      </x:c>
      <x:c r="D257" s="14" t="str">
        <x:v>李柄輝醫師</x:v>
      </x:c>
      <x:c r="E257" s="6" t="str">
        <x:v>器械準備</x:v>
      </x:c>
      <x:c r="F257" s="6" t="str">
        <x:v>拔牙</x:v>
      </x:c>
      <x:c r="G257" s="19" t="str">
        <x:v>◎</x:v>
      </x:c>
      <x:c r="H257" s="17" t="str">
        <x:v>熟練</x:v>
      </x:c>
      <x:c r="I257" s="6" t="n">
        <x:v>21</x:v>
      </x:c>
    </x:row>
    <x:row r="258">
      <x:c r="A258" s="13" t="str">
        <x:v>1013</x:v>
      </x:c>
      <x:c r="B258" s="14" t="str"/>
      <x:c r="C258" s="14" t="str">
        <x:v>Lv.7</x:v>
      </x:c>
      <x:c r="D258" s="14" t="str">
        <x:v>李柄輝醫師</x:v>
      </x:c>
      <x:c r="E258" s="6" t="str">
        <x:v>自費</x:v>
      </x:c>
      <x:c r="F258" s="6" t="str">
        <x:v>固定假牙(黏著劑)</x:v>
      </x:c>
      <x:c r="G258" s="19" t="str">
        <x:v>◎</x:v>
      </x:c>
      <x:c r="H258" s="17" t="str">
        <x:v>熟練</x:v>
      </x:c>
      <x:c r="I258" s="6" t="n">
        <x:v>22</x:v>
      </x:c>
    </x:row>
    <x:row r="259">
      <x:c r="A259" s="13" t="str">
        <x:v>1013</x:v>
      </x:c>
      <x:c r="B259" s="14" t="str"/>
      <x:c r="C259" s="14" t="str">
        <x:v>Lv.7</x:v>
      </x:c>
      <x:c r="D259" s="14" t="str">
        <x:v>李柄輝醫師</x:v>
      </x:c>
      <x:c r="E259" s="6" t="str"/>
      <x:c r="F259" s="6" t="str">
        <x:v>跟診順暢度</x:v>
      </x:c>
      <x:c r="G259" s="19" t="str">
        <x:v>◎</x:v>
      </x:c>
      <x:c r="H259" s="17" t="str">
        <x:v>熟練</x:v>
      </x:c>
      <x:c r="I259" s="6" t="n">
        <x:v>23</x:v>
      </x:c>
    </x:row>
    <x:row r="260">
      <x:c r="A260" s="13" t="str">
        <x:v>1013</x:v>
      </x:c>
      <x:c r="B260" s="14" t="str"/>
      <x:c r="C260" s="14" t="str">
        <x:v>Lv.7</x:v>
      </x:c>
      <x:c r="D260" s="14" t="str">
        <x:v>李柄輝醫師</x:v>
      </x:c>
      <x:c r="E260" s="6" t="str"/>
      <x:c r="F260" s="6" t="str">
        <x:v>病歷紀錄</x:v>
      </x:c>
      <x:c r="G260" s="19" t="str">
        <x:v>◎</x:v>
      </x:c>
      <x:c r="H260" s="17" t="str">
        <x:v>熟練</x:v>
      </x:c>
      <x:c r="I260" s="6" t="n">
        <x:v>24</x:v>
      </x:c>
    </x:row>
    <x:row r="261">
      <x:c r="A261" s="13" t="str">
        <x:v>1013</x:v>
      </x:c>
      <x:c r="B261" s="14" t="str"/>
      <x:c r="C261" s="14" t="str">
        <x:v>Lv.7</x:v>
      </x:c>
      <x:c r="D261" s="14" t="str">
        <x:v>李柄輝醫師</x:v>
      </x:c>
      <x:c r="E261" s="6" t="str"/>
      <x:c r="F261" s="6" t="str">
        <x:v>健保申報</x:v>
      </x:c>
      <x:c r="G261" s="19" t="str">
        <x:v>◎</x:v>
      </x:c>
      <x:c r="H261" s="17" t="str">
        <x:v>熟練</x:v>
      </x:c>
      <x:c r="I261" s="6" t="n">
        <x:v>25</x:v>
      </x:c>
    </x:row>
    <x:row r="262">
      <x:c r="A262" s="13" t="str">
        <x:v>1013</x:v>
      </x:c>
      <x:c r="B262" s="14" t="str"/>
      <x:c r="C262" s="14" t="str">
        <x:v>Lv.7</x:v>
      </x:c>
      <x:c r="D262" s="14" t="str">
        <x:v>李柄輝醫師</x:v>
      </x:c>
      <x:c r="E262" s="6" t="str"/>
      <x:c r="F262" s="6" t="str">
        <x:v>X光片紀錄</x:v>
      </x:c>
      <x:c r="G262" s="19" t="str">
        <x:v>◎</x:v>
      </x:c>
      <x:c r="H262" s="17" t="str">
        <x:v>熟練</x:v>
      </x:c>
      <x:c r="I262" s="6" t="n">
        <x:v>26</x:v>
      </x:c>
    </x:row>
    <x:row r="263">
      <x:c r="A263" s="13" t="str">
        <x:v>1013</x:v>
      </x:c>
      <x:c r="B263" s="14" t="str"/>
      <x:c r="C263" s="14" t="str">
        <x:v>Lv.7</x:v>
      </x:c>
      <x:c r="D263" s="14" t="str">
        <x:v>李柄輝醫師</x:v>
      </x:c>
      <x:c r="E263" s="6" t="str"/>
      <x:c r="F263" s="6" t="str">
        <x:v>拍PA</x:v>
      </x:c>
      <x:c r="G263" s="19" t="str">
        <x:v>◎</x:v>
      </x:c>
      <x:c r="H263" s="17" t="str">
        <x:v>熟練</x:v>
      </x:c>
      <x:c r="I263" s="6" t="n">
        <x:v>27</x:v>
      </x:c>
    </x:row>
    <x:row r="264">
      <x:c r="A264" s="13" t="str">
        <x:v>1013</x:v>
      </x:c>
      <x:c r="B264" s="14" t="str"/>
      <x:c r="C264" s="14" t="str">
        <x:v>Lv.7</x:v>
      </x:c>
      <x:c r="D264" s="14" t="str">
        <x:v>李侑津醫師</x:v>
      </x:c>
      <x:c r="E264" s="6" t="str">
        <x:v>器械準備</x:v>
      </x:c>
      <x:c r="F264" s="6" t="str">
        <x:v>洗牙</x:v>
      </x:c>
      <x:c r="G264" s="19" t="str">
        <x:v>◎</x:v>
      </x:c>
      <x:c r="H264" s="17" t="str">
        <x:v>熟練</x:v>
      </x:c>
      <x:c r="I264" s="6" t="n">
        <x:v>28</x:v>
      </x:c>
    </x:row>
    <x:row r="265">
      <x:c r="A265" s="13" t="str">
        <x:v>1013</x:v>
      </x:c>
      <x:c r="B265" s="14" t="str"/>
      <x:c r="C265" s="14" t="str">
        <x:v>Lv.7</x:v>
      </x:c>
      <x:c r="D265" s="14" t="str">
        <x:v>李侑津醫師</x:v>
      </x:c>
      <x:c r="E265" s="6" t="str">
        <x:v>器械準備</x:v>
      </x:c>
      <x:c r="F265" s="6" t="str">
        <x:v>補牙</x:v>
      </x:c>
      <x:c r="G265" s="19" t="str">
        <x:v>◎</x:v>
      </x:c>
      <x:c r="H265" s="17" t="str">
        <x:v>熟練</x:v>
      </x:c>
      <x:c r="I265" s="6" t="n">
        <x:v>29</x:v>
      </x:c>
    </x:row>
    <x:row r="266">
      <x:c r="A266" s="13" t="str">
        <x:v>1013</x:v>
      </x:c>
      <x:c r="B266" s="14" t="str"/>
      <x:c r="C266" s="14" t="str">
        <x:v>Lv.7</x:v>
      </x:c>
      <x:c r="D266" s="14" t="str">
        <x:v>李侑津醫師</x:v>
      </x:c>
      <x:c r="E266" s="6" t="str">
        <x:v>器械準備</x:v>
      </x:c>
      <x:c r="F266" s="6" t="str">
        <x:v>牙周統合</x:v>
      </x:c>
      <x:c r="G266" s="19" t="str">
        <x:v>◎</x:v>
      </x:c>
      <x:c r="H266" s="17" t="str">
        <x:v>熟練</x:v>
      </x:c>
      <x:c r="I266" s="6" t="n">
        <x:v>30</x:v>
      </x:c>
    </x:row>
    <x:row r="267">
      <x:c r="A267" s="13" t="str">
        <x:v>1013</x:v>
      </x:c>
      <x:c r="B267" s="14" t="str"/>
      <x:c r="C267" s="14" t="str">
        <x:v>Lv.7</x:v>
      </x:c>
      <x:c r="D267" s="14" t="str">
        <x:v>李侑津醫師</x:v>
      </x:c>
      <x:c r="E267" s="6" t="str">
        <x:v>器械準備</x:v>
      </x:c>
      <x:c r="F267" s="6" t="str">
        <x:v>根管治療</x:v>
      </x:c>
      <x:c r="G267" s="19" t="str">
        <x:v>◎</x:v>
      </x:c>
      <x:c r="H267" s="17" t="str">
        <x:v>熟練</x:v>
      </x:c>
      <x:c r="I267" s="6" t="n">
        <x:v>31</x:v>
      </x:c>
    </x:row>
    <x:row r="268">
      <x:c r="A268" s="13" t="str">
        <x:v>1013</x:v>
      </x:c>
      <x:c r="B268" s="14" t="str"/>
      <x:c r="C268" s="14" t="str">
        <x:v>Lv.7</x:v>
      </x:c>
      <x:c r="D268" s="14" t="str">
        <x:v>李侑津醫師</x:v>
      </x:c>
      <x:c r="E268" s="6" t="str">
        <x:v>器械準備</x:v>
      </x:c>
      <x:c r="F268" s="6" t="str">
        <x:v>拔牙</x:v>
      </x:c>
      <x:c r="G268" s="19" t="str">
        <x:v>◎</x:v>
      </x:c>
      <x:c r="H268" s="17" t="str">
        <x:v>熟練</x:v>
      </x:c>
      <x:c r="I268" s="6" t="n">
        <x:v>32</x:v>
      </x:c>
    </x:row>
    <x:row r="269">
      <x:c r="A269" s="13" t="str">
        <x:v>1013</x:v>
      </x:c>
      <x:c r="B269" s="14" t="str"/>
      <x:c r="C269" s="14" t="str">
        <x:v>Lv.7</x:v>
      </x:c>
      <x:c r="D269" s="14" t="str">
        <x:v>李侑津醫師</x:v>
      </x:c>
      <x:c r="E269" s="6" t="str">
        <x:v>器械準備</x:v>
      </x:c>
      <x:c r="F269" s="6" t="str">
        <x:v>拆 crown/post</x:v>
      </x:c>
      <x:c r="G269" s="19" t="str">
        <x:v>◎</x:v>
      </x:c>
      <x:c r="H269" s="17" t="str">
        <x:v>熟練</x:v>
      </x:c>
      <x:c r="I269" s="6" t="n">
        <x:v>33</x:v>
      </x:c>
    </x:row>
    <x:row r="270">
      <x:c r="A270" s="13" t="str">
        <x:v>1013</x:v>
      </x:c>
      <x:c r="B270" s="14" t="str"/>
      <x:c r="C270" s="14" t="str">
        <x:v>Lv.7</x:v>
      </x:c>
      <x:c r="D270" s="14" t="str">
        <x:v>李侑津醫師</x:v>
      </x:c>
      <x:c r="E270" s="6" t="str">
        <x:v>自費</x:v>
      </x:c>
      <x:c r="F270" s="6" t="str">
        <x:v>固定假牙</x:v>
      </x:c>
      <x:c r="G270" s="19" t="str">
        <x:v>◎</x:v>
      </x:c>
      <x:c r="H270" s="17" t="str">
        <x:v>熟練</x:v>
      </x:c>
      <x:c r="I270" s="6" t="n">
        <x:v>34</x:v>
      </x:c>
    </x:row>
    <x:row r="271">
      <x:c r="A271" s="13" t="str">
        <x:v>1013</x:v>
      </x:c>
      <x:c r="B271" s="14" t="str"/>
      <x:c r="C271" s="14" t="str">
        <x:v>Lv.7</x:v>
      </x:c>
      <x:c r="D271" s="14" t="str">
        <x:v>李侑津醫師</x:v>
      </x:c>
      <x:c r="E271" s="6" t="str">
        <x:v>自費</x:v>
      </x:c>
      <x:c r="F271" s="6" t="str">
        <x:v>RPD</x:v>
      </x:c>
      <x:c r="G271" s="19" t="str">
        <x:v>◎</x:v>
      </x:c>
      <x:c r="H271" s="17" t="str">
        <x:v>熟練</x:v>
      </x:c>
      <x:c r="I271" s="6" t="n">
        <x:v>35</x:v>
      </x:c>
    </x:row>
    <x:row r="272">
      <x:c r="A272" s="13" t="str">
        <x:v>1013</x:v>
      </x:c>
      <x:c r="B272" s="14" t="str"/>
      <x:c r="C272" s="14" t="str">
        <x:v>Lv.7</x:v>
      </x:c>
      <x:c r="D272" s="14" t="str">
        <x:v>李侑津醫師</x:v>
      </x:c>
      <x:c r="E272" s="6" t="str">
        <x:v>自費</x:v>
      </x:c>
      <x:c r="F272" s="6" t="str">
        <x:v>噴砂美白</x:v>
      </x:c>
      <x:c r="G272" s="19" t="str">
        <x:v>◎</x:v>
      </x:c>
      <x:c r="H272" s="17" t="str">
        <x:v>熟練</x:v>
      </x:c>
      <x:c r="I272" s="6" t="n">
        <x:v>36</x:v>
      </x:c>
    </x:row>
    <x:row r="273">
      <x:c r="A273" s="13" t="str">
        <x:v>1013</x:v>
      </x:c>
      <x:c r="B273" s="14" t="str"/>
      <x:c r="C273" s="14" t="str">
        <x:v>Lv.7</x:v>
      </x:c>
      <x:c r="D273" s="14" t="str">
        <x:v>李侑津醫師</x:v>
      </x:c>
      <x:c r="E273" s="6" t="str">
        <x:v>手術</x:v>
      </x:c>
      <x:c r="F273" s="6" t="str">
        <x:v>牙周手術</x:v>
      </x:c>
      <x:c r="G273" s="19" t="str">
        <x:v>◎</x:v>
      </x:c>
      <x:c r="H273" s="17" t="str">
        <x:v>熟練</x:v>
      </x:c>
      <x:c r="I273" s="6" t="n">
        <x:v>37</x:v>
      </x:c>
    </x:row>
    <x:row r="274">
      <x:c r="A274" s="13" t="str">
        <x:v>1013</x:v>
      </x:c>
      <x:c r="B274" s="14" t="str"/>
      <x:c r="C274" s="14" t="str">
        <x:v>Lv.7</x:v>
      </x:c>
      <x:c r="D274" s="14" t="str">
        <x:v>李侑津醫師</x:v>
      </x:c>
      <x:c r="E274" s="6" t="str">
        <x:v>手術</x:v>
      </x:c>
      <x:c r="F274" s="6" t="str">
        <x:v>顯微根管</x:v>
      </x:c>
      <x:c r="G274" s="19" t="str">
        <x:v>◎</x:v>
      </x:c>
      <x:c r="H274" s="17" t="str">
        <x:v>熟練</x:v>
      </x:c>
      <x:c r="I274" s="6" t="n">
        <x:v>38</x:v>
      </x:c>
    </x:row>
    <x:row r="275">
      <x:c r="A275" s="13" t="str">
        <x:v>1013</x:v>
      </x:c>
      <x:c r="B275" s="14" t="str"/>
      <x:c r="C275" s="14" t="str">
        <x:v>Lv.7</x:v>
      </x:c>
      <x:c r="D275" s="14" t="str">
        <x:v>李侑津醫師</x:v>
      </x:c>
      <x:c r="E275" s="6" t="str">
        <x:v>手術</x:v>
      </x:c>
      <x:c r="F275" s="6" t="str">
        <x:v>植 牙</x:v>
      </x:c>
      <x:c r="G275" s="19" t="str">
        <x:v>◎</x:v>
      </x:c>
      <x:c r="H275" s="17" t="str">
        <x:v>熟練</x:v>
      </x:c>
      <x:c r="I275" s="6" t="n">
        <x:v>39</x:v>
      </x:c>
    </x:row>
    <x:row r="276">
      <x:c r="A276" s="13" t="str">
        <x:v>1013</x:v>
      </x:c>
      <x:c r="B276" s="14" t="str"/>
      <x:c r="C276" s="14" t="str">
        <x:v>Lv.7</x:v>
      </x:c>
      <x:c r="D276" s="14" t="str">
        <x:v>李侑津醫師</x:v>
      </x:c>
      <x:c r="E276" s="6" t="str"/>
      <x:c r="F276" s="6" t="str">
        <x:v>跟診順暢度</x:v>
      </x:c>
      <x:c r="G276" s="19" t="str">
        <x:v>◎</x:v>
      </x:c>
      <x:c r="H276" s="17" t="str">
        <x:v>熟練</x:v>
      </x:c>
      <x:c r="I276" s="6" t="n">
        <x:v>40</x:v>
      </x:c>
    </x:row>
    <x:row r="277">
      <x:c r="A277" s="13" t="str">
        <x:v>1013</x:v>
      </x:c>
      <x:c r="B277" s="14" t="str"/>
      <x:c r="C277" s="14" t="str">
        <x:v>Lv.7</x:v>
      </x:c>
      <x:c r="D277" s="14" t="str">
        <x:v>李侑津醫師</x:v>
      </x:c>
      <x:c r="E277" s="6" t="str"/>
      <x:c r="F277" s="6" t="str">
        <x:v>病歷紀錄</x:v>
      </x:c>
      <x:c r="G277" s="19" t="str">
        <x:v>◎</x:v>
      </x:c>
      <x:c r="H277" s="17" t="str">
        <x:v>熟練</x:v>
      </x:c>
      <x:c r="I277" s="6" t="n">
        <x:v>41</x:v>
      </x:c>
    </x:row>
    <x:row r="278">
      <x:c r="A278" s="13" t="str">
        <x:v>1013</x:v>
      </x:c>
      <x:c r="B278" s="14" t="str"/>
      <x:c r="C278" s="14" t="str">
        <x:v>Lv.7</x:v>
      </x:c>
      <x:c r="D278" s="14" t="str">
        <x:v>李侑津醫師</x:v>
      </x:c>
      <x:c r="E278" s="6" t="str"/>
      <x:c r="F278" s="6" t="str">
        <x:v>健保申報</x:v>
      </x:c>
      <x:c r="G278" s="19" t="str">
        <x:v>◎</x:v>
      </x:c>
      <x:c r="H278" s="17" t="str">
        <x:v>熟練</x:v>
      </x:c>
      <x:c r="I278" s="6" t="n">
        <x:v>42</x:v>
      </x:c>
    </x:row>
    <x:row r="279">
      <x:c r="A279" s="13" t="str">
        <x:v>1013</x:v>
      </x:c>
      <x:c r="B279" s="14" t="str"/>
      <x:c r="C279" s="14" t="str">
        <x:v>Lv.7</x:v>
      </x:c>
      <x:c r="D279" s="14" t="str">
        <x:v>李侑津醫師</x:v>
      </x:c>
      <x:c r="E279" s="6" t="str"/>
      <x:c r="F279" s="6" t="str">
        <x:v>X光片紀錄</x:v>
      </x:c>
      <x:c r="G279" s="19" t="str">
        <x:v>◎</x:v>
      </x:c>
      <x:c r="H279" s="17" t="str">
        <x:v>熟練</x:v>
      </x:c>
      <x:c r="I279" s="6" t="n">
        <x:v>43</x:v>
      </x:c>
    </x:row>
    <x:row r="280">
      <x:c r="A280" s="13" t="str">
        <x:v>1013</x:v>
      </x:c>
      <x:c r="B280" s="14" t="str"/>
      <x:c r="C280" s="14" t="str">
        <x:v>Lv.7</x:v>
      </x:c>
      <x:c r="D280" s="14" t="str">
        <x:v>李侑津醫師</x:v>
      </x:c>
      <x:c r="E280" s="6" t="str"/>
      <x:c r="F280" s="6" t="str">
        <x:v>拍PA</x:v>
      </x:c>
      <x:c r="G280" s="19" t="str">
        <x:v>◎</x:v>
      </x:c>
      <x:c r="H280" s="17" t="str">
        <x:v>熟練</x:v>
      </x:c>
      <x:c r="I280" s="6" t="n">
        <x:v>44</x:v>
      </x:c>
    </x:row>
    <x:row r="281">
      <x:c r="A281" s="13" t="str">
        <x:v>1013</x:v>
      </x:c>
      <x:c r="B281" s="14" t="str"/>
      <x:c r="C281" s="14" t="str">
        <x:v>Lv.7</x:v>
      </x:c>
      <x:c r="D281" s="14" t="str">
        <x:v>李侑津醫師</x:v>
      </x:c>
      <x:c r="E281" s="6" t="str"/>
      <x:c r="F281" s="6" t="str">
        <x:v>口掃機運用</x:v>
      </x:c>
      <x:c r="G281" s="19" t="str">
        <x:v>◎</x:v>
      </x:c>
      <x:c r="H281" s="17" t="str">
        <x:v>熟練</x:v>
      </x:c>
      <x:c r="I281" s="6" t="n">
        <x:v>45</x:v>
      </x:c>
    </x:row>
    <x:row r="282">
      <x:c r="A282" s="13" t="str">
        <x:v>1013</x:v>
      </x:c>
      <x:c r="B282" s="14" t="str"/>
      <x:c r="C282" s="14" t="str">
        <x:v>Lv.7</x:v>
      </x:c>
      <x:c r="D282" s="14" t="str">
        <x:v>廖立揚醫師</x:v>
      </x:c>
      <x:c r="E282" s="6" t="str"/>
      <x:c r="F282" s="6" t="str">
        <x:v>器械熟悉度</x:v>
      </x:c>
      <x:c r="G282" s="19" t="str">
        <x:v>◎</x:v>
      </x:c>
      <x:c r="H282" s="17" t="str">
        <x:v>熟練</x:v>
      </x:c>
      <x:c r="I282" s="6" t="n">
        <x:v>46</x:v>
      </x:c>
    </x:row>
    <x:row r="283">
      <x:c r="A283" s="13" t="str">
        <x:v>1013</x:v>
      </x:c>
      <x:c r="B283" s="14" t="str"/>
      <x:c r="C283" s="14" t="str">
        <x:v>Lv.7</x:v>
      </x:c>
      <x:c r="D283" s="14" t="str">
        <x:v>廖立揚醫師</x:v>
      </x:c>
      <x:c r="E283" s="6" t="str"/>
      <x:c r="F283" s="6" t="str">
        <x:v>跟診順暢度</x:v>
      </x:c>
      <x:c r="G283" s="19" t="str">
        <x:v>◎</x:v>
      </x:c>
      <x:c r="H283" s="17" t="str">
        <x:v>熟練</x:v>
      </x:c>
      <x:c r="I283" s="6" t="n">
        <x:v>47</x:v>
      </x:c>
    </x:row>
    <x:row r="284">
      <x:c r="A284" s="13" t="str">
        <x:v>1013</x:v>
      </x:c>
      <x:c r="B284" s="14" t="str"/>
      <x:c r="C284" s="14" t="str">
        <x:v>Lv.7</x:v>
      </x:c>
      <x:c r="D284" s="14" t="str">
        <x:v>廖立揚醫師</x:v>
      </x:c>
      <x:c r="E284" s="6" t="str"/>
      <x:c r="F284" s="6" t="str">
        <x:v>病歷紀錄</x:v>
      </x:c>
      <x:c r="G284" s="19" t="str">
        <x:v>◎</x:v>
      </x:c>
      <x:c r="H284" s="17" t="str">
        <x:v>熟練</x:v>
      </x:c>
      <x:c r="I284" s="6" t="n">
        <x:v>48</x:v>
      </x:c>
    </x:row>
    <x:row r="285">
      <x:c r="A285" s="13" t="str">
        <x:v>1013</x:v>
      </x:c>
      <x:c r="B285" s="14" t="str"/>
      <x:c r="C285" s="14" t="str">
        <x:v>Lv.7</x:v>
      </x:c>
      <x:c r="D285" s="14" t="str">
        <x:v>廖立揚醫師</x:v>
      </x:c>
      <x:c r="E285" s="6" t="str"/>
      <x:c r="F285" s="6" t="str">
        <x:v>健保申報(初診pano)</x:v>
      </x:c>
      <x:c r="G285" s="19" t="str">
        <x:v>◎</x:v>
      </x:c>
      <x:c r="H285" s="17" t="str">
        <x:v>熟練</x:v>
      </x:c>
      <x:c r="I285" s="6" t="n">
        <x:v>49</x:v>
      </x:c>
    </x:row>
    <x:row r="286">
      <x:c r="A286" s="13" t="str">
        <x:v>1013</x:v>
      </x:c>
      <x:c r="B286" s="14" t="str"/>
      <x:c r="C286" s="14" t="str">
        <x:v>Lv.7</x:v>
      </x:c>
      <x:c r="D286" s="14" t="str">
        <x:v>廖立揚醫師</x:v>
      </x:c>
      <x:c r="E286" s="6" t="str"/>
      <x:c r="F286" s="6" t="str">
        <x:v>X光片紀錄</x:v>
      </x:c>
      <x:c r="G286" s="19" t="str">
        <x:v>◎</x:v>
      </x:c>
      <x:c r="H286" s="17" t="str">
        <x:v>熟練</x:v>
      </x:c>
      <x:c r="I286" s="6" t="n">
        <x:v>50</x:v>
      </x:c>
    </x:row>
    <x:row r="287">
      <x:c r="A287" s="13" t="str">
        <x:v>1013</x:v>
      </x:c>
      <x:c r="B287" s="14" t="str"/>
      <x:c r="C287" s="14" t="str">
        <x:v>Lv.7</x:v>
      </x:c>
      <x:c r="D287" s="14" t="str">
        <x:v>廖立揚醫師</x:v>
      </x:c>
      <x:c r="E287" s="6" t="str"/>
      <x:c r="F287" s="6" t="str">
        <x:v>拍PANO、PA</x:v>
      </x:c>
      <x:c r="G287" s="19" t="str">
        <x:v>◎</x:v>
      </x:c>
      <x:c r="H287" s="17" t="str">
        <x:v>熟練</x:v>
      </x:c>
      <x:c r="I287" s="6" t="n">
        <x:v>51</x:v>
      </x:c>
    </x:row>
    <x:row r="288">
      <x:c r="A288" s="13" t="str">
        <x:v>1013</x:v>
      </x:c>
      <x:c r="B288" s="14" t="str"/>
      <x:c r="C288" s="14" t="str">
        <x:v>Lv.7</x:v>
      </x:c>
      <x:c r="D288" s="14" t="str">
        <x:v>廖立揚醫師</x:v>
      </x:c>
      <x:c r="E288" s="6" t="str"/>
      <x:c r="F288" s="6" t="str">
        <x:v>CT照</x:v>
      </x:c>
      <x:c r="G288" s="19" t="str">
        <x:v>◎</x:v>
      </x:c>
      <x:c r="H288" s="17" t="str">
        <x:v>熟練</x:v>
      </x:c>
      <x:c r="I288" s="6" t="n">
        <x:v>52</x:v>
      </x:c>
    </x:row>
    <x:row r="289">
      <x:c r="A289" s="13" t="str">
        <x:v>1013</x:v>
      </x:c>
      <x:c r="B289" s="14" t="str"/>
      <x:c r="C289" s="14" t="str">
        <x:v>Lv.7</x:v>
      </x:c>
      <x:c r="D289" s="14" t="str">
        <x:v>廖立揚醫師</x:v>
      </x:c>
      <x:c r="E289" s="6" t="str"/>
      <x:c r="F289" s="6" t="str">
        <x:v>側頭顱照</x:v>
      </x:c>
      <x:c r="G289" s="19" t="str">
        <x:v>◎</x:v>
      </x:c>
      <x:c r="H289" s="17" t="str">
        <x:v>熟練</x:v>
      </x:c>
      <x:c r="I289" s="6" t="n">
        <x:v>53</x:v>
      </x:c>
    </x:row>
    <x:row r="290">
      <x:c r="A290" s="13" t="str">
        <x:v>1013</x:v>
      </x:c>
      <x:c r="B290" s="14" t="str"/>
      <x:c r="C290" s="14" t="str">
        <x:v>Lv.7</x:v>
      </x:c>
      <x:c r="D290" s="14" t="str">
        <x:v>廖立揚醫師</x:v>
      </x:c>
      <x:c r="E290" s="6" t="str"/>
      <x:c r="F290" s="6" t="str">
        <x:v>口掃機運用</x:v>
      </x:c>
      <x:c r="G290" s="19" t="str">
        <x:v>◎</x:v>
      </x:c>
      <x:c r="H290" s="17" t="str">
        <x:v>熟練</x:v>
      </x:c>
      <x:c r="I290" s="6" t="n">
        <x:v>54</x:v>
      </x:c>
    </x:row>
    <x:row r="291">
      <x:c r="A291" s="13" t="str">
        <x:v>1013</x:v>
      </x:c>
      <x:c r="B291" s="14" t="str"/>
      <x:c r="C291" s="14" t="str">
        <x:v>Lv.7</x:v>
      </x:c>
      <x:c r="D291" s="14" t="str">
        <x:v>楊小瑩醫師</x:v>
      </x:c>
      <x:c r="E291" s="6" t="str">
        <x:v>器械準備</x:v>
      </x:c>
      <x:c r="F291" s="6" t="str">
        <x:v>洗牙</x:v>
      </x:c>
      <x:c r="G291" s="19" t="str">
        <x:v>◎</x:v>
      </x:c>
      <x:c r="H291" s="17" t="str">
        <x:v>熟練</x:v>
      </x:c>
      <x:c r="I291" s="6" t="n">
        <x:v>55</x:v>
      </x:c>
    </x:row>
    <x:row r="292">
      <x:c r="A292" s="13" t="str">
        <x:v>1013</x:v>
      </x:c>
      <x:c r="B292" s="14" t="str"/>
      <x:c r="C292" s="14" t="str">
        <x:v>Lv.7</x:v>
      </x:c>
      <x:c r="D292" s="14" t="str">
        <x:v>楊小瑩醫師</x:v>
      </x:c>
      <x:c r="E292" s="6" t="str">
        <x:v>器械準備</x:v>
      </x:c>
      <x:c r="F292" s="6" t="str">
        <x:v>補牙</x:v>
      </x:c>
      <x:c r="G292" s="19" t="str">
        <x:v>Ø</x:v>
      </x:c>
      <x:c r="H292" s="17" t="str">
        <x:v>尚未熟練</x:v>
      </x:c>
      <x:c r="I292" s="6" t="n">
        <x:v>56</x:v>
      </x:c>
    </x:row>
    <x:row r="293">
      <x:c r="A293" s="13" t="str">
        <x:v>1013</x:v>
      </x:c>
      <x:c r="B293" s="14" t="str"/>
      <x:c r="C293" s="14" t="str">
        <x:v>Lv.7</x:v>
      </x:c>
      <x:c r="D293" s="14" t="str">
        <x:v>楊小瑩醫師</x:v>
      </x:c>
      <x:c r="E293" s="6" t="str">
        <x:v>器械準備</x:v>
      </x:c>
      <x:c r="F293" s="6" t="str">
        <x:v>根管治療</x:v>
      </x:c>
      <x:c r="G293" s="19" t="str">
        <x:v>Ø</x:v>
      </x:c>
      <x:c r="H293" s="17" t="str">
        <x:v>尚未熟練</x:v>
      </x:c>
      <x:c r="I293" s="6" t="n">
        <x:v>57</x:v>
      </x:c>
    </x:row>
    <x:row r="294">
      <x:c r="A294" s="13" t="str">
        <x:v>1013</x:v>
      </x:c>
      <x:c r="B294" s="14" t="str"/>
      <x:c r="C294" s="14" t="str">
        <x:v>Lv.7</x:v>
      </x:c>
      <x:c r="D294" s="14" t="str">
        <x:v>楊小瑩醫師</x:v>
      </x:c>
      <x:c r="E294" s="6" t="str">
        <x:v>器械準備</x:v>
      </x:c>
      <x:c r="F294" s="6" t="str">
        <x:v>拔牙</x:v>
      </x:c>
      <x:c r="G294" s="19" t="str">
        <x:v>◎</x:v>
      </x:c>
      <x:c r="H294" s="17" t="str">
        <x:v>熟練</x:v>
      </x:c>
      <x:c r="I294" s="6" t="n">
        <x:v>58</x:v>
      </x:c>
    </x:row>
    <x:row r="295">
      <x:c r="A295" s="13" t="str">
        <x:v>1013</x:v>
      </x:c>
      <x:c r="B295" s="14" t="str"/>
      <x:c r="C295" s="14" t="str">
        <x:v>Lv.7</x:v>
      </x:c>
      <x:c r="D295" s="14" t="str">
        <x:v>楊小瑩醫師</x:v>
      </x:c>
      <x:c r="E295" s="6" t="str">
        <x:v>器械準備</x:v>
      </x:c>
      <x:c r="F295" s="6" t="str">
        <x:v>拆 crown/post</x:v>
      </x:c>
      <x:c r="G295" s="19" t="str">
        <x:v>Ø</x:v>
      </x:c>
      <x:c r="H295" s="17" t="str">
        <x:v>尚未熟練</x:v>
      </x:c>
      <x:c r="I295" s="6" t="n">
        <x:v>59</x:v>
      </x:c>
    </x:row>
    <x:row r="296">
      <x:c r="A296" s="13" t="str">
        <x:v>1013</x:v>
      </x:c>
      <x:c r="B296" s="14" t="str"/>
      <x:c r="C296" s="14" t="str">
        <x:v>Lv.7</x:v>
      </x:c>
      <x:c r="D296" s="14" t="str">
        <x:v>楊小瑩醫師</x:v>
      </x:c>
      <x:c r="E296" s="6" t="str">
        <x:v>自費</x:v>
      </x:c>
      <x:c r="F296" s="6" t="str">
        <x:v>固定假牙</x:v>
      </x:c>
      <x:c r="G296" s="19" t="str">
        <x:v>Ø</x:v>
      </x:c>
      <x:c r="H296" s="17" t="str">
        <x:v>尚未熟練</x:v>
      </x:c>
      <x:c r="I296" s="6" t="n">
        <x:v>60</x:v>
      </x:c>
    </x:row>
    <x:row r="297">
      <x:c r="A297" s="13" t="str">
        <x:v>1013</x:v>
      </x:c>
      <x:c r="B297" s="14" t="str"/>
      <x:c r="C297" s="14" t="str">
        <x:v>Lv.7</x:v>
      </x:c>
      <x:c r="D297" s="14" t="str">
        <x:v>楊小瑩醫師</x:v>
      </x:c>
      <x:c r="E297" s="6" t="str">
        <x:v>自費</x:v>
      </x:c>
      <x:c r="F297" s="6" t="str">
        <x:v>RPD</x:v>
      </x:c>
      <x:c r="G297" s="19" t="str">
        <x:v>※</x:v>
      </x:c>
      <x:c r="H297" s="17" t="str">
        <x:v>學習中</x:v>
      </x:c>
      <x:c r="I297" s="6" t="n">
        <x:v>61</x:v>
      </x:c>
    </x:row>
    <x:row r="298">
      <x:c r="A298" s="13" t="str">
        <x:v>1013</x:v>
      </x:c>
      <x:c r="B298" s="14" t="str"/>
      <x:c r="C298" s="14" t="str">
        <x:v>Lv.7</x:v>
      </x:c>
      <x:c r="D298" s="14" t="str">
        <x:v>楊小瑩醫師</x:v>
      </x:c>
      <x:c r="E298" s="6" t="str">
        <x:v>自費</x:v>
      </x:c>
      <x:c r="F298" s="6" t="str">
        <x:v>噴砂美白</x:v>
      </x:c>
      <x:c r="G298" s="19" t="str">
        <x:v>◎</x:v>
      </x:c>
      <x:c r="H298" s="17" t="str">
        <x:v>熟練</x:v>
      </x:c>
      <x:c r="I298" s="6" t="n">
        <x:v>62</x:v>
      </x:c>
    </x:row>
    <x:row r="299">
      <x:c r="A299" s="13" t="str">
        <x:v>1013</x:v>
      </x:c>
      <x:c r="B299" s="14" t="str"/>
      <x:c r="C299" s="14" t="str">
        <x:v>Lv.7</x:v>
      </x:c>
      <x:c r="D299" s="14" t="str">
        <x:v>楊小瑩醫師</x:v>
      </x:c>
      <x:c r="E299" s="6" t="str"/>
      <x:c r="F299" s="6" t="str">
        <x:v>跟診順暢度</x:v>
      </x:c>
      <x:c r="G299" s="19" t="str">
        <x:v>Ø</x:v>
      </x:c>
      <x:c r="H299" s="17" t="str">
        <x:v>尚未熟練</x:v>
      </x:c>
      <x:c r="I299" s="6" t="n">
        <x:v>63</x:v>
      </x:c>
    </x:row>
    <x:row r="300">
      <x:c r="A300" s="13" t="str">
        <x:v>1013</x:v>
      </x:c>
      <x:c r="B300" s="14" t="str"/>
      <x:c r="C300" s="14" t="str">
        <x:v>Lv.7</x:v>
      </x:c>
      <x:c r="D300" s="14" t="str">
        <x:v>楊小瑩醫師</x:v>
      </x:c>
      <x:c r="E300" s="6" t="str"/>
      <x:c r="F300" s="6" t="str">
        <x:v>病歷紀錄</x:v>
      </x:c>
      <x:c r="G300" s="19" t="str">
        <x:v>◎</x:v>
      </x:c>
      <x:c r="H300" s="17" t="str">
        <x:v>熟練</x:v>
      </x:c>
      <x:c r="I300" s="6" t="n">
        <x:v>64</x:v>
      </x:c>
    </x:row>
    <x:row r="301">
      <x:c r="A301" s="13" t="str">
        <x:v>1013</x:v>
      </x:c>
      <x:c r="B301" s="14" t="str"/>
      <x:c r="C301" s="14" t="str">
        <x:v>Lv.7</x:v>
      </x:c>
      <x:c r="D301" s="14" t="str">
        <x:v>楊小瑩醫師</x:v>
      </x:c>
      <x:c r="E301" s="6" t="str"/>
      <x:c r="F301" s="6" t="str">
        <x:v>健保申報</x:v>
      </x:c>
      <x:c r="G301" s="19" t="str">
        <x:v>◎</x:v>
      </x:c>
      <x:c r="H301" s="17" t="str">
        <x:v>熟練</x:v>
      </x:c>
      <x:c r="I301" s="6" t="n">
        <x:v>65</x:v>
      </x:c>
    </x:row>
    <x:row r="302">
      <x:c r="A302" s="13" t="str">
        <x:v>1013</x:v>
      </x:c>
      <x:c r="B302" s="14" t="str"/>
      <x:c r="C302" s="14" t="str">
        <x:v>Lv.7</x:v>
      </x:c>
      <x:c r="D302" s="14" t="str">
        <x:v>楊小瑩醫師</x:v>
      </x:c>
      <x:c r="E302" s="6" t="str"/>
      <x:c r="F302" s="6" t="str">
        <x:v>X光片紀錄</x:v>
      </x:c>
      <x:c r="G302" s="19" t="str">
        <x:v>◎</x:v>
      </x:c>
      <x:c r="H302" s="17" t="str">
        <x:v>熟練</x:v>
      </x:c>
      <x:c r="I302" s="6" t="n">
        <x:v>66</x:v>
      </x:c>
    </x:row>
    <x:row r="303">
      <x:c r="A303" s="13" t="str">
        <x:v>1013</x:v>
      </x:c>
      <x:c r="B303" s="14" t="str"/>
      <x:c r="C303" s="14" t="str">
        <x:v>Lv.7</x:v>
      </x:c>
      <x:c r="D303" s="14" t="str">
        <x:v>楊小瑩醫師</x:v>
      </x:c>
      <x:c r="E303" s="6" t="str"/>
      <x:c r="F303" s="6" t="str">
        <x:v>拍PA</x:v>
      </x:c>
      <x:c r="G303" s="19" t="str">
        <x:v>◎</x:v>
      </x:c>
      <x:c r="H303" s="17" t="str">
        <x:v>熟練</x:v>
      </x:c>
      <x:c r="I303" s="6" t="n">
        <x:v>67</x:v>
      </x:c>
    </x:row>
    <x:row r="304">
      <x:c r="A304" s="13" t="str">
        <x:v>1013</x:v>
      </x:c>
      <x:c r="B304" s="14" t="str"/>
      <x:c r="C304" s="14" t="str">
        <x:v>Lv.7</x:v>
      </x:c>
      <x:c r="D304" s="14" t="str">
        <x:v>王俊偉醫師</x:v>
      </x:c>
      <x:c r="E304" s="6" t="str"/>
      <x:c r="F304" s="6" t="str">
        <x:v>器械熟悉度</x:v>
      </x:c>
      <x:c r="G304" s="19" t="str">
        <x:v>◎</x:v>
      </x:c>
      <x:c r="H304" s="17" t="str">
        <x:v>熟練</x:v>
      </x:c>
      <x:c r="I304" s="6" t="n">
        <x:v>68</x:v>
      </x:c>
    </x:row>
    <x:row r="305">
      <x:c r="A305" s="13" t="str">
        <x:v>1013</x:v>
      </x:c>
      <x:c r="B305" s="14" t="str"/>
      <x:c r="C305" s="14" t="str">
        <x:v>Lv.7</x:v>
      </x:c>
      <x:c r="D305" s="14" t="str">
        <x:v>王俊偉醫師</x:v>
      </x:c>
      <x:c r="E305" s="6" t="str"/>
      <x:c r="F305" s="6" t="str">
        <x:v>跟診順暢度</x:v>
      </x:c>
      <x:c r="G305" s="19" t="str">
        <x:v>◎</x:v>
      </x:c>
      <x:c r="H305" s="17" t="str">
        <x:v>熟練</x:v>
      </x:c>
      <x:c r="I305" s="6" t="n">
        <x:v>69</x:v>
      </x:c>
    </x:row>
    <x:row r="306">
      <x:c r="A306" s="13" t="str">
        <x:v>1013</x:v>
      </x:c>
      <x:c r="B306" s="14" t="str"/>
      <x:c r="C306" s="14" t="str">
        <x:v>Lv.7</x:v>
      </x:c>
      <x:c r="D306" s="14" t="str">
        <x:v>王俊偉醫師</x:v>
      </x:c>
      <x:c r="E306" s="6" t="str"/>
      <x:c r="F306" s="6" t="str">
        <x:v>病歷紀錄</x:v>
      </x:c>
      <x:c r="G306" s="19" t="str">
        <x:v>◎</x:v>
      </x:c>
      <x:c r="H306" s="17" t="str">
        <x:v>熟練</x:v>
      </x:c>
      <x:c r="I306" s="6" t="n">
        <x:v>70</x:v>
      </x:c>
    </x:row>
    <x:row r="307">
      <x:c r="A307" s="13" t="str">
        <x:v>1013</x:v>
      </x:c>
      <x:c r="B307" s="14" t="str"/>
      <x:c r="C307" s="14" t="str">
        <x:v>Lv.7</x:v>
      </x:c>
      <x:c r="D307" s="14" t="str">
        <x:v>王俊偉醫師</x:v>
      </x:c>
      <x:c r="E307" s="6" t="str"/>
      <x:c r="F307" s="6" t="str">
        <x:v>健保申報</x:v>
      </x:c>
      <x:c r="G307" s="19" t="str">
        <x:v>◎</x:v>
      </x:c>
      <x:c r="H307" s="17" t="str">
        <x:v>熟練</x:v>
      </x:c>
      <x:c r="I307" s="6" t="n">
        <x:v>71</x:v>
      </x:c>
    </x:row>
    <x:row r="308">
      <x:c r="A308" s="13" t="str">
        <x:v>1013</x:v>
      </x:c>
      <x:c r="B308" s="14" t="str"/>
      <x:c r="C308" s="14" t="str">
        <x:v>Lv.7</x:v>
      </x:c>
      <x:c r="D308" s="14" t="str">
        <x:v>王俊偉醫師</x:v>
      </x:c>
      <x:c r="E308" s="6" t="str"/>
      <x:c r="F308" s="6" t="str">
        <x:v>X光片紀錄</x:v>
      </x:c>
      <x:c r="G308" s="19" t="str">
        <x:v>◎</x:v>
      </x:c>
      <x:c r="H308" s="17" t="str">
        <x:v>熟練</x:v>
      </x:c>
      <x:c r="I308" s="6" t="n">
        <x:v>72</x:v>
      </x:c>
    </x:row>
    <x:row r="309">
      <x:c r="A309" s="13" t="str">
        <x:v>1013</x:v>
      </x:c>
      <x:c r="B309" s="14" t="str"/>
      <x:c r="C309" s="14" t="str">
        <x:v>Lv.7</x:v>
      </x:c>
      <x:c r="D309" s="14" t="str">
        <x:v>王俊偉醫師</x:v>
      </x:c>
      <x:c r="E309" s="6" t="str"/>
      <x:c r="F309" s="6" t="str">
        <x:v>拍PANO、PA</x:v>
      </x:c>
      <x:c r="G309" s="19" t="str">
        <x:v>◎</x:v>
      </x:c>
      <x:c r="H309" s="17" t="str">
        <x:v>熟練</x:v>
      </x:c>
      <x:c r="I309" s="6" t="n">
        <x:v>73</x:v>
      </x:c>
    </x:row>
    <x:row r="310">
      <x:c r="A310" s="13" t="str">
        <x:v>1013</x:v>
      </x:c>
      <x:c r="B310" s="14" t="str"/>
      <x:c r="C310" s="14" t="str">
        <x:v>Lv.7</x:v>
      </x:c>
      <x:c r="D310" s="14" t="str">
        <x:v>王俊偉醫師</x:v>
      </x:c>
      <x:c r="E310" s="6" t="str"/>
      <x:c r="F310" s="6" t="str">
        <x:v>CT照</x:v>
      </x:c>
      <x:c r="G310" s="19" t="str">
        <x:v>◎</x:v>
      </x:c>
      <x:c r="H310" s="17" t="str">
        <x:v>熟練</x:v>
      </x:c>
      <x:c r="I310" s="6" t="n">
        <x:v>74</x:v>
      </x:c>
    </x:row>
    <x:row r="311">
      <x:c r="A311" s="13" t="str">
        <x:v>1013</x:v>
      </x:c>
      <x:c r="B311" s="14" t="str"/>
      <x:c r="C311" s="14" t="str">
        <x:v>Lv.7</x:v>
      </x:c>
      <x:c r="D311" s="14" t="str">
        <x:v>王俊偉醫師</x:v>
      </x:c>
      <x:c r="E311" s="6" t="str"/>
      <x:c r="F311" s="6" t="str">
        <x:v>側頭顱照</x:v>
      </x:c>
      <x:c r="G311" s="19" t="str">
        <x:v>◎</x:v>
      </x:c>
      <x:c r="H311" s="17" t="str">
        <x:v>熟練</x:v>
      </x:c>
      <x:c r="I311" s="6" t="n">
        <x:v>75</x:v>
      </x:c>
    </x:row>
    <x:row r="312">
      <x:c r="A312" s="13" t="str">
        <x:v>1013</x:v>
      </x:c>
      <x:c r="B312" s="14" t="str"/>
      <x:c r="C312" s="14" t="str">
        <x:v>Lv.7</x:v>
      </x:c>
      <x:c r="D312" s="14" t="str">
        <x:v>王俊偉醫師</x:v>
      </x:c>
      <x:c r="E312" s="6" t="str"/>
      <x:c r="F312" s="6" t="str">
        <x:v>口掃機運用</x:v>
      </x:c>
      <x:c r="G312" s="19" t="str">
        <x:v>◎</x:v>
      </x:c>
      <x:c r="H312" s="17" t="str">
        <x:v>熟練</x:v>
      </x:c>
      <x:c r="I312" s="6" t="n">
        <x:v>76</x:v>
      </x:c>
    </x:row>
    <x:row r="313">
      <x:c r="A313" s="13" t="str">
        <x:v>1013</x:v>
      </x:c>
      <x:c r="B313" s="14" t="str"/>
      <x:c r="C313" s="14" t="str">
        <x:v>Lv.7</x:v>
      </x:c>
      <x:c r="D313" s="14" t="str">
        <x:v>許馨文醫師</x:v>
      </x:c>
      <x:c r="E313" s="6" t="str"/>
      <x:c r="F313" s="6" t="str">
        <x:v>器械熟悉度</x:v>
      </x:c>
      <x:c r="G313" s="19" t="str">
        <x:v>◎</x:v>
      </x:c>
      <x:c r="H313" s="17" t="str">
        <x:v>熟練</x:v>
      </x:c>
      <x:c r="I313" s="6" t="n">
        <x:v>77</x:v>
      </x:c>
    </x:row>
    <x:row r="314">
      <x:c r="A314" s="13" t="str">
        <x:v>1013</x:v>
      </x:c>
      <x:c r="B314" s="14" t="str"/>
      <x:c r="C314" s="14" t="str">
        <x:v>Lv.7</x:v>
      </x:c>
      <x:c r="D314" s="14" t="str">
        <x:v>許馨文醫師</x:v>
      </x:c>
      <x:c r="E314" s="6" t="str"/>
      <x:c r="F314" s="6" t="str">
        <x:v>吸口水技巧</x:v>
      </x:c>
      <x:c r="G314" s="19" t="str">
        <x:v>◎</x:v>
      </x:c>
      <x:c r="H314" s="17" t="str">
        <x:v>熟練</x:v>
      </x:c>
      <x:c r="I314" s="6" t="n">
        <x:v>78</x:v>
      </x:c>
    </x:row>
    <x:row r="315">
      <x:c r="A315" s="13" t="str">
        <x:v>1013</x:v>
      </x:c>
      <x:c r="B315" s="14" t="str"/>
      <x:c r="C315" s="14" t="str">
        <x:v>Lv.7</x:v>
      </x:c>
      <x:c r="D315" s="14" t="str">
        <x:v>許馨文醫師</x:v>
      </x:c>
      <x:c r="E315" s="6" t="str"/>
      <x:c r="F315" s="6" t="str">
        <x:v>病歷紀錄</x:v>
      </x:c>
      <x:c r="G315" s="19" t="str">
        <x:v>◎</x:v>
      </x:c>
      <x:c r="H315" s="17" t="str">
        <x:v>熟練</x:v>
      </x:c>
      <x:c r="I315" s="6" t="n">
        <x:v>79</x:v>
      </x:c>
    </x:row>
    <x:row r="316">
      <x:c r="A316" s="13" t="str">
        <x:v>1013</x:v>
      </x:c>
      <x:c r="B316" s="14" t="str"/>
      <x:c r="C316" s="14" t="str">
        <x:v>Lv.7</x:v>
      </x:c>
      <x:c r="D316" s="14" t="str">
        <x:v>許馨文醫師</x:v>
      </x:c>
      <x:c r="E316" s="6" t="str"/>
      <x:c r="F316" s="6" t="str">
        <x:v>健保申報</x:v>
      </x:c>
      <x:c r="G316" s="19" t="str">
        <x:v>◎</x:v>
      </x:c>
      <x:c r="H316" s="17" t="str">
        <x:v>熟練</x:v>
      </x:c>
      <x:c r="I316" s="6" t="n">
        <x:v>80</x:v>
      </x:c>
    </x:row>
    <x:row r="317">
      <x:c r="A317" s="13" t="str">
        <x:v>1013</x:v>
      </x:c>
      <x:c r="B317" s="14" t="str"/>
      <x:c r="C317" s="14" t="str">
        <x:v>Lv.7</x:v>
      </x:c>
      <x:c r="D317" s="14" t="str">
        <x:v>許馨文醫師</x:v>
      </x:c>
      <x:c r="E317" s="6" t="str"/>
      <x:c r="F317" s="6" t="str">
        <x:v>X光片紀錄</x:v>
      </x:c>
      <x:c r="G317" s="19" t="str">
        <x:v>◎</x:v>
      </x:c>
      <x:c r="H317" s="17" t="str">
        <x:v>熟練</x:v>
      </x:c>
      <x:c r="I317" s="6" t="n">
        <x:v>81</x:v>
      </x:c>
    </x:row>
    <x:row r="318">
      <x:c r="A318" s="13" t="str">
        <x:v>1013</x:v>
      </x:c>
      <x:c r="B318" s="14" t="str"/>
      <x:c r="C318" s="14" t="str">
        <x:v>Lv.7</x:v>
      </x:c>
      <x:c r="D318" s="14" t="str">
        <x:v>許馨文醫師</x:v>
      </x:c>
      <x:c r="E318" s="6" t="str"/>
      <x:c r="F318" s="6" t="str">
        <x:v>拍PANO、PA</x:v>
      </x:c>
      <x:c r="G318" s="19" t="str">
        <x:v>◎</x:v>
      </x:c>
      <x:c r="H318" s="17" t="str">
        <x:v>熟練</x:v>
      </x:c>
      <x:c r="I318" s="6" t="n">
        <x:v>82</x:v>
      </x:c>
    </x:row>
    <x:row r="319">
      <x:c r="A319" s="13" t="str">
        <x:v>1013</x:v>
      </x:c>
      <x:c r="B319" s="14" t="str"/>
      <x:c r="C319" s="14" t="str">
        <x:v>Lv.7</x:v>
      </x:c>
      <x:c r="D319" s="14" t="str">
        <x:v>林晏妤醫師</x:v>
      </x:c>
      <x:c r="E319" s="6" t="str"/>
      <x:c r="F319" s="6" t="str">
        <x:v>器械熟悉度</x:v>
      </x:c>
      <x:c r="G319" s="19" t="str">
        <x:v>◎</x:v>
      </x:c>
      <x:c r="H319" s="17" t="str">
        <x:v>熟練</x:v>
      </x:c>
      <x:c r="I319" s="6" t="n">
        <x:v>83</x:v>
      </x:c>
    </x:row>
    <x:row r="320">
      <x:c r="A320" s="13" t="str">
        <x:v>1013</x:v>
      </x:c>
      <x:c r="B320" s="14" t="str"/>
      <x:c r="C320" s="14" t="str">
        <x:v>Lv.7</x:v>
      </x:c>
      <x:c r="D320" s="14" t="str">
        <x:v>林晏妤醫師</x:v>
      </x:c>
      <x:c r="E320" s="6" t="str"/>
      <x:c r="F320" s="6" t="str">
        <x:v>跟診順暢度</x:v>
      </x:c>
      <x:c r="G320" s="19" t="str">
        <x:v>◎</x:v>
      </x:c>
      <x:c r="H320" s="17" t="str">
        <x:v>熟練</x:v>
      </x:c>
      <x:c r="I320" s="6" t="n">
        <x:v>84</x:v>
      </x:c>
    </x:row>
    <x:row r="321">
      <x:c r="A321" s="13" t="str">
        <x:v>1013</x:v>
      </x:c>
      <x:c r="B321" s="14" t="str"/>
      <x:c r="C321" s="14" t="str">
        <x:v>Lv.7</x:v>
      </x:c>
      <x:c r="D321" s="14" t="str">
        <x:v>林晏妤醫師</x:v>
      </x:c>
      <x:c r="E321" s="6" t="str"/>
      <x:c r="F321" s="6" t="str">
        <x:v>病歷紀錄</x:v>
      </x:c>
      <x:c r="G321" s="19" t="str">
        <x:v>◎</x:v>
      </x:c>
      <x:c r="H321" s="17" t="str">
        <x:v>熟練</x:v>
      </x:c>
      <x:c r="I321" s="6" t="n">
        <x:v>85</x:v>
      </x:c>
    </x:row>
    <x:row r="322">
      <x:c r="A322" s="13" t="str">
        <x:v>1013</x:v>
      </x:c>
      <x:c r="B322" s="14" t="str"/>
      <x:c r="C322" s="14" t="str">
        <x:v>Lv.7</x:v>
      </x:c>
      <x:c r="D322" s="14" t="str">
        <x:v>林晏妤醫師</x:v>
      </x:c>
      <x:c r="E322" s="6" t="str"/>
      <x:c r="F322" s="6" t="str">
        <x:v>X光片紀錄</x:v>
      </x:c>
      <x:c r="G322" s="19" t="str">
        <x:v>◎</x:v>
      </x:c>
      <x:c r="H322" s="17" t="str">
        <x:v>熟練</x:v>
      </x:c>
      <x:c r="I322" s="6" t="n">
        <x:v>86</x:v>
      </x:c>
    </x:row>
    <x:row r="323">
      <x:c r="A323" s="13" t="str">
        <x:v>1013</x:v>
      </x:c>
      <x:c r="B323" s="14" t="str"/>
      <x:c r="C323" s="14" t="str">
        <x:v>Lv.7</x:v>
      </x:c>
      <x:c r="D323" s="14" t="str">
        <x:v>林晏妤醫師</x:v>
      </x:c>
      <x:c r="E323" s="6" t="str"/>
      <x:c r="F323" s="6" t="str">
        <x:v>手持X光機</x:v>
      </x:c>
      <x:c r="G323" s="19" t="str">
        <x:v>◎</x:v>
      </x:c>
      <x:c r="H323" s="17" t="str">
        <x:v>熟練</x:v>
      </x:c>
      <x:c r="I323" s="6" t="n">
        <x:v>87</x:v>
      </x:c>
    </x:row>
    <x:row r="324">
      <x:c r="A324" s="13" t="str">
        <x:v>1013</x:v>
      </x:c>
      <x:c r="B324" s="14" t="str"/>
      <x:c r="C324" s="14" t="str">
        <x:v>Lv.7</x:v>
      </x:c>
      <x:c r="D324" s="14" t="str">
        <x:v>林晏妤醫師</x:v>
      </x:c>
      <x:c r="E324" s="6" t="str"/>
      <x:c r="F324" s="6" t="str">
        <x:v>健保申報</x:v>
      </x:c>
      <x:c r="G324" s="19" t="str">
        <x:v>◎</x:v>
      </x:c>
      <x:c r="H324" s="17" t="str">
        <x:v>熟練</x:v>
      </x:c>
      <x:c r="I324" s="6" t="n">
        <x:v>88</x:v>
      </x:c>
    </x:row>
    <x:row r="325">
      <x:c r="A325" s="13" t="str">
        <x:v>1013</x:v>
      </x:c>
      <x:c r="B325" s="14" t="str"/>
      <x:c r="C325" s="14" t="str">
        <x:v>Lv.7</x:v>
      </x:c>
      <x:c r="D325" s="14" t="str">
        <x:v>林晏妤醫師</x:v>
      </x:c>
      <x:c r="E325" s="6" t="str"/>
      <x:c r="F325" s="6" t="str">
        <x:v>舒眠手術</x:v>
      </x:c>
      <x:c r="G325" s="19" t="str">
        <x:v>◎</x:v>
      </x:c>
      <x:c r="H325" s="17" t="str">
        <x:v>熟練</x:v>
      </x:c>
      <x:c r="I325" s="6" t="n">
        <x:v>89</x:v>
      </x:c>
    </x:row>
    <x:row r="326">
      <x:c r="A326" s="13" t="str">
        <x:v>1013</x:v>
      </x:c>
      <x:c r="B326" s="14" t="str"/>
      <x:c r="C326" s="14" t="str">
        <x:v>Lv.7</x:v>
      </x:c>
      <x:c r="D326" s="14" t="str">
        <x:v>謝耀慶醫師</x:v>
      </x:c>
      <x:c r="E326" s="6" t="str">
        <x:v>器械準備</x:v>
      </x:c>
      <x:c r="F326" s="6" t="str">
        <x:v>洗牙</x:v>
      </x:c>
      <x:c r="G326" s="19" t="str">
        <x:v>◎</x:v>
      </x:c>
      <x:c r="H326" s="17" t="str">
        <x:v>熟練</x:v>
      </x:c>
      <x:c r="I326" s="6" t="n">
        <x:v>90</x:v>
      </x:c>
    </x:row>
    <x:row r="327">
      <x:c r="A327" s="13" t="str">
        <x:v>1013</x:v>
      </x:c>
      <x:c r="B327" s="14" t="str"/>
      <x:c r="C327" s="14" t="str">
        <x:v>Lv.7</x:v>
      </x:c>
      <x:c r="D327" s="14" t="str">
        <x:v>謝耀慶醫師</x:v>
      </x:c>
      <x:c r="E327" s="6" t="str">
        <x:v>器械準備</x:v>
      </x:c>
      <x:c r="F327" s="6" t="str">
        <x:v>補牙</x:v>
      </x:c>
      <x:c r="G327" s="19" t="str">
        <x:v>◎</x:v>
      </x:c>
      <x:c r="H327" s="17" t="str">
        <x:v>熟練</x:v>
      </x:c>
      <x:c r="I327" s="6" t="n">
        <x:v>91</x:v>
      </x:c>
    </x:row>
    <x:row r="328">
      <x:c r="A328" s="13" t="str">
        <x:v>1013</x:v>
      </x:c>
      <x:c r="B328" s="14" t="str"/>
      <x:c r="C328" s="14" t="str">
        <x:v>Lv.7</x:v>
      </x:c>
      <x:c r="D328" s="14" t="str">
        <x:v>謝耀慶醫師</x:v>
      </x:c>
      <x:c r="E328" s="6" t="str">
        <x:v>器械準備</x:v>
      </x:c>
      <x:c r="F328" s="6" t="str">
        <x:v>牙周統合治療</x:v>
      </x:c>
      <x:c r="G328" s="19" t="str"/>
      <x:c r="H328" s="17" t="str">
        <x:v>未評分</x:v>
      </x:c>
      <x:c r="I328" s="6" t="n">
        <x:v>92</x:v>
      </x:c>
    </x:row>
    <x:row r="329">
      <x:c r="A329" s="13" t="str">
        <x:v>1013</x:v>
      </x:c>
      <x:c r="B329" s="14" t="str"/>
      <x:c r="C329" s="14" t="str">
        <x:v>Lv.7</x:v>
      </x:c>
      <x:c r="D329" s="14" t="str">
        <x:v>謝耀慶醫師</x:v>
      </x:c>
      <x:c r="E329" s="6" t="str">
        <x:v>器械準備</x:v>
      </x:c>
      <x:c r="F329" s="6" t="str">
        <x:v>簡單拔牙</x:v>
      </x:c>
      <x:c r="G329" s="19" t="str"/>
      <x:c r="H329" s="17" t="str">
        <x:v>未評分</x:v>
      </x:c>
      <x:c r="I329" s="6" t="n">
        <x:v>93</x:v>
      </x:c>
    </x:row>
    <x:row r="330">
      <x:c r="A330" s="13" t="str">
        <x:v>1013</x:v>
      </x:c>
      <x:c r="B330" s="14" t="str"/>
      <x:c r="C330" s="14" t="str">
        <x:v>Lv.7</x:v>
      </x:c>
      <x:c r="D330" s="14" t="str">
        <x:v>謝耀慶醫師</x:v>
      </x:c>
      <x:c r="E330" s="6" t="str"/>
      <x:c r="F330" s="6" t="str">
        <x:v>器械熟悉度</x:v>
      </x:c>
      <x:c r="G330" s="19" t="str">
        <x:v>◎</x:v>
      </x:c>
      <x:c r="H330" s="17" t="str">
        <x:v>熟練</x:v>
      </x:c>
      <x:c r="I330" s="6" t="n">
        <x:v>94</x:v>
      </x:c>
    </x:row>
    <x:row r="331">
      <x:c r="A331" s="13" t="str">
        <x:v>1013</x:v>
      </x:c>
      <x:c r="B331" s="14" t="str"/>
      <x:c r="C331" s="14" t="str">
        <x:v>Lv.7</x:v>
      </x:c>
      <x:c r="D331" s="14" t="str">
        <x:v>謝耀慶醫師</x:v>
      </x:c>
      <x:c r="E331" s="6" t="str"/>
      <x:c r="F331" s="6" t="str">
        <x:v>跟診順暢度</x:v>
      </x:c>
      <x:c r="G331" s="19" t="str">
        <x:v>◎</x:v>
      </x:c>
      <x:c r="H331" s="17" t="str">
        <x:v>熟練</x:v>
      </x:c>
      <x:c r="I331" s="6" t="n">
        <x:v>95</x:v>
      </x:c>
    </x:row>
    <x:row r="332">
      <x:c r="A332" s="13" t="str">
        <x:v>1013</x:v>
      </x:c>
      <x:c r="B332" s="14" t="str"/>
      <x:c r="C332" s="14" t="str">
        <x:v>Lv.7</x:v>
      </x:c>
      <x:c r="D332" s="14" t="str">
        <x:v>謝耀慶醫師</x:v>
      </x:c>
      <x:c r="E332" s="6" t="str"/>
      <x:c r="F332" s="6" t="str">
        <x:v>病歷紀錄</x:v>
      </x:c>
      <x:c r="G332" s="19" t="str">
        <x:v>◎</x:v>
      </x:c>
      <x:c r="H332" s="17" t="str">
        <x:v>熟練</x:v>
      </x:c>
      <x:c r="I332" s="6" t="n">
        <x:v>96</x:v>
      </x:c>
    </x:row>
    <x:row r="333">
      <x:c r="A333" s="13" t="str">
        <x:v>1013</x:v>
      </x:c>
      <x:c r="B333" s="14" t="str"/>
      <x:c r="C333" s="14" t="str">
        <x:v>Lv.7</x:v>
      </x:c>
      <x:c r="D333" s="14" t="str">
        <x:v>謝耀慶醫師</x:v>
      </x:c>
      <x:c r="E333" s="6" t="str"/>
      <x:c r="F333" s="6" t="str">
        <x:v>X光片紀錄</x:v>
      </x:c>
      <x:c r="G333" s="19" t="str">
        <x:v>◎</x:v>
      </x:c>
      <x:c r="H333" s="17" t="str">
        <x:v>熟練</x:v>
      </x:c>
      <x:c r="I333" s="6" t="n">
        <x:v>97</x:v>
      </x:c>
    </x:row>
    <x:row r="334">
      <x:c r="A334" s="13" t="str">
        <x:v>1013</x:v>
      </x:c>
      <x:c r="B334" s="14" t="str"/>
      <x:c r="C334" s="14" t="str">
        <x:v>Lv.7</x:v>
      </x:c>
      <x:c r="D334" s="14" t="str">
        <x:v>謝耀慶醫師</x:v>
      </x:c>
      <x:c r="E334" s="6" t="str"/>
      <x:c r="F334" s="6" t="str">
        <x:v>手持X光機</x:v>
      </x:c>
      <x:c r="G334" s="19" t="str">
        <x:v>◎</x:v>
      </x:c>
      <x:c r="H334" s="17" t="str">
        <x:v>熟練</x:v>
      </x:c>
      <x:c r="I334" s="6" t="n">
        <x:v>98</x:v>
      </x:c>
    </x:row>
    <x:row r="335">
      <x:c r="A335" s="13" t="str">
        <x:v>1013</x:v>
      </x:c>
      <x:c r="B335" s="14" t="str"/>
      <x:c r="C335" s="14" t="str">
        <x:v>Lv.7</x:v>
      </x:c>
      <x:c r="D335" s="14" t="str">
        <x:v>謝耀慶醫師</x:v>
      </x:c>
      <x:c r="E335" s="6" t="str"/>
      <x:c r="F335" s="6" t="str">
        <x:v>健保申報</x:v>
      </x:c>
      <x:c r="G335" s="19" t="str">
        <x:v>◎</x:v>
      </x:c>
      <x:c r="H335" s="17" t="str">
        <x:v>熟練</x:v>
      </x:c>
      <x:c r="I335" s="6" t="n">
        <x:v>99</x:v>
      </x:c>
    </x:row>
    <x:row r="336">
      <x:c r="A336" s="13" t="str">
        <x:v>1013</x:v>
      </x:c>
      <x:c r="B336" s="14" t="str"/>
      <x:c r="C336" s="14" t="str">
        <x:v>Lv.7</x:v>
      </x:c>
      <x:c r="D336" s="14" t="str">
        <x:v>謝耀慶醫師</x:v>
      </x:c>
      <x:c r="E336" s="6" t="str"/>
      <x:c r="F336" s="6" t="str">
        <x:v>舒眠手術</x:v>
      </x:c>
      <x:c r="G336" s="19" t="str">
        <x:v>◎</x:v>
      </x:c>
      <x:c r="H336" s="17" t="str">
        <x:v>熟練</x:v>
      </x:c>
      <x:c r="I336" s="6" t="n">
        <x:v>100</x:v>
      </x:c>
    </x:row>
    <x:row r="337">
      <x:c r="A337" s="13" t="str">
        <x:v>1013</x:v>
      </x:c>
      <x:c r="B337" s="14" t="str"/>
      <x:c r="C337" s="14" t="str">
        <x:v>Lv.7</x:v>
      </x:c>
      <x:c r="D337" s="14" t="str">
        <x:v>陳醫師</x:v>
      </x:c>
      <x:c r="E337" s="6" t="str">
        <x:v>器械準備</x:v>
      </x:c>
      <x:c r="F337" s="6" t="str">
        <x:v>洗牙</x:v>
      </x:c>
      <x:c r="G337" s="19" t="str">
        <x:v>◎</x:v>
      </x:c>
      <x:c r="H337" s="17" t="str">
        <x:v>熟練</x:v>
      </x:c>
      <x:c r="I337" s="6" t="n">
        <x:v>101</x:v>
      </x:c>
    </x:row>
    <x:row r="338">
      <x:c r="A338" s="13" t="str">
        <x:v>1013</x:v>
      </x:c>
      <x:c r="B338" s="14" t="str"/>
      <x:c r="C338" s="14" t="str">
        <x:v>Lv.7</x:v>
      </x:c>
      <x:c r="D338" s="14" t="str">
        <x:v>陳醫師</x:v>
      </x:c>
      <x:c r="E338" s="6" t="str">
        <x:v>器械準備</x:v>
      </x:c>
      <x:c r="F338" s="6" t="str">
        <x:v>補牙</x:v>
      </x:c>
      <x:c r="G338" s="19" t="str">
        <x:v>◎</x:v>
      </x:c>
      <x:c r="H338" s="17" t="str">
        <x:v>熟練</x:v>
      </x:c>
      <x:c r="I338" s="6" t="n">
        <x:v>102</x:v>
      </x:c>
    </x:row>
    <x:row r="339">
      <x:c r="A339" s="13" t="str">
        <x:v>1013</x:v>
      </x:c>
      <x:c r="B339" s="14" t="str"/>
      <x:c r="C339" s="14" t="str">
        <x:v>Lv.7</x:v>
      </x:c>
      <x:c r="D339" s="14" t="str">
        <x:v>陳醫師</x:v>
      </x:c>
      <x:c r="E339" s="6" t="str">
        <x:v>器械準備</x:v>
      </x:c>
      <x:c r="F339" s="6" t="str">
        <x:v>根管治療</x:v>
      </x:c>
      <x:c r="G339" s="19" t="str">
        <x:v>Ø</x:v>
      </x:c>
      <x:c r="H339" s="17" t="str">
        <x:v>尚未熟練</x:v>
      </x:c>
      <x:c r="I339" s="6" t="n">
        <x:v>103</x:v>
      </x:c>
    </x:row>
    <x:row r="340">
      <x:c r="A340" s="13" t="str">
        <x:v>1013</x:v>
      </x:c>
      <x:c r="B340" s="14" t="str"/>
      <x:c r="C340" s="14" t="str">
        <x:v>Lv.7</x:v>
      </x:c>
      <x:c r="D340" s="14" t="str">
        <x:v>陳醫師</x:v>
      </x:c>
      <x:c r="E340" s="6" t="str"/>
      <x:c r="F340" s="6" t="str">
        <x:v>跟診順暢度</x:v>
      </x:c>
      <x:c r="G340" s="19" t="str">
        <x:v>Ø</x:v>
      </x:c>
      <x:c r="H340" s="17" t="str">
        <x:v>尚未熟練</x:v>
      </x:c>
      <x:c r="I340" s="6" t="n">
        <x:v>104</x:v>
      </x:c>
    </x:row>
    <x:row r="341">
      <x:c r="A341" s="13" t="str">
        <x:v>1013</x:v>
      </x:c>
      <x:c r="B341" s="14" t="str"/>
      <x:c r="C341" s="14" t="str">
        <x:v>Lv.7</x:v>
      </x:c>
      <x:c r="D341" s="14" t="str">
        <x:v>陳醫師</x:v>
      </x:c>
      <x:c r="E341" s="6" t="str"/>
      <x:c r="F341" s="6" t="str">
        <x:v>病歷紀錄</x:v>
      </x:c>
      <x:c r="G341" s="19" t="str">
        <x:v>Ø</x:v>
      </x:c>
      <x:c r="H341" s="17" t="str">
        <x:v>尚未熟練</x:v>
      </x:c>
      <x:c r="I341" s="6" t="n">
        <x:v>105</x:v>
      </x:c>
    </x:row>
    <x:row r="342">
      <x:c r="A342" s="13" t="str">
        <x:v>1013</x:v>
      </x:c>
      <x:c r="B342" s="14" t="str"/>
      <x:c r="C342" s="14" t="str">
        <x:v>Lv.7</x:v>
      </x:c>
      <x:c r="D342" s="14" t="str">
        <x:v>陳醫師</x:v>
      </x:c>
      <x:c r="E342" s="6" t="str"/>
      <x:c r="F342" s="6" t="str">
        <x:v>拍PANO、PA</x:v>
      </x:c>
      <x:c r="G342" s="19" t="str">
        <x:v>Ø</x:v>
      </x:c>
      <x:c r="H342" s="17" t="str">
        <x:v>尚未熟練</x:v>
      </x:c>
      <x:c r="I342" s="6" t="n">
        <x:v>106</x:v>
      </x:c>
    </x:row>
    <x:row r="343">
      <x:c r="A343" s="13" t="str">
        <x:v>1013</x:v>
      </x:c>
      <x:c r="B343" s="14" t="str"/>
      <x:c r="C343" s="14" t="str">
        <x:v>Lv.7</x:v>
      </x:c>
      <x:c r="D343" s="14" t="str">
        <x:v>陳醫師</x:v>
      </x:c>
      <x:c r="E343" s="6" t="str"/>
      <x:c r="F343" s="6" t="str">
        <x:v>X光片紀錄</x:v>
      </x:c>
      <x:c r="G343" s="19" t="str">
        <x:v>Ø</x:v>
      </x:c>
      <x:c r="H343" s="17" t="str">
        <x:v>尚未熟練</x:v>
      </x:c>
      <x:c r="I343" s="6" t="n">
        <x:v>107</x:v>
      </x:c>
    </x:row>
    <x:row r="344">
      <x:c r="A344" s="13" t="str">
        <x:v>1013</x:v>
      </x:c>
      <x:c r="B344" s="14" t="str"/>
      <x:c r="C344" s="14" t="str">
        <x:v>Lv.7</x:v>
      </x:c>
      <x:c r="D344" s="14" t="str">
        <x:v>陳醫師</x:v>
      </x:c>
      <x:c r="E344" s="6" t="str"/>
      <x:c r="F344" s="6" t="str">
        <x:v>健保申報</x:v>
      </x:c>
      <x:c r="G344" s="19" t="str">
        <x:v>Ø</x:v>
      </x:c>
      <x:c r="H344" s="17" t="str">
        <x:v>尚未熟練</x:v>
      </x:c>
      <x:c r="I344" s="6" t="n">
        <x:v>108</x:v>
      </x:c>
    </x:row>
    <x:row r="345">
      <x:c r="A345" s="13" t="str">
        <x:v>1013</x:v>
      </x:c>
      <x:c r="B345" s="14" t="str"/>
      <x:c r="C345" s="14" t="str">
        <x:v>Lv.7</x:v>
      </x:c>
      <x:c r="D345" s="14" t="str">
        <x:v>陳醫師</x:v>
      </x:c>
      <x:c r="E345" s="6" t="str"/>
      <x:c r="F345" s="6" t="str">
        <x:v>固定假牙</x:v>
      </x:c>
      <x:c r="G345" s="19" t="str">
        <x:v>Ø</x:v>
      </x:c>
      <x:c r="H345" s="17" t="str">
        <x:v>尚未熟練</x:v>
      </x:c>
      <x:c r="I345" s="6" t="n">
        <x:v>109</x:v>
      </x:c>
    </x:row>
    <x:row r="346">
      <x:c r="A346" s="13" t="str">
        <x:v>1013</x:v>
      </x:c>
      <x:c r="B346" s="14" t="str"/>
      <x:c r="C346" s="14" t="str">
        <x:v>Lv.7</x:v>
      </x:c>
      <x:c r="D346" s="14" t="str">
        <x:v>陳醫師</x:v>
      </x:c>
      <x:c r="E346" s="6" t="str"/>
      <x:c r="F346" s="6" t="str">
        <x:v>顯微根管</x:v>
      </x:c>
      <x:c r="G346" s="19" t="str">
        <x:v>Ø</x:v>
      </x:c>
      <x:c r="H346" s="17" t="str">
        <x:v>尚未熟練</x:v>
      </x:c>
      <x:c r="I346" s="6" t="n">
        <x:v>110</x:v>
      </x:c>
    </x:row>
    <x:row r="347">
      <x:c r="A347" s="13" t="str">
        <x:v>1013</x:v>
      </x:c>
      <x:c r="B347" s="14" t="str"/>
      <x:c r="C347" s="14" t="str">
        <x:v>Lv.7</x:v>
      </x:c>
      <x:c r="D347" s="14" t="str">
        <x:v>櫃台</x:v>
      </x:c>
      <x:c r="E347" s="6" t="str"/>
      <x:c r="F347" s="6" t="str">
        <x:v>掛號處理(含初診處理)開立一般收據及藥單</x:v>
      </x:c>
      <x:c r="G347" s="19" t="str">
        <x:v>◎</x:v>
      </x:c>
      <x:c r="H347" s="17" t="str">
        <x:v>熟練</x:v>
      </x:c>
      <x:c r="I347" s="6" t="n">
        <x:v>111</x:v>
      </x:c>
    </x:row>
    <x:row r="348">
      <x:c r="A348" s="13" t="str">
        <x:v>1013</x:v>
      </x:c>
      <x:c r="B348" s="14" t="str"/>
      <x:c r="C348" s="14" t="str">
        <x:v>Lv.7</x:v>
      </x:c>
      <x:c r="D348" s="14" t="str">
        <x:v>櫃台</x:v>
      </x:c>
      <x:c r="E348" s="6" t="str"/>
      <x:c r="F348" s="6" t="str">
        <x:v>收費紀錄</x:v>
      </x:c>
      <x:c r="G348" s="19" t="str">
        <x:v>◎</x:v>
      </x:c>
      <x:c r="H348" s="17" t="str">
        <x:v>熟練</x:v>
      </x:c>
      <x:c r="I348" s="6" t="n">
        <x:v>112</x:v>
      </x:c>
    </x:row>
    <x:row r="349">
      <x:c r="A349" s="13" t="str">
        <x:v>1013</x:v>
      </x:c>
      <x:c r="B349" s="14" t="str"/>
      <x:c r="C349" s="14" t="str">
        <x:v>Lv.7</x:v>
      </x:c>
      <x:c r="D349" s="14" t="str">
        <x:v>櫃台</x:v>
      </x:c>
      <x:c r="E349" s="6" t="str"/>
      <x:c r="F349" s="6" t="str">
        <x:v>病歷整理</x:v>
      </x:c>
      <x:c r="G349" s="19" t="str">
        <x:v>◎</x:v>
      </x:c>
      <x:c r="H349" s="17" t="str">
        <x:v>熟練</x:v>
      </x:c>
      <x:c r="I349" s="6" t="n">
        <x:v>113</x:v>
      </x:c>
    </x:row>
    <x:row r="350">
      <x:c r="A350" s="13" t="str">
        <x:v>1013</x:v>
      </x:c>
      <x:c r="B350" s="14" t="str"/>
      <x:c r="C350" s="14" t="str">
        <x:v>Lv.7</x:v>
      </x:c>
      <x:c r="D350" s="14" t="str">
        <x:v>櫃台</x:v>
      </x:c>
      <x:c r="E350" s="6" t="str"/>
      <x:c r="F350" s="6" t="str">
        <x:v>治療同意書填寫</x:v>
      </x:c>
      <x:c r="G350" s="19" t="str">
        <x:v>◎</x:v>
      </x:c>
      <x:c r="H350" s="17" t="str">
        <x:v>熟練</x:v>
      </x:c>
      <x:c r="I350" s="6" t="n">
        <x:v>114</x:v>
      </x:c>
    </x:row>
    <x:row r="351">
      <x:c r="A351" s="13" t="str">
        <x:v>1013</x:v>
      </x:c>
      <x:c r="B351" s="14" t="str"/>
      <x:c r="C351" s="14" t="str">
        <x:v>Lv.7</x:v>
      </x:c>
      <x:c r="D351" s="14" t="str">
        <x:v>櫃台</x:v>
      </x:c>
      <x:c r="E351" s="6" t="str"/>
      <x:c r="F351" s="6" t="str">
        <x:v>與患者應對</x:v>
      </x:c>
      <x:c r="G351" s="19" t="str">
        <x:v>◎</x:v>
      </x:c>
      <x:c r="H351" s="17" t="str">
        <x:v>熟練</x:v>
      </x:c>
      <x:c r="I351" s="6" t="n">
        <x:v>115</x:v>
      </x:c>
    </x:row>
    <x:row r="352">
      <x:c r="A352" s="13" t="str">
        <x:v>1013</x:v>
      </x:c>
      <x:c r="B352" s="14" t="str"/>
      <x:c r="C352" s="14" t="str">
        <x:v>Lv.7</x:v>
      </x:c>
      <x:c r="D352" s="14" t="str">
        <x:v>櫃台</x:v>
      </x:c>
      <x:c r="E352" s="6" t="str"/>
      <x:c r="F352" s="6" t="str">
        <x:v>約診</x:v>
      </x:c>
      <x:c r="G352" s="19" t="str">
        <x:v>◎</x:v>
      </x:c>
      <x:c r="H352" s="17" t="str">
        <x:v>熟練</x:v>
      </x:c>
      <x:c r="I352" s="6" t="n">
        <x:v>116</x:v>
      </x:c>
    </x:row>
    <x:row r="353">
      <x:c r="A353" s="13" t="str">
        <x:v>1013</x:v>
      </x:c>
      <x:c r="B353" s="14" t="str"/>
      <x:c r="C353" s="14" t="str">
        <x:v>Lv.7</x:v>
      </x:c>
      <x:c r="D353" s="14" t="str">
        <x:v>櫃台</x:v>
      </x:c>
      <x:c r="E353" s="6" t="str"/>
      <x:c r="F353" s="6" t="str">
        <x:v>報表製作</x:v>
      </x:c>
      <x:c r="G353" s="19" t="str">
        <x:v>◎</x:v>
      </x:c>
      <x:c r="H353" s="17" t="str">
        <x:v>熟練</x:v>
      </x:c>
      <x:c r="I353" s="6" t="n">
        <x:v>117</x:v>
      </x:c>
    </x:row>
    <x:row r="354">
      <x:c r="A354" s="13" t="str">
        <x:v>1013</x:v>
      </x:c>
      <x:c r="B354" s="14" t="str"/>
      <x:c r="C354" s="14" t="str">
        <x:v>Lv.7</x:v>
      </x:c>
      <x:c r="D354" s="14" t="str">
        <x:v>櫃台</x:v>
      </x:c>
      <x:c r="E354" s="6" t="str"/>
      <x:c r="F354" s="6" t="str">
        <x:v>診斷證明書</x:v>
      </x:c>
      <x:c r="G354" s="19" t="str">
        <x:v>◎</x:v>
      </x:c>
      <x:c r="H354" s="17" t="str">
        <x:v>熟練</x:v>
      </x:c>
      <x:c r="I354" s="6" t="n">
        <x:v>118</x:v>
      </x:c>
    </x:row>
    <x:row r="355">
      <x:c r="A355" s="13" t="str">
        <x:v>1013</x:v>
      </x:c>
      <x:c r="B355" s="14" t="str"/>
      <x:c r="C355" s="14" t="str">
        <x:v>Lv.7</x:v>
      </x:c>
      <x:c r="D355" s="14" t="str">
        <x:v>櫃台</x:v>
      </x:c>
      <x:c r="E355" s="6" t="str"/>
      <x:c r="F355" s="6" t="str">
        <x:v>牙統VPN</x:v>
      </x:c>
      <x:c r="G355" s="19" t="str">
        <x:v>◎</x:v>
      </x:c>
      <x:c r="H355" s="17" t="str">
        <x:v>熟練</x:v>
      </x:c>
      <x:c r="I355" s="6" t="n">
        <x:v>119</x:v>
      </x:c>
    </x:row>
    <x:row r="356">
      <x:c r="A356" s="13" t="str">
        <x:v>1013</x:v>
      </x:c>
      <x:c r="B356" s="14" t="str"/>
      <x:c r="C356" s="14" t="str">
        <x:v>Lv.7</x:v>
      </x:c>
      <x:c r="D356" s="14" t="str">
        <x:v>櫃台</x:v>
      </x:c>
      <x:c r="E356" s="6" t="str"/>
      <x:c r="F356" s="6" t="str">
        <x:v>病歷檢查核對</x:v>
      </x:c>
      <x:c r="G356" s="19" t="str">
        <x:v>◎</x:v>
      </x:c>
      <x:c r="H356" s="17" t="str">
        <x:v>熟練</x:v>
      </x:c>
      <x:c r="I356" s="6" t="n">
        <x:v>120</x:v>
      </x:c>
    </x:row>
    <x:row r="357">
      <x:c r="A357" s="13" t="str">
        <x:v>1013</x:v>
      </x:c>
      <x:c r="B357" s="14" t="str"/>
      <x:c r="C357" s="14" t="str">
        <x:v>Lv.7</x:v>
      </x:c>
      <x:c r="D357" s="14" t="str">
        <x:v>櫃台</x:v>
      </x:c>
      <x:c r="E357" s="6" t="str"/>
      <x:c r="F357" s="6" t="str">
        <x:v>抽審資料處理</x:v>
      </x:c>
      <x:c r="G357" s="19" t="str">
        <x:v>◎</x:v>
      </x:c>
      <x:c r="H357" s="17" t="str">
        <x:v>熟練</x:v>
      </x:c>
      <x:c r="I357" s="6" t="n">
        <x:v>121</x:v>
      </x:c>
    </x:row>
    <x:row r="358">
      <x:c r="A358" s="13" t="str">
        <x:v>1019</x:v>
      </x:c>
      <x:c r="B358" s="14" t="str"/>
      <x:c r="C358" s="14" t="str">
        <x:v>Lv.6</x:v>
      </x:c>
      <x:c r="D358" s="14" t="str">
        <x:v>流動工作</x:v>
      </x:c>
      <x:c r="E358" s="6" t="str"/>
      <x:c r="F358" s="6" t="str">
        <x:v>撤備台</x:v>
      </x:c>
      <x:c r="G358" s="19" t="str">
        <x:v>◎</x:v>
      </x:c>
      <x:c r="H358" s="17" t="str">
        <x:v>熟練</x:v>
      </x:c>
      <x:c r="I358" s="6" t="n">
        <x:v>5</x:v>
      </x:c>
    </x:row>
    <x:row r="359">
      <x:c r="A359" s="13" t="str">
        <x:v>1019</x:v>
      </x:c>
      <x:c r="B359" s="14" t="str"/>
      <x:c r="C359" s="14" t="str">
        <x:v>Lv.6</x:v>
      </x:c>
      <x:c r="D359" s="14" t="str">
        <x:v>流動工作</x:v>
      </x:c>
      <x:c r="E359" s="6" t="str"/>
      <x:c r="F359" s="6" t="str">
        <x:v>器械清消流程</x:v>
      </x:c>
      <x:c r="G359" s="19" t="str">
        <x:v>◎</x:v>
      </x:c>
      <x:c r="H359" s="17" t="str">
        <x:v>熟練</x:v>
      </x:c>
      <x:c r="I359" s="6" t="n">
        <x:v>6</x:v>
      </x:c>
    </x:row>
    <x:row r="360">
      <x:c r="A360" s="13" t="str">
        <x:v>1019</x:v>
      </x:c>
      <x:c r="B360" s="14" t="str"/>
      <x:c r="C360" s="14" t="str">
        <x:v>Lv.6</x:v>
      </x:c>
      <x:c r="D360" s="14" t="str">
        <x:v>流動工作</x:v>
      </x:c>
      <x:c r="E360" s="6" t="str"/>
      <x:c r="F360" s="6" t="str">
        <x:v>認識治療項目</x:v>
      </x:c>
      <x:c r="G360" s="19" t="str">
        <x:v>◎</x:v>
      </x:c>
      <x:c r="H360" s="17" t="str">
        <x:v>熟練</x:v>
      </x:c>
      <x:c r="I360" s="6" t="n">
        <x:v>7</x:v>
      </x:c>
    </x:row>
    <x:row r="361">
      <x:c r="A361" s="13" t="str">
        <x:v>1019</x:v>
      </x:c>
      <x:c r="B361" s="14" t="str"/>
      <x:c r="C361" s="14" t="str">
        <x:v>Lv.6</x:v>
      </x:c>
      <x:c r="D361" s="14" t="str">
        <x:v>流動工作</x:v>
      </x:c>
      <x:c r="E361" s="6" t="str"/>
      <x:c r="F361" s="6" t="str">
        <x:v>替代跟診人員灌模</x:v>
      </x:c>
      <x:c r="G361" s="19" t="str">
        <x:v>◎</x:v>
      </x:c>
      <x:c r="H361" s="17" t="str">
        <x:v>熟練</x:v>
      </x:c>
      <x:c r="I361" s="6" t="n">
        <x:v>8</x:v>
      </x:c>
    </x:row>
    <x:row r="362">
      <x:c r="A362" s="13" t="str">
        <x:v>1019</x:v>
      </x:c>
      <x:c r="B362" s="14" t="str"/>
      <x:c r="C362" s="14" t="str">
        <x:v>Lv.6</x:v>
      </x:c>
      <x:c r="D362" s="14" t="str">
        <x:v>流動工作</x:v>
      </x:c>
      <x:c r="E362" s="6" t="str"/>
      <x:c r="F362" s="6" t="str">
        <x:v>拍攝X光片(PANO)</x:v>
      </x:c>
      <x:c r="G362" s="19" t="str">
        <x:v>◎</x:v>
      </x:c>
      <x:c r="H362" s="17" t="str">
        <x:v>熟練</x:v>
      </x:c>
      <x:c r="I362" s="6" t="n">
        <x:v>9</x:v>
      </x:c>
    </x:row>
    <x:row r="363">
      <x:c r="A363" s="13" t="str">
        <x:v>1019</x:v>
      </x:c>
      <x:c r="B363" s="14" t="str"/>
      <x:c r="C363" s="14" t="str">
        <x:v>Lv.6</x:v>
      </x:c>
      <x:c r="D363" s="14" t="str">
        <x:v>流動工作</x:v>
      </x:c>
      <x:c r="E363" s="6" t="str"/>
      <x:c r="F363" s="6" t="str">
        <x:v>拍攝根尖片(用鱷魚夾)</x:v>
      </x:c>
      <x:c r="G363" s="19" t="str">
        <x:v>◎</x:v>
      </x:c>
      <x:c r="H363" s="17" t="str">
        <x:v>熟練</x:v>
      </x:c>
      <x:c r="I363" s="6" t="n">
        <x:v>10</x:v>
      </x:c>
    </x:row>
    <x:row r="364">
      <x:c r="A364" s="13" t="str">
        <x:v>1019</x:v>
      </x:c>
      <x:c r="B364" s="14" t="str"/>
      <x:c r="C364" s="14" t="str">
        <x:v>Lv.6</x:v>
      </x:c>
      <x:c r="D364" s="14" t="str">
        <x:v>流動工作</x:v>
      </x:c>
      <x:c r="E364" s="6" t="str"/>
      <x:c r="F364" s="6" t="str">
        <x:v>拍攝根尖片(手壓片)</x:v>
      </x:c>
      <x:c r="G364" s="19" t="str">
        <x:v>◎</x:v>
      </x:c>
      <x:c r="H364" s="17" t="str">
        <x:v>熟練</x:v>
      </x:c>
      <x:c r="I364" s="6" t="n">
        <x:v>11</x:v>
      </x:c>
    </x:row>
    <x:row r="365">
      <x:c r="A365" s="13" t="str">
        <x:v>1019</x:v>
      </x:c>
      <x:c r="B365" s="14" t="str"/>
      <x:c r="C365" s="14" t="str">
        <x:v>Lv.6</x:v>
      </x:c>
      <x:c r="D365" s="14" t="str">
        <x:v>流動工作</x:v>
      </x:c>
      <x:c r="E365" s="6" t="str"/>
      <x:c r="F365" s="6" t="str">
        <x:v>開、關診工作</x:v>
      </x:c>
      <x:c r="G365" s="19" t="str">
        <x:v>◎</x:v>
      </x:c>
      <x:c r="H365" s="17" t="str">
        <x:v>熟練</x:v>
      </x:c>
      <x:c r="I365" s="6" t="n">
        <x:v>12</x:v>
      </x:c>
    </x:row>
    <x:row r="366">
      <x:c r="A366" s="13" t="str">
        <x:v>1019</x:v>
      </x:c>
      <x:c r="B366" s="14" t="str"/>
      <x:c r="C366" s="14" t="str">
        <x:v>Lv.6</x:v>
      </x:c>
      <x:c r="D366" s="14" t="str">
        <x:v>流動工作</x:v>
      </x:c>
      <x:c r="E366" s="6" t="str"/>
      <x:c r="F366" s="6" t="str">
        <x:v>備品補充+器械安全庫存</x:v>
      </x:c>
      <x:c r="G366" s="19" t="str">
        <x:v>◎</x:v>
      </x:c>
      <x:c r="H366" s="17" t="str">
        <x:v>熟練</x:v>
      </x:c>
      <x:c r="I366" s="6" t="n">
        <x:v>13</x:v>
      </x:c>
    </x:row>
    <x:row r="367">
      <x:c r="A367" s="13" t="str">
        <x:v>1019</x:v>
      </x:c>
      <x:c r="B367" s="14" t="str"/>
      <x:c r="C367" s="14" t="str">
        <x:v>Lv.6</x:v>
      </x:c>
      <x:c r="D367" s="14" t="str">
        <x:v>衛教</x:v>
      </x:c>
      <x:c r="E367" s="6" t="str"/>
      <x:c r="F367" s="6" t="str">
        <x:v>基礎衛教</x:v>
      </x:c>
      <x:c r="G367" s="19" t="str">
        <x:v>◎</x:v>
      </x:c>
      <x:c r="H367" s="17" t="str">
        <x:v>熟練</x:v>
      </x:c>
      <x:c r="I367" s="6" t="n">
        <x:v>14</x:v>
      </x:c>
    </x:row>
    <x:row r="368">
      <x:c r="A368" s="13" t="str">
        <x:v>1019</x:v>
      </x:c>
      <x:c r="B368" s="14" t="str"/>
      <x:c r="C368" s="14" t="str">
        <x:v>Lv.6</x:v>
      </x:c>
      <x:c r="D368" s="14" t="str">
        <x:v>衛教</x:v>
      </x:c>
      <x:c r="E368" s="6" t="str"/>
      <x:c r="F368" s="6" t="str">
        <x:v>進階衛教</x:v>
      </x:c>
      <x:c r="G368" s="19" t="str">
        <x:v>◎</x:v>
      </x:c>
      <x:c r="H368" s="17" t="str">
        <x:v>熟練</x:v>
      </x:c>
      <x:c r="I368" s="6" t="n">
        <x:v>15</x:v>
      </x:c>
    </x:row>
    <x:row r="369">
      <x:c r="A369" s="13" t="str">
        <x:v>1019</x:v>
      </x:c>
      <x:c r="B369" s="14" t="str"/>
      <x:c r="C369" s="14" t="str">
        <x:v>Lv.6</x:v>
      </x:c>
      <x:c r="D369" s="14" t="str">
        <x:v>李柄輝醫師</x:v>
      </x:c>
      <x:c r="E369" s="6" t="str">
        <x:v>器械準備</x:v>
      </x:c>
      <x:c r="F369" s="6" t="str">
        <x:v>洗牙</x:v>
      </x:c>
      <x:c r="G369" s="19" t="str">
        <x:v>◎</x:v>
      </x:c>
      <x:c r="H369" s="17" t="str">
        <x:v>熟練</x:v>
      </x:c>
      <x:c r="I369" s="6" t="n">
        <x:v>16</x:v>
      </x:c>
    </x:row>
    <x:row r="370">
      <x:c r="A370" s="13" t="str">
        <x:v>1019</x:v>
      </x:c>
      <x:c r="B370" s="14" t="str"/>
      <x:c r="C370" s="14" t="str">
        <x:v>Lv.6</x:v>
      </x:c>
      <x:c r="D370" s="14" t="str">
        <x:v>李柄輝醫師</x:v>
      </x:c>
      <x:c r="E370" s="6" t="str">
        <x:v>器械準備</x:v>
      </x:c>
      <x:c r="F370" s="6" t="str">
        <x:v>補牙</x:v>
      </x:c>
      <x:c r="G370" s="19" t="str">
        <x:v>◎</x:v>
      </x:c>
      <x:c r="H370" s="17" t="str">
        <x:v>熟練</x:v>
      </x:c>
      <x:c r="I370" s="6" t="n">
        <x:v>17</x:v>
      </x:c>
    </x:row>
    <x:row r="371">
      <x:c r="A371" s="13" t="str">
        <x:v>1019</x:v>
      </x:c>
      <x:c r="B371" s="14" t="str"/>
      <x:c r="C371" s="14" t="str">
        <x:v>Lv.6</x:v>
      </x:c>
      <x:c r="D371" s="14" t="str">
        <x:v>李柄輝醫師</x:v>
      </x:c>
      <x:c r="E371" s="6" t="str">
        <x:v>器械準備</x:v>
      </x:c>
      <x:c r="F371" s="6" t="str">
        <x:v>牙周統合</x:v>
      </x:c>
      <x:c r="G371" s="19" t="str">
        <x:v>◎</x:v>
      </x:c>
      <x:c r="H371" s="17" t="str">
        <x:v>熟練</x:v>
      </x:c>
      <x:c r="I371" s="6" t="n">
        <x:v>18</x:v>
      </x:c>
    </x:row>
    <x:row r="372">
      <x:c r="A372" s="13" t="str">
        <x:v>1019</x:v>
      </x:c>
      <x:c r="B372" s="14" t="str"/>
      <x:c r="C372" s="14" t="str">
        <x:v>Lv.6</x:v>
      </x:c>
      <x:c r="D372" s="14" t="str">
        <x:v>李柄輝醫師</x:v>
      </x:c>
      <x:c r="E372" s="6" t="str">
        <x:v>器械準備</x:v>
      </x:c>
      <x:c r="F372" s="6" t="str">
        <x:v>根管治療(插針照)</x:v>
      </x:c>
      <x:c r="G372" s="19" t="str">
        <x:v>◎</x:v>
      </x:c>
      <x:c r="H372" s="17" t="str">
        <x:v>熟練</x:v>
      </x:c>
      <x:c r="I372" s="6" t="n">
        <x:v>19</x:v>
      </x:c>
    </x:row>
    <x:row r="373">
      <x:c r="A373" s="13" t="str">
        <x:v>1019</x:v>
      </x:c>
      <x:c r="B373" s="14" t="str"/>
      <x:c r="C373" s="14" t="str">
        <x:v>Lv.6</x:v>
      </x:c>
      <x:c r="D373" s="14" t="str">
        <x:v>李柄輝醫師</x:v>
      </x:c>
      <x:c r="E373" s="6" t="str">
        <x:v>器械準備</x:v>
      </x:c>
      <x:c r="F373" s="6" t="str">
        <x:v>拆crown/post</x:v>
      </x:c>
      <x:c r="G373" s="19" t="str">
        <x:v>◎</x:v>
      </x:c>
      <x:c r="H373" s="17" t="str">
        <x:v>熟練</x:v>
      </x:c>
      <x:c r="I373" s="6" t="n">
        <x:v>20</x:v>
      </x:c>
    </x:row>
    <x:row r="374">
      <x:c r="A374" s="13" t="str">
        <x:v>1019</x:v>
      </x:c>
      <x:c r="B374" s="14" t="str"/>
      <x:c r="C374" s="14" t="str">
        <x:v>Lv.6</x:v>
      </x:c>
      <x:c r="D374" s="14" t="str">
        <x:v>李柄輝醫師</x:v>
      </x:c>
      <x:c r="E374" s="6" t="str">
        <x:v>器械準備</x:v>
      </x:c>
      <x:c r="F374" s="6" t="str">
        <x:v>拔牙</x:v>
      </x:c>
      <x:c r="G374" s="19" t="str">
        <x:v>◎</x:v>
      </x:c>
      <x:c r="H374" s="17" t="str">
        <x:v>熟練</x:v>
      </x:c>
      <x:c r="I374" s="6" t="n">
        <x:v>21</x:v>
      </x:c>
    </x:row>
    <x:row r="375">
      <x:c r="A375" s="13" t="str">
        <x:v>1019</x:v>
      </x:c>
      <x:c r="B375" s="14" t="str"/>
      <x:c r="C375" s="14" t="str">
        <x:v>Lv.6</x:v>
      </x:c>
      <x:c r="D375" s="14" t="str">
        <x:v>李柄輝醫師</x:v>
      </x:c>
      <x:c r="E375" s="6" t="str">
        <x:v>自費</x:v>
      </x:c>
      <x:c r="F375" s="6" t="str">
        <x:v>固定假牙(黏著劑)</x:v>
      </x:c>
      <x:c r="G375" s="19" t="str">
        <x:v>◎</x:v>
      </x:c>
      <x:c r="H375" s="17" t="str">
        <x:v>熟練</x:v>
      </x:c>
      <x:c r="I375" s="6" t="n">
        <x:v>22</x:v>
      </x:c>
    </x:row>
    <x:row r="376">
      <x:c r="A376" s="13" t="str">
        <x:v>1019</x:v>
      </x:c>
      <x:c r="B376" s="14" t="str"/>
      <x:c r="C376" s="14" t="str">
        <x:v>Lv.6</x:v>
      </x:c>
      <x:c r="D376" s="14" t="str">
        <x:v>李柄輝醫師</x:v>
      </x:c>
      <x:c r="E376" s="6" t="str"/>
      <x:c r="F376" s="6" t="str">
        <x:v>跟診順暢度</x:v>
      </x:c>
      <x:c r="G376" s="19" t="str">
        <x:v>◎</x:v>
      </x:c>
      <x:c r="H376" s="17" t="str">
        <x:v>熟練</x:v>
      </x:c>
      <x:c r="I376" s="6" t="n">
        <x:v>23</x:v>
      </x:c>
    </x:row>
    <x:row r="377">
      <x:c r="A377" s="13" t="str">
        <x:v>1019</x:v>
      </x:c>
      <x:c r="B377" s="14" t="str"/>
      <x:c r="C377" s="14" t="str">
        <x:v>Lv.6</x:v>
      </x:c>
      <x:c r="D377" s="14" t="str">
        <x:v>李柄輝醫師</x:v>
      </x:c>
      <x:c r="E377" s="6" t="str"/>
      <x:c r="F377" s="6" t="str">
        <x:v>病歷紀錄</x:v>
      </x:c>
      <x:c r="G377" s="19" t="str">
        <x:v>◎</x:v>
      </x:c>
      <x:c r="H377" s="17" t="str">
        <x:v>熟練</x:v>
      </x:c>
      <x:c r="I377" s="6" t="n">
        <x:v>24</x:v>
      </x:c>
    </x:row>
    <x:row r="378">
      <x:c r="A378" s="13" t="str">
        <x:v>1019</x:v>
      </x:c>
      <x:c r="B378" s="14" t="str"/>
      <x:c r="C378" s="14" t="str">
        <x:v>Lv.6</x:v>
      </x:c>
      <x:c r="D378" s="14" t="str">
        <x:v>李柄輝醫師</x:v>
      </x:c>
      <x:c r="E378" s="6" t="str"/>
      <x:c r="F378" s="6" t="str">
        <x:v>健保申報</x:v>
      </x:c>
      <x:c r="G378" s="19" t="str">
        <x:v>◎</x:v>
      </x:c>
      <x:c r="H378" s="17" t="str">
        <x:v>熟練</x:v>
      </x:c>
      <x:c r="I378" s="6" t="n">
        <x:v>25</x:v>
      </x:c>
    </x:row>
    <x:row r="379">
      <x:c r="A379" s="13" t="str">
        <x:v>1019</x:v>
      </x:c>
      <x:c r="B379" s="14" t="str"/>
      <x:c r="C379" s="14" t="str">
        <x:v>Lv.6</x:v>
      </x:c>
      <x:c r="D379" s="14" t="str">
        <x:v>李柄輝醫師</x:v>
      </x:c>
      <x:c r="E379" s="6" t="str"/>
      <x:c r="F379" s="6" t="str">
        <x:v>X光片紀錄</x:v>
      </x:c>
      <x:c r="G379" s="19" t="str">
        <x:v>◎</x:v>
      </x:c>
      <x:c r="H379" s="17" t="str">
        <x:v>熟練</x:v>
      </x:c>
      <x:c r="I379" s="6" t="n">
        <x:v>26</x:v>
      </x:c>
    </x:row>
    <x:row r="380">
      <x:c r="A380" s="13" t="str">
        <x:v>1019</x:v>
      </x:c>
      <x:c r="B380" s="14" t="str"/>
      <x:c r="C380" s="14" t="str">
        <x:v>Lv.6</x:v>
      </x:c>
      <x:c r="D380" s="14" t="str">
        <x:v>李柄輝醫師</x:v>
      </x:c>
      <x:c r="E380" s="6" t="str"/>
      <x:c r="F380" s="6" t="str">
        <x:v>拍PA</x:v>
      </x:c>
      <x:c r="G380" s="19" t="str">
        <x:v>◎</x:v>
      </x:c>
      <x:c r="H380" s="17" t="str">
        <x:v>熟練</x:v>
      </x:c>
      <x:c r="I380" s="6" t="n">
        <x:v>27</x:v>
      </x:c>
    </x:row>
    <x:row r="381">
      <x:c r="A381" s="13" t="str">
        <x:v>1019</x:v>
      </x:c>
      <x:c r="B381" s="14" t="str"/>
      <x:c r="C381" s="14" t="str">
        <x:v>Lv.6</x:v>
      </x:c>
      <x:c r="D381" s="14" t="str">
        <x:v>李侑津醫師</x:v>
      </x:c>
      <x:c r="E381" s="6" t="str">
        <x:v>器械準備</x:v>
      </x:c>
      <x:c r="F381" s="6" t="str">
        <x:v>洗牙</x:v>
      </x:c>
      <x:c r="G381" s="19" t="str">
        <x:v>◎</x:v>
      </x:c>
      <x:c r="H381" s="17" t="str">
        <x:v>熟練</x:v>
      </x:c>
      <x:c r="I381" s="6" t="n">
        <x:v>28</x:v>
      </x:c>
    </x:row>
    <x:row r="382">
      <x:c r="A382" s="13" t="str">
        <x:v>1019</x:v>
      </x:c>
      <x:c r="B382" s="14" t="str"/>
      <x:c r="C382" s="14" t="str">
        <x:v>Lv.6</x:v>
      </x:c>
      <x:c r="D382" s="14" t="str">
        <x:v>李侑津醫師</x:v>
      </x:c>
      <x:c r="E382" s="6" t="str">
        <x:v>器械準備</x:v>
      </x:c>
      <x:c r="F382" s="6" t="str">
        <x:v>補牙</x:v>
      </x:c>
      <x:c r="G382" s="19" t="str">
        <x:v>◎</x:v>
      </x:c>
      <x:c r="H382" s="17" t="str">
        <x:v>熟練</x:v>
      </x:c>
      <x:c r="I382" s="6" t="n">
        <x:v>29</x:v>
      </x:c>
    </x:row>
    <x:row r="383">
      <x:c r="A383" s="13" t="str">
        <x:v>1019</x:v>
      </x:c>
      <x:c r="B383" s="14" t="str"/>
      <x:c r="C383" s="14" t="str">
        <x:v>Lv.6</x:v>
      </x:c>
      <x:c r="D383" s="14" t="str">
        <x:v>李侑津醫師</x:v>
      </x:c>
      <x:c r="E383" s="6" t="str">
        <x:v>器械準備</x:v>
      </x:c>
      <x:c r="F383" s="6" t="str">
        <x:v>牙周統合</x:v>
      </x:c>
      <x:c r="G383" s="19" t="str">
        <x:v>◎</x:v>
      </x:c>
      <x:c r="H383" s="17" t="str">
        <x:v>熟練</x:v>
      </x:c>
      <x:c r="I383" s="6" t="n">
        <x:v>30</x:v>
      </x:c>
    </x:row>
    <x:row r="384">
      <x:c r="A384" s="13" t="str">
        <x:v>1019</x:v>
      </x:c>
      <x:c r="B384" s="14" t="str"/>
      <x:c r="C384" s="14" t="str">
        <x:v>Lv.6</x:v>
      </x:c>
      <x:c r="D384" s="14" t="str">
        <x:v>李侑津醫師</x:v>
      </x:c>
      <x:c r="E384" s="6" t="str">
        <x:v>器械準備</x:v>
      </x:c>
      <x:c r="F384" s="6" t="str">
        <x:v>根管治療</x:v>
      </x:c>
      <x:c r="G384" s="19" t="str">
        <x:v>◎</x:v>
      </x:c>
      <x:c r="H384" s="17" t="str">
        <x:v>熟練</x:v>
      </x:c>
      <x:c r="I384" s="6" t="n">
        <x:v>31</x:v>
      </x:c>
    </x:row>
    <x:row r="385">
      <x:c r="A385" s="13" t="str">
        <x:v>1019</x:v>
      </x:c>
      <x:c r="B385" s="14" t="str"/>
      <x:c r="C385" s="14" t="str">
        <x:v>Lv.6</x:v>
      </x:c>
      <x:c r="D385" s="14" t="str">
        <x:v>李侑津醫師</x:v>
      </x:c>
      <x:c r="E385" s="6" t="str">
        <x:v>器械準備</x:v>
      </x:c>
      <x:c r="F385" s="6" t="str">
        <x:v>拔牙</x:v>
      </x:c>
      <x:c r="G385" s="19" t="str">
        <x:v>◎</x:v>
      </x:c>
      <x:c r="H385" s="17" t="str">
        <x:v>熟練</x:v>
      </x:c>
      <x:c r="I385" s="6" t="n">
        <x:v>32</x:v>
      </x:c>
    </x:row>
    <x:row r="386">
      <x:c r="A386" s="13" t="str">
        <x:v>1019</x:v>
      </x:c>
      <x:c r="B386" s="14" t="str"/>
      <x:c r="C386" s="14" t="str">
        <x:v>Lv.6</x:v>
      </x:c>
      <x:c r="D386" s="14" t="str">
        <x:v>李侑津醫師</x:v>
      </x:c>
      <x:c r="E386" s="6" t="str">
        <x:v>器械準備</x:v>
      </x:c>
      <x:c r="F386" s="6" t="str">
        <x:v>拆 crown/post</x:v>
      </x:c>
      <x:c r="G386" s="19" t="str">
        <x:v>◎</x:v>
      </x:c>
      <x:c r="H386" s="17" t="str">
        <x:v>熟練</x:v>
      </x:c>
      <x:c r="I386" s="6" t="n">
        <x:v>33</x:v>
      </x:c>
    </x:row>
    <x:row r="387">
      <x:c r="A387" s="13" t="str">
        <x:v>1019</x:v>
      </x:c>
      <x:c r="B387" s="14" t="str"/>
      <x:c r="C387" s="14" t="str">
        <x:v>Lv.6</x:v>
      </x:c>
      <x:c r="D387" s="14" t="str">
        <x:v>李侑津醫師</x:v>
      </x:c>
      <x:c r="E387" s="6" t="str">
        <x:v>自費</x:v>
      </x:c>
      <x:c r="F387" s="6" t="str">
        <x:v>固定假牙</x:v>
      </x:c>
      <x:c r="G387" s="19" t="str">
        <x:v>◎</x:v>
      </x:c>
      <x:c r="H387" s="17" t="str">
        <x:v>熟練</x:v>
      </x:c>
      <x:c r="I387" s="6" t="n">
        <x:v>34</x:v>
      </x:c>
    </x:row>
    <x:row r="388">
      <x:c r="A388" s="13" t="str">
        <x:v>1019</x:v>
      </x:c>
      <x:c r="B388" s="14" t="str"/>
      <x:c r="C388" s="14" t="str">
        <x:v>Lv.6</x:v>
      </x:c>
      <x:c r="D388" s="14" t="str">
        <x:v>李侑津醫師</x:v>
      </x:c>
      <x:c r="E388" s="6" t="str">
        <x:v>自費</x:v>
      </x:c>
      <x:c r="F388" s="6" t="str">
        <x:v>RPD</x:v>
      </x:c>
      <x:c r="G388" s="19" t="str">
        <x:v>◎</x:v>
      </x:c>
      <x:c r="H388" s="17" t="str">
        <x:v>熟練</x:v>
      </x:c>
      <x:c r="I388" s="6" t="n">
        <x:v>35</x:v>
      </x:c>
    </x:row>
    <x:row r="389">
      <x:c r="A389" s="13" t="str">
        <x:v>1019</x:v>
      </x:c>
      <x:c r="B389" s="14" t="str"/>
      <x:c r="C389" s="14" t="str">
        <x:v>Lv.6</x:v>
      </x:c>
      <x:c r="D389" s="14" t="str">
        <x:v>李侑津醫師</x:v>
      </x:c>
      <x:c r="E389" s="6" t="str">
        <x:v>自費</x:v>
      </x:c>
      <x:c r="F389" s="6" t="str">
        <x:v>噴砂美白</x:v>
      </x:c>
      <x:c r="G389" s="19" t="str">
        <x:v>◎</x:v>
      </x:c>
      <x:c r="H389" s="17" t="str">
        <x:v>熟練</x:v>
      </x:c>
      <x:c r="I389" s="6" t="n">
        <x:v>36</x:v>
      </x:c>
    </x:row>
    <x:row r="390">
      <x:c r="A390" s="13" t="str">
        <x:v>1019</x:v>
      </x:c>
      <x:c r="B390" s="14" t="str"/>
      <x:c r="C390" s="14" t="str">
        <x:v>Lv.6</x:v>
      </x:c>
      <x:c r="D390" s="14" t="str">
        <x:v>李侑津醫師</x:v>
      </x:c>
      <x:c r="E390" s="6" t="str">
        <x:v>手術</x:v>
      </x:c>
      <x:c r="F390" s="6" t="str">
        <x:v>牙周手術</x:v>
      </x:c>
      <x:c r="G390" s="19" t="str">
        <x:v>◎</x:v>
      </x:c>
      <x:c r="H390" s="17" t="str">
        <x:v>熟練</x:v>
      </x:c>
      <x:c r="I390" s="6" t="n">
        <x:v>37</x:v>
      </x:c>
    </x:row>
    <x:row r="391">
      <x:c r="A391" s="13" t="str">
        <x:v>1019</x:v>
      </x:c>
      <x:c r="B391" s="14" t="str"/>
      <x:c r="C391" s="14" t="str">
        <x:v>Lv.6</x:v>
      </x:c>
      <x:c r="D391" s="14" t="str">
        <x:v>李侑津醫師</x:v>
      </x:c>
      <x:c r="E391" s="6" t="str">
        <x:v>手術</x:v>
      </x:c>
      <x:c r="F391" s="6" t="str">
        <x:v>顯微根管</x:v>
      </x:c>
      <x:c r="G391" s="19" t="str">
        <x:v>◎</x:v>
      </x:c>
      <x:c r="H391" s="17" t="str">
        <x:v>熟練</x:v>
      </x:c>
      <x:c r="I391" s="6" t="n">
        <x:v>38</x:v>
      </x:c>
    </x:row>
    <x:row r="392">
      <x:c r="A392" s="13" t="str">
        <x:v>1019</x:v>
      </x:c>
      <x:c r="B392" s="14" t="str"/>
      <x:c r="C392" s="14" t="str">
        <x:v>Lv.6</x:v>
      </x:c>
      <x:c r="D392" s="14" t="str">
        <x:v>李侑津醫師</x:v>
      </x:c>
      <x:c r="E392" s="6" t="str">
        <x:v>手術</x:v>
      </x:c>
      <x:c r="F392" s="6" t="str">
        <x:v>植 牙</x:v>
      </x:c>
      <x:c r="G392" s="19" t="str">
        <x:v>◎</x:v>
      </x:c>
      <x:c r="H392" s="17" t="str">
        <x:v>熟練</x:v>
      </x:c>
      <x:c r="I392" s="6" t="n">
        <x:v>39</x:v>
      </x:c>
    </x:row>
    <x:row r="393">
      <x:c r="A393" s="13" t="str">
        <x:v>1019</x:v>
      </x:c>
      <x:c r="B393" s="14" t="str"/>
      <x:c r="C393" s="14" t="str">
        <x:v>Lv.6</x:v>
      </x:c>
      <x:c r="D393" s="14" t="str">
        <x:v>李侑津醫師</x:v>
      </x:c>
      <x:c r="E393" s="6" t="str"/>
      <x:c r="F393" s="6" t="str">
        <x:v>跟診順暢度</x:v>
      </x:c>
      <x:c r="G393" s="19" t="str">
        <x:v>◎</x:v>
      </x:c>
      <x:c r="H393" s="17" t="str">
        <x:v>熟練</x:v>
      </x:c>
      <x:c r="I393" s="6" t="n">
        <x:v>40</x:v>
      </x:c>
    </x:row>
    <x:row r="394">
      <x:c r="A394" s="13" t="str">
        <x:v>1019</x:v>
      </x:c>
      <x:c r="B394" s="14" t="str"/>
      <x:c r="C394" s="14" t="str">
        <x:v>Lv.6</x:v>
      </x:c>
      <x:c r="D394" s="14" t="str">
        <x:v>李侑津醫師</x:v>
      </x:c>
      <x:c r="E394" s="6" t="str"/>
      <x:c r="F394" s="6" t="str">
        <x:v>病歷紀錄</x:v>
      </x:c>
      <x:c r="G394" s="19" t="str">
        <x:v>◎</x:v>
      </x:c>
      <x:c r="H394" s="17" t="str">
        <x:v>熟練</x:v>
      </x:c>
      <x:c r="I394" s="6" t="n">
        <x:v>41</x:v>
      </x:c>
    </x:row>
    <x:row r="395">
      <x:c r="A395" s="13" t="str">
        <x:v>1019</x:v>
      </x:c>
      <x:c r="B395" s="14" t="str"/>
      <x:c r="C395" s="14" t="str">
        <x:v>Lv.6</x:v>
      </x:c>
      <x:c r="D395" s="14" t="str">
        <x:v>李侑津醫師</x:v>
      </x:c>
      <x:c r="E395" s="6" t="str"/>
      <x:c r="F395" s="6" t="str">
        <x:v>健保申報</x:v>
      </x:c>
      <x:c r="G395" s="19" t="str">
        <x:v>◎</x:v>
      </x:c>
      <x:c r="H395" s="17" t="str">
        <x:v>熟練</x:v>
      </x:c>
      <x:c r="I395" s="6" t="n">
        <x:v>42</x:v>
      </x:c>
    </x:row>
    <x:row r="396">
      <x:c r="A396" s="13" t="str">
        <x:v>1019</x:v>
      </x:c>
      <x:c r="B396" s="14" t="str"/>
      <x:c r="C396" s="14" t="str">
        <x:v>Lv.6</x:v>
      </x:c>
      <x:c r="D396" s="14" t="str">
        <x:v>李侑津醫師</x:v>
      </x:c>
      <x:c r="E396" s="6" t="str"/>
      <x:c r="F396" s="6" t="str">
        <x:v>X光片紀錄</x:v>
      </x:c>
      <x:c r="G396" s="19" t="str">
        <x:v>◎</x:v>
      </x:c>
      <x:c r="H396" s="17" t="str">
        <x:v>熟練</x:v>
      </x:c>
      <x:c r="I396" s="6" t="n">
        <x:v>43</x:v>
      </x:c>
    </x:row>
    <x:row r="397">
      <x:c r="A397" s="13" t="str">
        <x:v>1019</x:v>
      </x:c>
      <x:c r="B397" s="14" t="str"/>
      <x:c r="C397" s="14" t="str">
        <x:v>Lv.6</x:v>
      </x:c>
      <x:c r="D397" s="14" t="str">
        <x:v>李侑津醫師</x:v>
      </x:c>
      <x:c r="E397" s="6" t="str"/>
      <x:c r="F397" s="6" t="str">
        <x:v>拍PA</x:v>
      </x:c>
      <x:c r="G397" s="19" t="str">
        <x:v>◎</x:v>
      </x:c>
      <x:c r="H397" s="17" t="str">
        <x:v>熟練</x:v>
      </x:c>
      <x:c r="I397" s="6" t="n">
        <x:v>44</x:v>
      </x:c>
    </x:row>
    <x:row r="398">
      <x:c r="A398" s="13" t="str">
        <x:v>1019</x:v>
      </x:c>
      <x:c r="B398" s="14" t="str"/>
      <x:c r="C398" s="14" t="str">
        <x:v>Lv.6</x:v>
      </x:c>
      <x:c r="D398" s="14" t="str">
        <x:v>李侑津醫師</x:v>
      </x:c>
      <x:c r="E398" s="6" t="str"/>
      <x:c r="F398" s="6" t="str">
        <x:v>口掃機運用</x:v>
      </x:c>
      <x:c r="G398" s="19" t="str">
        <x:v>◎</x:v>
      </x:c>
      <x:c r="H398" s="17" t="str">
        <x:v>熟練</x:v>
      </x:c>
      <x:c r="I398" s="6" t="n">
        <x:v>45</x:v>
      </x:c>
    </x:row>
    <x:row r="399">
      <x:c r="A399" s="13" t="str">
        <x:v>1019</x:v>
      </x:c>
      <x:c r="B399" s="14" t="str"/>
      <x:c r="C399" s="14" t="str">
        <x:v>Lv.6</x:v>
      </x:c>
      <x:c r="D399" s="14" t="str">
        <x:v>廖立揚醫師</x:v>
      </x:c>
      <x:c r="E399" s="6" t="str"/>
      <x:c r="F399" s="6" t="str">
        <x:v>器械熟悉度</x:v>
      </x:c>
      <x:c r="G399" s="19" t="str">
        <x:v>◎</x:v>
      </x:c>
      <x:c r="H399" s="17" t="str">
        <x:v>熟練</x:v>
      </x:c>
      <x:c r="I399" s="6" t="n">
        <x:v>46</x:v>
      </x:c>
    </x:row>
    <x:row r="400">
      <x:c r="A400" s="13" t="str">
        <x:v>1019</x:v>
      </x:c>
      <x:c r="B400" s="14" t="str"/>
      <x:c r="C400" s="14" t="str">
        <x:v>Lv.6</x:v>
      </x:c>
      <x:c r="D400" s="14" t="str">
        <x:v>廖立揚醫師</x:v>
      </x:c>
      <x:c r="E400" s="6" t="str"/>
      <x:c r="F400" s="6" t="str">
        <x:v>跟診順暢度</x:v>
      </x:c>
      <x:c r="G400" s="19" t="str">
        <x:v>◎</x:v>
      </x:c>
      <x:c r="H400" s="17" t="str">
        <x:v>熟練</x:v>
      </x:c>
      <x:c r="I400" s="6" t="n">
        <x:v>47</x:v>
      </x:c>
    </x:row>
    <x:row r="401">
      <x:c r="A401" s="13" t="str">
        <x:v>1019</x:v>
      </x:c>
      <x:c r="B401" s="14" t="str"/>
      <x:c r="C401" s="14" t="str">
        <x:v>Lv.6</x:v>
      </x:c>
      <x:c r="D401" s="14" t="str">
        <x:v>廖立揚醫師</x:v>
      </x:c>
      <x:c r="E401" s="6" t="str"/>
      <x:c r="F401" s="6" t="str">
        <x:v>病歷紀錄</x:v>
      </x:c>
      <x:c r="G401" s="19" t="str">
        <x:v>◎</x:v>
      </x:c>
      <x:c r="H401" s="17" t="str">
        <x:v>熟練</x:v>
      </x:c>
      <x:c r="I401" s="6" t="n">
        <x:v>48</x:v>
      </x:c>
    </x:row>
    <x:row r="402">
      <x:c r="A402" s="13" t="str">
        <x:v>1019</x:v>
      </x:c>
      <x:c r="B402" s="14" t="str"/>
      <x:c r="C402" s="14" t="str">
        <x:v>Lv.6</x:v>
      </x:c>
      <x:c r="D402" s="14" t="str">
        <x:v>廖立揚醫師</x:v>
      </x:c>
      <x:c r="E402" s="6" t="str"/>
      <x:c r="F402" s="6" t="str">
        <x:v>健保申報(初診pano)</x:v>
      </x:c>
      <x:c r="G402" s="19" t="str">
        <x:v>◎</x:v>
      </x:c>
      <x:c r="H402" s="17" t="str">
        <x:v>熟練</x:v>
      </x:c>
      <x:c r="I402" s="6" t="n">
        <x:v>49</x:v>
      </x:c>
    </x:row>
    <x:row r="403">
      <x:c r="A403" s="13" t="str">
        <x:v>1019</x:v>
      </x:c>
      <x:c r="B403" s="14" t="str"/>
      <x:c r="C403" s="14" t="str">
        <x:v>Lv.6</x:v>
      </x:c>
      <x:c r="D403" s="14" t="str">
        <x:v>廖立揚醫師</x:v>
      </x:c>
      <x:c r="E403" s="6" t="str"/>
      <x:c r="F403" s="6" t="str">
        <x:v>X光片紀錄</x:v>
      </x:c>
      <x:c r="G403" s="19" t="str">
        <x:v>◎</x:v>
      </x:c>
      <x:c r="H403" s="17" t="str">
        <x:v>熟練</x:v>
      </x:c>
      <x:c r="I403" s="6" t="n">
        <x:v>50</x:v>
      </x:c>
    </x:row>
    <x:row r="404">
      <x:c r="A404" s="13" t="str">
        <x:v>1019</x:v>
      </x:c>
      <x:c r="B404" s="14" t="str"/>
      <x:c r="C404" s="14" t="str">
        <x:v>Lv.6</x:v>
      </x:c>
      <x:c r="D404" s="14" t="str">
        <x:v>廖立揚醫師</x:v>
      </x:c>
      <x:c r="E404" s="6" t="str"/>
      <x:c r="F404" s="6" t="str">
        <x:v>拍PANO、PA</x:v>
      </x:c>
      <x:c r="G404" s="19" t="str">
        <x:v>◎</x:v>
      </x:c>
      <x:c r="H404" s="17" t="str">
        <x:v>熟練</x:v>
      </x:c>
      <x:c r="I404" s="6" t="n">
        <x:v>51</x:v>
      </x:c>
    </x:row>
    <x:row r="405">
      <x:c r="A405" s="13" t="str">
        <x:v>1019</x:v>
      </x:c>
      <x:c r="B405" s="14" t="str"/>
      <x:c r="C405" s="14" t="str">
        <x:v>Lv.6</x:v>
      </x:c>
      <x:c r="D405" s="14" t="str">
        <x:v>廖立揚醫師</x:v>
      </x:c>
      <x:c r="E405" s="6" t="str"/>
      <x:c r="F405" s="6" t="str">
        <x:v>CT照</x:v>
      </x:c>
      <x:c r="G405" s="19" t="str">
        <x:v>◎</x:v>
      </x:c>
      <x:c r="H405" s="17" t="str">
        <x:v>熟練</x:v>
      </x:c>
      <x:c r="I405" s="6" t="n">
        <x:v>52</x:v>
      </x:c>
    </x:row>
    <x:row r="406">
      <x:c r="A406" s="13" t="str">
        <x:v>1019</x:v>
      </x:c>
      <x:c r="B406" s="14" t="str"/>
      <x:c r="C406" s="14" t="str">
        <x:v>Lv.6</x:v>
      </x:c>
      <x:c r="D406" s="14" t="str">
        <x:v>廖立揚醫師</x:v>
      </x:c>
      <x:c r="E406" s="6" t="str"/>
      <x:c r="F406" s="6" t="str">
        <x:v>側頭顱照</x:v>
      </x:c>
      <x:c r="G406" s="19" t="str">
        <x:v>◎</x:v>
      </x:c>
      <x:c r="H406" s="17" t="str">
        <x:v>熟練</x:v>
      </x:c>
      <x:c r="I406" s="6" t="n">
        <x:v>53</x:v>
      </x:c>
    </x:row>
    <x:row r="407">
      <x:c r="A407" s="13" t="str">
        <x:v>1019</x:v>
      </x:c>
      <x:c r="B407" s="14" t="str"/>
      <x:c r="C407" s="14" t="str">
        <x:v>Lv.6</x:v>
      </x:c>
      <x:c r="D407" s="14" t="str">
        <x:v>廖立揚醫師</x:v>
      </x:c>
      <x:c r="E407" s="6" t="str"/>
      <x:c r="F407" s="6" t="str">
        <x:v>口掃機運用</x:v>
      </x:c>
      <x:c r="G407" s="19" t="str">
        <x:v>◎</x:v>
      </x:c>
      <x:c r="H407" s="17" t="str">
        <x:v>熟練</x:v>
      </x:c>
      <x:c r="I407" s="6" t="n">
        <x:v>54</x:v>
      </x:c>
    </x:row>
    <x:row r="408">
      <x:c r="A408" s="13" t="str">
        <x:v>1019</x:v>
      </x:c>
      <x:c r="B408" s="14" t="str"/>
      <x:c r="C408" s="14" t="str">
        <x:v>Lv.6</x:v>
      </x:c>
      <x:c r="D408" s="14" t="str">
        <x:v>楊小瑩醫師</x:v>
      </x:c>
      <x:c r="E408" s="6" t="str">
        <x:v>器械準備</x:v>
      </x:c>
      <x:c r="F408" s="6" t="str">
        <x:v>洗牙</x:v>
      </x:c>
      <x:c r="G408" s="19" t="str">
        <x:v>◎</x:v>
      </x:c>
      <x:c r="H408" s="17" t="str">
        <x:v>熟練</x:v>
      </x:c>
      <x:c r="I408" s="6" t="n">
        <x:v>55</x:v>
      </x:c>
    </x:row>
    <x:row r="409">
      <x:c r="A409" s="13" t="str">
        <x:v>1019</x:v>
      </x:c>
      <x:c r="B409" s="14" t="str"/>
      <x:c r="C409" s="14" t="str">
        <x:v>Lv.6</x:v>
      </x:c>
      <x:c r="D409" s="14" t="str">
        <x:v>楊小瑩醫師</x:v>
      </x:c>
      <x:c r="E409" s="6" t="str">
        <x:v>器械準備</x:v>
      </x:c>
      <x:c r="F409" s="6" t="str">
        <x:v>補牙</x:v>
      </x:c>
      <x:c r="G409" s="19" t="str">
        <x:v>◎</x:v>
      </x:c>
      <x:c r="H409" s="17" t="str">
        <x:v>熟練</x:v>
      </x:c>
      <x:c r="I409" s="6" t="n">
        <x:v>56</x:v>
      </x:c>
    </x:row>
    <x:row r="410">
      <x:c r="A410" s="13" t="str">
        <x:v>1019</x:v>
      </x:c>
      <x:c r="B410" s="14" t="str"/>
      <x:c r="C410" s="14" t="str">
        <x:v>Lv.6</x:v>
      </x:c>
      <x:c r="D410" s="14" t="str">
        <x:v>楊小瑩醫師</x:v>
      </x:c>
      <x:c r="E410" s="6" t="str">
        <x:v>器械準備</x:v>
      </x:c>
      <x:c r="F410" s="6" t="str">
        <x:v>根管治療</x:v>
      </x:c>
      <x:c r="G410" s="19" t="str">
        <x:v>◎</x:v>
      </x:c>
      <x:c r="H410" s="17" t="str">
        <x:v>熟練</x:v>
      </x:c>
      <x:c r="I410" s="6" t="n">
        <x:v>57</x:v>
      </x:c>
    </x:row>
    <x:row r="411">
      <x:c r="A411" s="13" t="str">
        <x:v>1019</x:v>
      </x:c>
      <x:c r="B411" s="14" t="str"/>
      <x:c r="C411" s="14" t="str">
        <x:v>Lv.6</x:v>
      </x:c>
      <x:c r="D411" s="14" t="str">
        <x:v>楊小瑩醫師</x:v>
      </x:c>
      <x:c r="E411" s="6" t="str">
        <x:v>器械準備</x:v>
      </x:c>
      <x:c r="F411" s="6" t="str">
        <x:v>拔牙</x:v>
      </x:c>
      <x:c r="G411" s="19" t="str">
        <x:v>◎</x:v>
      </x:c>
      <x:c r="H411" s="17" t="str">
        <x:v>熟練</x:v>
      </x:c>
      <x:c r="I411" s="6" t="n">
        <x:v>58</x:v>
      </x:c>
    </x:row>
    <x:row r="412">
      <x:c r="A412" s="13" t="str">
        <x:v>1019</x:v>
      </x:c>
      <x:c r="B412" s="14" t="str"/>
      <x:c r="C412" s="14" t="str">
        <x:v>Lv.6</x:v>
      </x:c>
      <x:c r="D412" s="14" t="str">
        <x:v>楊小瑩醫師</x:v>
      </x:c>
      <x:c r="E412" s="6" t="str">
        <x:v>器械準備</x:v>
      </x:c>
      <x:c r="F412" s="6" t="str">
        <x:v>拆 crown/post</x:v>
      </x:c>
      <x:c r="G412" s="19" t="str">
        <x:v>Ø</x:v>
      </x:c>
      <x:c r="H412" s="17" t="str">
        <x:v>尚未熟練</x:v>
      </x:c>
      <x:c r="I412" s="6" t="n">
        <x:v>59</x:v>
      </x:c>
    </x:row>
    <x:row r="413">
      <x:c r="A413" s="13" t="str">
        <x:v>1019</x:v>
      </x:c>
      <x:c r="B413" s="14" t="str"/>
      <x:c r="C413" s="14" t="str">
        <x:v>Lv.6</x:v>
      </x:c>
      <x:c r="D413" s="14" t="str">
        <x:v>楊小瑩醫師</x:v>
      </x:c>
      <x:c r="E413" s="6" t="str">
        <x:v>自費</x:v>
      </x:c>
      <x:c r="F413" s="6" t="str">
        <x:v>固定假牙</x:v>
      </x:c>
      <x:c r="G413" s="19" t="str">
        <x:v>◎</x:v>
      </x:c>
      <x:c r="H413" s="17" t="str">
        <x:v>熟練</x:v>
      </x:c>
      <x:c r="I413" s="6" t="n">
        <x:v>60</x:v>
      </x:c>
    </x:row>
    <x:row r="414">
      <x:c r="A414" s="13" t="str">
        <x:v>1019</x:v>
      </x:c>
      <x:c r="B414" s="14" t="str"/>
      <x:c r="C414" s="14" t="str">
        <x:v>Lv.6</x:v>
      </x:c>
      <x:c r="D414" s="14" t="str">
        <x:v>楊小瑩醫師</x:v>
      </x:c>
      <x:c r="E414" s="6" t="str">
        <x:v>自費</x:v>
      </x:c>
      <x:c r="F414" s="6" t="str">
        <x:v>RPD</x:v>
      </x:c>
      <x:c r="G414" s="19" t="str">
        <x:v>※</x:v>
      </x:c>
      <x:c r="H414" s="17" t="str">
        <x:v>學習中</x:v>
      </x:c>
      <x:c r="I414" s="6" t="n">
        <x:v>61</x:v>
      </x:c>
    </x:row>
    <x:row r="415">
      <x:c r="A415" s="13" t="str">
        <x:v>1019</x:v>
      </x:c>
      <x:c r="B415" s="14" t="str"/>
      <x:c r="C415" s="14" t="str">
        <x:v>Lv.6</x:v>
      </x:c>
      <x:c r="D415" s="14" t="str">
        <x:v>楊小瑩醫師</x:v>
      </x:c>
      <x:c r="E415" s="6" t="str">
        <x:v>自費</x:v>
      </x:c>
      <x:c r="F415" s="6" t="str">
        <x:v>噴砂美白</x:v>
      </x:c>
      <x:c r="G415" s="19" t="str">
        <x:v>※</x:v>
      </x:c>
      <x:c r="H415" s="17" t="str">
        <x:v>學習中</x:v>
      </x:c>
      <x:c r="I415" s="6" t="n">
        <x:v>62</x:v>
      </x:c>
    </x:row>
    <x:row r="416">
      <x:c r="A416" s="13" t="str">
        <x:v>1019</x:v>
      </x:c>
      <x:c r="B416" s="14" t="str"/>
      <x:c r="C416" s="14" t="str">
        <x:v>Lv.6</x:v>
      </x:c>
      <x:c r="D416" s="14" t="str">
        <x:v>楊小瑩醫師</x:v>
      </x:c>
      <x:c r="E416" s="6" t="str"/>
      <x:c r="F416" s="6" t="str">
        <x:v>跟診順暢度</x:v>
      </x:c>
      <x:c r="G416" s="19" t="str">
        <x:v>◎</x:v>
      </x:c>
      <x:c r="H416" s="17" t="str">
        <x:v>熟練</x:v>
      </x:c>
      <x:c r="I416" s="6" t="n">
        <x:v>63</x:v>
      </x:c>
    </x:row>
    <x:row r="417">
      <x:c r="A417" s="13" t="str">
        <x:v>1019</x:v>
      </x:c>
      <x:c r="B417" s="14" t="str"/>
      <x:c r="C417" s="14" t="str">
        <x:v>Lv.6</x:v>
      </x:c>
      <x:c r="D417" s="14" t="str">
        <x:v>楊小瑩醫師</x:v>
      </x:c>
      <x:c r="E417" s="6" t="str"/>
      <x:c r="F417" s="6" t="str">
        <x:v>病歷紀錄</x:v>
      </x:c>
      <x:c r="G417" s="19" t="str">
        <x:v>◎</x:v>
      </x:c>
      <x:c r="H417" s="17" t="str">
        <x:v>熟練</x:v>
      </x:c>
      <x:c r="I417" s="6" t="n">
        <x:v>64</x:v>
      </x:c>
    </x:row>
    <x:row r="418">
      <x:c r="A418" s="13" t="str">
        <x:v>1019</x:v>
      </x:c>
      <x:c r="B418" s="14" t="str"/>
      <x:c r="C418" s="14" t="str">
        <x:v>Lv.6</x:v>
      </x:c>
      <x:c r="D418" s="14" t="str">
        <x:v>楊小瑩醫師</x:v>
      </x:c>
      <x:c r="E418" s="6" t="str"/>
      <x:c r="F418" s="6" t="str">
        <x:v>健保申報</x:v>
      </x:c>
      <x:c r="G418" s="19" t="str">
        <x:v>◎</x:v>
      </x:c>
      <x:c r="H418" s="17" t="str">
        <x:v>熟練</x:v>
      </x:c>
      <x:c r="I418" s="6" t="n">
        <x:v>65</x:v>
      </x:c>
    </x:row>
    <x:row r="419">
      <x:c r="A419" s="13" t="str">
        <x:v>1019</x:v>
      </x:c>
      <x:c r="B419" s="14" t="str"/>
      <x:c r="C419" s="14" t="str">
        <x:v>Lv.6</x:v>
      </x:c>
      <x:c r="D419" s="14" t="str">
        <x:v>楊小瑩醫師</x:v>
      </x:c>
      <x:c r="E419" s="6" t="str"/>
      <x:c r="F419" s="6" t="str">
        <x:v>X光片紀錄</x:v>
      </x:c>
      <x:c r="G419" s="19" t="str">
        <x:v>◎</x:v>
      </x:c>
      <x:c r="H419" s="17" t="str">
        <x:v>熟練</x:v>
      </x:c>
      <x:c r="I419" s="6" t="n">
        <x:v>66</x:v>
      </x:c>
    </x:row>
    <x:row r="420">
      <x:c r="A420" s="13" t="str">
        <x:v>1019</x:v>
      </x:c>
      <x:c r="B420" s="14" t="str"/>
      <x:c r="C420" s="14" t="str">
        <x:v>Lv.6</x:v>
      </x:c>
      <x:c r="D420" s="14" t="str">
        <x:v>楊小瑩醫師</x:v>
      </x:c>
      <x:c r="E420" s="6" t="str"/>
      <x:c r="F420" s="6" t="str">
        <x:v>拍PA</x:v>
      </x:c>
      <x:c r="G420" s="19" t="str">
        <x:v>◎</x:v>
      </x:c>
      <x:c r="H420" s="17" t="str">
        <x:v>熟練</x:v>
      </x:c>
      <x:c r="I420" s="6" t="n">
        <x:v>67</x:v>
      </x:c>
    </x:row>
    <x:row r="421">
      <x:c r="A421" s="13" t="str">
        <x:v>1019</x:v>
      </x:c>
      <x:c r="B421" s="14" t="str"/>
      <x:c r="C421" s="14" t="str">
        <x:v>Lv.6</x:v>
      </x:c>
      <x:c r="D421" s="14" t="str">
        <x:v>王俊偉醫師</x:v>
      </x:c>
      <x:c r="E421" s="6" t="str"/>
      <x:c r="F421" s="6" t="str">
        <x:v>器械熟悉度</x:v>
      </x:c>
      <x:c r="G421" s="19" t="str">
        <x:v>◎</x:v>
      </x:c>
      <x:c r="H421" s="17" t="str">
        <x:v>熟練</x:v>
      </x:c>
      <x:c r="I421" s="6" t="n">
        <x:v>68</x:v>
      </x:c>
    </x:row>
    <x:row r="422">
      <x:c r="A422" s="13" t="str">
        <x:v>1019</x:v>
      </x:c>
      <x:c r="B422" s="14" t="str"/>
      <x:c r="C422" s="14" t="str">
        <x:v>Lv.6</x:v>
      </x:c>
      <x:c r="D422" s="14" t="str">
        <x:v>王俊偉醫師</x:v>
      </x:c>
      <x:c r="E422" s="6" t="str"/>
      <x:c r="F422" s="6" t="str">
        <x:v>跟診順暢度</x:v>
      </x:c>
      <x:c r="G422" s="19" t="str">
        <x:v>◎</x:v>
      </x:c>
      <x:c r="H422" s="17" t="str">
        <x:v>熟練</x:v>
      </x:c>
      <x:c r="I422" s="6" t="n">
        <x:v>69</x:v>
      </x:c>
    </x:row>
    <x:row r="423">
      <x:c r="A423" s="13" t="str">
        <x:v>1019</x:v>
      </x:c>
      <x:c r="B423" s="14" t="str"/>
      <x:c r="C423" s="14" t="str">
        <x:v>Lv.6</x:v>
      </x:c>
      <x:c r="D423" s="14" t="str">
        <x:v>王俊偉醫師</x:v>
      </x:c>
      <x:c r="E423" s="6" t="str"/>
      <x:c r="F423" s="6" t="str">
        <x:v>病歷紀錄</x:v>
      </x:c>
      <x:c r="G423" s="19" t="str">
        <x:v>◎</x:v>
      </x:c>
      <x:c r="H423" s="17" t="str">
        <x:v>熟練</x:v>
      </x:c>
      <x:c r="I423" s="6" t="n">
        <x:v>70</x:v>
      </x:c>
    </x:row>
    <x:row r="424">
      <x:c r="A424" s="13" t="str">
        <x:v>1019</x:v>
      </x:c>
      <x:c r="B424" s="14" t="str"/>
      <x:c r="C424" s="14" t="str">
        <x:v>Lv.6</x:v>
      </x:c>
      <x:c r="D424" s="14" t="str">
        <x:v>王俊偉醫師</x:v>
      </x:c>
      <x:c r="E424" s="6" t="str"/>
      <x:c r="F424" s="6" t="str">
        <x:v>健保申報</x:v>
      </x:c>
      <x:c r="G424" s="19" t="str">
        <x:v>◎</x:v>
      </x:c>
      <x:c r="H424" s="17" t="str">
        <x:v>熟練</x:v>
      </x:c>
      <x:c r="I424" s="6" t="n">
        <x:v>71</x:v>
      </x:c>
    </x:row>
    <x:row r="425">
      <x:c r="A425" s="13" t="str">
        <x:v>1019</x:v>
      </x:c>
      <x:c r="B425" s="14" t="str"/>
      <x:c r="C425" s="14" t="str">
        <x:v>Lv.6</x:v>
      </x:c>
      <x:c r="D425" s="14" t="str">
        <x:v>王俊偉醫師</x:v>
      </x:c>
      <x:c r="E425" s="6" t="str"/>
      <x:c r="F425" s="6" t="str">
        <x:v>X光片紀錄</x:v>
      </x:c>
      <x:c r="G425" s="19" t="str">
        <x:v>◎</x:v>
      </x:c>
      <x:c r="H425" s="17" t="str">
        <x:v>熟練</x:v>
      </x:c>
      <x:c r="I425" s="6" t="n">
        <x:v>72</x:v>
      </x:c>
    </x:row>
    <x:row r="426">
      <x:c r="A426" s="13" t="str">
        <x:v>1019</x:v>
      </x:c>
      <x:c r="B426" s="14" t="str"/>
      <x:c r="C426" s="14" t="str">
        <x:v>Lv.6</x:v>
      </x:c>
      <x:c r="D426" s="14" t="str">
        <x:v>王俊偉醫師</x:v>
      </x:c>
      <x:c r="E426" s="6" t="str"/>
      <x:c r="F426" s="6" t="str">
        <x:v>拍PANO、PA</x:v>
      </x:c>
      <x:c r="G426" s="19" t="str">
        <x:v>◎</x:v>
      </x:c>
      <x:c r="H426" s="17" t="str">
        <x:v>熟練</x:v>
      </x:c>
      <x:c r="I426" s="6" t="n">
        <x:v>73</x:v>
      </x:c>
    </x:row>
    <x:row r="427">
      <x:c r="A427" s="13" t="str">
        <x:v>1019</x:v>
      </x:c>
      <x:c r="B427" s="14" t="str"/>
      <x:c r="C427" s="14" t="str">
        <x:v>Lv.6</x:v>
      </x:c>
      <x:c r="D427" s="14" t="str">
        <x:v>王俊偉醫師</x:v>
      </x:c>
      <x:c r="E427" s="6" t="str"/>
      <x:c r="F427" s="6" t="str">
        <x:v>CT照</x:v>
      </x:c>
      <x:c r="G427" s="19" t="str">
        <x:v>◎</x:v>
      </x:c>
      <x:c r="H427" s="17" t="str">
        <x:v>熟練</x:v>
      </x:c>
      <x:c r="I427" s="6" t="n">
        <x:v>74</x:v>
      </x:c>
    </x:row>
    <x:row r="428">
      <x:c r="A428" s="13" t="str">
        <x:v>1019</x:v>
      </x:c>
      <x:c r="B428" s="14" t="str"/>
      <x:c r="C428" s="14" t="str">
        <x:v>Lv.6</x:v>
      </x:c>
      <x:c r="D428" s="14" t="str">
        <x:v>王俊偉醫師</x:v>
      </x:c>
      <x:c r="E428" s="6" t="str"/>
      <x:c r="F428" s="6" t="str">
        <x:v>側頭顱照</x:v>
      </x:c>
      <x:c r="G428" s="19" t="str">
        <x:v>◎</x:v>
      </x:c>
      <x:c r="H428" s="17" t="str">
        <x:v>熟練</x:v>
      </x:c>
      <x:c r="I428" s="6" t="n">
        <x:v>75</x:v>
      </x:c>
    </x:row>
    <x:row r="429">
      <x:c r="A429" s="13" t="str">
        <x:v>1019</x:v>
      </x:c>
      <x:c r="B429" s="14" t="str"/>
      <x:c r="C429" s="14" t="str">
        <x:v>Lv.6</x:v>
      </x:c>
      <x:c r="D429" s="14" t="str">
        <x:v>王俊偉醫師</x:v>
      </x:c>
      <x:c r="E429" s="6" t="str"/>
      <x:c r="F429" s="6" t="str">
        <x:v>口掃機運用</x:v>
      </x:c>
      <x:c r="G429" s="19" t="str">
        <x:v>◎</x:v>
      </x:c>
      <x:c r="H429" s="17" t="str">
        <x:v>熟練</x:v>
      </x:c>
      <x:c r="I429" s="6" t="n">
        <x:v>76</x:v>
      </x:c>
    </x:row>
    <x:row r="430">
      <x:c r="A430" s="13" t="str">
        <x:v>1019</x:v>
      </x:c>
      <x:c r="B430" s="14" t="str"/>
      <x:c r="C430" s="14" t="str">
        <x:v>Lv.6</x:v>
      </x:c>
      <x:c r="D430" s="14" t="str">
        <x:v>許馨文醫師</x:v>
      </x:c>
      <x:c r="E430" s="6" t="str"/>
      <x:c r="F430" s="6" t="str">
        <x:v>器械熟悉度</x:v>
      </x:c>
      <x:c r="G430" s="19" t="str">
        <x:v>◎</x:v>
      </x:c>
      <x:c r="H430" s="17" t="str">
        <x:v>熟練</x:v>
      </x:c>
      <x:c r="I430" s="6" t="n">
        <x:v>77</x:v>
      </x:c>
    </x:row>
    <x:row r="431">
      <x:c r="A431" s="13" t="str">
        <x:v>1019</x:v>
      </x:c>
      <x:c r="B431" s="14" t="str"/>
      <x:c r="C431" s="14" t="str">
        <x:v>Lv.6</x:v>
      </x:c>
      <x:c r="D431" s="14" t="str">
        <x:v>許馨文醫師</x:v>
      </x:c>
      <x:c r="E431" s="6" t="str"/>
      <x:c r="F431" s="6" t="str">
        <x:v>吸口水技巧</x:v>
      </x:c>
      <x:c r="G431" s="19" t="str">
        <x:v>◎</x:v>
      </x:c>
      <x:c r="H431" s="17" t="str">
        <x:v>熟練</x:v>
      </x:c>
      <x:c r="I431" s="6" t="n">
        <x:v>78</x:v>
      </x:c>
    </x:row>
    <x:row r="432">
      <x:c r="A432" s="13" t="str">
        <x:v>1019</x:v>
      </x:c>
      <x:c r="B432" s="14" t="str"/>
      <x:c r="C432" s="14" t="str">
        <x:v>Lv.6</x:v>
      </x:c>
      <x:c r="D432" s="14" t="str">
        <x:v>許馨文醫師</x:v>
      </x:c>
      <x:c r="E432" s="6" t="str"/>
      <x:c r="F432" s="6" t="str">
        <x:v>病歷紀錄</x:v>
      </x:c>
      <x:c r="G432" s="19" t="str">
        <x:v>◎</x:v>
      </x:c>
      <x:c r="H432" s="17" t="str">
        <x:v>熟練</x:v>
      </x:c>
      <x:c r="I432" s="6" t="n">
        <x:v>79</x:v>
      </x:c>
    </x:row>
    <x:row r="433">
      <x:c r="A433" s="13" t="str">
        <x:v>1019</x:v>
      </x:c>
      <x:c r="B433" s="14" t="str"/>
      <x:c r="C433" s="14" t="str">
        <x:v>Lv.6</x:v>
      </x:c>
      <x:c r="D433" s="14" t="str">
        <x:v>許馨文醫師</x:v>
      </x:c>
      <x:c r="E433" s="6" t="str"/>
      <x:c r="F433" s="6" t="str">
        <x:v>健保申報</x:v>
      </x:c>
      <x:c r="G433" s="19" t="str">
        <x:v>◎</x:v>
      </x:c>
      <x:c r="H433" s="17" t="str">
        <x:v>熟練</x:v>
      </x:c>
      <x:c r="I433" s="6" t="n">
        <x:v>80</x:v>
      </x:c>
    </x:row>
    <x:row r="434">
      <x:c r="A434" s="13" t="str">
        <x:v>1019</x:v>
      </x:c>
      <x:c r="B434" s="14" t="str"/>
      <x:c r="C434" s="14" t="str">
        <x:v>Lv.6</x:v>
      </x:c>
      <x:c r="D434" s="14" t="str">
        <x:v>許馨文醫師</x:v>
      </x:c>
      <x:c r="E434" s="6" t="str"/>
      <x:c r="F434" s="6" t="str">
        <x:v>X光片紀錄</x:v>
      </x:c>
      <x:c r="G434" s="19" t="str">
        <x:v>◎</x:v>
      </x:c>
      <x:c r="H434" s="17" t="str">
        <x:v>熟練</x:v>
      </x:c>
      <x:c r="I434" s="6" t="n">
        <x:v>81</x:v>
      </x:c>
    </x:row>
    <x:row r="435">
      <x:c r="A435" s="13" t="str">
        <x:v>1019</x:v>
      </x:c>
      <x:c r="B435" s="14" t="str"/>
      <x:c r="C435" s="14" t="str">
        <x:v>Lv.6</x:v>
      </x:c>
      <x:c r="D435" s="14" t="str">
        <x:v>許馨文醫師</x:v>
      </x:c>
      <x:c r="E435" s="6" t="str"/>
      <x:c r="F435" s="6" t="str">
        <x:v>拍PANO、PA</x:v>
      </x:c>
      <x:c r="G435" s="19" t="str">
        <x:v>◎</x:v>
      </x:c>
      <x:c r="H435" s="17" t="str">
        <x:v>熟練</x:v>
      </x:c>
      <x:c r="I435" s="6" t="n">
        <x:v>82</x:v>
      </x:c>
    </x:row>
    <x:row r="436">
      <x:c r="A436" s="13" t="str">
        <x:v>1019</x:v>
      </x:c>
      <x:c r="B436" s="14" t="str"/>
      <x:c r="C436" s="14" t="str">
        <x:v>Lv.6</x:v>
      </x:c>
      <x:c r="D436" s="14" t="str">
        <x:v>林晏妤醫師</x:v>
      </x:c>
      <x:c r="E436" s="6" t="str"/>
      <x:c r="F436" s="6" t="str">
        <x:v>器械熟悉度</x:v>
      </x:c>
      <x:c r="G436" s="19" t="str">
        <x:v>◎</x:v>
      </x:c>
      <x:c r="H436" s="17" t="str">
        <x:v>熟練</x:v>
      </x:c>
      <x:c r="I436" s="6" t="n">
        <x:v>83</x:v>
      </x:c>
    </x:row>
    <x:row r="437">
      <x:c r="A437" s="13" t="str">
        <x:v>1019</x:v>
      </x:c>
      <x:c r="B437" s="14" t="str"/>
      <x:c r="C437" s="14" t="str">
        <x:v>Lv.6</x:v>
      </x:c>
      <x:c r="D437" s="14" t="str">
        <x:v>林晏妤醫師</x:v>
      </x:c>
      <x:c r="E437" s="6" t="str"/>
      <x:c r="F437" s="6" t="str">
        <x:v>跟診順暢度</x:v>
      </x:c>
      <x:c r="G437" s="19" t="str">
        <x:v>◎</x:v>
      </x:c>
      <x:c r="H437" s="17" t="str">
        <x:v>熟練</x:v>
      </x:c>
      <x:c r="I437" s="6" t="n">
        <x:v>84</x:v>
      </x:c>
    </x:row>
    <x:row r="438">
      <x:c r="A438" s="13" t="str">
        <x:v>1019</x:v>
      </x:c>
      <x:c r="B438" s="14" t="str"/>
      <x:c r="C438" s="14" t="str">
        <x:v>Lv.6</x:v>
      </x:c>
      <x:c r="D438" s="14" t="str">
        <x:v>林晏妤醫師</x:v>
      </x:c>
      <x:c r="E438" s="6" t="str"/>
      <x:c r="F438" s="6" t="str">
        <x:v>病歷紀錄</x:v>
      </x:c>
      <x:c r="G438" s="19" t="str">
        <x:v>◎</x:v>
      </x:c>
      <x:c r="H438" s="17" t="str">
        <x:v>熟練</x:v>
      </x:c>
      <x:c r="I438" s="6" t="n">
        <x:v>85</x:v>
      </x:c>
    </x:row>
    <x:row r="439">
      <x:c r="A439" s="13" t="str">
        <x:v>1019</x:v>
      </x:c>
      <x:c r="B439" s="14" t="str"/>
      <x:c r="C439" s="14" t="str">
        <x:v>Lv.6</x:v>
      </x:c>
      <x:c r="D439" s="14" t="str">
        <x:v>林晏妤醫師</x:v>
      </x:c>
      <x:c r="E439" s="6" t="str"/>
      <x:c r="F439" s="6" t="str">
        <x:v>X光片紀錄</x:v>
      </x:c>
      <x:c r="G439" s="19" t="str">
        <x:v>◎</x:v>
      </x:c>
      <x:c r="H439" s="17" t="str">
        <x:v>熟練</x:v>
      </x:c>
      <x:c r="I439" s="6" t="n">
        <x:v>86</x:v>
      </x:c>
    </x:row>
    <x:row r="440">
      <x:c r="A440" s="13" t="str">
        <x:v>1019</x:v>
      </x:c>
      <x:c r="B440" s="14" t="str"/>
      <x:c r="C440" s="14" t="str">
        <x:v>Lv.6</x:v>
      </x:c>
      <x:c r="D440" s="14" t="str">
        <x:v>林晏妤醫師</x:v>
      </x:c>
      <x:c r="E440" s="6" t="str"/>
      <x:c r="F440" s="6" t="str">
        <x:v>手持X光機</x:v>
      </x:c>
      <x:c r="G440" s="19" t="str">
        <x:v>◎</x:v>
      </x:c>
      <x:c r="H440" s="17" t="str">
        <x:v>熟練</x:v>
      </x:c>
      <x:c r="I440" s="6" t="n">
        <x:v>87</x:v>
      </x:c>
    </x:row>
    <x:row r="441">
      <x:c r="A441" s="13" t="str">
        <x:v>1019</x:v>
      </x:c>
      <x:c r="B441" s="14" t="str"/>
      <x:c r="C441" s="14" t="str">
        <x:v>Lv.6</x:v>
      </x:c>
      <x:c r="D441" s="14" t="str">
        <x:v>林晏妤醫師</x:v>
      </x:c>
      <x:c r="E441" s="6" t="str"/>
      <x:c r="F441" s="6" t="str">
        <x:v>健保申報</x:v>
      </x:c>
      <x:c r="G441" s="19" t="str">
        <x:v>◎</x:v>
      </x:c>
      <x:c r="H441" s="17" t="str">
        <x:v>熟練</x:v>
      </x:c>
      <x:c r="I441" s="6" t="n">
        <x:v>88</x:v>
      </x:c>
    </x:row>
    <x:row r="442">
      <x:c r="A442" s="13" t="str">
        <x:v>1019</x:v>
      </x:c>
      <x:c r="B442" s="14" t="str"/>
      <x:c r="C442" s="14" t="str">
        <x:v>Lv.6</x:v>
      </x:c>
      <x:c r="D442" s="14" t="str">
        <x:v>林晏妤醫師</x:v>
      </x:c>
      <x:c r="E442" s="6" t="str"/>
      <x:c r="F442" s="6" t="str">
        <x:v>舒眠手術</x:v>
      </x:c>
      <x:c r="G442" s="19" t="str">
        <x:v>◎</x:v>
      </x:c>
      <x:c r="H442" s="17" t="str">
        <x:v>熟練</x:v>
      </x:c>
      <x:c r="I442" s="6" t="n">
        <x:v>89</x:v>
      </x:c>
    </x:row>
    <x:row r="443">
      <x:c r="A443" s="13" t="str">
        <x:v>1019</x:v>
      </x:c>
      <x:c r="B443" s="14" t="str"/>
      <x:c r="C443" s="14" t="str">
        <x:v>Lv.6</x:v>
      </x:c>
      <x:c r="D443" s="14" t="str">
        <x:v>謝耀慶醫師</x:v>
      </x:c>
      <x:c r="E443" s="6" t="str">
        <x:v>器械準備</x:v>
      </x:c>
      <x:c r="F443" s="6" t="str">
        <x:v>洗牙</x:v>
      </x:c>
      <x:c r="G443" s="19" t="str">
        <x:v>◎</x:v>
      </x:c>
      <x:c r="H443" s="17" t="str">
        <x:v>熟練</x:v>
      </x:c>
      <x:c r="I443" s="6" t="n">
        <x:v>90</x:v>
      </x:c>
    </x:row>
    <x:row r="444">
      <x:c r="A444" s="13" t="str">
        <x:v>1019</x:v>
      </x:c>
      <x:c r="B444" s="14" t="str"/>
      <x:c r="C444" s="14" t="str">
        <x:v>Lv.6</x:v>
      </x:c>
      <x:c r="D444" s="14" t="str">
        <x:v>謝耀慶醫師</x:v>
      </x:c>
      <x:c r="E444" s="6" t="str">
        <x:v>器械準備</x:v>
      </x:c>
      <x:c r="F444" s="6" t="str">
        <x:v>補牙</x:v>
      </x:c>
      <x:c r="G444" s="19" t="str">
        <x:v>◎</x:v>
      </x:c>
      <x:c r="H444" s="17" t="str">
        <x:v>熟練</x:v>
      </x:c>
      <x:c r="I444" s="6" t="n">
        <x:v>91</x:v>
      </x:c>
    </x:row>
    <x:row r="445">
      <x:c r="A445" s="13" t="str">
        <x:v>1019</x:v>
      </x:c>
      <x:c r="B445" s="14" t="str"/>
      <x:c r="C445" s="14" t="str">
        <x:v>Lv.6</x:v>
      </x:c>
      <x:c r="D445" s="14" t="str">
        <x:v>謝耀慶醫師</x:v>
      </x:c>
      <x:c r="E445" s="6" t="str">
        <x:v>器械準備</x:v>
      </x:c>
      <x:c r="F445" s="6" t="str">
        <x:v>牙周統合治療</x:v>
      </x:c>
      <x:c r="G445" s="19" t="str"/>
      <x:c r="H445" s="17" t="str">
        <x:v>未評分</x:v>
      </x:c>
      <x:c r="I445" s="6" t="n">
        <x:v>92</x:v>
      </x:c>
    </x:row>
    <x:row r="446">
      <x:c r="A446" s="13" t="str">
        <x:v>1019</x:v>
      </x:c>
      <x:c r="B446" s="14" t="str"/>
      <x:c r="C446" s="14" t="str">
        <x:v>Lv.6</x:v>
      </x:c>
      <x:c r="D446" s="14" t="str">
        <x:v>謝耀慶醫師</x:v>
      </x:c>
      <x:c r="E446" s="6" t="str">
        <x:v>器械準備</x:v>
      </x:c>
      <x:c r="F446" s="6" t="str">
        <x:v>簡單拔牙</x:v>
      </x:c>
      <x:c r="G446" s="19" t="str"/>
      <x:c r="H446" s="17" t="str">
        <x:v>未評分</x:v>
      </x:c>
      <x:c r="I446" s="6" t="n">
        <x:v>93</x:v>
      </x:c>
    </x:row>
    <x:row r="447">
      <x:c r="A447" s="13" t="str">
        <x:v>1019</x:v>
      </x:c>
      <x:c r="B447" s="14" t="str"/>
      <x:c r="C447" s="14" t="str">
        <x:v>Lv.6</x:v>
      </x:c>
      <x:c r="D447" s="14" t="str">
        <x:v>謝耀慶醫師</x:v>
      </x:c>
      <x:c r="E447" s="6" t="str"/>
      <x:c r="F447" s="6" t="str">
        <x:v>器械熟悉度</x:v>
      </x:c>
      <x:c r="G447" s="19" t="str">
        <x:v>◎</x:v>
      </x:c>
      <x:c r="H447" s="17" t="str">
        <x:v>熟練</x:v>
      </x:c>
      <x:c r="I447" s="6" t="n">
        <x:v>94</x:v>
      </x:c>
    </x:row>
    <x:row r="448">
      <x:c r="A448" s="13" t="str">
        <x:v>1019</x:v>
      </x:c>
      <x:c r="B448" s="14" t="str"/>
      <x:c r="C448" s="14" t="str">
        <x:v>Lv.6</x:v>
      </x:c>
      <x:c r="D448" s="14" t="str">
        <x:v>謝耀慶醫師</x:v>
      </x:c>
      <x:c r="E448" s="6" t="str"/>
      <x:c r="F448" s="6" t="str">
        <x:v>跟診順暢度</x:v>
      </x:c>
      <x:c r="G448" s="19" t="str">
        <x:v>◎</x:v>
      </x:c>
      <x:c r="H448" s="17" t="str">
        <x:v>熟練</x:v>
      </x:c>
      <x:c r="I448" s="6" t="n">
        <x:v>95</x:v>
      </x:c>
    </x:row>
    <x:row r="449">
      <x:c r="A449" s="13" t="str">
        <x:v>1019</x:v>
      </x:c>
      <x:c r="B449" s="14" t="str"/>
      <x:c r="C449" s="14" t="str">
        <x:v>Lv.6</x:v>
      </x:c>
      <x:c r="D449" s="14" t="str">
        <x:v>謝耀慶醫師</x:v>
      </x:c>
      <x:c r="E449" s="6" t="str"/>
      <x:c r="F449" s="6" t="str">
        <x:v>病歷紀錄</x:v>
      </x:c>
      <x:c r="G449" s="19" t="str">
        <x:v>◎</x:v>
      </x:c>
      <x:c r="H449" s="17" t="str">
        <x:v>熟練</x:v>
      </x:c>
      <x:c r="I449" s="6" t="n">
        <x:v>96</x:v>
      </x:c>
    </x:row>
    <x:row r="450">
      <x:c r="A450" s="13" t="str">
        <x:v>1019</x:v>
      </x:c>
      <x:c r="B450" s="14" t="str"/>
      <x:c r="C450" s="14" t="str">
        <x:v>Lv.6</x:v>
      </x:c>
      <x:c r="D450" s="14" t="str">
        <x:v>謝耀慶醫師</x:v>
      </x:c>
      <x:c r="E450" s="6" t="str"/>
      <x:c r="F450" s="6" t="str">
        <x:v>X光片紀錄</x:v>
      </x:c>
      <x:c r="G450" s="19" t="str">
        <x:v>◎</x:v>
      </x:c>
      <x:c r="H450" s="17" t="str">
        <x:v>熟練</x:v>
      </x:c>
      <x:c r="I450" s="6" t="n">
        <x:v>97</x:v>
      </x:c>
    </x:row>
    <x:row r="451">
      <x:c r="A451" s="13" t="str">
        <x:v>1019</x:v>
      </x:c>
      <x:c r="B451" s="14" t="str"/>
      <x:c r="C451" s="14" t="str">
        <x:v>Lv.6</x:v>
      </x:c>
      <x:c r="D451" s="14" t="str">
        <x:v>謝耀慶醫師</x:v>
      </x:c>
      <x:c r="E451" s="6" t="str"/>
      <x:c r="F451" s="6" t="str">
        <x:v>手持X光機</x:v>
      </x:c>
      <x:c r="G451" s="19" t="str">
        <x:v>◎</x:v>
      </x:c>
      <x:c r="H451" s="17" t="str">
        <x:v>熟練</x:v>
      </x:c>
      <x:c r="I451" s="6" t="n">
        <x:v>98</x:v>
      </x:c>
    </x:row>
    <x:row r="452">
      <x:c r="A452" s="13" t="str">
        <x:v>1019</x:v>
      </x:c>
      <x:c r="B452" s="14" t="str"/>
      <x:c r="C452" s="14" t="str">
        <x:v>Lv.6</x:v>
      </x:c>
      <x:c r="D452" s="14" t="str">
        <x:v>謝耀慶醫師</x:v>
      </x:c>
      <x:c r="E452" s="6" t="str"/>
      <x:c r="F452" s="6" t="str">
        <x:v>健保申報</x:v>
      </x:c>
      <x:c r="G452" s="19" t="str">
        <x:v>◎</x:v>
      </x:c>
      <x:c r="H452" s="17" t="str">
        <x:v>熟練</x:v>
      </x:c>
      <x:c r="I452" s="6" t="n">
        <x:v>99</x:v>
      </x:c>
    </x:row>
    <x:row r="453">
      <x:c r="A453" s="13" t="str">
        <x:v>1019</x:v>
      </x:c>
      <x:c r="B453" s="14" t="str"/>
      <x:c r="C453" s="14" t="str">
        <x:v>Lv.6</x:v>
      </x:c>
      <x:c r="D453" s="14" t="str">
        <x:v>謝耀慶醫師</x:v>
      </x:c>
      <x:c r="E453" s="6" t="str"/>
      <x:c r="F453" s="6" t="str">
        <x:v>舒眠手術</x:v>
      </x:c>
      <x:c r="G453" s="19" t="str">
        <x:v>◎</x:v>
      </x:c>
      <x:c r="H453" s="17" t="str">
        <x:v>熟練</x:v>
      </x:c>
      <x:c r="I453" s="6" t="n">
        <x:v>100</x:v>
      </x:c>
    </x:row>
    <x:row r="454">
      <x:c r="A454" s="13" t="str">
        <x:v>1019</x:v>
      </x:c>
      <x:c r="B454" s="14" t="str"/>
      <x:c r="C454" s="14" t="str">
        <x:v>Lv.6</x:v>
      </x:c>
      <x:c r="D454" s="14" t="str">
        <x:v>陳醫師</x:v>
      </x:c>
      <x:c r="E454" s="6" t="str">
        <x:v>器械準備</x:v>
      </x:c>
      <x:c r="F454" s="6" t="str">
        <x:v>洗牙</x:v>
      </x:c>
      <x:c r="G454" s="19" t="str">
        <x:v>※</x:v>
      </x:c>
      <x:c r="H454" s="17" t="str">
        <x:v>學習中</x:v>
      </x:c>
      <x:c r="I454" s="6" t="n">
        <x:v>101</x:v>
      </x:c>
    </x:row>
    <x:row r="455">
      <x:c r="A455" s="13" t="str">
        <x:v>1019</x:v>
      </x:c>
      <x:c r="B455" s="14" t="str"/>
      <x:c r="C455" s="14" t="str">
        <x:v>Lv.6</x:v>
      </x:c>
      <x:c r="D455" s="14" t="str">
        <x:v>陳醫師</x:v>
      </x:c>
      <x:c r="E455" s="6" t="str">
        <x:v>器械準備</x:v>
      </x:c>
      <x:c r="F455" s="6" t="str">
        <x:v>補牙</x:v>
      </x:c>
      <x:c r="G455" s="19" t="str">
        <x:v>※</x:v>
      </x:c>
      <x:c r="H455" s="17" t="str">
        <x:v>學習中</x:v>
      </x:c>
      <x:c r="I455" s="6" t="n">
        <x:v>102</x:v>
      </x:c>
    </x:row>
    <x:row r="456">
      <x:c r="A456" s="13" t="str">
        <x:v>1019</x:v>
      </x:c>
      <x:c r="B456" s="14" t="str"/>
      <x:c r="C456" s="14" t="str">
        <x:v>Lv.6</x:v>
      </x:c>
      <x:c r="D456" s="14" t="str">
        <x:v>陳醫師</x:v>
      </x:c>
      <x:c r="E456" s="6" t="str">
        <x:v>器械準備</x:v>
      </x:c>
      <x:c r="F456" s="6" t="str">
        <x:v>根管治療</x:v>
      </x:c>
      <x:c r="G456" s="19" t="str">
        <x:v>※</x:v>
      </x:c>
      <x:c r="H456" s="17" t="str">
        <x:v>學習中</x:v>
      </x:c>
      <x:c r="I456" s="6" t="n">
        <x:v>103</x:v>
      </x:c>
    </x:row>
    <x:row r="457">
      <x:c r="A457" s="13" t="str">
        <x:v>1019</x:v>
      </x:c>
      <x:c r="B457" s="14" t="str"/>
      <x:c r="C457" s="14" t="str">
        <x:v>Lv.6</x:v>
      </x:c>
      <x:c r="D457" s="14" t="str">
        <x:v>陳醫師</x:v>
      </x:c>
      <x:c r="E457" s="6" t="str"/>
      <x:c r="F457" s="6" t="str">
        <x:v>跟診順暢度</x:v>
      </x:c>
      <x:c r="G457" s="19" t="str">
        <x:v>※</x:v>
      </x:c>
      <x:c r="H457" s="17" t="str">
        <x:v>學習中</x:v>
      </x:c>
      <x:c r="I457" s="6" t="n">
        <x:v>104</x:v>
      </x:c>
    </x:row>
    <x:row r="458">
      <x:c r="A458" s="13" t="str">
        <x:v>1019</x:v>
      </x:c>
      <x:c r="B458" s="14" t="str"/>
      <x:c r="C458" s="14" t="str">
        <x:v>Lv.6</x:v>
      </x:c>
      <x:c r="D458" s="14" t="str">
        <x:v>陳醫師</x:v>
      </x:c>
      <x:c r="E458" s="6" t="str"/>
      <x:c r="F458" s="6" t="str">
        <x:v>病歷紀錄</x:v>
      </x:c>
      <x:c r="G458" s="19" t="str">
        <x:v>※</x:v>
      </x:c>
      <x:c r="H458" s="17" t="str">
        <x:v>學習中</x:v>
      </x:c>
      <x:c r="I458" s="6" t="n">
        <x:v>105</x:v>
      </x:c>
    </x:row>
    <x:row r="459">
      <x:c r="A459" s="13" t="str">
        <x:v>1019</x:v>
      </x:c>
      <x:c r="B459" s="14" t="str"/>
      <x:c r="C459" s="14" t="str">
        <x:v>Lv.6</x:v>
      </x:c>
      <x:c r="D459" s="14" t="str">
        <x:v>陳醫師</x:v>
      </x:c>
      <x:c r="E459" s="6" t="str"/>
      <x:c r="F459" s="6" t="str">
        <x:v>拍PANO、PA</x:v>
      </x:c>
      <x:c r="G459" s="19" t="str">
        <x:v>※</x:v>
      </x:c>
      <x:c r="H459" s="17" t="str">
        <x:v>學習中</x:v>
      </x:c>
      <x:c r="I459" s="6" t="n">
        <x:v>106</x:v>
      </x:c>
    </x:row>
    <x:row r="460">
      <x:c r="A460" s="13" t="str">
        <x:v>1019</x:v>
      </x:c>
      <x:c r="B460" s="14" t="str"/>
      <x:c r="C460" s="14" t="str">
        <x:v>Lv.6</x:v>
      </x:c>
      <x:c r="D460" s="14" t="str">
        <x:v>陳醫師</x:v>
      </x:c>
      <x:c r="E460" s="6" t="str"/>
      <x:c r="F460" s="6" t="str">
        <x:v>X光片紀錄</x:v>
      </x:c>
      <x:c r="G460" s="19" t="str">
        <x:v>※</x:v>
      </x:c>
      <x:c r="H460" s="17" t="str">
        <x:v>學習中</x:v>
      </x:c>
      <x:c r="I460" s="6" t="n">
        <x:v>107</x:v>
      </x:c>
    </x:row>
    <x:row r="461">
      <x:c r="A461" s="13" t="str">
        <x:v>1019</x:v>
      </x:c>
      <x:c r="B461" s="14" t="str"/>
      <x:c r="C461" s="14" t="str">
        <x:v>Lv.6</x:v>
      </x:c>
      <x:c r="D461" s="14" t="str">
        <x:v>陳醫師</x:v>
      </x:c>
      <x:c r="E461" s="6" t="str"/>
      <x:c r="F461" s="6" t="str">
        <x:v>健保申報</x:v>
      </x:c>
      <x:c r="G461" s="19" t="str">
        <x:v>※</x:v>
      </x:c>
      <x:c r="H461" s="17" t="str">
        <x:v>學習中</x:v>
      </x:c>
      <x:c r="I461" s="6" t="n">
        <x:v>108</x:v>
      </x:c>
    </x:row>
    <x:row r="462">
      <x:c r="A462" s="13" t="str">
        <x:v>1019</x:v>
      </x:c>
      <x:c r="B462" s="14" t="str"/>
      <x:c r="C462" s="14" t="str">
        <x:v>Lv.6</x:v>
      </x:c>
      <x:c r="D462" s="14" t="str">
        <x:v>陳醫師</x:v>
      </x:c>
      <x:c r="E462" s="6" t="str"/>
      <x:c r="F462" s="6" t="str">
        <x:v>固定假牙</x:v>
      </x:c>
      <x:c r="G462" s="19" t="str">
        <x:v>※</x:v>
      </x:c>
      <x:c r="H462" s="17" t="str">
        <x:v>學習中</x:v>
      </x:c>
      <x:c r="I462" s="6" t="n">
        <x:v>109</x:v>
      </x:c>
    </x:row>
    <x:row r="463">
      <x:c r="A463" s="13" t="str">
        <x:v>1019</x:v>
      </x:c>
      <x:c r="B463" s="14" t="str"/>
      <x:c r="C463" s="14" t="str">
        <x:v>Lv.6</x:v>
      </x:c>
      <x:c r="D463" s="14" t="str">
        <x:v>陳醫師</x:v>
      </x:c>
      <x:c r="E463" s="6" t="str"/>
      <x:c r="F463" s="6" t="str">
        <x:v>顯微根管</x:v>
      </x:c>
      <x:c r="G463" s="19" t="str">
        <x:v>※</x:v>
      </x:c>
      <x:c r="H463" s="17" t="str">
        <x:v>學習中</x:v>
      </x:c>
      <x:c r="I463" s="6" t="n">
        <x:v>110</x:v>
      </x:c>
    </x:row>
    <x:row r="464">
      <x:c r="A464" s="13" t="str">
        <x:v>1019</x:v>
      </x:c>
      <x:c r="B464" s="14" t="str"/>
      <x:c r="C464" s="14" t="str">
        <x:v>Lv.6</x:v>
      </x:c>
      <x:c r="D464" s="14" t="str">
        <x:v>櫃台</x:v>
      </x:c>
      <x:c r="E464" s="6" t="str"/>
      <x:c r="F464" s="6" t="str">
        <x:v>掛號處理(含初診處理)開立一般收據及藥單</x:v>
      </x:c>
      <x:c r="G464" s="19" t="str">
        <x:v>◎</x:v>
      </x:c>
      <x:c r="H464" s="17" t="str">
        <x:v>熟練</x:v>
      </x:c>
      <x:c r="I464" s="6" t="n">
        <x:v>111</x:v>
      </x:c>
    </x:row>
    <x:row r="465">
      <x:c r="A465" s="13" t="str">
        <x:v>1019</x:v>
      </x:c>
      <x:c r="B465" s="14" t="str"/>
      <x:c r="C465" s="14" t="str">
        <x:v>Lv.6</x:v>
      </x:c>
      <x:c r="D465" s="14" t="str">
        <x:v>櫃台</x:v>
      </x:c>
      <x:c r="E465" s="6" t="str"/>
      <x:c r="F465" s="6" t="str">
        <x:v>收費紀錄</x:v>
      </x:c>
      <x:c r="G465" s="19" t="str">
        <x:v>◎</x:v>
      </x:c>
      <x:c r="H465" s="17" t="str">
        <x:v>熟練</x:v>
      </x:c>
      <x:c r="I465" s="6" t="n">
        <x:v>112</x:v>
      </x:c>
    </x:row>
    <x:row r="466">
      <x:c r="A466" s="13" t="str">
        <x:v>1019</x:v>
      </x:c>
      <x:c r="B466" s="14" t="str"/>
      <x:c r="C466" s="14" t="str">
        <x:v>Lv.6</x:v>
      </x:c>
      <x:c r="D466" s="14" t="str">
        <x:v>櫃台</x:v>
      </x:c>
      <x:c r="E466" s="6" t="str"/>
      <x:c r="F466" s="6" t="str">
        <x:v>病歷整理</x:v>
      </x:c>
      <x:c r="G466" s="19" t="str">
        <x:v>◎</x:v>
      </x:c>
      <x:c r="H466" s="17" t="str">
        <x:v>熟練</x:v>
      </x:c>
      <x:c r="I466" s="6" t="n">
        <x:v>113</x:v>
      </x:c>
    </x:row>
    <x:row r="467">
      <x:c r="A467" s="13" t="str">
        <x:v>1019</x:v>
      </x:c>
      <x:c r="B467" s="14" t="str"/>
      <x:c r="C467" s="14" t="str">
        <x:v>Lv.6</x:v>
      </x:c>
      <x:c r="D467" s="14" t="str">
        <x:v>櫃台</x:v>
      </x:c>
      <x:c r="E467" s="6" t="str"/>
      <x:c r="F467" s="6" t="str">
        <x:v>治療同意書填寫</x:v>
      </x:c>
      <x:c r="G467" s="19" t="str">
        <x:v>◎</x:v>
      </x:c>
      <x:c r="H467" s="17" t="str">
        <x:v>熟練</x:v>
      </x:c>
      <x:c r="I467" s="6" t="n">
        <x:v>114</x:v>
      </x:c>
    </x:row>
    <x:row r="468">
      <x:c r="A468" s="13" t="str">
        <x:v>1019</x:v>
      </x:c>
      <x:c r="B468" s="14" t="str"/>
      <x:c r="C468" s="14" t="str">
        <x:v>Lv.6</x:v>
      </x:c>
      <x:c r="D468" s="14" t="str">
        <x:v>櫃台</x:v>
      </x:c>
      <x:c r="E468" s="6" t="str"/>
      <x:c r="F468" s="6" t="str">
        <x:v>與患者應對</x:v>
      </x:c>
      <x:c r="G468" s="19" t="str">
        <x:v>◎</x:v>
      </x:c>
      <x:c r="H468" s="17" t="str">
        <x:v>熟練</x:v>
      </x:c>
      <x:c r="I468" s="6" t="n">
        <x:v>115</x:v>
      </x:c>
    </x:row>
    <x:row r="469">
      <x:c r="A469" s="13" t="str">
        <x:v>1019</x:v>
      </x:c>
      <x:c r="B469" s="14" t="str"/>
      <x:c r="C469" s="14" t="str">
        <x:v>Lv.6</x:v>
      </x:c>
      <x:c r="D469" s="14" t="str">
        <x:v>櫃台</x:v>
      </x:c>
      <x:c r="E469" s="6" t="str"/>
      <x:c r="F469" s="6" t="str">
        <x:v>約診</x:v>
      </x:c>
      <x:c r="G469" s="19" t="str">
        <x:v>◎</x:v>
      </x:c>
      <x:c r="H469" s="17" t="str">
        <x:v>熟練</x:v>
      </x:c>
      <x:c r="I469" s="6" t="n">
        <x:v>116</x:v>
      </x:c>
    </x:row>
    <x:row r="470">
      <x:c r="A470" s="13" t="str">
        <x:v>1019</x:v>
      </x:c>
      <x:c r="B470" s="14" t="str"/>
      <x:c r="C470" s="14" t="str">
        <x:v>Lv.6</x:v>
      </x:c>
      <x:c r="D470" s="14" t="str">
        <x:v>櫃台</x:v>
      </x:c>
      <x:c r="E470" s="6" t="str"/>
      <x:c r="F470" s="6" t="str">
        <x:v>報表製作</x:v>
      </x:c>
      <x:c r="G470" s="19" t="str">
        <x:v>◎</x:v>
      </x:c>
      <x:c r="H470" s="17" t="str">
        <x:v>熟練</x:v>
      </x:c>
      <x:c r="I470" s="6" t="n">
        <x:v>117</x:v>
      </x:c>
    </x:row>
    <x:row r="471">
      <x:c r="A471" s="13" t="str">
        <x:v>1019</x:v>
      </x:c>
      <x:c r="B471" s="14" t="str"/>
      <x:c r="C471" s="14" t="str">
        <x:v>Lv.6</x:v>
      </x:c>
      <x:c r="D471" s="14" t="str">
        <x:v>櫃台</x:v>
      </x:c>
      <x:c r="E471" s="6" t="str"/>
      <x:c r="F471" s="6" t="str">
        <x:v>診斷證明書</x:v>
      </x:c>
      <x:c r="G471" s="19" t="str">
        <x:v>◎</x:v>
      </x:c>
      <x:c r="H471" s="17" t="str">
        <x:v>熟練</x:v>
      </x:c>
      <x:c r="I471" s="6" t="n">
        <x:v>118</x:v>
      </x:c>
    </x:row>
    <x:row r="472">
      <x:c r="A472" s="13" t="str">
        <x:v>1019</x:v>
      </x:c>
      <x:c r="B472" s="14" t="str"/>
      <x:c r="C472" s="14" t="str">
        <x:v>Lv.6</x:v>
      </x:c>
      <x:c r="D472" s="14" t="str">
        <x:v>櫃台</x:v>
      </x:c>
      <x:c r="E472" s="6" t="str"/>
      <x:c r="F472" s="6" t="str">
        <x:v>牙統VPN</x:v>
      </x:c>
      <x:c r="G472" s="19" t="str">
        <x:v>◎</x:v>
      </x:c>
      <x:c r="H472" s="17" t="str">
        <x:v>熟練</x:v>
      </x:c>
      <x:c r="I472" s="6" t="n">
        <x:v>119</x:v>
      </x:c>
    </x:row>
    <x:row r="473">
      <x:c r="A473" s="13" t="str">
        <x:v>1019</x:v>
      </x:c>
      <x:c r="B473" s="14" t="str"/>
      <x:c r="C473" s="14" t="str">
        <x:v>Lv.6</x:v>
      </x:c>
      <x:c r="D473" s="14" t="str">
        <x:v>櫃台</x:v>
      </x:c>
      <x:c r="E473" s="6" t="str"/>
      <x:c r="F473" s="6" t="str">
        <x:v>病歷檢查核對</x:v>
      </x:c>
      <x:c r="G473" s="19" t="str">
        <x:v>◎</x:v>
      </x:c>
      <x:c r="H473" s="17" t="str">
        <x:v>熟練</x:v>
      </x:c>
      <x:c r="I473" s="6" t="n">
        <x:v>120</x:v>
      </x:c>
    </x:row>
    <x:row r="474">
      <x:c r="A474" s="13" t="str">
        <x:v>1019</x:v>
      </x:c>
      <x:c r="B474" s="14" t="str"/>
      <x:c r="C474" s="14" t="str">
        <x:v>Lv.6</x:v>
      </x:c>
      <x:c r="D474" s="14" t="str">
        <x:v>櫃台</x:v>
      </x:c>
      <x:c r="E474" s="6" t="str"/>
      <x:c r="F474" s="6" t="str">
        <x:v>抽審資料處理</x:v>
      </x:c>
      <x:c r="G474" s="19" t="str">
        <x:v>◎</x:v>
      </x:c>
      <x:c r="H474" s="17" t="str">
        <x:v>熟練</x:v>
      </x:c>
      <x:c r="I474" s="6" t="n">
        <x:v>121</x:v>
      </x:c>
    </x:row>
    <x:row r="475">
      <x:c r="A475" s="13" t="str">
        <x:v>1020</x:v>
      </x:c>
      <x:c r="B475" s="14" t="str"/>
      <x:c r="C475" s="14" t="str">
        <x:v>Lv.5</x:v>
      </x:c>
      <x:c r="D475" s="14" t="str">
        <x:v>流動工作</x:v>
      </x:c>
      <x:c r="E475" s="6" t="str"/>
      <x:c r="F475" s="6" t="str">
        <x:v>撤備台</x:v>
      </x:c>
      <x:c r="G475" s="19" t="str">
        <x:v>◎</x:v>
      </x:c>
      <x:c r="H475" s="17" t="str">
        <x:v>熟練</x:v>
      </x:c>
      <x:c r="I475" s="6" t="n">
        <x:v>5</x:v>
      </x:c>
    </x:row>
    <x:row r="476">
      <x:c r="A476" s="13" t="str">
        <x:v>1020</x:v>
      </x:c>
      <x:c r="B476" s="14" t="str"/>
      <x:c r="C476" s="14" t="str">
        <x:v>Lv.5</x:v>
      </x:c>
      <x:c r="D476" s="14" t="str">
        <x:v>流動工作</x:v>
      </x:c>
      <x:c r="E476" s="6" t="str"/>
      <x:c r="F476" s="6" t="str">
        <x:v>器械清消流程</x:v>
      </x:c>
      <x:c r="G476" s="19" t="str">
        <x:v>◎</x:v>
      </x:c>
      <x:c r="H476" s="17" t="str">
        <x:v>熟練</x:v>
      </x:c>
      <x:c r="I476" s="6" t="n">
        <x:v>6</x:v>
      </x:c>
    </x:row>
    <x:row r="477">
      <x:c r="A477" s="13" t="str">
        <x:v>1020</x:v>
      </x:c>
      <x:c r="B477" s="14" t="str"/>
      <x:c r="C477" s="14" t="str">
        <x:v>Lv.5</x:v>
      </x:c>
      <x:c r="D477" s="14" t="str">
        <x:v>流動工作</x:v>
      </x:c>
      <x:c r="E477" s="6" t="str"/>
      <x:c r="F477" s="6" t="str">
        <x:v>認識治療項目</x:v>
      </x:c>
      <x:c r="G477" s="19" t="str">
        <x:v>◎</x:v>
      </x:c>
      <x:c r="H477" s="17" t="str">
        <x:v>熟練</x:v>
      </x:c>
      <x:c r="I477" s="6" t="n">
        <x:v>7</x:v>
      </x:c>
    </x:row>
    <x:row r="478">
      <x:c r="A478" s="13" t="str">
        <x:v>1020</x:v>
      </x:c>
      <x:c r="B478" s="14" t="str"/>
      <x:c r="C478" s="14" t="str">
        <x:v>Lv.5</x:v>
      </x:c>
      <x:c r="D478" s="14" t="str">
        <x:v>流動工作</x:v>
      </x:c>
      <x:c r="E478" s="6" t="str"/>
      <x:c r="F478" s="6" t="str">
        <x:v>替代跟診人員灌模</x:v>
      </x:c>
      <x:c r="G478" s="19" t="str">
        <x:v>◎</x:v>
      </x:c>
      <x:c r="H478" s="17" t="str">
        <x:v>熟練</x:v>
      </x:c>
      <x:c r="I478" s="6" t="n">
        <x:v>8</x:v>
      </x:c>
    </x:row>
    <x:row r="479">
      <x:c r="A479" s="13" t="str">
        <x:v>1020</x:v>
      </x:c>
      <x:c r="B479" s="14" t="str"/>
      <x:c r="C479" s="14" t="str">
        <x:v>Lv.5</x:v>
      </x:c>
      <x:c r="D479" s="14" t="str">
        <x:v>流動工作</x:v>
      </x:c>
      <x:c r="E479" s="6" t="str"/>
      <x:c r="F479" s="6" t="str">
        <x:v>拍攝X光片(PANO)</x:v>
      </x:c>
      <x:c r="G479" s="19" t="str">
        <x:v>◎</x:v>
      </x:c>
      <x:c r="H479" s="17" t="str">
        <x:v>熟練</x:v>
      </x:c>
      <x:c r="I479" s="6" t="n">
        <x:v>9</x:v>
      </x:c>
    </x:row>
    <x:row r="480">
      <x:c r="A480" s="13" t="str">
        <x:v>1020</x:v>
      </x:c>
      <x:c r="B480" s="14" t="str"/>
      <x:c r="C480" s="14" t="str">
        <x:v>Lv.5</x:v>
      </x:c>
      <x:c r="D480" s="14" t="str">
        <x:v>流動工作</x:v>
      </x:c>
      <x:c r="E480" s="6" t="str"/>
      <x:c r="F480" s="6" t="str">
        <x:v>拍攝根尖片(用鱷魚夾)</x:v>
      </x:c>
      <x:c r="G480" s="19" t="str">
        <x:v>◎</x:v>
      </x:c>
      <x:c r="H480" s="17" t="str">
        <x:v>熟練</x:v>
      </x:c>
      <x:c r="I480" s="6" t="n">
        <x:v>10</x:v>
      </x:c>
    </x:row>
    <x:row r="481">
      <x:c r="A481" s="13" t="str">
        <x:v>1020</x:v>
      </x:c>
      <x:c r="B481" s="14" t="str"/>
      <x:c r="C481" s="14" t="str">
        <x:v>Lv.5</x:v>
      </x:c>
      <x:c r="D481" s="14" t="str">
        <x:v>流動工作</x:v>
      </x:c>
      <x:c r="E481" s="6" t="str"/>
      <x:c r="F481" s="6" t="str">
        <x:v>拍攝根尖片(手壓片)</x:v>
      </x:c>
      <x:c r="G481" s="19" t="str">
        <x:v>◎</x:v>
      </x:c>
      <x:c r="H481" s="17" t="str">
        <x:v>熟練</x:v>
      </x:c>
      <x:c r="I481" s="6" t="n">
        <x:v>11</x:v>
      </x:c>
    </x:row>
    <x:row r="482">
      <x:c r="A482" s="13" t="str">
        <x:v>1020</x:v>
      </x:c>
      <x:c r="B482" s="14" t="str"/>
      <x:c r="C482" s="14" t="str">
        <x:v>Lv.5</x:v>
      </x:c>
      <x:c r="D482" s="14" t="str">
        <x:v>流動工作</x:v>
      </x:c>
      <x:c r="E482" s="6" t="str"/>
      <x:c r="F482" s="6" t="str">
        <x:v>開、關診工作</x:v>
      </x:c>
      <x:c r="G482" s="19" t="str">
        <x:v>◎</x:v>
      </x:c>
      <x:c r="H482" s="17" t="str">
        <x:v>熟練</x:v>
      </x:c>
      <x:c r="I482" s="6" t="n">
        <x:v>12</x:v>
      </x:c>
    </x:row>
    <x:row r="483">
      <x:c r="A483" s="13" t="str">
        <x:v>1020</x:v>
      </x:c>
      <x:c r="B483" s="14" t="str"/>
      <x:c r="C483" s="14" t="str">
        <x:v>Lv.5</x:v>
      </x:c>
      <x:c r="D483" s="14" t="str">
        <x:v>流動工作</x:v>
      </x:c>
      <x:c r="E483" s="6" t="str"/>
      <x:c r="F483" s="6" t="str">
        <x:v>備品補充+器械安全庫存</x:v>
      </x:c>
      <x:c r="G483" s="19" t="str">
        <x:v>◎</x:v>
      </x:c>
      <x:c r="H483" s="17" t="str">
        <x:v>熟練</x:v>
      </x:c>
      <x:c r="I483" s="6" t="n">
        <x:v>13</x:v>
      </x:c>
    </x:row>
    <x:row r="484">
      <x:c r="A484" s="13" t="str">
        <x:v>1020</x:v>
      </x:c>
      <x:c r="B484" s="14" t="str"/>
      <x:c r="C484" s="14" t="str">
        <x:v>Lv.5</x:v>
      </x:c>
      <x:c r="D484" s="14" t="str">
        <x:v>衛教</x:v>
      </x:c>
      <x:c r="E484" s="6" t="str"/>
      <x:c r="F484" s="6" t="str">
        <x:v>基礎衛教</x:v>
      </x:c>
      <x:c r="G484" s="19" t="str">
        <x:v>◎</x:v>
      </x:c>
      <x:c r="H484" s="17" t="str">
        <x:v>熟練</x:v>
      </x:c>
      <x:c r="I484" s="6" t="n">
        <x:v>14</x:v>
      </x:c>
    </x:row>
    <x:row r="485">
      <x:c r="A485" s="13" t="str">
        <x:v>1020</x:v>
      </x:c>
      <x:c r="B485" s="14" t="str"/>
      <x:c r="C485" s="14" t="str">
        <x:v>Lv.5</x:v>
      </x:c>
      <x:c r="D485" s="14" t="str">
        <x:v>衛教</x:v>
      </x:c>
      <x:c r="E485" s="6" t="str"/>
      <x:c r="F485" s="6" t="str">
        <x:v>進階衛教</x:v>
      </x:c>
      <x:c r="G485" s="19" t="str">
        <x:v>◎</x:v>
      </x:c>
      <x:c r="H485" s="17" t="str">
        <x:v>熟練</x:v>
      </x:c>
      <x:c r="I485" s="6" t="n">
        <x:v>15</x:v>
      </x:c>
    </x:row>
    <x:row r="486">
      <x:c r="A486" s="13" t="str">
        <x:v>1020</x:v>
      </x:c>
      <x:c r="B486" s="14" t="str"/>
      <x:c r="C486" s="14" t="str">
        <x:v>Lv.5</x:v>
      </x:c>
      <x:c r="D486" s="14" t="str">
        <x:v>李柄輝醫師</x:v>
      </x:c>
      <x:c r="E486" s="6" t="str">
        <x:v>器械準備</x:v>
      </x:c>
      <x:c r="F486" s="6" t="str">
        <x:v>洗牙</x:v>
      </x:c>
      <x:c r="G486" s="19" t="str">
        <x:v>◎</x:v>
      </x:c>
      <x:c r="H486" s="17" t="str">
        <x:v>熟練</x:v>
      </x:c>
      <x:c r="I486" s="6" t="n">
        <x:v>16</x:v>
      </x:c>
    </x:row>
    <x:row r="487">
      <x:c r="A487" s="13" t="str">
        <x:v>1020</x:v>
      </x:c>
      <x:c r="B487" s="14" t="str"/>
      <x:c r="C487" s="14" t="str">
        <x:v>Lv.5</x:v>
      </x:c>
      <x:c r="D487" s="14" t="str">
        <x:v>李柄輝醫師</x:v>
      </x:c>
      <x:c r="E487" s="6" t="str">
        <x:v>器械準備</x:v>
      </x:c>
      <x:c r="F487" s="6" t="str">
        <x:v>補牙</x:v>
      </x:c>
      <x:c r="G487" s="19" t="str">
        <x:v>◎</x:v>
      </x:c>
      <x:c r="H487" s="17" t="str">
        <x:v>熟練</x:v>
      </x:c>
      <x:c r="I487" s="6" t="n">
        <x:v>17</x:v>
      </x:c>
    </x:row>
    <x:row r="488">
      <x:c r="A488" s="13" t="str">
        <x:v>1020</x:v>
      </x:c>
      <x:c r="B488" s="14" t="str"/>
      <x:c r="C488" s="14" t="str">
        <x:v>Lv.5</x:v>
      </x:c>
      <x:c r="D488" s="14" t="str">
        <x:v>李柄輝醫師</x:v>
      </x:c>
      <x:c r="E488" s="6" t="str">
        <x:v>器械準備</x:v>
      </x:c>
      <x:c r="F488" s="6" t="str">
        <x:v>牙周統合</x:v>
      </x:c>
      <x:c r="G488" s="19" t="str">
        <x:v>◎</x:v>
      </x:c>
      <x:c r="H488" s="17" t="str">
        <x:v>熟練</x:v>
      </x:c>
      <x:c r="I488" s="6" t="n">
        <x:v>18</x:v>
      </x:c>
    </x:row>
    <x:row r="489">
      <x:c r="A489" s="13" t="str">
        <x:v>1020</x:v>
      </x:c>
      <x:c r="B489" s="14" t="str"/>
      <x:c r="C489" s="14" t="str">
        <x:v>Lv.5</x:v>
      </x:c>
      <x:c r="D489" s="14" t="str">
        <x:v>李柄輝醫師</x:v>
      </x:c>
      <x:c r="E489" s="6" t="str">
        <x:v>器械準備</x:v>
      </x:c>
      <x:c r="F489" s="6" t="str">
        <x:v>根管治療(插針照)</x:v>
      </x:c>
      <x:c r="G489" s="19" t="str">
        <x:v>◎</x:v>
      </x:c>
      <x:c r="H489" s="17" t="str">
        <x:v>熟練</x:v>
      </x:c>
      <x:c r="I489" s="6" t="n">
        <x:v>19</x:v>
      </x:c>
    </x:row>
    <x:row r="490">
      <x:c r="A490" s="13" t="str">
        <x:v>1020</x:v>
      </x:c>
      <x:c r="B490" s="14" t="str"/>
      <x:c r="C490" s="14" t="str">
        <x:v>Lv.5</x:v>
      </x:c>
      <x:c r="D490" s="14" t="str">
        <x:v>李柄輝醫師</x:v>
      </x:c>
      <x:c r="E490" s="6" t="str">
        <x:v>器械準備</x:v>
      </x:c>
      <x:c r="F490" s="6" t="str">
        <x:v>拆crown/post</x:v>
      </x:c>
      <x:c r="G490" s="19" t="str">
        <x:v>◎</x:v>
      </x:c>
      <x:c r="H490" s="17" t="str">
        <x:v>熟練</x:v>
      </x:c>
      <x:c r="I490" s="6" t="n">
        <x:v>20</x:v>
      </x:c>
    </x:row>
    <x:row r="491">
      <x:c r="A491" s="13" t="str">
        <x:v>1020</x:v>
      </x:c>
      <x:c r="B491" s="14" t="str"/>
      <x:c r="C491" s="14" t="str">
        <x:v>Lv.5</x:v>
      </x:c>
      <x:c r="D491" s="14" t="str">
        <x:v>李柄輝醫師</x:v>
      </x:c>
      <x:c r="E491" s="6" t="str">
        <x:v>器械準備</x:v>
      </x:c>
      <x:c r="F491" s="6" t="str">
        <x:v>拔牙</x:v>
      </x:c>
      <x:c r="G491" s="19" t="str">
        <x:v>◎</x:v>
      </x:c>
      <x:c r="H491" s="17" t="str">
        <x:v>熟練</x:v>
      </x:c>
      <x:c r="I491" s="6" t="n">
        <x:v>21</x:v>
      </x:c>
    </x:row>
    <x:row r="492">
      <x:c r="A492" s="13" t="str">
        <x:v>1020</x:v>
      </x:c>
      <x:c r="B492" s="14" t="str"/>
      <x:c r="C492" s="14" t="str">
        <x:v>Lv.5</x:v>
      </x:c>
      <x:c r="D492" s="14" t="str">
        <x:v>李柄輝醫師</x:v>
      </x:c>
      <x:c r="E492" s="6" t="str">
        <x:v>自費</x:v>
      </x:c>
      <x:c r="F492" s="6" t="str">
        <x:v>固定假牙(黏著劑)</x:v>
      </x:c>
      <x:c r="G492" s="19" t="str">
        <x:v>◎</x:v>
      </x:c>
      <x:c r="H492" s="17" t="str">
        <x:v>熟練</x:v>
      </x:c>
      <x:c r="I492" s="6" t="n">
        <x:v>22</x:v>
      </x:c>
    </x:row>
    <x:row r="493">
      <x:c r="A493" s="13" t="str">
        <x:v>1020</x:v>
      </x:c>
      <x:c r="B493" s="14" t="str"/>
      <x:c r="C493" s="14" t="str">
        <x:v>Lv.5</x:v>
      </x:c>
      <x:c r="D493" s="14" t="str">
        <x:v>李柄輝醫師</x:v>
      </x:c>
      <x:c r="E493" s="6" t="str"/>
      <x:c r="F493" s="6" t="str">
        <x:v>跟診順暢度</x:v>
      </x:c>
      <x:c r="G493" s="19" t="str">
        <x:v>◎</x:v>
      </x:c>
      <x:c r="H493" s="17" t="str">
        <x:v>熟練</x:v>
      </x:c>
      <x:c r="I493" s="6" t="n">
        <x:v>23</x:v>
      </x:c>
    </x:row>
    <x:row r="494">
      <x:c r="A494" s="13" t="str">
        <x:v>1020</x:v>
      </x:c>
      <x:c r="B494" s="14" t="str"/>
      <x:c r="C494" s="14" t="str">
        <x:v>Lv.5</x:v>
      </x:c>
      <x:c r="D494" s="14" t="str">
        <x:v>李柄輝醫師</x:v>
      </x:c>
      <x:c r="E494" s="6" t="str"/>
      <x:c r="F494" s="6" t="str">
        <x:v>病歷紀錄</x:v>
      </x:c>
      <x:c r="G494" s="19" t="str">
        <x:v>◎</x:v>
      </x:c>
      <x:c r="H494" s="17" t="str">
        <x:v>熟練</x:v>
      </x:c>
      <x:c r="I494" s="6" t="n">
        <x:v>24</x:v>
      </x:c>
    </x:row>
    <x:row r="495">
      <x:c r="A495" s="13" t="str">
        <x:v>1020</x:v>
      </x:c>
      <x:c r="B495" s="14" t="str"/>
      <x:c r="C495" s="14" t="str">
        <x:v>Lv.5</x:v>
      </x:c>
      <x:c r="D495" s="14" t="str">
        <x:v>李柄輝醫師</x:v>
      </x:c>
      <x:c r="E495" s="6" t="str"/>
      <x:c r="F495" s="6" t="str">
        <x:v>健保申報</x:v>
      </x:c>
      <x:c r="G495" s="19" t="str">
        <x:v>◎</x:v>
      </x:c>
      <x:c r="H495" s="17" t="str">
        <x:v>熟練</x:v>
      </x:c>
      <x:c r="I495" s="6" t="n">
        <x:v>25</x:v>
      </x:c>
    </x:row>
    <x:row r="496">
      <x:c r="A496" s="13" t="str">
        <x:v>1020</x:v>
      </x:c>
      <x:c r="B496" s="14" t="str"/>
      <x:c r="C496" s="14" t="str">
        <x:v>Lv.5</x:v>
      </x:c>
      <x:c r="D496" s="14" t="str">
        <x:v>李柄輝醫師</x:v>
      </x:c>
      <x:c r="E496" s="6" t="str"/>
      <x:c r="F496" s="6" t="str">
        <x:v>X光片紀錄</x:v>
      </x:c>
      <x:c r="G496" s="19" t="str">
        <x:v>◎</x:v>
      </x:c>
      <x:c r="H496" s="17" t="str">
        <x:v>熟練</x:v>
      </x:c>
      <x:c r="I496" s="6" t="n">
        <x:v>26</x:v>
      </x:c>
    </x:row>
    <x:row r="497">
      <x:c r="A497" s="13" t="str">
        <x:v>1020</x:v>
      </x:c>
      <x:c r="B497" s="14" t="str"/>
      <x:c r="C497" s="14" t="str">
        <x:v>Lv.5</x:v>
      </x:c>
      <x:c r="D497" s="14" t="str">
        <x:v>李柄輝醫師</x:v>
      </x:c>
      <x:c r="E497" s="6" t="str"/>
      <x:c r="F497" s="6" t="str">
        <x:v>拍PA</x:v>
      </x:c>
      <x:c r="G497" s="19" t="str">
        <x:v>◎</x:v>
      </x:c>
      <x:c r="H497" s="17" t="str">
        <x:v>熟練</x:v>
      </x:c>
      <x:c r="I497" s="6" t="n">
        <x:v>27</x:v>
      </x:c>
    </x:row>
    <x:row r="498">
      <x:c r="A498" s="13" t="str">
        <x:v>1020</x:v>
      </x:c>
      <x:c r="B498" s="14" t="str"/>
      <x:c r="C498" s="14" t="str">
        <x:v>Lv.5</x:v>
      </x:c>
      <x:c r="D498" s="14" t="str">
        <x:v>李侑津醫師</x:v>
      </x:c>
      <x:c r="E498" s="6" t="str">
        <x:v>器械準備</x:v>
      </x:c>
      <x:c r="F498" s="6" t="str">
        <x:v>洗牙</x:v>
      </x:c>
      <x:c r="G498" s="19" t="str">
        <x:v>◎</x:v>
      </x:c>
      <x:c r="H498" s="17" t="str">
        <x:v>熟練</x:v>
      </x:c>
      <x:c r="I498" s="6" t="n">
        <x:v>28</x:v>
      </x:c>
    </x:row>
    <x:row r="499">
      <x:c r="A499" s="13" t="str">
        <x:v>1020</x:v>
      </x:c>
      <x:c r="B499" s="14" t="str"/>
      <x:c r="C499" s="14" t="str">
        <x:v>Lv.5</x:v>
      </x:c>
      <x:c r="D499" s="14" t="str">
        <x:v>李侑津醫師</x:v>
      </x:c>
      <x:c r="E499" s="6" t="str">
        <x:v>器械準備</x:v>
      </x:c>
      <x:c r="F499" s="6" t="str">
        <x:v>補牙</x:v>
      </x:c>
      <x:c r="G499" s="19" t="str">
        <x:v>◎</x:v>
      </x:c>
      <x:c r="H499" s="17" t="str">
        <x:v>熟練</x:v>
      </x:c>
      <x:c r="I499" s="6" t="n">
        <x:v>29</x:v>
      </x:c>
    </x:row>
    <x:row r="500">
      <x:c r="A500" s="13" t="str">
        <x:v>1020</x:v>
      </x:c>
      <x:c r="B500" s="14" t="str"/>
      <x:c r="C500" s="14" t="str">
        <x:v>Lv.5</x:v>
      </x:c>
      <x:c r="D500" s="14" t="str">
        <x:v>李侑津醫師</x:v>
      </x:c>
      <x:c r="E500" s="6" t="str">
        <x:v>器械準備</x:v>
      </x:c>
      <x:c r="F500" s="6" t="str">
        <x:v>牙周統合</x:v>
      </x:c>
      <x:c r="G500" s="19" t="str">
        <x:v>◎</x:v>
      </x:c>
      <x:c r="H500" s="17" t="str">
        <x:v>熟練</x:v>
      </x:c>
      <x:c r="I500" s="6" t="n">
        <x:v>30</x:v>
      </x:c>
    </x:row>
    <x:row r="501">
      <x:c r="A501" s="13" t="str">
        <x:v>1020</x:v>
      </x:c>
      <x:c r="B501" s="14" t="str"/>
      <x:c r="C501" s="14" t="str">
        <x:v>Lv.5</x:v>
      </x:c>
      <x:c r="D501" s="14" t="str">
        <x:v>李侑津醫師</x:v>
      </x:c>
      <x:c r="E501" s="6" t="str">
        <x:v>器械準備</x:v>
      </x:c>
      <x:c r="F501" s="6" t="str">
        <x:v>根管治療</x:v>
      </x:c>
      <x:c r="G501" s="19" t="str">
        <x:v>◎</x:v>
      </x:c>
      <x:c r="H501" s="17" t="str">
        <x:v>熟練</x:v>
      </x:c>
      <x:c r="I501" s="6" t="n">
        <x:v>31</x:v>
      </x:c>
    </x:row>
    <x:row r="502">
      <x:c r="A502" s="13" t="str">
        <x:v>1020</x:v>
      </x:c>
      <x:c r="B502" s="14" t="str"/>
      <x:c r="C502" s="14" t="str">
        <x:v>Lv.5</x:v>
      </x:c>
      <x:c r="D502" s="14" t="str">
        <x:v>李侑津醫師</x:v>
      </x:c>
      <x:c r="E502" s="6" t="str">
        <x:v>器械準備</x:v>
      </x:c>
      <x:c r="F502" s="6" t="str">
        <x:v>拔牙</x:v>
      </x:c>
      <x:c r="G502" s="19" t="str">
        <x:v>◎</x:v>
      </x:c>
      <x:c r="H502" s="17" t="str">
        <x:v>熟練</x:v>
      </x:c>
      <x:c r="I502" s="6" t="n">
        <x:v>32</x:v>
      </x:c>
    </x:row>
    <x:row r="503">
      <x:c r="A503" s="13" t="str">
        <x:v>1020</x:v>
      </x:c>
      <x:c r="B503" s="14" t="str"/>
      <x:c r="C503" s="14" t="str">
        <x:v>Lv.5</x:v>
      </x:c>
      <x:c r="D503" s="14" t="str">
        <x:v>李侑津醫師</x:v>
      </x:c>
      <x:c r="E503" s="6" t="str">
        <x:v>器械準備</x:v>
      </x:c>
      <x:c r="F503" s="6" t="str">
        <x:v>拆 crown/post</x:v>
      </x:c>
      <x:c r="G503" s="19" t="str">
        <x:v>◎</x:v>
      </x:c>
      <x:c r="H503" s="17" t="str">
        <x:v>熟練</x:v>
      </x:c>
      <x:c r="I503" s="6" t="n">
        <x:v>33</x:v>
      </x:c>
    </x:row>
    <x:row r="504">
      <x:c r="A504" s="13" t="str">
        <x:v>1020</x:v>
      </x:c>
      <x:c r="B504" s="14" t="str"/>
      <x:c r="C504" s="14" t="str">
        <x:v>Lv.5</x:v>
      </x:c>
      <x:c r="D504" s="14" t="str">
        <x:v>李侑津醫師</x:v>
      </x:c>
      <x:c r="E504" s="6" t="str">
        <x:v>自費</x:v>
      </x:c>
      <x:c r="F504" s="6" t="str">
        <x:v>固定假牙</x:v>
      </x:c>
      <x:c r="G504" s="19" t="str">
        <x:v>◎</x:v>
      </x:c>
      <x:c r="H504" s="17" t="str">
        <x:v>熟練</x:v>
      </x:c>
      <x:c r="I504" s="6" t="n">
        <x:v>34</x:v>
      </x:c>
    </x:row>
    <x:row r="505">
      <x:c r="A505" s="13" t="str">
        <x:v>1020</x:v>
      </x:c>
      <x:c r="B505" s="14" t="str"/>
      <x:c r="C505" s="14" t="str">
        <x:v>Lv.5</x:v>
      </x:c>
      <x:c r="D505" s="14" t="str">
        <x:v>李侑津醫師</x:v>
      </x:c>
      <x:c r="E505" s="6" t="str">
        <x:v>自費</x:v>
      </x:c>
      <x:c r="F505" s="6" t="str">
        <x:v>RPD</x:v>
      </x:c>
      <x:c r="G505" s="19" t="str">
        <x:v>◎</x:v>
      </x:c>
      <x:c r="H505" s="17" t="str">
        <x:v>熟練</x:v>
      </x:c>
      <x:c r="I505" s="6" t="n">
        <x:v>35</x:v>
      </x:c>
    </x:row>
    <x:row r="506">
      <x:c r="A506" s="13" t="str">
        <x:v>1020</x:v>
      </x:c>
      <x:c r="B506" s="14" t="str"/>
      <x:c r="C506" s="14" t="str">
        <x:v>Lv.5</x:v>
      </x:c>
      <x:c r="D506" s="14" t="str">
        <x:v>李侑津醫師</x:v>
      </x:c>
      <x:c r="E506" s="6" t="str">
        <x:v>自費</x:v>
      </x:c>
      <x:c r="F506" s="6" t="str">
        <x:v>噴砂美白</x:v>
      </x:c>
      <x:c r="G506" s="19" t="str">
        <x:v>◎</x:v>
      </x:c>
      <x:c r="H506" s="17" t="str">
        <x:v>熟練</x:v>
      </x:c>
      <x:c r="I506" s="6" t="n">
        <x:v>36</x:v>
      </x:c>
    </x:row>
    <x:row r="507">
      <x:c r="A507" s="13" t="str">
        <x:v>1020</x:v>
      </x:c>
      <x:c r="B507" s="14" t="str"/>
      <x:c r="C507" s="14" t="str">
        <x:v>Lv.5</x:v>
      </x:c>
      <x:c r="D507" s="14" t="str">
        <x:v>李侑津醫師</x:v>
      </x:c>
      <x:c r="E507" s="6" t="str">
        <x:v>手術</x:v>
      </x:c>
      <x:c r="F507" s="6" t="str">
        <x:v>牙周手術</x:v>
      </x:c>
      <x:c r="G507" s="19" t="str">
        <x:v>◎</x:v>
      </x:c>
      <x:c r="H507" s="17" t="str">
        <x:v>熟練</x:v>
      </x:c>
      <x:c r="I507" s="6" t="n">
        <x:v>37</x:v>
      </x:c>
    </x:row>
    <x:row r="508">
      <x:c r="A508" s="13" t="str">
        <x:v>1020</x:v>
      </x:c>
      <x:c r="B508" s="14" t="str"/>
      <x:c r="C508" s="14" t="str">
        <x:v>Lv.5</x:v>
      </x:c>
      <x:c r="D508" s="14" t="str">
        <x:v>李侑津醫師</x:v>
      </x:c>
      <x:c r="E508" s="6" t="str">
        <x:v>手術</x:v>
      </x:c>
      <x:c r="F508" s="6" t="str">
        <x:v>顯微根管</x:v>
      </x:c>
      <x:c r="G508" s="19" t="str">
        <x:v>◎</x:v>
      </x:c>
      <x:c r="H508" s="17" t="str">
        <x:v>熟練</x:v>
      </x:c>
      <x:c r="I508" s="6" t="n">
        <x:v>38</x:v>
      </x:c>
    </x:row>
    <x:row r="509">
      <x:c r="A509" s="13" t="str">
        <x:v>1020</x:v>
      </x:c>
      <x:c r="B509" s="14" t="str"/>
      <x:c r="C509" s="14" t="str">
        <x:v>Lv.5</x:v>
      </x:c>
      <x:c r="D509" s="14" t="str">
        <x:v>李侑津醫師</x:v>
      </x:c>
      <x:c r="E509" s="6" t="str">
        <x:v>手術</x:v>
      </x:c>
      <x:c r="F509" s="6" t="str">
        <x:v>植 牙</x:v>
      </x:c>
      <x:c r="G509" s="19" t="str">
        <x:v>◎</x:v>
      </x:c>
      <x:c r="H509" s="17" t="str">
        <x:v>熟練</x:v>
      </x:c>
      <x:c r="I509" s="6" t="n">
        <x:v>39</x:v>
      </x:c>
    </x:row>
    <x:row r="510">
      <x:c r="A510" s="13" t="str">
        <x:v>1020</x:v>
      </x:c>
      <x:c r="B510" s="14" t="str"/>
      <x:c r="C510" s="14" t="str">
        <x:v>Lv.5</x:v>
      </x:c>
      <x:c r="D510" s="14" t="str">
        <x:v>李侑津醫師</x:v>
      </x:c>
      <x:c r="E510" s="6" t="str"/>
      <x:c r="F510" s="6" t="str">
        <x:v>跟診順暢度</x:v>
      </x:c>
      <x:c r="G510" s="19" t="str">
        <x:v>◎</x:v>
      </x:c>
      <x:c r="H510" s="17" t="str">
        <x:v>熟練</x:v>
      </x:c>
      <x:c r="I510" s="6" t="n">
        <x:v>40</x:v>
      </x:c>
    </x:row>
    <x:row r="511">
      <x:c r="A511" s="13" t="str">
        <x:v>1020</x:v>
      </x:c>
      <x:c r="B511" s="14" t="str"/>
      <x:c r="C511" s="14" t="str">
        <x:v>Lv.5</x:v>
      </x:c>
      <x:c r="D511" s="14" t="str">
        <x:v>李侑津醫師</x:v>
      </x:c>
      <x:c r="E511" s="6" t="str"/>
      <x:c r="F511" s="6" t="str">
        <x:v>病歷紀錄</x:v>
      </x:c>
      <x:c r="G511" s="19" t="str">
        <x:v>◎</x:v>
      </x:c>
      <x:c r="H511" s="17" t="str">
        <x:v>熟練</x:v>
      </x:c>
      <x:c r="I511" s="6" t="n">
        <x:v>41</x:v>
      </x:c>
    </x:row>
    <x:row r="512">
      <x:c r="A512" s="13" t="str">
        <x:v>1020</x:v>
      </x:c>
      <x:c r="B512" s="14" t="str"/>
      <x:c r="C512" s="14" t="str">
        <x:v>Lv.5</x:v>
      </x:c>
      <x:c r="D512" s="14" t="str">
        <x:v>李侑津醫師</x:v>
      </x:c>
      <x:c r="E512" s="6" t="str"/>
      <x:c r="F512" s="6" t="str">
        <x:v>健保申報</x:v>
      </x:c>
      <x:c r="G512" s="19" t="str">
        <x:v>◎</x:v>
      </x:c>
      <x:c r="H512" s="17" t="str">
        <x:v>熟練</x:v>
      </x:c>
      <x:c r="I512" s="6" t="n">
        <x:v>42</x:v>
      </x:c>
    </x:row>
    <x:row r="513">
      <x:c r="A513" s="13" t="str">
        <x:v>1020</x:v>
      </x:c>
      <x:c r="B513" s="14" t="str"/>
      <x:c r="C513" s="14" t="str">
        <x:v>Lv.5</x:v>
      </x:c>
      <x:c r="D513" s="14" t="str">
        <x:v>李侑津醫師</x:v>
      </x:c>
      <x:c r="E513" s="6" t="str"/>
      <x:c r="F513" s="6" t="str">
        <x:v>X光片紀錄</x:v>
      </x:c>
      <x:c r="G513" s="19" t="str">
        <x:v>◎</x:v>
      </x:c>
      <x:c r="H513" s="17" t="str">
        <x:v>熟練</x:v>
      </x:c>
      <x:c r="I513" s="6" t="n">
        <x:v>43</x:v>
      </x:c>
    </x:row>
    <x:row r="514">
      <x:c r="A514" s="13" t="str">
        <x:v>1020</x:v>
      </x:c>
      <x:c r="B514" s="14" t="str"/>
      <x:c r="C514" s="14" t="str">
        <x:v>Lv.5</x:v>
      </x:c>
      <x:c r="D514" s="14" t="str">
        <x:v>李侑津醫師</x:v>
      </x:c>
      <x:c r="E514" s="6" t="str"/>
      <x:c r="F514" s="6" t="str">
        <x:v>拍PA</x:v>
      </x:c>
      <x:c r="G514" s="19" t="str">
        <x:v>◎</x:v>
      </x:c>
      <x:c r="H514" s="17" t="str">
        <x:v>熟練</x:v>
      </x:c>
      <x:c r="I514" s="6" t="n">
        <x:v>44</x:v>
      </x:c>
    </x:row>
    <x:row r="515">
      <x:c r="A515" s="13" t="str">
        <x:v>1020</x:v>
      </x:c>
      <x:c r="B515" s="14" t="str"/>
      <x:c r="C515" s="14" t="str">
        <x:v>Lv.5</x:v>
      </x:c>
      <x:c r="D515" s="14" t="str">
        <x:v>李侑津醫師</x:v>
      </x:c>
      <x:c r="E515" s="6" t="str"/>
      <x:c r="F515" s="6" t="str">
        <x:v>口掃機運用</x:v>
      </x:c>
      <x:c r="G515" s="19" t="str">
        <x:v>◎</x:v>
      </x:c>
      <x:c r="H515" s="17" t="str">
        <x:v>熟練</x:v>
      </x:c>
      <x:c r="I515" s="6" t="n">
        <x:v>45</x:v>
      </x:c>
    </x:row>
    <x:row r="516">
      <x:c r="A516" s="13" t="str">
        <x:v>1020</x:v>
      </x:c>
      <x:c r="B516" s="14" t="str"/>
      <x:c r="C516" s="14" t="str">
        <x:v>Lv.5</x:v>
      </x:c>
      <x:c r="D516" s="14" t="str">
        <x:v>廖立揚醫師</x:v>
      </x:c>
      <x:c r="E516" s="6" t="str"/>
      <x:c r="F516" s="6" t="str">
        <x:v>器械熟悉度</x:v>
      </x:c>
      <x:c r="G516" s="19" t="str">
        <x:v>◎</x:v>
      </x:c>
      <x:c r="H516" s="17" t="str">
        <x:v>熟練</x:v>
      </x:c>
      <x:c r="I516" s="6" t="n">
        <x:v>46</x:v>
      </x:c>
    </x:row>
    <x:row r="517">
      <x:c r="A517" s="13" t="str">
        <x:v>1020</x:v>
      </x:c>
      <x:c r="B517" s="14" t="str"/>
      <x:c r="C517" s="14" t="str">
        <x:v>Lv.5</x:v>
      </x:c>
      <x:c r="D517" s="14" t="str">
        <x:v>廖立揚醫師</x:v>
      </x:c>
      <x:c r="E517" s="6" t="str"/>
      <x:c r="F517" s="6" t="str">
        <x:v>跟診順暢度</x:v>
      </x:c>
      <x:c r="G517" s="19" t="str">
        <x:v>◎</x:v>
      </x:c>
      <x:c r="H517" s="17" t="str">
        <x:v>熟練</x:v>
      </x:c>
      <x:c r="I517" s="6" t="n">
        <x:v>47</x:v>
      </x:c>
    </x:row>
    <x:row r="518">
      <x:c r="A518" s="13" t="str">
        <x:v>1020</x:v>
      </x:c>
      <x:c r="B518" s="14" t="str"/>
      <x:c r="C518" s="14" t="str">
        <x:v>Lv.5</x:v>
      </x:c>
      <x:c r="D518" s="14" t="str">
        <x:v>廖立揚醫師</x:v>
      </x:c>
      <x:c r="E518" s="6" t="str"/>
      <x:c r="F518" s="6" t="str">
        <x:v>病歷紀錄</x:v>
      </x:c>
      <x:c r="G518" s="19" t="str">
        <x:v>◎</x:v>
      </x:c>
      <x:c r="H518" s="17" t="str">
        <x:v>熟練</x:v>
      </x:c>
      <x:c r="I518" s="6" t="n">
        <x:v>48</x:v>
      </x:c>
    </x:row>
    <x:row r="519">
      <x:c r="A519" s="13" t="str">
        <x:v>1020</x:v>
      </x:c>
      <x:c r="B519" s="14" t="str"/>
      <x:c r="C519" s="14" t="str">
        <x:v>Lv.5</x:v>
      </x:c>
      <x:c r="D519" s="14" t="str">
        <x:v>廖立揚醫師</x:v>
      </x:c>
      <x:c r="E519" s="6" t="str"/>
      <x:c r="F519" s="6" t="str">
        <x:v>健保申報(初診pano)</x:v>
      </x:c>
      <x:c r="G519" s="19" t="str">
        <x:v>◎</x:v>
      </x:c>
      <x:c r="H519" s="17" t="str">
        <x:v>熟練</x:v>
      </x:c>
      <x:c r="I519" s="6" t="n">
        <x:v>49</x:v>
      </x:c>
    </x:row>
    <x:row r="520">
      <x:c r="A520" s="13" t="str">
        <x:v>1020</x:v>
      </x:c>
      <x:c r="B520" s="14" t="str"/>
      <x:c r="C520" s="14" t="str">
        <x:v>Lv.5</x:v>
      </x:c>
      <x:c r="D520" s="14" t="str">
        <x:v>廖立揚醫師</x:v>
      </x:c>
      <x:c r="E520" s="6" t="str"/>
      <x:c r="F520" s="6" t="str">
        <x:v>X光片紀錄</x:v>
      </x:c>
      <x:c r="G520" s="19" t="str">
        <x:v>◎</x:v>
      </x:c>
      <x:c r="H520" s="17" t="str">
        <x:v>熟練</x:v>
      </x:c>
      <x:c r="I520" s="6" t="n">
        <x:v>50</x:v>
      </x:c>
    </x:row>
    <x:row r="521">
      <x:c r="A521" s="13" t="str">
        <x:v>1020</x:v>
      </x:c>
      <x:c r="B521" s="14" t="str"/>
      <x:c r="C521" s="14" t="str">
        <x:v>Lv.5</x:v>
      </x:c>
      <x:c r="D521" s="14" t="str">
        <x:v>廖立揚醫師</x:v>
      </x:c>
      <x:c r="E521" s="6" t="str"/>
      <x:c r="F521" s="6" t="str">
        <x:v>拍PANO、PA</x:v>
      </x:c>
      <x:c r="G521" s="19" t="str">
        <x:v>◎</x:v>
      </x:c>
      <x:c r="H521" s="17" t="str">
        <x:v>熟練</x:v>
      </x:c>
      <x:c r="I521" s="6" t="n">
        <x:v>51</x:v>
      </x:c>
    </x:row>
    <x:row r="522">
      <x:c r="A522" s="13" t="str">
        <x:v>1020</x:v>
      </x:c>
      <x:c r="B522" s="14" t="str"/>
      <x:c r="C522" s="14" t="str">
        <x:v>Lv.5</x:v>
      </x:c>
      <x:c r="D522" s="14" t="str">
        <x:v>廖立揚醫師</x:v>
      </x:c>
      <x:c r="E522" s="6" t="str"/>
      <x:c r="F522" s="6" t="str">
        <x:v>CT照</x:v>
      </x:c>
      <x:c r="G522" s="19" t="str">
        <x:v>◎</x:v>
      </x:c>
      <x:c r="H522" s="17" t="str">
        <x:v>熟練</x:v>
      </x:c>
      <x:c r="I522" s="6" t="n">
        <x:v>52</x:v>
      </x:c>
    </x:row>
    <x:row r="523">
      <x:c r="A523" s="13" t="str">
        <x:v>1020</x:v>
      </x:c>
      <x:c r="B523" s="14" t="str"/>
      <x:c r="C523" s="14" t="str">
        <x:v>Lv.5</x:v>
      </x:c>
      <x:c r="D523" s="14" t="str">
        <x:v>廖立揚醫師</x:v>
      </x:c>
      <x:c r="E523" s="6" t="str"/>
      <x:c r="F523" s="6" t="str">
        <x:v>側頭顱照</x:v>
      </x:c>
      <x:c r="G523" s="19" t="str">
        <x:v>◎</x:v>
      </x:c>
      <x:c r="H523" s="17" t="str">
        <x:v>熟練</x:v>
      </x:c>
      <x:c r="I523" s="6" t="n">
        <x:v>53</x:v>
      </x:c>
    </x:row>
    <x:row r="524">
      <x:c r="A524" s="13" t="str">
        <x:v>1020</x:v>
      </x:c>
      <x:c r="B524" s="14" t="str"/>
      <x:c r="C524" s="14" t="str">
        <x:v>Lv.5</x:v>
      </x:c>
      <x:c r="D524" s="14" t="str">
        <x:v>廖立揚醫師</x:v>
      </x:c>
      <x:c r="E524" s="6" t="str"/>
      <x:c r="F524" s="6" t="str">
        <x:v>口掃機運用</x:v>
      </x:c>
      <x:c r="G524" s="19" t="str">
        <x:v>◎</x:v>
      </x:c>
      <x:c r="H524" s="17" t="str">
        <x:v>熟練</x:v>
      </x:c>
      <x:c r="I524" s="6" t="n">
        <x:v>54</x:v>
      </x:c>
    </x:row>
    <x:row r="525">
      <x:c r="A525" s="13" t="str">
        <x:v>1020</x:v>
      </x:c>
      <x:c r="B525" s="14" t="str"/>
      <x:c r="C525" s="14" t="str">
        <x:v>Lv.5</x:v>
      </x:c>
      <x:c r="D525" s="14" t="str">
        <x:v>楊小瑩醫師</x:v>
      </x:c>
      <x:c r="E525" s="6" t="str">
        <x:v>器械準備</x:v>
      </x:c>
      <x:c r="F525" s="6" t="str">
        <x:v>洗牙</x:v>
      </x:c>
      <x:c r="G525" s="19" t="str">
        <x:v>◎</x:v>
      </x:c>
      <x:c r="H525" s="17" t="str">
        <x:v>熟練</x:v>
      </x:c>
      <x:c r="I525" s="6" t="n">
        <x:v>55</x:v>
      </x:c>
    </x:row>
    <x:row r="526">
      <x:c r="A526" s="13" t="str">
        <x:v>1020</x:v>
      </x:c>
      <x:c r="B526" s="14" t="str"/>
      <x:c r="C526" s="14" t="str">
        <x:v>Lv.5</x:v>
      </x:c>
      <x:c r="D526" s="14" t="str">
        <x:v>楊小瑩醫師</x:v>
      </x:c>
      <x:c r="E526" s="6" t="str">
        <x:v>器械準備</x:v>
      </x:c>
      <x:c r="F526" s="6" t="str">
        <x:v>補牙</x:v>
      </x:c>
      <x:c r="G526" s="19" t="str">
        <x:v>◎</x:v>
      </x:c>
      <x:c r="H526" s="17" t="str">
        <x:v>熟練</x:v>
      </x:c>
      <x:c r="I526" s="6" t="n">
        <x:v>56</x:v>
      </x:c>
    </x:row>
    <x:row r="527">
      <x:c r="A527" s="13" t="str">
        <x:v>1020</x:v>
      </x:c>
      <x:c r="B527" s="14" t="str"/>
      <x:c r="C527" s="14" t="str">
        <x:v>Lv.5</x:v>
      </x:c>
      <x:c r="D527" s="14" t="str">
        <x:v>楊小瑩醫師</x:v>
      </x:c>
      <x:c r="E527" s="6" t="str">
        <x:v>器械準備</x:v>
      </x:c>
      <x:c r="F527" s="6" t="str">
        <x:v>根管治療</x:v>
      </x:c>
      <x:c r="G527" s="19" t="str">
        <x:v>◎</x:v>
      </x:c>
      <x:c r="H527" s="17" t="str">
        <x:v>熟練</x:v>
      </x:c>
      <x:c r="I527" s="6" t="n">
        <x:v>57</x:v>
      </x:c>
    </x:row>
    <x:row r="528">
      <x:c r="A528" s="13" t="str">
        <x:v>1020</x:v>
      </x:c>
      <x:c r="B528" s="14" t="str"/>
      <x:c r="C528" s="14" t="str">
        <x:v>Lv.5</x:v>
      </x:c>
      <x:c r="D528" s="14" t="str">
        <x:v>楊小瑩醫師</x:v>
      </x:c>
      <x:c r="E528" s="6" t="str">
        <x:v>器械準備</x:v>
      </x:c>
      <x:c r="F528" s="6" t="str">
        <x:v>拔牙</x:v>
      </x:c>
      <x:c r="G528" s="19" t="str">
        <x:v>◎</x:v>
      </x:c>
      <x:c r="H528" s="17" t="str">
        <x:v>熟練</x:v>
      </x:c>
      <x:c r="I528" s="6" t="n">
        <x:v>58</x:v>
      </x:c>
    </x:row>
    <x:row r="529">
      <x:c r="A529" s="13" t="str">
        <x:v>1020</x:v>
      </x:c>
      <x:c r="B529" s="14" t="str"/>
      <x:c r="C529" s="14" t="str">
        <x:v>Lv.5</x:v>
      </x:c>
      <x:c r="D529" s="14" t="str">
        <x:v>楊小瑩醫師</x:v>
      </x:c>
      <x:c r="E529" s="6" t="str">
        <x:v>器械準備</x:v>
      </x:c>
      <x:c r="F529" s="6" t="str">
        <x:v>拆 crown/post</x:v>
      </x:c>
      <x:c r="G529" s="19" t="str">
        <x:v>Ø</x:v>
      </x:c>
      <x:c r="H529" s="17" t="str">
        <x:v>尚未熟練</x:v>
      </x:c>
      <x:c r="I529" s="6" t="n">
        <x:v>59</x:v>
      </x:c>
    </x:row>
    <x:row r="530">
      <x:c r="A530" s="13" t="str">
        <x:v>1020</x:v>
      </x:c>
      <x:c r="B530" s="14" t="str"/>
      <x:c r="C530" s="14" t="str">
        <x:v>Lv.5</x:v>
      </x:c>
      <x:c r="D530" s="14" t="str">
        <x:v>楊小瑩醫師</x:v>
      </x:c>
      <x:c r="E530" s="6" t="str">
        <x:v>自費</x:v>
      </x:c>
      <x:c r="F530" s="6" t="str">
        <x:v>固定假牙</x:v>
      </x:c>
      <x:c r="G530" s="19" t="str">
        <x:v>Ø</x:v>
      </x:c>
      <x:c r="H530" s="17" t="str">
        <x:v>尚未熟練</x:v>
      </x:c>
      <x:c r="I530" s="6" t="n">
        <x:v>60</x:v>
      </x:c>
    </x:row>
    <x:row r="531">
      <x:c r="A531" s="13" t="str">
        <x:v>1020</x:v>
      </x:c>
      <x:c r="B531" s="14" t="str"/>
      <x:c r="C531" s="14" t="str">
        <x:v>Lv.5</x:v>
      </x:c>
      <x:c r="D531" s="14" t="str">
        <x:v>楊小瑩醫師</x:v>
      </x:c>
      <x:c r="E531" s="6" t="str">
        <x:v>自費</x:v>
      </x:c>
      <x:c r="F531" s="6" t="str">
        <x:v>RPD</x:v>
      </x:c>
      <x:c r="G531" s="19" t="str">
        <x:v>※</x:v>
      </x:c>
      <x:c r="H531" s="17" t="str">
        <x:v>學習中</x:v>
      </x:c>
      <x:c r="I531" s="6" t="n">
        <x:v>61</x:v>
      </x:c>
    </x:row>
    <x:row r="532">
      <x:c r="A532" s="13" t="str">
        <x:v>1020</x:v>
      </x:c>
      <x:c r="B532" s="14" t="str"/>
      <x:c r="C532" s="14" t="str">
        <x:v>Lv.5</x:v>
      </x:c>
      <x:c r="D532" s="14" t="str">
        <x:v>楊小瑩醫師</x:v>
      </x:c>
      <x:c r="E532" s="6" t="str">
        <x:v>自費</x:v>
      </x:c>
      <x:c r="F532" s="6" t="str">
        <x:v>噴砂美白</x:v>
      </x:c>
      <x:c r="G532" s="19" t="str">
        <x:v>※</x:v>
      </x:c>
      <x:c r="H532" s="17" t="str">
        <x:v>學習中</x:v>
      </x:c>
      <x:c r="I532" s="6" t="n">
        <x:v>62</x:v>
      </x:c>
    </x:row>
    <x:row r="533">
      <x:c r="A533" s="13" t="str">
        <x:v>1020</x:v>
      </x:c>
      <x:c r="B533" s="14" t="str"/>
      <x:c r="C533" s="14" t="str">
        <x:v>Lv.5</x:v>
      </x:c>
      <x:c r="D533" s="14" t="str">
        <x:v>楊小瑩醫師</x:v>
      </x:c>
      <x:c r="E533" s="6" t="str"/>
      <x:c r="F533" s="6" t="str">
        <x:v>跟診順暢度</x:v>
      </x:c>
      <x:c r="G533" s="19" t="str">
        <x:v>◎</x:v>
      </x:c>
      <x:c r="H533" s="17" t="str">
        <x:v>熟練</x:v>
      </x:c>
      <x:c r="I533" s="6" t="n">
        <x:v>63</x:v>
      </x:c>
    </x:row>
    <x:row r="534">
      <x:c r="A534" s="13" t="str">
        <x:v>1020</x:v>
      </x:c>
      <x:c r="B534" s="14" t="str"/>
      <x:c r="C534" s="14" t="str">
        <x:v>Lv.5</x:v>
      </x:c>
      <x:c r="D534" s="14" t="str">
        <x:v>楊小瑩醫師</x:v>
      </x:c>
      <x:c r="E534" s="6" t="str"/>
      <x:c r="F534" s="6" t="str">
        <x:v>病歷紀錄</x:v>
      </x:c>
      <x:c r="G534" s="19" t="str">
        <x:v>◎</x:v>
      </x:c>
      <x:c r="H534" s="17" t="str">
        <x:v>熟練</x:v>
      </x:c>
      <x:c r="I534" s="6" t="n">
        <x:v>64</x:v>
      </x:c>
    </x:row>
    <x:row r="535">
      <x:c r="A535" s="13" t="str">
        <x:v>1020</x:v>
      </x:c>
      <x:c r="B535" s="14" t="str"/>
      <x:c r="C535" s="14" t="str">
        <x:v>Lv.5</x:v>
      </x:c>
      <x:c r="D535" s="14" t="str">
        <x:v>楊小瑩醫師</x:v>
      </x:c>
      <x:c r="E535" s="6" t="str"/>
      <x:c r="F535" s="6" t="str">
        <x:v>健保申報</x:v>
      </x:c>
      <x:c r="G535" s="19" t="str">
        <x:v>◎</x:v>
      </x:c>
      <x:c r="H535" s="17" t="str">
        <x:v>熟練</x:v>
      </x:c>
      <x:c r="I535" s="6" t="n">
        <x:v>65</x:v>
      </x:c>
    </x:row>
    <x:row r="536">
      <x:c r="A536" s="13" t="str">
        <x:v>1020</x:v>
      </x:c>
      <x:c r="B536" s="14" t="str"/>
      <x:c r="C536" s="14" t="str">
        <x:v>Lv.5</x:v>
      </x:c>
      <x:c r="D536" s="14" t="str">
        <x:v>楊小瑩醫師</x:v>
      </x:c>
      <x:c r="E536" s="6" t="str"/>
      <x:c r="F536" s="6" t="str">
        <x:v>X光片紀錄</x:v>
      </x:c>
      <x:c r="G536" s="19" t="str">
        <x:v>◎</x:v>
      </x:c>
      <x:c r="H536" s="17" t="str">
        <x:v>熟練</x:v>
      </x:c>
      <x:c r="I536" s="6" t="n">
        <x:v>66</x:v>
      </x:c>
    </x:row>
    <x:row r="537">
      <x:c r="A537" s="13" t="str">
        <x:v>1020</x:v>
      </x:c>
      <x:c r="B537" s="14" t="str"/>
      <x:c r="C537" s="14" t="str">
        <x:v>Lv.5</x:v>
      </x:c>
      <x:c r="D537" s="14" t="str">
        <x:v>楊小瑩醫師</x:v>
      </x:c>
      <x:c r="E537" s="6" t="str"/>
      <x:c r="F537" s="6" t="str">
        <x:v>拍PA</x:v>
      </x:c>
      <x:c r="G537" s="19" t="str">
        <x:v>◎</x:v>
      </x:c>
      <x:c r="H537" s="17" t="str">
        <x:v>熟練</x:v>
      </x:c>
      <x:c r="I537" s="6" t="n">
        <x:v>67</x:v>
      </x:c>
    </x:row>
    <x:row r="538">
      <x:c r="A538" s="13" t="str">
        <x:v>1020</x:v>
      </x:c>
      <x:c r="B538" s="14" t="str"/>
      <x:c r="C538" s="14" t="str">
        <x:v>Lv.5</x:v>
      </x:c>
      <x:c r="D538" s="14" t="str">
        <x:v>王俊偉醫師</x:v>
      </x:c>
      <x:c r="E538" s="6" t="str"/>
      <x:c r="F538" s="6" t="str">
        <x:v>器械熟悉度</x:v>
      </x:c>
      <x:c r="G538" s="19" t="str">
        <x:v>◎</x:v>
      </x:c>
      <x:c r="H538" s="17" t="str">
        <x:v>熟練</x:v>
      </x:c>
      <x:c r="I538" s="6" t="n">
        <x:v>68</x:v>
      </x:c>
    </x:row>
    <x:row r="539">
      <x:c r="A539" s="13" t="str">
        <x:v>1020</x:v>
      </x:c>
      <x:c r="B539" s="14" t="str"/>
      <x:c r="C539" s="14" t="str">
        <x:v>Lv.5</x:v>
      </x:c>
      <x:c r="D539" s="14" t="str">
        <x:v>王俊偉醫師</x:v>
      </x:c>
      <x:c r="E539" s="6" t="str"/>
      <x:c r="F539" s="6" t="str">
        <x:v>跟診順暢度</x:v>
      </x:c>
      <x:c r="G539" s="19" t="str">
        <x:v>◎</x:v>
      </x:c>
      <x:c r="H539" s="17" t="str">
        <x:v>熟練</x:v>
      </x:c>
      <x:c r="I539" s="6" t="n">
        <x:v>69</x:v>
      </x:c>
    </x:row>
    <x:row r="540">
      <x:c r="A540" s="13" t="str">
        <x:v>1020</x:v>
      </x:c>
      <x:c r="B540" s="14" t="str"/>
      <x:c r="C540" s="14" t="str">
        <x:v>Lv.5</x:v>
      </x:c>
      <x:c r="D540" s="14" t="str">
        <x:v>王俊偉醫師</x:v>
      </x:c>
      <x:c r="E540" s="6" t="str"/>
      <x:c r="F540" s="6" t="str">
        <x:v>病歷紀錄</x:v>
      </x:c>
      <x:c r="G540" s="19" t="str">
        <x:v>◎</x:v>
      </x:c>
      <x:c r="H540" s="17" t="str">
        <x:v>熟練</x:v>
      </x:c>
      <x:c r="I540" s="6" t="n">
        <x:v>70</x:v>
      </x:c>
    </x:row>
    <x:row r="541">
      <x:c r="A541" s="13" t="str">
        <x:v>1020</x:v>
      </x:c>
      <x:c r="B541" s="14" t="str"/>
      <x:c r="C541" s="14" t="str">
        <x:v>Lv.5</x:v>
      </x:c>
      <x:c r="D541" s="14" t="str">
        <x:v>王俊偉醫師</x:v>
      </x:c>
      <x:c r="E541" s="6" t="str"/>
      <x:c r="F541" s="6" t="str">
        <x:v>健保申報</x:v>
      </x:c>
      <x:c r="G541" s="19" t="str">
        <x:v>◎</x:v>
      </x:c>
      <x:c r="H541" s="17" t="str">
        <x:v>熟練</x:v>
      </x:c>
      <x:c r="I541" s="6" t="n">
        <x:v>71</x:v>
      </x:c>
    </x:row>
    <x:row r="542">
      <x:c r="A542" s="13" t="str">
        <x:v>1020</x:v>
      </x:c>
      <x:c r="B542" s="14" t="str"/>
      <x:c r="C542" s="14" t="str">
        <x:v>Lv.5</x:v>
      </x:c>
      <x:c r="D542" s="14" t="str">
        <x:v>王俊偉醫師</x:v>
      </x:c>
      <x:c r="E542" s="6" t="str"/>
      <x:c r="F542" s="6" t="str">
        <x:v>X光片紀錄</x:v>
      </x:c>
      <x:c r="G542" s="19" t="str">
        <x:v>◎</x:v>
      </x:c>
      <x:c r="H542" s="17" t="str">
        <x:v>熟練</x:v>
      </x:c>
      <x:c r="I542" s="6" t="n">
        <x:v>72</x:v>
      </x:c>
    </x:row>
    <x:row r="543">
      <x:c r="A543" s="13" t="str">
        <x:v>1020</x:v>
      </x:c>
      <x:c r="B543" s="14" t="str"/>
      <x:c r="C543" s="14" t="str">
        <x:v>Lv.5</x:v>
      </x:c>
      <x:c r="D543" s="14" t="str">
        <x:v>王俊偉醫師</x:v>
      </x:c>
      <x:c r="E543" s="6" t="str"/>
      <x:c r="F543" s="6" t="str">
        <x:v>拍PANO、PA</x:v>
      </x:c>
      <x:c r="G543" s="19" t="str">
        <x:v>◎</x:v>
      </x:c>
      <x:c r="H543" s="17" t="str">
        <x:v>熟練</x:v>
      </x:c>
      <x:c r="I543" s="6" t="n">
        <x:v>73</x:v>
      </x:c>
    </x:row>
    <x:row r="544">
      <x:c r="A544" s="13" t="str">
        <x:v>1020</x:v>
      </x:c>
      <x:c r="B544" s="14" t="str"/>
      <x:c r="C544" s="14" t="str">
        <x:v>Lv.5</x:v>
      </x:c>
      <x:c r="D544" s="14" t="str">
        <x:v>王俊偉醫師</x:v>
      </x:c>
      <x:c r="E544" s="6" t="str"/>
      <x:c r="F544" s="6" t="str">
        <x:v>CT照</x:v>
      </x:c>
      <x:c r="G544" s="19" t="str">
        <x:v>◎</x:v>
      </x:c>
      <x:c r="H544" s="17" t="str">
        <x:v>熟練</x:v>
      </x:c>
      <x:c r="I544" s="6" t="n">
        <x:v>74</x:v>
      </x:c>
    </x:row>
    <x:row r="545">
      <x:c r="A545" s="13" t="str">
        <x:v>1020</x:v>
      </x:c>
      <x:c r="B545" s="14" t="str"/>
      <x:c r="C545" s="14" t="str">
        <x:v>Lv.5</x:v>
      </x:c>
      <x:c r="D545" s="14" t="str">
        <x:v>王俊偉醫師</x:v>
      </x:c>
      <x:c r="E545" s="6" t="str"/>
      <x:c r="F545" s="6" t="str">
        <x:v>側頭顱照</x:v>
      </x:c>
      <x:c r="G545" s="19" t="str">
        <x:v>◎</x:v>
      </x:c>
      <x:c r="H545" s="17" t="str">
        <x:v>熟練</x:v>
      </x:c>
      <x:c r="I545" s="6" t="n">
        <x:v>75</x:v>
      </x:c>
    </x:row>
    <x:row r="546">
      <x:c r="A546" s="13" t="str">
        <x:v>1020</x:v>
      </x:c>
      <x:c r="B546" s="14" t="str"/>
      <x:c r="C546" s="14" t="str">
        <x:v>Lv.5</x:v>
      </x:c>
      <x:c r="D546" s="14" t="str">
        <x:v>王俊偉醫師</x:v>
      </x:c>
      <x:c r="E546" s="6" t="str"/>
      <x:c r="F546" s="6" t="str">
        <x:v>口掃機運用</x:v>
      </x:c>
      <x:c r="G546" s="19" t="str">
        <x:v>◎</x:v>
      </x:c>
      <x:c r="H546" s="17" t="str">
        <x:v>熟練</x:v>
      </x:c>
      <x:c r="I546" s="6" t="n">
        <x:v>76</x:v>
      </x:c>
    </x:row>
    <x:row r="547">
      <x:c r="A547" s="13" t="str">
        <x:v>1020</x:v>
      </x:c>
      <x:c r="B547" s="14" t="str"/>
      <x:c r="C547" s="14" t="str">
        <x:v>Lv.5</x:v>
      </x:c>
      <x:c r="D547" s="14" t="str">
        <x:v>許馨文醫師</x:v>
      </x:c>
      <x:c r="E547" s="6" t="str"/>
      <x:c r="F547" s="6" t="str">
        <x:v>器械熟悉度</x:v>
      </x:c>
      <x:c r="G547" s="19" t="str">
        <x:v>◎</x:v>
      </x:c>
      <x:c r="H547" s="17" t="str">
        <x:v>熟練</x:v>
      </x:c>
      <x:c r="I547" s="6" t="n">
        <x:v>77</x:v>
      </x:c>
    </x:row>
    <x:row r="548">
      <x:c r="A548" s="13" t="str">
        <x:v>1020</x:v>
      </x:c>
      <x:c r="B548" s="14" t="str"/>
      <x:c r="C548" s="14" t="str">
        <x:v>Lv.5</x:v>
      </x:c>
      <x:c r="D548" s="14" t="str">
        <x:v>許馨文醫師</x:v>
      </x:c>
      <x:c r="E548" s="6" t="str"/>
      <x:c r="F548" s="6" t="str">
        <x:v>吸口水技巧</x:v>
      </x:c>
      <x:c r="G548" s="19" t="str">
        <x:v>◎</x:v>
      </x:c>
      <x:c r="H548" s="17" t="str">
        <x:v>熟練</x:v>
      </x:c>
      <x:c r="I548" s="6" t="n">
        <x:v>78</x:v>
      </x:c>
    </x:row>
    <x:row r="549">
      <x:c r="A549" s="13" t="str">
        <x:v>1020</x:v>
      </x:c>
      <x:c r="B549" s="14" t="str"/>
      <x:c r="C549" s="14" t="str">
        <x:v>Lv.5</x:v>
      </x:c>
      <x:c r="D549" s="14" t="str">
        <x:v>許馨文醫師</x:v>
      </x:c>
      <x:c r="E549" s="6" t="str"/>
      <x:c r="F549" s="6" t="str">
        <x:v>病歷紀錄</x:v>
      </x:c>
      <x:c r="G549" s="19" t="str">
        <x:v>◎</x:v>
      </x:c>
      <x:c r="H549" s="17" t="str">
        <x:v>熟練</x:v>
      </x:c>
      <x:c r="I549" s="6" t="n">
        <x:v>79</x:v>
      </x:c>
    </x:row>
    <x:row r="550">
      <x:c r="A550" s="13" t="str">
        <x:v>1020</x:v>
      </x:c>
      <x:c r="B550" s="14" t="str"/>
      <x:c r="C550" s="14" t="str">
        <x:v>Lv.5</x:v>
      </x:c>
      <x:c r="D550" s="14" t="str">
        <x:v>許馨文醫師</x:v>
      </x:c>
      <x:c r="E550" s="6" t="str"/>
      <x:c r="F550" s="6" t="str">
        <x:v>健保申報</x:v>
      </x:c>
      <x:c r="G550" s="19" t="str">
        <x:v>◎</x:v>
      </x:c>
      <x:c r="H550" s="17" t="str">
        <x:v>熟練</x:v>
      </x:c>
      <x:c r="I550" s="6" t="n">
        <x:v>80</x:v>
      </x:c>
    </x:row>
    <x:row r="551">
      <x:c r="A551" s="13" t="str">
        <x:v>1020</x:v>
      </x:c>
      <x:c r="B551" s="14" t="str"/>
      <x:c r="C551" s="14" t="str">
        <x:v>Lv.5</x:v>
      </x:c>
      <x:c r="D551" s="14" t="str">
        <x:v>許馨文醫師</x:v>
      </x:c>
      <x:c r="E551" s="6" t="str"/>
      <x:c r="F551" s="6" t="str">
        <x:v>X光片紀錄</x:v>
      </x:c>
      <x:c r="G551" s="19" t="str">
        <x:v>◎</x:v>
      </x:c>
      <x:c r="H551" s="17" t="str">
        <x:v>熟練</x:v>
      </x:c>
      <x:c r="I551" s="6" t="n">
        <x:v>81</x:v>
      </x:c>
    </x:row>
    <x:row r="552">
      <x:c r="A552" s="13" t="str">
        <x:v>1020</x:v>
      </x:c>
      <x:c r="B552" s="14" t="str"/>
      <x:c r="C552" s="14" t="str">
        <x:v>Lv.5</x:v>
      </x:c>
      <x:c r="D552" s="14" t="str">
        <x:v>許馨文醫師</x:v>
      </x:c>
      <x:c r="E552" s="6" t="str"/>
      <x:c r="F552" s="6" t="str">
        <x:v>拍PANO、PA</x:v>
      </x:c>
      <x:c r="G552" s="19" t="str">
        <x:v>◎</x:v>
      </x:c>
      <x:c r="H552" s="17" t="str">
        <x:v>熟練</x:v>
      </x:c>
      <x:c r="I552" s="6" t="n">
        <x:v>82</x:v>
      </x:c>
    </x:row>
    <x:row r="553">
      <x:c r="A553" s="13" t="str">
        <x:v>1020</x:v>
      </x:c>
      <x:c r="B553" s="14" t="str"/>
      <x:c r="C553" s="14" t="str">
        <x:v>Lv.5</x:v>
      </x:c>
      <x:c r="D553" s="14" t="str">
        <x:v>林晏妤醫師</x:v>
      </x:c>
      <x:c r="E553" s="6" t="str"/>
      <x:c r="F553" s="6" t="str">
        <x:v>器械熟悉度</x:v>
      </x:c>
      <x:c r="G553" s="19" t="str">
        <x:v>◎</x:v>
      </x:c>
      <x:c r="H553" s="17" t="str">
        <x:v>熟練</x:v>
      </x:c>
      <x:c r="I553" s="6" t="n">
        <x:v>83</x:v>
      </x:c>
    </x:row>
    <x:row r="554">
      <x:c r="A554" s="13" t="str">
        <x:v>1020</x:v>
      </x:c>
      <x:c r="B554" s="14" t="str"/>
      <x:c r="C554" s="14" t="str">
        <x:v>Lv.5</x:v>
      </x:c>
      <x:c r="D554" s="14" t="str">
        <x:v>林晏妤醫師</x:v>
      </x:c>
      <x:c r="E554" s="6" t="str"/>
      <x:c r="F554" s="6" t="str">
        <x:v>跟診順暢度</x:v>
      </x:c>
      <x:c r="G554" s="19" t="str">
        <x:v>◎</x:v>
      </x:c>
      <x:c r="H554" s="17" t="str">
        <x:v>熟練</x:v>
      </x:c>
      <x:c r="I554" s="6" t="n">
        <x:v>84</x:v>
      </x:c>
    </x:row>
    <x:row r="555">
      <x:c r="A555" s="13" t="str">
        <x:v>1020</x:v>
      </x:c>
      <x:c r="B555" s="14" t="str"/>
      <x:c r="C555" s="14" t="str">
        <x:v>Lv.5</x:v>
      </x:c>
      <x:c r="D555" s="14" t="str">
        <x:v>林晏妤醫師</x:v>
      </x:c>
      <x:c r="E555" s="6" t="str"/>
      <x:c r="F555" s="6" t="str">
        <x:v>病歷紀錄</x:v>
      </x:c>
      <x:c r="G555" s="19" t="str">
        <x:v>◎</x:v>
      </x:c>
      <x:c r="H555" s="17" t="str">
        <x:v>熟練</x:v>
      </x:c>
      <x:c r="I555" s="6" t="n">
        <x:v>85</x:v>
      </x:c>
    </x:row>
    <x:row r="556">
      <x:c r="A556" s="13" t="str">
        <x:v>1020</x:v>
      </x:c>
      <x:c r="B556" s="14" t="str"/>
      <x:c r="C556" s="14" t="str">
        <x:v>Lv.5</x:v>
      </x:c>
      <x:c r="D556" s="14" t="str">
        <x:v>林晏妤醫師</x:v>
      </x:c>
      <x:c r="E556" s="6" t="str"/>
      <x:c r="F556" s="6" t="str">
        <x:v>X光片紀錄</x:v>
      </x:c>
      <x:c r="G556" s="19" t="str">
        <x:v>◎</x:v>
      </x:c>
      <x:c r="H556" s="17" t="str">
        <x:v>熟練</x:v>
      </x:c>
      <x:c r="I556" s="6" t="n">
        <x:v>86</x:v>
      </x:c>
    </x:row>
    <x:row r="557">
      <x:c r="A557" s="13" t="str">
        <x:v>1020</x:v>
      </x:c>
      <x:c r="B557" s="14" t="str"/>
      <x:c r="C557" s="14" t="str">
        <x:v>Lv.5</x:v>
      </x:c>
      <x:c r="D557" s="14" t="str">
        <x:v>林晏妤醫師</x:v>
      </x:c>
      <x:c r="E557" s="6" t="str"/>
      <x:c r="F557" s="6" t="str">
        <x:v>手持X光機</x:v>
      </x:c>
      <x:c r="G557" s="19" t="str">
        <x:v>◎</x:v>
      </x:c>
      <x:c r="H557" s="17" t="str">
        <x:v>熟練</x:v>
      </x:c>
      <x:c r="I557" s="6" t="n">
        <x:v>87</x:v>
      </x:c>
    </x:row>
    <x:row r="558">
      <x:c r="A558" s="13" t="str">
        <x:v>1020</x:v>
      </x:c>
      <x:c r="B558" s="14" t="str"/>
      <x:c r="C558" s="14" t="str">
        <x:v>Lv.5</x:v>
      </x:c>
      <x:c r="D558" s="14" t="str">
        <x:v>林晏妤醫師</x:v>
      </x:c>
      <x:c r="E558" s="6" t="str"/>
      <x:c r="F558" s="6" t="str">
        <x:v>健保申報</x:v>
      </x:c>
      <x:c r="G558" s="19" t="str">
        <x:v>◎</x:v>
      </x:c>
      <x:c r="H558" s="17" t="str">
        <x:v>熟練</x:v>
      </x:c>
      <x:c r="I558" s="6" t="n">
        <x:v>88</x:v>
      </x:c>
    </x:row>
    <x:row r="559">
      <x:c r="A559" s="13" t="str">
        <x:v>1020</x:v>
      </x:c>
      <x:c r="B559" s="14" t="str"/>
      <x:c r="C559" s="14" t="str">
        <x:v>Lv.5</x:v>
      </x:c>
      <x:c r="D559" s="14" t="str">
        <x:v>林晏妤醫師</x:v>
      </x:c>
      <x:c r="E559" s="6" t="str"/>
      <x:c r="F559" s="6" t="str">
        <x:v>舒眠手術</x:v>
      </x:c>
      <x:c r="G559" s="19" t="str">
        <x:v>◎</x:v>
      </x:c>
      <x:c r="H559" s="17" t="str">
        <x:v>熟練</x:v>
      </x:c>
      <x:c r="I559" s="6" t="n">
        <x:v>89</x:v>
      </x:c>
    </x:row>
    <x:row r="560">
      <x:c r="A560" s="13" t="str">
        <x:v>1020</x:v>
      </x:c>
      <x:c r="B560" s="14" t="str"/>
      <x:c r="C560" s="14" t="str">
        <x:v>Lv.5</x:v>
      </x:c>
      <x:c r="D560" s="14" t="str">
        <x:v>謝耀慶醫師</x:v>
      </x:c>
      <x:c r="E560" s="6" t="str">
        <x:v>器械準備</x:v>
      </x:c>
      <x:c r="F560" s="6" t="str">
        <x:v>洗牙</x:v>
      </x:c>
      <x:c r="G560" s="19" t="str">
        <x:v>◎</x:v>
      </x:c>
      <x:c r="H560" s="17" t="str">
        <x:v>熟練</x:v>
      </x:c>
      <x:c r="I560" s="6" t="n">
        <x:v>90</x:v>
      </x:c>
    </x:row>
    <x:row r="561">
      <x:c r="A561" s="13" t="str">
        <x:v>1020</x:v>
      </x:c>
      <x:c r="B561" s="14" t="str"/>
      <x:c r="C561" s="14" t="str">
        <x:v>Lv.5</x:v>
      </x:c>
      <x:c r="D561" s="14" t="str">
        <x:v>謝耀慶醫師</x:v>
      </x:c>
      <x:c r="E561" s="6" t="str">
        <x:v>器械準備</x:v>
      </x:c>
      <x:c r="F561" s="6" t="str">
        <x:v>補牙</x:v>
      </x:c>
      <x:c r="G561" s="19" t="str">
        <x:v>◎</x:v>
      </x:c>
      <x:c r="H561" s="17" t="str">
        <x:v>熟練</x:v>
      </x:c>
      <x:c r="I561" s="6" t="n">
        <x:v>91</x:v>
      </x:c>
    </x:row>
    <x:row r="562">
      <x:c r="A562" s="13" t="str">
        <x:v>1020</x:v>
      </x:c>
      <x:c r="B562" s="14" t="str"/>
      <x:c r="C562" s="14" t="str">
        <x:v>Lv.5</x:v>
      </x:c>
      <x:c r="D562" s="14" t="str">
        <x:v>謝耀慶醫師</x:v>
      </x:c>
      <x:c r="E562" s="6" t="str">
        <x:v>器械準備</x:v>
      </x:c>
      <x:c r="F562" s="6" t="str">
        <x:v>牙周統合治療</x:v>
      </x:c>
      <x:c r="G562" s="19" t="str"/>
      <x:c r="H562" s="17" t="str">
        <x:v>未評分</x:v>
      </x:c>
      <x:c r="I562" s="6" t="n">
        <x:v>92</x:v>
      </x:c>
    </x:row>
    <x:row r="563">
      <x:c r="A563" s="13" t="str">
        <x:v>1020</x:v>
      </x:c>
      <x:c r="B563" s="14" t="str"/>
      <x:c r="C563" s="14" t="str">
        <x:v>Lv.5</x:v>
      </x:c>
      <x:c r="D563" s="14" t="str">
        <x:v>謝耀慶醫師</x:v>
      </x:c>
      <x:c r="E563" s="6" t="str">
        <x:v>器械準備</x:v>
      </x:c>
      <x:c r="F563" s="6" t="str">
        <x:v>簡單拔牙</x:v>
      </x:c>
      <x:c r="G563" s="19" t="str"/>
      <x:c r="H563" s="17" t="str">
        <x:v>未評分</x:v>
      </x:c>
      <x:c r="I563" s="6" t="n">
        <x:v>93</x:v>
      </x:c>
    </x:row>
    <x:row r="564">
      <x:c r="A564" s="13" t="str">
        <x:v>1020</x:v>
      </x:c>
      <x:c r="B564" s="14" t="str"/>
      <x:c r="C564" s="14" t="str">
        <x:v>Lv.5</x:v>
      </x:c>
      <x:c r="D564" s="14" t="str">
        <x:v>謝耀慶醫師</x:v>
      </x:c>
      <x:c r="E564" s="6" t="str"/>
      <x:c r="F564" s="6" t="str">
        <x:v>器械熟悉度</x:v>
      </x:c>
      <x:c r="G564" s="19" t="str">
        <x:v>◎</x:v>
      </x:c>
      <x:c r="H564" s="17" t="str">
        <x:v>熟練</x:v>
      </x:c>
      <x:c r="I564" s="6" t="n">
        <x:v>94</x:v>
      </x:c>
    </x:row>
    <x:row r="565">
      <x:c r="A565" s="13" t="str">
        <x:v>1020</x:v>
      </x:c>
      <x:c r="B565" s="14" t="str"/>
      <x:c r="C565" s="14" t="str">
        <x:v>Lv.5</x:v>
      </x:c>
      <x:c r="D565" s="14" t="str">
        <x:v>謝耀慶醫師</x:v>
      </x:c>
      <x:c r="E565" s="6" t="str"/>
      <x:c r="F565" s="6" t="str">
        <x:v>跟診順暢度</x:v>
      </x:c>
      <x:c r="G565" s="19" t="str">
        <x:v>◎</x:v>
      </x:c>
      <x:c r="H565" s="17" t="str">
        <x:v>熟練</x:v>
      </x:c>
      <x:c r="I565" s="6" t="n">
        <x:v>95</x:v>
      </x:c>
    </x:row>
    <x:row r="566">
      <x:c r="A566" s="13" t="str">
        <x:v>1020</x:v>
      </x:c>
      <x:c r="B566" s="14" t="str"/>
      <x:c r="C566" s="14" t="str">
        <x:v>Lv.5</x:v>
      </x:c>
      <x:c r="D566" s="14" t="str">
        <x:v>謝耀慶醫師</x:v>
      </x:c>
      <x:c r="E566" s="6" t="str"/>
      <x:c r="F566" s="6" t="str">
        <x:v>病歷紀錄</x:v>
      </x:c>
      <x:c r="G566" s="19" t="str">
        <x:v>◎</x:v>
      </x:c>
      <x:c r="H566" s="17" t="str">
        <x:v>熟練</x:v>
      </x:c>
      <x:c r="I566" s="6" t="n">
        <x:v>96</x:v>
      </x:c>
    </x:row>
    <x:row r="567">
      <x:c r="A567" s="13" t="str">
        <x:v>1020</x:v>
      </x:c>
      <x:c r="B567" s="14" t="str"/>
      <x:c r="C567" s="14" t="str">
        <x:v>Lv.5</x:v>
      </x:c>
      <x:c r="D567" s="14" t="str">
        <x:v>謝耀慶醫師</x:v>
      </x:c>
      <x:c r="E567" s="6" t="str"/>
      <x:c r="F567" s="6" t="str">
        <x:v>X光片紀錄</x:v>
      </x:c>
      <x:c r="G567" s="19" t="str">
        <x:v>◎</x:v>
      </x:c>
      <x:c r="H567" s="17" t="str">
        <x:v>熟練</x:v>
      </x:c>
      <x:c r="I567" s="6" t="n">
        <x:v>97</x:v>
      </x:c>
    </x:row>
    <x:row r="568">
      <x:c r="A568" s="13" t="str">
        <x:v>1020</x:v>
      </x:c>
      <x:c r="B568" s="14" t="str"/>
      <x:c r="C568" s="14" t="str">
        <x:v>Lv.5</x:v>
      </x:c>
      <x:c r="D568" s="14" t="str">
        <x:v>謝耀慶醫師</x:v>
      </x:c>
      <x:c r="E568" s="6" t="str"/>
      <x:c r="F568" s="6" t="str">
        <x:v>手持X光機</x:v>
      </x:c>
      <x:c r="G568" s="19" t="str">
        <x:v>◎</x:v>
      </x:c>
      <x:c r="H568" s="17" t="str">
        <x:v>熟練</x:v>
      </x:c>
      <x:c r="I568" s="6" t="n">
        <x:v>98</x:v>
      </x:c>
    </x:row>
    <x:row r="569">
      <x:c r="A569" s="13" t="str">
        <x:v>1020</x:v>
      </x:c>
      <x:c r="B569" s="14" t="str"/>
      <x:c r="C569" s="14" t="str">
        <x:v>Lv.5</x:v>
      </x:c>
      <x:c r="D569" s="14" t="str">
        <x:v>謝耀慶醫師</x:v>
      </x:c>
      <x:c r="E569" s="6" t="str"/>
      <x:c r="F569" s="6" t="str">
        <x:v>健保申報</x:v>
      </x:c>
      <x:c r="G569" s="19" t="str">
        <x:v>◎</x:v>
      </x:c>
      <x:c r="H569" s="17" t="str">
        <x:v>熟練</x:v>
      </x:c>
      <x:c r="I569" s="6" t="n">
        <x:v>99</x:v>
      </x:c>
    </x:row>
    <x:row r="570">
      <x:c r="A570" s="13" t="str">
        <x:v>1020</x:v>
      </x:c>
      <x:c r="B570" s="14" t="str"/>
      <x:c r="C570" s="14" t="str">
        <x:v>Lv.5</x:v>
      </x:c>
      <x:c r="D570" s="14" t="str">
        <x:v>謝耀慶醫師</x:v>
      </x:c>
      <x:c r="E570" s="6" t="str"/>
      <x:c r="F570" s="6" t="str">
        <x:v>舒眠手術</x:v>
      </x:c>
      <x:c r="G570" s="19" t="str">
        <x:v>※</x:v>
      </x:c>
      <x:c r="H570" s="17" t="str">
        <x:v>學習中</x:v>
      </x:c>
      <x:c r="I570" s="6" t="n">
        <x:v>100</x:v>
      </x:c>
    </x:row>
    <x:row r="571">
      <x:c r="A571" s="13" t="str">
        <x:v>1020</x:v>
      </x:c>
      <x:c r="B571" s="14" t="str"/>
      <x:c r="C571" s="14" t="str">
        <x:v>Lv.5</x:v>
      </x:c>
      <x:c r="D571" s="14" t="str">
        <x:v>陳醫師</x:v>
      </x:c>
      <x:c r="E571" s="6" t="str">
        <x:v>器械準備</x:v>
      </x:c>
      <x:c r="F571" s="6" t="str">
        <x:v>洗牙</x:v>
      </x:c>
      <x:c r="G571" s="19" t="str">
        <x:v>※</x:v>
      </x:c>
      <x:c r="H571" s="17" t="str">
        <x:v>學習中</x:v>
      </x:c>
      <x:c r="I571" s="6" t="n">
        <x:v>101</x:v>
      </x:c>
    </x:row>
    <x:row r="572">
      <x:c r="A572" s="13" t="str">
        <x:v>1020</x:v>
      </x:c>
      <x:c r="B572" s="14" t="str"/>
      <x:c r="C572" s="14" t="str">
        <x:v>Lv.5</x:v>
      </x:c>
      <x:c r="D572" s="14" t="str">
        <x:v>陳醫師</x:v>
      </x:c>
      <x:c r="E572" s="6" t="str">
        <x:v>器械準備</x:v>
      </x:c>
      <x:c r="F572" s="6" t="str">
        <x:v>補牙</x:v>
      </x:c>
      <x:c r="G572" s="19" t="str">
        <x:v>※</x:v>
      </x:c>
      <x:c r="H572" s="17" t="str">
        <x:v>學習中</x:v>
      </x:c>
      <x:c r="I572" s="6" t="n">
        <x:v>102</x:v>
      </x:c>
    </x:row>
    <x:row r="573">
      <x:c r="A573" s="13" t="str">
        <x:v>1020</x:v>
      </x:c>
      <x:c r="B573" s="14" t="str"/>
      <x:c r="C573" s="14" t="str">
        <x:v>Lv.5</x:v>
      </x:c>
      <x:c r="D573" s="14" t="str">
        <x:v>陳醫師</x:v>
      </x:c>
      <x:c r="E573" s="6" t="str">
        <x:v>器械準備</x:v>
      </x:c>
      <x:c r="F573" s="6" t="str">
        <x:v>根管治療</x:v>
      </x:c>
      <x:c r="G573" s="19" t="str">
        <x:v>※</x:v>
      </x:c>
      <x:c r="H573" s="17" t="str">
        <x:v>學習中</x:v>
      </x:c>
      <x:c r="I573" s="6" t="n">
        <x:v>103</x:v>
      </x:c>
    </x:row>
    <x:row r="574">
      <x:c r="A574" s="13" t="str">
        <x:v>1020</x:v>
      </x:c>
      <x:c r="B574" s="14" t="str"/>
      <x:c r="C574" s="14" t="str">
        <x:v>Lv.5</x:v>
      </x:c>
      <x:c r="D574" s="14" t="str">
        <x:v>陳醫師</x:v>
      </x:c>
      <x:c r="E574" s="6" t="str"/>
      <x:c r="F574" s="6" t="str">
        <x:v>跟診順暢度</x:v>
      </x:c>
      <x:c r="G574" s="19" t="str">
        <x:v>※</x:v>
      </x:c>
      <x:c r="H574" s="17" t="str">
        <x:v>學習中</x:v>
      </x:c>
      <x:c r="I574" s="6" t="n">
        <x:v>104</x:v>
      </x:c>
    </x:row>
    <x:row r="575">
      <x:c r="A575" s="13" t="str">
        <x:v>1020</x:v>
      </x:c>
      <x:c r="B575" s="14" t="str"/>
      <x:c r="C575" s="14" t="str">
        <x:v>Lv.5</x:v>
      </x:c>
      <x:c r="D575" s="14" t="str">
        <x:v>陳醫師</x:v>
      </x:c>
      <x:c r="E575" s="6" t="str"/>
      <x:c r="F575" s="6" t="str">
        <x:v>病歷紀錄</x:v>
      </x:c>
      <x:c r="G575" s="19" t="str">
        <x:v>※</x:v>
      </x:c>
      <x:c r="H575" s="17" t="str">
        <x:v>學習中</x:v>
      </x:c>
      <x:c r="I575" s="6" t="n">
        <x:v>105</x:v>
      </x:c>
    </x:row>
    <x:row r="576">
      <x:c r="A576" s="13" t="str">
        <x:v>1020</x:v>
      </x:c>
      <x:c r="B576" s="14" t="str"/>
      <x:c r="C576" s="14" t="str">
        <x:v>Lv.5</x:v>
      </x:c>
      <x:c r="D576" s="14" t="str">
        <x:v>陳醫師</x:v>
      </x:c>
      <x:c r="E576" s="6" t="str"/>
      <x:c r="F576" s="6" t="str">
        <x:v>拍PANO、PA</x:v>
      </x:c>
      <x:c r="G576" s="19" t="str">
        <x:v>※</x:v>
      </x:c>
      <x:c r="H576" s="17" t="str">
        <x:v>學習中</x:v>
      </x:c>
      <x:c r="I576" s="6" t="n">
        <x:v>106</x:v>
      </x:c>
    </x:row>
    <x:row r="577">
      <x:c r="A577" s="13" t="str">
        <x:v>1020</x:v>
      </x:c>
      <x:c r="B577" s="14" t="str"/>
      <x:c r="C577" s="14" t="str">
        <x:v>Lv.5</x:v>
      </x:c>
      <x:c r="D577" s="14" t="str">
        <x:v>陳醫師</x:v>
      </x:c>
      <x:c r="E577" s="6" t="str"/>
      <x:c r="F577" s="6" t="str">
        <x:v>X光片紀錄</x:v>
      </x:c>
      <x:c r="G577" s="19" t="str">
        <x:v>※</x:v>
      </x:c>
      <x:c r="H577" s="17" t="str">
        <x:v>學習中</x:v>
      </x:c>
      <x:c r="I577" s="6" t="n">
        <x:v>107</x:v>
      </x:c>
    </x:row>
    <x:row r="578">
      <x:c r="A578" s="13" t="str">
        <x:v>1020</x:v>
      </x:c>
      <x:c r="B578" s="14" t="str"/>
      <x:c r="C578" s="14" t="str">
        <x:v>Lv.5</x:v>
      </x:c>
      <x:c r="D578" s="14" t="str">
        <x:v>陳醫師</x:v>
      </x:c>
      <x:c r="E578" s="6" t="str"/>
      <x:c r="F578" s="6" t="str">
        <x:v>健保申報</x:v>
      </x:c>
      <x:c r="G578" s="19" t="str">
        <x:v>※</x:v>
      </x:c>
      <x:c r="H578" s="17" t="str">
        <x:v>學習中</x:v>
      </x:c>
      <x:c r="I578" s="6" t="n">
        <x:v>108</x:v>
      </x:c>
    </x:row>
    <x:row r="579">
      <x:c r="A579" s="13" t="str">
        <x:v>1020</x:v>
      </x:c>
      <x:c r="B579" s="14" t="str"/>
      <x:c r="C579" s="14" t="str">
        <x:v>Lv.5</x:v>
      </x:c>
      <x:c r="D579" s="14" t="str">
        <x:v>陳醫師</x:v>
      </x:c>
      <x:c r="E579" s="6" t="str"/>
      <x:c r="F579" s="6" t="str">
        <x:v>固定假牙</x:v>
      </x:c>
      <x:c r="G579" s="19" t="str">
        <x:v>※</x:v>
      </x:c>
      <x:c r="H579" s="17" t="str">
        <x:v>學習中</x:v>
      </x:c>
      <x:c r="I579" s="6" t="n">
        <x:v>109</x:v>
      </x:c>
    </x:row>
    <x:row r="580">
      <x:c r="A580" s="13" t="str">
        <x:v>1020</x:v>
      </x:c>
      <x:c r="B580" s="14" t="str"/>
      <x:c r="C580" s="14" t="str">
        <x:v>Lv.5</x:v>
      </x:c>
      <x:c r="D580" s="14" t="str">
        <x:v>陳醫師</x:v>
      </x:c>
      <x:c r="E580" s="6" t="str"/>
      <x:c r="F580" s="6" t="str">
        <x:v>顯微根管</x:v>
      </x:c>
      <x:c r="G580" s="19" t="str">
        <x:v>※</x:v>
      </x:c>
      <x:c r="H580" s="17" t="str">
        <x:v>學習中</x:v>
      </x:c>
      <x:c r="I580" s="6" t="n">
        <x:v>110</x:v>
      </x:c>
    </x:row>
    <x:row r="581">
      <x:c r="A581" s="13" t="str">
        <x:v>1020</x:v>
      </x:c>
      <x:c r="B581" s="14" t="str"/>
      <x:c r="C581" s="14" t="str">
        <x:v>Lv.5</x:v>
      </x:c>
      <x:c r="D581" s="14" t="str">
        <x:v>櫃台</x:v>
      </x:c>
      <x:c r="E581" s="6" t="str"/>
      <x:c r="F581" s="6" t="str">
        <x:v>掛號處理(含初診處理)開立一般收據及藥單</x:v>
      </x:c>
      <x:c r="G581" s="19" t="str">
        <x:v>◎</x:v>
      </x:c>
      <x:c r="H581" s="17" t="str">
        <x:v>熟練</x:v>
      </x:c>
      <x:c r="I581" s="6" t="n">
        <x:v>111</x:v>
      </x:c>
    </x:row>
    <x:row r="582">
      <x:c r="A582" s="13" t="str">
        <x:v>1020</x:v>
      </x:c>
      <x:c r="B582" s="14" t="str"/>
      <x:c r="C582" s="14" t="str">
        <x:v>Lv.5</x:v>
      </x:c>
      <x:c r="D582" s="14" t="str">
        <x:v>櫃台</x:v>
      </x:c>
      <x:c r="E582" s="6" t="str"/>
      <x:c r="F582" s="6" t="str">
        <x:v>收費紀錄</x:v>
      </x:c>
      <x:c r="G582" s="19" t="str">
        <x:v>◎</x:v>
      </x:c>
      <x:c r="H582" s="17" t="str">
        <x:v>熟練</x:v>
      </x:c>
      <x:c r="I582" s="6" t="n">
        <x:v>112</x:v>
      </x:c>
    </x:row>
    <x:row r="583">
      <x:c r="A583" s="13" t="str">
        <x:v>1020</x:v>
      </x:c>
      <x:c r="B583" s="14" t="str"/>
      <x:c r="C583" s="14" t="str">
        <x:v>Lv.5</x:v>
      </x:c>
      <x:c r="D583" s="14" t="str">
        <x:v>櫃台</x:v>
      </x:c>
      <x:c r="E583" s="6" t="str"/>
      <x:c r="F583" s="6" t="str">
        <x:v>病歷整理</x:v>
      </x:c>
      <x:c r="G583" s="19" t="str">
        <x:v>◎</x:v>
      </x:c>
      <x:c r="H583" s="17" t="str">
        <x:v>熟練</x:v>
      </x:c>
      <x:c r="I583" s="6" t="n">
        <x:v>113</x:v>
      </x:c>
    </x:row>
    <x:row r="584">
      <x:c r="A584" s="13" t="str">
        <x:v>1020</x:v>
      </x:c>
      <x:c r="B584" s="14" t="str"/>
      <x:c r="C584" s="14" t="str">
        <x:v>Lv.5</x:v>
      </x:c>
      <x:c r="D584" s="14" t="str">
        <x:v>櫃台</x:v>
      </x:c>
      <x:c r="E584" s="6" t="str"/>
      <x:c r="F584" s="6" t="str">
        <x:v>治療同意書填寫</x:v>
      </x:c>
      <x:c r="G584" s="19" t="str">
        <x:v>◎</x:v>
      </x:c>
      <x:c r="H584" s="17" t="str">
        <x:v>熟練</x:v>
      </x:c>
      <x:c r="I584" s="6" t="n">
        <x:v>114</x:v>
      </x:c>
    </x:row>
    <x:row r="585">
      <x:c r="A585" s="13" t="str">
        <x:v>1020</x:v>
      </x:c>
      <x:c r="B585" s="14" t="str"/>
      <x:c r="C585" s="14" t="str">
        <x:v>Lv.5</x:v>
      </x:c>
      <x:c r="D585" s="14" t="str">
        <x:v>櫃台</x:v>
      </x:c>
      <x:c r="E585" s="6" t="str"/>
      <x:c r="F585" s="6" t="str">
        <x:v>與患者應對</x:v>
      </x:c>
      <x:c r="G585" s="19" t="str">
        <x:v>◎</x:v>
      </x:c>
      <x:c r="H585" s="17" t="str">
        <x:v>熟練</x:v>
      </x:c>
      <x:c r="I585" s="6" t="n">
        <x:v>115</x:v>
      </x:c>
    </x:row>
    <x:row r="586">
      <x:c r="A586" s="13" t="str">
        <x:v>1020</x:v>
      </x:c>
      <x:c r="B586" s="14" t="str"/>
      <x:c r="C586" s="14" t="str">
        <x:v>Lv.5</x:v>
      </x:c>
      <x:c r="D586" s="14" t="str">
        <x:v>櫃台</x:v>
      </x:c>
      <x:c r="E586" s="6" t="str"/>
      <x:c r="F586" s="6" t="str">
        <x:v>約診</x:v>
      </x:c>
      <x:c r="G586" s="19" t="str">
        <x:v>◎</x:v>
      </x:c>
      <x:c r="H586" s="17" t="str">
        <x:v>熟練</x:v>
      </x:c>
      <x:c r="I586" s="6" t="n">
        <x:v>116</x:v>
      </x:c>
    </x:row>
    <x:row r="587">
      <x:c r="A587" s="13" t="str">
        <x:v>1020</x:v>
      </x:c>
      <x:c r="B587" s="14" t="str"/>
      <x:c r="C587" s="14" t="str">
        <x:v>Lv.5</x:v>
      </x:c>
      <x:c r="D587" s="14" t="str">
        <x:v>櫃台</x:v>
      </x:c>
      <x:c r="E587" s="6" t="str"/>
      <x:c r="F587" s="6" t="str">
        <x:v>報表製作</x:v>
      </x:c>
      <x:c r="G587" s="19" t="str">
        <x:v>◎</x:v>
      </x:c>
      <x:c r="H587" s="17" t="str">
        <x:v>熟練</x:v>
      </x:c>
      <x:c r="I587" s="6" t="n">
        <x:v>117</x:v>
      </x:c>
    </x:row>
    <x:row r="588">
      <x:c r="A588" s="13" t="str">
        <x:v>1020</x:v>
      </x:c>
      <x:c r="B588" s="14" t="str"/>
      <x:c r="C588" s="14" t="str">
        <x:v>Lv.5</x:v>
      </x:c>
      <x:c r="D588" s="14" t="str">
        <x:v>櫃台</x:v>
      </x:c>
      <x:c r="E588" s="6" t="str"/>
      <x:c r="F588" s="6" t="str">
        <x:v>診斷證明書</x:v>
      </x:c>
      <x:c r="G588" s="19" t="str">
        <x:v>◎</x:v>
      </x:c>
      <x:c r="H588" s="17" t="str">
        <x:v>熟練</x:v>
      </x:c>
      <x:c r="I588" s="6" t="n">
        <x:v>118</x:v>
      </x:c>
    </x:row>
    <x:row r="589">
      <x:c r="A589" s="13" t="str">
        <x:v>1020</x:v>
      </x:c>
      <x:c r="B589" s="14" t="str"/>
      <x:c r="C589" s="14" t="str">
        <x:v>Lv.5</x:v>
      </x:c>
      <x:c r="D589" s="14" t="str">
        <x:v>櫃台</x:v>
      </x:c>
      <x:c r="E589" s="6" t="str"/>
      <x:c r="F589" s="6" t="str">
        <x:v>牙統VPN</x:v>
      </x:c>
      <x:c r="G589" s="19" t="str">
        <x:v>◎</x:v>
      </x:c>
      <x:c r="H589" s="17" t="str">
        <x:v>熟練</x:v>
      </x:c>
      <x:c r="I589" s="6" t="n">
        <x:v>119</x:v>
      </x:c>
    </x:row>
    <x:row r="590">
      <x:c r="A590" s="13" t="str">
        <x:v>1020</x:v>
      </x:c>
      <x:c r="B590" s="14" t="str"/>
      <x:c r="C590" s="14" t="str">
        <x:v>Lv.5</x:v>
      </x:c>
      <x:c r="D590" s="14" t="str">
        <x:v>櫃台</x:v>
      </x:c>
      <x:c r="E590" s="6" t="str"/>
      <x:c r="F590" s="6" t="str">
        <x:v>病歷檢查核對</x:v>
      </x:c>
      <x:c r="G590" s="19" t="str">
        <x:v>◎</x:v>
      </x:c>
      <x:c r="H590" s="17" t="str">
        <x:v>熟練</x:v>
      </x:c>
      <x:c r="I590" s="6" t="n">
        <x:v>120</x:v>
      </x:c>
    </x:row>
    <x:row r="591">
      <x:c r="A591" s="13" t="str">
        <x:v>1020</x:v>
      </x:c>
      <x:c r="B591" s="14" t="str"/>
      <x:c r="C591" s="14" t="str">
        <x:v>Lv.5</x:v>
      </x:c>
      <x:c r="D591" s="14" t="str">
        <x:v>櫃台</x:v>
      </x:c>
      <x:c r="E591" s="6" t="str"/>
      <x:c r="F591" s="6" t="str">
        <x:v>抽審資料處理</x:v>
      </x:c>
      <x:c r="G591" s="19" t="str">
        <x:v>Ø</x:v>
      </x:c>
      <x:c r="H591" s="17" t="str">
        <x:v>尚未熟練</x:v>
      </x:c>
      <x:c r="I591" s="6" t="n">
        <x:v>121</x:v>
      </x:c>
    </x:row>
    <x:row r="592">
      <x:c r="A592" s="13" t="str">
        <x:v>1025</x:v>
      </x:c>
      <x:c r="B592" s="14" t="str"/>
      <x:c r="C592" s="14" t="str">
        <x:v>Lv.3</x:v>
      </x:c>
      <x:c r="D592" s="14" t="str">
        <x:v>流動工作</x:v>
      </x:c>
      <x:c r="E592" s="6" t="str"/>
      <x:c r="F592" s="6" t="str">
        <x:v>撤備台</x:v>
      </x:c>
      <x:c r="G592" s="19" t="str">
        <x:v>◎</x:v>
      </x:c>
      <x:c r="H592" s="17" t="str">
        <x:v>熟練</x:v>
      </x:c>
      <x:c r="I592" s="6" t="n">
        <x:v>5</x:v>
      </x:c>
    </x:row>
    <x:row r="593">
      <x:c r="A593" s="13" t="str">
        <x:v>1025</x:v>
      </x:c>
      <x:c r="B593" s="14" t="str"/>
      <x:c r="C593" s="14" t="str">
        <x:v>Lv.3</x:v>
      </x:c>
      <x:c r="D593" s="14" t="str">
        <x:v>流動工作</x:v>
      </x:c>
      <x:c r="E593" s="6" t="str"/>
      <x:c r="F593" s="6" t="str">
        <x:v>器械清消流程</x:v>
      </x:c>
      <x:c r="G593" s="19" t="str">
        <x:v>◎</x:v>
      </x:c>
      <x:c r="H593" s="17" t="str">
        <x:v>熟練</x:v>
      </x:c>
      <x:c r="I593" s="6" t="n">
        <x:v>6</x:v>
      </x:c>
    </x:row>
    <x:row r="594">
      <x:c r="A594" s="13" t="str">
        <x:v>1025</x:v>
      </x:c>
      <x:c r="B594" s="14" t="str"/>
      <x:c r="C594" s="14" t="str">
        <x:v>Lv.3</x:v>
      </x:c>
      <x:c r="D594" s="14" t="str">
        <x:v>流動工作</x:v>
      </x:c>
      <x:c r="E594" s="6" t="str"/>
      <x:c r="F594" s="6" t="str">
        <x:v>認識治療項目</x:v>
      </x:c>
      <x:c r="G594" s="19" t="str">
        <x:v>◎</x:v>
      </x:c>
      <x:c r="H594" s="17" t="str">
        <x:v>熟練</x:v>
      </x:c>
      <x:c r="I594" s="6" t="n">
        <x:v>7</x:v>
      </x:c>
    </x:row>
    <x:row r="595">
      <x:c r="A595" s="13" t="str">
        <x:v>1025</x:v>
      </x:c>
      <x:c r="B595" s="14" t="str"/>
      <x:c r="C595" s="14" t="str">
        <x:v>Lv.3</x:v>
      </x:c>
      <x:c r="D595" s="14" t="str">
        <x:v>流動工作</x:v>
      </x:c>
      <x:c r="E595" s="6" t="str"/>
      <x:c r="F595" s="6" t="str">
        <x:v>替代跟診人員灌模</x:v>
      </x:c>
      <x:c r="G595" s="19" t="str">
        <x:v>◎</x:v>
      </x:c>
      <x:c r="H595" s="17" t="str">
        <x:v>熟練</x:v>
      </x:c>
      <x:c r="I595" s="6" t="n">
        <x:v>8</x:v>
      </x:c>
    </x:row>
    <x:row r="596">
      <x:c r="A596" s="13" t="str">
        <x:v>1025</x:v>
      </x:c>
      <x:c r="B596" s="14" t="str"/>
      <x:c r="C596" s="14" t="str">
        <x:v>Lv.3</x:v>
      </x:c>
      <x:c r="D596" s="14" t="str">
        <x:v>流動工作</x:v>
      </x:c>
      <x:c r="E596" s="6" t="str"/>
      <x:c r="F596" s="6" t="str">
        <x:v>拍攝X光片(PANO)</x:v>
      </x:c>
      <x:c r="G596" s="19" t="str">
        <x:v>◎</x:v>
      </x:c>
      <x:c r="H596" s="17" t="str">
        <x:v>熟練</x:v>
      </x:c>
      <x:c r="I596" s="6" t="n">
        <x:v>9</x:v>
      </x:c>
    </x:row>
    <x:row r="597">
      <x:c r="A597" s="13" t="str">
        <x:v>1025</x:v>
      </x:c>
      <x:c r="B597" s="14" t="str"/>
      <x:c r="C597" s="14" t="str">
        <x:v>Lv.3</x:v>
      </x:c>
      <x:c r="D597" s="14" t="str">
        <x:v>流動工作</x:v>
      </x:c>
      <x:c r="E597" s="6" t="str"/>
      <x:c r="F597" s="6" t="str">
        <x:v>拍攝根尖片(用鱷魚夾)</x:v>
      </x:c>
      <x:c r="G597" s="19" t="str">
        <x:v>◎</x:v>
      </x:c>
      <x:c r="H597" s="17" t="str">
        <x:v>熟練</x:v>
      </x:c>
      <x:c r="I597" s="6" t="n">
        <x:v>10</x:v>
      </x:c>
    </x:row>
    <x:row r="598">
      <x:c r="A598" s="13" t="str">
        <x:v>1025</x:v>
      </x:c>
      <x:c r="B598" s="14" t="str"/>
      <x:c r="C598" s="14" t="str">
        <x:v>Lv.3</x:v>
      </x:c>
      <x:c r="D598" s="14" t="str">
        <x:v>流動工作</x:v>
      </x:c>
      <x:c r="E598" s="6" t="str"/>
      <x:c r="F598" s="6" t="str">
        <x:v>拍攝根尖片(手壓片)</x:v>
      </x:c>
      <x:c r="G598" s="19" t="str">
        <x:v>◎</x:v>
      </x:c>
      <x:c r="H598" s="17" t="str">
        <x:v>熟練</x:v>
      </x:c>
      <x:c r="I598" s="6" t="n">
        <x:v>11</x:v>
      </x:c>
    </x:row>
    <x:row r="599">
      <x:c r="A599" s="13" t="str">
        <x:v>1025</x:v>
      </x:c>
      <x:c r="B599" s="14" t="str"/>
      <x:c r="C599" s="14" t="str">
        <x:v>Lv.3</x:v>
      </x:c>
      <x:c r="D599" s="14" t="str">
        <x:v>流動工作</x:v>
      </x:c>
      <x:c r="E599" s="6" t="str"/>
      <x:c r="F599" s="6" t="str">
        <x:v>開、關診工作</x:v>
      </x:c>
      <x:c r="G599" s="19" t="str">
        <x:v>◎</x:v>
      </x:c>
      <x:c r="H599" s="17" t="str">
        <x:v>熟練</x:v>
      </x:c>
      <x:c r="I599" s="6" t="n">
        <x:v>12</x:v>
      </x:c>
    </x:row>
    <x:row r="600">
      <x:c r="A600" s="13" t="str">
        <x:v>1025</x:v>
      </x:c>
      <x:c r="B600" s="14" t="str"/>
      <x:c r="C600" s="14" t="str">
        <x:v>Lv.3</x:v>
      </x:c>
      <x:c r="D600" s="14" t="str">
        <x:v>流動工作</x:v>
      </x:c>
      <x:c r="E600" s="6" t="str"/>
      <x:c r="F600" s="6" t="str">
        <x:v>備品補充+器械安全庫存</x:v>
      </x:c>
      <x:c r="G600" s="19" t="str">
        <x:v>◎</x:v>
      </x:c>
      <x:c r="H600" s="17" t="str">
        <x:v>熟練</x:v>
      </x:c>
      <x:c r="I600" s="6" t="n">
        <x:v>13</x:v>
      </x:c>
    </x:row>
    <x:row r="601">
      <x:c r="A601" s="13" t="str">
        <x:v>1025</x:v>
      </x:c>
      <x:c r="B601" s="14" t="str"/>
      <x:c r="C601" s="14" t="str">
        <x:v>Lv.3</x:v>
      </x:c>
      <x:c r="D601" s="14" t="str">
        <x:v>衛教</x:v>
      </x:c>
      <x:c r="E601" s="6" t="str"/>
      <x:c r="F601" s="6" t="str">
        <x:v>基礎衛教</x:v>
      </x:c>
      <x:c r="G601" s="19" t="str">
        <x:v>◎</x:v>
      </x:c>
      <x:c r="H601" s="17" t="str">
        <x:v>熟練</x:v>
      </x:c>
      <x:c r="I601" s="6" t="n">
        <x:v>14</x:v>
      </x:c>
    </x:row>
    <x:row r="602">
      <x:c r="A602" s="13" t="str">
        <x:v>1025</x:v>
      </x:c>
      <x:c r="B602" s="14" t="str"/>
      <x:c r="C602" s="14" t="str">
        <x:v>Lv.3</x:v>
      </x:c>
      <x:c r="D602" s="14" t="str">
        <x:v>衛教</x:v>
      </x:c>
      <x:c r="E602" s="6" t="str"/>
      <x:c r="F602" s="6" t="str">
        <x:v>進階衛教</x:v>
      </x:c>
      <x:c r="G602" s="19" t="str">
        <x:v>◎</x:v>
      </x:c>
      <x:c r="H602" s="17" t="str">
        <x:v>熟練</x:v>
      </x:c>
      <x:c r="I602" s="6" t="n">
        <x:v>15</x:v>
      </x:c>
    </x:row>
    <x:row r="603">
      <x:c r="A603" s="13" t="str">
        <x:v>1025</x:v>
      </x:c>
      <x:c r="B603" s="14" t="str"/>
      <x:c r="C603" s="14" t="str">
        <x:v>Lv.3</x:v>
      </x:c>
      <x:c r="D603" s="14" t="str">
        <x:v>李柄輝醫師</x:v>
      </x:c>
      <x:c r="E603" s="6" t="str">
        <x:v>器械準備</x:v>
      </x:c>
      <x:c r="F603" s="6" t="str">
        <x:v>洗牙</x:v>
      </x:c>
      <x:c r="G603" s="19" t="str">
        <x:v>◎</x:v>
      </x:c>
      <x:c r="H603" s="17" t="str">
        <x:v>熟練</x:v>
      </x:c>
      <x:c r="I603" s="6" t="n">
        <x:v>16</x:v>
      </x:c>
    </x:row>
    <x:row r="604">
      <x:c r="A604" s="13" t="str">
        <x:v>1025</x:v>
      </x:c>
      <x:c r="B604" s="14" t="str"/>
      <x:c r="C604" s="14" t="str">
        <x:v>Lv.3</x:v>
      </x:c>
      <x:c r="D604" s="14" t="str">
        <x:v>李柄輝醫師</x:v>
      </x:c>
      <x:c r="E604" s="6" t="str">
        <x:v>器械準備</x:v>
      </x:c>
      <x:c r="F604" s="6" t="str">
        <x:v>補牙</x:v>
      </x:c>
      <x:c r="G604" s="19" t="str">
        <x:v>◎</x:v>
      </x:c>
      <x:c r="H604" s="17" t="str">
        <x:v>熟練</x:v>
      </x:c>
      <x:c r="I604" s="6" t="n">
        <x:v>17</x:v>
      </x:c>
    </x:row>
    <x:row r="605">
      <x:c r="A605" s="13" t="str">
        <x:v>1025</x:v>
      </x:c>
      <x:c r="B605" s="14" t="str"/>
      <x:c r="C605" s="14" t="str">
        <x:v>Lv.3</x:v>
      </x:c>
      <x:c r="D605" s="14" t="str">
        <x:v>李柄輝醫師</x:v>
      </x:c>
      <x:c r="E605" s="6" t="str">
        <x:v>器械準備</x:v>
      </x:c>
      <x:c r="F605" s="6" t="str">
        <x:v>牙周統合</x:v>
      </x:c>
      <x:c r="G605" s="19" t="str">
        <x:v>◎</x:v>
      </x:c>
      <x:c r="H605" s="17" t="str">
        <x:v>熟練</x:v>
      </x:c>
      <x:c r="I605" s="6" t="n">
        <x:v>18</x:v>
      </x:c>
    </x:row>
    <x:row r="606">
      <x:c r="A606" s="13" t="str">
        <x:v>1025</x:v>
      </x:c>
      <x:c r="B606" s="14" t="str"/>
      <x:c r="C606" s="14" t="str">
        <x:v>Lv.3</x:v>
      </x:c>
      <x:c r="D606" s="14" t="str">
        <x:v>李柄輝醫師</x:v>
      </x:c>
      <x:c r="E606" s="6" t="str">
        <x:v>器械準備</x:v>
      </x:c>
      <x:c r="F606" s="6" t="str">
        <x:v>根管治療(插針照)</x:v>
      </x:c>
      <x:c r="G606" s="19" t="str">
        <x:v>◎</x:v>
      </x:c>
      <x:c r="H606" s="17" t="str">
        <x:v>熟練</x:v>
      </x:c>
      <x:c r="I606" s="6" t="n">
        <x:v>19</x:v>
      </x:c>
    </x:row>
    <x:row r="607">
      <x:c r="A607" s="13" t="str">
        <x:v>1025</x:v>
      </x:c>
      <x:c r="B607" s="14" t="str"/>
      <x:c r="C607" s="14" t="str">
        <x:v>Lv.3</x:v>
      </x:c>
      <x:c r="D607" s="14" t="str">
        <x:v>李柄輝醫師</x:v>
      </x:c>
      <x:c r="E607" s="6" t="str">
        <x:v>器械準備</x:v>
      </x:c>
      <x:c r="F607" s="6" t="str">
        <x:v>拆crown/post</x:v>
      </x:c>
      <x:c r="G607" s="19" t="str">
        <x:v>◎</x:v>
      </x:c>
      <x:c r="H607" s="17" t="str">
        <x:v>熟練</x:v>
      </x:c>
      <x:c r="I607" s="6" t="n">
        <x:v>20</x:v>
      </x:c>
    </x:row>
    <x:row r="608">
      <x:c r="A608" s="13" t="str">
        <x:v>1025</x:v>
      </x:c>
      <x:c r="B608" s="14" t="str"/>
      <x:c r="C608" s="14" t="str">
        <x:v>Lv.3</x:v>
      </x:c>
      <x:c r="D608" s="14" t="str">
        <x:v>李柄輝醫師</x:v>
      </x:c>
      <x:c r="E608" s="6" t="str">
        <x:v>器械準備</x:v>
      </x:c>
      <x:c r="F608" s="6" t="str">
        <x:v>拔牙</x:v>
      </x:c>
      <x:c r="G608" s="19" t="str">
        <x:v>Ø</x:v>
      </x:c>
      <x:c r="H608" s="17" t="str">
        <x:v>尚未熟練</x:v>
      </x:c>
      <x:c r="I608" s="6" t="n">
        <x:v>21</x:v>
      </x:c>
    </x:row>
    <x:row r="609">
      <x:c r="A609" s="13" t="str">
        <x:v>1025</x:v>
      </x:c>
      <x:c r="B609" s="14" t="str"/>
      <x:c r="C609" s="14" t="str">
        <x:v>Lv.3</x:v>
      </x:c>
      <x:c r="D609" s="14" t="str">
        <x:v>李柄輝醫師</x:v>
      </x:c>
      <x:c r="E609" s="6" t="str">
        <x:v>自費</x:v>
      </x:c>
      <x:c r="F609" s="6" t="str">
        <x:v>固定假牙(黏著劑)</x:v>
      </x:c>
      <x:c r="G609" s="19" t="str">
        <x:v>◎</x:v>
      </x:c>
      <x:c r="H609" s="17" t="str">
        <x:v>熟練</x:v>
      </x:c>
      <x:c r="I609" s="6" t="n">
        <x:v>22</x:v>
      </x:c>
    </x:row>
    <x:row r="610">
      <x:c r="A610" s="13" t="str">
        <x:v>1025</x:v>
      </x:c>
      <x:c r="B610" s="14" t="str"/>
      <x:c r="C610" s="14" t="str">
        <x:v>Lv.3</x:v>
      </x:c>
      <x:c r="D610" s="14" t="str">
        <x:v>李柄輝醫師</x:v>
      </x:c>
      <x:c r="E610" s="6" t="str"/>
      <x:c r="F610" s="6" t="str">
        <x:v>跟診順暢度</x:v>
      </x:c>
      <x:c r="G610" s="19" t="str">
        <x:v>◎</x:v>
      </x:c>
      <x:c r="H610" s="17" t="str">
        <x:v>熟練</x:v>
      </x:c>
      <x:c r="I610" s="6" t="n">
        <x:v>23</x:v>
      </x:c>
    </x:row>
    <x:row r="611">
      <x:c r="A611" s="13" t="str">
        <x:v>1025</x:v>
      </x:c>
      <x:c r="B611" s="14" t="str"/>
      <x:c r="C611" s="14" t="str">
        <x:v>Lv.3</x:v>
      </x:c>
      <x:c r="D611" s="14" t="str">
        <x:v>李柄輝醫師</x:v>
      </x:c>
      <x:c r="E611" s="6" t="str"/>
      <x:c r="F611" s="6" t="str">
        <x:v>病歷紀錄</x:v>
      </x:c>
      <x:c r="G611" s="19" t="str">
        <x:v>◎</x:v>
      </x:c>
      <x:c r="H611" s="17" t="str">
        <x:v>熟練</x:v>
      </x:c>
      <x:c r="I611" s="6" t="n">
        <x:v>24</x:v>
      </x:c>
    </x:row>
    <x:row r="612">
      <x:c r="A612" s="13" t="str">
        <x:v>1025</x:v>
      </x:c>
      <x:c r="B612" s="14" t="str"/>
      <x:c r="C612" s="14" t="str">
        <x:v>Lv.3</x:v>
      </x:c>
      <x:c r="D612" s="14" t="str">
        <x:v>李柄輝醫師</x:v>
      </x:c>
      <x:c r="E612" s="6" t="str"/>
      <x:c r="F612" s="6" t="str">
        <x:v>健保申報</x:v>
      </x:c>
      <x:c r="G612" s="19" t="str">
        <x:v>◎</x:v>
      </x:c>
      <x:c r="H612" s="17" t="str">
        <x:v>熟練</x:v>
      </x:c>
      <x:c r="I612" s="6" t="n">
        <x:v>25</x:v>
      </x:c>
    </x:row>
    <x:row r="613">
      <x:c r="A613" s="13" t="str">
        <x:v>1025</x:v>
      </x:c>
      <x:c r="B613" s="14" t="str"/>
      <x:c r="C613" s="14" t="str">
        <x:v>Lv.3</x:v>
      </x:c>
      <x:c r="D613" s="14" t="str">
        <x:v>李柄輝醫師</x:v>
      </x:c>
      <x:c r="E613" s="6" t="str"/>
      <x:c r="F613" s="6" t="str">
        <x:v>X光片紀錄</x:v>
      </x:c>
      <x:c r="G613" s="19" t="str">
        <x:v>Ø</x:v>
      </x:c>
      <x:c r="H613" s="17" t="str">
        <x:v>尚未熟練</x:v>
      </x:c>
      <x:c r="I613" s="6" t="n">
        <x:v>26</x:v>
      </x:c>
    </x:row>
    <x:row r="614">
      <x:c r="A614" s="13" t="str">
        <x:v>1025</x:v>
      </x:c>
      <x:c r="B614" s="14" t="str"/>
      <x:c r="C614" s="14" t="str">
        <x:v>Lv.3</x:v>
      </x:c>
      <x:c r="D614" s="14" t="str">
        <x:v>李柄輝醫師</x:v>
      </x:c>
      <x:c r="E614" s="6" t="str"/>
      <x:c r="F614" s="6" t="str">
        <x:v>拍PA</x:v>
      </x:c>
      <x:c r="G614" s="19" t="str">
        <x:v>◎</x:v>
      </x:c>
      <x:c r="H614" s="17" t="str">
        <x:v>熟練</x:v>
      </x:c>
      <x:c r="I614" s="6" t="n">
        <x:v>27</x:v>
      </x:c>
    </x:row>
    <x:row r="615">
      <x:c r="A615" s="13" t="str">
        <x:v>1025</x:v>
      </x:c>
      <x:c r="B615" s="14" t="str"/>
      <x:c r="C615" s="14" t="str">
        <x:v>Lv.3</x:v>
      </x:c>
      <x:c r="D615" s="14" t="str">
        <x:v>李侑津醫師</x:v>
      </x:c>
      <x:c r="E615" s="6" t="str">
        <x:v>器械準備</x:v>
      </x:c>
      <x:c r="F615" s="6" t="str">
        <x:v>洗牙</x:v>
      </x:c>
      <x:c r="G615" s="19" t="str">
        <x:v>Ø</x:v>
      </x:c>
      <x:c r="H615" s="17" t="str">
        <x:v>尚未熟練</x:v>
      </x:c>
      <x:c r="I615" s="6" t="n">
        <x:v>28</x:v>
      </x:c>
    </x:row>
    <x:row r="616">
      <x:c r="A616" s="13" t="str">
        <x:v>1025</x:v>
      </x:c>
      <x:c r="B616" s="14" t="str"/>
      <x:c r="C616" s="14" t="str">
        <x:v>Lv.3</x:v>
      </x:c>
      <x:c r="D616" s="14" t="str">
        <x:v>李侑津醫師</x:v>
      </x:c>
      <x:c r="E616" s="6" t="str">
        <x:v>器械準備</x:v>
      </x:c>
      <x:c r="F616" s="6" t="str">
        <x:v>補牙</x:v>
      </x:c>
      <x:c r="G616" s="19" t="str">
        <x:v>Ø</x:v>
      </x:c>
      <x:c r="H616" s="17" t="str">
        <x:v>尚未熟練</x:v>
      </x:c>
      <x:c r="I616" s="6" t="n">
        <x:v>29</x:v>
      </x:c>
    </x:row>
    <x:row r="617">
      <x:c r="A617" s="13" t="str">
        <x:v>1025</x:v>
      </x:c>
      <x:c r="B617" s="14" t="str"/>
      <x:c r="C617" s="14" t="str">
        <x:v>Lv.3</x:v>
      </x:c>
      <x:c r="D617" s="14" t="str">
        <x:v>李侑津醫師</x:v>
      </x:c>
      <x:c r="E617" s="6" t="str">
        <x:v>器械準備</x:v>
      </x:c>
      <x:c r="F617" s="6" t="str">
        <x:v>牙周統合</x:v>
      </x:c>
      <x:c r="G617" s="19" t="str">
        <x:v>Ø</x:v>
      </x:c>
      <x:c r="H617" s="17" t="str">
        <x:v>尚未熟練</x:v>
      </x:c>
      <x:c r="I617" s="6" t="n">
        <x:v>30</x:v>
      </x:c>
    </x:row>
    <x:row r="618">
      <x:c r="A618" s="13" t="str">
        <x:v>1025</x:v>
      </x:c>
      <x:c r="B618" s="14" t="str"/>
      <x:c r="C618" s="14" t="str">
        <x:v>Lv.3</x:v>
      </x:c>
      <x:c r="D618" s="14" t="str">
        <x:v>李侑津醫師</x:v>
      </x:c>
      <x:c r="E618" s="6" t="str">
        <x:v>器械準備</x:v>
      </x:c>
      <x:c r="F618" s="6" t="str">
        <x:v>根管治療</x:v>
      </x:c>
      <x:c r="G618" s="19" t="str">
        <x:v>Ø</x:v>
      </x:c>
      <x:c r="H618" s="17" t="str">
        <x:v>尚未熟練</x:v>
      </x:c>
      <x:c r="I618" s="6" t="n">
        <x:v>31</x:v>
      </x:c>
    </x:row>
    <x:row r="619">
      <x:c r="A619" s="13" t="str">
        <x:v>1025</x:v>
      </x:c>
      <x:c r="B619" s="14" t="str"/>
      <x:c r="C619" s="14" t="str">
        <x:v>Lv.3</x:v>
      </x:c>
      <x:c r="D619" s="14" t="str">
        <x:v>李侑津醫師</x:v>
      </x:c>
      <x:c r="E619" s="6" t="str">
        <x:v>器械準備</x:v>
      </x:c>
      <x:c r="F619" s="6" t="str">
        <x:v>拔牙</x:v>
      </x:c>
      <x:c r="G619" s="19" t="str">
        <x:v>Ø</x:v>
      </x:c>
      <x:c r="H619" s="17" t="str">
        <x:v>尚未熟練</x:v>
      </x:c>
      <x:c r="I619" s="6" t="n">
        <x:v>32</x:v>
      </x:c>
    </x:row>
    <x:row r="620">
      <x:c r="A620" s="13" t="str">
        <x:v>1025</x:v>
      </x:c>
      <x:c r="B620" s="14" t="str"/>
      <x:c r="C620" s="14" t="str">
        <x:v>Lv.3</x:v>
      </x:c>
      <x:c r="D620" s="14" t="str">
        <x:v>李侑津醫師</x:v>
      </x:c>
      <x:c r="E620" s="6" t="str">
        <x:v>器械準備</x:v>
      </x:c>
      <x:c r="F620" s="6" t="str">
        <x:v>拆 crown/post</x:v>
      </x:c>
      <x:c r="G620" s="19" t="str">
        <x:v>Ø</x:v>
      </x:c>
      <x:c r="H620" s="17" t="str">
        <x:v>尚未熟練</x:v>
      </x:c>
      <x:c r="I620" s="6" t="n">
        <x:v>33</x:v>
      </x:c>
    </x:row>
    <x:row r="621">
      <x:c r="A621" s="13" t="str">
        <x:v>1025</x:v>
      </x:c>
      <x:c r="B621" s="14" t="str"/>
      <x:c r="C621" s="14" t="str">
        <x:v>Lv.3</x:v>
      </x:c>
      <x:c r="D621" s="14" t="str">
        <x:v>李侑津醫師</x:v>
      </x:c>
      <x:c r="E621" s="6" t="str">
        <x:v>自費</x:v>
      </x:c>
      <x:c r="F621" s="6" t="str">
        <x:v>固定假牙</x:v>
      </x:c>
      <x:c r="G621" s="19" t="str">
        <x:v>Ø</x:v>
      </x:c>
      <x:c r="H621" s="17" t="str">
        <x:v>尚未熟練</x:v>
      </x:c>
      <x:c r="I621" s="6" t="n">
        <x:v>34</x:v>
      </x:c>
    </x:row>
    <x:row r="622">
      <x:c r="A622" s="13" t="str">
        <x:v>1025</x:v>
      </x:c>
      <x:c r="B622" s="14" t="str"/>
      <x:c r="C622" s="14" t="str">
        <x:v>Lv.3</x:v>
      </x:c>
      <x:c r="D622" s="14" t="str">
        <x:v>李侑津醫師</x:v>
      </x:c>
      <x:c r="E622" s="6" t="str">
        <x:v>自費</x:v>
      </x:c>
      <x:c r="F622" s="6" t="str">
        <x:v>RPD</x:v>
      </x:c>
      <x:c r="G622" s="19" t="str">
        <x:v>Ø</x:v>
      </x:c>
      <x:c r="H622" s="17" t="str">
        <x:v>尚未熟練</x:v>
      </x:c>
      <x:c r="I622" s="6" t="n">
        <x:v>35</x:v>
      </x:c>
    </x:row>
    <x:row r="623">
      <x:c r="A623" s="13" t="str">
        <x:v>1025</x:v>
      </x:c>
      <x:c r="B623" s="14" t="str"/>
      <x:c r="C623" s="14" t="str">
        <x:v>Lv.3</x:v>
      </x:c>
      <x:c r="D623" s="14" t="str">
        <x:v>李侑津醫師</x:v>
      </x:c>
      <x:c r="E623" s="6" t="str">
        <x:v>自費</x:v>
      </x:c>
      <x:c r="F623" s="6" t="str">
        <x:v>噴砂美白</x:v>
      </x:c>
      <x:c r="G623" s="19" t="str">
        <x:v>※</x:v>
      </x:c>
      <x:c r="H623" s="17" t="str">
        <x:v>學習中</x:v>
      </x:c>
      <x:c r="I623" s="6" t="n">
        <x:v>36</x:v>
      </x:c>
    </x:row>
    <x:row r="624">
      <x:c r="A624" s="13" t="str">
        <x:v>1025</x:v>
      </x:c>
      <x:c r="B624" s="14" t="str"/>
      <x:c r="C624" s="14" t="str">
        <x:v>Lv.3</x:v>
      </x:c>
      <x:c r="D624" s="14" t="str">
        <x:v>李侑津醫師</x:v>
      </x:c>
      <x:c r="E624" s="6" t="str">
        <x:v>手術</x:v>
      </x:c>
      <x:c r="F624" s="6" t="str">
        <x:v>牙周手術</x:v>
      </x:c>
      <x:c r="G624" s="19" t="str">
        <x:v>Ø</x:v>
      </x:c>
      <x:c r="H624" s="17" t="str">
        <x:v>尚未熟練</x:v>
      </x:c>
      <x:c r="I624" s="6" t="n">
        <x:v>37</x:v>
      </x:c>
    </x:row>
    <x:row r="625">
      <x:c r="A625" s="13" t="str">
        <x:v>1025</x:v>
      </x:c>
      <x:c r="B625" s="14" t="str"/>
      <x:c r="C625" s="14" t="str">
        <x:v>Lv.3</x:v>
      </x:c>
      <x:c r="D625" s="14" t="str">
        <x:v>李侑津醫師</x:v>
      </x:c>
      <x:c r="E625" s="6" t="str">
        <x:v>手術</x:v>
      </x:c>
      <x:c r="F625" s="6" t="str">
        <x:v>顯微根管</x:v>
      </x:c>
      <x:c r="G625" s="19" t="str">
        <x:v>※</x:v>
      </x:c>
      <x:c r="H625" s="17" t="str">
        <x:v>學習中</x:v>
      </x:c>
      <x:c r="I625" s="6" t="n">
        <x:v>38</x:v>
      </x:c>
    </x:row>
    <x:row r="626">
      <x:c r="A626" s="13" t="str">
        <x:v>1025</x:v>
      </x:c>
      <x:c r="B626" s="14" t="str"/>
      <x:c r="C626" s="14" t="str">
        <x:v>Lv.3</x:v>
      </x:c>
      <x:c r="D626" s="14" t="str">
        <x:v>李侑津醫師</x:v>
      </x:c>
      <x:c r="E626" s="6" t="str">
        <x:v>手術</x:v>
      </x:c>
      <x:c r="F626" s="6" t="str">
        <x:v>植 牙</x:v>
      </x:c>
      <x:c r="G626" s="19" t="str">
        <x:v>Ø</x:v>
      </x:c>
      <x:c r="H626" s="17" t="str">
        <x:v>尚未熟練</x:v>
      </x:c>
      <x:c r="I626" s="6" t="n">
        <x:v>39</x:v>
      </x:c>
    </x:row>
    <x:row r="627">
      <x:c r="A627" s="13" t="str">
        <x:v>1025</x:v>
      </x:c>
      <x:c r="B627" s="14" t="str"/>
      <x:c r="C627" s="14" t="str">
        <x:v>Lv.3</x:v>
      </x:c>
      <x:c r="D627" s="14" t="str">
        <x:v>李侑津醫師</x:v>
      </x:c>
      <x:c r="E627" s="6" t="str"/>
      <x:c r="F627" s="6" t="str">
        <x:v>跟診順暢度</x:v>
      </x:c>
      <x:c r="G627" s="19" t="str">
        <x:v>Ø</x:v>
      </x:c>
      <x:c r="H627" s="17" t="str">
        <x:v>尚未熟練</x:v>
      </x:c>
      <x:c r="I627" s="6" t="n">
        <x:v>40</x:v>
      </x:c>
    </x:row>
    <x:row r="628">
      <x:c r="A628" s="13" t="str">
        <x:v>1025</x:v>
      </x:c>
      <x:c r="B628" s="14" t="str"/>
      <x:c r="C628" s="14" t="str">
        <x:v>Lv.3</x:v>
      </x:c>
      <x:c r="D628" s="14" t="str">
        <x:v>李侑津醫師</x:v>
      </x:c>
      <x:c r="E628" s="6" t="str"/>
      <x:c r="F628" s="6" t="str">
        <x:v>病歷紀錄</x:v>
      </x:c>
      <x:c r="G628" s="19" t="str">
        <x:v>Ø</x:v>
      </x:c>
      <x:c r="H628" s="17" t="str">
        <x:v>尚未熟練</x:v>
      </x:c>
      <x:c r="I628" s="6" t="n">
        <x:v>41</x:v>
      </x:c>
    </x:row>
    <x:row r="629">
      <x:c r="A629" s="13" t="str">
        <x:v>1025</x:v>
      </x:c>
      <x:c r="B629" s="14" t="str"/>
      <x:c r="C629" s="14" t="str">
        <x:v>Lv.3</x:v>
      </x:c>
      <x:c r="D629" s="14" t="str">
        <x:v>李侑津醫師</x:v>
      </x:c>
      <x:c r="E629" s="6" t="str"/>
      <x:c r="F629" s="6" t="str">
        <x:v>健保申報</x:v>
      </x:c>
      <x:c r="G629" s="19" t="str">
        <x:v>Ø</x:v>
      </x:c>
      <x:c r="H629" s="17" t="str">
        <x:v>尚未熟練</x:v>
      </x:c>
      <x:c r="I629" s="6" t="n">
        <x:v>42</x:v>
      </x:c>
    </x:row>
    <x:row r="630">
      <x:c r="A630" s="13" t="str">
        <x:v>1025</x:v>
      </x:c>
      <x:c r="B630" s="14" t="str"/>
      <x:c r="C630" s="14" t="str">
        <x:v>Lv.3</x:v>
      </x:c>
      <x:c r="D630" s="14" t="str">
        <x:v>李侑津醫師</x:v>
      </x:c>
      <x:c r="E630" s="6" t="str"/>
      <x:c r="F630" s="6" t="str">
        <x:v>X光片紀錄</x:v>
      </x:c>
      <x:c r="G630" s="19" t="str">
        <x:v>Ø</x:v>
      </x:c>
      <x:c r="H630" s="17" t="str">
        <x:v>尚未熟練</x:v>
      </x:c>
      <x:c r="I630" s="6" t="n">
        <x:v>43</x:v>
      </x:c>
    </x:row>
    <x:row r="631">
      <x:c r="A631" s="13" t="str">
        <x:v>1025</x:v>
      </x:c>
      <x:c r="B631" s="14" t="str"/>
      <x:c r="C631" s="14" t="str">
        <x:v>Lv.3</x:v>
      </x:c>
      <x:c r="D631" s="14" t="str">
        <x:v>李侑津醫師</x:v>
      </x:c>
      <x:c r="E631" s="6" t="str"/>
      <x:c r="F631" s="6" t="str">
        <x:v>拍PA</x:v>
      </x:c>
      <x:c r="G631" s="19" t="str">
        <x:v>Ø</x:v>
      </x:c>
      <x:c r="H631" s="17" t="str">
        <x:v>尚未熟練</x:v>
      </x:c>
      <x:c r="I631" s="6" t="n">
        <x:v>44</x:v>
      </x:c>
    </x:row>
    <x:row r="632">
      <x:c r="A632" s="13" t="str">
        <x:v>1025</x:v>
      </x:c>
      <x:c r="B632" s="14" t="str"/>
      <x:c r="C632" s="14" t="str">
        <x:v>Lv.3</x:v>
      </x:c>
      <x:c r="D632" s="14" t="str">
        <x:v>李侑津醫師</x:v>
      </x:c>
      <x:c r="E632" s="6" t="str"/>
      <x:c r="F632" s="6" t="str">
        <x:v>口掃機運用</x:v>
      </x:c>
      <x:c r="G632" s="19" t="str">
        <x:v>Ø</x:v>
      </x:c>
      <x:c r="H632" s="17" t="str">
        <x:v>尚未熟練</x:v>
      </x:c>
      <x:c r="I632" s="6" t="n">
        <x:v>45</x:v>
      </x:c>
    </x:row>
    <x:row r="633">
      <x:c r="A633" s="13" t="str">
        <x:v>1025</x:v>
      </x:c>
      <x:c r="B633" s="14" t="str"/>
      <x:c r="C633" s="14" t="str">
        <x:v>Lv.3</x:v>
      </x:c>
      <x:c r="D633" s="14" t="str">
        <x:v>廖立揚醫師</x:v>
      </x:c>
      <x:c r="E633" s="6" t="str"/>
      <x:c r="F633" s="6" t="str">
        <x:v>器械熟悉度</x:v>
      </x:c>
      <x:c r="G633" s="19" t="str">
        <x:v>◎</x:v>
      </x:c>
      <x:c r="H633" s="17" t="str">
        <x:v>熟練</x:v>
      </x:c>
      <x:c r="I633" s="6" t="n">
        <x:v>46</x:v>
      </x:c>
    </x:row>
    <x:row r="634">
      <x:c r="A634" s="13" t="str">
        <x:v>1025</x:v>
      </x:c>
      <x:c r="B634" s="14" t="str"/>
      <x:c r="C634" s="14" t="str">
        <x:v>Lv.3</x:v>
      </x:c>
      <x:c r="D634" s="14" t="str">
        <x:v>廖立揚醫師</x:v>
      </x:c>
      <x:c r="E634" s="6" t="str"/>
      <x:c r="F634" s="6" t="str">
        <x:v>跟診順暢度</x:v>
      </x:c>
      <x:c r="G634" s="19" t="str">
        <x:v>◎</x:v>
      </x:c>
      <x:c r="H634" s="17" t="str">
        <x:v>熟練</x:v>
      </x:c>
      <x:c r="I634" s="6" t="n">
        <x:v>47</x:v>
      </x:c>
    </x:row>
    <x:row r="635">
      <x:c r="A635" s="13" t="str">
        <x:v>1025</x:v>
      </x:c>
      <x:c r="B635" s="14" t="str"/>
      <x:c r="C635" s="14" t="str">
        <x:v>Lv.3</x:v>
      </x:c>
      <x:c r="D635" s="14" t="str">
        <x:v>廖立揚醫師</x:v>
      </x:c>
      <x:c r="E635" s="6" t="str"/>
      <x:c r="F635" s="6" t="str">
        <x:v>病歷紀錄</x:v>
      </x:c>
      <x:c r="G635" s="19" t="str">
        <x:v>◎</x:v>
      </x:c>
      <x:c r="H635" s="17" t="str">
        <x:v>熟練</x:v>
      </x:c>
      <x:c r="I635" s="6" t="n">
        <x:v>48</x:v>
      </x:c>
    </x:row>
    <x:row r="636">
      <x:c r="A636" s="13" t="str">
        <x:v>1025</x:v>
      </x:c>
      <x:c r="B636" s="14" t="str"/>
      <x:c r="C636" s="14" t="str">
        <x:v>Lv.3</x:v>
      </x:c>
      <x:c r="D636" s="14" t="str">
        <x:v>廖立揚醫師</x:v>
      </x:c>
      <x:c r="E636" s="6" t="str"/>
      <x:c r="F636" s="6" t="str">
        <x:v>健保申報(初診pano)</x:v>
      </x:c>
      <x:c r="G636" s="19" t="str">
        <x:v>Ø</x:v>
      </x:c>
      <x:c r="H636" s="17" t="str">
        <x:v>尚未熟練</x:v>
      </x:c>
      <x:c r="I636" s="6" t="n">
        <x:v>49</x:v>
      </x:c>
    </x:row>
    <x:row r="637">
      <x:c r="A637" s="13" t="str">
        <x:v>1025</x:v>
      </x:c>
      <x:c r="B637" s="14" t="str"/>
      <x:c r="C637" s="14" t="str">
        <x:v>Lv.3</x:v>
      </x:c>
      <x:c r="D637" s="14" t="str">
        <x:v>廖立揚醫師</x:v>
      </x:c>
      <x:c r="E637" s="6" t="str"/>
      <x:c r="F637" s="6" t="str">
        <x:v>X光片紀錄</x:v>
      </x:c>
      <x:c r="G637" s="19" t="str">
        <x:v>Ø</x:v>
      </x:c>
      <x:c r="H637" s="17" t="str">
        <x:v>尚未熟練</x:v>
      </x:c>
      <x:c r="I637" s="6" t="n">
        <x:v>50</x:v>
      </x:c>
    </x:row>
    <x:row r="638">
      <x:c r="A638" s="13" t="str">
        <x:v>1025</x:v>
      </x:c>
      <x:c r="B638" s="14" t="str"/>
      <x:c r="C638" s="14" t="str">
        <x:v>Lv.3</x:v>
      </x:c>
      <x:c r="D638" s="14" t="str">
        <x:v>廖立揚醫師</x:v>
      </x:c>
      <x:c r="E638" s="6" t="str"/>
      <x:c r="F638" s="6" t="str">
        <x:v>拍PANO、PA</x:v>
      </x:c>
      <x:c r="G638" s="19" t="str">
        <x:v>◎</x:v>
      </x:c>
      <x:c r="H638" s="17" t="str">
        <x:v>熟練</x:v>
      </x:c>
      <x:c r="I638" s="6" t="n">
        <x:v>51</x:v>
      </x:c>
    </x:row>
    <x:row r="639">
      <x:c r="A639" s="13" t="str">
        <x:v>1025</x:v>
      </x:c>
      <x:c r="B639" s="14" t="str"/>
      <x:c r="C639" s="14" t="str">
        <x:v>Lv.3</x:v>
      </x:c>
      <x:c r="D639" s="14" t="str">
        <x:v>廖立揚醫師</x:v>
      </x:c>
      <x:c r="E639" s="6" t="str"/>
      <x:c r="F639" s="6" t="str">
        <x:v>CT照</x:v>
      </x:c>
      <x:c r="G639" s="19" t="str">
        <x:v>◎</x:v>
      </x:c>
      <x:c r="H639" s="17" t="str">
        <x:v>熟練</x:v>
      </x:c>
      <x:c r="I639" s="6" t="n">
        <x:v>52</x:v>
      </x:c>
    </x:row>
    <x:row r="640">
      <x:c r="A640" s="13" t="str">
        <x:v>1025</x:v>
      </x:c>
      <x:c r="B640" s="14" t="str"/>
      <x:c r="C640" s="14" t="str">
        <x:v>Lv.3</x:v>
      </x:c>
      <x:c r="D640" s="14" t="str">
        <x:v>廖立揚醫師</x:v>
      </x:c>
      <x:c r="E640" s="6" t="str"/>
      <x:c r="F640" s="6" t="str">
        <x:v>側頭顱照</x:v>
      </x:c>
      <x:c r="G640" s="19" t="str">
        <x:v>◎</x:v>
      </x:c>
      <x:c r="H640" s="17" t="str">
        <x:v>熟練</x:v>
      </x:c>
      <x:c r="I640" s="6" t="n">
        <x:v>53</x:v>
      </x:c>
    </x:row>
    <x:row r="641">
      <x:c r="A641" s="13" t="str">
        <x:v>1025</x:v>
      </x:c>
      <x:c r="B641" s="14" t="str"/>
      <x:c r="C641" s="14" t="str">
        <x:v>Lv.3</x:v>
      </x:c>
      <x:c r="D641" s="14" t="str">
        <x:v>廖立揚醫師</x:v>
      </x:c>
      <x:c r="E641" s="6" t="str"/>
      <x:c r="F641" s="6" t="str">
        <x:v>口掃機運用</x:v>
      </x:c>
      <x:c r="G641" s="19" t="str">
        <x:v>Ø</x:v>
      </x:c>
      <x:c r="H641" s="17" t="str">
        <x:v>尚未熟練</x:v>
      </x:c>
      <x:c r="I641" s="6" t="n">
        <x:v>54</x:v>
      </x:c>
    </x:row>
    <x:row r="642">
      <x:c r="A642" s="13" t="str">
        <x:v>1025</x:v>
      </x:c>
      <x:c r="B642" s="14" t="str"/>
      <x:c r="C642" s="14" t="str">
        <x:v>Lv.3</x:v>
      </x:c>
      <x:c r="D642" s="14" t="str">
        <x:v>楊小瑩醫師</x:v>
      </x:c>
      <x:c r="E642" s="6" t="str">
        <x:v>器械準備</x:v>
      </x:c>
      <x:c r="F642" s="6" t="str">
        <x:v>洗牙</x:v>
      </x:c>
      <x:c r="G642" s="19" t="str">
        <x:v>◎</x:v>
      </x:c>
      <x:c r="H642" s="17" t="str">
        <x:v>熟練</x:v>
      </x:c>
      <x:c r="I642" s="6" t="n">
        <x:v>55</x:v>
      </x:c>
    </x:row>
    <x:row r="643">
      <x:c r="A643" s="13" t="str">
        <x:v>1025</x:v>
      </x:c>
      <x:c r="B643" s="14" t="str"/>
      <x:c r="C643" s="14" t="str">
        <x:v>Lv.3</x:v>
      </x:c>
      <x:c r="D643" s="14" t="str">
        <x:v>楊小瑩醫師</x:v>
      </x:c>
      <x:c r="E643" s="6" t="str">
        <x:v>器械準備</x:v>
      </x:c>
      <x:c r="F643" s="6" t="str">
        <x:v>補牙</x:v>
      </x:c>
      <x:c r="G643" s="19" t="str">
        <x:v>◎</x:v>
      </x:c>
      <x:c r="H643" s="17" t="str">
        <x:v>熟練</x:v>
      </x:c>
      <x:c r="I643" s="6" t="n">
        <x:v>56</x:v>
      </x:c>
    </x:row>
    <x:row r="644">
      <x:c r="A644" s="13" t="str">
        <x:v>1025</x:v>
      </x:c>
      <x:c r="B644" s="14" t="str"/>
      <x:c r="C644" s="14" t="str">
        <x:v>Lv.3</x:v>
      </x:c>
      <x:c r="D644" s="14" t="str">
        <x:v>楊小瑩醫師</x:v>
      </x:c>
      <x:c r="E644" s="6" t="str">
        <x:v>器械準備</x:v>
      </x:c>
      <x:c r="F644" s="6" t="str">
        <x:v>根管治療</x:v>
      </x:c>
      <x:c r="G644" s="19" t="str">
        <x:v>◎</x:v>
      </x:c>
      <x:c r="H644" s="17" t="str">
        <x:v>熟練</x:v>
      </x:c>
      <x:c r="I644" s="6" t="n">
        <x:v>57</x:v>
      </x:c>
    </x:row>
    <x:row r="645">
      <x:c r="A645" s="13" t="str">
        <x:v>1025</x:v>
      </x:c>
      <x:c r="B645" s="14" t="str"/>
      <x:c r="C645" s="14" t="str">
        <x:v>Lv.3</x:v>
      </x:c>
      <x:c r="D645" s="14" t="str">
        <x:v>楊小瑩醫師</x:v>
      </x:c>
      <x:c r="E645" s="6" t="str">
        <x:v>器械準備</x:v>
      </x:c>
      <x:c r="F645" s="6" t="str">
        <x:v>拔牙</x:v>
      </x:c>
      <x:c r="G645" s="19" t="str">
        <x:v>Ø</x:v>
      </x:c>
      <x:c r="H645" s="17" t="str">
        <x:v>尚未熟練</x:v>
      </x:c>
      <x:c r="I645" s="6" t="n">
        <x:v>58</x:v>
      </x:c>
    </x:row>
    <x:row r="646">
      <x:c r="A646" s="13" t="str">
        <x:v>1025</x:v>
      </x:c>
      <x:c r="B646" s="14" t="str"/>
      <x:c r="C646" s="14" t="str">
        <x:v>Lv.3</x:v>
      </x:c>
      <x:c r="D646" s="14" t="str">
        <x:v>楊小瑩醫師</x:v>
      </x:c>
      <x:c r="E646" s="6" t="str">
        <x:v>器械準備</x:v>
      </x:c>
      <x:c r="F646" s="6" t="str">
        <x:v>拆 crown/post</x:v>
      </x:c>
      <x:c r="G646" s="19" t="str">
        <x:v>Ø</x:v>
      </x:c>
      <x:c r="H646" s="17" t="str">
        <x:v>尚未熟練</x:v>
      </x:c>
      <x:c r="I646" s="6" t="n">
        <x:v>59</x:v>
      </x:c>
    </x:row>
    <x:row r="647">
      <x:c r="A647" s="13" t="str">
        <x:v>1025</x:v>
      </x:c>
      <x:c r="B647" s="14" t="str"/>
      <x:c r="C647" s="14" t="str">
        <x:v>Lv.3</x:v>
      </x:c>
      <x:c r="D647" s="14" t="str">
        <x:v>楊小瑩醫師</x:v>
      </x:c>
      <x:c r="E647" s="6" t="str">
        <x:v>自費</x:v>
      </x:c>
      <x:c r="F647" s="6" t="str">
        <x:v>固定假牙</x:v>
      </x:c>
      <x:c r="G647" s="19" t="str">
        <x:v>◎</x:v>
      </x:c>
      <x:c r="H647" s="17" t="str">
        <x:v>熟練</x:v>
      </x:c>
      <x:c r="I647" s="6" t="n">
        <x:v>60</x:v>
      </x:c>
    </x:row>
    <x:row r="648">
      <x:c r="A648" s="13" t="str">
        <x:v>1025</x:v>
      </x:c>
      <x:c r="B648" s="14" t="str"/>
      <x:c r="C648" s="14" t="str">
        <x:v>Lv.3</x:v>
      </x:c>
      <x:c r="D648" s="14" t="str">
        <x:v>楊小瑩醫師</x:v>
      </x:c>
      <x:c r="E648" s="6" t="str">
        <x:v>自費</x:v>
      </x:c>
      <x:c r="F648" s="6" t="str">
        <x:v>RPD</x:v>
      </x:c>
      <x:c r="G648" s="19" t="str">
        <x:v>※</x:v>
      </x:c>
      <x:c r="H648" s="17" t="str">
        <x:v>學習中</x:v>
      </x:c>
      <x:c r="I648" s="6" t="n">
        <x:v>61</x:v>
      </x:c>
    </x:row>
    <x:row r="649">
      <x:c r="A649" s="13" t="str">
        <x:v>1025</x:v>
      </x:c>
      <x:c r="B649" s="14" t="str"/>
      <x:c r="C649" s="14" t="str">
        <x:v>Lv.3</x:v>
      </x:c>
      <x:c r="D649" s="14" t="str">
        <x:v>楊小瑩醫師</x:v>
      </x:c>
      <x:c r="E649" s="6" t="str">
        <x:v>自費</x:v>
      </x:c>
      <x:c r="F649" s="6" t="str">
        <x:v>噴砂美白</x:v>
      </x:c>
      <x:c r="G649" s="19" t="str">
        <x:v>※</x:v>
      </x:c>
      <x:c r="H649" s="17" t="str">
        <x:v>學習中</x:v>
      </x:c>
      <x:c r="I649" s="6" t="n">
        <x:v>62</x:v>
      </x:c>
    </x:row>
    <x:row r="650">
      <x:c r="A650" s="13" t="str">
        <x:v>1025</x:v>
      </x:c>
      <x:c r="B650" s="14" t="str"/>
      <x:c r="C650" s="14" t="str">
        <x:v>Lv.3</x:v>
      </x:c>
      <x:c r="D650" s="14" t="str">
        <x:v>楊小瑩醫師</x:v>
      </x:c>
      <x:c r="E650" s="6" t="str"/>
      <x:c r="F650" s="6" t="str">
        <x:v>跟診順暢度</x:v>
      </x:c>
      <x:c r="G650" s="19" t="str">
        <x:v>◎</x:v>
      </x:c>
      <x:c r="H650" s="17" t="str">
        <x:v>熟練</x:v>
      </x:c>
      <x:c r="I650" s="6" t="n">
        <x:v>63</x:v>
      </x:c>
    </x:row>
    <x:row r="651">
      <x:c r="A651" s="13" t="str">
        <x:v>1025</x:v>
      </x:c>
      <x:c r="B651" s="14" t="str"/>
      <x:c r="C651" s="14" t="str">
        <x:v>Lv.3</x:v>
      </x:c>
      <x:c r="D651" s="14" t="str">
        <x:v>楊小瑩醫師</x:v>
      </x:c>
      <x:c r="E651" s="6" t="str"/>
      <x:c r="F651" s="6" t="str">
        <x:v>病歷紀錄</x:v>
      </x:c>
      <x:c r="G651" s="19" t="str">
        <x:v>◎</x:v>
      </x:c>
      <x:c r="H651" s="17" t="str">
        <x:v>熟練</x:v>
      </x:c>
      <x:c r="I651" s="6" t="n">
        <x:v>64</x:v>
      </x:c>
    </x:row>
    <x:row r="652">
      <x:c r="A652" s="13" t="str">
        <x:v>1025</x:v>
      </x:c>
      <x:c r="B652" s="14" t="str"/>
      <x:c r="C652" s="14" t="str">
        <x:v>Lv.3</x:v>
      </x:c>
      <x:c r="D652" s="14" t="str">
        <x:v>楊小瑩醫師</x:v>
      </x:c>
      <x:c r="E652" s="6" t="str"/>
      <x:c r="F652" s="6" t="str">
        <x:v>健保申報</x:v>
      </x:c>
      <x:c r="G652" s="19" t="str">
        <x:v>◎</x:v>
      </x:c>
      <x:c r="H652" s="17" t="str">
        <x:v>熟練</x:v>
      </x:c>
      <x:c r="I652" s="6" t="n">
        <x:v>65</x:v>
      </x:c>
    </x:row>
    <x:row r="653">
      <x:c r="A653" s="13" t="str">
        <x:v>1025</x:v>
      </x:c>
      <x:c r="B653" s="14" t="str"/>
      <x:c r="C653" s="14" t="str">
        <x:v>Lv.3</x:v>
      </x:c>
      <x:c r="D653" s="14" t="str">
        <x:v>楊小瑩醫師</x:v>
      </x:c>
      <x:c r="E653" s="6" t="str"/>
      <x:c r="F653" s="6" t="str">
        <x:v>X光片紀錄</x:v>
      </x:c>
      <x:c r="G653" s="19" t="str">
        <x:v>◎</x:v>
      </x:c>
      <x:c r="H653" s="17" t="str">
        <x:v>熟練</x:v>
      </x:c>
      <x:c r="I653" s="6" t="n">
        <x:v>66</x:v>
      </x:c>
    </x:row>
    <x:row r="654">
      <x:c r="A654" s="13" t="str">
        <x:v>1025</x:v>
      </x:c>
      <x:c r="B654" s="14" t="str"/>
      <x:c r="C654" s="14" t="str">
        <x:v>Lv.3</x:v>
      </x:c>
      <x:c r="D654" s="14" t="str">
        <x:v>楊小瑩醫師</x:v>
      </x:c>
      <x:c r="E654" s="6" t="str"/>
      <x:c r="F654" s="6" t="str">
        <x:v>拍PA</x:v>
      </x:c>
      <x:c r="G654" s="19" t="str">
        <x:v>◎</x:v>
      </x:c>
      <x:c r="H654" s="17" t="str">
        <x:v>熟練</x:v>
      </x:c>
      <x:c r="I654" s="6" t="n">
        <x:v>67</x:v>
      </x:c>
    </x:row>
    <x:row r="655">
      <x:c r="A655" s="13" t="str">
        <x:v>1025</x:v>
      </x:c>
      <x:c r="B655" s="14" t="str"/>
      <x:c r="C655" s="14" t="str">
        <x:v>Lv.3</x:v>
      </x:c>
      <x:c r="D655" s="14" t="str">
        <x:v>王俊偉醫師</x:v>
      </x:c>
      <x:c r="E655" s="6" t="str"/>
      <x:c r="F655" s="6" t="str">
        <x:v>器械熟悉度</x:v>
      </x:c>
      <x:c r="G655" s="19" t="str">
        <x:v>◎</x:v>
      </x:c>
      <x:c r="H655" s="17" t="str">
        <x:v>熟練</x:v>
      </x:c>
      <x:c r="I655" s="6" t="n">
        <x:v>68</x:v>
      </x:c>
    </x:row>
    <x:row r="656">
      <x:c r="A656" s="13" t="str">
        <x:v>1025</x:v>
      </x:c>
      <x:c r="B656" s="14" t="str"/>
      <x:c r="C656" s="14" t="str">
        <x:v>Lv.3</x:v>
      </x:c>
      <x:c r="D656" s="14" t="str">
        <x:v>王俊偉醫師</x:v>
      </x:c>
      <x:c r="E656" s="6" t="str"/>
      <x:c r="F656" s="6" t="str">
        <x:v>跟診順暢度</x:v>
      </x:c>
      <x:c r="G656" s="19" t="str">
        <x:v>◎</x:v>
      </x:c>
      <x:c r="H656" s="17" t="str">
        <x:v>熟練</x:v>
      </x:c>
      <x:c r="I656" s="6" t="n">
        <x:v>69</x:v>
      </x:c>
    </x:row>
    <x:row r="657">
      <x:c r="A657" s="13" t="str">
        <x:v>1025</x:v>
      </x:c>
      <x:c r="B657" s="14" t="str"/>
      <x:c r="C657" s="14" t="str">
        <x:v>Lv.3</x:v>
      </x:c>
      <x:c r="D657" s="14" t="str">
        <x:v>王俊偉醫師</x:v>
      </x:c>
      <x:c r="E657" s="6" t="str"/>
      <x:c r="F657" s="6" t="str">
        <x:v>病歷紀錄</x:v>
      </x:c>
      <x:c r="G657" s="19" t="str">
        <x:v>◎</x:v>
      </x:c>
      <x:c r="H657" s="17" t="str">
        <x:v>熟練</x:v>
      </x:c>
      <x:c r="I657" s="6" t="n">
        <x:v>70</x:v>
      </x:c>
    </x:row>
    <x:row r="658">
      <x:c r="A658" s="13" t="str">
        <x:v>1025</x:v>
      </x:c>
      <x:c r="B658" s="14" t="str"/>
      <x:c r="C658" s="14" t="str">
        <x:v>Lv.3</x:v>
      </x:c>
      <x:c r="D658" s="14" t="str">
        <x:v>王俊偉醫師</x:v>
      </x:c>
      <x:c r="E658" s="6" t="str"/>
      <x:c r="F658" s="6" t="str">
        <x:v>健保申報</x:v>
      </x:c>
      <x:c r="G658" s="19" t="str">
        <x:v>◎</x:v>
      </x:c>
      <x:c r="H658" s="17" t="str">
        <x:v>熟練</x:v>
      </x:c>
      <x:c r="I658" s="6" t="n">
        <x:v>71</x:v>
      </x:c>
    </x:row>
    <x:row r="659">
      <x:c r="A659" s="13" t="str">
        <x:v>1025</x:v>
      </x:c>
      <x:c r="B659" s="14" t="str"/>
      <x:c r="C659" s="14" t="str">
        <x:v>Lv.3</x:v>
      </x:c>
      <x:c r="D659" s="14" t="str">
        <x:v>王俊偉醫師</x:v>
      </x:c>
      <x:c r="E659" s="6" t="str"/>
      <x:c r="F659" s="6" t="str">
        <x:v>X光片紀錄</x:v>
      </x:c>
      <x:c r="G659" s="19" t="str">
        <x:v>◎</x:v>
      </x:c>
      <x:c r="H659" s="17" t="str">
        <x:v>熟練</x:v>
      </x:c>
      <x:c r="I659" s="6" t="n">
        <x:v>72</x:v>
      </x:c>
    </x:row>
    <x:row r="660">
      <x:c r="A660" s="13" t="str">
        <x:v>1025</x:v>
      </x:c>
      <x:c r="B660" s="14" t="str"/>
      <x:c r="C660" s="14" t="str">
        <x:v>Lv.3</x:v>
      </x:c>
      <x:c r="D660" s="14" t="str">
        <x:v>王俊偉醫師</x:v>
      </x:c>
      <x:c r="E660" s="6" t="str"/>
      <x:c r="F660" s="6" t="str">
        <x:v>拍PANO、PA</x:v>
      </x:c>
      <x:c r="G660" s="19" t="str">
        <x:v>◎</x:v>
      </x:c>
      <x:c r="H660" s="17" t="str">
        <x:v>熟練</x:v>
      </x:c>
      <x:c r="I660" s="6" t="n">
        <x:v>73</x:v>
      </x:c>
    </x:row>
    <x:row r="661">
      <x:c r="A661" s="13" t="str">
        <x:v>1025</x:v>
      </x:c>
      <x:c r="B661" s="14" t="str"/>
      <x:c r="C661" s="14" t="str">
        <x:v>Lv.3</x:v>
      </x:c>
      <x:c r="D661" s="14" t="str">
        <x:v>王俊偉醫師</x:v>
      </x:c>
      <x:c r="E661" s="6" t="str"/>
      <x:c r="F661" s="6" t="str">
        <x:v>CT照</x:v>
      </x:c>
      <x:c r="G661" s="19" t="str">
        <x:v>◎</x:v>
      </x:c>
      <x:c r="H661" s="17" t="str">
        <x:v>熟練</x:v>
      </x:c>
      <x:c r="I661" s="6" t="n">
        <x:v>74</x:v>
      </x:c>
    </x:row>
    <x:row r="662">
      <x:c r="A662" s="13" t="str">
        <x:v>1025</x:v>
      </x:c>
      <x:c r="B662" s="14" t="str"/>
      <x:c r="C662" s="14" t="str">
        <x:v>Lv.3</x:v>
      </x:c>
      <x:c r="D662" s="14" t="str">
        <x:v>王俊偉醫師</x:v>
      </x:c>
      <x:c r="E662" s="6" t="str"/>
      <x:c r="F662" s="6" t="str">
        <x:v>側頭顱照</x:v>
      </x:c>
      <x:c r="G662" s="19" t="str">
        <x:v>◎</x:v>
      </x:c>
      <x:c r="H662" s="17" t="str">
        <x:v>熟練</x:v>
      </x:c>
      <x:c r="I662" s="6" t="n">
        <x:v>75</x:v>
      </x:c>
    </x:row>
    <x:row r="663">
      <x:c r="A663" s="13" t="str">
        <x:v>1025</x:v>
      </x:c>
      <x:c r="B663" s="14" t="str"/>
      <x:c r="C663" s="14" t="str">
        <x:v>Lv.3</x:v>
      </x:c>
      <x:c r="D663" s="14" t="str">
        <x:v>王俊偉醫師</x:v>
      </x:c>
      <x:c r="E663" s="6" t="str"/>
      <x:c r="F663" s="6" t="str">
        <x:v>口掃機運用</x:v>
      </x:c>
      <x:c r="G663" s="19" t="str">
        <x:v>Ø</x:v>
      </x:c>
      <x:c r="H663" s="17" t="str">
        <x:v>尚未熟練</x:v>
      </x:c>
      <x:c r="I663" s="6" t="n">
        <x:v>76</x:v>
      </x:c>
    </x:row>
    <x:row r="664">
      <x:c r="A664" s="13" t="str">
        <x:v>1025</x:v>
      </x:c>
      <x:c r="B664" s="14" t="str"/>
      <x:c r="C664" s="14" t="str">
        <x:v>Lv.3</x:v>
      </x:c>
      <x:c r="D664" s="14" t="str">
        <x:v>許馨文醫師</x:v>
      </x:c>
      <x:c r="E664" s="6" t="str"/>
      <x:c r="F664" s="6" t="str">
        <x:v>器械熟悉度</x:v>
      </x:c>
      <x:c r="G664" s="19" t="str">
        <x:v>◎</x:v>
      </x:c>
      <x:c r="H664" s="17" t="str">
        <x:v>熟練</x:v>
      </x:c>
      <x:c r="I664" s="6" t="n">
        <x:v>77</x:v>
      </x:c>
    </x:row>
    <x:row r="665">
      <x:c r="A665" s="13" t="str">
        <x:v>1025</x:v>
      </x:c>
      <x:c r="B665" s="14" t="str"/>
      <x:c r="C665" s="14" t="str">
        <x:v>Lv.3</x:v>
      </x:c>
      <x:c r="D665" s="14" t="str">
        <x:v>許馨文醫師</x:v>
      </x:c>
      <x:c r="E665" s="6" t="str"/>
      <x:c r="F665" s="6" t="str">
        <x:v>吸口水技巧</x:v>
      </x:c>
      <x:c r="G665" s="19" t="str">
        <x:v>◎</x:v>
      </x:c>
      <x:c r="H665" s="17" t="str">
        <x:v>熟練</x:v>
      </x:c>
      <x:c r="I665" s="6" t="n">
        <x:v>78</x:v>
      </x:c>
    </x:row>
    <x:row r="666">
      <x:c r="A666" s="13" t="str">
        <x:v>1025</x:v>
      </x:c>
      <x:c r="B666" s="14" t="str"/>
      <x:c r="C666" s="14" t="str">
        <x:v>Lv.3</x:v>
      </x:c>
      <x:c r="D666" s="14" t="str">
        <x:v>許馨文醫師</x:v>
      </x:c>
      <x:c r="E666" s="6" t="str"/>
      <x:c r="F666" s="6" t="str">
        <x:v>病歷紀錄</x:v>
      </x:c>
      <x:c r="G666" s="19" t="str">
        <x:v>◎</x:v>
      </x:c>
      <x:c r="H666" s="17" t="str">
        <x:v>熟練</x:v>
      </x:c>
      <x:c r="I666" s="6" t="n">
        <x:v>79</x:v>
      </x:c>
    </x:row>
    <x:row r="667">
      <x:c r="A667" s="13" t="str">
        <x:v>1025</x:v>
      </x:c>
      <x:c r="B667" s="14" t="str"/>
      <x:c r="C667" s="14" t="str">
        <x:v>Lv.3</x:v>
      </x:c>
      <x:c r="D667" s="14" t="str">
        <x:v>許馨文醫師</x:v>
      </x:c>
      <x:c r="E667" s="6" t="str"/>
      <x:c r="F667" s="6" t="str">
        <x:v>健保申報</x:v>
      </x:c>
      <x:c r="G667" s="19" t="str">
        <x:v>◎</x:v>
      </x:c>
      <x:c r="H667" s="17" t="str">
        <x:v>熟練</x:v>
      </x:c>
      <x:c r="I667" s="6" t="n">
        <x:v>80</x:v>
      </x:c>
    </x:row>
    <x:row r="668">
      <x:c r="A668" s="13" t="str">
        <x:v>1025</x:v>
      </x:c>
      <x:c r="B668" s="14" t="str"/>
      <x:c r="C668" s="14" t="str">
        <x:v>Lv.3</x:v>
      </x:c>
      <x:c r="D668" s="14" t="str">
        <x:v>許馨文醫師</x:v>
      </x:c>
      <x:c r="E668" s="6" t="str"/>
      <x:c r="F668" s="6" t="str">
        <x:v>X光片紀錄</x:v>
      </x:c>
      <x:c r="G668" s="19" t="str">
        <x:v>◎</x:v>
      </x:c>
      <x:c r="H668" s="17" t="str">
        <x:v>熟練</x:v>
      </x:c>
      <x:c r="I668" s="6" t="n">
        <x:v>81</x:v>
      </x:c>
    </x:row>
    <x:row r="669">
      <x:c r="A669" s="13" t="str">
        <x:v>1025</x:v>
      </x:c>
      <x:c r="B669" s="14" t="str"/>
      <x:c r="C669" s="14" t="str">
        <x:v>Lv.3</x:v>
      </x:c>
      <x:c r="D669" s="14" t="str">
        <x:v>許馨文醫師</x:v>
      </x:c>
      <x:c r="E669" s="6" t="str"/>
      <x:c r="F669" s="6" t="str">
        <x:v>拍PANO、PA</x:v>
      </x:c>
      <x:c r="G669" s="19" t="str">
        <x:v>◎</x:v>
      </x:c>
      <x:c r="H669" s="17" t="str">
        <x:v>熟練</x:v>
      </x:c>
      <x:c r="I669" s="6" t="n">
        <x:v>82</x:v>
      </x:c>
    </x:row>
    <x:row r="670">
      <x:c r="A670" s="13" t="str">
        <x:v>1025</x:v>
      </x:c>
      <x:c r="B670" s="14" t="str"/>
      <x:c r="C670" s="14" t="str">
        <x:v>Lv.3</x:v>
      </x:c>
      <x:c r="D670" s="14" t="str">
        <x:v>林晏妤醫師</x:v>
      </x:c>
      <x:c r="E670" s="6" t="str"/>
      <x:c r="F670" s="6" t="str">
        <x:v>器械熟悉度</x:v>
      </x:c>
      <x:c r="G670" s="19" t="str">
        <x:v>◎</x:v>
      </x:c>
      <x:c r="H670" s="17" t="str">
        <x:v>熟練</x:v>
      </x:c>
      <x:c r="I670" s="6" t="n">
        <x:v>83</x:v>
      </x:c>
    </x:row>
    <x:row r="671">
      <x:c r="A671" s="13" t="str">
        <x:v>1025</x:v>
      </x:c>
      <x:c r="B671" s="14" t="str"/>
      <x:c r="C671" s="14" t="str">
        <x:v>Lv.3</x:v>
      </x:c>
      <x:c r="D671" s="14" t="str">
        <x:v>林晏妤醫師</x:v>
      </x:c>
      <x:c r="E671" s="6" t="str"/>
      <x:c r="F671" s="6" t="str">
        <x:v>跟診順暢度</x:v>
      </x:c>
      <x:c r="G671" s="19" t="str">
        <x:v>◎</x:v>
      </x:c>
      <x:c r="H671" s="17" t="str">
        <x:v>熟練</x:v>
      </x:c>
      <x:c r="I671" s="6" t="n">
        <x:v>84</x:v>
      </x:c>
    </x:row>
    <x:row r="672">
      <x:c r="A672" s="13" t="str">
        <x:v>1025</x:v>
      </x:c>
      <x:c r="B672" s="14" t="str"/>
      <x:c r="C672" s="14" t="str">
        <x:v>Lv.3</x:v>
      </x:c>
      <x:c r="D672" s="14" t="str">
        <x:v>林晏妤醫師</x:v>
      </x:c>
      <x:c r="E672" s="6" t="str"/>
      <x:c r="F672" s="6" t="str">
        <x:v>病歷紀錄</x:v>
      </x:c>
      <x:c r="G672" s="19" t="str">
        <x:v>Ø</x:v>
      </x:c>
      <x:c r="H672" s="17" t="str">
        <x:v>尚未熟練</x:v>
      </x:c>
      <x:c r="I672" s="6" t="n">
        <x:v>85</x:v>
      </x:c>
    </x:row>
    <x:row r="673">
      <x:c r="A673" s="13" t="str">
        <x:v>1025</x:v>
      </x:c>
      <x:c r="B673" s="14" t="str"/>
      <x:c r="C673" s="14" t="str">
        <x:v>Lv.3</x:v>
      </x:c>
      <x:c r="D673" s="14" t="str">
        <x:v>林晏妤醫師</x:v>
      </x:c>
      <x:c r="E673" s="6" t="str"/>
      <x:c r="F673" s="6" t="str">
        <x:v>X光片紀錄</x:v>
      </x:c>
      <x:c r="G673" s="19" t="str">
        <x:v>◎</x:v>
      </x:c>
      <x:c r="H673" s="17" t="str">
        <x:v>熟練</x:v>
      </x:c>
      <x:c r="I673" s="6" t="n">
        <x:v>86</x:v>
      </x:c>
    </x:row>
    <x:row r="674">
      <x:c r="A674" s="13" t="str">
        <x:v>1025</x:v>
      </x:c>
      <x:c r="B674" s="14" t="str"/>
      <x:c r="C674" s="14" t="str">
        <x:v>Lv.3</x:v>
      </x:c>
      <x:c r="D674" s="14" t="str">
        <x:v>林晏妤醫師</x:v>
      </x:c>
      <x:c r="E674" s="6" t="str"/>
      <x:c r="F674" s="6" t="str">
        <x:v>手持X光機</x:v>
      </x:c>
      <x:c r="G674" s="19" t="str">
        <x:v>◎</x:v>
      </x:c>
      <x:c r="H674" s="17" t="str">
        <x:v>熟練</x:v>
      </x:c>
      <x:c r="I674" s="6" t="n">
        <x:v>87</x:v>
      </x:c>
    </x:row>
    <x:row r="675">
      <x:c r="A675" s="13" t="str">
        <x:v>1025</x:v>
      </x:c>
      <x:c r="B675" s="14" t="str"/>
      <x:c r="C675" s="14" t="str">
        <x:v>Lv.3</x:v>
      </x:c>
      <x:c r="D675" s="14" t="str">
        <x:v>林晏妤醫師</x:v>
      </x:c>
      <x:c r="E675" s="6" t="str"/>
      <x:c r="F675" s="6" t="str">
        <x:v>健保申報</x:v>
      </x:c>
      <x:c r="G675" s="19" t="str">
        <x:v>Ø</x:v>
      </x:c>
      <x:c r="H675" s="17" t="str">
        <x:v>尚未熟練</x:v>
      </x:c>
      <x:c r="I675" s="6" t="n">
        <x:v>88</x:v>
      </x:c>
    </x:row>
    <x:row r="676">
      <x:c r="A676" s="13" t="str">
        <x:v>1025</x:v>
      </x:c>
      <x:c r="B676" s="14" t="str"/>
      <x:c r="C676" s="14" t="str">
        <x:v>Lv.3</x:v>
      </x:c>
      <x:c r="D676" s="14" t="str">
        <x:v>林晏妤醫師</x:v>
      </x:c>
      <x:c r="E676" s="6" t="str"/>
      <x:c r="F676" s="6" t="str">
        <x:v>舒眠手術</x:v>
      </x:c>
      <x:c r="G676" s="19" t="str">
        <x:v>Ø</x:v>
      </x:c>
      <x:c r="H676" s="17" t="str">
        <x:v>尚未熟練</x:v>
      </x:c>
      <x:c r="I676" s="6" t="n">
        <x:v>89</x:v>
      </x:c>
    </x:row>
    <x:row r="677">
      <x:c r="A677" s="13" t="str">
        <x:v>1025</x:v>
      </x:c>
      <x:c r="B677" s="14" t="str"/>
      <x:c r="C677" s="14" t="str">
        <x:v>Lv.3</x:v>
      </x:c>
      <x:c r="D677" s="14" t="str">
        <x:v>謝耀慶醫師</x:v>
      </x:c>
      <x:c r="E677" s="6" t="str">
        <x:v>器械準備</x:v>
      </x:c>
      <x:c r="F677" s="6" t="str">
        <x:v>洗牙</x:v>
      </x:c>
      <x:c r="G677" s="19" t="str">
        <x:v>◎</x:v>
      </x:c>
      <x:c r="H677" s="17" t="str">
        <x:v>熟練</x:v>
      </x:c>
      <x:c r="I677" s="6" t="n">
        <x:v>90</x:v>
      </x:c>
    </x:row>
    <x:row r="678">
      <x:c r="A678" s="13" t="str">
        <x:v>1025</x:v>
      </x:c>
      <x:c r="B678" s="14" t="str"/>
      <x:c r="C678" s="14" t="str">
        <x:v>Lv.3</x:v>
      </x:c>
      <x:c r="D678" s="14" t="str">
        <x:v>謝耀慶醫師</x:v>
      </x:c>
      <x:c r="E678" s="6" t="str">
        <x:v>器械準備</x:v>
      </x:c>
      <x:c r="F678" s="6" t="str">
        <x:v>補牙</x:v>
      </x:c>
      <x:c r="G678" s="19" t="str">
        <x:v>◎</x:v>
      </x:c>
      <x:c r="H678" s="17" t="str">
        <x:v>熟練</x:v>
      </x:c>
      <x:c r="I678" s="6" t="n">
        <x:v>91</x:v>
      </x:c>
    </x:row>
    <x:row r="679">
      <x:c r="A679" s="13" t="str">
        <x:v>1025</x:v>
      </x:c>
      <x:c r="B679" s="14" t="str"/>
      <x:c r="C679" s="14" t="str">
        <x:v>Lv.3</x:v>
      </x:c>
      <x:c r="D679" s="14" t="str">
        <x:v>謝耀慶醫師</x:v>
      </x:c>
      <x:c r="E679" s="6" t="str">
        <x:v>器械準備</x:v>
      </x:c>
      <x:c r="F679" s="6" t="str">
        <x:v>牙周統合治療</x:v>
      </x:c>
      <x:c r="G679" s="19" t="str"/>
      <x:c r="H679" s="17" t="str">
        <x:v>未評分</x:v>
      </x:c>
      <x:c r="I679" s="6" t="n">
        <x:v>92</x:v>
      </x:c>
    </x:row>
    <x:row r="680">
      <x:c r="A680" s="13" t="str">
        <x:v>1025</x:v>
      </x:c>
      <x:c r="B680" s="14" t="str"/>
      <x:c r="C680" s="14" t="str">
        <x:v>Lv.3</x:v>
      </x:c>
      <x:c r="D680" s="14" t="str">
        <x:v>謝耀慶醫師</x:v>
      </x:c>
      <x:c r="E680" s="6" t="str">
        <x:v>器械準備</x:v>
      </x:c>
      <x:c r="F680" s="6" t="str">
        <x:v>簡單拔牙</x:v>
      </x:c>
      <x:c r="G680" s="19" t="str"/>
      <x:c r="H680" s="17" t="str">
        <x:v>未評分</x:v>
      </x:c>
      <x:c r="I680" s="6" t="n">
        <x:v>93</x:v>
      </x:c>
    </x:row>
    <x:row r="681">
      <x:c r="A681" s="13" t="str">
        <x:v>1025</x:v>
      </x:c>
      <x:c r="B681" s="14" t="str"/>
      <x:c r="C681" s="14" t="str">
        <x:v>Lv.3</x:v>
      </x:c>
      <x:c r="D681" s="14" t="str">
        <x:v>謝耀慶醫師</x:v>
      </x:c>
      <x:c r="E681" s="6" t="str"/>
      <x:c r="F681" s="6" t="str">
        <x:v>器械熟悉度</x:v>
      </x:c>
      <x:c r="G681" s="19" t="str">
        <x:v>◎</x:v>
      </x:c>
      <x:c r="H681" s="17" t="str">
        <x:v>熟練</x:v>
      </x:c>
      <x:c r="I681" s="6" t="n">
        <x:v>94</x:v>
      </x:c>
    </x:row>
    <x:row r="682">
      <x:c r="A682" s="13" t="str">
        <x:v>1025</x:v>
      </x:c>
      <x:c r="B682" s="14" t="str"/>
      <x:c r="C682" s="14" t="str">
        <x:v>Lv.3</x:v>
      </x:c>
      <x:c r="D682" s="14" t="str">
        <x:v>謝耀慶醫師</x:v>
      </x:c>
      <x:c r="E682" s="6" t="str"/>
      <x:c r="F682" s="6" t="str">
        <x:v>跟診順暢度</x:v>
      </x:c>
      <x:c r="G682" s="19" t="str">
        <x:v>◎</x:v>
      </x:c>
      <x:c r="H682" s="17" t="str">
        <x:v>熟練</x:v>
      </x:c>
      <x:c r="I682" s="6" t="n">
        <x:v>95</x:v>
      </x:c>
    </x:row>
    <x:row r="683">
      <x:c r="A683" s="13" t="str">
        <x:v>1025</x:v>
      </x:c>
      <x:c r="B683" s="14" t="str"/>
      <x:c r="C683" s="14" t="str">
        <x:v>Lv.3</x:v>
      </x:c>
      <x:c r="D683" s="14" t="str">
        <x:v>謝耀慶醫師</x:v>
      </x:c>
      <x:c r="E683" s="6" t="str"/>
      <x:c r="F683" s="6" t="str">
        <x:v>病歷紀錄</x:v>
      </x:c>
      <x:c r="G683" s="19" t="str">
        <x:v>Ø</x:v>
      </x:c>
      <x:c r="H683" s="17" t="str">
        <x:v>尚未熟練</x:v>
      </x:c>
      <x:c r="I683" s="6" t="n">
        <x:v>96</x:v>
      </x:c>
    </x:row>
    <x:row r="684">
      <x:c r="A684" s="13" t="str">
        <x:v>1025</x:v>
      </x:c>
      <x:c r="B684" s="14" t="str"/>
      <x:c r="C684" s="14" t="str">
        <x:v>Lv.3</x:v>
      </x:c>
      <x:c r="D684" s="14" t="str">
        <x:v>謝耀慶醫師</x:v>
      </x:c>
      <x:c r="E684" s="6" t="str"/>
      <x:c r="F684" s="6" t="str">
        <x:v>X光片紀錄</x:v>
      </x:c>
      <x:c r="G684" s="19" t="str">
        <x:v>◎</x:v>
      </x:c>
      <x:c r="H684" s="17" t="str">
        <x:v>熟練</x:v>
      </x:c>
      <x:c r="I684" s="6" t="n">
        <x:v>97</x:v>
      </x:c>
    </x:row>
    <x:row r="685">
      <x:c r="A685" s="13" t="str">
        <x:v>1025</x:v>
      </x:c>
      <x:c r="B685" s="14" t="str"/>
      <x:c r="C685" s="14" t="str">
        <x:v>Lv.3</x:v>
      </x:c>
      <x:c r="D685" s="14" t="str">
        <x:v>謝耀慶醫師</x:v>
      </x:c>
      <x:c r="E685" s="6" t="str"/>
      <x:c r="F685" s="6" t="str">
        <x:v>手持X光機</x:v>
      </x:c>
      <x:c r="G685" s="19" t="str">
        <x:v>◎</x:v>
      </x:c>
      <x:c r="H685" s="17" t="str">
        <x:v>熟練</x:v>
      </x:c>
      <x:c r="I685" s="6" t="n">
        <x:v>98</x:v>
      </x:c>
    </x:row>
    <x:row r="686">
      <x:c r="A686" s="13" t="str">
        <x:v>1025</x:v>
      </x:c>
      <x:c r="B686" s="14" t="str"/>
      <x:c r="C686" s="14" t="str">
        <x:v>Lv.3</x:v>
      </x:c>
      <x:c r="D686" s="14" t="str">
        <x:v>謝耀慶醫師</x:v>
      </x:c>
      <x:c r="E686" s="6" t="str"/>
      <x:c r="F686" s="6" t="str">
        <x:v>健保申報</x:v>
      </x:c>
      <x:c r="G686" s="19" t="str">
        <x:v>Ø</x:v>
      </x:c>
      <x:c r="H686" s="17" t="str">
        <x:v>尚未熟練</x:v>
      </x:c>
      <x:c r="I686" s="6" t="n">
        <x:v>99</x:v>
      </x:c>
    </x:row>
    <x:row r="687">
      <x:c r="A687" s="13" t="str">
        <x:v>1025</x:v>
      </x:c>
      <x:c r="B687" s="14" t="str"/>
      <x:c r="C687" s="14" t="str">
        <x:v>Lv.3</x:v>
      </x:c>
      <x:c r="D687" s="14" t="str">
        <x:v>謝耀慶醫師</x:v>
      </x:c>
      <x:c r="E687" s="6" t="str"/>
      <x:c r="F687" s="6" t="str">
        <x:v>舒眠手術</x:v>
      </x:c>
      <x:c r="G687" s="19" t="str">
        <x:v>※</x:v>
      </x:c>
      <x:c r="H687" s="17" t="str">
        <x:v>學習中</x:v>
      </x:c>
      <x:c r="I687" s="6" t="n">
        <x:v>100</x:v>
      </x:c>
    </x:row>
    <x:row r="688">
      <x:c r="A688" s="13" t="str">
        <x:v>1025</x:v>
      </x:c>
      <x:c r="B688" s="14" t="str"/>
      <x:c r="C688" s="14" t="str">
        <x:v>Lv.3</x:v>
      </x:c>
      <x:c r="D688" s="14" t="str">
        <x:v>陳醫師</x:v>
      </x:c>
      <x:c r="E688" s="6" t="str">
        <x:v>器械準備</x:v>
      </x:c>
      <x:c r="F688" s="6" t="str">
        <x:v>洗牙</x:v>
      </x:c>
      <x:c r="G688" s="19" t="str">
        <x:v>※</x:v>
      </x:c>
      <x:c r="H688" s="17" t="str">
        <x:v>學習中</x:v>
      </x:c>
      <x:c r="I688" s="6" t="n">
        <x:v>101</x:v>
      </x:c>
    </x:row>
    <x:row r="689">
      <x:c r="A689" s="13" t="str">
        <x:v>1025</x:v>
      </x:c>
      <x:c r="B689" s="14" t="str"/>
      <x:c r="C689" s="14" t="str">
        <x:v>Lv.3</x:v>
      </x:c>
      <x:c r="D689" s="14" t="str">
        <x:v>陳醫師</x:v>
      </x:c>
      <x:c r="E689" s="6" t="str">
        <x:v>器械準備</x:v>
      </x:c>
      <x:c r="F689" s="6" t="str">
        <x:v>補牙</x:v>
      </x:c>
      <x:c r="G689" s="19" t="str">
        <x:v>※</x:v>
      </x:c>
      <x:c r="H689" s="17" t="str">
        <x:v>學習中</x:v>
      </x:c>
      <x:c r="I689" s="6" t="n">
        <x:v>102</x:v>
      </x:c>
    </x:row>
    <x:row r="690">
      <x:c r="A690" s="13" t="str">
        <x:v>1025</x:v>
      </x:c>
      <x:c r="B690" s="14" t="str"/>
      <x:c r="C690" s="14" t="str">
        <x:v>Lv.3</x:v>
      </x:c>
      <x:c r="D690" s="14" t="str">
        <x:v>陳醫師</x:v>
      </x:c>
      <x:c r="E690" s="6" t="str">
        <x:v>器械準備</x:v>
      </x:c>
      <x:c r="F690" s="6" t="str">
        <x:v>根管治療</x:v>
      </x:c>
      <x:c r="G690" s="19" t="str">
        <x:v>※</x:v>
      </x:c>
      <x:c r="H690" s="17" t="str">
        <x:v>學習中</x:v>
      </x:c>
      <x:c r="I690" s="6" t="n">
        <x:v>103</x:v>
      </x:c>
    </x:row>
    <x:row r="691">
      <x:c r="A691" s="13" t="str">
        <x:v>1025</x:v>
      </x:c>
      <x:c r="B691" s="14" t="str"/>
      <x:c r="C691" s="14" t="str">
        <x:v>Lv.3</x:v>
      </x:c>
      <x:c r="D691" s="14" t="str">
        <x:v>陳醫師</x:v>
      </x:c>
      <x:c r="E691" s="6" t="str"/>
      <x:c r="F691" s="6" t="str">
        <x:v>跟診順暢度</x:v>
      </x:c>
      <x:c r="G691" s="19" t="str">
        <x:v>※</x:v>
      </x:c>
      <x:c r="H691" s="17" t="str">
        <x:v>學習中</x:v>
      </x:c>
      <x:c r="I691" s="6" t="n">
        <x:v>104</x:v>
      </x:c>
    </x:row>
    <x:row r="692">
      <x:c r="A692" s="13" t="str">
        <x:v>1025</x:v>
      </x:c>
      <x:c r="B692" s="14" t="str"/>
      <x:c r="C692" s="14" t="str">
        <x:v>Lv.3</x:v>
      </x:c>
      <x:c r="D692" s="14" t="str">
        <x:v>陳醫師</x:v>
      </x:c>
      <x:c r="E692" s="6" t="str"/>
      <x:c r="F692" s="6" t="str">
        <x:v>病歷紀錄</x:v>
      </x:c>
      <x:c r="G692" s="19" t="str">
        <x:v>※</x:v>
      </x:c>
      <x:c r="H692" s="17" t="str">
        <x:v>學習中</x:v>
      </x:c>
      <x:c r="I692" s="6" t="n">
        <x:v>105</x:v>
      </x:c>
    </x:row>
    <x:row r="693">
      <x:c r="A693" s="13" t="str">
        <x:v>1025</x:v>
      </x:c>
      <x:c r="B693" s="14" t="str"/>
      <x:c r="C693" s="14" t="str">
        <x:v>Lv.3</x:v>
      </x:c>
      <x:c r="D693" s="14" t="str">
        <x:v>陳醫師</x:v>
      </x:c>
      <x:c r="E693" s="6" t="str"/>
      <x:c r="F693" s="6" t="str">
        <x:v>拍PANO、PA</x:v>
      </x:c>
      <x:c r="G693" s="19" t="str">
        <x:v>※</x:v>
      </x:c>
      <x:c r="H693" s="17" t="str">
        <x:v>學習中</x:v>
      </x:c>
      <x:c r="I693" s="6" t="n">
        <x:v>106</x:v>
      </x:c>
    </x:row>
    <x:row r="694">
      <x:c r="A694" s="13" t="str">
        <x:v>1025</x:v>
      </x:c>
      <x:c r="B694" s="14" t="str"/>
      <x:c r="C694" s="14" t="str">
        <x:v>Lv.3</x:v>
      </x:c>
      <x:c r="D694" s="14" t="str">
        <x:v>陳醫師</x:v>
      </x:c>
      <x:c r="E694" s="6" t="str"/>
      <x:c r="F694" s="6" t="str">
        <x:v>X光片紀錄</x:v>
      </x:c>
      <x:c r="G694" s="19" t="str">
        <x:v>※</x:v>
      </x:c>
      <x:c r="H694" s="17" t="str">
        <x:v>學習中</x:v>
      </x:c>
      <x:c r="I694" s="6" t="n">
        <x:v>107</x:v>
      </x:c>
    </x:row>
    <x:row r="695">
      <x:c r="A695" s="13" t="str">
        <x:v>1025</x:v>
      </x:c>
      <x:c r="B695" s="14" t="str"/>
      <x:c r="C695" s="14" t="str">
        <x:v>Lv.3</x:v>
      </x:c>
      <x:c r="D695" s="14" t="str">
        <x:v>陳醫師</x:v>
      </x:c>
      <x:c r="E695" s="6" t="str"/>
      <x:c r="F695" s="6" t="str">
        <x:v>健保申報</x:v>
      </x:c>
      <x:c r="G695" s="19" t="str">
        <x:v>※</x:v>
      </x:c>
      <x:c r="H695" s="17" t="str">
        <x:v>學習中</x:v>
      </x:c>
      <x:c r="I695" s="6" t="n">
        <x:v>108</x:v>
      </x:c>
    </x:row>
    <x:row r="696">
      <x:c r="A696" s="13" t="str">
        <x:v>1025</x:v>
      </x:c>
      <x:c r="B696" s="14" t="str"/>
      <x:c r="C696" s="14" t="str">
        <x:v>Lv.3</x:v>
      </x:c>
      <x:c r="D696" s="14" t="str">
        <x:v>陳醫師</x:v>
      </x:c>
      <x:c r="E696" s="6" t="str"/>
      <x:c r="F696" s="6" t="str">
        <x:v>固定假牙</x:v>
      </x:c>
      <x:c r="G696" s="19" t="str">
        <x:v>※</x:v>
      </x:c>
      <x:c r="H696" s="17" t="str">
        <x:v>學習中</x:v>
      </x:c>
      <x:c r="I696" s="6" t="n">
        <x:v>109</x:v>
      </x:c>
    </x:row>
    <x:row r="697">
      <x:c r="A697" s="13" t="str">
        <x:v>1025</x:v>
      </x:c>
      <x:c r="B697" s="14" t="str"/>
      <x:c r="C697" s="14" t="str">
        <x:v>Lv.3</x:v>
      </x:c>
      <x:c r="D697" s="14" t="str">
        <x:v>陳醫師</x:v>
      </x:c>
      <x:c r="E697" s="6" t="str"/>
      <x:c r="F697" s="6" t="str">
        <x:v>顯微根管</x:v>
      </x:c>
      <x:c r="G697" s="19" t="str">
        <x:v>※</x:v>
      </x:c>
      <x:c r="H697" s="17" t="str">
        <x:v>學習中</x:v>
      </x:c>
      <x:c r="I697" s="6" t="n">
        <x:v>110</x:v>
      </x:c>
    </x:row>
    <x:row r="698">
      <x:c r="A698" s="13" t="str">
        <x:v>1025</x:v>
      </x:c>
      <x:c r="B698" s="14" t="str"/>
      <x:c r="C698" s="14" t="str">
        <x:v>Lv.3</x:v>
      </x:c>
      <x:c r="D698" s="14" t="str">
        <x:v>櫃台</x:v>
      </x:c>
      <x:c r="E698" s="6" t="str"/>
      <x:c r="F698" s="6" t="str">
        <x:v>掛號處理(含初診處理)開立一般收據及藥單</x:v>
      </x:c>
      <x:c r="G698" s="19" t="str">
        <x:v>◎</x:v>
      </x:c>
      <x:c r="H698" s="17" t="str">
        <x:v>熟練</x:v>
      </x:c>
      <x:c r="I698" s="6" t="n">
        <x:v>111</x:v>
      </x:c>
    </x:row>
    <x:row r="699">
      <x:c r="A699" s="13" t="str">
        <x:v>1025</x:v>
      </x:c>
      <x:c r="B699" s="14" t="str"/>
      <x:c r="C699" s="14" t="str">
        <x:v>Lv.3</x:v>
      </x:c>
      <x:c r="D699" s="14" t="str">
        <x:v>櫃台</x:v>
      </x:c>
      <x:c r="E699" s="6" t="str"/>
      <x:c r="F699" s="6" t="str">
        <x:v>收費紀錄</x:v>
      </x:c>
      <x:c r="G699" s="19" t="str">
        <x:v>Ø</x:v>
      </x:c>
      <x:c r="H699" s="17" t="str">
        <x:v>尚未熟練</x:v>
      </x:c>
      <x:c r="I699" s="6" t="n">
        <x:v>112</x:v>
      </x:c>
    </x:row>
    <x:row r="700">
      <x:c r="A700" s="13" t="str">
        <x:v>1025</x:v>
      </x:c>
      <x:c r="B700" s="14" t="str"/>
      <x:c r="C700" s="14" t="str">
        <x:v>Lv.3</x:v>
      </x:c>
      <x:c r="D700" s="14" t="str">
        <x:v>櫃台</x:v>
      </x:c>
      <x:c r="E700" s="6" t="str"/>
      <x:c r="F700" s="6" t="str">
        <x:v>病歷整理</x:v>
      </x:c>
      <x:c r="G700" s="19" t="str">
        <x:v>◎</x:v>
      </x:c>
      <x:c r="H700" s="17" t="str">
        <x:v>熟練</x:v>
      </x:c>
      <x:c r="I700" s="6" t="n">
        <x:v>113</x:v>
      </x:c>
    </x:row>
    <x:row r="701">
      <x:c r="A701" s="13" t="str">
        <x:v>1025</x:v>
      </x:c>
      <x:c r="B701" s="14" t="str"/>
      <x:c r="C701" s="14" t="str">
        <x:v>Lv.3</x:v>
      </x:c>
      <x:c r="D701" s="14" t="str">
        <x:v>櫃台</x:v>
      </x:c>
      <x:c r="E701" s="6" t="str"/>
      <x:c r="F701" s="6" t="str">
        <x:v>治療同意書填寫</x:v>
      </x:c>
      <x:c r="G701" s="19" t="str">
        <x:v>◎</x:v>
      </x:c>
      <x:c r="H701" s="17" t="str">
        <x:v>熟練</x:v>
      </x:c>
      <x:c r="I701" s="6" t="n">
        <x:v>114</x:v>
      </x:c>
    </x:row>
    <x:row r="702">
      <x:c r="A702" s="13" t="str">
        <x:v>1025</x:v>
      </x:c>
      <x:c r="B702" s="14" t="str"/>
      <x:c r="C702" s="14" t="str">
        <x:v>Lv.3</x:v>
      </x:c>
      <x:c r="D702" s="14" t="str">
        <x:v>櫃台</x:v>
      </x:c>
      <x:c r="E702" s="6" t="str"/>
      <x:c r="F702" s="6" t="str">
        <x:v>與患者應對</x:v>
      </x:c>
      <x:c r="G702" s="19" t="str">
        <x:v>◎</x:v>
      </x:c>
      <x:c r="H702" s="17" t="str">
        <x:v>熟練</x:v>
      </x:c>
      <x:c r="I702" s="6" t="n">
        <x:v>115</x:v>
      </x:c>
    </x:row>
    <x:row r="703">
      <x:c r="A703" s="13" t="str">
        <x:v>1025</x:v>
      </x:c>
      <x:c r="B703" s="14" t="str"/>
      <x:c r="C703" s="14" t="str">
        <x:v>Lv.3</x:v>
      </x:c>
      <x:c r="D703" s="14" t="str">
        <x:v>櫃台</x:v>
      </x:c>
      <x:c r="E703" s="6" t="str"/>
      <x:c r="F703" s="6" t="str">
        <x:v>約診</x:v>
      </x:c>
      <x:c r="G703" s="19" t="str">
        <x:v>Ø</x:v>
      </x:c>
      <x:c r="H703" s="17" t="str">
        <x:v>尚未熟練</x:v>
      </x:c>
      <x:c r="I703" s="6" t="n">
        <x:v>116</x:v>
      </x:c>
    </x:row>
    <x:row r="704">
      <x:c r="A704" s="13" t="str">
        <x:v>1025</x:v>
      </x:c>
      <x:c r="B704" s="14" t="str"/>
      <x:c r="C704" s="14" t="str">
        <x:v>Lv.3</x:v>
      </x:c>
      <x:c r="D704" s="14" t="str">
        <x:v>櫃台</x:v>
      </x:c>
      <x:c r="E704" s="6" t="str"/>
      <x:c r="F704" s="6" t="str">
        <x:v>報表製作</x:v>
      </x:c>
      <x:c r="G704" s="19" t="str">
        <x:v>◎</x:v>
      </x:c>
      <x:c r="H704" s="17" t="str">
        <x:v>熟練</x:v>
      </x:c>
      <x:c r="I704" s="6" t="n">
        <x:v>117</x:v>
      </x:c>
    </x:row>
    <x:row r="705">
      <x:c r="A705" s="13" t="str">
        <x:v>1025</x:v>
      </x:c>
      <x:c r="B705" s="14" t="str"/>
      <x:c r="C705" s="14" t="str">
        <x:v>Lv.3</x:v>
      </x:c>
      <x:c r="D705" s="14" t="str">
        <x:v>櫃台</x:v>
      </x:c>
      <x:c r="E705" s="6" t="str"/>
      <x:c r="F705" s="6" t="str">
        <x:v>診斷證明書</x:v>
      </x:c>
      <x:c r="G705" s="19" t="str">
        <x:v>Ø</x:v>
      </x:c>
      <x:c r="H705" s="17" t="str">
        <x:v>尚未熟練</x:v>
      </x:c>
      <x:c r="I705" s="6" t="n">
        <x:v>118</x:v>
      </x:c>
    </x:row>
    <x:row r="706">
      <x:c r="A706" s="13" t="str">
        <x:v>1025</x:v>
      </x:c>
      <x:c r="B706" s="14" t="str"/>
      <x:c r="C706" s="14" t="str">
        <x:v>Lv.3</x:v>
      </x:c>
      <x:c r="D706" s="14" t="str">
        <x:v>櫃台</x:v>
      </x:c>
      <x:c r="E706" s="6" t="str"/>
      <x:c r="F706" s="6" t="str">
        <x:v>牙統VPN</x:v>
      </x:c>
      <x:c r="G706" s="19" t="str">
        <x:v>◎</x:v>
      </x:c>
      <x:c r="H706" s="17" t="str">
        <x:v>熟練</x:v>
      </x:c>
      <x:c r="I706" s="6" t="n">
        <x:v>119</x:v>
      </x:c>
    </x:row>
    <x:row r="707">
      <x:c r="A707" s="13" t="str">
        <x:v>1025</x:v>
      </x:c>
      <x:c r="B707" s="14" t="str"/>
      <x:c r="C707" s="14" t="str">
        <x:v>Lv.3</x:v>
      </x:c>
      <x:c r="D707" s="14" t="str">
        <x:v>櫃台</x:v>
      </x:c>
      <x:c r="E707" s="6" t="str"/>
      <x:c r="F707" s="6" t="str">
        <x:v>病歷檢查核對</x:v>
      </x:c>
      <x:c r="G707" s="19" t="str"/>
      <x:c r="H707" s="17" t="str">
        <x:v>未評分</x:v>
      </x:c>
      <x:c r="I707" s="6" t="n">
        <x:v>120</x:v>
      </x:c>
    </x:row>
    <x:row r="708">
      <x:c r="A708" s="13" t="str">
        <x:v>1025</x:v>
      </x:c>
      <x:c r="B708" s="14" t="str"/>
      <x:c r="C708" s="14" t="str">
        <x:v>Lv.3</x:v>
      </x:c>
      <x:c r="D708" s="14" t="str">
        <x:v>櫃台</x:v>
      </x:c>
      <x:c r="E708" s="6" t="str"/>
      <x:c r="F708" s="6" t="str">
        <x:v>抽審資料處理</x:v>
      </x:c>
      <x:c r="G708" s="19" t="str"/>
      <x:c r="H708" s="17" t="str">
        <x:v>未評分</x:v>
      </x:c>
      <x:c r="I708" s="6" t="n">
        <x:v>121</x:v>
      </x:c>
    </x:row>
    <x:row r="709">
      <x:c r="A709" s="13" t="str">
        <x:v>1026</x:v>
      </x:c>
      <x:c r="B709" s="14" t="str"/>
      <x:c r="C709" s="14" t="str">
        <x:v>Lv.2</x:v>
      </x:c>
      <x:c r="D709" s="14" t="str">
        <x:v>流動工作</x:v>
      </x:c>
      <x:c r="E709" s="6" t="str"/>
      <x:c r="F709" s="6" t="str">
        <x:v>撤備台</x:v>
      </x:c>
      <x:c r="G709" s="19" t="str">
        <x:v>◎</x:v>
      </x:c>
      <x:c r="H709" s="17" t="str">
        <x:v>熟練</x:v>
      </x:c>
      <x:c r="I709" s="6" t="n">
        <x:v>5</x:v>
      </x:c>
    </x:row>
    <x:row r="710">
      <x:c r="A710" s="13" t="str">
        <x:v>1026</x:v>
      </x:c>
      <x:c r="B710" s="14" t="str"/>
      <x:c r="C710" s="14" t="str">
        <x:v>Lv.2</x:v>
      </x:c>
      <x:c r="D710" s="14" t="str">
        <x:v>流動工作</x:v>
      </x:c>
      <x:c r="E710" s="6" t="str"/>
      <x:c r="F710" s="6" t="str">
        <x:v>器械清消流程</x:v>
      </x:c>
      <x:c r="G710" s="19" t="str">
        <x:v>◎</x:v>
      </x:c>
      <x:c r="H710" s="17" t="str">
        <x:v>熟練</x:v>
      </x:c>
      <x:c r="I710" s="6" t="n">
        <x:v>6</x:v>
      </x:c>
    </x:row>
    <x:row r="711">
      <x:c r="A711" s="13" t="str">
        <x:v>1026</x:v>
      </x:c>
      <x:c r="B711" s="14" t="str"/>
      <x:c r="C711" s="14" t="str">
        <x:v>Lv.2</x:v>
      </x:c>
      <x:c r="D711" s="14" t="str">
        <x:v>流動工作</x:v>
      </x:c>
      <x:c r="E711" s="6" t="str"/>
      <x:c r="F711" s="6" t="str">
        <x:v>認識治療項目</x:v>
      </x:c>
      <x:c r="G711" s="19" t="str">
        <x:v>◎</x:v>
      </x:c>
      <x:c r="H711" s="17" t="str">
        <x:v>熟練</x:v>
      </x:c>
      <x:c r="I711" s="6" t="n">
        <x:v>7</x:v>
      </x:c>
    </x:row>
    <x:row r="712">
      <x:c r="A712" s="13" t="str">
        <x:v>1026</x:v>
      </x:c>
      <x:c r="B712" s="14" t="str"/>
      <x:c r="C712" s="14" t="str">
        <x:v>Lv.2</x:v>
      </x:c>
      <x:c r="D712" s="14" t="str">
        <x:v>流動工作</x:v>
      </x:c>
      <x:c r="E712" s="6" t="str"/>
      <x:c r="F712" s="6" t="str">
        <x:v>替代跟診人員灌模</x:v>
      </x:c>
      <x:c r="G712" s="19" t="str">
        <x:v>◎</x:v>
      </x:c>
      <x:c r="H712" s="17" t="str">
        <x:v>熟練</x:v>
      </x:c>
      <x:c r="I712" s="6" t="n">
        <x:v>8</x:v>
      </x:c>
    </x:row>
    <x:row r="713">
      <x:c r="A713" s="13" t="str">
        <x:v>1026</x:v>
      </x:c>
      <x:c r="B713" s="14" t="str"/>
      <x:c r="C713" s="14" t="str">
        <x:v>Lv.2</x:v>
      </x:c>
      <x:c r="D713" s="14" t="str">
        <x:v>流動工作</x:v>
      </x:c>
      <x:c r="E713" s="6" t="str"/>
      <x:c r="F713" s="6" t="str">
        <x:v>拍攝X光片(PANO)</x:v>
      </x:c>
      <x:c r="G713" s="19" t="str">
        <x:v>◎</x:v>
      </x:c>
      <x:c r="H713" s="17" t="str">
        <x:v>熟練</x:v>
      </x:c>
      <x:c r="I713" s="6" t="n">
        <x:v>9</x:v>
      </x:c>
    </x:row>
    <x:row r="714">
      <x:c r="A714" s="13" t="str">
        <x:v>1026</x:v>
      </x:c>
      <x:c r="B714" s="14" t="str"/>
      <x:c r="C714" s="14" t="str">
        <x:v>Lv.2</x:v>
      </x:c>
      <x:c r="D714" s="14" t="str">
        <x:v>流動工作</x:v>
      </x:c>
      <x:c r="E714" s="6" t="str"/>
      <x:c r="F714" s="6" t="str">
        <x:v>拍攝根尖片(用鱷魚夾)</x:v>
      </x:c>
      <x:c r="G714" s="19" t="str">
        <x:v>◎</x:v>
      </x:c>
      <x:c r="H714" s="17" t="str">
        <x:v>熟練</x:v>
      </x:c>
      <x:c r="I714" s="6" t="n">
        <x:v>10</x:v>
      </x:c>
    </x:row>
    <x:row r="715">
      <x:c r="A715" s="13" t="str">
        <x:v>1026</x:v>
      </x:c>
      <x:c r="B715" s="14" t="str"/>
      <x:c r="C715" s="14" t="str">
        <x:v>Lv.2</x:v>
      </x:c>
      <x:c r="D715" s="14" t="str">
        <x:v>流動工作</x:v>
      </x:c>
      <x:c r="E715" s="6" t="str"/>
      <x:c r="F715" s="6" t="str">
        <x:v>拍攝根尖片(手壓片)</x:v>
      </x:c>
      <x:c r="G715" s="19" t="str">
        <x:v>◎</x:v>
      </x:c>
      <x:c r="H715" s="17" t="str">
        <x:v>熟練</x:v>
      </x:c>
      <x:c r="I715" s="6" t="n">
        <x:v>11</x:v>
      </x:c>
    </x:row>
    <x:row r="716">
      <x:c r="A716" s="13" t="str">
        <x:v>1026</x:v>
      </x:c>
      <x:c r="B716" s="14" t="str"/>
      <x:c r="C716" s="14" t="str">
        <x:v>Lv.2</x:v>
      </x:c>
      <x:c r="D716" s="14" t="str">
        <x:v>流動工作</x:v>
      </x:c>
      <x:c r="E716" s="6" t="str"/>
      <x:c r="F716" s="6" t="str">
        <x:v>開、關診工作</x:v>
      </x:c>
      <x:c r="G716" s="19" t="str">
        <x:v>◎</x:v>
      </x:c>
      <x:c r="H716" s="17" t="str">
        <x:v>熟練</x:v>
      </x:c>
      <x:c r="I716" s="6" t="n">
        <x:v>12</x:v>
      </x:c>
    </x:row>
    <x:row r="717">
      <x:c r="A717" s="13" t="str">
        <x:v>1026</x:v>
      </x:c>
      <x:c r="B717" s="14" t="str"/>
      <x:c r="C717" s="14" t="str">
        <x:v>Lv.2</x:v>
      </x:c>
      <x:c r="D717" s="14" t="str">
        <x:v>流動工作</x:v>
      </x:c>
      <x:c r="E717" s="6" t="str"/>
      <x:c r="F717" s="6" t="str">
        <x:v>備品補充+器械安全庫存</x:v>
      </x:c>
      <x:c r="G717" s="19" t="str">
        <x:v>◎</x:v>
      </x:c>
      <x:c r="H717" s="17" t="str">
        <x:v>熟練</x:v>
      </x:c>
      <x:c r="I717" s="6" t="n">
        <x:v>13</x:v>
      </x:c>
    </x:row>
    <x:row r="718">
      <x:c r="A718" s="13" t="str">
        <x:v>1026</x:v>
      </x:c>
      <x:c r="B718" s="14" t="str"/>
      <x:c r="C718" s="14" t="str">
        <x:v>Lv.2</x:v>
      </x:c>
      <x:c r="D718" s="14" t="str">
        <x:v>衛教</x:v>
      </x:c>
      <x:c r="E718" s="6" t="str"/>
      <x:c r="F718" s="6" t="str">
        <x:v>基礎衛教</x:v>
      </x:c>
      <x:c r="G718" s="19" t="str">
        <x:v>◎</x:v>
      </x:c>
      <x:c r="H718" s="17" t="str">
        <x:v>熟練</x:v>
      </x:c>
      <x:c r="I718" s="6" t="n">
        <x:v>14</x:v>
      </x:c>
    </x:row>
    <x:row r="719">
      <x:c r="A719" s="13" t="str">
        <x:v>1026</x:v>
      </x:c>
      <x:c r="B719" s="14" t="str"/>
      <x:c r="C719" s="14" t="str">
        <x:v>Lv.2</x:v>
      </x:c>
      <x:c r="D719" s="14" t="str">
        <x:v>衛教</x:v>
      </x:c>
      <x:c r="E719" s="6" t="str"/>
      <x:c r="F719" s="6" t="str">
        <x:v>進階衛教</x:v>
      </x:c>
      <x:c r="G719" s="19" t="str">
        <x:v>◎</x:v>
      </x:c>
      <x:c r="H719" s="17" t="str">
        <x:v>熟練</x:v>
      </x:c>
      <x:c r="I719" s="6" t="n">
        <x:v>15</x:v>
      </x:c>
    </x:row>
    <x:row r="720">
      <x:c r="A720" s="13" t="str">
        <x:v>1026</x:v>
      </x:c>
      <x:c r="B720" s="14" t="str"/>
      <x:c r="C720" s="14" t="str">
        <x:v>Lv.2</x:v>
      </x:c>
      <x:c r="D720" s="14" t="str">
        <x:v>李柄輝醫師</x:v>
      </x:c>
      <x:c r="E720" s="6" t="str">
        <x:v>器械準備</x:v>
      </x:c>
      <x:c r="F720" s="6" t="str">
        <x:v>洗牙</x:v>
      </x:c>
      <x:c r="G720" s="19" t="str">
        <x:v>◎</x:v>
      </x:c>
      <x:c r="H720" s="17" t="str">
        <x:v>熟練</x:v>
      </x:c>
      <x:c r="I720" s="6" t="n">
        <x:v>16</x:v>
      </x:c>
    </x:row>
    <x:row r="721">
      <x:c r="A721" s="13" t="str">
        <x:v>1026</x:v>
      </x:c>
      <x:c r="B721" s="14" t="str"/>
      <x:c r="C721" s="14" t="str">
        <x:v>Lv.2</x:v>
      </x:c>
      <x:c r="D721" s="14" t="str">
        <x:v>李柄輝醫師</x:v>
      </x:c>
      <x:c r="E721" s="6" t="str">
        <x:v>器械準備</x:v>
      </x:c>
      <x:c r="F721" s="6" t="str">
        <x:v>補牙</x:v>
      </x:c>
      <x:c r="G721" s="19" t="str">
        <x:v>◎</x:v>
      </x:c>
      <x:c r="H721" s="17" t="str">
        <x:v>熟練</x:v>
      </x:c>
      <x:c r="I721" s="6" t="n">
        <x:v>17</x:v>
      </x:c>
    </x:row>
    <x:row r="722">
      <x:c r="A722" s="13" t="str">
        <x:v>1026</x:v>
      </x:c>
      <x:c r="B722" s="14" t="str"/>
      <x:c r="C722" s="14" t="str">
        <x:v>Lv.2</x:v>
      </x:c>
      <x:c r="D722" s="14" t="str">
        <x:v>李柄輝醫師</x:v>
      </x:c>
      <x:c r="E722" s="6" t="str">
        <x:v>器械準備</x:v>
      </x:c>
      <x:c r="F722" s="6" t="str">
        <x:v>牙周統合</x:v>
      </x:c>
      <x:c r="G722" s="19" t="str">
        <x:v>◎</x:v>
      </x:c>
      <x:c r="H722" s="17" t="str">
        <x:v>熟練</x:v>
      </x:c>
      <x:c r="I722" s="6" t="n">
        <x:v>18</x:v>
      </x:c>
    </x:row>
    <x:row r="723">
      <x:c r="A723" s="13" t="str">
        <x:v>1026</x:v>
      </x:c>
      <x:c r="B723" s="14" t="str"/>
      <x:c r="C723" s="14" t="str">
        <x:v>Lv.2</x:v>
      </x:c>
      <x:c r="D723" s="14" t="str">
        <x:v>李柄輝醫師</x:v>
      </x:c>
      <x:c r="E723" s="6" t="str">
        <x:v>器械準備</x:v>
      </x:c>
      <x:c r="F723" s="6" t="str">
        <x:v>根管治療(插針照)</x:v>
      </x:c>
      <x:c r="G723" s="19" t="str">
        <x:v>◎</x:v>
      </x:c>
      <x:c r="H723" s="17" t="str">
        <x:v>熟練</x:v>
      </x:c>
      <x:c r="I723" s="6" t="n">
        <x:v>19</x:v>
      </x:c>
    </x:row>
    <x:row r="724">
      <x:c r="A724" s="13" t="str">
        <x:v>1026</x:v>
      </x:c>
      <x:c r="B724" s="14" t="str"/>
      <x:c r="C724" s="14" t="str">
        <x:v>Lv.2</x:v>
      </x:c>
      <x:c r="D724" s="14" t="str">
        <x:v>李柄輝醫師</x:v>
      </x:c>
      <x:c r="E724" s="6" t="str">
        <x:v>器械準備</x:v>
      </x:c>
      <x:c r="F724" s="6" t="str">
        <x:v>拆crown/post</x:v>
      </x:c>
      <x:c r="G724" s="19" t="str">
        <x:v>◎</x:v>
      </x:c>
      <x:c r="H724" s="17" t="str">
        <x:v>熟練</x:v>
      </x:c>
      <x:c r="I724" s="6" t="n">
        <x:v>20</x:v>
      </x:c>
    </x:row>
    <x:row r="725">
      <x:c r="A725" s="13" t="str">
        <x:v>1026</x:v>
      </x:c>
      <x:c r="B725" s="14" t="str"/>
      <x:c r="C725" s="14" t="str">
        <x:v>Lv.2</x:v>
      </x:c>
      <x:c r="D725" s="14" t="str">
        <x:v>李柄輝醫師</x:v>
      </x:c>
      <x:c r="E725" s="6" t="str">
        <x:v>器械準備</x:v>
      </x:c>
      <x:c r="F725" s="6" t="str">
        <x:v>拔牙</x:v>
      </x:c>
      <x:c r="G725" s="19" t="str">
        <x:v>Ø</x:v>
      </x:c>
      <x:c r="H725" s="17" t="str">
        <x:v>尚未熟練</x:v>
      </x:c>
      <x:c r="I725" s="6" t="n">
        <x:v>21</x:v>
      </x:c>
    </x:row>
    <x:row r="726">
      <x:c r="A726" s="13" t="str">
        <x:v>1026</x:v>
      </x:c>
      <x:c r="B726" s="14" t="str"/>
      <x:c r="C726" s="14" t="str">
        <x:v>Lv.2</x:v>
      </x:c>
      <x:c r="D726" s="14" t="str">
        <x:v>李柄輝醫師</x:v>
      </x:c>
      <x:c r="E726" s="6" t="str">
        <x:v>自費</x:v>
      </x:c>
      <x:c r="F726" s="6" t="str">
        <x:v>固定假牙(黏著劑)</x:v>
      </x:c>
      <x:c r="G726" s="19" t="str">
        <x:v>Ø</x:v>
      </x:c>
      <x:c r="H726" s="17" t="str">
        <x:v>尚未熟練</x:v>
      </x:c>
      <x:c r="I726" s="6" t="n">
        <x:v>22</x:v>
      </x:c>
    </x:row>
    <x:row r="727">
      <x:c r="A727" s="13" t="str">
        <x:v>1026</x:v>
      </x:c>
      <x:c r="B727" s="14" t="str"/>
      <x:c r="C727" s="14" t="str">
        <x:v>Lv.2</x:v>
      </x:c>
      <x:c r="D727" s="14" t="str">
        <x:v>李柄輝醫師</x:v>
      </x:c>
      <x:c r="E727" s="6" t="str"/>
      <x:c r="F727" s="6" t="str">
        <x:v>跟診順暢度</x:v>
      </x:c>
      <x:c r="G727" s="19" t="str">
        <x:v>Ø</x:v>
      </x:c>
      <x:c r="H727" s="17" t="str">
        <x:v>尚未熟練</x:v>
      </x:c>
      <x:c r="I727" s="6" t="n">
        <x:v>23</x:v>
      </x:c>
    </x:row>
    <x:row r="728">
      <x:c r="A728" s="13" t="str">
        <x:v>1026</x:v>
      </x:c>
      <x:c r="B728" s="14" t="str"/>
      <x:c r="C728" s="14" t="str">
        <x:v>Lv.2</x:v>
      </x:c>
      <x:c r="D728" s="14" t="str">
        <x:v>李柄輝醫師</x:v>
      </x:c>
      <x:c r="E728" s="6" t="str"/>
      <x:c r="F728" s="6" t="str">
        <x:v>病歷紀錄</x:v>
      </x:c>
      <x:c r="G728" s="19" t="str">
        <x:v>Ø</x:v>
      </x:c>
      <x:c r="H728" s="17" t="str">
        <x:v>尚未熟練</x:v>
      </x:c>
      <x:c r="I728" s="6" t="n">
        <x:v>24</x:v>
      </x:c>
    </x:row>
    <x:row r="729">
      <x:c r="A729" s="13" t="str">
        <x:v>1026</x:v>
      </x:c>
      <x:c r="B729" s="14" t="str"/>
      <x:c r="C729" s="14" t="str">
        <x:v>Lv.2</x:v>
      </x:c>
      <x:c r="D729" s="14" t="str">
        <x:v>李柄輝醫師</x:v>
      </x:c>
      <x:c r="E729" s="6" t="str"/>
      <x:c r="F729" s="6" t="str">
        <x:v>健保申報</x:v>
      </x:c>
      <x:c r="G729" s="19" t="str">
        <x:v>Ø</x:v>
      </x:c>
      <x:c r="H729" s="17" t="str">
        <x:v>尚未熟練</x:v>
      </x:c>
      <x:c r="I729" s="6" t="n">
        <x:v>25</x:v>
      </x:c>
    </x:row>
    <x:row r="730">
      <x:c r="A730" s="13" t="str">
        <x:v>1026</x:v>
      </x:c>
      <x:c r="B730" s="14" t="str"/>
      <x:c r="C730" s="14" t="str">
        <x:v>Lv.2</x:v>
      </x:c>
      <x:c r="D730" s="14" t="str">
        <x:v>李柄輝醫師</x:v>
      </x:c>
      <x:c r="E730" s="6" t="str"/>
      <x:c r="F730" s="6" t="str">
        <x:v>X光片紀錄</x:v>
      </x:c>
      <x:c r="G730" s="19" t="str">
        <x:v>Ø</x:v>
      </x:c>
      <x:c r="H730" s="17" t="str">
        <x:v>尚未熟練</x:v>
      </x:c>
      <x:c r="I730" s="6" t="n">
        <x:v>26</x:v>
      </x:c>
    </x:row>
    <x:row r="731">
      <x:c r="A731" s="13" t="str">
        <x:v>1026</x:v>
      </x:c>
      <x:c r="B731" s="14" t="str"/>
      <x:c r="C731" s="14" t="str">
        <x:v>Lv.2</x:v>
      </x:c>
      <x:c r="D731" s="14" t="str">
        <x:v>李柄輝醫師</x:v>
      </x:c>
      <x:c r="E731" s="6" t="str"/>
      <x:c r="F731" s="6" t="str">
        <x:v>拍PA</x:v>
      </x:c>
      <x:c r="G731" s="19" t="str">
        <x:v>◎</x:v>
      </x:c>
      <x:c r="H731" s="17" t="str">
        <x:v>熟練</x:v>
      </x:c>
      <x:c r="I731" s="6" t="n">
        <x:v>27</x:v>
      </x:c>
    </x:row>
    <x:row r="732">
      <x:c r="A732" s="13" t="str">
        <x:v>1026</x:v>
      </x:c>
      <x:c r="B732" s="14" t="str"/>
      <x:c r="C732" s="14" t="str">
        <x:v>Lv.2</x:v>
      </x:c>
      <x:c r="D732" s="14" t="str">
        <x:v>李侑津醫師</x:v>
      </x:c>
      <x:c r="E732" s="6" t="str">
        <x:v>器械準備</x:v>
      </x:c>
      <x:c r="F732" s="6" t="str">
        <x:v>洗牙</x:v>
      </x:c>
      <x:c r="G732" s="19" t="str">
        <x:v>◎</x:v>
      </x:c>
      <x:c r="H732" s="17" t="str">
        <x:v>熟練</x:v>
      </x:c>
      <x:c r="I732" s="6" t="n">
        <x:v>28</x:v>
      </x:c>
    </x:row>
    <x:row r="733">
      <x:c r="A733" s="13" t="str">
        <x:v>1026</x:v>
      </x:c>
      <x:c r="B733" s="14" t="str"/>
      <x:c r="C733" s="14" t="str">
        <x:v>Lv.2</x:v>
      </x:c>
      <x:c r="D733" s="14" t="str">
        <x:v>李侑津醫師</x:v>
      </x:c>
      <x:c r="E733" s="6" t="str">
        <x:v>器械準備</x:v>
      </x:c>
      <x:c r="F733" s="6" t="str">
        <x:v>補牙</x:v>
      </x:c>
      <x:c r="G733" s="19" t="str">
        <x:v>◎</x:v>
      </x:c>
      <x:c r="H733" s="17" t="str">
        <x:v>熟練</x:v>
      </x:c>
      <x:c r="I733" s="6" t="n">
        <x:v>29</x:v>
      </x:c>
    </x:row>
    <x:row r="734">
      <x:c r="A734" s="13" t="str">
        <x:v>1026</x:v>
      </x:c>
      <x:c r="B734" s="14" t="str"/>
      <x:c r="C734" s="14" t="str">
        <x:v>Lv.2</x:v>
      </x:c>
      <x:c r="D734" s="14" t="str">
        <x:v>李侑津醫師</x:v>
      </x:c>
      <x:c r="E734" s="6" t="str">
        <x:v>器械準備</x:v>
      </x:c>
      <x:c r="F734" s="6" t="str">
        <x:v>牙周統合</x:v>
      </x:c>
      <x:c r="G734" s="19" t="str">
        <x:v>◎</x:v>
      </x:c>
      <x:c r="H734" s="17" t="str">
        <x:v>熟練</x:v>
      </x:c>
      <x:c r="I734" s="6" t="n">
        <x:v>30</x:v>
      </x:c>
    </x:row>
    <x:row r="735">
      <x:c r="A735" s="13" t="str">
        <x:v>1026</x:v>
      </x:c>
      <x:c r="B735" s="14" t="str"/>
      <x:c r="C735" s="14" t="str">
        <x:v>Lv.2</x:v>
      </x:c>
      <x:c r="D735" s="14" t="str">
        <x:v>李侑津醫師</x:v>
      </x:c>
      <x:c r="E735" s="6" t="str">
        <x:v>器械準備</x:v>
      </x:c>
      <x:c r="F735" s="6" t="str">
        <x:v>根管治療</x:v>
      </x:c>
      <x:c r="G735" s="19" t="str">
        <x:v>◎</x:v>
      </x:c>
      <x:c r="H735" s="17" t="str">
        <x:v>熟練</x:v>
      </x:c>
      <x:c r="I735" s="6" t="n">
        <x:v>31</x:v>
      </x:c>
    </x:row>
    <x:row r="736">
      <x:c r="A736" s="13" t="str">
        <x:v>1026</x:v>
      </x:c>
      <x:c r="B736" s="14" t="str"/>
      <x:c r="C736" s="14" t="str">
        <x:v>Lv.2</x:v>
      </x:c>
      <x:c r="D736" s="14" t="str">
        <x:v>李侑津醫師</x:v>
      </x:c>
      <x:c r="E736" s="6" t="str">
        <x:v>器械準備</x:v>
      </x:c>
      <x:c r="F736" s="6" t="str">
        <x:v>拔牙</x:v>
      </x:c>
      <x:c r="G736" s="19" t="str">
        <x:v>Ø</x:v>
      </x:c>
      <x:c r="H736" s="17" t="str">
        <x:v>尚未熟練</x:v>
      </x:c>
      <x:c r="I736" s="6" t="n">
        <x:v>32</x:v>
      </x:c>
    </x:row>
    <x:row r="737">
      <x:c r="A737" s="13" t="str">
        <x:v>1026</x:v>
      </x:c>
      <x:c r="B737" s="14" t="str"/>
      <x:c r="C737" s="14" t="str">
        <x:v>Lv.2</x:v>
      </x:c>
      <x:c r="D737" s="14" t="str">
        <x:v>李侑津醫師</x:v>
      </x:c>
      <x:c r="E737" s="6" t="str">
        <x:v>器械準備</x:v>
      </x:c>
      <x:c r="F737" s="6" t="str">
        <x:v>拆 crown/post</x:v>
      </x:c>
      <x:c r="G737" s="19" t="str">
        <x:v>◎</x:v>
      </x:c>
      <x:c r="H737" s="17" t="str">
        <x:v>熟練</x:v>
      </x:c>
      <x:c r="I737" s="6" t="n">
        <x:v>33</x:v>
      </x:c>
    </x:row>
    <x:row r="738">
      <x:c r="A738" s="13" t="str">
        <x:v>1026</x:v>
      </x:c>
      <x:c r="B738" s="14" t="str"/>
      <x:c r="C738" s="14" t="str">
        <x:v>Lv.2</x:v>
      </x:c>
      <x:c r="D738" s="14" t="str">
        <x:v>李侑津醫師</x:v>
      </x:c>
      <x:c r="E738" s="6" t="str">
        <x:v>自費</x:v>
      </x:c>
      <x:c r="F738" s="6" t="str">
        <x:v>固定假牙</x:v>
      </x:c>
      <x:c r="G738" s="19" t="str">
        <x:v>◎</x:v>
      </x:c>
      <x:c r="H738" s="17" t="str">
        <x:v>熟練</x:v>
      </x:c>
      <x:c r="I738" s="6" t="n">
        <x:v>34</x:v>
      </x:c>
    </x:row>
    <x:row r="739">
      <x:c r="A739" s="13" t="str">
        <x:v>1026</x:v>
      </x:c>
      <x:c r="B739" s="14" t="str"/>
      <x:c r="C739" s="14" t="str">
        <x:v>Lv.2</x:v>
      </x:c>
      <x:c r="D739" s="14" t="str">
        <x:v>李侑津醫師</x:v>
      </x:c>
      <x:c r="E739" s="6" t="str">
        <x:v>自費</x:v>
      </x:c>
      <x:c r="F739" s="6" t="str">
        <x:v>RPD</x:v>
      </x:c>
      <x:c r="G739" s="19" t="str">
        <x:v>※</x:v>
      </x:c>
      <x:c r="H739" s="17" t="str">
        <x:v>學習中</x:v>
      </x:c>
      <x:c r="I739" s="6" t="n">
        <x:v>35</x:v>
      </x:c>
    </x:row>
    <x:row r="740">
      <x:c r="A740" s="13" t="str">
        <x:v>1026</x:v>
      </x:c>
      <x:c r="B740" s="14" t="str"/>
      <x:c r="C740" s="14" t="str">
        <x:v>Lv.2</x:v>
      </x:c>
      <x:c r="D740" s="14" t="str">
        <x:v>李侑津醫師</x:v>
      </x:c>
      <x:c r="E740" s="6" t="str">
        <x:v>自費</x:v>
      </x:c>
      <x:c r="F740" s="6" t="str">
        <x:v>噴砂美白</x:v>
      </x:c>
      <x:c r="G740" s="19" t="str">
        <x:v>※</x:v>
      </x:c>
      <x:c r="H740" s="17" t="str">
        <x:v>學習中</x:v>
      </x:c>
      <x:c r="I740" s="6" t="n">
        <x:v>36</x:v>
      </x:c>
    </x:row>
    <x:row r="741">
      <x:c r="A741" s="13" t="str">
        <x:v>1026</x:v>
      </x:c>
      <x:c r="B741" s="14" t="str"/>
      <x:c r="C741" s="14" t="str">
        <x:v>Lv.2</x:v>
      </x:c>
      <x:c r="D741" s="14" t="str">
        <x:v>李侑津醫師</x:v>
      </x:c>
      <x:c r="E741" s="6" t="str">
        <x:v>手術</x:v>
      </x:c>
      <x:c r="F741" s="6" t="str">
        <x:v>牙周手術</x:v>
      </x:c>
      <x:c r="G741" s="19" t="str">
        <x:v>※</x:v>
      </x:c>
      <x:c r="H741" s="17" t="str">
        <x:v>學習中</x:v>
      </x:c>
      <x:c r="I741" s="6" t="n">
        <x:v>37</x:v>
      </x:c>
    </x:row>
    <x:row r="742">
      <x:c r="A742" s="13" t="str">
        <x:v>1026</x:v>
      </x:c>
      <x:c r="B742" s="14" t="str"/>
      <x:c r="C742" s="14" t="str">
        <x:v>Lv.2</x:v>
      </x:c>
      <x:c r="D742" s="14" t="str">
        <x:v>李侑津醫師</x:v>
      </x:c>
      <x:c r="E742" s="6" t="str">
        <x:v>手術</x:v>
      </x:c>
      <x:c r="F742" s="6" t="str">
        <x:v>顯微根管</x:v>
      </x:c>
      <x:c r="G742" s="19" t="str">
        <x:v>※</x:v>
      </x:c>
      <x:c r="H742" s="17" t="str">
        <x:v>學習中</x:v>
      </x:c>
      <x:c r="I742" s="6" t="n">
        <x:v>38</x:v>
      </x:c>
    </x:row>
    <x:row r="743">
      <x:c r="A743" s="13" t="str">
        <x:v>1026</x:v>
      </x:c>
      <x:c r="B743" s="14" t="str"/>
      <x:c r="C743" s="14" t="str">
        <x:v>Lv.2</x:v>
      </x:c>
      <x:c r="D743" s="14" t="str">
        <x:v>李侑津醫師</x:v>
      </x:c>
      <x:c r="E743" s="6" t="str">
        <x:v>手術</x:v>
      </x:c>
      <x:c r="F743" s="6" t="str">
        <x:v>植 牙</x:v>
      </x:c>
      <x:c r="G743" s="19" t="str">
        <x:v>◎</x:v>
      </x:c>
      <x:c r="H743" s="17" t="str">
        <x:v>熟練</x:v>
      </x:c>
      <x:c r="I743" s="6" t="n">
        <x:v>39</x:v>
      </x:c>
    </x:row>
    <x:row r="744">
      <x:c r="A744" s="13" t="str">
        <x:v>1026</x:v>
      </x:c>
      <x:c r="B744" s="14" t="str"/>
      <x:c r="C744" s="14" t="str">
        <x:v>Lv.2</x:v>
      </x:c>
      <x:c r="D744" s="14" t="str">
        <x:v>李侑津醫師</x:v>
      </x:c>
      <x:c r="E744" s="6" t="str"/>
      <x:c r="F744" s="6" t="str">
        <x:v>跟診順暢度</x:v>
      </x:c>
      <x:c r="G744" s="19" t="str">
        <x:v>◎</x:v>
      </x:c>
      <x:c r="H744" s="17" t="str">
        <x:v>熟練</x:v>
      </x:c>
      <x:c r="I744" s="6" t="n">
        <x:v>40</x:v>
      </x:c>
    </x:row>
    <x:row r="745">
      <x:c r="A745" s="13" t="str">
        <x:v>1026</x:v>
      </x:c>
      <x:c r="B745" s="14" t="str"/>
      <x:c r="C745" s="14" t="str">
        <x:v>Lv.2</x:v>
      </x:c>
      <x:c r="D745" s="14" t="str">
        <x:v>李侑津醫師</x:v>
      </x:c>
      <x:c r="E745" s="6" t="str"/>
      <x:c r="F745" s="6" t="str">
        <x:v>病歷紀錄</x:v>
      </x:c>
      <x:c r="G745" s="19" t="str">
        <x:v>△</x:v>
      </x:c>
      <x:c r="H745" s="17" t="str">
        <x:v>需加強</x:v>
      </x:c>
      <x:c r="I745" s="6" t="n">
        <x:v>41</x:v>
      </x:c>
    </x:row>
    <x:row r="746">
      <x:c r="A746" s="13" t="str">
        <x:v>1026</x:v>
      </x:c>
      <x:c r="B746" s="14" t="str"/>
      <x:c r="C746" s="14" t="str">
        <x:v>Lv.2</x:v>
      </x:c>
      <x:c r="D746" s="14" t="str">
        <x:v>李侑津醫師</x:v>
      </x:c>
      <x:c r="E746" s="6" t="str"/>
      <x:c r="F746" s="6" t="str">
        <x:v>健保申報</x:v>
      </x:c>
      <x:c r="G746" s="19" t="str">
        <x:v>△</x:v>
      </x:c>
      <x:c r="H746" s="17" t="str">
        <x:v>需加強</x:v>
      </x:c>
      <x:c r="I746" s="6" t="n">
        <x:v>42</x:v>
      </x:c>
    </x:row>
    <x:row r="747">
      <x:c r="A747" s="13" t="str">
        <x:v>1026</x:v>
      </x:c>
      <x:c r="B747" s="14" t="str"/>
      <x:c r="C747" s="14" t="str">
        <x:v>Lv.2</x:v>
      </x:c>
      <x:c r="D747" s="14" t="str">
        <x:v>李侑津醫師</x:v>
      </x:c>
      <x:c r="E747" s="6" t="str"/>
      <x:c r="F747" s="6" t="str">
        <x:v>X光片紀錄</x:v>
      </x:c>
      <x:c r="G747" s="19" t="str">
        <x:v>△</x:v>
      </x:c>
      <x:c r="H747" s="17" t="str">
        <x:v>需加強</x:v>
      </x:c>
      <x:c r="I747" s="6" t="n">
        <x:v>43</x:v>
      </x:c>
    </x:row>
    <x:row r="748">
      <x:c r="A748" s="13" t="str">
        <x:v>1026</x:v>
      </x:c>
      <x:c r="B748" s="14" t="str"/>
      <x:c r="C748" s="14" t="str">
        <x:v>Lv.2</x:v>
      </x:c>
      <x:c r="D748" s="14" t="str">
        <x:v>李侑津醫師</x:v>
      </x:c>
      <x:c r="E748" s="6" t="str"/>
      <x:c r="F748" s="6" t="str">
        <x:v>拍PA</x:v>
      </x:c>
      <x:c r="G748" s="19" t="str">
        <x:v>◎</x:v>
      </x:c>
      <x:c r="H748" s="17" t="str">
        <x:v>熟練</x:v>
      </x:c>
      <x:c r="I748" s="6" t="n">
        <x:v>44</x:v>
      </x:c>
    </x:row>
    <x:row r="749">
      <x:c r="A749" s="13" t="str">
        <x:v>1026</x:v>
      </x:c>
      <x:c r="B749" s="14" t="str"/>
      <x:c r="C749" s="14" t="str">
        <x:v>Lv.2</x:v>
      </x:c>
      <x:c r="D749" s="14" t="str">
        <x:v>李侑津醫師</x:v>
      </x:c>
      <x:c r="E749" s="6" t="str"/>
      <x:c r="F749" s="6" t="str">
        <x:v>口掃機運用</x:v>
      </x:c>
      <x:c r="G749" s="19" t="str">
        <x:v>◎</x:v>
      </x:c>
      <x:c r="H749" s="17" t="str">
        <x:v>熟練</x:v>
      </x:c>
      <x:c r="I749" s="6" t="n">
        <x:v>45</x:v>
      </x:c>
    </x:row>
    <x:row r="750">
      <x:c r="A750" s="13" t="str">
        <x:v>1026</x:v>
      </x:c>
      <x:c r="B750" s="14" t="str"/>
      <x:c r="C750" s="14" t="str">
        <x:v>Lv.2</x:v>
      </x:c>
      <x:c r="D750" s="14" t="str">
        <x:v>廖立揚醫師</x:v>
      </x:c>
      <x:c r="E750" s="6" t="str"/>
      <x:c r="F750" s="6" t="str">
        <x:v>器械熟悉度</x:v>
      </x:c>
      <x:c r="G750" s="19" t="str">
        <x:v>Ø</x:v>
      </x:c>
      <x:c r="H750" s="17" t="str">
        <x:v>尚未熟練</x:v>
      </x:c>
      <x:c r="I750" s="6" t="n">
        <x:v>46</x:v>
      </x:c>
    </x:row>
    <x:row r="751">
      <x:c r="A751" s="13" t="str">
        <x:v>1026</x:v>
      </x:c>
      <x:c r="B751" s="14" t="str"/>
      <x:c r="C751" s="14" t="str">
        <x:v>Lv.2</x:v>
      </x:c>
      <x:c r="D751" s="14" t="str">
        <x:v>廖立揚醫師</x:v>
      </x:c>
      <x:c r="E751" s="6" t="str"/>
      <x:c r="F751" s="6" t="str">
        <x:v>跟診順暢度</x:v>
      </x:c>
      <x:c r="G751" s="19" t="str">
        <x:v>Ø</x:v>
      </x:c>
      <x:c r="H751" s="17" t="str">
        <x:v>尚未熟練</x:v>
      </x:c>
      <x:c r="I751" s="6" t="n">
        <x:v>47</x:v>
      </x:c>
    </x:row>
    <x:row r="752">
      <x:c r="A752" s="13" t="str">
        <x:v>1026</x:v>
      </x:c>
      <x:c r="B752" s="14" t="str"/>
      <x:c r="C752" s="14" t="str">
        <x:v>Lv.2</x:v>
      </x:c>
      <x:c r="D752" s="14" t="str">
        <x:v>廖立揚醫師</x:v>
      </x:c>
      <x:c r="E752" s="6" t="str"/>
      <x:c r="F752" s="6" t="str">
        <x:v>病歷紀錄</x:v>
      </x:c>
      <x:c r="G752" s="19" t="str">
        <x:v>Ø</x:v>
      </x:c>
      <x:c r="H752" s="17" t="str">
        <x:v>尚未熟練</x:v>
      </x:c>
      <x:c r="I752" s="6" t="n">
        <x:v>48</x:v>
      </x:c>
    </x:row>
    <x:row r="753">
      <x:c r="A753" s="13" t="str">
        <x:v>1026</x:v>
      </x:c>
      <x:c r="B753" s="14" t="str"/>
      <x:c r="C753" s="14" t="str">
        <x:v>Lv.2</x:v>
      </x:c>
      <x:c r="D753" s="14" t="str">
        <x:v>廖立揚醫師</x:v>
      </x:c>
      <x:c r="E753" s="6" t="str"/>
      <x:c r="F753" s="6" t="str">
        <x:v>健保申報(初診pano)</x:v>
      </x:c>
      <x:c r="G753" s="19" t="str">
        <x:v>Ø</x:v>
      </x:c>
      <x:c r="H753" s="17" t="str">
        <x:v>尚未熟練</x:v>
      </x:c>
      <x:c r="I753" s="6" t="n">
        <x:v>49</x:v>
      </x:c>
    </x:row>
    <x:row r="754">
      <x:c r="A754" s="13" t="str">
        <x:v>1026</x:v>
      </x:c>
      <x:c r="B754" s="14" t="str"/>
      <x:c r="C754" s="14" t="str">
        <x:v>Lv.2</x:v>
      </x:c>
      <x:c r="D754" s="14" t="str">
        <x:v>廖立揚醫師</x:v>
      </x:c>
      <x:c r="E754" s="6" t="str"/>
      <x:c r="F754" s="6" t="str">
        <x:v>X光片紀錄</x:v>
      </x:c>
      <x:c r="G754" s="19" t="str">
        <x:v>Ø</x:v>
      </x:c>
      <x:c r="H754" s="17" t="str">
        <x:v>尚未熟練</x:v>
      </x:c>
      <x:c r="I754" s="6" t="n">
        <x:v>50</x:v>
      </x:c>
    </x:row>
    <x:row r="755">
      <x:c r="A755" s="13" t="str">
        <x:v>1026</x:v>
      </x:c>
      <x:c r="B755" s="14" t="str"/>
      <x:c r="C755" s="14" t="str">
        <x:v>Lv.2</x:v>
      </x:c>
      <x:c r="D755" s="14" t="str">
        <x:v>廖立揚醫師</x:v>
      </x:c>
      <x:c r="E755" s="6" t="str"/>
      <x:c r="F755" s="6" t="str">
        <x:v>拍PANO、PA</x:v>
      </x:c>
      <x:c r="G755" s="19" t="str">
        <x:v>◎</x:v>
      </x:c>
      <x:c r="H755" s="17" t="str">
        <x:v>熟練</x:v>
      </x:c>
      <x:c r="I755" s="6" t="n">
        <x:v>51</x:v>
      </x:c>
    </x:row>
    <x:row r="756">
      <x:c r="A756" s="13" t="str">
        <x:v>1026</x:v>
      </x:c>
      <x:c r="B756" s="14" t="str"/>
      <x:c r="C756" s="14" t="str">
        <x:v>Lv.2</x:v>
      </x:c>
      <x:c r="D756" s="14" t="str">
        <x:v>廖立揚醫師</x:v>
      </x:c>
      <x:c r="E756" s="6" t="str"/>
      <x:c r="F756" s="6" t="str">
        <x:v>CT照</x:v>
      </x:c>
      <x:c r="G756" s="19" t="str">
        <x:v>Ø</x:v>
      </x:c>
      <x:c r="H756" s="17" t="str">
        <x:v>尚未熟練</x:v>
      </x:c>
      <x:c r="I756" s="6" t="n">
        <x:v>52</x:v>
      </x:c>
    </x:row>
    <x:row r="757">
      <x:c r="A757" s="13" t="str">
        <x:v>1026</x:v>
      </x:c>
      <x:c r="B757" s="14" t="str"/>
      <x:c r="C757" s="14" t="str">
        <x:v>Lv.2</x:v>
      </x:c>
      <x:c r="D757" s="14" t="str">
        <x:v>廖立揚醫師</x:v>
      </x:c>
      <x:c r="E757" s="6" t="str"/>
      <x:c r="F757" s="6" t="str">
        <x:v>側頭顱照</x:v>
      </x:c>
      <x:c r="G757" s="19" t="str">
        <x:v>Ø</x:v>
      </x:c>
      <x:c r="H757" s="17" t="str">
        <x:v>尚未熟練</x:v>
      </x:c>
      <x:c r="I757" s="6" t="n">
        <x:v>53</x:v>
      </x:c>
    </x:row>
    <x:row r="758">
      <x:c r="A758" s="13" t="str">
        <x:v>1026</x:v>
      </x:c>
      <x:c r="B758" s="14" t="str"/>
      <x:c r="C758" s="14" t="str">
        <x:v>Lv.2</x:v>
      </x:c>
      <x:c r="D758" s="14" t="str">
        <x:v>廖立揚醫師</x:v>
      </x:c>
      <x:c r="E758" s="6" t="str"/>
      <x:c r="F758" s="6" t="str">
        <x:v>口掃機運用</x:v>
      </x:c>
      <x:c r="G758" s="19" t="str">
        <x:v>◎</x:v>
      </x:c>
      <x:c r="H758" s="17" t="str">
        <x:v>熟練</x:v>
      </x:c>
      <x:c r="I758" s="6" t="n">
        <x:v>54</x:v>
      </x:c>
    </x:row>
    <x:row r="759">
      <x:c r="A759" s="13" t="str">
        <x:v>1026</x:v>
      </x:c>
      <x:c r="B759" s="14" t="str"/>
      <x:c r="C759" s="14" t="str">
        <x:v>Lv.2</x:v>
      </x:c>
      <x:c r="D759" s="14" t="str">
        <x:v>楊小瑩醫師</x:v>
      </x:c>
      <x:c r="E759" s="6" t="str">
        <x:v>器械準備</x:v>
      </x:c>
      <x:c r="F759" s="6" t="str">
        <x:v>洗牙</x:v>
      </x:c>
      <x:c r="G759" s="19" t="str">
        <x:v>◎</x:v>
      </x:c>
      <x:c r="H759" s="17" t="str">
        <x:v>熟練</x:v>
      </x:c>
      <x:c r="I759" s="6" t="n">
        <x:v>55</x:v>
      </x:c>
    </x:row>
    <x:row r="760">
      <x:c r="A760" s="13" t="str">
        <x:v>1026</x:v>
      </x:c>
      <x:c r="B760" s="14" t="str"/>
      <x:c r="C760" s="14" t="str">
        <x:v>Lv.2</x:v>
      </x:c>
      <x:c r="D760" s="14" t="str">
        <x:v>楊小瑩醫師</x:v>
      </x:c>
      <x:c r="E760" s="6" t="str">
        <x:v>器械準備</x:v>
      </x:c>
      <x:c r="F760" s="6" t="str">
        <x:v>補牙</x:v>
      </x:c>
      <x:c r="G760" s="19" t="str">
        <x:v>◎</x:v>
      </x:c>
      <x:c r="H760" s="17" t="str">
        <x:v>熟練</x:v>
      </x:c>
      <x:c r="I760" s="6" t="n">
        <x:v>56</x:v>
      </x:c>
    </x:row>
    <x:row r="761">
      <x:c r="A761" s="13" t="str">
        <x:v>1026</x:v>
      </x:c>
      <x:c r="B761" s="14" t="str"/>
      <x:c r="C761" s="14" t="str">
        <x:v>Lv.2</x:v>
      </x:c>
      <x:c r="D761" s="14" t="str">
        <x:v>楊小瑩醫師</x:v>
      </x:c>
      <x:c r="E761" s="6" t="str">
        <x:v>器械準備</x:v>
      </x:c>
      <x:c r="F761" s="6" t="str">
        <x:v>根管治療</x:v>
      </x:c>
      <x:c r="G761" s="19" t="str">
        <x:v>◎</x:v>
      </x:c>
      <x:c r="H761" s="17" t="str">
        <x:v>熟練</x:v>
      </x:c>
      <x:c r="I761" s="6" t="n">
        <x:v>57</x:v>
      </x:c>
    </x:row>
    <x:row r="762">
      <x:c r="A762" s="13" t="str">
        <x:v>1026</x:v>
      </x:c>
      <x:c r="B762" s="14" t="str"/>
      <x:c r="C762" s="14" t="str">
        <x:v>Lv.2</x:v>
      </x:c>
      <x:c r="D762" s="14" t="str">
        <x:v>楊小瑩醫師</x:v>
      </x:c>
      <x:c r="E762" s="6" t="str">
        <x:v>器械準備</x:v>
      </x:c>
      <x:c r="F762" s="6" t="str">
        <x:v>拔牙</x:v>
      </x:c>
      <x:c r="G762" s="19" t="str">
        <x:v>Ø</x:v>
      </x:c>
      <x:c r="H762" s="17" t="str">
        <x:v>尚未熟練</x:v>
      </x:c>
      <x:c r="I762" s="6" t="n">
        <x:v>58</x:v>
      </x:c>
    </x:row>
    <x:row r="763">
      <x:c r="A763" s="13" t="str">
        <x:v>1026</x:v>
      </x:c>
      <x:c r="B763" s="14" t="str"/>
      <x:c r="C763" s="14" t="str">
        <x:v>Lv.2</x:v>
      </x:c>
      <x:c r="D763" s="14" t="str">
        <x:v>楊小瑩醫師</x:v>
      </x:c>
      <x:c r="E763" s="6" t="str">
        <x:v>器械準備</x:v>
      </x:c>
      <x:c r="F763" s="6" t="str">
        <x:v>拆 crown/post</x:v>
      </x:c>
      <x:c r="G763" s="19" t="str">
        <x:v>Ø</x:v>
      </x:c>
      <x:c r="H763" s="17" t="str">
        <x:v>尚未熟練</x:v>
      </x:c>
      <x:c r="I763" s="6" t="n">
        <x:v>59</x:v>
      </x:c>
    </x:row>
    <x:row r="764">
      <x:c r="A764" s="13" t="str">
        <x:v>1026</x:v>
      </x:c>
      <x:c r="B764" s="14" t="str"/>
      <x:c r="C764" s="14" t="str">
        <x:v>Lv.2</x:v>
      </x:c>
      <x:c r="D764" s="14" t="str">
        <x:v>楊小瑩醫師</x:v>
      </x:c>
      <x:c r="E764" s="6" t="str">
        <x:v>自費</x:v>
      </x:c>
      <x:c r="F764" s="6" t="str">
        <x:v>固定假牙</x:v>
      </x:c>
      <x:c r="G764" s="19" t="str">
        <x:v>Ø</x:v>
      </x:c>
      <x:c r="H764" s="17" t="str">
        <x:v>尚未熟練</x:v>
      </x:c>
      <x:c r="I764" s="6" t="n">
        <x:v>60</x:v>
      </x:c>
    </x:row>
    <x:row r="765">
      <x:c r="A765" s="13" t="str">
        <x:v>1026</x:v>
      </x:c>
      <x:c r="B765" s="14" t="str"/>
      <x:c r="C765" s="14" t="str">
        <x:v>Lv.2</x:v>
      </x:c>
      <x:c r="D765" s="14" t="str">
        <x:v>楊小瑩醫師</x:v>
      </x:c>
      <x:c r="E765" s="6" t="str">
        <x:v>自費</x:v>
      </x:c>
      <x:c r="F765" s="6" t="str">
        <x:v>RPD</x:v>
      </x:c>
      <x:c r="G765" s="19" t="str">
        <x:v>※</x:v>
      </x:c>
      <x:c r="H765" s="17" t="str">
        <x:v>學習中</x:v>
      </x:c>
      <x:c r="I765" s="6" t="n">
        <x:v>61</x:v>
      </x:c>
    </x:row>
    <x:row r="766">
      <x:c r="A766" s="13" t="str">
        <x:v>1026</x:v>
      </x:c>
      <x:c r="B766" s="14" t="str"/>
      <x:c r="C766" s="14" t="str">
        <x:v>Lv.2</x:v>
      </x:c>
      <x:c r="D766" s="14" t="str">
        <x:v>楊小瑩醫師</x:v>
      </x:c>
      <x:c r="E766" s="6" t="str">
        <x:v>自費</x:v>
      </x:c>
      <x:c r="F766" s="6" t="str">
        <x:v>噴砂美白</x:v>
      </x:c>
      <x:c r="G766" s="19" t="str">
        <x:v>※</x:v>
      </x:c>
      <x:c r="H766" s="17" t="str">
        <x:v>學習中</x:v>
      </x:c>
      <x:c r="I766" s="6" t="n">
        <x:v>62</x:v>
      </x:c>
    </x:row>
    <x:row r="767">
      <x:c r="A767" s="13" t="str">
        <x:v>1026</x:v>
      </x:c>
      <x:c r="B767" s="14" t="str"/>
      <x:c r="C767" s="14" t="str">
        <x:v>Lv.2</x:v>
      </x:c>
      <x:c r="D767" s="14" t="str">
        <x:v>楊小瑩醫師</x:v>
      </x:c>
      <x:c r="E767" s="6" t="str"/>
      <x:c r="F767" s="6" t="str">
        <x:v>跟診順暢度</x:v>
      </x:c>
      <x:c r="G767" s="19" t="str">
        <x:v>◎</x:v>
      </x:c>
      <x:c r="H767" s="17" t="str">
        <x:v>熟練</x:v>
      </x:c>
      <x:c r="I767" s="6" t="n">
        <x:v>63</x:v>
      </x:c>
    </x:row>
    <x:row r="768">
      <x:c r="A768" s="13" t="str">
        <x:v>1026</x:v>
      </x:c>
      <x:c r="B768" s="14" t="str"/>
      <x:c r="C768" s="14" t="str">
        <x:v>Lv.2</x:v>
      </x:c>
      <x:c r="D768" s="14" t="str">
        <x:v>楊小瑩醫師</x:v>
      </x:c>
      <x:c r="E768" s="6" t="str"/>
      <x:c r="F768" s="6" t="str">
        <x:v>病歷紀錄</x:v>
      </x:c>
      <x:c r="G768" s="19" t="str">
        <x:v>Ø</x:v>
      </x:c>
      <x:c r="H768" s="17" t="str">
        <x:v>尚未熟練</x:v>
      </x:c>
      <x:c r="I768" s="6" t="n">
        <x:v>64</x:v>
      </x:c>
    </x:row>
    <x:row r="769">
      <x:c r="A769" s="13" t="str">
        <x:v>1026</x:v>
      </x:c>
      <x:c r="B769" s="14" t="str"/>
      <x:c r="C769" s="14" t="str">
        <x:v>Lv.2</x:v>
      </x:c>
      <x:c r="D769" s="14" t="str">
        <x:v>楊小瑩醫師</x:v>
      </x:c>
      <x:c r="E769" s="6" t="str"/>
      <x:c r="F769" s="6" t="str">
        <x:v>健保申報</x:v>
      </x:c>
      <x:c r="G769" s="19" t="str">
        <x:v>Ø</x:v>
      </x:c>
      <x:c r="H769" s="17" t="str">
        <x:v>尚未熟練</x:v>
      </x:c>
      <x:c r="I769" s="6" t="n">
        <x:v>65</x:v>
      </x:c>
    </x:row>
    <x:row r="770">
      <x:c r="A770" s="13" t="str">
        <x:v>1026</x:v>
      </x:c>
      <x:c r="B770" s="14" t="str"/>
      <x:c r="C770" s="14" t="str">
        <x:v>Lv.2</x:v>
      </x:c>
      <x:c r="D770" s="14" t="str">
        <x:v>楊小瑩醫師</x:v>
      </x:c>
      <x:c r="E770" s="6" t="str"/>
      <x:c r="F770" s="6" t="str">
        <x:v>X光片紀錄</x:v>
      </x:c>
      <x:c r="G770" s="19" t="str">
        <x:v>Ø</x:v>
      </x:c>
      <x:c r="H770" s="17" t="str">
        <x:v>尚未熟練</x:v>
      </x:c>
      <x:c r="I770" s="6" t="n">
        <x:v>66</x:v>
      </x:c>
    </x:row>
    <x:row r="771">
      <x:c r="A771" s="13" t="str">
        <x:v>1026</x:v>
      </x:c>
      <x:c r="B771" s="14" t="str"/>
      <x:c r="C771" s="14" t="str">
        <x:v>Lv.2</x:v>
      </x:c>
      <x:c r="D771" s="14" t="str">
        <x:v>楊小瑩醫師</x:v>
      </x:c>
      <x:c r="E771" s="6" t="str"/>
      <x:c r="F771" s="6" t="str">
        <x:v>拍PA</x:v>
      </x:c>
      <x:c r="G771" s="19" t="str">
        <x:v>◎</x:v>
      </x:c>
      <x:c r="H771" s="17" t="str">
        <x:v>熟練</x:v>
      </x:c>
      <x:c r="I771" s="6" t="n">
        <x:v>67</x:v>
      </x:c>
    </x:row>
    <x:row r="772">
      <x:c r="A772" s="13" t="str">
        <x:v>1026</x:v>
      </x:c>
      <x:c r="B772" s="14" t="str"/>
      <x:c r="C772" s="14" t="str">
        <x:v>Lv.2</x:v>
      </x:c>
      <x:c r="D772" s="14" t="str">
        <x:v>王俊偉醫師</x:v>
      </x:c>
      <x:c r="E772" s="6" t="str"/>
      <x:c r="F772" s="6" t="str">
        <x:v>器械熟悉度</x:v>
      </x:c>
      <x:c r="G772" s="19" t="str">
        <x:v>Ø</x:v>
      </x:c>
      <x:c r="H772" s="17" t="str">
        <x:v>尚未熟練</x:v>
      </x:c>
      <x:c r="I772" s="6" t="n">
        <x:v>68</x:v>
      </x:c>
    </x:row>
    <x:row r="773">
      <x:c r="A773" s="13" t="str">
        <x:v>1026</x:v>
      </x:c>
      <x:c r="B773" s="14" t="str"/>
      <x:c r="C773" s="14" t="str">
        <x:v>Lv.2</x:v>
      </x:c>
      <x:c r="D773" s="14" t="str">
        <x:v>王俊偉醫師</x:v>
      </x:c>
      <x:c r="E773" s="6" t="str"/>
      <x:c r="F773" s="6" t="str">
        <x:v>跟診順暢度</x:v>
      </x:c>
      <x:c r="G773" s="19" t="str">
        <x:v>Ø</x:v>
      </x:c>
      <x:c r="H773" s="17" t="str">
        <x:v>尚未熟練</x:v>
      </x:c>
      <x:c r="I773" s="6" t="n">
        <x:v>69</x:v>
      </x:c>
    </x:row>
    <x:row r="774">
      <x:c r="A774" s="13" t="str">
        <x:v>1026</x:v>
      </x:c>
      <x:c r="B774" s="14" t="str"/>
      <x:c r="C774" s="14" t="str">
        <x:v>Lv.2</x:v>
      </x:c>
      <x:c r="D774" s="14" t="str">
        <x:v>王俊偉醫師</x:v>
      </x:c>
      <x:c r="E774" s="6" t="str"/>
      <x:c r="F774" s="6" t="str">
        <x:v>病歷紀錄</x:v>
      </x:c>
      <x:c r="G774" s="19" t="str">
        <x:v>Ø</x:v>
      </x:c>
      <x:c r="H774" s="17" t="str">
        <x:v>尚未熟練</x:v>
      </x:c>
      <x:c r="I774" s="6" t="n">
        <x:v>70</x:v>
      </x:c>
    </x:row>
    <x:row r="775">
      <x:c r="A775" s="13" t="str">
        <x:v>1026</x:v>
      </x:c>
      <x:c r="B775" s="14" t="str"/>
      <x:c r="C775" s="14" t="str">
        <x:v>Lv.2</x:v>
      </x:c>
      <x:c r="D775" s="14" t="str">
        <x:v>王俊偉醫師</x:v>
      </x:c>
      <x:c r="E775" s="6" t="str"/>
      <x:c r="F775" s="6" t="str">
        <x:v>健保申報</x:v>
      </x:c>
      <x:c r="G775" s="19" t="str">
        <x:v>Ø</x:v>
      </x:c>
      <x:c r="H775" s="17" t="str">
        <x:v>尚未熟練</x:v>
      </x:c>
      <x:c r="I775" s="6" t="n">
        <x:v>71</x:v>
      </x:c>
    </x:row>
    <x:row r="776">
      <x:c r="A776" s="13" t="str">
        <x:v>1026</x:v>
      </x:c>
      <x:c r="B776" s="14" t="str"/>
      <x:c r="C776" s="14" t="str">
        <x:v>Lv.2</x:v>
      </x:c>
      <x:c r="D776" s="14" t="str">
        <x:v>王俊偉醫師</x:v>
      </x:c>
      <x:c r="E776" s="6" t="str"/>
      <x:c r="F776" s="6" t="str">
        <x:v>X光片紀錄</x:v>
      </x:c>
      <x:c r="G776" s="19" t="str">
        <x:v>Ø</x:v>
      </x:c>
      <x:c r="H776" s="17" t="str">
        <x:v>尚未熟練</x:v>
      </x:c>
      <x:c r="I776" s="6" t="n">
        <x:v>72</x:v>
      </x:c>
    </x:row>
    <x:row r="777">
      <x:c r="A777" s="13" t="str">
        <x:v>1026</x:v>
      </x:c>
      <x:c r="B777" s="14" t="str"/>
      <x:c r="C777" s="14" t="str">
        <x:v>Lv.2</x:v>
      </x:c>
      <x:c r="D777" s="14" t="str">
        <x:v>王俊偉醫師</x:v>
      </x:c>
      <x:c r="E777" s="6" t="str"/>
      <x:c r="F777" s="6" t="str">
        <x:v>拍PANO、PA</x:v>
      </x:c>
      <x:c r="G777" s="19" t="str">
        <x:v>◎</x:v>
      </x:c>
      <x:c r="H777" s="17" t="str">
        <x:v>熟練</x:v>
      </x:c>
      <x:c r="I777" s="6" t="n">
        <x:v>73</x:v>
      </x:c>
    </x:row>
    <x:row r="778">
      <x:c r="A778" s="13" t="str">
        <x:v>1026</x:v>
      </x:c>
      <x:c r="B778" s="14" t="str"/>
      <x:c r="C778" s="14" t="str">
        <x:v>Lv.2</x:v>
      </x:c>
      <x:c r="D778" s="14" t="str">
        <x:v>王俊偉醫師</x:v>
      </x:c>
      <x:c r="E778" s="6" t="str"/>
      <x:c r="F778" s="6" t="str">
        <x:v>CT照</x:v>
      </x:c>
      <x:c r="G778" s="19" t="str">
        <x:v>◎</x:v>
      </x:c>
      <x:c r="H778" s="17" t="str">
        <x:v>熟練</x:v>
      </x:c>
      <x:c r="I778" s="6" t="n">
        <x:v>74</x:v>
      </x:c>
    </x:row>
    <x:row r="779">
      <x:c r="A779" s="13" t="str">
        <x:v>1026</x:v>
      </x:c>
      <x:c r="B779" s="14" t="str"/>
      <x:c r="C779" s="14" t="str">
        <x:v>Lv.2</x:v>
      </x:c>
      <x:c r="D779" s="14" t="str">
        <x:v>王俊偉醫師</x:v>
      </x:c>
      <x:c r="E779" s="6" t="str"/>
      <x:c r="F779" s="6" t="str">
        <x:v>側頭顱照</x:v>
      </x:c>
      <x:c r="G779" s="19" t="str">
        <x:v>Ø</x:v>
      </x:c>
      <x:c r="H779" s="17" t="str">
        <x:v>尚未熟練</x:v>
      </x:c>
      <x:c r="I779" s="6" t="n">
        <x:v>75</x:v>
      </x:c>
    </x:row>
    <x:row r="780">
      <x:c r="A780" s="13" t="str">
        <x:v>1026</x:v>
      </x:c>
      <x:c r="B780" s="14" t="str"/>
      <x:c r="C780" s="14" t="str">
        <x:v>Lv.2</x:v>
      </x:c>
      <x:c r="D780" s="14" t="str">
        <x:v>王俊偉醫師</x:v>
      </x:c>
      <x:c r="E780" s="6" t="str"/>
      <x:c r="F780" s="6" t="str">
        <x:v>口掃機運用</x:v>
      </x:c>
      <x:c r="G780" s="19" t="str">
        <x:v>◎</x:v>
      </x:c>
      <x:c r="H780" s="17" t="str">
        <x:v>熟練</x:v>
      </x:c>
      <x:c r="I780" s="6" t="n">
        <x:v>76</x:v>
      </x:c>
    </x:row>
    <x:row r="781">
      <x:c r="A781" s="13" t="str">
        <x:v>1026</x:v>
      </x:c>
      <x:c r="B781" s="14" t="str"/>
      <x:c r="C781" s="14" t="str">
        <x:v>Lv.2</x:v>
      </x:c>
      <x:c r="D781" s="14" t="str">
        <x:v>許馨文醫師</x:v>
      </x:c>
      <x:c r="E781" s="6" t="str"/>
      <x:c r="F781" s="6" t="str">
        <x:v>器械熟悉度</x:v>
      </x:c>
      <x:c r="G781" s="19" t="str">
        <x:v>◎</x:v>
      </x:c>
      <x:c r="H781" s="17" t="str">
        <x:v>熟練</x:v>
      </x:c>
      <x:c r="I781" s="6" t="n">
        <x:v>77</x:v>
      </x:c>
    </x:row>
    <x:row r="782">
      <x:c r="A782" s="13" t="str">
        <x:v>1026</x:v>
      </x:c>
      <x:c r="B782" s="14" t="str"/>
      <x:c r="C782" s="14" t="str">
        <x:v>Lv.2</x:v>
      </x:c>
      <x:c r="D782" s="14" t="str">
        <x:v>許馨文醫師</x:v>
      </x:c>
      <x:c r="E782" s="6" t="str"/>
      <x:c r="F782" s="6" t="str">
        <x:v>吸口水技巧</x:v>
      </x:c>
      <x:c r="G782" s="19" t="str">
        <x:v>◎</x:v>
      </x:c>
      <x:c r="H782" s="17" t="str">
        <x:v>熟練</x:v>
      </x:c>
      <x:c r="I782" s="6" t="n">
        <x:v>78</x:v>
      </x:c>
    </x:row>
    <x:row r="783">
      <x:c r="A783" s="13" t="str">
        <x:v>1026</x:v>
      </x:c>
      <x:c r="B783" s="14" t="str"/>
      <x:c r="C783" s="14" t="str">
        <x:v>Lv.2</x:v>
      </x:c>
      <x:c r="D783" s="14" t="str">
        <x:v>許馨文醫師</x:v>
      </x:c>
      <x:c r="E783" s="6" t="str"/>
      <x:c r="F783" s="6" t="str">
        <x:v>病歷紀錄</x:v>
      </x:c>
      <x:c r="G783" s="19" t="str">
        <x:v>◎</x:v>
      </x:c>
      <x:c r="H783" s="17" t="str">
        <x:v>熟練</x:v>
      </x:c>
      <x:c r="I783" s="6" t="n">
        <x:v>79</x:v>
      </x:c>
    </x:row>
    <x:row r="784">
      <x:c r="A784" s="13" t="str">
        <x:v>1026</x:v>
      </x:c>
      <x:c r="B784" s="14" t="str"/>
      <x:c r="C784" s="14" t="str">
        <x:v>Lv.2</x:v>
      </x:c>
      <x:c r="D784" s="14" t="str">
        <x:v>許馨文醫師</x:v>
      </x:c>
      <x:c r="E784" s="6" t="str"/>
      <x:c r="F784" s="6" t="str">
        <x:v>健保申報</x:v>
      </x:c>
      <x:c r="G784" s="19" t="str">
        <x:v>◎</x:v>
      </x:c>
      <x:c r="H784" s="17" t="str">
        <x:v>熟練</x:v>
      </x:c>
      <x:c r="I784" s="6" t="n">
        <x:v>80</x:v>
      </x:c>
    </x:row>
    <x:row r="785">
      <x:c r="A785" s="13" t="str">
        <x:v>1026</x:v>
      </x:c>
      <x:c r="B785" s="14" t="str"/>
      <x:c r="C785" s="14" t="str">
        <x:v>Lv.2</x:v>
      </x:c>
      <x:c r="D785" s="14" t="str">
        <x:v>許馨文醫師</x:v>
      </x:c>
      <x:c r="E785" s="6" t="str"/>
      <x:c r="F785" s="6" t="str">
        <x:v>X光片紀錄</x:v>
      </x:c>
      <x:c r="G785" s="19" t="str">
        <x:v>◎</x:v>
      </x:c>
      <x:c r="H785" s="17" t="str">
        <x:v>熟練</x:v>
      </x:c>
      <x:c r="I785" s="6" t="n">
        <x:v>81</x:v>
      </x:c>
    </x:row>
    <x:row r="786">
      <x:c r="A786" s="13" t="str">
        <x:v>1026</x:v>
      </x:c>
      <x:c r="B786" s="14" t="str"/>
      <x:c r="C786" s="14" t="str">
        <x:v>Lv.2</x:v>
      </x:c>
      <x:c r="D786" s="14" t="str">
        <x:v>許馨文醫師</x:v>
      </x:c>
      <x:c r="E786" s="6" t="str"/>
      <x:c r="F786" s="6" t="str">
        <x:v>拍PANO、PA</x:v>
      </x:c>
      <x:c r="G786" s="19" t="str">
        <x:v>◎</x:v>
      </x:c>
      <x:c r="H786" s="17" t="str">
        <x:v>熟練</x:v>
      </x:c>
      <x:c r="I786" s="6" t="n">
        <x:v>82</x:v>
      </x:c>
    </x:row>
    <x:row r="787">
      <x:c r="A787" s="13" t="str">
        <x:v>1026</x:v>
      </x:c>
      <x:c r="B787" s="14" t="str"/>
      <x:c r="C787" s="14" t="str">
        <x:v>Lv.2</x:v>
      </x:c>
      <x:c r="D787" s="14" t="str">
        <x:v>林晏妤醫師</x:v>
      </x:c>
      <x:c r="E787" s="6" t="str"/>
      <x:c r="F787" s="6" t="str">
        <x:v>器械熟悉度</x:v>
      </x:c>
      <x:c r="G787" s="19" t="str">
        <x:v>Ø</x:v>
      </x:c>
      <x:c r="H787" s="17" t="str">
        <x:v>尚未熟練</x:v>
      </x:c>
      <x:c r="I787" s="6" t="n">
        <x:v>83</x:v>
      </x:c>
    </x:row>
    <x:row r="788">
      <x:c r="A788" s="13" t="str">
        <x:v>1026</x:v>
      </x:c>
      <x:c r="B788" s="14" t="str"/>
      <x:c r="C788" s="14" t="str">
        <x:v>Lv.2</x:v>
      </x:c>
      <x:c r="D788" s="14" t="str">
        <x:v>林晏妤醫師</x:v>
      </x:c>
      <x:c r="E788" s="6" t="str"/>
      <x:c r="F788" s="6" t="str">
        <x:v>跟診順暢度</x:v>
      </x:c>
      <x:c r="G788" s="19" t="str">
        <x:v>Ø</x:v>
      </x:c>
      <x:c r="H788" s="17" t="str">
        <x:v>尚未熟練</x:v>
      </x:c>
      <x:c r="I788" s="6" t="n">
        <x:v>84</x:v>
      </x:c>
    </x:row>
    <x:row r="789">
      <x:c r="A789" s="13" t="str">
        <x:v>1026</x:v>
      </x:c>
      <x:c r="B789" s="14" t="str"/>
      <x:c r="C789" s="14" t="str">
        <x:v>Lv.2</x:v>
      </x:c>
      <x:c r="D789" s="14" t="str">
        <x:v>林晏妤醫師</x:v>
      </x:c>
      <x:c r="E789" s="6" t="str"/>
      <x:c r="F789" s="6" t="str">
        <x:v>病歷紀錄</x:v>
      </x:c>
      <x:c r="G789" s="19" t="str">
        <x:v>Ø</x:v>
      </x:c>
      <x:c r="H789" s="17" t="str">
        <x:v>尚未熟練</x:v>
      </x:c>
      <x:c r="I789" s="6" t="n">
        <x:v>85</x:v>
      </x:c>
    </x:row>
    <x:row r="790">
      <x:c r="A790" s="13" t="str">
        <x:v>1026</x:v>
      </x:c>
      <x:c r="B790" s="14" t="str"/>
      <x:c r="C790" s="14" t="str">
        <x:v>Lv.2</x:v>
      </x:c>
      <x:c r="D790" s="14" t="str">
        <x:v>林晏妤醫師</x:v>
      </x:c>
      <x:c r="E790" s="6" t="str"/>
      <x:c r="F790" s="6" t="str">
        <x:v>X光片紀錄</x:v>
      </x:c>
      <x:c r="G790" s="19" t="str">
        <x:v>Ø</x:v>
      </x:c>
      <x:c r="H790" s="17" t="str">
        <x:v>尚未熟練</x:v>
      </x:c>
      <x:c r="I790" s="6" t="n">
        <x:v>86</x:v>
      </x:c>
    </x:row>
    <x:row r="791">
      <x:c r="A791" s="13" t="str">
        <x:v>1026</x:v>
      </x:c>
      <x:c r="B791" s="14" t="str"/>
      <x:c r="C791" s="14" t="str">
        <x:v>Lv.2</x:v>
      </x:c>
      <x:c r="D791" s="14" t="str">
        <x:v>林晏妤醫師</x:v>
      </x:c>
      <x:c r="E791" s="6" t="str"/>
      <x:c r="F791" s="6" t="str">
        <x:v>手持X光機</x:v>
      </x:c>
      <x:c r="G791" s="19" t="str">
        <x:v>◎</x:v>
      </x:c>
      <x:c r="H791" s="17" t="str">
        <x:v>熟練</x:v>
      </x:c>
      <x:c r="I791" s="6" t="n">
        <x:v>87</x:v>
      </x:c>
    </x:row>
    <x:row r="792">
      <x:c r="A792" s="13" t="str">
        <x:v>1026</x:v>
      </x:c>
      <x:c r="B792" s="14" t="str"/>
      <x:c r="C792" s="14" t="str">
        <x:v>Lv.2</x:v>
      </x:c>
      <x:c r="D792" s="14" t="str">
        <x:v>林晏妤醫師</x:v>
      </x:c>
      <x:c r="E792" s="6" t="str"/>
      <x:c r="F792" s="6" t="str">
        <x:v>健保申報</x:v>
      </x:c>
      <x:c r="G792" s="19" t="str">
        <x:v>Ø</x:v>
      </x:c>
      <x:c r="H792" s="17" t="str">
        <x:v>尚未熟練</x:v>
      </x:c>
      <x:c r="I792" s="6" t="n">
        <x:v>88</x:v>
      </x:c>
    </x:row>
    <x:row r="793">
      <x:c r="A793" s="13" t="str">
        <x:v>1026</x:v>
      </x:c>
      <x:c r="B793" s="14" t="str"/>
      <x:c r="C793" s="14" t="str">
        <x:v>Lv.2</x:v>
      </x:c>
      <x:c r="D793" s="14" t="str">
        <x:v>林晏妤醫師</x:v>
      </x:c>
      <x:c r="E793" s="6" t="str"/>
      <x:c r="F793" s="6" t="str">
        <x:v>舒眠手術</x:v>
      </x:c>
      <x:c r="G793" s="19" t="str">
        <x:v>※</x:v>
      </x:c>
      <x:c r="H793" s="17" t="str">
        <x:v>學習中</x:v>
      </x:c>
      <x:c r="I793" s="6" t="n">
        <x:v>89</x:v>
      </x:c>
    </x:row>
    <x:row r="794">
      <x:c r="A794" s="13" t="str">
        <x:v>1026</x:v>
      </x:c>
      <x:c r="B794" s="14" t="str"/>
      <x:c r="C794" s="14" t="str">
        <x:v>Lv.2</x:v>
      </x:c>
      <x:c r="D794" s="14" t="str">
        <x:v>謝耀慶醫師</x:v>
      </x:c>
      <x:c r="E794" s="6" t="str">
        <x:v>器械準備</x:v>
      </x:c>
      <x:c r="F794" s="6" t="str">
        <x:v>洗牙</x:v>
      </x:c>
      <x:c r="G794" s="19" t="str">
        <x:v>◎</x:v>
      </x:c>
      <x:c r="H794" s="17" t="str">
        <x:v>熟練</x:v>
      </x:c>
      <x:c r="I794" s="6" t="n">
        <x:v>90</x:v>
      </x:c>
    </x:row>
    <x:row r="795">
      <x:c r="A795" s="13" t="str">
        <x:v>1026</x:v>
      </x:c>
      <x:c r="B795" s="14" t="str"/>
      <x:c r="C795" s="14" t="str">
        <x:v>Lv.2</x:v>
      </x:c>
      <x:c r="D795" s="14" t="str">
        <x:v>謝耀慶醫師</x:v>
      </x:c>
      <x:c r="E795" s="6" t="str">
        <x:v>器械準備</x:v>
      </x:c>
      <x:c r="F795" s="6" t="str">
        <x:v>補牙</x:v>
      </x:c>
      <x:c r="G795" s="19" t="str">
        <x:v>◎</x:v>
      </x:c>
      <x:c r="H795" s="17" t="str">
        <x:v>熟練</x:v>
      </x:c>
      <x:c r="I795" s="6" t="n">
        <x:v>91</x:v>
      </x:c>
    </x:row>
    <x:row r="796">
      <x:c r="A796" s="13" t="str">
        <x:v>1026</x:v>
      </x:c>
      <x:c r="B796" s="14" t="str"/>
      <x:c r="C796" s="14" t="str">
        <x:v>Lv.2</x:v>
      </x:c>
      <x:c r="D796" s="14" t="str">
        <x:v>謝耀慶醫師</x:v>
      </x:c>
      <x:c r="E796" s="6" t="str">
        <x:v>器械準備</x:v>
      </x:c>
      <x:c r="F796" s="6" t="str">
        <x:v>牙周統合治療</x:v>
      </x:c>
      <x:c r="G796" s="19" t="str"/>
      <x:c r="H796" s="17" t="str">
        <x:v>未評分</x:v>
      </x:c>
      <x:c r="I796" s="6" t="n">
        <x:v>92</x:v>
      </x:c>
    </x:row>
    <x:row r="797">
      <x:c r="A797" s="13" t="str">
        <x:v>1026</x:v>
      </x:c>
      <x:c r="B797" s="14" t="str"/>
      <x:c r="C797" s="14" t="str">
        <x:v>Lv.2</x:v>
      </x:c>
      <x:c r="D797" s="14" t="str">
        <x:v>謝耀慶醫師</x:v>
      </x:c>
      <x:c r="E797" s="6" t="str">
        <x:v>器械準備</x:v>
      </x:c>
      <x:c r="F797" s="6" t="str">
        <x:v>簡單拔牙</x:v>
      </x:c>
      <x:c r="G797" s="19" t="str"/>
      <x:c r="H797" s="17" t="str">
        <x:v>未評分</x:v>
      </x:c>
      <x:c r="I797" s="6" t="n">
        <x:v>93</x:v>
      </x:c>
    </x:row>
    <x:row r="798">
      <x:c r="A798" s="13" t="str">
        <x:v>1026</x:v>
      </x:c>
      <x:c r="B798" s="14" t="str"/>
      <x:c r="C798" s="14" t="str">
        <x:v>Lv.2</x:v>
      </x:c>
      <x:c r="D798" s="14" t="str">
        <x:v>謝耀慶醫師</x:v>
      </x:c>
      <x:c r="E798" s="6" t="str"/>
      <x:c r="F798" s="6" t="str">
        <x:v>器械熟悉度</x:v>
      </x:c>
      <x:c r="G798" s="19" t="str">
        <x:v>Ø</x:v>
      </x:c>
      <x:c r="H798" s="17" t="str">
        <x:v>尚未熟練</x:v>
      </x:c>
      <x:c r="I798" s="6" t="n">
        <x:v>94</x:v>
      </x:c>
    </x:row>
    <x:row r="799">
      <x:c r="A799" s="13" t="str">
        <x:v>1026</x:v>
      </x:c>
      <x:c r="B799" s="14" t="str"/>
      <x:c r="C799" s="14" t="str">
        <x:v>Lv.2</x:v>
      </x:c>
      <x:c r="D799" s="14" t="str">
        <x:v>謝耀慶醫師</x:v>
      </x:c>
      <x:c r="E799" s="6" t="str"/>
      <x:c r="F799" s="6" t="str">
        <x:v>跟診順暢度</x:v>
      </x:c>
      <x:c r="G799" s="19" t="str">
        <x:v>◎</x:v>
      </x:c>
      <x:c r="H799" s="17" t="str">
        <x:v>熟練</x:v>
      </x:c>
      <x:c r="I799" s="6" t="n">
        <x:v>95</x:v>
      </x:c>
    </x:row>
    <x:row r="800">
      <x:c r="A800" s="13" t="str">
        <x:v>1026</x:v>
      </x:c>
      <x:c r="B800" s="14" t="str"/>
      <x:c r="C800" s="14" t="str">
        <x:v>Lv.2</x:v>
      </x:c>
      <x:c r="D800" s="14" t="str">
        <x:v>謝耀慶醫師</x:v>
      </x:c>
      <x:c r="E800" s="6" t="str"/>
      <x:c r="F800" s="6" t="str">
        <x:v>病歷紀錄</x:v>
      </x:c>
      <x:c r="G800" s="19" t="str">
        <x:v>Ø</x:v>
      </x:c>
      <x:c r="H800" s="17" t="str">
        <x:v>尚未熟練</x:v>
      </x:c>
      <x:c r="I800" s="6" t="n">
        <x:v>96</x:v>
      </x:c>
    </x:row>
    <x:row r="801">
      <x:c r="A801" s="13" t="str">
        <x:v>1026</x:v>
      </x:c>
      <x:c r="B801" s="14" t="str"/>
      <x:c r="C801" s="14" t="str">
        <x:v>Lv.2</x:v>
      </x:c>
      <x:c r="D801" s="14" t="str">
        <x:v>謝耀慶醫師</x:v>
      </x:c>
      <x:c r="E801" s="6" t="str"/>
      <x:c r="F801" s="6" t="str">
        <x:v>X光片紀錄</x:v>
      </x:c>
      <x:c r="G801" s="19" t="str">
        <x:v>△</x:v>
      </x:c>
      <x:c r="H801" s="17" t="str">
        <x:v>需加強</x:v>
      </x:c>
      <x:c r="I801" s="6" t="n">
        <x:v>97</x:v>
      </x:c>
    </x:row>
    <x:row r="802">
      <x:c r="A802" s="13" t="str">
        <x:v>1026</x:v>
      </x:c>
      <x:c r="B802" s="14" t="str"/>
      <x:c r="C802" s="14" t="str">
        <x:v>Lv.2</x:v>
      </x:c>
      <x:c r="D802" s="14" t="str">
        <x:v>謝耀慶醫師</x:v>
      </x:c>
      <x:c r="E802" s="6" t="str"/>
      <x:c r="F802" s="6" t="str">
        <x:v>手持X光機</x:v>
      </x:c>
      <x:c r="G802" s="19" t="str">
        <x:v>◎</x:v>
      </x:c>
      <x:c r="H802" s="17" t="str">
        <x:v>熟練</x:v>
      </x:c>
      <x:c r="I802" s="6" t="n">
        <x:v>98</x:v>
      </x:c>
    </x:row>
    <x:row r="803">
      <x:c r="A803" s="13" t="str">
        <x:v>1026</x:v>
      </x:c>
      <x:c r="B803" s="14" t="str"/>
      <x:c r="C803" s="14" t="str">
        <x:v>Lv.2</x:v>
      </x:c>
      <x:c r="D803" s="14" t="str">
        <x:v>謝耀慶醫師</x:v>
      </x:c>
      <x:c r="E803" s="6" t="str"/>
      <x:c r="F803" s="6" t="str">
        <x:v>健保申報</x:v>
      </x:c>
      <x:c r="G803" s="19" t="str">
        <x:v>◎</x:v>
      </x:c>
      <x:c r="H803" s="17" t="str">
        <x:v>熟練</x:v>
      </x:c>
      <x:c r="I803" s="6" t="n">
        <x:v>99</x:v>
      </x:c>
    </x:row>
    <x:row r="804">
      <x:c r="A804" s="13" t="str">
        <x:v>1026</x:v>
      </x:c>
      <x:c r="B804" s="14" t="str"/>
      <x:c r="C804" s="14" t="str">
        <x:v>Lv.2</x:v>
      </x:c>
      <x:c r="D804" s="14" t="str">
        <x:v>謝耀慶醫師</x:v>
      </x:c>
      <x:c r="E804" s="6" t="str"/>
      <x:c r="F804" s="6" t="str">
        <x:v>舒眠手術</x:v>
      </x:c>
      <x:c r="G804" s="19" t="str">
        <x:v>※</x:v>
      </x:c>
      <x:c r="H804" s="17" t="str">
        <x:v>學習中</x:v>
      </x:c>
      <x:c r="I804" s="6" t="n">
        <x:v>100</x:v>
      </x:c>
    </x:row>
    <x:row r="805">
      <x:c r="A805" s="13" t="str">
        <x:v>1026</x:v>
      </x:c>
      <x:c r="B805" s="14" t="str"/>
      <x:c r="C805" s="14" t="str">
        <x:v>Lv.2</x:v>
      </x:c>
      <x:c r="D805" s="14" t="str">
        <x:v>陳醫師</x:v>
      </x:c>
      <x:c r="E805" s="6" t="str">
        <x:v>器械準備</x:v>
      </x:c>
      <x:c r="F805" s="6" t="str">
        <x:v>洗牙</x:v>
      </x:c>
      <x:c r="G805" s="19" t="str"/>
      <x:c r="H805" s="17" t="str">
        <x:v>未評分</x:v>
      </x:c>
      <x:c r="I805" s="6" t="n">
        <x:v>101</x:v>
      </x:c>
    </x:row>
    <x:row r="806">
      <x:c r="A806" s="13" t="str">
        <x:v>1026</x:v>
      </x:c>
      <x:c r="B806" s="14" t="str"/>
      <x:c r="C806" s="14" t="str">
        <x:v>Lv.2</x:v>
      </x:c>
      <x:c r="D806" s="14" t="str">
        <x:v>陳醫師</x:v>
      </x:c>
      <x:c r="E806" s="6" t="str">
        <x:v>器械準備</x:v>
      </x:c>
      <x:c r="F806" s="6" t="str">
        <x:v>補牙</x:v>
      </x:c>
      <x:c r="G806" s="19" t="str"/>
      <x:c r="H806" s="17" t="str">
        <x:v>未評分</x:v>
      </x:c>
      <x:c r="I806" s="6" t="n">
        <x:v>102</x:v>
      </x:c>
    </x:row>
    <x:row r="807">
      <x:c r="A807" s="13" t="str">
        <x:v>1026</x:v>
      </x:c>
      <x:c r="B807" s="14" t="str"/>
      <x:c r="C807" s="14" t="str">
        <x:v>Lv.2</x:v>
      </x:c>
      <x:c r="D807" s="14" t="str">
        <x:v>陳醫師</x:v>
      </x:c>
      <x:c r="E807" s="6" t="str">
        <x:v>器械準備</x:v>
      </x:c>
      <x:c r="F807" s="6" t="str">
        <x:v>根管治療</x:v>
      </x:c>
      <x:c r="G807" s="19" t="str"/>
      <x:c r="H807" s="17" t="str">
        <x:v>未評分</x:v>
      </x:c>
      <x:c r="I807" s="6" t="n">
        <x:v>103</x:v>
      </x:c>
    </x:row>
    <x:row r="808">
      <x:c r="A808" s="13" t="str">
        <x:v>1026</x:v>
      </x:c>
      <x:c r="B808" s="14" t="str"/>
      <x:c r="C808" s="14" t="str">
        <x:v>Lv.2</x:v>
      </x:c>
      <x:c r="D808" s="14" t="str">
        <x:v>陳醫師</x:v>
      </x:c>
      <x:c r="E808" s="6" t="str"/>
      <x:c r="F808" s="6" t="str">
        <x:v>跟診順暢度</x:v>
      </x:c>
      <x:c r="G808" s="19" t="str"/>
      <x:c r="H808" s="17" t="str">
        <x:v>未評分</x:v>
      </x:c>
      <x:c r="I808" s="6" t="n">
        <x:v>104</x:v>
      </x:c>
    </x:row>
    <x:row r="809">
      <x:c r="A809" s="13" t="str">
        <x:v>1026</x:v>
      </x:c>
      <x:c r="B809" s="14" t="str"/>
      <x:c r="C809" s="14" t="str">
        <x:v>Lv.2</x:v>
      </x:c>
      <x:c r="D809" s="14" t="str">
        <x:v>陳醫師</x:v>
      </x:c>
      <x:c r="E809" s="6" t="str"/>
      <x:c r="F809" s="6" t="str">
        <x:v>病歷紀錄</x:v>
      </x:c>
      <x:c r="G809" s="19" t="str"/>
      <x:c r="H809" s="17" t="str">
        <x:v>未評分</x:v>
      </x:c>
      <x:c r="I809" s="6" t="n">
        <x:v>105</x:v>
      </x:c>
    </x:row>
    <x:row r="810">
      <x:c r="A810" s="13" t="str">
        <x:v>1026</x:v>
      </x:c>
      <x:c r="B810" s="14" t="str"/>
      <x:c r="C810" s="14" t="str">
        <x:v>Lv.2</x:v>
      </x:c>
      <x:c r="D810" s="14" t="str">
        <x:v>陳醫師</x:v>
      </x:c>
      <x:c r="E810" s="6" t="str"/>
      <x:c r="F810" s="6" t="str">
        <x:v>拍PANO、PA</x:v>
      </x:c>
      <x:c r="G810" s="19" t="str"/>
      <x:c r="H810" s="17" t="str">
        <x:v>未評分</x:v>
      </x:c>
      <x:c r="I810" s="6" t="n">
        <x:v>106</x:v>
      </x:c>
    </x:row>
    <x:row r="811">
      <x:c r="A811" s="13" t="str">
        <x:v>1026</x:v>
      </x:c>
      <x:c r="B811" s="14" t="str"/>
      <x:c r="C811" s="14" t="str">
        <x:v>Lv.2</x:v>
      </x:c>
      <x:c r="D811" s="14" t="str">
        <x:v>陳醫師</x:v>
      </x:c>
      <x:c r="E811" s="6" t="str"/>
      <x:c r="F811" s="6" t="str">
        <x:v>X光片紀錄</x:v>
      </x:c>
      <x:c r="G811" s="19" t="str"/>
      <x:c r="H811" s="17" t="str">
        <x:v>未評分</x:v>
      </x:c>
      <x:c r="I811" s="6" t="n">
        <x:v>107</x:v>
      </x:c>
    </x:row>
    <x:row r="812">
      <x:c r="A812" s="13" t="str">
        <x:v>1026</x:v>
      </x:c>
      <x:c r="B812" s="14" t="str"/>
      <x:c r="C812" s="14" t="str">
        <x:v>Lv.2</x:v>
      </x:c>
      <x:c r="D812" s="14" t="str">
        <x:v>陳醫師</x:v>
      </x:c>
      <x:c r="E812" s="6" t="str"/>
      <x:c r="F812" s="6" t="str">
        <x:v>健保申報</x:v>
      </x:c>
      <x:c r="G812" s="19" t="str"/>
      <x:c r="H812" s="17" t="str">
        <x:v>未評分</x:v>
      </x:c>
      <x:c r="I812" s="6" t="n">
        <x:v>108</x:v>
      </x:c>
    </x:row>
    <x:row r="813">
      <x:c r="A813" s="13" t="str">
        <x:v>1026</x:v>
      </x:c>
      <x:c r="B813" s="14" t="str"/>
      <x:c r="C813" s="14" t="str">
        <x:v>Lv.2</x:v>
      </x:c>
      <x:c r="D813" s="14" t="str">
        <x:v>陳醫師</x:v>
      </x:c>
      <x:c r="E813" s="6" t="str"/>
      <x:c r="F813" s="6" t="str">
        <x:v>固定假牙</x:v>
      </x:c>
      <x:c r="G813" s="19" t="str"/>
      <x:c r="H813" s="17" t="str">
        <x:v>未評分</x:v>
      </x:c>
      <x:c r="I813" s="6" t="n">
        <x:v>109</x:v>
      </x:c>
    </x:row>
    <x:row r="814">
      <x:c r="A814" s="13" t="str">
        <x:v>1026</x:v>
      </x:c>
      <x:c r="B814" s="14" t="str"/>
      <x:c r="C814" s="14" t="str">
        <x:v>Lv.2</x:v>
      </x:c>
      <x:c r="D814" s="14" t="str">
        <x:v>陳醫師</x:v>
      </x:c>
      <x:c r="E814" s="6" t="str"/>
      <x:c r="F814" s="6" t="str">
        <x:v>顯微根管</x:v>
      </x:c>
      <x:c r="G814" s="19" t="str"/>
      <x:c r="H814" s="17" t="str">
        <x:v>未評分</x:v>
      </x:c>
      <x:c r="I814" s="6" t="n">
        <x:v>110</x:v>
      </x:c>
    </x:row>
    <x:row r="815">
      <x:c r="A815" s="13" t="str">
        <x:v>1026</x:v>
      </x:c>
      <x:c r="B815" s="14" t="str"/>
      <x:c r="C815" s="14" t="str">
        <x:v>Lv.2</x:v>
      </x:c>
      <x:c r="D815" s="14" t="str">
        <x:v>櫃台</x:v>
      </x:c>
      <x:c r="E815" s="6" t="str"/>
      <x:c r="F815" s="6" t="str">
        <x:v>掛號處理(含初診處理)開立一般收據及藥單</x:v>
      </x:c>
      <x:c r="G815" s="19" t="str">
        <x:v>◎</x:v>
      </x:c>
      <x:c r="H815" s="17" t="str">
        <x:v>熟練</x:v>
      </x:c>
      <x:c r="I815" s="6" t="n">
        <x:v>111</x:v>
      </x:c>
    </x:row>
    <x:row r="816">
      <x:c r="A816" s="13" t="str">
        <x:v>1026</x:v>
      </x:c>
      <x:c r="B816" s="14" t="str"/>
      <x:c r="C816" s="14" t="str">
        <x:v>Lv.2</x:v>
      </x:c>
      <x:c r="D816" s="14" t="str">
        <x:v>櫃台</x:v>
      </x:c>
      <x:c r="E816" s="6" t="str"/>
      <x:c r="F816" s="6" t="str">
        <x:v>收費紀錄</x:v>
      </x:c>
      <x:c r="G816" s="19" t="str">
        <x:v>Ø</x:v>
      </x:c>
      <x:c r="H816" s="17" t="str">
        <x:v>尚未熟練</x:v>
      </x:c>
      <x:c r="I816" s="6" t="n">
        <x:v>112</x:v>
      </x:c>
    </x:row>
    <x:row r="817">
      <x:c r="A817" s="13" t="str">
        <x:v>1026</x:v>
      </x:c>
      <x:c r="B817" s="14" t="str"/>
      <x:c r="C817" s="14" t="str">
        <x:v>Lv.2</x:v>
      </x:c>
      <x:c r="D817" s="14" t="str">
        <x:v>櫃台</x:v>
      </x:c>
      <x:c r="E817" s="6" t="str"/>
      <x:c r="F817" s="6" t="str">
        <x:v>病歷整理</x:v>
      </x:c>
      <x:c r="G817" s="19" t="str">
        <x:v>◎</x:v>
      </x:c>
      <x:c r="H817" s="17" t="str">
        <x:v>熟練</x:v>
      </x:c>
      <x:c r="I817" s="6" t="n">
        <x:v>113</x:v>
      </x:c>
    </x:row>
    <x:row r="818">
      <x:c r="A818" s="13" t="str">
        <x:v>1026</x:v>
      </x:c>
      <x:c r="B818" s="14" t="str"/>
      <x:c r="C818" s="14" t="str">
        <x:v>Lv.2</x:v>
      </x:c>
      <x:c r="D818" s="14" t="str">
        <x:v>櫃台</x:v>
      </x:c>
      <x:c r="E818" s="6" t="str"/>
      <x:c r="F818" s="6" t="str">
        <x:v>治療同意書填寫</x:v>
      </x:c>
      <x:c r="G818" s="19" t="str">
        <x:v>◎</x:v>
      </x:c>
      <x:c r="H818" s="17" t="str">
        <x:v>熟練</x:v>
      </x:c>
      <x:c r="I818" s="6" t="n">
        <x:v>114</x:v>
      </x:c>
    </x:row>
    <x:row r="819">
      <x:c r="A819" s="13" t="str">
        <x:v>1026</x:v>
      </x:c>
      <x:c r="B819" s="14" t="str"/>
      <x:c r="C819" s="14" t="str">
        <x:v>Lv.2</x:v>
      </x:c>
      <x:c r="D819" s="14" t="str">
        <x:v>櫃台</x:v>
      </x:c>
      <x:c r="E819" s="6" t="str"/>
      <x:c r="F819" s="6" t="str">
        <x:v>與患者應對</x:v>
      </x:c>
      <x:c r="G819" s="19" t="str">
        <x:v>Ø</x:v>
      </x:c>
      <x:c r="H819" s="17" t="str">
        <x:v>尚未熟練</x:v>
      </x:c>
      <x:c r="I819" s="6" t="n">
        <x:v>115</x:v>
      </x:c>
    </x:row>
    <x:row r="820">
      <x:c r="A820" s="13" t="str">
        <x:v>1026</x:v>
      </x:c>
      <x:c r="B820" s="14" t="str"/>
      <x:c r="C820" s="14" t="str">
        <x:v>Lv.2</x:v>
      </x:c>
      <x:c r="D820" s="14" t="str">
        <x:v>櫃台</x:v>
      </x:c>
      <x:c r="E820" s="6" t="str"/>
      <x:c r="F820" s="6" t="str">
        <x:v>約診</x:v>
      </x:c>
      <x:c r="G820" s="19" t="str">
        <x:v>Ø</x:v>
      </x:c>
      <x:c r="H820" s="17" t="str">
        <x:v>尚未熟練</x:v>
      </x:c>
      <x:c r="I820" s="6" t="n">
        <x:v>116</x:v>
      </x:c>
    </x:row>
    <x:row r="821">
      <x:c r="A821" s="13" t="str">
        <x:v>1026</x:v>
      </x:c>
      <x:c r="B821" s="14" t="str"/>
      <x:c r="C821" s="14" t="str">
        <x:v>Lv.2</x:v>
      </x:c>
      <x:c r="D821" s="14" t="str">
        <x:v>櫃台</x:v>
      </x:c>
      <x:c r="E821" s="6" t="str"/>
      <x:c r="F821" s="6" t="str">
        <x:v>報表製作</x:v>
      </x:c>
      <x:c r="G821" s="19" t="str">
        <x:v>◎</x:v>
      </x:c>
      <x:c r="H821" s="17" t="str">
        <x:v>熟練</x:v>
      </x:c>
      <x:c r="I821" s="6" t="n">
        <x:v>117</x:v>
      </x:c>
    </x:row>
    <x:row r="822">
      <x:c r="A822" s="13" t="str">
        <x:v>1026</x:v>
      </x:c>
      <x:c r="B822" s="14" t="str"/>
      <x:c r="C822" s="14" t="str">
        <x:v>Lv.2</x:v>
      </x:c>
      <x:c r="D822" s="14" t="str">
        <x:v>櫃台</x:v>
      </x:c>
      <x:c r="E822" s="6" t="str"/>
      <x:c r="F822" s="6" t="str">
        <x:v>診斷證明書</x:v>
      </x:c>
      <x:c r="G822" s="19" t="str">
        <x:v>Ø</x:v>
      </x:c>
      <x:c r="H822" s="17" t="str">
        <x:v>尚未熟練</x:v>
      </x:c>
      <x:c r="I822" s="6" t="n">
        <x:v>118</x:v>
      </x:c>
    </x:row>
    <x:row r="823">
      <x:c r="A823" s="13" t="str">
        <x:v>1026</x:v>
      </x:c>
      <x:c r="B823" s="14" t="str"/>
      <x:c r="C823" s="14" t="str">
        <x:v>Lv.2</x:v>
      </x:c>
      <x:c r="D823" s="14" t="str">
        <x:v>櫃台</x:v>
      </x:c>
      <x:c r="E823" s="6" t="str"/>
      <x:c r="F823" s="6" t="str">
        <x:v>牙統VPN</x:v>
      </x:c>
      <x:c r="G823" s="19" t="str">
        <x:v>◎</x:v>
      </x:c>
      <x:c r="H823" s="17" t="str">
        <x:v>熟練</x:v>
      </x:c>
      <x:c r="I823" s="6" t="n">
        <x:v>119</x:v>
      </x:c>
    </x:row>
    <x:row r="824">
      <x:c r="A824" s="13" t="str">
        <x:v>1026</x:v>
      </x:c>
      <x:c r="B824" s="14" t="str"/>
      <x:c r="C824" s="14" t="str">
        <x:v>Lv.2</x:v>
      </x:c>
      <x:c r="D824" s="14" t="str">
        <x:v>櫃台</x:v>
      </x:c>
      <x:c r="E824" s="6" t="str"/>
      <x:c r="F824" s="6" t="str">
        <x:v>病歷檢查核對</x:v>
      </x:c>
      <x:c r="G824" s="19" t="str"/>
      <x:c r="H824" s="17" t="str">
        <x:v>未評分</x:v>
      </x:c>
      <x:c r="I824" s="6" t="n">
        <x:v>120</x:v>
      </x:c>
    </x:row>
    <x:row r="825">
      <x:c r="A825" s="13" t="str">
        <x:v>1026</x:v>
      </x:c>
      <x:c r="B825" s="14" t="str"/>
      <x:c r="C825" s="14" t="str">
        <x:v>Lv.2</x:v>
      </x:c>
      <x:c r="D825" s="14" t="str">
        <x:v>櫃台</x:v>
      </x:c>
      <x:c r="E825" s="6" t="str"/>
      <x:c r="F825" s="6" t="str">
        <x:v>抽審資料處理</x:v>
      </x:c>
      <x:c r="G825" s="19" t="str"/>
      <x:c r="H825" s="17" t="str">
        <x:v>未評分</x:v>
      </x:c>
      <x:c r="I825" s="6" t="n">
        <x:v>121</x:v>
      </x:c>
    </x:row>
    <x:row r="826">
      <x:c r="A826" s="13" t="str">
        <x:v>1027</x:v>
      </x:c>
      <x:c r="B826" s="14" t="str"/>
      <x:c r="C826" s="14" t="str">
        <x:v>Lv.3</x:v>
      </x:c>
      <x:c r="D826" s="14" t="str">
        <x:v>流動工作</x:v>
      </x:c>
      <x:c r="E826" s="6" t="str"/>
      <x:c r="F826" s="6" t="str">
        <x:v>撤備台</x:v>
      </x:c>
      <x:c r="G826" s="19" t="str">
        <x:v>◎</x:v>
      </x:c>
      <x:c r="H826" s="17" t="str">
        <x:v>熟練</x:v>
      </x:c>
      <x:c r="I826" s="6" t="n">
        <x:v>5</x:v>
      </x:c>
    </x:row>
    <x:row r="827">
      <x:c r="A827" s="13" t="str">
        <x:v>1027</x:v>
      </x:c>
      <x:c r="B827" s="14" t="str"/>
      <x:c r="C827" s="14" t="str">
        <x:v>Lv.3</x:v>
      </x:c>
      <x:c r="D827" s="14" t="str">
        <x:v>流動工作</x:v>
      </x:c>
      <x:c r="E827" s="6" t="str"/>
      <x:c r="F827" s="6" t="str">
        <x:v>器械清消流程</x:v>
      </x:c>
      <x:c r="G827" s="19" t="str">
        <x:v>◎</x:v>
      </x:c>
      <x:c r="H827" s="17" t="str">
        <x:v>熟練</x:v>
      </x:c>
      <x:c r="I827" s="6" t="n">
        <x:v>6</x:v>
      </x:c>
    </x:row>
    <x:row r="828">
      <x:c r="A828" s="13" t="str">
        <x:v>1027</x:v>
      </x:c>
      <x:c r="B828" s="14" t="str"/>
      <x:c r="C828" s="14" t="str">
        <x:v>Lv.3</x:v>
      </x:c>
      <x:c r="D828" s="14" t="str">
        <x:v>流動工作</x:v>
      </x:c>
      <x:c r="E828" s="6" t="str"/>
      <x:c r="F828" s="6" t="str">
        <x:v>認識治療項目</x:v>
      </x:c>
      <x:c r="G828" s="19" t="str">
        <x:v>◎</x:v>
      </x:c>
      <x:c r="H828" s="17" t="str">
        <x:v>熟練</x:v>
      </x:c>
      <x:c r="I828" s="6" t="n">
        <x:v>7</x:v>
      </x:c>
    </x:row>
    <x:row r="829">
      <x:c r="A829" s="13" t="str">
        <x:v>1027</x:v>
      </x:c>
      <x:c r="B829" s="14" t="str"/>
      <x:c r="C829" s="14" t="str">
        <x:v>Lv.3</x:v>
      </x:c>
      <x:c r="D829" s="14" t="str">
        <x:v>流動工作</x:v>
      </x:c>
      <x:c r="E829" s="6" t="str"/>
      <x:c r="F829" s="6" t="str">
        <x:v>替代跟診人員灌模</x:v>
      </x:c>
      <x:c r="G829" s="19" t="str">
        <x:v>◎</x:v>
      </x:c>
      <x:c r="H829" s="17" t="str">
        <x:v>熟練</x:v>
      </x:c>
      <x:c r="I829" s="6" t="n">
        <x:v>8</x:v>
      </x:c>
    </x:row>
    <x:row r="830">
      <x:c r="A830" s="13" t="str">
        <x:v>1027</x:v>
      </x:c>
      <x:c r="B830" s="14" t="str"/>
      <x:c r="C830" s="14" t="str">
        <x:v>Lv.3</x:v>
      </x:c>
      <x:c r="D830" s="14" t="str">
        <x:v>流動工作</x:v>
      </x:c>
      <x:c r="E830" s="6" t="str"/>
      <x:c r="F830" s="6" t="str">
        <x:v>拍攝X光片(PANO)</x:v>
      </x:c>
      <x:c r="G830" s="19" t="str">
        <x:v>◎</x:v>
      </x:c>
      <x:c r="H830" s="17" t="str">
        <x:v>熟練</x:v>
      </x:c>
      <x:c r="I830" s="6" t="n">
        <x:v>9</x:v>
      </x:c>
    </x:row>
    <x:row r="831">
      <x:c r="A831" s="13" t="str">
        <x:v>1027</x:v>
      </x:c>
      <x:c r="B831" s="14" t="str"/>
      <x:c r="C831" s="14" t="str">
        <x:v>Lv.3</x:v>
      </x:c>
      <x:c r="D831" s="14" t="str">
        <x:v>流動工作</x:v>
      </x:c>
      <x:c r="E831" s="6" t="str"/>
      <x:c r="F831" s="6" t="str">
        <x:v>拍攝根尖片(用鱷魚夾)</x:v>
      </x:c>
      <x:c r="G831" s="19" t="str">
        <x:v>◎</x:v>
      </x:c>
      <x:c r="H831" s="17" t="str">
        <x:v>熟練</x:v>
      </x:c>
      <x:c r="I831" s="6" t="n">
        <x:v>10</x:v>
      </x:c>
    </x:row>
    <x:row r="832">
      <x:c r="A832" s="13" t="str">
        <x:v>1027</x:v>
      </x:c>
      <x:c r="B832" s="14" t="str"/>
      <x:c r="C832" s="14" t="str">
        <x:v>Lv.3</x:v>
      </x:c>
      <x:c r="D832" s="14" t="str">
        <x:v>流動工作</x:v>
      </x:c>
      <x:c r="E832" s="6" t="str"/>
      <x:c r="F832" s="6" t="str">
        <x:v>拍攝根尖片(手壓片)</x:v>
      </x:c>
      <x:c r="G832" s="19" t="str">
        <x:v>◎</x:v>
      </x:c>
      <x:c r="H832" s="17" t="str">
        <x:v>熟練</x:v>
      </x:c>
      <x:c r="I832" s="6" t="n">
        <x:v>11</x:v>
      </x:c>
    </x:row>
    <x:row r="833">
      <x:c r="A833" s="13" t="str">
        <x:v>1027</x:v>
      </x:c>
      <x:c r="B833" s="14" t="str"/>
      <x:c r="C833" s="14" t="str">
        <x:v>Lv.3</x:v>
      </x:c>
      <x:c r="D833" s="14" t="str">
        <x:v>流動工作</x:v>
      </x:c>
      <x:c r="E833" s="6" t="str"/>
      <x:c r="F833" s="6" t="str">
        <x:v>開、關診工作</x:v>
      </x:c>
      <x:c r="G833" s="19" t="str">
        <x:v>◎</x:v>
      </x:c>
      <x:c r="H833" s="17" t="str">
        <x:v>熟練</x:v>
      </x:c>
      <x:c r="I833" s="6" t="n">
        <x:v>12</x:v>
      </x:c>
    </x:row>
    <x:row r="834">
      <x:c r="A834" s="13" t="str">
        <x:v>1027</x:v>
      </x:c>
      <x:c r="B834" s="14" t="str"/>
      <x:c r="C834" s="14" t="str">
        <x:v>Lv.3</x:v>
      </x:c>
      <x:c r="D834" s="14" t="str">
        <x:v>流動工作</x:v>
      </x:c>
      <x:c r="E834" s="6" t="str"/>
      <x:c r="F834" s="6" t="str">
        <x:v>備品補充+器械安全庫存</x:v>
      </x:c>
      <x:c r="G834" s="19" t="str">
        <x:v>◎</x:v>
      </x:c>
      <x:c r="H834" s="17" t="str">
        <x:v>熟練</x:v>
      </x:c>
      <x:c r="I834" s="6" t="n">
        <x:v>13</x:v>
      </x:c>
    </x:row>
    <x:row r="835">
      <x:c r="A835" s="13" t="str">
        <x:v>1027</x:v>
      </x:c>
      <x:c r="B835" s="14" t="str"/>
      <x:c r="C835" s="14" t="str">
        <x:v>Lv.3</x:v>
      </x:c>
      <x:c r="D835" s="14" t="str">
        <x:v>衛教</x:v>
      </x:c>
      <x:c r="E835" s="6" t="str"/>
      <x:c r="F835" s="6" t="str">
        <x:v>基礎衛教</x:v>
      </x:c>
      <x:c r="G835" s="19" t="str">
        <x:v>◎</x:v>
      </x:c>
      <x:c r="H835" s="17" t="str">
        <x:v>熟練</x:v>
      </x:c>
      <x:c r="I835" s="6" t="n">
        <x:v>14</x:v>
      </x:c>
    </x:row>
    <x:row r="836">
      <x:c r="A836" s="13" t="str">
        <x:v>1027</x:v>
      </x:c>
      <x:c r="B836" s="14" t="str"/>
      <x:c r="C836" s="14" t="str">
        <x:v>Lv.3</x:v>
      </x:c>
      <x:c r="D836" s="14" t="str">
        <x:v>衛教</x:v>
      </x:c>
      <x:c r="E836" s="6" t="str"/>
      <x:c r="F836" s="6" t="str">
        <x:v>進階衛教</x:v>
      </x:c>
      <x:c r="G836" s="19" t="str">
        <x:v>◎</x:v>
      </x:c>
      <x:c r="H836" s="17" t="str">
        <x:v>熟練</x:v>
      </x:c>
      <x:c r="I836" s="6" t="n">
        <x:v>15</x:v>
      </x:c>
    </x:row>
    <x:row r="837">
      <x:c r="A837" s="13" t="str">
        <x:v>1027</x:v>
      </x:c>
      <x:c r="B837" s="14" t="str"/>
      <x:c r="C837" s="14" t="str">
        <x:v>Lv.3</x:v>
      </x:c>
      <x:c r="D837" s="14" t="str">
        <x:v>李柄輝醫師</x:v>
      </x:c>
      <x:c r="E837" s="6" t="str">
        <x:v>器械準備</x:v>
      </x:c>
      <x:c r="F837" s="6" t="str">
        <x:v>洗牙</x:v>
      </x:c>
      <x:c r="G837" s="19" t="str">
        <x:v>◎</x:v>
      </x:c>
      <x:c r="H837" s="17" t="str">
        <x:v>熟練</x:v>
      </x:c>
      <x:c r="I837" s="6" t="n">
        <x:v>16</x:v>
      </x:c>
    </x:row>
    <x:row r="838">
      <x:c r="A838" s="13" t="str">
        <x:v>1027</x:v>
      </x:c>
      <x:c r="B838" s="14" t="str"/>
      <x:c r="C838" s="14" t="str">
        <x:v>Lv.3</x:v>
      </x:c>
      <x:c r="D838" s="14" t="str">
        <x:v>李柄輝醫師</x:v>
      </x:c>
      <x:c r="E838" s="6" t="str">
        <x:v>器械準備</x:v>
      </x:c>
      <x:c r="F838" s="6" t="str">
        <x:v>補牙</x:v>
      </x:c>
      <x:c r="G838" s="19" t="str">
        <x:v>◎</x:v>
      </x:c>
      <x:c r="H838" s="17" t="str">
        <x:v>熟練</x:v>
      </x:c>
      <x:c r="I838" s="6" t="n">
        <x:v>17</x:v>
      </x:c>
    </x:row>
    <x:row r="839">
      <x:c r="A839" s="13" t="str">
        <x:v>1027</x:v>
      </x:c>
      <x:c r="B839" s="14" t="str"/>
      <x:c r="C839" s="14" t="str">
        <x:v>Lv.3</x:v>
      </x:c>
      <x:c r="D839" s="14" t="str">
        <x:v>李柄輝醫師</x:v>
      </x:c>
      <x:c r="E839" s="6" t="str">
        <x:v>器械準備</x:v>
      </x:c>
      <x:c r="F839" s="6" t="str">
        <x:v>牙周統合</x:v>
      </x:c>
      <x:c r="G839" s="19" t="str">
        <x:v>◎</x:v>
      </x:c>
      <x:c r="H839" s="17" t="str">
        <x:v>熟練</x:v>
      </x:c>
      <x:c r="I839" s="6" t="n">
        <x:v>18</x:v>
      </x:c>
    </x:row>
    <x:row r="840">
      <x:c r="A840" s="13" t="str">
        <x:v>1027</x:v>
      </x:c>
      <x:c r="B840" s="14" t="str"/>
      <x:c r="C840" s="14" t="str">
        <x:v>Lv.3</x:v>
      </x:c>
      <x:c r="D840" s="14" t="str">
        <x:v>李柄輝醫師</x:v>
      </x:c>
      <x:c r="E840" s="6" t="str">
        <x:v>器械準備</x:v>
      </x:c>
      <x:c r="F840" s="6" t="str">
        <x:v>根管治療(插針照)</x:v>
      </x:c>
      <x:c r="G840" s="19" t="str">
        <x:v>◎</x:v>
      </x:c>
      <x:c r="H840" s="17" t="str">
        <x:v>熟練</x:v>
      </x:c>
      <x:c r="I840" s="6" t="n">
        <x:v>19</x:v>
      </x:c>
    </x:row>
    <x:row r="841">
      <x:c r="A841" s="13" t="str">
        <x:v>1027</x:v>
      </x:c>
      <x:c r="B841" s="14" t="str"/>
      <x:c r="C841" s="14" t="str">
        <x:v>Lv.3</x:v>
      </x:c>
      <x:c r="D841" s="14" t="str">
        <x:v>李柄輝醫師</x:v>
      </x:c>
      <x:c r="E841" s="6" t="str">
        <x:v>器械準備</x:v>
      </x:c>
      <x:c r="F841" s="6" t="str">
        <x:v>拆crown/post</x:v>
      </x:c>
      <x:c r="G841" s="19" t="str">
        <x:v>◎</x:v>
      </x:c>
      <x:c r="H841" s="17" t="str">
        <x:v>熟練</x:v>
      </x:c>
      <x:c r="I841" s="6" t="n">
        <x:v>20</x:v>
      </x:c>
    </x:row>
    <x:row r="842">
      <x:c r="A842" s="13" t="str">
        <x:v>1027</x:v>
      </x:c>
      <x:c r="B842" s="14" t="str"/>
      <x:c r="C842" s="14" t="str">
        <x:v>Lv.3</x:v>
      </x:c>
      <x:c r="D842" s="14" t="str">
        <x:v>李柄輝醫師</x:v>
      </x:c>
      <x:c r="E842" s="6" t="str">
        <x:v>器械準備</x:v>
      </x:c>
      <x:c r="F842" s="6" t="str">
        <x:v>拔牙</x:v>
      </x:c>
      <x:c r="G842" s="19" t="str">
        <x:v>Ø</x:v>
      </x:c>
      <x:c r="H842" s="17" t="str">
        <x:v>尚未熟練</x:v>
      </x:c>
      <x:c r="I842" s="6" t="n">
        <x:v>21</x:v>
      </x:c>
    </x:row>
    <x:row r="843">
      <x:c r="A843" s="13" t="str">
        <x:v>1027</x:v>
      </x:c>
      <x:c r="B843" s="14" t="str"/>
      <x:c r="C843" s="14" t="str">
        <x:v>Lv.3</x:v>
      </x:c>
      <x:c r="D843" s="14" t="str">
        <x:v>李柄輝醫師</x:v>
      </x:c>
      <x:c r="E843" s="6" t="str">
        <x:v>自費</x:v>
      </x:c>
      <x:c r="F843" s="6" t="str">
        <x:v>固定假牙(黏著劑)</x:v>
      </x:c>
      <x:c r="G843" s="19" t="str">
        <x:v>Ø</x:v>
      </x:c>
      <x:c r="H843" s="17" t="str">
        <x:v>尚未熟練</x:v>
      </x:c>
      <x:c r="I843" s="6" t="n">
        <x:v>22</x:v>
      </x:c>
    </x:row>
    <x:row r="844">
      <x:c r="A844" s="13" t="str">
        <x:v>1027</x:v>
      </x:c>
      <x:c r="B844" s="14" t="str"/>
      <x:c r="C844" s="14" t="str">
        <x:v>Lv.3</x:v>
      </x:c>
      <x:c r="D844" s="14" t="str">
        <x:v>李柄輝醫師</x:v>
      </x:c>
      <x:c r="E844" s="6" t="str"/>
      <x:c r="F844" s="6" t="str">
        <x:v>跟診順暢度</x:v>
      </x:c>
      <x:c r="G844" s="19" t="str">
        <x:v>◎</x:v>
      </x:c>
      <x:c r="H844" s="17" t="str">
        <x:v>熟練</x:v>
      </x:c>
      <x:c r="I844" s="6" t="n">
        <x:v>23</x:v>
      </x:c>
    </x:row>
    <x:row r="845">
      <x:c r="A845" s="13" t="str">
        <x:v>1027</x:v>
      </x:c>
      <x:c r="B845" s="14" t="str"/>
      <x:c r="C845" s="14" t="str">
        <x:v>Lv.3</x:v>
      </x:c>
      <x:c r="D845" s="14" t="str">
        <x:v>李柄輝醫師</x:v>
      </x:c>
      <x:c r="E845" s="6" t="str"/>
      <x:c r="F845" s="6" t="str">
        <x:v>病歷紀錄</x:v>
      </x:c>
      <x:c r="G845" s="19" t="str">
        <x:v>◎</x:v>
      </x:c>
      <x:c r="H845" s="17" t="str">
        <x:v>熟練</x:v>
      </x:c>
      <x:c r="I845" s="6" t="n">
        <x:v>24</x:v>
      </x:c>
    </x:row>
    <x:row r="846">
      <x:c r="A846" s="13" t="str">
        <x:v>1027</x:v>
      </x:c>
      <x:c r="B846" s="14" t="str"/>
      <x:c r="C846" s="14" t="str">
        <x:v>Lv.3</x:v>
      </x:c>
      <x:c r="D846" s="14" t="str">
        <x:v>李柄輝醫師</x:v>
      </x:c>
      <x:c r="E846" s="6" t="str"/>
      <x:c r="F846" s="6" t="str">
        <x:v>健保申報</x:v>
      </x:c>
      <x:c r="G846" s="19" t="str">
        <x:v>Ø</x:v>
      </x:c>
      <x:c r="H846" s="17" t="str">
        <x:v>尚未熟練</x:v>
      </x:c>
      <x:c r="I846" s="6" t="n">
        <x:v>25</x:v>
      </x:c>
    </x:row>
    <x:row r="847">
      <x:c r="A847" s="13" t="str">
        <x:v>1027</x:v>
      </x:c>
      <x:c r="B847" s="14" t="str"/>
      <x:c r="C847" s="14" t="str">
        <x:v>Lv.3</x:v>
      </x:c>
      <x:c r="D847" s="14" t="str">
        <x:v>李柄輝醫師</x:v>
      </x:c>
      <x:c r="E847" s="6" t="str"/>
      <x:c r="F847" s="6" t="str">
        <x:v>X光片紀錄</x:v>
      </x:c>
      <x:c r="G847" s="19" t="str">
        <x:v>◎</x:v>
      </x:c>
      <x:c r="H847" s="17" t="str">
        <x:v>熟練</x:v>
      </x:c>
      <x:c r="I847" s="6" t="n">
        <x:v>26</x:v>
      </x:c>
    </x:row>
    <x:row r="848">
      <x:c r="A848" s="13" t="str">
        <x:v>1027</x:v>
      </x:c>
      <x:c r="B848" s="14" t="str"/>
      <x:c r="C848" s="14" t="str">
        <x:v>Lv.3</x:v>
      </x:c>
      <x:c r="D848" s="14" t="str">
        <x:v>李柄輝醫師</x:v>
      </x:c>
      <x:c r="E848" s="6" t="str"/>
      <x:c r="F848" s="6" t="str">
        <x:v>拍PA</x:v>
      </x:c>
      <x:c r="G848" s="19" t="str">
        <x:v>◎</x:v>
      </x:c>
      <x:c r="H848" s="17" t="str">
        <x:v>熟練</x:v>
      </x:c>
      <x:c r="I848" s="6" t="n">
        <x:v>27</x:v>
      </x:c>
    </x:row>
    <x:row r="849">
      <x:c r="A849" s="13" t="str">
        <x:v>1027</x:v>
      </x:c>
      <x:c r="B849" s="14" t="str"/>
      <x:c r="C849" s="14" t="str">
        <x:v>Lv.3</x:v>
      </x:c>
      <x:c r="D849" s="14" t="str">
        <x:v>李侑津醫師</x:v>
      </x:c>
      <x:c r="E849" s="6" t="str">
        <x:v>器械準備</x:v>
      </x:c>
      <x:c r="F849" s="6" t="str">
        <x:v>洗牙</x:v>
      </x:c>
      <x:c r="G849" s="19" t="str">
        <x:v>◎</x:v>
      </x:c>
      <x:c r="H849" s="17" t="str">
        <x:v>熟練</x:v>
      </x:c>
      <x:c r="I849" s="6" t="n">
        <x:v>28</x:v>
      </x:c>
    </x:row>
    <x:row r="850">
      <x:c r="A850" s="13" t="str">
        <x:v>1027</x:v>
      </x:c>
      <x:c r="B850" s="14" t="str"/>
      <x:c r="C850" s="14" t="str">
        <x:v>Lv.3</x:v>
      </x:c>
      <x:c r="D850" s="14" t="str">
        <x:v>李侑津醫師</x:v>
      </x:c>
      <x:c r="E850" s="6" t="str">
        <x:v>器械準備</x:v>
      </x:c>
      <x:c r="F850" s="6" t="str">
        <x:v>補牙</x:v>
      </x:c>
      <x:c r="G850" s="19" t="str">
        <x:v>◎</x:v>
      </x:c>
      <x:c r="H850" s="17" t="str">
        <x:v>熟練</x:v>
      </x:c>
      <x:c r="I850" s="6" t="n">
        <x:v>29</x:v>
      </x:c>
    </x:row>
    <x:row r="851">
      <x:c r="A851" s="13" t="str">
        <x:v>1027</x:v>
      </x:c>
      <x:c r="B851" s="14" t="str"/>
      <x:c r="C851" s="14" t="str">
        <x:v>Lv.3</x:v>
      </x:c>
      <x:c r="D851" s="14" t="str">
        <x:v>李侑津醫師</x:v>
      </x:c>
      <x:c r="E851" s="6" t="str">
        <x:v>器械準備</x:v>
      </x:c>
      <x:c r="F851" s="6" t="str">
        <x:v>牙周統合</x:v>
      </x:c>
      <x:c r="G851" s="19" t="str">
        <x:v>◎</x:v>
      </x:c>
      <x:c r="H851" s="17" t="str">
        <x:v>熟練</x:v>
      </x:c>
      <x:c r="I851" s="6" t="n">
        <x:v>30</x:v>
      </x:c>
    </x:row>
    <x:row r="852">
      <x:c r="A852" s="13" t="str">
        <x:v>1027</x:v>
      </x:c>
      <x:c r="B852" s="14" t="str"/>
      <x:c r="C852" s="14" t="str">
        <x:v>Lv.3</x:v>
      </x:c>
      <x:c r="D852" s="14" t="str">
        <x:v>李侑津醫師</x:v>
      </x:c>
      <x:c r="E852" s="6" t="str">
        <x:v>器械準備</x:v>
      </x:c>
      <x:c r="F852" s="6" t="str">
        <x:v>根管治療</x:v>
      </x:c>
      <x:c r="G852" s="19" t="str">
        <x:v>◎</x:v>
      </x:c>
      <x:c r="H852" s="17" t="str">
        <x:v>熟練</x:v>
      </x:c>
      <x:c r="I852" s="6" t="n">
        <x:v>31</x:v>
      </x:c>
    </x:row>
    <x:row r="853">
      <x:c r="A853" s="13" t="str">
        <x:v>1027</x:v>
      </x:c>
      <x:c r="B853" s="14" t="str"/>
      <x:c r="C853" s="14" t="str">
        <x:v>Lv.3</x:v>
      </x:c>
      <x:c r="D853" s="14" t="str">
        <x:v>李侑津醫師</x:v>
      </x:c>
      <x:c r="E853" s="6" t="str">
        <x:v>器械準備</x:v>
      </x:c>
      <x:c r="F853" s="6" t="str">
        <x:v>拔牙</x:v>
      </x:c>
      <x:c r="G853" s="19" t="str">
        <x:v>Ø</x:v>
      </x:c>
      <x:c r="H853" s="17" t="str">
        <x:v>尚未熟練</x:v>
      </x:c>
      <x:c r="I853" s="6" t="n">
        <x:v>32</x:v>
      </x:c>
    </x:row>
    <x:row r="854">
      <x:c r="A854" s="13" t="str">
        <x:v>1027</x:v>
      </x:c>
      <x:c r="B854" s="14" t="str"/>
      <x:c r="C854" s="14" t="str">
        <x:v>Lv.3</x:v>
      </x:c>
      <x:c r="D854" s="14" t="str">
        <x:v>李侑津醫師</x:v>
      </x:c>
      <x:c r="E854" s="6" t="str">
        <x:v>器械準備</x:v>
      </x:c>
      <x:c r="F854" s="6" t="str">
        <x:v>拆 crown/post</x:v>
      </x:c>
      <x:c r="G854" s="19" t="str">
        <x:v>◎</x:v>
      </x:c>
      <x:c r="H854" s="17" t="str">
        <x:v>熟練</x:v>
      </x:c>
      <x:c r="I854" s="6" t="n">
        <x:v>33</x:v>
      </x:c>
    </x:row>
    <x:row r="855">
      <x:c r="A855" s="13" t="str">
        <x:v>1027</x:v>
      </x:c>
      <x:c r="B855" s="14" t="str"/>
      <x:c r="C855" s="14" t="str">
        <x:v>Lv.3</x:v>
      </x:c>
      <x:c r="D855" s="14" t="str">
        <x:v>李侑津醫師</x:v>
      </x:c>
      <x:c r="E855" s="6" t="str">
        <x:v>自費</x:v>
      </x:c>
      <x:c r="F855" s="6" t="str">
        <x:v>固定假牙</x:v>
      </x:c>
      <x:c r="G855" s="19" t="str">
        <x:v>◎</x:v>
      </x:c>
      <x:c r="H855" s="17" t="str">
        <x:v>熟練</x:v>
      </x:c>
      <x:c r="I855" s="6" t="n">
        <x:v>34</x:v>
      </x:c>
    </x:row>
    <x:row r="856">
      <x:c r="A856" s="13" t="str">
        <x:v>1027</x:v>
      </x:c>
      <x:c r="B856" s="14" t="str"/>
      <x:c r="C856" s="14" t="str">
        <x:v>Lv.3</x:v>
      </x:c>
      <x:c r="D856" s="14" t="str">
        <x:v>李侑津醫師</x:v>
      </x:c>
      <x:c r="E856" s="6" t="str">
        <x:v>自費</x:v>
      </x:c>
      <x:c r="F856" s="6" t="str">
        <x:v>RPD</x:v>
      </x:c>
      <x:c r="G856" s="19" t="str">
        <x:v>Ø</x:v>
      </x:c>
      <x:c r="H856" s="17" t="str">
        <x:v>尚未熟練</x:v>
      </x:c>
      <x:c r="I856" s="6" t="n">
        <x:v>35</x:v>
      </x:c>
    </x:row>
    <x:row r="857">
      <x:c r="A857" s="13" t="str">
        <x:v>1027</x:v>
      </x:c>
      <x:c r="B857" s="14" t="str"/>
      <x:c r="C857" s="14" t="str">
        <x:v>Lv.3</x:v>
      </x:c>
      <x:c r="D857" s="14" t="str">
        <x:v>李侑津醫師</x:v>
      </x:c>
      <x:c r="E857" s="6" t="str">
        <x:v>自費</x:v>
      </x:c>
      <x:c r="F857" s="6" t="str">
        <x:v>噴砂美白</x:v>
      </x:c>
      <x:c r="G857" s="19" t="str">
        <x:v>※</x:v>
      </x:c>
      <x:c r="H857" s="17" t="str">
        <x:v>學習中</x:v>
      </x:c>
      <x:c r="I857" s="6" t="n">
        <x:v>36</x:v>
      </x:c>
    </x:row>
    <x:row r="858">
      <x:c r="A858" s="13" t="str">
        <x:v>1027</x:v>
      </x:c>
      <x:c r="B858" s="14" t="str"/>
      <x:c r="C858" s="14" t="str">
        <x:v>Lv.3</x:v>
      </x:c>
      <x:c r="D858" s="14" t="str">
        <x:v>李侑津醫師</x:v>
      </x:c>
      <x:c r="E858" s="6" t="str">
        <x:v>手術</x:v>
      </x:c>
      <x:c r="F858" s="6" t="str">
        <x:v>牙周手術</x:v>
      </x:c>
      <x:c r="G858" s="19" t="str">
        <x:v>Ø</x:v>
      </x:c>
      <x:c r="H858" s="17" t="str">
        <x:v>尚未熟練</x:v>
      </x:c>
      <x:c r="I858" s="6" t="n">
        <x:v>37</x:v>
      </x:c>
    </x:row>
    <x:row r="859">
      <x:c r="A859" s="13" t="str">
        <x:v>1027</x:v>
      </x:c>
      <x:c r="B859" s="14" t="str"/>
      <x:c r="C859" s="14" t="str">
        <x:v>Lv.3</x:v>
      </x:c>
      <x:c r="D859" s="14" t="str">
        <x:v>李侑津醫師</x:v>
      </x:c>
      <x:c r="E859" s="6" t="str">
        <x:v>手術</x:v>
      </x:c>
      <x:c r="F859" s="6" t="str">
        <x:v>顯微根管</x:v>
      </x:c>
      <x:c r="G859" s="19" t="str">
        <x:v>※</x:v>
      </x:c>
      <x:c r="H859" s="17" t="str">
        <x:v>學習中</x:v>
      </x:c>
      <x:c r="I859" s="6" t="n">
        <x:v>38</x:v>
      </x:c>
    </x:row>
    <x:row r="860">
      <x:c r="A860" s="13" t="str">
        <x:v>1027</x:v>
      </x:c>
      <x:c r="B860" s="14" t="str"/>
      <x:c r="C860" s="14" t="str">
        <x:v>Lv.3</x:v>
      </x:c>
      <x:c r="D860" s="14" t="str">
        <x:v>李侑津醫師</x:v>
      </x:c>
      <x:c r="E860" s="6" t="str">
        <x:v>手術</x:v>
      </x:c>
      <x:c r="F860" s="6" t="str">
        <x:v>植 牙</x:v>
      </x:c>
      <x:c r="G860" s="19" t="str">
        <x:v>Ø</x:v>
      </x:c>
      <x:c r="H860" s="17" t="str">
        <x:v>尚未熟練</x:v>
      </x:c>
      <x:c r="I860" s="6" t="n">
        <x:v>39</x:v>
      </x:c>
    </x:row>
    <x:row r="861">
      <x:c r="A861" s="13" t="str">
        <x:v>1027</x:v>
      </x:c>
      <x:c r="B861" s="14" t="str"/>
      <x:c r="C861" s="14" t="str">
        <x:v>Lv.3</x:v>
      </x:c>
      <x:c r="D861" s="14" t="str">
        <x:v>李侑津醫師</x:v>
      </x:c>
      <x:c r="E861" s="6" t="str"/>
      <x:c r="F861" s="6" t="str">
        <x:v>跟診順暢度</x:v>
      </x:c>
      <x:c r="G861" s="19" t="str">
        <x:v>Ø</x:v>
      </x:c>
      <x:c r="H861" s="17" t="str">
        <x:v>尚未熟練</x:v>
      </x:c>
      <x:c r="I861" s="6" t="n">
        <x:v>40</x:v>
      </x:c>
    </x:row>
    <x:row r="862">
      <x:c r="A862" s="13" t="str">
        <x:v>1027</x:v>
      </x:c>
      <x:c r="B862" s="14" t="str"/>
      <x:c r="C862" s="14" t="str">
        <x:v>Lv.3</x:v>
      </x:c>
      <x:c r="D862" s="14" t="str">
        <x:v>李侑津醫師</x:v>
      </x:c>
      <x:c r="E862" s="6" t="str"/>
      <x:c r="F862" s="6" t="str">
        <x:v>病歷紀錄</x:v>
      </x:c>
      <x:c r="G862" s="19" t="str">
        <x:v>◎</x:v>
      </x:c>
      <x:c r="H862" s="17" t="str">
        <x:v>熟練</x:v>
      </x:c>
      <x:c r="I862" s="6" t="n">
        <x:v>41</x:v>
      </x:c>
    </x:row>
    <x:row r="863">
      <x:c r="A863" s="13" t="str">
        <x:v>1027</x:v>
      </x:c>
      <x:c r="B863" s="14" t="str"/>
      <x:c r="C863" s="14" t="str">
        <x:v>Lv.3</x:v>
      </x:c>
      <x:c r="D863" s="14" t="str">
        <x:v>李侑津醫師</x:v>
      </x:c>
      <x:c r="E863" s="6" t="str"/>
      <x:c r="F863" s="6" t="str">
        <x:v>健保申報</x:v>
      </x:c>
      <x:c r="G863" s="19" t="str">
        <x:v>Ø</x:v>
      </x:c>
      <x:c r="H863" s="17" t="str">
        <x:v>尚未熟練</x:v>
      </x:c>
      <x:c r="I863" s="6" t="n">
        <x:v>42</x:v>
      </x:c>
    </x:row>
    <x:row r="864">
      <x:c r="A864" s="13" t="str">
        <x:v>1027</x:v>
      </x:c>
      <x:c r="B864" s="14" t="str"/>
      <x:c r="C864" s="14" t="str">
        <x:v>Lv.3</x:v>
      </x:c>
      <x:c r="D864" s="14" t="str">
        <x:v>李侑津醫師</x:v>
      </x:c>
      <x:c r="E864" s="6" t="str"/>
      <x:c r="F864" s="6" t="str">
        <x:v>X光片紀錄</x:v>
      </x:c>
      <x:c r="G864" s="19" t="str">
        <x:v>◎</x:v>
      </x:c>
      <x:c r="H864" s="17" t="str">
        <x:v>熟練</x:v>
      </x:c>
      <x:c r="I864" s="6" t="n">
        <x:v>43</x:v>
      </x:c>
    </x:row>
    <x:row r="865">
      <x:c r="A865" s="13" t="str">
        <x:v>1027</x:v>
      </x:c>
      <x:c r="B865" s="14" t="str"/>
      <x:c r="C865" s="14" t="str">
        <x:v>Lv.3</x:v>
      </x:c>
      <x:c r="D865" s="14" t="str">
        <x:v>李侑津醫師</x:v>
      </x:c>
      <x:c r="E865" s="6" t="str"/>
      <x:c r="F865" s="6" t="str">
        <x:v>拍PA</x:v>
      </x:c>
      <x:c r="G865" s="19" t="str">
        <x:v>◎</x:v>
      </x:c>
      <x:c r="H865" s="17" t="str">
        <x:v>熟練</x:v>
      </x:c>
      <x:c r="I865" s="6" t="n">
        <x:v>44</x:v>
      </x:c>
    </x:row>
    <x:row r="866">
      <x:c r="A866" s="13" t="str">
        <x:v>1027</x:v>
      </x:c>
      <x:c r="B866" s="14" t="str"/>
      <x:c r="C866" s="14" t="str">
        <x:v>Lv.3</x:v>
      </x:c>
      <x:c r="D866" s="14" t="str">
        <x:v>李侑津醫師</x:v>
      </x:c>
      <x:c r="E866" s="6" t="str"/>
      <x:c r="F866" s="6" t="str">
        <x:v>口掃機運用</x:v>
      </x:c>
      <x:c r="G866" s="19" t="str">
        <x:v>◎</x:v>
      </x:c>
      <x:c r="H866" s="17" t="str">
        <x:v>熟練</x:v>
      </x:c>
      <x:c r="I866" s="6" t="n">
        <x:v>45</x:v>
      </x:c>
    </x:row>
    <x:row r="867">
      <x:c r="A867" s="13" t="str">
        <x:v>1027</x:v>
      </x:c>
      <x:c r="B867" s="14" t="str"/>
      <x:c r="C867" s="14" t="str">
        <x:v>Lv.3</x:v>
      </x:c>
      <x:c r="D867" s="14" t="str">
        <x:v>廖立揚醫師</x:v>
      </x:c>
      <x:c r="E867" s="6" t="str"/>
      <x:c r="F867" s="6" t="str">
        <x:v>器械熟悉度</x:v>
      </x:c>
      <x:c r="G867" s="19" t="str">
        <x:v>Ø</x:v>
      </x:c>
      <x:c r="H867" s="17" t="str">
        <x:v>尚未熟練</x:v>
      </x:c>
      <x:c r="I867" s="6" t="n">
        <x:v>46</x:v>
      </x:c>
    </x:row>
    <x:row r="868">
      <x:c r="A868" s="13" t="str">
        <x:v>1027</x:v>
      </x:c>
      <x:c r="B868" s="14" t="str"/>
      <x:c r="C868" s="14" t="str">
        <x:v>Lv.3</x:v>
      </x:c>
      <x:c r="D868" s="14" t="str">
        <x:v>廖立揚醫師</x:v>
      </x:c>
      <x:c r="E868" s="6" t="str"/>
      <x:c r="F868" s="6" t="str">
        <x:v>跟診順暢度</x:v>
      </x:c>
      <x:c r="G868" s="19" t="str">
        <x:v>◎</x:v>
      </x:c>
      <x:c r="H868" s="17" t="str">
        <x:v>熟練</x:v>
      </x:c>
      <x:c r="I868" s="6" t="n">
        <x:v>47</x:v>
      </x:c>
    </x:row>
    <x:row r="869">
      <x:c r="A869" s="13" t="str">
        <x:v>1027</x:v>
      </x:c>
      <x:c r="B869" s="14" t="str"/>
      <x:c r="C869" s="14" t="str">
        <x:v>Lv.3</x:v>
      </x:c>
      <x:c r="D869" s="14" t="str">
        <x:v>廖立揚醫師</x:v>
      </x:c>
      <x:c r="E869" s="6" t="str"/>
      <x:c r="F869" s="6" t="str">
        <x:v>病歷紀錄</x:v>
      </x:c>
      <x:c r="G869" s="19" t="str">
        <x:v>◎</x:v>
      </x:c>
      <x:c r="H869" s="17" t="str">
        <x:v>熟練</x:v>
      </x:c>
      <x:c r="I869" s="6" t="n">
        <x:v>48</x:v>
      </x:c>
    </x:row>
    <x:row r="870">
      <x:c r="A870" s="13" t="str">
        <x:v>1027</x:v>
      </x:c>
      <x:c r="B870" s="14" t="str"/>
      <x:c r="C870" s="14" t="str">
        <x:v>Lv.3</x:v>
      </x:c>
      <x:c r="D870" s="14" t="str">
        <x:v>廖立揚醫師</x:v>
      </x:c>
      <x:c r="E870" s="6" t="str"/>
      <x:c r="F870" s="6" t="str">
        <x:v>健保申報(初診pano)</x:v>
      </x:c>
      <x:c r="G870" s="19" t="str">
        <x:v>Ø</x:v>
      </x:c>
      <x:c r="H870" s="17" t="str">
        <x:v>尚未熟練</x:v>
      </x:c>
      <x:c r="I870" s="6" t="n">
        <x:v>49</x:v>
      </x:c>
    </x:row>
    <x:row r="871">
      <x:c r="A871" s="13" t="str">
        <x:v>1027</x:v>
      </x:c>
      <x:c r="B871" s="14" t="str"/>
      <x:c r="C871" s="14" t="str">
        <x:v>Lv.3</x:v>
      </x:c>
      <x:c r="D871" s="14" t="str">
        <x:v>廖立揚醫師</x:v>
      </x:c>
      <x:c r="E871" s="6" t="str"/>
      <x:c r="F871" s="6" t="str">
        <x:v>X光片紀錄</x:v>
      </x:c>
      <x:c r="G871" s="19" t="str">
        <x:v>Ø</x:v>
      </x:c>
      <x:c r="H871" s="17" t="str">
        <x:v>尚未熟練</x:v>
      </x:c>
      <x:c r="I871" s="6" t="n">
        <x:v>50</x:v>
      </x:c>
    </x:row>
    <x:row r="872">
      <x:c r="A872" s="13" t="str">
        <x:v>1027</x:v>
      </x:c>
      <x:c r="B872" s="14" t="str"/>
      <x:c r="C872" s="14" t="str">
        <x:v>Lv.3</x:v>
      </x:c>
      <x:c r="D872" s="14" t="str">
        <x:v>廖立揚醫師</x:v>
      </x:c>
      <x:c r="E872" s="6" t="str"/>
      <x:c r="F872" s="6" t="str">
        <x:v>拍PANO、PA</x:v>
      </x:c>
      <x:c r="G872" s="19" t="str">
        <x:v>◎</x:v>
      </x:c>
      <x:c r="H872" s="17" t="str">
        <x:v>熟練</x:v>
      </x:c>
      <x:c r="I872" s="6" t="n">
        <x:v>51</x:v>
      </x:c>
    </x:row>
    <x:row r="873">
      <x:c r="A873" s="13" t="str">
        <x:v>1027</x:v>
      </x:c>
      <x:c r="B873" s="14" t="str"/>
      <x:c r="C873" s="14" t="str">
        <x:v>Lv.3</x:v>
      </x:c>
      <x:c r="D873" s="14" t="str">
        <x:v>廖立揚醫師</x:v>
      </x:c>
      <x:c r="E873" s="6" t="str"/>
      <x:c r="F873" s="6" t="str">
        <x:v>CT照</x:v>
      </x:c>
      <x:c r="G873" s="19" t="str">
        <x:v>◎</x:v>
      </x:c>
      <x:c r="H873" s="17" t="str">
        <x:v>熟練</x:v>
      </x:c>
      <x:c r="I873" s="6" t="n">
        <x:v>52</x:v>
      </x:c>
    </x:row>
    <x:row r="874">
      <x:c r="A874" s="13" t="str">
        <x:v>1027</x:v>
      </x:c>
      <x:c r="B874" s="14" t="str"/>
      <x:c r="C874" s="14" t="str">
        <x:v>Lv.3</x:v>
      </x:c>
      <x:c r="D874" s="14" t="str">
        <x:v>廖立揚醫師</x:v>
      </x:c>
      <x:c r="E874" s="6" t="str"/>
      <x:c r="F874" s="6" t="str">
        <x:v>側頭顱照</x:v>
      </x:c>
      <x:c r="G874" s="19" t="str">
        <x:v>Ø</x:v>
      </x:c>
      <x:c r="H874" s="17" t="str">
        <x:v>尚未熟練</x:v>
      </x:c>
      <x:c r="I874" s="6" t="n">
        <x:v>53</x:v>
      </x:c>
    </x:row>
    <x:row r="875">
      <x:c r="A875" s="13" t="str">
        <x:v>1027</x:v>
      </x:c>
      <x:c r="B875" s="14" t="str"/>
      <x:c r="C875" s="14" t="str">
        <x:v>Lv.3</x:v>
      </x:c>
      <x:c r="D875" s="14" t="str">
        <x:v>廖立揚醫師</x:v>
      </x:c>
      <x:c r="E875" s="6" t="str"/>
      <x:c r="F875" s="6" t="str">
        <x:v>口掃機運用</x:v>
      </x:c>
      <x:c r="G875" s="19" t="str">
        <x:v>◎</x:v>
      </x:c>
      <x:c r="H875" s="17" t="str">
        <x:v>熟練</x:v>
      </x:c>
      <x:c r="I875" s="6" t="n">
        <x:v>54</x:v>
      </x:c>
    </x:row>
    <x:row r="876">
      <x:c r="A876" s="13" t="str">
        <x:v>1027</x:v>
      </x:c>
      <x:c r="B876" s="14" t="str"/>
      <x:c r="C876" s="14" t="str">
        <x:v>Lv.3</x:v>
      </x:c>
      <x:c r="D876" s="14" t="str">
        <x:v>楊小瑩醫師</x:v>
      </x:c>
      <x:c r="E876" s="6" t="str">
        <x:v>器械準備</x:v>
      </x:c>
      <x:c r="F876" s="6" t="str">
        <x:v>洗牙</x:v>
      </x:c>
      <x:c r="G876" s="19" t="str">
        <x:v>◎</x:v>
      </x:c>
      <x:c r="H876" s="17" t="str">
        <x:v>熟練</x:v>
      </x:c>
      <x:c r="I876" s="6" t="n">
        <x:v>55</x:v>
      </x:c>
    </x:row>
    <x:row r="877">
      <x:c r="A877" s="13" t="str">
        <x:v>1027</x:v>
      </x:c>
      <x:c r="B877" s="14" t="str"/>
      <x:c r="C877" s="14" t="str">
        <x:v>Lv.3</x:v>
      </x:c>
      <x:c r="D877" s="14" t="str">
        <x:v>楊小瑩醫師</x:v>
      </x:c>
      <x:c r="E877" s="6" t="str">
        <x:v>器械準備</x:v>
      </x:c>
      <x:c r="F877" s="6" t="str">
        <x:v>補牙</x:v>
      </x:c>
      <x:c r="G877" s="19" t="str">
        <x:v>◎</x:v>
      </x:c>
      <x:c r="H877" s="17" t="str">
        <x:v>熟練</x:v>
      </x:c>
      <x:c r="I877" s="6" t="n">
        <x:v>56</x:v>
      </x:c>
    </x:row>
    <x:row r="878">
      <x:c r="A878" s="13" t="str">
        <x:v>1027</x:v>
      </x:c>
      <x:c r="B878" s="14" t="str"/>
      <x:c r="C878" s="14" t="str">
        <x:v>Lv.3</x:v>
      </x:c>
      <x:c r="D878" s="14" t="str">
        <x:v>楊小瑩醫師</x:v>
      </x:c>
      <x:c r="E878" s="6" t="str">
        <x:v>器械準備</x:v>
      </x:c>
      <x:c r="F878" s="6" t="str">
        <x:v>根管治療</x:v>
      </x:c>
      <x:c r="G878" s="19" t="str">
        <x:v>◎</x:v>
      </x:c>
      <x:c r="H878" s="17" t="str">
        <x:v>熟練</x:v>
      </x:c>
      <x:c r="I878" s="6" t="n">
        <x:v>57</x:v>
      </x:c>
    </x:row>
    <x:row r="879">
      <x:c r="A879" s="13" t="str">
        <x:v>1027</x:v>
      </x:c>
      <x:c r="B879" s="14" t="str"/>
      <x:c r="C879" s="14" t="str">
        <x:v>Lv.3</x:v>
      </x:c>
      <x:c r="D879" s="14" t="str">
        <x:v>楊小瑩醫師</x:v>
      </x:c>
      <x:c r="E879" s="6" t="str">
        <x:v>器械準備</x:v>
      </x:c>
      <x:c r="F879" s="6" t="str">
        <x:v>拔牙</x:v>
      </x:c>
      <x:c r="G879" s="19" t="str">
        <x:v>Ø</x:v>
      </x:c>
      <x:c r="H879" s="17" t="str">
        <x:v>尚未熟練</x:v>
      </x:c>
      <x:c r="I879" s="6" t="n">
        <x:v>58</x:v>
      </x:c>
    </x:row>
    <x:row r="880">
      <x:c r="A880" s="13" t="str">
        <x:v>1027</x:v>
      </x:c>
      <x:c r="B880" s="14" t="str"/>
      <x:c r="C880" s="14" t="str">
        <x:v>Lv.3</x:v>
      </x:c>
      <x:c r="D880" s="14" t="str">
        <x:v>楊小瑩醫師</x:v>
      </x:c>
      <x:c r="E880" s="6" t="str">
        <x:v>器械準備</x:v>
      </x:c>
      <x:c r="F880" s="6" t="str">
        <x:v>拆 crown/post</x:v>
      </x:c>
      <x:c r="G880" s="19" t="str">
        <x:v>Ø</x:v>
      </x:c>
      <x:c r="H880" s="17" t="str">
        <x:v>尚未熟練</x:v>
      </x:c>
      <x:c r="I880" s="6" t="n">
        <x:v>59</x:v>
      </x:c>
    </x:row>
    <x:row r="881">
      <x:c r="A881" s="13" t="str">
        <x:v>1027</x:v>
      </x:c>
      <x:c r="B881" s="14" t="str"/>
      <x:c r="C881" s="14" t="str">
        <x:v>Lv.3</x:v>
      </x:c>
      <x:c r="D881" s="14" t="str">
        <x:v>楊小瑩醫師</x:v>
      </x:c>
      <x:c r="E881" s="6" t="str">
        <x:v>自費</x:v>
      </x:c>
      <x:c r="F881" s="6" t="str">
        <x:v>固定假牙</x:v>
      </x:c>
      <x:c r="G881" s="19" t="str">
        <x:v>Ø</x:v>
      </x:c>
      <x:c r="H881" s="17" t="str">
        <x:v>尚未熟練</x:v>
      </x:c>
      <x:c r="I881" s="6" t="n">
        <x:v>60</x:v>
      </x:c>
    </x:row>
    <x:row r="882">
      <x:c r="A882" s="13" t="str">
        <x:v>1027</x:v>
      </x:c>
      <x:c r="B882" s="14" t="str"/>
      <x:c r="C882" s="14" t="str">
        <x:v>Lv.3</x:v>
      </x:c>
      <x:c r="D882" s="14" t="str">
        <x:v>楊小瑩醫師</x:v>
      </x:c>
      <x:c r="E882" s="6" t="str">
        <x:v>自費</x:v>
      </x:c>
      <x:c r="F882" s="6" t="str">
        <x:v>RPD</x:v>
      </x:c>
      <x:c r="G882" s="19" t="str">
        <x:v>※</x:v>
      </x:c>
      <x:c r="H882" s="17" t="str">
        <x:v>學習中</x:v>
      </x:c>
      <x:c r="I882" s="6" t="n">
        <x:v>61</x:v>
      </x:c>
    </x:row>
    <x:row r="883">
      <x:c r="A883" s="13" t="str">
        <x:v>1027</x:v>
      </x:c>
      <x:c r="B883" s="14" t="str"/>
      <x:c r="C883" s="14" t="str">
        <x:v>Lv.3</x:v>
      </x:c>
      <x:c r="D883" s="14" t="str">
        <x:v>楊小瑩醫師</x:v>
      </x:c>
      <x:c r="E883" s="6" t="str">
        <x:v>自費</x:v>
      </x:c>
      <x:c r="F883" s="6" t="str">
        <x:v>噴砂美白</x:v>
      </x:c>
      <x:c r="G883" s="19" t="str">
        <x:v>※</x:v>
      </x:c>
      <x:c r="H883" s="17" t="str">
        <x:v>學習中</x:v>
      </x:c>
      <x:c r="I883" s="6" t="n">
        <x:v>62</x:v>
      </x:c>
    </x:row>
    <x:row r="884">
      <x:c r="A884" s="13" t="str">
        <x:v>1027</x:v>
      </x:c>
      <x:c r="B884" s="14" t="str"/>
      <x:c r="C884" s="14" t="str">
        <x:v>Lv.3</x:v>
      </x:c>
      <x:c r="D884" s="14" t="str">
        <x:v>楊小瑩醫師</x:v>
      </x:c>
      <x:c r="E884" s="6" t="str"/>
      <x:c r="F884" s="6" t="str">
        <x:v>跟診順暢度</x:v>
      </x:c>
      <x:c r="G884" s="19" t="str">
        <x:v>◎</x:v>
      </x:c>
      <x:c r="H884" s="17" t="str">
        <x:v>熟練</x:v>
      </x:c>
      <x:c r="I884" s="6" t="n">
        <x:v>63</x:v>
      </x:c>
    </x:row>
    <x:row r="885">
      <x:c r="A885" s="13" t="str">
        <x:v>1027</x:v>
      </x:c>
      <x:c r="B885" s="14" t="str"/>
      <x:c r="C885" s="14" t="str">
        <x:v>Lv.3</x:v>
      </x:c>
      <x:c r="D885" s="14" t="str">
        <x:v>楊小瑩醫師</x:v>
      </x:c>
      <x:c r="E885" s="6" t="str"/>
      <x:c r="F885" s="6" t="str">
        <x:v>病歷紀錄</x:v>
      </x:c>
      <x:c r="G885" s="19" t="str">
        <x:v>Ø</x:v>
      </x:c>
      <x:c r="H885" s="17" t="str">
        <x:v>尚未熟練</x:v>
      </x:c>
      <x:c r="I885" s="6" t="n">
        <x:v>64</x:v>
      </x:c>
    </x:row>
    <x:row r="886">
      <x:c r="A886" s="13" t="str">
        <x:v>1027</x:v>
      </x:c>
      <x:c r="B886" s="14" t="str"/>
      <x:c r="C886" s="14" t="str">
        <x:v>Lv.3</x:v>
      </x:c>
      <x:c r="D886" s="14" t="str">
        <x:v>楊小瑩醫師</x:v>
      </x:c>
      <x:c r="E886" s="6" t="str"/>
      <x:c r="F886" s="6" t="str">
        <x:v>健保申報</x:v>
      </x:c>
      <x:c r="G886" s="19" t="str">
        <x:v>Ø</x:v>
      </x:c>
      <x:c r="H886" s="17" t="str">
        <x:v>尚未熟練</x:v>
      </x:c>
      <x:c r="I886" s="6" t="n">
        <x:v>65</x:v>
      </x:c>
    </x:row>
    <x:row r="887">
      <x:c r="A887" s="13" t="str">
        <x:v>1027</x:v>
      </x:c>
      <x:c r="B887" s="14" t="str"/>
      <x:c r="C887" s="14" t="str">
        <x:v>Lv.3</x:v>
      </x:c>
      <x:c r="D887" s="14" t="str">
        <x:v>楊小瑩醫師</x:v>
      </x:c>
      <x:c r="E887" s="6" t="str"/>
      <x:c r="F887" s="6" t="str">
        <x:v>X光片紀錄</x:v>
      </x:c>
      <x:c r="G887" s="19" t="str">
        <x:v>Ø</x:v>
      </x:c>
      <x:c r="H887" s="17" t="str">
        <x:v>尚未熟練</x:v>
      </x:c>
      <x:c r="I887" s="6" t="n">
        <x:v>66</x:v>
      </x:c>
    </x:row>
    <x:row r="888">
      <x:c r="A888" s="13" t="str">
        <x:v>1027</x:v>
      </x:c>
      <x:c r="B888" s="14" t="str"/>
      <x:c r="C888" s="14" t="str">
        <x:v>Lv.3</x:v>
      </x:c>
      <x:c r="D888" s="14" t="str">
        <x:v>楊小瑩醫師</x:v>
      </x:c>
      <x:c r="E888" s="6" t="str"/>
      <x:c r="F888" s="6" t="str">
        <x:v>拍PA</x:v>
      </x:c>
      <x:c r="G888" s="19" t="str">
        <x:v>◎</x:v>
      </x:c>
      <x:c r="H888" s="17" t="str">
        <x:v>熟練</x:v>
      </x:c>
      <x:c r="I888" s="6" t="n">
        <x:v>67</x:v>
      </x:c>
    </x:row>
    <x:row r="889">
      <x:c r="A889" s="13" t="str">
        <x:v>1027</x:v>
      </x:c>
      <x:c r="B889" s="14" t="str"/>
      <x:c r="C889" s="14" t="str">
        <x:v>Lv.3</x:v>
      </x:c>
      <x:c r="D889" s="14" t="str">
        <x:v>王俊偉醫師</x:v>
      </x:c>
      <x:c r="E889" s="6" t="str"/>
      <x:c r="F889" s="6" t="str">
        <x:v>器械熟悉度</x:v>
      </x:c>
      <x:c r="G889" s="19" t="str">
        <x:v>◎</x:v>
      </x:c>
      <x:c r="H889" s="17" t="str">
        <x:v>熟練</x:v>
      </x:c>
      <x:c r="I889" s="6" t="n">
        <x:v>68</x:v>
      </x:c>
    </x:row>
    <x:row r="890">
      <x:c r="A890" s="13" t="str">
        <x:v>1027</x:v>
      </x:c>
      <x:c r="B890" s="14" t="str"/>
      <x:c r="C890" s="14" t="str">
        <x:v>Lv.3</x:v>
      </x:c>
      <x:c r="D890" s="14" t="str">
        <x:v>王俊偉醫師</x:v>
      </x:c>
      <x:c r="E890" s="6" t="str"/>
      <x:c r="F890" s="6" t="str">
        <x:v>跟診順暢度</x:v>
      </x:c>
      <x:c r="G890" s="19" t="str">
        <x:v>◎</x:v>
      </x:c>
      <x:c r="H890" s="17" t="str">
        <x:v>熟練</x:v>
      </x:c>
      <x:c r="I890" s="6" t="n">
        <x:v>69</x:v>
      </x:c>
    </x:row>
    <x:row r="891">
      <x:c r="A891" s="13" t="str">
        <x:v>1027</x:v>
      </x:c>
      <x:c r="B891" s="14" t="str"/>
      <x:c r="C891" s="14" t="str">
        <x:v>Lv.3</x:v>
      </x:c>
      <x:c r="D891" s="14" t="str">
        <x:v>王俊偉醫師</x:v>
      </x:c>
      <x:c r="E891" s="6" t="str"/>
      <x:c r="F891" s="6" t="str">
        <x:v>病歷紀錄</x:v>
      </x:c>
      <x:c r="G891" s="19" t="str">
        <x:v>◎</x:v>
      </x:c>
      <x:c r="H891" s="17" t="str">
        <x:v>熟練</x:v>
      </x:c>
      <x:c r="I891" s="6" t="n">
        <x:v>70</x:v>
      </x:c>
    </x:row>
    <x:row r="892">
      <x:c r="A892" s="13" t="str">
        <x:v>1027</x:v>
      </x:c>
      <x:c r="B892" s="14" t="str"/>
      <x:c r="C892" s="14" t="str">
        <x:v>Lv.3</x:v>
      </x:c>
      <x:c r="D892" s="14" t="str">
        <x:v>王俊偉醫師</x:v>
      </x:c>
      <x:c r="E892" s="6" t="str"/>
      <x:c r="F892" s="6" t="str">
        <x:v>健保申報</x:v>
      </x:c>
      <x:c r="G892" s="19" t="str">
        <x:v>◎</x:v>
      </x:c>
      <x:c r="H892" s="17" t="str">
        <x:v>熟練</x:v>
      </x:c>
      <x:c r="I892" s="6" t="n">
        <x:v>71</x:v>
      </x:c>
    </x:row>
    <x:row r="893">
      <x:c r="A893" s="13" t="str">
        <x:v>1027</x:v>
      </x:c>
      <x:c r="B893" s="14" t="str"/>
      <x:c r="C893" s="14" t="str">
        <x:v>Lv.3</x:v>
      </x:c>
      <x:c r="D893" s="14" t="str">
        <x:v>王俊偉醫師</x:v>
      </x:c>
      <x:c r="E893" s="6" t="str"/>
      <x:c r="F893" s="6" t="str">
        <x:v>X光片紀錄</x:v>
      </x:c>
      <x:c r="G893" s="19" t="str">
        <x:v>◎</x:v>
      </x:c>
      <x:c r="H893" s="17" t="str">
        <x:v>熟練</x:v>
      </x:c>
      <x:c r="I893" s="6" t="n">
        <x:v>72</x:v>
      </x:c>
    </x:row>
    <x:row r="894">
      <x:c r="A894" s="13" t="str">
        <x:v>1027</x:v>
      </x:c>
      <x:c r="B894" s="14" t="str"/>
      <x:c r="C894" s="14" t="str">
        <x:v>Lv.3</x:v>
      </x:c>
      <x:c r="D894" s="14" t="str">
        <x:v>王俊偉醫師</x:v>
      </x:c>
      <x:c r="E894" s="6" t="str"/>
      <x:c r="F894" s="6" t="str">
        <x:v>拍PANO、PA</x:v>
      </x:c>
      <x:c r="G894" s="19" t="str">
        <x:v>◎</x:v>
      </x:c>
      <x:c r="H894" s="17" t="str">
        <x:v>熟練</x:v>
      </x:c>
      <x:c r="I894" s="6" t="n">
        <x:v>73</x:v>
      </x:c>
    </x:row>
    <x:row r="895">
      <x:c r="A895" s="13" t="str">
        <x:v>1027</x:v>
      </x:c>
      <x:c r="B895" s="14" t="str"/>
      <x:c r="C895" s="14" t="str">
        <x:v>Lv.3</x:v>
      </x:c>
      <x:c r="D895" s="14" t="str">
        <x:v>王俊偉醫師</x:v>
      </x:c>
      <x:c r="E895" s="6" t="str"/>
      <x:c r="F895" s="6" t="str">
        <x:v>CT照</x:v>
      </x:c>
      <x:c r="G895" s="19" t="str">
        <x:v>◎</x:v>
      </x:c>
      <x:c r="H895" s="17" t="str">
        <x:v>熟練</x:v>
      </x:c>
      <x:c r="I895" s="6" t="n">
        <x:v>74</x:v>
      </x:c>
    </x:row>
    <x:row r="896">
      <x:c r="A896" s="13" t="str">
        <x:v>1027</x:v>
      </x:c>
      <x:c r="B896" s="14" t="str"/>
      <x:c r="C896" s="14" t="str">
        <x:v>Lv.3</x:v>
      </x:c>
      <x:c r="D896" s="14" t="str">
        <x:v>王俊偉醫師</x:v>
      </x:c>
      <x:c r="E896" s="6" t="str"/>
      <x:c r="F896" s="6" t="str">
        <x:v>側頭顱照</x:v>
      </x:c>
      <x:c r="G896" s="19" t="str">
        <x:v>Ø</x:v>
      </x:c>
      <x:c r="H896" s="17" t="str">
        <x:v>尚未熟練</x:v>
      </x:c>
      <x:c r="I896" s="6" t="n">
        <x:v>75</x:v>
      </x:c>
    </x:row>
    <x:row r="897">
      <x:c r="A897" s="13" t="str">
        <x:v>1027</x:v>
      </x:c>
      <x:c r="B897" s="14" t="str"/>
      <x:c r="C897" s="14" t="str">
        <x:v>Lv.3</x:v>
      </x:c>
      <x:c r="D897" s="14" t="str">
        <x:v>王俊偉醫師</x:v>
      </x:c>
      <x:c r="E897" s="6" t="str"/>
      <x:c r="F897" s="6" t="str">
        <x:v>口掃機運用</x:v>
      </x:c>
      <x:c r="G897" s="19" t="str">
        <x:v>◎</x:v>
      </x:c>
      <x:c r="H897" s="17" t="str">
        <x:v>熟練</x:v>
      </x:c>
      <x:c r="I897" s="6" t="n">
        <x:v>76</x:v>
      </x:c>
    </x:row>
    <x:row r="898">
      <x:c r="A898" s="13" t="str">
        <x:v>1027</x:v>
      </x:c>
      <x:c r="B898" s="14" t="str"/>
      <x:c r="C898" s="14" t="str">
        <x:v>Lv.3</x:v>
      </x:c>
      <x:c r="D898" s="14" t="str">
        <x:v>許馨文醫師</x:v>
      </x:c>
      <x:c r="E898" s="6" t="str"/>
      <x:c r="F898" s="6" t="str">
        <x:v>器械熟悉度</x:v>
      </x:c>
      <x:c r="G898" s="19" t="str">
        <x:v>◎</x:v>
      </x:c>
      <x:c r="H898" s="17" t="str">
        <x:v>熟練</x:v>
      </x:c>
      <x:c r="I898" s="6" t="n">
        <x:v>77</x:v>
      </x:c>
    </x:row>
    <x:row r="899">
      <x:c r="A899" s="13" t="str">
        <x:v>1027</x:v>
      </x:c>
      <x:c r="B899" s="14" t="str"/>
      <x:c r="C899" s="14" t="str">
        <x:v>Lv.3</x:v>
      </x:c>
      <x:c r="D899" s="14" t="str">
        <x:v>許馨文醫師</x:v>
      </x:c>
      <x:c r="E899" s="6" t="str"/>
      <x:c r="F899" s="6" t="str">
        <x:v>吸口水技巧</x:v>
      </x:c>
      <x:c r="G899" s="19" t="str">
        <x:v>◎</x:v>
      </x:c>
      <x:c r="H899" s="17" t="str">
        <x:v>熟練</x:v>
      </x:c>
      <x:c r="I899" s="6" t="n">
        <x:v>78</x:v>
      </x:c>
    </x:row>
    <x:row r="900">
      <x:c r="A900" s="13" t="str">
        <x:v>1027</x:v>
      </x:c>
      <x:c r="B900" s="14" t="str"/>
      <x:c r="C900" s="14" t="str">
        <x:v>Lv.3</x:v>
      </x:c>
      <x:c r="D900" s="14" t="str">
        <x:v>許馨文醫師</x:v>
      </x:c>
      <x:c r="E900" s="6" t="str"/>
      <x:c r="F900" s="6" t="str">
        <x:v>病歷紀錄</x:v>
      </x:c>
      <x:c r="G900" s="19" t="str">
        <x:v>◎</x:v>
      </x:c>
      <x:c r="H900" s="17" t="str">
        <x:v>熟練</x:v>
      </x:c>
      <x:c r="I900" s="6" t="n">
        <x:v>79</x:v>
      </x:c>
    </x:row>
    <x:row r="901">
      <x:c r="A901" s="13" t="str">
        <x:v>1027</x:v>
      </x:c>
      <x:c r="B901" s="14" t="str"/>
      <x:c r="C901" s="14" t="str">
        <x:v>Lv.3</x:v>
      </x:c>
      <x:c r="D901" s="14" t="str">
        <x:v>許馨文醫師</x:v>
      </x:c>
      <x:c r="E901" s="6" t="str"/>
      <x:c r="F901" s="6" t="str">
        <x:v>健保申報</x:v>
      </x:c>
      <x:c r="G901" s="19" t="str">
        <x:v>◎</x:v>
      </x:c>
      <x:c r="H901" s="17" t="str">
        <x:v>熟練</x:v>
      </x:c>
      <x:c r="I901" s="6" t="n">
        <x:v>80</x:v>
      </x:c>
    </x:row>
    <x:row r="902">
      <x:c r="A902" s="13" t="str">
        <x:v>1027</x:v>
      </x:c>
      <x:c r="B902" s="14" t="str"/>
      <x:c r="C902" s="14" t="str">
        <x:v>Lv.3</x:v>
      </x:c>
      <x:c r="D902" s="14" t="str">
        <x:v>許馨文醫師</x:v>
      </x:c>
      <x:c r="E902" s="6" t="str"/>
      <x:c r="F902" s="6" t="str">
        <x:v>X光片紀錄</x:v>
      </x:c>
      <x:c r="G902" s="19" t="str">
        <x:v>◎</x:v>
      </x:c>
      <x:c r="H902" s="17" t="str">
        <x:v>熟練</x:v>
      </x:c>
      <x:c r="I902" s="6" t="n">
        <x:v>81</x:v>
      </x:c>
    </x:row>
    <x:row r="903">
      <x:c r="A903" s="13" t="str">
        <x:v>1027</x:v>
      </x:c>
      <x:c r="B903" s="14" t="str"/>
      <x:c r="C903" s="14" t="str">
        <x:v>Lv.3</x:v>
      </x:c>
      <x:c r="D903" s="14" t="str">
        <x:v>許馨文醫師</x:v>
      </x:c>
      <x:c r="E903" s="6" t="str"/>
      <x:c r="F903" s="6" t="str">
        <x:v>拍PANO、PA</x:v>
      </x:c>
      <x:c r="G903" s="19" t="str">
        <x:v>◎</x:v>
      </x:c>
      <x:c r="H903" s="17" t="str">
        <x:v>熟練</x:v>
      </x:c>
      <x:c r="I903" s="6" t="n">
        <x:v>82</x:v>
      </x:c>
    </x:row>
    <x:row r="904">
      <x:c r="A904" s="13" t="str">
        <x:v>1027</x:v>
      </x:c>
      <x:c r="B904" s="14" t="str"/>
      <x:c r="C904" s="14" t="str">
        <x:v>Lv.3</x:v>
      </x:c>
      <x:c r="D904" s="14" t="str">
        <x:v>林晏妤醫師</x:v>
      </x:c>
      <x:c r="E904" s="6" t="str"/>
      <x:c r="F904" s="6" t="str">
        <x:v>器械熟悉度</x:v>
      </x:c>
      <x:c r="G904" s="19" t="str">
        <x:v>◎</x:v>
      </x:c>
      <x:c r="H904" s="17" t="str">
        <x:v>熟練</x:v>
      </x:c>
      <x:c r="I904" s="6" t="n">
        <x:v>83</x:v>
      </x:c>
    </x:row>
    <x:row r="905">
      <x:c r="A905" s="13" t="str">
        <x:v>1027</x:v>
      </x:c>
      <x:c r="B905" s="14" t="str"/>
      <x:c r="C905" s="14" t="str">
        <x:v>Lv.3</x:v>
      </x:c>
      <x:c r="D905" s="14" t="str">
        <x:v>林晏妤醫師</x:v>
      </x:c>
      <x:c r="E905" s="6" t="str"/>
      <x:c r="F905" s="6" t="str">
        <x:v>跟診順暢度</x:v>
      </x:c>
      <x:c r="G905" s="19" t="str">
        <x:v>◎</x:v>
      </x:c>
      <x:c r="H905" s="17" t="str">
        <x:v>熟練</x:v>
      </x:c>
      <x:c r="I905" s="6" t="n">
        <x:v>84</x:v>
      </x:c>
    </x:row>
    <x:row r="906">
      <x:c r="A906" s="13" t="str">
        <x:v>1027</x:v>
      </x:c>
      <x:c r="B906" s="14" t="str"/>
      <x:c r="C906" s="14" t="str">
        <x:v>Lv.3</x:v>
      </x:c>
      <x:c r="D906" s="14" t="str">
        <x:v>林晏妤醫師</x:v>
      </x:c>
      <x:c r="E906" s="6" t="str"/>
      <x:c r="F906" s="6" t="str">
        <x:v>病歷紀錄</x:v>
      </x:c>
      <x:c r="G906" s="19" t="str">
        <x:v>◎</x:v>
      </x:c>
      <x:c r="H906" s="17" t="str">
        <x:v>熟練</x:v>
      </x:c>
      <x:c r="I906" s="6" t="n">
        <x:v>85</x:v>
      </x:c>
    </x:row>
    <x:row r="907">
      <x:c r="A907" s="13" t="str">
        <x:v>1027</x:v>
      </x:c>
      <x:c r="B907" s="14" t="str"/>
      <x:c r="C907" s="14" t="str">
        <x:v>Lv.3</x:v>
      </x:c>
      <x:c r="D907" s="14" t="str">
        <x:v>林晏妤醫師</x:v>
      </x:c>
      <x:c r="E907" s="6" t="str"/>
      <x:c r="F907" s="6" t="str">
        <x:v>X光片紀錄</x:v>
      </x:c>
      <x:c r="G907" s="19" t="str">
        <x:v>◎</x:v>
      </x:c>
      <x:c r="H907" s="17" t="str">
        <x:v>熟練</x:v>
      </x:c>
      <x:c r="I907" s="6" t="n">
        <x:v>86</x:v>
      </x:c>
    </x:row>
    <x:row r="908">
      <x:c r="A908" s="13" t="str">
        <x:v>1027</x:v>
      </x:c>
      <x:c r="B908" s="14" t="str"/>
      <x:c r="C908" s="14" t="str">
        <x:v>Lv.3</x:v>
      </x:c>
      <x:c r="D908" s="14" t="str">
        <x:v>林晏妤醫師</x:v>
      </x:c>
      <x:c r="E908" s="6" t="str"/>
      <x:c r="F908" s="6" t="str">
        <x:v>手持X光機</x:v>
      </x:c>
      <x:c r="G908" s="19" t="str">
        <x:v>◎</x:v>
      </x:c>
      <x:c r="H908" s="17" t="str">
        <x:v>熟練</x:v>
      </x:c>
      <x:c r="I908" s="6" t="n">
        <x:v>87</x:v>
      </x:c>
    </x:row>
    <x:row r="909">
      <x:c r="A909" s="13" t="str">
        <x:v>1027</x:v>
      </x:c>
      <x:c r="B909" s="14" t="str"/>
      <x:c r="C909" s="14" t="str">
        <x:v>Lv.3</x:v>
      </x:c>
      <x:c r="D909" s="14" t="str">
        <x:v>林晏妤醫師</x:v>
      </x:c>
      <x:c r="E909" s="6" t="str"/>
      <x:c r="F909" s="6" t="str">
        <x:v>健保申報</x:v>
      </x:c>
      <x:c r="G909" s="19" t="str">
        <x:v>Ø</x:v>
      </x:c>
      <x:c r="H909" s="17" t="str">
        <x:v>尚未熟練</x:v>
      </x:c>
      <x:c r="I909" s="6" t="n">
        <x:v>88</x:v>
      </x:c>
    </x:row>
    <x:row r="910">
      <x:c r="A910" s="13" t="str">
        <x:v>1027</x:v>
      </x:c>
      <x:c r="B910" s="14" t="str"/>
      <x:c r="C910" s="14" t="str">
        <x:v>Lv.3</x:v>
      </x:c>
      <x:c r="D910" s="14" t="str">
        <x:v>林晏妤醫師</x:v>
      </x:c>
      <x:c r="E910" s="6" t="str"/>
      <x:c r="F910" s="6" t="str">
        <x:v>舒眠手術</x:v>
      </x:c>
      <x:c r="G910" s="19" t="str">
        <x:v>※</x:v>
      </x:c>
      <x:c r="H910" s="17" t="str">
        <x:v>學習中</x:v>
      </x:c>
      <x:c r="I910" s="6" t="n">
        <x:v>89</x:v>
      </x:c>
    </x:row>
    <x:row r="911">
      <x:c r="A911" s="13" t="str">
        <x:v>1027</x:v>
      </x:c>
      <x:c r="B911" s="14" t="str"/>
      <x:c r="C911" s="14" t="str">
        <x:v>Lv.3</x:v>
      </x:c>
      <x:c r="D911" s="14" t="str">
        <x:v>謝耀慶醫師</x:v>
      </x:c>
      <x:c r="E911" s="6" t="str">
        <x:v>器械準備</x:v>
      </x:c>
      <x:c r="F911" s="6" t="str">
        <x:v>洗牙</x:v>
      </x:c>
      <x:c r="G911" s="19" t="str">
        <x:v>◎</x:v>
      </x:c>
      <x:c r="H911" s="17" t="str">
        <x:v>熟練</x:v>
      </x:c>
      <x:c r="I911" s="6" t="n">
        <x:v>90</x:v>
      </x:c>
    </x:row>
    <x:row r="912">
      <x:c r="A912" s="13" t="str">
        <x:v>1027</x:v>
      </x:c>
      <x:c r="B912" s="14" t="str"/>
      <x:c r="C912" s="14" t="str">
        <x:v>Lv.3</x:v>
      </x:c>
      <x:c r="D912" s="14" t="str">
        <x:v>謝耀慶醫師</x:v>
      </x:c>
      <x:c r="E912" s="6" t="str">
        <x:v>器械準備</x:v>
      </x:c>
      <x:c r="F912" s="6" t="str">
        <x:v>補牙</x:v>
      </x:c>
      <x:c r="G912" s="19" t="str">
        <x:v>◎</x:v>
      </x:c>
      <x:c r="H912" s="17" t="str">
        <x:v>熟練</x:v>
      </x:c>
      <x:c r="I912" s="6" t="n">
        <x:v>91</x:v>
      </x:c>
    </x:row>
    <x:row r="913">
      <x:c r="A913" s="13" t="str">
        <x:v>1027</x:v>
      </x:c>
      <x:c r="B913" s="14" t="str"/>
      <x:c r="C913" s="14" t="str">
        <x:v>Lv.3</x:v>
      </x:c>
      <x:c r="D913" s="14" t="str">
        <x:v>謝耀慶醫師</x:v>
      </x:c>
      <x:c r="E913" s="6" t="str">
        <x:v>器械準備</x:v>
      </x:c>
      <x:c r="F913" s="6" t="str">
        <x:v>牙周統合治療</x:v>
      </x:c>
      <x:c r="G913" s="19" t="str"/>
      <x:c r="H913" s="17" t="str">
        <x:v>未評分</x:v>
      </x:c>
      <x:c r="I913" s="6" t="n">
        <x:v>92</x:v>
      </x:c>
    </x:row>
    <x:row r="914">
      <x:c r="A914" s="13" t="str">
        <x:v>1027</x:v>
      </x:c>
      <x:c r="B914" s="14" t="str"/>
      <x:c r="C914" s="14" t="str">
        <x:v>Lv.3</x:v>
      </x:c>
      <x:c r="D914" s="14" t="str">
        <x:v>謝耀慶醫師</x:v>
      </x:c>
      <x:c r="E914" s="6" t="str">
        <x:v>器械準備</x:v>
      </x:c>
      <x:c r="F914" s="6" t="str">
        <x:v>簡單拔牙</x:v>
      </x:c>
      <x:c r="G914" s="19" t="str"/>
      <x:c r="H914" s="17" t="str">
        <x:v>未評分</x:v>
      </x:c>
      <x:c r="I914" s="6" t="n">
        <x:v>93</x:v>
      </x:c>
    </x:row>
    <x:row r="915">
      <x:c r="A915" s="13" t="str">
        <x:v>1027</x:v>
      </x:c>
      <x:c r="B915" s="14" t="str"/>
      <x:c r="C915" s="14" t="str">
        <x:v>Lv.3</x:v>
      </x:c>
      <x:c r="D915" s="14" t="str">
        <x:v>謝耀慶醫師</x:v>
      </x:c>
      <x:c r="E915" s="6" t="str"/>
      <x:c r="F915" s="6" t="str">
        <x:v>器械熟悉度</x:v>
      </x:c>
      <x:c r="G915" s="19" t="str">
        <x:v>◎</x:v>
      </x:c>
      <x:c r="H915" s="17" t="str">
        <x:v>熟練</x:v>
      </x:c>
      <x:c r="I915" s="6" t="n">
        <x:v>94</x:v>
      </x:c>
    </x:row>
    <x:row r="916">
      <x:c r="A916" s="13" t="str">
        <x:v>1027</x:v>
      </x:c>
      <x:c r="B916" s="14" t="str"/>
      <x:c r="C916" s="14" t="str">
        <x:v>Lv.3</x:v>
      </x:c>
      <x:c r="D916" s="14" t="str">
        <x:v>謝耀慶醫師</x:v>
      </x:c>
      <x:c r="E916" s="6" t="str"/>
      <x:c r="F916" s="6" t="str">
        <x:v>跟診順暢度</x:v>
      </x:c>
      <x:c r="G916" s="19" t="str">
        <x:v>◎</x:v>
      </x:c>
      <x:c r="H916" s="17" t="str">
        <x:v>熟練</x:v>
      </x:c>
      <x:c r="I916" s="6" t="n">
        <x:v>95</x:v>
      </x:c>
    </x:row>
    <x:row r="917">
      <x:c r="A917" s="13" t="str">
        <x:v>1027</x:v>
      </x:c>
      <x:c r="B917" s="14" t="str"/>
      <x:c r="C917" s="14" t="str">
        <x:v>Lv.3</x:v>
      </x:c>
      <x:c r="D917" s="14" t="str">
        <x:v>謝耀慶醫師</x:v>
      </x:c>
      <x:c r="E917" s="6" t="str"/>
      <x:c r="F917" s="6" t="str">
        <x:v>病歷紀錄</x:v>
      </x:c>
      <x:c r="G917" s="19" t="str">
        <x:v>◎</x:v>
      </x:c>
      <x:c r="H917" s="17" t="str">
        <x:v>熟練</x:v>
      </x:c>
      <x:c r="I917" s="6" t="n">
        <x:v>96</x:v>
      </x:c>
    </x:row>
    <x:row r="918">
      <x:c r="A918" s="13" t="str">
        <x:v>1027</x:v>
      </x:c>
      <x:c r="B918" s="14" t="str"/>
      <x:c r="C918" s="14" t="str">
        <x:v>Lv.3</x:v>
      </x:c>
      <x:c r="D918" s="14" t="str">
        <x:v>謝耀慶醫師</x:v>
      </x:c>
      <x:c r="E918" s="6" t="str"/>
      <x:c r="F918" s="6" t="str">
        <x:v>X光片紀錄</x:v>
      </x:c>
      <x:c r="G918" s="19" t="str">
        <x:v>◎</x:v>
      </x:c>
      <x:c r="H918" s="17" t="str">
        <x:v>熟練</x:v>
      </x:c>
      <x:c r="I918" s="6" t="n">
        <x:v>97</x:v>
      </x:c>
    </x:row>
    <x:row r="919">
      <x:c r="A919" s="13" t="str">
        <x:v>1027</x:v>
      </x:c>
      <x:c r="B919" s="14" t="str"/>
      <x:c r="C919" s="14" t="str">
        <x:v>Lv.3</x:v>
      </x:c>
      <x:c r="D919" s="14" t="str">
        <x:v>謝耀慶醫師</x:v>
      </x:c>
      <x:c r="E919" s="6" t="str"/>
      <x:c r="F919" s="6" t="str">
        <x:v>手持X光機</x:v>
      </x:c>
      <x:c r="G919" s="19" t="str">
        <x:v>◎</x:v>
      </x:c>
      <x:c r="H919" s="17" t="str">
        <x:v>熟練</x:v>
      </x:c>
      <x:c r="I919" s="6" t="n">
        <x:v>98</x:v>
      </x:c>
    </x:row>
    <x:row r="920">
      <x:c r="A920" s="13" t="str">
        <x:v>1027</x:v>
      </x:c>
      <x:c r="B920" s="14" t="str"/>
      <x:c r="C920" s="14" t="str">
        <x:v>Lv.3</x:v>
      </x:c>
      <x:c r="D920" s="14" t="str">
        <x:v>謝耀慶醫師</x:v>
      </x:c>
      <x:c r="E920" s="6" t="str"/>
      <x:c r="F920" s="6" t="str">
        <x:v>健保申報</x:v>
      </x:c>
      <x:c r="G920" s="19" t="str">
        <x:v>◎</x:v>
      </x:c>
      <x:c r="H920" s="17" t="str">
        <x:v>熟練</x:v>
      </x:c>
      <x:c r="I920" s="6" t="n">
        <x:v>99</x:v>
      </x:c>
    </x:row>
    <x:row r="921">
      <x:c r="A921" s="13" t="str">
        <x:v>1027</x:v>
      </x:c>
      <x:c r="B921" s="14" t="str"/>
      <x:c r="C921" s="14" t="str">
        <x:v>Lv.3</x:v>
      </x:c>
      <x:c r="D921" s="14" t="str">
        <x:v>謝耀慶醫師</x:v>
      </x:c>
      <x:c r="E921" s="6" t="str"/>
      <x:c r="F921" s="6" t="str">
        <x:v>舒眠手術</x:v>
      </x:c>
      <x:c r="G921" s="19" t="str">
        <x:v>※</x:v>
      </x:c>
      <x:c r="H921" s="17" t="str">
        <x:v>學習中</x:v>
      </x:c>
      <x:c r="I921" s="6" t="n">
        <x:v>100</x:v>
      </x:c>
    </x:row>
    <x:row r="922">
      <x:c r="A922" s="13" t="str">
        <x:v>1027</x:v>
      </x:c>
      <x:c r="B922" s="14" t="str"/>
      <x:c r="C922" s="14" t="str">
        <x:v>Lv.3</x:v>
      </x:c>
      <x:c r="D922" s="14" t="str">
        <x:v>陳醫師</x:v>
      </x:c>
      <x:c r="E922" s="6" t="str">
        <x:v>器械準備</x:v>
      </x:c>
      <x:c r="F922" s="6" t="str">
        <x:v>洗牙</x:v>
      </x:c>
      <x:c r="G922" s="19" t="str"/>
      <x:c r="H922" s="17" t="str">
        <x:v>未評分</x:v>
      </x:c>
      <x:c r="I922" s="6" t="n">
        <x:v>101</x:v>
      </x:c>
    </x:row>
    <x:row r="923">
      <x:c r="A923" s="13" t="str">
        <x:v>1027</x:v>
      </x:c>
      <x:c r="B923" s="14" t="str"/>
      <x:c r="C923" s="14" t="str">
        <x:v>Lv.3</x:v>
      </x:c>
      <x:c r="D923" s="14" t="str">
        <x:v>陳醫師</x:v>
      </x:c>
      <x:c r="E923" s="6" t="str">
        <x:v>器械準備</x:v>
      </x:c>
      <x:c r="F923" s="6" t="str">
        <x:v>補牙</x:v>
      </x:c>
      <x:c r="G923" s="19" t="str"/>
      <x:c r="H923" s="17" t="str">
        <x:v>未評分</x:v>
      </x:c>
      <x:c r="I923" s="6" t="n">
        <x:v>102</x:v>
      </x:c>
    </x:row>
    <x:row r="924">
      <x:c r="A924" s="13" t="str">
        <x:v>1027</x:v>
      </x:c>
      <x:c r="B924" s="14" t="str"/>
      <x:c r="C924" s="14" t="str">
        <x:v>Lv.3</x:v>
      </x:c>
      <x:c r="D924" s="14" t="str">
        <x:v>陳醫師</x:v>
      </x:c>
      <x:c r="E924" s="6" t="str">
        <x:v>器械準備</x:v>
      </x:c>
      <x:c r="F924" s="6" t="str">
        <x:v>根管治療</x:v>
      </x:c>
      <x:c r="G924" s="19" t="str"/>
      <x:c r="H924" s="17" t="str">
        <x:v>未評分</x:v>
      </x:c>
      <x:c r="I924" s="6" t="n">
        <x:v>103</x:v>
      </x:c>
    </x:row>
    <x:row r="925">
      <x:c r="A925" s="13" t="str">
        <x:v>1027</x:v>
      </x:c>
      <x:c r="B925" s="14" t="str"/>
      <x:c r="C925" s="14" t="str">
        <x:v>Lv.3</x:v>
      </x:c>
      <x:c r="D925" s="14" t="str">
        <x:v>陳醫師</x:v>
      </x:c>
      <x:c r="E925" s="6" t="str"/>
      <x:c r="F925" s="6" t="str">
        <x:v>跟診順暢度</x:v>
      </x:c>
      <x:c r="G925" s="19" t="str"/>
      <x:c r="H925" s="17" t="str">
        <x:v>未評分</x:v>
      </x:c>
      <x:c r="I925" s="6" t="n">
        <x:v>104</x:v>
      </x:c>
    </x:row>
    <x:row r="926">
      <x:c r="A926" s="13" t="str">
        <x:v>1027</x:v>
      </x:c>
      <x:c r="B926" s="14" t="str"/>
      <x:c r="C926" s="14" t="str">
        <x:v>Lv.3</x:v>
      </x:c>
      <x:c r="D926" s="14" t="str">
        <x:v>陳醫師</x:v>
      </x:c>
      <x:c r="E926" s="6" t="str"/>
      <x:c r="F926" s="6" t="str">
        <x:v>病歷紀錄</x:v>
      </x:c>
      <x:c r="G926" s="19" t="str"/>
      <x:c r="H926" s="17" t="str">
        <x:v>未評分</x:v>
      </x:c>
      <x:c r="I926" s="6" t="n">
        <x:v>105</x:v>
      </x:c>
    </x:row>
    <x:row r="927">
      <x:c r="A927" s="13" t="str">
        <x:v>1027</x:v>
      </x:c>
      <x:c r="B927" s="14" t="str"/>
      <x:c r="C927" s="14" t="str">
        <x:v>Lv.3</x:v>
      </x:c>
      <x:c r="D927" s="14" t="str">
        <x:v>陳醫師</x:v>
      </x:c>
      <x:c r="E927" s="6" t="str"/>
      <x:c r="F927" s="6" t="str">
        <x:v>拍PANO、PA</x:v>
      </x:c>
      <x:c r="G927" s="19" t="str"/>
      <x:c r="H927" s="17" t="str">
        <x:v>未評分</x:v>
      </x:c>
      <x:c r="I927" s="6" t="n">
        <x:v>106</x:v>
      </x:c>
    </x:row>
    <x:row r="928">
      <x:c r="A928" s="13" t="str">
        <x:v>1027</x:v>
      </x:c>
      <x:c r="B928" s="14" t="str"/>
      <x:c r="C928" s="14" t="str">
        <x:v>Lv.3</x:v>
      </x:c>
      <x:c r="D928" s="14" t="str">
        <x:v>陳醫師</x:v>
      </x:c>
      <x:c r="E928" s="6" t="str"/>
      <x:c r="F928" s="6" t="str">
        <x:v>X光片紀錄</x:v>
      </x:c>
      <x:c r="G928" s="19" t="str"/>
      <x:c r="H928" s="17" t="str">
        <x:v>未評分</x:v>
      </x:c>
      <x:c r="I928" s="6" t="n">
        <x:v>107</x:v>
      </x:c>
    </x:row>
    <x:row r="929">
      <x:c r="A929" s="13" t="str">
        <x:v>1027</x:v>
      </x:c>
      <x:c r="B929" s="14" t="str"/>
      <x:c r="C929" s="14" t="str">
        <x:v>Lv.3</x:v>
      </x:c>
      <x:c r="D929" s="14" t="str">
        <x:v>陳醫師</x:v>
      </x:c>
      <x:c r="E929" s="6" t="str"/>
      <x:c r="F929" s="6" t="str">
        <x:v>健保申報</x:v>
      </x:c>
      <x:c r="G929" s="19" t="str"/>
      <x:c r="H929" s="17" t="str">
        <x:v>未評分</x:v>
      </x:c>
      <x:c r="I929" s="6" t="n">
        <x:v>108</x:v>
      </x:c>
    </x:row>
    <x:row r="930">
      <x:c r="A930" s="13" t="str">
        <x:v>1027</x:v>
      </x:c>
      <x:c r="B930" s="14" t="str"/>
      <x:c r="C930" s="14" t="str">
        <x:v>Lv.3</x:v>
      </x:c>
      <x:c r="D930" s="14" t="str">
        <x:v>陳醫師</x:v>
      </x:c>
      <x:c r="E930" s="6" t="str"/>
      <x:c r="F930" s="6" t="str">
        <x:v>固定假牙</x:v>
      </x:c>
      <x:c r="G930" s="19" t="str"/>
      <x:c r="H930" s="17" t="str">
        <x:v>未評分</x:v>
      </x:c>
      <x:c r="I930" s="6" t="n">
        <x:v>109</x:v>
      </x:c>
    </x:row>
    <x:row r="931">
      <x:c r="A931" s="13" t="str">
        <x:v>1027</x:v>
      </x:c>
      <x:c r="B931" s="14" t="str"/>
      <x:c r="C931" s="14" t="str">
        <x:v>Lv.3</x:v>
      </x:c>
      <x:c r="D931" s="14" t="str">
        <x:v>陳醫師</x:v>
      </x:c>
      <x:c r="E931" s="6" t="str"/>
      <x:c r="F931" s="6" t="str">
        <x:v>顯微根管</x:v>
      </x:c>
      <x:c r="G931" s="19" t="str"/>
      <x:c r="H931" s="17" t="str">
        <x:v>未評分</x:v>
      </x:c>
      <x:c r="I931" s="6" t="n">
        <x:v>110</x:v>
      </x:c>
    </x:row>
    <x:row r="932">
      <x:c r="A932" s="13" t="str">
        <x:v>1027</x:v>
      </x:c>
      <x:c r="B932" s="14" t="str"/>
      <x:c r="C932" s="14" t="str">
        <x:v>Lv.3</x:v>
      </x:c>
      <x:c r="D932" s="14" t="str">
        <x:v>櫃台</x:v>
      </x:c>
      <x:c r="E932" s="6" t="str"/>
      <x:c r="F932" s="6" t="str">
        <x:v>掛號處理(含初診處理)開立一般收據及藥單</x:v>
      </x:c>
      <x:c r="G932" s="19" t="str">
        <x:v>◎</x:v>
      </x:c>
      <x:c r="H932" s="17" t="str">
        <x:v>熟練</x:v>
      </x:c>
      <x:c r="I932" s="6" t="n">
        <x:v>111</x:v>
      </x:c>
    </x:row>
    <x:row r="933">
      <x:c r="A933" s="13" t="str">
        <x:v>1027</x:v>
      </x:c>
      <x:c r="B933" s="14" t="str"/>
      <x:c r="C933" s="14" t="str">
        <x:v>Lv.3</x:v>
      </x:c>
      <x:c r="D933" s="14" t="str">
        <x:v>櫃台</x:v>
      </x:c>
      <x:c r="E933" s="6" t="str"/>
      <x:c r="F933" s="6" t="str">
        <x:v>收費紀錄</x:v>
      </x:c>
      <x:c r="G933" s="19" t="str">
        <x:v>Ø</x:v>
      </x:c>
      <x:c r="H933" s="17" t="str">
        <x:v>尚未熟練</x:v>
      </x:c>
      <x:c r="I933" s="6" t="n">
        <x:v>112</x:v>
      </x:c>
    </x:row>
    <x:row r="934">
      <x:c r="A934" s="13" t="str">
        <x:v>1027</x:v>
      </x:c>
      <x:c r="B934" s="14" t="str"/>
      <x:c r="C934" s="14" t="str">
        <x:v>Lv.3</x:v>
      </x:c>
      <x:c r="D934" s="14" t="str">
        <x:v>櫃台</x:v>
      </x:c>
      <x:c r="E934" s="6" t="str"/>
      <x:c r="F934" s="6" t="str">
        <x:v>病歷整理</x:v>
      </x:c>
      <x:c r="G934" s="19" t="str">
        <x:v>◎</x:v>
      </x:c>
      <x:c r="H934" s="17" t="str">
        <x:v>熟練</x:v>
      </x:c>
      <x:c r="I934" s="6" t="n">
        <x:v>113</x:v>
      </x:c>
    </x:row>
    <x:row r="935">
      <x:c r="A935" s="13" t="str">
        <x:v>1027</x:v>
      </x:c>
      <x:c r="B935" s="14" t="str"/>
      <x:c r="C935" s="14" t="str">
        <x:v>Lv.3</x:v>
      </x:c>
      <x:c r="D935" s="14" t="str">
        <x:v>櫃台</x:v>
      </x:c>
      <x:c r="E935" s="6" t="str"/>
      <x:c r="F935" s="6" t="str">
        <x:v>治療同意書填寫</x:v>
      </x:c>
      <x:c r="G935" s="19" t="str">
        <x:v>◎</x:v>
      </x:c>
      <x:c r="H935" s="17" t="str">
        <x:v>熟練</x:v>
      </x:c>
      <x:c r="I935" s="6" t="n">
        <x:v>114</x:v>
      </x:c>
    </x:row>
    <x:row r="936">
      <x:c r="A936" s="13" t="str">
        <x:v>1027</x:v>
      </x:c>
      <x:c r="B936" s="14" t="str"/>
      <x:c r="C936" s="14" t="str">
        <x:v>Lv.3</x:v>
      </x:c>
      <x:c r="D936" s="14" t="str">
        <x:v>櫃台</x:v>
      </x:c>
      <x:c r="E936" s="6" t="str"/>
      <x:c r="F936" s="6" t="str">
        <x:v>與患者應對</x:v>
      </x:c>
      <x:c r="G936" s="19" t="str">
        <x:v>◎</x:v>
      </x:c>
      <x:c r="H936" s="17" t="str">
        <x:v>熟練</x:v>
      </x:c>
      <x:c r="I936" s="6" t="n">
        <x:v>115</x:v>
      </x:c>
    </x:row>
    <x:row r="937">
      <x:c r="A937" s="13" t="str">
        <x:v>1027</x:v>
      </x:c>
      <x:c r="B937" s="14" t="str"/>
      <x:c r="C937" s="14" t="str">
        <x:v>Lv.3</x:v>
      </x:c>
      <x:c r="D937" s="14" t="str">
        <x:v>櫃台</x:v>
      </x:c>
      <x:c r="E937" s="6" t="str"/>
      <x:c r="F937" s="6" t="str">
        <x:v>約診</x:v>
      </x:c>
      <x:c r="G937" s="19" t="str">
        <x:v>Ø</x:v>
      </x:c>
      <x:c r="H937" s="17" t="str">
        <x:v>尚未熟練</x:v>
      </x:c>
      <x:c r="I937" s="6" t="n">
        <x:v>116</x:v>
      </x:c>
    </x:row>
    <x:row r="938">
      <x:c r="A938" s="13" t="str">
        <x:v>1027</x:v>
      </x:c>
      <x:c r="B938" s="14" t="str"/>
      <x:c r="C938" s="14" t="str">
        <x:v>Lv.3</x:v>
      </x:c>
      <x:c r="D938" s="14" t="str">
        <x:v>櫃台</x:v>
      </x:c>
      <x:c r="E938" s="6" t="str"/>
      <x:c r="F938" s="6" t="str">
        <x:v>報表製作</x:v>
      </x:c>
      <x:c r="G938" s="19" t="str">
        <x:v>◎</x:v>
      </x:c>
      <x:c r="H938" s="17" t="str">
        <x:v>熟練</x:v>
      </x:c>
      <x:c r="I938" s="6" t="n">
        <x:v>117</x:v>
      </x:c>
    </x:row>
    <x:row r="939">
      <x:c r="A939" s="13" t="str">
        <x:v>1027</x:v>
      </x:c>
      <x:c r="B939" s="14" t="str"/>
      <x:c r="C939" s="14" t="str">
        <x:v>Lv.3</x:v>
      </x:c>
      <x:c r="D939" s="14" t="str">
        <x:v>櫃台</x:v>
      </x:c>
      <x:c r="E939" s="6" t="str"/>
      <x:c r="F939" s="6" t="str">
        <x:v>診斷證明書</x:v>
      </x:c>
      <x:c r="G939" s="19" t="str">
        <x:v>Ø</x:v>
      </x:c>
      <x:c r="H939" s="17" t="str">
        <x:v>尚未熟練</x:v>
      </x:c>
      <x:c r="I939" s="6" t="n">
        <x:v>118</x:v>
      </x:c>
    </x:row>
    <x:row r="940">
      <x:c r="A940" s="13" t="str">
        <x:v>1027</x:v>
      </x:c>
      <x:c r="B940" s="14" t="str"/>
      <x:c r="C940" s="14" t="str">
        <x:v>Lv.3</x:v>
      </x:c>
      <x:c r="D940" s="14" t="str">
        <x:v>櫃台</x:v>
      </x:c>
      <x:c r="E940" s="6" t="str"/>
      <x:c r="F940" s="6" t="str">
        <x:v>牙統VPN</x:v>
      </x:c>
      <x:c r="G940" s="19" t="str">
        <x:v>◎</x:v>
      </x:c>
      <x:c r="H940" s="17" t="str">
        <x:v>熟練</x:v>
      </x:c>
      <x:c r="I940" s="6" t="n">
        <x:v>119</x:v>
      </x:c>
    </x:row>
    <x:row r="941">
      <x:c r="A941" s="13" t="str">
        <x:v>1027</x:v>
      </x:c>
      <x:c r="B941" s="14" t="str"/>
      <x:c r="C941" s="14" t="str">
        <x:v>Lv.3</x:v>
      </x:c>
      <x:c r="D941" s="14" t="str">
        <x:v>櫃台</x:v>
      </x:c>
      <x:c r="E941" s="6" t="str"/>
      <x:c r="F941" s="6" t="str">
        <x:v>病歷檢查核對</x:v>
      </x:c>
      <x:c r="G941" s="19" t="str"/>
      <x:c r="H941" s="17" t="str">
        <x:v>未評分</x:v>
      </x:c>
      <x:c r="I941" s="6" t="n">
        <x:v>120</x:v>
      </x:c>
    </x:row>
    <x:row r="942">
      <x:c r="A942" s="13" t="str">
        <x:v>1027</x:v>
      </x:c>
      <x:c r="B942" s="14" t="str"/>
      <x:c r="C942" s="14" t="str">
        <x:v>Lv.3</x:v>
      </x:c>
      <x:c r="D942" s="14" t="str">
        <x:v>櫃台</x:v>
      </x:c>
      <x:c r="E942" s="6" t="str"/>
      <x:c r="F942" s="6" t="str">
        <x:v>抽審資料處理</x:v>
      </x:c>
      <x:c r="G942" s="19" t="str"/>
      <x:c r="H942" s="17" t="str">
        <x:v>未評分</x:v>
      </x:c>
      <x:c r="I942" s="6" t="n">
        <x:v>121</x:v>
      </x:c>
    </x:row>
    <x:row r="943">
      <x:c r="A943" s="13" t="str">
        <x:v>1028</x:v>
      </x:c>
      <x:c r="B943" s="14" t="str"/>
      <x:c r="C943" s="14" t="str">
        <x:v>Lv.2</x:v>
      </x:c>
      <x:c r="D943" s="14" t="str">
        <x:v>流動工作</x:v>
      </x:c>
      <x:c r="E943" s="6" t="str"/>
      <x:c r="F943" s="6" t="str">
        <x:v>撤備台</x:v>
      </x:c>
      <x:c r="G943" s="19" t="str">
        <x:v>◎</x:v>
      </x:c>
      <x:c r="H943" s="17" t="str">
        <x:v>熟練</x:v>
      </x:c>
      <x:c r="I943" s="6" t="n">
        <x:v>5</x:v>
      </x:c>
    </x:row>
    <x:row r="944">
      <x:c r="A944" s="13" t="str">
        <x:v>1028</x:v>
      </x:c>
      <x:c r="B944" s="14" t="str"/>
      <x:c r="C944" s="14" t="str">
        <x:v>Lv.2</x:v>
      </x:c>
      <x:c r="D944" s="14" t="str">
        <x:v>流動工作</x:v>
      </x:c>
      <x:c r="E944" s="6" t="str"/>
      <x:c r="F944" s="6" t="str">
        <x:v>器械清消流程</x:v>
      </x:c>
      <x:c r="G944" s="19" t="str">
        <x:v>◎</x:v>
      </x:c>
      <x:c r="H944" s="17" t="str">
        <x:v>熟練</x:v>
      </x:c>
      <x:c r="I944" s="6" t="n">
        <x:v>6</x:v>
      </x:c>
    </x:row>
    <x:row r="945">
      <x:c r="A945" s="13" t="str">
        <x:v>1028</x:v>
      </x:c>
      <x:c r="B945" s="14" t="str"/>
      <x:c r="C945" s="14" t="str">
        <x:v>Lv.2</x:v>
      </x:c>
      <x:c r="D945" s="14" t="str">
        <x:v>流動工作</x:v>
      </x:c>
      <x:c r="E945" s="6" t="str"/>
      <x:c r="F945" s="6" t="str">
        <x:v>認識治療項目</x:v>
      </x:c>
      <x:c r="G945" s="19" t="str">
        <x:v>◎</x:v>
      </x:c>
      <x:c r="H945" s="17" t="str">
        <x:v>熟練</x:v>
      </x:c>
      <x:c r="I945" s="6" t="n">
        <x:v>7</x:v>
      </x:c>
    </x:row>
    <x:row r="946">
      <x:c r="A946" s="13" t="str">
        <x:v>1028</x:v>
      </x:c>
      <x:c r="B946" s="14" t="str"/>
      <x:c r="C946" s="14" t="str">
        <x:v>Lv.2</x:v>
      </x:c>
      <x:c r="D946" s="14" t="str">
        <x:v>流動工作</x:v>
      </x:c>
      <x:c r="E946" s="6" t="str"/>
      <x:c r="F946" s="6" t="str">
        <x:v>替代跟診人員灌模</x:v>
      </x:c>
      <x:c r="G946" s="19" t="str">
        <x:v>◎</x:v>
      </x:c>
      <x:c r="H946" s="17" t="str">
        <x:v>熟練</x:v>
      </x:c>
      <x:c r="I946" s="6" t="n">
        <x:v>8</x:v>
      </x:c>
    </x:row>
    <x:row r="947">
      <x:c r="A947" s="13" t="str">
        <x:v>1028</x:v>
      </x:c>
      <x:c r="B947" s="14" t="str"/>
      <x:c r="C947" s="14" t="str">
        <x:v>Lv.2</x:v>
      </x:c>
      <x:c r="D947" s="14" t="str">
        <x:v>流動工作</x:v>
      </x:c>
      <x:c r="E947" s="6" t="str"/>
      <x:c r="F947" s="6" t="str">
        <x:v>拍攝X光片(PANO)</x:v>
      </x:c>
      <x:c r="G947" s="19" t="str">
        <x:v>◎</x:v>
      </x:c>
      <x:c r="H947" s="17" t="str">
        <x:v>熟練</x:v>
      </x:c>
      <x:c r="I947" s="6" t="n">
        <x:v>9</x:v>
      </x:c>
    </x:row>
    <x:row r="948">
      <x:c r="A948" s="13" t="str">
        <x:v>1028</x:v>
      </x:c>
      <x:c r="B948" s="14" t="str"/>
      <x:c r="C948" s="14" t="str">
        <x:v>Lv.2</x:v>
      </x:c>
      <x:c r="D948" s="14" t="str">
        <x:v>流動工作</x:v>
      </x:c>
      <x:c r="E948" s="6" t="str"/>
      <x:c r="F948" s="6" t="str">
        <x:v>拍攝根尖片(用鱷魚夾)</x:v>
      </x:c>
      <x:c r="G948" s="19" t="str">
        <x:v>◎</x:v>
      </x:c>
      <x:c r="H948" s="17" t="str">
        <x:v>熟練</x:v>
      </x:c>
      <x:c r="I948" s="6" t="n">
        <x:v>10</x:v>
      </x:c>
    </x:row>
    <x:row r="949">
      <x:c r="A949" s="13" t="str">
        <x:v>1028</x:v>
      </x:c>
      <x:c r="B949" s="14" t="str"/>
      <x:c r="C949" s="14" t="str">
        <x:v>Lv.2</x:v>
      </x:c>
      <x:c r="D949" s="14" t="str">
        <x:v>流動工作</x:v>
      </x:c>
      <x:c r="E949" s="6" t="str"/>
      <x:c r="F949" s="6" t="str">
        <x:v>拍攝根尖片(手壓片)</x:v>
      </x:c>
      <x:c r="G949" s="19" t="str">
        <x:v>Ø</x:v>
      </x:c>
      <x:c r="H949" s="17" t="str">
        <x:v>尚未熟練</x:v>
      </x:c>
      <x:c r="I949" s="6" t="n">
        <x:v>11</x:v>
      </x:c>
    </x:row>
    <x:row r="950">
      <x:c r="A950" s="13" t="str">
        <x:v>1028</x:v>
      </x:c>
      <x:c r="B950" s="14" t="str"/>
      <x:c r="C950" s="14" t="str">
        <x:v>Lv.2</x:v>
      </x:c>
      <x:c r="D950" s="14" t="str">
        <x:v>流動工作</x:v>
      </x:c>
      <x:c r="E950" s="6" t="str"/>
      <x:c r="F950" s="6" t="str">
        <x:v>開、關診工作</x:v>
      </x:c>
      <x:c r="G950" s="19" t="str">
        <x:v>◎</x:v>
      </x:c>
      <x:c r="H950" s="17" t="str">
        <x:v>熟練</x:v>
      </x:c>
      <x:c r="I950" s="6" t="n">
        <x:v>12</x:v>
      </x:c>
    </x:row>
    <x:row r="951">
      <x:c r="A951" s="13" t="str">
        <x:v>1028</x:v>
      </x:c>
      <x:c r="B951" s="14" t="str"/>
      <x:c r="C951" s="14" t="str">
        <x:v>Lv.2</x:v>
      </x:c>
      <x:c r="D951" s="14" t="str">
        <x:v>流動工作</x:v>
      </x:c>
      <x:c r="E951" s="6" t="str"/>
      <x:c r="F951" s="6" t="str">
        <x:v>備品補充+器械安全庫存</x:v>
      </x:c>
      <x:c r="G951" s="19" t="str">
        <x:v>◎</x:v>
      </x:c>
      <x:c r="H951" s="17" t="str">
        <x:v>熟練</x:v>
      </x:c>
      <x:c r="I951" s="6" t="n">
        <x:v>13</x:v>
      </x:c>
    </x:row>
    <x:row r="952">
      <x:c r="A952" s="13" t="str">
        <x:v>1028</x:v>
      </x:c>
      <x:c r="B952" s="14" t="str"/>
      <x:c r="C952" s="14" t="str">
        <x:v>Lv.2</x:v>
      </x:c>
      <x:c r="D952" s="14" t="str">
        <x:v>衛教</x:v>
      </x:c>
      <x:c r="E952" s="6" t="str"/>
      <x:c r="F952" s="6" t="str">
        <x:v>基礎衛教</x:v>
      </x:c>
      <x:c r="G952" s="19" t="str">
        <x:v>◎</x:v>
      </x:c>
      <x:c r="H952" s="17" t="str">
        <x:v>熟練</x:v>
      </x:c>
      <x:c r="I952" s="6" t="n">
        <x:v>14</x:v>
      </x:c>
    </x:row>
    <x:row r="953">
      <x:c r="A953" s="13" t="str">
        <x:v>1028</x:v>
      </x:c>
      <x:c r="B953" s="14" t="str"/>
      <x:c r="C953" s="14" t="str">
        <x:v>Lv.2</x:v>
      </x:c>
      <x:c r="D953" s="14" t="str">
        <x:v>衛教</x:v>
      </x:c>
      <x:c r="E953" s="6" t="str"/>
      <x:c r="F953" s="6" t="str">
        <x:v>進階衛教</x:v>
      </x:c>
      <x:c r="G953" s="19" t="str">
        <x:v>◎</x:v>
      </x:c>
      <x:c r="H953" s="17" t="str">
        <x:v>熟練</x:v>
      </x:c>
      <x:c r="I953" s="6" t="n">
        <x:v>15</x:v>
      </x:c>
    </x:row>
    <x:row r="954">
      <x:c r="A954" s="13" t="str">
        <x:v>1028</x:v>
      </x:c>
      <x:c r="B954" s="14" t="str"/>
      <x:c r="C954" s="14" t="str">
        <x:v>Lv.2</x:v>
      </x:c>
      <x:c r="D954" s="14" t="str">
        <x:v>李柄輝醫師</x:v>
      </x:c>
      <x:c r="E954" s="6" t="str">
        <x:v>器械準備</x:v>
      </x:c>
      <x:c r="F954" s="6" t="str">
        <x:v>洗牙</x:v>
      </x:c>
      <x:c r="G954" s="19" t="str">
        <x:v>◎</x:v>
      </x:c>
      <x:c r="H954" s="17" t="str">
        <x:v>熟練</x:v>
      </x:c>
      <x:c r="I954" s="6" t="n">
        <x:v>16</x:v>
      </x:c>
    </x:row>
    <x:row r="955">
      <x:c r="A955" s="13" t="str">
        <x:v>1028</x:v>
      </x:c>
      <x:c r="B955" s="14" t="str"/>
      <x:c r="C955" s="14" t="str">
        <x:v>Lv.2</x:v>
      </x:c>
      <x:c r="D955" s="14" t="str">
        <x:v>李柄輝醫師</x:v>
      </x:c>
      <x:c r="E955" s="6" t="str">
        <x:v>器械準備</x:v>
      </x:c>
      <x:c r="F955" s="6" t="str">
        <x:v>補牙</x:v>
      </x:c>
      <x:c r="G955" s="19" t="str">
        <x:v>◎</x:v>
      </x:c>
      <x:c r="H955" s="17" t="str">
        <x:v>熟練</x:v>
      </x:c>
      <x:c r="I955" s="6" t="n">
        <x:v>17</x:v>
      </x:c>
    </x:row>
    <x:row r="956">
      <x:c r="A956" s="13" t="str">
        <x:v>1028</x:v>
      </x:c>
      <x:c r="B956" s="14" t="str"/>
      <x:c r="C956" s="14" t="str">
        <x:v>Lv.2</x:v>
      </x:c>
      <x:c r="D956" s="14" t="str">
        <x:v>李柄輝醫師</x:v>
      </x:c>
      <x:c r="E956" s="6" t="str">
        <x:v>器械準備</x:v>
      </x:c>
      <x:c r="F956" s="6" t="str">
        <x:v>牙周統合</x:v>
      </x:c>
      <x:c r="G956" s="19" t="str">
        <x:v>◎</x:v>
      </x:c>
      <x:c r="H956" s="17" t="str">
        <x:v>熟練</x:v>
      </x:c>
      <x:c r="I956" s="6" t="n">
        <x:v>18</x:v>
      </x:c>
    </x:row>
    <x:row r="957">
      <x:c r="A957" s="13" t="str">
        <x:v>1028</x:v>
      </x:c>
      <x:c r="B957" s="14" t="str"/>
      <x:c r="C957" s="14" t="str">
        <x:v>Lv.2</x:v>
      </x:c>
      <x:c r="D957" s="14" t="str">
        <x:v>李柄輝醫師</x:v>
      </x:c>
      <x:c r="E957" s="6" t="str">
        <x:v>器械準備</x:v>
      </x:c>
      <x:c r="F957" s="6" t="str">
        <x:v>根管治療(插針照)</x:v>
      </x:c>
      <x:c r="G957" s="19" t="str">
        <x:v>Ø</x:v>
      </x:c>
      <x:c r="H957" s="17" t="str">
        <x:v>尚未熟練</x:v>
      </x:c>
      <x:c r="I957" s="6" t="n">
        <x:v>19</x:v>
      </x:c>
    </x:row>
    <x:row r="958">
      <x:c r="A958" s="13" t="str">
        <x:v>1028</x:v>
      </x:c>
      <x:c r="B958" s="14" t="str"/>
      <x:c r="C958" s="14" t="str">
        <x:v>Lv.2</x:v>
      </x:c>
      <x:c r="D958" s="14" t="str">
        <x:v>李柄輝醫師</x:v>
      </x:c>
      <x:c r="E958" s="6" t="str">
        <x:v>器械準備</x:v>
      </x:c>
      <x:c r="F958" s="6" t="str">
        <x:v>拆crown/post</x:v>
      </x:c>
      <x:c r="G958" s="19" t="str">
        <x:v>△</x:v>
      </x:c>
      <x:c r="H958" s="17" t="str">
        <x:v>需加強</x:v>
      </x:c>
      <x:c r="I958" s="6" t="n">
        <x:v>20</x:v>
      </x:c>
    </x:row>
    <x:row r="959">
      <x:c r="A959" s="13" t="str">
        <x:v>1028</x:v>
      </x:c>
      <x:c r="B959" s="14" t="str"/>
      <x:c r="C959" s="14" t="str">
        <x:v>Lv.2</x:v>
      </x:c>
      <x:c r="D959" s="14" t="str">
        <x:v>李柄輝醫師</x:v>
      </x:c>
      <x:c r="E959" s="6" t="str">
        <x:v>器械準備</x:v>
      </x:c>
      <x:c r="F959" s="6" t="str">
        <x:v>拔牙</x:v>
      </x:c>
      <x:c r="G959" s="19" t="str">
        <x:v>Ø</x:v>
      </x:c>
      <x:c r="H959" s="17" t="str">
        <x:v>尚未熟練</x:v>
      </x:c>
      <x:c r="I959" s="6" t="n">
        <x:v>21</x:v>
      </x:c>
    </x:row>
    <x:row r="960">
      <x:c r="A960" s="13" t="str">
        <x:v>1028</x:v>
      </x:c>
      <x:c r="B960" s="14" t="str"/>
      <x:c r="C960" s="14" t="str">
        <x:v>Lv.2</x:v>
      </x:c>
      <x:c r="D960" s="14" t="str">
        <x:v>李柄輝醫師</x:v>
      </x:c>
      <x:c r="E960" s="6" t="str">
        <x:v>自費</x:v>
      </x:c>
      <x:c r="F960" s="6" t="str">
        <x:v>固定假牙(黏著劑)</x:v>
      </x:c>
      <x:c r="G960" s="19" t="str">
        <x:v>△</x:v>
      </x:c>
      <x:c r="H960" s="17" t="str">
        <x:v>需加強</x:v>
      </x:c>
      <x:c r="I960" s="6" t="n">
        <x:v>22</x:v>
      </x:c>
    </x:row>
    <x:row r="961">
      <x:c r="A961" s="13" t="str">
        <x:v>1028</x:v>
      </x:c>
      <x:c r="B961" s="14" t="str"/>
      <x:c r="C961" s="14" t="str">
        <x:v>Lv.2</x:v>
      </x:c>
      <x:c r="D961" s="14" t="str">
        <x:v>李柄輝醫師</x:v>
      </x:c>
      <x:c r="E961" s="6" t="str"/>
      <x:c r="F961" s="6" t="str">
        <x:v>跟診順暢度</x:v>
      </x:c>
      <x:c r="G961" s="19" t="str">
        <x:v>◎</x:v>
      </x:c>
      <x:c r="H961" s="17" t="str">
        <x:v>熟練</x:v>
      </x:c>
      <x:c r="I961" s="6" t="n">
        <x:v>23</x:v>
      </x:c>
    </x:row>
    <x:row r="962">
      <x:c r="A962" s="13" t="str">
        <x:v>1028</x:v>
      </x:c>
      <x:c r="B962" s="14" t="str"/>
      <x:c r="C962" s="14" t="str">
        <x:v>Lv.2</x:v>
      </x:c>
      <x:c r="D962" s="14" t="str">
        <x:v>李柄輝醫師</x:v>
      </x:c>
      <x:c r="E962" s="6" t="str"/>
      <x:c r="F962" s="6" t="str">
        <x:v>病歷紀錄</x:v>
      </x:c>
      <x:c r="G962" s="19" t="str">
        <x:v>Ø</x:v>
      </x:c>
      <x:c r="H962" s="17" t="str">
        <x:v>尚未熟練</x:v>
      </x:c>
      <x:c r="I962" s="6" t="n">
        <x:v>24</x:v>
      </x:c>
    </x:row>
    <x:row r="963">
      <x:c r="A963" s="13" t="str">
        <x:v>1028</x:v>
      </x:c>
      <x:c r="B963" s="14" t="str"/>
      <x:c r="C963" s="14" t="str">
        <x:v>Lv.2</x:v>
      </x:c>
      <x:c r="D963" s="14" t="str">
        <x:v>李柄輝醫師</x:v>
      </x:c>
      <x:c r="E963" s="6" t="str"/>
      <x:c r="F963" s="6" t="str">
        <x:v>健保申報</x:v>
      </x:c>
      <x:c r="G963" s="19" t="str">
        <x:v>◎</x:v>
      </x:c>
      <x:c r="H963" s="17" t="str">
        <x:v>熟練</x:v>
      </x:c>
      <x:c r="I963" s="6" t="n">
        <x:v>25</x:v>
      </x:c>
    </x:row>
    <x:row r="964">
      <x:c r="A964" s="13" t="str">
        <x:v>1028</x:v>
      </x:c>
      <x:c r="B964" s="14" t="str"/>
      <x:c r="C964" s="14" t="str">
        <x:v>Lv.2</x:v>
      </x:c>
      <x:c r="D964" s="14" t="str">
        <x:v>李柄輝醫師</x:v>
      </x:c>
      <x:c r="E964" s="6" t="str"/>
      <x:c r="F964" s="6" t="str">
        <x:v>X光片紀錄</x:v>
      </x:c>
      <x:c r="G964" s="19" t="str">
        <x:v>Ø</x:v>
      </x:c>
      <x:c r="H964" s="17" t="str">
        <x:v>尚未熟練</x:v>
      </x:c>
      <x:c r="I964" s="6" t="n">
        <x:v>26</x:v>
      </x:c>
    </x:row>
    <x:row r="965">
      <x:c r="A965" s="13" t="str">
        <x:v>1028</x:v>
      </x:c>
      <x:c r="B965" s="14" t="str"/>
      <x:c r="C965" s="14" t="str">
        <x:v>Lv.2</x:v>
      </x:c>
      <x:c r="D965" s="14" t="str">
        <x:v>李柄輝醫師</x:v>
      </x:c>
      <x:c r="E965" s="6" t="str"/>
      <x:c r="F965" s="6" t="str">
        <x:v>拍PA</x:v>
      </x:c>
      <x:c r="G965" s="19" t="str">
        <x:v>Ø</x:v>
      </x:c>
      <x:c r="H965" s="17" t="str">
        <x:v>尚未熟練</x:v>
      </x:c>
      <x:c r="I965" s="6" t="n">
        <x:v>27</x:v>
      </x:c>
    </x:row>
    <x:row r="966">
      <x:c r="A966" s="13" t="str">
        <x:v>1028</x:v>
      </x:c>
      <x:c r="B966" s="14" t="str"/>
      <x:c r="C966" s="14" t="str">
        <x:v>Lv.2</x:v>
      </x:c>
      <x:c r="D966" s="14" t="str">
        <x:v>李侑津醫師</x:v>
      </x:c>
      <x:c r="E966" s="6" t="str">
        <x:v>器械準備</x:v>
      </x:c>
      <x:c r="F966" s="6" t="str">
        <x:v>洗牙</x:v>
      </x:c>
      <x:c r="G966" s="19" t="str">
        <x:v>※</x:v>
      </x:c>
      <x:c r="H966" s="17" t="str">
        <x:v>學習中</x:v>
      </x:c>
      <x:c r="I966" s="6" t="n">
        <x:v>28</x:v>
      </x:c>
    </x:row>
    <x:row r="967">
      <x:c r="A967" s="13" t="str">
        <x:v>1028</x:v>
      </x:c>
      <x:c r="B967" s="14" t="str"/>
      <x:c r="C967" s="14" t="str">
        <x:v>Lv.2</x:v>
      </x:c>
      <x:c r="D967" s="14" t="str">
        <x:v>李侑津醫師</x:v>
      </x:c>
      <x:c r="E967" s="6" t="str">
        <x:v>器械準備</x:v>
      </x:c>
      <x:c r="F967" s="6" t="str">
        <x:v>補牙</x:v>
      </x:c>
      <x:c r="G967" s="19" t="str">
        <x:v>※</x:v>
      </x:c>
      <x:c r="H967" s="17" t="str">
        <x:v>學習中</x:v>
      </x:c>
      <x:c r="I967" s="6" t="n">
        <x:v>29</x:v>
      </x:c>
    </x:row>
    <x:row r="968">
      <x:c r="A968" s="13" t="str">
        <x:v>1028</x:v>
      </x:c>
      <x:c r="B968" s="14" t="str"/>
      <x:c r="C968" s="14" t="str">
        <x:v>Lv.2</x:v>
      </x:c>
      <x:c r="D968" s="14" t="str">
        <x:v>李侑津醫師</x:v>
      </x:c>
      <x:c r="E968" s="6" t="str">
        <x:v>器械準備</x:v>
      </x:c>
      <x:c r="F968" s="6" t="str">
        <x:v>牙周統合</x:v>
      </x:c>
      <x:c r="G968" s="19" t="str">
        <x:v>※</x:v>
      </x:c>
      <x:c r="H968" s="17" t="str">
        <x:v>學習中</x:v>
      </x:c>
      <x:c r="I968" s="6" t="n">
        <x:v>30</x:v>
      </x:c>
    </x:row>
    <x:row r="969">
      <x:c r="A969" s="13" t="str">
        <x:v>1028</x:v>
      </x:c>
      <x:c r="B969" s="14" t="str"/>
      <x:c r="C969" s="14" t="str">
        <x:v>Lv.2</x:v>
      </x:c>
      <x:c r="D969" s="14" t="str">
        <x:v>李侑津醫師</x:v>
      </x:c>
      <x:c r="E969" s="6" t="str">
        <x:v>器械準備</x:v>
      </x:c>
      <x:c r="F969" s="6" t="str">
        <x:v>根管治療</x:v>
      </x:c>
      <x:c r="G969" s="19" t="str">
        <x:v>※</x:v>
      </x:c>
      <x:c r="H969" s="17" t="str">
        <x:v>學習中</x:v>
      </x:c>
      <x:c r="I969" s="6" t="n">
        <x:v>31</x:v>
      </x:c>
    </x:row>
    <x:row r="970">
      <x:c r="A970" s="13" t="str">
        <x:v>1028</x:v>
      </x:c>
      <x:c r="B970" s="14" t="str"/>
      <x:c r="C970" s="14" t="str">
        <x:v>Lv.2</x:v>
      </x:c>
      <x:c r="D970" s="14" t="str">
        <x:v>李侑津醫師</x:v>
      </x:c>
      <x:c r="E970" s="6" t="str">
        <x:v>器械準備</x:v>
      </x:c>
      <x:c r="F970" s="6" t="str">
        <x:v>拔牙</x:v>
      </x:c>
      <x:c r="G970" s="19" t="str">
        <x:v>※</x:v>
      </x:c>
      <x:c r="H970" s="17" t="str">
        <x:v>學習中</x:v>
      </x:c>
      <x:c r="I970" s="6" t="n">
        <x:v>32</x:v>
      </x:c>
    </x:row>
    <x:row r="971">
      <x:c r="A971" s="13" t="str">
        <x:v>1028</x:v>
      </x:c>
      <x:c r="B971" s="14" t="str"/>
      <x:c r="C971" s="14" t="str">
        <x:v>Lv.2</x:v>
      </x:c>
      <x:c r="D971" s="14" t="str">
        <x:v>李侑津醫師</x:v>
      </x:c>
      <x:c r="E971" s="6" t="str">
        <x:v>器械準備</x:v>
      </x:c>
      <x:c r="F971" s="6" t="str">
        <x:v>拆 crown/post</x:v>
      </x:c>
      <x:c r="G971" s="19" t="str">
        <x:v>※</x:v>
      </x:c>
      <x:c r="H971" s="17" t="str">
        <x:v>學習中</x:v>
      </x:c>
      <x:c r="I971" s="6" t="n">
        <x:v>33</x:v>
      </x:c>
    </x:row>
    <x:row r="972">
      <x:c r="A972" s="13" t="str">
        <x:v>1028</x:v>
      </x:c>
      <x:c r="B972" s="14" t="str"/>
      <x:c r="C972" s="14" t="str">
        <x:v>Lv.2</x:v>
      </x:c>
      <x:c r="D972" s="14" t="str">
        <x:v>李侑津醫師</x:v>
      </x:c>
      <x:c r="E972" s="6" t="str">
        <x:v>自費</x:v>
      </x:c>
      <x:c r="F972" s="6" t="str">
        <x:v>固定假牙</x:v>
      </x:c>
      <x:c r="G972" s="19" t="str">
        <x:v>※</x:v>
      </x:c>
      <x:c r="H972" s="17" t="str">
        <x:v>學習中</x:v>
      </x:c>
      <x:c r="I972" s="6" t="n">
        <x:v>34</x:v>
      </x:c>
    </x:row>
    <x:row r="973">
      <x:c r="A973" s="13" t="str">
        <x:v>1028</x:v>
      </x:c>
      <x:c r="B973" s="14" t="str"/>
      <x:c r="C973" s="14" t="str">
        <x:v>Lv.2</x:v>
      </x:c>
      <x:c r="D973" s="14" t="str">
        <x:v>李侑津醫師</x:v>
      </x:c>
      <x:c r="E973" s="6" t="str">
        <x:v>自費</x:v>
      </x:c>
      <x:c r="F973" s="6" t="str">
        <x:v>RPD</x:v>
      </x:c>
      <x:c r="G973" s="19" t="str">
        <x:v>※</x:v>
      </x:c>
      <x:c r="H973" s="17" t="str">
        <x:v>學習中</x:v>
      </x:c>
      <x:c r="I973" s="6" t="n">
        <x:v>35</x:v>
      </x:c>
    </x:row>
    <x:row r="974">
      <x:c r="A974" s="13" t="str">
        <x:v>1028</x:v>
      </x:c>
      <x:c r="B974" s="14" t="str"/>
      <x:c r="C974" s="14" t="str">
        <x:v>Lv.2</x:v>
      </x:c>
      <x:c r="D974" s="14" t="str">
        <x:v>李侑津醫師</x:v>
      </x:c>
      <x:c r="E974" s="6" t="str">
        <x:v>自費</x:v>
      </x:c>
      <x:c r="F974" s="6" t="str">
        <x:v>噴砂美白</x:v>
      </x:c>
      <x:c r="G974" s="19" t="str">
        <x:v>※</x:v>
      </x:c>
      <x:c r="H974" s="17" t="str">
        <x:v>學習中</x:v>
      </x:c>
      <x:c r="I974" s="6" t="n">
        <x:v>36</x:v>
      </x:c>
    </x:row>
    <x:row r="975">
      <x:c r="A975" s="13" t="str">
        <x:v>1028</x:v>
      </x:c>
      <x:c r="B975" s="14" t="str"/>
      <x:c r="C975" s="14" t="str">
        <x:v>Lv.2</x:v>
      </x:c>
      <x:c r="D975" s="14" t="str">
        <x:v>李侑津醫師</x:v>
      </x:c>
      <x:c r="E975" s="6" t="str">
        <x:v>手術</x:v>
      </x:c>
      <x:c r="F975" s="6" t="str">
        <x:v>牙周手術</x:v>
      </x:c>
      <x:c r="G975" s="19" t="str">
        <x:v>※</x:v>
      </x:c>
      <x:c r="H975" s="17" t="str">
        <x:v>學習中</x:v>
      </x:c>
      <x:c r="I975" s="6" t="n">
        <x:v>37</x:v>
      </x:c>
    </x:row>
    <x:row r="976">
      <x:c r="A976" s="13" t="str">
        <x:v>1028</x:v>
      </x:c>
      <x:c r="B976" s="14" t="str"/>
      <x:c r="C976" s="14" t="str">
        <x:v>Lv.2</x:v>
      </x:c>
      <x:c r="D976" s="14" t="str">
        <x:v>李侑津醫師</x:v>
      </x:c>
      <x:c r="E976" s="6" t="str">
        <x:v>手術</x:v>
      </x:c>
      <x:c r="F976" s="6" t="str">
        <x:v>顯微根管</x:v>
      </x:c>
      <x:c r="G976" s="19" t="str">
        <x:v>※</x:v>
      </x:c>
      <x:c r="H976" s="17" t="str">
        <x:v>學習中</x:v>
      </x:c>
      <x:c r="I976" s="6" t="n">
        <x:v>38</x:v>
      </x:c>
    </x:row>
    <x:row r="977">
      <x:c r="A977" s="13" t="str">
        <x:v>1028</x:v>
      </x:c>
      <x:c r="B977" s="14" t="str"/>
      <x:c r="C977" s="14" t="str">
        <x:v>Lv.2</x:v>
      </x:c>
      <x:c r="D977" s="14" t="str">
        <x:v>李侑津醫師</x:v>
      </x:c>
      <x:c r="E977" s="6" t="str">
        <x:v>手術</x:v>
      </x:c>
      <x:c r="F977" s="6" t="str">
        <x:v>植 牙</x:v>
      </x:c>
      <x:c r="G977" s="19" t="str">
        <x:v>※</x:v>
      </x:c>
      <x:c r="H977" s="17" t="str">
        <x:v>學習中</x:v>
      </x:c>
      <x:c r="I977" s="6" t="n">
        <x:v>39</x:v>
      </x:c>
    </x:row>
    <x:row r="978">
      <x:c r="A978" s="13" t="str">
        <x:v>1028</x:v>
      </x:c>
      <x:c r="B978" s="14" t="str"/>
      <x:c r="C978" s="14" t="str">
        <x:v>Lv.2</x:v>
      </x:c>
      <x:c r="D978" s="14" t="str">
        <x:v>李侑津醫師</x:v>
      </x:c>
      <x:c r="E978" s="6" t="str"/>
      <x:c r="F978" s="6" t="str">
        <x:v>跟診順暢度</x:v>
      </x:c>
      <x:c r="G978" s="19" t="str">
        <x:v>※</x:v>
      </x:c>
      <x:c r="H978" s="17" t="str">
        <x:v>學習中</x:v>
      </x:c>
      <x:c r="I978" s="6" t="n">
        <x:v>40</x:v>
      </x:c>
    </x:row>
    <x:row r="979">
      <x:c r="A979" s="13" t="str">
        <x:v>1028</x:v>
      </x:c>
      <x:c r="B979" s="14" t="str"/>
      <x:c r="C979" s="14" t="str">
        <x:v>Lv.2</x:v>
      </x:c>
      <x:c r="D979" s="14" t="str">
        <x:v>李侑津醫師</x:v>
      </x:c>
      <x:c r="E979" s="6" t="str"/>
      <x:c r="F979" s="6" t="str">
        <x:v>病歷紀錄</x:v>
      </x:c>
      <x:c r="G979" s="19" t="str">
        <x:v>※</x:v>
      </x:c>
      <x:c r="H979" s="17" t="str">
        <x:v>學習中</x:v>
      </x:c>
      <x:c r="I979" s="6" t="n">
        <x:v>41</x:v>
      </x:c>
    </x:row>
    <x:row r="980">
      <x:c r="A980" s="13" t="str">
        <x:v>1028</x:v>
      </x:c>
      <x:c r="B980" s="14" t="str"/>
      <x:c r="C980" s="14" t="str">
        <x:v>Lv.2</x:v>
      </x:c>
      <x:c r="D980" s="14" t="str">
        <x:v>李侑津醫師</x:v>
      </x:c>
      <x:c r="E980" s="6" t="str"/>
      <x:c r="F980" s="6" t="str">
        <x:v>健保申報</x:v>
      </x:c>
      <x:c r="G980" s="19" t="str">
        <x:v>※</x:v>
      </x:c>
      <x:c r="H980" s="17" t="str">
        <x:v>學習中</x:v>
      </x:c>
      <x:c r="I980" s="6" t="n">
        <x:v>42</x:v>
      </x:c>
    </x:row>
    <x:row r="981">
      <x:c r="A981" s="13" t="str">
        <x:v>1028</x:v>
      </x:c>
      <x:c r="B981" s="14" t="str"/>
      <x:c r="C981" s="14" t="str">
        <x:v>Lv.2</x:v>
      </x:c>
      <x:c r="D981" s="14" t="str">
        <x:v>李侑津醫師</x:v>
      </x:c>
      <x:c r="E981" s="6" t="str"/>
      <x:c r="F981" s="6" t="str">
        <x:v>X光片紀錄</x:v>
      </x:c>
      <x:c r="G981" s="19" t="str">
        <x:v>※</x:v>
      </x:c>
      <x:c r="H981" s="17" t="str">
        <x:v>學習中</x:v>
      </x:c>
      <x:c r="I981" s="6" t="n">
        <x:v>43</x:v>
      </x:c>
    </x:row>
    <x:row r="982">
      <x:c r="A982" s="13" t="str">
        <x:v>1028</x:v>
      </x:c>
      <x:c r="B982" s="14" t="str"/>
      <x:c r="C982" s="14" t="str">
        <x:v>Lv.2</x:v>
      </x:c>
      <x:c r="D982" s="14" t="str">
        <x:v>李侑津醫師</x:v>
      </x:c>
      <x:c r="E982" s="6" t="str"/>
      <x:c r="F982" s="6" t="str">
        <x:v>拍PA</x:v>
      </x:c>
      <x:c r="G982" s="19" t="str">
        <x:v>※</x:v>
      </x:c>
      <x:c r="H982" s="17" t="str">
        <x:v>學習中</x:v>
      </x:c>
      <x:c r="I982" s="6" t="n">
        <x:v>44</x:v>
      </x:c>
    </x:row>
    <x:row r="983">
      <x:c r="A983" s="13" t="str">
        <x:v>1028</x:v>
      </x:c>
      <x:c r="B983" s="14" t="str"/>
      <x:c r="C983" s="14" t="str">
        <x:v>Lv.2</x:v>
      </x:c>
      <x:c r="D983" s="14" t="str">
        <x:v>李侑津醫師</x:v>
      </x:c>
      <x:c r="E983" s="6" t="str"/>
      <x:c r="F983" s="6" t="str">
        <x:v>口掃機運用</x:v>
      </x:c>
      <x:c r="G983" s="19" t="str">
        <x:v>※</x:v>
      </x:c>
      <x:c r="H983" s="17" t="str">
        <x:v>學習中</x:v>
      </x:c>
      <x:c r="I983" s="6" t="n">
        <x:v>45</x:v>
      </x:c>
    </x:row>
    <x:row r="984">
      <x:c r="A984" s="13" t="str">
        <x:v>1028</x:v>
      </x:c>
      <x:c r="B984" s="14" t="str"/>
      <x:c r="C984" s="14" t="str">
        <x:v>Lv.2</x:v>
      </x:c>
      <x:c r="D984" s="14" t="str">
        <x:v>廖立揚醫師</x:v>
      </x:c>
      <x:c r="E984" s="6" t="str"/>
      <x:c r="F984" s="6" t="str">
        <x:v>器械熟悉度</x:v>
      </x:c>
      <x:c r="G984" s="19" t="str">
        <x:v>◎</x:v>
      </x:c>
      <x:c r="H984" s="17" t="str">
        <x:v>熟練</x:v>
      </x:c>
      <x:c r="I984" s="6" t="n">
        <x:v>46</x:v>
      </x:c>
    </x:row>
    <x:row r="985">
      <x:c r="A985" s="13" t="str">
        <x:v>1028</x:v>
      </x:c>
      <x:c r="B985" s="14" t="str"/>
      <x:c r="C985" s="14" t="str">
        <x:v>Lv.2</x:v>
      </x:c>
      <x:c r="D985" s="14" t="str">
        <x:v>廖立揚醫師</x:v>
      </x:c>
      <x:c r="E985" s="6" t="str"/>
      <x:c r="F985" s="6" t="str">
        <x:v>跟診順暢度</x:v>
      </x:c>
      <x:c r="G985" s="19" t="str">
        <x:v>◎</x:v>
      </x:c>
      <x:c r="H985" s="17" t="str">
        <x:v>熟練</x:v>
      </x:c>
      <x:c r="I985" s="6" t="n">
        <x:v>47</x:v>
      </x:c>
    </x:row>
    <x:row r="986">
      <x:c r="A986" s="13" t="str">
        <x:v>1028</x:v>
      </x:c>
      <x:c r="B986" s="14" t="str"/>
      <x:c r="C986" s="14" t="str">
        <x:v>Lv.2</x:v>
      </x:c>
      <x:c r="D986" s="14" t="str">
        <x:v>廖立揚醫師</x:v>
      </x:c>
      <x:c r="E986" s="6" t="str"/>
      <x:c r="F986" s="6" t="str">
        <x:v>病歷紀錄</x:v>
      </x:c>
      <x:c r="G986" s="19" t="str">
        <x:v>◎</x:v>
      </x:c>
      <x:c r="H986" s="17" t="str">
        <x:v>熟練</x:v>
      </x:c>
      <x:c r="I986" s="6" t="n">
        <x:v>48</x:v>
      </x:c>
    </x:row>
    <x:row r="987">
      <x:c r="A987" s="13" t="str">
        <x:v>1028</x:v>
      </x:c>
      <x:c r="B987" s="14" t="str"/>
      <x:c r="C987" s="14" t="str">
        <x:v>Lv.2</x:v>
      </x:c>
      <x:c r="D987" s="14" t="str">
        <x:v>廖立揚醫師</x:v>
      </x:c>
      <x:c r="E987" s="6" t="str"/>
      <x:c r="F987" s="6" t="str">
        <x:v>健保申報(初診pano)</x:v>
      </x:c>
      <x:c r="G987" s="19" t="str">
        <x:v>Ø</x:v>
      </x:c>
      <x:c r="H987" s="17" t="str">
        <x:v>尚未熟練</x:v>
      </x:c>
      <x:c r="I987" s="6" t="n">
        <x:v>49</x:v>
      </x:c>
    </x:row>
    <x:row r="988">
      <x:c r="A988" s="13" t="str">
        <x:v>1028</x:v>
      </x:c>
      <x:c r="B988" s="14" t="str"/>
      <x:c r="C988" s="14" t="str">
        <x:v>Lv.2</x:v>
      </x:c>
      <x:c r="D988" s="14" t="str">
        <x:v>廖立揚醫師</x:v>
      </x:c>
      <x:c r="E988" s="6" t="str"/>
      <x:c r="F988" s="6" t="str">
        <x:v>X光片紀錄</x:v>
      </x:c>
      <x:c r="G988" s="19" t="str">
        <x:v>◎</x:v>
      </x:c>
      <x:c r="H988" s="17" t="str">
        <x:v>熟練</x:v>
      </x:c>
      <x:c r="I988" s="6" t="n">
        <x:v>50</x:v>
      </x:c>
    </x:row>
    <x:row r="989">
      <x:c r="A989" s="13" t="str">
        <x:v>1028</x:v>
      </x:c>
      <x:c r="B989" s="14" t="str"/>
      <x:c r="C989" s="14" t="str">
        <x:v>Lv.2</x:v>
      </x:c>
      <x:c r="D989" s="14" t="str">
        <x:v>廖立揚醫師</x:v>
      </x:c>
      <x:c r="E989" s="6" t="str"/>
      <x:c r="F989" s="6" t="str">
        <x:v>拍PANO、PA</x:v>
      </x:c>
      <x:c r="G989" s="19" t="str">
        <x:v>◎</x:v>
      </x:c>
      <x:c r="H989" s="17" t="str">
        <x:v>熟練</x:v>
      </x:c>
      <x:c r="I989" s="6" t="n">
        <x:v>51</x:v>
      </x:c>
    </x:row>
    <x:row r="990">
      <x:c r="A990" s="13" t="str">
        <x:v>1028</x:v>
      </x:c>
      <x:c r="B990" s="14" t="str"/>
      <x:c r="C990" s="14" t="str">
        <x:v>Lv.2</x:v>
      </x:c>
      <x:c r="D990" s="14" t="str">
        <x:v>廖立揚醫師</x:v>
      </x:c>
      <x:c r="E990" s="6" t="str"/>
      <x:c r="F990" s="6" t="str">
        <x:v>CT照</x:v>
      </x:c>
      <x:c r="G990" s="19" t="str">
        <x:v>◎</x:v>
      </x:c>
      <x:c r="H990" s="17" t="str">
        <x:v>熟練</x:v>
      </x:c>
      <x:c r="I990" s="6" t="n">
        <x:v>52</x:v>
      </x:c>
    </x:row>
    <x:row r="991">
      <x:c r="A991" s="13" t="str">
        <x:v>1028</x:v>
      </x:c>
      <x:c r="B991" s="14" t="str"/>
      <x:c r="C991" s="14" t="str">
        <x:v>Lv.2</x:v>
      </x:c>
      <x:c r="D991" s="14" t="str">
        <x:v>廖立揚醫師</x:v>
      </x:c>
      <x:c r="E991" s="6" t="str"/>
      <x:c r="F991" s="6" t="str">
        <x:v>側頭顱照</x:v>
      </x:c>
      <x:c r="G991" s="19" t="str">
        <x:v>Ø</x:v>
      </x:c>
      <x:c r="H991" s="17" t="str">
        <x:v>尚未熟練</x:v>
      </x:c>
      <x:c r="I991" s="6" t="n">
        <x:v>53</x:v>
      </x:c>
    </x:row>
    <x:row r="992">
      <x:c r="A992" s="13" t="str">
        <x:v>1028</x:v>
      </x:c>
      <x:c r="B992" s="14" t="str"/>
      <x:c r="C992" s="14" t="str">
        <x:v>Lv.2</x:v>
      </x:c>
      <x:c r="D992" s="14" t="str">
        <x:v>廖立揚醫師</x:v>
      </x:c>
      <x:c r="E992" s="6" t="str"/>
      <x:c r="F992" s="6" t="str">
        <x:v>口掃機運用</x:v>
      </x:c>
      <x:c r="G992" s="19" t="str">
        <x:v>Ø</x:v>
      </x:c>
      <x:c r="H992" s="17" t="str">
        <x:v>尚未熟練</x:v>
      </x:c>
      <x:c r="I992" s="6" t="n">
        <x:v>54</x:v>
      </x:c>
    </x:row>
    <x:row r="993">
      <x:c r="A993" s="13" t="str">
        <x:v>1028</x:v>
      </x:c>
      <x:c r="B993" s="14" t="str"/>
      <x:c r="C993" s="14" t="str">
        <x:v>Lv.2</x:v>
      </x:c>
      <x:c r="D993" s="14" t="str">
        <x:v>楊小瑩醫師</x:v>
      </x:c>
      <x:c r="E993" s="6" t="str">
        <x:v>器械準備</x:v>
      </x:c>
      <x:c r="F993" s="6" t="str">
        <x:v>洗牙</x:v>
      </x:c>
      <x:c r="G993" s="19" t="str">
        <x:v>◎</x:v>
      </x:c>
      <x:c r="H993" s="17" t="str">
        <x:v>熟練</x:v>
      </x:c>
      <x:c r="I993" s="6" t="n">
        <x:v>55</x:v>
      </x:c>
    </x:row>
    <x:row r="994">
      <x:c r="A994" s="13" t="str">
        <x:v>1028</x:v>
      </x:c>
      <x:c r="B994" s="14" t="str"/>
      <x:c r="C994" s="14" t="str">
        <x:v>Lv.2</x:v>
      </x:c>
      <x:c r="D994" s="14" t="str">
        <x:v>楊小瑩醫師</x:v>
      </x:c>
      <x:c r="E994" s="6" t="str">
        <x:v>器械準備</x:v>
      </x:c>
      <x:c r="F994" s="6" t="str">
        <x:v>補牙</x:v>
      </x:c>
      <x:c r="G994" s="19" t="str">
        <x:v>※</x:v>
      </x:c>
      <x:c r="H994" s="17" t="str">
        <x:v>學習中</x:v>
      </x:c>
      <x:c r="I994" s="6" t="n">
        <x:v>56</x:v>
      </x:c>
    </x:row>
    <x:row r="995">
      <x:c r="A995" s="13" t="str">
        <x:v>1028</x:v>
      </x:c>
      <x:c r="B995" s="14" t="str"/>
      <x:c r="C995" s="14" t="str">
        <x:v>Lv.2</x:v>
      </x:c>
      <x:c r="D995" s="14" t="str">
        <x:v>楊小瑩醫師</x:v>
      </x:c>
      <x:c r="E995" s="6" t="str">
        <x:v>器械準備</x:v>
      </x:c>
      <x:c r="F995" s="6" t="str">
        <x:v>根管治療</x:v>
      </x:c>
      <x:c r="G995" s="19" t="str">
        <x:v>※</x:v>
      </x:c>
      <x:c r="H995" s="17" t="str">
        <x:v>學習中</x:v>
      </x:c>
      <x:c r="I995" s="6" t="n">
        <x:v>57</x:v>
      </x:c>
    </x:row>
    <x:row r="996">
      <x:c r="A996" s="13" t="str">
        <x:v>1028</x:v>
      </x:c>
      <x:c r="B996" s="14" t="str"/>
      <x:c r="C996" s="14" t="str">
        <x:v>Lv.2</x:v>
      </x:c>
      <x:c r="D996" s="14" t="str">
        <x:v>楊小瑩醫師</x:v>
      </x:c>
      <x:c r="E996" s="6" t="str">
        <x:v>器械準備</x:v>
      </x:c>
      <x:c r="F996" s="6" t="str">
        <x:v>拔牙</x:v>
      </x:c>
      <x:c r="G996" s="19" t="str">
        <x:v>※</x:v>
      </x:c>
      <x:c r="H996" s="17" t="str">
        <x:v>學習中</x:v>
      </x:c>
      <x:c r="I996" s="6" t="n">
        <x:v>58</x:v>
      </x:c>
    </x:row>
    <x:row r="997">
      <x:c r="A997" s="13" t="str">
        <x:v>1028</x:v>
      </x:c>
      <x:c r="B997" s="14" t="str"/>
      <x:c r="C997" s="14" t="str">
        <x:v>Lv.2</x:v>
      </x:c>
      <x:c r="D997" s="14" t="str">
        <x:v>楊小瑩醫師</x:v>
      </x:c>
      <x:c r="E997" s="6" t="str">
        <x:v>器械準備</x:v>
      </x:c>
      <x:c r="F997" s="6" t="str">
        <x:v>拆 crown/post</x:v>
      </x:c>
      <x:c r="G997" s="19" t="str">
        <x:v>※</x:v>
      </x:c>
      <x:c r="H997" s="17" t="str">
        <x:v>學習中</x:v>
      </x:c>
      <x:c r="I997" s="6" t="n">
        <x:v>59</x:v>
      </x:c>
    </x:row>
    <x:row r="998">
      <x:c r="A998" s="13" t="str">
        <x:v>1028</x:v>
      </x:c>
      <x:c r="B998" s="14" t="str"/>
      <x:c r="C998" s="14" t="str">
        <x:v>Lv.2</x:v>
      </x:c>
      <x:c r="D998" s="14" t="str">
        <x:v>楊小瑩醫師</x:v>
      </x:c>
      <x:c r="E998" s="6" t="str">
        <x:v>自費</x:v>
      </x:c>
      <x:c r="F998" s="6" t="str">
        <x:v>固定假牙</x:v>
      </x:c>
      <x:c r="G998" s="19" t="str">
        <x:v>※</x:v>
      </x:c>
      <x:c r="H998" s="17" t="str">
        <x:v>學習中</x:v>
      </x:c>
      <x:c r="I998" s="6" t="n">
        <x:v>60</x:v>
      </x:c>
    </x:row>
    <x:row r="999">
      <x:c r="A999" s="13" t="str">
        <x:v>1028</x:v>
      </x:c>
      <x:c r="B999" s="14" t="str"/>
      <x:c r="C999" s="14" t="str">
        <x:v>Lv.2</x:v>
      </x:c>
      <x:c r="D999" s="14" t="str">
        <x:v>楊小瑩醫師</x:v>
      </x:c>
      <x:c r="E999" s="6" t="str">
        <x:v>自費</x:v>
      </x:c>
      <x:c r="F999" s="6" t="str">
        <x:v>RPD</x:v>
      </x:c>
      <x:c r="G999" s="19" t="str">
        <x:v>※</x:v>
      </x:c>
      <x:c r="H999" s="17" t="str">
        <x:v>學習中</x:v>
      </x:c>
      <x:c r="I999" s="6" t="n">
        <x:v>61</x:v>
      </x:c>
    </x:row>
    <x:row r="1000">
      <x:c r="A1000" s="13" t="str">
        <x:v>1028</x:v>
      </x:c>
      <x:c r="B1000" s="14" t="str"/>
      <x:c r="C1000" s="14" t="str">
        <x:v>Lv.2</x:v>
      </x:c>
      <x:c r="D1000" s="14" t="str">
        <x:v>楊小瑩醫師</x:v>
      </x:c>
      <x:c r="E1000" s="6" t="str">
        <x:v>自費</x:v>
      </x:c>
      <x:c r="F1000" s="6" t="str">
        <x:v>噴砂美白</x:v>
      </x:c>
      <x:c r="G1000" s="19" t="str">
        <x:v>※</x:v>
      </x:c>
      <x:c r="H1000" s="17" t="str">
        <x:v>學習中</x:v>
      </x:c>
      <x:c r="I1000" s="6" t="n">
        <x:v>62</x:v>
      </x:c>
    </x:row>
    <x:row r="1001">
      <x:c r="A1001" s="13" t="str">
        <x:v>1028</x:v>
      </x:c>
      <x:c r="B1001" s="14" t="str"/>
      <x:c r="C1001" s="14" t="str">
        <x:v>Lv.2</x:v>
      </x:c>
      <x:c r="D1001" s="14" t="str">
        <x:v>楊小瑩醫師</x:v>
      </x:c>
      <x:c r="E1001" s="6" t="str"/>
      <x:c r="F1001" s="6" t="str">
        <x:v>跟診順暢度</x:v>
      </x:c>
      <x:c r="G1001" s="19" t="str">
        <x:v>※</x:v>
      </x:c>
      <x:c r="H1001" s="17" t="str">
        <x:v>學習中</x:v>
      </x:c>
      <x:c r="I1001" s="6" t="n">
        <x:v>63</x:v>
      </x:c>
    </x:row>
    <x:row r="1002">
      <x:c r="A1002" s="13" t="str">
        <x:v>1028</x:v>
      </x:c>
      <x:c r="B1002" s="14" t="str"/>
      <x:c r="C1002" s="14" t="str">
        <x:v>Lv.2</x:v>
      </x:c>
      <x:c r="D1002" s="14" t="str">
        <x:v>楊小瑩醫師</x:v>
      </x:c>
      <x:c r="E1002" s="6" t="str"/>
      <x:c r="F1002" s="6" t="str">
        <x:v>病歷紀錄</x:v>
      </x:c>
      <x:c r="G1002" s="19" t="str">
        <x:v>※</x:v>
      </x:c>
      <x:c r="H1002" s="17" t="str">
        <x:v>學習中</x:v>
      </x:c>
      <x:c r="I1002" s="6" t="n">
        <x:v>64</x:v>
      </x:c>
    </x:row>
    <x:row r="1003">
      <x:c r="A1003" s="13" t="str">
        <x:v>1028</x:v>
      </x:c>
      <x:c r="B1003" s="14" t="str"/>
      <x:c r="C1003" s="14" t="str">
        <x:v>Lv.2</x:v>
      </x:c>
      <x:c r="D1003" s="14" t="str">
        <x:v>楊小瑩醫師</x:v>
      </x:c>
      <x:c r="E1003" s="6" t="str"/>
      <x:c r="F1003" s="6" t="str">
        <x:v>健保申報</x:v>
      </x:c>
      <x:c r="G1003" s="19" t="str">
        <x:v>※</x:v>
      </x:c>
      <x:c r="H1003" s="17" t="str">
        <x:v>學習中</x:v>
      </x:c>
      <x:c r="I1003" s="6" t="n">
        <x:v>65</x:v>
      </x:c>
    </x:row>
    <x:row r="1004">
      <x:c r="A1004" s="13" t="str">
        <x:v>1028</x:v>
      </x:c>
      <x:c r="B1004" s="14" t="str"/>
      <x:c r="C1004" s="14" t="str">
        <x:v>Lv.2</x:v>
      </x:c>
      <x:c r="D1004" s="14" t="str">
        <x:v>楊小瑩醫師</x:v>
      </x:c>
      <x:c r="E1004" s="6" t="str"/>
      <x:c r="F1004" s="6" t="str">
        <x:v>X光片紀錄</x:v>
      </x:c>
      <x:c r="G1004" s="19" t="str">
        <x:v>※</x:v>
      </x:c>
      <x:c r="H1004" s="17" t="str">
        <x:v>學習中</x:v>
      </x:c>
      <x:c r="I1004" s="6" t="n">
        <x:v>66</x:v>
      </x:c>
    </x:row>
    <x:row r="1005">
      <x:c r="A1005" s="13" t="str">
        <x:v>1028</x:v>
      </x:c>
      <x:c r="B1005" s="14" t="str"/>
      <x:c r="C1005" s="14" t="str">
        <x:v>Lv.2</x:v>
      </x:c>
      <x:c r="D1005" s="14" t="str">
        <x:v>楊小瑩醫師</x:v>
      </x:c>
      <x:c r="E1005" s="6" t="str"/>
      <x:c r="F1005" s="6" t="str">
        <x:v>拍PA</x:v>
      </x:c>
      <x:c r="G1005" s="19" t="str">
        <x:v>※</x:v>
      </x:c>
      <x:c r="H1005" s="17" t="str">
        <x:v>學習中</x:v>
      </x:c>
      <x:c r="I1005" s="6" t="n">
        <x:v>67</x:v>
      </x:c>
    </x:row>
    <x:row r="1006">
      <x:c r="A1006" s="13" t="str">
        <x:v>1028</x:v>
      </x:c>
      <x:c r="B1006" s="14" t="str"/>
      <x:c r="C1006" s="14" t="str">
        <x:v>Lv.2</x:v>
      </x:c>
      <x:c r="D1006" s="14" t="str">
        <x:v>王俊偉醫師</x:v>
      </x:c>
      <x:c r="E1006" s="6" t="str"/>
      <x:c r="F1006" s="6" t="str">
        <x:v>器械熟悉度</x:v>
      </x:c>
      <x:c r="G1006" s="19" t="str"/>
      <x:c r="H1006" s="17" t="str">
        <x:v>未評分</x:v>
      </x:c>
      <x:c r="I1006" s="6" t="n">
        <x:v>68</x:v>
      </x:c>
    </x:row>
    <x:row r="1007">
      <x:c r="A1007" s="13" t="str">
        <x:v>1028</x:v>
      </x:c>
      <x:c r="B1007" s="14" t="str"/>
      <x:c r="C1007" s="14" t="str">
        <x:v>Lv.2</x:v>
      </x:c>
      <x:c r="D1007" s="14" t="str">
        <x:v>王俊偉醫師</x:v>
      </x:c>
      <x:c r="E1007" s="6" t="str"/>
      <x:c r="F1007" s="6" t="str">
        <x:v>跟診順暢度</x:v>
      </x:c>
      <x:c r="G1007" s="19" t="str"/>
      <x:c r="H1007" s="17" t="str">
        <x:v>未評分</x:v>
      </x:c>
      <x:c r="I1007" s="6" t="n">
        <x:v>69</x:v>
      </x:c>
    </x:row>
    <x:row r="1008">
      <x:c r="A1008" s="13" t="str">
        <x:v>1028</x:v>
      </x:c>
      <x:c r="B1008" s="14" t="str"/>
      <x:c r="C1008" s="14" t="str">
        <x:v>Lv.2</x:v>
      </x:c>
      <x:c r="D1008" s="14" t="str">
        <x:v>王俊偉醫師</x:v>
      </x:c>
      <x:c r="E1008" s="6" t="str"/>
      <x:c r="F1008" s="6" t="str">
        <x:v>病歷紀錄</x:v>
      </x:c>
      <x:c r="G1008" s="19" t="str"/>
      <x:c r="H1008" s="17" t="str">
        <x:v>未評分</x:v>
      </x:c>
      <x:c r="I1008" s="6" t="n">
        <x:v>70</x:v>
      </x:c>
    </x:row>
    <x:row r="1009">
      <x:c r="A1009" s="13" t="str">
        <x:v>1028</x:v>
      </x:c>
      <x:c r="B1009" s="14" t="str"/>
      <x:c r="C1009" s="14" t="str">
        <x:v>Lv.2</x:v>
      </x:c>
      <x:c r="D1009" s="14" t="str">
        <x:v>王俊偉醫師</x:v>
      </x:c>
      <x:c r="E1009" s="6" t="str"/>
      <x:c r="F1009" s="6" t="str">
        <x:v>健保申報</x:v>
      </x:c>
      <x:c r="G1009" s="19" t="str"/>
      <x:c r="H1009" s="17" t="str">
        <x:v>未評分</x:v>
      </x:c>
      <x:c r="I1009" s="6" t="n">
        <x:v>71</x:v>
      </x:c>
    </x:row>
    <x:row r="1010">
      <x:c r="A1010" s="13" t="str">
        <x:v>1028</x:v>
      </x:c>
      <x:c r="B1010" s="14" t="str"/>
      <x:c r="C1010" s="14" t="str">
        <x:v>Lv.2</x:v>
      </x:c>
      <x:c r="D1010" s="14" t="str">
        <x:v>王俊偉醫師</x:v>
      </x:c>
      <x:c r="E1010" s="6" t="str"/>
      <x:c r="F1010" s="6" t="str">
        <x:v>X光片紀錄</x:v>
      </x:c>
      <x:c r="G1010" s="19" t="str"/>
      <x:c r="H1010" s="17" t="str">
        <x:v>未評分</x:v>
      </x:c>
      <x:c r="I1010" s="6" t="n">
        <x:v>72</x:v>
      </x:c>
    </x:row>
    <x:row r="1011">
      <x:c r="A1011" s="13" t="str">
        <x:v>1028</x:v>
      </x:c>
      <x:c r="B1011" s="14" t="str"/>
      <x:c r="C1011" s="14" t="str">
        <x:v>Lv.2</x:v>
      </x:c>
      <x:c r="D1011" s="14" t="str">
        <x:v>王俊偉醫師</x:v>
      </x:c>
      <x:c r="E1011" s="6" t="str"/>
      <x:c r="F1011" s="6" t="str">
        <x:v>拍PANO、PA</x:v>
      </x:c>
      <x:c r="G1011" s="19" t="str"/>
      <x:c r="H1011" s="17" t="str">
        <x:v>未評分</x:v>
      </x:c>
      <x:c r="I1011" s="6" t="n">
        <x:v>73</x:v>
      </x:c>
    </x:row>
    <x:row r="1012">
      <x:c r="A1012" s="13" t="str">
        <x:v>1028</x:v>
      </x:c>
      <x:c r="B1012" s="14" t="str"/>
      <x:c r="C1012" s="14" t="str">
        <x:v>Lv.2</x:v>
      </x:c>
      <x:c r="D1012" s="14" t="str">
        <x:v>王俊偉醫師</x:v>
      </x:c>
      <x:c r="E1012" s="6" t="str"/>
      <x:c r="F1012" s="6" t="str">
        <x:v>CT照</x:v>
      </x:c>
      <x:c r="G1012" s="19" t="str"/>
      <x:c r="H1012" s="17" t="str">
        <x:v>未評分</x:v>
      </x:c>
      <x:c r="I1012" s="6" t="n">
        <x:v>74</x:v>
      </x:c>
    </x:row>
    <x:row r="1013">
      <x:c r="A1013" s="13" t="str">
        <x:v>1028</x:v>
      </x:c>
      <x:c r="B1013" s="14" t="str"/>
      <x:c r="C1013" s="14" t="str">
        <x:v>Lv.2</x:v>
      </x:c>
      <x:c r="D1013" s="14" t="str">
        <x:v>王俊偉醫師</x:v>
      </x:c>
      <x:c r="E1013" s="6" t="str"/>
      <x:c r="F1013" s="6" t="str">
        <x:v>側頭顱照</x:v>
      </x:c>
      <x:c r="G1013" s="19" t="str"/>
      <x:c r="H1013" s="17" t="str">
        <x:v>未評分</x:v>
      </x:c>
      <x:c r="I1013" s="6" t="n">
        <x:v>75</x:v>
      </x:c>
    </x:row>
    <x:row r="1014">
      <x:c r="A1014" s="13" t="str">
        <x:v>1028</x:v>
      </x:c>
      <x:c r="B1014" s="14" t="str"/>
      <x:c r="C1014" s="14" t="str">
        <x:v>Lv.2</x:v>
      </x:c>
      <x:c r="D1014" s="14" t="str">
        <x:v>王俊偉醫師</x:v>
      </x:c>
      <x:c r="E1014" s="6" t="str"/>
      <x:c r="F1014" s="6" t="str">
        <x:v>口掃機運用</x:v>
      </x:c>
      <x:c r="G1014" s="19" t="str"/>
      <x:c r="H1014" s="17" t="str">
        <x:v>未評分</x:v>
      </x:c>
      <x:c r="I1014" s="6" t="n">
        <x:v>76</x:v>
      </x:c>
    </x:row>
    <x:row r="1015">
      <x:c r="A1015" s="13" t="str">
        <x:v>1028</x:v>
      </x:c>
      <x:c r="B1015" s="14" t="str"/>
      <x:c r="C1015" s="14" t="str">
        <x:v>Lv.2</x:v>
      </x:c>
      <x:c r="D1015" s="14" t="str">
        <x:v>許馨文醫師</x:v>
      </x:c>
      <x:c r="E1015" s="6" t="str"/>
      <x:c r="F1015" s="6" t="str">
        <x:v>器械熟悉度</x:v>
      </x:c>
      <x:c r="G1015" s="19" t="str">
        <x:v>◎</x:v>
      </x:c>
      <x:c r="H1015" s="17" t="str">
        <x:v>熟練</x:v>
      </x:c>
      <x:c r="I1015" s="6" t="n">
        <x:v>77</x:v>
      </x:c>
    </x:row>
    <x:row r="1016">
      <x:c r="A1016" s="13" t="str">
        <x:v>1028</x:v>
      </x:c>
      <x:c r="B1016" s="14" t="str"/>
      <x:c r="C1016" s="14" t="str">
        <x:v>Lv.2</x:v>
      </x:c>
      <x:c r="D1016" s="14" t="str">
        <x:v>許馨文醫師</x:v>
      </x:c>
      <x:c r="E1016" s="6" t="str"/>
      <x:c r="F1016" s="6" t="str">
        <x:v>吸口水技巧</x:v>
      </x:c>
      <x:c r="G1016" s="19" t="str">
        <x:v>◎</x:v>
      </x:c>
      <x:c r="H1016" s="17" t="str">
        <x:v>熟練</x:v>
      </x:c>
      <x:c r="I1016" s="6" t="n">
        <x:v>78</x:v>
      </x:c>
    </x:row>
    <x:row r="1017">
      <x:c r="A1017" s="13" t="str">
        <x:v>1028</x:v>
      </x:c>
      <x:c r="B1017" s="14" t="str"/>
      <x:c r="C1017" s="14" t="str">
        <x:v>Lv.2</x:v>
      </x:c>
      <x:c r="D1017" s="14" t="str">
        <x:v>許馨文醫師</x:v>
      </x:c>
      <x:c r="E1017" s="6" t="str"/>
      <x:c r="F1017" s="6" t="str">
        <x:v>病歷紀錄</x:v>
      </x:c>
      <x:c r="G1017" s="19" t="str">
        <x:v>◎</x:v>
      </x:c>
      <x:c r="H1017" s="17" t="str">
        <x:v>熟練</x:v>
      </x:c>
      <x:c r="I1017" s="6" t="n">
        <x:v>79</x:v>
      </x:c>
    </x:row>
    <x:row r="1018">
      <x:c r="A1018" s="13" t="str">
        <x:v>1028</x:v>
      </x:c>
      <x:c r="B1018" s="14" t="str"/>
      <x:c r="C1018" s="14" t="str">
        <x:v>Lv.2</x:v>
      </x:c>
      <x:c r="D1018" s="14" t="str">
        <x:v>許馨文醫師</x:v>
      </x:c>
      <x:c r="E1018" s="6" t="str"/>
      <x:c r="F1018" s="6" t="str">
        <x:v>健保申報</x:v>
      </x:c>
      <x:c r="G1018" s="19" t="str">
        <x:v>◎</x:v>
      </x:c>
      <x:c r="H1018" s="17" t="str">
        <x:v>熟練</x:v>
      </x:c>
      <x:c r="I1018" s="6" t="n">
        <x:v>80</x:v>
      </x:c>
    </x:row>
    <x:row r="1019">
      <x:c r="A1019" s="13" t="str">
        <x:v>1028</x:v>
      </x:c>
      <x:c r="B1019" s="14" t="str"/>
      <x:c r="C1019" s="14" t="str">
        <x:v>Lv.2</x:v>
      </x:c>
      <x:c r="D1019" s="14" t="str">
        <x:v>許馨文醫師</x:v>
      </x:c>
      <x:c r="E1019" s="6" t="str"/>
      <x:c r="F1019" s="6" t="str">
        <x:v>X光片紀錄</x:v>
      </x:c>
      <x:c r="G1019" s="19" t="str">
        <x:v>◎</x:v>
      </x:c>
      <x:c r="H1019" s="17" t="str">
        <x:v>熟練</x:v>
      </x:c>
      <x:c r="I1019" s="6" t="n">
        <x:v>81</x:v>
      </x:c>
    </x:row>
    <x:row r="1020">
      <x:c r="A1020" s="13" t="str">
        <x:v>1028</x:v>
      </x:c>
      <x:c r="B1020" s="14" t="str"/>
      <x:c r="C1020" s="14" t="str">
        <x:v>Lv.2</x:v>
      </x:c>
      <x:c r="D1020" s="14" t="str">
        <x:v>許馨文醫師</x:v>
      </x:c>
      <x:c r="E1020" s="6" t="str"/>
      <x:c r="F1020" s="6" t="str">
        <x:v>拍PANO、PA</x:v>
      </x:c>
      <x:c r="G1020" s="19" t="str">
        <x:v>◎</x:v>
      </x:c>
      <x:c r="H1020" s="17" t="str">
        <x:v>熟練</x:v>
      </x:c>
      <x:c r="I1020" s="6" t="n">
        <x:v>82</x:v>
      </x:c>
    </x:row>
    <x:row r="1021">
      <x:c r="A1021" s="13" t="str">
        <x:v>1028</x:v>
      </x:c>
      <x:c r="B1021" s="14" t="str"/>
      <x:c r="C1021" s="14" t="str">
        <x:v>Lv.2</x:v>
      </x:c>
      <x:c r="D1021" s="14" t="str">
        <x:v>林晏妤醫師</x:v>
      </x:c>
      <x:c r="E1021" s="6" t="str"/>
      <x:c r="F1021" s="6" t="str">
        <x:v>器械熟悉度</x:v>
      </x:c>
      <x:c r="G1021" s="19" t="str">
        <x:v>※</x:v>
      </x:c>
      <x:c r="H1021" s="17" t="str">
        <x:v>學習中</x:v>
      </x:c>
      <x:c r="I1021" s="6" t="n">
        <x:v>83</x:v>
      </x:c>
    </x:row>
    <x:row r="1022">
      <x:c r="A1022" s="13" t="str">
        <x:v>1028</x:v>
      </x:c>
      <x:c r="B1022" s="14" t="str"/>
      <x:c r="C1022" s="14" t="str">
        <x:v>Lv.2</x:v>
      </x:c>
      <x:c r="D1022" s="14" t="str">
        <x:v>林晏妤醫師</x:v>
      </x:c>
      <x:c r="E1022" s="6" t="str"/>
      <x:c r="F1022" s="6" t="str">
        <x:v>跟診順暢度</x:v>
      </x:c>
      <x:c r="G1022" s="19" t="str">
        <x:v>※</x:v>
      </x:c>
      <x:c r="H1022" s="17" t="str">
        <x:v>學習中</x:v>
      </x:c>
      <x:c r="I1022" s="6" t="n">
        <x:v>84</x:v>
      </x:c>
    </x:row>
    <x:row r="1023">
      <x:c r="A1023" s="13" t="str">
        <x:v>1028</x:v>
      </x:c>
      <x:c r="B1023" s="14" t="str"/>
      <x:c r="C1023" s="14" t="str">
        <x:v>Lv.2</x:v>
      </x:c>
      <x:c r="D1023" s="14" t="str">
        <x:v>林晏妤醫師</x:v>
      </x:c>
      <x:c r="E1023" s="6" t="str"/>
      <x:c r="F1023" s="6" t="str">
        <x:v>病歷紀錄</x:v>
      </x:c>
      <x:c r="G1023" s="19" t="str">
        <x:v>※</x:v>
      </x:c>
      <x:c r="H1023" s="17" t="str">
        <x:v>學習中</x:v>
      </x:c>
      <x:c r="I1023" s="6" t="n">
        <x:v>85</x:v>
      </x:c>
    </x:row>
    <x:row r="1024">
      <x:c r="A1024" s="13" t="str">
        <x:v>1028</x:v>
      </x:c>
      <x:c r="B1024" s="14" t="str"/>
      <x:c r="C1024" s="14" t="str">
        <x:v>Lv.2</x:v>
      </x:c>
      <x:c r="D1024" s="14" t="str">
        <x:v>林晏妤醫師</x:v>
      </x:c>
      <x:c r="E1024" s="6" t="str"/>
      <x:c r="F1024" s="6" t="str">
        <x:v>X光片紀錄</x:v>
      </x:c>
      <x:c r="G1024" s="19" t="str">
        <x:v>※</x:v>
      </x:c>
      <x:c r="H1024" s="17" t="str">
        <x:v>學習中</x:v>
      </x:c>
      <x:c r="I1024" s="6" t="n">
        <x:v>86</x:v>
      </x:c>
    </x:row>
    <x:row r="1025">
      <x:c r="A1025" s="13" t="str">
        <x:v>1028</x:v>
      </x:c>
      <x:c r="B1025" s="14" t="str"/>
      <x:c r="C1025" s="14" t="str">
        <x:v>Lv.2</x:v>
      </x:c>
      <x:c r="D1025" s="14" t="str">
        <x:v>林晏妤醫師</x:v>
      </x:c>
      <x:c r="E1025" s="6" t="str"/>
      <x:c r="F1025" s="6" t="str">
        <x:v>手持X光機</x:v>
      </x:c>
      <x:c r="G1025" s="19" t="str">
        <x:v>◎</x:v>
      </x:c>
      <x:c r="H1025" s="17" t="str">
        <x:v>熟練</x:v>
      </x:c>
      <x:c r="I1025" s="6" t="n">
        <x:v>87</x:v>
      </x:c>
    </x:row>
    <x:row r="1026">
      <x:c r="A1026" s="13" t="str">
        <x:v>1028</x:v>
      </x:c>
      <x:c r="B1026" s="14" t="str"/>
      <x:c r="C1026" s="14" t="str">
        <x:v>Lv.2</x:v>
      </x:c>
      <x:c r="D1026" s="14" t="str">
        <x:v>林晏妤醫師</x:v>
      </x:c>
      <x:c r="E1026" s="6" t="str"/>
      <x:c r="F1026" s="6" t="str">
        <x:v>健保申報</x:v>
      </x:c>
      <x:c r="G1026" s="19" t="str">
        <x:v>※</x:v>
      </x:c>
      <x:c r="H1026" s="17" t="str">
        <x:v>學習中</x:v>
      </x:c>
      <x:c r="I1026" s="6" t="n">
        <x:v>88</x:v>
      </x:c>
    </x:row>
    <x:row r="1027">
      <x:c r="A1027" s="13" t="str">
        <x:v>1028</x:v>
      </x:c>
      <x:c r="B1027" s="14" t="str"/>
      <x:c r="C1027" s="14" t="str">
        <x:v>Lv.2</x:v>
      </x:c>
      <x:c r="D1027" s="14" t="str">
        <x:v>林晏妤醫師</x:v>
      </x:c>
      <x:c r="E1027" s="6" t="str"/>
      <x:c r="F1027" s="6" t="str">
        <x:v>舒眠手術</x:v>
      </x:c>
      <x:c r="G1027" s="19" t="str"/>
      <x:c r="H1027" s="17" t="str">
        <x:v>未評分</x:v>
      </x:c>
      <x:c r="I1027" s="6" t="n">
        <x:v>89</x:v>
      </x:c>
    </x:row>
    <x:row r="1028">
      <x:c r="A1028" s="13" t="str">
        <x:v>1028</x:v>
      </x:c>
      <x:c r="B1028" s="14" t="str"/>
      <x:c r="C1028" s="14" t="str">
        <x:v>Lv.2</x:v>
      </x:c>
      <x:c r="D1028" s="14" t="str">
        <x:v>謝耀慶醫師</x:v>
      </x:c>
      <x:c r="E1028" s="6" t="str">
        <x:v>器械準備</x:v>
      </x:c>
      <x:c r="F1028" s="6" t="str">
        <x:v>洗牙</x:v>
      </x:c>
      <x:c r="G1028" s="19" t="str">
        <x:v>◎</x:v>
      </x:c>
      <x:c r="H1028" s="17" t="str">
        <x:v>熟練</x:v>
      </x:c>
      <x:c r="I1028" s="6" t="n">
        <x:v>90</x:v>
      </x:c>
    </x:row>
    <x:row r="1029">
      <x:c r="A1029" s="13" t="str">
        <x:v>1028</x:v>
      </x:c>
      <x:c r="B1029" s="14" t="str"/>
      <x:c r="C1029" s="14" t="str">
        <x:v>Lv.2</x:v>
      </x:c>
      <x:c r="D1029" s="14" t="str">
        <x:v>謝耀慶醫師</x:v>
      </x:c>
      <x:c r="E1029" s="6" t="str">
        <x:v>器械準備</x:v>
      </x:c>
      <x:c r="F1029" s="6" t="str">
        <x:v>補牙</x:v>
      </x:c>
      <x:c r="G1029" s="19" t="str">
        <x:v>※</x:v>
      </x:c>
      <x:c r="H1029" s="17" t="str">
        <x:v>學習中</x:v>
      </x:c>
      <x:c r="I1029" s="6" t="n">
        <x:v>91</x:v>
      </x:c>
    </x:row>
    <x:row r="1030">
      <x:c r="A1030" s="13" t="str">
        <x:v>1028</x:v>
      </x:c>
      <x:c r="B1030" s="14" t="str"/>
      <x:c r="C1030" s="14" t="str">
        <x:v>Lv.2</x:v>
      </x:c>
      <x:c r="D1030" s="14" t="str">
        <x:v>謝耀慶醫師</x:v>
      </x:c>
      <x:c r="E1030" s="6" t="str">
        <x:v>器械準備</x:v>
      </x:c>
      <x:c r="F1030" s="6" t="str">
        <x:v>牙周統合治療</x:v>
      </x:c>
      <x:c r="G1030" s="19" t="str"/>
      <x:c r="H1030" s="17" t="str">
        <x:v>未評分</x:v>
      </x:c>
      <x:c r="I1030" s="6" t="n">
        <x:v>92</x:v>
      </x:c>
    </x:row>
    <x:row r="1031">
      <x:c r="A1031" s="13" t="str">
        <x:v>1028</x:v>
      </x:c>
      <x:c r="B1031" s="14" t="str"/>
      <x:c r="C1031" s="14" t="str">
        <x:v>Lv.2</x:v>
      </x:c>
      <x:c r="D1031" s="14" t="str">
        <x:v>謝耀慶醫師</x:v>
      </x:c>
      <x:c r="E1031" s="6" t="str">
        <x:v>器械準備</x:v>
      </x:c>
      <x:c r="F1031" s="6" t="str">
        <x:v>簡單拔牙</x:v>
      </x:c>
      <x:c r="G1031" s="19" t="str"/>
      <x:c r="H1031" s="17" t="str">
        <x:v>未評分</x:v>
      </x:c>
      <x:c r="I1031" s="6" t="n">
        <x:v>93</x:v>
      </x:c>
    </x:row>
    <x:row r="1032">
      <x:c r="A1032" s="13" t="str">
        <x:v>1028</x:v>
      </x:c>
      <x:c r="B1032" s="14" t="str"/>
      <x:c r="C1032" s="14" t="str">
        <x:v>Lv.2</x:v>
      </x:c>
      <x:c r="D1032" s="14" t="str">
        <x:v>謝耀慶醫師</x:v>
      </x:c>
      <x:c r="E1032" s="6" t="str"/>
      <x:c r="F1032" s="6" t="str">
        <x:v>器械熟悉度</x:v>
      </x:c>
      <x:c r="G1032" s="19" t="str">
        <x:v>※</x:v>
      </x:c>
      <x:c r="H1032" s="17" t="str">
        <x:v>學習中</x:v>
      </x:c>
      <x:c r="I1032" s="6" t="n">
        <x:v>94</x:v>
      </x:c>
    </x:row>
    <x:row r="1033">
      <x:c r="A1033" s="13" t="str">
        <x:v>1028</x:v>
      </x:c>
      <x:c r="B1033" s="14" t="str"/>
      <x:c r="C1033" s="14" t="str">
        <x:v>Lv.2</x:v>
      </x:c>
      <x:c r="D1033" s="14" t="str">
        <x:v>謝耀慶醫師</x:v>
      </x:c>
      <x:c r="E1033" s="6" t="str"/>
      <x:c r="F1033" s="6" t="str">
        <x:v>跟診順暢度</x:v>
      </x:c>
      <x:c r="G1033" s="19" t="str">
        <x:v>※</x:v>
      </x:c>
      <x:c r="H1033" s="17" t="str">
        <x:v>學習中</x:v>
      </x:c>
      <x:c r="I1033" s="6" t="n">
        <x:v>95</x:v>
      </x:c>
    </x:row>
    <x:row r="1034">
      <x:c r="A1034" s="13" t="str">
        <x:v>1028</x:v>
      </x:c>
      <x:c r="B1034" s="14" t="str"/>
      <x:c r="C1034" s="14" t="str">
        <x:v>Lv.2</x:v>
      </x:c>
      <x:c r="D1034" s="14" t="str">
        <x:v>謝耀慶醫師</x:v>
      </x:c>
      <x:c r="E1034" s="6" t="str"/>
      <x:c r="F1034" s="6" t="str">
        <x:v>病歷紀錄</x:v>
      </x:c>
      <x:c r="G1034" s="19" t="str">
        <x:v>※</x:v>
      </x:c>
      <x:c r="H1034" s="17" t="str">
        <x:v>學習中</x:v>
      </x:c>
      <x:c r="I1034" s="6" t="n">
        <x:v>96</x:v>
      </x:c>
    </x:row>
    <x:row r="1035">
      <x:c r="A1035" s="13" t="str">
        <x:v>1028</x:v>
      </x:c>
      <x:c r="B1035" s="14" t="str"/>
      <x:c r="C1035" s="14" t="str">
        <x:v>Lv.2</x:v>
      </x:c>
      <x:c r="D1035" s="14" t="str">
        <x:v>謝耀慶醫師</x:v>
      </x:c>
      <x:c r="E1035" s="6" t="str"/>
      <x:c r="F1035" s="6" t="str">
        <x:v>X光片紀錄</x:v>
      </x:c>
      <x:c r="G1035" s="19" t="str">
        <x:v>※</x:v>
      </x:c>
      <x:c r="H1035" s="17" t="str">
        <x:v>學習中</x:v>
      </x:c>
      <x:c r="I1035" s="6" t="n">
        <x:v>97</x:v>
      </x:c>
    </x:row>
    <x:row r="1036">
      <x:c r="A1036" s="13" t="str">
        <x:v>1028</x:v>
      </x:c>
      <x:c r="B1036" s="14" t="str"/>
      <x:c r="C1036" s="14" t="str">
        <x:v>Lv.2</x:v>
      </x:c>
      <x:c r="D1036" s="14" t="str">
        <x:v>謝耀慶醫師</x:v>
      </x:c>
      <x:c r="E1036" s="6" t="str"/>
      <x:c r="F1036" s="6" t="str">
        <x:v>手持X光機</x:v>
      </x:c>
      <x:c r="G1036" s="19" t="str">
        <x:v>◎</x:v>
      </x:c>
      <x:c r="H1036" s="17" t="str">
        <x:v>熟練</x:v>
      </x:c>
      <x:c r="I1036" s="6" t="n">
        <x:v>98</x:v>
      </x:c>
    </x:row>
    <x:row r="1037">
      <x:c r="A1037" s="13" t="str">
        <x:v>1028</x:v>
      </x:c>
      <x:c r="B1037" s="14" t="str"/>
      <x:c r="C1037" s="14" t="str">
        <x:v>Lv.2</x:v>
      </x:c>
      <x:c r="D1037" s="14" t="str">
        <x:v>謝耀慶醫師</x:v>
      </x:c>
      <x:c r="E1037" s="6" t="str"/>
      <x:c r="F1037" s="6" t="str">
        <x:v>健保申報</x:v>
      </x:c>
      <x:c r="G1037" s="19" t="str">
        <x:v>※</x:v>
      </x:c>
      <x:c r="H1037" s="17" t="str">
        <x:v>學習中</x:v>
      </x:c>
      <x:c r="I1037" s="6" t="n">
        <x:v>99</x:v>
      </x:c>
    </x:row>
    <x:row r="1038">
      <x:c r="A1038" s="13" t="str">
        <x:v>1028</x:v>
      </x:c>
      <x:c r="B1038" s="14" t="str"/>
      <x:c r="C1038" s="14" t="str">
        <x:v>Lv.2</x:v>
      </x:c>
      <x:c r="D1038" s="14" t="str">
        <x:v>謝耀慶醫師</x:v>
      </x:c>
      <x:c r="E1038" s="6" t="str"/>
      <x:c r="F1038" s="6" t="str">
        <x:v>舒眠手術</x:v>
      </x:c>
      <x:c r="G1038" s="19" t="str"/>
      <x:c r="H1038" s="17" t="str">
        <x:v>未評分</x:v>
      </x:c>
      <x:c r="I1038" s="6" t="n">
        <x:v>100</x:v>
      </x:c>
    </x:row>
    <x:row r="1039">
      <x:c r="A1039" s="13" t="str">
        <x:v>1028</x:v>
      </x:c>
      <x:c r="B1039" s="14" t="str"/>
      <x:c r="C1039" s="14" t="str">
        <x:v>Lv.2</x:v>
      </x:c>
      <x:c r="D1039" s="14" t="str">
        <x:v>陳醫師</x:v>
      </x:c>
      <x:c r="E1039" s="6" t="str">
        <x:v>器械準備</x:v>
      </x:c>
      <x:c r="F1039" s="6" t="str">
        <x:v>洗牙</x:v>
      </x:c>
      <x:c r="G1039" s="19" t="str"/>
      <x:c r="H1039" s="17" t="str">
        <x:v>未評分</x:v>
      </x:c>
      <x:c r="I1039" s="6" t="n">
        <x:v>101</x:v>
      </x:c>
    </x:row>
    <x:row r="1040">
      <x:c r="A1040" s="13" t="str">
        <x:v>1028</x:v>
      </x:c>
      <x:c r="B1040" s="14" t="str"/>
      <x:c r="C1040" s="14" t="str">
        <x:v>Lv.2</x:v>
      </x:c>
      <x:c r="D1040" s="14" t="str">
        <x:v>陳醫師</x:v>
      </x:c>
      <x:c r="E1040" s="6" t="str">
        <x:v>器械準備</x:v>
      </x:c>
      <x:c r="F1040" s="6" t="str">
        <x:v>補牙</x:v>
      </x:c>
      <x:c r="G1040" s="19" t="str"/>
      <x:c r="H1040" s="17" t="str">
        <x:v>未評分</x:v>
      </x:c>
      <x:c r="I1040" s="6" t="n">
        <x:v>102</x:v>
      </x:c>
    </x:row>
    <x:row r="1041">
      <x:c r="A1041" s="13" t="str">
        <x:v>1028</x:v>
      </x:c>
      <x:c r="B1041" s="14" t="str"/>
      <x:c r="C1041" s="14" t="str">
        <x:v>Lv.2</x:v>
      </x:c>
      <x:c r="D1041" s="14" t="str">
        <x:v>陳醫師</x:v>
      </x:c>
      <x:c r="E1041" s="6" t="str">
        <x:v>器械準備</x:v>
      </x:c>
      <x:c r="F1041" s="6" t="str">
        <x:v>根管治療</x:v>
      </x:c>
      <x:c r="G1041" s="19" t="str"/>
      <x:c r="H1041" s="17" t="str">
        <x:v>未評分</x:v>
      </x:c>
      <x:c r="I1041" s="6" t="n">
        <x:v>103</x:v>
      </x:c>
    </x:row>
    <x:row r="1042">
      <x:c r="A1042" s="13" t="str">
        <x:v>1028</x:v>
      </x:c>
      <x:c r="B1042" s="14" t="str"/>
      <x:c r="C1042" s="14" t="str">
        <x:v>Lv.2</x:v>
      </x:c>
      <x:c r="D1042" s="14" t="str">
        <x:v>陳醫師</x:v>
      </x:c>
      <x:c r="E1042" s="6" t="str"/>
      <x:c r="F1042" s="6" t="str">
        <x:v>跟診順暢度</x:v>
      </x:c>
      <x:c r="G1042" s="19" t="str"/>
      <x:c r="H1042" s="17" t="str">
        <x:v>未評分</x:v>
      </x:c>
      <x:c r="I1042" s="6" t="n">
        <x:v>104</x:v>
      </x:c>
    </x:row>
    <x:row r="1043">
      <x:c r="A1043" s="13" t="str">
        <x:v>1028</x:v>
      </x:c>
      <x:c r="B1043" s="14" t="str"/>
      <x:c r="C1043" s="14" t="str">
        <x:v>Lv.2</x:v>
      </x:c>
      <x:c r="D1043" s="14" t="str">
        <x:v>陳醫師</x:v>
      </x:c>
      <x:c r="E1043" s="6" t="str"/>
      <x:c r="F1043" s="6" t="str">
        <x:v>病歷紀錄</x:v>
      </x:c>
      <x:c r="G1043" s="19" t="str"/>
      <x:c r="H1043" s="17" t="str">
        <x:v>未評分</x:v>
      </x:c>
      <x:c r="I1043" s="6" t="n">
        <x:v>105</x:v>
      </x:c>
    </x:row>
    <x:row r="1044">
      <x:c r="A1044" s="13" t="str">
        <x:v>1028</x:v>
      </x:c>
      <x:c r="B1044" s="14" t="str"/>
      <x:c r="C1044" s="14" t="str">
        <x:v>Lv.2</x:v>
      </x:c>
      <x:c r="D1044" s="14" t="str">
        <x:v>陳醫師</x:v>
      </x:c>
      <x:c r="E1044" s="6" t="str"/>
      <x:c r="F1044" s="6" t="str">
        <x:v>拍PANO、PA</x:v>
      </x:c>
      <x:c r="G1044" s="19" t="str"/>
      <x:c r="H1044" s="17" t="str">
        <x:v>未評分</x:v>
      </x:c>
      <x:c r="I1044" s="6" t="n">
        <x:v>106</x:v>
      </x:c>
    </x:row>
    <x:row r="1045">
      <x:c r="A1045" s="13" t="str">
        <x:v>1028</x:v>
      </x:c>
      <x:c r="B1045" s="14" t="str"/>
      <x:c r="C1045" s="14" t="str">
        <x:v>Lv.2</x:v>
      </x:c>
      <x:c r="D1045" s="14" t="str">
        <x:v>陳醫師</x:v>
      </x:c>
      <x:c r="E1045" s="6" t="str"/>
      <x:c r="F1045" s="6" t="str">
        <x:v>X光片紀錄</x:v>
      </x:c>
      <x:c r="G1045" s="19" t="str"/>
      <x:c r="H1045" s="17" t="str">
        <x:v>未評分</x:v>
      </x:c>
      <x:c r="I1045" s="6" t="n">
        <x:v>107</x:v>
      </x:c>
    </x:row>
    <x:row r="1046">
      <x:c r="A1046" s="13" t="str">
        <x:v>1028</x:v>
      </x:c>
      <x:c r="B1046" s="14" t="str"/>
      <x:c r="C1046" s="14" t="str">
        <x:v>Lv.2</x:v>
      </x:c>
      <x:c r="D1046" s="14" t="str">
        <x:v>陳醫師</x:v>
      </x:c>
      <x:c r="E1046" s="6" t="str"/>
      <x:c r="F1046" s="6" t="str">
        <x:v>健保申報</x:v>
      </x:c>
      <x:c r="G1046" s="19" t="str"/>
      <x:c r="H1046" s="17" t="str">
        <x:v>未評分</x:v>
      </x:c>
      <x:c r="I1046" s="6" t="n">
        <x:v>108</x:v>
      </x:c>
    </x:row>
    <x:row r="1047">
      <x:c r="A1047" s="13" t="str">
        <x:v>1028</x:v>
      </x:c>
      <x:c r="B1047" s="14" t="str"/>
      <x:c r="C1047" s="14" t="str">
        <x:v>Lv.2</x:v>
      </x:c>
      <x:c r="D1047" s="14" t="str">
        <x:v>陳醫師</x:v>
      </x:c>
      <x:c r="E1047" s="6" t="str"/>
      <x:c r="F1047" s="6" t="str">
        <x:v>固定假牙</x:v>
      </x:c>
      <x:c r="G1047" s="19" t="str"/>
      <x:c r="H1047" s="17" t="str">
        <x:v>未評分</x:v>
      </x:c>
      <x:c r="I1047" s="6" t="n">
        <x:v>109</x:v>
      </x:c>
    </x:row>
    <x:row r="1048">
      <x:c r="A1048" s="13" t="str">
        <x:v>1028</x:v>
      </x:c>
      <x:c r="B1048" s="14" t="str"/>
      <x:c r="C1048" s="14" t="str">
        <x:v>Lv.2</x:v>
      </x:c>
      <x:c r="D1048" s="14" t="str">
        <x:v>陳醫師</x:v>
      </x:c>
      <x:c r="E1048" s="6" t="str"/>
      <x:c r="F1048" s="6" t="str">
        <x:v>顯微根管</x:v>
      </x:c>
      <x:c r="G1048" s="19" t="str"/>
      <x:c r="H1048" s="17" t="str">
        <x:v>未評分</x:v>
      </x:c>
      <x:c r="I1048" s="6" t="n">
        <x:v>110</x:v>
      </x:c>
    </x:row>
    <x:row r="1049">
      <x:c r="A1049" s="13" t="str">
        <x:v>1028</x:v>
      </x:c>
      <x:c r="B1049" s="14" t="str"/>
      <x:c r="C1049" s="14" t="str">
        <x:v>Lv.2</x:v>
      </x:c>
      <x:c r="D1049" s="14" t="str">
        <x:v>櫃台</x:v>
      </x:c>
      <x:c r="E1049" s="6" t="str"/>
      <x:c r="F1049" s="6" t="str">
        <x:v>掛號處理(含初診處理)開立一般收據及藥單</x:v>
      </x:c>
      <x:c r="G1049" s="19" t="str">
        <x:v>◎</x:v>
      </x:c>
      <x:c r="H1049" s="17" t="str">
        <x:v>熟練</x:v>
      </x:c>
      <x:c r="I1049" s="6" t="n">
        <x:v>111</x:v>
      </x:c>
    </x:row>
    <x:row r="1050">
      <x:c r="A1050" s="13" t="str">
        <x:v>1028</x:v>
      </x:c>
      <x:c r="B1050" s="14" t="str"/>
      <x:c r="C1050" s="14" t="str">
        <x:v>Lv.2</x:v>
      </x:c>
      <x:c r="D1050" s="14" t="str">
        <x:v>櫃台</x:v>
      </x:c>
      <x:c r="E1050" s="6" t="str"/>
      <x:c r="F1050" s="6" t="str">
        <x:v>收費紀錄</x:v>
      </x:c>
      <x:c r="G1050" s="19" t="str">
        <x:v>Ø</x:v>
      </x:c>
      <x:c r="H1050" s="17" t="str">
        <x:v>尚未熟練</x:v>
      </x:c>
      <x:c r="I1050" s="6" t="n">
        <x:v>112</x:v>
      </x:c>
    </x:row>
    <x:row r="1051">
      <x:c r="A1051" s="13" t="str">
        <x:v>1028</x:v>
      </x:c>
      <x:c r="B1051" s="14" t="str"/>
      <x:c r="C1051" s="14" t="str">
        <x:v>Lv.2</x:v>
      </x:c>
      <x:c r="D1051" s="14" t="str">
        <x:v>櫃台</x:v>
      </x:c>
      <x:c r="E1051" s="6" t="str"/>
      <x:c r="F1051" s="6" t="str">
        <x:v>病歷整理</x:v>
      </x:c>
      <x:c r="G1051" s="19" t="str">
        <x:v>◎</x:v>
      </x:c>
      <x:c r="H1051" s="17" t="str">
        <x:v>熟練</x:v>
      </x:c>
      <x:c r="I1051" s="6" t="n">
        <x:v>113</x:v>
      </x:c>
    </x:row>
    <x:row r="1052">
      <x:c r="A1052" s="13" t="str">
        <x:v>1028</x:v>
      </x:c>
      <x:c r="B1052" s="14" t="str"/>
      <x:c r="C1052" s="14" t="str">
        <x:v>Lv.2</x:v>
      </x:c>
      <x:c r="D1052" s="14" t="str">
        <x:v>櫃台</x:v>
      </x:c>
      <x:c r="E1052" s="6" t="str"/>
      <x:c r="F1052" s="6" t="str">
        <x:v>治療同意書填寫</x:v>
      </x:c>
      <x:c r="G1052" s="19" t="str">
        <x:v>◎</x:v>
      </x:c>
      <x:c r="H1052" s="17" t="str">
        <x:v>熟練</x:v>
      </x:c>
      <x:c r="I1052" s="6" t="n">
        <x:v>114</x:v>
      </x:c>
    </x:row>
    <x:row r="1053">
      <x:c r="A1053" s="13" t="str">
        <x:v>1028</x:v>
      </x:c>
      <x:c r="B1053" s="14" t="str"/>
      <x:c r="C1053" s="14" t="str">
        <x:v>Lv.2</x:v>
      </x:c>
      <x:c r="D1053" s="14" t="str">
        <x:v>櫃台</x:v>
      </x:c>
      <x:c r="E1053" s="6" t="str"/>
      <x:c r="F1053" s="6" t="str">
        <x:v>與患者應對</x:v>
      </x:c>
      <x:c r="G1053" s="19" t="str">
        <x:v>△</x:v>
      </x:c>
      <x:c r="H1053" s="17" t="str">
        <x:v>需加強</x:v>
      </x:c>
      <x:c r="I1053" s="6" t="n">
        <x:v>115</x:v>
      </x:c>
    </x:row>
    <x:row r="1054">
      <x:c r="A1054" s="13" t="str">
        <x:v>1028</x:v>
      </x:c>
      <x:c r="B1054" s="14" t="str"/>
      <x:c r="C1054" s="14" t="str">
        <x:v>Lv.2</x:v>
      </x:c>
      <x:c r="D1054" s="14" t="str">
        <x:v>櫃台</x:v>
      </x:c>
      <x:c r="E1054" s="6" t="str"/>
      <x:c r="F1054" s="6" t="str">
        <x:v>約診</x:v>
      </x:c>
      <x:c r="G1054" s="19" t="str">
        <x:v>Ø</x:v>
      </x:c>
      <x:c r="H1054" s="17" t="str">
        <x:v>尚未熟練</x:v>
      </x:c>
      <x:c r="I1054" s="6" t="n">
        <x:v>116</x:v>
      </x:c>
    </x:row>
    <x:row r="1055">
      <x:c r="A1055" s="13" t="str">
        <x:v>1028</x:v>
      </x:c>
      <x:c r="B1055" s="14" t="str"/>
      <x:c r="C1055" s="14" t="str">
        <x:v>Lv.2</x:v>
      </x:c>
      <x:c r="D1055" s="14" t="str">
        <x:v>櫃台</x:v>
      </x:c>
      <x:c r="E1055" s="6" t="str"/>
      <x:c r="F1055" s="6" t="str">
        <x:v>報表製作</x:v>
      </x:c>
      <x:c r="G1055" s="19" t="str">
        <x:v>△</x:v>
      </x:c>
      <x:c r="H1055" s="17" t="str">
        <x:v>需加強</x:v>
      </x:c>
      <x:c r="I1055" s="6" t="n">
        <x:v>117</x:v>
      </x:c>
    </x:row>
    <x:row r="1056">
      <x:c r="A1056" s="13" t="str">
        <x:v>1028</x:v>
      </x:c>
      <x:c r="B1056" s="14" t="str"/>
      <x:c r="C1056" s="14" t="str">
        <x:v>Lv.2</x:v>
      </x:c>
      <x:c r="D1056" s="14" t="str">
        <x:v>櫃台</x:v>
      </x:c>
      <x:c r="E1056" s="6" t="str"/>
      <x:c r="F1056" s="6" t="str">
        <x:v>診斷證明書</x:v>
      </x:c>
      <x:c r="G1056" s="19" t="str"/>
      <x:c r="H1056" s="17" t="str">
        <x:v>未評分</x:v>
      </x:c>
      <x:c r="I1056" s="6" t="n">
        <x:v>118</x:v>
      </x:c>
    </x:row>
    <x:row r="1057">
      <x:c r="A1057" s="13" t="str">
        <x:v>1028</x:v>
      </x:c>
      <x:c r="B1057" s="14" t="str"/>
      <x:c r="C1057" s="14" t="str">
        <x:v>Lv.2</x:v>
      </x:c>
      <x:c r="D1057" s="14" t="str">
        <x:v>櫃台</x:v>
      </x:c>
      <x:c r="E1057" s="6" t="str"/>
      <x:c r="F1057" s="6" t="str">
        <x:v>牙統VPN</x:v>
      </x:c>
      <x:c r="G1057" s="19" t="str">
        <x:v>◎</x:v>
      </x:c>
      <x:c r="H1057" s="17" t="str">
        <x:v>熟練</x:v>
      </x:c>
      <x:c r="I1057" s="6" t="n">
        <x:v>119</x:v>
      </x:c>
    </x:row>
    <x:row r="1058">
      <x:c r="A1058" s="13" t="str">
        <x:v>1028</x:v>
      </x:c>
      <x:c r="B1058" s="14" t="str"/>
      <x:c r="C1058" s="14" t="str">
        <x:v>Lv.2</x:v>
      </x:c>
      <x:c r="D1058" s="14" t="str">
        <x:v>櫃台</x:v>
      </x:c>
      <x:c r="E1058" s="6" t="str"/>
      <x:c r="F1058" s="6" t="str">
        <x:v>病歷檢查核對</x:v>
      </x:c>
      <x:c r="G1058" s="19" t="str"/>
      <x:c r="H1058" s="17" t="str">
        <x:v>未評分</x:v>
      </x:c>
      <x:c r="I1058" s="6" t="n">
        <x:v>120</x:v>
      </x:c>
    </x:row>
    <x:row r="1059">
      <x:c r="A1059" s="13" t="str">
        <x:v>1028</x:v>
      </x:c>
      <x:c r="B1059" s="14" t="str"/>
      <x:c r="C1059" s="14" t="str">
        <x:v>Lv.2</x:v>
      </x:c>
      <x:c r="D1059" s="14" t="str">
        <x:v>櫃台</x:v>
      </x:c>
      <x:c r="E1059" s="6" t="str"/>
      <x:c r="F1059" s="6" t="str">
        <x:v>抽審資料處理</x:v>
      </x:c>
      <x:c r="G1059" s="19" t="str"/>
      <x:c r="H1059" s="17" t="str">
        <x:v>未評分</x:v>
      </x:c>
      <x:c r="I1059" s="6" t="n">
        <x:v>121</x:v>
      </x:c>
    </x:row>
    <x:row r="1060">
      <x:c r="A1060" s="13" t="str">
        <x:v>1029</x:v>
      </x:c>
      <x:c r="B1060" s="14" t="str"/>
      <x:c r="C1060" s="14" t="str">
        <x:v>Lv.1</x:v>
      </x:c>
      <x:c r="D1060" s="14" t="str">
        <x:v>流動工作</x:v>
      </x:c>
      <x:c r="E1060" s="6" t="str"/>
      <x:c r="F1060" s="6" t="str">
        <x:v>撤備台</x:v>
      </x:c>
      <x:c r="G1060" s="19" t="str">
        <x:v>◎</x:v>
      </x:c>
      <x:c r="H1060" s="17" t="str">
        <x:v>熟練</x:v>
      </x:c>
      <x:c r="I1060" s="6" t="n">
        <x:v>5</x:v>
      </x:c>
    </x:row>
    <x:row r="1061">
      <x:c r="A1061" s="13" t="str">
        <x:v>1029</x:v>
      </x:c>
      <x:c r="B1061" s="14" t="str"/>
      <x:c r="C1061" s="14" t="str">
        <x:v>Lv.1</x:v>
      </x:c>
      <x:c r="D1061" s="14" t="str">
        <x:v>流動工作</x:v>
      </x:c>
      <x:c r="E1061" s="6" t="str"/>
      <x:c r="F1061" s="6" t="str">
        <x:v>器械清消流程</x:v>
      </x:c>
      <x:c r="G1061" s="19" t="str">
        <x:v>◎</x:v>
      </x:c>
      <x:c r="H1061" s="17" t="str">
        <x:v>熟練</x:v>
      </x:c>
      <x:c r="I1061" s="6" t="n">
        <x:v>6</x:v>
      </x:c>
    </x:row>
    <x:row r="1062">
      <x:c r="A1062" s="13" t="str">
        <x:v>1029</x:v>
      </x:c>
      <x:c r="B1062" s="14" t="str"/>
      <x:c r="C1062" s="14" t="str">
        <x:v>Lv.1</x:v>
      </x:c>
      <x:c r="D1062" s="14" t="str">
        <x:v>流動工作</x:v>
      </x:c>
      <x:c r="E1062" s="6" t="str"/>
      <x:c r="F1062" s="6" t="str">
        <x:v>認識治療項目</x:v>
      </x:c>
      <x:c r="G1062" s="19" t="str">
        <x:v>Ø</x:v>
      </x:c>
      <x:c r="H1062" s="17" t="str">
        <x:v>尚未熟練</x:v>
      </x:c>
      <x:c r="I1062" s="6" t="n">
        <x:v>7</x:v>
      </x:c>
    </x:row>
    <x:row r="1063">
      <x:c r="A1063" s="13" t="str">
        <x:v>1029</x:v>
      </x:c>
      <x:c r="B1063" s="14" t="str"/>
      <x:c r="C1063" s="14" t="str">
        <x:v>Lv.1</x:v>
      </x:c>
      <x:c r="D1063" s="14" t="str">
        <x:v>流動工作</x:v>
      </x:c>
      <x:c r="E1063" s="6" t="str"/>
      <x:c r="F1063" s="6" t="str">
        <x:v>替代跟診人員灌模</x:v>
      </x:c>
      <x:c r="G1063" s="19" t="str">
        <x:v>Ø</x:v>
      </x:c>
      <x:c r="H1063" s="17" t="str">
        <x:v>尚未熟練</x:v>
      </x:c>
      <x:c r="I1063" s="6" t="n">
        <x:v>8</x:v>
      </x:c>
    </x:row>
    <x:row r="1064">
      <x:c r="A1064" s="13" t="str">
        <x:v>1029</x:v>
      </x:c>
      <x:c r="B1064" s="14" t="str"/>
      <x:c r="C1064" s="14" t="str">
        <x:v>Lv.1</x:v>
      </x:c>
      <x:c r="D1064" s="14" t="str">
        <x:v>流動工作</x:v>
      </x:c>
      <x:c r="E1064" s="6" t="str"/>
      <x:c r="F1064" s="6" t="str">
        <x:v>拍攝X光片(PANO)</x:v>
      </x:c>
      <x:c r="G1064" s="19" t="str">
        <x:v>◎</x:v>
      </x:c>
      <x:c r="H1064" s="17" t="str">
        <x:v>熟練</x:v>
      </x:c>
      <x:c r="I1064" s="6" t="n">
        <x:v>9</x:v>
      </x:c>
    </x:row>
    <x:row r="1065">
      <x:c r="A1065" s="13" t="str">
        <x:v>1029</x:v>
      </x:c>
      <x:c r="B1065" s="14" t="str"/>
      <x:c r="C1065" s="14" t="str">
        <x:v>Lv.1</x:v>
      </x:c>
      <x:c r="D1065" s="14" t="str">
        <x:v>流動工作</x:v>
      </x:c>
      <x:c r="E1065" s="6" t="str"/>
      <x:c r="F1065" s="6" t="str">
        <x:v>拍攝根尖片(用鱷魚夾)</x:v>
      </x:c>
      <x:c r="G1065" s="19" t="str">
        <x:v>Ø</x:v>
      </x:c>
      <x:c r="H1065" s="17" t="str">
        <x:v>尚未熟練</x:v>
      </x:c>
      <x:c r="I1065" s="6" t="n">
        <x:v>10</x:v>
      </x:c>
    </x:row>
    <x:row r="1066">
      <x:c r="A1066" s="13" t="str">
        <x:v>1029</x:v>
      </x:c>
      <x:c r="B1066" s="14" t="str"/>
      <x:c r="C1066" s="14" t="str">
        <x:v>Lv.1</x:v>
      </x:c>
      <x:c r="D1066" s="14" t="str">
        <x:v>流動工作</x:v>
      </x:c>
      <x:c r="E1066" s="6" t="str"/>
      <x:c r="F1066" s="6" t="str">
        <x:v>拍攝根尖片(手壓片)</x:v>
      </x:c>
      <x:c r="G1066" s="19" t="str">
        <x:v>△</x:v>
      </x:c>
      <x:c r="H1066" s="17" t="str">
        <x:v>需加強</x:v>
      </x:c>
      <x:c r="I1066" s="6" t="n">
        <x:v>11</x:v>
      </x:c>
    </x:row>
    <x:row r="1067">
      <x:c r="A1067" s="13" t="str">
        <x:v>1029</x:v>
      </x:c>
      <x:c r="B1067" s="14" t="str"/>
      <x:c r="C1067" s="14" t="str">
        <x:v>Lv.1</x:v>
      </x:c>
      <x:c r="D1067" s="14" t="str">
        <x:v>流動工作</x:v>
      </x:c>
      <x:c r="E1067" s="6" t="str"/>
      <x:c r="F1067" s="6" t="str">
        <x:v>開、關診工作</x:v>
      </x:c>
      <x:c r="G1067" s="19" t="str">
        <x:v>◎</x:v>
      </x:c>
      <x:c r="H1067" s="17" t="str">
        <x:v>熟練</x:v>
      </x:c>
      <x:c r="I1067" s="6" t="n">
        <x:v>12</x:v>
      </x:c>
    </x:row>
    <x:row r="1068">
      <x:c r="A1068" s="13" t="str">
        <x:v>1029</x:v>
      </x:c>
      <x:c r="B1068" s="14" t="str"/>
      <x:c r="C1068" s="14" t="str">
        <x:v>Lv.1</x:v>
      </x:c>
      <x:c r="D1068" s="14" t="str">
        <x:v>流動工作</x:v>
      </x:c>
      <x:c r="E1068" s="6" t="str"/>
      <x:c r="F1068" s="6" t="str">
        <x:v>備品補充+器械安全庫存</x:v>
      </x:c>
      <x:c r="G1068" s="19" t="str">
        <x:v>◎</x:v>
      </x:c>
      <x:c r="H1068" s="17" t="str">
        <x:v>熟練</x:v>
      </x:c>
      <x:c r="I1068" s="6" t="n">
        <x:v>13</x:v>
      </x:c>
    </x:row>
    <x:row r="1069">
      <x:c r="A1069" s="13" t="str">
        <x:v>1029</x:v>
      </x:c>
      <x:c r="B1069" s="14" t="str"/>
      <x:c r="C1069" s="14" t="str">
        <x:v>Lv.1</x:v>
      </x:c>
      <x:c r="D1069" s="14" t="str">
        <x:v>衛教</x:v>
      </x:c>
      <x:c r="E1069" s="6" t="str"/>
      <x:c r="F1069" s="6" t="str">
        <x:v>基礎衛教</x:v>
      </x:c>
      <x:c r="G1069" s="19" t="str">
        <x:v>◎</x:v>
      </x:c>
      <x:c r="H1069" s="17" t="str">
        <x:v>熟練</x:v>
      </x:c>
      <x:c r="I1069" s="6" t="n">
        <x:v>14</x:v>
      </x:c>
    </x:row>
    <x:row r="1070">
      <x:c r="A1070" s="13" t="str">
        <x:v>1029</x:v>
      </x:c>
      <x:c r="B1070" s="14" t="str"/>
      <x:c r="C1070" s="14" t="str">
        <x:v>Lv.1</x:v>
      </x:c>
      <x:c r="D1070" s="14" t="str">
        <x:v>衛教</x:v>
      </x:c>
      <x:c r="E1070" s="6" t="str"/>
      <x:c r="F1070" s="6" t="str">
        <x:v>進階衛教</x:v>
      </x:c>
      <x:c r="G1070" s="19" t="str">
        <x:v>◎</x:v>
      </x:c>
      <x:c r="H1070" s="17" t="str">
        <x:v>熟練</x:v>
      </x:c>
      <x:c r="I1070" s="6" t="n">
        <x:v>15</x:v>
      </x:c>
    </x:row>
    <x:row r="1071">
      <x:c r="A1071" s="13" t="str">
        <x:v>1029</x:v>
      </x:c>
      <x:c r="B1071" s="14" t="str"/>
      <x:c r="C1071" s="14" t="str">
        <x:v>Lv.1</x:v>
      </x:c>
      <x:c r="D1071" s="14" t="str">
        <x:v>李柄輝醫師</x:v>
      </x:c>
      <x:c r="E1071" s="6" t="str">
        <x:v>器械準備</x:v>
      </x:c>
      <x:c r="F1071" s="6" t="str">
        <x:v>洗牙</x:v>
      </x:c>
      <x:c r="G1071" s="19" t="str">
        <x:v>◎</x:v>
      </x:c>
      <x:c r="H1071" s="17" t="str">
        <x:v>熟練</x:v>
      </x:c>
      <x:c r="I1071" s="6" t="n">
        <x:v>16</x:v>
      </x:c>
    </x:row>
    <x:row r="1072">
      <x:c r="A1072" s="13" t="str">
        <x:v>1029</x:v>
      </x:c>
      <x:c r="B1072" s="14" t="str"/>
      <x:c r="C1072" s="14" t="str">
        <x:v>Lv.1</x:v>
      </x:c>
      <x:c r="D1072" s="14" t="str">
        <x:v>李柄輝醫師</x:v>
      </x:c>
      <x:c r="E1072" s="6" t="str">
        <x:v>器械準備</x:v>
      </x:c>
      <x:c r="F1072" s="6" t="str">
        <x:v>補牙</x:v>
      </x:c>
      <x:c r="G1072" s="19" t="str">
        <x:v>◎</x:v>
      </x:c>
      <x:c r="H1072" s="17" t="str">
        <x:v>熟練</x:v>
      </x:c>
      <x:c r="I1072" s="6" t="n">
        <x:v>17</x:v>
      </x:c>
    </x:row>
    <x:row r="1073">
      <x:c r="A1073" s="13" t="str">
        <x:v>1029</x:v>
      </x:c>
      <x:c r="B1073" s="14" t="str"/>
      <x:c r="C1073" s="14" t="str">
        <x:v>Lv.1</x:v>
      </x:c>
      <x:c r="D1073" s="14" t="str">
        <x:v>李柄輝醫師</x:v>
      </x:c>
      <x:c r="E1073" s="6" t="str">
        <x:v>器械準備</x:v>
      </x:c>
      <x:c r="F1073" s="6" t="str">
        <x:v>牙周統合</x:v>
      </x:c>
      <x:c r="G1073" s="19" t="str">
        <x:v>◎</x:v>
      </x:c>
      <x:c r="H1073" s="17" t="str">
        <x:v>熟練</x:v>
      </x:c>
      <x:c r="I1073" s="6" t="n">
        <x:v>18</x:v>
      </x:c>
    </x:row>
    <x:row r="1074">
      <x:c r="A1074" s="13" t="str">
        <x:v>1029</x:v>
      </x:c>
      <x:c r="B1074" s="14" t="str"/>
      <x:c r="C1074" s="14" t="str">
        <x:v>Lv.1</x:v>
      </x:c>
      <x:c r="D1074" s="14" t="str">
        <x:v>李柄輝醫師</x:v>
      </x:c>
      <x:c r="E1074" s="6" t="str">
        <x:v>器械準備</x:v>
      </x:c>
      <x:c r="F1074" s="6" t="str">
        <x:v>根管治療(插針照)</x:v>
      </x:c>
      <x:c r="G1074" s="19" t="str">
        <x:v>△</x:v>
      </x:c>
      <x:c r="H1074" s="17" t="str">
        <x:v>需加強</x:v>
      </x:c>
      <x:c r="I1074" s="6" t="n">
        <x:v>19</x:v>
      </x:c>
    </x:row>
    <x:row r="1075">
      <x:c r="A1075" s="13" t="str">
        <x:v>1029</x:v>
      </x:c>
      <x:c r="B1075" s="14" t="str"/>
      <x:c r="C1075" s="14" t="str">
        <x:v>Lv.1</x:v>
      </x:c>
      <x:c r="D1075" s="14" t="str">
        <x:v>李柄輝醫師</x:v>
      </x:c>
      <x:c r="E1075" s="6" t="str">
        <x:v>器械準備</x:v>
      </x:c>
      <x:c r="F1075" s="6" t="str">
        <x:v>拆crown/post</x:v>
      </x:c>
      <x:c r="G1075" s="19" t="str">
        <x:v>※</x:v>
      </x:c>
      <x:c r="H1075" s="17" t="str">
        <x:v>學習中</x:v>
      </x:c>
      <x:c r="I1075" s="6" t="n">
        <x:v>20</x:v>
      </x:c>
    </x:row>
    <x:row r="1076">
      <x:c r="A1076" s="13" t="str">
        <x:v>1029</x:v>
      </x:c>
      <x:c r="B1076" s="14" t="str"/>
      <x:c r="C1076" s="14" t="str">
        <x:v>Lv.1</x:v>
      </x:c>
      <x:c r="D1076" s="14" t="str">
        <x:v>李柄輝醫師</x:v>
      </x:c>
      <x:c r="E1076" s="6" t="str">
        <x:v>器械準備</x:v>
      </x:c>
      <x:c r="F1076" s="6" t="str">
        <x:v>拔牙</x:v>
      </x:c>
      <x:c r="G1076" s="19" t="str">
        <x:v>Ø</x:v>
      </x:c>
      <x:c r="H1076" s="17" t="str">
        <x:v>尚未熟練</x:v>
      </x:c>
      <x:c r="I1076" s="6" t="n">
        <x:v>21</x:v>
      </x:c>
    </x:row>
    <x:row r="1077">
      <x:c r="A1077" s="13" t="str">
        <x:v>1029</x:v>
      </x:c>
      <x:c r="B1077" s="14" t="str"/>
      <x:c r="C1077" s="14" t="str">
        <x:v>Lv.1</x:v>
      </x:c>
      <x:c r="D1077" s="14" t="str">
        <x:v>李柄輝醫師</x:v>
      </x:c>
      <x:c r="E1077" s="6" t="str">
        <x:v>自費</x:v>
      </x:c>
      <x:c r="F1077" s="6" t="str">
        <x:v>固定假牙(黏著劑)</x:v>
      </x:c>
      <x:c r="G1077" s="19" t="str">
        <x:v>Ø</x:v>
      </x:c>
      <x:c r="H1077" s="17" t="str">
        <x:v>尚未熟練</x:v>
      </x:c>
      <x:c r="I1077" s="6" t="n">
        <x:v>22</x:v>
      </x:c>
    </x:row>
    <x:row r="1078">
      <x:c r="A1078" s="13" t="str">
        <x:v>1029</x:v>
      </x:c>
      <x:c r="B1078" s="14" t="str"/>
      <x:c r="C1078" s="14" t="str">
        <x:v>Lv.1</x:v>
      </x:c>
      <x:c r="D1078" s="14" t="str">
        <x:v>李柄輝醫師</x:v>
      </x:c>
      <x:c r="E1078" s="6" t="str"/>
      <x:c r="F1078" s="6" t="str">
        <x:v>跟診順暢度</x:v>
      </x:c>
      <x:c r="G1078" s="19" t="str">
        <x:v>Ø</x:v>
      </x:c>
      <x:c r="H1078" s="17" t="str">
        <x:v>尚未熟練</x:v>
      </x:c>
      <x:c r="I1078" s="6" t="n">
        <x:v>23</x:v>
      </x:c>
    </x:row>
    <x:row r="1079">
      <x:c r="A1079" s="13" t="str">
        <x:v>1029</x:v>
      </x:c>
      <x:c r="B1079" s="14" t="str"/>
      <x:c r="C1079" s="14" t="str">
        <x:v>Lv.1</x:v>
      </x:c>
      <x:c r="D1079" s="14" t="str">
        <x:v>李柄輝醫師</x:v>
      </x:c>
      <x:c r="E1079" s="6" t="str"/>
      <x:c r="F1079" s="6" t="str">
        <x:v>病歷紀錄</x:v>
      </x:c>
      <x:c r="G1079" s="19" t="str">
        <x:v>Ø</x:v>
      </x:c>
      <x:c r="H1079" s="17" t="str">
        <x:v>尚未熟練</x:v>
      </x:c>
      <x:c r="I1079" s="6" t="n">
        <x:v>24</x:v>
      </x:c>
    </x:row>
    <x:row r="1080">
      <x:c r="A1080" s="13" t="str">
        <x:v>1029</x:v>
      </x:c>
      <x:c r="B1080" s="14" t="str"/>
      <x:c r="C1080" s="14" t="str">
        <x:v>Lv.1</x:v>
      </x:c>
      <x:c r="D1080" s="14" t="str">
        <x:v>李柄輝醫師</x:v>
      </x:c>
      <x:c r="E1080" s="6" t="str"/>
      <x:c r="F1080" s="6" t="str">
        <x:v>健保申報</x:v>
      </x:c>
      <x:c r="G1080" s="19" t="str">
        <x:v>Ø</x:v>
      </x:c>
      <x:c r="H1080" s="17" t="str">
        <x:v>尚未熟練</x:v>
      </x:c>
      <x:c r="I1080" s="6" t="n">
        <x:v>25</x:v>
      </x:c>
    </x:row>
    <x:row r="1081">
      <x:c r="A1081" s="13" t="str">
        <x:v>1029</x:v>
      </x:c>
      <x:c r="B1081" s="14" t="str"/>
      <x:c r="C1081" s="14" t="str">
        <x:v>Lv.1</x:v>
      </x:c>
      <x:c r="D1081" s="14" t="str">
        <x:v>李柄輝醫師</x:v>
      </x:c>
      <x:c r="E1081" s="6" t="str"/>
      <x:c r="F1081" s="6" t="str">
        <x:v>X光片紀錄</x:v>
      </x:c>
      <x:c r="G1081" s="19" t="str">
        <x:v>Ø</x:v>
      </x:c>
      <x:c r="H1081" s="17" t="str">
        <x:v>尚未熟練</x:v>
      </x:c>
      <x:c r="I1081" s="6" t="n">
        <x:v>26</x:v>
      </x:c>
    </x:row>
    <x:row r="1082">
      <x:c r="A1082" s="13" t="str">
        <x:v>1029</x:v>
      </x:c>
      <x:c r="B1082" s="14" t="str"/>
      <x:c r="C1082" s="14" t="str">
        <x:v>Lv.1</x:v>
      </x:c>
      <x:c r="D1082" s="14" t="str">
        <x:v>李柄輝醫師</x:v>
      </x:c>
      <x:c r="E1082" s="6" t="str"/>
      <x:c r="F1082" s="6" t="str">
        <x:v>拍PA</x:v>
      </x:c>
      <x:c r="G1082" s="19" t="str">
        <x:v>Ø</x:v>
      </x:c>
      <x:c r="H1082" s="17" t="str">
        <x:v>尚未熟練</x:v>
      </x:c>
      <x:c r="I1082" s="6" t="n">
        <x:v>27</x:v>
      </x:c>
    </x:row>
    <x:row r="1083">
      <x:c r="A1083" s="13" t="str">
        <x:v>1029</x:v>
      </x:c>
      <x:c r="B1083" s="14" t="str"/>
      <x:c r="C1083" s="14" t="str">
        <x:v>Lv.1</x:v>
      </x:c>
      <x:c r="D1083" s="14" t="str">
        <x:v>李侑津醫師</x:v>
      </x:c>
      <x:c r="E1083" s="6" t="str">
        <x:v>器械準備</x:v>
      </x:c>
      <x:c r="F1083" s="6" t="str">
        <x:v>洗牙</x:v>
      </x:c>
      <x:c r="G1083" s="19" t="str"/>
      <x:c r="H1083" s="17" t="str">
        <x:v>未評分</x:v>
      </x:c>
      <x:c r="I1083" s="6" t="n">
        <x:v>28</x:v>
      </x:c>
    </x:row>
    <x:row r="1084">
      <x:c r="A1084" s="13" t="str">
        <x:v>1029</x:v>
      </x:c>
      <x:c r="B1084" s="14" t="str"/>
      <x:c r="C1084" s="14" t="str">
        <x:v>Lv.1</x:v>
      </x:c>
      <x:c r="D1084" s="14" t="str">
        <x:v>李侑津醫師</x:v>
      </x:c>
      <x:c r="E1084" s="6" t="str">
        <x:v>器械準備</x:v>
      </x:c>
      <x:c r="F1084" s="6" t="str">
        <x:v>補牙</x:v>
      </x:c>
      <x:c r="G1084" s="19" t="str"/>
      <x:c r="H1084" s="17" t="str">
        <x:v>未評分</x:v>
      </x:c>
      <x:c r="I1084" s="6" t="n">
        <x:v>29</x:v>
      </x:c>
    </x:row>
    <x:row r="1085">
      <x:c r="A1085" s="13" t="str">
        <x:v>1029</x:v>
      </x:c>
      <x:c r="B1085" s="14" t="str"/>
      <x:c r="C1085" s="14" t="str">
        <x:v>Lv.1</x:v>
      </x:c>
      <x:c r="D1085" s="14" t="str">
        <x:v>李侑津醫師</x:v>
      </x:c>
      <x:c r="E1085" s="6" t="str">
        <x:v>器械準備</x:v>
      </x:c>
      <x:c r="F1085" s="6" t="str">
        <x:v>牙周統合</x:v>
      </x:c>
      <x:c r="G1085" s="19" t="str"/>
      <x:c r="H1085" s="17" t="str">
        <x:v>未評分</x:v>
      </x:c>
      <x:c r="I1085" s="6" t="n">
        <x:v>30</x:v>
      </x:c>
    </x:row>
    <x:row r="1086">
      <x:c r="A1086" s="13" t="str">
        <x:v>1029</x:v>
      </x:c>
      <x:c r="B1086" s="14" t="str"/>
      <x:c r="C1086" s="14" t="str">
        <x:v>Lv.1</x:v>
      </x:c>
      <x:c r="D1086" s="14" t="str">
        <x:v>李侑津醫師</x:v>
      </x:c>
      <x:c r="E1086" s="6" t="str">
        <x:v>器械準備</x:v>
      </x:c>
      <x:c r="F1086" s="6" t="str">
        <x:v>根管治療</x:v>
      </x:c>
      <x:c r="G1086" s="19" t="str"/>
      <x:c r="H1086" s="17" t="str">
        <x:v>未評分</x:v>
      </x:c>
      <x:c r="I1086" s="6" t="n">
        <x:v>31</x:v>
      </x:c>
    </x:row>
    <x:row r="1087">
      <x:c r="A1087" s="13" t="str">
        <x:v>1029</x:v>
      </x:c>
      <x:c r="B1087" s="14" t="str"/>
      <x:c r="C1087" s="14" t="str">
        <x:v>Lv.1</x:v>
      </x:c>
      <x:c r="D1087" s="14" t="str">
        <x:v>李侑津醫師</x:v>
      </x:c>
      <x:c r="E1087" s="6" t="str">
        <x:v>器械準備</x:v>
      </x:c>
      <x:c r="F1087" s="6" t="str">
        <x:v>拔牙</x:v>
      </x:c>
      <x:c r="G1087" s="19" t="str"/>
      <x:c r="H1087" s="17" t="str">
        <x:v>未評分</x:v>
      </x:c>
      <x:c r="I1087" s="6" t="n">
        <x:v>32</x:v>
      </x:c>
    </x:row>
    <x:row r="1088">
      <x:c r="A1088" s="13" t="str">
        <x:v>1029</x:v>
      </x:c>
      <x:c r="B1088" s="14" t="str"/>
      <x:c r="C1088" s="14" t="str">
        <x:v>Lv.1</x:v>
      </x:c>
      <x:c r="D1088" s="14" t="str">
        <x:v>李侑津醫師</x:v>
      </x:c>
      <x:c r="E1088" s="6" t="str">
        <x:v>器械準備</x:v>
      </x:c>
      <x:c r="F1088" s="6" t="str">
        <x:v>拆 crown/post</x:v>
      </x:c>
      <x:c r="G1088" s="19" t="str"/>
      <x:c r="H1088" s="17" t="str">
        <x:v>未評分</x:v>
      </x:c>
      <x:c r="I1088" s="6" t="n">
        <x:v>33</x:v>
      </x:c>
    </x:row>
    <x:row r="1089">
      <x:c r="A1089" s="13" t="str">
        <x:v>1029</x:v>
      </x:c>
      <x:c r="B1089" s="14" t="str"/>
      <x:c r="C1089" s="14" t="str">
        <x:v>Lv.1</x:v>
      </x:c>
      <x:c r="D1089" s="14" t="str">
        <x:v>李侑津醫師</x:v>
      </x:c>
      <x:c r="E1089" s="6" t="str">
        <x:v>自費</x:v>
      </x:c>
      <x:c r="F1089" s="6" t="str">
        <x:v>固定假牙</x:v>
      </x:c>
      <x:c r="G1089" s="19" t="str"/>
      <x:c r="H1089" s="17" t="str">
        <x:v>未評分</x:v>
      </x:c>
      <x:c r="I1089" s="6" t="n">
        <x:v>34</x:v>
      </x:c>
    </x:row>
    <x:row r="1090">
      <x:c r="A1090" s="13" t="str">
        <x:v>1029</x:v>
      </x:c>
      <x:c r="B1090" s="14" t="str"/>
      <x:c r="C1090" s="14" t="str">
        <x:v>Lv.1</x:v>
      </x:c>
      <x:c r="D1090" s="14" t="str">
        <x:v>李侑津醫師</x:v>
      </x:c>
      <x:c r="E1090" s="6" t="str">
        <x:v>自費</x:v>
      </x:c>
      <x:c r="F1090" s="6" t="str">
        <x:v>RPD</x:v>
      </x:c>
      <x:c r="G1090" s="19" t="str"/>
      <x:c r="H1090" s="17" t="str">
        <x:v>未評分</x:v>
      </x:c>
      <x:c r="I1090" s="6" t="n">
        <x:v>35</x:v>
      </x:c>
    </x:row>
    <x:row r="1091">
      <x:c r="A1091" s="13" t="str">
        <x:v>1029</x:v>
      </x:c>
      <x:c r="B1091" s="14" t="str"/>
      <x:c r="C1091" s="14" t="str">
        <x:v>Lv.1</x:v>
      </x:c>
      <x:c r="D1091" s="14" t="str">
        <x:v>李侑津醫師</x:v>
      </x:c>
      <x:c r="E1091" s="6" t="str">
        <x:v>自費</x:v>
      </x:c>
      <x:c r="F1091" s="6" t="str">
        <x:v>噴砂美白</x:v>
      </x:c>
      <x:c r="G1091" s="19" t="str"/>
      <x:c r="H1091" s="17" t="str">
        <x:v>未評分</x:v>
      </x:c>
      <x:c r="I1091" s="6" t="n">
        <x:v>36</x:v>
      </x:c>
    </x:row>
    <x:row r="1092">
      <x:c r="A1092" s="13" t="str">
        <x:v>1029</x:v>
      </x:c>
      <x:c r="B1092" s="14" t="str"/>
      <x:c r="C1092" s="14" t="str">
        <x:v>Lv.1</x:v>
      </x:c>
      <x:c r="D1092" s="14" t="str">
        <x:v>李侑津醫師</x:v>
      </x:c>
      <x:c r="E1092" s="6" t="str">
        <x:v>手術</x:v>
      </x:c>
      <x:c r="F1092" s="6" t="str">
        <x:v>牙周手術</x:v>
      </x:c>
      <x:c r="G1092" s="19" t="str"/>
      <x:c r="H1092" s="17" t="str">
        <x:v>未評分</x:v>
      </x:c>
      <x:c r="I1092" s="6" t="n">
        <x:v>37</x:v>
      </x:c>
    </x:row>
    <x:row r="1093">
      <x:c r="A1093" s="13" t="str">
        <x:v>1029</x:v>
      </x:c>
      <x:c r="B1093" s="14" t="str"/>
      <x:c r="C1093" s="14" t="str">
        <x:v>Lv.1</x:v>
      </x:c>
      <x:c r="D1093" s="14" t="str">
        <x:v>李侑津醫師</x:v>
      </x:c>
      <x:c r="E1093" s="6" t="str">
        <x:v>手術</x:v>
      </x:c>
      <x:c r="F1093" s="6" t="str">
        <x:v>顯微根管</x:v>
      </x:c>
      <x:c r="G1093" s="19" t="str"/>
      <x:c r="H1093" s="17" t="str">
        <x:v>未評分</x:v>
      </x:c>
      <x:c r="I1093" s="6" t="n">
        <x:v>38</x:v>
      </x:c>
    </x:row>
    <x:row r="1094">
      <x:c r="A1094" s="13" t="str">
        <x:v>1029</x:v>
      </x:c>
      <x:c r="B1094" s="14" t="str"/>
      <x:c r="C1094" s="14" t="str">
        <x:v>Lv.1</x:v>
      </x:c>
      <x:c r="D1094" s="14" t="str">
        <x:v>李侑津醫師</x:v>
      </x:c>
      <x:c r="E1094" s="6" t="str">
        <x:v>手術</x:v>
      </x:c>
      <x:c r="F1094" s="6" t="str">
        <x:v>植 牙</x:v>
      </x:c>
      <x:c r="G1094" s="19" t="str"/>
      <x:c r="H1094" s="17" t="str">
        <x:v>未評分</x:v>
      </x:c>
      <x:c r="I1094" s="6" t="n">
        <x:v>39</x:v>
      </x:c>
    </x:row>
    <x:row r="1095">
      <x:c r="A1095" s="13" t="str">
        <x:v>1029</x:v>
      </x:c>
      <x:c r="B1095" s="14" t="str"/>
      <x:c r="C1095" s="14" t="str">
        <x:v>Lv.1</x:v>
      </x:c>
      <x:c r="D1095" s="14" t="str">
        <x:v>李侑津醫師</x:v>
      </x:c>
      <x:c r="E1095" s="6" t="str"/>
      <x:c r="F1095" s="6" t="str">
        <x:v>跟診順暢度</x:v>
      </x:c>
      <x:c r="G1095" s="19" t="str"/>
      <x:c r="H1095" s="17" t="str">
        <x:v>未評分</x:v>
      </x:c>
      <x:c r="I1095" s="6" t="n">
        <x:v>40</x:v>
      </x:c>
    </x:row>
    <x:row r="1096">
      <x:c r="A1096" s="13" t="str">
        <x:v>1029</x:v>
      </x:c>
      <x:c r="B1096" s="14" t="str"/>
      <x:c r="C1096" s="14" t="str">
        <x:v>Lv.1</x:v>
      </x:c>
      <x:c r="D1096" s="14" t="str">
        <x:v>李侑津醫師</x:v>
      </x:c>
      <x:c r="E1096" s="6" t="str"/>
      <x:c r="F1096" s="6" t="str">
        <x:v>病歷紀錄</x:v>
      </x:c>
      <x:c r="G1096" s="19" t="str"/>
      <x:c r="H1096" s="17" t="str">
        <x:v>未評分</x:v>
      </x:c>
      <x:c r="I1096" s="6" t="n">
        <x:v>41</x:v>
      </x:c>
    </x:row>
    <x:row r="1097">
      <x:c r="A1097" s="13" t="str">
        <x:v>1029</x:v>
      </x:c>
      <x:c r="B1097" s="14" t="str"/>
      <x:c r="C1097" s="14" t="str">
        <x:v>Lv.1</x:v>
      </x:c>
      <x:c r="D1097" s="14" t="str">
        <x:v>李侑津醫師</x:v>
      </x:c>
      <x:c r="E1097" s="6" t="str"/>
      <x:c r="F1097" s="6" t="str">
        <x:v>健保申報</x:v>
      </x:c>
      <x:c r="G1097" s="19" t="str"/>
      <x:c r="H1097" s="17" t="str">
        <x:v>未評分</x:v>
      </x:c>
      <x:c r="I1097" s="6" t="n">
        <x:v>42</x:v>
      </x:c>
    </x:row>
    <x:row r="1098">
      <x:c r="A1098" s="13" t="str">
        <x:v>1029</x:v>
      </x:c>
      <x:c r="B1098" s="14" t="str"/>
      <x:c r="C1098" s="14" t="str">
        <x:v>Lv.1</x:v>
      </x:c>
      <x:c r="D1098" s="14" t="str">
        <x:v>李侑津醫師</x:v>
      </x:c>
      <x:c r="E1098" s="6" t="str"/>
      <x:c r="F1098" s="6" t="str">
        <x:v>X光片紀錄</x:v>
      </x:c>
      <x:c r="G1098" s="19" t="str"/>
      <x:c r="H1098" s="17" t="str">
        <x:v>未評分</x:v>
      </x:c>
      <x:c r="I1098" s="6" t="n">
        <x:v>43</x:v>
      </x:c>
    </x:row>
    <x:row r="1099">
      <x:c r="A1099" s="13" t="str">
        <x:v>1029</x:v>
      </x:c>
      <x:c r="B1099" s="14" t="str"/>
      <x:c r="C1099" s="14" t="str">
        <x:v>Lv.1</x:v>
      </x:c>
      <x:c r="D1099" s="14" t="str">
        <x:v>李侑津醫師</x:v>
      </x:c>
      <x:c r="E1099" s="6" t="str"/>
      <x:c r="F1099" s="6" t="str">
        <x:v>拍PA</x:v>
      </x:c>
      <x:c r="G1099" s="19" t="str"/>
      <x:c r="H1099" s="17" t="str">
        <x:v>未評分</x:v>
      </x:c>
      <x:c r="I1099" s="6" t="n">
        <x:v>44</x:v>
      </x:c>
    </x:row>
    <x:row r="1100">
      <x:c r="A1100" s="13" t="str">
        <x:v>1029</x:v>
      </x:c>
      <x:c r="B1100" s="14" t="str"/>
      <x:c r="C1100" s="14" t="str">
        <x:v>Lv.1</x:v>
      </x:c>
      <x:c r="D1100" s="14" t="str">
        <x:v>李侑津醫師</x:v>
      </x:c>
      <x:c r="E1100" s="6" t="str"/>
      <x:c r="F1100" s="6" t="str">
        <x:v>口掃機運用</x:v>
      </x:c>
      <x:c r="G1100" s="19" t="str"/>
      <x:c r="H1100" s="17" t="str">
        <x:v>未評分</x:v>
      </x:c>
      <x:c r="I1100" s="6" t="n">
        <x:v>45</x:v>
      </x:c>
    </x:row>
    <x:row r="1101">
      <x:c r="A1101" s="13" t="str">
        <x:v>1029</x:v>
      </x:c>
      <x:c r="B1101" s="14" t="str"/>
      <x:c r="C1101" s="14" t="str">
        <x:v>Lv.1</x:v>
      </x:c>
      <x:c r="D1101" s="14" t="str">
        <x:v>廖立揚醫師</x:v>
      </x:c>
      <x:c r="E1101" s="6" t="str"/>
      <x:c r="F1101" s="6" t="str">
        <x:v>器械熟悉度</x:v>
      </x:c>
      <x:c r="G1101" s="19" t="str"/>
      <x:c r="H1101" s="17" t="str">
        <x:v>未評分</x:v>
      </x:c>
      <x:c r="I1101" s="6" t="n">
        <x:v>46</x:v>
      </x:c>
    </x:row>
    <x:row r="1102">
      <x:c r="A1102" s="13" t="str">
        <x:v>1029</x:v>
      </x:c>
      <x:c r="B1102" s="14" t="str"/>
      <x:c r="C1102" s="14" t="str">
        <x:v>Lv.1</x:v>
      </x:c>
      <x:c r="D1102" s="14" t="str">
        <x:v>廖立揚醫師</x:v>
      </x:c>
      <x:c r="E1102" s="6" t="str"/>
      <x:c r="F1102" s="6" t="str">
        <x:v>跟診順暢度</x:v>
      </x:c>
      <x:c r="G1102" s="19" t="str"/>
      <x:c r="H1102" s="17" t="str">
        <x:v>未評分</x:v>
      </x:c>
      <x:c r="I1102" s="6" t="n">
        <x:v>47</x:v>
      </x:c>
    </x:row>
    <x:row r="1103">
      <x:c r="A1103" s="13" t="str">
        <x:v>1029</x:v>
      </x:c>
      <x:c r="B1103" s="14" t="str"/>
      <x:c r="C1103" s="14" t="str">
        <x:v>Lv.1</x:v>
      </x:c>
      <x:c r="D1103" s="14" t="str">
        <x:v>廖立揚醫師</x:v>
      </x:c>
      <x:c r="E1103" s="6" t="str"/>
      <x:c r="F1103" s="6" t="str">
        <x:v>病歷紀錄</x:v>
      </x:c>
      <x:c r="G1103" s="19" t="str"/>
      <x:c r="H1103" s="17" t="str">
        <x:v>未評分</x:v>
      </x:c>
      <x:c r="I1103" s="6" t="n">
        <x:v>48</x:v>
      </x:c>
    </x:row>
    <x:row r="1104">
      <x:c r="A1104" s="13" t="str">
        <x:v>1029</x:v>
      </x:c>
      <x:c r="B1104" s="14" t="str"/>
      <x:c r="C1104" s="14" t="str">
        <x:v>Lv.1</x:v>
      </x:c>
      <x:c r="D1104" s="14" t="str">
        <x:v>廖立揚醫師</x:v>
      </x:c>
      <x:c r="E1104" s="6" t="str"/>
      <x:c r="F1104" s="6" t="str">
        <x:v>健保申報(初診pano)</x:v>
      </x:c>
      <x:c r="G1104" s="19" t="str"/>
      <x:c r="H1104" s="17" t="str">
        <x:v>未評分</x:v>
      </x:c>
      <x:c r="I1104" s="6" t="n">
        <x:v>49</x:v>
      </x:c>
    </x:row>
    <x:row r="1105">
      <x:c r="A1105" s="13" t="str">
        <x:v>1029</x:v>
      </x:c>
      <x:c r="B1105" s="14" t="str"/>
      <x:c r="C1105" s="14" t="str">
        <x:v>Lv.1</x:v>
      </x:c>
      <x:c r="D1105" s="14" t="str">
        <x:v>廖立揚醫師</x:v>
      </x:c>
      <x:c r="E1105" s="6" t="str"/>
      <x:c r="F1105" s="6" t="str">
        <x:v>X光片紀錄</x:v>
      </x:c>
      <x:c r="G1105" s="19" t="str"/>
      <x:c r="H1105" s="17" t="str">
        <x:v>未評分</x:v>
      </x:c>
      <x:c r="I1105" s="6" t="n">
        <x:v>50</x:v>
      </x:c>
    </x:row>
    <x:row r="1106">
      <x:c r="A1106" s="13" t="str">
        <x:v>1029</x:v>
      </x:c>
      <x:c r="B1106" s="14" t="str"/>
      <x:c r="C1106" s="14" t="str">
        <x:v>Lv.1</x:v>
      </x:c>
      <x:c r="D1106" s="14" t="str">
        <x:v>廖立揚醫師</x:v>
      </x:c>
      <x:c r="E1106" s="6" t="str"/>
      <x:c r="F1106" s="6" t="str">
        <x:v>拍PANO、PA</x:v>
      </x:c>
      <x:c r="G1106" s="19" t="str"/>
      <x:c r="H1106" s="17" t="str">
        <x:v>未評分</x:v>
      </x:c>
      <x:c r="I1106" s="6" t="n">
        <x:v>51</x:v>
      </x:c>
    </x:row>
    <x:row r="1107">
      <x:c r="A1107" s="13" t="str">
        <x:v>1029</x:v>
      </x:c>
      <x:c r="B1107" s="14" t="str"/>
      <x:c r="C1107" s="14" t="str">
        <x:v>Lv.1</x:v>
      </x:c>
      <x:c r="D1107" s="14" t="str">
        <x:v>廖立揚醫師</x:v>
      </x:c>
      <x:c r="E1107" s="6" t="str"/>
      <x:c r="F1107" s="6" t="str">
        <x:v>CT照</x:v>
      </x:c>
      <x:c r="G1107" s="19" t="str"/>
      <x:c r="H1107" s="17" t="str">
        <x:v>未評分</x:v>
      </x:c>
      <x:c r="I1107" s="6" t="n">
        <x:v>52</x:v>
      </x:c>
    </x:row>
    <x:row r="1108">
      <x:c r="A1108" s="13" t="str">
        <x:v>1029</x:v>
      </x:c>
      <x:c r="B1108" s="14" t="str"/>
      <x:c r="C1108" s="14" t="str">
        <x:v>Lv.1</x:v>
      </x:c>
      <x:c r="D1108" s="14" t="str">
        <x:v>廖立揚醫師</x:v>
      </x:c>
      <x:c r="E1108" s="6" t="str"/>
      <x:c r="F1108" s="6" t="str">
        <x:v>側頭顱照</x:v>
      </x:c>
      <x:c r="G1108" s="19" t="str"/>
      <x:c r="H1108" s="17" t="str">
        <x:v>未評分</x:v>
      </x:c>
      <x:c r="I1108" s="6" t="n">
        <x:v>53</x:v>
      </x:c>
    </x:row>
    <x:row r="1109">
      <x:c r="A1109" s="13" t="str">
        <x:v>1029</x:v>
      </x:c>
      <x:c r="B1109" s="14" t="str"/>
      <x:c r="C1109" s="14" t="str">
        <x:v>Lv.1</x:v>
      </x:c>
      <x:c r="D1109" s="14" t="str">
        <x:v>廖立揚醫師</x:v>
      </x:c>
      <x:c r="E1109" s="6" t="str"/>
      <x:c r="F1109" s="6" t="str">
        <x:v>口掃機運用</x:v>
      </x:c>
      <x:c r="G1109" s="19" t="str"/>
      <x:c r="H1109" s="17" t="str">
        <x:v>未評分</x:v>
      </x:c>
      <x:c r="I1109" s="6" t="n">
        <x:v>54</x:v>
      </x:c>
    </x:row>
    <x:row r="1110">
      <x:c r="A1110" s="13" t="str">
        <x:v>1029</x:v>
      </x:c>
      <x:c r="B1110" s="14" t="str"/>
      <x:c r="C1110" s="14" t="str">
        <x:v>Lv.1</x:v>
      </x:c>
      <x:c r="D1110" s="14" t="str">
        <x:v>楊小瑩醫師</x:v>
      </x:c>
      <x:c r="E1110" s="6" t="str">
        <x:v>器械準備</x:v>
      </x:c>
      <x:c r="F1110" s="6" t="str">
        <x:v>洗牙</x:v>
      </x:c>
      <x:c r="G1110" s="19" t="str"/>
      <x:c r="H1110" s="17" t="str">
        <x:v>未評分</x:v>
      </x:c>
      <x:c r="I1110" s="6" t="n">
        <x:v>55</x:v>
      </x:c>
    </x:row>
    <x:row r="1111">
      <x:c r="A1111" s="13" t="str">
        <x:v>1029</x:v>
      </x:c>
      <x:c r="B1111" s="14" t="str"/>
      <x:c r="C1111" s="14" t="str">
        <x:v>Lv.1</x:v>
      </x:c>
      <x:c r="D1111" s="14" t="str">
        <x:v>楊小瑩醫師</x:v>
      </x:c>
      <x:c r="E1111" s="6" t="str">
        <x:v>器械準備</x:v>
      </x:c>
      <x:c r="F1111" s="6" t="str">
        <x:v>補牙</x:v>
      </x:c>
      <x:c r="G1111" s="19" t="str"/>
      <x:c r="H1111" s="17" t="str">
        <x:v>未評分</x:v>
      </x:c>
      <x:c r="I1111" s="6" t="n">
        <x:v>56</x:v>
      </x:c>
    </x:row>
    <x:row r="1112">
      <x:c r="A1112" s="13" t="str">
        <x:v>1029</x:v>
      </x:c>
      <x:c r="B1112" s="14" t="str"/>
      <x:c r="C1112" s="14" t="str">
        <x:v>Lv.1</x:v>
      </x:c>
      <x:c r="D1112" s="14" t="str">
        <x:v>楊小瑩醫師</x:v>
      </x:c>
      <x:c r="E1112" s="6" t="str">
        <x:v>器械準備</x:v>
      </x:c>
      <x:c r="F1112" s="6" t="str">
        <x:v>根管治療</x:v>
      </x:c>
      <x:c r="G1112" s="19" t="str"/>
      <x:c r="H1112" s="17" t="str">
        <x:v>未評分</x:v>
      </x:c>
      <x:c r="I1112" s="6" t="n">
        <x:v>57</x:v>
      </x:c>
    </x:row>
    <x:row r="1113">
      <x:c r="A1113" s="13" t="str">
        <x:v>1029</x:v>
      </x:c>
      <x:c r="B1113" s="14" t="str"/>
      <x:c r="C1113" s="14" t="str">
        <x:v>Lv.1</x:v>
      </x:c>
      <x:c r="D1113" s="14" t="str">
        <x:v>楊小瑩醫師</x:v>
      </x:c>
      <x:c r="E1113" s="6" t="str">
        <x:v>器械準備</x:v>
      </x:c>
      <x:c r="F1113" s="6" t="str">
        <x:v>拔牙</x:v>
      </x:c>
      <x:c r="G1113" s="19" t="str"/>
      <x:c r="H1113" s="17" t="str">
        <x:v>未評分</x:v>
      </x:c>
      <x:c r="I1113" s="6" t="n">
        <x:v>58</x:v>
      </x:c>
    </x:row>
    <x:row r="1114">
      <x:c r="A1114" s="13" t="str">
        <x:v>1029</x:v>
      </x:c>
      <x:c r="B1114" s="14" t="str"/>
      <x:c r="C1114" s="14" t="str">
        <x:v>Lv.1</x:v>
      </x:c>
      <x:c r="D1114" s="14" t="str">
        <x:v>楊小瑩醫師</x:v>
      </x:c>
      <x:c r="E1114" s="6" t="str">
        <x:v>器械準備</x:v>
      </x:c>
      <x:c r="F1114" s="6" t="str">
        <x:v>拆 crown/post</x:v>
      </x:c>
      <x:c r="G1114" s="19" t="str"/>
      <x:c r="H1114" s="17" t="str">
        <x:v>未評分</x:v>
      </x:c>
      <x:c r="I1114" s="6" t="n">
        <x:v>59</x:v>
      </x:c>
    </x:row>
    <x:row r="1115">
      <x:c r="A1115" s="13" t="str">
        <x:v>1029</x:v>
      </x:c>
      <x:c r="B1115" s="14" t="str"/>
      <x:c r="C1115" s="14" t="str">
        <x:v>Lv.1</x:v>
      </x:c>
      <x:c r="D1115" s="14" t="str">
        <x:v>楊小瑩醫師</x:v>
      </x:c>
      <x:c r="E1115" s="6" t="str">
        <x:v>自費</x:v>
      </x:c>
      <x:c r="F1115" s="6" t="str">
        <x:v>固定假牙</x:v>
      </x:c>
      <x:c r="G1115" s="19" t="str"/>
      <x:c r="H1115" s="17" t="str">
        <x:v>未評分</x:v>
      </x:c>
      <x:c r="I1115" s="6" t="n">
        <x:v>60</x:v>
      </x:c>
    </x:row>
    <x:row r="1116">
      <x:c r="A1116" s="13" t="str">
        <x:v>1029</x:v>
      </x:c>
      <x:c r="B1116" s="14" t="str"/>
      <x:c r="C1116" s="14" t="str">
        <x:v>Lv.1</x:v>
      </x:c>
      <x:c r="D1116" s="14" t="str">
        <x:v>楊小瑩醫師</x:v>
      </x:c>
      <x:c r="E1116" s="6" t="str">
        <x:v>自費</x:v>
      </x:c>
      <x:c r="F1116" s="6" t="str">
        <x:v>RPD</x:v>
      </x:c>
      <x:c r="G1116" s="19" t="str"/>
      <x:c r="H1116" s="17" t="str">
        <x:v>未評分</x:v>
      </x:c>
      <x:c r="I1116" s="6" t="n">
        <x:v>61</x:v>
      </x:c>
    </x:row>
    <x:row r="1117">
      <x:c r="A1117" s="13" t="str">
        <x:v>1029</x:v>
      </x:c>
      <x:c r="B1117" s="14" t="str"/>
      <x:c r="C1117" s="14" t="str">
        <x:v>Lv.1</x:v>
      </x:c>
      <x:c r="D1117" s="14" t="str">
        <x:v>楊小瑩醫師</x:v>
      </x:c>
      <x:c r="E1117" s="6" t="str">
        <x:v>自費</x:v>
      </x:c>
      <x:c r="F1117" s="6" t="str">
        <x:v>噴砂美白</x:v>
      </x:c>
      <x:c r="G1117" s="19" t="str"/>
      <x:c r="H1117" s="17" t="str">
        <x:v>未評分</x:v>
      </x:c>
      <x:c r="I1117" s="6" t="n">
        <x:v>62</x:v>
      </x:c>
    </x:row>
    <x:row r="1118">
      <x:c r="A1118" s="13" t="str">
        <x:v>1029</x:v>
      </x:c>
      <x:c r="B1118" s="14" t="str"/>
      <x:c r="C1118" s="14" t="str">
        <x:v>Lv.1</x:v>
      </x:c>
      <x:c r="D1118" s="14" t="str">
        <x:v>楊小瑩醫師</x:v>
      </x:c>
      <x:c r="E1118" s="6" t="str"/>
      <x:c r="F1118" s="6" t="str">
        <x:v>跟診順暢度</x:v>
      </x:c>
      <x:c r="G1118" s="19" t="str"/>
      <x:c r="H1118" s="17" t="str">
        <x:v>未評分</x:v>
      </x:c>
      <x:c r="I1118" s="6" t="n">
        <x:v>63</x:v>
      </x:c>
    </x:row>
    <x:row r="1119">
      <x:c r="A1119" s="13" t="str">
        <x:v>1029</x:v>
      </x:c>
      <x:c r="B1119" s="14" t="str"/>
      <x:c r="C1119" s="14" t="str">
        <x:v>Lv.1</x:v>
      </x:c>
      <x:c r="D1119" s="14" t="str">
        <x:v>楊小瑩醫師</x:v>
      </x:c>
      <x:c r="E1119" s="6" t="str"/>
      <x:c r="F1119" s="6" t="str">
        <x:v>病歷紀錄</x:v>
      </x:c>
      <x:c r="G1119" s="19" t="str"/>
      <x:c r="H1119" s="17" t="str">
        <x:v>未評分</x:v>
      </x:c>
      <x:c r="I1119" s="6" t="n">
        <x:v>64</x:v>
      </x:c>
    </x:row>
    <x:row r="1120">
      <x:c r="A1120" s="13" t="str">
        <x:v>1029</x:v>
      </x:c>
      <x:c r="B1120" s="14" t="str"/>
      <x:c r="C1120" s="14" t="str">
        <x:v>Lv.1</x:v>
      </x:c>
      <x:c r="D1120" s="14" t="str">
        <x:v>楊小瑩醫師</x:v>
      </x:c>
      <x:c r="E1120" s="6" t="str"/>
      <x:c r="F1120" s="6" t="str">
        <x:v>健保申報</x:v>
      </x:c>
      <x:c r="G1120" s="19" t="str"/>
      <x:c r="H1120" s="17" t="str">
        <x:v>未評分</x:v>
      </x:c>
      <x:c r="I1120" s="6" t="n">
        <x:v>65</x:v>
      </x:c>
    </x:row>
    <x:row r="1121">
      <x:c r="A1121" s="13" t="str">
        <x:v>1029</x:v>
      </x:c>
      <x:c r="B1121" s="14" t="str"/>
      <x:c r="C1121" s="14" t="str">
        <x:v>Lv.1</x:v>
      </x:c>
      <x:c r="D1121" s="14" t="str">
        <x:v>楊小瑩醫師</x:v>
      </x:c>
      <x:c r="E1121" s="6" t="str"/>
      <x:c r="F1121" s="6" t="str">
        <x:v>X光片紀錄</x:v>
      </x:c>
      <x:c r="G1121" s="19" t="str"/>
      <x:c r="H1121" s="17" t="str">
        <x:v>未評分</x:v>
      </x:c>
      <x:c r="I1121" s="6" t="n">
        <x:v>66</x:v>
      </x:c>
    </x:row>
    <x:row r="1122">
      <x:c r="A1122" s="13" t="str">
        <x:v>1029</x:v>
      </x:c>
      <x:c r="B1122" s="14" t="str"/>
      <x:c r="C1122" s="14" t="str">
        <x:v>Lv.1</x:v>
      </x:c>
      <x:c r="D1122" s="14" t="str">
        <x:v>楊小瑩醫師</x:v>
      </x:c>
      <x:c r="E1122" s="6" t="str"/>
      <x:c r="F1122" s="6" t="str">
        <x:v>拍PA</x:v>
      </x:c>
      <x:c r="G1122" s="19" t="str"/>
      <x:c r="H1122" s="17" t="str">
        <x:v>未評分</x:v>
      </x:c>
      <x:c r="I1122" s="6" t="n">
        <x:v>67</x:v>
      </x:c>
    </x:row>
    <x:row r="1123">
      <x:c r="A1123" s="13" t="str">
        <x:v>1029</x:v>
      </x:c>
      <x:c r="B1123" s="14" t="str"/>
      <x:c r="C1123" s="14" t="str">
        <x:v>Lv.1</x:v>
      </x:c>
      <x:c r="D1123" s="14" t="str">
        <x:v>王俊偉醫師</x:v>
      </x:c>
      <x:c r="E1123" s="6" t="str"/>
      <x:c r="F1123" s="6" t="str">
        <x:v>器械熟悉度</x:v>
      </x:c>
      <x:c r="G1123" s="19" t="str"/>
      <x:c r="H1123" s="17" t="str">
        <x:v>未評分</x:v>
      </x:c>
      <x:c r="I1123" s="6" t="n">
        <x:v>68</x:v>
      </x:c>
    </x:row>
    <x:row r="1124">
      <x:c r="A1124" s="13" t="str">
        <x:v>1029</x:v>
      </x:c>
      <x:c r="B1124" s="14" t="str"/>
      <x:c r="C1124" s="14" t="str">
        <x:v>Lv.1</x:v>
      </x:c>
      <x:c r="D1124" s="14" t="str">
        <x:v>王俊偉醫師</x:v>
      </x:c>
      <x:c r="E1124" s="6" t="str"/>
      <x:c r="F1124" s="6" t="str">
        <x:v>跟診順暢度</x:v>
      </x:c>
      <x:c r="G1124" s="19" t="str"/>
      <x:c r="H1124" s="17" t="str">
        <x:v>未評分</x:v>
      </x:c>
      <x:c r="I1124" s="6" t="n">
        <x:v>69</x:v>
      </x:c>
    </x:row>
    <x:row r="1125">
      <x:c r="A1125" s="13" t="str">
        <x:v>1029</x:v>
      </x:c>
      <x:c r="B1125" s="14" t="str"/>
      <x:c r="C1125" s="14" t="str">
        <x:v>Lv.1</x:v>
      </x:c>
      <x:c r="D1125" s="14" t="str">
        <x:v>王俊偉醫師</x:v>
      </x:c>
      <x:c r="E1125" s="6" t="str"/>
      <x:c r="F1125" s="6" t="str">
        <x:v>病歷紀錄</x:v>
      </x:c>
      <x:c r="G1125" s="19" t="str"/>
      <x:c r="H1125" s="17" t="str">
        <x:v>未評分</x:v>
      </x:c>
      <x:c r="I1125" s="6" t="n">
        <x:v>70</x:v>
      </x:c>
    </x:row>
    <x:row r="1126">
      <x:c r="A1126" s="13" t="str">
        <x:v>1029</x:v>
      </x:c>
      <x:c r="B1126" s="14" t="str"/>
      <x:c r="C1126" s="14" t="str">
        <x:v>Lv.1</x:v>
      </x:c>
      <x:c r="D1126" s="14" t="str">
        <x:v>王俊偉醫師</x:v>
      </x:c>
      <x:c r="E1126" s="6" t="str"/>
      <x:c r="F1126" s="6" t="str">
        <x:v>健保申報</x:v>
      </x:c>
      <x:c r="G1126" s="19" t="str"/>
      <x:c r="H1126" s="17" t="str">
        <x:v>未評分</x:v>
      </x:c>
      <x:c r="I1126" s="6" t="n">
        <x:v>71</x:v>
      </x:c>
    </x:row>
    <x:row r="1127">
      <x:c r="A1127" s="13" t="str">
        <x:v>1029</x:v>
      </x:c>
      <x:c r="B1127" s="14" t="str"/>
      <x:c r="C1127" s="14" t="str">
        <x:v>Lv.1</x:v>
      </x:c>
      <x:c r="D1127" s="14" t="str">
        <x:v>王俊偉醫師</x:v>
      </x:c>
      <x:c r="E1127" s="6" t="str"/>
      <x:c r="F1127" s="6" t="str">
        <x:v>X光片紀錄</x:v>
      </x:c>
      <x:c r="G1127" s="19" t="str"/>
      <x:c r="H1127" s="17" t="str">
        <x:v>未評分</x:v>
      </x:c>
      <x:c r="I1127" s="6" t="n">
        <x:v>72</x:v>
      </x:c>
    </x:row>
    <x:row r="1128">
      <x:c r="A1128" s="13" t="str">
        <x:v>1029</x:v>
      </x:c>
      <x:c r="B1128" s="14" t="str"/>
      <x:c r="C1128" s="14" t="str">
        <x:v>Lv.1</x:v>
      </x:c>
      <x:c r="D1128" s="14" t="str">
        <x:v>王俊偉醫師</x:v>
      </x:c>
      <x:c r="E1128" s="6" t="str"/>
      <x:c r="F1128" s="6" t="str">
        <x:v>拍PANO、PA</x:v>
      </x:c>
      <x:c r="G1128" s="19" t="str"/>
      <x:c r="H1128" s="17" t="str">
        <x:v>未評分</x:v>
      </x:c>
      <x:c r="I1128" s="6" t="n">
        <x:v>73</x:v>
      </x:c>
    </x:row>
    <x:row r="1129">
      <x:c r="A1129" s="13" t="str">
        <x:v>1029</x:v>
      </x:c>
      <x:c r="B1129" s="14" t="str"/>
      <x:c r="C1129" s="14" t="str">
        <x:v>Lv.1</x:v>
      </x:c>
      <x:c r="D1129" s="14" t="str">
        <x:v>王俊偉醫師</x:v>
      </x:c>
      <x:c r="E1129" s="6" t="str"/>
      <x:c r="F1129" s="6" t="str">
        <x:v>CT照</x:v>
      </x:c>
      <x:c r="G1129" s="19" t="str"/>
      <x:c r="H1129" s="17" t="str">
        <x:v>未評分</x:v>
      </x:c>
      <x:c r="I1129" s="6" t="n">
        <x:v>74</x:v>
      </x:c>
    </x:row>
    <x:row r="1130">
      <x:c r="A1130" s="13" t="str">
        <x:v>1029</x:v>
      </x:c>
      <x:c r="B1130" s="14" t="str"/>
      <x:c r="C1130" s="14" t="str">
        <x:v>Lv.1</x:v>
      </x:c>
      <x:c r="D1130" s="14" t="str">
        <x:v>王俊偉醫師</x:v>
      </x:c>
      <x:c r="E1130" s="6" t="str"/>
      <x:c r="F1130" s="6" t="str">
        <x:v>側頭顱照</x:v>
      </x:c>
      <x:c r="G1130" s="19" t="str"/>
      <x:c r="H1130" s="17" t="str">
        <x:v>未評分</x:v>
      </x:c>
      <x:c r="I1130" s="6" t="n">
        <x:v>75</x:v>
      </x:c>
    </x:row>
    <x:row r="1131">
      <x:c r="A1131" s="13" t="str">
        <x:v>1029</x:v>
      </x:c>
      <x:c r="B1131" s="14" t="str"/>
      <x:c r="C1131" s="14" t="str">
        <x:v>Lv.1</x:v>
      </x:c>
      <x:c r="D1131" s="14" t="str">
        <x:v>王俊偉醫師</x:v>
      </x:c>
      <x:c r="E1131" s="6" t="str"/>
      <x:c r="F1131" s="6" t="str">
        <x:v>口掃機運用</x:v>
      </x:c>
      <x:c r="G1131" s="19" t="str"/>
      <x:c r="H1131" s="17" t="str">
        <x:v>未評分</x:v>
      </x:c>
      <x:c r="I1131" s="6" t="n">
        <x:v>76</x:v>
      </x:c>
    </x:row>
    <x:row r="1132">
      <x:c r="A1132" s="13" t="str">
        <x:v>1029</x:v>
      </x:c>
      <x:c r="B1132" s="14" t="str"/>
      <x:c r="C1132" s="14" t="str">
        <x:v>Lv.1</x:v>
      </x:c>
      <x:c r="D1132" s="14" t="str">
        <x:v>許馨文醫師</x:v>
      </x:c>
      <x:c r="E1132" s="6" t="str"/>
      <x:c r="F1132" s="6" t="str">
        <x:v>器械熟悉度</x:v>
      </x:c>
      <x:c r="G1132" s="19" t="str">
        <x:v>Ø</x:v>
      </x:c>
      <x:c r="H1132" s="17" t="str">
        <x:v>尚未熟練</x:v>
      </x:c>
      <x:c r="I1132" s="6" t="n">
        <x:v>77</x:v>
      </x:c>
    </x:row>
    <x:row r="1133">
      <x:c r="A1133" s="13" t="str">
        <x:v>1029</x:v>
      </x:c>
      <x:c r="B1133" s="14" t="str"/>
      <x:c r="C1133" s="14" t="str">
        <x:v>Lv.1</x:v>
      </x:c>
      <x:c r="D1133" s="14" t="str">
        <x:v>許馨文醫師</x:v>
      </x:c>
      <x:c r="E1133" s="6" t="str"/>
      <x:c r="F1133" s="6" t="str">
        <x:v>吸口水技巧</x:v>
      </x:c>
      <x:c r="G1133" s="19" t="str">
        <x:v>Ø</x:v>
      </x:c>
      <x:c r="H1133" s="17" t="str">
        <x:v>尚未熟練</x:v>
      </x:c>
      <x:c r="I1133" s="6" t="n">
        <x:v>78</x:v>
      </x:c>
    </x:row>
    <x:row r="1134">
      <x:c r="A1134" s="13" t="str">
        <x:v>1029</x:v>
      </x:c>
      <x:c r="B1134" s="14" t="str"/>
      <x:c r="C1134" s="14" t="str">
        <x:v>Lv.1</x:v>
      </x:c>
      <x:c r="D1134" s="14" t="str">
        <x:v>許馨文醫師</x:v>
      </x:c>
      <x:c r="E1134" s="6" t="str"/>
      <x:c r="F1134" s="6" t="str">
        <x:v>病歷紀錄</x:v>
      </x:c>
      <x:c r="G1134" s="19" t="str">
        <x:v>Ø</x:v>
      </x:c>
      <x:c r="H1134" s="17" t="str">
        <x:v>尚未熟練</x:v>
      </x:c>
      <x:c r="I1134" s="6" t="n">
        <x:v>79</x:v>
      </x:c>
    </x:row>
    <x:row r="1135">
      <x:c r="A1135" s="13" t="str">
        <x:v>1029</x:v>
      </x:c>
      <x:c r="B1135" s="14" t="str"/>
      <x:c r="C1135" s="14" t="str">
        <x:v>Lv.1</x:v>
      </x:c>
      <x:c r="D1135" s="14" t="str">
        <x:v>許馨文醫師</x:v>
      </x:c>
      <x:c r="E1135" s="6" t="str"/>
      <x:c r="F1135" s="6" t="str">
        <x:v>健保申報</x:v>
      </x:c>
      <x:c r="G1135" s="19" t="str">
        <x:v>Ø</x:v>
      </x:c>
      <x:c r="H1135" s="17" t="str">
        <x:v>尚未熟練</x:v>
      </x:c>
      <x:c r="I1135" s="6" t="n">
        <x:v>80</x:v>
      </x:c>
    </x:row>
    <x:row r="1136">
      <x:c r="A1136" s="13" t="str">
        <x:v>1029</x:v>
      </x:c>
      <x:c r="B1136" s="14" t="str"/>
      <x:c r="C1136" s="14" t="str">
        <x:v>Lv.1</x:v>
      </x:c>
      <x:c r="D1136" s="14" t="str">
        <x:v>許馨文醫師</x:v>
      </x:c>
      <x:c r="E1136" s="6" t="str"/>
      <x:c r="F1136" s="6" t="str">
        <x:v>X光片紀錄</x:v>
      </x:c>
      <x:c r="G1136" s="19" t="str">
        <x:v>Ø</x:v>
      </x:c>
      <x:c r="H1136" s="17" t="str">
        <x:v>尚未熟練</x:v>
      </x:c>
      <x:c r="I1136" s="6" t="n">
        <x:v>81</x:v>
      </x:c>
    </x:row>
    <x:row r="1137">
      <x:c r="A1137" s="13" t="str">
        <x:v>1029</x:v>
      </x:c>
      <x:c r="B1137" s="14" t="str"/>
      <x:c r="C1137" s="14" t="str">
        <x:v>Lv.1</x:v>
      </x:c>
      <x:c r="D1137" s="14" t="str">
        <x:v>許馨文醫師</x:v>
      </x:c>
      <x:c r="E1137" s="6" t="str"/>
      <x:c r="F1137" s="6" t="str">
        <x:v>拍PANO、PA</x:v>
      </x:c>
      <x:c r="G1137" s="19" t="str">
        <x:v>Ø</x:v>
      </x:c>
      <x:c r="H1137" s="17" t="str">
        <x:v>尚未熟練</x:v>
      </x:c>
      <x:c r="I1137" s="6" t="n">
        <x:v>82</x:v>
      </x:c>
    </x:row>
    <x:row r="1138">
      <x:c r="A1138" s="13" t="str">
        <x:v>1029</x:v>
      </x:c>
      <x:c r="B1138" s="14" t="str"/>
      <x:c r="C1138" s="14" t="str">
        <x:v>Lv.1</x:v>
      </x:c>
      <x:c r="D1138" s="14" t="str">
        <x:v>林晏妤醫師</x:v>
      </x:c>
      <x:c r="E1138" s="6" t="str"/>
      <x:c r="F1138" s="6" t="str">
        <x:v>器械熟悉度</x:v>
      </x:c>
      <x:c r="G1138" s="19" t="str">
        <x:v>※</x:v>
      </x:c>
      <x:c r="H1138" s="17" t="str">
        <x:v>學習中</x:v>
      </x:c>
      <x:c r="I1138" s="6" t="n">
        <x:v>83</x:v>
      </x:c>
    </x:row>
    <x:row r="1139">
      <x:c r="A1139" s="13" t="str">
        <x:v>1029</x:v>
      </x:c>
      <x:c r="B1139" s="14" t="str"/>
      <x:c r="C1139" s="14" t="str">
        <x:v>Lv.1</x:v>
      </x:c>
      <x:c r="D1139" s="14" t="str">
        <x:v>林晏妤醫師</x:v>
      </x:c>
      <x:c r="E1139" s="6" t="str"/>
      <x:c r="F1139" s="6" t="str">
        <x:v>跟診順暢度</x:v>
      </x:c>
      <x:c r="G1139" s="19" t="str">
        <x:v>※</x:v>
      </x:c>
      <x:c r="H1139" s="17" t="str">
        <x:v>學習中</x:v>
      </x:c>
      <x:c r="I1139" s="6" t="n">
        <x:v>84</x:v>
      </x:c>
    </x:row>
    <x:row r="1140">
      <x:c r="A1140" s="13" t="str">
        <x:v>1029</x:v>
      </x:c>
      <x:c r="B1140" s="14" t="str"/>
      <x:c r="C1140" s="14" t="str">
        <x:v>Lv.1</x:v>
      </x:c>
      <x:c r="D1140" s="14" t="str">
        <x:v>林晏妤醫師</x:v>
      </x:c>
      <x:c r="E1140" s="6" t="str"/>
      <x:c r="F1140" s="6" t="str">
        <x:v>病歷紀錄</x:v>
      </x:c>
      <x:c r="G1140" s="19" t="str">
        <x:v>※</x:v>
      </x:c>
      <x:c r="H1140" s="17" t="str">
        <x:v>學習中</x:v>
      </x:c>
      <x:c r="I1140" s="6" t="n">
        <x:v>85</x:v>
      </x:c>
    </x:row>
    <x:row r="1141">
      <x:c r="A1141" s="13" t="str">
        <x:v>1029</x:v>
      </x:c>
      <x:c r="B1141" s="14" t="str"/>
      <x:c r="C1141" s="14" t="str">
        <x:v>Lv.1</x:v>
      </x:c>
      <x:c r="D1141" s="14" t="str">
        <x:v>林晏妤醫師</x:v>
      </x:c>
      <x:c r="E1141" s="6" t="str"/>
      <x:c r="F1141" s="6" t="str">
        <x:v>X光片紀錄</x:v>
      </x:c>
      <x:c r="G1141" s="19" t="str">
        <x:v>※</x:v>
      </x:c>
      <x:c r="H1141" s="17" t="str">
        <x:v>學習中</x:v>
      </x:c>
      <x:c r="I1141" s="6" t="n">
        <x:v>86</x:v>
      </x:c>
    </x:row>
    <x:row r="1142">
      <x:c r="A1142" s="13" t="str">
        <x:v>1029</x:v>
      </x:c>
      <x:c r="B1142" s="14" t="str"/>
      <x:c r="C1142" s="14" t="str">
        <x:v>Lv.1</x:v>
      </x:c>
      <x:c r="D1142" s="14" t="str">
        <x:v>林晏妤醫師</x:v>
      </x:c>
      <x:c r="E1142" s="6" t="str"/>
      <x:c r="F1142" s="6" t="str">
        <x:v>手持X光機</x:v>
      </x:c>
      <x:c r="G1142" s="19" t="str">
        <x:v>※</x:v>
      </x:c>
      <x:c r="H1142" s="17" t="str">
        <x:v>學習中</x:v>
      </x:c>
      <x:c r="I1142" s="6" t="n">
        <x:v>87</x:v>
      </x:c>
    </x:row>
    <x:row r="1143">
      <x:c r="A1143" s="13" t="str">
        <x:v>1029</x:v>
      </x:c>
      <x:c r="B1143" s="14" t="str"/>
      <x:c r="C1143" s="14" t="str">
        <x:v>Lv.1</x:v>
      </x:c>
      <x:c r="D1143" s="14" t="str">
        <x:v>林晏妤醫師</x:v>
      </x:c>
      <x:c r="E1143" s="6" t="str"/>
      <x:c r="F1143" s="6" t="str">
        <x:v>健保申報</x:v>
      </x:c>
      <x:c r="G1143" s="19" t="str">
        <x:v>※</x:v>
      </x:c>
      <x:c r="H1143" s="17" t="str">
        <x:v>學習中</x:v>
      </x:c>
      <x:c r="I1143" s="6" t="n">
        <x:v>88</x:v>
      </x:c>
    </x:row>
    <x:row r="1144">
      <x:c r="A1144" s="13" t="str">
        <x:v>1029</x:v>
      </x:c>
      <x:c r="B1144" s="14" t="str"/>
      <x:c r="C1144" s="14" t="str">
        <x:v>Lv.1</x:v>
      </x:c>
      <x:c r="D1144" s="14" t="str">
        <x:v>林晏妤醫師</x:v>
      </x:c>
      <x:c r="E1144" s="6" t="str"/>
      <x:c r="F1144" s="6" t="str">
        <x:v>舒眠手術</x:v>
      </x:c>
      <x:c r="G1144" s="19" t="str"/>
      <x:c r="H1144" s="17" t="str">
        <x:v>未評分</x:v>
      </x:c>
      <x:c r="I1144" s="6" t="n">
        <x:v>89</x:v>
      </x:c>
    </x:row>
    <x:row r="1145">
      <x:c r="A1145" s="13" t="str">
        <x:v>1029</x:v>
      </x:c>
      <x:c r="B1145" s="14" t="str"/>
      <x:c r="C1145" s="14" t="str">
        <x:v>Lv.1</x:v>
      </x:c>
      <x:c r="D1145" s="14" t="str">
        <x:v>謝耀慶醫師</x:v>
      </x:c>
      <x:c r="E1145" s="6" t="str">
        <x:v>器械準備</x:v>
      </x:c>
      <x:c r="F1145" s="6" t="str">
        <x:v>洗牙</x:v>
      </x:c>
      <x:c r="G1145" s="19" t="str">
        <x:v>※</x:v>
      </x:c>
      <x:c r="H1145" s="17" t="str">
        <x:v>學習中</x:v>
      </x:c>
      <x:c r="I1145" s="6" t="n">
        <x:v>90</x:v>
      </x:c>
    </x:row>
    <x:row r="1146">
      <x:c r="A1146" s="13" t="str">
        <x:v>1029</x:v>
      </x:c>
      <x:c r="B1146" s="14" t="str"/>
      <x:c r="C1146" s="14" t="str">
        <x:v>Lv.1</x:v>
      </x:c>
      <x:c r="D1146" s="14" t="str">
        <x:v>謝耀慶醫師</x:v>
      </x:c>
      <x:c r="E1146" s="6" t="str">
        <x:v>器械準備</x:v>
      </x:c>
      <x:c r="F1146" s="6" t="str">
        <x:v>補牙</x:v>
      </x:c>
      <x:c r="G1146" s="19" t="str">
        <x:v>※</x:v>
      </x:c>
      <x:c r="H1146" s="17" t="str">
        <x:v>學習中</x:v>
      </x:c>
      <x:c r="I1146" s="6" t="n">
        <x:v>91</x:v>
      </x:c>
    </x:row>
    <x:row r="1147">
      <x:c r="A1147" s="13" t="str">
        <x:v>1029</x:v>
      </x:c>
      <x:c r="B1147" s="14" t="str"/>
      <x:c r="C1147" s="14" t="str">
        <x:v>Lv.1</x:v>
      </x:c>
      <x:c r="D1147" s="14" t="str">
        <x:v>謝耀慶醫師</x:v>
      </x:c>
      <x:c r="E1147" s="6" t="str">
        <x:v>器械準備</x:v>
      </x:c>
      <x:c r="F1147" s="6" t="str">
        <x:v>牙周統合治療</x:v>
      </x:c>
      <x:c r="G1147" s="19" t="str"/>
      <x:c r="H1147" s="17" t="str">
        <x:v>未評分</x:v>
      </x:c>
      <x:c r="I1147" s="6" t="n">
        <x:v>92</x:v>
      </x:c>
    </x:row>
    <x:row r="1148">
      <x:c r="A1148" s="13" t="str">
        <x:v>1029</x:v>
      </x:c>
      <x:c r="B1148" s="14" t="str"/>
      <x:c r="C1148" s="14" t="str">
        <x:v>Lv.1</x:v>
      </x:c>
      <x:c r="D1148" s="14" t="str">
        <x:v>謝耀慶醫師</x:v>
      </x:c>
      <x:c r="E1148" s="6" t="str">
        <x:v>器械準備</x:v>
      </x:c>
      <x:c r="F1148" s="6" t="str">
        <x:v>簡單拔牙</x:v>
      </x:c>
      <x:c r="G1148" s="19" t="str"/>
      <x:c r="H1148" s="17" t="str">
        <x:v>未評分</x:v>
      </x:c>
      <x:c r="I1148" s="6" t="n">
        <x:v>93</x:v>
      </x:c>
    </x:row>
    <x:row r="1149">
      <x:c r="A1149" s="13" t="str">
        <x:v>1029</x:v>
      </x:c>
      <x:c r="B1149" s="14" t="str"/>
      <x:c r="C1149" s="14" t="str">
        <x:v>Lv.1</x:v>
      </x:c>
      <x:c r="D1149" s="14" t="str">
        <x:v>謝耀慶醫師</x:v>
      </x:c>
      <x:c r="E1149" s="6" t="str"/>
      <x:c r="F1149" s="6" t="str">
        <x:v>器械熟悉度</x:v>
      </x:c>
      <x:c r="G1149" s="19" t="str">
        <x:v>※</x:v>
      </x:c>
      <x:c r="H1149" s="17" t="str">
        <x:v>學習中</x:v>
      </x:c>
      <x:c r="I1149" s="6" t="n">
        <x:v>94</x:v>
      </x:c>
    </x:row>
    <x:row r="1150">
      <x:c r="A1150" s="13" t="str">
        <x:v>1029</x:v>
      </x:c>
      <x:c r="B1150" s="14" t="str"/>
      <x:c r="C1150" s="14" t="str">
        <x:v>Lv.1</x:v>
      </x:c>
      <x:c r="D1150" s="14" t="str">
        <x:v>謝耀慶醫師</x:v>
      </x:c>
      <x:c r="E1150" s="6" t="str"/>
      <x:c r="F1150" s="6" t="str">
        <x:v>跟診順暢度</x:v>
      </x:c>
      <x:c r="G1150" s="19" t="str">
        <x:v>※</x:v>
      </x:c>
      <x:c r="H1150" s="17" t="str">
        <x:v>學習中</x:v>
      </x:c>
      <x:c r="I1150" s="6" t="n">
        <x:v>95</x:v>
      </x:c>
    </x:row>
    <x:row r="1151">
      <x:c r="A1151" s="13" t="str">
        <x:v>1029</x:v>
      </x:c>
      <x:c r="B1151" s="14" t="str"/>
      <x:c r="C1151" s="14" t="str">
        <x:v>Lv.1</x:v>
      </x:c>
      <x:c r="D1151" s="14" t="str">
        <x:v>謝耀慶醫師</x:v>
      </x:c>
      <x:c r="E1151" s="6" t="str"/>
      <x:c r="F1151" s="6" t="str">
        <x:v>病歷紀錄</x:v>
      </x:c>
      <x:c r="G1151" s="19" t="str">
        <x:v>※</x:v>
      </x:c>
      <x:c r="H1151" s="17" t="str">
        <x:v>學習中</x:v>
      </x:c>
      <x:c r="I1151" s="6" t="n">
        <x:v>96</x:v>
      </x:c>
    </x:row>
    <x:row r="1152">
      <x:c r="A1152" s="13" t="str">
        <x:v>1029</x:v>
      </x:c>
      <x:c r="B1152" s="14" t="str"/>
      <x:c r="C1152" s="14" t="str">
        <x:v>Lv.1</x:v>
      </x:c>
      <x:c r="D1152" s="14" t="str">
        <x:v>謝耀慶醫師</x:v>
      </x:c>
      <x:c r="E1152" s="6" t="str"/>
      <x:c r="F1152" s="6" t="str">
        <x:v>X光片紀錄</x:v>
      </x:c>
      <x:c r="G1152" s="19" t="str">
        <x:v>※</x:v>
      </x:c>
      <x:c r="H1152" s="17" t="str">
        <x:v>學習中</x:v>
      </x:c>
      <x:c r="I1152" s="6" t="n">
        <x:v>97</x:v>
      </x:c>
    </x:row>
    <x:row r="1153">
      <x:c r="A1153" s="13" t="str">
        <x:v>1029</x:v>
      </x:c>
      <x:c r="B1153" s="14" t="str"/>
      <x:c r="C1153" s="14" t="str">
        <x:v>Lv.1</x:v>
      </x:c>
      <x:c r="D1153" s="14" t="str">
        <x:v>謝耀慶醫師</x:v>
      </x:c>
      <x:c r="E1153" s="6" t="str"/>
      <x:c r="F1153" s="6" t="str">
        <x:v>手持X光機</x:v>
      </x:c>
      <x:c r="G1153" s="19" t="str">
        <x:v>※</x:v>
      </x:c>
      <x:c r="H1153" s="17" t="str">
        <x:v>學習中</x:v>
      </x:c>
      <x:c r="I1153" s="6" t="n">
        <x:v>98</x:v>
      </x:c>
    </x:row>
    <x:row r="1154">
      <x:c r="A1154" s="13" t="str">
        <x:v>1029</x:v>
      </x:c>
      <x:c r="B1154" s="14" t="str"/>
      <x:c r="C1154" s="14" t="str">
        <x:v>Lv.1</x:v>
      </x:c>
      <x:c r="D1154" s="14" t="str">
        <x:v>謝耀慶醫師</x:v>
      </x:c>
      <x:c r="E1154" s="6" t="str"/>
      <x:c r="F1154" s="6" t="str">
        <x:v>健保申報</x:v>
      </x:c>
      <x:c r="G1154" s="19" t="str">
        <x:v>※</x:v>
      </x:c>
      <x:c r="H1154" s="17" t="str">
        <x:v>學習中</x:v>
      </x:c>
      <x:c r="I1154" s="6" t="n">
        <x:v>99</x:v>
      </x:c>
    </x:row>
    <x:row r="1155">
      <x:c r="A1155" s="13" t="str">
        <x:v>1029</x:v>
      </x:c>
      <x:c r="B1155" s="14" t="str"/>
      <x:c r="C1155" s="14" t="str">
        <x:v>Lv.1</x:v>
      </x:c>
      <x:c r="D1155" s="14" t="str">
        <x:v>謝耀慶醫師</x:v>
      </x:c>
      <x:c r="E1155" s="6" t="str"/>
      <x:c r="F1155" s="6" t="str">
        <x:v>舒眠手術</x:v>
      </x:c>
      <x:c r="G1155" s="19" t="str"/>
      <x:c r="H1155" s="17" t="str">
        <x:v>未評分</x:v>
      </x:c>
      <x:c r="I1155" s="6" t="n">
        <x:v>100</x:v>
      </x:c>
    </x:row>
    <x:row r="1156">
      <x:c r="A1156" s="13" t="str">
        <x:v>1029</x:v>
      </x:c>
      <x:c r="B1156" s="14" t="str"/>
      <x:c r="C1156" s="14" t="str">
        <x:v>Lv.1</x:v>
      </x:c>
      <x:c r="D1156" s="14" t="str">
        <x:v>陳醫師</x:v>
      </x:c>
      <x:c r="E1156" s="6" t="str">
        <x:v>器械準備</x:v>
      </x:c>
      <x:c r="F1156" s="6" t="str">
        <x:v>洗牙</x:v>
      </x:c>
      <x:c r="G1156" s="19" t="str"/>
      <x:c r="H1156" s="17" t="str">
        <x:v>未評分</x:v>
      </x:c>
      <x:c r="I1156" s="6" t="n">
        <x:v>101</x:v>
      </x:c>
    </x:row>
    <x:row r="1157">
      <x:c r="A1157" s="13" t="str">
        <x:v>1029</x:v>
      </x:c>
      <x:c r="B1157" s="14" t="str"/>
      <x:c r="C1157" s="14" t="str">
        <x:v>Lv.1</x:v>
      </x:c>
      <x:c r="D1157" s="14" t="str">
        <x:v>陳醫師</x:v>
      </x:c>
      <x:c r="E1157" s="6" t="str">
        <x:v>器械準備</x:v>
      </x:c>
      <x:c r="F1157" s="6" t="str">
        <x:v>補牙</x:v>
      </x:c>
      <x:c r="G1157" s="19" t="str"/>
      <x:c r="H1157" s="17" t="str">
        <x:v>未評分</x:v>
      </x:c>
      <x:c r="I1157" s="6" t="n">
        <x:v>102</x:v>
      </x:c>
    </x:row>
    <x:row r="1158">
      <x:c r="A1158" s="13" t="str">
        <x:v>1029</x:v>
      </x:c>
      <x:c r="B1158" s="14" t="str"/>
      <x:c r="C1158" s="14" t="str">
        <x:v>Lv.1</x:v>
      </x:c>
      <x:c r="D1158" s="14" t="str">
        <x:v>陳醫師</x:v>
      </x:c>
      <x:c r="E1158" s="6" t="str">
        <x:v>器械準備</x:v>
      </x:c>
      <x:c r="F1158" s="6" t="str">
        <x:v>根管治療</x:v>
      </x:c>
      <x:c r="G1158" s="19" t="str"/>
      <x:c r="H1158" s="17" t="str">
        <x:v>未評分</x:v>
      </x:c>
      <x:c r="I1158" s="6" t="n">
        <x:v>103</x:v>
      </x:c>
    </x:row>
    <x:row r="1159">
      <x:c r="A1159" s="13" t="str">
        <x:v>1029</x:v>
      </x:c>
      <x:c r="B1159" s="14" t="str"/>
      <x:c r="C1159" s="14" t="str">
        <x:v>Lv.1</x:v>
      </x:c>
      <x:c r="D1159" s="14" t="str">
        <x:v>陳醫師</x:v>
      </x:c>
      <x:c r="E1159" s="6" t="str"/>
      <x:c r="F1159" s="6" t="str">
        <x:v>跟診順暢度</x:v>
      </x:c>
      <x:c r="G1159" s="19" t="str"/>
      <x:c r="H1159" s="17" t="str">
        <x:v>未評分</x:v>
      </x:c>
      <x:c r="I1159" s="6" t="n">
        <x:v>104</x:v>
      </x:c>
    </x:row>
    <x:row r="1160">
      <x:c r="A1160" s="13" t="str">
        <x:v>1029</x:v>
      </x:c>
      <x:c r="B1160" s="14" t="str"/>
      <x:c r="C1160" s="14" t="str">
        <x:v>Lv.1</x:v>
      </x:c>
      <x:c r="D1160" s="14" t="str">
        <x:v>陳醫師</x:v>
      </x:c>
      <x:c r="E1160" s="6" t="str"/>
      <x:c r="F1160" s="6" t="str">
        <x:v>病歷紀錄</x:v>
      </x:c>
      <x:c r="G1160" s="19" t="str"/>
      <x:c r="H1160" s="17" t="str">
        <x:v>未評分</x:v>
      </x:c>
      <x:c r="I1160" s="6" t="n">
        <x:v>105</x:v>
      </x:c>
    </x:row>
    <x:row r="1161">
      <x:c r="A1161" s="13" t="str">
        <x:v>1029</x:v>
      </x:c>
      <x:c r="B1161" s="14" t="str"/>
      <x:c r="C1161" s="14" t="str">
        <x:v>Lv.1</x:v>
      </x:c>
      <x:c r="D1161" s="14" t="str">
        <x:v>陳醫師</x:v>
      </x:c>
      <x:c r="E1161" s="6" t="str"/>
      <x:c r="F1161" s="6" t="str">
        <x:v>拍PANO、PA</x:v>
      </x:c>
      <x:c r="G1161" s="19" t="str"/>
      <x:c r="H1161" s="17" t="str">
        <x:v>未評分</x:v>
      </x:c>
      <x:c r="I1161" s="6" t="n">
        <x:v>106</x:v>
      </x:c>
    </x:row>
    <x:row r="1162">
      <x:c r="A1162" s="13" t="str">
        <x:v>1029</x:v>
      </x:c>
      <x:c r="B1162" s="14" t="str"/>
      <x:c r="C1162" s="14" t="str">
        <x:v>Lv.1</x:v>
      </x:c>
      <x:c r="D1162" s="14" t="str">
        <x:v>陳醫師</x:v>
      </x:c>
      <x:c r="E1162" s="6" t="str"/>
      <x:c r="F1162" s="6" t="str">
        <x:v>X光片紀錄</x:v>
      </x:c>
      <x:c r="G1162" s="19" t="str"/>
      <x:c r="H1162" s="17" t="str">
        <x:v>未評分</x:v>
      </x:c>
      <x:c r="I1162" s="6" t="n">
        <x:v>107</x:v>
      </x:c>
    </x:row>
    <x:row r="1163">
      <x:c r="A1163" s="13" t="str">
        <x:v>1029</x:v>
      </x:c>
      <x:c r="B1163" s="14" t="str"/>
      <x:c r="C1163" s="14" t="str">
        <x:v>Lv.1</x:v>
      </x:c>
      <x:c r="D1163" s="14" t="str">
        <x:v>陳醫師</x:v>
      </x:c>
      <x:c r="E1163" s="6" t="str"/>
      <x:c r="F1163" s="6" t="str">
        <x:v>健保申報</x:v>
      </x:c>
      <x:c r="G1163" s="19" t="str"/>
      <x:c r="H1163" s="17" t="str">
        <x:v>未評分</x:v>
      </x:c>
      <x:c r="I1163" s="6" t="n">
        <x:v>108</x:v>
      </x:c>
    </x:row>
    <x:row r="1164">
      <x:c r="A1164" s="13" t="str">
        <x:v>1029</x:v>
      </x:c>
      <x:c r="B1164" s="14" t="str"/>
      <x:c r="C1164" s="14" t="str">
        <x:v>Lv.1</x:v>
      </x:c>
      <x:c r="D1164" s="14" t="str">
        <x:v>陳醫師</x:v>
      </x:c>
      <x:c r="E1164" s="6" t="str"/>
      <x:c r="F1164" s="6" t="str">
        <x:v>固定假牙</x:v>
      </x:c>
      <x:c r="G1164" s="19" t="str"/>
      <x:c r="H1164" s="17" t="str">
        <x:v>未評分</x:v>
      </x:c>
      <x:c r="I1164" s="6" t="n">
        <x:v>109</x:v>
      </x:c>
    </x:row>
    <x:row r="1165">
      <x:c r="A1165" s="13" t="str">
        <x:v>1029</x:v>
      </x:c>
      <x:c r="B1165" s="14" t="str"/>
      <x:c r="C1165" s="14" t="str">
        <x:v>Lv.1</x:v>
      </x:c>
      <x:c r="D1165" s="14" t="str">
        <x:v>陳醫師</x:v>
      </x:c>
      <x:c r="E1165" s="6" t="str"/>
      <x:c r="F1165" s="6" t="str">
        <x:v>顯微根管</x:v>
      </x:c>
      <x:c r="G1165" s="19" t="str"/>
      <x:c r="H1165" s="17" t="str">
        <x:v>未評分</x:v>
      </x:c>
      <x:c r="I1165" s="6" t="n">
        <x:v>110</x:v>
      </x:c>
    </x:row>
    <x:row r="1166">
      <x:c r="A1166" s="13" t="str">
        <x:v>1029</x:v>
      </x:c>
      <x:c r="B1166" s="14" t="str"/>
      <x:c r="C1166" s="14" t="str">
        <x:v>Lv.1</x:v>
      </x:c>
      <x:c r="D1166" s="14" t="str">
        <x:v>櫃台</x:v>
      </x:c>
      <x:c r="E1166" s="6" t="str"/>
      <x:c r="F1166" s="6" t="str">
        <x:v>掛號處理(含初診處理)開立一般收據及藥單</x:v>
      </x:c>
      <x:c r="G1166" s="19" t="str">
        <x:v>Ø</x:v>
      </x:c>
      <x:c r="H1166" s="17" t="str">
        <x:v>尚未熟練</x:v>
      </x:c>
      <x:c r="I1166" s="6" t="n">
        <x:v>111</x:v>
      </x:c>
    </x:row>
    <x:row r="1167">
      <x:c r="A1167" s="13" t="str">
        <x:v>1029</x:v>
      </x:c>
      <x:c r="B1167" s="14" t="str"/>
      <x:c r="C1167" s="14" t="str">
        <x:v>Lv.1</x:v>
      </x:c>
      <x:c r="D1167" s="14" t="str">
        <x:v>櫃台</x:v>
      </x:c>
      <x:c r="E1167" s="6" t="str"/>
      <x:c r="F1167" s="6" t="str">
        <x:v>收費紀錄</x:v>
      </x:c>
      <x:c r="G1167" s="19" t="str">
        <x:v>△</x:v>
      </x:c>
      <x:c r="H1167" s="17" t="str">
        <x:v>需加強</x:v>
      </x:c>
      <x:c r="I1167" s="6" t="n">
        <x:v>112</x:v>
      </x:c>
    </x:row>
    <x:row r="1168">
      <x:c r="A1168" s="13" t="str">
        <x:v>1029</x:v>
      </x:c>
      <x:c r="B1168" s="14" t="str"/>
      <x:c r="C1168" s="14" t="str">
        <x:v>Lv.1</x:v>
      </x:c>
      <x:c r="D1168" s="14" t="str">
        <x:v>櫃台</x:v>
      </x:c>
      <x:c r="E1168" s="6" t="str"/>
      <x:c r="F1168" s="6" t="str">
        <x:v>病歷整理</x:v>
      </x:c>
      <x:c r="G1168" s="19" t="str">
        <x:v>△</x:v>
      </x:c>
      <x:c r="H1168" s="17" t="str">
        <x:v>需加強</x:v>
      </x:c>
      <x:c r="I1168" s="6" t="n">
        <x:v>113</x:v>
      </x:c>
    </x:row>
    <x:row r="1169">
      <x:c r="A1169" s="13" t="str">
        <x:v>1029</x:v>
      </x:c>
      <x:c r="B1169" s="14" t="str"/>
      <x:c r="C1169" s="14" t="str">
        <x:v>Lv.1</x:v>
      </x:c>
      <x:c r="D1169" s="14" t="str">
        <x:v>櫃台</x:v>
      </x:c>
      <x:c r="E1169" s="6" t="str"/>
      <x:c r="F1169" s="6" t="str">
        <x:v>治療同意書填寫</x:v>
      </x:c>
      <x:c r="G1169" s="19" t="str">
        <x:v>△</x:v>
      </x:c>
      <x:c r="H1169" s="17" t="str">
        <x:v>需加強</x:v>
      </x:c>
      <x:c r="I1169" s="6" t="n">
        <x:v>114</x:v>
      </x:c>
    </x:row>
    <x:row r="1170">
      <x:c r="A1170" s="13" t="str">
        <x:v>1029</x:v>
      </x:c>
      <x:c r="B1170" s="14" t="str"/>
      <x:c r="C1170" s="14" t="str">
        <x:v>Lv.1</x:v>
      </x:c>
      <x:c r="D1170" s="14" t="str">
        <x:v>櫃台</x:v>
      </x:c>
      <x:c r="E1170" s="6" t="str"/>
      <x:c r="F1170" s="6" t="str">
        <x:v>與患者應對</x:v>
      </x:c>
      <x:c r="G1170" s="19" t="str">
        <x:v>△</x:v>
      </x:c>
      <x:c r="H1170" s="17" t="str">
        <x:v>需加強</x:v>
      </x:c>
      <x:c r="I1170" s="6" t="n">
        <x:v>115</x:v>
      </x:c>
    </x:row>
    <x:row r="1171">
      <x:c r="A1171" s="13" t="str">
        <x:v>1029</x:v>
      </x:c>
      <x:c r="B1171" s="14" t="str"/>
      <x:c r="C1171" s="14" t="str">
        <x:v>Lv.1</x:v>
      </x:c>
      <x:c r="D1171" s="14" t="str">
        <x:v>櫃台</x:v>
      </x:c>
      <x:c r="E1171" s="6" t="str"/>
      <x:c r="F1171" s="6" t="str">
        <x:v>約診</x:v>
      </x:c>
      <x:c r="G1171" s="19" t="str">
        <x:v>△</x:v>
      </x:c>
      <x:c r="H1171" s="17" t="str">
        <x:v>需加強</x:v>
      </x:c>
      <x:c r="I1171" s="6" t="n">
        <x:v>116</x:v>
      </x:c>
    </x:row>
    <x:row r="1172">
      <x:c r="A1172" s="13" t="str">
        <x:v>1029</x:v>
      </x:c>
      <x:c r="B1172" s="14" t="str"/>
      <x:c r="C1172" s="14" t="str">
        <x:v>Lv.1</x:v>
      </x:c>
      <x:c r="D1172" s="14" t="str">
        <x:v>櫃台</x:v>
      </x:c>
      <x:c r="E1172" s="6" t="str"/>
      <x:c r="F1172" s="6" t="str">
        <x:v>報表製作</x:v>
      </x:c>
      <x:c r="G1172" s="19" t="str">
        <x:v>△</x:v>
      </x:c>
      <x:c r="H1172" s="17" t="str">
        <x:v>需加強</x:v>
      </x:c>
      <x:c r="I1172" s="6" t="n">
        <x:v>117</x:v>
      </x:c>
    </x:row>
    <x:row r="1173">
      <x:c r="A1173" s="13" t="str">
        <x:v>1029</x:v>
      </x:c>
      <x:c r="B1173" s="14" t="str"/>
      <x:c r="C1173" s="14" t="str">
        <x:v>Lv.1</x:v>
      </x:c>
      <x:c r="D1173" s="14" t="str">
        <x:v>櫃台</x:v>
      </x:c>
      <x:c r="E1173" s="6" t="str"/>
      <x:c r="F1173" s="6" t="str">
        <x:v>診斷證明書</x:v>
      </x:c>
      <x:c r="G1173" s="19" t="str"/>
      <x:c r="H1173" s="17" t="str">
        <x:v>未評分</x:v>
      </x:c>
      <x:c r="I1173" s="6" t="n">
        <x:v>118</x:v>
      </x:c>
    </x:row>
    <x:row r="1174">
      <x:c r="A1174" s="13" t="str">
        <x:v>1029</x:v>
      </x:c>
      <x:c r="B1174" s="14" t="str"/>
      <x:c r="C1174" s="14" t="str">
        <x:v>Lv.1</x:v>
      </x:c>
      <x:c r="D1174" s="14" t="str">
        <x:v>櫃台</x:v>
      </x:c>
      <x:c r="E1174" s="6" t="str"/>
      <x:c r="F1174" s="6" t="str">
        <x:v>牙統VPN</x:v>
      </x:c>
      <x:c r="G1174" s="19" t="str">
        <x:v>※</x:v>
      </x:c>
      <x:c r="H1174" s="17" t="str">
        <x:v>學習中</x:v>
      </x:c>
      <x:c r="I1174" s="6" t="n">
        <x:v>119</x:v>
      </x:c>
    </x:row>
    <x:row r="1175">
      <x:c r="A1175" s="13" t="str">
        <x:v>1029</x:v>
      </x:c>
      <x:c r="B1175" s="14" t="str"/>
      <x:c r="C1175" s="14" t="str">
        <x:v>Lv.1</x:v>
      </x:c>
      <x:c r="D1175" s="14" t="str">
        <x:v>櫃台</x:v>
      </x:c>
      <x:c r="E1175" s="6" t="str"/>
      <x:c r="F1175" s="6" t="str">
        <x:v>病歷檢查核對</x:v>
      </x:c>
      <x:c r="G1175" s="19" t="str"/>
      <x:c r="H1175" s="17" t="str">
        <x:v>未評分</x:v>
      </x:c>
      <x:c r="I1175" s="6" t="n">
        <x:v>120</x:v>
      </x:c>
    </x:row>
    <x:row r="1176">
      <x:c r="A1176" s="13" t="str">
        <x:v>1029</x:v>
      </x:c>
      <x:c r="B1176" s="14" t="str"/>
      <x:c r="C1176" s="14" t="str">
        <x:v>Lv.1</x:v>
      </x:c>
      <x:c r="D1176" s="14" t="str">
        <x:v>櫃台</x:v>
      </x:c>
      <x:c r="E1176" s="6" t="str"/>
      <x:c r="F1176" s="6" t="str">
        <x:v>抽審資料處理</x:v>
      </x:c>
      <x:c r="G1176" s="19" t="str"/>
      <x:c r="H1176" s="17" t="str">
        <x:v>未評分</x:v>
      </x:c>
      <x:c r="I1176" s="6" t="n">
        <x:v>121</x:v>
      </x:c>
    </x:row>
    <x:row r="1177">
      <x:c r="A1177" s="13" t="str">
        <x:v>1030</x:v>
      </x:c>
      <x:c r="B1177" s="14" t="str"/>
      <x:c r="C1177" s="14" t="str">
        <x:v>Lv.1</x:v>
      </x:c>
      <x:c r="D1177" s="14" t="str">
        <x:v>流動工作</x:v>
      </x:c>
      <x:c r="E1177" s="6" t="str"/>
      <x:c r="F1177" s="6" t="str">
        <x:v>撤備台</x:v>
      </x:c>
      <x:c r="G1177" s="19" t="str">
        <x:v>◎</x:v>
      </x:c>
      <x:c r="H1177" s="17" t="str">
        <x:v>熟練</x:v>
      </x:c>
      <x:c r="I1177" s="6" t="n">
        <x:v>5</x:v>
      </x:c>
    </x:row>
    <x:row r="1178">
      <x:c r="A1178" s="13" t="str">
        <x:v>1030</x:v>
      </x:c>
      <x:c r="B1178" s="14" t="str"/>
      <x:c r="C1178" s="14" t="str">
        <x:v>Lv.1</x:v>
      </x:c>
      <x:c r="D1178" s="14" t="str">
        <x:v>流動工作</x:v>
      </x:c>
      <x:c r="E1178" s="6" t="str"/>
      <x:c r="F1178" s="6" t="str">
        <x:v>器械清消流程</x:v>
      </x:c>
      <x:c r="G1178" s="19" t="str">
        <x:v>◎</x:v>
      </x:c>
      <x:c r="H1178" s="17" t="str">
        <x:v>熟練</x:v>
      </x:c>
      <x:c r="I1178" s="6" t="n">
        <x:v>6</x:v>
      </x:c>
    </x:row>
    <x:row r="1179">
      <x:c r="A1179" s="13" t="str">
        <x:v>1030</x:v>
      </x:c>
      <x:c r="B1179" s="14" t="str"/>
      <x:c r="C1179" s="14" t="str">
        <x:v>Lv.1</x:v>
      </x:c>
      <x:c r="D1179" s="14" t="str">
        <x:v>流動工作</x:v>
      </x:c>
      <x:c r="E1179" s="6" t="str"/>
      <x:c r="F1179" s="6" t="str">
        <x:v>認識治療項目</x:v>
      </x:c>
      <x:c r="G1179" s="19" t="str">
        <x:v>Ø</x:v>
      </x:c>
      <x:c r="H1179" s="17" t="str">
        <x:v>尚未熟練</x:v>
      </x:c>
      <x:c r="I1179" s="6" t="n">
        <x:v>7</x:v>
      </x:c>
    </x:row>
    <x:row r="1180">
      <x:c r="A1180" s="13" t="str">
        <x:v>1030</x:v>
      </x:c>
      <x:c r="B1180" s="14" t="str"/>
      <x:c r="C1180" s="14" t="str">
        <x:v>Lv.1</x:v>
      </x:c>
      <x:c r="D1180" s="14" t="str">
        <x:v>流動工作</x:v>
      </x:c>
      <x:c r="E1180" s="6" t="str"/>
      <x:c r="F1180" s="6" t="str">
        <x:v>替代跟診人員灌模</x:v>
      </x:c>
      <x:c r="G1180" s="19" t="str">
        <x:v>◎</x:v>
      </x:c>
      <x:c r="H1180" s="17" t="str">
        <x:v>熟練</x:v>
      </x:c>
      <x:c r="I1180" s="6" t="n">
        <x:v>8</x:v>
      </x:c>
    </x:row>
    <x:row r="1181">
      <x:c r="A1181" s="13" t="str">
        <x:v>1030</x:v>
      </x:c>
      <x:c r="B1181" s="14" t="str"/>
      <x:c r="C1181" s="14" t="str">
        <x:v>Lv.1</x:v>
      </x:c>
      <x:c r="D1181" s="14" t="str">
        <x:v>流動工作</x:v>
      </x:c>
      <x:c r="E1181" s="6" t="str"/>
      <x:c r="F1181" s="6" t="str">
        <x:v>拍攝X光片(PANO)</x:v>
      </x:c>
      <x:c r="G1181" s="19" t="str">
        <x:v>◎</x:v>
      </x:c>
      <x:c r="H1181" s="17" t="str">
        <x:v>熟練</x:v>
      </x:c>
      <x:c r="I1181" s="6" t="n">
        <x:v>9</x:v>
      </x:c>
    </x:row>
    <x:row r="1182">
      <x:c r="A1182" s="13" t="str">
        <x:v>1030</x:v>
      </x:c>
      <x:c r="B1182" s="14" t="str"/>
      <x:c r="C1182" s="14" t="str">
        <x:v>Lv.1</x:v>
      </x:c>
      <x:c r="D1182" s="14" t="str">
        <x:v>流動工作</x:v>
      </x:c>
      <x:c r="E1182" s="6" t="str"/>
      <x:c r="F1182" s="6" t="str">
        <x:v>拍攝根尖片(用鱷魚夾)</x:v>
      </x:c>
      <x:c r="G1182" s="19" t="str">
        <x:v>Ø</x:v>
      </x:c>
      <x:c r="H1182" s="17" t="str">
        <x:v>尚未熟練</x:v>
      </x:c>
      <x:c r="I1182" s="6" t="n">
        <x:v>10</x:v>
      </x:c>
    </x:row>
    <x:row r="1183">
      <x:c r="A1183" s="13" t="str">
        <x:v>1030</x:v>
      </x:c>
      <x:c r="B1183" s="14" t="str"/>
      <x:c r="C1183" s="14" t="str">
        <x:v>Lv.1</x:v>
      </x:c>
      <x:c r="D1183" s="14" t="str">
        <x:v>流動工作</x:v>
      </x:c>
      <x:c r="E1183" s="6" t="str"/>
      <x:c r="F1183" s="6" t="str">
        <x:v>拍攝根尖片(手壓片)</x:v>
      </x:c>
      <x:c r="G1183" s="19" t="str">
        <x:v>△</x:v>
      </x:c>
      <x:c r="H1183" s="17" t="str">
        <x:v>需加強</x:v>
      </x:c>
      <x:c r="I1183" s="6" t="n">
        <x:v>11</x:v>
      </x:c>
    </x:row>
    <x:row r="1184">
      <x:c r="A1184" s="13" t="str">
        <x:v>1030</x:v>
      </x:c>
      <x:c r="B1184" s="14" t="str"/>
      <x:c r="C1184" s="14" t="str">
        <x:v>Lv.1</x:v>
      </x:c>
      <x:c r="D1184" s="14" t="str">
        <x:v>流動工作</x:v>
      </x:c>
      <x:c r="E1184" s="6" t="str"/>
      <x:c r="F1184" s="6" t="str">
        <x:v>開、關診工作</x:v>
      </x:c>
      <x:c r="G1184" s="19" t="str">
        <x:v>◎</x:v>
      </x:c>
      <x:c r="H1184" s="17" t="str">
        <x:v>熟練</x:v>
      </x:c>
      <x:c r="I1184" s="6" t="n">
        <x:v>12</x:v>
      </x:c>
    </x:row>
    <x:row r="1185">
      <x:c r="A1185" s="13" t="str">
        <x:v>1030</x:v>
      </x:c>
      <x:c r="B1185" s="14" t="str"/>
      <x:c r="C1185" s="14" t="str">
        <x:v>Lv.1</x:v>
      </x:c>
      <x:c r="D1185" s="14" t="str">
        <x:v>流動工作</x:v>
      </x:c>
      <x:c r="E1185" s="6" t="str"/>
      <x:c r="F1185" s="6" t="str">
        <x:v>備品補充+器械安全庫存</x:v>
      </x:c>
      <x:c r="G1185" s="19" t="str">
        <x:v>◎</x:v>
      </x:c>
      <x:c r="H1185" s="17" t="str">
        <x:v>熟練</x:v>
      </x:c>
      <x:c r="I1185" s="6" t="n">
        <x:v>13</x:v>
      </x:c>
    </x:row>
    <x:row r="1186">
      <x:c r="A1186" s="13" t="str">
        <x:v>1030</x:v>
      </x:c>
      <x:c r="B1186" s="14" t="str"/>
      <x:c r="C1186" s="14" t="str">
        <x:v>Lv.1</x:v>
      </x:c>
      <x:c r="D1186" s="14" t="str">
        <x:v>衛教</x:v>
      </x:c>
      <x:c r="E1186" s="6" t="str"/>
      <x:c r="F1186" s="6" t="str">
        <x:v>基礎衛教</x:v>
      </x:c>
      <x:c r="G1186" s="19" t="str">
        <x:v>◎</x:v>
      </x:c>
      <x:c r="H1186" s="17" t="str">
        <x:v>熟練</x:v>
      </x:c>
      <x:c r="I1186" s="6" t="n">
        <x:v>14</x:v>
      </x:c>
    </x:row>
    <x:row r="1187">
      <x:c r="A1187" s="13" t="str">
        <x:v>1030</x:v>
      </x:c>
      <x:c r="B1187" s="14" t="str"/>
      <x:c r="C1187" s="14" t="str">
        <x:v>Lv.1</x:v>
      </x:c>
      <x:c r="D1187" s="14" t="str">
        <x:v>衛教</x:v>
      </x:c>
      <x:c r="E1187" s="6" t="str"/>
      <x:c r="F1187" s="6" t="str">
        <x:v>進階衛教</x:v>
      </x:c>
      <x:c r="G1187" s="19" t="str">
        <x:v>◎</x:v>
      </x:c>
      <x:c r="H1187" s="17" t="str">
        <x:v>熟練</x:v>
      </x:c>
      <x:c r="I1187" s="6" t="n">
        <x:v>15</x:v>
      </x:c>
    </x:row>
    <x:row r="1188">
      <x:c r="A1188" s="13" t="str">
        <x:v>1030</x:v>
      </x:c>
      <x:c r="B1188" s="14" t="str"/>
      <x:c r="C1188" s="14" t="str">
        <x:v>Lv.1</x:v>
      </x:c>
      <x:c r="D1188" s="14" t="str">
        <x:v>李柄輝醫師</x:v>
      </x:c>
      <x:c r="E1188" s="6" t="str">
        <x:v>器械準備</x:v>
      </x:c>
      <x:c r="F1188" s="6" t="str">
        <x:v>洗牙</x:v>
      </x:c>
      <x:c r="G1188" s="19" t="str">
        <x:v>◎</x:v>
      </x:c>
      <x:c r="H1188" s="17" t="str">
        <x:v>熟練</x:v>
      </x:c>
      <x:c r="I1188" s="6" t="n">
        <x:v>16</x:v>
      </x:c>
    </x:row>
    <x:row r="1189">
      <x:c r="A1189" s="13" t="str">
        <x:v>1030</x:v>
      </x:c>
      <x:c r="B1189" s="14" t="str"/>
      <x:c r="C1189" s="14" t="str">
        <x:v>Lv.1</x:v>
      </x:c>
      <x:c r="D1189" s="14" t="str">
        <x:v>李柄輝醫師</x:v>
      </x:c>
      <x:c r="E1189" s="6" t="str">
        <x:v>器械準備</x:v>
      </x:c>
      <x:c r="F1189" s="6" t="str">
        <x:v>補牙</x:v>
      </x:c>
      <x:c r="G1189" s="19" t="str">
        <x:v>◎</x:v>
      </x:c>
      <x:c r="H1189" s="17" t="str">
        <x:v>熟練</x:v>
      </x:c>
      <x:c r="I1189" s="6" t="n">
        <x:v>17</x:v>
      </x:c>
    </x:row>
    <x:row r="1190">
      <x:c r="A1190" s="13" t="str">
        <x:v>1030</x:v>
      </x:c>
      <x:c r="B1190" s="14" t="str"/>
      <x:c r="C1190" s="14" t="str">
        <x:v>Lv.1</x:v>
      </x:c>
      <x:c r="D1190" s="14" t="str">
        <x:v>李柄輝醫師</x:v>
      </x:c>
      <x:c r="E1190" s="6" t="str">
        <x:v>器械準備</x:v>
      </x:c>
      <x:c r="F1190" s="6" t="str">
        <x:v>牙周統合</x:v>
      </x:c>
      <x:c r="G1190" s="19" t="str">
        <x:v>◎</x:v>
      </x:c>
      <x:c r="H1190" s="17" t="str">
        <x:v>熟練</x:v>
      </x:c>
      <x:c r="I1190" s="6" t="n">
        <x:v>18</x:v>
      </x:c>
    </x:row>
    <x:row r="1191">
      <x:c r="A1191" s="13" t="str">
        <x:v>1030</x:v>
      </x:c>
      <x:c r="B1191" s="14" t="str"/>
      <x:c r="C1191" s="14" t="str">
        <x:v>Lv.1</x:v>
      </x:c>
      <x:c r="D1191" s="14" t="str">
        <x:v>李柄輝醫師</x:v>
      </x:c>
      <x:c r="E1191" s="6" t="str">
        <x:v>器械準備</x:v>
      </x:c>
      <x:c r="F1191" s="6" t="str">
        <x:v>根管治療(插針照)</x:v>
      </x:c>
      <x:c r="G1191" s="19" t="str">
        <x:v>△</x:v>
      </x:c>
      <x:c r="H1191" s="17" t="str">
        <x:v>需加強</x:v>
      </x:c>
      <x:c r="I1191" s="6" t="n">
        <x:v>19</x:v>
      </x:c>
    </x:row>
    <x:row r="1192">
      <x:c r="A1192" s="13" t="str">
        <x:v>1030</x:v>
      </x:c>
      <x:c r="B1192" s="14" t="str"/>
      <x:c r="C1192" s="14" t="str">
        <x:v>Lv.1</x:v>
      </x:c>
      <x:c r="D1192" s="14" t="str">
        <x:v>李柄輝醫師</x:v>
      </x:c>
      <x:c r="E1192" s="6" t="str">
        <x:v>器械準備</x:v>
      </x:c>
      <x:c r="F1192" s="6" t="str">
        <x:v>拆crown/post</x:v>
      </x:c>
      <x:c r="G1192" s="19" t="str">
        <x:v>※</x:v>
      </x:c>
      <x:c r="H1192" s="17" t="str">
        <x:v>學習中</x:v>
      </x:c>
      <x:c r="I1192" s="6" t="n">
        <x:v>20</x:v>
      </x:c>
    </x:row>
    <x:row r="1193">
      <x:c r="A1193" s="13" t="str">
        <x:v>1030</x:v>
      </x:c>
      <x:c r="B1193" s="14" t="str"/>
      <x:c r="C1193" s="14" t="str">
        <x:v>Lv.1</x:v>
      </x:c>
      <x:c r="D1193" s="14" t="str">
        <x:v>李柄輝醫師</x:v>
      </x:c>
      <x:c r="E1193" s="6" t="str">
        <x:v>器械準備</x:v>
      </x:c>
      <x:c r="F1193" s="6" t="str">
        <x:v>拔牙</x:v>
      </x:c>
      <x:c r="G1193" s="19" t="str">
        <x:v>Ø</x:v>
      </x:c>
      <x:c r="H1193" s="17" t="str">
        <x:v>尚未熟練</x:v>
      </x:c>
      <x:c r="I1193" s="6" t="n">
        <x:v>21</x:v>
      </x:c>
    </x:row>
    <x:row r="1194">
      <x:c r="A1194" s="13" t="str">
        <x:v>1030</x:v>
      </x:c>
      <x:c r="B1194" s="14" t="str"/>
      <x:c r="C1194" s="14" t="str">
        <x:v>Lv.1</x:v>
      </x:c>
      <x:c r="D1194" s="14" t="str">
        <x:v>李柄輝醫師</x:v>
      </x:c>
      <x:c r="E1194" s="6" t="str">
        <x:v>自費</x:v>
      </x:c>
      <x:c r="F1194" s="6" t="str">
        <x:v>固定假牙(黏著劑)</x:v>
      </x:c>
      <x:c r="G1194" s="19" t="str">
        <x:v>Ø</x:v>
      </x:c>
      <x:c r="H1194" s="17" t="str">
        <x:v>尚未熟練</x:v>
      </x:c>
      <x:c r="I1194" s="6" t="n">
        <x:v>22</x:v>
      </x:c>
    </x:row>
    <x:row r="1195">
      <x:c r="A1195" s="13" t="str">
        <x:v>1030</x:v>
      </x:c>
      <x:c r="B1195" s="14" t="str"/>
      <x:c r="C1195" s="14" t="str">
        <x:v>Lv.1</x:v>
      </x:c>
      <x:c r="D1195" s="14" t="str">
        <x:v>李柄輝醫師</x:v>
      </x:c>
      <x:c r="E1195" s="6" t="str"/>
      <x:c r="F1195" s="6" t="str">
        <x:v>跟診順暢度</x:v>
      </x:c>
      <x:c r="G1195" s="19" t="str">
        <x:v>Ø</x:v>
      </x:c>
      <x:c r="H1195" s="17" t="str">
        <x:v>尚未熟練</x:v>
      </x:c>
      <x:c r="I1195" s="6" t="n">
        <x:v>23</x:v>
      </x:c>
    </x:row>
    <x:row r="1196">
      <x:c r="A1196" s="13" t="str">
        <x:v>1030</x:v>
      </x:c>
      <x:c r="B1196" s="14" t="str"/>
      <x:c r="C1196" s="14" t="str">
        <x:v>Lv.1</x:v>
      </x:c>
      <x:c r="D1196" s="14" t="str">
        <x:v>李柄輝醫師</x:v>
      </x:c>
      <x:c r="E1196" s="6" t="str"/>
      <x:c r="F1196" s="6" t="str">
        <x:v>病歷紀錄</x:v>
      </x:c>
      <x:c r="G1196" s="19" t="str">
        <x:v>Ø</x:v>
      </x:c>
      <x:c r="H1196" s="17" t="str">
        <x:v>尚未熟練</x:v>
      </x:c>
      <x:c r="I1196" s="6" t="n">
        <x:v>24</x:v>
      </x:c>
    </x:row>
    <x:row r="1197">
      <x:c r="A1197" s="13" t="str">
        <x:v>1030</x:v>
      </x:c>
      <x:c r="B1197" s="14" t="str"/>
      <x:c r="C1197" s="14" t="str">
        <x:v>Lv.1</x:v>
      </x:c>
      <x:c r="D1197" s="14" t="str">
        <x:v>李柄輝醫師</x:v>
      </x:c>
      <x:c r="E1197" s="6" t="str"/>
      <x:c r="F1197" s="6" t="str">
        <x:v>健保申報</x:v>
      </x:c>
      <x:c r="G1197" s="19" t="str">
        <x:v>△</x:v>
      </x:c>
      <x:c r="H1197" s="17" t="str">
        <x:v>需加強</x:v>
      </x:c>
      <x:c r="I1197" s="6" t="n">
        <x:v>25</x:v>
      </x:c>
    </x:row>
    <x:row r="1198">
      <x:c r="A1198" s="13" t="str">
        <x:v>1030</x:v>
      </x:c>
      <x:c r="B1198" s="14" t="str"/>
      <x:c r="C1198" s="14" t="str">
        <x:v>Lv.1</x:v>
      </x:c>
      <x:c r="D1198" s="14" t="str">
        <x:v>李柄輝醫師</x:v>
      </x:c>
      <x:c r="E1198" s="6" t="str"/>
      <x:c r="F1198" s="6" t="str">
        <x:v>X光片紀錄</x:v>
      </x:c>
      <x:c r="G1198" s="19" t="str">
        <x:v>Ø</x:v>
      </x:c>
      <x:c r="H1198" s="17" t="str">
        <x:v>尚未熟練</x:v>
      </x:c>
      <x:c r="I1198" s="6" t="n">
        <x:v>26</x:v>
      </x:c>
    </x:row>
    <x:row r="1199">
      <x:c r="A1199" s="13" t="str">
        <x:v>1030</x:v>
      </x:c>
      <x:c r="B1199" s="14" t="str"/>
      <x:c r="C1199" s="14" t="str">
        <x:v>Lv.1</x:v>
      </x:c>
      <x:c r="D1199" s="14" t="str">
        <x:v>李柄輝醫師</x:v>
      </x:c>
      <x:c r="E1199" s="6" t="str"/>
      <x:c r="F1199" s="6" t="str">
        <x:v>拍PA</x:v>
      </x:c>
      <x:c r="G1199" s="19" t="str">
        <x:v>Ø</x:v>
      </x:c>
      <x:c r="H1199" s="17" t="str">
        <x:v>尚未熟練</x:v>
      </x:c>
      <x:c r="I1199" s="6" t="n">
        <x:v>27</x:v>
      </x:c>
    </x:row>
    <x:row r="1200">
      <x:c r="A1200" s="13" t="str">
        <x:v>1030</x:v>
      </x:c>
      <x:c r="B1200" s="14" t="str"/>
      <x:c r="C1200" s="14" t="str">
        <x:v>Lv.1</x:v>
      </x:c>
      <x:c r="D1200" s="14" t="str">
        <x:v>李侑津醫師</x:v>
      </x:c>
      <x:c r="E1200" s="6" t="str">
        <x:v>器械準備</x:v>
      </x:c>
      <x:c r="F1200" s="6" t="str">
        <x:v>洗牙</x:v>
      </x:c>
      <x:c r="G1200" s="19" t="str"/>
      <x:c r="H1200" s="17" t="str">
        <x:v>未評分</x:v>
      </x:c>
      <x:c r="I1200" s="6" t="n">
        <x:v>28</x:v>
      </x:c>
    </x:row>
    <x:row r="1201">
      <x:c r="A1201" s="13" t="str">
        <x:v>1030</x:v>
      </x:c>
      <x:c r="B1201" s="14" t="str"/>
      <x:c r="C1201" s="14" t="str">
        <x:v>Lv.1</x:v>
      </x:c>
      <x:c r="D1201" s="14" t="str">
        <x:v>李侑津醫師</x:v>
      </x:c>
      <x:c r="E1201" s="6" t="str">
        <x:v>器械準備</x:v>
      </x:c>
      <x:c r="F1201" s="6" t="str">
        <x:v>補牙</x:v>
      </x:c>
      <x:c r="G1201" s="19" t="str"/>
      <x:c r="H1201" s="17" t="str">
        <x:v>未評分</x:v>
      </x:c>
      <x:c r="I1201" s="6" t="n">
        <x:v>29</x:v>
      </x:c>
    </x:row>
    <x:row r="1202">
      <x:c r="A1202" s="13" t="str">
        <x:v>1030</x:v>
      </x:c>
      <x:c r="B1202" s="14" t="str"/>
      <x:c r="C1202" s="14" t="str">
        <x:v>Lv.1</x:v>
      </x:c>
      <x:c r="D1202" s="14" t="str">
        <x:v>李侑津醫師</x:v>
      </x:c>
      <x:c r="E1202" s="6" t="str">
        <x:v>器械準備</x:v>
      </x:c>
      <x:c r="F1202" s="6" t="str">
        <x:v>牙周統合</x:v>
      </x:c>
      <x:c r="G1202" s="19" t="str"/>
      <x:c r="H1202" s="17" t="str">
        <x:v>未評分</x:v>
      </x:c>
      <x:c r="I1202" s="6" t="n">
        <x:v>30</x:v>
      </x:c>
    </x:row>
    <x:row r="1203">
      <x:c r="A1203" s="13" t="str">
        <x:v>1030</x:v>
      </x:c>
      <x:c r="B1203" s="14" t="str"/>
      <x:c r="C1203" s="14" t="str">
        <x:v>Lv.1</x:v>
      </x:c>
      <x:c r="D1203" s="14" t="str">
        <x:v>李侑津醫師</x:v>
      </x:c>
      <x:c r="E1203" s="6" t="str">
        <x:v>器械準備</x:v>
      </x:c>
      <x:c r="F1203" s="6" t="str">
        <x:v>根管治療</x:v>
      </x:c>
      <x:c r="G1203" s="19" t="str"/>
      <x:c r="H1203" s="17" t="str">
        <x:v>未評分</x:v>
      </x:c>
      <x:c r="I1203" s="6" t="n">
        <x:v>31</x:v>
      </x:c>
    </x:row>
    <x:row r="1204">
      <x:c r="A1204" s="13" t="str">
        <x:v>1030</x:v>
      </x:c>
      <x:c r="B1204" s="14" t="str"/>
      <x:c r="C1204" s="14" t="str">
        <x:v>Lv.1</x:v>
      </x:c>
      <x:c r="D1204" s="14" t="str">
        <x:v>李侑津醫師</x:v>
      </x:c>
      <x:c r="E1204" s="6" t="str">
        <x:v>器械準備</x:v>
      </x:c>
      <x:c r="F1204" s="6" t="str">
        <x:v>拔牙</x:v>
      </x:c>
      <x:c r="G1204" s="19" t="str"/>
      <x:c r="H1204" s="17" t="str">
        <x:v>未評分</x:v>
      </x:c>
      <x:c r="I1204" s="6" t="n">
        <x:v>32</x:v>
      </x:c>
    </x:row>
    <x:row r="1205">
      <x:c r="A1205" s="13" t="str">
        <x:v>1030</x:v>
      </x:c>
      <x:c r="B1205" s="14" t="str"/>
      <x:c r="C1205" s="14" t="str">
        <x:v>Lv.1</x:v>
      </x:c>
      <x:c r="D1205" s="14" t="str">
        <x:v>李侑津醫師</x:v>
      </x:c>
      <x:c r="E1205" s="6" t="str">
        <x:v>器械準備</x:v>
      </x:c>
      <x:c r="F1205" s="6" t="str">
        <x:v>拆 crown/post</x:v>
      </x:c>
      <x:c r="G1205" s="19" t="str"/>
      <x:c r="H1205" s="17" t="str">
        <x:v>未評分</x:v>
      </x:c>
      <x:c r="I1205" s="6" t="n">
        <x:v>33</x:v>
      </x:c>
    </x:row>
    <x:row r="1206">
      <x:c r="A1206" s="13" t="str">
        <x:v>1030</x:v>
      </x:c>
      <x:c r="B1206" s="14" t="str"/>
      <x:c r="C1206" s="14" t="str">
        <x:v>Lv.1</x:v>
      </x:c>
      <x:c r="D1206" s="14" t="str">
        <x:v>李侑津醫師</x:v>
      </x:c>
      <x:c r="E1206" s="6" t="str">
        <x:v>自費</x:v>
      </x:c>
      <x:c r="F1206" s="6" t="str">
        <x:v>固定假牙</x:v>
      </x:c>
      <x:c r="G1206" s="19" t="str"/>
      <x:c r="H1206" s="17" t="str">
        <x:v>未評分</x:v>
      </x:c>
      <x:c r="I1206" s="6" t="n">
        <x:v>34</x:v>
      </x:c>
    </x:row>
    <x:row r="1207">
      <x:c r="A1207" s="13" t="str">
        <x:v>1030</x:v>
      </x:c>
      <x:c r="B1207" s="14" t="str"/>
      <x:c r="C1207" s="14" t="str">
        <x:v>Lv.1</x:v>
      </x:c>
      <x:c r="D1207" s="14" t="str">
        <x:v>李侑津醫師</x:v>
      </x:c>
      <x:c r="E1207" s="6" t="str">
        <x:v>自費</x:v>
      </x:c>
      <x:c r="F1207" s="6" t="str">
        <x:v>RPD</x:v>
      </x:c>
      <x:c r="G1207" s="19" t="str"/>
      <x:c r="H1207" s="17" t="str">
        <x:v>未評分</x:v>
      </x:c>
      <x:c r="I1207" s="6" t="n">
        <x:v>35</x:v>
      </x:c>
    </x:row>
    <x:row r="1208">
      <x:c r="A1208" s="13" t="str">
        <x:v>1030</x:v>
      </x:c>
      <x:c r="B1208" s="14" t="str"/>
      <x:c r="C1208" s="14" t="str">
        <x:v>Lv.1</x:v>
      </x:c>
      <x:c r="D1208" s="14" t="str">
        <x:v>李侑津醫師</x:v>
      </x:c>
      <x:c r="E1208" s="6" t="str">
        <x:v>自費</x:v>
      </x:c>
      <x:c r="F1208" s="6" t="str">
        <x:v>噴砂美白</x:v>
      </x:c>
      <x:c r="G1208" s="19" t="str"/>
      <x:c r="H1208" s="17" t="str">
        <x:v>未評分</x:v>
      </x:c>
      <x:c r="I1208" s="6" t="n">
        <x:v>36</x:v>
      </x:c>
    </x:row>
    <x:row r="1209">
      <x:c r="A1209" s="13" t="str">
        <x:v>1030</x:v>
      </x:c>
      <x:c r="B1209" s="14" t="str"/>
      <x:c r="C1209" s="14" t="str">
        <x:v>Lv.1</x:v>
      </x:c>
      <x:c r="D1209" s="14" t="str">
        <x:v>李侑津醫師</x:v>
      </x:c>
      <x:c r="E1209" s="6" t="str">
        <x:v>手術</x:v>
      </x:c>
      <x:c r="F1209" s="6" t="str">
        <x:v>牙周手術</x:v>
      </x:c>
      <x:c r="G1209" s="19" t="str"/>
      <x:c r="H1209" s="17" t="str">
        <x:v>未評分</x:v>
      </x:c>
      <x:c r="I1209" s="6" t="n">
        <x:v>37</x:v>
      </x:c>
    </x:row>
    <x:row r="1210">
      <x:c r="A1210" s="13" t="str">
        <x:v>1030</x:v>
      </x:c>
      <x:c r="B1210" s="14" t="str"/>
      <x:c r="C1210" s="14" t="str">
        <x:v>Lv.1</x:v>
      </x:c>
      <x:c r="D1210" s="14" t="str">
        <x:v>李侑津醫師</x:v>
      </x:c>
      <x:c r="E1210" s="6" t="str">
        <x:v>手術</x:v>
      </x:c>
      <x:c r="F1210" s="6" t="str">
        <x:v>顯微根管</x:v>
      </x:c>
      <x:c r="G1210" s="19" t="str"/>
      <x:c r="H1210" s="17" t="str">
        <x:v>未評分</x:v>
      </x:c>
      <x:c r="I1210" s="6" t="n">
        <x:v>38</x:v>
      </x:c>
    </x:row>
    <x:row r="1211">
      <x:c r="A1211" s="13" t="str">
        <x:v>1030</x:v>
      </x:c>
      <x:c r="B1211" s="14" t="str"/>
      <x:c r="C1211" s="14" t="str">
        <x:v>Lv.1</x:v>
      </x:c>
      <x:c r="D1211" s="14" t="str">
        <x:v>李侑津醫師</x:v>
      </x:c>
      <x:c r="E1211" s="6" t="str">
        <x:v>手術</x:v>
      </x:c>
      <x:c r="F1211" s="6" t="str">
        <x:v>植 牙</x:v>
      </x:c>
      <x:c r="G1211" s="19" t="str"/>
      <x:c r="H1211" s="17" t="str">
        <x:v>未評分</x:v>
      </x:c>
      <x:c r="I1211" s="6" t="n">
        <x:v>39</x:v>
      </x:c>
    </x:row>
    <x:row r="1212">
      <x:c r="A1212" s="13" t="str">
        <x:v>1030</x:v>
      </x:c>
      <x:c r="B1212" s="14" t="str"/>
      <x:c r="C1212" s="14" t="str">
        <x:v>Lv.1</x:v>
      </x:c>
      <x:c r="D1212" s="14" t="str">
        <x:v>李侑津醫師</x:v>
      </x:c>
      <x:c r="E1212" s="6" t="str"/>
      <x:c r="F1212" s="6" t="str">
        <x:v>跟診順暢度</x:v>
      </x:c>
      <x:c r="G1212" s="19" t="str"/>
      <x:c r="H1212" s="17" t="str">
        <x:v>未評分</x:v>
      </x:c>
      <x:c r="I1212" s="6" t="n">
        <x:v>40</x:v>
      </x:c>
    </x:row>
    <x:row r="1213">
      <x:c r="A1213" s="13" t="str">
        <x:v>1030</x:v>
      </x:c>
      <x:c r="B1213" s="14" t="str"/>
      <x:c r="C1213" s="14" t="str">
        <x:v>Lv.1</x:v>
      </x:c>
      <x:c r="D1213" s="14" t="str">
        <x:v>李侑津醫師</x:v>
      </x:c>
      <x:c r="E1213" s="6" t="str"/>
      <x:c r="F1213" s="6" t="str">
        <x:v>病歷紀錄</x:v>
      </x:c>
      <x:c r="G1213" s="19" t="str"/>
      <x:c r="H1213" s="17" t="str">
        <x:v>未評分</x:v>
      </x:c>
      <x:c r="I1213" s="6" t="n">
        <x:v>41</x:v>
      </x:c>
    </x:row>
    <x:row r="1214">
      <x:c r="A1214" s="13" t="str">
        <x:v>1030</x:v>
      </x:c>
      <x:c r="B1214" s="14" t="str"/>
      <x:c r="C1214" s="14" t="str">
        <x:v>Lv.1</x:v>
      </x:c>
      <x:c r="D1214" s="14" t="str">
        <x:v>李侑津醫師</x:v>
      </x:c>
      <x:c r="E1214" s="6" t="str"/>
      <x:c r="F1214" s="6" t="str">
        <x:v>健保申報</x:v>
      </x:c>
      <x:c r="G1214" s="19" t="str"/>
      <x:c r="H1214" s="17" t="str">
        <x:v>未評分</x:v>
      </x:c>
      <x:c r="I1214" s="6" t="n">
        <x:v>42</x:v>
      </x:c>
    </x:row>
    <x:row r="1215">
      <x:c r="A1215" s="13" t="str">
        <x:v>1030</x:v>
      </x:c>
      <x:c r="B1215" s="14" t="str"/>
      <x:c r="C1215" s="14" t="str">
        <x:v>Lv.1</x:v>
      </x:c>
      <x:c r="D1215" s="14" t="str">
        <x:v>李侑津醫師</x:v>
      </x:c>
      <x:c r="E1215" s="6" t="str"/>
      <x:c r="F1215" s="6" t="str">
        <x:v>X光片紀錄</x:v>
      </x:c>
      <x:c r="G1215" s="19" t="str"/>
      <x:c r="H1215" s="17" t="str">
        <x:v>未評分</x:v>
      </x:c>
      <x:c r="I1215" s="6" t="n">
        <x:v>43</x:v>
      </x:c>
    </x:row>
    <x:row r="1216">
      <x:c r="A1216" s="13" t="str">
        <x:v>1030</x:v>
      </x:c>
      <x:c r="B1216" s="14" t="str"/>
      <x:c r="C1216" s="14" t="str">
        <x:v>Lv.1</x:v>
      </x:c>
      <x:c r="D1216" s="14" t="str">
        <x:v>李侑津醫師</x:v>
      </x:c>
      <x:c r="E1216" s="6" t="str"/>
      <x:c r="F1216" s="6" t="str">
        <x:v>拍PA</x:v>
      </x:c>
      <x:c r="G1216" s="19" t="str"/>
      <x:c r="H1216" s="17" t="str">
        <x:v>未評分</x:v>
      </x:c>
      <x:c r="I1216" s="6" t="n">
        <x:v>44</x:v>
      </x:c>
    </x:row>
    <x:row r="1217">
      <x:c r="A1217" s="13" t="str">
        <x:v>1030</x:v>
      </x:c>
      <x:c r="B1217" s="14" t="str"/>
      <x:c r="C1217" s="14" t="str">
        <x:v>Lv.1</x:v>
      </x:c>
      <x:c r="D1217" s="14" t="str">
        <x:v>李侑津醫師</x:v>
      </x:c>
      <x:c r="E1217" s="6" t="str"/>
      <x:c r="F1217" s="6" t="str">
        <x:v>口掃機運用</x:v>
      </x:c>
      <x:c r="G1217" s="19" t="str"/>
      <x:c r="H1217" s="17" t="str">
        <x:v>未評分</x:v>
      </x:c>
      <x:c r="I1217" s="6" t="n">
        <x:v>45</x:v>
      </x:c>
    </x:row>
    <x:row r="1218">
      <x:c r="A1218" s="13" t="str">
        <x:v>1030</x:v>
      </x:c>
      <x:c r="B1218" s="14" t="str"/>
      <x:c r="C1218" s="14" t="str">
        <x:v>Lv.1</x:v>
      </x:c>
      <x:c r="D1218" s="14" t="str">
        <x:v>廖立揚醫師</x:v>
      </x:c>
      <x:c r="E1218" s="6" t="str"/>
      <x:c r="F1218" s="6" t="str">
        <x:v>器械熟悉度</x:v>
      </x:c>
      <x:c r="G1218" s="19" t="str"/>
      <x:c r="H1218" s="17" t="str">
        <x:v>未評分</x:v>
      </x:c>
      <x:c r="I1218" s="6" t="n">
        <x:v>46</x:v>
      </x:c>
    </x:row>
    <x:row r="1219">
      <x:c r="A1219" s="13" t="str">
        <x:v>1030</x:v>
      </x:c>
      <x:c r="B1219" s="14" t="str"/>
      <x:c r="C1219" s="14" t="str">
        <x:v>Lv.1</x:v>
      </x:c>
      <x:c r="D1219" s="14" t="str">
        <x:v>廖立揚醫師</x:v>
      </x:c>
      <x:c r="E1219" s="6" t="str"/>
      <x:c r="F1219" s="6" t="str">
        <x:v>跟診順暢度</x:v>
      </x:c>
      <x:c r="G1219" s="19" t="str"/>
      <x:c r="H1219" s="17" t="str">
        <x:v>未評分</x:v>
      </x:c>
      <x:c r="I1219" s="6" t="n">
        <x:v>47</x:v>
      </x:c>
    </x:row>
    <x:row r="1220">
      <x:c r="A1220" s="13" t="str">
        <x:v>1030</x:v>
      </x:c>
      <x:c r="B1220" s="14" t="str"/>
      <x:c r="C1220" s="14" t="str">
        <x:v>Lv.1</x:v>
      </x:c>
      <x:c r="D1220" s="14" t="str">
        <x:v>廖立揚醫師</x:v>
      </x:c>
      <x:c r="E1220" s="6" t="str"/>
      <x:c r="F1220" s="6" t="str">
        <x:v>病歷紀錄</x:v>
      </x:c>
      <x:c r="G1220" s="19" t="str"/>
      <x:c r="H1220" s="17" t="str">
        <x:v>未評分</x:v>
      </x:c>
      <x:c r="I1220" s="6" t="n">
        <x:v>48</x:v>
      </x:c>
    </x:row>
    <x:row r="1221">
      <x:c r="A1221" s="13" t="str">
        <x:v>1030</x:v>
      </x:c>
      <x:c r="B1221" s="14" t="str"/>
      <x:c r="C1221" s="14" t="str">
        <x:v>Lv.1</x:v>
      </x:c>
      <x:c r="D1221" s="14" t="str">
        <x:v>廖立揚醫師</x:v>
      </x:c>
      <x:c r="E1221" s="6" t="str"/>
      <x:c r="F1221" s="6" t="str">
        <x:v>健保申報(初診pano)</x:v>
      </x:c>
      <x:c r="G1221" s="19" t="str"/>
      <x:c r="H1221" s="17" t="str">
        <x:v>未評分</x:v>
      </x:c>
      <x:c r="I1221" s="6" t="n">
        <x:v>49</x:v>
      </x:c>
    </x:row>
    <x:row r="1222">
      <x:c r="A1222" s="13" t="str">
        <x:v>1030</x:v>
      </x:c>
      <x:c r="B1222" s="14" t="str"/>
      <x:c r="C1222" s="14" t="str">
        <x:v>Lv.1</x:v>
      </x:c>
      <x:c r="D1222" s="14" t="str">
        <x:v>廖立揚醫師</x:v>
      </x:c>
      <x:c r="E1222" s="6" t="str"/>
      <x:c r="F1222" s="6" t="str">
        <x:v>X光片紀錄</x:v>
      </x:c>
      <x:c r="G1222" s="19" t="str"/>
      <x:c r="H1222" s="17" t="str">
        <x:v>未評分</x:v>
      </x:c>
      <x:c r="I1222" s="6" t="n">
        <x:v>50</x:v>
      </x:c>
    </x:row>
    <x:row r="1223">
      <x:c r="A1223" s="13" t="str">
        <x:v>1030</x:v>
      </x:c>
      <x:c r="B1223" s="14" t="str"/>
      <x:c r="C1223" s="14" t="str">
        <x:v>Lv.1</x:v>
      </x:c>
      <x:c r="D1223" s="14" t="str">
        <x:v>廖立揚醫師</x:v>
      </x:c>
      <x:c r="E1223" s="6" t="str"/>
      <x:c r="F1223" s="6" t="str">
        <x:v>拍PANO、PA</x:v>
      </x:c>
      <x:c r="G1223" s="19" t="str"/>
      <x:c r="H1223" s="17" t="str">
        <x:v>未評分</x:v>
      </x:c>
      <x:c r="I1223" s="6" t="n">
        <x:v>51</x:v>
      </x:c>
    </x:row>
    <x:row r="1224">
      <x:c r="A1224" s="13" t="str">
        <x:v>1030</x:v>
      </x:c>
      <x:c r="B1224" s="14" t="str"/>
      <x:c r="C1224" s="14" t="str">
        <x:v>Lv.1</x:v>
      </x:c>
      <x:c r="D1224" s="14" t="str">
        <x:v>廖立揚醫師</x:v>
      </x:c>
      <x:c r="E1224" s="6" t="str"/>
      <x:c r="F1224" s="6" t="str">
        <x:v>CT照</x:v>
      </x:c>
      <x:c r="G1224" s="19" t="str"/>
      <x:c r="H1224" s="17" t="str">
        <x:v>未評分</x:v>
      </x:c>
      <x:c r="I1224" s="6" t="n">
        <x:v>52</x:v>
      </x:c>
    </x:row>
    <x:row r="1225">
      <x:c r="A1225" s="13" t="str">
        <x:v>1030</x:v>
      </x:c>
      <x:c r="B1225" s="14" t="str"/>
      <x:c r="C1225" s="14" t="str">
        <x:v>Lv.1</x:v>
      </x:c>
      <x:c r="D1225" s="14" t="str">
        <x:v>廖立揚醫師</x:v>
      </x:c>
      <x:c r="E1225" s="6" t="str"/>
      <x:c r="F1225" s="6" t="str">
        <x:v>側頭顱照</x:v>
      </x:c>
      <x:c r="G1225" s="19" t="str"/>
      <x:c r="H1225" s="17" t="str">
        <x:v>未評分</x:v>
      </x:c>
      <x:c r="I1225" s="6" t="n">
        <x:v>53</x:v>
      </x:c>
    </x:row>
    <x:row r="1226">
      <x:c r="A1226" s="13" t="str">
        <x:v>1030</x:v>
      </x:c>
      <x:c r="B1226" s="14" t="str"/>
      <x:c r="C1226" s="14" t="str">
        <x:v>Lv.1</x:v>
      </x:c>
      <x:c r="D1226" s="14" t="str">
        <x:v>廖立揚醫師</x:v>
      </x:c>
      <x:c r="E1226" s="6" t="str"/>
      <x:c r="F1226" s="6" t="str">
        <x:v>口掃機運用</x:v>
      </x:c>
      <x:c r="G1226" s="19" t="str"/>
      <x:c r="H1226" s="17" t="str">
        <x:v>未評分</x:v>
      </x:c>
      <x:c r="I1226" s="6" t="n">
        <x:v>54</x:v>
      </x:c>
    </x:row>
    <x:row r="1227">
      <x:c r="A1227" s="13" t="str">
        <x:v>1030</x:v>
      </x:c>
      <x:c r="B1227" s="14" t="str"/>
      <x:c r="C1227" s="14" t="str">
        <x:v>Lv.1</x:v>
      </x:c>
      <x:c r="D1227" s="14" t="str">
        <x:v>楊小瑩醫師</x:v>
      </x:c>
      <x:c r="E1227" s="6" t="str">
        <x:v>器械準備</x:v>
      </x:c>
      <x:c r="F1227" s="6" t="str">
        <x:v>洗牙</x:v>
      </x:c>
      <x:c r="G1227" s="19" t="str"/>
      <x:c r="H1227" s="17" t="str">
        <x:v>未評分</x:v>
      </x:c>
      <x:c r="I1227" s="6" t="n">
        <x:v>55</x:v>
      </x:c>
    </x:row>
    <x:row r="1228">
      <x:c r="A1228" s="13" t="str">
        <x:v>1030</x:v>
      </x:c>
      <x:c r="B1228" s="14" t="str"/>
      <x:c r="C1228" s="14" t="str">
        <x:v>Lv.1</x:v>
      </x:c>
      <x:c r="D1228" s="14" t="str">
        <x:v>楊小瑩醫師</x:v>
      </x:c>
      <x:c r="E1228" s="6" t="str">
        <x:v>器械準備</x:v>
      </x:c>
      <x:c r="F1228" s="6" t="str">
        <x:v>補牙</x:v>
      </x:c>
      <x:c r="G1228" s="19" t="str"/>
      <x:c r="H1228" s="17" t="str">
        <x:v>未評分</x:v>
      </x:c>
      <x:c r="I1228" s="6" t="n">
        <x:v>56</x:v>
      </x:c>
    </x:row>
    <x:row r="1229">
      <x:c r="A1229" s="13" t="str">
        <x:v>1030</x:v>
      </x:c>
      <x:c r="B1229" s="14" t="str"/>
      <x:c r="C1229" s="14" t="str">
        <x:v>Lv.1</x:v>
      </x:c>
      <x:c r="D1229" s="14" t="str">
        <x:v>楊小瑩醫師</x:v>
      </x:c>
      <x:c r="E1229" s="6" t="str">
        <x:v>器械準備</x:v>
      </x:c>
      <x:c r="F1229" s="6" t="str">
        <x:v>根管治療</x:v>
      </x:c>
      <x:c r="G1229" s="19" t="str"/>
      <x:c r="H1229" s="17" t="str">
        <x:v>未評分</x:v>
      </x:c>
      <x:c r="I1229" s="6" t="n">
        <x:v>57</x:v>
      </x:c>
    </x:row>
    <x:row r="1230">
      <x:c r="A1230" s="13" t="str">
        <x:v>1030</x:v>
      </x:c>
      <x:c r="B1230" s="14" t="str"/>
      <x:c r="C1230" s="14" t="str">
        <x:v>Lv.1</x:v>
      </x:c>
      <x:c r="D1230" s="14" t="str">
        <x:v>楊小瑩醫師</x:v>
      </x:c>
      <x:c r="E1230" s="6" t="str">
        <x:v>器械準備</x:v>
      </x:c>
      <x:c r="F1230" s="6" t="str">
        <x:v>拔牙</x:v>
      </x:c>
      <x:c r="G1230" s="19" t="str"/>
      <x:c r="H1230" s="17" t="str">
        <x:v>未評分</x:v>
      </x:c>
      <x:c r="I1230" s="6" t="n">
        <x:v>58</x:v>
      </x:c>
    </x:row>
    <x:row r="1231">
      <x:c r="A1231" s="13" t="str">
        <x:v>1030</x:v>
      </x:c>
      <x:c r="B1231" s="14" t="str"/>
      <x:c r="C1231" s="14" t="str">
        <x:v>Lv.1</x:v>
      </x:c>
      <x:c r="D1231" s="14" t="str">
        <x:v>楊小瑩醫師</x:v>
      </x:c>
      <x:c r="E1231" s="6" t="str">
        <x:v>器械準備</x:v>
      </x:c>
      <x:c r="F1231" s="6" t="str">
        <x:v>拆 crown/post</x:v>
      </x:c>
      <x:c r="G1231" s="19" t="str"/>
      <x:c r="H1231" s="17" t="str">
        <x:v>未評分</x:v>
      </x:c>
      <x:c r="I1231" s="6" t="n">
        <x:v>59</x:v>
      </x:c>
    </x:row>
    <x:row r="1232">
      <x:c r="A1232" s="13" t="str">
        <x:v>1030</x:v>
      </x:c>
      <x:c r="B1232" s="14" t="str"/>
      <x:c r="C1232" s="14" t="str">
        <x:v>Lv.1</x:v>
      </x:c>
      <x:c r="D1232" s="14" t="str">
        <x:v>楊小瑩醫師</x:v>
      </x:c>
      <x:c r="E1232" s="6" t="str">
        <x:v>自費</x:v>
      </x:c>
      <x:c r="F1232" s="6" t="str">
        <x:v>固定假牙</x:v>
      </x:c>
      <x:c r="G1232" s="19" t="str"/>
      <x:c r="H1232" s="17" t="str">
        <x:v>未評分</x:v>
      </x:c>
      <x:c r="I1232" s="6" t="n">
        <x:v>60</x:v>
      </x:c>
    </x:row>
    <x:row r="1233">
      <x:c r="A1233" s="13" t="str">
        <x:v>1030</x:v>
      </x:c>
      <x:c r="B1233" s="14" t="str"/>
      <x:c r="C1233" s="14" t="str">
        <x:v>Lv.1</x:v>
      </x:c>
      <x:c r="D1233" s="14" t="str">
        <x:v>楊小瑩醫師</x:v>
      </x:c>
      <x:c r="E1233" s="6" t="str">
        <x:v>自費</x:v>
      </x:c>
      <x:c r="F1233" s="6" t="str">
        <x:v>RPD</x:v>
      </x:c>
      <x:c r="G1233" s="19" t="str"/>
      <x:c r="H1233" s="17" t="str">
        <x:v>未評分</x:v>
      </x:c>
      <x:c r="I1233" s="6" t="n">
        <x:v>61</x:v>
      </x:c>
    </x:row>
    <x:row r="1234">
      <x:c r="A1234" s="13" t="str">
        <x:v>1030</x:v>
      </x:c>
      <x:c r="B1234" s="14" t="str"/>
      <x:c r="C1234" s="14" t="str">
        <x:v>Lv.1</x:v>
      </x:c>
      <x:c r="D1234" s="14" t="str">
        <x:v>楊小瑩醫師</x:v>
      </x:c>
      <x:c r="E1234" s="6" t="str">
        <x:v>自費</x:v>
      </x:c>
      <x:c r="F1234" s="6" t="str">
        <x:v>噴砂美白</x:v>
      </x:c>
      <x:c r="G1234" s="19" t="str"/>
      <x:c r="H1234" s="17" t="str">
        <x:v>未評分</x:v>
      </x:c>
      <x:c r="I1234" s="6" t="n">
        <x:v>62</x:v>
      </x:c>
    </x:row>
    <x:row r="1235">
      <x:c r="A1235" s="13" t="str">
        <x:v>1030</x:v>
      </x:c>
      <x:c r="B1235" s="14" t="str"/>
      <x:c r="C1235" s="14" t="str">
        <x:v>Lv.1</x:v>
      </x:c>
      <x:c r="D1235" s="14" t="str">
        <x:v>楊小瑩醫師</x:v>
      </x:c>
      <x:c r="E1235" s="6" t="str"/>
      <x:c r="F1235" s="6" t="str">
        <x:v>跟診順暢度</x:v>
      </x:c>
      <x:c r="G1235" s="19" t="str"/>
      <x:c r="H1235" s="17" t="str">
        <x:v>未評分</x:v>
      </x:c>
      <x:c r="I1235" s="6" t="n">
        <x:v>63</x:v>
      </x:c>
    </x:row>
    <x:row r="1236">
      <x:c r="A1236" s="13" t="str">
        <x:v>1030</x:v>
      </x:c>
      <x:c r="B1236" s="14" t="str"/>
      <x:c r="C1236" s="14" t="str">
        <x:v>Lv.1</x:v>
      </x:c>
      <x:c r="D1236" s="14" t="str">
        <x:v>楊小瑩醫師</x:v>
      </x:c>
      <x:c r="E1236" s="6" t="str"/>
      <x:c r="F1236" s="6" t="str">
        <x:v>病歷紀錄</x:v>
      </x:c>
      <x:c r="G1236" s="19" t="str"/>
      <x:c r="H1236" s="17" t="str">
        <x:v>未評分</x:v>
      </x:c>
      <x:c r="I1236" s="6" t="n">
        <x:v>64</x:v>
      </x:c>
    </x:row>
    <x:row r="1237">
      <x:c r="A1237" s="13" t="str">
        <x:v>1030</x:v>
      </x:c>
      <x:c r="B1237" s="14" t="str"/>
      <x:c r="C1237" s="14" t="str">
        <x:v>Lv.1</x:v>
      </x:c>
      <x:c r="D1237" s="14" t="str">
        <x:v>楊小瑩醫師</x:v>
      </x:c>
      <x:c r="E1237" s="6" t="str"/>
      <x:c r="F1237" s="6" t="str">
        <x:v>健保申報</x:v>
      </x:c>
      <x:c r="G1237" s="19" t="str"/>
      <x:c r="H1237" s="17" t="str">
        <x:v>未評分</x:v>
      </x:c>
      <x:c r="I1237" s="6" t="n">
        <x:v>65</x:v>
      </x:c>
    </x:row>
    <x:row r="1238">
      <x:c r="A1238" s="13" t="str">
        <x:v>1030</x:v>
      </x:c>
      <x:c r="B1238" s="14" t="str"/>
      <x:c r="C1238" s="14" t="str">
        <x:v>Lv.1</x:v>
      </x:c>
      <x:c r="D1238" s="14" t="str">
        <x:v>楊小瑩醫師</x:v>
      </x:c>
      <x:c r="E1238" s="6" t="str"/>
      <x:c r="F1238" s="6" t="str">
        <x:v>X光片紀錄</x:v>
      </x:c>
      <x:c r="G1238" s="19" t="str"/>
      <x:c r="H1238" s="17" t="str">
        <x:v>未評分</x:v>
      </x:c>
      <x:c r="I1238" s="6" t="n">
        <x:v>66</x:v>
      </x:c>
    </x:row>
    <x:row r="1239">
      <x:c r="A1239" s="13" t="str">
        <x:v>1030</x:v>
      </x:c>
      <x:c r="B1239" s="14" t="str"/>
      <x:c r="C1239" s="14" t="str">
        <x:v>Lv.1</x:v>
      </x:c>
      <x:c r="D1239" s="14" t="str">
        <x:v>楊小瑩醫師</x:v>
      </x:c>
      <x:c r="E1239" s="6" t="str"/>
      <x:c r="F1239" s="6" t="str">
        <x:v>拍PA</x:v>
      </x:c>
      <x:c r="G1239" s="19" t="str"/>
      <x:c r="H1239" s="17" t="str">
        <x:v>未評分</x:v>
      </x:c>
      <x:c r="I1239" s="6" t="n">
        <x:v>67</x:v>
      </x:c>
    </x:row>
    <x:row r="1240">
      <x:c r="A1240" s="13" t="str">
        <x:v>1030</x:v>
      </x:c>
      <x:c r="B1240" s="14" t="str"/>
      <x:c r="C1240" s="14" t="str">
        <x:v>Lv.1</x:v>
      </x:c>
      <x:c r="D1240" s="14" t="str">
        <x:v>王俊偉醫師</x:v>
      </x:c>
      <x:c r="E1240" s="6" t="str"/>
      <x:c r="F1240" s="6" t="str">
        <x:v>器械熟悉度</x:v>
      </x:c>
      <x:c r="G1240" s="19" t="str"/>
      <x:c r="H1240" s="17" t="str">
        <x:v>未評分</x:v>
      </x:c>
      <x:c r="I1240" s="6" t="n">
        <x:v>68</x:v>
      </x:c>
    </x:row>
    <x:row r="1241">
      <x:c r="A1241" s="13" t="str">
        <x:v>1030</x:v>
      </x:c>
      <x:c r="B1241" s="14" t="str"/>
      <x:c r="C1241" s="14" t="str">
        <x:v>Lv.1</x:v>
      </x:c>
      <x:c r="D1241" s="14" t="str">
        <x:v>王俊偉醫師</x:v>
      </x:c>
      <x:c r="E1241" s="6" t="str"/>
      <x:c r="F1241" s="6" t="str">
        <x:v>跟診順暢度</x:v>
      </x:c>
      <x:c r="G1241" s="19" t="str"/>
      <x:c r="H1241" s="17" t="str">
        <x:v>未評分</x:v>
      </x:c>
      <x:c r="I1241" s="6" t="n">
        <x:v>69</x:v>
      </x:c>
    </x:row>
    <x:row r="1242">
      <x:c r="A1242" s="13" t="str">
        <x:v>1030</x:v>
      </x:c>
      <x:c r="B1242" s="14" t="str"/>
      <x:c r="C1242" s="14" t="str">
        <x:v>Lv.1</x:v>
      </x:c>
      <x:c r="D1242" s="14" t="str">
        <x:v>王俊偉醫師</x:v>
      </x:c>
      <x:c r="E1242" s="6" t="str"/>
      <x:c r="F1242" s="6" t="str">
        <x:v>病歷紀錄</x:v>
      </x:c>
      <x:c r="G1242" s="19" t="str"/>
      <x:c r="H1242" s="17" t="str">
        <x:v>未評分</x:v>
      </x:c>
      <x:c r="I1242" s="6" t="n">
        <x:v>70</x:v>
      </x:c>
    </x:row>
    <x:row r="1243">
      <x:c r="A1243" s="13" t="str">
        <x:v>1030</x:v>
      </x:c>
      <x:c r="B1243" s="14" t="str"/>
      <x:c r="C1243" s="14" t="str">
        <x:v>Lv.1</x:v>
      </x:c>
      <x:c r="D1243" s="14" t="str">
        <x:v>王俊偉醫師</x:v>
      </x:c>
      <x:c r="E1243" s="6" t="str"/>
      <x:c r="F1243" s="6" t="str">
        <x:v>健保申報</x:v>
      </x:c>
      <x:c r="G1243" s="19" t="str"/>
      <x:c r="H1243" s="17" t="str">
        <x:v>未評分</x:v>
      </x:c>
      <x:c r="I1243" s="6" t="n">
        <x:v>71</x:v>
      </x:c>
    </x:row>
    <x:row r="1244">
      <x:c r="A1244" s="13" t="str">
        <x:v>1030</x:v>
      </x:c>
      <x:c r="B1244" s="14" t="str"/>
      <x:c r="C1244" s="14" t="str">
        <x:v>Lv.1</x:v>
      </x:c>
      <x:c r="D1244" s="14" t="str">
        <x:v>王俊偉醫師</x:v>
      </x:c>
      <x:c r="E1244" s="6" t="str"/>
      <x:c r="F1244" s="6" t="str">
        <x:v>X光片紀錄</x:v>
      </x:c>
      <x:c r="G1244" s="19" t="str"/>
      <x:c r="H1244" s="17" t="str">
        <x:v>未評分</x:v>
      </x:c>
      <x:c r="I1244" s="6" t="n">
        <x:v>72</x:v>
      </x:c>
    </x:row>
    <x:row r="1245">
      <x:c r="A1245" s="13" t="str">
        <x:v>1030</x:v>
      </x:c>
      <x:c r="B1245" s="14" t="str"/>
      <x:c r="C1245" s="14" t="str">
        <x:v>Lv.1</x:v>
      </x:c>
      <x:c r="D1245" s="14" t="str">
        <x:v>王俊偉醫師</x:v>
      </x:c>
      <x:c r="E1245" s="6" t="str"/>
      <x:c r="F1245" s="6" t="str">
        <x:v>拍PANO、PA</x:v>
      </x:c>
      <x:c r="G1245" s="19" t="str"/>
      <x:c r="H1245" s="17" t="str">
        <x:v>未評分</x:v>
      </x:c>
      <x:c r="I1245" s="6" t="n">
        <x:v>73</x:v>
      </x:c>
    </x:row>
    <x:row r="1246">
      <x:c r="A1246" s="13" t="str">
        <x:v>1030</x:v>
      </x:c>
      <x:c r="B1246" s="14" t="str"/>
      <x:c r="C1246" s="14" t="str">
        <x:v>Lv.1</x:v>
      </x:c>
      <x:c r="D1246" s="14" t="str">
        <x:v>王俊偉醫師</x:v>
      </x:c>
      <x:c r="E1246" s="6" t="str"/>
      <x:c r="F1246" s="6" t="str">
        <x:v>CT照</x:v>
      </x:c>
      <x:c r="G1246" s="19" t="str"/>
      <x:c r="H1246" s="17" t="str">
        <x:v>未評分</x:v>
      </x:c>
      <x:c r="I1246" s="6" t="n">
        <x:v>74</x:v>
      </x:c>
    </x:row>
    <x:row r="1247">
      <x:c r="A1247" s="13" t="str">
        <x:v>1030</x:v>
      </x:c>
      <x:c r="B1247" s="14" t="str"/>
      <x:c r="C1247" s="14" t="str">
        <x:v>Lv.1</x:v>
      </x:c>
      <x:c r="D1247" s="14" t="str">
        <x:v>王俊偉醫師</x:v>
      </x:c>
      <x:c r="E1247" s="6" t="str"/>
      <x:c r="F1247" s="6" t="str">
        <x:v>側頭顱照</x:v>
      </x:c>
      <x:c r="G1247" s="19" t="str"/>
      <x:c r="H1247" s="17" t="str">
        <x:v>未評分</x:v>
      </x:c>
      <x:c r="I1247" s="6" t="n">
        <x:v>75</x:v>
      </x:c>
    </x:row>
    <x:row r="1248">
      <x:c r="A1248" s="13" t="str">
        <x:v>1030</x:v>
      </x:c>
      <x:c r="B1248" s="14" t="str"/>
      <x:c r="C1248" s="14" t="str">
        <x:v>Lv.1</x:v>
      </x:c>
      <x:c r="D1248" s="14" t="str">
        <x:v>王俊偉醫師</x:v>
      </x:c>
      <x:c r="E1248" s="6" t="str"/>
      <x:c r="F1248" s="6" t="str">
        <x:v>口掃機運用</x:v>
      </x:c>
      <x:c r="G1248" s="19" t="str"/>
      <x:c r="H1248" s="17" t="str">
        <x:v>未評分</x:v>
      </x:c>
      <x:c r="I1248" s="6" t="n">
        <x:v>76</x:v>
      </x:c>
    </x:row>
    <x:row r="1249">
      <x:c r="A1249" s="13" t="str">
        <x:v>1030</x:v>
      </x:c>
      <x:c r="B1249" s="14" t="str"/>
      <x:c r="C1249" s="14" t="str">
        <x:v>Lv.1</x:v>
      </x:c>
      <x:c r="D1249" s="14" t="str">
        <x:v>許馨文醫師</x:v>
      </x:c>
      <x:c r="E1249" s="6" t="str"/>
      <x:c r="F1249" s="6" t="str">
        <x:v>器械熟悉度</x:v>
      </x:c>
      <x:c r="G1249" s="19" t="str">
        <x:v>△</x:v>
      </x:c>
      <x:c r="H1249" s="17" t="str">
        <x:v>需加強</x:v>
      </x:c>
      <x:c r="I1249" s="6" t="n">
        <x:v>77</x:v>
      </x:c>
    </x:row>
    <x:row r="1250">
      <x:c r="A1250" s="13" t="str">
        <x:v>1030</x:v>
      </x:c>
      <x:c r="B1250" s="14" t="str"/>
      <x:c r="C1250" s="14" t="str">
        <x:v>Lv.1</x:v>
      </x:c>
      <x:c r="D1250" s="14" t="str">
        <x:v>許馨文醫師</x:v>
      </x:c>
      <x:c r="E1250" s="6" t="str"/>
      <x:c r="F1250" s="6" t="str">
        <x:v>吸口水技巧</x:v>
      </x:c>
      <x:c r="G1250" s="19" t="str">
        <x:v>△</x:v>
      </x:c>
      <x:c r="H1250" s="17" t="str">
        <x:v>需加強</x:v>
      </x:c>
      <x:c r="I1250" s="6" t="n">
        <x:v>78</x:v>
      </x:c>
    </x:row>
    <x:row r="1251">
      <x:c r="A1251" s="13" t="str">
        <x:v>1030</x:v>
      </x:c>
      <x:c r="B1251" s="14" t="str"/>
      <x:c r="C1251" s="14" t="str">
        <x:v>Lv.1</x:v>
      </x:c>
      <x:c r="D1251" s="14" t="str">
        <x:v>許馨文醫師</x:v>
      </x:c>
      <x:c r="E1251" s="6" t="str"/>
      <x:c r="F1251" s="6" t="str">
        <x:v>病歷紀錄</x:v>
      </x:c>
      <x:c r="G1251" s="19" t="str">
        <x:v>△</x:v>
      </x:c>
      <x:c r="H1251" s="17" t="str">
        <x:v>需加強</x:v>
      </x:c>
      <x:c r="I1251" s="6" t="n">
        <x:v>79</x:v>
      </x:c>
    </x:row>
    <x:row r="1252">
      <x:c r="A1252" s="13" t="str">
        <x:v>1030</x:v>
      </x:c>
      <x:c r="B1252" s="14" t="str"/>
      <x:c r="C1252" s="14" t="str">
        <x:v>Lv.1</x:v>
      </x:c>
      <x:c r="D1252" s="14" t="str">
        <x:v>許馨文醫師</x:v>
      </x:c>
      <x:c r="E1252" s="6" t="str"/>
      <x:c r="F1252" s="6" t="str">
        <x:v>健保申報</x:v>
      </x:c>
      <x:c r="G1252" s="19" t="str">
        <x:v>△</x:v>
      </x:c>
      <x:c r="H1252" s="17" t="str">
        <x:v>需加強</x:v>
      </x:c>
      <x:c r="I1252" s="6" t="n">
        <x:v>80</x:v>
      </x:c>
    </x:row>
    <x:row r="1253">
      <x:c r="A1253" s="13" t="str">
        <x:v>1030</x:v>
      </x:c>
      <x:c r="B1253" s="14" t="str"/>
      <x:c r="C1253" s="14" t="str">
        <x:v>Lv.1</x:v>
      </x:c>
      <x:c r="D1253" s="14" t="str">
        <x:v>許馨文醫師</x:v>
      </x:c>
      <x:c r="E1253" s="6" t="str"/>
      <x:c r="F1253" s="6" t="str">
        <x:v>X光片紀錄</x:v>
      </x:c>
      <x:c r="G1253" s="19" t="str">
        <x:v>△</x:v>
      </x:c>
      <x:c r="H1253" s="17" t="str">
        <x:v>需加強</x:v>
      </x:c>
      <x:c r="I1253" s="6" t="n">
        <x:v>81</x:v>
      </x:c>
    </x:row>
    <x:row r="1254">
      <x:c r="A1254" s="13" t="str">
        <x:v>1030</x:v>
      </x:c>
      <x:c r="B1254" s="14" t="str"/>
      <x:c r="C1254" s="14" t="str">
        <x:v>Lv.1</x:v>
      </x:c>
      <x:c r="D1254" s="14" t="str">
        <x:v>許馨文醫師</x:v>
      </x:c>
      <x:c r="E1254" s="6" t="str"/>
      <x:c r="F1254" s="6" t="str">
        <x:v>拍PANO、PA</x:v>
      </x:c>
      <x:c r="G1254" s="19" t="str">
        <x:v>△</x:v>
      </x:c>
      <x:c r="H1254" s="17" t="str">
        <x:v>需加強</x:v>
      </x:c>
      <x:c r="I1254" s="6" t="n">
        <x:v>82</x:v>
      </x:c>
    </x:row>
    <x:row r="1255">
      <x:c r="A1255" s="13" t="str">
        <x:v>1030</x:v>
      </x:c>
      <x:c r="B1255" s="14" t="str"/>
      <x:c r="C1255" s="14" t="str">
        <x:v>Lv.1</x:v>
      </x:c>
      <x:c r="D1255" s="14" t="str">
        <x:v>林晏妤醫師</x:v>
      </x:c>
      <x:c r="E1255" s="6" t="str"/>
      <x:c r="F1255" s="6" t="str">
        <x:v>器械熟悉度</x:v>
      </x:c>
      <x:c r="G1255" s="19" t="str">
        <x:v>※</x:v>
      </x:c>
      <x:c r="H1255" s="17" t="str">
        <x:v>學習中</x:v>
      </x:c>
      <x:c r="I1255" s="6" t="n">
        <x:v>83</x:v>
      </x:c>
    </x:row>
    <x:row r="1256">
      <x:c r="A1256" s="13" t="str">
        <x:v>1030</x:v>
      </x:c>
      <x:c r="B1256" s="14" t="str"/>
      <x:c r="C1256" s="14" t="str">
        <x:v>Lv.1</x:v>
      </x:c>
      <x:c r="D1256" s="14" t="str">
        <x:v>林晏妤醫師</x:v>
      </x:c>
      <x:c r="E1256" s="6" t="str"/>
      <x:c r="F1256" s="6" t="str">
        <x:v>跟診順暢度</x:v>
      </x:c>
      <x:c r="G1256" s="19" t="str">
        <x:v>※</x:v>
      </x:c>
      <x:c r="H1256" s="17" t="str">
        <x:v>學習中</x:v>
      </x:c>
      <x:c r="I1256" s="6" t="n">
        <x:v>84</x:v>
      </x:c>
    </x:row>
    <x:row r="1257">
      <x:c r="A1257" s="13" t="str">
        <x:v>1030</x:v>
      </x:c>
      <x:c r="B1257" s="14" t="str"/>
      <x:c r="C1257" s="14" t="str">
        <x:v>Lv.1</x:v>
      </x:c>
      <x:c r="D1257" s="14" t="str">
        <x:v>林晏妤醫師</x:v>
      </x:c>
      <x:c r="E1257" s="6" t="str"/>
      <x:c r="F1257" s="6" t="str">
        <x:v>病歷紀錄</x:v>
      </x:c>
      <x:c r="G1257" s="19" t="str">
        <x:v>※</x:v>
      </x:c>
      <x:c r="H1257" s="17" t="str">
        <x:v>學習中</x:v>
      </x:c>
      <x:c r="I1257" s="6" t="n">
        <x:v>85</x:v>
      </x:c>
    </x:row>
    <x:row r="1258">
      <x:c r="A1258" s="13" t="str">
        <x:v>1030</x:v>
      </x:c>
      <x:c r="B1258" s="14" t="str"/>
      <x:c r="C1258" s="14" t="str">
        <x:v>Lv.1</x:v>
      </x:c>
      <x:c r="D1258" s="14" t="str">
        <x:v>林晏妤醫師</x:v>
      </x:c>
      <x:c r="E1258" s="6" t="str"/>
      <x:c r="F1258" s="6" t="str">
        <x:v>X光片紀錄</x:v>
      </x:c>
      <x:c r="G1258" s="19" t="str">
        <x:v>※</x:v>
      </x:c>
      <x:c r="H1258" s="17" t="str">
        <x:v>學習中</x:v>
      </x:c>
      <x:c r="I1258" s="6" t="n">
        <x:v>86</x:v>
      </x:c>
    </x:row>
    <x:row r="1259">
      <x:c r="A1259" s="13" t="str">
        <x:v>1030</x:v>
      </x:c>
      <x:c r="B1259" s="14" t="str"/>
      <x:c r="C1259" s="14" t="str">
        <x:v>Lv.1</x:v>
      </x:c>
      <x:c r="D1259" s="14" t="str">
        <x:v>林晏妤醫師</x:v>
      </x:c>
      <x:c r="E1259" s="6" t="str"/>
      <x:c r="F1259" s="6" t="str">
        <x:v>手持X光機</x:v>
      </x:c>
      <x:c r="G1259" s="19" t="str">
        <x:v>※</x:v>
      </x:c>
      <x:c r="H1259" s="17" t="str">
        <x:v>學習中</x:v>
      </x:c>
      <x:c r="I1259" s="6" t="n">
        <x:v>87</x:v>
      </x:c>
    </x:row>
    <x:row r="1260">
      <x:c r="A1260" s="13" t="str">
        <x:v>1030</x:v>
      </x:c>
      <x:c r="B1260" s="14" t="str"/>
      <x:c r="C1260" s="14" t="str">
        <x:v>Lv.1</x:v>
      </x:c>
      <x:c r="D1260" s="14" t="str">
        <x:v>林晏妤醫師</x:v>
      </x:c>
      <x:c r="E1260" s="6" t="str"/>
      <x:c r="F1260" s="6" t="str">
        <x:v>健保申報</x:v>
      </x:c>
      <x:c r="G1260" s="19" t="str">
        <x:v>※</x:v>
      </x:c>
      <x:c r="H1260" s="17" t="str">
        <x:v>學習中</x:v>
      </x:c>
      <x:c r="I1260" s="6" t="n">
        <x:v>88</x:v>
      </x:c>
    </x:row>
    <x:row r="1261">
      <x:c r="A1261" s="13" t="str">
        <x:v>1030</x:v>
      </x:c>
      <x:c r="B1261" s="14" t="str"/>
      <x:c r="C1261" s="14" t="str">
        <x:v>Lv.1</x:v>
      </x:c>
      <x:c r="D1261" s="14" t="str">
        <x:v>林晏妤醫師</x:v>
      </x:c>
      <x:c r="E1261" s="6" t="str"/>
      <x:c r="F1261" s="6" t="str">
        <x:v>舒眠手術</x:v>
      </x:c>
      <x:c r="G1261" s="19" t="str"/>
      <x:c r="H1261" s="17" t="str">
        <x:v>未評分</x:v>
      </x:c>
      <x:c r="I1261" s="6" t="n">
        <x:v>89</x:v>
      </x:c>
    </x:row>
    <x:row r="1262">
      <x:c r="A1262" s="13" t="str">
        <x:v>1030</x:v>
      </x:c>
      <x:c r="B1262" s="14" t="str"/>
      <x:c r="C1262" s="14" t="str">
        <x:v>Lv.1</x:v>
      </x:c>
      <x:c r="D1262" s="14" t="str">
        <x:v>謝耀慶醫師</x:v>
      </x:c>
      <x:c r="E1262" s="6" t="str">
        <x:v>器械準備</x:v>
      </x:c>
      <x:c r="F1262" s="6" t="str">
        <x:v>洗牙</x:v>
      </x:c>
      <x:c r="G1262" s="19" t="str">
        <x:v>※</x:v>
      </x:c>
      <x:c r="H1262" s="17" t="str">
        <x:v>學習中</x:v>
      </x:c>
      <x:c r="I1262" s="6" t="n">
        <x:v>90</x:v>
      </x:c>
    </x:row>
    <x:row r="1263">
      <x:c r="A1263" s="13" t="str">
        <x:v>1030</x:v>
      </x:c>
      <x:c r="B1263" s="14" t="str"/>
      <x:c r="C1263" s="14" t="str">
        <x:v>Lv.1</x:v>
      </x:c>
      <x:c r="D1263" s="14" t="str">
        <x:v>謝耀慶醫師</x:v>
      </x:c>
      <x:c r="E1263" s="6" t="str">
        <x:v>器械準備</x:v>
      </x:c>
      <x:c r="F1263" s="6" t="str">
        <x:v>補牙</x:v>
      </x:c>
      <x:c r="G1263" s="19" t="str">
        <x:v>※</x:v>
      </x:c>
      <x:c r="H1263" s="17" t="str">
        <x:v>學習中</x:v>
      </x:c>
      <x:c r="I1263" s="6" t="n">
        <x:v>91</x:v>
      </x:c>
    </x:row>
    <x:row r="1264">
      <x:c r="A1264" s="13" t="str">
        <x:v>1030</x:v>
      </x:c>
      <x:c r="B1264" s="14" t="str"/>
      <x:c r="C1264" s="14" t="str">
        <x:v>Lv.1</x:v>
      </x:c>
      <x:c r="D1264" s="14" t="str">
        <x:v>謝耀慶醫師</x:v>
      </x:c>
      <x:c r="E1264" s="6" t="str">
        <x:v>器械準備</x:v>
      </x:c>
      <x:c r="F1264" s="6" t="str">
        <x:v>牙周統合治療</x:v>
      </x:c>
      <x:c r="G1264" s="19" t="str"/>
      <x:c r="H1264" s="17" t="str">
        <x:v>未評分</x:v>
      </x:c>
      <x:c r="I1264" s="6" t="n">
        <x:v>92</x:v>
      </x:c>
    </x:row>
    <x:row r="1265">
      <x:c r="A1265" s="13" t="str">
        <x:v>1030</x:v>
      </x:c>
      <x:c r="B1265" s="14" t="str"/>
      <x:c r="C1265" s="14" t="str">
        <x:v>Lv.1</x:v>
      </x:c>
      <x:c r="D1265" s="14" t="str">
        <x:v>謝耀慶醫師</x:v>
      </x:c>
      <x:c r="E1265" s="6" t="str">
        <x:v>器械準備</x:v>
      </x:c>
      <x:c r="F1265" s="6" t="str">
        <x:v>簡單拔牙</x:v>
      </x:c>
      <x:c r="G1265" s="19" t="str"/>
      <x:c r="H1265" s="17" t="str">
        <x:v>未評分</x:v>
      </x:c>
      <x:c r="I1265" s="6" t="n">
        <x:v>93</x:v>
      </x:c>
    </x:row>
    <x:row r="1266">
      <x:c r="A1266" s="13" t="str">
        <x:v>1030</x:v>
      </x:c>
      <x:c r="B1266" s="14" t="str"/>
      <x:c r="C1266" s="14" t="str">
        <x:v>Lv.1</x:v>
      </x:c>
      <x:c r="D1266" s="14" t="str">
        <x:v>謝耀慶醫師</x:v>
      </x:c>
      <x:c r="E1266" s="6" t="str"/>
      <x:c r="F1266" s="6" t="str">
        <x:v>器械熟悉度</x:v>
      </x:c>
      <x:c r="G1266" s="19" t="str">
        <x:v>※</x:v>
      </x:c>
      <x:c r="H1266" s="17" t="str">
        <x:v>學習中</x:v>
      </x:c>
      <x:c r="I1266" s="6" t="n">
        <x:v>94</x:v>
      </x:c>
    </x:row>
    <x:row r="1267">
      <x:c r="A1267" s="13" t="str">
        <x:v>1030</x:v>
      </x:c>
      <x:c r="B1267" s="14" t="str"/>
      <x:c r="C1267" s="14" t="str">
        <x:v>Lv.1</x:v>
      </x:c>
      <x:c r="D1267" s="14" t="str">
        <x:v>謝耀慶醫師</x:v>
      </x:c>
      <x:c r="E1267" s="6" t="str"/>
      <x:c r="F1267" s="6" t="str">
        <x:v>跟診順暢度</x:v>
      </x:c>
      <x:c r="G1267" s="19" t="str">
        <x:v>※</x:v>
      </x:c>
      <x:c r="H1267" s="17" t="str">
        <x:v>學習中</x:v>
      </x:c>
      <x:c r="I1267" s="6" t="n">
        <x:v>95</x:v>
      </x:c>
    </x:row>
    <x:row r="1268">
      <x:c r="A1268" s="13" t="str">
        <x:v>1030</x:v>
      </x:c>
      <x:c r="B1268" s="14" t="str"/>
      <x:c r="C1268" s="14" t="str">
        <x:v>Lv.1</x:v>
      </x:c>
      <x:c r="D1268" s="14" t="str">
        <x:v>謝耀慶醫師</x:v>
      </x:c>
      <x:c r="E1268" s="6" t="str"/>
      <x:c r="F1268" s="6" t="str">
        <x:v>病歷紀錄</x:v>
      </x:c>
      <x:c r="G1268" s="19" t="str">
        <x:v>※</x:v>
      </x:c>
      <x:c r="H1268" s="17" t="str">
        <x:v>學習中</x:v>
      </x:c>
      <x:c r="I1268" s="6" t="n">
        <x:v>96</x:v>
      </x:c>
    </x:row>
    <x:row r="1269">
      <x:c r="A1269" s="13" t="str">
        <x:v>1030</x:v>
      </x:c>
      <x:c r="B1269" s="14" t="str"/>
      <x:c r="C1269" s="14" t="str">
        <x:v>Lv.1</x:v>
      </x:c>
      <x:c r="D1269" s="14" t="str">
        <x:v>謝耀慶醫師</x:v>
      </x:c>
      <x:c r="E1269" s="6" t="str"/>
      <x:c r="F1269" s="6" t="str">
        <x:v>X光片紀錄</x:v>
      </x:c>
      <x:c r="G1269" s="19" t="str">
        <x:v>※</x:v>
      </x:c>
      <x:c r="H1269" s="17" t="str">
        <x:v>學習中</x:v>
      </x:c>
      <x:c r="I1269" s="6" t="n">
        <x:v>97</x:v>
      </x:c>
    </x:row>
    <x:row r="1270">
      <x:c r="A1270" s="13" t="str">
        <x:v>1030</x:v>
      </x:c>
      <x:c r="B1270" s="14" t="str"/>
      <x:c r="C1270" s="14" t="str">
        <x:v>Lv.1</x:v>
      </x:c>
      <x:c r="D1270" s="14" t="str">
        <x:v>謝耀慶醫師</x:v>
      </x:c>
      <x:c r="E1270" s="6" t="str"/>
      <x:c r="F1270" s="6" t="str">
        <x:v>手持X光機</x:v>
      </x:c>
      <x:c r="G1270" s="19" t="str">
        <x:v>※</x:v>
      </x:c>
      <x:c r="H1270" s="17" t="str">
        <x:v>學習中</x:v>
      </x:c>
      <x:c r="I1270" s="6" t="n">
        <x:v>98</x:v>
      </x:c>
    </x:row>
    <x:row r="1271">
      <x:c r="A1271" s="13" t="str">
        <x:v>1030</x:v>
      </x:c>
      <x:c r="B1271" s="14" t="str"/>
      <x:c r="C1271" s="14" t="str">
        <x:v>Lv.1</x:v>
      </x:c>
      <x:c r="D1271" s="14" t="str">
        <x:v>謝耀慶醫師</x:v>
      </x:c>
      <x:c r="E1271" s="6" t="str"/>
      <x:c r="F1271" s="6" t="str">
        <x:v>健保申報</x:v>
      </x:c>
      <x:c r="G1271" s="19" t="str">
        <x:v>※</x:v>
      </x:c>
      <x:c r="H1271" s="17" t="str">
        <x:v>學習中</x:v>
      </x:c>
      <x:c r="I1271" s="6" t="n">
        <x:v>99</x:v>
      </x:c>
    </x:row>
    <x:row r="1272">
      <x:c r="A1272" s="13" t="str">
        <x:v>1030</x:v>
      </x:c>
      <x:c r="B1272" s="14" t="str"/>
      <x:c r="C1272" s="14" t="str">
        <x:v>Lv.1</x:v>
      </x:c>
      <x:c r="D1272" s="14" t="str">
        <x:v>謝耀慶醫師</x:v>
      </x:c>
      <x:c r="E1272" s="6" t="str"/>
      <x:c r="F1272" s="6" t="str">
        <x:v>舒眠手術</x:v>
      </x:c>
      <x:c r="G1272" s="19" t="str"/>
      <x:c r="H1272" s="17" t="str">
        <x:v>未評分</x:v>
      </x:c>
      <x:c r="I1272" s="6" t="n">
        <x:v>100</x:v>
      </x:c>
    </x:row>
    <x:row r="1273">
      <x:c r="A1273" s="13" t="str">
        <x:v>1030</x:v>
      </x:c>
      <x:c r="B1273" s="14" t="str"/>
      <x:c r="C1273" s="14" t="str">
        <x:v>Lv.1</x:v>
      </x:c>
      <x:c r="D1273" s="14" t="str">
        <x:v>陳醫師</x:v>
      </x:c>
      <x:c r="E1273" s="6" t="str">
        <x:v>器械準備</x:v>
      </x:c>
      <x:c r="F1273" s="6" t="str">
        <x:v>洗牙</x:v>
      </x:c>
      <x:c r="G1273" s="19" t="str"/>
      <x:c r="H1273" s="17" t="str">
        <x:v>未評分</x:v>
      </x:c>
      <x:c r="I1273" s="6" t="n">
        <x:v>101</x:v>
      </x:c>
    </x:row>
    <x:row r="1274">
      <x:c r="A1274" s="13" t="str">
        <x:v>1030</x:v>
      </x:c>
      <x:c r="B1274" s="14" t="str"/>
      <x:c r="C1274" s="14" t="str">
        <x:v>Lv.1</x:v>
      </x:c>
      <x:c r="D1274" s="14" t="str">
        <x:v>陳醫師</x:v>
      </x:c>
      <x:c r="E1274" s="6" t="str">
        <x:v>器械準備</x:v>
      </x:c>
      <x:c r="F1274" s="6" t="str">
        <x:v>補牙</x:v>
      </x:c>
      <x:c r="G1274" s="19" t="str"/>
      <x:c r="H1274" s="17" t="str">
        <x:v>未評分</x:v>
      </x:c>
      <x:c r="I1274" s="6" t="n">
        <x:v>102</x:v>
      </x:c>
    </x:row>
    <x:row r="1275">
      <x:c r="A1275" s="13" t="str">
        <x:v>1030</x:v>
      </x:c>
      <x:c r="B1275" s="14" t="str"/>
      <x:c r="C1275" s="14" t="str">
        <x:v>Lv.1</x:v>
      </x:c>
      <x:c r="D1275" s="14" t="str">
        <x:v>陳醫師</x:v>
      </x:c>
      <x:c r="E1275" s="6" t="str">
        <x:v>器械準備</x:v>
      </x:c>
      <x:c r="F1275" s="6" t="str">
        <x:v>根管治療</x:v>
      </x:c>
      <x:c r="G1275" s="19" t="str"/>
      <x:c r="H1275" s="17" t="str">
        <x:v>未評分</x:v>
      </x:c>
      <x:c r="I1275" s="6" t="n">
        <x:v>103</x:v>
      </x:c>
    </x:row>
    <x:row r="1276">
      <x:c r="A1276" s="13" t="str">
        <x:v>1030</x:v>
      </x:c>
      <x:c r="B1276" s="14" t="str"/>
      <x:c r="C1276" s="14" t="str">
        <x:v>Lv.1</x:v>
      </x:c>
      <x:c r="D1276" s="14" t="str">
        <x:v>陳醫師</x:v>
      </x:c>
      <x:c r="E1276" s="6" t="str"/>
      <x:c r="F1276" s="6" t="str">
        <x:v>跟診順暢度</x:v>
      </x:c>
      <x:c r="G1276" s="19" t="str"/>
      <x:c r="H1276" s="17" t="str">
        <x:v>未評分</x:v>
      </x:c>
      <x:c r="I1276" s="6" t="n">
        <x:v>104</x:v>
      </x:c>
    </x:row>
    <x:row r="1277">
      <x:c r="A1277" s="13" t="str">
        <x:v>1030</x:v>
      </x:c>
      <x:c r="B1277" s="14" t="str"/>
      <x:c r="C1277" s="14" t="str">
        <x:v>Lv.1</x:v>
      </x:c>
      <x:c r="D1277" s="14" t="str">
        <x:v>陳醫師</x:v>
      </x:c>
      <x:c r="E1277" s="6" t="str"/>
      <x:c r="F1277" s="6" t="str">
        <x:v>病歷紀錄</x:v>
      </x:c>
      <x:c r="G1277" s="19" t="str"/>
      <x:c r="H1277" s="17" t="str">
        <x:v>未評分</x:v>
      </x:c>
      <x:c r="I1277" s="6" t="n">
        <x:v>105</x:v>
      </x:c>
    </x:row>
    <x:row r="1278">
      <x:c r="A1278" s="13" t="str">
        <x:v>1030</x:v>
      </x:c>
      <x:c r="B1278" s="14" t="str"/>
      <x:c r="C1278" s="14" t="str">
        <x:v>Lv.1</x:v>
      </x:c>
      <x:c r="D1278" s="14" t="str">
        <x:v>陳醫師</x:v>
      </x:c>
      <x:c r="E1278" s="6" t="str"/>
      <x:c r="F1278" s="6" t="str">
        <x:v>拍PANO、PA</x:v>
      </x:c>
      <x:c r="G1278" s="19" t="str"/>
      <x:c r="H1278" s="17" t="str">
        <x:v>未評分</x:v>
      </x:c>
      <x:c r="I1278" s="6" t="n">
        <x:v>106</x:v>
      </x:c>
    </x:row>
    <x:row r="1279">
      <x:c r="A1279" s="13" t="str">
        <x:v>1030</x:v>
      </x:c>
      <x:c r="B1279" s="14" t="str"/>
      <x:c r="C1279" s="14" t="str">
        <x:v>Lv.1</x:v>
      </x:c>
      <x:c r="D1279" s="14" t="str">
        <x:v>陳醫師</x:v>
      </x:c>
      <x:c r="E1279" s="6" t="str"/>
      <x:c r="F1279" s="6" t="str">
        <x:v>X光片紀錄</x:v>
      </x:c>
      <x:c r="G1279" s="19" t="str"/>
      <x:c r="H1279" s="17" t="str">
        <x:v>未評分</x:v>
      </x:c>
      <x:c r="I1279" s="6" t="n">
        <x:v>107</x:v>
      </x:c>
    </x:row>
    <x:row r="1280">
      <x:c r="A1280" s="13" t="str">
        <x:v>1030</x:v>
      </x:c>
      <x:c r="B1280" s="14" t="str"/>
      <x:c r="C1280" s="14" t="str">
        <x:v>Lv.1</x:v>
      </x:c>
      <x:c r="D1280" s="14" t="str">
        <x:v>陳醫師</x:v>
      </x:c>
      <x:c r="E1280" s="6" t="str"/>
      <x:c r="F1280" s="6" t="str">
        <x:v>健保申報</x:v>
      </x:c>
      <x:c r="G1280" s="19" t="str"/>
      <x:c r="H1280" s="17" t="str">
        <x:v>未評分</x:v>
      </x:c>
      <x:c r="I1280" s="6" t="n">
        <x:v>108</x:v>
      </x:c>
    </x:row>
    <x:row r="1281">
      <x:c r="A1281" s="13" t="str">
        <x:v>1030</x:v>
      </x:c>
      <x:c r="B1281" s="14" t="str"/>
      <x:c r="C1281" s="14" t="str">
        <x:v>Lv.1</x:v>
      </x:c>
      <x:c r="D1281" s="14" t="str">
        <x:v>陳醫師</x:v>
      </x:c>
      <x:c r="E1281" s="6" t="str"/>
      <x:c r="F1281" s="6" t="str">
        <x:v>固定假牙</x:v>
      </x:c>
      <x:c r="G1281" s="19" t="str"/>
      <x:c r="H1281" s="17" t="str">
        <x:v>未評分</x:v>
      </x:c>
      <x:c r="I1281" s="6" t="n">
        <x:v>109</x:v>
      </x:c>
    </x:row>
    <x:row r="1282">
      <x:c r="A1282" s="13" t="str">
        <x:v>1030</x:v>
      </x:c>
      <x:c r="B1282" s="14" t="str"/>
      <x:c r="C1282" s="14" t="str">
        <x:v>Lv.1</x:v>
      </x:c>
      <x:c r="D1282" s="14" t="str">
        <x:v>陳醫師</x:v>
      </x:c>
      <x:c r="E1282" s="6" t="str"/>
      <x:c r="F1282" s="6" t="str">
        <x:v>顯微根管</x:v>
      </x:c>
      <x:c r="G1282" s="19" t="str"/>
      <x:c r="H1282" s="17" t="str">
        <x:v>未評分</x:v>
      </x:c>
      <x:c r="I1282" s="6" t="n">
        <x:v>110</x:v>
      </x:c>
    </x:row>
    <x:row r="1283">
      <x:c r="A1283" s="13" t="str">
        <x:v>1030</x:v>
      </x:c>
      <x:c r="B1283" s="14" t="str"/>
      <x:c r="C1283" s="14" t="str">
        <x:v>Lv.1</x:v>
      </x:c>
      <x:c r="D1283" s="14" t="str">
        <x:v>櫃台</x:v>
      </x:c>
      <x:c r="E1283" s="6" t="str"/>
      <x:c r="F1283" s="6" t="str">
        <x:v>掛號處理(含初診處理)開立一般收據及藥單</x:v>
      </x:c>
      <x:c r="G1283" s="19" t="str">
        <x:v>Ø</x:v>
      </x:c>
      <x:c r="H1283" s="17" t="str">
        <x:v>尚未熟練</x:v>
      </x:c>
      <x:c r="I1283" s="6" t="n">
        <x:v>111</x:v>
      </x:c>
    </x:row>
    <x:row r="1284">
      <x:c r="A1284" s="13" t="str">
        <x:v>1030</x:v>
      </x:c>
      <x:c r="B1284" s="14" t="str"/>
      <x:c r="C1284" s="14" t="str">
        <x:v>Lv.1</x:v>
      </x:c>
      <x:c r="D1284" s="14" t="str">
        <x:v>櫃台</x:v>
      </x:c>
      <x:c r="E1284" s="6" t="str"/>
      <x:c r="F1284" s="6" t="str">
        <x:v>收費紀錄</x:v>
      </x:c>
      <x:c r="G1284" s="19" t="str">
        <x:v>Ø</x:v>
      </x:c>
      <x:c r="H1284" s="17" t="str">
        <x:v>尚未熟練</x:v>
      </x:c>
      <x:c r="I1284" s="6" t="n">
        <x:v>112</x:v>
      </x:c>
    </x:row>
    <x:row r="1285">
      <x:c r="A1285" s="13" t="str">
        <x:v>1030</x:v>
      </x:c>
      <x:c r="B1285" s="14" t="str"/>
      <x:c r="C1285" s="14" t="str">
        <x:v>Lv.1</x:v>
      </x:c>
      <x:c r="D1285" s="14" t="str">
        <x:v>櫃台</x:v>
      </x:c>
      <x:c r="E1285" s="6" t="str"/>
      <x:c r="F1285" s="6" t="str">
        <x:v>病歷整理</x:v>
      </x:c>
      <x:c r="G1285" s="19" t="str">
        <x:v>△</x:v>
      </x:c>
      <x:c r="H1285" s="17" t="str">
        <x:v>需加強</x:v>
      </x:c>
      <x:c r="I1285" s="6" t="n">
        <x:v>113</x:v>
      </x:c>
    </x:row>
    <x:row r="1286">
      <x:c r="A1286" s="13" t="str">
        <x:v>1030</x:v>
      </x:c>
      <x:c r="B1286" s="14" t="str"/>
      <x:c r="C1286" s="14" t="str">
        <x:v>Lv.1</x:v>
      </x:c>
      <x:c r="D1286" s="14" t="str">
        <x:v>櫃台</x:v>
      </x:c>
      <x:c r="E1286" s="6" t="str"/>
      <x:c r="F1286" s="6" t="str">
        <x:v>治療同意書填寫</x:v>
      </x:c>
      <x:c r="G1286" s="19" t="str">
        <x:v>Ø</x:v>
      </x:c>
      <x:c r="H1286" s="17" t="str">
        <x:v>尚未熟練</x:v>
      </x:c>
      <x:c r="I1286" s="6" t="n">
        <x:v>114</x:v>
      </x:c>
    </x:row>
    <x:row r="1287">
      <x:c r="A1287" s="13" t="str">
        <x:v>1030</x:v>
      </x:c>
      <x:c r="B1287" s="14" t="str"/>
      <x:c r="C1287" s="14" t="str">
        <x:v>Lv.1</x:v>
      </x:c>
      <x:c r="D1287" s="14" t="str">
        <x:v>櫃台</x:v>
      </x:c>
      <x:c r="E1287" s="6" t="str"/>
      <x:c r="F1287" s="6" t="str">
        <x:v>與患者應對</x:v>
      </x:c>
      <x:c r="G1287" s="19" t="str">
        <x:v>△</x:v>
      </x:c>
      <x:c r="H1287" s="17" t="str">
        <x:v>需加強</x:v>
      </x:c>
      <x:c r="I1287" s="6" t="n">
        <x:v>115</x:v>
      </x:c>
    </x:row>
    <x:row r="1288">
      <x:c r="A1288" s="13" t="str">
        <x:v>1030</x:v>
      </x:c>
      <x:c r="B1288" s="14" t="str"/>
      <x:c r="C1288" s="14" t="str">
        <x:v>Lv.1</x:v>
      </x:c>
      <x:c r="D1288" s="14" t="str">
        <x:v>櫃台</x:v>
      </x:c>
      <x:c r="E1288" s="6" t="str"/>
      <x:c r="F1288" s="6" t="str">
        <x:v>約診</x:v>
      </x:c>
      <x:c r="G1288" s="19" t="str">
        <x:v>Ø</x:v>
      </x:c>
      <x:c r="H1288" s="17" t="str">
        <x:v>尚未熟練</x:v>
      </x:c>
      <x:c r="I1288" s="6" t="n">
        <x:v>116</x:v>
      </x:c>
    </x:row>
    <x:row r="1289">
      <x:c r="A1289" s="13" t="str">
        <x:v>1030</x:v>
      </x:c>
      <x:c r="B1289" s="14" t="str"/>
      <x:c r="C1289" s="14" t="str">
        <x:v>Lv.1</x:v>
      </x:c>
      <x:c r="D1289" s="14" t="str">
        <x:v>櫃台</x:v>
      </x:c>
      <x:c r="E1289" s="6" t="str"/>
      <x:c r="F1289" s="6" t="str">
        <x:v>報表製作</x:v>
      </x:c>
      <x:c r="G1289" s="19" t="str">
        <x:v>△</x:v>
      </x:c>
      <x:c r="H1289" s="17" t="str">
        <x:v>需加強</x:v>
      </x:c>
      <x:c r="I1289" s="6" t="n">
        <x:v>117</x:v>
      </x:c>
    </x:row>
    <x:row r="1290">
      <x:c r="A1290" s="13" t="str">
        <x:v>1030</x:v>
      </x:c>
      <x:c r="B1290" s="14" t="str"/>
      <x:c r="C1290" s="14" t="str">
        <x:v>Lv.1</x:v>
      </x:c>
      <x:c r="D1290" s="14" t="str">
        <x:v>櫃台</x:v>
      </x:c>
      <x:c r="E1290" s="6" t="str"/>
      <x:c r="F1290" s="6" t="str">
        <x:v>診斷證明書</x:v>
      </x:c>
      <x:c r="G1290" s="19" t="str"/>
      <x:c r="H1290" s="17" t="str">
        <x:v>未評分</x:v>
      </x:c>
      <x:c r="I1290" s="6" t="n">
        <x:v>118</x:v>
      </x:c>
    </x:row>
    <x:row r="1291">
      <x:c r="A1291" s="13" t="str">
        <x:v>1030</x:v>
      </x:c>
      <x:c r="B1291" s="14" t="str"/>
      <x:c r="C1291" s="14" t="str">
        <x:v>Lv.1</x:v>
      </x:c>
      <x:c r="D1291" s="14" t="str">
        <x:v>櫃台</x:v>
      </x:c>
      <x:c r="E1291" s="6" t="str"/>
      <x:c r="F1291" s="6" t="str">
        <x:v>牙統VPN</x:v>
      </x:c>
      <x:c r="G1291" s="19" t="str">
        <x:v>※</x:v>
      </x:c>
      <x:c r="H1291" s="17" t="str">
        <x:v>學習中</x:v>
      </x:c>
      <x:c r="I1291" s="6" t="n">
        <x:v>119</x:v>
      </x:c>
    </x:row>
    <x:row r="1292">
      <x:c r="A1292" s="13" t="str">
        <x:v>1030</x:v>
      </x:c>
      <x:c r="B1292" s="14" t="str"/>
      <x:c r="C1292" s="14" t="str">
        <x:v>Lv.1</x:v>
      </x:c>
      <x:c r="D1292" s="14" t="str">
        <x:v>櫃台</x:v>
      </x:c>
      <x:c r="E1292" s="6" t="str"/>
      <x:c r="F1292" s="6" t="str">
        <x:v>病歷檢查核對</x:v>
      </x:c>
      <x:c r="G1292" s="19" t="str"/>
      <x:c r="H1292" s="17" t="str">
        <x:v>未評分</x:v>
      </x:c>
      <x:c r="I1292" s="6" t="n">
        <x:v>120</x:v>
      </x:c>
    </x:row>
    <x:row r="1293">
      <x:c r="A1293" s="13" t="str">
        <x:v>1030</x:v>
      </x:c>
      <x:c r="B1293" s="14" t="str"/>
      <x:c r="C1293" s="14" t="str">
        <x:v>Lv.1</x:v>
      </x:c>
      <x:c r="D1293" s="14" t="str">
        <x:v>櫃台</x:v>
      </x:c>
      <x:c r="E1293" s="6" t="str"/>
      <x:c r="F1293" s="6" t="str">
        <x:v>抽審資料處理</x:v>
      </x:c>
      <x:c r="G1293" s="19" t="str"/>
      <x:c r="H1293" s="17" t="str">
        <x:v>未評分</x:v>
      </x:c>
      <x:c r="I1293" s="6" t="n">
        <x:v>121</x:v>
      </x:c>
    </x:row>
    <x:row r="1294">
      <x:c r="A1294" s="13" t="str">
        <x:v>1031</x:v>
      </x:c>
      <x:c r="B1294" s="14" t="str"/>
      <x:c r="C1294" s="14" t="str">
        <x:v>未評分</x:v>
      </x:c>
      <x:c r="D1294" s="14" t="str">
        <x:v>流動工作</x:v>
      </x:c>
      <x:c r="E1294" s="6" t="str"/>
      <x:c r="F1294" s="6" t="str">
        <x:v>撤備台</x:v>
      </x:c>
      <x:c r="G1294" s="19" t="str"/>
      <x:c r="H1294" s="17" t="str">
        <x:v>未評分</x:v>
      </x:c>
      <x:c r="I1294" s="6" t="n">
        <x:v>5</x:v>
      </x:c>
    </x:row>
    <x:row r="1295">
      <x:c r="A1295" s="13" t="str">
        <x:v>1031</x:v>
      </x:c>
      <x:c r="B1295" s="14" t="str"/>
      <x:c r="C1295" s="14" t="str">
        <x:v>未評分</x:v>
      </x:c>
      <x:c r="D1295" s="14" t="str">
        <x:v>流動工作</x:v>
      </x:c>
      <x:c r="E1295" s="6" t="str"/>
      <x:c r="F1295" s="6" t="str">
        <x:v>器械清消流程</x:v>
      </x:c>
      <x:c r="G1295" s="19" t="str"/>
      <x:c r="H1295" s="17" t="str">
        <x:v>未評分</x:v>
      </x:c>
      <x:c r="I1295" s="6" t="n">
        <x:v>6</x:v>
      </x:c>
    </x:row>
    <x:row r="1296">
      <x:c r="A1296" s="13" t="str">
        <x:v>1031</x:v>
      </x:c>
      <x:c r="B1296" s="14" t="str"/>
      <x:c r="C1296" s="14" t="str">
        <x:v>未評分</x:v>
      </x:c>
      <x:c r="D1296" s="14" t="str">
        <x:v>流動工作</x:v>
      </x:c>
      <x:c r="E1296" s="6" t="str"/>
      <x:c r="F1296" s="6" t="str">
        <x:v>認識治療項目</x:v>
      </x:c>
      <x:c r="G1296" s="19" t="str"/>
      <x:c r="H1296" s="17" t="str">
        <x:v>未評分</x:v>
      </x:c>
      <x:c r="I1296" s="6" t="n">
        <x:v>7</x:v>
      </x:c>
    </x:row>
    <x:row r="1297">
      <x:c r="A1297" s="13" t="str">
        <x:v>1031</x:v>
      </x:c>
      <x:c r="B1297" s="14" t="str"/>
      <x:c r="C1297" s="14" t="str">
        <x:v>未評分</x:v>
      </x:c>
      <x:c r="D1297" s="14" t="str">
        <x:v>流動工作</x:v>
      </x:c>
      <x:c r="E1297" s="6" t="str"/>
      <x:c r="F1297" s="6" t="str">
        <x:v>替代跟診人員灌模</x:v>
      </x:c>
      <x:c r="G1297" s="19" t="str"/>
      <x:c r="H1297" s="17" t="str">
        <x:v>未評分</x:v>
      </x:c>
      <x:c r="I1297" s="6" t="n">
        <x:v>8</x:v>
      </x:c>
    </x:row>
    <x:row r="1298">
      <x:c r="A1298" s="13" t="str">
        <x:v>1031</x:v>
      </x:c>
      <x:c r="B1298" s="14" t="str"/>
      <x:c r="C1298" s="14" t="str">
        <x:v>未評分</x:v>
      </x:c>
      <x:c r="D1298" s="14" t="str">
        <x:v>流動工作</x:v>
      </x:c>
      <x:c r="E1298" s="6" t="str"/>
      <x:c r="F1298" s="6" t="str">
        <x:v>拍攝X光片(PANO)</x:v>
      </x:c>
      <x:c r="G1298" s="19" t="str"/>
      <x:c r="H1298" s="17" t="str">
        <x:v>未評分</x:v>
      </x:c>
      <x:c r="I1298" s="6" t="n">
        <x:v>9</x:v>
      </x:c>
    </x:row>
    <x:row r="1299">
      <x:c r="A1299" s="13" t="str">
        <x:v>1031</x:v>
      </x:c>
      <x:c r="B1299" s="14" t="str"/>
      <x:c r="C1299" s="14" t="str">
        <x:v>未評分</x:v>
      </x:c>
      <x:c r="D1299" s="14" t="str">
        <x:v>流動工作</x:v>
      </x:c>
      <x:c r="E1299" s="6" t="str"/>
      <x:c r="F1299" s="6" t="str">
        <x:v>拍攝根尖片(用鱷魚夾)</x:v>
      </x:c>
      <x:c r="G1299" s="19" t="str"/>
      <x:c r="H1299" s="17" t="str">
        <x:v>未評分</x:v>
      </x:c>
      <x:c r="I1299" s="6" t="n">
        <x:v>10</x:v>
      </x:c>
    </x:row>
    <x:row r="1300">
      <x:c r="A1300" s="13" t="str">
        <x:v>1031</x:v>
      </x:c>
      <x:c r="B1300" s="14" t="str"/>
      <x:c r="C1300" s="14" t="str">
        <x:v>未評分</x:v>
      </x:c>
      <x:c r="D1300" s="14" t="str">
        <x:v>流動工作</x:v>
      </x:c>
      <x:c r="E1300" s="6" t="str"/>
      <x:c r="F1300" s="6" t="str">
        <x:v>拍攝根尖片(手壓片)</x:v>
      </x:c>
      <x:c r="G1300" s="19" t="str"/>
      <x:c r="H1300" s="17" t="str">
        <x:v>未評分</x:v>
      </x:c>
      <x:c r="I1300" s="6" t="n">
        <x:v>11</x:v>
      </x:c>
    </x:row>
    <x:row r="1301">
      <x:c r="A1301" s="13" t="str">
        <x:v>1031</x:v>
      </x:c>
      <x:c r="B1301" s="14" t="str"/>
      <x:c r="C1301" s="14" t="str">
        <x:v>未評分</x:v>
      </x:c>
      <x:c r="D1301" s="14" t="str">
        <x:v>流動工作</x:v>
      </x:c>
      <x:c r="E1301" s="6" t="str"/>
      <x:c r="F1301" s="6" t="str">
        <x:v>開、關診工作</x:v>
      </x:c>
      <x:c r="G1301" s="19" t="str"/>
      <x:c r="H1301" s="17" t="str">
        <x:v>未評分</x:v>
      </x:c>
      <x:c r="I1301" s="6" t="n">
        <x:v>12</x:v>
      </x:c>
    </x:row>
    <x:row r="1302">
      <x:c r="A1302" s="13" t="str">
        <x:v>1031</x:v>
      </x:c>
      <x:c r="B1302" s="14" t="str"/>
      <x:c r="C1302" s="14" t="str">
        <x:v>未評分</x:v>
      </x:c>
      <x:c r="D1302" s="14" t="str">
        <x:v>流動工作</x:v>
      </x:c>
      <x:c r="E1302" s="6" t="str"/>
      <x:c r="F1302" s="6" t="str">
        <x:v>備品補充+器械安全庫存</x:v>
      </x:c>
      <x:c r="G1302" s="19" t="str"/>
      <x:c r="H1302" s="17" t="str">
        <x:v>未評分</x:v>
      </x:c>
      <x:c r="I1302" s="6" t="n">
        <x:v>13</x:v>
      </x:c>
    </x:row>
    <x:row r="1303">
      <x:c r="A1303" s="13" t="str">
        <x:v>1031</x:v>
      </x:c>
      <x:c r="B1303" s="14" t="str"/>
      <x:c r="C1303" s="14" t="str">
        <x:v>未評分</x:v>
      </x:c>
      <x:c r="D1303" s="14" t="str">
        <x:v>衛教</x:v>
      </x:c>
      <x:c r="E1303" s="6" t="str"/>
      <x:c r="F1303" s="6" t="str">
        <x:v>基礎衛教</x:v>
      </x:c>
      <x:c r="G1303" s="19" t="str"/>
      <x:c r="H1303" s="17" t="str">
        <x:v>未評分</x:v>
      </x:c>
      <x:c r="I1303" s="6" t="n">
        <x:v>14</x:v>
      </x:c>
    </x:row>
    <x:row r="1304">
      <x:c r="A1304" s="13" t="str">
        <x:v>1031</x:v>
      </x:c>
      <x:c r="B1304" s="14" t="str"/>
      <x:c r="C1304" s="14" t="str">
        <x:v>未評分</x:v>
      </x:c>
      <x:c r="D1304" s="14" t="str">
        <x:v>衛教</x:v>
      </x:c>
      <x:c r="E1304" s="6" t="str"/>
      <x:c r="F1304" s="6" t="str">
        <x:v>進階衛教</x:v>
      </x:c>
      <x:c r="G1304" s="19" t="str"/>
      <x:c r="H1304" s="17" t="str">
        <x:v>未評分</x:v>
      </x:c>
      <x:c r="I1304" s="6" t="n">
        <x:v>15</x:v>
      </x:c>
    </x:row>
    <x:row r="1305">
      <x:c r="A1305" s="13" t="str">
        <x:v>1031</x:v>
      </x:c>
      <x:c r="B1305" s="14" t="str"/>
      <x:c r="C1305" s="14" t="str">
        <x:v>未評分</x:v>
      </x:c>
      <x:c r="D1305" s="14" t="str">
        <x:v>李柄輝醫師</x:v>
      </x:c>
      <x:c r="E1305" s="6" t="str">
        <x:v>器械準備</x:v>
      </x:c>
      <x:c r="F1305" s="6" t="str">
        <x:v>洗牙</x:v>
      </x:c>
      <x:c r="G1305" s="19" t="str"/>
      <x:c r="H1305" s="17" t="str">
        <x:v>未評分</x:v>
      </x:c>
      <x:c r="I1305" s="6" t="n">
        <x:v>16</x:v>
      </x:c>
    </x:row>
    <x:row r="1306">
      <x:c r="A1306" s="13" t="str">
        <x:v>1031</x:v>
      </x:c>
      <x:c r="B1306" s="14" t="str"/>
      <x:c r="C1306" s="14" t="str">
        <x:v>未評分</x:v>
      </x:c>
      <x:c r="D1306" s="14" t="str">
        <x:v>李柄輝醫師</x:v>
      </x:c>
      <x:c r="E1306" s="6" t="str">
        <x:v>器械準備</x:v>
      </x:c>
      <x:c r="F1306" s="6" t="str">
        <x:v>補牙</x:v>
      </x:c>
      <x:c r="G1306" s="19" t="str"/>
      <x:c r="H1306" s="17" t="str">
        <x:v>未評分</x:v>
      </x:c>
      <x:c r="I1306" s="6" t="n">
        <x:v>17</x:v>
      </x:c>
    </x:row>
    <x:row r="1307">
      <x:c r="A1307" s="13" t="str">
        <x:v>1031</x:v>
      </x:c>
      <x:c r="B1307" s="14" t="str"/>
      <x:c r="C1307" s="14" t="str">
        <x:v>未評分</x:v>
      </x:c>
      <x:c r="D1307" s="14" t="str">
        <x:v>李柄輝醫師</x:v>
      </x:c>
      <x:c r="E1307" s="6" t="str">
        <x:v>器械準備</x:v>
      </x:c>
      <x:c r="F1307" s="6" t="str">
        <x:v>牙周統合</x:v>
      </x:c>
      <x:c r="G1307" s="19" t="str"/>
      <x:c r="H1307" s="17" t="str">
        <x:v>未評分</x:v>
      </x:c>
      <x:c r="I1307" s="6" t="n">
        <x:v>18</x:v>
      </x:c>
    </x:row>
    <x:row r="1308">
      <x:c r="A1308" s="13" t="str">
        <x:v>1031</x:v>
      </x:c>
      <x:c r="B1308" s="14" t="str"/>
      <x:c r="C1308" s="14" t="str">
        <x:v>未評分</x:v>
      </x:c>
      <x:c r="D1308" s="14" t="str">
        <x:v>李柄輝醫師</x:v>
      </x:c>
      <x:c r="E1308" s="6" t="str">
        <x:v>器械準備</x:v>
      </x:c>
      <x:c r="F1308" s="6" t="str">
        <x:v>根管治療(插針照)</x:v>
      </x:c>
      <x:c r="G1308" s="19" t="str"/>
      <x:c r="H1308" s="17" t="str">
        <x:v>未評分</x:v>
      </x:c>
      <x:c r="I1308" s="6" t="n">
        <x:v>19</x:v>
      </x:c>
    </x:row>
    <x:row r="1309">
      <x:c r="A1309" s="13" t="str">
        <x:v>1031</x:v>
      </x:c>
      <x:c r="B1309" s="14" t="str"/>
      <x:c r="C1309" s="14" t="str">
        <x:v>未評分</x:v>
      </x:c>
      <x:c r="D1309" s="14" t="str">
        <x:v>李柄輝醫師</x:v>
      </x:c>
      <x:c r="E1309" s="6" t="str">
        <x:v>器械準備</x:v>
      </x:c>
      <x:c r="F1309" s="6" t="str">
        <x:v>拆crown/post</x:v>
      </x:c>
      <x:c r="G1309" s="19" t="str"/>
      <x:c r="H1309" s="17" t="str">
        <x:v>未評分</x:v>
      </x:c>
      <x:c r="I1309" s="6" t="n">
        <x:v>20</x:v>
      </x:c>
    </x:row>
    <x:row r="1310">
      <x:c r="A1310" s="13" t="str">
        <x:v>1031</x:v>
      </x:c>
      <x:c r="B1310" s="14" t="str"/>
      <x:c r="C1310" s="14" t="str">
        <x:v>未評分</x:v>
      </x:c>
      <x:c r="D1310" s="14" t="str">
        <x:v>李柄輝醫師</x:v>
      </x:c>
      <x:c r="E1310" s="6" t="str">
        <x:v>器械準備</x:v>
      </x:c>
      <x:c r="F1310" s="6" t="str">
        <x:v>拔牙</x:v>
      </x:c>
      <x:c r="G1310" s="19" t="str"/>
      <x:c r="H1310" s="17" t="str">
        <x:v>未評分</x:v>
      </x:c>
      <x:c r="I1310" s="6" t="n">
        <x:v>21</x:v>
      </x:c>
    </x:row>
    <x:row r="1311">
      <x:c r="A1311" s="13" t="str">
        <x:v>1031</x:v>
      </x:c>
      <x:c r="B1311" s="14" t="str"/>
      <x:c r="C1311" s="14" t="str">
        <x:v>未評分</x:v>
      </x:c>
      <x:c r="D1311" s="14" t="str">
        <x:v>李柄輝醫師</x:v>
      </x:c>
      <x:c r="E1311" s="6" t="str">
        <x:v>自費</x:v>
      </x:c>
      <x:c r="F1311" s="6" t="str">
        <x:v>固定假牙(黏著劑)</x:v>
      </x:c>
      <x:c r="G1311" s="19" t="str"/>
      <x:c r="H1311" s="17" t="str">
        <x:v>未評分</x:v>
      </x:c>
      <x:c r="I1311" s="6" t="n">
        <x:v>22</x:v>
      </x:c>
    </x:row>
    <x:row r="1312">
      <x:c r="A1312" s="13" t="str">
        <x:v>1031</x:v>
      </x:c>
      <x:c r="B1312" s="14" t="str"/>
      <x:c r="C1312" s="14" t="str">
        <x:v>未評分</x:v>
      </x:c>
      <x:c r="D1312" s="14" t="str">
        <x:v>李柄輝醫師</x:v>
      </x:c>
      <x:c r="E1312" s="6" t="str"/>
      <x:c r="F1312" s="6" t="str">
        <x:v>跟診順暢度</x:v>
      </x:c>
      <x:c r="G1312" s="19" t="str"/>
      <x:c r="H1312" s="17" t="str">
        <x:v>未評分</x:v>
      </x:c>
      <x:c r="I1312" s="6" t="n">
        <x:v>23</x:v>
      </x:c>
    </x:row>
    <x:row r="1313">
      <x:c r="A1313" s="13" t="str">
        <x:v>1031</x:v>
      </x:c>
      <x:c r="B1313" s="14" t="str"/>
      <x:c r="C1313" s="14" t="str">
        <x:v>未評分</x:v>
      </x:c>
      <x:c r="D1313" s="14" t="str">
        <x:v>李柄輝醫師</x:v>
      </x:c>
      <x:c r="E1313" s="6" t="str"/>
      <x:c r="F1313" s="6" t="str">
        <x:v>病歷紀錄</x:v>
      </x:c>
      <x:c r="G1313" s="19" t="str"/>
      <x:c r="H1313" s="17" t="str">
        <x:v>未評分</x:v>
      </x:c>
      <x:c r="I1313" s="6" t="n">
        <x:v>24</x:v>
      </x:c>
    </x:row>
    <x:row r="1314">
      <x:c r="A1314" s="13" t="str">
        <x:v>1031</x:v>
      </x:c>
      <x:c r="B1314" s="14" t="str"/>
      <x:c r="C1314" s="14" t="str">
        <x:v>未評分</x:v>
      </x:c>
      <x:c r="D1314" s="14" t="str">
        <x:v>李柄輝醫師</x:v>
      </x:c>
      <x:c r="E1314" s="6" t="str"/>
      <x:c r="F1314" s="6" t="str">
        <x:v>健保申報</x:v>
      </x:c>
      <x:c r="G1314" s="19" t="str"/>
      <x:c r="H1314" s="17" t="str">
        <x:v>未評分</x:v>
      </x:c>
      <x:c r="I1314" s="6" t="n">
        <x:v>25</x:v>
      </x:c>
    </x:row>
    <x:row r="1315">
      <x:c r="A1315" s="13" t="str">
        <x:v>1031</x:v>
      </x:c>
      <x:c r="B1315" s="14" t="str"/>
      <x:c r="C1315" s="14" t="str">
        <x:v>未評分</x:v>
      </x:c>
      <x:c r="D1315" s="14" t="str">
        <x:v>李柄輝醫師</x:v>
      </x:c>
      <x:c r="E1315" s="6" t="str"/>
      <x:c r="F1315" s="6" t="str">
        <x:v>X光片紀錄</x:v>
      </x:c>
      <x:c r="G1315" s="19" t="str"/>
      <x:c r="H1315" s="17" t="str">
        <x:v>未評分</x:v>
      </x:c>
      <x:c r="I1315" s="6" t="n">
        <x:v>26</x:v>
      </x:c>
    </x:row>
    <x:row r="1316">
      <x:c r="A1316" s="13" t="str">
        <x:v>1031</x:v>
      </x:c>
      <x:c r="B1316" s="14" t="str"/>
      <x:c r="C1316" s="14" t="str">
        <x:v>未評分</x:v>
      </x:c>
      <x:c r="D1316" s="14" t="str">
        <x:v>李柄輝醫師</x:v>
      </x:c>
      <x:c r="E1316" s="6" t="str"/>
      <x:c r="F1316" s="6" t="str">
        <x:v>拍PA</x:v>
      </x:c>
      <x:c r="G1316" s="19" t="str"/>
      <x:c r="H1316" s="17" t="str">
        <x:v>未評分</x:v>
      </x:c>
      <x:c r="I1316" s="6" t="n">
        <x:v>27</x:v>
      </x:c>
    </x:row>
    <x:row r="1317">
      <x:c r="A1317" s="13" t="str">
        <x:v>1031</x:v>
      </x:c>
      <x:c r="B1317" s="14" t="str"/>
      <x:c r="C1317" s="14" t="str">
        <x:v>未評分</x:v>
      </x:c>
      <x:c r="D1317" s="14" t="str">
        <x:v>李侑津醫師</x:v>
      </x:c>
      <x:c r="E1317" s="6" t="str">
        <x:v>器械準備</x:v>
      </x:c>
      <x:c r="F1317" s="6" t="str">
        <x:v>洗牙</x:v>
      </x:c>
      <x:c r="G1317" s="19" t="str"/>
      <x:c r="H1317" s="17" t="str">
        <x:v>未評分</x:v>
      </x:c>
      <x:c r="I1317" s="6" t="n">
        <x:v>28</x:v>
      </x:c>
    </x:row>
    <x:row r="1318">
      <x:c r="A1318" s="13" t="str">
        <x:v>1031</x:v>
      </x:c>
      <x:c r="B1318" s="14" t="str"/>
      <x:c r="C1318" s="14" t="str">
        <x:v>未評分</x:v>
      </x:c>
      <x:c r="D1318" s="14" t="str">
        <x:v>李侑津醫師</x:v>
      </x:c>
      <x:c r="E1318" s="6" t="str">
        <x:v>器械準備</x:v>
      </x:c>
      <x:c r="F1318" s="6" t="str">
        <x:v>補牙</x:v>
      </x:c>
      <x:c r="G1318" s="19" t="str"/>
      <x:c r="H1318" s="17" t="str">
        <x:v>未評分</x:v>
      </x:c>
      <x:c r="I1318" s="6" t="n">
        <x:v>29</x:v>
      </x:c>
    </x:row>
    <x:row r="1319">
      <x:c r="A1319" s="13" t="str">
        <x:v>1031</x:v>
      </x:c>
      <x:c r="B1319" s="14" t="str"/>
      <x:c r="C1319" s="14" t="str">
        <x:v>未評分</x:v>
      </x:c>
      <x:c r="D1319" s="14" t="str">
        <x:v>李侑津醫師</x:v>
      </x:c>
      <x:c r="E1319" s="6" t="str">
        <x:v>器械準備</x:v>
      </x:c>
      <x:c r="F1319" s="6" t="str">
        <x:v>牙周統合</x:v>
      </x:c>
      <x:c r="G1319" s="19" t="str"/>
      <x:c r="H1319" s="17" t="str">
        <x:v>未評分</x:v>
      </x:c>
      <x:c r="I1319" s="6" t="n">
        <x:v>30</x:v>
      </x:c>
    </x:row>
    <x:row r="1320">
      <x:c r="A1320" s="13" t="str">
        <x:v>1031</x:v>
      </x:c>
      <x:c r="B1320" s="14" t="str"/>
      <x:c r="C1320" s="14" t="str">
        <x:v>未評分</x:v>
      </x:c>
      <x:c r="D1320" s="14" t="str">
        <x:v>李侑津醫師</x:v>
      </x:c>
      <x:c r="E1320" s="6" t="str">
        <x:v>器械準備</x:v>
      </x:c>
      <x:c r="F1320" s="6" t="str">
        <x:v>根管治療</x:v>
      </x:c>
      <x:c r="G1320" s="19" t="str"/>
      <x:c r="H1320" s="17" t="str">
        <x:v>未評分</x:v>
      </x:c>
      <x:c r="I1320" s="6" t="n">
        <x:v>31</x:v>
      </x:c>
    </x:row>
    <x:row r="1321">
      <x:c r="A1321" s="13" t="str">
        <x:v>1031</x:v>
      </x:c>
      <x:c r="B1321" s="14" t="str"/>
      <x:c r="C1321" s="14" t="str">
        <x:v>未評分</x:v>
      </x:c>
      <x:c r="D1321" s="14" t="str">
        <x:v>李侑津醫師</x:v>
      </x:c>
      <x:c r="E1321" s="6" t="str">
        <x:v>器械準備</x:v>
      </x:c>
      <x:c r="F1321" s="6" t="str">
        <x:v>拔牙</x:v>
      </x:c>
      <x:c r="G1321" s="19" t="str"/>
      <x:c r="H1321" s="17" t="str">
        <x:v>未評分</x:v>
      </x:c>
      <x:c r="I1321" s="6" t="n">
        <x:v>32</x:v>
      </x:c>
    </x:row>
    <x:row r="1322">
      <x:c r="A1322" s="13" t="str">
        <x:v>1031</x:v>
      </x:c>
      <x:c r="B1322" s="14" t="str"/>
      <x:c r="C1322" s="14" t="str">
        <x:v>未評分</x:v>
      </x:c>
      <x:c r="D1322" s="14" t="str">
        <x:v>李侑津醫師</x:v>
      </x:c>
      <x:c r="E1322" s="6" t="str">
        <x:v>器械準備</x:v>
      </x:c>
      <x:c r="F1322" s="6" t="str">
        <x:v>拆 crown/post</x:v>
      </x:c>
      <x:c r="G1322" s="19" t="str"/>
      <x:c r="H1322" s="17" t="str">
        <x:v>未評分</x:v>
      </x:c>
      <x:c r="I1322" s="6" t="n">
        <x:v>33</x:v>
      </x:c>
    </x:row>
    <x:row r="1323">
      <x:c r="A1323" s="13" t="str">
        <x:v>1031</x:v>
      </x:c>
      <x:c r="B1323" s="14" t="str"/>
      <x:c r="C1323" s="14" t="str">
        <x:v>未評分</x:v>
      </x:c>
      <x:c r="D1323" s="14" t="str">
        <x:v>李侑津醫師</x:v>
      </x:c>
      <x:c r="E1323" s="6" t="str">
        <x:v>自費</x:v>
      </x:c>
      <x:c r="F1323" s="6" t="str">
        <x:v>固定假牙</x:v>
      </x:c>
      <x:c r="G1323" s="19" t="str"/>
      <x:c r="H1323" s="17" t="str">
        <x:v>未評分</x:v>
      </x:c>
      <x:c r="I1323" s="6" t="n">
        <x:v>34</x:v>
      </x:c>
    </x:row>
    <x:row r="1324">
      <x:c r="A1324" s="13" t="str">
        <x:v>1031</x:v>
      </x:c>
      <x:c r="B1324" s="14" t="str"/>
      <x:c r="C1324" s="14" t="str">
        <x:v>未評分</x:v>
      </x:c>
      <x:c r="D1324" s="14" t="str">
        <x:v>李侑津醫師</x:v>
      </x:c>
      <x:c r="E1324" s="6" t="str">
        <x:v>自費</x:v>
      </x:c>
      <x:c r="F1324" s="6" t="str">
        <x:v>RPD</x:v>
      </x:c>
      <x:c r="G1324" s="19" t="str"/>
      <x:c r="H1324" s="17" t="str">
        <x:v>未評分</x:v>
      </x:c>
      <x:c r="I1324" s="6" t="n">
        <x:v>35</x:v>
      </x:c>
    </x:row>
    <x:row r="1325">
      <x:c r="A1325" s="13" t="str">
        <x:v>1031</x:v>
      </x:c>
      <x:c r="B1325" s="14" t="str"/>
      <x:c r="C1325" s="14" t="str">
        <x:v>未評分</x:v>
      </x:c>
      <x:c r="D1325" s="14" t="str">
        <x:v>李侑津醫師</x:v>
      </x:c>
      <x:c r="E1325" s="6" t="str">
        <x:v>自費</x:v>
      </x:c>
      <x:c r="F1325" s="6" t="str">
        <x:v>噴砂美白</x:v>
      </x:c>
      <x:c r="G1325" s="19" t="str"/>
      <x:c r="H1325" s="17" t="str">
        <x:v>未評分</x:v>
      </x:c>
      <x:c r="I1325" s="6" t="n">
        <x:v>36</x:v>
      </x:c>
    </x:row>
    <x:row r="1326">
      <x:c r="A1326" s="13" t="str">
        <x:v>1031</x:v>
      </x:c>
      <x:c r="B1326" s="14" t="str"/>
      <x:c r="C1326" s="14" t="str">
        <x:v>未評分</x:v>
      </x:c>
      <x:c r="D1326" s="14" t="str">
        <x:v>李侑津醫師</x:v>
      </x:c>
      <x:c r="E1326" s="6" t="str">
        <x:v>手術</x:v>
      </x:c>
      <x:c r="F1326" s="6" t="str">
        <x:v>牙周手術</x:v>
      </x:c>
      <x:c r="G1326" s="19" t="str"/>
      <x:c r="H1326" s="17" t="str">
        <x:v>未評分</x:v>
      </x:c>
      <x:c r="I1326" s="6" t="n">
        <x:v>37</x:v>
      </x:c>
    </x:row>
    <x:row r="1327">
      <x:c r="A1327" s="13" t="str">
        <x:v>1031</x:v>
      </x:c>
      <x:c r="B1327" s="14" t="str"/>
      <x:c r="C1327" s="14" t="str">
        <x:v>未評分</x:v>
      </x:c>
      <x:c r="D1327" s="14" t="str">
        <x:v>李侑津醫師</x:v>
      </x:c>
      <x:c r="E1327" s="6" t="str">
        <x:v>手術</x:v>
      </x:c>
      <x:c r="F1327" s="6" t="str">
        <x:v>顯微根管</x:v>
      </x:c>
      <x:c r="G1327" s="19" t="str"/>
      <x:c r="H1327" s="17" t="str">
        <x:v>未評分</x:v>
      </x:c>
      <x:c r="I1327" s="6" t="n">
        <x:v>38</x:v>
      </x:c>
    </x:row>
    <x:row r="1328">
      <x:c r="A1328" s="13" t="str">
        <x:v>1031</x:v>
      </x:c>
      <x:c r="B1328" s="14" t="str"/>
      <x:c r="C1328" s="14" t="str">
        <x:v>未評分</x:v>
      </x:c>
      <x:c r="D1328" s="14" t="str">
        <x:v>李侑津醫師</x:v>
      </x:c>
      <x:c r="E1328" s="6" t="str">
        <x:v>手術</x:v>
      </x:c>
      <x:c r="F1328" s="6" t="str">
        <x:v>植 牙</x:v>
      </x:c>
      <x:c r="G1328" s="19" t="str"/>
      <x:c r="H1328" s="17" t="str">
        <x:v>未評分</x:v>
      </x:c>
      <x:c r="I1328" s="6" t="n">
        <x:v>39</x:v>
      </x:c>
    </x:row>
    <x:row r="1329">
      <x:c r="A1329" s="13" t="str">
        <x:v>1031</x:v>
      </x:c>
      <x:c r="B1329" s="14" t="str"/>
      <x:c r="C1329" s="14" t="str">
        <x:v>未評分</x:v>
      </x:c>
      <x:c r="D1329" s="14" t="str">
        <x:v>李侑津醫師</x:v>
      </x:c>
      <x:c r="E1329" s="6" t="str"/>
      <x:c r="F1329" s="6" t="str">
        <x:v>跟診順暢度</x:v>
      </x:c>
      <x:c r="G1329" s="19" t="str"/>
      <x:c r="H1329" s="17" t="str">
        <x:v>未評分</x:v>
      </x:c>
      <x:c r="I1329" s="6" t="n">
        <x:v>40</x:v>
      </x:c>
    </x:row>
    <x:row r="1330">
      <x:c r="A1330" s="13" t="str">
        <x:v>1031</x:v>
      </x:c>
      <x:c r="B1330" s="14" t="str"/>
      <x:c r="C1330" s="14" t="str">
        <x:v>未評分</x:v>
      </x:c>
      <x:c r="D1330" s="14" t="str">
        <x:v>李侑津醫師</x:v>
      </x:c>
      <x:c r="E1330" s="6" t="str"/>
      <x:c r="F1330" s="6" t="str">
        <x:v>病歷紀錄</x:v>
      </x:c>
      <x:c r="G1330" s="19" t="str"/>
      <x:c r="H1330" s="17" t="str">
        <x:v>未評分</x:v>
      </x:c>
      <x:c r="I1330" s="6" t="n">
        <x:v>41</x:v>
      </x:c>
    </x:row>
    <x:row r="1331">
      <x:c r="A1331" s="13" t="str">
        <x:v>1031</x:v>
      </x:c>
      <x:c r="B1331" s="14" t="str"/>
      <x:c r="C1331" s="14" t="str">
        <x:v>未評分</x:v>
      </x:c>
      <x:c r="D1331" s="14" t="str">
        <x:v>李侑津醫師</x:v>
      </x:c>
      <x:c r="E1331" s="6" t="str"/>
      <x:c r="F1331" s="6" t="str">
        <x:v>健保申報</x:v>
      </x:c>
      <x:c r="G1331" s="19" t="str"/>
      <x:c r="H1331" s="17" t="str">
        <x:v>未評分</x:v>
      </x:c>
      <x:c r="I1331" s="6" t="n">
        <x:v>42</x:v>
      </x:c>
    </x:row>
    <x:row r="1332">
      <x:c r="A1332" s="13" t="str">
        <x:v>1031</x:v>
      </x:c>
      <x:c r="B1332" s="14" t="str"/>
      <x:c r="C1332" s="14" t="str">
        <x:v>未評分</x:v>
      </x:c>
      <x:c r="D1332" s="14" t="str">
        <x:v>李侑津醫師</x:v>
      </x:c>
      <x:c r="E1332" s="6" t="str"/>
      <x:c r="F1332" s="6" t="str">
        <x:v>X光片紀錄</x:v>
      </x:c>
      <x:c r="G1332" s="19" t="str"/>
      <x:c r="H1332" s="17" t="str">
        <x:v>未評分</x:v>
      </x:c>
      <x:c r="I1332" s="6" t="n">
        <x:v>43</x:v>
      </x:c>
    </x:row>
    <x:row r="1333">
      <x:c r="A1333" s="13" t="str">
        <x:v>1031</x:v>
      </x:c>
      <x:c r="B1333" s="14" t="str"/>
      <x:c r="C1333" s="14" t="str">
        <x:v>未評分</x:v>
      </x:c>
      <x:c r="D1333" s="14" t="str">
        <x:v>李侑津醫師</x:v>
      </x:c>
      <x:c r="E1333" s="6" t="str"/>
      <x:c r="F1333" s="6" t="str">
        <x:v>拍PA</x:v>
      </x:c>
      <x:c r="G1333" s="19" t="str"/>
      <x:c r="H1333" s="17" t="str">
        <x:v>未評分</x:v>
      </x:c>
      <x:c r="I1333" s="6" t="n">
        <x:v>44</x:v>
      </x:c>
    </x:row>
    <x:row r="1334">
      <x:c r="A1334" s="13" t="str">
        <x:v>1031</x:v>
      </x:c>
      <x:c r="B1334" s="14" t="str"/>
      <x:c r="C1334" s="14" t="str">
        <x:v>未評分</x:v>
      </x:c>
      <x:c r="D1334" s="14" t="str">
        <x:v>李侑津醫師</x:v>
      </x:c>
      <x:c r="E1334" s="6" t="str"/>
      <x:c r="F1334" s="6" t="str">
        <x:v>口掃機運用</x:v>
      </x:c>
      <x:c r="G1334" s="19" t="str"/>
      <x:c r="H1334" s="17" t="str">
        <x:v>未評分</x:v>
      </x:c>
      <x:c r="I1334" s="6" t="n">
        <x:v>45</x:v>
      </x:c>
    </x:row>
    <x:row r="1335">
      <x:c r="A1335" s="13" t="str">
        <x:v>1031</x:v>
      </x:c>
      <x:c r="B1335" s="14" t="str"/>
      <x:c r="C1335" s="14" t="str">
        <x:v>未評分</x:v>
      </x:c>
      <x:c r="D1335" s="14" t="str">
        <x:v>廖立揚醫師</x:v>
      </x:c>
      <x:c r="E1335" s="6" t="str"/>
      <x:c r="F1335" s="6" t="str">
        <x:v>器械熟悉度</x:v>
      </x:c>
      <x:c r="G1335" s="19" t="str"/>
      <x:c r="H1335" s="17" t="str">
        <x:v>未評分</x:v>
      </x:c>
      <x:c r="I1335" s="6" t="n">
        <x:v>46</x:v>
      </x:c>
    </x:row>
    <x:row r="1336">
      <x:c r="A1336" s="13" t="str">
        <x:v>1031</x:v>
      </x:c>
      <x:c r="B1336" s="14" t="str"/>
      <x:c r="C1336" s="14" t="str">
        <x:v>未評分</x:v>
      </x:c>
      <x:c r="D1336" s="14" t="str">
        <x:v>廖立揚醫師</x:v>
      </x:c>
      <x:c r="E1336" s="6" t="str"/>
      <x:c r="F1336" s="6" t="str">
        <x:v>跟診順暢度</x:v>
      </x:c>
      <x:c r="G1336" s="19" t="str"/>
      <x:c r="H1336" s="17" t="str">
        <x:v>未評分</x:v>
      </x:c>
      <x:c r="I1336" s="6" t="n">
        <x:v>47</x:v>
      </x:c>
    </x:row>
    <x:row r="1337">
      <x:c r="A1337" s="13" t="str">
        <x:v>1031</x:v>
      </x:c>
      <x:c r="B1337" s="14" t="str"/>
      <x:c r="C1337" s="14" t="str">
        <x:v>未評分</x:v>
      </x:c>
      <x:c r="D1337" s="14" t="str">
        <x:v>廖立揚醫師</x:v>
      </x:c>
      <x:c r="E1337" s="6" t="str"/>
      <x:c r="F1337" s="6" t="str">
        <x:v>病歷紀錄</x:v>
      </x:c>
      <x:c r="G1337" s="19" t="str"/>
      <x:c r="H1337" s="17" t="str">
        <x:v>未評分</x:v>
      </x:c>
      <x:c r="I1337" s="6" t="n">
        <x:v>48</x:v>
      </x:c>
    </x:row>
    <x:row r="1338">
      <x:c r="A1338" s="13" t="str">
        <x:v>1031</x:v>
      </x:c>
      <x:c r="B1338" s="14" t="str"/>
      <x:c r="C1338" s="14" t="str">
        <x:v>未評分</x:v>
      </x:c>
      <x:c r="D1338" s="14" t="str">
        <x:v>廖立揚醫師</x:v>
      </x:c>
      <x:c r="E1338" s="6" t="str"/>
      <x:c r="F1338" s="6" t="str">
        <x:v>健保申報(初診pano)</x:v>
      </x:c>
      <x:c r="G1338" s="19" t="str"/>
      <x:c r="H1338" s="17" t="str">
        <x:v>未評分</x:v>
      </x:c>
      <x:c r="I1338" s="6" t="n">
        <x:v>49</x:v>
      </x:c>
    </x:row>
    <x:row r="1339">
      <x:c r="A1339" s="13" t="str">
        <x:v>1031</x:v>
      </x:c>
      <x:c r="B1339" s="14" t="str"/>
      <x:c r="C1339" s="14" t="str">
        <x:v>未評分</x:v>
      </x:c>
      <x:c r="D1339" s="14" t="str">
        <x:v>廖立揚醫師</x:v>
      </x:c>
      <x:c r="E1339" s="6" t="str"/>
      <x:c r="F1339" s="6" t="str">
        <x:v>X光片紀錄</x:v>
      </x:c>
      <x:c r="G1339" s="19" t="str"/>
      <x:c r="H1339" s="17" t="str">
        <x:v>未評分</x:v>
      </x:c>
      <x:c r="I1339" s="6" t="n">
        <x:v>50</x:v>
      </x:c>
    </x:row>
    <x:row r="1340">
      <x:c r="A1340" s="13" t="str">
        <x:v>1031</x:v>
      </x:c>
      <x:c r="B1340" s="14" t="str"/>
      <x:c r="C1340" s="14" t="str">
        <x:v>未評分</x:v>
      </x:c>
      <x:c r="D1340" s="14" t="str">
        <x:v>廖立揚醫師</x:v>
      </x:c>
      <x:c r="E1340" s="6" t="str"/>
      <x:c r="F1340" s="6" t="str">
        <x:v>拍PANO、PA</x:v>
      </x:c>
      <x:c r="G1340" s="19" t="str"/>
      <x:c r="H1340" s="17" t="str">
        <x:v>未評分</x:v>
      </x:c>
      <x:c r="I1340" s="6" t="n">
        <x:v>51</x:v>
      </x:c>
    </x:row>
    <x:row r="1341">
      <x:c r="A1341" s="13" t="str">
        <x:v>1031</x:v>
      </x:c>
      <x:c r="B1341" s="14" t="str"/>
      <x:c r="C1341" s="14" t="str">
        <x:v>未評分</x:v>
      </x:c>
      <x:c r="D1341" s="14" t="str">
        <x:v>廖立揚醫師</x:v>
      </x:c>
      <x:c r="E1341" s="6" t="str"/>
      <x:c r="F1341" s="6" t="str">
        <x:v>CT照</x:v>
      </x:c>
      <x:c r="G1341" s="19" t="str"/>
      <x:c r="H1341" s="17" t="str">
        <x:v>未評分</x:v>
      </x:c>
      <x:c r="I1341" s="6" t="n">
        <x:v>52</x:v>
      </x:c>
    </x:row>
    <x:row r="1342">
      <x:c r="A1342" s="13" t="str">
        <x:v>1031</x:v>
      </x:c>
      <x:c r="B1342" s="14" t="str"/>
      <x:c r="C1342" s="14" t="str">
        <x:v>未評分</x:v>
      </x:c>
      <x:c r="D1342" s="14" t="str">
        <x:v>廖立揚醫師</x:v>
      </x:c>
      <x:c r="E1342" s="6" t="str"/>
      <x:c r="F1342" s="6" t="str">
        <x:v>側頭顱照</x:v>
      </x:c>
      <x:c r="G1342" s="19" t="str"/>
      <x:c r="H1342" s="17" t="str">
        <x:v>未評分</x:v>
      </x:c>
      <x:c r="I1342" s="6" t="n">
        <x:v>53</x:v>
      </x:c>
    </x:row>
    <x:row r="1343">
      <x:c r="A1343" s="13" t="str">
        <x:v>1031</x:v>
      </x:c>
      <x:c r="B1343" s="14" t="str"/>
      <x:c r="C1343" s="14" t="str">
        <x:v>未評分</x:v>
      </x:c>
      <x:c r="D1343" s="14" t="str">
        <x:v>廖立揚醫師</x:v>
      </x:c>
      <x:c r="E1343" s="6" t="str"/>
      <x:c r="F1343" s="6" t="str">
        <x:v>口掃機運用</x:v>
      </x:c>
      <x:c r="G1343" s="19" t="str"/>
      <x:c r="H1343" s="17" t="str">
        <x:v>未評分</x:v>
      </x:c>
      <x:c r="I1343" s="6" t="n">
        <x:v>54</x:v>
      </x:c>
    </x:row>
    <x:row r="1344">
      <x:c r="A1344" s="13" t="str">
        <x:v>1031</x:v>
      </x:c>
      <x:c r="B1344" s="14" t="str"/>
      <x:c r="C1344" s="14" t="str">
        <x:v>未評分</x:v>
      </x:c>
      <x:c r="D1344" s="14" t="str">
        <x:v>楊小瑩醫師</x:v>
      </x:c>
      <x:c r="E1344" s="6" t="str">
        <x:v>器械準備</x:v>
      </x:c>
      <x:c r="F1344" s="6" t="str">
        <x:v>洗牙</x:v>
      </x:c>
      <x:c r="G1344" s="19" t="str"/>
      <x:c r="H1344" s="17" t="str">
        <x:v>未評分</x:v>
      </x:c>
      <x:c r="I1344" s="6" t="n">
        <x:v>55</x:v>
      </x:c>
    </x:row>
    <x:row r="1345">
      <x:c r="A1345" s="13" t="str">
        <x:v>1031</x:v>
      </x:c>
      <x:c r="B1345" s="14" t="str"/>
      <x:c r="C1345" s="14" t="str">
        <x:v>未評分</x:v>
      </x:c>
      <x:c r="D1345" s="14" t="str">
        <x:v>楊小瑩醫師</x:v>
      </x:c>
      <x:c r="E1345" s="6" t="str">
        <x:v>器械準備</x:v>
      </x:c>
      <x:c r="F1345" s="6" t="str">
        <x:v>補牙</x:v>
      </x:c>
      <x:c r="G1345" s="19" t="str"/>
      <x:c r="H1345" s="17" t="str">
        <x:v>未評分</x:v>
      </x:c>
      <x:c r="I1345" s="6" t="n">
        <x:v>56</x:v>
      </x:c>
    </x:row>
    <x:row r="1346">
      <x:c r="A1346" s="13" t="str">
        <x:v>1031</x:v>
      </x:c>
      <x:c r="B1346" s="14" t="str"/>
      <x:c r="C1346" s="14" t="str">
        <x:v>未評分</x:v>
      </x:c>
      <x:c r="D1346" s="14" t="str">
        <x:v>楊小瑩醫師</x:v>
      </x:c>
      <x:c r="E1346" s="6" t="str">
        <x:v>器械準備</x:v>
      </x:c>
      <x:c r="F1346" s="6" t="str">
        <x:v>根管治療</x:v>
      </x:c>
      <x:c r="G1346" s="19" t="str"/>
      <x:c r="H1346" s="17" t="str">
        <x:v>未評分</x:v>
      </x:c>
      <x:c r="I1346" s="6" t="n">
        <x:v>57</x:v>
      </x:c>
    </x:row>
    <x:row r="1347">
      <x:c r="A1347" s="13" t="str">
        <x:v>1031</x:v>
      </x:c>
      <x:c r="B1347" s="14" t="str"/>
      <x:c r="C1347" s="14" t="str">
        <x:v>未評分</x:v>
      </x:c>
      <x:c r="D1347" s="14" t="str">
        <x:v>楊小瑩醫師</x:v>
      </x:c>
      <x:c r="E1347" s="6" t="str">
        <x:v>器械準備</x:v>
      </x:c>
      <x:c r="F1347" s="6" t="str">
        <x:v>拔牙</x:v>
      </x:c>
      <x:c r="G1347" s="19" t="str"/>
      <x:c r="H1347" s="17" t="str">
        <x:v>未評分</x:v>
      </x:c>
      <x:c r="I1347" s="6" t="n">
        <x:v>58</x:v>
      </x:c>
    </x:row>
    <x:row r="1348">
      <x:c r="A1348" s="13" t="str">
        <x:v>1031</x:v>
      </x:c>
      <x:c r="B1348" s="14" t="str"/>
      <x:c r="C1348" s="14" t="str">
        <x:v>未評分</x:v>
      </x:c>
      <x:c r="D1348" s="14" t="str">
        <x:v>楊小瑩醫師</x:v>
      </x:c>
      <x:c r="E1348" s="6" t="str">
        <x:v>器械準備</x:v>
      </x:c>
      <x:c r="F1348" s="6" t="str">
        <x:v>拆 crown/post</x:v>
      </x:c>
      <x:c r="G1348" s="19" t="str"/>
      <x:c r="H1348" s="17" t="str">
        <x:v>未評分</x:v>
      </x:c>
      <x:c r="I1348" s="6" t="n">
        <x:v>59</x:v>
      </x:c>
    </x:row>
    <x:row r="1349">
      <x:c r="A1349" s="13" t="str">
        <x:v>1031</x:v>
      </x:c>
      <x:c r="B1349" s="14" t="str"/>
      <x:c r="C1349" s="14" t="str">
        <x:v>未評分</x:v>
      </x:c>
      <x:c r="D1349" s="14" t="str">
        <x:v>楊小瑩醫師</x:v>
      </x:c>
      <x:c r="E1349" s="6" t="str">
        <x:v>自費</x:v>
      </x:c>
      <x:c r="F1349" s="6" t="str">
        <x:v>固定假牙</x:v>
      </x:c>
      <x:c r="G1349" s="19" t="str"/>
      <x:c r="H1349" s="17" t="str">
        <x:v>未評分</x:v>
      </x:c>
      <x:c r="I1349" s="6" t="n">
        <x:v>60</x:v>
      </x:c>
    </x:row>
    <x:row r="1350">
      <x:c r="A1350" s="13" t="str">
        <x:v>1031</x:v>
      </x:c>
      <x:c r="B1350" s="14" t="str"/>
      <x:c r="C1350" s="14" t="str">
        <x:v>未評分</x:v>
      </x:c>
      <x:c r="D1350" s="14" t="str">
        <x:v>楊小瑩醫師</x:v>
      </x:c>
      <x:c r="E1350" s="6" t="str">
        <x:v>自費</x:v>
      </x:c>
      <x:c r="F1350" s="6" t="str">
        <x:v>RPD</x:v>
      </x:c>
      <x:c r="G1350" s="19" t="str"/>
      <x:c r="H1350" s="17" t="str">
        <x:v>未評分</x:v>
      </x:c>
      <x:c r="I1350" s="6" t="n">
        <x:v>61</x:v>
      </x:c>
    </x:row>
    <x:row r="1351">
      <x:c r="A1351" s="13" t="str">
        <x:v>1031</x:v>
      </x:c>
      <x:c r="B1351" s="14" t="str"/>
      <x:c r="C1351" s="14" t="str">
        <x:v>未評分</x:v>
      </x:c>
      <x:c r="D1351" s="14" t="str">
        <x:v>楊小瑩醫師</x:v>
      </x:c>
      <x:c r="E1351" s="6" t="str">
        <x:v>自費</x:v>
      </x:c>
      <x:c r="F1351" s="6" t="str">
        <x:v>噴砂美白</x:v>
      </x:c>
      <x:c r="G1351" s="19" t="str"/>
      <x:c r="H1351" s="17" t="str">
        <x:v>未評分</x:v>
      </x:c>
      <x:c r="I1351" s="6" t="n">
        <x:v>62</x:v>
      </x:c>
    </x:row>
    <x:row r="1352">
      <x:c r="A1352" s="13" t="str">
        <x:v>1031</x:v>
      </x:c>
      <x:c r="B1352" s="14" t="str"/>
      <x:c r="C1352" s="14" t="str">
        <x:v>未評分</x:v>
      </x:c>
      <x:c r="D1352" s="14" t="str">
        <x:v>楊小瑩醫師</x:v>
      </x:c>
      <x:c r="E1352" s="6" t="str"/>
      <x:c r="F1352" s="6" t="str">
        <x:v>跟診順暢度</x:v>
      </x:c>
      <x:c r="G1352" s="19" t="str"/>
      <x:c r="H1352" s="17" t="str">
        <x:v>未評分</x:v>
      </x:c>
      <x:c r="I1352" s="6" t="n">
        <x:v>63</x:v>
      </x:c>
    </x:row>
    <x:row r="1353">
      <x:c r="A1353" s="13" t="str">
        <x:v>1031</x:v>
      </x:c>
      <x:c r="B1353" s="14" t="str"/>
      <x:c r="C1353" s="14" t="str">
        <x:v>未評分</x:v>
      </x:c>
      <x:c r="D1353" s="14" t="str">
        <x:v>楊小瑩醫師</x:v>
      </x:c>
      <x:c r="E1353" s="6" t="str"/>
      <x:c r="F1353" s="6" t="str">
        <x:v>病歷紀錄</x:v>
      </x:c>
      <x:c r="G1353" s="19" t="str"/>
      <x:c r="H1353" s="17" t="str">
        <x:v>未評分</x:v>
      </x:c>
      <x:c r="I1353" s="6" t="n">
        <x:v>64</x:v>
      </x:c>
    </x:row>
    <x:row r="1354">
      <x:c r="A1354" s="13" t="str">
        <x:v>1031</x:v>
      </x:c>
      <x:c r="B1354" s="14" t="str"/>
      <x:c r="C1354" s="14" t="str">
        <x:v>未評分</x:v>
      </x:c>
      <x:c r="D1354" s="14" t="str">
        <x:v>楊小瑩醫師</x:v>
      </x:c>
      <x:c r="E1354" s="6" t="str"/>
      <x:c r="F1354" s="6" t="str">
        <x:v>健保申報</x:v>
      </x:c>
      <x:c r="G1354" s="19" t="str"/>
      <x:c r="H1354" s="17" t="str">
        <x:v>未評分</x:v>
      </x:c>
      <x:c r="I1354" s="6" t="n">
        <x:v>65</x:v>
      </x:c>
    </x:row>
    <x:row r="1355">
      <x:c r="A1355" s="13" t="str">
        <x:v>1031</x:v>
      </x:c>
      <x:c r="B1355" s="14" t="str"/>
      <x:c r="C1355" s="14" t="str">
        <x:v>未評分</x:v>
      </x:c>
      <x:c r="D1355" s="14" t="str">
        <x:v>楊小瑩醫師</x:v>
      </x:c>
      <x:c r="E1355" s="6" t="str"/>
      <x:c r="F1355" s="6" t="str">
        <x:v>X光片紀錄</x:v>
      </x:c>
      <x:c r="G1355" s="19" t="str"/>
      <x:c r="H1355" s="17" t="str">
        <x:v>未評分</x:v>
      </x:c>
      <x:c r="I1355" s="6" t="n">
        <x:v>66</x:v>
      </x:c>
    </x:row>
    <x:row r="1356">
      <x:c r="A1356" s="13" t="str">
        <x:v>1031</x:v>
      </x:c>
      <x:c r="B1356" s="14" t="str"/>
      <x:c r="C1356" s="14" t="str">
        <x:v>未評分</x:v>
      </x:c>
      <x:c r="D1356" s="14" t="str">
        <x:v>楊小瑩醫師</x:v>
      </x:c>
      <x:c r="E1356" s="6" t="str"/>
      <x:c r="F1356" s="6" t="str">
        <x:v>拍PA</x:v>
      </x:c>
      <x:c r="G1356" s="19" t="str"/>
      <x:c r="H1356" s="17" t="str">
        <x:v>未評分</x:v>
      </x:c>
      <x:c r="I1356" s="6" t="n">
        <x:v>67</x:v>
      </x:c>
    </x:row>
    <x:row r="1357">
      <x:c r="A1357" s="13" t="str">
        <x:v>1031</x:v>
      </x:c>
      <x:c r="B1357" s="14" t="str"/>
      <x:c r="C1357" s="14" t="str">
        <x:v>未評分</x:v>
      </x:c>
      <x:c r="D1357" s="14" t="str">
        <x:v>王俊偉醫師</x:v>
      </x:c>
      <x:c r="E1357" s="6" t="str"/>
      <x:c r="F1357" s="6" t="str">
        <x:v>器械熟悉度</x:v>
      </x:c>
      <x:c r="G1357" s="19" t="str"/>
      <x:c r="H1357" s="17" t="str">
        <x:v>未評分</x:v>
      </x:c>
      <x:c r="I1357" s="6" t="n">
        <x:v>68</x:v>
      </x:c>
    </x:row>
    <x:row r="1358">
      <x:c r="A1358" s="13" t="str">
        <x:v>1031</x:v>
      </x:c>
      <x:c r="B1358" s="14" t="str"/>
      <x:c r="C1358" s="14" t="str">
        <x:v>未評分</x:v>
      </x:c>
      <x:c r="D1358" s="14" t="str">
        <x:v>王俊偉醫師</x:v>
      </x:c>
      <x:c r="E1358" s="6" t="str"/>
      <x:c r="F1358" s="6" t="str">
        <x:v>跟診順暢度</x:v>
      </x:c>
      <x:c r="G1358" s="19" t="str"/>
      <x:c r="H1358" s="17" t="str">
        <x:v>未評分</x:v>
      </x:c>
      <x:c r="I1358" s="6" t="n">
        <x:v>69</x:v>
      </x:c>
    </x:row>
    <x:row r="1359">
      <x:c r="A1359" s="13" t="str">
        <x:v>1031</x:v>
      </x:c>
      <x:c r="B1359" s="14" t="str"/>
      <x:c r="C1359" s="14" t="str">
        <x:v>未評分</x:v>
      </x:c>
      <x:c r="D1359" s="14" t="str">
        <x:v>王俊偉醫師</x:v>
      </x:c>
      <x:c r="E1359" s="6" t="str"/>
      <x:c r="F1359" s="6" t="str">
        <x:v>病歷紀錄</x:v>
      </x:c>
      <x:c r="G1359" s="19" t="str"/>
      <x:c r="H1359" s="17" t="str">
        <x:v>未評分</x:v>
      </x:c>
      <x:c r="I1359" s="6" t="n">
        <x:v>70</x:v>
      </x:c>
    </x:row>
    <x:row r="1360">
      <x:c r="A1360" s="13" t="str">
        <x:v>1031</x:v>
      </x:c>
      <x:c r="B1360" s="14" t="str"/>
      <x:c r="C1360" s="14" t="str">
        <x:v>未評分</x:v>
      </x:c>
      <x:c r="D1360" s="14" t="str">
        <x:v>王俊偉醫師</x:v>
      </x:c>
      <x:c r="E1360" s="6" t="str"/>
      <x:c r="F1360" s="6" t="str">
        <x:v>健保申報</x:v>
      </x:c>
      <x:c r="G1360" s="19" t="str"/>
      <x:c r="H1360" s="17" t="str">
        <x:v>未評分</x:v>
      </x:c>
      <x:c r="I1360" s="6" t="n">
        <x:v>71</x:v>
      </x:c>
    </x:row>
    <x:row r="1361">
      <x:c r="A1361" s="13" t="str">
        <x:v>1031</x:v>
      </x:c>
      <x:c r="B1361" s="14" t="str"/>
      <x:c r="C1361" s="14" t="str">
        <x:v>未評分</x:v>
      </x:c>
      <x:c r="D1361" s="14" t="str">
        <x:v>王俊偉醫師</x:v>
      </x:c>
      <x:c r="E1361" s="6" t="str"/>
      <x:c r="F1361" s="6" t="str">
        <x:v>X光片紀錄</x:v>
      </x:c>
      <x:c r="G1361" s="19" t="str"/>
      <x:c r="H1361" s="17" t="str">
        <x:v>未評分</x:v>
      </x:c>
      <x:c r="I1361" s="6" t="n">
        <x:v>72</x:v>
      </x:c>
    </x:row>
    <x:row r="1362">
      <x:c r="A1362" s="13" t="str">
        <x:v>1031</x:v>
      </x:c>
      <x:c r="B1362" s="14" t="str"/>
      <x:c r="C1362" s="14" t="str">
        <x:v>未評分</x:v>
      </x:c>
      <x:c r="D1362" s="14" t="str">
        <x:v>王俊偉醫師</x:v>
      </x:c>
      <x:c r="E1362" s="6" t="str"/>
      <x:c r="F1362" s="6" t="str">
        <x:v>拍PANO、PA</x:v>
      </x:c>
      <x:c r="G1362" s="19" t="str"/>
      <x:c r="H1362" s="17" t="str">
        <x:v>未評分</x:v>
      </x:c>
      <x:c r="I1362" s="6" t="n">
        <x:v>73</x:v>
      </x:c>
    </x:row>
    <x:row r="1363">
      <x:c r="A1363" s="13" t="str">
        <x:v>1031</x:v>
      </x:c>
      <x:c r="B1363" s="14" t="str"/>
      <x:c r="C1363" s="14" t="str">
        <x:v>未評分</x:v>
      </x:c>
      <x:c r="D1363" s="14" t="str">
        <x:v>王俊偉醫師</x:v>
      </x:c>
      <x:c r="E1363" s="6" t="str"/>
      <x:c r="F1363" s="6" t="str">
        <x:v>CT照</x:v>
      </x:c>
      <x:c r="G1363" s="19" t="str"/>
      <x:c r="H1363" s="17" t="str">
        <x:v>未評分</x:v>
      </x:c>
      <x:c r="I1363" s="6" t="n">
        <x:v>74</x:v>
      </x:c>
    </x:row>
    <x:row r="1364">
      <x:c r="A1364" s="13" t="str">
        <x:v>1031</x:v>
      </x:c>
      <x:c r="B1364" s="14" t="str"/>
      <x:c r="C1364" s="14" t="str">
        <x:v>未評分</x:v>
      </x:c>
      <x:c r="D1364" s="14" t="str">
        <x:v>王俊偉醫師</x:v>
      </x:c>
      <x:c r="E1364" s="6" t="str"/>
      <x:c r="F1364" s="6" t="str">
        <x:v>側頭顱照</x:v>
      </x:c>
      <x:c r="G1364" s="19" t="str"/>
      <x:c r="H1364" s="17" t="str">
        <x:v>未評分</x:v>
      </x:c>
      <x:c r="I1364" s="6" t="n">
        <x:v>75</x:v>
      </x:c>
    </x:row>
    <x:row r="1365">
      <x:c r="A1365" s="13" t="str">
        <x:v>1031</x:v>
      </x:c>
      <x:c r="B1365" s="14" t="str"/>
      <x:c r="C1365" s="14" t="str">
        <x:v>未評分</x:v>
      </x:c>
      <x:c r="D1365" s="14" t="str">
        <x:v>王俊偉醫師</x:v>
      </x:c>
      <x:c r="E1365" s="6" t="str"/>
      <x:c r="F1365" s="6" t="str">
        <x:v>口掃機運用</x:v>
      </x:c>
      <x:c r="G1365" s="19" t="str"/>
      <x:c r="H1365" s="17" t="str">
        <x:v>未評分</x:v>
      </x:c>
      <x:c r="I1365" s="6" t="n">
        <x:v>76</x:v>
      </x:c>
    </x:row>
    <x:row r="1366">
      <x:c r="A1366" s="13" t="str">
        <x:v>1031</x:v>
      </x:c>
      <x:c r="B1366" s="14" t="str"/>
      <x:c r="C1366" s="14" t="str">
        <x:v>未評分</x:v>
      </x:c>
      <x:c r="D1366" s="14" t="str">
        <x:v>許馨文醫師</x:v>
      </x:c>
      <x:c r="E1366" s="6" t="str"/>
      <x:c r="F1366" s="6" t="str">
        <x:v>器械熟悉度</x:v>
      </x:c>
      <x:c r="G1366" s="19" t="str"/>
      <x:c r="H1366" s="17" t="str">
        <x:v>未評分</x:v>
      </x:c>
      <x:c r="I1366" s="6" t="n">
        <x:v>77</x:v>
      </x:c>
    </x:row>
    <x:row r="1367">
      <x:c r="A1367" s="13" t="str">
        <x:v>1031</x:v>
      </x:c>
      <x:c r="B1367" s="14" t="str"/>
      <x:c r="C1367" s="14" t="str">
        <x:v>未評分</x:v>
      </x:c>
      <x:c r="D1367" s="14" t="str">
        <x:v>許馨文醫師</x:v>
      </x:c>
      <x:c r="E1367" s="6" t="str"/>
      <x:c r="F1367" s="6" t="str">
        <x:v>吸口水技巧</x:v>
      </x:c>
      <x:c r="G1367" s="19" t="str"/>
      <x:c r="H1367" s="17" t="str">
        <x:v>未評分</x:v>
      </x:c>
      <x:c r="I1367" s="6" t="n">
        <x:v>78</x:v>
      </x:c>
    </x:row>
    <x:row r="1368">
      <x:c r="A1368" s="13" t="str">
        <x:v>1031</x:v>
      </x:c>
      <x:c r="B1368" s="14" t="str"/>
      <x:c r="C1368" s="14" t="str">
        <x:v>未評分</x:v>
      </x:c>
      <x:c r="D1368" s="14" t="str">
        <x:v>許馨文醫師</x:v>
      </x:c>
      <x:c r="E1368" s="6" t="str"/>
      <x:c r="F1368" s="6" t="str">
        <x:v>病歷紀錄</x:v>
      </x:c>
      <x:c r="G1368" s="19" t="str"/>
      <x:c r="H1368" s="17" t="str">
        <x:v>未評分</x:v>
      </x:c>
      <x:c r="I1368" s="6" t="n">
        <x:v>79</x:v>
      </x:c>
    </x:row>
    <x:row r="1369">
      <x:c r="A1369" s="13" t="str">
        <x:v>1031</x:v>
      </x:c>
      <x:c r="B1369" s="14" t="str"/>
      <x:c r="C1369" s="14" t="str">
        <x:v>未評分</x:v>
      </x:c>
      <x:c r="D1369" s="14" t="str">
        <x:v>許馨文醫師</x:v>
      </x:c>
      <x:c r="E1369" s="6" t="str"/>
      <x:c r="F1369" s="6" t="str">
        <x:v>健保申報</x:v>
      </x:c>
      <x:c r="G1369" s="19" t="str"/>
      <x:c r="H1369" s="17" t="str">
        <x:v>未評分</x:v>
      </x:c>
      <x:c r="I1369" s="6" t="n">
        <x:v>80</x:v>
      </x:c>
    </x:row>
    <x:row r="1370">
      <x:c r="A1370" s="13" t="str">
        <x:v>1031</x:v>
      </x:c>
      <x:c r="B1370" s="14" t="str"/>
      <x:c r="C1370" s="14" t="str">
        <x:v>未評分</x:v>
      </x:c>
      <x:c r="D1370" s="14" t="str">
        <x:v>許馨文醫師</x:v>
      </x:c>
      <x:c r="E1370" s="6" t="str"/>
      <x:c r="F1370" s="6" t="str">
        <x:v>X光片紀錄</x:v>
      </x:c>
      <x:c r="G1370" s="19" t="str"/>
      <x:c r="H1370" s="17" t="str">
        <x:v>未評分</x:v>
      </x:c>
      <x:c r="I1370" s="6" t="n">
        <x:v>81</x:v>
      </x:c>
    </x:row>
    <x:row r="1371">
      <x:c r="A1371" s="13" t="str">
        <x:v>1031</x:v>
      </x:c>
      <x:c r="B1371" s="14" t="str"/>
      <x:c r="C1371" s="14" t="str">
        <x:v>未評分</x:v>
      </x:c>
      <x:c r="D1371" s="14" t="str">
        <x:v>許馨文醫師</x:v>
      </x:c>
      <x:c r="E1371" s="6" t="str"/>
      <x:c r="F1371" s="6" t="str">
        <x:v>拍PANO、PA</x:v>
      </x:c>
      <x:c r="G1371" s="19" t="str"/>
      <x:c r="H1371" s="17" t="str">
        <x:v>未評分</x:v>
      </x:c>
      <x:c r="I1371" s="6" t="n">
        <x:v>82</x:v>
      </x:c>
    </x:row>
    <x:row r="1372">
      <x:c r="A1372" s="13" t="str">
        <x:v>1031</x:v>
      </x:c>
      <x:c r="B1372" s="14" t="str"/>
      <x:c r="C1372" s="14" t="str">
        <x:v>未評分</x:v>
      </x:c>
      <x:c r="D1372" s="14" t="str">
        <x:v>林晏妤醫師</x:v>
      </x:c>
      <x:c r="E1372" s="6" t="str"/>
      <x:c r="F1372" s="6" t="str">
        <x:v>器械熟悉度</x:v>
      </x:c>
      <x:c r="G1372" s="19" t="str"/>
      <x:c r="H1372" s="17" t="str">
        <x:v>未評分</x:v>
      </x:c>
      <x:c r="I1372" s="6" t="n">
        <x:v>83</x:v>
      </x:c>
    </x:row>
    <x:row r="1373">
      <x:c r="A1373" s="13" t="str">
        <x:v>1031</x:v>
      </x:c>
      <x:c r="B1373" s="14" t="str"/>
      <x:c r="C1373" s="14" t="str">
        <x:v>未評分</x:v>
      </x:c>
      <x:c r="D1373" s="14" t="str">
        <x:v>林晏妤醫師</x:v>
      </x:c>
      <x:c r="E1373" s="6" t="str"/>
      <x:c r="F1373" s="6" t="str">
        <x:v>跟診順暢度</x:v>
      </x:c>
      <x:c r="G1373" s="19" t="str"/>
      <x:c r="H1373" s="17" t="str">
        <x:v>未評分</x:v>
      </x:c>
      <x:c r="I1373" s="6" t="n">
        <x:v>84</x:v>
      </x:c>
    </x:row>
    <x:row r="1374">
      <x:c r="A1374" s="13" t="str">
        <x:v>1031</x:v>
      </x:c>
      <x:c r="B1374" s="14" t="str"/>
      <x:c r="C1374" s="14" t="str">
        <x:v>未評分</x:v>
      </x:c>
      <x:c r="D1374" s="14" t="str">
        <x:v>林晏妤醫師</x:v>
      </x:c>
      <x:c r="E1374" s="6" t="str"/>
      <x:c r="F1374" s="6" t="str">
        <x:v>病歷紀錄</x:v>
      </x:c>
      <x:c r="G1374" s="19" t="str"/>
      <x:c r="H1374" s="17" t="str">
        <x:v>未評分</x:v>
      </x:c>
      <x:c r="I1374" s="6" t="n">
        <x:v>85</x:v>
      </x:c>
    </x:row>
    <x:row r="1375">
      <x:c r="A1375" s="13" t="str">
        <x:v>1031</x:v>
      </x:c>
      <x:c r="B1375" s="14" t="str"/>
      <x:c r="C1375" s="14" t="str">
        <x:v>未評分</x:v>
      </x:c>
      <x:c r="D1375" s="14" t="str">
        <x:v>林晏妤醫師</x:v>
      </x:c>
      <x:c r="E1375" s="6" t="str"/>
      <x:c r="F1375" s="6" t="str">
        <x:v>X光片紀錄</x:v>
      </x:c>
      <x:c r="G1375" s="19" t="str"/>
      <x:c r="H1375" s="17" t="str">
        <x:v>未評分</x:v>
      </x:c>
      <x:c r="I1375" s="6" t="n">
        <x:v>86</x:v>
      </x:c>
    </x:row>
    <x:row r="1376">
      <x:c r="A1376" s="13" t="str">
        <x:v>1031</x:v>
      </x:c>
      <x:c r="B1376" s="14" t="str"/>
      <x:c r="C1376" s="14" t="str">
        <x:v>未評分</x:v>
      </x:c>
      <x:c r="D1376" s="14" t="str">
        <x:v>林晏妤醫師</x:v>
      </x:c>
      <x:c r="E1376" s="6" t="str"/>
      <x:c r="F1376" s="6" t="str">
        <x:v>手持X光機</x:v>
      </x:c>
      <x:c r="G1376" s="19" t="str"/>
      <x:c r="H1376" s="17" t="str">
        <x:v>未評分</x:v>
      </x:c>
      <x:c r="I1376" s="6" t="n">
        <x:v>87</x:v>
      </x:c>
    </x:row>
    <x:row r="1377">
      <x:c r="A1377" s="13" t="str">
        <x:v>1031</x:v>
      </x:c>
      <x:c r="B1377" s="14" t="str"/>
      <x:c r="C1377" s="14" t="str">
        <x:v>未評分</x:v>
      </x:c>
      <x:c r="D1377" s="14" t="str">
        <x:v>林晏妤醫師</x:v>
      </x:c>
      <x:c r="E1377" s="6" t="str"/>
      <x:c r="F1377" s="6" t="str">
        <x:v>健保申報</x:v>
      </x:c>
      <x:c r="G1377" s="19" t="str"/>
      <x:c r="H1377" s="17" t="str">
        <x:v>未評分</x:v>
      </x:c>
      <x:c r="I1377" s="6" t="n">
        <x:v>88</x:v>
      </x:c>
    </x:row>
    <x:row r="1378">
      <x:c r="A1378" s="13" t="str">
        <x:v>1031</x:v>
      </x:c>
      <x:c r="B1378" s="14" t="str"/>
      <x:c r="C1378" s="14" t="str">
        <x:v>未評分</x:v>
      </x:c>
      <x:c r="D1378" s="14" t="str">
        <x:v>林晏妤醫師</x:v>
      </x:c>
      <x:c r="E1378" s="6" t="str"/>
      <x:c r="F1378" s="6" t="str">
        <x:v>舒眠手術</x:v>
      </x:c>
      <x:c r="G1378" s="19" t="str"/>
      <x:c r="H1378" s="17" t="str">
        <x:v>未評分</x:v>
      </x:c>
      <x:c r="I1378" s="6" t="n">
        <x:v>89</x:v>
      </x:c>
    </x:row>
    <x:row r="1379">
      <x:c r="A1379" s="13" t="str">
        <x:v>1031</x:v>
      </x:c>
      <x:c r="B1379" s="14" t="str"/>
      <x:c r="C1379" s="14" t="str">
        <x:v>未評分</x:v>
      </x:c>
      <x:c r="D1379" s="14" t="str">
        <x:v>謝耀慶醫師</x:v>
      </x:c>
      <x:c r="E1379" s="6" t="str">
        <x:v>器械準備</x:v>
      </x:c>
      <x:c r="F1379" s="6" t="str">
        <x:v>洗牙</x:v>
      </x:c>
      <x:c r="G1379" s="19" t="str"/>
      <x:c r="H1379" s="17" t="str">
        <x:v>未評分</x:v>
      </x:c>
      <x:c r="I1379" s="6" t="n">
        <x:v>90</x:v>
      </x:c>
    </x:row>
    <x:row r="1380">
      <x:c r="A1380" s="13" t="str">
        <x:v>1031</x:v>
      </x:c>
      <x:c r="B1380" s="14" t="str"/>
      <x:c r="C1380" s="14" t="str">
        <x:v>未評分</x:v>
      </x:c>
      <x:c r="D1380" s="14" t="str">
        <x:v>謝耀慶醫師</x:v>
      </x:c>
      <x:c r="E1380" s="6" t="str">
        <x:v>器械準備</x:v>
      </x:c>
      <x:c r="F1380" s="6" t="str">
        <x:v>補牙</x:v>
      </x:c>
      <x:c r="G1380" s="19" t="str"/>
      <x:c r="H1380" s="17" t="str">
        <x:v>未評分</x:v>
      </x:c>
      <x:c r="I1380" s="6" t="n">
        <x:v>91</x:v>
      </x:c>
    </x:row>
    <x:row r="1381">
      <x:c r="A1381" s="13" t="str">
        <x:v>1031</x:v>
      </x:c>
      <x:c r="B1381" s="14" t="str"/>
      <x:c r="C1381" s="14" t="str">
        <x:v>未評分</x:v>
      </x:c>
      <x:c r="D1381" s="14" t="str">
        <x:v>謝耀慶醫師</x:v>
      </x:c>
      <x:c r="E1381" s="6" t="str">
        <x:v>器械準備</x:v>
      </x:c>
      <x:c r="F1381" s="6" t="str">
        <x:v>牙周統合治療</x:v>
      </x:c>
      <x:c r="G1381" s="19" t="str"/>
      <x:c r="H1381" s="17" t="str">
        <x:v>未評分</x:v>
      </x:c>
      <x:c r="I1381" s="6" t="n">
        <x:v>92</x:v>
      </x:c>
    </x:row>
    <x:row r="1382">
      <x:c r="A1382" s="13" t="str">
        <x:v>1031</x:v>
      </x:c>
      <x:c r="B1382" s="14" t="str"/>
      <x:c r="C1382" s="14" t="str">
        <x:v>未評分</x:v>
      </x:c>
      <x:c r="D1382" s="14" t="str">
        <x:v>謝耀慶醫師</x:v>
      </x:c>
      <x:c r="E1382" s="6" t="str">
        <x:v>器械準備</x:v>
      </x:c>
      <x:c r="F1382" s="6" t="str">
        <x:v>簡單拔牙</x:v>
      </x:c>
      <x:c r="G1382" s="19" t="str"/>
      <x:c r="H1382" s="17" t="str">
        <x:v>未評分</x:v>
      </x:c>
      <x:c r="I1382" s="6" t="n">
        <x:v>93</x:v>
      </x:c>
    </x:row>
    <x:row r="1383">
      <x:c r="A1383" s="13" t="str">
        <x:v>1031</x:v>
      </x:c>
      <x:c r="B1383" s="14" t="str"/>
      <x:c r="C1383" s="14" t="str">
        <x:v>未評分</x:v>
      </x:c>
      <x:c r="D1383" s="14" t="str">
        <x:v>謝耀慶醫師</x:v>
      </x:c>
      <x:c r="E1383" s="6" t="str"/>
      <x:c r="F1383" s="6" t="str">
        <x:v>器械熟悉度</x:v>
      </x:c>
      <x:c r="G1383" s="19" t="str"/>
      <x:c r="H1383" s="17" t="str">
        <x:v>未評分</x:v>
      </x:c>
      <x:c r="I1383" s="6" t="n">
        <x:v>94</x:v>
      </x:c>
    </x:row>
    <x:row r="1384">
      <x:c r="A1384" s="13" t="str">
        <x:v>1031</x:v>
      </x:c>
      <x:c r="B1384" s="14" t="str"/>
      <x:c r="C1384" s="14" t="str">
        <x:v>未評分</x:v>
      </x:c>
      <x:c r="D1384" s="14" t="str">
        <x:v>謝耀慶醫師</x:v>
      </x:c>
      <x:c r="E1384" s="6" t="str"/>
      <x:c r="F1384" s="6" t="str">
        <x:v>跟診順暢度</x:v>
      </x:c>
      <x:c r="G1384" s="19" t="str"/>
      <x:c r="H1384" s="17" t="str">
        <x:v>未評分</x:v>
      </x:c>
      <x:c r="I1384" s="6" t="n">
        <x:v>95</x:v>
      </x:c>
    </x:row>
    <x:row r="1385">
      <x:c r="A1385" s="13" t="str">
        <x:v>1031</x:v>
      </x:c>
      <x:c r="B1385" s="14" t="str"/>
      <x:c r="C1385" s="14" t="str">
        <x:v>未評分</x:v>
      </x:c>
      <x:c r="D1385" s="14" t="str">
        <x:v>謝耀慶醫師</x:v>
      </x:c>
      <x:c r="E1385" s="6" t="str"/>
      <x:c r="F1385" s="6" t="str">
        <x:v>病歷紀錄</x:v>
      </x:c>
      <x:c r="G1385" s="19" t="str"/>
      <x:c r="H1385" s="17" t="str">
        <x:v>未評分</x:v>
      </x:c>
      <x:c r="I1385" s="6" t="n">
        <x:v>96</x:v>
      </x:c>
    </x:row>
    <x:row r="1386">
      <x:c r="A1386" s="13" t="str">
        <x:v>1031</x:v>
      </x:c>
      <x:c r="B1386" s="14" t="str"/>
      <x:c r="C1386" s="14" t="str">
        <x:v>未評分</x:v>
      </x:c>
      <x:c r="D1386" s="14" t="str">
        <x:v>謝耀慶醫師</x:v>
      </x:c>
      <x:c r="E1386" s="6" t="str"/>
      <x:c r="F1386" s="6" t="str">
        <x:v>X光片紀錄</x:v>
      </x:c>
      <x:c r="G1386" s="19" t="str"/>
      <x:c r="H1386" s="17" t="str">
        <x:v>未評分</x:v>
      </x:c>
      <x:c r="I1386" s="6" t="n">
        <x:v>97</x:v>
      </x:c>
    </x:row>
    <x:row r="1387">
      <x:c r="A1387" s="13" t="str">
        <x:v>1031</x:v>
      </x:c>
      <x:c r="B1387" s="14" t="str"/>
      <x:c r="C1387" s="14" t="str">
        <x:v>未評分</x:v>
      </x:c>
      <x:c r="D1387" s="14" t="str">
        <x:v>謝耀慶醫師</x:v>
      </x:c>
      <x:c r="E1387" s="6" t="str"/>
      <x:c r="F1387" s="6" t="str">
        <x:v>手持X光機</x:v>
      </x:c>
      <x:c r="G1387" s="19" t="str"/>
      <x:c r="H1387" s="17" t="str">
        <x:v>未評分</x:v>
      </x:c>
      <x:c r="I1387" s="6" t="n">
        <x:v>98</x:v>
      </x:c>
    </x:row>
    <x:row r="1388">
      <x:c r="A1388" s="13" t="str">
        <x:v>1031</x:v>
      </x:c>
      <x:c r="B1388" s="14" t="str"/>
      <x:c r="C1388" s="14" t="str">
        <x:v>未評分</x:v>
      </x:c>
      <x:c r="D1388" s="14" t="str">
        <x:v>謝耀慶醫師</x:v>
      </x:c>
      <x:c r="E1388" s="6" t="str"/>
      <x:c r="F1388" s="6" t="str">
        <x:v>健保申報</x:v>
      </x:c>
      <x:c r="G1388" s="19" t="str"/>
      <x:c r="H1388" s="17" t="str">
        <x:v>未評分</x:v>
      </x:c>
      <x:c r="I1388" s="6" t="n">
        <x:v>99</x:v>
      </x:c>
    </x:row>
    <x:row r="1389">
      <x:c r="A1389" s="13" t="str">
        <x:v>1031</x:v>
      </x:c>
      <x:c r="B1389" s="14" t="str"/>
      <x:c r="C1389" s="14" t="str">
        <x:v>未評分</x:v>
      </x:c>
      <x:c r="D1389" s="14" t="str">
        <x:v>謝耀慶醫師</x:v>
      </x:c>
      <x:c r="E1389" s="6" t="str"/>
      <x:c r="F1389" s="6" t="str">
        <x:v>舒眠手術</x:v>
      </x:c>
      <x:c r="G1389" s="19" t="str"/>
      <x:c r="H1389" s="17" t="str">
        <x:v>未評分</x:v>
      </x:c>
      <x:c r="I1389" s="6" t="n">
        <x:v>100</x:v>
      </x:c>
    </x:row>
    <x:row r="1390">
      <x:c r="A1390" s="13" t="str">
        <x:v>1031</x:v>
      </x:c>
      <x:c r="B1390" s="14" t="str"/>
      <x:c r="C1390" s="14" t="str">
        <x:v>未評分</x:v>
      </x:c>
      <x:c r="D1390" s="14" t="str">
        <x:v>陳醫師</x:v>
      </x:c>
      <x:c r="E1390" s="6" t="str">
        <x:v>器械準備</x:v>
      </x:c>
      <x:c r="F1390" s="6" t="str">
        <x:v>洗牙</x:v>
      </x:c>
      <x:c r="G1390" s="19" t="str"/>
      <x:c r="H1390" s="17" t="str">
        <x:v>未評分</x:v>
      </x:c>
      <x:c r="I1390" s="6" t="n">
        <x:v>101</x:v>
      </x:c>
    </x:row>
    <x:row r="1391">
      <x:c r="A1391" s="13" t="str">
        <x:v>1031</x:v>
      </x:c>
      <x:c r="B1391" s="14" t="str"/>
      <x:c r="C1391" s="14" t="str">
        <x:v>未評分</x:v>
      </x:c>
      <x:c r="D1391" s="14" t="str">
        <x:v>陳醫師</x:v>
      </x:c>
      <x:c r="E1391" s="6" t="str">
        <x:v>器械準備</x:v>
      </x:c>
      <x:c r="F1391" s="6" t="str">
        <x:v>補牙</x:v>
      </x:c>
      <x:c r="G1391" s="19" t="str"/>
      <x:c r="H1391" s="17" t="str">
        <x:v>未評分</x:v>
      </x:c>
      <x:c r="I1391" s="6" t="n">
        <x:v>102</x:v>
      </x:c>
    </x:row>
    <x:row r="1392">
      <x:c r="A1392" s="13" t="str">
        <x:v>1031</x:v>
      </x:c>
      <x:c r="B1392" s="14" t="str"/>
      <x:c r="C1392" s="14" t="str">
        <x:v>未評分</x:v>
      </x:c>
      <x:c r="D1392" s="14" t="str">
        <x:v>陳醫師</x:v>
      </x:c>
      <x:c r="E1392" s="6" t="str">
        <x:v>器械準備</x:v>
      </x:c>
      <x:c r="F1392" s="6" t="str">
        <x:v>根管治療</x:v>
      </x:c>
      <x:c r="G1392" s="19" t="str"/>
      <x:c r="H1392" s="17" t="str">
        <x:v>未評分</x:v>
      </x:c>
      <x:c r="I1392" s="6" t="n">
        <x:v>103</x:v>
      </x:c>
    </x:row>
    <x:row r="1393">
      <x:c r="A1393" s="13" t="str">
        <x:v>1031</x:v>
      </x:c>
      <x:c r="B1393" s="14" t="str"/>
      <x:c r="C1393" s="14" t="str">
        <x:v>未評分</x:v>
      </x:c>
      <x:c r="D1393" s="14" t="str">
        <x:v>陳醫師</x:v>
      </x:c>
      <x:c r="E1393" s="6" t="str"/>
      <x:c r="F1393" s="6" t="str">
        <x:v>跟診順暢度</x:v>
      </x:c>
      <x:c r="G1393" s="19" t="str"/>
      <x:c r="H1393" s="17" t="str">
        <x:v>未評分</x:v>
      </x:c>
      <x:c r="I1393" s="6" t="n">
        <x:v>104</x:v>
      </x:c>
    </x:row>
    <x:row r="1394">
      <x:c r="A1394" s="13" t="str">
        <x:v>1031</x:v>
      </x:c>
      <x:c r="B1394" s="14" t="str"/>
      <x:c r="C1394" s="14" t="str">
        <x:v>未評分</x:v>
      </x:c>
      <x:c r="D1394" s="14" t="str">
        <x:v>陳醫師</x:v>
      </x:c>
      <x:c r="E1394" s="6" t="str"/>
      <x:c r="F1394" s="6" t="str">
        <x:v>病歷紀錄</x:v>
      </x:c>
      <x:c r="G1394" s="19" t="str"/>
      <x:c r="H1394" s="17" t="str">
        <x:v>未評分</x:v>
      </x:c>
      <x:c r="I1394" s="6" t="n">
        <x:v>105</x:v>
      </x:c>
    </x:row>
    <x:row r="1395">
      <x:c r="A1395" s="13" t="str">
        <x:v>1031</x:v>
      </x:c>
      <x:c r="B1395" s="14" t="str"/>
      <x:c r="C1395" s="14" t="str">
        <x:v>未評分</x:v>
      </x:c>
      <x:c r="D1395" s="14" t="str">
        <x:v>陳醫師</x:v>
      </x:c>
      <x:c r="E1395" s="6" t="str"/>
      <x:c r="F1395" s="6" t="str">
        <x:v>拍PANO、PA</x:v>
      </x:c>
      <x:c r="G1395" s="19" t="str"/>
      <x:c r="H1395" s="17" t="str">
        <x:v>未評分</x:v>
      </x:c>
      <x:c r="I1395" s="6" t="n">
        <x:v>106</x:v>
      </x:c>
    </x:row>
    <x:row r="1396">
      <x:c r="A1396" s="13" t="str">
        <x:v>1031</x:v>
      </x:c>
      <x:c r="B1396" s="14" t="str"/>
      <x:c r="C1396" s="14" t="str">
        <x:v>未評分</x:v>
      </x:c>
      <x:c r="D1396" s="14" t="str">
        <x:v>陳醫師</x:v>
      </x:c>
      <x:c r="E1396" s="6" t="str"/>
      <x:c r="F1396" s="6" t="str">
        <x:v>X光片紀錄</x:v>
      </x:c>
      <x:c r="G1396" s="19" t="str"/>
      <x:c r="H1396" s="17" t="str">
        <x:v>未評分</x:v>
      </x:c>
      <x:c r="I1396" s="6" t="n">
        <x:v>107</x:v>
      </x:c>
    </x:row>
    <x:row r="1397">
      <x:c r="A1397" s="13" t="str">
        <x:v>1031</x:v>
      </x:c>
      <x:c r="B1397" s="14" t="str"/>
      <x:c r="C1397" s="14" t="str">
        <x:v>未評分</x:v>
      </x:c>
      <x:c r="D1397" s="14" t="str">
        <x:v>陳醫師</x:v>
      </x:c>
      <x:c r="E1397" s="6" t="str"/>
      <x:c r="F1397" s="6" t="str">
        <x:v>健保申報</x:v>
      </x:c>
      <x:c r="G1397" s="19" t="str"/>
      <x:c r="H1397" s="17" t="str">
        <x:v>未評分</x:v>
      </x:c>
      <x:c r="I1397" s="6" t="n">
        <x:v>108</x:v>
      </x:c>
    </x:row>
    <x:row r="1398">
      <x:c r="A1398" s="13" t="str">
        <x:v>1031</x:v>
      </x:c>
      <x:c r="B1398" s="14" t="str"/>
      <x:c r="C1398" s="14" t="str">
        <x:v>未評分</x:v>
      </x:c>
      <x:c r="D1398" s="14" t="str">
        <x:v>陳醫師</x:v>
      </x:c>
      <x:c r="E1398" s="6" t="str"/>
      <x:c r="F1398" s="6" t="str">
        <x:v>固定假牙</x:v>
      </x:c>
      <x:c r="G1398" s="19" t="str"/>
      <x:c r="H1398" s="17" t="str">
        <x:v>未評分</x:v>
      </x:c>
      <x:c r="I1398" s="6" t="n">
        <x:v>109</x:v>
      </x:c>
    </x:row>
    <x:row r="1399">
      <x:c r="A1399" s="13" t="str">
        <x:v>1031</x:v>
      </x:c>
      <x:c r="B1399" s="14" t="str"/>
      <x:c r="C1399" s="14" t="str">
        <x:v>未評分</x:v>
      </x:c>
      <x:c r="D1399" s="14" t="str">
        <x:v>陳醫師</x:v>
      </x:c>
      <x:c r="E1399" s="6" t="str"/>
      <x:c r="F1399" s="6" t="str">
        <x:v>顯微根管</x:v>
      </x:c>
      <x:c r="G1399" s="19" t="str"/>
      <x:c r="H1399" s="17" t="str">
        <x:v>未評分</x:v>
      </x:c>
      <x:c r="I1399" s="6" t="n">
        <x:v>110</x:v>
      </x:c>
    </x:row>
    <x:row r="1400">
      <x:c r="A1400" s="13" t="str">
        <x:v>1031</x:v>
      </x:c>
      <x:c r="B1400" s="14" t="str"/>
      <x:c r="C1400" s="14" t="str">
        <x:v>未評分</x:v>
      </x:c>
      <x:c r="D1400" s="14" t="str">
        <x:v>櫃台</x:v>
      </x:c>
      <x:c r="E1400" s="6" t="str"/>
      <x:c r="F1400" s="6" t="str">
        <x:v>掛號處理(含初診處理)開立一般收據及藥單</x:v>
      </x:c>
      <x:c r="G1400" s="19" t="str"/>
      <x:c r="H1400" s="17" t="str">
        <x:v>未評分</x:v>
      </x:c>
      <x:c r="I1400" s="6" t="n">
        <x:v>111</x:v>
      </x:c>
    </x:row>
    <x:row r="1401">
      <x:c r="A1401" s="13" t="str">
        <x:v>1031</x:v>
      </x:c>
      <x:c r="B1401" s="14" t="str"/>
      <x:c r="C1401" s="14" t="str">
        <x:v>未評分</x:v>
      </x:c>
      <x:c r="D1401" s="14" t="str">
        <x:v>櫃台</x:v>
      </x:c>
      <x:c r="E1401" s="6" t="str"/>
      <x:c r="F1401" s="6" t="str">
        <x:v>收費紀錄</x:v>
      </x:c>
      <x:c r="G1401" s="19" t="str"/>
      <x:c r="H1401" s="17" t="str">
        <x:v>未評分</x:v>
      </x:c>
      <x:c r="I1401" s="6" t="n">
        <x:v>112</x:v>
      </x:c>
    </x:row>
    <x:row r="1402">
      <x:c r="A1402" s="13" t="str">
        <x:v>1031</x:v>
      </x:c>
      <x:c r="B1402" s="14" t="str"/>
      <x:c r="C1402" s="14" t="str">
        <x:v>未評分</x:v>
      </x:c>
      <x:c r="D1402" s="14" t="str">
        <x:v>櫃台</x:v>
      </x:c>
      <x:c r="E1402" s="6" t="str"/>
      <x:c r="F1402" s="6" t="str">
        <x:v>病歷整理</x:v>
      </x:c>
      <x:c r="G1402" s="19" t="str"/>
      <x:c r="H1402" s="17" t="str">
        <x:v>未評分</x:v>
      </x:c>
      <x:c r="I1402" s="6" t="n">
        <x:v>113</x:v>
      </x:c>
    </x:row>
    <x:row r="1403">
      <x:c r="A1403" s="13" t="str">
        <x:v>1031</x:v>
      </x:c>
      <x:c r="B1403" s="14" t="str"/>
      <x:c r="C1403" s="14" t="str">
        <x:v>未評分</x:v>
      </x:c>
      <x:c r="D1403" s="14" t="str">
        <x:v>櫃台</x:v>
      </x:c>
      <x:c r="E1403" s="6" t="str"/>
      <x:c r="F1403" s="6" t="str">
        <x:v>治療同意書填寫</x:v>
      </x:c>
      <x:c r="G1403" s="19" t="str"/>
      <x:c r="H1403" s="17" t="str">
        <x:v>未評分</x:v>
      </x:c>
      <x:c r="I1403" s="6" t="n">
        <x:v>114</x:v>
      </x:c>
    </x:row>
    <x:row r="1404">
      <x:c r="A1404" s="13" t="str">
        <x:v>1031</x:v>
      </x:c>
      <x:c r="B1404" s="14" t="str"/>
      <x:c r="C1404" s="14" t="str">
        <x:v>未評分</x:v>
      </x:c>
      <x:c r="D1404" s="14" t="str">
        <x:v>櫃台</x:v>
      </x:c>
      <x:c r="E1404" s="6" t="str"/>
      <x:c r="F1404" s="6" t="str">
        <x:v>與患者應對</x:v>
      </x:c>
      <x:c r="G1404" s="19" t="str"/>
      <x:c r="H1404" s="17" t="str">
        <x:v>未評分</x:v>
      </x:c>
      <x:c r="I1404" s="6" t="n">
        <x:v>115</x:v>
      </x:c>
    </x:row>
    <x:row r="1405">
      <x:c r="A1405" s="13" t="str">
        <x:v>1031</x:v>
      </x:c>
      <x:c r="B1405" s="14" t="str"/>
      <x:c r="C1405" s="14" t="str">
        <x:v>未評分</x:v>
      </x:c>
      <x:c r="D1405" s="14" t="str">
        <x:v>櫃台</x:v>
      </x:c>
      <x:c r="E1405" s="6" t="str"/>
      <x:c r="F1405" s="6" t="str">
        <x:v>約診</x:v>
      </x:c>
      <x:c r="G1405" s="19" t="str"/>
      <x:c r="H1405" s="17" t="str">
        <x:v>未評分</x:v>
      </x:c>
      <x:c r="I1405" s="6" t="n">
        <x:v>116</x:v>
      </x:c>
    </x:row>
    <x:row r="1406">
      <x:c r="A1406" s="13" t="str">
        <x:v>1031</x:v>
      </x:c>
      <x:c r="B1406" s="14" t="str"/>
      <x:c r="C1406" s="14" t="str">
        <x:v>未評分</x:v>
      </x:c>
      <x:c r="D1406" s="14" t="str">
        <x:v>櫃台</x:v>
      </x:c>
      <x:c r="E1406" s="6" t="str"/>
      <x:c r="F1406" s="6" t="str">
        <x:v>報表製作</x:v>
      </x:c>
      <x:c r="G1406" s="19" t="str"/>
      <x:c r="H1406" s="17" t="str">
        <x:v>未評分</x:v>
      </x:c>
      <x:c r="I1406" s="6" t="n">
        <x:v>117</x:v>
      </x:c>
    </x:row>
    <x:row r="1407">
      <x:c r="A1407" s="13" t="str">
        <x:v>1031</x:v>
      </x:c>
      <x:c r="B1407" s="14" t="str"/>
      <x:c r="C1407" s="14" t="str">
        <x:v>未評分</x:v>
      </x:c>
      <x:c r="D1407" s="14" t="str">
        <x:v>櫃台</x:v>
      </x:c>
      <x:c r="E1407" s="6" t="str"/>
      <x:c r="F1407" s="6" t="str">
        <x:v>診斷證明書</x:v>
      </x:c>
      <x:c r="G1407" s="19" t="str"/>
      <x:c r="H1407" s="17" t="str">
        <x:v>未評分</x:v>
      </x:c>
      <x:c r="I1407" s="6" t="n">
        <x:v>118</x:v>
      </x:c>
    </x:row>
    <x:row r="1408">
      <x:c r="A1408" s="13" t="str">
        <x:v>1031</x:v>
      </x:c>
      <x:c r="B1408" s="14" t="str"/>
      <x:c r="C1408" s="14" t="str">
        <x:v>未評分</x:v>
      </x:c>
      <x:c r="D1408" s="14" t="str">
        <x:v>櫃台</x:v>
      </x:c>
      <x:c r="E1408" s="6" t="str"/>
      <x:c r="F1408" s="6" t="str">
        <x:v>牙統VPN</x:v>
      </x:c>
      <x:c r="G1408" s="19" t="str"/>
      <x:c r="H1408" s="17" t="str">
        <x:v>未評分</x:v>
      </x:c>
      <x:c r="I1408" s="6" t="n">
        <x:v>119</x:v>
      </x:c>
    </x:row>
    <x:row r="1409">
      <x:c r="A1409" s="13" t="str">
        <x:v>1031</x:v>
      </x:c>
      <x:c r="B1409" s="14" t="str"/>
      <x:c r="C1409" s="14" t="str">
        <x:v>未評分</x:v>
      </x:c>
      <x:c r="D1409" s="14" t="str">
        <x:v>櫃台</x:v>
      </x:c>
      <x:c r="E1409" s="6" t="str"/>
      <x:c r="F1409" s="6" t="str">
        <x:v>病歷檢查核對</x:v>
      </x:c>
      <x:c r="G1409" s="19" t="str"/>
      <x:c r="H1409" s="17" t="str">
        <x:v>未評分</x:v>
      </x:c>
      <x:c r="I1409" s="6" t="n">
        <x:v>120</x:v>
      </x:c>
    </x:row>
    <x:row r="1410">
      <x:c r="A1410" s="13" t="str">
        <x:v>1031</x:v>
      </x:c>
      <x:c r="B1410" s="14" t="str"/>
      <x:c r="C1410" s="14" t="str">
        <x:v>未評分</x:v>
      </x:c>
      <x:c r="D1410" s="14" t="str">
        <x:v>櫃台</x:v>
      </x:c>
      <x:c r="E1410" s="6" t="str"/>
      <x:c r="F1410" s="6" t="str">
        <x:v>抽審資料處理</x:v>
      </x:c>
      <x:c r="G1410" s="19" t="str"/>
      <x:c r="H1410" s="17" t="str">
        <x:v>未評分</x:v>
      </x:c>
      <x:c r="I1410" s="6" t="n">
        <x:v>121</x:v>
      </x:c>
    </x:row>
    <x:row r="1411">
      <x:c r="A1411" s="13" t="str">
        <x:v>2006</x:v>
      </x:c>
      <x:c r="B1411" s="14" t="str"/>
      <x:c r="C1411" s="14" t="str">
        <x:v>Lv.2</x:v>
      </x:c>
      <x:c r="D1411" s="14" t="str">
        <x:v>流動工作</x:v>
      </x:c>
      <x:c r="E1411" s="6" t="str"/>
      <x:c r="F1411" s="6" t="str">
        <x:v>撤備台</x:v>
      </x:c>
      <x:c r="G1411" s="19" t="str">
        <x:v>◎</x:v>
      </x:c>
      <x:c r="H1411" s="17" t="str">
        <x:v>熟練</x:v>
      </x:c>
      <x:c r="I1411" s="6" t="n">
        <x:v>5</x:v>
      </x:c>
    </x:row>
    <x:row r="1412">
      <x:c r="A1412" s="13" t="str">
        <x:v>2006</x:v>
      </x:c>
      <x:c r="B1412" s="14" t="str"/>
      <x:c r="C1412" s="14" t="str">
        <x:v>Lv.2</x:v>
      </x:c>
      <x:c r="D1412" s="14" t="str">
        <x:v>流動工作</x:v>
      </x:c>
      <x:c r="E1412" s="6" t="str"/>
      <x:c r="F1412" s="6" t="str">
        <x:v>器械清消流程</x:v>
      </x:c>
      <x:c r="G1412" s="19" t="str">
        <x:v>◎</x:v>
      </x:c>
      <x:c r="H1412" s="17" t="str">
        <x:v>熟練</x:v>
      </x:c>
      <x:c r="I1412" s="6" t="n">
        <x:v>6</x:v>
      </x:c>
    </x:row>
    <x:row r="1413">
      <x:c r="A1413" s="13" t="str">
        <x:v>2006</x:v>
      </x:c>
      <x:c r="B1413" s="14" t="str"/>
      <x:c r="C1413" s="14" t="str">
        <x:v>Lv.2</x:v>
      </x:c>
      <x:c r="D1413" s="14" t="str">
        <x:v>流動工作</x:v>
      </x:c>
      <x:c r="E1413" s="6" t="str"/>
      <x:c r="F1413" s="6" t="str">
        <x:v>認識治療項目</x:v>
      </x:c>
      <x:c r="G1413" s="19" t="str">
        <x:v>※</x:v>
      </x:c>
      <x:c r="H1413" s="17" t="str">
        <x:v>學習中</x:v>
      </x:c>
      <x:c r="I1413" s="6" t="n">
        <x:v>7</x:v>
      </x:c>
    </x:row>
    <x:row r="1414">
      <x:c r="A1414" s="13" t="str">
        <x:v>2006</x:v>
      </x:c>
      <x:c r="B1414" s="14" t="str"/>
      <x:c r="C1414" s="14" t="str">
        <x:v>Lv.2</x:v>
      </x:c>
      <x:c r="D1414" s="14" t="str">
        <x:v>流動工作</x:v>
      </x:c>
      <x:c r="E1414" s="6" t="str"/>
      <x:c r="F1414" s="6" t="str">
        <x:v>替代跟診人員灌模</x:v>
      </x:c>
      <x:c r="G1414" s="19" t="str">
        <x:v>△</x:v>
      </x:c>
      <x:c r="H1414" s="17" t="str">
        <x:v>需加強</x:v>
      </x:c>
      <x:c r="I1414" s="6" t="n">
        <x:v>8</x:v>
      </x:c>
    </x:row>
    <x:row r="1415">
      <x:c r="A1415" s="13" t="str">
        <x:v>2006</x:v>
      </x:c>
      <x:c r="B1415" s="14" t="str"/>
      <x:c r="C1415" s="14" t="str">
        <x:v>Lv.2</x:v>
      </x:c>
      <x:c r="D1415" s="14" t="str">
        <x:v>流動工作</x:v>
      </x:c>
      <x:c r="E1415" s="6" t="str"/>
      <x:c r="F1415" s="6" t="str">
        <x:v>拍攝X光片(PANO)</x:v>
      </x:c>
      <x:c r="G1415" s="19" t="str">
        <x:v>◎</x:v>
      </x:c>
      <x:c r="H1415" s="17" t="str">
        <x:v>熟練</x:v>
      </x:c>
      <x:c r="I1415" s="6" t="n">
        <x:v>9</x:v>
      </x:c>
    </x:row>
    <x:row r="1416">
      <x:c r="A1416" s="13" t="str">
        <x:v>2006</x:v>
      </x:c>
      <x:c r="B1416" s="14" t="str"/>
      <x:c r="C1416" s="14" t="str">
        <x:v>Lv.2</x:v>
      </x:c>
      <x:c r="D1416" s="14" t="str">
        <x:v>流動工作</x:v>
      </x:c>
      <x:c r="E1416" s="6" t="str"/>
      <x:c r="F1416" s="6" t="str">
        <x:v>拍攝根尖片(用鱷魚夾)</x:v>
      </x:c>
      <x:c r="G1416" s="19" t="str">
        <x:v>Ø</x:v>
      </x:c>
      <x:c r="H1416" s="17" t="str">
        <x:v>尚未熟練</x:v>
      </x:c>
      <x:c r="I1416" s="6" t="n">
        <x:v>10</x:v>
      </x:c>
    </x:row>
    <x:row r="1417">
      <x:c r="A1417" s="13" t="str">
        <x:v>2006</x:v>
      </x:c>
      <x:c r="B1417" s="14" t="str"/>
      <x:c r="C1417" s="14" t="str">
        <x:v>Lv.2</x:v>
      </x:c>
      <x:c r="D1417" s="14" t="str">
        <x:v>流動工作</x:v>
      </x:c>
      <x:c r="E1417" s="6" t="str"/>
      <x:c r="F1417" s="6" t="str">
        <x:v>拍攝根尖片(手壓片)</x:v>
      </x:c>
      <x:c r="G1417" s="19" t="str">
        <x:v>※</x:v>
      </x:c>
      <x:c r="H1417" s="17" t="str">
        <x:v>學習中</x:v>
      </x:c>
      <x:c r="I1417" s="6" t="n">
        <x:v>11</x:v>
      </x:c>
    </x:row>
    <x:row r="1418">
      <x:c r="A1418" s="13" t="str">
        <x:v>2006</x:v>
      </x:c>
      <x:c r="B1418" s="14" t="str"/>
      <x:c r="C1418" s="14" t="str">
        <x:v>Lv.2</x:v>
      </x:c>
      <x:c r="D1418" s="14" t="str">
        <x:v>流動工作</x:v>
      </x:c>
      <x:c r="E1418" s="6" t="str"/>
      <x:c r="F1418" s="6" t="str">
        <x:v>開、關診工作</x:v>
      </x:c>
      <x:c r="G1418" s="19" t="str">
        <x:v>◎</x:v>
      </x:c>
      <x:c r="H1418" s="17" t="str">
        <x:v>熟練</x:v>
      </x:c>
      <x:c r="I1418" s="6" t="n">
        <x:v>12</x:v>
      </x:c>
    </x:row>
    <x:row r="1419">
      <x:c r="A1419" s="13" t="str">
        <x:v>2006</x:v>
      </x:c>
      <x:c r="B1419" s="14" t="str"/>
      <x:c r="C1419" s="14" t="str">
        <x:v>Lv.2</x:v>
      </x:c>
      <x:c r="D1419" s="14" t="str">
        <x:v>流動工作</x:v>
      </x:c>
      <x:c r="E1419" s="6" t="str"/>
      <x:c r="F1419" s="6" t="str">
        <x:v>備品補充+器械安全庫存</x:v>
      </x:c>
      <x:c r="G1419" s="19" t="str">
        <x:v>◎</x:v>
      </x:c>
      <x:c r="H1419" s="17" t="str">
        <x:v>熟練</x:v>
      </x:c>
      <x:c r="I1419" s="6" t="n">
        <x:v>13</x:v>
      </x:c>
    </x:row>
    <x:row r="1420">
      <x:c r="A1420" s="13" t="str">
        <x:v>2006</x:v>
      </x:c>
      <x:c r="B1420" s="14" t="str"/>
      <x:c r="C1420" s="14" t="str">
        <x:v>Lv.2</x:v>
      </x:c>
      <x:c r="D1420" s="14" t="str">
        <x:v>衛教</x:v>
      </x:c>
      <x:c r="E1420" s="6" t="str"/>
      <x:c r="F1420" s="6" t="str">
        <x:v>基礎衛教</x:v>
      </x:c>
      <x:c r="G1420" s="19" t="str">
        <x:v>◎</x:v>
      </x:c>
      <x:c r="H1420" s="17" t="str">
        <x:v>熟練</x:v>
      </x:c>
      <x:c r="I1420" s="6" t="n">
        <x:v>14</x:v>
      </x:c>
    </x:row>
    <x:row r="1421">
      <x:c r="A1421" s="13" t="str">
        <x:v>2006</x:v>
      </x:c>
      <x:c r="B1421" s="14" t="str"/>
      <x:c r="C1421" s="14" t="str">
        <x:v>Lv.2</x:v>
      </x:c>
      <x:c r="D1421" s="14" t="str">
        <x:v>衛教</x:v>
      </x:c>
      <x:c r="E1421" s="6" t="str"/>
      <x:c r="F1421" s="6" t="str">
        <x:v>進階衛教</x:v>
      </x:c>
      <x:c r="G1421" s="19" t="str">
        <x:v>◎</x:v>
      </x:c>
      <x:c r="H1421" s="17" t="str">
        <x:v>熟練</x:v>
      </x:c>
      <x:c r="I1421" s="6" t="n">
        <x:v>15</x:v>
      </x:c>
    </x:row>
    <x:row r="1422">
      <x:c r="A1422" s="13" t="str">
        <x:v>2006</x:v>
      </x:c>
      <x:c r="B1422" s="14" t="str"/>
      <x:c r="C1422" s="14" t="str">
        <x:v>Lv.2</x:v>
      </x:c>
      <x:c r="D1422" s="14" t="str">
        <x:v>李柄輝醫師</x:v>
      </x:c>
      <x:c r="E1422" s="6" t="str">
        <x:v>器械準備</x:v>
      </x:c>
      <x:c r="F1422" s="6" t="str">
        <x:v>洗牙</x:v>
      </x:c>
      <x:c r="G1422" s="19" t="str"/>
      <x:c r="H1422" s="17" t="str">
        <x:v>未評分</x:v>
      </x:c>
      <x:c r="I1422" s="6" t="n">
        <x:v>16</x:v>
      </x:c>
    </x:row>
    <x:row r="1423">
      <x:c r="A1423" s="13" t="str">
        <x:v>2006</x:v>
      </x:c>
      <x:c r="B1423" s="14" t="str"/>
      <x:c r="C1423" s="14" t="str">
        <x:v>Lv.2</x:v>
      </x:c>
      <x:c r="D1423" s="14" t="str">
        <x:v>李柄輝醫師</x:v>
      </x:c>
      <x:c r="E1423" s="6" t="str">
        <x:v>器械準備</x:v>
      </x:c>
      <x:c r="F1423" s="6" t="str">
        <x:v>補牙</x:v>
      </x:c>
      <x:c r="G1423" s="19" t="str"/>
      <x:c r="H1423" s="17" t="str">
        <x:v>未評分</x:v>
      </x:c>
      <x:c r="I1423" s="6" t="n">
        <x:v>17</x:v>
      </x:c>
    </x:row>
    <x:row r="1424">
      <x:c r="A1424" s="13" t="str">
        <x:v>2006</x:v>
      </x:c>
      <x:c r="B1424" s="14" t="str"/>
      <x:c r="C1424" s="14" t="str">
        <x:v>Lv.2</x:v>
      </x:c>
      <x:c r="D1424" s="14" t="str">
        <x:v>李柄輝醫師</x:v>
      </x:c>
      <x:c r="E1424" s="6" t="str">
        <x:v>器械準備</x:v>
      </x:c>
      <x:c r="F1424" s="6" t="str">
        <x:v>牙周統合</x:v>
      </x:c>
      <x:c r="G1424" s="19" t="str"/>
      <x:c r="H1424" s="17" t="str">
        <x:v>未評分</x:v>
      </x:c>
      <x:c r="I1424" s="6" t="n">
        <x:v>18</x:v>
      </x:c>
    </x:row>
    <x:row r="1425">
      <x:c r="A1425" s="13" t="str">
        <x:v>2006</x:v>
      </x:c>
      <x:c r="B1425" s="14" t="str"/>
      <x:c r="C1425" s="14" t="str">
        <x:v>Lv.2</x:v>
      </x:c>
      <x:c r="D1425" s="14" t="str">
        <x:v>李柄輝醫師</x:v>
      </x:c>
      <x:c r="E1425" s="6" t="str">
        <x:v>器械準備</x:v>
      </x:c>
      <x:c r="F1425" s="6" t="str">
        <x:v>根管治療(插針照)</x:v>
      </x:c>
      <x:c r="G1425" s="19" t="str"/>
      <x:c r="H1425" s="17" t="str">
        <x:v>未評分</x:v>
      </x:c>
      <x:c r="I1425" s="6" t="n">
        <x:v>19</x:v>
      </x:c>
    </x:row>
    <x:row r="1426">
      <x:c r="A1426" s="13" t="str">
        <x:v>2006</x:v>
      </x:c>
      <x:c r="B1426" s="14" t="str"/>
      <x:c r="C1426" s="14" t="str">
        <x:v>Lv.2</x:v>
      </x:c>
      <x:c r="D1426" s="14" t="str">
        <x:v>李柄輝醫師</x:v>
      </x:c>
      <x:c r="E1426" s="6" t="str">
        <x:v>器械準備</x:v>
      </x:c>
      <x:c r="F1426" s="6" t="str">
        <x:v>拆crown/post</x:v>
      </x:c>
      <x:c r="G1426" s="19" t="str"/>
      <x:c r="H1426" s="17" t="str">
        <x:v>未評分</x:v>
      </x:c>
      <x:c r="I1426" s="6" t="n">
        <x:v>20</x:v>
      </x:c>
    </x:row>
    <x:row r="1427">
      <x:c r="A1427" s="13" t="str">
        <x:v>2006</x:v>
      </x:c>
      <x:c r="B1427" s="14" t="str"/>
      <x:c r="C1427" s="14" t="str">
        <x:v>Lv.2</x:v>
      </x:c>
      <x:c r="D1427" s="14" t="str">
        <x:v>李柄輝醫師</x:v>
      </x:c>
      <x:c r="E1427" s="6" t="str">
        <x:v>器械準備</x:v>
      </x:c>
      <x:c r="F1427" s="6" t="str">
        <x:v>拔牙</x:v>
      </x:c>
      <x:c r="G1427" s="19" t="str"/>
      <x:c r="H1427" s="17" t="str">
        <x:v>未評分</x:v>
      </x:c>
      <x:c r="I1427" s="6" t="n">
        <x:v>21</x:v>
      </x:c>
    </x:row>
    <x:row r="1428">
      <x:c r="A1428" s="13" t="str">
        <x:v>2006</x:v>
      </x:c>
      <x:c r="B1428" s="14" t="str"/>
      <x:c r="C1428" s="14" t="str">
        <x:v>Lv.2</x:v>
      </x:c>
      <x:c r="D1428" s="14" t="str">
        <x:v>李柄輝醫師</x:v>
      </x:c>
      <x:c r="E1428" s="6" t="str">
        <x:v>自費</x:v>
      </x:c>
      <x:c r="F1428" s="6" t="str">
        <x:v>固定假牙(黏著劑)</x:v>
      </x:c>
      <x:c r="G1428" s="19" t="str"/>
      <x:c r="H1428" s="17" t="str">
        <x:v>未評分</x:v>
      </x:c>
      <x:c r="I1428" s="6" t="n">
        <x:v>22</x:v>
      </x:c>
    </x:row>
    <x:row r="1429">
      <x:c r="A1429" s="13" t="str">
        <x:v>2006</x:v>
      </x:c>
      <x:c r="B1429" s="14" t="str"/>
      <x:c r="C1429" s="14" t="str">
        <x:v>Lv.2</x:v>
      </x:c>
      <x:c r="D1429" s="14" t="str">
        <x:v>李柄輝醫師</x:v>
      </x:c>
      <x:c r="E1429" s="6" t="str"/>
      <x:c r="F1429" s="6" t="str">
        <x:v>跟診順暢度</x:v>
      </x:c>
      <x:c r="G1429" s="19" t="str"/>
      <x:c r="H1429" s="17" t="str">
        <x:v>未評分</x:v>
      </x:c>
      <x:c r="I1429" s="6" t="n">
        <x:v>23</x:v>
      </x:c>
    </x:row>
    <x:row r="1430">
      <x:c r="A1430" s="13" t="str">
        <x:v>2006</x:v>
      </x:c>
      <x:c r="B1430" s="14" t="str"/>
      <x:c r="C1430" s="14" t="str">
        <x:v>Lv.2</x:v>
      </x:c>
      <x:c r="D1430" s="14" t="str">
        <x:v>李柄輝醫師</x:v>
      </x:c>
      <x:c r="E1430" s="6" t="str"/>
      <x:c r="F1430" s="6" t="str">
        <x:v>病歷紀錄</x:v>
      </x:c>
      <x:c r="G1430" s="19" t="str"/>
      <x:c r="H1430" s="17" t="str">
        <x:v>未評分</x:v>
      </x:c>
      <x:c r="I1430" s="6" t="n">
        <x:v>24</x:v>
      </x:c>
    </x:row>
    <x:row r="1431">
      <x:c r="A1431" s="13" t="str">
        <x:v>2006</x:v>
      </x:c>
      <x:c r="B1431" s="14" t="str"/>
      <x:c r="C1431" s="14" t="str">
        <x:v>Lv.2</x:v>
      </x:c>
      <x:c r="D1431" s="14" t="str">
        <x:v>李柄輝醫師</x:v>
      </x:c>
      <x:c r="E1431" s="6" t="str"/>
      <x:c r="F1431" s="6" t="str">
        <x:v>健保申報</x:v>
      </x:c>
      <x:c r="G1431" s="19" t="str"/>
      <x:c r="H1431" s="17" t="str">
        <x:v>未評分</x:v>
      </x:c>
      <x:c r="I1431" s="6" t="n">
        <x:v>25</x:v>
      </x:c>
    </x:row>
    <x:row r="1432">
      <x:c r="A1432" s="13" t="str">
        <x:v>2006</x:v>
      </x:c>
      <x:c r="B1432" s="14" t="str"/>
      <x:c r="C1432" s="14" t="str">
        <x:v>Lv.2</x:v>
      </x:c>
      <x:c r="D1432" s="14" t="str">
        <x:v>李柄輝醫師</x:v>
      </x:c>
      <x:c r="E1432" s="6" t="str"/>
      <x:c r="F1432" s="6" t="str">
        <x:v>X光片紀錄</x:v>
      </x:c>
      <x:c r="G1432" s="19" t="str"/>
      <x:c r="H1432" s="17" t="str">
        <x:v>未評分</x:v>
      </x:c>
      <x:c r="I1432" s="6" t="n">
        <x:v>26</x:v>
      </x:c>
    </x:row>
    <x:row r="1433">
      <x:c r="A1433" s="13" t="str">
        <x:v>2006</x:v>
      </x:c>
      <x:c r="B1433" s="14" t="str"/>
      <x:c r="C1433" s="14" t="str">
        <x:v>Lv.2</x:v>
      </x:c>
      <x:c r="D1433" s="14" t="str">
        <x:v>李柄輝醫師</x:v>
      </x:c>
      <x:c r="E1433" s="6" t="str"/>
      <x:c r="F1433" s="6" t="str">
        <x:v>拍PA</x:v>
      </x:c>
      <x:c r="G1433" s="19" t="str"/>
      <x:c r="H1433" s="17" t="str">
        <x:v>未評分</x:v>
      </x:c>
      <x:c r="I1433" s="6" t="n">
        <x:v>27</x:v>
      </x:c>
    </x:row>
    <x:row r="1434">
      <x:c r="A1434" s="13" t="str">
        <x:v>2006</x:v>
      </x:c>
      <x:c r="B1434" s="14" t="str"/>
      <x:c r="C1434" s="14" t="str">
        <x:v>Lv.2</x:v>
      </x:c>
      <x:c r="D1434" s="14" t="str">
        <x:v>李侑津醫師</x:v>
      </x:c>
      <x:c r="E1434" s="6" t="str">
        <x:v>器械準備</x:v>
      </x:c>
      <x:c r="F1434" s="6" t="str">
        <x:v>洗牙</x:v>
      </x:c>
      <x:c r="G1434" s="19" t="str"/>
      <x:c r="H1434" s="17" t="str">
        <x:v>未評分</x:v>
      </x:c>
      <x:c r="I1434" s="6" t="n">
        <x:v>28</x:v>
      </x:c>
    </x:row>
    <x:row r="1435">
      <x:c r="A1435" s="13" t="str">
        <x:v>2006</x:v>
      </x:c>
      <x:c r="B1435" s="14" t="str"/>
      <x:c r="C1435" s="14" t="str">
        <x:v>Lv.2</x:v>
      </x:c>
      <x:c r="D1435" s="14" t="str">
        <x:v>李侑津醫師</x:v>
      </x:c>
      <x:c r="E1435" s="6" t="str">
        <x:v>器械準備</x:v>
      </x:c>
      <x:c r="F1435" s="6" t="str">
        <x:v>補牙</x:v>
      </x:c>
      <x:c r="G1435" s="19" t="str"/>
      <x:c r="H1435" s="17" t="str">
        <x:v>未評分</x:v>
      </x:c>
      <x:c r="I1435" s="6" t="n">
        <x:v>29</x:v>
      </x:c>
    </x:row>
    <x:row r="1436">
      <x:c r="A1436" s="13" t="str">
        <x:v>2006</x:v>
      </x:c>
      <x:c r="B1436" s="14" t="str"/>
      <x:c r="C1436" s="14" t="str">
        <x:v>Lv.2</x:v>
      </x:c>
      <x:c r="D1436" s="14" t="str">
        <x:v>李侑津醫師</x:v>
      </x:c>
      <x:c r="E1436" s="6" t="str">
        <x:v>器械準備</x:v>
      </x:c>
      <x:c r="F1436" s="6" t="str">
        <x:v>牙周統合</x:v>
      </x:c>
      <x:c r="G1436" s="19" t="str"/>
      <x:c r="H1436" s="17" t="str">
        <x:v>未評分</x:v>
      </x:c>
      <x:c r="I1436" s="6" t="n">
        <x:v>30</x:v>
      </x:c>
    </x:row>
    <x:row r="1437">
      <x:c r="A1437" s="13" t="str">
        <x:v>2006</x:v>
      </x:c>
      <x:c r="B1437" s="14" t="str"/>
      <x:c r="C1437" s="14" t="str">
        <x:v>Lv.2</x:v>
      </x:c>
      <x:c r="D1437" s="14" t="str">
        <x:v>李侑津醫師</x:v>
      </x:c>
      <x:c r="E1437" s="6" t="str">
        <x:v>器械準備</x:v>
      </x:c>
      <x:c r="F1437" s="6" t="str">
        <x:v>根管治療</x:v>
      </x:c>
      <x:c r="G1437" s="19" t="str"/>
      <x:c r="H1437" s="17" t="str">
        <x:v>未評分</x:v>
      </x:c>
      <x:c r="I1437" s="6" t="n">
        <x:v>31</x:v>
      </x:c>
    </x:row>
    <x:row r="1438">
      <x:c r="A1438" s="13" t="str">
        <x:v>2006</x:v>
      </x:c>
      <x:c r="B1438" s="14" t="str"/>
      <x:c r="C1438" s="14" t="str">
        <x:v>Lv.2</x:v>
      </x:c>
      <x:c r="D1438" s="14" t="str">
        <x:v>李侑津醫師</x:v>
      </x:c>
      <x:c r="E1438" s="6" t="str">
        <x:v>器械準備</x:v>
      </x:c>
      <x:c r="F1438" s="6" t="str">
        <x:v>拔牙</x:v>
      </x:c>
      <x:c r="G1438" s="19" t="str"/>
      <x:c r="H1438" s="17" t="str">
        <x:v>未評分</x:v>
      </x:c>
      <x:c r="I1438" s="6" t="n">
        <x:v>32</x:v>
      </x:c>
    </x:row>
    <x:row r="1439">
      <x:c r="A1439" s="13" t="str">
        <x:v>2006</x:v>
      </x:c>
      <x:c r="B1439" s="14" t="str"/>
      <x:c r="C1439" s="14" t="str">
        <x:v>Lv.2</x:v>
      </x:c>
      <x:c r="D1439" s="14" t="str">
        <x:v>李侑津醫師</x:v>
      </x:c>
      <x:c r="E1439" s="6" t="str">
        <x:v>器械準備</x:v>
      </x:c>
      <x:c r="F1439" s="6" t="str">
        <x:v>拆 crown/post</x:v>
      </x:c>
      <x:c r="G1439" s="19" t="str"/>
      <x:c r="H1439" s="17" t="str">
        <x:v>未評分</x:v>
      </x:c>
      <x:c r="I1439" s="6" t="n">
        <x:v>33</x:v>
      </x:c>
    </x:row>
    <x:row r="1440">
      <x:c r="A1440" s="13" t="str">
        <x:v>2006</x:v>
      </x:c>
      <x:c r="B1440" s="14" t="str"/>
      <x:c r="C1440" s="14" t="str">
        <x:v>Lv.2</x:v>
      </x:c>
      <x:c r="D1440" s="14" t="str">
        <x:v>李侑津醫師</x:v>
      </x:c>
      <x:c r="E1440" s="6" t="str">
        <x:v>自費</x:v>
      </x:c>
      <x:c r="F1440" s="6" t="str">
        <x:v>固定假牙</x:v>
      </x:c>
      <x:c r="G1440" s="19" t="str"/>
      <x:c r="H1440" s="17" t="str">
        <x:v>未評分</x:v>
      </x:c>
      <x:c r="I1440" s="6" t="n">
        <x:v>34</x:v>
      </x:c>
    </x:row>
    <x:row r="1441">
      <x:c r="A1441" s="13" t="str">
        <x:v>2006</x:v>
      </x:c>
      <x:c r="B1441" s="14" t="str"/>
      <x:c r="C1441" s="14" t="str">
        <x:v>Lv.2</x:v>
      </x:c>
      <x:c r="D1441" s="14" t="str">
        <x:v>李侑津醫師</x:v>
      </x:c>
      <x:c r="E1441" s="6" t="str">
        <x:v>自費</x:v>
      </x:c>
      <x:c r="F1441" s="6" t="str">
        <x:v>RPD</x:v>
      </x:c>
      <x:c r="G1441" s="19" t="str"/>
      <x:c r="H1441" s="17" t="str">
        <x:v>未評分</x:v>
      </x:c>
      <x:c r="I1441" s="6" t="n">
        <x:v>35</x:v>
      </x:c>
    </x:row>
    <x:row r="1442">
      <x:c r="A1442" s="13" t="str">
        <x:v>2006</x:v>
      </x:c>
      <x:c r="B1442" s="14" t="str"/>
      <x:c r="C1442" s="14" t="str">
        <x:v>Lv.2</x:v>
      </x:c>
      <x:c r="D1442" s="14" t="str">
        <x:v>李侑津醫師</x:v>
      </x:c>
      <x:c r="E1442" s="6" t="str">
        <x:v>自費</x:v>
      </x:c>
      <x:c r="F1442" s="6" t="str">
        <x:v>噴砂美白</x:v>
      </x:c>
      <x:c r="G1442" s="19" t="str"/>
      <x:c r="H1442" s="17" t="str">
        <x:v>未評分</x:v>
      </x:c>
      <x:c r="I1442" s="6" t="n">
        <x:v>36</x:v>
      </x:c>
    </x:row>
    <x:row r="1443">
      <x:c r="A1443" s="13" t="str">
        <x:v>2006</x:v>
      </x:c>
      <x:c r="B1443" s="14" t="str"/>
      <x:c r="C1443" s="14" t="str">
        <x:v>Lv.2</x:v>
      </x:c>
      <x:c r="D1443" s="14" t="str">
        <x:v>李侑津醫師</x:v>
      </x:c>
      <x:c r="E1443" s="6" t="str">
        <x:v>手術</x:v>
      </x:c>
      <x:c r="F1443" s="6" t="str">
        <x:v>牙周手術</x:v>
      </x:c>
      <x:c r="G1443" s="19" t="str"/>
      <x:c r="H1443" s="17" t="str">
        <x:v>未評分</x:v>
      </x:c>
      <x:c r="I1443" s="6" t="n">
        <x:v>37</x:v>
      </x:c>
    </x:row>
    <x:row r="1444">
      <x:c r="A1444" s="13" t="str">
        <x:v>2006</x:v>
      </x:c>
      <x:c r="B1444" s="14" t="str"/>
      <x:c r="C1444" s="14" t="str">
        <x:v>Lv.2</x:v>
      </x:c>
      <x:c r="D1444" s="14" t="str">
        <x:v>李侑津醫師</x:v>
      </x:c>
      <x:c r="E1444" s="6" t="str">
        <x:v>手術</x:v>
      </x:c>
      <x:c r="F1444" s="6" t="str">
        <x:v>顯微根管</x:v>
      </x:c>
      <x:c r="G1444" s="19" t="str"/>
      <x:c r="H1444" s="17" t="str">
        <x:v>未評分</x:v>
      </x:c>
      <x:c r="I1444" s="6" t="n">
        <x:v>38</x:v>
      </x:c>
    </x:row>
    <x:row r="1445">
      <x:c r="A1445" s="13" t="str">
        <x:v>2006</x:v>
      </x:c>
      <x:c r="B1445" s="14" t="str"/>
      <x:c r="C1445" s="14" t="str">
        <x:v>Lv.2</x:v>
      </x:c>
      <x:c r="D1445" s="14" t="str">
        <x:v>李侑津醫師</x:v>
      </x:c>
      <x:c r="E1445" s="6" t="str">
        <x:v>手術</x:v>
      </x:c>
      <x:c r="F1445" s="6" t="str">
        <x:v>植 牙</x:v>
      </x:c>
      <x:c r="G1445" s="19" t="str"/>
      <x:c r="H1445" s="17" t="str">
        <x:v>未評分</x:v>
      </x:c>
      <x:c r="I1445" s="6" t="n">
        <x:v>39</x:v>
      </x:c>
    </x:row>
    <x:row r="1446">
      <x:c r="A1446" s="13" t="str">
        <x:v>2006</x:v>
      </x:c>
      <x:c r="B1446" s="14" t="str"/>
      <x:c r="C1446" s="14" t="str">
        <x:v>Lv.2</x:v>
      </x:c>
      <x:c r="D1446" s="14" t="str">
        <x:v>李侑津醫師</x:v>
      </x:c>
      <x:c r="E1446" s="6" t="str"/>
      <x:c r="F1446" s="6" t="str">
        <x:v>跟診順暢度</x:v>
      </x:c>
      <x:c r="G1446" s="19" t="str"/>
      <x:c r="H1446" s="17" t="str">
        <x:v>未評分</x:v>
      </x:c>
      <x:c r="I1446" s="6" t="n">
        <x:v>40</x:v>
      </x:c>
    </x:row>
    <x:row r="1447">
      <x:c r="A1447" s="13" t="str">
        <x:v>2006</x:v>
      </x:c>
      <x:c r="B1447" s="14" t="str"/>
      <x:c r="C1447" s="14" t="str">
        <x:v>Lv.2</x:v>
      </x:c>
      <x:c r="D1447" s="14" t="str">
        <x:v>李侑津醫師</x:v>
      </x:c>
      <x:c r="E1447" s="6" t="str"/>
      <x:c r="F1447" s="6" t="str">
        <x:v>病歷紀錄</x:v>
      </x:c>
      <x:c r="G1447" s="19" t="str"/>
      <x:c r="H1447" s="17" t="str">
        <x:v>未評分</x:v>
      </x:c>
      <x:c r="I1447" s="6" t="n">
        <x:v>41</x:v>
      </x:c>
    </x:row>
    <x:row r="1448">
      <x:c r="A1448" s="13" t="str">
        <x:v>2006</x:v>
      </x:c>
      <x:c r="B1448" s="14" t="str"/>
      <x:c r="C1448" s="14" t="str">
        <x:v>Lv.2</x:v>
      </x:c>
      <x:c r="D1448" s="14" t="str">
        <x:v>李侑津醫師</x:v>
      </x:c>
      <x:c r="E1448" s="6" t="str"/>
      <x:c r="F1448" s="6" t="str">
        <x:v>健保申報</x:v>
      </x:c>
      <x:c r="G1448" s="19" t="str"/>
      <x:c r="H1448" s="17" t="str">
        <x:v>未評分</x:v>
      </x:c>
      <x:c r="I1448" s="6" t="n">
        <x:v>42</x:v>
      </x:c>
    </x:row>
    <x:row r="1449">
      <x:c r="A1449" s="13" t="str">
        <x:v>2006</x:v>
      </x:c>
      <x:c r="B1449" s="14" t="str"/>
      <x:c r="C1449" s="14" t="str">
        <x:v>Lv.2</x:v>
      </x:c>
      <x:c r="D1449" s="14" t="str">
        <x:v>李侑津醫師</x:v>
      </x:c>
      <x:c r="E1449" s="6" t="str"/>
      <x:c r="F1449" s="6" t="str">
        <x:v>X光片紀錄</x:v>
      </x:c>
      <x:c r="G1449" s="19" t="str"/>
      <x:c r="H1449" s="17" t="str">
        <x:v>未評分</x:v>
      </x:c>
      <x:c r="I1449" s="6" t="n">
        <x:v>43</x:v>
      </x:c>
    </x:row>
    <x:row r="1450">
      <x:c r="A1450" s="13" t="str">
        <x:v>2006</x:v>
      </x:c>
      <x:c r="B1450" s="14" t="str"/>
      <x:c r="C1450" s="14" t="str">
        <x:v>Lv.2</x:v>
      </x:c>
      <x:c r="D1450" s="14" t="str">
        <x:v>李侑津醫師</x:v>
      </x:c>
      <x:c r="E1450" s="6" t="str"/>
      <x:c r="F1450" s="6" t="str">
        <x:v>拍PA</x:v>
      </x:c>
      <x:c r="G1450" s="19" t="str"/>
      <x:c r="H1450" s="17" t="str">
        <x:v>未評分</x:v>
      </x:c>
      <x:c r="I1450" s="6" t="n">
        <x:v>44</x:v>
      </x:c>
    </x:row>
    <x:row r="1451">
      <x:c r="A1451" s="13" t="str">
        <x:v>2006</x:v>
      </x:c>
      <x:c r="B1451" s="14" t="str"/>
      <x:c r="C1451" s="14" t="str">
        <x:v>Lv.2</x:v>
      </x:c>
      <x:c r="D1451" s="14" t="str">
        <x:v>李侑津醫師</x:v>
      </x:c>
      <x:c r="E1451" s="6" t="str"/>
      <x:c r="F1451" s="6" t="str">
        <x:v>口掃機運用</x:v>
      </x:c>
      <x:c r="G1451" s="19" t="str"/>
      <x:c r="H1451" s="17" t="str">
        <x:v>未評分</x:v>
      </x:c>
      <x:c r="I1451" s="6" t="n">
        <x:v>45</x:v>
      </x:c>
    </x:row>
    <x:row r="1452">
      <x:c r="A1452" s="13" t="str">
        <x:v>2006</x:v>
      </x:c>
      <x:c r="B1452" s="14" t="str"/>
      <x:c r="C1452" s="14" t="str">
        <x:v>Lv.2</x:v>
      </x:c>
      <x:c r="D1452" s="14" t="str">
        <x:v>廖立揚醫師</x:v>
      </x:c>
      <x:c r="E1452" s="6" t="str"/>
      <x:c r="F1452" s="6" t="str">
        <x:v>器械熟悉度</x:v>
      </x:c>
      <x:c r="G1452" s="19" t="str"/>
      <x:c r="H1452" s="17" t="str">
        <x:v>未評分</x:v>
      </x:c>
      <x:c r="I1452" s="6" t="n">
        <x:v>46</x:v>
      </x:c>
    </x:row>
    <x:row r="1453">
      <x:c r="A1453" s="13" t="str">
        <x:v>2006</x:v>
      </x:c>
      <x:c r="B1453" s="14" t="str"/>
      <x:c r="C1453" s="14" t="str">
        <x:v>Lv.2</x:v>
      </x:c>
      <x:c r="D1453" s="14" t="str">
        <x:v>廖立揚醫師</x:v>
      </x:c>
      <x:c r="E1453" s="6" t="str"/>
      <x:c r="F1453" s="6" t="str">
        <x:v>跟診順暢度</x:v>
      </x:c>
      <x:c r="G1453" s="19" t="str"/>
      <x:c r="H1453" s="17" t="str">
        <x:v>未評分</x:v>
      </x:c>
      <x:c r="I1453" s="6" t="n">
        <x:v>47</x:v>
      </x:c>
    </x:row>
    <x:row r="1454">
      <x:c r="A1454" s="13" t="str">
        <x:v>2006</x:v>
      </x:c>
      <x:c r="B1454" s="14" t="str"/>
      <x:c r="C1454" s="14" t="str">
        <x:v>Lv.2</x:v>
      </x:c>
      <x:c r="D1454" s="14" t="str">
        <x:v>廖立揚醫師</x:v>
      </x:c>
      <x:c r="E1454" s="6" t="str"/>
      <x:c r="F1454" s="6" t="str">
        <x:v>病歷紀錄</x:v>
      </x:c>
      <x:c r="G1454" s="19" t="str"/>
      <x:c r="H1454" s="17" t="str">
        <x:v>未評分</x:v>
      </x:c>
      <x:c r="I1454" s="6" t="n">
        <x:v>48</x:v>
      </x:c>
    </x:row>
    <x:row r="1455">
      <x:c r="A1455" s="13" t="str">
        <x:v>2006</x:v>
      </x:c>
      <x:c r="B1455" s="14" t="str"/>
      <x:c r="C1455" s="14" t="str">
        <x:v>Lv.2</x:v>
      </x:c>
      <x:c r="D1455" s="14" t="str">
        <x:v>廖立揚醫師</x:v>
      </x:c>
      <x:c r="E1455" s="6" t="str"/>
      <x:c r="F1455" s="6" t="str">
        <x:v>健保申報(初診pano)</x:v>
      </x:c>
      <x:c r="G1455" s="19" t="str"/>
      <x:c r="H1455" s="17" t="str">
        <x:v>未評分</x:v>
      </x:c>
      <x:c r="I1455" s="6" t="n">
        <x:v>49</x:v>
      </x:c>
    </x:row>
    <x:row r="1456">
      <x:c r="A1456" s="13" t="str">
        <x:v>2006</x:v>
      </x:c>
      <x:c r="B1456" s="14" t="str"/>
      <x:c r="C1456" s="14" t="str">
        <x:v>Lv.2</x:v>
      </x:c>
      <x:c r="D1456" s="14" t="str">
        <x:v>廖立揚醫師</x:v>
      </x:c>
      <x:c r="E1456" s="6" t="str"/>
      <x:c r="F1456" s="6" t="str">
        <x:v>X光片紀錄</x:v>
      </x:c>
      <x:c r="G1456" s="19" t="str"/>
      <x:c r="H1456" s="17" t="str">
        <x:v>未評分</x:v>
      </x:c>
      <x:c r="I1456" s="6" t="n">
        <x:v>50</x:v>
      </x:c>
    </x:row>
    <x:row r="1457">
      <x:c r="A1457" s="13" t="str">
        <x:v>2006</x:v>
      </x:c>
      <x:c r="B1457" s="14" t="str"/>
      <x:c r="C1457" s="14" t="str">
        <x:v>Lv.2</x:v>
      </x:c>
      <x:c r="D1457" s="14" t="str">
        <x:v>廖立揚醫師</x:v>
      </x:c>
      <x:c r="E1457" s="6" t="str"/>
      <x:c r="F1457" s="6" t="str">
        <x:v>拍PANO、PA</x:v>
      </x:c>
      <x:c r="G1457" s="19" t="str"/>
      <x:c r="H1457" s="17" t="str">
        <x:v>未評分</x:v>
      </x:c>
      <x:c r="I1457" s="6" t="n">
        <x:v>51</x:v>
      </x:c>
    </x:row>
    <x:row r="1458">
      <x:c r="A1458" s="13" t="str">
        <x:v>2006</x:v>
      </x:c>
      <x:c r="B1458" s="14" t="str"/>
      <x:c r="C1458" s="14" t="str">
        <x:v>Lv.2</x:v>
      </x:c>
      <x:c r="D1458" s="14" t="str">
        <x:v>廖立揚醫師</x:v>
      </x:c>
      <x:c r="E1458" s="6" t="str"/>
      <x:c r="F1458" s="6" t="str">
        <x:v>CT照</x:v>
      </x:c>
      <x:c r="G1458" s="19" t="str"/>
      <x:c r="H1458" s="17" t="str">
        <x:v>未評分</x:v>
      </x:c>
      <x:c r="I1458" s="6" t="n">
        <x:v>52</x:v>
      </x:c>
    </x:row>
    <x:row r="1459">
      <x:c r="A1459" s="13" t="str">
        <x:v>2006</x:v>
      </x:c>
      <x:c r="B1459" s="14" t="str"/>
      <x:c r="C1459" s="14" t="str">
        <x:v>Lv.2</x:v>
      </x:c>
      <x:c r="D1459" s="14" t="str">
        <x:v>廖立揚醫師</x:v>
      </x:c>
      <x:c r="E1459" s="6" t="str"/>
      <x:c r="F1459" s="6" t="str">
        <x:v>側頭顱照</x:v>
      </x:c>
      <x:c r="G1459" s="19" t="str"/>
      <x:c r="H1459" s="17" t="str">
        <x:v>未評分</x:v>
      </x:c>
      <x:c r="I1459" s="6" t="n">
        <x:v>53</x:v>
      </x:c>
    </x:row>
    <x:row r="1460">
      <x:c r="A1460" s="13" t="str">
        <x:v>2006</x:v>
      </x:c>
      <x:c r="B1460" s="14" t="str"/>
      <x:c r="C1460" s="14" t="str">
        <x:v>Lv.2</x:v>
      </x:c>
      <x:c r="D1460" s="14" t="str">
        <x:v>廖立揚醫師</x:v>
      </x:c>
      <x:c r="E1460" s="6" t="str"/>
      <x:c r="F1460" s="6" t="str">
        <x:v>口掃機運用</x:v>
      </x:c>
      <x:c r="G1460" s="19" t="str"/>
      <x:c r="H1460" s="17" t="str">
        <x:v>未評分</x:v>
      </x:c>
      <x:c r="I1460" s="6" t="n">
        <x:v>54</x:v>
      </x:c>
    </x:row>
    <x:row r="1461">
      <x:c r="A1461" s="13" t="str">
        <x:v>2006</x:v>
      </x:c>
      <x:c r="B1461" s="14" t="str"/>
      <x:c r="C1461" s="14" t="str">
        <x:v>Lv.2</x:v>
      </x:c>
      <x:c r="D1461" s="14" t="str">
        <x:v>楊小瑩醫師</x:v>
      </x:c>
      <x:c r="E1461" s="6" t="str">
        <x:v>器械準備</x:v>
      </x:c>
      <x:c r="F1461" s="6" t="str">
        <x:v>洗牙</x:v>
      </x:c>
      <x:c r="G1461" s="19" t="str"/>
      <x:c r="H1461" s="17" t="str">
        <x:v>未評分</x:v>
      </x:c>
      <x:c r="I1461" s="6" t="n">
        <x:v>55</x:v>
      </x:c>
    </x:row>
    <x:row r="1462">
      <x:c r="A1462" s="13" t="str">
        <x:v>2006</x:v>
      </x:c>
      <x:c r="B1462" s="14" t="str"/>
      <x:c r="C1462" s="14" t="str">
        <x:v>Lv.2</x:v>
      </x:c>
      <x:c r="D1462" s="14" t="str">
        <x:v>楊小瑩醫師</x:v>
      </x:c>
      <x:c r="E1462" s="6" t="str">
        <x:v>器械準備</x:v>
      </x:c>
      <x:c r="F1462" s="6" t="str">
        <x:v>補牙</x:v>
      </x:c>
      <x:c r="G1462" s="19" t="str"/>
      <x:c r="H1462" s="17" t="str">
        <x:v>未評分</x:v>
      </x:c>
      <x:c r="I1462" s="6" t="n">
        <x:v>56</x:v>
      </x:c>
    </x:row>
    <x:row r="1463">
      <x:c r="A1463" s="13" t="str">
        <x:v>2006</x:v>
      </x:c>
      <x:c r="B1463" s="14" t="str"/>
      <x:c r="C1463" s="14" t="str">
        <x:v>Lv.2</x:v>
      </x:c>
      <x:c r="D1463" s="14" t="str">
        <x:v>楊小瑩醫師</x:v>
      </x:c>
      <x:c r="E1463" s="6" t="str">
        <x:v>器械準備</x:v>
      </x:c>
      <x:c r="F1463" s="6" t="str">
        <x:v>根管治療</x:v>
      </x:c>
      <x:c r="G1463" s="19" t="str"/>
      <x:c r="H1463" s="17" t="str">
        <x:v>未評分</x:v>
      </x:c>
      <x:c r="I1463" s="6" t="n">
        <x:v>57</x:v>
      </x:c>
    </x:row>
    <x:row r="1464">
      <x:c r="A1464" s="13" t="str">
        <x:v>2006</x:v>
      </x:c>
      <x:c r="B1464" s="14" t="str"/>
      <x:c r="C1464" s="14" t="str">
        <x:v>Lv.2</x:v>
      </x:c>
      <x:c r="D1464" s="14" t="str">
        <x:v>楊小瑩醫師</x:v>
      </x:c>
      <x:c r="E1464" s="6" t="str">
        <x:v>器械準備</x:v>
      </x:c>
      <x:c r="F1464" s="6" t="str">
        <x:v>拔牙</x:v>
      </x:c>
      <x:c r="G1464" s="19" t="str"/>
      <x:c r="H1464" s="17" t="str">
        <x:v>未評分</x:v>
      </x:c>
      <x:c r="I1464" s="6" t="n">
        <x:v>58</x:v>
      </x:c>
    </x:row>
    <x:row r="1465">
      <x:c r="A1465" s="13" t="str">
        <x:v>2006</x:v>
      </x:c>
      <x:c r="B1465" s="14" t="str"/>
      <x:c r="C1465" s="14" t="str">
        <x:v>Lv.2</x:v>
      </x:c>
      <x:c r="D1465" s="14" t="str">
        <x:v>楊小瑩醫師</x:v>
      </x:c>
      <x:c r="E1465" s="6" t="str">
        <x:v>器械準備</x:v>
      </x:c>
      <x:c r="F1465" s="6" t="str">
        <x:v>拆 crown/post</x:v>
      </x:c>
      <x:c r="G1465" s="19" t="str"/>
      <x:c r="H1465" s="17" t="str">
        <x:v>未評分</x:v>
      </x:c>
      <x:c r="I1465" s="6" t="n">
        <x:v>59</x:v>
      </x:c>
    </x:row>
    <x:row r="1466">
      <x:c r="A1466" s="13" t="str">
        <x:v>2006</x:v>
      </x:c>
      <x:c r="B1466" s="14" t="str"/>
      <x:c r="C1466" s="14" t="str">
        <x:v>Lv.2</x:v>
      </x:c>
      <x:c r="D1466" s="14" t="str">
        <x:v>楊小瑩醫師</x:v>
      </x:c>
      <x:c r="E1466" s="6" t="str">
        <x:v>自費</x:v>
      </x:c>
      <x:c r="F1466" s="6" t="str">
        <x:v>固定假牙</x:v>
      </x:c>
      <x:c r="G1466" s="19" t="str"/>
      <x:c r="H1466" s="17" t="str">
        <x:v>未評分</x:v>
      </x:c>
      <x:c r="I1466" s="6" t="n">
        <x:v>60</x:v>
      </x:c>
    </x:row>
    <x:row r="1467">
      <x:c r="A1467" s="13" t="str">
        <x:v>2006</x:v>
      </x:c>
      <x:c r="B1467" s="14" t="str"/>
      <x:c r="C1467" s="14" t="str">
        <x:v>Lv.2</x:v>
      </x:c>
      <x:c r="D1467" s="14" t="str">
        <x:v>楊小瑩醫師</x:v>
      </x:c>
      <x:c r="E1467" s="6" t="str">
        <x:v>自費</x:v>
      </x:c>
      <x:c r="F1467" s="6" t="str">
        <x:v>RPD</x:v>
      </x:c>
      <x:c r="G1467" s="19" t="str"/>
      <x:c r="H1467" s="17" t="str">
        <x:v>未評分</x:v>
      </x:c>
      <x:c r="I1467" s="6" t="n">
        <x:v>61</x:v>
      </x:c>
    </x:row>
    <x:row r="1468">
      <x:c r="A1468" s="13" t="str">
        <x:v>2006</x:v>
      </x:c>
      <x:c r="B1468" s="14" t="str"/>
      <x:c r="C1468" s="14" t="str">
        <x:v>Lv.2</x:v>
      </x:c>
      <x:c r="D1468" s="14" t="str">
        <x:v>楊小瑩醫師</x:v>
      </x:c>
      <x:c r="E1468" s="6" t="str">
        <x:v>自費</x:v>
      </x:c>
      <x:c r="F1468" s="6" t="str">
        <x:v>噴砂美白</x:v>
      </x:c>
      <x:c r="G1468" s="19" t="str"/>
      <x:c r="H1468" s="17" t="str">
        <x:v>未評分</x:v>
      </x:c>
      <x:c r="I1468" s="6" t="n">
        <x:v>62</x:v>
      </x:c>
    </x:row>
    <x:row r="1469">
      <x:c r="A1469" s="13" t="str">
        <x:v>2006</x:v>
      </x:c>
      <x:c r="B1469" s="14" t="str"/>
      <x:c r="C1469" s="14" t="str">
        <x:v>Lv.2</x:v>
      </x:c>
      <x:c r="D1469" s="14" t="str">
        <x:v>楊小瑩醫師</x:v>
      </x:c>
      <x:c r="E1469" s="6" t="str"/>
      <x:c r="F1469" s="6" t="str">
        <x:v>跟診順暢度</x:v>
      </x:c>
      <x:c r="G1469" s="19" t="str"/>
      <x:c r="H1469" s="17" t="str">
        <x:v>未評分</x:v>
      </x:c>
      <x:c r="I1469" s="6" t="n">
        <x:v>63</x:v>
      </x:c>
    </x:row>
    <x:row r="1470">
      <x:c r="A1470" s="13" t="str">
        <x:v>2006</x:v>
      </x:c>
      <x:c r="B1470" s="14" t="str"/>
      <x:c r="C1470" s="14" t="str">
        <x:v>Lv.2</x:v>
      </x:c>
      <x:c r="D1470" s="14" t="str">
        <x:v>楊小瑩醫師</x:v>
      </x:c>
      <x:c r="E1470" s="6" t="str"/>
      <x:c r="F1470" s="6" t="str">
        <x:v>病歷紀錄</x:v>
      </x:c>
      <x:c r="G1470" s="19" t="str"/>
      <x:c r="H1470" s="17" t="str">
        <x:v>未評分</x:v>
      </x:c>
      <x:c r="I1470" s="6" t="n">
        <x:v>64</x:v>
      </x:c>
    </x:row>
    <x:row r="1471">
      <x:c r="A1471" s="13" t="str">
        <x:v>2006</x:v>
      </x:c>
      <x:c r="B1471" s="14" t="str"/>
      <x:c r="C1471" s="14" t="str">
        <x:v>Lv.2</x:v>
      </x:c>
      <x:c r="D1471" s="14" t="str">
        <x:v>楊小瑩醫師</x:v>
      </x:c>
      <x:c r="E1471" s="6" t="str"/>
      <x:c r="F1471" s="6" t="str">
        <x:v>健保申報</x:v>
      </x:c>
      <x:c r="G1471" s="19" t="str"/>
      <x:c r="H1471" s="17" t="str">
        <x:v>未評分</x:v>
      </x:c>
      <x:c r="I1471" s="6" t="n">
        <x:v>65</x:v>
      </x:c>
    </x:row>
    <x:row r="1472">
      <x:c r="A1472" s="13" t="str">
        <x:v>2006</x:v>
      </x:c>
      <x:c r="B1472" s="14" t="str"/>
      <x:c r="C1472" s="14" t="str">
        <x:v>Lv.2</x:v>
      </x:c>
      <x:c r="D1472" s="14" t="str">
        <x:v>楊小瑩醫師</x:v>
      </x:c>
      <x:c r="E1472" s="6" t="str"/>
      <x:c r="F1472" s="6" t="str">
        <x:v>X光片紀錄</x:v>
      </x:c>
      <x:c r="G1472" s="19" t="str"/>
      <x:c r="H1472" s="17" t="str">
        <x:v>未評分</x:v>
      </x:c>
      <x:c r="I1472" s="6" t="n">
        <x:v>66</x:v>
      </x:c>
    </x:row>
    <x:row r="1473">
      <x:c r="A1473" s="13" t="str">
        <x:v>2006</x:v>
      </x:c>
      <x:c r="B1473" s="14" t="str"/>
      <x:c r="C1473" s="14" t="str">
        <x:v>Lv.2</x:v>
      </x:c>
      <x:c r="D1473" s="14" t="str">
        <x:v>楊小瑩醫師</x:v>
      </x:c>
      <x:c r="E1473" s="6" t="str"/>
      <x:c r="F1473" s="6" t="str">
        <x:v>拍PA</x:v>
      </x:c>
      <x:c r="G1473" s="19" t="str"/>
      <x:c r="H1473" s="17" t="str">
        <x:v>未評分</x:v>
      </x:c>
      <x:c r="I1473" s="6" t="n">
        <x:v>67</x:v>
      </x:c>
    </x:row>
    <x:row r="1474">
      <x:c r="A1474" s="13" t="str">
        <x:v>2006</x:v>
      </x:c>
      <x:c r="B1474" s="14" t="str"/>
      <x:c r="C1474" s="14" t="str">
        <x:v>Lv.2</x:v>
      </x:c>
      <x:c r="D1474" s="14" t="str">
        <x:v>王俊偉醫師</x:v>
      </x:c>
      <x:c r="E1474" s="6" t="str"/>
      <x:c r="F1474" s="6" t="str">
        <x:v>器械熟悉度</x:v>
      </x:c>
      <x:c r="G1474" s="19" t="str"/>
      <x:c r="H1474" s="17" t="str">
        <x:v>未評分</x:v>
      </x:c>
      <x:c r="I1474" s="6" t="n">
        <x:v>68</x:v>
      </x:c>
    </x:row>
    <x:row r="1475">
      <x:c r="A1475" s="13" t="str">
        <x:v>2006</x:v>
      </x:c>
      <x:c r="B1475" s="14" t="str"/>
      <x:c r="C1475" s="14" t="str">
        <x:v>Lv.2</x:v>
      </x:c>
      <x:c r="D1475" s="14" t="str">
        <x:v>王俊偉醫師</x:v>
      </x:c>
      <x:c r="E1475" s="6" t="str"/>
      <x:c r="F1475" s="6" t="str">
        <x:v>跟診順暢度</x:v>
      </x:c>
      <x:c r="G1475" s="19" t="str"/>
      <x:c r="H1475" s="17" t="str">
        <x:v>未評分</x:v>
      </x:c>
      <x:c r="I1475" s="6" t="n">
        <x:v>69</x:v>
      </x:c>
    </x:row>
    <x:row r="1476">
      <x:c r="A1476" s="13" t="str">
        <x:v>2006</x:v>
      </x:c>
      <x:c r="B1476" s="14" t="str"/>
      <x:c r="C1476" s="14" t="str">
        <x:v>Lv.2</x:v>
      </x:c>
      <x:c r="D1476" s="14" t="str">
        <x:v>王俊偉醫師</x:v>
      </x:c>
      <x:c r="E1476" s="6" t="str"/>
      <x:c r="F1476" s="6" t="str">
        <x:v>病歷紀錄</x:v>
      </x:c>
      <x:c r="G1476" s="19" t="str"/>
      <x:c r="H1476" s="17" t="str">
        <x:v>未評分</x:v>
      </x:c>
      <x:c r="I1476" s="6" t="n">
        <x:v>70</x:v>
      </x:c>
    </x:row>
    <x:row r="1477">
      <x:c r="A1477" s="13" t="str">
        <x:v>2006</x:v>
      </x:c>
      <x:c r="B1477" s="14" t="str"/>
      <x:c r="C1477" s="14" t="str">
        <x:v>Lv.2</x:v>
      </x:c>
      <x:c r="D1477" s="14" t="str">
        <x:v>王俊偉醫師</x:v>
      </x:c>
      <x:c r="E1477" s="6" t="str"/>
      <x:c r="F1477" s="6" t="str">
        <x:v>健保申報</x:v>
      </x:c>
      <x:c r="G1477" s="19" t="str"/>
      <x:c r="H1477" s="17" t="str">
        <x:v>未評分</x:v>
      </x:c>
      <x:c r="I1477" s="6" t="n">
        <x:v>71</x:v>
      </x:c>
    </x:row>
    <x:row r="1478">
      <x:c r="A1478" s="13" t="str">
        <x:v>2006</x:v>
      </x:c>
      <x:c r="B1478" s="14" t="str"/>
      <x:c r="C1478" s="14" t="str">
        <x:v>Lv.2</x:v>
      </x:c>
      <x:c r="D1478" s="14" t="str">
        <x:v>王俊偉醫師</x:v>
      </x:c>
      <x:c r="E1478" s="6" t="str"/>
      <x:c r="F1478" s="6" t="str">
        <x:v>X光片紀錄</x:v>
      </x:c>
      <x:c r="G1478" s="19" t="str"/>
      <x:c r="H1478" s="17" t="str">
        <x:v>未評分</x:v>
      </x:c>
      <x:c r="I1478" s="6" t="n">
        <x:v>72</x:v>
      </x:c>
    </x:row>
    <x:row r="1479">
      <x:c r="A1479" s="13" t="str">
        <x:v>2006</x:v>
      </x:c>
      <x:c r="B1479" s="14" t="str"/>
      <x:c r="C1479" s="14" t="str">
        <x:v>Lv.2</x:v>
      </x:c>
      <x:c r="D1479" s="14" t="str">
        <x:v>王俊偉醫師</x:v>
      </x:c>
      <x:c r="E1479" s="6" t="str"/>
      <x:c r="F1479" s="6" t="str">
        <x:v>拍PANO、PA</x:v>
      </x:c>
      <x:c r="G1479" s="19" t="str"/>
      <x:c r="H1479" s="17" t="str">
        <x:v>未評分</x:v>
      </x:c>
      <x:c r="I1479" s="6" t="n">
        <x:v>73</x:v>
      </x:c>
    </x:row>
    <x:row r="1480">
      <x:c r="A1480" s="13" t="str">
        <x:v>2006</x:v>
      </x:c>
      <x:c r="B1480" s="14" t="str"/>
      <x:c r="C1480" s="14" t="str">
        <x:v>Lv.2</x:v>
      </x:c>
      <x:c r="D1480" s="14" t="str">
        <x:v>王俊偉醫師</x:v>
      </x:c>
      <x:c r="E1480" s="6" t="str"/>
      <x:c r="F1480" s="6" t="str">
        <x:v>CT照</x:v>
      </x:c>
      <x:c r="G1480" s="19" t="str"/>
      <x:c r="H1480" s="17" t="str">
        <x:v>未評分</x:v>
      </x:c>
      <x:c r="I1480" s="6" t="n">
        <x:v>74</x:v>
      </x:c>
    </x:row>
    <x:row r="1481">
      <x:c r="A1481" s="13" t="str">
        <x:v>2006</x:v>
      </x:c>
      <x:c r="B1481" s="14" t="str"/>
      <x:c r="C1481" s="14" t="str">
        <x:v>Lv.2</x:v>
      </x:c>
      <x:c r="D1481" s="14" t="str">
        <x:v>王俊偉醫師</x:v>
      </x:c>
      <x:c r="E1481" s="6" t="str"/>
      <x:c r="F1481" s="6" t="str">
        <x:v>側頭顱照</x:v>
      </x:c>
      <x:c r="G1481" s="19" t="str"/>
      <x:c r="H1481" s="17" t="str">
        <x:v>未評分</x:v>
      </x:c>
      <x:c r="I1481" s="6" t="n">
        <x:v>75</x:v>
      </x:c>
    </x:row>
    <x:row r="1482">
      <x:c r="A1482" s="13" t="str">
        <x:v>2006</x:v>
      </x:c>
      <x:c r="B1482" s="14" t="str"/>
      <x:c r="C1482" s="14" t="str">
        <x:v>Lv.2</x:v>
      </x:c>
      <x:c r="D1482" s="14" t="str">
        <x:v>王俊偉醫師</x:v>
      </x:c>
      <x:c r="E1482" s="6" t="str"/>
      <x:c r="F1482" s="6" t="str">
        <x:v>口掃機運用</x:v>
      </x:c>
      <x:c r="G1482" s="19" t="str"/>
      <x:c r="H1482" s="17" t="str">
        <x:v>未評分</x:v>
      </x:c>
      <x:c r="I1482" s="6" t="n">
        <x:v>76</x:v>
      </x:c>
    </x:row>
    <x:row r="1483">
      <x:c r="A1483" s="13" t="str">
        <x:v>2006</x:v>
      </x:c>
      <x:c r="B1483" s="14" t="str"/>
      <x:c r="C1483" s="14" t="str">
        <x:v>Lv.2</x:v>
      </x:c>
      <x:c r="D1483" s="14" t="str">
        <x:v>許馨文醫師</x:v>
      </x:c>
      <x:c r="E1483" s="6" t="str"/>
      <x:c r="F1483" s="6" t="str">
        <x:v>器械熟悉度</x:v>
      </x:c>
      <x:c r="G1483" s="19" t="str"/>
      <x:c r="H1483" s="17" t="str">
        <x:v>未評分</x:v>
      </x:c>
      <x:c r="I1483" s="6" t="n">
        <x:v>77</x:v>
      </x:c>
    </x:row>
    <x:row r="1484">
      <x:c r="A1484" s="13" t="str">
        <x:v>2006</x:v>
      </x:c>
      <x:c r="B1484" s="14" t="str"/>
      <x:c r="C1484" s="14" t="str">
        <x:v>Lv.2</x:v>
      </x:c>
      <x:c r="D1484" s="14" t="str">
        <x:v>許馨文醫師</x:v>
      </x:c>
      <x:c r="E1484" s="6" t="str"/>
      <x:c r="F1484" s="6" t="str">
        <x:v>吸口水技巧</x:v>
      </x:c>
      <x:c r="G1484" s="19" t="str"/>
      <x:c r="H1484" s="17" t="str">
        <x:v>未評分</x:v>
      </x:c>
      <x:c r="I1484" s="6" t="n">
        <x:v>78</x:v>
      </x:c>
    </x:row>
    <x:row r="1485">
      <x:c r="A1485" s="13" t="str">
        <x:v>2006</x:v>
      </x:c>
      <x:c r="B1485" s="14" t="str"/>
      <x:c r="C1485" s="14" t="str">
        <x:v>Lv.2</x:v>
      </x:c>
      <x:c r="D1485" s="14" t="str">
        <x:v>許馨文醫師</x:v>
      </x:c>
      <x:c r="E1485" s="6" t="str"/>
      <x:c r="F1485" s="6" t="str">
        <x:v>病歷紀錄</x:v>
      </x:c>
      <x:c r="G1485" s="19" t="str"/>
      <x:c r="H1485" s="17" t="str">
        <x:v>未評分</x:v>
      </x:c>
      <x:c r="I1485" s="6" t="n">
        <x:v>79</x:v>
      </x:c>
    </x:row>
    <x:row r="1486">
      <x:c r="A1486" s="13" t="str">
        <x:v>2006</x:v>
      </x:c>
      <x:c r="B1486" s="14" t="str"/>
      <x:c r="C1486" s="14" t="str">
        <x:v>Lv.2</x:v>
      </x:c>
      <x:c r="D1486" s="14" t="str">
        <x:v>許馨文醫師</x:v>
      </x:c>
      <x:c r="E1486" s="6" t="str"/>
      <x:c r="F1486" s="6" t="str">
        <x:v>健保申報</x:v>
      </x:c>
      <x:c r="G1486" s="19" t="str"/>
      <x:c r="H1486" s="17" t="str">
        <x:v>未評分</x:v>
      </x:c>
      <x:c r="I1486" s="6" t="n">
        <x:v>80</x:v>
      </x:c>
    </x:row>
    <x:row r="1487">
      <x:c r="A1487" s="13" t="str">
        <x:v>2006</x:v>
      </x:c>
      <x:c r="B1487" s="14" t="str"/>
      <x:c r="C1487" s="14" t="str">
        <x:v>Lv.2</x:v>
      </x:c>
      <x:c r="D1487" s="14" t="str">
        <x:v>許馨文醫師</x:v>
      </x:c>
      <x:c r="E1487" s="6" t="str"/>
      <x:c r="F1487" s="6" t="str">
        <x:v>X光片紀錄</x:v>
      </x:c>
      <x:c r="G1487" s="19" t="str"/>
      <x:c r="H1487" s="17" t="str">
        <x:v>未評分</x:v>
      </x:c>
      <x:c r="I1487" s="6" t="n">
        <x:v>81</x:v>
      </x:c>
    </x:row>
    <x:row r="1488">
      <x:c r="A1488" s="13" t="str">
        <x:v>2006</x:v>
      </x:c>
      <x:c r="B1488" s="14" t="str"/>
      <x:c r="C1488" s="14" t="str">
        <x:v>Lv.2</x:v>
      </x:c>
      <x:c r="D1488" s="14" t="str">
        <x:v>許馨文醫師</x:v>
      </x:c>
      <x:c r="E1488" s="6" t="str"/>
      <x:c r="F1488" s="6" t="str">
        <x:v>拍PANO、PA</x:v>
      </x:c>
      <x:c r="G1488" s="19" t="str"/>
      <x:c r="H1488" s="17" t="str">
        <x:v>未評分</x:v>
      </x:c>
      <x:c r="I1488" s="6" t="n">
        <x:v>82</x:v>
      </x:c>
    </x:row>
    <x:row r="1489">
      <x:c r="A1489" s="13" t="str">
        <x:v>2006</x:v>
      </x:c>
      <x:c r="B1489" s="14" t="str"/>
      <x:c r="C1489" s="14" t="str">
        <x:v>Lv.2</x:v>
      </x:c>
      <x:c r="D1489" s="14" t="str">
        <x:v>林晏妤醫師</x:v>
      </x:c>
      <x:c r="E1489" s="6" t="str"/>
      <x:c r="F1489" s="6" t="str">
        <x:v>器械熟悉度</x:v>
      </x:c>
      <x:c r="G1489" s="19" t="str"/>
      <x:c r="H1489" s="17" t="str">
        <x:v>未評分</x:v>
      </x:c>
      <x:c r="I1489" s="6" t="n">
        <x:v>83</x:v>
      </x:c>
    </x:row>
    <x:row r="1490">
      <x:c r="A1490" s="13" t="str">
        <x:v>2006</x:v>
      </x:c>
      <x:c r="B1490" s="14" t="str"/>
      <x:c r="C1490" s="14" t="str">
        <x:v>Lv.2</x:v>
      </x:c>
      <x:c r="D1490" s="14" t="str">
        <x:v>林晏妤醫師</x:v>
      </x:c>
      <x:c r="E1490" s="6" t="str"/>
      <x:c r="F1490" s="6" t="str">
        <x:v>跟診順暢度</x:v>
      </x:c>
      <x:c r="G1490" s="19" t="str"/>
      <x:c r="H1490" s="17" t="str">
        <x:v>未評分</x:v>
      </x:c>
      <x:c r="I1490" s="6" t="n">
        <x:v>84</x:v>
      </x:c>
    </x:row>
    <x:row r="1491">
      <x:c r="A1491" s="13" t="str">
        <x:v>2006</x:v>
      </x:c>
      <x:c r="B1491" s="14" t="str"/>
      <x:c r="C1491" s="14" t="str">
        <x:v>Lv.2</x:v>
      </x:c>
      <x:c r="D1491" s="14" t="str">
        <x:v>林晏妤醫師</x:v>
      </x:c>
      <x:c r="E1491" s="6" t="str"/>
      <x:c r="F1491" s="6" t="str">
        <x:v>病歷紀錄</x:v>
      </x:c>
      <x:c r="G1491" s="19" t="str"/>
      <x:c r="H1491" s="17" t="str">
        <x:v>未評分</x:v>
      </x:c>
      <x:c r="I1491" s="6" t="n">
        <x:v>85</x:v>
      </x:c>
    </x:row>
    <x:row r="1492">
      <x:c r="A1492" s="13" t="str">
        <x:v>2006</x:v>
      </x:c>
      <x:c r="B1492" s="14" t="str"/>
      <x:c r="C1492" s="14" t="str">
        <x:v>Lv.2</x:v>
      </x:c>
      <x:c r="D1492" s="14" t="str">
        <x:v>林晏妤醫師</x:v>
      </x:c>
      <x:c r="E1492" s="6" t="str"/>
      <x:c r="F1492" s="6" t="str">
        <x:v>X光片紀錄</x:v>
      </x:c>
      <x:c r="G1492" s="19" t="str"/>
      <x:c r="H1492" s="17" t="str">
        <x:v>未評分</x:v>
      </x:c>
      <x:c r="I1492" s="6" t="n">
        <x:v>86</x:v>
      </x:c>
    </x:row>
    <x:row r="1493">
      <x:c r="A1493" s="13" t="str">
        <x:v>2006</x:v>
      </x:c>
      <x:c r="B1493" s="14" t="str"/>
      <x:c r="C1493" s="14" t="str">
        <x:v>Lv.2</x:v>
      </x:c>
      <x:c r="D1493" s="14" t="str">
        <x:v>林晏妤醫師</x:v>
      </x:c>
      <x:c r="E1493" s="6" t="str"/>
      <x:c r="F1493" s="6" t="str">
        <x:v>手持X光機</x:v>
      </x:c>
      <x:c r="G1493" s="19" t="str"/>
      <x:c r="H1493" s="17" t="str">
        <x:v>未評分</x:v>
      </x:c>
      <x:c r="I1493" s="6" t="n">
        <x:v>87</x:v>
      </x:c>
    </x:row>
    <x:row r="1494">
      <x:c r="A1494" s="13" t="str">
        <x:v>2006</x:v>
      </x:c>
      <x:c r="B1494" s="14" t="str"/>
      <x:c r="C1494" s="14" t="str">
        <x:v>Lv.2</x:v>
      </x:c>
      <x:c r="D1494" s="14" t="str">
        <x:v>林晏妤醫師</x:v>
      </x:c>
      <x:c r="E1494" s="6" t="str"/>
      <x:c r="F1494" s="6" t="str">
        <x:v>健保申報</x:v>
      </x:c>
      <x:c r="G1494" s="19" t="str"/>
      <x:c r="H1494" s="17" t="str">
        <x:v>未評分</x:v>
      </x:c>
      <x:c r="I1494" s="6" t="n">
        <x:v>88</x:v>
      </x:c>
    </x:row>
    <x:row r="1495">
      <x:c r="A1495" s="13" t="str">
        <x:v>2006</x:v>
      </x:c>
      <x:c r="B1495" s="14" t="str"/>
      <x:c r="C1495" s="14" t="str">
        <x:v>Lv.2</x:v>
      </x:c>
      <x:c r="D1495" s="14" t="str">
        <x:v>林晏妤醫師</x:v>
      </x:c>
      <x:c r="E1495" s="6" t="str"/>
      <x:c r="F1495" s="6" t="str">
        <x:v>舒眠手術</x:v>
      </x:c>
      <x:c r="G1495" s="19" t="str"/>
      <x:c r="H1495" s="17" t="str">
        <x:v>未評分</x:v>
      </x:c>
      <x:c r="I1495" s="6" t="n">
        <x:v>89</x:v>
      </x:c>
    </x:row>
    <x:row r="1496">
      <x:c r="A1496" s="13" t="str">
        <x:v>2006</x:v>
      </x:c>
      <x:c r="B1496" s="14" t="str"/>
      <x:c r="C1496" s="14" t="str">
        <x:v>Lv.2</x:v>
      </x:c>
      <x:c r="D1496" s="14" t="str">
        <x:v>謝耀慶醫師</x:v>
      </x:c>
      <x:c r="E1496" s="6" t="str">
        <x:v>器械準備</x:v>
      </x:c>
      <x:c r="F1496" s="6" t="str">
        <x:v>洗牙</x:v>
      </x:c>
      <x:c r="G1496" s="19" t="str"/>
      <x:c r="H1496" s="17" t="str">
        <x:v>未評分</x:v>
      </x:c>
      <x:c r="I1496" s="6" t="n">
        <x:v>90</x:v>
      </x:c>
    </x:row>
    <x:row r="1497">
      <x:c r="A1497" s="13" t="str">
        <x:v>2006</x:v>
      </x:c>
      <x:c r="B1497" s="14" t="str"/>
      <x:c r="C1497" s="14" t="str">
        <x:v>Lv.2</x:v>
      </x:c>
      <x:c r="D1497" s="14" t="str">
        <x:v>謝耀慶醫師</x:v>
      </x:c>
      <x:c r="E1497" s="6" t="str">
        <x:v>器械準備</x:v>
      </x:c>
      <x:c r="F1497" s="6" t="str">
        <x:v>補牙</x:v>
      </x:c>
      <x:c r="G1497" s="19" t="str"/>
      <x:c r="H1497" s="17" t="str">
        <x:v>未評分</x:v>
      </x:c>
      <x:c r="I1497" s="6" t="n">
        <x:v>91</x:v>
      </x:c>
    </x:row>
    <x:row r="1498">
      <x:c r="A1498" s="13" t="str">
        <x:v>2006</x:v>
      </x:c>
      <x:c r="B1498" s="14" t="str"/>
      <x:c r="C1498" s="14" t="str">
        <x:v>Lv.2</x:v>
      </x:c>
      <x:c r="D1498" s="14" t="str">
        <x:v>謝耀慶醫師</x:v>
      </x:c>
      <x:c r="E1498" s="6" t="str">
        <x:v>器械準備</x:v>
      </x:c>
      <x:c r="F1498" s="6" t="str">
        <x:v>牙周統合治療</x:v>
      </x:c>
      <x:c r="G1498" s="19" t="str"/>
      <x:c r="H1498" s="17" t="str">
        <x:v>未評分</x:v>
      </x:c>
      <x:c r="I1498" s="6" t="n">
        <x:v>92</x:v>
      </x:c>
    </x:row>
    <x:row r="1499">
      <x:c r="A1499" s="13" t="str">
        <x:v>2006</x:v>
      </x:c>
      <x:c r="B1499" s="14" t="str"/>
      <x:c r="C1499" s="14" t="str">
        <x:v>Lv.2</x:v>
      </x:c>
      <x:c r="D1499" s="14" t="str">
        <x:v>謝耀慶醫師</x:v>
      </x:c>
      <x:c r="E1499" s="6" t="str">
        <x:v>器械準備</x:v>
      </x:c>
      <x:c r="F1499" s="6" t="str">
        <x:v>簡單拔牙</x:v>
      </x:c>
      <x:c r="G1499" s="19" t="str"/>
      <x:c r="H1499" s="17" t="str">
        <x:v>未評分</x:v>
      </x:c>
      <x:c r="I1499" s="6" t="n">
        <x:v>93</x:v>
      </x:c>
    </x:row>
    <x:row r="1500">
      <x:c r="A1500" s="13" t="str">
        <x:v>2006</x:v>
      </x:c>
      <x:c r="B1500" s="14" t="str"/>
      <x:c r="C1500" s="14" t="str">
        <x:v>Lv.2</x:v>
      </x:c>
      <x:c r="D1500" s="14" t="str">
        <x:v>謝耀慶醫師</x:v>
      </x:c>
      <x:c r="E1500" s="6" t="str"/>
      <x:c r="F1500" s="6" t="str">
        <x:v>器械熟悉度</x:v>
      </x:c>
      <x:c r="G1500" s="19" t="str"/>
      <x:c r="H1500" s="17" t="str">
        <x:v>未評分</x:v>
      </x:c>
      <x:c r="I1500" s="6" t="n">
        <x:v>94</x:v>
      </x:c>
    </x:row>
    <x:row r="1501">
      <x:c r="A1501" s="13" t="str">
        <x:v>2006</x:v>
      </x:c>
      <x:c r="B1501" s="14" t="str"/>
      <x:c r="C1501" s="14" t="str">
        <x:v>Lv.2</x:v>
      </x:c>
      <x:c r="D1501" s="14" t="str">
        <x:v>謝耀慶醫師</x:v>
      </x:c>
      <x:c r="E1501" s="6" t="str"/>
      <x:c r="F1501" s="6" t="str">
        <x:v>跟診順暢度</x:v>
      </x:c>
      <x:c r="G1501" s="19" t="str"/>
      <x:c r="H1501" s="17" t="str">
        <x:v>未評分</x:v>
      </x:c>
      <x:c r="I1501" s="6" t="n">
        <x:v>95</x:v>
      </x:c>
    </x:row>
    <x:row r="1502">
      <x:c r="A1502" s="13" t="str">
        <x:v>2006</x:v>
      </x:c>
      <x:c r="B1502" s="14" t="str"/>
      <x:c r="C1502" s="14" t="str">
        <x:v>Lv.2</x:v>
      </x:c>
      <x:c r="D1502" s="14" t="str">
        <x:v>謝耀慶醫師</x:v>
      </x:c>
      <x:c r="E1502" s="6" t="str"/>
      <x:c r="F1502" s="6" t="str">
        <x:v>病歷紀錄</x:v>
      </x:c>
      <x:c r="G1502" s="19" t="str"/>
      <x:c r="H1502" s="17" t="str">
        <x:v>未評分</x:v>
      </x:c>
      <x:c r="I1502" s="6" t="n">
        <x:v>96</x:v>
      </x:c>
    </x:row>
    <x:row r="1503">
      <x:c r="A1503" s="13" t="str">
        <x:v>2006</x:v>
      </x:c>
      <x:c r="B1503" s="14" t="str"/>
      <x:c r="C1503" s="14" t="str">
        <x:v>Lv.2</x:v>
      </x:c>
      <x:c r="D1503" s="14" t="str">
        <x:v>謝耀慶醫師</x:v>
      </x:c>
      <x:c r="E1503" s="6" t="str"/>
      <x:c r="F1503" s="6" t="str">
        <x:v>X光片紀錄</x:v>
      </x:c>
      <x:c r="G1503" s="19" t="str"/>
      <x:c r="H1503" s="17" t="str">
        <x:v>未評分</x:v>
      </x:c>
      <x:c r="I1503" s="6" t="n">
        <x:v>97</x:v>
      </x:c>
    </x:row>
    <x:row r="1504">
      <x:c r="A1504" s="13" t="str">
        <x:v>2006</x:v>
      </x:c>
      <x:c r="B1504" s="14" t="str"/>
      <x:c r="C1504" s="14" t="str">
        <x:v>Lv.2</x:v>
      </x:c>
      <x:c r="D1504" s="14" t="str">
        <x:v>謝耀慶醫師</x:v>
      </x:c>
      <x:c r="E1504" s="6" t="str"/>
      <x:c r="F1504" s="6" t="str">
        <x:v>手持X光機</x:v>
      </x:c>
      <x:c r="G1504" s="19" t="str"/>
      <x:c r="H1504" s="17" t="str">
        <x:v>未評分</x:v>
      </x:c>
      <x:c r="I1504" s="6" t="n">
        <x:v>98</x:v>
      </x:c>
    </x:row>
    <x:row r="1505">
      <x:c r="A1505" s="13" t="str">
        <x:v>2006</x:v>
      </x:c>
      <x:c r="B1505" s="14" t="str"/>
      <x:c r="C1505" s="14" t="str">
        <x:v>Lv.2</x:v>
      </x:c>
      <x:c r="D1505" s="14" t="str">
        <x:v>謝耀慶醫師</x:v>
      </x:c>
      <x:c r="E1505" s="6" t="str"/>
      <x:c r="F1505" s="6" t="str">
        <x:v>健保申報</x:v>
      </x:c>
      <x:c r="G1505" s="19" t="str"/>
      <x:c r="H1505" s="17" t="str">
        <x:v>未評分</x:v>
      </x:c>
      <x:c r="I1505" s="6" t="n">
        <x:v>99</x:v>
      </x:c>
    </x:row>
    <x:row r="1506">
      <x:c r="A1506" s="13" t="str">
        <x:v>2006</x:v>
      </x:c>
      <x:c r="B1506" s="14" t="str"/>
      <x:c r="C1506" s="14" t="str">
        <x:v>Lv.2</x:v>
      </x:c>
      <x:c r="D1506" s="14" t="str">
        <x:v>謝耀慶醫師</x:v>
      </x:c>
      <x:c r="E1506" s="6" t="str"/>
      <x:c r="F1506" s="6" t="str">
        <x:v>舒眠手術</x:v>
      </x:c>
      <x:c r="G1506" s="19" t="str"/>
      <x:c r="H1506" s="17" t="str">
        <x:v>未評分</x:v>
      </x:c>
      <x:c r="I1506" s="6" t="n">
        <x:v>100</x:v>
      </x:c>
    </x:row>
    <x:row r="1507">
      <x:c r="A1507" s="13" t="str">
        <x:v>2006</x:v>
      </x:c>
      <x:c r="B1507" s="14" t="str"/>
      <x:c r="C1507" s="14" t="str">
        <x:v>Lv.2</x:v>
      </x:c>
      <x:c r="D1507" s="14" t="str">
        <x:v>陳醫師</x:v>
      </x:c>
      <x:c r="E1507" s="6" t="str">
        <x:v>器械準備</x:v>
      </x:c>
      <x:c r="F1507" s="6" t="str">
        <x:v>洗牙</x:v>
      </x:c>
      <x:c r="G1507" s="19" t="str"/>
      <x:c r="H1507" s="17" t="str">
        <x:v>未評分</x:v>
      </x:c>
      <x:c r="I1507" s="6" t="n">
        <x:v>101</x:v>
      </x:c>
    </x:row>
    <x:row r="1508">
      <x:c r="A1508" s="13" t="str">
        <x:v>2006</x:v>
      </x:c>
      <x:c r="B1508" s="14" t="str"/>
      <x:c r="C1508" s="14" t="str">
        <x:v>Lv.2</x:v>
      </x:c>
      <x:c r="D1508" s="14" t="str">
        <x:v>陳醫師</x:v>
      </x:c>
      <x:c r="E1508" s="6" t="str">
        <x:v>器械準備</x:v>
      </x:c>
      <x:c r="F1508" s="6" t="str">
        <x:v>補牙</x:v>
      </x:c>
      <x:c r="G1508" s="19" t="str"/>
      <x:c r="H1508" s="17" t="str">
        <x:v>未評分</x:v>
      </x:c>
      <x:c r="I1508" s="6" t="n">
        <x:v>102</x:v>
      </x:c>
    </x:row>
    <x:row r="1509">
      <x:c r="A1509" s="13" t="str">
        <x:v>2006</x:v>
      </x:c>
      <x:c r="B1509" s="14" t="str"/>
      <x:c r="C1509" s="14" t="str">
        <x:v>Lv.2</x:v>
      </x:c>
      <x:c r="D1509" s="14" t="str">
        <x:v>陳醫師</x:v>
      </x:c>
      <x:c r="E1509" s="6" t="str">
        <x:v>器械準備</x:v>
      </x:c>
      <x:c r="F1509" s="6" t="str">
        <x:v>根管治療</x:v>
      </x:c>
      <x:c r="G1509" s="19" t="str"/>
      <x:c r="H1509" s="17" t="str">
        <x:v>未評分</x:v>
      </x:c>
      <x:c r="I1509" s="6" t="n">
        <x:v>103</x:v>
      </x:c>
    </x:row>
    <x:row r="1510">
      <x:c r="A1510" s="13" t="str">
        <x:v>2006</x:v>
      </x:c>
      <x:c r="B1510" s="14" t="str"/>
      <x:c r="C1510" s="14" t="str">
        <x:v>Lv.2</x:v>
      </x:c>
      <x:c r="D1510" s="14" t="str">
        <x:v>陳醫師</x:v>
      </x:c>
      <x:c r="E1510" s="6" t="str"/>
      <x:c r="F1510" s="6" t="str">
        <x:v>跟診順暢度</x:v>
      </x:c>
      <x:c r="G1510" s="19" t="str"/>
      <x:c r="H1510" s="17" t="str">
        <x:v>未評分</x:v>
      </x:c>
      <x:c r="I1510" s="6" t="n">
        <x:v>104</x:v>
      </x:c>
    </x:row>
    <x:row r="1511">
      <x:c r="A1511" s="13" t="str">
        <x:v>2006</x:v>
      </x:c>
      <x:c r="B1511" s="14" t="str"/>
      <x:c r="C1511" s="14" t="str">
        <x:v>Lv.2</x:v>
      </x:c>
      <x:c r="D1511" s="14" t="str">
        <x:v>陳醫師</x:v>
      </x:c>
      <x:c r="E1511" s="6" t="str"/>
      <x:c r="F1511" s="6" t="str">
        <x:v>病歷紀錄</x:v>
      </x:c>
      <x:c r="G1511" s="19" t="str"/>
      <x:c r="H1511" s="17" t="str">
        <x:v>未評分</x:v>
      </x:c>
      <x:c r="I1511" s="6" t="n">
        <x:v>105</x:v>
      </x:c>
    </x:row>
    <x:row r="1512">
      <x:c r="A1512" s="13" t="str">
        <x:v>2006</x:v>
      </x:c>
      <x:c r="B1512" s="14" t="str"/>
      <x:c r="C1512" s="14" t="str">
        <x:v>Lv.2</x:v>
      </x:c>
      <x:c r="D1512" s="14" t="str">
        <x:v>陳醫師</x:v>
      </x:c>
      <x:c r="E1512" s="6" t="str"/>
      <x:c r="F1512" s="6" t="str">
        <x:v>拍PANO、PA</x:v>
      </x:c>
      <x:c r="G1512" s="19" t="str"/>
      <x:c r="H1512" s="17" t="str">
        <x:v>未評分</x:v>
      </x:c>
      <x:c r="I1512" s="6" t="n">
        <x:v>106</x:v>
      </x:c>
    </x:row>
    <x:row r="1513">
      <x:c r="A1513" s="13" t="str">
        <x:v>2006</x:v>
      </x:c>
      <x:c r="B1513" s="14" t="str"/>
      <x:c r="C1513" s="14" t="str">
        <x:v>Lv.2</x:v>
      </x:c>
      <x:c r="D1513" s="14" t="str">
        <x:v>陳醫師</x:v>
      </x:c>
      <x:c r="E1513" s="6" t="str"/>
      <x:c r="F1513" s="6" t="str">
        <x:v>X光片紀錄</x:v>
      </x:c>
      <x:c r="G1513" s="19" t="str"/>
      <x:c r="H1513" s="17" t="str">
        <x:v>未評分</x:v>
      </x:c>
      <x:c r="I1513" s="6" t="n">
        <x:v>107</x:v>
      </x:c>
    </x:row>
    <x:row r="1514">
      <x:c r="A1514" s="13" t="str">
        <x:v>2006</x:v>
      </x:c>
      <x:c r="B1514" s="14" t="str"/>
      <x:c r="C1514" s="14" t="str">
        <x:v>Lv.2</x:v>
      </x:c>
      <x:c r="D1514" s="14" t="str">
        <x:v>陳醫師</x:v>
      </x:c>
      <x:c r="E1514" s="6" t="str"/>
      <x:c r="F1514" s="6" t="str">
        <x:v>健保申報</x:v>
      </x:c>
      <x:c r="G1514" s="19" t="str"/>
      <x:c r="H1514" s="17" t="str">
        <x:v>未評分</x:v>
      </x:c>
      <x:c r="I1514" s="6" t="n">
        <x:v>108</x:v>
      </x:c>
    </x:row>
    <x:row r="1515">
      <x:c r="A1515" s="13" t="str">
        <x:v>2006</x:v>
      </x:c>
      <x:c r="B1515" s="14" t="str"/>
      <x:c r="C1515" s="14" t="str">
        <x:v>Lv.2</x:v>
      </x:c>
      <x:c r="D1515" s="14" t="str">
        <x:v>陳醫師</x:v>
      </x:c>
      <x:c r="E1515" s="6" t="str"/>
      <x:c r="F1515" s="6" t="str">
        <x:v>固定假牙</x:v>
      </x:c>
      <x:c r="G1515" s="19" t="str"/>
      <x:c r="H1515" s="17" t="str">
        <x:v>未評分</x:v>
      </x:c>
      <x:c r="I1515" s="6" t="n">
        <x:v>109</x:v>
      </x:c>
    </x:row>
    <x:row r="1516">
      <x:c r="A1516" s="13" t="str">
        <x:v>2006</x:v>
      </x:c>
      <x:c r="B1516" s="14" t="str"/>
      <x:c r="C1516" s="14" t="str">
        <x:v>Lv.2</x:v>
      </x:c>
      <x:c r="D1516" s="14" t="str">
        <x:v>陳醫師</x:v>
      </x:c>
      <x:c r="E1516" s="6" t="str"/>
      <x:c r="F1516" s="6" t="str">
        <x:v>顯微根管</x:v>
      </x:c>
      <x:c r="G1516" s="19" t="str"/>
      <x:c r="H1516" s="17" t="str">
        <x:v>未評分</x:v>
      </x:c>
      <x:c r="I1516" s="6" t="n">
        <x:v>110</x:v>
      </x:c>
    </x:row>
    <x:row r="1517">
      <x:c r="A1517" s="13" t="str">
        <x:v>2006</x:v>
      </x:c>
      <x:c r="B1517" s="14" t="str"/>
      <x:c r="C1517" s="14" t="str">
        <x:v>Lv.2</x:v>
      </x:c>
      <x:c r="D1517" s="14" t="str">
        <x:v>櫃台</x:v>
      </x:c>
      <x:c r="E1517" s="6" t="str"/>
      <x:c r="F1517" s="6" t="str">
        <x:v>掛號處理(含初診處理)開立一般收據及藥單</x:v>
      </x:c>
      <x:c r="G1517" s="19" t="str"/>
      <x:c r="H1517" s="17" t="str">
        <x:v>未評分</x:v>
      </x:c>
      <x:c r="I1517" s="6" t="n">
        <x:v>111</x:v>
      </x:c>
    </x:row>
    <x:row r="1518">
      <x:c r="A1518" s="13" t="str">
        <x:v>2006</x:v>
      </x:c>
      <x:c r="B1518" s="14" t="str"/>
      <x:c r="C1518" s="14" t="str">
        <x:v>Lv.2</x:v>
      </x:c>
      <x:c r="D1518" s="14" t="str">
        <x:v>櫃台</x:v>
      </x:c>
      <x:c r="E1518" s="6" t="str"/>
      <x:c r="F1518" s="6" t="str">
        <x:v>收費紀錄</x:v>
      </x:c>
      <x:c r="G1518" s="19" t="str"/>
      <x:c r="H1518" s="17" t="str">
        <x:v>未評分</x:v>
      </x:c>
      <x:c r="I1518" s="6" t="n">
        <x:v>112</x:v>
      </x:c>
    </x:row>
    <x:row r="1519">
      <x:c r="A1519" s="13" t="str">
        <x:v>2006</x:v>
      </x:c>
      <x:c r="B1519" s="14" t="str"/>
      <x:c r="C1519" s="14" t="str">
        <x:v>Lv.2</x:v>
      </x:c>
      <x:c r="D1519" s="14" t="str">
        <x:v>櫃台</x:v>
      </x:c>
      <x:c r="E1519" s="6" t="str"/>
      <x:c r="F1519" s="6" t="str">
        <x:v>病歷整理</x:v>
      </x:c>
      <x:c r="G1519" s="19" t="str"/>
      <x:c r="H1519" s="17" t="str">
        <x:v>未評分</x:v>
      </x:c>
      <x:c r="I1519" s="6" t="n">
        <x:v>113</x:v>
      </x:c>
    </x:row>
    <x:row r="1520">
      <x:c r="A1520" s="13" t="str">
        <x:v>2006</x:v>
      </x:c>
      <x:c r="B1520" s="14" t="str"/>
      <x:c r="C1520" s="14" t="str">
        <x:v>Lv.2</x:v>
      </x:c>
      <x:c r="D1520" s="14" t="str">
        <x:v>櫃台</x:v>
      </x:c>
      <x:c r="E1520" s="6" t="str"/>
      <x:c r="F1520" s="6" t="str">
        <x:v>治療同意書填寫</x:v>
      </x:c>
      <x:c r="G1520" s="19" t="str"/>
      <x:c r="H1520" s="17" t="str">
        <x:v>未評分</x:v>
      </x:c>
      <x:c r="I1520" s="6" t="n">
        <x:v>114</x:v>
      </x:c>
    </x:row>
    <x:row r="1521">
      <x:c r="A1521" s="13" t="str">
        <x:v>2006</x:v>
      </x:c>
      <x:c r="B1521" s="14" t="str"/>
      <x:c r="C1521" s="14" t="str">
        <x:v>Lv.2</x:v>
      </x:c>
      <x:c r="D1521" s="14" t="str">
        <x:v>櫃台</x:v>
      </x:c>
      <x:c r="E1521" s="6" t="str"/>
      <x:c r="F1521" s="6" t="str">
        <x:v>與患者應對</x:v>
      </x:c>
      <x:c r="G1521" s="19" t="str"/>
      <x:c r="H1521" s="17" t="str">
        <x:v>未評分</x:v>
      </x:c>
      <x:c r="I1521" s="6" t="n">
        <x:v>115</x:v>
      </x:c>
    </x:row>
    <x:row r="1522">
      <x:c r="A1522" s="13" t="str">
        <x:v>2006</x:v>
      </x:c>
      <x:c r="B1522" s="14" t="str"/>
      <x:c r="C1522" s="14" t="str">
        <x:v>Lv.2</x:v>
      </x:c>
      <x:c r="D1522" s="14" t="str">
        <x:v>櫃台</x:v>
      </x:c>
      <x:c r="E1522" s="6" t="str"/>
      <x:c r="F1522" s="6" t="str">
        <x:v>約診</x:v>
      </x:c>
      <x:c r="G1522" s="19" t="str"/>
      <x:c r="H1522" s="17" t="str">
        <x:v>未評分</x:v>
      </x:c>
      <x:c r="I1522" s="6" t="n">
        <x:v>116</x:v>
      </x:c>
    </x:row>
    <x:row r="1523">
      <x:c r="A1523" s="13" t="str">
        <x:v>2006</x:v>
      </x:c>
      <x:c r="B1523" s="14" t="str"/>
      <x:c r="C1523" s="14" t="str">
        <x:v>Lv.2</x:v>
      </x:c>
      <x:c r="D1523" s="14" t="str">
        <x:v>櫃台</x:v>
      </x:c>
      <x:c r="E1523" s="6" t="str"/>
      <x:c r="F1523" s="6" t="str">
        <x:v>報表製作</x:v>
      </x:c>
      <x:c r="G1523" s="19" t="str"/>
      <x:c r="H1523" s="17" t="str">
        <x:v>未評分</x:v>
      </x:c>
      <x:c r="I1523" s="6" t="n">
        <x:v>117</x:v>
      </x:c>
    </x:row>
    <x:row r="1524">
      <x:c r="A1524" s="13" t="str">
        <x:v>2006</x:v>
      </x:c>
      <x:c r="B1524" s="14" t="str"/>
      <x:c r="C1524" s="14" t="str">
        <x:v>Lv.2</x:v>
      </x:c>
      <x:c r="D1524" s="14" t="str">
        <x:v>櫃台</x:v>
      </x:c>
      <x:c r="E1524" s="6" t="str"/>
      <x:c r="F1524" s="6" t="str">
        <x:v>診斷證明書</x:v>
      </x:c>
      <x:c r="G1524" s="19" t="str"/>
      <x:c r="H1524" s="17" t="str">
        <x:v>未評分</x:v>
      </x:c>
      <x:c r="I1524" s="6" t="n">
        <x:v>118</x:v>
      </x:c>
    </x:row>
    <x:row r="1525">
      <x:c r="A1525" s="13" t="str">
        <x:v>2006</x:v>
      </x:c>
      <x:c r="B1525" s="14" t="str"/>
      <x:c r="C1525" s="14" t="str">
        <x:v>Lv.2</x:v>
      </x:c>
      <x:c r="D1525" s="14" t="str">
        <x:v>櫃台</x:v>
      </x:c>
      <x:c r="E1525" s="6" t="str"/>
      <x:c r="F1525" s="6" t="str">
        <x:v>牙統VPN</x:v>
      </x:c>
      <x:c r="G1525" s="19" t="str"/>
      <x:c r="H1525" s="17" t="str">
        <x:v>未評分</x:v>
      </x:c>
      <x:c r="I1525" s="6" t="n">
        <x:v>119</x:v>
      </x:c>
    </x:row>
    <x:row r="1526">
      <x:c r="A1526" s="13" t="str">
        <x:v>2006</x:v>
      </x:c>
      <x:c r="B1526" s="14" t="str"/>
      <x:c r="C1526" s="14" t="str">
        <x:v>Lv.2</x:v>
      </x:c>
      <x:c r="D1526" s="14" t="str">
        <x:v>櫃台</x:v>
      </x:c>
      <x:c r="E1526" s="6" t="str"/>
      <x:c r="F1526" s="6" t="str">
        <x:v>病歷檢查核對</x:v>
      </x:c>
      <x:c r="G1526" s="19" t="str"/>
      <x:c r="H1526" s="17" t="str">
        <x:v>未評分</x:v>
      </x:c>
      <x:c r="I1526" s="6" t="n">
        <x:v>120</x:v>
      </x:c>
    </x:row>
    <x:row r="1527">
      <x:c r="A1527" s="13" t="str">
        <x:v>2006</x:v>
      </x:c>
      <x:c r="B1527" s="14" t="str"/>
      <x:c r="C1527" s="14" t="str">
        <x:v>Lv.2</x:v>
      </x:c>
      <x:c r="D1527" s="14" t="str">
        <x:v>櫃台</x:v>
      </x:c>
      <x:c r="E1527" s="6" t="str"/>
      <x:c r="F1527" s="6" t="str">
        <x:v>抽審資料處理</x:v>
      </x:c>
      <x:c r="G1527" s="19" t="str"/>
      <x:c r="H1527" s="17" t="str">
        <x:v>未評分</x:v>
      </x:c>
      <x:c r="I1527" s="6" t="n">
        <x:v>121</x:v>
      </x:c>
    </x:row>
    <x:row r="1528">
      <x:c r="A1528" s="13" t="str">
        <x:v>2007</x:v>
      </x:c>
      <x:c r="B1528" s="14" t="str"/>
      <x:c r="C1528" s="14" t="str">
        <x:v>Lv.8</x:v>
      </x:c>
      <x:c r="D1528" s="14" t="str">
        <x:v>流動工作</x:v>
      </x:c>
      <x:c r="E1528" s="6" t="str"/>
      <x:c r="F1528" s="6" t="str">
        <x:v>撤備台</x:v>
      </x:c>
      <x:c r="G1528" s="19" t="str">
        <x:v>◎</x:v>
      </x:c>
      <x:c r="H1528" s="17" t="str">
        <x:v>熟練</x:v>
      </x:c>
      <x:c r="I1528" s="6" t="n">
        <x:v>5</x:v>
      </x:c>
    </x:row>
    <x:row r="1529">
      <x:c r="A1529" s="13" t="str">
        <x:v>2007</x:v>
      </x:c>
      <x:c r="B1529" s="14" t="str"/>
      <x:c r="C1529" s="14" t="str">
        <x:v>Lv.8</x:v>
      </x:c>
      <x:c r="D1529" s="14" t="str">
        <x:v>流動工作</x:v>
      </x:c>
      <x:c r="E1529" s="6" t="str"/>
      <x:c r="F1529" s="6" t="str">
        <x:v>器械清消流程</x:v>
      </x:c>
      <x:c r="G1529" s="19" t="str">
        <x:v>◎</x:v>
      </x:c>
      <x:c r="H1529" s="17" t="str">
        <x:v>熟練</x:v>
      </x:c>
      <x:c r="I1529" s="6" t="n">
        <x:v>6</x:v>
      </x:c>
    </x:row>
    <x:row r="1530">
      <x:c r="A1530" s="13" t="str">
        <x:v>2007</x:v>
      </x:c>
      <x:c r="B1530" s="14" t="str"/>
      <x:c r="C1530" s="14" t="str">
        <x:v>Lv.8</x:v>
      </x:c>
      <x:c r="D1530" s="14" t="str">
        <x:v>流動工作</x:v>
      </x:c>
      <x:c r="E1530" s="6" t="str"/>
      <x:c r="F1530" s="6" t="str">
        <x:v>認識治療項目</x:v>
      </x:c>
      <x:c r="G1530" s="19" t="str">
        <x:v>◎</x:v>
      </x:c>
      <x:c r="H1530" s="17" t="str">
        <x:v>熟練</x:v>
      </x:c>
      <x:c r="I1530" s="6" t="n">
        <x:v>7</x:v>
      </x:c>
    </x:row>
    <x:row r="1531">
      <x:c r="A1531" s="13" t="str">
        <x:v>2007</x:v>
      </x:c>
      <x:c r="B1531" s="14" t="str"/>
      <x:c r="C1531" s="14" t="str">
        <x:v>Lv.8</x:v>
      </x:c>
      <x:c r="D1531" s="14" t="str">
        <x:v>流動工作</x:v>
      </x:c>
      <x:c r="E1531" s="6" t="str"/>
      <x:c r="F1531" s="6" t="str">
        <x:v>替代跟診人員灌模</x:v>
      </x:c>
      <x:c r="G1531" s="19" t="str">
        <x:v>◎</x:v>
      </x:c>
      <x:c r="H1531" s="17" t="str">
        <x:v>熟練</x:v>
      </x:c>
      <x:c r="I1531" s="6" t="n">
        <x:v>8</x:v>
      </x:c>
    </x:row>
    <x:row r="1532">
      <x:c r="A1532" s="13" t="str">
        <x:v>2007</x:v>
      </x:c>
      <x:c r="B1532" s="14" t="str"/>
      <x:c r="C1532" s="14" t="str">
        <x:v>Lv.8</x:v>
      </x:c>
      <x:c r="D1532" s="14" t="str">
        <x:v>流動工作</x:v>
      </x:c>
      <x:c r="E1532" s="6" t="str"/>
      <x:c r="F1532" s="6" t="str">
        <x:v>拍攝X光片(PANO)</x:v>
      </x:c>
      <x:c r="G1532" s="19" t="str">
        <x:v>◎</x:v>
      </x:c>
      <x:c r="H1532" s="17" t="str">
        <x:v>熟練</x:v>
      </x:c>
      <x:c r="I1532" s="6" t="n">
        <x:v>9</x:v>
      </x:c>
    </x:row>
    <x:row r="1533">
      <x:c r="A1533" s="13" t="str">
        <x:v>2007</x:v>
      </x:c>
      <x:c r="B1533" s="14" t="str"/>
      <x:c r="C1533" s="14" t="str">
        <x:v>Lv.8</x:v>
      </x:c>
      <x:c r="D1533" s="14" t="str">
        <x:v>流動工作</x:v>
      </x:c>
      <x:c r="E1533" s="6" t="str"/>
      <x:c r="F1533" s="6" t="str">
        <x:v>拍攝根尖片(用鱷魚夾)</x:v>
      </x:c>
      <x:c r="G1533" s="19" t="str">
        <x:v>◎</x:v>
      </x:c>
      <x:c r="H1533" s="17" t="str">
        <x:v>熟練</x:v>
      </x:c>
      <x:c r="I1533" s="6" t="n">
        <x:v>10</x:v>
      </x:c>
    </x:row>
    <x:row r="1534">
      <x:c r="A1534" s="13" t="str">
        <x:v>2007</x:v>
      </x:c>
      <x:c r="B1534" s="14" t="str"/>
      <x:c r="C1534" s="14" t="str">
        <x:v>Lv.8</x:v>
      </x:c>
      <x:c r="D1534" s="14" t="str">
        <x:v>流動工作</x:v>
      </x:c>
      <x:c r="E1534" s="6" t="str"/>
      <x:c r="F1534" s="6" t="str">
        <x:v>拍攝根尖片(手壓片)</x:v>
      </x:c>
      <x:c r="G1534" s="19" t="str">
        <x:v>◎</x:v>
      </x:c>
      <x:c r="H1534" s="17" t="str">
        <x:v>熟練</x:v>
      </x:c>
      <x:c r="I1534" s="6" t="n">
        <x:v>11</x:v>
      </x:c>
    </x:row>
    <x:row r="1535">
      <x:c r="A1535" s="13" t="str">
        <x:v>2007</x:v>
      </x:c>
      <x:c r="B1535" s="14" t="str"/>
      <x:c r="C1535" s="14" t="str">
        <x:v>Lv.8</x:v>
      </x:c>
      <x:c r="D1535" s="14" t="str">
        <x:v>流動工作</x:v>
      </x:c>
      <x:c r="E1535" s="6" t="str"/>
      <x:c r="F1535" s="6" t="str">
        <x:v>開、關診工作</x:v>
      </x:c>
      <x:c r="G1535" s="19" t="str">
        <x:v>◎</x:v>
      </x:c>
      <x:c r="H1535" s="17" t="str">
        <x:v>熟練</x:v>
      </x:c>
      <x:c r="I1535" s="6" t="n">
        <x:v>12</x:v>
      </x:c>
    </x:row>
    <x:row r="1536">
      <x:c r="A1536" s="13" t="str">
        <x:v>2007</x:v>
      </x:c>
      <x:c r="B1536" s="14" t="str"/>
      <x:c r="C1536" s="14" t="str">
        <x:v>Lv.8</x:v>
      </x:c>
      <x:c r="D1536" s="14" t="str">
        <x:v>流動工作</x:v>
      </x:c>
      <x:c r="E1536" s="6" t="str"/>
      <x:c r="F1536" s="6" t="str">
        <x:v>備品補充+器械安全庫存</x:v>
      </x:c>
      <x:c r="G1536" s="19" t="str">
        <x:v>◎</x:v>
      </x:c>
      <x:c r="H1536" s="17" t="str">
        <x:v>熟練</x:v>
      </x:c>
      <x:c r="I1536" s="6" t="n">
        <x:v>13</x:v>
      </x:c>
    </x:row>
    <x:row r="1537">
      <x:c r="A1537" s="13" t="str">
        <x:v>2007</x:v>
      </x:c>
      <x:c r="B1537" s="14" t="str"/>
      <x:c r="C1537" s="14" t="str">
        <x:v>Lv.8</x:v>
      </x:c>
      <x:c r="D1537" s="14" t="str">
        <x:v>衛教</x:v>
      </x:c>
      <x:c r="E1537" s="6" t="str"/>
      <x:c r="F1537" s="6" t="str">
        <x:v>基礎衛教</x:v>
      </x:c>
      <x:c r="G1537" s="19" t="str">
        <x:v>◎</x:v>
      </x:c>
      <x:c r="H1537" s="17" t="str">
        <x:v>熟練</x:v>
      </x:c>
      <x:c r="I1537" s="6" t="n">
        <x:v>14</x:v>
      </x:c>
    </x:row>
    <x:row r="1538">
      <x:c r="A1538" s="13" t="str">
        <x:v>2007</x:v>
      </x:c>
      <x:c r="B1538" s="14" t="str"/>
      <x:c r="C1538" s="14" t="str">
        <x:v>Lv.8</x:v>
      </x:c>
      <x:c r="D1538" s="14" t="str">
        <x:v>衛教</x:v>
      </x:c>
      <x:c r="E1538" s="6" t="str"/>
      <x:c r="F1538" s="6" t="str">
        <x:v>進階衛教</x:v>
      </x:c>
      <x:c r="G1538" s="19" t="str">
        <x:v>◎</x:v>
      </x:c>
      <x:c r="H1538" s="17" t="str">
        <x:v>熟練</x:v>
      </x:c>
      <x:c r="I1538" s="6" t="n">
        <x:v>15</x:v>
      </x:c>
    </x:row>
    <x:row r="1539">
      <x:c r="A1539" s="13" t="str">
        <x:v>2007</x:v>
      </x:c>
      <x:c r="B1539" s="14" t="str"/>
      <x:c r="C1539" s="14" t="str">
        <x:v>Lv.8</x:v>
      </x:c>
      <x:c r="D1539" s="14" t="str">
        <x:v>李柄輝醫師</x:v>
      </x:c>
      <x:c r="E1539" s="6" t="str">
        <x:v>器械準備</x:v>
      </x:c>
      <x:c r="F1539" s="6" t="str">
        <x:v>洗牙</x:v>
      </x:c>
      <x:c r="G1539" s="19" t="str"/>
      <x:c r="H1539" s="17" t="str">
        <x:v>未評分</x:v>
      </x:c>
      <x:c r="I1539" s="6" t="n">
        <x:v>16</x:v>
      </x:c>
    </x:row>
    <x:row r="1540">
      <x:c r="A1540" s="13" t="str">
        <x:v>2007</x:v>
      </x:c>
      <x:c r="B1540" s="14" t="str"/>
      <x:c r="C1540" s="14" t="str">
        <x:v>Lv.8</x:v>
      </x:c>
      <x:c r="D1540" s="14" t="str">
        <x:v>李柄輝醫師</x:v>
      </x:c>
      <x:c r="E1540" s="6" t="str">
        <x:v>器械準備</x:v>
      </x:c>
      <x:c r="F1540" s="6" t="str">
        <x:v>補牙</x:v>
      </x:c>
      <x:c r="G1540" s="19" t="str"/>
      <x:c r="H1540" s="17" t="str">
        <x:v>未評分</x:v>
      </x:c>
      <x:c r="I1540" s="6" t="n">
        <x:v>17</x:v>
      </x:c>
    </x:row>
    <x:row r="1541">
      <x:c r="A1541" s="13" t="str">
        <x:v>2007</x:v>
      </x:c>
      <x:c r="B1541" s="14" t="str"/>
      <x:c r="C1541" s="14" t="str">
        <x:v>Lv.8</x:v>
      </x:c>
      <x:c r="D1541" s="14" t="str">
        <x:v>李柄輝醫師</x:v>
      </x:c>
      <x:c r="E1541" s="6" t="str">
        <x:v>器械準備</x:v>
      </x:c>
      <x:c r="F1541" s="6" t="str">
        <x:v>牙周統合</x:v>
      </x:c>
      <x:c r="G1541" s="19" t="str"/>
      <x:c r="H1541" s="17" t="str">
        <x:v>未評分</x:v>
      </x:c>
      <x:c r="I1541" s="6" t="n">
        <x:v>18</x:v>
      </x:c>
    </x:row>
    <x:row r="1542">
      <x:c r="A1542" s="13" t="str">
        <x:v>2007</x:v>
      </x:c>
      <x:c r="B1542" s="14" t="str"/>
      <x:c r="C1542" s="14" t="str">
        <x:v>Lv.8</x:v>
      </x:c>
      <x:c r="D1542" s="14" t="str">
        <x:v>李柄輝醫師</x:v>
      </x:c>
      <x:c r="E1542" s="6" t="str">
        <x:v>器械準備</x:v>
      </x:c>
      <x:c r="F1542" s="6" t="str">
        <x:v>根管治療(插針照)</x:v>
      </x:c>
      <x:c r="G1542" s="19" t="str"/>
      <x:c r="H1542" s="17" t="str">
        <x:v>未評分</x:v>
      </x:c>
      <x:c r="I1542" s="6" t="n">
        <x:v>19</x:v>
      </x:c>
    </x:row>
    <x:row r="1543">
      <x:c r="A1543" s="13" t="str">
        <x:v>2007</x:v>
      </x:c>
      <x:c r="B1543" s="14" t="str"/>
      <x:c r="C1543" s="14" t="str">
        <x:v>Lv.8</x:v>
      </x:c>
      <x:c r="D1543" s="14" t="str">
        <x:v>李柄輝醫師</x:v>
      </x:c>
      <x:c r="E1543" s="6" t="str">
        <x:v>器械準備</x:v>
      </x:c>
      <x:c r="F1543" s="6" t="str">
        <x:v>拆crown/post</x:v>
      </x:c>
      <x:c r="G1543" s="19" t="str"/>
      <x:c r="H1543" s="17" t="str">
        <x:v>未評分</x:v>
      </x:c>
      <x:c r="I1543" s="6" t="n">
        <x:v>20</x:v>
      </x:c>
    </x:row>
    <x:row r="1544">
      <x:c r="A1544" s="13" t="str">
        <x:v>2007</x:v>
      </x:c>
      <x:c r="B1544" s="14" t="str"/>
      <x:c r="C1544" s="14" t="str">
        <x:v>Lv.8</x:v>
      </x:c>
      <x:c r="D1544" s="14" t="str">
        <x:v>李柄輝醫師</x:v>
      </x:c>
      <x:c r="E1544" s="6" t="str">
        <x:v>器械準備</x:v>
      </x:c>
      <x:c r="F1544" s="6" t="str">
        <x:v>拔牙</x:v>
      </x:c>
      <x:c r="G1544" s="19" t="str"/>
      <x:c r="H1544" s="17" t="str">
        <x:v>未評分</x:v>
      </x:c>
      <x:c r="I1544" s="6" t="n">
        <x:v>21</x:v>
      </x:c>
    </x:row>
    <x:row r="1545">
      <x:c r="A1545" s="13" t="str">
        <x:v>2007</x:v>
      </x:c>
      <x:c r="B1545" s="14" t="str"/>
      <x:c r="C1545" s="14" t="str">
        <x:v>Lv.8</x:v>
      </x:c>
      <x:c r="D1545" s="14" t="str">
        <x:v>李柄輝醫師</x:v>
      </x:c>
      <x:c r="E1545" s="6" t="str">
        <x:v>自費</x:v>
      </x:c>
      <x:c r="F1545" s="6" t="str">
        <x:v>固定假牙(黏著劑)</x:v>
      </x:c>
      <x:c r="G1545" s="19" t="str"/>
      <x:c r="H1545" s="17" t="str">
        <x:v>未評分</x:v>
      </x:c>
      <x:c r="I1545" s="6" t="n">
        <x:v>22</x:v>
      </x:c>
    </x:row>
    <x:row r="1546">
      <x:c r="A1546" s="13" t="str">
        <x:v>2007</x:v>
      </x:c>
      <x:c r="B1546" s="14" t="str"/>
      <x:c r="C1546" s="14" t="str">
        <x:v>Lv.8</x:v>
      </x:c>
      <x:c r="D1546" s="14" t="str">
        <x:v>李柄輝醫師</x:v>
      </x:c>
      <x:c r="E1546" s="6" t="str"/>
      <x:c r="F1546" s="6" t="str">
        <x:v>跟診順暢度</x:v>
      </x:c>
      <x:c r="G1546" s="19" t="str"/>
      <x:c r="H1546" s="17" t="str">
        <x:v>未評分</x:v>
      </x:c>
      <x:c r="I1546" s="6" t="n">
        <x:v>23</x:v>
      </x:c>
    </x:row>
    <x:row r="1547">
      <x:c r="A1547" s="13" t="str">
        <x:v>2007</x:v>
      </x:c>
      <x:c r="B1547" s="14" t="str"/>
      <x:c r="C1547" s="14" t="str">
        <x:v>Lv.8</x:v>
      </x:c>
      <x:c r="D1547" s="14" t="str">
        <x:v>李柄輝醫師</x:v>
      </x:c>
      <x:c r="E1547" s="6" t="str"/>
      <x:c r="F1547" s="6" t="str">
        <x:v>病歷紀錄</x:v>
      </x:c>
      <x:c r="G1547" s="19" t="str"/>
      <x:c r="H1547" s="17" t="str">
        <x:v>未評分</x:v>
      </x:c>
      <x:c r="I1547" s="6" t="n">
        <x:v>24</x:v>
      </x:c>
    </x:row>
    <x:row r="1548">
      <x:c r="A1548" s="13" t="str">
        <x:v>2007</x:v>
      </x:c>
      <x:c r="B1548" s="14" t="str"/>
      <x:c r="C1548" s="14" t="str">
        <x:v>Lv.8</x:v>
      </x:c>
      <x:c r="D1548" s="14" t="str">
        <x:v>李柄輝醫師</x:v>
      </x:c>
      <x:c r="E1548" s="6" t="str"/>
      <x:c r="F1548" s="6" t="str">
        <x:v>健保申報</x:v>
      </x:c>
      <x:c r="G1548" s="19" t="str"/>
      <x:c r="H1548" s="17" t="str">
        <x:v>未評分</x:v>
      </x:c>
      <x:c r="I1548" s="6" t="n">
        <x:v>25</x:v>
      </x:c>
    </x:row>
    <x:row r="1549">
      <x:c r="A1549" s="13" t="str">
        <x:v>2007</x:v>
      </x:c>
      <x:c r="B1549" s="14" t="str"/>
      <x:c r="C1549" s="14" t="str">
        <x:v>Lv.8</x:v>
      </x:c>
      <x:c r="D1549" s="14" t="str">
        <x:v>李柄輝醫師</x:v>
      </x:c>
      <x:c r="E1549" s="6" t="str"/>
      <x:c r="F1549" s="6" t="str">
        <x:v>X光片紀錄</x:v>
      </x:c>
      <x:c r="G1549" s="19" t="str"/>
      <x:c r="H1549" s="17" t="str">
        <x:v>未評分</x:v>
      </x:c>
      <x:c r="I1549" s="6" t="n">
        <x:v>26</x:v>
      </x:c>
    </x:row>
    <x:row r="1550">
      <x:c r="A1550" s="13" t="str">
        <x:v>2007</x:v>
      </x:c>
      <x:c r="B1550" s="14" t="str"/>
      <x:c r="C1550" s="14" t="str">
        <x:v>Lv.8</x:v>
      </x:c>
      <x:c r="D1550" s="14" t="str">
        <x:v>李柄輝醫師</x:v>
      </x:c>
      <x:c r="E1550" s="6" t="str"/>
      <x:c r="F1550" s="6" t="str">
        <x:v>拍PA</x:v>
      </x:c>
      <x:c r="G1550" s="19" t="str"/>
      <x:c r="H1550" s="17" t="str">
        <x:v>未評分</x:v>
      </x:c>
      <x:c r="I1550" s="6" t="n">
        <x:v>27</x:v>
      </x:c>
    </x:row>
    <x:row r="1551">
      <x:c r="A1551" s="13" t="str">
        <x:v>2007</x:v>
      </x:c>
      <x:c r="B1551" s="14" t="str"/>
      <x:c r="C1551" s="14" t="str">
        <x:v>Lv.8</x:v>
      </x:c>
      <x:c r="D1551" s="14" t="str">
        <x:v>李侑津醫師</x:v>
      </x:c>
      <x:c r="E1551" s="6" t="str">
        <x:v>器械準備</x:v>
      </x:c>
      <x:c r="F1551" s="6" t="str">
        <x:v>洗牙</x:v>
      </x:c>
      <x:c r="G1551" s="19" t="str"/>
      <x:c r="H1551" s="17" t="str">
        <x:v>未評分</x:v>
      </x:c>
      <x:c r="I1551" s="6" t="n">
        <x:v>28</x:v>
      </x:c>
    </x:row>
    <x:row r="1552">
      <x:c r="A1552" s="13" t="str">
        <x:v>2007</x:v>
      </x:c>
      <x:c r="B1552" s="14" t="str"/>
      <x:c r="C1552" s="14" t="str">
        <x:v>Lv.8</x:v>
      </x:c>
      <x:c r="D1552" s="14" t="str">
        <x:v>李侑津醫師</x:v>
      </x:c>
      <x:c r="E1552" s="6" t="str">
        <x:v>器械準備</x:v>
      </x:c>
      <x:c r="F1552" s="6" t="str">
        <x:v>補牙</x:v>
      </x:c>
      <x:c r="G1552" s="19" t="str"/>
      <x:c r="H1552" s="17" t="str">
        <x:v>未評分</x:v>
      </x:c>
      <x:c r="I1552" s="6" t="n">
        <x:v>29</x:v>
      </x:c>
    </x:row>
    <x:row r="1553">
      <x:c r="A1553" s="13" t="str">
        <x:v>2007</x:v>
      </x:c>
      <x:c r="B1553" s="14" t="str"/>
      <x:c r="C1553" s="14" t="str">
        <x:v>Lv.8</x:v>
      </x:c>
      <x:c r="D1553" s="14" t="str">
        <x:v>李侑津醫師</x:v>
      </x:c>
      <x:c r="E1553" s="6" t="str">
        <x:v>器械準備</x:v>
      </x:c>
      <x:c r="F1553" s="6" t="str">
        <x:v>牙周統合</x:v>
      </x:c>
      <x:c r="G1553" s="19" t="str"/>
      <x:c r="H1553" s="17" t="str">
        <x:v>未評分</x:v>
      </x:c>
      <x:c r="I1553" s="6" t="n">
        <x:v>30</x:v>
      </x:c>
    </x:row>
    <x:row r="1554">
      <x:c r="A1554" s="13" t="str">
        <x:v>2007</x:v>
      </x:c>
      <x:c r="B1554" s="14" t="str"/>
      <x:c r="C1554" s="14" t="str">
        <x:v>Lv.8</x:v>
      </x:c>
      <x:c r="D1554" s="14" t="str">
        <x:v>李侑津醫師</x:v>
      </x:c>
      <x:c r="E1554" s="6" t="str">
        <x:v>器械準備</x:v>
      </x:c>
      <x:c r="F1554" s="6" t="str">
        <x:v>根管治療</x:v>
      </x:c>
      <x:c r="G1554" s="19" t="str"/>
      <x:c r="H1554" s="17" t="str">
        <x:v>未評分</x:v>
      </x:c>
      <x:c r="I1554" s="6" t="n">
        <x:v>31</x:v>
      </x:c>
    </x:row>
    <x:row r="1555">
      <x:c r="A1555" s="13" t="str">
        <x:v>2007</x:v>
      </x:c>
      <x:c r="B1555" s="14" t="str"/>
      <x:c r="C1555" s="14" t="str">
        <x:v>Lv.8</x:v>
      </x:c>
      <x:c r="D1555" s="14" t="str">
        <x:v>李侑津醫師</x:v>
      </x:c>
      <x:c r="E1555" s="6" t="str">
        <x:v>器械準備</x:v>
      </x:c>
      <x:c r="F1555" s="6" t="str">
        <x:v>拔牙</x:v>
      </x:c>
      <x:c r="G1555" s="19" t="str"/>
      <x:c r="H1555" s="17" t="str">
        <x:v>未評分</x:v>
      </x:c>
      <x:c r="I1555" s="6" t="n">
        <x:v>32</x:v>
      </x:c>
    </x:row>
    <x:row r="1556">
      <x:c r="A1556" s="13" t="str">
        <x:v>2007</x:v>
      </x:c>
      <x:c r="B1556" s="14" t="str"/>
      <x:c r="C1556" s="14" t="str">
        <x:v>Lv.8</x:v>
      </x:c>
      <x:c r="D1556" s="14" t="str">
        <x:v>李侑津醫師</x:v>
      </x:c>
      <x:c r="E1556" s="6" t="str">
        <x:v>器械準備</x:v>
      </x:c>
      <x:c r="F1556" s="6" t="str">
        <x:v>拆 crown/post</x:v>
      </x:c>
      <x:c r="G1556" s="19" t="str"/>
      <x:c r="H1556" s="17" t="str">
        <x:v>未評分</x:v>
      </x:c>
      <x:c r="I1556" s="6" t="n">
        <x:v>33</x:v>
      </x:c>
    </x:row>
    <x:row r="1557">
      <x:c r="A1557" s="13" t="str">
        <x:v>2007</x:v>
      </x:c>
      <x:c r="B1557" s="14" t="str"/>
      <x:c r="C1557" s="14" t="str">
        <x:v>Lv.8</x:v>
      </x:c>
      <x:c r="D1557" s="14" t="str">
        <x:v>李侑津醫師</x:v>
      </x:c>
      <x:c r="E1557" s="6" t="str">
        <x:v>自費</x:v>
      </x:c>
      <x:c r="F1557" s="6" t="str">
        <x:v>固定假牙</x:v>
      </x:c>
      <x:c r="G1557" s="19" t="str"/>
      <x:c r="H1557" s="17" t="str">
        <x:v>未評分</x:v>
      </x:c>
      <x:c r="I1557" s="6" t="n">
        <x:v>34</x:v>
      </x:c>
    </x:row>
    <x:row r="1558">
      <x:c r="A1558" s="13" t="str">
        <x:v>2007</x:v>
      </x:c>
      <x:c r="B1558" s="14" t="str"/>
      <x:c r="C1558" s="14" t="str">
        <x:v>Lv.8</x:v>
      </x:c>
      <x:c r="D1558" s="14" t="str">
        <x:v>李侑津醫師</x:v>
      </x:c>
      <x:c r="E1558" s="6" t="str">
        <x:v>自費</x:v>
      </x:c>
      <x:c r="F1558" s="6" t="str">
        <x:v>RPD</x:v>
      </x:c>
      <x:c r="G1558" s="19" t="str"/>
      <x:c r="H1558" s="17" t="str">
        <x:v>未評分</x:v>
      </x:c>
      <x:c r="I1558" s="6" t="n">
        <x:v>35</x:v>
      </x:c>
    </x:row>
    <x:row r="1559">
      <x:c r="A1559" s="13" t="str">
        <x:v>2007</x:v>
      </x:c>
      <x:c r="B1559" s="14" t="str"/>
      <x:c r="C1559" s="14" t="str">
        <x:v>Lv.8</x:v>
      </x:c>
      <x:c r="D1559" s="14" t="str">
        <x:v>李侑津醫師</x:v>
      </x:c>
      <x:c r="E1559" s="6" t="str">
        <x:v>自費</x:v>
      </x:c>
      <x:c r="F1559" s="6" t="str">
        <x:v>噴砂美白</x:v>
      </x:c>
      <x:c r="G1559" s="19" t="str"/>
      <x:c r="H1559" s="17" t="str">
        <x:v>未評分</x:v>
      </x:c>
      <x:c r="I1559" s="6" t="n">
        <x:v>36</x:v>
      </x:c>
    </x:row>
    <x:row r="1560">
      <x:c r="A1560" s="13" t="str">
        <x:v>2007</x:v>
      </x:c>
      <x:c r="B1560" s="14" t="str"/>
      <x:c r="C1560" s="14" t="str">
        <x:v>Lv.8</x:v>
      </x:c>
      <x:c r="D1560" s="14" t="str">
        <x:v>李侑津醫師</x:v>
      </x:c>
      <x:c r="E1560" s="6" t="str">
        <x:v>手術</x:v>
      </x:c>
      <x:c r="F1560" s="6" t="str">
        <x:v>牙周手術</x:v>
      </x:c>
      <x:c r="G1560" s="19" t="str"/>
      <x:c r="H1560" s="17" t="str">
        <x:v>未評分</x:v>
      </x:c>
      <x:c r="I1560" s="6" t="n">
        <x:v>37</x:v>
      </x:c>
    </x:row>
    <x:row r="1561">
      <x:c r="A1561" s="13" t="str">
        <x:v>2007</x:v>
      </x:c>
      <x:c r="B1561" s="14" t="str"/>
      <x:c r="C1561" s="14" t="str">
        <x:v>Lv.8</x:v>
      </x:c>
      <x:c r="D1561" s="14" t="str">
        <x:v>李侑津醫師</x:v>
      </x:c>
      <x:c r="E1561" s="6" t="str">
        <x:v>手術</x:v>
      </x:c>
      <x:c r="F1561" s="6" t="str">
        <x:v>顯微根管</x:v>
      </x:c>
      <x:c r="G1561" s="19" t="str"/>
      <x:c r="H1561" s="17" t="str">
        <x:v>未評分</x:v>
      </x:c>
      <x:c r="I1561" s="6" t="n">
        <x:v>38</x:v>
      </x:c>
    </x:row>
    <x:row r="1562">
      <x:c r="A1562" s="13" t="str">
        <x:v>2007</x:v>
      </x:c>
      <x:c r="B1562" s="14" t="str"/>
      <x:c r="C1562" s="14" t="str">
        <x:v>Lv.8</x:v>
      </x:c>
      <x:c r="D1562" s="14" t="str">
        <x:v>李侑津醫師</x:v>
      </x:c>
      <x:c r="E1562" s="6" t="str">
        <x:v>手術</x:v>
      </x:c>
      <x:c r="F1562" s="6" t="str">
        <x:v>植 牙</x:v>
      </x:c>
      <x:c r="G1562" s="19" t="str"/>
      <x:c r="H1562" s="17" t="str">
        <x:v>未評分</x:v>
      </x:c>
      <x:c r="I1562" s="6" t="n">
        <x:v>39</x:v>
      </x:c>
    </x:row>
    <x:row r="1563">
      <x:c r="A1563" s="13" t="str">
        <x:v>2007</x:v>
      </x:c>
      <x:c r="B1563" s="14" t="str"/>
      <x:c r="C1563" s="14" t="str">
        <x:v>Lv.8</x:v>
      </x:c>
      <x:c r="D1563" s="14" t="str">
        <x:v>李侑津醫師</x:v>
      </x:c>
      <x:c r="E1563" s="6" t="str"/>
      <x:c r="F1563" s="6" t="str">
        <x:v>跟診順暢度</x:v>
      </x:c>
      <x:c r="G1563" s="19" t="str"/>
      <x:c r="H1563" s="17" t="str">
        <x:v>未評分</x:v>
      </x:c>
      <x:c r="I1563" s="6" t="n">
        <x:v>40</x:v>
      </x:c>
    </x:row>
    <x:row r="1564">
      <x:c r="A1564" s="13" t="str">
        <x:v>2007</x:v>
      </x:c>
      <x:c r="B1564" s="14" t="str"/>
      <x:c r="C1564" s="14" t="str">
        <x:v>Lv.8</x:v>
      </x:c>
      <x:c r="D1564" s="14" t="str">
        <x:v>李侑津醫師</x:v>
      </x:c>
      <x:c r="E1564" s="6" t="str"/>
      <x:c r="F1564" s="6" t="str">
        <x:v>病歷紀錄</x:v>
      </x:c>
      <x:c r="G1564" s="19" t="str"/>
      <x:c r="H1564" s="17" t="str">
        <x:v>未評分</x:v>
      </x:c>
      <x:c r="I1564" s="6" t="n">
        <x:v>41</x:v>
      </x:c>
    </x:row>
    <x:row r="1565">
      <x:c r="A1565" s="13" t="str">
        <x:v>2007</x:v>
      </x:c>
      <x:c r="B1565" s="14" t="str"/>
      <x:c r="C1565" s="14" t="str">
        <x:v>Lv.8</x:v>
      </x:c>
      <x:c r="D1565" s="14" t="str">
        <x:v>李侑津醫師</x:v>
      </x:c>
      <x:c r="E1565" s="6" t="str"/>
      <x:c r="F1565" s="6" t="str">
        <x:v>健保申報</x:v>
      </x:c>
      <x:c r="G1565" s="19" t="str"/>
      <x:c r="H1565" s="17" t="str">
        <x:v>未評分</x:v>
      </x:c>
      <x:c r="I1565" s="6" t="n">
        <x:v>42</x:v>
      </x:c>
    </x:row>
    <x:row r="1566">
      <x:c r="A1566" s="13" t="str">
        <x:v>2007</x:v>
      </x:c>
      <x:c r="B1566" s="14" t="str"/>
      <x:c r="C1566" s="14" t="str">
        <x:v>Lv.8</x:v>
      </x:c>
      <x:c r="D1566" s="14" t="str">
        <x:v>李侑津醫師</x:v>
      </x:c>
      <x:c r="E1566" s="6" t="str"/>
      <x:c r="F1566" s="6" t="str">
        <x:v>X光片紀錄</x:v>
      </x:c>
      <x:c r="G1566" s="19" t="str"/>
      <x:c r="H1566" s="17" t="str">
        <x:v>未評分</x:v>
      </x:c>
      <x:c r="I1566" s="6" t="n">
        <x:v>43</x:v>
      </x:c>
    </x:row>
    <x:row r="1567">
      <x:c r="A1567" s="13" t="str">
        <x:v>2007</x:v>
      </x:c>
      <x:c r="B1567" s="14" t="str"/>
      <x:c r="C1567" s="14" t="str">
        <x:v>Lv.8</x:v>
      </x:c>
      <x:c r="D1567" s="14" t="str">
        <x:v>李侑津醫師</x:v>
      </x:c>
      <x:c r="E1567" s="6" t="str"/>
      <x:c r="F1567" s="6" t="str">
        <x:v>拍PA</x:v>
      </x:c>
      <x:c r="G1567" s="19" t="str"/>
      <x:c r="H1567" s="17" t="str">
        <x:v>未評分</x:v>
      </x:c>
      <x:c r="I1567" s="6" t="n">
        <x:v>44</x:v>
      </x:c>
    </x:row>
    <x:row r="1568">
      <x:c r="A1568" s="13" t="str">
        <x:v>2007</x:v>
      </x:c>
      <x:c r="B1568" s="14" t="str"/>
      <x:c r="C1568" s="14" t="str">
        <x:v>Lv.8</x:v>
      </x:c>
      <x:c r="D1568" s="14" t="str">
        <x:v>李侑津醫師</x:v>
      </x:c>
      <x:c r="E1568" s="6" t="str"/>
      <x:c r="F1568" s="6" t="str">
        <x:v>口掃機運用</x:v>
      </x:c>
      <x:c r="G1568" s="19" t="str"/>
      <x:c r="H1568" s="17" t="str">
        <x:v>未評分</x:v>
      </x:c>
      <x:c r="I1568" s="6" t="n">
        <x:v>45</x:v>
      </x:c>
    </x:row>
    <x:row r="1569">
      <x:c r="A1569" s="13" t="str">
        <x:v>2007</x:v>
      </x:c>
      <x:c r="B1569" s="14" t="str"/>
      <x:c r="C1569" s="14" t="str">
        <x:v>Lv.8</x:v>
      </x:c>
      <x:c r="D1569" s="14" t="str">
        <x:v>廖立揚醫師</x:v>
      </x:c>
      <x:c r="E1569" s="6" t="str"/>
      <x:c r="F1569" s="6" t="str">
        <x:v>器械熟悉度</x:v>
      </x:c>
      <x:c r="G1569" s="19" t="str"/>
      <x:c r="H1569" s="17" t="str">
        <x:v>未評分</x:v>
      </x:c>
      <x:c r="I1569" s="6" t="n">
        <x:v>46</x:v>
      </x:c>
    </x:row>
    <x:row r="1570">
      <x:c r="A1570" s="13" t="str">
        <x:v>2007</x:v>
      </x:c>
      <x:c r="B1570" s="14" t="str"/>
      <x:c r="C1570" s="14" t="str">
        <x:v>Lv.8</x:v>
      </x:c>
      <x:c r="D1570" s="14" t="str">
        <x:v>廖立揚醫師</x:v>
      </x:c>
      <x:c r="E1570" s="6" t="str"/>
      <x:c r="F1570" s="6" t="str">
        <x:v>跟診順暢度</x:v>
      </x:c>
      <x:c r="G1570" s="19" t="str"/>
      <x:c r="H1570" s="17" t="str">
        <x:v>未評分</x:v>
      </x:c>
      <x:c r="I1570" s="6" t="n">
        <x:v>47</x:v>
      </x:c>
    </x:row>
    <x:row r="1571">
      <x:c r="A1571" s="13" t="str">
        <x:v>2007</x:v>
      </x:c>
      <x:c r="B1571" s="14" t="str"/>
      <x:c r="C1571" s="14" t="str">
        <x:v>Lv.8</x:v>
      </x:c>
      <x:c r="D1571" s="14" t="str">
        <x:v>廖立揚醫師</x:v>
      </x:c>
      <x:c r="E1571" s="6" t="str"/>
      <x:c r="F1571" s="6" t="str">
        <x:v>病歷紀錄</x:v>
      </x:c>
      <x:c r="G1571" s="19" t="str"/>
      <x:c r="H1571" s="17" t="str">
        <x:v>未評分</x:v>
      </x:c>
      <x:c r="I1571" s="6" t="n">
        <x:v>48</x:v>
      </x:c>
    </x:row>
    <x:row r="1572">
      <x:c r="A1572" s="13" t="str">
        <x:v>2007</x:v>
      </x:c>
      <x:c r="B1572" s="14" t="str"/>
      <x:c r="C1572" s="14" t="str">
        <x:v>Lv.8</x:v>
      </x:c>
      <x:c r="D1572" s="14" t="str">
        <x:v>廖立揚醫師</x:v>
      </x:c>
      <x:c r="E1572" s="6" t="str"/>
      <x:c r="F1572" s="6" t="str">
        <x:v>健保申報(初診pano)</x:v>
      </x:c>
      <x:c r="G1572" s="19" t="str"/>
      <x:c r="H1572" s="17" t="str">
        <x:v>未評分</x:v>
      </x:c>
      <x:c r="I1572" s="6" t="n">
        <x:v>49</x:v>
      </x:c>
    </x:row>
    <x:row r="1573">
      <x:c r="A1573" s="13" t="str">
        <x:v>2007</x:v>
      </x:c>
      <x:c r="B1573" s="14" t="str"/>
      <x:c r="C1573" s="14" t="str">
        <x:v>Lv.8</x:v>
      </x:c>
      <x:c r="D1573" s="14" t="str">
        <x:v>廖立揚醫師</x:v>
      </x:c>
      <x:c r="E1573" s="6" t="str"/>
      <x:c r="F1573" s="6" t="str">
        <x:v>X光片紀錄</x:v>
      </x:c>
      <x:c r="G1573" s="19" t="str"/>
      <x:c r="H1573" s="17" t="str">
        <x:v>未評分</x:v>
      </x:c>
      <x:c r="I1573" s="6" t="n">
        <x:v>50</x:v>
      </x:c>
    </x:row>
    <x:row r="1574">
      <x:c r="A1574" s="13" t="str">
        <x:v>2007</x:v>
      </x:c>
      <x:c r="B1574" s="14" t="str"/>
      <x:c r="C1574" s="14" t="str">
        <x:v>Lv.8</x:v>
      </x:c>
      <x:c r="D1574" s="14" t="str">
        <x:v>廖立揚醫師</x:v>
      </x:c>
      <x:c r="E1574" s="6" t="str"/>
      <x:c r="F1574" s="6" t="str">
        <x:v>拍PANO、PA</x:v>
      </x:c>
      <x:c r="G1574" s="19" t="str"/>
      <x:c r="H1574" s="17" t="str">
        <x:v>未評分</x:v>
      </x:c>
      <x:c r="I1574" s="6" t="n">
        <x:v>51</x:v>
      </x:c>
    </x:row>
    <x:row r="1575">
      <x:c r="A1575" s="13" t="str">
        <x:v>2007</x:v>
      </x:c>
      <x:c r="B1575" s="14" t="str"/>
      <x:c r="C1575" s="14" t="str">
        <x:v>Lv.8</x:v>
      </x:c>
      <x:c r="D1575" s="14" t="str">
        <x:v>廖立揚醫師</x:v>
      </x:c>
      <x:c r="E1575" s="6" t="str"/>
      <x:c r="F1575" s="6" t="str">
        <x:v>CT照</x:v>
      </x:c>
      <x:c r="G1575" s="19" t="str"/>
      <x:c r="H1575" s="17" t="str">
        <x:v>未評分</x:v>
      </x:c>
      <x:c r="I1575" s="6" t="n">
        <x:v>52</x:v>
      </x:c>
    </x:row>
    <x:row r="1576">
      <x:c r="A1576" s="13" t="str">
        <x:v>2007</x:v>
      </x:c>
      <x:c r="B1576" s="14" t="str"/>
      <x:c r="C1576" s="14" t="str">
        <x:v>Lv.8</x:v>
      </x:c>
      <x:c r="D1576" s="14" t="str">
        <x:v>廖立揚醫師</x:v>
      </x:c>
      <x:c r="E1576" s="6" t="str"/>
      <x:c r="F1576" s="6" t="str">
        <x:v>側頭顱照</x:v>
      </x:c>
      <x:c r="G1576" s="19" t="str"/>
      <x:c r="H1576" s="17" t="str">
        <x:v>未評分</x:v>
      </x:c>
      <x:c r="I1576" s="6" t="n">
        <x:v>53</x:v>
      </x:c>
    </x:row>
    <x:row r="1577">
      <x:c r="A1577" s="13" t="str">
        <x:v>2007</x:v>
      </x:c>
      <x:c r="B1577" s="14" t="str"/>
      <x:c r="C1577" s="14" t="str">
        <x:v>Lv.8</x:v>
      </x:c>
      <x:c r="D1577" s="14" t="str">
        <x:v>廖立揚醫師</x:v>
      </x:c>
      <x:c r="E1577" s="6" t="str"/>
      <x:c r="F1577" s="6" t="str">
        <x:v>口掃機運用</x:v>
      </x:c>
      <x:c r="G1577" s="19" t="str"/>
      <x:c r="H1577" s="17" t="str">
        <x:v>未評分</x:v>
      </x:c>
      <x:c r="I1577" s="6" t="n">
        <x:v>54</x:v>
      </x:c>
    </x:row>
    <x:row r="1578">
      <x:c r="A1578" s="13" t="str">
        <x:v>2007</x:v>
      </x:c>
      <x:c r="B1578" s="14" t="str"/>
      <x:c r="C1578" s="14" t="str">
        <x:v>Lv.8</x:v>
      </x:c>
      <x:c r="D1578" s="14" t="str">
        <x:v>楊小瑩醫師</x:v>
      </x:c>
      <x:c r="E1578" s="6" t="str">
        <x:v>器械準備</x:v>
      </x:c>
      <x:c r="F1578" s="6" t="str">
        <x:v>洗牙</x:v>
      </x:c>
      <x:c r="G1578" s="19" t="str"/>
      <x:c r="H1578" s="17" t="str">
        <x:v>未評分</x:v>
      </x:c>
      <x:c r="I1578" s="6" t="n">
        <x:v>55</x:v>
      </x:c>
    </x:row>
    <x:row r="1579">
      <x:c r="A1579" s="13" t="str">
        <x:v>2007</x:v>
      </x:c>
      <x:c r="B1579" s="14" t="str"/>
      <x:c r="C1579" s="14" t="str">
        <x:v>Lv.8</x:v>
      </x:c>
      <x:c r="D1579" s="14" t="str">
        <x:v>楊小瑩醫師</x:v>
      </x:c>
      <x:c r="E1579" s="6" t="str">
        <x:v>器械準備</x:v>
      </x:c>
      <x:c r="F1579" s="6" t="str">
        <x:v>補牙</x:v>
      </x:c>
      <x:c r="G1579" s="19" t="str"/>
      <x:c r="H1579" s="17" t="str">
        <x:v>未評分</x:v>
      </x:c>
      <x:c r="I1579" s="6" t="n">
        <x:v>56</x:v>
      </x:c>
    </x:row>
    <x:row r="1580">
      <x:c r="A1580" s="13" t="str">
        <x:v>2007</x:v>
      </x:c>
      <x:c r="B1580" s="14" t="str"/>
      <x:c r="C1580" s="14" t="str">
        <x:v>Lv.8</x:v>
      </x:c>
      <x:c r="D1580" s="14" t="str">
        <x:v>楊小瑩醫師</x:v>
      </x:c>
      <x:c r="E1580" s="6" t="str">
        <x:v>器械準備</x:v>
      </x:c>
      <x:c r="F1580" s="6" t="str">
        <x:v>根管治療</x:v>
      </x:c>
      <x:c r="G1580" s="19" t="str"/>
      <x:c r="H1580" s="17" t="str">
        <x:v>未評分</x:v>
      </x:c>
      <x:c r="I1580" s="6" t="n">
        <x:v>57</x:v>
      </x:c>
    </x:row>
    <x:row r="1581">
      <x:c r="A1581" s="13" t="str">
        <x:v>2007</x:v>
      </x:c>
      <x:c r="B1581" s="14" t="str"/>
      <x:c r="C1581" s="14" t="str">
        <x:v>Lv.8</x:v>
      </x:c>
      <x:c r="D1581" s="14" t="str">
        <x:v>楊小瑩醫師</x:v>
      </x:c>
      <x:c r="E1581" s="6" t="str">
        <x:v>器械準備</x:v>
      </x:c>
      <x:c r="F1581" s="6" t="str">
        <x:v>拔牙</x:v>
      </x:c>
      <x:c r="G1581" s="19" t="str"/>
      <x:c r="H1581" s="17" t="str">
        <x:v>未評分</x:v>
      </x:c>
      <x:c r="I1581" s="6" t="n">
        <x:v>58</x:v>
      </x:c>
    </x:row>
    <x:row r="1582">
      <x:c r="A1582" s="13" t="str">
        <x:v>2007</x:v>
      </x:c>
      <x:c r="B1582" s="14" t="str"/>
      <x:c r="C1582" s="14" t="str">
        <x:v>Lv.8</x:v>
      </x:c>
      <x:c r="D1582" s="14" t="str">
        <x:v>楊小瑩醫師</x:v>
      </x:c>
      <x:c r="E1582" s="6" t="str">
        <x:v>器械準備</x:v>
      </x:c>
      <x:c r="F1582" s="6" t="str">
        <x:v>拆 crown/post</x:v>
      </x:c>
      <x:c r="G1582" s="19" t="str"/>
      <x:c r="H1582" s="17" t="str">
        <x:v>未評分</x:v>
      </x:c>
      <x:c r="I1582" s="6" t="n">
        <x:v>59</x:v>
      </x:c>
    </x:row>
    <x:row r="1583">
      <x:c r="A1583" s="13" t="str">
        <x:v>2007</x:v>
      </x:c>
      <x:c r="B1583" s="14" t="str"/>
      <x:c r="C1583" s="14" t="str">
        <x:v>Lv.8</x:v>
      </x:c>
      <x:c r="D1583" s="14" t="str">
        <x:v>楊小瑩醫師</x:v>
      </x:c>
      <x:c r="E1583" s="6" t="str">
        <x:v>自費</x:v>
      </x:c>
      <x:c r="F1583" s="6" t="str">
        <x:v>固定假牙</x:v>
      </x:c>
      <x:c r="G1583" s="19" t="str"/>
      <x:c r="H1583" s="17" t="str">
        <x:v>未評分</x:v>
      </x:c>
      <x:c r="I1583" s="6" t="n">
        <x:v>60</x:v>
      </x:c>
    </x:row>
    <x:row r="1584">
      <x:c r="A1584" s="13" t="str">
        <x:v>2007</x:v>
      </x:c>
      <x:c r="B1584" s="14" t="str"/>
      <x:c r="C1584" s="14" t="str">
        <x:v>Lv.8</x:v>
      </x:c>
      <x:c r="D1584" s="14" t="str">
        <x:v>楊小瑩醫師</x:v>
      </x:c>
      <x:c r="E1584" s="6" t="str">
        <x:v>自費</x:v>
      </x:c>
      <x:c r="F1584" s="6" t="str">
        <x:v>RPD</x:v>
      </x:c>
      <x:c r="G1584" s="19" t="str"/>
      <x:c r="H1584" s="17" t="str">
        <x:v>未評分</x:v>
      </x:c>
      <x:c r="I1584" s="6" t="n">
        <x:v>61</x:v>
      </x:c>
    </x:row>
    <x:row r="1585">
      <x:c r="A1585" s="13" t="str">
        <x:v>2007</x:v>
      </x:c>
      <x:c r="B1585" s="14" t="str"/>
      <x:c r="C1585" s="14" t="str">
        <x:v>Lv.8</x:v>
      </x:c>
      <x:c r="D1585" s="14" t="str">
        <x:v>楊小瑩醫師</x:v>
      </x:c>
      <x:c r="E1585" s="6" t="str">
        <x:v>自費</x:v>
      </x:c>
      <x:c r="F1585" s="6" t="str">
        <x:v>噴砂美白</x:v>
      </x:c>
      <x:c r="G1585" s="19" t="str"/>
      <x:c r="H1585" s="17" t="str">
        <x:v>未評分</x:v>
      </x:c>
      <x:c r="I1585" s="6" t="n">
        <x:v>62</x:v>
      </x:c>
    </x:row>
    <x:row r="1586">
      <x:c r="A1586" s="13" t="str">
        <x:v>2007</x:v>
      </x:c>
      <x:c r="B1586" s="14" t="str"/>
      <x:c r="C1586" s="14" t="str">
        <x:v>Lv.8</x:v>
      </x:c>
      <x:c r="D1586" s="14" t="str">
        <x:v>楊小瑩醫師</x:v>
      </x:c>
      <x:c r="E1586" s="6" t="str"/>
      <x:c r="F1586" s="6" t="str">
        <x:v>跟診順暢度</x:v>
      </x:c>
      <x:c r="G1586" s="19" t="str"/>
      <x:c r="H1586" s="17" t="str">
        <x:v>未評分</x:v>
      </x:c>
      <x:c r="I1586" s="6" t="n">
        <x:v>63</x:v>
      </x:c>
    </x:row>
    <x:row r="1587">
      <x:c r="A1587" s="13" t="str">
        <x:v>2007</x:v>
      </x:c>
      <x:c r="B1587" s="14" t="str"/>
      <x:c r="C1587" s="14" t="str">
        <x:v>Lv.8</x:v>
      </x:c>
      <x:c r="D1587" s="14" t="str">
        <x:v>楊小瑩醫師</x:v>
      </x:c>
      <x:c r="E1587" s="6" t="str"/>
      <x:c r="F1587" s="6" t="str">
        <x:v>病歷紀錄</x:v>
      </x:c>
      <x:c r="G1587" s="19" t="str"/>
      <x:c r="H1587" s="17" t="str">
        <x:v>未評分</x:v>
      </x:c>
      <x:c r="I1587" s="6" t="n">
        <x:v>64</x:v>
      </x:c>
    </x:row>
    <x:row r="1588">
      <x:c r="A1588" s="13" t="str">
        <x:v>2007</x:v>
      </x:c>
      <x:c r="B1588" s="14" t="str"/>
      <x:c r="C1588" s="14" t="str">
        <x:v>Lv.8</x:v>
      </x:c>
      <x:c r="D1588" s="14" t="str">
        <x:v>楊小瑩醫師</x:v>
      </x:c>
      <x:c r="E1588" s="6" t="str"/>
      <x:c r="F1588" s="6" t="str">
        <x:v>健保申報</x:v>
      </x:c>
      <x:c r="G1588" s="19" t="str"/>
      <x:c r="H1588" s="17" t="str">
        <x:v>未評分</x:v>
      </x:c>
      <x:c r="I1588" s="6" t="n">
        <x:v>65</x:v>
      </x:c>
    </x:row>
    <x:row r="1589">
      <x:c r="A1589" s="13" t="str">
        <x:v>2007</x:v>
      </x:c>
      <x:c r="B1589" s="14" t="str"/>
      <x:c r="C1589" s="14" t="str">
        <x:v>Lv.8</x:v>
      </x:c>
      <x:c r="D1589" s="14" t="str">
        <x:v>楊小瑩醫師</x:v>
      </x:c>
      <x:c r="E1589" s="6" t="str"/>
      <x:c r="F1589" s="6" t="str">
        <x:v>X光片紀錄</x:v>
      </x:c>
      <x:c r="G1589" s="19" t="str"/>
      <x:c r="H1589" s="17" t="str">
        <x:v>未評分</x:v>
      </x:c>
      <x:c r="I1589" s="6" t="n">
        <x:v>66</x:v>
      </x:c>
    </x:row>
    <x:row r="1590">
      <x:c r="A1590" s="13" t="str">
        <x:v>2007</x:v>
      </x:c>
      <x:c r="B1590" s="14" t="str"/>
      <x:c r="C1590" s="14" t="str">
        <x:v>Lv.8</x:v>
      </x:c>
      <x:c r="D1590" s="14" t="str">
        <x:v>楊小瑩醫師</x:v>
      </x:c>
      <x:c r="E1590" s="6" t="str"/>
      <x:c r="F1590" s="6" t="str">
        <x:v>拍PA</x:v>
      </x:c>
      <x:c r="G1590" s="19" t="str"/>
      <x:c r="H1590" s="17" t="str">
        <x:v>未評分</x:v>
      </x:c>
      <x:c r="I1590" s="6" t="n">
        <x:v>67</x:v>
      </x:c>
    </x:row>
    <x:row r="1591">
      <x:c r="A1591" s="13" t="str">
        <x:v>2007</x:v>
      </x:c>
      <x:c r="B1591" s="14" t="str"/>
      <x:c r="C1591" s="14" t="str">
        <x:v>Lv.8</x:v>
      </x:c>
      <x:c r="D1591" s="14" t="str">
        <x:v>王俊偉醫師</x:v>
      </x:c>
      <x:c r="E1591" s="6" t="str"/>
      <x:c r="F1591" s="6" t="str">
        <x:v>器械熟悉度</x:v>
      </x:c>
      <x:c r="G1591" s="19" t="str"/>
      <x:c r="H1591" s="17" t="str">
        <x:v>未評分</x:v>
      </x:c>
      <x:c r="I1591" s="6" t="n">
        <x:v>68</x:v>
      </x:c>
    </x:row>
    <x:row r="1592">
      <x:c r="A1592" s="13" t="str">
        <x:v>2007</x:v>
      </x:c>
      <x:c r="B1592" s="14" t="str"/>
      <x:c r="C1592" s="14" t="str">
        <x:v>Lv.8</x:v>
      </x:c>
      <x:c r="D1592" s="14" t="str">
        <x:v>王俊偉醫師</x:v>
      </x:c>
      <x:c r="E1592" s="6" t="str"/>
      <x:c r="F1592" s="6" t="str">
        <x:v>跟診順暢度</x:v>
      </x:c>
      <x:c r="G1592" s="19" t="str"/>
      <x:c r="H1592" s="17" t="str">
        <x:v>未評分</x:v>
      </x:c>
      <x:c r="I1592" s="6" t="n">
        <x:v>69</x:v>
      </x:c>
    </x:row>
    <x:row r="1593">
      <x:c r="A1593" s="13" t="str">
        <x:v>2007</x:v>
      </x:c>
      <x:c r="B1593" s="14" t="str"/>
      <x:c r="C1593" s="14" t="str">
        <x:v>Lv.8</x:v>
      </x:c>
      <x:c r="D1593" s="14" t="str">
        <x:v>王俊偉醫師</x:v>
      </x:c>
      <x:c r="E1593" s="6" t="str"/>
      <x:c r="F1593" s="6" t="str">
        <x:v>病歷紀錄</x:v>
      </x:c>
      <x:c r="G1593" s="19" t="str"/>
      <x:c r="H1593" s="17" t="str">
        <x:v>未評分</x:v>
      </x:c>
      <x:c r="I1593" s="6" t="n">
        <x:v>70</x:v>
      </x:c>
    </x:row>
    <x:row r="1594">
      <x:c r="A1594" s="13" t="str">
        <x:v>2007</x:v>
      </x:c>
      <x:c r="B1594" s="14" t="str"/>
      <x:c r="C1594" s="14" t="str">
        <x:v>Lv.8</x:v>
      </x:c>
      <x:c r="D1594" s="14" t="str">
        <x:v>王俊偉醫師</x:v>
      </x:c>
      <x:c r="E1594" s="6" t="str"/>
      <x:c r="F1594" s="6" t="str">
        <x:v>健保申報</x:v>
      </x:c>
      <x:c r="G1594" s="19" t="str"/>
      <x:c r="H1594" s="17" t="str">
        <x:v>未評分</x:v>
      </x:c>
      <x:c r="I1594" s="6" t="n">
        <x:v>71</x:v>
      </x:c>
    </x:row>
    <x:row r="1595">
      <x:c r="A1595" s="13" t="str">
        <x:v>2007</x:v>
      </x:c>
      <x:c r="B1595" s="14" t="str"/>
      <x:c r="C1595" s="14" t="str">
        <x:v>Lv.8</x:v>
      </x:c>
      <x:c r="D1595" s="14" t="str">
        <x:v>王俊偉醫師</x:v>
      </x:c>
      <x:c r="E1595" s="6" t="str"/>
      <x:c r="F1595" s="6" t="str">
        <x:v>X光片紀錄</x:v>
      </x:c>
      <x:c r="G1595" s="19" t="str"/>
      <x:c r="H1595" s="17" t="str">
        <x:v>未評分</x:v>
      </x:c>
      <x:c r="I1595" s="6" t="n">
        <x:v>72</x:v>
      </x:c>
    </x:row>
    <x:row r="1596">
      <x:c r="A1596" s="13" t="str">
        <x:v>2007</x:v>
      </x:c>
      <x:c r="B1596" s="14" t="str"/>
      <x:c r="C1596" s="14" t="str">
        <x:v>Lv.8</x:v>
      </x:c>
      <x:c r="D1596" s="14" t="str">
        <x:v>王俊偉醫師</x:v>
      </x:c>
      <x:c r="E1596" s="6" t="str"/>
      <x:c r="F1596" s="6" t="str">
        <x:v>拍PANO、PA</x:v>
      </x:c>
      <x:c r="G1596" s="19" t="str"/>
      <x:c r="H1596" s="17" t="str">
        <x:v>未評分</x:v>
      </x:c>
      <x:c r="I1596" s="6" t="n">
        <x:v>73</x:v>
      </x:c>
    </x:row>
    <x:row r="1597">
      <x:c r="A1597" s="13" t="str">
        <x:v>2007</x:v>
      </x:c>
      <x:c r="B1597" s="14" t="str"/>
      <x:c r="C1597" s="14" t="str">
        <x:v>Lv.8</x:v>
      </x:c>
      <x:c r="D1597" s="14" t="str">
        <x:v>王俊偉醫師</x:v>
      </x:c>
      <x:c r="E1597" s="6" t="str"/>
      <x:c r="F1597" s="6" t="str">
        <x:v>CT照</x:v>
      </x:c>
      <x:c r="G1597" s="19" t="str"/>
      <x:c r="H1597" s="17" t="str">
        <x:v>未評分</x:v>
      </x:c>
      <x:c r="I1597" s="6" t="n">
        <x:v>74</x:v>
      </x:c>
    </x:row>
    <x:row r="1598">
      <x:c r="A1598" s="13" t="str">
        <x:v>2007</x:v>
      </x:c>
      <x:c r="B1598" s="14" t="str"/>
      <x:c r="C1598" s="14" t="str">
        <x:v>Lv.8</x:v>
      </x:c>
      <x:c r="D1598" s="14" t="str">
        <x:v>王俊偉醫師</x:v>
      </x:c>
      <x:c r="E1598" s="6" t="str"/>
      <x:c r="F1598" s="6" t="str">
        <x:v>側頭顱照</x:v>
      </x:c>
      <x:c r="G1598" s="19" t="str"/>
      <x:c r="H1598" s="17" t="str">
        <x:v>未評分</x:v>
      </x:c>
      <x:c r="I1598" s="6" t="n">
        <x:v>75</x:v>
      </x:c>
    </x:row>
    <x:row r="1599">
      <x:c r="A1599" s="13" t="str">
        <x:v>2007</x:v>
      </x:c>
      <x:c r="B1599" s="14" t="str"/>
      <x:c r="C1599" s="14" t="str">
        <x:v>Lv.8</x:v>
      </x:c>
      <x:c r="D1599" s="14" t="str">
        <x:v>王俊偉醫師</x:v>
      </x:c>
      <x:c r="E1599" s="6" t="str"/>
      <x:c r="F1599" s="6" t="str">
        <x:v>口掃機運用</x:v>
      </x:c>
      <x:c r="G1599" s="19" t="str"/>
      <x:c r="H1599" s="17" t="str">
        <x:v>未評分</x:v>
      </x:c>
      <x:c r="I1599" s="6" t="n">
        <x:v>76</x:v>
      </x:c>
    </x:row>
    <x:row r="1600">
      <x:c r="A1600" s="13" t="str">
        <x:v>2007</x:v>
      </x:c>
      <x:c r="B1600" s="14" t="str"/>
      <x:c r="C1600" s="14" t="str">
        <x:v>Lv.8</x:v>
      </x:c>
      <x:c r="D1600" s="14" t="str">
        <x:v>許馨文醫師</x:v>
      </x:c>
      <x:c r="E1600" s="6" t="str"/>
      <x:c r="F1600" s="6" t="str">
        <x:v>器械熟悉度</x:v>
      </x:c>
      <x:c r="G1600" s="19" t="str"/>
      <x:c r="H1600" s="17" t="str">
        <x:v>未評分</x:v>
      </x:c>
      <x:c r="I1600" s="6" t="n">
        <x:v>77</x:v>
      </x:c>
    </x:row>
    <x:row r="1601">
      <x:c r="A1601" s="13" t="str">
        <x:v>2007</x:v>
      </x:c>
      <x:c r="B1601" s="14" t="str"/>
      <x:c r="C1601" s="14" t="str">
        <x:v>Lv.8</x:v>
      </x:c>
      <x:c r="D1601" s="14" t="str">
        <x:v>許馨文醫師</x:v>
      </x:c>
      <x:c r="E1601" s="6" t="str"/>
      <x:c r="F1601" s="6" t="str">
        <x:v>吸口水技巧</x:v>
      </x:c>
      <x:c r="G1601" s="19" t="str"/>
      <x:c r="H1601" s="17" t="str">
        <x:v>未評分</x:v>
      </x:c>
      <x:c r="I1601" s="6" t="n">
        <x:v>78</x:v>
      </x:c>
    </x:row>
    <x:row r="1602">
      <x:c r="A1602" s="13" t="str">
        <x:v>2007</x:v>
      </x:c>
      <x:c r="B1602" s="14" t="str"/>
      <x:c r="C1602" s="14" t="str">
        <x:v>Lv.8</x:v>
      </x:c>
      <x:c r="D1602" s="14" t="str">
        <x:v>許馨文醫師</x:v>
      </x:c>
      <x:c r="E1602" s="6" t="str"/>
      <x:c r="F1602" s="6" t="str">
        <x:v>病歷紀錄</x:v>
      </x:c>
      <x:c r="G1602" s="19" t="str"/>
      <x:c r="H1602" s="17" t="str">
        <x:v>未評分</x:v>
      </x:c>
      <x:c r="I1602" s="6" t="n">
        <x:v>79</x:v>
      </x:c>
    </x:row>
    <x:row r="1603">
      <x:c r="A1603" s="13" t="str">
        <x:v>2007</x:v>
      </x:c>
      <x:c r="B1603" s="14" t="str"/>
      <x:c r="C1603" s="14" t="str">
        <x:v>Lv.8</x:v>
      </x:c>
      <x:c r="D1603" s="14" t="str">
        <x:v>許馨文醫師</x:v>
      </x:c>
      <x:c r="E1603" s="6" t="str"/>
      <x:c r="F1603" s="6" t="str">
        <x:v>健保申報</x:v>
      </x:c>
      <x:c r="G1603" s="19" t="str"/>
      <x:c r="H1603" s="17" t="str">
        <x:v>未評分</x:v>
      </x:c>
      <x:c r="I1603" s="6" t="n">
        <x:v>80</x:v>
      </x:c>
    </x:row>
    <x:row r="1604">
      <x:c r="A1604" s="13" t="str">
        <x:v>2007</x:v>
      </x:c>
      <x:c r="B1604" s="14" t="str"/>
      <x:c r="C1604" s="14" t="str">
        <x:v>Lv.8</x:v>
      </x:c>
      <x:c r="D1604" s="14" t="str">
        <x:v>許馨文醫師</x:v>
      </x:c>
      <x:c r="E1604" s="6" t="str"/>
      <x:c r="F1604" s="6" t="str">
        <x:v>X光片紀錄</x:v>
      </x:c>
      <x:c r="G1604" s="19" t="str"/>
      <x:c r="H1604" s="17" t="str">
        <x:v>未評分</x:v>
      </x:c>
      <x:c r="I1604" s="6" t="n">
        <x:v>81</x:v>
      </x:c>
    </x:row>
    <x:row r="1605">
      <x:c r="A1605" s="13" t="str">
        <x:v>2007</x:v>
      </x:c>
      <x:c r="B1605" s="14" t="str"/>
      <x:c r="C1605" s="14" t="str">
        <x:v>Lv.8</x:v>
      </x:c>
      <x:c r="D1605" s="14" t="str">
        <x:v>許馨文醫師</x:v>
      </x:c>
      <x:c r="E1605" s="6" t="str"/>
      <x:c r="F1605" s="6" t="str">
        <x:v>拍PANO、PA</x:v>
      </x:c>
      <x:c r="G1605" s="19" t="str"/>
      <x:c r="H1605" s="17" t="str">
        <x:v>未評分</x:v>
      </x:c>
      <x:c r="I1605" s="6" t="n">
        <x:v>82</x:v>
      </x:c>
    </x:row>
    <x:row r="1606">
      <x:c r="A1606" s="13" t="str">
        <x:v>2007</x:v>
      </x:c>
      <x:c r="B1606" s="14" t="str"/>
      <x:c r="C1606" s="14" t="str">
        <x:v>Lv.8</x:v>
      </x:c>
      <x:c r="D1606" s="14" t="str">
        <x:v>林晏妤醫師</x:v>
      </x:c>
      <x:c r="E1606" s="6" t="str"/>
      <x:c r="F1606" s="6" t="str">
        <x:v>器械熟悉度</x:v>
      </x:c>
      <x:c r="G1606" s="19" t="str"/>
      <x:c r="H1606" s="17" t="str">
        <x:v>未評分</x:v>
      </x:c>
      <x:c r="I1606" s="6" t="n">
        <x:v>83</x:v>
      </x:c>
    </x:row>
    <x:row r="1607">
      <x:c r="A1607" s="13" t="str">
        <x:v>2007</x:v>
      </x:c>
      <x:c r="B1607" s="14" t="str"/>
      <x:c r="C1607" s="14" t="str">
        <x:v>Lv.8</x:v>
      </x:c>
      <x:c r="D1607" s="14" t="str">
        <x:v>林晏妤醫師</x:v>
      </x:c>
      <x:c r="E1607" s="6" t="str"/>
      <x:c r="F1607" s="6" t="str">
        <x:v>跟診順暢度</x:v>
      </x:c>
      <x:c r="G1607" s="19" t="str"/>
      <x:c r="H1607" s="17" t="str">
        <x:v>未評分</x:v>
      </x:c>
      <x:c r="I1607" s="6" t="n">
        <x:v>84</x:v>
      </x:c>
    </x:row>
    <x:row r="1608">
      <x:c r="A1608" s="13" t="str">
        <x:v>2007</x:v>
      </x:c>
      <x:c r="B1608" s="14" t="str"/>
      <x:c r="C1608" s="14" t="str">
        <x:v>Lv.8</x:v>
      </x:c>
      <x:c r="D1608" s="14" t="str">
        <x:v>林晏妤醫師</x:v>
      </x:c>
      <x:c r="E1608" s="6" t="str"/>
      <x:c r="F1608" s="6" t="str">
        <x:v>病歷紀錄</x:v>
      </x:c>
      <x:c r="G1608" s="19" t="str"/>
      <x:c r="H1608" s="17" t="str">
        <x:v>未評分</x:v>
      </x:c>
      <x:c r="I1608" s="6" t="n">
        <x:v>85</x:v>
      </x:c>
    </x:row>
    <x:row r="1609">
      <x:c r="A1609" s="13" t="str">
        <x:v>2007</x:v>
      </x:c>
      <x:c r="B1609" s="14" t="str"/>
      <x:c r="C1609" s="14" t="str">
        <x:v>Lv.8</x:v>
      </x:c>
      <x:c r="D1609" s="14" t="str">
        <x:v>林晏妤醫師</x:v>
      </x:c>
      <x:c r="E1609" s="6" t="str"/>
      <x:c r="F1609" s="6" t="str">
        <x:v>X光片紀錄</x:v>
      </x:c>
      <x:c r="G1609" s="19" t="str"/>
      <x:c r="H1609" s="17" t="str">
        <x:v>未評分</x:v>
      </x:c>
      <x:c r="I1609" s="6" t="n">
        <x:v>86</x:v>
      </x:c>
    </x:row>
    <x:row r="1610">
      <x:c r="A1610" s="13" t="str">
        <x:v>2007</x:v>
      </x:c>
      <x:c r="B1610" s="14" t="str"/>
      <x:c r="C1610" s="14" t="str">
        <x:v>Lv.8</x:v>
      </x:c>
      <x:c r="D1610" s="14" t="str">
        <x:v>林晏妤醫師</x:v>
      </x:c>
      <x:c r="E1610" s="6" t="str"/>
      <x:c r="F1610" s="6" t="str">
        <x:v>手持X光機</x:v>
      </x:c>
      <x:c r="G1610" s="19" t="str"/>
      <x:c r="H1610" s="17" t="str">
        <x:v>未評分</x:v>
      </x:c>
      <x:c r="I1610" s="6" t="n">
        <x:v>87</x:v>
      </x:c>
    </x:row>
    <x:row r="1611">
      <x:c r="A1611" s="13" t="str">
        <x:v>2007</x:v>
      </x:c>
      <x:c r="B1611" s="14" t="str"/>
      <x:c r="C1611" s="14" t="str">
        <x:v>Lv.8</x:v>
      </x:c>
      <x:c r="D1611" s="14" t="str">
        <x:v>林晏妤醫師</x:v>
      </x:c>
      <x:c r="E1611" s="6" t="str"/>
      <x:c r="F1611" s="6" t="str">
        <x:v>健保申報</x:v>
      </x:c>
      <x:c r="G1611" s="19" t="str"/>
      <x:c r="H1611" s="17" t="str">
        <x:v>未評分</x:v>
      </x:c>
      <x:c r="I1611" s="6" t="n">
        <x:v>88</x:v>
      </x:c>
    </x:row>
    <x:row r="1612">
      <x:c r="A1612" s="13" t="str">
        <x:v>2007</x:v>
      </x:c>
      <x:c r="B1612" s="14" t="str"/>
      <x:c r="C1612" s="14" t="str">
        <x:v>Lv.8</x:v>
      </x:c>
      <x:c r="D1612" s="14" t="str">
        <x:v>林晏妤醫師</x:v>
      </x:c>
      <x:c r="E1612" s="6" t="str"/>
      <x:c r="F1612" s="6" t="str">
        <x:v>舒眠手術</x:v>
      </x:c>
      <x:c r="G1612" s="19" t="str"/>
      <x:c r="H1612" s="17" t="str">
        <x:v>未評分</x:v>
      </x:c>
      <x:c r="I1612" s="6" t="n">
        <x:v>89</x:v>
      </x:c>
    </x:row>
    <x:row r="1613">
      <x:c r="A1613" s="13" t="str">
        <x:v>2007</x:v>
      </x:c>
      <x:c r="B1613" s="14" t="str"/>
      <x:c r="C1613" s="14" t="str">
        <x:v>Lv.8</x:v>
      </x:c>
      <x:c r="D1613" s="14" t="str">
        <x:v>謝耀慶醫師</x:v>
      </x:c>
      <x:c r="E1613" s="6" t="str">
        <x:v>器械準備</x:v>
      </x:c>
      <x:c r="F1613" s="6" t="str">
        <x:v>洗牙</x:v>
      </x:c>
      <x:c r="G1613" s="19" t="str"/>
      <x:c r="H1613" s="17" t="str">
        <x:v>未評分</x:v>
      </x:c>
      <x:c r="I1613" s="6" t="n">
        <x:v>90</x:v>
      </x:c>
    </x:row>
    <x:row r="1614">
      <x:c r="A1614" s="13" t="str">
        <x:v>2007</x:v>
      </x:c>
      <x:c r="B1614" s="14" t="str"/>
      <x:c r="C1614" s="14" t="str">
        <x:v>Lv.8</x:v>
      </x:c>
      <x:c r="D1614" s="14" t="str">
        <x:v>謝耀慶醫師</x:v>
      </x:c>
      <x:c r="E1614" s="6" t="str">
        <x:v>器械準備</x:v>
      </x:c>
      <x:c r="F1614" s="6" t="str">
        <x:v>補牙</x:v>
      </x:c>
      <x:c r="G1614" s="19" t="str"/>
      <x:c r="H1614" s="17" t="str">
        <x:v>未評分</x:v>
      </x:c>
      <x:c r="I1614" s="6" t="n">
        <x:v>91</x:v>
      </x:c>
    </x:row>
    <x:row r="1615">
      <x:c r="A1615" s="13" t="str">
        <x:v>2007</x:v>
      </x:c>
      <x:c r="B1615" s="14" t="str"/>
      <x:c r="C1615" s="14" t="str">
        <x:v>Lv.8</x:v>
      </x:c>
      <x:c r="D1615" s="14" t="str">
        <x:v>謝耀慶醫師</x:v>
      </x:c>
      <x:c r="E1615" s="6" t="str">
        <x:v>器械準備</x:v>
      </x:c>
      <x:c r="F1615" s="6" t="str">
        <x:v>牙周統合治療</x:v>
      </x:c>
      <x:c r="G1615" s="19" t="str"/>
      <x:c r="H1615" s="17" t="str">
        <x:v>未評分</x:v>
      </x:c>
      <x:c r="I1615" s="6" t="n">
        <x:v>92</x:v>
      </x:c>
    </x:row>
    <x:row r="1616">
      <x:c r="A1616" s="13" t="str">
        <x:v>2007</x:v>
      </x:c>
      <x:c r="B1616" s="14" t="str"/>
      <x:c r="C1616" s="14" t="str">
        <x:v>Lv.8</x:v>
      </x:c>
      <x:c r="D1616" s="14" t="str">
        <x:v>謝耀慶醫師</x:v>
      </x:c>
      <x:c r="E1616" s="6" t="str">
        <x:v>器械準備</x:v>
      </x:c>
      <x:c r="F1616" s="6" t="str">
        <x:v>簡單拔牙</x:v>
      </x:c>
      <x:c r="G1616" s="19" t="str"/>
      <x:c r="H1616" s="17" t="str">
        <x:v>未評分</x:v>
      </x:c>
      <x:c r="I1616" s="6" t="n">
        <x:v>93</x:v>
      </x:c>
    </x:row>
    <x:row r="1617">
      <x:c r="A1617" s="13" t="str">
        <x:v>2007</x:v>
      </x:c>
      <x:c r="B1617" s="14" t="str"/>
      <x:c r="C1617" s="14" t="str">
        <x:v>Lv.8</x:v>
      </x:c>
      <x:c r="D1617" s="14" t="str">
        <x:v>謝耀慶醫師</x:v>
      </x:c>
      <x:c r="E1617" s="6" t="str"/>
      <x:c r="F1617" s="6" t="str">
        <x:v>器械熟悉度</x:v>
      </x:c>
      <x:c r="G1617" s="19" t="str"/>
      <x:c r="H1617" s="17" t="str">
        <x:v>未評分</x:v>
      </x:c>
      <x:c r="I1617" s="6" t="n">
        <x:v>94</x:v>
      </x:c>
    </x:row>
    <x:row r="1618">
      <x:c r="A1618" s="13" t="str">
        <x:v>2007</x:v>
      </x:c>
      <x:c r="B1618" s="14" t="str"/>
      <x:c r="C1618" s="14" t="str">
        <x:v>Lv.8</x:v>
      </x:c>
      <x:c r="D1618" s="14" t="str">
        <x:v>謝耀慶醫師</x:v>
      </x:c>
      <x:c r="E1618" s="6" t="str"/>
      <x:c r="F1618" s="6" t="str">
        <x:v>跟診順暢度</x:v>
      </x:c>
      <x:c r="G1618" s="19" t="str"/>
      <x:c r="H1618" s="17" t="str">
        <x:v>未評分</x:v>
      </x:c>
      <x:c r="I1618" s="6" t="n">
        <x:v>95</x:v>
      </x:c>
    </x:row>
    <x:row r="1619">
      <x:c r="A1619" s="13" t="str">
        <x:v>2007</x:v>
      </x:c>
      <x:c r="B1619" s="14" t="str"/>
      <x:c r="C1619" s="14" t="str">
        <x:v>Lv.8</x:v>
      </x:c>
      <x:c r="D1619" s="14" t="str">
        <x:v>謝耀慶醫師</x:v>
      </x:c>
      <x:c r="E1619" s="6" t="str"/>
      <x:c r="F1619" s="6" t="str">
        <x:v>病歷紀錄</x:v>
      </x:c>
      <x:c r="G1619" s="19" t="str"/>
      <x:c r="H1619" s="17" t="str">
        <x:v>未評分</x:v>
      </x:c>
      <x:c r="I1619" s="6" t="n">
        <x:v>96</x:v>
      </x:c>
    </x:row>
    <x:row r="1620">
      <x:c r="A1620" s="13" t="str">
        <x:v>2007</x:v>
      </x:c>
      <x:c r="B1620" s="14" t="str"/>
      <x:c r="C1620" s="14" t="str">
        <x:v>Lv.8</x:v>
      </x:c>
      <x:c r="D1620" s="14" t="str">
        <x:v>謝耀慶醫師</x:v>
      </x:c>
      <x:c r="E1620" s="6" t="str"/>
      <x:c r="F1620" s="6" t="str">
        <x:v>X光片紀錄</x:v>
      </x:c>
      <x:c r="G1620" s="19" t="str"/>
      <x:c r="H1620" s="17" t="str">
        <x:v>未評分</x:v>
      </x:c>
      <x:c r="I1620" s="6" t="n">
        <x:v>97</x:v>
      </x:c>
    </x:row>
    <x:row r="1621">
      <x:c r="A1621" s="13" t="str">
        <x:v>2007</x:v>
      </x:c>
      <x:c r="B1621" s="14" t="str"/>
      <x:c r="C1621" s="14" t="str">
        <x:v>Lv.8</x:v>
      </x:c>
      <x:c r="D1621" s="14" t="str">
        <x:v>謝耀慶醫師</x:v>
      </x:c>
      <x:c r="E1621" s="6" t="str"/>
      <x:c r="F1621" s="6" t="str">
        <x:v>手持X光機</x:v>
      </x:c>
      <x:c r="G1621" s="19" t="str"/>
      <x:c r="H1621" s="17" t="str">
        <x:v>未評分</x:v>
      </x:c>
      <x:c r="I1621" s="6" t="n">
        <x:v>98</x:v>
      </x:c>
    </x:row>
    <x:row r="1622">
      <x:c r="A1622" s="13" t="str">
        <x:v>2007</x:v>
      </x:c>
      <x:c r="B1622" s="14" t="str"/>
      <x:c r="C1622" s="14" t="str">
        <x:v>Lv.8</x:v>
      </x:c>
      <x:c r="D1622" s="14" t="str">
        <x:v>謝耀慶醫師</x:v>
      </x:c>
      <x:c r="E1622" s="6" t="str"/>
      <x:c r="F1622" s="6" t="str">
        <x:v>健保申報</x:v>
      </x:c>
      <x:c r="G1622" s="19" t="str"/>
      <x:c r="H1622" s="17" t="str">
        <x:v>未評分</x:v>
      </x:c>
      <x:c r="I1622" s="6" t="n">
        <x:v>99</x:v>
      </x:c>
    </x:row>
    <x:row r="1623">
      <x:c r="A1623" s="13" t="str">
        <x:v>2007</x:v>
      </x:c>
      <x:c r="B1623" s="14" t="str"/>
      <x:c r="C1623" s="14" t="str">
        <x:v>Lv.8</x:v>
      </x:c>
      <x:c r="D1623" s="14" t="str">
        <x:v>謝耀慶醫師</x:v>
      </x:c>
      <x:c r="E1623" s="6" t="str"/>
      <x:c r="F1623" s="6" t="str">
        <x:v>舒眠手術</x:v>
      </x:c>
      <x:c r="G1623" s="19" t="str"/>
      <x:c r="H1623" s="17" t="str">
        <x:v>未評分</x:v>
      </x:c>
      <x:c r="I1623" s="6" t="n">
        <x:v>100</x:v>
      </x:c>
    </x:row>
    <x:row r="1624">
      <x:c r="A1624" s="13" t="str">
        <x:v>2007</x:v>
      </x:c>
      <x:c r="B1624" s="14" t="str"/>
      <x:c r="C1624" s="14" t="str">
        <x:v>Lv.8</x:v>
      </x:c>
      <x:c r="D1624" s="14" t="str">
        <x:v>陳醫師</x:v>
      </x:c>
      <x:c r="E1624" s="6" t="str">
        <x:v>器械準備</x:v>
      </x:c>
      <x:c r="F1624" s="6" t="str">
        <x:v>洗牙</x:v>
      </x:c>
      <x:c r="G1624" s="19" t="str"/>
      <x:c r="H1624" s="17" t="str">
        <x:v>未評分</x:v>
      </x:c>
      <x:c r="I1624" s="6" t="n">
        <x:v>101</x:v>
      </x:c>
    </x:row>
    <x:row r="1625">
      <x:c r="A1625" s="13" t="str">
        <x:v>2007</x:v>
      </x:c>
      <x:c r="B1625" s="14" t="str"/>
      <x:c r="C1625" s="14" t="str">
        <x:v>Lv.8</x:v>
      </x:c>
      <x:c r="D1625" s="14" t="str">
        <x:v>陳醫師</x:v>
      </x:c>
      <x:c r="E1625" s="6" t="str">
        <x:v>器械準備</x:v>
      </x:c>
      <x:c r="F1625" s="6" t="str">
        <x:v>補牙</x:v>
      </x:c>
      <x:c r="G1625" s="19" t="str"/>
      <x:c r="H1625" s="17" t="str">
        <x:v>未評分</x:v>
      </x:c>
      <x:c r="I1625" s="6" t="n">
        <x:v>102</x:v>
      </x:c>
    </x:row>
    <x:row r="1626">
      <x:c r="A1626" s="13" t="str">
        <x:v>2007</x:v>
      </x:c>
      <x:c r="B1626" s="14" t="str"/>
      <x:c r="C1626" s="14" t="str">
        <x:v>Lv.8</x:v>
      </x:c>
      <x:c r="D1626" s="14" t="str">
        <x:v>陳醫師</x:v>
      </x:c>
      <x:c r="E1626" s="6" t="str">
        <x:v>器械準備</x:v>
      </x:c>
      <x:c r="F1626" s="6" t="str">
        <x:v>根管治療</x:v>
      </x:c>
      <x:c r="G1626" s="19" t="str"/>
      <x:c r="H1626" s="17" t="str">
        <x:v>未評分</x:v>
      </x:c>
      <x:c r="I1626" s="6" t="n">
        <x:v>103</x:v>
      </x:c>
    </x:row>
    <x:row r="1627">
      <x:c r="A1627" s="13" t="str">
        <x:v>2007</x:v>
      </x:c>
      <x:c r="B1627" s="14" t="str"/>
      <x:c r="C1627" s="14" t="str">
        <x:v>Lv.8</x:v>
      </x:c>
      <x:c r="D1627" s="14" t="str">
        <x:v>陳醫師</x:v>
      </x:c>
      <x:c r="E1627" s="6" t="str"/>
      <x:c r="F1627" s="6" t="str">
        <x:v>跟診順暢度</x:v>
      </x:c>
      <x:c r="G1627" s="19" t="str"/>
      <x:c r="H1627" s="17" t="str">
        <x:v>未評分</x:v>
      </x:c>
      <x:c r="I1627" s="6" t="n">
        <x:v>104</x:v>
      </x:c>
    </x:row>
    <x:row r="1628">
      <x:c r="A1628" s="13" t="str">
        <x:v>2007</x:v>
      </x:c>
      <x:c r="B1628" s="14" t="str"/>
      <x:c r="C1628" s="14" t="str">
        <x:v>Lv.8</x:v>
      </x:c>
      <x:c r="D1628" s="14" t="str">
        <x:v>陳醫師</x:v>
      </x:c>
      <x:c r="E1628" s="6" t="str"/>
      <x:c r="F1628" s="6" t="str">
        <x:v>病歷紀錄</x:v>
      </x:c>
      <x:c r="G1628" s="19" t="str"/>
      <x:c r="H1628" s="17" t="str">
        <x:v>未評分</x:v>
      </x:c>
      <x:c r="I1628" s="6" t="n">
        <x:v>105</x:v>
      </x:c>
    </x:row>
    <x:row r="1629">
      <x:c r="A1629" s="13" t="str">
        <x:v>2007</x:v>
      </x:c>
      <x:c r="B1629" s="14" t="str"/>
      <x:c r="C1629" s="14" t="str">
        <x:v>Lv.8</x:v>
      </x:c>
      <x:c r="D1629" s="14" t="str">
        <x:v>陳醫師</x:v>
      </x:c>
      <x:c r="E1629" s="6" t="str"/>
      <x:c r="F1629" s="6" t="str">
        <x:v>拍PANO、PA</x:v>
      </x:c>
      <x:c r="G1629" s="19" t="str"/>
      <x:c r="H1629" s="17" t="str">
        <x:v>未評分</x:v>
      </x:c>
      <x:c r="I1629" s="6" t="n">
        <x:v>106</x:v>
      </x:c>
    </x:row>
    <x:row r="1630">
      <x:c r="A1630" s="13" t="str">
        <x:v>2007</x:v>
      </x:c>
      <x:c r="B1630" s="14" t="str"/>
      <x:c r="C1630" s="14" t="str">
        <x:v>Lv.8</x:v>
      </x:c>
      <x:c r="D1630" s="14" t="str">
        <x:v>陳醫師</x:v>
      </x:c>
      <x:c r="E1630" s="6" t="str"/>
      <x:c r="F1630" s="6" t="str">
        <x:v>X光片紀錄</x:v>
      </x:c>
      <x:c r="G1630" s="19" t="str"/>
      <x:c r="H1630" s="17" t="str">
        <x:v>未評分</x:v>
      </x:c>
      <x:c r="I1630" s="6" t="n">
        <x:v>107</x:v>
      </x:c>
    </x:row>
    <x:row r="1631">
      <x:c r="A1631" s="13" t="str">
        <x:v>2007</x:v>
      </x:c>
      <x:c r="B1631" s="14" t="str"/>
      <x:c r="C1631" s="14" t="str">
        <x:v>Lv.8</x:v>
      </x:c>
      <x:c r="D1631" s="14" t="str">
        <x:v>陳醫師</x:v>
      </x:c>
      <x:c r="E1631" s="6" t="str"/>
      <x:c r="F1631" s="6" t="str">
        <x:v>健保申報</x:v>
      </x:c>
      <x:c r="G1631" s="19" t="str"/>
      <x:c r="H1631" s="17" t="str">
        <x:v>未評分</x:v>
      </x:c>
      <x:c r="I1631" s="6" t="n">
        <x:v>108</x:v>
      </x:c>
    </x:row>
    <x:row r="1632">
      <x:c r="A1632" s="13" t="str">
        <x:v>2007</x:v>
      </x:c>
      <x:c r="B1632" s="14" t="str"/>
      <x:c r="C1632" s="14" t="str">
        <x:v>Lv.8</x:v>
      </x:c>
      <x:c r="D1632" s="14" t="str">
        <x:v>陳醫師</x:v>
      </x:c>
      <x:c r="E1632" s="6" t="str"/>
      <x:c r="F1632" s="6" t="str">
        <x:v>固定假牙</x:v>
      </x:c>
      <x:c r="G1632" s="19" t="str"/>
      <x:c r="H1632" s="17" t="str">
        <x:v>未評分</x:v>
      </x:c>
      <x:c r="I1632" s="6" t="n">
        <x:v>109</x:v>
      </x:c>
    </x:row>
    <x:row r="1633">
      <x:c r="A1633" s="13" t="str">
        <x:v>2007</x:v>
      </x:c>
      <x:c r="B1633" s="14" t="str"/>
      <x:c r="C1633" s="14" t="str">
        <x:v>Lv.8</x:v>
      </x:c>
      <x:c r="D1633" s="14" t="str">
        <x:v>陳醫師</x:v>
      </x:c>
      <x:c r="E1633" s="6" t="str"/>
      <x:c r="F1633" s="6" t="str">
        <x:v>顯微根管</x:v>
      </x:c>
      <x:c r="G1633" s="19" t="str"/>
      <x:c r="H1633" s="17" t="str">
        <x:v>未評分</x:v>
      </x:c>
      <x:c r="I1633" s="6" t="n">
        <x:v>110</x:v>
      </x:c>
    </x:row>
    <x:row r="1634">
      <x:c r="A1634" s="13" t="str">
        <x:v>2007</x:v>
      </x:c>
      <x:c r="B1634" s="14" t="str"/>
      <x:c r="C1634" s="14" t="str">
        <x:v>Lv.8</x:v>
      </x:c>
      <x:c r="D1634" s="14" t="str">
        <x:v>櫃台</x:v>
      </x:c>
      <x:c r="E1634" s="6" t="str"/>
      <x:c r="F1634" s="6" t="str">
        <x:v>掛號處理(含初診處理)開立一般收據及藥單</x:v>
      </x:c>
      <x:c r="G1634" s="19" t="str">
        <x:v>◎</x:v>
      </x:c>
      <x:c r="H1634" s="17" t="str">
        <x:v>熟練</x:v>
      </x:c>
      <x:c r="I1634" s="6" t="n">
        <x:v>111</x:v>
      </x:c>
    </x:row>
    <x:row r="1635">
      <x:c r="A1635" s="13" t="str">
        <x:v>2007</x:v>
      </x:c>
      <x:c r="B1635" s="14" t="str"/>
      <x:c r="C1635" s="14" t="str">
        <x:v>Lv.8</x:v>
      </x:c>
      <x:c r="D1635" s="14" t="str">
        <x:v>櫃台</x:v>
      </x:c>
      <x:c r="E1635" s="6" t="str"/>
      <x:c r="F1635" s="6" t="str">
        <x:v>收費紀錄</x:v>
      </x:c>
      <x:c r="G1635" s="19" t="str">
        <x:v>◎</x:v>
      </x:c>
      <x:c r="H1635" s="17" t="str">
        <x:v>熟練</x:v>
      </x:c>
      <x:c r="I1635" s="6" t="n">
        <x:v>112</x:v>
      </x:c>
    </x:row>
    <x:row r="1636">
      <x:c r="A1636" s="13" t="str">
        <x:v>2007</x:v>
      </x:c>
      <x:c r="B1636" s="14" t="str"/>
      <x:c r="C1636" s="14" t="str">
        <x:v>Lv.8</x:v>
      </x:c>
      <x:c r="D1636" s="14" t="str">
        <x:v>櫃台</x:v>
      </x:c>
      <x:c r="E1636" s="6" t="str"/>
      <x:c r="F1636" s="6" t="str">
        <x:v>病歷整理</x:v>
      </x:c>
      <x:c r="G1636" s="19" t="str">
        <x:v>◎</x:v>
      </x:c>
      <x:c r="H1636" s="17" t="str">
        <x:v>熟練</x:v>
      </x:c>
      <x:c r="I1636" s="6" t="n">
        <x:v>113</x:v>
      </x:c>
    </x:row>
    <x:row r="1637">
      <x:c r="A1637" s="13" t="str">
        <x:v>2007</x:v>
      </x:c>
      <x:c r="B1637" s="14" t="str"/>
      <x:c r="C1637" s="14" t="str">
        <x:v>Lv.8</x:v>
      </x:c>
      <x:c r="D1637" s="14" t="str">
        <x:v>櫃台</x:v>
      </x:c>
      <x:c r="E1637" s="6" t="str"/>
      <x:c r="F1637" s="6" t="str">
        <x:v>治療同意書填寫</x:v>
      </x:c>
      <x:c r="G1637" s="19" t="str">
        <x:v>◎</x:v>
      </x:c>
      <x:c r="H1637" s="17" t="str">
        <x:v>熟練</x:v>
      </x:c>
      <x:c r="I1637" s="6" t="n">
        <x:v>114</x:v>
      </x:c>
    </x:row>
    <x:row r="1638">
      <x:c r="A1638" s="13" t="str">
        <x:v>2007</x:v>
      </x:c>
      <x:c r="B1638" s="14" t="str"/>
      <x:c r="C1638" s="14" t="str">
        <x:v>Lv.8</x:v>
      </x:c>
      <x:c r="D1638" s="14" t="str">
        <x:v>櫃台</x:v>
      </x:c>
      <x:c r="E1638" s="6" t="str"/>
      <x:c r="F1638" s="6" t="str">
        <x:v>與患者應對</x:v>
      </x:c>
      <x:c r="G1638" s="19" t="str">
        <x:v>◎</x:v>
      </x:c>
      <x:c r="H1638" s="17" t="str">
        <x:v>熟練</x:v>
      </x:c>
      <x:c r="I1638" s="6" t="n">
        <x:v>115</x:v>
      </x:c>
    </x:row>
    <x:row r="1639">
      <x:c r="A1639" s="13" t="str">
        <x:v>2007</x:v>
      </x:c>
      <x:c r="B1639" s="14" t="str"/>
      <x:c r="C1639" s="14" t="str">
        <x:v>Lv.8</x:v>
      </x:c>
      <x:c r="D1639" s="14" t="str">
        <x:v>櫃台</x:v>
      </x:c>
      <x:c r="E1639" s="6" t="str"/>
      <x:c r="F1639" s="6" t="str">
        <x:v>約診</x:v>
      </x:c>
      <x:c r="G1639" s="19" t="str">
        <x:v>◎</x:v>
      </x:c>
      <x:c r="H1639" s="17" t="str">
        <x:v>熟練</x:v>
      </x:c>
      <x:c r="I1639" s="6" t="n">
        <x:v>116</x:v>
      </x:c>
    </x:row>
    <x:row r="1640">
      <x:c r="A1640" s="13" t="str">
        <x:v>2007</x:v>
      </x:c>
      <x:c r="B1640" s="14" t="str"/>
      <x:c r="C1640" s="14" t="str">
        <x:v>Lv.8</x:v>
      </x:c>
      <x:c r="D1640" s="14" t="str">
        <x:v>櫃台</x:v>
      </x:c>
      <x:c r="E1640" s="6" t="str"/>
      <x:c r="F1640" s="6" t="str">
        <x:v>報表製作</x:v>
      </x:c>
      <x:c r="G1640" s="19" t="str">
        <x:v>◎</x:v>
      </x:c>
      <x:c r="H1640" s="17" t="str">
        <x:v>熟練</x:v>
      </x:c>
      <x:c r="I1640" s="6" t="n">
        <x:v>117</x:v>
      </x:c>
    </x:row>
    <x:row r="1641">
      <x:c r="A1641" s="13" t="str">
        <x:v>2007</x:v>
      </x:c>
      <x:c r="B1641" s="14" t="str"/>
      <x:c r="C1641" s="14" t="str">
        <x:v>Lv.8</x:v>
      </x:c>
      <x:c r="D1641" s="14" t="str">
        <x:v>櫃台</x:v>
      </x:c>
      <x:c r="E1641" s="6" t="str"/>
      <x:c r="F1641" s="6" t="str">
        <x:v>診斷證明書</x:v>
      </x:c>
      <x:c r="G1641" s="19" t="str">
        <x:v>※</x:v>
      </x:c>
      <x:c r="H1641" s="17" t="str">
        <x:v>學習中</x:v>
      </x:c>
      <x:c r="I1641" s="6" t="n">
        <x:v>118</x:v>
      </x:c>
    </x:row>
    <x:row r="1642">
      <x:c r="A1642" s="13" t="str">
        <x:v>2007</x:v>
      </x:c>
      <x:c r="B1642" s="14" t="str"/>
      <x:c r="C1642" s="14" t="str">
        <x:v>Lv.8</x:v>
      </x:c>
      <x:c r="D1642" s="14" t="str">
        <x:v>櫃台</x:v>
      </x:c>
      <x:c r="E1642" s="6" t="str"/>
      <x:c r="F1642" s="6" t="str">
        <x:v>牙統VPN</x:v>
      </x:c>
      <x:c r="G1642" s="19" t="str">
        <x:v>◎</x:v>
      </x:c>
      <x:c r="H1642" s="17" t="str">
        <x:v>熟練</x:v>
      </x:c>
      <x:c r="I1642" s="6" t="n">
        <x:v>119</x:v>
      </x:c>
    </x:row>
    <x:row r="1643">
      <x:c r="A1643" s="13" t="str">
        <x:v>2007</x:v>
      </x:c>
      <x:c r="B1643" s="14" t="str"/>
      <x:c r="C1643" s="14" t="str">
        <x:v>Lv.8</x:v>
      </x:c>
      <x:c r="D1643" s="14" t="str">
        <x:v>櫃台</x:v>
      </x:c>
      <x:c r="E1643" s="6" t="str"/>
      <x:c r="F1643" s="6" t="str">
        <x:v>病歷檢查核對</x:v>
      </x:c>
      <x:c r="G1643" s="19" t="str"/>
      <x:c r="H1643" s="17" t="str">
        <x:v>未評分</x:v>
      </x:c>
      <x:c r="I1643" s="6" t="n">
        <x:v>120</x:v>
      </x:c>
    </x:row>
    <x:row r="1644">
      <x:c r="A1644" s="13" t="str">
        <x:v>2007</x:v>
      </x:c>
      <x:c r="B1644" s="14" t="str"/>
      <x:c r="C1644" s="14" t="str">
        <x:v>Lv.8</x:v>
      </x:c>
      <x:c r="D1644" s="14" t="str">
        <x:v>櫃台</x:v>
      </x:c>
      <x:c r="E1644" s="6" t="str"/>
      <x:c r="F1644" s="6" t="str">
        <x:v>抽審資料處理</x:v>
      </x:c>
      <x:c r="G1644" s="19" t="str"/>
      <x:c r="H1644" s="17" t="str">
        <x:v>未評分</x:v>
      </x:c>
      <x:c r="I1644" s="6" t="n">
        <x:v>121</x:v>
      </x:c>
    </x:row>
  </x:sheetData>
  <x:mergeCells>
    <x:mergeCell ref="A2:I2"/>
    <x:mergeCell ref="A4:I4"/>
  </x:mergeCells>
  <x:dataValidations count="1">
    <x:dataValidation type="list" sqref="G7:G1644">
      <x:formula1>",◎,Ø,△,※"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f68db22acf4fc0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9" ySplit="4" topLeftCell="J5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15" hidden="0" customWidth="1"/>
    <x:col min="7" max="7" width="18" hidden="0" customWidth="1"/>
    <x:col min="8" max="8" width="35" hidden="0" customWidth="1"/>
    <x:col min="9" max="9" width="10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</x:cols>
  <x:sheetData>
    <x:row r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</x:row>
    <x:row r="2">
      <x:c r="A2" s="24"/>
      <x:c r="B2" s="24"/>
      <x:c r="C2" s="24"/>
      <x:c r="D2" s="24"/>
      <x:c r="E2" s="24"/>
      <x:c r="F2" s="24"/>
      <x:c r="G2" s="24"/>
      <x:c r="H2" s="24" t="str">
        <x:v>◎</x:v>
      </x:c>
      <x:c r="I2" s="24" t="str">
        <x:v>熟練</x:v>
      </x:c>
      <x:c r="J2" s="24"/>
      <x:c r="K2" s="24" t="str">
        <x:v>Ø</x:v>
      </x:c>
      <x:c r="L2" s="24" t="str">
        <x:v>尚未熟練</x:v>
      </x:c>
      <x:c r="M2" s="24"/>
      <x:c r="N2" s="24" t="str">
        <x:v>△</x:v>
      </x:c>
      <x:c r="O2" s="24" t="str">
        <x:v>需加強</x:v>
      </x:c>
      <x:c r="P2" s="24"/>
      <x:c r="Q2" s="24" t="str">
        <x:v>※</x:v>
      </x:c>
      <x:c r="R2" s="24" t="str">
        <x:v>學習中</x:v>
      </x:c>
      <x:c r="S2" s="24"/>
      <x:c r="T2" s="24"/>
      <x:c r="U2" s="24"/>
      <x:c r="V2" s="24"/>
      <x:c r="W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 t="str">
        <x:v>可支援人數</x:v>
      </x:c>
      <x:c r="J4" s="24" t="str">
        <x:v>淑婷 
Lv.10</x:v>
      </x:c>
      <x:c r="K4" s="24" t="str">
        <x:v>宜君
Lv.8</x:v>
      </x:c>
      <x:c r="L4" s="24" t="str">
        <x:v>家羚
Lv.7</x:v>
      </x:c>
      <x:c r="M4" s="24" t="str">
        <x:v>芮芸
Lv.5</x:v>
      </x:c>
      <x:c r="N4" s="24" t="str">
        <x:v>語馨
Lv.6</x:v>
      </x:c>
      <x:c r="O4" s="24" t="str">
        <x:v>愷芝
Lv.3</x:v>
      </x:c>
      <x:c r="P4" s="24" t="str">
        <x:v>芷昕
Lv.2</x:v>
      </x:c>
      <x:c r="Q4" s="24" t="str">
        <x:v>欣瑩
Lv.3</x:v>
      </x:c>
      <x:c r="R4" s="24" t="str">
        <x:v>苡琳
Lv.2</x:v>
      </x:c>
      <x:c r="S4" s="24" t="str">
        <x:v>員工1029
Lv.1</x:v>
      </x:c>
      <x:c r="T4" s="24" t="str">
        <x:v>家綸
Lv.1</x:v>
      </x:c>
      <x:c r="U4" s="24"/>
      <x:c r="V4" s="24" t="str">
        <x:v>柏享
Lv.2</x:v>
      </x:c>
      <x:c r="W4" s="24" t="str">
        <x:v>自婷
Lv.8</x:v>
      </x:c>
    </x:row>
    <x:row r="5">
      <x:c r="A5" s="20"/>
      <x:c r="B5" s="20"/>
      <x:c r="C5" s="20"/>
      <x:c r="D5" s="20"/>
      <x:c r="E5" s="20"/>
      <x:c r="F5" s="25" t="str">
        <x:v>流動工作</x:v>
      </x:c>
      <x:c r="G5" s="25" t="str">
        <x:v>撤備台</x:v>
      </x:c>
      <x:c r="H5" s="25"/>
      <x:c r="I5" s="25" t="n">
        <x:v>9</x:v>
      </x:c>
      <x:c r="J5" s="20" t="str">
        <x:v>◎</x:v>
      </x:c>
      <x:c r="K5" s="20" t="str">
        <x:v>◎</x:v>
      </x:c>
      <x:c r="L5" s="20" t="str">
        <x:v>◎</x:v>
      </x:c>
      <x:c r="M5" s="20" t="str">
        <x:v>◎</x:v>
      </x:c>
      <x:c r="N5" s="20" t="str">
        <x:v>◎</x:v>
      </x:c>
      <x:c r="O5" s="20" t="str">
        <x:v>◎</x:v>
      </x:c>
      <x:c r="P5" s="20" t="str">
        <x:v>◎</x:v>
      </x:c>
      <x:c r="Q5" s="20" t="str">
        <x:v>◎</x:v>
      </x:c>
      <x:c r="R5" s="20" t="str">
        <x:v>◎</x:v>
      </x:c>
      <x:c r="S5" s="20" t="str">
        <x:v>◎</x:v>
      </x:c>
      <x:c r="T5" s="20" t="str">
        <x:v>◎</x:v>
      </x:c>
      <x:c r="U5" s="20" t="str">
        <x:v>兼
職
 助
理</x:v>
      </x:c>
      <x:c r="V5" s="20" t="str">
        <x:v>◎</x:v>
      </x:c>
      <x:c r="W5" s="20" t="str">
        <x:v>◎</x:v>
      </x:c>
    </x:row>
    <x:row r="6">
      <x:c r="A6" s="20"/>
      <x:c r="B6" s="20"/>
      <x:c r="C6" s="20"/>
      <x:c r="D6" s="20"/>
      <x:c r="E6" s="20"/>
      <x:c r="F6" s="25"/>
      <x:c r="G6" s="25" t="str">
        <x:v>器械清消流程</x:v>
      </x:c>
      <x:c r="H6" s="25"/>
      <x:c r="I6" s="25"/>
      <x:c r="J6" s="20" t="str">
        <x:v>◎</x:v>
      </x:c>
      <x:c r="K6" s="20" t="str">
        <x:v>◎</x:v>
      </x:c>
      <x:c r="L6" s="20" t="str">
        <x:v>◎</x:v>
      </x:c>
      <x:c r="M6" s="20" t="str">
        <x:v>◎</x:v>
      </x:c>
      <x:c r="N6" s="20" t="str">
        <x:v>◎</x:v>
      </x:c>
      <x:c r="O6" s="20" t="str">
        <x:v>◎</x:v>
      </x:c>
      <x:c r="P6" s="20" t="str">
        <x:v>◎</x:v>
      </x:c>
      <x:c r="Q6" s="20" t="str">
        <x:v>◎</x:v>
      </x:c>
      <x:c r="R6" s="20" t="str">
        <x:v>◎</x:v>
      </x:c>
      <x:c r="S6" s="20" t="str">
        <x:v>◎</x:v>
      </x:c>
      <x:c r="T6" s="20" t="str">
        <x:v>◎</x:v>
      </x:c>
      <x:c r="U6" s="20"/>
      <x:c r="V6" s="20" t="str">
        <x:v>◎</x:v>
      </x:c>
      <x:c r="W6" s="20" t="str">
        <x:v>◎</x:v>
      </x:c>
    </x:row>
    <x:row r="7">
      <x:c r="A7" s="20"/>
      <x:c r="B7" s="20"/>
      <x:c r="C7" s="20"/>
      <x:c r="D7" s="20"/>
      <x:c r="E7" s="20"/>
      <x:c r="F7" s="25"/>
      <x:c r="G7" s="25" t="str">
        <x:v>認識治療項目</x:v>
      </x:c>
      <x:c r="H7" s="25"/>
      <x:c r="I7" s="25"/>
      <x:c r="J7" s="20" t="str">
        <x:v>◎</x:v>
      </x:c>
      <x:c r="K7" s="20" t="str">
        <x:v>◎</x:v>
      </x:c>
      <x:c r="L7" s="20" t="str">
        <x:v>◎</x:v>
      </x:c>
      <x:c r="M7" s="20" t="str">
        <x:v>◎</x:v>
      </x:c>
      <x:c r="N7" s="20" t="str">
        <x:v>◎</x:v>
      </x:c>
      <x:c r="O7" s="20" t="str">
        <x:v>◎</x:v>
      </x:c>
      <x:c r="P7" s="20" t="str">
        <x:v>◎</x:v>
      </x:c>
      <x:c r="Q7" s="20" t="str">
        <x:v>◎</x:v>
      </x:c>
      <x:c r="R7" s="20" t="str">
        <x:v>◎</x:v>
      </x:c>
      <x:c r="S7" s="20" t="str">
        <x:v>Ø</x:v>
      </x:c>
      <x:c r="T7" s="20" t="str">
        <x:v>Ø</x:v>
      </x:c>
      <x:c r="U7" s="20"/>
      <x:c r="V7" s="20" t="str">
        <x:v>※</x:v>
      </x:c>
      <x:c r="W7" s="20" t="str">
        <x:v>◎</x:v>
      </x:c>
    </x:row>
    <x:row r="8">
      <x:c r="A8" s="20"/>
      <x:c r="B8" s="20"/>
      <x:c r="C8" s="20"/>
      <x:c r="D8" s="20"/>
      <x:c r="E8" s="20"/>
      <x:c r="F8" s="25"/>
      <x:c r="G8" s="25" t="str">
        <x:v>替代跟診人員灌模</x:v>
      </x:c>
      <x:c r="H8" s="25"/>
      <x:c r="I8" s="25"/>
      <x:c r="J8" s="20" t="str">
        <x:v>◎</x:v>
      </x:c>
      <x:c r="K8" s="20" t="str">
        <x:v>◎</x:v>
      </x:c>
      <x:c r="L8" s="20" t="str">
        <x:v>◎</x:v>
      </x:c>
      <x:c r="M8" s="20" t="str">
        <x:v>◎</x:v>
      </x:c>
      <x:c r="N8" s="20" t="str">
        <x:v>◎</x:v>
      </x:c>
      <x:c r="O8" s="20" t="str">
        <x:v>◎</x:v>
      </x:c>
      <x:c r="P8" s="20" t="str">
        <x:v>◎</x:v>
      </x:c>
      <x:c r="Q8" s="20" t="str">
        <x:v>◎</x:v>
      </x:c>
      <x:c r="R8" s="20" t="str">
        <x:v>◎</x:v>
      </x:c>
      <x:c r="S8" s="20" t="str">
        <x:v>Ø</x:v>
      </x:c>
      <x:c r="T8" s="20" t="str">
        <x:v>◎</x:v>
      </x:c>
      <x:c r="U8" s="20"/>
      <x:c r="V8" s="20" t="str">
        <x:v>△</x:v>
      </x:c>
      <x:c r="W8" s="20" t="str">
        <x:v>◎</x:v>
      </x:c>
    </x:row>
    <x:row r="9">
      <x:c r="A9" s="20"/>
      <x:c r="B9" s="20"/>
      <x:c r="C9" s="20"/>
      <x:c r="D9" s="20"/>
      <x:c r="E9" s="20"/>
      <x:c r="F9" s="25"/>
      <x:c r="G9" s="25" t="str">
        <x:v>拍攝 X光片(PANO)</x:v>
      </x:c>
      <x:c r="H9" s="25"/>
      <x:c r="I9" s="25"/>
      <x:c r="J9" s="20" t="str">
        <x:v>◎</x:v>
      </x:c>
      <x:c r="K9" s="20" t="str">
        <x:v>◎</x:v>
      </x:c>
      <x:c r="L9" s="20" t="str">
        <x:v>◎</x:v>
      </x:c>
      <x:c r="M9" s="20" t="str">
        <x:v>◎</x:v>
      </x:c>
      <x:c r="N9" s="20" t="str">
        <x:v>◎</x:v>
      </x:c>
      <x:c r="O9" s="20" t="str">
        <x:v>◎</x:v>
      </x:c>
      <x:c r="P9" s="20" t="str">
        <x:v>◎</x:v>
      </x:c>
      <x:c r="Q9" s="20" t="str">
        <x:v>◎</x:v>
      </x:c>
      <x:c r="R9" s="20" t="str">
        <x:v>◎</x:v>
      </x:c>
      <x:c r="S9" s="20" t="str">
        <x:v>◎</x:v>
      </x:c>
      <x:c r="T9" s="20" t="str">
        <x:v>◎</x:v>
      </x:c>
      <x:c r="U9" s="20"/>
      <x:c r="V9" s="20" t="str">
        <x:v>◎</x:v>
      </x:c>
      <x:c r="W9" s="20" t="str">
        <x:v>◎</x:v>
      </x:c>
    </x:row>
    <x:row r="10">
      <x:c r="A10" s="20"/>
      <x:c r="B10" s="20"/>
      <x:c r="C10" s="20"/>
      <x:c r="D10" s="20"/>
      <x:c r="E10" s="20"/>
      <x:c r="F10" s="25"/>
      <x:c r="G10" s="25" t="str">
        <x:v>拍攝 根尖片(用鱷魚夾)</x:v>
      </x:c>
      <x:c r="H10" s="25"/>
      <x:c r="I10" s="25"/>
      <x:c r="J10" s="20" t="str">
        <x:v>◎</x:v>
      </x:c>
      <x:c r="K10" s="20" t="str">
        <x:v>◎</x:v>
      </x:c>
      <x:c r="L10" s="20" t="str">
        <x:v>◎</x:v>
      </x:c>
      <x:c r="M10" s="20" t="str">
        <x:v>◎</x:v>
      </x:c>
      <x:c r="N10" s="20" t="str">
        <x:v>◎</x:v>
      </x:c>
      <x:c r="O10" s="20" t="str">
        <x:v>◎</x:v>
      </x:c>
      <x:c r="P10" s="20" t="str">
        <x:v>◎</x:v>
      </x:c>
      <x:c r="Q10" s="20" t="str">
        <x:v>◎</x:v>
      </x:c>
      <x:c r="R10" s="20" t="str">
        <x:v>◎</x:v>
      </x:c>
      <x:c r="S10" s="20" t="str">
        <x:v>Ø</x:v>
      </x:c>
      <x:c r="T10" s="20" t="str">
        <x:v>Ø</x:v>
      </x:c>
      <x:c r="U10" s="20"/>
      <x:c r="V10" s="20" t="str">
        <x:v>Ø</x:v>
      </x:c>
      <x:c r="W10" s="20" t="str">
        <x:v>◎</x:v>
      </x:c>
    </x:row>
    <x:row r="11">
      <x:c r="A11" s="20"/>
      <x:c r="B11" s="20"/>
      <x:c r="C11" s="20"/>
      <x:c r="D11" s="20"/>
      <x:c r="E11" s="20"/>
      <x:c r="F11" s="25"/>
      <x:c r="G11" s="25" t="str">
        <x:v>拍攝 根尖片(手壓片)</x:v>
      </x:c>
      <x:c r="H11" s="25"/>
      <x:c r="I11" s="25"/>
      <x:c r="J11" s="20" t="str">
        <x:v>◎</x:v>
      </x:c>
      <x:c r="K11" s="20" t="str">
        <x:v>◎</x:v>
      </x:c>
      <x:c r="L11" s="20" t="str">
        <x:v>◎</x:v>
      </x:c>
      <x:c r="M11" s="20" t="str">
        <x:v>◎</x:v>
      </x:c>
      <x:c r="N11" s="20" t="str">
        <x:v>◎</x:v>
      </x:c>
      <x:c r="O11" s="20" t="str">
        <x:v>◎</x:v>
      </x:c>
      <x:c r="P11" s="20" t="str">
        <x:v>◎</x:v>
      </x:c>
      <x:c r="Q11" s="20" t="str">
        <x:v>◎</x:v>
      </x:c>
      <x:c r="R11" s="20" t="str">
        <x:v>Ø</x:v>
      </x:c>
      <x:c r="S11" s="20" t="str">
        <x:v>△</x:v>
      </x:c>
      <x:c r="T11" s="20" t="str">
        <x:v>△</x:v>
      </x:c>
      <x:c r="U11" s="20"/>
      <x:c r="V11" s="20" t="str">
        <x:v>※</x:v>
      </x:c>
      <x:c r="W11" s="20" t="str">
        <x:v>◎</x:v>
      </x:c>
    </x:row>
    <x:row r="12">
      <x:c r="A12" s="20"/>
      <x:c r="B12" s="20"/>
      <x:c r="C12" s="20"/>
      <x:c r="D12" s="20"/>
      <x:c r="E12" s="20"/>
      <x:c r="F12" s="25"/>
      <x:c r="G12" s="25" t="str">
        <x:v>開、關診工作</x:v>
      </x:c>
      <x:c r="H12" s="25"/>
      <x:c r="I12" s="25"/>
      <x:c r="J12" s="20" t="str">
        <x:v>◎</x:v>
      </x:c>
      <x:c r="K12" s="20" t="str">
        <x:v>◎</x:v>
      </x:c>
      <x:c r="L12" s="20" t="str">
        <x:v>◎</x:v>
      </x:c>
      <x:c r="M12" s="20" t="str">
        <x:v>◎</x:v>
      </x:c>
      <x:c r="N12" s="20" t="str">
        <x:v>◎</x:v>
      </x:c>
      <x:c r="O12" s="20" t="str">
        <x:v>◎</x:v>
      </x:c>
      <x:c r="P12" s="20" t="str">
        <x:v>◎</x:v>
      </x:c>
      <x:c r="Q12" s="20" t="str">
        <x:v>◎</x:v>
      </x:c>
      <x:c r="R12" s="20" t="str">
        <x:v>◎</x:v>
      </x:c>
      <x:c r="S12" s="20" t="str">
        <x:v>◎</x:v>
      </x:c>
      <x:c r="T12" s="20" t="str">
        <x:v>◎</x:v>
      </x:c>
      <x:c r="U12" s="20"/>
      <x:c r="V12" s="20" t="str">
        <x:v>◎</x:v>
      </x:c>
      <x:c r="W12" s="20" t="str">
        <x:v>◎</x:v>
      </x:c>
    </x:row>
    <x:row r="13">
      <x:c r="A13" s="20"/>
      <x:c r="B13" s="20"/>
      <x:c r="C13" s="20"/>
      <x:c r="D13" s="20"/>
      <x:c r="E13" s="20"/>
      <x:c r="F13" s="25"/>
      <x:c r="G13" s="25" t="str">
        <x:v>備品補充+器械安全庫存</x:v>
      </x:c>
      <x:c r="H13" s="25"/>
      <x:c r="I13" s="25"/>
      <x:c r="J13" s="20" t="str">
        <x:v>◎</x:v>
      </x:c>
      <x:c r="K13" s="20" t="str">
        <x:v>◎</x:v>
      </x:c>
      <x:c r="L13" s="20" t="str">
        <x:v>◎</x:v>
      </x:c>
      <x:c r="M13" s="20" t="str">
        <x:v>◎</x:v>
      </x:c>
      <x:c r="N13" s="20" t="str">
        <x:v>◎</x:v>
      </x:c>
      <x:c r="O13" s="20" t="str">
        <x:v>◎</x:v>
      </x:c>
      <x:c r="P13" s="20" t="str">
        <x:v>◎</x:v>
      </x:c>
      <x:c r="Q13" s="20" t="str">
        <x:v>◎</x:v>
      </x:c>
      <x:c r="R13" s="20" t="str">
        <x:v>◎</x:v>
      </x:c>
      <x:c r="S13" s="20" t="str">
        <x:v>◎</x:v>
      </x:c>
      <x:c r="T13" s="20" t="str">
        <x:v>◎</x:v>
      </x:c>
      <x:c r="U13" s="20"/>
      <x:c r="V13" s="20" t="str">
        <x:v>◎</x:v>
      </x:c>
      <x:c r="W13" s="20" t="str">
        <x:v>◎</x:v>
      </x:c>
    </x:row>
    <x:row r="14">
      <x:c r="A14" s="20"/>
      <x:c r="B14" s="20"/>
      <x:c r="C14" s="20"/>
      <x:c r="D14" s="20"/>
      <x:c r="E14" s="20"/>
      <x:c r="F14" s="25" t="str">
        <x:v>衛教</x:v>
      </x:c>
      <x:c r="G14" s="25" t="str">
        <x:v>基礎衛教</x:v>
      </x:c>
      <x:c r="H14" s="25"/>
      <x:c r="I14" s="25" t="n">
        <x:v>11</x:v>
      </x:c>
      <x:c r="J14" s="20" t="str">
        <x:v>◎</x:v>
      </x:c>
      <x:c r="K14" s="20" t="str">
        <x:v>◎</x:v>
      </x:c>
      <x:c r="L14" s="20" t="str">
        <x:v>◎</x:v>
      </x:c>
      <x:c r="M14" s="20" t="str">
        <x:v>◎</x:v>
      </x:c>
      <x:c r="N14" s="20" t="str">
        <x:v>◎</x:v>
      </x:c>
      <x:c r="O14" s="20" t="str">
        <x:v>◎</x:v>
      </x:c>
      <x:c r="P14" s="20" t="str">
        <x:v>◎</x:v>
      </x:c>
      <x:c r="Q14" s="20" t="str">
        <x:v>◎</x:v>
      </x:c>
      <x:c r="R14" s="20" t="str">
        <x:v>◎</x:v>
      </x:c>
      <x:c r="S14" s="20" t="str">
        <x:v>◎</x:v>
      </x:c>
      <x:c r="T14" s="20" t="str">
        <x:v>◎</x:v>
      </x:c>
      <x:c r="U14" s="20"/>
      <x:c r="V14" s="20" t="str">
        <x:v>◎</x:v>
      </x:c>
      <x:c r="W14" s="20" t="str">
        <x:v>◎</x:v>
      </x:c>
    </x:row>
    <x:row r="15">
      <x:c r="A15" s="20"/>
      <x:c r="B15" s="20"/>
      <x:c r="C15" s="20"/>
      <x:c r="D15" s="20"/>
      <x:c r="E15" s="20"/>
      <x:c r="F15" s="25"/>
      <x:c r="G15" s="25" t="str">
        <x:v>進階衛教</x:v>
      </x:c>
      <x:c r="H15" s="25"/>
      <x:c r="I15" s="25"/>
      <x:c r="J15" s="20" t="str">
        <x:v>◎</x:v>
      </x:c>
      <x:c r="K15" s="20" t="str">
        <x:v>◎</x:v>
      </x:c>
      <x:c r="L15" s="20" t="str">
        <x:v>◎</x:v>
      </x:c>
      <x:c r="M15" s="20" t="str">
        <x:v>◎</x:v>
      </x:c>
      <x:c r="N15" s="20" t="str">
        <x:v>◎</x:v>
      </x:c>
      <x:c r="O15" s="20" t="str">
        <x:v>◎</x:v>
      </x:c>
      <x:c r="P15" s="20" t="str">
        <x:v>◎</x:v>
      </x:c>
      <x:c r="Q15" s="20" t="str">
        <x:v>◎</x:v>
      </x:c>
      <x:c r="R15" s="20" t="str">
        <x:v>◎</x:v>
      </x:c>
      <x:c r="S15" s="20" t="str">
        <x:v>◎</x:v>
      </x:c>
      <x:c r="T15" s="20" t="str">
        <x:v>◎</x:v>
      </x:c>
      <x:c r="U15" s="20"/>
      <x:c r="V15" s="20" t="str">
        <x:v>◎</x:v>
      </x:c>
      <x:c r="W15" s="20" t="str">
        <x:v>◎</x:v>
      </x:c>
    </x:row>
    <x:row r="16">
      <x:c r="A16" s="20"/>
      <x:c r="B16" s="20"/>
      <x:c r="C16" s="20"/>
      <x:c r="D16" s="20"/>
      <x:c r="E16" s="20"/>
      <x:c r="F16" s="25" t="str">
        <x:v>李柄輝
醫師</x:v>
      </x:c>
      <x:c r="G16" s="25" t="str">
        <x:v>器
械
準
備</x:v>
      </x:c>
      <x:c r="H16" s="25" t="str">
        <x:v>洗牙</x:v>
      </x:c>
      <x:c r="I16" s="25" t="n">
        <x:v>7</x:v>
      </x:c>
      <x:c r="J16" s="20" t="str">
        <x:v>◎</x:v>
      </x:c>
      <x:c r="K16" s="20" t="str">
        <x:v>◎</x:v>
      </x:c>
      <x:c r="L16" s="20" t="str">
        <x:v>◎</x:v>
      </x:c>
      <x:c r="M16" s="20" t="str">
        <x:v>◎</x:v>
      </x:c>
      <x:c r="N16" s="20" t="str">
        <x:v>◎</x:v>
      </x:c>
      <x:c r="O16" s="20" t="str">
        <x:v>◎</x:v>
      </x:c>
      <x:c r="P16" s="20" t="str">
        <x:v>◎</x:v>
      </x:c>
      <x:c r="Q16" s="20" t="str">
        <x:v>◎</x:v>
      </x:c>
      <x:c r="R16" s="20" t="str">
        <x:v>◎</x:v>
      </x:c>
      <x:c r="S16" s="20" t="str">
        <x:v>◎</x:v>
      </x:c>
      <x:c r="T16" s="20" t="str">
        <x:v>◎</x:v>
      </x:c>
      <x:c r="U16" s="20"/>
      <x:c r="V16" s="20"/>
      <x:c r="W16" s="20"/>
    </x:row>
    <x:row r="17">
      <x:c r="A17" s="20"/>
      <x:c r="B17" s="20"/>
      <x:c r="C17" s="20"/>
      <x:c r="D17" s="20"/>
      <x:c r="E17" s="20"/>
      <x:c r="F17" s="25"/>
      <x:c r="G17" s="25"/>
      <x:c r="H17" s="25" t="str">
        <x:v>補牙</x:v>
      </x:c>
      <x:c r="I17" s="25"/>
      <x:c r="J17" s="20" t="str">
        <x:v>◎</x:v>
      </x:c>
      <x:c r="K17" s="20" t="str">
        <x:v>◎</x:v>
      </x:c>
      <x:c r="L17" s="20" t="str">
        <x:v>◎</x:v>
      </x:c>
      <x:c r="M17" s="20" t="str">
        <x:v>◎</x:v>
      </x:c>
      <x:c r="N17" s="20" t="str">
        <x:v>◎</x:v>
      </x:c>
      <x:c r="O17" s="20" t="str">
        <x:v>◎</x:v>
      </x:c>
      <x:c r="P17" s="20" t="str">
        <x:v>◎</x:v>
      </x:c>
      <x:c r="Q17" s="20" t="str">
        <x:v>◎</x:v>
      </x:c>
      <x:c r="R17" s="20" t="str">
        <x:v>◎</x:v>
      </x:c>
      <x:c r="S17" s="20" t="str">
        <x:v>◎</x:v>
      </x:c>
      <x:c r="T17" s="20" t="str">
        <x:v>◎</x:v>
      </x:c>
      <x:c r="U17" s="20"/>
      <x:c r="V17" s="20"/>
      <x:c r="W17" s="20"/>
    </x:row>
    <x:row r="18">
      <x:c r="A18" s="20"/>
      <x:c r="B18" s="20"/>
      <x:c r="C18" s="20"/>
      <x:c r="D18" s="20"/>
      <x:c r="E18" s="20"/>
      <x:c r="F18" s="25"/>
      <x:c r="G18" s="25"/>
      <x:c r="H18" s="25" t="str">
        <x:v>牙周統合</x:v>
      </x:c>
      <x:c r="I18" s="25"/>
      <x:c r="J18" s="20" t="str">
        <x:v>◎</x:v>
      </x:c>
      <x:c r="K18" s="20" t="str">
        <x:v>◎</x:v>
      </x:c>
      <x:c r="L18" s="20" t="str">
        <x:v>◎</x:v>
      </x:c>
      <x:c r="M18" s="20" t="str">
        <x:v>◎</x:v>
      </x:c>
      <x:c r="N18" s="20" t="str">
        <x:v>◎</x:v>
      </x:c>
      <x:c r="O18" s="20" t="str">
        <x:v>◎</x:v>
      </x:c>
      <x:c r="P18" s="20" t="str">
        <x:v>◎</x:v>
      </x:c>
      <x:c r="Q18" s="20" t="str">
        <x:v>◎</x:v>
      </x:c>
      <x:c r="R18" s="20" t="str">
        <x:v>◎</x:v>
      </x:c>
      <x:c r="S18" s="20" t="str">
        <x:v>◎</x:v>
      </x:c>
      <x:c r="T18" s="20" t="str">
        <x:v>◎</x:v>
      </x:c>
      <x:c r="U18" s="20"/>
      <x:c r="V18" s="20"/>
      <x:c r="W18" s="20"/>
    </x:row>
    <x:row r="19">
      <x:c r="A19" s="20"/>
      <x:c r="B19" s="20"/>
      <x:c r="C19" s="20"/>
      <x:c r="D19" s="20"/>
      <x:c r="E19" s="20"/>
      <x:c r="F19" s="25"/>
      <x:c r="G19" s="25"/>
      <x:c r="H19" s="25" t="str">
        <x:v>根管治療(插針照)</x:v>
      </x:c>
      <x:c r="I19" s="25"/>
      <x:c r="J19" s="20" t="str">
        <x:v>◎</x:v>
      </x:c>
      <x:c r="K19" s="20" t="str">
        <x:v>◎</x:v>
      </x:c>
      <x:c r="L19" s="20" t="str">
        <x:v>◎</x:v>
      </x:c>
      <x:c r="M19" s="20" t="str">
        <x:v>◎</x:v>
      </x:c>
      <x:c r="N19" s="20" t="str">
        <x:v>◎</x:v>
      </x:c>
      <x:c r="O19" s="20" t="str">
        <x:v>◎</x:v>
      </x:c>
      <x:c r="P19" s="20" t="str">
        <x:v>◎</x:v>
      </x:c>
      <x:c r="Q19" s="20" t="str">
        <x:v>◎</x:v>
      </x:c>
      <x:c r="R19" s="20" t="str">
        <x:v>Ø</x:v>
      </x:c>
      <x:c r="S19" s="20" t="str">
        <x:v>△</x:v>
      </x:c>
      <x:c r="T19" s="20" t="str">
        <x:v>△</x:v>
      </x:c>
      <x:c r="U19" s="20"/>
      <x:c r="V19" s="20"/>
      <x:c r="W19" s="20"/>
    </x:row>
    <x:row r="20">
      <x:c r="A20" s="20"/>
      <x:c r="B20" s="20"/>
      <x:c r="C20" s="20"/>
      <x:c r="D20" s="20"/>
      <x:c r="E20" s="20"/>
      <x:c r="F20" s="25"/>
      <x:c r="G20" s="25"/>
      <x:c r="H20" s="25" t="str">
        <x:v>拆crown/post</x:v>
      </x:c>
      <x:c r="I20" s="25"/>
      <x:c r="J20" s="20" t="str">
        <x:v>◎</x:v>
      </x:c>
      <x:c r="K20" s="20" t="str">
        <x:v>◎</x:v>
      </x:c>
      <x:c r="L20" s="20" t="str">
        <x:v>◎</x:v>
      </x:c>
      <x:c r="M20" s="20" t="str">
        <x:v>◎</x:v>
      </x:c>
      <x:c r="N20" s="20" t="str">
        <x:v>◎</x:v>
      </x:c>
      <x:c r="O20" s="20" t="str">
        <x:v>◎</x:v>
      </x:c>
      <x:c r="P20" s="20" t="str">
        <x:v>◎</x:v>
      </x:c>
      <x:c r="Q20" s="20" t="str">
        <x:v>◎</x:v>
      </x:c>
      <x:c r="R20" s="20" t="str">
        <x:v>△</x:v>
      </x:c>
      <x:c r="S20" s="20" t="str">
        <x:v>※</x:v>
      </x:c>
      <x:c r="T20" s="20" t="str">
        <x:v>※</x:v>
      </x:c>
      <x:c r="U20" s="20"/>
      <x:c r="V20" s="20"/>
      <x:c r="W20" s="20"/>
    </x:row>
    <x:row r="21">
      <x:c r="A21" s="20"/>
      <x:c r="B21" s="20"/>
      <x:c r="C21" s="20"/>
      <x:c r="D21" s="20"/>
      <x:c r="E21" s="20"/>
      <x:c r="F21" s="25"/>
      <x:c r="G21" s="25"/>
      <x:c r="H21" s="25" t="str">
        <x:v>拔牙</x:v>
      </x:c>
      <x:c r="I21" s="25"/>
      <x:c r="J21" s="20" t="str">
        <x:v>◎</x:v>
      </x:c>
      <x:c r="K21" s="20" t="str">
        <x:v>◎</x:v>
      </x:c>
      <x:c r="L21" s="20" t="str">
        <x:v>◎</x:v>
      </x:c>
      <x:c r="M21" s="20" t="str">
        <x:v>◎</x:v>
      </x:c>
      <x:c r="N21" s="20" t="str">
        <x:v>◎</x:v>
      </x:c>
      <x:c r="O21" s="20" t="str">
        <x:v>Ø</x:v>
      </x:c>
      <x:c r="P21" s="20" t="str">
        <x:v>Ø</x:v>
      </x:c>
      <x:c r="Q21" s="20" t="str">
        <x:v>Ø</x:v>
      </x:c>
      <x:c r="R21" s="20" t="str">
        <x:v>Ø</x:v>
      </x:c>
      <x:c r="S21" s="20" t="str">
        <x:v>Ø</x:v>
      </x:c>
      <x:c r="T21" s="20" t="str">
        <x:v>Ø</x:v>
      </x:c>
      <x:c r="U21" s="20"/>
      <x:c r="V21" s="20"/>
      <x:c r="W21" s="20"/>
    </x:row>
    <x:row r="22">
      <x:c r="A22" s="20"/>
      <x:c r="B22" s="20"/>
      <x:c r="C22" s="20"/>
      <x:c r="D22" s="20"/>
      <x:c r="E22" s="20"/>
      <x:c r="F22" s="25"/>
      <x:c r="G22" s="25" t="str">
        <x:v>自費</x:v>
      </x:c>
      <x:c r="H22" s="25" t="str">
        <x:v>固定假牙(黏著劑)</x:v>
      </x:c>
      <x:c r="I22" s="25"/>
      <x:c r="J22" s="20" t="str">
        <x:v>◎</x:v>
      </x:c>
      <x:c r="K22" s="20" t="str">
        <x:v>◎</x:v>
      </x:c>
      <x:c r="L22" s="20" t="str">
        <x:v>◎</x:v>
      </x:c>
      <x:c r="M22" s="20" t="str">
        <x:v>◎</x:v>
      </x:c>
      <x:c r="N22" s="20" t="str">
        <x:v>◎</x:v>
      </x:c>
      <x:c r="O22" s="20" t="str">
        <x:v>◎</x:v>
      </x:c>
      <x:c r="P22" s="20" t="str">
        <x:v>Ø</x:v>
      </x:c>
      <x:c r="Q22" s="20" t="str">
        <x:v>Ø</x:v>
      </x:c>
      <x:c r="R22" s="20" t="str">
        <x:v>△</x:v>
      </x:c>
      <x:c r="S22" s="20" t="str">
        <x:v>Ø</x:v>
      </x:c>
      <x:c r="T22" s="20" t="str">
        <x:v>Ø</x:v>
      </x:c>
      <x:c r="U22" s="20"/>
      <x:c r="V22" s="20"/>
      <x:c r="W22" s="20"/>
    </x:row>
    <x:row r="23">
      <x:c r="A23" s="20"/>
      <x:c r="B23" s="20"/>
      <x:c r="C23" s="20"/>
      <x:c r="D23" s="20"/>
      <x:c r="E23" s="20"/>
      <x:c r="F23" s="25"/>
      <x:c r="G23" s="25" t="str">
        <x:v>跟診順暢度</x:v>
      </x:c>
      <x:c r="H23" s="25"/>
      <x:c r="I23" s="25"/>
      <x:c r="J23" s="20" t="str">
        <x:v>◎</x:v>
      </x:c>
      <x:c r="K23" s="20" t="str">
        <x:v>◎</x:v>
      </x:c>
      <x:c r="L23" s="20" t="str">
        <x:v>◎</x:v>
      </x:c>
      <x:c r="M23" s="20" t="str">
        <x:v>◎</x:v>
      </x:c>
      <x:c r="N23" s="20" t="str">
        <x:v>◎</x:v>
      </x:c>
      <x:c r="O23" s="20" t="str">
        <x:v>◎</x:v>
      </x:c>
      <x:c r="P23" s="20" t="str">
        <x:v>Ø</x:v>
      </x:c>
      <x:c r="Q23" s="20" t="str">
        <x:v>◎</x:v>
      </x:c>
      <x:c r="R23" s="20" t="str">
        <x:v>◎</x:v>
      </x:c>
      <x:c r="S23" s="20" t="str">
        <x:v>Ø</x:v>
      </x:c>
      <x:c r="T23" s="20" t="str">
        <x:v>Ø</x:v>
      </x:c>
      <x:c r="U23" s="20"/>
      <x:c r="V23" s="20"/>
      <x:c r="W23" s="20"/>
    </x:row>
    <x:row r="24">
      <x:c r="A24" s="20"/>
      <x:c r="B24" s="20"/>
      <x:c r="C24" s="20"/>
      <x:c r="D24" s="20"/>
      <x:c r="E24" s="20"/>
      <x:c r="F24" s="25"/>
      <x:c r="G24" s="25" t="str">
        <x:v>病歷紀錄</x:v>
      </x:c>
      <x:c r="H24" s="25"/>
      <x:c r="I24" s="25"/>
      <x:c r="J24" s="20" t="str">
        <x:v>◎</x:v>
      </x:c>
      <x:c r="K24" s="20" t="str">
        <x:v>◎</x:v>
      </x:c>
      <x:c r="L24" s="20" t="str">
        <x:v>◎</x:v>
      </x:c>
      <x:c r="M24" s="20" t="str">
        <x:v>◎</x:v>
      </x:c>
      <x:c r="N24" s="20" t="str">
        <x:v>◎</x:v>
      </x:c>
      <x:c r="O24" s="20" t="str">
        <x:v>◎</x:v>
      </x:c>
      <x:c r="P24" s="20" t="str">
        <x:v>Ø</x:v>
      </x:c>
      <x:c r="Q24" s="20" t="str">
        <x:v>◎</x:v>
      </x:c>
      <x:c r="R24" s="20" t="str">
        <x:v>Ø</x:v>
      </x:c>
      <x:c r="S24" s="20" t="str">
        <x:v>Ø</x:v>
      </x:c>
      <x:c r="T24" s="20" t="str">
        <x:v>Ø</x:v>
      </x:c>
      <x:c r="U24" s="20"/>
      <x:c r="V24" s="20"/>
      <x:c r="W24" s="20"/>
    </x:row>
    <x:row r="25">
      <x:c r="A25" s="20"/>
      <x:c r="B25" s="20"/>
      <x:c r="C25" s="20"/>
      <x:c r="D25" s="20"/>
      <x:c r="E25" s="20"/>
      <x:c r="F25" s="25"/>
      <x:c r="G25" s="25" t="str">
        <x:v>健保申報</x:v>
      </x:c>
      <x:c r="H25" s="25"/>
      <x:c r="I25" s="25"/>
      <x:c r="J25" s="20" t="str">
        <x:v>◎</x:v>
      </x:c>
      <x:c r="K25" s="20" t="str">
        <x:v>◎</x:v>
      </x:c>
      <x:c r="L25" s="20" t="str">
        <x:v>◎</x:v>
      </x:c>
      <x:c r="M25" s="20" t="str">
        <x:v>◎</x:v>
      </x:c>
      <x:c r="N25" s="20" t="str">
        <x:v>◎</x:v>
      </x:c>
      <x:c r="O25" s="20" t="str">
        <x:v>◎</x:v>
      </x:c>
      <x:c r="P25" s="20" t="str">
        <x:v>Ø</x:v>
      </x:c>
      <x:c r="Q25" s="20" t="str">
        <x:v>Ø</x:v>
      </x:c>
      <x:c r="R25" s="20" t="str">
        <x:v>◎</x:v>
      </x:c>
      <x:c r="S25" s="20" t="str">
        <x:v>Ø</x:v>
      </x:c>
      <x:c r="T25" s="20" t="str">
        <x:v>△</x:v>
      </x:c>
      <x:c r="U25" s="20"/>
      <x:c r="V25" s="20"/>
      <x:c r="W25" s="20"/>
    </x:row>
    <x:row r="26">
      <x:c r="A26" s="20"/>
      <x:c r="B26" s="20"/>
      <x:c r="C26" s="20"/>
      <x:c r="D26" s="20"/>
      <x:c r="E26" s="20"/>
      <x:c r="F26" s="25"/>
      <x:c r="G26" s="25" t="str">
        <x:v>X光片紀錄</x:v>
      </x:c>
      <x:c r="H26" s="25"/>
      <x:c r="I26" s="25"/>
      <x:c r="J26" s="20" t="str">
        <x:v>◎</x:v>
      </x:c>
      <x:c r="K26" s="20" t="str">
        <x:v>◎</x:v>
      </x:c>
      <x:c r="L26" s="20" t="str">
        <x:v>◎</x:v>
      </x:c>
      <x:c r="M26" s="20" t="str">
        <x:v>◎</x:v>
      </x:c>
      <x:c r="N26" s="20" t="str">
        <x:v>◎</x:v>
      </x:c>
      <x:c r="O26" s="20" t="str">
        <x:v>Ø</x:v>
      </x:c>
      <x:c r="P26" s="20" t="str">
        <x:v>Ø</x:v>
      </x:c>
      <x:c r="Q26" s="20" t="str">
        <x:v>◎</x:v>
      </x:c>
      <x:c r="R26" s="20" t="str">
        <x:v>Ø</x:v>
      </x:c>
      <x:c r="S26" s="20" t="str">
        <x:v>Ø</x:v>
      </x:c>
      <x:c r="T26" s="20" t="str">
        <x:v>Ø</x:v>
      </x:c>
      <x:c r="U26" s="20"/>
      <x:c r="V26" s="20"/>
      <x:c r="W26" s="20"/>
    </x:row>
    <x:row r="27">
      <x:c r="A27" s="20"/>
      <x:c r="B27" s="20"/>
      <x:c r="C27" s="20"/>
      <x:c r="D27" s="20"/>
      <x:c r="E27" s="20"/>
      <x:c r="F27" s="25"/>
      <x:c r="G27" s="25" t="str">
        <x:v>拍PA</x:v>
      </x:c>
      <x:c r="H27" s="25"/>
      <x:c r="I27" s="25"/>
      <x:c r="J27" s="20" t="str">
        <x:v>◎</x:v>
      </x:c>
      <x:c r="K27" s="20" t="str">
        <x:v>◎</x:v>
      </x:c>
      <x:c r="L27" s="20" t="str">
        <x:v>◎</x:v>
      </x:c>
      <x:c r="M27" s="20" t="str">
        <x:v>◎</x:v>
      </x:c>
      <x:c r="N27" s="20" t="str">
        <x:v>◎</x:v>
      </x:c>
      <x:c r="O27" s="20" t="str">
        <x:v>◎</x:v>
      </x:c>
      <x:c r="P27" s="20" t="str">
        <x:v>◎</x:v>
      </x:c>
      <x:c r="Q27" s="20" t="str">
        <x:v>◎</x:v>
      </x:c>
      <x:c r="R27" s="20" t="str">
        <x:v>Ø</x:v>
      </x:c>
      <x:c r="S27" s="20" t="str">
        <x:v>Ø</x:v>
      </x:c>
      <x:c r="T27" s="20" t="str">
        <x:v>Ø</x:v>
      </x:c>
      <x:c r="U27" s="20"/>
      <x:c r="V27" s="20"/>
      <x:c r="W27" s="20"/>
    </x:row>
    <x:row r="28">
      <x:c r="A28" s="20"/>
      <x:c r="B28" s="20"/>
      <x:c r="C28" s="20"/>
      <x:c r="D28" s="20"/>
      <x:c r="E28" s="20"/>
      <x:c r="F28" s="25" t="str">
        <x:v>李侑津
醫師</x:v>
      </x:c>
      <x:c r="G28" s="25" t="str">
        <x:v>器
械
準
備</x:v>
      </x:c>
      <x:c r="H28" s="25" t="str">
        <x:v>洗牙</x:v>
      </x:c>
      <x:c r="I28" s="25" t="n">
        <x:v>5</x:v>
      </x:c>
      <x:c r="J28" s="20" t="str">
        <x:v>◎</x:v>
      </x:c>
      <x:c r="K28" s="20" t="str">
        <x:v>◎</x:v>
      </x:c>
      <x:c r="L28" s="20" t="str">
        <x:v>◎</x:v>
      </x:c>
      <x:c r="M28" s="20" t="str">
        <x:v>◎</x:v>
      </x:c>
      <x:c r="N28" s="20" t="str">
        <x:v>◎</x:v>
      </x:c>
      <x:c r="O28" s="20" t="str">
        <x:v>Ø</x:v>
      </x:c>
      <x:c r="P28" s="20" t="str">
        <x:v>◎</x:v>
      </x:c>
      <x:c r="Q28" s="20" t="str">
        <x:v>◎</x:v>
      </x:c>
      <x:c r="R28" s="20" t="str">
        <x:v>※</x:v>
      </x:c>
      <x:c r="S28" s="20"/>
      <x:c r="T28" s="20"/>
      <x:c r="U28" s="20"/>
      <x:c r="V28" s="20"/>
      <x:c r="W28" s="20"/>
    </x:row>
    <x:row r="29">
      <x:c r="A29" s="20"/>
      <x:c r="B29" s="20"/>
      <x:c r="C29" s="20"/>
      <x:c r="D29" s="20"/>
      <x:c r="E29" s="20"/>
      <x:c r="F29" s="25"/>
      <x:c r="G29" s="25"/>
      <x:c r="H29" s="25" t="str">
        <x:v>補牙</x:v>
      </x:c>
      <x:c r="I29" s="25"/>
      <x:c r="J29" s="20" t="str">
        <x:v>◎</x:v>
      </x:c>
      <x:c r="K29" s="20" t="str">
        <x:v>◎</x:v>
      </x:c>
      <x:c r="L29" s="20" t="str">
        <x:v>◎</x:v>
      </x:c>
      <x:c r="M29" s="20" t="str">
        <x:v>◎</x:v>
      </x:c>
      <x:c r="N29" s="20" t="str">
        <x:v>◎</x:v>
      </x:c>
      <x:c r="O29" s="20" t="str">
        <x:v>Ø</x:v>
      </x:c>
      <x:c r="P29" s="20" t="str">
        <x:v>◎</x:v>
      </x:c>
      <x:c r="Q29" s="20" t="str">
        <x:v>◎</x:v>
      </x:c>
      <x:c r="R29" s="20" t="str">
        <x:v>※</x:v>
      </x:c>
      <x:c r="S29" s="20"/>
      <x:c r="T29" s="20"/>
      <x:c r="U29" s="20"/>
      <x:c r="V29" s="20"/>
      <x:c r="W29" s="20"/>
    </x:row>
    <x:row r="30">
      <x:c r="A30" s="20"/>
      <x:c r="B30" s="20"/>
      <x:c r="C30" s="20"/>
      <x:c r="D30" s="20"/>
      <x:c r="E30" s="20"/>
      <x:c r="F30" s="25"/>
      <x:c r="G30" s="25"/>
      <x:c r="H30" s="25" t="str">
        <x:v>牙周統合</x:v>
      </x:c>
      <x:c r="I30" s="25"/>
      <x:c r="J30" s="20" t="str">
        <x:v>◎</x:v>
      </x:c>
      <x:c r="K30" s="20" t="str">
        <x:v>◎</x:v>
      </x:c>
      <x:c r="L30" s="20" t="str">
        <x:v>◎</x:v>
      </x:c>
      <x:c r="M30" s="20" t="str">
        <x:v>◎</x:v>
      </x:c>
      <x:c r="N30" s="20" t="str">
        <x:v>◎</x:v>
      </x:c>
      <x:c r="O30" s="20" t="str">
        <x:v>Ø</x:v>
      </x:c>
      <x:c r="P30" s="20" t="str">
        <x:v>◎</x:v>
      </x:c>
      <x:c r="Q30" s="20" t="str">
        <x:v>◎</x:v>
      </x:c>
      <x:c r="R30" s="20" t="str">
        <x:v>※</x:v>
      </x:c>
      <x:c r="S30" s="20"/>
      <x:c r="T30" s="20"/>
      <x:c r="U30" s="20"/>
      <x:c r="V30" s="20"/>
      <x:c r="W30" s="20"/>
    </x:row>
    <x:row r="31">
      <x:c r="A31" s="20"/>
      <x:c r="B31" s="20"/>
      <x:c r="C31" s="20"/>
      <x:c r="D31" s="20"/>
      <x:c r="E31" s="20"/>
      <x:c r="F31" s="25"/>
      <x:c r="G31" s="25"/>
      <x:c r="H31" s="25" t="str">
        <x:v>根管治療</x:v>
      </x:c>
      <x:c r="I31" s="25"/>
      <x:c r="J31" s="20" t="str">
        <x:v>◎</x:v>
      </x:c>
      <x:c r="K31" s="20" t="str">
        <x:v>◎</x:v>
      </x:c>
      <x:c r="L31" s="20" t="str">
        <x:v>◎</x:v>
      </x:c>
      <x:c r="M31" s="20" t="str">
        <x:v>◎</x:v>
      </x:c>
      <x:c r="N31" s="20" t="str">
        <x:v>◎</x:v>
      </x:c>
      <x:c r="O31" s="20" t="str">
        <x:v>Ø</x:v>
      </x:c>
      <x:c r="P31" s="20" t="str">
        <x:v>◎</x:v>
      </x:c>
      <x:c r="Q31" s="20" t="str">
        <x:v>◎</x:v>
      </x:c>
      <x:c r="R31" s="20" t="str">
        <x:v>※</x:v>
      </x:c>
      <x:c r="S31" s="20"/>
      <x:c r="T31" s="20"/>
      <x:c r="U31" s="20"/>
      <x:c r="V31" s="20"/>
      <x:c r="W31" s="20"/>
    </x:row>
    <x:row r="32">
      <x:c r="A32" s="20"/>
      <x:c r="B32" s="20"/>
      <x:c r="C32" s="20"/>
      <x:c r="D32" s="20"/>
      <x:c r="E32" s="20"/>
      <x:c r="F32" s="25"/>
      <x:c r="G32" s="25"/>
      <x:c r="H32" s="25" t="str">
        <x:v>拔牙</x:v>
      </x:c>
      <x:c r="I32" s="25"/>
      <x:c r="J32" s="20" t="str">
        <x:v>◎</x:v>
      </x:c>
      <x:c r="K32" s="20" t="str">
        <x:v>◎</x:v>
      </x:c>
      <x:c r="L32" s="20" t="str">
        <x:v>◎</x:v>
      </x:c>
      <x:c r="M32" s="20" t="str">
        <x:v>◎</x:v>
      </x:c>
      <x:c r="N32" s="20" t="str">
        <x:v>◎</x:v>
      </x:c>
      <x:c r="O32" s="20" t="str">
        <x:v>Ø</x:v>
      </x:c>
      <x:c r="P32" s="20" t="str">
        <x:v>Ø</x:v>
      </x:c>
      <x:c r="Q32" s="20" t="str">
        <x:v>Ø</x:v>
      </x:c>
      <x:c r="R32" s="20" t="str">
        <x:v>※</x:v>
      </x:c>
      <x:c r="S32" s="20"/>
      <x:c r="T32" s="20"/>
      <x:c r="U32" s="20"/>
      <x:c r="V32" s="20"/>
      <x:c r="W32" s="20"/>
    </x:row>
    <x:row r="33">
      <x:c r="A33" s="20"/>
      <x:c r="B33" s="20"/>
      <x:c r="C33" s="20"/>
      <x:c r="D33" s="20"/>
      <x:c r="E33" s="20"/>
      <x:c r="F33" s="25"/>
      <x:c r="G33" s="25"/>
      <x:c r="H33" s="25" t="str">
        <x:v>拆 crown/post</x:v>
      </x:c>
      <x:c r="I33" s="25"/>
      <x:c r="J33" s="20" t="str">
        <x:v>◎</x:v>
      </x:c>
      <x:c r="K33" s="20" t="str">
        <x:v>◎</x:v>
      </x:c>
      <x:c r="L33" s="20" t="str">
        <x:v>◎</x:v>
      </x:c>
      <x:c r="M33" s="20" t="str">
        <x:v>◎</x:v>
      </x:c>
      <x:c r="N33" s="20" t="str">
        <x:v>◎</x:v>
      </x:c>
      <x:c r="O33" s="20" t="str">
        <x:v>Ø</x:v>
      </x:c>
      <x:c r="P33" s="20" t="str">
        <x:v>◎</x:v>
      </x:c>
      <x:c r="Q33" s="20" t="str">
        <x:v>◎</x:v>
      </x:c>
      <x:c r="R33" s="20" t="str">
        <x:v>※</x:v>
      </x:c>
      <x:c r="S33" s="20"/>
      <x:c r="T33" s="20"/>
      <x:c r="U33" s="20"/>
      <x:c r="V33" s="20"/>
      <x:c r="W33" s="20"/>
    </x:row>
    <x:row r="34">
      <x:c r="A34" s="20"/>
      <x:c r="B34" s="20"/>
      <x:c r="C34" s="20"/>
      <x:c r="D34" s="20"/>
      <x:c r="E34" s="20"/>
      <x:c r="F34" s="25"/>
      <x:c r="G34" s="25" t="str">
        <x:v>自費</x:v>
      </x:c>
      <x:c r="H34" s="25" t="str">
        <x:v>固定假牙</x:v>
      </x:c>
      <x:c r="I34" s="25"/>
      <x:c r="J34" s="20" t="str">
        <x:v>◎</x:v>
      </x:c>
      <x:c r="K34" s="20" t="str">
        <x:v>◎</x:v>
      </x:c>
      <x:c r="L34" s="20" t="str">
        <x:v>◎</x:v>
      </x:c>
      <x:c r="M34" s="20" t="str">
        <x:v>◎</x:v>
      </x:c>
      <x:c r="N34" s="20" t="str">
        <x:v>◎</x:v>
      </x:c>
      <x:c r="O34" s="20" t="str">
        <x:v>Ø</x:v>
      </x:c>
      <x:c r="P34" s="20" t="str">
        <x:v>◎</x:v>
      </x:c>
      <x:c r="Q34" s="20" t="str">
        <x:v>◎</x:v>
      </x:c>
      <x:c r="R34" s="20" t="str">
        <x:v>※</x:v>
      </x:c>
      <x:c r="S34" s="20"/>
      <x:c r="T34" s="20"/>
      <x:c r="U34" s="20"/>
      <x:c r="V34" s="20"/>
      <x:c r="W34" s="20"/>
    </x:row>
    <x:row r="35">
      <x:c r="A35" s="20"/>
      <x:c r="B35" s="20"/>
      <x:c r="C35" s="20"/>
      <x:c r="D35" s="20"/>
      <x:c r="E35" s="20"/>
      <x:c r="F35" s="25"/>
      <x:c r="G35" s="25"/>
      <x:c r="H35" s="25" t="str">
        <x:v>RPD</x:v>
      </x:c>
      <x:c r="I35" s="25"/>
      <x:c r="J35" s="20" t="str">
        <x:v>◎</x:v>
      </x:c>
      <x:c r="K35" s="20" t="str">
        <x:v>◎</x:v>
      </x:c>
      <x:c r="L35" s="20" t="str">
        <x:v>◎</x:v>
      </x:c>
      <x:c r="M35" s="20" t="str">
        <x:v>◎</x:v>
      </x:c>
      <x:c r="N35" s="20" t="str">
        <x:v>◎</x:v>
      </x:c>
      <x:c r="O35" s="20" t="str">
        <x:v>Ø</x:v>
      </x:c>
      <x:c r="P35" s="20" t="str">
        <x:v>※</x:v>
      </x:c>
      <x:c r="Q35" s="20" t="str">
        <x:v>Ø</x:v>
      </x:c>
      <x:c r="R35" s="20" t="str">
        <x:v>※</x:v>
      </x:c>
      <x:c r="S35" s="20"/>
      <x:c r="T35" s="20"/>
      <x:c r="U35" s="20"/>
      <x:c r="V35" s="20"/>
      <x:c r="W35" s="20"/>
    </x:row>
    <x:row r="36">
      <x:c r="A36" s="20"/>
      <x:c r="B36" s="20"/>
      <x:c r="C36" s="20"/>
      <x:c r="D36" s="20"/>
      <x:c r="E36" s="20"/>
      <x:c r="F36" s="25"/>
      <x:c r="G36" s="25"/>
      <x:c r="H36" s="25" t="str">
        <x:v>噴砂美白</x:v>
      </x:c>
      <x:c r="I36" s="25"/>
      <x:c r="J36" s="20" t="str">
        <x:v>◎</x:v>
      </x:c>
      <x:c r="K36" s="20" t="str">
        <x:v>◎</x:v>
      </x:c>
      <x:c r="L36" s="20" t="str">
        <x:v>◎</x:v>
      </x:c>
      <x:c r="M36" s="20" t="str">
        <x:v>◎</x:v>
      </x:c>
      <x:c r="N36" s="20" t="str">
        <x:v>◎</x:v>
      </x:c>
      <x:c r="O36" s="20" t="str">
        <x:v>※</x:v>
      </x:c>
      <x:c r="P36" s="20" t="str">
        <x:v>※</x:v>
      </x:c>
      <x:c r="Q36" s="20" t="str">
        <x:v>※</x:v>
      </x:c>
      <x:c r="R36" s="20" t="str">
        <x:v>※</x:v>
      </x:c>
      <x:c r="S36" s="20"/>
      <x:c r="T36" s="20"/>
      <x:c r="U36" s="20"/>
      <x:c r="V36" s="20"/>
      <x:c r="W36" s="20"/>
    </x:row>
    <x:row r="37">
      <x:c r="A37" s="20"/>
      <x:c r="B37" s="20"/>
      <x:c r="C37" s="20"/>
      <x:c r="D37" s="20"/>
      <x:c r="E37" s="20"/>
      <x:c r="F37" s="25"/>
      <x:c r="G37" s="25" t="str">
        <x:v>手術</x:v>
      </x:c>
      <x:c r="H37" s="25" t="str">
        <x:v>牙周手術</x:v>
      </x:c>
      <x:c r="I37" s="25"/>
      <x:c r="J37" s="20" t="str">
        <x:v>◎</x:v>
      </x:c>
      <x:c r="K37" s="20" t="str">
        <x:v>◎</x:v>
      </x:c>
      <x:c r="L37" s="20" t="str">
        <x:v>◎</x:v>
      </x:c>
      <x:c r="M37" s="20" t="str">
        <x:v>◎</x:v>
      </x:c>
      <x:c r="N37" s="20" t="str">
        <x:v>◎</x:v>
      </x:c>
      <x:c r="O37" s="20" t="str">
        <x:v>Ø</x:v>
      </x:c>
      <x:c r="P37" s="20" t="str">
        <x:v>※</x:v>
      </x:c>
      <x:c r="Q37" s="20" t="str">
        <x:v>Ø</x:v>
      </x:c>
      <x:c r="R37" s="20" t="str">
        <x:v>※</x:v>
      </x:c>
      <x:c r="S37" s="20"/>
      <x:c r="T37" s="20"/>
      <x:c r="U37" s="20"/>
      <x:c r="V37" s="20"/>
      <x:c r="W37" s="20"/>
    </x:row>
    <x:row r="38">
      <x:c r="A38" s="20"/>
      <x:c r="B38" s="20"/>
      <x:c r="C38" s="20"/>
      <x:c r="D38" s="20"/>
      <x:c r="E38" s="20"/>
      <x:c r="F38" s="25"/>
      <x:c r="G38" s="25"/>
      <x:c r="H38" s="25" t="str">
        <x:v>顯微根管</x:v>
      </x:c>
      <x:c r="I38" s="25"/>
      <x:c r="J38" s="20" t="str">
        <x:v>◎</x:v>
      </x:c>
      <x:c r="K38" s="20" t="str">
        <x:v>◎</x:v>
      </x:c>
      <x:c r="L38" s="20" t="str">
        <x:v>◎</x:v>
      </x:c>
      <x:c r="M38" s="20" t="str">
        <x:v>◎</x:v>
      </x:c>
      <x:c r="N38" s="20" t="str">
        <x:v>◎</x:v>
      </x:c>
      <x:c r="O38" s="20" t="str">
        <x:v>※</x:v>
      </x:c>
      <x:c r="P38" s="20" t="str">
        <x:v>※</x:v>
      </x:c>
      <x:c r="Q38" s="20" t="str">
        <x:v>※</x:v>
      </x:c>
      <x:c r="R38" s="20" t="str">
        <x:v>※</x:v>
      </x:c>
      <x:c r="S38" s="20"/>
      <x:c r="T38" s="20"/>
      <x:c r="U38" s="20"/>
      <x:c r="V38" s="20"/>
      <x:c r="W38" s="20"/>
    </x:row>
    <x:row r="39">
      <x:c r="A39" s="20"/>
      <x:c r="B39" s="20"/>
      <x:c r="C39" s="20"/>
      <x:c r="D39" s="20"/>
      <x:c r="E39" s="20"/>
      <x:c r="F39" s="25"/>
      <x:c r="G39" s="25"/>
      <x:c r="H39" s="25" t="str">
        <x:v>植 牙</x:v>
      </x:c>
      <x:c r="I39" s="25"/>
      <x:c r="J39" s="20" t="str">
        <x:v>◎</x:v>
      </x:c>
      <x:c r="K39" s="20" t="str">
        <x:v>◎</x:v>
      </x:c>
      <x:c r="L39" s="20" t="str">
        <x:v>◎</x:v>
      </x:c>
      <x:c r="M39" s="20" t="str">
        <x:v>◎</x:v>
      </x:c>
      <x:c r="N39" s="20" t="str">
        <x:v>◎</x:v>
      </x:c>
      <x:c r="O39" s="20" t="str">
        <x:v>Ø</x:v>
      </x:c>
      <x:c r="P39" s="20" t="str">
        <x:v>◎</x:v>
      </x:c>
      <x:c r="Q39" s="20" t="str">
        <x:v>Ø</x:v>
      </x:c>
      <x:c r="R39" s="20" t="str">
        <x:v>※</x:v>
      </x:c>
      <x:c r="S39" s="20"/>
      <x:c r="T39" s="20"/>
      <x:c r="U39" s="20"/>
      <x:c r="V39" s="20"/>
      <x:c r="W39" s="20"/>
    </x:row>
    <x:row r="40">
      <x:c r="A40" s="20"/>
      <x:c r="B40" s="20"/>
      <x:c r="C40" s="20"/>
      <x:c r="D40" s="20"/>
      <x:c r="E40" s="20"/>
      <x:c r="F40" s="25"/>
      <x:c r="G40" s="25" t="str">
        <x:v>跟診順暢度</x:v>
      </x:c>
      <x:c r="H40" s="25"/>
      <x:c r="I40" s="25"/>
      <x:c r="J40" s="20" t="str">
        <x:v>◎</x:v>
      </x:c>
      <x:c r="K40" s="20" t="str">
        <x:v>◎</x:v>
      </x:c>
      <x:c r="L40" s="20" t="str">
        <x:v>◎</x:v>
      </x:c>
      <x:c r="M40" s="20" t="str">
        <x:v>◎</x:v>
      </x:c>
      <x:c r="N40" s="20" t="str">
        <x:v>◎</x:v>
      </x:c>
      <x:c r="O40" s="20" t="str">
        <x:v>Ø</x:v>
      </x:c>
      <x:c r="P40" s="20" t="str">
        <x:v>◎</x:v>
      </x:c>
      <x:c r="Q40" s="20" t="str">
        <x:v>Ø</x:v>
      </x:c>
      <x:c r="R40" s="20" t="str">
        <x:v>※</x:v>
      </x:c>
      <x:c r="S40" s="20"/>
      <x:c r="T40" s="20"/>
      <x:c r="U40" s="20"/>
      <x:c r="V40" s="20"/>
      <x:c r="W40" s="20"/>
    </x:row>
    <x:row r="41">
      <x:c r="A41" s="20"/>
      <x:c r="B41" s="20"/>
      <x:c r="C41" s="20"/>
      <x:c r="D41" s="20"/>
      <x:c r="E41" s="20"/>
      <x:c r="F41" s="25"/>
      <x:c r="G41" s="25" t="str">
        <x:v>病歷紀錄</x:v>
      </x:c>
      <x:c r="H41" s="25"/>
      <x:c r="I41" s="25"/>
      <x:c r="J41" s="20" t="str">
        <x:v>◎</x:v>
      </x:c>
      <x:c r="K41" s="20" t="str">
        <x:v>◎</x:v>
      </x:c>
      <x:c r="L41" s="20" t="str">
        <x:v>◎</x:v>
      </x:c>
      <x:c r="M41" s="20" t="str">
        <x:v>◎</x:v>
      </x:c>
      <x:c r="N41" s="20" t="str">
        <x:v>◎</x:v>
      </x:c>
      <x:c r="O41" s="20" t="str">
        <x:v>Ø</x:v>
      </x:c>
      <x:c r="P41" s="20" t="str">
        <x:v>△</x:v>
      </x:c>
      <x:c r="Q41" s="20" t="str">
        <x:v>◎</x:v>
      </x:c>
      <x:c r="R41" s="20" t="str">
        <x:v>※</x:v>
      </x:c>
      <x:c r="S41" s="20"/>
      <x:c r="T41" s="20"/>
      <x:c r="U41" s="20"/>
      <x:c r="V41" s="20"/>
      <x:c r="W41" s="20"/>
    </x:row>
    <x:row r="42">
      <x:c r="A42" s="20"/>
      <x:c r="B42" s="20"/>
      <x:c r="C42" s="20"/>
      <x:c r="D42" s="20"/>
      <x:c r="E42" s="20"/>
      <x:c r="F42" s="25"/>
      <x:c r="G42" s="25" t="str">
        <x:v>健保申報</x:v>
      </x:c>
      <x:c r="H42" s="25"/>
      <x:c r="I42" s="25"/>
      <x:c r="J42" s="20" t="str">
        <x:v>◎</x:v>
      </x:c>
      <x:c r="K42" s="20" t="str">
        <x:v>◎</x:v>
      </x:c>
      <x:c r="L42" s="20" t="str">
        <x:v>◎</x:v>
      </x:c>
      <x:c r="M42" s="20" t="str">
        <x:v>◎</x:v>
      </x:c>
      <x:c r="N42" s="20" t="str">
        <x:v>◎</x:v>
      </x:c>
      <x:c r="O42" s="20" t="str">
        <x:v>Ø</x:v>
      </x:c>
      <x:c r="P42" s="20" t="str">
        <x:v>△</x:v>
      </x:c>
      <x:c r="Q42" s="20" t="str">
        <x:v>Ø</x:v>
      </x:c>
      <x:c r="R42" s="20" t="str">
        <x:v>※</x:v>
      </x:c>
      <x:c r="S42" s="20"/>
      <x:c r="T42" s="20"/>
      <x:c r="U42" s="20"/>
      <x:c r="V42" s="20"/>
      <x:c r="W42" s="20"/>
    </x:row>
    <x:row r="43">
      <x:c r="A43" s="20"/>
      <x:c r="B43" s="20"/>
      <x:c r="C43" s="20"/>
      <x:c r="D43" s="20"/>
      <x:c r="E43" s="20"/>
      <x:c r="F43" s="25"/>
      <x:c r="G43" s="25" t="str">
        <x:v>X光片紀錄</x:v>
      </x:c>
      <x:c r="H43" s="25"/>
      <x:c r="I43" s="25"/>
      <x:c r="J43" s="20" t="str">
        <x:v>◎</x:v>
      </x:c>
      <x:c r="K43" s="20" t="str">
        <x:v>◎</x:v>
      </x:c>
      <x:c r="L43" s="20" t="str">
        <x:v>◎</x:v>
      </x:c>
      <x:c r="M43" s="20" t="str">
        <x:v>◎</x:v>
      </x:c>
      <x:c r="N43" s="20" t="str">
        <x:v>◎</x:v>
      </x:c>
      <x:c r="O43" s="20" t="str">
        <x:v>Ø</x:v>
      </x:c>
      <x:c r="P43" s="20" t="str">
        <x:v>△</x:v>
      </x:c>
      <x:c r="Q43" s="20" t="str">
        <x:v>◎</x:v>
      </x:c>
      <x:c r="R43" s="20" t="str">
        <x:v>※</x:v>
      </x:c>
      <x:c r="S43" s="20"/>
      <x:c r="T43" s="20"/>
      <x:c r="U43" s="20"/>
      <x:c r="V43" s="20"/>
      <x:c r="W43" s="20"/>
    </x:row>
    <x:row r="44">
      <x:c r="A44" s="20"/>
      <x:c r="B44" s="20"/>
      <x:c r="C44" s="20"/>
      <x:c r="D44" s="20"/>
      <x:c r="E44" s="20"/>
      <x:c r="F44" s="25"/>
      <x:c r="G44" s="25" t="str">
        <x:v>拍PA</x:v>
      </x:c>
      <x:c r="H44" s="25"/>
      <x:c r="I44" s="25"/>
      <x:c r="J44" s="20" t="str">
        <x:v>◎</x:v>
      </x:c>
      <x:c r="K44" s="20" t="str">
        <x:v>◎</x:v>
      </x:c>
      <x:c r="L44" s="20" t="str">
        <x:v>◎</x:v>
      </x:c>
      <x:c r="M44" s="20" t="str">
        <x:v>◎</x:v>
      </x:c>
      <x:c r="N44" s="20" t="str">
        <x:v>◎</x:v>
      </x:c>
      <x:c r="O44" s="20" t="str">
        <x:v>Ø</x:v>
      </x:c>
      <x:c r="P44" s="20" t="str">
        <x:v>◎</x:v>
      </x:c>
      <x:c r="Q44" s="20" t="str">
        <x:v>◎</x:v>
      </x:c>
      <x:c r="R44" s="20" t="str">
        <x:v>※</x:v>
      </x:c>
      <x:c r="S44" s="20"/>
      <x:c r="T44" s="20"/>
      <x:c r="U44" s="20"/>
      <x:c r="V44" s="20"/>
      <x:c r="W44" s="20"/>
    </x:row>
    <x:row r="45">
      <x:c r="A45" s="20"/>
      <x:c r="B45" s="20"/>
      <x:c r="C45" s="20"/>
      <x:c r="D45" s="20"/>
      <x:c r="E45" s="20"/>
      <x:c r="F45" s="25"/>
      <x:c r="G45" s="25" t="str">
        <x:v>口掃機運用</x:v>
      </x:c>
      <x:c r="H45" s="25"/>
      <x:c r="I45" s="25"/>
      <x:c r="J45" s="20" t="str">
        <x:v>◎</x:v>
      </x:c>
      <x:c r="K45" s="20" t="str">
        <x:v>◎</x:v>
      </x:c>
      <x:c r="L45" s="20" t="str">
        <x:v>◎</x:v>
      </x:c>
      <x:c r="M45" s="20" t="str">
        <x:v>◎</x:v>
      </x:c>
      <x:c r="N45" s="20" t="str">
        <x:v>◎</x:v>
      </x:c>
      <x:c r="O45" s="20" t="str">
        <x:v>Ø</x:v>
      </x:c>
      <x:c r="P45" s="20" t="str">
        <x:v>◎</x:v>
      </x:c>
      <x:c r="Q45" s="20" t="str">
        <x:v>◎</x:v>
      </x:c>
      <x:c r="R45" s="20" t="str">
        <x:v>※</x:v>
      </x:c>
      <x:c r="S45" s="20"/>
      <x:c r="T45" s="20"/>
      <x:c r="U45" s="20"/>
      <x:c r="V45" s="20"/>
      <x:c r="W45" s="20"/>
    </x:row>
    <x:row r="46">
      <x:c r="A46" s="20"/>
      <x:c r="B46" s="20"/>
      <x:c r="C46" s="20"/>
      <x:c r="D46" s="20"/>
      <x:c r="E46" s="20"/>
      <x:c r="F46" s="25" t="str">
        <x:v>廖立揚
醫師</x:v>
      </x:c>
      <x:c r="G46" s="25" t="str">
        <x:v>器械熟悉度</x:v>
      </x:c>
      <x:c r="H46" s="25"/>
      <x:c r="I46" s="25" t="n">
        <x:v>6</x:v>
      </x:c>
      <x:c r="J46" s="20" t="str">
        <x:v>◎</x:v>
      </x:c>
      <x:c r="K46" s="20" t="str">
        <x:v>◎</x:v>
      </x:c>
      <x:c r="L46" s="20" t="str">
        <x:v>◎</x:v>
      </x:c>
      <x:c r="M46" s="20" t="str">
        <x:v>◎</x:v>
      </x:c>
      <x:c r="N46" s="20" t="str">
        <x:v>◎</x:v>
      </x:c>
      <x:c r="O46" s="20" t="str">
        <x:v>◎</x:v>
      </x:c>
      <x:c r="P46" s="20" t="str">
        <x:v>Ø</x:v>
      </x:c>
      <x:c r="Q46" s="20" t="str">
        <x:v>Ø</x:v>
      </x:c>
      <x:c r="R46" s="20" t="str">
        <x:v>◎</x:v>
      </x:c>
      <x:c r="S46" s="20"/>
      <x:c r="T46" s="20"/>
      <x:c r="U46" s="20"/>
      <x:c r="V46" s="20"/>
      <x:c r="W46" s="20"/>
    </x:row>
    <x:row r="47">
      <x:c r="A47" s="20"/>
      <x:c r="B47" s="20"/>
      <x:c r="C47" s="20"/>
      <x:c r="D47" s="20"/>
      <x:c r="E47" s="20"/>
      <x:c r="F47" s="25"/>
      <x:c r="G47" s="25" t="str">
        <x:v>跟診順暢度</x:v>
      </x:c>
      <x:c r="H47" s="25"/>
      <x:c r="I47" s="25"/>
      <x:c r="J47" s="20" t="str">
        <x:v>◎</x:v>
      </x:c>
      <x:c r="K47" s="20" t="str">
        <x:v>◎</x:v>
      </x:c>
      <x:c r="L47" s="20" t="str">
        <x:v>◎</x:v>
      </x:c>
      <x:c r="M47" s="20" t="str">
        <x:v>◎</x:v>
      </x:c>
      <x:c r="N47" s="20" t="str">
        <x:v>◎</x:v>
      </x:c>
      <x:c r="O47" s="20" t="str">
        <x:v>◎</x:v>
      </x:c>
      <x:c r="P47" s="20" t="str">
        <x:v>Ø</x:v>
      </x:c>
      <x:c r="Q47" s="20" t="str">
        <x:v>◎</x:v>
      </x:c>
      <x:c r="R47" s="20" t="str">
        <x:v>◎</x:v>
      </x:c>
      <x:c r="S47" s="20"/>
      <x:c r="T47" s="20"/>
      <x:c r="U47" s="20"/>
      <x:c r="V47" s="20"/>
      <x:c r="W47" s="20"/>
    </x:row>
    <x:row r="48">
      <x:c r="A48" s="20"/>
      <x:c r="B48" s="20"/>
      <x:c r="C48" s="20"/>
      <x:c r="D48" s="20"/>
      <x:c r="E48" s="20"/>
      <x:c r="F48" s="25"/>
      <x:c r="G48" s="25" t="str">
        <x:v>病歷紀錄</x:v>
      </x:c>
      <x:c r="H48" s="25"/>
      <x:c r="I48" s="25"/>
      <x:c r="J48" s="20" t="str">
        <x:v>◎</x:v>
      </x:c>
      <x:c r="K48" s="20" t="str">
        <x:v>◎</x:v>
      </x:c>
      <x:c r="L48" s="20" t="str">
        <x:v>◎</x:v>
      </x:c>
      <x:c r="M48" s="20" t="str">
        <x:v>◎</x:v>
      </x:c>
      <x:c r="N48" s="20" t="str">
        <x:v>◎</x:v>
      </x:c>
      <x:c r="O48" s="20" t="str">
        <x:v>◎</x:v>
      </x:c>
      <x:c r="P48" s="20" t="str">
        <x:v>Ø</x:v>
      </x:c>
      <x:c r="Q48" s="20" t="str">
        <x:v>◎</x:v>
      </x:c>
      <x:c r="R48" s="20" t="str">
        <x:v>◎</x:v>
      </x:c>
      <x:c r="S48" s="20"/>
      <x:c r="T48" s="20"/>
      <x:c r="U48" s="20"/>
      <x:c r="V48" s="20"/>
      <x:c r="W48" s="20"/>
    </x:row>
    <x:row r="49">
      <x:c r="A49" s="20"/>
      <x:c r="B49" s="20"/>
      <x:c r="C49" s="20"/>
      <x:c r="D49" s="20"/>
      <x:c r="E49" s="20"/>
      <x:c r="F49" s="25"/>
      <x:c r="G49" s="25" t="str">
        <x:v>健保申報(初診pano)</x:v>
      </x:c>
      <x:c r="H49" s="25"/>
      <x:c r="I49" s="25"/>
      <x:c r="J49" s="20" t="str">
        <x:v>◎</x:v>
      </x:c>
      <x:c r="K49" s="20" t="str">
        <x:v>◎</x:v>
      </x:c>
      <x:c r="L49" s="20" t="str">
        <x:v>◎</x:v>
      </x:c>
      <x:c r="M49" s="20" t="str">
        <x:v>◎</x:v>
      </x:c>
      <x:c r="N49" s="20" t="str">
        <x:v>◎</x:v>
      </x:c>
      <x:c r="O49" s="20" t="str">
        <x:v>Ø</x:v>
      </x:c>
      <x:c r="P49" s="20" t="str">
        <x:v>Ø</x:v>
      </x:c>
      <x:c r="Q49" s="20" t="str">
        <x:v>Ø</x:v>
      </x:c>
      <x:c r="R49" s="20" t="str">
        <x:v>Ø</x:v>
      </x:c>
      <x:c r="S49" s="20"/>
      <x:c r="T49" s="20"/>
      <x:c r="U49" s="20"/>
      <x:c r="V49" s="20"/>
      <x:c r="W49" s="20"/>
    </x:row>
    <x:row r="50">
      <x:c r="A50" s="20"/>
      <x:c r="B50" s="20"/>
      <x:c r="C50" s="20"/>
      <x:c r="D50" s="20"/>
      <x:c r="E50" s="20"/>
      <x:c r="F50" s="25"/>
      <x:c r="G50" s="25" t="str">
        <x:v>X光片紀錄</x:v>
      </x:c>
      <x:c r="H50" s="25"/>
      <x:c r="I50" s="25"/>
      <x:c r="J50" s="20" t="str">
        <x:v>◎</x:v>
      </x:c>
      <x:c r="K50" s="20" t="str">
        <x:v>◎</x:v>
      </x:c>
      <x:c r="L50" s="20" t="str">
        <x:v>◎</x:v>
      </x:c>
      <x:c r="M50" s="20" t="str">
        <x:v>◎</x:v>
      </x:c>
      <x:c r="N50" s="20" t="str">
        <x:v>◎</x:v>
      </x:c>
      <x:c r="O50" s="20" t="str">
        <x:v>Ø</x:v>
      </x:c>
      <x:c r="P50" s="20" t="str">
        <x:v>Ø</x:v>
      </x:c>
      <x:c r="Q50" s="20" t="str">
        <x:v>Ø</x:v>
      </x:c>
      <x:c r="R50" s="20" t="str">
        <x:v>◎</x:v>
      </x:c>
      <x:c r="S50" s="20"/>
      <x:c r="T50" s="20"/>
      <x:c r="U50" s="20"/>
      <x:c r="V50" s="20"/>
      <x:c r="W50" s="20"/>
    </x:row>
    <x:row r="51">
      <x:c r="A51" s="20"/>
      <x:c r="B51" s="20"/>
      <x:c r="C51" s="20"/>
      <x:c r="D51" s="20"/>
      <x:c r="E51" s="20"/>
      <x:c r="F51" s="25"/>
      <x:c r="G51" s="25" t="str">
        <x:v>拍PANO、PA</x:v>
      </x:c>
      <x:c r="H51" s="25"/>
      <x:c r="I51" s="25"/>
      <x:c r="J51" s="20" t="str">
        <x:v>◎</x:v>
      </x:c>
      <x:c r="K51" s="20" t="str">
        <x:v>◎</x:v>
      </x:c>
      <x:c r="L51" s="20" t="str">
        <x:v>◎</x:v>
      </x:c>
      <x:c r="M51" s="20" t="str">
        <x:v>◎</x:v>
      </x:c>
      <x:c r="N51" s="20" t="str">
        <x:v>◎</x:v>
      </x:c>
      <x:c r="O51" s="20" t="str">
        <x:v>◎</x:v>
      </x:c>
      <x:c r="P51" s="20" t="str">
        <x:v>◎</x:v>
      </x:c>
      <x:c r="Q51" s="20" t="str">
        <x:v>◎</x:v>
      </x:c>
      <x:c r="R51" s="20" t="str">
        <x:v>◎</x:v>
      </x:c>
      <x:c r="S51" s="20"/>
      <x:c r="T51" s="20"/>
      <x:c r="U51" s="20"/>
      <x:c r="V51" s="20"/>
      <x:c r="W51" s="20"/>
    </x:row>
    <x:row r="52">
      <x:c r="A52" s="20"/>
      <x:c r="B52" s="20"/>
      <x:c r="C52" s="20"/>
      <x:c r="D52" s="20"/>
      <x:c r="E52" s="20"/>
      <x:c r="F52" s="25"/>
      <x:c r="G52" s="25" t="str">
        <x:v>CT照</x:v>
      </x:c>
      <x:c r="H52" s="25"/>
      <x:c r="I52" s="25"/>
      <x:c r="J52" s="20" t="str">
        <x:v>◎</x:v>
      </x:c>
      <x:c r="K52" s="20" t="str">
        <x:v>◎</x:v>
      </x:c>
      <x:c r="L52" s="20" t="str">
        <x:v>◎</x:v>
      </x:c>
      <x:c r="M52" s="20" t="str">
        <x:v>◎</x:v>
      </x:c>
      <x:c r="N52" s="20" t="str">
        <x:v>◎</x:v>
      </x:c>
      <x:c r="O52" s="20" t="str">
        <x:v>◎</x:v>
      </x:c>
      <x:c r="P52" s="20" t="str">
        <x:v>Ø</x:v>
      </x:c>
      <x:c r="Q52" s="20" t="str">
        <x:v>◎</x:v>
      </x:c>
      <x:c r="R52" s="20" t="str">
        <x:v>◎</x:v>
      </x:c>
      <x:c r="S52" s="20"/>
      <x:c r="T52" s="20"/>
      <x:c r="U52" s="20"/>
      <x:c r="V52" s="20"/>
      <x:c r="W52" s="20"/>
    </x:row>
    <x:row r="53">
      <x:c r="A53" s="20"/>
      <x:c r="B53" s="20"/>
      <x:c r="C53" s="20"/>
      <x:c r="D53" s="20"/>
      <x:c r="E53" s="20"/>
      <x:c r="F53" s="25"/>
      <x:c r="G53" s="25" t="str">
        <x:v>側頭顱照</x:v>
      </x:c>
      <x:c r="H53" s="25"/>
      <x:c r="I53" s="25"/>
      <x:c r="J53" s="20" t="str">
        <x:v>◎</x:v>
      </x:c>
      <x:c r="K53" s="20" t="str">
        <x:v>◎</x:v>
      </x:c>
      <x:c r="L53" s="20" t="str">
        <x:v>◎</x:v>
      </x:c>
      <x:c r="M53" s="20" t="str">
        <x:v>◎</x:v>
      </x:c>
      <x:c r="N53" s="20" t="str">
        <x:v>◎</x:v>
      </x:c>
      <x:c r="O53" s="20" t="str">
        <x:v>◎</x:v>
      </x:c>
      <x:c r="P53" s="20" t="str">
        <x:v>Ø</x:v>
      </x:c>
      <x:c r="Q53" s="20" t="str">
        <x:v>Ø</x:v>
      </x:c>
      <x:c r="R53" s="20" t="str">
        <x:v>Ø</x:v>
      </x:c>
      <x:c r="S53" s="20"/>
      <x:c r="T53" s="20"/>
      <x:c r="U53" s="20"/>
      <x:c r="V53" s="20"/>
      <x:c r="W53" s="20"/>
    </x:row>
    <x:row r="54">
      <x:c r="A54" s="20"/>
      <x:c r="B54" s="20"/>
      <x:c r="C54" s="20"/>
      <x:c r="D54" s="20"/>
      <x:c r="E54" s="20"/>
      <x:c r="F54" s="25"/>
      <x:c r="G54" s="25" t="str">
        <x:v>口掃機運用</x:v>
      </x:c>
      <x:c r="H54" s="25"/>
      <x:c r="I54" s="25"/>
      <x:c r="J54" s="20" t="str">
        <x:v>◎</x:v>
      </x:c>
      <x:c r="K54" s="20" t="str">
        <x:v>◎</x:v>
      </x:c>
      <x:c r="L54" s="20" t="str">
        <x:v>◎</x:v>
      </x:c>
      <x:c r="M54" s="20" t="str">
        <x:v>◎</x:v>
      </x:c>
      <x:c r="N54" s="20" t="str">
        <x:v>◎</x:v>
      </x:c>
      <x:c r="O54" s="20" t="str">
        <x:v>Ø</x:v>
      </x:c>
      <x:c r="P54" s="20" t="str">
        <x:v>◎</x:v>
      </x:c>
      <x:c r="Q54" s="20" t="str">
        <x:v>◎</x:v>
      </x:c>
      <x:c r="R54" s="20" t="str">
        <x:v>Ø</x:v>
      </x:c>
      <x:c r="S54" s="20"/>
      <x:c r="T54" s="20"/>
      <x:c r="U54" s="20"/>
      <x:c r="V54" s="20"/>
      <x:c r="W54" s="20"/>
    </x:row>
    <x:row r="55">
      <x:c r="A55" s="20"/>
      <x:c r="B55" s="20"/>
      <x:c r="C55" s="20"/>
      <x:c r="D55" s="20"/>
      <x:c r="E55" s="20"/>
      <x:c r="F55" s="25" t="str">
        <x:v>楊小瑩
醫師</x:v>
      </x:c>
      <x:c r="G55" s="25" t="str">
        <x:v>器
械
準
備</x:v>
      </x:c>
      <x:c r="H55" s="25" t="str">
        <x:v>洗牙</x:v>
      </x:c>
      <x:c r="I55" s="25" t="n">
        <x:v>3</x:v>
      </x:c>
      <x:c r="J55" s="20" t="str">
        <x:v>◎</x:v>
      </x:c>
      <x:c r="K55" s="20" t="str">
        <x:v>◎</x:v>
      </x:c>
      <x:c r="L55" s="20" t="str">
        <x:v>◎</x:v>
      </x:c>
      <x:c r="M55" s="20" t="str">
        <x:v>◎</x:v>
      </x:c>
      <x:c r="N55" s="20" t="str">
        <x:v>◎</x:v>
      </x:c>
      <x:c r="O55" s="20" t="str">
        <x:v>◎</x:v>
      </x:c>
      <x:c r="P55" s="20" t="str">
        <x:v>◎</x:v>
      </x:c>
      <x:c r="Q55" s="20" t="str">
        <x:v>◎</x:v>
      </x:c>
      <x:c r="R55" s="20" t="str">
        <x:v>◎</x:v>
      </x:c>
      <x:c r="S55" s="20"/>
      <x:c r="T55" s="20"/>
      <x:c r="U55" s="20"/>
      <x:c r="V55" s="20"/>
      <x:c r="W55" s="20"/>
    </x:row>
    <x:row r="56">
      <x:c r="A56" s="20"/>
      <x:c r="B56" s="20"/>
      <x:c r="C56" s="20"/>
      <x:c r="D56" s="20"/>
      <x:c r="E56" s="20"/>
      <x:c r="F56" s="25"/>
      <x:c r="G56" s="25"/>
      <x:c r="H56" s="25" t="str">
        <x:v>補牙</x:v>
      </x:c>
      <x:c r="I56" s="25"/>
      <x:c r="J56" s="20" t="str">
        <x:v>◎</x:v>
      </x:c>
      <x:c r="K56" s="20" t="str">
        <x:v>◎</x:v>
      </x:c>
      <x:c r="L56" s="20" t="str">
        <x:v>Ø</x:v>
      </x:c>
      <x:c r="M56" s="20" t="str">
        <x:v>◎</x:v>
      </x:c>
      <x:c r="N56" s="20" t="str">
        <x:v>◎</x:v>
      </x:c>
      <x:c r="O56" s="20" t="str">
        <x:v>◎</x:v>
      </x:c>
      <x:c r="P56" s="20" t="str">
        <x:v>◎</x:v>
      </x:c>
      <x:c r="Q56" s="20" t="str">
        <x:v>◎</x:v>
      </x:c>
      <x:c r="R56" s="20" t="str">
        <x:v>※</x:v>
      </x:c>
      <x:c r="S56" s="20"/>
      <x:c r="T56" s="20"/>
      <x:c r="U56" s="20"/>
      <x:c r="V56" s="20"/>
      <x:c r="W56" s="20"/>
    </x:row>
    <x:row r="57">
      <x:c r="A57" s="20"/>
      <x:c r="B57" s="20"/>
      <x:c r="C57" s="20"/>
      <x:c r="D57" s="20"/>
      <x:c r="E57" s="20"/>
      <x:c r="F57" s="25"/>
      <x:c r="G57" s="25"/>
      <x:c r="H57" s="25" t="str">
        <x:v>根管治療</x:v>
      </x:c>
      <x:c r="I57" s="25"/>
      <x:c r="J57" s="20" t="str">
        <x:v>◎</x:v>
      </x:c>
      <x:c r="K57" s="20" t="str">
        <x:v>◎</x:v>
      </x:c>
      <x:c r="L57" s="20" t="str">
        <x:v>Ø</x:v>
      </x:c>
      <x:c r="M57" s="20" t="str">
        <x:v>◎</x:v>
      </x:c>
      <x:c r="N57" s="20" t="str">
        <x:v>◎</x:v>
      </x:c>
      <x:c r="O57" s="20" t="str">
        <x:v>◎</x:v>
      </x:c>
      <x:c r="P57" s="20" t="str">
        <x:v>◎</x:v>
      </x:c>
      <x:c r="Q57" s="20" t="str">
        <x:v>◎</x:v>
      </x:c>
      <x:c r="R57" s="20" t="str">
        <x:v>※</x:v>
      </x:c>
      <x:c r="S57" s="20"/>
      <x:c r="T57" s="20"/>
      <x:c r="U57" s="20"/>
      <x:c r="V57" s="20"/>
      <x:c r="W57" s="20"/>
    </x:row>
    <x:row r="58">
      <x:c r="A58" s="20"/>
      <x:c r="B58" s="20"/>
      <x:c r="C58" s="20"/>
      <x:c r="D58" s="20"/>
      <x:c r="E58" s="20"/>
      <x:c r="F58" s="25"/>
      <x:c r="G58" s="25"/>
      <x:c r="H58" s="25" t="str">
        <x:v>拔牙</x:v>
      </x:c>
      <x:c r="I58" s="25"/>
      <x:c r="J58" s="20" t="str">
        <x:v>◎</x:v>
      </x:c>
      <x:c r="K58" s="20" t="str">
        <x:v>◎</x:v>
      </x:c>
      <x:c r="L58" s="20" t="str">
        <x:v>◎</x:v>
      </x:c>
      <x:c r="M58" s="20" t="str">
        <x:v>◎</x:v>
      </x:c>
      <x:c r="N58" s="20" t="str">
        <x:v>◎</x:v>
      </x:c>
      <x:c r="O58" s="20" t="str">
        <x:v>Ø</x:v>
      </x:c>
      <x:c r="P58" s="20" t="str">
        <x:v>Ø</x:v>
      </x:c>
      <x:c r="Q58" s="20" t="str">
        <x:v>Ø</x:v>
      </x:c>
      <x:c r="R58" s="20" t="str">
        <x:v>※</x:v>
      </x:c>
      <x:c r="S58" s="20"/>
      <x:c r="T58" s="20"/>
      <x:c r="U58" s="20"/>
      <x:c r="V58" s="20"/>
      <x:c r="W58" s="20"/>
    </x:row>
    <x:row r="59">
      <x:c r="A59" s="20"/>
      <x:c r="B59" s="20"/>
      <x:c r="C59" s="20"/>
      <x:c r="D59" s="20"/>
      <x:c r="E59" s="20"/>
      <x:c r="F59" s="25"/>
      <x:c r="G59" s="25"/>
      <x:c r="H59" s="25" t="str">
        <x:v>拆 crown/post</x:v>
      </x:c>
      <x:c r="I59" s="25"/>
      <x:c r="J59" s="20" t="str">
        <x:v>◎</x:v>
      </x:c>
      <x:c r="K59" s="20" t="str">
        <x:v>◎</x:v>
      </x:c>
      <x:c r="L59" s="20" t="str">
        <x:v>Ø</x:v>
      </x:c>
      <x:c r="M59" s="20" t="str">
        <x:v>Ø</x:v>
      </x:c>
      <x:c r="N59" s="20" t="str">
        <x:v>Ø</x:v>
      </x:c>
      <x:c r="O59" s="20" t="str">
        <x:v>Ø</x:v>
      </x:c>
      <x:c r="P59" s="20" t="str">
        <x:v>Ø</x:v>
      </x:c>
      <x:c r="Q59" s="20" t="str">
        <x:v>Ø</x:v>
      </x:c>
      <x:c r="R59" s="20" t="str">
        <x:v>※</x:v>
      </x:c>
      <x:c r="S59" s="20"/>
      <x:c r="T59" s="20"/>
      <x:c r="U59" s="20"/>
      <x:c r="V59" s="20"/>
      <x:c r="W59" s="20"/>
    </x:row>
    <x:row r="60">
      <x:c r="A60" s="20"/>
      <x:c r="B60" s="20"/>
      <x:c r="C60" s="20"/>
      <x:c r="D60" s="20"/>
      <x:c r="E60" s="20"/>
      <x:c r="F60" s="25"/>
      <x:c r="G60" s="25" t="str">
        <x:v>自費</x:v>
      </x:c>
      <x:c r="H60" s="25" t="str">
        <x:v>固定假牙</x:v>
      </x:c>
      <x:c r="I60" s="25"/>
      <x:c r="J60" s="20" t="str">
        <x:v>◎</x:v>
      </x:c>
      <x:c r="K60" s="20" t="str">
        <x:v>◎</x:v>
      </x:c>
      <x:c r="L60" s="20" t="str">
        <x:v>Ø</x:v>
      </x:c>
      <x:c r="M60" s="20" t="str">
        <x:v>Ø</x:v>
      </x:c>
      <x:c r="N60" s="20" t="str">
        <x:v>◎</x:v>
      </x:c>
      <x:c r="O60" s="20" t="str">
        <x:v>◎</x:v>
      </x:c>
      <x:c r="P60" s="20" t="str">
        <x:v>Ø</x:v>
      </x:c>
      <x:c r="Q60" s="20" t="str">
        <x:v>Ø</x:v>
      </x:c>
      <x:c r="R60" s="20" t="str">
        <x:v>※</x:v>
      </x:c>
      <x:c r="S60" s="20"/>
      <x:c r="T60" s="20"/>
      <x:c r="U60" s="20"/>
      <x:c r="V60" s="20"/>
      <x:c r="W60" s="20"/>
    </x:row>
    <x:row r="61">
      <x:c r="A61" s="20"/>
      <x:c r="B61" s="20"/>
      <x:c r="C61" s="20"/>
      <x:c r="D61" s="20"/>
      <x:c r="E61" s="20"/>
      <x:c r="F61" s="25"/>
      <x:c r="G61" s="25"/>
      <x:c r="H61" s="25" t="str">
        <x:v>RPD</x:v>
      </x:c>
      <x:c r="I61" s="25"/>
      <x:c r="J61" s="20" t="str">
        <x:v>※</x:v>
      </x:c>
      <x:c r="K61" s="20" t="str">
        <x:v>※</x:v>
      </x:c>
      <x:c r="L61" s="20" t="str">
        <x:v>※</x:v>
      </x:c>
      <x:c r="M61" s="20" t="str">
        <x:v>※</x:v>
      </x:c>
      <x:c r="N61" s="20" t="str">
        <x:v>※</x:v>
      </x:c>
      <x:c r="O61" s="20" t="str">
        <x:v>※</x:v>
      </x:c>
      <x:c r="P61" s="20" t="str">
        <x:v>※</x:v>
      </x:c>
      <x:c r="Q61" s="20" t="str">
        <x:v>※</x:v>
      </x:c>
      <x:c r="R61" s="20" t="str">
        <x:v>※</x:v>
      </x:c>
      <x:c r="S61" s="20"/>
      <x:c r="T61" s="20"/>
      <x:c r="U61" s="20"/>
      <x:c r="V61" s="20"/>
      <x:c r="W61" s="20"/>
    </x:row>
    <x:row r="62">
      <x:c r="A62" s="20"/>
      <x:c r="B62" s="20"/>
      <x:c r="C62" s="20"/>
      <x:c r="D62" s="20"/>
      <x:c r="E62" s="20"/>
      <x:c r="F62" s="25"/>
      <x:c r="G62" s="25"/>
      <x:c r="H62" s="25" t="str">
        <x:v>噴砂美白</x:v>
      </x:c>
      <x:c r="I62" s="25"/>
      <x:c r="J62" s="20" t="str">
        <x:v>◎</x:v>
      </x:c>
      <x:c r="K62" s="20" t="str">
        <x:v>◎</x:v>
      </x:c>
      <x:c r="L62" s="20" t="str">
        <x:v>◎</x:v>
      </x:c>
      <x:c r="M62" s="20" t="str">
        <x:v>※</x:v>
      </x:c>
      <x:c r="N62" s="20" t="str">
        <x:v>※</x:v>
      </x:c>
      <x:c r="O62" s="20" t="str">
        <x:v>※</x:v>
      </x:c>
      <x:c r="P62" s="20" t="str">
        <x:v>※</x:v>
      </x:c>
      <x:c r="Q62" s="20" t="str">
        <x:v>※</x:v>
      </x:c>
      <x:c r="R62" s="20" t="str">
        <x:v>※</x:v>
      </x:c>
      <x:c r="S62" s="20"/>
      <x:c r="T62" s="20"/>
      <x:c r="U62" s="20"/>
      <x:c r="V62" s="20"/>
      <x:c r="W62" s="20"/>
    </x:row>
    <x:row r="63">
      <x:c r="A63" s="20"/>
      <x:c r="B63" s="20"/>
      <x:c r="C63" s="20"/>
      <x:c r="D63" s="20"/>
      <x:c r="E63" s="20"/>
      <x:c r="F63" s="25"/>
      <x:c r="G63" s="25" t="str">
        <x:v>跟診順暢度</x:v>
      </x:c>
      <x:c r="H63" s="25"/>
      <x:c r="I63" s="25"/>
      <x:c r="J63" s="20" t="str">
        <x:v>◎</x:v>
      </x:c>
      <x:c r="K63" s="20" t="str">
        <x:v>◎</x:v>
      </x:c>
      <x:c r="L63" s="20" t="str">
        <x:v>Ø</x:v>
      </x:c>
      <x:c r="M63" s="20" t="str">
        <x:v>◎</x:v>
      </x:c>
      <x:c r="N63" s="20" t="str">
        <x:v>◎</x:v>
      </x:c>
      <x:c r="O63" s="20" t="str">
        <x:v>◎</x:v>
      </x:c>
      <x:c r="P63" s="20" t="str">
        <x:v>◎</x:v>
      </x:c>
      <x:c r="Q63" s="20" t="str">
        <x:v>◎</x:v>
      </x:c>
      <x:c r="R63" s="20" t="str">
        <x:v>※</x:v>
      </x:c>
      <x:c r="S63" s="20"/>
      <x:c r="T63" s="20"/>
      <x:c r="U63" s="20"/>
      <x:c r="V63" s="20"/>
      <x:c r="W63" s="20"/>
    </x:row>
    <x:row r="64">
      <x:c r="A64" s="20"/>
      <x:c r="B64" s="20"/>
      <x:c r="C64" s="20"/>
      <x:c r="D64" s="20"/>
      <x:c r="E64" s="20"/>
      <x:c r="F64" s="25"/>
      <x:c r="G64" s="25" t="str">
        <x:v>病歷紀錄</x:v>
      </x:c>
      <x:c r="H64" s="25"/>
      <x:c r="I64" s="25"/>
      <x:c r="J64" s="20" t="str">
        <x:v>◎</x:v>
      </x:c>
      <x:c r="K64" s="20" t="str">
        <x:v>◎</x:v>
      </x:c>
      <x:c r="L64" s="20" t="str">
        <x:v>◎</x:v>
      </x:c>
      <x:c r="M64" s="20" t="str">
        <x:v>◎</x:v>
      </x:c>
      <x:c r="N64" s="20" t="str">
        <x:v>◎</x:v>
      </x:c>
      <x:c r="O64" s="20" t="str">
        <x:v>◎</x:v>
      </x:c>
      <x:c r="P64" s="20" t="str">
        <x:v>Ø</x:v>
      </x:c>
      <x:c r="Q64" s="20" t="str">
        <x:v>Ø</x:v>
      </x:c>
      <x:c r="R64" s="20" t="str">
        <x:v>※</x:v>
      </x:c>
      <x:c r="S64" s="20"/>
      <x:c r="T64" s="20"/>
      <x:c r="U64" s="20"/>
      <x:c r="V64" s="20"/>
      <x:c r="W64" s="20"/>
    </x:row>
    <x:row r="65">
      <x:c r="A65" s="20"/>
      <x:c r="B65" s="20"/>
      <x:c r="C65" s="20"/>
      <x:c r="D65" s="20"/>
      <x:c r="E65" s="20"/>
      <x:c r="F65" s="25"/>
      <x:c r="G65" s="25" t="str">
        <x:v>健保申報</x:v>
      </x:c>
      <x:c r="H65" s="25"/>
      <x:c r="I65" s="25"/>
      <x:c r="J65" s="20" t="str">
        <x:v>◎</x:v>
      </x:c>
      <x:c r="K65" s="20" t="str">
        <x:v>◎</x:v>
      </x:c>
      <x:c r="L65" s="20" t="str">
        <x:v>◎</x:v>
      </x:c>
      <x:c r="M65" s="20" t="str">
        <x:v>◎</x:v>
      </x:c>
      <x:c r="N65" s="20" t="str">
        <x:v>◎</x:v>
      </x:c>
      <x:c r="O65" s="20" t="str">
        <x:v>◎</x:v>
      </x:c>
      <x:c r="P65" s="20" t="str">
        <x:v>Ø</x:v>
      </x:c>
      <x:c r="Q65" s="20" t="str">
        <x:v>Ø</x:v>
      </x:c>
      <x:c r="R65" s="20" t="str">
        <x:v>※</x:v>
      </x:c>
      <x:c r="S65" s="20"/>
      <x:c r="T65" s="20"/>
      <x:c r="U65" s="20"/>
      <x:c r="V65" s="20"/>
      <x:c r="W65" s="20"/>
    </x:row>
    <x:row r="66">
      <x:c r="A66" s="20"/>
      <x:c r="B66" s="20"/>
      <x:c r="C66" s="20"/>
      <x:c r="D66" s="20"/>
      <x:c r="E66" s="20"/>
      <x:c r="F66" s="25"/>
      <x:c r="G66" s="25" t="str">
        <x:v>X光片紀錄</x:v>
      </x:c>
      <x:c r="H66" s="25"/>
      <x:c r="I66" s="25"/>
      <x:c r="J66" s="20" t="str">
        <x:v>◎</x:v>
      </x:c>
      <x:c r="K66" s="20" t="str">
        <x:v>◎</x:v>
      </x:c>
      <x:c r="L66" s="20" t="str">
        <x:v>◎</x:v>
      </x:c>
      <x:c r="M66" s="20" t="str">
        <x:v>◎</x:v>
      </x:c>
      <x:c r="N66" s="20" t="str">
        <x:v>◎</x:v>
      </x:c>
      <x:c r="O66" s="20" t="str">
        <x:v>◎</x:v>
      </x:c>
      <x:c r="P66" s="20" t="str">
        <x:v>Ø</x:v>
      </x:c>
      <x:c r="Q66" s="20" t="str">
        <x:v>Ø</x:v>
      </x:c>
      <x:c r="R66" s="20" t="str">
        <x:v>※</x:v>
      </x:c>
      <x:c r="S66" s="20"/>
      <x:c r="T66" s="20"/>
      <x:c r="U66" s="20"/>
      <x:c r="V66" s="20"/>
      <x:c r="W66" s="20"/>
    </x:row>
    <x:row r="67">
      <x:c r="A67" s="20"/>
      <x:c r="B67" s="20"/>
      <x:c r="C67" s="20"/>
      <x:c r="D67" s="20"/>
      <x:c r="E67" s="20"/>
      <x:c r="F67" s="25"/>
      <x:c r="G67" s="25" t="str">
        <x:v>拍PA</x:v>
      </x:c>
      <x:c r="H67" s="25"/>
      <x:c r="I67" s="25"/>
      <x:c r="J67" s="20" t="str">
        <x:v>◎</x:v>
      </x:c>
      <x:c r="K67" s="20" t="str">
        <x:v>◎</x:v>
      </x:c>
      <x:c r="L67" s="20" t="str">
        <x:v>◎</x:v>
      </x:c>
      <x:c r="M67" s="20" t="str">
        <x:v>◎</x:v>
      </x:c>
      <x:c r="N67" s="20" t="str">
        <x:v>◎</x:v>
      </x:c>
      <x:c r="O67" s="20" t="str">
        <x:v>◎</x:v>
      </x:c>
      <x:c r="P67" s="20" t="str">
        <x:v>◎</x:v>
      </x:c>
      <x:c r="Q67" s="20" t="str">
        <x:v>◎</x:v>
      </x:c>
      <x:c r="R67" s="20" t="str">
        <x:v>※</x:v>
      </x:c>
      <x:c r="S67" s="20"/>
      <x:c r="T67" s="20"/>
      <x:c r="U67" s="20"/>
      <x:c r="V67" s="20"/>
      <x:c r="W67" s="20"/>
    </x:row>
    <x:row r="68">
      <x:c r="A68" s="20"/>
      <x:c r="B68" s="20"/>
      <x:c r="C68" s="20"/>
      <x:c r="D68" s="20"/>
      <x:c r="E68" s="20"/>
      <x:c r="F68" s="25" t="str">
        <x:v>王俊偉
醫師</x:v>
      </x:c>
      <x:c r="G68" s="25" t="str">
        <x:v>器械熟悉度</x:v>
      </x:c>
      <x:c r="H68" s="25"/>
      <x:c r="I68" s="25" t="n">
        <x:v>6</x:v>
      </x:c>
      <x:c r="J68" s="20" t="str">
        <x:v>◎</x:v>
      </x:c>
      <x:c r="K68" s="20" t="str">
        <x:v>◎</x:v>
      </x:c>
      <x:c r="L68" s="20" t="str">
        <x:v>◎</x:v>
      </x:c>
      <x:c r="M68" s="20" t="str">
        <x:v>◎</x:v>
      </x:c>
      <x:c r="N68" s="20" t="str">
        <x:v>◎</x:v>
      </x:c>
      <x:c r="O68" s="20" t="str">
        <x:v>◎</x:v>
      </x:c>
      <x:c r="P68" s="20" t="str">
        <x:v>Ø</x:v>
      </x:c>
      <x:c r="Q68" s="20" t="str">
        <x:v>◎</x:v>
      </x:c>
      <x:c r="R68" s="20"/>
      <x:c r="S68" s="20"/>
      <x:c r="T68" s="20"/>
      <x:c r="U68" s="20"/>
      <x:c r="V68" s="20"/>
      <x:c r="W68" s="20"/>
    </x:row>
    <x:row r="69">
      <x:c r="A69" s="20"/>
      <x:c r="B69" s="20"/>
      <x:c r="C69" s="20"/>
      <x:c r="D69" s="20"/>
      <x:c r="E69" s="20"/>
      <x:c r="F69" s="25"/>
      <x:c r="G69" s="25" t="str">
        <x:v>跟診順暢度</x:v>
      </x:c>
      <x:c r="H69" s="25"/>
      <x:c r="I69" s="25"/>
      <x:c r="J69" s="20" t="str">
        <x:v>◎</x:v>
      </x:c>
      <x:c r="K69" s="20" t="str">
        <x:v>◎</x:v>
      </x:c>
      <x:c r="L69" s="20" t="str">
        <x:v>◎</x:v>
      </x:c>
      <x:c r="M69" s="20" t="str">
        <x:v>◎</x:v>
      </x:c>
      <x:c r="N69" s="20" t="str">
        <x:v>◎</x:v>
      </x:c>
      <x:c r="O69" s="20" t="str">
        <x:v>◎</x:v>
      </x:c>
      <x:c r="P69" s="20" t="str">
        <x:v>Ø</x:v>
      </x:c>
      <x:c r="Q69" s="20" t="str">
        <x:v>◎</x:v>
      </x:c>
      <x:c r="R69" s="20"/>
      <x:c r="S69" s="20"/>
      <x:c r="T69" s="20"/>
      <x:c r="U69" s="20"/>
      <x:c r="V69" s="20"/>
      <x:c r="W69" s="20"/>
    </x:row>
    <x:row r="70">
      <x:c r="A70" s="20"/>
      <x:c r="B70" s="20"/>
      <x:c r="C70" s="20"/>
      <x:c r="D70" s="20"/>
      <x:c r="E70" s="20"/>
      <x:c r="F70" s="25"/>
      <x:c r="G70" s="25" t="str">
        <x:v>病歷紀錄</x:v>
      </x:c>
      <x:c r="H70" s="25"/>
      <x:c r="I70" s="25"/>
      <x:c r="J70" s="20" t="str">
        <x:v>◎</x:v>
      </x:c>
      <x:c r="K70" s="20" t="str">
        <x:v>◎</x:v>
      </x:c>
      <x:c r="L70" s="20" t="str">
        <x:v>◎</x:v>
      </x:c>
      <x:c r="M70" s="20" t="str">
        <x:v>◎</x:v>
      </x:c>
      <x:c r="N70" s="20" t="str">
        <x:v>◎</x:v>
      </x:c>
      <x:c r="O70" s="20" t="str">
        <x:v>◎</x:v>
      </x:c>
      <x:c r="P70" s="20" t="str">
        <x:v>Ø</x:v>
      </x:c>
      <x:c r="Q70" s="20" t="str">
        <x:v>◎</x:v>
      </x:c>
      <x:c r="R70" s="20"/>
      <x:c r="S70" s="20"/>
      <x:c r="T70" s="20"/>
      <x:c r="U70" s="20"/>
      <x:c r="V70" s="20"/>
      <x:c r="W70" s="20"/>
    </x:row>
    <x:row r="71">
      <x:c r="A71" s="20"/>
      <x:c r="B71" s="20"/>
      <x:c r="C71" s="20"/>
      <x:c r="D71" s="20"/>
      <x:c r="E71" s="20"/>
      <x:c r="F71" s="25"/>
      <x:c r="G71" s="25" t="str">
        <x:v>健保申報</x:v>
      </x:c>
      <x:c r="H71" s="25"/>
      <x:c r="I71" s="25"/>
      <x:c r="J71" s="20" t="str">
        <x:v>◎</x:v>
      </x:c>
      <x:c r="K71" s="20" t="str">
        <x:v>◎</x:v>
      </x:c>
      <x:c r="L71" s="20" t="str">
        <x:v>◎</x:v>
      </x:c>
      <x:c r="M71" s="20" t="str">
        <x:v>◎</x:v>
      </x:c>
      <x:c r="N71" s="20" t="str">
        <x:v>◎</x:v>
      </x:c>
      <x:c r="O71" s="20" t="str">
        <x:v>◎</x:v>
      </x:c>
      <x:c r="P71" s="20" t="str">
        <x:v>Ø</x:v>
      </x:c>
      <x:c r="Q71" s="20" t="str">
        <x:v>◎</x:v>
      </x:c>
      <x:c r="R71" s="20"/>
      <x:c r="S71" s="20"/>
      <x:c r="T71" s="20"/>
      <x:c r="U71" s="20"/>
      <x:c r="V71" s="20"/>
      <x:c r="W71" s="20"/>
    </x:row>
    <x:row r="72">
      <x:c r="A72" s="20"/>
      <x:c r="B72" s="20"/>
      <x:c r="C72" s="20"/>
      <x:c r="D72" s="20"/>
      <x:c r="E72" s="20"/>
      <x:c r="F72" s="25"/>
      <x:c r="G72" s="25" t="str">
        <x:v>X光片紀錄</x:v>
      </x:c>
      <x:c r="H72" s="25"/>
      <x:c r="I72" s="25"/>
      <x:c r="J72" s="20" t="str">
        <x:v>◎</x:v>
      </x:c>
      <x:c r="K72" s="20" t="str">
        <x:v>◎</x:v>
      </x:c>
      <x:c r="L72" s="20" t="str">
        <x:v>◎</x:v>
      </x:c>
      <x:c r="M72" s="20" t="str">
        <x:v>◎</x:v>
      </x:c>
      <x:c r="N72" s="20" t="str">
        <x:v>◎</x:v>
      </x:c>
      <x:c r="O72" s="20" t="str">
        <x:v>◎</x:v>
      </x:c>
      <x:c r="P72" s="20" t="str">
        <x:v>Ø</x:v>
      </x:c>
      <x:c r="Q72" s="20" t="str">
        <x:v>◎</x:v>
      </x:c>
      <x:c r="R72" s="20"/>
      <x:c r="S72" s="20"/>
      <x:c r="T72" s="20"/>
      <x:c r="U72" s="20"/>
      <x:c r="V72" s="20"/>
      <x:c r="W72" s="20"/>
    </x:row>
    <x:row r="73">
      <x:c r="A73" s="20"/>
      <x:c r="B73" s="20"/>
      <x:c r="C73" s="20"/>
      <x:c r="D73" s="20"/>
      <x:c r="E73" s="20"/>
      <x:c r="F73" s="25"/>
      <x:c r="G73" s="25" t="str">
        <x:v>拍PANO、PA</x:v>
      </x:c>
      <x:c r="H73" s="25"/>
      <x:c r="I73" s="25"/>
      <x:c r="J73" s="20" t="str">
        <x:v>◎</x:v>
      </x:c>
      <x:c r="K73" s="20" t="str">
        <x:v>◎</x:v>
      </x:c>
      <x:c r="L73" s="20" t="str">
        <x:v>◎</x:v>
      </x:c>
      <x:c r="M73" s="20" t="str">
        <x:v>◎</x:v>
      </x:c>
      <x:c r="N73" s="20" t="str">
        <x:v>◎</x:v>
      </x:c>
      <x:c r="O73" s="20" t="str">
        <x:v>◎</x:v>
      </x:c>
      <x:c r="P73" s="20" t="str">
        <x:v>◎</x:v>
      </x:c>
      <x:c r="Q73" s="20" t="str">
        <x:v>◎</x:v>
      </x:c>
      <x:c r="R73" s="20"/>
      <x:c r="S73" s="20"/>
      <x:c r="T73" s="20"/>
      <x:c r="U73" s="20"/>
      <x:c r="V73" s="20"/>
      <x:c r="W73" s="20"/>
    </x:row>
    <x:row r="74">
      <x:c r="A74" s="20"/>
      <x:c r="B74" s="20"/>
      <x:c r="C74" s="20"/>
      <x:c r="D74" s="20"/>
      <x:c r="E74" s="20"/>
      <x:c r="F74" s="25"/>
      <x:c r="G74" s="25" t="str">
        <x:v>CT照</x:v>
      </x:c>
      <x:c r="H74" s="25"/>
      <x:c r="I74" s="25"/>
      <x:c r="J74" s="20" t="str">
        <x:v>◎</x:v>
      </x:c>
      <x:c r="K74" s="20" t="str">
        <x:v>◎</x:v>
      </x:c>
      <x:c r="L74" s="20" t="str">
        <x:v>◎</x:v>
      </x:c>
      <x:c r="M74" s="20" t="str">
        <x:v>◎</x:v>
      </x:c>
      <x:c r="N74" s="20" t="str">
        <x:v>◎</x:v>
      </x:c>
      <x:c r="O74" s="20" t="str">
        <x:v>◎</x:v>
      </x:c>
      <x:c r="P74" s="20" t="str">
        <x:v>◎</x:v>
      </x:c>
      <x:c r="Q74" s="20" t="str">
        <x:v>◎</x:v>
      </x:c>
      <x:c r="R74" s="20"/>
      <x:c r="S74" s="20"/>
      <x:c r="T74" s="20"/>
      <x:c r="U74" s="20"/>
      <x:c r="V74" s="20"/>
      <x:c r="W74" s="20"/>
    </x:row>
    <x:row r="75">
      <x:c r="A75" s="20"/>
      <x:c r="B75" s="20"/>
      <x:c r="C75" s="20"/>
      <x:c r="D75" s="20"/>
      <x:c r="E75" s="20"/>
      <x:c r="F75" s="25"/>
      <x:c r="G75" s="25" t="str">
        <x:v>側頭顱照</x:v>
      </x:c>
      <x:c r="H75" s="25"/>
      <x:c r="I75" s="25"/>
      <x:c r="J75" s="20" t="str">
        <x:v>◎</x:v>
      </x:c>
      <x:c r="K75" s="20" t="str">
        <x:v>◎</x:v>
      </x:c>
      <x:c r="L75" s="20" t="str">
        <x:v>◎</x:v>
      </x:c>
      <x:c r="M75" s="20" t="str">
        <x:v>◎</x:v>
      </x:c>
      <x:c r="N75" s="20" t="str">
        <x:v>◎</x:v>
      </x:c>
      <x:c r="O75" s="20" t="str">
        <x:v>◎</x:v>
      </x:c>
      <x:c r="P75" s="20" t="str">
        <x:v>Ø</x:v>
      </x:c>
      <x:c r="Q75" s="20" t="str">
        <x:v>Ø</x:v>
      </x:c>
      <x:c r="R75" s="20"/>
      <x:c r="S75" s="20"/>
      <x:c r="T75" s="20"/>
      <x:c r="U75" s="20"/>
      <x:c r="V75" s="20"/>
      <x:c r="W75" s="20"/>
    </x:row>
    <x:row r="76">
      <x:c r="A76" s="20"/>
      <x:c r="B76" s="20"/>
      <x:c r="C76" s="20"/>
      <x:c r="D76" s="20"/>
      <x:c r="E76" s="20"/>
      <x:c r="F76" s="25"/>
      <x:c r="G76" s="25" t="str">
        <x:v>口掃機運用</x:v>
      </x:c>
      <x:c r="H76" s="25"/>
      <x:c r="I76" s="25"/>
      <x:c r="J76" s="20" t="str">
        <x:v>◎</x:v>
      </x:c>
      <x:c r="K76" s="20" t="str">
        <x:v>◎</x:v>
      </x:c>
      <x:c r="L76" s="20" t="str">
        <x:v>◎</x:v>
      </x:c>
      <x:c r="M76" s="20" t="str">
        <x:v>◎</x:v>
      </x:c>
      <x:c r="N76" s="20" t="str">
        <x:v>◎</x:v>
      </x:c>
      <x:c r="O76" s="20" t="str">
        <x:v>Ø</x:v>
      </x:c>
      <x:c r="P76" s="20" t="str">
        <x:v>◎</x:v>
      </x:c>
      <x:c r="Q76" s="20" t="str">
        <x:v>◎</x:v>
      </x:c>
      <x:c r="R76" s="20"/>
      <x:c r="S76" s="20"/>
      <x:c r="T76" s="20"/>
      <x:c r="U76" s="20"/>
      <x:c r="V76" s="20"/>
      <x:c r="W76" s="20"/>
    </x:row>
    <x:row r="77">
      <x:c r="A77" s="20"/>
      <x:c r="B77" s="20"/>
      <x:c r="C77" s="20"/>
      <x:c r="D77" s="20"/>
      <x:c r="E77" s="20"/>
      <x:c r="F77" s="25" t="str">
        <x:v>許馨文
醫師</x:v>
      </x:c>
      <x:c r="G77" s="25" t="str">
        <x:v>器械熟悉度</x:v>
      </x:c>
      <x:c r="H77" s="25"/>
      <x:c r="I77" s="25" t="n">
        <x:v>9</x:v>
      </x:c>
      <x:c r="J77" s="20" t="str">
        <x:v>◎</x:v>
      </x:c>
      <x:c r="K77" s="20" t="str">
        <x:v>◎</x:v>
      </x:c>
      <x:c r="L77" s="20" t="str">
        <x:v>◎</x:v>
      </x:c>
      <x:c r="M77" s="20" t="str">
        <x:v>◎</x:v>
      </x:c>
      <x:c r="N77" s="20" t="str">
        <x:v>◎</x:v>
      </x:c>
      <x:c r="O77" s="20" t="str">
        <x:v>◎</x:v>
      </x:c>
      <x:c r="P77" s="20" t="str">
        <x:v>◎</x:v>
      </x:c>
      <x:c r="Q77" s="20" t="str">
        <x:v>◎</x:v>
      </x:c>
      <x:c r="R77" s="20" t="str">
        <x:v>◎</x:v>
      </x:c>
      <x:c r="S77" s="20" t="str">
        <x:v>Ø</x:v>
      </x:c>
      <x:c r="T77" s="20" t="str">
        <x:v>△</x:v>
      </x:c>
      <x:c r="U77" s="20"/>
      <x:c r="V77" s="20"/>
      <x:c r="W77" s="20"/>
    </x:row>
    <x:row r="78">
      <x:c r="A78" s="20"/>
      <x:c r="B78" s="20"/>
      <x:c r="C78" s="20"/>
      <x:c r="D78" s="20"/>
      <x:c r="E78" s="20"/>
      <x:c r="F78" s="25"/>
      <x:c r="G78" s="25" t="str">
        <x:v>吸口水技巧</x:v>
      </x:c>
      <x:c r="H78" s="25"/>
      <x:c r="I78" s="25"/>
      <x:c r="J78" s="20" t="str">
        <x:v>◎</x:v>
      </x:c>
      <x:c r="K78" s="20" t="str">
        <x:v>◎</x:v>
      </x:c>
      <x:c r="L78" s="20" t="str">
        <x:v>◎</x:v>
      </x:c>
      <x:c r="M78" s="20" t="str">
        <x:v>◎</x:v>
      </x:c>
      <x:c r="N78" s="20" t="str">
        <x:v>◎</x:v>
      </x:c>
      <x:c r="O78" s="20" t="str">
        <x:v>◎</x:v>
      </x:c>
      <x:c r="P78" s="20" t="str">
        <x:v>◎</x:v>
      </x:c>
      <x:c r="Q78" s="20" t="str">
        <x:v>◎</x:v>
      </x:c>
      <x:c r="R78" s="20" t="str">
        <x:v>◎</x:v>
      </x:c>
      <x:c r="S78" s="20" t="str">
        <x:v>Ø</x:v>
      </x:c>
      <x:c r="T78" s="20" t="str">
        <x:v>△</x:v>
      </x:c>
      <x:c r="U78" s="20"/>
      <x:c r="V78" s="20"/>
      <x:c r="W78" s="20"/>
    </x:row>
    <x:row r="79">
      <x:c r="A79" s="20"/>
      <x:c r="B79" s="20"/>
      <x:c r="C79" s="20"/>
      <x:c r="D79" s="20"/>
      <x:c r="E79" s="20"/>
      <x:c r="F79" s="25"/>
      <x:c r="G79" s="25" t="str">
        <x:v>病歷紀錄</x:v>
      </x:c>
      <x:c r="H79" s="25"/>
      <x:c r="I79" s="25"/>
      <x:c r="J79" s="20" t="str">
        <x:v>◎</x:v>
      </x:c>
      <x:c r="K79" s="20" t="str">
        <x:v>◎</x:v>
      </x:c>
      <x:c r="L79" s="20" t="str">
        <x:v>◎</x:v>
      </x:c>
      <x:c r="M79" s="20" t="str">
        <x:v>◎</x:v>
      </x:c>
      <x:c r="N79" s="20" t="str">
        <x:v>◎</x:v>
      </x:c>
      <x:c r="O79" s="20" t="str">
        <x:v>◎</x:v>
      </x:c>
      <x:c r="P79" s="20" t="str">
        <x:v>◎</x:v>
      </x:c>
      <x:c r="Q79" s="20" t="str">
        <x:v>◎</x:v>
      </x:c>
      <x:c r="R79" s="20" t="str">
        <x:v>◎</x:v>
      </x:c>
      <x:c r="S79" s="20" t="str">
        <x:v>Ø</x:v>
      </x:c>
      <x:c r="T79" s="20" t="str">
        <x:v>△</x:v>
      </x:c>
      <x:c r="U79" s="20"/>
      <x:c r="V79" s="20"/>
      <x:c r="W79" s="20"/>
    </x:row>
    <x:row r="80">
      <x:c r="A80" s="20"/>
      <x:c r="B80" s="20"/>
      <x:c r="C80" s="20"/>
      <x:c r="D80" s="20"/>
      <x:c r="E80" s="20"/>
      <x:c r="F80" s="25"/>
      <x:c r="G80" s="25" t="str">
        <x:v>健保申報</x:v>
      </x:c>
      <x:c r="H80" s="25"/>
      <x:c r="I80" s="25"/>
      <x:c r="J80" s="20" t="str">
        <x:v>◎</x:v>
      </x:c>
      <x:c r="K80" s="20" t="str">
        <x:v>◎</x:v>
      </x:c>
      <x:c r="L80" s="20" t="str">
        <x:v>◎</x:v>
      </x:c>
      <x:c r="M80" s="20" t="str">
        <x:v>◎</x:v>
      </x:c>
      <x:c r="N80" s="20" t="str">
        <x:v>◎</x:v>
      </x:c>
      <x:c r="O80" s="20" t="str">
        <x:v>◎</x:v>
      </x:c>
      <x:c r="P80" s="20" t="str">
        <x:v>◎</x:v>
      </x:c>
      <x:c r="Q80" s="20" t="str">
        <x:v>◎</x:v>
      </x:c>
      <x:c r="R80" s="20" t="str">
        <x:v>◎</x:v>
      </x:c>
      <x:c r="S80" s="20" t="str">
        <x:v>Ø</x:v>
      </x:c>
      <x:c r="T80" s="20" t="str">
        <x:v>△</x:v>
      </x:c>
      <x:c r="U80" s="20"/>
      <x:c r="V80" s="20"/>
      <x:c r="W80" s="20"/>
    </x:row>
    <x:row r="81">
      <x:c r="A81" s="20"/>
      <x:c r="B81" s="20"/>
      <x:c r="C81" s="20"/>
      <x:c r="D81" s="20"/>
      <x:c r="E81" s="20"/>
      <x:c r="F81" s="25"/>
      <x:c r="G81" s="25" t="str">
        <x:v>X光片紀錄</x:v>
      </x:c>
      <x:c r="H81" s="25"/>
      <x:c r="I81" s="25"/>
      <x:c r="J81" s="20" t="str">
        <x:v>◎</x:v>
      </x:c>
      <x:c r="K81" s="20" t="str">
        <x:v>◎</x:v>
      </x:c>
      <x:c r="L81" s="20" t="str">
        <x:v>◎</x:v>
      </x:c>
      <x:c r="M81" s="20" t="str">
        <x:v>◎</x:v>
      </x:c>
      <x:c r="N81" s="20" t="str">
        <x:v>◎</x:v>
      </x:c>
      <x:c r="O81" s="20" t="str">
        <x:v>◎</x:v>
      </x:c>
      <x:c r="P81" s="20" t="str">
        <x:v>◎</x:v>
      </x:c>
      <x:c r="Q81" s="20" t="str">
        <x:v>◎</x:v>
      </x:c>
      <x:c r="R81" s="20" t="str">
        <x:v>◎</x:v>
      </x:c>
      <x:c r="S81" s="20" t="str">
        <x:v>Ø</x:v>
      </x:c>
      <x:c r="T81" s="20" t="str">
        <x:v>△</x:v>
      </x:c>
      <x:c r="U81" s="20"/>
      <x:c r="V81" s="20"/>
      <x:c r="W81" s="20"/>
    </x:row>
    <x:row r="82">
      <x:c r="A82" s="20"/>
      <x:c r="B82" s="20"/>
      <x:c r="C82" s="20"/>
      <x:c r="D82" s="20"/>
      <x:c r="E82" s="20"/>
      <x:c r="F82" s="25"/>
      <x:c r="G82" s="25" t="str">
        <x:v>拍PANO、PA</x:v>
      </x:c>
      <x:c r="H82" s="25"/>
      <x:c r="I82" s="25"/>
      <x:c r="J82" s="20" t="str">
        <x:v>◎</x:v>
      </x:c>
      <x:c r="K82" s="20" t="str">
        <x:v>◎</x:v>
      </x:c>
      <x:c r="L82" s="20" t="str">
        <x:v>◎</x:v>
      </x:c>
      <x:c r="M82" s="20" t="str">
        <x:v>◎</x:v>
      </x:c>
      <x:c r="N82" s="20" t="str">
        <x:v>◎</x:v>
      </x:c>
      <x:c r="O82" s="20" t="str">
        <x:v>◎</x:v>
      </x:c>
      <x:c r="P82" s="20" t="str">
        <x:v>◎</x:v>
      </x:c>
      <x:c r="Q82" s="20" t="str">
        <x:v>◎</x:v>
      </x:c>
      <x:c r="R82" s="20" t="str">
        <x:v>◎</x:v>
      </x:c>
      <x:c r="S82" s="20" t="str">
        <x:v>Ø</x:v>
      </x:c>
      <x:c r="T82" s="20" t="str">
        <x:v>△</x:v>
      </x:c>
      <x:c r="U82" s="20"/>
      <x:c r="V82" s="20"/>
      <x:c r="W82" s="20"/>
    </x:row>
    <x:row r="83">
      <x:c r="A83" s="20"/>
      <x:c r="B83" s="20"/>
      <x:c r="C83" s="20"/>
      <x:c r="D83" s="20"/>
      <x:c r="E83" s="20"/>
      <x:c r="F83" s="25" t="str">
        <x:v>林晏妤
醫師</x:v>
      </x:c>
      <x:c r="G83" s="25" t="str">
        <x:v>器械熟悉度</x:v>
      </x:c>
      <x:c r="H83" s="25"/>
      <x:c r="I83" s="25" t="n">
        <x:v>7</x:v>
      </x:c>
      <x:c r="J83" s="20" t="str">
        <x:v>◎</x:v>
      </x:c>
      <x:c r="K83" s="20" t="str">
        <x:v>◎</x:v>
      </x:c>
      <x:c r="L83" s="20" t="str">
        <x:v>◎</x:v>
      </x:c>
      <x:c r="M83" s="20" t="str">
        <x:v>◎</x:v>
      </x:c>
      <x:c r="N83" s="20" t="str">
        <x:v>◎</x:v>
      </x:c>
      <x:c r="O83" s="20" t="str">
        <x:v>◎</x:v>
      </x:c>
      <x:c r="P83" s="20" t="str">
        <x:v>Ø</x:v>
      </x:c>
      <x:c r="Q83" s="20" t="str">
        <x:v>◎</x:v>
      </x:c>
      <x:c r="R83" s="20" t="str">
        <x:v>※</x:v>
      </x:c>
      <x:c r="S83" s="20" t="str">
        <x:v>※</x:v>
      </x:c>
      <x:c r="T83" s="20" t="str">
        <x:v>※</x:v>
      </x:c>
      <x:c r="U83" s="20"/>
      <x:c r="V83" s="20"/>
      <x:c r="W83" s="20"/>
    </x:row>
    <x:row r="84">
      <x:c r="A84" s="20"/>
      <x:c r="B84" s="20"/>
      <x:c r="C84" s="20"/>
      <x:c r="D84" s="20"/>
      <x:c r="E84" s="20"/>
      <x:c r="F84" s="25"/>
      <x:c r="G84" s="25" t="str">
        <x:v>跟診順暢度</x:v>
      </x:c>
      <x:c r="H84" s="25"/>
      <x:c r="I84" s="25"/>
      <x:c r="J84" s="20" t="str">
        <x:v>◎</x:v>
      </x:c>
      <x:c r="K84" s="20" t="str">
        <x:v>◎</x:v>
      </x:c>
      <x:c r="L84" s="20" t="str">
        <x:v>◎</x:v>
      </x:c>
      <x:c r="M84" s="20" t="str">
        <x:v>◎</x:v>
      </x:c>
      <x:c r="N84" s="20" t="str">
        <x:v>◎</x:v>
      </x:c>
      <x:c r="O84" s="20" t="str">
        <x:v>◎</x:v>
      </x:c>
      <x:c r="P84" s="20" t="str">
        <x:v>Ø</x:v>
      </x:c>
      <x:c r="Q84" s="20" t="str">
        <x:v>◎</x:v>
      </x:c>
      <x:c r="R84" s="20" t="str">
        <x:v>※</x:v>
      </x:c>
      <x:c r="S84" s="20" t="str">
        <x:v>※</x:v>
      </x:c>
      <x:c r="T84" s="20" t="str">
        <x:v>※</x:v>
      </x:c>
      <x:c r="U84" s="20"/>
      <x:c r="V84" s="20"/>
      <x:c r="W84" s="20"/>
    </x:row>
    <x:row r="85">
      <x:c r="A85" s="20"/>
      <x:c r="B85" s="20"/>
      <x:c r="C85" s="20"/>
      <x:c r="D85" s="20"/>
      <x:c r="E85" s="20"/>
      <x:c r="F85" s="25"/>
      <x:c r="G85" s="25" t="str">
        <x:v>病歷紀錄</x:v>
      </x:c>
      <x:c r="H85" s="25"/>
      <x:c r="I85" s="25"/>
      <x:c r="J85" s="20" t="str">
        <x:v>◎</x:v>
      </x:c>
      <x:c r="K85" s="20" t="str">
        <x:v>◎</x:v>
      </x:c>
      <x:c r="L85" s="20" t="str">
        <x:v>◎</x:v>
      </x:c>
      <x:c r="M85" s="20" t="str">
        <x:v>◎</x:v>
      </x:c>
      <x:c r="N85" s="20" t="str">
        <x:v>◎</x:v>
      </x:c>
      <x:c r="O85" s="20" t="str">
        <x:v>Ø</x:v>
      </x:c>
      <x:c r="P85" s="20" t="str">
        <x:v>Ø</x:v>
      </x:c>
      <x:c r="Q85" s="20" t="str">
        <x:v>◎</x:v>
      </x:c>
      <x:c r="R85" s="20" t="str">
        <x:v>※</x:v>
      </x:c>
      <x:c r="S85" s="20" t="str">
        <x:v>※</x:v>
      </x:c>
      <x:c r="T85" s="20" t="str">
        <x:v>※</x:v>
      </x:c>
      <x:c r="U85" s="20"/>
      <x:c r="V85" s="20"/>
      <x:c r="W85" s="20"/>
    </x:row>
    <x:row r="86">
      <x:c r="A86" s="20"/>
      <x:c r="B86" s="20"/>
      <x:c r="C86" s="20"/>
      <x:c r="D86" s="20"/>
      <x:c r="E86" s="20"/>
      <x:c r="F86" s="25"/>
      <x:c r="G86" s="25" t="str">
        <x:v>X光片紀錄</x:v>
      </x:c>
      <x:c r="H86" s="25"/>
      <x:c r="I86" s="25"/>
      <x:c r="J86" s="20" t="str">
        <x:v>◎</x:v>
      </x:c>
      <x:c r="K86" s="20" t="str">
        <x:v>◎</x:v>
      </x:c>
      <x:c r="L86" s="20" t="str">
        <x:v>◎</x:v>
      </x:c>
      <x:c r="M86" s="20" t="str">
        <x:v>◎</x:v>
      </x:c>
      <x:c r="N86" s="20" t="str">
        <x:v>◎</x:v>
      </x:c>
      <x:c r="O86" s="20" t="str">
        <x:v>◎</x:v>
      </x:c>
      <x:c r="P86" s="20" t="str">
        <x:v>Ø</x:v>
      </x:c>
      <x:c r="Q86" s="20" t="str">
        <x:v>◎</x:v>
      </x:c>
      <x:c r="R86" s="20" t="str">
        <x:v>※</x:v>
      </x:c>
      <x:c r="S86" s="20" t="str">
        <x:v>※</x:v>
      </x:c>
      <x:c r="T86" s="20" t="str">
        <x:v>※</x:v>
      </x:c>
      <x:c r="U86" s="20"/>
      <x:c r="V86" s="20"/>
      <x:c r="W86" s="20"/>
    </x:row>
    <x:row r="87">
      <x:c r="A87" s="20"/>
      <x:c r="B87" s="20"/>
      <x:c r="C87" s="20"/>
      <x:c r="D87" s="20"/>
      <x:c r="E87" s="20"/>
      <x:c r="F87" s="25"/>
      <x:c r="G87" s="25" t="str">
        <x:v>手持X光機</x:v>
      </x:c>
      <x:c r="H87" s="25"/>
      <x:c r="I87" s="25"/>
      <x:c r="J87" s="20" t="str">
        <x:v>◎</x:v>
      </x:c>
      <x:c r="K87" s="20" t="str">
        <x:v>◎</x:v>
      </x:c>
      <x:c r="L87" s="20" t="str">
        <x:v>◎</x:v>
      </x:c>
      <x:c r="M87" s="20" t="str">
        <x:v>◎</x:v>
      </x:c>
      <x:c r="N87" s="20" t="str">
        <x:v>◎</x:v>
      </x:c>
      <x:c r="O87" s="20" t="str">
        <x:v>◎</x:v>
      </x:c>
      <x:c r="P87" s="20" t="str">
        <x:v>◎</x:v>
      </x:c>
      <x:c r="Q87" s="20" t="str">
        <x:v>◎</x:v>
      </x:c>
      <x:c r="R87" s="20" t="str">
        <x:v>◎</x:v>
      </x:c>
      <x:c r="S87" s="20" t="str">
        <x:v>※</x:v>
      </x:c>
      <x:c r="T87" s="20" t="str">
        <x:v>※</x:v>
      </x:c>
      <x:c r="U87" s="20"/>
      <x:c r="V87" s="20"/>
      <x:c r="W87" s="20"/>
    </x:row>
    <x:row r="88">
      <x:c r="A88" s="20"/>
      <x:c r="B88" s="20"/>
      <x:c r="C88" s="20"/>
      <x:c r="D88" s="20"/>
      <x:c r="E88" s="20"/>
      <x:c r="F88" s="25"/>
      <x:c r="G88" s="25" t="str">
        <x:v>健保申報</x:v>
      </x:c>
      <x:c r="H88" s="25"/>
      <x:c r="I88" s="25"/>
      <x:c r="J88" s="20" t="str">
        <x:v>◎</x:v>
      </x:c>
      <x:c r="K88" s="20" t="str">
        <x:v>◎</x:v>
      </x:c>
      <x:c r="L88" s="20" t="str">
        <x:v>◎</x:v>
      </x:c>
      <x:c r="M88" s="20" t="str">
        <x:v>◎</x:v>
      </x:c>
      <x:c r="N88" s="20" t="str">
        <x:v>◎</x:v>
      </x:c>
      <x:c r="O88" s="20" t="str">
        <x:v>Ø</x:v>
      </x:c>
      <x:c r="P88" s="20" t="str">
        <x:v>Ø</x:v>
      </x:c>
      <x:c r="Q88" s="20" t="str">
        <x:v>Ø</x:v>
      </x:c>
      <x:c r="R88" s="20" t="str">
        <x:v>※</x:v>
      </x:c>
      <x:c r="S88" s="20" t="str">
        <x:v>※</x:v>
      </x:c>
      <x:c r="T88" s="20" t="str">
        <x:v>※</x:v>
      </x:c>
      <x:c r="U88" s="20"/>
      <x:c r="V88" s="20"/>
      <x:c r="W88" s="20"/>
    </x:row>
    <x:row r="89">
      <x:c r="A89" s="20"/>
      <x:c r="B89" s="20"/>
      <x:c r="C89" s="20"/>
      <x:c r="D89" s="20"/>
      <x:c r="E89" s="20"/>
      <x:c r="F89" s="25"/>
      <x:c r="G89" s="25" t="str">
        <x:v>舒眠手術</x:v>
      </x:c>
      <x:c r="H89" s="25"/>
      <x:c r="I89" s="25" t="n">
        <x:v>5</x:v>
      </x:c>
      <x:c r="J89" s="20" t="str">
        <x:v>◎</x:v>
      </x:c>
      <x:c r="K89" s="20" t="str">
        <x:v>◎</x:v>
      </x:c>
      <x:c r="L89" s="20" t="str">
        <x:v>◎</x:v>
      </x:c>
      <x:c r="M89" s="20" t="str">
        <x:v>◎</x:v>
      </x:c>
      <x:c r="N89" s="20" t="str">
        <x:v>◎</x:v>
      </x:c>
      <x:c r="O89" s="20" t="str">
        <x:v>Ø</x:v>
      </x:c>
      <x:c r="P89" s="20" t="str">
        <x:v>※</x:v>
      </x:c>
      <x:c r="Q89" s="20" t="str">
        <x:v>※</x:v>
      </x:c>
      <x:c r="R89" s="20"/>
      <x:c r="S89" s="20"/>
      <x:c r="T89" s="20"/>
      <x:c r="U89" s="20"/>
      <x:c r="V89" s="20"/>
      <x:c r="W89" s="20"/>
    </x:row>
    <x:row r="90">
      <x:c r="A90" s="20"/>
      <x:c r="B90" s="20"/>
      <x:c r="C90" s="20"/>
      <x:c r="D90" s="20"/>
      <x:c r="E90" s="20"/>
      <x:c r="F90" s="25" t="str">
        <x:v>謝耀慶
醫師</x:v>
      </x:c>
      <x:c r="G90" s="25" t="str">
        <x:v>器
械
準
備</x:v>
      </x:c>
      <x:c r="H90" s="25" t="str">
        <x:v>洗牙</x:v>
      </x:c>
      <x:c r="I90" s="25" t="n">
        <x:v>7</x:v>
      </x:c>
      <x:c r="J90" s="20" t="str">
        <x:v>◎</x:v>
      </x:c>
      <x:c r="K90" s="20" t="str">
        <x:v>◎</x:v>
      </x:c>
      <x:c r="L90" s="20" t="str">
        <x:v>◎</x:v>
      </x:c>
      <x:c r="M90" s="20" t="str">
        <x:v>◎</x:v>
      </x:c>
      <x:c r="N90" s="20" t="str">
        <x:v>◎</x:v>
      </x:c>
      <x:c r="O90" s="20" t="str">
        <x:v>◎</x:v>
      </x:c>
      <x:c r="P90" s="20" t="str">
        <x:v>◎</x:v>
      </x:c>
      <x:c r="Q90" s="20" t="str">
        <x:v>◎</x:v>
      </x:c>
      <x:c r="R90" s="20" t="str">
        <x:v>◎</x:v>
      </x:c>
      <x:c r="S90" s="20" t="str">
        <x:v>※</x:v>
      </x:c>
      <x:c r="T90" s="20" t="str">
        <x:v>※</x:v>
      </x:c>
      <x:c r="U90" s="20"/>
      <x:c r="V90" s="20"/>
      <x:c r="W90" s="20"/>
    </x:row>
    <x:row r="91">
      <x:c r="A91" s="20"/>
      <x:c r="B91" s="20"/>
      <x:c r="C91" s="20"/>
      <x:c r="D91" s="20"/>
      <x:c r="E91" s="20"/>
      <x:c r="F91" s="25"/>
      <x:c r="G91" s="25"/>
      <x:c r="H91" s="25" t="str">
        <x:v>補牙</x:v>
      </x:c>
      <x:c r="I91" s="25"/>
      <x:c r="J91" s="20" t="str">
        <x:v>◎</x:v>
      </x:c>
      <x:c r="K91" s="20" t="str">
        <x:v>◎</x:v>
      </x:c>
      <x:c r="L91" s="20" t="str">
        <x:v>◎</x:v>
      </x:c>
      <x:c r="M91" s="20" t="str">
        <x:v>◎</x:v>
      </x:c>
      <x:c r="N91" s="20" t="str">
        <x:v>◎</x:v>
      </x:c>
      <x:c r="O91" s="20" t="str">
        <x:v>◎</x:v>
      </x:c>
      <x:c r="P91" s="20" t="str">
        <x:v>◎</x:v>
      </x:c>
      <x:c r="Q91" s="20" t="str">
        <x:v>◎</x:v>
      </x:c>
      <x:c r="R91" s="20" t="str">
        <x:v>※</x:v>
      </x:c>
      <x:c r="S91" s="20" t="str">
        <x:v>※</x:v>
      </x:c>
      <x:c r="T91" s="20" t="str">
        <x:v>※</x:v>
      </x:c>
      <x:c r="U91" s="20"/>
      <x:c r="V91" s="20"/>
      <x:c r="W91" s="20"/>
    </x:row>
    <x:row r="92">
      <x:c r="A92" s="20"/>
      <x:c r="B92" s="20"/>
      <x:c r="C92" s="20"/>
      <x:c r="D92" s="20"/>
      <x:c r="E92" s="20"/>
      <x:c r="F92" s="25"/>
      <x:c r="G92" s="25"/>
      <x:c r="H92" s="25" t="str">
        <x:v>牙周統合治療</x:v>
      </x:c>
      <x:c r="I92" s="25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</x:row>
    <x:row r="93">
      <x:c r="A93" s="20"/>
      <x:c r="B93" s="20"/>
      <x:c r="C93" s="20"/>
      <x:c r="D93" s="20"/>
      <x:c r="E93" s="20"/>
      <x:c r="F93" s="25"/>
      <x:c r="G93" s="25"/>
      <x:c r="H93" s="25" t="str">
        <x:v>簡單拔牙</x:v>
      </x:c>
      <x:c r="I93" s="25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</x:row>
    <x:row r="94">
      <x:c r="A94" s="20"/>
      <x:c r="B94" s="20"/>
      <x:c r="C94" s="20"/>
      <x:c r="D94" s="20"/>
      <x:c r="E94" s="20"/>
      <x:c r="F94" s="25"/>
      <x:c r="G94" s="25" t="str">
        <x:v>器械熟悉度</x:v>
      </x:c>
      <x:c r="H94" s="25"/>
      <x:c r="I94" s="25"/>
      <x:c r="J94" s="20" t="str">
        <x:v>◎</x:v>
      </x:c>
      <x:c r="K94" s="20" t="str">
        <x:v>◎</x:v>
      </x:c>
      <x:c r="L94" s="20" t="str">
        <x:v>◎</x:v>
      </x:c>
      <x:c r="M94" s="20" t="str">
        <x:v>◎</x:v>
      </x:c>
      <x:c r="N94" s="20" t="str">
        <x:v>◎</x:v>
      </x:c>
      <x:c r="O94" s="20" t="str">
        <x:v>◎</x:v>
      </x:c>
      <x:c r="P94" s="20" t="str">
        <x:v>Ø</x:v>
      </x:c>
      <x:c r="Q94" s="20" t="str">
        <x:v>◎</x:v>
      </x:c>
      <x:c r="R94" s="20" t="str">
        <x:v>※</x:v>
      </x:c>
      <x:c r="S94" s="20" t="str">
        <x:v>※</x:v>
      </x:c>
      <x:c r="T94" s="20" t="str">
        <x:v>※</x:v>
      </x:c>
      <x:c r="U94" s="20"/>
      <x:c r="V94" s="20"/>
      <x:c r="W94" s="20"/>
    </x:row>
    <x:row r="95">
      <x:c r="A95" s="20"/>
      <x:c r="B95" s="20"/>
      <x:c r="C95" s="20"/>
      <x:c r="D95" s="20"/>
      <x:c r="E95" s="20"/>
      <x:c r="F95" s="25"/>
      <x:c r="G95" s="25" t="str">
        <x:v>跟診順暢度</x:v>
      </x:c>
      <x:c r="H95" s="25"/>
      <x:c r="I95" s="25"/>
      <x:c r="J95" s="20" t="str">
        <x:v>◎</x:v>
      </x:c>
      <x:c r="K95" s="20" t="str">
        <x:v>◎</x:v>
      </x:c>
      <x:c r="L95" s="20" t="str">
        <x:v>◎</x:v>
      </x:c>
      <x:c r="M95" s="20" t="str">
        <x:v>◎</x:v>
      </x:c>
      <x:c r="N95" s="20" t="str">
        <x:v>◎</x:v>
      </x:c>
      <x:c r="O95" s="20" t="str">
        <x:v>◎</x:v>
      </x:c>
      <x:c r="P95" s="20" t="str">
        <x:v>◎</x:v>
      </x:c>
      <x:c r="Q95" s="20" t="str">
        <x:v>◎</x:v>
      </x:c>
      <x:c r="R95" s="20" t="str">
        <x:v>※</x:v>
      </x:c>
      <x:c r="S95" s="20" t="str">
        <x:v>※</x:v>
      </x:c>
      <x:c r="T95" s="20" t="str">
        <x:v>※</x:v>
      </x:c>
      <x:c r="U95" s="20"/>
      <x:c r="V95" s="20"/>
      <x:c r="W95" s="20"/>
    </x:row>
    <x:row r="96">
      <x:c r="A96" s="20"/>
      <x:c r="B96" s="20"/>
      <x:c r="C96" s="20"/>
      <x:c r="D96" s="20"/>
      <x:c r="E96" s="20"/>
      <x:c r="F96" s="25"/>
      <x:c r="G96" s="25" t="str">
        <x:v>病歷紀錄</x:v>
      </x:c>
      <x:c r="H96" s="25"/>
      <x:c r="I96" s="25"/>
      <x:c r="J96" s="20" t="str">
        <x:v>◎</x:v>
      </x:c>
      <x:c r="K96" s="20" t="str">
        <x:v>◎</x:v>
      </x:c>
      <x:c r="L96" s="20" t="str">
        <x:v>◎</x:v>
      </x:c>
      <x:c r="M96" s="20" t="str">
        <x:v>◎</x:v>
      </x:c>
      <x:c r="N96" s="20" t="str">
        <x:v>◎</x:v>
      </x:c>
      <x:c r="O96" s="20" t="str">
        <x:v>Ø</x:v>
      </x:c>
      <x:c r="P96" s="20" t="str">
        <x:v>Ø</x:v>
      </x:c>
      <x:c r="Q96" s="20" t="str">
        <x:v>◎</x:v>
      </x:c>
      <x:c r="R96" s="20" t="str">
        <x:v>※</x:v>
      </x:c>
      <x:c r="S96" s="20" t="str">
        <x:v>※</x:v>
      </x:c>
      <x:c r="T96" s="20" t="str">
        <x:v>※</x:v>
      </x:c>
      <x:c r="U96" s="20"/>
      <x:c r="V96" s="20"/>
      <x:c r="W96" s="20"/>
    </x:row>
    <x:row r="97">
      <x:c r="A97" s="20"/>
      <x:c r="B97" s="20"/>
      <x:c r="C97" s="20"/>
      <x:c r="D97" s="20"/>
      <x:c r="E97" s="20"/>
      <x:c r="F97" s="25"/>
      <x:c r="G97" s="25" t="str">
        <x:v>X光片紀錄</x:v>
      </x:c>
      <x:c r="H97" s="25"/>
      <x:c r="I97" s="25"/>
      <x:c r="J97" s="20" t="str">
        <x:v>◎</x:v>
      </x:c>
      <x:c r="K97" s="20" t="str">
        <x:v>◎</x:v>
      </x:c>
      <x:c r="L97" s="20" t="str">
        <x:v>◎</x:v>
      </x:c>
      <x:c r="M97" s="20" t="str">
        <x:v>◎</x:v>
      </x:c>
      <x:c r="N97" s="20" t="str">
        <x:v>◎</x:v>
      </x:c>
      <x:c r="O97" s="20" t="str">
        <x:v>◎</x:v>
      </x:c>
      <x:c r="P97" s="20" t="str">
        <x:v>△</x:v>
      </x:c>
      <x:c r="Q97" s="20" t="str">
        <x:v>◎</x:v>
      </x:c>
      <x:c r="R97" s="20" t="str">
        <x:v>※</x:v>
      </x:c>
      <x:c r="S97" s="20" t="str">
        <x:v>※</x:v>
      </x:c>
      <x:c r="T97" s="20" t="str">
        <x:v>※</x:v>
      </x:c>
      <x:c r="U97" s="20"/>
      <x:c r="V97" s="20"/>
      <x:c r="W97" s="20"/>
    </x:row>
    <x:row r="98">
      <x:c r="A98" s="20"/>
      <x:c r="B98" s="20"/>
      <x:c r="C98" s="20"/>
      <x:c r="D98" s="20"/>
      <x:c r="E98" s="20"/>
      <x:c r="F98" s="25"/>
      <x:c r="G98" s="25" t="str">
        <x:v>手持X光機</x:v>
      </x:c>
      <x:c r="H98" s="25"/>
      <x:c r="I98" s="25"/>
      <x:c r="J98" s="20" t="str">
        <x:v>◎</x:v>
      </x:c>
      <x:c r="K98" s="20" t="str">
        <x:v>◎</x:v>
      </x:c>
      <x:c r="L98" s="20" t="str">
        <x:v>◎</x:v>
      </x:c>
      <x:c r="M98" s="20" t="str">
        <x:v>◎</x:v>
      </x:c>
      <x:c r="N98" s="20" t="str">
        <x:v>◎</x:v>
      </x:c>
      <x:c r="O98" s="20" t="str">
        <x:v>◎</x:v>
      </x:c>
      <x:c r="P98" s="20" t="str">
        <x:v>◎</x:v>
      </x:c>
      <x:c r="Q98" s="20" t="str">
        <x:v>◎</x:v>
      </x:c>
      <x:c r="R98" s="20" t="str">
        <x:v>◎</x:v>
      </x:c>
      <x:c r="S98" s="20" t="str">
        <x:v>※</x:v>
      </x:c>
      <x:c r="T98" s="20" t="str">
        <x:v>※</x:v>
      </x:c>
      <x:c r="U98" s="20"/>
      <x:c r="V98" s="20"/>
      <x:c r="W98" s="20"/>
    </x:row>
    <x:row r="99">
      <x:c r="A99" s="20"/>
      <x:c r="B99" s="20"/>
      <x:c r="C99" s="20"/>
      <x:c r="D99" s="20"/>
      <x:c r="E99" s="20"/>
      <x:c r="F99" s="25"/>
      <x:c r="G99" s="25" t="str">
        <x:v>健保申報</x:v>
      </x:c>
      <x:c r="H99" s="25"/>
      <x:c r="I99" s="25"/>
      <x:c r="J99" s="20" t="str">
        <x:v>◎</x:v>
      </x:c>
      <x:c r="K99" s="20" t="str">
        <x:v>◎</x:v>
      </x:c>
      <x:c r="L99" s="20" t="str">
        <x:v>◎</x:v>
      </x:c>
      <x:c r="M99" s="20" t="str">
        <x:v>◎</x:v>
      </x:c>
      <x:c r="N99" s="20" t="str">
        <x:v>◎</x:v>
      </x:c>
      <x:c r="O99" s="20" t="str">
        <x:v>Ø</x:v>
      </x:c>
      <x:c r="P99" s="20" t="str">
        <x:v>◎</x:v>
      </x:c>
      <x:c r="Q99" s="20" t="str">
        <x:v>◎</x:v>
      </x:c>
      <x:c r="R99" s="20" t="str">
        <x:v>※</x:v>
      </x:c>
      <x:c r="S99" s="20" t="str">
        <x:v>※</x:v>
      </x:c>
      <x:c r="T99" s="20" t="str">
        <x:v>※</x:v>
      </x:c>
      <x:c r="U99" s="20"/>
      <x:c r="V99" s="20"/>
      <x:c r="W99" s="20"/>
    </x:row>
    <x:row r="100">
      <x:c r="A100" s="20"/>
      <x:c r="B100" s="20"/>
      <x:c r="C100" s="20"/>
      <x:c r="D100" s="20"/>
      <x:c r="E100" s="20"/>
      <x:c r="F100" s="25"/>
      <x:c r="G100" s="25" t="str">
        <x:v>舒眠手術</x:v>
      </x:c>
      <x:c r="H100" s="25"/>
      <x:c r="I100" s="25" t="n">
        <x:v>4</x:v>
      </x:c>
      <x:c r="J100" s="20" t="str">
        <x:v>◎</x:v>
      </x:c>
      <x:c r="K100" s="20" t="str">
        <x:v>◎</x:v>
      </x:c>
      <x:c r="L100" s="20" t="str">
        <x:v>◎</x:v>
      </x:c>
      <x:c r="M100" s="20" t="str">
        <x:v>※</x:v>
      </x:c>
      <x:c r="N100" s="20" t="str">
        <x:v>◎</x:v>
      </x:c>
      <x:c r="O100" s="20" t="str">
        <x:v>※</x:v>
      </x:c>
      <x:c r="P100" s="20" t="str">
        <x:v>※</x:v>
      </x:c>
      <x:c r="Q100" s="20" t="str">
        <x:v>※</x:v>
      </x:c>
      <x:c r="R100" s="20"/>
      <x:c r="S100" s="20"/>
      <x:c r="T100" s="20"/>
      <x:c r="U100" s="20"/>
      <x:c r="V100" s="20"/>
      <x:c r="W100" s="20"/>
    </x:row>
    <x:row r="101">
      <x:c r="A101" s="20"/>
      <x:c r="B101" s="20"/>
      <x:c r="C101" s="20"/>
      <x:c r="D101" s="20"/>
      <x:c r="E101" s="20"/>
      <x:c r="F101" s="25" t="str">
        <x:v>陳醫師</x:v>
      </x:c>
      <x:c r="G101" s="25" t="str">
        <x:v>器械
準備</x:v>
      </x:c>
      <x:c r="H101" s="25" t="str">
        <x:v>洗牙</x:v>
      </x:c>
      <x:c r="I101" s="25"/>
      <x:c r="J101" s="20" t="str">
        <x:v>◎</x:v>
      </x:c>
      <x:c r="K101" s="20" t="str">
        <x:v>◎</x:v>
      </x:c>
      <x:c r="L101" s="20" t="str">
        <x:v>◎</x:v>
      </x:c>
      <x:c r="M101" s="20" t="str">
        <x:v>※</x:v>
      </x:c>
      <x:c r="N101" s="20" t="str">
        <x:v>※</x:v>
      </x:c>
      <x:c r="O101" s="20" t="str">
        <x:v>※</x:v>
      </x:c>
      <x:c r="P101" s="20"/>
      <x:c r="Q101" s="20"/>
      <x:c r="R101" s="20"/>
      <x:c r="S101" s="20"/>
      <x:c r="T101" s="20"/>
      <x:c r="U101" s="20"/>
      <x:c r="V101" s="20"/>
      <x:c r="W101" s="20"/>
    </x:row>
    <x:row r="102">
      <x:c r="A102" s="20"/>
      <x:c r="B102" s="20"/>
      <x:c r="C102" s="20"/>
      <x:c r="D102" s="20"/>
      <x:c r="E102" s="20"/>
      <x:c r="F102" s="25"/>
      <x:c r="G102" s="25"/>
      <x:c r="H102" s="25" t="str">
        <x:v>補牙</x:v>
      </x:c>
      <x:c r="I102" s="25"/>
      <x:c r="J102" s="20" t="str">
        <x:v>◎</x:v>
      </x:c>
      <x:c r="K102" s="20" t="str">
        <x:v>◎</x:v>
      </x:c>
      <x:c r="L102" s="20" t="str">
        <x:v>◎</x:v>
      </x:c>
      <x:c r="M102" s="20" t="str">
        <x:v>※</x:v>
      </x:c>
      <x:c r="N102" s="20" t="str">
        <x:v>※</x:v>
      </x:c>
      <x:c r="O102" s="20" t="str">
        <x:v>※</x:v>
      </x:c>
      <x:c r="P102" s="20"/>
      <x:c r="Q102" s="20"/>
      <x:c r="R102" s="20"/>
      <x:c r="S102" s="20"/>
      <x:c r="T102" s="20"/>
      <x:c r="U102" s="20"/>
      <x:c r="V102" s="20"/>
      <x:c r="W102" s="20"/>
    </x:row>
    <x:row r="103">
      <x:c r="A103" s="20"/>
      <x:c r="B103" s="20"/>
      <x:c r="C103" s="20"/>
      <x:c r="D103" s="20"/>
      <x:c r="E103" s="20"/>
      <x:c r="F103" s="25"/>
      <x:c r="G103" s="25"/>
      <x:c r="H103" s="25" t="str">
        <x:v>根管治療</x:v>
      </x:c>
      <x:c r="I103" s="25"/>
      <x:c r="J103" s="20" t="str">
        <x:v>◎</x:v>
      </x:c>
      <x:c r="K103" s="20" t="str">
        <x:v>Ø</x:v>
      </x:c>
      <x:c r="L103" s="20" t="str">
        <x:v>Ø</x:v>
      </x:c>
      <x:c r="M103" s="20" t="str">
        <x:v>※</x:v>
      </x:c>
      <x:c r="N103" s="20" t="str">
        <x:v>※</x:v>
      </x:c>
      <x:c r="O103" s="20" t="str">
        <x:v>※</x:v>
      </x:c>
      <x:c r="P103" s="20"/>
      <x:c r="Q103" s="20"/>
      <x:c r="R103" s="20"/>
      <x:c r="S103" s="20"/>
      <x:c r="T103" s="20"/>
      <x:c r="U103" s="20"/>
      <x:c r="V103" s="20"/>
      <x:c r="W103" s="20"/>
    </x:row>
    <x:row r="104">
      <x:c r="A104" s="20"/>
      <x:c r="B104" s="20"/>
      <x:c r="C104" s="20"/>
      <x:c r="D104" s="20"/>
      <x:c r="E104" s="20"/>
      <x:c r="F104" s="25"/>
      <x:c r="G104" s="25" t="str">
        <x:v>跟診順暢度</x:v>
      </x:c>
      <x:c r="H104" s="25"/>
      <x:c r="I104" s="25"/>
      <x:c r="J104" s="20" t="str">
        <x:v>◎</x:v>
      </x:c>
      <x:c r="K104" s="20" t="str">
        <x:v>Ø</x:v>
      </x:c>
      <x:c r="L104" s="20" t="str">
        <x:v>Ø</x:v>
      </x:c>
      <x:c r="M104" s="20" t="str">
        <x:v>※</x:v>
      </x:c>
      <x:c r="N104" s="20" t="str">
        <x:v>※</x:v>
      </x:c>
      <x:c r="O104" s="20" t="str">
        <x:v>※</x:v>
      </x:c>
      <x:c r="P104" s="20"/>
      <x:c r="Q104" s="20"/>
      <x:c r="R104" s="20"/>
      <x:c r="S104" s="20"/>
      <x:c r="T104" s="20"/>
      <x:c r="U104" s="20"/>
      <x:c r="V104" s="20"/>
      <x:c r="W104" s="20"/>
    </x:row>
    <x:row r="105">
      <x:c r="A105" s="20"/>
      <x:c r="B105" s="20"/>
      <x:c r="C105" s="20"/>
      <x:c r="D105" s="20"/>
      <x:c r="E105" s="20"/>
      <x:c r="F105" s="25"/>
      <x:c r="G105" s="25" t="str">
        <x:v>病歷紀錄</x:v>
      </x:c>
      <x:c r="H105" s="25"/>
      <x:c r="I105" s="25"/>
      <x:c r="J105" s="20" t="str">
        <x:v>◎</x:v>
      </x:c>
      <x:c r="K105" s="20" t="str">
        <x:v>Ø</x:v>
      </x:c>
      <x:c r="L105" s="20" t="str">
        <x:v>Ø</x:v>
      </x:c>
      <x:c r="M105" s="20" t="str">
        <x:v>※</x:v>
      </x:c>
      <x:c r="N105" s="20" t="str">
        <x:v>※</x:v>
      </x:c>
      <x:c r="O105" s="20" t="str">
        <x:v>※</x:v>
      </x:c>
      <x:c r="P105" s="20"/>
      <x:c r="Q105" s="20"/>
      <x:c r="R105" s="20"/>
      <x:c r="S105" s="20"/>
      <x:c r="T105" s="20"/>
      <x:c r="U105" s="20"/>
      <x:c r="V105" s="20"/>
      <x:c r="W105" s="20"/>
    </x:row>
    <x:row r="106">
      <x:c r="A106" s="20"/>
      <x:c r="B106" s="20"/>
      <x:c r="C106" s="20"/>
      <x:c r="D106" s="20"/>
      <x:c r="E106" s="20"/>
      <x:c r="F106" s="25"/>
      <x:c r="G106" s="25" t="str">
        <x:v>拍PANO、PA</x:v>
      </x:c>
      <x:c r="H106" s="25"/>
      <x:c r="I106" s="25"/>
      <x:c r="J106" s="20" t="str">
        <x:v>◎</x:v>
      </x:c>
      <x:c r="K106" s="20" t="str">
        <x:v>Ø</x:v>
      </x:c>
      <x:c r="L106" s="20" t="str">
        <x:v>Ø</x:v>
      </x:c>
      <x:c r="M106" s="20" t="str">
        <x:v>※</x:v>
      </x:c>
      <x:c r="N106" s="20" t="str">
        <x:v>※</x:v>
      </x:c>
      <x:c r="O106" s="20" t="str">
        <x:v>※</x:v>
      </x:c>
      <x:c r="P106" s="20"/>
      <x:c r="Q106" s="20"/>
      <x:c r="R106" s="20"/>
      <x:c r="S106" s="20"/>
      <x:c r="T106" s="20"/>
      <x:c r="U106" s="20"/>
      <x:c r="V106" s="20"/>
      <x:c r="W106" s="20"/>
    </x:row>
    <x:row r="107">
      <x:c r="A107" s="20"/>
      <x:c r="B107" s="20"/>
      <x:c r="C107" s="20"/>
      <x:c r="D107" s="20"/>
      <x:c r="E107" s="20"/>
      <x:c r="F107" s="25"/>
      <x:c r="G107" s="25" t="str">
        <x:v>X光片紀錄</x:v>
      </x:c>
      <x:c r="H107" s="25"/>
      <x:c r="I107" s="25"/>
      <x:c r="J107" s="20" t="str">
        <x:v>◎</x:v>
      </x:c>
      <x:c r="K107" s="20" t="str">
        <x:v>Ø</x:v>
      </x:c>
      <x:c r="L107" s="20" t="str">
        <x:v>Ø</x:v>
      </x:c>
      <x:c r="M107" s="20" t="str">
        <x:v>※</x:v>
      </x:c>
      <x:c r="N107" s="20" t="str">
        <x:v>※</x:v>
      </x:c>
      <x:c r="O107" s="20" t="str">
        <x:v>※</x:v>
      </x:c>
      <x:c r="P107" s="20"/>
      <x:c r="Q107" s="20"/>
      <x:c r="R107" s="20"/>
      <x:c r="S107" s="20"/>
      <x:c r="T107" s="20"/>
      <x:c r="U107" s="20"/>
      <x:c r="V107" s="20"/>
      <x:c r="W107" s="20"/>
    </x:row>
    <x:row r="108">
      <x:c r="A108" s="20"/>
      <x:c r="B108" s="20"/>
      <x:c r="C108" s="20"/>
      <x:c r="D108" s="20"/>
      <x:c r="E108" s="20"/>
      <x:c r="F108" s="25"/>
      <x:c r="G108" s="25" t="str">
        <x:v>健保申報</x:v>
      </x:c>
      <x:c r="H108" s="25"/>
      <x:c r="I108" s="25"/>
      <x:c r="J108" s="20" t="str">
        <x:v>◎</x:v>
      </x:c>
      <x:c r="K108" s="20" t="str">
        <x:v>Ø</x:v>
      </x:c>
      <x:c r="L108" s="20" t="str">
        <x:v>Ø</x:v>
      </x:c>
      <x:c r="M108" s="20" t="str">
        <x:v>※</x:v>
      </x:c>
      <x:c r="N108" s="20" t="str">
        <x:v>※</x:v>
      </x:c>
      <x:c r="O108" s="20" t="str">
        <x:v>※</x:v>
      </x:c>
      <x:c r="P108" s="20"/>
      <x:c r="Q108" s="20"/>
      <x:c r="R108" s="20"/>
      <x:c r="S108" s="20"/>
      <x:c r="T108" s="20"/>
      <x:c r="U108" s="20"/>
      <x:c r="V108" s="20"/>
      <x:c r="W108" s="20"/>
    </x:row>
    <x:row r="109">
      <x:c r="A109" s="20"/>
      <x:c r="B109" s="20"/>
      <x:c r="C109" s="20"/>
      <x:c r="D109" s="20"/>
      <x:c r="E109" s="20"/>
      <x:c r="F109" s="25"/>
      <x:c r="G109" s="25" t="str">
        <x:v>固定假牙</x:v>
      </x:c>
      <x:c r="H109" s="25"/>
      <x:c r="I109" s="25"/>
      <x:c r="J109" s="20" t="str">
        <x:v>Ø</x:v>
      </x:c>
      <x:c r="K109" s="20" t="str">
        <x:v>Ø</x:v>
      </x:c>
      <x:c r="L109" s="20" t="str">
        <x:v>Ø</x:v>
      </x:c>
      <x:c r="M109" s="20" t="str">
        <x:v>※</x:v>
      </x:c>
      <x:c r="N109" s="20" t="str">
        <x:v>※</x:v>
      </x:c>
      <x:c r="O109" s="20" t="str">
        <x:v>※</x:v>
      </x:c>
      <x:c r="P109" s="20"/>
      <x:c r="Q109" s="20"/>
      <x:c r="R109" s="20"/>
      <x:c r="S109" s="20"/>
      <x:c r="T109" s="20"/>
      <x:c r="U109" s="20"/>
      <x:c r="V109" s="20"/>
      <x:c r="W109" s="20"/>
    </x:row>
    <x:row r="110">
      <x:c r="A110" s="20"/>
      <x:c r="B110" s="20"/>
      <x:c r="C110" s="20"/>
      <x:c r="D110" s="20"/>
      <x:c r="E110" s="20"/>
      <x:c r="F110" s="25"/>
      <x:c r="G110" s="25" t="str">
        <x:v>顯微根管</x:v>
      </x:c>
      <x:c r="H110" s="25"/>
      <x:c r="I110" s="25"/>
      <x:c r="J110" s="20" t="str">
        <x:v>◎</x:v>
      </x:c>
      <x:c r="K110" s="20" t="str">
        <x:v>Ø</x:v>
      </x:c>
      <x:c r="L110" s="20" t="str">
        <x:v>Ø</x:v>
      </x:c>
      <x:c r="M110" s="20" t="str">
        <x:v>※</x:v>
      </x:c>
      <x:c r="N110" s="20" t="str">
        <x:v>※</x:v>
      </x:c>
      <x:c r="O110" s="20" t="str">
        <x:v>※</x:v>
      </x:c>
      <x:c r="P110" s="20"/>
      <x:c r="Q110" s="20"/>
      <x:c r="R110" s="20"/>
      <x:c r="S110" s="20"/>
      <x:c r="T110" s="20"/>
      <x:c r="U110" s="20"/>
      <x:c r="V110" s="20"/>
      <x:c r="W110" s="20"/>
    </x:row>
    <x:row r="111">
      <x:c r="A111" s="20"/>
      <x:c r="B111" s="20"/>
      <x:c r="C111" s="20"/>
      <x:c r="D111" s="20"/>
      <x:c r="E111" s="20"/>
      <x:c r="F111" s="25" t="str">
        <x:v>櫃
台</x:v>
      </x:c>
      <x:c r="G111" s="25" t="str">
        <x:v>掛號處理(含初診處理)
開立一般收據及藥單</x:v>
      </x:c>
      <x:c r="H111" s="25"/>
      <x:c r="I111" s="25" t="n">
        <x:v>5</x:v>
      </x:c>
      <x:c r="J111" s="20" t="str">
        <x:v>◎</x:v>
      </x:c>
      <x:c r="K111" s="20" t="str">
        <x:v>◎</x:v>
      </x:c>
      <x:c r="L111" s="20" t="str">
        <x:v>◎</x:v>
      </x:c>
      <x:c r="M111" s="20" t="str">
        <x:v>◎</x:v>
      </x:c>
      <x:c r="N111" s="20" t="str">
        <x:v>◎</x:v>
      </x:c>
      <x:c r="O111" s="20" t="str">
        <x:v>◎</x:v>
      </x:c>
      <x:c r="P111" s="20" t="str">
        <x:v>◎</x:v>
      </x:c>
      <x:c r="Q111" s="20" t="str">
        <x:v>◎</x:v>
      </x:c>
      <x:c r="R111" s="20" t="str">
        <x:v>◎</x:v>
      </x:c>
      <x:c r="S111" s="20" t="str">
        <x:v>Ø</x:v>
      </x:c>
      <x:c r="T111" s="20" t="str">
        <x:v>Ø</x:v>
      </x:c>
      <x:c r="U111" s="20"/>
      <x:c r="V111" s="20"/>
      <x:c r="W111" s="20" t="str">
        <x:v>◎</x:v>
      </x:c>
    </x:row>
    <x:row r="112">
      <x:c r="A112" s="20"/>
      <x:c r="B112" s="20"/>
      <x:c r="C112" s="20"/>
      <x:c r="D112" s="20"/>
      <x:c r="E112" s="20"/>
      <x:c r="F112" s="25"/>
      <x:c r="G112" s="25" t="str">
        <x:v>收費紀錄</x:v>
      </x:c>
      <x:c r="H112" s="25"/>
      <x:c r="I112" s="25"/>
      <x:c r="J112" s="20" t="str">
        <x:v>◎</x:v>
      </x:c>
      <x:c r="K112" s="20" t="str">
        <x:v>◎</x:v>
      </x:c>
      <x:c r="L112" s="20" t="str">
        <x:v>◎</x:v>
      </x:c>
      <x:c r="M112" s="20" t="str">
        <x:v>◎</x:v>
      </x:c>
      <x:c r="N112" s="20" t="str">
        <x:v>◎</x:v>
      </x:c>
      <x:c r="O112" s="20" t="str">
        <x:v>Ø</x:v>
      </x:c>
      <x:c r="P112" s="20" t="str">
        <x:v>Ø</x:v>
      </x:c>
      <x:c r="Q112" s="20" t="str">
        <x:v>Ø</x:v>
      </x:c>
      <x:c r="R112" s="20" t="str">
        <x:v>Ø</x:v>
      </x:c>
      <x:c r="S112" s="20" t="str">
        <x:v>△</x:v>
      </x:c>
      <x:c r="T112" s="20" t="str">
        <x:v>Ø</x:v>
      </x:c>
      <x:c r="U112" s="20"/>
      <x:c r="V112" s="20"/>
      <x:c r="W112" s="20" t="str">
        <x:v>◎</x:v>
      </x:c>
    </x:row>
    <x:row r="113">
      <x:c r="A113" s="20"/>
      <x:c r="B113" s="20"/>
      <x:c r="C113" s="20"/>
      <x:c r="D113" s="20"/>
      <x:c r="E113" s="20"/>
      <x:c r="F113" s="25"/>
      <x:c r="G113" s="25" t="str">
        <x:v>病歷整理</x:v>
      </x:c>
      <x:c r="H113" s="25"/>
      <x:c r="I113" s="25"/>
      <x:c r="J113" s="20" t="str">
        <x:v>◎</x:v>
      </x:c>
      <x:c r="K113" s="20" t="str">
        <x:v>◎</x:v>
      </x:c>
      <x:c r="L113" s="20" t="str">
        <x:v>◎</x:v>
      </x:c>
      <x:c r="M113" s="20" t="str">
        <x:v>◎</x:v>
      </x:c>
      <x:c r="N113" s="20" t="str">
        <x:v>◎</x:v>
      </x:c>
      <x:c r="O113" s="20" t="str">
        <x:v>◎</x:v>
      </x:c>
      <x:c r="P113" s="20" t="str">
        <x:v>◎</x:v>
      </x:c>
      <x:c r="Q113" s="20" t="str">
        <x:v>◎</x:v>
      </x:c>
      <x:c r="R113" s="20" t="str">
        <x:v>◎</x:v>
      </x:c>
      <x:c r="S113" s="20" t="str">
        <x:v>△</x:v>
      </x:c>
      <x:c r="T113" s="20" t="str">
        <x:v>△</x:v>
      </x:c>
      <x:c r="U113" s="20"/>
      <x:c r="V113" s="20"/>
      <x:c r="W113" s="20" t="str">
        <x:v>◎</x:v>
      </x:c>
    </x:row>
    <x:row r="114">
      <x:c r="A114" s="20"/>
      <x:c r="B114" s="20"/>
      <x:c r="C114" s="20"/>
      <x:c r="D114" s="20"/>
      <x:c r="E114" s="20"/>
      <x:c r="F114" s="25"/>
      <x:c r="G114" s="25" t="str">
        <x:v>治療同意書填寫</x:v>
      </x:c>
      <x:c r="H114" s="25"/>
      <x:c r="I114" s="25"/>
      <x:c r="J114" s="20" t="str">
        <x:v>◎</x:v>
      </x:c>
      <x:c r="K114" s="20" t="str">
        <x:v>◎</x:v>
      </x:c>
      <x:c r="L114" s="20" t="str">
        <x:v>◎</x:v>
      </x:c>
      <x:c r="M114" s="20" t="str">
        <x:v>◎</x:v>
      </x:c>
      <x:c r="N114" s="20" t="str">
        <x:v>◎</x:v>
      </x:c>
      <x:c r="O114" s="20" t="str">
        <x:v>◎</x:v>
      </x:c>
      <x:c r="P114" s="20" t="str">
        <x:v>◎</x:v>
      </x:c>
      <x:c r="Q114" s="20" t="str">
        <x:v>◎</x:v>
      </x:c>
      <x:c r="R114" s="20" t="str">
        <x:v>◎</x:v>
      </x:c>
      <x:c r="S114" s="20" t="str">
        <x:v>△</x:v>
      </x:c>
      <x:c r="T114" s="20" t="str">
        <x:v>Ø</x:v>
      </x:c>
      <x:c r="U114" s="20"/>
      <x:c r="V114" s="20"/>
      <x:c r="W114" s="20" t="str">
        <x:v>◎</x:v>
      </x:c>
    </x:row>
    <x:row r="115">
      <x:c r="A115" s="20"/>
      <x:c r="B115" s="20"/>
      <x:c r="C115" s="20"/>
      <x:c r="D115" s="20"/>
      <x:c r="E115" s="20"/>
      <x:c r="F115" s="25"/>
      <x:c r="G115" s="25" t="str">
        <x:v>與患者應對</x:v>
      </x:c>
      <x:c r="H115" s="25"/>
      <x:c r="I115" s="25"/>
      <x:c r="J115" s="20" t="str">
        <x:v>◎</x:v>
      </x:c>
      <x:c r="K115" s="20" t="str">
        <x:v>◎</x:v>
      </x:c>
      <x:c r="L115" s="20" t="str">
        <x:v>◎</x:v>
      </x:c>
      <x:c r="M115" s="20" t="str">
        <x:v>◎</x:v>
      </x:c>
      <x:c r="N115" s="20" t="str">
        <x:v>◎</x:v>
      </x:c>
      <x:c r="O115" s="20" t="str">
        <x:v>◎</x:v>
      </x:c>
      <x:c r="P115" s="20" t="str">
        <x:v>Ø</x:v>
      </x:c>
      <x:c r="Q115" s="20" t="str">
        <x:v>◎</x:v>
      </x:c>
      <x:c r="R115" s="20" t="str">
        <x:v>△</x:v>
      </x:c>
      <x:c r="S115" s="20" t="str">
        <x:v>△</x:v>
      </x:c>
      <x:c r="T115" s="20" t="str">
        <x:v>△</x:v>
      </x:c>
      <x:c r="U115" s="20"/>
      <x:c r="V115" s="20"/>
      <x:c r="W115" s="20" t="str">
        <x:v>◎</x:v>
      </x:c>
    </x:row>
    <x:row r="116">
      <x:c r="A116" s="20"/>
      <x:c r="B116" s="20"/>
      <x:c r="C116" s="20"/>
      <x:c r="D116" s="20"/>
      <x:c r="E116" s="20"/>
      <x:c r="F116" s="25"/>
      <x:c r="G116" s="25" t="str">
        <x:v>約診</x:v>
      </x:c>
      <x:c r="H116" s="25"/>
      <x:c r="I116" s="25"/>
      <x:c r="J116" s="20" t="str">
        <x:v>◎</x:v>
      </x:c>
      <x:c r="K116" s="20" t="str">
        <x:v>◎</x:v>
      </x:c>
      <x:c r="L116" s="20" t="str">
        <x:v>◎</x:v>
      </x:c>
      <x:c r="M116" s="20" t="str">
        <x:v>◎</x:v>
      </x:c>
      <x:c r="N116" s="20" t="str">
        <x:v>◎</x:v>
      </x:c>
      <x:c r="O116" s="20" t="str">
        <x:v>Ø</x:v>
      </x:c>
      <x:c r="P116" s="20" t="str">
        <x:v>Ø</x:v>
      </x:c>
      <x:c r="Q116" s="20" t="str">
        <x:v>Ø</x:v>
      </x:c>
      <x:c r="R116" s="20" t="str">
        <x:v>Ø</x:v>
      </x:c>
      <x:c r="S116" s="20" t="str">
        <x:v>△</x:v>
      </x:c>
      <x:c r="T116" s="20" t="str">
        <x:v>Ø</x:v>
      </x:c>
      <x:c r="U116" s="20"/>
      <x:c r="V116" s="20"/>
      <x:c r="W116" s="20" t="str">
        <x:v>◎</x:v>
      </x:c>
    </x:row>
    <x:row r="117">
      <x:c r="A117" s="20"/>
      <x:c r="B117" s="20"/>
      <x:c r="C117" s="20"/>
      <x:c r="D117" s="20"/>
      <x:c r="E117" s="20"/>
      <x:c r="F117" s="25"/>
      <x:c r="G117" s="25" t="str">
        <x:v>報表製作</x:v>
      </x:c>
      <x:c r="H117" s="25"/>
      <x:c r="I117" s="25"/>
      <x:c r="J117" s="20" t="str">
        <x:v>◎</x:v>
      </x:c>
      <x:c r="K117" s="20" t="str">
        <x:v>◎</x:v>
      </x:c>
      <x:c r="L117" s="20" t="str">
        <x:v>◎</x:v>
      </x:c>
      <x:c r="M117" s="20" t="str">
        <x:v>◎</x:v>
      </x:c>
      <x:c r="N117" s="20" t="str">
        <x:v>◎</x:v>
      </x:c>
      <x:c r="O117" s="20" t="str">
        <x:v>◎</x:v>
      </x:c>
      <x:c r="P117" s="20" t="str">
        <x:v>◎</x:v>
      </x:c>
      <x:c r="Q117" s="20" t="str">
        <x:v>◎</x:v>
      </x:c>
      <x:c r="R117" s="20" t="str">
        <x:v>△</x:v>
      </x:c>
      <x:c r="S117" s="20" t="str">
        <x:v>△</x:v>
      </x:c>
      <x:c r="T117" s="20" t="str">
        <x:v>△</x:v>
      </x:c>
      <x:c r="U117" s="20"/>
      <x:c r="V117" s="20"/>
      <x:c r="W117" s="20" t="str">
        <x:v>◎</x:v>
      </x:c>
    </x:row>
    <x:row r="118">
      <x:c r="A118" s="20"/>
      <x:c r="B118" s="20"/>
      <x:c r="C118" s="20"/>
      <x:c r="D118" s="20"/>
      <x:c r="E118" s="20"/>
      <x:c r="F118" s="25"/>
      <x:c r="G118" s="25" t="str">
        <x:v>診斷證明書</x:v>
      </x:c>
      <x:c r="H118" s="25"/>
      <x:c r="I118" s="25"/>
      <x:c r="J118" s="20" t="str">
        <x:v>◎</x:v>
      </x:c>
      <x:c r="K118" s="20" t="str">
        <x:v>◎</x:v>
      </x:c>
      <x:c r="L118" s="20" t="str">
        <x:v>◎</x:v>
      </x:c>
      <x:c r="M118" s="20" t="str">
        <x:v>◎</x:v>
      </x:c>
      <x:c r="N118" s="20" t="str">
        <x:v>◎</x:v>
      </x:c>
      <x:c r="O118" s="20" t="str">
        <x:v>Ø</x:v>
      </x:c>
      <x:c r="P118" s="20" t="str">
        <x:v>Ø</x:v>
      </x:c>
      <x:c r="Q118" s="20" t="str">
        <x:v>Ø</x:v>
      </x:c>
      <x:c r="R118" s="20"/>
      <x:c r="S118" s="20"/>
      <x:c r="T118" s="20"/>
      <x:c r="U118" s="20"/>
      <x:c r="V118" s="20"/>
      <x:c r="W118" s="20" t="str">
        <x:v>※</x:v>
      </x:c>
    </x:row>
    <x:row r="119">
      <x:c r="A119" s="20"/>
      <x:c r="B119" s="20"/>
      <x:c r="C119" s="20"/>
      <x:c r="D119" s="20"/>
      <x:c r="E119" s="20"/>
      <x:c r="F119" s="25"/>
      <x:c r="G119" s="25" t="str">
        <x:v>牙統 VPN</x:v>
      </x:c>
      <x:c r="H119" s="25"/>
      <x:c r="I119" s="25"/>
      <x:c r="J119" s="20" t="str">
        <x:v>◎</x:v>
      </x:c>
      <x:c r="K119" s="20" t="str">
        <x:v>◎</x:v>
      </x:c>
      <x:c r="L119" s="20" t="str">
        <x:v>◎</x:v>
      </x:c>
      <x:c r="M119" s="20" t="str">
        <x:v>◎</x:v>
      </x:c>
      <x:c r="N119" s="20" t="str">
        <x:v>◎</x:v>
      </x:c>
      <x:c r="O119" s="20" t="str">
        <x:v>◎</x:v>
      </x:c>
      <x:c r="P119" s="20" t="str">
        <x:v>◎</x:v>
      </x:c>
      <x:c r="Q119" s="20" t="str">
        <x:v>◎</x:v>
      </x:c>
      <x:c r="R119" s="20" t="str">
        <x:v>◎</x:v>
      </x:c>
      <x:c r="S119" s="20" t="str">
        <x:v>※</x:v>
      </x:c>
      <x:c r="T119" s="20" t="str">
        <x:v>※</x:v>
      </x:c>
      <x:c r="U119" s="20"/>
      <x:c r="V119" s="20"/>
      <x:c r="W119" s="20" t="str">
        <x:v>◎</x:v>
      </x:c>
    </x:row>
    <x:row r="120">
      <x:c r="A120" s="20"/>
      <x:c r="B120" s="20"/>
      <x:c r="C120" s="20"/>
      <x:c r="D120" s="20"/>
      <x:c r="E120" s="20"/>
      <x:c r="F120" s="25"/>
      <x:c r="G120" s="25" t="str">
        <x:v>病歷檢查核對</x:v>
      </x:c>
      <x:c r="H120" s="25"/>
      <x:c r="I120" s="25"/>
      <x:c r="J120" s="20" t="str">
        <x:v>◎</x:v>
      </x:c>
      <x:c r="K120" s="20" t="str">
        <x:v>◎</x:v>
      </x:c>
      <x:c r="L120" s="20" t="str">
        <x:v>◎</x:v>
      </x:c>
      <x:c r="M120" s="20" t="str">
        <x:v>◎</x:v>
      </x:c>
      <x:c r="N120" s="20" t="str">
        <x:v>◎</x:v>
      </x:c>
      <x:c r="O120" s="20"/>
      <x:c r="P120" s="20"/>
      <x:c r="Q120" s="20"/>
      <x:c r="R120" s="20"/>
      <x:c r="S120" s="20"/>
      <x:c r="T120" s="20"/>
      <x:c r="U120" s="20"/>
      <x:c r="V120" s="20"/>
      <x:c r="W120" s="20"/>
    </x:row>
    <x:row r="121">
      <x:c r="A121" s="20"/>
      <x:c r="B121" s="20"/>
      <x:c r="C121" s="20"/>
      <x:c r="D121" s="20"/>
      <x:c r="E121" s="20"/>
      <x:c r="F121" s="25"/>
      <x:c r="G121" s="25" t="str">
        <x:v>抽審資料處理</x:v>
      </x:c>
      <x:c r="H121" s="25"/>
      <x:c r="I121" s="25"/>
      <x:c r="J121" s="20" t="str">
        <x:v>◎</x:v>
      </x:c>
      <x:c r="K121" s="20" t="str">
        <x:v>◎</x:v>
      </x:c>
      <x:c r="L121" s="20" t="str">
        <x:v>◎</x:v>
      </x:c>
      <x:c r="M121" s="20" t="str">
        <x:v>Ø</x:v>
      </x:c>
      <x:c r="N121" s="20" t="str">
        <x:v>◎</x:v>
      </x:c>
      <x:c r="O121" s="20"/>
      <x:c r="P121" s="20"/>
      <x:c r="Q121" s="20"/>
      <x:c r="R121" s="20"/>
      <x:c r="S121" s="20"/>
      <x:c r="T121" s="20"/>
      <x:c r="U121" s="20"/>
      <x:c r="V121" s="20"/>
      <x:c r="W121" s="20"/>
    </x:row>
    <x:row r="122">
      <x:c r="A122" s="20"/>
      <x:c r="B122" s="20"/>
      <x:c r="C122" s="20"/>
      <x:c r="D122" s="20"/>
      <x:c r="E122" s="20"/>
      <x:c r="F122" s="25"/>
      <x:c r="G122" s="25"/>
      <x:c r="H122" s="25"/>
      <x:c r="I122" s="25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</x:row>
    <x:row r="123">
      <x:c r="A123" s="20"/>
      <x:c r="B123" s="20"/>
      <x:c r="C123" s="20"/>
      <x:c r="D123" s="20"/>
      <x:c r="E123" s="20"/>
      <x:c r="F123" s="25"/>
      <x:c r="G123" s="25"/>
      <x:c r="H123" s="25"/>
      <x:c r="I123" s="25"/>
      <x:c r="J123" s="20" t="str">
        <x:v>楊醫師:自費RPD先排外
謝醫師:牙統、簡單拔牙先排外
可支援人數評估: Ø不高於3(包含3)，有△、※、未評分，不列入計算</x:v>
      </x:c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20" hidden="0" customWidth="1"/>
    <x:col min="5" max="5" width="72" hidden="0" customWidth="1"/>
    <x:col min="6" max="6" width="56" hidden="0" customWidth="1"/>
  </x:cols>
  <x:sheetData>
    <x:row r="2">
      <x:c r="A2" s="26" t="str">
        <x:v>第一版最小資料庫欄位</x:v>
      </x:c>
      <x:c r="B2" s="26"/>
      <x:c r="C2" s="26"/>
      <x:c r="D2" s="26"/>
      <x:c r="E2" s="26"/>
      <x:c r="F2" s="26"/>
    </x:row>
    <x:row r="3">
      <x:c r="A3" s="27"/>
      <x:c r="B3" s="27"/>
      <x:c r="C3" s="27"/>
      <x:c r="D3" s="27"/>
      <x:c r="E3" s="27"/>
      <x:c r="F3" s="27"/>
    </x:row>
    <x:row r="4">
      <x:c r="A4" s="28" t="str">
        <x:v>18 張邏輯資料表的最小欄位；『第二階段』表示保留結構但本次尚未建資料。</x:v>
      </x:c>
      <x:c r="B4" s="28"/>
      <x:c r="C4" s="28"/>
      <x:c r="D4" s="28"/>
      <x:c r="E4" s="28"/>
      <x:c r="F4" s="28"/>
    </x:row>
    <x:row r="6">
      <x:c r="A6" s="36" t="str">
        <x:v>表代碼</x:v>
      </x:c>
      <x:c r="B6" s="36" t="str">
        <x:v>邏輯資料表</x:v>
      </x:c>
      <x:c r="C6" s="36" t="str">
        <x:v>本次建置</x:v>
      </x:c>
      <x:c r="D6" s="36" t="str">
        <x:v>主鍵</x:v>
      </x:c>
      <x:c r="E6" s="36" t="str">
        <x:v>最小欄位</x:v>
      </x:c>
      <x:c r="F6" s="36" t="str">
        <x:v>用途／規則</x:v>
      </x:c>
    </x:row>
    <x:row r="7">
      <x:c r="A7" s="37" t="str">
        <x:v>T01</x:v>
      </x:c>
      <x:c r="B7" s="37" t="str">
        <x:v>員工主檔</x:v>
      </x:c>
      <x:c r="C7" s="37" t="str">
        <x:v>是</x:v>
      </x:c>
      <x:c r="D7" s="37" t="str">
        <x:v>employee_id</x:v>
      </x:c>
      <x:c r="E7" s="39" t="str">
        <x:v>employee_id, name, employment_type, capability_path, active_flag</x:v>
      </x:c>
      <x:c r="F7" s="39" t="str">
        <x:v>人員識別、聘用型態與能力路徑分開保存</x:v>
      </x:c>
    </x:row>
    <x:row r="8">
      <x:c r="A8" s="37" t="str">
        <x:v>T02</x:v>
      </x:c>
      <x:c r="B8" s="37" t="str">
        <x:v>組別與主管歷程</x:v>
      </x:c>
      <x:c r="C8" s="37" t="str">
        <x:v>是</x:v>
      </x:c>
      <x:c r="D8" s="37" t="str">
        <x:v>assignment_id</x:v>
      </x:c>
      <x:c r="E8" s="39" t="str">
        <x:v>assignment_id, employee_id, group_id, supervisor_id, start_date, end_date</x:v>
      </x:c>
      <x:c r="F8" s="39" t="str">
        <x:v>同一時間一個主要培訓組</x:v>
      </x:c>
    </x:row>
    <x:row r="9">
      <x:c r="A9" s="37" t="str">
        <x:v>T03</x:v>
      </x:c>
      <x:c r="B9" s="37" t="str">
        <x:v>技能主檔</x:v>
      </x:c>
      <x:c r="C9" s="37" t="str">
        <x:v>是</x:v>
      </x:c>
      <x:c r="D9" s="37" t="str">
        <x:v>skill_id</x:v>
      </x:c>
      <x:c r="E9" s="39" t="str">
        <x:v>skill_id, standard_name, skill_type, risk_level, recheck_cycle_months, active_flag</x:v>
      </x:c>
      <x:c r="F9" s="39" t="str">
        <x:v>同義名稱另存來源文字</x:v>
      </x:c>
    </x:row>
    <x:row r="10">
      <x:c r="A10" s="37" t="str">
        <x:v>T04</x:v>
      </x:c>
      <x:c r="B10" s="37" t="str">
        <x:v>崗位與任務主檔</x:v>
      </x:c>
      <x:c r="C10" s="37" t="str">
        <x:v>是</x:v>
      </x:c>
      <x:c r="D10" s="37" t="str">
        <x:v>task_id</x:v>
      </x:c>
      <x:c r="E10" s="39" t="str">
        <x:v>task_id, position_id, task_name, critical_flag, active_flag</x:v>
      </x:c>
      <x:c r="F10" s="39" t="str">
        <x:v>流動為崗位，限制落到具體任務</x:v>
      </x:c>
    </x:row>
    <x:row r="11">
      <x:c r="A11" s="37" t="str">
        <x:v>T05</x:v>
      </x:c>
      <x:c r="B11" s="37" t="str">
        <x:v>醫師主檔</x:v>
      </x:c>
      <x:c r="C11" s="37" t="str">
        <x:v>是</x:v>
      </x:c>
      <x:c r="D11" s="37" t="str">
        <x:v>doctor_id</x:v>
      </x:c>
      <x:c r="E11" s="39" t="str">
        <x:v>doctor_id, doctor_name, practice_pattern, active_flag</x:v>
      </x:c>
      <x:c r="F11" s="39" t="str">
        <x:v>固定型或混合型</x:v>
      </x:c>
    </x:row>
    <x:row r="12">
      <x:c r="A12" s="37" t="str">
        <x:v>T06</x:v>
      </x:c>
      <x:c r="B12" s="37" t="str">
        <x:v>治療模式與療程階段</x:v>
      </x:c>
      <x:c r="C12" s="37" t="str">
        <x:v>是</x:v>
      </x:c>
      <x:c r="D12" s="37" t="str">
        <x:v>mode_id</x:v>
      </x:c>
      <x:c r="E12" s="39" t="str">
        <x:v>mode_id, doctor_id, treatment_name, stage_name, complexity, version_id</x:v>
      </x:c>
      <x:c r="F12" s="39" t="str">
        <x:v>判定到醫師×治療×階段</x:v>
      </x:c>
    </x:row>
    <x:row r="13">
      <x:c r="A13" s="37" t="str">
        <x:v>T07</x:v>
      </x:c>
      <x:c r="B13" s="37" t="str">
        <x:v>治療／崗位能力要求版本</x:v>
      </x:c>
      <x:c r="C13" s="37" t="str">
        <x:v>是</x:v>
      </x:c>
      <x:c r="D13" s="37" t="str">
        <x:v>requirement_id</x:v>
      </x:c>
      <x:c r="E13" s="39" t="str">
        <x:v>requirement_id, mode_id, skill_id, role_type, minimum_rating, support_rule, version_id</x:v>
      </x:c>
      <x:c r="F13" s="39" t="str">
        <x:v>已發布版本不可覆寫</x:v>
      </x:c>
    </x:row>
    <x:row r="14">
      <x:c r="A14" s="37" t="str">
        <x:v>T08</x:v>
      </x:c>
      <x:c r="B14" s="37" t="str">
        <x:v>員工目前能力狀態</x:v>
      </x:c>
      <x:c r="C14" s="37" t="str">
        <x:v>是</x:v>
      </x:c>
      <x:c r="D14" s="37" t="str">
        <x:v>employee_skill_id</x:v>
      </x:c>
      <x:c r="E14" s="39" t="str">
        <x:v>employee_id, skill_id, rating, effective_status, source_type, approved_by, approved_at</x:v>
      </x:c>
      <x:c r="F14" s="39" t="str">
        <x:v>能力、訓練與有效性分開</x:v>
      </x:c>
    </x:row>
    <x:row r="15">
      <x:c r="A15" s="37" t="str">
        <x:v>T09</x:v>
      </x:c>
      <x:c r="B15" s="37" t="str">
        <x:v>考核場次與檢核項目結果</x:v>
      </x:c>
      <x:c r="C15" s="37" t="str">
        <x:v>流程已建立</x:v>
      </x:c>
      <x:c r="D15" s="37" t="str">
        <x:v>assessment_id</x:v>
      </x:c>
      <x:c r="E15" s="39" t="str">
        <x:v>assessment_id, employee_id, skill_id, checklist_version, result, assessor_id, assessed_at</x:v>
      </x:c>
      <x:c r="F15" s="39" t="str">
        <x:v>版本與操作項目須發布後才能供正式考核引用；保留關鍵必要、一般必要、觀察項目</x:v>
      </x:c>
    </x:row>
    <x:row r="16">
      <x:c r="A16" s="37" t="str">
        <x:v>T10</x:v>
      </x:c>
      <x:c r="B16" s="37" t="str">
        <x:v>工作觀察紀錄</x:v>
      </x:c>
      <x:c r="C16" s="37" t="str">
        <x:v>第二階段</x:v>
      </x:c>
      <x:c r="D16" s="37" t="str">
        <x:v>observation_id</x:v>
      </x:c>
      <x:c r="E16" s="39" t="str">
        <x:v>employee_id, skill_id, doctor_id, mode_id, observed_at, independent_flag, prompt_needed, critical_omission</x:v>
      </x:c>
      <x:c r="F16" s="39" t="str">
        <x:v>Ø 升 ◎ 的觀察證據</x:v>
      </x:c>
    </x:row>
    <x:row r="17">
      <x:c r="A17" s="37" t="str">
        <x:v>T11</x:v>
      </x:c>
      <x:c r="B17" s="37" t="str">
        <x:v>跟診熟悉度</x:v>
      </x:c>
      <x:c r="C17" s="37" t="str">
        <x:v>是</x:v>
      </x:c>
      <x:c r="D17" s="37" t="str">
        <x:v>familiarity_id</x:v>
      </x:c>
      <x:c r="E17" s="39" t="str">
        <x:v>employee_id, doctor_id, familiarity_level, effective_status, approved_by, approved_at</x:v>
      </x:c>
      <x:c r="F17" s="39" t="str">
        <x:v>不等同技術能力</x:v>
      </x:c>
    </x:row>
    <x:row r="18">
      <x:c r="A18" s="37" t="str">
        <x:v>T12</x:v>
      </x:c>
      <x:c r="B18" s="37" t="str">
        <x:v>資格有效性與複評排程</x:v>
      </x:c>
      <x:c r="C18" s="37" t="str">
        <x:v>是</x:v>
      </x:c>
      <x:c r="D18" s="37" t="str">
        <x:v>qualification_id</x:v>
      </x:c>
      <x:c r="E18" s="39" t="str">
        <x:v>employee_id, skill_id, valid_from, due_date, grace_end_date, status, retest_date</x:v>
      </x:c>
      <x:c r="F18" s="39" t="str">
        <x:v>高風險逾期無寬限</x:v>
      </x:c>
    </x:row>
    <x:row r="19">
      <x:c r="A19" s="37" t="str">
        <x:v>T13</x:v>
      </x:c>
      <x:c r="B19" s="37" t="str">
        <x:v>人力需求</x:v>
      </x:c>
      <x:c r="C19" s="37" t="str">
        <x:v>第二階段</x:v>
      </x:c>
      <x:c r="D19" s="37" t="str">
        <x:v>demand_id</x:v>
      </x:c>
      <x:c r="E19" s="39" t="str">
        <x:v>slot_id, mode_id, required_count, required_skill_set, confirmed_status</x:v>
      </x:c>
      <x:c r="F19" s="39" t="str">
        <x:v>三週前標記特殊療程</x:v>
      </x:c>
    </x:row>
    <x:row r="20">
      <x:c r="A20" s="37" t="str">
        <x:v>T14</x:v>
      </x:c>
      <x:c r="B20" s="37" t="str">
        <x:v>班次與人員配置</x:v>
      </x:c>
      <x:c r="C20" s="37" t="str">
        <x:v>流程已建立</x:v>
      </x:c>
      <x:c r="D20" s="37" t="str">
        <x:v>assignment_id</x:v>
      </x:c>
      <x:c r="E20" s="39" t="str">
        <x:v>slot_id, employee_id, role, fit_result, exception_id</x:v>
      </x:c>
      <x:c r="F20" s="39" t="str">
        <x:v>正式人力與學習人員分開；班次例外須通過安全閘門、限單一班次並保留核定紀錄</x:v>
      </x:c>
    </x:row>
    <x:row r="21">
      <x:c r="A21" s="37" t="str">
        <x:v>T15</x:v>
      </x:c>
      <x:c r="B21" s="37" t="str">
        <x:v>支援名額與短時支援預約</x:v>
      </x:c>
      <x:c r="C21" s="37" t="str">
        <x:v>第二階段</x:v>
      </x:c>
      <x:c r="D21" s="37" t="str">
        <x:v>support_booking_id</x:v>
      </x:c>
      <x:c r="E21" s="39" t="str">
        <x:v>slot_id, supporter_id, support_type, capacity_units, start_time, end_time</x:v>
      </x:c>
      <x:c r="F21" s="39" t="str">
        <x:v>一般 1 名額，高複雜度 2 名額</x:v>
      </x:c>
    </x:row>
    <x:row r="22">
      <x:c r="A22" s="37" t="str">
        <x:v>T16</x:v>
      </x:c>
      <x:c r="B22" s="37" t="str">
        <x:v>事件、暫時限制與恢復紀錄</x:v>
      </x:c>
      <x:c r="C22" s="37" t="str">
        <x:v>第二階段</x:v>
      </x:c>
      <x:c r="D22" s="37" t="str">
        <x:v>incident_id</x:v>
      </x:c>
      <x:c r="E22" s="39" t="str">
        <x:v>employee_id, skill_id, severity, restriction, opened_at, restored_at</x:v>
      </x:c>
      <x:c r="F22" s="39" t="str">
        <x:v>只暫停直接相關資格</x:v>
      </x:c>
    </x:row>
    <x:row r="23">
      <x:c r="A23" s="37" t="str">
        <x:v>T17</x:v>
      </x:c>
      <x:c r="B23" s="37" t="str">
        <x:v>面談、已知悉與異議複核</x:v>
      </x:c>
      <x:c r="C23" s="37" t="str">
        <x:v>第二階段</x:v>
      </x:c>
      <x:c r="D23" s="37" t="str">
        <x:v>review_id</x:v>
      </x:c>
      <x:c r="E23" s="39" t="str">
        <x:v>employee_id, review_type, decision, acknowledged_at, appeal_status, final_decider</x:v>
      </x:c>
      <x:c r="F23" s="39" t="str">
        <x:v>已知悉不代表同意</x:v>
      </x:c>
    </x:row>
    <x:row r="24">
      <x:c r="A24" s="38" t="str">
        <x:v>T18</x:v>
      </x:c>
      <x:c r="B24" s="38" t="str">
        <x:v>職級與能力路徑歷程</x:v>
      </x:c>
      <x:c r="C24" s="38" t="str">
        <x:v>是</x:v>
      </x:c>
      <x:c r="D24" s="38" t="str">
        <x:v>level_history_id</x:v>
      </x:c>
      <x:c r="E24" s="40" t="str">
        <x:v>employee_id, formal_level, capability_path, effective_date, approved_by, reason</x:v>
      </x:c>
      <x:c r="F24" s="40" t="str">
        <x:v>正式職級不自動升降</x:v>
      </x:c>
    </x:row>
  </x:sheetData>
  <x:pageMargins left="0.7" right="0.7" top="0.75" bottom="0.75" header="0.3" footer="0.3"/>
  <x:tableParts count="1">
    <x:tablePart xmlns:r="http://schemas.openxmlformats.org/officeDocument/2006/relationships" r:id="R2ed8cf42bc1d4174"/>
  </x:tableParts>
</x:worksheet>
</file>

<file path=xl/worksheets/sheet5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14" hidden="0" customWidth="1"/>
    <x:col min="5" max="5" width="52" hidden="0" customWidth="1"/>
  </x:cols>
  <x:sheetData>
    <x:row r="2">
      <x:c r="A2" s="26" t="str">
        <x:v>能力與排班規則參數</x:v>
      </x:c>
      <x:c r="B2" s="26"/>
      <x:c r="C2" s="26"/>
      <x:c r="D2" s="26"/>
      <x:c r="E2" s="26"/>
    </x:row>
    <x:row r="3">
      <x:c r="A3" s="27"/>
      <x:c r="B3" s="27"/>
      <x:c r="C3" s="27"/>
      <x:c r="D3" s="27"/>
      <x:c r="E3" s="27"/>
    </x:row>
    <x:row r="4">
      <x:c r="A4" s="28" t="str">
        <x:v>依 2026-09-17 已確認規則建立；參數值可版本化，不應直接覆蓋歷史規則。</x:v>
      </x:c>
      <x:c r="B4" s="28"/>
      <x:c r="C4" s="28"/>
      <x:c r="D4" s="28"/>
      <x:c r="E4" s="28"/>
    </x:row>
    <x:row r="6">
      <x:c r="A6" s="36" t="str">
        <x:v>規則類別</x:v>
      </x:c>
      <x:c r="B6" s="36" t="str">
        <x:v>參數代碼</x:v>
      </x:c>
      <x:c r="C6" s="36" t="str">
        <x:v>參數值</x:v>
      </x:c>
      <x:c r="D6" s="36" t="str">
        <x:v>確認狀態</x:v>
      </x:c>
      <x:c r="E6" s="36" t="str">
        <x:v>說明</x:v>
      </x:c>
    </x:row>
    <x:row r="7">
      <x:c r="A7" s="37" t="str">
        <x:v>能力評等</x:v>
      </x:c>
      <x:c r="B7" s="37" t="str">
        <x:v>RATING_ORDER</x:v>
      </x:c>
      <x:c r="C7" s="37" t="str">
        <x:v>未評估→※→△→Ø→◎</x:v>
      </x:c>
      <x:c r="D7" s="37" t="str">
        <x:v>已確認</x:v>
      </x:c>
      <x:c r="E7" s="37" t="str">
        <x:v>排班不得把空白視為不適用</x:v>
      </x:c>
    </x:row>
    <x:row r="8">
      <x:c r="A8" s="37" t="str">
        <x:v>條件排班</x:v>
      </x:c>
      <x:c r="B8" s="37" t="str">
        <x:v>MAX_O_COUNT</x:v>
      </x:c>
      <x:c r="C8" s="37" t="n">
        <x:v>3</x:v>
      </x:c>
      <x:c r="D8" s="37" t="str">
        <x:v>已確認</x:v>
      </x:c>
      <x:c r="E8" s="37" t="str">
        <x:v>Ø 最多 3 項</x:v>
      </x:c>
    </x:row>
    <x:row r="9">
      <x:c r="A9" s="37" t="str">
        <x:v>條件排班</x:v>
      </x:c>
      <x:c r="B9" s="37" t="str">
        <x:v>MAX_O_RATIO</x:v>
      </x:c>
      <x:c r="C9" s="42" t="n">
        <x:v>0.3333333333333333</x:v>
      </x:c>
      <x:c r="D9" s="37" t="str">
        <x:v>已確認</x:v>
      </x:c>
      <x:c r="E9" s="37" t="str">
        <x:v>Ø 不超過必要技能三分之一</x:v>
      </x:c>
    </x:row>
    <x:row r="10">
      <x:c r="A10" s="37" t="str">
        <x:v>支援容量</x:v>
      </x:c>
      <x:c r="B10" s="37" t="str">
        <x:v>DEFAULT_SUPPORT_UNITS</x:v>
      </x:c>
      <x:c r="C10" s="37" t="n">
        <x:v>2</x:v>
      </x:c>
      <x:c r="D10" s="37" t="str">
        <x:v>已確認</x:v>
      </x:c>
      <x:c r="E10" s="37" t="str">
        <x:v>完整支援者每班預設名額</x:v>
      </x:c>
    </x:row>
    <x:row r="11">
      <x:c r="A11" s="37" t="str">
        <x:v>支援容量</x:v>
      </x:c>
      <x:c r="B11" s="37" t="str">
        <x:v>GENERAL_SUPPORT_COST</x:v>
      </x:c>
      <x:c r="C11" s="37" t="n">
        <x:v>1</x:v>
      </x:c>
      <x:c r="D11" s="37" t="str">
        <x:v>已確認</x:v>
      </x:c>
      <x:c r="E11" s="37" t="str">
        <x:v>一般 Ø 跟診或能力未完整流動人員</x:v>
      </x:c>
    </x:row>
    <x:row r="12">
      <x:c r="A12" s="37" t="str">
        <x:v>支援容量</x:v>
      </x:c>
      <x:c r="B12" s="37" t="str">
        <x:v>HIGH_COMPLEXITY_COST</x:v>
      </x:c>
      <x:c r="C12" s="37" t="n">
        <x:v>2</x:v>
      </x:c>
      <x:c r="D12" s="37" t="str">
        <x:v>已確認</x:v>
      </x:c>
      <x:c r="E12" s="37" t="str">
        <x:v>高複雜度 1:1 支援</x:v>
      </x:c>
    </x:row>
    <x:row r="13">
      <x:c r="A13" s="37" t="str">
        <x:v>支援容量</x:v>
      </x:c>
      <x:c r="B13" s="37" t="str">
        <x:v>BACKUP_SUPPORT_MAX</x:v>
      </x:c>
      <x:c r="C13" s="37" t="n">
        <x:v>1</x:v>
      </x:c>
      <x:c r="D13" s="37" t="str">
        <x:v>已確認</x:v>
      </x:c>
      <x:c r="E13" s="37" t="str">
        <x:v>技術備援者最多一個一般名額</x:v>
      </x:c>
    </x:row>
    <x:row r="14">
      <x:c r="A14" s="37" t="str">
        <x:v>能力升級</x:v>
      </x:c>
      <x:c r="B14" s="37" t="str">
        <x:v>O_TO_A_OBSERVATIONS</x:v>
      </x:c>
      <x:c r="C14" s="37" t="n">
        <x:v>3</x:v>
      </x:c>
      <x:c r="D14" s="37" t="str">
        <x:v>已確認</x:v>
      </x:c>
      <x:c r="E14" s="37" t="str">
        <x:v>至少三次成功觀察</x:v>
      </x:c>
    </x:row>
    <x:row r="15">
      <x:c r="A15" s="37" t="str">
        <x:v>能力升級</x:v>
      </x:c>
      <x:c r="B15" s="37" t="str">
        <x:v>O_TO_A_WORKDAYS</x:v>
      </x:c>
      <x:c r="C15" s="37" t="n">
        <x:v>2</x:v>
      </x:c>
      <x:c r="D15" s="37" t="str">
        <x:v>已確認</x:v>
      </x:c>
      <x:c r="E15" s="37" t="str">
        <x:v>至少兩個不同工作日</x:v>
      </x:c>
    </x:row>
    <x:row r="16">
      <x:c r="A16" s="37" t="str">
        <x:v>能力升級</x:v>
      </x:c>
      <x:c r="B16" s="37" t="str">
        <x:v>INTERVIEW_REQUIRED</x:v>
      </x:c>
      <x:c r="C16" s="37" t="str">
        <x:v>是</x:v>
      </x:c>
      <x:c r="D16" s="37" t="str">
        <x:v>已確認</x:v>
      </x:c>
      <x:c r="E16" s="37" t="str">
        <x:v>至少一次兩個月面談檢視</x:v>
      </x:c>
    </x:row>
    <x:row r="17">
      <x:c r="A17" s="37" t="str">
        <x:v>複評</x:v>
      </x:c>
      <x:c r="B17" s="37" t="str">
        <x:v>INITIAL_BASELINE_DATE</x:v>
      </x:c>
      <x:c r="C17" s="41" t="n">
        <x:v>46266</x:v>
      </x:c>
      <x:c r="D17" s="37" t="str">
        <x:v>已確認</x:v>
      </x:c>
      <x:c r="E17" s="37" t="str">
        <x:v>初始能力基準日</x:v>
      </x:c>
    </x:row>
    <x:row r="18">
      <x:c r="A18" s="37" t="str">
        <x:v>複評</x:v>
      </x:c>
      <x:c r="B18" s="37" t="str">
        <x:v>FIRST_RECHECK_DUE</x:v>
      </x:c>
      <x:c r="C18" s="41" t="n">
        <x:v>46447</x:v>
      </x:c>
      <x:c r="D18" s="37" t="str">
        <x:v>已確認</x:v>
      </x:c>
      <x:c r="E18" s="37" t="str">
        <x:v>半年複評首次到期日</x:v>
      </x:c>
    </x:row>
    <x:row r="19">
      <x:c r="A19" s="37" t="str">
        <x:v>複評</x:v>
      </x:c>
      <x:c r="B19" s="37" t="str">
        <x:v>STANDARD_GRACE_DAYS</x:v>
      </x:c>
      <x:c r="C19" s="37" t="n">
        <x:v>30</x:v>
      </x:c>
      <x:c r="D19" s="37" t="str">
        <x:v>已確認</x:v>
      </x:c>
      <x:c r="E19" s="37" t="str">
        <x:v>須先排定補考日期</x:v>
      </x:c>
    </x:row>
    <x:row r="20">
      <x:c r="A20" s="37" t="str">
        <x:v>複評</x:v>
      </x:c>
      <x:c r="B20" s="37" t="str">
        <x:v>HIGH_RISK_GRACE_DAYS</x:v>
      </x:c>
      <x:c r="C20" s="37" t="n">
        <x:v>0</x:v>
      </x:c>
      <x:c r="D20" s="37" t="str">
        <x:v>已確認</x:v>
      </x:c>
      <x:c r="E20" s="37" t="str">
        <x:v>低頻高風險逾期立即暫停</x:v>
      </x:c>
    </x:row>
    <x:row r="21">
      <x:c r="A21" s="37" t="str">
        <x:v>療程確認</x:v>
      </x:c>
      <x:c r="B21" s="37" t="str">
        <x:v>SPECIAL_TREATMENT_LEAD_WEEKS</x:v>
      </x:c>
      <x:c r="C21" s="37" t="n">
        <x:v>3</x:v>
      </x:c>
      <x:c r="D21" s="37" t="str">
        <x:v>已確認</x:v>
      </x:c>
      <x:c r="E21" s="37" t="str">
        <x:v>諮詢組標記特殊療程</x:v>
      </x:c>
    </x:row>
    <x:row r="22">
      <x:c r="A22" s="37" t="str">
        <x:v>療程確認</x:v>
      </x:c>
      <x:c r="B22" s="37" t="str">
        <x:v>PREVISIT_CONFIRM_WEEKS</x:v>
      </x:c>
      <x:c r="C22" s="37" t="n">
        <x:v>1</x:v>
      </x:c>
      <x:c r="D22" s="37" t="str">
        <x:v>已確認</x:v>
      </x:c>
      <x:c r="E22" s="37" t="str">
        <x:v>跟診助理向醫師確認</x:v>
      </x:c>
    </x:row>
    <x:row r="23">
      <x:c r="A23" s="37" t="str">
        <x:v>短時支援</x:v>
      </x:c>
      <x:c r="B23" s="37" t="str">
        <x:v>RPD_FINAL_DEFAULT_MINUTES</x:v>
      </x:c>
      <x:c r="C23" s="37" t="n">
        <x:v>30</x:v>
      </x:c>
      <x:c r="D23" s="37" t="str">
        <x:v>已確認</x:v>
      </x:c>
      <x:c r="E23" s="37" t="str">
        <x:v>可依個案調整</x:v>
      </x:c>
    </x:row>
    <x:row r="24">
      <x:c r="A24" s="38" t="str">
        <x:v>治理</x:v>
      </x:c>
      <x:c r="B24" s="38" t="str">
        <x:v>RULE_VERSION</x:v>
      </x:c>
      <x:c r="C24" s="38" t="str">
        <x:v>V1</x:v>
      </x:c>
      <x:c r="D24" s="38" t="str">
        <x:v>已確認</x:v>
      </x:c>
      <x:c r="E24" s="38" t="str">
        <x:v>正式版本需生效日期</x:v>
      </x:c>
    </x:row>
  </x:sheetData>
  <x:pageMargins left="0.7" right="0.7" top="0.75" bottom="0.75" header="0.3" footer="0.3"/>
  <x:tableParts count="1">
    <x:tablePart xmlns:r="http://schemas.openxmlformats.org/officeDocument/2006/relationships" r:id="R54d22ee2ceb04157"/>
  </x:tableParts>
</x:worksheet>
</file>

<file path=xl/worksheets/sheet6.xml><?xml version="1.0" encoding="utf-8"?>
<x:worksheet xmlns:x="http://schemas.openxmlformats.org/spreadsheetml/2006/main">
  <x:sheetPr>
    <x:tabColor rgb="FF9BB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18" hidden="0" customWidth="1"/>
    <x:col min="5" max="5" width="14" hidden="0" customWidth="1"/>
    <x:col min="6" max="6" width="28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42" hidden="0" customWidth="1"/>
  </x:cols>
  <x:sheetData>
    <x:row r="2">
      <x:c r="A2" s="26" t="str">
        <x:v>技能主檔 V1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>
      <x:c r="A4" s="28" t="str">
        <x:v>李侑津醫師試行技能與已確認共通技能先保留；所有來源名稱與跨醫師合併決定記錄於「技能名稱對照」，只有已發布的對照才可增修技能主檔。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</x:row>
    <x:row r="6">
      <x:c r="A6" s="36" t="str">
        <x:v>技能代碼</x:v>
      </x:c>
      <x:c r="B6" s="36" t="str">
        <x:v>標準名稱</x:v>
      </x:c>
      <x:c r="C6" s="36" t="str">
        <x:v>技能類型</x:v>
      </x:c>
      <x:c r="D6" s="36" t="str">
        <x:v>來源工作區塊</x:v>
      </x:c>
      <x:c r="E6" s="36" t="str">
        <x:v>來源分類</x:v>
      </x:c>
      <x:c r="F6" s="36" t="str">
        <x:v>來源文字</x:v>
      </x:c>
      <x:c r="G6" s="36" t="str">
        <x:v>風險／複評類型</x:v>
      </x:c>
      <x:c r="H6" s="36" t="str">
        <x:v>半年複評</x:v>
      </x:c>
      <x:c r="I6" s="36" t="str">
        <x:v>週期（月）</x:v>
      </x:c>
      <x:c r="J6" s="36" t="str">
        <x:v>狀態</x:v>
      </x:c>
      <x:c r="K6" s="36" t="str">
        <x:v>備註</x:v>
      </x:c>
    </x:row>
    <x:row r="7">
      <x:c r="A7" s="37" t="str">
        <x:v>LJT-PREP-SCALING</x:v>
      </x:c>
      <x:c r="B7" s="37" t="str">
        <x:v>洗牙器械準備</x:v>
      </x:c>
      <x:c r="C7" s="37" t="str">
        <x:v>醫師＋治療專屬</x:v>
      </x:c>
      <x:c r="D7" s="37" t="str">
        <x:v>李侑津醫師</x:v>
      </x:c>
      <x:c r="E7" s="37" t="str">
        <x:v>器械準備</x:v>
      </x:c>
      <x:c r="F7" s="37" t="str">
        <x:v>洗牙</x:v>
      </x:c>
      <x:c r="G7" s="37" t="str">
        <x:v>一般</x:v>
      </x:c>
      <x:c r="H7" s="37" t="str">
        <x:v>否</x:v>
      </x:c>
      <x:c r="I7" s="37"/>
      <x:c r="J7" s="37" t="str">
        <x:v>啟用</x:v>
      </x:c>
      <x:c r="K7" s="39" t="str">
        <x:v>來源文字保留</x:v>
      </x:c>
    </x:row>
    <x:row r="8">
      <x:c r="A8" s="37" t="str">
        <x:v>LJT-PREP-FILLING</x:v>
      </x:c>
      <x:c r="B8" s="37" t="str">
        <x:v>補牙器械準備</x:v>
      </x:c>
      <x:c r="C8" s="37" t="str">
        <x:v>醫師＋治療專屬</x:v>
      </x:c>
      <x:c r="D8" s="37" t="str">
        <x:v>李侑津醫師</x:v>
      </x:c>
      <x:c r="E8" s="37" t="str">
        <x:v>器械準備</x:v>
      </x:c>
      <x:c r="F8" s="37" t="str">
        <x:v>補牙</x:v>
      </x:c>
      <x:c r="G8" s="37" t="str">
        <x:v>一般</x:v>
      </x:c>
      <x:c r="H8" s="37" t="str">
        <x:v>否</x:v>
      </x:c>
      <x:c r="I8" s="37"/>
      <x:c r="J8" s="37" t="str">
        <x:v>啟用</x:v>
      </x:c>
      <x:c r="K8" s="39" t="str"/>
    </x:row>
    <x:row r="9">
      <x:c r="A9" s="37" t="str">
        <x:v>LJT-PREP-PERIO</x:v>
      </x:c>
      <x:c r="B9" s="37" t="str">
        <x:v>牙周統合器械準備</x:v>
      </x:c>
      <x:c r="C9" s="37" t="str">
        <x:v>醫師＋治療專屬</x:v>
      </x:c>
      <x:c r="D9" s="37" t="str">
        <x:v>李侑津醫師</x:v>
      </x:c>
      <x:c r="E9" s="37" t="str">
        <x:v>器械準備</x:v>
      </x:c>
      <x:c r="F9" s="37" t="str">
        <x:v>牙周統合</x:v>
      </x:c>
      <x:c r="G9" s="37" t="str">
        <x:v>一般</x:v>
      </x:c>
      <x:c r="H9" s="37" t="str">
        <x:v>否</x:v>
      </x:c>
      <x:c r="I9" s="37"/>
      <x:c r="J9" s="37" t="str">
        <x:v>啟用</x:v>
      </x:c>
      <x:c r="K9" s="39" t="str"/>
    </x:row>
    <x:row r="10">
      <x:c r="A10" s="37" t="str">
        <x:v>LJT-PREP-RCT</x:v>
      </x:c>
      <x:c r="B10" s="37" t="str">
        <x:v>一般根管器械準備</x:v>
      </x:c>
      <x:c r="C10" s="37" t="str">
        <x:v>醫師＋治療專屬</x:v>
      </x:c>
      <x:c r="D10" s="37" t="str">
        <x:v>李侑津醫師</x:v>
      </x:c>
      <x:c r="E10" s="37" t="str">
        <x:v>器械準備</x:v>
      </x:c>
      <x:c r="F10" s="37" t="str">
        <x:v>根管治療</x:v>
      </x:c>
      <x:c r="G10" s="37" t="str">
        <x:v>一般</x:v>
      </x:c>
      <x:c r="H10" s="37" t="str">
        <x:v>否</x:v>
      </x:c>
      <x:c r="I10" s="37"/>
      <x:c r="J10" s="37" t="str">
        <x:v>啟用</x:v>
      </x:c>
      <x:c r="K10" s="39" t="str"/>
    </x:row>
    <x:row r="11">
      <x:c r="A11" s="37" t="str">
        <x:v>LJT-PREP-EXTRACTION</x:v>
      </x:c>
      <x:c r="B11" s="37" t="str">
        <x:v>拔牙器械準備</x:v>
      </x:c>
      <x:c r="C11" s="37" t="str">
        <x:v>醫師＋治療專屬</x:v>
      </x:c>
      <x:c r="D11" s="37" t="str">
        <x:v>李侑津醫師</x:v>
      </x:c>
      <x:c r="E11" s="37" t="str">
        <x:v>器械準備</x:v>
      </x:c>
      <x:c r="F11" s="37" t="str">
        <x:v>拔牙</x:v>
      </x:c>
      <x:c r="G11" s="37" t="str">
        <x:v>一般</x:v>
      </x:c>
      <x:c r="H11" s="37" t="str">
        <x:v>否</x:v>
      </x:c>
      <x:c r="I11" s="37"/>
      <x:c r="J11" s="37" t="str">
        <x:v>啟用</x:v>
      </x:c>
      <x:c r="K11" s="39" t="str"/>
    </x:row>
    <x:row r="12">
      <x:c r="A12" s="37" t="str">
        <x:v>LJT-PREP-CROWNPOST</x:v>
      </x:c>
      <x:c r="B12" s="37" t="str">
        <x:v>拆 crown/post 器械準備</x:v>
      </x:c>
      <x:c r="C12" s="37" t="str">
        <x:v>醫師＋治療專屬</x:v>
      </x:c>
      <x:c r="D12" s="37" t="str">
        <x:v>李侑津醫師</x:v>
      </x:c>
      <x:c r="E12" s="37" t="str">
        <x:v>器械準備</x:v>
      </x:c>
      <x:c r="F12" s="37" t="str">
        <x:v>拆 crown/post</x:v>
      </x:c>
      <x:c r="G12" s="37" t="str">
        <x:v>一般</x:v>
      </x:c>
      <x:c r="H12" s="37" t="str">
        <x:v>否</x:v>
      </x:c>
      <x:c r="I12" s="37"/>
      <x:c r="J12" s="37" t="str">
        <x:v>啟用</x:v>
      </x:c>
      <x:c r="K12" s="39" t="str"/>
    </x:row>
    <x:row r="13">
      <x:c r="A13" s="37" t="str">
        <x:v>LJT-PREP-CROWN</x:v>
      </x:c>
      <x:c r="B13" s="37" t="str">
        <x:v>固定假牙器械準備</x:v>
      </x:c>
      <x:c r="C13" s="37" t="str">
        <x:v>醫師＋治療專屬</x:v>
      </x:c>
      <x:c r="D13" s="37" t="str">
        <x:v>李侑津醫師</x:v>
      </x:c>
      <x:c r="E13" s="37" t="str">
        <x:v>自費</x:v>
      </x:c>
      <x:c r="F13" s="37" t="str">
        <x:v>固定假牙</x:v>
      </x:c>
      <x:c r="G13" s="37" t="str">
        <x:v>一般</x:v>
      </x:c>
      <x:c r="H13" s="37" t="str">
        <x:v>否</x:v>
      </x:c>
      <x:c r="I13" s="37"/>
      <x:c r="J13" s="37" t="str">
        <x:v>啟用</x:v>
      </x:c>
      <x:c r="K13" s="39" t="str"/>
    </x:row>
    <x:row r="14">
      <x:c r="A14" s="37" t="str">
        <x:v>LJT-PREP-RPD</x:v>
      </x:c>
      <x:c r="B14" s="37" t="str">
        <x:v>RPD 器械準備</x:v>
      </x:c>
      <x:c r="C14" s="37" t="str">
        <x:v>醫師＋治療專屬</x:v>
      </x:c>
      <x:c r="D14" s="37" t="str">
        <x:v>李侑津醫師</x:v>
      </x:c>
      <x:c r="E14" s="37" t="str">
        <x:v>自費</x:v>
      </x:c>
      <x:c r="F14" s="37" t="str">
        <x:v>RPD</x:v>
      </x:c>
      <x:c r="G14" s="37" t="str">
        <x:v>一般</x:v>
      </x:c>
      <x:c r="H14" s="37" t="str">
        <x:v>否</x:v>
      </x:c>
      <x:c r="I14" s="37"/>
      <x:c r="J14" s="37" t="str">
        <x:v>啟用</x:v>
      </x:c>
      <x:c r="K14" s="39" t="str">
        <x:v>一般 RPD 步驟</x:v>
      </x:c>
    </x:row>
    <x:row r="15">
      <x:c r="A15" s="37" t="str">
        <x:v>LJT-RPD-FINAL</x:v>
      </x:c>
      <x:c r="B15" s="37" t="str">
        <x:v>RPD 印最終模</x:v>
      </x:c>
      <x:c r="C15" s="37" t="str">
        <x:v>技術</x:v>
      </x:c>
      <x:c r="D15" s="37" t="str">
        <x:v>李侑津醫師</x:v>
      </x:c>
      <x:c r="E15" s="37" t="str">
        <x:v>自費</x:v>
      </x:c>
      <x:c r="F15" s="37" t="str">
        <x:v>RPD 印最終模（拆分新增）</x:v>
      </x:c>
      <x:c r="G15" s="37" t="str">
        <x:v>高風險</x:v>
      </x:c>
      <x:c r="H15" s="37" t="str">
        <x:v>是</x:v>
      </x:c>
      <x:c r="I15" s="37" t="n">
        <x:v>6</x:v>
      </x:c>
      <x:c r="J15" s="37" t="str">
        <x:v>啟用</x:v>
      </x:c>
      <x:c r="K15" s="39" t="str">
        <x:v>來源表無獨立評等，須另行考核</x:v>
      </x:c>
    </x:row>
    <x:row r="16">
      <x:c r="A16" s="37" t="str">
        <x:v>LJT-PREP-AIRPOLISH</x:v>
      </x:c>
      <x:c r="B16" s="37" t="str">
        <x:v>噴砂美白器械準備</x:v>
      </x:c>
      <x:c r="C16" s="37" t="str">
        <x:v>醫師＋治療專屬</x:v>
      </x:c>
      <x:c r="D16" s="37" t="str">
        <x:v>李侑津醫師</x:v>
      </x:c>
      <x:c r="E16" s="37" t="str">
        <x:v>自費</x:v>
      </x:c>
      <x:c r="F16" s="37" t="str">
        <x:v>噴砂美白</x:v>
      </x:c>
      <x:c r="G16" s="37" t="str">
        <x:v>一般</x:v>
      </x:c>
      <x:c r="H16" s="37" t="str">
        <x:v>否</x:v>
      </x:c>
      <x:c r="I16" s="37"/>
      <x:c r="J16" s="37" t="str">
        <x:v>啟用</x:v>
      </x:c>
      <x:c r="K16" s="39" t="str"/>
    </x:row>
    <x:row r="17">
      <x:c r="A17" s="37" t="str">
        <x:v>LJT-PREP-PERIOSURG</x:v>
      </x:c>
      <x:c r="B17" s="37" t="str">
        <x:v>牙周手術相關準備</x:v>
      </x:c>
      <x:c r="C17" s="37" t="str">
        <x:v>高複雜度技術</x:v>
      </x:c>
      <x:c r="D17" s="37" t="str">
        <x:v>李侑津醫師</x:v>
      </x:c>
      <x:c r="E17" s="37" t="str">
        <x:v>手術</x:v>
      </x:c>
      <x:c r="F17" s="37" t="str">
        <x:v>牙周手術</x:v>
      </x:c>
      <x:c r="G17" s="37" t="str">
        <x:v>高風險</x:v>
      </x:c>
      <x:c r="H17" s="37" t="str">
        <x:v>是</x:v>
      </x:c>
      <x:c r="I17" s="37" t="n">
        <x:v>6</x:v>
      </x:c>
      <x:c r="J17" s="37" t="str">
        <x:v>啟用</x:v>
      </x:c>
      <x:c r="K17" s="39" t="str"/>
    </x:row>
    <x:row r="18">
      <x:c r="A18" s="37" t="str">
        <x:v>LJT-PREP-MICROENDO</x:v>
      </x:c>
      <x:c r="B18" s="37" t="str">
        <x:v>顯微根管相關準備</x:v>
      </x:c>
      <x:c r="C18" s="37" t="str">
        <x:v>高複雜度技術</x:v>
      </x:c>
      <x:c r="D18" s="37" t="str">
        <x:v>李侑津醫師</x:v>
      </x:c>
      <x:c r="E18" s="37" t="str">
        <x:v>手術</x:v>
      </x:c>
      <x:c r="F18" s="37" t="str">
        <x:v>顯微根管</x:v>
      </x:c>
      <x:c r="G18" s="37" t="str">
        <x:v>高風險</x:v>
      </x:c>
      <x:c r="H18" s="37" t="str">
        <x:v>是</x:v>
      </x:c>
      <x:c r="I18" s="37" t="n">
        <x:v>6</x:v>
      </x:c>
      <x:c r="J18" s="37" t="str">
        <x:v>啟用</x:v>
      </x:c>
      <x:c r="K18" s="39" t="str"/>
    </x:row>
    <x:row r="19">
      <x:c r="A19" s="37" t="str">
        <x:v>LJT-PREP-IMPLANT</x:v>
      </x:c>
      <x:c r="B19" s="37" t="str">
        <x:v>植牙相關準備</x:v>
      </x:c>
      <x:c r="C19" s="37" t="str">
        <x:v>高複雜度技術</x:v>
      </x:c>
      <x:c r="D19" s="37" t="str">
        <x:v>李侑津醫師</x:v>
      </x:c>
      <x:c r="E19" s="37" t="str">
        <x:v>手術</x:v>
      </x:c>
      <x:c r="F19" s="37" t="str">
        <x:v>植 牙</x:v>
      </x:c>
      <x:c r="G19" s="37" t="str">
        <x:v>高風險</x:v>
      </x:c>
      <x:c r="H19" s="37" t="str">
        <x:v>是</x:v>
      </x:c>
      <x:c r="I19" s="37" t="n">
        <x:v>6</x:v>
      </x:c>
      <x:c r="J19" s="37" t="str">
        <x:v>啟用</x:v>
      </x:c>
      <x:c r="K19" s="39" t="str">
        <x:v>標準名稱合併空格差異</x:v>
      </x:c>
    </x:row>
    <x:row r="20">
      <x:c r="A20" s="37" t="str">
        <x:v>COMMON-RECORD</x:v>
      </x:c>
      <x:c r="B20" s="37" t="str">
        <x:v>病歷基本操作</x:v>
      </x:c>
      <x:c r="C20" s="37" t="str">
        <x:v>共通技能</x:v>
      </x:c>
      <x:c r="D20" s="37" t="str">
        <x:v>共通</x:v>
      </x:c>
      <x:c r="E20" s="37" t="str"/>
      <x:c r="F20" s="37" t="str">
        <x:v>病歷紀錄</x:v>
      </x:c>
      <x:c r="G20" s="37" t="str">
        <x:v>一般</x:v>
      </x:c>
      <x:c r="H20" s="37" t="str">
        <x:v>否</x:v>
      </x:c>
      <x:c r="I20" s="37"/>
      <x:c r="J20" s="37" t="str">
        <x:v>啟用</x:v>
      </x:c>
      <x:c r="K20" s="39" t="str">
        <x:v>跨醫師承認</x:v>
      </x:c>
    </x:row>
    <x:row r="21">
      <x:c r="A21" s="37" t="str">
        <x:v>COMMON-INSURANCE</x:v>
      </x:c>
      <x:c r="B21" s="37" t="str">
        <x:v>健保申報</x:v>
      </x:c>
      <x:c r="C21" s="37" t="str">
        <x:v>共通技能</x:v>
      </x:c>
      <x:c r="D21" s="37" t="str">
        <x:v>共通</x:v>
      </x:c>
      <x:c r="E21" s="37" t="str"/>
      <x:c r="F21" s="37" t="str">
        <x:v>健保申報</x:v>
      </x:c>
      <x:c r="G21" s="37" t="str">
        <x:v>一般</x:v>
      </x:c>
      <x:c r="H21" s="37" t="str">
        <x:v>否</x:v>
      </x:c>
      <x:c r="I21" s="37"/>
      <x:c r="J21" s="37" t="str">
        <x:v>啟用</x:v>
      </x:c>
      <x:c r="K21" s="39" t="str">
        <x:v>跨醫師承認</x:v>
      </x:c>
    </x:row>
    <x:row r="22">
      <x:c r="A22" s="37" t="str">
        <x:v>COMMON-XRAY-RECORD</x:v>
      </x:c>
      <x:c r="B22" s="37" t="str">
        <x:v>X 光片紀錄</x:v>
      </x:c>
      <x:c r="C22" s="37" t="str">
        <x:v>共通技能</x:v>
      </x:c>
      <x:c r="D22" s="37" t="str">
        <x:v>共通</x:v>
      </x:c>
      <x:c r="E22" s="37" t="str"/>
      <x:c r="F22" s="37" t="str">
        <x:v>X光片紀錄</x:v>
      </x:c>
      <x:c r="G22" s="37" t="str">
        <x:v>一般</x:v>
      </x:c>
      <x:c r="H22" s="37" t="str">
        <x:v>否</x:v>
      </x:c>
      <x:c r="I22" s="37"/>
      <x:c r="J22" s="37" t="str">
        <x:v>啟用</x:v>
      </x:c>
      <x:c r="K22" s="39" t="str">
        <x:v>跨醫師承認</x:v>
      </x:c>
    </x:row>
    <x:row r="23">
      <x:c r="A23" s="37" t="str">
        <x:v>COMMON-PA</x:v>
      </x:c>
      <x:c r="B23" s="37" t="str">
        <x:v>拍 PA</x:v>
      </x:c>
      <x:c r="C23" s="37" t="str">
        <x:v>共通技術</x:v>
      </x:c>
      <x:c r="D23" s="37" t="str">
        <x:v>共通</x:v>
      </x:c>
      <x:c r="E23" s="37" t="str"/>
      <x:c r="F23" s="37" t="str">
        <x:v>拍PA</x:v>
      </x:c>
      <x:c r="G23" s="37" t="str">
        <x:v>需半年複評</x:v>
      </x:c>
      <x:c r="H23" s="37" t="str">
        <x:v>是</x:v>
      </x:c>
      <x:c r="I23" s="37" t="n">
        <x:v>6</x:v>
      </x:c>
      <x:c r="J23" s="37" t="str">
        <x:v>啟用</x:v>
      </x:c>
      <x:c r="K23" s="39" t="str">
        <x:v>影像操作分項</x:v>
      </x:c>
    </x:row>
    <x:row r="24">
      <x:c r="A24" s="38" t="str">
        <x:v>COMMON-IOS</x:v>
      </x:c>
      <x:c r="B24" s="38" t="str">
        <x:v>口掃機運用</x:v>
      </x:c>
      <x:c r="C24" s="38" t="str">
        <x:v>共通技術</x:v>
      </x:c>
      <x:c r="D24" s="38" t="str">
        <x:v>共通</x:v>
      </x:c>
      <x:c r="E24" s="38" t="str"/>
      <x:c r="F24" s="38" t="str">
        <x:v>口掃機運用</x:v>
      </x:c>
      <x:c r="G24" s="38" t="str">
        <x:v>一般</x:v>
      </x:c>
      <x:c r="H24" s="38" t="str">
        <x:v>否</x:v>
      </x:c>
      <x:c r="I24" s="38"/>
      <x:c r="J24" s="38" t="str">
        <x:v>啟用</x:v>
      </x:c>
      <x:c r="K24" s="40" t="str">
        <x:v>跨醫師承認</x:v>
      </x:c>
    </x:row>
  </x:sheetData>
  <x:pageMargins left="0.7" right="0.7" top="0.75" bottom="0.75" header="0.3" footer="0.3"/>
  <x:tableParts count="1">
    <x:tablePart xmlns:r="http://schemas.openxmlformats.org/officeDocument/2006/relationships" r:id="Rc90f91b5174f40a3"/>
  </x:tableParts>
</x:worksheet>
</file>

<file path=xl/worksheets/sheet7.xml><?xml version="1.0" encoding="utf-8"?>
<x:worksheet xmlns:x="http://schemas.openxmlformats.org/spreadsheetml/2006/main">
  <x:sheetPr>
    <x:tabColor rgb="FF9BB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22" hidden="0" customWidth="1"/>
    <x:col min="12" max="12" width="10" hidden="0" customWidth="1"/>
    <x:col min="13" max="13" width="14" hidden="0" customWidth="1"/>
    <x:col min="14" max="14" width="12" hidden="0" customWidth="1"/>
    <x:col min="15" max="15" width="40" hidden="0" customWidth="1"/>
  </x:cols>
  <x:sheetData>
    <x:row r="2">
      <x:c r="A2" s="26" t="str">
        <x:v>李侑津醫師治療模式 V1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8" t="str">
        <x:v>一般診、補綴／自費與高複雜度分開；RPD 印最終模另列短時支援階段。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6">
      <x:c r="A6" s="36" t="str">
        <x:v>模式代碼</x:v>
      </x:c>
      <x:c r="B6" s="36" t="str">
        <x:v>醫師</x:v>
      </x:c>
      <x:c r="C6" s="36" t="str">
        <x:v>模式群組</x:v>
      </x:c>
      <x:c r="D6" s="36" t="str">
        <x:v>治療項目</x:v>
      </x:c>
      <x:c r="E6" s="36" t="str">
        <x:v>療程階段</x:v>
      </x:c>
      <x:c r="F6" s="36" t="str">
        <x:v>複雜度</x:v>
      </x:c>
      <x:c r="G6" s="36" t="str">
        <x:v>一般需求人數</x:v>
      </x:c>
      <x:c r="H6" s="36" t="str">
        <x:v>條件排支援名額</x:v>
      </x:c>
      <x:c r="I6" s="36" t="str">
        <x:v>固定短時支援人數</x:v>
      </x:c>
      <x:c r="J6" s="36" t="str">
        <x:v>預設支援分鐘</x:v>
      </x:c>
      <x:c r="K6" s="36" t="str">
        <x:v>跟診熟悉度要求</x:v>
      </x:c>
      <x:c r="L6" s="36" t="str">
        <x:v>版本</x:v>
      </x:c>
      <x:c r="M6" s="36" t="str">
        <x:v>生效日</x:v>
      </x:c>
      <x:c r="N6" s="36" t="str">
        <x:v>狀態</x:v>
      </x:c>
      <x:c r="O6" s="36" t="str">
        <x:v>備註</x:v>
      </x:c>
    </x:row>
    <x:row r="7">
      <x:c r="A7" s="37" t="str">
        <x:v>LJT-SCALING</x:v>
      </x:c>
      <x:c r="B7" s="37" t="str">
        <x:v>李侑津醫師</x:v>
      </x:c>
      <x:c r="C7" s="37" t="str">
        <x:v>一般治療</x:v>
      </x:c>
      <x:c r="D7" s="37" t="str">
        <x:v>洗牙</x:v>
      </x:c>
      <x:c r="E7" s="37" t="str">
        <x:v>一般</x:v>
      </x:c>
      <x:c r="F7" s="37" t="str">
        <x:v>一般</x:v>
      </x:c>
      <x:c r="G7" s="37" t="n">
        <x:v>1</x:v>
      </x:c>
      <x:c r="H7" s="37" t="n">
        <x:v>1</x:v>
      </x:c>
      <x:c r="I7" s="37" t="n">
        <x:v>0</x:v>
      </x:c>
      <x:c r="J7" s="37"/>
      <x:c r="K7" s="37" t="str">
        <x:v>可獨立配合</x:v>
      </x:c>
      <x:c r="L7" s="37" t="str">
        <x:v>V1</x:v>
      </x:c>
      <x:c r="M7" s="41" t="n">
        <x:v>46282</x:v>
      </x:c>
      <x:c r="N7" s="37" t="str">
        <x:v>試行</x:v>
      </x:c>
      <x:c r="O7" s="39" t="str"/>
    </x:row>
    <x:row r="8">
      <x:c r="A8" s="37" t="str">
        <x:v>LJT-FILLING</x:v>
      </x:c>
      <x:c r="B8" s="37" t="str">
        <x:v>李侑津醫師</x:v>
      </x:c>
      <x:c r="C8" s="37" t="str">
        <x:v>一般治療</x:v>
      </x:c>
      <x:c r="D8" s="37" t="str">
        <x:v>補牙</x:v>
      </x:c>
      <x:c r="E8" s="37" t="str">
        <x:v>一般</x:v>
      </x:c>
      <x:c r="F8" s="37" t="str">
        <x:v>一般</x:v>
      </x:c>
      <x:c r="G8" s="37" t="n">
        <x:v>1</x:v>
      </x:c>
      <x:c r="H8" s="37" t="n">
        <x:v>1</x:v>
      </x:c>
      <x:c r="I8" s="37" t="n">
        <x:v>0</x:v>
      </x:c>
      <x:c r="J8" s="37"/>
      <x:c r="K8" s="37" t="str">
        <x:v>可獨立配合</x:v>
      </x:c>
      <x:c r="L8" s="37" t="str">
        <x:v>V1</x:v>
      </x:c>
      <x:c r="M8" s="41" t="n">
        <x:v>46282</x:v>
      </x:c>
      <x:c r="N8" s="37" t="str">
        <x:v>試行</x:v>
      </x:c>
      <x:c r="O8" s="39" t="str"/>
    </x:row>
    <x:row r="9">
      <x:c r="A9" s="37" t="str">
        <x:v>LJT-PERIO</x:v>
      </x:c>
      <x:c r="B9" s="37" t="str">
        <x:v>李侑津醫師</x:v>
      </x:c>
      <x:c r="C9" s="37" t="str">
        <x:v>一般治療</x:v>
      </x:c>
      <x:c r="D9" s="37" t="str">
        <x:v>牙周統合</x:v>
      </x:c>
      <x:c r="E9" s="37" t="str">
        <x:v>一般</x:v>
      </x:c>
      <x:c r="F9" s="37" t="str">
        <x:v>一般</x:v>
      </x:c>
      <x:c r="G9" s="37" t="n">
        <x:v>1</x:v>
      </x:c>
      <x:c r="H9" s="37" t="n">
        <x:v>1</x:v>
      </x:c>
      <x:c r="I9" s="37" t="n">
        <x:v>0</x:v>
      </x:c>
      <x:c r="J9" s="37"/>
      <x:c r="K9" s="37" t="str">
        <x:v>可獨立配合</x:v>
      </x:c>
      <x:c r="L9" s="37" t="str">
        <x:v>V1</x:v>
      </x:c>
      <x:c r="M9" s="41" t="n">
        <x:v>46282</x:v>
      </x:c>
      <x:c r="N9" s="37" t="str">
        <x:v>試行</x:v>
      </x:c>
      <x:c r="O9" s="39" t="str"/>
    </x:row>
    <x:row r="10">
      <x:c r="A10" s="37" t="str">
        <x:v>LJT-RCT</x:v>
      </x:c>
      <x:c r="B10" s="37" t="str">
        <x:v>李侑津醫師</x:v>
      </x:c>
      <x:c r="C10" s="37" t="str">
        <x:v>一般治療</x:v>
      </x:c>
      <x:c r="D10" s="37" t="str">
        <x:v>一般根管治療</x:v>
      </x:c>
      <x:c r="E10" s="37" t="str">
        <x:v>一般</x:v>
      </x:c>
      <x:c r="F10" s="37" t="str">
        <x:v>一般</x:v>
      </x:c>
      <x:c r="G10" s="37" t="n">
        <x:v>1</x:v>
      </x:c>
      <x:c r="H10" s="37" t="n">
        <x:v>1</x:v>
      </x:c>
      <x:c r="I10" s="37" t="n">
        <x:v>0</x:v>
      </x:c>
      <x:c r="J10" s="37"/>
      <x:c r="K10" s="37" t="str">
        <x:v>可獨立配合</x:v>
      </x:c>
      <x:c r="L10" s="37" t="str">
        <x:v>V1</x:v>
      </x:c>
      <x:c r="M10" s="41" t="n">
        <x:v>46282</x:v>
      </x:c>
      <x:c r="N10" s="37" t="str">
        <x:v>試行</x:v>
      </x:c>
      <x:c r="O10" s="39" t="str"/>
    </x:row>
    <x:row r="11">
      <x:c r="A11" s="37" t="str">
        <x:v>LJT-EXTRACTION</x:v>
      </x:c>
      <x:c r="B11" s="37" t="str">
        <x:v>李侑津醫師</x:v>
      </x:c>
      <x:c r="C11" s="37" t="str">
        <x:v>一般治療</x:v>
      </x:c>
      <x:c r="D11" s="37" t="str">
        <x:v>拔牙</x:v>
      </x:c>
      <x:c r="E11" s="37" t="str">
        <x:v>一般</x:v>
      </x:c>
      <x:c r="F11" s="37" t="str">
        <x:v>一般</x:v>
      </x:c>
      <x:c r="G11" s="37" t="n">
        <x:v>1</x:v>
      </x:c>
      <x:c r="H11" s="37" t="n">
        <x:v>1</x:v>
      </x:c>
      <x:c r="I11" s="37" t="n">
        <x:v>0</x:v>
      </x:c>
      <x:c r="J11" s="37"/>
      <x:c r="K11" s="37" t="str">
        <x:v>可獨立配合</x:v>
      </x:c>
      <x:c r="L11" s="37" t="str">
        <x:v>V1</x:v>
      </x:c>
      <x:c r="M11" s="41" t="n">
        <x:v>46282</x:v>
      </x:c>
      <x:c r="N11" s="37" t="str">
        <x:v>試行</x:v>
      </x:c>
      <x:c r="O11" s="39" t="str"/>
    </x:row>
    <x:row r="12">
      <x:c r="A12" s="37" t="str">
        <x:v>LJT-CROWNPOST</x:v>
      </x:c>
      <x:c r="B12" s="37" t="str">
        <x:v>李侑津醫師</x:v>
      </x:c>
      <x:c r="C12" s="37" t="str">
        <x:v>一般治療</x:v>
      </x:c>
      <x:c r="D12" s="37" t="str">
        <x:v>拆 crown/post</x:v>
      </x:c>
      <x:c r="E12" s="37" t="str">
        <x:v>一般</x:v>
      </x:c>
      <x:c r="F12" s="37" t="str">
        <x:v>一般</x:v>
      </x:c>
      <x:c r="G12" s="37" t="n">
        <x:v>1</x:v>
      </x:c>
      <x:c r="H12" s="37" t="n">
        <x:v>1</x:v>
      </x:c>
      <x:c r="I12" s="37" t="n">
        <x:v>0</x:v>
      </x:c>
      <x:c r="J12" s="37"/>
      <x:c r="K12" s="37" t="str">
        <x:v>可獨立配合</x:v>
      </x:c>
      <x:c r="L12" s="37" t="str">
        <x:v>V1</x:v>
      </x:c>
      <x:c r="M12" s="41" t="n">
        <x:v>46282</x:v>
      </x:c>
      <x:c r="N12" s="37" t="str">
        <x:v>試行</x:v>
      </x:c>
      <x:c r="O12" s="39" t="str"/>
    </x:row>
    <x:row r="13">
      <x:c r="A13" s="37" t="str">
        <x:v>LJT-CROWN</x:v>
      </x:c>
      <x:c r="B13" s="37" t="str">
        <x:v>李侑津醫師</x:v>
      </x:c>
      <x:c r="C13" s="37" t="str">
        <x:v>補綴／自費</x:v>
      </x:c>
      <x:c r="D13" s="37" t="str">
        <x:v>固定假牙</x:v>
      </x:c>
      <x:c r="E13" s="37" t="str">
        <x:v>一般</x:v>
      </x:c>
      <x:c r="F13" s="37" t="str">
        <x:v>一般</x:v>
      </x:c>
      <x:c r="G13" s="37" t="n">
        <x:v>1</x:v>
      </x:c>
      <x:c r="H13" s="37" t="n">
        <x:v>1</x:v>
      </x:c>
      <x:c r="I13" s="37" t="n">
        <x:v>0</x:v>
      </x:c>
      <x:c r="J13" s="37"/>
      <x:c r="K13" s="37" t="str">
        <x:v>可獨立配合</x:v>
      </x:c>
      <x:c r="L13" s="37" t="str">
        <x:v>V1</x:v>
      </x:c>
      <x:c r="M13" s="41" t="n">
        <x:v>46282</x:v>
      </x:c>
      <x:c r="N13" s="37" t="str">
        <x:v>試行</x:v>
      </x:c>
      <x:c r="O13" s="39" t="str"/>
    </x:row>
    <x:row r="14">
      <x:c r="A14" s="37" t="str">
        <x:v>LJT-RPD</x:v>
      </x:c>
      <x:c r="B14" s="37" t="str">
        <x:v>李侑津醫師</x:v>
      </x:c>
      <x:c r="C14" s="37" t="str">
        <x:v>補綴／自費</x:v>
      </x:c>
      <x:c r="D14" s="37" t="str">
        <x:v>RPD</x:v>
      </x:c>
      <x:c r="E14" s="37" t="str">
        <x:v>一般步驟</x:v>
      </x:c>
      <x:c r="F14" s="37" t="str">
        <x:v>一般</x:v>
      </x:c>
      <x:c r="G14" s="37" t="n">
        <x:v>1</x:v>
      </x:c>
      <x:c r="H14" s="37" t="n">
        <x:v>1</x:v>
      </x:c>
      <x:c r="I14" s="37" t="n">
        <x:v>0</x:v>
      </x:c>
      <x:c r="J14" s="37"/>
      <x:c r="K14" s="37" t="str">
        <x:v>可獨立配合</x:v>
      </x:c>
      <x:c r="L14" s="37" t="str">
        <x:v>V1</x:v>
      </x:c>
      <x:c r="M14" s="41" t="n">
        <x:v>46282</x:v>
      </x:c>
      <x:c r="N14" s="37" t="str">
        <x:v>試行</x:v>
      </x:c>
      <x:c r="O14" s="39" t="str">
        <x:v>一般 RPD 不需額外支援</x:v>
      </x:c>
    </x:row>
    <x:row r="15">
      <x:c r="A15" s="37" t="str">
        <x:v>LJT-RPD-FINAL</x:v>
      </x:c>
      <x:c r="B15" s="37" t="str">
        <x:v>李侑津醫師</x:v>
      </x:c>
      <x:c r="C15" s="37" t="str">
        <x:v>補綴／自費</x:v>
      </x:c>
      <x:c r="D15" s="37" t="str">
        <x:v>RPD</x:v>
      </x:c>
      <x:c r="E15" s="37" t="str">
        <x:v>印最終模</x:v>
      </x:c>
      <x:c r="F15" s="37" t="str">
        <x:v>特殊階段</x:v>
      </x:c>
      <x:c r="G15" s="37" t="n">
        <x:v>1</x:v>
      </x:c>
      <x:c r="H15" s="37" t="n">
        <x:v>1</x:v>
      </x:c>
      <x:c r="I15" s="37" t="n">
        <x:v>1</x:v>
      </x:c>
      <x:c r="J15" s="37" t="n">
        <x:v>30</x:v>
      </x:c>
      <x:c r="K15" s="37" t="str">
        <x:v>可獨立配合</x:v>
      </x:c>
      <x:c r="L15" s="37" t="str">
        <x:v>V1</x:v>
      </x:c>
      <x:c r="M15" s="41" t="n">
        <x:v>46282</x:v>
      </x:c>
      <x:c r="N15" s="37" t="str">
        <x:v>試行</x:v>
      </x:c>
      <x:c r="O15" s="39" t="str">
        <x:v>三週前標記；短時支援</x:v>
      </x:c>
    </x:row>
    <x:row r="16">
      <x:c r="A16" s="37" t="str">
        <x:v>LJT-AIRPOLISH</x:v>
      </x:c>
      <x:c r="B16" s="37" t="str">
        <x:v>李侑津醫師</x:v>
      </x:c>
      <x:c r="C16" s="37" t="str">
        <x:v>補綴／自費</x:v>
      </x:c>
      <x:c r="D16" s="37" t="str">
        <x:v>噴砂美白</x:v>
      </x:c>
      <x:c r="E16" s="37" t="str">
        <x:v>一般</x:v>
      </x:c>
      <x:c r="F16" s="37" t="str">
        <x:v>一般</x:v>
      </x:c>
      <x:c r="G16" s="37" t="n">
        <x:v>1</x:v>
      </x:c>
      <x:c r="H16" s="37" t="n">
        <x:v>1</x:v>
      </x:c>
      <x:c r="I16" s="37" t="n">
        <x:v>0</x:v>
      </x:c>
      <x:c r="J16" s="37"/>
      <x:c r="K16" s="37" t="str">
        <x:v>可獨立配合</x:v>
      </x:c>
      <x:c r="L16" s="37" t="str">
        <x:v>V1</x:v>
      </x:c>
      <x:c r="M16" s="41" t="n">
        <x:v>46282</x:v>
      </x:c>
      <x:c r="N16" s="37" t="str">
        <x:v>試行</x:v>
      </x:c>
      <x:c r="O16" s="39" t="str"/>
    </x:row>
    <x:row r="17">
      <x:c r="A17" s="37" t="str">
        <x:v>LJT-PERIOSURG</x:v>
      </x:c>
      <x:c r="B17" s="37" t="str">
        <x:v>李侑津醫師</x:v>
      </x:c>
      <x:c r="C17" s="37" t="str">
        <x:v>高複雜度</x:v>
      </x:c>
      <x:c r="D17" s="37" t="str">
        <x:v>牙周手術</x:v>
      </x:c>
      <x:c r="E17" s="37" t="str">
        <x:v>一般</x:v>
      </x:c>
      <x:c r="F17" s="37" t="str">
        <x:v>高複雜度</x:v>
      </x:c>
      <x:c r="G17" s="37" t="n">
        <x:v>1</x:v>
      </x:c>
      <x:c r="H17" s="37" t="n">
        <x:v>2</x:v>
      </x:c>
      <x:c r="I17" s="37" t="n">
        <x:v>0</x:v>
      </x:c>
      <x:c r="J17" s="37"/>
      <x:c r="K17" s="37" t="str">
        <x:v>可獨立配合</x:v>
      </x:c>
      <x:c r="L17" s="37" t="str">
        <x:v>V1</x:v>
      </x:c>
      <x:c r="M17" s="41" t="n">
        <x:v>46282</x:v>
      </x:c>
      <x:c r="N17" s="37" t="str">
        <x:v>試行</x:v>
      </x:c>
      <x:c r="O17" s="39" t="str">
        <x:v>Ø 時完整支援者 1:1</x:v>
      </x:c>
    </x:row>
    <x:row r="18">
      <x:c r="A18" s="37" t="str">
        <x:v>LJT-MICROENDO</x:v>
      </x:c>
      <x:c r="B18" s="37" t="str">
        <x:v>李侑津醫師</x:v>
      </x:c>
      <x:c r="C18" s="37" t="str">
        <x:v>高複雜度</x:v>
      </x:c>
      <x:c r="D18" s="37" t="str">
        <x:v>顯微根管</x:v>
      </x:c>
      <x:c r="E18" s="37" t="str">
        <x:v>一般</x:v>
      </x:c>
      <x:c r="F18" s="37" t="str">
        <x:v>高複雜度</x:v>
      </x:c>
      <x:c r="G18" s="37" t="n">
        <x:v>1</x:v>
      </x:c>
      <x:c r="H18" s="37" t="n">
        <x:v>2</x:v>
      </x:c>
      <x:c r="I18" s="37" t="n">
        <x:v>0</x:v>
      </x:c>
      <x:c r="J18" s="37"/>
      <x:c r="K18" s="37" t="str">
        <x:v>可獨立配合</x:v>
      </x:c>
      <x:c r="L18" s="37" t="str">
        <x:v>V1</x:v>
      </x:c>
      <x:c r="M18" s="41" t="n">
        <x:v>46282</x:v>
      </x:c>
      <x:c r="N18" s="37" t="str">
        <x:v>試行</x:v>
      </x:c>
      <x:c r="O18" s="39" t="str">
        <x:v>Ø 時完整支援者 1:1</x:v>
      </x:c>
    </x:row>
    <x:row r="19">
      <x:c r="A19" s="38" t="str">
        <x:v>LJT-IMPLANT</x:v>
      </x:c>
      <x:c r="B19" s="38" t="str">
        <x:v>李侑津醫師</x:v>
      </x:c>
      <x:c r="C19" s="38" t="str">
        <x:v>高複雜度</x:v>
      </x:c>
      <x:c r="D19" s="38" t="str">
        <x:v>植牙</x:v>
      </x:c>
      <x:c r="E19" s="38" t="str">
        <x:v>一般</x:v>
      </x:c>
      <x:c r="F19" s="38" t="str">
        <x:v>高複雜度</x:v>
      </x:c>
      <x:c r="G19" s="38" t="n">
        <x:v>1</x:v>
      </x:c>
      <x:c r="H19" s="38" t="n">
        <x:v>2</x:v>
      </x:c>
      <x:c r="I19" s="38" t="n">
        <x:v>0</x:v>
      </x:c>
      <x:c r="J19" s="38"/>
      <x:c r="K19" s="38" t="str">
        <x:v>可獨立配合</x:v>
      </x:c>
      <x:c r="L19" s="38" t="str">
        <x:v>V1</x:v>
      </x:c>
      <x:c r="M19" s="43" t="n">
        <x:v>46282</x:v>
      </x:c>
      <x:c r="N19" s="38" t="str">
        <x:v>試行</x:v>
      </x:c>
      <x:c r="O19" s="40" t="str">
        <x:v>Ø 時完整支援者 1:1</x:v>
      </x:c>
    </x:row>
  </x:sheetData>
  <x:pageMargins left="0.7" right="0.7" top="0.75" bottom="0.75" header="0.3" footer="0.3"/>
  <x:tableParts count="1">
    <x:tablePart xmlns:r="http://schemas.openxmlformats.org/officeDocument/2006/relationships" r:id="R6a8d7f0205f34403"/>
  </x:tableParts>
</x:worksheet>
</file>

<file path=xl/worksheets/sheet8.xml><?xml version="1.0" encoding="utf-8"?>
<x:worksheet xmlns:x="http://schemas.openxmlformats.org/spreadsheetml/2006/main">
  <x:sheetPr>
    <x:tabColor rgb="FF9BB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16" hidden="0" customWidth="1"/>
    <x:col min="5" max="5" width="26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46" hidden="0" customWidth="1"/>
    <x:col min="11" max="11" width="14" hidden="0" customWidth="1"/>
    <x:col min="12" max="12" width="10" hidden="0" customWidth="1"/>
    <x:col min="13" max="13" width="46" hidden="0" customWidth="1"/>
  </x:cols>
  <x:sheetData>
    <x:row r="2">
      <x:c r="A2" s="26" t="str">
        <x:v>李侑津醫師能力要求 V1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8" t="str">
        <x:v>治療專屬技能已建；共通技能先列為待確認，不會直接視為已核定的排班門檻。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</x:row>
    <x:row r="6">
      <x:c r="A6" s="36" t="str">
        <x:v>要求代碼</x:v>
      </x:c>
      <x:c r="B6" s="36" t="str">
        <x:v>模式代碼</x:v>
      </x:c>
      <x:c r="C6" s="36" t="str">
        <x:v>治療項目</x:v>
      </x:c>
      <x:c r="D6" s="36" t="str">
        <x:v>療程階段</x:v>
      </x:c>
      <x:c r="E6" s="36" t="str">
        <x:v>技能代碼</x:v>
      </x:c>
      <x:c r="F6" s="36" t="str">
        <x:v>人員角色</x:v>
      </x:c>
      <x:c r="G6" s="36" t="str">
        <x:v>必要性</x:v>
      </x:c>
      <x:c r="H6" s="36" t="str">
        <x:v>獨立最低評等</x:v>
      </x:c>
      <x:c r="I6" s="36" t="str">
        <x:v>條件排最低評等</x:v>
      </x:c>
      <x:c r="J6" s="36" t="str">
        <x:v>支援規則</x:v>
      </x:c>
      <x:c r="K6" s="36" t="str">
        <x:v>確認狀態</x:v>
      </x:c>
      <x:c r="L6" s="36" t="str">
        <x:v>版本</x:v>
      </x:c>
      <x:c r="M6" s="89" t="str">
        <x:v>要求查找鍵</x:v>
      </x:c>
    </x:row>
    <x:row r="7">
      <x:c r="A7" s="37" t="str">
        <x:v>LJT-SCALING-MAIN</x:v>
      </x:c>
      <x:c r="B7" s="37" t="str">
        <x:v>LJT-SCALING</x:v>
      </x:c>
      <x:c r="C7" s="37" t="str">
        <x:v>洗牙</x:v>
      </x:c>
      <x:c r="D7" s="37" t="str">
        <x:v>一般</x:v>
      </x:c>
      <x:c r="E7" s="37" t="str">
        <x:v>LJT-PREP-SCALING</x:v>
      </x:c>
      <x:c r="F7" s="37" t="str">
        <x:v>主跟診</x:v>
      </x:c>
      <x:c r="G7" s="37" t="str">
        <x:v>必備</x:v>
      </x:c>
      <x:c r="H7" s="37" t="str">
        <x:v>◎</x:v>
      </x:c>
      <x:c r="I7" s="37" t="str">
        <x:v>Ø</x:v>
      </x:c>
      <x:c r="J7" s="39" t="str">
        <x:v>依一般支援名額</x:v>
      </x:c>
      <x:c r="K7" s="37" t="str">
        <x:v>已確認</x:v>
      </x:c>
      <x:c r="L7" s="37" t="str">
        <x:v>V1</x:v>
      </x:c>
      <x:c r="M7" t="str">
        <x:v>LJT-SCALING|LJT-PREP-SCALING</x:v>
      </x:c>
    </x:row>
    <x:row r="8">
      <x:c r="A8" s="37" t="str">
        <x:v>LJT-SCALING-COMMON-RECORD</x:v>
      </x:c>
      <x:c r="B8" s="37" t="str">
        <x:v>LJT-SCALING</x:v>
      </x:c>
      <x:c r="C8" s="37" t="str">
        <x:v>洗牙</x:v>
      </x:c>
      <x:c r="D8" s="37" t="str">
        <x:v>一般</x:v>
      </x:c>
      <x:c r="E8" s="37" t="str">
        <x:v>COMMON-RECORD</x:v>
      </x:c>
      <x:c r="F8" s="37" t="str">
        <x:v>主跟診</x:v>
      </x:c>
      <x:c r="G8" s="37" t="str">
        <x:v>待確認</x:v>
      </x:c>
      <x:c r="H8" s="37" t="str">
        <x:v>◎</x:v>
      </x:c>
      <x:c r="I8" s="37" t="str">
        <x:v>Ø</x:v>
      </x:c>
      <x:c r="J8" s="39" t="str">
        <x:v>確認後才納入自動判定</x:v>
      </x:c>
      <x:c r="K8" s="37" t="str">
        <x:f>IF(_xlfn.XLOOKUP("REQ|LJT-SCALING|COMMON-RECORD",'主管核定中心'!$A$12:$A$372,'主管核定中心'!$K$12:$K$372,"待主管核定",0)="已核定","已確認",IF(_xlfn.XLOOKUP("REQ|LJT-SCALING|COMMON-RECORD",'主管核定中心'!$A$12:$A$372,'主管核定中心'!$K$12:$K$372,"待主管核定",0)="不納入","不納入","待確認"))</x:f>
        <x:v>待確認</x:v>
      </x:c>
      <x:c r="L8" s="37" t="str">
        <x:v>V1</x:v>
      </x:c>
      <x:c r="M8" t="str">
        <x:v>LJT-SCALING|COMMON-RECORD</x:v>
      </x:c>
    </x:row>
    <x:row r="9">
      <x:c r="A9" s="37" t="str">
        <x:v>LJT-SCALING-COMMON-INSURANCE</x:v>
      </x:c>
      <x:c r="B9" s="37" t="str">
        <x:v>LJT-SCALING</x:v>
      </x:c>
      <x:c r="C9" s="37" t="str">
        <x:v>洗牙</x:v>
      </x:c>
      <x:c r="D9" s="37" t="str">
        <x:v>一般</x:v>
      </x:c>
      <x:c r="E9" s="37" t="str">
        <x:v>COMMON-INSURANCE</x:v>
      </x:c>
      <x:c r="F9" s="37" t="str">
        <x:v>主跟診</x:v>
      </x:c>
      <x:c r="G9" s="37" t="str">
        <x:v>待確認</x:v>
      </x:c>
      <x:c r="H9" s="37" t="str">
        <x:v>◎</x:v>
      </x:c>
      <x:c r="I9" s="37" t="str">
        <x:v>Ø</x:v>
      </x:c>
      <x:c r="J9" s="39" t="str">
        <x:v>確認後才納入自動判定</x:v>
      </x:c>
      <x:c r="K9" s="37" t="str">
        <x:f>IF(_xlfn.XLOOKUP("REQ|LJT-SCALING|COMMON-INSURANCE",'主管核定中心'!$A$12:$A$372,'主管核定中心'!$K$12:$K$372,"待主管核定",0)="已核定","已確認",IF(_xlfn.XLOOKUP("REQ|LJT-SCALING|COMMON-INSURANCE",'主管核定中心'!$A$12:$A$372,'主管核定中心'!$K$12:$K$372,"待主管核定",0)="不納入","不納入","待確認"))</x:f>
        <x:v>待確認</x:v>
      </x:c>
      <x:c r="L9" s="37" t="str">
        <x:v>V1</x:v>
      </x:c>
      <x:c r="M9" t="str">
        <x:v>LJT-SCALING|COMMON-INSURANCE</x:v>
      </x:c>
    </x:row>
    <x:row r="10">
      <x:c r="A10" s="37" t="str">
        <x:v>LJT-SCALING-COMMON-XRAY-RECORD</x:v>
      </x:c>
      <x:c r="B10" s="37" t="str">
        <x:v>LJT-SCALING</x:v>
      </x:c>
      <x:c r="C10" s="37" t="str">
        <x:v>洗牙</x:v>
      </x:c>
      <x:c r="D10" s="37" t="str">
        <x:v>一般</x:v>
      </x:c>
      <x:c r="E10" s="37" t="str">
        <x:v>COMMON-XRAY-RECORD</x:v>
      </x:c>
      <x:c r="F10" s="37" t="str">
        <x:v>主跟診</x:v>
      </x:c>
      <x:c r="G10" s="37" t="str">
        <x:v>待確認</x:v>
      </x:c>
      <x:c r="H10" s="37" t="str">
        <x:v>◎</x:v>
      </x:c>
      <x:c r="I10" s="37" t="str">
        <x:v>Ø</x:v>
      </x:c>
      <x:c r="J10" s="39" t="str">
        <x:v>確認後才納入自動判定</x:v>
      </x:c>
      <x:c r="K10" s="37" t="str">
        <x:f>IF(_xlfn.XLOOKUP("REQ|LJT-SCALING|COMMON-XRAY-RECORD",'主管核定中心'!$A$12:$A$372,'主管核定中心'!$K$12:$K$372,"待主管核定",0)="已核定","已確認",IF(_xlfn.XLOOKUP("REQ|LJT-SCALING|COMMON-XRAY-RECORD",'主管核定中心'!$A$12:$A$372,'主管核定中心'!$K$12:$K$372,"待主管核定",0)="不納入","不納入","待確認"))</x:f>
        <x:v>待確認</x:v>
      </x:c>
      <x:c r="L10" s="37" t="str">
        <x:v>V1</x:v>
      </x:c>
      <x:c r="M10" t="str">
        <x:v>LJT-SCALING|COMMON-XRAY-RECORD</x:v>
      </x:c>
    </x:row>
    <x:row r="11">
      <x:c r="A11" s="37" t="str">
        <x:v>LJT-FILLING-MAIN</x:v>
      </x:c>
      <x:c r="B11" s="37" t="str">
        <x:v>LJT-FILLING</x:v>
      </x:c>
      <x:c r="C11" s="37" t="str">
        <x:v>補牙</x:v>
      </x:c>
      <x:c r="D11" s="37" t="str">
        <x:v>一般</x:v>
      </x:c>
      <x:c r="E11" s="37" t="str">
        <x:v>LJT-PREP-FILLING</x:v>
      </x:c>
      <x:c r="F11" s="37" t="str">
        <x:v>主跟診</x:v>
      </x:c>
      <x:c r="G11" s="37" t="str">
        <x:v>必備</x:v>
      </x:c>
      <x:c r="H11" s="37" t="str">
        <x:v>◎</x:v>
      </x:c>
      <x:c r="I11" s="37" t="str">
        <x:v>Ø</x:v>
      </x:c>
      <x:c r="J11" s="39" t="str">
        <x:v>依一般支援名額</x:v>
      </x:c>
      <x:c r="K11" s="37" t="str">
        <x:v>已確認</x:v>
      </x:c>
      <x:c r="L11" s="37" t="str">
        <x:v>V1</x:v>
      </x:c>
      <x:c r="M11" t="str">
        <x:v>LJT-FILLING|LJT-PREP-FILLING</x:v>
      </x:c>
    </x:row>
    <x:row r="12">
      <x:c r="A12" s="37" t="str">
        <x:v>LJT-FILLING-COMMON-RECORD</x:v>
      </x:c>
      <x:c r="B12" s="37" t="str">
        <x:v>LJT-FILLING</x:v>
      </x:c>
      <x:c r="C12" s="37" t="str">
        <x:v>補牙</x:v>
      </x:c>
      <x:c r="D12" s="37" t="str">
        <x:v>一般</x:v>
      </x:c>
      <x:c r="E12" s="37" t="str">
        <x:v>COMMON-RECORD</x:v>
      </x:c>
      <x:c r="F12" s="37" t="str">
        <x:v>主跟診</x:v>
      </x:c>
      <x:c r="G12" s="37" t="str">
        <x:v>待確認</x:v>
      </x:c>
      <x:c r="H12" s="37" t="str">
        <x:v>◎</x:v>
      </x:c>
      <x:c r="I12" s="37" t="str">
        <x:v>Ø</x:v>
      </x:c>
      <x:c r="J12" s="39" t="str">
        <x:v>確認後才納入自動判定</x:v>
      </x:c>
      <x:c r="K12" s="37" t="str">
        <x:f>IF(_xlfn.XLOOKUP("REQ|LJT-FILLING|COMMON-RECORD",'主管核定中心'!$A$12:$A$372,'主管核定中心'!$K$12:$K$372,"待主管核定",0)="已核定","已確認",IF(_xlfn.XLOOKUP("REQ|LJT-FILLING|COMMON-RECORD",'主管核定中心'!$A$12:$A$372,'主管核定中心'!$K$12:$K$372,"待主管核定",0)="不納入","不納入","待確認"))</x:f>
        <x:v>待確認</x:v>
      </x:c>
      <x:c r="L12" s="37" t="str">
        <x:v>V1</x:v>
      </x:c>
      <x:c r="M12" t="str">
        <x:v>LJT-FILLING|COMMON-RECORD</x:v>
      </x:c>
    </x:row>
    <x:row r="13">
      <x:c r="A13" s="37" t="str">
        <x:v>LJT-FILLING-COMMON-INSURANCE</x:v>
      </x:c>
      <x:c r="B13" s="37" t="str">
        <x:v>LJT-FILLING</x:v>
      </x:c>
      <x:c r="C13" s="37" t="str">
        <x:v>補牙</x:v>
      </x:c>
      <x:c r="D13" s="37" t="str">
        <x:v>一般</x:v>
      </x:c>
      <x:c r="E13" s="37" t="str">
        <x:v>COMMON-INSURANCE</x:v>
      </x:c>
      <x:c r="F13" s="37" t="str">
        <x:v>主跟診</x:v>
      </x:c>
      <x:c r="G13" s="37" t="str">
        <x:v>待確認</x:v>
      </x:c>
      <x:c r="H13" s="37" t="str">
        <x:v>◎</x:v>
      </x:c>
      <x:c r="I13" s="37" t="str">
        <x:v>Ø</x:v>
      </x:c>
      <x:c r="J13" s="39" t="str">
        <x:v>確認後才納入自動判定</x:v>
      </x:c>
      <x:c r="K13" s="37" t="str">
        <x:f>IF(_xlfn.XLOOKUP("REQ|LJT-FILLING|COMMON-INSURANCE",'主管核定中心'!$A$12:$A$372,'主管核定中心'!$K$12:$K$372,"待主管核定",0)="已核定","已確認",IF(_xlfn.XLOOKUP("REQ|LJT-FILLING|COMMON-INSURANCE",'主管核定中心'!$A$12:$A$372,'主管核定中心'!$K$12:$K$372,"待主管核定",0)="不納入","不納入","待確認"))</x:f>
        <x:v>待確認</x:v>
      </x:c>
      <x:c r="L13" s="37" t="str">
        <x:v>V1</x:v>
      </x:c>
      <x:c r="M13" t="str">
        <x:v>LJT-FILLING|COMMON-INSURANCE</x:v>
      </x:c>
    </x:row>
    <x:row r="14">
      <x:c r="A14" s="37" t="str">
        <x:v>LJT-FILLING-COMMON-XRAY-RECORD</x:v>
      </x:c>
      <x:c r="B14" s="37" t="str">
        <x:v>LJT-FILLING</x:v>
      </x:c>
      <x:c r="C14" s="37" t="str">
        <x:v>補牙</x:v>
      </x:c>
      <x:c r="D14" s="37" t="str">
        <x:v>一般</x:v>
      </x:c>
      <x:c r="E14" s="37" t="str">
        <x:v>COMMON-XRAY-RECORD</x:v>
      </x:c>
      <x:c r="F14" s="37" t="str">
        <x:v>主跟診</x:v>
      </x:c>
      <x:c r="G14" s="37" t="str">
        <x:v>待確認</x:v>
      </x:c>
      <x:c r="H14" s="37" t="str">
        <x:v>◎</x:v>
      </x:c>
      <x:c r="I14" s="37" t="str">
        <x:v>Ø</x:v>
      </x:c>
      <x:c r="J14" s="39" t="str">
        <x:v>確認後才納入自動判定</x:v>
      </x:c>
      <x:c r="K14" s="37" t="str">
        <x:f>IF(_xlfn.XLOOKUP("REQ|LJT-FILLING|COMMON-XRAY-RECORD",'主管核定中心'!$A$12:$A$372,'主管核定中心'!$K$12:$K$372,"待主管核定",0)="已核定","已確認",IF(_xlfn.XLOOKUP("REQ|LJT-FILLING|COMMON-XRAY-RECORD",'主管核定中心'!$A$12:$A$372,'主管核定中心'!$K$12:$K$372,"待主管核定",0)="不納入","不納入","待確認"))</x:f>
        <x:v>待確認</x:v>
      </x:c>
      <x:c r="L14" s="37" t="str">
        <x:v>V1</x:v>
      </x:c>
      <x:c r="M14" t="str">
        <x:v>LJT-FILLING|COMMON-XRAY-RECORD</x:v>
      </x:c>
    </x:row>
    <x:row r="15">
      <x:c r="A15" s="37" t="str">
        <x:v>LJT-PERIO-MAIN</x:v>
      </x:c>
      <x:c r="B15" s="37" t="str">
        <x:v>LJT-PERIO</x:v>
      </x:c>
      <x:c r="C15" s="37" t="str">
        <x:v>牙周統合</x:v>
      </x:c>
      <x:c r="D15" s="37" t="str">
        <x:v>一般</x:v>
      </x:c>
      <x:c r="E15" s="37" t="str">
        <x:v>LJT-PREP-PERIO</x:v>
      </x:c>
      <x:c r="F15" s="37" t="str">
        <x:v>主跟診</x:v>
      </x:c>
      <x:c r="G15" s="37" t="str">
        <x:v>必備</x:v>
      </x:c>
      <x:c r="H15" s="37" t="str">
        <x:v>◎</x:v>
      </x:c>
      <x:c r="I15" s="37" t="str">
        <x:v>Ø</x:v>
      </x:c>
      <x:c r="J15" s="39" t="str">
        <x:v>依一般支援名額</x:v>
      </x:c>
      <x:c r="K15" s="37" t="str">
        <x:v>已確認</x:v>
      </x:c>
      <x:c r="L15" s="37" t="str">
        <x:v>V1</x:v>
      </x:c>
      <x:c r="M15" t="str">
        <x:v>LJT-PERIO|LJT-PREP-PERIO</x:v>
      </x:c>
    </x:row>
    <x:row r="16">
      <x:c r="A16" s="37" t="str">
        <x:v>LJT-PERIO-COMMON-RECORD</x:v>
      </x:c>
      <x:c r="B16" s="37" t="str">
        <x:v>LJT-PERIO</x:v>
      </x:c>
      <x:c r="C16" s="37" t="str">
        <x:v>牙周統合</x:v>
      </x:c>
      <x:c r="D16" s="37" t="str">
        <x:v>一般</x:v>
      </x:c>
      <x:c r="E16" s="37" t="str">
        <x:v>COMMON-RECORD</x:v>
      </x:c>
      <x:c r="F16" s="37" t="str">
        <x:v>主跟診</x:v>
      </x:c>
      <x:c r="G16" s="37" t="str">
        <x:v>待確認</x:v>
      </x:c>
      <x:c r="H16" s="37" t="str">
        <x:v>◎</x:v>
      </x:c>
      <x:c r="I16" s="37" t="str">
        <x:v>Ø</x:v>
      </x:c>
      <x:c r="J16" s="39" t="str">
        <x:v>確認後才納入自動判定</x:v>
      </x:c>
      <x:c r="K16" s="37" t="str">
        <x:f>IF(_xlfn.XLOOKUP("REQ|LJT-PERIO|COMMON-RECORD",'主管核定中心'!$A$12:$A$372,'主管核定中心'!$K$12:$K$372,"待主管核定",0)="已核定","已確認",IF(_xlfn.XLOOKUP("REQ|LJT-PERIO|COMMON-RECORD",'主管核定中心'!$A$12:$A$372,'主管核定中心'!$K$12:$K$372,"待主管核定",0)="不納入","不納入","待確認"))</x:f>
        <x:v>待確認</x:v>
      </x:c>
      <x:c r="L16" s="37" t="str">
        <x:v>V1</x:v>
      </x:c>
      <x:c r="M16" t="str">
        <x:v>LJT-PERIO|COMMON-RECORD</x:v>
      </x:c>
    </x:row>
    <x:row r="17">
      <x:c r="A17" s="37" t="str">
        <x:v>LJT-PERIO-COMMON-INSURANCE</x:v>
      </x:c>
      <x:c r="B17" s="37" t="str">
        <x:v>LJT-PERIO</x:v>
      </x:c>
      <x:c r="C17" s="37" t="str">
        <x:v>牙周統合</x:v>
      </x:c>
      <x:c r="D17" s="37" t="str">
        <x:v>一般</x:v>
      </x:c>
      <x:c r="E17" s="37" t="str">
        <x:v>COMMON-INSURANCE</x:v>
      </x:c>
      <x:c r="F17" s="37" t="str">
        <x:v>主跟診</x:v>
      </x:c>
      <x:c r="G17" s="37" t="str">
        <x:v>待確認</x:v>
      </x:c>
      <x:c r="H17" s="37" t="str">
        <x:v>◎</x:v>
      </x:c>
      <x:c r="I17" s="37" t="str">
        <x:v>Ø</x:v>
      </x:c>
      <x:c r="J17" s="39" t="str">
        <x:v>確認後才納入自動判定</x:v>
      </x:c>
      <x:c r="K17" s="37" t="str">
        <x:f>IF(_xlfn.XLOOKUP("REQ|LJT-PERIO|COMMON-INSURANCE",'主管核定中心'!$A$12:$A$372,'主管核定中心'!$K$12:$K$372,"待主管核定",0)="已核定","已確認",IF(_xlfn.XLOOKUP("REQ|LJT-PERIO|COMMON-INSURANCE",'主管核定中心'!$A$12:$A$372,'主管核定中心'!$K$12:$K$372,"待主管核定",0)="不納入","不納入","待確認"))</x:f>
        <x:v>待確認</x:v>
      </x:c>
      <x:c r="L17" s="37" t="str">
        <x:v>V1</x:v>
      </x:c>
      <x:c r="M17" t="str">
        <x:v>LJT-PERIO|COMMON-INSURANCE</x:v>
      </x:c>
    </x:row>
    <x:row r="18">
      <x:c r="A18" s="37" t="str">
        <x:v>LJT-PERIO-COMMON-XRAY-RECORD</x:v>
      </x:c>
      <x:c r="B18" s="37" t="str">
        <x:v>LJT-PERIO</x:v>
      </x:c>
      <x:c r="C18" s="37" t="str">
        <x:v>牙周統合</x:v>
      </x:c>
      <x:c r="D18" s="37" t="str">
        <x:v>一般</x:v>
      </x:c>
      <x:c r="E18" s="37" t="str">
        <x:v>COMMON-XRAY-RECORD</x:v>
      </x:c>
      <x:c r="F18" s="37" t="str">
        <x:v>主跟診</x:v>
      </x:c>
      <x:c r="G18" s="37" t="str">
        <x:v>待確認</x:v>
      </x:c>
      <x:c r="H18" s="37" t="str">
        <x:v>◎</x:v>
      </x:c>
      <x:c r="I18" s="37" t="str">
        <x:v>Ø</x:v>
      </x:c>
      <x:c r="J18" s="39" t="str">
        <x:v>確認後才納入自動判定</x:v>
      </x:c>
      <x:c r="K18" s="37" t="str">
        <x:f>IF(_xlfn.XLOOKUP("REQ|LJT-PERIO|COMMON-XRAY-RECORD",'主管核定中心'!$A$12:$A$372,'主管核定中心'!$K$12:$K$372,"待主管核定",0)="已核定","已確認",IF(_xlfn.XLOOKUP("REQ|LJT-PERIO|COMMON-XRAY-RECORD",'主管核定中心'!$A$12:$A$372,'主管核定中心'!$K$12:$K$372,"待主管核定",0)="不納入","不納入","待確認"))</x:f>
        <x:v>待確認</x:v>
      </x:c>
      <x:c r="L18" s="37" t="str">
        <x:v>V1</x:v>
      </x:c>
      <x:c r="M18" t="str">
        <x:v>LJT-PERIO|COMMON-XRAY-RECORD</x:v>
      </x:c>
    </x:row>
    <x:row r="19">
      <x:c r="A19" s="37" t="str">
        <x:v>LJT-RCT-MAIN</x:v>
      </x:c>
      <x:c r="B19" s="37" t="str">
        <x:v>LJT-RCT</x:v>
      </x:c>
      <x:c r="C19" s="37" t="str">
        <x:v>一般根管治療</x:v>
      </x:c>
      <x:c r="D19" s="37" t="str">
        <x:v>一般</x:v>
      </x:c>
      <x:c r="E19" s="37" t="str">
        <x:v>LJT-PREP-RCT</x:v>
      </x:c>
      <x:c r="F19" s="37" t="str">
        <x:v>主跟診</x:v>
      </x:c>
      <x:c r="G19" s="37" t="str">
        <x:v>必備</x:v>
      </x:c>
      <x:c r="H19" s="37" t="str">
        <x:v>◎</x:v>
      </x:c>
      <x:c r="I19" s="37" t="str">
        <x:v>Ø</x:v>
      </x:c>
      <x:c r="J19" s="39" t="str">
        <x:v>依一般支援名額</x:v>
      </x:c>
      <x:c r="K19" s="37" t="str">
        <x:v>已確認</x:v>
      </x:c>
      <x:c r="L19" s="37" t="str">
        <x:v>V1</x:v>
      </x:c>
      <x:c r="M19" t="str">
        <x:v>LJT-RCT|LJT-PREP-RCT</x:v>
      </x:c>
    </x:row>
    <x:row r="20">
      <x:c r="A20" s="37" t="str">
        <x:v>LJT-RCT-COMMON-RECORD</x:v>
      </x:c>
      <x:c r="B20" s="37" t="str">
        <x:v>LJT-RCT</x:v>
      </x:c>
      <x:c r="C20" s="37" t="str">
        <x:v>一般根管治療</x:v>
      </x:c>
      <x:c r="D20" s="37" t="str">
        <x:v>一般</x:v>
      </x:c>
      <x:c r="E20" s="37" t="str">
        <x:v>COMMON-RECORD</x:v>
      </x:c>
      <x:c r="F20" s="37" t="str">
        <x:v>主跟診</x:v>
      </x:c>
      <x:c r="G20" s="37" t="str">
        <x:v>待確認</x:v>
      </x:c>
      <x:c r="H20" s="37" t="str">
        <x:v>◎</x:v>
      </x:c>
      <x:c r="I20" s="37" t="str">
        <x:v>Ø</x:v>
      </x:c>
      <x:c r="J20" s="39" t="str">
        <x:v>確認後才納入自動判定</x:v>
      </x:c>
      <x:c r="K20" s="37" t="str">
        <x:f>IF(_xlfn.XLOOKUP("REQ|LJT-RCT|COMMON-RECORD",'主管核定中心'!$A$12:$A$372,'主管核定中心'!$K$12:$K$372,"待主管核定",0)="已核定","已確認",IF(_xlfn.XLOOKUP("REQ|LJT-RCT|COMMON-RECORD",'主管核定中心'!$A$12:$A$372,'主管核定中心'!$K$12:$K$372,"待主管核定",0)="不納入","不納入","待確認"))</x:f>
        <x:v>待確認</x:v>
      </x:c>
      <x:c r="L20" s="37" t="str">
        <x:v>V1</x:v>
      </x:c>
      <x:c r="M20" t="str">
        <x:v>LJT-RCT|COMMON-RECORD</x:v>
      </x:c>
    </x:row>
    <x:row r="21">
      <x:c r="A21" s="37" t="str">
        <x:v>LJT-RCT-COMMON-INSURANCE</x:v>
      </x:c>
      <x:c r="B21" s="37" t="str">
        <x:v>LJT-RCT</x:v>
      </x:c>
      <x:c r="C21" s="37" t="str">
        <x:v>一般根管治療</x:v>
      </x:c>
      <x:c r="D21" s="37" t="str">
        <x:v>一般</x:v>
      </x:c>
      <x:c r="E21" s="37" t="str">
        <x:v>COMMON-INSURANCE</x:v>
      </x:c>
      <x:c r="F21" s="37" t="str">
        <x:v>主跟診</x:v>
      </x:c>
      <x:c r="G21" s="37" t="str">
        <x:v>待確認</x:v>
      </x:c>
      <x:c r="H21" s="37" t="str">
        <x:v>◎</x:v>
      </x:c>
      <x:c r="I21" s="37" t="str">
        <x:v>Ø</x:v>
      </x:c>
      <x:c r="J21" s="39" t="str">
        <x:v>確認後才納入自動判定</x:v>
      </x:c>
      <x:c r="K21" s="37" t="str">
        <x:f>IF(_xlfn.XLOOKUP("REQ|LJT-RCT|COMMON-INSURANCE",'主管核定中心'!$A$12:$A$372,'主管核定中心'!$K$12:$K$372,"待主管核定",0)="已核定","已確認",IF(_xlfn.XLOOKUP("REQ|LJT-RCT|COMMON-INSURANCE",'主管核定中心'!$A$12:$A$372,'主管核定中心'!$K$12:$K$372,"待主管核定",0)="不納入","不納入","待確認"))</x:f>
        <x:v>待確認</x:v>
      </x:c>
      <x:c r="L21" s="37" t="str">
        <x:v>V1</x:v>
      </x:c>
      <x:c r="M21" t="str">
        <x:v>LJT-RCT|COMMON-INSURANCE</x:v>
      </x:c>
    </x:row>
    <x:row r="22">
      <x:c r="A22" s="37" t="str">
        <x:v>LJT-RCT-COMMON-XRAY-RECORD</x:v>
      </x:c>
      <x:c r="B22" s="37" t="str">
        <x:v>LJT-RCT</x:v>
      </x:c>
      <x:c r="C22" s="37" t="str">
        <x:v>一般根管治療</x:v>
      </x:c>
      <x:c r="D22" s="37" t="str">
        <x:v>一般</x:v>
      </x:c>
      <x:c r="E22" s="37" t="str">
        <x:v>COMMON-XRAY-RECORD</x:v>
      </x:c>
      <x:c r="F22" s="37" t="str">
        <x:v>主跟診</x:v>
      </x:c>
      <x:c r="G22" s="37" t="str">
        <x:v>待確認</x:v>
      </x:c>
      <x:c r="H22" s="37" t="str">
        <x:v>◎</x:v>
      </x:c>
      <x:c r="I22" s="37" t="str">
        <x:v>Ø</x:v>
      </x:c>
      <x:c r="J22" s="39" t="str">
        <x:v>確認後才納入自動判定</x:v>
      </x:c>
      <x:c r="K22" s="37" t="str">
        <x:f>IF(_xlfn.XLOOKUP("REQ|LJT-RCT|COMMON-XRAY-RECORD",'主管核定中心'!$A$12:$A$372,'主管核定中心'!$K$12:$K$372,"待主管核定",0)="已核定","已確認",IF(_xlfn.XLOOKUP("REQ|LJT-RCT|COMMON-XRAY-RECORD",'主管核定中心'!$A$12:$A$372,'主管核定中心'!$K$12:$K$372,"待主管核定",0)="不納入","不納入","待確認"))</x:f>
        <x:v>待確認</x:v>
      </x:c>
      <x:c r="L22" s="37" t="str">
        <x:v>V1</x:v>
      </x:c>
      <x:c r="M22" t="str">
        <x:v>LJT-RCT|COMMON-XRAY-RECORD</x:v>
      </x:c>
    </x:row>
    <x:row r="23">
      <x:c r="A23" s="37" t="str">
        <x:v>LJT-EXTRACTION-MAIN</x:v>
      </x:c>
      <x:c r="B23" s="37" t="str">
        <x:v>LJT-EXTRACTION</x:v>
      </x:c>
      <x:c r="C23" s="37" t="str">
        <x:v>拔牙</x:v>
      </x:c>
      <x:c r="D23" s="37" t="str">
        <x:v>一般</x:v>
      </x:c>
      <x:c r="E23" s="37" t="str">
        <x:v>LJT-PREP-EXTRACTION</x:v>
      </x:c>
      <x:c r="F23" s="37" t="str">
        <x:v>主跟診</x:v>
      </x:c>
      <x:c r="G23" s="37" t="str">
        <x:v>必備</x:v>
      </x:c>
      <x:c r="H23" s="37" t="str">
        <x:v>◎</x:v>
      </x:c>
      <x:c r="I23" s="37" t="str">
        <x:v>Ø</x:v>
      </x:c>
      <x:c r="J23" s="39" t="str">
        <x:v>依一般支援名額</x:v>
      </x:c>
      <x:c r="K23" s="37" t="str">
        <x:v>已確認</x:v>
      </x:c>
      <x:c r="L23" s="37" t="str">
        <x:v>V1</x:v>
      </x:c>
      <x:c r="M23" t="str">
        <x:v>LJT-EXTRACTION|LJT-PREP-EXTRACTION</x:v>
      </x:c>
    </x:row>
    <x:row r="24">
      <x:c r="A24" s="37" t="str">
        <x:v>LJT-EXTRACTION-COMMON-RECORD</x:v>
      </x:c>
      <x:c r="B24" s="37" t="str">
        <x:v>LJT-EXTRACTION</x:v>
      </x:c>
      <x:c r="C24" s="37" t="str">
        <x:v>拔牙</x:v>
      </x:c>
      <x:c r="D24" s="37" t="str">
        <x:v>一般</x:v>
      </x:c>
      <x:c r="E24" s="37" t="str">
        <x:v>COMMON-RECORD</x:v>
      </x:c>
      <x:c r="F24" s="37" t="str">
        <x:v>主跟診</x:v>
      </x:c>
      <x:c r="G24" s="37" t="str">
        <x:v>待確認</x:v>
      </x:c>
      <x:c r="H24" s="37" t="str">
        <x:v>◎</x:v>
      </x:c>
      <x:c r="I24" s="37" t="str">
        <x:v>Ø</x:v>
      </x:c>
      <x:c r="J24" s="39" t="str">
        <x:v>確認後才納入自動判定</x:v>
      </x:c>
      <x:c r="K24" s="37" t="str">
        <x:f>IF(_xlfn.XLOOKUP("REQ|LJT-EXTRACTION|COMMON-RECORD",'主管核定中心'!$A$12:$A$372,'主管核定中心'!$K$12:$K$372,"待主管核定",0)="已核定","已確認",IF(_xlfn.XLOOKUP("REQ|LJT-EXTRACTION|COMMON-RECORD",'主管核定中心'!$A$12:$A$372,'主管核定中心'!$K$12:$K$372,"待主管核定",0)="不納入","不納入","待確認"))</x:f>
        <x:v>待確認</x:v>
      </x:c>
      <x:c r="L24" s="37" t="str">
        <x:v>V1</x:v>
      </x:c>
      <x:c r="M24" t="str">
        <x:v>LJT-EXTRACTION|COMMON-RECORD</x:v>
      </x:c>
    </x:row>
    <x:row r="25">
      <x:c r="A25" s="37" t="str">
        <x:v>LJT-EXTRACTION-COMMON-INSURANCE</x:v>
      </x:c>
      <x:c r="B25" s="37" t="str">
        <x:v>LJT-EXTRACTION</x:v>
      </x:c>
      <x:c r="C25" s="37" t="str">
        <x:v>拔牙</x:v>
      </x:c>
      <x:c r="D25" s="37" t="str">
        <x:v>一般</x:v>
      </x:c>
      <x:c r="E25" s="37" t="str">
        <x:v>COMMON-INSURANCE</x:v>
      </x:c>
      <x:c r="F25" s="37" t="str">
        <x:v>主跟診</x:v>
      </x:c>
      <x:c r="G25" s="37" t="str">
        <x:v>待確認</x:v>
      </x:c>
      <x:c r="H25" s="37" t="str">
        <x:v>◎</x:v>
      </x:c>
      <x:c r="I25" s="37" t="str">
        <x:v>Ø</x:v>
      </x:c>
      <x:c r="J25" s="39" t="str">
        <x:v>確認後才納入自動判定</x:v>
      </x:c>
      <x:c r="K25" s="37" t="str">
        <x:f>IF(_xlfn.XLOOKUP("REQ|LJT-EXTRACTION|COMMON-INSURANCE",'主管核定中心'!$A$12:$A$372,'主管核定中心'!$K$12:$K$372,"待主管核定",0)="已核定","已確認",IF(_xlfn.XLOOKUP("REQ|LJT-EXTRACTION|COMMON-INSURANCE",'主管核定中心'!$A$12:$A$372,'主管核定中心'!$K$12:$K$372,"待主管核定",0)="不納入","不納入","待確認"))</x:f>
        <x:v>待確認</x:v>
      </x:c>
      <x:c r="L25" s="37" t="str">
        <x:v>V1</x:v>
      </x:c>
      <x:c r="M25" t="str">
        <x:v>LJT-EXTRACTION|COMMON-INSURANCE</x:v>
      </x:c>
    </x:row>
    <x:row r="26">
      <x:c r="A26" s="37" t="str">
        <x:v>LJT-EXTRACTION-COMMON-XRAY-RECORD</x:v>
      </x:c>
      <x:c r="B26" s="37" t="str">
        <x:v>LJT-EXTRACTION</x:v>
      </x:c>
      <x:c r="C26" s="37" t="str">
        <x:v>拔牙</x:v>
      </x:c>
      <x:c r="D26" s="37" t="str">
        <x:v>一般</x:v>
      </x:c>
      <x:c r="E26" s="37" t="str">
        <x:v>COMMON-XRAY-RECORD</x:v>
      </x:c>
      <x:c r="F26" s="37" t="str">
        <x:v>主跟診</x:v>
      </x:c>
      <x:c r="G26" s="37" t="str">
        <x:v>待確認</x:v>
      </x:c>
      <x:c r="H26" s="37" t="str">
        <x:v>◎</x:v>
      </x:c>
      <x:c r="I26" s="37" t="str">
        <x:v>Ø</x:v>
      </x:c>
      <x:c r="J26" s="39" t="str">
        <x:v>確認後才納入自動判定</x:v>
      </x:c>
      <x:c r="K26" s="37" t="str">
        <x:f>IF(_xlfn.XLOOKUP("REQ|LJT-EXTRACTION|COMMON-XRAY-RECORD",'主管核定中心'!$A$12:$A$372,'主管核定中心'!$K$12:$K$372,"待主管核定",0)="已核定","已確認",IF(_xlfn.XLOOKUP("REQ|LJT-EXTRACTION|COMMON-XRAY-RECORD",'主管核定中心'!$A$12:$A$372,'主管核定中心'!$K$12:$K$372,"待主管核定",0)="不納入","不納入","待確認"))</x:f>
        <x:v>待確認</x:v>
      </x:c>
      <x:c r="L26" s="37" t="str">
        <x:v>V1</x:v>
      </x:c>
      <x:c r="M26" t="str">
        <x:v>LJT-EXTRACTION|COMMON-XRAY-RECORD</x:v>
      </x:c>
    </x:row>
    <x:row r="27">
      <x:c r="A27" s="37" t="str">
        <x:v>LJT-CROWNPOST-MAIN</x:v>
      </x:c>
      <x:c r="B27" s="37" t="str">
        <x:v>LJT-CROWNPOST</x:v>
      </x:c>
      <x:c r="C27" s="37" t="str">
        <x:v>拆 crown/post</x:v>
      </x:c>
      <x:c r="D27" s="37" t="str">
        <x:v>一般</x:v>
      </x:c>
      <x:c r="E27" s="37" t="str">
        <x:v>LJT-PREP-CROWNPOST</x:v>
      </x:c>
      <x:c r="F27" s="37" t="str">
        <x:v>主跟診</x:v>
      </x:c>
      <x:c r="G27" s="37" t="str">
        <x:v>必備</x:v>
      </x:c>
      <x:c r="H27" s="37" t="str">
        <x:v>◎</x:v>
      </x:c>
      <x:c r="I27" s="37" t="str">
        <x:v>Ø</x:v>
      </x:c>
      <x:c r="J27" s="39" t="str">
        <x:v>依一般支援名額</x:v>
      </x:c>
      <x:c r="K27" s="37" t="str">
        <x:v>已確認</x:v>
      </x:c>
      <x:c r="L27" s="37" t="str">
        <x:v>V1</x:v>
      </x:c>
      <x:c r="M27" t="str">
        <x:v>LJT-CROWNPOST|LJT-PREP-CROWNPOST</x:v>
      </x:c>
    </x:row>
    <x:row r="28">
      <x:c r="A28" s="37" t="str">
        <x:v>LJT-CROWNPOST-COMMON-RECORD</x:v>
      </x:c>
      <x:c r="B28" s="37" t="str">
        <x:v>LJT-CROWNPOST</x:v>
      </x:c>
      <x:c r="C28" s="37" t="str">
        <x:v>拆 crown/post</x:v>
      </x:c>
      <x:c r="D28" s="37" t="str">
        <x:v>一般</x:v>
      </x:c>
      <x:c r="E28" s="37" t="str">
        <x:v>COMMON-RECORD</x:v>
      </x:c>
      <x:c r="F28" s="37" t="str">
        <x:v>主跟診</x:v>
      </x:c>
      <x:c r="G28" s="37" t="str">
        <x:v>待確認</x:v>
      </x:c>
      <x:c r="H28" s="37" t="str">
        <x:v>◎</x:v>
      </x:c>
      <x:c r="I28" s="37" t="str">
        <x:v>Ø</x:v>
      </x:c>
      <x:c r="J28" s="39" t="str">
        <x:v>確認後才納入自動判定</x:v>
      </x:c>
      <x:c r="K28" s="37" t="str">
        <x:f>IF(_xlfn.XLOOKUP("REQ|LJT-CROWNPOST|COMMON-RECORD",'主管核定中心'!$A$12:$A$372,'主管核定中心'!$K$12:$K$372,"待主管核定",0)="已核定","已確認",IF(_xlfn.XLOOKUP("REQ|LJT-CROWNPOST|COMMON-RECORD",'主管核定中心'!$A$12:$A$372,'主管核定中心'!$K$12:$K$372,"待主管核定",0)="不納入","不納入","待確認"))</x:f>
        <x:v>待確認</x:v>
      </x:c>
      <x:c r="L28" s="37" t="str">
        <x:v>V1</x:v>
      </x:c>
      <x:c r="M28" t="str">
        <x:v>LJT-CROWNPOST|COMMON-RECORD</x:v>
      </x:c>
    </x:row>
    <x:row r="29">
      <x:c r="A29" s="37" t="str">
        <x:v>LJT-CROWNPOST-COMMON-INSURANCE</x:v>
      </x:c>
      <x:c r="B29" s="37" t="str">
        <x:v>LJT-CROWNPOST</x:v>
      </x:c>
      <x:c r="C29" s="37" t="str">
        <x:v>拆 crown/post</x:v>
      </x:c>
      <x:c r="D29" s="37" t="str">
        <x:v>一般</x:v>
      </x:c>
      <x:c r="E29" s="37" t="str">
        <x:v>COMMON-INSURANCE</x:v>
      </x:c>
      <x:c r="F29" s="37" t="str">
        <x:v>主跟診</x:v>
      </x:c>
      <x:c r="G29" s="37" t="str">
        <x:v>待確認</x:v>
      </x:c>
      <x:c r="H29" s="37" t="str">
        <x:v>◎</x:v>
      </x:c>
      <x:c r="I29" s="37" t="str">
        <x:v>Ø</x:v>
      </x:c>
      <x:c r="J29" s="39" t="str">
        <x:v>確認後才納入自動判定</x:v>
      </x:c>
      <x:c r="K29" s="37" t="str">
        <x:f>IF(_xlfn.XLOOKUP("REQ|LJT-CROWNPOST|COMMON-INSURANCE",'主管核定中心'!$A$12:$A$372,'主管核定中心'!$K$12:$K$372,"待主管核定",0)="已核定","已確認",IF(_xlfn.XLOOKUP("REQ|LJT-CROWNPOST|COMMON-INSURANCE",'主管核定中心'!$A$12:$A$372,'主管核定中心'!$K$12:$K$372,"待主管核定",0)="不納入","不納入","待確認"))</x:f>
        <x:v>待確認</x:v>
      </x:c>
      <x:c r="L29" s="37" t="str">
        <x:v>V1</x:v>
      </x:c>
      <x:c r="M29" t="str">
        <x:v>LJT-CROWNPOST|COMMON-INSURANCE</x:v>
      </x:c>
    </x:row>
    <x:row r="30">
      <x:c r="A30" s="37" t="str">
        <x:v>LJT-CROWNPOST-COMMON-XRAY-RECORD</x:v>
      </x:c>
      <x:c r="B30" s="37" t="str">
        <x:v>LJT-CROWNPOST</x:v>
      </x:c>
      <x:c r="C30" s="37" t="str">
        <x:v>拆 crown/post</x:v>
      </x:c>
      <x:c r="D30" s="37" t="str">
        <x:v>一般</x:v>
      </x:c>
      <x:c r="E30" s="37" t="str">
        <x:v>COMMON-XRAY-RECORD</x:v>
      </x:c>
      <x:c r="F30" s="37" t="str">
        <x:v>主跟診</x:v>
      </x:c>
      <x:c r="G30" s="37" t="str">
        <x:v>待確認</x:v>
      </x:c>
      <x:c r="H30" s="37" t="str">
        <x:v>◎</x:v>
      </x:c>
      <x:c r="I30" s="37" t="str">
        <x:v>Ø</x:v>
      </x:c>
      <x:c r="J30" s="39" t="str">
        <x:v>確認後才納入自動判定</x:v>
      </x:c>
      <x:c r="K30" s="37" t="str">
        <x:f>IF(_xlfn.XLOOKUP("REQ|LJT-CROWNPOST|COMMON-XRAY-RECORD",'主管核定中心'!$A$12:$A$372,'主管核定中心'!$K$12:$K$372,"待主管核定",0)="已核定","已確認",IF(_xlfn.XLOOKUP("REQ|LJT-CROWNPOST|COMMON-XRAY-RECORD",'主管核定中心'!$A$12:$A$372,'主管核定中心'!$K$12:$K$372,"待主管核定",0)="不納入","不納入","待確認"))</x:f>
        <x:v>待確認</x:v>
      </x:c>
      <x:c r="L30" s="37" t="str">
        <x:v>V1</x:v>
      </x:c>
      <x:c r="M30" t="str">
        <x:v>LJT-CROWNPOST|COMMON-XRAY-RECORD</x:v>
      </x:c>
    </x:row>
    <x:row r="31">
      <x:c r="A31" s="37" t="str">
        <x:v>LJT-CROWN-MAIN</x:v>
      </x:c>
      <x:c r="B31" s="37" t="str">
        <x:v>LJT-CROWN</x:v>
      </x:c>
      <x:c r="C31" s="37" t="str">
        <x:v>固定假牙</x:v>
      </x:c>
      <x:c r="D31" s="37" t="str">
        <x:v>一般</x:v>
      </x:c>
      <x:c r="E31" s="37" t="str">
        <x:v>LJT-PREP-CROWN</x:v>
      </x:c>
      <x:c r="F31" s="37" t="str">
        <x:v>主跟診</x:v>
      </x:c>
      <x:c r="G31" s="37" t="str">
        <x:v>必備</x:v>
      </x:c>
      <x:c r="H31" s="37" t="str">
        <x:v>◎</x:v>
      </x:c>
      <x:c r="I31" s="37" t="str">
        <x:v>Ø</x:v>
      </x:c>
      <x:c r="J31" s="39" t="str">
        <x:v>依一般支援名額</x:v>
      </x:c>
      <x:c r="K31" s="37" t="str">
        <x:v>已確認</x:v>
      </x:c>
      <x:c r="L31" s="37" t="str">
        <x:v>V1</x:v>
      </x:c>
      <x:c r="M31" t="str">
        <x:v>LJT-CROWN|LJT-PREP-CROWN</x:v>
      </x:c>
    </x:row>
    <x:row r="32">
      <x:c r="A32" s="37" t="str">
        <x:v>LJT-CROWN-COMMON-RECORD</x:v>
      </x:c>
      <x:c r="B32" s="37" t="str">
        <x:v>LJT-CROWN</x:v>
      </x:c>
      <x:c r="C32" s="37" t="str">
        <x:v>固定假牙</x:v>
      </x:c>
      <x:c r="D32" s="37" t="str">
        <x:v>一般</x:v>
      </x:c>
      <x:c r="E32" s="37" t="str">
        <x:v>COMMON-RECORD</x:v>
      </x:c>
      <x:c r="F32" s="37" t="str">
        <x:v>主跟診</x:v>
      </x:c>
      <x:c r="G32" s="37" t="str">
        <x:v>待確認</x:v>
      </x:c>
      <x:c r="H32" s="37" t="str">
        <x:v>◎</x:v>
      </x:c>
      <x:c r="I32" s="37" t="str">
        <x:v>Ø</x:v>
      </x:c>
      <x:c r="J32" s="39" t="str">
        <x:v>確認後才納入自動判定</x:v>
      </x:c>
      <x:c r="K32" s="37" t="str">
        <x:f>IF(_xlfn.XLOOKUP("REQ|LJT-CROWN|COMMON-RECORD",'主管核定中心'!$A$12:$A$372,'主管核定中心'!$K$12:$K$372,"待主管核定",0)="已核定","已確認",IF(_xlfn.XLOOKUP("REQ|LJT-CROWN|COMMON-RECORD",'主管核定中心'!$A$12:$A$372,'主管核定中心'!$K$12:$K$372,"待主管核定",0)="不納入","不納入","待確認"))</x:f>
        <x:v>待確認</x:v>
      </x:c>
      <x:c r="L32" s="37" t="str">
        <x:v>V1</x:v>
      </x:c>
      <x:c r="M32" t="str">
        <x:v>LJT-CROWN|COMMON-RECORD</x:v>
      </x:c>
    </x:row>
    <x:row r="33">
      <x:c r="A33" s="37" t="str">
        <x:v>LJT-CROWN-COMMON-INSURANCE</x:v>
      </x:c>
      <x:c r="B33" s="37" t="str">
        <x:v>LJT-CROWN</x:v>
      </x:c>
      <x:c r="C33" s="37" t="str">
        <x:v>固定假牙</x:v>
      </x:c>
      <x:c r="D33" s="37" t="str">
        <x:v>一般</x:v>
      </x:c>
      <x:c r="E33" s="37" t="str">
        <x:v>COMMON-INSURANCE</x:v>
      </x:c>
      <x:c r="F33" s="37" t="str">
        <x:v>主跟診</x:v>
      </x:c>
      <x:c r="G33" s="37" t="str">
        <x:v>待確認</x:v>
      </x:c>
      <x:c r="H33" s="37" t="str">
        <x:v>◎</x:v>
      </x:c>
      <x:c r="I33" s="37" t="str">
        <x:v>Ø</x:v>
      </x:c>
      <x:c r="J33" s="39" t="str">
        <x:v>確認後才納入自動判定</x:v>
      </x:c>
      <x:c r="K33" s="37" t="str">
        <x:f>IF(_xlfn.XLOOKUP("REQ|LJT-CROWN|COMMON-INSURANCE",'主管核定中心'!$A$12:$A$372,'主管核定中心'!$K$12:$K$372,"待主管核定",0)="已核定","已確認",IF(_xlfn.XLOOKUP("REQ|LJT-CROWN|COMMON-INSURANCE",'主管核定中心'!$A$12:$A$372,'主管核定中心'!$K$12:$K$372,"待主管核定",0)="不納入","不納入","待確認"))</x:f>
        <x:v>待確認</x:v>
      </x:c>
      <x:c r="L33" s="37" t="str">
        <x:v>V1</x:v>
      </x:c>
      <x:c r="M33" t="str">
        <x:v>LJT-CROWN|COMMON-INSURANCE</x:v>
      </x:c>
    </x:row>
    <x:row r="34">
      <x:c r="A34" s="37" t="str">
        <x:v>LJT-CROWN-COMMON-XRAY-RECORD</x:v>
      </x:c>
      <x:c r="B34" s="37" t="str">
        <x:v>LJT-CROWN</x:v>
      </x:c>
      <x:c r="C34" s="37" t="str">
        <x:v>固定假牙</x:v>
      </x:c>
      <x:c r="D34" s="37" t="str">
        <x:v>一般</x:v>
      </x:c>
      <x:c r="E34" s="37" t="str">
        <x:v>COMMON-XRAY-RECORD</x:v>
      </x:c>
      <x:c r="F34" s="37" t="str">
        <x:v>主跟診</x:v>
      </x:c>
      <x:c r="G34" s="37" t="str">
        <x:v>待確認</x:v>
      </x:c>
      <x:c r="H34" s="37" t="str">
        <x:v>◎</x:v>
      </x:c>
      <x:c r="I34" s="37" t="str">
        <x:v>Ø</x:v>
      </x:c>
      <x:c r="J34" s="39" t="str">
        <x:v>確認後才納入自動判定</x:v>
      </x:c>
      <x:c r="K34" s="37" t="str">
        <x:f>IF(_xlfn.XLOOKUP("REQ|LJT-CROWN|COMMON-XRAY-RECORD",'主管核定中心'!$A$12:$A$372,'主管核定中心'!$K$12:$K$372,"待主管核定",0)="已核定","已確認",IF(_xlfn.XLOOKUP("REQ|LJT-CROWN|COMMON-XRAY-RECORD",'主管核定中心'!$A$12:$A$372,'主管核定中心'!$K$12:$K$372,"待主管核定",0)="不納入","不納入","待確認"))</x:f>
        <x:v>待確認</x:v>
      </x:c>
      <x:c r="L34" s="37" t="str">
        <x:v>V1</x:v>
      </x:c>
      <x:c r="M34" t="str">
        <x:v>LJT-CROWN|COMMON-XRAY-RECORD</x:v>
      </x:c>
    </x:row>
    <x:row r="35">
      <x:c r="A35" s="37" t="str">
        <x:v>LJT-RPD-MAIN</x:v>
      </x:c>
      <x:c r="B35" s="37" t="str">
        <x:v>LJT-RPD</x:v>
      </x:c>
      <x:c r="C35" s="37" t="str">
        <x:v>RPD</x:v>
      </x:c>
      <x:c r="D35" s="37" t="str">
        <x:v>一般步驟</x:v>
      </x:c>
      <x:c r="E35" s="37" t="str">
        <x:v>LJT-PREP-RPD</x:v>
      </x:c>
      <x:c r="F35" s="37" t="str">
        <x:v>主跟診</x:v>
      </x:c>
      <x:c r="G35" s="37" t="str">
        <x:v>必備</x:v>
      </x:c>
      <x:c r="H35" s="37" t="str">
        <x:v>◎</x:v>
      </x:c>
      <x:c r="I35" s="37" t="str">
        <x:v>Ø</x:v>
      </x:c>
      <x:c r="J35" s="39" t="str">
        <x:v>依一般支援名額</x:v>
      </x:c>
      <x:c r="K35" s="37" t="str">
        <x:v>已確認</x:v>
      </x:c>
      <x:c r="L35" s="37" t="str">
        <x:v>V1</x:v>
      </x:c>
      <x:c r="M35" t="str">
        <x:v>LJT-RPD|LJT-PREP-RPD</x:v>
      </x:c>
    </x:row>
    <x:row r="36">
      <x:c r="A36" s="37" t="str">
        <x:v>LJT-RPD-COMMON-RECORD</x:v>
      </x:c>
      <x:c r="B36" s="37" t="str">
        <x:v>LJT-RPD</x:v>
      </x:c>
      <x:c r="C36" s="37" t="str">
        <x:v>RPD</x:v>
      </x:c>
      <x:c r="D36" s="37" t="str">
        <x:v>一般步驟</x:v>
      </x:c>
      <x:c r="E36" s="37" t="str">
        <x:v>COMMON-RECORD</x:v>
      </x:c>
      <x:c r="F36" s="37" t="str">
        <x:v>主跟診</x:v>
      </x:c>
      <x:c r="G36" s="37" t="str">
        <x:v>待確認</x:v>
      </x:c>
      <x:c r="H36" s="37" t="str">
        <x:v>◎</x:v>
      </x:c>
      <x:c r="I36" s="37" t="str">
        <x:v>Ø</x:v>
      </x:c>
      <x:c r="J36" s="39" t="str">
        <x:v>確認後才納入自動判定</x:v>
      </x:c>
      <x:c r="K36" s="37" t="str">
        <x:f>IF(_xlfn.XLOOKUP("REQ|LJT-RPD|COMMON-RECORD",'主管核定中心'!$A$12:$A$372,'主管核定中心'!$K$12:$K$372,"待主管核定",0)="已核定","已確認",IF(_xlfn.XLOOKUP("REQ|LJT-RPD|COMMON-RECORD",'主管核定中心'!$A$12:$A$372,'主管核定中心'!$K$12:$K$372,"待主管核定",0)="不納入","不納入","待確認"))</x:f>
        <x:v>待確認</x:v>
      </x:c>
      <x:c r="L36" s="37" t="str">
        <x:v>V1</x:v>
      </x:c>
      <x:c r="M36" t="str">
        <x:v>LJT-RPD|COMMON-RECORD</x:v>
      </x:c>
    </x:row>
    <x:row r="37">
      <x:c r="A37" s="37" t="str">
        <x:v>LJT-RPD-COMMON-INSURANCE</x:v>
      </x:c>
      <x:c r="B37" s="37" t="str">
        <x:v>LJT-RPD</x:v>
      </x:c>
      <x:c r="C37" s="37" t="str">
        <x:v>RPD</x:v>
      </x:c>
      <x:c r="D37" s="37" t="str">
        <x:v>一般步驟</x:v>
      </x:c>
      <x:c r="E37" s="37" t="str">
        <x:v>COMMON-INSURANCE</x:v>
      </x:c>
      <x:c r="F37" s="37" t="str">
        <x:v>主跟診</x:v>
      </x:c>
      <x:c r="G37" s="37" t="str">
        <x:v>待確認</x:v>
      </x:c>
      <x:c r="H37" s="37" t="str">
        <x:v>◎</x:v>
      </x:c>
      <x:c r="I37" s="37" t="str">
        <x:v>Ø</x:v>
      </x:c>
      <x:c r="J37" s="39" t="str">
        <x:v>確認後才納入自動判定</x:v>
      </x:c>
      <x:c r="K37" s="37" t="str">
        <x:f>IF(_xlfn.XLOOKUP("REQ|LJT-RPD|COMMON-INSURANCE",'主管核定中心'!$A$12:$A$372,'主管核定中心'!$K$12:$K$372,"待主管核定",0)="已核定","已確認",IF(_xlfn.XLOOKUP("REQ|LJT-RPD|COMMON-INSURANCE",'主管核定中心'!$A$12:$A$372,'主管核定中心'!$K$12:$K$372,"待主管核定",0)="不納入","不納入","待確認"))</x:f>
        <x:v>待確認</x:v>
      </x:c>
      <x:c r="L37" s="37" t="str">
        <x:v>V1</x:v>
      </x:c>
      <x:c r="M37" t="str">
        <x:v>LJT-RPD|COMMON-INSURANCE</x:v>
      </x:c>
    </x:row>
    <x:row r="38">
      <x:c r="A38" s="37" t="str">
        <x:v>LJT-RPD-COMMON-XRAY-RECORD</x:v>
      </x:c>
      <x:c r="B38" s="37" t="str">
        <x:v>LJT-RPD</x:v>
      </x:c>
      <x:c r="C38" s="37" t="str">
        <x:v>RPD</x:v>
      </x:c>
      <x:c r="D38" s="37" t="str">
        <x:v>一般步驟</x:v>
      </x:c>
      <x:c r="E38" s="37" t="str">
        <x:v>COMMON-XRAY-RECORD</x:v>
      </x:c>
      <x:c r="F38" s="37" t="str">
        <x:v>主跟診</x:v>
      </x:c>
      <x:c r="G38" s="37" t="str">
        <x:v>待確認</x:v>
      </x:c>
      <x:c r="H38" s="37" t="str">
        <x:v>◎</x:v>
      </x:c>
      <x:c r="I38" s="37" t="str">
        <x:v>Ø</x:v>
      </x:c>
      <x:c r="J38" s="39" t="str">
        <x:v>確認後才納入自動判定</x:v>
      </x:c>
      <x:c r="K38" s="37" t="str">
        <x:f>IF(_xlfn.XLOOKUP("REQ|LJT-RPD|COMMON-XRAY-RECORD",'主管核定中心'!$A$12:$A$372,'主管核定中心'!$K$12:$K$372,"待主管核定",0)="已核定","已確認",IF(_xlfn.XLOOKUP("REQ|LJT-RPD|COMMON-XRAY-RECORD",'主管核定中心'!$A$12:$A$372,'主管核定中心'!$K$12:$K$372,"待主管核定",0)="不納入","不納入","待確認"))</x:f>
        <x:v>待確認</x:v>
      </x:c>
      <x:c r="L38" s="37" t="str">
        <x:v>V1</x:v>
      </x:c>
      <x:c r="M38" t="str">
        <x:v>LJT-RPD|COMMON-XRAY-RECORD</x:v>
      </x:c>
    </x:row>
    <x:row r="39">
      <x:c r="A39" s="37" t="str">
        <x:v>LJT-RPD-FINAL-MAIN</x:v>
      </x:c>
      <x:c r="B39" s="37" t="str">
        <x:v>LJT-RPD-FINAL</x:v>
      </x:c>
      <x:c r="C39" s="37" t="str">
        <x:v>RPD</x:v>
      </x:c>
      <x:c r="D39" s="37" t="str">
        <x:v>印最終模</x:v>
      </x:c>
      <x:c r="E39" s="37" t="str">
        <x:v>LJT-PREP-RPD</x:v>
      </x:c>
      <x:c r="F39" s="37" t="str">
        <x:v>主跟診</x:v>
      </x:c>
      <x:c r="G39" s="37" t="str">
        <x:v>必備</x:v>
      </x:c>
      <x:c r="H39" s="37" t="str">
        <x:v>◎</x:v>
      </x:c>
      <x:c r="I39" s="37" t="str">
        <x:v>Ø</x:v>
      </x:c>
      <x:c r="J39" s="39" t="str">
        <x:v>依一般支援名額</x:v>
      </x:c>
      <x:c r="K39" s="37" t="str">
        <x:v>已確認</x:v>
      </x:c>
      <x:c r="L39" s="37" t="str">
        <x:v>V1</x:v>
      </x:c>
      <x:c r="M39" t="str">
        <x:v>LJT-RPD-FINAL|LJT-PREP-RPD</x:v>
      </x:c>
    </x:row>
    <x:row r="40">
      <x:c r="A40" s="37" t="str">
        <x:v>LJT-RPD-FINAL-COMMON-RECORD</x:v>
      </x:c>
      <x:c r="B40" s="37" t="str">
        <x:v>LJT-RPD-FINAL</x:v>
      </x:c>
      <x:c r="C40" s="37" t="str">
        <x:v>RPD</x:v>
      </x:c>
      <x:c r="D40" s="37" t="str">
        <x:v>印最終模</x:v>
      </x:c>
      <x:c r="E40" s="37" t="str">
        <x:v>COMMON-RECORD</x:v>
      </x:c>
      <x:c r="F40" s="37" t="str">
        <x:v>主跟診</x:v>
      </x:c>
      <x:c r="G40" s="37" t="str">
        <x:v>待確認</x:v>
      </x:c>
      <x:c r="H40" s="37" t="str">
        <x:v>◎</x:v>
      </x:c>
      <x:c r="I40" s="37" t="str">
        <x:v>Ø</x:v>
      </x:c>
      <x:c r="J40" s="39" t="str">
        <x:v>確認後才納入自動判定</x:v>
      </x:c>
      <x:c r="K40" s="37" t="str">
        <x:f>IF(_xlfn.XLOOKUP("REQ|LJT-RPD-FINAL|COMMON-RECORD",'主管核定中心'!$A$12:$A$372,'主管核定中心'!$K$12:$K$372,"待主管核定",0)="已核定","已確認",IF(_xlfn.XLOOKUP("REQ|LJT-RPD-FINAL|COMMON-RECORD",'主管核定中心'!$A$12:$A$372,'主管核定中心'!$K$12:$K$372,"待主管核定",0)="不納入","不納入","待確認"))</x:f>
        <x:v>待確認</x:v>
      </x:c>
      <x:c r="L40" s="37" t="str">
        <x:v>V1</x:v>
      </x:c>
      <x:c r="M40" t="str">
        <x:v>LJT-RPD-FINAL|COMMON-RECORD</x:v>
      </x:c>
    </x:row>
    <x:row r="41">
      <x:c r="A41" s="37" t="str">
        <x:v>LJT-RPD-FINAL-COMMON-INSURANCE</x:v>
      </x:c>
      <x:c r="B41" s="37" t="str">
        <x:v>LJT-RPD-FINAL</x:v>
      </x:c>
      <x:c r="C41" s="37" t="str">
        <x:v>RPD</x:v>
      </x:c>
      <x:c r="D41" s="37" t="str">
        <x:v>印最終模</x:v>
      </x:c>
      <x:c r="E41" s="37" t="str">
        <x:v>COMMON-INSURANCE</x:v>
      </x:c>
      <x:c r="F41" s="37" t="str">
        <x:v>主跟診</x:v>
      </x:c>
      <x:c r="G41" s="37" t="str">
        <x:v>待確認</x:v>
      </x:c>
      <x:c r="H41" s="37" t="str">
        <x:v>◎</x:v>
      </x:c>
      <x:c r="I41" s="37" t="str">
        <x:v>Ø</x:v>
      </x:c>
      <x:c r="J41" s="39" t="str">
        <x:v>確認後才納入自動判定</x:v>
      </x:c>
      <x:c r="K41" s="37" t="str">
        <x:f>IF(_xlfn.XLOOKUP("REQ|LJT-RPD-FINAL|COMMON-INSURANCE",'主管核定中心'!$A$12:$A$372,'主管核定中心'!$K$12:$K$372,"待主管核定",0)="已核定","已確認",IF(_xlfn.XLOOKUP("REQ|LJT-RPD-FINAL|COMMON-INSURANCE",'主管核定中心'!$A$12:$A$372,'主管核定中心'!$K$12:$K$372,"待主管核定",0)="不納入","不納入","待確認"))</x:f>
        <x:v>待確認</x:v>
      </x:c>
      <x:c r="L41" s="37" t="str">
        <x:v>V1</x:v>
      </x:c>
      <x:c r="M41" t="str">
        <x:v>LJT-RPD-FINAL|COMMON-INSURANCE</x:v>
      </x:c>
    </x:row>
    <x:row r="42">
      <x:c r="A42" s="37" t="str">
        <x:v>LJT-RPD-FINAL-COMMON-XRAY-RECORD</x:v>
      </x:c>
      <x:c r="B42" s="37" t="str">
        <x:v>LJT-RPD-FINAL</x:v>
      </x:c>
      <x:c r="C42" s="37" t="str">
        <x:v>RPD</x:v>
      </x:c>
      <x:c r="D42" s="37" t="str">
        <x:v>印最終模</x:v>
      </x:c>
      <x:c r="E42" s="37" t="str">
        <x:v>COMMON-XRAY-RECORD</x:v>
      </x:c>
      <x:c r="F42" s="37" t="str">
        <x:v>主跟診</x:v>
      </x:c>
      <x:c r="G42" s="37" t="str">
        <x:v>待確認</x:v>
      </x:c>
      <x:c r="H42" s="37" t="str">
        <x:v>◎</x:v>
      </x:c>
      <x:c r="I42" s="37" t="str">
        <x:v>Ø</x:v>
      </x:c>
      <x:c r="J42" s="39" t="str">
        <x:v>確認後才納入自動判定</x:v>
      </x:c>
      <x:c r="K42" s="37" t="str">
        <x:f>IF(_xlfn.XLOOKUP("REQ|LJT-RPD-FINAL|COMMON-XRAY-RECORD",'主管核定中心'!$A$12:$A$372,'主管核定中心'!$K$12:$K$372,"待主管核定",0)="已核定","已確認",IF(_xlfn.XLOOKUP("REQ|LJT-RPD-FINAL|COMMON-XRAY-RECORD",'主管核定中心'!$A$12:$A$372,'主管核定中心'!$K$12:$K$372,"待主管核定",0)="不納入","不納入","待確認"))</x:f>
        <x:v>待確認</x:v>
      </x:c>
      <x:c r="L42" s="37" t="str">
        <x:v>V1</x:v>
      </x:c>
      <x:c r="M42" t="str">
        <x:v>LJT-RPD-FINAL|COMMON-XRAY-RECORD</x:v>
      </x:c>
    </x:row>
    <x:row r="43">
      <x:c r="A43" s="37" t="str">
        <x:v>LJT-AIRPOLISH-MAIN</x:v>
      </x:c>
      <x:c r="B43" s="37" t="str">
        <x:v>LJT-AIRPOLISH</x:v>
      </x:c>
      <x:c r="C43" s="37" t="str">
        <x:v>噴砂美白</x:v>
      </x:c>
      <x:c r="D43" s="37" t="str">
        <x:v>一般</x:v>
      </x:c>
      <x:c r="E43" s="37" t="str">
        <x:v>LJT-PREP-AIRPOLISH</x:v>
      </x:c>
      <x:c r="F43" s="37" t="str">
        <x:v>主跟診</x:v>
      </x:c>
      <x:c r="G43" s="37" t="str">
        <x:v>必備</x:v>
      </x:c>
      <x:c r="H43" s="37" t="str">
        <x:v>◎</x:v>
      </x:c>
      <x:c r="I43" s="37" t="str">
        <x:v>Ø</x:v>
      </x:c>
      <x:c r="J43" s="39" t="str">
        <x:v>依一般支援名額</x:v>
      </x:c>
      <x:c r="K43" s="37" t="str">
        <x:v>已確認</x:v>
      </x:c>
      <x:c r="L43" s="37" t="str">
        <x:v>V1</x:v>
      </x:c>
      <x:c r="M43" t="str">
        <x:v>LJT-AIRPOLISH|LJT-PREP-AIRPOLISH</x:v>
      </x:c>
    </x:row>
    <x:row r="44">
      <x:c r="A44" s="37" t="str">
        <x:v>LJT-AIRPOLISH-COMMON-RECORD</x:v>
      </x:c>
      <x:c r="B44" s="37" t="str">
        <x:v>LJT-AIRPOLISH</x:v>
      </x:c>
      <x:c r="C44" s="37" t="str">
        <x:v>噴砂美白</x:v>
      </x:c>
      <x:c r="D44" s="37" t="str">
        <x:v>一般</x:v>
      </x:c>
      <x:c r="E44" s="37" t="str">
        <x:v>COMMON-RECORD</x:v>
      </x:c>
      <x:c r="F44" s="37" t="str">
        <x:v>主跟診</x:v>
      </x:c>
      <x:c r="G44" s="37" t="str">
        <x:v>待確認</x:v>
      </x:c>
      <x:c r="H44" s="37" t="str">
        <x:v>◎</x:v>
      </x:c>
      <x:c r="I44" s="37" t="str">
        <x:v>Ø</x:v>
      </x:c>
      <x:c r="J44" s="39" t="str">
        <x:v>確認後才納入自動判定</x:v>
      </x:c>
      <x:c r="K44" s="37" t="str">
        <x:f>IF(_xlfn.XLOOKUP("REQ|LJT-AIRPOLISH|COMMON-RECORD",'主管核定中心'!$A$12:$A$372,'主管核定中心'!$K$12:$K$372,"待主管核定",0)="已核定","已確認",IF(_xlfn.XLOOKUP("REQ|LJT-AIRPOLISH|COMMON-RECORD",'主管核定中心'!$A$12:$A$372,'主管核定中心'!$K$12:$K$372,"待主管核定",0)="不納入","不納入","待確認"))</x:f>
        <x:v>待確認</x:v>
      </x:c>
      <x:c r="L44" s="37" t="str">
        <x:v>V1</x:v>
      </x:c>
      <x:c r="M44" t="str">
        <x:v>LJT-AIRPOLISH|COMMON-RECORD</x:v>
      </x:c>
    </x:row>
    <x:row r="45">
      <x:c r="A45" s="37" t="str">
        <x:v>LJT-AIRPOLISH-COMMON-INSURANCE</x:v>
      </x:c>
      <x:c r="B45" s="37" t="str">
        <x:v>LJT-AIRPOLISH</x:v>
      </x:c>
      <x:c r="C45" s="37" t="str">
        <x:v>噴砂美白</x:v>
      </x:c>
      <x:c r="D45" s="37" t="str">
        <x:v>一般</x:v>
      </x:c>
      <x:c r="E45" s="37" t="str">
        <x:v>COMMON-INSURANCE</x:v>
      </x:c>
      <x:c r="F45" s="37" t="str">
        <x:v>主跟診</x:v>
      </x:c>
      <x:c r="G45" s="37" t="str">
        <x:v>待確認</x:v>
      </x:c>
      <x:c r="H45" s="37" t="str">
        <x:v>◎</x:v>
      </x:c>
      <x:c r="I45" s="37" t="str">
        <x:v>Ø</x:v>
      </x:c>
      <x:c r="J45" s="39" t="str">
        <x:v>確認後才納入自動判定</x:v>
      </x:c>
      <x:c r="K45" s="37" t="str">
        <x:f>IF(_xlfn.XLOOKUP("REQ|LJT-AIRPOLISH|COMMON-INSURANCE",'主管核定中心'!$A$12:$A$372,'主管核定中心'!$K$12:$K$372,"待主管核定",0)="已核定","已確認",IF(_xlfn.XLOOKUP("REQ|LJT-AIRPOLISH|COMMON-INSURANCE",'主管核定中心'!$A$12:$A$372,'主管核定中心'!$K$12:$K$372,"待主管核定",0)="不納入","不納入","待確認"))</x:f>
        <x:v>待確認</x:v>
      </x:c>
      <x:c r="L45" s="37" t="str">
        <x:v>V1</x:v>
      </x:c>
      <x:c r="M45" t="str">
        <x:v>LJT-AIRPOLISH|COMMON-INSURANCE</x:v>
      </x:c>
    </x:row>
    <x:row r="46">
      <x:c r="A46" s="37" t="str">
        <x:v>LJT-AIRPOLISH-COMMON-XRAY-RECORD</x:v>
      </x:c>
      <x:c r="B46" s="37" t="str">
        <x:v>LJT-AIRPOLISH</x:v>
      </x:c>
      <x:c r="C46" s="37" t="str">
        <x:v>噴砂美白</x:v>
      </x:c>
      <x:c r="D46" s="37" t="str">
        <x:v>一般</x:v>
      </x:c>
      <x:c r="E46" s="37" t="str">
        <x:v>COMMON-XRAY-RECORD</x:v>
      </x:c>
      <x:c r="F46" s="37" t="str">
        <x:v>主跟診</x:v>
      </x:c>
      <x:c r="G46" s="37" t="str">
        <x:v>待確認</x:v>
      </x:c>
      <x:c r="H46" s="37" t="str">
        <x:v>◎</x:v>
      </x:c>
      <x:c r="I46" s="37" t="str">
        <x:v>Ø</x:v>
      </x:c>
      <x:c r="J46" s="39" t="str">
        <x:v>確認後才納入自動判定</x:v>
      </x:c>
      <x:c r="K46" s="37" t="str">
        <x:f>IF(_xlfn.XLOOKUP("REQ|LJT-AIRPOLISH|COMMON-XRAY-RECORD",'主管核定中心'!$A$12:$A$372,'主管核定中心'!$K$12:$K$372,"待主管核定",0)="已核定","已確認",IF(_xlfn.XLOOKUP("REQ|LJT-AIRPOLISH|COMMON-XRAY-RECORD",'主管核定中心'!$A$12:$A$372,'主管核定中心'!$K$12:$K$372,"待主管核定",0)="不納入","不納入","待確認"))</x:f>
        <x:v>待確認</x:v>
      </x:c>
      <x:c r="L46" s="37" t="str">
        <x:v>V1</x:v>
      </x:c>
      <x:c r="M46" t="str">
        <x:v>LJT-AIRPOLISH|COMMON-XRAY-RECORD</x:v>
      </x:c>
    </x:row>
    <x:row r="47">
      <x:c r="A47" s="37" t="str">
        <x:v>LJT-PERIOSURG-MAIN</x:v>
      </x:c>
      <x:c r="B47" s="37" t="str">
        <x:v>LJT-PERIOSURG</x:v>
      </x:c>
      <x:c r="C47" s="37" t="str">
        <x:v>牙周手術</x:v>
      </x:c>
      <x:c r="D47" s="37" t="str">
        <x:v>一般</x:v>
      </x:c>
      <x:c r="E47" s="37" t="str">
        <x:v>LJT-PREP-PERIOSURG</x:v>
      </x:c>
      <x:c r="F47" s="37" t="str">
        <x:v>主跟診</x:v>
      </x:c>
      <x:c r="G47" s="37" t="str">
        <x:v>必備</x:v>
      </x:c>
      <x:c r="H47" s="37" t="str">
        <x:v>◎</x:v>
      </x:c>
      <x:c r="I47" s="37" t="str">
        <x:v>Ø</x:v>
      </x:c>
      <x:c r="J47" s="39" t="str">
        <x:v>Ø 時完整支援者 1:1</x:v>
      </x:c>
      <x:c r="K47" s="37" t="str">
        <x:v>已確認</x:v>
      </x:c>
      <x:c r="L47" s="37" t="str">
        <x:v>V1</x:v>
      </x:c>
      <x:c r="M47" t="str">
        <x:v>LJT-PERIOSURG|LJT-PREP-PERIOSURG</x:v>
      </x:c>
    </x:row>
    <x:row r="48">
      <x:c r="A48" s="37" t="str">
        <x:v>LJT-PERIOSURG-COMMON-RECORD</x:v>
      </x:c>
      <x:c r="B48" s="37" t="str">
        <x:v>LJT-PERIOSURG</x:v>
      </x:c>
      <x:c r="C48" s="37" t="str">
        <x:v>牙周手術</x:v>
      </x:c>
      <x:c r="D48" s="37" t="str">
        <x:v>一般</x:v>
      </x:c>
      <x:c r="E48" s="37" t="str">
        <x:v>COMMON-RECORD</x:v>
      </x:c>
      <x:c r="F48" s="37" t="str">
        <x:v>主跟診</x:v>
      </x:c>
      <x:c r="G48" s="37" t="str">
        <x:v>待確認</x:v>
      </x:c>
      <x:c r="H48" s="37" t="str">
        <x:v>◎</x:v>
      </x:c>
      <x:c r="I48" s="37" t="str">
        <x:v>Ø</x:v>
      </x:c>
      <x:c r="J48" s="39" t="str">
        <x:v>確認後才納入自動判定</x:v>
      </x:c>
      <x:c r="K48" s="37" t="str">
        <x:f>IF(_xlfn.XLOOKUP("REQ|LJT-PERIOSURG|COMMON-RECORD",'主管核定中心'!$A$12:$A$372,'主管核定中心'!$K$12:$K$372,"待主管核定",0)="已核定","已確認",IF(_xlfn.XLOOKUP("REQ|LJT-PERIOSURG|COMMON-RECORD",'主管核定中心'!$A$12:$A$372,'主管核定中心'!$K$12:$K$372,"待主管核定",0)="不納入","不納入","待確認"))</x:f>
        <x:v>待確認</x:v>
      </x:c>
      <x:c r="L48" s="37" t="str">
        <x:v>V1</x:v>
      </x:c>
      <x:c r="M48" t="str">
        <x:v>LJT-PERIOSURG|COMMON-RECORD</x:v>
      </x:c>
    </x:row>
    <x:row r="49">
      <x:c r="A49" s="37" t="str">
        <x:v>LJT-PERIOSURG-COMMON-INSURANCE</x:v>
      </x:c>
      <x:c r="B49" s="37" t="str">
        <x:v>LJT-PERIOSURG</x:v>
      </x:c>
      <x:c r="C49" s="37" t="str">
        <x:v>牙周手術</x:v>
      </x:c>
      <x:c r="D49" s="37" t="str">
        <x:v>一般</x:v>
      </x:c>
      <x:c r="E49" s="37" t="str">
        <x:v>COMMON-INSURANCE</x:v>
      </x:c>
      <x:c r="F49" s="37" t="str">
        <x:v>主跟診</x:v>
      </x:c>
      <x:c r="G49" s="37" t="str">
        <x:v>待確認</x:v>
      </x:c>
      <x:c r="H49" s="37" t="str">
        <x:v>◎</x:v>
      </x:c>
      <x:c r="I49" s="37" t="str">
        <x:v>Ø</x:v>
      </x:c>
      <x:c r="J49" s="39" t="str">
        <x:v>確認後才納入自動判定</x:v>
      </x:c>
      <x:c r="K49" s="37" t="str">
        <x:f>IF(_xlfn.XLOOKUP("REQ|LJT-PERIOSURG|COMMON-INSURANCE",'主管核定中心'!$A$12:$A$372,'主管核定中心'!$K$12:$K$372,"待主管核定",0)="已核定","已確認",IF(_xlfn.XLOOKUP("REQ|LJT-PERIOSURG|COMMON-INSURANCE",'主管核定中心'!$A$12:$A$372,'主管核定中心'!$K$12:$K$372,"待主管核定",0)="不納入","不納入","待確認"))</x:f>
        <x:v>待確認</x:v>
      </x:c>
      <x:c r="L49" s="37" t="str">
        <x:v>V1</x:v>
      </x:c>
      <x:c r="M49" t="str">
        <x:v>LJT-PERIOSURG|COMMON-INSURANCE</x:v>
      </x:c>
    </x:row>
    <x:row r="50">
      <x:c r="A50" s="37" t="str">
        <x:v>LJT-PERIOSURG-COMMON-XRAY-RECORD</x:v>
      </x:c>
      <x:c r="B50" s="37" t="str">
        <x:v>LJT-PERIOSURG</x:v>
      </x:c>
      <x:c r="C50" s="37" t="str">
        <x:v>牙周手術</x:v>
      </x:c>
      <x:c r="D50" s="37" t="str">
        <x:v>一般</x:v>
      </x:c>
      <x:c r="E50" s="37" t="str">
        <x:v>COMMON-XRAY-RECORD</x:v>
      </x:c>
      <x:c r="F50" s="37" t="str">
        <x:v>主跟診</x:v>
      </x:c>
      <x:c r="G50" s="37" t="str">
        <x:v>待確認</x:v>
      </x:c>
      <x:c r="H50" s="37" t="str">
        <x:v>◎</x:v>
      </x:c>
      <x:c r="I50" s="37" t="str">
        <x:v>Ø</x:v>
      </x:c>
      <x:c r="J50" s="39" t="str">
        <x:v>確認後才納入自動判定</x:v>
      </x:c>
      <x:c r="K50" s="37" t="str">
        <x:f>IF(_xlfn.XLOOKUP("REQ|LJT-PERIOSURG|COMMON-XRAY-RECORD",'主管核定中心'!$A$12:$A$372,'主管核定中心'!$K$12:$K$372,"待主管核定",0)="已核定","已確認",IF(_xlfn.XLOOKUP("REQ|LJT-PERIOSURG|COMMON-XRAY-RECORD",'主管核定中心'!$A$12:$A$372,'主管核定中心'!$K$12:$K$372,"待主管核定",0)="不納入","不納入","待確認"))</x:f>
        <x:v>待確認</x:v>
      </x:c>
      <x:c r="L50" s="37" t="str">
        <x:v>V1</x:v>
      </x:c>
      <x:c r="M50" t="str">
        <x:v>LJT-PERIOSURG|COMMON-XRAY-RECORD</x:v>
      </x:c>
    </x:row>
    <x:row r="51">
      <x:c r="A51" s="37" t="str">
        <x:v>LJT-MICROENDO-MAIN</x:v>
      </x:c>
      <x:c r="B51" s="37" t="str">
        <x:v>LJT-MICROENDO</x:v>
      </x:c>
      <x:c r="C51" s="37" t="str">
        <x:v>顯微根管</x:v>
      </x:c>
      <x:c r="D51" s="37" t="str">
        <x:v>一般</x:v>
      </x:c>
      <x:c r="E51" s="37" t="str">
        <x:v>LJT-PREP-MICROENDO</x:v>
      </x:c>
      <x:c r="F51" s="37" t="str">
        <x:v>主跟診</x:v>
      </x:c>
      <x:c r="G51" s="37" t="str">
        <x:v>必備</x:v>
      </x:c>
      <x:c r="H51" s="37" t="str">
        <x:v>◎</x:v>
      </x:c>
      <x:c r="I51" s="37" t="str">
        <x:v>Ø</x:v>
      </x:c>
      <x:c r="J51" s="39" t="str">
        <x:v>Ø 時完整支援者 1:1</x:v>
      </x:c>
      <x:c r="K51" s="37" t="str">
        <x:v>已確認</x:v>
      </x:c>
      <x:c r="L51" s="37" t="str">
        <x:v>V1</x:v>
      </x:c>
      <x:c r="M51" t="str">
        <x:v>LJT-MICROENDO|LJT-PREP-MICROENDO</x:v>
      </x:c>
    </x:row>
    <x:row r="52">
      <x:c r="A52" s="37" t="str">
        <x:v>LJT-MICROENDO-COMMON-RECORD</x:v>
      </x:c>
      <x:c r="B52" s="37" t="str">
        <x:v>LJT-MICROENDO</x:v>
      </x:c>
      <x:c r="C52" s="37" t="str">
        <x:v>顯微根管</x:v>
      </x:c>
      <x:c r="D52" s="37" t="str">
        <x:v>一般</x:v>
      </x:c>
      <x:c r="E52" s="37" t="str">
        <x:v>COMMON-RECORD</x:v>
      </x:c>
      <x:c r="F52" s="37" t="str">
        <x:v>主跟診</x:v>
      </x:c>
      <x:c r="G52" s="37" t="str">
        <x:v>待確認</x:v>
      </x:c>
      <x:c r="H52" s="37" t="str">
        <x:v>◎</x:v>
      </x:c>
      <x:c r="I52" s="37" t="str">
        <x:v>Ø</x:v>
      </x:c>
      <x:c r="J52" s="39" t="str">
        <x:v>確認後才納入自動判定</x:v>
      </x:c>
      <x:c r="K52" s="37" t="str">
        <x:f>IF(_xlfn.XLOOKUP("REQ|LJT-MICROENDO|COMMON-RECORD",'主管核定中心'!$A$12:$A$372,'主管核定中心'!$K$12:$K$372,"待主管核定",0)="已核定","已確認",IF(_xlfn.XLOOKUP("REQ|LJT-MICROENDO|COMMON-RECORD",'主管核定中心'!$A$12:$A$372,'主管核定中心'!$K$12:$K$372,"待主管核定",0)="不納入","不納入","待確認"))</x:f>
        <x:v>待確認</x:v>
      </x:c>
      <x:c r="L52" s="37" t="str">
        <x:v>V1</x:v>
      </x:c>
      <x:c r="M52" t="str">
        <x:v>LJT-MICROENDO|COMMON-RECORD</x:v>
      </x:c>
    </x:row>
    <x:row r="53">
      <x:c r="A53" s="37" t="str">
        <x:v>LJT-MICROENDO-COMMON-INSURANCE</x:v>
      </x:c>
      <x:c r="B53" s="37" t="str">
        <x:v>LJT-MICROENDO</x:v>
      </x:c>
      <x:c r="C53" s="37" t="str">
        <x:v>顯微根管</x:v>
      </x:c>
      <x:c r="D53" s="37" t="str">
        <x:v>一般</x:v>
      </x:c>
      <x:c r="E53" s="37" t="str">
        <x:v>COMMON-INSURANCE</x:v>
      </x:c>
      <x:c r="F53" s="37" t="str">
        <x:v>主跟診</x:v>
      </x:c>
      <x:c r="G53" s="37" t="str">
        <x:v>待確認</x:v>
      </x:c>
      <x:c r="H53" s="37" t="str">
        <x:v>◎</x:v>
      </x:c>
      <x:c r="I53" s="37" t="str">
        <x:v>Ø</x:v>
      </x:c>
      <x:c r="J53" s="39" t="str">
        <x:v>確認後才納入自動判定</x:v>
      </x:c>
      <x:c r="K53" s="37" t="str">
        <x:f>IF(_xlfn.XLOOKUP("REQ|LJT-MICROENDO|COMMON-INSURANCE",'主管核定中心'!$A$12:$A$372,'主管核定中心'!$K$12:$K$372,"待主管核定",0)="已核定","已確認",IF(_xlfn.XLOOKUP("REQ|LJT-MICROENDO|COMMON-INSURANCE",'主管核定中心'!$A$12:$A$372,'主管核定中心'!$K$12:$K$372,"待主管核定",0)="不納入","不納入","待確認"))</x:f>
        <x:v>待確認</x:v>
      </x:c>
      <x:c r="L53" s="37" t="str">
        <x:v>V1</x:v>
      </x:c>
      <x:c r="M53" t="str">
        <x:v>LJT-MICROENDO|COMMON-INSURANCE</x:v>
      </x:c>
    </x:row>
    <x:row r="54">
      <x:c r="A54" s="37" t="str">
        <x:v>LJT-MICROENDO-COMMON-XRAY-RECORD</x:v>
      </x:c>
      <x:c r="B54" s="37" t="str">
        <x:v>LJT-MICROENDO</x:v>
      </x:c>
      <x:c r="C54" s="37" t="str">
        <x:v>顯微根管</x:v>
      </x:c>
      <x:c r="D54" s="37" t="str">
        <x:v>一般</x:v>
      </x:c>
      <x:c r="E54" s="37" t="str">
        <x:v>COMMON-XRAY-RECORD</x:v>
      </x:c>
      <x:c r="F54" s="37" t="str">
        <x:v>主跟診</x:v>
      </x:c>
      <x:c r="G54" s="37" t="str">
        <x:v>待確認</x:v>
      </x:c>
      <x:c r="H54" s="37" t="str">
        <x:v>◎</x:v>
      </x:c>
      <x:c r="I54" s="37" t="str">
        <x:v>Ø</x:v>
      </x:c>
      <x:c r="J54" s="39" t="str">
        <x:v>確認後才納入自動判定</x:v>
      </x:c>
      <x:c r="K54" s="37" t="str">
        <x:f>IF(_xlfn.XLOOKUP("REQ|LJT-MICROENDO|COMMON-XRAY-RECORD",'主管核定中心'!$A$12:$A$372,'主管核定中心'!$K$12:$K$372,"待主管核定",0)="已核定","已確認",IF(_xlfn.XLOOKUP("REQ|LJT-MICROENDO|COMMON-XRAY-RECORD",'主管核定中心'!$A$12:$A$372,'主管核定中心'!$K$12:$K$372,"待主管核定",0)="不納入","不納入","待確認"))</x:f>
        <x:v>待確認</x:v>
      </x:c>
      <x:c r="L54" s="37" t="str">
        <x:v>V1</x:v>
      </x:c>
      <x:c r="M54" t="str">
        <x:v>LJT-MICROENDO|COMMON-XRAY-RECORD</x:v>
      </x:c>
    </x:row>
    <x:row r="55">
      <x:c r="A55" s="37" t="str">
        <x:v>LJT-IMPLANT-MAIN</x:v>
      </x:c>
      <x:c r="B55" s="37" t="str">
        <x:v>LJT-IMPLANT</x:v>
      </x:c>
      <x:c r="C55" s="37" t="str">
        <x:v>植牙</x:v>
      </x:c>
      <x:c r="D55" s="37" t="str">
        <x:v>一般</x:v>
      </x:c>
      <x:c r="E55" s="37" t="str">
        <x:v>LJT-PREP-IMPLANT</x:v>
      </x:c>
      <x:c r="F55" s="37" t="str">
        <x:v>主跟診</x:v>
      </x:c>
      <x:c r="G55" s="37" t="str">
        <x:v>必備</x:v>
      </x:c>
      <x:c r="H55" s="37" t="str">
        <x:v>◎</x:v>
      </x:c>
      <x:c r="I55" s="37" t="str">
        <x:v>Ø</x:v>
      </x:c>
      <x:c r="J55" s="39" t="str">
        <x:v>Ø 時完整支援者 1:1</x:v>
      </x:c>
      <x:c r="K55" s="37" t="str">
        <x:v>已確認</x:v>
      </x:c>
      <x:c r="L55" s="37" t="str">
        <x:v>V1</x:v>
      </x:c>
      <x:c r="M55" t="str">
        <x:v>LJT-IMPLANT|LJT-PREP-IMPLANT</x:v>
      </x:c>
    </x:row>
    <x:row r="56">
      <x:c r="A56" s="37" t="str">
        <x:v>LJT-IMPLANT-COMMON-RECORD</x:v>
      </x:c>
      <x:c r="B56" s="37" t="str">
        <x:v>LJT-IMPLANT</x:v>
      </x:c>
      <x:c r="C56" s="37" t="str">
        <x:v>植牙</x:v>
      </x:c>
      <x:c r="D56" s="37" t="str">
        <x:v>一般</x:v>
      </x:c>
      <x:c r="E56" s="37" t="str">
        <x:v>COMMON-RECORD</x:v>
      </x:c>
      <x:c r="F56" s="37" t="str">
        <x:v>主跟診</x:v>
      </x:c>
      <x:c r="G56" s="37" t="str">
        <x:v>待確認</x:v>
      </x:c>
      <x:c r="H56" s="37" t="str">
        <x:v>◎</x:v>
      </x:c>
      <x:c r="I56" s="37" t="str">
        <x:v>Ø</x:v>
      </x:c>
      <x:c r="J56" s="39" t="str">
        <x:v>確認後才納入自動判定</x:v>
      </x:c>
      <x:c r="K56" s="37" t="str">
        <x:f>IF(_xlfn.XLOOKUP("REQ|LJT-IMPLANT|COMMON-RECORD",'主管核定中心'!$A$12:$A$372,'主管核定中心'!$K$12:$K$372,"待主管核定",0)="已核定","已確認",IF(_xlfn.XLOOKUP("REQ|LJT-IMPLANT|COMMON-RECORD",'主管核定中心'!$A$12:$A$372,'主管核定中心'!$K$12:$K$372,"待主管核定",0)="不納入","不納入","待確認"))</x:f>
        <x:v>待確認</x:v>
      </x:c>
      <x:c r="L56" s="37" t="str">
        <x:v>V1</x:v>
      </x:c>
      <x:c r="M56" t="str">
        <x:v>LJT-IMPLANT|COMMON-RECORD</x:v>
      </x:c>
    </x:row>
    <x:row r="57">
      <x:c r="A57" s="37" t="str">
        <x:v>LJT-IMPLANT-COMMON-INSURANCE</x:v>
      </x:c>
      <x:c r="B57" s="37" t="str">
        <x:v>LJT-IMPLANT</x:v>
      </x:c>
      <x:c r="C57" s="37" t="str">
        <x:v>植牙</x:v>
      </x:c>
      <x:c r="D57" s="37" t="str">
        <x:v>一般</x:v>
      </x:c>
      <x:c r="E57" s="37" t="str">
        <x:v>COMMON-INSURANCE</x:v>
      </x:c>
      <x:c r="F57" s="37" t="str">
        <x:v>主跟診</x:v>
      </x:c>
      <x:c r="G57" s="37" t="str">
        <x:v>待確認</x:v>
      </x:c>
      <x:c r="H57" s="37" t="str">
        <x:v>◎</x:v>
      </x:c>
      <x:c r="I57" s="37" t="str">
        <x:v>Ø</x:v>
      </x:c>
      <x:c r="J57" s="39" t="str">
        <x:v>確認後才納入自動判定</x:v>
      </x:c>
      <x:c r="K57" s="37" t="str">
        <x:f>IF(_xlfn.XLOOKUP("REQ|LJT-IMPLANT|COMMON-INSURANCE",'主管核定中心'!$A$12:$A$372,'主管核定中心'!$K$12:$K$372,"待主管核定",0)="已核定","已確認",IF(_xlfn.XLOOKUP("REQ|LJT-IMPLANT|COMMON-INSURANCE",'主管核定中心'!$A$12:$A$372,'主管核定中心'!$K$12:$K$372,"待主管核定",0)="不納入","不納入","待確認"))</x:f>
        <x:v>待確認</x:v>
      </x:c>
      <x:c r="L57" s="37" t="str">
        <x:v>V1</x:v>
      </x:c>
      <x:c r="M57" t="str">
        <x:v>LJT-IMPLANT|COMMON-INSURANCE</x:v>
      </x:c>
    </x:row>
    <x:row r="58">
      <x:c r="A58" s="37" t="str">
        <x:v>LJT-IMPLANT-COMMON-XRAY-RECORD</x:v>
      </x:c>
      <x:c r="B58" s="37" t="str">
        <x:v>LJT-IMPLANT</x:v>
      </x:c>
      <x:c r="C58" s="37" t="str">
        <x:v>植牙</x:v>
      </x:c>
      <x:c r="D58" s="37" t="str">
        <x:v>一般</x:v>
      </x:c>
      <x:c r="E58" s="37" t="str">
        <x:v>COMMON-XRAY-RECORD</x:v>
      </x:c>
      <x:c r="F58" s="37" t="str">
        <x:v>主跟診</x:v>
      </x:c>
      <x:c r="G58" s="37" t="str">
        <x:v>待確認</x:v>
      </x:c>
      <x:c r="H58" s="37" t="str">
        <x:v>◎</x:v>
      </x:c>
      <x:c r="I58" s="37" t="str">
        <x:v>Ø</x:v>
      </x:c>
      <x:c r="J58" s="39" t="str">
        <x:v>確認後才納入自動判定</x:v>
      </x:c>
      <x:c r="K58" s="37" t="str">
        <x:f>IF(_xlfn.XLOOKUP("REQ|LJT-IMPLANT|COMMON-XRAY-RECORD",'主管核定中心'!$A$12:$A$372,'主管核定中心'!$K$12:$K$372,"待主管核定",0)="已核定","已確認",IF(_xlfn.XLOOKUP("REQ|LJT-IMPLANT|COMMON-XRAY-RECORD",'主管核定中心'!$A$12:$A$372,'主管核定中心'!$K$12:$K$372,"待主管核定",0)="不納入","不納入","待確認"))</x:f>
        <x:v>待確認</x:v>
      </x:c>
      <x:c r="L58" s="37" t="str">
        <x:v>V1</x:v>
      </x:c>
      <x:c r="M58" t="str">
        <x:v>LJT-IMPLANT|COMMON-XRAY-RECORD</x:v>
      </x:c>
    </x:row>
    <x:row r="59">
      <x:c r="A59" s="38" t="str">
        <x:v>LJT-RPD-FINAL-SUPPORT</x:v>
      </x:c>
      <x:c r="B59" s="38" t="str">
        <x:v>LJT-RPD-FINAL</x:v>
      </x:c>
      <x:c r="C59" s="38" t="str">
        <x:v>RPD</x:v>
      </x:c>
      <x:c r="D59" s="38" t="str">
        <x:v>印最終模</x:v>
      </x:c>
      <x:c r="E59" s="38" t="str">
        <x:v>LJT-RPD-FINAL</x:v>
      </x:c>
      <x:c r="F59" s="38" t="str">
        <x:v>短時支援者</x:v>
      </x:c>
      <x:c r="G59" s="38" t="str">
        <x:v>必備</x:v>
      </x:c>
      <x:c r="H59" s="38" t="str">
        <x:v>◎</x:v>
      </x:c>
      <x:c r="I59" s="38" t="str">
        <x:v>◎</x:v>
      </x:c>
      <x:c r="J59" s="40" t="str">
        <x:v>不要求李醫師完整跟診熟悉度；預設 30 分鐘</x:v>
      </x:c>
      <x:c r="K59" s="38" t="str">
        <x:v>已確認</x:v>
      </x:c>
      <x:c r="L59" s="38" t="str">
        <x:v>V1</x:v>
      </x:c>
      <x:c r="M59" t="str">
        <x:v>LJT-RPD-FINAL|LJT-RPD-FINAL</x:v>
      </x:c>
    </x:row>
  </x:sheetData>
  <x:pageMargins left="0.7" right="0.7" top="0.75" bottom="0.75" header="0.3" footer="0.3"/>
  <x:tableParts count="1">
    <x:tablePart xmlns:r="http://schemas.openxmlformats.org/officeDocument/2006/relationships" r:id="R9b4261e3aac14ca5"/>
  </x:tableParts>
</x:worksheet>
</file>

<file path=xl/worksheets/sheet9.xml><?xml version="1.0" encoding="utf-8"?>
<x:worksheet xmlns:x="http://schemas.openxmlformats.org/spreadsheetml/2006/main">
  <x:sheetPr>
    <x:tabColor rgb="FF9BB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  <x:col min="9" max="9" width="24" hidden="0" customWidth="1"/>
    <x:col min="10" max="10" width="18" hidden="0" customWidth="1"/>
    <x:col min="11" max="11" width="18" hidden="0" customWidth="1"/>
    <x:col min="12" max="12" width="16" hidden="0" customWidth="1"/>
  </x:cols>
  <x:sheetData>
    <x:row r="2">
      <x:c r="A2" s="26" t="str">
        <x:v>試行員工主檔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>
      <x:c r="A4" s="28" t="str">
        <x:v>聘用型態與原表職級保留來源資料；能力路徑、培訓組、主管與目前核定職級由員工治理核定的生效紀錄回寫。正式職級不直接作為排班放行條件。</x:v>
      </x:c>
      <x:c r="B4" s="28"/>
      <x:c r="C4" s="28"/>
      <x:c r="D4" s="28"/>
      <x:c r="E4" s="28"/>
      <x:c r="F4" s="28"/>
      <x:c r="G4" s="28"/>
      <x:c r="H4" s="28"/>
      <x:c r="I4" s="28"/>
    </x:row>
    <x:row r="6">
      <x:c r="A6" s="36" t="str">
        <x:v>員工編號</x:v>
      </x:c>
      <x:c r="B6" s="36" t="str">
        <x:v>姓名</x:v>
      </x:c>
      <x:c r="C6" s="36" t="str">
        <x:v>聘用型態</x:v>
      </x:c>
      <x:c r="D6" s="36" t="str">
        <x:v>原表職級</x:v>
      </x:c>
      <x:c r="E6" s="36" t="str">
        <x:v>能力路徑</x:v>
      </x:c>
      <x:c r="F6" s="36" t="str">
        <x:v>主要培訓組</x:v>
      </x:c>
      <x:c r="G6" s="36" t="str">
        <x:v>日常主管</x:v>
      </x:c>
      <x:c r="H6" s="36" t="str">
        <x:v>在職狀態</x:v>
      </x:c>
      <x:c r="I6" s="36" t="str">
        <x:v>資料來源</x:v>
      </x:c>
      <x:c r="J6" s="240" t="str">
        <x:v>目前核定職級</x:v>
      </x:c>
      <x:c r="K6" s="240" t="str">
        <x:v>治理核定狀態</x:v>
      </x:c>
      <x:c r="L6" s="240" t="str">
        <x:v>治理生效日</x:v>
      </x:c>
    </x:row>
    <x:row r="7">
      <x:c r="A7" s="37" t="str">
        <x:v>1001</x:v>
      </x:c>
      <x:c r="B7" s="37" t="str"/>
      <x:c r="C7" s="37" t="str">
        <x:v>正職</x:v>
      </x:c>
      <x:c r="D7" s="37" t="str">
        <x:v>Lv.10</x:v>
      </x:c>
      <x:c r="E7" s="245" t="str">
        <x:f>IF($A7="","",_xlfn.XLOOKUP($A7,'員工治理核定'!$P$7:$P$106,'員工治理核定'!$F$7:$F$106,"待主管指定",0))</x:f>
        <x:v>待主管指定</x:v>
      </x:c>
      <x:c r="F7" s="245" t="str">
        <x:f>IF($A7="","",_xlfn.XLOOKUP($A7,'員工治理核定'!$P$7:$P$106,'員工治理核定'!$G$7:$G$106,"",0))</x:f>
      </x:c>
      <x:c r="G7" s="245" t="str">
        <x:f>IF($A7="","",_xlfn.XLOOKUP($A7,'員工治理核定'!$P$7:$P$106,'員工治理核定'!$H$7:$H$106,"",0))</x:f>
      </x:c>
      <x:c r="H7" s="37" t="str">
        <x:v>在職</x:v>
      </x:c>
      <x:c r="I7" s="37" t="str">
        <x:v>來源工作簿</x:v>
      </x:c>
      <x:c r="J7" s="242" t="str">
        <x:f>IF($A7="","",_xlfn.XLOOKUP($A7,'員工治理核定'!$P$7:$P$106,'員工治理核定'!$I$7:$I$106,"待主管核定",0))</x:f>
        <x:v>待主管核定</x:v>
      </x:c>
      <x:c r="K7" s="242" t="str">
        <x:f>IF($A7="","",IF(COUNTIFS('員工治理核定'!$P$7:$P$106,$A7)&gt;0,"已核定生效",IF(COUNTIFS('員工治理核定'!$B$7:$B$106,$A7)&gt;0,"待主管核定","未建立")))</x:f>
        <x:v>待主管核定</x:v>
      </x:c>
      <x:c r="L7" s="247" t="str">
        <x:f>IF($A7="","",_xlfn.XLOOKUP($A7,'員工治理核定'!$P$7:$P$106,'員工治理核定'!$J$7:$J$106,"",0))</x:f>
      </x:c>
    </x:row>
    <x:row r="8">
      <x:c r="A8" s="37" t="str">
        <x:v>1004</x:v>
      </x:c>
      <x:c r="B8" s="37" t="str"/>
      <x:c r="C8" s="37" t="str">
        <x:v>正職</x:v>
      </x:c>
      <x:c r="D8" s="37" t="str">
        <x:v>Lv.8</x:v>
      </x:c>
      <x:c r="E8" s="245" t="str">
        <x:f>IF($A8="","",_xlfn.XLOOKUP($A8,'員工治理核定'!$P$7:$P$106,'員工治理核定'!$F$7:$F$106,"待主管指定",0))</x:f>
        <x:v>待主管指定</x:v>
      </x:c>
      <x:c r="F8" s="245" t="str">
        <x:f>IF($A8="","",_xlfn.XLOOKUP($A8,'員工治理核定'!$P$7:$P$106,'員工治理核定'!$G$7:$G$106,"",0))</x:f>
      </x:c>
      <x:c r="G8" s="245" t="str">
        <x:f>IF($A8="","",_xlfn.XLOOKUP($A8,'員工治理核定'!$P$7:$P$106,'員工治理核定'!$H$7:$H$106,"",0))</x:f>
      </x:c>
      <x:c r="H8" s="37" t="str">
        <x:v>在職</x:v>
      </x:c>
      <x:c r="I8" s="37" t="str">
        <x:v>來源工作簿</x:v>
      </x:c>
      <x:c r="J8" s="242" t="str">
        <x:f>IF($A8="","",_xlfn.XLOOKUP($A8,'員工治理核定'!$P$7:$P$106,'員工治理核定'!$I$7:$I$106,"待主管核定",0))</x:f>
        <x:v>待主管核定</x:v>
      </x:c>
      <x:c r="K8" s="242" t="str">
        <x:f>IF($A8="","",IF(COUNTIFS('員工治理核定'!$P$7:$P$106,$A8)&gt;0,"已核定生效",IF(COUNTIFS('員工治理核定'!$B$7:$B$106,$A8)&gt;0,"待主管核定","未建立")))</x:f>
        <x:v>待主管核定</x:v>
      </x:c>
      <x:c r="L8" s="247" t="str">
        <x:f>IF($A8="","",_xlfn.XLOOKUP($A8,'員工治理核定'!$P$7:$P$106,'員工治理核定'!$J$7:$J$106,"",0))</x:f>
      </x:c>
    </x:row>
    <x:row r="9">
      <x:c r="A9" s="37" t="str">
        <x:v>1013</x:v>
      </x:c>
      <x:c r="B9" s="37" t="str"/>
      <x:c r="C9" s="37" t="str">
        <x:v>正職</x:v>
      </x:c>
      <x:c r="D9" s="37" t="str">
        <x:v>Lv.7</x:v>
      </x:c>
      <x:c r="E9" s="245" t="str">
        <x:f>IF($A9="","",_xlfn.XLOOKUP($A9,'員工治理核定'!$P$7:$P$106,'員工治理核定'!$F$7:$F$106,"待主管指定",0))</x:f>
        <x:v>待主管指定</x:v>
      </x:c>
      <x:c r="F9" s="245" t="str">
        <x:f>IF($A9="","",_xlfn.XLOOKUP($A9,'員工治理核定'!$P$7:$P$106,'員工治理核定'!$G$7:$G$106,"",0))</x:f>
      </x:c>
      <x:c r="G9" s="245" t="str">
        <x:f>IF($A9="","",_xlfn.XLOOKUP($A9,'員工治理核定'!$P$7:$P$106,'員工治理核定'!$H$7:$H$106,"",0))</x:f>
      </x:c>
      <x:c r="H9" s="37" t="str">
        <x:v>在職</x:v>
      </x:c>
      <x:c r="I9" s="37" t="str">
        <x:v>來源工作簿</x:v>
      </x:c>
      <x:c r="J9" s="242" t="str">
        <x:f>IF($A9="","",_xlfn.XLOOKUP($A9,'員工治理核定'!$P$7:$P$106,'員工治理核定'!$I$7:$I$106,"待主管核定",0))</x:f>
        <x:v>待主管核定</x:v>
      </x:c>
      <x:c r="K9" s="242" t="str">
        <x:f>IF($A9="","",IF(COUNTIFS('員工治理核定'!$P$7:$P$106,$A9)&gt;0,"已核定生效",IF(COUNTIFS('員工治理核定'!$B$7:$B$106,$A9)&gt;0,"待主管核定","未建立")))</x:f>
        <x:v>待主管核定</x:v>
      </x:c>
      <x:c r="L9" s="247" t="str">
        <x:f>IF($A9="","",_xlfn.XLOOKUP($A9,'員工治理核定'!$P$7:$P$106,'員工治理核定'!$J$7:$J$106,"",0))</x:f>
      </x:c>
    </x:row>
    <x:row r="10">
      <x:c r="A10" s="37" t="str">
        <x:v>1019</x:v>
      </x:c>
      <x:c r="B10" s="37" t="str"/>
      <x:c r="C10" s="37" t="str">
        <x:v>正職</x:v>
      </x:c>
      <x:c r="D10" s="37" t="str">
        <x:v>Lv.6</x:v>
      </x:c>
      <x:c r="E10" s="245" t="str">
        <x:f>IF($A10="","",_xlfn.XLOOKUP($A10,'員工治理核定'!$P$7:$P$106,'員工治理核定'!$F$7:$F$106,"待主管指定",0))</x:f>
        <x:v>待主管指定</x:v>
      </x:c>
      <x:c r="F10" s="245" t="str">
        <x:f>IF($A10="","",_xlfn.XLOOKUP($A10,'員工治理核定'!$P$7:$P$106,'員工治理核定'!$G$7:$G$106,"",0))</x:f>
      </x:c>
      <x:c r="G10" s="245" t="str">
        <x:f>IF($A10="","",_xlfn.XLOOKUP($A10,'員工治理核定'!$P$7:$P$106,'員工治理核定'!$H$7:$H$106,"",0))</x:f>
      </x:c>
      <x:c r="H10" s="37" t="str">
        <x:v>在職</x:v>
      </x:c>
      <x:c r="I10" s="37" t="str">
        <x:v>來源工作簿</x:v>
      </x:c>
      <x:c r="J10" s="242" t="str">
        <x:f>IF($A10="","",_xlfn.XLOOKUP($A10,'員工治理核定'!$P$7:$P$106,'員工治理核定'!$I$7:$I$106,"待主管核定",0))</x:f>
        <x:v>待主管核定</x:v>
      </x:c>
      <x:c r="K10" s="242" t="str">
        <x:f>IF($A10="","",IF(COUNTIFS('員工治理核定'!$P$7:$P$106,$A10)&gt;0,"已核定生效",IF(COUNTIFS('員工治理核定'!$B$7:$B$106,$A10)&gt;0,"待主管核定","未建立")))</x:f>
        <x:v>待主管核定</x:v>
      </x:c>
      <x:c r="L10" s="247" t="str">
        <x:f>IF($A10="","",_xlfn.XLOOKUP($A10,'員工治理核定'!$P$7:$P$106,'員工治理核定'!$J$7:$J$106,"",0))</x:f>
      </x:c>
    </x:row>
    <x:row r="11">
      <x:c r="A11" s="37" t="str">
        <x:v>1020</x:v>
      </x:c>
      <x:c r="B11" s="37" t="str"/>
      <x:c r="C11" s="37" t="str">
        <x:v>正職</x:v>
      </x:c>
      <x:c r="D11" s="37" t="str">
        <x:v>Lv.5</x:v>
      </x:c>
      <x:c r="E11" s="245" t="str">
        <x:f>IF($A11="","",_xlfn.XLOOKUP($A11,'員工治理核定'!$P$7:$P$106,'員工治理核定'!$F$7:$F$106,"待主管指定",0))</x:f>
        <x:v>待主管指定</x:v>
      </x:c>
      <x:c r="F11" s="245" t="str">
        <x:f>IF($A11="","",_xlfn.XLOOKUP($A11,'員工治理核定'!$P$7:$P$106,'員工治理核定'!$G$7:$G$106,"",0))</x:f>
      </x:c>
      <x:c r="G11" s="245" t="str">
        <x:f>IF($A11="","",_xlfn.XLOOKUP($A11,'員工治理核定'!$P$7:$P$106,'員工治理核定'!$H$7:$H$106,"",0))</x:f>
      </x:c>
      <x:c r="H11" s="37" t="str">
        <x:v>在職</x:v>
      </x:c>
      <x:c r="I11" s="37" t="str">
        <x:v>來源工作簿</x:v>
      </x:c>
      <x:c r="J11" s="242" t="str">
        <x:f>IF($A11="","",_xlfn.XLOOKUP($A11,'員工治理核定'!$P$7:$P$106,'員工治理核定'!$I$7:$I$106,"待主管核定",0))</x:f>
        <x:v>待主管核定</x:v>
      </x:c>
      <x:c r="K11" s="242" t="str">
        <x:f>IF($A11="","",IF(COUNTIFS('員工治理核定'!$P$7:$P$106,$A11)&gt;0,"已核定生效",IF(COUNTIFS('員工治理核定'!$B$7:$B$106,$A11)&gt;0,"待主管核定","未建立")))</x:f>
        <x:v>待主管核定</x:v>
      </x:c>
      <x:c r="L11" s="247" t="str">
        <x:f>IF($A11="","",_xlfn.XLOOKUP($A11,'員工治理核定'!$P$7:$P$106,'員工治理核定'!$J$7:$J$106,"",0))</x:f>
      </x:c>
    </x:row>
    <x:row r="12">
      <x:c r="A12" s="37" t="str">
        <x:v>1025</x:v>
      </x:c>
      <x:c r="B12" s="37" t="str"/>
      <x:c r="C12" s="37" t="str">
        <x:v>正職</x:v>
      </x:c>
      <x:c r="D12" s="37" t="str">
        <x:v>Lv.3</x:v>
      </x:c>
      <x:c r="E12" s="245" t="str">
        <x:f>IF($A12="","",_xlfn.XLOOKUP($A12,'員工治理核定'!$P$7:$P$106,'員工治理核定'!$F$7:$F$106,"待主管指定",0))</x:f>
        <x:v>待主管指定</x:v>
      </x:c>
      <x:c r="F12" s="245" t="str">
        <x:f>IF($A12="","",_xlfn.XLOOKUP($A12,'員工治理核定'!$P$7:$P$106,'員工治理核定'!$G$7:$G$106,"",0))</x:f>
      </x:c>
      <x:c r="G12" s="245" t="str">
        <x:f>IF($A12="","",_xlfn.XLOOKUP($A12,'員工治理核定'!$P$7:$P$106,'員工治理核定'!$H$7:$H$106,"",0))</x:f>
      </x:c>
      <x:c r="H12" s="37" t="str">
        <x:v>在職</x:v>
      </x:c>
      <x:c r="I12" s="37" t="str">
        <x:v>來源工作簿</x:v>
      </x:c>
      <x:c r="J12" s="242" t="str">
        <x:f>IF($A12="","",_xlfn.XLOOKUP($A12,'員工治理核定'!$P$7:$P$106,'員工治理核定'!$I$7:$I$106,"待主管核定",0))</x:f>
        <x:v>待主管核定</x:v>
      </x:c>
      <x:c r="K12" s="242" t="str">
        <x:f>IF($A12="","",IF(COUNTIFS('員工治理核定'!$P$7:$P$106,$A12)&gt;0,"已核定生效",IF(COUNTIFS('員工治理核定'!$B$7:$B$106,$A12)&gt;0,"待主管核定","未建立")))</x:f>
        <x:v>待主管核定</x:v>
      </x:c>
      <x:c r="L12" s="247" t="str">
        <x:f>IF($A12="","",_xlfn.XLOOKUP($A12,'員工治理核定'!$P$7:$P$106,'員工治理核定'!$J$7:$J$106,"",0))</x:f>
      </x:c>
    </x:row>
    <x:row r="13">
      <x:c r="A13" s="37" t="str">
        <x:v>1026</x:v>
      </x:c>
      <x:c r="B13" s="37" t="str"/>
      <x:c r="C13" s="37" t="str">
        <x:v>正職</x:v>
      </x:c>
      <x:c r="D13" s="37" t="str">
        <x:v>Lv.2</x:v>
      </x:c>
      <x:c r="E13" s="245" t="str">
        <x:f>IF($A13="","",_xlfn.XLOOKUP($A13,'員工治理核定'!$P$7:$P$106,'員工治理核定'!$F$7:$F$106,"待主管指定",0))</x:f>
        <x:v>待主管指定</x:v>
      </x:c>
      <x:c r="F13" s="245" t="str">
        <x:f>IF($A13="","",_xlfn.XLOOKUP($A13,'員工治理核定'!$P$7:$P$106,'員工治理核定'!$G$7:$G$106,"",0))</x:f>
      </x:c>
      <x:c r="G13" s="245" t="str">
        <x:f>IF($A13="","",_xlfn.XLOOKUP($A13,'員工治理核定'!$P$7:$P$106,'員工治理核定'!$H$7:$H$106,"",0))</x:f>
      </x:c>
      <x:c r="H13" s="37" t="str">
        <x:v>在職</x:v>
      </x:c>
      <x:c r="I13" s="37" t="str">
        <x:v>來源工作簿</x:v>
      </x:c>
      <x:c r="J13" s="242" t="str">
        <x:f>IF($A13="","",_xlfn.XLOOKUP($A13,'員工治理核定'!$P$7:$P$106,'員工治理核定'!$I$7:$I$106,"待主管核定",0))</x:f>
        <x:v>待主管核定</x:v>
      </x:c>
      <x:c r="K13" s="242" t="str">
        <x:f>IF($A13="","",IF(COUNTIFS('員工治理核定'!$P$7:$P$106,$A13)&gt;0,"已核定生效",IF(COUNTIFS('員工治理核定'!$B$7:$B$106,$A13)&gt;0,"待主管核定","未建立")))</x:f>
        <x:v>待主管核定</x:v>
      </x:c>
      <x:c r="L13" s="247" t="str">
        <x:f>IF($A13="","",_xlfn.XLOOKUP($A13,'員工治理核定'!$P$7:$P$106,'員工治理核定'!$J$7:$J$106,"",0))</x:f>
      </x:c>
    </x:row>
    <x:row r="14">
      <x:c r="A14" s="37" t="str">
        <x:v>1027</x:v>
      </x:c>
      <x:c r="B14" s="37" t="str"/>
      <x:c r="C14" s="37" t="str">
        <x:v>正職</x:v>
      </x:c>
      <x:c r="D14" s="37" t="str">
        <x:v>Lv.3</x:v>
      </x:c>
      <x:c r="E14" s="245" t="str">
        <x:f>IF($A14="","",_xlfn.XLOOKUP($A14,'員工治理核定'!$P$7:$P$106,'員工治理核定'!$F$7:$F$106,"待主管指定",0))</x:f>
        <x:v>待主管指定</x:v>
      </x:c>
      <x:c r="F14" s="245" t="str">
        <x:f>IF($A14="","",_xlfn.XLOOKUP($A14,'員工治理核定'!$P$7:$P$106,'員工治理核定'!$G$7:$G$106,"",0))</x:f>
      </x:c>
      <x:c r="G14" s="245" t="str">
        <x:f>IF($A14="","",_xlfn.XLOOKUP($A14,'員工治理核定'!$P$7:$P$106,'員工治理核定'!$H$7:$H$106,"",0))</x:f>
      </x:c>
      <x:c r="H14" s="37" t="str">
        <x:v>在職</x:v>
      </x:c>
      <x:c r="I14" s="37" t="str">
        <x:v>來源工作簿</x:v>
      </x:c>
      <x:c r="J14" s="242" t="str">
        <x:f>IF($A14="","",_xlfn.XLOOKUP($A14,'員工治理核定'!$P$7:$P$106,'員工治理核定'!$I$7:$I$106,"待主管核定",0))</x:f>
        <x:v>待主管核定</x:v>
      </x:c>
      <x:c r="K14" s="242" t="str">
        <x:f>IF($A14="","",IF(COUNTIFS('員工治理核定'!$P$7:$P$106,$A14)&gt;0,"已核定生效",IF(COUNTIFS('員工治理核定'!$B$7:$B$106,$A14)&gt;0,"待主管核定","未建立")))</x:f>
        <x:v>待主管核定</x:v>
      </x:c>
      <x:c r="L14" s="247" t="str">
        <x:f>IF($A14="","",_xlfn.XLOOKUP($A14,'員工治理核定'!$P$7:$P$106,'員工治理核定'!$J$7:$J$106,"",0))</x:f>
      </x:c>
    </x:row>
    <x:row r="15">
      <x:c r="A15" s="37" t="str">
        <x:v>1028</x:v>
      </x:c>
      <x:c r="B15" s="37" t="str"/>
      <x:c r="C15" s="37" t="str">
        <x:v>正職</x:v>
      </x:c>
      <x:c r="D15" s="37" t="str">
        <x:v>Lv.2</x:v>
      </x:c>
      <x:c r="E15" s="245" t="str">
        <x:f>IF($A15="","",_xlfn.XLOOKUP($A15,'員工治理核定'!$P$7:$P$106,'員工治理核定'!$F$7:$F$106,"待主管指定",0))</x:f>
        <x:v>待主管指定</x:v>
      </x:c>
      <x:c r="F15" s="245" t="str">
        <x:f>IF($A15="","",_xlfn.XLOOKUP($A15,'員工治理核定'!$P$7:$P$106,'員工治理核定'!$G$7:$G$106,"",0))</x:f>
      </x:c>
      <x:c r="G15" s="245" t="str">
        <x:f>IF($A15="","",_xlfn.XLOOKUP($A15,'員工治理核定'!$P$7:$P$106,'員工治理核定'!$H$7:$H$106,"",0))</x:f>
      </x:c>
      <x:c r="H15" s="37" t="str">
        <x:v>在職</x:v>
      </x:c>
      <x:c r="I15" s="37" t="str">
        <x:v>來源工作簿</x:v>
      </x:c>
      <x:c r="J15" s="242" t="str">
        <x:f>IF($A15="","",_xlfn.XLOOKUP($A15,'員工治理核定'!$P$7:$P$106,'員工治理核定'!$I$7:$I$106,"待主管核定",0))</x:f>
        <x:v>待主管核定</x:v>
      </x:c>
      <x:c r="K15" s="242" t="str">
        <x:f>IF($A15="","",IF(COUNTIFS('員工治理核定'!$P$7:$P$106,$A15)&gt;0,"已核定生效",IF(COUNTIFS('員工治理核定'!$B$7:$B$106,$A15)&gt;0,"待主管核定","未建立")))</x:f>
        <x:v>待主管核定</x:v>
      </x:c>
      <x:c r="L15" s="247" t="str">
        <x:f>IF($A15="","",_xlfn.XLOOKUP($A15,'員工治理核定'!$P$7:$P$106,'員工治理核定'!$J$7:$J$106,"",0))</x:f>
      </x:c>
    </x:row>
    <x:row r="16">
      <x:c r="A16" s="37" t="str">
        <x:v>1029</x:v>
      </x:c>
      <x:c r="B16" s="37" t="str"/>
      <x:c r="C16" s="37" t="str">
        <x:v>正職</x:v>
      </x:c>
      <x:c r="D16" s="37" t="str">
        <x:v>Lv.1</x:v>
      </x:c>
      <x:c r="E16" s="245" t="str">
        <x:f>IF($A16="","",_xlfn.XLOOKUP($A16,'員工治理核定'!$P$7:$P$106,'員工治理核定'!$F$7:$F$106,"待主管指定",0))</x:f>
        <x:v>待主管指定</x:v>
      </x:c>
      <x:c r="F16" s="245" t="str">
        <x:f>IF($A16="","",_xlfn.XLOOKUP($A16,'員工治理核定'!$P$7:$P$106,'員工治理核定'!$G$7:$G$106,"",0))</x:f>
      </x:c>
      <x:c r="G16" s="245" t="str">
        <x:f>IF($A16="","",_xlfn.XLOOKUP($A16,'員工治理核定'!$P$7:$P$106,'員工治理核定'!$H$7:$H$106,"",0))</x:f>
      </x:c>
      <x:c r="H16" s="37" t="str">
        <x:v>在職</x:v>
      </x:c>
      <x:c r="I16" s="37" t="str">
        <x:v>來源工作簿</x:v>
      </x:c>
      <x:c r="J16" s="242" t="str">
        <x:f>IF($A16="","",_xlfn.XLOOKUP($A16,'員工治理核定'!$P$7:$P$106,'員工治理核定'!$I$7:$I$106,"待主管核定",0))</x:f>
        <x:v>待主管核定</x:v>
      </x:c>
      <x:c r="K16" s="242" t="str">
        <x:f>IF($A16="","",IF(COUNTIFS('員工治理核定'!$P$7:$P$106,$A16)&gt;0,"已核定生效",IF(COUNTIFS('員工治理核定'!$B$7:$B$106,$A16)&gt;0,"待主管核定","未建立")))</x:f>
        <x:v>待主管核定</x:v>
      </x:c>
      <x:c r="L16" s="247" t="str">
        <x:f>IF($A16="","",_xlfn.XLOOKUP($A16,'員工治理核定'!$P$7:$P$106,'員工治理核定'!$J$7:$J$106,"",0))</x:f>
      </x:c>
    </x:row>
    <x:row r="17">
      <x:c r="A17" s="37" t="str">
        <x:v>1030</x:v>
      </x:c>
      <x:c r="B17" s="37" t="str"/>
      <x:c r="C17" s="37" t="str">
        <x:v>正職</x:v>
      </x:c>
      <x:c r="D17" s="37" t="str">
        <x:v>Lv.1</x:v>
      </x:c>
      <x:c r="E17" s="245" t="str">
        <x:f>IF($A17="","",_xlfn.XLOOKUP($A17,'員工治理核定'!$P$7:$P$106,'員工治理核定'!$F$7:$F$106,"待主管指定",0))</x:f>
        <x:v>待主管指定</x:v>
      </x:c>
      <x:c r="F17" s="245" t="str">
        <x:f>IF($A17="","",_xlfn.XLOOKUP($A17,'員工治理核定'!$P$7:$P$106,'員工治理核定'!$G$7:$G$106,"",0))</x:f>
      </x:c>
      <x:c r="G17" s="245" t="str">
        <x:f>IF($A17="","",_xlfn.XLOOKUP($A17,'員工治理核定'!$P$7:$P$106,'員工治理核定'!$H$7:$H$106,"",0))</x:f>
      </x:c>
      <x:c r="H17" s="37" t="str">
        <x:v>在職</x:v>
      </x:c>
      <x:c r="I17" s="37" t="str">
        <x:v>來源工作簿</x:v>
      </x:c>
      <x:c r="J17" s="242" t="str">
        <x:f>IF($A17="","",_xlfn.XLOOKUP($A17,'員工治理核定'!$P$7:$P$106,'員工治理核定'!$I$7:$I$106,"待主管核定",0))</x:f>
        <x:v>待主管核定</x:v>
      </x:c>
      <x:c r="K17" s="242" t="str">
        <x:f>IF($A17="","",IF(COUNTIFS('員工治理核定'!$P$7:$P$106,$A17)&gt;0,"已核定生效",IF(COUNTIFS('員工治理核定'!$B$7:$B$106,$A17)&gt;0,"待主管核定","未建立")))</x:f>
        <x:v>待主管核定</x:v>
      </x:c>
      <x:c r="L17" s="247" t="str">
        <x:f>IF($A17="","",_xlfn.XLOOKUP($A17,'員工治理核定'!$P$7:$P$106,'員工治理核定'!$J$7:$J$106,"",0))</x:f>
      </x:c>
    </x:row>
    <x:row r="18">
      <x:c r="A18" s="37" t="str">
        <x:v>1031</x:v>
      </x:c>
      <x:c r="B18" s="37" t="str"/>
      <x:c r="C18" s="37" t="str">
        <x:v>正職</x:v>
      </x:c>
      <x:c r="D18" s="37" t="str">
        <x:v>未評分</x:v>
      </x:c>
      <x:c r="E18" s="245" t="str">
        <x:f>IF($A18="","",_xlfn.XLOOKUP($A18,'員工治理核定'!$P$7:$P$106,'員工治理核定'!$F$7:$F$106,"待主管指定",0))</x:f>
        <x:v>待主管指定</x:v>
      </x:c>
      <x:c r="F18" s="245" t="str">
        <x:f>IF($A18="","",_xlfn.XLOOKUP($A18,'員工治理核定'!$P$7:$P$106,'員工治理核定'!$G$7:$G$106,"",0))</x:f>
      </x:c>
      <x:c r="G18" s="245" t="str">
        <x:f>IF($A18="","",_xlfn.XLOOKUP($A18,'員工治理核定'!$P$7:$P$106,'員工治理核定'!$H$7:$H$106,"",0))</x:f>
      </x:c>
      <x:c r="H18" s="37" t="str">
        <x:v>在職</x:v>
      </x:c>
      <x:c r="I18" s="37" t="str">
        <x:v>來源工作簿</x:v>
      </x:c>
      <x:c r="J18" s="242" t="str">
        <x:f>IF($A18="","",_xlfn.XLOOKUP($A18,'員工治理核定'!$P$7:$P$106,'員工治理核定'!$I$7:$I$106,"待主管核定",0))</x:f>
        <x:v>待主管核定</x:v>
      </x:c>
      <x:c r="K18" s="242" t="str">
        <x:f>IF($A18="","",IF(COUNTIFS('員工治理核定'!$P$7:$P$106,$A18)&gt;0,"已核定生效",IF(COUNTIFS('員工治理核定'!$B$7:$B$106,$A18)&gt;0,"待主管核定","未建立")))</x:f>
        <x:v>待主管核定</x:v>
      </x:c>
      <x:c r="L18" s="247" t="str">
        <x:f>IF($A18="","",_xlfn.XLOOKUP($A18,'員工治理核定'!$P$7:$P$106,'員工治理核定'!$J$7:$J$106,"",0))</x:f>
      </x:c>
    </x:row>
    <x:row r="19">
      <x:c r="A19" s="37" t="str">
        <x:v>2006</x:v>
      </x:c>
      <x:c r="B19" s="37" t="str"/>
      <x:c r="C19" s="37" t="str">
        <x:v>兼職</x:v>
      </x:c>
      <x:c r="D19" s="37" t="str">
        <x:v>Lv.2</x:v>
      </x:c>
      <x:c r="E19" s="245" t="str">
        <x:f>IF($A19="","",_xlfn.XLOOKUP($A19,'員工治理核定'!$P$7:$P$106,'員工治理核定'!$F$7:$F$106,"待主管指定",0))</x:f>
        <x:v>待主管指定</x:v>
      </x:c>
      <x:c r="F19" s="245" t="str">
        <x:f>IF($A19="","",_xlfn.XLOOKUP($A19,'員工治理核定'!$P$7:$P$106,'員工治理核定'!$G$7:$G$106,"",0))</x:f>
      </x:c>
      <x:c r="G19" s="245" t="str">
        <x:f>IF($A19="","",_xlfn.XLOOKUP($A19,'員工治理核定'!$P$7:$P$106,'員工治理核定'!$H$7:$H$106,"",0))</x:f>
      </x:c>
      <x:c r="H19" s="37" t="str">
        <x:v>在職</x:v>
      </x:c>
      <x:c r="I19" s="37" t="str">
        <x:v>來源工作簿</x:v>
      </x:c>
      <x:c r="J19" s="242" t="str">
        <x:f>IF($A19="","",_xlfn.XLOOKUP($A19,'員工治理核定'!$P$7:$P$106,'員工治理核定'!$I$7:$I$106,"待主管核定",0))</x:f>
        <x:v>待主管核定</x:v>
      </x:c>
      <x:c r="K19" s="242" t="str">
        <x:f>IF($A19="","",IF(COUNTIFS('員工治理核定'!$P$7:$P$106,$A19)&gt;0,"已核定生效",IF(COUNTIFS('員工治理核定'!$B$7:$B$106,$A19)&gt;0,"待主管核定","未建立")))</x:f>
        <x:v>待主管核定</x:v>
      </x:c>
      <x:c r="L19" s="247" t="str">
        <x:f>IF($A19="","",_xlfn.XLOOKUP($A19,'員工治理核定'!$P$7:$P$106,'員工治理核定'!$J$7:$J$106,"",0))</x:f>
      </x:c>
    </x:row>
    <x:row r="20">
      <x:c r="A20" s="38" t="str">
        <x:v>2007</x:v>
      </x:c>
      <x:c r="B20" s="38" t="str"/>
      <x:c r="C20" s="38" t="str">
        <x:v>兼職</x:v>
      </x:c>
      <x:c r="D20" s="38" t="str">
        <x:v>Lv.8</x:v>
      </x:c>
      <x:c r="E20" s="246" t="str">
        <x:f>IF($A20="","",_xlfn.XLOOKUP($A20,'員工治理核定'!$P$7:$P$106,'員工治理核定'!$F$7:$F$106,"待主管指定",0))</x:f>
        <x:v>待主管指定</x:v>
      </x:c>
      <x:c r="F20" s="246" t="str">
        <x:f>IF($A20="","",_xlfn.XLOOKUP($A20,'員工治理核定'!$P$7:$P$106,'員工治理核定'!$G$7:$G$106,"",0))</x:f>
      </x:c>
      <x:c r="G20" s="246" t="str">
        <x:f>IF($A20="","",_xlfn.XLOOKUP($A20,'員工治理核定'!$P$7:$P$106,'員工治理核定'!$H$7:$H$106,"",0))</x:f>
      </x:c>
      <x:c r="H20" s="38" t="str">
        <x:v>在職</x:v>
      </x:c>
      <x:c r="I20" s="38" t="str">
        <x:v>來源工作簿</x:v>
      </x:c>
      <x:c r="J20" s="242" t="str">
        <x:f>IF($A20="","",_xlfn.XLOOKUP($A20,'員工治理核定'!$P$7:$P$106,'員工治理核定'!$I$7:$I$106,"待主管核定",0))</x:f>
        <x:v>待主管核定</x:v>
      </x:c>
      <x:c r="K20" s="242" t="str">
        <x:f>IF($A20="","",IF(COUNTIFS('員工治理核定'!$P$7:$P$106,$A20)&gt;0,"已核定生效",IF(COUNTIFS('員工治理核定'!$B$7:$B$106,$A20)&gt;0,"待主管核定","未建立")))</x:f>
        <x:v>待主管核定</x:v>
      </x:c>
      <x:c r="L20" s="247" t="str">
        <x:f>IF($A20="","",_xlfn.XLOOKUP($A20,'員工治理核定'!$P$7:$P$106,'員工治理核定'!$J$7:$J$106,"",0))</x:f>
      </x:c>
    </x:row>
  </x:sheetData>
  <x:pageMargins left="0.7" right="0.7" top="0.75" bottom="0.75" header="0.3" footer="0.3"/>
  <x:tableParts count="1">
    <x:tablePart xmlns:r="http://schemas.openxmlformats.org/officeDocument/2006/relationships" r:id="R86b99aa271b449e8"/>
  </x:tableParts>
</x:worksheet>
</file>

<file path=xl/worksheets/sheet10.xml><?xml version="1.0" encoding="utf-8"?>
<x:worksheet xmlns:x="http://schemas.openxmlformats.org/spreadsheetml/2006/main">
  <x:sheetPr>
    <x:tabColor rgb="FF9BB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34" hidden="0" customWidth="1"/>
    <x:col min="5" max="5" width="14" hidden="0" customWidth="1"/>
    <x:col min="6" max="6" width="16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34" hidden="0" customWidth="1"/>
  </x:cols>
  <x:sheetData>
    <x:row r="2">
      <x:c r="A2" s="26" t="str">
        <x:v>李侑津醫師試行能力狀態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8" t="str">
        <x:v>從來源表建立初始能力基準；共通技能暫取李醫師區塊資料，仍需跨醫師同義項目整併與主管核定。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</x:row>
    <x:row r="6">
      <x:c r="A6" s="36" t="str">
        <x:v>員工編號</x:v>
      </x:c>
      <x:c r="B6" s="36" t="str">
        <x:v>姓名</x:v>
      </x:c>
      <x:c r="C6" s="36" t="str">
        <x:v>技能代碼</x:v>
      </x:c>
      <x:c r="D6" s="36" t="str">
        <x:v>來源技能文字</x:v>
      </x:c>
      <x:c r="E6" s="36" t="str">
        <x:v>目前評等</x:v>
      </x:c>
      <x:c r="F6" s="36" t="str">
        <x:v>有效狀態</x:v>
      </x:c>
      <x:c r="G6" s="36" t="str">
        <x:v>來源類型</x:v>
      </x:c>
      <x:c r="H6" s="36" t="str">
        <x:v>基準日</x:v>
      </x:c>
      <x:c r="I6" s="36" t="str">
        <x:v>核定人</x:v>
      </x:c>
      <x:c r="J6" s="36" t="str">
        <x:v>核定日</x:v>
      </x:c>
      <x:c r="K6" s="36" t="str">
        <x:v>原表列號</x:v>
      </x:c>
      <x:c r="L6" s="36" t="str">
        <x:v>查找鍵</x:v>
      </x:c>
    </x:row>
    <x:row r="7">
      <x:c r="A7" s="37" t="str">
        <x:v>1001</x:v>
      </x:c>
      <x:c r="B7" s="37" t="str"/>
      <x:c r="C7" s="37" t="str">
        <x:v>LJT-PREP-SCALING</x:v>
      </x:c>
      <x:c r="D7" s="37" t="str">
        <x:v>洗牙</x:v>
      </x:c>
      <x:c r="E7" s="37" t="str">
        <x:f>IF(_xlfn.XLOOKUP("UPG|1001|LJT-PREP-SCALING",'能力升級候選'!$A$7:$A$258,'能力升級候選'!$R$7:$R$258,"",0)="已核定升級","◎",_xlfn.XLOOKUP("UPG|1001|LJT-PREP-SCALING",'能力升級候選'!$A$7:$A$258,'能力升級候選'!$E$7:$E$258,"未評估",0))</x:f>
        <x:v>◎</x:v>
      </x:c>
      <x:c r="F7" s="37" t="str">
        <x:f>IF(COUNTIFS('事件與限制'!$C$7:$C$106,$A7,'事件與限制'!$E$7:$E$106,$C7,'事件與限制'!$M$7:$M$106,"暫停技能資格",'事件與限制'!$Q$7:$Q$106,"生效中")&gt;0,"資格暫停",IF($E7="未評估","未建立",_xlfn.XLOOKUP("ABIL|1001|LJT-PREP-SCALING",'主管核定中心'!$A$12:$A$372,'主管核定中心'!$K$12:$K$372,"待主管核定",0)))</x:f>
        <x:v>待主管核定</x:v>
      </x:c>
      <x:c r="G7" s="37" t="str">
        <x:v>初始能力基準</x:v>
      </x:c>
      <x:c r="H7" s="41" t="n">
        <x:v>46266</x:v>
      </x:c>
      <x:c r="I7" s="44" t="str">
        <x:f>_xlfn.XLOOKUP("ABIL|1001|LJT-PREP-SCALING",'主管核定中心'!$A$12:$A$372,'主管核定中心'!$I$12:$I$372,"",0)</x:f>
      </x:c>
      <x:c r="J7" s="46" t="str">
        <x:f>_xlfn.XLOOKUP("ABIL|1001|LJT-PREP-SCALING",'主管核定中心'!$A$12:$A$372,'主管核定中心'!$H$12:$H$372,"",0)</x:f>
      </x:c>
      <x:c r="K7" s="37" t="n">
        <x:v>28</x:v>
      </x:c>
      <x:c r="L7" s="37" t="str">
        <x:v>1001|LJT-PREP-SCALING</x:v>
      </x:c>
    </x:row>
    <x:row r="8">
      <x:c r="A8" s="37" t="str">
        <x:v>1001</x:v>
      </x:c>
      <x:c r="B8" s="37" t="str"/>
      <x:c r="C8" s="37" t="str">
        <x:v>LJT-PREP-FILLING</x:v>
      </x:c>
      <x:c r="D8" s="37" t="str">
        <x:v>補牙</x:v>
      </x:c>
      <x:c r="E8" s="37" t="str">
        <x:f>IF(_xlfn.XLOOKUP("UPG|1001|LJT-PREP-FILLING",'能力升級候選'!$A$7:$A$258,'能力升級候選'!$R$7:$R$258,"",0)="已核定升級","◎",_xlfn.XLOOKUP("UPG|1001|LJT-PREP-FILLING",'能力升級候選'!$A$7:$A$258,'能力升級候選'!$E$7:$E$258,"未評估",0))</x:f>
        <x:v>◎</x:v>
      </x:c>
      <x:c r="F8" s="37" t="str">
        <x:f>IF(COUNTIFS('事件與限制'!$C$7:$C$106,$A8,'事件與限制'!$E$7:$E$106,$C8,'事件與限制'!$M$7:$M$106,"暫停技能資格",'事件與限制'!$Q$7:$Q$106,"生效中")&gt;0,"資格暫停",IF($E8="未評估","未建立",_xlfn.XLOOKUP("ABIL|1001|LJT-PREP-FILLING",'主管核定中心'!$A$12:$A$372,'主管核定中心'!$K$12:$K$372,"待主管核定",0)))</x:f>
        <x:v>待主管核定</x:v>
      </x:c>
      <x:c r="G8" s="37" t="str">
        <x:v>初始能力基準</x:v>
      </x:c>
      <x:c r="H8" s="41" t="n">
        <x:v>46266</x:v>
      </x:c>
      <x:c r="I8" s="44" t="str">
        <x:f>_xlfn.XLOOKUP("ABIL|1001|LJT-PREP-FILLING",'主管核定中心'!$A$12:$A$372,'主管核定中心'!$I$12:$I$372,"",0)</x:f>
      </x:c>
      <x:c r="J8" s="46" t="str">
        <x:f>_xlfn.XLOOKUP("ABIL|1001|LJT-PREP-FILLING",'主管核定中心'!$A$12:$A$372,'主管核定中心'!$H$12:$H$372,"",0)</x:f>
      </x:c>
      <x:c r="K8" s="37" t="n">
        <x:v>29</x:v>
      </x:c>
      <x:c r="L8" s="37" t="str">
        <x:v>1001|LJT-PREP-FILLING</x:v>
      </x:c>
    </x:row>
    <x:row r="9">
      <x:c r="A9" s="37" t="str">
        <x:v>1001</x:v>
      </x:c>
      <x:c r="B9" s="37" t="str"/>
      <x:c r="C9" s="37" t="str">
        <x:v>LJT-PREP-PERIO</x:v>
      </x:c>
      <x:c r="D9" s="37" t="str">
        <x:v>牙周統合</x:v>
      </x:c>
      <x:c r="E9" s="37" t="str">
        <x:f>IF(_xlfn.XLOOKUP("UPG|1001|LJT-PREP-PERIO",'能力升級候選'!$A$7:$A$258,'能力升級候選'!$R$7:$R$258,"",0)="已核定升級","◎",_xlfn.XLOOKUP("UPG|1001|LJT-PREP-PERIO",'能力升級候選'!$A$7:$A$258,'能力升級候選'!$E$7:$E$258,"未評估",0))</x:f>
        <x:v>◎</x:v>
      </x:c>
      <x:c r="F9" s="37" t="str">
        <x:f>IF(COUNTIFS('事件與限制'!$C$7:$C$106,$A9,'事件與限制'!$E$7:$E$106,$C9,'事件與限制'!$M$7:$M$106,"暫停技能資格",'事件與限制'!$Q$7:$Q$106,"生效中")&gt;0,"資格暫停",IF($E9="未評估","未建立",_xlfn.XLOOKUP("ABIL|1001|LJT-PREP-PERIO",'主管核定中心'!$A$12:$A$372,'主管核定中心'!$K$12:$K$372,"待主管核定",0)))</x:f>
        <x:v>待主管核定</x:v>
      </x:c>
      <x:c r="G9" s="37" t="str">
        <x:v>初始能力基準</x:v>
      </x:c>
      <x:c r="H9" s="41" t="n">
        <x:v>46266</x:v>
      </x:c>
      <x:c r="I9" s="44" t="str">
        <x:f>_xlfn.XLOOKUP("ABIL|1001|LJT-PREP-PERIO",'主管核定中心'!$A$12:$A$372,'主管核定中心'!$I$12:$I$372,"",0)</x:f>
      </x:c>
      <x:c r="J9" s="46" t="str">
        <x:f>_xlfn.XLOOKUP("ABIL|1001|LJT-PREP-PERIO",'主管核定中心'!$A$12:$A$372,'主管核定中心'!$H$12:$H$372,"",0)</x:f>
      </x:c>
      <x:c r="K9" s="37" t="n">
        <x:v>30</x:v>
      </x:c>
      <x:c r="L9" s="37" t="str">
        <x:v>1001|LJT-PREP-PERIO</x:v>
      </x:c>
    </x:row>
    <x:row r="10">
      <x:c r="A10" s="37" t="str">
        <x:v>1001</x:v>
      </x:c>
      <x:c r="B10" s="37" t="str"/>
      <x:c r="C10" s="37" t="str">
        <x:v>LJT-PREP-RCT</x:v>
      </x:c>
      <x:c r="D10" s="37" t="str">
        <x:v>根管治療</x:v>
      </x:c>
      <x:c r="E10" s="37" t="str">
        <x:f>IF(_xlfn.XLOOKUP("UPG|1001|LJT-PREP-RCT",'能力升級候選'!$A$7:$A$258,'能力升級候選'!$R$7:$R$258,"",0)="已核定升級","◎",_xlfn.XLOOKUP("UPG|1001|LJT-PREP-RCT",'能力升級候選'!$A$7:$A$258,'能力升級候選'!$E$7:$E$258,"未評估",0))</x:f>
        <x:v>◎</x:v>
      </x:c>
      <x:c r="F10" s="37" t="str">
        <x:f>IF(COUNTIFS('事件與限制'!$C$7:$C$106,$A10,'事件與限制'!$E$7:$E$106,$C10,'事件與限制'!$M$7:$M$106,"暫停技能資格",'事件與限制'!$Q$7:$Q$106,"生效中")&gt;0,"資格暫停",IF($E10="未評估","未建立",_xlfn.XLOOKUP("ABIL|1001|LJT-PREP-RCT",'主管核定中心'!$A$12:$A$372,'主管核定中心'!$K$12:$K$372,"待主管核定",0)))</x:f>
        <x:v>待主管核定</x:v>
      </x:c>
      <x:c r="G10" s="37" t="str">
        <x:v>初始能力基準</x:v>
      </x:c>
      <x:c r="H10" s="41" t="n">
        <x:v>46266</x:v>
      </x:c>
      <x:c r="I10" s="44" t="str">
        <x:f>_xlfn.XLOOKUP("ABIL|1001|LJT-PREP-RCT",'主管核定中心'!$A$12:$A$372,'主管核定中心'!$I$12:$I$372,"",0)</x:f>
      </x:c>
      <x:c r="J10" s="46" t="str">
        <x:f>_xlfn.XLOOKUP("ABIL|1001|LJT-PREP-RCT",'主管核定中心'!$A$12:$A$372,'主管核定中心'!$H$12:$H$372,"",0)</x:f>
      </x:c>
      <x:c r="K10" s="37" t="n">
        <x:v>31</x:v>
      </x:c>
      <x:c r="L10" s="37" t="str">
        <x:v>1001|LJT-PREP-RCT</x:v>
      </x:c>
    </x:row>
    <x:row r="11">
      <x:c r="A11" s="37" t="str">
        <x:v>1001</x:v>
      </x:c>
      <x:c r="B11" s="37" t="str"/>
      <x:c r="C11" s="37" t="str">
        <x:v>LJT-PREP-EXTRACTION</x:v>
      </x:c>
      <x:c r="D11" s="37" t="str">
        <x:v>拔牙</x:v>
      </x:c>
      <x:c r="E11" s="37" t="str">
        <x:f>IF(_xlfn.XLOOKUP("UPG|1001|LJT-PREP-EXTRACTION",'能力升級候選'!$A$7:$A$258,'能力升級候選'!$R$7:$R$258,"",0)="已核定升級","◎",_xlfn.XLOOKUP("UPG|1001|LJT-PREP-EXTRACTION",'能力升級候選'!$A$7:$A$258,'能力升級候選'!$E$7:$E$258,"未評估",0))</x:f>
        <x:v>◎</x:v>
      </x:c>
      <x:c r="F11" s="37" t="str">
        <x:f>IF(COUNTIFS('事件與限制'!$C$7:$C$106,$A11,'事件與限制'!$E$7:$E$106,$C11,'事件與限制'!$M$7:$M$106,"暫停技能資格",'事件與限制'!$Q$7:$Q$106,"生效中")&gt;0,"資格暫停",IF($E11="未評估","未建立",_xlfn.XLOOKUP("ABIL|1001|LJT-PREP-EXTRACTION",'主管核定中心'!$A$12:$A$372,'主管核定中心'!$K$12:$K$372,"待主管核定",0)))</x:f>
        <x:v>待主管核定</x:v>
      </x:c>
      <x:c r="G11" s="37" t="str">
        <x:v>初始能力基準</x:v>
      </x:c>
      <x:c r="H11" s="41" t="n">
        <x:v>46266</x:v>
      </x:c>
      <x:c r="I11" s="44" t="str">
        <x:f>_xlfn.XLOOKUP("ABIL|1001|LJT-PREP-EXTRACTION",'主管核定中心'!$A$12:$A$372,'主管核定中心'!$I$12:$I$372,"",0)</x:f>
      </x:c>
      <x:c r="J11" s="46" t="str">
        <x:f>_xlfn.XLOOKUP("ABIL|1001|LJT-PREP-EXTRACTION",'主管核定中心'!$A$12:$A$372,'主管核定中心'!$H$12:$H$372,"",0)</x:f>
      </x:c>
      <x:c r="K11" s="37" t="n">
        <x:v>32</x:v>
      </x:c>
      <x:c r="L11" s="37" t="str">
        <x:v>1001|LJT-PREP-EXTRACTION</x:v>
      </x:c>
    </x:row>
    <x:row r="12">
      <x:c r="A12" s="37" t="str">
        <x:v>1001</x:v>
      </x:c>
      <x:c r="B12" s="37" t="str"/>
      <x:c r="C12" s="37" t="str">
        <x:v>LJT-PREP-CROWNPOST</x:v>
      </x:c>
      <x:c r="D12" s="37" t="str">
        <x:v>拆 crown/post</x:v>
      </x:c>
      <x:c r="E12" s="37" t="str">
        <x:f>IF(_xlfn.XLOOKUP("UPG|1001|LJT-PREP-CROWNPOST",'能力升級候選'!$A$7:$A$258,'能力升級候選'!$R$7:$R$258,"",0)="已核定升級","◎",_xlfn.XLOOKUP("UPG|1001|LJT-PREP-CROWNPOST",'能力升級候選'!$A$7:$A$258,'能力升級候選'!$E$7:$E$258,"未評估",0))</x:f>
        <x:v>◎</x:v>
      </x:c>
      <x:c r="F12" s="37" t="str">
        <x:f>IF(COUNTIFS('事件與限制'!$C$7:$C$106,$A12,'事件與限制'!$E$7:$E$106,$C12,'事件與限制'!$M$7:$M$106,"暫停技能資格",'事件與限制'!$Q$7:$Q$106,"生效中")&gt;0,"資格暫停",IF($E12="未評估","未建立",_xlfn.XLOOKUP("ABIL|1001|LJT-PREP-CROWNPOST",'主管核定中心'!$A$12:$A$372,'主管核定中心'!$K$12:$K$372,"待主管核定",0)))</x:f>
        <x:v>待主管核定</x:v>
      </x:c>
      <x:c r="G12" s="37" t="str">
        <x:v>初始能力基準</x:v>
      </x:c>
      <x:c r="H12" s="41" t="n">
        <x:v>46266</x:v>
      </x:c>
      <x:c r="I12" s="44" t="str">
        <x:f>_xlfn.XLOOKUP("ABIL|1001|LJT-PREP-CROWNPOST",'主管核定中心'!$A$12:$A$372,'主管核定中心'!$I$12:$I$372,"",0)</x:f>
      </x:c>
      <x:c r="J12" s="46" t="str">
        <x:f>_xlfn.XLOOKUP("ABIL|1001|LJT-PREP-CROWNPOST",'主管核定中心'!$A$12:$A$372,'主管核定中心'!$H$12:$H$372,"",0)</x:f>
      </x:c>
      <x:c r="K12" s="37" t="n">
        <x:v>33</x:v>
      </x:c>
      <x:c r="L12" s="37" t="str">
        <x:v>1001|LJT-PREP-CROWNPOST</x:v>
      </x:c>
    </x:row>
    <x:row r="13">
      <x:c r="A13" s="37" t="str">
        <x:v>1001</x:v>
      </x:c>
      <x:c r="B13" s="37" t="str"/>
      <x:c r="C13" s="37" t="str">
        <x:v>LJT-PREP-CROWN</x:v>
      </x:c>
      <x:c r="D13" s="37" t="str">
        <x:v>固定假牙</x:v>
      </x:c>
      <x:c r="E13" s="37" t="str">
        <x:f>IF(_xlfn.XLOOKUP("UPG|1001|LJT-PREP-CROWN",'能力升級候選'!$A$7:$A$258,'能力升級候選'!$R$7:$R$258,"",0)="已核定升級","◎",_xlfn.XLOOKUP("UPG|1001|LJT-PREP-CROWN",'能力升級候選'!$A$7:$A$258,'能力升級候選'!$E$7:$E$258,"未評估",0))</x:f>
        <x:v>◎</x:v>
      </x:c>
      <x:c r="F13" s="37" t="str">
        <x:f>IF(COUNTIFS('事件與限制'!$C$7:$C$106,$A13,'事件與限制'!$E$7:$E$106,$C13,'事件與限制'!$M$7:$M$106,"暫停技能資格",'事件與限制'!$Q$7:$Q$106,"生效中")&gt;0,"資格暫停",IF($E13="未評估","未建立",_xlfn.XLOOKUP("ABIL|1001|LJT-PREP-CROWN",'主管核定中心'!$A$12:$A$372,'主管核定中心'!$K$12:$K$372,"待主管核定",0)))</x:f>
        <x:v>待主管核定</x:v>
      </x:c>
      <x:c r="G13" s="37" t="str">
        <x:v>初始能力基準</x:v>
      </x:c>
      <x:c r="H13" s="41" t="n">
        <x:v>46266</x:v>
      </x:c>
      <x:c r="I13" s="44" t="str">
        <x:f>_xlfn.XLOOKUP("ABIL|1001|LJT-PREP-CROWN",'主管核定中心'!$A$12:$A$372,'主管核定中心'!$I$12:$I$372,"",0)</x:f>
      </x:c>
      <x:c r="J13" s="46" t="str">
        <x:f>_xlfn.XLOOKUP("ABIL|1001|LJT-PREP-CROWN",'主管核定中心'!$A$12:$A$372,'主管核定中心'!$H$12:$H$372,"",0)</x:f>
      </x:c>
      <x:c r="K13" s="37" t="n">
        <x:v>34</x:v>
      </x:c>
      <x:c r="L13" s="37" t="str">
        <x:v>1001|LJT-PREP-CROWN</x:v>
      </x:c>
    </x:row>
    <x:row r="14">
      <x:c r="A14" s="37" t="str">
        <x:v>1001</x:v>
      </x:c>
      <x:c r="B14" s="37" t="str"/>
      <x:c r="C14" s="37" t="str">
        <x:v>LJT-PREP-RPD</x:v>
      </x:c>
      <x:c r="D14" s="37" t="str">
        <x:v>RPD</x:v>
      </x:c>
      <x:c r="E14" s="37" t="str">
        <x:f>IF(_xlfn.XLOOKUP("UPG|1001|LJT-PREP-RPD",'能力升級候選'!$A$7:$A$258,'能力升級候選'!$R$7:$R$258,"",0)="已核定升級","◎",_xlfn.XLOOKUP("UPG|1001|LJT-PREP-RPD",'能力升級候選'!$A$7:$A$258,'能力升級候選'!$E$7:$E$258,"未評估",0))</x:f>
        <x:v>◎</x:v>
      </x:c>
      <x:c r="F14" s="37" t="str">
        <x:f>IF(COUNTIFS('事件與限制'!$C$7:$C$106,$A14,'事件與限制'!$E$7:$E$106,$C14,'事件與限制'!$M$7:$M$106,"暫停技能資格",'事件與限制'!$Q$7:$Q$106,"生效中")&gt;0,"資格暫停",IF($E14="未評估","未建立",_xlfn.XLOOKUP("ABIL|1001|LJT-PREP-RPD",'主管核定中心'!$A$12:$A$372,'主管核定中心'!$K$12:$K$372,"待主管核定",0)))</x:f>
        <x:v>待主管核定</x:v>
      </x:c>
      <x:c r="G14" s="37" t="str">
        <x:v>初始能力基準</x:v>
      </x:c>
      <x:c r="H14" s="41" t="n">
        <x:v>46266</x:v>
      </x:c>
      <x:c r="I14" s="44" t="str">
        <x:f>_xlfn.XLOOKUP("ABIL|1001|LJT-PREP-RPD",'主管核定中心'!$A$12:$A$372,'主管核定中心'!$I$12:$I$372,"",0)</x:f>
      </x:c>
      <x:c r="J14" s="46" t="str">
        <x:f>_xlfn.XLOOKUP("ABIL|1001|LJT-PREP-RPD",'主管核定中心'!$A$12:$A$372,'主管核定中心'!$H$12:$H$372,"",0)</x:f>
      </x:c>
      <x:c r="K14" s="37" t="n">
        <x:v>35</x:v>
      </x:c>
      <x:c r="L14" s="37" t="str">
        <x:v>1001|LJT-PREP-RPD</x:v>
      </x:c>
    </x:row>
    <x:row r="15">
      <x:c r="A15" s="37" t="str">
        <x:v>1001</x:v>
      </x:c>
      <x:c r="B15" s="37" t="str"/>
      <x:c r="C15" s="37" t="str">
        <x:v>LJT-PREP-AIRPOLISH</x:v>
      </x:c>
      <x:c r="D15" s="37" t="str">
        <x:v>噴砂美白</x:v>
      </x:c>
      <x:c r="E15" s="37" t="str">
        <x:f>IF(_xlfn.XLOOKUP("UPG|1001|LJT-PREP-AIRPOLISH",'能力升級候選'!$A$7:$A$258,'能力升級候選'!$R$7:$R$258,"",0)="已核定升級","◎",_xlfn.XLOOKUP("UPG|1001|LJT-PREP-AIRPOLISH",'能力升級候選'!$A$7:$A$258,'能力升級候選'!$E$7:$E$258,"未評估",0))</x:f>
        <x:v>◎</x:v>
      </x:c>
      <x:c r="F15" s="37" t="str">
        <x:f>IF(COUNTIFS('事件與限制'!$C$7:$C$106,$A15,'事件與限制'!$E$7:$E$106,$C15,'事件與限制'!$M$7:$M$106,"暫停技能資格",'事件與限制'!$Q$7:$Q$106,"生效中")&gt;0,"資格暫停",IF($E15="未評估","未建立",_xlfn.XLOOKUP("ABIL|1001|LJT-PREP-AIRPOLISH",'主管核定中心'!$A$12:$A$372,'主管核定中心'!$K$12:$K$372,"待主管核定",0)))</x:f>
        <x:v>待主管核定</x:v>
      </x:c>
      <x:c r="G15" s="37" t="str">
        <x:v>初始能力基準</x:v>
      </x:c>
      <x:c r="H15" s="41" t="n">
        <x:v>46266</x:v>
      </x:c>
      <x:c r="I15" s="44" t="str">
        <x:f>_xlfn.XLOOKUP("ABIL|1001|LJT-PREP-AIRPOLISH",'主管核定中心'!$A$12:$A$372,'主管核定中心'!$I$12:$I$372,"",0)</x:f>
      </x:c>
      <x:c r="J15" s="46" t="str">
        <x:f>_xlfn.XLOOKUP("ABIL|1001|LJT-PREP-AIRPOLISH",'主管核定中心'!$A$12:$A$372,'主管核定中心'!$H$12:$H$372,"",0)</x:f>
      </x:c>
      <x:c r="K15" s="37" t="n">
        <x:v>36</x:v>
      </x:c>
      <x:c r="L15" s="37" t="str">
        <x:v>1001|LJT-PREP-AIRPOLISH</x:v>
      </x:c>
    </x:row>
    <x:row r="16">
      <x:c r="A16" s="37" t="str">
        <x:v>1001</x:v>
      </x:c>
      <x:c r="B16" s="37" t="str"/>
      <x:c r="C16" s="37" t="str">
        <x:v>LJT-PREP-PERIOSURG</x:v>
      </x:c>
      <x:c r="D16" s="37" t="str">
        <x:v>牙周手術</x:v>
      </x:c>
      <x:c r="E16" s="37" t="str">
        <x:f>IF(_xlfn.XLOOKUP("UPG|1001|LJT-PREP-PERIOSURG",'能力升級候選'!$A$7:$A$258,'能力升級候選'!$R$7:$R$258,"",0)="已核定升級","◎",_xlfn.XLOOKUP("UPG|1001|LJT-PREP-PERIOSURG",'能力升級候選'!$A$7:$A$258,'能力升級候選'!$E$7:$E$258,"未評估",0))</x:f>
        <x:v>◎</x:v>
      </x:c>
      <x:c r="F16" s="37" t="str">
        <x:f>IF(COUNTIFS('事件與限制'!$C$7:$C$106,$A16,'事件與限制'!$E$7:$E$106,$C16,'事件與限制'!$M$7:$M$106,"暫停技能資格",'事件與限制'!$Q$7:$Q$106,"生效中")&gt;0,"資格暫停",IF($E16="未評估","未建立",_xlfn.XLOOKUP("ABIL|1001|LJT-PREP-PERIOSURG",'主管核定中心'!$A$12:$A$372,'主管核定中心'!$K$12:$K$372,"待主管核定",0)))</x:f>
        <x:v>待主管核定</x:v>
      </x:c>
      <x:c r="G16" s="37" t="str">
        <x:v>初始能力基準</x:v>
      </x:c>
      <x:c r="H16" s="41" t="n">
        <x:v>46266</x:v>
      </x:c>
      <x:c r="I16" s="44" t="str">
        <x:f>_xlfn.XLOOKUP("ABIL|1001|LJT-PREP-PERIOSURG",'主管核定中心'!$A$12:$A$372,'主管核定中心'!$I$12:$I$372,"",0)</x:f>
      </x:c>
      <x:c r="J16" s="46" t="str">
        <x:f>_xlfn.XLOOKUP("ABIL|1001|LJT-PREP-PERIOSURG",'主管核定中心'!$A$12:$A$372,'主管核定中心'!$H$12:$H$372,"",0)</x:f>
      </x:c>
      <x:c r="K16" s="37" t="n">
        <x:v>37</x:v>
      </x:c>
      <x:c r="L16" s="37" t="str">
        <x:v>1001|LJT-PREP-PERIOSURG</x:v>
      </x:c>
    </x:row>
    <x:row r="17">
      <x:c r="A17" s="37" t="str">
        <x:v>1001</x:v>
      </x:c>
      <x:c r="B17" s="37" t="str"/>
      <x:c r="C17" s="37" t="str">
        <x:v>LJT-PREP-MICROENDO</x:v>
      </x:c>
      <x:c r="D17" s="37" t="str">
        <x:v>顯微根管</x:v>
      </x:c>
      <x:c r="E17" s="37" t="str">
        <x:f>IF(_xlfn.XLOOKUP("UPG|1001|LJT-PREP-MICROENDO",'能力升級候選'!$A$7:$A$258,'能力升級候選'!$R$7:$R$258,"",0)="已核定升級","◎",_xlfn.XLOOKUP("UPG|1001|LJT-PREP-MICROENDO",'能力升級候選'!$A$7:$A$258,'能力升級候選'!$E$7:$E$258,"未評估",0))</x:f>
        <x:v>◎</x:v>
      </x:c>
      <x:c r="F17" s="37" t="str">
        <x:f>IF(COUNTIFS('事件與限制'!$C$7:$C$106,$A17,'事件與限制'!$E$7:$E$106,$C17,'事件與限制'!$M$7:$M$106,"暫停技能資格",'事件與限制'!$Q$7:$Q$106,"生效中")&gt;0,"資格暫停",IF($E17="未評估","未建立",_xlfn.XLOOKUP("ABIL|1001|LJT-PREP-MICROENDO",'主管核定中心'!$A$12:$A$372,'主管核定中心'!$K$12:$K$372,"待主管核定",0)))</x:f>
        <x:v>待主管核定</x:v>
      </x:c>
      <x:c r="G17" s="37" t="str">
        <x:v>初始能力基準</x:v>
      </x:c>
      <x:c r="H17" s="41" t="n">
        <x:v>46266</x:v>
      </x:c>
      <x:c r="I17" s="44" t="str">
        <x:f>_xlfn.XLOOKUP("ABIL|1001|LJT-PREP-MICROENDO",'主管核定中心'!$A$12:$A$372,'主管核定中心'!$I$12:$I$372,"",0)</x:f>
      </x:c>
      <x:c r="J17" s="46" t="str">
        <x:f>_xlfn.XLOOKUP("ABIL|1001|LJT-PREP-MICROENDO",'主管核定中心'!$A$12:$A$372,'主管核定中心'!$H$12:$H$372,"",0)</x:f>
      </x:c>
      <x:c r="K17" s="37" t="n">
        <x:v>38</x:v>
      </x:c>
      <x:c r="L17" s="37" t="str">
        <x:v>1001|LJT-PREP-MICROENDO</x:v>
      </x:c>
    </x:row>
    <x:row r="18">
      <x:c r="A18" s="37" t="str">
        <x:v>1001</x:v>
      </x:c>
      <x:c r="B18" s="37" t="str"/>
      <x:c r="C18" s="37" t="str">
        <x:v>LJT-PREP-IMPLANT</x:v>
      </x:c>
      <x:c r="D18" s="37" t="str">
        <x:v>植 牙</x:v>
      </x:c>
      <x:c r="E18" s="37" t="str">
        <x:f>IF(_xlfn.XLOOKUP("UPG|1001|LJT-PREP-IMPLANT",'能力升級候選'!$A$7:$A$258,'能力升級候選'!$R$7:$R$258,"",0)="已核定升級","◎",_xlfn.XLOOKUP("UPG|1001|LJT-PREP-IMPLANT",'能力升級候選'!$A$7:$A$258,'能力升級候選'!$E$7:$E$258,"未評估",0))</x:f>
        <x:v>◎</x:v>
      </x:c>
      <x:c r="F18" s="37" t="str">
        <x:f>IF(COUNTIFS('事件與限制'!$C$7:$C$106,$A18,'事件與限制'!$E$7:$E$106,$C18,'事件與限制'!$M$7:$M$106,"暫停技能資格",'事件與限制'!$Q$7:$Q$106,"生效中")&gt;0,"資格暫停",IF($E18="未評估","未建立",_xlfn.XLOOKUP("ABIL|1001|LJT-PREP-IMPLANT",'主管核定中心'!$A$12:$A$372,'主管核定中心'!$K$12:$K$372,"待主管核定",0)))</x:f>
        <x:v>待主管核定</x:v>
      </x:c>
      <x:c r="G18" s="37" t="str">
        <x:v>初始能力基準</x:v>
      </x:c>
      <x:c r="H18" s="41" t="n">
        <x:v>46266</x:v>
      </x:c>
      <x:c r="I18" s="44" t="str">
        <x:f>_xlfn.XLOOKUP("ABIL|1001|LJT-PREP-IMPLANT",'主管核定中心'!$A$12:$A$372,'主管核定中心'!$I$12:$I$372,"",0)</x:f>
      </x:c>
      <x:c r="J18" s="46" t="str">
        <x:f>_xlfn.XLOOKUP("ABIL|1001|LJT-PREP-IMPLANT",'主管核定中心'!$A$12:$A$372,'主管核定中心'!$H$12:$H$372,"",0)</x:f>
      </x:c>
      <x:c r="K18" s="37" t="n">
        <x:v>39</x:v>
      </x:c>
      <x:c r="L18" s="37" t="str">
        <x:v>1001|LJT-PREP-IMPLANT</x:v>
      </x:c>
    </x:row>
    <x:row r="19">
      <x:c r="A19" s="37" t="str">
        <x:v>1001</x:v>
      </x:c>
      <x:c r="B19" s="37" t="str"/>
      <x:c r="C19" s="37" t="str">
        <x:v>COMMON-RECORD</x:v>
      </x:c>
      <x:c r="D19" s="37" t="str">
        <x:v>病歷紀錄</x:v>
      </x:c>
      <x:c r="E19" s="37" t="str">
        <x:f>IF(_xlfn.XLOOKUP("UPG|1001|COMMON-RECORD",'能力升級候選'!$A$7:$A$258,'能力升級候選'!$R$7:$R$258,"",0)="已核定升級","◎",_xlfn.XLOOKUP("UPG|1001|COMMON-RECORD",'能力升級候選'!$A$7:$A$258,'能力升級候選'!$E$7:$E$258,"未評估",0))</x:f>
        <x:v>◎</x:v>
      </x:c>
      <x:c r="F19" s="37" t="str">
        <x:f>IF(COUNTIFS('事件與限制'!$C$7:$C$106,$A19,'事件與限制'!$E$7:$E$106,$C19,'事件與限制'!$M$7:$M$106,"暫停技能資格",'事件與限制'!$Q$7:$Q$106,"生效中")&gt;0,"資格暫停",IF($E19="未評估","未建立",_xlfn.XLOOKUP("ABIL|1001|COMMON-RECORD",'主管核定中心'!$A$12:$A$372,'主管核定中心'!$K$12:$K$372,"待主管核定",0)))</x:f>
        <x:v>待主管核定</x:v>
      </x:c>
      <x:c r="G19" s="37" t="str">
        <x:v>初始能力基準</x:v>
      </x:c>
      <x:c r="H19" s="41" t="n">
        <x:v>46266</x:v>
      </x:c>
      <x:c r="I19" s="44" t="str">
        <x:f>_xlfn.XLOOKUP("ABIL|1001|COMMON-RECORD",'主管核定中心'!$A$12:$A$372,'主管核定中心'!$I$12:$I$372,"",0)</x:f>
      </x:c>
      <x:c r="J19" s="46" t="str">
        <x:f>_xlfn.XLOOKUP("ABIL|1001|COMMON-RECORD",'主管核定中心'!$A$12:$A$372,'主管核定中心'!$H$12:$H$372,"",0)</x:f>
      </x:c>
      <x:c r="K19" s="37" t="n">
        <x:v>41</x:v>
      </x:c>
      <x:c r="L19" s="37" t="str">
        <x:v>1001|COMMON-RECORD</x:v>
      </x:c>
    </x:row>
    <x:row r="20">
      <x:c r="A20" s="37" t="str">
        <x:v>1001</x:v>
      </x:c>
      <x:c r="B20" s="37" t="str"/>
      <x:c r="C20" s="37" t="str">
        <x:v>COMMON-INSURANCE</x:v>
      </x:c>
      <x:c r="D20" s="37" t="str">
        <x:v>健保申報</x:v>
      </x:c>
      <x:c r="E20" s="37" t="str">
        <x:f>IF(_xlfn.XLOOKUP("UPG|1001|COMMON-INSURANCE",'能力升級候選'!$A$7:$A$258,'能力升級候選'!$R$7:$R$258,"",0)="已核定升級","◎",_xlfn.XLOOKUP("UPG|1001|COMMON-INSURANCE",'能力升級候選'!$A$7:$A$258,'能力升級候選'!$E$7:$E$258,"未評估",0))</x:f>
        <x:v>◎</x:v>
      </x:c>
      <x:c r="F20" s="37" t="str">
        <x:f>IF(COUNTIFS('事件與限制'!$C$7:$C$106,$A20,'事件與限制'!$E$7:$E$106,$C20,'事件與限制'!$M$7:$M$106,"暫停技能資格",'事件與限制'!$Q$7:$Q$106,"生效中")&gt;0,"資格暫停",IF($E20="未評估","未建立",_xlfn.XLOOKUP("ABIL|1001|COMMON-INSURANCE",'主管核定中心'!$A$12:$A$372,'主管核定中心'!$K$12:$K$372,"待主管核定",0)))</x:f>
        <x:v>待主管核定</x:v>
      </x:c>
      <x:c r="G20" s="37" t="str">
        <x:v>初始能力基準</x:v>
      </x:c>
      <x:c r="H20" s="41" t="n">
        <x:v>46266</x:v>
      </x:c>
      <x:c r="I20" s="44" t="str">
        <x:f>_xlfn.XLOOKUP("ABIL|1001|COMMON-INSURANCE",'主管核定中心'!$A$12:$A$372,'主管核定中心'!$I$12:$I$372,"",0)</x:f>
      </x:c>
      <x:c r="J20" s="46" t="str">
        <x:f>_xlfn.XLOOKUP("ABIL|1001|COMMON-INSURANCE",'主管核定中心'!$A$12:$A$372,'主管核定中心'!$H$12:$H$372,"",0)</x:f>
      </x:c>
      <x:c r="K20" s="37" t="n">
        <x:v>42</x:v>
      </x:c>
      <x:c r="L20" s="37" t="str">
        <x:v>1001|COMMON-INSURANCE</x:v>
      </x:c>
    </x:row>
    <x:row r="21">
      <x:c r="A21" s="37" t="str">
        <x:v>1001</x:v>
      </x:c>
      <x:c r="B21" s="37" t="str"/>
      <x:c r="C21" s="37" t="str">
        <x:v>COMMON-XRAY-RECORD</x:v>
      </x:c>
      <x:c r="D21" s="37" t="str">
        <x:v>X光片紀錄</x:v>
      </x:c>
      <x:c r="E21" s="37" t="str">
        <x:f>IF(_xlfn.XLOOKUP("UPG|1001|COMMON-XRAY-RECORD",'能力升級候選'!$A$7:$A$258,'能力升級候選'!$R$7:$R$258,"",0)="已核定升級","◎",_xlfn.XLOOKUP("UPG|1001|COMMON-XRAY-RECORD",'能力升級候選'!$A$7:$A$258,'能力升級候選'!$E$7:$E$258,"未評估",0))</x:f>
        <x:v>◎</x:v>
      </x:c>
      <x:c r="F21" s="37" t="str">
        <x:f>IF(COUNTIFS('事件與限制'!$C$7:$C$106,$A21,'事件與限制'!$E$7:$E$106,$C21,'事件與限制'!$M$7:$M$106,"暫停技能資格",'事件與限制'!$Q$7:$Q$106,"生效中")&gt;0,"資格暫停",IF($E21="未評估","未建立",_xlfn.XLOOKUP("ABIL|1001|COMMON-XRAY-RECORD",'主管核定中心'!$A$12:$A$372,'主管核定中心'!$K$12:$K$372,"待主管核定",0)))</x:f>
        <x:v>待主管核定</x:v>
      </x:c>
      <x:c r="G21" s="37" t="str">
        <x:v>初始能力基準</x:v>
      </x:c>
      <x:c r="H21" s="41" t="n">
        <x:v>46266</x:v>
      </x:c>
      <x:c r="I21" s="44" t="str">
        <x:f>_xlfn.XLOOKUP("ABIL|1001|COMMON-XRAY-RECORD",'主管核定中心'!$A$12:$A$372,'主管核定中心'!$I$12:$I$372,"",0)</x:f>
      </x:c>
      <x:c r="J21" s="46" t="str">
        <x:f>_xlfn.XLOOKUP("ABIL|1001|COMMON-XRAY-RECORD",'主管核定中心'!$A$12:$A$372,'主管核定中心'!$H$12:$H$372,"",0)</x:f>
      </x:c>
      <x:c r="K21" s="37" t="n">
        <x:v>43</x:v>
      </x:c>
      <x:c r="L21" s="37" t="str">
        <x:v>1001|COMMON-XRAY-RECORD</x:v>
      </x:c>
    </x:row>
    <x:row r="22">
      <x:c r="A22" s="37" t="str">
        <x:v>1001</x:v>
      </x:c>
      <x:c r="B22" s="37" t="str"/>
      <x:c r="C22" s="37" t="str">
        <x:v>COMMON-PA</x:v>
      </x:c>
      <x:c r="D22" s="37" t="str">
        <x:v>拍PA</x:v>
      </x:c>
      <x:c r="E22" s="37" t="str">
        <x:f>IF(_xlfn.XLOOKUP("UPG|1001|COMMON-PA",'能力升級候選'!$A$7:$A$258,'能力升級候選'!$R$7:$R$258,"",0)="已核定升級","◎",_xlfn.XLOOKUP("UPG|1001|COMMON-PA",'能力升級候選'!$A$7:$A$258,'能力升級候選'!$E$7:$E$258,"未評估",0))</x:f>
        <x:v>◎</x:v>
      </x:c>
      <x:c r="F22" s="37" t="str">
        <x:f>IF(COUNTIFS('事件與限制'!$C$7:$C$106,$A22,'事件與限制'!$E$7:$E$106,$C22,'事件與限制'!$M$7:$M$106,"暫停技能資格",'事件與限制'!$Q$7:$Q$106,"生效中")&gt;0,"資格暫停",IF($E22="未評估","未建立",_xlfn.XLOOKUP("ABIL|1001|COMMON-PA",'主管核定中心'!$A$12:$A$372,'主管核定中心'!$K$12:$K$372,"待主管核定",0)))</x:f>
        <x:v>待主管核定</x:v>
      </x:c>
      <x:c r="G22" s="37" t="str">
        <x:v>初始能力基準</x:v>
      </x:c>
      <x:c r="H22" s="41" t="n">
        <x:v>46266</x:v>
      </x:c>
      <x:c r="I22" s="44" t="str">
        <x:f>_xlfn.XLOOKUP("ABIL|1001|COMMON-PA",'主管核定中心'!$A$12:$A$372,'主管核定中心'!$I$12:$I$372,"",0)</x:f>
      </x:c>
      <x:c r="J22" s="46" t="str">
        <x:f>_xlfn.XLOOKUP("ABIL|1001|COMMON-PA",'主管核定中心'!$A$12:$A$372,'主管核定中心'!$H$12:$H$372,"",0)</x:f>
      </x:c>
      <x:c r="K22" s="37" t="n">
        <x:v>44</x:v>
      </x:c>
      <x:c r="L22" s="37" t="str">
        <x:v>1001|COMMON-PA</x:v>
      </x:c>
    </x:row>
    <x:row r="23">
      <x:c r="A23" s="37" t="str">
        <x:v>1001</x:v>
      </x:c>
      <x:c r="B23" s="37" t="str"/>
      <x:c r="C23" s="37" t="str">
        <x:v>COMMON-IOS</x:v>
      </x:c>
      <x:c r="D23" s="37" t="str">
        <x:v>口掃機運用</x:v>
      </x:c>
      <x:c r="E23" s="37" t="str">
        <x:f>IF(_xlfn.XLOOKUP("UPG|1001|COMMON-IOS",'能力升級候選'!$A$7:$A$258,'能力升級候選'!$R$7:$R$258,"",0)="已核定升級","◎",_xlfn.XLOOKUP("UPG|1001|COMMON-IOS",'能力升級候選'!$A$7:$A$258,'能力升級候選'!$E$7:$E$258,"未評估",0))</x:f>
        <x:v>◎</x:v>
      </x:c>
      <x:c r="F23" s="37" t="str">
        <x:f>IF(COUNTIFS('事件與限制'!$C$7:$C$106,$A23,'事件與限制'!$E$7:$E$106,$C23,'事件與限制'!$M$7:$M$106,"暫停技能資格",'事件與限制'!$Q$7:$Q$106,"生效中")&gt;0,"資格暫停",IF($E23="未評估","未建立",_xlfn.XLOOKUP("ABIL|1001|COMMON-IOS",'主管核定中心'!$A$12:$A$372,'主管核定中心'!$K$12:$K$372,"待主管核定",0)))</x:f>
        <x:v>待主管核定</x:v>
      </x:c>
      <x:c r="G23" s="37" t="str">
        <x:v>初始能力基準</x:v>
      </x:c>
      <x:c r="H23" s="41" t="n">
        <x:v>46266</x:v>
      </x:c>
      <x:c r="I23" s="44" t="str">
        <x:f>_xlfn.XLOOKUP("ABIL|1001|COMMON-IOS",'主管核定中心'!$A$12:$A$372,'主管核定中心'!$I$12:$I$372,"",0)</x:f>
      </x:c>
      <x:c r="J23" s="46" t="str">
        <x:f>_xlfn.XLOOKUP("ABIL|1001|COMMON-IOS",'主管核定中心'!$A$12:$A$372,'主管核定中心'!$H$12:$H$372,"",0)</x:f>
      </x:c>
      <x:c r="K23" s="37" t="n">
        <x:v>45</x:v>
      </x:c>
      <x:c r="L23" s="37" t="str">
        <x:v>1001|COMMON-IOS</x:v>
      </x:c>
    </x:row>
    <x:row r="24">
      <x:c r="A24" s="37" t="str">
        <x:v>1004</x:v>
      </x:c>
      <x:c r="B24" s="37" t="str"/>
      <x:c r="C24" s="37" t="str">
        <x:v>LJT-PREP-SCALING</x:v>
      </x:c>
      <x:c r="D24" s="37" t="str">
        <x:v>洗牙</x:v>
      </x:c>
      <x:c r="E24" s="37" t="str">
        <x:f>IF(_xlfn.XLOOKUP("UPG|1004|LJT-PREP-SCALING",'能力升級候選'!$A$7:$A$258,'能力升級候選'!$R$7:$R$258,"",0)="已核定升級","◎",_xlfn.XLOOKUP("UPG|1004|LJT-PREP-SCALING",'能力升級候選'!$A$7:$A$258,'能力升級候選'!$E$7:$E$258,"未評估",0))</x:f>
        <x:v>◎</x:v>
      </x:c>
      <x:c r="F24" s="37" t="str">
        <x:f>IF(COUNTIFS('事件與限制'!$C$7:$C$106,$A24,'事件與限制'!$E$7:$E$106,$C24,'事件與限制'!$M$7:$M$106,"暫停技能資格",'事件與限制'!$Q$7:$Q$106,"生效中")&gt;0,"資格暫停",IF($E24="未評估","未建立",_xlfn.XLOOKUP("ABIL|1004|LJT-PREP-SCALING",'主管核定中心'!$A$12:$A$372,'主管核定中心'!$K$12:$K$372,"待主管核定",0)))</x:f>
        <x:v>待主管核定</x:v>
      </x:c>
      <x:c r="G24" s="37" t="str">
        <x:v>初始能力基準</x:v>
      </x:c>
      <x:c r="H24" s="41" t="n">
        <x:v>46266</x:v>
      </x:c>
      <x:c r="I24" s="44" t="str">
        <x:f>_xlfn.XLOOKUP("ABIL|1004|LJT-PREP-SCALING",'主管核定中心'!$A$12:$A$372,'主管核定中心'!$I$12:$I$372,"",0)</x:f>
      </x:c>
      <x:c r="J24" s="46" t="str">
        <x:f>_xlfn.XLOOKUP("ABIL|1004|LJT-PREP-SCALING",'主管核定中心'!$A$12:$A$372,'主管核定中心'!$H$12:$H$372,"",0)</x:f>
      </x:c>
      <x:c r="K24" s="37" t="n">
        <x:v>28</x:v>
      </x:c>
      <x:c r="L24" s="37" t="str">
        <x:v>1004|LJT-PREP-SCALING</x:v>
      </x:c>
    </x:row>
    <x:row r="25">
      <x:c r="A25" s="37" t="str">
        <x:v>1004</x:v>
      </x:c>
      <x:c r="B25" s="37" t="str"/>
      <x:c r="C25" s="37" t="str">
        <x:v>LJT-PREP-FILLING</x:v>
      </x:c>
      <x:c r="D25" s="37" t="str">
        <x:v>補牙</x:v>
      </x:c>
      <x:c r="E25" s="37" t="str">
        <x:f>IF(_xlfn.XLOOKUP("UPG|1004|LJT-PREP-FILLING",'能力升級候選'!$A$7:$A$258,'能力升級候選'!$R$7:$R$258,"",0)="已核定升級","◎",_xlfn.XLOOKUP("UPG|1004|LJT-PREP-FILLING",'能力升級候選'!$A$7:$A$258,'能力升級候選'!$E$7:$E$258,"未評估",0))</x:f>
        <x:v>◎</x:v>
      </x:c>
      <x:c r="F25" s="37" t="str">
        <x:f>IF(COUNTIFS('事件與限制'!$C$7:$C$106,$A25,'事件與限制'!$E$7:$E$106,$C25,'事件與限制'!$M$7:$M$106,"暫停技能資格",'事件與限制'!$Q$7:$Q$106,"生效中")&gt;0,"資格暫停",IF($E25="未評估","未建立",_xlfn.XLOOKUP("ABIL|1004|LJT-PREP-FILLING",'主管核定中心'!$A$12:$A$372,'主管核定中心'!$K$12:$K$372,"待主管核定",0)))</x:f>
        <x:v>待主管核定</x:v>
      </x:c>
      <x:c r="G25" s="37" t="str">
        <x:v>初始能力基準</x:v>
      </x:c>
      <x:c r="H25" s="41" t="n">
        <x:v>46266</x:v>
      </x:c>
      <x:c r="I25" s="44" t="str">
        <x:f>_xlfn.XLOOKUP("ABIL|1004|LJT-PREP-FILLING",'主管核定中心'!$A$12:$A$372,'主管核定中心'!$I$12:$I$372,"",0)</x:f>
      </x:c>
      <x:c r="J25" s="46" t="str">
        <x:f>_xlfn.XLOOKUP("ABIL|1004|LJT-PREP-FILLING",'主管核定中心'!$A$12:$A$372,'主管核定中心'!$H$12:$H$372,"",0)</x:f>
      </x:c>
      <x:c r="K25" s="37" t="n">
        <x:v>29</x:v>
      </x:c>
      <x:c r="L25" s="37" t="str">
        <x:v>1004|LJT-PREP-FILLING</x:v>
      </x:c>
    </x:row>
    <x:row r="26">
      <x:c r="A26" s="37" t="str">
        <x:v>1004</x:v>
      </x:c>
      <x:c r="B26" s="37" t="str"/>
      <x:c r="C26" s="37" t="str">
        <x:v>LJT-PREP-PERIO</x:v>
      </x:c>
      <x:c r="D26" s="37" t="str">
        <x:v>牙周統合</x:v>
      </x:c>
      <x:c r="E26" s="37" t="str">
        <x:f>IF(_xlfn.XLOOKUP("UPG|1004|LJT-PREP-PERIO",'能力升級候選'!$A$7:$A$258,'能力升級候選'!$R$7:$R$258,"",0)="已核定升級","◎",_xlfn.XLOOKUP("UPG|1004|LJT-PREP-PERIO",'能力升級候選'!$A$7:$A$258,'能力升級候選'!$E$7:$E$258,"未評估",0))</x:f>
        <x:v>◎</x:v>
      </x:c>
      <x:c r="F26" s="37" t="str">
        <x:f>IF(COUNTIFS('事件與限制'!$C$7:$C$106,$A26,'事件與限制'!$E$7:$E$106,$C26,'事件與限制'!$M$7:$M$106,"暫停技能資格",'事件與限制'!$Q$7:$Q$106,"生效中")&gt;0,"資格暫停",IF($E26="未評估","未建立",_xlfn.XLOOKUP("ABIL|1004|LJT-PREP-PERIO",'主管核定中心'!$A$12:$A$372,'主管核定中心'!$K$12:$K$372,"待主管核定",0)))</x:f>
        <x:v>待主管核定</x:v>
      </x:c>
      <x:c r="G26" s="37" t="str">
        <x:v>初始能力基準</x:v>
      </x:c>
      <x:c r="H26" s="41" t="n">
        <x:v>46266</x:v>
      </x:c>
      <x:c r="I26" s="44" t="str">
        <x:f>_xlfn.XLOOKUP("ABIL|1004|LJT-PREP-PERIO",'主管核定中心'!$A$12:$A$372,'主管核定中心'!$I$12:$I$372,"",0)</x:f>
      </x:c>
      <x:c r="J26" s="46" t="str">
        <x:f>_xlfn.XLOOKUP("ABIL|1004|LJT-PREP-PERIO",'主管核定中心'!$A$12:$A$372,'主管核定中心'!$H$12:$H$372,"",0)</x:f>
      </x:c>
      <x:c r="K26" s="37" t="n">
        <x:v>30</x:v>
      </x:c>
      <x:c r="L26" s="37" t="str">
        <x:v>1004|LJT-PREP-PERIO</x:v>
      </x:c>
    </x:row>
    <x:row r="27">
      <x:c r="A27" s="37" t="str">
        <x:v>1004</x:v>
      </x:c>
      <x:c r="B27" s="37" t="str"/>
      <x:c r="C27" s="37" t="str">
        <x:v>LJT-PREP-RCT</x:v>
      </x:c>
      <x:c r="D27" s="37" t="str">
        <x:v>根管治療</x:v>
      </x:c>
      <x:c r="E27" s="37" t="str">
        <x:f>IF(_xlfn.XLOOKUP("UPG|1004|LJT-PREP-RCT",'能力升級候選'!$A$7:$A$258,'能力升級候選'!$R$7:$R$258,"",0)="已核定升級","◎",_xlfn.XLOOKUP("UPG|1004|LJT-PREP-RCT",'能力升級候選'!$A$7:$A$258,'能力升級候選'!$E$7:$E$258,"未評估",0))</x:f>
        <x:v>◎</x:v>
      </x:c>
      <x:c r="F27" s="37" t="str">
        <x:f>IF(COUNTIFS('事件與限制'!$C$7:$C$106,$A27,'事件與限制'!$E$7:$E$106,$C27,'事件與限制'!$M$7:$M$106,"暫停技能資格",'事件與限制'!$Q$7:$Q$106,"生效中")&gt;0,"資格暫停",IF($E27="未評估","未建立",_xlfn.XLOOKUP("ABIL|1004|LJT-PREP-RCT",'主管核定中心'!$A$12:$A$372,'主管核定中心'!$K$12:$K$372,"待主管核定",0)))</x:f>
        <x:v>待主管核定</x:v>
      </x:c>
      <x:c r="G27" s="37" t="str">
        <x:v>初始能力基準</x:v>
      </x:c>
      <x:c r="H27" s="41" t="n">
        <x:v>46266</x:v>
      </x:c>
      <x:c r="I27" s="44" t="str">
        <x:f>_xlfn.XLOOKUP("ABIL|1004|LJT-PREP-RCT",'主管核定中心'!$A$12:$A$372,'主管核定中心'!$I$12:$I$372,"",0)</x:f>
      </x:c>
      <x:c r="J27" s="46" t="str">
        <x:f>_xlfn.XLOOKUP("ABIL|1004|LJT-PREP-RCT",'主管核定中心'!$A$12:$A$372,'主管核定中心'!$H$12:$H$372,"",0)</x:f>
      </x:c>
      <x:c r="K27" s="37" t="n">
        <x:v>31</x:v>
      </x:c>
      <x:c r="L27" s="37" t="str">
        <x:v>1004|LJT-PREP-RCT</x:v>
      </x:c>
    </x:row>
    <x:row r="28">
      <x:c r="A28" s="37" t="str">
        <x:v>1004</x:v>
      </x:c>
      <x:c r="B28" s="37" t="str"/>
      <x:c r="C28" s="37" t="str">
        <x:v>LJT-PREP-EXTRACTION</x:v>
      </x:c>
      <x:c r="D28" s="37" t="str">
        <x:v>拔牙</x:v>
      </x:c>
      <x:c r="E28" s="37" t="str">
        <x:f>IF(_xlfn.XLOOKUP("UPG|1004|LJT-PREP-EXTRACTION",'能力升級候選'!$A$7:$A$258,'能力升級候選'!$R$7:$R$258,"",0)="已核定升級","◎",_xlfn.XLOOKUP("UPG|1004|LJT-PREP-EXTRACTION",'能力升級候選'!$A$7:$A$258,'能力升級候選'!$E$7:$E$258,"未評估",0))</x:f>
        <x:v>◎</x:v>
      </x:c>
      <x:c r="F28" s="37" t="str">
        <x:f>IF(COUNTIFS('事件與限制'!$C$7:$C$106,$A28,'事件與限制'!$E$7:$E$106,$C28,'事件與限制'!$M$7:$M$106,"暫停技能資格",'事件與限制'!$Q$7:$Q$106,"生效中")&gt;0,"資格暫停",IF($E28="未評估","未建立",_xlfn.XLOOKUP("ABIL|1004|LJT-PREP-EXTRACTION",'主管核定中心'!$A$12:$A$372,'主管核定中心'!$K$12:$K$372,"待主管核定",0)))</x:f>
        <x:v>待主管核定</x:v>
      </x:c>
      <x:c r="G28" s="37" t="str">
        <x:v>初始能力基準</x:v>
      </x:c>
      <x:c r="H28" s="41" t="n">
        <x:v>46266</x:v>
      </x:c>
      <x:c r="I28" s="44" t="str">
        <x:f>_xlfn.XLOOKUP("ABIL|1004|LJT-PREP-EXTRACTION",'主管核定中心'!$A$12:$A$372,'主管核定中心'!$I$12:$I$372,"",0)</x:f>
      </x:c>
      <x:c r="J28" s="46" t="str">
        <x:f>_xlfn.XLOOKUP("ABIL|1004|LJT-PREP-EXTRACTION",'主管核定中心'!$A$12:$A$372,'主管核定中心'!$H$12:$H$372,"",0)</x:f>
      </x:c>
      <x:c r="K28" s="37" t="n">
        <x:v>32</x:v>
      </x:c>
      <x:c r="L28" s="37" t="str">
        <x:v>1004|LJT-PREP-EXTRACTION</x:v>
      </x:c>
    </x:row>
    <x:row r="29">
      <x:c r="A29" s="37" t="str">
        <x:v>1004</x:v>
      </x:c>
      <x:c r="B29" s="37" t="str"/>
      <x:c r="C29" s="37" t="str">
        <x:v>LJT-PREP-CROWNPOST</x:v>
      </x:c>
      <x:c r="D29" s="37" t="str">
        <x:v>拆 crown/post</x:v>
      </x:c>
      <x:c r="E29" s="37" t="str">
        <x:f>IF(_xlfn.XLOOKUP("UPG|1004|LJT-PREP-CROWNPOST",'能力升級候選'!$A$7:$A$258,'能力升級候選'!$R$7:$R$258,"",0)="已核定升級","◎",_xlfn.XLOOKUP("UPG|1004|LJT-PREP-CROWNPOST",'能力升級候選'!$A$7:$A$258,'能力升級候選'!$E$7:$E$258,"未評估",0))</x:f>
        <x:v>◎</x:v>
      </x:c>
      <x:c r="F29" s="37" t="str">
        <x:f>IF(COUNTIFS('事件與限制'!$C$7:$C$106,$A29,'事件與限制'!$E$7:$E$106,$C29,'事件與限制'!$M$7:$M$106,"暫停技能資格",'事件與限制'!$Q$7:$Q$106,"生效中")&gt;0,"資格暫停",IF($E29="未評估","未建立",_xlfn.XLOOKUP("ABIL|1004|LJT-PREP-CROWNPOST",'主管核定中心'!$A$12:$A$372,'主管核定中心'!$K$12:$K$372,"待主管核定",0)))</x:f>
        <x:v>待主管核定</x:v>
      </x:c>
      <x:c r="G29" s="37" t="str">
        <x:v>初始能力基準</x:v>
      </x:c>
      <x:c r="H29" s="41" t="n">
        <x:v>46266</x:v>
      </x:c>
      <x:c r="I29" s="44" t="str">
        <x:f>_xlfn.XLOOKUP("ABIL|1004|LJT-PREP-CROWNPOST",'主管核定中心'!$A$12:$A$372,'主管核定中心'!$I$12:$I$372,"",0)</x:f>
      </x:c>
      <x:c r="J29" s="46" t="str">
        <x:f>_xlfn.XLOOKUP("ABIL|1004|LJT-PREP-CROWNPOST",'主管核定中心'!$A$12:$A$372,'主管核定中心'!$H$12:$H$372,"",0)</x:f>
      </x:c>
      <x:c r="K29" s="37" t="n">
        <x:v>33</x:v>
      </x:c>
      <x:c r="L29" s="37" t="str">
        <x:v>1004|LJT-PREP-CROWNPOST</x:v>
      </x:c>
    </x:row>
    <x:row r="30">
      <x:c r="A30" s="37" t="str">
        <x:v>1004</x:v>
      </x:c>
      <x:c r="B30" s="37" t="str"/>
      <x:c r="C30" s="37" t="str">
        <x:v>LJT-PREP-CROWN</x:v>
      </x:c>
      <x:c r="D30" s="37" t="str">
        <x:v>固定假牙</x:v>
      </x:c>
      <x:c r="E30" s="37" t="str">
        <x:f>IF(_xlfn.XLOOKUP("UPG|1004|LJT-PREP-CROWN",'能力升級候選'!$A$7:$A$258,'能力升級候選'!$R$7:$R$258,"",0)="已核定升級","◎",_xlfn.XLOOKUP("UPG|1004|LJT-PREP-CROWN",'能力升級候選'!$A$7:$A$258,'能力升級候選'!$E$7:$E$258,"未評估",0))</x:f>
        <x:v>◎</x:v>
      </x:c>
      <x:c r="F30" s="37" t="str">
        <x:f>IF(COUNTIFS('事件與限制'!$C$7:$C$106,$A30,'事件與限制'!$E$7:$E$106,$C30,'事件與限制'!$M$7:$M$106,"暫停技能資格",'事件與限制'!$Q$7:$Q$106,"生效中")&gt;0,"資格暫停",IF($E30="未評估","未建立",_xlfn.XLOOKUP("ABIL|1004|LJT-PREP-CROWN",'主管核定中心'!$A$12:$A$372,'主管核定中心'!$K$12:$K$372,"待主管核定",0)))</x:f>
        <x:v>待主管核定</x:v>
      </x:c>
      <x:c r="G30" s="37" t="str">
        <x:v>初始能力基準</x:v>
      </x:c>
      <x:c r="H30" s="41" t="n">
        <x:v>46266</x:v>
      </x:c>
      <x:c r="I30" s="44" t="str">
        <x:f>_xlfn.XLOOKUP("ABIL|1004|LJT-PREP-CROWN",'主管核定中心'!$A$12:$A$372,'主管核定中心'!$I$12:$I$372,"",0)</x:f>
      </x:c>
      <x:c r="J30" s="46" t="str">
        <x:f>_xlfn.XLOOKUP("ABIL|1004|LJT-PREP-CROWN",'主管核定中心'!$A$12:$A$372,'主管核定中心'!$H$12:$H$372,"",0)</x:f>
      </x:c>
      <x:c r="K30" s="37" t="n">
        <x:v>34</x:v>
      </x:c>
      <x:c r="L30" s="37" t="str">
        <x:v>1004|LJT-PREP-CROWN</x:v>
      </x:c>
    </x:row>
    <x:row r="31">
      <x:c r="A31" s="37" t="str">
        <x:v>1004</x:v>
      </x:c>
      <x:c r="B31" s="37" t="str"/>
      <x:c r="C31" s="37" t="str">
        <x:v>LJT-PREP-RPD</x:v>
      </x:c>
      <x:c r="D31" s="37" t="str">
        <x:v>RPD</x:v>
      </x:c>
      <x:c r="E31" s="37" t="str">
        <x:f>IF(_xlfn.XLOOKUP("UPG|1004|LJT-PREP-RPD",'能力升級候選'!$A$7:$A$258,'能力升級候選'!$R$7:$R$258,"",0)="已核定升級","◎",_xlfn.XLOOKUP("UPG|1004|LJT-PREP-RPD",'能力升級候選'!$A$7:$A$258,'能力升級候選'!$E$7:$E$258,"未評估",0))</x:f>
        <x:v>◎</x:v>
      </x:c>
      <x:c r="F31" s="37" t="str">
        <x:f>IF(COUNTIFS('事件與限制'!$C$7:$C$106,$A31,'事件與限制'!$E$7:$E$106,$C31,'事件與限制'!$M$7:$M$106,"暫停技能資格",'事件與限制'!$Q$7:$Q$106,"生效中")&gt;0,"資格暫停",IF($E31="未評估","未建立",_xlfn.XLOOKUP("ABIL|1004|LJT-PREP-RPD",'主管核定中心'!$A$12:$A$372,'主管核定中心'!$K$12:$K$372,"待主管核定",0)))</x:f>
        <x:v>待主管核定</x:v>
      </x:c>
      <x:c r="G31" s="37" t="str">
        <x:v>初始能力基準</x:v>
      </x:c>
      <x:c r="H31" s="41" t="n">
        <x:v>46266</x:v>
      </x:c>
      <x:c r="I31" s="44" t="str">
        <x:f>_xlfn.XLOOKUP("ABIL|1004|LJT-PREP-RPD",'主管核定中心'!$A$12:$A$372,'主管核定中心'!$I$12:$I$372,"",0)</x:f>
      </x:c>
      <x:c r="J31" s="46" t="str">
        <x:f>_xlfn.XLOOKUP("ABIL|1004|LJT-PREP-RPD",'主管核定中心'!$A$12:$A$372,'主管核定中心'!$H$12:$H$372,"",0)</x:f>
      </x:c>
      <x:c r="K31" s="37" t="n">
        <x:v>35</x:v>
      </x:c>
      <x:c r="L31" s="37" t="str">
        <x:v>1004|LJT-PREP-RPD</x:v>
      </x:c>
    </x:row>
    <x:row r="32">
      <x:c r="A32" s="37" t="str">
        <x:v>1004</x:v>
      </x:c>
      <x:c r="B32" s="37" t="str"/>
      <x:c r="C32" s="37" t="str">
        <x:v>LJT-PREP-AIRPOLISH</x:v>
      </x:c>
      <x:c r="D32" s="37" t="str">
        <x:v>噴砂美白</x:v>
      </x:c>
      <x:c r="E32" s="37" t="str">
        <x:f>IF(_xlfn.XLOOKUP("UPG|1004|LJT-PREP-AIRPOLISH",'能力升級候選'!$A$7:$A$258,'能力升級候選'!$R$7:$R$258,"",0)="已核定升級","◎",_xlfn.XLOOKUP("UPG|1004|LJT-PREP-AIRPOLISH",'能力升級候選'!$A$7:$A$258,'能力升級候選'!$E$7:$E$258,"未評估",0))</x:f>
        <x:v>◎</x:v>
      </x:c>
      <x:c r="F32" s="37" t="str">
        <x:f>IF(COUNTIFS('事件與限制'!$C$7:$C$106,$A32,'事件與限制'!$E$7:$E$106,$C32,'事件與限制'!$M$7:$M$106,"暫停技能資格",'事件與限制'!$Q$7:$Q$106,"生效中")&gt;0,"資格暫停",IF($E32="未評估","未建立",_xlfn.XLOOKUP("ABIL|1004|LJT-PREP-AIRPOLISH",'主管核定中心'!$A$12:$A$372,'主管核定中心'!$K$12:$K$372,"待主管核定",0)))</x:f>
        <x:v>待主管核定</x:v>
      </x:c>
      <x:c r="G32" s="37" t="str">
        <x:v>初始能力基準</x:v>
      </x:c>
      <x:c r="H32" s="41" t="n">
        <x:v>46266</x:v>
      </x:c>
      <x:c r="I32" s="44" t="str">
        <x:f>_xlfn.XLOOKUP("ABIL|1004|LJT-PREP-AIRPOLISH",'主管核定中心'!$A$12:$A$372,'主管核定中心'!$I$12:$I$372,"",0)</x:f>
      </x:c>
      <x:c r="J32" s="46" t="str">
        <x:f>_xlfn.XLOOKUP("ABIL|1004|LJT-PREP-AIRPOLISH",'主管核定中心'!$A$12:$A$372,'主管核定中心'!$H$12:$H$372,"",0)</x:f>
      </x:c>
      <x:c r="K32" s="37" t="n">
        <x:v>36</x:v>
      </x:c>
      <x:c r="L32" s="37" t="str">
        <x:v>1004|LJT-PREP-AIRPOLISH</x:v>
      </x:c>
    </x:row>
    <x:row r="33">
      <x:c r="A33" s="37" t="str">
        <x:v>1004</x:v>
      </x:c>
      <x:c r="B33" s="37" t="str"/>
      <x:c r="C33" s="37" t="str">
        <x:v>LJT-PREP-PERIOSURG</x:v>
      </x:c>
      <x:c r="D33" s="37" t="str">
        <x:v>牙周手術</x:v>
      </x:c>
      <x:c r="E33" s="37" t="str">
        <x:f>IF(_xlfn.XLOOKUP("UPG|1004|LJT-PREP-PERIOSURG",'能力升級候選'!$A$7:$A$258,'能力升級候選'!$R$7:$R$258,"",0)="已核定升級","◎",_xlfn.XLOOKUP("UPG|1004|LJT-PREP-PERIOSURG",'能力升級候選'!$A$7:$A$258,'能力升級候選'!$E$7:$E$258,"未評估",0))</x:f>
        <x:v>◎</x:v>
      </x:c>
      <x:c r="F33" s="37" t="str">
        <x:f>IF(COUNTIFS('事件與限制'!$C$7:$C$106,$A33,'事件與限制'!$E$7:$E$106,$C33,'事件與限制'!$M$7:$M$106,"暫停技能資格",'事件與限制'!$Q$7:$Q$106,"生效中")&gt;0,"資格暫停",IF($E33="未評估","未建立",_xlfn.XLOOKUP("ABIL|1004|LJT-PREP-PERIOSURG",'主管核定中心'!$A$12:$A$372,'主管核定中心'!$K$12:$K$372,"待主管核定",0)))</x:f>
        <x:v>待主管核定</x:v>
      </x:c>
      <x:c r="G33" s="37" t="str">
        <x:v>初始能力基準</x:v>
      </x:c>
      <x:c r="H33" s="41" t="n">
        <x:v>46266</x:v>
      </x:c>
      <x:c r="I33" s="44" t="str">
        <x:f>_xlfn.XLOOKUP("ABIL|1004|LJT-PREP-PERIOSURG",'主管核定中心'!$A$12:$A$372,'主管核定中心'!$I$12:$I$372,"",0)</x:f>
      </x:c>
      <x:c r="J33" s="46" t="str">
        <x:f>_xlfn.XLOOKUP("ABIL|1004|LJT-PREP-PERIOSURG",'主管核定中心'!$A$12:$A$372,'主管核定中心'!$H$12:$H$372,"",0)</x:f>
      </x:c>
      <x:c r="K33" s="37" t="n">
        <x:v>37</x:v>
      </x:c>
      <x:c r="L33" s="37" t="str">
        <x:v>1004|LJT-PREP-PERIOSURG</x:v>
      </x:c>
    </x:row>
    <x:row r="34">
      <x:c r="A34" s="37" t="str">
        <x:v>1004</x:v>
      </x:c>
      <x:c r="B34" s="37" t="str"/>
      <x:c r="C34" s="37" t="str">
        <x:v>LJT-PREP-MICROENDO</x:v>
      </x:c>
      <x:c r="D34" s="37" t="str">
        <x:v>顯微根管</x:v>
      </x:c>
      <x:c r="E34" s="37" t="str">
        <x:f>IF(_xlfn.XLOOKUP("UPG|1004|LJT-PREP-MICROENDO",'能力升級候選'!$A$7:$A$258,'能力升級候選'!$R$7:$R$258,"",0)="已核定升級","◎",_xlfn.XLOOKUP("UPG|1004|LJT-PREP-MICROENDO",'能力升級候選'!$A$7:$A$258,'能力升級候選'!$E$7:$E$258,"未評估",0))</x:f>
        <x:v>◎</x:v>
      </x:c>
      <x:c r="F34" s="37" t="str">
        <x:f>IF(COUNTIFS('事件與限制'!$C$7:$C$106,$A34,'事件與限制'!$E$7:$E$106,$C34,'事件與限制'!$M$7:$M$106,"暫停技能資格",'事件與限制'!$Q$7:$Q$106,"生效中")&gt;0,"資格暫停",IF($E34="未評估","未建立",_xlfn.XLOOKUP("ABIL|1004|LJT-PREP-MICROENDO",'主管核定中心'!$A$12:$A$372,'主管核定中心'!$K$12:$K$372,"待主管核定",0)))</x:f>
        <x:v>待主管核定</x:v>
      </x:c>
      <x:c r="G34" s="37" t="str">
        <x:v>初始能力基準</x:v>
      </x:c>
      <x:c r="H34" s="41" t="n">
        <x:v>46266</x:v>
      </x:c>
      <x:c r="I34" s="44" t="str">
        <x:f>_xlfn.XLOOKUP("ABIL|1004|LJT-PREP-MICROENDO",'主管核定中心'!$A$12:$A$372,'主管核定中心'!$I$12:$I$372,"",0)</x:f>
      </x:c>
      <x:c r="J34" s="46" t="str">
        <x:f>_xlfn.XLOOKUP("ABIL|1004|LJT-PREP-MICROENDO",'主管核定中心'!$A$12:$A$372,'主管核定中心'!$H$12:$H$372,"",0)</x:f>
      </x:c>
      <x:c r="K34" s="37" t="n">
        <x:v>38</x:v>
      </x:c>
      <x:c r="L34" s="37" t="str">
        <x:v>1004|LJT-PREP-MICROENDO</x:v>
      </x:c>
    </x:row>
    <x:row r="35">
      <x:c r="A35" s="37" t="str">
        <x:v>1004</x:v>
      </x:c>
      <x:c r="B35" s="37" t="str"/>
      <x:c r="C35" s="37" t="str">
        <x:v>LJT-PREP-IMPLANT</x:v>
      </x:c>
      <x:c r="D35" s="37" t="str">
        <x:v>植 牙</x:v>
      </x:c>
      <x:c r="E35" s="37" t="str">
        <x:f>IF(_xlfn.XLOOKUP("UPG|1004|LJT-PREP-IMPLANT",'能力升級候選'!$A$7:$A$258,'能力升級候選'!$R$7:$R$258,"",0)="已核定升級","◎",_xlfn.XLOOKUP("UPG|1004|LJT-PREP-IMPLANT",'能力升級候選'!$A$7:$A$258,'能力升級候選'!$E$7:$E$258,"未評估",0))</x:f>
        <x:v>◎</x:v>
      </x:c>
      <x:c r="F35" s="37" t="str">
        <x:f>IF(COUNTIFS('事件與限制'!$C$7:$C$106,$A35,'事件與限制'!$E$7:$E$106,$C35,'事件與限制'!$M$7:$M$106,"暫停技能資格",'事件與限制'!$Q$7:$Q$106,"生效中")&gt;0,"資格暫停",IF($E35="未評估","未建立",_xlfn.XLOOKUP("ABIL|1004|LJT-PREP-IMPLANT",'主管核定中心'!$A$12:$A$372,'主管核定中心'!$K$12:$K$372,"待主管核定",0)))</x:f>
        <x:v>待主管核定</x:v>
      </x:c>
      <x:c r="G35" s="37" t="str">
        <x:v>初始能力基準</x:v>
      </x:c>
      <x:c r="H35" s="41" t="n">
        <x:v>46266</x:v>
      </x:c>
      <x:c r="I35" s="44" t="str">
        <x:f>_xlfn.XLOOKUP("ABIL|1004|LJT-PREP-IMPLANT",'主管核定中心'!$A$12:$A$372,'主管核定中心'!$I$12:$I$372,"",0)</x:f>
      </x:c>
      <x:c r="J35" s="46" t="str">
        <x:f>_xlfn.XLOOKUP("ABIL|1004|LJT-PREP-IMPLANT",'主管核定中心'!$A$12:$A$372,'主管核定中心'!$H$12:$H$372,"",0)</x:f>
      </x:c>
      <x:c r="K35" s="37" t="n">
        <x:v>39</x:v>
      </x:c>
      <x:c r="L35" s="37" t="str">
        <x:v>1004|LJT-PREP-IMPLANT</x:v>
      </x:c>
    </x:row>
    <x:row r="36">
      <x:c r="A36" s="37" t="str">
        <x:v>1004</x:v>
      </x:c>
      <x:c r="B36" s="37" t="str"/>
      <x:c r="C36" s="37" t="str">
        <x:v>COMMON-RECORD</x:v>
      </x:c>
      <x:c r="D36" s="37" t="str">
        <x:v>病歷紀錄</x:v>
      </x:c>
      <x:c r="E36" s="37" t="str">
        <x:f>IF(_xlfn.XLOOKUP("UPG|1004|COMMON-RECORD",'能力升級候選'!$A$7:$A$258,'能力升級候選'!$R$7:$R$258,"",0)="已核定升級","◎",_xlfn.XLOOKUP("UPG|1004|COMMON-RECORD",'能力升級候選'!$A$7:$A$258,'能力升級候選'!$E$7:$E$258,"未評估",0))</x:f>
        <x:v>◎</x:v>
      </x:c>
      <x:c r="F36" s="37" t="str">
        <x:f>IF(COUNTIFS('事件與限制'!$C$7:$C$106,$A36,'事件與限制'!$E$7:$E$106,$C36,'事件與限制'!$M$7:$M$106,"暫停技能資格",'事件與限制'!$Q$7:$Q$106,"生效中")&gt;0,"資格暫停",IF($E36="未評估","未建立",_xlfn.XLOOKUP("ABIL|1004|COMMON-RECORD",'主管核定中心'!$A$12:$A$372,'主管核定中心'!$K$12:$K$372,"待主管核定",0)))</x:f>
        <x:v>待主管核定</x:v>
      </x:c>
      <x:c r="G36" s="37" t="str">
        <x:v>初始能力基準</x:v>
      </x:c>
      <x:c r="H36" s="41" t="n">
        <x:v>46266</x:v>
      </x:c>
      <x:c r="I36" s="44" t="str">
        <x:f>_xlfn.XLOOKUP("ABIL|1004|COMMON-RECORD",'主管核定中心'!$A$12:$A$372,'主管核定中心'!$I$12:$I$372,"",0)</x:f>
      </x:c>
      <x:c r="J36" s="46" t="str">
        <x:f>_xlfn.XLOOKUP("ABIL|1004|COMMON-RECORD",'主管核定中心'!$A$12:$A$372,'主管核定中心'!$H$12:$H$372,"",0)</x:f>
      </x:c>
      <x:c r="K36" s="37" t="n">
        <x:v>41</x:v>
      </x:c>
      <x:c r="L36" s="37" t="str">
        <x:v>1004|COMMON-RECORD</x:v>
      </x:c>
    </x:row>
    <x:row r="37">
      <x:c r="A37" s="37" t="str">
        <x:v>1004</x:v>
      </x:c>
      <x:c r="B37" s="37" t="str"/>
      <x:c r="C37" s="37" t="str">
        <x:v>COMMON-INSURANCE</x:v>
      </x:c>
      <x:c r="D37" s="37" t="str">
        <x:v>健保申報</x:v>
      </x:c>
      <x:c r="E37" s="37" t="str">
        <x:f>IF(_xlfn.XLOOKUP("UPG|1004|COMMON-INSURANCE",'能力升級候選'!$A$7:$A$258,'能力升級候選'!$R$7:$R$258,"",0)="已核定升級","◎",_xlfn.XLOOKUP("UPG|1004|COMMON-INSURANCE",'能力升級候選'!$A$7:$A$258,'能力升級候選'!$E$7:$E$258,"未評估",0))</x:f>
        <x:v>◎</x:v>
      </x:c>
      <x:c r="F37" s="37" t="str">
        <x:f>IF(COUNTIFS('事件與限制'!$C$7:$C$106,$A37,'事件與限制'!$E$7:$E$106,$C37,'事件與限制'!$M$7:$M$106,"暫停技能資格",'事件與限制'!$Q$7:$Q$106,"生效中")&gt;0,"資格暫停",IF($E37="未評估","未建立",_xlfn.XLOOKUP("ABIL|1004|COMMON-INSURANCE",'主管核定中心'!$A$12:$A$372,'主管核定中心'!$K$12:$K$372,"待主管核定",0)))</x:f>
        <x:v>待主管核定</x:v>
      </x:c>
      <x:c r="G37" s="37" t="str">
        <x:v>初始能力基準</x:v>
      </x:c>
      <x:c r="H37" s="41" t="n">
        <x:v>46266</x:v>
      </x:c>
      <x:c r="I37" s="44" t="str">
        <x:f>_xlfn.XLOOKUP("ABIL|1004|COMMON-INSURANCE",'主管核定中心'!$A$12:$A$372,'主管核定中心'!$I$12:$I$372,"",0)</x:f>
      </x:c>
      <x:c r="J37" s="46" t="str">
        <x:f>_xlfn.XLOOKUP("ABIL|1004|COMMON-INSURANCE",'主管核定中心'!$A$12:$A$372,'主管核定中心'!$H$12:$H$372,"",0)</x:f>
      </x:c>
      <x:c r="K37" s="37" t="n">
        <x:v>42</x:v>
      </x:c>
      <x:c r="L37" s="37" t="str">
        <x:v>1004|COMMON-INSURANCE</x:v>
      </x:c>
    </x:row>
    <x:row r="38">
      <x:c r="A38" s="37" t="str">
        <x:v>1004</x:v>
      </x:c>
      <x:c r="B38" s="37" t="str"/>
      <x:c r="C38" s="37" t="str">
        <x:v>COMMON-XRAY-RECORD</x:v>
      </x:c>
      <x:c r="D38" s="37" t="str">
        <x:v>X光片紀錄</x:v>
      </x:c>
      <x:c r="E38" s="37" t="str">
        <x:f>IF(_xlfn.XLOOKUP("UPG|1004|COMMON-XRAY-RECORD",'能力升級候選'!$A$7:$A$258,'能力升級候選'!$R$7:$R$258,"",0)="已核定升級","◎",_xlfn.XLOOKUP("UPG|1004|COMMON-XRAY-RECORD",'能力升級候選'!$A$7:$A$258,'能力升級候選'!$E$7:$E$258,"未評估",0))</x:f>
        <x:v>◎</x:v>
      </x:c>
      <x:c r="F38" s="37" t="str">
        <x:f>IF(COUNTIFS('事件與限制'!$C$7:$C$106,$A38,'事件與限制'!$E$7:$E$106,$C38,'事件與限制'!$M$7:$M$106,"暫停技能資格",'事件與限制'!$Q$7:$Q$106,"生效中")&gt;0,"資格暫停",IF($E38="未評估","未建立",_xlfn.XLOOKUP("ABIL|1004|COMMON-XRAY-RECORD",'主管核定中心'!$A$12:$A$372,'主管核定中心'!$K$12:$K$372,"待主管核定",0)))</x:f>
        <x:v>待主管核定</x:v>
      </x:c>
      <x:c r="G38" s="37" t="str">
        <x:v>初始能力基準</x:v>
      </x:c>
      <x:c r="H38" s="41" t="n">
        <x:v>46266</x:v>
      </x:c>
      <x:c r="I38" s="44" t="str">
        <x:f>_xlfn.XLOOKUP("ABIL|1004|COMMON-XRAY-RECORD",'主管核定中心'!$A$12:$A$372,'主管核定中心'!$I$12:$I$372,"",0)</x:f>
      </x:c>
      <x:c r="J38" s="46" t="str">
        <x:f>_xlfn.XLOOKUP("ABIL|1004|COMMON-XRAY-RECORD",'主管核定中心'!$A$12:$A$372,'主管核定中心'!$H$12:$H$372,"",0)</x:f>
      </x:c>
      <x:c r="K38" s="37" t="n">
        <x:v>43</x:v>
      </x:c>
      <x:c r="L38" s="37" t="str">
        <x:v>1004|COMMON-XRAY-RECORD</x:v>
      </x:c>
    </x:row>
    <x:row r="39">
      <x:c r="A39" s="37" t="str">
        <x:v>1004</x:v>
      </x:c>
      <x:c r="B39" s="37" t="str"/>
      <x:c r="C39" s="37" t="str">
        <x:v>COMMON-PA</x:v>
      </x:c>
      <x:c r="D39" s="37" t="str">
        <x:v>拍PA</x:v>
      </x:c>
      <x:c r="E39" s="37" t="str">
        <x:f>IF(_xlfn.XLOOKUP("UPG|1004|COMMON-PA",'能力升級候選'!$A$7:$A$258,'能力升級候選'!$R$7:$R$258,"",0)="已核定升級","◎",_xlfn.XLOOKUP("UPG|1004|COMMON-PA",'能力升級候選'!$A$7:$A$258,'能力升級候選'!$E$7:$E$258,"未評估",0))</x:f>
        <x:v>◎</x:v>
      </x:c>
      <x:c r="F39" s="37" t="str">
        <x:f>IF(COUNTIFS('事件與限制'!$C$7:$C$106,$A39,'事件與限制'!$E$7:$E$106,$C39,'事件與限制'!$M$7:$M$106,"暫停技能資格",'事件與限制'!$Q$7:$Q$106,"生效中")&gt;0,"資格暫停",IF($E39="未評估","未建立",_xlfn.XLOOKUP("ABIL|1004|COMMON-PA",'主管核定中心'!$A$12:$A$372,'主管核定中心'!$K$12:$K$372,"待主管核定",0)))</x:f>
        <x:v>待主管核定</x:v>
      </x:c>
      <x:c r="G39" s="37" t="str">
        <x:v>初始能力基準</x:v>
      </x:c>
      <x:c r="H39" s="41" t="n">
        <x:v>46266</x:v>
      </x:c>
      <x:c r="I39" s="44" t="str">
        <x:f>_xlfn.XLOOKUP("ABIL|1004|COMMON-PA",'主管核定中心'!$A$12:$A$372,'主管核定中心'!$I$12:$I$372,"",0)</x:f>
      </x:c>
      <x:c r="J39" s="46" t="str">
        <x:f>_xlfn.XLOOKUP("ABIL|1004|COMMON-PA",'主管核定中心'!$A$12:$A$372,'主管核定中心'!$H$12:$H$372,"",0)</x:f>
      </x:c>
      <x:c r="K39" s="37" t="n">
        <x:v>44</x:v>
      </x:c>
      <x:c r="L39" s="37" t="str">
        <x:v>1004|COMMON-PA</x:v>
      </x:c>
    </x:row>
    <x:row r="40">
      <x:c r="A40" s="37" t="str">
        <x:v>1004</x:v>
      </x:c>
      <x:c r="B40" s="37" t="str"/>
      <x:c r="C40" s="37" t="str">
        <x:v>COMMON-IOS</x:v>
      </x:c>
      <x:c r="D40" s="37" t="str">
        <x:v>口掃機運用</x:v>
      </x:c>
      <x:c r="E40" s="37" t="str">
        <x:f>IF(_xlfn.XLOOKUP("UPG|1004|COMMON-IOS",'能力升級候選'!$A$7:$A$258,'能力升級候選'!$R$7:$R$258,"",0)="已核定升級","◎",_xlfn.XLOOKUP("UPG|1004|COMMON-IOS",'能力升級候選'!$A$7:$A$258,'能力升級候選'!$E$7:$E$258,"未評估",0))</x:f>
        <x:v>◎</x:v>
      </x:c>
      <x:c r="F40" s="37" t="str">
        <x:f>IF(COUNTIFS('事件與限制'!$C$7:$C$106,$A40,'事件與限制'!$E$7:$E$106,$C40,'事件與限制'!$M$7:$M$106,"暫停技能資格",'事件與限制'!$Q$7:$Q$106,"生效中")&gt;0,"資格暫停",IF($E40="未評估","未建立",_xlfn.XLOOKUP("ABIL|1004|COMMON-IOS",'主管核定中心'!$A$12:$A$372,'主管核定中心'!$K$12:$K$372,"待主管核定",0)))</x:f>
        <x:v>待主管核定</x:v>
      </x:c>
      <x:c r="G40" s="37" t="str">
        <x:v>初始能力基準</x:v>
      </x:c>
      <x:c r="H40" s="41" t="n">
        <x:v>46266</x:v>
      </x:c>
      <x:c r="I40" s="44" t="str">
        <x:f>_xlfn.XLOOKUP("ABIL|1004|COMMON-IOS",'主管核定中心'!$A$12:$A$372,'主管核定中心'!$I$12:$I$372,"",0)</x:f>
      </x:c>
      <x:c r="J40" s="46" t="str">
        <x:f>_xlfn.XLOOKUP("ABIL|1004|COMMON-IOS",'主管核定中心'!$A$12:$A$372,'主管核定中心'!$H$12:$H$372,"",0)</x:f>
      </x:c>
      <x:c r="K40" s="37" t="n">
        <x:v>45</x:v>
      </x:c>
      <x:c r="L40" s="37" t="str">
        <x:v>1004|COMMON-IOS</x:v>
      </x:c>
    </x:row>
    <x:row r="41">
      <x:c r="A41" s="37" t="str">
        <x:v>1013</x:v>
      </x:c>
      <x:c r="B41" s="37" t="str"/>
      <x:c r="C41" s="37" t="str">
        <x:v>LJT-PREP-SCALING</x:v>
      </x:c>
      <x:c r="D41" s="37" t="str">
        <x:v>洗牙</x:v>
      </x:c>
      <x:c r="E41" s="37" t="str">
        <x:f>IF(_xlfn.XLOOKUP("UPG|1013|LJT-PREP-SCALING",'能力升級候選'!$A$7:$A$258,'能力升級候選'!$R$7:$R$258,"",0)="已核定升級","◎",_xlfn.XLOOKUP("UPG|1013|LJT-PREP-SCALING",'能力升級候選'!$A$7:$A$258,'能力升級候選'!$E$7:$E$258,"未評估",0))</x:f>
        <x:v>◎</x:v>
      </x:c>
      <x:c r="F41" s="37" t="str">
        <x:f>IF(COUNTIFS('事件與限制'!$C$7:$C$106,$A41,'事件與限制'!$E$7:$E$106,$C41,'事件與限制'!$M$7:$M$106,"暫停技能資格",'事件與限制'!$Q$7:$Q$106,"生效中")&gt;0,"資格暫停",IF($E41="未評估","未建立",_xlfn.XLOOKUP("ABIL|1013|LJT-PREP-SCALING",'主管核定中心'!$A$12:$A$372,'主管核定中心'!$K$12:$K$372,"待主管核定",0)))</x:f>
        <x:v>待主管核定</x:v>
      </x:c>
      <x:c r="G41" s="37" t="str">
        <x:v>初始能力基準</x:v>
      </x:c>
      <x:c r="H41" s="41" t="n">
        <x:v>46266</x:v>
      </x:c>
      <x:c r="I41" s="44" t="str">
        <x:f>_xlfn.XLOOKUP("ABIL|1013|LJT-PREP-SCALING",'主管核定中心'!$A$12:$A$372,'主管核定中心'!$I$12:$I$372,"",0)</x:f>
      </x:c>
      <x:c r="J41" s="46" t="str">
        <x:f>_xlfn.XLOOKUP("ABIL|1013|LJT-PREP-SCALING",'主管核定中心'!$A$12:$A$372,'主管核定中心'!$H$12:$H$372,"",0)</x:f>
      </x:c>
      <x:c r="K41" s="37" t="n">
        <x:v>28</x:v>
      </x:c>
      <x:c r="L41" s="37" t="str">
        <x:v>1013|LJT-PREP-SCALING</x:v>
      </x:c>
    </x:row>
    <x:row r="42">
      <x:c r="A42" s="37" t="str">
        <x:v>1013</x:v>
      </x:c>
      <x:c r="B42" s="37" t="str"/>
      <x:c r="C42" s="37" t="str">
        <x:v>LJT-PREP-FILLING</x:v>
      </x:c>
      <x:c r="D42" s="37" t="str">
        <x:v>補牙</x:v>
      </x:c>
      <x:c r="E42" s="37" t="str">
        <x:f>IF(_xlfn.XLOOKUP("UPG|1013|LJT-PREP-FILLING",'能力升級候選'!$A$7:$A$258,'能力升級候選'!$R$7:$R$258,"",0)="已核定升級","◎",_xlfn.XLOOKUP("UPG|1013|LJT-PREP-FILLING",'能力升級候選'!$A$7:$A$258,'能力升級候選'!$E$7:$E$258,"未評估",0))</x:f>
        <x:v>◎</x:v>
      </x:c>
      <x:c r="F42" s="37" t="str">
        <x:f>IF(COUNTIFS('事件與限制'!$C$7:$C$106,$A42,'事件與限制'!$E$7:$E$106,$C42,'事件與限制'!$M$7:$M$106,"暫停技能資格",'事件與限制'!$Q$7:$Q$106,"生效中")&gt;0,"資格暫停",IF($E42="未評估","未建立",_xlfn.XLOOKUP("ABIL|1013|LJT-PREP-FILLING",'主管核定中心'!$A$12:$A$372,'主管核定中心'!$K$12:$K$372,"待主管核定",0)))</x:f>
        <x:v>待主管核定</x:v>
      </x:c>
      <x:c r="G42" s="37" t="str">
        <x:v>初始能力基準</x:v>
      </x:c>
      <x:c r="H42" s="41" t="n">
        <x:v>46266</x:v>
      </x:c>
      <x:c r="I42" s="44" t="str">
        <x:f>_xlfn.XLOOKUP("ABIL|1013|LJT-PREP-FILLING",'主管核定中心'!$A$12:$A$372,'主管核定中心'!$I$12:$I$372,"",0)</x:f>
      </x:c>
      <x:c r="J42" s="46" t="str">
        <x:f>_xlfn.XLOOKUP("ABIL|1013|LJT-PREP-FILLING",'主管核定中心'!$A$12:$A$372,'主管核定中心'!$H$12:$H$372,"",0)</x:f>
      </x:c>
      <x:c r="K42" s="37" t="n">
        <x:v>29</x:v>
      </x:c>
      <x:c r="L42" s="37" t="str">
        <x:v>1013|LJT-PREP-FILLING</x:v>
      </x:c>
    </x:row>
    <x:row r="43">
      <x:c r="A43" s="37" t="str">
        <x:v>1013</x:v>
      </x:c>
      <x:c r="B43" s="37" t="str"/>
      <x:c r="C43" s="37" t="str">
        <x:v>LJT-PREP-PERIO</x:v>
      </x:c>
      <x:c r="D43" s="37" t="str">
        <x:v>牙周統合</x:v>
      </x:c>
      <x:c r="E43" s="37" t="str">
        <x:f>IF(_xlfn.XLOOKUP("UPG|1013|LJT-PREP-PERIO",'能力升級候選'!$A$7:$A$258,'能力升級候選'!$R$7:$R$258,"",0)="已核定升級","◎",_xlfn.XLOOKUP("UPG|1013|LJT-PREP-PERIO",'能力升級候選'!$A$7:$A$258,'能力升級候選'!$E$7:$E$258,"未評估",0))</x:f>
        <x:v>◎</x:v>
      </x:c>
      <x:c r="F43" s="37" t="str">
        <x:f>IF(COUNTIFS('事件與限制'!$C$7:$C$106,$A43,'事件與限制'!$E$7:$E$106,$C43,'事件與限制'!$M$7:$M$106,"暫停技能資格",'事件與限制'!$Q$7:$Q$106,"生效中")&gt;0,"資格暫停",IF($E43="未評估","未建立",_xlfn.XLOOKUP("ABIL|1013|LJT-PREP-PERIO",'主管核定中心'!$A$12:$A$372,'主管核定中心'!$K$12:$K$372,"待主管核定",0)))</x:f>
        <x:v>待主管核定</x:v>
      </x:c>
      <x:c r="G43" s="37" t="str">
        <x:v>初始能力基準</x:v>
      </x:c>
      <x:c r="H43" s="41" t="n">
        <x:v>46266</x:v>
      </x:c>
      <x:c r="I43" s="44" t="str">
        <x:f>_xlfn.XLOOKUP("ABIL|1013|LJT-PREP-PERIO",'主管核定中心'!$A$12:$A$372,'主管核定中心'!$I$12:$I$372,"",0)</x:f>
      </x:c>
      <x:c r="J43" s="46" t="str">
        <x:f>_xlfn.XLOOKUP("ABIL|1013|LJT-PREP-PERIO",'主管核定中心'!$A$12:$A$372,'主管核定中心'!$H$12:$H$372,"",0)</x:f>
      </x:c>
      <x:c r="K43" s="37" t="n">
        <x:v>30</x:v>
      </x:c>
      <x:c r="L43" s="37" t="str">
        <x:v>1013|LJT-PREP-PERIO</x:v>
      </x:c>
    </x:row>
    <x:row r="44">
      <x:c r="A44" s="37" t="str">
        <x:v>1013</x:v>
      </x:c>
      <x:c r="B44" s="37" t="str"/>
      <x:c r="C44" s="37" t="str">
        <x:v>LJT-PREP-RCT</x:v>
      </x:c>
      <x:c r="D44" s="37" t="str">
        <x:v>根管治療</x:v>
      </x:c>
      <x:c r="E44" s="37" t="str">
        <x:f>IF(_xlfn.XLOOKUP("UPG|1013|LJT-PREP-RCT",'能力升級候選'!$A$7:$A$258,'能力升級候選'!$R$7:$R$258,"",0)="已核定升級","◎",_xlfn.XLOOKUP("UPG|1013|LJT-PREP-RCT",'能力升級候選'!$A$7:$A$258,'能力升級候選'!$E$7:$E$258,"未評估",0))</x:f>
        <x:v>◎</x:v>
      </x:c>
      <x:c r="F44" s="37" t="str">
        <x:f>IF(COUNTIFS('事件與限制'!$C$7:$C$106,$A44,'事件與限制'!$E$7:$E$106,$C44,'事件與限制'!$M$7:$M$106,"暫停技能資格",'事件與限制'!$Q$7:$Q$106,"生效中")&gt;0,"資格暫停",IF($E44="未評估","未建立",_xlfn.XLOOKUP("ABIL|1013|LJT-PREP-RCT",'主管核定中心'!$A$12:$A$372,'主管核定中心'!$K$12:$K$372,"待主管核定",0)))</x:f>
        <x:v>待主管核定</x:v>
      </x:c>
      <x:c r="G44" s="37" t="str">
        <x:v>初始能力基準</x:v>
      </x:c>
      <x:c r="H44" s="41" t="n">
        <x:v>46266</x:v>
      </x:c>
      <x:c r="I44" s="44" t="str">
        <x:f>_xlfn.XLOOKUP("ABIL|1013|LJT-PREP-RCT",'主管核定中心'!$A$12:$A$372,'主管核定中心'!$I$12:$I$372,"",0)</x:f>
      </x:c>
      <x:c r="J44" s="46" t="str">
        <x:f>_xlfn.XLOOKUP("ABIL|1013|LJT-PREP-RCT",'主管核定中心'!$A$12:$A$372,'主管核定中心'!$H$12:$H$372,"",0)</x:f>
      </x:c>
      <x:c r="K44" s="37" t="n">
        <x:v>31</x:v>
      </x:c>
      <x:c r="L44" s="37" t="str">
        <x:v>1013|LJT-PREP-RCT</x:v>
      </x:c>
    </x:row>
    <x:row r="45">
      <x:c r="A45" s="37" t="str">
        <x:v>1013</x:v>
      </x:c>
      <x:c r="B45" s="37" t="str"/>
      <x:c r="C45" s="37" t="str">
        <x:v>LJT-PREP-EXTRACTION</x:v>
      </x:c>
      <x:c r="D45" s="37" t="str">
        <x:v>拔牙</x:v>
      </x:c>
      <x:c r="E45" s="37" t="str">
        <x:f>IF(_xlfn.XLOOKUP("UPG|1013|LJT-PREP-EXTRACTION",'能力升級候選'!$A$7:$A$258,'能力升級候選'!$R$7:$R$258,"",0)="已核定升級","◎",_xlfn.XLOOKUP("UPG|1013|LJT-PREP-EXTRACTION",'能力升級候選'!$A$7:$A$258,'能力升級候選'!$E$7:$E$258,"未評估",0))</x:f>
        <x:v>◎</x:v>
      </x:c>
      <x:c r="F45" s="37" t="str">
        <x:f>IF(COUNTIFS('事件與限制'!$C$7:$C$106,$A45,'事件與限制'!$E$7:$E$106,$C45,'事件與限制'!$M$7:$M$106,"暫停技能資格",'事件與限制'!$Q$7:$Q$106,"生效中")&gt;0,"資格暫停",IF($E45="未評估","未建立",_xlfn.XLOOKUP("ABIL|1013|LJT-PREP-EXTRACTION",'主管核定中心'!$A$12:$A$372,'主管核定中心'!$K$12:$K$372,"待主管核定",0)))</x:f>
        <x:v>待主管核定</x:v>
      </x:c>
      <x:c r="G45" s="37" t="str">
        <x:v>初始能力基準</x:v>
      </x:c>
      <x:c r="H45" s="41" t="n">
        <x:v>46266</x:v>
      </x:c>
      <x:c r="I45" s="44" t="str">
        <x:f>_xlfn.XLOOKUP("ABIL|1013|LJT-PREP-EXTRACTION",'主管核定中心'!$A$12:$A$372,'主管核定中心'!$I$12:$I$372,"",0)</x:f>
      </x:c>
      <x:c r="J45" s="46" t="str">
        <x:f>_xlfn.XLOOKUP("ABIL|1013|LJT-PREP-EXTRACTION",'主管核定中心'!$A$12:$A$372,'主管核定中心'!$H$12:$H$372,"",0)</x:f>
      </x:c>
      <x:c r="K45" s="37" t="n">
        <x:v>32</x:v>
      </x:c>
      <x:c r="L45" s="37" t="str">
        <x:v>1013|LJT-PREP-EXTRACTION</x:v>
      </x:c>
    </x:row>
    <x:row r="46">
      <x:c r="A46" s="37" t="str">
        <x:v>1013</x:v>
      </x:c>
      <x:c r="B46" s="37" t="str"/>
      <x:c r="C46" s="37" t="str">
        <x:v>LJT-PREP-CROWNPOST</x:v>
      </x:c>
      <x:c r="D46" s="37" t="str">
        <x:v>拆 crown/post</x:v>
      </x:c>
      <x:c r="E46" s="37" t="str">
        <x:f>IF(_xlfn.XLOOKUP("UPG|1013|LJT-PREP-CROWNPOST",'能力升級候選'!$A$7:$A$258,'能力升級候選'!$R$7:$R$258,"",0)="已核定升級","◎",_xlfn.XLOOKUP("UPG|1013|LJT-PREP-CROWNPOST",'能力升級候選'!$A$7:$A$258,'能力升級候選'!$E$7:$E$258,"未評估",0))</x:f>
        <x:v>◎</x:v>
      </x:c>
      <x:c r="F46" s="37" t="str">
        <x:f>IF(COUNTIFS('事件與限制'!$C$7:$C$106,$A46,'事件與限制'!$E$7:$E$106,$C46,'事件與限制'!$M$7:$M$106,"暫停技能資格",'事件與限制'!$Q$7:$Q$106,"生效中")&gt;0,"資格暫停",IF($E46="未評估","未建立",_xlfn.XLOOKUP("ABIL|1013|LJT-PREP-CROWNPOST",'主管核定中心'!$A$12:$A$372,'主管核定中心'!$K$12:$K$372,"待主管核定",0)))</x:f>
        <x:v>待主管核定</x:v>
      </x:c>
      <x:c r="G46" s="37" t="str">
        <x:v>初始能力基準</x:v>
      </x:c>
      <x:c r="H46" s="41" t="n">
        <x:v>46266</x:v>
      </x:c>
      <x:c r="I46" s="44" t="str">
        <x:f>_xlfn.XLOOKUP("ABIL|1013|LJT-PREP-CROWNPOST",'主管核定中心'!$A$12:$A$372,'主管核定中心'!$I$12:$I$372,"",0)</x:f>
      </x:c>
      <x:c r="J46" s="46" t="str">
        <x:f>_xlfn.XLOOKUP("ABIL|1013|LJT-PREP-CROWNPOST",'主管核定中心'!$A$12:$A$372,'主管核定中心'!$H$12:$H$372,"",0)</x:f>
      </x:c>
      <x:c r="K46" s="37" t="n">
        <x:v>33</x:v>
      </x:c>
      <x:c r="L46" s="37" t="str">
        <x:v>1013|LJT-PREP-CROWNPOST</x:v>
      </x:c>
    </x:row>
    <x:row r="47">
      <x:c r="A47" s="37" t="str">
        <x:v>1013</x:v>
      </x:c>
      <x:c r="B47" s="37" t="str"/>
      <x:c r="C47" s="37" t="str">
        <x:v>LJT-PREP-CROWN</x:v>
      </x:c>
      <x:c r="D47" s="37" t="str">
        <x:v>固定假牙</x:v>
      </x:c>
      <x:c r="E47" s="37" t="str">
        <x:f>IF(_xlfn.XLOOKUP("UPG|1013|LJT-PREP-CROWN",'能力升級候選'!$A$7:$A$258,'能力升級候選'!$R$7:$R$258,"",0)="已核定升級","◎",_xlfn.XLOOKUP("UPG|1013|LJT-PREP-CROWN",'能力升級候選'!$A$7:$A$258,'能力升級候選'!$E$7:$E$258,"未評估",0))</x:f>
        <x:v>◎</x:v>
      </x:c>
      <x:c r="F47" s="37" t="str">
        <x:f>IF(COUNTIFS('事件與限制'!$C$7:$C$106,$A47,'事件與限制'!$E$7:$E$106,$C47,'事件與限制'!$M$7:$M$106,"暫停技能資格",'事件與限制'!$Q$7:$Q$106,"生效中")&gt;0,"資格暫停",IF($E47="未評估","未建立",_xlfn.XLOOKUP("ABIL|1013|LJT-PREP-CROWN",'主管核定中心'!$A$12:$A$372,'主管核定中心'!$K$12:$K$372,"待主管核定",0)))</x:f>
        <x:v>待主管核定</x:v>
      </x:c>
      <x:c r="G47" s="37" t="str">
        <x:v>初始能力基準</x:v>
      </x:c>
      <x:c r="H47" s="41" t="n">
        <x:v>46266</x:v>
      </x:c>
      <x:c r="I47" s="44" t="str">
        <x:f>_xlfn.XLOOKUP("ABIL|1013|LJT-PREP-CROWN",'主管核定中心'!$A$12:$A$372,'主管核定中心'!$I$12:$I$372,"",0)</x:f>
      </x:c>
      <x:c r="J47" s="46" t="str">
        <x:f>_xlfn.XLOOKUP("ABIL|1013|LJT-PREP-CROWN",'主管核定中心'!$A$12:$A$372,'主管核定中心'!$H$12:$H$372,"",0)</x:f>
      </x:c>
      <x:c r="K47" s="37" t="n">
        <x:v>34</x:v>
      </x:c>
      <x:c r="L47" s="37" t="str">
        <x:v>1013|LJT-PREP-CROWN</x:v>
      </x:c>
    </x:row>
    <x:row r="48">
      <x:c r="A48" s="37" t="str">
        <x:v>1013</x:v>
      </x:c>
      <x:c r="B48" s="37" t="str"/>
      <x:c r="C48" s="37" t="str">
        <x:v>LJT-PREP-RPD</x:v>
      </x:c>
      <x:c r="D48" s="37" t="str">
        <x:v>RPD</x:v>
      </x:c>
      <x:c r="E48" s="37" t="str">
        <x:f>IF(_xlfn.XLOOKUP("UPG|1013|LJT-PREP-RPD",'能力升級候選'!$A$7:$A$258,'能力升級候選'!$R$7:$R$258,"",0)="已核定升級","◎",_xlfn.XLOOKUP("UPG|1013|LJT-PREP-RPD",'能力升級候選'!$A$7:$A$258,'能力升級候選'!$E$7:$E$258,"未評估",0))</x:f>
        <x:v>◎</x:v>
      </x:c>
      <x:c r="F48" s="37" t="str">
        <x:f>IF(COUNTIFS('事件與限制'!$C$7:$C$106,$A48,'事件與限制'!$E$7:$E$106,$C48,'事件與限制'!$M$7:$M$106,"暫停技能資格",'事件與限制'!$Q$7:$Q$106,"生效中")&gt;0,"資格暫停",IF($E48="未評估","未建立",_xlfn.XLOOKUP("ABIL|1013|LJT-PREP-RPD",'主管核定中心'!$A$12:$A$372,'主管核定中心'!$K$12:$K$372,"待主管核定",0)))</x:f>
        <x:v>待主管核定</x:v>
      </x:c>
      <x:c r="G48" s="37" t="str">
        <x:v>初始能力基準</x:v>
      </x:c>
      <x:c r="H48" s="41" t="n">
        <x:v>46266</x:v>
      </x:c>
      <x:c r="I48" s="44" t="str">
        <x:f>_xlfn.XLOOKUP("ABIL|1013|LJT-PREP-RPD",'主管核定中心'!$A$12:$A$372,'主管核定中心'!$I$12:$I$372,"",0)</x:f>
      </x:c>
      <x:c r="J48" s="46" t="str">
        <x:f>_xlfn.XLOOKUP("ABIL|1013|LJT-PREP-RPD",'主管核定中心'!$A$12:$A$372,'主管核定中心'!$H$12:$H$372,"",0)</x:f>
      </x:c>
      <x:c r="K48" s="37" t="n">
        <x:v>35</x:v>
      </x:c>
      <x:c r="L48" s="37" t="str">
        <x:v>1013|LJT-PREP-RPD</x:v>
      </x:c>
    </x:row>
    <x:row r="49">
      <x:c r="A49" s="37" t="str">
        <x:v>1013</x:v>
      </x:c>
      <x:c r="B49" s="37" t="str"/>
      <x:c r="C49" s="37" t="str">
        <x:v>LJT-PREP-AIRPOLISH</x:v>
      </x:c>
      <x:c r="D49" s="37" t="str">
        <x:v>噴砂美白</x:v>
      </x:c>
      <x:c r="E49" s="37" t="str">
        <x:f>IF(_xlfn.XLOOKUP("UPG|1013|LJT-PREP-AIRPOLISH",'能力升級候選'!$A$7:$A$258,'能力升級候選'!$R$7:$R$258,"",0)="已核定升級","◎",_xlfn.XLOOKUP("UPG|1013|LJT-PREP-AIRPOLISH",'能力升級候選'!$A$7:$A$258,'能力升級候選'!$E$7:$E$258,"未評估",0))</x:f>
        <x:v>◎</x:v>
      </x:c>
      <x:c r="F49" s="37" t="str">
        <x:f>IF(COUNTIFS('事件與限制'!$C$7:$C$106,$A49,'事件與限制'!$E$7:$E$106,$C49,'事件與限制'!$M$7:$M$106,"暫停技能資格",'事件與限制'!$Q$7:$Q$106,"生效中")&gt;0,"資格暫停",IF($E49="未評估","未建立",_xlfn.XLOOKUP("ABIL|1013|LJT-PREP-AIRPOLISH",'主管核定中心'!$A$12:$A$372,'主管核定中心'!$K$12:$K$372,"待主管核定",0)))</x:f>
        <x:v>待主管核定</x:v>
      </x:c>
      <x:c r="G49" s="37" t="str">
        <x:v>初始能力基準</x:v>
      </x:c>
      <x:c r="H49" s="41" t="n">
        <x:v>46266</x:v>
      </x:c>
      <x:c r="I49" s="44" t="str">
        <x:f>_xlfn.XLOOKUP("ABIL|1013|LJT-PREP-AIRPOLISH",'主管核定中心'!$A$12:$A$372,'主管核定中心'!$I$12:$I$372,"",0)</x:f>
      </x:c>
      <x:c r="J49" s="46" t="str">
        <x:f>_xlfn.XLOOKUP("ABIL|1013|LJT-PREP-AIRPOLISH",'主管核定中心'!$A$12:$A$372,'主管核定中心'!$H$12:$H$372,"",0)</x:f>
      </x:c>
      <x:c r="K49" s="37" t="n">
        <x:v>36</x:v>
      </x:c>
      <x:c r="L49" s="37" t="str">
        <x:v>1013|LJT-PREP-AIRPOLISH</x:v>
      </x:c>
    </x:row>
    <x:row r="50">
      <x:c r="A50" s="37" t="str">
        <x:v>1013</x:v>
      </x:c>
      <x:c r="B50" s="37" t="str"/>
      <x:c r="C50" s="37" t="str">
        <x:v>LJT-PREP-PERIOSURG</x:v>
      </x:c>
      <x:c r="D50" s="37" t="str">
        <x:v>牙周手術</x:v>
      </x:c>
      <x:c r="E50" s="37" t="str">
        <x:f>IF(_xlfn.XLOOKUP("UPG|1013|LJT-PREP-PERIOSURG",'能力升級候選'!$A$7:$A$258,'能力升級候選'!$R$7:$R$258,"",0)="已核定升級","◎",_xlfn.XLOOKUP("UPG|1013|LJT-PREP-PERIOSURG",'能力升級候選'!$A$7:$A$258,'能力升級候選'!$E$7:$E$258,"未評估",0))</x:f>
        <x:v>◎</x:v>
      </x:c>
      <x:c r="F50" s="37" t="str">
        <x:f>IF(COUNTIFS('事件與限制'!$C$7:$C$106,$A50,'事件與限制'!$E$7:$E$106,$C50,'事件與限制'!$M$7:$M$106,"暫停技能資格",'事件與限制'!$Q$7:$Q$106,"生效中")&gt;0,"資格暫停",IF($E50="未評估","未建立",_xlfn.XLOOKUP("ABIL|1013|LJT-PREP-PERIOSURG",'主管核定中心'!$A$12:$A$372,'主管核定中心'!$K$12:$K$372,"待主管核定",0)))</x:f>
        <x:v>待主管核定</x:v>
      </x:c>
      <x:c r="G50" s="37" t="str">
        <x:v>初始能力基準</x:v>
      </x:c>
      <x:c r="H50" s="41" t="n">
        <x:v>46266</x:v>
      </x:c>
      <x:c r="I50" s="44" t="str">
        <x:f>_xlfn.XLOOKUP("ABIL|1013|LJT-PREP-PERIOSURG",'主管核定中心'!$A$12:$A$372,'主管核定中心'!$I$12:$I$372,"",0)</x:f>
      </x:c>
      <x:c r="J50" s="46" t="str">
        <x:f>_xlfn.XLOOKUP("ABIL|1013|LJT-PREP-PERIOSURG",'主管核定中心'!$A$12:$A$372,'主管核定中心'!$H$12:$H$372,"",0)</x:f>
      </x:c>
      <x:c r="K50" s="37" t="n">
        <x:v>37</x:v>
      </x:c>
      <x:c r="L50" s="37" t="str">
        <x:v>1013|LJT-PREP-PERIOSURG</x:v>
      </x:c>
    </x:row>
    <x:row r="51">
      <x:c r="A51" s="37" t="str">
        <x:v>1013</x:v>
      </x:c>
      <x:c r="B51" s="37" t="str"/>
      <x:c r="C51" s="37" t="str">
        <x:v>LJT-PREP-MICROENDO</x:v>
      </x:c>
      <x:c r="D51" s="37" t="str">
        <x:v>顯微根管</x:v>
      </x:c>
      <x:c r="E51" s="37" t="str">
        <x:f>IF(_xlfn.XLOOKUP("UPG|1013|LJT-PREP-MICROENDO",'能力升級候選'!$A$7:$A$258,'能力升級候選'!$R$7:$R$258,"",0)="已核定升級","◎",_xlfn.XLOOKUP("UPG|1013|LJT-PREP-MICROENDO",'能力升級候選'!$A$7:$A$258,'能力升級候選'!$E$7:$E$258,"未評估",0))</x:f>
        <x:v>◎</x:v>
      </x:c>
      <x:c r="F51" s="37" t="str">
        <x:f>IF(COUNTIFS('事件與限制'!$C$7:$C$106,$A51,'事件與限制'!$E$7:$E$106,$C51,'事件與限制'!$M$7:$M$106,"暫停技能資格",'事件與限制'!$Q$7:$Q$106,"生效中")&gt;0,"資格暫停",IF($E51="未評估","未建立",_xlfn.XLOOKUP("ABIL|1013|LJT-PREP-MICROENDO",'主管核定中心'!$A$12:$A$372,'主管核定中心'!$K$12:$K$372,"待主管核定",0)))</x:f>
        <x:v>待主管核定</x:v>
      </x:c>
      <x:c r="G51" s="37" t="str">
        <x:v>初始能力基準</x:v>
      </x:c>
      <x:c r="H51" s="41" t="n">
        <x:v>46266</x:v>
      </x:c>
      <x:c r="I51" s="44" t="str">
        <x:f>_xlfn.XLOOKUP("ABIL|1013|LJT-PREP-MICROENDO",'主管核定中心'!$A$12:$A$372,'主管核定中心'!$I$12:$I$372,"",0)</x:f>
      </x:c>
      <x:c r="J51" s="46" t="str">
        <x:f>_xlfn.XLOOKUP("ABIL|1013|LJT-PREP-MICROENDO",'主管核定中心'!$A$12:$A$372,'主管核定中心'!$H$12:$H$372,"",0)</x:f>
      </x:c>
      <x:c r="K51" s="37" t="n">
        <x:v>38</x:v>
      </x:c>
      <x:c r="L51" s="37" t="str">
        <x:v>1013|LJT-PREP-MICROENDO</x:v>
      </x:c>
    </x:row>
    <x:row r="52">
      <x:c r="A52" s="37" t="str">
        <x:v>1013</x:v>
      </x:c>
      <x:c r="B52" s="37" t="str"/>
      <x:c r="C52" s="37" t="str">
        <x:v>LJT-PREP-IMPLANT</x:v>
      </x:c>
      <x:c r="D52" s="37" t="str">
        <x:v>植 牙</x:v>
      </x:c>
      <x:c r="E52" s="37" t="str">
        <x:f>IF(_xlfn.XLOOKUP("UPG|1013|LJT-PREP-IMPLANT",'能力升級候選'!$A$7:$A$258,'能力升級候選'!$R$7:$R$258,"",0)="已核定升級","◎",_xlfn.XLOOKUP("UPG|1013|LJT-PREP-IMPLANT",'能力升級候選'!$A$7:$A$258,'能力升級候選'!$E$7:$E$258,"未評估",0))</x:f>
        <x:v>◎</x:v>
      </x:c>
      <x:c r="F52" s="37" t="str">
        <x:f>IF(COUNTIFS('事件與限制'!$C$7:$C$106,$A52,'事件與限制'!$E$7:$E$106,$C52,'事件與限制'!$M$7:$M$106,"暫停技能資格",'事件與限制'!$Q$7:$Q$106,"生效中")&gt;0,"資格暫停",IF($E52="未評估","未建立",_xlfn.XLOOKUP("ABIL|1013|LJT-PREP-IMPLANT",'主管核定中心'!$A$12:$A$372,'主管核定中心'!$K$12:$K$372,"待主管核定",0)))</x:f>
        <x:v>待主管核定</x:v>
      </x:c>
      <x:c r="G52" s="37" t="str">
        <x:v>初始能力基準</x:v>
      </x:c>
      <x:c r="H52" s="41" t="n">
        <x:v>46266</x:v>
      </x:c>
      <x:c r="I52" s="44" t="str">
        <x:f>_xlfn.XLOOKUP("ABIL|1013|LJT-PREP-IMPLANT",'主管核定中心'!$A$12:$A$372,'主管核定中心'!$I$12:$I$372,"",0)</x:f>
      </x:c>
      <x:c r="J52" s="46" t="str">
        <x:f>_xlfn.XLOOKUP("ABIL|1013|LJT-PREP-IMPLANT",'主管核定中心'!$A$12:$A$372,'主管核定中心'!$H$12:$H$372,"",0)</x:f>
      </x:c>
      <x:c r="K52" s="37" t="n">
        <x:v>39</x:v>
      </x:c>
      <x:c r="L52" s="37" t="str">
        <x:v>1013|LJT-PREP-IMPLANT</x:v>
      </x:c>
    </x:row>
    <x:row r="53">
      <x:c r="A53" s="37" t="str">
        <x:v>1013</x:v>
      </x:c>
      <x:c r="B53" s="37" t="str"/>
      <x:c r="C53" s="37" t="str">
        <x:v>COMMON-RECORD</x:v>
      </x:c>
      <x:c r="D53" s="37" t="str">
        <x:v>病歷紀錄</x:v>
      </x:c>
      <x:c r="E53" s="37" t="str">
        <x:f>IF(_xlfn.XLOOKUP("UPG|1013|COMMON-RECORD",'能力升級候選'!$A$7:$A$258,'能力升級候選'!$R$7:$R$258,"",0)="已核定升級","◎",_xlfn.XLOOKUP("UPG|1013|COMMON-RECORD",'能力升級候選'!$A$7:$A$258,'能力升級候選'!$E$7:$E$258,"未評估",0))</x:f>
        <x:v>◎</x:v>
      </x:c>
      <x:c r="F53" s="37" t="str">
        <x:f>IF(COUNTIFS('事件與限制'!$C$7:$C$106,$A53,'事件與限制'!$E$7:$E$106,$C53,'事件與限制'!$M$7:$M$106,"暫停技能資格",'事件與限制'!$Q$7:$Q$106,"生效中")&gt;0,"資格暫停",IF($E53="未評估","未建立",_xlfn.XLOOKUP("ABIL|1013|COMMON-RECORD",'主管核定中心'!$A$12:$A$372,'主管核定中心'!$K$12:$K$372,"待主管核定",0)))</x:f>
        <x:v>待主管核定</x:v>
      </x:c>
      <x:c r="G53" s="37" t="str">
        <x:v>初始能力基準</x:v>
      </x:c>
      <x:c r="H53" s="41" t="n">
        <x:v>46266</x:v>
      </x:c>
      <x:c r="I53" s="44" t="str">
        <x:f>_xlfn.XLOOKUP("ABIL|1013|COMMON-RECORD",'主管核定中心'!$A$12:$A$372,'主管核定中心'!$I$12:$I$372,"",0)</x:f>
      </x:c>
      <x:c r="J53" s="46" t="str">
        <x:f>_xlfn.XLOOKUP("ABIL|1013|COMMON-RECORD",'主管核定中心'!$A$12:$A$372,'主管核定中心'!$H$12:$H$372,"",0)</x:f>
      </x:c>
      <x:c r="K53" s="37" t="n">
        <x:v>41</x:v>
      </x:c>
      <x:c r="L53" s="37" t="str">
        <x:v>1013|COMMON-RECORD</x:v>
      </x:c>
    </x:row>
    <x:row r="54">
      <x:c r="A54" s="37" t="str">
        <x:v>1013</x:v>
      </x:c>
      <x:c r="B54" s="37" t="str"/>
      <x:c r="C54" s="37" t="str">
        <x:v>COMMON-INSURANCE</x:v>
      </x:c>
      <x:c r="D54" s="37" t="str">
        <x:v>健保申報</x:v>
      </x:c>
      <x:c r="E54" s="37" t="str">
        <x:f>IF(_xlfn.XLOOKUP("UPG|1013|COMMON-INSURANCE",'能力升級候選'!$A$7:$A$258,'能力升級候選'!$R$7:$R$258,"",0)="已核定升級","◎",_xlfn.XLOOKUP("UPG|1013|COMMON-INSURANCE",'能力升級候選'!$A$7:$A$258,'能力升級候選'!$E$7:$E$258,"未評估",0))</x:f>
        <x:v>◎</x:v>
      </x:c>
      <x:c r="F54" s="37" t="str">
        <x:f>IF(COUNTIFS('事件與限制'!$C$7:$C$106,$A54,'事件與限制'!$E$7:$E$106,$C54,'事件與限制'!$M$7:$M$106,"暫停技能資格",'事件與限制'!$Q$7:$Q$106,"生效中")&gt;0,"資格暫停",IF($E54="未評估","未建立",_xlfn.XLOOKUP("ABIL|1013|COMMON-INSURANCE",'主管核定中心'!$A$12:$A$372,'主管核定中心'!$K$12:$K$372,"待主管核定",0)))</x:f>
        <x:v>待主管核定</x:v>
      </x:c>
      <x:c r="G54" s="37" t="str">
        <x:v>初始能力基準</x:v>
      </x:c>
      <x:c r="H54" s="41" t="n">
        <x:v>46266</x:v>
      </x:c>
      <x:c r="I54" s="44" t="str">
        <x:f>_xlfn.XLOOKUP("ABIL|1013|COMMON-INSURANCE",'主管核定中心'!$A$12:$A$372,'主管核定中心'!$I$12:$I$372,"",0)</x:f>
      </x:c>
      <x:c r="J54" s="46" t="str">
        <x:f>_xlfn.XLOOKUP("ABIL|1013|COMMON-INSURANCE",'主管核定中心'!$A$12:$A$372,'主管核定中心'!$H$12:$H$372,"",0)</x:f>
      </x:c>
      <x:c r="K54" s="37" t="n">
        <x:v>42</x:v>
      </x:c>
      <x:c r="L54" s="37" t="str">
        <x:v>1013|COMMON-INSURANCE</x:v>
      </x:c>
    </x:row>
    <x:row r="55">
      <x:c r="A55" s="37" t="str">
        <x:v>1013</x:v>
      </x:c>
      <x:c r="B55" s="37" t="str"/>
      <x:c r="C55" s="37" t="str">
        <x:v>COMMON-XRAY-RECORD</x:v>
      </x:c>
      <x:c r="D55" s="37" t="str">
        <x:v>X光片紀錄</x:v>
      </x:c>
      <x:c r="E55" s="37" t="str">
        <x:f>IF(_xlfn.XLOOKUP("UPG|1013|COMMON-XRAY-RECORD",'能力升級候選'!$A$7:$A$258,'能力升級候選'!$R$7:$R$258,"",0)="已核定升級","◎",_xlfn.XLOOKUP("UPG|1013|COMMON-XRAY-RECORD",'能力升級候選'!$A$7:$A$258,'能力升級候選'!$E$7:$E$258,"未評估",0))</x:f>
        <x:v>◎</x:v>
      </x:c>
      <x:c r="F55" s="37" t="str">
        <x:f>IF(COUNTIFS('事件與限制'!$C$7:$C$106,$A55,'事件與限制'!$E$7:$E$106,$C55,'事件與限制'!$M$7:$M$106,"暫停技能資格",'事件與限制'!$Q$7:$Q$106,"生效中")&gt;0,"資格暫停",IF($E55="未評估","未建立",_xlfn.XLOOKUP("ABIL|1013|COMMON-XRAY-RECORD",'主管核定中心'!$A$12:$A$372,'主管核定中心'!$K$12:$K$372,"待主管核定",0)))</x:f>
        <x:v>待主管核定</x:v>
      </x:c>
      <x:c r="G55" s="37" t="str">
        <x:v>初始能力基準</x:v>
      </x:c>
      <x:c r="H55" s="41" t="n">
        <x:v>46266</x:v>
      </x:c>
      <x:c r="I55" s="44" t="str">
        <x:f>_xlfn.XLOOKUP("ABIL|1013|COMMON-XRAY-RECORD",'主管核定中心'!$A$12:$A$372,'主管核定中心'!$I$12:$I$372,"",0)</x:f>
      </x:c>
      <x:c r="J55" s="46" t="str">
        <x:f>_xlfn.XLOOKUP("ABIL|1013|COMMON-XRAY-RECORD",'主管核定中心'!$A$12:$A$372,'主管核定中心'!$H$12:$H$372,"",0)</x:f>
      </x:c>
      <x:c r="K55" s="37" t="n">
        <x:v>43</x:v>
      </x:c>
      <x:c r="L55" s="37" t="str">
        <x:v>1013|COMMON-XRAY-RECORD</x:v>
      </x:c>
    </x:row>
    <x:row r="56">
      <x:c r="A56" s="37" t="str">
        <x:v>1013</x:v>
      </x:c>
      <x:c r="B56" s="37" t="str"/>
      <x:c r="C56" s="37" t="str">
        <x:v>COMMON-PA</x:v>
      </x:c>
      <x:c r="D56" s="37" t="str">
        <x:v>拍PA</x:v>
      </x:c>
      <x:c r="E56" s="37" t="str">
        <x:f>IF(_xlfn.XLOOKUP("UPG|1013|COMMON-PA",'能力升級候選'!$A$7:$A$258,'能力升級候選'!$R$7:$R$258,"",0)="已核定升級","◎",_xlfn.XLOOKUP("UPG|1013|COMMON-PA",'能力升級候選'!$A$7:$A$258,'能力升級候選'!$E$7:$E$258,"未評估",0))</x:f>
        <x:v>◎</x:v>
      </x:c>
      <x:c r="F56" s="37" t="str">
        <x:f>IF(COUNTIFS('事件與限制'!$C$7:$C$106,$A56,'事件與限制'!$E$7:$E$106,$C56,'事件與限制'!$M$7:$M$106,"暫停技能資格",'事件與限制'!$Q$7:$Q$106,"生效中")&gt;0,"資格暫停",IF($E56="未評估","未建立",_xlfn.XLOOKUP("ABIL|1013|COMMON-PA",'主管核定中心'!$A$12:$A$372,'主管核定中心'!$K$12:$K$372,"待主管核定",0)))</x:f>
        <x:v>待主管核定</x:v>
      </x:c>
      <x:c r="G56" s="37" t="str">
        <x:v>初始能力基準</x:v>
      </x:c>
      <x:c r="H56" s="41" t="n">
        <x:v>46266</x:v>
      </x:c>
      <x:c r="I56" s="44" t="str">
        <x:f>_xlfn.XLOOKUP("ABIL|1013|COMMON-PA",'主管核定中心'!$A$12:$A$372,'主管核定中心'!$I$12:$I$372,"",0)</x:f>
      </x:c>
      <x:c r="J56" s="46" t="str">
        <x:f>_xlfn.XLOOKUP("ABIL|1013|COMMON-PA",'主管核定中心'!$A$12:$A$372,'主管核定中心'!$H$12:$H$372,"",0)</x:f>
      </x:c>
      <x:c r="K56" s="37" t="n">
        <x:v>44</x:v>
      </x:c>
      <x:c r="L56" s="37" t="str">
        <x:v>1013|COMMON-PA</x:v>
      </x:c>
    </x:row>
    <x:row r="57">
      <x:c r="A57" s="37" t="str">
        <x:v>1013</x:v>
      </x:c>
      <x:c r="B57" s="37" t="str"/>
      <x:c r="C57" s="37" t="str">
        <x:v>COMMON-IOS</x:v>
      </x:c>
      <x:c r="D57" s="37" t="str">
        <x:v>口掃機運用</x:v>
      </x:c>
      <x:c r="E57" s="37" t="str">
        <x:f>IF(_xlfn.XLOOKUP("UPG|1013|COMMON-IOS",'能力升級候選'!$A$7:$A$258,'能力升級候選'!$R$7:$R$258,"",0)="已核定升級","◎",_xlfn.XLOOKUP("UPG|1013|COMMON-IOS",'能力升級候選'!$A$7:$A$258,'能力升級候選'!$E$7:$E$258,"未評估",0))</x:f>
        <x:v>◎</x:v>
      </x:c>
      <x:c r="F57" s="37" t="str">
        <x:f>IF(COUNTIFS('事件與限制'!$C$7:$C$106,$A57,'事件與限制'!$E$7:$E$106,$C57,'事件與限制'!$M$7:$M$106,"暫停技能資格",'事件與限制'!$Q$7:$Q$106,"生效中")&gt;0,"資格暫停",IF($E57="未評估","未建立",_xlfn.XLOOKUP("ABIL|1013|COMMON-IOS",'主管核定中心'!$A$12:$A$372,'主管核定中心'!$K$12:$K$372,"待主管核定",0)))</x:f>
        <x:v>待主管核定</x:v>
      </x:c>
      <x:c r="G57" s="37" t="str">
        <x:v>初始能力基準</x:v>
      </x:c>
      <x:c r="H57" s="41" t="n">
        <x:v>46266</x:v>
      </x:c>
      <x:c r="I57" s="44" t="str">
        <x:f>_xlfn.XLOOKUP("ABIL|1013|COMMON-IOS",'主管核定中心'!$A$12:$A$372,'主管核定中心'!$I$12:$I$372,"",0)</x:f>
      </x:c>
      <x:c r="J57" s="46" t="str">
        <x:f>_xlfn.XLOOKUP("ABIL|1013|COMMON-IOS",'主管核定中心'!$A$12:$A$372,'主管核定中心'!$H$12:$H$372,"",0)</x:f>
      </x:c>
      <x:c r="K57" s="37" t="n">
        <x:v>45</x:v>
      </x:c>
      <x:c r="L57" s="37" t="str">
        <x:v>1013|COMMON-IOS</x:v>
      </x:c>
    </x:row>
    <x:row r="58">
      <x:c r="A58" s="37" t="str">
        <x:v>1019</x:v>
      </x:c>
      <x:c r="B58" s="37" t="str"/>
      <x:c r="C58" s="37" t="str">
        <x:v>LJT-PREP-SCALING</x:v>
      </x:c>
      <x:c r="D58" s="37" t="str">
        <x:v>洗牙</x:v>
      </x:c>
      <x:c r="E58" s="37" t="str">
        <x:f>IF(_xlfn.XLOOKUP("UPG|1019|LJT-PREP-SCALING",'能力升級候選'!$A$7:$A$258,'能力升級候選'!$R$7:$R$258,"",0)="已核定升級","◎",_xlfn.XLOOKUP("UPG|1019|LJT-PREP-SCALING",'能力升級候選'!$A$7:$A$258,'能力升級候選'!$E$7:$E$258,"未評估",0))</x:f>
        <x:v>◎</x:v>
      </x:c>
      <x:c r="F58" s="37" t="str">
        <x:f>IF(COUNTIFS('事件與限制'!$C$7:$C$106,$A58,'事件與限制'!$E$7:$E$106,$C58,'事件與限制'!$M$7:$M$106,"暫停技能資格",'事件與限制'!$Q$7:$Q$106,"生效中")&gt;0,"資格暫停",IF($E58="未評估","未建立",_xlfn.XLOOKUP("ABIL|1019|LJT-PREP-SCALING",'主管核定中心'!$A$12:$A$372,'主管核定中心'!$K$12:$K$372,"待主管核定",0)))</x:f>
        <x:v>待主管核定</x:v>
      </x:c>
      <x:c r="G58" s="37" t="str">
        <x:v>初始能力基準</x:v>
      </x:c>
      <x:c r="H58" s="41" t="n">
        <x:v>46266</x:v>
      </x:c>
      <x:c r="I58" s="44" t="str">
        <x:f>_xlfn.XLOOKUP("ABIL|1019|LJT-PREP-SCALING",'主管核定中心'!$A$12:$A$372,'主管核定中心'!$I$12:$I$372,"",0)</x:f>
      </x:c>
      <x:c r="J58" s="46" t="str">
        <x:f>_xlfn.XLOOKUP("ABIL|1019|LJT-PREP-SCALING",'主管核定中心'!$A$12:$A$372,'主管核定中心'!$H$12:$H$372,"",0)</x:f>
      </x:c>
      <x:c r="K58" s="37" t="n">
        <x:v>28</x:v>
      </x:c>
      <x:c r="L58" s="37" t="str">
        <x:v>1019|LJT-PREP-SCALING</x:v>
      </x:c>
    </x:row>
    <x:row r="59">
      <x:c r="A59" s="37" t="str">
        <x:v>1019</x:v>
      </x:c>
      <x:c r="B59" s="37" t="str"/>
      <x:c r="C59" s="37" t="str">
        <x:v>LJT-PREP-FILLING</x:v>
      </x:c>
      <x:c r="D59" s="37" t="str">
        <x:v>補牙</x:v>
      </x:c>
      <x:c r="E59" s="37" t="str">
        <x:f>IF(_xlfn.XLOOKUP("UPG|1019|LJT-PREP-FILLING",'能力升級候選'!$A$7:$A$258,'能力升級候選'!$R$7:$R$258,"",0)="已核定升級","◎",_xlfn.XLOOKUP("UPG|1019|LJT-PREP-FILLING",'能力升級候選'!$A$7:$A$258,'能力升級候選'!$E$7:$E$258,"未評估",0))</x:f>
        <x:v>◎</x:v>
      </x:c>
      <x:c r="F59" s="37" t="str">
        <x:f>IF(COUNTIFS('事件與限制'!$C$7:$C$106,$A59,'事件與限制'!$E$7:$E$106,$C59,'事件與限制'!$M$7:$M$106,"暫停技能資格",'事件與限制'!$Q$7:$Q$106,"生效中")&gt;0,"資格暫停",IF($E59="未評估","未建立",_xlfn.XLOOKUP("ABIL|1019|LJT-PREP-FILLING",'主管核定中心'!$A$12:$A$372,'主管核定中心'!$K$12:$K$372,"待主管核定",0)))</x:f>
        <x:v>待主管核定</x:v>
      </x:c>
      <x:c r="G59" s="37" t="str">
        <x:v>初始能力基準</x:v>
      </x:c>
      <x:c r="H59" s="41" t="n">
        <x:v>46266</x:v>
      </x:c>
      <x:c r="I59" s="44" t="str">
        <x:f>_xlfn.XLOOKUP("ABIL|1019|LJT-PREP-FILLING",'主管核定中心'!$A$12:$A$372,'主管核定中心'!$I$12:$I$372,"",0)</x:f>
      </x:c>
      <x:c r="J59" s="46" t="str">
        <x:f>_xlfn.XLOOKUP("ABIL|1019|LJT-PREP-FILLING",'主管核定中心'!$A$12:$A$372,'主管核定中心'!$H$12:$H$372,"",0)</x:f>
      </x:c>
      <x:c r="K59" s="37" t="n">
        <x:v>29</x:v>
      </x:c>
      <x:c r="L59" s="37" t="str">
        <x:v>1019|LJT-PREP-FILLING</x:v>
      </x:c>
    </x:row>
    <x:row r="60">
      <x:c r="A60" s="37" t="str">
        <x:v>1019</x:v>
      </x:c>
      <x:c r="B60" s="37" t="str"/>
      <x:c r="C60" s="37" t="str">
        <x:v>LJT-PREP-PERIO</x:v>
      </x:c>
      <x:c r="D60" s="37" t="str">
        <x:v>牙周統合</x:v>
      </x:c>
      <x:c r="E60" s="37" t="str">
        <x:f>IF(_xlfn.XLOOKUP("UPG|1019|LJT-PREP-PERIO",'能力升級候選'!$A$7:$A$258,'能力升級候選'!$R$7:$R$258,"",0)="已核定升級","◎",_xlfn.XLOOKUP("UPG|1019|LJT-PREP-PERIO",'能力升級候選'!$A$7:$A$258,'能力升級候選'!$E$7:$E$258,"未評估",0))</x:f>
        <x:v>◎</x:v>
      </x:c>
      <x:c r="F60" s="37" t="str">
        <x:f>IF(COUNTIFS('事件與限制'!$C$7:$C$106,$A60,'事件與限制'!$E$7:$E$106,$C60,'事件與限制'!$M$7:$M$106,"暫停技能資格",'事件與限制'!$Q$7:$Q$106,"生效中")&gt;0,"資格暫停",IF($E60="未評估","未建立",_xlfn.XLOOKUP("ABIL|1019|LJT-PREP-PERIO",'主管核定中心'!$A$12:$A$372,'主管核定中心'!$K$12:$K$372,"待主管核定",0)))</x:f>
        <x:v>待主管核定</x:v>
      </x:c>
      <x:c r="G60" s="37" t="str">
        <x:v>初始能力基準</x:v>
      </x:c>
      <x:c r="H60" s="41" t="n">
        <x:v>46266</x:v>
      </x:c>
      <x:c r="I60" s="44" t="str">
        <x:f>_xlfn.XLOOKUP("ABIL|1019|LJT-PREP-PERIO",'主管核定中心'!$A$12:$A$372,'主管核定中心'!$I$12:$I$372,"",0)</x:f>
      </x:c>
      <x:c r="J60" s="46" t="str">
        <x:f>_xlfn.XLOOKUP("ABIL|1019|LJT-PREP-PERIO",'主管核定中心'!$A$12:$A$372,'主管核定中心'!$H$12:$H$372,"",0)</x:f>
      </x:c>
      <x:c r="K60" s="37" t="n">
        <x:v>30</x:v>
      </x:c>
      <x:c r="L60" s="37" t="str">
        <x:v>1019|LJT-PREP-PERIO</x:v>
      </x:c>
    </x:row>
    <x:row r="61">
      <x:c r="A61" s="37" t="str">
        <x:v>1019</x:v>
      </x:c>
      <x:c r="B61" s="37" t="str"/>
      <x:c r="C61" s="37" t="str">
        <x:v>LJT-PREP-RCT</x:v>
      </x:c>
      <x:c r="D61" s="37" t="str">
        <x:v>根管治療</x:v>
      </x:c>
      <x:c r="E61" s="37" t="str">
        <x:f>IF(_xlfn.XLOOKUP("UPG|1019|LJT-PREP-RCT",'能力升級候選'!$A$7:$A$258,'能力升級候選'!$R$7:$R$258,"",0)="已核定升級","◎",_xlfn.XLOOKUP("UPG|1019|LJT-PREP-RCT",'能力升級候選'!$A$7:$A$258,'能力升級候選'!$E$7:$E$258,"未評估",0))</x:f>
        <x:v>◎</x:v>
      </x:c>
      <x:c r="F61" s="37" t="str">
        <x:f>IF(COUNTIFS('事件與限制'!$C$7:$C$106,$A61,'事件與限制'!$E$7:$E$106,$C61,'事件與限制'!$M$7:$M$106,"暫停技能資格",'事件與限制'!$Q$7:$Q$106,"生效中")&gt;0,"資格暫停",IF($E61="未評估","未建立",_xlfn.XLOOKUP("ABIL|1019|LJT-PREP-RCT",'主管核定中心'!$A$12:$A$372,'主管核定中心'!$K$12:$K$372,"待主管核定",0)))</x:f>
        <x:v>待主管核定</x:v>
      </x:c>
      <x:c r="G61" s="37" t="str">
        <x:v>初始能力基準</x:v>
      </x:c>
      <x:c r="H61" s="41" t="n">
        <x:v>46266</x:v>
      </x:c>
      <x:c r="I61" s="44" t="str">
        <x:f>_xlfn.XLOOKUP("ABIL|1019|LJT-PREP-RCT",'主管核定中心'!$A$12:$A$372,'主管核定中心'!$I$12:$I$372,"",0)</x:f>
      </x:c>
      <x:c r="J61" s="46" t="str">
        <x:f>_xlfn.XLOOKUP("ABIL|1019|LJT-PREP-RCT",'主管核定中心'!$A$12:$A$372,'主管核定中心'!$H$12:$H$372,"",0)</x:f>
      </x:c>
      <x:c r="K61" s="37" t="n">
        <x:v>31</x:v>
      </x:c>
      <x:c r="L61" s="37" t="str">
        <x:v>1019|LJT-PREP-RCT</x:v>
      </x:c>
    </x:row>
    <x:row r="62">
      <x:c r="A62" s="37" t="str">
        <x:v>1019</x:v>
      </x:c>
      <x:c r="B62" s="37" t="str"/>
      <x:c r="C62" s="37" t="str">
        <x:v>LJT-PREP-EXTRACTION</x:v>
      </x:c>
      <x:c r="D62" s="37" t="str">
        <x:v>拔牙</x:v>
      </x:c>
      <x:c r="E62" s="37" t="str">
        <x:f>IF(_xlfn.XLOOKUP("UPG|1019|LJT-PREP-EXTRACTION",'能力升級候選'!$A$7:$A$258,'能力升級候選'!$R$7:$R$258,"",0)="已核定升級","◎",_xlfn.XLOOKUP("UPG|1019|LJT-PREP-EXTRACTION",'能力升級候選'!$A$7:$A$258,'能力升級候選'!$E$7:$E$258,"未評估",0))</x:f>
        <x:v>◎</x:v>
      </x:c>
      <x:c r="F62" s="37" t="str">
        <x:f>IF(COUNTIFS('事件與限制'!$C$7:$C$106,$A62,'事件與限制'!$E$7:$E$106,$C62,'事件與限制'!$M$7:$M$106,"暫停技能資格",'事件與限制'!$Q$7:$Q$106,"生效中")&gt;0,"資格暫停",IF($E62="未評估","未建立",_xlfn.XLOOKUP("ABIL|1019|LJT-PREP-EXTRACTION",'主管核定中心'!$A$12:$A$372,'主管核定中心'!$K$12:$K$372,"待主管核定",0)))</x:f>
        <x:v>待主管核定</x:v>
      </x:c>
      <x:c r="G62" s="37" t="str">
        <x:v>初始能力基準</x:v>
      </x:c>
      <x:c r="H62" s="41" t="n">
        <x:v>46266</x:v>
      </x:c>
      <x:c r="I62" s="44" t="str">
        <x:f>_xlfn.XLOOKUP("ABIL|1019|LJT-PREP-EXTRACTION",'主管核定中心'!$A$12:$A$372,'主管核定中心'!$I$12:$I$372,"",0)</x:f>
      </x:c>
      <x:c r="J62" s="46" t="str">
        <x:f>_xlfn.XLOOKUP("ABIL|1019|LJT-PREP-EXTRACTION",'主管核定中心'!$A$12:$A$372,'主管核定中心'!$H$12:$H$372,"",0)</x:f>
      </x:c>
      <x:c r="K62" s="37" t="n">
        <x:v>32</x:v>
      </x:c>
      <x:c r="L62" s="37" t="str">
        <x:v>1019|LJT-PREP-EXTRACTION</x:v>
      </x:c>
    </x:row>
    <x:row r="63">
      <x:c r="A63" s="37" t="str">
        <x:v>1019</x:v>
      </x:c>
      <x:c r="B63" s="37" t="str"/>
      <x:c r="C63" s="37" t="str">
        <x:v>LJT-PREP-CROWNPOST</x:v>
      </x:c>
      <x:c r="D63" s="37" t="str">
        <x:v>拆 crown/post</x:v>
      </x:c>
      <x:c r="E63" s="37" t="str">
        <x:f>IF(_xlfn.XLOOKUP("UPG|1019|LJT-PREP-CROWNPOST",'能力升級候選'!$A$7:$A$258,'能力升級候選'!$R$7:$R$258,"",0)="已核定升級","◎",_xlfn.XLOOKUP("UPG|1019|LJT-PREP-CROWNPOST",'能力升級候選'!$A$7:$A$258,'能力升級候選'!$E$7:$E$258,"未評估",0))</x:f>
        <x:v>◎</x:v>
      </x:c>
      <x:c r="F63" s="37" t="str">
        <x:f>IF(COUNTIFS('事件與限制'!$C$7:$C$106,$A63,'事件與限制'!$E$7:$E$106,$C63,'事件與限制'!$M$7:$M$106,"暫停技能資格",'事件與限制'!$Q$7:$Q$106,"生效中")&gt;0,"資格暫停",IF($E63="未評估","未建立",_xlfn.XLOOKUP("ABIL|1019|LJT-PREP-CROWNPOST",'主管核定中心'!$A$12:$A$372,'主管核定中心'!$K$12:$K$372,"待主管核定",0)))</x:f>
        <x:v>待主管核定</x:v>
      </x:c>
      <x:c r="G63" s="37" t="str">
        <x:v>初始能力基準</x:v>
      </x:c>
      <x:c r="H63" s="41" t="n">
        <x:v>46266</x:v>
      </x:c>
      <x:c r="I63" s="44" t="str">
        <x:f>_xlfn.XLOOKUP("ABIL|1019|LJT-PREP-CROWNPOST",'主管核定中心'!$A$12:$A$372,'主管核定中心'!$I$12:$I$372,"",0)</x:f>
      </x:c>
      <x:c r="J63" s="46" t="str">
        <x:f>_xlfn.XLOOKUP("ABIL|1019|LJT-PREP-CROWNPOST",'主管核定中心'!$A$12:$A$372,'主管核定中心'!$H$12:$H$372,"",0)</x:f>
      </x:c>
      <x:c r="K63" s="37" t="n">
        <x:v>33</x:v>
      </x:c>
      <x:c r="L63" s="37" t="str">
        <x:v>1019|LJT-PREP-CROWNPOST</x:v>
      </x:c>
    </x:row>
    <x:row r="64">
      <x:c r="A64" s="37" t="str">
        <x:v>1019</x:v>
      </x:c>
      <x:c r="B64" s="37" t="str"/>
      <x:c r="C64" s="37" t="str">
        <x:v>LJT-PREP-CROWN</x:v>
      </x:c>
      <x:c r="D64" s="37" t="str">
        <x:v>固定假牙</x:v>
      </x:c>
      <x:c r="E64" s="37" t="str">
        <x:f>IF(_xlfn.XLOOKUP("UPG|1019|LJT-PREP-CROWN",'能力升級候選'!$A$7:$A$258,'能力升級候選'!$R$7:$R$258,"",0)="已核定升級","◎",_xlfn.XLOOKUP("UPG|1019|LJT-PREP-CROWN",'能力升級候選'!$A$7:$A$258,'能力升級候選'!$E$7:$E$258,"未評估",0))</x:f>
        <x:v>◎</x:v>
      </x:c>
      <x:c r="F64" s="37" t="str">
        <x:f>IF(COUNTIFS('事件與限制'!$C$7:$C$106,$A64,'事件與限制'!$E$7:$E$106,$C64,'事件與限制'!$M$7:$M$106,"暫停技能資格",'事件與限制'!$Q$7:$Q$106,"生效中")&gt;0,"資格暫停",IF($E64="未評估","未建立",_xlfn.XLOOKUP("ABIL|1019|LJT-PREP-CROWN",'主管核定中心'!$A$12:$A$372,'主管核定中心'!$K$12:$K$372,"待主管核定",0)))</x:f>
        <x:v>待主管核定</x:v>
      </x:c>
      <x:c r="G64" s="37" t="str">
        <x:v>初始能力基準</x:v>
      </x:c>
      <x:c r="H64" s="41" t="n">
        <x:v>46266</x:v>
      </x:c>
      <x:c r="I64" s="44" t="str">
        <x:f>_xlfn.XLOOKUP("ABIL|1019|LJT-PREP-CROWN",'主管核定中心'!$A$12:$A$372,'主管核定中心'!$I$12:$I$372,"",0)</x:f>
      </x:c>
      <x:c r="J64" s="46" t="str">
        <x:f>_xlfn.XLOOKUP("ABIL|1019|LJT-PREP-CROWN",'主管核定中心'!$A$12:$A$372,'主管核定中心'!$H$12:$H$372,"",0)</x:f>
      </x:c>
      <x:c r="K64" s="37" t="n">
        <x:v>34</x:v>
      </x:c>
      <x:c r="L64" s="37" t="str">
        <x:v>1019|LJT-PREP-CROWN</x:v>
      </x:c>
    </x:row>
    <x:row r="65">
      <x:c r="A65" s="37" t="str">
        <x:v>1019</x:v>
      </x:c>
      <x:c r="B65" s="37" t="str"/>
      <x:c r="C65" s="37" t="str">
        <x:v>LJT-PREP-RPD</x:v>
      </x:c>
      <x:c r="D65" s="37" t="str">
        <x:v>RPD</x:v>
      </x:c>
      <x:c r="E65" s="37" t="str">
        <x:f>IF(_xlfn.XLOOKUP("UPG|1019|LJT-PREP-RPD",'能力升級候選'!$A$7:$A$258,'能力升級候選'!$R$7:$R$258,"",0)="已核定升級","◎",_xlfn.XLOOKUP("UPG|1019|LJT-PREP-RPD",'能力升級候選'!$A$7:$A$258,'能力升級候選'!$E$7:$E$258,"未評估",0))</x:f>
        <x:v>◎</x:v>
      </x:c>
      <x:c r="F65" s="37" t="str">
        <x:f>IF(COUNTIFS('事件與限制'!$C$7:$C$106,$A65,'事件與限制'!$E$7:$E$106,$C65,'事件與限制'!$M$7:$M$106,"暫停技能資格",'事件與限制'!$Q$7:$Q$106,"生效中")&gt;0,"資格暫停",IF($E65="未評估","未建立",_xlfn.XLOOKUP("ABIL|1019|LJT-PREP-RPD",'主管核定中心'!$A$12:$A$372,'主管核定中心'!$K$12:$K$372,"待主管核定",0)))</x:f>
        <x:v>待主管核定</x:v>
      </x:c>
      <x:c r="G65" s="37" t="str">
        <x:v>初始能力基準</x:v>
      </x:c>
      <x:c r="H65" s="41" t="n">
        <x:v>46266</x:v>
      </x:c>
      <x:c r="I65" s="44" t="str">
        <x:f>_xlfn.XLOOKUP("ABIL|1019|LJT-PREP-RPD",'主管核定中心'!$A$12:$A$372,'主管核定中心'!$I$12:$I$372,"",0)</x:f>
      </x:c>
      <x:c r="J65" s="46" t="str">
        <x:f>_xlfn.XLOOKUP("ABIL|1019|LJT-PREP-RPD",'主管核定中心'!$A$12:$A$372,'主管核定中心'!$H$12:$H$372,"",0)</x:f>
      </x:c>
      <x:c r="K65" s="37" t="n">
        <x:v>35</x:v>
      </x:c>
      <x:c r="L65" s="37" t="str">
        <x:v>1019|LJT-PREP-RPD</x:v>
      </x:c>
    </x:row>
    <x:row r="66">
      <x:c r="A66" s="37" t="str">
        <x:v>1019</x:v>
      </x:c>
      <x:c r="B66" s="37" t="str"/>
      <x:c r="C66" s="37" t="str">
        <x:v>LJT-PREP-AIRPOLISH</x:v>
      </x:c>
      <x:c r="D66" s="37" t="str">
        <x:v>噴砂美白</x:v>
      </x:c>
      <x:c r="E66" s="37" t="str">
        <x:f>IF(_xlfn.XLOOKUP("UPG|1019|LJT-PREP-AIRPOLISH",'能力升級候選'!$A$7:$A$258,'能力升級候選'!$R$7:$R$258,"",0)="已核定升級","◎",_xlfn.XLOOKUP("UPG|1019|LJT-PREP-AIRPOLISH",'能力升級候選'!$A$7:$A$258,'能力升級候選'!$E$7:$E$258,"未評估",0))</x:f>
        <x:v>◎</x:v>
      </x:c>
      <x:c r="F66" s="37" t="str">
        <x:f>IF(COUNTIFS('事件與限制'!$C$7:$C$106,$A66,'事件與限制'!$E$7:$E$106,$C66,'事件與限制'!$M$7:$M$106,"暫停技能資格",'事件與限制'!$Q$7:$Q$106,"生效中")&gt;0,"資格暫停",IF($E66="未評估","未建立",_xlfn.XLOOKUP("ABIL|1019|LJT-PREP-AIRPOLISH",'主管核定中心'!$A$12:$A$372,'主管核定中心'!$K$12:$K$372,"待主管核定",0)))</x:f>
        <x:v>待主管核定</x:v>
      </x:c>
      <x:c r="G66" s="37" t="str">
        <x:v>初始能力基準</x:v>
      </x:c>
      <x:c r="H66" s="41" t="n">
        <x:v>46266</x:v>
      </x:c>
      <x:c r="I66" s="44" t="str">
        <x:f>_xlfn.XLOOKUP("ABIL|1019|LJT-PREP-AIRPOLISH",'主管核定中心'!$A$12:$A$372,'主管核定中心'!$I$12:$I$372,"",0)</x:f>
      </x:c>
      <x:c r="J66" s="46" t="str">
        <x:f>_xlfn.XLOOKUP("ABIL|1019|LJT-PREP-AIRPOLISH",'主管核定中心'!$A$12:$A$372,'主管核定中心'!$H$12:$H$372,"",0)</x:f>
      </x:c>
      <x:c r="K66" s="37" t="n">
        <x:v>36</x:v>
      </x:c>
      <x:c r="L66" s="37" t="str">
        <x:v>1019|LJT-PREP-AIRPOLISH</x:v>
      </x:c>
    </x:row>
    <x:row r="67">
      <x:c r="A67" s="37" t="str">
        <x:v>1019</x:v>
      </x:c>
      <x:c r="B67" s="37" t="str"/>
      <x:c r="C67" s="37" t="str">
        <x:v>LJT-PREP-PERIOSURG</x:v>
      </x:c>
      <x:c r="D67" s="37" t="str">
        <x:v>牙周手術</x:v>
      </x:c>
      <x:c r="E67" s="37" t="str">
        <x:f>IF(_xlfn.XLOOKUP("UPG|1019|LJT-PREP-PERIOSURG",'能力升級候選'!$A$7:$A$258,'能力升級候選'!$R$7:$R$258,"",0)="已核定升級","◎",_xlfn.XLOOKUP("UPG|1019|LJT-PREP-PERIOSURG",'能力升級候選'!$A$7:$A$258,'能力升級候選'!$E$7:$E$258,"未評估",0))</x:f>
        <x:v>◎</x:v>
      </x:c>
      <x:c r="F67" s="37" t="str">
        <x:f>IF(COUNTIFS('事件與限制'!$C$7:$C$106,$A67,'事件與限制'!$E$7:$E$106,$C67,'事件與限制'!$M$7:$M$106,"暫停技能資格",'事件與限制'!$Q$7:$Q$106,"生效中")&gt;0,"資格暫停",IF($E67="未評估","未建立",_xlfn.XLOOKUP("ABIL|1019|LJT-PREP-PERIOSURG",'主管核定中心'!$A$12:$A$372,'主管核定中心'!$K$12:$K$372,"待主管核定",0)))</x:f>
        <x:v>待主管核定</x:v>
      </x:c>
      <x:c r="G67" s="37" t="str">
        <x:v>初始能力基準</x:v>
      </x:c>
      <x:c r="H67" s="41" t="n">
        <x:v>46266</x:v>
      </x:c>
      <x:c r="I67" s="44" t="str">
        <x:f>_xlfn.XLOOKUP("ABIL|1019|LJT-PREP-PERIOSURG",'主管核定中心'!$A$12:$A$372,'主管核定中心'!$I$12:$I$372,"",0)</x:f>
      </x:c>
      <x:c r="J67" s="46" t="str">
        <x:f>_xlfn.XLOOKUP("ABIL|1019|LJT-PREP-PERIOSURG",'主管核定中心'!$A$12:$A$372,'主管核定中心'!$H$12:$H$372,"",0)</x:f>
      </x:c>
      <x:c r="K67" s="37" t="n">
        <x:v>37</x:v>
      </x:c>
      <x:c r="L67" s="37" t="str">
        <x:v>1019|LJT-PREP-PERIOSURG</x:v>
      </x:c>
    </x:row>
    <x:row r="68">
      <x:c r="A68" s="37" t="str">
        <x:v>1019</x:v>
      </x:c>
      <x:c r="B68" s="37" t="str"/>
      <x:c r="C68" s="37" t="str">
        <x:v>LJT-PREP-MICROENDO</x:v>
      </x:c>
      <x:c r="D68" s="37" t="str">
        <x:v>顯微根管</x:v>
      </x:c>
      <x:c r="E68" s="37" t="str">
        <x:f>IF(_xlfn.XLOOKUP("UPG|1019|LJT-PREP-MICROENDO",'能力升級候選'!$A$7:$A$258,'能力升級候選'!$R$7:$R$258,"",0)="已核定升級","◎",_xlfn.XLOOKUP("UPG|1019|LJT-PREP-MICROENDO",'能力升級候選'!$A$7:$A$258,'能力升級候選'!$E$7:$E$258,"未評估",0))</x:f>
        <x:v>◎</x:v>
      </x:c>
      <x:c r="F68" s="37" t="str">
        <x:f>IF(COUNTIFS('事件與限制'!$C$7:$C$106,$A68,'事件與限制'!$E$7:$E$106,$C68,'事件與限制'!$M$7:$M$106,"暫停技能資格",'事件與限制'!$Q$7:$Q$106,"生效中")&gt;0,"資格暫停",IF($E68="未評估","未建立",_xlfn.XLOOKUP("ABIL|1019|LJT-PREP-MICROENDO",'主管核定中心'!$A$12:$A$372,'主管核定中心'!$K$12:$K$372,"待主管核定",0)))</x:f>
        <x:v>待主管核定</x:v>
      </x:c>
      <x:c r="G68" s="37" t="str">
        <x:v>初始能力基準</x:v>
      </x:c>
      <x:c r="H68" s="41" t="n">
        <x:v>46266</x:v>
      </x:c>
      <x:c r="I68" s="44" t="str">
        <x:f>_xlfn.XLOOKUP("ABIL|1019|LJT-PREP-MICROENDO",'主管核定中心'!$A$12:$A$372,'主管核定中心'!$I$12:$I$372,"",0)</x:f>
      </x:c>
      <x:c r="J68" s="46" t="str">
        <x:f>_xlfn.XLOOKUP("ABIL|1019|LJT-PREP-MICROENDO",'主管核定中心'!$A$12:$A$372,'主管核定中心'!$H$12:$H$372,"",0)</x:f>
      </x:c>
      <x:c r="K68" s="37" t="n">
        <x:v>38</x:v>
      </x:c>
      <x:c r="L68" s="37" t="str">
        <x:v>1019|LJT-PREP-MICROENDO</x:v>
      </x:c>
    </x:row>
    <x:row r="69">
      <x:c r="A69" s="37" t="str">
        <x:v>1019</x:v>
      </x:c>
      <x:c r="B69" s="37" t="str"/>
      <x:c r="C69" s="37" t="str">
        <x:v>LJT-PREP-IMPLANT</x:v>
      </x:c>
      <x:c r="D69" s="37" t="str">
        <x:v>植 牙</x:v>
      </x:c>
      <x:c r="E69" s="37" t="str">
        <x:f>IF(_xlfn.XLOOKUP("UPG|1019|LJT-PREP-IMPLANT",'能力升級候選'!$A$7:$A$258,'能力升級候選'!$R$7:$R$258,"",0)="已核定升級","◎",_xlfn.XLOOKUP("UPG|1019|LJT-PREP-IMPLANT",'能力升級候選'!$A$7:$A$258,'能力升級候選'!$E$7:$E$258,"未評估",0))</x:f>
        <x:v>◎</x:v>
      </x:c>
      <x:c r="F69" s="37" t="str">
        <x:f>IF(COUNTIFS('事件與限制'!$C$7:$C$106,$A69,'事件與限制'!$E$7:$E$106,$C69,'事件與限制'!$M$7:$M$106,"暫停技能資格",'事件與限制'!$Q$7:$Q$106,"生效中")&gt;0,"資格暫停",IF($E69="未評估","未建立",_xlfn.XLOOKUP("ABIL|1019|LJT-PREP-IMPLANT",'主管核定中心'!$A$12:$A$372,'主管核定中心'!$K$12:$K$372,"待主管核定",0)))</x:f>
        <x:v>待主管核定</x:v>
      </x:c>
      <x:c r="G69" s="37" t="str">
        <x:v>初始能力基準</x:v>
      </x:c>
      <x:c r="H69" s="41" t="n">
        <x:v>46266</x:v>
      </x:c>
      <x:c r="I69" s="44" t="str">
        <x:f>_xlfn.XLOOKUP("ABIL|1019|LJT-PREP-IMPLANT",'主管核定中心'!$A$12:$A$372,'主管核定中心'!$I$12:$I$372,"",0)</x:f>
      </x:c>
      <x:c r="J69" s="46" t="str">
        <x:f>_xlfn.XLOOKUP("ABIL|1019|LJT-PREP-IMPLANT",'主管核定中心'!$A$12:$A$372,'主管核定中心'!$H$12:$H$372,"",0)</x:f>
      </x:c>
      <x:c r="K69" s="37" t="n">
        <x:v>39</x:v>
      </x:c>
      <x:c r="L69" s="37" t="str">
        <x:v>1019|LJT-PREP-IMPLANT</x:v>
      </x:c>
    </x:row>
    <x:row r="70">
      <x:c r="A70" s="37" t="str">
        <x:v>1019</x:v>
      </x:c>
      <x:c r="B70" s="37" t="str"/>
      <x:c r="C70" s="37" t="str">
        <x:v>COMMON-RECORD</x:v>
      </x:c>
      <x:c r="D70" s="37" t="str">
        <x:v>病歷紀錄</x:v>
      </x:c>
      <x:c r="E70" s="37" t="str">
        <x:f>IF(_xlfn.XLOOKUP("UPG|1019|COMMON-RECORD",'能力升級候選'!$A$7:$A$258,'能力升級候選'!$R$7:$R$258,"",0)="已核定升級","◎",_xlfn.XLOOKUP("UPG|1019|COMMON-RECORD",'能力升級候選'!$A$7:$A$258,'能力升級候選'!$E$7:$E$258,"未評估",0))</x:f>
        <x:v>◎</x:v>
      </x:c>
      <x:c r="F70" s="37" t="str">
        <x:f>IF(COUNTIFS('事件與限制'!$C$7:$C$106,$A70,'事件與限制'!$E$7:$E$106,$C70,'事件與限制'!$M$7:$M$106,"暫停技能資格",'事件與限制'!$Q$7:$Q$106,"生效中")&gt;0,"資格暫停",IF($E70="未評估","未建立",_xlfn.XLOOKUP("ABIL|1019|COMMON-RECORD",'主管核定中心'!$A$12:$A$372,'主管核定中心'!$K$12:$K$372,"待主管核定",0)))</x:f>
        <x:v>待主管核定</x:v>
      </x:c>
      <x:c r="G70" s="37" t="str">
        <x:v>初始能力基準</x:v>
      </x:c>
      <x:c r="H70" s="41" t="n">
        <x:v>46266</x:v>
      </x:c>
      <x:c r="I70" s="44" t="str">
        <x:f>_xlfn.XLOOKUP("ABIL|1019|COMMON-RECORD",'主管核定中心'!$A$12:$A$372,'主管核定中心'!$I$12:$I$372,"",0)</x:f>
      </x:c>
      <x:c r="J70" s="46" t="str">
        <x:f>_xlfn.XLOOKUP("ABIL|1019|COMMON-RECORD",'主管核定中心'!$A$12:$A$372,'主管核定中心'!$H$12:$H$372,"",0)</x:f>
      </x:c>
      <x:c r="K70" s="37" t="n">
        <x:v>41</x:v>
      </x:c>
      <x:c r="L70" s="37" t="str">
        <x:v>1019|COMMON-RECORD</x:v>
      </x:c>
    </x:row>
    <x:row r="71">
      <x:c r="A71" s="37" t="str">
        <x:v>1019</x:v>
      </x:c>
      <x:c r="B71" s="37" t="str"/>
      <x:c r="C71" s="37" t="str">
        <x:v>COMMON-INSURANCE</x:v>
      </x:c>
      <x:c r="D71" s="37" t="str">
        <x:v>健保申報</x:v>
      </x:c>
      <x:c r="E71" s="37" t="str">
        <x:f>IF(_xlfn.XLOOKUP("UPG|1019|COMMON-INSURANCE",'能力升級候選'!$A$7:$A$258,'能力升級候選'!$R$7:$R$258,"",0)="已核定升級","◎",_xlfn.XLOOKUP("UPG|1019|COMMON-INSURANCE",'能力升級候選'!$A$7:$A$258,'能力升級候選'!$E$7:$E$258,"未評估",0))</x:f>
        <x:v>◎</x:v>
      </x:c>
      <x:c r="F71" s="37" t="str">
        <x:f>IF(COUNTIFS('事件與限制'!$C$7:$C$106,$A71,'事件與限制'!$E$7:$E$106,$C71,'事件與限制'!$M$7:$M$106,"暫停技能資格",'事件與限制'!$Q$7:$Q$106,"生效中")&gt;0,"資格暫停",IF($E71="未評估","未建立",_xlfn.XLOOKUP("ABIL|1019|COMMON-INSURANCE",'主管核定中心'!$A$12:$A$372,'主管核定中心'!$K$12:$K$372,"待主管核定",0)))</x:f>
        <x:v>待主管核定</x:v>
      </x:c>
      <x:c r="G71" s="37" t="str">
        <x:v>初始能力基準</x:v>
      </x:c>
      <x:c r="H71" s="41" t="n">
        <x:v>46266</x:v>
      </x:c>
      <x:c r="I71" s="44" t="str">
        <x:f>_xlfn.XLOOKUP("ABIL|1019|COMMON-INSURANCE",'主管核定中心'!$A$12:$A$372,'主管核定中心'!$I$12:$I$372,"",0)</x:f>
      </x:c>
      <x:c r="J71" s="46" t="str">
        <x:f>_xlfn.XLOOKUP("ABIL|1019|COMMON-INSURANCE",'主管核定中心'!$A$12:$A$372,'主管核定中心'!$H$12:$H$372,"",0)</x:f>
      </x:c>
      <x:c r="K71" s="37" t="n">
        <x:v>42</x:v>
      </x:c>
      <x:c r="L71" s="37" t="str">
        <x:v>1019|COMMON-INSURANCE</x:v>
      </x:c>
    </x:row>
    <x:row r="72">
      <x:c r="A72" s="37" t="str">
        <x:v>1019</x:v>
      </x:c>
      <x:c r="B72" s="37" t="str"/>
      <x:c r="C72" s="37" t="str">
        <x:v>COMMON-XRAY-RECORD</x:v>
      </x:c>
      <x:c r="D72" s="37" t="str">
        <x:v>X光片紀錄</x:v>
      </x:c>
      <x:c r="E72" s="37" t="str">
        <x:f>IF(_xlfn.XLOOKUP("UPG|1019|COMMON-XRAY-RECORD",'能力升級候選'!$A$7:$A$258,'能力升級候選'!$R$7:$R$258,"",0)="已核定升級","◎",_xlfn.XLOOKUP("UPG|1019|COMMON-XRAY-RECORD",'能力升級候選'!$A$7:$A$258,'能力升級候選'!$E$7:$E$258,"未評估",0))</x:f>
        <x:v>◎</x:v>
      </x:c>
      <x:c r="F72" s="37" t="str">
        <x:f>IF(COUNTIFS('事件與限制'!$C$7:$C$106,$A72,'事件與限制'!$E$7:$E$106,$C72,'事件與限制'!$M$7:$M$106,"暫停技能資格",'事件與限制'!$Q$7:$Q$106,"生效中")&gt;0,"資格暫停",IF($E72="未評估","未建立",_xlfn.XLOOKUP("ABIL|1019|COMMON-XRAY-RECORD",'主管核定中心'!$A$12:$A$372,'主管核定中心'!$K$12:$K$372,"待主管核定",0)))</x:f>
        <x:v>待主管核定</x:v>
      </x:c>
      <x:c r="G72" s="37" t="str">
        <x:v>初始能力基準</x:v>
      </x:c>
      <x:c r="H72" s="41" t="n">
        <x:v>46266</x:v>
      </x:c>
      <x:c r="I72" s="44" t="str">
        <x:f>_xlfn.XLOOKUP("ABIL|1019|COMMON-XRAY-RECORD",'主管核定中心'!$A$12:$A$372,'主管核定中心'!$I$12:$I$372,"",0)</x:f>
      </x:c>
      <x:c r="J72" s="46" t="str">
        <x:f>_xlfn.XLOOKUP("ABIL|1019|COMMON-XRAY-RECORD",'主管核定中心'!$A$12:$A$372,'主管核定中心'!$H$12:$H$372,"",0)</x:f>
      </x:c>
      <x:c r="K72" s="37" t="n">
        <x:v>43</x:v>
      </x:c>
      <x:c r="L72" s="37" t="str">
        <x:v>1019|COMMON-XRAY-RECORD</x:v>
      </x:c>
    </x:row>
    <x:row r="73">
      <x:c r="A73" s="37" t="str">
        <x:v>1019</x:v>
      </x:c>
      <x:c r="B73" s="37" t="str"/>
      <x:c r="C73" s="37" t="str">
        <x:v>COMMON-PA</x:v>
      </x:c>
      <x:c r="D73" s="37" t="str">
        <x:v>拍PA</x:v>
      </x:c>
      <x:c r="E73" s="37" t="str">
        <x:f>IF(_xlfn.XLOOKUP("UPG|1019|COMMON-PA",'能力升級候選'!$A$7:$A$258,'能力升級候選'!$R$7:$R$258,"",0)="已核定升級","◎",_xlfn.XLOOKUP("UPG|1019|COMMON-PA",'能力升級候選'!$A$7:$A$258,'能力升級候選'!$E$7:$E$258,"未評估",0))</x:f>
        <x:v>◎</x:v>
      </x:c>
      <x:c r="F73" s="37" t="str">
        <x:f>IF(COUNTIFS('事件與限制'!$C$7:$C$106,$A73,'事件與限制'!$E$7:$E$106,$C73,'事件與限制'!$M$7:$M$106,"暫停技能資格",'事件與限制'!$Q$7:$Q$106,"生效中")&gt;0,"資格暫停",IF($E73="未評估","未建立",_xlfn.XLOOKUP("ABIL|1019|COMMON-PA",'主管核定中心'!$A$12:$A$372,'主管核定中心'!$K$12:$K$372,"待主管核定",0)))</x:f>
        <x:v>待主管核定</x:v>
      </x:c>
      <x:c r="G73" s="37" t="str">
        <x:v>初始能力基準</x:v>
      </x:c>
      <x:c r="H73" s="41" t="n">
        <x:v>46266</x:v>
      </x:c>
      <x:c r="I73" s="44" t="str">
        <x:f>_xlfn.XLOOKUP("ABIL|1019|COMMON-PA",'主管核定中心'!$A$12:$A$372,'主管核定中心'!$I$12:$I$372,"",0)</x:f>
      </x:c>
      <x:c r="J73" s="46" t="str">
        <x:f>_xlfn.XLOOKUP("ABIL|1019|COMMON-PA",'主管核定中心'!$A$12:$A$372,'主管核定中心'!$H$12:$H$372,"",0)</x:f>
      </x:c>
      <x:c r="K73" s="37" t="n">
        <x:v>44</x:v>
      </x:c>
      <x:c r="L73" s="37" t="str">
        <x:v>1019|COMMON-PA</x:v>
      </x:c>
    </x:row>
    <x:row r="74">
      <x:c r="A74" s="37" t="str">
        <x:v>1019</x:v>
      </x:c>
      <x:c r="B74" s="37" t="str"/>
      <x:c r="C74" s="37" t="str">
        <x:v>COMMON-IOS</x:v>
      </x:c>
      <x:c r="D74" s="37" t="str">
        <x:v>口掃機運用</x:v>
      </x:c>
      <x:c r="E74" s="37" t="str">
        <x:f>IF(_xlfn.XLOOKUP("UPG|1019|COMMON-IOS",'能力升級候選'!$A$7:$A$258,'能力升級候選'!$R$7:$R$258,"",0)="已核定升級","◎",_xlfn.XLOOKUP("UPG|1019|COMMON-IOS",'能力升級候選'!$A$7:$A$258,'能力升級候選'!$E$7:$E$258,"未評估",0))</x:f>
        <x:v>◎</x:v>
      </x:c>
      <x:c r="F74" s="37" t="str">
        <x:f>IF(COUNTIFS('事件與限制'!$C$7:$C$106,$A74,'事件與限制'!$E$7:$E$106,$C74,'事件與限制'!$M$7:$M$106,"暫停技能資格",'事件與限制'!$Q$7:$Q$106,"生效中")&gt;0,"資格暫停",IF($E74="未評估","未建立",_xlfn.XLOOKUP("ABIL|1019|COMMON-IOS",'主管核定中心'!$A$12:$A$372,'主管核定中心'!$K$12:$K$372,"待主管核定",0)))</x:f>
        <x:v>待主管核定</x:v>
      </x:c>
      <x:c r="G74" s="37" t="str">
        <x:v>初始能力基準</x:v>
      </x:c>
      <x:c r="H74" s="41" t="n">
        <x:v>46266</x:v>
      </x:c>
      <x:c r="I74" s="44" t="str">
        <x:f>_xlfn.XLOOKUP("ABIL|1019|COMMON-IOS",'主管核定中心'!$A$12:$A$372,'主管核定中心'!$I$12:$I$372,"",0)</x:f>
      </x:c>
      <x:c r="J74" s="46" t="str">
        <x:f>_xlfn.XLOOKUP("ABIL|1019|COMMON-IOS",'主管核定中心'!$A$12:$A$372,'主管核定中心'!$H$12:$H$372,"",0)</x:f>
      </x:c>
      <x:c r="K74" s="37" t="n">
        <x:v>45</x:v>
      </x:c>
      <x:c r="L74" s="37" t="str">
        <x:v>1019|COMMON-IOS</x:v>
      </x:c>
    </x:row>
    <x:row r="75">
      <x:c r="A75" s="37" t="str">
        <x:v>1020</x:v>
      </x:c>
      <x:c r="B75" s="37" t="str"/>
      <x:c r="C75" s="37" t="str">
        <x:v>LJT-PREP-SCALING</x:v>
      </x:c>
      <x:c r="D75" s="37" t="str">
        <x:v>洗牙</x:v>
      </x:c>
      <x:c r="E75" s="37" t="str">
        <x:f>IF(_xlfn.XLOOKUP("UPG|1020|LJT-PREP-SCALING",'能力升級候選'!$A$7:$A$258,'能力升級候選'!$R$7:$R$258,"",0)="已核定升級","◎",_xlfn.XLOOKUP("UPG|1020|LJT-PREP-SCALING",'能力升級候選'!$A$7:$A$258,'能力升級候選'!$E$7:$E$258,"未評估",0))</x:f>
        <x:v>◎</x:v>
      </x:c>
      <x:c r="F75" s="37" t="str">
        <x:f>IF(COUNTIFS('事件與限制'!$C$7:$C$106,$A75,'事件與限制'!$E$7:$E$106,$C75,'事件與限制'!$M$7:$M$106,"暫停技能資格",'事件與限制'!$Q$7:$Q$106,"生效中")&gt;0,"資格暫停",IF($E75="未評估","未建立",_xlfn.XLOOKUP("ABIL|1020|LJT-PREP-SCALING",'主管核定中心'!$A$12:$A$372,'主管核定中心'!$K$12:$K$372,"待主管核定",0)))</x:f>
        <x:v>待主管核定</x:v>
      </x:c>
      <x:c r="G75" s="37" t="str">
        <x:v>初始能力基準</x:v>
      </x:c>
      <x:c r="H75" s="41" t="n">
        <x:v>46266</x:v>
      </x:c>
      <x:c r="I75" s="44" t="str">
        <x:f>_xlfn.XLOOKUP("ABIL|1020|LJT-PREP-SCALING",'主管核定中心'!$A$12:$A$372,'主管核定中心'!$I$12:$I$372,"",0)</x:f>
      </x:c>
      <x:c r="J75" s="46" t="str">
        <x:f>_xlfn.XLOOKUP("ABIL|1020|LJT-PREP-SCALING",'主管核定中心'!$A$12:$A$372,'主管核定中心'!$H$12:$H$372,"",0)</x:f>
      </x:c>
      <x:c r="K75" s="37" t="n">
        <x:v>28</x:v>
      </x:c>
      <x:c r="L75" s="37" t="str">
        <x:v>1020|LJT-PREP-SCALING</x:v>
      </x:c>
    </x:row>
    <x:row r="76">
      <x:c r="A76" s="37" t="str">
        <x:v>1020</x:v>
      </x:c>
      <x:c r="B76" s="37" t="str"/>
      <x:c r="C76" s="37" t="str">
        <x:v>LJT-PREP-FILLING</x:v>
      </x:c>
      <x:c r="D76" s="37" t="str">
        <x:v>補牙</x:v>
      </x:c>
      <x:c r="E76" s="37" t="str">
        <x:f>IF(_xlfn.XLOOKUP("UPG|1020|LJT-PREP-FILLING",'能力升級候選'!$A$7:$A$258,'能力升級候選'!$R$7:$R$258,"",0)="已核定升級","◎",_xlfn.XLOOKUP("UPG|1020|LJT-PREP-FILLING",'能力升級候選'!$A$7:$A$258,'能力升級候選'!$E$7:$E$258,"未評估",0))</x:f>
        <x:v>◎</x:v>
      </x:c>
      <x:c r="F76" s="37" t="str">
        <x:f>IF(COUNTIFS('事件與限制'!$C$7:$C$106,$A76,'事件與限制'!$E$7:$E$106,$C76,'事件與限制'!$M$7:$M$106,"暫停技能資格",'事件與限制'!$Q$7:$Q$106,"生效中")&gt;0,"資格暫停",IF($E76="未評估","未建立",_xlfn.XLOOKUP("ABIL|1020|LJT-PREP-FILLING",'主管核定中心'!$A$12:$A$372,'主管核定中心'!$K$12:$K$372,"待主管核定",0)))</x:f>
        <x:v>待主管核定</x:v>
      </x:c>
      <x:c r="G76" s="37" t="str">
        <x:v>初始能力基準</x:v>
      </x:c>
      <x:c r="H76" s="41" t="n">
        <x:v>46266</x:v>
      </x:c>
      <x:c r="I76" s="44" t="str">
        <x:f>_xlfn.XLOOKUP("ABIL|1020|LJT-PREP-FILLING",'主管核定中心'!$A$12:$A$372,'主管核定中心'!$I$12:$I$372,"",0)</x:f>
      </x:c>
      <x:c r="J76" s="46" t="str">
        <x:f>_xlfn.XLOOKUP("ABIL|1020|LJT-PREP-FILLING",'主管核定中心'!$A$12:$A$372,'主管核定中心'!$H$12:$H$372,"",0)</x:f>
      </x:c>
      <x:c r="K76" s="37" t="n">
        <x:v>29</x:v>
      </x:c>
      <x:c r="L76" s="37" t="str">
        <x:v>1020|LJT-PREP-FILLING</x:v>
      </x:c>
    </x:row>
    <x:row r="77">
      <x:c r="A77" s="37" t="str">
        <x:v>1020</x:v>
      </x:c>
      <x:c r="B77" s="37" t="str"/>
      <x:c r="C77" s="37" t="str">
        <x:v>LJT-PREP-PERIO</x:v>
      </x:c>
      <x:c r="D77" s="37" t="str">
        <x:v>牙周統合</x:v>
      </x:c>
      <x:c r="E77" s="37" t="str">
        <x:f>IF(_xlfn.XLOOKUP("UPG|1020|LJT-PREP-PERIO",'能力升級候選'!$A$7:$A$258,'能力升級候選'!$R$7:$R$258,"",0)="已核定升級","◎",_xlfn.XLOOKUP("UPG|1020|LJT-PREP-PERIO",'能力升級候選'!$A$7:$A$258,'能力升級候選'!$E$7:$E$258,"未評估",0))</x:f>
        <x:v>◎</x:v>
      </x:c>
      <x:c r="F77" s="37" t="str">
        <x:f>IF(COUNTIFS('事件與限制'!$C$7:$C$106,$A77,'事件與限制'!$E$7:$E$106,$C77,'事件與限制'!$M$7:$M$106,"暫停技能資格",'事件與限制'!$Q$7:$Q$106,"生效中")&gt;0,"資格暫停",IF($E77="未評估","未建立",_xlfn.XLOOKUP("ABIL|1020|LJT-PREP-PERIO",'主管核定中心'!$A$12:$A$372,'主管核定中心'!$K$12:$K$372,"待主管核定",0)))</x:f>
        <x:v>待主管核定</x:v>
      </x:c>
      <x:c r="G77" s="37" t="str">
        <x:v>初始能力基準</x:v>
      </x:c>
      <x:c r="H77" s="41" t="n">
        <x:v>46266</x:v>
      </x:c>
      <x:c r="I77" s="44" t="str">
        <x:f>_xlfn.XLOOKUP("ABIL|1020|LJT-PREP-PERIO",'主管核定中心'!$A$12:$A$372,'主管核定中心'!$I$12:$I$372,"",0)</x:f>
      </x:c>
      <x:c r="J77" s="46" t="str">
        <x:f>_xlfn.XLOOKUP("ABIL|1020|LJT-PREP-PERIO",'主管核定中心'!$A$12:$A$372,'主管核定中心'!$H$12:$H$372,"",0)</x:f>
      </x:c>
      <x:c r="K77" s="37" t="n">
        <x:v>30</x:v>
      </x:c>
      <x:c r="L77" s="37" t="str">
        <x:v>1020|LJT-PREP-PERIO</x:v>
      </x:c>
    </x:row>
    <x:row r="78">
      <x:c r="A78" s="37" t="str">
        <x:v>1020</x:v>
      </x:c>
      <x:c r="B78" s="37" t="str"/>
      <x:c r="C78" s="37" t="str">
        <x:v>LJT-PREP-RCT</x:v>
      </x:c>
      <x:c r="D78" s="37" t="str">
        <x:v>根管治療</x:v>
      </x:c>
      <x:c r="E78" s="37" t="str">
        <x:f>IF(_xlfn.XLOOKUP("UPG|1020|LJT-PREP-RCT",'能力升級候選'!$A$7:$A$258,'能力升級候選'!$R$7:$R$258,"",0)="已核定升級","◎",_xlfn.XLOOKUP("UPG|1020|LJT-PREP-RCT",'能力升級候選'!$A$7:$A$258,'能力升級候選'!$E$7:$E$258,"未評估",0))</x:f>
        <x:v>◎</x:v>
      </x:c>
      <x:c r="F78" s="37" t="str">
        <x:f>IF(COUNTIFS('事件與限制'!$C$7:$C$106,$A78,'事件與限制'!$E$7:$E$106,$C78,'事件與限制'!$M$7:$M$106,"暫停技能資格",'事件與限制'!$Q$7:$Q$106,"生效中")&gt;0,"資格暫停",IF($E78="未評估","未建立",_xlfn.XLOOKUP("ABIL|1020|LJT-PREP-RCT",'主管核定中心'!$A$12:$A$372,'主管核定中心'!$K$12:$K$372,"待主管核定",0)))</x:f>
        <x:v>待主管核定</x:v>
      </x:c>
      <x:c r="G78" s="37" t="str">
        <x:v>初始能力基準</x:v>
      </x:c>
      <x:c r="H78" s="41" t="n">
        <x:v>46266</x:v>
      </x:c>
      <x:c r="I78" s="44" t="str">
        <x:f>_xlfn.XLOOKUP("ABIL|1020|LJT-PREP-RCT",'主管核定中心'!$A$12:$A$372,'主管核定中心'!$I$12:$I$372,"",0)</x:f>
      </x:c>
      <x:c r="J78" s="46" t="str">
        <x:f>_xlfn.XLOOKUP("ABIL|1020|LJT-PREP-RCT",'主管核定中心'!$A$12:$A$372,'主管核定中心'!$H$12:$H$372,"",0)</x:f>
      </x:c>
      <x:c r="K78" s="37" t="n">
        <x:v>31</x:v>
      </x:c>
      <x:c r="L78" s="37" t="str">
        <x:v>1020|LJT-PREP-RCT</x:v>
      </x:c>
    </x:row>
    <x:row r="79">
      <x:c r="A79" s="37" t="str">
        <x:v>1020</x:v>
      </x:c>
      <x:c r="B79" s="37" t="str"/>
      <x:c r="C79" s="37" t="str">
        <x:v>LJT-PREP-EXTRACTION</x:v>
      </x:c>
      <x:c r="D79" s="37" t="str">
        <x:v>拔牙</x:v>
      </x:c>
      <x:c r="E79" s="37" t="str">
        <x:f>IF(_xlfn.XLOOKUP("UPG|1020|LJT-PREP-EXTRACTION",'能力升級候選'!$A$7:$A$258,'能力升級候選'!$R$7:$R$258,"",0)="已核定升級","◎",_xlfn.XLOOKUP("UPG|1020|LJT-PREP-EXTRACTION",'能力升級候選'!$A$7:$A$258,'能力升級候選'!$E$7:$E$258,"未評估",0))</x:f>
        <x:v>◎</x:v>
      </x:c>
      <x:c r="F79" s="37" t="str">
        <x:f>IF(COUNTIFS('事件與限制'!$C$7:$C$106,$A79,'事件與限制'!$E$7:$E$106,$C79,'事件與限制'!$M$7:$M$106,"暫停技能資格",'事件與限制'!$Q$7:$Q$106,"生效中")&gt;0,"資格暫停",IF($E79="未評估","未建立",_xlfn.XLOOKUP("ABIL|1020|LJT-PREP-EXTRACTION",'主管核定中心'!$A$12:$A$372,'主管核定中心'!$K$12:$K$372,"待主管核定",0)))</x:f>
        <x:v>待主管核定</x:v>
      </x:c>
      <x:c r="G79" s="37" t="str">
        <x:v>初始能力基準</x:v>
      </x:c>
      <x:c r="H79" s="41" t="n">
        <x:v>46266</x:v>
      </x:c>
      <x:c r="I79" s="44" t="str">
        <x:f>_xlfn.XLOOKUP("ABIL|1020|LJT-PREP-EXTRACTION",'主管核定中心'!$A$12:$A$372,'主管核定中心'!$I$12:$I$372,"",0)</x:f>
      </x:c>
      <x:c r="J79" s="46" t="str">
        <x:f>_xlfn.XLOOKUP("ABIL|1020|LJT-PREP-EXTRACTION",'主管核定中心'!$A$12:$A$372,'主管核定中心'!$H$12:$H$372,"",0)</x:f>
      </x:c>
      <x:c r="K79" s="37" t="n">
        <x:v>32</x:v>
      </x:c>
      <x:c r="L79" s="37" t="str">
        <x:v>1020|LJT-PREP-EXTRACTION</x:v>
      </x:c>
    </x:row>
    <x:row r="80">
      <x:c r="A80" s="37" t="str">
        <x:v>1020</x:v>
      </x:c>
      <x:c r="B80" s="37" t="str"/>
      <x:c r="C80" s="37" t="str">
        <x:v>LJT-PREP-CROWNPOST</x:v>
      </x:c>
      <x:c r="D80" s="37" t="str">
        <x:v>拆 crown/post</x:v>
      </x:c>
      <x:c r="E80" s="37" t="str">
        <x:f>IF(_xlfn.XLOOKUP("UPG|1020|LJT-PREP-CROWNPOST",'能力升級候選'!$A$7:$A$258,'能力升級候選'!$R$7:$R$258,"",0)="已核定升級","◎",_xlfn.XLOOKUP("UPG|1020|LJT-PREP-CROWNPOST",'能力升級候選'!$A$7:$A$258,'能力升級候選'!$E$7:$E$258,"未評估",0))</x:f>
        <x:v>◎</x:v>
      </x:c>
      <x:c r="F80" s="37" t="str">
        <x:f>IF(COUNTIFS('事件與限制'!$C$7:$C$106,$A80,'事件與限制'!$E$7:$E$106,$C80,'事件與限制'!$M$7:$M$106,"暫停技能資格",'事件與限制'!$Q$7:$Q$106,"生效中")&gt;0,"資格暫停",IF($E80="未評估","未建立",_xlfn.XLOOKUP("ABIL|1020|LJT-PREP-CROWNPOST",'主管核定中心'!$A$12:$A$372,'主管核定中心'!$K$12:$K$372,"待主管核定",0)))</x:f>
        <x:v>待主管核定</x:v>
      </x:c>
      <x:c r="G80" s="37" t="str">
        <x:v>初始能力基準</x:v>
      </x:c>
      <x:c r="H80" s="41" t="n">
        <x:v>46266</x:v>
      </x:c>
      <x:c r="I80" s="44" t="str">
        <x:f>_xlfn.XLOOKUP("ABIL|1020|LJT-PREP-CROWNPOST",'主管核定中心'!$A$12:$A$372,'主管核定中心'!$I$12:$I$372,"",0)</x:f>
      </x:c>
      <x:c r="J80" s="46" t="str">
        <x:f>_xlfn.XLOOKUP("ABIL|1020|LJT-PREP-CROWNPOST",'主管核定中心'!$A$12:$A$372,'主管核定中心'!$H$12:$H$372,"",0)</x:f>
      </x:c>
      <x:c r="K80" s="37" t="n">
        <x:v>33</x:v>
      </x:c>
      <x:c r="L80" s="37" t="str">
        <x:v>1020|LJT-PREP-CROWNPOST</x:v>
      </x:c>
    </x:row>
    <x:row r="81">
      <x:c r="A81" s="37" t="str">
        <x:v>1020</x:v>
      </x:c>
      <x:c r="B81" s="37" t="str"/>
      <x:c r="C81" s="37" t="str">
        <x:v>LJT-PREP-CROWN</x:v>
      </x:c>
      <x:c r="D81" s="37" t="str">
        <x:v>固定假牙</x:v>
      </x:c>
      <x:c r="E81" s="37" t="str">
        <x:f>IF(_xlfn.XLOOKUP("UPG|1020|LJT-PREP-CROWN",'能力升級候選'!$A$7:$A$258,'能力升級候選'!$R$7:$R$258,"",0)="已核定升級","◎",_xlfn.XLOOKUP("UPG|1020|LJT-PREP-CROWN",'能力升級候選'!$A$7:$A$258,'能力升級候選'!$E$7:$E$258,"未評估",0))</x:f>
        <x:v>◎</x:v>
      </x:c>
      <x:c r="F81" s="37" t="str">
        <x:f>IF(COUNTIFS('事件與限制'!$C$7:$C$106,$A81,'事件與限制'!$E$7:$E$106,$C81,'事件與限制'!$M$7:$M$106,"暫停技能資格",'事件與限制'!$Q$7:$Q$106,"生效中")&gt;0,"資格暫停",IF($E81="未評估","未建立",_xlfn.XLOOKUP("ABIL|1020|LJT-PREP-CROWN",'主管核定中心'!$A$12:$A$372,'主管核定中心'!$K$12:$K$372,"待主管核定",0)))</x:f>
        <x:v>待主管核定</x:v>
      </x:c>
      <x:c r="G81" s="37" t="str">
        <x:v>初始能力基準</x:v>
      </x:c>
      <x:c r="H81" s="41" t="n">
        <x:v>46266</x:v>
      </x:c>
      <x:c r="I81" s="44" t="str">
        <x:f>_xlfn.XLOOKUP("ABIL|1020|LJT-PREP-CROWN",'主管核定中心'!$A$12:$A$372,'主管核定中心'!$I$12:$I$372,"",0)</x:f>
      </x:c>
      <x:c r="J81" s="46" t="str">
        <x:f>_xlfn.XLOOKUP("ABIL|1020|LJT-PREP-CROWN",'主管核定中心'!$A$12:$A$372,'主管核定中心'!$H$12:$H$372,"",0)</x:f>
      </x:c>
      <x:c r="K81" s="37" t="n">
        <x:v>34</x:v>
      </x:c>
      <x:c r="L81" s="37" t="str">
        <x:v>1020|LJT-PREP-CROWN</x:v>
      </x:c>
    </x:row>
    <x:row r="82">
      <x:c r="A82" s="37" t="str">
        <x:v>1020</x:v>
      </x:c>
      <x:c r="B82" s="37" t="str"/>
      <x:c r="C82" s="37" t="str">
        <x:v>LJT-PREP-RPD</x:v>
      </x:c>
      <x:c r="D82" s="37" t="str">
        <x:v>RPD</x:v>
      </x:c>
      <x:c r="E82" s="37" t="str">
        <x:f>IF(_xlfn.XLOOKUP("UPG|1020|LJT-PREP-RPD",'能力升級候選'!$A$7:$A$258,'能力升級候選'!$R$7:$R$258,"",0)="已核定升級","◎",_xlfn.XLOOKUP("UPG|1020|LJT-PREP-RPD",'能力升級候選'!$A$7:$A$258,'能力升級候選'!$E$7:$E$258,"未評估",0))</x:f>
        <x:v>◎</x:v>
      </x:c>
      <x:c r="F82" s="37" t="str">
        <x:f>IF(COUNTIFS('事件與限制'!$C$7:$C$106,$A82,'事件與限制'!$E$7:$E$106,$C82,'事件與限制'!$M$7:$M$106,"暫停技能資格",'事件與限制'!$Q$7:$Q$106,"生效中")&gt;0,"資格暫停",IF($E82="未評估","未建立",_xlfn.XLOOKUP("ABIL|1020|LJT-PREP-RPD",'主管核定中心'!$A$12:$A$372,'主管核定中心'!$K$12:$K$372,"待主管核定",0)))</x:f>
        <x:v>待主管核定</x:v>
      </x:c>
      <x:c r="G82" s="37" t="str">
        <x:v>初始能力基準</x:v>
      </x:c>
      <x:c r="H82" s="41" t="n">
        <x:v>46266</x:v>
      </x:c>
      <x:c r="I82" s="44" t="str">
        <x:f>_xlfn.XLOOKUP("ABIL|1020|LJT-PREP-RPD",'主管核定中心'!$A$12:$A$372,'主管核定中心'!$I$12:$I$372,"",0)</x:f>
      </x:c>
      <x:c r="J82" s="46" t="str">
        <x:f>_xlfn.XLOOKUP("ABIL|1020|LJT-PREP-RPD",'主管核定中心'!$A$12:$A$372,'主管核定中心'!$H$12:$H$372,"",0)</x:f>
      </x:c>
      <x:c r="K82" s="37" t="n">
        <x:v>35</x:v>
      </x:c>
      <x:c r="L82" s="37" t="str">
        <x:v>1020|LJT-PREP-RPD</x:v>
      </x:c>
    </x:row>
    <x:row r="83">
      <x:c r="A83" s="37" t="str">
        <x:v>1020</x:v>
      </x:c>
      <x:c r="B83" s="37" t="str"/>
      <x:c r="C83" s="37" t="str">
        <x:v>LJT-PREP-AIRPOLISH</x:v>
      </x:c>
      <x:c r="D83" s="37" t="str">
        <x:v>噴砂美白</x:v>
      </x:c>
      <x:c r="E83" s="37" t="str">
        <x:f>IF(_xlfn.XLOOKUP("UPG|1020|LJT-PREP-AIRPOLISH",'能力升級候選'!$A$7:$A$258,'能力升級候選'!$R$7:$R$258,"",0)="已核定升級","◎",_xlfn.XLOOKUP("UPG|1020|LJT-PREP-AIRPOLISH",'能力升級候選'!$A$7:$A$258,'能力升級候選'!$E$7:$E$258,"未評估",0))</x:f>
        <x:v>◎</x:v>
      </x:c>
      <x:c r="F83" s="37" t="str">
        <x:f>IF(COUNTIFS('事件與限制'!$C$7:$C$106,$A83,'事件與限制'!$E$7:$E$106,$C83,'事件與限制'!$M$7:$M$106,"暫停技能資格",'事件與限制'!$Q$7:$Q$106,"生效中")&gt;0,"資格暫停",IF($E83="未評估","未建立",_xlfn.XLOOKUP("ABIL|1020|LJT-PREP-AIRPOLISH",'主管核定中心'!$A$12:$A$372,'主管核定中心'!$K$12:$K$372,"待主管核定",0)))</x:f>
        <x:v>待主管核定</x:v>
      </x:c>
      <x:c r="G83" s="37" t="str">
        <x:v>初始能力基準</x:v>
      </x:c>
      <x:c r="H83" s="41" t="n">
        <x:v>46266</x:v>
      </x:c>
      <x:c r="I83" s="44" t="str">
        <x:f>_xlfn.XLOOKUP("ABIL|1020|LJT-PREP-AIRPOLISH",'主管核定中心'!$A$12:$A$372,'主管核定中心'!$I$12:$I$372,"",0)</x:f>
      </x:c>
      <x:c r="J83" s="46" t="str">
        <x:f>_xlfn.XLOOKUP("ABIL|1020|LJT-PREP-AIRPOLISH",'主管核定中心'!$A$12:$A$372,'主管核定中心'!$H$12:$H$372,"",0)</x:f>
      </x:c>
      <x:c r="K83" s="37" t="n">
        <x:v>36</x:v>
      </x:c>
      <x:c r="L83" s="37" t="str">
        <x:v>1020|LJT-PREP-AIRPOLISH</x:v>
      </x:c>
    </x:row>
    <x:row r="84">
      <x:c r="A84" s="37" t="str">
        <x:v>1020</x:v>
      </x:c>
      <x:c r="B84" s="37" t="str"/>
      <x:c r="C84" s="37" t="str">
        <x:v>LJT-PREP-PERIOSURG</x:v>
      </x:c>
      <x:c r="D84" s="37" t="str">
        <x:v>牙周手術</x:v>
      </x:c>
      <x:c r="E84" s="37" t="str">
        <x:f>IF(_xlfn.XLOOKUP("UPG|1020|LJT-PREP-PERIOSURG",'能力升級候選'!$A$7:$A$258,'能力升級候選'!$R$7:$R$258,"",0)="已核定升級","◎",_xlfn.XLOOKUP("UPG|1020|LJT-PREP-PERIOSURG",'能力升級候選'!$A$7:$A$258,'能力升級候選'!$E$7:$E$258,"未評估",0))</x:f>
        <x:v>◎</x:v>
      </x:c>
      <x:c r="F84" s="37" t="str">
        <x:f>IF(COUNTIFS('事件與限制'!$C$7:$C$106,$A84,'事件與限制'!$E$7:$E$106,$C84,'事件與限制'!$M$7:$M$106,"暫停技能資格",'事件與限制'!$Q$7:$Q$106,"生效中")&gt;0,"資格暫停",IF($E84="未評估","未建立",_xlfn.XLOOKUP("ABIL|1020|LJT-PREP-PERIOSURG",'主管核定中心'!$A$12:$A$372,'主管核定中心'!$K$12:$K$372,"待主管核定",0)))</x:f>
        <x:v>待主管核定</x:v>
      </x:c>
      <x:c r="G84" s="37" t="str">
        <x:v>初始能力基準</x:v>
      </x:c>
      <x:c r="H84" s="41" t="n">
        <x:v>46266</x:v>
      </x:c>
      <x:c r="I84" s="44" t="str">
        <x:f>_xlfn.XLOOKUP("ABIL|1020|LJT-PREP-PERIOSURG",'主管核定中心'!$A$12:$A$372,'主管核定中心'!$I$12:$I$372,"",0)</x:f>
      </x:c>
      <x:c r="J84" s="46" t="str">
        <x:f>_xlfn.XLOOKUP("ABIL|1020|LJT-PREP-PERIOSURG",'主管核定中心'!$A$12:$A$372,'主管核定中心'!$H$12:$H$372,"",0)</x:f>
      </x:c>
      <x:c r="K84" s="37" t="n">
        <x:v>37</x:v>
      </x:c>
      <x:c r="L84" s="37" t="str">
        <x:v>1020|LJT-PREP-PERIOSURG</x:v>
      </x:c>
    </x:row>
    <x:row r="85">
      <x:c r="A85" s="37" t="str">
        <x:v>1020</x:v>
      </x:c>
      <x:c r="B85" s="37" t="str"/>
      <x:c r="C85" s="37" t="str">
        <x:v>LJT-PREP-MICROENDO</x:v>
      </x:c>
      <x:c r="D85" s="37" t="str">
        <x:v>顯微根管</x:v>
      </x:c>
      <x:c r="E85" s="37" t="str">
        <x:f>IF(_xlfn.XLOOKUP("UPG|1020|LJT-PREP-MICROENDO",'能力升級候選'!$A$7:$A$258,'能力升級候選'!$R$7:$R$258,"",0)="已核定升級","◎",_xlfn.XLOOKUP("UPG|1020|LJT-PREP-MICROENDO",'能力升級候選'!$A$7:$A$258,'能力升級候選'!$E$7:$E$258,"未評估",0))</x:f>
        <x:v>◎</x:v>
      </x:c>
      <x:c r="F85" s="37" t="str">
        <x:f>IF(COUNTIFS('事件與限制'!$C$7:$C$106,$A85,'事件與限制'!$E$7:$E$106,$C85,'事件與限制'!$M$7:$M$106,"暫停技能資格",'事件與限制'!$Q$7:$Q$106,"生效中")&gt;0,"資格暫停",IF($E85="未評估","未建立",_xlfn.XLOOKUP("ABIL|1020|LJT-PREP-MICROENDO",'主管核定中心'!$A$12:$A$372,'主管核定中心'!$K$12:$K$372,"待主管核定",0)))</x:f>
        <x:v>待主管核定</x:v>
      </x:c>
      <x:c r="G85" s="37" t="str">
        <x:v>初始能力基準</x:v>
      </x:c>
      <x:c r="H85" s="41" t="n">
        <x:v>46266</x:v>
      </x:c>
      <x:c r="I85" s="44" t="str">
        <x:f>_xlfn.XLOOKUP("ABIL|1020|LJT-PREP-MICROENDO",'主管核定中心'!$A$12:$A$372,'主管核定中心'!$I$12:$I$372,"",0)</x:f>
      </x:c>
      <x:c r="J85" s="46" t="str">
        <x:f>_xlfn.XLOOKUP("ABIL|1020|LJT-PREP-MICROENDO",'主管核定中心'!$A$12:$A$372,'主管核定中心'!$H$12:$H$372,"",0)</x:f>
      </x:c>
      <x:c r="K85" s="37" t="n">
        <x:v>38</x:v>
      </x:c>
      <x:c r="L85" s="37" t="str">
        <x:v>1020|LJT-PREP-MICROENDO</x:v>
      </x:c>
    </x:row>
    <x:row r="86">
      <x:c r="A86" s="37" t="str">
        <x:v>1020</x:v>
      </x:c>
      <x:c r="B86" s="37" t="str"/>
      <x:c r="C86" s="37" t="str">
        <x:v>LJT-PREP-IMPLANT</x:v>
      </x:c>
      <x:c r="D86" s="37" t="str">
        <x:v>植 牙</x:v>
      </x:c>
      <x:c r="E86" s="37" t="str">
        <x:f>IF(_xlfn.XLOOKUP("UPG|1020|LJT-PREP-IMPLANT",'能力升級候選'!$A$7:$A$258,'能力升級候選'!$R$7:$R$258,"",0)="已核定升級","◎",_xlfn.XLOOKUP("UPG|1020|LJT-PREP-IMPLANT",'能力升級候選'!$A$7:$A$258,'能力升級候選'!$E$7:$E$258,"未評估",0))</x:f>
        <x:v>◎</x:v>
      </x:c>
      <x:c r="F86" s="37" t="str">
        <x:f>IF(COUNTIFS('事件與限制'!$C$7:$C$106,$A86,'事件與限制'!$E$7:$E$106,$C86,'事件與限制'!$M$7:$M$106,"暫停技能資格",'事件與限制'!$Q$7:$Q$106,"生效中")&gt;0,"資格暫停",IF($E86="未評估","未建立",_xlfn.XLOOKUP("ABIL|1020|LJT-PREP-IMPLANT",'主管核定中心'!$A$12:$A$372,'主管核定中心'!$K$12:$K$372,"待主管核定",0)))</x:f>
        <x:v>待主管核定</x:v>
      </x:c>
      <x:c r="G86" s="37" t="str">
        <x:v>初始能力基準</x:v>
      </x:c>
      <x:c r="H86" s="41" t="n">
        <x:v>46266</x:v>
      </x:c>
      <x:c r="I86" s="44" t="str">
        <x:f>_xlfn.XLOOKUP("ABIL|1020|LJT-PREP-IMPLANT",'主管核定中心'!$A$12:$A$372,'主管核定中心'!$I$12:$I$372,"",0)</x:f>
      </x:c>
      <x:c r="J86" s="46" t="str">
        <x:f>_xlfn.XLOOKUP("ABIL|1020|LJT-PREP-IMPLANT",'主管核定中心'!$A$12:$A$372,'主管核定中心'!$H$12:$H$372,"",0)</x:f>
      </x:c>
      <x:c r="K86" s="37" t="n">
        <x:v>39</x:v>
      </x:c>
      <x:c r="L86" s="37" t="str">
        <x:v>1020|LJT-PREP-IMPLANT</x:v>
      </x:c>
    </x:row>
    <x:row r="87">
      <x:c r="A87" s="37" t="str">
        <x:v>1020</x:v>
      </x:c>
      <x:c r="B87" s="37" t="str"/>
      <x:c r="C87" s="37" t="str">
        <x:v>COMMON-RECORD</x:v>
      </x:c>
      <x:c r="D87" s="37" t="str">
        <x:v>病歷紀錄</x:v>
      </x:c>
      <x:c r="E87" s="37" t="str">
        <x:f>IF(_xlfn.XLOOKUP("UPG|1020|COMMON-RECORD",'能力升級候選'!$A$7:$A$258,'能力升級候選'!$R$7:$R$258,"",0)="已核定升級","◎",_xlfn.XLOOKUP("UPG|1020|COMMON-RECORD",'能力升級候選'!$A$7:$A$258,'能力升級候選'!$E$7:$E$258,"未評估",0))</x:f>
        <x:v>◎</x:v>
      </x:c>
      <x:c r="F87" s="37" t="str">
        <x:f>IF(COUNTIFS('事件與限制'!$C$7:$C$106,$A87,'事件與限制'!$E$7:$E$106,$C87,'事件與限制'!$M$7:$M$106,"暫停技能資格",'事件與限制'!$Q$7:$Q$106,"生效中")&gt;0,"資格暫停",IF($E87="未評估","未建立",_xlfn.XLOOKUP("ABIL|1020|COMMON-RECORD",'主管核定中心'!$A$12:$A$372,'主管核定中心'!$K$12:$K$372,"待主管核定",0)))</x:f>
        <x:v>待主管核定</x:v>
      </x:c>
      <x:c r="G87" s="37" t="str">
        <x:v>初始能力基準</x:v>
      </x:c>
      <x:c r="H87" s="41" t="n">
        <x:v>46266</x:v>
      </x:c>
      <x:c r="I87" s="44" t="str">
        <x:f>_xlfn.XLOOKUP("ABIL|1020|COMMON-RECORD",'主管核定中心'!$A$12:$A$372,'主管核定中心'!$I$12:$I$372,"",0)</x:f>
      </x:c>
      <x:c r="J87" s="46" t="str">
        <x:f>_xlfn.XLOOKUP("ABIL|1020|COMMON-RECORD",'主管核定中心'!$A$12:$A$372,'主管核定中心'!$H$12:$H$372,"",0)</x:f>
      </x:c>
      <x:c r="K87" s="37" t="n">
        <x:v>41</x:v>
      </x:c>
      <x:c r="L87" s="37" t="str">
        <x:v>1020|COMMON-RECORD</x:v>
      </x:c>
    </x:row>
    <x:row r="88">
      <x:c r="A88" s="37" t="str">
        <x:v>1020</x:v>
      </x:c>
      <x:c r="B88" s="37" t="str"/>
      <x:c r="C88" s="37" t="str">
        <x:v>COMMON-INSURANCE</x:v>
      </x:c>
      <x:c r="D88" s="37" t="str">
        <x:v>健保申報</x:v>
      </x:c>
      <x:c r="E88" s="37" t="str">
        <x:f>IF(_xlfn.XLOOKUP("UPG|1020|COMMON-INSURANCE",'能力升級候選'!$A$7:$A$258,'能力升級候選'!$R$7:$R$258,"",0)="已核定升級","◎",_xlfn.XLOOKUP("UPG|1020|COMMON-INSURANCE",'能力升級候選'!$A$7:$A$258,'能力升級候選'!$E$7:$E$258,"未評估",0))</x:f>
        <x:v>◎</x:v>
      </x:c>
      <x:c r="F88" s="37" t="str">
        <x:f>IF(COUNTIFS('事件與限制'!$C$7:$C$106,$A88,'事件與限制'!$E$7:$E$106,$C88,'事件與限制'!$M$7:$M$106,"暫停技能資格",'事件與限制'!$Q$7:$Q$106,"生效中")&gt;0,"資格暫停",IF($E88="未評估","未建立",_xlfn.XLOOKUP("ABIL|1020|COMMON-INSURANCE",'主管核定中心'!$A$12:$A$372,'主管核定中心'!$K$12:$K$372,"待主管核定",0)))</x:f>
        <x:v>待主管核定</x:v>
      </x:c>
      <x:c r="G88" s="37" t="str">
        <x:v>初始能力基準</x:v>
      </x:c>
      <x:c r="H88" s="41" t="n">
        <x:v>46266</x:v>
      </x:c>
      <x:c r="I88" s="44" t="str">
        <x:f>_xlfn.XLOOKUP("ABIL|1020|COMMON-INSURANCE",'主管核定中心'!$A$12:$A$372,'主管核定中心'!$I$12:$I$372,"",0)</x:f>
      </x:c>
      <x:c r="J88" s="46" t="str">
        <x:f>_xlfn.XLOOKUP("ABIL|1020|COMMON-INSURANCE",'主管核定中心'!$A$12:$A$372,'主管核定中心'!$H$12:$H$372,"",0)</x:f>
      </x:c>
      <x:c r="K88" s="37" t="n">
        <x:v>42</x:v>
      </x:c>
      <x:c r="L88" s="37" t="str">
        <x:v>1020|COMMON-INSURANCE</x:v>
      </x:c>
    </x:row>
    <x:row r="89">
      <x:c r="A89" s="37" t="str">
        <x:v>1020</x:v>
      </x:c>
      <x:c r="B89" s="37" t="str"/>
      <x:c r="C89" s="37" t="str">
        <x:v>COMMON-XRAY-RECORD</x:v>
      </x:c>
      <x:c r="D89" s="37" t="str">
        <x:v>X光片紀錄</x:v>
      </x:c>
      <x:c r="E89" s="37" t="str">
        <x:f>IF(_xlfn.XLOOKUP("UPG|1020|COMMON-XRAY-RECORD",'能力升級候選'!$A$7:$A$258,'能力升級候選'!$R$7:$R$258,"",0)="已核定升級","◎",_xlfn.XLOOKUP("UPG|1020|COMMON-XRAY-RECORD",'能力升級候選'!$A$7:$A$258,'能力升級候選'!$E$7:$E$258,"未評估",0))</x:f>
        <x:v>◎</x:v>
      </x:c>
      <x:c r="F89" s="37" t="str">
        <x:f>IF(COUNTIFS('事件與限制'!$C$7:$C$106,$A89,'事件與限制'!$E$7:$E$106,$C89,'事件與限制'!$M$7:$M$106,"暫停技能資格",'事件與限制'!$Q$7:$Q$106,"生效中")&gt;0,"資格暫停",IF($E89="未評估","未建立",_xlfn.XLOOKUP("ABIL|1020|COMMON-XRAY-RECORD",'主管核定中心'!$A$12:$A$372,'主管核定中心'!$K$12:$K$372,"待主管核定",0)))</x:f>
        <x:v>待主管核定</x:v>
      </x:c>
      <x:c r="G89" s="37" t="str">
        <x:v>初始能力基準</x:v>
      </x:c>
      <x:c r="H89" s="41" t="n">
        <x:v>46266</x:v>
      </x:c>
      <x:c r="I89" s="44" t="str">
        <x:f>_xlfn.XLOOKUP("ABIL|1020|COMMON-XRAY-RECORD",'主管核定中心'!$A$12:$A$372,'主管核定中心'!$I$12:$I$372,"",0)</x:f>
      </x:c>
      <x:c r="J89" s="46" t="str">
        <x:f>_xlfn.XLOOKUP("ABIL|1020|COMMON-XRAY-RECORD",'主管核定中心'!$A$12:$A$372,'主管核定中心'!$H$12:$H$372,"",0)</x:f>
      </x:c>
      <x:c r="K89" s="37" t="n">
        <x:v>43</x:v>
      </x:c>
      <x:c r="L89" s="37" t="str">
        <x:v>1020|COMMON-XRAY-RECORD</x:v>
      </x:c>
    </x:row>
    <x:row r="90">
      <x:c r="A90" s="37" t="str">
        <x:v>1020</x:v>
      </x:c>
      <x:c r="B90" s="37" t="str"/>
      <x:c r="C90" s="37" t="str">
        <x:v>COMMON-PA</x:v>
      </x:c>
      <x:c r="D90" s="37" t="str">
        <x:v>拍PA</x:v>
      </x:c>
      <x:c r="E90" s="37" t="str">
        <x:f>IF(_xlfn.XLOOKUP("UPG|1020|COMMON-PA",'能力升級候選'!$A$7:$A$258,'能力升級候選'!$R$7:$R$258,"",0)="已核定升級","◎",_xlfn.XLOOKUP("UPG|1020|COMMON-PA",'能力升級候選'!$A$7:$A$258,'能力升級候選'!$E$7:$E$258,"未評估",0))</x:f>
        <x:v>◎</x:v>
      </x:c>
      <x:c r="F90" s="37" t="str">
        <x:f>IF(COUNTIFS('事件與限制'!$C$7:$C$106,$A90,'事件與限制'!$E$7:$E$106,$C90,'事件與限制'!$M$7:$M$106,"暫停技能資格",'事件與限制'!$Q$7:$Q$106,"生效中")&gt;0,"資格暫停",IF($E90="未評估","未建立",_xlfn.XLOOKUP("ABIL|1020|COMMON-PA",'主管核定中心'!$A$12:$A$372,'主管核定中心'!$K$12:$K$372,"待主管核定",0)))</x:f>
        <x:v>待主管核定</x:v>
      </x:c>
      <x:c r="G90" s="37" t="str">
        <x:v>初始能力基準</x:v>
      </x:c>
      <x:c r="H90" s="41" t="n">
        <x:v>46266</x:v>
      </x:c>
      <x:c r="I90" s="44" t="str">
        <x:f>_xlfn.XLOOKUP("ABIL|1020|COMMON-PA",'主管核定中心'!$A$12:$A$372,'主管核定中心'!$I$12:$I$372,"",0)</x:f>
      </x:c>
      <x:c r="J90" s="46" t="str">
        <x:f>_xlfn.XLOOKUP("ABIL|1020|COMMON-PA",'主管核定中心'!$A$12:$A$372,'主管核定中心'!$H$12:$H$372,"",0)</x:f>
      </x:c>
      <x:c r="K90" s="37" t="n">
        <x:v>44</x:v>
      </x:c>
      <x:c r="L90" s="37" t="str">
        <x:v>1020|COMMON-PA</x:v>
      </x:c>
    </x:row>
    <x:row r="91">
      <x:c r="A91" s="37" t="str">
        <x:v>1020</x:v>
      </x:c>
      <x:c r="B91" s="37" t="str"/>
      <x:c r="C91" s="37" t="str">
        <x:v>COMMON-IOS</x:v>
      </x:c>
      <x:c r="D91" s="37" t="str">
        <x:v>口掃機運用</x:v>
      </x:c>
      <x:c r="E91" s="37" t="str">
        <x:f>IF(_xlfn.XLOOKUP("UPG|1020|COMMON-IOS",'能力升級候選'!$A$7:$A$258,'能力升級候選'!$R$7:$R$258,"",0)="已核定升級","◎",_xlfn.XLOOKUP("UPG|1020|COMMON-IOS",'能力升級候選'!$A$7:$A$258,'能力升級候選'!$E$7:$E$258,"未評估",0))</x:f>
        <x:v>◎</x:v>
      </x:c>
      <x:c r="F91" s="37" t="str">
        <x:f>IF(COUNTIFS('事件與限制'!$C$7:$C$106,$A91,'事件與限制'!$E$7:$E$106,$C91,'事件與限制'!$M$7:$M$106,"暫停技能資格",'事件與限制'!$Q$7:$Q$106,"生效中")&gt;0,"資格暫停",IF($E91="未評估","未建立",_xlfn.XLOOKUP("ABIL|1020|COMMON-IOS",'主管核定中心'!$A$12:$A$372,'主管核定中心'!$K$12:$K$372,"待主管核定",0)))</x:f>
        <x:v>待主管核定</x:v>
      </x:c>
      <x:c r="G91" s="37" t="str">
        <x:v>初始能力基準</x:v>
      </x:c>
      <x:c r="H91" s="41" t="n">
        <x:v>46266</x:v>
      </x:c>
      <x:c r="I91" s="44" t="str">
        <x:f>_xlfn.XLOOKUP("ABIL|1020|COMMON-IOS",'主管核定中心'!$A$12:$A$372,'主管核定中心'!$I$12:$I$372,"",0)</x:f>
      </x:c>
      <x:c r="J91" s="46" t="str">
        <x:f>_xlfn.XLOOKUP("ABIL|1020|COMMON-IOS",'主管核定中心'!$A$12:$A$372,'主管核定中心'!$H$12:$H$372,"",0)</x:f>
      </x:c>
      <x:c r="K91" s="37" t="n">
        <x:v>45</x:v>
      </x:c>
      <x:c r="L91" s="37" t="str">
        <x:v>1020|COMMON-IOS</x:v>
      </x:c>
    </x:row>
    <x:row r="92">
      <x:c r="A92" s="37" t="str">
        <x:v>1025</x:v>
      </x:c>
      <x:c r="B92" s="37" t="str"/>
      <x:c r="C92" s="37" t="str">
        <x:v>LJT-PREP-SCALING</x:v>
      </x:c>
      <x:c r="D92" s="37" t="str">
        <x:v>洗牙</x:v>
      </x:c>
      <x:c r="E92" s="37" t="str">
        <x:f>IF(_xlfn.XLOOKUP("UPG|1025|LJT-PREP-SCALING",'能力升級候選'!$A$7:$A$258,'能力升級候選'!$R$7:$R$258,"",0)="已核定升級","◎",_xlfn.XLOOKUP("UPG|1025|LJT-PREP-SCALING",'能力升級候選'!$A$7:$A$258,'能力升級候選'!$E$7:$E$258,"未評估",0))</x:f>
        <x:v>Ø</x:v>
      </x:c>
      <x:c r="F92" s="37" t="str">
        <x:f>IF(COUNTIFS('事件與限制'!$C$7:$C$106,$A92,'事件與限制'!$E$7:$E$106,$C92,'事件與限制'!$M$7:$M$106,"暫停技能資格",'事件與限制'!$Q$7:$Q$106,"生效中")&gt;0,"資格暫停",IF($E92="未評估","未建立",_xlfn.XLOOKUP("ABIL|1025|LJT-PREP-SCALING",'主管核定中心'!$A$12:$A$372,'主管核定中心'!$K$12:$K$372,"待主管核定",0)))</x:f>
        <x:v>待主管核定</x:v>
      </x:c>
      <x:c r="G92" s="37" t="str">
        <x:v>初始能力基準</x:v>
      </x:c>
      <x:c r="H92" s="41" t="n">
        <x:v>46266</x:v>
      </x:c>
      <x:c r="I92" s="44" t="str">
        <x:f>_xlfn.XLOOKUP("ABIL|1025|LJT-PREP-SCALING",'主管核定中心'!$A$12:$A$372,'主管核定中心'!$I$12:$I$372,"",0)</x:f>
      </x:c>
      <x:c r="J92" s="46" t="str">
        <x:f>_xlfn.XLOOKUP("ABIL|1025|LJT-PREP-SCALING",'主管核定中心'!$A$12:$A$372,'主管核定中心'!$H$12:$H$372,"",0)</x:f>
      </x:c>
      <x:c r="K92" s="37" t="n">
        <x:v>28</x:v>
      </x:c>
      <x:c r="L92" s="37" t="str">
        <x:v>1025|LJT-PREP-SCALING</x:v>
      </x:c>
    </x:row>
    <x:row r="93">
      <x:c r="A93" s="37" t="str">
        <x:v>1025</x:v>
      </x:c>
      <x:c r="B93" s="37" t="str"/>
      <x:c r="C93" s="37" t="str">
        <x:v>LJT-PREP-FILLING</x:v>
      </x:c>
      <x:c r="D93" s="37" t="str">
        <x:v>補牙</x:v>
      </x:c>
      <x:c r="E93" s="37" t="str">
        <x:f>IF(_xlfn.XLOOKUP("UPG|1025|LJT-PREP-FILLING",'能力升級候選'!$A$7:$A$258,'能力升級候選'!$R$7:$R$258,"",0)="已核定升級","◎",_xlfn.XLOOKUP("UPG|1025|LJT-PREP-FILLING",'能力升級候選'!$A$7:$A$258,'能力升級候選'!$E$7:$E$258,"未評估",0))</x:f>
        <x:v>Ø</x:v>
      </x:c>
      <x:c r="F93" s="37" t="str">
        <x:f>IF(COUNTIFS('事件與限制'!$C$7:$C$106,$A93,'事件與限制'!$E$7:$E$106,$C93,'事件與限制'!$M$7:$M$106,"暫停技能資格",'事件與限制'!$Q$7:$Q$106,"生效中")&gt;0,"資格暫停",IF($E93="未評估","未建立",_xlfn.XLOOKUP("ABIL|1025|LJT-PREP-FILLING",'主管核定中心'!$A$12:$A$372,'主管核定中心'!$K$12:$K$372,"待主管核定",0)))</x:f>
        <x:v>待主管核定</x:v>
      </x:c>
      <x:c r="G93" s="37" t="str">
        <x:v>初始能力基準</x:v>
      </x:c>
      <x:c r="H93" s="41" t="n">
        <x:v>46266</x:v>
      </x:c>
      <x:c r="I93" s="44" t="str">
        <x:f>_xlfn.XLOOKUP("ABIL|1025|LJT-PREP-FILLING",'主管核定中心'!$A$12:$A$372,'主管核定中心'!$I$12:$I$372,"",0)</x:f>
      </x:c>
      <x:c r="J93" s="46" t="str">
        <x:f>_xlfn.XLOOKUP("ABIL|1025|LJT-PREP-FILLING",'主管核定中心'!$A$12:$A$372,'主管核定中心'!$H$12:$H$372,"",0)</x:f>
      </x:c>
      <x:c r="K93" s="37" t="n">
        <x:v>29</x:v>
      </x:c>
      <x:c r="L93" s="37" t="str">
        <x:v>1025|LJT-PREP-FILLING</x:v>
      </x:c>
    </x:row>
    <x:row r="94">
      <x:c r="A94" s="37" t="str">
        <x:v>1025</x:v>
      </x:c>
      <x:c r="B94" s="37" t="str"/>
      <x:c r="C94" s="37" t="str">
        <x:v>LJT-PREP-PERIO</x:v>
      </x:c>
      <x:c r="D94" s="37" t="str">
        <x:v>牙周統合</x:v>
      </x:c>
      <x:c r="E94" s="37" t="str">
        <x:f>IF(_xlfn.XLOOKUP("UPG|1025|LJT-PREP-PERIO",'能力升級候選'!$A$7:$A$258,'能力升級候選'!$R$7:$R$258,"",0)="已核定升級","◎",_xlfn.XLOOKUP("UPG|1025|LJT-PREP-PERIO",'能力升級候選'!$A$7:$A$258,'能力升級候選'!$E$7:$E$258,"未評估",0))</x:f>
        <x:v>Ø</x:v>
      </x:c>
      <x:c r="F94" s="37" t="str">
        <x:f>IF(COUNTIFS('事件與限制'!$C$7:$C$106,$A94,'事件與限制'!$E$7:$E$106,$C94,'事件與限制'!$M$7:$M$106,"暫停技能資格",'事件與限制'!$Q$7:$Q$106,"生效中")&gt;0,"資格暫停",IF($E94="未評估","未建立",_xlfn.XLOOKUP("ABIL|1025|LJT-PREP-PERIO",'主管核定中心'!$A$12:$A$372,'主管核定中心'!$K$12:$K$372,"待主管核定",0)))</x:f>
        <x:v>待主管核定</x:v>
      </x:c>
      <x:c r="G94" s="37" t="str">
        <x:v>初始能力基準</x:v>
      </x:c>
      <x:c r="H94" s="41" t="n">
        <x:v>46266</x:v>
      </x:c>
      <x:c r="I94" s="44" t="str">
        <x:f>_xlfn.XLOOKUP("ABIL|1025|LJT-PREP-PERIO",'主管核定中心'!$A$12:$A$372,'主管核定中心'!$I$12:$I$372,"",0)</x:f>
      </x:c>
      <x:c r="J94" s="46" t="str">
        <x:f>_xlfn.XLOOKUP("ABIL|1025|LJT-PREP-PERIO",'主管核定中心'!$A$12:$A$372,'主管核定中心'!$H$12:$H$372,"",0)</x:f>
      </x:c>
      <x:c r="K94" s="37" t="n">
        <x:v>30</x:v>
      </x:c>
      <x:c r="L94" s="37" t="str">
        <x:v>1025|LJT-PREP-PERIO</x:v>
      </x:c>
    </x:row>
    <x:row r="95">
      <x:c r="A95" s="37" t="str">
        <x:v>1025</x:v>
      </x:c>
      <x:c r="B95" s="37" t="str"/>
      <x:c r="C95" s="37" t="str">
        <x:v>LJT-PREP-RCT</x:v>
      </x:c>
      <x:c r="D95" s="37" t="str">
        <x:v>根管治療</x:v>
      </x:c>
      <x:c r="E95" s="37" t="str">
        <x:f>IF(_xlfn.XLOOKUP("UPG|1025|LJT-PREP-RCT",'能力升級候選'!$A$7:$A$258,'能力升級候選'!$R$7:$R$258,"",0)="已核定升級","◎",_xlfn.XLOOKUP("UPG|1025|LJT-PREP-RCT",'能力升級候選'!$A$7:$A$258,'能力升級候選'!$E$7:$E$258,"未評估",0))</x:f>
        <x:v>Ø</x:v>
      </x:c>
      <x:c r="F95" s="37" t="str">
        <x:f>IF(COUNTIFS('事件與限制'!$C$7:$C$106,$A95,'事件與限制'!$E$7:$E$106,$C95,'事件與限制'!$M$7:$M$106,"暫停技能資格",'事件與限制'!$Q$7:$Q$106,"生效中")&gt;0,"資格暫停",IF($E95="未評估","未建立",_xlfn.XLOOKUP("ABIL|1025|LJT-PREP-RCT",'主管核定中心'!$A$12:$A$372,'主管核定中心'!$K$12:$K$372,"待主管核定",0)))</x:f>
        <x:v>待主管核定</x:v>
      </x:c>
      <x:c r="G95" s="37" t="str">
        <x:v>初始能力基準</x:v>
      </x:c>
      <x:c r="H95" s="41" t="n">
        <x:v>46266</x:v>
      </x:c>
      <x:c r="I95" s="44" t="str">
        <x:f>_xlfn.XLOOKUP("ABIL|1025|LJT-PREP-RCT",'主管核定中心'!$A$12:$A$372,'主管核定中心'!$I$12:$I$372,"",0)</x:f>
      </x:c>
      <x:c r="J95" s="46" t="str">
        <x:f>_xlfn.XLOOKUP("ABIL|1025|LJT-PREP-RCT",'主管核定中心'!$A$12:$A$372,'主管核定中心'!$H$12:$H$372,"",0)</x:f>
      </x:c>
      <x:c r="K95" s="37" t="n">
        <x:v>31</x:v>
      </x:c>
      <x:c r="L95" s="37" t="str">
        <x:v>1025|LJT-PREP-RCT</x:v>
      </x:c>
    </x:row>
    <x:row r="96">
      <x:c r="A96" s="37" t="str">
        <x:v>1025</x:v>
      </x:c>
      <x:c r="B96" s="37" t="str"/>
      <x:c r="C96" s="37" t="str">
        <x:v>LJT-PREP-EXTRACTION</x:v>
      </x:c>
      <x:c r="D96" s="37" t="str">
        <x:v>拔牙</x:v>
      </x:c>
      <x:c r="E96" s="37" t="str">
        <x:f>IF(_xlfn.XLOOKUP("UPG|1025|LJT-PREP-EXTRACTION",'能力升級候選'!$A$7:$A$258,'能力升級候選'!$R$7:$R$258,"",0)="已核定升級","◎",_xlfn.XLOOKUP("UPG|1025|LJT-PREP-EXTRACTION",'能力升級候選'!$A$7:$A$258,'能力升級候選'!$E$7:$E$258,"未評估",0))</x:f>
        <x:v>Ø</x:v>
      </x:c>
      <x:c r="F96" s="37" t="str">
        <x:f>IF(COUNTIFS('事件與限制'!$C$7:$C$106,$A96,'事件與限制'!$E$7:$E$106,$C96,'事件與限制'!$M$7:$M$106,"暫停技能資格",'事件與限制'!$Q$7:$Q$106,"生效中")&gt;0,"資格暫停",IF($E96="未評估","未建立",_xlfn.XLOOKUP("ABIL|1025|LJT-PREP-EXTRACTION",'主管核定中心'!$A$12:$A$372,'主管核定中心'!$K$12:$K$372,"待主管核定",0)))</x:f>
        <x:v>待主管核定</x:v>
      </x:c>
      <x:c r="G96" s="37" t="str">
        <x:v>初始能力基準</x:v>
      </x:c>
      <x:c r="H96" s="41" t="n">
        <x:v>46266</x:v>
      </x:c>
      <x:c r="I96" s="44" t="str">
        <x:f>_xlfn.XLOOKUP("ABIL|1025|LJT-PREP-EXTRACTION",'主管核定中心'!$A$12:$A$372,'主管核定中心'!$I$12:$I$372,"",0)</x:f>
      </x:c>
      <x:c r="J96" s="46" t="str">
        <x:f>_xlfn.XLOOKUP("ABIL|1025|LJT-PREP-EXTRACTION",'主管核定中心'!$A$12:$A$372,'主管核定中心'!$H$12:$H$372,"",0)</x:f>
      </x:c>
      <x:c r="K96" s="37" t="n">
        <x:v>32</x:v>
      </x:c>
      <x:c r="L96" s="37" t="str">
        <x:v>1025|LJT-PREP-EXTRACTION</x:v>
      </x:c>
    </x:row>
    <x:row r="97">
      <x:c r="A97" s="37" t="str">
        <x:v>1025</x:v>
      </x:c>
      <x:c r="B97" s="37" t="str"/>
      <x:c r="C97" s="37" t="str">
        <x:v>LJT-PREP-CROWNPOST</x:v>
      </x:c>
      <x:c r="D97" s="37" t="str">
        <x:v>拆 crown/post</x:v>
      </x:c>
      <x:c r="E97" s="37" t="str">
        <x:f>IF(_xlfn.XLOOKUP("UPG|1025|LJT-PREP-CROWNPOST",'能力升級候選'!$A$7:$A$258,'能力升級候選'!$R$7:$R$258,"",0)="已核定升級","◎",_xlfn.XLOOKUP("UPG|1025|LJT-PREP-CROWNPOST",'能力升級候選'!$A$7:$A$258,'能力升級候選'!$E$7:$E$258,"未評估",0))</x:f>
        <x:v>Ø</x:v>
      </x:c>
      <x:c r="F97" s="37" t="str">
        <x:f>IF(COUNTIFS('事件與限制'!$C$7:$C$106,$A97,'事件與限制'!$E$7:$E$106,$C97,'事件與限制'!$M$7:$M$106,"暫停技能資格",'事件與限制'!$Q$7:$Q$106,"生效中")&gt;0,"資格暫停",IF($E97="未評估","未建立",_xlfn.XLOOKUP("ABIL|1025|LJT-PREP-CROWNPOST",'主管核定中心'!$A$12:$A$372,'主管核定中心'!$K$12:$K$372,"待主管核定",0)))</x:f>
        <x:v>待主管核定</x:v>
      </x:c>
      <x:c r="G97" s="37" t="str">
        <x:v>初始能力基準</x:v>
      </x:c>
      <x:c r="H97" s="41" t="n">
        <x:v>46266</x:v>
      </x:c>
      <x:c r="I97" s="44" t="str">
        <x:f>_xlfn.XLOOKUP("ABIL|1025|LJT-PREP-CROWNPOST",'主管核定中心'!$A$12:$A$372,'主管核定中心'!$I$12:$I$372,"",0)</x:f>
      </x:c>
      <x:c r="J97" s="46" t="str">
        <x:f>_xlfn.XLOOKUP("ABIL|1025|LJT-PREP-CROWNPOST",'主管核定中心'!$A$12:$A$372,'主管核定中心'!$H$12:$H$372,"",0)</x:f>
      </x:c>
      <x:c r="K97" s="37" t="n">
        <x:v>33</x:v>
      </x:c>
      <x:c r="L97" s="37" t="str">
        <x:v>1025|LJT-PREP-CROWNPOST</x:v>
      </x:c>
    </x:row>
    <x:row r="98">
      <x:c r="A98" s="37" t="str">
        <x:v>1025</x:v>
      </x:c>
      <x:c r="B98" s="37" t="str"/>
      <x:c r="C98" s="37" t="str">
        <x:v>LJT-PREP-CROWN</x:v>
      </x:c>
      <x:c r="D98" s="37" t="str">
        <x:v>固定假牙</x:v>
      </x:c>
      <x:c r="E98" s="37" t="str">
        <x:f>IF(_xlfn.XLOOKUP("UPG|1025|LJT-PREP-CROWN",'能力升級候選'!$A$7:$A$258,'能力升級候選'!$R$7:$R$258,"",0)="已核定升級","◎",_xlfn.XLOOKUP("UPG|1025|LJT-PREP-CROWN",'能力升級候選'!$A$7:$A$258,'能力升級候選'!$E$7:$E$258,"未評估",0))</x:f>
        <x:v>Ø</x:v>
      </x:c>
      <x:c r="F98" s="37" t="str">
        <x:f>IF(COUNTIFS('事件與限制'!$C$7:$C$106,$A98,'事件與限制'!$E$7:$E$106,$C98,'事件與限制'!$M$7:$M$106,"暫停技能資格",'事件與限制'!$Q$7:$Q$106,"生效中")&gt;0,"資格暫停",IF($E98="未評估","未建立",_xlfn.XLOOKUP("ABIL|1025|LJT-PREP-CROWN",'主管核定中心'!$A$12:$A$372,'主管核定中心'!$K$12:$K$372,"待主管核定",0)))</x:f>
        <x:v>待主管核定</x:v>
      </x:c>
      <x:c r="G98" s="37" t="str">
        <x:v>初始能力基準</x:v>
      </x:c>
      <x:c r="H98" s="41" t="n">
        <x:v>46266</x:v>
      </x:c>
      <x:c r="I98" s="44" t="str">
        <x:f>_xlfn.XLOOKUP("ABIL|1025|LJT-PREP-CROWN",'主管核定中心'!$A$12:$A$372,'主管核定中心'!$I$12:$I$372,"",0)</x:f>
      </x:c>
      <x:c r="J98" s="46" t="str">
        <x:f>_xlfn.XLOOKUP("ABIL|1025|LJT-PREP-CROWN",'主管核定中心'!$A$12:$A$372,'主管核定中心'!$H$12:$H$372,"",0)</x:f>
      </x:c>
      <x:c r="K98" s="37" t="n">
        <x:v>34</x:v>
      </x:c>
      <x:c r="L98" s="37" t="str">
        <x:v>1025|LJT-PREP-CROWN</x:v>
      </x:c>
    </x:row>
    <x:row r="99">
      <x:c r="A99" s="37" t="str">
        <x:v>1025</x:v>
      </x:c>
      <x:c r="B99" s="37" t="str"/>
      <x:c r="C99" s="37" t="str">
        <x:v>LJT-PREP-RPD</x:v>
      </x:c>
      <x:c r="D99" s="37" t="str">
        <x:v>RPD</x:v>
      </x:c>
      <x:c r="E99" s="37" t="str">
        <x:f>IF(_xlfn.XLOOKUP("UPG|1025|LJT-PREP-RPD",'能力升級候選'!$A$7:$A$258,'能力升級候選'!$R$7:$R$258,"",0)="已核定升級","◎",_xlfn.XLOOKUP("UPG|1025|LJT-PREP-RPD",'能力升級候選'!$A$7:$A$258,'能力升級候選'!$E$7:$E$258,"未評估",0))</x:f>
        <x:v>Ø</x:v>
      </x:c>
      <x:c r="F99" s="37" t="str">
        <x:f>IF(COUNTIFS('事件與限制'!$C$7:$C$106,$A99,'事件與限制'!$E$7:$E$106,$C99,'事件與限制'!$M$7:$M$106,"暫停技能資格",'事件與限制'!$Q$7:$Q$106,"生效中")&gt;0,"資格暫停",IF($E99="未評估","未建立",_xlfn.XLOOKUP("ABIL|1025|LJT-PREP-RPD",'主管核定中心'!$A$12:$A$372,'主管核定中心'!$K$12:$K$372,"待主管核定",0)))</x:f>
        <x:v>待主管核定</x:v>
      </x:c>
      <x:c r="G99" s="37" t="str">
        <x:v>初始能力基準</x:v>
      </x:c>
      <x:c r="H99" s="41" t="n">
        <x:v>46266</x:v>
      </x:c>
      <x:c r="I99" s="44" t="str">
        <x:f>_xlfn.XLOOKUP("ABIL|1025|LJT-PREP-RPD",'主管核定中心'!$A$12:$A$372,'主管核定中心'!$I$12:$I$372,"",0)</x:f>
      </x:c>
      <x:c r="J99" s="46" t="str">
        <x:f>_xlfn.XLOOKUP("ABIL|1025|LJT-PREP-RPD",'主管核定中心'!$A$12:$A$372,'主管核定中心'!$H$12:$H$372,"",0)</x:f>
      </x:c>
      <x:c r="K99" s="37" t="n">
        <x:v>35</x:v>
      </x:c>
      <x:c r="L99" s="37" t="str">
        <x:v>1025|LJT-PREP-RPD</x:v>
      </x:c>
    </x:row>
    <x:row r="100">
      <x:c r="A100" s="37" t="str">
        <x:v>1025</x:v>
      </x:c>
      <x:c r="B100" s="37" t="str"/>
      <x:c r="C100" s="37" t="str">
        <x:v>LJT-PREP-AIRPOLISH</x:v>
      </x:c>
      <x:c r="D100" s="37" t="str">
        <x:v>噴砂美白</x:v>
      </x:c>
      <x:c r="E100" s="37" t="str">
        <x:f>IF(_xlfn.XLOOKUP("UPG|1025|LJT-PREP-AIRPOLISH",'能力升級候選'!$A$7:$A$258,'能力升級候選'!$R$7:$R$258,"",0)="已核定升級","◎",_xlfn.XLOOKUP("UPG|1025|LJT-PREP-AIRPOLISH",'能力升級候選'!$A$7:$A$258,'能力升級候選'!$E$7:$E$258,"未評估",0))</x:f>
        <x:v>※</x:v>
      </x:c>
      <x:c r="F100" s="37" t="str">
        <x:f>IF(COUNTIFS('事件與限制'!$C$7:$C$106,$A100,'事件與限制'!$E$7:$E$106,$C100,'事件與限制'!$M$7:$M$106,"暫停技能資格",'事件與限制'!$Q$7:$Q$106,"生效中")&gt;0,"資格暫停",IF($E100="未評估","未建立",_xlfn.XLOOKUP("ABIL|1025|LJT-PREP-AIRPOLISH",'主管核定中心'!$A$12:$A$372,'主管核定中心'!$K$12:$K$372,"待主管核定",0)))</x:f>
        <x:v>待主管核定</x:v>
      </x:c>
      <x:c r="G100" s="37" t="str">
        <x:v>初始能力基準</x:v>
      </x:c>
      <x:c r="H100" s="41" t="n">
        <x:v>46266</x:v>
      </x:c>
      <x:c r="I100" s="44" t="str">
        <x:f>_xlfn.XLOOKUP("ABIL|1025|LJT-PREP-AIRPOLISH",'主管核定中心'!$A$12:$A$372,'主管核定中心'!$I$12:$I$372,"",0)</x:f>
      </x:c>
      <x:c r="J100" s="46" t="str">
        <x:f>_xlfn.XLOOKUP("ABIL|1025|LJT-PREP-AIRPOLISH",'主管核定中心'!$A$12:$A$372,'主管核定中心'!$H$12:$H$372,"",0)</x:f>
      </x:c>
      <x:c r="K100" s="37" t="n">
        <x:v>36</x:v>
      </x:c>
      <x:c r="L100" s="37" t="str">
        <x:v>1025|LJT-PREP-AIRPOLISH</x:v>
      </x:c>
    </x:row>
    <x:row r="101">
      <x:c r="A101" s="37" t="str">
        <x:v>1025</x:v>
      </x:c>
      <x:c r="B101" s="37" t="str"/>
      <x:c r="C101" s="37" t="str">
        <x:v>LJT-PREP-PERIOSURG</x:v>
      </x:c>
      <x:c r="D101" s="37" t="str">
        <x:v>牙周手術</x:v>
      </x:c>
      <x:c r="E101" s="37" t="str">
        <x:f>IF(_xlfn.XLOOKUP("UPG|1025|LJT-PREP-PERIOSURG",'能力升級候選'!$A$7:$A$258,'能力升級候選'!$R$7:$R$258,"",0)="已核定升級","◎",_xlfn.XLOOKUP("UPG|1025|LJT-PREP-PERIOSURG",'能力升級候選'!$A$7:$A$258,'能力升級候選'!$E$7:$E$258,"未評估",0))</x:f>
        <x:v>Ø</x:v>
      </x:c>
      <x:c r="F101" s="37" t="str">
        <x:f>IF(COUNTIFS('事件與限制'!$C$7:$C$106,$A101,'事件與限制'!$E$7:$E$106,$C101,'事件與限制'!$M$7:$M$106,"暫停技能資格",'事件與限制'!$Q$7:$Q$106,"生效中")&gt;0,"資格暫停",IF($E101="未評估","未建立",_xlfn.XLOOKUP("ABIL|1025|LJT-PREP-PERIOSURG",'主管核定中心'!$A$12:$A$372,'主管核定中心'!$K$12:$K$372,"待主管核定",0)))</x:f>
        <x:v>待主管核定</x:v>
      </x:c>
      <x:c r="G101" s="37" t="str">
        <x:v>初始能力基準</x:v>
      </x:c>
      <x:c r="H101" s="41" t="n">
        <x:v>46266</x:v>
      </x:c>
      <x:c r="I101" s="44" t="str">
        <x:f>_xlfn.XLOOKUP("ABIL|1025|LJT-PREP-PERIOSURG",'主管核定中心'!$A$12:$A$372,'主管核定中心'!$I$12:$I$372,"",0)</x:f>
      </x:c>
      <x:c r="J101" s="46" t="str">
        <x:f>_xlfn.XLOOKUP("ABIL|1025|LJT-PREP-PERIOSURG",'主管核定中心'!$A$12:$A$372,'主管核定中心'!$H$12:$H$372,"",0)</x:f>
      </x:c>
      <x:c r="K101" s="37" t="n">
        <x:v>37</x:v>
      </x:c>
      <x:c r="L101" s="37" t="str">
        <x:v>1025|LJT-PREP-PERIOSURG</x:v>
      </x:c>
    </x:row>
    <x:row r="102">
      <x:c r="A102" s="37" t="str">
        <x:v>1025</x:v>
      </x:c>
      <x:c r="B102" s="37" t="str"/>
      <x:c r="C102" s="37" t="str">
        <x:v>LJT-PREP-MICROENDO</x:v>
      </x:c>
      <x:c r="D102" s="37" t="str">
        <x:v>顯微根管</x:v>
      </x:c>
      <x:c r="E102" s="37" t="str">
        <x:f>IF(_xlfn.XLOOKUP("UPG|1025|LJT-PREP-MICROENDO",'能力升級候選'!$A$7:$A$258,'能力升級候選'!$R$7:$R$258,"",0)="已核定升級","◎",_xlfn.XLOOKUP("UPG|1025|LJT-PREP-MICROENDO",'能力升級候選'!$A$7:$A$258,'能力升級候選'!$E$7:$E$258,"未評估",0))</x:f>
        <x:v>※</x:v>
      </x:c>
      <x:c r="F102" s="37" t="str">
        <x:f>IF(COUNTIFS('事件與限制'!$C$7:$C$106,$A102,'事件與限制'!$E$7:$E$106,$C102,'事件與限制'!$M$7:$M$106,"暫停技能資格",'事件與限制'!$Q$7:$Q$106,"生效中")&gt;0,"資格暫停",IF($E102="未評估","未建立",_xlfn.XLOOKUP("ABIL|1025|LJT-PREP-MICROENDO",'主管核定中心'!$A$12:$A$372,'主管核定中心'!$K$12:$K$372,"待主管核定",0)))</x:f>
        <x:v>待主管核定</x:v>
      </x:c>
      <x:c r="G102" s="37" t="str">
        <x:v>初始能力基準</x:v>
      </x:c>
      <x:c r="H102" s="41" t="n">
        <x:v>46266</x:v>
      </x:c>
      <x:c r="I102" s="44" t="str">
        <x:f>_xlfn.XLOOKUP("ABIL|1025|LJT-PREP-MICROENDO",'主管核定中心'!$A$12:$A$372,'主管核定中心'!$I$12:$I$372,"",0)</x:f>
      </x:c>
      <x:c r="J102" s="46" t="str">
        <x:f>_xlfn.XLOOKUP("ABIL|1025|LJT-PREP-MICROENDO",'主管核定中心'!$A$12:$A$372,'主管核定中心'!$H$12:$H$372,"",0)</x:f>
      </x:c>
      <x:c r="K102" s="37" t="n">
        <x:v>38</x:v>
      </x:c>
      <x:c r="L102" s="37" t="str">
        <x:v>1025|LJT-PREP-MICROENDO</x:v>
      </x:c>
    </x:row>
    <x:row r="103">
      <x:c r="A103" s="37" t="str">
        <x:v>1025</x:v>
      </x:c>
      <x:c r="B103" s="37" t="str"/>
      <x:c r="C103" s="37" t="str">
        <x:v>LJT-PREP-IMPLANT</x:v>
      </x:c>
      <x:c r="D103" s="37" t="str">
        <x:v>植 牙</x:v>
      </x:c>
      <x:c r="E103" s="37" t="str">
        <x:f>IF(_xlfn.XLOOKUP("UPG|1025|LJT-PREP-IMPLANT",'能力升級候選'!$A$7:$A$258,'能力升級候選'!$R$7:$R$258,"",0)="已核定升級","◎",_xlfn.XLOOKUP("UPG|1025|LJT-PREP-IMPLANT",'能力升級候選'!$A$7:$A$258,'能力升級候選'!$E$7:$E$258,"未評估",0))</x:f>
        <x:v>Ø</x:v>
      </x:c>
      <x:c r="F103" s="37" t="str">
        <x:f>IF(COUNTIFS('事件與限制'!$C$7:$C$106,$A103,'事件與限制'!$E$7:$E$106,$C103,'事件與限制'!$M$7:$M$106,"暫停技能資格",'事件與限制'!$Q$7:$Q$106,"生效中")&gt;0,"資格暫停",IF($E103="未評估","未建立",_xlfn.XLOOKUP("ABIL|1025|LJT-PREP-IMPLANT",'主管核定中心'!$A$12:$A$372,'主管核定中心'!$K$12:$K$372,"待主管核定",0)))</x:f>
        <x:v>待主管核定</x:v>
      </x:c>
      <x:c r="G103" s="37" t="str">
        <x:v>初始能力基準</x:v>
      </x:c>
      <x:c r="H103" s="41" t="n">
        <x:v>46266</x:v>
      </x:c>
      <x:c r="I103" s="44" t="str">
        <x:f>_xlfn.XLOOKUP("ABIL|1025|LJT-PREP-IMPLANT",'主管核定中心'!$A$12:$A$372,'主管核定中心'!$I$12:$I$372,"",0)</x:f>
      </x:c>
      <x:c r="J103" s="46" t="str">
        <x:f>_xlfn.XLOOKUP("ABIL|1025|LJT-PREP-IMPLANT",'主管核定中心'!$A$12:$A$372,'主管核定中心'!$H$12:$H$372,"",0)</x:f>
      </x:c>
      <x:c r="K103" s="37" t="n">
        <x:v>39</x:v>
      </x:c>
      <x:c r="L103" s="37" t="str">
        <x:v>1025|LJT-PREP-IMPLANT</x:v>
      </x:c>
    </x:row>
    <x:row r="104">
      <x:c r="A104" s="37" t="str">
        <x:v>1025</x:v>
      </x:c>
      <x:c r="B104" s="37" t="str"/>
      <x:c r="C104" s="37" t="str">
        <x:v>COMMON-RECORD</x:v>
      </x:c>
      <x:c r="D104" s="37" t="str">
        <x:v>病歷紀錄</x:v>
      </x:c>
      <x:c r="E104" s="37" t="str">
        <x:f>IF(_xlfn.XLOOKUP("UPG|1025|COMMON-RECORD",'能力升級候選'!$A$7:$A$258,'能力升級候選'!$R$7:$R$258,"",0)="已核定升級","◎",_xlfn.XLOOKUP("UPG|1025|COMMON-RECORD",'能力升級候選'!$A$7:$A$258,'能力升級候選'!$E$7:$E$258,"未評估",0))</x:f>
        <x:v>Ø</x:v>
      </x:c>
      <x:c r="F104" s="37" t="str">
        <x:f>IF(COUNTIFS('事件與限制'!$C$7:$C$106,$A104,'事件與限制'!$E$7:$E$106,$C104,'事件與限制'!$M$7:$M$106,"暫停技能資格",'事件與限制'!$Q$7:$Q$106,"生效中")&gt;0,"資格暫停",IF($E104="未評估","未建立",_xlfn.XLOOKUP("ABIL|1025|COMMON-RECORD",'主管核定中心'!$A$12:$A$372,'主管核定中心'!$K$12:$K$372,"待主管核定",0)))</x:f>
        <x:v>待主管核定</x:v>
      </x:c>
      <x:c r="G104" s="37" t="str">
        <x:v>初始能力基準</x:v>
      </x:c>
      <x:c r="H104" s="41" t="n">
        <x:v>46266</x:v>
      </x:c>
      <x:c r="I104" s="44" t="str">
        <x:f>_xlfn.XLOOKUP("ABIL|1025|COMMON-RECORD",'主管核定中心'!$A$12:$A$372,'主管核定中心'!$I$12:$I$372,"",0)</x:f>
      </x:c>
      <x:c r="J104" s="46" t="str">
        <x:f>_xlfn.XLOOKUP("ABIL|1025|COMMON-RECORD",'主管核定中心'!$A$12:$A$372,'主管核定中心'!$H$12:$H$372,"",0)</x:f>
      </x:c>
      <x:c r="K104" s="37" t="n">
        <x:v>41</x:v>
      </x:c>
      <x:c r="L104" s="37" t="str">
        <x:v>1025|COMMON-RECORD</x:v>
      </x:c>
    </x:row>
    <x:row r="105">
      <x:c r="A105" s="37" t="str">
        <x:v>1025</x:v>
      </x:c>
      <x:c r="B105" s="37" t="str"/>
      <x:c r="C105" s="37" t="str">
        <x:v>COMMON-INSURANCE</x:v>
      </x:c>
      <x:c r="D105" s="37" t="str">
        <x:v>健保申報</x:v>
      </x:c>
      <x:c r="E105" s="37" t="str">
        <x:f>IF(_xlfn.XLOOKUP("UPG|1025|COMMON-INSURANCE",'能力升級候選'!$A$7:$A$258,'能力升級候選'!$R$7:$R$258,"",0)="已核定升級","◎",_xlfn.XLOOKUP("UPG|1025|COMMON-INSURANCE",'能力升級候選'!$A$7:$A$258,'能力升級候選'!$E$7:$E$258,"未評估",0))</x:f>
        <x:v>Ø</x:v>
      </x:c>
      <x:c r="F105" s="37" t="str">
        <x:f>IF(COUNTIFS('事件與限制'!$C$7:$C$106,$A105,'事件與限制'!$E$7:$E$106,$C105,'事件與限制'!$M$7:$M$106,"暫停技能資格",'事件與限制'!$Q$7:$Q$106,"生效中")&gt;0,"資格暫停",IF($E105="未評估","未建立",_xlfn.XLOOKUP("ABIL|1025|COMMON-INSURANCE",'主管核定中心'!$A$12:$A$372,'主管核定中心'!$K$12:$K$372,"待主管核定",0)))</x:f>
        <x:v>待主管核定</x:v>
      </x:c>
      <x:c r="G105" s="37" t="str">
        <x:v>初始能力基準</x:v>
      </x:c>
      <x:c r="H105" s="41" t="n">
        <x:v>46266</x:v>
      </x:c>
      <x:c r="I105" s="44" t="str">
        <x:f>_xlfn.XLOOKUP("ABIL|1025|COMMON-INSURANCE",'主管核定中心'!$A$12:$A$372,'主管核定中心'!$I$12:$I$372,"",0)</x:f>
      </x:c>
      <x:c r="J105" s="46" t="str">
        <x:f>_xlfn.XLOOKUP("ABIL|1025|COMMON-INSURANCE",'主管核定中心'!$A$12:$A$372,'主管核定中心'!$H$12:$H$372,"",0)</x:f>
      </x:c>
      <x:c r="K105" s="37" t="n">
        <x:v>42</x:v>
      </x:c>
      <x:c r="L105" s="37" t="str">
        <x:v>1025|COMMON-INSURANCE</x:v>
      </x:c>
    </x:row>
    <x:row r="106">
      <x:c r="A106" s="37" t="str">
        <x:v>1025</x:v>
      </x:c>
      <x:c r="B106" s="37" t="str"/>
      <x:c r="C106" s="37" t="str">
        <x:v>COMMON-XRAY-RECORD</x:v>
      </x:c>
      <x:c r="D106" s="37" t="str">
        <x:v>X光片紀錄</x:v>
      </x:c>
      <x:c r="E106" s="37" t="str">
        <x:f>IF(_xlfn.XLOOKUP("UPG|1025|COMMON-XRAY-RECORD",'能力升級候選'!$A$7:$A$258,'能力升級候選'!$R$7:$R$258,"",0)="已核定升級","◎",_xlfn.XLOOKUP("UPG|1025|COMMON-XRAY-RECORD",'能力升級候選'!$A$7:$A$258,'能力升級候選'!$E$7:$E$258,"未評估",0))</x:f>
        <x:v>Ø</x:v>
      </x:c>
      <x:c r="F106" s="37" t="str">
        <x:f>IF(COUNTIFS('事件與限制'!$C$7:$C$106,$A106,'事件與限制'!$E$7:$E$106,$C106,'事件與限制'!$M$7:$M$106,"暫停技能資格",'事件與限制'!$Q$7:$Q$106,"生效中")&gt;0,"資格暫停",IF($E106="未評估","未建立",_xlfn.XLOOKUP("ABIL|1025|COMMON-XRAY-RECORD",'主管核定中心'!$A$12:$A$372,'主管核定中心'!$K$12:$K$372,"待主管核定",0)))</x:f>
        <x:v>待主管核定</x:v>
      </x:c>
      <x:c r="G106" s="37" t="str">
        <x:v>初始能力基準</x:v>
      </x:c>
      <x:c r="H106" s="41" t="n">
        <x:v>46266</x:v>
      </x:c>
      <x:c r="I106" s="44" t="str">
        <x:f>_xlfn.XLOOKUP("ABIL|1025|COMMON-XRAY-RECORD",'主管核定中心'!$A$12:$A$372,'主管核定中心'!$I$12:$I$372,"",0)</x:f>
      </x:c>
      <x:c r="J106" s="46" t="str">
        <x:f>_xlfn.XLOOKUP("ABIL|1025|COMMON-XRAY-RECORD",'主管核定中心'!$A$12:$A$372,'主管核定中心'!$H$12:$H$372,"",0)</x:f>
      </x:c>
      <x:c r="K106" s="37" t="n">
        <x:v>43</x:v>
      </x:c>
      <x:c r="L106" s="37" t="str">
        <x:v>1025|COMMON-XRAY-RECORD</x:v>
      </x:c>
    </x:row>
    <x:row r="107">
      <x:c r="A107" s="37" t="str">
        <x:v>1025</x:v>
      </x:c>
      <x:c r="B107" s="37" t="str"/>
      <x:c r="C107" s="37" t="str">
        <x:v>COMMON-PA</x:v>
      </x:c>
      <x:c r="D107" s="37" t="str">
        <x:v>拍PA</x:v>
      </x:c>
      <x:c r="E107" s="37" t="str">
        <x:f>IF(_xlfn.XLOOKUP("UPG|1025|COMMON-PA",'能力升級候選'!$A$7:$A$258,'能力升級候選'!$R$7:$R$258,"",0)="已核定升級","◎",_xlfn.XLOOKUP("UPG|1025|COMMON-PA",'能力升級候選'!$A$7:$A$258,'能力升級候選'!$E$7:$E$258,"未評估",0))</x:f>
        <x:v>Ø</x:v>
      </x:c>
      <x:c r="F107" s="37" t="str">
        <x:f>IF(COUNTIFS('事件與限制'!$C$7:$C$106,$A107,'事件與限制'!$E$7:$E$106,$C107,'事件與限制'!$M$7:$M$106,"暫停技能資格",'事件與限制'!$Q$7:$Q$106,"生效中")&gt;0,"資格暫停",IF($E107="未評估","未建立",_xlfn.XLOOKUP("ABIL|1025|COMMON-PA",'主管核定中心'!$A$12:$A$372,'主管核定中心'!$K$12:$K$372,"待主管核定",0)))</x:f>
        <x:v>待主管核定</x:v>
      </x:c>
      <x:c r="G107" s="37" t="str">
        <x:v>初始能力基準</x:v>
      </x:c>
      <x:c r="H107" s="41" t="n">
        <x:v>46266</x:v>
      </x:c>
      <x:c r="I107" s="44" t="str">
        <x:f>_xlfn.XLOOKUP("ABIL|1025|COMMON-PA",'主管核定中心'!$A$12:$A$372,'主管核定中心'!$I$12:$I$372,"",0)</x:f>
      </x:c>
      <x:c r="J107" s="46" t="str">
        <x:f>_xlfn.XLOOKUP("ABIL|1025|COMMON-PA",'主管核定中心'!$A$12:$A$372,'主管核定中心'!$H$12:$H$372,"",0)</x:f>
      </x:c>
      <x:c r="K107" s="37" t="n">
        <x:v>44</x:v>
      </x:c>
      <x:c r="L107" s="37" t="str">
        <x:v>1025|COMMON-PA</x:v>
      </x:c>
    </x:row>
    <x:row r="108">
      <x:c r="A108" s="37" t="str">
        <x:v>1025</x:v>
      </x:c>
      <x:c r="B108" s="37" t="str"/>
      <x:c r="C108" s="37" t="str">
        <x:v>COMMON-IOS</x:v>
      </x:c>
      <x:c r="D108" s="37" t="str">
        <x:v>口掃機運用</x:v>
      </x:c>
      <x:c r="E108" s="37" t="str">
        <x:f>IF(_xlfn.XLOOKUP("UPG|1025|COMMON-IOS",'能力升級候選'!$A$7:$A$258,'能力升級候選'!$R$7:$R$258,"",0)="已核定升級","◎",_xlfn.XLOOKUP("UPG|1025|COMMON-IOS",'能力升級候選'!$A$7:$A$258,'能力升級候選'!$E$7:$E$258,"未評估",0))</x:f>
        <x:v>Ø</x:v>
      </x:c>
      <x:c r="F108" s="37" t="str">
        <x:f>IF(COUNTIFS('事件與限制'!$C$7:$C$106,$A108,'事件與限制'!$E$7:$E$106,$C108,'事件與限制'!$M$7:$M$106,"暫停技能資格",'事件與限制'!$Q$7:$Q$106,"生效中")&gt;0,"資格暫停",IF($E108="未評估","未建立",_xlfn.XLOOKUP("ABIL|1025|COMMON-IOS",'主管核定中心'!$A$12:$A$372,'主管核定中心'!$K$12:$K$372,"待主管核定",0)))</x:f>
        <x:v>待主管核定</x:v>
      </x:c>
      <x:c r="G108" s="37" t="str">
        <x:v>初始能力基準</x:v>
      </x:c>
      <x:c r="H108" s="41" t="n">
        <x:v>46266</x:v>
      </x:c>
      <x:c r="I108" s="44" t="str">
        <x:f>_xlfn.XLOOKUP("ABIL|1025|COMMON-IOS",'主管核定中心'!$A$12:$A$372,'主管核定中心'!$I$12:$I$372,"",0)</x:f>
      </x:c>
      <x:c r="J108" s="46" t="str">
        <x:f>_xlfn.XLOOKUP("ABIL|1025|COMMON-IOS",'主管核定中心'!$A$12:$A$372,'主管核定中心'!$H$12:$H$372,"",0)</x:f>
      </x:c>
      <x:c r="K108" s="37" t="n">
        <x:v>45</x:v>
      </x:c>
      <x:c r="L108" s="37" t="str">
        <x:v>1025|COMMON-IOS</x:v>
      </x:c>
    </x:row>
    <x:row r="109">
      <x:c r="A109" s="37" t="str">
        <x:v>1026</x:v>
      </x:c>
      <x:c r="B109" s="37" t="str"/>
      <x:c r="C109" s="37" t="str">
        <x:v>LJT-PREP-SCALING</x:v>
      </x:c>
      <x:c r="D109" s="37" t="str">
        <x:v>洗牙</x:v>
      </x:c>
      <x:c r="E109" s="37" t="str">
        <x:f>IF(_xlfn.XLOOKUP("UPG|1026|LJT-PREP-SCALING",'能力升級候選'!$A$7:$A$258,'能力升級候選'!$R$7:$R$258,"",0)="已核定升級","◎",_xlfn.XLOOKUP("UPG|1026|LJT-PREP-SCALING",'能力升級候選'!$A$7:$A$258,'能力升級候選'!$E$7:$E$258,"未評估",0))</x:f>
        <x:v>◎</x:v>
      </x:c>
      <x:c r="F109" s="37" t="str">
        <x:f>IF(COUNTIFS('事件與限制'!$C$7:$C$106,$A109,'事件與限制'!$E$7:$E$106,$C109,'事件與限制'!$M$7:$M$106,"暫停技能資格",'事件與限制'!$Q$7:$Q$106,"生效中")&gt;0,"資格暫停",IF($E109="未評估","未建立",_xlfn.XLOOKUP("ABIL|1026|LJT-PREP-SCALING",'主管核定中心'!$A$12:$A$372,'主管核定中心'!$K$12:$K$372,"待主管核定",0)))</x:f>
        <x:v>待主管核定</x:v>
      </x:c>
      <x:c r="G109" s="37" t="str">
        <x:v>初始能力基準</x:v>
      </x:c>
      <x:c r="H109" s="41" t="n">
        <x:v>46266</x:v>
      </x:c>
      <x:c r="I109" s="44" t="str">
        <x:f>_xlfn.XLOOKUP("ABIL|1026|LJT-PREP-SCALING",'主管核定中心'!$A$12:$A$372,'主管核定中心'!$I$12:$I$372,"",0)</x:f>
      </x:c>
      <x:c r="J109" s="46" t="str">
        <x:f>_xlfn.XLOOKUP("ABIL|1026|LJT-PREP-SCALING",'主管核定中心'!$A$12:$A$372,'主管核定中心'!$H$12:$H$372,"",0)</x:f>
      </x:c>
      <x:c r="K109" s="37" t="n">
        <x:v>28</x:v>
      </x:c>
      <x:c r="L109" s="37" t="str">
        <x:v>1026|LJT-PREP-SCALING</x:v>
      </x:c>
    </x:row>
    <x:row r="110">
      <x:c r="A110" s="37" t="str">
        <x:v>1026</x:v>
      </x:c>
      <x:c r="B110" s="37" t="str"/>
      <x:c r="C110" s="37" t="str">
        <x:v>LJT-PREP-FILLING</x:v>
      </x:c>
      <x:c r="D110" s="37" t="str">
        <x:v>補牙</x:v>
      </x:c>
      <x:c r="E110" s="37" t="str">
        <x:f>IF(_xlfn.XLOOKUP("UPG|1026|LJT-PREP-FILLING",'能力升級候選'!$A$7:$A$258,'能力升級候選'!$R$7:$R$258,"",0)="已核定升級","◎",_xlfn.XLOOKUP("UPG|1026|LJT-PREP-FILLING",'能力升級候選'!$A$7:$A$258,'能力升級候選'!$E$7:$E$258,"未評估",0))</x:f>
        <x:v>◎</x:v>
      </x:c>
      <x:c r="F110" s="37" t="str">
        <x:f>IF(COUNTIFS('事件與限制'!$C$7:$C$106,$A110,'事件與限制'!$E$7:$E$106,$C110,'事件與限制'!$M$7:$M$106,"暫停技能資格",'事件與限制'!$Q$7:$Q$106,"生效中")&gt;0,"資格暫停",IF($E110="未評估","未建立",_xlfn.XLOOKUP("ABIL|1026|LJT-PREP-FILLING",'主管核定中心'!$A$12:$A$372,'主管核定中心'!$K$12:$K$372,"待主管核定",0)))</x:f>
        <x:v>待主管核定</x:v>
      </x:c>
      <x:c r="G110" s="37" t="str">
        <x:v>初始能力基準</x:v>
      </x:c>
      <x:c r="H110" s="41" t="n">
        <x:v>46266</x:v>
      </x:c>
      <x:c r="I110" s="44" t="str">
        <x:f>_xlfn.XLOOKUP("ABIL|1026|LJT-PREP-FILLING",'主管核定中心'!$A$12:$A$372,'主管核定中心'!$I$12:$I$372,"",0)</x:f>
      </x:c>
      <x:c r="J110" s="46" t="str">
        <x:f>_xlfn.XLOOKUP("ABIL|1026|LJT-PREP-FILLING",'主管核定中心'!$A$12:$A$372,'主管核定中心'!$H$12:$H$372,"",0)</x:f>
      </x:c>
      <x:c r="K110" s="37" t="n">
        <x:v>29</x:v>
      </x:c>
      <x:c r="L110" s="37" t="str">
        <x:v>1026|LJT-PREP-FILLING</x:v>
      </x:c>
    </x:row>
    <x:row r="111">
      <x:c r="A111" s="37" t="str">
        <x:v>1026</x:v>
      </x:c>
      <x:c r="B111" s="37" t="str"/>
      <x:c r="C111" s="37" t="str">
        <x:v>LJT-PREP-PERIO</x:v>
      </x:c>
      <x:c r="D111" s="37" t="str">
        <x:v>牙周統合</x:v>
      </x:c>
      <x:c r="E111" s="37" t="str">
        <x:f>IF(_xlfn.XLOOKUP("UPG|1026|LJT-PREP-PERIO",'能力升級候選'!$A$7:$A$258,'能力升級候選'!$R$7:$R$258,"",0)="已核定升級","◎",_xlfn.XLOOKUP("UPG|1026|LJT-PREP-PERIO",'能力升級候選'!$A$7:$A$258,'能力升級候選'!$E$7:$E$258,"未評估",0))</x:f>
        <x:v>◎</x:v>
      </x:c>
      <x:c r="F111" s="37" t="str">
        <x:f>IF(COUNTIFS('事件與限制'!$C$7:$C$106,$A111,'事件與限制'!$E$7:$E$106,$C111,'事件與限制'!$M$7:$M$106,"暫停技能資格",'事件與限制'!$Q$7:$Q$106,"生效中")&gt;0,"資格暫停",IF($E111="未評估","未建立",_xlfn.XLOOKUP("ABIL|1026|LJT-PREP-PERIO",'主管核定中心'!$A$12:$A$372,'主管核定中心'!$K$12:$K$372,"待主管核定",0)))</x:f>
        <x:v>待主管核定</x:v>
      </x:c>
      <x:c r="G111" s="37" t="str">
        <x:v>初始能力基準</x:v>
      </x:c>
      <x:c r="H111" s="41" t="n">
        <x:v>46266</x:v>
      </x:c>
      <x:c r="I111" s="44" t="str">
        <x:f>_xlfn.XLOOKUP("ABIL|1026|LJT-PREP-PERIO",'主管核定中心'!$A$12:$A$372,'主管核定中心'!$I$12:$I$372,"",0)</x:f>
      </x:c>
      <x:c r="J111" s="46" t="str">
        <x:f>_xlfn.XLOOKUP("ABIL|1026|LJT-PREP-PERIO",'主管核定中心'!$A$12:$A$372,'主管核定中心'!$H$12:$H$372,"",0)</x:f>
      </x:c>
      <x:c r="K111" s="37" t="n">
        <x:v>30</x:v>
      </x:c>
      <x:c r="L111" s="37" t="str">
        <x:v>1026|LJT-PREP-PERIO</x:v>
      </x:c>
    </x:row>
    <x:row r="112">
      <x:c r="A112" s="37" t="str">
        <x:v>1026</x:v>
      </x:c>
      <x:c r="B112" s="37" t="str"/>
      <x:c r="C112" s="37" t="str">
        <x:v>LJT-PREP-RCT</x:v>
      </x:c>
      <x:c r="D112" s="37" t="str">
        <x:v>根管治療</x:v>
      </x:c>
      <x:c r="E112" s="37" t="str">
        <x:f>IF(_xlfn.XLOOKUP("UPG|1026|LJT-PREP-RCT",'能力升級候選'!$A$7:$A$258,'能力升級候選'!$R$7:$R$258,"",0)="已核定升級","◎",_xlfn.XLOOKUP("UPG|1026|LJT-PREP-RCT",'能力升級候選'!$A$7:$A$258,'能力升級候選'!$E$7:$E$258,"未評估",0))</x:f>
        <x:v>◎</x:v>
      </x:c>
      <x:c r="F112" s="37" t="str">
        <x:f>IF(COUNTIFS('事件與限制'!$C$7:$C$106,$A112,'事件與限制'!$E$7:$E$106,$C112,'事件與限制'!$M$7:$M$106,"暫停技能資格",'事件與限制'!$Q$7:$Q$106,"生效中")&gt;0,"資格暫停",IF($E112="未評估","未建立",_xlfn.XLOOKUP("ABIL|1026|LJT-PREP-RCT",'主管核定中心'!$A$12:$A$372,'主管核定中心'!$K$12:$K$372,"待主管核定",0)))</x:f>
        <x:v>待主管核定</x:v>
      </x:c>
      <x:c r="G112" s="37" t="str">
        <x:v>初始能力基準</x:v>
      </x:c>
      <x:c r="H112" s="41" t="n">
        <x:v>46266</x:v>
      </x:c>
      <x:c r="I112" s="44" t="str">
        <x:f>_xlfn.XLOOKUP("ABIL|1026|LJT-PREP-RCT",'主管核定中心'!$A$12:$A$372,'主管核定中心'!$I$12:$I$372,"",0)</x:f>
      </x:c>
      <x:c r="J112" s="46" t="str">
        <x:f>_xlfn.XLOOKUP("ABIL|1026|LJT-PREP-RCT",'主管核定中心'!$A$12:$A$372,'主管核定中心'!$H$12:$H$372,"",0)</x:f>
      </x:c>
      <x:c r="K112" s="37" t="n">
        <x:v>31</x:v>
      </x:c>
      <x:c r="L112" s="37" t="str">
        <x:v>1026|LJT-PREP-RCT</x:v>
      </x:c>
    </x:row>
    <x:row r="113">
      <x:c r="A113" s="37" t="str">
        <x:v>1026</x:v>
      </x:c>
      <x:c r="B113" s="37" t="str"/>
      <x:c r="C113" s="37" t="str">
        <x:v>LJT-PREP-EXTRACTION</x:v>
      </x:c>
      <x:c r="D113" s="37" t="str">
        <x:v>拔牙</x:v>
      </x:c>
      <x:c r="E113" s="37" t="str">
        <x:f>IF(_xlfn.XLOOKUP("UPG|1026|LJT-PREP-EXTRACTION",'能力升級候選'!$A$7:$A$258,'能力升級候選'!$R$7:$R$258,"",0)="已核定升級","◎",_xlfn.XLOOKUP("UPG|1026|LJT-PREP-EXTRACTION",'能力升級候選'!$A$7:$A$258,'能力升級候選'!$E$7:$E$258,"未評估",0))</x:f>
        <x:v>Ø</x:v>
      </x:c>
      <x:c r="F113" s="37" t="str">
        <x:f>IF(COUNTIFS('事件與限制'!$C$7:$C$106,$A113,'事件與限制'!$E$7:$E$106,$C113,'事件與限制'!$M$7:$M$106,"暫停技能資格",'事件與限制'!$Q$7:$Q$106,"生效中")&gt;0,"資格暫停",IF($E113="未評估","未建立",_xlfn.XLOOKUP("ABIL|1026|LJT-PREP-EXTRACTION",'主管核定中心'!$A$12:$A$372,'主管核定中心'!$K$12:$K$372,"待主管核定",0)))</x:f>
        <x:v>待主管核定</x:v>
      </x:c>
      <x:c r="G113" s="37" t="str">
        <x:v>初始能力基準</x:v>
      </x:c>
      <x:c r="H113" s="41" t="n">
        <x:v>46266</x:v>
      </x:c>
      <x:c r="I113" s="44" t="str">
        <x:f>_xlfn.XLOOKUP("ABIL|1026|LJT-PREP-EXTRACTION",'主管核定中心'!$A$12:$A$372,'主管核定中心'!$I$12:$I$372,"",0)</x:f>
      </x:c>
      <x:c r="J113" s="46" t="str">
        <x:f>_xlfn.XLOOKUP("ABIL|1026|LJT-PREP-EXTRACTION",'主管核定中心'!$A$12:$A$372,'主管核定中心'!$H$12:$H$372,"",0)</x:f>
      </x:c>
      <x:c r="K113" s="37" t="n">
        <x:v>32</x:v>
      </x:c>
      <x:c r="L113" s="37" t="str">
        <x:v>1026|LJT-PREP-EXTRACTION</x:v>
      </x:c>
    </x:row>
    <x:row r="114">
      <x:c r="A114" s="37" t="str">
        <x:v>1026</x:v>
      </x:c>
      <x:c r="B114" s="37" t="str"/>
      <x:c r="C114" s="37" t="str">
        <x:v>LJT-PREP-CROWNPOST</x:v>
      </x:c>
      <x:c r="D114" s="37" t="str">
        <x:v>拆 crown/post</x:v>
      </x:c>
      <x:c r="E114" s="37" t="str">
        <x:f>IF(_xlfn.XLOOKUP("UPG|1026|LJT-PREP-CROWNPOST",'能力升級候選'!$A$7:$A$258,'能力升級候選'!$R$7:$R$258,"",0)="已核定升級","◎",_xlfn.XLOOKUP("UPG|1026|LJT-PREP-CROWNPOST",'能力升級候選'!$A$7:$A$258,'能力升級候選'!$E$7:$E$258,"未評估",0))</x:f>
        <x:v>◎</x:v>
      </x:c>
      <x:c r="F114" s="37" t="str">
        <x:f>IF(COUNTIFS('事件與限制'!$C$7:$C$106,$A114,'事件與限制'!$E$7:$E$106,$C114,'事件與限制'!$M$7:$M$106,"暫停技能資格",'事件與限制'!$Q$7:$Q$106,"生效中")&gt;0,"資格暫停",IF($E114="未評估","未建立",_xlfn.XLOOKUP("ABIL|1026|LJT-PREP-CROWNPOST",'主管核定中心'!$A$12:$A$372,'主管核定中心'!$K$12:$K$372,"待主管核定",0)))</x:f>
        <x:v>待主管核定</x:v>
      </x:c>
      <x:c r="G114" s="37" t="str">
        <x:v>初始能力基準</x:v>
      </x:c>
      <x:c r="H114" s="41" t="n">
        <x:v>46266</x:v>
      </x:c>
      <x:c r="I114" s="44" t="str">
        <x:f>_xlfn.XLOOKUP("ABIL|1026|LJT-PREP-CROWNPOST",'主管核定中心'!$A$12:$A$372,'主管核定中心'!$I$12:$I$372,"",0)</x:f>
      </x:c>
      <x:c r="J114" s="46" t="str">
        <x:f>_xlfn.XLOOKUP("ABIL|1026|LJT-PREP-CROWNPOST",'主管核定中心'!$A$12:$A$372,'主管核定中心'!$H$12:$H$372,"",0)</x:f>
      </x:c>
      <x:c r="K114" s="37" t="n">
        <x:v>33</x:v>
      </x:c>
      <x:c r="L114" s="37" t="str">
        <x:v>1026|LJT-PREP-CROWNPOST</x:v>
      </x:c>
    </x:row>
    <x:row r="115">
      <x:c r="A115" s="37" t="str">
        <x:v>1026</x:v>
      </x:c>
      <x:c r="B115" s="37" t="str"/>
      <x:c r="C115" s="37" t="str">
        <x:v>LJT-PREP-CROWN</x:v>
      </x:c>
      <x:c r="D115" s="37" t="str">
        <x:v>固定假牙</x:v>
      </x:c>
      <x:c r="E115" s="37" t="str">
        <x:f>IF(_xlfn.XLOOKUP("UPG|1026|LJT-PREP-CROWN",'能力升級候選'!$A$7:$A$258,'能力升級候選'!$R$7:$R$258,"",0)="已核定升級","◎",_xlfn.XLOOKUP("UPG|1026|LJT-PREP-CROWN",'能力升級候選'!$A$7:$A$258,'能力升級候選'!$E$7:$E$258,"未評估",0))</x:f>
        <x:v>◎</x:v>
      </x:c>
      <x:c r="F115" s="37" t="str">
        <x:f>IF(COUNTIFS('事件與限制'!$C$7:$C$106,$A115,'事件與限制'!$E$7:$E$106,$C115,'事件與限制'!$M$7:$M$106,"暫停技能資格",'事件與限制'!$Q$7:$Q$106,"生效中")&gt;0,"資格暫停",IF($E115="未評估","未建立",_xlfn.XLOOKUP("ABIL|1026|LJT-PREP-CROWN",'主管核定中心'!$A$12:$A$372,'主管核定中心'!$K$12:$K$372,"待主管核定",0)))</x:f>
        <x:v>待主管核定</x:v>
      </x:c>
      <x:c r="G115" s="37" t="str">
        <x:v>初始能力基準</x:v>
      </x:c>
      <x:c r="H115" s="41" t="n">
        <x:v>46266</x:v>
      </x:c>
      <x:c r="I115" s="44" t="str">
        <x:f>_xlfn.XLOOKUP("ABIL|1026|LJT-PREP-CROWN",'主管核定中心'!$A$12:$A$372,'主管核定中心'!$I$12:$I$372,"",0)</x:f>
      </x:c>
      <x:c r="J115" s="46" t="str">
        <x:f>_xlfn.XLOOKUP("ABIL|1026|LJT-PREP-CROWN",'主管核定中心'!$A$12:$A$372,'主管核定中心'!$H$12:$H$372,"",0)</x:f>
      </x:c>
      <x:c r="K115" s="37" t="n">
        <x:v>34</x:v>
      </x:c>
      <x:c r="L115" s="37" t="str">
        <x:v>1026|LJT-PREP-CROWN</x:v>
      </x:c>
    </x:row>
    <x:row r="116">
      <x:c r="A116" s="37" t="str">
        <x:v>1026</x:v>
      </x:c>
      <x:c r="B116" s="37" t="str"/>
      <x:c r="C116" s="37" t="str">
        <x:v>LJT-PREP-RPD</x:v>
      </x:c>
      <x:c r="D116" s="37" t="str">
        <x:v>RPD</x:v>
      </x:c>
      <x:c r="E116" s="37" t="str">
        <x:f>IF(_xlfn.XLOOKUP("UPG|1026|LJT-PREP-RPD",'能力升級候選'!$A$7:$A$258,'能力升級候選'!$R$7:$R$258,"",0)="已核定升級","◎",_xlfn.XLOOKUP("UPG|1026|LJT-PREP-RPD",'能力升級候選'!$A$7:$A$258,'能力升級候選'!$E$7:$E$258,"未評估",0))</x:f>
        <x:v>※</x:v>
      </x:c>
      <x:c r="F116" s="37" t="str">
        <x:f>IF(COUNTIFS('事件與限制'!$C$7:$C$106,$A116,'事件與限制'!$E$7:$E$106,$C116,'事件與限制'!$M$7:$M$106,"暫停技能資格",'事件與限制'!$Q$7:$Q$106,"生效中")&gt;0,"資格暫停",IF($E116="未評估","未建立",_xlfn.XLOOKUP("ABIL|1026|LJT-PREP-RPD",'主管核定中心'!$A$12:$A$372,'主管核定中心'!$K$12:$K$372,"待主管核定",0)))</x:f>
        <x:v>待主管核定</x:v>
      </x:c>
      <x:c r="G116" s="37" t="str">
        <x:v>初始能力基準</x:v>
      </x:c>
      <x:c r="H116" s="41" t="n">
        <x:v>46266</x:v>
      </x:c>
      <x:c r="I116" s="44" t="str">
        <x:f>_xlfn.XLOOKUP("ABIL|1026|LJT-PREP-RPD",'主管核定中心'!$A$12:$A$372,'主管核定中心'!$I$12:$I$372,"",0)</x:f>
      </x:c>
      <x:c r="J116" s="46" t="str">
        <x:f>_xlfn.XLOOKUP("ABIL|1026|LJT-PREP-RPD",'主管核定中心'!$A$12:$A$372,'主管核定中心'!$H$12:$H$372,"",0)</x:f>
      </x:c>
      <x:c r="K116" s="37" t="n">
        <x:v>35</x:v>
      </x:c>
      <x:c r="L116" s="37" t="str">
        <x:v>1026|LJT-PREP-RPD</x:v>
      </x:c>
    </x:row>
    <x:row r="117">
      <x:c r="A117" s="37" t="str">
        <x:v>1026</x:v>
      </x:c>
      <x:c r="B117" s="37" t="str"/>
      <x:c r="C117" s="37" t="str">
        <x:v>LJT-PREP-AIRPOLISH</x:v>
      </x:c>
      <x:c r="D117" s="37" t="str">
        <x:v>噴砂美白</x:v>
      </x:c>
      <x:c r="E117" s="37" t="str">
        <x:f>IF(_xlfn.XLOOKUP("UPG|1026|LJT-PREP-AIRPOLISH",'能力升級候選'!$A$7:$A$258,'能力升級候選'!$R$7:$R$258,"",0)="已核定升級","◎",_xlfn.XLOOKUP("UPG|1026|LJT-PREP-AIRPOLISH",'能力升級候選'!$A$7:$A$258,'能力升級候選'!$E$7:$E$258,"未評估",0))</x:f>
        <x:v>※</x:v>
      </x:c>
      <x:c r="F117" s="37" t="str">
        <x:f>IF(COUNTIFS('事件與限制'!$C$7:$C$106,$A117,'事件與限制'!$E$7:$E$106,$C117,'事件與限制'!$M$7:$M$106,"暫停技能資格",'事件與限制'!$Q$7:$Q$106,"生效中")&gt;0,"資格暫停",IF($E117="未評估","未建立",_xlfn.XLOOKUP("ABIL|1026|LJT-PREP-AIRPOLISH",'主管核定中心'!$A$12:$A$372,'主管核定中心'!$K$12:$K$372,"待主管核定",0)))</x:f>
        <x:v>待主管核定</x:v>
      </x:c>
      <x:c r="G117" s="37" t="str">
        <x:v>初始能力基準</x:v>
      </x:c>
      <x:c r="H117" s="41" t="n">
        <x:v>46266</x:v>
      </x:c>
      <x:c r="I117" s="44" t="str">
        <x:f>_xlfn.XLOOKUP("ABIL|1026|LJT-PREP-AIRPOLISH",'主管核定中心'!$A$12:$A$372,'主管核定中心'!$I$12:$I$372,"",0)</x:f>
      </x:c>
      <x:c r="J117" s="46" t="str">
        <x:f>_xlfn.XLOOKUP("ABIL|1026|LJT-PREP-AIRPOLISH",'主管核定中心'!$A$12:$A$372,'主管核定中心'!$H$12:$H$372,"",0)</x:f>
      </x:c>
      <x:c r="K117" s="37" t="n">
        <x:v>36</x:v>
      </x:c>
      <x:c r="L117" s="37" t="str">
        <x:v>1026|LJT-PREP-AIRPOLISH</x:v>
      </x:c>
    </x:row>
    <x:row r="118">
      <x:c r="A118" s="37" t="str">
        <x:v>1026</x:v>
      </x:c>
      <x:c r="B118" s="37" t="str"/>
      <x:c r="C118" s="37" t="str">
        <x:v>LJT-PREP-PERIOSURG</x:v>
      </x:c>
      <x:c r="D118" s="37" t="str">
        <x:v>牙周手術</x:v>
      </x:c>
      <x:c r="E118" s="37" t="str">
        <x:f>IF(_xlfn.XLOOKUP("UPG|1026|LJT-PREP-PERIOSURG",'能力升級候選'!$A$7:$A$258,'能力升級候選'!$R$7:$R$258,"",0)="已核定升級","◎",_xlfn.XLOOKUP("UPG|1026|LJT-PREP-PERIOSURG",'能力升級候選'!$A$7:$A$258,'能力升級候選'!$E$7:$E$258,"未評估",0))</x:f>
        <x:v>※</x:v>
      </x:c>
      <x:c r="F118" s="37" t="str">
        <x:f>IF(COUNTIFS('事件與限制'!$C$7:$C$106,$A118,'事件與限制'!$E$7:$E$106,$C118,'事件與限制'!$M$7:$M$106,"暫停技能資格",'事件與限制'!$Q$7:$Q$106,"生效中")&gt;0,"資格暫停",IF($E118="未評估","未建立",_xlfn.XLOOKUP("ABIL|1026|LJT-PREP-PERIOSURG",'主管核定中心'!$A$12:$A$372,'主管核定中心'!$K$12:$K$372,"待主管核定",0)))</x:f>
        <x:v>待主管核定</x:v>
      </x:c>
      <x:c r="G118" s="37" t="str">
        <x:v>初始能力基準</x:v>
      </x:c>
      <x:c r="H118" s="41" t="n">
        <x:v>46266</x:v>
      </x:c>
      <x:c r="I118" s="44" t="str">
        <x:f>_xlfn.XLOOKUP("ABIL|1026|LJT-PREP-PERIOSURG",'主管核定中心'!$A$12:$A$372,'主管核定中心'!$I$12:$I$372,"",0)</x:f>
      </x:c>
      <x:c r="J118" s="46" t="str">
        <x:f>_xlfn.XLOOKUP("ABIL|1026|LJT-PREP-PERIOSURG",'主管核定中心'!$A$12:$A$372,'主管核定中心'!$H$12:$H$372,"",0)</x:f>
      </x:c>
      <x:c r="K118" s="37" t="n">
        <x:v>37</x:v>
      </x:c>
      <x:c r="L118" s="37" t="str">
        <x:v>1026|LJT-PREP-PERIOSURG</x:v>
      </x:c>
    </x:row>
    <x:row r="119">
      <x:c r="A119" s="37" t="str">
        <x:v>1026</x:v>
      </x:c>
      <x:c r="B119" s="37" t="str"/>
      <x:c r="C119" s="37" t="str">
        <x:v>LJT-PREP-MICROENDO</x:v>
      </x:c>
      <x:c r="D119" s="37" t="str">
        <x:v>顯微根管</x:v>
      </x:c>
      <x:c r="E119" s="37" t="str">
        <x:f>IF(_xlfn.XLOOKUP("UPG|1026|LJT-PREP-MICROENDO",'能力升級候選'!$A$7:$A$258,'能力升級候選'!$R$7:$R$258,"",0)="已核定升級","◎",_xlfn.XLOOKUP("UPG|1026|LJT-PREP-MICROENDO",'能力升級候選'!$A$7:$A$258,'能力升級候選'!$E$7:$E$258,"未評估",0))</x:f>
        <x:v>※</x:v>
      </x:c>
      <x:c r="F119" s="37" t="str">
        <x:f>IF(COUNTIFS('事件與限制'!$C$7:$C$106,$A119,'事件與限制'!$E$7:$E$106,$C119,'事件與限制'!$M$7:$M$106,"暫停技能資格",'事件與限制'!$Q$7:$Q$106,"生效中")&gt;0,"資格暫停",IF($E119="未評估","未建立",_xlfn.XLOOKUP("ABIL|1026|LJT-PREP-MICROENDO",'主管核定中心'!$A$12:$A$372,'主管核定中心'!$K$12:$K$372,"待主管核定",0)))</x:f>
        <x:v>待主管核定</x:v>
      </x:c>
      <x:c r="G119" s="37" t="str">
        <x:v>初始能力基準</x:v>
      </x:c>
      <x:c r="H119" s="41" t="n">
        <x:v>46266</x:v>
      </x:c>
      <x:c r="I119" s="44" t="str">
        <x:f>_xlfn.XLOOKUP("ABIL|1026|LJT-PREP-MICROENDO",'主管核定中心'!$A$12:$A$372,'主管核定中心'!$I$12:$I$372,"",0)</x:f>
      </x:c>
      <x:c r="J119" s="46" t="str">
        <x:f>_xlfn.XLOOKUP("ABIL|1026|LJT-PREP-MICROENDO",'主管核定中心'!$A$12:$A$372,'主管核定中心'!$H$12:$H$372,"",0)</x:f>
      </x:c>
      <x:c r="K119" s="37" t="n">
        <x:v>38</x:v>
      </x:c>
      <x:c r="L119" s="37" t="str">
        <x:v>1026|LJT-PREP-MICROENDO</x:v>
      </x:c>
    </x:row>
    <x:row r="120">
      <x:c r="A120" s="37" t="str">
        <x:v>1026</x:v>
      </x:c>
      <x:c r="B120" s="37" t="str"/>
      <x:c r="C120" s="37" t="str">
        <x:v>LJT-PREP-IMPLANT</x:v>
      </x:c>
      <x:c r="D120" s="37" t="str">
        <x:v>植 牙</x:v>
      </x:c>
      <x:c r="E120" s="37" t="str">
        <x:f>IF(_xlfn.XLOOKUP("UPG|1026|LJT-PREP-IMPLANT",'能力升級候選'!$A$7:$A$258,'能力升級候選'!$R$7:$R$258,"",0)="已核定升級","◎",_xlfn.XLOOKUP("UPG|1026|LJT-PREP-IMPLANT",'能力升級候選'!$A$7:$A$258,'能力升級候選'!$E$7:$E$258,"未評估",0))</x:f>
        <x:v>◎</x:v>
      </x:c>
      <x:c r="F120" s="37" t="str">
        <x:f>IF(COUNTIFS('事件與限制'!$C$7:$C$106,$A120,'事件與限制'!$E$7:$E$106,$C120,'事件與限制'!$M$7:$M$106,"暫停技能資格",'事件與限制'!$Q$7:$Q$106,"生效中")&gt;0,"資格暫停",IF($E120="未評估","未建立",_xlfn.XLOOKUP("ABIL|1026|LJT-PREP-IMPLANT",'主管核定中心'!$A$12:$A$372,'主管核定中心'!$K$12:$K$372,"待主管核定",0)))</x:f>
        <x:v>待主管核定</x:v>
      </x:c>
      <x:c r="G120" s="37" t="str">
        <x:v>初始能力基準</x:v>
      </x:c>
      <x:c r="H120" s="41" t="n">
        <x:v>46266</x:v>
      </x:c>
      <x:c r="I120" s="44" t="str">
        <x:f>_xlfn.XLOOKUP("ABIL|1026|LJT-PREP-IMPLANT",'主管核定中心'!$A$12:$A$372,'主管核定中心'!$I$12:$I$372,"",0)</x:f>
      </x:c>
      <x:c r="J120" s="46" t="str">
        <x:f>_xlfn.XLOOKUP("ABIL|1026|LJT-PREP-IMPLANT",'主管核定中心'!$A$12:$A$372,'主管核定中心'!$H$12:$H$372,"",0)</x:f>
      </x:c>
      <x:c r="K120" s="37" t="n">
        <x:v>39</x:v>
      </x:c>
      <x:c r="L120" s="37" t="str">
        <x:v>1026|LJT-PREP-IMPLANT</x:v>
      </x:c>
    </x:row>
    <x:row r="121">
      <x:c r="A121" s="37" t="str">
        <x:v>1026</x:v>
      </x:c>
      <x:c r="B121" s="37" t="str"/>
      <x:c r="C121" s="37" t="str">
        <x:v>COMMON-RECORD</x:v>
      </x:c>
      <x:c r="D121" s="37" t="str">
        <x:v>病歷紀錄</x:v>
      </x:c>
      <x:c r="E121" s="37" t="str">
        <x:f>IF(_xlfn.XLOOKUP("UPG|1026|COMMON-RECORD",'能力升級候選'!$A$7:$A$258,'能力升級候選'!$R$7:$R$258,"",0)="已核定升級","◎",_xlfn.XLOOKUP("UPG|1026|COMMON-RECORD",'能力升級候選'!$A$7:$A$258,'能力升級候選'!$E$7:$E$258,"未評估",0))</x:f>
        <x:v>△</x:v>
      </x:c>
      <x:c r="F121" s="37" t="str">
        <x:f>IF(COUNTIFS('事件與限制'!$C$7:$C$106,$A121,'事件與限制'!$E$7:$E$106,$C121,'事件與限制'!$M$7:$M$106,"暫停技能資格",'事件與限制'!$Q$7:$Q$106,"生效中")&gt;0,"資格暫停",IF($E121="未評估","未建立",_xlfn.XLOOKUP("ABIL|1026|COMMON-RECORD",'主管核定中心'!$A$12:$A$372,'主管核定中心'!$K$12:$K$372,"待主管核定",0)))</x:f>
        <x:v>待主管核定</x:v>
      </x:c>
      <x:c r="G121" s="37" t="str">
        <x:v>初始能力基準</x:v>
      </x:c>
      <x:c r="H121" s="41" t="n">
        <x:v>46266</x:v>
      </x:c>
      <x:c r="I121" s="44" t="str">
        <x:f>_xlfn.XLOOKUP("ABIL|1026|COMMON-RECORD",'主管核定中心'!$A$12:$A$372,'主管核定中心'!$I$12:$I$372,"",0)</x:f>
      </x:c>
      <x:c r="J121" s="46" t="str">
        <x:f>_xlfn.XLOOKUP("ABIL|1026|COMMON-RECORD",'主管核定中心'!$A$12:$A$372,'主管核定中心'!$H$12:$H$372,"",0)</x:f>
      </x:c>
      <x:c r="K121" s="37" t="n">
        <x:v>41</x:v>
      </x:c>
      <x:c r="L121" s="37" t="str">
        <x:v>1026|COMMON-RECORD</x:v>
      </x:c>
    </x:row>
    <x:row r="122">
      <x:c r="A122" s="37" t="str">
        <x:v>1026</x:v>
      </x:c>
      <x:c r="B122" s="37" t="str"/>
      <x:c r="C122" s="37" t="str">
        <x:v>COMMON-INSURANCE</x:v>
      </x:c>
      <x:c r="D122" s="37" t="str">
        <x:v>健保申報</x:v>
      </x:c>
      <x:c r="E122" s="37" t="str">
        <x:f>IF(_xlfn.XLOOKUP("UPG|1026|COMMON-INSURANCE",'能力升級候選'!$A$7:$A$258,'能力升級候選'!$R$7:$R$258,"",0)="已核定升級","◎",_xlfn.XLOOKUP("UPG|1026|COMMON-INSURANCE",'能力升級候選'!$A$7:$A$258,'能力升級候選'!$E$7:$E$258,"未評估",0))</x:f>
        <x:v>△</x:v>
      </x:c>
      <x:c r="F122" s="37" t="str">
        <x:f>IF(COUNTIFS('事件與限制'!$C$7:$C$106,$A122,'事件與限制'!$E$7:$E$106,$C122,'事件與限制'!$M$7:$M$106,"暫停技能資格",'事件與限制'!$Q$7:$Q$106,"生效中")&gt;0,"資格暫停",IF($E122="未評估","未建立",_xlfn.XLOOKUP("ABIL|1026|COMMON-INSURANCE",'主管核定中心'!$A$12:$A$372,'主管核定中心'!$K$12:$K$372,"待主管核定",0)))</x:f>
        <x:v>待主管核定</x:v>
      </x:c>
      <x:c r="G122" s="37" t="str">
        <x:v>初始能力基準</x:v>
      </x:c>
      <x:c r="H122" s="41" t="n">
        <x:v>46266</x:v>
      </x:c>
      <x:c r="I122" s="44" t="str">
        <x:f>_xlfn.XLOOKUP("ABIL|1026|COMMON-INSURANCE",'主管核定中心'!$A$12:$A$372,'主管核定中心'!$I$12:$I$372,"",0)</x:f>
      </x:c>
      <x:c r="J122" s="46" t="str">
        <x:f>_xlfn.XLOOKUP("ABIL|1026|COMMON-INSURANCE",'主管核定中心'!$A$12:$A$372,'主管核定中心'!$H$12:$H$372,"",0)</x:f>
      </x:c>
      <x:c r="K122" s="37" t="n">
        <x:v>42</x:v>
      </x:c>
      <x:c r="L122" s="37" t="str">
        <x:v>1026|COMMON-INSURANCE</x:v>
      </x:c>
    </x:row>
    <x:row r="123">
      <x:c r="A123" s="37" t="str">
        <x:v>1026</x:v>
      </x:c>
      <x:c r="B123" s="37" t="str"/>
      <x:c r="C123" s="37" t="str">
        <x:v>COMMON-XRAY-RECORD</x:v>
      </x:c>
      <x:c r="D123" s="37" t="str">
        <x:v>X光片紀錄</x:v>
      </x:c>
      <x:c r="E123" s="37" t="str">
        <x:f>IF(_xlfn.XLOOKUP("UPG|1026|COMMON-XRAY-RECORD",'能力升級候選'!$A$7:$A$258,'能力升級候選'!$R$7:$R$258,"",0)="已核定升級","◎",_xlfn.XLOOKUP("UPG|1026|COMMON-XRAY-RECORD",'能力升級候選'!$A$7:$A$258,'能力升級候選'!$E$7:$E$258,"未評估",0))</x:f>
        <x:v>△</x:v>
      </x:c>
      <x:c r="F123" s="37" t="str">
        <x:f>IF(COUNTIFS('事件與限制'!$C$7:$C$106,$A123,'事件與限制'!$E$7:$E$106,$C123,'事件與限制'!$M$7:$M$106,"暫停技能資格",'事件與限制'!$Q$7:$Q$106,"生效中")&gt;0,"資格暫停",IF($E123="未評估","未建立",_xlfn.XLOOKUP("ABIL|1026|COMMON-XRAY-RECORD",'主管核定中心'!$A$12:$A$372,'主管核定中心'!$K$12:$K$372,"待主管核定",0)))</x:f>
        <x:v>待主管核定</x:v>
      </x:c>
      <x:c r="G123" s="37" t="str">
        <x:v>初始能力基準</x:v>
      </x:c>
      <x:c r="H123" s="41" t="n">
        <x:v>46266</x:v>
      </x:c>
      <x:c r="I123" s="44" t="str">
        <x:f>_xlfn.XLOOKUP("ABIL|1026|COMMON-XRAY-RECORD",'主管核定中心'!$A$12:$A$372,'主管核定中心'!$I$12:$I$372,"",0)</x:f>
      </x:c>
      <x:c r="J123" s="46" t="str">
        <x:f>_xlfn.XLOOKUP("ABIL|1026|COMMON-XRAY-RECORD",'主管核定中心'!$A$12:$A$372,'主管核定中心'!$H$12:$H$372,"",0)</x:f>
      </x:c>
      <x:c r="K123" s="37" t="n">
        <x:v>43</x:v>
      </x:c>
      <x:c r="L123" s="37" t="str">
        <x:v>1026|COMMON-XRAY-RECORD</x:v>
      </x:c>
    </x:row>
    <x:row r="124">
      <x:c r="A124" s="37" t="str">
        <x:v>1026</x:v>
      </x:c>
      <x:c r="B124" s="37" t="str"/>
      <x:c r="C124" s="37" t="str">
        <x:v>COMMON-PA</x:v>
      </x:c>
      <x:c r="D124" s="37" t="str">
        <x:v>拍PA</x:v>
      </x:c>
      <x:c r="E124" s="37" t="str">
        <x:f>IF(_xlfn.XLOOKUP("UPG|1026|COMMON-PA",'能力升級候選'!$A$7:$A$258,'能力升級候選'!$R$7:$R$258,"",0)="已核定升級","◎",_xlfn.XLOOKUP("UPG|1026|COMMON-PA",'能力升級候選'!$A$7:$A$258,'能力升級候選'!$E$7:$E$258,"未評估",0))</x:f>
        <x:v>◎</x:v>
      </x:c>
      <x:c r="F124" s="37" t="str">
        <x:f>IF(COUNTIFS('事件與限制'!$C$7:$C$106,$A124,'事件與限制'!$E$7:$E$106,$C124,'事件與限制'!$M$7:$M$106,"暫停技能資格",'事件與限制'!$Q$7:$Q$106,"生效中")&gt;0,"資格暫停",IF($E124="未評估","未建立",_xlfn.XLOOKUP("ABIL|1026|COMMON-PA",'主管核定中心'!$A$12:$A$372,'主管核定中心'!$K$12:$K$372,"待主管核定",0)))</x:f>
        <x:v>待主管核定</x:v>
      </x:c>
      <x:c r="G124" s="37" t="str">
        <x:v>初始能力基準</x:v>
      </x:c>
      <x:c r="H124" s="41" t="n">
        <x:v>46266</x:v>
      </x:c>
      <x:c r="I124" s="44" t="str">
        <x:f>_xlfn.XLOOKUP("ABIL|1026|COMMON-PA",'主管核定中心'!$A$12:$A$372,'主管核定中心'!$I$12:$I$372,"",0)</x:f>
      </x:c>
      <x:c r="J124" s="46" t="str">
        <x:f>_xlfn.XLOOKUP("ABIL|1026|COMMON-PA",'主管核定中心'!$A$12:$A$372,'主管核定中心'!$H$12:$H$372,"",0)</x:f>
      </x:c>
      <x:c r="K124" s="37" t="n">
        <x:v>44</x:v>
      </x:c>
      <x:c r="L124" s="37" t="str">
        <x:v>1026|COMMON-PA</x:v>
      </x:c>
    </x:row>
    <x:row r="125">
      <x:c r="A125" s="37" t="str">
        <x:v>1026</x:v>
      </x:c>
      <x:c r="B125" s="37" t="str"/>
      <x:c r="C125" s="37" t="str">
        <x:v>COMMON-IOS</x:v>
      </x:c>
      <x:c r="D125" s="37" t="str">
        <x:v>口掃機運用</x:v>
      </x:c>
      <x:c r="E125" s="37" t="str">
        <x:f>IF(_xlfn.XLOOKUP("UPG|1026|COMMON-IOS",'能力升級候選'!$A$7:$A$258,'能力升級候選'!$R$7:$R$258,"",0)="已核定升級","◎",_xlfn.XLOOKUP("UPG|1026|COMMON-IOS",'能力升級候選'!$A$7:$A$258,'能力升級候選'!$E$7:$E$258,"未評估",0))</x:f>
        <x:v>◎</x:v>
      </x:c>
      <x:c r="F125" s="37" t="str">
        <x:f>IF(COUNTIFS('事件與限制'!$C$7:$C$106,$A125,'事件與限制'!$E$7:$E$106,$C125,'事件與限制'!$M$7:$M$106,"暫停技能資格",'事件與限制'!$Q$7:$Q$106,"生效中")&gt;0,"資格暫停",IF($E125="未評估","未建立",_xlfn.XLOOKUP("ABIL|1026|COMMON-IOS",'主管核定中心'!$A$12:$A$372,'主管核定中心'!$K$12:$K$372,"待主管核定",0)))</x:f>
        <x:v>待主管核定</x:v>
      </x:c>
      <x:c r="G125" s="37" t="str">
        <x:v>初始能力基準</x:v>
      </x:c>
      <x:c r="H125" s="41" t="n">
        <x:v>46266</x:v>
      </x:c>
      <x:c r="I125" s="44" t="str">
        <x:f>_xlfn.XLOOKUP("ABIL|1026|COMMON-IOS",'主管核定中心'!$A$12:$A$372,'主管核定中心'!$I$12:$I$372,"",0)</x:f>
      </x:c>
      <x:c r="J125" s="46" t="str">
        <x:f>_xlfn.XLOOKUP("ABIL|1026|COMMON-IOS",'主管核定中心'!$A$12:$A$372,'主管核定中心'!$H$12:$H$372,"",0)</x:f>
      </x:c>
      <x:c r="K125" s="37" t="n">
        <x:v>45</x:v>
      </x:c>
      <x:c r="L125" s="37" t="str">
        <x:v>1026|COMMON-IOS</x:v>
      </x:c>
    </x:row>
    <x:row r="126">
      <x:c r="A126" s="37" t="str">
        <x:v>1027</x:v>
      </x:c>
      <x:c r="B126" s="37" t="str"/>
      <x:c r="C126" s="37" t="str">
        <x:v>LJT-PREP-SCALING</x:v>
      </x:c>
      <x:c r="D126" s="37" t="str">
        <x:v>洗牙</x:v>
      </x:c>
      <x:c r="E126" s="37" t="str">
        <x:f>IF(_xlfn.XLOOKUP("UPG|1027|LJT-PREP-SCALING",'能力升級候選'!$A$7:$A$258,'能力升級候選'!$R$7:$R$258,"",0)="已核定升級","◎",_xlfn.XLOOKUP("UPG|1027|LJT-PREP-SCALING",'能力升級候選'!$A$7:$A$258,'能力升級候選'!$E$7:$E$258,"未評估",0))</x:f>
        <x:v>◎</x:v>
      </x:c>
      <x:c r="F126" s="37" t="str">
        <x:f>IF(COUNTIFS('事件與限制'!$C$7:$C$106,$A126,'事件與限制'!$E$7:$E$106,$C126,'事件與限制'!$M$7:$M$106,"暫停技能資格",'事件與限制'!$Q$7:$Q$106,"生效中")&gt;0,"資格暫停",IF($E126="未評估","未建立",_xlfn.XLOOKUP("ABIL|1027|LJT-PREP-SCALING",'主管核定中心'!$A$12:$A$372,'主管核定中心'!$K$12:$K$372,"待主管核定",0)))</x:f>
        <x:v>待主管核定</x:v>
      </x:c>
      <x:c r="G126" s="37" t="str">
        <x:v>初始能力基準</x:v>
      </x:c>
      <x:c r="H126" s="41" t="n">
        <x:v>46266</x:v>
      </x:c>
      <x:c r="I126" s="44" t="str">
        <x:f>_xlfn.XLOOKUP("ABIL|1027|LJT-PREP-SCALING",'主管核定中心'!$A$12:$A$372,'主管核定中心'!$I$12:$I$372,"",0)</x:f>
      </x:c>
      <x:c r="J126" s="46" t="str">
        <x:f>_xlfn.XLOOKUP("ABIL|1027|LJT-PREP-SCALING",'主管核定中心'!$A$12:$A$372,'主管核定中心'!$H$12:$H$372,"",0)</x:f>
      </x:c>
      <x:c r="K126" s="37" t="n">
        <x:v>28</x:v>
      </x:c>
      <x:c r="L126" s="37" t="str">
        <x:v>1027|LJT-PREP-SCALING</x:v>
      </x:c>
    </x:row>
    <x:row r="127">
      <x:c r="A127" s="37" t="str">
        <x:v>1027</x:v>
      </x:c>
      <x:c r="B127" s="37" t="str"/>
      <x:c r="C127" s="37" t="str">
        <x:v>LJT-PREP-FILLING</x:v>
      </x:c>
      <x:c r="D127" s="37" t="str">
        <x:v>補牙</x:v>
      </x:c>
      <x:c r="E127" s="37" t="str">
        <x:f>IF(_xlfn.XLOOKUP("UPG|1027|LJT-PREP-FILLING",'能力升級候選'!$A$7:$A$258,'能力升級候選'!$R$7:$R$258,"",0)="已核定升級","◎",_xlfn.XLOOKUP("UPG|1027|LJT-PREP-FILLING",'能力升級候選'!$A$7:$A$258,'能力升級候選'!$E$7:$E$258,"未評估",0))</x:f>
        <x:v>◎</x:v>
      </x:c>
      <x:c r="F127" s="37" t="str">
        <x:f>IF(COUNTIFS('事件與限制'!$C$7:$C$106,$A127,'事件與限制'!$E$7:$E$106,$C127,'事件與限制'!$M$7:$M$106,"暫停技能資格",'事件與限制'!$Q$7:$Q$106,"生效中")&gt;0,"資格暫停",IF($E127="未評估","未建立",_xlfn.XLOOKUP("ABIL|1027|LJT-PREP-FILLING",'主管核定中心'!$A$12:$A$372,'主管核定中心'!$K$12:$K$372,"待主管核定",0)))</x:f>
        <x:v>待主管核定</x:v>
      </x:c>
      <x:c r="G127" s="37" t="str">
        <x:v>初始能力基準</x:v>
      </x:c>
      <x:c r="H127" s="41" t="n">
        <x:v>46266</x:v>
      </x:c>
      <x:c r="I127" s="44" t="str">
        <x:f>_xlfn.XLOOKUP("ABIL|1027|LJT-PREP-FILLING",'主管核定中心'!$A$12:$A$372,'主管核定中心'!$I$12:$I$372,"",0)</x:f>
      </x:c>
      <x:c r="J127" s="46" t="str">
        <x:f>_xlfn.XLOOKUP("ABIL|1027|LJT-PREP-FILLING",'主管核定中心'!$A$12:$A$372,'主管核定中心'!$H$12:$H$372,"",0)</x:f>
      </x:c>
      <x:c r="K127" s="37" t="n">
        <x:v>29</x:v>
      </x:c>
      <x:c r="L127" s="37" t="str">
        <x:v>1027|LJT-PREP-FILLING</x:v>
      </x:c>
    </x:row>
    <x:row r="128">
      <x:c r="A128" s="37" t="str">
        <x:v>1027</x:v>
      </x:c>
      <x:c r="B128" s="37" t="str"/>
      <x:c r="C128" s="37" t="str">
        <x:v>LJT-PREP-PERIO</x:v>
      </x:c>
      <x:c r="D128" s="37" t="str">
        <x:v>牙周統合</x:v>
      </x:c>
      <x:c r="E128" s="37" t="str">
        <x:f>IF(_xlfn.XLOOKUP("UPG|1027|LJT-PREP-PERIO",'能力升級候選'!$A$7:$A$258,'能力升級候選'!$R$7:$R$258,"",0)="已核定升級","◎",_xlfn.XLOOKUP("UPG|1027|LJT-PREP-PERIO",'能力升級候選'!$A$7:$A$258,'能力升級候選'!$E$7:$E$258,"未評估",0))</x:f>
        <x:v>◎</x:v>
      </x:c>
      <x:c r="F128" s="37" t="str">
        <x:f>IF(COUNTIFS('事件與限制'!$C$7:$C$106,$A128,'事件與限制'!$E$7:$E$106,$C128,'事件與限制'!$M$7:$M$106,"暫停技能資格",'事件與限制'!$Q$7:$Q$106,"生效中")&gt;0,"資格暫停",IF($E128="未評估","未建立",_xlfn.XLOOKUP("ABIL|1027|LJT-PREP-PERIO",'主管核定中心'!$A$12:$A$372,'主管核定中心'!$K$12:$K$372,"待主管核定",0)))</x:f>
        <x:v>待主管核定</x:v>
      </x:c>
      <x:c r="G128" s="37" t="str">
        <x:v>初始能力基準</x:v>
      </x:c>
      <x:c r="H128" s="41" t="n">
        <x:v>46266</x:v>
      </x:c>
      <x:c r="I128" s="44" t="str">
        <x:f>_xlfn.XLOOKUP("ABIL|1027|LJT-PREP-PERIO",'主管核定中心'!$A$12:$A$372,'主管核定中心'!$I$12:$I$372,"",0)</x:f>
      </x:c>
      <x:c r="J128" s="46" t="str">
        <x:f>_xlfn.XLOOKUP("ABIL|1027|LJT-PREP-PERIO",'主管核定中心'!$A$12:$A$372,'主管核定中心'!$H$12:$H$372,"",0)</x:f>
      </x:c>
      <x:c r="K128" s="37" t="n">
        <x:v>30</x:v>
      </x:c>
      <x:c r="L128" s="37" t="str">
        <x:v>1027|LJT-PREP-PERIO</x:v>
      </x:c>
    </x:row>
    <x:row r="129">
      <x:c r="A129" s="37" t="str">
        <x:v>1027</x:v>
      </x:c>
      <x:c r="B129" s="37" t="str"/>
      <x:c r="C129" s="37" t="str">
        <x:v>LJT-PREP-RCT</x:v>
      </x:c>
      <x:c r="D129" s="37" t="str">
        <x:v>根管治療</x:v>
      </x:c>
      <x:c r="E129" s="37" t="str">
        <x:f>IF(_xlfn.XLOOKUP("UPG|1027|LJT-PREP-RCT",'能力升級候選'!$A$7:$A$258,'能力升級候選'!$R$7:$R$258,"",0)="已核定升級","◎",_xlfn.XLOOKUP("UPG|1027|LJT-PREP-RCT",'能力升級候選'!$A$7:$A$258,'能力升級候選'!$E$7:$E$258,"未評估",0))</x:f>
        <x:v>◎</x:v>
      </x:c>
      <x:c r="F129" s="37" t="str">
        <x:f>IF(COUNTIFS('事件與限制'!$C$7:$C$106,$A129,'事件與限制'!$E$7:$E$106,$C129,'事件與限制'!$M$7:$M$106,"暫停技能資格",'事件與限制'!$Q$7:$Q$106,"生效中")&gt;0,"資格暫停",IF($E129="未評估","未建立",_xlfn.XLOOKUP("ABIL|1027|LJT-PREP-RCT",'主管核定中心'!$A$12:$A$372,'主管核定中心'!$K$12:$K$372,"待主管核定",0)))</x:f>
        <x:v>待主管核定</x:v>
      </x:c>
      <x:c r="G129" s="37" t="str">
        <x:v>初始能力基準</x:v>
      </x:c>
      <x:c r="H129" s="41" t="n">
        <x:v>46266</x:v>
      </x:c>
      <x:c r="I129" s="44" t="str">
        <x:f>_xlfn.XLOOKUP("ABIL|1027|LJT-PREP-RCT",'主管核定中心'!$A$12:$A$372,'主管核定中心'!$I$12:$I$372,"",0)</x:f>
      </x:c>
      <x:c r="J129" s="46" t="str">
        <x:f>_xlfn.XLOOKUP("ABIL|1027|LJT-PREP-RCT",'主管核定中心'!$A$12:$A$372,'主管核定中心'!$H$12:$H$372,"",0)</x:f>
      </x:c>
      <x:c r="K129" s="37" t="n">
        <x:v>31</x:v>
      </x:c>
      <x:c r="L129" s="37" t="str">
        <x:v>1027|LJT-PREP-RCT</x:v>
      </x:c>
    </x:row>
    <x:row r="130">
      <x:c r="A130" s="37" t="str">
        <x:v>1027</x:v>
      </x:c>
      <x:c r="B130" s="37" t="str"/>
      <x:c r="C130" s="37" t="str">
        <x:v>LJT-PREP-EXTRACTION</x:v>
      </x:c>
      <x:c r="D130" s="37" t="str">
        <x:v>拔牙</x:v>
      </x:c>
      <x:c r="E130" s="37" t="str">
        <x:f>IF(_xlfn.XLOOKUP("UPG|1027|LJT-PREP-EXTRACTION",'能力升級候選'!$A$7:$A$258,'能力升級候選'!$R$7:$R$258,"",0)="已核定升級","◎",_xlfn.XLOOKUP("UPG|1027|LJT-PREP-EXTRACTION",'能力升級候選'!$A$7:$A$258,'能力升級候選'!$E$7:$E$258,"未評估",0))</x:f>
        <x:v>Ø</x:v>
      </x:c>
      <x:c r="F130" s="37" t="str">
        <x:f>IF(COUNTIFS('事件與限制'!$C$7:$C$106,$A130,'事件與限制'!$E$7:$E$106,$C130,'事件與限制'!$M$7:$M$106,"暫停技能資格",'事件與限制'!$Q$7:$Q$106,"生效中")&gt;0,"資格暫停",IF($E130="未評估","未建立",_xlfn.XLOOKUP("ABIL|1027|LJT-PREP-EXTRACTION",'主管核定中心'!$A$12:$A$372,'主管核定中心'!$K$12:$K$372,"待主管核定",0)))</x:f>
        <x:v>待主管核定</x:v>
      </x:c>
      <x:c r="G130" s="37" t="str">
        <x:v>初始能力基準</x:v>
      </x:c>
      <x:c r="H130" s="41" t="n">
        <x:v>46266</x:v>
      </x:c>
      <x:c r="I130" s="44" t="str">
        <x:f>_xlfn.XLOOKUP("ABIL|1027|LJT-PREP-EXTRACTION",'主管核定中心'!$A$12:$A$372,'主管核定中心'!$I$12:$I$372,"",0)</x:f>
      </x:c>
      <x:c r="J130" s="46" t="str">
        <x:f>_xlfn.XLOOKUP("ABIL|1027|LJT-PREP-EXTRACTION",'主管核定中心'!$A$12:$A$372,'主管核定中心'!$H$12:$H$372,"",0)</x:f>
      </x:c>
      <x:c r="K130" s="37" t="n">
        <x:v>32</x:v>
      </x:c>
      <x:c r="L130" s="37" t="str">
        <x:v>1027|LJT-PREP-EXTRACTION</x:v>
      </x:c>
    </x:row>
    <x:row r="131">
      <x:c r="A131" s="37" t="str">
        <x:v>1027</x:v>
      </x:c>
      <x:c r="B131" s="37" t="str"/>
      <x:c r="C131" s="37" t="str">
        <x:v>LJT-PREP-CROWNPOST</x:v>
      </x:c>
      <x:c r="D131" s="37" t="str">
        <x:v>拆 crown/post</x:v>
      </x:c>
      <x:c r="E131" s="37" t="str">
        <x:f>IF(_xlfn.XLOOKUP("UPG|1027|LJT-PREP-CROWNPOST",'能力升級候選'!$A$7:$A$258,'能力升級候選'!$R$7:$R$258,"",0)="已核定升級","◎",_xlfn.XLOOKUP("UPG|1027|LJT-PREP-CROWNPOST",'能力升級候選'!$A$7:$A$258,'能力升級候選'!$E$7:$E$258,"未評估",0))</x:f>
        <x:v>◎</x:v>
      </x:c>
      <x:c r="F131" s="37" t="str">
        <x:f>IF(COUNTIFS('事件與限制'!$C$7:$C$106,$A131,'事件與限制'!$E$7:$E$106,$C131,'事件與限制'!$M$7:$M$106,"暫停技能資格",'事件與限制'!$Q$7:$Q$106,"生效中")&gt;0,"資格暫停",IF($E131="未評估","未建立",_xlfn.XLOOKUP("ABIL|1027|LJT-PREP-CROWNPOST",'主管核定中心'!$A$12:$A$372,'主管核定中心'!$K$12:$K$372,"待主管核定",0)))</x:f>
        <x:v>待主管核定</x:v>
      </x:c>
      <x:c r="G131" s="37" t="str">
        <x:v>初始能力基準</x:v>
      </x:c>
      <x:c r="H131" s="41" t="n">
        <x:v>46266</x:v>
      </x:c>
      <x:c r="I131" s="44" t="str">
        <x:f>_xlfn.XLOOKUP("ABIL|1027|LJT-PREP-CROWNPOST",'主管核定中心'!$A$12:$A$372,'主管核定中心'!$I$12:$I$372,"",0)</x:f>
      </x:c>
      <x:c r="J131" s="46" t="str">
        <x:f>_xlfn.XLOOKUP("ABIL|1027|LJT-PREP-CROWNPOST",'主管核定中心'!$A$12:$A$372,'主管核定中心'!$H$12:$H$372,"",0)</x:f>
      </x:c>
      <x:c r="K131" s="37" t="n">
        <x:v>33</x:v>
      </x:c>
      <x:c r="L131" s="37" t="str">
        <x:v>1027|LJT-PREP-CROWNPOST</x:v>
      </x:c>
    </x:row>
    <x:row r="132">
      <x:c r="A132" s="37" t="str">
        <x:v>1027</x:v>
      </x:c>
      <x:c r="B132" s="37" t="str"/>
      <x:c r="C132" s="37" t="str">
        <x:v>LJT-PREP-CROWN</x:v>
      </x:c>
      <x:c r="D132" s="37" t="str">
        <x:v>固定假牙</x:v>
      </x:c>
      <x:c r="E132" s="37" t="str">
        <x:f>IF(_xlfn.XLOOKUP("UPG|1027|LJT-PREP-CROWN",'能力升級候選'!$A$7:$A$258,'能力升級候選'!$R$7:$R$258,"",0)="已核定升級","◎",_xlfn.XLOOKUP("UPG|1027|LJT-PREP-CROWN",'能力升級候選'!$A$7:$A$258,'能力升級候選'!$E$7:$E$258,"未評估",0))</x:f>
        <x:v>◎</x:v>
      </x:c>
      <x:c r="F132" s="37" t="str">
        <x:f>IF(COUNTIFS('事件與限制'!$C$7:$C$106,$A132,'事件與限制'!$E$7:$E$106,$C132,'事件與限制'!$M$7:$M$106,"暫停技能資格",'事件與限制'!$Q$7:$Q$106,"生效中")&gt;0,"資格暫停",IF($E132="未評估","未建立",_xlfn.XLOOKUP("ABIL|1027|LJT-PREP-CROWN",'主管核定中心'!$A$12:$A$372,'主管核定中心'!$K$12:$K$372,"待主管核定",0)))</x:f>
        <x:v>待主管核定</x:v>
      </x:c>
      <x:c r="G132" s="37" t="str">
        <x:v>初始能力基準</x:v>
      </x:c>
      <x:c r="H132" s="41" t="n">
        <x:v>46266</x:v>
      </x:c>
      <x:c r="I132" s="44" t="str">
        <x:f>_xlfn.XLOOKUP("ABIL|1027|LJT-PREP-CROWN",'主管核定中心'!$A$12:$A$372,'主管核定中心'!$I$12:$I$372,"",0)</x:f>
      </x:c>
      <x:c r="J132" s="46" t="str">
        <x:f>_xlfn.XLOOKUP("ABIL|1027|LJT-PREP-CROWN",'主管核定中心'!$A$12:$A$372,'主管核定中心'!$H$12:$H$372,"",0)</x:f>
      </x:c>
      <x:c r="K132" s="37" t="n">
        <x:v>34</x:v>
      </x:c>
      <x:c r="L132" s="37" t="str">
        <x:v>1027|LJT-PREP-CROWN</x:v>
      </x:c>
    </x:row>
    <x:row r="133">
      <x:c r="A133" s="37" t="str">
        <x:v>1027</x:v>
      </x:c>
      <x:c r="B133" s="37" t="str"/>
      <x:c r="C133" s="37" t="str">
        <x:v>LJT-PREP-RPD</x:v>
      </x:c>
      <x:c r="D133" s="37" t="str">
        <x:v>RPD</x:v>
      </x:c>
      <x:c r="E133" s="37" t="str">
        <x:f>IF(_xlfn.XLOOKUP("UPG|1027|LJT-PREP-RPD",'能力升級候選'!$A$7:$A$258,'能力升級候選'!$R$7:$R$258,"",0)="已核定升級","◎",_xlfn.XLOOKUP("UPG|1027|LJT-PREP-RPD",'能力升級候選'!$A$7:$A$258,'能力升級候選'!$E$7:$E$258,"未評估",0))</x:f>
        <x:v>Ø</x:v>
      </x:c>
      <x:c r="F133" s="37" t="str">
        <x:f>IF(COUNTIFS('事件與限制'!$C$7:$C$106,$A133,'事件與限制'!$E$7:$E$106,$C133,'事件與限制'!$M$7:$M$106,"暫停技能資格",'事件與限制'!$Q$7:$Q$106,"生效中")&gt;0,"資格暫停",IF($E133="未評估","未建立",_xlfn.XLOOKUP("ABIL|1027|LJT-PREP-RPD",'主管核定中心'!$A$12:$A$372,'主管核定中心'!$K$12:$K$372,"待主管核定",0)))</x:f>
        <x:v>待主管核定</x:v>
      </x:c>
      <x:c r="G133" s="37" t="str">
        <x:v>初始能力基準</x:v>
      </x:c>
      <x:c r="H133" s="41" t="n">
        <x:v>46266</x:v>
      </x:c>
      <x:c r="I133" s="44" t="str">
        <x:f>_xlfn.XLOOKUP("ABIL|1027|LJT-PREP-RPD",'主管核定中心'!$A$12:$A$372,'主管核定中心'!$I$12:$I$372,"",0)</x:f>
      </x:c>
      <x:c r="J133" s="46" t="str">
        <x:f>_xlfn.XLOOKUP("ABIL|1027|LJT-PREP-RPD",'主管核定中心'!$A$12:$A$372,'主管核定中心'!$H$12:$H$372,"",0)</x:f>
      </x:c>
      <x:c r="K133" s="37" t="n">
        <x:v>35</x:v>
      </x:c>
      <x:c r="L133" s="37" t="str">
        <x:v>1027|LJT-PREP-RPD</x:v>
      </x:c>
    </x:row>
    <x:row r="134">
      <x:c r="A134" s="37" t="str">
        <x:v>1027</x:v>
      </x:c>
      <x:c r="B134" s="37" t="str"/>
      <x:c r="C134" s="37" t="str">
        <x:v>LJT-PREP-AIRPOLISH</x:v>
      </x:c>
      <x:c r="D134" s="37" t="str">
        <x:v>噴砂美白</x:v>
      </x:c>
      <x:c r="E134" s="37" t="str">
        <x:f>IF(_xlfn.XLOOKUP("UPG|1027|LJT-PREP-AIRPOLISH",'能力升級候選'!$A$7:$A$258,'能力升級候選'!$R$7:$R$258,"",0)="已核定升級","◎",_xlfn.XLOOKUP("UPG|1027|LJT-PREP-AIRPOLISH",'能力升級候選'!$A$7:$A$258,'能力升級候選'!$E$7:$E$258,"未評估",0))</x:f>
        <x:v>※</x:v>
      </x:c>
      <x:c r="F134" s="37" t="str">
        <x:f>IF(COUNTIFS('事件與限制'!$C$7:$C$106,$A134,'事件與限制'!$E$7:$E$106,$C134,'事件與限制'!$M$7:$M$106,"暫停技能資格",'事件與限制'!$Q$7:$Q$106,"生效中")&gt;0,"資格暫停",IF($E134="未評估","未建立",_xlfn.XLOOKUP("ABIL|1027|LJT-PREP-AIRPOLISH",'主管核定中心'!$A$12:$A$372,'主管核定中心'!$K$12:$K$372,"待主管核定",0)))</x:f>
        <x:v>待主管核定</x:v>
      </x:c>
      <x:c r="G134" s="37" t="str">
        <x:v>初始能力基準</x:v>
      </x:c>
      <x:c r="H134" s="41" t="n">
        <x:v>46266</x:v>
      </x:c>
      <x:c r="I134" s="44" t="str">
        <x:f>_xlfn.XLOOKUP("ABIL|1027|LJT-PREP-AIRPOLISH",'主管核定中心'!$A$12:$A$372,'主管核定中心'!$I$12:$I$372,"",0)</x:f>
      </x:c>
      <x:c r="J134" s="46" t="str">
        <x:f>_xlfn.XLOOKUP("ABIL|1027|LJT-PREP-AIRPOLISH",'主管核定中心'!$A$12:$A$372,'主管核定中心'!$H$12:$H$372,"",0)</x:f>
      </x:c>
      <x:c r="K134" s="37" t="n">
        <x:v>36</x:v>
      </x:c>
      <x:c r="L134" s="37" t="str">
        <x:v>1027|LJT-PREP-AIRPOLISH</x:v>
      </x:c>
    </x:row>
    <x:row r="135">
      <x:c r="A135" s="37" t="str">
        <x:v>1027</x:v>
      </x:c>
      <x:c r="B135" s="37" t="str"/>
      <x:c r="C135" s="37" t="str">
        <x:v>LJT-PREP-PERIOSURG</x:v>
      </x:c>
      <x:c r="D135" s="37" t="str">
        <x:v>牙周手術</x:v>
      </x:c>
      <x:c r="E135" s="37" t="str">
        <x:f>IF(_xlfn.XLOOKUP("UPG|1027|LJT-PREP-PERIOSURG",'能力升級候選'!$A$7:$A$258,'能力升級候選'!$R$7:$R$258,"",0)="已核定升級","◎",_xlfn.XLOOKUP("UPG|1027|LJT-PREP-PERIOSURG",'能力升級候選'!$A$7:$A$258,'能力升級候選'!$E$7:$E$258,"未評估",0))</x:f>
        <x:v>Ø</x:v>
      </x:c>
      <x:c r="F135" s="37" t="str">
        <x:f>IF(COUNTIFS('事件與限制'!$C$7:$C$106,$A135,'事件與限制'!$E$7:$E$106,$C135,'事件與限制'!$M$7:$M$106,"暫停技能資格",'事件與限制'!$Q$7:$Q$106,"生效中")&gt;0,"資格暫停",IF($E135="未評估","未建立",_xlfn.XLOOKUP("ABIL|1027|LJT-PREP-PERIOSURG",'主管核定中心'!$A$12:$A$372,'主管核定中心'!$K$12:$K$372,"待主管核定",0)))</x:f>
        <x:v>待主管核定</x:v>
      </x:c>
      <x:c r="G135" s="37" t="str">
        <x:v>初始能力基準</x:v>
      </x:c>
      <x:c r="H135" s="41" t="n">
        <x:v>46266</x:v>
      </x:c>
      <x:c r="I135" s="44" t="str">
        <x:f>_xlfn.XLOOKUP("ABIL|1027|LJT-PREP-PERIOSURG",'主管核定中心'!$A$12:$A$372,'主管核定中心'!$I$12:$I$372,"",0)</x:f>
      </x:c>
      <x:c r="J135" s="46" t="str">
        <x:f>_xlfn.XLOOKUP("ABIL|1027|LJT-PREP-PERIOSURG",'主管核定中心'!$A$12:$A$372,'主管核定中心'!$H$12:$H$372,"",0)</x:f>
      </x:c>
      <x:c r="K135" s="37" t="n">
        <x:v>37</x:v>
      </x:c>
      <x:c r="L135" s="37" t="str">
        <x:v>1027|LJT-PREP-PERIOSURG</x:v>
      </x:c>
    </x:row>
    <x:row r="136">
      <x:c r="A136" s="37" t="str">
        <x:v>1027</x:v>
      </x:c>
      <x:c r="B136" s="37" t="str"/>
      <x:c r="C136" s="37" t="str">
        <x:v>LJT-PREP-MICROENDO</x:v>
      </x:c>
      <x:c r="D136" s="37" t="str">
        <x:v>顯微根管</x:v>
      </x:c>
      <x:c r="E136" s="37" t="str">
        <x:f>IF(_xlfn.XLOOKUP("UPG|1027|LJT-PREP-MICROENDO",'能力升級候選'!$A$7:$A$258,'能力升級候選'!$R$7:$R$258,"",0)="已核定升級","◎",_xlfn.XLOOKUP("UPG|1027|LJT-PREP-MICROENDO",'能力升級候選'!$A$7:$A$258,'能力升級候選'!$E$7:$E$258,"未評估",0))</x:f>
        <x:v>※</x:v>
      </x:c>
      <x:c r="F136" s="37" t="str">
        <x:f>IF(COUNTIFS('事件與限制'!$C$7:$C$106,$A136,'事件與限制'!$E$7:$E$106,$C136,'事件與限制'!$M$7:$M$106,"暫停技能資格",'事件與限制'!$Q$7:$Q$106,"生效中")&gt;0,"資格暫停",IF($E136="未評估","未建立",_xlfn.XLOOKUP("ABIL|1027|LJT-PREP-MICROENDO",'主管核定中心'!$A$12:$A$372,'主管核定中心'!$K$12:$K$372,"待主管核定",0)))</x:f>
        <x:v>待主管核定</x:v>
      </x:c>
      <x:c r="G136" s="37" t="str">
        <x:v>初始能力基準</x:v>
      </x:c>
      <x:c r="H136" s="41" t="n">
        <x:v>46266</x:v>
      </x:c>
      <x:c r="I136" s="44" t="str">
        <x:f>_xlfn.XLOOKUP("ABIL|1027|LJT-PREP-MICROENDO",'主管核定中心'!$A$12:$A$372,'主管核定中心'!$I$12:$I$372,"",0)</x:f>
      </x:c>
      <x:c r="J136" s="46" t="str">
        <x:f>_xlfn.XLOOKUP("ABIL|1027|LJT-PREP-MICROENDO",'主管核定中心'!$A$12:$A$372,'主管核定中心'!$H$12:$H$372,"",0)</x:f>
      </x:c>
      <x:c r="K136" s="37" t="n">
        <x:v>38</x:v>
      </x:c>
      <x:c r="L136" s="37" t="str">
        <x:v>1027|LJT-PREP-MICROENDO</x:v>
      </x:c>
    </x:row>
    <x:row r="137">
      <x:c r="A137" s="37" t="str">
        <x:v>1027</x:v>
      </x:c>
      <x:c r="B137" s="37" t="str"/>
      <x:c r="C137" s="37" t="str">
        <x:v>LJT-PREP-IMPLANT</x:v>
      </x:c>
      <x:c r="D137" s="37" t="str">
        <x:v>植 牙</x:v>
      </x:c>
      <x:c r="E137" s="37" t="str">
        <x:f>IF(_xlfn.XLOOKUP("UPG|1027|LJT-PREP-IMPLANT",'能力升級候選'!$A$7:$A$258,'能力升級候選'!$R$7:$R$258,"",0)="已核定升級","◎",_xlfn.XLOOKUP("UPG|1027|LJT-PREP-IMPLANT",'能力升級候選'!$A$7:$A$258,'能力升級候選'!$E$7:$E$258,"未評估",0))</x:f>
        <x:v>Ø</x:v>
      </x:c>
      <x:c r="F137" s="37" t="str">
        <x:f>IF(COUNTIFS('事件與限制'!$C$7:$C$106,$A137,'事件與限制'!$E$7:$E$106,$C137,'事件與限制'!$M$7:$M$106,"暫停技能資格",'事件與限制'!$Q$7:$Q$106,"生效中")&gt;0,"資格暫停",IF($E137="未評估","未建立",_xlfn.XLOOKUP("ABIL|1027|LJT-PREP-IMPLANT",'主管核定中心'!$A$12:$A$372,'主管核定中心'!$K$12:$K$372,"待主管核定",0)))</x:f>
        <x:v>待主管核定</x:v>
      </x:c>
      <x:c r="G137" s="37" t="str">
        <x:v>初始能力基準</x:v>
      </x:c>
      <x:c r="H137" s="41" t="n">
        <x:v>46266</x:v>
      </x:c>
      <x:c r="I137" s="44" t="str">
        <x:f>_xlfn.XLOOKUP("ABIL|1027|LJT-PREP-IMPLANT",'主管核定中心'!$A$12:$A$372,'主管核定中心'!$I$12:$I$372,"",0)</x:f>
      </x:c>
      <x:c r="J137" s="46" t="str">
        <x:f>_xlfn.XLOOKUP("ABIL|1027|LJT-PREP-IMPLANT",'主管核定中心'!$A$12:$A$372,'主管核定中心'!$H$12:$H$372,"",0)</x:f>
      </x:c>
      <x:c r="K137" s="37" t="n">
        <x:v>39</x:v>
      </x:c>
      <x:c r="L137" s="37" t="str">
        <x:v>1027|LJT-PREP-IMPLANT</x:v>
      </x:c>
    </x:row>
    <x:row r="138">
      <x:c r="A138" s="37" t="str">
        <x:v>1027</x:v>
      </x:c>
      <x:c r="B138" s="37" t="str"/>
      <x:c r="C138" s="37" t="str">
        <x:v>COMMON-RECORD</x:v>
      </x:c>
      <x:c r="D138" s="37" t="str">
        <x:v>病歷紀錄</x:v>
      </x:c>
      <x:c r="E138" s="37" t="str">
        <x:f>IF(_xlfn.XLOOKUP("UPG|1027|COMMON-RECORD",'能力升級候選'!$A$7:$A$258,'能力升級候選'!$R$7:$R$258,"",0)="已核定升級","◎",_xlfn.XLOOKUP("UPG|1027|COMMON-RECORD",'能力升級候選'!$A$7:$A$258,'能力升級候選'!$E$7:$E$258,"未評估",0))</x:f>
        <x:v>◎</x:v>
      </x:c>
      <x:c r="F138" s="37" t="str">
        <x:f>IF(COUNTIFS('事件與限制'!$C$7:$C$106,$A138,'事件與限制'!$E$7:$E$106,$C138,'事件與限制'!$M$7:$M$106,"暫停技能資格",'事件與限制'!$Q$7:$Q$106,"生效中")&gt;0,"資格暫停",IF($E138="未評估","未建立",_xlfn.XLOOKUP("ABIL|1027|COMMON-RECORD",'主管核定中心'!$A$12:$A$372,'主管核定中心'!$K$12:$K$372,"待主管核定",0)))</x:f>
        <x:v>待主管核定</x:v>
      </x:c>
      <x:c r="G138" s="37" t="str">
        <x:v>初始能力基準</x:v>
      </x:c>
      <x:c r="H138" s="41" t="n">
        <x:v>46266</x:v>
      </x:c>
      <x:c r="I138" s="44" t="str">
        <x:f>_xlfn.XLOOKUP("ABIL|1027|COMMON-RECORD",'主管核定中心'!$A$12:$A$372,'主管核定中心'!$I$12:$I$372,"",0)</x:f>
      </x:c>
      <x:c r="J138" s="46" t="str">
        <x:f>_xlfn.XLOOKUP("ABIL|1027|COMMON-RECORD",'主管核定中心'!$A$12:$A$372,'主管核定中心'!$H$12:$H$372,"",0)</x:f>
      </x:c>
      <x:c r="K138" s="37" t="n">
        <x:v>41</x:v>
      </x:c>
      <x:c r="L138" s="37" t="str">
        <x:v>1027|COMMON-RECORD</x:v>
      </x:c>
    </x:row>
    <x:row r="139">
      <x:c r="A139" s="37" t="str">
        <x:v>1027</x:v>
      </x:c>
      <x:c r="B139" s="37" t="str"/>
      <x:c r="C139" s="37" t="str">
        <x:v>COMMON-INSURANCE</x:v>
      </x:c>
      <x:c r="D139" s="37" t="str">
        <x:v>健保申報</x:v>
      </x:c>
      <x:c r="E139" s="37" t="str">
        <x:f>IF(_xlfn.XLOOKUP("UPG|1027|COMMON-INSURANCE",'能力升級候選'!$A$7:$A$258,'能力升級候選'!$R$7:$R$258,"",0)="已核定升級","◎",_xlfn.XLOOKUP("UPG|1027|COMMON-INSURANCE",'能力升級候選'!$A$7:$A$258,'能力升級候選'!$E$7:$E$258,"未評估",0))</x:f>
        <x:v>Ø</x:v>
      </x:c>
      <x:c r="F139" s="37" t="str">
        <x:f>IF(COUNTIFS('事件與限制'!$C$7:$C$106,$A139,'事件與限制'!$E$7:$E$106,$C139,'事件與限制'!$M$7:$M$106,"暫停技能資格",'事件與限制'!$Q$7:$Q$106,"生效中")&gt;0,"資格暫停",IF($E139="未評估","未建立",_xlfn.XLOOKUP("ABIL|1027|COMMON-INSURANCE",'主管核定中心'!$A$12:$A$372,'主管核定中心'!$K$12:$K$372,"待主管核定",0)))</x:f>
        <x:v>待主管核定</x:v>
      </x:c>
      <x:c r="G139" s="37" t="str">
        <x:v>初始能力基準</x:v>
      </x:c>
      <x:c r="H139" s="41" t="n">
        <x:v>46266</x:v>
      </x:c>
      <x:c r="I139" s="44" t="str">
        <x:f>_xlfn.XLOOKUP("ABIL|1027|COMMON-INSURANCE",'主管核定中心'!$A$12:$A$372,'主管核定中心'!$I$12:$I$372,"",0)</x:f>
      </x:c>
      <x:c r="J139" s="46" t="str">
        <x:f>_xlfn.XLOOKUP("ABIL|1027|COMMON-INSURANCE",'主管核定中心'!$A$12:$A$372,'主管核定中心'!$H$12:$H$372,"",0)</x:f>
      </x:c>
      <x:c r="K139" s="37" t="n">
        <x:v>42</x:v>
      </x:c>
      <x:c r="L139" s="37" t="str">
        <x:v>1027|COMMON-INSURANCE</x:v>
      </x:c>
    </x:row>
    <x:row r="140">
      <x:c r="A140" s="37" t="str">
        <x:v>1027</x:v>
      </x:c>
      <x:c r="B140" s="37" t="str"/>
      <x:c r="C140" s="37" t="str">
        <x:v>COMMON-XRAY-RECORD</x:v>
      </x:c>
      <x:c r="D140" s="37" t="str">
        <x:v>X光片紀錄</x:v>
      </x:c>
      <x:c r="E140" s="37" t="str">
        <x:f>IF(_xlfn.XLOOKUP("UPG|1027|COMMON-XRAY-RECORD",'能力升級候選'!$A$7:$A$258,'能力升級候選'!$R$7:$R$258,"",0)="已核定升級","◎",_xlfn.XLOOKUP("UPG|1027|COMMON-XRAY-RECORD",'能力升級候選'!$A$7:$A$258,'能力升級候選'!$E$7:$E$258,"未評估",0))</x:f>
        <x:v>◎</x:v>
      </x:c>
      <x:c r="F140" s="37" t="str">
        <x:f>IF(COUNTIFS('事件與限制'!$C$7:$C$106,$A140,'事件與限制'!$E$7:$E$106,$C140,'事件與限制'!$M$7:$M$106,"暫停技能資格",'事件與限制'!$Q$7:$Q$106,"生效中")&gt;0,"資格暫停",IF($E140="未評估","未建立",_xlfn.XLOOKUP("ABIL|1027|COMMON-XRAY-RECORD",'主管核定中心'!$A$12:$A$372,'主管核定中心'!$K$12:$K$372,"待主管核定",0)))</x:f>
        <x:v>待主管核定</x:v>
      </x:c>
      <x:c r="G140" s="37" t="str">
        <x:v>初始能力基準</x:v>
      </x:c>
      <x:c r="H140" s="41" t="n">
        <x:v>46266</x:v>
      </x:c>
      <x:c r="I140" s="44" t="str">
        <x:f>_xlfn.XLOOKUP("ABIL|1027|COMMON-XRAY-RECORD",'主管核定中心'!$A$12:$A$372,'主管核定中心'!$I$12:$I$372,"",0)</x:f>
      </x:c>
      <x:c r="J140" s="46" t="str">
        <x:f>_xlfn.XLOOKUP("ABIL|1027|COMMON-XRAY-RECORD",'主管核定中心'!$A$12:$A$372,'主管核定中心'!$H$12:$H$372,"",0)</x:f>
      </x:c>
      <x:c r="K140" s="37" t="n">
        <x:v>43</x:v>
      </x:c>
      <x:c r="L140" s="37" t="str">
        <x:v>1027|COMMON-XRAY-RECORD</x:v>
      </x:c>
    </x:row>
    <x:row r="141">
      <x:c r="A141" s="37" t="str">
        <x:v>1027</x:v>
      </x:c>
      <x:c r="B141" s="37" t="str"/>
      <x:c r="C141" s="37" t="str">
        <x:v>COMMON-PA</x:v>
      </x:c>
      <x:c r="D141" s="37" t="str">
        <x:v>拍PA</x:v>
      </x:c>
      <x:c r="E141" s="37" t="str">
        <x:f>IF(_xlfn.XLOOKUP("UPG|1027|COMMON-PA",'能力升級候選'!$A$7:$A$258,'能力升級候選'!$R$7:$R$258,"",0)="已核定升級","◎",_xlfn.XLOOKUP("UPG|1027|COMMON-PA",'能力升級候選'!$A$7:$A$258,'能力升級候選'!$E$7:$E$258,"未評估",0))</x:f>
        <x:v>◎</x:v>
      </x:c>
      <x:c r="F141" s="37" t="str">
        <x:f>IF(COUNTIFS('事件與限制'!$C$7:$C$106,$A141,'事件與限制'!$E$7:$E$106,$C141,'事件與限制'!$M$7:$M$106,"暫停技能資格",'事件與限制'!$Q$7:$Q$106,"生效中")&gt;0,"資格暫停",IF($E141="未評估","未建立",_xlfn.XLOOKUP("ABIL|1027|COMMON-PA",'主管核定中心'!$A$12:$A$372,'主管核定中心'!$K$12:$K$372,"待主管核定",0)))</x:f>
        <x:v>待主管核定</x:v>
      </x:c>
      <x:c r="G141" s="37" t="str">
        <x:v>初始能力基準</x:v>
      </x:c>
      <x:c r="H141" s="41" t="n">
        <x:v>46266</x:v>
      </x:c>
      <x:c r="I141" s="44" t="str">
        <x:f>_xlfn.XLOOKUP("ABIL|1027|COMMON-PA",'主管核定中心'!$A$12:$A$372,'主管核定中心'!$I$12:$I$372,"",0)</x:f>
      </x:c>
      <x:c r="J141" s="46" t="str">
        <x:f>_xlfn.XLOOKUP("ABIL|1027|COMMON-PA",'主管核定中心'!$A$12:$A$372,'主管核定中心'!$H$12:$H$372,"",0)</x:f>
      </x:c>
      <x:c r="K141" s="37" t="n">
        <x:v>44</x:v>
      </x:c>
      <x:c r="L141" s="37" t="str">
        <x:v>1027|COMMON-PA</x:v>
      </x:c>
    </x:row>
    <x:row r="142">
      <x:c r="A142" s="37" t="str">
        <x:v>1027</x:v>
      </x:c>
      <x:c r="B142" s="37" t="str"/>
      <x:c r="C142" s="37" t="str">
        <x:v>COMMON-IOS</x:v>
      </x:c>
      <x:c r="D142" s="37" t="str">
        <x:v>口掃機運用</x:v>
      </x:c>
      <x:c r="E142" s="37" t="str">
        <x:f>IF(_xlfn.XLOOKUP("UPG|1027|COMMON-IOS",'能力升級候選'!$A$7:$A$258,'能力升級候選'!$R$7:$R$258,"",0)="已核定升級","◎",_xlfn.XLOOKUP("UPG|1027|COMMON-IOS",'能力升級候選'!$A$7:$A$258,'能力升級候選'!$E$7:$E$258,"未評估",0))</x:f>
        <x:v>◎</x:v>
      </x:c>
      <x:c r="F142" s="37" t="str">
        <x:f>IF(COUNTIFS('事件與限制'!$C$7:$C$106,$A142,'事件與限制'!$E$7:$E$106,$C142,'事件與限制'!$M$7:$M$106,"暫停技能資格",'事件與限制'!$Q$7:$Q$106,"生效中")&gt;0,"資格暫停",IF($E142="未評估","未建立",_xlfn.XLOOKUP("ABIL|1027|COMMON-IOS",'主管核定中心'!$A$12:$A$372,'主管核定中心'!$K$12:$K$372,"待主管核定",0)))</x:f>
        <x:v>待主管核定</x:v>
      </x:c>
      <x:c r="G142" s="37" t="str">
        <x:v>初始能力基準</x:v>
      </x:c>
      <x:c r="H142" s="41" t="n">
        <x:v>46266</x:v>
      </x:c>
      <x:c r="I142" s="44" t="str">
        <x:f>_xlfn.XLOOKUP("ABIL|1027|COMMON-IOS",'主管核定中心'!$A$12:$A$372,'主管核定中心'!$I$12:$I$372,"",0)</x:f>
      </x:c>
      <x:c r="J142" s="46" t="str">
        <x:f>_xlfn.XLOOKUP("ABIL|1027|COMMON-IOS",'主管核定中心'!$A$12:$A$372,'主管核定中心'!$H$12:$H$372,"",0)</x:f>
      </x:c>
      <x:c r="K142" s="37" t="n">
        <x:v>45</x:v>
      </x:c>
      <x:c r="L142" s="37" t="str">
        <x:v>1027|COMMON-IOS</x:v>
      </x:c>
    </x:row>
    <x:row r="143">
      <x:c r="A143" s="37" t="str">
        <x:v>1028</x:v>
      </x:c>
      <x:c r="B143" s="37" t="str"/>
      <x:c r="C143" s="37" t="str">
        <x:v>LJT-PREP-SCALING</x:v>
      </x:c>
      <x:c r="D143" s="37" t="str">
        <x:v>洗牙</x:v>
      </x:c>
      <x:c r="E143" s="37" t="str">
        <x:f>IF(_xlfn.XLOOKUP("UPG|1028|LJT-PREP-SCALING",'能力升級候選'!$A$7:$A$258,'能力升級候選'!$R$7:$R$258,"",0)="已核定升級","◎",_xlfn.XLOOKUP("UPG|1028|LJT-PREP-SCALING",'能力升級候選'!$A$7:$A$258,'能力升級候選'!$E$7:$E$258,"未評估",0))</x:f>
        <x:v>※</x:v>
      </x:c>
      <x:c r="F143" s="37" t="str">
        <x:f>IF(COUNTIFS('事件與限制'!$C$7:$C$106,$A143,'事件與限制'!$E$7:$E$106,$C143,'事件與限制'!$M$7:$M$106,"暫停技能資格",'事件與限制'!$Q$7:$Q$106,"生效中")&gt;0,"資格暫停",IF($E143="未評估","未建立",_xlfn.XLOOKUP("ABIL|1028|LJT-PREP-SCALING",'主管核定中心'!$A$12:$A$372,'主管核定中心'!$K$12:$K$372,"待主管核定",0)))</x:f>
        <x:v>待主管核定</x:v>
      </x:c>
      <x:c r="G143" s="37" t="str">
        <x:v>初始能力基準</x:v>
      </x:c>
      <x:c r="H143" s="41" t="n">
        <x:v>46266</x:v>
      </x:c>
      <x:c r="I143" s="44" t="str">
        <x:f>_xlfn.XLOOKUP("ABIL|1028|LJT-PREP-SCALING",'主管核定中心'!$A$12:$A$372,'主管核定中心'!$I$12:$I$372,"",0)</x:f>
      </x:c>
      <x:c r="J143" s="46" t="str">
        <x:f>_xlfn.XLOOKUP("ABIL|1028|LJT-PREP-SCALING",'主管核定中心'!$A$12:$A$372,'主管核定中心'!$H$12:$H$372,"",0)</x:f>
      </x:c>
      <x:c r="K143" s="37" t="n">
        <x:v>28</x:v>
      </x:c>
      <x:c r="L143" s="37" t="str">
        <x:v>1028|LJT-PREP-SCALING</x:v>
      </x:c>
    </x:row>
    <x:row r="144">
      <x:c r="A144" s="37" t="str">
        <x:v>1028</x:v>
      </x:c>
      <x:c r="B144" s="37" t="str"/>
      <x:c r="C144" s="37" t="str">
        <x:v>LJT-PREP-FILLING</x:v>
      </x:c>
      <x:c r="D144" s="37" t="str">
        <x:v>補牙</x:v>
      </x:c>
      <x:c r="E144" s="37" t="str">
        <x:f>IF(_xlfn.XLOOKUP("UPG|1028|LJT-PREP-FILLING",'能力升級候選'!$A$7:$A$258,'能力升級候選'!$R$7:$R$258,"",0)="已核定升級","◎",_xlfn.XLOOKUP("UPG|1028|LJT-PREP-FILLING",'能力升級候選'!$A$7:$A$258,'能力升級候選'!$E$7:$E$258,"未評估",0))</x:f>
        <x:v>※</x:v>
      </x:c>
      <x:c r="F144" s="37" t="str">
        <x:f>IF(COUNTIFS('事件與限制'!$C$7:$C$106,$A144,'事件與限制'!$E$7:$E$106,$C144,'事件與限制'!$M$7:$M$106,"暫停技能資格",'事件與限制'!$Q$7:$Q$106,"生效中")&gt;0,"資格暫停",IF($E144="未評估","未建立",_xlfn.XLOOKUP("ABIL|1028|LJT-PREP-FILLING",'主管核定中心'!$A$12:$A$372,'主管核定中心'!$K$12:$K$372,"待主管核定",0)))</x:f>
        <x:v>待主管核定</x:v>
      </x:c>
      <x:c r="G144" s="37" t="str">
        <x:v>初始能力基準</x:v>
      </x:c>
      <x:c r="H144" s="41" t="n">
        <x:v>46266</x:v>
      </x:c>
      <x:c r="I144" s="44" t="str">
        <x:f>_xlfn.XLOOKUP("ABIL|1028|LJT-PREP-FILLING",'主管核定中心'!$A$12:$A$372,'主管核定中心'!$I$12:$I$372,"",0)</x:f>
      </x:c>
      <x:c r="J144" s="46" t="str">
        <x:f>_xlfn.XLOOKUP("ABIL|1028|LJT-PREP-FILLING",'主管核定中心'!$A$12:$A$372,'主管核定中心'!$H$12:$H$372,"",0)</x:f>
      </x:c>
      <x:c r="K144" s="37" t="n">
        <x:v>29</x:v>
      </x:c>
      <x:c r="L144" s="37" t="str">
        <x:v>1028|LJT-PREP-FILLING</x:v>
      </x:c>
    </x:row>
    <x:row r="145">
      <x:c r="A145" s="37" t="str">
        <x:v>1028</x:v>
      </x:c>
      <x:c r="B145" s="37" t="str"/>
      <x:c r="C145" s="37" t="str">
        <x:v>LJT-PREP-PERIO</x:v>
      </x:c>
      <x:c r="D145" s="37" t="str">
        <x:v>牙周統合</x:v>
      </x:c>
      <x:c r="E145" s="37" t="str">
        <x:f>IF(_xlfn.XLOOKUP("UPG|1028|LJT-PREP-PERIO",'能力升級候選'!$A$7:$A$258,'能力升級候選'!$R$7:$R$258,"",0)="已核定升級","◎",_xlfn.XLOOKUP("UPG|1028|LJT-PREP-PERIO",'能力升級候選'!$A$7:$A$258,'能力升級候選'!$E$7:$E$258,"未評估",0))</x:f>
        <x:v>※</x:v>
      </x:c>
      <x:c r="F145" s="37" t="str">
        <x:f>IF(COUNTIFS('事件與限制'!$C$7:$C$106,$A145,'事件與限制'!$E$7:$E$106,$C145,'事件與限制'!$M$7:$M$106,"暫停技能資格",'事件與限制'!$Q$7:$Q$106,"生效中")&gt;0,"資格暫停",IF($E145="未評估","未建立",_xlfn.XLOOKUP("ABIL|1028|LJT-PREP-PERIO",'主管核定中心'!$A$12:$A$372,'主管核定中心'!$K$12:$K$372,"待主管核定",0)))</x:f>
        <x:v>待主管核定</x:v>
      </x:c>
      <x:c r="G145" s="37" t="str">
        <x:v>初始能力基準</x:v>
      </x:c>
      <x:c r="H145" s="41" t="n">
        <x:v>46266</x:v>
      </x:c>
      <x:c r="I145" s="44" t="str">
        <x:f>_xlfn.XLOOKUP("ABIL|1028|LJT-PREP-PERIO",'主管核定中心'!$A$12:$A$372,'主管核定中心'!$I$12:$I$372,"",0)</x:f>
      </x:c>
      <x:c r="J145" s="46" t="str">
        <x:f>_xlfn.XLOOKUP("ABIL|1028|LJT-PREP-PERIO",'主管核定中心'!$A$12:$A$372,'主管核定中心'!$H$12:$H$372,"",0)</x:f>
      </x:c>
      <x:c r="K145" s="37" t="n">
        <x:v>30</x:v>
      </x:c>
      <x:c r="L145" s="37" t="str">
        <x:v>1028|LJT-PREP-PERIO</x:v>
      </x:c>
    </x:row>
    <x:row r="146">
      <x:c r="A146" s="37" t="str">
        <x:v>1028</x:v>
      </x:c>
      <x:c r="B146" s="37" t="str"/>
      <x:c r="C146" s="37" t="str">
        <x:v>LJT-PREP-RCT</x:v>
      </x:c>
      <x:c r="D146" s="37" t="str">
        <x:v>根管治療</x:v>
      </x:c>
      <x:c r="E146" s="37" t="str">
        <x:f>IF(_xlfn.XLOOKUP("UPG|1028|LJT-PREP-RCT",'能力升級候選'!$A$7:$A$258,'能力升級候選'!$R$7:$R$258,"",0)="已核定升級","◎",_xlfn.XLOOKUP("UPG|1028|LJT-PREP-RCT",'能力升級候選'!$A$7:$A$258,'能力升級候選'!$E$7:$E$258,"未評估",0))</x:f>
        <x:v>※</x:v>
      </x:c>
      <x:c r="F146" s="37" t="str">
        <x:f>IF(COUNTIFS('事件與限制'!$C$7:$C$106,$A146,'事件與限制'!$E$7:$E$106,$C146,'事件與限制'!$M$7:$M$106,"暫停技能資格",'事件與限制'!$Q$7:$Q$106,"生效中")&gt;0,"資格暫停",IF($E146="未評估","未建立",_xlfn.XLOOKUP("ABIL|1028|LJT-PREP-RCT",'主管核定中心'!$A$12:$A$372,'主管核定中心'!$K$12:$K$372,"待主管核定",0)))</x:f>
        <x:v>待主管核定</x:v>
      </x:c>
      <x:c r="G146" s="37" t="str">
        <x:v>初始能力基準</x:v>
      </x:c>
      <x:c r="H146" s="41" t="n">
        <x:v>46266</x:v>
      </x:c>
      <x:c r="I146" s="44" t="str">
        <x:f>_xlfn.XLOOKUP("ABIL|1028|LJT-PREP-RCT",'主管核定中心'!$A$12:$A$372,'主管核定中心'!$I$12:$I$372,"",0)</x:f>
      </x:c>
      <x:c r="J146" s="46" t="str">
        <x:f>_xlfn.XLOOKUP("ABIL|1028|LJT-PREP-RCT",'主管核定中心'!$A$12:$A$372,'主管核定中心'!$H$12:$H$372,"",0)</x:f>
      </x:c>
      <x:c r="K146" s="37" t="n">
        <x:v>31</x:v>
      </x:c>
      <x:c r="L146" s="37" t="str">
        <x:v>1028|LJT-PREP-RCT</x:v>
      </x:c>
    </x:row>
    <x:row r="147">
      <x:c r="A147" s="37" t="str">
        <x:v>1028</x:v>
      </x:c>
      <x:c r="B147" s="37" t="str"/>
      <x:c r="C147" s="37" t="str">
        <x:v>LJT-PREP-EXTRACTION</x:v>
      </x:c>
      <x:c r="D147" s="37" t="str">
        <x:v>拔牙</x:v>
      </x:c>
      <x:c r="E147" s="37" t="str">
        <x:f>IF(_xlfn.XLOOKUP("UPG|1028|LJT-PREP-EXTRACTION",'能力升級候選'!$A$7:$A$258,'能力升級候選'!$R$7:$R$258,"",0)="已核定升級","◎",_xlfn.XLOOKUP("UPG|1028|LJT-PREP-EXTRACTION",'能力升級候選'!$A$7:$A$258,'能力升級候選'!$E$7:$E$258,"未評估",0))</x:f>
        <x:v>※</x:v>
      </x:c>
      <x:c r="F147" s="37" t="str">
        <x:f>IF(COUNTIFS('事件與限制'!$C$7:$C$106,$A147,'事件與限制'!$E$7:$E$106,$C147,'事件與限制'!$M$7:$M$106,"暫停技能資格",'事件與限制'!$Q$7:$Q$106,"生效中")&gt;0,"資格暫停",IF($E147="未評估","未建立",_xlfn.XLOOKUP("ABIL|1028|LJT-PREP-EXTRACTION",'主管核定中心'!$A$12:$A$372,'主管核定中心'!$K$12:$K$372,"待主管核定",0)))</x:f>
        <x:v>待主管核定</x:v>
      </x:c>
      <x:c r="G147" s="37" t="str">
        <x:v>初始能力基準</x:v>
      </x:c>
      <x:c r="H147" s="41" t="n">
        <x:v>46266</x:v>
      </x:c>
      <x:c r="I147" s="44" t="str">
        <x:f>_xlfn.XLOOKUP("ABIL|1028|LJT-PREP-EXTRACTION",'主管核定中心'!$A$12:$A$372,'主管核定中心'!$I$12:$I$372,"",0)</x:f>
      </x:c>
      <x:c r="J147" s="46" t="str">
        <x:f>_xlfn.XLOOKUP("ABIL|1028|LJT-PREP-EXTRACTION",'主管核定中心'!$A$12:$A$372,'主管核定中心'!$H$12:$H$372,"",0)</x:f>
      </x:c>
      <x:c r="K147" s="37" t="n">
        <x:v>32</x:v>
      </x:c>
      <x:c r="L147" s="37" t="str">
        <x:v>1028|LJT-PREP-EXTRACTION</x:v>
      </x:c>
    </x:row>
    <x:row r="148">
      <x:c r="A148" s="37" t="str">
        <x:v>1028</x:v>
      </x:c>
      <x:c r="B148" s="37" t="str"/>
      <x:c r="C148" s="37" t="str">
        <x:v>LJT-PREP-CROWNPOST</x:v>
      </x:c>
      <x:c r="D148" s="37" t="str">
        <x:v>拆 crown/post</x:v>
      </x:c>
      <x:c r="E148" s="37" t="str">
        <x:f>IF(_xlfn.XLOOKUP("UPG|1028|LJT-PREP-CROWNPOST",'能力升級候選'!$A$7:$A$258,'能力升級候選'!$R$7:$R$258,"",0)="已核定升級","◎",_xlfn.XLOOKUP("UPG|1028|LJT-PREP-CROWNPOST",'能力升級候選'!$A$7:$A$258,'能力升級候選'!$E$7:$E$258,"未評估",0))</x:f>
        <x:v>※</x:v>
      </x:c>
      <x:c r="F148" s="37" t="str">
        <x:f>IF(COUNTIFS('事件與限制'!$C$7:$C$106,$A148,'事件與限制'!$E$7:$E$106,$C148,'事件與限制'!$M$7:$M$106,"暫停技能資格",'事件與限制'!$Q$7:$Q$106,"生效中")&gt;0,"資格暫停",IF($E148="未評估","未建立",_xlfn.XLOOKUP("ABIL|1028|LJT-PREP-CROWNPOST",'主管核定中心'!$A$12:$A$372,'主管核定中心'!$K$12:$K$372,"待主管核定",0)))</x:f>
        <x:v>待主管核定</x:v>
      </x:c>
      <x:c r="G148" s="37" t="str">
        <x:v>初始能力基準</x:v>
      </x:c>
      <x:c r="H148" s="41" t="n">
        <x:v>46266</x:v>
      </x:c>
      <x:c r="I148" s="44" t="str">
        <x:f>_xlfn.XLOOKUP("ABIL|1028|LJT-PREP-CROWNPOST",'主管核定中心'!$A$12:$A$372,'主管核定中心'!$I$12:$I$372,"",0)</x:f>
      </x:c>
      <x:c r="J148" s="46" t="str">
        <x:f>_xlfn.XLOOKUP("ABIL|1028|LJT-PREP-CROWNPOST",'主管核定中心'!$A$12:$A$372,'主管核定中心'!$H$12:$H$372,"",0)</x:f>
      </x:c>
      <x:c r="K148" s="37" t="n">
        <x:v>33</x:v>
      </x:c>
      <x:c r="L148" s="37" t="str">
        <x:v>1028|LJT-PREP-CROWNPOST</x:v>
      </x:c>
    </x:row>
    <x:row r="149">
      <x:c r="A149" s="37" t="str">
        <x:v>1028</x:v>
      </x:c>
      <x:c r="B149" s="37" t="str"/>
      <x:c r="C149" s="37" t="str">
        <x:v>LJT-PREP-CROWN</x:v>
      </x:c>
      <x:c r="D149" s="37" t="str">
        <x:v>固定假牙</x:v>
      </x:c>
      <x:c r="E149" s="37" t="str">
        <x:f>IF(_xlfn.XLOOKUP("UPG|1028|LJT-PREP-CROWN",'能力升級候選'!$A$7:$A$258,'能力升級候選'!$R$7:$R$258,"",0)="已核定升級","◎",_xlfn.XLOOKUP("UPG|1028|LJT-PREP-CROWN",'能力升級候選'!$A$7:$A$258,'能力升級候選'!$E$7:$E$258,"未評估",0))</x:f>
        <x:v>※</x:v>
      </x:c>
      <x:c r="F149" s="37" t="str">
        <x:f>IF(COUNTIFS('事件與限制'!$C$7:$C$106,$A149,'事件與限制'!$E$7:$E$106,$C149,'事件與限制'!$M$7:$M$106,"暫停技能資格",'事件與限制'!$Q$7:$Q$106,"生效中")&gt;0,"資格暫停",IF($E149="未評估","未建立",_xlfn.XLOOKUP("ABIL|1028|LJT-PREP-CROWN",'主管核定中心'!$A$12:$A$372,'主管核定中心'!$K$12:$K$372,"待主管核定",0)))</x:f>
        <x:v>待主管核定</x:v>
      </x:c>
      <x:c r="G149" s="37" t="str">
        <x:v>初始能力基準</x:v>
      </x:c>
      <x:c r="H149" s="41" t="n">
        <x:v>46266</x:v>
      </x:c>
      <x:c r="I149" s="44" t="str">
        <x:f>_xlfn.XLOOKUP("ABIL|1028|LJT-PREP-CROWN",'主管核定中心'!$A$12:$A$372,'主管核定中心'!$I$12:$I$372,"",0)</x:f>
      </x:c>
      <x:c r="J149" s="46" t="str">
        <x:f>_xlfn.XLOOKUP("ABIL|1028|LJT-PREP-CROWN",'主管核定中心'!$A$12:$A$372,'主管核定中心'!$H$12:$H$372,"",0)</x:f>
      </x:c>
      <x:c r="K149" s="37" t="n">
        <x:v>34</x:v>
      </x:c>
      <x:c r="L149" s="37" t="str">
        <x:v>1028|LJT-PREP-CROWN</x:v>
      </x:c>
    </x:row>
    <x:row r="150">
      <x:c r="A150" s="37" t="str">
        <x:v>1028</x:v>
      </x:c>
      <x:c r="B150" s="37" t="str"/>
      <x:c r="C150" s="37" t="str">
        <x:v>LJT-PREP-RPD</x:v>
      </x:c>
      <x:c r="D150" s="37" t="str">
        <x:v>RPD</x:v>
      </x:c>
      <x:c r="E150" s="37" t="str">
        <x:f>IF(_xlfn.XLOOKUP("UPG|1028|LJT-PREP-RPD",'能力升級候選'!$A$7:$A$258,'能力升級候選'!$R$7:$R$258,"",0)="已核定升級","◎",_xlfn.XLOOKUP("UPG|1028|LJT-PREP-RPD",'能力升級候選'!$A$7:$A$258,'能力升級候選'!$E$7:$E$258,"未評估",0))</x:f>
        <x:v>※</x:v>
      </x:c>
      <x:c r="F150" s="37" t="str">
        <x:f>IF(COUNTIFS('事件與限制'!$C$7:$C$106,$A150,'事件與限制'!$E$7:$E$106,$C150,'事件與限制'!$M$7:$M$106,"暫停技能資格",'事件與限制'!$Q$7:$Q$106,"生效中")&gt;0,"資格暫停",IF($E150="未評估","未建立",_xlfn.XLOOKUP("ABIL|1028|LJT-PREP-RPD",'主管核定中心'!$A$12:$A$372,'主管核定中心'!$K$12:$K$372,"待主管核定",0)))</x:f>
        <x:v>待主管核定</x:v>
      </x:c>
      <x:c r="G150" s="37" t="str">
        <x:v>初始能力基準</x:v>
      </x:c>
      <x:c r="H150" s="41" t="n">
        <x:v>46266</x:v>
      </x:c>
      <x:c r="I150" s="44" t="str">
        <x:f>_xlfn.XLOOKUP("ABIL|1028|LJT-PREP-RPD",'主管核定中心'!$A$12:$A$372,'主管核定中心'!$I$12:$I$372,"",0)</x:f>
      </x:c>
      <x:c r="J150" s="46" t="str">
        <x:f>_xlfn.XLOOKUP("ABIL|1028|LJT-PREP-RPD",'主管核定中心'!$A$12:$A$372,'主管核定中心'!$H$12:$H$372,"",0)</x:f>
      </x:c>
      <x:c r="K150" s="37" t="n">
        <x:v>35</x:v>
      </x:c>
      <x:c r="L150" s="37" t="str">
        <x:v>1028|LJT-PREP-RPD</x:v>
      </x:c>
    </x:row>
    <x:row r="151">
      <x:c r="A151" s="37" t="str">
        <x:v>1028</x:v>
      </x:c>
      <x:c r="B151" s="37" t="str"/>
      <x:c r="C151" s="37" t="str">
        <x:v>LJT-PREP-AIRPOLISH</x:v>
      </x:c>
      <x:c r="D151" s="37" t="str">
        <x:v>噴砂美白</x:v>
      </x:c>
      <x:c r="E151" s="37" t="str">
        <x:f>IF(_xlfn.XLOOKUP("UPG|1028|LJT-PREP-AIRPOLISH",'能力升級候選'!$A$7:$A$258,'能力升級候選'!$R$7:$R$258,"",0)="已核定升級","◎",_xlfn.XLOOKUP("UPG|1028|LJT-PREP-AIRPOLISH",'能力升級候選'!$A$7:$A$258,'能力升級候選'!$E$7:$E$258,"未評估",0))</x:f>
        <x:v>※</x:v>
      </x:c>
      <x:c r="F151" s="37" t="str">
        <x:f>IF(COUNTIFS('事件與限制'!$C$7:$C$106,$A151,'事件與限制'!$E$7:$E$106,$C151,'事件與限制'!$M$7:$M$106,"暫停技能資格",'事件與限制'!$Q$7:$Q$106,"生效中")&gt;0,"資格暫停",IF($E151="未評估","未建立",_xlfn.XLOOKUP("ABIL|1028|LJT-PREP-AIRPOLISH",'主管核定中心'!$A$12:$A$372,'主管核定中心'!$K$12:$K$372,"待主管核定",0)))</x:f>
        <x:v>待主管核定</x:v>
      </x:c>
      <x:c r="G151" s="37" t="str">
        <x:v>初始能力基準</x:v>
      </x:c>
      <x:c r="H151" s="41" t="n">
        <x:v>46266</x:v>
      </x:c>
      <x:c r="I151" s="44" t="str">
        <x:f>_xlfn.XLOOKUP("ABIL|1028|LJT-PREP-AIRPOLISH",'主管核定中心'!$A$12:$A$372,'主管核定中心'!$I$12:$I$372,"",0)</x:f>
      </x:c>
      <x:c r="J151" s="46" t="str">
        <x:f>_xlfn.XLOOKUP("ABIL|1028|LJT-PREP-AIRPOLISH",'主管核定中心'!$A$12:$A$372,'主管核定中心'!$H$12:$H$372,"",0)</x:f>
      </x:c>
      <x:c r="K151" s="37" t="n">
        <x:v>36</x:v>
      </x:c>
      <x:c r="L151" s="37" t="str">
        <x:v>1028|LJT-PREP-AIRPOLISH</x:v>
      </x:c>
    </x:row>
    <x:row r="152">
      <x:c r="A152" s="37" t="str">
        <x:v>1028</x:v>
      </x:c>
      <x:c r="B152" s="37" t="str"/>
      <x:c r="C152" s="37" t="str">
        <x:v>LJT-PREP-PERIOSURG</x:v>
      </x:c>
      <x:c r="D152" s="37" t="str">
        <x:v>牙周手術</x:v>
      </x:c>
      <x:c r="E152" s="37" t="str">
        <x:f>IF(_xlfn.XLOOKUP("UPG|1028|LJT-PREP-PERIOSURG",'能力升級候選'!$A$7:$A$258,'能力升級候選'!$R$7:$R$258,"",0)="已核定升級","◎",_xlfn.XLOOKUP("UPG|1028|LJT-PREP-PERIOSURG",'能力升級候選'!$A$7:$A$258,'能力升級候選'!$E$7:$E$258,"未評估",0))</x:f>
        <x:v>※</x:v>
      </x:c>
      <x:c r="F152" s="37" t="str">
        <x:f>IF(COUNTIFS('事件與限制'!$C$7:$C$106,$A152,'事件與限制'!$E$7:$E$106,$C152,'事件與限制'!$M$7:$M$106,"暫停技能資格",'事件與限制'!$Q$7:$Q$106,"生效中")&gt;0,"資格暫停",IF($E152="未評估","未建立",_xlfn.XLOOKUP("ABIL|1028|LJT-PREP-PERIOSURG",'主管核定中心'!$A$12:$A$372,'主管核定中心'!$K$12:$K$372,"待主管核定",0)))</x:f>
        <x:v>待主管核定</x:v>
      </x:c>
      <x:c r="G152" s="37" t="str">
        <x:v>初始能力基準</x:v>
      </x:c>
      <x:c r="H152" s="41" t="n">
        <x:v>46266</x:v>
      </x:c>
      <x:c r="I152" s="44" t="str">
        <x:f>_xlfn.XLOOKUP("ABIL|1028|LJT-PREP-PERIOSURG",'主管核定中心'!$A$12:$A$372,'主管核定中心'!$I$12:$I$372,"",0)</x:f>
      </x:c>
      <x:c r="J152" s="46" t="str">
        <x:f>_xlfn.XLOOKUP("ABIL|1028|LJT-PREP-PERIOSURG",'主管核定中心'!$A$12:$A$372,'主管核定中心'!$H$12:$H$372,"",0)</x:f>
      </x:c>
      <x:c r="K152" s="37" t="n">
        <x:v>37</x:v>
      </x:c>
      <x:c r="L152" s="37" t="str">
        <x:v>1028|LJT-PREP-PERIOSURG</x:v>
      </x:c>
    </x:row>
    <x:row r="153">
      <x:c r="A153" s="37" t="str">
        <x:v>1028</x:v>
      </x:c>
      <x:c r="B153" s="37" t="str"/>
      <x:c r="C153" s="37" t="str">
        <x:v>LJT-PREP-MICROENDO</x:v>
      </x:c>
      <x:c r="D153" s="37" t="str">
        <x:v>顯微根管</x:v>
      </x:c>
      <x:c r="E153" s="37" t="str">
        <x:f>IF(_xlfn.XLOOKUP("UPG|1028|LJT-PREP-MICROENDO",'能力升級候選'!$A$7:$A$258,'能力升級候選'!$R$7:$R$258,"",0)="已核定升級","◎",_xlfn.XLOOKUP("UPG|1028|LJT-PREP-MICROENDO",'能力升級候選'!$A$7:$A$258,'能力升級候選'!$E$7:$E$258,"未評估",0))</x:f>
        <x:v>※</x:v>
      </x:c>
      <x:c r="F153" s="37" t="str">
        <x:f>IF(COUNTIFS('事件與限制'!$C$7:$C$106,$A153,'事件與限制'!$E$7:$E$106,$C153,'事件與限制'!$M$7:$M$106,"暫停技能資格",'事件與限制'!$Q$7:$Q$106,"生效中")&gt;0,"資格暫停",IF($E153="未評估","未建立",_xlfn.XLOOKUP("ABIL|1028|LJT-PREP-MICROENDO",'主管核定中心'!$A$12:$A$372,'主管核定中心'!$K$12:$K$372,"待主管核定",0)))</x:f>
        <x:v>待主管核定</x:v>
      </x:c>
      <x:c r="G153" s="37" t="str">
        <x:v>初始能力基準</x:v>
      </x:c>
      <x:c r="H153" s="41" t="n">
        <x:v>46266</x:v>
      </x:c>
      <x:c r="I153" s="44" t="str">
        <x:f>_xlfn.XLOOKUP("ABIL|1028|LJT-PREP-MICROENDO",'主管核定中心'!$A$12:$A$372,'主管核定中心'!$I$12:$I$372,"",0)</x:f>
      </x:c>
      <x:c r="J153" s="46" t="str">
        <x:f>_xlfn.XLOOKUP("ABIL|1028|LJT-PREP-MICROENDO",'主管核定中心'!$A$12:$A$372,'主管核定中心'!$H$12:$H$372,"",0)</x:f>
      </x:c>
      <x:c r="K153" s="37" t="n">
        <x:v>38</x:v>
      </x:c>
      <x:c r="L153" s="37" t="str">
        <x:v>1028|LJT-PREP-MICROENDO</x:v>
      </x:c>
    </x:row>
    <x:row r="154">
      <x:c r="A154" s="37" t="str">
        <x:v>1028</x:v>
      </x:c>
      <x:c r="B154" s="37" t="str"/>
      <x:c r="C154" s="37" t="str">
        <x:v>LJT-PREP-IMPLANT</x:v>
      </x:c>
      <x:c r="D154" s="37" t="str">
        <x:v>植 牙</x:v>
      </x:c>
      <x:c r="E154" s="37" t="str">
        <x:f>IF(_xlfn.XLOOKUP("UPG|1028|LJT-PREP-IMPLANT",'能力升級候選'!$A$7:$A$258,'能力升級候選'!$R$7:$R$258,"",0)="已核定升級","◎",_xlfn.XLOOKUP("UPG|1028|LJT-PREP-IMPLANT",'能力升級候選'!$A$7:$A$258,'能力升級候選'!$E$7:$E$258,"未評估",0))</x:f>
        <x:v>※</x:v>
      </x:c>
      <x:c r="F154" s="37" t="str">
        <x:f>IF(COUNTIFS('事件與限制'!$C$7:$C$106,$A154,'事件與限制'!$E$7:$E$106,$C154,'事件與限制'!$M$7:$M$106,"暫停技能資格",'事件與限制'!$Q$7:$Q$106,"生效中")&gt;0,"資格暫停",IF($E154="未評估","未建立",_xlfn.XLOOKUP("ABIL|1028|LJT-PREP-IMPLANT",'主管核定中心'!$A$12:$A$372,'主管核定中心'!$K$12:$K$372,"待主管核定",0)))</x:f>
        <x:v>待主管核定</x:v>
      </x:c>
      <x:c r="G154" s="37" t="str">
        <x:v>初始能力基準</x:v>
      </x:c>
      <x:c r="H154" s="41" t="n">
        <x:v>46266</x:v>
      </x:c>
      <x:c r="I154" s="44" t="str">
        <x:f>_xlfn.XLOOKUP("ABIL|1028|LJT-PREP-IMPLANT",'主管核定中心'!$A$12:$A$372,'主管核定中心'!$I$12:$I$372,"",0)</x:f>
      </x:c>
      <x:c r="J154" s="46" t="str">
        <x:f>_xlfn.XLOOKUP("ABIL|1028|LJT-PREP-IMPLANT",'主管核定中心'!$A$12:$A$372,'主管核定中心'!$H$12:$H$372,"",0)</x:f>
      </x:c>
      <x:c r="K154" s="37" t="n">
        <x:v>39</x:v>
      </x:c>
      <x:c r="L154" s="37" t="str">
        <x:v>1028|LJT-PREP-IMPLANT</x:v>
      </x:c>
    </x:row>
    <x:row r="155">
      <x:c r="A155" s="37" t="str">
        <x:v>1028</x:v>
      </x:c>
      <x:c r="B155" s="37" t="str"/>
      <x:c r="C155" s="37" t="str">
        <x:v>COMMON-RECORD</x:v>
      </x:c>
      <x:c r="D155" s="37" t="str">
        <x:v>病歷紀錄</x:v>
      </x:c>
      <x:c r="E155" s="37" t="str">
        <x:f>IF(_xlfn.XLOOKUP("UPG|1028|COMMON-RECORD",'能力升級候選'!$A$7:$A$258,'能力升級候選'!$R$7:$R$258,"",0)="已核定升級","◎",_xlfn.XLOOKUP("UPG|1028|COMMON-RECORD",'能力升級候選'!$A$7:$A$258,'能力升級候選'!$E$7:$E$258,"未評估",0))</x:f>
        <x:v>※</x:v>
      </x:c>
      <x:c r="F155" s="37" t="str">
        <x:f>IF(COUNTIFS('事件與限制'!$C$7:$C$106,$A155,'事件與限制'!$E$7:$E$106,$C155,'事件與限制'!$M$7:$M$106,"暫停技能資格",'事件與限制'!$Q$7:$Q$106,"生效中")&gt;0,"資格暫停",IF($E155="未評估","未建立",_xlfn.XLOOKUP("ABIL|1028|COMMON-RECORD",'主管核定中心'!$A$12:$A$372,'主管核定中心'!$K$12:$K$372,"待主管核定",0)))</x:f>
        <x:v>待主管核定</x:v>
      </x:c>
      <x:c r="G155" s="37" t="str">
        <x:v>初始能力基準</x:v>
      </x:c>
      <x:c r="H155" s="41" t="n">
        <x:v>46266</x:v>
      </x:c>
      <x:c r="I155" s="44" t="str">
        <x:f>_xlfn.XLOOKUP("ABIL|1028|COMMON-RECORD",'主管核定中心'!$A$12:$A$372,'主管核定中心'!$I$12:$I$372,"",0)</x:f>
      </x:c>
      <x:c r="J155" s="46" t="str">
        <x:f>_xlfn.XLOOKUP("ABIL|1028|COMMON-RECORD",'主管核定中心'!$A$12:$A$372,'主管核定中心'!$H$12:$H$372,"",0)</x:f>
      </x:c>
      <x:c r="K155" s="37" t="n">
        <x:v>41</x:v>
      </x:c>
      <x:c r="L155" s="37" t="str">
        <x:v>1028|COMMON-RECORD</x:v>
      </x:c>
    </x:row>
    <x:row r="156">
      <x:c r="A156" s="37" t="str">
        <x:v>1028</x:v>
      </x:c>
      <x:c r="B156" s="37" t="str"/>
      <x:c r="C156" s="37" t="str">
        <x:v>COMMON-INSURANCE</x:v>
      </x:c>
      <x:c r="D156" s="37" t="str">
        <x:v>健保申報</x:v>
      </x:c>
      <x:c r="E156" s="37" t="str">
        <x:f>IF(_xlfn.XLOOKUP("UPG|1028|COMMON-INSURANCE",'能力升級候選'!$A$7:$A$258,'能力升級候選'!$R$7:$R$258,"",0)="已核定升級","◎",_xlfn.XLOOKUP("UPG|1028|COMMON-INSURANCE",'能力升級候選'!$A$7:$A$258,'能力升級候選'!$E$7:$E$258,"未評估",0))</x:f>
        <x:v>※</x:v>
      </x:c>
      <x:c r="F156" s="37" t="str">
        <x:f>IF(COUNTIFS('事件與限制'!$C$7:$C$106,$A156,'事件與限制'!$E$7:$E$106,$C156,'事件與限制'!$M$7:$M$106,"暫停技能資格",'事件與限制'!$Q$7:$Q$106,"生效中")&gt;0,"資格暫停",IF($E156="未評估","未建立",_xlfn.XLOOKUP("ABIL|1028|COMMON-INSURANCE",'主管核定中心'!$A$12:$A$372,'主管核定中心'!$K$12:$K$372,"待主管核定",0)))</x:f>
        <x:v>待主管核定</x:v>
      </x:c>
      <x:c r="G156" s="37" t="str">
        <x:v>初始能力基準</x:v>
      </x:c>
      <x:c r="H156" s="41" t="n">
        <x:v>46266</x:v>
      </x:c>
      <x:c r="I156" s="44" t="str">
        <x:f>_xlfn.XLOOKUP("ABIL|1028|COMMON-INSURANCE",'主管核定中心'!$A$12:$A$372,'主管核定中心'!$I$12:$I$372,"",0)</x:f>
      </x:c>
      <x:c r="J156" s="46" t="str">
        <x:f>_xlfn.XLOOKUP("ABIL|1028|COMMON-INSURANCE",'主管核定中心'!$A$12:$A$372,'主管核定中心'!$H$12:$H$372,"",0)</x:f>
      </x:c>
      <x:c r="K156" s="37" t="n">
        <x:v>42</x:v>
      </x:c>
      <x:c r="L156" s="37" t="str">
        <x:v>1028|COMMON-INSURANCE</x:v>
      </x:c>
    </x:row>
    <x:row r="157">
      <x:c r="A157" s="37" t="str">
        <x:v>1028</x:v>
      </x:c>
      <x:c r="B157" s="37" t="str"/>
      <x:c r="C157" s="37" t="str">
        <x:v>COMMON-XRAY-RECORD</x:v>
      </x:c>
      <x:c r="D157" s="37" t="str">
        <x:v>X光片紀錄</x:v>
      </x:c>
      <x:c r="E157" s="37" t="str">
        <x:f>IF(_xlfn.XLOOKUP("UPG|1028|COMMON-XRAY-RECORD",'能力升級候選'!$A$7:$A$258,'能力升級候選'!$R$7:$R$258,"",0)="已核定升級","◎",_xlfn.XLOOKUP("UPG|1028|COMMON-XRAY-RECORD",'能力升級候選'!$A$7:$A$258,'能力升級候選'!$E$7:$E$258,"未評估",0))</x:f>
        <x:v>※</x:v>
      </x:c>
      <x:c r="F157" s="37" t="str">
        <x:f>IF(COUNTIFS('事件與限制'!$C$7:$C$106,$A157,'事件與限制'!$E$7:$E$106,$C157,'事件與限制'!$M$7:$M$106,"暫停技能資格",'事件與限制'!$Q$7:$Q$106,"生效中")&gt;0,"資格暫停",IF($E157="未評估","未建立",_xlfn.XLOOKUP("ABIL|1028|COMMON-XRAY-RECORD",'主管核定中心'!$A$12:$A$372,'主管核定中心'!$K$12:$K$372,"待主管核定",0)))</x:f>
        <x:v>待主管核定</x:v>
      </x:c>
      <x:c r="G157" s="37" t="str">
        <x:v>初始能力基準</x:v>
      </x:c>
      <x:c r="H157" s="41" t="n">
        <x:v>46266</x:v>
      </x:c>
      <x:c r="I157" s="44" t="str">
        <x:f>_xlfn.XLOOKUP("ABIL|1028|COMMON-XRAY-RECORD",'主管核定中心'!$A$12:$A$372,'主管核定中心'!$I$12:$I$372,"",0)</x:f>
      </x:c>
      <x:c r="J157" s="46" t="str">
        <x:f>_xlfn.XLOOKUP("ABIL|1028|COMMON-XRAY-RECORD",'主管核定中心'!$A$12:$A$372,'主管核定中心'!$H$12:$H$372,"",0)</x:f>
      </x:c>
      <x:c r="K157" s="37" t="n">
        <x:v>43</x:v>
      </x:c>
      <x:c r="L157" s="37" t="str">
        <x:v>1028|COMMON-XRAY-RECORD</x:v>
      </x:c>
    </x:row>
    <x:row r="158">
      <x:c r="A158" s="37" t="str">
        <x:v>1028</x:v>
      </x:c>
      <x:c r="B158" s="37" t="str"/>
      <x:c r="C158" s="37" t="str">
        <x:v>COMMON-PA</x:v>
      </x:c>
      <x:c r="D158" s="37" t="str">
        <x:v>拍PA</x:v>
      </x:c>
      <x:c r="E158" s="37" t="str">
        <x:f>IF(_xlfn.XLOOKUP("UPG|1028|COMMON-PA",'能力升級候選'!$A$7:$A$258,'能力升級候選'!$R$7:$R$258,"",0)="已核定升級","◎",_xlfn.XLOOKUP("UPG|1028|COMMON-PA",'能力升級候選'!$A$7:$A$258,'能力升級候選'!$E$7:$E$258,"未評估",0))</x:f>
        <x:v>※</x:v>
      </x:c>
      <x:c r="F158" s="37" t="str">
        <x:f>IF(COUNTIFS('事件與限制'!$C$7:$C$106,$A158,'事件與限制'!$E$7:$E$106,$C158,'事件與限制'!$M$7:$M$106,"暫停技能資格",'事件與限制'!$Q$7:$Q$106,"生效中")&gt;0,"資格暫停",IF($E158="未評估","未建立",_xlfn.XLOOKUP("ABIL|1028|COMMON-PA",'主管核定中心'!$A$12:$A$372,'主管核定中心'!$K$12:$K$372,"待主管核定",0)))</x:f>
        <x:v>待主管核定</x:v>
      </x:c>
      <x:c r="G158" s="37" t="str">
        <x:v>初始能力基準</x:v>
      </x:c>
      <x:c r="H158" s="41" t="n">
        <x:v>46266</x:v>
      </x:c>
      <x:c r="I158" s="44" t="str">
        <x:f>_xlfn.XLOOKUP("ABIL|1028|COMMON-PA",'主管核定中心'!$A$12:$A$372,'主管核定中心'!$I$12:$I$372,"",0)</x:f>
      </x:c>
      <x:c r="J158" s="46" t="str">
        <x:f>_xlfn.XLOOKUP("ABIL|1028|COMMON-PA",'主管核定中心'!$A$12:$A$372,'主管核定中心'!$H$12:$H$372,"",0)</x:f>
      </x:c>
      <x:c r="K158" s="37" t="n">
        <x:v>44</x:v>
      </x:c>
      <x:c r="L158" s="37" t="str">
        <x:v>1028|COMMON-PA</x:v>
      </x:c>
    </x:row>
    <x:row r="159">
      <x:c r="A159" s="37" t="str">
        <x:v>1028</x:v>
      </x:c>
      <x:c r="B159" s="37" t="str"/>
      <x:c r="C159" s="37" t="str">
        <x:v>COMMON-IOS</x:v>
      </x:c>
      <x:c r="D159" s="37" t="str">
        <x:v>口掃機運用</x:v>
      </x:c>
      <x:c r="E159" s="37" t="str">
        <x:f>IF(_xlfn.XLOOKUP("UPG|1028|COMMON-IOS",'能力升級候選'!$A$7:$A$258,'能力升級候選'!$R$7:$R$258,"",0)="已核定升級","◎",_xlfn.XLOOKUP("UPG|1028|COMMON-IOS",'能力升級候選'!$A$7:$A$258,'能力升級候選'!$E$7:$E$258,"未評估",0))</x:f>
        <x:v>※</x:v>
      </x:c>
      <x:c r="F159" s="37" t="str">
        <x:f>IF(COUNTIFS('事件與限制'!$C$7:$C$106,$A159,'事件與限制'!$E$7:$E$106,$C159,'事件與限制'!$M$7:$M$106,"暫停技能資格",'事件與限制'!$Q$7:$Q$106,"生效中")&gt;0,"資格暫停",IF($E159="未評估","未建立",_xlfn.XLOOKUP("ABIL|1028|COMMON-IOS",'主管核定中心'!$A$12:$A$372,'主管核定中心'!$K$12:$K$372,"待主管核定",0)))</x:f>
        <x:v>待主管核定</x:v>
      </x:c>
      <x:c r="G159" s="37" t="str">
        <x:v>初始能力基準</x:v>
      </x:c>
      <x:c r="H159" s="41" t="n">
        <x:v>46266</x:v>
      </x:c>
      <x:c r="I159" s="44" t="str">
        <x:f>_xlfn.XLOOKUP("ABIL|1028|COMMON-IOS",'主管核定中心'!$A$12:$A$372,'主管核定中心'!$I$12:$I$372,"",0)</x:f>
      </x:c>
      <x:c r="J159" s="46" t="str">
        <x:f>_xlfn.XLOOKUP("ABIL|1028|COMMON-IOS",'主管核定中心'!$A$12:$A$372,'主管核定中心'!$H$12:$H$372,"",0)</x:f>
      </x:c>
      <x:c r="K159" s="37" t="n">
        <x:v>45</x:v>
      </x:c>
      <x:c r="L159" s="37" t="str">
        <x:v>1028|COMMON-IOS</x:v>
      </x:c>
    </x:row>
    <x:row r="160">
      <x:c r="A160" s="37" t="str">
        <x:v>1029</x:v>
      </x:c>
      <x:c r="B160" s="37" t="str"/>
      <x:c r="C160" s="37" t="str">
        <x:v>LJT-PREP-SCALING</x:v>
      </x:c>
      <x:c r="D160" s="37" t="str">
        <x:v>洗牙</x:v>
      </x:c>
      <x:c r="E160" s="37" t="str">
        <x:f>IF(_xlfn.XLOOKUP("UPG|1029|LJT-PREP-SCALING",'能力升級候選'!$A$7:$A$258,'能力升級候選'!$R$7:$R$258,"",0)="已核定升級","◎",_xlfn.XLOOKUP("UPG|1029|LJT-PREP-SCALING",'能力升級候選'!$A$7:$A$258,'能力升級候選'!$E$7:$E$258,"未評估",0))</x:f>
        <x:v>未評估</x:v>
      </x:c>
      <x:c r="F160" s="37" t="str">
        <x:f>IF(COUNTIFS('事件與限制'!$C$7:$C$106,$A160,'事件與限制'!$E$7:$E$106,$C160,'事件與限制'!$M$7:$M$106,"暫停技能資格",'事件與限制'!$Q$7:$Q$106,"生效中")&gt;0,"資格暫停",IF($E160="未評估","未建立",_xlfn.XLOOKUP("ABIL|1029|LJT-PREP-SCALING",'主管核定中心'!$A$12:$A$372,'主管核定中心'!$K$12:$K$372,"待主管核定",0)))</x:f>
        <x:v>未建立</x:v>
      </x:c>
      <x:c r="G160" s="37" t="str">
        <x:v>初始能力基準</x:v>
      </x:c>
      <x:c r="H160" s="41" t="n">
        <x:v>46266</x:v>
      </x:c>
      <x:c r="I160" s="44" t="str">
        <x:f>_xlfn.XLOOKUP("ABIL|1029|LJT-PREP-SCALING",'主管核定中心'!$A$12:$A$372,'主管核定中心'!$I$12:$I$372,"",0)</x:f>
      </x:c>
      <x:c r="J160" s="46" t="str">
        <x:f>_xlfn.XLOOKUP("ABIL|1029|LJT-PREP-SCALING",'主管核定中心'!$A$12:$A$372,'主管核定中心'!$H$12:$H$372,"",0)</x:f>
      </x:c>
      <x:c r="K160" s="37" t="n">
        <x:v>28</x:v>
      </x:c>
      <x:c r="L160" s="37" t="str">
        <x:v>1029|LJT-PREP-SCALING</x:v>
      </x:c>
    </x:row>
    <x:row r="161">
      <x:c r="A161" s="37" t="str">
        <x:v>1029</x:v>
      </x:c>
      <x:c r="B161" s="37" t="str"/>
      <x:c r="C161" s="37" t="str">
        <x:v>LJT-PREP-FILLING</x:v>
      </x:c>
      <x:c r="D161" s="37" t="str">
        <x:v>補牙</x:v>
      </x:c>
      <x:c r="E161" s="37" t="str">
        <x:f>IF(_xlfn.XLOOKUP("UPG|1029|LJT-PREP-FILLING",'能力升級候選'!$A$7:$A$258,'能力升級候選'!$R$7:$R$258,"",0)="已核定升級","◎",_xlfn.XLOOKUP("UPG|1029|LJT-PREP-FILLING",'能力升級候選'!$A$7:$A$258,'能力升級候選'!$E$7:$E$258,"未評估",0))</x:f>
        <x:v>未評估</x:v>
      </x:c>
      <x:c r="F161" s="37" t="str">
        <x:f>IF(COUNTIFS('事件與限制'!$C$7:$C$106,$A161,'事件與限制'!$E$7:$E$106,$C161,'事件與限制'!$M$7:$M$106,"暫停技能資格",'事件與限制'!$Q$7:$Q$106,"生效中")&gt;0,"資格暫停",IF($E161="未評估","未建立",_xlfn.XLOOKUP("ABIL|1029|LJT-PREP-FILLING",'主管核定中心'!$A$12:$A$372,'主管核定中心'!$K$12:$K$372,"待主管核定",0)))</x:f>
        <x:v>未建立</x:v>
      </x:c>
      <x:c r="G161" s="37" t="str">
        <x:v>初始能力基準</x:v>
      </x:c>
      <x:c r="H161" s="41" t="n">
        <x:v>46266</x:v>
      </x:c>
      <x:c r="I161" s="44" t="str">
        <x:f>_xlfn.XLOOKUP("ABIL|1029|LJT-PREP-FILLING",'主管核定中心'!$A$12:$A$372,'主管核定中心'!$I$12:$I$372,"",0)</x:f>
      </x:c>
      <x:c r="J161" s="46" t="str">
        <x:f>_xlfn.XLOOKUP("ABIL|1029|LJT-PREP-FILLING",'主管核定中心'!$A$12:$A$372,'主管核定中心'!$H$12:$H$372,"",0)</x:f>
      </x:c>
      <x:c r="K161" s="37" t="n">
        <x:v>29</x:v>
      </x:c>
      <x:c r="L161" s="37" t="str">
        <x:v>1029|LJT-PREP-FILLING</x:v>
      </x:c>
    </x:row>
    <x:row r="162">
      <x:c r="A162" s="37" t="str">
        <x:v>1029</x:v>
      </x:c>
      <x:c r="B162" s="37" t="str"/>
      <x:c r="C162" s="37" t="str">
        <x:v>LJT-PREP-PERIO</x:v>
      </x:c>
      <x:c r="D162" s="37" t="str">
        <x:v>牙周統合</x:v>
      </x:c>
      <x:c r="E162" s="37" t="str">
        <x:f>IF(_xlfn.XLOOKUP("UPG|1029|LJT-PREP-PERIO",'能力升級候選'!$A$7:$A$258,'能力升級候選'!$R$7:$R$258,"",0)="已核定升級","◎",_xlfn.XLOOKUP("UPG|1029|LJT-PREP-PERIO",'能力升級候選'!$A$7:$A$258,'能力升級候選'!$E$7:$E$258,"未評估",0))</x:f>
        <x:v>未評估</x:v>
      </x:c>
      <x:c r="F162" s="37" t="str">
        <x:f>IF(COUNTIFS('事件與限制'!$C$7:$C$106,$A162,'事件與限制'!$E$7:$E$106,$C162,'事件與限制'!$M$7:$M$106,"暫停技能資格",'事件與限制'!$Q$7:$Q$106,"生效中")&gt;0,"資格暫停",IF($E162="未評估","未建立",_xlfn.XLOOKUP("ABIL|1029|LJT-PREP-PERIO",'主管核定中心'!$A$12:$A$372,'主管核定中心'!$K$12:$K$372,"待主管核定",0)))</x:f>
        <x:v>未建立</x:v>
      </x:c>
      <x:c r="G162" s="37" t="str">
        <x:v>初始能力基準</x:v>
      </x:c>
      <x:c r="H162" s="41" t="n">
        <x:v>46266</x:v>
      </x:c>
      <x:c r="I162" s="44" t="str">
        <x:f>_xlfn.XLOOKUP("ABIL|1029|LJT-PREP-PERIO",'主管核定中心'!$A$12:$A$372,'主管核定中心'!$I$12:$I$372,"",0)</x:f>
      </x:c>
      <x:c r="J162" s="46" t="str">
        <x:f>_xlfn.XLOOKUP("ABIL|1029|LJT-PREP-PERIO",'主管核定中心'!$A$12:$A$372,'主管核定中心'!$H$12:$H$372,"",0)</x:f>
      </x:c>
      <x:c r="K162" s="37" t="n">
        <x:v>30</x:v>
      </x:c>
      <x:c r="L162" s="37" t="str">
        <x:v>1029|LJT-PREP-PERIO</x:v>
      </x:c>
    </x:row>
    <x:row r="163">
      <x:c r="A163" s="37" t="str">
        <x:v>1029</x:v>
      </x:c>
      <x:c r="B163" s="37" t="str"/>
      <x:c r="C163" s="37" t="str">
        <x:v>LJT-PREP-RCT</x:v>
      </x:c>
      <x:c r="D163" s="37" t="str">
        <x:v>根管治療</x:v>
      </x:c>
      <x:c r="E163" s="37" t="str">
        <x:f>IF(_xlfn.XLOOKUP("UPG|1029|LJT-PREP-RCT",'能力升級候選'!$A$7:$A$258,'能力升級候選'!$R$7:$R$258,"",0)="已核定升級","◎",_xlfn.XLOOKUP("UPG|1029|LJT-PREP-RCT",'能力升級候選'!$A$7:$A$258,'能力升級候選'!$E$7:$E$258,"未評估",0))</x:f>
        <x:v>未評估</x:v>
      </x:c>
      <x:c r="F163" s="37" t="str">
        <x:f>IF(COUNTIFS('事件與限制'!$C$7:$C$106,$A163,'事件與限制'!$E$7:$E$106,$C163,'事件與限制'!$M$7:$M$106,"暫停技能資格",'事件與限制'!$Q$7:$Q$106,"生效中")&gt;0,"資格暫停",IF($E163="未評估","未建立",_xlfn.XLOOKUP("ABIL|1029|LJT-PREP-RCT",'主管核定中心'!$A$12:$A$372,'主管核定中心'!$K$12:$K$372,"待主管核定",0)))</x:f>
        <x:v>未建立</x:v>
      </x:c>
      <x:c r="G163" s="37" t="str">
        <x:v>初始能力基準</x:v>
      </x:c>
      <x:c r="H163" s="41" t="n">
        <x:v>46266</x:v>
      </x:c>
      <x:c r="I163" s="44" t="str">
        <x:f>_xlfn.XLOOKUP("ABIL|1029|LJT-PREP-RCT",'主管核定中心'!$A$12:$A$372,'主管核定中心'!$I$12:$I$372,"",0)</x:f>
      </x:c>
      <x:c r="J163" s="46" t="str">
        <x:f>_xlfn.XLOOKUP("ABIL|1029|LJT-PREP-RCT",'主管核定中心'!$A$12:$A$372,'主管核定中心'!$H$12:$H$372,"",0)</x:f>
      </x:c>
      <x:c r="K163" s="37" t="n">
        <x:v>31</x:v>
      </x:c>
      <x:c r="L163" s="37" t="str">
        <x:v>1029|LJT-PREP-RCT</x:v>
      </x:c>
    </x:row>
    <x:row r="164">
      <x:c r="A164" s="37" t="str">
        <x:v>1029</x:v>
      </x:c>
      <x:c r="B164" s="37" t="str"/>
      <x:c r="C164" s="37" t="str">
        <x:v>LJT-PREP-EXTRACTION</x:v>
      </x:c>
      <x:c r="D164" s="37" t="str">
        <x:v>拔牙</x:v>
      </x:c>
      <x:c r="E164" s="37" t="str">
        <x:f>IF(_xlfn.XLOOKUP("UPG|1029|LJT-PREP-EXTRACTION",'能力升級候選'!$A$7:$A$258,'能力升級候選'!$R$7:$R$258,"",0)="已核定升級","◎",_xlfn.XLOOKUP("UPG|1029|LJT-PREP-EXTRACTION",'能力升級候選'!$A$7:$A$258,'能力升級候選'!$E$7:$E$258,"未評估",0))</x:f>
        <x:v>未評估</x:v>
      </x:c>
      <x:c r="F164" s="37" t="str">
        <x:f>IF(COUNTIFS('事件與限制'!$C$7:$C$106,$A164,'事件與限制'!$E$7:$E$106,$C164,'事件與限制'!$M$7:$M$106,"暫停技能資格",'事件與限制'!$Q$7:$Q$106,"生效中")&gt;0,"資格暫停",IF($E164="未評估","未建立",_xlfn.XLOOKUP("ABIL|1029|LJT-PREP-EXTRACTION",'主管核定中心'!$A$12:$A$372,'主管核定中心'!$K$12:$K$372,"待主管核定",0)))</x:f>
        <x:v>未建立</x:v>
      </x:c>
      <x:c r="G164" s="37" t="str">
        <x:v>初始能力基準</x:v>
      </x:c>
      <x:c r="H164" s="41" t="n">
        <x:v>46266</x:v>
      </x:c>
      <x:c r="I164" s="44" t="str">
        <x:f>_xlfn.XLOOKUP("ABIL|1029|LJT-PREP-EXTRACTION",'主管核定中心'!$A$12:$A$372,'主管核定中心'!$I$12:$I$372,"",0)</x:f>
      </x:c>
      <x:c r="J164" s="46" t="str">
        <x:f>_xlfn.XLOOKUP("ABIL|1029|LJT-PREP-EXTRACTION",'主管核定中心'!$A$12:$A$372,'主管核定中心'!$H$12:$H$372,"",0)</x:f>
      </x:c>
      <x:c r="K164" s="37" t="n">
        <x:v>32</x:v>
      </x:c>
      <x:c r="L164" s="37" t="str">
        <x:v>1029|LJT-PREP-EXTRACTION</x:v>
      </x:c>
    </x:row>
    <x:row r="165">
      <x:c r="A165" s="37" t="str">
        <x:v>1029</x:v>
      </x:c>
      <x:c r="B165" s="37" t="str"/>
      <x:c r="C165" s="37" t="str">
        <x:v>LJT-PREP-CROWNPOST</x:v>
      </x:c>
      <x:c r="D165" s="37" t="str">
        <x:v>拆 crown/post</x:v>
      </x:c>
      <x:c r="E165" s="37" t="str">
        <x:f>IF(_xlfn.XLOOKUP("UPG|1029|LJT-PREP-CROWNPOST",'能力升級候選'!$A$7:$A$258,'能力升級候選'!$R$7:$R$258,"",0)="已核定升級","◎",_xlfn.XLOOKUP("UPG|1029|LJT-PREP-CROWNPOST",'能力升級候選'!$A$7:$A$258,'能力升級候選'!$E$7:$E$258,"未評估",0))</x:f>
        <x:v>未評估</x:v>
      </x:c>
      <x:c r="F165" s="37" t="str">
        <x:f>IF(COUNTIFS('事件與限制'!$C$7:$C$106,$A165,'事件與限制'!$E$7:$E$106,$C165,'事件與限制'!$M$7:$M$106,"暫停技能資格",'事件與限制'!$Q$7:$Q$106,"生效中")&gt;0,"資格暫停",IF($E165="未評估","未建立",_xlfn.XLOOKUP("ABIL|1029|LJT-PREP-CROWNPOST",'主管核定中心'!$A$12:$A$372,'主管核定中心'!$K$12:$K$372,"待主管核定",0)))</x:f>
        <x:v>未建立</x:v>
      </x:c>
      <x:c r="G165" s="37" t="str">
        <x:v>初始能力基準</x:v>
      </x:c>
      <x:c r="H165" s="41" t="n">
        <x:v>46266</x:v>
      </x:c>
      <x:c r="I165" s="44" t="str">
        <x:f>_xlfn.XLOOKUP("ABIL|1029|LJT-PREP-CROWNPOST",'主管核定中心'!$A$12:$A$372,'主管核定中心'!$I$12:$I$372,"",0)</x:f>
      </x:c>
      <x:c r="J165" s="46" t="str">
        <x:f>_xlfn.XLOOKUP("ABIL|1029|LJT-PREP-CROWNPOST",'主管核定中心'!$A$12:$A$372,'主管核定中心'!$H$12:$H$372,"",0)</x:f>
      </x:c>
      <x:c r="K165" s="37" t="n">
        <x:v>33</x:v>
      </x:c>
      <x:c r="L165" s="37" t="str">
        <x:v>1029|LJT-PREP-CROWNPOST</x:v>
      </x:c>
    </x:row>
    <x:row r="166">
      <x:c r="A166" s="37" t="str">
        <x:v>1029</x:v>
      </x:c>
      <x:c r="B166" s="37" t="str"/>
      <x:c r="C166" s="37" t="str">
        <x:v>LJT-PREP-CROWN</x:v>
      </x:c>
      <x:c r="D166" s="37" t="str">
        <x:v>固定假牙</x:v>
      </x:c>
      <x:c r="E166" s="37" t="str">
        <x:f>IF(_xlfn.XLOOKUP("UPG|1029|LJT-PREP-CROWN",'能力升級候選'!$A$7:$A$258,'能力升級候選'!$R$7:$R$258,"",0)="已核定升級","◎",_xlfn.XLOOKUP("UPG|1029|LJT-PREP-CROWN",'能力升級候選'!$A$7:$A$258,'能力升級候選'!$E$7:$E$258,"未評估",0))</x:f>
        <x:v>未評估</x:v>
      </x:c>
      <x:c r="F166" s="37" t="str">
        <x:f>IF(COUNTIFS('事件與限制'!$C$7:$C$106,$A166,'事件與限制'!$E$7:$E$106,$C166,'事件與限制'!$M$7:$M$106,"暫停技能資格",'事件與限制'!$Q$7:$Q$106,"生效中")&gt;0,"資格暫停",IF($E166="未評估","未建立",_xlfn.XLOOKUP("ABIL|1029|LJT-PREP-CROWN",'主管核定中心'!$A$12:$A$372,'主管核定中心'!$K$12:$K$372,"待主管核定",0)))</x:f>
        <x:v>未建立</x:v>
      </x:c>
      <x:c r="G166" s="37" t="str">
        <x:v>初始能力基準</x:v>
      </x:c>
      <x:c r="H166" s="41" t="n">
        <x:v>46266</x:v>
      </x:c>
      <x:c r="I166" s="44" t="str">
        <x:f>_xlfn.XLOOKUP("ABIL|1029|LJT-PREP-CROWN",'主管核定中心'!$A$12:$A$372,'主管核定中心'!$I$12:$I$372,"",0)</x:f>
      </x:c>
      <x:c r="J166" s="46" t="str">
        <x:f>_xlfn.XLOOKUP("ABIL|1029|LJT-PREP-CROWN",'主管核定中心'!$A$12:$A$372,'主管核定中心'!$H$12:$H$372,"",0)</x:f>
      </x:c>
      <x:c r="K166" s="37" t="n">
        <x:v>34</x:v>
      </x:c>
      <x:c r="L166" s="37" t="str">
        <x:v>1029|LJT-PREP-CROWN</x:v>
      </x:c>
    </x:row>
    <x:row r="167">
      <x:c r="A167" s="37" t="str">
        <x:v>1029</x:v>
      </x:c>
      <x:c r="B167" s="37" t="str"/>
      <x:c r="C167" s="37" t="str">
        <x:v>LJT-PREP-RPD</x:v>
      </x:c>
      <x:c r="D167" s="37" t="str">
        <x:v>RPD</x:v>
      </x:c>
      <x:c r="E167" s="37" t="str">
        <x:f>IF(_xlfn.XLOOKUP("UPG|1029|LJT-PREP-RPD",'能力升級候選'!$A$7:$A$258,'能力升級候選'!$R$7:$R$258,"",0)="已核定升級","◎",_xlfn.XLOOKUP("UPG|1029|LJT-PREP-RPD",'能力升級候選'!$A$7:$A$258,'能力升級候選'!$E$7:$E$258,"未評估",0))</x:f>
        <x:v>未評估</x:v>
      </x:c>
      <x:c r="F167" s="37" t="str">
        <x:f>IF(COUNTIFS('事件與限制'!$C$7:$C$106,$A167,'事件與限制'!$E$7:$E$106,$C167,'事件與限制'!$M$7:$M$106,"暫停技能資格",'事件與限制'!$Q$7:$Q$106,"生效中")&gt;0,"資格暫停",IF($E167="未評估","未建立",_xlfn.XLOOKUP("ABIL|1029|LJT-PREP-RPD",'主管核定中心'!$A$12:$A$372,'主管核定中心'!$K$12:$K$372,"待主管核定",0)))</x:f>
        <x:v>未建立</x:v>
      </x:c>
      <x:c r="G167" s="37" t="str">
        <x:v>初始能力基準</x:v>
      </x:c>
      <x:c r="H167" s="41" t="n">
        <x:v>46266</x:v>
      </x:c>
      <x:c r="I167" s="44" t="str">
        <x:f>_xlfn.XLOOKUP("ABIL|1029|LJT-PREP-RPD",'主管核定中心'!$A$12:$A$372,'主管核定中心'!$I$12:$I$372,"",0)</x:f>
      </x:c>
      <x:c r="J167" s="46" t="str">
        <x:f>_xlfn.XLOOKUP("ABIL|1029|LJT-PREP-RPD",'主管核定中心'!$A$12:$A$372,'主管核定中心'!$H$12:$H$372,"",0)</x:f>
      </x:c>
      <x:c r="K167" s="37" t="n">
        <x:v>35</x:v>
      </x:c>
      <x:c r="L167" s="37" t="str">
        <x:v>1029|LJT-PREP-RPD</x:v>
      </x:c>
    </x:row>
    <x:row r="168">
      <x:c r="A168" s="37" t="str">
        <x:v>1029</x:v>
      </x:c>
      <x:c r="B168" s="37" t="str"/>
      <x:c r="C168" s="37" t="str">
        <x:v>LJT-PREP-AIRPOLISH</x:v>
      </x:c>
      <x:c r="D168" s="37" t="str">
        <x:v>噴砂美白</x:v>
      </x:c>
      <x:c r="E168" s="37" t="str">
        <x:f>IF(_xlfn.XLOOKUP("UPG|1029|LJT-PREP-AIRPOLISH",'能力升級候選'!$A$7:$A$258,'能力升級候選'!$R$7:$R$258,"",0)="已核定升級","◎",_xlfn.XLOOKUP("UPG|1029|LJT-PREP-AIRPOLISH",'能力升級候選'!$A$7:$A$258,'能力升級候選'!$E$7:$E$258,"未評估",0))</x:f>
        <x:v>未評估</x:v>
      </x:c>
      <x:c r="F168" s="37" t="str">
        <x:f>IF(COUNTIFS('事件與限制'!$C$7:$C$106,$A168,'事件與限制'!$E$7:$E$106,$C168,'事件與限制'!$M$7:$M$106,"暫停技能資格",'事件與限制'!$Q$7:$Q$106,"生效中")&gt;0,"資格暫停",IF($E168="未評估","未建立",_xlfn.XLOOKUP("ABIL|1029|LJT-PREP-AIRPOLISH",'主管核定中心'!$A$12:$A$372,'主管核定中心'!$K$12:$K$372,"待主管核定",0)))</x:f>
        <x:v>未建立</x:v>
      </x:c>
      <x:c r="G168" s="37" t="str">
        <x:v>初始能力基準</x:v>
      </x:c>
      <x:c r="H168" s="41" t="n">
        <x:v>46266</x:v>
      </x:c>
      <x:c r="I168" s="44" t="str">
        <x:f>_xlfn.XLOOKUP("ABIL|1029|LJT-PREP-AIRPOLISH",'主管核定中心'!$A$12:$A$372,'主管核定中心'!$I$12:$I$372,"",0)</x:f>
      </x:c>
      <x:c r="J168" s="46" t="str">
        <x:f>_xlfn.XLOOKUP("ABIL|1029|LJT-PREP-AIRPOLISH",'主管核定中心'!$A$12:$A$372,'主管核定中心'!$H$12:$H$372,"",0)</x:f>
      </x:c>
      <x:c r="K168" s="37" t="n">
        <x:v>36</x:v>
      </x:c>
      <x:c r="L168" s="37" t="str">
        <x:v>1029|LJT-PREP-AIRPOLISH</x:v>
      </x:c>
    </x:row>
    <x:row r="169">
      <x:c r="A169" s="37" t="str">
        <x:v>1029</x:v>
      </x:c>
      <x:c r="B169" s="37" t="str"/>
      <x:c r="C169" s="37" t="str">
        <x:v>LJT-PREP-PERIOSURG</x:v>
      </x:c>
      <x:c r="D169" s="37" t="str">
        <x:v>牙周手術</x:v>
      </x:c>
      <x:c r="E169" s="37" t="str">
        <x:f>IF(_xlfn.XLOOKUP("UPG|1029|LJT-PREP-PERIOSURG",'能力升級候選'!$A$7:$A$258,'能力升級候選'!$R$7:$R$258,"",0)="已核定升級","◎",_xlfn.XLOOKUP("UPG|1029|LJT-PREP-PERIOSURG",'能力升級候選'!$A$7:$A$258,'能力升級候選'!$E$7:$E$258,"未評估",0))</x:f>
        <x:v>未評估</x:v>
      </x:c>
      <x:c r="F169" s="37" t="str">
        <x:f>IF(COUNTIFS('事件與限制'!$C$7:$C$106,$A169,'事件與限制'!$E$7:$E$106,$C169,'事件與限制'!$M$7:$M$106,"暫停技能資格",'事件與限制'!$Q$7:$Q$106,"生效中")&gt;0,"資格暫停",IF($E169="未評估","未建立",_xlfn.XLOOKUP("ABIL|1029|LJT-PREP-PERIOSURG",'主管核定中心'!$A$12:$A$372,'主管核定中心'!$K$12:$K$372,"待主管核定",0)))</x:f>
        <x:v>未建立</x:v>
      </x:c>
      <x:c r="G169" s="37" t="str">
        <x:v>初始能力基準</x:v>
      </x:c>
      <x:c r="H169" s="41" t="n">
        <x:v>46266</x:v>
      </x:c>
      <x:c r="I169" s="44" t="str">
        <x:f>_xlfn.XLOOKUP("ABIL|1029|LJT-PREP-PERIOSURG",'主管核定中心'!$A$12:$A$372,'主管核定中心'!$I$12:$I$372,"",0)</x:f>
      </x:c>
      <x:c r="J169" s="46" t="str">
        <x:f>_xlfn.XLOOKUP("ABIL|1029|LJT-PREP-PERIOSURG",'主管核定中心'!$A$12:$A$372,'主管核定中心'!$H$12:$H$372,"",0)</x:f>
      </x:c>
      <x:c r="K169" s="37" t="n">
        <x:v>37</x:v>
      </x:c>
      <x:c r="L169" s="37" t="str">
        <x:v>1029|LJT-PREP-PERIOSURG</x:v>
      </x:c>
    </x:row>
    <x:row r="170">
      <x:c r="A170" s="37" t="str">
        <x:v>1029</x:v>
      </x:c>
      <x:c r="B170" s="37" t="str"/>
      <x:c r="C170" s="37" t="str">
        <x:v>LJT-PREP-MICROENDO</x:v>
      </x:c>
      <x:c r="D170" s="37" t="str">
        <x:v>顯微根管</x:v>
      </x:c>
      <x:c r="E170" s="37" t="str">
        <x:f>IF(_xlfn.XLOOKUP("UPG|1029|LJT-PREP-MICROENDO",'能力升級候選'!$A$7:$A$258,'能力升級候選'!$R$7:$R$258,"",0)="已核定升級","◎",_xlfn.XLOOKUP("UPG|1029|LJT-PREP-MICROENDO",'能力升級候選'!$A$7:$A$258,'能力升級候選'!$E$7:$E$258,"未評估",0))</x:f>
        <x:v>未評估</x:v>
      </x:c>
      <x:c r="F170" s="37" t="str">
        <x:f>IF(COUNTIFS('事件與限制'!$C$7:$C$106,$A170,'事件與限制'!$E$7:$E$106,$C170,'事件與限制'!$M$7:$M$106,"暫停技能資格",'事件與限制'!$Q$7:$Q$106,"生效中")&gt;0,"資格暫停",IF($E170="未評估","未建立",_xlfn.XLOOKUP("ABIL|1029|LJT-PREP-MICROENDO",'主管核定中心'!$A$12:$A$372,'主管核定中心'!$K$12:$K$372,"待主管核定",0)))</x:f>
        <x:v>未建立</x:v>
      </x:c>
      <x:c r="G170" s="37" t="str">
        <x:v>初始能力基準</x:v>
      </x:c>
      <x:c r="H170" s="41" t="n">
        <x:v>46266</x:v>
      </x:c>
      <x:c r="I170" s="44" t="str">
        <x:f>_xlfn.XLOOKUP("ABIL|1029|LJT-PREP-MICROENDO",'主管核定中心'!$A$12:$A$372,'主管核定中心'!$I$12:$I$372,"",0)</x:f>
      </x:c>
      <x:c r="J170" s="46" t="str">
        <x:f>_xlfn.XLOOKUP("ABIL|1029|LJT-PREP-MICROENDO",'主管核定中心'!$A$12:$A$372,'主管核定中心'!$H$12:$H$372,"",0)</x:f>
      </x:c>
      <x:c r="K170" s="37" t="n">
        <x:v>38</x:v>
      </x:c>
      <x:c r="L170" s="37" t="str">
        <x:v>1029|LJT-PREP-MICROENDO</x:v>
      </x:c>
    </x:row>
    <x:row r="171">
      <x:c r="A171" s="37" t="str">
        <x:v>1029</x:v>
      </x:c>
      <x:c r="B171" s="37" t="str"/>
      <x:c r="C171" s="37" t="str">
        <x:v>LJT-PREP-IMPLANT</x:v>
      </x:c>
      <x:c r="D171" s="37" t="str">
        <x:v>植 牙</x:v>
      </x:c>
      <x:c r="E171" s="37" t="str">
        <x:f>IF(_xlfn.XLOOKUP("UPG|1029|LJT-PREP-IMPLANT",'能力升級候選'!$A$7:$A$258,'能力升級候選'!$R$7:$R$258,"",0)="已核定升級","◎",_xlfn.XLOOKUP("UPG|1029|LJT-PREP-IMPLANT",'能力升級候選'!$A$7:$A$258,'能力升級候選'!$E$7:$E$258,"未評估",0))</x:f>
        <x:v>未評估</x:v>
      </x:c>
      <x:c r="F171" s="37" t="str">
        <x:f>IF(COUNTIFS('事件與限制'!$C$7:$C$106,$A171,'事件與限制'!$E$7:$E$106,$C171,'事件與限制'!$M$7:$M$106,"暫停技能資格",'事件與限制'!$Q$7:$Q$106,"生效中")&gt;0,"資格暫停",IF($E171="未評估","未建立",_xlfn.XLOOKUP("ABIL|1029|LJT-PREP-IMPLANT",'主管核定中心'!$A$12:$A$372,'主管核定中心'!$K$12:$K$372,"待主管核定",0)))</x:f>
        <x:v>未建立</x:v>
      </x:c>
      <x:c r="G171" s="37" t="str">
        <x:v>初始能力基準</x:v>
      </x:c>
      <x:c r="H171" s="41" t="n">
        <x:v>46266</x:v>
      </x:c>
      <x:c r="I171" s="44" t="str">
        <x:f>_xlfn.XLOOKUP("ABIL|1029|LJT-PREP-IMPLANT",'主管核定中心'!$A$12:$A$372,'主管核定中心'!$I$12:$I$372,"",0)</x:f>
      </x:c>
      <x:c r="J171" s="46" t="str">
        <x:f>_xlfn.XLOOKUP("ABIL|1029|LJT-PREP-IMPLANT",'主管核定中心'!$A$12:$A$372,'主管核定中心'!$H$12:$H$372,"",0)</x:f>
      </x:c>
      <x:c r="K171" s="37" t="n">
        <x:v>39</x:v>
      </x:c>
      <x:c r="L171" s="37" t="str">
        <x:v>1029|LJT-PREP-IMPLANT</x:v>
      </x:c>
    </x:row>
    <x:row r="172">
      <x:c r="A172" s="37" t="str">
        <x:v>1029</x:v>
      </x:c>
      <x:c r="B172" s="37" t="str"/>
      <x:c r="C172" s="37" t="str">
        <x:v>COMMON-RECORD</x:v>
      </x:c>
      <x:c r="D172" s="37" t="str">
        <x:v>病歷紀錄</x:v>
      </x:c>
      <x:c r="E172" s="37" t="str">
        <x:f>IF(_xlfn.XLOOKUP("UPG|1029|COMMON-RECORD",'能力升級候選'!$A$7:$A$258,'能力升級候選'!$R$7:$R$258,"",0)="已核定升級","◎",_xlfn.XLOOKUP("UPG|1029|COMMON-RECORD",'能力升級候選'!$A$7:$A$258,'能力升級候選'!$E$7:$E$258,"未評估",0))</x:f>
        <x:v>未評估</x:v>
      </x:c>
      <x:c r="F172" s="37" t="str">
        <x:f>IF(COUNTIFS('事件與限制'!$C$7:$C$106,$A172,'事件與限制'!$E$7:$E$106,$C172,'事件與限制'!$M$7:$M$106,"暫停技能資格",'事件與限制'!$Q$7:$Q$106,"生效中")&gt;0,"資格暫停",IF($E172="未評估","未建立",_xlfn.XLOOKUP("ABIL|1029|COMMON-RECORD",'主管核定中心'!$A$12:$A$372,'主管核定中心'!$K$12:$K$372,"待主管核定",0)))</x:f>
        <x:v>未建立</x:v>
      </x:c>
      <x:c r="G172" s="37" t="str">
        <x:v>初始能力基準</x:v>
      </x:c>
      <x:c r="H172" s="41" t="n">
        <x:v>46266</x:v>
      </x:c>
      <x:c r="I172" s="44" t="str">
        <x:f>_xlfn.XLOOKUP("ABIL|1029|COMMON-RECORD",'主管核定中心'!$A$12:$A$372,'主管核定中心'!$I$12:$I$372,"",0)</x:f>
      </x:c>
      <x:c r="J172" s="46" t="str">
        <x:f>_xlfn.XLOOKUP("ABIL|1029|COMMON-RECORD",'主管核定中心'!$A$12:$A$372,'主管核定中心'!$H$12:$H$372,"",0)</x:f>
      </x:c>
      <x:c r="K172" s="37" t="n">
        <x:v>41</x:v>
      </x:c>
      <x:c r="L172" s="37" t="str">
        <x:v>1029|COMMON-RECORD</x:v>
      </x:c>
    </x:row>
    <x:row r="173">
      <x:c r="A173" s="37" t="str">
        <x:v>1029</x:v>
      </x:c>
      <x:c r="B173" s="37" t="str"/>
      <x:c r="C173" s="37" t="str">
        <x:v>COMMON-INSURANCE</x:v>
      </x:c>
      <x:c r="D173" s="37" t="str">
        <x:v>健保申報</x:v>
      </x:c>
      <x:c r="E173" s="37" t="str">
        <x:f>IF(_xlfn.XLOOKUP("UPG|1029|COMMON-INSURANCE",'能力升級候選'!$A$7:$A$258,'能力升級候選'!$R$7:$R$258,"",0)="已核定升級","◎",_xlfn.XLOOKUP("UPG|1029|COMMON-INSURANCE",'能力升級候選'!$A$7:$A$258,'能力升級候選'!$E$7:$E$258,"未評估",0))</x:f>
        <x:v>未評估</x:v>
      </x:c>
      <x:c r="F173" s="37" t="str">
        <x:f>IF(COUNTIFS('事件與限制'!$C$7:$C$106,$A173,'事件與限制'!$E$7:$E$106,$C173,'事件與限制'!$M$7:$M$106,"暫停技能資格",'事件與限制'!$Q$7:$Q$106,"生效中")&gt;0,"資格暫停",IF($E173="未評估","未建立",_xlfn.XLOOKUP("ABIL|1029|COMMON-INSURANCE",'主管核定中心'!$A$12:$A$372,'主管核定中心'!$K$12:$K$372,"待主管核定",0)))</x:f>
        <x:v>未建立</x:v>
      </x:c>
      <x:c r="G173" s="37" t="str">
        <x:v>初始能力基準</x:v>
      </x:c>
      <x:c r="H173" s="41" t="n">
        <x:v>46266</x:v>
      </x:c>
      <x:c r="I173" s="44" t="str">
        <x:f>_xlfn.XLOOKUP("ABIL|1029|COMMON-INSURANCE",'主管核定中心'!$A$12:$A$372,'主管核定中心'!$I$12:$I$372,"",0)</x:f>
      </x:c>
      <x:c r="J173" s="46" t="str">
        <x:f>_xlfn.XLOOKUP("ABIL|1029|COMMON-INSURANCE",'主管核定中心'!$A$12:$A$372,'主管核定中心'!$H$12:$H$372,"",0)</x:f>
      </x:c>
      <x:c r="K173" s="37" t="n">
        <x:v>42</x:v>
      </x:c>
      <x:c r="L173" s="37" t="str">
        <x:v>1029|COMMON-INSURANCE</x:v>
      </x:c>
    </x:row>
    <x:row r="174">
      <x:c r="A174" s="37" t="str">
        <x:v>1029</x:v>
      </x:c>
      <x:c r="B174" s="37" t="str"/>
      <x:c r="C174" s="37" t="str">
        <x:v>COMMON-XRAY-RECORD</x:v>
      </x:c>
      <x:c r="D174" s="37" t="str">
        <x:v>X光片紀錄</x:v>
      </x:c>
      <x:c r="E174" s="37" t="str">
        <x:f>IF(_xlfn.XLOOKUP("UPG|1029|COMMON-XRAY-RECORD",'能力升級候選'!$A$7:$A$258,'能力升級候選'!$R$7:$R$258,"",0)="已核定升級","◎",_xlfn.XLOOKUP("UPG|1029|COMMON-XRAY-RECORD",'能力升級候選'!$A$7:$A$258,'能力升級候選'!$E$7:$E$258,"未評估",0))</x:f>
        <x:v>未評估</x:v>
      </x:c>
      <x:c r="F174" s="37" t="str">
        <x:f>IF(COUNTIFS('事件與限制'!$C$7:$C$106,$A174,'事件與限制'!$E$7:$E$106,$C174,'事件與限制'!$M$7:$M$106,"暫停技能資格",'事件與限制'!$Q$7:$Q$106,"生效中")&gt;0,"資格暫停",IF($E174="未評估","未建立",_xlfn.XLOOKUP("ABIL|1029|COMMON-XRAY-RECORD",'主管核定中心'!$A$12:$A$372,'主管核定中心'!$K$12:$K$372,"待主管核定",0)))</x:f>
        <x:v>未建立</x:v>
      </x:c>
      <x:c r="G174" s="37" t="str">
        <x:v>初始能力基準</x:v>
      </x:c>
      <x:c r="H174" s="41" t="n">
        <x:v>46266</x:v>
      </x:c>
      <x:c r="I174" s="44" t="str">
        <x:f>_xlfn.XLOOKUP("ABIL|1029|COMMON-XRAY-RECORD",'主管核定中心'!$A$12:$A$372,'主管核定中心'!$I$12:$I$372,"",0)</x:f>
      </x:c>
      <x:c r="J174" s="46" t="str">
        <x:f>_xlfn.XLOOKUP("ABIL|1029|COMMON-XRAY-RECORD",'主管核定中心'!$A$12:$A$372,'主管核定中心'!$H$12:$H$372,"",0)</x:f>
      </x:c>
      <x:c r="K174" s="37" t="n">
        <x:v>43</x:v>
      </x:c>
      <x:c r="L174" s="37" t="str">
        <x:v>1029|COMMON-XRAY-RECORD</x:v>
      </x:c>
    </x:row>
    <x:row r="175">
      <x:c r="A175" s="37" t="str">
        <x:v>1029</x:v>
      </x:c>
      <x:c r="B175" s="37" t="str"/>
      <x:c r="C175" s="37" t="str">
        <x:v>COMMON-PA</x:v>
      </x:c>
      <x:c r="D175" s="37" t="str">
        <x:v>拍PA</x:v>
      </x:c>
      <x:c r="E175" s="37" t="str">
        <x:f>IF(_xlfn.XLOOKUP("UPG|1029|COMMON-PA",'能力升級候選'!$A$7:$A$258,'能力升級候選'!$R$7:$R$258,"",0)="已核定升級","◎",_xlfn.XLOOKUP("UPG|1029|COMMON-PA",'能力升級候選'!$A$7:$A$258,'能力升級候選'!$E$7:$E$258,"未評估",0))</x:f>
        <x:v>未評估</x:v>
      </x:c>
      <x:c r="F175" s="37" t="str">
        <x:f>IF(COUNTIFS('事件與限制'!$C$7:$C$106,$A175,'事件與限制'!$E$7:$E$106,$C175,'事件與限制'!$M$7:$M$106,"暫停技能資格",'事件與限制'!$Q$7:$Q$106,"生效中")&gt;0,"資格暫停",IF($E175="未評估","未建立",_xlfn.XLOOKUP("ABIL|1029|COMMON-PA",'主管核定中心'!$A$12:$A$372,'主管核定中心'!$K$12:$K$372,"待主管核定",0)))</x:f>
        <x:v>未建立</x:v>
      </x:c>
      <x:c r="G175" s="37" t="str">
        <x:v>初始能力基準</x:v>
      </x:c>
      <x:c r="H175" s="41" t="n">
        <x:v>46266</x:v>
      </x:c>
      <x:c r="I175" s="44" t="str">
        <x:f>_xlfn.XLOOKUP("ABIL|1029|COMMON-PA",'主管核定中心'!$A$12:$A$372,'主管核定中心'!$I$12:$I$372,"",0)</x:f>
      </x:c>
      <x:c r="J175" s="46" t="str">
        <x:f>_xlfn.XLOOKUP("ABIL|1029|COMMON-PA",'主管核定中心'!$A$12:$A$372,'主管核定中心'!$H$12:$H$372,"",0)</x:f>
      </x:c>
      <x:c r="K175" s="37" t="n">
        <x:v>44</x:v>
      </x:c>
      <x:c r="L175" s="37" t="str">
        <x:v>1029|COMMON-PA</x:v>
      </x:c>
    </x:row>
    <x:row r="176">
      <x:c r="A176" s="37" t="str">
        <x:v>1029</x:v>
      </x:c>
      <x:c r="B176" s="37" t="str"/>
      <x:c r="C176" s="37" t="str">
        <x:v>COMMON-IOS</x:v>
      </x:c>
      <x:c r="D176" s="37" t="str">
        <x:v>口掃機運用</x:v>
      </x:c>
      <x:c r="E176" s="37" t="str">
        <x:f>IF(_xlfn.XLOOKUP("UPG|1029|COMMON-IOS",'能力升級候選'!$A$7:$A$258,'能力升級候選'!$R$7:$R$258,"",0)="已核定升級","◎",_xlfn.XLOOKUP("UPG|1029|COMMON-IOS",'能力升級候選'!$A$7:$A$258,'能力升級候選'!$E$7:$E$258,"未評估",0))</x:f>
        <x:v>未評估</x:v>
      </x:c>
      <x:c r="F176" s="37" t="str">
        <x:f>IF(COUNTIFS('事件與限制'!$C$7:$C$106,$A176,'事件與限制'!$E$7:$E$106,$C176,'事件與限制'!$M$7:$M$106,"暫停技能資格",'事件與限制'!$Q$7:$Q$106,"生效中")&gt;0,"資格暫停",IF($E176="未評估","未建立",_xlfn.XLOOKUP("ABIL|1029|COMMON-IOS",'主管核定中心'!$A$12:$A$372,'主管核定中心'!$K$12:$K$372,"待主管核定",0)))</x:f>
        <x:v>未建立</x:v>
      </x:c>
      <x:c r="G176" s="37" t="str">
        <x:v>初始能力基準</x:v>
      </x:c>
      <x:c r="H176" s="41" t="n">
        <x:v>46266</x:v>
      </x:c>
      <x:c r="I176" s="44" t="str">
        <x:f>_xlfn.XLOOKUP("ABIL|1029|COMMON-IOS",'主管核定中心'!$A$12:$A$372,'主管核定中心'!$I$12:$I$372,"",0)</x:f>
      </x:c>
      <x:c r="J176" s="46" t="str">
        <x:f>_xlfn.XLOOKUP("ABIL|1029|COMMON-IOS",'主管核定中心'!$A$12:$A$372,'主管核定中心'!$H$12:$H$372,"",0)</x:f>
      </x:c>
      <x:c r="K176" s="37" t="n">
        <x:v>45</x:v>
      </x:c>
      <x:c r="L176" s="37" t="str">
        <x:v>1029|COMMON-IOS</x:v>
      </x:c>
    </x:row>
    <x:row r="177">
      <x:c r="A177" s="37" t="str">
        <x:v>1030</x:v>
      </x:c>
      <x:c r="B177" s="37" t="str"/>
      <x:c r="C177" s="37" t="str">
        <x:v>LJT-PREP-SCALING</x:v>
      </x:c>
      <x:c r="D177" s="37" t="str">
        <x:v>洗牙</x:v>
      </x:c>
      <x:c r="E177" s="37" t="str">
        <x:f>IF(_xlfn.XLOOKUP("UPG|1030|LJT-PREP-SCALING",'能力升級候選'!$A$7:$A$258,'能力升級候選'!$R$7:$R$258,"",0)="已核定升級","◎",_xlfn.XLOOKUP("UPG|1030|LJT-PREP-SCALING",'能力升級候選'!$A$7:$A$258,'能力升級候選'!$E$7:$E$258,"未評估",0))</x:f>
        <x:v>未評估</x:v>
      </x:c>
      <x:c r="F177" s="37" t="str">
        <x:f>IF(COUNTIFS('事件與限制'!$C$7:$C$106,$A177,'事件與限制'!$E$7:$E$106,$C177,'事件與限制'!$M$7:$M$106,"暫停技能資格",'事件與限制'!$Q$7:$Q$106,"生效中")&gt;0,"資格暫停",IF($E177="未評估","未建立",_xlfn.XLOOKUP("ABIL|1030|LJT-PREP-SCALING",'主管核定中心'!$A$12:$A$372,'主管核定中心'!$K$12:$K$372,"待主管核定",0)))</x:f>
        <x:v>未建立</x:v>
      </x:c>
      <x:c r="G177" s="37" t="str">
        <x:v>初始能力基準</x:v>
      </x:c>
      <x:c r="H177" s="41" t="n">
        <x:v>46266</x:v>
      </x:c>
      <x:c r="I177" s="44" t="str">
        <x:f>_xlfn.XLOOKUP("ABIL|1030|LJT-PREP-SCALING",'主管核定中心'!$A$12:$A$372,'主管核定中心'!$I$12:$I$372,"",0)</x:f>
      </x:c>
      <x:c r="J177" s="46" t="str">
        <x:f>_xlfn.XLOOKUP("ABIL|1030|LJT-PREP-SCALING",'主管核定中心'!$A$12:$A$372,'主管核定中心'!$H$12:$H$372,"",0)</x:f>
      </x:c>
      <x:c r="K177" s="37" t="n">
        <x:v>28</x:v>
      </x:c>
      <x:c r="L177" s="37" t="str">
        <x:v>1030|LJT-PREP-SCALING</x:v>
      </x:c>
    </x:row>
    <x:row r="178">
      <x:c r="A178" s="37" t="str">
        <x:v>1030</x:v>
      </x:c>
      <x:c r="B178" s="37" t="str"/>
      <x:c r="C178" s="37" t="str">
        <x:v>LJT-PREP-FILLING</x:v>
      </x:c>
      <x:c r="D178" s="37" t="str">
        <x:v>補牙</x:v>
      </x:c>
      <x:c r="E178" s="37" t="str">
        <x:f>IF(_xlfn.XLOOKUP("UPG|1030|LJT-PREP-FILLING",'能力升級候選'!$A$7:$A$258,'能力升級候選'!$R$7:$R$258,"",0)="已核定升級","◎",_xlfn.XLOOKUP("UPG|1030|LJT-PREP-FILLING",'能力升級候選'!$A$7:$A$258,'能力升級候選'!$E$7:$E$258,"未評估",0))</x:f>
        <x:v>未評估</x:v>
      </x:c>
      <x:c r="F178" s="37" t="str">
        <x:f>IF(COUNTIFS('事件與限制'!$C$7:$C$106,$A178,'事件與限制'!$E$7:$E$106,$C178,'事件與限制'!$M$7:$M$106,"暫停技能資格",'事件與限制'!$Q$7:$Q$106,"生效中")&gt;0,"資格暫停",IF($E178="未評估","未建立",_xlfn.XLOOKUP("ABIL|1030|LJT-PREP-FILLING",'主管核定中心'!$A$12:$A$372,'主管核定中心'!$K$12:$K$372,"待主管核定",0)))</x:f>
        <x:v>未建立</x:v>
      </x:c>
      <x:c r="G178" s="37" t="str">
        <x:v>初始能力基準</x:v>
      </x:c>
      <x:c r="H178" s="41" t="n">
        <x:v>46266</x:v>
      </x:c>
      <x:c r="I178" s="44" t="str">
        <x:f>_xlfn.XLOOKUP("ABIL|1030|LJT-PREP-FILLING",'主管核定中心'!$A$12:$A$372,'主管核定中心'!$I$12:$I$372,"",0)</x:f>
      </x:c>
      <x:c r="J178" s="46" t="str">
        <x:f>_xlfn.XLOOKUP("ABIL|1030|LJT-PREP-FILLING",'主管核定中心'!$A$12:$A$372,'主管核定中心'!$H$12:$H$372,"",0)</x:f>
      </x:c>
      <x:c r="K178" s="37" t="n">
        <x:v>29</x:v>
      </x:c>
      <x:c r="L178" s="37" t="str">
        <x:v>1030|LJT-PREP-FILLING</x:v>
      </x:c>
    </x:row>
    <x:row r="179">
      <x:c r="A179" s="37" t="str">
        <x:v>1030</x:v>
      </x:c>
      <x:c r="B179" s="37" t="str"/>
      <x:c r="C179" s="37" t="str">
        <x:v>LJT-PREP-PERIO</x:v>
      </x:c>
      <x:c r="D179" s="37" t="str">
        <x:v>牙周統合</x:v>
      </x:c>
      <x:c r="E179" s="37" t="str">
        <x:f>IF(_xlfn.XLOOKUP("UPG|1030|LJT-PREP-PERIO",'能力升級候選'!$A$7:$A$258,'能力升級候選'!$R$7:$R$258,"",0)="已核定升級","◎",_xlfn.XLOOKUP("UPG|1030|LJT-PREP-PERIO",'能力升級候選'!$A$7:$A$258,'能力升級候選'!$E$7:$E$258,"未評估",0))</x:f>
        <x:v>未評估</x:v>
      </x:c>
      <x:c r="F179" s="37" t="str">
        <x:f>IF(COUNTIFS('事件與限制'!$C$7:$C$106,$A179,'事件與限制'!$E$7:$E$106,$C179,'事件與限制'!$M$7:$M$106,"暫停技能資格",'事件與限制'!$Q$7:$Q$106,"生效中")&gt;0,"資格暫停",IF($E179="未評估","未建立",_xlfn.XLOOKUP("ABIL|1030|LJT-PREP-PERIO",'主管核定中心'!$A$12:$A$372,'主管核定中心'!$K$12:$K$372,"待主管核定",0)))</x:f>
        <x:v>未建立</x:v>
      </x:c>
      <x:c r="G179" s="37" t="str">
        <x:v>初始能力基準</x:v>
      </x:c>
      <x:c r="H179" s="41" t="n">
        <x:v>46266</x:v>
      </x:c>
      <x:c r="I179" s="44" t="str">
        <x:f>_xlfn.XLOOKUP("ABIL|1030|LJT-PREP-PERIO",'主管核定中心'!$A$12:$A$372,'主管核定中心'!$I$12:$I$372,"",0)</x:f>
      </x:c>
      <x:c r="J179" s="46" t="str">
        <x:f>_xlfn.XLOOKUP("ABIL|1030|LJT-PREP-PERIO",'主管核定中心'!$A$12:$A$372,'主管核定中心'!$H$12:$H$372,"",0)</x:f>
      </x:c>
      <x:c r="K179" s="37" t="n">
        <x:v>30</x:v>
      </x:c>
      <x:c r="L179" s="37" t="str">
        <x:v>1030|LJT-PREP-PERIO</x:v>
      </x:c>
    </x:row>
    <x:row r="180">
      <x:c r="A180" s="37" t="str">
        <x:v>1030</x:v>
      </x:c>
      <x:c r="B180" s="37" t="str"/>
      <x:c r="C180" s="37" t="str">
        <x:v>LJT-PREP-RCT</x:v>
      </x:c>
      <x:c r="D180" s="37" t="str">
        <x:v>根管治療</x:v>
      </x:c>
      <x:c r="E180" s="37" t="str">
        <x:f>IF(_xlfn.XLOOKUP("UPG|1030|LJT-PREP-RCT",'能力升級候選'!$A$7:$A$258,'能力升級候選'!$R$7:$R$258,"",0)="已核定升級","◎",_xlfn.XLOOKUP("UPG|1030|LJT-PREP-RCT",'能力升級候選'!$A$7:$A$258,'能力升級候選'!$E$7:$E$258,"未評估",0))</x:f>
        <x:v>未評估</x:v>
      </x:c>
      <x:c r="F180" s="37" t="str">
        <x:f>IF(COUNTIFS('事件與限制'!$C$7:$C$106,$A180,'事件與限制'!$E$7:$E$106,$C180,'事件與限制'!$M$7:$M$106,"暫停技能資格",'事件與限制'!$Q$7:$Q$106,"生效中")&gt;0,"資格暫停",IF($E180="未評估","未建立",_xlfn.XLOOKUP("ABIL|1030|LJT-PREP-RCT",'主管核定中心'!$A$12:$A$372,'主管核定中心'!$K$12:$K$372,"待主管核定",0)))</x:f>
        <x:v>未建立</x:v>
      </x:c>
      <x:c r="G180" s="37" t="str">
        <x:v>初始能力基準</x:v>
      </x:c>
      <x:c r="H180" s="41" t="n">
        <x:v>46266</x:v>
      </x:c>
      <x:c r="I180" s="44" t="str">
        <x:f>_xlfn.XLOOKUP("ABIL|1030|LJT-PREP-RCT",'主管核定中心'!$A$12:$A$372,'主管核定中心'!$I$12:$I$372,"",0)</x:f>
      </x:c>
      <x:c r="J180" s="46" t="str">
        <x:f>_xlfn.XLOOKUP("ABIL|1030|LJT-PREP-RCT",'主管核定中心'!$A$12:$A$372,'主管核定中心'!$H$12:$H$372,"",0)</x:f>
      </x:c>
      <x:c r="K180" s="37" t="n">
        <x:v>31</x:v>
      </x:c>
      <x:c r="L180" s="37" t="str">
        <x:v>1030|LJT-PREP-RCT</x:v>
      </x:c>
    </x:row>
    <x:row r="181">
      <x:c r="A181" s="37" t="str">
        <x:v>1030</x:v>
      </x:c>
      <x:c r="B181" s="37" t="str"/>
      <x:c r="C181" s="37" t="str">
        <x:v>LJT-PREP-EXTRACTION</x:v>
      </x:c>
      <x:c r="D181" s="37" t="str">
        <x:v>拔牙</x:v>
      </x:c>
      <x:c r="E181" s="37" t="str">
        <x:f>IF(_xlfn.XLOOKUP("UPG|1030|LJT-PREP-EXTRACTION",'能力升級候選'!$A$7:$A$258,'能力升級候選'!$R$7:$R$258,"",0)="已核定升級","◎",_xlfn.XLOOKUP("UPG|1030|LJT-PREP-EXTRACTION",'能力升級候選'!$A$7:$A$258,'能力升級候選'!$E$7:$E$258,"未評估",0))</x:f>
        <x:v>未評估</x:v>
      </x:c>
      <x:c r="F181" s="37" t="str">
        <x:f>IF(COUNTIFS('事件與限制'!$C$7:$C$106,$A181,'事件與限制'!$E$7:$E$106,$C181,'事件與限制'!$M$7:$M$106,"暫停技能資格",'事件與限制'!$Q$7:$Q$106,"生效中")&gt;0,"資格暫停",IF($E181="未評估","未建立",_xlfn.XLOOKUP("ABIL|1030|LJT-PREP-EXTRACTION",'主管核定中心'!$A$12:$A$372,'主管核定中心'!$K$12:$K$372,"待主管核定",0)))</x:f>
        <x:v>未建立</x:v>
      </x:c>
      <x:c r="G181" s="37" t="str">
        <x:v>初始能力基準</x:v>
      </x:c>
      <x:c r="H181" s="41" t="n">
        <x:v>46266</x:v>
      </x:c>
      <x:c r="I181" s="44" t="str">
        <x:f>_xlfn.XLOOKUP("ABIL|1030|LJT-PREP-EXTRACTION",'主管核定中心'!$A$12:$A$372,'主管核定中心'!$I$12:$I$372,"",0)</x:f>
      </x:c>
      <x:c r="J181" s="46" t="str">
        <x:f>_xlfn.XLOOKUP("ABIL|1030|LJT-PREP-EXTRACTION",'主管核定中心'!$A$12:$A$372,'主管核定中心'!$H$12:$H$372,"",0)</x:f>
      </x:c>
      <x:c r="K181" s="37" t="n">
        <x:v>32</x:v>
      </x:c>
      <x:c r="L181" s="37" t="str">
        <x:v>1030|LJT-PREP-EXTRACTION</x:v>
      </x:c>
    </x:row>
    <x:row r="182">
      <x:c r="A182" s="37" t="str">
        <x:v>1030</x:v>
      </x:c>
      <x:c r="B182" s="37" t="str"/>
      <x:c r="C182" s="37" t="str">
        <x:v>LJT-PREP-CROWNPOST</x:v>
      </x:c>
      <x:c r="D182" s="37" t="str">
        <x:v>拆 crown/post</x:v>
      </x:c>
      <x:c r="E182" s="37" t="str">
        <x:f>IF(_xlfn.XLOOKUP("UPG|1030|LJT-PREP-CROWNPOST",'能力升級候選'!$A$7:$A$258,'能力升級候選'!$R$7:$R$258,"",0)="已核定升級","◎",_xlfn.XLOOKUP("UPG|1030|LJT-PREP-CROWNPOST",'能力升級候選'!$A$7:$A$258,'能力升級候選'!$E$7:$E$258,"未評估",0))</x:f>
        <x:v>未評估</x:v>
      </x:c>
      <x:c r="F182" s="37" t="str">
        <x:f>IF(COUNTIFS('事件與限制'!$C$7:$C$106,$A182,'事件與限制'!$E$7:$E$106,$C182,'事件與限制'!$M$7:$M$106,"暫停技能資格",'事件與限制'!$Q$7:$Q$106,"生效中")&gt;0,"資格暫停",IF($E182="未評估","未建立",_xlfn.XLOOKUP("ABIL|1030|LJT-PREP-CROWNPOST",'主管核定中心'!$A$12:$A$372,'主管核定中心'!$K$12:$K$372,"待主管核定",0)))</x:f>
        <x:v>未建立</x:v>
      </x:c>
      <x:c r="G182" s="37" t="str">
        <x:v>初始能力基準</x:v>
      </x:c>
      <x:c r="H182" s="41" t="n">
        <x:v>46266</x:v>
      </x:c>
      <x:c r="I182" s="44" t="str">
        <x:f>_xlfn.XLOOKUP("ABIL|1030|LJT-PREP-CROWNPOST",'主管核定中心'!$A$12:$A$372,'主管核定中心'!$I$12:$I$372,"",0)</x:f>
      </x:c>
      <x:c r="J182" s="46" t="str">
        <x:f>_xlfn.XLOOKUP("ABIL|1030|LJT-PREP-CROWNPOST",'主管核定中心'!$A$12:$A$372,'主管核定中心'!$H$12:$H$372,"",0)</x:f>
      </x:c>
      <x:c r="K182" s="37" t="n">
        <x:v>33</x:v>
      </x:c>
      <x:c r="L182" s="37" t="str">
        <x:v>1030|LJT-PREP-CROWNPOST</x:v>
      </x:c>
    </x:row>
    <x:row r="183">
      <x:c r="A183" s="37" t="str">
        <x:v>1030</x:v>
      </x:c>
      <x:c r="B183" s="37" t="str"/>
      <x:c r="C183" s="37" t="str">
        <x:v>LJT-PREP-CROWN</x:v>
      </x:c>
      <x:c r="D183" s="37" t="str">
        <x:v>固定假牙</x:v>
      </x:c>
      <x:c r="E183" s="37" t="str">
        <x:f>IF(_xlfn.XLOOKUP("UPG|1030|LJT-PREP-CROWN",'能力升級候選'!$A$7:$A$258,'能力升級候選'!$R$7:$R$258,"",0)="已核定升級","◎",_xlfn.XLOOKUP("UPG|1030|LJT-PREP-CROWN",'能力升級候選'!$A$7:$A$258,'能力升級候選'!$E$7:$E$258,"未評估",0))</x:f>
        <x:v>未評估</x:v>
      </x:c>
      <x:c r="F183" s="37" t="str">
        <x:f>IF(COUNTIFS('事件與限制'!$C$7:$C$106,$A183,'事件與限制'!$E$7:$E$106,$C183,'事件與限制'!$M$7:$M$106,"暫停技能資格",'事件與限制'!$Q$7:$Q$106,"生效中")&gt;0,"資格暫停",IF($E183="未評估","未建立",_xlfn.XLOOKUP("ABIL|1030|LJT-PREP-CROWN",'主管核定中心'!$A$12:$A$372,'主管核定中心'!$K$12:$K$372,"待主管核定",0)))</x:f>
        <x:v>未建立</x:v>
      </x:c>
      <x:c r="G183" s="37" t="str">
        <x:v>初始能力基準</x:v>
      </x:c>
      <x:c r="H183" s="41" t="n">
        <x:v>46266</x:v>
      </x:c>
      <x:c r="I183" s="44" t="str">
        <x:f>_xlfn.XLOOKUP("ABIL|1030|LJT-PREP-CROWN",'主管核定中心'!$A$12:$A$372,'主管核定中心'!$I$12:$I$372,"",0)</x:f>
      </x:c>
      <x:c r="J183" s="46" t="str">
        <x:f>_xlfn.XLOOKUP("ABIL|1030|LJT-PREP-CROWN",'主管核定中心'!$A$12:$A$372,'主管核定中心'!$H$12:$H$372,"",0)</x:f>
      </x:c>
      <x:c r="K183" s="37" t="n">
        <x:v>34</x:v>
      </x:c>
      <x:c r="L183" s="37" t="str">
        <x:v>1030|LJT-PREP-CROWN</x:v>
      </x:c>
    </x:row>
    <x:row r="184">
      <x:c r="A184" s="37" t="str">
        <x:v>1030</x:v>
      </x:c>
      <x:c r="B184" s="37" t="str"/>
      <x:c r="C184" s="37" t="str">
        <x:v>LJT-PREP-RPD</x:v>
      </x:c>
      <x:c r="D184" s="37" t="str">
        <x:v>RPD</x:v>
      </x:c>
      <x:c r="E184" s="37" t="str">
        <x:f>IF(_xlfn.XLOOKUP("UPG|1030|LJT-PREP-RPD",'能力升級候選'!$A$7:$A$258,'能力升級候選'!$R$7:$R$258,"",0)="已核定升級","◎",_xlfn.XLOOKUP("UPG|1030|LJT-PREP-RPD",'能力升級候選'!$A$7:$A$258,'能力升級候選'!$E$7:$E$258,"未評估",0))</x:f>
        <x:v>未評估</x:v>
      </x:c>
      <x:c r="F184" s="37" t="str">
        <x:f>IF(COUNTIFS('事件與限制'!$C$7:$C$106,$A184,'事件與限制'!$E$7:$E$106,$C184,'事件與限制'!$M$7:$M$106,"暫停技能資格",'事件與限制'!$Q$7:$Q$106,"生效中")&gt;0,"資格暫停",IF($E184="未評估","未建立",_xlfn.XLOOKUP("ABIL|1030|LJT-PREP-RPD",'主管核定中心'!$A$12:$A$372,'主管核定中心'!$K$12:$K$372,"待主管核定",0)))</x:f>
        <x:v>未建立</x:v>
      </x:c>
      <x:c r="G184" s="37" t="str">
        <x:v>初始能力基準</x:v>
      </x:c>
      <x:c r="H184" s="41" t="n">
        <x:v>46266</x:v>
      </x:c>
      <x:c r="I184" s="44" t="str">
        <x:f>_xlfn.XLOOKUP("ABIL|1030|LJT-PREP-RPD",'主管核定中心'!$A$12:$A$372,'主管核定中心'!$I$12:$I$372,"",0)</x:f>
      </x:c>
      <x:c r="J184" s="46" t="str">
        <x:f>_xlfn.XLOOKUP("ABIL|1030|LJT-PREP-RPD",'主管核定中心'!$A$12:$A$372,'主管核定中心'!$H$12:$H$372,"",0)</x:f>
      </x:c>
      <x:c r="K184" s="37" t="n">
        <x:v>35</x:v>
      </x:c>
      <x:c r="L184" s="37" t="str">
        <x:v>1030|LJT-PREP-RPD</x:v>
      </x:c>
    </x:row>
    <x:row r="185">
      <x:c r="A185" s="37" t="str">
        <x:v>1030</x:v>
      </x:c>
      <x:c r="B185" s="37" t="str"/>
      <x:c r="C185" s="37" t="str">
        <x:v>LJT-PREP-AIRPOLISH</x:v>
      </x:c>
      <x:c r="D185" s="37" t="str">
        <x:v>噴砂美白</x:v>
      </x:c>
      <x:c r="E185" s="37" t="str">
        <x:f>IF(_xlfn.XLOOKUP("UPG|1030|LJT-PREP-AIRPOLISH",'能力升級候選'!$A$7:$A$258,'能力升級候選'!$R$7:$R$258,"",0)="已核定升級","◎",_xlfn.XLOOKUP("UPG|1030|LJT-PREP-AIRPOLISH",'能力升級候選'!$A$7:$A$258,'能力升級候選'!$E$7:$E$258,"未評估",0))</x:f>
        <x:v>未評估</x:v>
      </x:c>
      <x:c r="F185" s="37" t="str">
        <x:f>IF(COUNTIFS('事件與限制'!$C$7:$C$106,$A185,'事件與限制'!$E$7:$E$106,$C185,'事件與限制'!$M$7:$M$106,"暫停技能資格",'事件與限制'!$Q$7:$Q$106,"生效中")&gt;0,"資格暫停",IF($E185="未評估","未建立",_xlfn.XLOOKUP("ABIL|1030|LJT-PREP-AIRPOLISH",'主管核定中心'!$A$12:$A$372,'主管核定中心'!$K$12:$K$372,"待主管核定",0)))</x:f>
        <x:v>未建立</x:v>
      </x:c>
      <x:c r="G185" s="37" t="str">
        <x:v>初始能力基準</x:v>
      </x:c>
      <x:c r="H185" s="41" t="n">
        <x:v>46266</x:v>
      </x:c>
      <x:c r="I185" s="44" t="str">
        <x:f>_xlfn.XLOOKUP("ABIL|1030|LJT-PREP-AIRPOLISH",'主管核定中心'!$A$12:$A$372,'主管核定中心'!$I$12:$I$372,"",0)</x:f>
      </x:c>
      <x:c r="J185" s="46" t="str">
        <x:f>_xlfn.XLOOKUP("ABIL|1030|LJT-PREP-AIRPOLISH",'主管核定中心'!$A$12:$A$372,'主管核定中心'!$H$12:$H$372,"",0)</x:f>
      </x:c>
      <x:c r="K185" s="37" t="n">
        <x:v>36</x:v>
      </x:c>
      <x:c r="L185" s="37" t="str">
        <x:v>1030|LJT-PREP-AIRPOLISH</x:v>
      </x:c>
    </x:row>
    <x:row r="186">
      <x:c r="A186" s="37" t="str">
        <x:v>1030</x:v>
      </x:c>
      <x:c r="B186" s="37" t="str"/>
      <x:c r="C186" s="37" t="str">
        <x:v>LJT-PREP-PERIOSURG</x:v>
      </x:c>
      <x:c r="D186" s="37" t="str">
        <x:v>牙周手術</x:v>
      </x:c>
      <x:c r="E186" s="37" t="str">
        <x:f>IF(_xlfn.XLOOKUP("UPG|1030|LJT-PREP-PERIOSURG",'能力升級候選'!$A$7:$A$258,'能力升級候選'!$R$7:$R$258,"",0)="已核定升級","◎",_xlfn.XLOOKUP("UPG|1030|LJT-PREP-PERIOSURG",'能力升級候選'!$A$7:$A$258,'能力升級候選'!$E$7:$E$258,"未評估",0))</x:f>
        <x:v>未評估</x:v>
      </x:c>
      <x:c r="F186" s="37" t="str">
        <x:f>IF(COUNTIFS('事件與限制'!$C$7:$C$106,$A186,'事件與限制'!$E$7:$E$106,$C186,'事件與限制'!$M$7:$M$106,"暫停技能資格",'事件與限制'!$Q$7:$Q$106,"生效中")&gt;0,"資格暫停",IF($E186="未評估","未建立",_xlfn.XLOOKUP("ABIL|1030|LJT-PREP-PERIOSURG",'主管核定中心'!$A$12:$A$372,'主管核定中心'!$K$12:$K$372,"待主管核定",0)))</x:f>
        <x:v>未建立</x:v>
      </x:c>
      <x:c r="G186" s="37" t="str">
        <x:v>初始能力基準</x:v>
      </x:c>
      <x:c r="H186" s="41" t="n">
        <x:v>46266</x:v>
      </x:c>
      <x:c r="I186" s="44" t="str">
        <x:f>_xlfn.XLOOKUP("ABIL|1030|LJT-PREP-PERIOSURG",'主管核定中心'!$A$12:$A$372,'主管核定中心'!$I$12:$I$372,"",0)</x:f>
      </x:c>
      <x:c r="J186" s="46" t="str">
        <x:f>_xlfn.XLOOKUP("ABIL|1030|LJT-PREP-PERIOSURG",'主管核定中心'!$A$12:$A$372,'主管核定中心'!$H$12:$H$372,"",0)</x:f>
      </x:c>
      <x:c r="K186" s="37" t="n">
        <x:v>37</x:v>
      </x:c>
      <x:c r="L186" s="37" t="str">
        <x:v>1030|LJT-PREP-PERIOSURG</x:v>
      </x:c>
    </x:row>
    <x:row r="187">
      <x:c r="A187" s="37" t="str">
        <x:v>1030</x:v>
      </x:c>
      <x:c r="B187" s="37" t="str"/>
      <x:c r="C187" s="37" t="str">
        <x:v>LJT-PREP-MICROENDO</x:v>
      </x:c>
      <x:c r="D187" s="37" t="str">
        <x:v>顯微根管</x:v>
      </x:c>
      <x:c r="E187" s="37" t="str">
        <x:f>IF(_xlfn.XLOOKUP("UPG|1030|LJT-PREP-MICROENDO",'能力升級候選'!$A$7:$A$258,'能力升級候選'!$R$7:$R$258,"",0)="已核定升級","◎",_xlfn.XLOOKUP("UPG|1030|LJT-PREP-MICROENDO",'能力升級候選'!$A$7:$A$258,'能力升級候選'!$E$7:$E$258,"未評估",0))</x:f>
        <x:v>未評估</x:v>
      </x:c>
      <x:c r="F187" s="37" t="str">
        <x:f>IF(COUNTIFS('事件與限制'!$C$7:$C$106,$A187,'事件與限制'!$E$7:$E$106,$C187,'事件與限制'!$M$7:$M$106,"暫停技能資格",'事件與限制'!$Q$7:$Q$106,"生效中")&gt;0,"資格暫停",IF($E187="未評估","未建立",_xlfn.XLOOKUP("ABIL|1030|LJT-PREP-MICROENDO",'主管核定中心'!$A$12:$A$372,'主管核定中心'!$K$12:$K$372,"待主管核定",0)))</x:f>
        <x:v>未建立</x:v>
      </x:c>
      <x:c r="G187" s="37" t="str">
        <x:v>初始能力基準</x:v>
      </x:c>
      <x:c r="H187" s="41" t="n">
        <x:v>46266</x:v>
      </x:c>
      <x:c r="I187" s="44" t="str">
        <x:f>_xlfn.XLOOKUP("ABIL|1030|LJT-PREP-MICROENDO",'主管核定中心'!$A$12:$A$372,'主管核定中心'!$I$12:$I$372,"",0)</x:f>
      </x:c>
      <x:c r="J187" s="46" t="str">
        <x:f>_xlfn.XLOOKUP("ABIL|1030|LJT-PREP-MICROENDO",'主管核定中心'!$A$12:$A$372,'主管核定中心'!$H$12:$H$372,"",0)</x:f>
      </x:c>
      <x:c r="K187" s="37" t="n">
        <x:v>38</x:v>
      </x:c>
      <x:c r="L187" s="37" t="str">
        <x:v>1030|LJT-PREP-MICROENDO</x:v>
      </x:c>
    </x:row>
    <x:row r="188">
      <x:c r="A188" s="37" t="str">
        <x:v>1030</x:v>
      </x:c>
      <x:c r="B188" s="37" t="str"/>
      <x:c r="C188" s="37" t="str">
        <x:v>LJT-PREP-IMPLANT</x:v>
      </x:c>
      <x:c r="D188" s="37" t="str">
        <x:v>植 牙</x:v>
      </x:c>
      <x:c r="E188" s="37" t="str">
        <x:f>IF(_xlfn.XLOOKUP("UPG|1030|LJT-PREP-IMPLANT",'能力升級候選'!$A$7:$A$258,'能力升級候選'!$R$7:$R$258,"",0)="已核定升級","◎",_xlfn.XLOOKUP("UPG|1030|LJT-PREP-IMPLANT",'能力升級候選'!$A$7:$A$258,'能力升級候選'!$E$7:$E$258,"未評估",0))</x:f>
        <x:v>未評估</x:v>
      </x:c>
      <x:c r="F188" s="37" t="str">
        <x:f>IF(COUNTIFS('事件與限制'!$C$7:$C$106,$A188,'事件與限制'!$E$7:$E$106,$C188,'事件與限制'!$M$7:$M$106,"暫停技能資格",'事件與限制'!$Q$7:$Q$106,"生效中")&gt;0,"資格暫停",IF($E188="未評估","未建立",_xlfn.XLOOKUP("ABIL|1030|LJT-PREP-IMPLANT",'主管核定中心'!$A$12:$A$372,'主管核定中心'!$K$12:$K$372,"待主管核定",0)))</x:f>
        <x:v>未建立</x:v>
      </x:c>
      <x:c r="G188" s="37" t="str">
        <x:v>初始能力基準</x:v>
      </x:c>
      <x:c r="H188" s="41" t="n">
        <x:v>46266</x:v>
      </x:c>
      <x:c r="I188" s="44" t="str">
        <x:f>_xlfn.XLOOKUP("ABIL|1030|LJT-PREP-IMPLANT",'主管核定中心'!$A$12:$A$372,'主管核定中心'!$I$12:$I$372,"",0)</x:f>
      </x:c>
      <x:c r="J188" s="46" t="str">
        <x:f>_xlfn.XLOOKUP("ABIL|1030|LJT-PREP-IMPLANT",'主管核定中心'!$A$12:$A$372,'主管核定中心'!$H$12:$H$372,"",0)</x:f>
      </x:c>
      <x:c r="K188" s="37" t="n">
        <x:v>39</x:v>
      </x:c>
      <x:c r="L188" s="37" t="str">
        <x:v>1030|LJT-PREP-IMPLANT</x:v>
      </x:c>
    </x:row>
    <x:row r="189">
      <x:c r="A189" s="37" t="str">
        <x:v>1030</x:v>
      </x:c>
      <x:c r="B189" s="37" t="str"/>
      <x:c r="C189" s="37" t="str">
        <x:v>COMMON-RECORD</x:v>
      </x:c>
      <x:c r="D189" s="37" t="str">
        <x:v>病歷紀錄</x:v>
      </x:c>
      <x:c r="E189" s="37" t="str">
        <x:f>IF(_xlfn.XLOOKUP("UPG|1030|COMMON-RECORD",'能力升級候選'!$A$7:$A$258,'能力升級候選'!$R$7:$R$258,"",0)="已核定升級","◎",_xlfn.XLOOKUP("UPG|1030|COMMON-RECORD",'能力升級候選'!$A$7:$A$258,'能力升級候選'!$E$7:$E$258,"未評估",0))</x:f>
        <x:v>未評估</x:v>
      </x:c>
      <x:c r="F189" s="37" t="str">
        <x:f>IF(COUNTIFS('事件與限制'!$C$7:$C$106,$A189,'事件與限制'!$E$7:$E$106,$C189,'事件與限制'!$M$7:$M$106,"暫停技能資格",'事件與限制'!$Q$7:$Q$106,"生效中")&gt;0,"資格暫停",IF($E189="未評估","未建立",_xlfn.XLOOKUP("ABIL|1030|COMMON-RECORD",'主管核定中心'!$A$12:$A$372,'主管核定中心'!$K$12:$K$372,"待主管核定",0)))</x:f>
        <x:v>未建立</x:v>
      </x:c>
      <x:c r="G189" s="37" t="str">
        <x:v>初始能力基準</x:v>
      </x:c>
      <x:c r="H189" s="41" t="n">
        <x:v>46266</x:v>
      </x:c>
      <x:c r="I189" s="44" t="str">
        <x:f>_xlfn.XLOOKUP("ABIL|1030|COMMON-RECORD",'主管核定中心'!$A$12:$A$372,'主管核定中心'!$I$12:$I$372,"",0)</x:f>
      </x:c>
      <x:c r="J189" s="46" t="str">
        <x:f>_xlfn.XLOOKUP("ABIL|1030|COMMON-RECORD",'主管核定中心'!$A$12:$A$372,'主管核定中心'!$H$12:$H$372,"",0)</x:f>
      </x:c>
      <x:c r="K189" s="37" t="n">
        <x:v>41</x:v>
      </x:c>
      <x:c r="L189" s="37" t="str">
        <x:v>1030|COMMON-RECORD</x:v>
      </x:c>
    </x:row>
    <x:row r="190">
      <x:c r="A190" s="37" t="str">
        <x:v>1030</x:v>
      </x:c>
      <x:c r="B190" s="37" t="str"/>
      <x:c r="C190" s="37" t="str">
        <x:v>COMMON-INSURANCE</x:v>
      </x:c>
      <x:c r="D190" s="37" t="str">
        <x:v>健保申報</x:v>
      </x:c>
      <x:c r="E190" s="37" t="str">
        <x:f>IF(_xlfn.XLOOKUP("UPG|1030|COMMON-INSURANCE",'能力升級候選'!$A$7:$A$258,'能力升級候選'!$R$7:$R$258,"",0)="已核定升級","◎",_xlfn.XLOOKUP("UPG|1030|COMMON-INSURANCE",'能力升級候選'!$A$7:$A$258,'能力升級候選'!$E$7:$E$258,"未評估",0))</x:f>
        <x:v>未評估</x:v>
      </x:c>
      <x:c r="F190" s="37" t="str">
        <x:f>IF(COUNTIFS('事件與限制'!$C$7:$C$106,$A190,'事件與限制'!$E$7:$E$106,$C190,'事件與限制'!$M$7:$M$106,"暫停技能資格",'事件與限制'!$Q$7:$Q$106,"生效中")&gt;0,"資格暫停",IF($E190="未評估","未建立",_xlfn.XLOOKUP("ABIL|1030|COMMON-INSURANCE",'主管核定中心'!$A$12:$A$372,'主管核定中心'!$K$12:$K$372,"待主管核定",0)))</x:f>
        <x:v>未建立</x:v>
      </x:c>
      <x:c r="G190" s="37" t="str">
        <x:v>初始能力基準</x:v>
      </x:c>
      <x:c r="H190" s="41" t="n">
        <x:v>46266</x:v>
      </x:c>
      <x:c r="I190" s="44" t="str">
        <x:f>_xlfn.XLOOKUP("ABIL|1030|COMMON-INSURANCE",'主管核定中心'!$A$12:$A$372,'主管核定中心'!$I$12:$I$372,"",0)</x:f>
      </x:c>
      <x:c r="J190" s="46" t="str">
        <x:f>_xlfn.XLOOKUP("ABIL|1030|COMMON-INSURANCE",'主管核定中心'!$A$12:$A$372,'主管核定中心'!$H$12:$H$372,"",0)</x:f>
      </x:c>
      <x:c r="K190" s="37" t="n">
        <x:v>42</x:v>
      </x:c>
      <x:c r="L190" s="37" t="str">
        <x:v>1030|COMMON-INSURANCE</x:v>
      </x:c>
    </x:row>
    <x:row r="191">
      <x:c r="A191" s="37" t="str">
        <x:v>1030</x:v>
      </x:c>
      <x:c r="B191" s="37" t="str"/>
      <x:c r="C191" s="37" t="str">
        <x:v>COMMON-XRAY-RECORD</x:v>
      </x:c>
      <x:c r="D191" s="37" t="str">
        <x:v>X光片紀錄</x:v>
      </x:c>
      <x:c r="E191" s="37" t="str">
        <x:f>IF(_xlfn.XLOOKUP("UPG|1030|COMMON-XRAY-RECORD",'能力升級候選'!$A$7:$A$258,'能力升級候選'!$R$7:$R$258,"",0)="已核定升級","◎",_xlfn.XLOOKUP("UPG|1030|COMMON-XRAY-RECORD",'能力升級候選'!$A$7:$A$258,'能力升級候選'!$E$7:$E$258,"未評估",0))</x:f>
        <x:v>未評估</x:v>
      </x:c>
      <x:c r="F191" s="37" t="str">
        <x:f>IF(COUNTIFS('事件與限制'!$C$7:$C$106,$A191,'事件與限制'!$E$7:$E$106,$C191,'事件與限制'!$M$7:$M$106,"暫停技能資格",'事件與限制'!$Q$7:$Q$106,"生效中")&gt;0,"資格暫停",IF($E191="未評估","未建立",_xlfn.XLOOKUP("ABIL|1030|COMMON-XRAY-RECORD",'主管核定中心'!$A$12:$A$372,'主管核定中心'!$K$12:$K$372,"待主管核定",0)))</x:f>
        <x:v>未建立</x:v>
      </x:c>
      <x:c r="G191" s="37" t="str">
        <x:v>初始能力基準</x:v>
      </x:c>
      <x:c r="H191" s="41" t="n">
        <x:v>46266</x:v>
      </x:c>
      <x:c r="I191" s="44" t="str">
        <x:f>_xlfn.XLOOKUP("ABIL|1030|COMMON-XRAY-RECORD",'主管核定中心'!$A$12:$A$372,'主管核定中心'!$I$12:$I$372,"",0)</x:f>
      </x:c>
      <x:c r="J191" s="46" t="str">
        <x:f>_xlfn.XLOOKUP("ABIL|1030|COMMON-XRAY-RECORD",'主管核定中心'!$A$12:$A$372,'主管核定中心'!$H$12:$H$372,"",0)</x:f>
      </x:c>
      <x:c r="K191" s="37" t="n">
        <x:v>43</x:v>
      </x:c>
      <x:c r="L191" s="37" t="str">
        <x:v>1030|COMMON-XRAY-RECORD</x:v>
      </x:c>
    </x:row>
    <x:row r="192">
      <x:c r="A192" s="37" t="str">
        <x:v>1030</x:v>
      </x:c>
      <x:c r="B192" s="37" t="str"/>
      <x:c r="C192" s="37" t="str">
        <x:v>COMMON-PA</x:v>
      </x:c>
      <x:c r="D192" s="37" t="str">
        <x:v>拍PA</x:v>
      </x:c>
      <x:c r="E192" s="37" t="str">
        <x:f>IF(_xlfn.XLOOKUP("UPG|1030|COMMON-PA",'能力升級候選'!$A$7:$A$258,'能力升級候選'!$R$7:$R$258,"",0)="已核定升級","◎",_xlfn.XLOOKUP("UPG|1030|COMMON-PA",'能力升級候選'!$A$7:$A$258,'能力升級候選'!$E$7:$E$258,"未評估",0))</x:f>
        <x:v>未評估</x:v>
      </x:c>
      <x:c r="F192" s="37" t="str">
        <x:f>IF(COUNTIFS('事件與限制'!$C$7:$C$106,$A192,'事件與限制'!$E$7:$E$106,$C192,'事件與限制'!$M$7:$M$106,"暫停技能資格",'事件與限制'!$Q$7:$Q$106,"生效中")&gt;0,"資格暫停",IF($E192="未評估","未建立",_xlfn.XLOOKUP("ABIL|1030|COMMON-PA",'主管核定中心'!$A$12:$A$372,'主管核定中心'!$K$12:$K$372,"待主管核定",0)))</x:f>
        <x:v>未建立</x:v>
      </x:c>
      <x:c r="G192" s="37" t="str">
        <x:v>初始能力基準</x:v>
      </x:c>
      <x:c r="H192" s="41" t="n">
        <x:v>46266</x:v>
      </x:c>
      <x:c r="I192" s="44" t="str">
        <x:f>_xlfn.XLOOKUP("ABIL|1030|COMMON-PA",'主管核定中心'!$A$12:$A$372,'主管核定中心'!$I$12:$I$372,"",0)</x:f>
      </x:c>
      <x:c r="J192" s="46" t="str">
        <x:f>_xlfn.XLOOKUP("ABIL|1030|COMMON-PA",'主管核定中心'!$A$12:$A$372,'主管核定中心'!$H$12:$H$372,"",0)</x:f>
      </x:c>
      <x:c r="K192" s="37" t="n">
        <x:v>44</x:v>
      </x:c>
      <x:c r="L192" s="37" t="str">
        <x:v>1030|COMMON-PA</x:v>
      </x:c>
    </x:row>
    <x:row r="193">
      <x:c r="A193" s="37" t="str">
        <x:v>1030</x:v>
      </x:c>
      <x:c r="B193" s="37" t="str"/>
      <x:c r="C193" s="37" t="str">
        <x:v>COMMON-IOS</x:v>
      </x:c>
      <x:c r="D193" s="37" t="str">
        <x:v>口掃機運用</x:v>
      </x:c>
      <x:c r="E193" s="37" t="str">
        <x:f>IF(_xlfn.XLOOKUP("UPG|1030|COMMON-IOS",'能力升級候選'!$A$7:$A$258,'能力升級候選'!$R$7:$R$258,"",0)="已核定升級","◎",_xlfn.XLOOKUP("UPG|1030|COMMON-IOS",'能力升級候選'!$A$7:$A$258,'能力升級候選'!$E$7:$E$258,"未評估",0))</x:f>
        <x:v>未評估</x:v>
      </x:c>
      <x:c r="F193" s="37" t="str">
        <x:f>IF(COUNTIFS('事件與限制'!$C$7:$C$106,$A193,'事件與限制'!$E$7:$E$106,$C193,'事件與限制'!$M$7:$M$106,"暫停技能資格",'事件與限制'!$Q$7:$Q$106,"生效中")&gt;0,"資格暫停",IF($E193="未評估","未建立",_xlfn.XLOOKUP("ABIL|1030|COMMON-IOS",'主管核定中心'!$A$12:$A$372,'主管核定中心'!$K$12:$K$372,"待主管核定",0)))</x:f>
        <x:v>未建立</x:v>
      </x:c>
      <x:c r="G193" s="37" t="str">
        <x:v>初始能力基準</x:v>
      </x:c>
      <x:c r="H193" s="41" t="n">
        <x:v>46266</x:v>
      </x:c>
      <x:c r="I193" s="44" t="str">
        <x:f>_xlfn.XLOOKUP("ABIL|1030|COMMON-IOS",'主管核定中心'!$A$12:$A$372,'主管核定中心'!$I$12:$I$372,"",0)</x:f>
      </x:c>
      <x:c r="J193" s="46" t="str">
        <x:f>_xlfn.XLOOKUP("ABIL|1030|COMMON-IOS",'主管核定中心'!$A$12:$A$372,'主管核定中心'!$H$12:$H$372,"",0)</x:f>
      </x:c>
      <x:c r="K193" s="37" t="n">
        <x:v>45</x:v>
      </x:c>
      <x:c r="L193" s="37" t="str">
        <x:v>1030|COMMON-IOS</x:v>
      </x:c>
    </x:row>
    <x:row r="194">
      <x:c r="A194" s="37" t="str">
        <x:v>1031</x:v>
      </x:c>
      <x:c r="B194" s="37" t="str"/>
      <x:c r="C194" s="37" t="str">
        <x:v>LJT-PREP-SCALING</x:v>
      </x:c>
      <x:c r="D194" s="37" t="str">
        <x:v>洗牙</x:v>
      </x:c>
      <x:c r="E194" s="37" t="str">
        <x:f>IF(_xlfn.XLOOKUP("UPG|1031|LJT-PREP-SCALING",'能力升級候選'!$A$7:$A$258,'能力升級候選'!$R$7:$R$258,"",0)="已核定升級","◎",_xlfn.XLOOKUP("UPG|1031|LJT-PREP-SCALING",'能力升級候選'!$A$7:$A$258,'能力升級候選'!$E$7:$E$258,"未評估",0))</x:f>
        <x:v>未評估</x:v>
      </x:c>
      <x:c r="F194" s="37" t="str">
        <x:f>IF(COUNTIFS('事件與限制'!$C$7:$C$106,$A194,'事件與限制'!$E$7:$E$106,$C194,'事件與限制'!$M$7:$M$106,"暫停技能資格",'事件與限制'!$Q$7:$Q$106,"生效中")&gt;0,"資格暫停",IF($E194="未評估","未建立",_xlfn.XLOOKUP("ABIL|1031|LJT-PREP-SCALING",'主管核定中心'!$A$12:$A$372,'主管核定中心'!$K$12:$K$372,"待主管核定",0)))</x:f>
        <x:v>未建立</x:v>
      </x:c>
      <x:c r="G194" s="37" t="str">
        <x:v>初始能力基準</x:v>
      </x:c>
      <x:c r="H194" s="41" t="n">
        <x:v>46266</x:v>
      </x:c>
      <x:c r="I194" s="44" t="str">
        <x:f>_xlfn.XLOOKUP("ABIL|1031|LJT-PREP-SCALING",'主管核定中心'!$A$12:$A$372,'主管核定中心'!$I$12:$I$372,"",0)</x:f>
      </x:c>
      <x:c r="J194" s="46" t="str">
        <x:f>_xlfn.XLOOKUP("ABIL|1031|LJT-PREP-SCALING",'主管核定中心'!$A$12:$A$372,'主管核定中心'!$H$12:$H$372,"",0)</x:f>
      </x:c>
      <x:c r="K194" s="37" t="n">
        <x:v>28</x:v>
      </x:c>
      <x:c r="L194" s="37" t="str">
        <x:v>1031|LJT-PREP-SCALING</x:v>
      </x:c>
    </x:row>
    <x:row r="195">
      <x:c r="A195" s="37" t="str">
        <x:v>1031</x:v>
      </x:c>
      <x:c r="B195" s="37" t="str"/>
      <x:c r="C195" s="37" t="str">
        <x:v>LJT-PREP-FILLING</x:v>
      </x:c>
      <x:c r="D195" s="37" t="str">
        <x:v>補牙</x:v>
      </x:c>
      <x:c r="E195" s="37" t="str">
        <x:f>IF(_xlfn.XLOOKUP("UPG|1031|LJT-PREP-FILLING",'能力升級候選'!$A$7:$A$258,'能力升級候選'!$R$7:$R$258,"",0)="已核定升級","◎",_xlfn.XLOOKUP("UPG|1031|LJT-PREP-FILLING",'能力升級候選'!$A$7:$A$258,'能力升級候選'!$E$7:$E$258,"未評估",0))</x:f>
        <x:v>未評估</x:v>
      </x:c>
      <x:c r="F195" s="37" t="str">
        <x:f>IF(COUNTIFS('事件與限制'!$C$7:$C$106,$A195,'事件與限制'!$E$7:$E$106,$C195,'事件與限制'!$M$7:$M$106,"暫停技能資格",'事件與限制'!$Q$7:$Q$106,"生效中")&gt;0,"資格暫停",IF($E195="未評估","未建立",_xlfn.XLOOKUP("ABIL|1031|LJT-PREP-FILLING",'主管核定中心'!$A$12:$A$372,'主管核定中心'!$K$12:$K$372,"待主管核定",0)))</x:f>
        <x:v>未建立</x:v>
      </x:c>
      <x:c r="G195" s="37" t="str">
        <x:v>初始能力基準</x:v>
      </x:c>
      <x:c r="H195" s="41" t="n">
        <x:v>46266</x:v>
      </x:c>
      <x:c r="I195" s="44" t="str">
        <x:f>_xlfn.XLOOKUP("ABIL|1031|LJT-PREP-FILLING",'主管核定中心'!$A$12:$A$372,'主管核定中心'!$I$12:$I$372,"",0)</x:f>
      </x:c>
      <x:c r="J195" s="46" t="str">
        <x:f>_xlfn.XLOOKUP("ABIL|1031|LJT-PREP-FILLING",'主管核定中心'!$A$12:$A$372,'主管核定中心'!$H$12:$H$372,"",0)</x:f>
      </x:c>
      <x:c r="K195" s="37" t="n">
        <x:v>29</x:v>
      </x:c>
      <x:c r="L195" s="37" t="str">
        <x:v>1031|LJT-PREP-FILLING</x:v>
      </x:c>
    </x:row>
    <x:row r="196">
      <x:c r="A196" s="37" t="str">
        <x:v>1031</x:v>
      </x:c>
      <x:c r="B196" s="37" t="str"/>
      <x:c r="C196" s="37" t="str">
        <x:v>LJT-PREP-PERIO</x:v>
      </x:c>
      <x:c r="D196" s="37" t="str">
        <x:v>牙周統合</x:v>
      </x:c>
      <x:c r="E196" s="37" t="str">
        <x:f>IF(_xlfn.XLOOKUP("UPG|1031|LJT-PREP-PERIO",'能力升級候選'!$A$7:$A$258,'能力升級候選'!$R$7:$R$258,"",0)="已核定升級","◎",_xlfn.XLOOKUP("UPG|1031|LJT-PREP-PERIO",'能力升級候選'!$A$7:$A$258,'能力升級候選'!$E$7:$E$258,"未評估",0))</x:f>
        <x:v>未評估</x:v>
      </x:c>
      <x:c r="F196" s="37" t="str">
        <x:f>IF(COUNTIFS('事件與限制'!$C$7:$C$106,$A196,'事件與限制'!$E$7:$E$106,$C196,'事件與限制'!$M$7:$M$106,"暫停技能資格",'事件與限制'!$Q$7:$Q$106,"生效中")&gt;0,"資格暫停",IF($E196="未評估","未建立",_xlfn.XLOOKUP("ABIL|1031|LJT-PREP-PERIO",'主管核定中心'!$A$12:$A$372,'主管核定中心'!$K$12:$K$372,"待主管核定",0)))</x:f>
        <x:v>未建立</x:v>
      </x:c>
      <x:c r="G196" s="37" t="str">
        <x:v>初始能力基準</x:v>
      </x:c>
      <x:c r="H196" s="41" t="n">
        <x:v>46266</x:v>
      </x:c>
      <x:c r="I196" s="44" t="str">
        <x:f>_xlfn.XLOOKUP("ABIL|1031|LJT-PREP-PERIO",'主管核定中心'!$A$12:$A$372,'主管核定中心'!$I$12:$I$372,"",0)</x:f>
      </x:c>
      <x:c r="J196" s="46" t="str">
        <x:f>_xlfn.XLOOKUP("ABIL|1031|LJT-PREP-PERIO",'主管核定中心'!$A$12:$A$372,'主管核定中心'!$H$12:$H$372,"",0)</x:f>
      </x:c>
      <x:c r="K196" s="37" t="n">
        <x:v>30</x:v>
      </x:c>
      <x:c r="L196" s="37" t="str">
        <x:v>1031|LJT-PREP-PERIO</x:v>
      </x:c>
    </x:row>
    <x:row r="197">
      <x:c r="A197" s="37" t="str">
        <x:v>1031</x:v>
      </x:c>
      <x:c r="B197" s="37" t="str"/>
      <x:c r="C197" s="37" t="str">
        <x:v>LJT-PREP-RCT</x:v>
      </x:c>
      <x:c r="D197" s="37" t="str">
        <x:v>根管治療</x:v>
      </x:c>
      <x:c r="E197" s="37" t="str">
        <x:f>IF(_xlfn.XLOOKUP("UPG|1031|LJT-PREP-RCT",'能力升級候選'!$A$7:$A$258,'能力升級候選'!$R$7:$R$258,"",0)="已核定升級","◎",_xlfn.XLOOKUP("UPG|1031|LJT-PREP-RCT",'能力升級候選'!$A$7:$A$258,'能力升級候選'!$E$7:$E$258,"未評估",0))</x:f>
        <x:v>未評估</x:v>
      </x:c>
      <x:c r="F197" s="37" t="str">
        <x:f>IF(COUNTIFS('事件與限制'!$C$7:$C$106,$A197,'事件與限制'!$E$7:$E$106,$C197,'事件與限制'!$M$7:$M$106,"暫停技能資格",'事件與限制'!$Q$7:$Q$106,"生效中")&gt;0,"資格暫停",IF($E197="未評估","未建立",_xlfn.XLOOKUP("ABIL|1031|LJT-PREP-RCT",'主管核定中心'!$A$12:$A$372,'主管核定中心'!$K$12:$K$372,"待主管核定",0)))</x:f>
        <x:v>未建立</x:v>
      </x:c>
      <x:c r="G197" s="37" t="str">
        <x:v>初始能力基準</x:v>
      </x:c>
      <x:c r="H197" s="41" t="n">
        <x:v>46266</x:v>
      </x:c>
      <x:c r="I197" s="44" t="str">
        <x:f>_xlfn.XLOOKUP("ABIL|1031|LJT-PREP-RCT",'主管核定中心'!$A$12:$A$372,'主管核定中心'!$I$12:$I$372,"",0)</x:f>
      </x:c>
      <x:c r="J197" s="46" t="str">
        <x:f>_xlfn.XLOOKUP("ABIL|1031|LJT-PREP-RCT",'主管核定中心'!$A$12:$A$372,'主管核定中心'!$H$12:$H$372,"",0)</x:f>
      </x:c>
      <x:c r="K197" s="37" t="n">
        <x:v>31</x:v>
      </x:c>
      <x:c r="L197" s="37" t="str">
        <x:v>1031|LJT-PREP-RCT</x:v>
      </x:c>
    </x:row>
    <x:row r="198">
      <x:c r="A198" s="37" t="str">
        <x:v>1031</x:v>
      </x:c>
      <x:c r="B198" s="37" t="str"/>
      <x:c r="C198" s="37" t="str">
        <x:v>LJT-PREP-EXTRACTION</x:v>
      </x:c>
      <x:c r="D198" s="37" t="str">
        <x:v>拔牙</x:v>
      </x:c>
      <x:c r="E198" s="37" t="str">
        <x:f>IF(_xlfn.XLOOKUP("UPG|1031|LJT-PREP-EXTRACTION",'能力升級候選'!$A$7:$A$258,'能力升級候選'!$R$7:$R$258,"",0)="已核定升級","◎",_xlfn.XLOOKUP("UPG|1031|LJT-PREP-EXTRACTION",'能力升級候選'!$A$7:$A$258,'能力升級候選'!$E$7:$E$258,"未評估",0))</x:f>
        <x:v>未評估</x:v>
      </x:c>
      <x:c r="F198" s="37" t="str">
        <x:f>IF(COUNTIFS('事件與限制'!$C$7:$C$106,$A198,'事件與限制'!$E$7:$E$106,$C198,'事件與限制'!$M$7:$M$106,"暫停技能資格",'事件與限制'!$Q$7:$Q$106,"生效中")&gt;0,"資格暫停",IF($E198="未評估","未建立",_xlfn.XLOOKUP("ABIL|1031|LJT-PREP-EXTRACTION",'主管核定中心'!$A$12:$A$372,'主管核定中心'!$K$12:$K$372,"待主管核定",0)))</x:f>
        <x:v>未建立</x:v>
      </x:c>
      <x:c r="G198" s="37" t="str">
        <x:v>初始能力基準</x:v>
      </x:c>
      <x:c r="H198" s="41" t="n">
        <x:v>46266</x:v>
      </x:c>
      <x:c r="I198" s="44" t="str">
        <x:f>_xlfn.XLOOKUP("ABIL|1031|LJT-PREP-EXTRACTION",'主管核定中心'!$A$12:$A$372,'主管核定中心'!$I$12:$I$372,"",0)</x:f>
      </x:c>
      <x:c r="J198" s="46" t="str">
        <x:f>_xlfn.XLOOKUP("ABIL|1031|LJT-PREP-EXTRACTION",'主管核定中心'!$A$12:$A$372,'主管核定中心'!$H$12:$H$372,"",0)</x:f>
      </x:c>
      <x:c r="K198" s="37" t="n">
        <x:v>32</x:v>
      </x:c>
      <x:c r="L198" s="37" t="str">
        <x:v>1031|LJT-PREP-EXTRACTION</x:v>
      </x:c>
    </x:row>
    <x:row r="199">
      <x:c r="A199" s="37" t="str">
        <x:v>1031</x:v>
      </x:c>
      <x:c r="B199" s="37" t="str"/>
      <x:c r="C199" s="37" t="str">
        <x:v>LJT-PREP-CROWNPOST</x:v>
      </x:c>
      <x:c r="D199" s="37" t="str">
        <x:v>拆 crown/post</x:v>
      </x:c>
      <x:c r="E199" s="37" t="str">
        <x:f>IF(_xlfn.XLOOKUP("UPG|1031|LJT-PREP-CROWNPOST",'能力升級候選'!$A$7:$A$258,'能力升級候選'!$R$7:$R$258,"",0)="已核定升級","◎",_xlfn.XLOOKUP("UPG|1031|LJT-PREP-CROWNPOST",'能力升級候選'!$A$7:$A$258,'能力升級候選'!$E$7:$E$258,"未評估",0))</x:f>
        <x:v>未評估</x:v>
      </x:c>
      <x:c r="F199" s="37" t="str">
        <x:f>IF(COUNTIFS('事件與限制'!$C$7:$C$106,$A199,'事件與限制'!$E$7:$E$106,$C199,'事件與限制'!$M$7:$M$106,"暫停技能資格",'事件與限制'!$Q$7:$Q$106,"生效中")&gt;0,"資格暫停",IF($E199="未評估","未建立",_xlfn.XLOOKUP("ABIL|1031|LJT-PREP-CROWNPOST",'主管核定中心'!$A$12:$A$372,'主管核定中心'!$K$12:$K$372,"待主管核定",0)))</x:f>
        <x:v>未建立</x:v>
      </x:c>
      <x:c r="G199" s="37" t="str">
        <x:v>初始能力基準</x:v>
      </x:c>
      <x:c r="H199" s="41" t="n">
        <x:v>46266</x:v>
      </x:c>
      <x:c r="I199" s="44" t="str">
        <x:f>_xlfn.XLOOKUP("ABIL|1031|LJT-PREP-CROWNPOST",'主管核定中心'!$A$12:$A$372,'主管核定中心'!$I$12:$I$372,"",0)</x:f>
      </x:c>
      <x:c r="J199" s="46" t="str">
        <x:f>_xlfn.XLOOKUP("ABIL|1031|LJT-PREP-CROWNPOST",'主管核定中心'!$A$12:$A$372,'主管核定中心'!$H$12:$H$372,"",0)</x:f>
      </x:c>
      <x:c r="K199" s="37" t="n">
        <x:v>33</x:v>
      </x:c>
      <x:c r="L199" s="37" t="str">
        <x:v>1031|LJT-PREP-CROWNPOST</x:v>
      </x:c>
    </x:row>
    <x:row r="200">
      <x:c r="A200" s="37" t="str">
        <x:v>1031</x:v>
      </x:c>
      <x:c r="B200" s="37" t="str"/>
      <x:c r="C200" s="37" t="str">
        <x:v>LJT-PREP-CROWN</x:v>
      </x:c>
      <x:c r="D200" s="37" t="str">
        <x:v>固定假牙</x:v>
      </x:c>
      <x:c r="E200" s="37" t="str">
        <x:f>IF(_xlfn.XLOOKUP("UPG|1031|LJT-PREP-CROWN",'能力升級候選'!$A$7:$A$258,'能力升級候選'!$R$7:$R$258,"",0)="已核定升級","◎",_xlfn.XLOOKUP("UPG|1031|LJT-PREP-CROWN",'能力升級候選'!$A$7:$A$258,'能力升級候選'!$E$7:$E$258,"未評估",0))</x:f>
        <x:v>未評估</x:v>
      </x:c>
      <x:c r="F200" s="37" t="str">
        <x:f>IF(COUNTIFS('事件與限制'!$C$7:$C$106,$A200,'事件與限制'!$E$7:$E$106,$C200,'事件與限制'!$M$7:$M$106,"暫停技能資格",'事件與限制'!$Q$7:$Q$106,"生效中")&gt;0,"資格暫停",IF($E200="未評估","未建立",_xlfn.XLOOKUP("ABIL|1031|LJT-PREP-CROWN",'主管核定中心'!$A$12:$A$372,'主管核定中心'!$K$12:$K$372,"待主管核定",0)))</x:f>
        <x:v>未建立</x:v>
      </x:c>
      <x:c r="G200" s="37" t="str">
        <x:v>初始能力基準</x:v>
      </x:c>
      <x:c r="H200" s="41" t="n">
        <x:v>46266</x:v>
      </x:c>
      <x:c r="I200" s="44" t="str">
        <x:f>_xlfn.XLOOKUP("ABIL|1031|LJT-PREP-CROWN",'主管核定中心'!$A$12:$A$372,'主管核定中心'!$I$12:$I$372,"",0)</x:f>
      </x:c>
      <x:c r="J200" s="46" t="str">
        <x:f>_xlfn.XLOOKUP("ABIL|1031|LJT-PREP-CROWN",'主管核定中心'!$A$12:$A$372,'主管核定中心'!$H$12:$H$372,"",0)</x:f>
      </x:c>
      <x:c r="K200" s="37" t="n">
        <x:v>34</x:v>
      </x:c>
      <x:c r="L200" s="37" t="str">
        <x:v>1031|LJT-PREP-CROWN</x:v>
      </x:c>
    </x:row>
    <x:row r="201">
      <x:c r="A201" s="37" t="str">
        <x:v>1031</x:v>
      </x:c>
      <x:c r="B201" s="37" t="str"/>
      <x:c r="C201" s="37" t="str">
        <x:v>LJT-PREP-RPD</x:v>
      </x:c>
      <x:c r="D201" s="37" t="str">
        <x:v>RPD</x:v>
      </x:c>
      <x:c r="E201" s="37" t="str">
        <x:f>IF(_xlfn.XLOOKUP("UPG|1031|LJT-PREP-RPD",'能力升級候選'!$A$7:$A$258,'能力升級候選'!$R$7:$R$258,"",0)="已核定升級","◎",_xlfn.XLOOKUP("UPG|1031|LJT-PREP-RPD",'能力升級候選'!$A$7:$A$258,'能力升級候選'!$E$7:$E$258,"未評估",0))</x:f>
        <x:v>未評估</x:v>
      </x:c>
      <x:c r="F201" s="37" t="str">
        <x:f>IF(COUNTIFS('事件與限制'!$C$7:$C$106,$A201,'事件與限制'!$E$7:$E$106,$C201,'事件與限制'!$M$7:$M$106,"暫停技能資格",'事件與限制'!$Q$7:$Q$106,"生效中")&gt;0,"資格暫停",IF($E201="未評估","未建立",_xlfn.XLOOKUP("ABIL|1031|LJT-PREP-RPD",'主管核定中心'!$A$12:$A$372,'主管核定中心'!$K$12:$K$372,"待主管核定",0)))</x:f>
        <x:v>未建立</x:v>
      </x:c>
      <x:c r="G201" s="37" t="str">
        <x:v>初始能力基準</x:v>
      </x:c>
      <x:c r="H201" s="41" t="n">
        <x:v>46266</x:v>
      </x:c>
      <x:c r="I201" s="44" t="str">
        <x:f>_xlfn.XLOOKUP("ABIL|1031|LJT-PREP-RPD",'主管核定中心'!$A$12:$A$372,'主管核定中心'!$I$12:$I$372,"",0)</x:f>
      </x:c>
      <x:c r="J201" s="46" t="str">
        <x:f>_xlfn.XLOOKUP("ABIL|1031|LJT-PREP-RPD",'主管核定中心'!$A$12:$A$372,'主管核定中心'!$H$12:$H$372,"",0)</x:f>
      </x:c>
      <x:c r="K201" s="37" t="n">
        <x:v>35</x:v>
      </x:c>
      <x:c r="L201" s="37" t="str">
        <x:v>1031|LJT-PREP-RPD</x:v>
      </x:c>
    </x:row>
    <x:row r="202">
      <x:c r="A202" s="37" t="str">
        <x:v>1031</x:v>
      </x:c>
      <x:c r="B202" s="37" t="str"/>
      <x:c r="C202" s="37" t="str">
        <x:v>LJT-PREP-AIRPOLISH</x:v>
      </x:c>
      <x:c r="D202" s="37" t="str">
        <x:v>噴砂美白</x:v>
      </x:c>
      <x:c r="E202" s="37" t="str">
        <x:f>IF(_xlfn.XLOOKUP("UPG|1031|LJT-PREP-AIRPOLISH",'能力升級候選'!$A$7:$A$258,'能力升級候選'!$R$7:$R$258,"",0)="已核定升級","◎",_xlfn.XLOOKUP("UPG|1031|LJT-PREP-AIRPOLISH",'能力升級候選'!$A$7:$A$258,'能力升級候選'!$E$7:$E$258,"未評估",0))</x:f>
        <x:v>未評估</x:v>
      </x:c>
      <x:c r="F202" s="37" t="str">
        <x:f>IF(COUNTIFS('事件與限制'!$C$7:$C$106,$A202,'事件與限制'!$E$7:$E$106,$C202,'事件與限制'!$M$7:$M$106,"暫停技能資格",'事件與限制'!$Q$7:$Q$106,"生效中")&gt;0,"資格暫停",IF($E202="未評估","未建立",_xlfn.XLOOKUP("ABIL|1031|LJT-PREP-AIRPOLISH",'主管核定中心'!$A$12:$A$372,'主管核定中心'!$K$12:$K$372,"待主管核定",0)))</x:f>
        <x:v>未建立</x:v>
      </x:c>
      <x:c r="G202" s="37" t="str">
        <x:v>初始能力基準</x:v>
      </x:c>
      <x:c r="H202" s="41" t="n">
        <x:v>46266</x:v>
      </x:c>
      <x:c r="I202" s="44" t="str">
        <x:f>_xlfn.XLOOKUP("ABIL|1031|LJT-PREP-AIRPOLISH",'主管核定中心'!$A$12:$A$372,'主管核定中心'!$I$12:$I$372,"",0)</x:f>
      </x:c>
      <x:c r="J202" s="46" t="str">
        <x:f>_xlfn.XLOOKUP("ABIL|1031|LJT-PREP-AIRPOLISH",'主管核定中心'!$A$12:$A$372,'主管核定中心'!$H$12:$H$372,"",0)</x:f>
      </x:c>
      <x:c r="K202" s="37" t="n">
        <x:v>36</x:v>
      </x:c>
      <x:c r="L202" s="37" t="str">
        <x:v>1031|LJT-PREP-AIRPOLISH</x:v>
      </x:c>
    </x:row>
    <x:row r="203">
      <x:c r="A203" s="37" t="str">
        <x:v>1031</x:v>
      </x:c>
      <x:c r="B203" s="37" t="str"/>
      <x:c r="C203" s="37" t="str">
        <x:v>LJT-PREP-PERIOSURG</x:v>
      </x:c>
      <x:c r="D203" s="37" t="str">
        <x:v>牙周手術</x:v>
      </x:c>
      <x:c r="E203" s="37" t="str">
        <x:f>IF(_xlfn.XLOOKUP("UPG|1031|LJT-PREP-PERIOSURG",'能力升級候選'!$A$7:$A$258,'能力升級候選'!$R$7:$R$258,"",0)="已核定升級","◎",_xlfn.XLOOKUP("UPG|1031|LJT-PREP-PERIOSURG",'能力升級候選'!$A$7:$A$258,'能力升級候選'!$E$7:$E$258,"未評估",0))</x:f>
        <x:v>未評估</x:v>
      </x:c>
      <x:c r="F203" s="37" t="str">
        <x:f>IF(COUNTIFS('事件與限制'!$C$7:$C$106,$A203,'事件與限制'!$E$7:$E$106,$C203,'事件與限制'!$M$7:$M$106,"暫停技能資格",'事件與限制'!$Q$7:$Q$106,"生效中")&gt;0,"資格暫停",IF($E203="未評估","未建立",_xlfn.XLOOKUP("ABIL|1031|LJT-PREP-PERIOSURG",'主管核定中心'!$A$12:$A$372,'主管核定中心'!$K$12:$K$372,"待主管核定",0)))</x:f>
        <x:v>未建立</x:v>
      </x:c>
      <x:c r="G203" s="37" t="str">
        <x:v>初始能力基準</x:v>
      </x:c>
      <x:c r="H203" s="41" t="n">
        <x:v>46266</x:v>
      </x:c>
      <x:c r="I203" s="44" t="str">
        <x:f>_xlfn.XLOOKUP("ABIL|1031|LJT-PREP-PERIOSURG",'主管核定中心'!$A$12:$A$372,'主管核定中心'!$I$12:$I$372,"",0)</x:f>
      </x:c>
      <x:c r="J203" s="46" t="str">
        <x:f>_xlfn.XLOOKUP("ABIL|1031|LJT-PREP-PERIOSURG",'主管核定中心'!$A$12:$A$372,'主管核定中心'!$H$12:$H$372,"",0)</x:f>
      </x:c>
      <x:c r="K203" s="37" t="n">
        <x:v>37</x:v>
      </x:c>
      <x:c r="L203" s="37" t="str">
        <x:v>1031|LJT-PREP-PERIOSURG</x:v>
      </x:c>
    </x:row>
    <x:row r="204">
      <x:c r="A204" s="37" t="str">
        <x:v>1031</x:v>
      </x:c>
      <x:c r="B204" s="37" t="str"/>
      <x:c r="C204" s="37" t="str">
        <x:v>LJT-PREP-MICROENDO</x:v>
      </x:c>
      <x:c r="D204" s="37" t="str">
        <x:v>顯微根管</x:v>
      </x:c>
      <x:c r="E204" s="37" t="str">
        <x:f>IF(_xlfn.XLOOKUP("UPG|1031|LJT-PREP-MICROENDO",'能力升級候選'!$A$7:$A$258,'能力升級候選'!$R$7:$R$258,"",0)="已核定升級","◎",_xlfn.XLOOKUP("UPG|1031|LJT-PREP-MICROENDO",'能力升級候選'!$A$7:$A$258,'能力升級候選'!$E$7:$E$258,"未評估",0))</x:f>
        <x:v>未評估</x:v>
      </x:c>
      <x:c r="F204" s="37" t="str">
        <x:f>IF(COUNTIFS('事件與限制'!$C$7:$C$106,$A204,'事件與限制'!$E$7:$E$106,$C204,'事件與限制'!$M$7:$M$106,"暫停技能資格",'事件與限制'!$Q$7:$Q$106,"生效中")&gt;0,"資格暫停",IF($E204="未評估","未建立",_xlfn.XLOOKUP("ABIL|1031|LJT-PREP-MICROENDO",'主管核定中心'!$A$12:$A$372,'主管核定中心'!$K$12:$K$372,"待主管核定",0)))</x:f>
        <x:v>未建立</x:v>
      </x:c>
      <x:c r="G204" s="37" t="str">
        <x:v>初始能力基準</x:v>
      </x:c>
      <x:c r="H204" s="41" t="n">
        <x:v>46266</x:v>
      </x:c>
      <x:c r="I204" s="44" t="str">
        <x:f>_xlfn.XLOOKUP("ABIL|1031|LJT-PREP-MICROENDO",'主管核定中心'!$A$12:$A$372,'主管核定中心'!$I$12:$I$372,"",0)</x:f>
      </x:c>
      <x:c r="J204" s="46" t="str">
        <x:f>_xlfn.XLOOKUP("ABIL|1031|LJT-PREP-MICROENDO",'主管核定中心'!$A$12:$A$372,'主管核定中心'!$H$12:$H$372,"",0)</x:f>
      </x:c>
      <x:c r="K204" s="37" t="n">
        <x:v>38</x:v>
      </x:c>
      <x:c r="L204" s="37" t="str">
        <x:v>1031|LJT-PREP-MICROENDO</x:v>
      </x:c>
    </x:row>
    <x:row r="205">
      <x:c r="A205" s="37" t="str">
        <x:v>1031</x:v>
      </x:c>
      <x:c r="B205" s="37" t="str"/>
      <x:c r="C205" s="37" t="str">
        <x:v>LJT-PREP-IMPLANT</x:v>
      </x:c>
      <x:c r="D205" s="37" t="str">
        <x:v>植 牙</x:v>
      </x:c>
      <x:c r="E205" s="37" t="str">
        <x:f>IF(_xlfn.XLOOKUP("UPG|1031|LJT-PREP-IMPLANT",'能力升級候選'!$A$7:$A$258,'能力升級候選'!$R$7:$R$258,"",0)="已核定升級","◎",_xlfn.XLOOKUP("UPG|1031|LJT-PREP-IMPLANT",'能力升級候選'!$A$7:$A$258,'能力升級候選'!$E$7:$E$258,"未評估",0))</x:f>
        <x:v>未評估</x:v>
      </x:c>
      <x:c r="F205" s="37" t="str">
        <x:f>IF(COUNTIFS('事件與限制'!$C$7:$C$106,$A205,'事件與限制'!$E$7:$E$106,$C205,'事件與限制'!$M$7:$M$106,"暫停技能資格",'事件與限制'!$Q$7:$Q$106,"生效中")&gt;0,"資格暫停",IF($E205="未評估","未建立",_xlfn.XLOOKUP("ABIL|1031|LJT-PREP-IMPLANT",'主管核定中心'!$A$12:$A$372,'主管核定中心'!$K$12:$K$372,"待主管核定",0)))</x:f>
        <x:v>未建立</x:v>
      </x:c>
      <x:c r="G205" s="37" t="str">
        <x:v>初始能力基準</x:v>
      </x:c>
      <x:c r="H205" s="41" t="n">
        <x:v>46266</x:v>
      </x:c>
      <x:c r="I205" s="44" t="str">
        <x:f>_xlfn.XLOOKUP("ABIL|1031|LJT-PREP-IMPLANT",'主管核定中心'!$A$12:$A$372,'主管核定中心'!$I$12:$I$372,"",0)</x:f>
      </x:c>
      <x:c r="J205" s="46" t="str">
        <x:f>_xlfn.XLOOKUP("ABIL|1031|LJT-PREP-IMPLANT",'主管核定中心'!$A$12:$A$372,'主管核定中心'!$H$12:$H$372,"",0)</x:f>
      </x:c>
      <x:c r="K205" s="37" t="n">
        <x:v>39</x:v>
      </x:c>
      <x:c r="L205" s="37" t="str">
        <x:v>1031|LJT-PREP-IMPLANT</x:v>
      </x:c>
    </x:row>
    <x:row r="206">
      <x:c r="A206" s="37" t="str">
        <x:v>1031</x:v>
      </x:c>
      <x:c r="B206" s="37" t="str"/>
      <x:c r="C206" s="37" t="str">
        <x:v>COMMON-RECORD</x:v>
      </x:c>
      <x:c r="D206" s="37" t="str">
        <x:v>病歷紀錄</x:v>
      </x:c>
      <x:c r="E206" s="37" t="str">
        <x:f>IF(_xlfn.XLOOKUP("UPG|1031|COMMON-RECORD",'能力升級候選'!$A$7:$A$258,'能力升級候選'!$R$7:$R$258,"",0)="已核定升級","◎",_xlfn.XLOOKUP("UPG|1031|COMMON-RECORD",'能力升級候選'!$A$7:$A$258,'能力升級候選'!$E$7:$E$258,"未評估",0))</x:f>
        <x:v>未評估</x:v>
      </x:c>
      <x:c r="F206" s="37" t="str">
        <x:f>IF(COUNTIFS('事件與限制'!$C$7:$C$106,$A206,'事件與限制'!$E$7:$E$106,$C206,'事件與限制'!$M$7:$M$106,"暫停技能資格",'事件與限制'!$Q$7:$Q$106,"生效中")&gt;0,"資格暫停",IF($E206="未評估","未建立",_xlfn.XLOOKUP("ABIL|1031|COMMON-RECORD",'主管核定中心'!$A$12:$A$372,'主管核定中心'!$K$12:$K$372,"待主管核定",0)))</x:f>
        <x:v>未建立</x:v>
      </x:c>
      <x:c r="G206" s="37" t="str">
        <x:v>初始能力基準</x:v>
      </x:c>
      <x:c r="H206" s="41" t="n">
        <x:v>46266</x:v>
      </x:c>
      <x:c r="I206" s="44" t="str">
        <x:f>_xlfn.XLOOKUP("ABIL|1031|COMMON-RECORD",'主管核定中心'!$A$12:$A$372,'主管核定中心'!$I$12:$I$372,"",0)</x:f>
      </x:c>
      <x:c r="J206" s="46" t="str">
        <x:f>_xlfn.XLOOKUP("ABIL|1031|COMMON-RECORD",'主管核定中心'!$A$12:$A$372,'主管核定中心'!$H$12:$H$372,"",0)</x:f>
      </x:c>
      <x:c r="K206" s="37" t="n">
        <x:v>41</x:v>
      </x:c>
      <x:c r="L206" s="37" t="str">
        <x:v>1031|COMMON-RECORD</x:v>
      </x:c>
    </x:row>
    <x:row r="207">
      <x:c r="A207" s="37" t="str">
        <x:v>1031</x:v>
      </x:c>
      <x:c r="B207" s="37" t="str"/>
      <x:c r="C207" s="37" t="str">
        <x:v>COMMON-INSURANCE</x:v>
      </x:c>
      <x:c r="D207" s="37" t="str">
        <x:v>健保申報</x:v>
      </x:c>
      <x:c r="E207" s="37" t="str">
        <x:f>IF(_xlfn.XLOOKUP("UPG|1031|COMMON-INSURANCE",'能力升級候選'!$A$7:$A$258,'能力升級候選'!$R$7:$R$258,"",0)="已核定升級","◎",_xlfn.XLOOKUP("UPG|1031|COMMON-INSURANCE",'能力升級候選'!$A$7:$A$258,'能力升級候選'!$E$7:$E$258,"未評估",0))</x:f>
        <x:v>未評估</x:v>
      </x:c>
      <x:c r="F207" s="37" t="str">
        <x:f>IF(COUNTIFS('事件與限制'!$C$7:$C$106,$A207,'事件與限制'!$E$7:$E$106,$C207,'事件與限制'!$M$7:$M$106,"暫停技能資格",'事件與限制'!$Q$7:$Q$106,"生效中")&gt;0,"資格暫停",IF($E207="未評估","未建立",_xlfn.XLOOKUP("ABIL|1031|COMMON-INSURANCE",'主管核定中心'!$A$12:$A$372,'主管核定中心'!$K$12:$K$372,"待主管核定",0)))</x:f>
        <x:v>未建立</x:v>
      </x:c>
      <x:c r="G207" s="37" t="str">
        <x:v>初始能力基準</x:v>
      </x:c>
      <x:c r="H207" s="41" t="n">
        <x:v>46266</x:v>
      </x:c>
      <x:c r="I207" s="44" t="str">
        <x:f>_xlfn.XLOOKUP("ABIL|1031|COMMON-INSURANCE",'主管核定中心'!$A$12:$A$372,'主管核定中心'!$I$12:$I$372,"",0)</x:f>
      </x:c>
      <x:c r="J207" s="46" t="str">
        <x:f>_xlfn.XLOOKUP("ABIL|1031|COMMON-INSURANCE",'主管核定中心'!$A$12:$A$372,'主管核定中心'!$H$12:$H$372,"",0)</x:f>
      </x:c>
      <x:c r="K207" s="37" t="n">
        <x:v>42</x:v>
      </x:c>
      <x:c r="L207" s="37" t="str">
        <x:v>1031|COMMON-INSURANCE</x:v>
      </x:c>
    </x:row>
    <x:row r="208">
      <x:c r="A208" s="37" t="str">
        <x:v>1031</x:v>
      </x:c>
      <x:c r="B208" s="37" t="str"/>
      <x:c r="C208" s="37" t="str">
        <x:v>COMMON-XRAY-RECORD</x:v>
      </x:c>
      <x:c r="D208" s="37" t="str">
        <x:v>X光片紀錄</x:v>
      </x:c>
      <x:c r="E208" s="37" t="str">
        <x:f>IF(_xlfn.XLOOKUP("UPG|1031|COMMON-XRAY-RECORD",'能力升級候選'!$A$7:$A$258,'能力升級候選'!$R$7:$R$258,"",0)="已核定升級","◎",_xlfn.XLOOKUP("UPG|1031|COMMON-XRAY-RECORD",'能力升級候選'!$A$7:$A$258,'能力升級候選'!$E$7:$E$258,"未評估",0))</x:f>
        <x:v>未評估</x:v>
      </x:c>
      <x:c r="F208" s="37" t="str">
        <x:f>IF(COUNTIFS('事件與限制'!$C$7:$C$106,$A208,'事件與限制'!$E$7:$E$106,$C208,'事件與限制'!$M$7:$M$106,"暫停技能資格",'事件與限制'!$Q$7:$Q$106,"生效中")&gt;0,"資格暫停",IF($E208="未評估","未建立",_xlfn.XLOOKUP("ABIL|1031|COMMON-XRAY-RECORD",'主管核定中心'!$A$12:$A$372,'主管核定中心'!$K$12:$K$372,"待主管核定",0)))</x:f>
        <x:v>未建立</x:v>
      </x:c>
      <x:c r="G208" s="37" t="str">
        <x:v>初始能力基準</x:v>
      </x:c>
      <x:c r="H208" s="41" t="n">
        <x:v>46266</x:v>
      </x:c>
      <x:c r="I208" s="44" t="str">
        <x:f>_xlfn.XLOOKUP("ABIL|1031|COMMON-XRAY-RECORD",'主管核定中心'!$A$12:$A$372,'主管核定中心'!$I$12:$I$372,"",0)</x:f>
      </x:c>
      <x:c r="J208" s="46" t="str">
        <x:f>_xlfn.XLOOKUP("ABIL|1031|COMMON-XRAY-RECORD",'主管核定中心'!$A$12:$A$372,'主管核定中心'!$H$12:$H$372,"",0)</x:f>
      </x:c>
      <x:c r="K208" s="37" t="n">
        <x:v>43</x:v>
      </x:c>
      <x:c r="L208" s="37" t="str">
        <x:v>1031|COMMON-XRAY-RECORD</x:v>
      </x:c>
    </x:row>
    <x:row r="209">
      <x:c r="A209" s="37" t="str">
        <x:v>1031</x:v>
      </x:c>
      <x:c r="B209" s="37" t="str"/>
      <x:c r="C209" s="37" t="str">
        <x:v>COMMON-PA</x:v>
      </x:c>
      <x:c r="D209" s="37" t="str">
        <x:v>拍PA</x:v>
      </x:c>
      <x:c r="E209" s="37" t="str">
        <x:f>IF(_xlfn.XLOOKUP("UPG|1031|COMMON-PA",'能力升級候選'!$A$7:$A$258,'能力升級候選'!$R$7:$R$258,"",0)="已核定升級","◎",_xlfn.XLOOKUP("UPG|1031|COMMON-PA",'能力升級候選'!$A$7:$A$258,'能力升級候選'!$E$7:$E$258,"未評估",0))</x:f>
        <x:v>未評估</x:v>
      </x:c>
      <x:c r="F209" s="37" t="str">
        <x:f>IF(COUNTIFS('事件與限制'!$C$7:$C$106,$A209,'事件與限制'!$E$7:$E$106,$C209,'事件與限制'!$M$7:$M$106,"暫停技能資格",'事件與限制'!$Q$7:$Q$106,"生效中")&gt;0,"資格暫停",IF($E209="未評估","未建立",_xlfn.XLOOKUP("ABIL|1031|COMMON-PA",'主管核定中心'!$A$12:$A$372,'主管核定中心'!$K$12:$K$372,"待主管核定",0)))</x:f>
        <x:v>未建立</x:v>
      </x:c>
      <x:c r="G209" s="37" t="str">
        <x:v>初始能力基準</x:v>
      </x:c>
      <x:c r="H209" s="41" t="n">
        <x:v>46266</x:v>
      </x:c>
      <x:c r="I209" s="44" t="str">
        <x:f>_xlfn.XLOOKUP("ABIL|1031|COMMON-PA",'主管核定中心'!$A$12:$A$372,'主管核定中心'!$I$12:$I$372,"",0)</x:f>
      </x:c>
      <x:c r="J209" s="46" t="str">
        <x:f>_xlfn.XLOOKUP("ABIL|1031|COMMON-PA",'主管核定中心'!$A$12:$A$372,'主管核定中心'!$H$12:$H$372,"",0)</x:f>
      </x:c>
      <x:c r="K209" s="37" t="n">
        <x:v>44</x:v>
      </x:c>
      <x:c r="L209" s="37" t="str">
        <x:v>1031|COMMON-PA</x:v>
      </x:c>
    </x:row>
    <x:row r="210">
      <x:c r="A210" s="37" t="str">
        <x:v>1031</x:v>
      </x:c>
      <x:c r="B210" s="37" t="str"/>
      <x:c r="C210" s="37" t="str">
        <x:v>COMMON-IOS</x:v>
      </x:c>
      <x:c r="D210" s="37" t="str">
        <x:v>口掃機運用</x:v>
      </x:c>
      <x:c r="E210" s="37" t="str">
        <x:f>IF(_xlfn.XLOOKUP("UPG|1031|COMMON-IOS",'能力升級候選'!$A$7:$A$258,'能力升級候選'!$R$7:$R$258,"",0)="已核定升級","◎",_xlfn.XLOOKUP("UPG|1031|COMMON-IOS",'能力升級候選'!$A$7:$A$258,'能力升級候選'!$E$7:$E$258,"未評估",0))</x:f>
        <x:v>未評估</x:v>
      </x:c>
      <x:c r="F210" s="37" t="str">
        <x:f>IF(COUNTIFS('事件與限制'!$C$7:$C$106,$A210,'事件與限制'!$E$7:$E$106,$C210,'事件與限制'!$M$7:$M$106,"暫停技能資格",'事件與限制'!$Q$7:$Q$106,"生效中")&gt;0,"資格暫停",IF($E210="未評估","未建立",_xlfn.XLOOKUP("ABIL|1031|COMMON-IOS",'主管核定中心'!$A$12:$A$372,'主管核定中心'!$K$12:$K$372,"待主管核定",0)))</x:f>
        <x:v>未建立</x:v>
      </x:c>
      <x:c r="G210" s="37" t="str">
        <x:v>初始能力基準</x:v>
      </x:c>
      <x:c r="H210" s="41" t="n">
        <x:v>46266</x:v>
      </x:c>
      <x:c r="I210" s="44" t="str">
        <x:f>_xlfn.XLOOKUP("ABIL|1031|COMMON-IOS",'主管核定中心'!$A$12:$A$372,'主管核定中心'!$I$12:$I$372,"",0)</x:f>
      </x:c>
      <x:c r="J210" s="46" t="str">
        <x:f>_xlfn.XLOOKUP("ABIL|1031|COMMON-IOS",'主管核定中心'!$A$12:$A$372,'主管核定中心'!$H$12:$H$372,"",0)</x:f>
      </x:c>
      <x:c r="K210" s="37" t="n">
        <x:v>45</x:v>
      </x:c>
      <x:c r="L210" s="37" t="str">
        <x:v>1031|COMMON-IOS</x:v>
      </x:c>
    </x:row>
    <x:row r="211">
      <x:c r="A211" s="37" t="str">
        <x:v>2006</x:v>
      </x:c>
      <x:c r="B211" s="37" t="str"/>
      <x:c r="C211" s="37" t="str">
        <x:v>LJT-PREP-SCALING</x:v>
      </x:c>
      <x:c r="D211" s="37" t="str">
        <x:v>洗牙</x:v>
      </x:c>
      <x:c r="E211" s="37" t="str">
        <x:f>IF(_xlfn.XLOOKUP("UPG|2006|LJT-PREP-SCALING",'能力升級候選'!$A$7:$A$258,'能力升級候選'!$R$7:$R$258,"",0)="已核定升級","◎",_xlfn.XLOOKUP("UPG|2006|LJT-PREP-SCALING",'能力升級候選'!$A$7:$A$258,'能力升級候選'!$E$7:$E$258,"未評估",0))</x:f>
        <x:v>未評估</x:v>
      </x:c>
      <x:c r="F211" s="37" t="str">
        <x:f>IF(COUNTIFS('事件與限制'!$C$7:$C$106,$A211,'事件與限制'!$E$7:$E$106,$C211,'事件與限制'!$M$7:$M$106,"暫停技能資格",'事件與限制'!$Q$7:$Q$106,"生效中")&gt;0,"資格暫停",IF($E211="未評估","未建立",_xlfn.XLOOKUP("ABIL|2006|LJT-PREP-SCALING",'主管核定中心'!$A$12:$A$372,'主管核定中心'!$K$12:$K$372,"待主管核定",0)))</x:f>
        <x:v>未建立</x:v>
      </x:c>
      <x:c r="G211" s="37" t="str">
        <x:v>初始能力基準</x:v>
      </x:c>
      <x:c r="H211" s="41" t="n">
        <x:v>46266</x:v>
      </x:c>
      <x:c r="I211" s="44" t="str">
        <x:f>_xlfn.XLOOKUP("ABIL|2006|LJT-PREP-SCALING",'主管核定中心'!$A$12:$A$372,'主管核定中心'!$I$12:$I$372,"",0)</x:f>
      </x:c>
      <x:c r="J211" s="46" t="str">
        <x:f>_xlfn.XLOOKUP("ABIL|2006|LJT-PREP-SCALING",'主管核定中心'!$A$12:$A$372,'主管核定中心'!$H$12:$H$372,"",0)</x:f>
      </x:c>
      <x:c r="K211" s="37" t="n">
        <x:v>28</x:v>
      </x:c>
      <x:c r="L211" s="37" t="str">
        <x:v>2006|LJT-PREP-SCALING</x:v>
      </x:c>
    </x:row>
    <x:row r="212">
      <x:c r="A212" s="37" t="str">
        <x:v>2006</x:v>
      </x:c>
      <x:c r="B212" s="37" t="str"/>
      <x:c r="C212" s="37" t="str">
        <x:v>LJT-PREP-FILLING</x:v>
      </x:c>
      <x:c r="D212" s="37" t="str">
        <x:v>補牙</x:v>
      </x:c>
      <x:c r="E212" s="37" t="str">
        <x:f>IF(_xlfn.XLOOKUP("UPG|2006|LJT-PREP-FILLING",'能力升級候選'!$A$7:$A$258,'能力升級候選'!$R$7:$R$258,"",0)="已核定升級","◎",_xlfn.XLOOKUP("UPG|2006|LJT-PREP-FILLING",'能力升級候選'!$A$7:$A$258,'能力升級候選'!$E$7:$E$258,"未評估",0))</x:f>
        <x:v>未評估</x:v>
      </x:c>
      <x:c r="F212" s="37" t="str">
        <x:f>IF(COUNTIFS('事件與限制'!$C$7:$C$106,$A212,'事件與限制'!$E$7:$E$106,$C212,'事件與限制'!$M$7:$M$106,"暫停技能資格",'事件與限制'!$Q$7:$Q$106,"生效中")&gt;0,"資格暫停",IF($E212="未評估","未建立",_xlfn.XLOOKUP("ABIL|2006|LJT-PREP-FILLING",'主管核定中心'!$A$12:$A$372,'主管核定中心'!$K$12:$K$372,"待主管核定",0)))</x:f>
        <x:v>未建立</x:v>
      </x:c>
      <x:c r="G212" s="37" t="str">
        <x:v>初始能力基準</x:v>
      </x:c>
      <x:c r="H212" s="41" t="n">
        <x:v>46266</x:v>
      </x:c>
      <x:c r="I212" s="44" t="str">
        <x:f>_xlfn.XLOOKUP("ABIL|2006|LJT-PREP-FILLING",'主管核定中心'!$A$12:$A$372,'主管核定中心'!$I$12:$I$372,"",0)</x:f>
      </x:c>
      <x:c r="J212" s="46" t="str">
        <x:f>_xlfn.XLOOKUP("ABIL|2006|LJT-PREP-FILLING",'主管核定中心'!$A$12:$A$372,'主管核定中心'!$H$12:$H$372,"",0)</x:f>
      </x:c>
      <x:c r="K212" s="37" t="n">
        <x:v>29</x:v>
      </x:c>
      <x:c r="L212" s="37" t="str">
        <x:v>2006|LJT-PREP-FILLING</x:v>
      </x:c>
    </x:row>
    <x:row r="213">
      <x:c r="A213" s="37" t="str">
        <x:v>2006</x:v>
      </x:c>
      <x:c r="B213" s="37" t="str"/>
      <x:c r="C213" s="37" t="str">
        <x:v>LJT-PREP-PERIO</x:v>
      </x:c>
      <x:c r="D213" s="37" t="str">
        <x:v>牙周統合</x:v>
      </x:c>
      <x:c r="E213" s="37" t="str">
        <x:f>IF(_xlfn.XLOOKUP("UPG|2006|LJT-PREP-PERIO",'能力升級候選'!$A$7:$A$258,'能力升級候選'!$R$7:$R$258,"",0)="已核定升級","◎",_xlfn.XLOOKUP("UPG|2006|LJT-PREP-PERIO",'能力升級候選'!$A$7:$A$258,'能力升級候選'!$E$7:$E$258,"未評估",0))</x:f>
        <x:v>未評估</x:v>
      </x:c>
      <x:c r="F213" s="37" t="str">
        <x:f>IF(COUNTIFS('事件與限制'!$C$7:$C$106,$A213,'事件與限制'!$E$7:$E$106,$C213,'事件與限制'!$M$7:$M$106,"暫停技能資格",'事件與限制'!$Q$7:$Q$106,"生效中")&gt;0,"資格暫停",IF($E213="未評估","未建立",_xlfn.XLOOKUP("ABIL|2006|LJT-PREP-PERIO",'主管核定中心'!$A$12:$A$372,'主管核定中心'!$K$12:$K$372,"待主管核定",0)))</x:f>
        <x:v>未建立</x:v>
      </x:c>
      <x:c r="G213" s="37" t="str">
        <x:v>初始能力基準</x:v>
      </x:c>
      <x:c r="H213" s="41" t="n">
        <x:v>46266</x:v>
      </x:c>
      <x:c r="I213" s="44" t="str">
        <x:f>_xlfn.XLOOKUP("ABIL|2006|LJT-PREP-PERIO",'主管核定中心'!$A$12:$A$372,'主管核定中心'!$I$12:$I$372,"",0)</x:f>
      </x:c>
      <x:c r="J213" s="46" t="str">
        <x:f>_xlfn.XLOOKUP("ABIL|2006|LJT-PREP-PERIO",'主管核定中心'!$A$12:$A$372,'主管核定中心'!$H$12:$H$372,"",0)</x:f>
      </x:c>
      <x:c r="K213" s="37" t="n">
        <x:v>30</x:v>
      </x:c>
      <x:c r="L213" s="37" t="str">
        <x:v>2006|LJT-PREP-PERIO</x:v>
      </x:c>
    </x:row>
    <x:row r="214">
      <x:c r="A214" s="37" t="str">
        <x:v>2006</x:v>
      </x:c>
      <x:c r="B214" s="37" t="str"/>
      <x:c r="C214" s="37" t="str">
        <x:v>LJT-PREP-RCT</x:v>
      </x:c>
      <x:c r="D214" s="37" t="str">
        <x:v>根管治療</x:v>
      </x:c>
      <x:c r="E214" s="37" t="str">
        <x:f>IF(_xlfn.XLOOKUP("UPG|2006|LJT-PREP-RCT",'能力升級候選'!$A$7:$A$258,'能力升級候選'!$R$7:$R$258,"",0)="已核定升級","◎",_xlfn.XLOOKUP("UPG|2006|LJT-PREP-RCT",'能力升級候選'!$A$7:$A$258,'能力升級候選'!$E$7:$E$258,"未評估",0))</x:f>
        <x:v>未評估</x:v>
      </x:c>
      <x:c r="F214" s="37" t="str">
        <x:f>IF(COUNTIFS('事件與限制'!$C$7:$C$106,$A214,'事件與限制'!$E$7:$E$106,$C214,'事件與限制'!$M$7:$M$106,"暫停技能資格",'事件與限制'!$Q$7:$Q$106,"生效中")&gt;0,"資格暫停",IF($E214="未評估","未建立",_xlfn.XLOOKUP("ABIL|2006|LJT-PREP-RCT",'主管核定中心'!$A$12:$A$372,'主管核定中心'!$K$12:$K$372,"待主管核定",0)))</x:f>
        <x:v>未建立</x:v>
      </x:c>
      <x:c r="G214" s="37" t="str">
        <x:v>初始能力基準</x:v>
      </x:c>
      <x:c r="H214" s="41" t="n">
        <x:v>46266</x:v>
      </x:c>
      <x:c r="I214" s="44" t="str">
        <x:f>_xlfn.XLOOKUP("ABIL|2006|LJT-PREP-RCT",'主管核定中心'!$A$12:$A$372,'主管核定中心'!$I$12:$I$372,"",0)</x:f>
      </x:c>
      <x:c r="J214" s="46" t="str">
        <x:f>_xlfn.XLOOKUP("ABIL|2006|LJT-PREP-RCT",'主管核定中心'!$A$12:$A$372,'主管核定中心'!$H$12:$H$372,"",0)</x:f>
      </x:c>
      <x:c r="K214" s="37" t="n">
        <x:v>31</x:v>
      </x:c>
      <x:c r="L214" s="37" t="str">
        <x:v>2006|LJT-PREP-RCT</x:v>
      </x:c>
    </x:row>
    <x:row r="215">
      <x:c r="A215" s="37" t="str">
        <x:v>2006</x:v>
      </x:c>
      <x:c r="B215" s="37" t="str"/>
      <x:c r="C215" s="37" t="str">
        <x:v>LJT-PREP-EXTRACTION</x:v>
      </x:c>
      <x:c r="D215" s="37" t="str">
        <x:v>拔牙</x:v>
      </x:c>
      <x:c r="E215" s="37" t="str">
        <x:f>IF(_xlfn.XLOOKUP("UPG|2006|LJT-PREP-EXTRACTION",'能力升級候選'!$A$7:$A$258,'能力升級候選'!$R$7:$R$258,"",0)="已核定升級","◎",_xlfn.XLOOKUP("UPG|2006|LJT-PREP-EXTRACTION",'能力升級候選'!$A$7:$A$258,'能力升級候選'!$E$7:$E$258,"未評估",0))</x:f>
        <x:v>未評估</x:v>
      </x:c>
      <x:c r="F215" s="37" t="str">
        <x:f>IF(COUNTIFS('事件與限制'!$C$7:$C$106,$A215,'事件與限制'!$E$7:$E$106,$C215,'事件與限制'!$M$7:$M$106,"暫停技能資格",'事件與限制'!$Q$7:$Q$106,"生效中")&gt;0,"資格暫停",IF($E215="未評估","未建立",_xlfn.XLOOKUP("ABIL|2006|LJT-PREP-EXTRACTION",'主管核定中心'!$A$12:$A$372,'主管核定中心'!$K$12:$K$372,"待主管核定",0)))</x:f>
        <x:v>未建立</x:v>
      </x:c>
      <x:c r="G215" s="37" t="str">
        <x:v>初始能力基準</x:v>
      </x:c>
      <x:c r="H215" s="41" t="n">
        <x:v>46266</x:v>
      </x:c>
      <x:c r="I215" s="44" t="str">
        <x:f>_xlfn.XLOOKUP("ABIL|2006|LJT-PREP-EXTRACTION",'主管核定中心'!$A$12:$A$372,'主管核定中心'!$I$12:$I$372,"",0)</x:f>
      </x:c>
      <x:c r="J215" s="46" t="str">
        <x:f>_xlfn.XLOOKUP("ABIL|2006|LJT-PREP-EXTRACTION",'主管核定中心'!$A$12:$A$372,'主管核定中心'!$H$12:$H$372,"",0)</x:f>
      </x:c>
      <x:c r="K215" s="37" t="n">
        <x:v>32</x:v>
      </x:c>
      <x:c r="L215" s="37" t="str">
        <x:v>2006|LJT-PREP-EXTRACTION</x:v>
      </x:c>
    </x:row>
    <x:row r="216">
      <x:c r="A216" s="37" t="str">
        <x:v>2006</x:v>
      </x:c>
      <x:c r="B216" s="37" t="str"/>
      <x:c r="C216" s="37" t="str">
        <x:v>LJT-PREP-CROWNPOST</x:v>
      </x:c>
      <x:c r="D216" s="37" t="str">
        <x:v>拆 crown/post</x:v>
      </x:c>
      <x:c r="E216" s="37" t="str">
        <x:f>IF(_xlfn.XLOOKUP("UPG|2006|LJT-PREP-CROWNPOST",'能力升級候選'!$A$7:$A$258,'能力升級候選'!$R$7:$R$258,"",0)="已核定升級","◎",_xlfn.XLOOKUP("UPG|2006|LJT-PREP-CROWNPOST",'能力升級候選'!$A$7:$A$258,'能力升級候選'!$E$7:$E$258,"未評估",0))</x:f>
        <x:v>未評估</x:v>
      </x:c>
      <x:c r="F216" s="37" t="str">
        <x:f>IF(COUNTIFS('事件與限制'!$C$7:$C$106,$A216,'事件與限制'!$E$7:$E$106,$C216,'事件與限制'!$M$7:$M$106,"暫停技能資格",'事件與限制'!$Q$7:$Q$106,"生效中")&gt;0,"資格暫停",IF($E216="未評估","未建立",_xlfn.XLOOKUP("ABIL|2006|LJT-PREP-CROWNPOST",'主管核定中心'!$A$12:$A$372,'主管核定中心'!$K$12:$K$372,"待主管核定",0)))</x:f>
        <x:v>未建立</x:v>
      </x:c>
      <x:c r="G216" s="37" t="str">
        <x:v>初始能力基準</x:v>
      </x:c>
      <x:c r="H216" s="41" t="n">
        <x:v>46266</x:v>
      </x:c>
      <x:c r="I216" s="44" t="str">
        <x:f>_xlfn.XLOOKUP("ABIL|2006|LJT-PREP-CROWNPOST",'主管核定中心'!$A$12:$A$372,'主管核定中心'!$I$12:$I$372,"",0)</x:f>
      </x:c>
      <x:c r="J216" s="46" t="str">
        <x:f>_xlfn.XLOOKUP("ABIL|2006|LJT-PREP-CROWNPOST",'主管核定中心'!$A$12:$A$372,'主管核定中心'!$H$12:$H$372,"",0)</x:f>
      </x:c>
      <x:c r="K216" s="37" t="n">
        <x:v>33</x:v>
      </x:c>
      <x:c r="L216" s="37" t="str">
        <x:v>2006|LJT-PREP-CROWNPOST</x:v>
      </x:c>
    </x:row>
    <x:row r="217">
      <x:c r="A217" s="37" t="str">
        <x:v>2006</x:v>
      </x:c>
      <x:c r="B217" s="37" t="str"/>
      <x:c r="C217" s="37" t="str">
        <x:v>LJT-PREP-CROWN</x:v>
      </x:c>
      <x:c r="D217" s="37" t="str">
        <x:v>固定假牙</x:v>
      </x:c>
      <x:c r="E217" s="37" t="str">
        <x:f>IF(_xlfn.XLOOKUP("UPG|2006|LJT-PREP-CROWN",'能力升級候選'!$A$7:$A$258,'能力升級候選'!$R$7:$R$258,"",0)="已核定升級","◎",_xlfn.XLOOKUP("UPG|2006|LJT-PREP-CROWN",'能力升級候選'!$A$7:$A$258,'能力升級候選'!$E$7:$E$258,"未評估",0))</x:f>
        <x:v>未評估</x:v>
      </x:c>
      <x:c r="F217" s="37" t="str">
        <x:f>IF(COUNTIFS('事件與限制'!$C$7:$C$106,$A217,'事件與限制'!$E$7:$E$106,$C217,'事件與限制'!$M$7:$M$106,"暫停技能資格",'事件與限制'!$Q$7:$Q$106,"生效中")&gt;0,"資格暫停",IF($E217="未評估","未建立",_xlfn.XLOOKUP("ABIL|2006|LJT-PREP-CROWN",'主管核定中心'!$A$12:$A$372,'主管核定中心'!$K$12:$K$372,"待主管核定",0)))</x:f>
        <x:v>未建立</x:v>
      </x:c>
      <x:c r="G217" s="37" t="str">
        <x:v>初始能力基準</x:v>
      </x:c>
      <x:c r="H217" s="41" t="n">
        <x:v>46266</x:v>
      </x:c>
      <x:c r="I217" s="44" t="str">
        <x:f>_xlfn.XLOOKUP("ABIL|2006|LJT-PREP-CROWN",'主管核定中心'!$A$12:$A$372,'主管核定中心'!$I$12:$I$372,"",0)</x:f>
      </x:c>
      <x:c r="J217" s="46" t="str">
        <x:f>_xlfn.XLOOKUP("ABIL|2006|LJT-PREP-CROWN",'主管核定中心'!$A$12:$A$372,'主管核定中心'!$H$12:$H$372,"",0)</x:f>
      </x:c>
      <x:c r="K217" s="37" t="n">
        <x:v>34</x:v>
      </x:c>
      <x:c r="L217" s="37" t="str">
        <x:v>2006|LJT-PREP-CROWN</x:v>
      </x:c>
    </x:row>
    <x:row r="218">
      <x:c r="A218" s="37" t="str">
        <x:v>2006</x:v>
      </x:c>
      <x:c r="B218" s="37" t="str"/>
      <x:c r="C218" s="37" t="str">
        <x:v>LJT-PREP-RPD</x:v>
      </x:c>
      <x:c r="D218" s="37" t="str">
        <x:v>RPD</x:v>
      </x:c>
      <x:c r="E218" s="37" t="str">
        <x:f>IF(_xlfn.XLOOKUP("UPG|2006|LJT-PREP-RPD",'能力升級候選'!$A$7:$A$258,'能力升級候選'!$R$7:$R$258,"",0)="已核定升級","◎",_xlfn.XLOOKUP("UPG|2006|LJT-PREP-RPD",'能力升級候選'!$A$7:$A$258,'能力升級候選'!$E$7:$E$258,"未評估",0))</x:f>
        <x:v>未評估</x:v>
      </x:c>
      <x:c r="F218" s="37" t="str">
        <x:f>IF(COUNTIFS('事件與限制'!$C$7:$C$106,$A218,'事件與限制'!$E$7:$E$106,$C218,'事件與限制'!$M$7:$M$106,"暫停技能資格",'事件與限制'!$Q$7:$Q$106,"生效中")&gt;0,"資格暫停",IF($E218="未評估","未建立",_xlfn.XLOOKUP("ABIL|2006|LJT-PREP-RPD",'主管核定中心'!$A$12:$A$372,'主管核定中心'!$K$12:$K$372,"待主管核定",0)))</x:f>
        <x:v>未建立</x:v>
      </x:c>
      <x:c r="G218" s="37" t="str">
        <x:v>初始能力基準</x:v>
      </x:c>
      <x:c r="H218" s="41" t="n">
        <x:v>46266</x:v>
      </x:c>
      <x:c r="I218" s="44" t="str">
        <x:f>_xlfn.XLOOKUP("ABIL|2006|LJT-PREP-RPD",'主管核定中心'!$A$12:$A$372,'主管核定中心'!$I$12:$I$372,"",0)</x:f>
      </x:c>
      <x:c r="J218" s="46" t="str">
        <x:f>_xlfn.XLOOKUP("ABIL|2006|LJT-PREP-RPD",'主管核定中心'!$A$12:$A$372,'主管核定中心'!$H$12:$H$372,"",0)</x:f>
      </x:c>
      <x:c r="K218" s="37" t="n">
        <x:v>35</x:v>
      </x:c>
      <x:c r="L218" s="37" t="str">
        <x:v>2006|LJT-PREP-RPD</x:v>
      </x:c>
    </x:row>
    <x:row r="219">
      <x:c r="A219" s="37" t="str">
        <x:v>2006</x:v>
      </x:c>
      <x:c r="B219" s="37" t="str"/>
      <x:c r="C219" s="37" t="str">
        <x:v>LJT-PREP-AIRPOLISH</x:v>
      </x:c>
      <x:c r="D219" s="37" t="str">
        <x:v>噴砂美白</x:v>
      </x:c>
      <x:c r="E219" s="37" t="str">
        <x:f>IF(_xlfn.XLOOKUP("UPG|2006|LJT-PREP-AIRPOLISH",'能力升級候選'!$A$7:$A$258,'能力升級候選'!$R$7:$R$258,"",0)="已核定升級","◎",_xlfn.XLOOKUP("UPG|2006|LJT-PREP-AIRPOLISH",'能力升級候選'!$A$7:$A$258,'能力升級候選'!$E$7:$E$258,"未評估",0))</x:f>
        <x:v>未評估</x:v>
      </x:c>
      <x:c r="F219" s="37" t="str">
        <x:f>IF(COUNTIFS('事件與限制'!$C$7:$C$106,$A219,'事件與限制'!$E$7:$E$106,$C219,'事件與限制'!$M$7:$M$106,"暫停技能資格",'事件與限制'!$Q$7:$Q$106,"生效中")&gt;0,"資格暫停",IF($E219="未評估","未建立",_xlfn.XLOOKUP("ABIL|2006|LJT-PREP-AIRPOLISH",'主管核定中心'!$A$12:$A$372,'主管核定中心'!$K$12:$K$372,"待主管核定",0)))</x:f>
        <x:v>未建立</x:v>
      </x:c>
      <x:c r="G219" s="37" t="str">
        <x:v>初始能力基準</x:v>
      </x:c>
      <x:c r="H219" s="41" t="n">
        <x:v>46266</x:v>
      </x:c>
      <x:c r="I219" s="44" t="str">
        <x:f>_xlfn.XLOOKUP("ABIL|2006|LJT-PREP-AIRPOLISH",'主管核定中心'!$A$12:$A$372,'主管核定中心'!$I$12:$I$372,"",0)</x:f>
      </x:c>
      <x:c r="J219" s="46" t="str">
        <x:f>_xlfn.XLOOKUP("ABIL|2006|LJT-PREP-AIRPOLISH",'主管核定中心'!$A$12:$A$372,'主管核定中心'!$H$12:$H$372,"",0)</x:f>
      </x:c>
      <x:c r="K219" s="37" t="n">
        <x:v>36</x:v>
      </x:c>
      <x:c r="L219" s="37" t="str">
        <x:v>2006|LJT-PREP-AIRPOLISH</x:v>
      </x:c>
    </x:row>
    <x:row r="220">
      <x:c r="A220" s="37" t="str">
        <x:v>2006</x:v>
      </x:c>
      <x:c r="B220" s="37" t="str"/>
      <x:c r="C220" s="37" t="str">
        <x:v>LJT-PREP-PERIOSURG</x:v>
      </x:c>
      <x:c r="D220" s="37" t="str">
        <x:v>牙周手術</x:v>
      </x:c>
      <x:c r="E220" s="37" t="str">
        <x:f>IF(_xlfn.XLOOKUP("UPG|2006|LJT-PREP-PERIOSURG",'能力升級候選'!$A$7:$A$258,'能力升級候選'!$R$7:$R$258,"",0)="已核定升級","◎",_xlfn.XLOOKUP("UPG|2006|LJT-PREP-PERIOSURG",'能力升級候選'!$A$7:$A$258,'能力升級候選'!$E$7:$E$258,"未評估",0))</x:f>
        <x:v>未評估</x:v>
      </x:c>
      <x:c r="F220" s="37" t="str">
        <x:f>IF(COUNTIFS('事件與限制'!$C$7:$C$106,$A220,'事件與限制'!$E$7:$E$106,$C220,'事件與限制'!$M$7:$M$106,"暫停技能資格",'事件與限制'!$Q$7:$Q$106,"生效中")&gt;0,"資格暫停",IF($E220="未評估","未建立",_xlfn.XLOOKUP("ABIL|2006|LJT-PREP-PERIOSURG",'主管核定中心'!$A$12:$A$372,'主管核定中心'!$K$12:$K$372,"待主管核定",0)))</x:f>
        <x:v>未建立</x:v>
      </x:c>
      <x:c r="G220" s="37" t="str">
        <x:v>初始能力基準</x:v>
      </x:c>
      <x:c r="H220" s="41" t="n">
        <x:v>46266</x:v>
      </x:c>
      <x:c r="I220" s="44" t="str">
        <x:f>_xlfn.XLOOKUP("ABIL|2006|LJT-PREP-PERIOSURG",'主管核定中心'!$A$12:$A$372,'主管核定中心'!$I$12:$I$372,"",0)</x:f>
      </x:c>
      <x:c r="J220" s="46" t="str">
        <x:f>_xlfn.XLOOKUP("ABIL|2006|LJT-PREP-PERIOSURG",'主管核定中心'!$A$12:$A$372,'主管核定中心'!$H$12:$H$372,"",0)</x:f>
      </x:c>
      <x:c r="K220" s="37" t="n">
        <x:v>37</x:v>
      </x:c>
      <x:c r="L220" s="37" t="str">
        <x:v>2006|LJT-PREP-PERIOSURG</x:v>
      </x:c>
    </x:row>
    <x:row r="221">
      <x:c r="A221" s="37" t="str">
        <x:v>2006</x:v>
      </x:c>
      <x:c r="B221" s="37" t="str"/>
      <x:c r="C221" s="37" t="str">
        <x:v>LJT-PREP-MICROENDO</x:v>
      </x:c>
      <x:c r="D221" s="37" t="str">
        <x:v>顯微根管</x:v>
      </x:c>
      <x:c r="E221" s="37" t="str">
        <x:f>IF(_xlfn.XLOOKUP("UPG|2006|LJT-PREP-MICROENDO",'能力升級候選'!$A$7:$A$258,'能力升級候選'!$R$7:$R$258,"",0)="已核定升級","◎",_xlfn.XLOOKUP("UPG|2006|LJT-PREP-MICROENDO",'能力升級候選'!$A$7:$A$258,'能力升級候選'!$E$7:$E$258,"未評估",0))</x:f>
        <x:v>未評估</x:v>
      </x:c>
      <x:c r="F221" s="37" t="str">
        <x:f>IF(COUNTIFS('事件與限制'!$C$7:$C$106,$A221,'事件與限制'!$E$7:$E$106,$C221,'事件與限制'!$M$7:$M$106,"暫停技能資格",'事件與限制'!$Q$7:$Q$106,"生效中")&gt;0,"資格暫停",IF($E221="未評估","未建立",_xlfn.XLOOKUP("ABIL|2006|LJT-PREP-MICROENDO",'主管核定中心'!$A$12:$A$372,'主管核定中心'!$K$12:$K$372,"待主管核定",0)))</x:f>
        <x:v>未建立</x:v>
      </x:c>
      <x:c r="G221" s="37" t="str">
        <x:v>初始能力基準</x:v>
      </x:c>
      <x:c r="H221" s="41" t="n">
        <x:v>46266</x:v>
      </x:c>
      <x:c r="I221" s="44" t="str">
        <x:f>_xlfn.XLOOKUP("ABIL|2006|LJT-PREP-MICROENDO",'主管核定中心'!$A$12:$A$372,'主管核定中心'!$I$12:$I$372,"",0)</x:f>
      </x:c>
      <x:c r="J221" s="46" t="str">
        <x:f>_xlfn.XLOOKUP("ABIL|2006|LJT-PREP-MICROENDO",'主管核定中心'!$A$12:$A$372,'主管核定中心'!$H$12:$H$372,"",0)</x:f>
      </x:c>
      <x:c r="K221" s="37" t="n">
        <x:v>38</x:v>
      </x:c>
      <x:c r="L221" s="37" t="str">
        <x:v>2006|LJT-PREP-MICROENDO</x:v>
      </x:c>
    </x:row>
    <x:row r="222">
      <x:c r="A222" s="37" t="str">
        <x:v>2006</x:v>
      </x:c>
      <x:c r="B222" s="37" t="str"/>
      <x:c r="C222" s="37" t="str">
        <x:v>LJT-PREP-IMPLANT</x:v>
      </x:c>
      <x:c r="D222" s="37" t="str">
        <x:v>植 牙</x:v>
      </x:c>
      <x:c r="E222" s="37" t="str">
        <x:f>IF(_xlfn.XLOOKUP("UPG|2006|LJT-PREP-IMPLANT",'能力升級候選'!$A$7:$A$258,'能力升級候選'!$R$7:$R$258,"",0)="已核定升級","◎",_xlfn.XLOOKUP("UPG|2006|LJT-PREP-IMPLANT",'能力升級候選'!$A$7:$A$258,'能力升級候選'!$E$7:$E$258,"未評估",0))</x:f>
        <x:v>未評估</x:v>
      </x:c>
      <x:c r="F222" s="37" t="str">
        <x:f>IF(COUNTIFS('事件與限制'!$C$7:$C$106,$A222,'事件與限制'!$E$7:$E$106,$C222,'事件與限制'!$M$7:$M$106,"暫停技能資格",'事件與限制'!$Q$7:$Q$106,"生效中")&gt;0,"資格暫停",IF($E222="未評估","未建立",_xlfn.XLOOKUP("ABIL|2006|LJT-PREP-IMPLANT",'主管核定中心'!$A$12:$A$372,'主管核定中心'!$K$12:$K$372,"待主管核定",0)))</x:f>
        <x:v>未建立</x:v>
      </x:c>
      <x:c r="G222" s="37" t="str">
        <x:v>初始能力基準</x:v>
      </x:c>
      <x:c r="H222" s="41" t="n">
        <x:v>46266</x:v>
      </x:c>
      <x:c r="I222" s="44" t="str">
        <x:f>_xlfn.XLOOKUP("ABIL|2006|LJT-PREP-IMPLANT",'主管核定中心'!$A$12:$A$372,'主管核定中心'!$I$12:$I$372,"",0)</x:f>
      </x:c>
      <x:c r="J222" s="46" t="str">
        <x:f>_xlfn.XLOOKUP("ABIL|2006|LJT-PREP-IMPLANT",'主管核定中心'!$A$12:$A$372,'主管核定中心'!$H$12:$H$372,"",0)</x:f>
      </x:c>
      <x:c r="K222" s="37" t="n">
        <x:v>39</x:v>
      </x:c>
      <x:c r="L222" s="37" t="str">
        <x:v>2006|LJT-PREP-IMPLANT</x:v>
      </x:c>
    </x:row>
    <x:row r="223">
      <x:c r="A223" s="37" t="str">
        <x:v>2006</x:v>
      </x:c>
      <x:c r="B223" s="37" t="str"/>
      <x:c r="C223" s="37" t="str">
        <x:v>COMMON-RECORD</x:v>
      </x:c>
      <x:c r="D223" s="37" t="str">
        <x:v>病歷紀錄</x:v>
      </x:c>
      <x:c r="E223" s="37" t="str">
        <x:f>IF(_xlfn.XLOOKUP("UPG|2006|COMMON-RECORD",'能力升級候選'!$A$7:$A$258,'能力升級候選'!$R$7:$R$258,"",0)="已核定升級","◎",_xlfn.XLOOKUP("UPG|2006|COMMON-RECORD",'能力升級候選'!$A$7:$A$258,'能力升級候選'!$E$7:$E$258,"未評估",0))</x:f>
        <x:v>未評估</x:v>
      </x:c>
      <x:c r="F223" s="37" t="str">
        <x:f>IF(COUNTIFS('事件與限制'!$C$7:$C$106,$A223,'事件與限制'!$E$7:$E$106,$C223,'事件與限制'!$M$7:$M$106,"暫停技能資格",'事件與限制'!$Q$7:$Q$106,"生效中")&gt;0,"資格暫停",IF($E223="未評估","未建立",_xlfn.XLOOKUP("ABIL|2006|COMMON-RECORD",'主管核定中心'!$A$12:$A$372,'主管核定中心'!$K$12:$K$372,"待主管核定",0)))</x:f>
        <x:v>未建立</x:v>
      </x:c>
      <x:c r="G223" s="37" t="str">
        <x:v>初始能力基準</x:v>
      </x:c>
      <x:c r="H223" s="41" t="n">
        <x:v>46266</x:v>
      </x:c>
      <x:c r="I223" s="44" t="str">
        <x:f>_xlfn.XLOOKUP("ABIL|2006|COMMON-RECORD",'主管核定中心'!$A$12:$A$372,'主管核定中心'!$I$12:$I$372,"",0)</x:f>
      </x:c>
      <x:c r="J223" s="46" t="str">
        <x:f>_xlfn.XLOOKUP("ABIL|2006|COMMON-RECORD",'主管核定中心'!$A$12:$A$372,'主管核定中心'!$H$12:$H$372,"",0)</x:f>
      </x:c>
      <x:c r="K223" s="37" t="n">
        <x:v>41</x:v>
      </x:c>
      <x:c r="L223" s="37" t="str">
        <x:v>2006|COMMON-RECORD</x:v>
      </x:c>
    </x:row>
    <x:row r="224">
      <x:c r="A224" s="37" t="str">
        <x:v>2006</x:v>
      </x:c>
      <x:c r="B224" s="37" t="str"/>
      <x:c r="C224" s="37" t="str">
        <x:v>COMMON-INSURANCE</x:v>
      </x:c>
      <x:c r="D224" s="37" t="str">
        <x:v>健保申報</x:v>
      </x:c>
      <x:c r="E224" s="37" t="str">
        <x:f>IF(_xlfn.XLOOKUP("UPG|2006|COMMON-INSURANCE",'能力升級候選'!$A$7:$A$258,'能力升級候選'!$R$7:$R$258,"",0)="已核定升級","◎",_xlfn.XLOOKUP("UPG|2006|COMMON-INSURANCE",'能力升級候選'!$A$7:$A$258,'能力升級候選'!$E$7:$E$258,"未評估",0))</x:f>
        <x:v>未評估</x:v>
      </x:c>
      <x:c r="F224" s="37" t="str">
        <x:f>IF(COUNTIFS('事件與限制'!$C$7:$C$106,$A224,'事件與限制'!$E$7:$E$106,$C224,'事件與限制'!$M$7:$M$106,"暫停技能資格",'事件與限制'!$Q$7:$Q$106,"生效中")&gt;0,"資格暫停",IF($E224="未評估","未建立",_xlfn.XLOOKUP("ABIL|2006|COMMON-INSURANCE",'主管核定中心'!$A$12:$A$372,'主管核定中心'!$K$12:$K$372,"待主管核定",0)))</x:f>
        <x:v>未建立</x:v>
      </x:c>
      <x:c r="G224" s="37" t="str">
        <x:v>初始能力基準</x:v>
      </x:c>
      <x:c r="H224" s="41" t="n">
        <x:v>46266</x:v>
      </x:c>
      <x:c r="I224" s="44" t="str">
        <x:f>_xlfn.XLOOKUP("ABIL|2006|COMMON-INSURANCE",'主管核定中心'!$A$12:$A$372,'主管核定中心'!$I$12:$I$372,"",0)</x:f>
      </x:c>
      <x:c r="J224" s="46" t="str">
        <x:f>_xlfn.XLOOKUP("ABIL|2006|COMMON-INSURANCE",'主管核定中心'!$A$12:$A$372,'主管核定中心'!$H$12:$H$372,"",0)</x:f>
      </x:c>
      <x:c r="K224" s="37" t="n">
        <x:v>42</x:v>
      </x:c>
      <x:c r="L224" s="37" t="str">
        <x:v>2006|COMMON-INSURANCE</x:v>
      </x:c>
    </x:row>
    <x:row r="225">
      <x:c r="A225" s="37" t="str">
        <x:v>2006</x:v>
      </x:c>
      <x:c r="B225" s="37" t="str"/>
      <x:c r="C225" s="37" t="str">
        <x:v>COMMON-XRAY-RECORD</x:v>
      </x:c>
      <x:c r="D225" s="37" t="str">
        <x:v>X光片紀錄</x:v>
      </x:c>
      <x:c r="E225" s="37" t="str">
        <x:f>IF(_xlfn.XLOOKUP("UPG|2006|COMMON-XRAY-RECORD",'能力升級候選'!$A$7:$A$258,'能力升級候選'!$R$7:$R$258,"",0)="已核定升級","◎",_xlfn.XLOOKUP("UPG|2006|COMMON-XRAY-RECORD",'能力升級候選'!$A$7:$A$258,'能力升級候選'!$E$7:$E$258,"未評估",0))</x:f>
        <x:v>未評估</x:v>
      </x:c>
      <x:c r="F225" s="37" t="str">
        <x:f>IF(COUNTIFS('事件與限制'!$C$7:$C$106,$A225,'事件與限制'!$E$7:$E$106,$C225,'事件與限制'!$M$7:$M$106,"暫停技能資格",'事件與限制'!$Q$7:$Q$106,"生效中")&gt;0,"資格暫停",IF($E225="未評估","未建立",_xlfn.XLOOKUP("ABIL|2006|COMMON-XRAY-RECORD",'主管核定中心'!$A$12:$A$372,'主管核定中心'!$K$12:$K$372,"待主管核定",0)))</x:f>
        <x:v>未建立</x:v>
      </x:c>
      <x:c r="G225" s="37" t="str">
        <x:v>初始能力基準</x:v>
      </x:c>
      <x:c r="H225" s="41" t="n">
        <x:v>46266</x:v>
      </x:c>
      <x:c r="I225" s="44" t="str">
        <x:f>_xlfn.XLOOKUP("ABIL|2006|COMMON-XRAY-RECORD",'主管核定中心'!$A$12:$A$372,'主管核定中心'!$I$12:$I$372,"",0)</x:f>
      </x:c>
      <x:c r="J225" s="46" t="str">
        <x:f>_xlfn.XLOOKUP("ABIL|2006|COMMON-XRAY-RECORD",'主管核定中心'!$A$12:$A$372,'主管核定中心'!$H$12:$H$372,"",0)</x:f>
      </x:c>
      <x:c r="K225" s="37" t="n">
        <x:v>43</x:v>
      </x:c>
      <x:c r="L225" s="37" t="str">
        <x:v>2006|COMMON-XRAY-RECORD</x:v>
      </x:c>
    </x:row>
    <x:row r="226">
      <x:c r="A226" s="37" t="str">
        <x:v>2006</x:v>
      </x:c>
      <x:c r="B226" s="37" t="str"/>
      <x:c r="C226" s="37" t="str">
        <x:v>COMMON-PA</x:v>
      </x:c>
      <x:c r="D226" s="37" t="str">
        <x:v>拍PA</x:v>
      </x:c>
      <x:c r="E226" s="37" t="str">
        <x:f>IF(_xlfn.XLOOKUP("UPG|2006|COMMON-PA",'能力升級候選'!$A$7:$A$258,'能力升級候選'!$R$7:$R$258,"",0)="已核定升級","◎",_xlfn.XLOOKUP("UPG|2006|COMMON-PA",'能力升級候選'!$A$7:$A$258,'能力升級候選'!$E$7:$E$258,"未評估",0))</x:f>
        <x:v>未評估</x:v>
      </x:c>
      <x:c r="F226" s="37" t="str">
        <x:f>IF(COUNTIFS('事件與限制'!$C$7:$C$106,$A226,'事件與限制'!$E$7:$E$106,$C226,'事件與限制'!$M$7:$M$106,"暫停技能資格",'事件與限制'!$Q$7:$Q$106,"生效中")&gt;0,"資格暫停",IF($E226="未評估","未建立",_xlfn.XLOOKUP("ABIL|2006|COMMON-PA",'主管核定中心'!$A$12:$A$372,'主管核定中心'!$K$12:$K$372,"待主管核定",0)))</x:f>
        <x:v>未建立</x:v>
      </x:c>
      <x:c r="G226" s="37" t="str">
        <x:v>初始能力基準</x:v>
      </x:c>
      <x:c r="H226" s="41" t="n">
        <x:v>46266</x:v>
      </x:c>
      <x:c r="I226" s="44" t="str">
        <x:f>_xlfn.XLOOKUP("ABIL|2006|COMMON-PA",'主管核定中心'!$A$12:$A$372,'主管核定中心'!$I$12:$I$372,"",0)</x:f>
      </x:c>
      <x:c r="J226" s="46" t="str">
        <x:f>_xlfn.XLOOKUP("ABIL|2006|COMMON-PA",'主管核定中心'!$A$12:$A$372,'主管核定中心'!$H$12:$H$372,"",0)</x:f>
      </x:c>
      <x:c r="K226" s="37" t="n">
        <x:v>44</x:v>
      </x:c>
      <x:c r="L226" s="37" t="str">
        <x:v>2006|COMMON-PA</x:v>
      </x:c>
    </x:row>
    <x:row r="227">
      <x:c r="A227" s="37" t="str">
        <x:v>2006</x:v>
      </x:c>
      <x:c r="B227" s="37" t="str"/>
      <x:c r="C227" s="37" t="str">
        <x:v>COMMON-IOS</x:v>
      </x:c>
      <x:c r="D227" s="37" t="str">
        <x:v>口掃機運用</x:v>
      </x:c>
      <x:c r="E227" s="37" t="str">
        <x:f>IF(_xlfn.XLOOKUP("UPG|2006|COMMON-IOS",'能力升級候選'!$A$7:$A$258,'能力升級候選'!$R$7:$R$258,"",0)="已核定升級","◎",_xlfn.XLOOKUP("UPG|2006|COMMON-IOS",'能力升級候選'!$A$7:$A$258,'能力升級候選'!$E$7:$E$258,"未評估",0))</x:f>
        <x:v>未評估</x:v>
      </x:c>
      <x:c r="F227" s="37" t="str">
        <x:f>IF(COUNTIFS('事件與限制'!$C$7:$C$106,$A227,'事件與限制'!$E$7:$E$106,$C227,'事件與限制'!$M$7:$M$106,"暫停技能資格",'事件與限制'!$Q$7:$Q$106,"生效中")&gt;0,"資格暫停",IF($E227="未評估","未建立",_xlfn.XLOOKUP("ABIL|2006|COMMON-IOS",'主管核定中心'!$A$12:$A$372,'主管核定中心'!$K$12:$K$372,"待主管核定",0)))</x:f>
        <x:v>未建立</x:v>
      </x:c>
      <x:c r="G227" s="37" t="str">
        <x:v>初始能力基準</x:v>
      </x:c>
      <x:c r="H227" s="41" t="n">
        <x:v>46266</x:v>
      </x:c>
      <x:c r="I227" s="44" t="str">
        <x:f>_xlfn.XLOOKUP("ABIL|2006|COMMON-IOS",'主管核定中心'!$A$12:$A$372,'主管核定中心'!$I$12:$I$372,"",0)</x:f>
      </x:c>
      <x:c r="J227" s="46" t="str">
        <x:f>_xlfn.XLOOKUP("ABIL|2006|COMMON-IOS",'主管核定中心'!$A$12:$A$372,'主管核定中心'!$H$12:$H$372,"",0)</x:f>
      </x:c>
      <x:c r="K227" s="37" t="n">
        <x:v>45</x:v>
      </x:c>
      <x:c r="L227" s="37" t="str">
        <x:v>2006|COMMON-IOS</x:v>
      </x:c>
    </x:row>
    <x:row r="228">
      <x:c r="A228" s="37" t="str">
        <x:v>2007</x:v>
      </x:c>
      <x:c r="B228" s="37" t="str"/>
      <x:c r="C228" s="37" t="str">
        <x:v>LJT-PREP-SCALING</x:v>
      </x:c>
      <x:c r="D228" s="37" t="str">
        <x:v>洗牙</x:v>
      </x:c>
      <x:c r="E228" s="37" t="str">
        <x:f>IF(_xlfn.XLOOKUP("UPG|2007|LJT-PREP-SCALING",'能力升級候選'!$A$7:$A$258,'能力升級候選'!$R$7:$R$258,"",0)="已核定升級","◎",_xlfn.XLOOKUP("UPG|2007|LJT-PREP-SCALING",'能力升級候選'!$A$7:$A$258,'能力升級候選'!$E$7:$E$258,"未評估",0))</x:f>
        <x:v>未評估</x:v>
      </x:c>
      <x:c r="F228" s="37" t="str">
        <x:f>IF(COUNTIFS('事件與限制'!$C$7:$C$106,$A228,'事件與限制'!$E$7:$E$106,$C228,'事件與限制'!$M$7:$M$106,"暫停技能資格",'事件與限制'!$Q$7:$Q$106,"生效中")&gt;0,"資格暫停",IF($E228="未評估","未建立",_xlfn.XLOOKUP("ABIL|2007|LJT-PREP-SCALING",'主管核定中心'!$A$12:$A$372,'主管核定中心'!$K$12:$K$372,"待主管核定",0)))</x:f>
        <x:v>未建立</x:v>
      </x:c>
      <x:c r="G228" s="37" t="str">
        <x:v>初始能力基準</x:v>
      </x:c>
      <x:c r="H228" s="41" t="n">
        <x:v>46266</x:v>
      </x:c>
      <x:c r="I228" s="44" t="str">
        <x:f>_xlfn.XLOOKUP("ABIL|2007|LJT-PREP-SCALING",'主管核定中心'!$A$12:$A$372,'主管核定中心'!$I$12:$I$372,"",0)</x:f>
      </x:c>
      <x:c r="J228" s="46" t="str">
        <x:f>_xlfn.XLOOKUP("ABIL|2007|LJT-PREP-SCALING",'主管核定中心'!$A$12:$A$372,'主管核定中心'!$H$12:$H$372,"",0)</x:f>
      </x:c>
      <x:c r="K228" s="37" t="n">
        <x:v>28</x:v>
      </x:c>
      <x:c r="L228" s="37" t="str">
        <x:v>2007|LJT-PREP-SCALING</x:v>
      </x:c>
    </x:row>
    <x:row r="229">
      <x:c r="A229" s="37" t="str">
        <x:v>2007</x:v>
      </x:c>
      <x:c r="B229" s="37" t="str"/>
      <x:c r="C229" s="37" t="str">
        <x:v>LJT-PREP-FILLING</x:v>
      </x:c>
      <x:c r="D229" s="37" t="str">
        <x:v>補牙</x:v>
      </x:c>
      <x:c r="E229" s="37" t="str">
        <x:f>IF(_xlfn.XLOOKUP("UPG|2007|LJT-PREP-FILLING",'能力升級候選'!$A$7:$A$258,'能力升級候選'!$R$7:$R$258,"",0)="已核定升級","◎",_xlfn.XLOOKUP("UPG|2007|LJT-PREP-FILLING",'能力升級候選'!$A$7:$A$258,'能力升級候選'!$E$7:$E$258,"未評估",0))</x:f>
        <x:v>未評估</x:v>
      </x:c>
      <x:c r="F229" s="37" t="str">
        <x:f>IF(COUNTIFS('事件與限制'!$C$7:$C$106,$A229,'事件與限制'!$E$7:$E$106,$C229,'事件與限制'!$M$7:$M$106,"暫停技能資格",'事件與限制'!$Q$7:$Q$106,"生效中")&gt;0,"資格暫停",IF($E229="未評估","未建立",_xlfn.XLOOKUP("ABIL|2007|LJT-PREP-FILLING",'主管核定中心'!$A$12:$A$372,'主管核定中心'!$K$12:$K$372,"待主管核定",0)))</x:f>
        <x:v>未建立</x:v>
      </x:c>
      <x:c r="G229" s="37" t="str">
        <x:v>初始能力基準</x:v>
      </x:c>
      <x:c r="H229" s="41" t="n">
        <x:v>46266</x:v>
      </x:c>
      <x:c r="I229" s="44" t="str">
        <x:f>_xlfn.XLOOKUP("ABIL|2007|LJT-PREP-FILLING",'主管核定中心'!$A$12:$A$372,'主管核定中心'!$I$12:$I$372,"",0)</x:f>
      </x:c>
      <x:c r="J229" s="46" t="str">
        <x:f>_xlfn.XLOOKUP("ABIL|2007|LJT-PREP-FILLING",'主管核定中心'!$A$12:$A$372,'主管核定中心'!$H$12:$H$372,"",0)</x:f>
      </x:c>
      <x:c r="K229" s="37" t="n">
        <x:v>29</x:v>
      </x:c>
      <x:c r="L229" s="37" t="str">
        <x:v>2007|LJT-PREP-FILLING</x:v>
      </x:c>
    </x:row>
    <x:row r="230">
      <x:c r="A230" s="37" t="str">
        <x:v>2007</x:v>
      </x:c>
      <x:c r="B230" s="37" t="str"/>
      <x:c r="C230" s="37" t="str">
        <x:v>LJT-PREP-PERIO</x:v>
      </x:c>
      <x:c r="D230" s="37" t="str">
        <x:v>牙周統合</x:v>
      </x:c>
      <x:c r="E230" s="37" t="str">
        <x:f>IF(_xlfn.XLOOKUP("UPG|2007|LJT-PREP-PERIO",'能力升級候選'!$A$7:$A$258,'能力升級候選'!$R$7:$R$258,"",0)="已核定升級","◎",_xlfn.XLOOKUP("UPG|2007|LJT-PREP-PERIO",'能力升級候選'!$A$7:$A$258,'能力升級候選'!$E$7:$E$258,"未評估",0))</x:f>
        <x:v>未評估</x:v>
      </x:c>
      <x:c r="F230" s="37" t="str">
        <x:f>IF(COUNTIFS('事件與限制'!$C$7:$C$106,$A230,'事件與限制'!$E$7:$E$106,$C230,'事件與限制'!$M$7:$M$106,"暫停技能資格",'事件與限制'!$Q$7:$Q$106,"生效中")&gt;0,"資格暫停",IF($E230="未評估","未建立",_xlfn.XLOOKUP("ABIL|2007|LJT-PREP-PERIO",'主管核定中心'!$A$12:$A$372,'主管核定中心'!$K$12:$K$372,"待主管核定",0)))</x:f>
        <x:v>未建立</x:v>
      </x:c>
      <x:c r="G230" s="37" t="str">
        <x:v>初始能力基準</x:v>
      </x:c>
      <x:c r="H230" s="41" t="n">
        <x:v>46266</x:v>
      </x:c>
      <x:c r="I230" s="44" t="str">
        <x:f>_xlfn.XLOOKUP("ABIL|2007|LJT-PREP-PERIO",'主管核定中心'!$A$12:$A$372,'主管核定中心'!$I$12:$I$372,"",0)</x:f>
      </x:c>
      <x:c r="J230" s="46" t="str">
        <x:f>_xlfn.XLOOKUP("ABIL|2007|LJT-PREP-PERIO",'主管核定中心'!$A$12:$A$372,'主管核定中心'!$H$12:$H$372,"",0)</x:f>
      </x:c>
      <x:c r="K230" s="37" t="n">
        <x:v>30</x:v>
      </x:c>
      <x:c r="L230" s="37" t="str">
        <x:v>2007|LJT-PREP-PERIO</x:v>
      </x:c>
    </x:row>
    <x:row r="231">
      <x:c r="A231" s="37" t="str">
        <x:v>2007</x:v>
      </x:c>
      <x:c r="B231" s="37" t="str"/>
      <x:c r="C231" s="37" t="str">
        <x:v>LJT-PREP-RCT</x:v>
      </x:c>
      <x:c r="D231" s="37" t="str">
        <x:v>根管治療</x:v>
      </x:c>
      <x:c r="E231" s="37" t="str">
        <x:f>IF(_xlfn.XLOOKUP("UPG|2007|LJT-PREP-RCT",'能力升級候選'!$A$7:$A$258,'能力升級候選'!$R$7:$R$258,"",0)="已核定升級","◎",_xlfn.XLOOKUP("UPG|2007|LJT-PREP-RCT",'能力升級候選'!$A$7:$A$258,'能力升級候選'!$E$7:$E$258,"未評估",0))</x:f>
        <x:v>未評估</x:v>
      </x:c>
      <x:c r="F231" s="37" t="str">
        <x:f>IF(COUNTIFS('事件與限制'!$C$7:$C$106,$A231,'事件與限制'!$E$7:$E$106,$C231,'事件與限制'!$M$7:$M$106,"暫停技能資格",'事件與限制'!$Q$7:$Q$106,"生效中")&gt;0,"資格暫停",IF($E231="未評估","未建立",_xlfn.XLOOKUP("ABIL|2007|LJT-PREP-RCT",'主管核定中心'!$A$12:$A$372,'主管核定中心'!$K$12:$K$372,"待主管核定",0)))</x:f>
        <x:v>未建立</x:v>
      </x:c>
      <x:c r="G231" s="37" t="str">
        <x:v>初始能力基準</x:v>
      </x:c>
      <x:c r="H231" s="41" t="n">
        <x:v>46266</x:v>
      </x:c>
      <x:c r="I231" s="44" t="str">
        <x:f>_xlfn.XLOOKUP("ABIL|2007|LJT-PREP-RCT",'主管核定中心'!$A$12:$A$372,'主管核定中心'!$I$12:$I$372,"",0)</x:f>
      </x:c>
      <x:c r="J231" s="46" t="str">
        <x:f>_xlfn.XLOOKUP("ABIL|2007|LJT-PREP-RCT",'主管核定中心'!$A$12:$A$372,'主管核定中心'!$H$12:$H$372,"",0)</x:f>
      </x:c>
      <x:c r="K231" s="37" t="n">
        <x:v>31</x:v>
      </x:c>
      <x:c r="L231" s="37" t="str">
        <x:v>2007|LJT-PREP-RCT</x:v>
      </x:c>
    </x:row>
    <x:row r="232">
      <x:c r="A232" s="37" t="str">
        <x:v>2007</x:v>
      </x:c>
      <x:c r="B232" s="37" t="str"/>
      <x:c r="C232" s="37" t="str">
        <x:v>LJT-PREP-EXTRACTION</x:v>
      </x:c>
      <x:c r="D232" s="37" t="str">
        <x:v>拔牙</x:v>
      </x:c>
      <x:c r="E232" s="37" t="str">
        <x:f>IF(_xlfn.XLOOKUP("UPG|2007|LJT-PREP-EXTRACTION",'能力升級候選'!$A$7:$A$258,'能力升級候選'!$R$7:$R$258,"",0)="已核定升級","◎",_xlfn.XLOOKUP("UPG|2007|LJT-PREP-EXTRACTION",'能力升級候選'!$A$7:$A$258,'能力升級候選'!$E$7:$E$258,"未評估",0))</x:f>
        <x:v>未評估</x:v>
      </x:c>
      <x:c r="F232" s="37" t="str">
        <x:f>IF(COUNTIFS('事件與限制'!$C$7:$C$106,$A232,'事件與限制'!$E$7:$E$106,$C232,'事件與限制'!$M$7:$M$106,"暫停技能資格",'事件與限制'!$Q$7:$Q$106,"生效中")&gt;0,"資格暫停",IF($E232="未評估","未建立",_xlfn.XLOOKUP("ABIL|2007|LJT-PREP-EXTRACTION",'主管核定中心'!$A$12:$A$372,'主管核定中心'!$K$12:$K$372,"待主管核定",0)))</x:f>
        <x:v>未建立</x:v>
      </x:c>
      <x:c r="G232" s="37" t="str">
        <x:v>初始能力基準</x:v>
      </x:c>
      <x:c r="H232" s="41" t="n">
        <x:v>46266</x:v>
      </x:c>
      <x:c r="I232" s="44" t="str">
        <x:f>_xlfn.XLOOKUP("ABIL|2007|LJT-PREP-EXTRACTION",'主管核定中心'!$A$12:$A$372,'主管核定中心'!$I$12:$I$372,"",0)</x:f>
      </x:c>
      <x:c r="J232" s="46" t="str">
        <x:f>_xlfn.XLOOKUP("ABIL|2007|LJT-PREP-EXTRACTION",'主管核定中心'!$A$12:$A$372,'主管核定中心'!$H$12:$H$372,"",0)</x:f>
      </x:c>
      <x:c r="K232" s="37" t="n">
        <x:v>32</x:v>
      </x:c>
      <x:c r="L232" s="37" t="str">
        <x:v>2007|LJT-PREP-EXTRACTION</x:v>
      </x:c>
    </x:row>
    <x:row r="233">
      <x:c r="A233" s="37" t="str">
        <x:v>2007</x:v>
      </x:c>
      <x:c r="B233" s="37" t="str"/>
      <x:c r="C233" s="37" t="str">
        <x:v>LJT-PREP-CROWNPOST</x:v>
      </x:c>
      <x:c r="D233" s="37" t="str">
        <x:v>拆 crown/post</x:v>
      </x:c>
      <x:c r="E233" s="37" t="str">
        <x:f>IF(_xlfn.XLOOKUP("UPG|2007|LJT-PREP-CROWNPOST",'能力升級候選'!$A$7:$A$258,'能力升級候選'!$R$7:$R$258,"",0)="已核定升級","◎",_xlfn.XLOOKUP("UPG|2007|LJT-PREP-CROWNPOST",'能力升級候選'!$A$7:$A$258,'能力升級候選'!$E$7:$E$258,"未評估",0))</x:f>
        <x:v>未評估</x:v>
      </x:c>
      <x:c r="F233" s="37" t="str">
        <x:f>IF(COUNTIFS('事件與限制'!$C$7:$C$106,$A233,'事件與限制'!$E$7:$E$106,$C233,'事件與限制'!$M$7:$M$106,"暫停技能資格",'事件與限制'!$Q$7:$Q$106,"生效中")&gt;0,"資格暫停",IF($E233="未評估","未建立",_xlfn.XLOOKUP("ABIL|2007|LJT-PREP-CROWNPOST",'主管核定中心'!$A$12:$A$372,'主管核定中心'!$K$12:$K$372,"待主管核定",0)))</x:f>
        <x:v>未建立</x:v>
      </x:c>
      <x:c r="G233" s="37" t="str">
        <x:v>初始能力基準</x:v>
      </x:c>
      <x:c r="H233" s="41" t="n">
        <x:v>46266</x:v>
      </x:c>
      <x:c r="I233" s="44" t="str">
        <x:f>_xlfn.XLOOKUP("ABIL|2007|LJT-PREP-CROWNPOST",'主管核定中心'!$A$12:$A$372,'主管核定中心'!$I$12:$I$372,"",0)</x:f>
      </x:c>
      <x:c r="J233" s="46" t="str">
        <x:f>_xlfn.XLOOKUP("ABIL|2007|LJT-PREP-CROWNPOST",'主管核定中心'!$A$12:$A$372,'主管核定中心'!$H$12:$H$372,"",0)</x:f>
      </x:c>
      <x:c r="K233" s="37" t="n">
        <x:v>33</x:v>
      </x:c>
      <x:c r="L233" s="37" t="str">
        <x:v>2007|LJT-PREP-CROWNPOST</x:v>
      </x:c>
    </x:row>
    <x:row r="234">
      <x:c r="A234" s="37" t="str">
        <x:v>2007</x:v>
      </x:c>
      <x:c r="B234" s="37" t="str"/>
      <x:c r="C234" s="37" t="str">
        <x:v>LJT-PREP-CROWN</x:v>
      </x:c>
      <x:c r="D234" s="37" t="str">
        <x:v>固定假牙</x:v>
      </x:c>
      <x:c r="E234" s="37" t="str">
        <x:f>IF(_xlfn.XLOOKUP("UPG|2007|LJT-PREP-CROWN",'能力升級候選'!$A$7:$A$258,'能力升級候選'!$R$7:$R$258,"",0)="已核定升級","◎",_xlfn.XLOOKUP("UPG|2007|LJT-PREP-CROWN",'能力升級候選'!$A$7:$A$258,'能力升級候選'!$E$7:$E$258,"未評估",0))</x:f>
        <x:v>未評估</x:v>
      </x:c>
      <x:c r="F234" s="37" t="str">
        <x:f>IF(COUNTIFS('事件與限制'!$C$7:$C$106,$A234,'事件與限制'!$E$7:$E$106,$C234,'事件與限制'!$M$7:$M$106,"暫停技能資格",'事件與限制'!$Q$7:$Q$106,"生效中")&gt;0,"資格暫停",IF($E234="未評估","未建立",_xlfn.XLOOKUP("ABIL|2007|LJT-PREP-CROWN",'主管核定中心'!$A$12:$A$372,'主管核定中心'!$K$12:$K$372,"待主管核定",0)))</x:f>
        <x:v>未建立</x:v>
      </x:c>
      <x:c r="G234" s="37" t="str">
        <x:v>初始能力基準</x:v>
      </x:c>
      <x:c r="H234" s="41" t="n">
        <x:v>46266</x:v>
      </x:c>
      <x:c r="I234" s="44" t="str">
        <x:f>_xlfn.XLOOKUP("ABIL|2007|LJT-PREP-CROWN",'主管核定中心'!$A$12:$A$372,'主管核定中心'!$I$12:$I$372,"",0)</x:f>
      </x:c>
      <x:c r="J234" s="46" t="str">
        <x:f>_xlfn.XLOOKUP("ABIL|2007|LJT-PREP-CROWN",'主管核定中心'!$A$12:$A$372,'主管核定中心'!$H$12:$H$372,"",0)</x:f>
      </x:c>
      <x:c r="K234" s="37" t="n">
        <x:v>34</x:v>
      </x:c>
      <x:c r="L234" s="37" t="str">
        <x:v>2007|LJT-PREP-CROWN</x:v>
      </x:c>
    </x:row>
    <x:row r="235">
      <x:c r="A235" s="37" t="str">
        <x:v>2007</x:v>
      </x:c>
      <x:c r="B235" s="37" t="str"/>
      <x:c r="C235" s="37" t="str">
        <x:v>LJT-PREP-RPD</x:v>
      </x:c>
      <x:c r="D235" s="37" t="str">
        <x:v>RPD</x:v>
      </x:c>
      <x:c r="E235" s="37" t="str">
        <x:f>IF(_xlfn.XLOOKUP("UPG|2007|LJT-PREP-RPD",'能力升級候選'!$A$7:$A$258,'能力升級候選'!$R$7:$R$258,"",0)="已核定升級","◎",_xlfn.XLOOKUP("UPG|2007|LJT-PREP-RPD",'能力升級候選'!$A$7:$A$258,'能力升級候選'!$E$7:$E$258,"未評估",0))</x:f>
        <x:v>未評估</x:v>
      </x:c>
      <x:c r="F235" s="37" t="str">
        <x:f>IF(COUNTIFS('事件與限制'!$C$7:$C$106,$A235,'事件與限制'!$E$7:$E$106,$C235,'事件與限制'!$M$7:$M$106,"暫停技能資格",'事件與限制'!$Q$7:$Q$106,"生效中")&gt;0,"資格暫停",IF($E235="未評估","未建立",_xlfn.XLOOKUP("ABIL|2007|LJT-PREP-RPD",'主管核定中心'!$A$12:$A$372,'主管核定中心'!$K$12:$K$372,"待主管核定",0)))</x:f>
        <x:v>未建立</x:v>
      </x:c>
      <x:c r="G235" s="37" t="str">
        <x:v>初始能力基準</x:v>
      </x:c>
      <x:c r="H235" s="41" t="n">
        <x:v>46266</x:v>
      </x:c>
      <x:c r="I235" s="44" t="str">
        <x:f>_xlfn.XLOOKUP("ABIL|2007|LJT-PREP-RPD",'主管核定中心'!$A$12:$A$372,'主管核定中心'!$I$12:$I$372,"",0)</x:f>
      </x:c>
      <x:c r="J235" s="46" t="str">
        <x:f>_xlfn.XLOOKUP("ABIL|2007|LJT-PREP-RPD",'主管核定中心'!$A$12:$A$372,'主管核定中心'!$H$12:$H$372,"",0)</x:f>
      </x:c>
      <x:c r="K235" s="37" t="n">
        <x:v>35</x:v>
      </x:c>
      <x:c r="L235" s="37" t="str">
        <x:v>2007|LJT-PREP-RPD</x:v>
      </x:c>
    </x:row>
    <x:row r="236">
      <x:c r="A236" s="37" t="str">
        <x:v>2007</x:v>
      </x:c>
      <x:c r="B236" s="37" t="str"/>
      <x:c r="C236" s="37" t="str">
        <x:v>LJT-PREP-AIRPOLISH</x:v>
      </x:c>
      <x:c r="D236" s="37" t="str">
        <x:v>噴砂美白</x:v>
      </x:c>
      <x:c r="E236" s="37" t="str">
        <x:f>IF(_xlfn.XLOOKUP("UPG|2007|LJT-PREP-AIRPOLISH",'能力升級候選'!$A$7:$A$258,'能力升級候選'!$R$7:$R$258,"",0)="已核定升級","◎",_xlfn.XLOOKUP("UPG|2007|LJT-PREP-AIRPOLISH",'能力升級候選'!$A$7:$A$258,'能力升級候選'!$E$7:$E$258,"未評估",0))</x:f>
        <x:v>未評估</x:v>
      </x:c>
      <x:c r="F236" s="37" t="str">
        <x:f>IF(COUNTIFS('事件與限制'!$C$7:$C$106,$A236,'事件與限制'!$E$7:$E$106,$C236,'事件與限制'!$M$7:$M$106,"暫停技能資格",'事件與限制'!$Q$7:$Q$106,"生效中")&gt;0,"資格暫停",IF($E236="未評估","未建立",_xlfn.XLOOKUP("ABIL|2007|LJT-PREP-AIRPOLISH",'主管核定中心'!$A$12:$A$372,'主管核定中心'!$K$12:$K$372,"待主管核定",0)))</x:f>
        <x:v>未建立</x:v>
      </x:c>
      <x:c r="G236" s="37" t="str">
        <x:v>初始能力基準</x:v>
      </x:c>
      <x:c r="H236" s="41" t="n">
        <x:v>46266</x:v>
      </x:c>
      <x:c r="I236" s="44" t="str">
        <x:f>_xlfn.XLOOKUP("ABIL|2007|LJT-PREP-AIRPOLISH",'主管核定中心'!$A$12:$A$372,'主管核定中心'!$I$12:$I$372,"",0)</x:f>
      </x:c>
      <x:c r="J236" s="46" t="str">
        <x:f>_xlfn.XLOOKUP("ABIL|2007|LJT-PREP-AIRPOLISH",'主管核定中心'!$A$12:$A$372,'主管核定中心'!$H$12:$H$372,"",0)</x:f>
      </x:c>
      <x:c r="K236" s="37" t="n">
        <x:v>36</x:v>
      </x:c>
      <x:c r="L236" s="37" t="str">
        <x:v>2007|LJT-PREP-AIRPOLISH</x:v>
      </x:c>
    </x:row>
    <x:row r="237">
      <x:c r="A237" s="37" t="str">
        <x:v>2007</x:v>
      </x:c>
      <x:c r="B237" s="37" t="str"/>
      <x:c r="C237" s="37" t="str">
        <x:v>LJT-PREP-PERIOSURG</x:v>
      </x:c>
      <x:c r="D237" s="37" t="str">
        <x:v>牙周手術</x:v>
      </x:c>
      <x:c r="E237" s="37" t="str">
        <x:f>IF(_xlfn.XLOOKUP("UPG|2007|LJT-PREP-PERIOSURG",'能力升級候選'!$A$7:$A$258,'能力升級候選'!$R$7:$R$258,"",0)="已核定升級","◎",_xlfn.XLOOKUP("UPG|2007|LJT-PREP-PERIOSURG",'能力升級候選'!$A$7:$A$258,'能力升級候選'!$E$7:$E$258,"未評估",0))</x:f>
        <x:v>未評估</x:v>
      </x:c>
      <x:c r="F237" s="37" t="str">
        <x:f>IF(COUNTIFS('事件與限制'!$C$7:$C$106,$A237,'事件與限制'!$E$7:$E$106,$C237,'事件與限制'!$M$7:$M$106,"暫停技能資格",'事件與限制'!$Q$7:$Q$106,"生效中")&gt;0,"資格暫停",IF($E237="未評估","未建立",_xlfn.XLOOKUP("ABIL|2007|LJT-PREP-PERIOSURG",'主管核定中心'!$A$12:$A$372,'主管核定中心'!$K$12:$K$372,"待主管核定",0)))</x:f>
        <x:v>未建立</x:v>
      </x:c>
      <x:c r="G237" s="37" t="str">
        <x:v>初始能力基準</x:v>
      </x:c>
      <x:c r="H237" s="41" t="n">
        <x:v>46266</x:v>
      </x:c>
      <x:c r="I237" s="44" t="str">
        <x:f>_xlfn.XLOOKUP("ABIL|2007|LJT-PREP-PERIOSURG",'主管核定中心'!$A$12:$A$372,'主管核定中心'!$I$12:$I$372,"",0)</x:f>
      </x:c>
      <x:c r="J237" s="46" t="str">
        <x:f>_xlfn.XLOOKUP("ABIL|2007|LJT-PREP-PERIOSURG",'主管核定中心'!$A$12:$A$372,'主管核定中心'!$H$12:$H$372,"",0)</x:f>
      </x:c>
      <x:c r="K237" s="37" t="n">
        <x:v>37</x:v>
      </x:c>
      <x:c r="L237" s="37" t="str">
        <x:v>2007|LJT-PREP-PERIOSURG</x:v>
      </x:c>
    </x:row>
    <x:row r="238">
      <x:c r="A238" s="37" t="str">
        <x:v>2007</x:v>
      </x:c>
      <x:c r="B238" s="37" t="str"/>
      <x:c r="C238" s="37" t="str">
        <x:v>LJT-PREP-MICROENDO</x:v>
      </x:c>
      <x:c r="D238" s="37" t="str">
        <x:v>顯微根管</x:v>
      </x:c>
      <x:c r="E238" s="37" t="str">
        <x:f>IF(_xlfn.XLOOKUP("UPG|2007|LJT-PREP-MICROENDO",'能力升級候選'!$A$7:$A$258,'能力升級候選'!$R$7:$R$258,"",0)="已核定升級","◎",_xlfn.XLOOKUP("UPG|2007|LJT-PREP-MICROENDO",'能力升級候選'!$A$7:$A$258,'能力升級候選'!$E$7:$E$258,"未評估",0))</x:f>
        <x:v>未評估</x:v>
      </x:c>
      <x:c r="F238" s="37" t="str">
        <x:f>IF(COUNTIFS('事件與限制'!$C$7:$C$106,$A238,'事件與限制'!$E$7:$E$106,$C238,'事件與限制'!$M$7:$M$106,"暫停技能資格",'事件與限制'!$Q$7:$Q$106,"生效中")&gt;0,"資格暫停",IF($E238="未評估","未建立",_xlfn.XLOOKUP("ABIL|2007|LJT-PREP-MICROENDO",'主管核定中心'!$A$12:$A$372,'主管核定中心'!$K$12:$K$372,"待主管核定",0)))</x:f>
        <x:v>未建立</x:v>
      </x:c>
      <x:c r="G238" s="37" t="str">
        <x:v>初始能力基準</x:v>
      </x:c>
      <x:c r="H238" s="41" t="n">
        <x:v>46266</x:v>
      </x:c>
      <x:c r="I238" s="44" t="str">
        <x:f>_xlfn.XLOOKUP("ABIL|2007|LJT-PREP-MICROENDO",'主管核定中心'!$A$12:$A$372,'主管核定中心'!$I$12:$I$372,"",0)</x:f>
      </x:c>
      <x:c r="J238" s="46" t="str">
        <x:f>_xlfn.XLOOKUP("ABIL|2007|LJT-PREP-MICROENDO",'主管核定中心'!$A$12:$A$372,'主管核定中心'!$H$12:$H$372,"",0)</x:f>
      </x:c>
      <x:c r="K238" s="37" t="n">
        <x:v>38</x:v>
      </x:c>
      <x:c r="L238" s="37" t="str">
        <x:v>2007|LJT-PREP-MICROENDO</x:v>
      </x:c>
    </x:row>
    <x:row r="239">
      <x:c r="A239" s="37" t="str">
        <x:v>2007</x:v>
      </x:c>
      <x:c r="B239" s="37" t="str"/>
      <x:c r="C239" s="37" t="str">
        <x:v>LJT-PREP-IMPLANT</x:v>
      </x:c>
      <x:c r="D239" s="37" t="str">
        <x:v>植 牙</x:v>
      </x:c>
      <x:c r="E239" s="37" t="str">
        <x:f>IF(_xlfn.XLOOKUP("UPG|2007|LJT-PREP-IMPLANT",'能力升級候選'!$A$7:$A$258,'能力升級候選'!$R$7:$R$258,"",0)="已核定升級","◎",_xlfn.XLOOKUP("UPG|2007|LJT-PREP-IMPLANT",'能力升級候選'!$A$7:$A$258,'能力升級候選'!$E$7:$E$258,"未評估",0))</x:f>
        <x:v>未評估</x:v>
      </x:c>
      <x:c r="F239" s="37" t="str">
        <x:f>IF(COUNTIFS('事件與限制'!$C$7:$C$106,$A239,'事件與限制'!$E$7:$E$106,$C239,'事件與限制'!$M$7:$M$106,"暫停技能資格",'事件與限制'!$Q$7:$Q$106,"生效中")&gt;0,"資格暫停",IF($E239="未評估","未建立",_xlfn.XLOOKUP("ABIL|2007|LJT-PREP-IMPLANT",'主管核定中心'!$A$12:$A$372,'主管核定中心'!$K$12:$K$372,"待主管核定",0)))</x:f>
        <x:v>未建立</x:v>
      </x:c>
      <x:c r="G239" s="37" t="str">
        <x:v>初始能力基準</x:v>
      </x:c>
      <x:c r="H239" s="41" t="n">
        <x:v>46266</x:v>
      </x:c>
      <x:c r="I239" s="44" t="str">
        <x:f>_xlfn.XLOOKUP("ABIL|2007|LJT-PREP-IMPLANT",'主管核定中心'!$A$12:$A$372,'主管核定中心'!$I$12:$I$372,"",0)</x:f>
      </x:c>
      <x:c r="J239" s="46" t="str">
        <x:f>_xlfn.XLOOKUP("ABIL|2007|LJT-PREP-IMPLANT",'主管核定中心'!$A$12:$A$372,'主管核定中心'!$H$12:$H$372,"",0)</x:f>
      </x:c>
      <x:c r="K239" s="37" t="n">
        <x:v>39</x:v>
      </x:c>
      <x:c r="L239" s="37" t="str">
        <x:v>2007|LJT-PREP-IMPLANT</x:v>
      </x:c>
    </x:row>
    <x:row r="240">
      <x:c r="A240" s="37" t="str">
        <x:v>2007</x:v>
      </x:c>
      <x:c r="B240" s="37" t="str"/>
      <x:c r="C240" s="37" t="str">
        <x:v>COMMON-RECORD</x:v>
      </x:c>
      <x:c r="D240" s="37" t="str">
        <x:v>病歷紀錄</x:v>
      </x:c>
      <x:c r="E240" s="37" t="str">
        <x:f>IF(_xlfn.XLOOKUP("UPG|2007|COMMON-RECORD",'能力升級候選'!$A$7:$A$258,'能力升級候選'!$R$7:$R$258,"",0)="已核定升級","◎",_xlfn.XLOOKUP("UPG|2007|COMMON-RECORD",'能力升級候選'!$A$7:$A$258,'能力升級候選'!$E$7:$E$258,"未評估",0))</x:f>
        <x:v>未評估</x:v>
      </x:c>
      <x:c r="F240" s="37" t="str">
        <x:f>IF(COUNTIFS('事件與限制'!$C$7:$C$106,$A240,'事件與限制'!$E$7:$E$106,$C240,'事件與限制'!$M$7:$M$106,"暫停技能資格",'事件與限制'!$Q$7:$Q$106,"生效中")&gt;0,"資格暫停",IF($E240="未評估","未建立",_xlfn.XLOOKUP("ABIL|2007|COMMON-RECORD",'主管核定中心'!$A$12:$A$372,'主管核定中心'!$K$12:$K$372,"待主管核定",0)))</x:f>
        <x:v>未建立</x:v>
      </x:c>
      <x:c r="G240" s="37" t="str">
        <x:v>初始能力基準</x:v>
      </x:c>
      <x:c r="H240" s="41" t="n">
        <x:v>46266</x:v>
      </x:c>
      <x:c r="I240" s="44" t="str">
        <x:f>_xlfn.XLOOKUP("ABIL|2007|COMMON-RECORD",'主管核定中心'!$A$12:$A$372,'主管核定中心'!$I$12:$I$372,"",0)</x:f>
      </x:c>
      <x:c r="J240" s="46" t="str">
        <x:f>_xlfn.XLOOKUP("ABIL|2007|COMMON-RECORD",'主管核定中心'!$A$12:$A$372,'主管核定中心'!$H$12:$H$372,"",0)</x:f>
      </x:c>
      <x:c r="K240" s="37" t="n">
        <x:v>41</x:v>
      </x:c>
      <x:c r="L240" s="37" t="str">
        <x:v>2007|COMMON-RECORD</x:v>
      </x:c>
    </x:row>
    <x:row r="241">
      <x:c r="A241" s="37" t="str">
        <x:v>2007</x:v>
      </x:c>
      <x:c r="B241" s="37" t="str"/>
      <x:c r="C241" s="37" t="str">
        <x:v>COMMON-INSURANCE</x:v>
      </x:c>
      <x:c r="D241" s="37" t="str">
        <x:v>健保申報</x:v>
      </x:c>
      <x:c r="E241" s="37" t="str">
        <x:f>IF(_xlfn.XLOOKUP("UPG|2007|COMMON-INSURANCE",'能力升級候選'!$A$7:$A$258,'能力升級候選'!$R$7:$R$258,"",0)="已核定升級","◎",_xlfn.XLOOKUP("UPG|2007|COMMON-INSURANCE",'能力升級候選'!$A$7:$A$258,'能力升級候選'!$E$7:$E$258,"未評估",0))</x:f>
        <x:v>未評估</x:v>
      </x:c>
      <x:c r="F241" s="37" t="str">
        <x:f>IF(COUNTIFS('事件與限制'!$C$7:$C$106,$A241,'事件與限制'!$E$7:$E$106,$C241,'事件與限制'!$M$7:$M$106,"暫停技能資格",'事件與限制'!$Q$7:$Q$106,"生效中")&gt;0,"資格暫停",IF($E241="未評估","未建立",_xlfn.XLOOKUP("ABIL|2007|COMMON-INSURANCE",'主管核定中心'!$A$12:$A$372,'主管核定中心'!$K$12:$K$372,"待主管核定",0)))</x:f>
        <x:v>未建立</x:v>
      </x:c>
      <x:c r="G241" s="37" t="str">
        <x:v>初始能力基準</x:v>
      </x:c>
      <x:c r="H241" s="41" t="n">
        <x:v>46266</x:v>
      </x:c>
      <x:c r="I241" s="44" t="str">
        <x:f>_xlfn.XLOOKUP("ABIL|2007|COMMON-INSURANCE",'主管核定中心'!$A$12:$A$372,'主管核定中心'!$I$12:$I$372,"",0)</x:f>
      </x:c>
      <x:c r="J241" s="46" t="str">
        <x:f>_xlfn.XLOOKUP("ABIL|2007|COMMON-INSURANCE",'主管核定中心'!$A$12:$A$372,'主管核定中心'!$H$12:$H$372,"",0)</x:f>
      </x:c>
      <x:c r="K241" s="37" t="n">
        <x:v>42</x:v>
      </x:c>
      <x:c r="L241" s="37" t="str">
        <x:v>2007|COMMON-INSURANCE</x:v>
      </x:c>
    </x:row>
    <x:row r="242">
      <x:c r="A242" s="37" t="str">
        <x:v>2007</x:v>
      </x:c>
      <x:c r="B242" s="37" t="str"/>
      <x:c r="C242" s="37" t="str">
        <x:v>COMMON-XRAY-RECORD</x:v>
      </x:c>
      <x:c r="D242" s="37" t="str">
        <x:v>X光片紀錄</x:v>
      </x:c>
      <x:c r="E242" s="37" t="str">
        <x:f>IF(_xlfn.XLOOKUP("UPG|2007|COMMON-XRAY-RECORD",'能力升級候選'!$A$7:$A$258,'能力升級候選'!$R$7:$R$258,"",0)="已核定升級","◎",_xlfn.XLOOKUP("UPG|2007|COMMON-XRAY-RECORD",'能力升級候選'!$A$7:$A$258,'能力升級候選'!$E$7:$E$258,"未評估",0))</x:f>
        <x:v>未評估</x:v>
      </x:c>
      <x:c r="F242" s="37" t="str">
        <x:f>IF(COUNTIFS('事件與限制'!$C$7:$C$106,$A242,'事件與限制'!$E$7:$E$106,$C242,'事件與限制'!$M$7:$M$106,"暫停技能資格",'事件與限制'!$Q$7:$Q$106,"生效中")&gt;0,"資格暫停",IF($E242="未評估","未建立",_xlfn.XLOOKUP("ABIL|2007|COMMON-XRAY-RECORD",'主管核定中心'!$A$12:$A$372,'主管核定中心'!$K$12:$K$372,"待主管核定",0)))</x:f>
        <x:v>未建立</x:v>
      </x:c>
      <x:c r="G242" s="37" t="str">
        <x:v>初始能力基準</x:v>
      </x:c>
      <x:c r="H242" s="41" t="n">
        <x:v>46266</x:v>
      </x:c>
      <x:c r="I242" s="44" t="str">
        <x:f>_xlfn.XLOOKUP("ABIL|2007|COMMON-XRAY-RECORD",'主管核定中心'!$A$12:$A$372,'主管核定中心'!$I$12:$I$372,"",0)</x:f>
      </x:c>
      <x:c r="J242" s="46" t="str">
        <x:f>_xlfn.XLOOKUP("ABIL|2007|COMMON-XRAY-RECORD",'主管核定中心'!$A$12:$A$372,'主管核定中心'!$H$12:$H$372,"",0)</x:f>
      </x:c>
      <x:c r="K242" s="37" t="n">
        <x:v>43</x:v>
      </x:c>
      <x:c r="L242" s="37" t="str">
        <x:v>2007|COMMON-XRAY-RECORD</x:v>
      </x:c>
    </x:row>
    <x:row r="243">
      <x:c r="A243" s="37" t="str">
        <x:v>2007</x:v>
      </x:c>
      <x:c r="B243" s="37" t="str"/>
      <x:c r="C243" s="37" t="str">
        <x:v>COMMON-PA</x:v>
      </x:c>
      <x:c r="D243" s="37" t="str">
        <x:v>拍PA</x:v>
      </x:c>
      <x:c r="E243" s="37" t="str">
        <x:f>IF(_xlfn.XLOOKUP("UPG|2007|COMMON-PA",'能力升級候選'!$A$7:$A$258,'能力升級候選'!$R$7:$R$258,"",0)="已核定升級","◎",_xlfn.XLOOKUP("UPG|2007|COMMON-PA",'能力升級候選'!$A$7:$A$258,'能力升級候選'!$E$7:$E$258,"未評估",0))</x:f>
        <x:v>未評估</x:v>
      </x:c>
      <x:c r="F243" s="37" t="str">
        <x:f>IF(COUNTIFS('事件與限制'!$C$7:$C$106,$A243,'事件與限制'!$E$7:$E$106,$C243,'事件與限制'!$M$7:$M$106,"暫停技能資格",'事件與限制'!$Q$7:$Q$106,"生效中")&gt;0,"資格暫停",IF($E243="未評估","未建立",_xlfn.XLOOKUP("ABIL|2007|COMMON-PA",'主管核定中心'!$A$12:$A$372,'主管核定中心'!$K$12:$K$372,"待主管核定",0)))</x:f>
        <x:v>未建立</x:v>
      </x:c>
      <x:c r="G243" s="37" t="str">
        <x:v>初始能力基準</x:v>
      </x:c>
      <x:c r="H243" s="41" t="n">
        <x:v>46266</x:v>
      </x:c>
      <x:c r="I243" s="44" t="str">
        <x:f>_xlfn.XLOOKUP("ABIL|2007|COMMON-PA",'主管核定中心'!$A$12:$A$372,'主管核定中心'!$I$12:$I$372,"",0)</x:f>
      </x:c>
      <x:c r="J243" s="46" t="str">
        <x:f>_xlfn.XLOOKUP("ABIL|2007|COMMON-PA",'主管核定中心'!$A$12:$A$372,'主管核定中心'!$H$12:$H$372,"",0)</x:f>
      </x:c>
      <x:c r="K243" s="37" t="n">
        <x:v>44</x:v>
      </x:c>
      <x:c r="L243" s="37" t="str">
        <x:v>2007|COMMON-PA</x:v>
      </x:c>
    </x:row>
    <x:row r="244">
      <x:c r="A244" s="37" t="str">
        <x:v>2007</x:v>
      </x:c>
      <x:c r="B244" s="37" t="str"/>
      <x:c r="C244" s="37" t="str">
        <x:v>COMMON-IOS</x:v>
      </x:c>
      <x:c r="D244" s="37" t="str">
        <x:v>口掃機運用</x:v>
      </x:c>
      <x:c r="E244" s="37" t="str">
        <x:f>IF(_xlfn.XLOOKUP("UPG|2007|COMMON-IOS",'能力升級候選'!$A$7:$A$258,'能力升級候選'!$R$7:$R$258,"",0)="已核定升級","◎",_xlfn.XLOOKUP("UPG|2007|COMMON-IOS",'能力升級候選'!$A$7:$A$258,'能力升級候選'!$E$7:$E$258,"未評估",0))</x:f>
        <x:v>未評估</x:v>
      </x:c>
      <x:c r="F244" s="37" t="str">
        <x:f>IF(COUNTIFS('事件與限制'!$C$7:$C$106,$A244,'事件與限制'!$E$7:$E$106,$C244,'事件與限制'!$M$7:$M$106,"暫停技能資格",'事件與限制'!$Q$7:$Q$106,"生效中")&gt;0,"資格暫停",IF($E244="未評估","未建立",_xlfn.XLOOKUP("ABIL|2007|COMMON-IOS",'主管核定中心'!$A$12:$A$372,'主管核定中心'!$K$12:$K$372,"待主管核定",0)))</x:f>
        <x:v>未建立</x:v>
      </x:c>
      <x:c r="G244" s="37" t="str">
        <x:v>初始能力基準</x:v>
      </x:c>
      <x:c r="H244" s="41" t="n">
        <x:v>46266</x:v>
      </x:c>
      <x:c r="I244" s="44" t="str">
        <x:f>_xlfn.XLOOKUP("ABIL|2007|COMMON-IOS",'主管核定中心'!$A$12:$A$372,'主管核定中心'!$I$12:$I$372,"",0)</x:f>
      </x:c>
      <x:c r="J244" s="46" t="str">
        <x:f>_xlfn.XLOOKUP("ABIL|2007|COMMON-IOS",'主管核定中心'!$A$12:$A$372,'主管核定中心'!$H$12:$H$372,"",0)</x:f>
      </x:c>
      <x:c r="K244" s="37" t="n">
        <x:v>45</x:v>
      </x:c>
      <x:c r="L244" s="37" t="str">
        <x:v>2007|COMMON-IOS</x:v>
      </x:c>
    </x:row>
    <x:row r="245">
      <x:c r="A245" s="37" t="str">
        <x:v>1001</x:v>
      </x:c>
      <x:c r="B245" s="37" t="str"/>
      <x:c r="C245" s="37" t="str">
        <x:v>LJT-RPD-FINAL</x:v>
      </x:c>
      <x:c r="D245" s="37" t="str">
        <x:v>RPD 印最終模（來源無獨立欄位）</x:v>
      </x:c>
      <x:c r="E245" s="37" t="str">
        <x:f>IF(_xlfn.XLOOKUP("UPG|1001|LJT-RPD-FINAL",'能力升級候選'!$A$7:$A$258,'能力升級候選'!$R$7:$R$258,"",0)="已核定升級","◎",_xlfn.XLOOKUP("UPG|1001|LJT-RPD-FINAL",'能力升級候選'!$A$7:$A$258,'能力升級候選'!$E$7:$E$258,"未評估",0))</x:f>
        <x:v>未評估</x:v>
      </x:c>
      <x:c r="F245" s="37" t="str">
        <x:f>IF(COUNTIFS('事件與限制'!$C$7:$C$106,$A245,'事件與限制'!$E$7:$E$106,$C245,'事件與限制'!$M$7:$M$106,"暫停技能資格",'事件與限制'!$Q$7:$Q$106,"生效中")&gt;0,"資格暫停",IF($E245="未評估","未建立",_xlfn.XLOOKUP("ABIL|1001|LJT-RPD-FINAL",'主管核定中心'!$A$12:$A$372,'主管核定中心'!$K$12:$K$372,"待主管核定",0)))</x:f>
        <x:v>未建立</x:v>
      </x:c>
      <x:c r="G245" s="37" t="str">
        <x:v>新增技能待考核</x:v>
      </x:c>
      <x:c r="H245" s="41" t="n">
        <x:v>46282</x:v>
      </x:c>
      <x:c r="I245" s="44" t="str">
        <x:f>_xlfn.XLOOKUP("ABIL|1001|LJT-RPD-FINAL",'主管核定中心'!$A$12:$A$372,'主管核定中心'!$I$12:$I$372,"",0)</x:f>
      </x:c>
      <x:c r="J245" s="46" t="str">
        <x:f>_xlfn.XLOOKUP("ABIL|1001|LJT-RPD-FINAL",'主管核定中心'!$A$12:$A$372,'主管核定中心'!$H$12:$H$372,"",0)</x:f>
      </x:c>
      <x:c r="K245" s="37" t="n">
        <x:v>35</x:v>
      </x:c>
      <x:c r="L245" s="37" t="str">
        <x:v>1001|LJT-RPD-FINAL</x:v>
      </x:c>
    </x:row>
    <x:row r="246">
      <x:c r="A246" s="37" t="str">
        <x:v>1004</x:v>
      </x:c>
      <x:c r="B246" s="37" t="str"/>
      <x:c r="C246" s="37" t="str">
        <x:v>LJT-RPD-FINAL</x:v>
      </x:c>
      <x:c r="D246" s="37" t="str">
        <x:v>RPD 印最終模（來源無獨立欄位）</x:v>
      </x:c>
      <x:c r="E246" s="37" t="str">
        <x:f>IF(_xlfn.XLOOKUP("UPG|1004|LJT-RPD-FINAL",'能力升級候選'!$A$7:$A$258,'能力升級候選'!$R$7:$R$258,"",0)="已核定升級","◎",_xlfn.XLOOKUP("UPG|1004|LJT-RPD-FINAL",'能力升級候選'!$A$7:$A$258,'能力升級候選'!$E$7:$E$258,"未評估",0))</x:f>
        <x:v>未評估</x:v>
      </x:c>
      <x:c r="F246" s="37" t="str">
        <x:f>IF(COUNTIFS('事件與限制'!$C$7:$C$106,$A246,'事件與限制'!$E$7:$E$106,$C246,'事件與限制'!$M$7:$M$106,"暫停技能資格",'事件與限制'!$Q$7:$Q$106,"生效中")&gt;0,"資格暫停",IF($E246="未評估","未建立",_xlfn.XLOOKUP("ABIL|1004|LJT-RPD-FINAL",'主管核定中心'!$A$12:$A$372,'主管核定中心'!$K$12:$K$372,"待主管核定",0)))</x:f>
        <x:v>未建立</x:v>
      </x:c>
      <x:c r="G246" s="37" t="str">
        <x:v>新增技能待考核</x:v>
      </x:c>
      <x:c r="H246" s="41" t="n">
        <x:v>46282</x:v>
      </x:c>
      <x:c r="I246" s="44" t="str">
        <x:f>_xlfn.XLOOKUP("ABIL|1004|LJT-RPD-FINAL",'主管核定中心'!$A$12:$A$372,'主管核定中心'!$I$12:$I$372,"",0)</x:f>
      </x:c>
      <x:c r="J246" s="46" t="str">
        <x:f>_xlfn.XLOOKUP("ABIL|1004|LJT-RPD-FINAL",'主管核定中心'!$A$12:$A$372,'主管核定中心'!$H$12:$H$372,"",0)</x:f>
      </x:c>
      <x:c r="K246" s="37" t="n">
        <x:v>35</x:v>
      </x:c>
      <x:c r="L246" s="37" t="str">
        <x:v>1004|LJT-RPD-FINAL</x:v>
      </x:c>
    </x:row>
    <x:row r="247">
      <x:c r="A247" s="37" t="str">
        <x:v>1013</x:v>
      </x:c>
      <x:c r="B247" s="37" t="str"/>
      <x:c r="C247" s="37" t="str">
        <x:v>LJT-RPD-FINAL</x:v>
      </x:c>
      <x:c r="D247" s="37" t="str">
        <x:v>RPD 印最終模（來源無獨立欄位）</x:v>
      </x:c>
      <x:c r="E247" s="37" t="str">
        <x:f>IF(_xlfn.XLOOKUP("UPG|1013|LJT-RPD-FINAL",'能力升級候選'!$A$7:$A$258,'能力升級候選'!$R$7:$R$258,"",0)="已核定升級","◎",_xlfn.XLOOKUP("UPG|1013|LJT-RPD-FINAL",'能力升級候選'!$A$7:$A$258,'能力升級候選'!$E$7:$E$258,"未評估",0))</x:f>
        <x:v>未評估</x:v>
      </x:c>
      <x:c r="F247" s="37" t="str">
        <x:f>IF(COUNTIFS('事件與限制'!$C$7:$C$106,$A247,'事件與限制'!$E$7:$E$106,$C247,'事件與限制'!$M$7:$M$106,"暫停技能資格",'事件與限制'!$Q$7:$Q$106,"生效中")&gt;0,"資格暫停",IF($E247="未評估","未建立",_xlfn.XLOOKUP("ABIL|1013|LJT-RPD-FINAL",'主管核定中心'!$A$12:$A$372,'主管核定中心'!$K$12:$K$372,"待主管核定",0)))</x:f>
        <x:v>未建立</x:v>
      </x:c>
      <x:c r="G247" s="37" t="str">
        <x:v>新增技能待考核</x:v>
      </x:c>
      <x:c r="H247" s="41" t="n">
        <x:v>46282</x:v>
      </x:c>
      <x:c r="I247" s="44" t="str">
        <x:f>_xlfn.XLOOKUP("ABIL|1013|LJT-RPD-FINAL",'主管核定中心'!$A$12:$A$372,'主管核定中心'!$I$12:$I$372,"",0)</x:f>
      </x:c>
      <x:c r="J247" s="46" t="str">
        <x:f>_xlfn.XLOOKUP("ABIL|1013|LJT-RPD-FINAL",'主管核定中心'!$A$12:$A$372,'主管核定中心'!$H$12:$H$372,"",0)</x:f>
      </x:c>
      <x:c r="K247" s="37" t="n">
        <x:v>35</x:v>
      </x:c>
      <x:c r="L247" s="37" t="str">
        <x:v>1013|LJT-RPD-FINAL</x:v>
      </x:c>
    </x:row>
    <x:row r="248">
      <x:c r="A248" s="37" t="str">
        <x:v>1019</x:v>
      </x:c>
      <x:c r="B248" s="37" t="str"/>
      <x:c r="C248" s="37" t="str">
        <x:v>LJT-RPD-FINAL</x:v>
      </x:c>
      <x:c r="D248" s="37" t="str">
        <x:v>RPD 印最終模（來源無獨立欄位）</x:v>
      </x:c>
      <x:c r="E248" s="37" t="str">
        <x:f>IF(_xlfn.XLOOKUP("UPG|1019|LJT-RPD-FINAL",'能力升級候選'!$A$7:$A$258,'能力升級候選'!$R$7:$R$258,"",0)="已核定升級","◎",_xlfn.XLOOKUP("UPG|1019|LJT-RPD-FINAL",'能力升級候選'!$A$7:$A$258,'能力升級候選'!$E$7:$E$258,"未評估",0))</x:f>
        <x:v>未評估</x:v>
      </x:c>
      <x:c r="F248" s="37" t="str">
        <x:f>IF(COUNTIFS('事件與限制'!$C$7:$C$106,$A248,'事件與限制'!$E$7:$E$106,$C248,'事件與限制'!$M$7:$M$106,"暫停技能資格",'事件與限制'!$Q$7:$Q$106,"生效中")&gt;0,"資格暫停",IF($E248="未評估","未建立",_xlfn.XLOOKUP("ABIL|1019|LJT-RPD-FINAL",'主管核定中心'!$A$12:$A$372,'主管核定中心'!$K$12:$K$372,"待主管核定",0)))</x:f>
        <x:v>未建立</x:v>
      </x:c>
      <x:c r="G248" s="37" t="str">
        <x:v>新增技能待考核</x:v>
      </x:c>
      <x:c r="H248" s="41" t="n">
        <x:v>46282</x:v>
      </x:c>
      <x:c r="I248" s="44" t="str">
        <x:f>_xlfn.XLOOKUP("ABIL|1019|LJT-RPD-FINAL",'主管核定中心'!$A$12:$A$372,'主管核定中心'!$I$12:$I$372,"",0)</x:f>
      </x:c>
      <x:c r="J248" s="46" t="str">
        <x:f>_xlfn.XLOOKUP("ABIL|1019|LJT-RPD-FINAL",'主管核定中心'!$A$12:$A$372,'主管核定中心'!$H$12:$H$372,"",0)</x:f>
      </x:c>
      <x:c r="K248" s="37" t="n">
        <x:v>35</x:v>
      </x:c>
      <x:c r="L248" s="37" t="str">
        <x:v>1019|LJT-RPD-FINAL</x:v>
      </x:c>
    </x:row>
    <x:row r="249">
      <x:c r="A249" s="37" t="str">
        <x:v>1020</x:v>
      </x:c>
      <x:c r="B249" s="37" t="str"/>
      <x:c r="C249" s="37" t="str">
        <x:v>LJT-RPD-FINAL</x:v>
      </x:c>
      <x:c r="D249" s="37" t="str">
        <x:v>RPD 印最終模（來源無獨立欄位）</x:v>
      </x:c>
      <x:c r="E249" s="37" t="str">
        <x:f>IF(_xlfn.XLOOKUP("UPG|1020|LJT-RPD-FINAL",'能力升級候選'!$A$7:$A$258,'能力升級候選'!$R$7:$R$258,"",0)="已核定升級","◎",_xlfn.XLOOKUP("UPG|1020|LJT-RPD-FINAL",'能力升級候選'!$A$7:$A$258,'能力升級候選'!$E$7:$E$258,"未評估",0))</x:f>
        <x:v>未評估</x:v>
      </x:c>
      <x:c r="F249" s="37" t="str">
        <x:f>IF(COUNTIFS('事件與限制'!$C$7:$C$106,$A249,'事件與限制'!$E$7:$E$106,$C249,'事件與限制'!$M$7:$M$106,"暫停技能資格",'事件與限制'!$Q$7:$Q$106,"生效中")&gt;0,"資格暫停",IF($E249="未評估","未建立",_xlfn.XLOOKUP("ABIL|1020|LJT-RPD-FINAL",'主管核定中心'!$A$12:$A$372,'主管核定中心'!$K$12:$K$372,"待主管核定",0)))</x:f>
        <x:v>未建立</x:v>
      </x:c>
      <x:c r="G249" s="37" t="str">
        <x:v>新增技能待考核</x:v>
      </x:c>
      <x:c r="H249" s="41" t="n">
        <x:v>46282</x:v>
      </x:c>
      <x:c r="I249" s="44" t="str">
        <x:f>_xlfn.XLOOKUP("ABIL|1020|LJT-RPD-FINAL",'主管核定中心'!$A$12:$A$372,'主管核定中心'!$I$12:$I$372,"",0)</x:f>
      </x:c>
      <x:c r="J249" s="46" t="str">
        <x:f>_xlfn.XLOOKUP("ABIL|1020|LJT-RPD-FINAL",'主管核定中心'!$A$12:$A$372,'主管核定中心'!$H$12:$H$372,"",0)</x:f>
      </x:c>
      <x:c r="K249" s="37" t="n">
        <x:v>35</x:v>
      </x:c>
      <x:c r="L249" s="37" t="str">
        <x:v>1020|LJT-RPD-FINAL</x:v>
      </x:c>
    </x:row>
    <x:row r="250">
      <x:c r="A250" s="37" t="str">
        <x:v>1025</x:v>
      </x:c>
      <x:c r="B250" s="37" t="str"/>
      <x:c r="C250" s="37" t="str">
        <x:v>LJT-RPD-FINAL</x:v>
      </x:c>
      <x:c r="D250" s="37" t="str">
        <x:v>RPD 印最終模（來源無獨立欄位）</x:v>
      </x:c>
      <x:c r="E250" s="37" t="str">
        <x:f>IF(_xlfn.XLOOKUP("UPG|1025|LJT-RPD-FINAL",'能力升級候選'!$A$7:$A$258,'能力升級候選'!$R$7:$R$258,"",0)="已核定升級","◎",_xlfn.XLOOKUP("UPG|1025|LJT-RPD-FINAL",'能力升級候選'!$A$7:$A$258,'能力升級候選'!$E$7:$E$258,"未評估",0))</x:f>
        <x:v>未評估</x:v>
      </x:c>
      <x:c r="F250" s="37" t="str">
        <x:f>IF(COUNTIFS('事件與限制'!$C$7:$C$106,$A250,'事件與限制'!$E$7:$E$106,$C250,'事件與限制'!$M$7:$M$106,"暫停技能資格",'事件與限制'!$Q$7:$Q$106,"生效中")&gt;0,"資格暫停",IF($E250="未評估","未建立",_xlfn.XLOOKUP("ABIL|1025|LJT-RPD-FINAL",'主管核定中心'!$A$12:$A$372,'主管核定中心'!$K$12:$K$372,"待主管核定",0)))</x:f>
        <x:v>未建立</x:v>
      </x:c>
      <x:c r="G250" s="37" t="str">
        <x:v>新增技能待考核</x:v>
      </x:c>
      <x:c r="H250" s="41" t="n">
        <x:v>46282</x:v>
      </x:c>
      <x:c r="I250" s="44" t="str">
        <x:f>_xlfn.XLOOKUP("ABIL|1025|LJT-RPD-FINAL",'主管核定中心'!$A$12:$A$372,'主管核定中心'!$I$12:$I$372,"",0)</x:f>
      </x:c>
      <x:c r="J250" s="46" t="str">
        <x:f>_xlfn.XLOOKUP("ABIL|1025|LJT-RPD-FINAL",'主管核定中心'!$A$12:$A$372,'主管核定中心'!$H$12:$H$372,"",0)</x:f>
      </x:c>
      <x:c r="K250" s="37" t="n">
        <x:v>35</x:v>
      </x:c>
      <x:c r="L250" s="37" t="str">
        <x:v>1025|LJT-RPD-FINAL</x:v>
      </x:c>
    </x:row>
    <x:row r="251">
      <x:c r="A251" s="37" t="str">
        <x:v>1026</x:v>
      </x:c>
      <x:c r="B251" s="37" t="str"/>
      <x:c r="C251" s="37" t="str">
        <x:v>LJT-RPD-FINAL</x:v>
      </x:c>
      <x:c r="D251" s="37" t="str">
        <x:v>RPD 印最終模（來源無獨立欄位）</x:v>
      </x:c>
      <x:c r="E251" s="37" t="str">
        <x:f>IF(_xlfn.XLOOKUP("UPG|1026|LJT-RPD-FINAL",'能力升級候選'!$A$7:$A$258,'能力升級候選'!$R$7:$R$258,"",0)="已核定升級","◎",_xlfn.XLOOKUP("UPG|1026|LJT-RPD-FINAL",'能力升級候選'!$A$7:$A$258,'能力升級候選'!$E$7:$E$258,"未評估",0))</x:f>
        <x:v>未評估</x:v>
      </x:c>
      <x:c r="F251" s="37" t="str">
        <x:f>IF(COUNTIFS('事件與限制'!$C$7:$C$106,$A251,'事件與限制'!$E$7:$E$106,$C251,'事件與限制'!$M$7:$M$106,"暫停技能資格",'事件與限制'!$Q$7:$Q$106,"生效中")&gt;0,"資格暫停",IF($E251="未評估","未建立",_xlfn.XLOOKUP("ABIL|1026|LJT-RPD-FINAL",'主管核定中心'!$A$12:$A$372,'主管核定中心'!$K$12:$K$372,"待主管核定",0)))</x:f>
        <x:v>未建立</x:v>
      </x:c>
      <x:c r="G251" s="37" t="str">
        <x:v>新增技能待考核</x:v>
      </x:c>
      <x:c r="H251" s="41" t="n">
        <x:v>46282</x:v>
      </x:c>
      <x:c r="I251" s="44" t="str">
        <x:f>_xlfn.XLOOKUP("ABIL|1026|LJT-RPD-FINAL",'主管核定中心'!$A$12:$A$372,'主管核定中心'!$I$12:$I$372,"",0)</x:f>
      </x:c>
      <x:c r="J251" s="46" t="str">
        <x:f>_xlfn.XLOOKUP("ABIL|1026|LJT-RPD-FINAL",'主管核定中心'!$A$12:$A$372,'主管核定中心'!$H$12:$H$372,"",0)</x:f>
      </x:c>
      <x:c r="K251" s="37" t="n">
        <x:v>35</x:v>
      </x:c>
      <x:c r="L251" s="37" t="str">
        <x:v>1026|LJT-RPD-FINAL</x:v>
      </x:c>
    </x:row>
    <x:row r="252">
      <x:c r="A252" s="37" t="str">
        <x:v>1027</x:v>
      </x:c>
      <x:c r="B252" s="37" t="str"/>
      <x:c r="C252" s="37" t="str">
        <x:v>LJT-RPD-FINAL</x:v>
      </x:c>
      <x:c r="D252" s="37" t="str">
        <x:v>RPD 印最終模（來源無獨立欄位）</x:v>
      </x:c>
      <x:c r="E252" s="37" t="str">
        <x:f>IF(_xlfn.XLOOKUP("UPG|1027|LJT-RPD-FINAL",'能力升級候選'!$A$7:$A$258,'能力升級候選'!$R$7:$R$258,"",0)="已核定升級","◎",_xlfn.XLOOKUP("UPG|1027|LJT-RPD-FINAL",'能力升級候選'!$A$7:$A$258,'能力升級候選'!$E$7:$E$258,"未評估",0))</x:f>
        <x:v>未評估</x:v>
      </x:c>
      <x:c r="F252" s="37" t="str">
        <x:f>IF(COUNTIFS('事件與限制'!$C$7:$C$106,$A252,'事件與限制'!$E$7:$E$106,$C252,'事件與限制'!$M$7:$M$106,"暫停技能資格",'事件與限制'!$Q$7:$Q$106,"生效中")&gt;0,"資格暫停",IF($E252="未評估","未建立",_xlfn.XLOOKUP("ABIL|1027|LJT-RPD-FINAL",'主管核定中心'!$A$12:$A$372,'主管核定中心'!$K$12:$K$372,"待主管核定",0)))</x:f>
        <x:v>未建立</x:v>
      </x:c>
      <x:c r="G252" s="37" t="str">
        <x:v>新增技能待考核</x:v>
      </x:c>
      <x:c r="H252" s="41" t="n">
        <x:v>46282</x:v>
      </x:c>
      <x:c r="I252" s="44" t="str">
        <x:f>_xlfn.XLOOKUP("ABIL|1027|LJT-RPD-FINAL",'主管核定中心'!$A$12:$A$372,'主管核定中心'!$I$12:$I$372,"",0)</x:f>
      </x:c>
      <x:c r="J252" s="46" t="str">
        <x:f>_xlfn.XLOOKUP("ABIL|1027|LJT-RPD-FINAL",'主管核定中心'!$A$12:$A$372,'主管核定中心'!$H$12:$H$372,"",0)</x:f>
      </x:c>
      <x:c r="K252" s="37" t="n">
        <x:v>35</x:v>
      </x:c>
      <x:c r="L252" s="37" t="str">
        <x:v>1027|LJT-RPD-FINAL</x:v>
      </x:c>
    </x:row>
    <x:row r="253">
      <x:c r="A253" s="37" t="str">
        <x:v>1028</x:v>
      </x:c>
      <x:c r="B253" s="37" t="str"/>
      <x:c r="C253" s="37" t="str">
        <x:v>LJT-RPD-FINAL</x:v>
      </x:c>
      <x:c r="D253" s="37" t="str">
        <x:v>RPD 印最終模（來源無獨立欄位）</x:v>
      </x:c>
      <x:c r="E253" s="37" t="str">
        <x:f>IF(_xlfn.XLOOKUP("UPG|1028|LJT-RPD-FINAL",'能力升級候選'!$A$7:$A$258,'能力升級候選'!$R$7:$R$258,"",0)="已核定升級","◎",_xlfn.XLOOKUP("UPG|1028|LJT-RPD-FINAL",'能力升級候選'!$A$7:$A$258,'能力升級候選'!$E$7:$E$258,"未評估",0))</x:f>
        <x:v>未評估</x:v>
      </x:c>
      <x:c r="F253" s="37" t="str">
        <x:f>IF(COUNTIFS('事件與限制'!$C$7:$C$106,$A253,'事件與限制'!$E$7:$E$106,$C253,'事件與限制'!$M$7:$M$106,"暫停技能資格",'事件與限制'!$Q$7:$Q$106,"生效中")&gt;0,"資格暫停",IF($E253="未評估","未建立",_xlfn.XLOOKUP("ABIL|1028|LJT-RPD-FINAL",'主管核定中心'!$A$12:$A$372,'主管核定中心'!$K$12:$K$372,"待主管核定",0)))</x:f>
        <x:v>未建立</x:v>
      </x:c>
      <x:c r="G253" s="37" t="str">
        <x:v>新增技能待考核</x:v>
      </x:c>
      <x:c r="H253" s="41" t="n">
        <x:v>46282</x:v>
      </x:c>
      <x:c r="I253" s="44" t="str">
        <x:f>_xlfn.XLOOKUP("ABIL|1028|LJT-RPD-FINAL",'主管核定中心'!$A$12:$A$372,'主管核定中心'!$I$12:$I$372,"",0)</x:f>
      </x:c>
      <x:c r="J253" s="46" t="str">
        <x:f>_xlfn.XLOOKUP("ABIL|1028|LJT-RPD-FINAL",'主管核定中心'!$A$12:$A$372,'主管核定中心'!$H$12:$H$372,"",0)</x:f>
      </x:c>
      <x:c r="K253" s="37" t="n">
        <x:v>35</x:v>
      </x:c>
      <x:c r="L253" s="37" t="str">
        <x:v>1028|LJT-RPD-FINAL</x:v>
      </x:c>
    </x:row>
    <x:row r="254">
      <x:c r="A254" s="37" t="str">
        <x:v>1029</x:v>
      </x:c>
      <x:c r="B254" s="37" t="str"/>
      <x:c r="C254" s="37" t="str">
        <x:v>LJT-RPD-FINAL</x:v>
      </x:c>
      <x:c r="D254" s="37" t="str">
        <x:v>RPD 印最終模（來源無獨立欄位）</x:v>
      </x:c>
      <x:c r="E254" s="37" t="str">
        <x:f>IF(_xlfn.XLOOKUP("UPG|1029|LJT-RPD-FINAL",'能力升級候選'!$A$7:$A$258,'能力升級候選'!$R$7:$R$258,"",0)="已核定升級","◎",_xlfn.XLOOKUP("UPG|1029|LJT-RPD-FINAL",'能力升級候選'!$A$7:$A$258,'能力升級候選'!$E$7:$E$258,"未評估",0))</x:f>
        <x:v>未評估</x:v>
      </x:c>
      <x:c r="F254" s="37" t="str">
        <x:f>IF(COUNTIFS('事件與限制'!$C$7:$C$106,$A254,'事件與限制'!$E$7:$E$106,$C254,'事件與限制'!$M$7:$M$106,"暫停技能資格",'事件與限制'!$Q$7:$Q$106,"生效中")&gt;0,"資格暫停",IF($E254="未評估","未建立",_xlfn.XLOOKUP("ABIL|1029|LJT-RPD-FINAL",'主管核定中心'!$A$12:$A$372,'主管核定中心'!$K$12:$K$372,"待主管核定",0)))</x:f>
        <x:v>未建立</x:v>
      </x:c>
      <x:c r="G254" s="37" t="str">
        <x:v>新增技能待考核</x:v>
      </x:c>
      <x:c r="H254" s="41" t="n">
        <x:v>46282</x:v>
      </x:c>
      <x:c r="I254" s="44" t="str">
        <x:f>_xlfn.XLOOKUP("ABIL|1029|LJT-RPD-FINAL",'主管核定中心'!$A$12:$A$372,'主管核定中心'!$I$12:$I$372,"",0)</x:f>
      </x:c>
      <x:c r="J254" s="46" t="str">
        <x:f>_xlfn.XLOOKUP("ABIL|1029|LJT-RPD-FINAL",'主管核定中心'!$A$12:$A$372,'主管核定中心'!$H$12:$H$372,"",0)</x:f>
      </x:c>
      <x:c r="K254" s="37" t="n">
        <x:v>35</x:v>
      </x:c>
      <x:c r="L254" s="37" t="str">
        <x:v>1029|LJT-RPD-FINAL</x:v>
      </x:c>
    </x:row>
    <x:row r="255">
      <x:c r="A255" s="37" t="str">
        <x:v>1030</x:v>
      </x:c>
      <x:c r="B255" s="37" t="str"/>
      <x:c r="C255" s="37" t="str">
        <x:v>LJT-RPD-FINAL</x:v>
      </x:c>
      <x:c r="D255" s="37" t="str">
        <x:v>RPD 印最終模（來源無獨立欄位）</x:v>
      </x:c>
      <x:c r="E255" s="37" t="str">
        <x:f>IF(_xlfn.XLOOKUP("UPG|1030|LJT-RPD-FINAL",'能力升級候選'!$A$7:$A$258,'能力升級候選'!$R$7:$R$258,"",0)="已核定升級","◎",_xlfn.XLOOKUP("UPG|1030|LJT-RPD-FINAL",'能力升級候選'!$A$7:$A$258,'能力升級候選'!$E$7:$E$258,"未評估",0))</x:f>
        <x:v>未評估</x:v>
      </x:c>
      <x:c r="F255" s="37" t="str">
        <x:f>IF(COUNTIFS('事件與限制'!$C$7:$C$106,$A255,'事件與限制'!$E$7:$E$106,$C255,'事件與限制'!$M$7:$M$106,"暫停技能資格",'事件與限制'!$Q$7:$Q$106,"生效中")&gt;0,"資格暫停",IF($E255="未評估","未建立",_xlfn.XLOOKUP("ABIL|1030|LJT-RPD-FINAL",'主管核定中心'!$A$12:$A$372,'主管核定中心'!$K$12:$K$372,"待主管核定",0)))</x:f>
        <x:v>未建立</x:v>
      </x:c>
      <x:c r="G255" s="37" t="str">
        <x:v>新增技能待考核</x:v>
      </x:c>
      <x:c r="H255" s="41" t="n">
        <x:v>46282</x:v>
      </x:c>
      <x:c r="I255" s="44" t="str">
        <x:f>_xlfn.XLOOKUP("ABIL|1030|LJT-RPD-FINAL",'主管核定中心'!$A$12:$A$372,'主管核定中心'!$I$12:$I$372,"",0)</x:f>
      </x:c>
      <x:c r="J255" s="46" t="str">
        <x:f>_xlfn.XLOOKUP("ABIL|1030|LJT-RPD-FINAL",'主管核定中心'!$A$12:$A$372,'主管核定中心'!$H$12:$H$372,"",0)</x:f>
      </x:c>
      <x:c r="K255" s="37" t="n">
        <x:v>35</x:v>
      </x:c>
      <x:c r="L255" s="37" t="str">
        <x:v>1030|LJT-RPD-FINAL</x:v>
      </x:c>
    </x:row>
    <x:row r="256">
      <x:c r="A256" s="37" t="str">
        <x:v>1031</x:v>
      </x:c>
      <x:c r="B256" s="37" t="str"/>
      <x:c r="C256" s="37" t="str">
        <x:v>LJT-RPD-FINAL</x:v>
      </x:c>
      <x:c r="D256" s="37" t="str">
        <x:v>RPD 印最終模（來源無獨立欄位）</x:v>
      </x:c>
      <x:c r="E256" s="37" t="str">
        <x:f>IF(_xlfn.XLOOKUP("UPG|1031|LJT-RPD-FINAL",'能力升級候選'!$A$7:$A$258,'能力升級候選'!$R$7:$R$258,"",0)="已核定升級","◎",_xlfn.XLOOKUP("UPG|1031|LJT-RPD-FINAL",'能力升級候選'!$A$7:$A$258,'能力升級候選'!$E$7:$E$258,"未評估",0))</x:f>
        <x:v>未評估</x:v>
      </x:c>
      <x:c r="F256" s="37" t="str">
        <x:f>IF(COUNTIFS('事件與限制'!$C$7:$C$106,$A256,'事件與限制'!$E$7:$E$106,$C256,'事件與限制'!$M$7:$M$106,"暫停技能資格",'事件與限制'!$Q$7:$Q$106,"生效中")&gt;0,"資格暫停",IF($E256="未評估","未建立",_xlfn.XLOOKUP("ABIL|1031|LJT-RPD-FINAL",'主管核定中心'!$A$12:$A$372,'主管核定中心'!$K$12:$K$372,"待主管核定",0)))</x:f>
        <x:v>未建立</x:v>
      </x:c>
      <x:c r="G256" s="37" t="str">
        <x:v>新增技能待考核</x:v>
      </x:c>
      <x:c r="H256" s="41" t="n">
        <x:v>46282</x:v>
      </x:c>
      <x:c r="I256" s="44" t="str">
        <x:f>_xlfn.XLOOKUP("ABIL|1031|LJT-RPD-FINAL",'主管核定中心'!$A$12:$A$372,'主管核定中心'!$I$12:$I$372,"",0)</x:f>
      </x:c>
      <x:c r="J256" s="46" t="str">
        <x:f>_xlfn.XLOOKUP("ABIL|1031|LJT-RPD-FINAL",'主管核定中心'!$A$12:$A$372,'主管核定中心'!$H$12:$H$372,"",0)</x:f>
      </x:c>
      <x:c r="K256" s="37" t="n">
        <x:v>35</x:v>
      </x:c>
      <x:c r="L256" s="37" t="str">
        <x:v>1031|LJT-RPD-FINAL</x:v>
      </x:c>
    </x:row>
    <x:row r="257">
      <x:c r="A257" s="37" t="str">
        <x:v>2006</x:v>
      </x:c>
      <x:c r="B257" s="37" t="str"/>
      <x:c r="C257" s="37" t="str">
        <x:v>LJT-RPD-FINAL</x:v>
      </x:c>
      <x:c r="D257" s="37" t="str">
        <x:v>RPD 印最終模（來源無獨立欄位）</x:v>
      </x:c>
      <x:c r="E257" s="37" t="str">
        <x:f>IF(_xlfn.XLOOKUP("UPG|2006|LJT-RPD-FINAL",'能力升級候選'!$A$7:$A$258,'能力升級候選'!$R$7:$R$258,"",0)="已核定升級","◎",_xlfn.XLOOKUP("UPG|2006|LJT-RPD-FINAL",'能力升級候選'!$A$7:$A$258,'能力升級候選'!$E$7:$E$258,"未評估",0))</x:f>
        <x:v>未評估</x:v>
      </x:c>
      <x:c r="F257" s="37" t="str">
        <x:f>IF(COUNTIFS('事件與限制'!$C$7:$C$106,$A257,'事件與限制'!$E$7:$E$106,$C257,'事件與限制'!$M$7:$M$106,"暫停技能資格",'事件與限制'!$Q$7:$Q$106,"生效中")&gt;0,"資格暫停",IF($E257="未評估","未建立",_xlfn.XLOOKUP("ABIL|2006|LJT-RPD-FINAL",'主管核定中心'!$A$12:$A$372,'主管核定中心'!$K$12:$K$372,"待主管核定",0)))</x:f>
        <x:v>未建立</x:v>
      </x:c>
      <x:c r="G257" s="37" t="str">
        <x:v>新增技能待考核</x:v>
      </x:c>
      <x:c r="H257" s="41" t="n">
        <x:v>46282</x:v>
      </x:c>
      <x:c r="I257" s="44" t="str">
        <x:f>_xlfn.XLOOKUP("ABIL|2006|LJT-RPD-FINAL",'主管核定中心'!$A$12:$A$372,'主管核定中心'!$I$12:$I$372,"",0)</x:f>
      </x:c>
      <x:c r="J257" s="46" t="str">
        <x:f>_xlfn.XLOOKUP("ABIL|2006|LJT-RPD-FINAL",'主管核定中心'!$A$12:$A$372,'主管核定中心'!$H$12:$H$372,"",0)</x:f>
      </x:c>
      <x:c r="K257" s="37" t="n">
        <x:v>35</x:v>
      </x:c>
      <x:c r="L257" s="37" t="str">
        <x:v>2006|LJT-RPD-FINAL</x:v>
      </x:c>
    </x:row>
    <x:row r="258">
      <x:c r="A258" s="38" t="str">
        <x:v>2007</x:v>
      </x:c>
      <x:c r="B258" s="38" t="str"/>
      <x:c r="C258" s="38" t="str">
        <x:v>LJT-RPD-FINAL</x:v>
      </x:c>
      <x:c r="D258" s="38" t="str">
        <x:v>RPD 印最終模（來源無獨立欄位）</x:v>
      </x:c>
      <x:c r="E258" s="38" t="str">
        <x:f>IF(_xlfn.XLOOKUP("UPG|2007|LJT-RPD-FINAL",'能力升級候選'!$A$7:$A$258,'能力升級候選'!$R$7:$R$258,"",0)="已核定升級","◎",_xlfn.XLOOKUP("UPG|2007|LJT-RPD-FINAL",'能力升級候選'!$A$7:$A$258,'能力升級候選'!$E$7:$E$258,"未評估",0))</x:f>
        <x:v>未評估</x:v>
      </x:c>
      <x:c r="F258" s="38" t="str">
        <x:f>IF(COUNTIFS('事件與限制'!$C$7:$C$106,$A258,'事件與限制'!$E$7:$E$106,$C258,'事件與限制'!$M$7:$M$106,"暫停技能資格",'事件與限制'!$Q$7:$Q$106,"生效中")&gt;0,"資格暫停",IF($E258="未評估","未建立",_xlfn.XLOOKUP("ABIL|2007|LJT-RPD-FINAL",'主管核定中心'!$A$12:$A$372,'主管核定中心'!$K$12:$K$372,"待主管核定",0)))</x:f>
        <x:v>未建立</x:v>
      </x:c>
      <x:c r="G258" s="38" t="str">
        <x:v>新增技能待考核</x:v>
      </x:c>
      <x:c r="H258" s="43" t="n">
        <x:v>46282</x:v>
      </x:c>
      <x:c r="I258" s="45" t="str">
        <x:f>_xlfn.XLOOKUP("ABIL|2007|LJT-RPD-FINAL",'主管核定中心'!$A$12:$A$372,'主管核定中心'!$I$12:$I$372,"",0)</x:f>
      </x:c>
      <x:c r="J258" s="47" t="str">
        <x:f>_xlfn.XLOOKUP("ABIL|2007|LJT-RPD-FINAL",'主管核定中心'!$A$12:$A$372,'主管核定中心'!$H$12:$H$372,"",0)</x:f>
      </x:c>
      <x:c r="K258" s="38" t="n">
        <x:v>35</x:v>
      </x:c>
      <x:c r="L258" s="38" t="str">
        <x:v>2007|LJT-RPD-FINAL</x:v>
      </x:c>
    </x:row>
  </x:sheetData>
  <x:dataValidations count="1">
    <x:dataValidation type="list" sqref="E7:E258">
      <x:formula1>"未評估,※,△,Ø,◎"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e32b0a3d064e52"/>
  </x:tableParts>
</x:worksheet>
</file>

<file path=xl/worksheets/sheet11.xml><?xml version="1.0" encoding="utf-8"?>
<x:worksheet xmlns:x="http://schemas.openxmlformats.org/spreadsheetml/2006/main">
  <x:sheetPr>
    <x:tabColor rgb="FF9BB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22" hidden="0" customWidth="1"/>
    <x:col min="6" max="6" width="16" hidden="0" customWidth="1"/>
    <x:col min="7" max="7" width="42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</x:cols>
  <x:sheetData>
    <x:row r="2">
      <x:c r="A2" s="26" t="str">
        <x:v>李侑津醫師跟診熟悉度試行匯入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>
      <x:c r="A4" s="28" t="str">
        <x:v>舊『跟診順暢度』僅作初步轉換，正式熟悉度仍由助理回報、主管核定。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</x:row>
    <x:row r="6">
      <x:c r="A6" s="36" t="str">
        <x:v>員工編號</x:v>
      </x:c>
      <x:c r="B6" s="36" t="str">
        <x:v>姓名</x:v>
      </x:c>
      <x:c r="C6" s="36" t="str">
        <x:v>醫師</x:v>
      </x:c>
      <x:c r="D6" s="36" t="str">
        <x:v>來源符號</x:v>
      </x:c>
      <x:c r="E6" s="36" t="str">
        <x:v>初步熟悉度</x:v>
      </x:c>
      <x:c r="F6" s="36" t="str">
        <x:v>有效狀態</x:v>
      </x:c>
      <x:c r="G6" s="36" t="str">
        <x:v>轉換依據</x:v>
      </x:c>
      <x:c r="H6" s="36" t="str">
        <x:v>基準日</x:v>
      </x:c>
      <x:c r="I6" s="36" t="str">
        <x:v>核定人</x:v>
      </x:c>
      <x:c r="J6" s="36" t="str">
        <x:v>核定日</x:v>
      </x:c>
      <x:c r="K6" s="36" t="str">
        <x:v>查找鍵</x:v>
      </x:c>
    </x:row>
    <x:row r="7">
      <x:c r="A7" s="37" t="str">
        <x:v>1001</x:v>
      </x:c>
      <x:c r="B7" s="37" t="str"/>
      <x:c r="C7" s="37" t="str">
        <x:v>李侑津醫師</x:v>
      </x:c>
      <x:c r="D7" s="37" t="str">
        <x:v>◎</x:v>
      </x:c>
      <x:c r="E7" s="37" t="str">
        <x:v>可獨立配合</x:v>
      </x:c>
      <x:c r="F7" s="37" t="str">
        <x:f>IF($E7="未評估","未建立",_xlfn.XLOOKUP("FAM|1001|李侑津醫師",'主管核定中心'!$A$12:$A$372,'主管核定中心'!$K$12:$K$372,"待主管核定",0))</x:f>
        <x:v>待主管核定</x:v>
      </x:c>
      <x:c r="G7" s="37" t="str">
        <x:v>由舊『跟診順暢度』初步轉換</x:v>
      </x:c>
      <x:c r="H7" s="41" t="n">
        <x:v>46266</x:v>
      </x:c>
      <x:c r="I7" s="44" t="str">
        <x:f>_xlfn.XLOOKUP("FAM|1001|李侑津醫師",'主管核定中心'!$A$12:$A$372,'主管核定中心'!$I$12:$I$372,"",0)</x:f>
      </x:c>
      <x:c r="J7" s="46" t="str">
        <x:f>_xlfn.XLOOKUP("FAM|1001|李侑津醫師",'主管核定中心'!$A$12:$A$372,'主管核定中心'!$H$12:$H$372,"",0)</x:f>
      </x:c>
      <x:c r="K7" s="37" t="str">
        <x:v>1001|李侑津醫師</x:v>
      </x:c>
    </x:row>
    <x:row r="8">
      <x:c r="A8" s="37" t="str">
        <x:v>1004</x:v>
      </x:c>
      <x:c r="B8" s="37" t="str"/>
      <x:c r="C8" s="37" t="str">
        <x:v>李侑津醫師</x:v>
      </x:c>
      <x:c r="D8" s="37" t="str">
        <x:v>◎</x:v>
      </x:c>
      <x:c r="E8" s="37" t="str">
        <x:v>可獨立配合</x:v>
      </x:c>
      <x:c r="F8" s="37" t="str">
        <x:f>IF($E8="未評估","未建立",_xlfn.XLOOKUP("FAM|1004|李侑津醫師",'主管核定中心'!$A$12:$A$372,'主管核定中心'!$K$12:$K$372,"待主管核定",0))</x:f>
        <x:v>待主管核定</x:v>
      </x:c>
      <x:c r="G8" s="37" t="str">
        <x:v>由舊『跟診順暢度』初步轉換</x:v>
      </x:c>
      <x:c r="H8" s="41" t="n">
        <x:v>46266</x:v>
      </x:c>
      <x:c r="I8" s="44" t="str">
        <x:f>_xlfn.XLOOKUP("FAM|1004|李侑津醫師",'主管核定中心'!$A$12:$A$372,'主管核定中心'!$I$12:$I$372,"",0)</x:f>
      </x:c>
      <x:c r="J8" s="46" t="str">
        <x:f>_xlfn.XLOOKUP("FAM|1004|李侑津醫師",'主管核定中心'!$A$12:$A$372,'主管核定中心'!$H$12:$H$372,"",0)</x:f>
      </x:c>
      <x:c r="K8" s="37" t="str">
        <x:v>1004|李侑津醫師</x:v>
      </x:c>
    </x:row>
    <x:row r="9">
      <x:c r="A9" s="37" t="str">
        <x:v>1013</x:v>
      </x:c>
      <x:c r="B9" s="37" t="str"/>
      <x:c r="C9" s="37" t="str">
        <x:v>李侑津醫師</x:v>
      </x:c>
      <x:c r="D9" s="37" t="str">
        <x:v>◎</x:v>
      </x:c>
      <x:c r="E9" s="37" t="str">
        <x:v>可獨立配合</x:v>
      </x:c>
      <x:c r="F9" s="37" t="str">
        <x:f>IF($E9="未評估","未建立",_xlfn.XLOOKUP("FAM|1013|李侑津醫師",'主管核定中心'!$A$12:$A$372,'主管核定中心'!$K$12:$K$372,"待主管核定",0))</x:f>
        <x:v>待主管核定</x:v>
      </x:c>
      <x:c r="G9" s="37" t="str">
        <x:v>由舊『跟診順暢度』初步轉換</x:v>
      </x:c>
      <x:c r="H9" s="41" t="n">
        <x:v>46266</x:v>
      </x:c>
      <x:c r="I9" s="44" t="str">
        <x:f>_xlfn.XLOOKUP("FAM|1013|李侑津醫師",'主管核定中心'!$A$12:$A$372,'主管核定中心'!$I$12:$I$372,"",0)</x:f>
      </x:c>
      <x:c r="J9" s="46" t="str">
        <x:f>_xlfn.XLOOKUP("FAM|1013|李侑津醫師",'主管核定中心'!$A$12:$A$372,'主管核定中心'!$H$12:$H$372,"",0)</x:f>
      </x:c>
      <x:c r="K9" s="37" t="str">
        <x:v>1013|李侑津醫師</x:v>
      </x:c>
    </x:row>
    <x:row r="10">
      <x:c r="A10" s="37" t="str">
        <x:v>1019</x:v>
      </x:c>
      <x:c r="B10" s="37" t="str"/>
      <x:c r="C10" s="37" t="str">
        <x:v>李侑津醫師</x:v>
      </x:c>
      <x:c r="D10" s="37" t="str">
        <x:v>◎</x:v>
      </x:c>
      <x:c r="E10" s="37" t="str">
        <x:v>可獨立配合</x:v>
      </x:c>
      <x:c r="F10" s="37" t="str">
        <x:f>IF($E10="未評估","未建立",_xlfn.XLOOKUP("FAM|1019|李侑津醫師",'主管核定中心'!$A$12:$A$372,'主管核定中心'!$K$12:$K$372,"待主管核定",0))</x:f>
        <x:v>待主管核定</x:v>
      </x:c>
      <x:c r="G10" s="37" t="str">
        <x:v>由舊『跟診順暢度』初步轉換</x:v>
      </x:c>
      <x:c r="H10" s="41" t="n">
        <x:v>46266</x:v>
      </x:c>
      <x:c r="I10" s="44" t="str">
        <x:f>_xlfn.XLOOKUP("FAM|1019|李侑津醫師",'主管核定中心'!$A$12:$A$372,'主管核定中心'!$I$12:$I$372,"",0)</x:f>
      </x:c>
      <x:c r="J10" s="46" t="str">
        <x:f>_xlfn.XLOOKUP("FAM|1019|李侑津醫師",'主管核定中心'!$A$12:$A$372,'主管核定中心'!$H$12:$H$372,"",0)</x:f>
      </x:c>
      <x:c r="K10" s="37" t="str">
        <x:v>1019|李侑津醫師</x:v>
      </x:c>
    </x:row>
    <x:row r="11">
      <x:c r="A11" s="37" t="str">
        <x:v>1020</x:v>
      </x:c>
      <x:c r="B11" s="37" t="str"/>
      <x:c r="C11" s="37" t="str">
        <x:v>李侑津醫師</x:v>
      </x:c>
      <x:c r="D11" s="37" t="str">
        <x:v>◎</x:v>
      </x:c>
      <x:c r="E11" s="37" t="str">
        <x:v>可獨立配合</x:v>
      </x:c>
      <x:c r="F11" s="37" t="str">
        <x:f>IF($E11="未評估","未建立",_xlfn.XLOOKUP("FAM|1020|李侑津醫師",'主管核定中心'!$A$12:$A$372,'主管核定中心'!$K$12:$K$372,"待主管核定",0))</x:f>
        <x:v>待主管核定</x:v>
      </x:c>
      <x:c r="G11" s="37" t="str">
        <x:v>由舊『跟診順暢度』初步轉換</x:v>
      </x:c>
      <x:c r="H11" s="41" t="n">
        <x:v>46266</x:v>
      </x:c>
      <x:c r="I11" s="44" t="str">
        <x:f>_xlfn.XLOOKUP("FAM|1020|李侑津醫師",'主管核定中心'!$A$12:$A$372,'主管核定中心'!$I$12:$I$372,"",0)</x:f>
      </x:c>
      <x:c r="J11" s="46" t="str">
        <x:f>_xlfn.XLOOKUP("FAM|1020|李侑津醫師",'主管核定中心'!$A$12:$A$372,'主管核定中心'!$H$12:$H$372,"",0)</x:f>
      </x:c>
      <x:c r="K11" s="37" t="str">
        <x:v>1020|李侑津醫師</x:v>
      </x:c>
    </x:row>
    <x:row r="12">
      <x:c r="A12" s="37" t="str">
        <x:v>1025</x:v>
      </x:c>
      <x:c r="B12" s="37" t="str"/>
      <x:c r="C12" s="37" t="str">
        <x:v>李侑津醫師</x:v>
      </x:c>
      <x:c r="D12" s="37" t="str">
        <x:v>Ø</x:v>
      </x:c>
      <x:c r="E12" s="37" t="str">
        <x:v>可配合但需支援</x:v>
      </x:c>
      <x:c r="F12" s="37" t="str">
        <x:f>IF($E12="未評估","未建立",_xlfn.XLOOKUP("FAM|1025|李侑津醫師",'主管核定中心'!$A$12:$A$372,'主管核定中心'!$K$12:$K$372,"待主管核定",0))</x:f>
        <x:v>待主管核定</x:v>
      </x:c>
      <x:c r="G12" s="37" t="str">
        <x:v>由舊『跟診順暢度』初步轉換</x:v>
      </x:c>
      <x:c r="H12" s="41" t="n">
        <x:v>46266</x:v>
      </x:c>
      <x:c r="I12" s="44" t="str">
        <x:f>_xlfn.XLOOKUP("FAM|1025|李侑津醫師",'主管核定中心'!$A$12:$A$372,'主管核定中心'!$I$12:$I$372,"",0)</x:f>
      </x:c>
      <x:c r="J12" s="46" t="str">
        <x:f>_xlfn.XLOOKUP("FAM|1025|李侑津醫師",'主管核定中心'!$A$12:$A$372,'主管核定中心'!$H$12:$H$372,"",0)</x:f>
      </x:c>
      <x:c r="K12" s="37" t="str">
        <x:v>1025|李侑津醫師</x:v>
      </x:c>
    </x:row>
    <x:row r="13">
      <x:c r="A13" s="37" t="str">
        <x:v>1026</x:v>
      </x:c>
      <x:c r="B13" s="37" t="str"/>
      <x:c r="C13" s="37" t="str">
        <x:v>李侑津醫師</x:v>
      </x:c>
      <x:c r="D13" s="37" t="str">
        <x:v>◎</x:v>
      </x:c>
      <x:c r="E13" s="37" t="str">
        <x:v>可獨立配合</x:v>
      </x:c>
      <x:c r="F13" s="37" t="str">
        <x:f>IF($E13="未評估","未建立",_xlfn.XLOOKUP("FAM|1026|李侑津醫師",'主管核定中心'!$A$12:$A$372,'主管核定中心'!$K$12:$K$372,"待主管核定",0))</x:f>
        <x:v>待主管核定</x:v>
      </x:c>
      <x:c r="G13" s="37" t="str">
        <x:v>由舊『跟診順暢度』初步轉換</x:v>
      </x:c>
      <x:c r="H13" s="41" t="n">
        <x:v>46266</x:v>
      </x:c>
      <x:c r="I13" s="44" t="str">
        <x:f>_xlfn.XLOOKUP("FAM|1026|李侑津醫師",'主管核定中心'!$A$12:$A$372,'主管核定中心'!$I$12:$I$372,"",0)</x:f>
      </x:c>
      <x:c r="J13" s="46" t="str">
        <x:f>_xlfn.XLOOKUP("FAM|1026|李侑津醫師",'主管核定中心'!$A$12:$A$372,'主管核定中心'!$H$12:$H$372,"",0)</x:f>
      </x:c>
      <x:c r="K13" s="37" t="str">
        <x:v>1026|李侑津醫師</x:v>
      </x:c>
    </x:row>
    <x:row r="14">
      <x:c r="A14" s="37" t="str">
        <x:v>1027</x:v>
      </x:c>
      <x:c r="B14" s="37" t="str"/>
      <x:c r="C14" s="37" t="str">
        <x:v>李侑津醫師</x:v>
      </x:c>
      <x:c r="D14" s="37" t="str">
        <x:v>Ø</x:v>
      </x:c>
      <x:c r="E14" s="37" t="str">
        <x:v>可配合但需支援</x:v>
      </x:c>
      <x:c r="F14" s="37" t="str">
        <x:f>IF($E14="未評估","未建立",_xlfn.XLOOKUP("FAM|1027|李侑津醫師",'主管核定中心'!$A$12:$A$372,'主管核定中心'!$K$12:$K$372,"待主管核定",0))</x:f>
        <x:v>待主管核定</x:v>
      </x:c>
      <x:c r="G14" s="37" t="str">
        <x:v>由舊『跟診順暢度』初步轉換</x:v>
      </x:c>
      <x:c r="H14" s="41" t="n">
        <x:v>46266</x:v>
      </x:c>
      <x:c r="I14" s="44" t="str">
        <x:f>_xlfn.XLOOKUP("FAM|1027|李侑津醫師",'主管核定中心'!$A$12:$A$372,'主管核定中心'!$I$12:$I$372,"",0)</x:f>
      </x:c>
      <x:c r="J14" s="46" t="str">
        <x:f>_xlfn.XLOOKUP("FAM|1027|李侑津醫師",'主管核定中心'!$A$12:$A$372,'主管核定中心'!$H$12:$H$372,"",0)</x:f>
      </x:c>
      <x:c r="K14" s="37" t="str">
        <x:v>1027|李侑津醫師</x:v>
      </x:c>
    </x:row>
    <x:row r="15">
      <x:c r="A15" s="37" t="str">
        <x:v>1028</x:v>
      </x:c>
      <x:c r="B15" s="37" t="str"/>
      <x:c r="C15" s="37" t="str">
        <x:v>李侑津醫師</x:v>
      </x:c>
      <x:c r="D15" s="37" t="str">
        <x:v>※</x:v>
      </x:c>
      <x:c r="E15" s="37" t="str">
        <x:v>學習中</x:v>
      </x:c>
      <x:c r="F15" s="37" t="str">
        <x:f>IF($E15="未評估","未建立",_xlfn.XLOOKUP("FAM|1028|李侑津醫師",'主管核定中心'!$A$12:$A$372,'主管核定中心'!$K$12:$K$372,"待主管核定",0))</x:f>
        <x:v>待主管核定</x:v>
      </x:c>
      <x:c r="G15" s="37" t="str">
        <x:v>由舊『跟診順暢度』初步轉換</x:v>
      </x:c>
      <x:c r="H15" s="41" t="n">
        <x:v>46266</x:v>
      </x:c>
      <x:c r="I15" s="44" t="str">
        <x:f>_xlfn.XLOOKUP("FAM|1028|李侑津醫師",'主管核定中心'!$A$12:$A$372,'主管核定中心'!$I$12:$I$372,"",0)</x:f>
      </x:c>
      <x:c r="J15" s="46" t="str">
        <x:f>_xlfn.XLOOKUP("FAM|1028|李侑津醫師",'主管核定中心'!$A$12:$A$372,'主管核定中心'!$H$12:$H$372,"",0)</x:f>
      </x:c>
      <x:c r="K15" s="37" t="str">
        <x:v>1028|李侑津醫師</x:v>
      </x:c>
    </x:row>
    <x:row r="16">
      <x:c r="A16" s="37" t="str">
        <x:v>1029</x:v>
      </x:c>
      <x:c r="B16" s="37" t="str"/>
      <x:c r="C16" s="37" t="str">
        <x:v>李侑津醫師</x:v>
      </x:c>
      <x:c r="D16" s="37" t="str">
        <x:v>空白</x:v>
      </x:c>
      <x:c r="E16" s="37" t="str">
        <x:v>未評估</x:v>
      </x:c>
      <x:c r="F16" s="37" t="str">
        <x:f>IF($E16="未評估","未建立",_xlfn.XLOOKUP("FAM|1029|李侑津醫師",'主管核定中心'!$A$12:$A$372,'主管核定中心'!$K$12:$K$372,"待主管核定",0))</x:f>
        <x:v>未建立</x:v>
      </x:c>
      <x:c r="G16" s="37" t="str">
        <x:v>由舊『跟診順暢度』初步轉換</x:v>
      </x:c>
      <x:c r="H16" s="41" t="n">
        <x:v>46266</x:v>
      </x:c>
      <x:c r="I16" s="44" t="str">
        <x:f>_xlfn.XLOOKUP("FAM|1029|李侑津醫師",'主管核定中心'!$A$12:$A$372,'主管核定中心'!$I$12:$I$372,"",0)</x:f>
      </x:c>
      <x:c r="J16" s="46" t="str">
        <x:f>_xlfn.XLOOKUP("FAM|1029|李侑津醫師",'主管核定中心'!$A$12:$A$372,'主管核定中心'!$H$12:$H$372,"",0)</x:f>
      </x:c>
      <x:c r="K16" s="37" t="str">
        <x:v>1029|李侑津醫師</x:v>
      </x:c>
    </x:row>
    <x:row r="17">
      <x:c r="A17" s="37" t="str">
        <x:v>1030</x:v>
      </x:c>
      <x:c r="B17" s="37" t="str"/>
      <x:c r="C17" s="37" t="str">
        <x:v>李侑津醫師</x:v>
      </x:c>
      <x:c r="D17" s="37" t="str">
        <x:v>空白</x:v>
      </x:c>
      <x:c r="E17" s="37" t="str">
        <x:v>未評估</x:v>
      </x:c>
      <x:c r="F17" s="37" t="str">
        <x:f>IF($E17="未評估","未建立",_xlfn.XLOOKUP("FAM|1030|李侑津醫師",'主管核定中心'!$A$12:$A$372,'主管核定中心'!$K$12:$K$372,"待主管核定",0))</x:f>
        <x:v>未建立</x:v>
      </x:c>
      <x:c r="G17" s="37" t="str">
        <x:v>由舊『跟診順暢度』初步轉換</x:v>
      </x:c>
      <x:c r="H17" s="41" t="n">
        <x:v>46266</x:v>
      </x:c>
      <x:c r="I17" s="44" t="str">
        <x:f>_xlfn.XLOOKUP("FAM|1030|李侑津醫師",'主管核定中心'!$A$12:$A$372,'主管核定中心'!$I$12:$I$372,"",0)</x:f>
      </x:c>
      <x:c r="J17" s="46" t="str">
        <x:f>_xlfn.XLOOKUP("FAM|1030|李侑津醫師",'主管核定中心'!$A$12:$A$372,'主管核定中心'!$H$12:$H$372,"",0)</x:f>
      </x:c>
      <x:c r="K17" s="37" t="str">
        <x:v>1030|李侑津醫師</x:v>
      </x:c>
    </x:row>
    <x:row r="18">
      <x:c r="A18" s="37" t="str">
        <x:v>1031</x:v>
      </x:c>
      <x:c r="B18" s="37" t="str"/>
      <x:c r="C18" s="37" t="str">
        <x:v>李侑津醫師</x:v>
      </x:c>
      <x:c r="D18" s="37" t="str">
        <x:v>空白</x:v>
      </x:c>
      <x:c r="E18" s="37" t="str">
        <x:v>未評估</x:v>
      </x:c>
      <x:c r="F18" s="37" t="str">
        <x:f>IF($E18="未評估","未建立",_xlfn.XLOOKUP("FAM|1031|李侑津醫師",'主管核定中心'!$A$12:$A$372,'主管核定中心'!$K$12:$K$372,"待主管核定",0))</x:f>
        <x:v>未建立</x:v>
      </x:c>
      <x:c r="G18" s="37" t="str">
        <x:v>由舊『跟診順暢度』初步轉換</x:v>
      </x:c>
      <x:c r="H18" s="41" t="n">
        <x:v>46266</x:v>
      </x:c>
      <x:c r="I18" s="44" t="str">
        <x:f>_xlfn.XLOOKUP("FAM|1031|李侑津醫師",'主管核定中心'!$A$12:$A$372,'主管核定中心'!$I$12:$I$372,"",0)</x:f>
      </x:c>
      <x:c r="J18" s="46" t="str">
        <x:f>_xlfn.XLOOKUP("FAM|1031|李侑津醫師",'主管核定中心'!$A$12:$A$372,'主管核定中心'!$H$12:$H$372,"",0)</x:f>
      </x:c>
      <x:c r="K18" s="37" t="str">
        <x:v>1031|李侑津醫師</x:v>
      </x:c>
    </x:row>
    <x:row r="19">
      <x:c r="A19" s="37" t="str">
        <x:v>2006</x:v>
      </x:c>
      <x:c r="B19" s="37" t="str"/>
      <x:c r="C19" s="37" t="str">
        <x:v>李侑津醫師</x:v>
      </x:c>
      <x:c r="D19" s="37" t="str">
        <x:v>空白</x:v>
      </x:c>
      <x:c r="E19" s="37" t="str">
        <x:v>未評估</x:v>
      </x:c>
      <x:c r="F19" s="37" t="str">
        <x:f>IF($E19="未評估","未建立",_xlfn.XLOOKUP("FAM|2006|李侑津醫師",'主管核定中心'!$A$12:$A$372,'主管核定中心'!$K$12:$K$372,"待主管核定",0))</x:f>
        <x:v>未建立</x:v>
      </x:c>
      <x:c r="G19" s="37" t="str">
        <x:v>由舊『跟診順暢度』初步轉換</x:v>
      </x:c>
      <x:c r="H19" s="41" t="n">
        <x:v>46266</x:v>
      </x:c>
      <x:c r="I19" s="44" t="str">
        <x:f>_xlfn.XLOOKUP("FAM|2006|李侑津醫師",'主管核定中心'!$A$12:$A$372,'主管核定中心'!$I$12:$I$372,"",0)</x:f>
      </x:c>
      <x:c r="J19" s="46" t="str">
        <x:f>_xlfn.XLOOKUP("FAM|2006|李侑津醫師",'主管核定中心'!$A$12:$A$372,'主管核定中心'!$H$12:$H$372,"",0)</x:f>
      </x:c>
      <x:c r="K19" s="37" t="str">
        <x:v>2006|李侑津醫師</x:v>
      </x:c>
    </x:row>
    <x:row r="20">
      <x:c r="A20" s="38" t="str">
        <x:v>2007</x:v>
      </x:c>
      <x:c r="B20" s="38" t="str"/>
      <x:c r="C20" s="38" t="str">
        <x:v>李侑津醫師</x:v>
      </x:c>
      <x:c r="D20" s="38" t="str">
        <x:v>空白</x:v>
      </x:c>
      <x:c r="E20" s="38" t="str">
        <x:v>未評估</x:v>
      </x:c>
      <x:c r="F20" s="38" t="str">
        <x:f>IF($E20="未評估","未建立",_xlfn.XLOOKUP("FAM|2007|李侑津醫師",'主管核定中心'!$A$12:$A$372,'主管核定中心'!$K$12:$K$372,"待主管核定",0))</x:f>
        <x:v>未建立</x:v>
      </x:c>
      <x:c r="G20" s="38" t="str">
        <x:v>由舊『跟診順暢度』初步轉換</x:v>
      </x:c>
      <x:c r="H20" s="43" t="n">
        <x:v>46266</x:v>
      </x:c>
      <x:c r="I20" s="45" t="str">
        <x:f>_xlfn.XLOOKUP("FAM|2007|李侑津醫師",'主管核定中心'!$A$12:$A$372,'主管核定中心'!$I$12:$I$372,"",0)</x:f>
      </x:c>
      <x:c r="J20" s="47" t="str">
        <x:f>_xlfn.XLOOKUP("FAM|2007|李侑津醫師",'主管核定中心'!$A$12:$A$372,'主管核定中心'!$H$12:$H$372,"",0)</x:f>
      </x:c>
      <x:c r="K20" s="38" t="str">
        <x:v>2007|李侑津醫師</x:v>
      </x:c>
    </x:row>
  </x:sheetData>
  <x:dataValidations count="1">
    <x:dataValidation type="list" sqref="E7:E20">
      <x:formula1>"未評估,學習中,可配合但需支援,可獨立配合"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294de6103f4918"/>
  </x:tableParts>
</x:worksheet>
</file>

<file path=xl/worksheets/sheet12.xml><?xml version="1.0" encoding="utf-8"?>
<x:worksheet xmlns:x="http://schemas.openxmlformats.org/spreadsheetml/2006/main">
  <x:sheetPr>
    <x:tabColor rgb="FF9BBB5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44" hidden="0" customWidth="1"/>
    <x:col min="12" max="12" width="34" hidden="0" customWidth="1"/>
  </x:cols>
  <x:sheetData>
    <x:row r="2">
      <x:c r="A2" s="26" t="str">
        <x:v>半年複評與資格有效性試行資料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8" t="str">
        <x:v>低頻高風險技能不給寬限。RPD 印最終模因來源無獨立欄位，先列未建立。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</x:row>
    <x:row r="6">
      <x:c r="A6" s="36" t="str">
        <x:v>員工編號</x:v>
      </x:c>
      <x:c r="B6" s="36" t="str">
        <x:v>姓名</x:v>
      </x:c>
      <x:c r="C6" s="36" t="str">
        <x:v>技能代碼</x:v>
      </x:c>
      <x:c r="D6" s="36" t="str">
        <x:v>目前評等</x:v>
      </x:c>
      <x:c r="E6" s="36" t="str">
        <x:v>資格狀態</x:v>
      </x:c>
      <x:c r="F6" s="36" t="str">
        <x:v>有效起日</x:v>
      </x:c>
      <x:c r="G6" s="36" t="str">
        <x:v>到期日</x:v>
      </x:c>
      <x:c r="H6" s="36" t="str">
        <x:v>寬限天數</x:v>
      </x:c>
      <x:c r="I6" s="36" t="str">
        <x:v>補考日</x:v>
      </x:c>
      <x:c r="J6" s="36" t="str">
        <x:v>寬限到期日</x:v>
      </x:c>
      <x:c r="K6" s="36" t="str">
        <x:v>備註</x:v>
      </x:c>
      <x:c r="L6" s="36" t="str">
        <x:v>查找鍵</x:v>
      </x:c>
    </x:row>
    <x:row r="7">
      <x:c r="A7" s="37" t="str">
        <x:v>1001</x:v>
      </x:c>
      <x:c r="B7" s="37" t="str"/>
      <x:c r="C7" s="37" t="str">
        <x:v>LJT-PREP-PERIOSURG</x:v>
      </x:c>
      <x:c r="D7" s="37" t="str">
        <x:v>◎</x:v>
      </x:c>
      <x:c r="E7" s="37" t="str">
        <x:f>IF(COUNTIFS('事件與限制'!$C$7:$C$106,$A7,'事件與限制'!$E$7:$E$106,$C7,'事件與限制'!$M$7:$M$106,"暫停技能資格",'事件與限制'!$Q$7:$Q$106,"生效中")&gt;0,"資格暫停",IF(_xlfn.XLOOKUP("REC|1001|LJT-PREP-PERIOSURG",'資格恢復處理'!$A$7:$A$62,'資格恢復處理'!$S$7:$S$62,"",0)="資格已恢復",IF(TODAY()&gt;$G7,"逾期","有效"),_xlfn.XLOOKUP("REC|1001|LJT-PREP-PERIOSURG",'資格恢復處理'!$A$7:$A$62,'資格恢復處理'!$F$7:$F$62,"未建立",0)))</x:f>
        <x:v>待主管核定</x:v>
      </x:c>
      <x:c r="F7" s="41" t="n">
        <x:f>IF(_xlfn.XLOOKUP("REC|1001|LJT-PREP-PERIOSURG",'資格恢復處理'!$A$7:$A$62,'資格恢復處理'!$S$7:$S$62,"",0)="資格已恢復",_xlfn.XLOOKUP("REC|1001|LJT-PREP-PERIOSURG",'資格恢復處理'!$A$7:$A$62,'資格恢復處理'!$O$7:$O$62,"",0),_xlfn.XLOOKUP("REC|1001|LJT-PREP-PERIOSURG",'資格恢復處理'!$A$7:$A$62,'資格恢復處理'!$G$7:$G$62,"",0))</x:f>
        <x:v>46266</x:v>
      </x:c>
      <x:c r="G7" s="41" t="n">
        <x:f>IF(_xlfn.XLOOKUP("REC|1001|LJT-PREP-PERIOSURG",'資格恢復處理'!$A$7:$A$62,'資格恢復處理'!$S$7:$S$62,"",0)="資格已恢復",_xlfn.XLOOKUP("REC|1001|LJT-PREP-PERIOSURG",'資格恢復處理'!$A$7:$A$62,'資格恢復處理'!$P$7:$P$62,"",0),_xlfn.XLOOKUP("REC|1001|LJT-PREP-PERIOSURG",'資格恢復處理'!$A$7:$A$62,'資格恢復處理'!$H$7:$H$62,"",0))</x:f>
        <x:v>46447</x:v>
      </x:c>
      <x:c r="H7" s="37" t="n">
        <x:v>0</x:v>
      </x:c>
      <x:c r="I7" s="46"/>
      <x:c r="J7" s="46"/>
      <x:c r="K7" s="39" t="str">
        <x:v>低頻高風險；逾期立即暫停</x:v>
      </x:c>
      <x:c r="L7" s="37" t="str">
        <x:v>1001|LJT-PREP-PERIOSURG</x:v>
      </x:c>
    </x:row>
    <x:row r="8">
      <x:c r="A8" s="37" t="str">
        <x:v>1001</x:v>
      </x:c>
      <x:c r="B8" s="37" t="str"/>
      <x:c r="C8" s="37" t="str">
        <x:v>LJT-PREP-MICROENDO</x:v>
      </x:c>
      <x:c r="D8" s="37" t="str">
        <x:v>◎</x:v>
      </x:c>
      <x:c r="E8" s="37" t="str">
        <x:f>IF(COUNTIFS('事件與限制'!$C$7:$C$106,$A8,'事件與限制'!$E$7:$E$106,$C8,'事件與限制'!$M$7:$M$106,"暫停技能資格",'事件與限制'!$Q$7:$Q$106,"生效中")&gt;0,"資格暫停",IF(_xlfn.XLOOKUP("REC|1001|LJT-PREP-MICROENDO",'資格恢復處理'!$A$7:$A$62,'資格恢復處理'!$S$7:$S$62,"",0)="資格已恢復",IF(TODAY()&gt;$G8,"逾期","有效"),_xlfn.XLOOKUP("REC|1001|LJT-PREP-MICROENDO",'資格恢復處理'!$A$7:$A$62,'資格恢復處理'!$F$7:$F$62,"未建立",0)))</x:f>
        <x:v>待主管核定</x:v>
      </x:c>
      <x:c r="F8" s="41" t="n">
        <x:f>IF(_xlfn.XLOOKUP("REC|1001|LJT-PREP-MICROENDO",'資格恢復處理'!$A$7:$A$62,'資格恢復處理'!$S$7:$S$62,"",0)="資格已恢復",_xlfn.XLOOKUP("REC|1001|LJT-PREP-MICROENDO",'資格恢復處理'!$A$7:$A$62,'資格恢復處理'!$O$7:$O$62,"",0),_xlfn.XLOOKUP("REC|1001|LJT-PREP-MICROENDO",'資格恢復處理'!$A$7:$A$62,'資格恢復處理'!$G$7:$G$62,"",0))</x:f>
        <x:v>46266</x:v>
      </x:c>
      <x:c r="G8" s="41" t="n">
        <x:f>IF(_xlfn.XLOOKUP("REC|1001|LJT-PREP-MICROENDO",'資格恢復處理'!$A$7:$A$62,'資格恢復處理'!$S$7:$S$62,"",0)="資格已恢復",_xlfn.XLOOKUP("REC|1001|LJT-PREP-MICROENDO",'資格恢復處理'!$A$7:$A$62,'資格恢復處理'!$P$7:$P$62,"",0),_xlfn.XLOOKUP("REC|1001|LJT-PREP-MICROENDO",'資格恢復處理'!$A$7:$A$62,'資格恢復處理'!$H$7:$H$62,"",0))</x:f>
        <x:v>46447</x:v>
      </x:c>
      <x:c r="H8" s="37" t="n">
        <x:v>0</x:v>
      </x:c>
      <x:c r="I8" s="46"/>
      <x:c r="J8" s="46"/>
      <x:c r="K8" s="39" t="str">
        <x:v>低頻高風險；逾期立即暫停</x:v>
      </x:c>
      <x:c r="L8" s="37" t="str">
        <x:v>1001|LJT-PREP-MICROENDO</x:v>
      </x:c>
    </x:row>
    <x:row r="9">
      <x:c r="A9" s="37" t="str">
        <x:v>1001</x:v>
      </x:c>
      <x:c r="B9" s="37" t="str"/>
      <x:c r="C9" s="37" t="str">
        <x:v>LJT-PREP-IMPLANT</x:v>
      </x:c>
      <x:c r="D9" s="37" t="str">
        <x:v>◎</x:v>
      </x:c>
      <x:c r="E9" s="37" t="str">
        <x:f>IF(COUNTIFS('事件與限制'!$C$7:$C$106,$A9,'事件與限制'!$E$7:$E$106,$C9,'事件與限制'!$M$7:$M$106,"暫停技能資格",'事件與限制'!$Q$7:$Q$106,"生效中")&gt;0,"資格暫停",IF(_xlfn.XLOOKUP("REC|1001|LJT-PREP-IMPLANT",'資格恢復處理'!$A$7:$A$62,'資格恢復處理'!$S$7:$S$62,"",0)="資格已恢復",IF(TODAY()&gt;$G9,"逾期","有效"),_xlfn.XLOOKUP("REC|1001|LJT-PREP-IMPLANT",'資格恢復處理'!$A$7:$A$62,'資格恢復處理'!$F$7:$F$62,"未建立",0)))</x:f>
        <x:v>待主管核定</x:v>
      </x:c>
      <x:c r="F9" s="41" t="n">
        <x:f>IF(_xlfn.XLOOKUP("REC|1001|LJT-PREP-IMPLANT",'資格恢復處理'!$A$7:$A$62,'資格恢復處理'!$S$7:$S$62,"",0)="資格已恢復",_xlfn.XLOOKUP("REC|1001|LJT-PREP-IMPLANT",'資格恢復處理'!$A$7:$A$62,'資格恢復處理'!$O$7:$O$62,"",0),_xlfn.XLOOKUP("REC|1001|LJT-PREP-IMPLANT",'資格恢復處理'!$A$7:$A$62,'資格恢復處理'!$G$7:$G$62,"",0))</x:f>
        <x:v>46266</x:v>
      </x:c>
      <x:c r="G9" s="41" t="n">
        <x:f>IF(_xlfn.XLOOKUP("REC|1001|LJT-PREP-IMPLANT",'資格恢復處理'!$A$7:$A$62,'資格恢復處理'!$S$7:$S$62,"",0)="資格已恢復",_xlfn.XLOOKUP("REC|1001|LJT-PREP-IMPLANT",'資格恢復處理'!$A$7:$A$62,'資格恢復處理'!$P$7:$P$62,"",0),_xlfn.XLOOKUP("REC|1001|LJT-PREP-IMPLANT",'資格恢復處理'!$A$7:$A$62,'資格恢復處理'!$H$7:$H$62,"",0))</x:f>
        <x:v>46447</x:v>
      </x:c>
      <x:c r="H9" s="37" t="n">
        <x:v>0</x:v>
      </x:c>
      <x:c r="I9" s="46"/>
      <x:c r="J9" s="46"/>
      <x:c r="K9" s="39" t="str">
        <x:v>低頻高風險；逾期立即暫停</x:v>
      </x:c>
      <x:c r="L9" s="37" t="str">
        <x:v>1001|LJT-PREP-IMPLANT</x:v>
      </x:c>
    </x:row>
    <x:row r="10">
      <x:c r="A10" s="37" t="str">
        <x:v>1001</x:v>
      </x:c>
      <x:c r="B10" s="37" t="str"/>
      <x:c r="C10" s="37" t="str">
        <x:v>LJT-RPD-FINAL</x:v>
      </x:c>
      <x:c r="D10" s="37" t="str">
        <x:v>未評估</x:v>
      </x:c>
      <x:c r="E10" s="37" t="str">
        <x:f>IF(COUNTIFS('事件與限制'!$C$7:$C$106,$A10,'事件與限制'!$E$7:$E$106,$C10,'事件與限制'!$M$7:$M$106,"暫停技能資格",'事件與限制'!$Q$7:$Q$106,"生效中")&gt;0,"資格暫停",IF(_xlfn.XLOOKUP("REC|1001|LJT-RPD-FINAL",'資格恢復處理'!$A$7:$A$62,'資格恢復處理'!$S$7:$S$62,"",0)="資格已恢復",IF(TODAY()&gt;$G10,"逾期","有效"),_xlfn.XLOOKUP("REC|1001|LJT-RPD-FINAL",'資格恢復處理'!$A$7:$A$62,'資格恢復處理'!$F$7:$F$62,"未建立",0)))</x:f>
        <x:v>未建立</x:v>
      </x:c>
      <x:c r="F10" s="41" t="str">
        <x:f>IF(_xlfn.XLOOKUP("REC|1001|LJT-RPD-FINAL",'資格恢復處理'!$A$7:$A$62,'資格恢復處理'!$S$7:$S$62,"",0)="資格已恢復",_xlfn.XLOOKUP("REC|1001|LJT-RPD-FINAL",'資格恢復處理'!$A$7:$A$62,'資格恢復處理'!$O$7:$O$62,"",0),_xlfn.XLOOKUP("REC|1001|LJT-RPD-FINAL",'資格恢復處理'!$A$7:$A$62,'資格恢復處理'!$G$7:$G$62,"",0))</x:f>
      </x:c>
      <x:c r="G10" s="41" t="str">
        <x:f>IF(_xlfn.XLOOKUP("REC|1001|LJT-RPD-FINAL",'資格恢復處理'!$A$7:$A$62,'資格恢復處理'!$S$7:$S$62,"",0)="資格已恢復",_xlfn.XLOOKUP("REC|1001|LJT-RPD-FINAL",'資格恢復處理'!$A$7:$A$62,'資格恢復處理'!$P$7:$P$62,"",0),_xlfn.XLOOKUP("REC|1001|LJT-RPD-FINAL",'資格恢復處理'!$A$7:$A$62,'資格恢復處理'!$H$7:$H$62,"",0))</x:f>
      </x:c>
      <x:c r="H10" s="37" t="n">
        <x:v>0</x:v>
      </x:c>
      <x:c r="I10" s="46"/>
      <x:c r="J10" s="46"/>
      <x:c r="K10" s="39" t="str">
        <x:v>來源表沒有獨立評等，須另行考核</x:v>
      </x:c>
      <x:c r="L10" s="37" t="str">
        <x:v>1001|LJT-RPD-FINAL</x:v>
      </x:c>
    </x:row>
    <x:row r="11">
      <x:c r="A11" s="37" t="str">
        <x:v>1004</x:v>
      </x:c>
      <x:c r="B11" s="37" t="str"/>
      <x:c r="C11" s="37" t="str">
        <x:v>LJT-PREP-PERIOSURG</x:v>
      </x:c>
      <x:c r="D11" s="37" t="str">
        <x:v>◎</x:v>
      </x:c>
      <x:c r="E11" s="37" t="str">
        <x:f>IF(COUNTIFS('事件與限制'!$C$7:$C$106,$A11,'事件與限制'!$E$7:$E$106,$C11,'事件與限制'!$M$7:$M$106,"暫停技能資格",'事件與限制'!$Q$7:$Q$106,"生效中")&gt;0,"資格暫停",IF(_xlfn.XLOOKUP("REC|1004|LJT-PREP-PERIOSURG",'資格恢復處理'!$A$7:$A$62,'資格恢復處理'!$S$7:$S$62,"",0)="資格已恢復",IF(TODAY()&gt;$G11,"逾期","有效"),_xlfn.XLOOKUP("REC|1004|LJT-PREP-PERIOSURG",'資格恢復處理'!$A$7:$A$62,'資格恢復處理'!$F$7:$F$62,"未建立",0)))</x:f>
        <x:v>待主管核定</x:v>
      </x:c>
      <x:c r="F11" s="41" t="n">
        <x:f>IF(_xlfn.XLOOKUP("REC|1004|LJT-PREP-PERIOSURG",'資格恢復處理'!$A$7:$A$62,'資格恢復處理'!$S$7:$S$62,"",0)="資格已恢復",_xlfn.XLOOKUP("REC|1004|LJT-PREP-PERIOSURG",'資格恢復處理'!$A$7:$A$62,'資格恢復處理'!$O$7:$O$62,"",0),_xlfn.XLOOKUP("REC|1004|LJT-PREP-PERIOSURG",'資格恢復處理'!$A$7:$A$62,'資格恢復處理'!$G$7:$G$62,"",0))</x:f>
        <x:v>46266</x:v>
      </x:c>
      <x:c r="G11" s="41" t="n">
        <x:f>IF(_xlfn.XLOOKUP("REC|1004|LJT-PREP-PERIOSURG",'資格恢復處理'!$A$7:$A$62,'資格恢復處理'!$S$7:$S$62,"",0)="資格已恢復",_xlfn.XLOOKUP("REC|1004|LJT-PREP-PERIOSURG",'資格恢復處理'!$A$7:$A$62,'資格恢復處理'!$P$7:$P$62,"",0),_xlfn.XLOOKUP("REC|1004|LJT-PREP-PERIOSURG",'資格恢復處理'!$A$7:$A$62,'資格恢復處理'!$H$7:$H$62,"",0))</x:f>
        <x:v>46447</x:v>
      </x:c>
      <x:c r="H11" s="37" t="n">
        <x:v>0</x:v>
      </x:c>
      <x:c r="I11" s="46"/>
      <x:c r="J11" s="46"/>
      <x:c r="K11" s="39" t="str">
        <x:v>低頻高風險；逾期立即暫停</x:v>
      </x:c>
      <x:c r="L11" s="37" t="str">
        <x:v>1004|LJT-PREP-PERIOSURG</x:v>
      </x:c>
    </x:row>
    <x:row r="12">
      <x:c r="A12" s="37" t="str">
        <x:v>1004</x:v>
      </x:c>
      <x:c r="B12" s="37" t="str"/>
      <x:c r="C12" s="37" t="str">
        <x:v>LJT-PREP-MICROENDO</x:v>
      </x:c>
      <x:c r="D12" s="37" t="str">
        <x:v>◎</x:v>
      </x:c>
      <x:c r="E12" s="37" t="str">
        <x:f>IF(COUNTIFS('事件與限制'!$C$7:$C$106,$A12,'事件與限制'!$E$7:$E$106,$C12,'事件與限制'!$M$7:$M$106,"暫停技能資格",'事件與限制'!$Q$7:$Q$106,"生效中")&gt;0,"資格暫停",IF(_xlfn.XLOOKUP("REC|1004|LJT-PREP-MICROENDO",'資格恢復處理'!$A$7:$A$62,'資格恢復處理'!$S$7:$S$62,"",0)="資格已恢復",IF(TODAY()&gt;$G12,"逾期","有效"),_xlfn.XLOOKUP("REC|1004|LJT-PREP-MICROENDO",'資格恢復處理'!$A$7:$A$62,'資格恢復處理'!$F$7:$F$62,"未建立",0)))</x:f>
        <x:v>待主管核定</x:v>
      </x:c>
      <x:c r="F12" s="41" t="n">
        <x:f>IF(_xlfn.XLOOKUP("REC|1004|LJT-PREP-MICROENDO",'資格恢復處理'!$A$7:$A$62,'資格恢復處理'!$S$7:$S$62,"",0)="資格已恢復",_xlfn.XLOOKUP("REC|1004|LJT-PREP-MICROENDO",'資格恢復處理'!$A$7:$A$62,'資格恢復處理'!$O$7:$O$62,"",0),_xlfn.XLOOKUP("REC|1004|LJT-PREP-MICROENDO",'資格恢復處理'!$A$7:$A$62,'資格恢復處理'!$G$7:$G$62,"",0))</x:f>
        <x:v>46266</x:v>
      </x:c>
      <x:c r="G12" s="41" t="n">
        <x:f>IF(_xlfn.XLOOKUP("REC|1004|LJT-PREP-MICROENDO",'資格恢復處理'!$A$7:$A$62,'資格恢復處理'!$S$7:$S$62,"",0)="資格已恢復",_xlfn.XLOOKUP("REC|1004|LJT-PREP-MICROENDO",'資格恢復處理'!$A$7:$A$62,'資格恢復處理'!$P$7:$P$62,"",0),_xlfn.XLOOKUP("REC|1004|LJT-PREP-MICROENDO",'資格恢復處理'!$A$7:$A$62,'資格恢復處理'!$H$7:$H$62,"",0))</x:f>
        <x:v>46447</x:v>
      </x:c>
      <x:c r="H12" s="37" t="n">
        <x:v>0</x:v>
      </x:c>
      <x:c r="I12" s="46"/>
      <x:c r="J12" s="46"/>
      <x:c r="K12" s="39" t="str">
        <x:v>低頻高風險；逾期立即暫停</x:v>
      </x:c>
      <x:c r="L12" s="37" t="str">
        <x:v>1004|LJT-PREP-MICROENDO</x:v>
      </x:c>
    </x:row>
    <x:row r="13">
      <x:c r="A13" s="37" t="str">
        <x:v>1004</x:v>
      </x:c>
      <x:c r="B13" s="37" t="str"/>
      <x:c r="C13" s="37" t="str">
        <x:v>LJT-PREP-IMPLANT</x:v>
      </x:c>
      <x:c r="D13" s="37" t="str">
        <x:v>◎</x:v>
      </x:c>
      <x:c r="E13" s="37" t="str">
        <x:f>IF(COUNTIFS('事件與限制'!$C$7:$C$106,$A13,'事件與限制'!$E$7:$E$106,$C13,'事件與限制'!$M$7:$M$106,"暫停技能資格",'事件與限制'!$Q$7:$Q$106,"生效中")&gt;0,"資格暫停",IF(_xlfn.XLOOKUP("REC|1004|LJT-PREP-IMPLANT",'資格恢復處理'!$A$7:$A$62,'資格恢復處理'!$S$7:$S$62,"",0)="資格已恢復",IF(TODAY()&gt;$G13,"逾期","有效"),_xlfn.XLOOKUP("REC|1004|LJT-PREP-IMPLANT",'資格恢復處理'!$A$7:$A$62,'資格恢復處理'!$F$7:$F$62,"未建立",0)))</x:f>
        <x:v>待主管核定</x:v>
      </x:c>
      <x:c r="F13" s="41" t="n">
        <x:f>IF(_xlfn.XLOOKUP("REC|1004|LJT-PREP-IMPLANT",'資格恢復處理'!$A$7:$A$62,'資格恢復處理'!$S$7:$S$62,"",0)="資格已恢復",_xlfn.XLOOKUP("REC|1004|LJT-PREP-IMPLANT",'資格恢復處理'!$A$7:$A$62,'資格恢復處理'!$O$7:$O$62,"",0),_xlfn.XLOOKUP("REC|1004|LJT-PREP-IMPLANT",'資格恢復處理'!$A$7:$A$62,'資格恢復處理'!$G$7:$G$62,"",0))</x:f>
        <x:v>46266</x:v>
      </x:c>
      <x:c r="G13" s="41" t="n">
        <x:f>IF(_xlfn.XLOOKUP("REC|1004|LJT-PREP-IMPLANT",'資格恢復處理'!$A$7:$A$62,'資格恢復處理'!$S$7:$S$62,"",0)="資格已恢復",_xlfn.XLOOKUP("REC|1004|LJT-PREP-IMPLANT",'資格恢復處理'!$A$7:$A$62,'資格恢復處理'!$P$7:$P$62,"",0),_xlfn.XLOOKUP("REC|1004|LJT-PREP-IMPLANT",'資格恢復處理'!$A$7:$A$62,'資格恢復處理'!$H$7:$H$62,"",0))</x:f>
        <x:v>46447</x:v>
      </x:c>
      <x:c r="H13" s="37" t="n">
        <x:v>0</x:v>
      </x:c>
      <x:c r="I13" s="46"/>
      <x:c r="J13" s="46"/>
      <x:c r="K13" s="39" t="str">
        <x:v>低頻高風險；逾期立即暫停</x:v>
      </x:c>
      <x:c r="L13" s="37" t="str">
        <x:v>1004|LJT-PREP-IMPLANT</x:v>
      </x:c>
    </x:row>
    <x:row r="14">
      <x:c r="A14" s="37" t="str">
        <x:v>1004</x:v>
      </x:c>
      <x:c r="B14" s="37" t="str"/>
      <x:c r="C14" s="37" t="str">
        <x:v>LJT-RPD-FINAL</x:v>
      </x:c>
      <x:c r="D14" s="37" t="str">
        <x:v>未評估</x:v>
      </x:c>
      <x:c r="E14" s="37" t="str">
        <x:f>IF(COUNTIFS('事件與限制'!$C$7:$C$106,$A14,'事件與限制'!$E$7:$E$106,$C14,'事件與限制'!$M$7:$M$106,"暫停技能資格",'事件與限制'!$Q$7:$Q$106,"生效中")&gt;0,"資格暫停",IF(_xlfn.XLOOKUP("REC|1004|LJT-RPD-FINAL",'資格恢復處理'!$A$7:$A$62,'資格恢復處理'!$S$7:$S$62,"",0)="資格已恢復",IF(TODAY()&gt;$G14,"逾期","有效"),_xlfn.XLOOKUP("REC|1004|LJT-RPD-FINAL",'資格恢復處理'!$A$7:$A$62,'資格恢復處理'!$F$7:$F$62,"未建立",0)))</x:f>
        <x:v>未建立</x:v>
      </x:c>
      <x:c r="F14" s="41" t="str">
        <x:f>IF(_xlfn.XLOOKUP("REC|1004|LJT-RPD-FINAL",'資格恢復處理'!$A$7:$A$62,'資格恢復處理'!$S$7:$S$62,"",0)="資格已恢復",_xlfn.XLOOKUP("REC|1004|LJT-RPD-FINAL",'資格恢復處理'!$A$7:$A$62,'資格恢復處理'!$O$7:$O$62,"",0),_xlfn.XLOOKUP("REC|1004|LJT-RPD-FINAL",'資格恢復處理'!$A$7:$A$62,'資格恢復處理'!$G$7:$G$62,"",0))</x:f>
      </x:c>
      <x:c r="G14" s="41" t="str">
        <x:f>IF(_xlfn.XLOOKUP("REC|1004|LJT-RPD-FINAL",'資格恢復處理'!$A$7:$A$62,'資格恢復處理'!$S$7:$S$62,"",0)="資格已恢復",_xlfn.XLOOKUP("REC|1004|LJT-RPD-FINAL",'資格恢復處理'!$A$7:$A$62,'資格恢復處理'!$P$7:$P$62,"",0),_xlfn.XLOOKUP("REC|1004|LJT-RPD-FINAL",'資格恢復處理'!$A$7:$A$62,'資格恢復處理'!$H$7:$H$62,"",0))</x:f>
      </x:c>
      <x:c r="H14" s="37" t="n">
        <x:v>0</x:v>
      </x:c>
      <x:c r="I14" s="46"/>
      <x:c r="J14" s="46"/>
      <x:c r="K14" s="39" t="str">
        <x:v>來源表沒有獨立評等，須另行考核</x:v>
      </x:c>
      <x:c r="L14" s="37" t="str">
        <x:v>1004|LJT-RPD-FINAL</x:v>
      </x:c>
    </x:row>
    <x:row r="15">
      <x:c r="A15" s="37" t="str">
        <x:v>1013</x:v>
      </x:c>
      <x:c r="B15" s="37" t="str"/>
      <x:c r="C15" s="37" t="str">
        <x:v>LJT-PREP-PERIOSURG</x:v>
      </x:c>
      <x:c r="D15" s="37" t="str">
        <x:v>◎</x:v>
      </x:c>
      <x:c r="E15" s="37" t="str">
        <x:f>IF(COUNTIFS('事件與限制'!$C$7:$C$106,$A15,'事件與限制'!$E$7:$E$106,$C15,'事件與限制'!$M$7:$M$106,"暫停技能資格",'事件與限制'!$Q$7:$Q$106,"生效中")&gt;0,"資格暫停",IF(_xlfn.XLOOKUP("REC|1013|LJT-PREP-PERIOSURG",'資格恢復處理'!$A$7:$A$62,'資格恢復處理'!$S$7:$S$62,"",0)="資格已恢復",IF(TODAY()&gt;$G15,"逾期","有效"),_xlfn.XLOOKUP("REC|1013|LJT-PREP-PERIOSURG",'資格恢復處理'!$A$7:$A$62,'資格恢復處理'!$F$7:$F$62,"未建立",0)))</x:f>
        <x:v>待主管核定</x:v>
      </x:c>
      <x:c r="F15" s="41" t="n">
        <x:f>IF(_xlfn.XLOOKUP("REC|1013|LJT-PREP-PERIOSURG",'資格恢復處理'!$A$7:$A$62,'資格恢復處理'!$S$7:$S$62,"",0)="資格已恢復",_xlfn.XLOOKUP("REC|1013|LJT-PREP-PERIOSURG",'資格恢復處理'!$A$7:$A$62,'資格恢復處理'!$O$7:$O$62,"",0),_xlfn.XLOOKUP("REC|1013|LJT-PREP-PERIOSURG",'資格恢復處理'!$A$7:$A$62,'資格恢復處理'!$G$7:$G$62,"",0))</x:f>
        <x:v>46266</x:v>
      </x:c>
      <x:c r="G15" s="41" t="n">
        <x:f>IF(_xlfn.XLOOKUP("REC|1013|LJT-PREP-PERIOSURG",'資格恢復處理'!$A$7:$A$62,'資格恢復處理'!$S$7:$S$62,"",0)="資格已恢復",_xlfn.XLOOKUP("REC|1013|LJT-PREP-PERIOSURG",'資格恢復處理'!$A$7:$A$62,'資格恢復處理'!$P$7:$P$62,"",0),_xlfn.XLOOKUP("REC|1013|LJT-PREP-PERIOSURG",'資格恢復處理'!$A$7:$A$62,'資格恢復處理'!$H$7:$H$62,"",0))</x:f>
        <x:v>46447</x:v>
      </x:c>
      <x:c r="H15" s="37" t="n">
        <x:v>0</x:v>
      </x:c>
      <x:c r="I15" s="46"/>
      <x:c r="J15" s="46"/>
      <x:c r="K15" s="39" t="str">
        <x:v>低頻高風險；逾期立即暫停</x:v>
      </x:c>
      <x:c r="L15" s="37" t="str">
        <x:v>1013|LJT-PREP-PERIOSURG</x:v>
      </x:c>
    </x:row>
    <x:row r="16">
      <x:c r="A16" s="37" t="str">
        <x:v>1013</x:v>
      </x:c>
      <x:c r="B16" s="37" t="str"/>
      <x:c r="C16" s="37" t="str">
        <x:v>LJT-PREP-MICROENDO</x:v>
      </x:c>
      <x:c r="D16" s="37" t="str">
        <x:v>◎</x:v>
      </x:c>
      <x:c r="E16" s="37" t="str">
        <x:f>IF(COUNTIFS('事件與限制'!$C$7:$C$106,$A16,'事件與限制'!$E$7:$E$106,$C16,'事件與限制'!$M$7:$M$106,"暫停技能資格",'事件與限制'!$Q$7:$Q$106,"生效中")&gt;0,"資格暫停",IF(_xlfn.XLOOKUP("REC|1013|LJT-PREP-MICROENDO",'資格恢復處理'!$A$7:$A$62,'資格恢復處理'!$S$7:$S$62,"",0)="資格已恢復",IF(TODAY()&gt;$G16,"逾期","有效"),_xlfn.XLOOKUP("REC|1013|LJT-PREP-MICROENDO",'資格恢復處理'!$A$7:$A$62,'資格恢復處理'!$F$7:$F$62,"未建立",0)))</x:f>
        <x:v>待主管核定</x:v>
      </x:c>
      <x:c r="F16" s="41" t="n">
        <x:f>IF(_xlfn.XLOOKUP("REC|1013|LJT-PREP-MICROENDO",'資格恢復處理'!$A$7:$A$62,'資格恢復處理'!$S$7:$S$62,"",0)="資格已恢復",_xlfn.XLOOKUP("REC|1013|LJT-PREP-MICROENDO",'資格恢復處理'!$A$7:$A$62,'資格恢復處理'!$O$7:$O$62,"",0),_xlfn.XLOOKUP("REC|1013|LJT-PREP-MICROENDO",'資格恢復處理'!$A$7:$A$62,'資格恢復處理'!$G$7:$G$62,"",0))</x:f>
        <x:v>46266</x:v>
      </x:c>
      <x:c r="G16" s="41" t="n">
        <x:f>IF(_xlfn.XLOOKUP("REC|1013|LJT-PREP-MICROENDO",'資格恢復處理'!$A$7:$A$62,'資格恢復處理'!$S$7:$S$62,"",0)="資格已恢復",_xlfn.XLOOKUP("REC|1013|LJT-PREP-MICROENDO",'資格恢復處理'!$A$7:$A$62,'資格恢復處理'!$P$7:$P$62,"",0),_xlfn.XLOOKUP("REC|1013|LJT-PREP-MICROENDO",'資格恢復處理'!$A$7:$A$62,'資格恢復處理'!$H$7:$H$62,"",0))</x:f>
        <x:v>46447</x:v>
      </x:c>
      <x:c r="H16" s="37" t="n">
        <x:v>0</x:v>
      </x:c>
      <x:c r="I16" s="46"/>
      <x:c r="J16" s="46"/>
      <x:c r="K16" s="39" t="str">
        <x:v>低頻高風險；逾期立即暫停</x:v>
      </x:c>
      <x:c r="L16" s="37" t="str">
        <x:v>1013|LJT-PREP-MICROENDO</x:v>
      </x:c>
    </x:row>
    <x:row r="17">
      <x:c r="A17" s="37" t="str">
        <x:v>1013</x:v>
      </x:c>
      <x:c r="B17" s="37" t="str"/>
      <x:c r="C17" s="37" t="str">
        <x:v>LJT-PREP-IMPLANT</x:v>
      </x:c>
      <x:c r="D17" s="37" t="str">
        <x:v>◎</x:v>
      </x:c>
      <x:c r="E17" s="37" t="str">
        <x:f>IF(COUNTIFS('事件與限制'!$C$7:$C$106,$A17,'事件與限制'!$E$7:$E$106,$C17,'事件與限制'!$M$7:$M$106,"暫停技能資格",'事件與限制'!$Q$7:$Q$106,"生效中")&gt;0,"資格暫停",IF(_xlfn.XLOOKUP("REC|1013|LJT-PREP-IMPLANT",'資格恢復處理'!$A$7:$A$62,'資格恢復處理'!$S$7:$S$62,"",0)="資格已恢復",IF(TODAY()&gt;$G17,"逾期","有效"),_xlfn.XLOOKUP("REC|1013|LJT-PREP-IMPLANT",'資格恢復處理'!$A$7:$A$62,'資格恢復處理'!$F$7:$F$62,"未建立",0)))</x:f>
        <x:v>待主管核定</x:v>
      </x:c>
      <x:c r="F17" s="41" t="n">
        <x:f>IF(_xlfn.XLOOKUP("REC|1013|LJT-PREP-IMPLANT",'資格恢復處理'!$A$7:$A$62,'資格恢復處理'!$S$7:$S$62,"",0)="資格已恢復",_xlfn.XLOOKUP("REC|1013|LJT-PREP-IMPLANT",'資格恢復處理'!$A$7:$A$62,'資格恢復處理'!$O$7:$O$62,"",0),_xlfn.XLOOKUP("REC|1013|LJT-PREP-IMPLANT",'資格恢復處理'!$A$7:$A$62,'資格恢復處理'!$G$7:$G$62,"",0))</x:f>
        <x:v>46266</x:v>
      </x:c>
      <x:c r="G17" s="41" t="n">
        <x:f>IF(_xlfn.XLOOKUP("REC|1013|LJT-PREP-IMPLANT",'資格恢復處理'!$A$7:$A$62,'資格恢復處理'!$S$7:$S$62,"",0)="資格已恢復",_xlfn.XLOOKUP("REC|1013|LJT-PREP-IMPLANT",'資格恢復處理'!$A$7:$A$62,'資格恢復處理'!$P$7:$P$62,"",0),_xlfn.XLOOKUP("REC|1013|LJT-PREP-IMPLANT",'資格恢復處理'!$A$7:$A$62,'資格恢復處理'!$H$7:$H$62,"",0))</x:f>
        <x:v>46447</x:v>
      </x:c>
      <x:c r="H17" s="37" t="n">
        <x:v>0</x:v>
      </x:c>
      <x:c r="I17" s="46"/>
      <x:c r="J17" s="46"/>
      <x:c r="K17" s="39" t="str">
        <x:v>低頻高風險；逾期立即暫停</x:v>
      </x:c>
      <x:c r="L17" s="37" t="str">
        <x:v>1013|LJT-PREP-IMPLANT</x:v>
      </x:c>
    </x:row>
    <x:row r="18">
      <x:c r="A18" s="37" t="str">
        <x:v>1013</x:v>
      </x:c>
      <x:c r="B18" s="37" t="str"/>
      <x:c r="C18" s="37" t="str">
        <x:v>LJT-RPD-FINAL</x:v>
      </x:c>
      <x:c r="D18" s="37" t="str">
        <x:v>未評估</x:v>
      </x:c>
      <x:c r="E18" s="37" t="str">
        <x:f>IF(COUNTIFS('事件與限制'!$C$7:$C$106,$A18,'事件與限制'!$E$7:$E$106,$C18,'事件與限制'!$M$7:$M$106,"暫停技能資格",'事件與限制'!$Q$7:$Q$106,"生效中")&gt;0,"資格暫停",IF(_xlfn.XLOOKUP("REC|1013|LJT-RPD-FINAL",'資格恢復處理'!$A$7:$A$62,'資格恢復處理'!$S$7:$S$62,"",0)="資格已恢復",IF(TODAY()&gt;$G18,"逾期","有效"),_xlfn.XLOOKUP("REC|1013|LJT-RPD-FINAL",'資格恢復處理'!$A$7:$A$62,'資格恢復處理'!$F$7:$F$62,"未建立",0)))</x:f>
        <x:v>未建立</x:v>
      </x:c>
      <x:c r="F18" s="41" t="str">
        <x:f>IF(_xlfn.XLOOKUP("REC|1013|LJT-RPD-FINAL",'資格恢復處理'!$A$7:$A$62,'資格恢復處理'!$S$7:$S$62,"",0)="資格已恢復",_xlfn.XLOOKUP("REC|1013|LJT-RPD-FINAL",'資格恢復處理'!$A$7:$A$62,'資格恢復處理'!$O$7:$O$62,"",0),_xlfn.XLOOKUP("REC|1013|LJT-RPD-FINAL",'資格恢復處理'!$A$7:$A$62,'資格恢復處理'!$G$7:$G$62,"",0))</x:f>
      </x:c>
      <x:c r="G18" s="41" t="str">
        <x:f>IF(_xlfn.XLOOKUP("REC|1013|LJT-RPD-FINAL",'資格恢復處理'!$A$7:$A$62,'資格恢復處理'!$S$7:$S$62,"",0)="資格已恢復",_xlfn.XLOOKUP("REC|1013|LJT-RPD-FINAL",'資格恢復處理'!$A$7:$A$62,'資格恢復處理'!$P$7:$P$62,"",0),_xlfn.XLOOKUP("REC|1013|LJT-RPD-FINAL",'資格恢復處理'!$A$7:$A$62,'資格恢復處理'!$H$7:$H$62,"",0))</x:f>
      </x:c>
      <x:c r="H18" s="37" t="n">
        <x:v>0</x:v>
      </x:c>
      <x:c r="I18" s="46"/>
      <x:c r="J18" s="46"/>
      <x:c r="K18" s="39" t="str">
        <x:v>來源表沒有獨立評等，須另行考核</x:v>
      </x:c>
      <x:c r="L18" s="37" t="str">
        <x:v>1013|LJT-RPD-FINAL</x:v>
      </x:c>
    </x:row>
    <x:row r="19">
      <x:c r="A19" s="37" t="str">
        <x:v>1019</x:v>
      </x:c>
      <x:c r="B19" s="37" t="str"/>
      <x:c r="C19" s="37" t="str">
        <x:v>LJT-PREP-PERIOSURG</x:v>
      </x:c>
      <x:c r="D19" s="37" t="str">
        <x:v>◎</x:v>
      </x:c>
      <x:c r="E19" s="37" t="str">
        <x:f>IF(COUNTIFS('事件與限制'!$C$7:$C$106,$A19,'事件與限制'!$E$7:$E$106,$C19,'事件與限制'!$M$7:$M$106,"暫停技能資格",'事件與限制'!$Q$7:$Q$106,"生效中")&gt;0,"資格暫停",IF(_xlfn.XLOOKUP("REC|1019|LJT-PREP-PERIOSURG",'資格恢復處理'!$A$7:$A$62,'資格恢復處理'!$S$7:$S$62,"",0)="資格已恢復",IF(TODAY()&gt;$G19,"逾期","有效"),_xlfn.XLOOKUP("REC|1019|LJT-PREP-PERIOSURG",'資格恢復處理'!$A$7:$A$62,'資格恢復處理'!$F$7:$F$62,"未建立",0)))</x:f>
        <x:v>待主管核定</x:v>
      </x:c>
      <x:c r="F19" s="41" t="n">
        <x:f>IF(_xlfn.XLOOKUP("REC|1019|LJT-PREP-PERIOSURG",'資格恢復處理'!$A$7:$A$62,'資格恢復處理'!$S$7:$S$62,"",0)="資格已恢復",_xlfn.XLOOKUP("REC|1019|LJT-PREP-PERIOSURG",'資格恢復處理'!$A$7:$A$62,'資格恢復處理'!$O$7:$O$62,"",0),_xlfn.XLOOKUP("REC|1019|LJT-PREP-PERIOSURG",'資格恢復處理'!$A$7:$A$62,'資格恢復處理'!$G$7:$G$62,"",0))</x:f>
        <x:v>46266</x:v>
      </x:c>
      <x:c r="G19" s="41" t="n">
        <x:f>IF(_xlfn.XLOOKUP("REC|1019|LJT-PREP-PERIOSURG",'資格恢復處理'!$A$7:$A$62,'資格恢復處理'!$S$7:$S$62,"",0)="資格已恢復",_xlfn.XLOOKUP("REC|1019|LJT-PREP-PERIOSURG",'資格恢復處理'!$A$7:$A$62,'資格恢復處理'!$P$7:$P$62,"",0),_xlfn.XLOOKUP("REC|1019|LJT-PREP-PERIOSURG",'資格恢復處理'!$A$7:$A$62,'資格恢復處理'!$H$7:$H$62,"",0))</x:f>
        <x:v>46447</x:v>
      </x:c>
      <x:c r="H19" s="37" t="n">
        <x:v>0</x:v>
      </x:c>
      <x:c r="I19" s="46"/>
      <x:c r="J19" s="46"/>
      <x:c r="K19" s="39" t="str">
        <x:v>低頻高風險；逾期立即暫停</x:v>
      </x:c>
      <x:c r="L19" s="37" t="str">
        <x:v>1019|LJT-PREP-PERIOSURG</x:v>
      </x:c>
    </x:row>
    <x:row r="20">
      <x:c r="A20" s="37" t="str">
        <x:v>1019</x:v>
      </x:c>
      <x:c r="B20" s="37" t="str"/>
      <x:c r="C20" s="37" t="str">
        <x:v>LJT-PREP-MICROENDO</x:v>
      </x:c>
      <x:c r="D20" s="37" t="str">
        <x:v>◎</x:v>
      </x:c>
      <x:c r="E20" s="37" t="str">
        <x:f>IF(COUNTIFS('事件與限制'!$C$7:$C$106,$A20,'事件與限制'!$E$7:$E$106,$C20,'事件與限制'!$M$7:$M$106,"暫停技能資格",'事件與限制'!$Q$7:$Q$106,"生效中")&gt;0,"資格暫停",IF(_xlfn.XLOOKUP("REC|1019|LJT-PREP-MICROENDO",'資格恢復處理'!$A$7:$A$62,'資格恢復處理'!$S$7:$S$62,"",0)="資格已恢復",IF(TODAY()&gt;$G20,"逾期","有效"),_xlfn.XLOOKUP("REC|1019|LJT-PREP-MICROENDO",'資格恢復處理'!$A$7:$A$62,'資格恢復處理'!$F$7:$F$62,"未建立",0)))</x:f>
        <x:v>待主管核定</x:v>
      </x:c>
      <x:c r="F20" s="41" t="n">
        <x:f>IF(_xlfn.XLOOKUP("REC|1019|LJT-PREP-MICROENDO",'資格恢復處理'!$A$7:$A$62,'資格恢復處理'!$S$7:$S$62,"",0)="資格已恢復",_xlfn.XLOOKUP("REC|1019|LJT-PREP-MICROENDO",'資格恢復處理'!$A$7:$A$62,'資格恢復處理'!$O$7:$O$62,"",0),_xlfn.XLOOKUP("REC|1019|LJT-PREP-MICROENDO",'資格恢復處理'!$A$7:$A$62,'資格恢復處理'!$G$7:$G$62,"",0))</x:f>
        <x:v>46266</x:v>
      </x:c>
      <x:c r="G20" s="41" t="n">
        <x:f>IF(_xlfn.XLOOKUP("REC|1019|LJT-PREP-MICROENDO",'資格恢復處理'!$A$7:$A$62,'資格恢復處理'!$S$7:$S$62,"",0)="資格已恢復",_xlfn.XLOOKUP("REC|1019|LJT-PREP-MICROENDO",'資格恢復處理'!$A$7:$A$62,'資格恢復處理'!$P$7:$P$62,"",0),_xlfn.XLOOKUP("REC|1019|LJT-PREP-MICROENDO",'資格恢復處理'!$A$7:$A$62,'資格恢復處理'!$H$7:$H$62,"",0))</x:f>
        <x:v>46447</x:v>
      </x:c>
      <x:c r="H20" s="37" t="n">
        <x:v>0</x:v>
      </x:c>
      <x:c r="I20" s="46"/>
      <x:c r="J20" s="46"/>
      <x:c r="K20" s="39" t="str">
        <x:v>低頻高風險；逾期立即暫停</x:v>
      </x:c>
      <x:c r="L20" s="37" t="str">
        <x:v>1019|LJT-PREP-MICROENDO</x:v>
      </x:c>
    </x:row>
    <x:row r="21">
      <x:c r="A21" s="37" t="str">
        <x:v>1019</x:v>
      </x:c>
      <x:c r="B21" s="37" t="str"/>
      <x:c r="C21" s="37" t="str">
        <x:v>LJT-PREP-IMPLANT</x:v>
      </x:c>
      <x:c r="D21" s="37" t="str">
        <x:v>◎</x:v>
      </x:c>
      <x:c r="E21" s="37" t="str">
        <x:f>IF(COUNTIFS('事件與限制'!$C$7:$C$106,$A21,'事件與限制'!$E$7:$E$106,$C21,'事件與限制'!$M$7:$M$106,"暫停技能資格",'事件與限制'!$Q$7:$Q$106,"生效中")&gt;0,"資格暫停",IF(_xlfn.XLOOKUP("REC|1019|LJT-PREP-IMPLANT",'資格恢復處理'!$A$7:$A$62,'資格恢復處理'!$S$7:$S$62,"",0)="資格已恢復",IF(TODAY()&gt;$G21,"逾期","有效"),_xlfn.XLOOKUP("REC|1019|LJT-PREP-IMPLANT",'資格恢復處理'!$A$7:$A$62,'資格恢復處理'!$F$7:$F$62,"未建立",0)))</x:f>
        <x:v>待主管核定</x:v>
      </x:c>
      <x:c r="F21" s="41" t="n">
        <x:f>IF(_xlfn.XLOOKUP("REC|1019|LJT-PREP-IMPLANT",'資格恢復處理'!$A$7:$A$62,'資格恢復處理'!$S$7:$S$62,"",0)="資格已恢復",_xlfn.XLOOKUP("REC|1019|LJT-PREP-IMPLANT",'資格恢復處理'!$A$7:$A$62,'資格恢復處理'!$O$7:$O$62,"",0),_xlfn.XLOOKUP("REC|1019|LJT-PREP-IMPLANT",'資格恢復處理'!$A$7:$A$62,'資格恢復處理'!$G$7:$G$62,"",0))</x:f>
        <x:v>46266</x:v>
      </x:c>
      <x:c r="G21" s="41" t="n">
        <x:f>IF(_xlfn.XLOOKUP("REC|1019|LJT-PREP-IMPLANT",'資格恢復處理'!$A$7:$A$62,'資格恢復處理'!$S$7:$S$62,"",0)="資格已恢復",_xlfn.XLOOKUP("REC|1019|LJT-PREP-IMPLANT",'資格恢復處理'!$A$7:$A$62,'資格恢復處理'!$P$7:$P$62,"",0),_xlfn.XLOOKUP("REC|1019|LJT-PREP-IMPLANT",'資格恢復處理'!$A$7:$A$62,'資格恢復處理'!$H$7:$H$62,"",0))</x:f>
        <x:v>46447</x:v>
      </x:c>
      <x:c r="H21" s="37" t="n">
        <x:v>0</x:v>
      </x:c>
      <x:c r="I21" s="46"/>
      <x:c r="J21" s="46"/>
      <x:c r="K21" s="39" t="str">
        <x:v>低頻高風險；逾期立即暫停</x:v>
      </x:c>
      <x:c r="L21" s="37" t="str">
        <x:v>1019|LJT-PREP-IMPLANT</x:v>
      </x:c>
    </x:row>
    <x:row r="22">
      <x:c r="A22" s="37" t="str">
        <x:v>1019</x:v>
      </x:c>
      <x:c r="B22" s="37" t="str"/>
      <x:c r="C22" s="37" t="str">
        <x:v>LJT-RPD-FINAL</x:v>
      </x:c>
      <x:c r="D22" s="37" t="str">
        <x:v>未評估</x:v>
      </x:c>
      <x:c r="E22" s="37" t="str">
        <x:f>IF(COUNTIFS('事件與限制'!$C$7:$C$106,$A22,'事件與限制'!$E$7:$E$106,$C22,'事件與限制'!$M$7:$M$106,"暫停技能資格",'事件與限制'!$Q$7:$Q$106,"生效中")&gt;0,"資格暫停",IF(_xlfn.XLOOKUP("REC|1019|LJT-RPD-FINAL",'資格恢復處理'!$A$7:$A$62,'資格恢復處理'!$S$7:$S$62,"",0)="資格已恢復",IF(TODAY()&gt;$G22,"逾期","有效"),_xlfn.XLOOKUP("REC|1019|LJT-RPD-FINAL",'資格恢復處理'!$A$7:$A$62,'資格恢復處理'!$F$7:$F$62,"未建立",0)))</x:f>
        <x:v>未建立</x:v>
      </x:c>
      <x:c r="F22" s="41" t="str">
        <x:f>IF(_xlfn.XLOOKUP("REC|1019|LJT-RPD-FINAL",'資格恢復處理'!$A$7:$A$62,'資格恢復處理'!$S$7:$S$62,"",0)="資格已恢復",_xlfn.XLOOKUP("REC|1019|LJT-RPD-FINAL",'資格恢復處理'!$A$7:$A$62,'資格恢復處理'!$O$7:$O$62,"",0),_xlfn.XLOOKUP("REC|1019|LJT-RPD-FINAL",'資格恢復處理'!$A$7:$A$62,'資格恢復處理'!$G$7:$G$62,"",0))</x:f>
      </x:c>
      <x:c r="G22" s="41" t="str">
        <x:f>IF(_xlfn.XLOOKUP("REC|1019|LJT-RPD-FINAL",'資格恢復處理'!$A$7:$A$62,'資格恢復處理'!$S$7:$S$62,"",0)="資格已恢復",_xlfn.XLOOKUP("REC|1019|LJT-RPD-FINAL",'資格恢復處理'!$A$7:$A$62,'資格恢復處理'!$P$7:$P$62,"",0),_xlfn.XLOOKUP("REC|1019|LJT-RPD-FINAL",'資格恢復處理'!$A$7:$A$62,'資格恢復處理'!$H$7:$H$62,"",0))</x:f>
      </x:c>
      <x:c r="H22" s="37" t="n">
        <x:v>0</x:v>
      </x:c>
      <x:c r="I22" s="46"/>
      <x:c r="J22" s="46"/>
      <x:c r="K22" s="39" t="str">
        <x:v>來源表沒有獨立評等，須另行考核</x:v>
      </x:c>
      <x:c r="L22" s="37" t="str">
        <x:v>1019|LJT-RPD-FINAL</x:v>
      </x:c>
    </x:row>
    <x:row r="23">
      <x:c r="A23" s="37" t="str">
        <x:v>1020</x:v>
      </x:c>
      <x:c r="B23" s="37" t="str"/>
      <x:c r="C23" s="37" t="str">
        <x:v>LJT-PREP-PERIOSURG</x:v>
      </x:c>
      <x:c r="D23" s="37" t="str">
        <x:v>◎</x:v>
      </x:c>
      <x:c r="E23" s="37" t="str">
        <x:f>IF(COUNTIFS('事件與限制'!$C$7:$C$106,$A23,'事件與限制'!$E$7:$E$106,$C23,'事件與限制'!$M$7:$M$106,"暫停技能資格",'事件與限制'!$Q$7:$Q$106,"生效中")&gt;0,"資格暫停",IF(_xlfn.XLOOKUP("REC|1020|LJT-PREP-PERIOSURG",'資格恢復處理'!$A$7:$A$62,'資格恢復處理'!$S$7:$S$62,"",0)="資格已恢復",IF(TODAY()&gt;$G23,"逾期","有效"),_xlfn.XLOOKUP("REC|1020|LJT-PREP-PERIOSURG",'資格恢復處理'!$A$7:$A$62,'資格恢復處理'!$F$7:$F$62,"未建立",0)))</x:f>
        <x:v>待主管核定</x:v>
      </x:c>
      <x:c r="F23" s="41" t="n">
        <x:f>IF(_xlfn.XLOOKUP("REC|1020|LJT-PREP-PERIOSURG",'資格恢復處理'!$A$7:$A$62,'資格恢復處理'!$S$7:$S$62,"",0)="資格已恢復",_xlfn.XLOOKUP("REC|1020|LJT-PREP-PERIOSURG",'資格恢復處理'!$A$7:$A$62,'資格恢復處理'!$O$7:$O$62,"",0),_xlfn.XLOOKUP("REC|1020|LJT-PREP-PERIOSURG",'資格恢復處理'!$A$7:$A$62,'資格恢復處理'!$G$7:$G$62,"",0))</x:f>
        <x:v>46266</x:v>
      </x:c>
      <x:c r="G23" s="41" t="n">
        <x:f>IF(_xlfn.XLOOKUP("REC|1020|LJT-PREP-PERIOSURG",'資格恢復處理'!$A$7:$A$62,'資格恢復處理'!$S$7:$S$62,"",0)="資格已恢復",_xlfn.XLOOKUP("REC|1020|LJT-PREP-PERIOSURG",'資格恢復處理'!$A$7:$A$62,'資格恢復處理'!$P$7:$P$62,"",0),_xlfn.XLOOKUP("REC|1020|LJT-PREP-PERIOSURG",'資格恢復處理'!$A$7:$A$62,'資格恢復處理'!$H$7:$H$62,"",0))</x:f>
        <x:v>46447</x:v>
      </x:c>
      <x:c r="H23" s="37" t="n">
        <x:v>0</x:v>
      </x:c>
      <x:c r="I23" s="46"/>
      <x:c r="J23" s="46"/>
      <x:c r="K23" s="39" t="str">
        <x:v>低頻高風險；逾期立即暫停</x:v>
      </x:c>
      <x:c r="L23" s="37" t="str">
        <x:v>1020|LJT-PREP-PERIOSURG</x:v>
      </x:c>
    </x:row>
    <x:row r="24">
      <x:c r="A24" s="37" t="str">
        <x:v>1020</x:v>
      </x:c>
      <x:c r="B24" s="37" t="str"/>
      <x:c r="C24" s="37" t="str">
        <x:v>LJT-PREP-MICROENDO</x:v>
      </x:c>
      <x:c r="D24" s="37" t="str">
        <x:v>◎</x:v>
      </x:c>
      <x:c r="E24" s="37" t="str">
        <x:f>IF(COUNTIFS('事件與限制'!$C$7:$C$106,$A24,'事件與限制'!$E$7:$E$106,$C24,'事件與限制'!$M$7:$M$106,"暫停技能資格",'事件與限制'!$Q$7:$Q$106,"生效中")&gt;0,"資格暫停",IF(_xlfn.XLOOKUP("REC|1020|LJT-PREP-MICROENDO",'資格恢復處理'!$A$7:$A$62,'資格恢復處理'!$S$7:$S$62,"",0)="資格已恢復",IF(TODAY()&gt;$G24,"逾期","有效"),_xlfn.XLOOKUP("REC|1020|LJT-PREP-MICROENDO",'資格恢復處理'!$A$7:$A$62,'資格恢復處理'!$F$7:$F$62,"未建立",0)))</x:f>
        <x:v>待主管核定</x:v>
      </x:c>
      <x:c r="F24" s="41" t="n">
        <x:f>IF(_xlfn.XLOOKUP("REC|1020|LJT-PREP-MICROENDO",'資格恢復處理'!$A$7:$A$62,'資格恢復處理'!$S$7:$S$62,"",0)="資格已恢復",_xlfn.XLOOKUP("REC|1020|LJT-PREP-MICROENDO",'資格恢復處理'!$A$7:$A$62,'資格恢復處理'!$O$7:$O$62,"",0),_xlfn.XLOOKUP("REC|1020|LJT-PREP-MICROENDO",'資格恢復處理'!$A$7:$A$62,'資格恢復處理'!$G$7:$G$62,"",0))</x:f>
        <x:v>46266</x:v>
      </x:c>
      <x:c r="G24" s="41" t="n">
        <x:f>IF(_xlfn.XLOOKUP("REC|1020|LJT-PREP-MICROENDO",'資格恢復處理'!$A$7:$A$62,'資格恢復處理'!$S$7:$S$62,"",0)="資格已恢復",_xlfn.XLOOKUP("REC|1020|LJT-PREP-MICROENDO",'資格恢復處理'!$A$7:$A$62,'資格恢復處理'!$P$7:$P$62,"",0),_xlfn.XLOOKUP("REC|1020|LJT-PREP-MICROENDO",'資格恢復處理'!$A$7:$A$62,'資格恢復處理'!$H$7:$H$62,"",0))</x:f>
        <x:v>46447</x:v>
      </x:c>
      <x:c r="H24" s="37" t="n">
        <x:v>0</x:v>
      </x:c>
      <x:c r="I24" s="46"/>
      <x:c r="J24" s="46"/>
      <x:c r="K24" s="39" t="str">
        <x:v>低頻高風險；逾期立即暫停</x:v>
      </x:c>
      <x:c r="L24" s="37" t="str">
        <x:v>1020|LJT-PREP-MICROENDO</x:v>
      </x:c>
    </x:row>
    <x:row r="25">
      <x:c r="A25" s="37" t="str">
        <x:v>1020</x:v>
      </x:c>
      <x:c r="B25" s="37" t="str"/>
      <x:c r="C25" s="37" t="str">
        <x:v>LJT-PREP-IMPLANT</x:v>
      </x:c>
      <x:c r="D25" s="37" t="str">
        <x:v>◎</x:v>
      </x:c>
      <x:c r="E25" s="37" t="str">
        <x:f>IF(COUNTIFS('事件與限制'!$C$7:$C$106,$A25,'事件與限制'!$E$7:$E$106,$C25,'事件與限制'!$M$7:$M$106,"暫停技能資格",'事件與限制'!$Q$7:$Q$106,"生效中")&gt;0,"資格暫停",IF(_xlfn.XLOOKUP("REC|1020|LJT-PREP-IMPLANT",'資格恢復處理'!$A$7:$A$62,'資格恢復處理'!$S$7:$S$62,"",0)="資格已恢復",IF(TODAY()&gt;$G25,"逾期","有效"),_xlfn.XLOOKUP("REC|1020|LJT-PREP-IMPLANT",'資格恢復處理'!$A$7:$A$62,'資格恢復處理'!$F$7:$F$62,"未建立",0)))</x:f>
        <x:v>待主管核定</x:v>
      </x:c>
      <x:c r="F25" s="41" t="n">
        <x:f>IF(_xlfn.XLOOKUP("REC|1020|LJT-PREP-IMPLANT",'資格恢復處理'!$A$7:$A$62,'資格恢復處理'!$S$7:$S$62,"",0)="資格已恢復",_xlfn.XLOOKUP("REC|1020|LJT-PREP-IMPLANT",'資格恢復處理'!$A$7:$A$62,'資格恢復處理'!$O$7:$O$62,"",0),_xlfn.XLOOKUP("REC|1020|LJT-PREP-IMPLANT",'資格恢復處理'!$A$7:$A$62,'資格恢復處理'!$G$7:$G$62,"",0))</x:f>
        <x:v>46266</x:v>
      </x:c>
      <x:c r="G25" s="41" t="n">
        <x:f>IF(_xlfn.XLOOKUP("REC|1020|LJT-PREP-IMPLANT",'資格恢復處理'!$A$7:$A$62,'資格恢復處理'!$S$7:$S$62,"",0)="資格已恢復",_xlfn.XLOOKUP("REC|1020|LJT-PREP-IMPLANT",'資格恢復處理'!$A$7:$A$62,'資格恢復處理'!$P$7:$P$62,"",0),_xlfn.XLOOKUP("REC|1020|LJT-PREP-IMPLANT",'資格恢復處理'!$A$7:$A$62,'資格恢復處理'!$H$7:$H$62,"",0))</x:f>
        <x:v>46447</x:v>
      </x:c>
      <x:c r="H25" s="37" t="n">
        <x:v>0</x:v>
      </x:c>
      <x:c r="I25" s="46"/>
      <x:c r="J25" s="46"/>
      <x:c r="K25" s="39" t="str">
        <x:v>低頻高風險；逾期立即暫停</x:v>
      </x:c>
      <x:c r="L25" s="37" t="str">
        <x:v>1020|LJT-PREP-IMPLANT</x:v>
      </x:c>
    </x:row>
    <x:row r="26">
      <x:c r="A26" s="37" t="str">
        <x:v>1020</x:v>
      </x:c>
      <x:c r="B26" s="37" t="str"/>
      <x:c r="C26" s="37" t="str">
        <x:v>LJT-RPD-FINAL</x:v>
      </x:c>
      <x:c r="D26" s="37" t="str">
        <x:v>未評估</x:v>
      </x:c>
      <x:c r="E26" s="37" t="str">
        <x:f>IF(COUNTIFS('事件與限制'!$C$7:$C$106,$A26,'事件與限制'!$E$7:$E$106,$C26,'事件與限制'!$M$7:$M$106,"暫停技能資格",'事件與限制'!$Q$7:$Q$106,"生效中")&gt;0,"資格暫停",IF(_xlfn.XLOOKUP("REC|1020|LJT-RPD-FINAL",'資格恢復處理'!$A$7:$A$62,'資格恢復處理'!$S$7:$S$62,"",0)="資格已恢復",IF(TODAY()&gt;$G26,"逾期","有效"),_xlfn.XLOOKUP("REC|1020|LJT-RPD-FINAL",'資格恢復處理'!$A$7:$A$62,'資格恢復處理'!$F$7:$F$62,"未建立",0)))</x:f>
        <x:v>未建立</x:v>
      </x:c>
      <x:c r="F26" s="41" t="str">
        <x:f>IF(_xlfn.XLOOKUP("REC|1020|LJT-RPD-FINAL",'資格恢復處理'!$A$7:$A$62,'資格恢復處理'!$S$7:$S$62,"",0)="資格已恢復",_xlfn.XLOOKUP("REC|1020|LJT-RPD-FINAL",'資格恢復處理'!$A$7:$A$62,'資格恢復處理'!$O$7:$O$62,"",0),_xlfn.XLOOKUP("REC|1020|LJT-RPD-FINAL",'資格恢復處理'!$A$7:$A$62,'資格恢復處理'!$G$7:$G$62,"",0))</x:f>
      </x:c>
      <x:c r="G26" s="41" t="str">
        <x:f>IF(_xlfn.XLOOKUP("REC|1020|LJT-RPD-FINAL",'資格恢復處理'!$A$7:$A$62,'資格恢復處理'!$S$7:$S$62,"",0)="資格已恢復",_xlfn.XLOOKUP("REC|1020|LJT-RPD-FINAL",'資格恢復處理'!$A$7:$A$62,'資格恢復處理'!$P$7:$P$62,"",0),_xlfn.XLOOKUP("REC|1020|LJT-RPD-FINAL",'資格恢復處理'!$A$7:$A$62,'資格恢復處理'!$H$7:$H$62,"",0))</x:f>
      </x:c>
      <x:c r="H26" s="37" t="n">
        <x:v>0</x:v>
      </x:c>
      <x:c r="I26" s="46"/>
      <x:c r="J26" s="46"/>
      <x:c r="K26" s="39" t="str">
        <x:v>來源表沒有獨立評等，須另行考核</x:v>
      </x:c>
      <x:c r="L26" s="37" t="str">
        <x:v>1020|LJT-RPD-FINAL</x:v>
      </x:c>
    </x:row>
    <x:row r="27">
      <x:c r="A27" s="37" t="str">
        <x:v>1025</x:v>
      </x:c>
      <x:c r="B27" s="37" t="str"/>
      <x:c r="C27" s="37" t="str">
        <x:v>LJT-PREP-PERIOSURG</x:v>
      </x:c>
      <x:c r="D27" s="37" t="str">
        <x:v>Ø</x:v>
      </x:c>
      <x:c r="E27" s="37" t="str">
        <x:f>IF(COUNTIFS('事件與限制'!$C$7:$C$106,$A27,'事件與限制'!$E$7:$E$106,$C27,'事件與限制'!$M$7:$M$106,"暫停技能資格",'事件與限制'!$Q$7:$Q$106,"生效中")&gt;0,"資格暫停",IF(_xlfn.XLOOKUP("REC|1025|LJT-PREP-PERIOSURG",'資格恢復處理'!$A$7:$A$62,'資格恢復處理'!$S$7:$S$62,"",0)="資格已恢復",IF(TODAY()&gt;$G27,"逾期","有效"),_xlfn.XLOOKUP("REC|1025|LJT-PREP-PERIOSURG",'資格恢復處理'!$A$7:$A$62,'資格恢復處理'!$F$7:$F$62,"未建立",0)))</x:f>
        <x:v>待主管核定</x:v>
      </x:c>
      <x:c r="F27" s="41" t="n">
        <x:f>IF(_xlfn.XLOOKUP("REC|1025|LJT-PREP-PERIOSURG",'資格恢復處理'!$A$7:$A$62,'資格恢復處理'!$S$7:$S$62,"",0)="資格已恢復",_xlfn.XLOOKUP("REC|1025|LJT-PREP-PERIOSURG",'資格恢復處理'!$A$7:$A$62,'資格恢復處理'!$O$7:$O$62,"",0),_xlfn.XLOOKUP("REC|1025|LJT-PREP-PERIOSURG",'資格恢復處理'!$A$7:$A$62,'資格恢復處理'!$G$7:$G$62,"",0))</x:f>
        <x:v>46266</x:v>
      </x:c>
      <x:c r="G27" s="41" t="n">
        <x:f>IF(_xlfn.XLOOKUP("REC|1025|LJT-PREP-PERIOSURG",'資格恢復處理'!$A$7:$A$62,'資格恢復處理'!$S$7:$S$62,"",0)="資格已恢復",_xlfn.XLOOKUP("REC|1025|LJT-PREP-PERIOSURG",'資格恢復處理'!$A$7:$A$62,'資格恢復處理'!$P$7:$P$62,"",0),_xlfn.XLOOKUP("REC|1025|LJT-PREP-PERIOSURG",'資格恢復處理'!$A$7:$A$62,'資格恢復處理'!$H$7:$H$62,"",0))</x:f>
        <x:v>46447</x:v>
      </x:c>
      <x:c r="H27" s="37" t="n">
        <x:v>0</x:v>
      </x:c>
      <x:c r="I27" s="46"/>
      <x:c r="J27" s="46"/>
      <x:c r="K27" s="39" t="str">
        <x:v>低頻高風險；逾期立即暫停</x:v>
      </x:c>
      <x:c r="L27" s="37" t="str">
        <x:v>1025|LJT-PREP-PERIOSURG</x:v>
      </x:c>
    </x:row>
    <x:row r="28">
      <x:c r="A28" s="37" t="str">
        <x:v>1025</x:v>
      </x:c>
      <x:c r="B28" s="37" t="str"/>
      <x:c r="C28" s="37" t="str">
        <x:v>LJT-PREP-MICROENDO</x:v>
      </x:c>
      <x:c r="D28" s="37" t="str">
        <x:v>※</x:v>
      </x:c>
      <x:c r="E28" s="37" t="str">
        <x:f>IF(COUNTIFS('事件與限制'!$C$7:$C$106,$A28,'事件與限制'!$E$7:$E$106,$C28,'事件與限制'!$M$7:$M$106,"暫停技能資格",'事件與限制'!$Q$7:$Q$106,"生效中")&gt;0,"資格暫停",IF(_xlfn.XLOOKUP("REC|1025|LJT-PREP-MICROENDO",'資格恢復處理'!$A$7:$A$62,'資格恢復處理'!$S$7:$S$62,"",0)="資格已恢復",IF(TODAY()&gt;$G28,"逾期","有效"),_xlfn.XLOOKUP("REC|1025|LJT-PREP-MICROENDO",'資格恢復處理'!$A$7:$A$62,'資格恢復處理'!$F$7:$F$62,"未建立",0)))</x:f>
        <x:v>待主管核定</x:v>
      </x:c>
      <x:c r="F28" s="41" t="n">
        <x:f>IF(_xlfn.XLOOKUP("REC|1025|LJT-PREP-MICROENDO",'資格恢復處理'!$A$7:$A$62,'資格恢復處理'!$S$7:$S$62,"",0)="資格已恢復",_xlfn.XLOOKUP("REC|1025|LJT-PREP-MICROENDO",'資格恢復處理'!$A$7:$A$62,'資格恢復處理'!$O$7:$O$62,"",0),_xlfn.XLOOKUP("REC|1025|LJT-PREP-MICROENDO",'資格恢復處理'!$A$7:$A$62,'資格恢復處理'!$G$7:$G$62,"",0))</x:f>
        <x:v>46266</x:v>
      </x:c>
      <x:c r="G28" s="41" t="n">
        <x:f>IF(_xlfn.XLOOKUP("REC|1025|LJT-PREP-MICROENDO",'資格恢復處理'!$A$7:$A$62,'資格恢復處理'!$S$7:$S$62,"",0)="資格已恢復",_xlfn.XLOOKUP("REC|1025|LJT-PREP-MICROENDO",'資格恢復處理'!$A$7:$A$62,'資格恢復處理'!$P$7:$P$62,"",0),_xlfn.XLOOKUP("REC|1025|LJT-PREP-MICROENDO",'資格恢復處理'!$A$7:$A$62,'資格恢復處理'!$H$7:$H$62,"",0))</x:f>
        <x:v>46447</x:v>
      </x:c>
      <x:c r="H28" s="37" t="n">
        <x:v>0</x:v>
      </x:c>
      <x:c r="I28" s="46"/>
      <x:c r="J28" s="46"/>
      <x:c r="K28" s="39" t="str">
        <x:v>低頻高風險；逾期立即暫停</x:v>
      </x:c>
      <x:c r="L28" s="37" t="str">
        <x:v>1025|LJT-PREP-MICROENDO</x:v>
      </x:c>
    </x:row>
    <x:row r="29">
      <x:c r="A29" s="37" t="str">
        <x:v>1025</x:v>
      </x:c>
      <x:c r="B29" s="37" t="str"/>
      <x:c r="C29" s="37" t="str">
        <x:v>LJT-PREP-IMPLANT</x:v>
      </x:c>
      <x:c r="D29" s="37" t="str">
        <x:v>Ø</x:v>
      </x:c>
      <x:c r="E29" s="37" t="str">
        <x:f>IF(COUNTIFS('事件與限制'!$C$7:$C$106,$A29,'事件與限制'!$E$7:$E$106,$C29,'事件與限制'!$M$7:$M$106,"暫停技能資格",'事件與限制'!$Q$7:$Q$106,"生效中")&gt;0,"資格暫停",IF(_xlfn.XLOOKUP("REC|1025|LJT-PREP-IMPLANT",'資格恢復處理'!$A$7:$A$62,'資格恢復處理'!$S$7:$S$62,"",0)="資格已恢復",IF(TODAY()&gt;$G29,"逾期","有效"),_xlfn.XLOOKUP("REC|1025|LJT-PREP-IMPLANT",'資格恢復處理'!$A$7:$A$62,'資格恢復處理'!$F$7:$F$62,"未建立",0)))</x:f>
        <x:v>待主管核定</x:v>
      </x:c>
      <x:c r="F29" s="41" t="n">
        <x:f>IF(_xlfn.XLOOKUP("REC|1025|LJT-PREP-IMPLANT",'資格恢復處理'!$A$7:$A$62,'資格恢復處理'!$S$7:$S$62,"",0)="資格已恢復",_xlfn.XLOOKUP("REC|1025|LJT-PREP-IMPLANT",'資格恢復處理'!$A$7:$A$62,'資格恢復處理'!$O$7:$O$62,"",0),_xlfn.XLOOKUP("REC|1025|LJT-PREP-IMPLANT",'資格恢復處理'!$A$7:$A$62,'資格恢復處理'!$G$7:$G$62,"",0))</x:f>
        <x:v>46266</x:v>
      </x:c>
      <x:c r="G29" s="41" t="n">
        <x:f>IF(_xlfn.XLOOKUP("REC|1025|LJT-PREP-IMPLANT",'資格恢復處理'!$A$7:$A$62,'資格恢復處理'!$S$7:$S$62,"",0)="資格已恢復",_xlfn.XLOOKUP("REC|1025|LJT-PREP-IMPLANT",'資格恢復處理'!$A$7:$A$62,'資格恢復處理'!$P$7:$P$62,"",0),_xlfn.XLOOKUP("REC|1025|LJT-PREP-IMPLANT",'資格恢復處理'!$A$7:$A$62,'資格恢復處理'!$H$7:$H$62,"",0))</x:f>
        <x:v>46447</x:v>
      </x:c>
      <x:c r="H29" s="37" t="n">
        <x:v>0</x:v>
      </x:c>
      <x:c r="I29" s="46"/>
      <x:c r="J29" s="46"/>
      <x:c r="K29" s="39" t="str">
        <x:v>低頻高風險；逾期立即暫停</x:v>
      </x:c>
      <x:c r="L29" s="37" t="str">
        <x:v>1025|LJT-PREP-IMPLANT</x:v>
      </x:c>
    </x:row>
    <x:row r="30">
      <x:c r="A30" s="37" t="str">
        <x:v>1025</x:v>
      </x:c>
      <x:c r="B30" s="37" t="str"/>
      <x:c r="C30" s="37" t="str">
        <x:v>LJT-RPD-FINAL</x:v>
      </x:c>
      <x:c r="D30" s="37" t="str">
        <x:v>未評估</x:v>
      </x:c>
      <x:c r="E30" s="37" t="str">
        <x:f>IF(COUNTIFS('事件與限制'!$C$7:$C$106,$A30,'事件與限制'!$E$7:$E$106,$C30,'事件與限制'!$M$7:$M$106,"暫停技能資格",'事件與限制'!$Q$7:$Q$106,"生效中")&gt;0,"資格暫停",IF(_xlfn.XLOOKUP("REC|1025|LJT-RPD-FINAL",'資格恢復處理'!$A$7:$A$62,'資格恢復處理'!$S$7:$S$62,"",0)="資格已恢復",IF(TODAY()&gt;$G30,"逾期","有效"),_xlfn.XLOOKUP("REC|1025|LJT-RPD-FINAL",'資格恢復處理'!$A$7:$A$62,'資格恢復處理'!$F$7:$F$62,"未建立",0)))</x:f>
        <x:v>未建立</x:v>
      </x:c>
      <x:c r="F30" s="41" t="str">
        <x:f>IF(_xlfn.XLOOKUP("REC|1025|LJT-RPD-FINAL",'資格恢復處理'!$A$7:$A$62,'資格恢復處理'!$S$7:$S$62,"",0)="資格已恢復",_xlfn.XLOOKUP("REC|1025|LJT-RPD-FINAL",'資格恢復處理'!$A$7:$A$62,'資格恢復處理'!$O$7:$O$62,"",0),_xlfn.XLOOKUP("REC|1025|LJT-RPD-FINAL",'資格恢復處理'!$A$7:$A$62,'資格恢復處理'!$G$7:$G$62,"",0))</x:f>
      </x:c>
      <x:c r="G30" s="41" t="str">
        <x:f>IF(_xlfn.XLOOKUP("REC|1025|LJT-RPD-FINAL",'資格恢復處理'!$A$7:$A$62,'資格恢復處理'!$S$7:$S$62,"",0)="資格已恢復",_xlfn.XLOOKUP("REC|1025|LJT-RPD-FINAL",'資格恢復處理'!$A$7:$A$62,'資格恢復處理'!$P$7:$P$62,"",0),_xlfn.XLOOKUP("REC|1025|LJT-RPD-FINAL",'資格恢復處理'!$A$7:$A$62,'資格恢復處理'!$H$7:$H$62,"",0))</x:f>
      </x:c>
      <x:c r="H30" s="37" t="n">
        <x:v>0</x:v>
      </x:c>
      <x:c r="I30" s="46"/>
      <x:c r="J30" s="46"/>
      <x:c r="K30" s="39" t="str">
        <x:v>來源表沒有獨立評等，須另行考核</x:v>
      </x:c>
      <x:c r="L30" s="37" t="str">
        <x:v>1025|LJT-RPD-FINAL</x:v>
      </x:c>
    </x:row>
    <x:row r="31">
      <x:c r="A31" s="37" t="str">
        <x:v>1026</x:v>
      </x:c>
      <x:c r="B31" s="37" t="str"/>
      <x:c r="C31" s="37" t="str">
        <x:v>LJT-PREP-PERIOSURG</x:v>
      </x:c>
      <x:c r="D31" s="37" t="str">
        <x:v>※</x:v>
      </x:c>
      <x:c r="E31" s="37" t="str">
        <x:f>IF(COUNTIFS('事件與限制'!$C$7:$C$106,$A31,'事件與限制'!$E$7:$E$106,$C31,'事件與限制'!$M$7:$M$106,"暫停技能資格",'事件與限制'!$Q$7:$Q$106,"生效中")&gt;0,"資格暫停",IF(_xlfn.XLOOKUP("REC|1026|LJT-PREP-PERIOSURG",'資格恢復處理'!$A$7:$A$62,'資格恢復處理'!$S$7:$S$62,"",0)="資格已恢復",IF(TODAY()&gt;$G31,"逾期","有效"),_xlfn.XLOOKUP("REC|1026|LJT-PREP-PERIOSURG",'資格恢復處理'!$A$7:$A$62,'資格恢復處理'!$F$7:$F$62,"未建立",0)))</x:f>
        <x:v>待主管核定</x:v>
      </x:c>
      <x:c r="F31" s="41" t="n">
        <x:f>IF(_xlfn.XLOOKUP("REC|1026|LJT-PREP-PERIOSURG",'資格恢復處理'!$A$7:$A$62,'資格恢復處理'!$S$7:$S$62,"",0)="資格已恢復",_xlfn.XLOOKUP("REC|1026|LJT-PREP-PERIOSURG",'資格恢復處理'!$A$7:$A$62,'資格恢復處理'!$O$7:$O$62,"",0),_xlfn.XLOOKUP("REC|1026|LJT-PREP-PERIOSURG",'資格恢復處理'!$A$7:$A$62,'資格恢復處理'!$G$7:$G$62,"",0))</x:f>
        <x:v>46266</x:v>
      </x:c>
      <x:c r="G31" s="41" t="n">
        <x:f>IF(_xlfn.XLOOKUP("REC|1026|LJT-PREP-PERIOSURG",'資格恢復處理'!$A$7:$A$62,'資格恢復處理'!$S$7:$S$62,"",0)="資格已恢復",_xlfn.XLOOKUP("REC|1026|LJT-PREP-PERIOSURG",'資格恢復處理'!$A$7:$A$62,'資格恢復處理'!$P$7:$P$62,"",0),_xlfn.XLOOKUP("REC|1026|LJT-PREP-PERIOSURG",'資格恢復處理'!$A$7:$A$62,'資格恢復處理'!$H$7:$H$62,"",0))</x:f>
        <x:v>46447</x:v>
      </x:c>
      <x:c r="H31" s="37" t="n">
        <x:v>0</x:v>
      </x:c>
      <x:c r="I31" s="46"/>
      <x:c r="J31" s="46"/>
      <x:c r="K31" s="39" t="str">
        <x:v>低頻高風險；逾期立即暫停</x:v>
      </x:c>
      <x:c r="L31" s="37" t="str">
        <x:v>1026|LJT-PREP-PERIOSURG</x:v>
      </x:c>
    </x:row>
    <x:row r="32">
      <x:c r="A32" s="37" t="str">
        <x:v>1026</x:v>
      </x:c>
      <x:c r="B32" s="37" t="str"/>
      <x:c r="C32" s="37" t="str">
        <x:v>LJT-PREP-MICROENDO</x:v>
      </x:c>
      <x:c r="D32" s="37" t="str">
        <x:v>※</x:v>
      </x:c>
      <x:c r="E32" s="37" t="str">
        <x:f>IF(COUNTIFS('事件與限制'!$C$7:$C$106,$A32,'事件與限制'!$E$7:$E$106,$C32,'事件與限制'!$M$7:$M$106,"暫停技能資格",'事件與限制'!$Q$7:$Q$106,"生效中")&gt;0,"資格暫停",IF(_xlfn.XLOOKUP("REC|1026|LJT-PREP-MICROENDO",'資格恢復處理'!$A$7:$A$62,'資格恢復處理'!$S$7:$S$62,"",0)="資格已恢復",IF(TODAY()&gt;$G32,"逾期","有效"),_xlfn.XLOOKUP("REC|1026|LJT-PREP-MICROENDO",'資格恢復處理'!$A$7:$A$62,'資格恢復處理'!$F$7:$F$62,"未建立",0)))</x:f>
        <x:v>待主管核定</x:v>
      </x:c>
      <x:c r="F32" s="41" t="n">
        <x:f>IF(_xlfn.XLOOKUP("REC|1026|LJT-PREP-MICROENDO",'資格恢復處理'!$A$7:$A$62,'資格恢復處理'!$S$7:$S$62,"",0)="資格已恢復",_xlfn.XLOOKUP("REC|1026|LJT-PREP-MICROENDO",'資格恢復處理'!$A$7:$A$62,'資格恢復處理'!$O$7:$O$62,"",0),_xlfn.XLOOKUP("REC|1026|LJT-PREP-MICROENDO",'資格恢復處理'!$A$7:$A$62,'資格恢復處理'!$G$7:$G$62,"",0))</x:f>
        <x:v>46266</x:v>
      </x:c>
      <x:c r="G32" s="41" t="n">
        <x:f>IF(_xlfn.XLOOKUP("REC|1026|LJT-PREP-MICROENDO",'資格恢復處理'!$A$7:$A$62,'資格恢復處理'!$S$7:$S$62,"",0)="資格已恢復",_xlfn.XLOOKUP("REC|1026|LJT-PREP-MICROENDO",'資格恢復處理'!$A$7:$A$62,'資格恢復處理'!$P$7:$P$62,"",0),_xlfn.XLOOKUP("REC|1026|LJT-PREP-MICROENDO",'資格恢復處理'!$A$7:$A$62,'資格恢復處理'!$H$7:$H$62,"",0))</x:f>
        <x:v>46447</x:v>
      </x:c>
      <x:c r="H32" s="37" t="n">
        <x:v>0</x:v>
      </x:c>
      <x:c r="I32" s="46"/>
      <x:c r="J32" s="46"/>
      <x:c r="K32" s="39" t="str">
        <x:v>低頻高風險；逾期立即暫停</x:v>
      </x:c>
      <x:c r="L32" s="37" t="str">
        <x:v>1026|LJT-PREP-MICROENDO</x:v>
      </x:c>
    </x:row>
    <x:row r="33">
      <x:c r="A33" s="37" t="str">
        <x:v>1026</x:v>
      </x:c>
      <x:c r="B33" s="37" t="str"/>
      <x:c r="C33" s="37" t="str">
        <x:v>LJT-PREP-IMPLANT</x:v>
      </x:c>
      <x:c r="D33" s="37" t="str">
        <x:v>◎</x:v>
      </x:c>
      <x:c r="E33" s="37" t="str">
        <x:f>IF(COUNTIFS('事件與限制'!$C$7:$C$106,$A33,'事件與限制'!$E$7:$E$106,$C33,'事件與限制'!$M$7:$M$106,"暫停技能資格",'事件與限制'!$Q$7:$Q$106,"生效中")&gt;0,"資格暫停",IF(_xlfn.XLOOKUP("REC|1026|LJT-PREP-IMPLANT",'資格恢復處理'!$A$7:$A$62,'資格恢復處理'!$S$7:$S$62,"",0)="資格已恢復",IF(TODAY()&gt;$G33,"逾期","有效"),_xlfn.XLOOKUP("REC|1026|LJT-PREP-IMPLANT",'資格恢復處理'!$A$7:$A$62,'資格恢復處理'!$F$7:$F$62,"未建立",0)))</x:f>
        <x:v>待主管核定</x:v>
      </x:c>
      <x:c r="F33" s="41" t="n">
        <x:f>IF(_xlfn.XLOOKUP("REC|1026|LJT-PREP-IMPLANT",'資格恢復處理'!$A$7:$A$62,'資格恢復處理'!$S$7:$S$62,"",0)="資格已恢復",_xlfn.XLOOKUP("REC|1026|LJT-PREP-IMPLANT",'資格恢復處理'!$A$7:$A$62,'資格恢復處理'!$O$7:$O$62,"",0),_xlfn.XLOOKUP("REC|1026|LJT-PREP-IMPLANT",'資格恢復處理'!$A$7:$A$62,'資格恢復處理'!$G$7:$G$62,"",0))</x:f>
        <x:v>46266</x:v>
      </x:c>
      <x:c r="G33" s="41" t="n">
        <x:f>IF(_xlfn.XLOOKUP("REC|1026|LJT-PREP-IMPLANT",'資格恢復處理'!$A$7:$A$62,'資格恢復處理'!$S$7:$S$62,"",0)="資格已恢復",_xlfn.XLOOKUP("REC|1026|LJT-PREP-IMPLANT",'資格恢復處理'!$A$7:$A$62,'資格恢復處理'!$P$7:$P$62,"",0),_xlfn.XLOOKUP("REC|1026|LJT-PREP-IMPLANT",'資格恢復處理'!$A$7:$A$62,'資格恢復處理'!$H$7:$H$62,"",0))</x:f>
        <x:v>46447</x:v>
      </x:c>
      <x:c r="H33" s="37" t="n">
        <x:v>0</x:v>
      </x:c>
      <x:c r="I33" s="46"/>
      <x:c r="J33" s="46"/>
      <x:c r="K33" s="39" t="str">
        <x:v>低頻高風險；逾期立即暫停</x:v>
      </x:c>
      <x:c r="L33" s="37" t="str">
        <x:v>1026|LJT-PREP-IMPLANT</x:v>
      </x:c>
    </x:row>
    <x:row r="34">
      <x:c r="A34" s="37" t="str">
        <x:v>1026</x:v>
      </x:c>
      <x:c r="B34" s="37" t="str"/>
      <x:c r="C34" s="37" t="str">
        <x:v>LJT-RPD-FINAL</x:v>
      </x:c>
      <x:c r="D34" s="37" t="str">
        <x:v>未評估</x:v>
      </x:c>
      <x:c r="E34" s="37" t="str">
        <x:f>IF(COUNTIFS('事件與限制'!$C$7:$C$106,$A34,'事件與限制'!$E$7:$E$106,$C34,'事件與限制'!$M$7:$M$106,"暫停技能資格",'事件與限制'!$Q$7:$Q$106,"生效中")&gt;0,"資格暫停",IF(_xlfn.XLOOKUP("REC|1026|LJT-RPD-FINAL",'資格恢復處理'!$A$7:$A$62,'資格恢復處理'!$S$7:$S$62,"",0)="資格已恢復",IF(TODAY()&gt;$G34,"逾期","有效"),_xlfn.XLOOKUP("REC|1026|LJT-RPD-FINAL",'資格恢復處理'!$A$7:$A$62,'資格恢復處理'!$F$7:$F$62,"未建立",0)))</x:f>
        <x:v>未建立</x:v>
      </x:c>
      <x:c r="F34" s="41" t="str">
        <x:f>IF(_xlfn.XLOOKUP("REC|1026|LJT-RPD-FINAL",'資格恢復處理'!$A$7:$A$62,'資格恢復處理'!$S$7:$S$62,"",0)="資格已恢復",_xlfn.XLOOKUP("REC|1026|LJT-RPD-FINAL",'資格恢復處理'!$A$7:$A$62,'資格恢復處理'!$O$7:$O$62,"",0),_xlfn.XLOOKUP("REC|1026|LJT-RPD-FINAL",'資格恢復處理'!$A$7:$A$62,'資格恢復處理'!$G$7:$G$62,"",0))</x:f>
      </x:c>
      <x:c r="G34" s="41" t="str">
        <x:f>IF(_xlfn.XLOOKUP("REC|1026|LJT-RPD-FINAL",'資格恢復處理'!$A$7:$A$62,'資格恢復處理'!$S$7:$S$62,"",0)="資格已恢復",_xlfn.XLOOKUP("REC|1026|LJT-RPD-FINAL",'資格恢復處理'!$A$7:$A$62,'資格恢復處理'!$P$7:$P$62,"",0),_xlfn.XLOOKUP("REC|1026|LJT-RPD-FINAL",'資格恢復處理'!$A$7:$A$62,'資格恢復處理'!$H$7:$H$62,"",0))</x:f>
      </x:c>
      <x:c r="H34" s="37" t="n">
        <x:v>0</x:v>
      </x:c>
      <x:c r="I34" s="46"/>
      <x:c r="J34" s="46"/>
      <x:c r="K34" s="39" t="str">
        <x:v>來源表沒有獨立評等，須另行考核</x:v>
      </x:c>
      <x:c r="L34" s="37" t="str">
        <x:v>1026|LJT-RPD-FINAL</x:v>
      </x:c>
    </x:row>
    <x:row r="35">
      <x:c r="A35" s="37" t="str">
        <x:v>1027</x:v>
      </x:c>
      <x:c r="B35" s="37" t="str"/>
      <x:c r="C35" s="37" t="str">
        <x:v>LJT-PREP-PERIOSURG</x:v>
      </x:c>
      <x:c r="D35" s="37" t="str">
        <x:v>Ø</x:v>
      </x:c>
      <x:c r="E35" s="37" t="str">
        <x:f>IF(COUNTIFS('事件與限制'!$C$7:$C$106,$A35,'事件與限制'!$E$7:$E$106,$C35,'事件與限制'!$M$7:$M$106,"暫停技能資格",'事件與限制'!$Q$7:$Q$106,"生效中")&gt;0,"資格暫停",IF(_xlfn.XLOOKUP("REC|1027|LJT-PREP-PERIOSURG",'資格恢復處理'!$A$7:$A$62,'資格恢復處理'!$S$7:$S$62,"",0)="資格已恢復",IF(TODAY()&gt;$G35,"逾期","有效"),_xlfn.XLOOKUP("REC|1027|LJT-PREP-PERIOSURG",'資格恢復處理'!$A$7:$A$62,'資格恢復處理'!$F$7:$F$62,"未建立",0)))</x:f>
        <x:v>待主管核定</x:v>
      </x:c>
      <x:c r="F35" s="41" t="n">
        <x:f>IF(_xlfn.XLOOKUP("REC|1027|LJT-PREP-PERIOSURG",'資格恢復處理'!$A$7:$A$62,'資格恢復處理'!$S$7:$S$62,"",0)="資格已恢復",_xlfn.XLOOKUP("REC|1027|LJT-PREP-PERIOSURG",'資格恢復處理'!$A$7:$A$62,'資格恢復處理'!$O$7:$O$62,"",0),_xlfn.XLOOKUP("REC|1027|LJT-PREP-PERIOSURG",'資格恢復處理'!$A$7:$A$62,'資格恢復處理'!$G$7:$G$62,"",0))</x:f>
        <x:v>46266</x:v>
      </x:c>
      <x:c r="G35" s="41" t="n">
        <x:f>IF(_xlfn.XLOOKUP("REC|1027|LJT-PREP-PERIOSURG",'資格恢復處理'!$A$7:$A$62,'資格恢復處理'!$S$7:$S$62,"",0)="資格已恢復",_xlfn.XLOOKUP("REC|1027|LJT-PREP-PERIOSURG",'資格恢復處理'!$A$7:$A$62,'資格恢復處理'!$P$7:$P$62,"",0),_xlfn.XLOOKUP("REC|1027|LJT-PREP-PERIOSURG",'資格恢復處理'!$A$7:$A$62,'資格恢復處理'!$H$7:$H$62,"",0))</x:f>
        <x:v>46447</x:v>
      </x:c>
      <x:c r="H35" s="37" t="n">
        <x:v>0</x:v>
      </x:c>
      <x:c r="I35" s="46"/>
      <x:c r="J35" s="46"/>
      <x:c r="K35" s="39" t="str">
        <x:v>低頻高風險；逾期立即暫停</x:v>
      </x:c>
      <x:c r="L35" s="37" t="str">
        <x:v>1027|LJT-PREP-PERIOSURG</x:v>
      </x:c>
    </x:row>
    <x:row r="36">
      <x:c r="A36" s="37" t="str">
        <x:v>1027</x:v>
      </x:c>
      <x:c r="B36" s="37" t="str"/>
      <x:c r="C36" s="37" t="str">
        <x:v>LJT-PREP-MICROENDO</x:v>
      </x:c>
      <x:c r="D36" s="37" t="str">
        <x:v>※</x:v>
      </x:c>
      <x:c r="E36" s="37" t="str">
        <x:f>IF(COUNTIFS('事件與限制'!$C$7:$C$106,$A36,'事件與限制'!$E$7:$E$106,$C36,'事件與限制'!$M$7:$M$106,"暫停技能資格",'事件與限制'!$Q$7:$Q$106,"生效中")&gt;0,"資格暫停",IF(_xlfn.XLOOKUP("REC|1027|LJT-PREP-MICROENDO",'資格恢復處理'!$A$7:$A$62,'資格恢復處理'!$S$7:$S$62,"",0)="資格已恢復",IF(TODAY()&gt;$G36,"逾期","有效"),_xlfn.XLOOKUP("REC|1027|LJT-PREP-MICROENDO",'資格恢復處理'!$A$7:$A$62,'資格恢復處理'!$F$7:$F$62,"未建立",0)))</x:f>
        <x:v>待主管核定</x:v>
      </x:c>
      <x:c r="F36" s="41" t="n">
        <x:f>IF(_xlfn.XLOOKUP("REC|1027|LJT-PREP-MICROENDO",'資格恢復處理'!$A$7:$A$62,'資格恢復處理'!$S$7:$S$62,"",0)="資格已恢復",_xlfn.XLOOKUP("REC|1027|LJT-PREP-MICROENDO",'資格恢復處理'!$A$7:$A$62,'資格恢復處理'!$O$7:$O$62,"",0),_xlfn.XLOOKUP("REC|1027|LJT-PREP-MICROENDO",'資格恢復處理'!$A$7:$A$62,'資格恢復處理'!$G$7:$G$62,"",0))</x:f>
        <x:v>46266</x:v>
      </x:c>
      <x:c r="G36" s="41" t="n">
        <x:f>IF(_xlfn.XLOOKUP("REC|1027|LJT-PREP-MICROENDO",'資格恢復處理'!$A$7:$A$62,'資格恢復處理'!$S$7:$S$62,"",0)="資格已恢復",_xlfn.XLOOKUP("REC|1027|LJT-PREP-MICROENDO",'資格恢復處理'!$A$7:$A$62,'資格恢復處理'!$P$7:$P$62,"",0),_xlfn.XLOOKUP("REC|1027|LJT-PREP-MICROENDO",'資格恢復處理'!$A$7:$A$62,'資格恢復處理'!$H$7:$H$62,"",0))</x:f>
        <x:v>46447</x:v>
      </x:c>
      <x:c r="H36" s="37" t="n">
        <x:v>0</x:v>
      </x:c>
      <x:c r="I36" s="46"/>
      <x:c r="J36" s="46"/>
      <x:c r="K36" s="39" t="str">
        <x:v>低頻高風險；逾期立即暫停</x:v>
      </x:c>
      <x:c r="L36" s="37" t="str">
        <x:v>1027|LJT-PREP-MICROENDO</x:v>
      </x:c>
    </x:row>
    <x:row r="37">
      <x:c r="A37" s="37" t="str">
        <x:v>1027</x:v>
      </x:c>
      <x:c r="B37" s="37" t="str"/>
      <x:c r="C37" s="37" t="str">
        <x:v>LJT-PREP-IMPLANT</x:v>
      </x:c>
      <x:c r="D37" s="37" t="str">
        <x:v>Ø</x:v>
      </x:c>
      <x:c r="E37" s="37" t="str">
        <x:f>IF(COUNTIFS('事件與限制'!$C$7:$C$106,$A37,'事件與限制'!$E$7:$E$106,$C37,'事件與限制'!$M$7:$M$106,"暫停技能資格",'事件與限制'!$Q$7:$Q$106,"生效中")&gt;0,"資格暫停",IF(_xlfn.XLOOKUP("REC|1027|LJT-PREP-IMPLANT",'資格恢復處理'!$A$7:$A$62,'資格恢復處理'!$S$7:$S$62,"",0)="資格已恢復",IF(TODAY()&gt;$G37,"逾期","有效"),_xlfn.XLOOKUP("REC|1027|LJT-PREP-IMPLANT",'資格恢復處理'!$A$7:$A$62,'資格恢復處理'!$F$7:$F$62,"未建立",0)))</x:f>
        <x:v>待主管核定</x:v>
      </x:c>
      <x:c r="F37" s="41" t="n">
        <x:f>IF(_xlfn.XLOOKUP("REC|1027|LJT-PREP-IMPLANT",'資格恢復處理'!$A$7:$A$62,'資格恢復處理'!$S$7:$S$62,"",0)="資格已恢復",_xlfn.XLOOKUP("REC|1027|LJT-PREP-IMPLANT",'資格恢復處理'!$A$7:$A$62,'資格恢復處理'!$O$7:$O$62,"",0),_xlfn.XLOOKUP("REC|1027|LJT-PREP-IMPLANT",'資格恢復處理'!$A$7:$A$62,'資格恢復處理'!$G$7:$G$62,"",0))</x:f>
        <x:v>46266</x:v>
      </x:c>
      <x:c r="G37" s="41" t="n">
        <x:f>IF(_xlfn.XLOOKUP("REC|1027|LJT-PREP-IMPLANT",'資格恢復處理'!$A$7:$A$62,'資格恢復處理'!$S$7:$S$62,"",0)="資格已恢復",_xlfn.XLOOKUP("REC|1027|LJT-PREP-IMPLANT",'資格恢復處理'!$A$7:$A$62,'資格恢復處理'!$P$7:$P$62,"",0),_xlfn.XLOOKUP("REC|1027|LJT-PREP-IMPLANT",'資格恢復處理'!$A$7:$A$62,'資格恢復處理'!$H$7:$H$62,"",0))</x:f>
        <x:v>46447</x:v>
      </x:c>
      <x:c r="H37" s="37" t="n">
        <x:v>0</x:v>
      </x:c>
      <x:c r="I37" s="46"/>
      <x:c r="J37" s="46"/>
      <x:c r="K37" s="39" t="str">
        <x:v>低頻高風險；逾期立即暫停</x:v>
      </x:c>
      <x:c r="L37" s="37" t="str">
        <x:v>1027|LJT-PREP-IMPLANT</x:v>
      </x:c>
    </x:row>
    <x:row r="38">
      <x:c r="A38" s="37" t="str">
        <x:v>1027</x:v>
      </x:c>
      <x:c r="B38" s="37" t="str"/>
      <x:c r="C38" s="37" t="str">
        <x:v>LJT-RPD-FINAL</x:v>
      </x:c>
      <x:c r="D38" s="37" t="str">
        <x:v>未評估</x:v>
      </x:c>
      <x:c r="E38" s="37" t="str">
        <x:f>IF(COUNTIFS('事件與限制'!$C$7:$C$106,$A38,'事件與限制'!$E$7:$E$106,$C38,'事件與限制'!$M$7:$M$106,"暫停技能資格",'事件與限制'!$Q$7:$Q$106,"生效中")&gt;0,"資格暫停",IF(_xlfn.XLOOKUP("REC|1027|LJT-RPD-FINAL",'資格恢復處理'!$A$7:$A$62,'資格恢復處理'!$S$7:$S$62,"",0)="資格已恢復",IF(TODAY()&gt;$G38,"逾期","有效"),_xlfn.XLOOKUP("REC|1027|LJT-RPD-FINAL",'資格恢復處理'!$A$7:$A$62,'資格恢復處理'!$F$7:$F$62,"未建立",0)))</x:f>
        <x:v>未建立</x:v>
      </x:c>
      <x:c r="F38" s="41" t="str">
        <x:f>IF(_xlfn.XLOOKUP("REC|1027|LJT-RPD-FINAL",'資格恢復處理'!$A$7:$A$62,'資格恢復處理'!$S$7:$S$62,"",0)="資格已恢復",_xlfn.XLOOKUP("REC|1027|LJT-RPD-FINAL",'資格恢復處理'!$A$7:$A$62,'資格恢復處理'!$O$7:$O$62,"",0),_xlfn.XLOOKUP("REC|1027|LJT-RPD-FINAL",'資格恢復處理'!$A$7:$A$62,'資格恢復處理'!$G$7:$G$62,"",0))</x:f>
      </x:c>
      <x:c r="G38" s="41" t="str">
        <x:f>IF(_xlfn.XLOOKUP("REC|1027|LJT-RPD-FINAL",'資格恢復處理'!$A$7:$A$62,'資格恢復處理'!$S$7:$S$62,"",0)="資格已恢復",_xlfn.XLOOKUP("REC|1027|LJT-RPD-FINAL",'資格恢復處理'!$A$7:$A$62,'資格恢復處理'!$P$7:$P$62,"",0),_xlfn.XLOOKUP("REC|1027|LJT-RPD-FINAL",'資格恢復處理'!$A$7:$A$62,'資格恢復處理'!$H$7:$H$62,"",0))</x:f>
      </x:c>
      <x:c r="H38" s="37" t="n">
        <x:v>0</x:v>
      </x:c>
      <x:c r="I38" s="46"/>
      <x:c r="J38" s="46"/>
      <x:c r="K38" s="39" t="str">
        <x:v>來源表沒有獨立評等，須另行考核</x:v>
      </x:c>
      <x:c r="L38" s="37" t="str">
        <x:v>1027|LJT-RPD-FINAL</x:v>
      </x:c>
    </x:row>
    <x:row r="39">
      <x:c r="A39" s="37" t="str">
        <x:v>1028</x:v>
      </x:c>
      <x:c r="B39" s="37" t="str"/>
      <x:c r="C39" s="37" t="str">
        <x:v>LJT-PREP-PERIOSURG</x:v>
      </x:c>
      <x:c r="D39" s="37" t="str">
        <x:v>※</x:v>
      </x:c>
      <x:c r="E39" s="37" t="str">
        <x:f>IF(COUNTIFS('事件與限制'!$C$7:$C$106,$A39,'事件與限制'!$E$7:$E$106,$C39,'事件與限制'!$M$7:$M$106,"暫停技能資格",'事件與限制'!$Q$7:$Q$106,"生效中")&gt;0,"資格暫停",IF(_xlfn.XLOOKUP("REC|1028|LJT-PREP-PERIOSURG",'資格恢復處理'!$A$7:$A$62,'資格恢復處理'!$S$7:$S$62,"",0)="資格已恢復",IF(TODAY()&gt;$G39,"逾期","有效"),_xlfn.XLOOKUP("REC|1028|LJT-PREP-PERIOSURG",'資格恢復處理'!$A$7:$A$62,'資格恢復處理'!$F$7:$F$62,"未建立",0)))</x:f>
        <x:v>待主管核定</x:v>
      </x:c>
      <x:c r="F39" s="41" t="n">
        <x:f>IF(_xlfn.XLOOKUP("REC|1028|LJT-PREP-PERIOSURG",'資格恢復處理'!$A$7:$A$62,'資格恢復處理'!$S$7:$S$62,"",0)="資格已恢復",_xlfn.XLOOKUP("REC|1028|LJT-PREP-PERIOSURG",'資格恢復處理'!$A$7:$A$62,'資格恢復處理'!$O$7:$O$62,"",0),_xlfn.XLOOKUP("REC|1028|LJT-PREP-PERIOSURG",'資格恢復處理'!$A$7:$A$62,'資格恢復處理'!$G$7:$G$62,"",0))</x:f>
        <x:v>46266</x:v>
      </x:c>
      <x:c r="G39" s="41" t="n">
        <x:f>IF(_xlfn.XLOOKUP("REC|1028|LJT-PREP-PERIOSURG",'資格恢復處理'!$A$7:$A$62,'資格恢復處理'!$S$7:$S$62,"",0)="資格已恢復",_xlfn.XLOOKUP("REC|1028|LJT-PREP-PERIOSURG",'資格恢復處理'!$A$7:$A$62,'資格恢復處理'!$P$7:$P$62,"",0),_xlfn.XLOOKUP("REC|1028|LJT-PREP-PERIOSURG",'資格恢復處理'!$A$7:$A$62,'資格恢復處理'!$H$7:$H$62,"",0))</x:f>
        <x:v>46447</x:v>
      </x:c>
      <x:c r="H39" s="37" t="n">
        <x:v>0</x:v>
      </x:c>
      <x:c r="I39" s="46"/>
      <x:c r="J39" s="46"/>
      <x:c r="K39" s="39" t="str">
        <x:v>低頻高風險；逾期立即暫停</x:v>
      </x:c>
      <x:c r="L39" s="37" t="str">
        <x:v>1028|LJT-PREP-PERIOSURG</x:v>
      </x:c>
    </x:row>
    <x:row r="40">
      <x:c r="A40" s="37" t="str">
        <x:v>1028</x:v>
      </x:c>
      <x:c r="B40" s="37" t="str"/>
      <x:c r="C40" s="37" t="str">
        <x:v>LJT-PREP-MICROENDO</x:v>
      </x:c>
      <x:c r="D40" s="37" t="str">
        <x:v>※</x:v>
      </x:c>
      <x:c r="E40" s="37" t="str">
        <x:f>IF(COUNTIFS('事件與限制'!$C$7:$C$106,$A40,'事件與限制'!$E$7:$E$106,$C40,'事件與限制'!$M$7:$M$106,"暫停技能資格",'事件與限制'!$Q$7:$Q$106,"生效中")&gt;0,"資格暫停",IF(_xlfn.XLOOKUP("REC|1028|LJT-PREP-MICROENDO",'資格恢復處理'!$A$7:$A$62,'資格恢復處理'!$S$7:$S$62,"",0)="資格已恢復",IF(TODAY()&gt;$G40,"逾期","有效"),_xlfn.XLOOKUP("REC|1028|LJT-PREP-MICROENDO",'資格恢復處理'!$A$7:$A$62,'資格恢復處理'!$F$7:$F$62,"未建立",0)))</x:f>
        <x:v>待主管核定</x:v>
      </x:c>
      <x:c r="F40" s="41" t="n">
        <x:f>IF(_xlfn.XLOOKUP("REC|1028|LJT-PREP-MICROENDO",'資格恢復處理'!$A$7:$A$62,'資格恢復處理'!$S$7:$S$62,"",0)="資格已恢復",_xlfn.XLOOKUP("REC|1028|LJT-PREP-MICROENDO",'資格恢復處理'!$A$7:$A$62,'資格恢復處理'!$O$7:$O$62,"",0),_xlfn.XLOOKUP("REC|1028|LJT-PREP-MICROENDO",'資格恢復處理'!$A$7:$A$62,'資格恢復處理'!$G$7:$G$62,"",0))</x:f>
        <x:v>46266</x:v>
      </x:c>
      <x:c r="G40" s="41" t="n">
        <x:f>IF(_xlfn.XLOOKUP("REC|1028|LJT-PREP-MICROENDO",'資格恢復處理'!$A$7:$A$62,'資格恢復處理'!$S$7:$S$62,"",0)="資格已恢復",_xlfn.XLOOKUP("REC|1028|LJT-PREP-MICROENDO",'資格恢復處理'!$A$7:$A$62,'資格恢復處理'!$P$7:$P$62,"",0),_xlfn.XLOOKUP("REC|1028|LJT-PREP-MICROENDO",'資格恢復處理'!$A$7:$A$62,'資格恢復處理'!$H$7:$H$62,"",0))</x:f>
        <x:v>46447</x:v>
      </x:c>
      <x:c r="H40" s="37" t="n">
        <x:v>0</x:v>
      </x:c>
      <x:c r="I40" s="46"/>
      <x:c r="J40" s="46"/>
      <x:c r="K40" s="39" t="str">
        <x:v>低頻高風險；逾期立即暫停</x:v>
      </x:c>
      <x:c r="L40" s="37" t="str">
        <x:v>1028|LJT-PREP-MICROENDO</x:v>
      </x:c>
    </x:row>
    <x:row r="41">
      <x:c r="A41" s="37" t="str">
        <x:v>1028</x:v>
      </x:c>
      <x:c r="B41" s="37" t="str"/>
      <x:c r="C41" s="37" t="str">
        <x:v>LJT-PREP-IMPLANT</x:v>
      </x:c>
      <x:c r="D41" s="37" t="str">
        <x:v>※</x:v>
      </x:c>
      <x:c r="E41" s="37" t="str">
        <x:f>IF(COUNTIFS('事件與限制'!$C$7:$C$106,$A41,'事件與限制'!$E$7:$E$106,$C41,'事件與限制'!$M$7:$M$106,"暫停技能資格",'事件與限制'!$Q$7:$Q$106,"生效中")&gt;0,"資格暫停",IF(_xlfn.XLOOKUP("REC|1028|LJT-PREP-IMPLANT",'資格恢復處理'!$A$7:$A$62,'資格恢復處理'!$S$7:$S$62,"",0)="資格已恢復",IF(TODAY()&gt;$G41,"逾期","有效"),_xlfn.XLOOKUP("REC|1028|LJT-PREP-IMPLANT",'資格恢復處理'!$A$7:$A$62,'資格恢復處理'!$F$7:$F$62,"未建立",0)))</x:f>
        <x:v>待主管核定</x:v>
      </x:c>
      <x:c r="F41" s="41" t="n">
        <x:f>IF(_xlfn.XLOOKUP("REC|1028|LJT-PREP-IMPLANT",'資格恢復處理'!$A$7:$A$62,'資格恢復處理'!$S$7:$S$62,"",0)="資格已恢復",_xlfn.XLOOKUP("REC|1028|LJT-PREP-IMPLANT",'資格恢復處理'!$A$7:$A$62,'資格恢復處理'!$O$7:$O$62,"",0),_xlfn.XLOOKUP("REC|1028|LJT-PREP-IMPLANT",'資格恢復處理'!$A$7:$A$62,'資格恢復處理'!$G$7:$G$62,"",0))</x:f>
        <x:v>46266</x:v>
      </x:c>
      <x:c r="G41" s="41" t="n">
        <x:f>IF(_xlfn.XLOOKUP("REC|1028|LJT-PREP-IMPLANT",'資格恢復處理'!$A$7:$A$62,'資格恢復處理'!$S$7:$S$62,"",0)="資格已恢復",_xlfn.XLOOKUP("REC|1028|LJT-PREP-IMPLANT",'資格恢復處理'!$A$7:$A$62,'資格恢復處理'!$P$7:$P$62,"",0),_xlfn.XLOOKUP("REC|1028|LJT-PREP-IMPLANT",'資格恢復處理'!$A$7:$A$62,'資格恢復處理'!$H$7:$H$62,"",0))</x:f>
        <x:v>46447</x:v>
      </x:c>
      <x:c r="H41" s="37" t="n">
        <x:v>0</x:v>
      </x:c>
      <x:c r="I41" s="46"/>
      <x:c r="J41" s="46"/>
      <x:c r="K41" s="39" t="str">
        <x:v>低頻高風險；逾期立即暫停</x:v>
      </x:c>
      <x:c r="L41" s="37" t="str">
        <x:v>1028|LJT-PREP-IMPLANT</x:v>
      </x:c>
    </x:row>
    <x:row r="42">
      <x:c r="A42" s="37" t="str">
        <x:v>1028</x:v>
      </x:c>
      <x:c r="B42" s="37" t="str"/>
      <x:c r="C42" s="37" t="str">
        <x:v>LJT-RPD-FINAL</x:v>
      </x:c>
      <x:c r="D42" s="37" t="str">
        <x:v>未評估</x:v>
      </x:c>
      <x:c r="E42" s="37" t="str">
        <x:f>IF(COUNTIFS('事件與限制'!$C$7:$C$106,$A42,'事件與限制'!$E$7:$E$106,$C42,'事件與限制'!$M$7:$M$106,"暫停技能資格",'事件與限制'!$Q$7:$Q$106,"生效中")&gt;0,"資格暫停",IF(_xlfn.XLOOKUP("REC|1028|LJT-RPD-FINAL",'資格恢復處理'!$A$7:$A$62,'資格恢復處理'!$S$7:$S$62,"",0)="資格已恢復",IF(TODAY()&gt;$G42,"逾期","有效"),_xlfn.XLOOKUP("REC|1028|LJT-RPD-FINAL",'資格恢復處理'!$A$7:$A$62,'資格恢復處理'!$F$7:$F$62,"未建立",0)))</x:f>
        <x:v>未建立</x:v>
      </x:c>
      <x:c r="F42" s="41" t="str">
        <x:f>IF(_xlfn.XLOOKUP("REC|1028|LJT-RPD-FINAL",'資格恢復處理'!$A$7:$A$62,'資格恢復處理'!$S$7:$S$62,"",0)="資格已恢復",_xlfn.XLOOKUP("REC|1028|LJT-RPD-FINAL",'資格恢復處理'!$A$7:$A$62,'資格恢復處理'!$O$7:$O$62,"",0),_xlfn.XLOOKUP("REC|1028|LJT-RPD-FINAL",'資格恢復處理'!$A$7:$A$62,'資格恢復處理'!$G$7:$G$62,"",0))</x:f>
      </x:c>
      <x:c r="G42" s="41" t="str">
        <x:f>IF(_xlfn.XLOOKUP("REC|1028|LJT-RPD-FINAL",'資格恢復處理'!$A$7:$A$62,'資格恢復處理'!$S$7:$S$62,"",0)="資格已恢復",_xlfn.XLOOKUP("REC|1028|LJT-RPD-FINAL",'資格恢復處理'!$A$7:$A$62,'資格恢復處理'!$P$7:$P$62,"",0),_xlfn.XLOOKUP("REC|1028|LJT-RPD-FINAL",'資格恢復處理'!$A$7:$A$62,'資格恢復處理'!$H$7:$H$62,"",0))</x:f>
      </x:c>
      <x:c r="H42" s="37" t="n">
        <x:v>0</x:v>
      </x:c>
      <x:c r="I42" s="46"/>
      <x:c r="J42" s="46"/>
      <x:c r="K42" s="39" t="str">
        <x:v>來源表沒有獨立評等，須另行考核</x:v>
      </x:c>
      <x:c r="L42" s="37" t="str">
        <x:v>1028|LJT-RPD-FINAL</x:v>
      </x:c>
    </x:row>
    <x:row r="43">
      <x:c r="A43" s="37" t="str">
        <x:v>1029</x:v>
      </x:c>
      <x:c r="B43" s="37" t="str"/>
      <x:c r="C43" s="37" t="str">
        <x:v>LJT-PREP-PERIOSURG</x:v>
      </x:c>
      <x:c r="D43" s="37" t="str">
        <x:v>未評估</x:v>
      </x:c>
      <x:c r="E43" s="37" t="str">
        <x:f>IF(COUNTIFS('事件與限制'!$C$7:$C$106,$A43,'事件與限制'!$E$7:$E$106,$C43,'事件與限制'!$M$7:$M$106,"暫停技能資格",'事件與限制'!$Q$7:$Q$106,"生效中")&gt;0,"資格暫停",IF(_xlfn.XLOOKUP("REC|1029|LJT-PREP-PERIOSURG",'資格恢復處理'!$A$7:$A$62,'資格恢復處理'!$S$7:$S$62,"",0)="資格已恢復",IF(TODAY()&gt;$G43,"逾期","有效"),_xlfn.XLOOKUP("REC|1029|LJT-PREP-PERIOSURG",'資格恢復處理'!$A$7:$A$62,'資格恢復處理'!$F$7:$F$62,"未建立",0)))</x:f>
        <x:v>未建立</x:v>
      </x:c>
      <x:c r="F43" s="41" t="n">
        <x:f>IF(_xlfn.XLOOKUP("REC|1029|LJT-PREP-PERIOSURG",'資格恢復處理'!$A$7:$A$62,'資格恢復處理'!$S$7:$S$62,"",0)="資格已恢復",_xlfn.XLOOKUP("REC|1029|LJT-PREP-PERIOSURG",'資格恢復處理'!$A$7:$A$62,'資格恢復處理'!$O$7:$O$62,"",0),_xlfn.XLOOKUP("REC|1029|LJT-PREP-PERIOSURG",'資格恢復處理'!$A$7:$A$62,'資格恢復處理'!$G$7:$G$62,"",0))</x:f>
        <x:v>46266</x:v>
      </x:c>
      <x:c r="G43" s="41" t="n">
        <x:f>IF(_xlfn.XLOOKUP("REC|1029|LJT-PREP-PERIOSURG",'資格恢復處理'!$A$7:$A$62,'資格恢復處理'!$S$7:$S$62,"",0)="資格已恢復",_xlfn.XLOOKUP("REC|1029|LJT-PREP-PERIOSURG",'資格恢復處理'!$A$7:$A$62,'資格恢復處理'!$P$7:$P$62,"",0),_xlfn.XLOOKUP("REC|1029|LJT-PREP-PERIOSURG",'資格恢復處理'!$A$7:$A$62,'資格恢復處理'!$H$7:$H$62,"",0))</x:f>
        <x:v>46447</x:v>
      </x:c>
      <x:c r="H43" s="37" t="n">
        <x:v>0</x:v>
      </x:c>
      <x:c r="I43" s="46"/>
      <x:c r="J43" s="46"/>
      <x:c r="K43" s="39" t="str">
        <x:v>低頻高風險；逾期立即暫停</x:v>
      </x:c>
      <x:c r="L43" s="37" t="str">
        <x:v>1029|LJT-PREP-PERIOSURG</x:v>
      </x:c>
    </x:row>
    <x:row r="44">
      <x:c r="A44" s="37" t="str">
        <x:v>1029</x:v>
      </x:c>
      <x:c r="B44" s="37" t="str"/>
      <x:c r="C44" s="37" t="str">
        <x:v>LJT-PREP-MICROENDO</x:v>
      </x:c>
      <x:c r="D44" s="37" t="str">
        <x:v>未評估</x:v>
      </x:c>
      <x:c r="E44" s="37" t="str">
        <x:f>IF(COUNTIFS('事件與限制'!$C$7:$C$106,$A44,'事件與限制'!$E$7:$E$106,$C44,'事件與限制'!$M$7:$M$106,"暫停技能資格",'事件與限制'!$Q$7:$Q$106,"生效中")&gt;0,"資格暫停",IF(_xlfn.XLOOKUP("REC|1029|LJT-PREP-MICROENDO",'資格恢復處理'!$A$7:$A$62,'資格恢復處理'!$S$7:$S$62,"",0)="資格已恢復",IF(TODAY()&gt;$G44,"逾期","有效"),_xlfn.XLOOKUP("REC|1029|LJT-PREP-MICROENDO",'資格恢復處理'!$A$7:$A$62,'資格恢復處理'!$F$7:$F$62,"未建立",0)))</x:f>
        <x:v>未建立</x:v>
      </x:c>
      <x:c r="F44" s="41" t="n">
        <x:f>IF(_xlfn.XLOOKUP("REC|1029|LJT-PREP-MICROENDO",'資格恢復處理'!$A$7:$A$62,'資格恢復處理'!$S$7:$S$62,"",0)="資格已恢復",_xlfn.XLOOKUP("REC|1029|LJT-PREP-MICROENDO",'資格恢復處理'!$A$7:$A$62,'資格恢復處理'!$O$7:$O$62,"",0),_xlfn.XLOOKUP("REC|1029|LJT-PREP-MICROENDO",'資格恢復處理'!$A$7:$A$62,'資格恢復處理'!$G$7:$G$62,"",0))</x:f>
        <x:v>46266</x:v>
      </x:c>
      <x:c r="G44" s="41" t="n">
        <x:f>IF(_xlfn.XLOOKUP("REC|1029|LJT-PREP-MICROENDO",'資格恢復處理'!$A$7:$A$62,'資格恢復處理'!$S$7:$S$62,"",0)="資格已恢復",_xlfn.XLOOKUP("REC|1029|LJT-PREP-MICROENDO",'資格恢復處理'!$A$7:$A$62,'資格恢復處理'!$P$7:$P$62,"",0),_xlfn.XLOOKUP("REC|1029|LJT-PREP-MICROENDO",'資格恢復處理'!$A$7:$A$62,'資格恢復處理'!$H$7:$H$62,"",0))</x:f>
        <x:v>46447</x:v>
      </x:c>
      <x:c r="H44" s="37" t="n">
        <x:v>0</x:v>
      </x:c>
      <x:c r="I44" s="46"/>
      <x:c r="J44" s="46"/>
      <x:c r="K44" s="39" t="str">
        <x:v>低頻高風險；逾期立即暫停</x:v>
      </x:c>
      <x:c r="L44" s="37" t="str">
        <x:v>1029|LJT-PREP-MICROENDO</x:v>
      </x:c>
    </x:row>
    <x:row r="45">
      <x:c r="A45" s="37" t="str">
        <x:v>1029</x:v>
      </x:c>
      <x:c r="B45" s="37" t="str"/>
      <x:c r="C45" s="37" t="str">
        <x:v>LJT-PREP-IMPLANT</x:v>
      </x:c>
      <x:c r="D45" s="37" t="str">
        <x:v>未評估</x:v>
      </x:c>
      <x:c r="E45" s="37" t="str">
        <x:f>IF(COUNTIFS('事件與限制'!$C$7:$C$106,$A45,'事件與限制'!$E$7:$E$106,$C45,'事件與限制'!$M$7:$M$106,"暫停技能資格",'事件與限制'!$Q$7:$Q$106,"生效中")&gt;0,"資格暫停",IF(_xlfn.XLOOKUP("REC|1029|LJT-PREP-IMPLANT",'資格恢復處理'!$A$7:$A$62,'資格恢復處理'!$S$7:$S$62,"",0)="資格已恢復",IF(TODAY()&gt;$G45,"逾期","有效"),_xlfn.XLOOKUP("REC|1029|LJT-PREP-IMPLANT",'資格恢復處理'!$A$7:$A$62,'資格恢復處理'!$F$7:$F$62,"未建立",0)))</x:f>
        <x:v>未建立</x:v>
      </x:c>
      <x:c r="F45" s="41" t="n">
        <x:f>IF(_xlfn.XLOOKUP("REC|1029|LJT-PREP-IMPLANT",'資格恢復處理'!$A$7:$A$62,'資格恢復處理'!$S$7:$S$62,"",0)="資格已恢復",_xlfn.XLOOKUP("REC|1029|LJT-PREP-IMPLANT",'資格恢復處理'!$A$7:$A$62,'資格恢復處理'!$O$7:$O$62,"",0),_xlfn.XLOOKUP("REC|1029|LJT-PREP-IMPLANT",'資格恢復處理'!$A$7:$A$62,'資格恢復處理'!$G$7:$G$62,"",0))</x:f>
        <x:v>46266</x:v>
      </x:c>
      <x:c r="G45" s="41" t="n">
        <x:f>IF(_xlfn.XLOOKUP("REC|1029|LJT-PREP-IMPLANT",'資格恢復處理'!$A$7:$A$62,'資格恢復處理'!$S$7:$S$62,"",0)="資格已恢復",_xlfn.XLOOKUP("REC|1029|LJT-PREP-IMPLANT",'資格恢復處理'!$A$7:$A$62,'資格恢復處理'!$P$7:$P$62,"",0),_xlfn.XLOOKUP("REC|1029|LJT-PREP-IMPLANT",'資格恢復處理'!$A$7:$A$62,'資格恢復處理'!$H$7:$H$62,"",0))</x:f>
        <x:v>46447</x:v>
      </x:c>
      <x:c r="H45" s="37" t="n">
        <x:v>0</x:v>
      </x:c>
      <x:c r="I45" s="46"/>
      <x:c r="J45" s="46"/>
      <x:c r="K45" s="39" t="str">
        <x:v>低頻高風險；逾期立即暫停</x:v>
      </x:c>
      <x:c r="L45" s="37" t="str">
        <x:v>1029|LJT-PREP-IMPLANT</x:v>
      </x:c>
    </x:row>
    <x:row r="46">
      <x:c r="A46" s="37" t="str">
        <x:v>1029</x:v>
      </x:c>
      <x:c r="B46" s="37" t="str"/>
      <x:c r="C46" s="37" t="str">
        <x:v>LJT-RPD-FINAL</x:v>
      </x:c>
      <x:c r="D46" s="37" t="str">
        <x:v>未評估</x:v>
      </x:c>
      <x:c r="E46" s="37" t="str">
        <x:f>IF(COUNTIFS('事件與限制'!$C$7:$C$106,$A46,'事件與限制'!$E$7:$E$106,$C46,'事件與限制'!$M$7:$M$106,"暫停技能資格",'事件與限制'!$Q$7:$Q$106,"生效中")&gt;0,"資格暫停",IF(_xlfn.XLOOKUP("REC|1029|LJT-RPD-FINAL",'資格恢復處理'!$A$7:$A$62,'資格恢復處理'!$S$7:$S$62,"",0)="資格已恢復",IF(TODAY()&gt;$G46,"逾期","有效"),_xlfn.XLOOKUP("REC|1029|LJT-RPD-FINAL",'資格恢復處理'!$A$7:$A$62,'資格恢復處理'!$F$7:$F$62,"未建立",0)))</x:f>
        <x:v>未建立</x:v>
      </x:c>
      <x:c r="F46" s="41" t="str">
        <x:f>IF(_xlfn.XLOOKUP("REC|1029|LJT-RPD-FINAL",'資格恢復處理'!$A$7:$A$62,'資格恢復處理'!$S$7:$S$62,"",0)="資格已恢復",_xlfn.XLOOKUP("REC|1029|LJT-RPD-FINAL",'資格恢復處理'!$A$7:$A$62,'資格恢復處理'!$O$7:$O$62,"",0),_xlfn.XLOOKUP("REC|1029|LJT-RPD-FINAL",'資格恢復處理'!$A$7:$A$62,'資格恢復處理'!$G$7:$G$62,"",0))</x:f>
      </x:c>
      <x:c r="G46" s="41" t="str">
        <x:f>IF(_xlfn.XLOOKUP("REC|1029|LJT-RPD-FINAL",'資格恢復處理'!$A$7:$A$62,'資格恢復處理'!$S$7:$S$62,"",0)="資格已恢復",_xlfn.XLOOKUP("REC|1029|LJT-RPD-FINAL",'資格恢復處理'!$A$7:$A$62,'資格恢復處理'!$P$7:$P$62,"",0),_xlfn.XLOOKUP("REC|1029|LJT-RPD-FINAL",'資格恢復處理'!$A$7:$A$62,'資格恢復處理'!$H$7:$H$62,"",0))</x:f>
      </x:c>
      <x:c r="H46" s="37" t="n">
        <x:v>0</x:v>
      </x:c>
      <x:c r="I46" s="46"/>
      <x:c r="J46" s="46"/>
      <x:c r="K46" s="39" t="str">
        <x:v>來源表沒有獨立評等，須另行考核</x:v>
      </x:c>
      <x:c r="L46" s="37" t="str">
        <x:v>1029|LJT-RPD-FINAL</x:v>
      </x:c>
    </x:row>
    <x:row r="47">
      <x:c r="A47" s="37" t="str">
        <x:v>1030</x:v>
      </x:c>
      <x:c r="B47" s="37" t="str"/>
      <x:c r="C47" s="37" t="str">
        <x:v>LJT-PREP-PERIOSURG</x:v>
      </x:c>
      <x:c r="D47" s="37" t="str">
        <x:v>未評估</x:v>
      </x:c>
      <x:c r="E47" s="37" t="str">
        <x:f>IF(COUNTIFS('事件與限制'!$C$7:$C$106,$A47,'事件與限制'!$E$7:$E$106,$C47,'事件與限制'!$M$7:$M$106,"暫停技能資格",'事件與限制'!$Q$7:$Q$106,"生效中")&gt;0,"資格暫停",IF(_xlfn.XLOOKUP("REC|1030|LJT-PREP-PERIOSURG",'資格恢復處理'!$A$7:$A$62,'資格恢復處理'!$S$7:$S$62,"",0)="資格已恢復",IF(TODAY()&gt;$G47,"逾期","有效"),_xlfn.XLOOKUP("REC|1030|LJT-PREP-PERIOSURG",'資格恢復處理'!$A$7:$A$62,'資格恢復處理'!$F$7:$F$62,"未建立",0)))</x:f>
        <x:v>未建立</x:v>
      </x:c>
      <x:c r="F47" s="41" t="n">
        <x:f>IF(_xlfn.XLOOKUP("REC|1030|LJT-PREP-PERIOSURG",'資格恢復處理'!$A$7:$A$62,'資格恢復處理'!$S$7:$S$62,"",0)="資格已恢復",_xlfn.XLOOKUP("REC|1030|LJT-PREP-PERIOSURG",'資格恢復處理'!$A$7:$A$62,'資格恢復處理'!$O$7:$O$62,"",0),_xlfn.XLOOKUP("REC|1030|LJT-PREP-PERIOSURG",'資格恢復處理'!$A$7:$A$62,'資格恢復處理'!$G$7:$G$62,"",0))</x:f>
        <x:v>46266</x:v>
      </x:c>
      <x:c r="G47" s="41" t="n">
        <x:f>IF(_xlfn.XLOOKUP("REC|1030|LJT-PREP-PERIOSURG",'資格恢復處理'!$A$7:$A$62,'資格恢復處理'!$S$7:$S$62,"",0)="資格已恢復",_xlfn.XLOOKUP("REC|1030|LJT-PREP-PERIOSURG",'資格恢復處理'!$A$7:$A$62,'資格恢復處理'!$P$7:$P$62,"",0),_xlfn.XLOOKUP("REC|1030|LJT-PREP-PERIOSURG",'資格恢復處理'!$A$7:$A$62,'資格恢復處理'!$H$7:$H$62,"",0))</x:f>
        <x:v>46447</x:v>
      </x:c>
      <x:c r="H47" s="37" t="n">
        <x:v>0</x:v>
      </x:c>
      <x:c r="I47" s="46"/>
      <x:c r="J47" s="46"/>
      <x:c r="K47" s="39" t="str">
        <x:v>低頻高風險；逾期立即暫停</x:v>
      </x:c>
      <x:c r="L47" s="37" t="str">
        <x:v>1030|LJT-PREP-PERIOSURG</x:v>
      </x:c>
    </x:row>
    <x:row r="48">
      <x:c r="A48" s="37" t="str">
        <x:v>1030</x:v>
      </x:c>
      <x:c r="B48" s="37" t="str"/>
      <x:c r="C48" s="37" t="str">
        <x:v>LJT-PREP-MICROENDO</x:v>
      </x:c>
      <x:c r="D48" s="37" t="str">
        <x:v>未評估</x:v>
      </x:c>
      <x:c r="E48" s="37" t="str">
        <x:f>IF(COUNTIFS('事件與限制'!$C$7:$C$106,$A48,'事件與限制'!$E$7:$E$106,$C48,'事件與限制'!$M$7:$M$106,"暫停技能資格",'事件與限制'!$Q$7:$Q$106,"生效中")&gt;0,"資格暫停",IF(_xlfn.XLOOKUP("REC|1030|LJT-PREP-MICROENDO",'資格恢復處理'!$A$7:$A$62,'資格恢復處理'!$S$7:$S$62,"",0)="資格已恢復",IF(TODAY()&gt;$G48,"逾期","有效"),_xlfn.XLOOKUP("REC|1030|LJT-PREP-MICROENDO",'資格恢復處理'!$A$7:$A$62,'資格恢復處理'!$F$7:$F$62,"未建立",0)))</x:f>
        <x:v>未建立</x:v>
      </x:c>
      <x:c r="F48" s="41" t="n">
        <x:f>IF(_xlfn.XLOOKUP("REC|1030|LJT-PREP-MICROENDO",'資格恢復處理'!$A$7:$A$62,'資格恢復處理'!$S$7:$S$62,"",0)="資格已恢復",_xlfn.XLOOKUP("REC|1030|LJT-PREP-MICROENDO",'資格恢復處理'!$A$7:$A$62,'資格恢復處理'!$O$7:$O$62,"",0),_xlfn.XLOOKUP("REC|1030|LJT-PREP-MICROENDO",'資格恢復處理'!$A$7:$A$62,'資格恢復處理'!$G$7:$G$62,"",0))</x:f>
        <x:v>46266</x:v>
      </x:c>
      <x:c r="G48" s="41" t="n">
        <x:f>IF(_xlfn.XLOOKUP("REC|1030|LJT-PREP-MICROENDO",'資格恢復處理'!$A$7:$A$62,'資格恢復處理'!$S$7:$S$62,"",0)="資格已恢復",_xlfn.XLOOKUP("REC|1030|LJT-PREP-MICROENDO",'資格恢復處理'!$A$7:$A$62,'資格恢復處理'!$P$7:$P$62,"",0),_xlfn.XLOOKUP("REC|1030|LJT-PREP-MICROENDO",'資格恢復處理'!$A$7:$A$62,'資格恢復處理'!$H$7:$H$62,"",0))</x:f>
        <x:v>46447</x:v>
      </x:c>
      <x:c r="H48" s="37" t="n">
        <x:v>0</x:v>
      </x:c>
      <x:c r="I48" s="46"/>
      <x:c r="J48" s="46"/>
      <x:c r="K48" s="39" t="str">
        <x:v>低頻高風險；逾期立即暫停</x:v>
      </x:c>
      <x:c r="L48" s="37" t="str">
        <x:v>1030|LJT-PREP-MICROENDO</x:v>
      </x:c>
    </x:row>
    <x:row r="49">
      <x:c r="A49" s="37" t="str">
        <x:v>1030</x:v>
      </x:c>
      <x:c r="B49" s="37" t="str"/>
      <x:c r="C49" s="37" t="str">
        <x:v>LJT-PREP-IMPLANT</x:v>
      </x:c>
      <x:c r="D49" s="37" t="str">
        <x:v>未評估</x:v>
      </x:c>
      <x:c r="E49" s="37" t="str">
        <x:f>IF(COUNTIFS('事件與限制'!$C$7:$C$106,$A49,'事件與限制'!$E$7:$E$106,$C49,'事件與限制'!$M$7:$M$106,"暫停技能資格",'事件與限制'!$Q$7:$Q$106,"生效中")&gt;0,"資格暫停",IF(_xlfn.XLOOKUP("REC|1030|LJT-PREP-IMPLANT",'資格恢復處理'!$A$7:$A$62,'資格恢復處理'!$S$7:$S$62,"",0)="資格已恢復",IF(TODAY()&gt;$G49,"逾期","有效"),_xlfn.XLOOKUP("REC|1030|LJT-PREP-IMPLANT",'資格恢復處理'!$A$7:$A$62,'資格恢復處理'!$F$7:$F$62,"未建立",0)))</x:f>
        <x:v>未建立</x:v>
      </x:c>
      <x:c r="F49" s="41" t="n">
        <x:f>IF(_xlfn.XLOOKUP("REC|1030|LJT-PREP-IMPLANT",'資格恢復處理'!$A$7:$A$62,'資格恢復處理'!$S$7:$S$62,"",0)="資格已恢復",_xlfn.XLOOKUP("REC|1030|LJT-PREP-IMPLANT",'資格恢復處理'!$A$7:$A$62,'資格恢復處理'!$O$7:$O$62,"",0),_xlfn.XLOOKUP("REC|1030|LJT-PREP-IMPLANT",'資格恢復處理'!$A$7:$A$62,'資格恢復處理'!$G$7:$G$62,"",0))</x:f>
        <x:v>46266</x:v>
      </x:c>
      <x:c r="G49" s="41" t="n">
        <x:f>IF(_xlfn.XLOOKUP("REC|1030|LJT-PREP-IMPLANT",'資格恢復處理'!$A$7:$A$62,'資格恢復處理'!$S$7:$S$62,"",0)="資格已恢復",_xlfn.XLOOKUP("REC|1030|LJT-PREP-IMPLANT",'資格恢復處理'!$A$7:$A$62,'資格恢復處理'!$P$7:$P$62,"",0),_xlfn.XLOOKUP("REC|1030|LJT-PREP-IMPLANT",'資格恢復處理'!$A$7:$A$62,'資格恢復處理'!$H$7:$H$62,"",0))</x:f>
        <x:v>46447</x:v>
      </x:c>
      <x:c r="H49" s="37" t="n">
        <x:v>0</x:v>
      </x:c>
      <x:c r="I49" s="46"/>
      <x:c r="J49" s="46"/>
      <x:c r="K49" s="39" t="str">
        <x:v>低頻高風險；逾期立即暫停</x:v>
      </x:c>
      <x:c r="L49" s="37" t="str">
        <x:v>1030|LJT-PREP-IMPLANT</x:v>
      </x:c>
    </x:row>
    <x:row r="50">
      <x:c r="A50" s="37" t="str">
        <x:v>1030</x:v>
      </x:c>
      <x:c r="B50" s="37" t="str"/>
      <x:c r="C50" s="37" t="str">
        <x:v>LJT-RPD-FINAL</x:v>
      </x:c>
      <x:c r="D50" s="37" t="str">
        <x:v>未評估</x:v>
      </x:c>
      <x:c r="E50" s="37" t="str">
        <x:f>IF(COUNTIFS('事件與限制'!$C$7:$C$106,$A50,'事件與限制'!$E$7:$E$106,$C50,'事件與限制'!$M$7:$M$106,"暫停技能資格",'事件與限制'!$Q$7:$Q$106,"生效中")&gt;0,"資格暫停",IF(_xlfn.XLOOKUP("REC|1030|LJT-RPD-FINAL",'資格恢復處理'!$A$7:$A$62,'資格恢復處理'!$S$7:$S$62,"",0)="資格已恢復",IF(TODAY()&gt;$G50,"逾期","有效"),_xlfn.XLOOKUP("REC|1030|LJT-RPD-FINAL",'資格恢復處理'!$A$7:$A$62,'資格恢復處理'!$F$7:$F$62,"未建立",0)))</x:f>
        <x:v>未建立</x:v>
      </x:c>
      <x:c r="F50" s="41" t="str">
        <x:f>IF(_xlfn.XLOOKUP("REC|1030|LJT-RPD-FINAL",'資格恢復處理'!$A$7:$A$62,'資格恢復處理'!$S$7:$S$62,"",0)="資格已恢復",_xlfn.XLOOKUP("REC|1030|LJT-RPD-FINAL",'資格恢復處理'!$A$7:$A$62,'資格恢復處理'!$O$7:$O$62,"",0),_xlfn.XLOOKUP("REC|1030|LJT-RPD-FINAL",'資格恢復處理'!$A$7:$A$62,'資格恢復處理'!$G$7:$G$62,"",0))</x:f>
      </x:c>
      <x:c r="G50" s="41" t="str">
        <x:f>IF(_xlfn.XLOOKUP("REC|1030|LJT-RPD-FINAL",'資格恢復處理'!$A$7:$A$62,'資格恢復處理'!$S$7:$S$62,"",0)="資格已恢復",_xlfn.XLOOKUP("REC|1030|LJT-RPD-FINAL",'資格恢復處理'!$A$7:$A$62,'資格恢復處理'!$P$7:$P$62,"",0),_xlfn.XLOOKUP("REC|1030|LJT-RPD-FINAL",'資格恢復處理'!$A$7:$A$62,'資格恢復處理'!$H$7:$H$62,"",0))</x:f>
      </x:c>
      <x:c r="H50" s="37" t="n">
        <x:v>0</x:v>
      </x:c>
      <x:c r="I50" s="46"/>
      <x:c r="J50" s="46"/>
      <x:c r="K50" s="39" t="str">
        <x:v>來源表沒有獨立評等，須另行考核</x:v>
      </x:c>
      <x:c r="L50" s="37" t="str">
        <x:v>1030|LJT-RPD-FINAL</x:v>
      </x:c>
    </x:row>
    <x:row r="51">
      <x:c r="A51" s="37" t="str">
        <x:v>1031</x:v>
      </x:c>
      <x:c r="B51" s="37" t="str"/>
      <x:c r="C51" s="37" t="str">
        <x:v>LJT-PREP-PERIOSURG</x:v>
      </x:c>
      <x:c r="D51" s="37" t="str">
        <x:v>未評估</x:v>
      </x:c>
      <x:c r="E51" s="37" t="str">
        <x:f>IF(COUNTIFS('事件與限制'!$C$7:$C$106,$A51,'事件與限制'!$E$7:$E$106,$C51,'事件與限制'!$M$7:$M$106,"暫停技能資格",'事件與限制'!$Q$7:$Q$106,"生效中")&gt;0,"資格暫停",IF(_xlfn.XLOOKUP("REC|1031|LJT-PREP-PERIOSURG",'資格恢復處理'!$A$7:$A$62,'資格恢復處理'!$S$7:$S$62,"",0)="資格已恢復",IF(TODAY()&gt;$G51,"逾期","有效"),_xlfn.XLOOKUP("REC|1031|LJT-PREP-PERIOSURG",'資格恢復處理'!$A$7:$A$62,'資格恢復處理'!$F$7:$F$62,"未建立",0)))</x:f>
        <x:v>未建立</x:v>
      </x:c>
      <x:c r="F51" s="41" t="n">
        <x:f>IF(_xlfn.XLOOKUP("REC|1031|LJT-PREP-PERIOSURG",'資格恢復處理'!$A$7:$A$62,'資格恢復處理'!$S$7:$S$62,"",0)="資格已恢復",_xlfn.XLOOKUP("REC|1031|LJT-PREP-PERIOSURG",'資格恢復處理'!$A$7:$A$62,'資格恢復處理'!$O$7:$O$62,"",0),_xlfn.XLOOKUP("REC|1031|LJT-PREP-PERIOSURG",'資格恢復處理'!$A$7:$A$62,'資格恢復處理'!$G$7:$G$62,"",0))</x:f>
        <x:v>46266</x:v>
      </x:c>
      <x:c r="G51" s="41" t="n">
        <x:f>IF(_xlfn.XLOOKUP("REC|1031|LJT-PREP-PERIOSURG",'資格恢復處理'!$A$7:$A$62,'資格恢復處理'!$S$7:$S$62,"",0)="資格已恢復",_xlfn.XLOOKUP("REC|1031|LJT-PREP-PERIOSURG",'資格恢復處理'!$A$7:$A$62,'資格恢復處理'!$P$7:$P$62,"",0),_xlfn.XLOOKUP("REC|1031|LJT-PREP-PERIOSURG",'資格恢復處理'!$A$7:$A$62,'資格恢復處理'!$H$7:$H$62,"",0))</x:f>
        <x:v>46447</x:v>
      </x:c>
      <x:c r="H51" s="37" t="n">
        <x:v>0</x:v>
      </x:c>
      <x:c r="I51" s="46"/>
      <x:c r="J51" s="46"/>
      <x:c r="K51" s="39" t="str">
        <x:v>低頻高風險；逾期立即暫停</x:v>
      </x:c>
      <x:c r="L51" s="37" t="str">
        <x:v>1031|LJT-PREP-PERIOSURG</x:v>
      </x:c>
    </x:row>
    <x:row r="52">
      <x:c r="A52" s="37" t="str">
        <x:v>1031</x:v>
      </x:c>
      <x:c r="B52" s="37" t="str"/>
      <x:c r="C52" s="37" t="str">
        <x:v>LJT-PREP-MICROENDO</x:v>
      </x:c>
      <x:c r="D52" s="37" t="str">
        <x:v>未評估</x:v>
      </x:c>
      <x:c r="E52" s="37" t="str">
        <x:f>IF(COUNTIFS('事件與限制'!$C$7:$C$106,$A52,'事件與限制'!$E$7:$E$106,$C52,'事件與限制'!$M$7:$M$106,"暫停技能資格",'事件與限制'!$Q$7:$Q$106,"生效中")&gt;0,"資格暫停",IF(_xlfn.XLOOKUP("REC|1031|LJT-PREP-MICROENDO",'資格恢復處理'!$A$7:$A$62,'資格恢復處理'!$S$7:$S$62,"",0)="資格已恢復",IF(TODAY()&gt;$G52,"逾期","有效"),_xlfn.XLOOKUP("REC|1031|LJT-PREP-MICROENDO",'資格恢復處理'!$A$7:$A$62,'資格恢復處理'!$F$7:$F$62,"未建立",0)))</x:f>
        <x:v>未建立</x:v>
      </x:c>
      <x:c r="F52" s="41" t="n">
        <x:f>IF(_xlfn.XLOOKUP("REC|1031|LJT-PREP-MICROENDO",'資格恢復處理'!$A$7:$A$62,'資格恢復處理'!$S$7:$S$62,"",0)="資格已恢復",_xlfn.XLOOKUP("REC|1031|LJT-PREP-MICROENDO",'資格恢復處理'!$A$7:$A$62,'資格恢復處理'!$O$7:$O$62,"",0),_xlfn.XLOOKUP("REC|1031|LJT-PREP-MICROENDO",'資格恢復處理'!$A$7:$A$62,'資格恢復處理'!$G$7:$G$62,"",0))</x:f>
        <x:v>46266</x:v>
      </x:c>
      <x:c r="G52" s="41" t="n">
        <x:f>IF(_xlfn.XLOOKUP("REC|1031|LJT-PREP-MICROENDO",'資格恢復處理'!$A$7:$A$62,'資格恢復處理'!$S$7:$S$62,"",0)="資格已恢復",_xlfn.XLOOKUP("REC|1031|LJT-PREP-MICROENDO",'資格恢復處理'!$A$7:$A$62,'資格恢復處理'!$P$7:$P$62,"",0),_xlfn.XLOOKUP("REC|1031|LJT-PREP-MICROENDO",'資格恢復處理'!$A$7:$A$62,'資格恢復處理'!$H$7:$H$62,"",0))</x:f>
        <x:v>46447</x:v>
      </x:c>
      <x:c r="H52" s="37" t="n">
        <x:v>0</x:v>
      </x:c>
      <x:c r="I52" s="46"/>
      <x:c r="J52" s="46"/>
      <x:c r="K52" s="39" t="str">
        <x:v>低頻高風險；逾期立即暫停</x:v>
      </x:c>
      <x:c r="L52" s="37" t="str">
        <x:v>1031|LJT-PREP-MICROENDO</x:v>
      </x:c>
    </x:row>
    <x:row r="53">
      <x:c r="A53" s="37" t="str">
        <x:v>1031</x:v>
      </x:c>
      <x:c r="B53" s="37" t="str"/>
      <x:c r="C53" s="37" t="str">
        <x:v>LJT-PREP-IMPLANT</x:v>
      </x:c>
      <x:c r="D53" s="37" t="str">
        <x:v>未評估</x:v>
      </x:c>
      <x:c r="E53" s="37" t="str">
        <x:f>IF(COUNTIFS('事件與限制'!$C$7:$C$106,$A53,'事件與限制'!$E$7:$E$106,$C53,'事件與限制'!$M$7:$M$106,"暫停技能資格",'事件與限制'!$Q$7:$Q$106,"生效中")&gt;0,"資格暫停",IF(_xlfn.XLOOKUP("REC|1031|LJT-PREP-IMPLANT",'資格恢復處理'!$A$7:$A$62,'資格恢復處理'!$S$7:$S$62,"",0)="資格已恢復",IF(TODAY()&gt;$G53,"逾期","有效"),_xlfn.XLOOKUP("REC|1031|LJT-PREP-IMPLANT",'資格恢復處理'!$A$7:$A$62,'資格恢復處理'!$F$7:$F$62,"未建立",0)))</x:f>
        <x:v>未建立</x:v>
      </x:c>
      <x:c r="F53" s="41" t="n">
        <x:f>IF(_xlfn.XLOOKUP("REC|1031|LJT-PREP-IMPLANT",'資格恢復處理'!$A$7:$A$62,'資格恢復處理'!$S$7:$S$62,"",0)="資格已恢復",_xlfn.XLOOKUP("REC|1031|LJT-PREP-IMPLANT",'資格恢復處理'!$A$7:$A$62,'資格恢復處理'!$O$7:$O$62,"",0),_xlfn.XLOOKUP("REC|1031|LJT-PREP-IMPLANT",'資格恢復處理'!$A$7:$A$62,'資格恢復處理'!$G$7:$G$62,"",0))</x:f>
        <x:v>46266</x:v>
      </x:c>
      <x:c r="G53" s="41" t="n">
        <x:f>IF(_xlfn.XLOOKUP("REC|1031|LJT-PREP-IMPLANT",'資格恢復處理'!$A$7:$A$62,'資格恢復處理'!$S$7:$S$62,"",0)="資格已恢復",_xlfn.XLOOKUP("REC|1031|LJT-PREP-IMPLANT",'資格恢復處理'!$A$7:$A$62,'資格恢復處理'!$P$7:$P$62,"",0),_xlfn.XLOOKUP("REC|1031|LJT-PREP-IMPLANT",'資格恢復處理'!$A$7:$A$62,'資格恢復處理'!$H$7:$H$62,"",0))</x:f>
        <x:v>46447</x:v>
      </x:c>
      <x:c r="H53" s="37" t="n">
        <x:v>0</x:v>
      </x:c>
      <x:c r="I53" s="46"/>
      <x:c r="J53" s="46"/>
      <x:c r="K53" s="39" t="str">
        <x:v>低頻高風險；逾期立即暫停</x:v>
      </x:c>
      <x:c r="L53" s="37" t="str">
        <x:v>1031|LJT-PREP-IMPLANT</x:v>
      </x:c>
    </x:row>
    <x:row r="54">
      <x:c r="A54" s="37" t="str">
        <x:v>1031</x:v>
      </x:c>
      <x:c r="B54" s="37" t="str"/>
      <x:c r="C54" s="37" t="str">
        <x:v>LJT-RPD-FINAL</x:v>
      </x:c>
      <x:c r="D54" s="37" t="str">
        <x:v>未評估</x:v>
      </x:c>
      <x:c r="E54" s="37" t="str">
        <x:f>IF(COUNTIFS('事件與限制'!$C$7:$C$106,$A54,'事件與限制'!$E$7:$E$106,$C54,'事件與限制'!$M$7:$M$106,"暫停技能資格",'事件與限制'!$Q$7:$Q$106,"生效中")&gt;0,"資格暫停",IF(_xlfn.XLOOKUP("REC|1031|LJT-RPD-FINAL",'資格恢復處理'!$A$7:$A$62,'資格恢復處理'!$S$7:$S$62,"",0)="資格已恢復",IF(TODAY()&gt;$G54,"逾期","有效"),_xlfn.XLOOKUP("REC|1031|LJT-RPD-FINAL",'資格恢復處理'!$A$7:$A$62,'資格恢復處理'!$F$7:$F$62,"未建立",0)))</x:f>
        <x:v>未建立</x:v>
      </x:c>
      <x:c r="F54" s="41" t="str">
        <x:f>IF(_xlfn.XLOOKUP("REC|1031|LJT-RPD-FINAL",'資格恢復處理'!$A$7:$A$62,'資格恢復處理'!$S$7:$S$62,"",0)="資格已恢復",_xlfn.XLOOKUP("REC|1031|LJT-RPD-FINAL",'資格恢復處理'!$A$7:$A$62,'資格恢復處理'!$O$7:$O$62,"",0),_xlfn.XLOOKUP("REC|1031|LJT-RPD-FINAL",'資格恢復處理'!$A$7:$A$62,'資格恢復處理'!$G$7:$G$62,"",0))</x:f>
      </x:c>
      <x:c r="G54" s="41" t="str">
        <x:f>IF(_xlfn.XLOOKUP("REC|1031|LJT-RPD-FINAL",'資格恢復處理'!$A$7:$A$62,'資格恢復處理'!$S$7:$S$62,"",0)="資格已恢復",_xlfn.XLOOKUP("REC|1031|LJT-RPD-FINAL",'資格恢復處理'!$A$7:$A$62,'資格恢復處理'!$P$7:$P$62,"",0),_xlfn.XLOOKUP("REC|1031|LJT-RPD-FINAL",'資格恢復處理'!$A$7:$A$62,'資格恢復處理'!$H$7:$H$62,"",0))</x:f>
      </x:c>
      <x:c r="H54" s="37" t="n">
        <x:v>0</x:v>
      </x:c>
      <x:c r="I54" s="46"/>
      <x:c r="J54" s="46"/>
      <x:c r="K54" s="39" t="str">
        <x:v>來源表沒有獨立評等，須另行考核</x:v>
      </x:c>
      <x:c r="L54" s="37" t="str">
        <x:v>1031|LJT-RPD-FINAL</x:v>
      </x:c>
    </x:row>
    <x:row r="55">
      <x:c r="A55" s="37" t="str">
        <x:v>2006</x:v>
      </x:c>
      <x:c r="B55" s="37" t="str"/>
      <x:c r="C55" s="37" t="str">
        <x:v>LJT-PREP-PERIOSURG</x:v>
      </x:c>
      <x:c r="D55" s="37" t="str">
        <x:v>未評估</x:v>
      </x:c>
      <x:c r="E55" s="37" t="str">
        <x:f>IF(COUNTIFS('事件與限制'!$C$7:$C$106,$A55,'事件與限制'!$E$7:$E$106,$C55,'事件與限制'!$M$7:$M$106,"暫停技能資格",'事件與限制'!$Q$7:$Q$106,"生效中")&gt;0,"資格暫停",IF(_xlfn.XLOOKUP("REC|2006|LJT-PREP-PERIOSURG",'資格恢復處理'!$A$7:$A$62,'資格恢復處理'!$S$7:$S$62,"",0)="資格已恢復",IF(TODAY()&gt;$G55,"逾期","有效"),_xlfn.XLOOKUP("REC|2006|LJT-PREP-PERIOSURG",'資格恢復處理'!$A$7:$A$62,'資格恢復處理'!$F$7:$F$62,"未建立",0)))</x:f>
        <x:v>未建立</x:v>
      </x:c>
      <x:c r="F55" s="41" t="n">
        <x:f>IF(_xlfn.XLOOKUP("REC|2006|LJT-PREP-PERIOSURG",'資格恢復處理'!$A$7:$A$62,'資格恢復處理'!$S$7:$S$62,"",0)="資格已恢復",_xlfn.XLOOKUP("REC|2006|LJT-PREP-PERIOSURG",'資格恢復處理'!$A$7:$A$62,'資格恢復處理'!$O$7:$O$62,"",0),_xlfn.XLOOKUP("REC|2006|LJT-PREP-PERIOSURG",'資格恢復處理'!$A$7:$A$62,'資格恢復處理'!$G$7:$G$62,"",0))</x:f>
        <x:v>46266</x:v>
      </x:c>
      <x:c r="G55" s="41" t="n">
        <x:f>IF(_xlfn.XLOOKUP("REC|2006|LJT-PREP-PERIOSURG",'資格恢復處理'!$A$7:$A$62,'資格恢復處理'!$S$7:$S$62,"",0)="資格已恢復",_xlfn.XLOOKUP("REC|2006|LJT-PREP-PERIOSURG",'資格恢復處理'!$A$7:$A$62,'資格恢復處理'!$P$7:$P$62,"",0),_xlfn.XLOOKUP("REC|2006|LJT-PREP-PERIOSURG",'資格恢復處理'!$A$7:$A$62,'資格恢復處理'!$H$7:$H$62,"",0))</x:f>
        <x:v>46447</x:v>
      </x:c>
      <x:c r="H55" s="37" t="n">
        <x:v>0</x:v>
      </x:c>
      <x:c r="I55" s="46"/>
      <x:c r="J55" s="46"/>
      <x:c r="K55" s="39" t="str">
        <x:v>低頻高風險；逾期立即暫停</x:v>
      </x:c>
      <x:c r="L55" s="37" t="str">
        <x:v>2006|LJT-PREP-PERIOSURG</x:v>
      </x:c>
    </x:row>
    <x:row r="56">
      <x:c r="A56" s="37" t="str">
        <x:v>2006</x:v>
      </x:c>
      <x:c r="B56" s="37" t="str"/>
      <x:c r="C56" s="37" t="str">
        <x:v>LJT-PREP-MICROENDO</x:v>
      </x:c>
      <x:c r="D56" s="37" t="str">
        <x:v>未評估</x:v>
      </x:c>
      <x:c r="E56" s="37" t="str">
        <x:f>IF(COUNTIFS('事件與限制'!$C$7:$C$106,$A56,'事件與限制'!$E$7:$E$106,$C56,'事件與限制'!$M$7:$M$106,"暫停技能資格",'事件與限制'!$Q$7:$Q$106,"生效中")&gt;0,"資格暫停",IF(_xlfn.XLOOKUP("REC|2006|LJT-PREP-MICROENDO",'資格恢復處理'!$A$7:$A$62,'資格恢復處理'!$S$7:$S$62,"",0)="資格已恢復",IF(TODAY()&gt;$G56,"逾期","有效"),_xlfn.XLOOKUP("REC|2006|LJT-PREP-MICROENDO",'資格恢復處理'!$A$7:$A$62,'資格恢復處理'!$F$7:$F$62,"未建立",0)))</x:f>
        <x:v>未建立</x:v>
      </x:c>
      <x:c r="F56" s="41" t="n">
        <x:f>IF(_xlfn.XLOOKUP("REC|2006|LJT-PREP-MICROENDO",'資格恢復處理'!$A$7:$A$62,'資格恢復處理'!$S$7:$S$62,"",0)="資格已恢復",_xlfn.XLOOKUP("REC|2006|LJT-PREP-MICROENDO",'資格恢復處理'!$A$7:$A$62,'資格恢復處理'!$O$7:$O$62,"",0),_xlfn.XLOOKUP("REC|2006|LJT-PREP-MICROENDO",'資格恢復處理'!$A$7:$A$62,'資格恢復處理'!$G$7:$G$62,"",0))</x:f>
        <x:v>46266</x:v>
      </x:c>
      <x:c r="G56" s="41" t="n">
        <x:f>IF(_xlfn.XLOOKUP("REC|2006|LJT-PREP-MICROENDO",'資格恢復處理'!$A$7:$A$62,'資格恢復處理'!$S$7:$S$62,"",0)="資格已恢復",_xlfn.XLOOKUP("REC|2006|LJT-PREP-MICROENDO",'資格恢復處理'!$A$7:$A$62,'資格恢復處理'!$P$7:$P$62,"",0),_xlfn.XLOOKUP("REC|2006|LJT-PREP-MICROENDO",'資格恢復處理'!$A$7:$A$62,'資格恢復處理'!$H$7:$H$62,"",0))</x:f>
        <x:v>46447</x:v>
      </x:c>
      <x:c r="H56" s="37" t="n">
        <x:v>0</x:v>
      </x:c>
      <x:c r="I56" s="46"/>
      <x:c r="J56" s="46"/>
      <x:c r="K56" s="39" t="str">
        <x:v>低頻高風險；逾期立即暫停</x:v>
      </x:c>
      <x:c r="L56" s="37" t="str">
        <x:v>2006|LJT-PREP-MICROENDO</x:v>
      </x:c>
    </x:row>
    <x:row r="57">
      <x:c r="A57" s="37" t="str">
        <x:v>2006</x:v>
      </x:c>
      <x:c r="B57" s="37" t="str"/>
      <x:c r="C57" s="37" t="str">
        <x:v>LJT-PREP-IMPLANT</x:v>
      </x:c>
      <x:c r="D57" s="37" t="str">
        <x:v>未評估</x:v>
      </x:c>
      <x:c r="E57" s="37" t="str">
        <x:f>IF(COUNTIFS('事件與限制'!$C$7:$C$106,$A57,'事件與限制'!$E$7:$E$106,$C57,'事件與限制'!$M$7:$M$106,"暫停技能資格",'事件與限制'!$Q$7:$Q$106,"生效中")&gt;0,"資格暫停",IF(_xlfn.XLOOKUP("REC|2006|LJT-PREP-IMPLANT",'資格恢復處理'!$A$7:$A$62,'資格恢復處理'!$S$7:$S$62,"",0)="資格已恢復",IF(TODAY()&gt;$G57,"逾期","有效"),_xlfn.XLOOKUP("REC|2006|LJT-PREP-IMPLANT",'資格恢復處理'!$A$7:$A$62,'資格恢復處理'!$F$7:$F$62,"未建立",0)))</x:f>
        <x:v>未建立</x:v>
      </x:c>
      <x:c r="F57" s="41" t="n">
        <x:f>IF(_xlfn.XLOOKUP("REC|2006|LJT-PREP-IMPLANT",'資格恢復處理'!$A$7:$A$62,'資格恢復處理'!$S$7:$S$62,"",0)="資格已恢復",_xlfn.XLOOKUP("REC|2006|LJT-PREP-IMPLANT",'資格恢復處理'!$A$7:$A$62,'資格恢復處理'!$O$7:$O$62,"",0),_xlfn.XLOOKUP("REC|2006|LJT-PREP-IMPLANT",'資格恢復處理'!$A$7:$A$62,'資格恢復處理'!$G$7:$G$62,"",0))</x:f>
        <x:v>46266</x:v>
      </x:c>
      <x:c r="G57" s="41" t="n">
        <x:f>IF(_xlfn.XLOOKUP("REC|2006|LJT-PREP-IMPLANT",'資格恢復處理'!$A$7:$A$62,'資格恢復處理'!$S$7:$S$62,"",0)="資格已恢復",_xlfn.XLOOKUP("REC|2006|LJT-PREP-IMPLANT",'資格恢復處理'!$A$7:$A$62,'資格恢復處理'!$P$7:$P$62,"",0),_xlfn.XLOOKUP("REC|2006|LJT-PREP-IMPLANT",'資格恢復處理'!$A$7:$A$62,'資格恢復處理'!$H$7:$H$62,"",0))</x:f>
        <x:v>46447</x:v>
      </x:c>
      <x:c r="H57" s="37" t="n">
        <x:v>0</x:v>
      </x:c>
      <x:c r="I57" s="46"/>
      <x:c r="J57" s="46"/>
      <x:c r="K57" s="39" t="str">
        <x:v>低頻高風險；逾期立即暫停</x:v>
      </x:c>
      <x:c r="L57" s="37" t="str">
        <x:v>2006|LJT-PREP-IMPLANT</x:v>
      </x:c>
    </x:row>
    <x:row r="58">
      <x:c r="A58" s="37" t="str">
        <x:v>2006</x:v>
      </x:c>
      <x:c r="B58" s="37" t="str"/>
      <x:c r="C58" s="37" t="str">
        <x:v>LJT-RPD-FINAL</x:v>
      </x:c>
      <x:c r="D58" s="37" t="str">
        <x:v>未評估</x:v>
      </x:c>
      <x:c r="E58" s="37" t="str">
        <x:f>IF(COUNTIFS('事件與限制'!$C$7:$C$106,$A58,'事件與限制'!$E$7:$E$106,$C58,'事件與限制'!$M$7:$M$106,"暫停技能資格",'事件與限制'!$Q$7:$Q$106,"生效中")&gt;0,"資格暫停",IF(_xlfn.XLOOKUP("REC|2006|LJT-RPD-FINAL",'資格恢復處理'!$A$7:$A$62,'資格恢復處理'!$S$7:$S$62,"",0)="資格已恢復",IF(TODAY()&gt;$G58,"逾期","有效"),_xlfn.XLOOKUP("REC|2006|LJT-RPD-FINAL",'資格恢復處理'!$A$7:$A$62,'資格恢復處理'!$F$7:$F$62,"未建立",0)))</x:f>
        <x:v>未建立</x:v>
      </x:c>
      <x:c r="F58" s="41" t="str">
        <x:f>IF(_xlfn.XLOOKUP("REC|2006|LJT-RPD-FINAL",'資格恢復處理'!$A$7:$A$62,'資格恢復處理'!$S$7:$S$62,"",0)="資格已恢復",_xlfn.XLOOKUP("REC|2006|LJT-RPD-FINAL",'資格恢復處理'!$A$7:$A$62,'資格恢復處理'!$O$7:$O$62,"",0),_xlfn.XLOOKUP("REC|2006|LJT-RPD-FINAL",'資格恢復處理'!$A$7:$A$62,'資格恢復處理'!$G$7:$G$62,"",0))</x:f>
      </x:c>
      <x:c r="G58" s="41" t="str">
        <x:f>IF(_xlfn.XLOOKUP("REC|2006|LJT-RPD-FINAL",'資格恢復處理'!$A$7:$A$62,'資格恢復處理'!$S$7:$S$62,"",0)="資格已恢復",_xlfn.XLOOKUP("REC|2006|LJT-RPD-FINAL",'資格恢復處理'!$A$7:$A$62,'資格恢復處理'!$P$7:$P$62,"",0),_xlfn.XLOOKUP("REC|2006|LJT-RPD-FINAL",'資格恢復處理'!$A$7:$A$62,'資格恢復處理'!$H$7:$H$62,"",0))</x:f>
      </x:c>
      <x:c r="H58" s="37" t="n">
        <x:v>0</x:v>
      </x:c>
      <x:c r="I58" s="46"/>
      <x:c r="J58" s="46"/>
      <x:c r="K58" s="39" t="str">
        <x:v>來源表沒有獨立評等，須另行考核</x:v>
      </x:c>
      <x:c r="L58" s="37" t="str">
        <x:v>2006|LJT-RPD-FINAL</x:v>
      </x:c>
    </x:row>
    <x:row r="59">
      <x:c r="A59" s="37" t="str">
        <x:v>2007</x:v>
      </x:c>
      <x:c r="B59" s="37" t="str"/>
      <x:c r="C59" s="37" t="str">
        <x:v>LJT-PREP-PERIOSURG</x:v>
      </x:c>
      <x:c r="D59" s="37" t="str">
        <x:v>未評估</x:v>
      </x:c>
      <x:c r="E59" s="37" t="str">
        <x:f>IF(COUNTIFS('事件與限制'!$C$7:$C$106,$A59,'事件與限制'!$E$7:$E$106,$C59,'事件與限制'!$M$7:$M$106,"暫停技能資格",'事件與限制'!$Q$7:$Q$106,"生效中")&gt;0,"資格暫停",IF(_xlfn.XLOOKUP("REC|2007|LJT-PREP-PERIOSURG",'資格恢復處理'!$A$7:$A$62,'資格恢復處理'!$S$7:$S$62,"",0)="資格已恢復",IF(TODAY()&gt;$G59,"逾期","有效"),_xlfn.XLOOKUP("REC|2007|LJT-PREP-PERIOSURG",'資格恢復處理'!$A$7:$A$62,'資格恢復處理'!$F$7:$F$62,"未建立",0)))</x:f>
        <x:v>未建立</x:v>
      </x:c>
      <x:c r="F59" s="41" t="n">
        <x:f>IF(_xlfn.XLOOKUP("REC|2007|LJT-PREP-PERIOSURG",'資格恢復處理'!$A$7:$A$62,'資格恢復處理'!$S$7:$S$62,"",0)="資格已恢復",_xlfn.XLOOKUP("REC|2007|LJT-PREP-PERIOSURG",'資格恢復處理'!$A$7:$A$62,'資格恢復處理'!$O$7:$O$62,"",0),_xlfn.XLOOKUP("REC|2007|LJT-PREP-PERIOSURG",'資格恢復處理'!$A$7:$A$62,'資格恢復處理'!$G$7:$G$62,"",0))</x:f>
        <x:v>46266</x:v>
      </x:c>
      <x:c r="G59" s="41" t="n">
        <x:f>IF(_xlfn.XLOOKUP("REC|2007|LJT-PREP-PERIOSURG",'資格恢復處理'!$A$7:$A$62,'資格恢復處理'!$S$7:$S$62,"",0)="資格已恢復",_xlfn.XLOOKUP("REC|2007|LJT-PREP-PERIOSURG",'資格恢復處理'!$A$7:$A$62,'資格恢復處理'!$P$7:$P$62,"",0),_xlfn.XLOOKUP("REC|2007|LJT-PREP-PERIOSURG",'資格恢復處理'!$A$7:$A$62,'資格恢復處理'!$H$7:$H$62,"",0))</x:f>
        <x:v>46447</x:v>
      </x:c>
      <x:c r="H59" s="37" t="n">
        <x:v>0</x:v>
      </x:c>
      <x:c r="I59" s="46"/>
      <x:c r="J59" s="46"/>
      <x:c r="K59" s="39" t="str">
        <x:v>低頻高風險；逾期立即暫停</x:v>
      </x:c>
      <x:c r="L59" s="37" t="str">
        <x:v>2007|LJT-PREP-PERIOSURG</x:v>
      </x:c>
    </x:row>
    <x:row r="60">
      <x:c r="A60" s="37" t="str">
        <x:v>2007</x:v>
      </x:c>
      <x:c r="B60" s="37" t="str"/>
      <x:c r="C60" s="37" t="str">
        <x:v>LJT-PREP-MICROENDO</x:v>
      </x:c>
      <x:c r="D60" s="37" t="str">
        <x:v>未評估</x:v>
      </x:c>
      <x:c r="E60" s="37" t="str">
        <x:f>IF(COUNTIFS('事件與限制'!$C$7:$C$106,$A60,'事件與限制'!$E$7:$E$106,$C60,'事件與限制'!$M$7:$M$106,"暫停技能資格",'事件與限制'!$Q$7:$Q$106,"生效中")&gt;0,"資格暫停",IF(_xlfn.XLOOKUP("REC|2007|LJT-PREP-MICROENDO",'資格恢復處理'!$A$7:$A$62,'資格恢復處理'!$S$7:$S$62,"",0)="資格已恢復",IF(TODAY()&gt;$G60,"逾期","有效"),_xlfn.XLOOKUP("REC|2007|LJT-PREP-MICROENDO",'資格恢復處理'!$A$7:$A$62,'資格恢復處理'!$F$7:$F$62,"未建立",0)))</x:f>
        <x:v>未建立</x:v>
      </x:c>
      <x:c r="F60" s="41" t="n">
        <x:f>IF(_xlfn.XLOOKUP("REC|2007|LJT-PREP-MICROENDO",'資格恢復處理'!$A$7:$A$62,'資格恢復處理'!$S$7:$S$62,"",0)="資格已恢復",_xlfn.XLOOKUP("REC|2007|LJT-PREP-MICROENDO",'資格恢復處理'!$A$7:$A$62,'資格恢復處理'!$O$7:$O$62,"",0),_xlfn.XLOOKUP("REC|2007|LJT-PREP-MICROENDO",'資格恢復處理'!$A$7:$A$62,'資格恢復處理'!$G$7:$G$62,"",0))</x:f>
        <x:v>46266</x:v>
      </x:c>
      <x:c r="G60" s="41" t="n">
        <x:f>IF(_xlfn.XLOOKUP("REC|2007|LJT-PREP-MICROENDO",'資格恢復處理'!$A$7:$A$62,'資格恢復處理'!$S$7:$S$62,"",0)="資格已恢復",_xlfn.XLOOKUP("REC|2007|LJT-PREP-MICROENDO",'資格恢復處理'!$A$7:$A$62,'資格恢復處理'!$P$7:$P$62,"",0),_xlfn.XLOOKUP("REC|2007|LJT-PREP-MICROENDO",'資格恢復處理'!$A$7:$A$62,'資格恢復處理'!$H$7:$H$62,"",0))</x:f>
        <x:v>46447</x:v>
      </x:c>
      <x:c r="H60" s="37" t="n">
        <x:v>0</x:v>
      </x:c>
      <x:c r="I60" s="46"/>
      <x:c r="J60" s="46"/>
      <x:c r="K60" s="39" t="str">
        <x:v>低頻高風險；逾期立即暫停</x:v>
      </x:c>
      <x:c r="L60" s="37" t="str">
        <x:v>2007|LJT-PREP-MICROENDO</x:v>
      </x:c>
    </x:row>
    <x:row r="61">
      <x:c r="A61" s="37" t="str">
        <x:v>2007</x:v>
      </x:c>
      <x:c r="B61" s="37" t="str"/>
      <x:c r="C61" s="37" t="str">
        <x:v>LJT-PREP-IMPLANT</x:v>
      </x:c>
      <x:c r="D61" s="37" t="str">
        <x:v>未評估</x:v>
      </x:c>
      <x:c r="E61" s="37" t="str">
        <x:f>IF(COUNTIFS('事件與限制'!$C$7:$C$106,$A61,'事件與限制'!$E$7:$E$106,$C61,'事件與限制'!$M$7:$M$106,"暫停技能資格",'事件與限制'!$Q$7:$Q$106,"生效中")&gt;0,"資格暫停",IF(_xlfn.XLOOKUP("REC|2007|LJT-PREP-IMPLANT",'資格恢復處理'!$A$7:$A$62,'資格恢復處理'!$S$7:$S$62,"",0)="資格已恢復",IF(TODAY()&gt;$G61,"逾期","有效"),_xlfn.XLOOKUP("REC|2007|LJT-PREP-IMPLANT",'資格恢復處理'!$A$7:$A$62,'資格恢復處理'!$F$7:$F$62,"未建立",0)))</x:f>
        <x:v>未建立</x:v>
      </x:c>
      <x:c r="F61" s="41" t="n">
        <x:f>IF(_xlfn.XLOOKUP("REC|2007|LJT-PREP-IMPLANT",'資格恢復處理'!$A$7:$A$62,'資格恢復處理'!$S$7:$S$62,"",0)="資格已恢復",_xlfn.XLOOKUP("REC|2007|LJT-PREP-IMPLANT",'資格恢復處理'!$A$7:$A$62,'資格恢復處理'!$O$7:$O$62,"",0),_xlfn.XLOOKUP("REC|2007|LJT-PREP-IMPLANT",'資格恢復處理'!$A$7:$A$62,'資格恢復處理'!$G$7:$G$62,"",0))</x:f>
        <x:v>46266</x:v>
      </x:c>
      <x:c r="G61" s="41" t="n">
        <x:f>IF(_xlfn.XLOOKUP("REC|2007|LJT-PREP-IMPLANT",'資格恢復處理'!$A$7:$A$62,'資格恢復處理'!$S$7:$S$62,"",0)="資格已恢復",_xlfn.XLOOKUP("REC|2007|LJT-PREP-IMPLANT",'資格恢復處理'!$A$7:$A$62,'資格恢復處理'!$P$7:$P$62,"",0),_xlfn.XLOOKUP("REC|2007|LJT-PREP-IMPLANT",'資格恢復處理'!$A$7:$A$62,'資格恢復處理'!$H$7:$H$62,"",0))</x:f>
        <x:v>46447</x:v>
      </x:c>
      <x:c r="H61" s="37" t="n">
        <x:v>0</x:v>
      </x:c>
      <x:c r="I61" s="46"/>
      <x:c r="J61" s="46"/>
      <x:c r="K61" s="39" t="str">
        <x:v>低頻高風險；逾期立即暫停</x:v>
      </x:c>
      <x:c r="L61" s="37" t="str">
        <x:v>2007|LJT-PREP-IMPLANT</x:v>
      </x:c>
    </x:row>
    <x:row r="62">
      <x:c r="A62" s="38" t="str">
        <x:v>2007</x:v>
      </x:c>
      <x:c r="B62" s="38" t="str"/>
      <x:c r="C62" s="38" t="str">
        <x:v>LJT-RPD-FINAL</x:v>
      </x:c>
      <x:c r="D62" s="38" t="str">
        <x:v>未評估</x:v>
      </x:c>
      <x:c r="E62" s="38" t="str">
        <x:f>IF(COUNTIFS('事件與限制'!$C$7:$C$106,$A62,'事件與限制'!$E$7:$E$106,$C62,'事件與限制'!$M$7:$M$106,"暫停技能資格",'事件與限制'!$Q$7:$Q$106,"生效中")&gt;0,"資格暫停",IF(_xlfn.XLOOKUP("REC|2007|LJT-RPD-FINAL",'資格恢復處理'!$A$7:$A$62,'資格恢復處理'!$S$7:$S$62,"",0)="資格已恢復",IF(TODAY()&gt;$G62,"逾期","有效"),_xlfn.XLOOKUP("REC|2007|LJT-RPD-FINAL",'資格恢復處理'!$A$7:$A$62,'資格恢復處理'!$F$7:$F$62,"未建立",0)))</x:f>
        <x:v>未建立</x:v>
      </x:c>
      <x:c r="F62" s="43" t="str">
        <x:f>IF(_xlfn.XLOOKUP("REC|2007|LJT-RPD-FINAL",'資格恢復處理'!$A$7:$A$62,'資格恢復處理'!$S$7:$S$62,"",0)="資格已恢復",_xlfn.XLOOKUP("REC|2007|LJT-RPD-FINAL",'資格恢復處理'!$A$7:$A$62,'資格恢復處理'!$O$7:$O$62,"",0),_xlfn.XLOOKUP("REC|2007|LJT-RPD-FINAL",'資格恢復處理'!$A$7:$A$62,'資格恢復處理'!$G$7:$G$62,"",0))</x:f>
      </x:c>
      <x:c r="G62" s="43" t="str">
        <x:f>IF(_xlfn.XLOOKUP("REC|2007|LJT-RPD-FINAL",'資格恢復處理'!$A$7:$A$62,'資格恢復處理'!$S$7:$S$62,"",0)="資格已恢復",_xlfn.XLOOKUP("REC|2007|LJT-RPD-FINAL",'資格恢復處理'!$A$7:$A$62,'資格恢復處理'!$P$7:$P$62,"",0),_xlfn.XLOOKUP("REC|2007|LJT-RPD-FINAL",'資格恢復處理'!$A$7:$A$62,'資格恢復處理'!$H$7:$H$62,"",0))</x:f>
      </x:c>
      <x:c r="H62" s="38" t="n">
        <x:v>0</x:v>
      </x:c>
      <x:c r="I62" s="47"/>
      <x:c r="J62" s="47"/>
      <x:c r="K62" s="40" t="str">
        <x:v>來源表沒有獨立評等，須另行考核</x:v>
      </x:c>
      <x:c r="L62" s="38" t="str">
        <x:v>2007|LJT-RPD-FINAL</x:v>
      </x:c>
    </x:row>
  </x:sheetData>
  <x:pageMargins left="0.7" right="0.7" top="0.75" bottom="0.75" header="0.3" footer="0.3"/>
  <x:tableParts count="1">
    <x:tablePart xmlns:r="http://schemas.openxmlformats.org/officeDocument/2006/relationships" r:id="R76be1660200e4ee5"/>
  </x:tableParts>
</x:worksheet>
</file>

<file path=xl/worksheets/sheet13.xml><?xml version="1.0" encoding="utf-8"?>
<x:worksheet xmlns:x="http://schemas.openxmlformats.org/spreadsheetml/2006/main">
  <x:sheetPr>
    <x:tabColor rgb="FF9BBB5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8" hidden="0" customWidth="1"/>
    <x:col min="5" max="5" width="16" hidden="0" customWidth="1"/>
    <x:col min="6" max="6" width="16" hidden="0" customWidth="1"/>
    <x:col min="7" max="7" width="28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14" hidden="0" customWidth="1"/>
    <x:col min="13" max="13" width="18" hidden="0" customWidth="1"/>
    <x:col min="14" max="14" width="16" hidden="0" customWidth="1"/>
    <x:col min="15" max="15" width="22" hidden="0" customWidth="1"/>
    <x:col min="16" max="16" width="18" hidden="0" customWidth="1"/>
    <x:col min="17" max="17" width="46" hidden="0" customWidth="1"/>
  </x:cols>
  <x:sheetData>
    <x:row r="2">
      <x:c r="A2" s="26" t="str">
        <x:v>排班適配要求展開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</x:row>
    <x:row r="4">
      <x:c r="A4" s="28" t="str">
        <x:v>每列代表員工×治療模式×技能要求。待確認的共通技能納入試算，但不會直接形成正式資格。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6">
      <x:c r="A6" s="36" t="str">
        <x:v>員工編號</x:v>
      </x:c>
      <x:c r="B6" s="36" t="str">
        <x:v>姓名</x:v>
      </x:c>
      <x:c r="C6" s="36" t="str">
        <x:v>模式代碼</x:v>
      </x:c>
      <x:c r="D6" s="36" t="str">
        <x:v>治療項目</x:v>
      </x:c>
      <x:c r="E6" s="36" t="str">
        <x:v>療程階段</x:v>
      </x:c>
      <x:c r="F6" s="36" t="str">
        <x:v>複雜度</x:v>
      </x:c>
      <x:c r="G6" s="36" t="str">
        <x:v>技能代碼</x:v>
      </x:c>
      <x:c r="H6" s="36" t="str">
        <x:v>必要性</x:v>
      </x:c>
      <x:c r="I6" s="36" t="str">
        <x:v>要求確認狀態</x:v>
      </x:c>
      <x:c r="J6" s="36" t="str">
        <x:v>獨立最低評等</x:v>
      </x:c>
      <x:c r="K6" s="36" t="str">
        <x:v>條件排最低評等</x:v>
      </x:c>
      <x:c r="L6" s="36" t="str">
        <x:v>目前評等</x:v>
      </x:c>
      <x:c r="M6" s="36" t="str">
        <x:v>能力有效狀態</x:v>
      </x:c>
      <x:c r="N6" s="36" t="str">
        <x:v>技能判定</x:v>
      </x:c>
      <x:c r="O6" s="36" t="str">
        <x:v>跟診熟悉度</x:v>
      </x:c>
      <x:c r="P6" s="36" t="str">
        <x:v>熟悉度有效狀態</x:v>
      </x:c>
      <x:c r="Q6" s="36" t="str">
        <x:v>支援規則</x:v>
      </x:c>
    </x:row>
    <x:row r="7">
      <x:c r="A7" s="37" t="str">
        <x:v>1001</x:v>
      </x:c>
      <x:c r="B7" s="37" t="str"/>
      <x:c r="C7" s="37" t="str">
        <x:v>LJT-SCALING</x:v>
      </x:c>
      <x:c r="D7" s="37" t="str">
        <x:v>洗牙</x:v>
      </x:c>
      <x:c r="E7" s="37" t="str">
        <x:v>一般</x:v>
      </x:c>
      <x:c r="F7" s="37" t="str">
        <x:v>一般</x:v>
      </x:c>
      <x:c r="G7" s="37" t="str">
        <x:v>LJT-PREP-SCALING</x:v>
      </x:c>
      <x:c r="H7" s="37" t="str">
        <x:v>必備</x:v>
      </x:c>
      <x:c r="I7" s="37" t="str">
        <x:f>_xlfn.XLOOKUP($C7&amp;"|"&amp;$G7,'李醫師能力要求'!$M$7:$M$59,'李醫師能力要求'!$K$7:$K$59,"待確認",0)</x:f>
        <x:v>已確認</x:v>
      </x:c>
      <x:c r="J7" s="37" t="str">
        <x:v>◎</x:v>
      </x:c>
      <x:c r="K7" s="37" t="str">
        <x:v>Ø</x:v>
      </x:c>
      <x:c r="L7" s="48" t="str">
        <x:f>_xlfn.XLOOKUP($A7&amp;"|"&amp;$G7,'試行能力狀態'!$L$7:$L$258,'試行能力狀態'!$E$7:$E$258,"未評估",0)</x:f>
        <x:v>◎</x:v>
      </x:c>
      <x:c r="M7" s="48" t="str">
        <x:f>_xlfn.XLOOKUP($A7&amp;"|"&amp;$G7,'試行能力狀態'!$L$7:$L$258,'試行能力狀態'!$F$7:$F$258,"未建立",0)</x:f>
        <x:v>待主管核定</x:v>
      </x:c>
      <x:c r="N7" s="48" t="str">
        <x:f>IF($L7="◎","符合獨立",IF($L7="Ø","符合條件","不符合"))</x:f>
        <x:v>符合獨立</x:v>
      </x:c>
      <x:c r="O7" s="48" t="str">
        <x:f>_xlfn.XLOOKUP($A7&amp;"|李侑津醫師",'試行熟悉度'!$K$7:$K$20,'試行熟悉度'!$E$7:$E$20,"未評估",0)</x:f>
        <x:v>可獨立配合</x:v>
      </x:c>
      <x:c r="P7" s="48" t="str">
        <x:f>_xlfn.XLOOKUP($A7&amp;"|李侑津醫師",'試行熟悉度'!$K$7:$K$20,'試行熟悉度'!$F$7:$F$20,"未建立",0)</x:f>
        <x:v>待主管核定</x:v>
      </x:c>
      <x:c r="Q7" s="39" t="str">
        <x:v>依一般支援名額</x:v>
      </x:c>
    </x:row>
    <x:row r="8">
      <x:c r="A8" s="37" t="str">
        <x:v>1001</x:v>
      </x:c>
      <x:c r="B8" s="37" t="str"/>
      <x:c r="C8" s="37" t="str">
        <x:v>LJT-SCALING</x:v>
      </x:c>
      <x:c r="D8" s="37" t="str">
        <x:v>洗牙</x:v>
      </x:c>
      <x:c r="E8" s="37" t="str">
        <x:v>一般</x:v>
      </x:c>
      <x:c r="F8" s="37" t="str">
        <x:v>一般</x:v>
      </x:c>
      <x:c r="G8" s="37" t="str">
        <x:v>COMMON-RECORD</x:v>
      </x:c>
      <x:c r="H8" s="37" t="str">
        <x:v>待確認</x:v>
      </x:c>
      <x:c r="I8" s="37" t="str">
        <x:f>_xlfn.XLOOKUP($C8&amp;"|"&amp;$G8,'李醫師能力要求'!$M$7:$M$59,'李醫師能力要求'!$K$7:$K$59,"待確認",0)</x:f>
        <x:v>待確認</x:v>
      </x:c>
      <x:c r="J8" s="37" t="str">
        <x:v>◎</x:v>
      </x:c>
      <x:c r="K8" s="37" t="str">
        <x:v>Ø</x:v>
      </x:c>
      <x:c r="L8" s="48" t="str">
        <x:f>_xlfn.XLOOKUP($A8&amp;"|"&amp;$G8,'試行能力狀態'!$L$7:$L$258,'試行能力狀態'!$E$7:$E$258,"未評估",0)</x:f>
        <x:v>◎</x:v>
      </x:c>
      <x:c r="M8" s="48" t="str">
        <x:f>_xlfn.XLOOKUP($A8&amp;"|"&amp;$G8,'試行能力狀態'!$L$7:$L$258,'試行能力狀態'!$F$7:$F$258,"未建立",0)</x:f>
        <x:v>待主管核定</x:v>
      </x:c>
      <x:c r="N8" s="48" t="str">
        <x:f>IF($L8="◎","符合獨立",IF($L8="Ø","符合條件","不符合"))</x:f>
        <x:v>符合獨立</x:v>
      </x:c>
      <x:c r="O8" s="48" t="str">
        <x:f>_xlfn.XLOOKUP($A8&amp;"|李侑津醫師",'試行熟悉度'!$K$7:$K$20,'試行熟悉度'!$E$7:$E$20,"未評估",0)</x:f>
        <x:v>可獨立配合</x:v>
      </x:c>
      <x:c r="P8" s="48" t="str">
        <x:f>_xlfn.XLOOKUP($A8&amp;"|李侑津醫師",'試行熟悉度'!$K$7:$K$20,'試行熟悉度'!$F$7:$F$20,"未建立",0)</x:f>
        <x:v>待主管核定</x:v>
      </x:c>
      <x:c r="Q8" s="39" t="str">
        <x:v>確認後才納入自動判定</x:v>
      </x:c>
    </x:row>
    <x:row r="9">
      <x:c r="A9" s="37" t="str">
        <x:v>1001</x:v>
      </x:c>
      <x:c r="B9" s="37" t="str"/>
      <x:c r="C9" s="37" t="str">
        <x:v>LJT-SCALING</x:v>
      </x:c>
      <x:c r="D9" s="37" t="str">
        <x:v>洗牙</x:v>
      </x:c>
      <x:c r="E9" s="37" t="str">
        <x:v>一般</x:v>
      </x:c>
      <x:c r="F9" s="37" t="str">
        <x:v>一般</x:v>
      </x:c>
      <x:c r="G9" s="37" t="str">
        <x:v>COMMON-INSURANCE</x:v>
      </x:c>
      <x:c r="H9" s="37" t="str">
        <x:v>待確認</x:v>
      </x:c>
      <x:c r="I9" s="37" t="str">
        <x:f>_xlfn.XLOOKUP($C9&amp;"|"&amp;$G9,'李醫師能力要求'!$M$7:$M$59,'李醫師能力要求'!$K$7:$K$59,"待確認",0)</x:f>
        <x:v>待確認</x:v>
      </x:c>
      <x:c r="J9" s="37" t="str">
        <x:v>◎</x:v>
      </x:c>
      <x:c r="K9" s="37" t="str">
        <x:v>Ø</x:v>
      </x:c>
      <x:c r="L9" s="48" t="str">
        <x:f>_xlfn.XLOOKUP($A9&amp;"|"&amp;$G9,'試行能力狀態'!$L$7:$L$258,'試行能力狀態'!$E$7:$E$258,"未評估",0)</x:f>
        <x:v>◎</x:v>
      </x:c>
      <x:c r="M9" s="48" t="str">
        <x:f>_xlfn.XLOOKUP($A9&amp;"|"&amp;$G9,'試行能力狀態'!$L$7:$L$258,'試行能力狀態'!$F$7:$F$258,"未建立",0)</x:f>
        <x:v>待主管核定</x:v>
      </x:c>
      <x:c r="N9" s="48" t="str">
        <x:f>IF($L9="◎","符合獨立",IF($L9="Ø","符合條件","不符合"))</x:f>
        <x:v>符合獨立</x:v>
      </x:c>
      <x:c r="O9" s="48" t="str">
        <x:f>_xlfn.XLOOKUP($A9&amp;"|李侑津醫師",'試行熟悉度'!$K$7:$K$20,'試行熟悉度'!$E$7:$E$20,"未評估",0)</x:f>
        <x:v>可獨立配合</x:v>
      </x:c>
      <x:c r="P9" s="48" t="str">
        <x:f>_xlfn.XLOOKUP($A9&amp;"|李侑津醫師",'試行熟悉度'!$K$7:$K$20,'試行熟悉度'!$F$7:$F$20,"未建立",0)</x:f>
        <x:v>待主管核定</x:v>
      </x:c>
      <x:c r="Q9" s="39" t="str">
        <x:v>確認後才納入自動判定</x:v>
      </x:c>
    </x:row>
    <x:row r="10">
      <x:c r="A10" s="37" t="str">
        <x:v>1001</x:v>
      </x:c>
      <x:c r="B10" s="37" t="str"/>
      <x:c r="C10" s="37" t="str">
        <x:v>LJT-SCALING</x:v>
      </x:c>
      <x:c r="D10" s="37" t="str">
        <x:v>洗牙</x:v>
      </x:c>
      <x:c r="E10" s="37" t="str">
        <x:v>一般</x:v>
      </x:c>
      <x:c r="F10" s="37" t="str">
        <x:v>一般</x:v>
      </x:c>
      <x:c r="G10" s="37" t="str">
        <x:v>COMMON-XRAY-RECORD</x:v>
      </x:c>
      <x:c r="H10" s="37" t="str">
        <x:v>待確認</x:v>
      </x:c>
      <x:c r="I10" s="37" t="str">
        <x:f>_xlfn.XLOOKUP($C10&amp;"|"&amp;$G10,'李醫師能力要求'!$M$7:$M$59,'李醫師能力要求'!$K$7:$K$59,"待確認",0)</x:f>
        <x:v>待確認</x:v>
      </x:c>
      <x:c r="J10" s="37" t="str">
        <x:v>◎</x:v>
      </x:c>
      <x:c r="K10" s="37" t="str">
        <x:v>Ø</x:v>
      </x:c>
      <x:c r="L10" s="48" t="str">
        <x:f>_xlfn.XLOOKUP($A10&amp;"|"&amp;$G10,'試行能力狀態'!$L$7:$L$258,'試行能力狀態'!$E$7:$E$258,"未評估",0)</x:f>
        <x:v>◎</x:v>
      </x:c>
      <x:c r="M10" s="48" t="str">
        <x:f>_xlfn.XLOOKUP($A10&amp;"|"&amp;$G10,'試行能力狀態'!$L$7:$L$258,'試行能力狀態'!$F$7:$F$258,"未建立",0)</x:f>
        <x:v>待主管核定</x:v>
      </x:c>
      <x:c r="N10" s="48" t="str">
        <x:f>IF($L10="◎","符合獨立",IF($L10="Ø","符合條件","不符合"))</x:f>
        <x:v>符合獨立</x:v>
      </x:c>
      <x:c r="O10" s="48" t="str">
        <x:f>_xlfn.XLOOKUP($A10&amp;"|李侑津醫師",'試行熟悉度'!$K$7:$K$20,'試行熟悉度'!$E$7:$E$20,"未評估",0)</x:f>
        <x:v>可獨立配合</x:v>
      </x:c>
      <x:c r="P10" s="48" t="str">
        <x:f>_xlfn.XLOOKUP($A10&amp;"|李侑津醫師",'試行熟悉度'!$K$7:$K$20,'試行熟悉度'!$F$7:$F$20,"未建立",0)</x:f>
        <x:v>待主管核定</x:v>
      </x:c>
      <x:c r="Q10" s="39" t="str">
        <x:v>確認後才納入自動判定</x:v>
      </x:c>
    </x:row>
    <x:row r="11">
      <x:c r="A11" s="37" t="str">
        <x:v>1001</x:v>
      </x:c>
      <x:c r="B11" s="37" t="str"/>
      <x:c r="C11" s="37" t="str">
        <x:v>LJT-FILLING</x:v>
      </x:c>
      <x:c r="D11" s="37" t="str">
        <x:v>補牙</x:v>
      </x:c>
      <x:c r="E11" s="37" t="str">
        <x:v>一般</x:v>
      </x:c>
      <x:c r="F11" s="37" t="str">
        <x:v>一般</x:v>
      </x:c>
      <x:c r="G11" s="37" t="str">
        <x:v>LJT-PREP-FILLING</x:v>
      </x:c>
      <x:c r="H11" s="37" t="str">
        <x:v>必備</x:v>
      </x:c>
      <x:c r="I11" s="37" t="str">
        <x:f>_xlfn.XLOOKUP($C11&amp;"|"&amp;$G11,'李醫師能力要求'!$M$7:$M$59,'李醫師能力要求'!$K$7:$K$59,"待確認",0)</x:f>
        <x:v>已確認</x:v>
      </x:c>
      <x:c r="J11" s="37" t="str">
        <x:v>◎</x:v>
      </x:c>
      <x:c r="K11" s="37" t="str">
        <x:v>Ø</x:v>
      </x:c>
      <x:c r="L11" s="48" t="str">
        <x:f>_xlfn.XLOOKUP($A11&amp;"|"&amp;$G11,'試行能力狀態'!$L$7:$L$258,'試行能力狀態'!$E$7:$E$258,"未評估",0)</x:f>
        <x:v>◎</x:v>
      </x:c>
      <x:c r="M11" s="48" t="str">
        <x:f>_xlfn.XLOOKUP($A11&amp;"|"&amp;$G11,'試行能力狀態'!$L$7:$L$258,'試行能力狀態'!$F$7:$F$258,"未建立",0)</x:f>
        <x:v>待主管核定</x:v>
      </x:c>
      <x:c r="N11" s="48" t="str">
        <x:f>IF($L11="◎","符合獨立",IF($L11="Ø","符合條件","不符合"))</x:f>
        <x:v>符合獨立</x:v>
      </x:c>
      <x:c r="O11" s="48" t="str">
        <x:f>_xlfn.XLOOKUP($A11&amp;"|李侑津醫師",'試行熟悉度'!$K$7:$K$20,'試行熟悉度'!$E$7:$E$20,"未評估",0)</x:f>
        <x:v>可獨立配合</x:v>
      </x:c>
      <x:c r="P11" s="48" t="str">
        <x:f>_xlfn.XLOOKUP($A11&amp;"|李侑津醫師",'試行熟悉度'!$K$7:$K$20,'試行熟悉度'!$F$7:$F$20,"未建立",0)</x:f>
        <x:v>待主管核定</x:v>
      </x:c>
      <x:c r="Q11" s="39" t="str">
        <x:v>依一般支援名額</x:v>
      </x:c>
    </x:row>
    <x:row r="12">
      <x:c r="A12" s="37" t="str">
        <x:v>1001</x:v>
      </x:c>
      <x:c r="B12" s="37" t="str"/>
      <x:c r="C12" s="37" t="str">
        <x:v>LJT-FILLING</x:v>
      </x:c>
      <x:c r="D12" s="37" t="str">
        <x:v>補牙</x:v>
      </x:c>
      <x:c r="E12" s="37" t="str">
        <x:v>一般</x:v>
      </x:c>
      <x:c r="F12" s="37" t="str">
        <x:v>一般</x:v>
      </x:c>
      <x:c r="G12" s="37" t="str">
        <x:v>COMMON-RECORD</x:v>
      </x:c>
      <x:c r="H12" s="37" t="str">
        <x:v>待確認</x:v>
      </x:c>
      <x:c r="I12" s="37" t="str">
        <x:f>_xlfn.XLOOKUP($C12&amp;"|"&amp;$G12,'李醫師能力要求'!$M$7:$M$59,'李醫師能力要求'!$K$7:$K$59,"待確認",0)</x:f>
        <x:v>待確認</x:v>
      </x:c>
      <x:c r="J12" s="37" t="str">
        <x:v>◎</x:v>
      </x:c>
      <x:c r="K12" s="37" t="str">
        <x:v>Ø</x:v>
      </x:c>
      <x:c r="L12" s="48" t="str">
        <x:f>_xlfn.XLOOKUP($A12&amp;"|"&amp;$G12,'試行能力狀態'!$L$7:$L$258,'試行能力狀態'!$E$7:$E$258,"未評估",0)</x:f>
        <x:v>◎</x:v>
      </x:c>
      <x:c r="M12" s="48" t="str">
        <x:f>_xlfn.XLOOKUP($A12&amp;"|"&amp;$G12,'試行能力狀態'!$L$7:$L$258,'試行能力狀態'!$F$7:$F$258,"未建立",0)</x:f>
        <x:v>待主管核定</x:v>
      </x:c>
      <x:c r="N12" s="48" t="str">
        <x:f>IF($L12="◎","符合獨立",IF($L12="Ø","符合條件","不符合"))</x:f>
        <x:v>符合獨立</x:v>
      </x:c>
      <x:c r="O12" s="48" t="str">
        <x:f>_xlfn.XLOOKUP($A12&amp;"|李侑津醫師",'試行熟悉度'!$K$7:$K$20,'試行熟悉度'!$E$7:$E$20,"未評估",0)</x:f>
        <x:v>可獨立配合</x:v>
      </x:c>
      <x:c r="P12" s="48" t="str">
        <x:f>_xlfn.XLOOKUP($A12&amp;"|李侑津醫師",'試行熟悉度'!$K$7:$K$20,'試行熟悉度'!$F$7:$F$20,"未建立",0)</x:f>
        <x:v>待主管核定</x:v>
      </x:c>
      <x:c r="Q12" s="39" t="str">
        <x:v>確認後才納入自動判定</x:v>
      </x:c>
    </x:row>
    <x:row r="13">
      <x:c r="A13" s="37" t="str">
        <x:v>1001</x:v>
      </x:c>
      <x:c r="B13" s="37" t="str"/>
      <x:c r="C13" s="37" t="str">
        <x:v>LJT-FILLING</x:v>
      </x:c>
      <x:c r="D13" s="37" t="str">
        <x:v>補牙</x:v>
      </x:c>
      <x:c r="E13" s="37" t="str">
        <x:v>一般</x:v>
      </x:c>
      <x:c r="F13" s="37" t="str">
        <x:v>一般</x:v>
      </x:c>
      <x:c r="G13" s="37" t="str">
        <x:v>COMMON-INSURANCE</x:v>
      </x:c>
      <x:c r="H13" s="37" t="str">
        <x:v>待確認</x:v>
      </x:c>
      <x:c r="I13" s="37" t="str">
        <x:f>_xlfn.XLOOKUP($C13&amp;"|"&amp;$G13,'李醫師能力要求'!$M$7:$M$59,'李醫師能力要求'!$K$7:$K$59,"待確認",0)</x:f>
        <x:v>待確認</x:v>
      </x:c>
      <x:c r="J13" s="37" t="str">
        <x:v>◎</x:v>
      </x:c>
      <x:c r="K13" s="37" t="str">
        <x:v>Ø</x:v>
      </x:c>
      <x:c r="L13" s="48" t="str">
        <x:f>_xlfn.XLOOKUP($A13&amp;"|"&amp;$G13,'試行能力狀態'!$L$7:$L$258,'試行能力狀態'!$E$7:$E$258,"未評估",0)</x:f>
        <x:v>◎</x:v>
      </x:c>
      <x:c r="M13" s="48" t="str">
        <x:f>_xlfn.XLOOKUP($A13&amp;"|"&amp;$G13,'試行能力狀態'!$L$7:$L$258,'試行能力狀態'!$F$7:$F$258,"未建立",0)</x:f>
        <x:v>待主管核定</x:v>
      </x:c>
      <x:c r="N13" s="48" t="str">
        <x:f>IF($L13="◎","符合獨立",IF($L13="Ø","符合條件","不符合"))</x:f>
        <x:v>符合獨立</x:v>
      </x:c>
      <x:c r="O13" s="48" t="str">
        <x:f>_xlfn.XLOOKUP($A13&amp;"|李侑津醫師",'試行熟悉度'!$K$7:$K$20,'試行熟悉度'!$E$7:$E$20,"未評估",0)</x:f>
        <x:v>可獨立配合</x:v>
      </x:c>
      <x:c r="P13" s="48" t="str">
        <x:f>_xlfn.XLOOKUP($A13&amp;"|李侑津醫師",'試行熟悉度'!$K$7:$K$20,'試行熟悉度'!$F$7:$F$20,"未建立",0)</x:f>
        <x:v>待主管核定</x:v>
      </x:c>
      <x:c r="Q13" s="39" t="str">
        <x:v>確認後才納入自動判定</x:v>
      </x:c>
    </x:row>
    <x:row r="14">
      <x:c r="A14" s="37" t="str">
        <x:v>1001</x:v>
      </x:c>
      <x:c r="B14" s="37" t="str"/>
      <x:c r="C14" s="37" t="str">
        <x:v>LJT-FILLING</x:v>
      </x:c>
      <x:c r="D14" s="37" t="str">
        <x:v>補牙</x:v>
      </x:c>
      <x:c r="E14" s="37" t="str">
        <x:v>一般</x:v>
      </x:c>
      <x:c r="F14" s="37" t="str">
        <x:v>一般</x:v>
      </x:c>
      <x:c r="G14" s="37" t="str">
        <x:v>COMMON-XRAY-RECORD</x:v>
      </x:c>
      <x:c r="H14" s="37" t="str">
        <x:v>待確認</x:v>
      </x:c>
      <x:c r="I14" s="37" t="str">
        <x:f>_xlfn.XLOOKUP($C14&amp;"|"&amp;$G14,'李醫師能力要求'!$M$7:$M$59,'李醫師能力要求'!$K$7:$K$59,"待確認",0)</x:f>
        <x:v>待確認</x:v>
      </x:c>
      <x:c r="J14" s="37" t="str">
        <x:v>◎</x:v>
      </x:c>
      <x:c r="K14" s="37" t="str">
        <x:v>Ø</x:v>
      </x:c>
      <x:c r="L14" s="48" t="str">
        <x:f>_xlfn.XLOOKUP($A14&amp;"|"&amp;$G14,'試行能力狀態'!$L$7:$L$258,'試行能力狀態'!$E$7:$E$258,"未評估",0)</x:f>
        <x:v>◎</x:v>
      </x:c>
      <x:c r="M14" s="48" t="str">
        <x:f>_xlfn.XLOOKUP($A14&amp;"|"&amp;$G14,'試行能力狀態'!$L$7:$L$258,'試行能力狀態'!$F$7:$F$258,"未建立",0)</x:f>
        <x:v>待主管核定</x:v>
      </x:c>
      <x:c r="N14" s="48" t="str">
        <x:f>IF($L14="◎","符合獨立",IF($L14="Ø","符合條件","不符合"))</x:f>
        <x:v>符合獨立</x:v>
      </x:c>
      <x:c r="O14" s="48" t="str">
        <x:f>_xlfn.XLOOKUP($A14&amp;"|李侑津醫師",'試行熟悉度'!$K$7:$K$20,'試行熟悉度'!$E$7:$E$20,"未評估",0)</x:f>
        <x:v>可獨立配合</x:v>
      </x:c>
      <x:c r="P14" s="48" t="str">
        <x:f>_xlfn.XLOOKUP($A14&amp;"|李侑津醫師",'試行熟悉度'!$K$7:$K$20,'試行熟悉度'!$F$7:$F$20,"未建立",0)</x:f>
        <x:v>待主管核定</x:v>
      </x:c>
      <x:c r="Q14" s="39" t="str">
        <x:v>確認後才納入自動判定</x:v>
      </x:c>
    </x:row>
    <x:row r="15">
      <x:c r="A15" s="37" t="str">
        <x:v>1001</x:v>
      </x:c>
      <x:c r="B15" s="37" t="str"/>
      <x:c r="C15" s="37" t="str">
        <x:v>LJT-PERIO</x:v>
      </x:c>
      <x:c r="D15" s="37" t="str">
        <x:v>牙周統合</x:v>
      </x:c>
      <x:c r="E15" s="37" t="str">
        <x:v>一般</x:v>
      </x:c>
      <x:c r="F15" s="37" t="str">
        <x:v>一般</x:v>
      </x:c>
      <x:c r="G15" s="37" t="str">
        <x:v>LJT-PREP-PERIO</x:v>
      </x:c>
      <x:c r="H15" s="37" t="str">
        <x:v>必備</x:v>
      </x:c>
      <x:c r="I15" s="37" t="str">
        <x:f>_xlfn.XLOOKUP($C15&amp;"|"&amp;$G15,'李醫師能力要求'!$M$7:$M$59,'李醫師能力要求'!$K$7:$K$59,"待確認",0)</x:f>
        <x:v>已確認</x:v>
      </x:c>
      <x:c r="J15" s="37" t="str">
        <x:v>◎</x:v>
      </x:c>
      <x:c r="K15" s="37" t="str">
        <x:v>Ø</x:v>
      </x:c>
      <x:c r="L15" s="48" t="str">
        <x:f>_xlfn.XLOOKUP($A15&amp;"|"&amp;$G15,'試行能力狀態'!$L$7:$L$258,'試行能力狀態'!$E$7:$E$258,"未評估",0)</x:f>
        <x:v>◎</x:v>
      </x:c>
      <x:c r="M15" s="48" t="str">
        <x:f>_xlfn.XLOOKUP($A15&amp;"|"&amp;$G15,'試行能力狀態'!$L$7:$L$258,'試行能力狀態'!$F$7:$F$258,"未建立",0)</x:f>
        <x:v>待主管核定</x:v>
      </x:c>
      <x:c r="N15" s="48" t="str">
        <x:f>IF($L15="◎","符合獨立",IF($L15="Ø","符合條件","不符合"))</x:f>
        <x:v>符合獨立</x:v>
      </x:c>
      <x:c r="O15" s="48" t="str">
        <x:f>_xlfn.XLOOKUP($A15&amp;"|李侑津醫師",'試行熟悉度'!$K$7:$K$20,'試行熟悉度'!$E$7:$E$20,"未評估",0)</x:f>
        <x:v>可獨立配合</x:v>
      </x:c>
      <x:c r="P15" s="48" t="str">
        <x:f>_xlfn.XLOOKUP($A15&amp;"|李侑津醫師",'試行熟悉度'!$K$7:$K$20,'試行熟悉度'!$F$7:$F$20,"未建立",0)</x:f>
        <x:v>待主管核定</x:v>
      </x:c>
      <x:c r="Q15" s="39" t="str">
        <x:v>依一般支援名額</x:v>
      </x:c>
    </x:row>
    <x:row r="16">
      <x:c r="A16" s="37" t="str">
        <x:v>1001</x:v>
      </x:c>
      <x:c r="B16" s="37" t="str"/>
      <x:c r="C16" s="37" t="str">
        <x:v>LJT-PERIO</x:v>
      </x:c>
      <x:c r="D16" s="37" t="str">
        <x:v>牙周統合</x:v>
      </x:c>
      <x:c r="E16" s="37" t="str">
        <x:v>一般</x:v>
      </x:c>
      <x:c r="F16" s="37" t="str">
        <x:v>一般</x:v>
      </x:c>
      <x:c r="G16" s="37" t="str">
        <x:v>COMMON-RECORD</x:v>
      </x:c>
      <x:c r="H16" s="37" t="str">
        <x:v>待確認</x:v>
      </x:c>
      <x:c r="I16" s="37" t="str">
        <x:f>_xlfn.XLOOKUP($C16&amp;"|"&amp;$G16,'李醫師能力要求'!$M$7:$M$59,'李醫師能力要求'!$K$7:$K$59,"待確認",0)</x:f>
        <x:v>待確認</x:v>
      </x:c>
      <x:c r="J16" s="37" t="str">
        <x:v>◎</x:v>
      </x:c>
      <x:c r="K16" s="37" t="str">
        <x:v>Ø</x:v>
      </x:c>
      <x:c r="L16" s="48" t="str">
        <x:f>_xlfn.XLOOKUP($A16&amp;"|"&amp;$G16,'試行能力狀態'!$L$7:$L$258,'試行能力狀態'!$E$7:$E$258,"未評估",0)</x:f>
        <x:v>◎</x:v>
      </x:c>
      <x:c r="M16" s="48" t="str">
        <x:f>_xlfn.XLOOKUP($A16&amp;"|"&amp;$G16,'試行能力狀態'!$L$7:$L$258,'試行能力狀態'!$F$7:$F$258,"未建立",0)</x:f>
        <x:v>待主管核定</x:v>
      </x:c>
      <x:c r="N16" s="48" t="str">
        <x:f>IF($L16="◎","符合獨立",IF($L16="Ø","符合條件","不符合"))</x:f>
        <x:v>符合獨立</x:v>
      </x:c>
      <x:c r="O16" s="48" t="str">
        <x:f>_xlfn.XLOOKUP($A16&amp;"|李侑津醫師",'試行熟悉度'!$K$7:$K$20,'試行熟悉度'!$E$7:$E$20,"未評估",0)</x:f>
        <x:v>可獨立配合</x:v>
      </x:c>
      <x:c r="P16" s="48" t="str">
        <x:f>_xlfn.XLOOKUP($A16&amp;"|李侑津醫師",'試行熟悉度'!$K$7:$K$20,'試行熟悉度'!$F$7:$F$20,"未建立",0)</x:f>
        <x:v>待主管核定</x:v>
      </x:c>
      <x:c r="Q16" s="39" t="str">
        <x:v>確認後才納入自動判定</x:v>
      </x:c>
    </x:row>
    <x:row r="17">
      <x:c r="A17" s="37" t="str">
        <x:v>1001</x:v>
      </x:c>
      <x:c r="B17" s="37" t="str"/>
      <x:c r="C17" s="37" t="str">
        <x:v>LJT-PERIO</x:v>
      </x:c>
      <x:c r="D17" s="37" t="str">
        <x:v>牙周統合</x:v>
      </x:c>
      <x:c r="E17" s="37" t="str">
        <x:v>一般</x:v>
      </x:c>
      <x:c r="F17" s="37" t="str">
        <x:v>一般</x:v>
      </x:c>
      <x:c r="G17" s="37" t="str">
        <x:v>COMMON-INSURANCE</x:v>
      </x:c>
      <x:c r="H17" s="37" t="str">
        <x:v>待確認</x:v>
      </x:c>
      <x:c r="I17" s="37" t="str">
        <x:f>_xlfn.XLOOKUP($C17&amp;"|"&amp;$G17,'李醫師能力要求'!$M$7:$M$59,'李醫師能力要求'!$K$7:$K$59,"待確認",0)</x:f>
        <x:v>待確認</x:v>
      </x:c>
      <x:c r="J17" s="37" t="str">
        <x:v>◎</x:v>
      </x:c>
      <x:c r="K17" s="37" t="str">
        <x:v>Ø</x:v>
      </x:c>
      <x:c r="L17" s="48" t="str">
        <x:f>_xlfn.XLOOKUP($A17&amp;"|"&amp;$G17,'試行能力狀態'!$L$7:$L$258,'試行能力狀態'!$E$7:$E$258,"未評估",0)</x:f>
        <x:v>◎</x:v>
      </x:c>
      <x:c r="M17" s="48" t="str">
        <x:f>_xlfn.XLOOKUP($A17&amp;"|"&amp;$G17,'試行能力狀態'!$L$7:$L$258,'試行能力狀態'!$F$7:$F$258,"未建立",0)</x:f>
        <x:v>待主管核定</x:v>
      </x:c>
      <x:c r="N17" s="48" t="str">
        <x:f>IF($L17="◎","符合獨立",IF($L17="Ø","符合條件","不符合"))</x:f>
        <x:v>符合獨立</x:v>
      </x:c>
      <x:c r="O17" s="48" t="str">
        <x:f>_xlfn.XLOOKUP($A17&amp;"|李侑津醫師",'試行熟悉度'!$K$7:$K$20,'試行熟悉度'!$E$7:$E$20,"未評估",0)</x:f>
        <x:v>可獨立配合</x:v>
      </x:c>
      <x:c r="P17" s="48" t="str">
        <x:f>_xlfn.XLOOKUP($A17&amp;"|李侑津醫師",'試行熟悉度'!$K$7:$K$20,'試行熟悉度'!$F$7:$F$20,"未建立",0)</x:f>
        <x:v>待主管核定</x:v>
      </x:c>
      <x:c r="Q17" s="39" t="str">
        <x:v>確認後才納入自動判定</x:v>
      </x:c>
    </x:row>
    <x:row r="18">
      <x:c r="A18" s="37" t="str">
        <x:v>1001</x:v>
      </x:c>
      <x:c r="B18" s="37" t="str"/>
      <x:c r="C18" s="37" t="str">
        <x:v>LJT-PERIO</x:v>
      </x:c>
      <x:c r="D18" s="37" t="str">
        <x:v>牙周統合</x:v>
      </x:c>
      <x:c r="E18" s="37" t="str">
        <x:v>一般</x:v>
      </x:c>
      <x:c r="F18" s="37" t="str">
        <x:v>一般</x:v>
      </x:c>
      <x:c r="G18" s="37" t="str">
        <x:v>COMMON-XRAY-RECORD</x:v>
      </x:c>
      <x:c r="H18" s="37" t="str">
        <x:v>待確認</x:v>
      </x:c>
      <x:c r="I18" s="37" t="str">
        <x:f>_xlfn.XLOOKUP($C18&amp;"|"&amp;$G18,'李醫師能力要求'!$M$7:$M$59,'李醫師能力要求'!$K$7:$K$59,"待確認",0)</x:f>
        <x:v>待確認</x:v>
      </x:c>
      <x:c r="J18" s="37" t="str">
        <x:v>◎</x:v>
      </x:c>
      <x:c r="K18" s="37" t="str">
        <x:v>Ø</x:v>
      </x:c>
      <x:c r="L18" s="48" t="str">
        <x:f>_xlfn.XLOOKUP($A18&amp;"|"&amp;$G18,'試行能力狀態'!$L$7:$L$258,'試行能力狀態'!$E$7:$E$258,"未評估",0)</x:f>
        <x:v>◎</x:v>
      </x:c>
      <x:c r="M18" s="48" t="str">
        <x:f>_xlfn.XLOOKUP($A18&amp;"|"&amp;$G18,'試行能力狀態'!$L$7:$L$258,'試行能力狀態'!$F$7:$F$258,"未建立",0)</x:f>
        <x:v>待主管核定</x:v>
      </x:c>
      <x:c r="N18" s="48" t="str">
        <x:f>IF($L18="◎","符合獨立",IF($L18="Ø","符合條件","不符合"))</x:f>
        <x:v>符合獨立</x:v>
      </x:c>
      <x:c r="O18" s="48" t="str">
        <x:f>_xlfn.XLOOKUP($A18&amp;"|李侑津醫師",'試行熟悉度'!$K$7:$K$20,'試行熟悉度'!$E$7:$E$20,"未評估",0)</x:f>
        <x:v>可獨立配合</x:v>
      </x:c>
      <x:c r="P18" s="48" t="str">
        <x:f>_xlfn.XLOOKUP($A18&amp;"|李侑津醫師",'試行熟悉度'!$K$7:$K$20,'試行熟悉度'!$F$7:$F$20,"未建立",0)</x:f>
        <x:v>待主管核定</x:v>
      </x:c>
      <x:c r="Q18" s="39" t="str">
        <x:v>確認後才納入自動判定</x:v>
      </x:c>
    </x:row>
    <x:row r="19">
      <x:c r="A19" s="37" t="str">
        <x:v>1001</x:v>
      </x:c>
      <x:c r="B19" s="37" t="str"/>
      <x:c r="C19" s="37" t="str">
        <x:v>LJT-RCT</x:v>
      </x:c>
      <x:c r="D19" s="37" t="str">
        <x:v>一般根管治療</x:v>
      </x:c>
      <x:c r="E19" s="37" t="str">
        <x:v>一般</x:v>
      </x:c>
      <x:c r="F19" s="37" t="str">
        <x:v>一般</x:v>
      </x:c>
      <x:c r="G19" s="37" t="str">
        <x:v>LJT-PREP-RCT</x:v>
      </x:c>
      <x:c r="H19" s="37" t="str">
        <x:v>必備</x:v>
      </x:c>
      <x:c r="I19" s="37" t="str">
        <x:f>_xlfn.XLOOKUP($C19&amp;"|"&amp;$G19,'李醫師能力要求'!$M$7:$M$59,'李醫師能力要求'!$K$7:$K$59,"待確認",0)</x:f>
        <x:v>已確認</x:v>
      </x:c>
      <x:c r="J19" s="37" t="str">
        <x:v>◎</x:v>
      </x:c>
      <x:c r="K19" s="37" t="str">
        <x:v>Ø</x:v>
      </x:c>
      <x:c r="L19" s="48" t="str">
        <x:f>_xlfn.XLOOKUP($A19&amp;"|"&amp;$G19,'試行能力狀態'!$L$7:$L$258,'試行能力狀態'!$E$7:$E$258,"未評估",0)</x:f>
        <x:v>◎</x:v>
      </x:c>
      <x:c r="M19" s="48" t="str">
        <x:f>_xlfn.XLOOKUP($A19&amp;"|"&amp;$G19,'試行能力狀態'!$L$7:$L$258,'試行能力狀態'!$F$7:$F$258,"未建立",0)</x:f>
        <x:v>待主管核定</x:v>
      </x:c>
      <x:c r="N19" s="48" t="str">
        <x:f>IF($L19="◎","符合獨立",IF($L19="Ø","符合條件","不符合"))</x:f>
        <x:v>符合獨立</x:v>
      </x:c>
      <x:c r="O19" s="48" t="str">
        <x:f>_xlfn.XLOOKUP($A19&amp;"|李侑津醫師",'試行熟悉度'!$K$7:$K$20,'試行熟悉度'!$E$7:$E$20,"未評估",0)</x:f>
        <x:v>可獨立配合</x:v>
      </x:c>
      <x:c r="P19" s="48" t="str">
        <x:f>_xlfn.XLOOKUP($A19&amp;"|李侑津醫師",'試行熟悉度'!$K$7:$K$20,'試行熟悉度'!$F$7:$F$20,"未建立",0)</x:f>
        <x:v>待主管核定</x:v>
      </x:c>
      <x:c r="Q19" s="39" t="str">
        <x:v>依一般支援名額</x:v>
      </x:c>
    </x:row>
    <x:row r="20">
      <x:c r="A20" s="37" t="str">
        <x:v>1001</x:v>
      </x:c>
      <x:c r="B20" s="37" t="str"/>
      <x:c r="C20" s="37" t="str">
        <x:v>LJT-RCT</x:v>
      </x:c>
      <x:c r="D20" s="37" t="str">
        <x:v>一般根管治療</x:v>
      </x:c>
      <x:c r="E20" s="37" t="str">
        <x:v>一般</x:v>
      </x:c>
      <x:c r="F20" s="37" t="str">
        <x:v>一般</x:v>
      </x:c>
      <x:c r="G20" s="37" t="str">
        <x:v>COMMON-RECORD</x:v>
      </x:c>
      <x:c r="H20" s="37" t="str">
        <x:v>待確認</x:v>
      </x:c>
      <x:c r="I20" s="37" t="str">
        <x:f>_xlfn.XLOOKUP($C20&amp;"|"&amp;$G20,'李醫師能力要求'!$M$7:$M$59,'李醫師能力要求'!$K$7:$K$59,"待確認",0)</x:f>
        <x:v>待確認</x:v>
      </x:c>
      <x:c r="J20" s="37" t="str">
        <x:v>◎</x:v>
      </x:c>
      <x:c r="K20" s="37" t="str">
        <x:v>Ø</x:v>
      </x:c>
      <x:c r="L20" s="48" t="str">
        <x:f>_xlfn.XLOOKUP($A20&amp;"|"&amp;$G20,'試行能力狀態'!$L$7:$L$258,'試行能力狀態'!$E$7:$E$258,"未評估",0)</x:f>
        <x:v>◎</x:v>
      </x:c>
      <x:c r="M20" s="48" t="str">
        <x:f>_xlfn.XLOOKUP($A20&amp;"|"&amp;$G20,'試行能力狀態'!$L$7:$L$258,'試行能力狀態'!$F$7:$F$258,"未建立",0)</x:f>
        <x:v>待主管核定</x:v>
      </x:c>
      <x:c r="N20" s="48" t="str">
        <x:f>IF($L20="◎","符合獨立",IF($L20="Ø","符合條件","不符合"))</x:f>
        <x:v>符合獨立</x:v>
      </x:c>
      <x:c r="O20" s="48" t="str">
        <x:f>_xlfn.XLOOKUP($A20&amp;"|李侑津醫師",'試行熟悉度'!$K$7:$K$20,'試行熟悉度'!$E$7:$E$20,"未評估",0)</x:f>
        <x:v>可獨立配合</x:v>
      </x:c>
      <x:c r="P20" s="48" t="str">
        <x:f>_xlfn.XLOOKUP($A20&amp;"|李侑津醫師",'試行熟悉度'!$K$7:$K$20,'試行熟悉度'!$F$7:$F$20,"未建立",0)</x:f>
        <x:v>待主管核定</x:v>
      </x:c>
      <x:c r="Q20" s="39" t="str">
        <x:v>確認後才納入自動判定</x:v>
      </x:c>
    </x:row>
    <x:row r="21">
      <x:c r="A21" s="37" t="str">
        <x:v>1001</x:v>
      </x:c>
      <x:c r="B21" s="37" t="str"/>
      <x:c r="C21" s="37" t="str">
        <x:v>LJT-RCT</x:v>
      </x:c>
      <x:c r="D21" s="37" t="str">
        <x:v>一般根管治療</x:v>
      </x:c>
      <x:c r="E21" s="37" t="str">
        <x:v>一般</x:v>
      </x:c>
      <x:c r="F21" s="37" t="str">
        <x:v>一般</x:v>
      </x:c>
      <x:c r="G21" s="37" t="str">
        <x:v>COMMON-INSURANCE</x:v>
      </x:c>
      <x:c r="H21" s="37" t="str">
        <x:v>待確認</x:v>
      </x:c>
      <x:c r="I21" s="37" t="str">
        <x:f>_xlfn.XLOOKUP($C21&amp;"|"&amp;$G21,'李醫師能力要求'!$M$7:$M$59,'李醫師能力要求'!$K$7:$K$59,"待確認",0)</x:f>
        <x:v>待確認</x:v>
      </x:c>
      <x:c r="J21" s="37" t="str">
        <x:v>◎</x:v>
      </x:c>
      <x:c r="K21" s="37" t="str">
        <x:v>Ø</x:v>
      </x:c>
      <x:c r="L21" s="48" t="str">
        <x:f>_xlfn.XLOOKUP($A21&amp;"|"&amp;$G21,'試行能力狀態'!$L$7:$L$258,'試行能力狀態'!$E$7:$E$258,"未評估",0)</x:f>
        <x:v>◎</x:v>
      </x:c>
      <x:c r="M21" s="48" t="str">
        <x:f>_xlfn.XLOOKUP($A21&amp;"|"&amp;$G21,'試行能力狀態'!$L$7:$L$258,'試行能力狀態'!$F$7:$F$258,"未建立",0)</x:f>
        <x:v>待主管核定</x:v>
      </x:c>
      <x:c r="N21" s="48" t="str">
        <x:f>IF($L21="◎","符合獨立",IF($L21="Ø","符合條件","不符合"))</x:f>
        <x:v>符合獨立</x:v>
      </x:c>
      <x:c r="O21" s="48" t="str">
        <x:f>_xlfn.XLOOKUP($A21&amp;"|李侑津醫師",'試行熟悉度'!$K$7:$K$20,'試行熟悉度'!$E$7:$E$20,"未評估",0)</x:f>
        <x:v>可獨立配合</x:v>
      </x:c>
      <x:c r="P21" s="48" t="str">
        <x:f>_xlfn.XLOOKUP($A21&amp;"|李侑津醫師",'試行熟悉度'!$K$7:$K$20,'試行熟悉度'!$F$7:$F$20,"未建立",0)</x:f>
        <x:v>待主管核定</x:v>
      </x:c>
      <x:c r="Q21" s="39" t="str">
        <x:v>確認後才納入自動判定</x:v>
      </x:c>
    </x:row>
    <x:row r="22">
      <x:c r="A22" s="37" t="str">
        <x:v>1001</x:v>
      </x:c>
      <x:c r="B22" s="37" t="str"/>
      <x:c r="C22" s="37" t="str">
        <x:v>LJT-RCT</x:v>
      </x:c>
      <x:c r="D22" s="37" t="str">
        <x:v>一般根管治療</x:v>
      </x:c>
      <x:c r="E22" s="37" t="str">
        <x:v>一般</x:v>
      </x:c>
      <x:c r="F22" s="37" t="str">
        <x:v>一般</x:v>
      </x:c>
      <x:c r="G22" s="37" t="str">
        <x:v>COMMON-XRAY-RECORD</x:v>
      </x:c>
      <x:c r="H22" s="37" t="str">
        <x:v>待確認</x:v>
      </x:c>
      <x:c r="I22" s="37" t="str">
        <x:f>_xlfn.XLOOKUP($C22&amp;"|"&amp;$G22,'李醫師能力要求'!$M$7:$M$59,'李醫師能力要求'!$K$7:$K$59,"待確認",0)</x:f>
        <x:v>待確認</x:v>
      </x:c>
      <x:c r="J22" s="37" t="str">
        <x:v>◎</x:v>
      </x:c>
      <x:c r="K22" s="37" t="str">
        <x:v>Ø</x:v>
      </x:c>
      <x:c r="L22" s="48" t="str">
        <x:f>_xlfn.XLOOKUP($A22&amp;"|"&amp;$G22,'試行能力狀態'!$L$7:$L$258,'試行能力狀態'!$E$7:$E$258,"未評估",0)</x:f>
        <x:v>◎</x:v>
      </x:c>
      <x:c r="M22" s="48" t="str">
        <x:f>_xlfn.XLOOKUP($A22&amp;"|"&amp;$G22,'試行能力狀態'!$L$7:$L$258,'試行能力狀態'!$F$7:$F$258,"未建立",0)</x:f>
        <x:v>待主管核定</x:v>
      </x:c>
      <x:c r="N22" s="48" t="str">
        <x:f>IF($L22="◎","符合獨立",IF($L22="Ø","符合條件","不符合"))</x:f>
        <x:v>符合獨立</x:v>
      </x:c>
      <x:c r="O22" s="48" t="str">
        <x:f>_xlfn.XLOOKUP($A22&amp;"|李侑津醫師",'試行熟悉度'!$K$7:$K$20,'試行熟悉度'!$E$7:$E$20,"未評估",0)</x:f>
        <x:v>可獨立配合</x:v>
      </x:c>
      <x:c r="P22" s="48" t="str">
        <x:f>_xlfn.XLOOKUP($A22&amp;"|李侑津醫師",'試行熟悉度'!$K$7:$K$20,'試行熟悉度'!$F$7:$F$20,"未建立",0)</x:f>
        <x:v>待主管核定</x:v>
      </x:c>
      <x:c r="Q22" s="39" t="str">
        <x:v>確認後才納入自動判定</x:v>
      </x:c>
    </x:row>
    <x:row r="23">
      <x:c r="A23" s="37" t="str">
        <x:v>1001</x:v>
      </x:c>
      <x:c r="B23" s="37" t="str"/>
      <x:c r="C23" s="37" t="str">
        <x:v>LJT-EXTRACTION</x:v>
      </x:c>
      <x:c r="D23" s="37" t="str">
        <x:v>拔牙</x:v>
      </x:c>
      <x:c r="E23" s="37" t="str">
        <x:v>一般</x:v>
      </x:c>
      <x:c r="F23" s="37" t="str">
        <x:v>一般</x:v>
      </x:c>
      <x:c r="G23" s="37" t="str">
        <x:v>LJT-PREP-EXTRACTION</x:v>
      </x:c>
      <x:c r="H23" s="37" t="str">
        <x:v>必備</x:v>
      </x:c>
      <x:c r="I23" s="37" t="str">
        <x:f>_xlfn.XLOOKUP($C23&amp;"|"&amp;$G23,'李醫師能力要求'!$M$7:$M$59,'李醫師能力要求'!$K$7:$K$59,"待確認",0)</x:f>
        <x:v>已確認</x:v>
      </x:c>
      <x:c r="J23" s="37" t="str">
        <x:v>◎</x:v>
      </x:c>
      <x:c r="K23" s="37" t="str">
        <x:v>Ø</x:v>
      </x:c>
      <x:c r="L23" s="48" t="str">
        <x:f>_xlfn.XLOOKUP($A23&amp;"|"&amp;$G23,'試行能力狀態'!$L$7:$L$258,'試行能力狀態'!$E$7:$E$258,"未評估",0)</x:f>
        <x:v>◎</x:v>
      </x:c>
      <x:c r="M23" s="48" t="str">
        <x:f>_xlfn.XLOOKUP($A23&amp;"|"&amp;$G23,'試行能力狀態'!$L$7:$L$258,'試行能力狀態'!$F$7:$F$258,"未建立",0)</x:f>
        <x:v>待主管核定</x:v>
      </x:c>
      <x:c r="N23" s="48" t="str">
        <x:f>IF($L23="◎","符合獨立",IF($L23="Ø","符合條件","不符合"))</x:f>
        <x:v>符合獨立</x:v>
      </x:c>
      <x:c r="O23" s="48" t="str">
        <x:f>_xlfn.XLOOKUP($A23&amp;"|李侑津醫師",'試行熟悉度'!$K$7:$K$20,'試行熟悉度'!$E$7:$E$20,"未評估",0)</x:f>
        <x:v>可獨立配合</x:v>
      </x:c>
      <x:c r="P23" s="48" t="str">
        <x:f>_xlfn.XLOOKUP($A23&amp;"|李侑津醫師",'試行熟悉度'!$K$7:$K$20,'試行熟悉度'!$F$7:$F$20,"未建立",0)</x:f>
        <x:v>待主管核定</x:v>
      </x:c>
      <x:c r="Q23" s="39" t="str">
        <x:v>依一般支援名額</x:v>
      </x:c>
    </x:row>
    <x:row r="24">
      <x:c r="A24" s="37" t="str">
        <x:v>1001</x:v>
      </x:c>
      <x:c r="B24" s="37" t="str"/>
      <x:c r="C24" s="37" t="str">
        <x:v>LJT-EXTRACTION</x:v>
      </x:c>
      <x:c r="D24" s="37" t="str">
        <x:v>拔牙</x:v>
      </x:c>
      <x:c r="E24" s="37" t="str">
        <x:v>一般</x:v>
      </x:c>
      <x:c r="F24" s="37" t="str">
        <x:v>一般</x:v>
      </x:c>
      <x:c r="G24" s="37" t="str">
        <x:v>COMMON-RECORD</x:v>
      </x:c>
      <x:c r="H24" s="37" t="str">
        <x:v>待確認</x:v>
      </x:c>
      <x:c r="I24" s="37" t="str">
        <x:f>_xlfn.XLOOKUP($C24&amp;"|"&amp;$G24,'李醫師能力要求'!$M$7:$M$59,'李醫師能力要求'!$K$7:$K$59,"待確認",0)</x:f>
        <x:v>待確認</x:v>
      </x:c>
      <x:c r="J24" s="37" t="str">
        <x:v>◎</x:v>
      </x:c>
      <x:c r="K24" s="37" t="str">
        <x:v>Ø</x:v>
      </x:c>
      <x:c r="L24" s="48" t="str">
        <x:f>_xlfn.XLOOKUP($A24&amp;"|"&amp;$G24,'試行能力狀態'!$L$7:$L$258,'試行能力狀態'!$E$7:$E$258,"未評估",0)</x:f>
        <x:v>◎</x:v>
      </x:c>
      <x:c r="M24" s="48" t="str">
        <x:f>_xlfn.XLOOKUP($A24&amp;"|"&amp;$G24,'試行能力狀態'!$L$7:$L$258,'試行能力狀態'!$F$7:$F$258,"未建立",0)</x:f>
        <x:v>待主管核定</x:v>
      </x:c>
      <x:c r="N24" s="48" t="str">
        <x:f>IF($L24="◎","符合獨立",IF($L24="Ø","符合條件","不符合"))</x:f>
        <x:v>符合獨立</x:v>
      </x:c>
      <x:c r="O24" s="48" t="str">
        <x:f>_xlfn.XLOOKUP($A24&amp;"|李侑津醫師",'試行熟悉度'!$K$7:$K$20,'試行熟悉度'!$E$7:$E$20,"未評估",0)</x:f>
        <x:v>可獨立配合</x:v>
      </x:c>
      <x:c r="P24" s="48" t="str">
        <x:f>_xlfn.XLOOKUP($A24&amp;"|李侑津醫師",'試行熟悉度'!$K$7:$K$20,'試行熟悉度'!$F$7:$F$20,"未建立",0)</x:f>
        <x:v>待主管核定</x:v>
      </x:c>
      <x:c r="Q24" s="39" t="str">
        <x:v>確認後才納入自動判定</x:v>
      </x:c>
    </x:row>
    <x:row r="25">
      <x:c r="A25" s="37" t="str">
        <x:v>1001</x:v>
      </x:c>
      <x:c r="B25" s="37" t="str"/>
      <x:c r="C25" s="37" t="str">
        <x:v>LJT-EXTRACTION</x:v>
      </x:c>
      <x:c r="D25" s="37" t="str">
        <x:v>拔牙</x:v>
      </x:c>
      <x:c r="E25" s="37" t="str">
        <x:v>一般</x:v>
      </x:c>
      <x:c r="F25" s="37" t="str">
        <x:v>一般</x:v>
      </x:c>
      <x:c r="G25" s="37" t="str">
        <x:v>COMMON-INSURANCE</x:v>
      </x:c>
      <x:c r="H25" s="37" t="str">
        <x:v>待確認</x:v>
      </x:c>
      <x:c r="I25" s="37" t="str">
        <x:f>_xlfn.XLOOKUP($C25&amp;"|"&amp;$G25,'李醫師能力要求'!$M$7:$M$59,'李醫師能力要求'!$K$7:$K$59,"待確認",0)</x:f>
        <x:v>待確認</x:v>
      </x:c>
      <x:c r="J25" s="37" t="str">
        <x:v>◎</x:v>
      </x:c>
      <x:c r="K25" s="37" t="str">
        <x:v>Ø</x:v>
      </x:c>
      <x:c r="L25" s="48" t="str">
        <x:f>_xlfn.XLOOKUP($A25&amp;"|"&amp;$G25,'試行能力狀態'!$L$7:$L$258,'試行能力狀態'!$E$7:$E$258,"未評估",0)</x:f>
        <x:v>◎</x:v>
      </x:c>
      <x:c r="M25" s="48" t="str">
        <x:f>_xlfn.XLOOKUP($A25&amp;"|"&amp;$G25,'試行能力狀態'!$L$7:$L$258,'試行能力狀態'!$F$7:$F$258,"未建立",0)</x:f>
        <x:v>待主管核定</x:v>
      </x:c>
      <x:c r="N25" s="48" t="str">
        <x:f>IF($L25="◎","符合獨立",IF($L25="Ø","符合條件","不符合"))</x:f>
        <x:v>符合獨立</x:v>
      </x:c>
      <x:c r="O25" s="48" t="str">
        <x:f>_xlfn.XLOOKUP($A25&amp;"|李侑津醫師",'試行熟悉度'!$K$7:$K$20,'試行熟悉度'!$E$7:$E$20,"未評估",0)</x:f>
        <x:v>可獨立配合</x:v>
      </x:c>
      <x:c r="P25" s="48" t="str">
        <x:f>_xlfn.XLOOKUP($A25&amp;"|李侑津醫師",'試行熟悉度'!$K$7:$K$20,'試行熟悉度'!$F$7:$F$20,"未建立",0)</x:f>
        <x:v>待主管核定</x:v>
      </x:c>
      <x:c r="Q25" s="39" t="str">
        <x:v>確認後才納入自動判定</x:v>
      </x:c>
    </x:row>
    <x:row r="26">
      <x:c r="A26" s="37" t="str">
        <x:v>1001</x:v>
      </x:c>
      <x:c r="B26" s="37" t="str"/>
      <x:c r="C26" s="37" t="str">
        <x:v>LJT-EXTRACTION</x:v>
      </x:c>
      <x:c r="D26" s="37" t="str">
        <x:v>拔牙</x:v>
      </x:c>
      <x:c r="E26" s="37" t="str">
        <x:v>一般</x:v>
      </x:c>
      <x:c r="F26" s="37" t="str">
        <x:v>一般</x:v>
      </x:c>
      <x:c r="G26" s="37" t="str">
        <x:v>COMMON-XRAY-RECORD</x:v>
      </x:c>
      <x:c r="H26" s="37" t="str">
        <x:v>待確認</x:v>
      </x:c>
      <x:c r="I26" s="37" t="str">
        <x:f>_xlfn.XLOOKUP($C26&amp;"|"&amp;$G26,'李醫師能力要求'!$M$7:$M$59,'李醫師能力要求'!$K$7:$K$59,"待確認",0)</x:f>
        <x:v>待確認</x:v>
      </x:c>
      <x:c r="J26" s="37" t="str">
        <x:v>◎</x:v>
      </x:c>
      <x:c r="K26" s="37" t="str">
        <x:v>Ø</x:v>
      </x:c>
      <x:c r="L26" s="48" t="str">
        <x:f>_xlfn.XLOOKUP($A26&amp;"|"&amp;$G26,'試行能力狀態'!$L$7:$L$258,'試行能力狀態'!$E$7:$E$258,"未評估",0)</x:f>
        <x:v>◎</x:v>
      </x:c>
      <x:c r="M26" s="48" t="str">
        <x:f>_xlfn.XLOOKUP($A26&amp;"|"&amp;$G26,'試行能力狀態'!$L$7:$L$258,'試行能力狀態'!$F$7:$F$258,"未建立",0)</x:f>
        <x:v>待主管核定</x:v>
      </x:c>
      <x:c r="N26" s="48" t="str">
        <x:f>IF($L26="◎","符合獨立",IF($L26="Ø","符合條件","不符合"))</x:f>
        <x:v>符合獨立</x:v>
      </x:c>
      <x:c r="O26" s="48" t="str">
        <x:f>_xlfn.XLOOKUP($A26&amp;"|李侑津醫師",'試行熟悉度'!$K$7:$K$20,'試行熟悉度'!$E$7:$E$20,"未評估",0)</x:f>
        <x:v>可獨立配合</x:v>
      </x:c>
      <x:c r="P26" s="48" t="str">
        <x:f>_xlfn.XLOOKUP($A26&amp;"|李侑津醫師",'試行熟悉度'!$K$7:$K$20,'試行熟悉度'!$F$7:$F$20,"未建立",0)</x:f>
        <x:v>待主管核定</x:v>
      </x:c>
      <x:c r="Q26" s="39" t="str">
        <x:v>確認後才納入自動判定</x:v>
      </x:c>
    </x:row>
    <x:row r="27">
      <x:c r="A27" s="37" t="str">
        <x:v>1001</x:v>
      </x:c>
      <x:c r="B27" s="37" t="str"/>
      <x:c r="C27" s="37" t="str">
        <x:v>LJT-CROWNPOST</x:v>
      </x:c>
      <x:c r="D27" s="37" t="str">
        <x:v>拆 crown/post</x:v>
      </x:c>
      <x:c r="E27" s="37" t="str">
        <x:v>一般</x:v>
      </x:c>
      <x:c r="F27" s="37" t="str">
        <x:v>一般</x:v>
      </x:c>
      <x:c r="G27" s="37" t="str">
        <x:v>LJT-PREP-CROWNPOST</x:v>
      </x:c>
      <x:c r="H27" s="37" t="str">
        <x:v>必備</x:v>
      </x:c>
      <x:c r="I27" s="37" t="str">
        <x:f>_xlfn.XLOOKUP($C27&amp;"|"&amp;$G27,'李醫師能力要求'!$M$7:$M$59,'李醫師能力要求'!$K$7:$K$59,"待確認",0)</x:f>
        <x:v>已確認</x:v>
      </x:c>
      <x:c r="J27" s="37" t="str">
        <x:v>◎</x:v>
      </x:c>
      <x:c r="K27" s="37" t="str">
        <x:v>Ø</x:v>
      </x:c>
      <x:c r="L27" s="48" t="str">
        <x:f>_xlfn.XLOOKUP($A27&amp;"|"&amp;$G27,'試行能力狀態'!$L$7:$L$258,'試行能力狀態'!$E$7:$E$258,"未評估",0)</x:f>
        <x:v>◎</x:v>
      </x:c>
      <x:c r="M27" s="48" t="str">
        <x:f>_xlfn.XLOOKUP($A27&amp;"|"&amp;$G27,'試行能力狀態'!$L$7:$L$258,'試行能力狀態'!$F$7:$F$258,"未建立",0)</x:f>
        <x:v>待主管核定</x:v>
      </x:c>
      <x:c r="N27" s="48" t="str">
        <x:f>IF($L27="◎","符合獨立",IF($L27="Ø","符合條件","不符合"))</x:f>
        <x:v>符合獨立</x:v>
      </x:c>
      <x:c r="O27" s="48" t="str">
        <x:f>_xlfn.XLOOKUP($A27&amp;"|李侑津醫師",'試行熟悉度'!$K$7:$K$20,'試行熟悉度'!$E$7:$E$20,"未評估",0)</x:f>
        <x:v>可獨立配合</x:v>
      </x:c>
      <x:c r="P27" s="48" t="str">
        <x:f>_xlfn.XLOOKUP($A27&amp;"|李侑津醫師",'試行熟悉度'!$K$7:$K$20,'試行熟悉度'!$F$7:$F$20,"未建立",0)</x:f>
        <x:v>待主管核定</x:v>
      </x:c>
      <x:c r="Q27" s="39" t="str">
        <x:v>依一般支援名額</x:v>
      </x:c>
    </x:row>
    <x:row r="28">
      <x:c r="A28" s="37" t="str">
        <x:v>1001</x:v>
      </x:c>
      <x:c r="B28" s="37" t="str"/>
      <x:c r="C28" s="37" t="str">
        <x:v>LJT-CROWNPOST</x:v>
      </x:c>
      <x:c r="D28" s="37" t="str">
        <x:v>拆 crown/post</x:v>
      </x:c>
      <x:c r="E28" s="37" t="str">
        <x:v>一般</x:v>
      </x:c>
      <x:c r="F28" s="37" t="str">
        <x:v>一般</x:v>
      </x:c>
      <x:c r="G28" s="37" t="str">
        <x:v>COMMON-RECORD</x:v>
      </x:c>
      <x:c r="H28" s="37" t="str">
        <x:v>待確認</x:v>
      </x:c>
      <x:c r="I28" s="37" t="str">
        <x:f>_xlfn.XLOOKUP($C28&amp;"|"&amp;$G28,'李醫師能力要求'!$M$7:$M$59,'李醫師能力要求'!$K$7:$K$59,"待確認",0)</x:f>
        <x:v>待確認</x:v>
      </x:c>
      <x:c r="J28" s="37" t="str">
        <x:v>◎</x:v>
      </x:c>
      <x:c r="K28" s="37" t="str">
        <x:v>Ø</x:v>
      </x:c>
      <x:c r="L28" s="48" t="str">
        <x:f>_xlfn.XLOOKUP($A28&amp;"|"&amp;$G28,'試行能力狀態'!$L$7:$L$258,'試行能力狀態'!$E$7:$E$258,"未評估",0)</x:f>
        <x:v>◎</x:v>
      </x:c>
      <x:c r="M28" s="48" t="str">
        <x:f>_xlfn.XLOOKUP($A28&amp;"|"&amp;$G28,'試行能力狀態'!$L$7:$L$258,'試行能力狀態'!$F$7:$F$258,"未建立",0)</x:f>
        <x:v>待主管核定</x:v>
      </x:c>
      <x:c r="N28" s="48" t="str">
        <x:f>IF($L28="◎","符合獨立",IF($L28="Ø","符合條件","不符合"))</x:f>
        <x:v>符合獨立</x:v>
      </x:c>
      <x:c r="O28" s="48" t="str">
        <x:f>_xlfn.XLOOKUP($A28&amp;"|李侑津醫師",'試行熟悉度'!$K$7:$K$20,'試行熟悉度'!$E$7:$E$20,"未評估",0)</x:f>
        <x:v>可獨立配合</x:v>
      </x:c>
      <x:c r="P28" s="48" t="str">
        <x:f>_xlfn.XLOOKUP($A28&amp;"|李侑津醫師",'試行熟悉度'!$K$7:$K$20,'試行熟悉度'!$F$7:$F$20,"未建立",0)</x:f>
        <x:v>待主管核定</x:v>
      </x:c>
      <x:c r="Q28" s="39" t="str">
        <x:v>確認後才納入自動判定</x:v>
      </x:c>
    </x:row>
    <x:row r="29">
      <x:c r="A29" s="37" t="str">
        <x:v>1001</x:v>
      </x:c>
      <x:c r="B29" s="37" t="str"/>
      <x:c r="C29" s="37" t="str">
        <x:v>LJT-CROWNPOST</x:v>
      </x:c>
      <x:c r="D29" s="37" t="str">
        <x:v>拆 crown/post</x:v>
      </x:c>
      <x:c r="E29" s="37" t="str">
        <x:v>一般</x:v>
      </x:c>
      <x:c r="F29" s="37" t="str">
        <x:v>一般</x:v>
      </x:c>
      <x:c r="G29" s="37" t="str">
        <x:v>COMMON-INSURANCE</x:v>
      </x:c>
      <x:c r="H29" s="37" t="str">
        <x:v>待確認</x:v>
      </x:c>
      <x:c r="I29" s="37" t="str">
        <x:f>_xlfn.XLOOKUP($C29&amp;"|"&amp;$G29,'李醫師能力要求'!$M$7:$M$59,'李醫師能力要求'!$K$7:$K$59,"待確認",0)</x:f>
        <x:v>待確認</x:v>
      </x:c>
      <x:c r="J29" s="37" t="str">
        <x:v>◎</x:v>
      </x:c>
      <x:c r="K29" s="37" t="str">
        <x:v>Ø</x:v>
      </x:c>
      <x:c r="L29" s="48" t="str">
        <x:f>_xlfn.XLOOKUP($A29&amp;"|"&amp;$G29,'試行能力狀態'!$L$7:$L$258,'試行能力狀態'!$E$7:$E$258,"未評估",0)</x:f>
        <x:v>◎</x:v>
      </x:c>
      <x:c r="M29" s="48" t="str">
        <x:f>_xlfn.XLOOKUP($A29&amp;"|"&amp;$G29,'試行能力狀態'!$L$7:$L$258,'試行能力狀態'!$F$7:$F$258,"未建立",0)</x:f>
        <x:v>待主管核定</x:v>
      </x:c>
      <x:c r="N29" s="48" t="str">
        <x:f>IF($L29="◎","符合獨立",IF($L29="Ø","符合條件","不符合"))</x:f>
        <x:v>符合獨立</x:v>
      </x:c>
      <x:c r="O29" s="48" t="str">
        <x:f>_xlfn.XLOOKUP($A29&amp;"|李侑津醫師",'試行熟悉度'!$K$7:$K$20,'試行熟悉度'!$E$7:$E$20,"未評估",0)</x:f>
        <x:v>可獨立配合</x:v>
      </x:c>
      <x:c r="P29" s="48" t="str">
        <x:f>_xlfn.XLOOKUP($A29&amp;"|李侑津醫師",'試行熟悉度'!$K$7:$K$20,'試行熟悉度'!$F$7:$F$20,"未建立",0)</x:f>
        <x:v>待主管核定</x:v>
      </x:c>
      <x:c r="Q29" s="39" t="str">
        <x:v>確認後才納入自動判定</x:v>
      </x:c>
    </x:row>
    <x:row r="30">
      <x:c r="A30" s="37" t="str">
        <x:v>1001</x:v>
      </x:c>
      <x:c r="B30" s="37" t="str"/>
      <x:c r="C30" s="37" t="str">
        <x:v>LJT-CROWNPOST</x:v>
      </x:c>
      <x:c r="D30" s="37" t="str">
        <x:v>拆 crown/post</x:v>
      </x:c>
      <x:c r="E30" s="37" t="str">
        <x:v>一般</x:v>
      </x:c>
      <x:c r="F30" s="37" t="str">
        <x:v>一般</x:v>
      </x:c>
      <x:c r="G30" s="37" t="str">
        <x:v>COMMON-XRAY-RECORD</x:v>
      </x:c>
      <x:c r="H30" s="37" t="str">
        <x:v>待確認</x:v>
      </x:c>
      <x:c r="I30" s="37" t="str">
        <x:f>_xlfn.XLOOKUP($C30&amp;"|"&amp;$G30,'李醫師能力要求'!$M$7:$M$59,'李醫師能力要求'!$K$7:$K$59,"待確認",0)</x:f>
        <x:v>待確認</x:v>
      </x:c>
      <x:c r="J30" s="37" t="str">
        <x:v>◎</x:v>
      </x:c>
      <x:c r="K30" s="37" t="str">
        <x:v>Ø</x:v>
      </x:c>
      <x:c r="L30" s="48" t="str">
        <x:f>_xlfn.XLOOKUP($A30&amp;"|"&amp;$G30,'試行能力狀態'!$L$7:$L$258,'試行能力狀態'!$E$7:$E$258,"未評估",0)</x:f>
        <x:v>◎</x:v>
      </x:c>
      <x:c r="M30" s="48" t="str">
        <x:f>_xlfn.XLOOKUP($A30&amp;"|"&amp;$G30,'試行能力狀態'!$L$7:$L$258,'試行能力狀態'!$F$7:$F$258,"未建立",0)</x:f>
        <x:v>待主管核定</x:v>
      </x:c>
      <x:c r="N30" s="48" t="str">
        <x:f>IF($L30="◎","符合獨立",IF($L30="Ø","符合條件","不符合"))</x:f>
        <x:v>符合獨立</x:v>
      </x:c>
      <x:c r="O30" s="48" t="str">
        <x:f>_xlfn.XLOOKUP($A30&amp;"|李侑津醫師",'試行熟悉度'!$K$7:$K$20,'試行熟悉度'!$E$7:$E$20,"未評估",0)</x:f>
        <x:v>可獨立配合</x:v>
      </x:c>
      <x:c r="P30" s="48" t="str">
        <x:f>_xlfn.XLOOKUP($A30&amp;"|李侑津醫師",'試行熟悉度'!$K$7:$K$20,'試行熟悉度'!$F$7:$F$20,"未建立",0)</x:f>
        <x:v>待主管核定</x:v>
      </x:c>
      <x:c r="Q30" s="39" t="str">
        <x:v>確認後才納入自動判定</x:v>
      </x:c>
    </x:row>
    <x:row r="31">
      <x:c r="A31" s="37" t="str">
        <x:v>1001</x:v>
      </x:c>
      <x:c r="B31" s="37" t="str"/>
      <x:c r="C31" s="37" t="str">
        <x:v>LJT-CROWN</x:v>
      </x:c>
      <x:c r="D31" s="37" t="str">
        <x:v>固定假牙</x:v>
      </x:c>
      <x:c r="E31" s="37" t="str">
        <x:v>一般</x:v>
      </x:c>
      <x:c r="F31" s="37" t="str">
        <x:v>一般</x:v>
      </x:c>
      <x:c r="G31" s="37" t="str">
        <x:v>LJT-PREP-CROWN</x:v>
      </x:c>
      <x:c r="H31" s="37" t="str">
        <x:v>必備</x:v>
      </x:c>
      <x:c r="I31" s="37" t="str">
        <x:f>_xlfn.XLOOKUP($C31&amp;"|"&amp;$G31,'李醫師能力要求'!$M$7:$M$59,'李醫師能力要求'!$K$7:$K$59,"待確認",0)</x:f>
        <x:v>已確認</x:v>
      </x:c>
      <x:c r="J31" s="37" t="str">
        <x:v>◎</x:v>
      </x:c>
      <x:c r="K31" s="37" t="str">
        <x:v>Ø</x:v>
      </x:c>
      <x:c r="L31" s="48" t="str">
        <x:f>_xlfn.XLOOKUP($A31&amp;"|"&amp;$G31,'試行能力狀態'!$L$7:$L$258,'試行能力狀態'!$E$7:$E$258,"未評估",0)</x:f>
        <x:v>◎</x:v>
      </x:c>
      <x:c r="M31" s="48" t="str">
        <x:f>_xlfn.XLOOKUP($A31&amp;"|"&amp;$G31,'試行能力狀態'!$L$7:$L$258,'試行能力狀態'!$F$7:$F$258,"未建立",0)</x:f>
        <x:v>待主管核定</x:v>
      </x:c>
      <x:c r="N31" s="48" t="str">
        <x:f>IF($L31="◎","符合獨立",IF($L31="Ø","符合條件","不符合"))</x:f>
        <x:v>符合獨立</x:v>
      </x:c>
      <x:c r="O31" s="48" t="str">
        <x:f>_xlfn.XLOOKUP($A31&amp;"|李侑津醫師",'試行熟悉度'!$K$7:$K$20,'試行熟悉度'!$E$7:$E$20,"未評估",0)</x:f>
        <x:v>可獨立配合</x:v>
      </x:c>
      <x:c r="P31" s="48" t="str">
        <x:f>_xlfn.XLOOKUP($A31&amp;"|李侑津醫師",'試行熟悉度'!$K$7:$K$20,'試行熟悉度'!$F$7:$F$20,"未建立",0)</x:f>
        <x:v>待主管核定</x:v>
      </x:c>
      <x:c r="Q31" s="39" t="str">
        <x:v>依一般支援名額</x:v>
      </x:c>
    </x:row>
    <x:row r="32">
      <x:c r="A32" s="37" t="str">
        <x:v>1001</x:v>
      </x:c>
      <x:c r="B32" s="37" t="str"/>
      <x:c r="C32" s="37" t="str">
        <x:v>LJT-CROWN</x:v>
      </x:c>
      <x:c r="D32" s="37" t="str">
        <x:v>固定假牙</x:v>
      </x:c>
      <x:c r="E32" s="37" t="str">
        <x:v>一般</x:v>
      </x:c>
      <x:c r="F32" s="37" t="str">
        <x:v>一般</x:v>
      </x:c>
      <x:c r="G32" s="37" t="str">
        <x:v>COMMON-RECORD</x:v>
      </x:c>
      <x:c r="H32" s="37" t="str">
        <x:v>待確認</x:v>
      </x:c>
      <x:c r="I32" s="37" t="str">
        <x:f>_xlfn.XLOOKUP($C32&amp;"|"&amp;$G32,'李醫師能力要求'!$M$7:$M$59,'李醫師能力要求'!$K$7:$K$59,"待確認",0)</x:f>
        <x:v>待確認</x:v>
      </x:c>
      <x:c r="J32" s="37" t="str">
        <x:v>◎</x:v>
      </x:c>
      <x:c r="K32" s="37" t="str">
        <x:v>Ø</x:v>
      </x:c>
      <x:c r="L32" s="48" t="str">
        <x:f>_xlfn.XLOOKUP($A32&amp;"|"&amp;$G32,'試行能力狀態'!$L$7:$L$258,'試行能力狀態'!$E$7:$E$258,"未評估",0)</x:f>
        <x:v>◎</x:v>
      </x:c>
      <x:c r="M32" s="48" t="str">
        <x:f>_xlfn.XLOOKUP($A32&amp;"|"&amp;$G32,'試行能力狀態'!$L$7:$L$258,'試行能力狀態'!$F$7:$F$258,"未建立",0)</x:f>
        <x:v>待主管核定</x:v>
      </x:c>
      <x:c r="N32" s="48" t="str">
        <x:f>IF($L32="◎","符合獨立",IF($L32="Ø","符合條件","不符合"))</x:f>
        <x:v>符合獨立</x:v>
      </x:c>
      <x:c r="O32" s="48" t="str">
        <x:f>_xlfn.XLOOKUP($A32&amp;"|李侑津醫師",'試行熟悉度'!$K$7:$K$20,'試行熟悉度'!$E$7:$E$20,"未評估",0)</x:f>
        <x:v>可獨立配合</x:v>
      </x:c>
      <x:c r="P32" s="48" t="str">
        <x:f>_xlfn.XLOOKUP($A32&amp;"|李侑津醫師",'試行熟悉度'!$K$7:$K$20,'試行熟悉度'!$F$7:$F$20,"未建立",0)</x:f>
        <x:v>待主管核定</x:v>
      </x:c>
      <x:c r="Q32" s="39" t="str">
        <x:v>確認後才納入自動判定</x:v>
      </x:c>
    </x:row>
    <x:row r="33">
      <x:c r="A33" s="37" t="str">
        <x:v>1001</x:v>
      </x:c>
      <x:c r="B33" s="37" t="str"/>
      <x:c r="C33" s="37" t="str">
        <x:v>LJT-CROWN</x:v>
      </x:c>
      <x:c r="D33" s="37" t="str">
        <x:v>固定假牙</x:v>
      </x:c>
      <x:c r="E33" s="37" t="str">
        <x:v>一般</x:v>
      </x:c>
      <x:c r="F33" s="37" t="str">
        <x:v>一般</x:v>
      </x:c>
      <x:c r="G33" s="37" t="str">
        <x:v>COMMON-INSURANCE</x:v>
      </x:c>
      <x:c r="H33" s="37" t="str">
        <x:v>待確認</x:v>
      </x:c>
      <x:c r="I33" s="37" t="str">
        <x:f>_xlfn.XLOOKUP($C33&amp;"|"&amp;$G33,'李醫師能力要求'!$M$7:$M$59,'李醫師能力要求'!$K$7:$K$59,"待確認",0)</x:f>
        <x:v>待確認</x:v>
      </x:c>
      <x:c r="J33" s="37" t="str">
        <x:v>◎</x:v>
      </x:c>
      <x:c r="K33" s="37" t="str">
        <x:v>Ø</x:v>
      </x:c>
      <x:c r="L33" s="48" t="str">
        <x:f>_xlfn.XLOOKUP($A33&amp;"|"&amp;$G33,'試行能力狀態'!$L$7:$L$258,'試行能力狀態'!$E$7:$E$258,"未評估",0)</x:f>
        <x:v>◎</x:v>
      </x:c>
      <x:c r="M33" s="48" t="str">
        <x:f>_xlfn.XLOOKUP($A33&amp;"|"&amp;$G33,'試行能力狀態'!$L$7:$L$258,'試行能力狀態'!$F$7:$F$258,"未建立",0)</x:f>
        <x:v>待主管核定</x:v>
      </x:c>
      <x:c r="N33" s="48" t="str">
        <x:f>IF($L33="◎","符合獨立",IF($L33="Ø","符合條件","不符合"))</x:f>
        <x:v>符合獨立</x:v>
      </x:c>
      <x:c r="O33" s="48" t="str">
        <x:f>_xlfn.XLOOKUP($A33&amp;"|李侑津醫師",'試行熟悉度'!$K$7:$K$20,'試行熟悉度'!$E$7:$E$20,"未評估",0)</x:f>
        <x:v>可獨立配合</x:v>
      </x:c>
      <x:c r="P33" s="48" t="str">
        <x:f>_xlfn.XLOOKUP($A33&amp;"|李侑津醫師",'試行熟悉度'!$K$7:$K$20,'試行熟悉度'!$F$7:$F$20,"未建立",0)</x:f>
        <x:v>待主管核定</x:v>
      </x:c>
      <x:c r="Q33" s="39" t="str">
        <x:v>確認後才納入自動判定</x:v>
      </x:c>
    </x:row>
    <x:row r="34">
      <x:c r="A34" s="37" t="str">
        <x:v>1001</x:v>
      </x:c>
      <x:c r="B34" s="37" t="str"/>
      <x:c r="C34" s="37" t="str">
        <x:v>LJT-CROWN</x:v>
      </x:c>
      <x:c r="D34" s="37" t="str">
        <x:v>固定假牙</x:v>
      </x:c>
      <x:c r="E34" s="37" t="str">
        <x:v>一般</x:v>
      </x:c>
      <x:c r="F34" s="37" t="str">
        <x:v>一般</x:v>
      </x:c>
      <x:c r="G34" s="37" t="str">
        <x:v>COMMON-XRAY-RECORD</x:v>
      </x:c>
      <x:c r="H34" s="37" t="str">
        <x:v>待確認</x:v>
      </x:c>
      <x:c r="I34" s="37" t="str">
        <x:f>_xlfn.XLOOKUP($C34&amp;"|"&amp;$G34,'李醫師能力要求'!$M$7:$M$59,'李醫師能力要求'!$K$7:$K$59,"待確認",0)</x:f>
        <x:v>待確認</x:v>
      </x:c>
      <x:c r="J34" s="37" t="str">
        <x:v>◎</x:v>
      </x:c>
      <x:c r="K34" s="37" t="str">
        <x:v>Ø</x:v>
      </x:c>
      <x:c r="L34" s="48" t="str">
        <x:f>_xlfn.XLOOKUP($A34&amp;"|"&amp;$G34,'試行能力狀態'!$L$7:$L$258,'試行能力狀態'!$E$7:$E$258,"未評估",0)</x:f>
        <x:v>◎</x:v>
      </x:c>
      <x:c r="M34" s="48" t="str">
        <x:f>_xlfn.XLOOKUP($A34&amp;"|"&amp;$G34,'試行能力狀態'!$L$7:$L$258,'試行能力狀態'!$F$7:$F$258,"未建立",0)</x:f>
        <x:v>待主管核定</x:v>
      </x:c>
      <x:c r="N34" s="48" t="str">
        <x:f>IF($L34="◎","符合獨立",IF($L34="Ø","符合條件","不符合"))</x:f>
        <x:v>符合獨立</x:v>
      </x:c>
      <x:c r="O34" s="48" t="str">
        <x:f>_xlfn.XLOOKUP($A34&amp;"|李侑津醫師",'試行熟悉度'!$K$7:$K$20,'試行熟悉度'!$E$7:$E$20,"未評估",0)</x:f>
        <x:v>可獨立配合</x:v>
      </x:c>
      <x:c r="P34" s="48" t="str">
        <x:f>_xlfn.XLOOKUP($A34&amp;"|李侑津醫師",'試行熟悉度'!$K$7:$K$20,'試行熟悉度'!$F$7:$F$20,"未建立",0)</x:f>
        <x:v>待主管核定</x:v>
      </x:c>
      <x:c r="Q34" s="39" t="str">
        <x:v>確認後才納入自動判定</x:v>
      </x:c>
    </x:row>
    <x:row r="35">
      <x:c r="A35" s="37" t="str">
        <x:v>1001</x:v>
      </x:c>
      <x:c r="B35" s="37" t="str"/>
      <x:c r="C35" s="37" t="str">
        <x:v>LJT-RPD</x:v>
      </x:c>
      <x:c r="D35" s="37" t="str">
        <x:v>RPD</x:v>
      </x:c>
      <x:c r="E35" s="37" t="str">
        <x:v>一般步驟</x:v>
      </x:c>
      <x:c r="F35" s="37" t="str">
        <x:v>一般</x:v>
      </x:c>
      <x:c r="G35" s="37" t="str">
        <x:v>LJT-PREP-RPD</x:v>
      </x:c>
      <x:c r="H35" s="37" t="str">
        <x:v>必備</x:v>
      </x:c>
      <x:c r="I35" s="37" t="str">
        <x:f>_xlfn.XLOOKUP($C35&amp;"|"&amp;$G35,'李醫師能力要求'!$M$7:$M$59,'李醫師能力要求'!$K$7:$K$59,"待確認",0)</x:f>
        <x:v>已確認</x:v>
      </x:c>
      <x:c r="J35" s="37" t="str">
        <x:v>◎</x:v>
      </x:c>
      <x:c r="K35" s="37" t="str">
        <x:v>Ø</x:v>
      </x:c>
      <x:c r="L35" s="48" t="str">
        <x:f>_xlfn.XLOOKUP($A35&amp;"|"&amp;$G35,'試行能力狀態'!$L$7:$L$258,'試行能力狀態'!$E$7:$E$258,"未評估",0)</x:f>
        <x:v>◎</x:v>
      </x:c>
      <x:c r="M35" s="48" t="str">
        <x:f>_xlfn.XLOOKUP($A35&amp;"|"&amp;$G35,'試行能力狀態'!$L$7:$L$258,'試行能力狀態'!$F$7:$F$258,"未建立",0)</x:f>
        <x:v>待主管核定</x:v>
      </x:c>
      <x:c r="N35" s="48" t="str">
        <x:f>IF($L35="◎","符合獨立",IF($L35="Ø","符合條件","不符合"))</x:f>
        <x:v>符合獨立</x:v>
      </x:c>
      <x:c r="O35" s="48" t="str">
        <x:f>_xlfn.XLOOKUP($A35&amp;"|李侑津醫師",'試行熟悉度'!$K$7:$K$20,'試行熟悉度'!$E$7:$E$20,"未評估",0)</x:f>
        <x:v>可獨立配合</x:v>
      </x:c>
      <x:c r="P35" s="48" t="str">
        <x:f>_xlfn.XLOOKUP($A35&amp;"|李侑津醫師",'試行熟悉度'!$K$7:$K$20,'試行熟悉度'!$F$7:$F$20,"未建立",0)</x:f>
        <x:v>待主管核定</x:v>
      </x:c>
      <x:c r="Q35" s="39" t="str">
        <x:v>依一般支援名額</x:v>
      </x:c>
    </x:row>
    <x:row r="36">
      <x:c r="A36" s="37" t="str">
        <x:v>1001</x:v>
      </x:c>
      <x:c r="B36" s="37" t="str"/>
      <x:c r="C36" s="37" t="str">
        <x:v>LJT-RPD</x:v>
      </x:c>
      <x:c r="D36" s="37" t="str">
        <x:v>RPD</x:v>
      </x:c>
      <x:c r="E36" s="37" t="str">
        <x:v>一般步驟</x:v>
      </x:c>
      <x:c r="F36" s="37" t="str">
        <x:v>一般</x:v>
      </x:c>
      <x:c r="G36" s="37" t="str">
        <x:v>COMMON-RECORD</x:v>
      </x:c>
      <x:c r="H36" s="37" t="str">
        <x:v>待確認</x:v>
      </x:c>
      <x:c r="I36" s="37" t="str">
        <x:f>_xlfn.XLOOKUP($C36&amp;"|"&amp;$G36,'李醫師能力要求'!$M$7:$M$59,'李醫師能力要求'!$K$7:$K$59,"待確認",0)</x:f>
        <x:v>待確認</x:v>
      </x:c>
      <x:c r="J36" s="37" t="str">
        <x:v>◎</x:v>
      </x:c>
      <x:c r="K36" s="37" t="str">
        <x:v>Ø</x:v>
      </x:c>
      <x:c r="L36" s="48" t="str">
        <x:f>_xlfn.XLOOKUP($A36&amp;"|"&amp;$G36,'試行能力狀態'!$L$7:$L$258,'試行能力狀態'!$E$7:$E$258,"未評估",0)</x:f>
        <x:v>◎</x:v>
      </x:c>
      <x:c r="M36" s="48" t="str">
        <x:f>_xlfn.XLOOKUP($A36&amp;"|"&amp;$G36,'試行能力狀態'!$L$7:$L$258,'試行能力狀態'!$F$7:$F$258,"未建立",0)</x:f>
        <x:v>待主管核定</x:v>
      </x:c>
      <x:c r="N36" s="48" t="str">
        <x:f>IF($L36="◎","符合獨立",IF($L36="Ø","符合條件","不符合"))</x:f>
        <x:v>符合獨立</x:v>
      </x:c>
      <x:c r="O36" s="48" t="str">
        <x:f>_xlfn.XLOOKUP($A36&amp;"|李侑津醫師",'試行熟悉度'!$K$7:$K$20,'試行熟悉度'!$E$7:$E$20,"未評估",0)</x:f>
        <x:v>可獨立配合</x:v>
      </x:c>
      <x:c r="P36" s="48" t="str">
        <x:f>_xlfn.XLOOKUP($A36&amp;"|李侑津醫師",'試行熟悉度'!$K$7:$K$20,'試行熟悉度'!$F$7:$F$20,"未建立",0)</x:f>
        <x:v>待主管核定</x:v>
      </x:c>
      <x:c r="Q36" s="39" t="str">
        <x:v>確認後才納入自動判定</x:v>
      </x:c>
    </x:row>
    <x:row r="37">
      <x:c r="A37" s="37" t="str">
        <x:v>1001</x:v>
      </x:c>
      <x:c r="B37" s="37" t="str"/>
      <x:c r="C37" s="37" t="str">
        <x:v>LJT-RPD</x:v>
      </x:c>
      <x:c r="D37" s="37" t="str">
        <x:v>RPD</x:v>
      </x:c>
      <x:c r="E37" s="37" t="str">
        <x:v>一般步驟</x:v>
      </x:c>
      <x:c r="F37" s="37" t="str">
        <x:v>一般</x:v>
      </x:c>
      <x:c r="G37" s="37" t="str">
        <x:v>COMMON-INSURANCE</x:v>
      </x:c>
      <x:c r="H37" s="37" t="str">
        <x:v>待確認</x:v>
      </x:c>
      <x:c r="I37" s="37" t="str">
        <x:f>_xlfn.XLOOKUP($C37&amp;"|"&amp;$G37,'李醫師能力要求'!$M$7:$M$59,'李醫師能力要求'!$K$7:$K$59,"待確認",0)</x:f>
        <x:v>待確認</x:v>
      </x:c>
      <x:c r="J37" s="37" t="str">
        <x:v>◎</x:v>
      </x:c>
      <x:c r="K37" s="37" t="str">
        <x:v>Ø</x:v>
      </x:c>
      <x:c r="L37" s="48" t="str">
        <x:f>_xlfn.XLOOKUP($A37&amp;"|"&amp;$G37,'試行能力狀態'!$L$7:$L$258,'試行能力狀態'!$E$7:$E$258,"未評估",0)</x:f>
        <x:v>◎</x:v>
      </x:c>
      <x:c r="M37" s="48" t="str">
        <x:f>_xlfn.XLOOKUP($A37&amp;"|"&amp;$G37,'試行能力狀態'!$L$7:$L$258,'試行能力狀態'!$F$7:$F$258,"未建立",0)</x:f>
        <x:v>待主管核定</x:v>
      </x:c>
      <x:c r="N37" s="48" t="str">
        <x:f>IF($L37="◎","符合獨立",IF($L37="Ø","符合條件","不符合"))</x:f>
        <x:v>符合獨立</x:v>
      </x:c>
      <x:c r="O37" s="48" t="str">
        <x:f>_xlfn.XLOOKUP($A37&amp;"|李侑津醫師",'試行熟悉度'!$K$7:$K$20,'試行熟悉度'!$E$7:$E$20,"未評估",0)</x:f>
        <x:v>可獨立配合</x:v>
      </x:c>
      <x:c r="P37" s="48" t="str">
        <x:f>_xlfn.XLOOKUP($A37&amp;"|李侑津醫師",'試行熟悉度'!$K$7:$K$20,'試行熟悉度'!$F$7:$F$20,"未建立",0)</x:f>
        <x:v>待主管核定</x:v>
      </x:c>
      <x:c r="Q37" s="39" t="str">
        <x:v>確認後才納入自動判定</x:v>
      </x:c>
    </x:row>
    <x:row r="38">
      <x:c r="A38" s="37" t="str">
        <x:v>1001</x:v>
      </x:c>
      <x:c r="B38" s="37" t="str"/>
      <x:c r="C38" s="37" t="str">
        <x:v>LJT-RPD</x:v>
      </x:c>
      <x:c r="D38" s="37" t="str">
        <x:v>RPD</x:v>
      </x:c>
      <x:c r="E38" s="37" t="str">
        <x:v>一般步驟</x:v>
      </x:c>
      <x:c r="F38" s="37" t="str">
        <x:v>一般</x:v>
      </x:c>
      <x:c r="G38" s="37" t="str">
        <x:v>COMMON-XRAY-RECORD</x:v>
      </x:c>
      <x:c r="H38" s="37" t="str">
        <x:v>待確認</x:v>
      </x:c>
      <x:c r="I38" s="37" t="str">
        <x:f>_xlfn.XLOOKUP($C38&amp;"|"&amp;$G38,'李醫師能力要求'!$M$7:$M$59,'李醫師能力要求'!$K$7:$K$59,"待確認",0)</x:f>
        <x:v>待確認</x:v>
      </x:c>
      <x:c r="J38" s="37" t="str">
        <x:v>◎</x:v>
      </x:c>
      <x:c r="K38" s="37" t="str">
        <x:v>Ø</x:v>
      </x:c>
      <x:c r="L38" s="48" t="str">
        <x:f>_xlfn.XLOOKUP($A38&amp;"|"&amp;$G38,'試行能力狀態'!$L$7:$L$258,'試行能力狀態'!$E$7:$E$258,"未評估",0)</x:f>
        <x:v>◎</x:v>
      </x:c>
      <x:c r="M38" s="48" t="str">
        <x:f>_xlfn.XLOOKUP($A38&amp;"|"&amp;$G38,'試行能力狀態'!$L$7:$L$258,'試行能力狀態'!$F$7:$F$258,"未建立",0)</x:f>
        <x:v>待主管核定</x:v>
      </x:c>
      <x:c r="N38" s="48" t="str">
        <x:f>IF($L38="◎","符合獨立",IF($L38="Ø","符合條件","不符合"))</x:f>
        <x:v>符合獨立</x:v>
      </x:c>
      <x:c r="O38" s="48" t="str">
        <x:f>_xlfn.XLOOKUP($A38&amp;"|李侑津醫師",'試行熟悉度'!$K$7:$K$20,'試行熟悉度'!$E$7:$E$20,"未評估",0)</x:f>
        <x:v>可獨立配合</x:v>
      </x:c>
      <x:c r="P38" s="48" t="str">
        <x:f>_xlfn.XLOOKUP($A38&amp;"|李侑津醫師",'試行熟悉度'!$K$7:$K$20,'試行熟悉度'!$F$7:$F$20,"未建立",0)</x:f>
        <x:v>待主管核定</x:v>
      </x:c>
      <x:c r="Q38" s="39" t="str">
        <x:v>確認後才納入自動判定</x:v>
      </x:c>
    </x:row>
    <x:row r="39">
      <x:c r="A39" s="37" t="str">
        <x:v>1001</x:v>
      </x:c>
      <x:c r="B39" s="37" t="str"/>
      <x:c r="C39" s="37" t="str">
        <x:v>LJT-RPD-FINAL</x:v>
      </x:c>
      <x:c r="D39" s="37" t="str">
        <x:v>RPD</x:v>
      </x:c>
      <x:c r="E39" s="37" t="str">
        <x:v>印最終模</x:v>
      </x:c>
      <x:c r="F39" s="37" t="str">
        <x:v>特殊階段</x:v>
      </x:c>
      <x:c r="G39" s="37" t="str">
        <x:v>LJT-PREP-RPD</x:v>
      </x:c>
      <x:c r="H39" s="37" t="str">
        <x:v>必備</x:v>
      </x:c>
      <x:c r="I39" s="37" t="str">
        <x:f>_xlfn.XLOOKUP($C39&amp;"|"&amp;$G39,'李醫師能力要求'!$M$7:$M$59,'李醫師能力要求'!$K$7:$K$59,"待確認",0)</x:f>
        <x:v>已確認</x:v>
      </x:c>
      <x:c r="J39" s="37" t="str">
        <x:v>◎</x:v>
      </x:c>
      <x:c r="K39" s="37" t="str">
        <x:v>Ø</x:v>
      </x:c>
      <x:c r="L39" s="48" t="str">
        <x:f>_xlfn.XLOOKUP($A39&amp;"|"&amp;$G39,'試行能力狀態'!$L$7:$L$258,'試行能力狀態'!$E$7:$E$258,"未評估",0)</x:f>
        <x:v>◎</x:v>
      </x:c>
      <x:c r="M39" s="48" t="str">
        <x:f>_xlfn.XLOOKUP($A39&amp;"|"&amp;$G39,'試行能力狀態'!$L$7:$L$258,'試行能力狀態'!$F$7:$F$258,"未建立",0)</x:f>
        <x:v>待主管核定</x:v>
      </x:c>
      <x:c r="N39" s="48" t="str">
        <x:f>IF($L39="◎","符合獨立",IF($L39="Ø","符合條件","不符合"))</x:f>
        <x:v>符合獨立</x:v>
      </x:c>
      <x:c r="O39" s="48" t="str">
        <x:f>_xlfn.XLOOKUP($A39&amp;"|李侑津醫師",'試行熟悉度'!$K$7:$K$20,'試行熟悉度'!$E$7:$E$20,"未評估",0)</x:f>
        <x:v>可獨立配合</x:v>
      </x:c>
      <x:c r="P39" s="48" t="str">
        <x:f>_xlfn.XLOOKUP($A39&amp;"|李侑津醫師",'試行熟悉度'!$K$7:$K$20,'試行熟悉度'!$F$7:$F$20,"未建立",0)</x:f>
        <x:v>待主管核定</x:v>
      </x:c>
      <x:c r="Q39" s="39" t="str">
        <x:v>依一般支援名額</x:v>
      </x:c>
    </x:row>
    <x:row r="40">
      <x:c r="A40" s="37" t="str">
        <x:v>1001</x:v>
      </x:c>
      <x:c r="B40" s="37" t="str"/>
      <x:c r="C40" s="37" t="str">
        <x:v>LJT-RPD-FINAL</x:v>
      </x:c>
      <x:c r="D40" s="37" t="str">
        <x:v>RPD</x:v>
      </x:c>
      <x:c r="E40" s="37" t="str">
        <x:v>印最終模</x:v>
      </x:c>
      <x:c r="F40" s="37" t="str">
        <x:v>特殊階段</x:v>
      </x:c>
      <x:c r="G40" s="37" t="str">
        <x:v>COMMON-RECORD</x:v>
      </x:c>
      <x:c r="H40" s="37" t="str">
        <x:v>待確認</x:v>
      </x:c>
      <x:c r="I40" s="37" t="str">
        <x:f>_xlfn.XLOOKUP($C40&amp;"|"&amp;$G40,'李醫師能力要求'!$M$7:$M$59,'李醫師能力要求'!$K$7:$K$59,"待確認",0)</x:f>
        <x:v>待確認</x:v>
      </x:c>
      <x:c r="J40" s="37" t="str">
        <x:v>◎</x:v>
      </x:c>
      <x:c r="K40" s="37" t="str">
        <x:v>Ø</x:v>
      </x:c>
      <x:c r="L40" s="48" t="str">
        <x:f>_xlfn.XLOOKUP($A40&amp;"|"&amp;$G40,'試行能力狀態'!$L$7:$L$258,'試行能力狀態'!$E$7:$E$258,"未評估",0)</x:f>
        <x:v>◎</x:v>
      </x:c>
      <x:c r="M40" s="48" t="str">
        <x:f>_xlfn.XLOOKUP($A40&amp;"|"&amp;$G40,'試行能力狀態'!$L$7:$L$258,'試行能力狀態'!$F$7:$F$258,"未建立",0)</x:f>
        <x:v>待主管核定</x:v>
      </x:c>
      <x:c r="N40" s="48" t="str">
        <x:f>IF($L40="◎","符合獨立",IF($L40="Ø","符合條件","不符合"))</x:f>
        <x:v>符合獨立</x:v>
      </x:c>
      <x:c r="O40" s="48" t="str">
        <x:f>_xlfn.XLOOKUP($A40&amp;"|李侑津醫師",'試行熟悉度'!$K$7:$K$20,'試行熟悉度'!$E$7:$E$20,"未評估",0)</x:f>
        <x:v>可獨立配合</x:v>
      </x:c>
      <x:c r="P40" s="48" t="str">
        <x:f>_xlfn.XLOOKUP($A40&amp;"|李侑津醫師",'試行熟悉度'!$K$7:$K$20,'試行熟悉度'!$F$7:$F$20,"未建立",0)</x:f>
        <x:v>待主管核定</x:v>
      </x:c>
      <x:c r="Q40" s="39" t="str">
        <x:v>確認後才納入自動判定</x:v>
      </x:c>
    </x:row>
    <x:row r="41">
      <x:c r="A41" s="37" t="str">
        <x:v>1001</x:v>
      </x:c>
      <x:c r="B41" s="37" t="str"/>
      <x:c r="C41" s="37" t="str">
        <x:v>LJT-RPD-FINAL</x:v>
      </x:c>
      <x:c r="D41" s="37" t="str">
        <x:v>RPD</x:v>
      </x:c>
      <x:c r="E41" s="37" t="str">
        <x:v>印最終模</x:v>
      </x:c>
      <x:c r="F41" s="37" t="str">
        <x:v>特殊階段</x:v>
      </x:c>
      <x:c r="G41" s="37" t="str">
        <x:v>COMMON-INSURANCE</x:v>
      </x:c>
      <x:c r="H41" s="37" t="str">
        <x:v>待確認</x:v>
      </x:c>
      <x:c r="I41" s="37" t="str">
        <x:f>_xlfn.XLOOKUP($C41&amp;"|"&amp;$G41,'李醫師能力要求'!$M$7:$M$59,'李醫師能力要求'!$K$7:$K$59,"待確認",0)</x:f>
        <x:v>待確認</x:v>
      </x:c>
      <x:c r="J41" s="37" t="str">
        <x:v>◎</x:v>
      </x:c>
      <x:c r="K41" s="37" t="str">
        <x:v>Ø</x:v>
      </x:c>
      <x:c r="L41" s="48" t="str">
        <x:f>_xlfn.XLOOKUP($A41&amp;"|"&amp;$G41,'試行能力狀態'!$L$7:$L$258,'試行能力狀態'!$E$7:$E$258,"未評估",0)</x:f>
        <x:v>◎</x:v>
      </x:c>
      <x:c r="M41" s="48" t="str">
        <x:f>_xlfn.XLOOKUP($A41&amp;"|"&amp;$G41,'試行能力狀態'!$L$7:$L$258,'試行能力狀態'!$F$7:$F$258,"未建立",0)</x:f>
        <x:v>待主管核定</x:v>
      </x:c>
      <x:c r="N41" s="48" t="str">
        <x:f>IF($L41="◎","符合獨立",IF($L41="Ø","符合條件","不符合"))</x:f>
        <x:v>符合獨立</x:v>
      </x:c>
      <x:c r="O41" s="48" t="str">
        <x:f>_xlfn.XLOOKUP($A41&amp;"|李侑津醫師",'試行熟悉度'!$K$7:$K$20,'試行熟悉度'!$E$7:$E$20,"未評估",0)</x:f>
        <x:v>可獨立配合</x:v>
      </x:c>
      <x:c r="P41" s="48" t="str">
        <x:f>_xlfn.XLOOKUP($A41&amp;"|李侑津醫師",'試行熟悉度'!$K$7:$K$20,'試行熟悉度'!$F$7:$F$20,"未建立",0)</x:f>
        <x:v>待主管核定</x:v>
      </x:c>
      <x:c r="Q41" s="39" t="str">
        <x:v>確認後才納入自動判定</x:v>
      </x:c>
    </x:row>
    <x:row r="42">
      <x:c r="A42" s="37" t="str">
        <x:v>1001</x:v>
      </x:c>
      <x:c r="B42" s="37" t="str"/>
      <x:c r="C42" s="37" t="str">
        <x:v>LJT-RPD-FINAL</x:v>
      </x:c>
      <x:c r="D42" s="37" t="str">
        <x:v>RPD</x:v>
      </x:c>
      <x:c r="E42" s="37" t="str">
        <x:v>印最終模</x:v>
      </x:c>
      <x:c r="F42" s="37" t="str">
        <x:v>特殊階段</x:v>
      </x:c>
      <x:c r="G42" s="37" t="str">
        <x:v>COMMON-XRAY-RECORD</x:v>
      </x:c>
      <x:c r="H42" s="37" t="str">
        <x:v>待確認</x:v>
      </x:c>
      <x:c r="I42" s="37" t="str">
        <x:f>_xlfn.XLOOKUP($C42&amp;"|"&amp;$G42,'李醫師能力要求'!$M$7:$M$59,'李醫師能力要求'!$K$7:$K$59,"待確認",0)</x:f>
        <x:v>待確認</x:v>
      </x:c>
      <x:c r="J42" s="37" t="str">
        <x:v>◎</x:v>
      </x:c>
      <x:c r="K42" s="37" t="str">
        <x:v>Ø</x:v>
      </x:c>
      <x:c r="L42" s="48" t="str">
        <x:f>_xlfn.XLOOKUP($A42&amp;"|"&amp;$G42,'試行能力狀態'!$L$7:$L$258,'試行能力狀態'!$E$7:$E$258,"未評估",0)</x:f>
        <x:v>◎</x:v>
      </x:c>
      <x:c r="M42" s="48" t="str">
        <x:f>_xlfn.XLOOKUP($A42&amp;"|"&amp;$G42,'試行能力狀態'!$L$7:$L$258,'試行能力狀態'!$F$7:$F$258,"未建立",0)</x:f>
        <x:v>待主管核定</x:v>
      </x:c>
      <x:c r="N42" s="48" t="str">
        <x:f>IF($L42="◎","符合獨立",IF($L42="Ø","符合條件","不符合"))</x:f>
        <x:v>符合獨立</x:v>
      </x:c>
      <x:c r="O42" s="48" t="str">
        <x:f>_xlfn.XLOOKUP($A42&amp;"|李侑津醫師",'試行熟悉度'!$K$7:$K$20,'試行熟悉度'!$E$7:$E$20,"未評估",0)</x:f>
        <x:v>可獨立配合</x:v>
      </x:c>
      <x:c r="P42" s="48" t="str">
        <x:f>_xlfn.XLOOKUP($A42&amp;"|李侑津醫師",'試行熟悉度'!$K$7:$K$20,'試行熟悉度'!$F$7:$F$20,"未建立",0)</x:f>
        <x:v>待主管核定</x:v>
      </x:c>
      <x:c r="Q42" s="39" t="str">
        <x:v>確認後才納入自動判定</x:v>
      </x:c>
    </x:row>
    <x:row r="43">
      <x:c r="A43" s="37" t="str">
        <x:v>1001</x:v>
      </x:c>
      <x:c r="B43" s="37" t="str"/>
      <x:c r="C43" s="37" t="str">
        <x:v>LJT-AIRPOLISH</x:v>
      </x:c>
      <x:c r="D43" s="37" t="str">
        <x:v>噴砂美白</x:v>
      </x:c>
      <x:c r="E43" s="37" t="str">
        <x:v>一般</x:v>
      </x:c>
      <x:c r="F43" s="37" t="str">
        <x:v>一般</x:v>
      </x:c>
      <x:c r="G43" s="37" t="str">
        <x:v>LJT-PREP-AIRPOLISH</x:v>
      </x:c>
      <x:c r="H43" s="37" t="str">
        <x:v>必備</x:v>
      </x:c>
      <x:c r="I43" s="37" t="str">
        <x:f>_xlfn.XLOOKUP($C43&amp;"|"&amp;$G43,'李醫師能力要求'!$M$7:$M$59,'李醫師能力要求'!$K$7:$K$59,"待確認",0)</x:f>
        <x:v>已確認</x:v>
      </x:c>
      <x:c r="J43" s="37" t="str">
        <x:v>◎</x:v>
      </x:c>
      <x:c r="K43" s="37" t="str">
        <x:v>Ø</x:v>
      </x:c>
      <x:c r="L43" s="48" t="str">
        <x:f>_xlfn.XLOOKUP($A43&amp;"|"&amp;$G43,'試行能力狀態'!$L$7:$L$258,'試行能力狀態'!$E$7:$E$258,"未評估",0)</x:f>
        <x:v>◎</x:v>
      </x:c>
      <x:c r="M43" s="48" t="str">
        <x:f>_xlfn.XLOOKUP($A43&amp;"|"&amp;$G43,'試行能力狀態'!$L$7:$L$258,'試行能力狀態'!$F$7:$F$258,"未建立",0)</x:f>
        <x:v>待主管核定</x:v>
      </x:c>
      <x:c r="N43" s="48" t="str">
        <x:f>IF($L43="◎","符合獨立",IF($L43="Ø","符合條件","不符合"))</x:f>
        <x:v>符合獨立</x:v>
      </x:c>
      <x:c r="O43" s="48" t="str">
        <x:f>_xlfn.XLOOKUP($A43&amp;"|李侑津醫師",'試行熟悉度'!$K$7:$K$20,'試行熟悉度'!$E$7:$E$20,"未評估",0)</x:f>
        <x:v>可獨立配合</x:v>
      </x:c>
      <x:c r="P43" s="48" t="str">
        <x:f>_xlfn.XLOOKUP($A43&amp;"|李侑津醫師",'試行熟悉度'!$K$7:$K$20,'試行熟悉度'!$F$7:$F$20,"未建立",0)</x:f>
        <x:v>待主管核定</x:v>
      </x:c>
      <x:c r="Q43" s="39" t="str">
        <x:v>依一般支援名額</x:v>
      </x:c>
    </x:row>
    <x:row r="44">
      <x:c r="A44" s="37" t="str">
        <x:v>1001</x:v>
      </x:c>
      <x:c r="B44" s="37" t="str"/>
      <x:c r="C44" s="37" t="str">
        <x:v>LJT-AIRPOLISH</x:v>
      </x:c>
      <x:c r="D44" s="37" t="str">
        <x:v>噴砂美白</x:v>
      </x:c>
      <x:c r="E44" s="37" t="str">
        <x:v>一般</x:v>
      </x:c>
      <x:c r="F44" s="37" t="str">
        <x:v>一般</x:v>
      </x:c>
      <x:c r="G44" s="37" t="str">
        <x:v>COMMON-RECORD</x:v>
      </x:c>
      <x:c r="H44" s="37" t="str">
        <x:v>待確認</x:v>
      </x:c>
      <x:c r="I44" s="37" t="str">
        <x:f>_xlfn.XLOOKUP($C44&amp;"|"&amp;$G44,'李醫師能力要求'!$M$7:$M$59,'李醫師能力要求'!$K$7:$K$59,"待確認",0)</x:f>
        <x:v>待確認</x:v>
      </x:c>
      <x:c r="J44" s="37" t="str">
        <x:v>◎</x:v>
      </x:c>
      <x:c r="K44" s="37" t="str">
        <x:v>Ø</x:v>
      </x:c>
      <x:c r="L44" s="48" t="str">
        <x:f>_xlfn.XLOOKUP($A44&amp;"|"&amp;$G44,'試行能力狀態'!$L$7:$L$258,'試行能力狀態'!$E$7:$E$258,"未評估",0)</x:f>
        <x:v>◎</x:v>
      </x:c>
      <x:c r="M44" s="48" t="str">
        <x:f>_xlfn.XLOOKUP($A44&amp;"|"&amp;$G44,'試行能力狀態'!$L$7:$L$258,'試行能力狀態'!$F$7:$F$258,"未建立",0)</x:f>
        <x:v>待主管核定</x:v>
      </x:c>
      <x:c r="N44" s="48" t="str">
        <x:f>IF($L44="◎","符合獨立",IF($L44="Ø","符合條件","不符合"))</x:f>
        <x:v>符合獨立</x:v>
      </x:c>
      <x:c r="O44" s="48" t="str">
        <x:f>_xlfn.XLOOKUP($A44&amp;"|李侑津醫師",'試行熟悉度'!$K$7:$K$20,'試行熟悉度'!$E$7:$E$20,"未評估",0)</x:f>
        <x:v>可獨立配合</x:v>
      </x:c>
      <x:c r="P44" s="48" t="str">
        <x:f>_xlfn.XLOOKUP($A44&amp;"|李侑津醫師",'試行熟悉度'!$K$7:$K$20,'試行熟悉度'!$F$7:$F$20,"未建立",0)</x:f>
        <x:v>待主管核定</x:v>
      </x:c>
      <x:c r="Q44" s="39" t="str">
        <x:v>確認後才納入自動判定</x:v>
      </x:c>
    </x:row>
    <x:row r="45">
      <x:c r="A45" s="37" t="str">
        <x:v>1001</x:v>
      </x:c>
      <x:c r="B45" s="37" t="str"/>
      <x:c r="C45" s="37" t="str">
        <x:v>LJT-AIRPOLISH</x:v>
      </x:c>
      <x:c r="D45" s="37" t="str">
        <x:v>噴砂美白</x:v>
      </x:c>
      <x:c r="E45" s="37" t="str">
        <x:v>一般</x:v>
      </x:c>
      <x:c r="F45" s="37" t="str">
        <x:v>一般</x:v>
      </x:c>
      <x:c r="G45" s="37" t="str">
        <x:v>COMMON-INSURANCE</x:v>
      </x:c>
      <x:c r="H45" s="37" t="str">
        <x:v>待確認</x:v>
      </x:c>
      <x:c r="I45" s="37" t="str">
        <x:f>_xlfn.XLOOKUP($C45&amp;"|"&amp;$G45,'李醫師能力要求'!$M$7:$M$59,'李醫師能力要求'!$K$7:$K$59,"待確認",0)</x:f>
        <x:v>待確認</x:v>
      </x:c>
      <x:c r="J45" s="37" t="str">
        <x:v>◎</x:v>
      </x:c>
      <x:c r="K45" s="37" t="str">
        <x:v>Ø</x:v>
      </x:c>
      <x:c r="L45" s="48" t="str">
        <x:f>_xlfn.XLOOKUP($A45&amp;"|"&amp;$G45,'試行能力狀態'!$L$7:$L$258,'試行能力狀態'!$E$7:$E$258,"未評估",0)</x:f>
        <x:v>◎</x:v>
      </x:c>
      <x:c r="M45" s="48" t="str">
        <x:f>_xlfn.XLOOKUP($A45&amp;"|"&amp;$G45,'試行能力狀態'!$L$7:$L$258,'試行能力狀態'!$F$7:$F$258,"未建立",0)</x:f>
        <x:v>待主管核定</x:v>
      </x:c>
      <x:c r="N45" s="48" t="str">
        <x:f>IF($L45="◎","符合獨立",IF($L45="Ø","符合條件","不符合"))</x:f>
        <x:v>符合獨立</x:v>
      </x:c>
      <x:c r="O45" s="48" t="str">
        <x:f>_xlfn.XLOOKUP($A45&amp;"|李侑津醫師",'試行熟悉度'!$K$7:$K$20,'試行熟悉度'!$E$7:$E$20,"未評估",0)</x:f>
        <x:v>可獨立配合</x:v>
      </x:c>
      <x:c r="P45" s="48" t="str">
        <x:f>_xlfn.XLOOKUP($A45&amp;"|李侑津醫師",'試行熟悉度'!$K$7:$K$20,'試行熟悉度'!$F$7:$F$20,"未建立",0)</x:f>
        <x:v>待主管核定</x:v>
      </x:c>
      <x:c r="Q45" s="39" t="str">
        <x:v>確認後才納入自動判定</x:v>
      </x:c>
    </x:row>
    <x:row r="46">
      <x:c r="A46" s="37" t="str">
        <x:v>1001</x:v>
      </x:c>
      <x:c r="B46" s="37" t="str"/>
      <x:c r="C46" s="37" t="str">
        <x:v>LJT-AIRPOLISH</x:v>
      </x:c>
      <x:c r="D46" s="37" t="str">
        <x:v>噴砂美白</x:v>
      </x:c>
      <x:c r="E46" s="37" t="str">
        <x:v>一般</x:v>
      </x:c>
      <x:c r="F46" s="37" t="str">
        <x:v>一般</x:v>
      </x:c>
      <x:c r="G46" s="37" t="str">
        <x:v>COMMON-XRAY-RECORD</x:v>
      </x:c>
      <x:c r="H46" s="37" t="str">
        <x:v>待確認</x:v>
      </x:c>
      <x:c r="I46" s="37" t="str">
        <x:f>_xlfn.XLOOKUP($C46&amp;"|"&amp;$G46,'李醫師能力要求'!$M$7:$M$59,'李醫師能力要求'!$K$7:$K$59,"待確認",0)</x:f>
        <x:v>待確認</x:v>
      </x:c>
      <x:c r="J46" s="37" t="str">
        <x:v>◎</x:v>
      </x:c>
      <x:c r="K46" s="37" t="str">
        <x:v>Ø</x:v>
      </x:c>
      <x:c r="L46" s="48" t="str">
        <x:f>_xlfn.XLOOKUP($A46&amp;"|"&amp;$G46,'試行能力狀態'!$L$7:$L$258,'試行能力狀態'!$E$7:$E$258,"未評估",0)</x:f>
        <x:v>◎</x:v>
      </x:c>
      <x:c r="M46" s="48" t="str">
        <x:f>_xlfn.XLOOKUP($A46&amp;"|"&amp;$G46,'試行能力狀態'!$L$7:$L$258,'試行能力狀態'!$F$7:$F$258,"未建立",0)</x:f>
        <x:v>待主管核定</x:v>
      </x:c>
      <x:c r="N46" s="48" t="str">
        <x:f>IF($L46="◎","符合獨立",IF($L46="Ø","符合條件","不符合"))</x:f>
        <x:v>符合獨立</x:v>
      </x:c>
      <x:c r="O46" s="48" t="str">
        <x:f>_xlfn.XLOOKUP($A46&amp;"|李侑津醫師",'試行熟悉度'!$K$7:$K$20,'試行熟悉度'!$E$7:$E$20,"未評估",0)</x:f>
        <x:v>可獨立配合</x:v>
      </x:c>
      <x:c r="P46" s="48" t="str">
        <x:f>_xlfn.XLOOKUP($A46&amp;"|李侑津醫師",'試行熟悉度'!$K$7:$K$20,'試行熟悉度'!$F$7:$F$20,"未建立",0)</x:f>
        <x:v>待主管核定</x:v>
      </x:c>
      <x:c r="Q46" s="39" t="str">
        <x:v>確認後才納入自動判定</x:v>
      </x:c>
    </x:row>
    <x:row r="47">
      <x:c r="A47" s="37" t="str">
        <x:v>1001</x:v>
      </x:c>
      <x:c r="B47" s="37" t="str"/>
      <x:c r="C47" s="37" t="str">
        <x:v>LJT-PERIOSURG</x:v>
      </x:c>
      <x:c r="D47" s="37" t="str">
        <x:v>牙周手術</x:v>
      </x:c>
      <x:c r="E47" s="37" t="str">
        <x:v>一般</x:v>
      </x:c>
      <x:c r="F47" s="37" t="str">
        <x:v>高複雜度</x:v>
      </x:c>
      <x:c r="G47" s="37" t="str">
        <x:v>LJT-PREP-PERIOSURG</x:v>
      </x:c>
      <x:c r="H47" s="37" t="str">
        <x:v>必備</x:v>
      </x:c>
      <x:c r="I47" s="37" t="str">
        <x:f>_xlfn.XLOOKUP($C47&amp;"|"&amp;$G47,'李醫師能力要求'!$M$7:$M$59,'李醫師能力要求'!$K$7:$K$59,"待確認",0)</x:f>
        <x:v>已確認</x:v>
      </x:c>
      <x:c r="J47" s="37" t="str">
        <x:v>◎</x:v>
      </x:c>
      <x:c r="K47" s="37" t="str">
        <x:v>Ø</x:v>
      </x:c>
      <x:c r="L47" s="48" t="str">
        <x:f>_xlfn.XLOOKUP($A47&amp;"|"&amp;$G47,'試行能力狀態'!$L$7:$L$258,'試行能力狀態'!$E$7:$E$258,"未評估",0)</x:f>
        <x:v>◎</x:v>
      </x:c>
      <x:c r="M47" s="48" t="str">
        <x:f>_xlfn.XLOOKUP($A47&amp;"|"&amp;$G47,'試行能力狀態'!$L$7:$L$258,'試行能力狀態'!$F$7:$F$258,"未建立",0)</x:f>
        <x:v>待主管核定</x:v>
      </x:c>
      <x:c r="N47" s="48" t="str">
        <x:f>IF($L47="◎","符合獨立",IF($L47="Ø","符合條件","不符合"))</x:f>
        <x:v>符合獨立</x:v>
      </x:c>
      <x:c r="O47" s="48" t="str">
        <x:f>_xlfn.XLOOKUP($A47&amp;"|李侑津醫師",'試行熟悉度'!$K$7:$K$20,'試行熟悉度'!$E$7:$E$20,"未評估",0)</x:f>
        <x:v>可獨立配合</x:v>
      </x:c>
      <x:c r="P47" s="48" t="str">
        <x:f>_xlfn.XLOOKUP($A47&amp;"|李侑津醫師",'試行熟悉度'!$K$7:$K$20,'試行熟悉度'!$F$7:$F$20,"未建立",0)</x:f>
        <x:v>待主管核定</x:v>
      </x:c>
      <x:c r="Q47" s="39" t="str">
        <x:v>Ø 時完整支援者 1:1</x:v>
      </x:c>
    </x:row>
    <x:row r="48">
      <x:c r="A48" s="37" t="str">
        <x:v>1001</x:v>
      </x:c>
      <x:c r="B48" s="37" t="str"/>
      <x:c r="C48" s="37" t="str">
        <x:v>LJT-PERIOSURG</x:v>
      </x:c>
      <x:c r="D48" s="37" t="str">
        <x:v>牙周手術</x:v>
      </x:c>
      <x:c r="E48" s="37" t="str">
        <x:v>一般</x:v>
      </x:c>
      <x:c r="F48" s="37" t="str">
        <x:v>高複雜度</x:v>
      </x:c>
      <x:c r="G48" s="37" t="str">
        <x:v>COMMON-RECORD</x:v>
      </x:c>
      <x:c r="H48" s="37" t="str">
        <x:v>待確認</x:v>
      </x:c>
      <x:c r="I48" s="37" t="str">
        <x:f>_xlfn.XLOOKUP($C48&amp;"|"&amp;$G48,'李醫師能力要求'!$M$7:$M$59,'李醫師能力要求'!$K$7:$K$59,"待確認",0)</x:f>
        <x:v>待確認</x:v>
      </x:c>
      <x:c r="J48" s="37" t="str">
        <x:v>◎</x:v>
      </x:c>
      <x:c r="K48" s="37" t="str">
        <x:v>Ø</x:v>
      </x:c>
      <x:c r="L48" s="48" t="str">
        <x:f>_xlfn.XLOOKUP($A48&amp;"|"&amp;$G48,'試行能力狀態'!$L$7:$L$258,'試行能力狀態'!$E$7:$E$258,"未評估",0)</x:f>
        <x:v>◎</x:v>
      </x:c>
      <x:c r="M48" s="48" t="str">
        <x:f>_xlfn.XLOOKUP($A48&amp;"|"&amp;$G48,'試行能力狀態'!$L$7:$L$258,'試行能力狀態'!$F$7:$F$258,"未建立",0)</x:f>
        <x:v>待主管核定</x:v>
      </x:c>
      <x:c r="N48" s="48" t="str">
        <x:f>IF($L48="◎","符合獨立",IF($L48="Ø","符合條件","不符合"))</x:f>
        <x:v>符合獨立</x:v>
      </x:c>
      <x:c r="O48" s="48" t="str">
        <x:f>_xlfn.XLOOKUP($A48&amp;"|李侑津醫師",'試行熟悉度'!$K$7:$K$20,'試行熟悉度'!$E$7:$E$20,"未評估",0)</x:f>
        <x:v>可獨立配合</x:v>
      </x:c>
      <x:c r="P48" s="48" t="str">
        <x:f>_xlfn.XLOOKUP($A48&amp;"|李侑津醫師",'試行熟悉度'!$K$7:$K$20,'試行熟悉度'!$F$7:$F$20,"未建立",0)</x:f>
        <x:v>待主管核定</x:v>
      </x:c>
      <x:c r="Q48" s="39" t="str">
        <x:v>確認後才納入自動判定</x:v>
      </x:c>
    </x:row>
    <x:row r="49">
      <x:c r="A49" s="37" t="str">
        <x:v>1001</x:v>
      </x:c>
      <x:c r="B49" s="37" t="str"/>
      <x:c r="C49" s="37" t="str">
        <x:v>LJT-PERIOSURG</x:v>
      </x:c>
      <x:c r="D49" s="37" t="str">
        <x:v>牙周手術</x:v>
      </x:c>
      <x:c r="E49" s="37" t="str">
        <x:v>一般</x:v>
      </x:c>
      <x:c r="F49" s="37" t="str">
        <x:v>高複雜度</x:v>
      </x:c>
      <x:c r="G49" s="37" t="str">
        <x:v>COMMON-INSURANCE</x:v>
      </x:c>
      <x:c r="H49" s="37" t="str">
        <x:v>待確認</x:v>
      </x:c>
      <x:c r="I49" s="37" t="str">
        <x:f>_xlfn.XLOOKUP($C49&amp;"|"&amp;$G49,'李醫師能力要求'!$M$7:$M$59,'李醫師能力要求'!$K$7:$K$59,"待確認",0)</x:f>
        <x:v>待確認</x:v>
      </x:c>
      <x:c r="J49" s="37" t="str">
        <x:v>◎</x:v>
      </x:c>
      <x:c r="K49" s="37" t="str">
        <x:v>Ø</x:v>
      </x:c>
      <x:c r="L49" s="48" t="str">
        <x:f>_xlfn.XLOOKUP($A49&amp;"|"&amp;$G49,'試行能力狀態'!$L$7:$L$258,'試行能力狀態'!$E$7:$E$258,"未評估",0)</x:f>
        <x:v>◎</x:v>
      </x:c>
      <x:c r="M49" s="48" t="str">
        <x:f>_xlfn.XLOOKUP($A49&amp;"|"&amp;$G49,'試行能力狀態'!$L$7:$L$258,'試行能力狀態'!$F$7:$F$258,"未建立",0)</x:f>
        <x:v>待主管核定</x:v>
      </x:c>
      <x:c r="N49" s="48" t="str">
        <x:f>IF($L49="◎","符合獨立",IF($L49="Ø","符合條件","不符合"))</x:f>
        <x:v>符合獨立</x:v>
      </x:c>
      <x:c r="O49" s="48" t="str">
        <x:f>_xlfn.XLOOKUP($A49&amp;"|李侑津醫師",'試行熟悉度'!$K$7:$K$20,'試行熟悉度'!$E$7:$E$20,"未評估",0)</x:f>
        <x:v>可獨立配合</x:v>
      </x:c>
      <x:c r="P49" s="48" t="str">
        <x:f>_xlfn.XLOOKUP($A49&amp;"|李侑津醫師",'試行熟悉度'!$K$7:$K$20,'試行熟悉度'!$F$7:$F$20,"未建立",0)</x:f>
        <x:v>待主管核定</x:v>
      </x:c>
      <x:c r="Q49" s="39" t="str">
        <x:v>確認後才納入自動判定</x:v>
      </x:c>
    </x:row>
    <x:row r="50">
      <x:c r="A50" s="37" t="str">
        <x:v>1001</x:v>
      </x:c>
      <x:c r="B50" s="37" t="str"/>
      <x:c r="C50" s="37" t="str">
        <x:v>LJT-PERIOSURG</x:v>
      </x:c>
      <x:c r="D50" s="37" t="str">
        <x:v>牙周手術</x:v>
      </x:c>
      <x:c r="E50" s="37" t="str">
        <x:v>一般</x:v>
      </x:c>
      <x:c r="F50" s="37" t="str">
        <x:v>高複雜度</x:v>
      </x:c>
      <x:c r="G50" s="37" t="str">
        <x:v>COMMON-XRAY-RECORD</x:v>
      </x:c>
      <x:c r="H50" s="37" t="str">
        <x:v>待確認</x:v>
      </x:c>
      <x:c r="I50" s="37" t="str">
        <x:f>_xlfn.XLOOKUP($C50&amp;"|"&amp;$G50,'李醫師能力要求'!$M$7:$M$59,'李醫師能力要求'!$K$7:$K$59,"待確認",0)</x:f>
        <x:v>待確認</x:v>
      </x:c>
      <x:c r="J50" s="37" t="str">
        <x:v>◎</x:v>
      </x:c>
      <x:c r="K50" s="37" t="str">
        <x:v>Ø</x:v>
      </x:c>
      <x:c r="L50" s="48" t="str">
        <x:f>_xlfn.XLOOKUP($A50&amp;"|"&amp;$G50,'試行能力狀態'!$L$7:$L$258,'試行能力狀態'!$E$7:$E$258,"未評估",0)</x:f>
        <x:v>◎</x:v>
      </x:c>
      <x:c r="M50" s="48" t="str">
        <x:f>_xlfn.XLOOKUP($A50&amp;"|"&amp;$G50,'試行能力狀態'!$L$7:$L$258,'試行能力狀態'!$F$7:$F$258,"未建立",0)</x:f>
        <x:v>待主管核定</x:v>
      </x:c>
      <x:c r="N50" s="48" t="str">
        <x:f>IF($L50="◎","符合獨立",IF($L50="Ø","符合條件","不符合"))</x:f>
        <x:v>符合獨立</x:v>
      </x:c>
      <x:c r="O50" s="48" t="str">
        <x:f>_xlfn.XLOOKUP($A50&amp;"|李侑津醫師",'試行熟悉度'!$K$7:$K$20,'試行熟悉度'!$E$7:$E$20,"未評估",0)</x:f>
        <x:v>可獨立配合</x:v>
      </x:c>
      <x:c r="P50" s="48" t="str">
        <x:f>_xlfn.XLOOKUP($A50&amp;"|李侑津醫師",'試行熟悉度'!$K$7:$K$20,'試行熟悉度'!$F$7:$F$20,"未建立",0)</x:f>
        <x:v>待主管核定</x:v>
      </x:c>
      <x:c r="Q50" s="39" t="str">
        <x:v>確認後才納入自動判定</x:v>
      </x:c>
    </x:row>
    <x:row r="51">
      <x:c r="A51" s="37" t="str">
        <x:v>1001</x:v>
      </x:c>
      <x:c r="B51" s="37" t="str"/>
      <x:c r="C51" s="37" t="str">
        <x:v>LJT-MICROENDO</x:v>
      </x:c>
      <x:c r="D51" s="37" t="str">
        <x:v>顯微根管</x:v>
      </x:c>
      <x:c r="E51" s="37" t="str">
        <x:v>一般</x:v>
      </x:c>
      <x:c r="F51" s="37" t="str">
        <x:v>高複雜度</x:v>
      </x:c>
      <x:c r="G51" s="37" t="str">
        <x:v>LJT-PREP-MICROENDO</x:v>
      </x:c>
      <x:c r="H51" s="37" t="str">
        <x:v>必備</x:v>
      </x:c>
      <x:c r="I51" s="37" t="str">
        <x:f>_xlfn.XLOOKUP($C51&amp;"|"&amp;$G51,'李醫師能力要求'!$M$7:$M$59,'李醫師能力要求'!$K$7:$K$59,"待確認",0)</x:f>
        <x:v>已確認</x:v>
      </x:c>
      <x:c r="J51" s="37" t="str">
        <x:v>◎</x:v>
      </x:c>
      <x:c r="K51" s="37" t="str">
        <x:v>Ø</x:v>
      </x:c>
      <x:c r="L51" s="48" t="str">
        <x:f>_xlfn.XLOOKUP($A51&amp;"|"&amp;$G51,'試行能力狀態'!$L$7:$L$258,'試行能力狀態'!$E$7:$E$258,"未評估",0)</x:f>
        <x:v>◎</x:v>
      </x:c>
      <x:c r="M51" s="48" t="str">
        <x:f>_xlfn.XLOOKUP($A51&amp;"|"&amp;$G51,'試行能力狀態'!$L$7:$L$258,'試行能力狀態'!$F$7:$F$258,"未建立",0)</x:f>
        <x:v>待主管核定</x:v>
      </x:c>
      <x:c r="N51" s="48" t="str">
        <x:f>IF($L51="◎","符合獨立",IF($L51="Ø","符合條件","不符合"))</x:f>
        <x:v>符合獨立</x:v>
      </x:c>
      <x:c r="O51" s="48" t="str">
        <x:f>_xlfn.XLOOKUP($A51&amp;"|李侑津醫師",'試行熟悉度'!$K$7:$K$20,'試行熟悉度'!$E$7:$E$20,"未評估",0)</x:f>
        <x:v>可獨立配合</x:v>
      </x:c>
      <x:c r="P51" s="48" t="str">
        <x:f>_xlfn.XLOOKUP($A51&amp;"|李侑津醫師",'試行熟悉度'!$K$7:$K$20,'試行熟悉度'!$F$7:$F$20,"未建立",0)</x:f>
        <x:v>待主管核定</x:v>
      </x:c>
      <x:c r="Q51" s="39" t="str">
        <x:v>Ø 時完整支援者 1:1</x:v>
      </x:c>
    </x:row>
    <x:row r="52">
      <x:c r="A52" s="37" t="str">
        <x:v>1001</x:v>
      </x:c>
      <x:c r="B52" s="37" t="str"/>
      <x:c r="C52" s="37" t="str">
        <x:v>LJT-MICROENDO</x:v>
      </x:c>
      <x:c r="D52" s="37" t="str">
        <x:v>顯微根管</x:v>
      </x:c>
      <x:c r="E52" s="37" t="str">
        <x:v>一般</x:v>
      </x:c>
      <x:c r="F52" s="37" t="str">
        <x:v>高複雜度</x:v>
      </x:c>
      <x:c r="G52" s="37" t="str">
        <x:v>COMMON-RECORD</x:v>
      </x:c>
      <x:c r="H52" s="37" t="str">
        <x:v>待確認</x:v>
      </x:c>
      <x:c r="I52" s="37" t="str">
        <x:f>_xlfn.XLOOKUP($C52&amp;"|"&amp;$G52,'李醫師能力要求'!$M$7:$M$59,'李醫師能力要求'!$K$7:$K$59,"待確認",0)</x:f>
        <x:v>待確認</x:v>
      </x:c>
      <x:c r="J52" s="37" t="str">
        <x:v>◎</x:v>
      </x:c>
      <x:c r="K52" s="37" t="str">
        <x:v>Ø</x:v>
      </x:c>
      <x:c r="L52" s="48" t="str">
        <x:f>_xlfn.XLOOKUP($A52&amp;"|"&amp;$G52,'試行能力狀態'!$L$7:$L$258,'試行能力狀態'!$E$7:$E$258,"未評估",0)</x:f>
        <x:v>◎</x:v>
      </x:c>
      <x:c r="M52" s="48" t="str">
        <x:f>_xlfn.XLOOKUP($A52&amp;"|"&amp;$G52,'試行能力狀態'!$L$7:$L$258,'試行能力狀態'!$F$7:$F$258,"未建立",0)</x:f>
        <x:v>待主管核定</x:v>
      </x:c>
      <x:c r="N52" s="48" t="str">
        <x:f>IF($L52="◎","符合獨立",IF($L52="Ø","符合條件","不符合"))</x:f>
        <x:v>符合獨立</x:v>
      </x:c>
      <x:c r="O52" s="48" t="str">
        <x:f>_xlfn.XLOOKUP($A52&amp;"|李侑津醫師",'試行熟悉度'!$K$7:$K$20,'試行熟悉度'!$E$7:$E$20,"未評估",0)</x:f>
        <x:v>可獨立配合</x:v>
      </x:c>
      <x:c r="P52" s="48" t="str">
        <x:f>_xlfn.XLOOKUP($A52&amp;"|李侑津醫師",'試行熟悉度'!$K$7:$K$20,'試行熟悉度'!$F$7:$F$20,"未建立",0)</x:f>
        <x:v>待主管核定</x:v>
      </x:c>
      <x:c r="Q52" s="39" t="str">
        <x:v>確認後才納入自動判定</x:v>
      </x:c>
    </x:row>
    <x:row r="53">
      <x:c r="A53" s="37" t="str">
        <x:v>1001</x:v>
      </x:c>
      <x:c r="B53" s="37" t="str"/>
      <x:c r="C53" s="37" t="str">
        <x:v>LJT-MICROENDO</x:v>
      </x:c>
      <x:c r="D53" s="37" t="str">
        <x:v>顯微根管</x:v>
      </x:c>
      <x:c r="E53" s="37" t="str">
        <x:v>一般</x:v>
      </x:c>
      <x:c r="F53" s="37" t="str">
        <x:v>高複雜度</x:v>
      </x:c>
      <x:c r="G53" s="37" t="str">
        <x:v>COMMON-INSURANCE</x:v>
      </x:c>
      <x:c r="H53" s="37" t="str">
        <x:v>待確認</x:v>
      </x:c>
      <x:c r="I53" s="37" t="str">
        <x:f>_xlfn.XLOOKUP($C53&amp;"|"&amp;$G53,'李醫師能力要求'!$M$7:$M$59,'李醫師能力要求'!$K$7:$K$59,"待確認",0)</x:f>
        <x:v>待確認</x:v>
      </x:c>
      <x:c r="J53" s="37" t="str">
        <x:v>◎</x:v>
      </x:c>
      <x:c r="K53" s="37" t="str">
        <x:v>Ø</x:v>
      </x:c>
      <x:c r="L53" s="48" t="str">
        <x:f>_xlfn.XLOOKUP($A53&amp;"|"&amp;$G53,'試行能力狀態'!$L$7:$L$258,'試行能力狀態'!$E$7:$E$258,"未評估",0)</x:f>
        <x:v>◎</x:v>
      </x:c>
      <x:c r="M53" s="48" t="str">
        <x:f>_xlfn.XLOOKUP($A53&amp;"|"&amp;$G53,'試行能力狀態'!$L$7:$L$258,'試行能力狀態'!$F$7:$F$258,"未建立",0)</x:f>
        <x:v>待主管核定</x:v>
      </x:c>
      <x:c r="N53" s="48" t="str">
        <x:f>IF($L53="◎","符合獨立",IF($L53="Ø","符合條件","不符合"))</x:f>
        <x:v>符合獨立</x:v>
      </x:c>
      <x:c r="O53" s="48" t="str">
        <x:f>_xlfn.XLOOKUP($A53&amp;"|李侑津醫師",'試行熟悉度'!$K$7:$K$20,'試行熟悉度'!$E$7:$E$20,"未評估",0)</x:f>
        <x:v>可獨立配合</x:v>
      </x:c>
      <x:c r="P53" s="48" t="str">
        <x:f>_xlfn.XLOOKUP($A53&amp;"|李侑津醫師",'試行熟悉度'!$K$7:$K$20,'試行熟悉度'!$F$7:$F$20,"未建立",0)</x:f>
        <x:v>待主管核定</x:v>
      </x:c>
      <x:c r="Q53" s="39" t="str">
        <x:v>確認後才納入自動判定</x:v>
      </x:c>
    </x:row>
    <x:row r="54">
      <x:c r="A54" s="37" t="str">
        <x:v>1001</x:v>
      </x:c>
      <x:c r="B54" s="37" t="str"/>
      <x:c r="C54" s="37" t="str">
        <x:v>LJT-MICROENDO</x:v>
      </x:c>
      <x:c r="D54" s="37" t="str">
        <x:v>顯微根管</x:v>
      </x:c>
      <x:c r="E54" s="37" t="str">
        <x:v>一般</x:v>
      </x:c>
      <x:c r="F54" s="37" t="str">
        <x:v>高複雜度</x:v>
      </x:c>
      <x:c r="G54" s="37" t="str">
        <x:v>COMMON-XRAY-RECORD</x:v>
      </x:c>
      <x:c r="H54" s="37" t="str">
        <x:v>待確認</x:v>
      </x:c>
      <x:c r="I54" s="37" t="str">
        <x:f>_xlfn.XLOOKUP($C54&amp;"|"&amp;$G54,'李醫師能力要求'!$M$7:$M$59,'李醫師能力要求'!$K$7:$K$59,"待確認",0)</x:f>
        <x:v>待確認</x:v>
      </x:c>
      <x:c r="J54" s="37" t="str">
        <x:v>◎</x:v>
      </x:c>
      <x:c r="K54" s="37" t="str">
        <x:v>Ø</x:v>
      </x:c>
      <x:c r="L54" s="48" t="str">
        <x:f>_xlfn.XLOOKUP($A54&amp;"|"&amp;$G54,'試行能力狀態'!$L$7:$L$258,'試行能力狀態'!$E$7:$E$258,"未評估",0)</x:f>
        <x:v>◎</x:v>
      </x:c>
      <x:c r="M54" s="48" t="str">
        <x:f>_xlfn.XLOOKUP($A54&amp;"|"&amp;$G54,'試行能力狀態'!$L$7:$L$258,'試行能力狀態'!$F$7:$F$258,"未建立",0)</x:f>
        <x:v>待主管核定</x:v>
      </x:c>
      <x:c r="N54" s="48" t="str">
        <x:f>IF($L54="◎","符合獨立",IF($L54="Ø","符合條件","不符合"))</x:f>
        <x:v>符合獨立</x:v>
      </x:c>
      <x:c r="O54" s="48" t="str">
        <x:f>_xlfn.XLOOKUP($A54&amp;"|李侑津醫師",'試行熟悉度'!$K$7:$K$20,'試行熟悉度'!$E$7:$E$20,"未評估",0)</x:f>
        <x:v>可獨立配合</x:v>
      </x:c>
      <x:c r="P54" s="48" t="str">
        <x:f>_xlfn.XLOOKUP($A54&amp;"|李侑津醫師",'試行熟悉度'!$K$7:$K$20,'試行熟悉度'!$F$7:$F$20,"未建立",0)</x:f>
        <x:v>待主管核定</x:v>
      </x:c>
      <x:c r="Q54" s="39" t="str">
        <x:v>確認後才納入自動判定</x:v>
      </x:c>
    </x:row>
    <x:row r="55">
      <x:c r="A55" s="37" t="str">
        <x:v>1001</x:v>
      </x:c>
      <x:c r="B55" s="37" t="str"/>
      <x:c r="C55" s="37" t="str">
        <x:v>LJT-IMPLANT</x:v>
      </x:c>
      <x:c r="D55" s="37" t="str">
        <x:v>植牙</x:v>
      </x:c>
      <x:c r="E55" s="37" t="str">
        <x:v>一般</x:v>
      </x:c>
      <x:c r="F55" s="37" t="str">
        <x:v>高複雜度</x:v>
      </x:c>
      <x:c r="G55" s="37" t="str">
        <x:v>LJT-PREP-IMPLANT</x:v>
      </x:c>
      <x:c r="H55" s="37" t="str">
        <x:v>必備</x:v>
      </x:c>
      <x:c r="I55" s="37" t="str">
        <x:f>_xlfn.XLOOKUP($C55&amp;"|"&amp;$G55,'李醫師能力要求'!$M$7:$M$59,'李醫師能力要求'!$K$7:$K$59,"待確認",0)</x:f>
        <x:v>已確認</x:v>
      </x:c>
      <x:c r="J55" s="37" t="str">
        <x:v>◎</x:v>
      </x:c>
      <x:c r="K55" s="37" t="str">
        <x:v>Ø</x:v>
      </x:c>
      <x:c r="L55" s="48" t="str">
        <x:f>_xlfn.XLOOKUP($A55&amp;"|"&amp;$G55,'試行能力狀態'!$L$7:$L$258,'試行能力狀態'!$E$7:$E$258,"未評估",0)</x:f>
        <x:v>◎</x:v>
      </x:c>
      <x:c r="M55" s="48" t="str">
        <x:f>_xlfn.XLOOKUP($A55&amp;"|"&amp;$G55,'試行能力狀態'!$L$7:$L$258,'試行能力狀態'!$F$7:$F$258,"未建立",0)</x:f>
        <x:v>待主管核定</x:v>
      </x:c>
      <x:c r="N55" s="48" t="str">
        <x:f>IF($L55="◎","符合獨立",IF($L55="Ø","符合條件","不符合"))</x:f>
        <x:v>符合獨立</x:v>
      </x:c>
      <x:c r="O55" s="48" t="str">
        <x:f>_xlfn.XLOOKUP($A55&amp;"|李侑津醫師",'試行熟悉度'!$K$7:$K$20,'試行熟悉度'!$E$7:$E$20,"未評估",0)</x:f>
        <x:v>可獨立配合</x:v>
      </x:c>
      <x:c r="P55" s="48" t="str">
        <x:f>_xlfn.XLOOKUP($A55&amp;"|李侑津醫師",'試行熟悉度'!$K$7:$K$20,'試行熟悉度'!$F$7:$F$20,"未建立",0)</x:f>
        <x:v>待主管核定</x:v>
      </x:c>
      <x:c r="Q55" s="39" t="str">
        <x:v>Ø 時完整支援者 1:1</x:v>
      </x:c>
    </x:row>
    <x:row r="56">
      <x:c r="A56" s="37" t="str">
        <x:v>1001</x:v>
      </x:c>
      <x:c r="B56" s="37" t="str"/>
      <x:c r="C56" s="37" t="str">
        <x:v>LJT-IMPLANT</x:v>
      </x:c>
      <x:c r="D56" s="37" t="str">
        <x:v>植牙</x:v>
      </x:c>
      <x:c r="E56" s="37" t="str">
        <x:v>一般</x:v>
      </x:c>
      <x:c r="F56" s="37" t="str">
        <x:v>高複雜度</x:v>
      </x:c>
      <x:c r="G56" s="37" t="str">
        <x:v>COMMON-RECORD</x:v>
      </x:c>
      <x:c r="H56" s="37" t="str">
        <x:v>待確認</x:v>
      </x:c>
      <x:c r="I56" s="37" t="str">
        <x:f>_xlfn.XLOOKUP($C56&amp;"|"&amp;$G56,'李醫師能力要求'!$M$7:$M$59,'李醫師能力要求'!$K$7:$K$59,"待確認",0)</x:f>
        <x:v>待確認</x:v>
      </x:c>
      <x:c r="J56" s="37" t="str">
        <x:v>◎</x:v>
      </x:c>
      <x:c r="K56" s="37" t="str">
        <x:v>Ø</x:v>
      </x:c>
      <x:c r="L56" s="48" t="str">
        <x:f>_xlfn.XLOOKUP($A56&amp;"|"&amp;$G56,'試行能力狀態'!$L$7:$L$258,'試行能力狀態'!$E$7:$E$258,"未評估",0)</x:f>
        <x:v>◎</x:v>
      </x:c>
      <x:c r="M56" s="48" t="str">
        <x:f>_xlfn.XLOOKUP($A56&amp;"|"&amp;$G56,'試行能力狀態'!$L$7:$L$258,'試行能力狀態'!$F$7:$F$258,"未建立",0)</x:f>
        <x:v>待主管核定</x:v>
      </x:c>
      <x:c r="N56" s="48" t="str">
        <x:f>IF($L56="◎","符合獨立",IF($L56="Ø","符合條件","不符合"))</x:f>
        <x:v>符合獨立</x:v>
      </x:c>
      <x:c r="O56" s="48" t="str">
        <x:f>_xlfn.XLOOKUP($A56&amp;"|李侑津醫師",'試行熟悉度'!$K$7:$K$20,'試行熟悉度'!$E$7:$E$20,"未評估",0)</x:f>
        <x:v>可獨立配合</x:v>
      </x:c>
      <x:c r="P56" s="48" t="str">
        <x:f>_xlfn.XLOOKUP($A56&amp;"|李侑津醫師",'試行熟悉度'!$K$7:$K$20,'試行熟悉度'!$F$7:$F$20,"未建立",0)</x:f>
        <x:v>待主管核定</x:v>
      </x:c>
      <x:c r="Q56" s="39" t="str">
        <x:v>確認後才納入自動判定</x:v>
      </x:c>
    </x:row>
    <x:row r="57">
      <x:c r="A57" s="37" t="str">
        <x:v>1001</x:v>
      </x:c>
      <x:c r="B57" s="37" t="str"/>
      <x:c r="C57" s="37" t="str">
        <x:v>LJT-IMPLANT</x:v>
      </x:c>
      <x:c r="D57" s="37" t="str">
        <x:v>植牙</x:v>
      </x:c>
      <x:c r="E57" s="37" t="str">
        <x:v>一般</x:v>
      </x:c>
      <x:c r="F57" s="37" t="str">
        <x:v>高複雜度</x:v>
      </x:c>
      <x:c r="G57" s="37" t="str">
        <x:v>COMMON-INSURANCE</x:v>
      </x:c>
      <x:c r="H57" s="37" t="str">
        <x:v>待確認</x:v>
      </x:c>
      <x:c r="I57" s="37" t="str">
        <x:f>_xlfn.XLOOKUP($C57&amp;"|"&amp;$G57,'李醫師能力要求'!$M$7:$M$59,'李醫師能力要求'!$K$7:$K$59,"待確認",0)</x:f>
        <x:v>待確認</x:v>
      </x:c>
      <x:c r="J57" s="37" t="str">
        <x:v>◎</x:v>
      </x:c>
      <x:c r="K57" s="37" t="str">
        <x:v>Ø</x:v>
      </x:c>
      <x:c r="L57" s="48" t="str">
        <x:f>_xlfn.XLOOKUP($A57&amp;"|"&amp;$G57,'試行能力狀態'!$L$7:$L$258,'試行能力狀態'!$E$7:$E$258,"未評估",0)</x:f>
        <x:v>◎</x:v>
      </x:c>
      <x:c r="M57" s="48" t="str">
        <x:f>_xlfn.XLOOKUP($A57&amp;"|"&amp;$G57,'試行能力狀態'!$L$7:$L$258,'試行能力狀態'!$F$7:$F$258,"未建立",0)</x:f>
        <x:v>待主管核定</x:v>
      </x:c>
      <x:c r="N57" s="48" t="str">
        <x:f>IF($L57="◎","符合獨立",IF($L57="Ø","符合條件","不符合"))</x:f>
        <x:v>符合獨立</x:v>
      </x:c>
      <x:c r="O57" s="48" t="str">
        <x:f>_xlfn.XLOOKUP($A57&amp;"|李侑津醫師",'試行熟悉度'!$K$7:$K$20,'試行熟悉度'!$E$7:$E$20,"未評估",0)</x:f>
        <x:v>可獨立配合</x:v>
      </x:c>
      <x:c r="P57" s="48" t="str">
        <x:f>_xlfn.XLOOKUP($A57&amp;"|李侑津醫師",'試行熟悉度'!$K$7:$K$20,'試行熟悉度'!$F$7:$F$20,"未建立",0)</x:f>
        <x:v>待主管核定</x:v>
      </x:c>
      <x:c r="Q57" s="39" t="str">
        <x:v>確認後才納入自動判定</x:v>
      </x:c>
    </x:row>
    <x:row r="58">
      <x:c r="A58" s="37" t="str">
        <x:v>1001</x:v>
      </x:c>
      <x:c r="B58" s="37" t="str"/>
      <x:c r="C58" s="37" t="str">
        <x:v>LJT-IMPLANT</x:v>
      </x:c>
      <x:c r="D58" s="37" t="str">
        <x:v>植牙</x:v>
      </x:c>
      <x:c r="E58" s="37" t="str">
        <x:v>一般</x:v>
      </x:c>
      <x:c r="F58" s="37" t="str">
        <x:v>高複雜度</x:v>
      </x:c>
      <x:c r="G58" s="37" t="str">
        <x:v>COMMON-XRAY-RECORD</x:v>
      </x:c>
      <x:c r="H58" s="37" t="str">
        <x:v>待確認</x:v>
      </x:c>
      <x:c r="I58" s="37" t="str">
        <x:f>_xlfn.XLOOKUP($C58&amp;"|"&amp;$G58,'李醫師能力要求'!$M$7:$M$59,'李醫師能力要求'!$K$7:$K$59,"待確認",0)</x:f>
        <x:v>待確認</x:v>
      </x:c>
      <x:c r="J58" s="37" t="str">
        <x:v>◎</x:v>
      </x:c>
      <x:c r="K58" s="37" t="str">
        <x:v>Ø</x:v>
      </x:c>
      <x:c r="L58" s="48" t="str">
        <x:f>_xlfn.XLOOKUP($A58&amp;"|"&amp;$G58,'試行能力狀態'!$L$7:$L$258,'試行能力狀態'!$E$7:$E$258,"未評估",0)</x:f>
        <x:v>◎</x:v>
      </x:c>
      <x:c r="M58" s="48" t="str">
        <x:f>_xlfn.XLOOKUP($A58&amp;"|"&amp;$G58,'試行能力狀態'!$L$7:$L$258,'試行能力狀態'!$F$7:$F$258,"未建立",0)</x:f>
        <x:v>待主管核定</x:v>
      </x:c>
      <x:c r="N58" s="48" t="str">
        <x:f>IF($L58="◎","符合獨立",IF($L58="Ø","符合條件","不符合"))</x:f>
        <x:v>符合獨立</x:v>
      </x:c>
      <x:c r="O58" s="48" t="str">
        <x:f>_xlfn.XLOOKUP($A58&amp;"|李侑津醫師",'試行熟悉度'!$K$7:$K$20,'試行熟悉度'!$E$7:$E$20,"未評估",0)</x:f>
        <x:v>可獨立配合</x:v>
      </x:c>
      <x:c r="P58" s="48" t="str">
        <x:f>_xlfn.XLOOKUP($A58&amp;"|李侑津醫師",'試行熟悉度'!$K$7:$K$20,'試行熟悉度'!$F$7:$F$20,"未建立",0)</x:f>
        <x:v>待主管核定</x:v>
      </x:c>
      <x:c r="Q58" s="39" t="str">
        <x:v>確認後才納入自動判定</x:v>
      </x:c>
    </x:row>
    <x:row r="59">
      <x:c r="A59" s="37" t="str">
        <x:v>1004</x:v>
      </x:c>
      <x:c r="B59" s="37" t="str"/>
      <x:c r="C59" s="37" t="str">
        <x:v>LJT-SCALING</x:v>
      </x:c>
      <x:c r="D59" s="37" t="str">
        <x:v>洗牙</x:v>
      </x:c>
      <x:c r="E59" s="37" t="str">
        <x:v>一般</x:v>
      </x:c>
      <x:c r="F59" s="37" t="str">
        <x:v>一般</x:v>
      </x:c>
      <x:c r="G59" s="37" t="str">
        <x:v>LJT-PREP-SCALING</x:v>
      </x:c>
      <x:c r="H59" s="37" t="str">
        <x:v>必備</x:v>
      </x:c>
      <x:c r="I59" s="37" t="str">
        <x:f>_xlfn.XLOOKUP($C59&amp;"|"&amp;$G59,'李醫師能力要求'!$M$7:$M$59,'李醫師能力要求'!$K$7:$K$59,"待確認",0)</x:f>
        <x:v>已確認</x:v>
      </x:c>
      <x:c r="J59" s="37" t="str">
        <x:v>◎</x:v>
      </x:c>
      <x:c r="K59" s="37" t="str">
        <x:v>Ø</x:v>
      </x:c>
      <x:c r="L59" s="48" t="str">
        <x:f>_xlfn.XLOOKUP($A59&amp;"|"&amp;$G59,'試行能力狀態'!$L$7:$L$258,'試行能力狀態'!$E$7:$E$258,"未評估",0)</x:f>
        <x:v>◎</x:v>
      </x:c>
      <x:c r="M59" s="48" t="str">
        <x:f>_xlfn.XLOOKUP($A59&amp;"|"&amp;$G59,'試行能力狀態'!$L$7:$L$258,'試行能力狀態'!$F$7:$F$258,"未建立",0)</x:f>
        <x:v>待主管核定</x:v>
      </x:c>
      <x:c r="N59" s="48" t="str">
        <x:f>IF($L59="◎","符合獨立",IF($L59="Ø","符合條件","不符合"))</x:f>
        <x:v>符合獨立</x:v>
      </x:c>
      <x:c r="O59" s="48" t="str">
        <x:f>_xlfn.XLOOKUP($A59&amp;"|李侑津醫師",'試行熟悉度'!$K$7:$K$20,'試行熟悉度'!$E$7:$E$20,"未評估",0)</x:f>
        <x:v>可獨立配合</x:v>
      </x:c>
      <x:c r="P59" s="48" t="str">
        <x:f>_xlfn.XLOOKUP($A59&amp;"|李侑津醫師",'試行熟悉度'!$K$7:$K$20,'試行熟悉度'!$F$7:$F$20,"未建立",0)</x:f>
        <x:v>待主管核定</x:v>
      </x:c>
      <x:c r="Q59" s="39" t="str">
        <x:v>依一般支援名額</x:v>
      </x:c>
    </x:row>
    <x:row r="60">
      <x:c r="A60" s="37" t="str">
        <x:v>1004</x:v>
      </x:c>
      <x:c r="B60" s="37" t="str"/>
      <x:c r="C60" s="37" t="str">
        <x:v>LJT-SCALING</x:v>
      </x:c>
      <x:c r="D60" s="37" t="str">
        <x:v>洗牙</x:v>
      </x:c>
      <x:c r="E60" s="37" t="str">
        <x:v>一般</x:v>
      </x:c>
      <x:c r="F60" s="37" t="str">
        <x:v>一般</x:v>
      </x:c>
      <x:c r="G60" s="37" t="str">
        <x:v>COMMON-RECORD</x:v>
      </x:c>
      <x:c r="H60" s="37" t="str">
        <x:v>待確認</x:v>
      </x:c>
      <x:c r="I60" s="37" t="str">
        <x:f>_xlfn.XLOOKUP($C60&amp;"|"&amp;$G60,'李醫師能力要求'!$M$7:$M$59,'李醫師能力要求'!$K$7:$K$59,"待確認",0)</x:f>
        <x:v>待確認</x:v>
      </x:c>
      <x:c r="J60" s="37" t="str">
        <x:v>◎</x:v>
      </x:c>
      <x:c r="K60" s="37" t="str">
        <x:v>Ø</x:v>
      </x:c>
      <x:c r="L60" s="48" t="str">
        <x:f>_xlfn.XLOOKUP($A60&amp;"|"&amp;$G60,'試行能力狀態'!$L$7:$L$258,'試行能力狀態'!$E$7:$E$258,"未評估",0)</x:f>
        <x:v>◎</x:v>
      </x:c>
      <x:c r="M60" s="48" t="str">
        <x:f>_xlfn.XLOOKUP($A60&amp;"|"&amp;$G60,'試行能力狀態'!$L$7:$L$258,'試行能力狀態'!$F$7:$F$258,"未建立",0)</x:f>
        <x:v>待主管核定</x:v>
      </x:c>
      <x:c r="N60" s="48" t="str">
        <x:f>IF($L60="◎","符合獨立",IF($L60="Ø","符合條件","不符合"))</x:f>
        <x:v>符合獨立</x:v>
      </x:c>
      <x:c r="O60" s="48" t="str">
        <x:f>_xlfn.XLOOKUP($A60&amp;"|李侑津醫師",'試行熟悉度'!$K$7:$K$20,'試行熟悉度'!$E$7:$E$20,"未評估",0)</x:f>
        <x:v>可獨立配合</x:v>
      </x:c>
      <x:c r="P60" s="48" t="str">
        <x:f>_xlfn.XLOOKUP($A60&amp;"|李侑津醫師",'試行熟悉度'!$K$7:$K$20,'試行熟悉度'!$F$7:$F$20,"未建立",0)</x:f>
        <x:v>待主管核定</x:v>
      </x:c>
      <x:c r="Q60" s="39" t="str">
        <x:v>確認後才納入自動判定</x:v>
      </x:c>
    </x:row>
    <x:row r="61">
      <x:c r="A61" s="37" t="str">
        <x:v>1004</x:v>
      </x:c>
      <x:c r="B61" s="37" t="str"/>
      <x:c r="C61" s="37" t="str">
        <x:v>LJT-SCALING</x:v>
      </x:c>
      <x:c r="D61" s="37" t="str">
        <x:v>洗牙</x:v>
      </x:c>
      <x:c r="E61" s="37" t="str">
        <x:v>一般</x:v>
      </x:c>
      <x:c r="F61" s="37" t="str">
        <x:v>一般</x:v>
      </x:c>
      <x:c r="G61" s="37" t="str">
        <x:v>COMMON-INSURANCE</x:v>
      </x:c>
      <x:c r="H61" s="37" t="str">
        <x:v>待確認</x:v>
      </x:c>
      <x:c r="I61" s="37" t="str">
        <x:f>_xlfn.XLOOKUP($C61&amp;"|"&amp;$G61,'李醫師能力要求'!$M$7:$M$59,'李醫師能力要求'!$K$7:$K$59,"待確認",0)</x:f>
        <x:v>待確認</x:v>
      </x:c>
      <x:c r="J61" s="37" t="str">
        <x:v>◎</x:v>
      </x:c>
      <x:c r="K61" s="37" t="str">
        <x:v>Ø</x:v>
      </x:c>
      <x:c r="L61" s="48" t="str">
        <x:f>_xlfn.XLOOKUP($A61&amp;"|"&amp;$G61,'試行能力狀態'!$L$7:$L$258,'試行能力狀態'!$E$7:$E$258,"未評估",0)</x:f>
        <x:v>◎</x:v>
      </x:c>
      <x:c r="M61" s="48" t="str">
        <x:f>_xlfn.XLOOKUP($A61&amp;"|"&amp;$G61,'試行能力狀態'!$L$7:$L$258,'試行能力狀態'!$F$7:$F$258,"未建立",0)</x:f>
        <x:v>待主管核定</x:v>
      </x:c>
      <x:c r="N61" s="48" t="str">
        <x:f>IF($L61="◎","符合獨立",IF($L61="Ø","符合條件","不符合"))</x:f>
        <x:v>符合獨立</x:v>
      </x:c>
      <x:c r="O61" s="48" t="str">
        <x:f>_xlfn.XLOOKUP($A61&amp;"|李侑津醫師",'試行熟悉度'!$K$7:$K$20,'試行熟悉度'!$E$7:$E$20,"未評估",0)</x:f>
        <x:v>可獨立配合</x:v>
      </x:c>
      <x:c r="P61" s="48" t="str">
        <x:f>_xlfn.XLOOKUP($A61&amp;"|李侑津醫師",'試行熟悉度'!$K$7:$K$20,'試行熟悉度'!$F$7:$F$20,"未建立",0)</x:f>
        <x:v>待主管核定</x:v>
      </x:c>
      <x:c r="Q61" s="39" t="str">
        <x:v>確認後才納入自動判定</x:v>
      </x:c>
    </x:row>
    <x:row r="62">
      <x:c r="A62" s="37" t="str">
        <x:v>1004</x:v>
      </x:c>
      <x:c r="B62" s="37" t="str"/>
      <x:c r="C62" s="37" t="str">
        <x:v>LJT-SCALING</x:v>
      </x:c>
      <x:c r="D62" s="37" t="str">
        <x:v>洗牙</x:v>
      </x:c>
      <x:c r="E62" s="37" t="str">
        <x:v>一般</x:v>
      </x:c>
      <x:c r="F62" s="37" t="str">
        <x:v>一般</x:v>
      </x:c>
      <x:c r="G62" s="37" t="str">
        <x:v>COMMON-XRAY-RECORD</x:v>
      </x:c>
      <x:c r="H62" s="37" t="str">
        <x:v>待確認</x:v>
      </x:c>
      <x:c r="I62" s="37" t="str">
        <x:f>_xlfn.XLOOKUP($C62&amp;"|"&amp;$G62,'李醫師能力要求'!$M$7:$M$59,'李醫師能力要求'!$K$7:$K$59,"待確認",0)</x:f>
        <x:v>待確認</x:v>
      </x:c>
      <x:c r="J62" s="37" t="str">
        <x:v>◎</x:v>
      </x:c>
      <x:c r="K62" s="37" t="str">
        <x:v>Ø</x:v>
      </x:c>
      <x:c r="L62" s="48" t="str">
        <x:f>_xlfn.XLOOKUP($A62&amp;"|"&amp;$G62,'試行能力狀態'!$L$7:$L$258,'試行能力狀態'!$E$7:$E$258,"未評估",0)</x:f>
        <x:v>◎</x:v>
      </x:c>
      <x:c r="M62" s="48" t="str">
        <x:f>_xlfn.XLOOKUP($A62&amp;"|"&amp;$G62,'試行能力狀態'!$L$7:$L$258,'試行能力狀態'!$F$7:$F$258,"未建立",0)</x:f>
        <x:v>待主管核定</x:v>
      </x:c>
      <x:c r="N62" s="48" t="str">
        <x:f>IF($L62="◎","符合獨立",IF($L62="Ø","符合條件","不符合"))</x:f>
        <x:v>符合獨立</x:v>
      </x:c>
      <x:c r="O62" s="48" t="str">
        <x:f>_xlfn.XLOOKUP($A62&amp;"|李侑津醫師",'試行熟悉度'!$K$7:$K$20,'試行熟悉度'!$E$7:$E$20,"未評估",0)</x:f>
        <x:v>可獨立配合</x:v>
      </x:c>
      <x:c r="P62" s="48" t="str">
        <x:f>_xlfn.XLOOKUP($A62&amp;"|李侑津醫師",'試行熟悉度'!$K$7:$K$20,'試行熟悉度'!$F$7:$F$20,"未建立",0)</x:f>
        <x:v>待主管核定</x:v>
      </x:c>
      <x:c r="Q62" s="39" t="str">
        <x:v>確認後才納入自動判定</x:v>
      </x:c>
    </x:row>
    <x:row r="63">
      <x:c r="A63" s="37" t="str">
        <x:v>1004</x:v>
      </x:c>
      <x:c r="B63" s="37" t="str"/>
      <x:c r="C63" s="37" t="str">
        <x:v>LJT-FILLING</x:v>
      </x:c>
      <x:c r="D63" s="37" t="str">
        <x:v>補牙</x:v>
      </x:c>
      <x:c r="E63" s="37" t="str">
        <x:v>一般</x:v>
      </x:c>
      <x:c r="F63" s="37" t="str">
        <x:v>一般</x:v>
      </x:c>
      <x:c r="G63" s="37" t="str">
        <x:v>LJT-PREP-FILLING</x:v>
      </x:c>
      <x:c r="H63" s="37" t="str">
        <x:v>必備</x:v>
      </x:c>
      <x:c r="I63" s="37" t="str">
        <x:f>_xlfn.XLOOKUP($C63&amp;"|"&amp;$G63,'李醫師能力要求'!$M$7:$M$59,'李醫師能力要求'!$K$7:$K$59,"待確認",0)</x:f>
        <x:v>已確認</x:v>
      </x:c>
      <x:c r="J63" s="37" t="str">
        <x:v>◎</x:v>
      </x:c>
      <x:c r="K63" s="37" t="str">
        <x:v>Ø</x:v>
      </x:c>
      <x:c r="L63" s="48" t="str">
        <x:f>_xlfn.XLOOKUP($A63&amp;"|"&amp;$G63,'試行能力狀態'!$L$7:$L$258,'試行能力狀態'!$E$7:$E$258,"未評估",0)</x:f>
        <x:v>◎</x:v>
      </x:c>
      <x:c r="M63" s="48" t="str">
        <x:f>_xlfn.XLOOKUP($A63&amp;"|"&amp;$G63,'試行能力狀態'!$L$7:$L$258,'試行能力狀態'!$F$7:$F$258,"未建立",0)</x:f>
        <x:v>待主管核定</x:v>
      </x:c>
      <x:c r="N63" s="48" t="str">
        <x:f>IF($L63="◎","符合獨立",IF($L63="Ø","符合條件","不符合"))</x:f>
        <x:v>符合獨立</x:v>
      </x:c>
      <x:c r="O63" s="48" t="str">
        <x:f>_xlfn.XLOOKUP($A63&amp;"|李侑津醫師",'試行熟悉度'!$K$7:$K$20,'試行熟悉度'!$E$7:$E$20,"未評估",0)</x:f>
        <x:v>可獨立配合</x:v>
      </x:c>
      <x:c r="P63" s="48" t="str">
        <x:f>_xlfn.XLOOKUP($A63&amp;"|李侑津醫師",'試行熟悉度'!$K$7:$K$20,'試行熟悉度'!$F$7:$F$20,"未建立",0)</x:f>
        <x:v>待主管核定</x:v>
      </x:c>
      <x:c r="Q63" s="39" t="str">
        <x:v>依一般支援名額</x:v>
      </x:c>
    </x:row>
    <x:row r="64">
      <x:c r="A64" s="37" t="str">
        <x:v>1004</x:v>
      </x:c>
      <x:c r="B64" s="37" t="str"/>
      <x:c r="C64" s="37" t="str">
        <x:v>LJT-FILLING</x:v>
      </x:c>
      <x:c r="D64" s="37" t="str">
        <x:v>補牙</x:v>
      </x:c>
      <x:c r="E64" s="37" t="str">
        <x:v>一般</x:v>
      </x:c>
      <x:c r="F64" s="37" t="str">
        <x:v>一般</x:v>
      </x:c>
      <x:c r="G64" s="37" t="str">
        <x:v>COMMON-RECORD</x:v>
      </x:c>
      <x:c r="H64" s="37" t="str">
        <x:v>待確認</x:v>
      </x:c>
      <x:c r="I64" s="37" t="str">
        <x:f>_xlfn.XLOOKUP($C64&amp;"|"&amp;$G64,'李醫師能力要求'!$M$7:$M$59,'李醫師能力要求'!$K$7:$K$59,"待確認",0)</x:f>
        <x:v>待確認</x:v>
      </x:c>
      <x:c r="J64" s="37" t="str">
        <x:v>◎</x:v>
      </x:c>
      <x:c r="K64" s="37" t="str">
        <x:v>Ø</x:v>
      </x:c>
      <x:c r="L64" s="48" t="str">
        <x:f>_xlfn.XLOOKUP($A64&amp;"|"&amp;$G64,'試行能力狀態'!$L$7:$L$258,'試行能力狀態'!$E$7:$E$258,"未評估",0)</x:f>
        <x:v>◎</x:v>
      </x:c>
      <x:c r="M64" s="48" t="str">
        <x:f>_xlfn.XLOOKUP($A64&amp;"|"&amp;$G64,'試行能力狀態'!$L$7:$L$258,'試行能力狀態'!$F$7:$F$258,"未建立",0)</x:f>
        <x:v>待主管核定</x:v>
      </x:c>
      <x:c r="N64" s="48" t="str">
        <x:f>IF($L64="◎","符合獨立",IF($L64="Ø","符合條件","不符合"))</x:f>
        <x:v>符合獨立</x:v>
      </x:c>
      <x:c r="O64" s="48" t="str">
        <x:f>_xlfn.XLOOKUP($A64&amp;"|李侑津醫師",'試行熟悉度'!$K$7:$K$20,'試行熟悉度'!$E$7:$E$20,"未評估",0)</x:f>
        <x:v>可獨立配合</x:v>
      </x:c>
      <x:c r="P64" s="48" t="str">
        <x:f>_xlfn.XLOOKUP($A64&amp;"|李侑津醫師",'試行熟悉度'!$K$7:$K$20,'試行熟悉度'!$F$7:$F$20,"未建立",0)</x:f>
        <x:v>待主管核定</x:v>
      </x:c>
      <x:c r="Q64" s="39" t="str">
        <x:v>確認後才納入自動判定</x:v>
      </x:c>
    </x:row>
    <x:row r="65">
      <x:c r="A65" s="37" t="str">
        <x:v>1004</x:v>
      </x:c>
      <x:c r="B65" s="37" t="str"/>
      <x:c r="C65" s="37" t="str">
        <x:v>LJT-FILLING</x:v>
      </x:c>
      <x:c r="D65" s="37" t="str">
        <x:v>補牙</x:v>
      </x:c>
      <x:c r="E65" s="37" t="str">
        <x:v>一般</x:v>
      </x:c>
      <x:c r="F65" s="37" t="str">
        <x:v>一般</x:v>
      </x:c>
      <x:c r="G65" s="37" t="str">
        <x:v>COMMON-INSURANCE</x:v>
      </x:c>
      <x:c r="H65" s="37" t="str">
        <x:v>待確認</x:v>
      </x:c>
      <x:c r="I65" s="37" t="str">
        <x:f>_xlfn.XLOOKUP($C65&amp;"|"&amp;$G65,'李醫師能力要求'!$M$7:$M$59,'李醫師能力要求'!$K$7:$K$59,"待確認",0)</x:f>
        <x:v>待確認</x:v>
      </x:c>
      <x:c r="J65" s="37" t="str">
        <x:v>◎</x:v>
      </x:c>
      <x:c r="K65" s="37" t="str">
        <x:v>Ø</x:v>
      </x:c>
      <x:c r="L65" s="48" t="str">
        <x:f>_xlfn.XLOOKUP($A65&amp;"|"&amp;$G65,'試行能力狀態'!$L$7:$L$258,'試行能力狀態'!$E$7:$E$258,"未評估",0)</x:f>
        <x:v>◎</x:v>
      </x:c>
      <x:c r="M65" s="48" t="str">
        <x:f>_xlfn.XLOOKUP($A65&amp;"|"&amp;$G65,'試行能力狀態'!$L$7:$L$258,'試行能力狀態'!$F$7:$F$258,"未建立",0)</x:f>
        <x:v>待主管核定</x:v>
      </x:c>
      <x:c r="N65" s="48" t="str">
        <x:f>IF($L65="◎","符合獨立",IF($L65="Ø","符合條件","不符合"))</x:f>
        <x:v>符合獨立</x:v>
      </x:c>
      <x:c r="O65" s="48" t="str">
        <x:f>_xlfn.XLOOKUP($A65&amp;"|李侑津醫師",'試行熟悉度'!$K$7:$K$20,'試行熟悉度'!$E$7:$E$20,"未評估",0)</x:f>
        <x:v>可獨立配合</x:v>
      </x:c>
      <x:c r="P65" s="48" t="str">
        <x:f>_xlfn.XLOOKUP($A65&amp;"|李侑津醫師",'試行熟悉度'!$K$7:$K$20,'試行熟悉度'!$F$7:$F$20,"未建立",0)</x:f>
        <x:v>待主管核定</x:v>
      </x:c>
      <x:c r="Q65" s="39" t="str">
        <x:v>確認後才納入自動判定</x:v>
      </x:c>
    </x:row>
    <x:row r="66">
      <x:c r="A66" s="37" t="str">
        <x:v>1004</x:v>
      </x:c>
      <x:c r="B66" s="37" t="str"/>
      <x:c r="C66" s="37" t="str">
        <x:v>LJT-FILLING</x:v>
      </x:c>
      <x:c r="D66" s="37" t="str">
        <x:v>補牙</x:v>
      </x:c>
      <x:c r="E66" s="37" t="str">
        <x:v>一般</x:v>
      </x:c>
      <x:c r="F66" s="37" t="str">
        <x:v>一般</x:v>
      </x:c>
      <x:c r="G66" s="37" t="str">
        <x:v>COMMON-XRAY-RECORD</x:v>
      </x:c>
      <x:c r="H66" s="37" t="str">
        <x:v>待確認</x:v>
      </x:c>
      <x:c r="I66" s="37" t="str">
        <x:f>_xlfn.XLOOKUP($C66&amp;"|"&amp;$G66,'李醫師能力要求'!$M$7:$M$59,'李醫師能力要求'!$K$7:$K$59,"待確認",0)</x:f>
        <x:v>待確認</x:v>
      </x:c>
      <x:c r="J66" s="37" t="str">
        <x:v>◎</x:v>
      </x:c>
      <x:c r="K66" s="37" t="str">
        <x:v>Ø</x:v>
      </x:c>
      <x:c r="L66" s="48" t="str">
        <x:f>_xlfn.XLOOKUP($A66&amp;"|"&amp;$G66,'試行能力狀態'!$L$7:$L$258,'試行能力狀態'!$E$7:$E$258,"未評估",0)</x:f>
        <x:v>◎</x:v>
      </x:c>
      <x:c r="M66" s="48" t="str">
        <x:f>_xlfn.XLOOKUP($A66&amp;"|"&amp;$G66,'試行能力狀態'!$L$7:$L$258,'試行能力狀態'!$F$7:$F$258,"未建立",0)</x:f>
        <x:v>待主管核定</x:v>
      </x:c>
      <x:c r="N66" s="48" t="str">
        <x:f>IF($L66="◎","符合獨立",IF($L66="Ø","符合條件","不符合"))</x:f>
        <x:v>符合獨立</x:v>
      </x:c>
      <x:c r="O66" s="48" t="str">
        <x:f>_xlfn.XLOOKUP($A66&amp;"|李侑津醫師",'試行熟悉度'!$K$7:$K$20,'試行熟悉度'!$E$7:$E$20,"未評估",0)</x:f>
        <x:v>可獨立配合</x:v>
      </x:c>
      <x:c r="P66" s="48" t="str">
        <x:f>_xlfn.XLOOKUP($A66&amp;"|李侑津醫師",'試行熟悉度'!$K$7:$K$20,'試行熟悉度'!$F$7:$F$20,"未建立",0)</x:f>
        <x:v>待主管核定</x:v>
      </x:c>
      <x:c r="Q66" s="39" t="str">
        <x:v>確認後才納入自動判定</x:v>
      </x:c>
    </x:row>
    <x:row r="67">
      <x:c r="A67" s="37" t="str">
        <x:v>1004</x:v>
      </x:c>
      <x:c r="B67" s="37" t="str"/>
      <x:c r="C67" s="37" t="str">
        <x:v>LJT-PERIO</x:v>
      </x:c>
      <x:c r="D67" s="37" t="str">
        <x:v>牙周統合</x:v>
      </x:c>
      <x:c r="E67" s="37" t="str">
        <x:v>一般</x:v>
      </x:c>
      <x:c r="F67" s="37" t="str">
        <x:v>一般</x:v>
      </x:c>
      <x:c r="G67" s="37" t="str">
        <x:v>LJT-PREP-PERIO</x:v>
      </x:c>
      <x:c r="H67" s="37" t="str">
        <x:v>必備</x:v>
      </x:c>
      <x:c r="I67" s="37" t="str">
        <x:f>_xlfn.XLOOKUP($C67&amp;"|"&amp;$G67,'李醫師能力要求'!$M$7:$M$59,'李醫師能力要求'!$K$7:$K$59,"待確認",0)</x:f>
        <x:v>已確認</x:v>
      </x:c>
      <x:c r="J67" s="37" t="str">
        <x:v>◎</x:v>
      </x:c>
      <x:c r="K67" s="37" t="str">
        <x:v>Ø</x:v>
      </x:c>
      <x:c r="L67" s="48" t="str">
        <x:f>_xlfn.XLOOKUP($A67&amp;"|"&amp;$G67,'試行能力狀態'!$L$7:$L$258,'試行能力狀態'!$E$7:$E$258,"未評估",0)</x:f>
        <x:v>◎</x:v>
      </x:c>
      <x:c r="M67" s="48" t="str">
        <x:f>_xlfn.XLOOKUP($A67&amp;"|"&amp;$G67,'試行能力狀態'!$L$7:$L$258,'試行能力狀態'!$F$7:$F$258,"未建立",0)</x:f>
        <x:v>待主管核定</x:v>
      </x:c>
      <x:c r="N67" s="48" t="str">
        <x:f>IF($L67="◎","符合獨立",IF($L67="Ø","符合條件","不符合"))</x:f>
        <x:v>符合獨立</x:v>
      </x:c>
      <x:c r="O67" s="48" t="str">
        <x:f>_xlfn.XLOOKUP($A67&amp;"|李侑津醫師",'試行熟悉度'!$K$7:$K$20,'試行熟悉度'!$E$7:$E$20,"未評估",0)</x:f>
        <x:v>可獨立配合</x:v>
      </x:c>
      <x:c r="P67" s="48" t="str">
        <x:f>_xlfn.XLOOKUP($A67&amp;"|李侑津醫師",'試行熟悉度'!$K$7:$K$20,'試行熟悉度'!$F$7:$F$20,"未建立",0)</x:f>
        <x:v>待主管核定</x:v>
      </x:c>
      <x:c r="Q67" s="39" t="str">
        <x:v>依一般支援名額</x:v>
      </x:c>
    </x:row>
    <x:row r="68">
      <x:c r="A68" s="37" t="str">
        <x:v>1004</x:v>
      </x:c>
      <x:c r="B68" s="37" t="str"/>
      <x:c r="C68" s="37" t="str">
        <x:v>LJT-PERIO</x:v>
      </x:c>
      <x:c r="D68" s="37" t="str">
        <x:v>牙周統合</x:v>
      </x:c>
      <x:c r="E68" s="37" t="str">
        <x:v>一般</x:v>
      </x:c>
      <x:c r="F68" s="37" t="str">
        <x:v>一般</x:v>
      </x:c>
      <x:c r="G68" s="37" t="str">
        <x:v>COMMON-RECORD</x:v>
      </x:c>
      <x:c r="H68" s="37" t="str">
        <x:v>待確認</x:v>
      </x:c>
      <x:c r="I68" s="37" t="str">
        <x:f>_xlfn.XLOOKUP($C68&amp;"|"&amp;$G68,'李醫師能力要求'!$M$7:$M$59,'李醫師能力要求'!$K$7:$K$59,"待確認",0)</x:f>
        <x:v>待確認</x:v>
      </x:c>
      <x:c r="J68" s="37" t="str">
        <x:v>◎</x:v>
      </x:c>
      <x:c r="K68" s="37" t="str">
        <x:v>Ø</x:v>
      </x:c>
      <x:c r="L68" s="48" t="str">
        <x:f>_xlfn.XLOOKUP($A68&amp;"|"&amp;$G68,'試行能力狀態'!$L$7:$L$258,'試行能力狀態'!$E$7:$E$258,"未評估",0)</x:f>
        <x:v>◎</x:v>
      </x:c>
      <x:c r="M68" s="48" t="str">
        <x:f>_xlfn.XLOOKUP($A68&amp;"|"&amp;$G68,'試行能力狀態'!$L$7:$L$258,'試行能力狀態'!$F$7:$F$258,"未建立",0)</x:f>
        <x:v>待主管核定</x:v>
      </x:c>
      <x:c r="N68" s="48" t="str">
        <x:f>IF($L68="◎","符合獨立",IF($L68="Ø","符合條件","不符合"))</x:f>
        <x:v>符合獨立</x:v>
      </x:c>
      <x:c r="O68" s="48" t="str">
        <x:f>_xlfn.XLOOKUP($A68&amp;"|李侑津醫師",'試行熟悉度'!$K$7:$K$20,'試行熟悉度'!$E$7:$E$20,"未評估",0)</x:f>
        <x:v>可獨立配合</x:v>
      </x:c>
      <x:c r="P68" s="48" t="str">
        <x:f>_xlfn.XLOOKUP($A68&amp;"|李侑津醫師",'試行熟悉度'!$K$7:$K$20,'試行熟悉度'!$F$7:$F$20,"未建立",0)</x:f>
        <x:v>待主管核定</x:v>
      </x:c>
      <x:c r="Q68" s="39" t="str">
        <x:v>確認後才納入自動判定</x:v>
      </x:c>
    </x:row>
    <x:row r="69">
      <x:c r="A69" s="37" t="str">
        <x:v>1004</x:v>
      </x:c>
      <x:c r="B69" s="37" t="str"/>
      <x:c r="C69" s="37" t="str">
        <x:v>LJT-PERIO</x:v>
      </x:c>
      <x:c r="D69" s="37" t="str">
        <x:v>牙周統合</x:v>
      </x:c>
      <x:c r="E69" s="37" t="str">
        <x:v>一般</x:v>
      </x:c>
      <x:c r="F69" s="37" t="str">
        <x:v>一般</x:v>
      </x:c>
      <x:c r="G69" s="37" t="str">
        <x:v>COMMON-INSURANCE</x:v>
      </x:c>
      <x:c r="H69" s="37" t="str">
        <x:v>待確認</x:v>
      </x:c>
      <x:c r="I69" s="37" t="str">
        <x:f>_xlfn.XLOOKUP($C69&amp;"|"&amp;$G69,'李醫師能力要求'!$M$7:$M$59,'李醫師能力要求'!$K$7:$K$59,"待確認",0)</x:f>
        <x:v>待確認</x:v>
      </x:c>
      <x:c r="J69" s="37" t="str">
        <x:v>◎</x:v>
      </x:c>
      <x:c r="K69" s="37" t="str">
        <x:v>Ø</x:v>
      </x:c>
      <x:c r="L69" s="48" t="str">
        <x:f>_xlfn.XLOOKUP($A69&amp;"|"&amp;$G69,'試行能力狀態'!$L$7:$L$258,'試行能力狀態'!$E$7:$E$258,"未評估",0)</x:f>
        <x:v>◎</x:v>
      </x:c>
      <x:c r="M69" s="48" t="str">
        <x:f>_xlfn.XLOOKUP($A69&amp;"|"&amp;$G69,'試行能力狀態'!$L$7:$L$258,'試行能力狀態'!$F$7:$F$258,"未建立",0)</x:f>
        <x:v>待主管核定</x:v>
      </x:c>
      <x:c r="N69" s="48" t="str">
        <x:f>IF($L69="◎","符合獨立",IF($L69="Ø","符合條件","不符合"))</x:f>
        <x:v>符合獨立</x:v>
      </x:c>
      <x:c r="O69" s="48" t="str">
        <x:f>_xlfn.XLOOKUP($A69&amp;"|李侑津醫師",'試行熟悉度'!$K$7:$K$20,'試行熟悉度'!$E$7:$E$20,"未評估",0)</x:f>
        <x:v>可獨立配合</x:v>
      </x:c>
      <x:c r="P69" s="48" t="str">
        <x:f>_xlfn.XLOOKUP($A69&amp;"|李侑津醫師",'試行熟悉度'!$K$7:$K$20,'試行熟悉度'!$F$7:$F$20,"未建立",0)</x:f>
        <x:v>待主管核定</x:v>
      </x:c>
      <x:c r="Q69" s="39" t="str">
        <x:v>確認後才納入自動判定</x:v>
      </x:c>
    </x:row>
    <x:row r="70">
      <x:c r="A70" s="37" t="str">
        <x:v>1004</x:v>
      </x:c>
      <x:c r="B70" s="37" t="str"/>
      <x:c r="C70" s="37" t="str">
        <x:v>LJT-PERIO</x:v>
      </x:c>
      <x:c r="D70" s="37" t="str">
        <x:v>牙周統合</x:v>
      </x:c>
      <x:c r="E70" s="37" t="str">
        <x:v>一般</x:v>
      </x:c>
      <x:c r="F70" s="37" t="str">
        <x:v>一般</x:v>
      </x:c>
      <x:c r="G70" s="37" t="str">
        <x:v>COMMON-XRAY-RECORD</x:v>
      </x:c>
      <x:c r="H70" s="37" t="str">
        <x:v>待確認</x:v>
      </x:c>
      <x:c r="I70" s="37" t="str">
        <x:f>_xlfn.XLOOKUP($C70&amp;"|"&amp;$G70,'李醫師能力要求'!$M$7:$M$59,'李醫師能力要求'!$K$7:$K$59,"待確認",0)</x:f>
        <x:v>待確認</x:v>
      </x:c>
      <x:c r="J70" s="37" t="str">
        <x:v>◎</x:v>
      </x:c>
      <x:c r="K70" s="37" t="str">
        <x:v>Ø</x:v>
      </x:c>
      <x:c r="L70" s="48" t="str">
        <x:f>_xlfn.XLOOKUP($A70&amp;"|"&amp;$G70,'試行能力狀態'!$L$7:$L$258,'試行能力狀態'!$E$7:$E$258,"未評估",0)</x:f>
        <x:v>◎</x:v>
      </x:c>
      <x:c r="M70" s="48" t="str">
        <x:f>_xlfn.XLOOKUP($A70&amp;"|"&amp;$G70,'試行能力狀態'!$L$7:$L$258,'試行能力狀態'!$F$7:$F$258,"未建立",0)</x:f>
        <x:v>待主管核定</x:v>
      </x:c>
      <x:c r="N70" s="48" t="str">
        <x:f>IF($L70="◎","符合獨立",IF($L70="Ø","符合條件","不符合"))</x:f>
        <x:v>符合獨立</x:v>
      </x:c>
      <x:c r="O70" s="48" t="str">
        <x:f>_xlfn.XLOOKUP($A70&amp;"|李侑津醫師",'試行熟悉度'!$K$7:$K$20,'試行熟悉度'!$E$7:$E$20,"未評估",0)</x:f>
        <x:v>可獨立配合</x:v>
      </x:c>
      <x:c r="P70" s="48" t="str">
        <x:f>_xlfn.XLOOKUP($A70&amp;"|李侑津醫師",'試行熟悉度'!$K$7:$K$20,'試行熟悉度'!$F$7:$F$20,"未建立",0)</x:f>
        <x:v>待主管核定</x:v>
      </x:c>
      <x:c r="Q70" s="39" t="str">
        <x:v>確認後才納入自動判定</x:v>
      </x:c>
    </x:row>
    <x:row r="71">
      <x:c r="A71" s="37" t="str">
        <x:v>1004</x:v>
      </x:c>
      <x:c r="B71" s="37" t="str"/>
      <x:c r="C71" s="37" t="str">
        <x:v>LJT-RCT</x:v>
      </x:c>
      <x:c r="D71" s="37" t="str">
        <x:v>一般根管治療</x:v>
      </x:c>
      <x:c r="E71" s="37" t="str">
        <x:v>一般</x:v>
      </x:c>
      <x:c r="F71" s="37" t="str">
        <x:v>一般</x:v>
      </x:c>
      <x:c r="G71" s="37" t="str">
        <x:v>LJT-PREP-RCT</x:v>
      </x:c>
      <x:c r="H71" s="37" t="str">
        <x:v>必備</x:v>
      </x:c>
      <x:c r="I71" s="37" t="str">
        <x:f>_xlfn.XLOOKUP($C71&amp;"|"&amp;$G71,'李醫師能力要求'!$M$7:$M$59,'李醫師能力要求'!$K$7:$K$59,"待確認",0)</x:f>
        <x:v>已確認</x:v>
      </x:c>
      <x:c r="J71" s="37" t="str">
        <x:v>◎</x:v>
      </x:c>
      <x:c r="K71" s="37" t="str">
        <x:v>Ø</x:v>
      </x:c>
      <x:c r="L71" s="48" t="str">
        <x:f>_xlfn.XLOOKUP($A71&amp;"|"&amp;$G71,'試行能力狀態'!$L$7:$L$258,'試行能力狀態'!$E$7:$E$258,"未評估",0)</x:f>
        <x:v>◎</x:v>
      </x:c>
      <x:c r="M71" s="48" t="str">
        <x:f>_xlfn.XLOOKUP($A71&amp;"|"&amp;$G71,'試行能力狀態'!$L$7:$L$258,'試行能力狀態'!$F$7:$F$258,"未建立",0)</x:f>
        <x:v>待主管核定</x:v>
      </x:c>
      <x:c r="N71" s="48" t="str">
        <x:f>IF($L71="◎","符合獨立",IF($L71="Ø","符合條件","不符合"))</x:f>
        <x:v>符合獨立</x:v>
      </x:c>
      <x:c r="O71" s="48" t="str">
        <x:f>_xlfn.XLOOKUP($A71&amp;"|李侑津醫師",'試行熟悉度'!$K$7:$K$20,'試行熟悉度'!$E$7:$E$20,"未評估",0)</x:f>
        <x:v>可獨立配合</x:v>
      </x:c>
      <x:c r="P71" s="48" t="str">
        <x:f>_xlfn.XLOOKUP($A71&amp;"|李侑津醫師",'試行熟悉度'!$K$7:$K$20,'試行熟悉度'!$F$7:$F$20,"未建立",0)</x:f>
        <x:v>待主管核定</x:v>
      </x:c>
      <x:c r="Q71" s="39" t="str">
        <x:v>依一般支援名額</x:v>
      </x:c>
    </x:row>
    <x:row r="72">
      <x:c r="A72" s="37" t="str">
        <x:v>1004</x:v>
      </x:c>
      <x:c r="B72" s="37" t="str"/>
      <x:c r="C72" s="37" t="str">
        <x:v>LJT-RCT</x:v>
      </x:c>
      <x:c r="D72" s="37" t="str">
        <x:v>一般根管治療</x:v>
      </x:c>
      <x:c r="E72" s="37" t="str">
        <x:v>一般</x:v>
      </x:c>
      <x:c r="F72" s="37" t="str">
        <x:v>一般</x:v>
      </x:c>
      <x:c r="G72" s="37" t="str">
        <x:v>COMMON-RECORD</x:v>
      </x:c>
      <x:c r="H72" s="37" t="str">
        <x:v>待確認</x:v>
      </x:c>
      <x:c r="I72" s="37" t="str">
        <x:f>_xlfn.XLOOKUP($C72&amp;"|"&amp;$G72,'李醫師能力要求'!$M$7:$M$59,'李醫師能力要求'!$K$7:$K$59,"待確認",0)</x:f>
        <x:v>待確認</x:v>
      </x:c>
      <x:c r="J72" s="37" t="str">
        <x:v>◎</x:v>
      </x:c>
      <x:c r="K72" s="37" t="str">
        <x:v>Ø</x:v>
      </x:c>
      <x:c r="L72" s="48" t="str">
        <x:f>_xlfn.XLOOKUP($A72&amp;"|"&amp;$G72,'試行能力狀態'!$L$7:$L$258,'試行能力狀態'!$E$7:$E$258,"未評估",0)</x:f>
        <x:v>◎</x:v>
      </x:c>
      <x:c r="M72" s="48" t="str">
        <x:f>_xlfn.XLOOKUP($A72&amp;"|"&amp;$G72,'試行能力狀態'!$L$7:$L$258,'試行能力狀態'!$F$7:$F$258,"未建立",0)</x:f>
        <x:v>待主管核定</x:v>
      </x:c>
      <x:c r="N72" s="48" t="str">
        <x:f>IF($L72="◎","符合獨立",IF($L72="Ø","符合條件","不符合"))</x:f>
        <x:v>符合獨立</x:v>
      </x:c>
      <x:c r="O72" s="48" t="str">
        <x:f>_xlfn.XLOOKUP($A72&amp;"|李侑津醫師",'試行熟悉度'!$K$7:$K$20,'試行熟悉度'!$E$7:$E$20,"未評估",0)</x:f>
        <x:v>可獨立配合</x:v>
      </x:c>
      <x:c r="P72" s="48" t="str">
        <x:f>_xlfn.XLOOKUP($A72&amp;"|李侑津醫師",'試行熟悉度'!$K$7:$K$20,'試行熟悉度'!$F$7:$F$20,"未建立",0)</x:f>
        <x:v>待主管核定</x:v>
      </x:c>
      <x:c r="Q72" s="39" t="str">
        <x:v>確認後才納入自動判定</x:v>
      </x:c>
    </x:row>
    <x:row r="73">
      <x:c r="A73" s="37" t="str">
        <x:v>1004</x:v>
      </x:c>
      <x:c r="B73" s="37" t="str"/>
      <x:c r="C73" s="37" t="str">
        <x:v>LJT-RCT</x:v>
      </x:c>
      <x:c r="D73" s="37" t="str">
        <x:v>一般根管治療</x:v>
      </x:c>
      <x:c r="E73" s="37" t="str">
        <x:v>一般</x:v>
      </x:c>
      <x:c r="F73" s="37" t="str">
        <x:v>一般</x:v>
      </x:c>
      <x:c r="G73" s="37" t="str">
        <x:v>COMMON-INSURANCE</x:v>
      </x:c>
      <x:c r="H73" s="37" t="str">
        <x:v>待確認</x:v>
      </x:c>
      <x:c r="I73" s="37" t="str">
        <x:f>_xlfn.XLOOKUP($C73&amp;"|"&amp;$G73,'李醫師能力要求'!$M$7:$M$59,'李醫師能力要求'!$K$7:$K$59,"待確認",0)</x:f>
        <x:v>待確認</x:v>
      </x:c>
      <x:c r="J73" s="37" t="str">
        <x:v>◎</x:v>
      </x:c>
      <x:c r="K73" s="37" t="str">
        <x:v>Ø</x:v>
      </x:c>
      <x:c r="L73" s="48" t="str">
        <x:f>_xlfn.XLOOKUP($A73&amp;"|"&amp;$G73,'試行能力狀態'!$L$7:$L$258,'試行能力狀態'!$E$7:$E$258,"未評估",0)</x:f>
        <x:v>◎</x:v>
      </x:c>
      <x:c r="M73" s="48" t="str">
        <x:f>_xlfn.XLOOKUP($A73&amp;"|"&amp;$G73,'試行能力狀態'!$L$7:$L$258,'試行能力狀態'!$F$7:$F$258,"未建立",0)</x:f>
        <x:v>待主管核定</x:v>
      </x:c>
      <x:c r="N73" s="48" t="str">
        <x:f>IF($L73="◎","符合獨立",IF($L73="Ø","符合條件","不符合"))</x:f>
        <x:v>符合獨立</x:v>
      </x:c>
      <x:c r="O73" s="48" t="str">
        <x:f>_xlfn.XLOOKUP($A73&amp;"|李侑津醫師",'試行熟悉度'!$K$7:$K$20,'試行熟悉度'!$E$7:$E$20,"未評估",0)</x:f>
        <x:v>可獨立配合</x:v>
      </x:c>
      <x:c r="P73" s="48" t="str">
        <x:f>_xlfn.XLOOKUP($A73&amp;"|李侑津醫師",'試行熟悉度'!$K$7:$K$20,'試行熟悉度'!$F$7:$F$20,"未建立",0)</x:f>
        <x:v>待主管核定</x:v>
      </x:c>
      <x:c r="Q73" s="39" t="str">
        <x:v>確認後才納入自動判定</x:v>
      </x:c>
    </x:row>
    <x:row r="74">
      <x:c r="A74" s="37" t="str">
        <x:v>1004</x:v>
      </x:c>
      <x:c r="B74" s="37" t="str"/>
      <x:c r="C74" s="37" t="str">
        <x:v>LJT-RCT</x:v>
      </x:c>
      <x:c r="D74" s="37" t="str">
        <x:v>一般根管治療</x:v>
      </x:c>
      <x:c r="E74" s="37" t="str">
        <x:v>一般</x:v>
      </x:c>
      <x:c r="F74" s="37" t="str">
        <x:v>一般</x:v>
      </x:c>
      <x:c r="G74" s="37" t="str">
        <x:v>COMMON-XRAY-RECORD</x:v>
      </x:c>
      <x:c r="H74" s="37" t="str">
        <x:v>待確認</x:v>
      </x:c>
      <x:c r="I74" s="37" t="str">
        <x:f>_xlfn.XLOOKUP($C74&amp;"|"&amp;$G74,'李醫師能力要求'!$M$7:$M$59,'李醫師能力要求'!$K$7:$K$59,"待確認",0)</x:f>
        <x:v>待確認</x:v>
      </x:c>
      <x:c r="J74" s="37" t="str">
        <x:v>◎</x:v>
      </x:c>
      <x:c r="K74" s="37" t="str">
        <x:v>Ø</x:v>
      </x:c>
      <x:c r="L74" s="48" t="str">
        <x:f>_xlfn.XLOOKUP($A74&amp;"|"&amp;$G74,'試行能力狀態'!$L$7:$L$258,'試行能力狀態'!$E$7:$E$258,"未評估",0)</x:f>
        <x:v>◎</x:v>
      </x:c>
      <x:c r="M74" s="48" t="str">
        <x:f>_xlfn.XLOOKUP($A74&amp;"|"&amp;$G74,'試行能力狀態'!$L$7:$L$258,'試行能力狀態'!$F$7:$F$258,"未建立",0)</x:f>
        <x:v>待主管核定</x:v>
      </x:c>
      <x:c r="N74" s="48" t="str">
        <x:f>IF($L74="◎","符合獨立",IF($L74="Ø","符合條件","不符合"))</x:f>
        <x:v>符合獨立</x:v>
      </x:c>
      <x:c r="O74" s="48" t="str">
        <x:f>_xlfn.XLOOKUP($A74&amp;"|李侑津醫師",'試行熟悉度'!$K$7:$K$20,'試行熟悉度'!$E$7:$E$20,"未評估",0)</x:f>
        <x:v>可獨立配合</x:v>
      </x:c>
      <x:c r="P74" s="48" t="str">
        <x:f>_xlfn.XLOOKUP($A74&amp;"|李侑津醫師",'試行熟悉度'!$K$7:$K$20,'試行熟悉度'!$F$7:$F$20,"未建立",0)</x:f>
        <x:v>待主管核定</x:v>
      </x:c>
      <x:c r="Q74" s="39" t="str">
        <x:v>確認後才納入自動判定</x:v>
      </x:c>
    </x:row>
    <x:row r="75">
      <x:c r="A75" s="37" t="str">
        <x:v>1004</x:v>
      </x:c>
      <x:c r="B75" s="37" t="str"/>
      <x:c r="C75" s="37" t="str">
        <x:v>LJT-EXTRACTION</x:v>
      </x:c>
      <x:c r="D75" s="37" t="str">
        <x:v>拔牙</x:v>
      </x:c>
      <x:c r="E75" s="37" t="str">
        <x:v>一般</x:v>
      </x:c>
      <x:c r="F75" s="37" t="str">
        <x:v>一般</x:v>
      </x:c>
      <x:c r="G75" s="37" t="str">
        <x:v>LJT-PREP-EXTRACTION</x:v>
      </x:c>
      <x:c r="H75" s="37" t="str">
        <x:v>必備</x:v>
      </x:c>
      <x:c r="I75" s="37" t="str">
        <x:f>_xlfn.XLOOKUP($C75&amp;"|"&amp;$G75,'李醫師能力要求'!$M$7:$M$59,'李醫師能力要求'!$K$7:$K$59,"待確認",0)</x:f>
        <x:v>已確認</x:v>
      </x:c>
      <x:c r="J75" s="37" t="str">
        <x:v>◎</x:v>
      </x:c>
      <x:c r="K75" s="37" t="str">
        <x:v>Ø</x:v>
      </x:c>
      <x:c r="L75" s="48" t="str">
        <x:f>_xlfn.XLOOKUP($A75&amp;"|"&amp;$G75,'試行能力狀態'!$L$7:$L$258,'試行能力狀態'!$E$7:$E$258,"未評估",0)</x:f>
        <x:v>◎</x:v>
      </x:c>
      <x:c r="M75" s="48" t="str">
        <x:f>_xlfn.XLOOKUP($A75&amp;"|"&amp;$G75,'試行能力狀態'!$L$7:$L$258,'試行能力狀態'!$F$7:$F$258,"未建立",0)</x:f>
        <x:v>待主管核定</x:v>
      </x:c>
      <x:c r="N75" s="48" t="str">
        <x:f>IF($L75="◎","符合獨立",IF($L75="Ø","符合條件","不符合"))</x:f>
        <x:v>符合獨立</x:v>
      </x:c>
      <x:c r="O75" s="48" t="str">
        <x:f>_xlfn.XLOOKUP($A75&amp;"|李侑津醫師",'試行熟悉度'!$K$7:$K$20,'試行熟悉度'!$E$7:$E$20,"未評估",0)</x:f>
        <x:v>可獨立配合</x:v>
      </x:c>
      <x:c r="P75" s="48" t="str">
        <x:f>_xlfn.XLOOKUP($A75&amp;"|李侑津醫師",'試行熟悉度'!$K$7:$K$20,'試行熟悉度'!$F$7:$F$20,"未建立",0)</x:f>
        <x:v>待主管核定</x:v>
      </x:c>
      <x:c r="Q75" s="39" t="str">
        <x:v>依一般支援名額</x:v>
      </x:c>
    </x:row>
    <x:row r="76">
      <x:c r="A76" s="37" t="str">
        <x:v>1004</x:v>
      </x:c>
      <x:c r="B76" s="37" t="str"/>
      <x:c r="C76" s="37" t="str">
        <x:v>LJT-EXTRACTION</x:v>
      </x:c>
      <x:c r="D76" s="37" t="str">
        <x:v>拔牙</x:v>
      </x:c>
      <x:c r="E76" s="37" t="str">
        <x:v>一般</x:v>
      </x:c>
      <x:c r="F76" s="37" t="str">
        <x:v>一般</x:v>
      </x:c>
      <x:c r="G76" s="37" t="str">
        <x:v>COMMON-RECORD</x:v>
      </x:c>
      <x:c r="H76" s="37" t="str">
        <x:v>待確認</x:v>
      </x:c>
      <x:c r="I76" s="37" t="str">
        <x:f>_xlfn.XLOOKUP($C76&amp;"|"&amp;$G76,'李醫師能力要求'!$M$7:$M$59,'李醫師能力要求'!$K$7:$K$59,"待確認",0)</x:f>
        <x:v>待確認</x:v>
      </x:c>
      <x:c r="J76" s="37" t="str">
        <x:v>◎</x:v>
      </x:c>
      <x:c r="K76" s="37" t="str">
        <x:v>Ø</x:v>
      </x:c>
      <x:c r="L76" s="48" t="str">
        <x:f>_xlfn.XLOOKUP($A76&amp;"|"&amp;$G76,'試行能力狀態'!$L$7:$L$258,'試行能力狀態'!$E$7:$E$258,"未評估",0)</x:f>
        <x:v>◎</x:v>
      </x:c>
      <x:c r="M76" s="48" t="str">
        <x:f>_xlfn.XLOOKUP($A76&amp;"|"&amp;$G76,'試行能力狀態'!$L$7:$L$258,'試行能力狀態'!$F$7:$F$258,"未建立",0)</x:f>
        <x:v>待主管核定</x:v>
      </x:c>
      <x:c r="N76" s="48" t="str">
        <x:f>IF($L76="◎","符合獨立",IF($L76="Ø","符合條件","不符合"))</x:f>
        <x:v>符合獨立</x:v>
      </x:c>
      <x:c r="O76" s="48" t="str">
        <x:f>_xlfn.XLOOKUP($A76&amp;"|李侑津醫師",'試行熟悉度'!$K$7:$K$20,'試行熟悉度'!$E$7:$E$20,"未評估",0)</x:f>
        <x:v>可獨立配合</x:v>
      </x:c>
      <x:c r="P76" s="48" t="str">
        <x:f>_xlfn.XLOOKUP($A76&amp;"|李侑津醫師",'試行熟悉度'!$K$7:$K$20,'試行熟悉度'!$F$7:$F$20,"未建立",0)</x:f>
        <x:v>待主管核定</x:v>
      </x:c>
      <x:c r="Q76" s="39" t="str">
        <x:v>確認後才納入自動判定</x:v>
      </x:c>
    </x:row>
    <x:row r="77">
      <x:c r="A77" s="37" t="str">
        <x:v>1004</x:v>
      </x:c>
      <x:c r="B77" s="37" t="str"/>
      <x:c r="C77" s="37" t="str">
        <x:v>LJT-EXTRACTION</x:v>
      </x:c>
      <x:c r="D77" s="37" t="str">
        <x:v>拔牙</x:v>
      </x:c>
      <x:c r="E77" s="37" t="str">
        <x:v>一般</x:v>
      </x:c>
      <x:c r="F77" s="37" t="str">
        <x:v>一般</x:v>
      </x:c>
      <x:c r="G77" s="37" t="str">
        <x:v>COMMON-INSURANCE</x:v>
      </x:c>
      <x:c r="H77" s="37" t="str">
        <x:v>待確認</x:v>
      </x:c>
      <x:c r="I77" s="37" t="str">
        <x:f>_xlfn.XLOOKUP($C77&amp;"|"&amp;$G77,'李醫師能力要求'!$M$7:$M$59,'李醫師能力要求'!$K$7:$K$59,"待確認",0)</x:f>
        <x:v>待確認</x:v>
      </x:c>
      <x:c r="J77" s="37" t="str">
        <x:v>◎</x:v>
      </x:c>
      <x:c r="K77" s="37" t="str">
        <x:v>Ø</x:v>
      </x:c>
      <x:c r="L77" s="48" t="str">
        <x:f>_xlfn.XLOOKUP($A77&amp;"|"&amp;$G77,'試行能力狀態'!$L$7:$L$258,'試行能力狀態'!$E$7:$E$258,"未評估",0)</x:f>
        <x:v>◎</x:v>
      </x:c>
      <x:c r="M77" s="48" t="str">
        <x:f>_xlfn.XLOOKUP($A77&amp;"|"&amp;$G77,'試行能力狀態'!$L$7:$L$258,'試行能力狀態'!$F$7:$F$258,"未建立",0)</x:f>
        <x:v>待主管核定</x:v>
      </x:c>
      <x:c r="N77" s="48" t="str">
        <x:f>IF($L77="◎","符合獨立",IF($L77="Ø","符合條件","不符合"))</x:f>
        <x:v>符合獨立</x:v>
      </x:c>
      <x:c r="O77" s="48" t="str">
        <x:f>_xlfn.XLOOKUP($A77&amp;"|李侑津醫師",'試行熟悉度'!$K$7:$K$20,'試行熟悉度'!$E$7:$E$20,"未評估",0)</x:f>
        <x:v>可獨立配合</x:v>
      </x:c>
      <x:c r="P77" s="48" t="str">
        <x:f>_xlfn.XLOOKUP($A77&amp;"|李侑津醫師",'試行熟悉度'!$K$7:$K$20,'試行熟悉度'!$F$7:$F$20,"未建立",0)</x:f>
        <x:v>待主管核定</x:v>
      </x:c>
      <x:c r="Q77" s="39" t="str">
        <x:v>確認後才納入自動判定</x:v>
      </x:c>
    </x:row>
    <x:row r="78">
      <x:c r="A78" s="37" t="str">
        <x:v>1004</x:v>
      </x:c>
      <x:c r="B78" s="37" t="str"/>
      <x:c r="C78" s="37" t="str">
        <x:v>LJT-EXTRACTION</x:v>
      </x:c>
      <x:c r="D78" s="37" t="str">
        <x:v>拔牙</x:v>
      </x:c>
      <x:c r="E78" s="37" t="str">
        <x:v>一般</x:v>
      </x:c>
      <x:c r="F78" s="37" t="str">
        <x:v>一般</x:v>
      </x:c>
      <x:c r="G78" s="37" t="str">
        <x:v>COMMON-XRAY-RECORD</x:v>
      </x:c>
      <x:c r="H78" s="37" t="str">
        <x:v>待確認</x:v>
      </x:c>
      <x:c r="I78" s="37" t="str">
        <x:f>_xlfn.XLOOKUP($C78&amp;"|"&amp;$G78,'李醫師能力要求'!$M$7:$M$59,'李醫師能力要求'!$K$7:$K$59,"待確認",0)</x:f>
        <x:v>待確認</x:v>
      </x:c>
      <x:c r="J78" s="37" t="str">
        <x:v>◎</x:v>
      </x:c>
      <x:c r="K78" s="37" t="str">
        <x:v>Ø</x:v>
      </x:c>
      <x:c r="L78" s="48" t="str">
        <x:f>_xlfn.XLOOKUP($A78&amp;"|"&amp;$G78,'試行能力狀態'!$L$7:$L$258,'試行能力狀態'!$E$7:$E$258,"未評估",0)</x:f>
        <x:v>◎</x:v>
      </x:c>
      <x:c r="M78" s="48" t="str">
        <x:f>_xlfn.XLOOKUP($A78&amp;"|"&amp;$G78,'試行能力狀態'!$L$7:$L$258,'試行能力狀態'!$F$7:$F$258,"未建立",0)</x:f>
        <x:v>待主管核定</x:v>
      </x:c>
      <x:c r="N78" s="48" t="str">
        <x:f>IF($L78="◎","符合獨立",IF($L78="Ø","符合條件","不符合"))</x:f>
        <x:v>符合獨立</x:v>
      </x:c>
      <x:c r="O78" s="48" t="str">
        <x:f>_xlfn.XLOOKUP($A78&amp;"|李侑津醫師",'試行熟悉度'!$K$7:$K$20,'試行熟悉度'!$E$7:$E$20,"未評估",0)</x:f>
        <x:v>可獨立配合</x:v>
      </x:c>
      <x:c r="P78" s="48" t="str">
        <x:f>_xlfn.XLOOKUP($A78&amp;"|李侑津醫師",'試行熟悉度'!$K$7:$K$20,'試行熟悉度'!$F$7:$F$20,"未建立",0)</x:f>
        <x:v>待主管核定</x:v>
      </x:c>
      <x:c r="Q78" s="39" t="str">
        <x:v>確認後才納入自動判定</x:v>
      </x:c>
    </x:row>
    <x:row r="79">
      <x:c r="A79" s="37" t="str">
        <x:v>1004</x:v>
      </x:c>
      <x:c r="B79" s="37" t="str"/>
      <x:c r="C79" s="37" t="str">
        <x:v>LJT-CROWNPOST</x:v>
      </x:c>
      <x:c r="D79" s="37" t="str">
        <x:v>拆 crown/post</x:v>
      </x:c>
      <x:c r="E79" s="37" t="str">
        <x:v>一般</x:v>
      </x:c>
      <x:c r="F79" s="37" t="str">
        <x:v>一般</x:v>
      </x:c>
      <x:c r="G79" s="37" t="str">
        <x:v>LJT-PREP-CROWNPOST</x:v>
      </x:c>
      <x:c r="H79" s="37" t="str">
        <x:v>必備</x:v>
      </x:c>
      <x:c r="I79" s="37" t="str">
        <x:f>_xlfn.XLOOKUP($C79&amp;"|"&amp;$G79,'李醫師能力要求'!$M$7:$M$59,'李醫師能力要求'!$K$7:$K$59,"待確認",0)</x:f>
        <x:v>已確認</x:v>
      </x:c>
      <x:c r="J79" s="37" t="str">
        <x:v>◎</x:v>
      </x:c>
      <x:c r="K79" s="37" t="str">
        <x:v>Ø</x:v>
      </x:c>
      <x:c r="L79" s="48" t="str">
        <x:f>_xlfn.XLOOKUP($A79&amp;"|"&amp;$G79,'試行能力狀態'!$L$7:$L$258,'試行能力狀態'!$E$7:$E$258,"未評估",0)</x:f>
        <x:v>◎</x:v>
      </x:c>
      <x:c r="M79" s="48" t="str">
        <x:f>_xlfn.XLOOKUP($A79&amp;"|"&amp;$G79,'試行能力狀態'!$L$7:$L$258,'試行能力狀態'!$F$7:$F$258,"未建立",0)</x:f>
        <x:v>待主管核定</x:v>
      </x:c>
      <x:c r="N79" s="48" t="str">
        <x:f>IF($L79="◎","符合獨立",IF($L79="Ø","符合條件","不符合"))</x:f>
        <x:v>符合獨立</x:v>
      </x:c>
      <x:c r="O79" s="48" t="str">
        <x:f>_xlfn.XLOOKUP($A79&amp;"|李侑津醫師",'試行熟悉度'!$K$7:$K$20,'試行熟悉度'!$E$7:$E$20,"未評估",0)</x:f>
        <x:v>可獨立配合</x:v>
      </x:c>
      <x:c r="P79" s="48" t="str">
        <x:f>_xlfn.XLOOKUP($A79&amp;"|李侑津醫師",'試行熟悉度'!$K$7:$K$20,'試行熟悉度'!$F$7:$F$20,"未建立",0)</x:f>
        <x:v>待主管核定</x:v>
      </x:c>
      <x:c r="Q79" s="39" t="str">
        <x:v>依一般支援名額</x:v>
      </x:c>
    </x:row>
    <x:row r="80">
      <x:c r="A80" s="37" t="str">
        <x:v>1004</x:v>
      </x:c>
      <x:c r="B80" s="37" t="str"/>
      <x:c r="C80" s="37" t="str">
        <x:v>LJT-CROWNPOST</x:v>
      </x:c>
      <x:c r="D80" s="37" t="str">
        <x:v>拆 crown/post</x:v>
      </x:c>
      <x:c r="E80" s="37" t="str">
        <x:v>一般</x:v>
      </x:c>
      <x:c r="F80" s="37" t="str">
        <x:v>一般</x:v>
      </x:c>
      <x:c r="G80" s="37" t="str">
        <x:v>COMMON-RECORD</x:v>
      </x:c>
      <x:c r="H80" s="37" t="str">
        <x:v>待確認</x:v>
      </x:c>
      <x:c r="I80" s="37" t="str">
        <x:f>_xlfn.XLOOKUP($C80&amp;"|"&amp;$G80,'李醫師能力要求'!$M$7:$M$59,'李醫師能力要求'!$K$7:$K$59,"待確認",0)</x:f>
        <x:v>待確認</x:v>
      </x:c>
      <x:c r="J80" s="37" t="str">
        <x:v>◎</x:v>
      </x:c>
      <x:c r="K80" s="37" t="str">
        <x:v>Ø</x:v>
      </x:c>
      <x:c r="L80" s="48" t="str">
        <x:f>_xlfn.XLOOKUP($A80&amp;"|"&amp;$G80,'試行能力狀態'!$L$7:$L$258,'試行能力狀態'!$E$7:$E$258,"未評估",0)</x:f>
        <x:v>◎</x:v>
      </x:c>
      <x:c r="M80" s="48" t="str">
        <x:f>_xlfn.XLOOKUP($A80&amp;"|"&amp;$G80,'試行能力狀態'!$L$7:$L$258,'試行能力狀態'!$F$7:$F$258,"未建立",0)</x:f>
        <x:v>待主管核定</x:v>
      </x:c>
      <x:c r="N80" s="48" t="str">
        <x:f>IF($L80="◎","符合獨立",IF($L80="Ø","符合條件","不符合"))</x:f>
        <x:v>符合獨立</x:v>
      </x:c>
      <x:c r="O80" s="48" t="str">
        <x:f>_xlfn.XLOOKUP($A80&amp;"|李侑津醫師",'試行熟悉度'!$K$7:$K$20,'試行熟悉度'!$E$7:$E$20,"未評估",0)</x:f>
        <x:v>可獨立配合</x:v>
      </x:c>
      <x:c r="P80" s="48" t="str">
        <x:f>_xlfn.XLOOKUP($A80&amp;"|李侑津醫師",'試行熟悉度'!$K$7:$K$20,'試行熟悉度'!$F$7:$F$20,"未建立",0)</x:f>
        <x:v>待主管核定</x:v>
      </x:c>
      <x:c r="Q80" s="39" t="str">
        <x:v>確認後才納入自動判定</x:v>
      </x:c>
    </x:row>
    <x:row r="81">
      <x:c r="A81" s="37" t="str">
        <x:v>1004</x:v>
      </x:c>
      <x:c r="B81" s="37" t="str"/>
      <x:c r="C81" s="37" t="str">
        <x:v>LJT-CROWNPOST</x:v>
      </x:c>
      <x:c r="D81" s="37" t="str">
        <x:v>拆 crown/post</x:v>
      </x:c>
      <x:c r="E81" s="37" t="str">
        <x:v>一般</x:v>
      </x:c>
      <x:c r="F81" s="37" t="str">
        <x:v>一般</x:v>
      </x:c>
      <x:c r="G81" s="37" t="str">
        <x:v>COMMON-INSURANCE</x:v>
      </x:c>
      <x:c r="H81" s="37" t="str">
        <x:v>待確認</x:v>
      </x:c>
      <x:c r="I81" s="37" t="str">
        <x:f>_xlfn.XLOOKUP($C81&amp;"|"&amp;$G81,'李醫師能力要求'!$M$7:$M$59,'李醫師能力要求'!$K$7:$K$59,"待確認",0)</x:f>
        <x:v>待確認</x:v>
      </x:c>
      <x:c r="J81" s="37" t="str">
        <x:v>◎</x:v>
      </x:c>
      <x:c r="K81" s="37" t="str">
        <x:v>Ø</x:v>
      </x:c>
      <x:c r="L81" s="48" t="str">
        <x:f>_xlfn.XLOOKUP($A81&amp;"|"&amp;$G81,'試行能力狀態'!$L$7:$L$258,'試行能力狀態'!$E$7:$E$258,"未評估",0)</x:f>
        <x:v>◎</x:v>
      </x:c>
      <x:c r="M81" s="48" t="str">
        <x:f>_xlfn.XLOOKUP($A81&amp;"|"&amp;$G81,'試行能力狀態'!$L$7:$L$258,'試行能力狀態'!$F$7:$F$258,"未建立",0)</x:f>
        <x:v>待主管核定</x:v>
      </x:c>
      <x:c r="N81" s="48" t="str">
        <x:f>IF($L81="◎","符合獨立",IF($L81="Ø","符合條件","不符合"))</x:f>
        <x:v>符合獨立</x:v>
      </x:c>
      <x:c r="O81" s="48" t="str">
        <x:f>_xlfn.XLOOKUP($A81&amp;"|李侑津醫師",'試行熟悉度'!$K$7:$K$20,'試行熟悉度'!$E$7:$E$20,"未評估",0)</x:f>
        <x:v>可獨立配合</x:v>
      </x:c>
      <x:c r="P81" s="48" t="str">
        <x:f>_xlfn.XLOOKUP($A81&amp;"|李侑津醫師",'試行熟悉度'!$K$7:$K$20,'試行熟悉度'!$F$7:$F$20,"未建立",0)</x:f>
        <x:v>待主管核定</x:v>
      </x:c>
      <x:c r="Q81" s="39" t="str">
        <x:v>確認後才納入自動判定</x:v>
      </x:c>
    </x:row>
    <x:row r="82">
      <x:c r="A82" s="37" t="str">
        <x:v>1004</x:v>
      </x:c>
      <x:c r="B82" s="37" t="str"/>
      <x:c r="C82" s="37" t="str">
        <x:v>LJT-CROWNPOST</x:v>
      </x:c>
      <x:c r="D82" s="37" t="str">
        <x:v>拆 crown/post</x:v>
      </x:c>
      <x:c r="E82" s="37" t="str">
        <x:v>一般</x:v>
      </x:c>
      <x:c r="F82" s="37" t="str">
        <x:v>一般</x:v>
      </x:c>
      <x:c r="G82" s="37" t="str">
        <x:v>COMMON-XRAY-RECORD</x:v>
      </x:c>
      <x:c r="H82" s="37" t="str">
        <x:v>待確認</x:v>
      </x:c>
      <x:c r="I82" s="37" t="str">
        <x:f>_xlfn.XLOOKUP($C82&amp;"|"&amp;$G82,'李醫師能力要求'!$M$7:$M$59,'李醫師能力要求'!$K$7:$K$59,"待確認",0)</x:f>
        <x:v>待確認</x:v>
      </x:c>
      <x:c r="J82" s="37" t="str">
        <x:v>◎</x:v>
      </x:c>
      <x:c r="K82" s="37" t="str">
        <x:v>Ø</x:v>
      </x:c>
      <x:c r="L82" s="48" t="str">
        <x:f>_xlfn.XLOOKUP($A82&amp;"|"&amp;$G82,'試行能力狀態'!$L$7:$L$258,'試行能力狀態'!$E$7:$E$258,"未評估",0)</x:f>
        <x:v>◎</x:v>
      </x:c>
      <x:c r="M82" s="48" t="str">
        <x:f>_xlfn.XLOOKUP($A82&amp;"|"&amp;$G82,'試行能力狀態'!$L$7:$L$258,'試行能力狀態'!$F$7:$F$258,"未建立",0)</x:f>
        <x:v>待主管核定</x:v>
      </x:c>
      <x:c r="N82" s="48" t="str">
        <x:f>IF($L82="◎","符合獨立",IF($L82="Ø","符合條件","不符合"))</x:f>
        <x:v>符合獨立</x:v>
      </x:c>
      <x:c r="O82" s="48" t="str">
        <x:f>_xlfn.XLOOKUP($A82&amp;"|李侑津醫師",'試行熟悉度'!$K$7:$K$20,'試行熟悉度'!$E$7:$E$20,"未評估",0)</x:f>
        <x:v>可獨立配合</x:v>
      </x:c>
      <x:c r="P82" s="48" t="str">
        <x:f>_xlfn.XLOOKUP($A82&amp;"|李侑津醫師",'試行熟悉度'!$K$7:$K$20,'試行熟悉度'!$F$7:$F$20,"未建立",0)</x:f>
        <x:v>待主管核定</x:v>
      </x:c>
      <x:c r="Q82" s="39" t="str">
        <x:v>確認後才納入自動判定</x:v>
      </x:c>
    </x:row>
    <x:row r="83">
      <x:c r="A83" s="37" t="str">
        <x:v>1004</x:v>
      </x:c>
      <x:c r="B83" s="37" t="str"/>
      <x:c r="C83" s="37" t="str">
        <x:v>LJT-CROWN</x:v>
      </x:c>
      <x:c r="D83" s="37" t="str">
        <x:v>固定假牙</x:v>
      </x:c>
      <x:c r="E83" s="37" t="str">
        <x:v>一般</x:v>
      </x:c>
      <x:c r="F83" s="37" t="str">
        <x:v>一般</x:v>
      </x:c>
      <x:c r="G83" s="37" t="str">
        <x:v>LJT-PREP-CROWN</x:v>
      </x:c>
      <x:c r="H83" s="37" t="str">
        <x:v>必備</x:v>
      </x:c>
      <x:c r="I83" s="37" t="str">
        <x:f>_xlfn.XLOOKUP($C83&amp;"|"&amp;$G83,'李醫師能力要求'!$M$7:$M$59,'李醫師能力要求'!$K$7:$K$59,"待確認",0)</x:f>
        <x:v>已確認</x:v>
      </x:c>
      <x:c r="J83" s="37" t="str">
        <x:v>◎</x:v>
      </x:c>
      <x:c r="K83" s="37" t="str">
        <x:v>Ø</x:v>
      </x:c>
      <x:c r="L83" s="48" t="str">
        <x:f>_xlfn.XLOOKUP($A83&amp;"|"&amp;$G83,'試行能力狀態'!$L$7:$L$258,'試行能力狀態'!$E$7:$E$258,"未評估",0)</x:f>
        <x:v>◎</x:v>
      </x:c>
      <x:c r="M83" s="48" t="str">
        <x:f>_xlfn.XLOOKUP($A83&amp;"|"&amp;$G83,'試行能力狀態'!$L$7:$L$258,'試行能力狀態'!$F$7:$F$258,"未建立",0)</x:f>
        <x:v>待主管核定</x:v>
      </x:c>
      <x:c r="N83" s="48" t="str">
        <x:f>IF($L83="◎","符合獨立",IF($L83="Ø","符合條件","不符合"))</x:f>
        <x:v>符合獨立</x:v>
      </x:c>
      <x:c r="O83" s="48" t="str">
        <x:f>_xlfn.XLOOKUP($A83&amp;"|李侑津醫師",'試行熟悉度'!$K$7:$K$20,'試行熟悉度'!$E$7:$E$20,"未評估",0)</x:f>
        <x:v>可獨立配合</x:v>
      </x:c>
      <x:c r="P83" s="48" t="str">
        <x:f>_xlfn.XLOOKUP($A83&amp;"|李侑津醫師",'試行熟悉度'!$K$7:$K$20,'試行熟悉度'!$F$7:$F$20,"未建立",0)</x:f>
        <x:v>待主管核定</x:v>
      </x:c>
      <x:c r="Q83" s="39" t="str">
        <x:v>依一般支援名額</x:v>
      </x:c>
    </x:row>
    <x:row r="84">
      <x:c r="A84" s="37" t="str">
        <x:v>1004</x:v>
      </x:c>
      <x:c r="B84" s="37" t="str"/>
      <x:c r="C84" s="37" t="str">
        <x:v>LJT-CROWN</x:v>
      </x:c>
      <x:c r="D84" s="37" t="str">
        <x:v>固定假牙</x:v>
      </x:c>
      <x:c r="E84" s="37" t="str">
        <x:v>一般</x:v>
      </x:c>
      <x:c r="F84" s="37" t="str">
        <x:v>一般</x:v>
      </x:c>
      <x:c r="G84" s="37" t="str">
        <x:v>COMMON-RECORD</x:v>
      </x:c>
      <x:c r="H84" s="37" t="str">
        <x:v>待確認</x:v>
      </x:c>
      <x:c r="I84" s="37" t="str">
        <x:f>_xlfn.XLOOKUP($C84&amp;"|"&amp;$G84,'李醫師能力要求'!$M$7:$M$59,'李醫師能力要求'!$K$7:$K$59,"待確認",0)</x:f>
        <x:v>待確認</x:v>
      </x:c>
      <x:c r="J84" s="37" t="str">
        <x:v>◎</x:v>
      </x:c>
      <x:c r="K84" s="37" t="str">
        <x:v>Ø</x:v>
      </x:c>
      <x:c r="L84" s="48" t="str">
        <x:f>_xlfn.XLOOKUP($A84&amp;"|"&amp;$G84,'試行能力狀態'!$L$7:$L$258,'試行能力狀態'!$E$7:$E$258,"未評估",0)</x:f>
        <x:v>◎</x:v>
      </x:c>
      <x:c r="M84" s="48" t="str">
        <x:f>_xlfn.XLOOKUP($A84&amp;"|"&amp;$G84,'試行能力狀態'!$L$7:$L$258,'試行能力狀態'!$F$7:$F$258,"未建立",0)</x:f>
        <x:v>待主管核定</x:v>
      </x:c>
      <x:c r="N84" s="48" t="str">
        <x:f>IF($L84="◎","符合獨立",IF($L84="Ø","符合條件","不符合"))</x:f>
        <x:v>符合獨立</x:v>
      </x:c>
      <x:c r="O84" s="48" t="str">
        <x:f>_xlfn.XLOOKUP($A84&amp;"|李侑津醫師",'試行熟悉度'!$K$7:$K$20,'試行熟悉度'!$E$7:$E$20,"未評估",0)</x:f>
        <x:v>可獨立配合</x:v>
      </x:c>
      <x:c r="P84" s="48" t="str">
        <x:f>_xlfn.XLOOKUP($A84&amp;"|李侑津醫師",'試行熟悉度'!$K$7:$K$20,'試行熟悉度'!$F$7:$F$20,"未建立",0)</x:f>
        <x:v>待主管核定</x:v>
      </x:c>
      <x:c r="Q84" s="39" t="str">
        <x:v>確認後才納入自動判定</x:v>
      </x:c>
    </x:row>
    <x:row r="85">
      <x:c r="A85" s="37" t="str">
        <x:v>1004</x:v>
      </x:c>
      <x:c r="B85" s="37" t="str"/>
      <x:c r="C85" s="37" t="str">
        <x:v>LJT-CROWN</x:v>
      </x:c>
      <x:c r="D85" s="37" t="str">
        <x:v>固定假牙</x:v>
      </x:c>
      <x:c r="E85" s="37" t="str">
        <x:v>一般</x:v>
      </x:c>
      <x:c r="F85" s="37" t="str">
        <x:v>一般</x:v>
      </x:c>
      <x:c r="G85" s="37" t="str">
        <x:v>COMMON-INSURANCE</x:v>
      </x:c>
      <x:c r="H85" s="37" t="str">
        <x:v>待確認</x:v>
      </x:c>
      <x:c r="I85" s="37" t="str">
        <x:f>_xlfn.XLOOKUP($C85&amp;"|"&amp;$G85,'李醫師能力要求'!$M$7:$M$59,'李醫師能力要求'!$K$7:$K$59,"待確認",0)</x:f>
        <x:v>待確認</x:v>
      </x:c>
      <x:c r="J85" s="37" t="str">
        <x:v>◎</x:v>
      </x:c>
      <x:c r="K85" s="37" t="str">
        <x:v>Ø</x:v>
      </x:c>
      <x:c r="L85" s="48" t="str">
        <x:f>_xlfn.XLOOKUP($A85&amp;"|"&amp;$G85,'試行能力狀態'!$L$7:$L$258,'試行能力狀態'!$E$7:$E$258,"未評估",0)</x:f>
        <x:v>◎</x:v>
      </x:c>
      <x:c r="M85" s="48" t="str">
        <x:f>_xlfn.XLOOKUP($A85&amp;"|"&amp;$G85,'試行能力狀態'!$L$7:$L$258,'試行能力狀態'!$F$7:$F$258,"未建立",0)</x:f>
        <x:v>待主管核定</x:v>
      </x:c>
      <x:c r="N85" s="48" t="str">
        <x:f>IF($L85="◎","符合獨立",IF($L85="Ø","符合條件","不符合"))</x:f>
        <x:v>符合獨立</x:v>
      </x:c>
      <x:c r="O85" s="48" t="str">
        <x:f>_xlfn.XLOOKUP($A85&amp;"|李侑津醫師",'試行熟悉度'!$K$7:$K$20,'試行熟悉度'!$E$7:$E$20,"未評估",0)</x:f>
        <x:v>可獨立配合</x:v>
      </x:c>
      <x:c r="P85" s="48" t="str">
        <x:f>_xlfn.XLOOKUP($A85&amp;"|李侑津醫師",'試行熟悉度'!$K$7:$K$20,'試行熟悉度'!$F$7:$F$20,"未建立",0)</x:f>
        <x:v>待主管核定</x:v>
      </x:c>
      <x:c r="Q85" s="39" t="str">
        <x:v>確認後才納入自動判定</x:v>
      </x:c>
    </x:row>
    <x:row r="86">
      <x:c r="A86" s="37" t="str">
        <x:v>1004</x:v>
      </x:c>
      <x:c r="B86" s="37" t="str"/>
      <x:c r="C86" s="37" t="str">
        <x:v>LJT-CROWN</x:v>
      </x:c>
      <x:c r="D86" s="37" t="str">
        <x:v>固定假牙</x:v>
      </x:c>
      <x:c r="E86" s="37" t="str">
        <x:v>一般</x:v>
      </x:c>
      <x:c r="F86" s="37" t="str">
        <x:v>一般</x:v>
      </x:c>
      <x:c r="G86" s="37" t="str">
        <x:v>COMMON-XRAY-RECORD</x:v>
      </x:c>
      <x:c r="H86" s="37" t="str">
        <x:v>待確認</x:v>
      </x:c>
      <x:c r="I86" s="37" t="str">
        <x:f>_xlfn.XLOOKUP($C86&amp;"|"&amp;$G86,'李醫師能力要求'!$M$7:$M$59,'李醫師能力要求'!$K$7:$K$59,"待確認",0)</x:f>
        <x:v>待確認</x:v>
      </x:c>
      <x:c r="J86" s="37" t="str">
        <x:v>◎</x:v>
      </x:c>
      <x:c r="K86" s="37" t="str">
        <x:v>Ø</x:v>
      </x:c>
      <x:c r="L86" s="48" t="str">
        <x:f>_xlfn.XLOOKUP($A86&amp;"|"&amp;$G86,'試行能力狀態'!$L$7:$L$258,'試行能力狀態'!$E$7:$E$258,"未評估",0)</x:f>
        <x:v>◎</x:v>
      </x:c>
      <x:c r="M86" s="48" t="str">
        <x:f>_xlfn.XLOOKUP($A86&amp;"|"&amp;$G86,'試行能力狀態'!$L$7:$L$258,'試行能力狀態'!$F$7:$F$258,"未建立",0)</x:f>
        <x:v>待主管核定</x:v>
      </x:c>
      <x:c r="N86" s="48" t="str">
        <x:f>IF($L86="◎","符合獨立",IF($L86="Ø","符合條件","不符合"))</x:f>
        <x:v>符合獨立</x:v>
      </x:c>
      <x:c r="O86" s="48" t="str">
        <x:f>_xlfn.XLOOKUP($A86&amp;"|李侑津醫師",'試行熟悉度'!$K$7:$K$20,'試行熟悉度'!$E$7:$E$20,"未評估",0)</x:f>
        <x:v>可獨立配合</x:v>
      </x:c>
      <x:c r="P86" s="48" t="str">
        <x:f>_xlfn.XLOOKUP($A86&amp;"|李侑津醫師",'試行熟悉度'!$K$7:$K$20,'試行熟悉度'!$F$7:$F$20,"未建立",0)</x:f>
        <x:v>待主管核定</x:v>
      </x:c>
      <x:c r="Q86" s="39" t="str">
        <x:v>確認後才納入自動判定</x:v>
      </x:c>
    </x:row>
    <x:row r="87">
      <x:c r="A87" s="37" t="str">
        <x:v>1004</x:v>
      </x:c>
      <x:c r="B87" s="37" t="str"/>
      <x:c r="C87" s="37" t="str">
        <x:v>LJT-RPD</x:v>
      </x:c>
      <x:c r="D87" s="37" t="str">
        <x:v>RPD</x:v>
      </x:c>
      <x:c r="E87" s="37" t="str">
        <x:v>一般步驟</x:v>
      </x:c>
      <x:c r="F87" s="37" t="str">
        <x:v>一般</x:v>
      </x:c>
      <x:c r="G87" s="37" t="str">
        <x:v>LJT-PREP-RPD</x:v>
      </x:c>
      <x:c r="H87" s="37" t="str">
        <x:v>必備</x:v>
      </x:c>
      <x:c r="I87" s="37" t="str">
        <x:f>_xlfn.XLOOKUP($C87&amp;"|"&amp;$G87,'李醫師能力要求'!$M$7:$M$59,'李醫師能力要求'!$K$7:$K$59,"待確認",0)</x:f>
        <x:v>已確認</x:v>
      </x:c>
      <x:c r="J87" s="37" t="str">
        <x:v>◎</x:v>
      </x:c>
      <x:c r="K87" s="37" t="str">
        <x:v>Ø</x:v>
      </x:c>
      <x:c r="L87" s="48" t="str">
        <x:f>_xlfn.XLOOKUP($A87&amp;"|"&amp;$G87,'試行能力狀態'!$L$7:$L$258,'試行能力狀態'!$E$7:$E$258,"未評估",0)</x:f>
        <x:v>◎</x:v>
      </x:c>
      <x:c r="M87" s="48" t="str">
        <x:f>_xlfn.XLOOKUP($A87&amp;"|"&amp;$G87,'試行能力狀態'!$L$7:$L$258,'試行能力狀態'!$F$7:$F$258,"未建立",0)</x:f>
        <x:v>待主管核定</x:v>
      </x:c>
      <x:c r="N87" s="48" t="str">
        <x:f>IF($L87="◎","符合獨立",IF($L87="Ø","符合條件","不符合"))</x:f>
        <x:v>符合獨立</x:v>
      </x:c>
      <x:c r="O87" s="48" t="str">
        <x:f>_xlfn.XLOOKUP($A87&amp;"|李侑津醫師",'試行熟悉度'!$K$7:$K$20,'試行熟悉度'!$E$7:$E$20,"未評估",0)</x:f>
        <x:v>可獨立配合</x:v>
      </x:c>
      <x:c r="P87" s="48" t="str">
        <x:f>_xlfn.XLOOKUP($A87&amp;"|李侑津醫師",'試行熟悉度'!$K$7:$K$20,'試行熟悉度'!$F$7:$F$20,"未建立",0)</x:f>
        <x:v>待主管核定</x:v>
      </x:c>
      <x:c r="Q87" s="39" t="str">
        <x:v>依一般支援名額</x:v>
      </x:c>
    </x:row>
    <x:row r="88">
      <x:c r="A88" s="37" t="str">
        <x:v>1004</x:v>
      </x:c>
      <x:c r="B88" s="37" t="str"/>
      <x:c r="C88" s="37" t="str">
        <x:v>LJT-RPD</x:v>
      </x:c>
      <x:c r="D88" s="37" t="str">
        <x:v>RPD</x:v>
      </x:c>
      <x:c r="E88" s="37" t="str">
        <x:v>一般步驟</x:v>
      </x:c>
      <x:c r="F88" s="37" t="str">
        <x:v>一般</x:v>
      </x:c>
      <x:c r="G88" s="37" t="str">
        <x:v>COMMON-RECORD</x:v>
      </x:c>
      <x:c r="H88" s="37" t="str">
        <x:v>待確認</x:v>
      </x:c>
      <x:c r="I88" s="37" t="str">
        <x:f>_xlfn.XLOOKUP($C88&amp;"|"&amp;$G88,'李醫師能力要求'!$M$7:$M$59,'李醫師能力要求'!$K$7:$K$59,"待確認",0)</x:f>
        <x:v>待確認</x:v>
      </x:c>
      <x:c r="J88" s="37" t="str">
        <x:v>◎</x:v>
      </x:c>
      <x:c r="K88" s="37" t="str">
        <x:v>Ø</x:v>
      </x:c>
      <x:c r="L88" s="48" t="str">
        <x:f>_xlfn.XLOOKUP($A88&amp;"|"&amp;$G88,'試行能力狀態'!$L$7:$L$258,'試行能力狀態'!$E$7:$E$258,"未評估",0)</x:f>
        <x:v>◎</x:v>
      </x:c>
      <x:c r="M88" s="48" t="str">
        <x:f>_xlfn.XLOOKUP($A88&amp;"|"&amp;$G88,'試行能力狀態'!$L$7:$L$258,'試行能力狀態'!$F$7:$F$258,"未建立",0)</x:f>
        <x:v>待主管核定</x:v>
      </x:c>
      <x:c r="N88" s="48" t="str">
        <x:f>IF($L88="◎","符合獨立",IF($L88="Ø","符合條件","不符合"))</x:f>
        <x:v>符合獨立</x:v>
      </x:c>
      <x:c r="O88" s="48" t="str">
        <x:f>_xlfn.XLOOKUP($A88&amp;"|李侑津醫師",'試行熟悉度'!$K$7:$K$20,'試行熟悉度'!$E$7:$E$20,"未評估",0)</x:f>
        <x:v>可獨立配合</x:v>
      </x:c>
      <x:c r="P88" s="48" t="str">
        <x:f>_xlfn.XLOOKUP($A88&amp;"|李侑津醫師",'試行熟悉度'!$K$7:$K$20,'試行熟悉度'!$F$7:$F$20,"未建立",0)</x:f>
        <x:v>待主管核定</x:v>
      </x:c>
      <x:c r="Q88" s="39" t="str">
        <x:v>確認後才納入自動判定</x:v>
      </x:c>
    </x:row>
    <x:row r="89">
      <x:c r="A89" s="37" t="str">
        <x:v>1004</x:v>
      </x:c>
      <x:c r="B89" s="37" t="str"/>
      <x:c r="C89" s="37" t="str">
        <x:v>LJT-RPD</x:v>
      </x:c>
      <x:c r="D89" s="37" t="str">
        <x:v>RPD</x:v>
      </x:c>
      <x:c r="E89" s="37" t="str">
        <x:v>一般步驟</x:v>
      </x:c>
      <x:c r="F89" s="37" t="str">
        <x:v>一般</x:v>
      </x:c>
      <x:c r="G89" s="37" t="str">
        <x:v>COMMON-INSURANCE</x:v>
      </x:c>
      <x:c r="H89" s="37" t="str">
        <x:v>待確認</x:v>
      </x:c>
      <x:c r="I89" s="37" t="str">
        <x:f>_xlfn.XLOOKUP($C89&amp;"|"&amp;$G89,'李醫師能力要求'!$M$7:$M$59,'李醫師能力要求'!$K$7:$K$59,"待確認",0)</x:f>
        <x:v>待確認</x:v>
      </x:c>
      <x:c r="J89" s="37" t="str">
        <x:v>◎</x:v>
      </x:c>
      <x:c r="K89" s="37" t="str">
        <x:v>Ø</x:v>
      </x:c>
      <x:c r="L89" s="48" t="str">
        <x:f>_xlfn.XLOOKUP($A89&amp;"|"&amp;$G89,'試行能力狀態'!$L$7:$L$258,'試行能力狀態'!$E$7:$E$258,"未評估",0)</x:f>
        <x:v>◎</x:v>
      </x:c>
      <x:c r="M89" s="48" t="str">
        <x:f>_xlfn.XLOOKUP($A89&amp;"|"&amp;$G89,'試行能力狀態'!$L$7:$L$258,'試行能力狀態'!$F$7:$F$258,"未建立",0)</x:f>
        <x:v>待主管核定</x:v>
      </x:c>
      <x:c r="N89" s="48" t="str">
        <x:f>IF($L89="◎","符合獨立",IF($L89="Ø","符合條件","不符合"))</x:f>
        <x:v>符合獨立</x:v>
      </x:c>
      <x:c r="O89" s="48" t="str">
        <x:f>_xlfn.XLOOKUP($A89&amp;"|李侑津醫師",'試行熟悉度'!$K$7:$K$20,'試行熟悉度'!$E$7:$E$20,"未評估",0)</x:f>
        <x:v>可獨立配合</x:v>
      </x:c>
      <x:c r="P89" s="48" t="str">
        <x:f>_xlfn.XLOOKUP($A89&amp;"|李侑津醫師",'試行熟悉度'!$K$7:$K$20,'試行熟悉度'!$F$7:$F$20,"未建立",0)</x:f>
        <x:v>待主管核定</x:v>
      </x:c>
      <x:c r="Q89" s="39" t="str">
        <x:v>確認後才納入自動判定</x:v>
      </x:c>
    </x:row>
    <x:row r="90">
      <x:c r="A90" s="37" t="str">
        <x:v>1004</x:v>
      </x:c>
      <x:c r="B90" s="37" t="str"/>
      <x:c r="C90" s="37" t="str">
        <x:v>LJT-RPD</x:v>
      </x:c>
      <x:c r="D90" s="37" t="str">
        <x:v>RPD</x:v>
      </x:c>
      <x:c r="E90" s="37" t="str">
        <x:v>一般步驟</x:v>
      </x:c>
      <x:c r="F90" s="37" t="str">
        <x:v>一般</x:v>
      </x:c>
      <x:c r="G90" s="37" t="str">
        <x:v>COMMON-XRAY-RECORD</x:v>
      </x:c>
      <x:c r="H90" s="37" t="str">
        <x:v>待確認</x:v>
      </x:c>
      <x:c r="I90" s="37" t="str">
        <x:f>_xlfn.XLOOKUP($C90&amp;"|"&amp;$G90,'李醫師能力要求'!$M$7:$M$59,'李醫師能力要求'!$K$7:$K$59,"待確認",0)</x:f>
        <x:v>待確認</x:v>
      </x:c>
      <x:c r="J90" s="37" t="str">
        <x:v>◎</x:v>
      </x:c>
      <x:c r="K90" s="37" t="str">
        <x:v>Ø</x:v>
      </x:c>
      <x:c r="L90" s="48" t="str">
        <x:f>_xlfn.XLOOKUP($A90&amp;"|"&amp;$G90,'試行能力狀態'!$L$7:$L$258,'試行能力狀態'!$E$7:$E$258,"未評估",0)</x:f>
        <x:v>◎</x:v>
      </x:c>
      <x:c r="M90" s="48" t="str">
        <x:f>_xlfn.XLOOKUP($A90&amp;"|"&amp;$G90,'試行能力狀態'!$L$7:$L$258,'試行能力狀態'!$F$7:$F$258,"未建立",0)</x:f>
        <x:v>待主管核定</x:v>
      </x:c>
      <x:c r="N90" s="48" t="str">
        <x:f>IF($L90="◎","符合獨立",IF($L90="Ø","符合條件","不符合"))</x:f>
        <x:v>符合獨立</x:v>
      </x:c>
      <x:c r="O90" s="48" t="str">
        <x:f>_xlfn.XLOOKUP($A90&amp;"|李侑津醫師",'試行熟悉度'!$K$7:$K$20,'試行熟悉度'!$E$7:$E$20,"未評估",0)</x:f>
        <x:v>可獨立配合</x:v>
      </x:c>
      <x:c r="P90" s="48" t="str">
        <x:f>_xlfn.XLOOKUP($A90&amp;"|李侑津醫師",'試行熟悉度'!$K$7:$K$20,'試行熟悉度'!$F$7:$F$20,"未建立",0)</x:f>
        <x:v>待主管核定</x:v>
      </x:c>
      <x:c r="Q90" s="39" t="str">
        <x:v>確認後才納入自動判定</x:v>
      </x:c>
    </x:row>
    <x:row r="91">
      <x:c r="A91" s="37" t="str">
        <x:v>1004</x:v>
      </x:c>
      <x:c r="B91" s="37" t="str"/>
      <x:c r="C91" s="37" t="str">
        <x:v>LJT-RPD-FINAL</x:v>
      </x:c>
      <x:c r="D91" s="37" t="str">
        <x:v>RPD</x:v>
      </x:c>
      <x:c r="E91" s="37" t="str">
        <x:v>印最終模</x:v>
      </x:c>
      <x:c r="F91" s="37" t="str">
        <x:v>特殊階段</x:v>
      </x:c>
      <x:c r="G91" s="37" t="str">
        <x:v>LJT-PREP-RPD</x:v>
      </x:c>
      <x:c r="H91" s="37" t="str">
        <x:v>必備</x:v>
      </x:c>
      <x:c r="I91" s="37" t="str">
        <x:f>_xlfn.XLOOKUP($C91&amp;"|"&amp;$G91,'李醫師能力要求'!$M$7:$M$59,'李醫師能力要求'!$K$7:$K$59,"待確認",0)</x:f>
        <x:v>已確認</x:v>
      </x:c>
      <x:c r="J91" s="37" t="str">
        <x:v>◎</x:v>
      </x:c>
      <x:c r="K91" s="37" t="str">
        <x:v>Ø</x:v>
      </x:c>
      <x:c r="L91" s="48" t="str">
        <x:f>_xlfn.XLOOKUP($A91&amp;"|"&amp;$G91,'試行能力狀態'!$L$7:$L$258,'試行能力狀態'!$E$7:$E$258,"未評估",0)</x:f>
        <x:v>◎</x:v>
      </x:c>
      <x:c r="M91" s="48" t="str">
        <x:f>_xlfn.XLOOKUP($A91&amp;"|"&amp;$G91,'試行能力狀態'!$L$7:$L$258,'試行能力狀態'!$F$7:$F$258,"未建立",0)</x:f>
        <x:v>待主管核定</x:v>
      </x:c>
      <x:c r="N91" s="48" t="str">
        <x:f>IF($L91="◎","符合獨立",IF($L91="Ø","符合條件","不符合"))</x:f>
        <x:v>符合獨立</x:v>
      </x:c>
      <x:c r="O91" s="48" t="str">
        <x:f>_xlfn.XLOOKUP($A91&amp;"|李侑津醫師",'試行熟悉度'!$K$7:$K$20,'試行熟悉度'!$E$7:$E$20,"未評估",0)</x:f>
        <x:v>可獨立配合</x:v>
      </x:c>
      <x:c r="P91" s="48" t="str">
        <x:f>_xlfn.XLOOKUP($A91&amp;"|李侑津醫師",'試行熟悉度'!$K$7:$K$20,'試行熟悉度'!$F$7:$F$20,"未建立",0)</x:f>
        <x:v>待主管核定</x:v>
      </x:c>
      <x:c r="Q91" s="39" t="str">
        <x:v>依一般支援名額</x:v>
      </x:c>
    </x:row>
    <x:row r="92">
      <x:c r="A92" s="37" t="str">
        <x:v>1004</x:v>
      </x:c>
      <x:c r="B92" s="37" t="str"/>
      <x:c r="C92" s="37" t="str">
        <x:v>LJT-RPD-FINAL</x:v>
      </x:c>
      <x:c r="D92" s="37" t="str">
        <x:v>RPD</x:v>
      </x:c>
      <x:c r="E92" s="37" t="str">
        <x:v>印最終模</x:v>
      </x:c>
      <x:c r="F92" s="37" t="str">
        <x:v>特殊階段</x:v>
      </x:c>
      <x:c r="G92" s="37" t="str">
        <x:v>COMMON-RECORD</x:v>
      </x:c>
      <x:c r="H92" s="37" t="str">
        <x:v>待確認</x:v>
      </x:c>
      <x:c r="I92" s="37" t="str">
        <x:f>_xlfn.XLOOKUP($C92&amp;"|"&amp;$G92,'李醫師能力要求'!$M$7:$M$59,'李醫師能力要求'!$K$7:$K$59,"待確認",0)</x:f>
        <x:v>待確認</x:v>
      </x:c>
      <x:c r="J92" s="37" t="str">
        <x:v>◎</x:v>
      </x:c>
      <x:c r="K92" s="37" t="str">
        <x:v>Ø</x:v>
      </x:c>
      <x:c r="L92" s="48" t="str">
        <x:f>_xlfn.XLOOKUP($A92&amp;"|"&amp;$G92,'試行能力狀態'!$L$7:$L$258,'試行能力狀態'!$E$7:$E$258,"未評估",0)</x:f>
        <x:v>◎</x:v>
      </x:c>
      <x:c r="M92" s="48" t="str">
        <x:f>_xlfn.XLOOKUP($A92&amp;"|"&amp;$G92,'試行能力狀態'!$L$7:$L$258,'試行能力狀態'!$F$7:$F$258,"未建立",0)</x:f>
        <x:v>待主管核定</x:v>
      </x:c>
      <x:c r="N92" s="48" t="str">
        <x:f>IF($L92="◎","符合獨立",IF($L92="Ø","符合條件","不符合"))</x:f>
        <x:v>符合獨立</x:v>
      </x:c>
      <x:c r="O92" s="48" t="str">
        <x:f>_xlfn.XLOOKUP($A92&amp;"|李侑津醫師",'試行熟悉度'!$K$7:$K$20,'試行熟悉度'!$E$7:$E$20,"未評估",0)</x:f>
        <x:v>可獨立配合</x:v>
      </x:c>
      <x:c r="P92" s="48" t="str">
        <x:f>_xlfn.XLOOKUP($A92&amp;"|李侑津醫師",'試行熟悉度'!$K$7:$K$20,'試行熟悉度'!$F$7:$F$20,"未建立",0)</x:f>
        <x:v>待主管核定</x:v>
      </x:c>
      <x:c r="Q92" s="39" t="str">
        <x:v>確認後才納入自動判定</x:v>
      </x:c>
    </x:row>
    <x:row r="93">
      <x:c r="A93" s="37" t="str">
        <x:v>1004</x:v>
      </x:c>
      <x:c r="B93" s="37" t="str"/>
      <x:c r="C93" s="37" t="str">
        <x:v>LJT-RPD-FINAL</x:v>
      </x:c>
      <x:c r="D93" s="37" t="str">
        <x:v>RPD</x:v>
      </x:c>
      <x:c r="E93" s="37" t="str">
        <x:v>印最終模</x:v>
      </x:c>
      <x:c r="F93" s="37" t="str">
        <x:v>特殊階段</x:v>
      </x:c>
      <x:c r="G93" s="37" t="str">
        <x:v>COMMON-INSURANCE</x:v>
      </x:c>
      <x:c r="H93" s="37" t="str">
        <x:v>待確認</x:v>
      </x:c>
      <x:c r="I93" s="37" t="str">
        <x:f>_xlfn.XLOOKUP($C93&amp;"|"&amp;$G93,'李醫師能力要求'!$M$7:$M$59,'李醫師能力要求'!$K$7:$K$59,"待確認",0)</x:f>
        <x:v>待確認</x:v>
      </x:c>
      <x:c r="J93" s="37" t="str">
        <x:v>◎</x:v>
      </x:c>
      <x:c r="K93" s="37" t="str">
        <x:v>Ø</x:v>
      </x:c>
      <x:c r="L93" s="48" t="str">
        <x:f>_xlfn.XLOOKUP($A93&amp;"|"&amp;$G93,'試行能力狀態'!$L$7:$L$258,'試行能力狀態'!$E$7:$E$258,"未評估",0)</x:f>
        <x:v>◎</x:v>
      </x:c>
      <x:c r="M93" s="48" t="str">
        <x:f>_xlfn.XLOOKUP($A93&amp;"|"&amp;$G93,'試行能力狀態'!$L$7:$L$258,'試行能力狀態'!$F$7:$F$258,"未建立",0)</x:f>
        <x:v>待主管核定</x:v>
      </x:c>
      <x:c r="N93" s="48" t="str">
        <x:f>IF($L93="◎","符合獨立",IF($L93="Ø","符合條件","不符合"))</x:f>
        <x:v>符合獨立</x:v>
      </x:c>
      <x:c r="O93" s="48" t="str">
        <x:f>_xlfn.XLOOKUP($A93&amp;"|李侑津醫師",'試行熟悉度'!$K$7:$K$20,'試行熟悉度'!$E$7:$E$20,"未評估",0)</x:f>
        <x:v>可獨立配合</x:v>
      </x:c>
      <x:c r="P93" s="48" t="str">
        <x:f>_xlfn.XLOOKUP($A93&amp;"|李侑津醫師",'試行熟悉度'!$K$7:$K$20,'試行熟悉度'!$F$7:$F$20,"未建立",0)</x:f>
        <x:v>待主管核定</x:v>
      </x:c>
      <x:c r="Q93" s="39" t="str">
        <x:v>確認後才納入自動判定</x:v>
      </x:c>
    </x:row>
    <x:row r="94">
      <x:c r="A94" s="37" t="str">
        <x:v>1004</x:v>
      </x:c>
      <x:c r="B94" s="37" t="str"/>
      <x:c r="C94" s="37" t="str">
        <x:v>LJT-RPD-FINAL</x:v>
      </x:c>
      <x:c r="D94" s="37" t="str">
        <x:v>RPD</x:v>
      </x:c>
      <x:c r="E94" s="37" t="str">
        <x:v>印最終模</x:v>
      </x:c>
      <x:c r="F94" s="37" t="str">
        <x:v>特殊階段</x:v>
      </x:c>
      <x:c r="G94" s="37" t="str">
        <x:v>COMMON-XRAY-RECORD</x:v>
      </x:c>
      <x:c r="H94" s="37" t="str">
        <x:v>待確認</x:v>
      </x:c>
      <x:c r="I94" s="37" t="str">
        <x:f>_xlfn.XLOOKUP($C94&amp;"|"&amp;$G94,'李醫師能力要求'!$M$7:$M$59,'李醫師能力要求'!$K$7:$K$59,"待確認",0)</x:f>
        <x:v>待確認</x:v>
      </x:c>
      <x:c r="J94" s="37" t="str">
        <x:v>◎</x:v>
      </x:c>
      <x:c r="K94" s="37" t="str">
        <x:v>Ø</x:v>
      </x:c>
      <x:c r="L94" s="48" t="str">
        <x:f>_xlfn.XLOOKUP($A94&amp;"|"&amp;$G94,'試行能力狀態'!$L$7:$L$258,'試行能力狀態'!$E$7:$E$258,"未評估",0)</x:f>
        <x:v>◎</x:v>
      </x:c>
      <x:c r="M94" s="48" t="str">
        <x:f>_xlfn.XLOOKUP($A94&amp;"|"&amp;$G94,'試行能力狀態'!$L$7:$L$258,'試行能力狀態'!$F$7:$F$258,"未建立",0)</x:f>
        <x:v>待主管核定</x:v>
      </x:c>
      <x:c r="N94" s="48" t="str">
        <x:f>IF($L94="◎","符合獨立",IF($L94="Ø","符合條件","不符合"))</x:f>
        <x:v>符合獨立</x:v>
      </x:c>
      <x:c r="O94" s="48" t="str">
        <x:f>_xlfn.XLOOKUP($A94&amp;"|李侑津醫師",'試行熟悉度'!$K$7:$K$20,'試行熟悉度'!$E$7:$E$20,"未評估",0)</x:f>
        <x:v>可獨立配合</x:v>
      </x:c>
      <x:c r="P94" s="48" t="str">
        <x:f>_xlfn.XLOOKUP($A94&amp;"|李侑津醫師",'試行熟悉度'!$K$7:$K$20,'試行熟悉度'!$F$7:$F$20,"未建立",0)</x:f>
        <x:v>待主管核定</x:v>
      </x:c>
      <x:c r="Q94" s="39" t="str">
        <x:v>確認後才納入自動判定</x:v>
      </x:c>
    </x:row>
    <x:row r="95">
      <x:c r="A95" s="37" t="str">
        <x:v>1004</x:v>
      </x:c>
      <x:c r="B95" s="37" t="str"/>
      <x:c r="C95" s="37" t="str">
        <x:v>LJT-AIRPOLISH</x:v>
      </x:c>
      <x:c r="D95" s="37" t="str">
        <x:v>噴砂美白</x:v>
      </x:c>
      <x:c r="E95" s="37" t="str">
        <x:v>一般</x:v>
      </x:c>
      <x:c r="F95" s="37" t="str">
        <x:v>一般</x:v>
      </x:c>
      <x:c r="G95" s="37" t="str">
        <x:v>LJT-PREP-AIRPOLISH</x:v>
      </x:c>
      <x:c r="H95" s="37" t="str">
        <x:v>必備</x:v>
      </x:c>
      <x:c r="I95" s="37" t="str">
        <x:f>_xlfn.XLOOKUP($C95&amp;"|"&amp;$G95,'李醫師能力要求'!$M$7:$M$59,'李醫師能力要求'!$K$7:$K$59,"待確認",0)</x:f>
        <x:v>已確認</x:v>
      </x:c>
      <x:c r="J95" s="37" t="str">
        <x:v>◎</x:v>
      </x:c>
      <x:c r="K95" s="37" t="str">
        <x:v>Ø</x:v>
      </x:c>
      <x:c r="L95" s="48" t="str">
        <x:f>_xlfn.XLOOKUP($A95&amp;"|"&amp;$G95,'試行能力狀態'!$L$7:$L$258,'試行能力狀態'!$E$7:$E$258,"未評估",0)</x:f>
        <x:v>◎</x:v>
      </x:c>
      <x:c r="M95" s="48" t="str">
        <x:f>_xlfn.XLOOKUP($A95&amp;"|"&amp;$G95,'試行能力狀態'!$L$7:$L$258,'試行能力狀態'!$F$7:$F$258,"未建立",0)</x:f>
        <x:v>待主管核定</x:v>
      </x:c>
      <x:c r="N95" s="48" t="str">
        <x:f>IF($L95="◎","符合獨立",IF($L95="Ø","符合條件","不符合"))</x:f>
        <x:v>符合獨立</x:v>
      </x:c>
      <x:c r="O95" s="48" t="str">
        <x:f>_xlfn.XLOOKUP($A95&amp;"|李侑津醫師",'試行熟悉度'!$K$7:$K$20,'試行熟悉度'!$E$7:$E$20,"未評估",0)</x:f>
        <x:v>可獨立配合</x:v>
      </x:c>
      <x:c r="P95" s="48" t="str">
        <x:f>_xlfn.XLOOKUP($A95&amp;"|李侑津醫師",'試行熟悉度'!$K$7:$K$20,'試行熟悉度'!$F$7:$F$20,"未建立",0)</x:f>
        <x:v>待主管核定</x:v>
      </x:c>
      <x:c r="Q95" s="39" t="str">
        <x:v>依一般支援名額</x:v>
      </x:c>
    </x:row>
    <x:row r="96">
      <x:c r="A96" s="37" t="str">
        <x:v>1004</x:v>
      </x:c>
      <x:c r="B96" s="37" t="str"/>
      <x:c r="C96" s="37" t="str">
        <x:v>LJT-AIRPOLISH</x:v>
      </x:c>
      <x:c r="D96" s="37" t="str">
        <x:v>噴砂美白</x:v>
      </x:c>
      <x:c r="E96" s="37" t="str">
        <x:v>一般</x:v>
      </x:c>
      <x:c r="F96" s="37" t="str">
        <x:v>一般</x:v>
      </x:c>
      <x:c r="G96" s="37" t="str">
        <x:v>COMMON-RECORD</x:v>
      </x:c>
      <x:c r="H96" s="37" t="str">
        <x:v>待確認</x:v>
      </x:c>
      <x:c r="I96" s="37" t="str">
        <x:f>_xlfn.XLOOKUP($C96&amp;"|"&amp;$G96,'李醫師能力要求'!$M$7:$M$59,'李醫師能力要求'!$K$7:$K$59,"待確認",0)</x:f>
        <x:v>待確認</x:v>
      </x:c>
      <x:c r="J96" s="37" t="str">
        <x:v>◎</x:v>
      </x:c>
      <x:c r="K96" s="37" t="str">
        <x:v>Ø</x:v>
      </x:c>
      <x:c r="L96" s="48" t="str">
        <x:f>_xlfn.XLOOKUP($A96&amp;"|"&amp;$G96,'試行能力狀態'!$L$7:$L$258,'試行能力狀態'!$E$7:$E$258,"未評估",0)</x:f>
        <x:v>◎</x:v>
      </x:c>
      <x:c r="M96" s="48" t="str">
        <x:f>_xlfn.XLOOKUP($A96&amp;"|"&amp;$G96,'試行能力狀態'!$L$7:$L$258,'試行能力狀態'!$F$7:$F$258,"未建立",0)</x:f>
        <x:v>待主管核定</x:v>
      </x:c>
      <x:c r="N96" s="48" t="str">
        <x:f>IF($L96="◎","符合獨立",IF($L96="Ø","符合條件","不符合"))</x:f>
        <x:v>符合獨立</x:v>
      </x:c>
      <x:c r="O96" s="48" t="str">
        <x:f>_xlfn.XLOOKUP($A96&amp;"|李侑津醫師",'試行熟悉度'!$K$7:$K$20,'試行熟悉度'!$E$7:$E$20,"未評估",0)</x:f>
        <x:v>可獨立配合</x:v>
      </x:c>
      <x:c r="P96" s="48" t="str">
        <x:f>_xlfn.XLOOKUP($A96&amp;"|李侑津醫師",'試行熟悉度'!$K$7:$K$20,'試行熟悉度'!$F$7:$F$20,"未建立",0)</x:f>
        <x:v>待主管核定</x:v>
      </x:c>
      <x:c r="Q96" s="39" t="str">
        <x:v>確認後才納入自動判定</x:v>
      </x:c>
    </x:row>
    <x:row r="97">
      <x:c r="A97" s="37" t="str">
        <x:v>1004</x:v>
      </x:c>
      <x:c r="B97" s="37" t="str"/>
      <x:c r="C97" s="37" t="str">
        <x:v>LJT-AIRPOLISH</x:v>
      </x:c>
      <x:c r="D97" s="37" t="str">
        <x:v>噴砂美白</x:v>
      </x:c>
      <x:c r="E97" s="37" t="str">
        <x:v>一般</x:v>
      </x:c>
      <x:c r="F97" s="37" t="str">
        <x:v>一般</x:v>
      </x:c>
      <x:c r="G97" s="37" t="str">
        <x:v>COMMON-INSURANCE</x:v>
      </x:c>
      <x:c r="H97" s="37" t="str">
        <x:v>待確認</x:v>
      </x:c>
      <x:c r="I97" s="37" t="str">
        <x:f>_xlfn.XLOOKUP($C97&amp;"|"&amp;$G97,'李醫師能力要求'!$M$7:$M$59,'李醫師能力要求'!$K$7:$K$59,"待確認",0)</x:f>
        <x:v>待確認</x:v>
      </x:c>
      <x:c r="J97" s="37" t="str">
        <x:v>◎</x:v>
      </x:c>
      <x:c r="K97" s="37" t="str">
        <x:v>Ø</x:v>
      </x:c>
      <x:c r="L97" s="48" t="str">
        <x:f>_xlfn.XLOOKUP($A97&amp;"|"&amp;$G97,'試行能力狀態'!$L$7:$L$258,'試行能力狀態'!$E$7:$E$258,"未評估",0)</x:f>
        <x:v>◎</x:v>
      </x:c>
      <x:c r="M97" s="48" t="str">
        <x:f>_xlfn.XLOOKUP($A97&amp;"|"&amp;$G97,'試行能力狀態'!$L$7:$L$258,'試行能力狀態'!$F$7:$F$258,"未建立",0)</x:f>
        <x:v>待主管核定</x:v>
      </x:c>
      <x:c r="N97" s="48" t="str">
        <x:f>IF($L97="◎","符合獨立",IF($L97="Ø","符合條件","不符合"))</x:f>
        <x:v>符合獨立</x:v>
      </x:c>
      <x:c r="O97" s="48" t="str">
        <x:f>_xlfn.XLOOKUP($A97&amp;"|李侑津醫師",'試行熟悉度'!$K$7:$K$20,'試行熟悉度'!$E$7:$E$20,"未評估",0)</x:f>
        <x:v>可獨立配合</x:v>
      </x:c>
      <x:c r="P97" s="48" t="str">
        <x:f>_xlfn.XLOOKUP($A97&amp;"|李侑津醫師",'試行熟悉度'!$K$7:$K$20,'試行熟悉度'!$F$7:$F$20,"未建立",0)</x:f>
        <x:v>待主管核定</x:v>
      </x:c>
      <x:c r="Q97" s="39" t="str">
        <x:v>確認後才納入自動判定</x:v>
      </x:c>
    </x:row>
    <x:row r="98">
      <x:c r="A98" s="37" t="str">
        <x:v>1004</x:v>
      </x:c>
      <x:c r="B98" s="37" t="str"/>
      <x:c r="C98" s="37" t="str">
        <x:v>LJT-AIRPOLISH</x:v>
      </x:c>
      <x:c r="D98" s="37" t="str">
        <x:v>噴砂美白</x:v>
      </x:c>
      <x:c r="E98" s="37" t="str">
        <x:v>一般</x:v>
      </x:c>
      <x:c r="F98" s="37" t="str">
        <x:v>一般</x:v>
      </x:c>
      <x:c r="G98" s="37" t="str">
        <x:v>COMMON-XRAY-RECORD</x:v>
      </x:c>
      <x:c r="H98" s="37" t="str">
        <x:v>待確認</x:v>
      </x:c>
      <x:c r="I98" s="37" t="str">
        <x:f>_xlfn.XLOOKUP($C98&amp;"|"&amp;$G98,'李醫師能力要求'!$M$7:$M$59,'李醫師能力要求'!$K$7:$K$59,"待確認",0)</x:f>
        <x:v>待確認</x:v>
      </x:c>
      <x:c r="J98" s="37" t="str">
        <x:v>◎</x:v>
      </x:c>
      <x:c r="K98" s="37" t="str">
        <x:v>Ø</x:v>
      </x:c>
      <x:c r="L98" s="48" t="str">
        <x:f>_xlfn.XLOOKUP($A98&amp;"|"&amp;$G98,'試行能力狀態'!$L$7:$L$258,'試行能力狀態'!$E$7:$E$258,"未評估",0)</x:f>
        <x:v>◎</x:v>
      </x:c>
      <x:c r="M98" s="48" t="str">
        <x:f>_xlfn.XLOOKUP($A98&amp;"|"&amp;$G98,'試行能力狀態'!$L$7:$L$258,'試行能力狀態'!$F$7:$F$258,"未建立",0)</x:f>
        <x:v>待主管核定</x:v>
      </x:c>
      <x:c r="N98" s="48" t="str">
        <x:f>IF($L98="◎","符合獨立",IF($L98="Ø","符合條件","不符合"))</x:f>
        <x:v>符合獨立</x:v>
      </x:c>
      <x:c r="O98" s="48" t="str">
        <x:f>_xlfn.XLOOKUP($A98&amp;"|李侑津醫師",'試行熟悉度'!$K$7:$K$20,'試行熟悉度'!$E$7:$E$20,"未評估",0)</x:f>
        <x:v>可獨立配合</x:v>
      </x:c>
      <x:c r="P98" s="48" t="str">
        <x:f>_xlfn.XLOOKUP($A98&amp;"|李侑津醫師",'試行熟悉度'!$K$7:$K$20,'試行熟悉度'!$F$7:$F$20,"未建立",0)</x:f>
        <x:v>待主管核定</x:v>
      </x:c>
      <x:c r="Q98" s="39" t="str">
        <x:v>確認後才納入自動判定</x:v>
      </x:c>
    </x:row>
    <x:row r="99">
      <x:c r="A99" s="37" t="str">
        <x:v>1004</x:v>
      </x:c>
      <x:c r="B99" s="37" t="str"/>
      <x:c r="C99" s="37" t="str">
        <x:v>LJT-PERIOSURG</x:v>
      </x:c>
      <x:c r="D99" s="37" t="str">
        <x:v>牙周手術</x:v>
      </x:c>
      <x:c r="E99" s="37" t="str">
        <x:v>一般</x:v>
      </x:c>
      <x:c r="F99" s="37" t="str">
        <x:v>高複雜度</x:v>
      </x:c>
      <x:c r="G99" s="37" t="str">
        <x:v>LJT-PREP-PERIOSURG</x:v>
      </x:c>
      <x:c r="H99" s="37" t="str">
        <x:v>必備</x:v>
      </x:c>
      <x:c r="I99" s="37" t="str">
        <x:f>_xlfn.XLOOKUP($C99&amp;"|"&amp;$G99,'李醫師能力要求'!$M$7:$M$59,'李醫師能力要求'!$K$7:$K$59,"待確認",0)</x:f>
        <x:v>已確認</x:v>
      </x:c>
      <x:c r="J99" s="37" t="str">
        <x:v>◎</x:v>
      </x:c>
      <x:c r="K99" s="37" t="str">
        <x:v>Ø</x:v>
      </x:c>
      <x:c r="L99" s="48" t="str">
        <x:f>_xlfn.XLOOKUP($A99&amp;"|"&amp;$G99,'試行能力狀態'!$L$7:$L$258,'試行能力狀態'!$E$7:$E$258,"未評估",0)</x:f>
        <x:v>◎</x:v>
      </x:c>
      <x:c r="M99" s="48" t="str">
        <x:f>_xlfn.XLOOKUP($A99&amp;"|"&amp;$G99,'試行能力狀態'!$L$7:$L$258,'試行能力狀態'!$F$7:$F$258,"未建立",0)</x:f>
        <x:v>待主管核定</x:v>
      </x:c>
      <x:c r="N99" s="48" t="str">
        <x:f>IF($L99="◎","符合獨立",IF($L99="Ø","符合條件","不符合"))</x:f>
        <x:v>符合獨立</x:v>
      </x:c>
      <x:c r="O99" s="48" t="str">
        <x:f>_xlfn.XLOOKUP($A99&amp;"|李侑津醫師",'試行熟悉度'!$K$7:$K$20,'試行熟悉度'!$E$7:$E$20,"未評估",0)</x:f>
        <x:v>可獨立配合</x:v>
      </x:c>
      <x:c r="P99" s="48" t="str">
        <x:f>_xlfn.XLOOKUP($A99&amp;"|李侑津醫師",'試行熟悉度'!$K$7:$K$20,'試行熟悉度'!$F$7:$F$20,"未建立",0)</x:f>
        <x:v>待主管核定</x:v>
      </x:c>
      <x:c r="Q99" s="39" t="str">
        <x:v>Ø 時完整支援者 1:1</x:v>
      </x:c>
    </x:row>
    <x:row r="100">
      <x:c r="A100" s="37" t="str">
        <x:v>1004</x:v>
      </x:c>
      <x:c r="B100" s="37" t="str"/>
      <x:c r="C100" s="37" t="str">
        <x:v>LJT-PERIOSURG</x:v>
      </x:c>
      <x:c r="D100" s="37" t="str">
        <x:v>牙周手術</x:v>
      </x:c>
      <x:c r="E100" s="37" t="str">
        <x:v>一般</x:v>
      </x:c>
      <x:c r="F100" s="37" t="str">
        <x:v>高複雜度</x:v>
      </x:c>
      <x:c r="G100" s="37" t="str">
        <x:v>COMMON-RECORD</x:v>
      </x:c>
      <x:c r="H100" s="37" t="str">
        <x:v>待確認</x:v>
      </x:c>
      <x:c r="I100" s="37" t="str">
        <x:f>_xlfn.XLOOKUP($C100&amp;"|"&amp;$G100,'李醫師能力要求'!$M$7:$M$59,'李醫師能力要求'!$K$7:$K$59,"待確認",0)</x:f>
        <x:v>待確認</x:v>
      </x:c>
      <x:c r="J100" s="37" t="str">
        <x:v>◎</x:v>
      </x:c>
      <x:c r="K100" s="37" t="str">
        <x:v>Ø</x:v>
      </x:c>
      <x:c r="L100" s="48" t="str">
        <x:f>_xlfn.XLOOKUP($A100&amp;"|"&amp;$G100,'試行能力狀態'!$L$7:$L$258,'試行能力狀態'!$E$7:$E$258,"未評估",0)</x:f>
        <x:v>◎</x:v>
      </x:c>
      <x:c r="M100" s="48" t="str">
        <x:f>_xlfn.XLOOKUP($A100&amp;"|"&amp;$G100,'試行能力狀態'!$L$7:$L$258,'試行能力狀態'!$F$7:$F$258,"未建立",0)</x:f>
        <x:v>待主管核定</x:v>
      </x:c>
      <x:c r="N100" s="48" t="str">
        <x:f>IF($L100="◎","符合獨立",IF($L100="Ø","符合條件","不符合"))</x:f>
        <x:v>符合獨立</x:v>
      </x:c>
      <x:c r="O100" s="48" t="str">
        <x:f>_xlfn.XLOOKUP($A100&amp;"|李侑津醫師",'試行熟悉度'!$K$7:$K$20,'試行熟悉度'!$E$7:$E$20,"未評估",0)</x:f>
        <x:v>可獨立配合</x:v>
      </x:c>
      <x:c r="P100" s="48" t="str">
        <x:f>_xlfn.XLOOKUP($A100&amp;"|李侑津醫師",'試行熟悉度'!$K$7:$K$20,'試行熟悉度'!$F$7:$F$20,"未建立",0)</x:f>
        <x:v>待主管核定</x:v>
      </x:c>
      <x:c r="Q100" s="39" t="str">
        <x:v>確認後才納入自動判定</x:v>
      </x:c>
    </x:row>
    <x:row r="101">
      <x:c r="A101" s="37" t="str">
        <x:v>1004</x:v>
      </x:c>
      <x:c r="B101" s="37" t="str"/>
      <x:c r="C101" s="37" t="str">
        <x:v>LJT-PERIOSURG</x:v>
      </x:c>
      <x:c r="D101" s="37" t="str">
        <x:v>牙周手術</x:v>
      </x:c>
      <x:c r="E101" s="37" t="str">
        <x:v>一般</x:v>
      </x:c>
      <x:c r="F101" s="37" t="str">
        <x:v>高複雜度</x:v>
      </x:c>
      <x:c r="G101" s="37" t="str">
        <x:v>COMMON-INSURANCE</x:v>
      </x:c>
      <x:c r="H101" s="37" t="str">
        <x:v>待確認</x:v>
      </x:c>
      <x:c r="I101" s="37" t="str">
        <x:f>_xlfn.XLOOKUP($C101&amp;"|"&amp;$G101,'李醫師能力要求'!$M$7:$M$59,'李醫師能力要求'!$K$7:$K$59,"待確認",0)</x:f>
        <x:v>待確認</x:v>
      </x:c>
      <x:c r="J101" s="37" t="str">
        <x:v>◎</x:v>
      </x:c>
      <x:c r="K101" s="37" t="str">
        <x:v>Ø</x:v>
      </x:c>
      <x:c r="L101" s="48" t="str">
        <x:f>_xlfn.XLOOKUP($A101&amp;"|"&amp;$G101,'試行能力狀態'!$L$7:$L$258,'試行能力狀態'!$E$7:$E$258,"未評估",0)</x:f>
        <x:v>◎</x:v>
      </x:c>
      <x:c r="M101" s="48" t="str">
        <x:f>_xlfn.XLOOKUP($A101&amp;"|"&amp;$G101,'試行能力狀態'!$L$7:$L$258,'試行能力狀態'!$F$7:$F$258,"未建立",0)</x:f>
        <x:v>待主管核定</x:v>
      </x:c>
      <x:c r="N101" s="48" t="str">
        <x:f>IF($L101="◎","符合獨立",IF($L101="Ø","符合條件","不符合"))</x:f>
        <x:v>符合獨立</x:v>
      </x:c>
      <x:c r="O101" s="48" t="str">
        <x:f>_xlfn.XLOOKUP($A101&amp;"|李侑津醫師",'試行熟悉度'!$K$7:$K$20,'試行熟悉度'!$E$7:$E$20,"未評估",0)</x:f>
        <x:v>可獨立配合</x:v>
      </x:c>
      <x:c r="P101" s="48" t="str">
        <x:f>_xlfn.XLOOKUP($A101&amp;"|李侑津醫師",'試行熟悉度'!$K$7:$K$20,'試行熟悉度'!$F$7:$F$20,"未建立",0)</x:f>
        <x:v>待主管核定</x:v>
      </x:c>
      <x:c r="Q101" s="39" t="str">
        <x:v>確認後才納入自動判定</x:v>
      </x:c>
    </x:row>
    <x:row r="102">
      <x:c r="A102" s="37" t="str">
        <x:v>1004</x:v>
      </x:c>
      <x:c r="B102" s="37" t="str"/>
      <x:c r="C102" s="37" t="str">
        <x:v>LJT-PERIOSURG</x:v>
      </x:c>
      <x:c r="D102" s="37" t="str">
        <x:v>牙周手術</x:v>
      </x:c>
      <x:c r="E102" s="37" t="str">
        <x:v>一般</x:v>
      </x:c>
      <x:c r="F102" s="37" t="str">
        <x:v>高複雜度</x:v>
      </x:c>
      <x:c r="G102" s="37" t="str">
        <x:v>COMMON-XRAY-RECORD</x:v>
      </x:c>
      <x:c r="H102" s="37" t="str">
        <x:v>待確認</x:v>
      </x:c>
      <x:c r="I102" s="37" t="str">
        <x:f>_xlfn.XLOOKUP($C102&amp;"|"&amp;$G102,'李醫師能力要求'!$M$7:$M$59,'李醫師能力要求'!$K$7:$K$59,"待確認",0)</x:f>
        <x:v>待確認</x:v>
      </x:c>
      <x:c r="J102" s="37" t="str">
        <x:v>◎</x:v>
      </x:c>
      <x:c r="K102" s="37" t="str">
        <x:v>Ø</x:v>
      </x:c>
      <x:c r="L102" s="48" t="str">
        <x:f>_xlfn.XLOOKUP($A102&amp;"|"&amp;$G102,'試行能力狀態'!$L$7:$L$258,'試行能力狀態'!$E$7:$E$258,"未評估",0)</x:f>
        <x:v>◎</x:v>
      </x:c>
      <x:c r="M102" s="48" t="str">
        <x:f>_xlfn.XLOOKUP($A102&amp;"|"&amp;$G102,'試行能力狀態'!$L$7:$L$258,'試行能力狀態'!$F$7:$F$258,"未建立",0)</x:f>
        <x:v>待主管核定</x:v>
      </x:c>
      <x:c r="N102" s="48" t="str">
        <x:f>IF($L102="◎","符合獨立",IF($L102="Ø","符合條件","不符合"))</x:f>
        <x:v>符合獨立</x:v>
      </x:c>
      <x:c r="O102" s="48" t="str">
        <x:f>_xlfn.XLOOKUP($A102&amp;"|李侑津醫師",'試行熟悉度'!$K$7:$K$20,'試行熟悉度'!$E$7:$E$20,"未評估",0)</x:f>
        <x:v>可獨立配合</x:v>
      </x:c>
      <x:c r="P102" s="48" t="str">
        <x:f>_xlfn.XLOOKUP($A102&amp;"|李侑津醫師",'試行熟悉度'!$K$7:$K$20,'試行熟悉度'!$F$7:$F$20,"未建立",0)</x:f>
        <x:v>待主管核定</x:v>
      </x:c>
      <x:c r="Q102" s="39" t="str">
        <x:v>確認後才納入自動判定</x:v>
      </x:c>
    </x:row>
    <x:row r="103">
      <x:c r="A103" s="37" t="str">
        <x:v>1004</x:v>
      </x:c>
      <x:c r="B103" s="37" t="str"/>
      <x:c r="C103" s="37" t="str">
        <x:v>LJT-MICROENDO</x:v>
      </x:c>
      <x:c r="D103" s="37" t="str">
        <x:v>顯微根管</x:v>
      </x:c>
      <x:c r="E103" s="37" t="str">
        <x:v>一般</x:v>
      </x:c>
      <x:c r="F103" s="37" t="str">
        <x:v>高複雜度</x:v>
      </x:c>
      <x:c r="G103" s="37" t="str">
        <x:v>LJT-PREP-MICROENDO</x:v>
      </x:c>
      <x:c r="H103" s="37" t="str">
        <x:v>必備</x:v>
      </x:c>
      <x:c r="I103" s="37" t="str">
        <x:f>_xlfn.XLOOKUP($C103&amp;"|"&amp;$G103,'李醫師能力要求'!$M$7:$M$59,'李醫師能力要求'!$K$7:$K$59,"待確認",0)</x:f>
        <x:v>已確認</x:v>
      </x:c>
      <x:c r="J103" s="37" t="str">
        <x:v>◎</x:v>
      </x:c>
      <x:c r="K103" s="37" t="str">
        <x:v>Ø</x:v>
      </x:c>
      <x:c r="L103" s="48" t="str">
        <x:f>_xlfn.XLOOKUP($A103&amp;"|"&amp;$G103,'試行能力狀態'!$L$7:$L$258,'試行能力狀態'!$E$7:$E$258,"未評估",0)</x:f>
        <x:v>◎</x:v>
      </x:c>
      <x:c r="M103" s="48" t="str">
        <x:f>_xlfn.XLOOKUP($A103&amp;"|"&amp;$G103,'試行能力狀態'!$L$7:$L$258,'試行能力狀態'!$F$7:$F$258,"未建立",0)</x:f>
        <x:v>待主管核定</x:v>
      </x:c>
      <x:c r="N103" s="48" t="str">
        <x:f>IF($L103="◎","符合獨立",IF($L103="Ø","符合條件","不符合"))</x:f>
        <x:v>符合獨立</x:v>
      </x:c>
      <x:c r="O103" s="48" t="str">
        <x:f>_xlfn.XLOOKUP($A103&amp;"|李侑津醫師",'試行熟悉度'!$K$7:$K$20,'試行熟悉度'!$E$7:$E$20,"未評估",0)</x:f>
        <x:v>可獨立配合</x:v>
      </x:c>
      <x:c r="P103" s="48" t="str">
        <x:f>_xlfn.XLOOKUP($A103&amp;"|李侑津醫師",'試行熟悉度'!$K$7:$K$20,'試行熟悉度'!$F$7:$F$20,"未建立",0)</x:f>
        <x:v>待主管核定</x:v>
      </x:c>
      <x:c r="Q103" s="39" t="str">
        <x:v>Ø 時完整支援者 1:1</x:v>
      </x:c>
    </x:row>
    <x:row r="104">
      <x:c r="A104" s="37" t="str">
        <x:v>1004</x:v>
      </x:c>
      <x:c r="B104" s="37" t="str"/>
      <x:c r="C104" s="37" t="str">
        <x:v>LJT-MICROENDO</x:v>
      </x:c>
      <x:c r="D104" s="37" t="str">
        <x:v>顯微根管</x:v>
      </x:c>
      <x:c r="E104" s="37" t="str">
        <x:v>一般</x:v>
      </x:c>
      <x:c r="F104" s="37" t="str">
        <x:v>高複雜度</x:v>
      </x:c>
      <x:c r="G104" s="37" t="str">
        <x:v>COMMON-RECORD</x:v>
      </x:c>
      <x:c r="H104" s="37" t="str">
        <x:v>待確認</x:v>
      </x:c>
      <x:c r="I104" s="37" t="str">
        <x:f>_xlfn.XLOOKUP($C104&amp;"|"&amp;$G104,'李醫師能力要求'!$M$7:$M$59,'李醫師能力要求'!$K$7:$K$59,"待確認",0)</x:f>
        <x:v>待確認</x:v>
      </x:c>
      <x:c r="J104" s="37" t="str">
        <x:v>◎</x:v>
      </x:c>
      <x:c r="K104" s="37" t="str">
        <x:v>Ø</x:v>
      </x:c>
      <x:c r="L104" s="48" t="str">
        <x:f>_xlfn.XLOOKUP($A104&amp;"|"&amp;$G104,'試行能力狀態'!$L$7:$L$258,'試行能力狀態'!$E$7:$E$258,"未評估",0)</x:f>
        <x:v>◎</x:v>
      </x:c>
      <x:c r="M104" s="48" t="str">
        <x:f>_xlfn.XLOOKUP($A104&amp;"|"&amp;$G104,'試行能力狀態'!$L$7:$L$258,'試行能力狀態'!$F$7:$F$258,"未建立",0)</x:f>
        <x:v>待主管核定</x:v>
      </x:c>
      <x:c r="N104" s="48" t="str">
        <x:f>IF($L104="◎","符合獨立",IF($L104="Ø","符合條件","不符合"))</x:f>
        <x:v>符合獨立</x:v>
      </x:c>
      <x:c r="O104" s="48" t="str">
        <x:f>_xlfn.XLOOKUP($A104&amp;"|李侑津醫師",'試行熟悉度'!$K$7:$K$20,'試行熟悉度'!$E$7:$E$20,"未評估",0)</x:f>
        <x:v>可獨立配合</x:v>
      </x:c>
      <x:c r="P104" s="48" t="str">
        <x:f>_xlfn.XLOOKUP($A104&amp;"|李侑津醫師",'試行熟悉度'!$K$7:$K$20,'試行熟悉度'!$F$7:$F$20,"未建立",0)</x:f>
        <x:v>待主管核定</x:v>
      </x:c>
      <x:c r="Q104" s="39" t="str">
        <x:v>確認後才納入自動判定</x:v>
      </x:c>
    </x:row>
    <x:row r="105">
      <x:c r="A105" s="37" t="str">
        <x:v>1004</x:v>
      </x:c>
      <x:c r="B105" s="37" t="str"/>
      <x:c r="C105" s="37" t="str">
        <x:v>LJT-MICROENDO</x:v>
      </x:c>
      <x:c r="D105" s="37" t="str">
        <x:v>顯微根管</x:v>
      </x:c>
      <x:c r="E105" s="37" t="str">
        <x:v>一般</x:v>
      </x:c>
      <x:c r="F105" s="37" t="str">
        <x:v>高複雜度</x:v>
      </x:c>
      <x:c r="G105" s="37" t="str">
        <x:v>COMMON-INSURANCE</x:v>
      </x:c>
      <x:c r="H105" s="37" t="str">
        <x:v>待確認</x:v>
      </x:c>
      <x:c r="I105" s="37" t="str">
        <x:f>_xlfn.XLOOKUP($C105&amp;"|"&amp;$G105,'李醫師能力要求'!$M$7:$M$59,'李醫師能力要求'!$K$7:$K$59,"待確認",0)</x:f>
        <x:v>待確認</x:v>
      </x:c>
      <x:c r="J105" s="37" t="str">
        <x:v>◎</x:v>
      </x:c>
      <x:c r="K105" s="37" t="str">
        <x:v>Ø</x:v>
      </x:c>
      <x:c r="L105" s="48" t="str">
        <x:f>_xlfn.XLOOKUP($A105&amp;"|"&amp;$G105,'試行能力狀態'!$L$7:$L$258,'試行能力狀態'!$E$7:$E$258,"未評估",0)</x:f>
        <x:v>◎</x:v>
      </x:c>
      <x:c r="M105" s="48" t="str">
        <x:f>_xlfn.XLOOKUP($A105&amp;"|"&amp;$G105,'試行能力狀態'!$L$7:$L$258,'試行能力狀態'!$F$7:$F$258,"未建立",0)</x:f>
        <x:v>待主管核定</x:v>
      </x:c>
      <x:c r="N105" s="48" t="str">
        <x:f>IF($L105="◎","符合獨立",IF($L105="Ø","符合條件","不符合"))</x:f>
        <x:v>符合獨立</x:v>
      </x:c>
      <x:c r="O105" s="48" t="str">
        <x:f>_xlfn.XLOOKUP($A105&amp;"|李侑津醫師",'試行熟悉度'!$K$7:$K$20,'試行熟悉度'!$E$7:$E$20,"未評估",0)</x:f>
        <x:v>可獨立配合</x:v>
      </x:c>
      <x:c r="P105" s="48" t="str">
        <x:f>_xlfn.XLOOKUP($A105&amp;"|李侑津醫師",'試行熟悉度'!$K$7:$K$20,'試行熟悉度'!$F$7:$F$20,"未建立",0)</x:f>
        <x:v>待主管核定</x:v>
      </x:c>
      <x:c r="Q105" s="39" t="str">
        <x:v>確認後才納入自動判定</x:v>
      </x:c>
    </x:row>
    <x:row r="106">
      <x:c r="A106" s="37" t="str">
        <x:v>1004</x:v>
      </x:c>
      <x:c r="B106" s="37" t="str"/>
      <x:c r="C106" s="37" t="str">
        <x:v>LJT-MICROENDO</x:v>
      </x:c>
      <x:c r="D106" s="37" t="str">
        <x:v>顯微根管</x:v>
      </x:c>
      <x:c r="E106" s="37" t="str">
        <x:v>一般</x:v>
      </x:c>
      <x:c r="F106" s="37" t="str">
        <x:v>高複雜度</x:v>
      </x:c>
      <x:c r="G106" s="37" t="str">
        <x:v>COMMON-XRAY-RECORD</x:v>
      </x:c>
      <x:c r="H106" s="37" t="str">
        <x:v>待確認</x:v>
      </x:c>
      <x:c r="I106" s="37" t="str">
        <x:f>_xlfn.XLOOKUP($C106&amp;"|"&amp;$G106,'李醫師能力要求'!$M$7:$M$59,'李醫師能力要求'!$K$7:$K$59,"待確認",0)</x:f>
        <x:v>待確認</x:v>
      </x:c>
      <x:c r="J106" s="37" t="str">
        <x:v>◎</x:v>
      </x:c>
      <x:c r="K106" s="37" t="str">
        <x:v>Ø</x:v>
      </x:c>
      <x:c r="L106" s="48" t="str">
        <x:f>_xlfn.XLOOKUP($A106&amp;"|"&amp;$G106,'試行能力狀態'!$L$7:$L$258,'試行能力狀態'!$E$7:$E$258,"未評估",0)</x:f>
        <x:v>◎</x:v>
      </x:c>
      <x:c r="M106" s="48" t="str">
        <x:f>_xlfn.XLOOKUP($A106&amp;"|"&amp;$G106,'試行能力狀態'!$L$7:$L$258,'試行能力狀態'!$F$7:$F$258,"未建立",0)</x:f>
        <x:v>待主管核定</x:v>
      </x:c>
      <x:c r="N106" s="48" t="str">
        <x:f>IF($L106="◎","符合獨立",IF($L106="Ø","符合條件","不符合"))</x:f>
        <x:v>符合獨立</x:v>
      </x:c>
      <x:c r="O106" s="48" t="str">
        <x:f>_xlfn.XLOOKUP($A106&amp;"|李侑津醫師",'試行熟悉度'!$K$7:$K$20,'試行熟悉度'!$E$7:$E$20,"未評估",0)</x:f>
        <x:v>可獨立配合</x:v>
      </x:c>
      <x:c r="P106" s="48" t="str">
        <x:f>_xlfn.XLOOKUP($A106&amp;"|李侑津醫師",'試行熟悉度'!$K$7:$K$20,'試行熟悉度'!$F$7:$F$20,"未建立",0)</x:f>
        <x:v>待主管核定</x:v>
      </x:c>
      <x:c r="Q106" s="39" t="str">
        <x:v>確認後才納入自動判定</x:v>
      </x:c>
    </x:row>
    <x:row r="107">
      <x:c r="A107" s="37" t="str">
        <x:v>1004</x:v>
      </x:c>
      <x:c r="B107" s="37" t="str"/>
      <x:c r="C107" s="37" t="str">
        <x:v>LJT-IMPLANT</x:v>
      </x:c>
      <x:c r="D107" s="37" t="str">
        <x:v>植牙</x:v>
      </x:c>
      <x:c r="E107" s="37" t="str">
        <x:v>一般</x:v>
      </x:c>
      <x:c r="F107" s="37" t="str">
        <x:v>高複雜度</x:v>
      </x:c>
      <x:c r="G107" s="37" t="str">
        <x:v>LJT-PREP-IMPLANT</x:v>
      </x:c>
      <x:c r="H107" s="37" t="str">
        <x:v>必備</x:v>
      </x:c>
      <x:c r="I107" s="37" t="str">
        <x:f>_xlfn.XLOOKUP($C107&amp;"|"&amp;$G107,'李醫師能力要求'!$M$7:$M$59,'李醫師能力要求'!$K$7:$K$59,"待確認",0)</x:f>
        <x:v>已確認</x:v>
      </x:c>
      <x:c r="J107" s="37" t="str">
        <x:v>◎</x:v>
      </x:c>
      <x:c r="K107" s="37" t="str">
        <x:v>Ø</x:v>
      </x:c>
      <x:c r="L107" s="48" t="str">
        <x:f>_xlfn.XLOOKUP($A107&amp;"|"&amp;$G107,'試行能力狀態'!$L$7:$L$258,'試行能力狀態'!$E$7:$E$258,"未評估",0)</x:f>
        <x:v>◎</x:v>
      </x:c>
      <x:c r="M107" s="48" t="str">
        <x:f>_xlfn.XLOOKUP($A107&amp;"|"&amp;$G107,'試行能力狀態'!$L$7:$L$258,'試行能力狀態'!$F$7:$F$258,"未建立",0)</x:f>
        <x:v>待主管核定</x:v>
      </x:c>
      <x:c r="N107" s="48" t="str">
        <x:f>IF($L107="◎","符合獨立",IF($L107="Ø","符合條件","不符合"))</x:f>
        <x:v>符合獨立</x:v>
      </x:c>
      <x:c r="O107" s="48" t="str">
        <x:f>_xlfn.XLOOKUP($A107&amp;"|李侑津醫師",'試行熟悉度'!$K$7:$K$20,'試行熟悉度'!$E$7:$E$20,"未評估",0)</x:f>
        <x:v>可獨立配合</x:v>
      </x:c>
      <x:c r="P107" s="48" t="str">
        <x:f>_xlfn.XLOOKUP($A107&amp;"|李侑津醫師",'試行熟悉度'!$K$7:$K$20,'試行熟悉度'!$F$7:$F$20,"未建立",0)</x:f>
        <x:v>待主管核定</x:v>
      </x:c>
      <x:c r="Q107" s="39" t="str">
        <x:v>Ø 時完整支援者 1:1</x:v>
      </x:c>
    </x:row>
    <x:row r="108">
      <x:c r="A108" s="37" t="str">
        <x:v>1004</x:v>
      </x:c>
      <x:c r="B108" s="37" t="str"/>
      <x:c r="C108" s="37" t="str">
        <x:v>LJT-IMPLANT</x:v>
      </x:c>
      <x:c r="D108" s="37" t="str">
        <x:v>植牙</x:v>
      </x:c>
      <x:c r="E108" s="37" t="str">
        <x:v>一般</x:v>
      </x:c>
      <x:c r="F108" s="37" t="str">
        <x:v>高複雜度</x:v>
      </x:c>
      <x:c r="G108" s="37" t="str">
        <x:v>COMMON-RECORD</x:v>
      </x:c>
      <x:c r="H108" s="37" t="str">
        <x:v>待確認</x:v>
      </x:c>
      <x:c r="I108" s="37" t="str">
        <x:f>_xlfn.XLOOKUP($C108&amp;"|"&amp;$G108,'李醫師能力要求'!$M$7:$M$59,'李醫師能力要求'!$K$7:$K$59,"待確認",0)</x:f>
        <x:v>待確認</x:v>
      </x:c>
      <x:c r="J108" s="37" t="str">
        <x:v>◎</x:v>
      </x:c>
      <x:c r="K108" s="37" t="str">
        <x:v>Ø</x:v>
      </x:c>
      <x:c r="L108" s="48" t="str">
        <x:f>_xlfn.XLOOKUP($A108&amp;"|"&amp;$G108,'試行能力狀態'!$L$7:$L$258,'試行能力狀態'!$E$7:$E$258,"未評估",0)</x:f>
        <x:v>◎</x:v>
      </x:c>
      <x:c r="M108" s="48" t="str">
        <x:f>_xlfn.XLOOKUP($A108&amp;"|"&amp;$G108,'試行能力狀態'!$L$7:$L$258,'試行能力狀態'!$F$7:$F$258,"未建立",0)</x:f>
        <x:v>待主管核定</x:v>
      </x:c>
      <x:c r="N108" s="48" t="str">
        <x:f>IF($L108="◎","符合獨立",IF($L108="Ø","符合條件","不符合"))</x:f>
        <x:v>符合獨立</x:v>
      </x:c>
      <x:c r="O108" s="48" t="str">
        <x:f>_xlfn.XLOOKUP($A108&amp;"|李侑津醫師",'試行熟悉度'!$K$7:$K$20,'試行熟悉度'!$E$7:$E$20,"未評估",0)</x:f>
        <x:v>可獨立配合</x:v>
      </x:c>
      <x:c r="P108" s="48" t="str">
        <x:f>_xlfn.XLOOKUP($A108&amp;"|李侑津醫師",'試行熟悉度'!$K$7:$K$20,'試行熟悉度'!$F$7:$F$20,"未建立",0)</x:f>
        <x:v>待主管核定</x:v>
      </x:c>
      <x:c r="Q108" s="39" t="str">
        <x:v>確認後才納入自動判定</x:v>
      </x:c>
    </x:row>
    <x:row r="109">
      <x:c r="A109" s="37" t="str">
        <x:v>1004</x:v>
      </x:c>
      <x:c r="B109" s="37" t="str"/>
      <x:c r="C109" s="37" t="str">
        <x:v>LJT-IMPLANT</x:v>
      </x:c>
      <x:c r="D109" s="37" t="str">
        <x:v>植牙</x:v>
      </x:c>
      <x:c r="E109" s="37" t="str">
        <x:v>一般</x:v>
      </x:c>
      <x:c r="F109" s="37" t="str">
        <x:v>高複雜度</x:v>
      </x:c>
      <x:c r="G109" s="37" t="str">
        <x:v>COMMON-INSURANCE</x:v>
      </x:c>
      <x:c r="H109" s="37" t="str">
        <x:v>待確認</x:v>
      </x:c>
      <x:c r="I109" s="37" t="str">
        <x:f>_xlfn.XLOOKUP($C109&amp;"|"&amp;$G109,'李醫師能力要求'!$M$7:$M$59,'李醫師能力要求'!$K$7:$K$59,"待確認",0)</x:f>
        <x:v>待確認</x:v>
      </x:c>
      <x:c r="J109" s="37" t="str">
        <x:v>◎</x:v>
      </x:c>
      <x:c r="K109" s="37" t="str">
        <x:v>Ø</x:v>
      </x:c>
      <x:c r="L109" s="48" t="str">
        <x:f>_xlfn.XLOOKUP($A109&amp;"|"&amp;$G109,'試行能力狀態'!$L$7:$L$258,'試行能力狀態'!$E$7:$E$258,"未評估",0)</x:f>
        <x:v>◎</x:v>
      </x:c>
      <x:c r="M109" s="48" t="str">
        <x:f>_xlfn.XLOOKUP($A109&amp;"|"&amp;$G109,'試行能力狀態'!$L$7:$L$258,'試行能力狀態'!$F$7:$F$258,"未建立",0)</x:f>
        <x:v>待主管核定</x:v>
      </x:c>
      <x:c r="N109" s="48" t="str">
        <x:f>IF($L109="◎","符合獨立",IF($L109="Ø","符合條件","不符合"))</x:f>
        <x:v>符合獨立</x:v>
      </x:c>
      <x:c r="O109" s="48" t="str">
        <x:f>_xlfn.XLOOKUP($A109&amp;"|李侑津醫師",'試行熟悉度'!$K$7:$K$20,'試行熟悉度'!$E$7:$E$20,"未評估",0)</x:f>
        <x:v>可獨立配合</x:v>
      </x:c>
      <x:c r="P109" s="48" t="str">
        <x:f>_xlfn.XLOOKUP($A109&amp;"|李侑津醫師",'試行熟悉度'!$K$7:$K$20,'試行熟悉度'!$F$7:$F$20,"未建立",0)</x:f>
        <x:v>待主管核定</x:v>
      </x:c>
      <x:c r="Q109" s="39" t="str">
        <x:v>確認後才納入自動判定</x:v>
      </x:c>
    </x:row>
    <x:row r="110">
      <x:c r="A110" s="37" t="str">
        <x:v>1004</x:v>
      </x:c>
      <x:c r="B110" s="37" t="str"/>
      <x:c r="C110" s="37" t="str">
        <x:v>LJT-IMPLANT</x:v>
      </x:c>
      <x:c r="D110" s="37" t="str">
        <x:v>植牙</x:v>
      </x:c>
      <x:c r="E110" s="37" t="str">
        <x:v>一般</x:v>
      </x:c>
      <x:c r="F110" s="37" t="str">
        <x:v>高複雜度</x:v>
      </x:c>
      <x:c r="G110" s="37" t="str">
        <x:v>COMMON-XRAY-RECORD</x:v>
      </x:c>
      <x:c r="H110" s="37" t="str">
        <x:v>待確認</x:v>
      </x:c>
      <x:c r="I110" s="37" t="str">
        <x:f>_xlfn.XLOOKUP($C110&amp;"|"&amp;$G110,'李醫師能力要求'!$M$7:$M$59,'李醫師能力要求'!$K$7:$K$59,"待確認",0)</x:f>
        <x:v>待確認</x:v>
      </x:c>
      <x:c r="J110" s="37" t="str">
        <x:v>◎</x:v>
      </x:c>
      <x:c r="K110" s="37" t="str">
        <x:v>Ø</x:v>
      </x:c>
      <x:c r="L110" s="48" t="str">
        <x:f>_xlfn.XLOOKUP($A110&amp;"|"&amp;$G110,'試行能力狀態'!$L$7:$L$258,'試行能力狀態'!$E$7:$E$258,"未評估",0)</x:f>
        <x:v>◎</x:v>
      </x:c>
      <x:c r="M110" s="48" t="str">
        <x:f>_xlfn.XLOOKUP($A110&amp;"|"&amp;$G110,'試行能力狀態'!$L$7:$L$258,'試行能力狀態'!$F$7:$F$258,"未建立",0)</x:f>
        <x:v>待主管核定</x:v>
      </x:c>
      <x:c r="N110" s="48" t="str">
        <x:f>IF($L110="◎","符合獨立",IF($L110="Ø","符合條件","不符合"))</x:f>
        <x:v>符合獨立</x:v>
      </x:c>
      <x:c r="O110" s="48" t="str">
        <x:f>_xlfn.XLOOKUP($A110&amp;"|李侑津醫師",'試行熟悉度'!$K$7:$K$20,'試行熟悉度'!$E$7:$E$20,"未評估",0)</x:f>
        <x:v>可獨立配合</x:v>
      </x:c>
      <x:c r="P110" s="48" t="str">
        <x:f>_xlfn.XLOOKUP($A110&amp;"|李侑津醫師",'試行熟悉度'!$K$7:$K$20,'試行熟悉度'!$F$7:$F$20,"未建立",0)</x:f>
        <x:v>待主管核定</x:v>
      </x:c>
      <x:c r="Q110" s="39" t="str">
        <x:v>確認後才納入自動判定</x:v>
      </x:c>
    </x:row>
    <x:row r="111">
      <x:c r="A111" s="37" t="str">
        <x:v>1013</x:v>
      </x:c>
      <x:c r="B111" s="37" t="str"/>
      <x:c r="C111" s="37" t="str">
        <x:v>LJT-SCALING</x:v>
      </x:c>
      <x:c r="D111" s="37" t="str">
        <x:v>洗牙</x:v>
      </x:c>
      <x:c r="E111" s="37" t="str">
        <x:v>一般</x:v>
      </x:c>
      <x:c r="F111" s="37" t="str">
        <x:v>一般</x:v>
      </x:c>
      <x:c r="G111" s="37" t="str">
        <x:v>LJT-PREP-SCALING</x:v>
      </x:c>
      <x:c r="H111" s="37" t="str">
        <x:v>必備</x:v>
      </x:c>
      <x:c r="I111" s="37" t="str">
        <x:f>_xlfn.XLOOKUP($C111&amp;"|"&amp;$G111,'李醫師能力要求'!$M$7:$M$59,'李醫師能力要求'!$K$7:$K$59,"待確認",0)</x:f>
        <x:v>已確認</x:v>
      </x:c>
      <x:c r="J111" s="37" t="str">
        <x:v>◎</x:v>
      </x:c>
      <x:c r="K111" s="37" t="str">
        <x:v>Ø</x:v>
      </x:c>
      <x:c r="L111" s="48" t="str">
        <x:f>_xlfn.XLOOKUP($A111&amp;"|"&amp;$G111,'試行能力狀態'!$L$7:$L$258,'試行能力狀態'!$E$7:$E$258,"未評估",0)</x:f>
        <x:v>◎</x:v>
      </x:c>
      <x:c r="M111" s="48" t="str">
        <x:f>_xlfn.XLOOKUP($A111&amp;"|"&amp;$G111,'試行能力狀態'!$L$7:$L$258,'試行能力狀態'!$F$7:$F$258,"未建立",0)</x:f>
        <x:v>待主管核定</x:v>
      </x:c>
      <x:c r="N111" s="48" t="str">
        <x:f>IF($L111="◎","符合獨立",IF($L111="Ø","符合條件","不符合"))</x:f>
        <x:v>符合獨立</x:v>
      </x:c>
      <x:c r="O111" s="48" t="str">
        <x:f>_xlfn.XLOOKUP($A111&amp;"|李侑津醫師",'試行熟悉度'!$K$7:$K$20,'試行熟悉度'!$E$7:$E$20,"未評估",0)</x:f>
        <x:v>可獨立配合</x:v>
      </x:c>
      <x:c r="P111" s="48" t="str">
        <x:f>_xlfn.XLOOKUP($A111&amp;"|李侑津醫師",'試行熟悉度'!$K$7:$K$20,'試行熟悉度'!$F$7:$F$20,"未建立",0)</x:f>
        <x:v>待主管核定</x:v>
      </x:c>
      <x:c r="Q111" s="39" t="str">
        <x:v>依一般支援名額</x:v>
      </x:c>
    </x:row>
    <x:row r="112">
      <x:c r="A112" s="37" t="str">
        <x:v>1013</x:v>
      </x:c>
      <x:c r="B112" s="37" t="str"/>
      <x:c r="C112" s="37" t="str">
        <x:v>LJT-SCALING</x:v>
      </x:c>
      <x:c r="D112" s="37" t="str">
        <x:v>洗牙</x:v>
      </x:c>
      <x:c r="E112" s="37" t="str">
        <x:v>一般</x:v>
      </x:c>
      <x:c r="F112" s="37" t="str">
        <x:v>一般</x:v>
      </x:c>
      <x:c r="G112" s="37" t="str">
        <x:v>COMMON-RECORD</x:v>
      </x:c>
      <x:c r="H112" s="37" t="str">
        <x:v>待確認</x:v>
      </x:c>
      <x:c r="I112" s="37" t="str">
        <x:f>_xlfn.XLOOKUP($C112&amp;"|"&amp;$G112,'李醫師能力要求'!$M$7:$M$59,'李醫師能力要求'!$K$7:$K$59,"待確認",0)</x:f>
        <x:v>待確認</x:v>
      </x:c>
      <x:c r="J112" s="37" t="str">
        <x:v>◎</x:v>
      </x:c>
      <x:c r="K112" s="37" t="str">
        <x:v>Ø</x:v>
      </x:c>
      <x:c r="L112" s="48" t="str">
        <x:f>_xlfn.XLOOKUP($A112&amp;"|"&amp;$G112,'試行能力狀態'!$L$7:$L$258,'試行能力狀態'!$E$7:$E$258,"未評估",0)</x:f>
        <x:v>◎</x:v>
      </x:c>
      <x:c r="M112" s="48" t="str">
        <x:f>_xlfn.XLOOKUP($A112&amp;"|"&amp;$G112,'試行能力狀態'!$L$7:$L$258,'試行能力狀態'!$F$7:$F$258,"未建立",0)</x:f>
        <x:v>待主管核定</x:v>
      </x:c>
      <x:c r="N112" s="48" t="str">
        <x:f>IF($L112="◎","符合獨立",IF($L112="Ø","符合條件","不符合"))</x:f>
        <x:v>符合獨立</x:v>
      </x:c>
      <x:c r="O112" s="48" t="str">
        <x:f>_xlfn.XLOOKUP($A112&amp;"|李侑津醫師",'試行熟悉度'!$K$7:$K$20,'試行熟悉度'!$E$7:$E$20,"未評估",0)</x:f>
        <x:v>可獨立配合</x:v>
      </x:c>
      <x:c r="P112" s="48" t="str">
        <x:f>_xlfn.XLOOKUP($A112&amp;"|李侑津醫師",'試行熟悉度'!$K$7:$K$20,'試行熟悉度'!$F$7:$F$20,"未建立",0)</x:f>
        <x:v>待主管核定</x:v>
      </x:c>
      <x:c r="Q112" s="39" t="str">
        <x:v>確認後才納入自動判定</x:v>
      </x:c>
    </x:row>
    <x:row r="113">
      <x:c r="A113" s="37" t="str">
        <x:v>1013</x:v>
      </x:c>
      <x:c r="B113" s="37" t="str"/>
      <x:c r="C113" s="37" t="str">
        <x:v>LJT-SCALING</x:v>
      </x:c>
      <x:c r="D113" s="37" t="str">
        <x:v>洗牙</x:v>
      </x:c>
      <x:c r="E113" s="37" t="str">
        <x:v>一般</x:v>
      </x:c>
      <x:c r="F113" s="37" t="str">
        <x:v>一般</x:v>
      </x:c>
      <x:c r="G113" s="37" t="str">
        <x:v>COMMON-INSURANCE</x:v>
      </x:c>
      <x:c r="H113" s="37" t="str">
        <x:v>待確認</x:v>
      </x:c>
      <x:c r="I113" s="37" t="str">
        <x:f>_xlfn.XLOOKUP($C113&amp;"|"&amp;$G113,'李醫師能力要求'!$M$7:$M$59,'李醫師能力要求'!$K$7:$K$59,"待確認",0)</x:f>
        <x:v>待確認</x:v>
      </x:c>
      <x:c r="J113" s="37" t="str">
        <x:v>◎</x:v>
      </x:c>
      <x:c r="K113" s="37" t="str">
        <x:v>Ø</x:v>
      </x:c>
      <x:c r="L113" s="48" t="str">
        <x:f>_xlfn.XLOOKUP($A113&amp;"|"&amp;$G113,'試行能力狀態'!$L$7:$L$258,'試行能力狀態'!$E$7:$E$258,"未評估",0)</x:f>
        <x:v>◎</x:v>
      </x:c>
      <x:c r="M113" s="48" t="str">
        <x:f>_xlfn.XLOOKUP($A113&amp;"|"&amp;$G113,'試行能力狀態'!$L$7:$L$258,'試行能力狀態'!$F$7:$F$258,"未建立",0)</x:f>
        <x:v>待主管核定</x:v>
      </x:c>
      <x:c r="N113" s="48" t="str">
        <x:f>IF($L113="◎","符合獨立",IF($L113="Ø","符合條件","不符合"))</x:f>
        <x:v>符合獨立</x:v>
      </x:c>
      <x:c r="O113" s="48" t="str">
        <x:f>_xlfn.XLOOKUP($A113&amp;"|李侑津醫師",'試行熟悉度'!$K$7:$K$20,'試行熟悉度'!$E$7:$E$20,"未評估",0)</x:f>
        <x:v>可獨立配合</x:v>
      </x:c>
      <x:c r="P113" s="48" t="str">
        <x:f>_xlfn.XLOOKUP($A113&amp;"|李侑津醫師",'試行熟悉度'!$K$7:$K$20,'試行熟悉度'!$F$7:$F$20,"未建立",0)</x:f>
        <x:v>待主管核定</x:v>
      </x:c>
      <x:c r="Q113" s="39" t="str">
        <x:v>確認後才納入自動判定</x:v>
      </x:c>
    </x:row>
    <x:row r="114">
      <x:c r="A114" s="37" t="str">
        <x:v>1013</x:v>
      </x:c>
      <x:c r="B114" s="37" t="str"/>
      <x:c r="C114" s="37" t="str">
        <x:v>LJT-SCALING</x:v>
      </x:c>
      <x:c r="D114" s="37" t="str">
        <x:v>洗牙</x:v>
      </x:c>
      <x:c r="E114" s="37" t="str">
        <x:v>一般</x:v>
      </x:c>
      <x:c r="F114" s="37" t="str">
        <x:v>一般</x:v>
      </x:c>
      <x:c r="G114" s="37" t="str">
        <x:v>COMMON-XRAY-RECORD</x:v>
      </x:c>
      <x:c r="H114" s="37" t="str">
        <x:v>待確認</x:v>
      </x:c>
      <x:c r="I114" s="37" t="str">
        <x:f>_xlfn.XLOOKUP($C114&amp;"|"&amp;$G114,'李醫師能力要求'!$M$7:$M$59,'李醫師能力要求'!$K$7:$K$59,"待確認",0)</x:f>
        <x:v>待確認</x:v>
      </x:c>
      <x:c r="J114" s="37" t="str">
        <x:v>◎</x:v>
      </x:c>
      <x:c r="K114" s="37" t="str">
        <x:v>Ø</x:v>
      </x:c>
      <x:c r="L114" s="48" t="str">
        <x:f>_xlfn.XLOOKUP($A114&amp;"|"&amp;$G114,'試行能力狀態'!$L$7:$L$258,'試行能力狀態'!$E$7:$E$258,"未評估",0)</x:f>
        <x:v>◎</x:v>
      </x:c>
      <x:c r="M114" s="48" t="str">
        <x:f>_xlfn.XLOOKUP($A114&amp;"|"&amp;$G114,'試行能力狀態'!$L$7:$L$258,'試行能力狀態'!$F$7:$F$258,"未建立",0)</x:f>
        <x:v>待主管核定</x:v>
      </x:c>
      <x:c r="N114" s="48" t="str">
        <x:f>IF($L114="◎","符合獨立",IF($L114="Ø","符合條件","不符合"))</x:f>
        <x:v>符合獨立</x:v>
      </x:c>
      <x:c r="O114" s="48" t="str">
        <x:f>_xlfn.XLOOKUP($A114&amp;"|李侑津醫師",'試行熟悉度'!$K$7:$K$20,'試行熟悉度'!$E$7:$E$20,"未評估",0)</x:f>
        <x:v>可獨立配合</x:v>
      </x:c>
      <x:c r="P114" s="48" t="str">
        <x:f>_xlfn.XLOOKUP($A114&amp;"|李侑津醫師",'試行熟悉度'!$K$7:$K$20,'試行熟悉度'!$F$7:$F$20,"未建立",0)</x:f>
        <x:v>待主管核定</x:v>
      </x:c>
      <x:c r="Q114" s="39" t="str">
        <x:v>確認後才納入自動判定</x:v>
      </x:c>
    </x:row>
    <x:row r="115">
      <x:c r="A115" s="37" t="str">
        <x:v>1013</x:v>
      </x:c>
      <x:c r="B115" s="37" t="str"/>
      <x:c r="C115" s="37" t="str">
        <x:v>LJT-FILLING</x:v>
      </x:c>
      <x:c r="D115" s="37" t="str">
        <x:v>補牙</x:v>
      </x:c>
      <x:c r="E115" s="37" t="str">
        <x:v>一般</x:v>
      </x:c>
      <x:c r="F115" s="37" t="str">
        <x:v>一般</x:v>
      </x:c>
      <x:c r="G115" s="37" t="str">
        <x:v>LJT-PREP-FILLING</x:v>
      </x:c>
      <x:c r="H115" s="37" t="str">
        <x:v>必備</x:v>
      </x:c>
      <x:c r="I115" s="37" t="str">
        <x:f>_xlfn.XLOOKUP($C115&amp;"|"&amp;$G115,'李醫師能力要求'!$M$7:$M$59,'李醫師能力要求'!$K$7:$K$59,"待確認",0)</x:f>
        <x:v>已確認</x:v>
      </x:c>
      <x:c r="J115" s="37" t="str">
        <x:v>◎</x:v>
      </x:c>
      <x:c r="K115" s="37" t="str">
        <x:v>Ø</x:v>
      </x:c>
      <x:c r="L115" s="48" t="str">
        <x:f>_xlfn.XLOOKUP($A115&amp;"|"&amp;$G115,'試行能力狀態'!$L$7:$L$258,'試行能力狀態'!$E$7:$E$258,"未評估",0)</x:f>
        <x:v>◎</x:v>
      </x:c>
      <x:c r="M115" s="48" t="str">
        <x:f>_xlfn.XLOOKUP($A115&amp;"|"&amp;$G115,'試行能力狀態'!$L$7:$L$258,'試行能力狀態'!$F$7:$F$258,"未建立",0)</x:f>
        <x:v>待主管核定</x:v>
      </x:c>
      <x:c r="N115" s="48" t="str">
        <x:f>IF($L115="◎","符合獨立",IF($L115="Ø","符合條件","不符合"))</x:f>
        <x:v>符合獨立</x:v>
      </x:c>
      <x:c r="O115" s="48" t="str">
        <x:f>_xlfn.XLOOKUP($A115&amp;"|李侑津醫師",'試行熟悉度'!$K$7:$K$20,'試行熟悉度'!$E$7:$E$20,"未評估",0)</x:f>
        <x:v>可獨立配合</x:v>
      </x:c>
      <x:c r="P115" s="48" t="str">
        <x:f>_xlfn.XLOOKUP($A115&amp;"|李侑津醫師",'試行熟悉度'!$K$7:$K$20,'試行熟悉度'!$F$7:$F$20,"未建立",0)</x:f>
        <x:v>待主管核定</x:v>
      </x:c>
      <x:c r="Q115" s="39" t="str">
        <x:v>依一般支援名額</x:v>
      </x:c>
    </x:row>
    <x:row r="116">
      <x:c r="A116" s="37" t="str">
        <x:v>1013</x:v>
      </x:c>
      <x:c r="B116" s="37" t="str"/>
      <x:c r="C116" s="37" t="str">
        <x:v>LJT-FILLING</x:v>
      </x:c>
      <x:c r="D116" s="37" t="str">
        <x:v>補牙</x:v>
      </x:c>
      <x:c r="E116" s="37" t="str">
        <x:v>一般</x:v>
      </x:c>
      <x:c r="F116" s="37" t="str">
        <x:v>一般</x:v>
      </x:c>
      <x:c r="G116" s="37" t="str">
        <x:v>COMMON-RECORD</x:v>
      </x:c>
      <x:c r="H116" s="37" t="str">
        <x:v>待確認</x:v>
      </x:c>
      <x:c r="I116" s="37" t="str">
        <x:f>_xlfn.XLOOKUP($C116&amp;"|"&amp;$G116,'李醫師能力要求'!$M$7:$M$59,'李醫師能力要求'!$K$7:$K$59,"待確認",0)</x:f>
        <x:v>待確認</x:v>
      </x:c>
      <x:c r="J116" s="37" t="str">
        <x:v>◎</x:v>
      </x:c>
      <x:c r="K116" s="37" t="str">
        <x:v>Ø</x:v>
      </x:c>
      <x:c r="L116" s="48" t="str">
        <x:f>_xlfn.XLOOKUP($A116&amp;"|"&amp;$G116,'試行能力狀態'!$L$7:$L$258,'試行能力狀態'!$E$7:$E$258,"未評估",0)</x:f>
        <x:v>◎</x:v>
      </x:c>
      <x:c r="M116" s="48" t="str">
        <x:f>_xlfn.XLOOKUP($A116&amp;"|"&amp;$G116,'試行能力狀態'!$L$7:$L$258,'試行能力狀態'!$F$7:$F$258,"未建立",0)</x:f>
        <x:v>待主管核定</x:v>
      </x:c>
      <x:c r="N116" s="48" t="str">
        <x:f>IF($L116="◎","符合獨立",IF($L116="Ø","符合條件","不符合"))</x:f>
        <x:v>符合獨立</x:v>
      </x:c>
      <x:c r="O116" s="48" t="str">
        <x:f>_xlfn.XLOOKUP($A116&amp;"|李侑津醫師",'試行熟悉度'!$K$7:$K$20,'試行熟悉度'!$E$7:$E$20,"未評估",0)</x:f>
        <x:v>可獨立配合</x:v>
      </x:c>
      <x:c r="P116" s="48" t="str">
        <x:f>_xlfn.XLOOKUP($A116&amp;"|李侑津醫師",'試行熟悉度'!$K$7:$K$20,'試行熟悉度'!$F$7:$F$20,"未建立",0)</x:f>
        <x:v>待主管核定</x:v>
      </x:c>
      <x:c r="Q116" s="39" t="str">
        <x:v>確認後才納入自動判定</x:v>
      </x:c>
    </x:row>
    <x:row r="117">
      <x:c r="A117" s="37" t="str">
        <x:v>1013</x:v>
      </x:c>
      <x:c r="B117" s="37" t="str"/>
      <x:c r="C117" s="37" t="str">
        <x:v>LJT-FILLING</x:v>
      </x:c>
      <x:c r="D117" s="37" t="str">
        <x:v>補牙</x:v>
      </x:c>
      <x:c r="E117" s="37" t="str">
        <x:v>一般</x:v>
      </x:c>
      <x:c r="F117" s="37" t="str">
        <x:v>一般</x:v>
      </x:c>
      <x:c r="G117" s="37" t="str">
        <x:v>COMMON-INSURANCE</x:v>
      </x:c>
      <x:c r="H117" s="37" t="str">
        <x:v>待確認</x:v>
      </x:c>
      <x:c r="I117" s="37" t="str">
        <x:f>_xlfn.XLOOKUP($C117&amp;"|"&amp;$G117,'李醫師能力要求'!$M$7:$M$59,'李醫師能力要求'!$K$7:$K$59,"待確認",0)</x:f>
        <x:v>待確認</x:v>
      </x:c>
      <x:c r="J117" s="37" t="str">
        <x:v>◎</x:v>
      </x:c>
      <x:c r="K117" s="37" t="str">
        <x:v>Ø</x:v>
      </x:c>
      <x:c r="L117" s="48" t="str">
        <x:f>_xlfn.XLOOKUP($A117&amp;"|"&amp;$G117,'試行能力狀態'!$L$7:$L$258,'試行能力狀態'!$E$7:$E$258,"未評估",0)</x:f>
        <x:v>◎</x:v>
      </x:c>
      <x:c r="M117" s="48" t="str">
        <x:f>_xlfn.XLOOKUP($A117&amp;"|"&amp;$G117,'試行能力狀態'!$L$7:$L$258,'試行能力狀態'!$F$7:$F$258,"未建立",0)</x:f>
        <x:v>待主管核定</x:v>
      </x:c>
      <x:c r="N117" s="48" t="str">
        <x:f>IF($L117="◎","符合獨立",IF($L117="Ø","符合條件","不符合"))</x:f>
        <x:v>符合獨立</x:v>
      </x:c>
      <x:c r="O117" s="48" t="str">
        <x:f>_xlfn.XLOOKUP($A117&amp;"|李侑津醫師",'試行熟悉度'!$K$7:$K$20,'試行熟悉度'!$E$7:$E$20,"未評估",0)</x:f>
        <x:v>可獨立配合</x:v>
      </x:c>
      <x:c r="P117" s="48" t="str">
        <x:f>_xlfn.XLOOKUP($A117&amp;"|李侑津醫師",'試行熟悉度'!$K$7:$K$20,'試行熟悉度'!$F$7:$F$20,"未建立",0)</x:f>
        <x:v>待主管核定</x:v>
      </x:c>
      <x:c r="Q117" s="39" t="str">
        <x:v>確認後才納入自動判定</x:v>
      </x:c>
    </x:row>
    <x:row r="118">
      <x:c r="A118" s="37" t="str">
        <x:v>1013</x:v>
      </x:c>
      <x:c r="B118" s="37" t="str"/>
      <x:c r="C118" s="37" t="str">
        <x:v>LJT-FILLING</x:v>
      </x:c>
      <x:c r="D118" s="37" t="str">
        <x:v>補牙</x:v>
      </x:c>
      <x:c r="E118" s="37" t="str">
        <x:v>一般</x:v>
      </x:c>
      <x:c r="F118" s="37" t="str">
        <x:v>一般</x:v>
      </x:c>
      <x:c r="G118" s="37" t="str">
        <x:v>COMMON-XRAY-RECORD</x:v>
      </x:c>
      <x:c r="H118" s="37" t="str">
        <x:v>待確認</x:v>
      </x:c>
      <x:c r="I118" s="37" t="str">
        <x:f>_xlfn.XLOOKUP($C118&amp;"|"&amp;$G118,'李醫師能力要求'!$M$7:$M$59,'李醫師能力要求'!$K$7:$K$59,"待確認",0)</x:f>
        <x:v>待確認</x:v>
      </x:c>
      <x:c r="J118" s="37" t="str">
        <x:v>◎</x:v>
      </x:c>
      <x:c r="K118" s="37" t="str">
        <x:v>Ø</x:v>
      </x:c>
      <x:c r="L118" s="48" t="str">
        <x:f>_xlfn.XLOOKUP($A118&amp;"|"&amp;$G118,'試行能力狀態'!$L$7:$L$258,'試行能力狀態'!$E$7:$E$258,"未評估",0)</x:f>
        <x:v>◎</x:v>
      </x:c>
      <x:c r="M118" s="48" t="str">
        <x:f>_xlfn.XLOOKUP($A118&amp;"|"&amp;$G118,'試行能力狀態'!$L$7:$L$258,'試行能力狀態'!$F$7:$F$258,"未建立",0)</x:f>
        <x:v>待主管核定</x:v>
      </x:c>
      <x:c r="N118" s="48" t="str">
        <x:f>IF($L118="◎","符合獨立",IF($L118="Ø","符合條件","不符合"))</x:f>
        <x:v>符合獨立</x:v>
      </x:c>
      <x:c r="O118" s="48" t="str">
        <x:f>_xlfn.XLOOKUP($A118&amp;"|李侑津醫師",'試行熟悉度'!$K$7:$K$20,'試行熟悉度'!$E$7:$E$20,"未評估",0)</x:f>
        <x:v>可獨立配合</x:v>
      </x:c>
      <x:c r="P118" s="48" t="str">
        <x:f>_xlfn.XLOOKUP($A118&amp;"|李侑津醫師",'試行熟悉度'!$K$7:$K$20,'試行熟悉度'!$F$7:$F$20,"未建立",0)</x:f>
        <x:v>待主管核定</x:v>
      </x:c>
      <x:c r="Q118" s="39" t="str">
        <x:v>確認後才納入自動判定</x:v>
      </x:c>
    </x:row>
    <x:row r="119">
      <x:c r="A119" s="37" t="str">
        <x:v>1013</x:v>
      </x:c>
      <x:c r="B119" s="37" t="str"/>
      <x:c r="C119" s="37" t="str">
        <x:v>LJT-PERIO</x:v>
      </x:c>
      <x:c r="D119" s="37" t="str">
        <x:v>牙周統合</x:v>
      </x:c>
      <x:c r="E119" s="37" t="str">
        <x:v>一般</x:v>
      </x:c>
      <x:c r="F119" s="37" t="str">
        <x:v>一般</x:v>
      </x:c>
      <x:c r="G119" s="37" t="str">
        <x:v>LJT-PREP-PERIO</x:v>
      </x:c>
      <x:c r="H119" s="37" t="str">
        <x:v>必備</x:v>
      </x:c>
      <x:c r="I119" s="37" t="str">
        <x:f>_xlfn.XLOOKUP($C119&amp;"|"&amp;$G119,'李醫師能力要求'!$M$7:$M$59,'李醫師能力要求'!$K$7:$K$59,"待確認",0)</x:f>
        <x:v>已確認</x:v>
      </x:c>
      <x:c r="J119" s="37" t="str">
        <x:v>◎</x:v>
      </x:c>
      <x:c r="K119" s="37" t="str">
        <x:v>Ø</x:v>
      </x:c>
      <x:c r="L119" s="48" t="str">
        <x:f>_xlfn.XLOOKUP($A119&amp;"|"&amp;$G119,'試行能力狀態'!$L$7:$L$258,'試行能力狀態'!$E$7:$E$258,"未評估",0)</x:f>
        <x:v>◎</x:v>
      </x:c>
      <x:c r="M119" s="48" t="str">
        <x:f>_xlfn.XLOOKUP($A119&amp;"|"&amp;$G119,'試行能力狀態'!$L$7:$L$258,'試行能力狀態'!$F$7:$F$258,"未建立",0)</x:f>
        <x:v>待主管核定</x:v>
      </x:c>
      <x:c r="N119" s="48" t="str">
        <x:f>IF($L119="◎","符合獨立",IF($L119="Ø","符合條件","不符合"))</x:f>
        <x:v>符合獨立</x:v>
      </x:c>
      <x:c r="O119" s="48" t="str">
        <x:f>_xlfn.XLOOKUP($A119&amp;"|李侑津醫師",'試行熟悉度'!$K$7:$K$20,'試行熟悉度'!$E$7:$E$20,"未評估",0)</x:f>
        <x:v>可獨立配合</x:v>
      </x:c>
      <x:c r="P119" s="48" t="str">
        <x:f>_xlfn.XLOOKUP($A119&amp;"|李侑津醫師",'試行熟悉度'!$K$7:$K$20,'試行熟悉度'!$F$7:$F$20,"未建立",0)</x:f>
        <x:v>待主管核定</x:v>
      </x:c>
      <x:c r="Q119" s="39" t="str">
        <x:v>依一般支援名額</x:v>
      </x:c>
    </x:row>
    <x:row r="120">
      <x:c r="A120" s="37" t="str">
        <x:v>1013</x:v>
      </x:c>
      <x:c r="B120" s="37" t="str"/>
      <x:c r="C120" s="37" t="str">
        <x:v>LJT-PERIO</x:v>
      </x:c>
      <x:c r="D120" s="37" t="str">
        <x:v>牙周統合</x:v>
      </x:c>
      <x:c r="E120" s="37" t="str">
        <x:v>一般</x:v>
      </x:c>
      <x:c r="F120" s="37" t="str">
        <x:v>一般</x:v>
      </x:c>
      <x:c r="G120" s="37" t="str">
        <x:v>COMMON-RECORD</x:v>
      </x:c>
      <x:c r="H120" s="37" t="str">
        <x:v>待確認</x:v>
      </x:c>
      <x:c r="I120" s="37" t="str">
        <x:f>_xlfn.XLOOKUP($C120&amp;"|"&amp;$G120,'李醫師能力要求'!$M$7:$M$59,'李醫師能力要求'!$K$7:$K$59,"待確認",0)</x:f>
        <x:v>待確認</x:v>
      </x:c>
      <x:c r="J120" s="37" t="str">
        <x:v>◎</x:v>
      </x:c>
      <x:c r="K120" s="37" t="str">
        <x:v>Ø</x:v>
      </x:c>
      <x:c r="L120" s="48" t="str">
        <x:f>_xlfn.XLOOKUP($A120&amp;"|"&amp;$G120,'試行能力狀態'!$L$7:$L$258,'試行能力狀態'!$E$7:$E$258,"未評估",0)</x:f>
        <x:v>◎</x:v>
      </x:c>
      <x:c r="M120" s="48" t="str">
        <x:f>_xlfn.XLOOKUP($A120&amp;"|"&amp;$G120,'試行能力狀態'!$L$7:$L$258,'試行能力狀態'!$F$7:$F$258,"未建立",0)</x:f>
        <x:v>待主管核定</x:v>
      </x:c>
      <x:c r="N120" s="48" t="str">
        <x:f>IF($L120="◎","符合獨立",IF($L120="Ø","符合條件","不符合"))</x:f>
        <x:v>符合獨立</x:v>
      </x:c>
      <x:c r="O120" s="48" t="str">
        <x:f>_xlfn.XLOOKUP($A120&amp;"|李侑津醫師",'試行熟悉度'!$K$7:$K$20,'試行熟悉度'!$E$7:$E$20,"未評估",0)</x:f>
        <x:v>可獨立配合</x:v>
      </x:c>
      <x:c r="P120" s="48" t="str">
        <x:f>_xlfn.XLOOKUP($A120&amp;"|李侑津醫師",'試行熟悉度'!$K$7:$K$20,'試行熟悉度'!$F$7:$F$20,"未建立",0)</x:f>
        <x:v>待主管核定</x:v>
      </x:c>
      <x:c r="Q120" s="39" t="str">
        <x:v>確認後才納入自動判定</x:v>
      </x:c>
    </x:row>
    <x:row r="121">
      <x:c r="A121" s="37" t="str">
        <x:v>1013</x:v>
      </x:c>
      <x:c r="B121" s="37" t="str"/>
      <x:c r="C121" s="37" t="str">
        <x:v>LJT-PERIO</x:v>
      </x:c>
      <x:c r="D121" s="37" t="str">
        <x:v>牙周統合</x:v>
      </x:c>
      <x:c r="E121" s="37" t="str">
        <x:v>一般</x:v>
      </x:c>
      <x:c r="F121" s="37" t="str">
        <x:v>一般</x:v>
      </x:c>
      <x:c r="G121" s="37" t="str">
        <x:v>COMMON-INSURANCE</x:v>
      </x:c>
      <x:c r="H121" s="37" t="str">
        <x:v>待確認</x:v>
      </x:c>
      <x:c r="I121" s="37" t="str">
        <x:f>_xlfn.XLOOKUP($C121&amp;"|"&amp;$G121,'李醫師能力要求'!$M$7:$M$59,'李醫師能力要求'!$K$7:$K$59,"待確認",0)</x:f>
        <x:v>待確認</x:v>
      </x:c>
      <x:c r="J121" s="37" t="str">
        <x:v>◎</x:v>
      </x:c>
      <x:c r="K121" s="37" t="str">
        <x:v>Ø</x:v>
      </x:c>
      <x:c r="L121" s="48" t="str">
        <x:f>_xlfn.XLOOKUP($A121&amp;"|"&amp;$G121,'試行能力狀態'!$L$7:$L$258,'試行能力狀態'!$E$7:$E$258,"未評估",0)</x:f>
        <x:v>◎</x:v>
      </x:c>
      <x:c r="M121" s="48" t="str">
        <x:f>_xlfn.XLOOKUP($A121&amp;"|"&amp;$G121,'試行能力狀態'!$L$7:$L$258,'試行能力狀態'!$F$7:$F$258,"未建立",0)</x:f>
        <x:v>待主管核定</x:v>
      </x:c>
      <x:c r="N121" s="48" t="str">
        <x:f>IF($L121="◎","符合獨立",IF($L121="Ø","符合條件","不符合"))</x:f>
        <x:v>符合獨立</x:v>
      </x:c>
      <x:c r="O121" s="48" t="str">
        <x:f>_xlfn.XLOOKUP($A121&amp;"|李侑津醫師",'試行熟悉度'!$K$7:$K$20,'試行熟悉度'!$E$7:$E$20,"未評估",0)</x:f>
        <x:v>可獨立配合</x:v>
      </x:c>
      <x:c r="P121" s="48" t="str">
        <x:f>_xlfn.XLOOKUP($A121&amp;"|李侑津醫師",'試行熟悉度'!$K$7:$K$20,'試行熟悉度'!$F$7:$F$20,"未建立",0)</x:f>
        <x:v>待主管核定</x:v>
      </x:c>
      <x:c r="Q121" s="39" t="str">
        <x:v>確認後才納入自動判定</x:v>
      </x:c>
    </x:row>
    <x:row r="122">
      <x:c r="A122" s="37" t="str">
        <x:v>1013</x:v>
      </x:c>
      <x:c r="B122" s="37" t="str"/>
      <x:c r="C122" s="37" t="str">
        <x:v>LJT-PERIO</x:v>
      </x:c>
      <x:c r="D122" s="37" t="str">
        <x:v>牙周統合</x:v>
      </x:c>
      <x:c r="E122" s="37" t="str">
        <x:v>一般</x:v>
      </x:c>
      <x:c r="F122" s="37" t="str">
        <x:v>一般</x:v>
      </x:c>
      <x:c r="G122" s="37" t="str">
        <x:v>COMMON-XRAY-RECORD</x:v>
      </x:c>
      <x:c r="H122" s="37" t="str">
        <x:v>待確認</x:v>
      </x:c>
      <x:c r="I122" s="37" t="str">
        <x:f>_xlfn.XLOOKUP($C122&amp;"|"&amp;$G122,'李醫師能力要求'!$M$7:$M$59,'李醫師能力要求'!$K$7:$K$59,"待確認",0)</x:f>
        <x:v>待確認</x:v>
      </x:c>
      <x:c r="J122" s="37" t="str">
        <x:v>◎</x:v>
      </x:c>
      <x:c r="K122" s="37" t="str">
        <x:v>Ø</x:v>
      </x:c>
      <x:c r="L122" s="48" t="str">
        <x:f>_xlfn.XLOOKUP($A122&amp;"|"&amp;$G122,'試行能力狀態'!$L$7:$L$258,'試行能力狀態'!$E$7:$E$258,"未評估",0)</x:f>
        <x:v>◎</x:v>
      </x:c>
      <x:c r="M122" s="48" t="str">
        <x:f>_xlfn.XLOOKUP($A122&amp;"|"&amp;$G122,'試行能力狀態'!$L$7:$L$258,'試行能力狀態'!$F$7:$F$258,"未建立",0)</x:f>
        <x:v>待主管核定</x:v>
      </x:c>
      <x:c r="N122" s="48" t="str">
        <x:f>IF($L122="◎","符合獨立",IF($L122="Ø","符合條件","不符合"))</x:f>
        <x:v>符合獨立</x:v>
      </x:c>
      <x:c r="O122" s="48" t="str">
        <x:f>_xlfn.XLOOKUP($A122&amp;"|李侑津醫師",'試行熟悉度'!$K$7:$K$20,'試行熟悉度'!$E$7:$E$20,"未評估",0)</x:f>
        <x:v>可獨立配合</x:v>
      </x:c>
      <x:c r="P122" s="48" t="str">
        <x:f>_xlfn.XLOOKUP($A122&amp;"|李侑津醫師",'試行熟悉度'!$K$7:$K$20,'試行熟悉度'!$F$7:$F$20,"未建立",0)</x:f>
        <x:v>待主管核定</x:v>
      </x:c>
      <x:c r="Q122" s="39" t="str">
        <x:v>確認後才納入自動判定</x:v>
      </x:c>
    </x:row>
    <x:row r="123">
      <x:c r="A123" s="37" t="str">
        <x:v>1013</x:v>
      </x:c>
      <x:c r="B123" s="37" t="str"/>
      <x:c r="C123" s="37" t="str">
        <x:v>LJT-RCT</x:v>
      </x:c>
      <x:c r="D123" s="37" t="str">
        <x:v>一般根管治療</x:v>
      </x:c>
      <x:c r="E123" s="37" t="str">
        <x:v>一般</x:v>
      </x:c>
      <x:c r="F123" s="37" t="str">
        <x:v>一般</x:v>
      </x:c>
      <x:c r="G123" s="37" t="str">
        <x:v>LJT-PREP-RCT</x:v>
      </x:c>
      <x:c r="H123" s="37" t="str">
        <x:v>必備</x:v>
      </x:c>
      <x:c r="I123" s="37" t="str">
        <x:f>_xlfn.XLOOKUP($C123&amp;"|"&amp;$G123,'李醫師能力要求'!$M$7:$M$59,'李醫師能力要求'!$K$7:$K$59,"待確認",0)</x:f>
        <x:v>已確認</x:v>
      </x:c>
      <x:c r="J123" s="37" t="str">
        <x:v>◎</x:v>
      </x:c>
      <x:c r="K123" s="37" t="str">
        <x:v>Ø</x:v>
      </x:c>
      <x:c r="L123" s="48" t="str">
        <x:f>_xlfn.XLOOKUP($A123&amp;"|"&amp;$G123,'試行能力狀態'!$L$7:$L$258,'試行能力狀態'!$E$7:$E$258,"未評估",0)</x:f>
        <x:v>◎</x:v>
      </x:c>
      <x:c r="M123" s="48" t="str">
        <x:f>_xlfn.XLOOKUP($A123&amp;"|"&amp;$G123,'試行能力狀態'!$L$7:$L$258,'試行能力狀態'!$F$7:$F$258,"未建立",0)</x:f>
        <x:v>待主管核定</x:v>
      </x:c>
      <x:c r="N123" s="48" t="str">
        <x:f>IF($L123="◎","符合獨立",IF($L123="Ø","符合條件","不符合"))</x:f>
        <x:v>符合獨立</x:v>
      </x:c>
      <x:c r="O123" s="48" t="str">
        <x:f>_xlfn.XLOOKUP($A123&amp;"|李侑津醫師",'試行熟悉度'!$K$7:$K$20,'試行熟悉度'!$E$7:$E$20,"未評估",0)</x:f>
        <x:v>可獨立配合</x:v>
      </x:c>
      <x:c r="P123" s="48" t="str">
        <x:f>_xlfn.XLOOKUP($A123&amp;"|李侑津醫師",'試行熟悉度'!$K$7:$K$20,'試行熟悉度'!$F$7:$F$20,"未建立",0)</x:f>
        <x:v>待主管核定</x:v>
      </x:c>
      <x:c r="Q123" s="39" t="str">
        <x:v>依一般支援名額</x:v>
      </x:c>
    </x:row>
    <x:row r="124">
      <x:c r="A124" s="37" t="str">
        <x:v>1013</x:v>
      </x:c>
      <x:c r="B124" s="37" t="str"/>
      <x:c r="C124" s="37" t="str">
        <x:v>LJT-RCT</x:v>
      </x:c>
      <x:c r="D124" s="37" t="str">
        <x:v>一般根管治療</x:v>
      </x:c>
      <x:c r="E124" s="37" t="str">
        <x:v>一般</x:v>
      </x:c>
      <x:c r="F124" s="37" t="str">
        <x:v>一般</x:v>
      </x:c>
      <x:c r="G124" s="37" t="str">
        <x:v>COMMON-RECORD</x:v>
      </x:c>
      <x:c r="H124" s="37" t="str">
        <x:v>待確認</x:v>
      </x:c>
      <x:c r="I124" s="37" t="str">
        <x:f>_xlfn.XLOOKUP($C124&amp;"|"&amp;$G124,'李醫師能力要求'!$M$7:$M$59,'李醫師能力要求'!$K$7:$K$59,"待確認",0)</x:f>
        <x:v>待確認</x:v>
      </x:c>
      <x:c r="J124" s="37" t="str">
        <x:v>◎</x:v>
      </x:c>
      <x:c r="K124" s="37" t="str">
        <x:v>Ø</x:v>
      </x:c>
      <x:c r="L124" s="48" t="str">
        <x:f>_xlfn.XLOOKUP($A124&amp;"|"&amp;$G124,'試行能力狀態'!$L$7:$L$258,'試行能力狀態'!$E$7:$E$258,"未評估",0)</x:f>
        <x:v>◎</x:v>
      </x:c>
      <x:c r="M124" s="48" t="str">
        <x:f>_xlfn.XLOOKUP($A124&amp;"|"&amp;$G124,'試行能力狀態'!$L$7:$L$258,'試行能力狀態'!$F$7:$F$258,"未建立",0)</x:f>
        <x:v>待主管核定</x:v>
      </x:c>
      <x:c r="N124" s="48" t="str">
        <x:f>IF($L124="◎","符合獨立",IF($L124="Ø","符合條件","不符合"))</x:f>
        <x:v>符合獨立</x:v>
      </x:c>
      <x:c r="O124" s="48" t="str">
        <x:f>_xlfn.XLOOKUP($A124&amp;"|李侑津醫師",'試行熟悉度'!$K$7:$K$20,'試行熟悉度'!$E$7:$E$20,"未評估",0)</x:f>
        <x:v>可獨立配合</x:v>
      </x:c>
      <x:c r="P124" s="48" t="str">
        <x:f>_xlfn.XLOOKUP($A124&amp;"|李侑津醫師",'試行熟悉度'!$K$7:$K$20,'試行熟悉度'!$F$7:$F$20,"未建立",0)</x:f>
        <x:v>待主管核定</x:v>
      </x:c>
      <x:c r="Q124" s="39" t="str">
        <x:v>確認後才納入自動判定</x:v>
      </x:c>
    </x:row>
    <x:row r="125">
      <x:c r="A125" s="37" t="str">
        <x:v>1013</x:v>
      </x:c>
      <x:c r="B125" s="37" t="str"/>
      <x:c r="C125" s="37" t="str">
        <x:v>LJT-RCT</x:v>
      </x:c>
      <x:c r="D125" s="37" t="str">
        <x:v>一般根管治療</x:v>
      </x:c>
      <x:c r="E125" s="37" t="str">
        <x:v>一般</x:v>
      </x:c>
      <x:c r="F125" s="37" t="str">
        <x:v>一般</x:v>
      </x:c>
      <x:c r="G125" s="37" t="str">
        <x:v>COMMON-INSURANCE</x:v>
      </x:c>
      <x:c r="H125" s="37" t="str">
        <x:v>待確認</x:v>
      </x:c>
      <x:c r="I125" s="37" t="str">
        <x:f>_xlfn.XLOOKUP($C125&amp;"|"&amp;$G125,'李醫師能力要求'!$M$7:$M$59,'李醫師能力要求'!$K$7:$K$59,"待確認",0)</x:f>
        <x:v>待確認</x:v>
      </x:c>
      <x:c r="J125" s="37" t="str">
        <x:v>◎</x:v>
      </x:c>
      <x:c r="K125" s="37" t="str">
        <x:v>Ø</x:v>
      </x:c>
      <x:c r="L125" s="48" t="str">
        <x:f>_xlfn.XLOOKUP($A125&amp;"|"&amp;$G125,'試行能力狀態'!$L$7:$L$258,'試行能力狀態'!$E$7:$E$258,"未評估",0)</x:f>
        <x:v>◎</x:v>
      </x:c>
      <x:c r="M125" s="48" t="str">
        <x:f>_xlfn.XLOOKUP($A125&amp;"|"&amp;$G125,'試行能力狀態'!$L$7:$L$258,'試行能力狀態'!$F$7:$F$258,"未建立",0)</x:f>
        <x:v>待主管核定</x:v>
      </x:c>
      <x:c r="N125" s="48" t="str">
        <x:f>IF($L125="◎","符合獨立",IF($L125="Ø","符合條件","不符合"))</x:f>
        <x:v>符合獨立</x:v>
      </x:c>
      <x:c r="O125" s="48" t="str">
        <x:f>_xlfn.XLOOKUP($A125&amp;"|李侑津醫師",'試行熟悉度'!$K$7:$K$20,'試行熟悉度'!$E$7:$E$20,"未評估",0)</x:f>
        <x:v>可獨立配合</x:v>
      </x:c>
      <x:c r="P125" s="48" t="str">
        <x:f>_xlfn.XLOOKUP($A125&amp;"|李侑津醫師",'試行熟悉度'!$K$7:$K$20,'試行熟悉度'!$F$7:$F$20,"未建立",0)</x:f>
        <x:v>待主管核定</x:v>
      </x:c>
      <x:c r="Q125" s="39" t="str">
        <x:v>確認後才納入自動判定</x:v>
      </x:c>
    </x:row>
    <x:row r="126">
      <x:c r="A126" s="37" t="str">
        <x:v>1013</x:v>
      </x:c>
      <x:c r="B126" s="37" t="str"/>
      <x:c r="C126" s="37" t="str">
        <x:v>LJT-RCT</x:v>
      </x:c>
      <x:c r="D126" s="37" t="str">
        <x:v>一般根管治療</x:v>
      </x:c>
      <x:c r="E126" s="37" t="str">
        <x:v>一般</x:v>
      </x:c>
      <x:c r="F126" s="37" t="str">
        <x:v>一般</x:v>
      </x:c>
      <x:c r="G126" s="37" t="str">
        <x:v>COMMON-XRAY-RECORD</x:v>
      </x:c>
      <x:c r="H126" s="37" t="str">
        <x:v>待確認</x:v>
      </x:c>
      <x:c r="I126" s="37" t="str">
        <x:f>_xlfn.XLOOKUP($C126&amp;"|"&amp;$G126,'李醫師能力要求'!$M$7:$M$59,'李醫師能力要求'!$K$7:$K$59,"待確認",0)</x:f>
        <x:v>待確認</x:v>
      </x:c>
      <x:c r="J126" s="37" t="str">
        <x:v>◎</x:v>
      </x:c>
      <x:c r="K126" s="37" t="str">
        <x:v>Ø</x:v>
      </x:c>
      <x:c r="L126" s="48" t="str">
        <x:f>_xlfn.XLOOKUP($A126&amp;"|"&amp;$G126,'試行能力狀態'!$L$7:$L$258,'試行能力狀態'!$E$7:$E$258,"未評估",0)</x:f>
        <x:v>◎</x:v>
      </x:c>
      <x:c r="M126" s="48" t="str">
        <x:f>_xlfn.XLOOKUP($A126&amp;"|"&amp;$G126,'試行能力狀態'!$L$7:$L$258,'試行能力狀態'!$F$7:$F$258,"未建立",0)</x:f>
        <x:v>待主管核定</x:v>
      </x:c>
      <x:c r="N126" s="48" t="str">
        <x:f>IF($L126="◎","符合獨立",IF($L126="Ø","符合條件","不符合"))</x:f>
        <x:v>符合獨立</x:v>
      </x:c>
      <x:c r="O126" s="48" t="str">
        <x:f>_xlfn.XLOOKUP($A126&amp;"|李侑津醫師",'試行熟悉度'!$K$7:$K$20,'試行熟悉度'!$E$7:$E$20,"未評估",0)</x:f>
        <x:v>可獨立配合</x:v>
      </x:c>
      <x:c r="P126" s="48" t="str">
        <x:f>_xlfn.XLOOKUP($A126&amp;"|李侑津醫師",'試行熟悉度'!$K$7:$K$20,'試行熟悉度'!$F$7:$F$20,"未建立",0)</x:f>
        <x:v>待主管核定</x:v>
      </x:c>
      <x:c r="Q126" s="39" t="str">
        <x:v>確認後才納入自動判定</x:v>
      </x:c>
    </x:row>
    <x:row r="127">
      <x:c r="A127" s="37" t="str">
        <x:v>1013</x:v>
      </x:c>
      <x:c r="B127" s="37" t="str"/>
      <x:c r="C127" s="37" t="str">
        <x:v>LJT-EXTRACTION</x:v>
      </x:c>
      <x:c r="D127" s="37" t="str">
        <x:v>拔牙</x:v>
      </x:c>
      <x:c r="E127" s="37" t="str">
        <x:v>一般</x:v>
      </x:c>
      <x:c r="F127" s="37" t="str">
        <x:v>一般</x:v>
      </x:c>
      <x:c r="G127" s="37" t="str">
        <x:v>LJT-PREP-EXTRACTION</x:v>
      </x:c>
      <x:c r="H127" s="37" t="str">
        <x:v>必備</x:v>
      </x:c>
      <x:c r="I127" s="37" t="str">
        <x:f>_xlfn.XLOOKUP($C127&amp;"|"&amp;$G127,'李醫師能力要求'!$M$7:$M$59,'李醫師能力要求'!$K$7:$K$59,"待確認",0)</x:f>
        <x:v>已確認</x:v>
      </x:c>
      <x:c r="J127" s="37" t="str">
        <x:v>◎</x:v>
      </x:c>
      <x:c r="K127" s="37" t="str">
        <x:v>Ø</x:v>
      </x:c>
      <x:c r="L127" s="48" t="str">
        <x:f>_xlfn.XLOOKUP($A127&amp;"|"&amp;$G127,'試行能力狀態'!$L$7:$L$258,'試行能力狀態'!$E$7:$E$258,"未評估",0)</x:f>
        <x:v>◎</x:v>
      </x:c>
      <x:c r="M127" s="48" t="str">
        <x:f>_xlfn.XLOOKUP($A127&amp;"|"&amp;$G127,'試行能力狀態'!$L$7:$L$258,'試行能力狀態'!$F$7:$F$258,"未建立",0)</x:f>
        <x:v>待主管核定</x:v>
      </x:c>
      <x:c r="N127" s="48" t="str">
        <x:f>IF($L127="◎","符合獨立",IF($L127="Ø","符合條件","不符合"))</x:f>
        <x:v>符合獨立</x:v>
      </x:c>
      <x:c r="O127" s="48" t="str">
        <x:f>_xlfn.XLOOKUP($A127&amp;"|李侑津醫師",'試行熟悉度'!$K$7:$K$20,'試行熟悉度'!$E$7:$E$20,"未評估",0)</x:f>
        <x:v>可獨立配合</x:v>
      </x:c>
      <x:c r="P127" s="48" t="str">
        <x:f>_xlfn.XLOOKUP($A127&amp;"|李侑津醫師",'試行熟悉度'!$K$7:$K$20,'試行熟悉度'!$F$7:$F$20,"未建立",0)</x:f>
        <x:v>待主管核定</x:v>
      </x:c>
      <x:c r="Q127" s="39" t="str">
        <x:v>依一般支援名額</x:v>
      </x:c>
    </x:row>
    <x:row r="128">
      <x:c r="A128" s="37" t="str">
        <x:v>1013</x:v>
      </x:c>
      <x:c r="B128" s="37" t="str"/>
      <x:c r="C128" s="37" t="str">
        <x:v>LJT-EXTRACTION</x:v>
      </x:c>
      <x:c r="D128" s="37" t="str">
        <x:v>拔牙</x:v>
      </x:c>
      <x:c r="E128" s="37" t="str">
        <x:v>一般</x:v>
      </x:c>
      <x:c r="F128" s="37" t="str">
        <x:v>一般</x:v>
      </x:c>
      <x:c r="G128" s="37" t="str">
        <x:v>COMMON-RECORD</x:v>
      </x:c>
      <x:c r="H128" s="37" t="str">
        <x:v>待確認</x:v>
      </x:c>
      <x:c r="I128" s="37" t="str">
        <x:f>_xlfn.XLOOKUP($C128&amp;"|"&amp;$G128,'李醫師能力要求'!$M$7:$M$59,'李醫師能力要求'!$K$7:$K$59,"待確認",0)</x:f>
        <x:v>待確認</x:v>
      </x:c>
      <x:c r="J128" s="37" t="str">
        <x:v>◎</x:v>
      </x:c>
      <x:c r="K128" s="37" t="str">
        <x:v>Ø</x:v>
      </x:c>
      <x:c r="L128" s="48" t="str">
        <x:f>_xlfn.XLOOKUP($A128&amp;"|"&amp;$G128,'試行能力狀態'!$L$7:$L$258,'試行能力狀態'!$E$7:$E$258,"未評估",0)</x:f>
        <x:v>◎</x:v>
      </x:c>
      <x:c r="M128" s="48" t="str">
        <x:f>_xlfn.XLOOKUP($A128&amp;"|"&amp;$G128,'試行能力狀態'!$L$7:$L$258,'試行能力狀態'!$F$7:$F$258,"未建立",0)</x:f>
        <x:v>待主管核定</x:v>
      </x:c>
      <x:c r="N128" s="48" t="str">
        <x:f>IF($L128="◎","符合獨立",IF($L128="Ø","符合條件","不符合"))</x:f>
        <x:v>符合獨立</x:v>
      </x:c>
      <x:c r="O128" s="48" t="str">
        <x:f>_xlfn.XLOOKUP($A128&amp;"|李侑津醫師",'試行熟悉度'!$K$7:$K$20,'試行熟悉度'!$E$7:$E$20,"未評估",0)</x:f>
        <x:v>可獨立配合</x:v>
      </x:c>
      <x:c r="P128" s="48" t="str">
        <x:f>_xlfn.XLOOKUP($A128&amp;"|李侑津醫師",'試行熟悉度'!$K$7:$K$20,'試行熟悉度'!$F$7:$F$20,"未建立",0)</x:f>
        <x:v>待主管核定</x:v>
      </x:c>
      <x:c r="Q128" s="39" t="str">
        <x:v>確認後才納入自動判定</x:v>
      </x:c>
    </x:row>
    <x:row r="129">
      <x:c r="A129" s="37" t="str">
        <x:v>1013</x:v>
      </x:c>
      <x:c r="B129" s="37" t="str"/>
      <x:c r="C129" s="37" t="str">
        <x:v>LJT-EXTRACTION</x:v>
      </x:c>
      <x:c r="D129" s="37" t="str">
        <x:v>拔牙</x:v>
      </x:c>
      <x:c r="E129" s="37" t="str">
        <x:v>一般</x:v>
      </x:c>
      <x:c r="F129" s="37" t="str">
        <x:v>一般</x:v>
      </x:c>
      <x:c r="G129" s="37" t="str">
        <x:v>COMMON-INSURANCE</x:v>
      </x:c>
      <x:c r="H129" s="37" t="str">
        <x:v>待確認</x:v>
      </x:c>
      <x:c r="I129" s="37" t="str">
        <x:f>_xlfn.XLOOKUP($C129&amp;"|"&amp;$G129,'李醫師能力要求'!$M$7:$M$59,'李醫師能力要求'!$K$7:$K$59,"待確認",0)</x:f>
        <x:v>待確認</x:v>
      </x:c>
      <x:c r="J129" s="37" t="str">
        <x:v>◎</x:v>
      </x:c>
      <x:c r="K129" s="37" t="str">
        <x:v>Ø</x:v>
      </x:c>
      <x:c r="L129" s="48" t="str">
        <x:f>_xlfn.XLOOKUP($A129&amp;"|"&amp;$G129,'試行能力狀態'!$L$7:$L$258,'試行能力狀態'!$E$7:$E$258,"未評估",0)</x:f>
        <x:v>◎</x:v>
      </x:c>
      <x:c r="M129" s="48" t="str">
        <x:f>_xlfn.XLOOKUP($A129&amp;"|"&amp;$G129,'試行能力狀態'!$L$7:$L$258,'試行能力狀態'!$F$7:$F$258,"未建立",0)</x:f>
        <x:v>待主管核定</x:v>
      </x:c>
      <x:c r="N129" s="48" t="str">
        <x:f>IF($L129="◎","符合獨立",IF($L129="Ø","符合條件","不符合"))</x:f>
        <x:v>符合獨立</x:v>
      </x:c>
      <x:c r="O129" s="48" t="str">
        <x:f>_xlfn.XLOOKUP($A129&amp;"|李侑津醫師",'試行熟悉度'!$K$7:$K$20,'試行熟悉度'!$E$7:$E$20,"未評估",0)</x:f>
        <x:v>可獨立配合</x:v>
      </x:c>
      <x:c r="P129" s="48" t="str">
        <x:f>_xlfn.XLOOKUP($A129&amp;"|李侑津醫師",'試行熟悉度'!$K$7:$K$20,'試行熟悉度'!$F$7:$F$20,"未建立",0)</x:f>
        <x:v>待主管核定</x:v>
      </x:c>
      <x:c r="Q129" s="39" t="str">
        <x:v>確認後才納入自動判定</x:v>
      </x:c>
    </x:row>
    <x:row r="130">
      <x:c r="A130" s="37" t="str">
        <x:v>1013</x:v>
      </x:c>
      <x:c r="B130" s="37" t="str"/>
      <x:c r="C130" s="37" t="str">
        <x:v>LJT-EXTRACTION</x:v>
      </x:c>
      <x:c r="D130" s="37" t="str">
        <x:v>拔牙</x:v>
      </x:c>
      <x:c r="E130" s="37" t="str">
        <x:v>一般</x:v>
      </x:c>
      <x:c r="F130" s="37" t="str">
        <x:v>一般</x:v>
      </x:c>
      <x:c r="G130" s="37" t="str">
        <x:v>COMMON-XRAY-RECORD</x:v>
      </x:c>
      <x:c r="H130" s="37" t="str">
        <x:v>待確認</x:v>
      </x:c>
      <x:c r="I130" s="37" t="str">
        <x:f>_xlfn.XLOOKUP($C130&amp;"|"&amp;$G130,'李醫師能力要求'!$M$7:$M$59,'李醫師能力要求'!$K$7:$K$59,"待確認",0)</x:f>
        <x:v>待確認</x:v>
      </x:c>
      <x:c r="J130" s="37" t="str">
        <x:v>◎</x:v>
      </x:c>
      <x:c r="K130" s="37" t="str">
        <x:v>Ø</x:v>
      </x:c>
      <x:c r="L130" s="48" t="str">
        <x:f>_xlfn.XLOOKUP($A130&amp;"|"&amp;$G130,'試行能力狀態'!$L$7:$L$258,'試行能力狀態'!$E$7:$E$258,"未評估",0)</x:f>
        <x:v>◎</x:v>
      </x:c>
      <x:c r="M130" s="48" t="str">
        <x:f>_xlfn.XLOOKUP($A130&amp;"|"&amp;$G130,'試行能力狀態'!$L$7:$L$258,'試行能力狀態'!$F$7:$F$258,"未建立",0)</x:f>
        <x:v>待主管核定</x:v>
      </x:c>
      <x:c r="N130" s="48" t="str">
        <x:f>IF($L130="◎","符合獨立",IF($L130="Ø","符合條件","不符合"))</x:f>
        <x:v>符合獨立</x:v>
      </x:c>
      <x:c r="O130" s="48" t="str">
        <x:f>_xlfn.XLOOKUP($A130&amp;"|李侑津醫師",'試行熟悉度'!$K$7:$K$20,'試行熟悉度'!$E$7:$E$20,"未評估",0)</x:f>
        <x:v>可獨立配合</x:v>
      </x:c>
      <x:c r="P130" s="48" t="str">
        <x:f>_xlfn.XLOOKUP($A130&amp;"|李侑津醫師",'試行熟悉度'!$K$7:$K$20,'試行熟悉度'!$F$7:$F$20,"未建立",0)</x:f>
        <x:v>待主管核定</x:v>
      </x:c>
      <x:c r="Q130" s="39" t="str">
        <x:v>確認後才納入自動判定</x:v>
      </x:c>
    </x:row>
    <x:row r="131">
      <x:c r="A131" s="37" t="str">
        <x:v>1013</x:v>
      </x:c>
      <x:c r="B131" s="37" t="str"/>
      <x:c r="C131" s="37" t="str">
        <x:v>LJT-CROWNPOST</x:v>
      </x:c>
      <x:c r="D131" s="37" t="str">
        <x:v>拆 crown/post</x:v>
      </x:c>
      <x:c r="E131" s="37" t="str">
        <x:v>一般</x:v>
      </x:c>
      <x:c r="F131" s="37" t="str">
        <x:v>一般</x:v>
      </x:c>
      <x:c r="G131" s="37" t="str">
        <x:v>LJT-PREP-CROWNPOST</x:v>
      </x:c>
      <x:c r="H131" s="37" t="str">
        <x:v>必備</x:v>
      </x:c>
      <x:c r="I131" s="37" t="str">
        <x:f>_xlfn.XLOOKUP($C131&amp;"|"&amp;$G131,'李醫師能力要求'!$M$7:$M$59,'李醫師能力要求'!$K$7:$K$59,"待確認",0)</x:f>
        <x:v>已確認</x:v>
      </x:c>
      <x:c r="J131" s="37" t="str">
        <x:v>◎</x:v>
      </x:c>
      <x:c r="K131" s="37" t="str">
        <x:v>Ø</x:v>
      </x:c>
      <x:c r="L131" s="48" t="str">
        <x:f>_xlfn.XLOOKUP($A131&amp;"|"&amp;$G131,'試行能力狀態'!$L$7:$L$258,'試行能力狀態'!$E$7:$E$258,"未評估",0)</x:f>
        <x:v>◎</x:v>
      </x:c>
      <x:c r="M131" s="48" t="str">
        <x:f>_xlfn.XLOOKUP($A131&amp;"|"&amp;$G131,'試行能力狀態'!$L$7:$L$258,'試行能力狀態'!$F$7:$F$258,"未建立",0)</x:f>
        <x:v>待主管核定</x:v>
      </x:c>
      <x:c r="N131" s="48" t="str">
        <x:f>IF($L131="◎","符合獨立",IF($L131="Ø","符合條件","不符合"))</x:f>
        <x:v>符合獨立</x:v>
      </x:c>
      <x:c r="O131" s="48" t="str">
        <x:f>_xlfn.XLOOKUP($A131&amp;"|李侑津醫師",'試行熟悉度'!$K$7:$K$20,'試行熟悉度'!$E$7:$E$20,"未評估",0)</x:f>
        <x:v>可獨立配合</x:v>
      </x:c>
      <x:c r="P131" s="48" t="str">
        <x:f>_xlfn.XLOOKUP($A131&amp;"|李侑津醫師",'試行熟悉度'!$K$7:$K$20,'試行熟悉度'!$F$7:$F$20,"未建立",0)</x:f>
        <x:v>待主管核定</x:v>
      </x:c>
      <x:c r="Q131" s="39" t="str">
        <x:v>依一般支援名額</x:v>
      </x:c>
    </x:row>
    <x:row r="132">
      <x:c r="A132" s="37" t="str">
        <x:v>1013</x:v>
      </x:c>
      <x:c r="B132" s="37" t="str"/>
      <x:c r="C132" s="37" t="str">
        <x:v>LJT-CROWNPOST</x:v>
      </x:c>
      <x:c r="D132" s="37" t="str">
        <x:v>拆 crown/post</x:v>
      </x:c>
      <x:c r="E132" s="37" t="str">
        <x:v>一般</x:v>
      </x:c>
      <x:c r="F132" s="37" t="str">
        <x:v>一般</x:v>
      </x:c>
      <x:c r="G132" s="37" t="str">
        <x:v>COMMON-RECORD</x:v>
      </x:c>
      <x:c r="H132" s="37" t="str">
        <x:v>待確認</x:v>
      </x:c>
      <x:c r="I132" s="37" t="str">
        <x:f>_xlfn.XLOOKUP($C132&amp;"|"&amp;$G132,'李醫師能力要求'!$M$7:$M$59,'李醫師能力要求'!$K$7:$K$59,"待確認",0)</x:f>
        <x:v>待確認</x:v>
      </x:c>
      <x:c r="J132" s="37" t="str">
        <x:v>◎</x:v>
      </x:c>
      <x:c r="K132" s="37" t="str">
        <x:v>Ø</x:v>
      </x:c>
      <x:c r="L132" s="48" t="str">
        <x:f>_xlfn.XLOOKUP($A132&amp;"|"&amp;$G132,'試行能力狀態'!$L$7:$L$258,'試行能力狀態'!$E$7:$E$258,"未評估",0)</x:f>
        <x:v>◎</x:v>
      </x:c>
      <x:c r="M132" s="48" t="str">
        <x:f>_xlfn.XLOOKUP($A132&amp;"|"&amp;$G132,'試行能力狀態'!$L$7:$L$258,'試行能力狀態'!$F$7:$F$258,"未建立",0)</x:f>
        <x:v>待主管核定</x:v>
      </x:c>
      <x:c r="N132" s="48" t="str">
        <x:f>IF($L132="◎","符合獨立",IF($L132="Ø","符合條件","不符合"))</x:f>
        <x:v>符合獨立</x:v>
      </x:c>
      <x:c r="O132" s="48" t="str">
        <x:f>_xlfn.XLOOKUP($A132&amp;"|李侑津醫師",'試行熟悉度'!$K$7:$K$20,'試行熟悉度'!$E$7:$E$20,"未評估",0)</x:f>
        <x:v>可獨立配合</x:v>
      </x:c>
      <x:c r="P132" s="48" t="str">
        <x:f>_xlfn.XLOOKUP($A132&amp;"|李侑津醫師",'試行熟悉度'!$K$7:$K$20,'試行熟悉度'!$F$7:$F$20,"未建立",0)</x:f>
        <x:v>待主管核定</x:v>
      </x:c>
      <x:c r="Q132" s="39" t="str">
        <x:v>確認後才納入自動判定</x:v>
      </x:c>
    </x:row>
    <x:row r="133">
      <x:c r="A133" s="37" t="str">
        <x:v>1013</x:v>
      </x:c>
      <x:c r="B133" s="37" t="str"/>
      <x:c r="C133" s="37" t="str">
        <x:v>LJT-CROWNPOST</x:v>
      </x:c>
      <x:c r="D133" s="37" t="str">
        <x:v>拆 crown/post</x:v>
      </x:c>
      <x:c r="E133" s="37" t="str">
        <x:v>一般</x:v>
      </x:c>
      <x:c r="F133" s="37" t="str">
        <x:v>一般</x:v>
      </x:c>
      <x:c r="G133" s="37" t="str">
        <x:v>COMMON-INSURANCE</x:v>
      </x:c>
      <x:c r="H133" s="37" t="str">
        <x:v>待確認</x:v>
      </x:c>
      <x:c r="I133" s="37" t="str">
        <x:f>_xlfn.XLOOKUP($C133&amp;"|"&amp;$G133,'李醫師能力要求'!$M$7:$M$59,'李醫師能力要求'!$K$7:$K$59,"待確認",0)</x:f>
        <x:v>待確認</x:v>
      </x:c>
      <x:c r="J133" s="37" t="str">
        <x:v>◎</x:v>
      </x:c>
      <x:c r="K133" s="37" t="str">
        <x:v>Ø</x:v>
      </x:c>
      <x:c r="L133" s="48" t="str">
        <x:f>_xlfn.XLOOKUP($A133&amp;"|"&amp;$G133,'試行能力狀態'!$L$7:$L$258,'試行能力狀態'!$E$7:$E$258,"未評估",0)</x:f>
        <x:v>◎</x:v>
      </x:c>
      <x:c r="M133" s="48" t="str">
        <x:f>_xlfn.XLOOKUP($A133&amp;"|"&amp;$G133,'試行能力狀態'!$L$7:$L$258,'試行能力狀態'!$F$7:$F$258,"未建立",0)</x:f>
        <x:v>待主管核定</x:v>
      </x:c>
      <x:c r="N133" s="48" t="str">
        <x:f>IF($L133="◎","符合獨立",IF($L133="Ø","符合條件","不符合"))</x:f>
        <x:v>符合獨立</x:v>
      </x:c>
      <x:c r="O133" s="48" t="str">
        <x:f>_xlfn.XLOOKUP($A133&amp;"|李侑津醫師",'試行熟悉度'!$K$7:$K$20,'試行熟悉度'!$E$7:$E$20,"未評估",0)</x:f>
        <x:v>可獨立配合</x:v>
      </x:c>
      <x:c r="P133" s="48" t="str">
        <x:f>_xlfn.XLOOKUP($A133&amp;"|李侑津醫師",'試行熟悉度'!$K$7:$K$20,'試行熟悉度'!$F$7:$F$20,"未建立",0)</x:f>
        <x:v>待主管核定</x:v>
      </x:c>
      <x:c r="Q133" s="39" t="str">
        <x:v>確認後才納入自動判定</x:v>
      </x:c>
    </x:row>
    <x:row r="134">
      <x:c r="A134" s="37" t="str">
        <x:v>1013</x:v>
      </x:c>
      <x:c r="B134" s="37" t="str"/>
      <x:c r="C134" s="37" t="str">
        <x:v>LJT-CROWNPOST</x:v>
      </x:c>
      <x:c r="D134" s="37" t="str">
        <x:v>拆 crown/post</x:v>
      </x:c>
      <x:c r="E134" s="37" t="str">
        <x:v>一般</x:v>
      </x:c>
      <x:c r="F134" s="37" t="str">
        <x:v>一般</x:v>
      </x:c>
      <x:c r="G134" s="37" t="str">
        <x:v>COMMON-XRAY-RECORD</x:v>
      </x:c>
      <x:c r="H134" s="37" t="str">
        <x:v>待確認</x:v>
      </x:c>
      <x:c r="I134" s="37" t="str">
        <x:f>_xlfn.XLOOKUP($C134&amp;"|"&amp;$G134,'李醫師能力要求'!$M$7:$M$59,'李醫師能力要求'!$K$7:$K$59,"待確認",0)</x:f>
        <x:v>待確認</x:v>
      </x:c>
      <x:c r="J134" s="37" t="str">
        <x:v>◎</x:v>
      </x:c>
      <x:c r="K134" s="37" t="str">
        <x:v>Ø</x:v>
      </x:c>
      <x:c r="L134" s="48" t="str">
        <x:f>_xlfn.XLOOKUP($A134&amp;"|"&amp;$G134,'試行能力狀態'!$L$7:$L$258,'試行能力狀態'!$E$7:$E$258,"未評估",0)</x:f>
        <x:v>◎</x:v>
      </x:c>
      <x:c r="M134" s="48" t="str">
        <x:f>_xlfn.XLOOKUP($A134&amp;"|"&amp;$G134,'試行能力狀態'!$L$7:$L$258,'試行能力狀態'!$F$7:$F$258,"未建立",0)</x:f>
        <x:v>待主管核定</x:v>
      </x:c>
      <x:c r="N134" s="48" t="str">
        <x:f>IF($L134="◎","符合獨立",IF($L134="Ø","符合條件","不符合"))</x:f>
        <x:v>符合獨立</x:v>
      </x:c>
      <x:c r="O134" s="48" t="str">
        <x:f>_xlfn.XLOOKUP($A134&amp;"|李侑津醫師",'試行熟悉度'!$K$7:$K$20,'試行熟悉度'!$E$7:$E$20,"未評估",0)</x:f>
        <x:v>可獨立配合</x:v>
      </x:c>
      <x:c r="P134" s="48" t="str">
        <x:f>_xlfn.XLOOKUP($A134&amp;"|李侑津醫師",'試行熟悉度'!$K$7:$K$20,'試行熟悉度'!$F$7:$F$20,"未建立",0)</x:f>
        <x:v>待主管核定</x:v>
      </x:c>
      <x:c r="Q134" s="39" t="str">
        <x:v>確認後才納入自動判定</x:v>
      </x:c>
    </x:row>
    <x:row r="135">
      <x:c r="A135" s="37" t="str">
        <x:v>1013</x:v>
      </x:c>
      <x:c r="B135" s="37" t="str"/>
      <x:c r="C135" s="37" t="str">
        <x:v>LJT-CROWN</x:v>
      </x:c>
      <x:c r="D135" s="37" t="str">
        <x:v>固定假牙</x:v>
      </x:c>
      <x:c r="E135" s="37" t="str">
        <x:v>一般</x:v>
      </x:c>
      <x:c r="F135" s="37" t="str">
        <x:v>一般</x:v>
      </x:c>
      <x:c r="G135" s="37" t="str">
        <x:v>LJT-PREP-CROWN</x:v>
      </x:c>
      <x:c r="H135" s="37" t="str">
        <x:v>必備</x:v>
      </x:c>
      <x:c r="I135" s="37" t="str">
        <x:f>_xlfn.XLOOKUP($C135&amp;"|"&amp;$G135,'李醫師能力要求'!$M$7:$M$59,'李醫師能力要求'!$K$7:$K$59,"待確認",0)</x:f>
        <x:v>已確認</x:v>
      </x:c>
      <x:c r="J135" s="37" t="str">
        <x:v>◎</x:v>
      </x:c>
      <x:c r="K135" s="37" t="str">
        <x:v>Ø</x:v>
      </x:c>
      <x:c r="L135" s="48" t="str">
        <x:f>_xlfn.XLOOKUP($A135&amp;"|"&amp;$G135,'試行能力狀態'!$L$7:$L$258,'試行能力狀態'!$E$7:$E$258,"未評估",0)</x:f>
        <x:v>◎</x:v>
      </x:c>
      <x:c r="M135" s="48" t="str">
        <x:f>_xlfn.XLOOKUP($A135&amp;"|"&amp;$G135,'試行能力狀態'!$L$7:$L$258,'試行能力狀態'!$F$7:$F$258,"未建立",0)</x:f>
        <x:v>待主管核定</x:v>
      </x:c>
      <x:c r="N135" s="48" t="str">
        <x:f>IF($L135="◎","符合獨立",IF($L135="Ø","符合條件","不符合"))</x:f>
        <x:v>符合獨立</x:v>
      </x:c>
      <x:c r="O135" s="48" t="str">
        <x:f>_xlfn.XLOOKUP($A135&amp;"|李侑津醫師",'試行熟悉度'!$K$7:$K$20,'試行熟悉度'!$E$7:$E$20,"未評估",0)</x:f>
        <x:v>可獨立配合</x:v>
      </x:c>
      <x:c r="P135" s="48" t="str">
        <x:f>_xlfn.XLOOKUP($A135&amp;"|李侑津醫師",'試行熟悉度'!$K$7:$K$20,'試行熟悉度'!$F$7:$F$20,"未建立",0)</x:f>
        <x:v>待主管核定</x:v>
      </x:c>
      <x:c r="Q135" s="39" t="str">
        <x:v>依一般支援名額</x:v>
      </x:c>
    </x:row>
    <x:row r="136">
      <x:c r="A136" s="37" t="str">
        <x:v>1013</x:v>
      </x:c>
      <x:c r="B136" s="37" t="str"/>
      <x:c r="C136" s="37" t="str">
        <x:v>LJT-CROWN</x:v>
      </x:c>
      <x:c r="D136" s="37" t="str">
        <x:v>固定假牙</x:v>
      </x:c>
      <x:c r="E136" s="37" t="str">
        <x:v>一般</x:v>
      </x:c>
      <x:c r="F136" s="37" t="str">
        <x:v>一般</x:v>
      </x:c>
      <x:c r="G136" s="37" t="str">
        <x:v>COMMON-RECORD</x:v>
      </x:c>
      <x:c r="H136" s="37" t="str">
        <x:v>待確認</x:v>
      </x:c>
      <x:c r="I136" s="37" t="str">
        <x:f>_xlfn.XLOOKUP($C136&amp;"|"&amp;$G136,'李醫師能力要求'!$M$7:$M$59,'李醫師能力要求'!$K$7:$K$59,"待確認",0)</x:f>
        <x:v>待確認</x:v>
      </x:c>
      <x:c r="J136" s="37" t="str">
        <x:v>◎</x:v>
      </x:c>
      <x:c r="K136" s="37" t="str">
        <x:v>Ø</x:v>
      </x:c>
      <x:c r="L136" s="48" t="str">
        <x:f>_xlfn.XLOOKUP($A136&amp;"|"&amp;$G136,'試行能力狀態'!$L$7:$L$258,'試行能力狀態'!$E$7:$E$258,"未評估",0)</x:f>
        <x:v>◎</x:v>
      </x:c>
      <x:c r="M136" s="48" t="str">
        <x:f>_xlfn.XLOOKUP($A136&amp;"|"&amp;$G136,'試行能力狀態'!$L$7:$L$258,'試行能力狀態'!$F$7:$F$258,"未建立",0)</x:f>
        <x:v>待主管核定</x:v>
      </x:c>
      <x:c r="N136" s="48" t="str">
        <x:f>IF($L136="◎","符合獨立",IF($L136="Ø","符合條件","不符合"))</x:f>
        <x:v>符合獨立</x:v>
      </x:c>
      <x:c r="O136" s="48" t="str">
        <x:f>_xlfn.XLOOKUP($A136&amp;"|李侑津醫師",'試行熟悉度'!$K$7:$K$20,'試行熟悉度'!$E$7:$E$20,"未評估",0)</x:f>
        <x:v>可獨立配合</x:v>
      </x:c>
      <x:c r="P136" s="48" t="str">
        <x:f>_xlfn.XLOOKUP($A136&amp;"|李侑津醫師",'試行熟悉度'!$K$7:$K$20,'試行熟悉度'!$F$7:$F$20,"未建立",0)</x:f>
        <x:v>待主管核定</x:v>
      </x:c>
      <x:c r="Q136" s="39" t="str">
        <x:v>確認後才納入自動判定</x:v>
      </x:c>
    </x:row>
    <x:row r="137">
      <x:c r="A137" s="37" t="str">
        <x:v>1013</x:v>
      </x:c>
      <x:c r="B137" s="37" t="str"/>
      <x:c r="C137" s="37" t="str">
        <x:v>LJT-CROWN</x:v>
      </x:c>
      <x:c r="D137" s="37" t="str">
        <x:v>固定假牙</x:v>
      </x:c>
      <x:c r="E137" s="37" t="str">
        <x:v>一般</x:v>
      </x:c>
      <x:c r="F137" s="37" t="str">
        <x:v>一般</x:v>
      </x:c>
      <x:c r="G137" s="37" t="str">
        <x:v>COMMON-INSURANCE</x:v>
      </x:c>
      <x:c r="H137" s="37" t="str">
        <x:v>待確認</x:v>
      </x:c>
      <x:c r="I137" s="37" t="str">
        <x:f>_xlfn.XLOOKUP($C137&amp;"|"&amp;$G137,'李醫師能力要求'!$M$7:$M$59,'李醫師能力要求'!$K$7:$K$59,"待確認",0)</x:f>
        <x:v>待確認</x:v>
      </x:c>
      <x:c r="J137" s="37" t="str">
        <x:v>◎</x:v>
      </x:c>
      <x:c r="K137" s="37" t="str">
        <x:v>Ø</x:v>
      </x:c>
      <x:c r="L137" s="48" t="str">
        <x:f>_xlfn.XLOOKUP($A137&amp;"|"&amp;$G137,'試行能力狀態'!$L$7:$L$258,'試行能力狀態'!$E$7:$E$258,"未評估",0)</x:f>
        <x:v>◎</x:v>
      </x:c>
      <x:c r="M137" s="48" t="str">
        <x:f>_xlfn.XLOOKUP($A137&amp;"|"&amp;$G137,'試行能力狀態'!$L$7:$L$258,'試行能力狀態'!$F$7:$F$258,"未建立",0)</x:f>
        <x:v>待主管核定</x:v>
      </x:c>
      <x:c r="N137" s="48" t="str">
        <x:f>IF($L137="◎","符合獨立",IF($L137="Ø","符合條件","不符合"))</x:f>
        <x:v>符合獨立</x:v>
      </x:c>
      <x:c r="O137" s="48" t="str">
        <x:f>_xlfn.XLOOKUP($A137&amp;"|李侑津醫師",'試行熟悉度'!$K$7:$K$20,'試行熟悉度'!$E$7:$E$20,"未評估",0)</x:f>
        <x:v>可獨立配合</x:v>
      </x:c>
      <x:c r="P137" s="48" t="str">
        <x:f>_xlfn.XLOOKUP($A137&amp;"|李侑津醫師",'試行熟悉度'!$K$7:$K$20,'試行熟悉度'!$F$7:$F$20,"未建立",0)</x:f>
        <x:v>待主管核定</x:v>
      </x:c>
      <x:c r="Q137" s="39" t="str">
        <x:v>確認後才納入自動判定</x:v>
      </x:c>
    </x:row>
    <x:row r="138">
      <x:c r="A138" s="37" t="str">
        <x:v>1013</x:v>
      </x:c>
      <x:c r="B138" s="37" t="str"/>
      <x:c r="C138" s="37" t="str">
        <x:v>LJT-CROWN</x:v>
      </x:c>
      <x:c r="D138" s="37" t="str">
        <x:v>固定假牙</x:v>
      </x:c>
      <x:c r="E138" s="37" t="str">
        <x:v>一般</x:v>
      </x:c>
      <x:c r="F138" s="37" t="str">
        <x:v>一般</x:v>
      </x:c>
      <x:c r="G138" s="37" t="str">
        <x:v>COMMON-XRAY-RECORD</x:v>
      </x:c>
      <x:c r="H138" s="37" t="str">
        <x:v>待確認</x:v>
      </x:c>
      <x:c r="I138" s="37" t="str">
        <x:f>_xlfn.XLOOKUP($C138&amp;"|"&amp;$G138,'李醫師能力要求'!$M$7:$M$59,'李醫師能力要求'!$K$7:$K$59,"待確認",0)</x:f>
        <x:v>待確認</x:v>
      </x:c>
      <x:c r="J138" s="37" t="str">
        <x:v>◎</x:v>
      </x:c>
      <x:c r="K138" s="37" t="str">
        <x:v>Ø</x:v>
      </x:c>
      <x:c r="L138" s="48" t="str">
        <x:f>_xlfn.XLOOKUP($A138&amp;"|"&amp;$G138,'試行能力狀態'!$L$7:$L$258,'試行能力狀態'!$E$7:$E$258,"未評估",0)</x:f>
        <x:v>◎</x:v>
      </x:c>
      <x:c r="M138" s="48" t="str">
        <x:f>_xlfn.XLOOKUP($A138&amp;"|"&amp;$G138,'試行能力狀態'!$L$7:$L$258,'試行能力狀態'!$F$7:$F$258,"未建立",0)</x:f>
        <x:v>待主管核定</x:v>
      </x:c>
      <x:c r="N138" s="48" t="str">
        <x:f>IF($L138="◎","符合獨立",IF($L138="Ø","符合條件","不符合"))</x:f>
        <x:v>符合獨立</x:v>
      </x:c>
      <x:c r="O138" s="48" t="str">
        <x:f>_xlfn.XLOOKUP($A138&amp;"|李侑津醫師",'試行熟悉度'!$K$7:$K$20,'試行熟悉度'!$E$7:$E$20,"未評估",0)</x:f>
        <x:v>可獨立配合</x:v>
      </x:c>
      <x:c r="P138" s="48" t="str">
        <x:f>_xlfn.XLOOKUP($A138&amp;"|李侑津醫師",'試行熟悉度'!$K$7:$K$20,'試行熟悉度'!$F$7:$F$20,"未建立",0)</x:f>
        <x:v>待主管核定</x:v>
      </x:c>
      <x:c r="Q138" s="39" t="str">
        <x:v>確認後才納入自動判定</x:v>
      </x:c>
    </x:row>
    <x:row r="139">
      <x:c r="A139" s="37" t="str">
        <x:v>1013</x:v>
      </x:c>
      <x:c r="B139" s="37" t="str"/>
      <x:c r="C139" s="37" t="str">
        <x:v>LJT-RPD</x:v>
      </x:c>
      <x:c r="D139" s="37" t="str">
        <x:v>RPD</x:v>
      </x:c>
      <x:c r="E139" s="37" t="str">
        <x:v>一般步驟</x:v>
      </x:c>
      <x:c r="F139" s="37" t="str">
        <x:v>一般</x:v>
      </x:c>
      <x:c r="G139" s="37" t="str">
        <x:v>LJT-PREP-RPD</x:v>
      </x:c>
      <x:c r="H139" s="37" t="str">
        <x:v>必備</x:v>
      </x:c>
      <x:c r="I139" s="37" t="str">
        <x:f>_xlfn.XLOOKUP($C139&amp;"|"&amp;$G139,'李醫師能力要求'!$M$7:$M$59,'李醫師能力要求'!$K$7:$K$59,"待確認",0)</x:f>
        <x:v>已確認</x:v>
      </x:c>
      <x:c r="J139" s="37" t="str">
        <x:v>◎</x:v>
      </x:c>
      <x:c r="K139" s="37" t="str">
        <x:v>Ø</x:v>
      </x:c>
      <x:c r="L139" s="48" t="str">
        <x:f>_xlfn.XLOOKUP($A139&amp;"|"&amp;$G139,'試行能力狀態'!$L$7:$L$258,'試行能力狀態'!$E$7:$E$258,"未評估",0)</x:f>
        <x:v>◎</x:v>
      </x:c>
      <x:c r="M139" s="48" t="str">
        <x:f>_xlfn.XLOOKUP($A139&amp;"|"&amp;$G139,'試行能力狀態'!$L$7:$L$258,'試行能力狀態'!$F$7:$F$258,"未建立",0)</x:f>
        <x:v>待主管核定</x:v>
      </x:c>
      <x:c r="N139" s="48" t="str">
        <x:f>IF($L139="◎","符合獨立",IF($L139="Ø","符合條件","不符合"))</x:f>
        <x:v>符合獨立</x:v>
      </x:c>
      <x:c r="O139" s="48" t="str">
        <x:f>_xlfn.XLOOKUP($A139&amp;"|李侑津醫師",'試行熟悉度'!$K$7:$K$20,'試行熟悉度'!$E$7:$E$20,"未評估",0)</x:f>
        <x:v>可獨立配合</x:v>
      </x:c>
      <x:c r="P139" s="48" t="str">
        <x:f>_xlfn.XLOOKUP($A139&amp;"|李侑津醫師",'試行熟悉度'!$K$7:$K$20,'試行熟悉度'!$F$7:$F$20,"未建立",0)</x:f>
        <x:v>待主管核定</x:v>
      </x:c>
      <x:c r="Q139" s="39" t="str">
        <x:v>依一般支援名額</x:v>
      </x:c>
    </x:row>
    <x:row r="140">
      <x:c r="A140" s="37" t="str">
        <x:v>1013</x:v>
      </x:c>
      <x:c r="B140" s="37" t="str"/>
      <x:c r="C140" s="37" t="str">
        <x:v>LJT-RPD</x:v>
      </x:c>
      <x:c r="D140" s="37" t="str">
        <x:v>RPD</x:v>
      </x:c>
      <x:c r="E140" s="37" t="str">
        <x:v>一般步驟</x:v>
      </x:c>
      <x:c r="F140" s="37" t="str">
        <x:v>一般</x:v>
      </x:c>
      <x:c r="G140" s="37" t="str">
        <x:v>COMMON-RECORD</x:v>
      </x:c>
      <x:c r="H140" s="37" t="str">
        <x:v>待確認</x:v>
      </x:c>
      <x:c r="I140" s="37" t="str">
        <x:f>_xlfn.XLOOKUP($C140&amp;"|"&amp;$G140,'李醫師能力要求'!$M$7:$M$59,'李醫師能力要求'!$K$7:$K$59,"待確認",0)</x:f>
        <x:v>待確認</x:v>
      </x:c>
      <x:c r="J140" s="37" t="str">
        <x:v>◎</x:v>
      </x:c>
      <x:c r="K140" s="37" t="str">
        <x:v>Ø</x:v>
      </x:c>
      <x:c r="L140" s="48" t="str">
        <x:f>_xlfn.XLOOKUP($A140&amp;"|"&amp;$G140,'試行能力狀態'!$L$7:$L$258,'試行能力狀態'!$E$7:$E$258,"未評估",0)</x:f>
        <x:v>◎</x:v>
      </x:c>
      <x:c r="M140" s="48" t="str">
        <x:f>_xlfn.XLOOKUP($A140&amp;"|"&amp;$G140,'試行能力狀態'!$L$7:$L$258,'試行能力狀態'!$F$7:$F$258,"未建立",0)</x:f>
        <x:v>待主管核定</x:v>
      </x:c>
      <x:c r="N140" s="48" t="str">
        <x:f>IF($L140="◎","符合獨立",IF($L140="Ø","符合條件","不符合"))</x:f>
        <x:v>符合獨立</x:v>
      </x:c>
      <x:c r="O140" s="48" t="str">
        <x:f>_xlfn.XLOOKUP($A140&amp;"|李侑津醫師",'試行熟悉度'!$K$7:$K$20,'試行熟悉度'!$E$7:$E$20,"未評估",0)</x:f>
        <x:v>可獨立配合</x:v>
      </x:c>
      <x:c r="P140" s="48" t="str">
        <x:f>_xlfn.XLOOKUP($A140&amp;"|李侑津醫師",'試行熟悉度'!$K$7:$K$20,'試行熟悉度'!$F$7:$F$20,"未建立",0)</x:f>
        <x:v>待主管核定</x:v>
      </x:c>
      <x:c r="Q140" s="39" t="str">
        <x:v>確認後才納入自動判定</x:v>
      </x:c>
    </x:row>
    <x:row r="141">
      <x:c r="A141" s="37" t="str">
        <x:v>1013</x:v>
      </x:c>
      <x:c r="B141" s="37" t="str"/>
      <x:c r="C141" s="37" t="str">
        <x:v>LJT-RPD</x:v>
      </x:c>
      <x:c r="D141" s="37" t="str">
        <x:v>RPD</x:v>
      </x:c>
      <x:c r="E141" s="37" t="str">
        <x:v>一般步驟</x:v>
      </x:c>
      <x:c r="F141" s="37" t="str">
        <x:v>一般</x:v>
      </x:c>
      <x:c r="G141" s="37" t="str">
        <x:v>COMMON-INSURANCE</x:v>
      </x:c>
      <x:c r="H141" s="37" t="str">
        <x:v>待確認</x:v>
      </x:c>
      <x:c r="I141" s="37" t="str">
        <x:f>_xlfn.XLOOKUP($C141&amp;"|"&amp;$G141,'李醫師能力要求'!$M$7:$M$59,'李醫師能力要求'!$K$7:$K$59,"待確認",0)</x:f>
        <x:v>待確認</x:v>
      </x:c>
      <x:c r="J141" s="37" t="str">
        <x:v>◎</x:v>
      </x:c>
      <x:c r="K141" s="37" t="str">
        <x:v>Ø</x:v>
      </x:c>
      <x:c r="L141" s="48" t="str">
        <x:f>_xlfn.XLOOKUP($A141&amp;"|"&amp;$G141,'試行能力狀態'!$L$7:$L$258,'試行能力狀態'!$E$7:$E$258,"未評估",0)</x:f>
        <x:v>◎</x:v>
      </x:c>
      <x:c r="M141" s="48" t="str">
        <x:f>_xlfn.XLOOKUP($A141&amp;"|"&amp;$G141,'試行能力狀態'!$L$7:$L$258,'試行能力狀態'!$F$7:$F$258,"未建立",0)</x:f>
        <x:v>待主管核定</x:v>
      </x:c>
      <x:c r="N141" s="48" t="str">
        <x:f>IF($L141="◎","符合獨立",IF($L141="Ø","符合條件","不符合"))</x:f>
        <x:v>符合獨立</x:v>
      </x:c>
      <x:c r="O141" s="48" t="str">
        <x:f>_xlfn.XLOOKUP($A141&amp;"|李侑津醫師",'試行熟悉度'!$K$7:$K$20,'試行熟悉度'!$E$7:$E$20,"未評估",0)</x:f>
        <x:v>可獨立配合</x:v>
      </x:c>
      <x:c r="P141" s="48" t="str">
        <x:f>_xlfn.XLOOKUP($A141&amp;"|李侑津醫師",'試行熟悉度'!$K$7:$K$20,'試行熟悉度'!$F$7:$F$20,"未建立",0)</x:f>
        <x:v>待主管核定</x:v>
      </x:c>
      <x:c r="Q141" s="39" t="str">
        <x:v>確認後才納入自動判定</x:v>
      </x:c>
    </x:row>
    <x:row r="142">
      <x:c r="A142" s="37" t="str">
        <x:v>1013</x:v>
      </x:c>
      <x:c r="B142" s="37" t="str"/>
      <x:c r="C142" s="37" t="str">
        <x:v>LJT-RPD</x:v>
      </x:c>
      <x:c r="D142" s="37" t="str">
        <x:v>RPD</x:v>
      </x:c>
      <x:c r="E142" s="37" t="str">
        <x:v>一般步驟</x:v>
      </x:c>
      <x:c r="F142" s="37" t="str">
        <x:v>一般</x:v>
      </x:c>
      <x:c r="G142" s="37" t="str">
        <x:v>COMMON-XRAY-RECORD</x:v>
      </x:c>
      <x:c r="H142" s="37" t="str">
        <x:v>待確認</x:v>
      </x:c>
      <x:c r="I142" s="37" t="str">
        <x:f>_xlfn.XLOOKUP($C142&amp;"|"&amp;$G142,'李醫師能力要求'!$M$7:$M$59,'李醫師能力要求'!$K$7:$K$59,"待確認",0)</x:f>
        <x:v>待確認</x:v>
      </x:c>
      <x:c r="J142" s="37" t="str">
        <x:v>◎</x:v>
      </x:c>
      <x:c r="K142" s="37" t="str">
        <x:v>Ø</x:v>
      </x:c>
      <x:c r="L142" s="48" t="str">
        <x:f>_xlfn.XLOOKUP($A142&amp;"|"&amp;$G142,'試行能力狀態'!$L$7:$L$258,'試行能力狀態'!$E$7:$E$258,"未評估",0)</x:f>
        <x:v>◎</x:v>
      </x:c>
      <x:c r="M142" s="48" t="str">
        <x:f>_xlfn.XLOOKUP($A142&amp;"|"&amp;$G142,'試行能力狀態'!$L$7:$L$258,'試行能力狀態'!$F$7:$F$258,"未建立",0)</x:f>
        <x:v>待主管核定</x:v>
      </x:c>
      <x:c r="N142" s="48" t="str">
        <x:f>IF($L142="◎","符合獨立",IF($L142="Ø","符合條件","不符合"))</x:f>
        <x:v>符合獨立</x:v>
      </x:c>
      <x:c r="O142" s="48" t="str">
        <x:f>_xlfn.XLOOKUP($A142&amp;"|李侑津醫師",'試行熟悉度'!$K$7:$K$20,'試行熟悉度'!$E$7:$E$20,"未評估",0)</x:f>
        <x:v>可獨立配合</x:v>
      </x:c>
      <x:c r="P142" s="48" t="str">
        <x:f>_xlfn.XLOOKUP($A142&amp;"|李侑津醫師",'試行熟悉度'!$K$7:$K$20,'試行熟悉度'!$F$7:$F$20,"未建立",0)</x:f>
        <x:v>待主管核定</x:v>
      </x:c>
      <x:c r="Q142" s="39" t="str">
        <x:v>確認後才納入自動判定</x:v>
      </x:c>
    </x:row>
    <x:row r="143">
      <x:c r="A143" s="37" t="str">
        <x:v>1013</x:v>
      </x:c>
      <x:c r="B143" s="37" t="str"/>
      <x:c r="C143" s="37" t="str">
        <x:v>LJT-RPD-FINAL</x:v>
      </x:c>
      <x:c r="D143" s="37" t="str">
        <x:v>RPD</x:v>
      </x:c>
      <x:c r="E143" s="37" t="str">
        <x:v>印最終模</x:v>
      </x:c>
      <x:c r="F143" s="37" t="str">
        <x:v>特殊階段</x:v>
      </x:c>
      <x:c r="G143" s="37" t="str">
        <x:v>LJT-PREP-RPD</x:v>
      </x:c>
      <x:c r="H143" s="37" t="str">
        <x:v>必備</x:v>
      </x:c>
      <x:c r="I143" s="37" t="str">
        <x:f>_xlfn.XLOOKUP($C143&amp;"|"&amp;$G143,'李醫師能力要求'!$M$7:$M$59,'李醫師能力要求'!$K$7:$K$59,"待確認",0)</x:f>
        <x:v>已確認</x:v>
      </x:c>
      <x:c r="J143" s="37" t="str">
        <x:v>◎</x:v>
      </x:c>
      <x:c r="K143" s="37" t="str">
        <x:v>Ø</x:v>
      </x:c>
      <x:c r="L143" s="48" t="str">
        <x:f>_xlfn.XLOOKUP($A143&amp;"|"&amp;$G143,'試行能力狀態'!$L$7:$L$258,'試行能力狀態'!$E$7:$E$258,"未評估",0)</x:f>
        <x:v>◎</x:v>
      </x:c>
      <x:c r="M143" s="48" t="str">
        <x:f>_xlfn.XLOOKUP($A143&amp;"|"&amp;$G143,'試行能力狀態'!$L$7:$L$258,'試行能力狀態'!$F$7:$F$258,"未建立",0)</x:f>
        <x:v>待主管核定</x:v>
      </x:c>
      <x:c r="N143" s="48" t="str">
        <x:f>IF($L143="◎","符合獨立",IF($L143="Ø","符合條件","不符合"))</x:f>
        <x:v>符合獨立</x:v>
      </x:c>
      <x:c r="O143" s="48" t="str">
        <x:f>_xlfn.XLOOKUP($A143&amp;"|李侑津醫師",'試行熟悉度'!$K$7:$K$20,'試行熟悉度'!$E$7:$E$20,"未評估",0)</x:f>
        <x:v>可獨立配合</x:v>
      </x:c>
      <x:c r="P143" s="48" t="str">
        <x:f>_xlfn.XLOOKUP($A143&amp;"|李侑津醫師",'試行熟悉度'!$K$7:$K$20,'試行熟悉度'!$F$7:$F$20,"未建立",0)</x:f>
        <x:v>待主管核定</x:v>
      </x:c>
      <x:c r="Q143" s="39" t="str">
        <x:v>依一般支援名額</x:v>
      </x:c>
    </x:row>
    <x:row r="144">
      <x:c r="A144" s="37" t="str">
        <x:v>1013</x:v>
      </x:c>
      <x:c r="B144" s="37" t="str"/>
      <x:c r="C144" s="37" t="str">
        <x:v>LJT-RPD-FINAL</x:v>
      </x:c>
      <x:c r="D144" s="37" t="str">
        <x:v>RPD</x:v>
      </x:c>
      <x:c r="E144" s="37" t="str">
        <x:v>印最終模</x:v>
      </x:c>
      <x:c r="F144" s="37" t="str">
        <x:v>特殊階段</x:v>
      </x:c>
      <x:c r="G144" s="37" t="str">
        <x:v>COMMON-RECORD</x:v>
      </x:c>
      <x:c r="H144" s="37" t="str">
        <x:v>待確認</x:v>
      </x:c>
      <x:c r="I144" s="37" t="str">
        <x:f>_xlfn.XLOOKUP($C144&amp;"|"&amp;$G144,'李醫師能力要求'!$M$7:$M$59,'李醫師能力要求'!$K$7:$K$59,"待確認",0)</x:f>
        <x:v>待確認</x:v>
      </x:c>
      <x:c r="J144" s="37" t="str">
        <x:v>◎</x:v>
      </x:c>
      <x:c r="K144" s="37" t="str">
        <x:v>Ø</x:v>
      </x:c>
      <x:c r="L144" s="48" t="str">
        <x:f>_xlfn.XLOOKUP($A144&amp;"|"&amp;$G144,'試行能力狀態'!$L$7:$L$258,'試行能力狀態'!$E$7:$E$258,"未評估",0)</x:f>
        <x:v>◎</x:v>
      </x:c>
      <x:c r="M144" s="48" t="str">
        <x:f>_xlfn.XLOOKUP($A144&amp;"|"&amp;$G144,'試行能力狀態'!$L$7:$L$258,'試行能力狀態'!$F$7:$F$258,"未建立",0)</x:f>
        <x:v>待主管核定</x:v>
      </x:c>
      <x:c r="N144" s="48" t="str">
        <x:f>IF($L144="◎","符合獨立",IF($L144="Ø","符合條件","不符合"))</x:f>
        <x:v>符合獨立</x:v>
      </x:c>
      <x:c r="O144" s="48" t="str">
        <x:f>_xlfn.XLOOKUP($A144&amp;"|李侑津醫師",'試行熟悉度'!$K$7:$K$20,'試行熟悉度'!$E$7:$E$20,"未評估",0)</x:f>
        <x:v>可獨立配合</x:v>
      </x:c>
      <x:c r="P144" s="48" t="str">
        <x:f>_xlfn.XLOOKUP($A144&amp;"|李侑津醫師",'試行熟悉度'!$K$7:$K$20,'試行熟悉度'!$F$7:$F$20,"未建立",0)</x:f>
        <x:v>待主管核定</x:v>
      </x:c>
      <x:c r="Q144" s="39" t="str">
        <x:v>確認後才納入自動判定</x:v>
      </x:c>
    </x:row>
    <x:row r="145">
      <x:c r="A145" s="37" t="str">
        <x:v>1013</x:v>
      </x:c>
      <x:c r="B145" s="37" t="str"/>
      <x:c r="C145" s="37" t="str">
        <x:v>LJT-RPD-FINAL</x:v>
      </x:c>
      <x:c r="D145" s="37" t="str">
        <x:v>RPD</x:v>
      </x:c>
      <x:c r="E145" s="37" t="str">
        <x:v>印最終模</x:v>
      </x:c>
      <x:c r="F145" s="37" t="str">
        <x:v>特殊階段</x:v>
      </x:c>
      <x:c r="G145" s="37" t="str">
        <x:v>COMMON-INSURANCE</x:v>
      </x:c>
      <x:c r="H145" s="37" t="str">
        <x:v>待確認</x:v>
      </x:c>
      <x:c r="I145" s="37" t="str">
        <x:f>_xlfn.XLOOKUP($C145&amp;"|"&amp;$G145,'李醫師能力要求'!$M$7:$M$59,'李醫師能力要求'!$K$7:$K$59,"待確認",0)</x:f>
        <x:v>待確認</x:v>
      </x:c>
      <x:c r="J145" s="37" t="str">
        <x:v>◎</x:v>
      </x:c>
      <x:c r="K145" s="37" t="str">
        <x:v>Ø</x:v>
      </x:c>
      <x:c r="L145" s="48" t="str">
        <x:f>_xlfn.XLOOKUP($A145&amp;"|"&amp;$G145,'試行能力狀態'!$L$7:$L$258,'試行能力狀態'!$E$7:$E$258,"未評估",0)</x:f>
        <x:v>◎</x:v>
      </x:c>
      <x:c r="M145" s="48" t="str">
        <x:f>_xlfn.XLOOKUP($A145&amp;"|"&amp;$G145,'試行能力狀態'!$L$7:$L$258,'試行能力狀態'!$F$7:$F$258,"未建立",0)</x:f>
        <x:v>待主管核定</x:v>
      </x:c>
      <x:c r="N145" s="48" t="str">
        <x:f>IF($L145="◎","符合獨立",IF($L145="Ø","符合條件","不符合"))</x:f>
        <x:v>符合獨立</x:v>
      </x:c>
      <x:c r="O145" s="48" t="str">
        <x:f>_xlfn.XLOOKUP($A145&amp;"|李侑津醫師",'試行熟悉度'!$K$7:$K$20,'試行熟悉度'!$E$7:$E$20,"未評估",0)</x:f>
        <x:v>可獨立配合</x:v>
      </x:c>
      <x:c r="P145" s="48" t="str">
        <x:f>_xlfn.XLOOKUP($A145&amp;"|李侑津醫師",'試行熟悉度'!$K$7:$K$20,'試行熟悉度'!$F$7:$F$20,"未建立",0)</x:f>
        <x:v>待主管核定</x:v>
      </x:c>
      <x:c r="Q145" s="39" t="str">
        <x:v>確認後才納入自動判定</x:v>
      </x:c>
    </x:row>
    <x:row r="146">
      <x:c r="A146" s="37" t="str">
        <x:v>1013</x:v>
      </x:c>
      <x:c r="B146" s="37" t="str"/>
      <x:c r="C146" s="37" t="str">
        <x:v>LJT-RPD-FINAL</x:v>
      </x:c>
      <x:c r="D146" s="37" t="str">
        <x:v>RPD</x:v>
      </x:c>
      <x:c r="E146" s="37" t="str">
        <x:v>印最終模</x:v>
      </x:c>
      <x:c r="F146" s="37" t="str">
        <x:v>特殊階段</x:v>
      </x:c>
      <x:c r="G146" s="37" t="str">
        <x:v>COMMON-XRAY-RECORD</x:v>
      </x:c>
      <x:c r="H146" s="37" t="str">
        <x:v>待確認</x:v>
      </x:c>
      <x:c r="I146" s="37" t="str">
        <x:f>_xlfn.XLOOKUP($C146&amp;"|"&amp;$G146,'李醫師能力要求'!$M$7:$M$59,'李醫師能力要求'!$K$7:$K$59,"待確認",0)</x:f>
        <x:v>待確認</x:v>
      </x:c>
      <x:c r="J146" s="37" t="str">
        <x:v>◎</x:v>
      </x:c>
      <x:c r="K146" s="37" t="str">
        <x:v>Ø</x:v>
      </x:c>
      <x:c r="L146" s="48" t="str">
        <x:f>_xlfn.XLOOKUP($A146&amp;"|"&amp;$G146,'試行能力狀態'!$L$7:$L$258,'試行能力狀態'!$E$7:$E$258,"未評估",0)</x:f>
        <x:v>◎</x:v>
      </x:c>
      <x:c r="M146" s="48" t="str">
        <x:f>_xlfn.XLOOKUP($A146&amp;"|"&amp;$G146,'試行能力狀態'!$L$7:$L$258,'試行能力狀態'!$F$7:$F$258,"未建立",0)</x:f>
        <x:v>待主管核定</x:v>
      </x:c>
      <x:c r="N146" s="48" t="str">
        <x:f>IF($L146="◎","符合獨立",IF($L146="Ø","符合條件","不符合"))</x:f>
        <x:v>符合獨立</x:v>
      </x:c>
      <x:c r="O146" s="48" t="str">
        <x:f>_xlfn.XLOOKUP($A146&amp;"|李侑津醫師",'試行熟悉度'!$K$7:$K$20,'試行熟悉度'!$E$7:$E$20,"未評估",0)</x:f>
        <x:v>可獨立配合</x:v>
      </x:c>
      <x:c r="P146" s="48" t="str">
        <x:f>_xlfn.XLOOKUP($A146&amp;"|李侑津醫師",'試行熟悉度'!$K$7:$K$20,'試行熟悉度'!$F$7:$F$20,"未建立",0)</x:f>
        <x:v>待主管核定</x:v>
      </x:c>
      <x:c r="Q146" s="39" t="str">
        <x:v>確認後才納入自動判定</x:v>
      </x:c>
    </x:row>
    <x:row r="147">
      <x:c r="A147" s="37" t="str">
        <x:v>1013</x:v>
      </x:c>
      <x:c r="B147" s="37" t="str"/>
      <x:c r="C147" s="37" t="str">
        <x:v>LJT-AIRPOLISH</x:v>
      </x:c>
      <x:c r="D147" s="37" t="str">
        <x:v>噴砂美白</x:v>
      </x:c>
      <x:c r="E147" s="37" t="str">
        <x:v>一般</x:v>
      </x:c>
      <x:c r="F147" s="37" t="str">
        <x:v>一般</x:v>
      </x:c>
      <x:c r="G147" s="37" t="str">
        <x:v>LJT-PREP-AIRPOLISH</x:v>
      </x:c>
      <x:c r="H147" s="37" t="str">
        <x:v>必備</x:v>
      </x:c>
      <x:c r="I147" s="37" t="str">
        <x:f>_xlfn.XLOOKUP($C147&amp;"|"&amp;$G147,'李醫師能力要求'!$M$7:$M$59,'李醫師能力要求'!$K$7:$K$59,"待確認",0)</x:f>
        <x:v>已確認</x:v>
      </x:c>
      <x:c r="J147" s="37" t="str">
        <x:v>◎</x:v>
      </x:c>
      <x:c r="K147" s="37" t="str">
        <x:v>Ø</x:v>
      </x:c>
      <x:c r="L147" s="48" t="str">
        <x:f>_xlfn.XLOOKUP($A147&amp;"|"&amp;$G147,'試行能力狀態'!$L$7:$L$258,'試行能力狀態'!$E$7:$E$258,"未評估",0)</x:f>
        <x:v>◎</x:v>
      </x:c>
      <x:c r="M147" s="48" t="str">
        <x:f>_xlfn.XLOOKUP($A147&amp;"|"&amp;$G147,'試行能力狀態'!$L$7:$L$258,'試行能力狀態'!$F$7:$F$258,"未建立",0)</x:f>
        <x:v>待主管核定</x:v>
      </x:c>
      <x:c r="N147" s="48" t="str">
        <x:f>IF($L147="◎","符合獨立",IF($L147="Ø","符合條件","不符合"))</x:f>
        <x:v>符合獨立</x:v>
      </x:c>
      <x:c r="O147" s="48" t="str">
        <x:f>_xlfn.XLOOKUP($A147&amp;"|李侑津醫師",'試行熟悉度'!$K$7:$K$20,'試行熟悉度'!$E$7:$E$20,"未評估",0)</x:f>
        <x:v>可獨立配合</x:v>
      </x:c>
      <x:c r="P147" s="48" t="str">
        <x:f>_xlfn.XLOOKUP($A147&amp;"|李侑津醫師",'試行熟悉度'!$K$7:$K$20,'試行熟悉度'!$F$7:$F$20,"未建立",0)</x:f>
        <x:v>待主管核定</x:v>
      </x:c>
      <x:c r="Q147" s="39" t="str">
        <x:v>依一般支援名額</x:v>
      </x:c>
    </x:row>
    <x:row r="148">
      <x:c r="A148" s="37" t="str">
        <x:v>1013</x:v>
      </x:c>
      <x:c r="B148" s="37" t="str"/>
      <x:c r="C148" s="37" t="str">
        <x:v>LJT-AIRPOLISH</x:v>
      </x:c>
      <x:c r="D148" s="37" t="str">
        <x:v>噴砂美白</x:v>
      </x:c>
      <x:c r="E148" s="37" t="str">
        <x:v>一般</x:v>
      </x:c>
      <x:c r="F148" s="37" t="str">
        <x:v>一般</x:v>
      </x:c>
      <x:c r="G148" s="37" t="str">
        <x:v>COMMON-RECORD</x:v>
      </x:c>
      <x:c r="H148" s="37" t="str">
        <x:v>待確認</x:v>
      </x:c>
      <x:c r="I148" s="37" t="str">
        <x:f>_xlfn.XLOOKUP($C148&amp;"|"&amp;$G148,'李醫師能力要求'!$M$7:$M$59,'李醫師能力要求'!$K$7:$K$59,"待確認",0)</x:f>
        <x:v>待確認</x:v>
      </x:c>
      <x:c r="J148" s="37" t="str">
        <x:v>◎</x:v>
      </x:c>
      <x:c r="K148" s="37" t="str">
        <x:v>Ø</x:v>
      </x:c>
      <x:c r="L148" s="48" t="str">
        <x:f>_xlfn.XLOOKUP($A148&amp;"|"&amp;$G148,'試行能力狀態'!$L$7:$L$258,'試行能力狀態'!$E$7:$E$258,"未評估",0)</x:f>
        <x:v>◎</x:v>
      </x:c>
      <x:c r="M148" s="48" t="str">
        <x:f>_xlfn.XLOOKUP($A148&amp;"|"&amp;$G148,'試行能力狀態'!$L$7:$L$258,'試行能力狀態'!$F$7:$F$258,"未建立",0)</x:f>
        <x:v>待主管核定</x:v>
      </x:c>
      <x:c r="N148" s="48" t="str">
        <x:f>IF($L148="◎","符合獨立",IF($L148="Ø","符合條件","不符合"))</x:f>
        <x:v>符合獨立</x:v>
      </x:c>
      <x:c r="O148" s="48" t="str">
        <x:f>_xlfn.XLOOKUP($A148&amp;"|李侑津醫師",'試行熟悉度'!$K$7:$K$20,'試行熟悉度'!$E$7:$E$20,"未評估",0)</x:f>
        <x:v>可獨立配合</x:v>
      </x:c>
      <x:c r="P148" s="48" t="str">
        <x:f>_xlfn.XLOOKUP($A148&amp;"|李侑津醫師",'試行熟悉度'!$K$7:$K$20,'試行熟悉度'!$F$7:$F$20,"未建立",0)</x:f>
        <x:v>待主管核定</x:v>
      </x:c>
      <x:c r="Q148" s="39" t="str">
        <x:v>確認後才納入自動判定</x:v>
      </x:c>
    </x:row>
    <x:row r="149">
      <x:c r="A149" s="37" t="str">
        <x:v>1013</x:v>
      </x:c>
      <x:c r="B149" s="37" t="str"/>
      <x:c r="C149" s="37" t="str">
        <x:v>LJT-AIRPOLISH</x:v>
      </x:c>
      <x:c r="D149" s="37" t="str">
        <x:v>噴砂美白</x:v>
      </x:c>
      <x:c r="E149" s="37" t="str">
        <x:v>一般</x:v>
      </x:c>
      <x:c r="F149" s="37" t="str">
        <x:v>一般</x:v>
      </x:c>
      <x:c r="G149" s="37" t="str">
        <x:v>COMMON-INSURANCE</x:v>
      </x:c>
      <x:c r="H149" s="37" t="str">
        <x:v>待確認</x:v>
      </x:c>
      <x:c r="I149" s="37" t="str">
        <x:f>_xlfn.XLOOKUP($C149&amp;"|"&amp;$G149,'李醫師能力要求'!$M$7:$M$59,'李醫師能力要求'!$K$7:$K$59,"待確認",0)</x:f>
        <x:v>待確認</x:v>
      </x:c>
      <x:c r="J149" s="37" t="str">
        <x:v>◎</x:v>
      </x:c>
      <x:c r="K149" s="37" t="str">
        <x:v>Ø</x:v>
      </x:c>
      <x:c r="L149" s="48" t="str">
        <x:f>_xlfn.XLOOKUP($A149&amp;"|"&amp;$G149,'試行能力狀態'!$L$7:$L$258,'試行能力狀態'!$E$7:$E$258,"未評估",0)</x:f>
        <x:v>◎</x:v>
      </x:c>
      <x:c r="M149" s="48" t="str">
        <x:f>_xlfn.XLOOKUP($A149&amp;"|"&amp;$G149,'試行能力狀態'!$L$7:$L$258,'試行能力狀態'!$F$7:$F$258,"未建立",0)</x:f>
        <x:v>待主管核定</x:v>
      </x:c>
      <x:c r="N149" s="48" t="str">
        <x:f>IF($L149="◎","符合獨立",IF($L149="Ø","符合條件","不符合"))</x:f>
        <x:v>符合獨立</x:v>
      </x:c>
      <x:c r="O149" s="48" t="str">
        <x:f>_xlfn.XLOOKUP($A149&amp;"|李侑津醫師",'試行熟悉度'!$K$7:$K$20,'試行熟悉度'!$E$7:$E$20,"未評估",0)</x:f>
        <x:v>可獨立配合</x:v>
      </x:c>
      <x:c r="P149" s="48" t="str">
        <x:f>_xlfn.XLOOKUP($A149&amp;"|李侑津醫師",'試行熟悉度'!$K$7:$K$20,'試行熟悉度'!$F$7:$F$20,"未建立",0)</x:f>
        <x:v>待主管核定</x:v>
      </x:c>
      <x:c r="Q149" s="39" t="str">
        <x:v>確認後才納入自動判定</x:v>
      </x:c>
    </x:row>
    <x:row r="150">
      <x:c r="A150" s="37" t="str">
        <x:v>1013</x:v>
      </x:c>
      <x:c r="B150" s="37" t="str"/>
      <x:c r="C150" s="37" t="str">
        <x:v>LJT-AIRPOLISH</x:v>
      </x:c>
      <x:c r="D150" s="37" t="str">
        <x:v>噴砂美白</x:v>
      </x:c>
      <x:c r="E150" s="37" t="str">
        <x:v>一般</x:v>
      </x:c>
      <x:c r="F150" s="37" t="str">
        <x:v>一般</x:v>
      </x:c>
      <x:c r="G150" s="37" t="str">
        <x:v>COMMON-XRAY-RECORD</x:v>
      </x:c>
      <x:c r="H150" s="37" t="str">
        <x:v>待確認</x:v>
      </x:c>
      <x:c r="I150" s="37" t="str">
        <x:f>_xlfn.XLOOKUP($C150&amp;"|"&amp;$G150,'李醫師能力要求'!$M$7:$M$59,'李醫師能力要求'!$K$7:$K$59,"待確認",0)</x:f>
        <x:v>待確認</x:v>
      </x:c>
      <x:c r="J150" s="37" t="str">
        <x:v>◎</x:v>
      </x:c>
      <x:c r="K150" s="37" t="str">
        <x:v>Ø</x:v>
      </x:c>
      <x:c r="L150" s="48" t="str">
        <x:f>_xlfn.XLOOKUP($A150&amp;"|"&amp;$G150,'試行能力狀態'!$L$7:$L$258,'試行能力狀態'!$E$7:$E$258,"未評估",0)</x:f>
        <x:v>◎</x:v>
      </x:c>
      <x:c r="M150" s="48" t="str">
        <x:f>_xlfn.XLOOKUP($A150&amp;"|"&amp;$G150,'試行能力狀態'!$L$7:$L$258,'試行能力狀態'!$F$7:$F$258,"未建立",0)</x:f>
        <x:v>待主管核定</x:v>
      </x:c>
      <x:c r="N150" s="48" t="str">
        <x:f>IF($L150="◎","符合獨立",IF($L150="Ø","符合條件","不符合"))</x:f>
        <x:v>符合獨立</x:v>
      </x:c>
      <x:c r="O150" s="48" t="str">
        <x:f>_xlfn.XLOOKUP($A150&amp;"|李侑津醫師",'試行熟悉度'!$K$7:$K$20,'試行熟悉度'!$E$7:$E$20,"未評估",0)</x:f>
        <x:v>可獨立配合</x:v>
      </x:c>
      <x:c r="P150" s="48" t="str">
        <x:f>_xlfn.XLOOKUP($A150&amp;"|李侑津醫師",'試行熟悉度'!$K$7:$K$20,'試行熟悉度'!$F$7:$F$20,"未建立",0)</x:f>
        <x:v>待主管核定</x:v>
      </x:c>
      <x:c r="Q150" s="39" t="str">
        <x:v>確認後才納入自動判定</x:v>
      </x:c>
    </x:row>
    <x:row r="151">
      <x:c r="A151" s="37" t="str">
        <x:v>1013</x:v>
      </x:c>
      <x:c r="B151" s="37" t="str"/>
      <x:c r="C151" s="37" t="str">
        <x:v>LJT-PERIOSURG</x:v>
      </x:c>
      <x:c r="D151" s="37" t="str">
        <x:v>牙周手術</x:v>
      </x:c>
      <x:c r="E151" s="37" t="str">
        <x:v>一般</x:v>
      </x:c>
      <x:c r="F151" s="37" t="str">
        <x:v>高複雜度</x:v>
      </x:c>
      <x:c r="G151" s="37" t="str">
        <x:v>LJT-PREP-PERIOSURG</x:v>
      </x:c>
      <x:c r="H151" s="37" t="str">
        <x:v>必備</x:v>
      </x:c>
      <x:c r="I151" s="37" t="str">
        <x:f>_xlfn.XLOOKUP($C151&amp;"|"&amp;$G151,'李醫師能力要求'!$M$7:$M$59,'李醫師能力要求'!$K$7:$K$59,"待確認",0)</x:f>
        <x:v>已確認</x:v>
      </x:c>
      <x:c r="J151" s="37" t="str">
        <x:v>◎</x:v>
      </x:c>
      <x:c r="K151" s="37" t="str">
        <x:v>Ø</x:v>
      </x:c>
      <x:c r="L151" s="48" t="str">
        <x:f>_xlfn.XLOOKUP($A151&amp;"|"&amp;$G151,'試行能力狀態'!$L$7:$L$258,'試行能力狀態'!$E$7:$E$258,"未評估",0)</x:f>
        <x:v>◎</x:v>
      </x:c>
      <x:c r="M151" s="48" t="str">
        <x:f>_xlfn.XLOOKUP($A151&amp;"|"&amp;$G151,'試行能力狀態'!$L$7:$L$258,'試行能力狀態'!$F$7:$F$258,"未建立",0)</x:f>
        <x:v>待主管核定</x:v>
      </x:c>
      <x:c r="N151" s="48" t="str">
        <x:f>IF($L151="◎","符合獨立",IF($L151="Ø","符合條件","不符合"))</x:f>
        <x:v>符合獨立</x:v>
      </x:c>
      <x:c r="O151" s="48" t="str">
        <x:f>_xlfn.XLOOKUP($A151&amp;"|李侑津醫師",'試行熟悉度'!$K$7:$K$20,'試行熟悉度'!$E$7:$E$20,"未評估",0)</x:f>
        <x:v>可獨立配合</x:v>
      </x:c>
      <x:c r="P151" s="48" t="str">
        <x:f>_xlfn.XLOOKUP($A151&amp;"|李侑津醫師",'試行熟悉度'!$K$7:$K$20,'試行熟悉度'!$F$7:$F$20,"未建立",0)</x:f>
        <x:v>待主管核定</x:v>
      </x:c>
      <x:c r="Q151" s="39" t="str">
        <x:v>Ø 時完整支援者 1:1</x:v>
      </x:c>
    </x:row>
    <x:row r="152">
      <x:c r="A152" s="37" t="str">
        <x:v>1013</x:v>
      </x:c>
      <x:c r="B152" s="37" t="str"/>
      <x:c r="C152" s="37" t="str">
        <x:v>LJT-PERIOSURG</x:v>
      </x:c>
      <x:c r="D152" s="37" t="str">
        <x:v>牙周手術</x:v>
      </x:c>
      <x:c r="E152" s="37" t="str">
        <x:v>一般</x:v>
      </x:c>
      <x:c r="F152" s="37" t="str">
        <x:v>高複雜度</x:v>
      </x:c>
      <x:c r="G152" s="37" t="str">
        <x:v>COMMON-RECORD</x:v>
      </x:c>
      <x:c r="H152" s="37" t="str">
        <x:v>待確認</x:v>
      </x:c>
      <x:c r="I152" s="37" t="str">
        <x:f>_xlfn.XLOOKUP($C152&amp;"|"&amp;$G152,'李醫師能力要求'!$M$7:$M$59,'李醫師能力要求'!$K$7:$K$59,"待確認",0)</x:f>
        <x:v>待確認</x:v>
      </x:c>
      <x:c r="J152" s="37" t="str">
        <x:v>◎</x:v>
      </x:c>
      <x:c r="K152" s="37" t="str">
        <x:v>Ø</x:v>
      </x:c>
      <x:c r="L152" s="48" t="str">
        <x:f>_xlfn.XLOOKUP($A152&amp;"|"&amp;$G152,'試行能力狀態'!$L$7:$L$258,'試行能力狀態'!$E$7:$E$258,"未評估",0)</x:f>
        <x:v>◎</x:v>
      </x:c>
      <x:c r="M152" s="48" t="str">
        <x:f>_xlfn.XLOOKUP($A152&amp;"|"&amp;$G152,'試行能力狀態'!$L$7:$L$258,'試行能力狀態'!$F$7:$F$258,"未建立",0)</x:f>
        <x:v>待主管核定</x:v>
      </x:c>
      <x:c r="N152" s="48" t="str">
        <x:f>IF($L152="◎","符合獨立",IF($L152="Ø","符合條件","不符合"))</x:f>
        <x:v>符合獨立</x:v>
      </x:c>
      <x:c r="O152" s="48" t="str">
        <x:f>_xlfn.XLOOKUP($A152&amp;"|李侑津醫師",'試行熟悉度'!$K$7:$K$20,'試行熟悉度'!$E$7:$E$20,"未評估",0)</x:f>
        <x:v>可獨立配合</x:v>
      </x:c>
      <x:c r="P152" s="48" t="str">
        <x:f>_xlfn.XLOOKUP($A152&amp;"|李侑津醫師",'試行熟悉度'!$K$7:$K$20,'試行熟悉度'!$F$7:$F$20,"未建立",0)</x:f>
        <x:v>待主管核定</x:v>
      </x:c>
      <x:c r="Q152" s="39" t="str">
        <x:v>確認後才納入自動判定</x:v>
      </x:c>
    </x:row>
    <x:row r="153">
      <x:c r="A153" s="37" t="str">
        <x:v>1013</x:v>
      </x:c>
      <x:c r="B153" s="37" t="str"/>
      <x:c r="C153" s="37" t="str">
        <x:v>LJT-PERIOSURG</x:v>
      </x:c>
      <x:c r="D153" s="37" t="str">
        <x:v>牙周手術</x:v>
      </x:c>
      <x:c r="E153" s="37" t="str">
        <x:v>一般</x:v>
      </x:c>
      <x:c r="F153" s="37" t="str">
        <x:v>高複雜度</x:v>
      </x:c>
      <x:c r="G153" s="37" t="str">
        <x:v>COMMON-INSURANCE</x:v>
      </x:c>
      <x:c r="H153" s="37" t="str">
        <x:v>待確認</x:v>
      </x:c>
      <x:c r="I153" s="37" t="str">
        <x:f>_xlfn.XLOOKUP($C153&amp;"|"&amp;$G153,'李醫師能力要求'!$M$7:$M$59,'李醫師能力要求'!$K$7:$K$59,"待確認",0)</x:f>
        <x:v>待確認</x:v>
      </x:c>
      <x:c r="J153" s="37" t="str">
        <x:v>◎</x:v>
      </x:c>
      <x:c r="K153" s="37" t="str">
        <x:v>Ø</x:v>
      </x:c>
      <x:c r="L153" s="48" t="str">
        <x:f>_xlfn.XLOOKUP($A153&amp;"|"&amp;$G153,'試行能力狀態'!$L$7:$L$258,'試行能力狀態'!$E$7:$E$258,"未評估",0)</x:f>
        <x:v>◎</x:v>
      </x:c>
      <x:c r="M153" s="48" t="str">
        <x:f>_xlfn.XLOOKUP($A153&amp;"|"&amp;$G153,'試行能力狀態'!$L$7:$L$258,'試行能力狀態'!$F$7:$F$258,"未建立",0)</x:f>
        <x:v>待主管核定</x:v>
      </x:c>
      <x:c r="N153" s="48" t="str">
        <x:f>IF($L153="◎","符合獨立",IF($L153="Ø","符合條件","不符合"))</x:f>
        <x:v>符合獨立</x:v>
      </x:c>
      <x:c r="O153" s="48" t="str">
        <x:f>_xlfn.XLOOKUP($A153&amp;"|李侑津醫師",'試行熟悉度'!$K$7:$K$20,'試行熟悉度'!$E$7:$E$20,"未評估",0)</x:f>
        <x:v>可獨立配合</x:v>
      </x:c>
      <x:c r="P153" s="48" t="str">
        <x:f>_xlfn.XLOOKUP($A153&amp;"|李侑津醫師",'試行熟悉度'!$K$7:$K$20,'試行熟悉度'!$F$7:$F$20,"未建立",0)</x:f>
        <x:v>待主管核定</x:v>
      </x:c>
      <x:c r="Q153" s="39" t="str">
        <x:v>確認後才納入自動判定</x:v>
      </x:c>
    </x:row>
    <x:row r="154">
      <x:c r="A154" s="37" t="str">
        <x:v>1013</x:v>
      </x:c>
      <x:c r="B154" s="37" t="str"/>
      <x:c r="C154" s="37" t="str">
        <x:v>LJT-PERIOSURG</x:v>
      </x:c>
      <x:c r="D154" s="37" t="str">
        <x:v>牙周手術</x:v>
      </x:c>
      <x:c r="E154" s="37" t="str">
        <x:v>一般</x:v>
      </x:c>
      <x:c r="F154" s="37" t="str">
        <x:v>高複雜度</x:v>
      </x:c>
      <x:c r="G154" s="37" t="str">
        <x:v>COMMON-XRAY-RECORD</x:v>
      </x:c>
      <x:c r="H154" s="37" t="str">
        <x:v>待確認</x:v>
      </x:c>
      <x:c r="I154" s="37" t="str">
        <x:f>_xlfn.XLOOKUP($C154&amp;"|"&amp;$G154,'李醫師能力要求'!$M$7:$M$59,'李醫師能力要求'!$K$7:$K$59,"待確認",0)</x:f>
        <x:v>待確認</x:v>
      </x:c>
      <x:c r="J154" s="37" t="str">
        <x:v>◎</x:v>
      </x:c>
      <x:c r="K154" s="37" t="str">
        <x:v>Ø</x:v>
      </x:c>
      <x:c r="L154" s="48" t="str">
        <x:f>_xlfn.XLOOKUP($A154&amp;"|"&amp;$G154,'試行能力狀態'!$L$7:$L$258,'試行能力狀態'!$E$7:$E$258,"未評估",0)</x:f>
        <x:v>◎</x:v>
      </x:c>
      <x:c r="M154" s="48" t="str">
        <x:f>_xlfn.XLOOKUP($A154&amp;"|"&amp;$G154,'試行能力狀態'!$L$7:$L$258,'試行能力狀態'!$F$7:$F$258,"未建立",0)</x:f>
        <x:v>待主管核定</x:v>
      </x:c>
      <x:c r="N154" s="48" t="str">
        <x:f>IF($L154="◎","符合獨立",IF($L154="Ø","符合條件","不符合"))</x:f>
        <x:v>符合獨立</x:v>
      </x:c>
      <x:c r="O154" s="48" t="str">
        <x:f>_xlfn.XLOOKUP($A154&amp;"|李侑津醫師",'試行熟悉度'!$K$7:$K$20,'試行熟悉度'!$E$7:$E$20,"未評估",0)</x:f>
        <x:v>可獨立配合</x:v>
      </x:c>
      <x:c r="P154" s="48" t="str">
        <x:f>_xlfn.XLOOKUP($A154&amp;"|李侑津醫師",'試行熟悉度'!$K$7:$K$20,'試行熟悉度'!$F$7:$F$20,"未建立",0)</x:f>
        <x:v>待主管核定</x:v>
      </x:c>
      <x:c r="Q154" s="39" t="str">
        <x:v>確認後才納入自動判定</x:v>
      </x:c>
    </x:row>
    <x:row r="155">
      <x:c r="A155" s="37" t="str">
        <x:v>1013</x:v>
      </x:c>
      <x:c r="B155" s="37" t="str"/>
      <x:c r="C155" s="37" t="str">
        <x:v>LJT-MICROENDO</x:v>
      </x:c>
      <x:c r="D155" s="37" t="str">
        <x:v>顯微根管</x:v>
      </x:c>
      <x:c r="E155" s="37" t="str">
        <x:v>一般</x:v>
      </x:c>
      <x:c r="F155" s="37" t="str">
        <x:v>高複雜度</x:v>
      </x:c>
      <x:c r="G155" s="37" t="str">
        <x:v>LJT-PREP-MICROENDO</x:v>
      </x:c>
      <x:c r="H155" s="37" t="str">
        <x:v>必備</x:v>
      </x:c>
      <x:c r="I155" s="37" t="str">
        <x:f>_xlfn.XLOOKUP($C155&amp;"|"&amp;$G155,'李醫師能力要求'!$M$7:$M$59,'李醫師能力要求'!$K$7:$K$59,"待確認",0)</x:f>
        <x:v>已確認</x:v>
      </x:c>
      <x:c r="J155" s="37" t="str">
        <x:v>◎</x:v>
      </x:c>
      <x:c r="K155" s="37" t="str">
        <x:v>Ø</x:v>
      </x:c>
      <x:c r="L155" s="48" t="str">
        <x:f>_xlfn.XLOOKUP($A155&amp;"|"&amp;$G155,'試行能力狀態'!$L$7:$L$258,'試行能力狀態'!$E$7:$E$258,"未評估",0)</x:f>
        <x:v>◎</x:v>
      </x:c>
      <x:c r="M155" s="48" t="str">
        <x:f>_xlfn.XLOOKUP($A155&amp;"|"&amp;$G155,'試行能力狀態'!$L$7:$L$258,'試行能力狀態'!$F$7:$F$258,"未建立",0)</x:f>
        <x:v>待主管核定</x:v>
      </x:c>
      <x:c r="N155" s="48" t="str">
        <x:f>IF($L155="◎","符合獨立",IF($L155="Ø","符合條件","不符合"))</x:f>
        <x:v>符合獨立</x:v>
      </x:c>
      <x:c r="O155" s="48" t="str">
        <x:f>_xlfn.XLOOKUP($A155&amp;"|李侑津醫師",'試行熟悉度'!$K$7:$K$20,'試行熟悉度'!$E$7:$E$20,"未評估",0)</x:f>
        <x:v>可獨立配合</x:v>
      </x:c>
      <x:c r="P155" s="48" t="str">
        <x:f>_xlfn.XLOOKUP($A155&amp;"|李侑津醫師",'試行熟悉度'!$K$7:$K$20,'試行熟悉度'!$F$7:$F$20,"未建立",0)</x:f>
        <x:v>待主管核定</x:v>
      </x:c>
      <x:c r="Q155" s="39" t="str">
        <x:v>Ø 時完整支援者 1:1</x:v>
      </x:c>
    </x:row>
    <x:row r="156">
      <x:c r="A156" s="37" t="str">
        <x:v>1013</x:v>
      </x:c>
      <x:c r="B156" s="37" t="str"/>
      <x:c r="C156" s="37" t="str">
        <x:v>LJT-MICROENDO</x:v>
      </x:c>
      <x:c r="D156" s="37" t="str">
        <x:v>顯微根管</x:v>
      </x:c>
      <x:c r="E156" s="37" t="str">
        <x:v>一般</x:v>
      </x:c>
      <x:c r="F156" s="37" t="str">
        <x:v>高複雜度</x:v>
      </x:c>
      <x:c r="G156" s="37" t="str">
        <x:v>COMMON-RECORD</x:v>
      </x:c>
      <x:c r="H156" s="37" t="str">
        <x:v>待確認</x:v>
      </x:c>
      <x:c r="I156" s="37" t="str">
        <x:f>_xlfn.XLOOKUP($C156&amp;"|"&amp;$G156,'李醫師能力要求'!$M$7:$M$59,'李醫師能力要求'!$K$7:$K$59,"待確認",0)</x:f>
        <x:v>待確認</x:v>
      </x:c>
      <x:c r="J156" s="37" t="str">
        <x:v>◎</x:v>
      </x:c>
      <x:c r="K156" s="37" t="str">
        <x:v>Ø</x:v>
      </x:c>
      <x:c r="L156" s="48" t="str">
        <x:f>_xlfn.XLOOKUP($A156&amp;"|"&amp;$G156,'試行能力狀態'!$L$7:$L$258,'試行能力狀態'!$E$7:$E$258,"未評估",0)</x:f>
        <x:v>◎</x:v>
      </x:c>
      <x:c r="M156" s="48" t="str">
        <x:f>_xlfn.XLOOKUP($A156&amp;"|"&amp;$G156,'試行能力狀態'!$L$7:$L$258,'試行能力狀態'!$F$7:$F$258,"未建立",0)</x:f>
        <x:v>待主管核定</x:v>
      </x:c>
      <x:c r="N156" s="48" t="str">
        <x:f>IF($L156="◎","符合獨立",IF($L156="Ø","符合條件","不符合"))</x:f>
        <x:v>符合獨立</x:v>
      </x:c>
      <x:c r="O156" s="48" t="str">
        <x:f>_xlfn.XLOOKUP($A156&amp;"|李侑津醫師",'試行熟悉度'!$K$7:$K$20,'試行熟悉度'!$E$7:$E$20,"未評估",0)</x:f>
        <x:v>可獨立配合</x:v>
      </x:c>
      <x:c r="P156" s="48" t="str">
        <x:f>_xlfn.XLOOKUP($A156&amp;"|李侑津醫師",'試行熟悉度'!$K$7:$K$20,'試行熟悉度'!$F$7:$F$20,"未建立",0)</x:f>
        <x:v>待主管核定</x:v>
      </x:c>
      <x:c r="Q156" s="39" t="str">
        <x:v>確認後才納入自動判定</x:v>
      </x:c>
    </x:row>
    <x:row r="157">
      <x:c r="A157" s="37" t="str">
        <x:v>1013</x:v>
      </x:c>
      <x:c r="B157" s="37" t="str"/>
      <x:c r="C157" s="37" t="str">
        <x:v>LJT-MICROENDO</x:v>
      </x:c>
      <x:c r="D157" s="37" t="str">
        <x:v>顯微根管</x:v>
      </x:c>
      <x:c r="E157" s="37" t="str">
        <x:v>一般</x:v>
      </x:c>
      <x:c r="F157" s="37" t="str">
        <x:v>高複雜度</x:v>
      </x:c>
      <x:c r="G157" s="37" t="str">
        <x:v>COMMON-INSURANCE</x:v>
      </x:c>
      <x:c r="H157" s="37" t="str">
        <x:v>待確認</x:v>
      </x:c>
      <x:c r="I157" s="37" t="str">
        <x:f>_xlfn.XLOOKUP($C157&amp;"|"&amp;$G157,'李醫師能力要求'!$M$7:$M$59,'李醫師能力要求'!$K$7:$K$59,"待確認",0)</x:f>
        <x:v>待確認</x:v>
      </x:c>
      <x:c r="J157" s="37" t="str">
        <x:v>◎</x:v>
      </x:c>
      <x:c r="K157" s="37" t="str">
        <x:v>Ø</x:v>
      </x:c>
      <x:c r="L157" s="48" t="str">
        <x:f>_xlfn.XLOOKUP($A157&amp;"|"&amp;$G157,'試行能力狀態'!$L$7:$L$258,'試行能力狀態'!$E$7:$E$258,"未評估",0)</x:f>
        <x:v>◎</x:v>
      </x:c>
      <x:c r="M157" s="48" t="str">
        <x:f>_xlfn.XLOOKUP($A157&amp;"|"&amp;$G157,'試行能力狀態'!$L$7:$L$258,'試行能力狀態'!$F$7:$F$258,"未建立",0)</x:f>
        <x:v>待主管核定</x:v>
      </x:c>
      <x:c r="N157" s="48" t="str">
        <x:f>IF($L157="◎","符合獨立",IF($L157="Ø","符合條件","不符合"))</x:f>
        <x:v>符合獨立</x:v>
      </x:c>
      <x:c r="O157" s="48" t="str">
        <x:f>_xlfn.XLOOKUP($A157&amp;"|李侑津醫師",'試行熟悉度'!$K$7:$K$20,'試行熟悉度'!$E$7:$E$20,"未評估",0)</x:f>
        <x:v>可獨立配合</x:v>
      </x:c>
      <x:c r="P157" s="48" t="str">
        <x:f>_xlfn.XLOOKUP($A157&amp;"|李侑津醫師",'試行熟悉度'!$K$7:$K$20,'試行熟悉度'!$F$7:$F$20,"未建立",0)</x:f>
        <x:v>待主管核定</x:v>
      </x:c>
      <x:c r="Q157" s="39" t="str">
        <x:v>確認後才納入自動判定</x:v>
      </x:c>
    </x:row>
    <x:row r="158">
      <x:c r="A158" s="37" t="str">
        <x:v>1013</x:v>
      </x:c>
      <x:c r="B158" s="37" t="str"/>
      <x:c r="C158" s="37" t="str">
        <x:v>LJT-MICROENDO</x:v>
      </x:c>
      <x:c r="D158" s="37" t="str">
        <x:v>顯微根管</x:v>
      </x:c>
      <x:c r="E158" s="37" t="str">
        <x:v>一般</x:v>
      </x:c>
      <x:c r="F158" s="37" t="str">
        <x:v>高複雜度</x:v>
      </x:c>
      <x:c r="G158" s="37" t="str">
        <x:v>COMMON-XRAY-RECORD</x:v>
      </x:c>
      <x:c r="H158" s="37" t="str">
        <x:v>待確認</x:v>
      </x:c>
      <x:c r="I158" s="37" t="str">
        <x:f>_xlfn.XLOOKUP($C158&amp;"|"&amp;$G158,'李醫師能力要求'!$M$7:$M$59,'李醫師能力要求'!$K$7:$K$59,"待確認",0)</x:f>
        <x:v>待確認</x:v>
      </x:c>
      <x:c r="J158" s="37" t="str">
        <x:v>◎</x:v>
      </x:c>
      <x:c r="K158" s="37" t="str">
        <x:v>Ø</x:v>
      </x:c>
      <x:c r="L158" s="48" t="str">
        <x:f>_xlfn.XLOOKUP($A158&amp;"|"&amp;$G158,'試行能力狀態'!$L$7:$L$258,'試行能力狀態'!$E$7:$E$258,"未評估",0)</x:f>
        <x:v>◎</x:v>
      </x:c>
      <x:c r="M158" s="48" t="str">
        <x:f>_xlfn.XLOOKUP($A158&amp;"|"&amp;$G158,'試行能力狀態'!$L$7:$L$258,'試行能力狀態'!$F$7:$F$258,"未建立",0)</x:f>
        <x:v>待主管核定</x:v>
      </x:c>
      <x:c r="N158" s="48" t="str">
        <x:f>IF($L158="◎","符合獨立",IF($L158="Ø","符合條件","不符合"))</x:f>
        <x:v>符合獨立</x:v>
      </x:c>
      <x:c r="O158" s="48" t="str">
        <x:f>_xlfn.XLOOKUP($A158&amp;"|李侑津醫師",'試行熟悉度'!$K$7:$K$20,'試行熟悉度'!$E$7:$E$20,"未評估",0)</x:f>
        <x:v>可獨立配合</x:v>
      </x:c>
      <x:c r="P158" s="48" t="str">
        <x:f>_xlfn.XLOOKUP($A158&amp;"|李侑津醫師",'試行熟悉度'!$K$7:$K$20,'試行熟悉度'!$F$7:$F$20,"未建立",0)</x:f>
        <x:v>待主管核定</x:v>
      </x:c>
      <x:c r="Q158" s="39" t="str">
        <x:v>確認後才納入自動判定</x:v>
      </x:c>
    </x:row>
    <x:row r="159">
      <x:c r="A159" s="37" t="str">
        <x:v>1013</x:v>
      </x:c>
      <x:c r="B159" s="37" t="str"/>
      <x:c r="C159" s="37" t="str">
        <x:v>LJT-IMPLANT</x:v>
      </x:c>
      <x:c r="D159" s="37" t="str">
        <x:v>植牙</x:v>
      </x:c>
      <x:c r="E159" s="37" t="str">
        <x:v>一般</x:v>
      </x:c>
      <x:c r="F159" s="37" t="str">
        <x:v>高複雜度</x:v>
      </x:c>
      <x:c r="G159" s="37" t="str">
        <x:v>LJT-PREP-IMPLANT</x:v>
      </x:c>
      <x:c r="H159" s="37" t="str">
        <x:v>必備</x:v>
      </x:c>
      <x:c r="I159" s="37" t="str">
        <x:f>_xlfn.XLOOKUP($C159&amp;"|"&amp;$G159,'李醫師能力要求'!$M$7:$M$59,'李醫師能力要求'!$K$7:$K$59,"待確認",0)</x:f>
        <x:v>已確認</x:v>
      </x:c>
      <x:c r="J159" s="37" t="str">
        <x:v>◎</x:v>
      </x:c>
      <x:c r="K159" s="37" t="str">
        <x:v>Ø</x:v>
      </x:c>
      <x:c r="L159" s="48" t="str">
        <x:f>_xlfn.XLOOKUP($A159&amp;"|"&amp;$G159,'試行能力狀態'!$L$7:$L$258,'試行能力狀態'!$E$7:$E$258,"未評估",0)</x:f>
        <x:v>◎</x:v>
      </x:c>
      <x:c r="M159" s="48" t="str">
        <x:f>_xlfn.XLOOKUP($A159&amp;"|"&amp;$G159,'試行能力狀態'!$L$7:$L$258,'試行能力狀態'!$F$7:$F$258,"未建立",0)</x:f>
        <x:v>待主管核定</x:v>
      </x:c>
      <x:c r="N159" s="48" t="str">
        <x:f>IF($L159="◎","符合獨立",IF($L159="Ø","符合條件","不符合"))</x:f>
        <x:v>符合獨立</x:v>
      </x:c>
      <x:c r="O159" s="48" t="str">
        <x:f>_xlfn.XLOOKUP($A159&amp;"|李侑津醫師",'試行熟悉度'!$K$7:$K$20,'試行熟悉度'!$E$7:$E$20,"未評估",0)</x:f>
        <x:v>可獨立配合</x:v>
      </x:c>
      <x:c r="P159" s="48" t="str">
        <x:f>_xlfn.XLOOKUP($A159&amp;"|李侑津醫師",'試行熟悉度'!$K$7:$K$20,'試行熟悉度'!$F$7:$F$20,"未建立",0)</x:f>
        <x:v>待主管核定</x:v>
      </x:c>
      <x:c r="Q159" s="39" t="str">
        <x:v>Ø 時完整支援者 1:1</x:v>
      </x:c>
    </x:row>
    <x:row r="160">
      <x:c r="A160" s="37" t="str">
        <x:v>1013</x:v>
      </x:c>
      <x:c r="B160" s="37" t="str"/>
      <x:c r="C160" s="37" t="str">
        <x:v>LJT-IMPLANT</x:v>
      </x:c>
      <x:c r="D160" s="37" t="str">
        <x:v>植牙</x:v>
      </x:c>
      <x:c r="E160" s="37" t="str">
        <x:v>一般</x:v>
      </x:c>
      <x:c r="F160" s="37" t="str">
        <x:v>高複雜度</x:v>
      </x:c>
      <x:c r="G160" s="37" t="str">
        <x:v>COMMON-RECORD</x:v>
      </x:c>
      <x:c r="H160" s="37" t="str">
        <x:v>待確認</x:v>
      </x:c>
      <x:c r="I160" s="37" t="str">
        <x:f>_xlfn.XLOOKUP($C160&amp;"|"&amp;$G160,'李醫師能力要求'!$M$7:$M$59,'李醫師能力要求'!$K$7:$K$59,"待確認",0)</x:f>
        <x:v>待確認</x:v>
      </x:c>
      <x:c r="J160" s="37" t="str">
        <x:v>◎</x:v>
      </x:c>
      <x:c r="K160" s="37" t="str">
        <x:v>Ø</x:v>
      </x:c>
      <x:c r="L160" s="48" t="str">
        <x:f>_xlfn.XLOOKUP($A160&amp;"|"&amp;$G160,'試行能力狀態'!$L$7:$L$258,'試行能力狀態'!$E$7:$E$258,"未評估",0)</x:f>
        <x:v>◎</x:v>
      </x:c>
      <x:c r="M160" s="48" t="str">
        <x:f>_xlfn.XLOOKUP($A160&amp;"|"&amp;$G160,'試行能力狀態'!$L$7:$L$258,'試行能力狀態'!$F$7:$F$258,"未建立",0)</x:f>
        <x:v>待主管核定</x:v>
      </x:c>
      <x:c r="N160" s="48" t="str">
        <x:f>IF($L160="◎","符合獨立",IF($L160="Ø","符合條件","不符合"))</x:f>
        <x:v>符合獨立</x:v>
      </x:c>
      <x:c r="O160" s="48" t="str">
        <x:f>_xlfn.XLOOKUP($A160&amp;"|李侑津醫師",'試行熟悉度'!$K$7:$K$20,'試行熟悉度'!$E$7:$E$20,"未評估",0)</x:f>
        <x:v>可獨立配合</x:v>
      </x:c>
      <x:c r="P160" s="48" t="str">
        <x:f>_xlfn.XLOOKUP($A160&amp;"|李侑津醫師",'試行熟悉度'!$K$7:$K$20,'試行熟悉度'!$F$7:$F$20,"未建立",0)</x:f>
        <x:v>待主管核定</x:v>
      </x:c>
      <x:c r="Q160" s="39" t="str">
        <x:v>確認後才納入自動判定</x:v>
      </x:c>
    </x:row>
    <x:row r="161">
      <x:c r="A161" s="37" t="str">
        <x:v>1013</x:v>
      </x:c>
      <x:c r="B161" s="37" t="str"/>
      <x:c r="C161" s="37" t="str">
        <x:v>LJT-IMPLANT</x:v>
      </x:c>
      <x:c r="D161" s="37" t="str">
        <x:v>植牙</x:v>
      </x:c>
      <x:c r="E161" s="37" t="str">
        <x:v>一般</x:v>
      </x:c>
      <x:c r="F161" s="37" t="str">
        <x:v>高複雜度</x:v>
      </x:c>
      <x:c r="G161" s="37" t="str">
        <x:v>COMMON-INSURANCE</x:v>
      </x:c>
      <x:c r="H161" s="37" t="str">
        <x:v>待確認</x:v>
      </x:c>
      <x:c r="I161" s="37" t="str">
        <x:f>_xlfn.XLOOKUP($C161&amp;"|"&amp;$G161,'李醫師能力要求'!$M$7:$M$59,'李醫師能力要求'!$K$7:$K$59,"待確認",0)</x:f>
        <x:v>待確認</x:v>
      </x:c>
      <x:c r="J161" s="37" t="str">
        <x:v>◎</x:v>
      </x:c>
      <x:c r="K161" s="37" t="str">
        <x:v>Ø</x:v>
      </x:c>
      <x:c r="L161" s="48" t="str">
        <x:f>_xlfn.XLOOKUP($A161&amp;"|"&amp;$G161,'試行能力狀態'!$L$7:$L$258,'試行能力狀態'!$E$7:$E$258,"未評估",0)</x:f>
        <x:v>◎</x:v>
      </x:c>
      <x:c r="M161" s="48" t="str">
        <x:f>_xlfn.XLOOKUP($A161&amp;"|"&amp;$G161,'試行能力狀態'!$L$7:$L$258,'試行能力狀態'!$F$7:$F$258,"未建立",0)</x:f>
        <x:v>待主管核定</x:v>
      </x:c>
      <x:c r="N161" s="48" t="str">
        <x:f>IF($L161="◎","符合獨立",IF($L161="Ø","符合條件","不符合"))</x:f>
        <x:v>符合獨立</x:v>
      </x:c>
      <x:c r="O161" s="48" t="str">
        <x:f>_xlfn.XLOOKUP($A161&amp;"|李侑津醫師",'試行熟悉度'!$K$7:$K$20,'試行熟悉度'!$E$7:$E$20,"未評估",0)</x:f>
        <x:v>可獨立配合</x:v>
      </x:c>
      <x:c r="P161" s="48" t="str">
        <x:f>_xlfn.XLOOKUP($A161&amp;"|李侑津醫師",'試行熟悉度'!$K$7:$K$20,'試行熟悉度'!$F$7:$F$20,"未建立",0)</x:f>
        <x:v>待主管核定</x:v>
      </x:c>
      <x:c r="Q161" s="39" t="str">
        <x:v>確認後才納入自動判定</x:v>
      </x:c>
    </x:row>
    <x:row r="162">
      <x:c r="A162" s="37" t="str">
        <x:v>1013</x:v>
      </x:c>
      <x:c r="B162" s="37" t="str"/>
      <x:c r="C162" s="37" t="str">
        <x:v>LJT-IMPLANT</x:v>
      </x:c>
      <x:c r="D162" s="37" t="str">
        <x:v>植牙</x:v>
      </x:c>
      <x:c r="E162" s="37" t="str">
        <x:v>一般</x:v>
      </x:c>
      <x:c r="F162" s="37" t="str">
        <x:v>高複雜度</x:v>
      </x:c>
      <x:c r="G162" s="37" t="str">
        <x:v>COMMON-XRAY-RECORD</x:v>
      </x:c>
      <x:c r="H162" s="37" t="str">
        <x:v>待確認</x:v>
      </x:c>
      <x:c r="I162" s="37" t="str">
        <x:f>_xlfn.XLOOKUP($C162&amp;"|"&amp;$G162,'李醫師能力要求'!$M$7:$M$59,'李醫師能力要求'!$K$7:$K$59,"待確認",0)</x:f>
        <x:v>待確認</x:v>
      </x:c>
      <x:c r="J162" s="37" t="str">
        <x:v>◎</x:v>
      </x:c>
      <x:c r="K162" s="37" t="str">
        <x:v>Ø</x:v>
      </x:c>
      <x:c r="L162" s="48" t="str">
        <x:f>_xlfn.XLOOKUP($A162&amp;"|"&amp;$G162,'試行能力狀態'!$L$7:$L$258,'試行能力狀態'!$E$7:$E$258,"未評估",0)</x:f>
        <x:v>◎</x:v>
      </x:c>
      <x:c r="M162" s="48" t="str">
        <x:f>_xlfn.XLOOKUP($A162&amp;"|"&amp;$G162,'試行能力狀態'!$L$7:$L$258,'試行能力狀態'!$F$7:$F$258,"未建立",0)</x:f>
        <x:v>待主管核定</x:v>
      </x:c>
      <x:c r="N162" s="48" t="str">
        <x:f>IF($L162="◎","符合獨立",IF($L162="Ø","符合條件","不符合"))</x:f>
        <x:v>符合獨立</x:v>
      </x:c>
      <x:c r="O162" s="48" t="str">
        <x:f>_xlfn.XLOOKUP($A162&amp;"|李侑津醫師",'試行熟悉度'!$K$7:$K$20,'試行熟悉度'!$E$7:$E$20,"未評估",0)</x:f>
        <x:v>可獨立配合</x:v>
      </x:c>
      <x:c r="P162" s="48" t="str">
        <x:f>_xlfn.XLOOKUP($A162&amp;"|李侑津醫師",'試行熟悉度'!$K$7:$K$20,'試行熟悉度'!$F$7:$F$20,"未建立",0)</x:f>
        <x:v>待主管核定</x:v>
      </x:c>
      <x:c r="Q162" s="39" t="str">
        <x:v>確認後才納入自動判定</x:v>
      </x:c>
    </x:row>
    <x:row r="163">
      <x:c r="A163" s="37" t="str">
        <x:v>1019</x:v>
      </x:c>
      <x:c r="B163" s="37" t="str"/>
      <x:c r="C163" s="37" t="str">
        <x:v>LJT-SCALING</x:v>
      </x:c>
      <x:c r="D163" s="37" t="str">
        <x:v>洗牙</x:v>
      </x:c>
      <x:c r="E163" s="37" t="str">
        <x:v>一般</x:v>
      </x:c>
      <x:c r="F163" s="37" t="str">
        <x:v>一般</x:v>
      </x:c>
      <x:c r="G163" s="37" t="str">
        <x:v>LJT-PREP-SCALING</x:v>
      </x:c>
      <x:c r="H163" s="37" t="str">
        <x:v>必備</x:v>
      </x:c>
      <x:c r="I163" s="37" t="str">
        <x:f>_xlfn.XLOOKUP($C163&amp;"|"&amp;$G163,'李醫師能力要求'!$M$7:$M$59,'李醫師能力要求'!$K$7:$K$59,"待確認",0)</x:f>
        <x:v>已確認</x:v>
      </x:c>
      <x:c r="J163" s="37" t="str">
        <x:v>◎</x:v>
      </x:c>
      <x:c r="K163" s="37" t="str">
        <x:v>Ø</x:v>
      </x:c>
      <x:c r="L163" s="48" t="str">
        <x:f>_xlfn.XLOOKUP($A163&amp;"|"&amp;$G163,'試行能力狀態'!$L$7:$L$258,'試行能力狀態'!$E$7:$E$258,"未評估",0)</x:f>
        <x:v>◎</x:v>
      </x:c>
      <x:c r="M163" s="48" t="str">
        <x:f>_xlfn.XLOOKUP($A163&amp;"|"&amp;$G163,'試行能力狀態'!$L$7:$L$258,'試行能力狀態'!$F$7:$F$258,"未建立",0)</x:f>
        <x:v>待主管核定</x:v>
      </x:c>
      <x:c r="N163" s="48" t="str">
        <x:f>IF($L163="◎","符合獨立",IF($L163="Ø","符合條件","不符合"))</x:f>
        <x:v>符合獨立</x:v>
      </x:c>
      <x:c r="O163" s="48" t="str">
        <x:f>_xlfn.XLOOKUP($A163&amp;"|李侑津醫師",'試行熟悉度'!$K$7:$K$20,'試行熟悉度'!$E$7:$E$20,"未評估",0)</x:f>
        <x:v>可獨立配合</x:v>
      </x:c>
      <x:c r="P163" s="48" t="str">
        <x:f>_xlfn.XLOOKUP($A163&amp;"|李侑津醫師",'試行熟悉度'!$K$7:$K$20,'試行熟悉度'!$F$7:$F$20,"未建立",0)</x:f>
        <x:v>待主管核定</x:v>
      </x:c>
      <x:c r="Q163" s="39" t="str">
        <x:v>依一般支援名額</x:v>
      </x:c>
    </x:row>
    <x:row r="164">
      <x:c r="A164" s="37" t="str">
        <x:v>1019</x:v>
      </x:c>
      <x:c r="B164" s="37" t="str"/>
      <x:c r="C164" s="37" t="str">
        <x:v>LJT-SCALING</x:v>
      </x:c>
      <x:c r="D164" s="37" t="str">
        <x:v>洗牙</x:v>
      </x:c>
      <x:c r="E164" s="37" t="str">
        <x:v>一般</x:v>
      </x:c>
      <x:c r="F164" s="37" t="str">
        <x:v>一般</x:v>
      </x:c>
      <x:c r="G164" s="37" t="str">
        <x:v>COMMON-RECORD</x:v>
      </x:c>
      <x:c r="H164" s="37" t="str">
        <x:v>待確認</x:v>
      </x:c>
      <x:c r="I164" s="37" t="str">
        <x:f>_xlfn.XLOOKUP($C164&amp;"|"&amp;$G164,'李醫師能力要求'!$M$7:$M$59,'李醫師能力要求'!$K$7:$K$59,"待確認",0)</x:f>
        <x:v>待確認</x:v>
      </x:c>
      <x:c r="J164" s="37" t="str">
        <x:v>◎</x:v>
      </x:c>
      <x:c r="K164" s="37" t="str">
        <x:v>Ø</x:v>
      </x:c>
      <x:c r="L164" s="48" t="str">
        <x:f>_xlfn.XLOOKUP($A164&amp;"|"&amp;$G164,'試行能力狀態'!$L$7:$L$258,'試行能力狀態'!$E$7:$E$258,"未評估",0)</x:f>
        <x:v>◎</x:v>
      </x:c>
      <x:c r="M164" s="48" t="str">
        <x:f>_xlfn.XLOOKUP($A164&amp;"|"&amp;$G164,'試行能力狀態'!$L$7:$L$258,'試行能力狀態'!$F$7:$F$258,"未建立",0)</x:f>
        <x:v>待主管核定</x:v>
      </x:c>
      <x:c r="N164" s="48" t="str">
        <x:f>IF($L164="◎","符合獨立",IF($L164="Ø","符合條件","不符合"))</x:f>
        <x:v>符合獨立</x:v>
      </x:c>
      <x:c r="O164" s="48" t="str">
        <x:f>_xlfn.XLOOKUP($A164&amp;"|李侑津醫師",'試行熟悉度'!$K$7:$K$20,'試行熟悉度'!$E$7:$E$20,"未評估",0)</x:f>
        <x:v>可獨立配合</x:v>
      </x:c>
      <x:c r="P164" s="48" t="str">
        <x:f>_xlfn.XLOOKUP($A164&amp;"|李侑津醫師",'試行熟悉度'!$K$7:$K$20,'試行熟悉度'!$F$7:$F$20,"未建立",0)</x:f>
        <x:v>待主管核定</x:v>
      </x:c>
      <x:c r="Q164" s="39" t="str">
        <x:v>確認後才納入自動判定</x:v>
      </x:c>
    </x:row>
    <x:row r="165">
      <x:c r="A165" s="37" t="str">
        <x:v>1019</x:v>
      </x:c>
      <x:c r="B165" s="37" t="str"/>
      <x:c r="C165" s="37" t="str">
        <x:v>LJT-SCALING</x:v>
      </x:c>
      <x:c r="D165" s="37" t="str">
        <x:v>洗牙</x:v>
      </x:c>
      <x:c r="E165" s="37" t="str">
        <x:v>一般</x:v>
      </x:c>
      <x:c r="F165" s="37" t="str">
        <x:v>一般</x:v>
      </x:c>
      <x:c r="G165" s="37" t="str">
        <x:v>COMMON-INSURANCE</x:v>
      </x:c>
      <x:c r="H165" s="37" t="str">
        <x:v>待確認</x:v>
      </x:c>
      <x:c r="I165" s="37" t="str">
        <x:f>_xlfn.XLOOKUP($C165&amp;"|"&amp;$G165,'李醫師能力要求'!$M$7:$M$59,'李醫師能力要求'!$K$7:$K$59,"待確認",0)</x:f>
        <x:v>待確認</x:v>
      </x:c>
      <x:c r="J165" s="37" t="str">
        <x:v>◎</x:v>
      </x:c>
      <x:c r="K165" s="37" t="str">
        <x:v>Ø</x:v>
      </x:c>
      <x:c r="L165" s="48" t="str">
        <x:f>_xlfn.XLOOKUP($A165&amp;"|"&amp;$G165,'試行能力狀態'!$L$7:$L$258,'試行能力狀態'!$E$7:$E$258,"未評估",0)</x:f>
        <x:v>◎</x:v>
      </x:c>
      <x:c r="M165" s="48" t="str">
        <x:f>_xlfn.XLOOKUP($A165&amp;"|"&amp;$G165,'試行能力狀態'!$L$7:$L$258,'試行能力狀態'!$F$7:$F$258,"未建立",0)</x:f>
        <x:v>待主管核定</x:v>
      </x:c>
      <x:c r="N165" s="48" t="str">
        <x:f>IF($L165="◎","符合獨立",IF($L165="Ø","符合條件","不符合"))</x:f>
        <x:v>符合獨立</x:v>
      </x:c>
      <x:c r="O165" s="48" t="str">
        <x:f>_xlfn.XLOOKUP($A165&amp;"|李侑津醫師",'試行熟悉度'!$K$7:$K$20,'試行熟悉度'!$E$7:$E$20,"未評估",0)</x:f>
        <x:v>可獨立配合</x:v>
      </x:c>
      <x:c r="P165" s="48" t="str">
        <x:f>_xlfn.XLOOKUP($A165&amp;"|李侑津醫師",'試行熟悉度'!$K$7:$K$20,'試行熟悉度'!$F$7:$F$20,"未建立",0)</x:f>
        <x:v>待主管核定</x:v>
      </x:c>
      <x:c r="Q165" s="39" t="str">
        <x:v>確認後才納入自動判定</x:v>
      </x:c>
    </x:row>
    <x:row r="166">
      <x:c r="A166" s="37" t="str">
        <x:v>1019</x:v>
      </x:c>
      <x:c r="B166" s="37" t="str"/>
      <x:c r="C166" s="37" t="str">
        <x:v>LJT-SCALING</x:v>
      </x:c>
      <x:c r="D166" s="37" t="str">
        <x:v>洗牙</x:v>
      </x:c>
      <x:c r="E166" s="37" t="str">
        <x:v>一般</x:v>
      </x:c>
      <x:c r="F166" s="37" t="str">
        <x:v>一般</x:v>
      </x:c>
      <x:c r="G166" s="37" t="str">
        <x:v>COMMON-XRAY-RECORD</x:v>
      </x:c>
      <x:c r="H166" s="37" t="str">
        <x:v>待確認</x:v>
      </x:c>
      <x:c r="I166" s="37" t="str">
        <x:f>_xlfn.XLOOKUP($C166&amp;"|"&amp;$G166,'李醫師能力要求'!$M$7:$M$59,'李醫師能力要求'!$K$7:$K$59,"待確認",0)</x:f>
        <x:v>待確認</x:v>
      </x:c>
      <x:c r="J166" s="37" t="str">
        <x:v>◎</x:v>
      </x:c>
      <x:c r="K166" s="37" t="str">
        <x:v>Ø</x:v>
      </x:c>
      <x:c r="L166" s="48" t="str">
        <x:f>_xlfn.XLOOKUP($A166&amp;"|"&amp;$G166,'試行能力狀態'!$L$7:$L$258,'試行能力狀態'!$E$7:$E$258,"未評估",0)</x:f>
        <x:v>◎</x:v>
      </x:c>
      <x:c r="M166" s="48" t="str">
        <x:f>_xlfn.XLOOKUP($A166&amp;"|"&amp;$G166,'試行能力狀態'!$L$7:$L$258,'試行能力狀態'!$F$7:$F$258,"未建立",0)</x:f>
        <x:v>待主管核定</x:v>
      </x:c>
      <x:c r="N166" s="48" t="str">
        <x:f>IF($L166="◎","符合獨立",IF($L166="Ø","符合條件","不符合"))</x:f>
        <x:v>符合獨立</x:v>
      </x:c>
      <x:c r="O166" s="48" t="str">
        <x:f>_xlfn.XLOOKUP($A166&amp;"|李侑津醫師",'試行熟悉度'!$K$7:$K$20,'試行熟悉度'!$E$7:$E$20,"未評估",0)</x:f>
        <x:v>可獨立配合</x:v>
      </x:c>
      <x:c r="P166" s="48" t="str">
        <x:f>_xlfn.XLOOKUP($A166&amp;"|李侑津醫師",'試行熟悉度'!$K$7:$K$20,'試行熟悉度'!$F$7:$F$20,"未建立",0)</x:f>
        <x:v>待主管核定</x:v>
      </x:c>
      <x:c r="Q166" s="39" t="str">
        <x:v>確認後才納入自動判定</x:v>
      </x:c>
    </x:row>
    <x:row r="167">
      <x:c r="A167" s="37" t="str">
        <x:v>1019</x:v>
      </x:c>
      <x:c r="B167" s="37" t="str"/>
      <x:c r="C167" s="37" t="str">
        <x:v>LJT-FILLING</x:v>
      </x:c>
      <x:c r="D167" s="37" t="str">
        <x:v>補牙</x:v>
      </x:c>
      <x:c r="E167" s="37" t="str">
        <x:v>一般</x:v>
      </x:c>
      <x:c r="F167" s="37" t="str">
        <x:v>一般</x:v>
      </x:c>
      <x:c r="G167" s="37" t="str">
        <x:v>LJT-PREP-FILLING</x:v>
      </x:c>
      <x:c r="H167" s="37" t="str">
        <x:v>必備</x:v>
      </x:c>
      <x:c r="I167" s="37" t="str">
        <x:f>_xlfn.XLOOKUP($C167&amp;"|"&amp;$G167,'李醫師能力要求'!$M$7:$M$59,'李醫師能力要求'!$K$7:$K$59,"待確認",0)</x:f>
        <x:v>已確認</x:v>
      </x:c>
      <x:c r="J167" s="37" t="str">
        <x:v>◎</x:v>
      </x:c>
      <x:c r="K167" s="37" t="str">
        <x:v>Ø</x:v>
      </x:c>
      <x:c r="L167" s="48" t="str">
        <x:f>_xlfn.XLOOKUP($A167&amp;"|"&amp;$G167,'試行能力狀態'!$L$7:$L$258,'試行能力狀態'!$E$7:$E$258,"未評估",0)</x:f>
        <x:v>◎</x:v>
      </x:c>
      <x:c r="M167" s="48" t="str">
        <x:f>_xlfn.XLOOKUP($A167&amp;"|"&amp;$G167,'試行能力狀態'!$L$7:$L$258,'試行能力狀態'!$F$7:$F$258,"未建立",0)</x:f>
        <x:v>待主管核定</x:v>
      </x:c>
      <x:c r="N167" s="48" t="str">
        <x:f>IF($L167="◎","符合獨立",IF($L167="Ø","符合條件","不符合"))</x:f>
        <x:v>符合獨立</x:v>
      </x:c>
      <x:c r="O167" s="48" t="str">
        <x:f>_xlfn.XLOOKUP($A167&amp;"|李侑津醫師",'試行熟悉度'!$K$7:$K$20,'試行熟悉度'!$E$7:$E$20,"未評估",0)</x:f>
        <x:v>可獨立配合</x:v>
      </x:c>
      <x:c r="P167" s="48" t="str">
        <x:f>_xlfn.XLOOKUP($A167&amp;"|李侑津醫師",'試行熟悉度'!$K$7:$K$20,'試行熟悉度'!$F$7:$F$20,"未建立",0)</x:f>
        <x:v>待主管核定</x:v>
      </x:c>
      <x:c r="Q167" s="39" t="str">
        <x:v>依一般支援名額</x:v>
      </x:c>
    </x:row>
    <x:row r="168">
      <x:c r="A168" s="37" t="str">
        <x:v>1019</x:v>
      </x:c>
      <x:c r="B168" s="37" t="str"/>
      <x:c r="C168" s="37" t="str">
        <x:v>LJT-FILLING</x:v>
      </x:c>
      <x:c r="D168" s="37" t="str">
        <x:v>補牙</x:v>
      </x:c>
      <x:c r="E168" s="37" t="str">
        <x:v>一般</x:v>
      </x:c>
      <x:c r="F168" s="37" t="str">
        <x:v>一般</x:v>
      </x:c>
      <x:c r="G168" s="37" t="str">
        <x:v>COMMON-RECORD</x:v>
      </x:c>
      <x:c r="H168" s="37" t="str">
        <x:v>待確認</x:v>
      </x:c>
      <x:c r="I168" s="37" t="str">
        <x:f>_xlfn.XLOOKUP($C168&amp;"|"&amp;$G168,'李醫師能力要求'!$M$7:$M$59,'李醫師能力要求'!$K$7:$K$59,"待確認",0)</x:f>
        <x:v>待確認</x:v>
      </x:c>
      <x:c r="J168" s="37" t="str">
        <x:v>◎</x:v>
      </x:c>
      <x:c r="K168" s="37" t="str">
        <x:v>Ø</x:v>
      </x:c>
      <x:c r="L168" s="48" t="str">
        <x:f>_xlfn.XLOOKUP($A168&amp;"|"&amp;$G168,'試行能力狀態'!$L$7:$L$258,'試行能力狀態'!$E$7:$E$258,"未評估",0)</x:f>
        <x:v>◎</x:v>
      </x:c>
      <x:c r="M168" s="48" t="str">
        <x:f>_xlfn.XLOOKUP($A168&amp;"|"&amp;$G168,'試行能力狀態'!$L$7:$L$258,'試行能力狀態'!$F$7:$F$258,"未建立",0)</x:f>
        <x:v>待主管核定</x:v>
      </x:c>
      <x:c r="N168" s="48" t="str">
        <x:f>IF($L168="◎","符合獨立",IF($L168="Ø","符合條件","不符合"))</x:f>
        <x:v>符合獨立</x:v>
      </x:c>
      <x:c r="O168" s="48" t="str">
        <x:f>_xlfn.XLOOKUP($A168&amp;"|李侑津醫師",'試行熟悉度'!$K$7:$K$20,'試行熟悉度'!$E$7:$E$20,"未評估",0)</x:f>
        <x:v>可獨立配合</x:v>
      </x:c>
      <x:c r="P168" s="48" t="str">
        <x:f>_xlfn.XLOOKUP($A168&amp;"|李侑津醫師",'試行熟悉度'!$K$7:$K$20,'試行熟悉度'!$F$7:$F$20,"未建立",0)</x:f>
        <x:v>待主管核定</x:v>
      </x:c>
      <x:c r="Q168" s="39" t="str">
        <x:v>確認後才納入自動判定</x:v>
      </x:c>
    </x:row>
    <x:row r="169">
      <x:c r="A169" s="37" t="str">
        <x:v>1019</x:v>
      </x:c>
      <x:c r="B169" s="37" t="str"/>
      <x:c r="C169" s="37" t="str">
        <x:v>LJT-FILLING</x:v>
      </x:c>
      <x:c r="D169" s="37" t="str">
        <x:v>補牙</x:v>
      </x:c>
      <x:c r="E169" s="37" t="str">
        <x:v>一般</x:v>
      </x:c>
      <x:c r="F169" s="37" t="str">
        <x:v>一般</x:v>
      </x:c>
      <x:c r="G169" s="37" t="str">
        <x:v>COMMON-INSURANCE</x:v>
      </x:c>
      <x:c r="H169" s="37" t="str">
        <x:v>待確認</x:v>
      </x:c>
      <x:c r="I169" s="37" t="str">
        <x:f>_xlfn.XLOOKUP($C169&amp;"|"&amp;$G169,'李醫師能力要求'!$M$7:$M$59,'李醫師能力要求'!$K$7:$K$59,"待確認",0)</x:f>
        <x:v>待確認</x:v>
      </x:c>
      <x:c r="J169" s="37" t="str">
        <x:v>◎</x:v>
      </x:c>
      <x:c r="K169" s="37" t="str">
        <x:v>Ø</x:v>
      </x:c>
      <x:c r="L169" s="48" t="str">
        <x:f>_xlfn.XLOOKUP($A169&amp;"|"&amp;$G169,'試行能力狀態'!$L$7:$L$258,'試行能力狀態'!$E$7:$E$258,"未評估",0)</x:f>
        <x:v>◎</x:v>
      </x:c>
      <x:c r="M169" s="48" t="str">
        <x:f>_xlfn.XLOOKUP($A169&amp;"|"&amp;$G169,'試行能力狀態'!$L$7:$L$258,'試行能力狀態'!$F$7:$F$258,"未建立",0)</x:f>
        <x:v>待主管核定</x:v>
      </x:c>
      <x:c r="N169" s="48" t="str">
        <x:f>IF($L169="◎","符合獨立",IF($L169="Ø","符合條件","不符合"))</x:f>
        <x:v>符合獨立</x:v>
      </x:c>
      <x:c r="O169" s="48" t="str">
        <x:f>_xlfn.XLOOKUP($A169&amp;"|李侑津醫師",'試行熟悉度'!$K$7:$K$20,'試行熟悉度'!$E$7:$E$20,"未評估",0)</x:f>
        <x:v>可獨立配合</x:v>
      </x:c>
      <x:c r="P169" s="48" t="str">
        <x:f>_xlfn.XLOOKUP($A169&amp;"|李侑津醫師",'試行熟悉度'!$K$7:$K$20,'試行熟悉度'!$F$7:$F$20,"未建立",0)</x:f>
        <x:v>待主管核定</x:v>
      </x:c>
      <x:c r="Q169" s="39" t="str">
        <x:v>確認後才納入自動判定</x:v>
      </x:c>
    </x:row>
    <x:row r="170">
      <x:c r="A170" s="37" t="str">
        <x:v>1019</x:v>
      </x:c>
      <x:c r="B170" s="37" t="str"/>
      <x:c r="C170" s="37" t="str">
        <x:v>LJT-FILLING</x:v>
      </x:c>
      <x:c r="D170" s="37" t="str">
        <x:v>補牙</x:v>
      </x:c>
      <x:c r="E170" s="37" t="str">
        <x:v>一般</x:v>
      </x:c>
      <x:c r="F170" s="37" t="str">
        <x:v>一般</x:v>
      </x:c>
      <x:c r="G170" s="37" t="str">
        <x:v>COMMON-XRAY-RECORD</x:v>
      </x:c>
      <x:c r="H170" s="37" t="str">
        <x:v>待確認</x:v>
      </x:c>
      <x:c r="I170" s="37" t="str">
        <x:f>_xlfn.XLOOKUP($C170&amp;"|"&amp;$G170,'李醫師能力要求'!$M$7:$M$59,'李醫師能力要求'!$K$7:$K$59,"待確認",0)</x:f>
        <x:v>待確認</x:v>
      </x:c>
      <x:c r="J170" s="37" t="str">
        <x:v>◎</x:v>
      </x:c>
      <x:c r="K170" s="37" t="str">
        <x:v>Ø</x:v>
      </x:c>
      <x:c r="L170" s="48" t="str">
        <x:f>_xlfn.XLOOKUP($A170&amp;"|"&amp;$G170,'試行能力狀態'!$L$7:$L$258,'試行能力狀態'!$E$7:$E$258,"未評估",0)</x:f>
        <x:v>◎</x:v>
      </x:c>
      <x:c r="M170" s="48" t="str">
        <x:f>_xlfn.XLOOKUP($A170&amp;"|"&amp;$G170,'試行能力狀態'!$L$7:$L$258,'試行能力狀態'!$F$7:$F$258,"未建立",0)</x:f>
        <x:v>待主管核定</x:v>
      </x:c>
      <x:c r="N170" s="48" t="str">
        <x:f>IF($L170="◎","符合獨立",IF($L170="Ø","符合條件","不符合"))</x:f>
        <x:v>符合獨立</x:v>
      </x:c>
      <x:c r="O170" s="48" t="str">
        <x:f>_xlfn.XLOOKUP($A170&amp;"|李侑津醫師",'試行熟悉度'!$K$7:$K$20,'試行熟悉度'!$E$7:$E$20,"未評估",0)</x:f>
        <x:v>可獨立配合</x:v>
      </x:c>
      <x:c r="P170" s="48" t="str">
        <x:f>_xlfn.XLOOKUP($A170&amp;"|李侑津醫師",'試行熟悉度'!$K$7:$K$20,'試行熟悉度'!$F$7:$F$20,"未建立",0)</x:f>
        <x:v>待主管核定</x:v>
      </x:c>
      <x:c r="Q170" s="39" t="str">
        <x:v>確認後才納入自動判定</x:v>
      </x:c>
    </x:row>
    <x:row r="171">
      <x:c r="A171" s="37" t="str">
        <x:v>1019</x:v>
      </x:c>
      <x:c r="B171" s="37" t="str"/>
      <x:c r="C171" s="37" t="str">
        <x:v>LJT-PERIO</x:v>
      </x:c>
      <x:c r="D171" s="37" t="str">
        <x:v>牙周統合</x:v>
      </x:c>
      <x:c r="E171" s="37" t="str">
        <x:v>一般</x:v>
      </x:c>
      <x:c r="F171" s="37" t="str">
        <x:v>一般</x:v>
      </x:c>
      <x:c r="G171" s="37" t="str">
        <x:v>LJT-PREP-PERIO</x:v>
      </x:c>
      <x:c r="H171" s="37" t="str">
        <x:v>必備</x:v>
      </x:c>
      <x:c r="I171" s="37" t="str">
        <x:f>_xlfn.XLOOKUP($C171&amp;"|"&amp;$G171,'李醫師能力要求'!$M$7:$M$59,'李醫師能力要求'!$K$7:$K$59,"待確認",0)</x:f>
        <x:v>已確認</x:v>
      </x:c>
      <x:c r="J171" s="37" t="str">
        <x:v>◎</x:v>
      </x:c>
      <x:c r="K171" s="37" t="str">
        <x:v>Ø</x:v>
      </x:c>
      <x:c r="L171" s="48" t="str">
        <x:f>_xlfn.XLOOKUP($A171&amp;"|"&amp;$G171,'試行能力狀態'!$L$7:$L$258,'試行能力狀態'!$E$7:$E$258,"未評估",0)</x:f>
        <x:v>◎</x:v>
      </x:c>
      <x:c r="M171" s="48" t="str">
        <x:f>_xlfn.XLOOKUP($A171&amp;"|"&amp;$G171,'試行能力狀態'!$L$7:$L$258,'試行能力狀態'!$F$7:$F$258,"未建立",0)</x:f>
        <x:v>待主管核定</x:v>
      </x:c>
      <x:c r="N171" s="48" t="str">
        <x:f>IF($L171="◎","符合獨立",IF($L171="Ø","符合條件","不符合"))</x:f>
        <x:v>符合獨立</x:v>
      </x:c>
      <x:c r="O171" s="48" t="str">
        <x:f>_xlfn.XLOOKUP($A171&amp;"|李侑津醫師",'試行熟悉度'!$K$7:$K$20,'試行熟悉度'!$E$7:$E$20,"未評估",0)</x:f>
        <x:v>可獨立配合</x:v>
      </x:c>
      <x:c r="P171" s="48" t="str">
        <x:f>_xlfn.XLOOKUP($A171&amp;"|李侑津醫師",'試行熟悉度'!$K$7:$K$20,'試行熟悉度'!$F$7:$F$20,"未建立",0)</x:f>
        <x:v>待主管核定</x:v>
      </x:c>
      <x:c r="Q171" s="39" t="str">
        <x:v>依一般支援名額</x:v>
      </x:c>
    </x:row>
    <x:row r="172">
      <x:c r="A172" s="37" t="str">
        <x:v>1019</x:v>
      </x:c>
      <x:c r="B172" s="37" t="str"/>
      <x:c r="C172" s="37" t="str">
        <x:v>LJT-PERIO</x:v>
      </x:c>
      <x:c r="D172" s="37" t="str">
        <x:v>牙周統合</x:v>
      </x:c>
      <x:c r="E172" s="37" t="str">
        <x:v>一般</x:v>
      </x:c>
      <x:c r="F172" s="37" t="str">
        <x:v>一般</x:v>
      </x:c>
      <x:c r="G172" s="37" t="str">
        <x:v>COMMON-RECORD</x:v>
      </x:c>
      <x:c r="H172" s="37" t="str">
        <x:v>待確認</x:v>
      </x:c>
      <x:c r="I172" s="37" t="str">
        <x:f>_xlfn.XLOOKUP($C172&amp;"|"&amp;$G172,'李醫師能力要求'!$M$7:$M$59,'李醫師能力要求'!$K$7:$K$59,"待確認",0)</x:f>
        <x:v>待確認</x:v>
      </x:c>
      <x:c r="J172" s="37" t="str">
        <x:v>◎</x:v>
      </x:c>
      <x:c r="K172" s="37" t="str">
        <x:v>Ø</x:v>
      </x:c>
      <x:c r="L172" s="48" t="str">
        <x:f>_xlfn.XLOOKUP($A172&amp;"|"&amp;$G172,'試行能力狀態'!$L$7:$L$258,'試行能力狀態'!$E$7:$E$258,"未評估",0)</x:f>
        <x:v>◎</x:v>
      </x:c>
      <x:c r="M172" s="48" t="str">
        <x:f>_xlfn.XLOOKUP($A172&amp;"|"&amp;$G172,'試行能力狀態'!$L$7:$L$258,'試行能力狀態'!$F$7:$F$258,"未建立",0)</x:f>
        <x:v>待主管核定</x:v>
      </x:c>
      <x:c r="N172" s="48" t="str">
        <x:f>IF($L172="◎","符合獨立",IF($L172="Ø","符合條件","不符合"))</x:f>
        <x:v>符合獨立</x:v>
      </x:c>
      <x:c r="O172" s="48" t="str">
        <x:f>_xlfn.XLOOKUP($A172&amp;"|李侑津醫師",'試行熟悉度'!$K$7:$K$20,'試行熟悉度'!$E$7:$E$20,"未評估",0)</x:f>
        <x:v>可獨立配合</x:v>
      </x:c>
      <x:c r="P172" s="48" t="str">
        <x:f>_xlfn.XLOOKUP($A172&amp;"|李侑津醫師",'試行熟悉度'!$K$7:$K$20,'試行熟悉度'!$F$7:$F$20,"未建立",0)</x:f>
        <x:v>待主管核定</x:v>
      </x:c>
      <x:c r="Q172" s="39" t="str">
        <x:v>確認後才納入自動判定</x:v>
      </x:c>
    </x:row>
    <x:row r="173">
      <x:c r="A173" s="37" t="str">
        <x:v>1019</x:v>
      </x:c>
      <x:c r="B173" s="37" t="str"/>
      <x:c r="C173" s="37" t="str">
        <x:v>LJT-PERIO</x:v>
      </x:c>
      <x:c r="D173" s="37" t="str">
        <x:v>牙周統合</x:v>
      </x:c>
      <x:c r="E173" s="37" t="str">
        <x:v>一般</x:v>
      </x:c>
      <x:c r="F173" s="37" t="str">
        <x:v>一般</x:v>
      </x:c>
      <x:c r="G173" s="37" t="str">
        <x:v>COMMON-INSURANCE</x:v>
      </x:c>
      <x:c r="H173" s="37" t="str">
        <x:v>待確認</x:v>
      </x:c>
      <x:c r="I173" s="37" t="str">
        <x:f>_xlfn.XLOOKUP($C173&amp;"|"&amp;$G173,'李醫師能力要求'!$M$7:$M$59,'李醫師能力要求'!$K$7:$K$59,"待確認",0)</x:f>
        <x:v>待確認</x:v>
      </x:c>
      <x:c r="J173" s="37" t="str">
        <x:v>◎</x:v>
      </x:c>
      <x:c r="K173" s="37" t="str">
        <x:v>Ø</x:v>
      </x:c>
      <x:c r="L173" s="48" t="str">
        <x:f>_xlfn.XLOOKUP($A173&amp;"|"&amp;$G173,'試行能力狀態'!$L$7:$L$258,'試行能力狀態'!$E$7:$E$258,"未評估",0)</x:f>
        <x:v>◎</x:v>
      </x:c>
      <x:c r="M173" s="48" t="str">
        <x:f>_xlfn.XLOOKUP($A173&amp;"|"&amp;$G173,'試行能力狀態'!$L$7:$L$258,'試行能力狀態'!$F$7:$F$258,"未建立",0)</x:f>
        <x:v>待主管核定</x:v>
      </x:c>
      <x:c r="N173" s="48" t="str">
        <x:f>IF($L173="◎","符合獨立",IF($L173="Ø","符合條件","不符合"))</x:f>
        <x:v>符合獨立</x:v>
      </x:c>
      <x:c r="O173" s="48" t="str">
        <x:f>_xlfn.XLOOKUP($A173&amp;"|李侑津醫師",'試行熟悉度'!$K$7:$K$20,'試行熟悉度'!$E$7:$E$20,"未評估",0)</x:f>
        <x:v>可獨立配合</x:v>
      </x:c>
      <x:c r="P173" s="48" t="str">
        <x:f>_xlfn.XLOOKUP($A173&amp;"|李侑津醫師",'試行熟悉度'!$K$7:$K$20,'試行熟悉度'!$F$7:$F$20,"未建立",0)</x:f>
        <x:v>待主管核定</x:v>
      </x:c>
      <x:c r="Q173" s="39" t="str">
        <x:v>確認後才納入自動判定</x:v>
      </x:c>
    </x:row>
    <x:row r="174">
      <x:c r="A174" s="37" t="str">
        <x:v>1019</x:v>
      </x:c>
      <x:c r="B174" s="37" t="str"/>
      <x:c r="C174" s="37" t="str">
        <x:v>LJT-PERIO</x:v>
      </x:c>
      <x:c r="D174" s="37" t="str">
        <x:v>牙周統合</x:v>
      </x:c>
      <x:c r="E174" s="37" t="str">
        <x:v>一般</x:v>
      </x:c>
      <x:c r="F174" s="37" t="str">
        <x:v>一般</x:v>
      </x:c>
      <x:c r="G174" s="37" t="str">
        <x:v>COMMON-XRAY-RECORD</x:v>
      </x:c>
      <x:c r="H174" s="37" t="str">
        <x:v>待確認</x:v>
      </x:c>
      <x:c r="I174" s="37" t="str">
        <x:f>_xlfn.XLOOKUP($C174&amp;"|"&amp;$G174,'李醫師能力要求'!$M$7:$M$59,'李醫師能力要求'!$K$7:$K$59,"待確認",0)</x:f>
        <x:v>待確認</x:v>
      </x:c>
      <x:c r="J174" s="37" t="str">
        <x:v>◎</x:v>
      </x:c>
      <x:c r="K174" s="37" t="str">
        <x:v>Ø</x:v>
      </x:c>
      <x:c r="L174" s="48" t="str">
        <x:f>_xlfn.XLOOKUP($A174&amp;"|"&amp;$G174,'試行能力狀態'!$L$7:$L$258,'試行能力狀態'!$E$7:$E$258,"未評估",0)</x:f>
        <x:v>◎</x:v>
      </x:c>
      <x:c r="M174" s="48" t="str">
        <x:f>_xlfn.XLOOKUP($A174&amp;"|"&amp;$G174,'試行能力狀態'!$L$7:$L$258,'試行能力狀態'!$F$7:$F$258,"未建立",0)</x:f>
        <x:v>待主管核定</x:v>
      </x:c>
      <x:c r="N174" s="48" t="str">
        <x:f>IF($L174="◎","符合獨立",IF($L174="Ø","符合條件","不符合"))</x:f>
        <x:v>符合獨立</x:v>
      </x:c>
      <x:c r="O174" s="48" t="str">
        <x:f>_xlfn.XLOOKUP($A174&amp;"|李侑津醫師",'試行熟悉度'!$K$7:$K$20,'試行熟悉度'!$E$7:$E$20,"未評估",0)</x:f>
        <x:v>可獨立配合</x:v>
      </x:c>
      <x:c r="P174" s="48" t="str">
        <x:f>_xlfn.XLOOKUP($A174&amp;"|李侑津醫師",'試行熟悉度'!$K$7:$K$20,'試行熟悉度'!$F$7:$F$20,"未建立",0)</x:f>
        <x:v>待主管核定</x:v>
      </x:c>
      <x:c r="Q174" s="39" t="str">
        <x:v>確認後才納入自動判定</x:v>
      </x:c>
    </x:row>
    <x:row r="175">
      <x:c r="A175" s="37" t="str">
        <x:v>1019</x:v>
      </x:c>
      <x:c r="B175" s="37" t="str"/>
      <x:c r="C175" s="37" t="str">
        <x:v>LJT-RCT</x:v>
      </x:c>
      <x:c r="D175" s="37" t="str">
        <x:v>一般根管治療</x:v>
      </x:c>
      <x:c r="E175" s="37" t="str">
        <x:v>一般</x:v>
      </x:c>
      <x:c r="F175" s="37" t="str">
        <x:v>一般</x:v>
      </x:c>
      <x:c r="G175" s="37" t="str">
        <x:v>LJT-PREP-RCT</x:v>
      </x:c>
      <x:c r="H175" s="37" t="str">
        <x:v>必備</x:v>
      </x:c>
      <x:c r="I175" s="37" t="str">
        <x:f>_xlfn.XLOOKUP($C175&amp;"|"&amp;$G175,'李醫師能力要求'!$M$7:$M$59,'李醫師能力要求'!$K$7:$K$59,"待確認",0)</x:f>
        <x:v>已確認</x:v>
      </x:c>
      <x:c r="J175" s="37" t="str">
        <x:v>◎</x:v>
      </x:c>
      <x:c r="K175" s="37" t="str">
        <x:v>Ø</x:v>
      </x:c>
      <x:c r="L175" s="48" t="str">
        <x:f>_xlfn.XLOOKUP($A175&amp;"|"&amp;$G175,'試行能力狀態'!$L$7:$L$258,'試行能力狀態'!$E$7:$E$258,"未評估",0)</x:f>
        <x:v>◎</x:v>
      </x:c>
      <x:c r="M175" s="48" t="str">
        <x:f>_xlfn.XLOOKUP($A175&amp;"|"&amp;$G175,'試行能力狀態'!$L$7:$L$258,'試行能力狀態'!$F$7:$F$258,"未建立",0)</x:f>
        <x:v>待主管核定</x:v>
      </x:c>
      <x:c r="N175" s="48" t="str">
        <x:f>IF($L175="◎","符合獨立",IF($L175="Ø","符合條件","不符合"))</x:f>
        <x:v>符合獨立</x:v>
      </x:c>
      <x:c r="O175" s="48" t="str">
        <x:f>_xlfn.XLOOKUP($A175&amp;"|李侑津醫師",'試行熟悉度'!$K$7:$K$20,'試行熟悉度'!$E$7:$E$20,"未評估",0)</x:f>
        <x:v>可獨立配合</x:v>
      </x:c>
      <x:c r="P175" s="48" t="str">
        <x:f>_xlfn.XLOOKUP($A175&amp;"|李侑津醫師",'試行熟悉度'!$K$7:$K$20,'試行熟悉度'!$F$7:$F$20,"未建立",0)</x:f>
        <x:v>待主管核定</x:v>
      </x:c>
      <x:c r="Q175" s="39" t="str">
        <x:v>依一般支援名額</x:v>
      </x:c>
    </x:row>
    <x:row r="176">
      <x:c r="A176" s="37" t="str">
        <x:v>1019</x:v>
      </x:c>
      <x:c r="B176" s="37" t="str"/>
      <x:c r="C176" s="37" t="str">
        <x:v>LJT-RCT</x:v>
      </x:c>
      <x:c r="D176" s="37" t="str">
        <x:v>一般根管治療</x:v>
      </x:c>
      <x:c r="E176" s="37" t="str">
        <x:v>一般</x:v>
      </x:c>
      <x:c r="F176" s="37" t="str">
        <x:v>一般</x:v>
      </x:c>
      <x:c r="G176" s="37" t="str">
        <x:v>COMMON-RECORD</x:v>
      </x:c>
      <x:c r="H176" s="37" t="str">
        <x:v>待確認</x:v>
      </x:c>
      <x:c r="I176" s="37" t="str">
        <x:f>_xlfn.XLOOKUP($C176&amp;"|"&amp;$G176,'李醫師能力要求'!$M$7:$M$59,'李醫師能力要求'!$K$7:$K$59,"待確認",0)</x:f>
        <x:v>待確認</x:v>
      </x:c>
      <x:c r="J176" s="37" t="str">
        <x:v>◎</x:v>
      </x:c>
      <x:c r="K176" s="37" t="str">
        <x:v>Ø</x:v>
      </x:c>
      <x:c r="L176" s="48" t="str">
        <x:f>_xlfn.XLOOKUP($A176&amp;"|"&amp;$G176,'試行能力狀態'!$L$7:$L$258,'試行能力狀態'!$E$7:$E$258,"未評估",0)</x:f>
        <x:v>◎</x:v>
      </x:c>
      <x:c r="M176" s="48" t="str">
        <x:f>_xlfn.XLOOKUP($A176&amp;"|"&amp;$G176,'試行能力狀態'!$L$7:$L$258,'試行能力狀態'!$F$7:$F$258,"未建立",0)</x:f>
        <x:v>待主管核定</x:v>
      </x:c>
      <x:c r="N176" s="48" t="str">
        <x:f>IF($L176="◎","符合獨立",IF($L176="Ø","符合條件","不符合"))</x:f>
        <x:v>符合獨立</x:v>
      </x:c>
      <x:c r="O176" s="48" t="str">
        <x:f>_xlfn.XLOOKUP($A176&amp;"|李侑津醫師",'試行熟悉度'!$K$7:$K$20,'試行熟悉度'!$E$7:$E$20,"未評估",0)</x:f>
        <x:v>可獨立配合</x:v>
      </x:c>
      <x:c r="P176" s="48" t="str">
        <x:f>_xlfn.XLOOKUP($A176&amp;"|李侑津醫師",'試行熟悉度'!$K$7:$K$20,'試行熟悉度'!$F$7:$F$20,"未建立",0)</x:f>
        <x:v>待主管核定</x:v>
      </x:c>
      <x:c r="Q176" s="39" t="str">
        <x:v>確認後才納入自動判定</x:v>
      </x:c>
    </x:row>
    <x:row r="177">
      <x:c r="A177" s="37" t="str">
        <x:v>1019</x:v>
      </x:c>
      <x:c r="B177" s="37" t="str"/>
      <x:c r="C177" s="37" t="str">
        <x:v>LJT-RCT</x:v>
      </x:c>
      <x:c r="D177" s="37" t="str">
        <x:v>一般根管治療</x:v>
      </x:c>
      <x:c r="E177" s="37" t="str">
        <x:v>一般</x:v>
      </x:c>
      <x:c r="F177" s="37" t="str">
        <x:v>一般</x:v>
      </x:c>
      <x:c r="G177" s="37" t="str">
        <x:v>COMMON-INSURANCE</x:v>
      </x:c>
      <x:c r="H177" s="37" t="str">
        <x:v>待確認</x:v>
      </x:c>
      <x:c r="I177" s="37" t="str">
        <x:f>_xlfn.XLOOKUP($C177&amp;"|"&amp;$G177,'李醫師能力要求'!$M$7:$M$59,'李醫師能力要求'!$K$7:$K$59,"待確認",0)</x:f>
        <x:v>待確認</x:v>
      </x:c>
      <x:c r="J177" s="37" t="str">
        <x:v>◎</x:v>
      </x:c>
      <x:c r="K177" s="37" t="str">
        <x:v>Ø</x:v>
      </x:c>
      <x:c r="L177" s="48" t="str">
        <x:f>_xlfn.XLOOKUP($A177&amp;"|"&amp;$G177,'試行能力狀態'!$L$7:$L$258,'試行能力狀態'!$E$7:$E$258,"未評估",0)</x:f>
        <x:v>◎</x:v>
      </x:c>
      <x:c r="M177" s="48" t="str">
        <x:f>_xlfn.XLOOKUP($A177&amp;"|"&amp;$G177,'試行能力狀態'!$L$7:$L$258,'試行能力狀態'!$F$7:$F$258,"未建立",0)</x:f>
        <x:v>待主管核定</x:v>
      </x:c>
      <x:c r="N177" s="48" t="str">
        <x:f>IF($L177="◎","符合獨立",IF($L177="Ø","符合條件","不符合"))</x:f>
        <x:v>符合獨立</x:v>
      </x:c>
      <x:c r="O177" s="48" t="str">
        <x:f>_xlfn.XLOOKUP($A177&amp;"|李侑津醫師",'試行熟悉度'!$K$7:$K$20,'試行熟悉度'!$E$7:$E$20,"未評估",0)</x:f>
        <x:v>可獨立配合</x:v>
      </x:c>
      <x:c r="P177" s="48" t="str">
        <x:f>_xlfn.XLOOKUP($A177&amp;"|李侑津醫師",'試行熟悉度'!$K$7:$K$20,'試行熟悉度'!$F$7:$F$20,"未建立",0)</x:f>
        <x:v>待主管核定</x:v>
      </x:c>
      <x:c r="Q177" s="39" t="str">
        <x:v>確認後才納入自動判定</x:v>
      </x:c>
    </x:row>
    <x:row r="178">
      <x:c r="A178" s="37" t="str">
        <x:v>1019</x:v>
      </x:c>
      <x:c r="B178" s="37" t="str"/>
      <x:c r="C178" s="37" t="str">
        <x:v>LJT-RCT</x:v>
      </x:c>
      <x:c r="D178" s="37" t="str">
        <x:v>一般根管治療</x:v>
      </x:c>
      <x:c r="E178" s="37" t="str">
        <x:v>一般</x:v>
      </x:c>
      <x:c r="F178" s="37" t="str">
        <x:v>一般</x:v>
      </x:c>
      <x:c r="G178" s="37" t="str">
        <x:v>COMMON-XRAY-RECORD</x:v>
      </x:c>
      <x:c r="H178" s="37" t="str">
        <x:v>待確認</x:v>
      </x:c>
      <x:c r="I178" s="37" t="str">
        <x:f>_xlfn.XLOOKUP($C178&amp;"|"&amp;$G178,'李醫師能力要求'!$M$7:$M$59,'李醫師能力要求'!$K$7:$K$59,"待確認",0)</x:f>
        <x:v>待確認</x:v>
      </x:c>
      <x:c r="J178" s="37" t="str">
        <x:v>◎</x:v>
      </x:c>
      <x:c r="K178" s="37" t="str">
        <x:v>Ø</x:v>
      </x:c>
      <x:c r="L178" s="48" t="str">
        <x:f>_xlfn.XLOOKUP($A178&amp;"|"&amp;$G178,'試行能力狀態'!$L$7:$L$258,'試行能力狀態'!$E$7:$E$258,"未評估",0)</x:f>
        <x:v>◎</x:v>
      </x:c>
      <x:c r="M178" s="48" t="str">
        <x:f>_xlfn.XLOOKUP($A178&amp;"|"&amp;$G178,'試行能力狀態'!$L$7:$L$258,'試行能力狀態'!$F$7:$F$258,"未建立",0)</x:f>
        <x:v>待主管核定</x:v>
      </x:c>
      <x:c r="N178" s="48" t="str">
        <x:f>IF($L178="◎","符合獨立",IF($L178="Ø","符合條件","不符合"))</x:f>
        <x:v>符合獨立</x:v>
      </x:c>
      <x:c r="O178" s="48" t="str">
        <x:f>_xlfn.XLOOKUP($A178&amp;"|李侑津醫師",'試行熟悉度'!$K$7:$K$20,'試行熟悉度'!$E$7:$E$20,"未評估",0)</x:f>
        <x:v>可獨立配合</x:v>
      </x:c>
      <x:c r="P178" s="48" t="str">
        <x:f>_xlfn.XLOOKUP($A178&amp;"|李侑津醫師",'試行熟悉度'!$K$7:$K$20,'試行熟悉度'!$F$7:$F$20,"未建立",0)</x:f>
        <x:v>待主管核定</x:v>
      </x:c>
      <x:c r="Q178" s="39" t="str">
        <x:v>確認後才納入自動判定</x:v>
      </x:c>
    </x:row>
    <x:row r="179">
      <x:c r="A179" s="37" t="str">
        <x:v>1019</x:v>
      </x:c>
      <x:c r="B179" s="37" t="str"/>
      <x:c r="C179" s="37" t="str">
        <x:v>LJT-EXTRACTION</x:v>
      </x:c>
      <x:c r="D179" s="37" t="str">
        <x:v>拔牙</x:v>
      </x:c>
      <x:c r="E179" s="37" t="str">
        <x:v>一般</x:v>
      </x:c>
      <x:c r="F179" s="37" t="str">
        <x:v>一般</x:v>
      </x:c>
      <x:c r="G179" s="37" t="str">
        <x:v>LJT-PREP-EXTRACTION</x:v>
      </x:c>
      <x:c r="H179" s="37" t="str">
        <x:v>必備</x:v>
      </x:c>
      <x:c r="I179" s="37" t="str">
        <x:f>_xlfn.XLOOKUP($C179&amp;"|"&amp;$G179,'李醫師能力要求'!$M$7:$M$59,'李醫師能力要求'!$K$7:$K$59,"待確認",0)</x:f>
        <x:v>已確認</x:v>
      </x:c>
      <x:c r="J179" s="37" t="str">
        <x:v>◎</x:v>
      </x:c>
      <x:c r="K179" s="37" t="str">
        <x:v>Ø</x:v>
      </x:c>
      <x:c r="L179" s="48" t="str">
        <x:f>_xlfn.XLOOKUP($A179&amp;"|"&amp;$G179,'試行能力狀態'!$L$7:$L$258,'試行能力狀態'!$E$7:$E$258,"未評估",0)</x:f>
        <x:v>◎</x:v>
      </x:c>
      <x:c r="M179" s="48" t="str">
        <x:f>_xlfn.XLOOKUP($A179&amp;"|"&amp;$G179,'試行能力狀態'!$L$7:$L$258,'試行能力狀態'!$F$7:$F$258,"未建立",0)</x:f>
        <x:v>待主管核定</x:v>
      </x:c>
      <x:c r="N179" s="48" t="str">
        <x:f>IF($L179="◎","符合獨立",IF($L179="Ø","符合條件","不符合"))</x:f>
        <x:v>符合獨立</x:v>
      </x:c>
      <x:c r="O179" s="48" t="str">
        <x:f>_xlfn.XLOOKUP($A179&amp;"|李侑津醫師",'試行熟悉度'!$K$7:$K$20,'試行熟悉度'!$E$7:$E$20,"未評估",0)</x:f>
        <x:v>可獨立配合</x:v>
      </x:c>
      <x:c r="P179" s="48" t="str">
        <x:f>_xlfn.XLOOKUP($A179&amp;"|李侑津醫師",'試行熟悉度'!$K$7:$K$20,'試行熟悉度'!$F$7:$F$20,"未建立",0)</x:f>
        <x:v>待主管核定</x:v>
      </x:c>
      <x:c r="Q179" s="39" t="str">
        <x:v>依一般支援名額</x:v>
      </x:c>
    </x:row>
    <x:row r="180">
      <x:c r="A180" s="37" t="str">
        <x:v>1019</x:v>
      </x:c>
      <x:c r="B180" s="37" t="str"/>
      <x:c r="C180" s="37" t="str">
        <x:v>LJT-EXTRACTION</x:v>
      </x:c>
      <x:c r="D180" s="37" t="str">
        <x:v>拔牙</x:v>
      </x:c>
      <x:c r="E180" s="37" t="str">
        <x:v>一般</x:v>
      </x:c>
      <x:c r="F180" s="37" t="str">
        <x:v>一般</x:v>
      </x:c>
      <x:c r="G180" s="37" t="str">
        <x:v>COMMON-RECORD</x:v>
      </x:c>
      <x:c r="H180" s="37" t="str">
        <x:v>待確認</x:v>
      </x:c>
      <x:c r="I180" s="37" t="str">
        <x:f>_xlfn.XLOOKUP($C180&amp;"|"&amp;$G180,'李醫師能力要求'!$M$7:$M$59,'李醫師能力要求'!$K$7:$K$59,"待確認",0)</x:f>
        <x:v>待確認</x:v>
      </x:c>
      <x:c r="J180" s="37" t="str">
        <x:v>◎</x:v>
      </x:c>
      <x:c r="K180" s="37" t="str">
        <x:v>Ø</x:v>
      </x:c>
      <x:c r="L180" s="48" t="str">
        <x:f>_xlfn.XLOOKUP($A180&amp;"|"&amp;$G180,'試行能力狀態'!$L$7:$L$258,'試行能力狀態'!$E$7:$E$258,"未評估",0)</x:f>
        <x:v>◎</x:v>
      </x:c>
      <x:c r="M180" s="48" t="str">
        <x:f>_xlfn.XLOOKUP($A180&amp;"|"&amp;$G180,'試行能力狀態'!$L$7:$L$258,'試行能力狀態'!$F$7:$F$258,"未建立",0)</x:f>
        <x:v>待主管核定</x:v>
      </x:c>
      <x:c r="N180" s="48" t="str">
        <x:f>IF($L180="◎","符合獨立",IF($L180="Ø","符合條件","不符合"))</x:f>
        <x:v>符合獨立</x:v>
      </x:c>
      <x:c r="O180" s="48" t="str">
        <x:f>_xlfn.XLOOKUP($A180&amp;"|李侑津醫師",'試行熟悉度'!$K$7:$K$20,'試行熟悉度'!$E$7:$E$20,"未評估",0)</x:f>
        <x:v>可獨立配合</x:v>
      </x:c>
      <x:c r="P180" s="48" t="str">
        <x:f>_xlfn.XLOOKUP($A180&amp;"|李侑津醫師",'試行熟悉度'!$K$7:$K$20,'試行熟悉度'!$F$7:$F$20,"未建立",0)</x:f>
        <x:v>待主管核定</x:v>
      </x:c>
      <x:c r="Q180" s="39" t="str">
        <x:v>確認後才納入自動判定</x:v>
      </x:c>
    </x:row>
    <x:row r="181">
      <x:c r="A181" s="37" t="str">
        <x:v>1019</x:v>
      </x:c>
      <x:c r="B181" s="37" t="str"/>
      <x:c r="C181" s="37" t="str">
        <x:v>LJT-EXTRACTION</x:v>
      </x:c>
      <x:c r="D181" s="37" t="str">
        <x:v>拔牙</x:v>
      </x:c>
      <x:c r="E181" s="37" t="str">
        <x:v>一般</x:v>
      </x:c>
      <x:c r="F181" s="37" t="str">
        <x:v>一般</x:v>
      </x:c>
      <x:c r="G181" s="37" t="str">
        <x:v>COMMON-INSURANCE</x:v>
      </x:c>
      <x:c r="H181" s="37" t="str">
        <x:v>待確認</x:v>
      </x:c>
      <x:c r="I181" s="37" t="str">
        <x:f>_xlfn.XLOOKUP($C181&amp;"|"&amp;$G181,'李醫師能力要求'!$M$7:$M$59,'李醫師能力要求'!$K$7:$K$59,"待確認",0)</x:f>
        <x:v>待確認</x:v>
      </x:c>
      <x:c r="J181" s="37" t="str">
        <x:v>◎</x:v>
      </x:c>
      <x:c r="K181" s="37" t="str">
        <x:v>Ø</x:v>
      </x:c>
      <x:c r="L181" s="48" t="str">
        <x:f>_xlfn.XLOOKUP($A181&amp;"|"&amp;$G181,'試行能力狀態'!$L$7:$L$258,'試行能力狀態'!$E$7:$E$258,"未評估",0)</x:f>
        <x:v>◎</x:v>
      </x:c>
      <x:c r="M181" s="48" t="str">
        <x:f>_xlfn.XLOOKUP($A181&amp;"|"&amp;$G181,'試行能力狀態'!$L$7:$L$258,'試行能力狀態'!$F$7:$F$258,"未建立",0)</x:f>
        <x:v>待主管核定</x:v>
      </x:c>
      <x:c r="N181" s="48" t="str">
        <x:f>IF($L181="◎","符合獨立",IF($L181="Ø","符合條件","不符合"))</x:f>
        <x:v>符合獨立</x:v>
      </x:c>
      <x:c r="O181" s="48" t="str">
        <x:f>_xlfn.XLOOKUP($A181&amp;"|李侑津醫師",'試行熟悉度'!$K$7:$K$20,'試行熟悉度'!$E$7:$E$20,"未評估",0)</x:f>
        <x:v>可獨立配合</x:v>
      </x:c>
      <x:c r="P181" s="48" t="str">
        <x:f>_xlfn.XLOOKUP($A181&amp;"|李侑津醫師",'試行熟悉度'!$K$7:$K$20,'試行熟悉度'!$F$7:$F$20,"未建立",0)</x:f>
        <x:v>待主管核定</x:v>
      </x:c>
      <x:c r="Q181" s="39" t="str">
        <x:v>確認後才納入自動判定</x:v>
      </x:c>
    </x:row>
    <x:row r="182">
      <x:c r="A182" s="37" t="str">
        <x:v>1019</x:v>
      </x:c>
      <x:c r="B182" s="37" t="str"/>
      <x:c r="C182" s="37" t="str">
        <x:v>LJT-EXTRACTION</x:v>
      </x:c>
      <x:c r="D182" s="37" t="str">
        <x:v>拔牙</x:v>
      </x:c>
      <x:c r="E182" s="37" t="str">
        <x:v>一般</x:v>
      </x:c>
      <x:c r="F182" s="37" t="str">
        <x:v>一般</x:v>
      </x:c>
      <x:c r="G182" s="37" t="str">
        <x:v>COMMON-XRAY-RECORD</x:v>
      </x:c>
      <x:c r="H182" s="37" t="str">
        <x:v>待確認</x:v>
      </x:c>
      <x:c r="I182" s="37" t="str">
        <x:f>_xlfn.XLOOKUP($C182&amp;"|"&amp;$G182,'李醫師能力要求'!$M$7:$M$59,'李醫師能力要求'!$K$7:$K$59,"待確認",0)</x:f>
        <x:v>待確認</x:v>
      </x:c>
      <x:c r="J182" s="37" t="str">
        <x:v>◎</x:v>
      </x:c>
      <x:c r="K182" s="37" t="str">
        <x:v>Ø</x:v>
      </x:c>
      <x:c r="L182" s="48" t="str">
        <x:f>_xlfn.XLOOKUP($A182&amp;"|"&amp;$G182,'試行能力狀態'!$L$7:$L$258,'試行能力狀態'!$E$7:$E$258,"未評估",0)</x:f>
        <x:v>◎</x:v>
      </x:c>
      <x:c r="M182" s="48" t="str">
        <x:f>_xlfn.XLOOKUP($A182&amp;"|"&amp;$G182,'試行能力狀態'!$L$7:$L$258,'試行能力狀態'!$F$7:$F$258,"未建立",0)</x:f>
        <x:v>待主管核定</x:v>
      </x:c>
      <x:c r="N182" s="48" t="str">
        <x:f>IF($L182="◎","符合獨立",IF($L182="Ø","符合條件","不符合"))</x:f>
        <x:v>符合獨立</x:v>
      </x:c>
      <x:c r="O182" s="48" t="str">
        <x:f>_xlfn.XLOOKUP($A182&amp;"|李侑津醫師",'試行熟悉度'!$K$7:$K$20,'試行熟悉度'!$E$7:$E$20,"未評估",0)</x:f>
        <x:v>可獨立配合</x:v>
      </x:c>
      <x:c r="P182" s="48" t="str">
        <x:f>_xlfn.XLOOKUP($A182&amp;"|李侑津醫師",'試行熟悉度'!$K$7:$K$20,'試行熟悉度'!$F$7:$F$20,"未建立",0)</x:f>
        <x:v>待主管核定</x:v>
      </x:c>
      <x:c r="Q182" s="39" t="str">
        <x:v>確認後才納入自動判定</x:v>
      </x:c>
    </x:row>
    <x:row r="183">
      <x:c r="A183" s="37" t="str">
        <x:v>1019</x:v>
      </x:c>
      <x:c r="B183" s="37" t="str"/>
      <x:c r="C183" s="37" t="str">
        <x:v>LJT-CROWNPOST</x:v>
      </x:c>
      <x:c r="D183" s="37" t="str">
        <x:v>拆 crown/post</x:v>
      </x:c>
      <x:c r="E183" s="37" t="str">
        <x:v>一般</x:v>
      </x:c>
      <x:c r="F183" s="37" t="str">
        <x:v>一般</x:v>
      </x:c>
      <x:c r="G183" s="37" t="str">
        <x:v>LJT-PREP-CROWNPOST</x:v>
      </x:c>
      <x:c r="H183" s="37" t="str">
        <x:v>必備</x:v>
      </x:c>
      <x:c r="I183" s="37" t="str">
        <x:f>_xlfn.XLOOKUP($C183&amp;"|"&amp;$G183,'李醫師能力要求'!$M$7:$M$59,'李醫師能力要求'!$K$7:$K$59,"待確認",0)</x:f>
        <x:v>已確認</x:v>
      </x:c>
      <x:c r="J183" s="37" t="str">
        <x:v>◎</x:v>
      </x:c>
      <x:c r="K183" s="37" t="str">
        <x:v>Ø</x:v>
      </x:c>
      <x:c r="L183" s="48" t="str">
        <x:f>_xlfn.XLOOKUP($A183&amp;"|"&amp;$G183,'試行能力狀態'!$L$7:$L$258,'試行能力狀態'!$E$7:$E$258,"未評估",0)</x:f>
        <x:v>◎</x:v>
      </x:c>
      <x:c r="M183" s="48" t="str">
        <x:f>_xlfn.XLOOKUP($A183&amp;"|"&amp;$G183,'試行能力狀態'!$L$7:$L$258,'試行能力狀態'!$F$7:$F$258,"未建立",0)</x:f>
        <x:v>待主管核定</x:v>
      </x:c>
      <x:c r="N183" s="48" t="str">
        <x:f>IF($L183="◎","符合獨立",IF($L183="Ø","符合條件","不符合"))</x:f>
        <x:v>符合獨立</x:v>
      </x:c>
      <x:c r="O183" s="48" t="str">
        <x:f>_xlfn.XLOOKUP($A183&amp;"|李侑津醫師",'試行熟悉度'!$K$7:$K$20,'試行熟悉度'!$E$7:$E$20,"未評估",0)</x:f>
        <x:v>可獨立配合</x:v>
      </x:c>
      <x:c r="P183" s="48" t="str">
        <x:f>_xlfn.XLOOKUP($A183&amp;"|李侑津醫師",'試行熟悉度'!$K$7:$K$20,'試行熟悉度'!$F$7:$F$20,"未建立",0)</x:f>
        <x:v>待主管核定</x:v>
      </x:c>
      <x:c r="Q183" s="39" t="str">
        <x:v>依一般支援名額</x:v>
      </x:c>
    </x:row>
    <x:row r="184">
      <x:c r="A184" s="37" t="str">
        <x:v>1019</x:v>
      </x:c>
      <x:c r="B184" s="37" t="str"/>
      <x:c r="C184" s="37" t="str">
        <x:v>LJT-CROWNPOST</x:v>
      </x:c>
      <x:c r="D184" s="37" t="str">
        <x:v>拆 crown/post</x:v>
      </x:c>
      <x:c r="E184" s="37" t="str">
        <x:v>一般</x:v>
      </x:c>
      <x:c r="F184" s="37" t="str">
        <x:v>一般</x:v>
      </x:c>
      <x:c r="G184" s="37" t="str">
        <x:v>COMMON-RECORD</x:v>
      </x:c>
      <x:c r="H184" s="37" t="str">
        <x:v>待確認</x:v>
      </x:c>
      <x:c r="I184" s="37" t="str">
        <x:f>_xlfn.XLOOKUP($C184&amp;"|"&amp;$G184,'李醫師能力要求'!$M$7:$M$59,'李醫師能力要求'!$K$7:$K$59,"待確認",0)</x:f>
        <x:v>待確認</x:v>
      </x:c>
      <x:c r="J184" s="37" t="str">
        <x:v>◎</x:v>
      </x:c>
      <x:c r="K184" s="37" t="str">
        <x:v>Ø</x:v>
      </x:c>
      <x:c r="L184" s="48" t="str">
        <x:f>_xlfn.XLOOKUP($A184&amp;"|"&amp;$G184,'試行能力狀態'!$L$7:$L$258,'試行能力狀態'!$E$7:$E$258,"未評估",0)</x:f>
        <x:v>◎</x:v>
      </x:c>
      <x:c r="M184" s="48" t="str">
        <x:f>_xlfn.XLOOKUP($A184&amp;"|"&amp;$G184,'試行能力狀態'!$L$7:$L$258,'試行能力狀態'!$F$7:$F$258,"未建立",0)</x:f>
        <x:v>待主管核定</x:v>
      </x:c>
      <x:c r="N184" s="48" t="str">
        <x:f>IF($L184="◎","符合獨立",IF($L184="Ø","符合條件","不符合"))</x:f>
        <x:v>符合獨立</x:v>
      </x:c>
      <x:c r="O184" s="48" t="str">
        <x:f>_xlfn.XLOOKUP($A184&amp;"|李侑津醫師",'試行熟悉度'!$K$7:$K$20,'試行熟悉度'!$E$7:$E$20,"未評估",0)</x:f>
        <x:v>可獨立配合</x:v>
      </x:c>
      <x:c r="P184" s="48" t="str">
        <x:f>_xlfn.XLOOKUP($A184&amp;"|李侑津醫師",'試行熟悉度'!$K$7:$K$20,'試行熟悉度'!$F$7:$F$20,"未建立",0)</x:f>
        <x:v>待主管核定</x:v>
      </x:c>
      <x:c r="Q184" s="39" t="str">
        <x:v>確認後才納入自動判定</x:v>
      </x:c>
    </x:row>
    <x:row r="185">
      <x:c r="A185" s="37" t="str">
        <x:v>1019</x:v>
      </x:c>
      <x:c r="B185" s="37" t="str"/>
      <x:c r="C185" s="37" t="str">
        <x:v>LJT-CROWNPOST</x:v>
      </x:c>
      <x:c r="D185" s="37" t="str">
        <x:v>拆 crown/post</x:v>
      </x:c>
      <x:c r="E185" s="37" t="str">
        <x:v>一般</x:v>
      </x:c>
      <x:c r="F185" s="37" t="str">
        <x:v>一般</x:v>
      </x:c>
      <x:c r="G185" s="37" t="str">
        <x:v>COMMON-INSURANCE</x:v>
      </x:c>
      <x:c r="H185" s="37" t="str">
        <x:v>待確認</x:v>
      </x:c>
      <x:c r="I185" s="37" t="str">
        <x:f>_xlfn.XLOOKUP($C185&amp;"|"&amp;$G185,'李醫師能力要求'!$M$7:$M$59,'李醫師能力要求'!$K$7:$K$59,"待確認",0)</x:f>
        <x:v>待確認</x:v>
      </x:c>
      <x:c r="J185" s="37" t="str">
        <x:v>◎</x:v>
      </x:c>
      <x:c r="K185" s="37" t="str">
        <x:v>Ø</x:v>
      </x:c>
      <x:c r="L185" s="48" t="str">
        <x:f>_xlfn.XLOOKUP($A185&amp;"|"&amp;$G185,'試行能力狀態'!$L$7:$L$258,'試行能力狀態'!$E$7:$E$258,"未評估",0)</x:f>
        <x:v>◎</x:v>
      </x:c>
      <x:c r="M185" s="48" t="str">
        <x:f>_xlfn.XLOOKUP($A185&amp;"|"&amp;$G185,'試行能力狀態'!$L$7:$L$258,'試行能力狀態'!$F$7:$F$258,"未建立",0)</x:f>
        <x:v>待主管核定</x:v>
      </x:c>
      <x:c r="N185" s="48" t="str">
        <x:f>IF($L185="◎","符合獨立",IF($L185="Ø","符合條件","不符合"))</x:f>
        <x:v>符合獨立</x:v>
      </x:c>
      <x:c r="O185" s="48" t="str">
        <x:f>_xlfn.XLOOKUP($A185&amp;"|李侑津醫師",'試行熟悉度'!$K$7:$K$20,'試行熟悉度'!$E$7:$E$20,"未評估",0)</x:f>
        <x:v>可獨立配合</x:v>
      </x:c>
      <x:c r="P185" s="48" t="str">
        <x:f>_xlfn.XLOOKUP($A185&amp;"|李侑津醫師",'試行熟悉度'!$K$7:$K$20,'試行熟悉度'!$F$7:$F$20,"未建立",0)</x:f>
        <x:v>待主管核定</x:v>
      </x:c>
      <x:c r="Q185" s="39" t="str">
        <x:v>確認後才納入自動判定</x:v>
      </x:c>
    </x:row>
    <x:row r="186">
      <x:c r="A186" s="37" t="str">
        <x:v>1019</x:v>
      </x:c>
      <x:c r="B186" s="37" t="str"/>
      <x:c r="C186" s="37" t="str">
        <x:v>LJT-CROWNPOST</x:v>
      </x:c>
      <x:c r="D186" s="37" t="str">
        <x:v>拆 crown/post</x:v>
      </x:c>
      <x:c r="E186" s="37" t="str">
        <x:v>一般</x:v>
      </x:c>
      <x:c r="F186" s="37" t="str">
        <x:v>一般</x:v>
      </x:c>
      <x:c r="G186" s="37" t="str">
        <x:v>COMMON-XRAY-RECORD</x:v>
      </x:c>
      <x:c r="H186" s="37" t="str">
        <x:v>待確認</x:v>
      </x:c>
      <x:c r="I186" s="37" t="str">
        <x:f>_xlfn.XLOOKUP($C186&amp;"|"&amp;$G186,'李醫師能力要求'!$M$7:$M$59,'李醫師能力要求'!$K$7:$K$59,"待確認",0)</x:f>
        <x:v>待確認</x:v>
      </x:c>
      <x:c r="J186" s="37" t="str">
        <x:v>◎</x:v>
      </x:c>
      <x:c r="K186" s="37" t="str">
        <x:v>Ø</x:v>
      </x:c>
      <x:c r="L186" s="48" t="str">
        <x:f>_xlfn.XLOOKUP($A186&amp;"|"&amp;$G186,'試行能力狀態'!$L$7:$L$258,'試行能力狀態'!$E$7:$E$258,"未評估",0)</x:f>
        <x:v>◎</x:v>
      </x:c>
      <x:c r="M186" s="48" t="str">
        <x:f>_xlfn.XLOOKUP($A186&amp;"|"&amp;$G186,'試行能力狀態'!$L$7:$L$258,'試行能力狀態'!$F$7:$F$258,"未建立",0)</x:f>
        <x:v>待主管核定</x:v>
      </x:c>
      <x:c r="N186" s="48" t="str">
        <x:f>IF($L186="◎","符合獨立",IF($L186="Ø","符合條件","不符合"))</x:f>
        <x:v>符合獨立</x:v>
      </x:c>
      <x:c r="O186" s="48" t="str">
        <x:f>_xlfn.XLOOKUP($A186&amp;"|李侑津醫師",'試行熟悉度'!$K$7:$K$20,'試行熟悉度'!$E$7:$E$20,"未評估",0)</x:f>
        <x:v>可獨立配合</x:v>
      </x:c>
      <x:c r="P186" s="48" t="str">
        <x:f>_xlfn.XLOOKUP($A186&amp;"|李侑津醫師",'試行熟悉度'!$K$7:$K$20,'試行熟悉度'!$F$7:$F$20,"未建立",0)</x:f>
        <x:v>待主管核定</x:v>
      </x:c>
      <x:c r="Q186" s="39" t="str">
        <x:v>確認後才納入自動判定</x:v>
      </x:c>
    </x:row>
    <x:row r="187">
      <x:c r="A187" s="37" t="str">
        <x:v>1019</x:v>
      </x:c>
      <x:c r="B187" s="37" t="str"/>
      <x:c r="C187" s="37" t="str">
        <x:v>LJT-CROWN</x:v>
      </x:c>
      <x:c r="D187" s="37" t="str">
        <x:v>固定假牙</x:v>
      </x:c>
      <x:c r="E187" s="37" t="str">
        <x:v>一般</x:v>
      </x:c>
      <x:c r="F187" s="37" t="str">
        <x:v>一般</x:v>
      </x:c>
      <x:c r="G187" s="37" t="str">
        <x:v>LJT-PREP-CROWN</x:v>
      </x:c>
      <x:c r="H187" s="37" t="str">
        <x:v>必備</x:v>
      </x:c>
      <x:c r="I187" s="37" t="str">
        <x:f>_xlfn.XLOOKUP($C187&amp;"|"&amp;$G187,'李醫師能力要求'!$M$7:$M$59,'李醫師能力要求'!$K$7:$K$59,"待確認",0)</x:f>
        <x:v>已確認</x:v>
      </x:c>
      <x:c r="J187" s="37" t="str">
        <x:v>◎</x:v>
      </x:c>
      <x:c r="K187" s="37" t="str">
        <x:v>Ø</x:v>
      </x:c>
      <x:c r="L187" s="48" t="str">
        <x:f>_xlfn.XLOOKUP($A187&amp;"|"&amp;$G187,'試行能力狀態'!$L$7:$L$258,'試行能力狀態'!$E$7:$E$258,"未評估",0)</x:f>
        <x:v>◎</x:v>
      </x:c>
      <x:c r="M187" s="48" t="str">
        <x:f>_xlfn.XLOOKUP($A187&amp;"|"&amp;$G187,'試行能力狀態'!$L$7:$L$258,'試行能力狀態'!$F$7:$F$258,"未建立",0)</x:f>
        <x:v>待主管核定</x:v>
      </x:c>
      <x:c r="N187" s="48" t="str">
        <x:f>IF($L187="◎","符合獨立",IF($L187="Ø","符合條件","不符合"))</x:f>
        <x:v>符合獨立</x:v>
      </x:c>
      <x:c r="O187" s="48" t="str">
        <x:f>_xlfn.XLOOKUP($A187&amp;"|李侑津醫師",'試行熟悉度'!$K$7:$K$20,'試行熟悉度'!$E$7:$E$20,"未評估",0)</x:f>
        <x:v>可獨立配合</x:v>
      </x:c>
      <x:c r="P187" s="48" t="str">
        <x:f>_xlfn.XLOOKUP($A187&amp;"|李侑津醫師",'試行熟悉度'!$K$7:$K$20,'試行熟悉度'!$F$7:$F$20,"未建立",0)</x:f>
        <x:v>待主管核定</x:v>
      </x:c>
      <x:c r="Q187" s="39" t="str">
        <x:v>依一般支援名額</x:v>
      </x:c>
    </x:row>
    <x:row r="188">
      <x:c r="A188" s="37" t="str">
        <x:v>1019</x:v>
      </x:c>
      <x:c r="B188" s="37" t="str"/>
      <x:c r="C188" s="37" t="str">
        <x:v>LJT-CROWN</x:v>
      </x:c>
      <x:c r="D188" s="37" t="str">
        <x:v>固定假牙</x:v>
      </x:c>
      <x:c r="E188" s="37" t="str">
        <x:v>一般</x:v>
      </x:c>
      <x:c r="F188" s="37" t="str">
        <x:v>一般</x:v>
      </x:c>
      <x:c r="G188" s="37" t="str">
        <x:v>COMMON-RECORD</x:v>
      </x:c>
      <x:c r="H188" s="37" t="str">
        <x:v>待確認</x:v>
      </x:c>
      <x:c r="I188" s="37" t="str">
        <x:f>_xlfn.XLOOKUP($C188&amp;"|"&amp;$G188,'李醫師能力要求'!$M$7:$M$59,'李醫師能力要求'!$K$7:$K$59,"待確認",0)</x:f>
        <x:v>待確認</x:v>
      </x:c>
      <x:c r="J188" s="37" t="str">
        <x:v>◎</x:v>
      </x:c>
      <x:c r="K188" s="37" t="str">
        <x:v>Ø</x:v>
      </x:c>
      <x:c r="L188" s="48" t="str">
        <x:f>_xlfn.XLOOKUP($A188&amp;"|"&amp;$G188,'試行能力狀態'!$L$7:$L$258,'試行能力狀態'!$E$7:$E$258,"未評估",0)</x:f>
        <x:v>◎</x:v>
      </x:c>
      <x:c r="M188" s="48" t="str">
        <x:f>_xlfn.XLOOKUP($A188&amp;"|"&amp;$G188,'試行能力狀態'!$L$7:$L$258,'試行能力狀態'!$F$7:$F$258,"未建立",0)</x:f>
        <x:v>待主管核定</x:v>
      </x:c>
      <x:c r="N188" s="48" t="str">
        <x:f>IF($L188="◎","符合獨立",IF($L188="Ø","符合條件","不符合"))</x:f>
        <x:v>符合獨立</x:v>
      </x:c>
      <x:c r="O188" s="48" t="str">
        <x:f>_xlfn.XLOOKUP($A188&amp;"|李侑津醫師",'試行熟悉度'!$K$7:$K$20,'試行熟悉度'!$E$7:$E$20,"未評估",0)</x:f>
        <x:v>可獨立配合</x:v>
      </x:c>
      <x:c r="P188" s="48" t="str">
        <x:f>_xlfn.XLOOKUP($A188&amp;"|李侑津醫師",'試行熟悉度'!$K$7:$K$20,'試行熟悉度'!$F$7:$F$20,"未建立",0)</x:f>
        <x:v>待主管核定</x:v>
      </x:c>
      <x:c r="Q188" s="39" t="str">
        <x:v>確認後才納入自動判定</x:v>
      </x:c>
    </x:row>
    <x:row r="189">
      <x:c r="A189" s="37" t="str">
        <x:v>1019</x:v>
      </x:c>
      <x:c r="B189" s="37" t="str"/>
      <x:c r="C189" s="37" t="str">
        <x:v>LJT-CROWN</x:v>
      </x:c>
      <x:c r="D189" s="37" t="str">
        <x:v>固定假牙</x:v>
      </x:c>
      <x:c r="E189" s="37" t="str">
        <x:v>一般</x:v>
      </x:c>
      <x:c r="F189" s="37" t="str">
        <x:v>一般</x:v>
      </x:c>
      <x:c r="G189" s="37" t="str">
        <x:v>COMMON-INSURANCE</x:v>
      </x:c>
      <x:c r="H189" s="37" t="str">
        <x:v>待確認</x:v>
      </x:c>
      <x:c r="I189" s="37" t="str">
        <x:f>_xlfn.XLOOKUP($C189&amp;"|"&amp;$G189,'李醫師能力要求'!$M$7:$M$59,'李醫師能力要求'!$K$7:$K$59,"待確認",0)</x:f>
        <x:v>待確認</x:v>
      </x:c>
      <x:c r="J189" s="37" t="str">
        <x:v>◎</x:v>
      </x:c>
      <x:c r="K189" s="37" t="str">
        <x:v>Ø</x:v>
      </x:c>
      <x:c r="L189" s="48" t="str">
        <x:f>_xlfn.XLOOKUP($A189&amp;"|"&amp;$G189,'試行能力狀態'!$L$7:$L$258,'試行能力狀態'!$E$7:$E$258,"未評估",0)</x:f>
        <x:v>◎</x:v>
      </x:c>
      <x:c r="M189" s="48" t="str">
        <x:f>_xlfn.XLOOKUP($A189&amp;"|"&amp;$G189,'試行能力狀態'!$L$7:$L$258,'試行能力狀態'!$F$7:$F$258,"未建立",0)</x:f>
        <x:v>待主管核定</x:v>
      </x:c>
      <x:c r="N189" s="48" t="str">
        <x:f>IF($L189="◎","符合獨立",IF($L189="Ø","符合條件","不符合"))</x:f>
        <x:v>符合獨立</x:v>
      </x:c>
      <x:c r="O189" s="48" t="str">
        <x:f>_xlfn.XLOOKUP($A189&amp;"|李侑津醫師",'試行熟悉度'!$K$7:$K$20,'試行熟悉度'!$E$7:$E$20,"未評估",0)</x:f>
        <x:v>可獨立配合</x:v>
      </x:c>
      <x:c r="P189" s="48" t="str">
        <x:f>_xlfn.XLOOKUP($A189&amp;"|李侑津醫師",'試行熟悉度'!$K$7:$K$20,'試行熟悉度'!$F$7:$F$20,"未建立",0)</x:f>
        <x:v>待主管核定</x:v>
      </x:c>
      <x:c r="Q189" s="39" t="str">
        <x:v>確認後才納入自動判定</x:v>
      </x:c>
    </x:row>
    <x:row r="190">
      <x:c r="A190" s="37" t="str">
        <x:v>1019</x:v>
      </x:c>
      <x:c r="B190" s="37" t="str"/>
      <x:c r="C190" s="37" t="str">
        <x:v>LJT-CROWN</x:v>
      </x:c>
      <x:c r="D190" s="37" t="str">
        <x:v>固定假牙</x:v>
      </x:c>
      <x:c r="E190" s="37" t="str">
        <x:v>一般</x:v>
      </x:c>
      <x:c r="F190" s="37" t="str">
        <x:v>一般</x:v>
      </x:c>
      <x:c r="G190" s="37" t="str">
        <x:v>COMMON-XRAY-RECORD</x:v>
      </x:c>
      <x:c r="H190" s="37" t="str">
        <x:v>待確認</x:v>
      </x:c>
      <x:c r="I190" s="37" t="str">
        <x:f>_xlfn.XLOOKUP($C190&amp;"|"&amp;$G190,'李醫師能力要求'!$M$7:$M$59,'李醫師能力要求'!$K$7:$K$59,"待確認",0)</x:f>
        <x:v>待確認</x:v>
      </x:c>
      <x:c r="J190" s="37" t="str">
        <x:v>◎</x:v>
      </x:c>
      <x:c r="K190" s="37" t="str">
        <x:v>Ø</x:v>
      </x:c>
      <x:c r="L190" s="48" t="str">
        <x:f>_xlfn.XLOOKUP($A190&amp;"|"&amp;$G190,'試行能力狀態'!$L$7:$L$258,'試行能力狀態'!$E$7:$E$258,"未評估",0)</x:f>
        <x:v>◎</x:v>
      </x:c>
      <x:c r="M190" s="48" t="str">
        <x:f>_xlfn.XLOOKUP($A190&amp;"|"&amp;$G190,'試行能力狀態'!$L$7:$L$258,'試行能力狀態'!$F$7:$F$258,"未建立",0)</x:f>
        <x:v>待主管核定</x:v>
      </x:c>
      <x:c r="N190" s="48" t="str">
        <x:f>IF($L190="◎","符合獨立",IF($L190="Ø","符合條件","不符合"))</x:f>
        <x:v>符合獨立</x:v>
      </x:c>
      <x:c r="O190" s="48" t="str">
        <x:f>_xlfn.XLOOKUP($A190&amp;"|李侑津醫師",'試行熟悉度'!$K$7:$K$20,'試行熟悉度'!$E$7:$E$20,"未評估",0)</x:f>
        <x:v>可獨立配合</x:v>
      </x:c>
      <x:c r="P190" s="48" t="str">
        <x:f>_xlfn.XLOOKUP($A190&amp;"|李侑津醫師",'試行熟悉度'!$K$7:$K$20,'試行熟悉度'!$F$7:$F$20,"未建立",0)</x:f>
        <x:v>待主管核定</x:v>
      </x:c>
      <x:c r="Q190" s="39" t="str">
        <x:v>確認後才納入自動判定</x:v>
      </x:c>
    </x:row>
    <x:row r="191">
      <x:c r="A191" s="37" t="str">
        <x:v>1019</x:v>
      </x:c>
      <x:c r="B191" s="37" t="str"/>
      <x:c r="C191" s="37" t="str">
        <x:v>LJT-RPD</x:v>
      </x:c>
      <x:c r="D191" s="37" t="str">
        <x:v>RPD</x:v>
      </x:c>
      <x:c r="E191" s="37" t="str">
        <x:v>一般步驟</x:v>
      </x:c>
      <x:c r="F191" s="37" t="str">
        <x:v>一般</x:v>
      </x:c>
      <x:c r="G191" s="37" t="str">
        <x:v>LJT-PREP-RPD</x:v>
      </x:c>
      <x:c r="H191" s="37" t="str">
        <x:v>必備</x:v>
      </x:c>
      <x:c r="I191" s="37" t="str">
        <x:f>_xlfn.XLOOKUP($C191&amp;"|"&amp;$G191,'李醫師能力要求'!$M$7:$M$59,'李醫師能力要求'!$K$7:$K$59,"待確認",0)</x:f>
        <x:v>已確認</x:v>
      </x:c>
      <x:c r="J191" s="37" t="str">
        <x:v>◎</x:v>
      </x:c>
      <x:c r="K191" s="37" t="str">
        <x:v>Ø</x:v>
      </x:c>
      <x:c r="L191" s="48" t="str">
        <x:f>_xlfn.XLOOKUP($A191&amp;"|"&amp;$G191,'試行能力狀態'!$L$7:$L$258,'試行能力狀態'!$E$7:$E$258,"未評估",0)</x:f>
        <x:v>◎</x:v>
      </x:c>
      <x:c r="M191" s="48" t="str">
        <x:f>_xlfn.XLOOKUP($A191&amp;"|"&amp;$G191,'試行能力狀態'!$L$7:$L$258,'試行能力狀態'!$F$7:$F$258,"未建立",0)</x:f>
        <x:v>待主管核定</x:v>
      </x:c>
      <x:c r="N191" s="48" t="str">
        <x:f>IF($L191="◎","符合獨立",IF($L191="Ø","符合條件","不符合"))</x:f>
        <x:v>符合獨立</x:v>
      </x:c>
      <x:c r="O191" s="48" t="str">
        <x:f>_xlfn.XLOOKUP($A191&amp;"|李侑津醫師",'試行熟悉度'!$K$7:$K$20,'試行熟悉度'!$E$7:$E$20,"未評估",0)</x:f>
        <x:v>可獨立配合</x:v>
      </x:c>
      <x:c r="P191" s="48" t="str">
        <x:f>_xlfn.XLOOKUP($A191&amp;"|李侑津醫師",'試行熟悉度'!$K$7:$K$20,'試行熟悉度'!$F$7:$F$20,"未建立",0)</x:f>
        <x:v>待主管核定</x:v>
      </x:c>
      <x:c r="Q191" s="39" t="str">
        <x:v>依一般支援名額</x:v>
      </x:c>
    </x:row>
    <x:row r="192">
      <x:c r="A192" s="37" t="str">
        <x:v>1019</x:v>
      </x:c>
      <x:c r="B192" s="37" t="str"/>
      <x:c r="C192" s="37" t="str">
        <x:v>LJT-RPD</x:v>
      </x:c>
      <x:c r="D192" s="37" t="str">
        <x:v>RPD</x:v>
      </x:c>
      <x:c r="E192" s="37" t="str">
        <x:v>一般步驟</x:v>
      </x:c>
      <x:c r="F192" s="37" t="str">
        <x:v>一般</x:v>
      </x:c>
      <x:c r="G192" s="37" t="str">
        <x:v>COMMON-RECORD</x:v>
      </x:c>
      <x:c r="H192" s="37" t="str">
        <x:v>待確認</x:v>
      </x:c>
      <x:c r="I192" s="37" t="str">
        <x:f>_xlfn.XLOOKUP($C192&amp;"|"&amp;$G192,'李醫師能力要求'!$M$7:$M$59,'李醫師能力要求'!$K$7:$K$59,"待確認",0)</x:f>
        <x:v>待確認</x:v>
      </x:c>
      <x:c r="J192" s="37" t="str">
        <x:v>◎</x:v>
      </x:c>
      <x:c r="K192" s="37" t="str">
        <x:v>Ø</x:v>
      </x:c>
      <x:c r="L192" s="48" t="str">
        <x:f>_xlfn.XLOOKUP($A192&amp;"|"&amp;$G192,'試行能力狀態'!$L$7:$L$258,'試行能力狀態'!$E$7:$E$258,"未評估",0)</x:f>
        <x:v>◎</x:v>
      </x:c>
      <x:c r="M192" s="48" t="str">
        <x:f>_xlfn.XLOOKUP($A192&amp;"|"&amp;$G192,'試行能力狀態'!$L$7:$L$258,'試行能力狀態'!$F$7:$F$258,"未建立",0)</x:f>
        <x:v>待主管核定</x:v>
      </x:c>
      <x:c r="N192" s="48" t="str">
        <x:f>IF($L192="◎","符合獨立",IF($L192="Ø","符合條件","不符合"))</x:f>
        <x:v>符合獨立</x:v>
      </x:c>
      <x:c r="O192" s="48" t="str">
        <x:f>_xlfn.XLOOKUP($A192&amp;"|李侑津醫師",'試行熟悉度'!$K$7:$K$20,'試行熟悉度'!$E$7:$E$20,"未評估",0)</x:f>
        <x:v>可獨立配合</x:v>
      </x:c>
      <x:c r="P192" s="48" t="str">
        <x:f>_xlfn.XLOOKUP($A192&amp;"|李侑津醫師",'試行熟悉度'!$K$7:$K$20,'試行熟悉度'!$F$7:$F$20,"未建立",0)</x:f>
        <x:v>待主管核定</x:v>
      </x:c>
      <x:c r="Q192" s="39" t="str">
        <x:v>確認後才納入自動判定</x:v>
      </x:c>
    </x:row>
    <x:row r="193">
      <x:c r="A193" s="37" t="str">
        <x:v>1019</x:v>
      </x:c>
      <x:c r="B193" s="37" t="str"/>
      <x:c r="C193" s="37" t="str">
        <x:v>LJT-RPD</x:v>
      </x:c>
      <x:c r="D193" s="37" t="str">
        <x:v>RPD</x:v>
      </x:c>
      <x:c r="E193" s="37" t="str">
        <x:v>一般步驟</x:v>
      </x:c>
      <x:c r="F193" s="37" t="str">
        <x:v>一般</x:v>
      </x:c>
      <x:c r="G193" s="37" t="str">
        <x:v>COMMON-INSURANCE</x:v>
      </x:c>
      <x:c r="H193" s="37" t="str">
        <x:v>待確認</x:v>
      </x:c>
      <x:c r="I193" s="37" t="str">
        <x:f>_xlfn.XLOOKUP($C193&amp;"|"&amp;$G193,'李醫師能力要求'!$M$7:$M$59,'李醫師能力要求'!$K$7:$K$59,"待確認",0)</x:f>
        <x:v>待確認</x:v>
      </x:c>
      <x:c r="J193" s="37" t="str">
        <x:v>◎</x:v>
      </x:c>
      <x:c r="K193" s="37" t="str">
        <x:v>Ø</x:v>
      </x:c>
      <x:c r="L193" s="48" t="str">
        <x:f>_xlfn.XLOOKUP($A193&amp;"|"&amp;$G193,'試行能力狀態'!$L$7:$L$258,'試行能力狀態'!$E$7:$E$258,"未評估",0)</x:f>
        <x:v>◎</x:v>
      </x:c>
      <x:c r="M193" s="48" t="str">
        <x:f>_xlfn.XLOOKUP($A193&amp;"|"&amp;$G193,'試行能力狀態'!$L$7:$L$258,'試行能力狀態'!$F$7:$F$258,"未建立",0)</x:f>
        <x:v>待主管核定</x:v>
      </x:c>
      <x:c r="N193" s="48" t="str">
        <x:f>IF($L193="◎","符合獨立",IF($L193="Ø","符合條件","不符合"))</x:f>
        <x:v>符合獨立</x:v>
      </x:c>
      <x:c r="O193" s="48" t="str">
        <x:f>_xlfn.XLOOKUP($A193&amp;"|李侑津醫師",'試行熟悉度'!$K$7:$K$20,'試行熟悉度'!$E$7:$E$20,"未評估",0)</x:f>
        <x:v>可獨立配合</x:v>
      </x:c>
      <x:c r="P193" s="48" t="str">
        <x:f>_xlfn.XLOOKUP($A193&amp;"|李侑津醫師",'試行熟悉度'!$K$7:$K$20,'試行熟悉度'!$F$7:$F$20,"未建立",0)</x:f>
        <x:v>待主管核定</x:v>
      </x:c>
      <x:c r="Q193" s="39" t="str">
        <x:v>確認後才納入自動判定</x:v>
      </x:c>
    </x:row>
    <x:row r="194">
      <x:c r="A194" s="37" t="str">
        <x:v>1019</x:v>
      </x:c>
      <x:c r="B194" s="37" t="str"/>
      <x:c r="C194" s="37" t="str">
        <x:v>LJT-RPD</x:v>
      </x:c>
      <x:c r="D194" s="37" t="str">
        <x:v>RPD</x:v>
      </x:c>
      <x:c r="E194" s="37" t="str">
        <x:v>一般步驟</x:v>
      </x:c>
      <x:c r="F194" s="37" t="str">
        <x:v>一般</x:v>
      </x:c>
      <x:c r="G194" s="37" t="str">
        <x:v>COMMON-XRAY-RECORD</x:v>
      </x:c>
      <x:c r="H194" s="37" t="str">
        <x:v>待確認</x:v>
      </x:c>
      <x:c r="I194" s="37" t="str">
        <x:f>_xlfn.XLOOKUP($C194&amp;"|"&amp;$G194,'李醫師能力要求'!$M$7:$M$59,'李醫師能力要求'!$K$7:$K$59,"待確認",0)</x:f>
        <x:v>待確認</x:v>
      </x:c>
      <x:c r="J194" s="37" t="str">
        <x:v>◎</x:v>
      </x:c>
      <x:c r="K194" s="37" t="str">
        <x:v>Ø</x:v>
      </x:c>
      <x:c r="L194" s="48" t="str">
        <x:f>_xlfn.XLOOKUP($A194&amp;"|"&amp;$G194,'試行能力狀態'!$L$7:$L$258,'試行能力狀態'!$E$7:$E$258,"未評估",0)</x:f>
        <x:v>◎</x:v>
      </x:c>
      <x:c r="M194" s="48" t="str">
        <x:f>_xlfn.XLOOKUP($A194&amp;"|"&amp;$G194,'試行能力狀態'!$L$7:$L$258,'試行能力狀態'!$F$7:$F$258,"未建立",0)</x:f>
        <x:v>待主管核定</x:v>
      </x:c>
      <x:c r="N194" s="48" t="str">
        <x:f>IF($L194="◎","符合獨立",IF($L194="Ø","符合條件","不符合"))</x:f>
        <x:v>符合獨立</x:v>
      </x:c>
      <x:c r="O194" s="48" t="str">
        <x:f>_xlfn.XLOOKUP($A194&amp;"|李侑津醫師",'試行熟悉度'!$K$7:$K$20,'試行熟悉度'!$E$7:$E$20,"未評估",0)</x:f>
        <x:v>可獨立配合</x:v>
      </x:c>
      <x:c r="P194" s="48" t="str">
        <x:f>_xlfn.XLOOKUP($A194&amp;"|李侑津醫師",'試行熟悉度'!$K$7:$K$20,'試行熟悉度'!$F$7:$F$20,"未建立",0)</x:f>
        <x:v>待主管核定</x:v>
      </x:c>
      <x:c r="Q194" s="39" t="str">
        <x:v>確認後才納入自動判定</x:v>
      </x:c>
    </x:row>
    <x:row r="195">
      <x:c r="A195" s="37" t="str">
        <x:v>1019</x:v>
      </x:c>
      <x:c r="B195" s="37" t="str"/>
      <x:c r="C195" s="37" t="str">
        <x:v>LJT-RPD-FINAL</x:v>
      </x:c>
      <x:c r="D195" s="37" t="str">
        <x:v>RPD</x:v>
      </x:c>
      <x:c r="E195" s="37" t="str">
        <x:v>印最終模</x:v>
      </x:c>
      <x:c r="F195" s="37" t="str">
        <x:v>特殊階段</x:v>
      </x:c>
      <x:c r="G195" s="37" t="str">
        <x:v>LJT-PREP-RPD</x:v>
      </x:c>
      <x:c r="H195" s="37" t="str">
        <x:v>必備</x:v>
      </x:c>
      <x:c r="I195" s="37" t="str">
        <x:f>_xlfn.XLOOKUP($C195&amp;"|"&amp;$G195,'李醫師能力要求'!$M$7:$M$59,'李醫師能力要求'!$K$7:$K$59,"待確認",0)</x:f>
        <x:v>已確認</x:v>
      </x:c>
      <x:c r="J195" s="37" t="str">
        <x:v>◎</x:v>
      </x:c>
      <x:c r="K195" s="37" t="str">
        <x:v>Ø</x:v>
      </x:c>
      <x:c r="L195" s="48" t="str">
        <x:f>_xlfn.XLOOKUP($A195&amp;"|"&amp;$G195,'試行能力狀態'!$L$7:$L$258,'試行能力狀態'!$E$7:$E$258,"未評估",0)</x:f>
        <x:v>◎</x:v>
      </x:c>
      <x:c r="M195" s="48" t="str">
        <x:f>_xlfn.XLOOKUP($A195&amp;"|"&amp;$G195,'試行能力狀態'!$L$7:$L$258,'試行能力狀態'!$F$7:$F$258,"未建立",0)</x:f>
        <x:v>待主管核定</x:v>
      </x:c>
      <x:c r="N195" s="48" t="str">
        <x:f>IF($L195="◎","符合獨立",IF($L195="Ø","符合條件","不符合"))</x:f>
        <x:v>符合獨立</x:v>
      </x:c>
      <x:c r="O195" s="48" t="str">
        <x:f>_xlfn.XLOOKUP($A195&amp;"|李侑津醫師",'試行熟悉度'!$K$7:$K$20,'試行熟悉度'!$E$7:$E$20,"未評估",0)</x:f>
        <x:v>可獨立配合</x:v>
      </x:c>
      <x:c r="P195" s="48" t="str">
        <x:f>_xlfn.XLOOKUP($A195&amp;"|李侑津醫師",'試行熟悉度'!$K$7:$K$20,'試行熟悉度'!$F$7:$F$20,"未建立",0)</x:f>
        <x:v>待主管核定</x:v>
      </x:c>
      <x:c r="Q195" s="39" t="str">
        <x:v>依一般支援名額</x:v>
      </x:c>
    </x:row>
    <x:row r="196">
      <x:c r="A196" s="37" t="str">
        <x:v>1019</x:v>
      </x:c>
      <x:c r="B196" s="37" t="str"/>
      <x:c r="C196" s="37" t="str">
        <x:v>LJT-RPD-FINAL</x:v>
      </x:c>
      <x:c r="D196" s="37" t="str">
        <x:v>RPD</x:v>
      </x:c>
      <x:c r="E196" s="37" t="str">
        <x:v>印最終模</x:v>
      </x:c>
      <x:c r="F196" s="37" t="str">
        <x:v>特殊階段</x:v>
      </x:c>
      <x:c r="G196" s="37" t="str">
        <x:v>COMMON-RECORD</x:v>
      </x:c>
      <x:c r="H196" s="37" t="str">
        <x:v>待確認</x:v>
      </x:c>
      <x:c r="I196" s="37" t="str">
        <x:f>_xlfn.XLOOKUP($C196&amp;"|"&amp;$G196,'李醫師能力要求'!$M$7:$M$59,'李醫師能力要求'!$K$7:$K$59,"待確認",0)</x:f>
        <x:v>待確認</x:v>
      </x:c>
      <x:c r="J196" s="37" t="str">
        <x:v>◎</x:v>
      </x:c>
      <x:c r="K196" s="37" t="str">
        <x:v>Ø</x:v>
      </x:c>
      <x:c r="L196" s="48" t="str">
        <x:f>_xlfn.XLOOKUP($A196&amp;"|"&amp;$G196,'試行能力狀態'!$L$7:$L$258,'試行能力狀態'!$E$7:$E$258,"未評估",0)</x:f>
        <x:v>◎</x:v>
      </x:c>
      <x:c r="M196" s="48" t="str">
        <x:f>_xlfn.XLOOKUP($A196&amp;"|"&amp;$G196,'試行能力狀態'!$L$7:$L$258,'試行能力狀態'!$F$7:$F$258,"未建立",0)</x:f>
        <x:v>待主管核定</x:v>
      </x:c>
      <x:c r="N196" s="48" t="str">
        <x:f>IF($L196="◎","符合獨立",IF($L196="Ø","符合條件","不符合"))</x:f>
        <x:v>符合獨立</x:v>
      </x:c>
      <x:c r="O196" s="48" t="str">
        <x:f>_xlfn.XLOOKUP($A196&amp;"|李侑津醫師",'試行熟悉度'!$K$7:$K$20,'試行熟悉度'!$E$7:$E$20,"未評估",0)</x:f>
        <x:v>可獨立配合</x:v>
      </x:c>
      <x:c r="P196" s="48" t="str">
        <x:f>_xlfn.XLOOKUP($A196&amp;"|李侑津醫師",'試行熟悉度'!$K$7:$K$20,'試行熟悉度'!$F$7:$F$20,"未建立",0)</x:f>
        <x:v>待主管核定</x:v>
      </x:c>
      <x:c r="Q196" s="39" t="str">
        <x:v>確認後才納入自動判定</x:v>
      </x:c>
    </x:row>
    <x:row r="197">
      <x:c r="A197" s="37" t="str">
        <x:v>1019</x:v>
      </x:c>
      <x:c r="B197" s="37" t="str"/>
      <x:c r="C197" s="37" t="str">
        <x:v>LJT-RPD-FINAL</x:v>
      </x:c>
      <x:c r="D197" s="37" t="str">
        <x:v>RPD</x:v>
      </x:c>
      <x:c r="E197" s="37" t="str">
        <x:v>印最終模</x:v>
      </x:c>
      <x:c r="F197" s="37" t="str">
        <x:v>特殊階段</x:v>
      </x:c>
      <x:c r="G197" s="37" t="str">
        <x:v>COMMON-INSURANCE</x:v>
      </x:c>
      <x:c r="H197" s="37" t="str">
        <x:v>待確認</x:v>
      </x:c>
      <x:c r="I197" s="37" t="str">
        <x:f>_xlfn.XLOOKUP($C197&amp;"|"&amp;$G197,'李醫師能力要求'!$M$7:$M$59,'李醫師能力要求'!$K$7:$K$59,"待確認",0)</x:f>
        <x:v>待確認</x:v>
      </x:c>
      <x:c r="J197" s="37" t="str">
        <x:v>◎</x:v>
      </x:c>
      <x:c r="K197" s="37" t="str">
        <x:v>Ø</x:v>
      </x:c>
      <x:c r="L197" s="48" t="str">
        <x:f>_xlfn.XLOOKUP($A197&amp;"|"&amp;$G197,'試行能力狀態'!$L$7:$L$258,'試行能力狀態'!$E$7:$E$258,"未評估",0)</x:f>
        <x:v>◎</x:v>
      </x:c>
      <x:c r="M197" s="48" t="str">
        <x:f>_xlfn.XLOOKUP($A197&amp;"|"&amp;$G197,'試行能力狀態'!$L$7:$L$258,'試行能力狀態'!$F$7:$F$258,"未建立",0)</x:f>
        <x:v>待主管核定</x:v>
      </x:c>
      <x:c r="N197" s="48" t="str">
        <x:f>IF($L197="◎","符合獨立",IF($L197="Ø","符合條件","不符合"))</x:f>
        <x:v>符合獨立</x:v>
      </x:c>
      <x:c r="O197" s="48" t="str">
        <x:f>_xlfn.XLOOKUP($A197&amp;"|李侑津醫師",'試行熟悉度'!$K$7:$K$20,'試行熟悉度'!$E$7:$E$20,"未評估",0)</x:f>
        <x:v>可獨立配合</x:v>
      </x:c>
      <x:c r="P197" s="48" t="str">
        <x:f>_xlfn.XLOOKUP($A197&amp;"|李侑津醫師",'試行熟悉度'!$K$7:$K$20,'試行熟悉度'!$F$7:$F$20,"未建立",0)</x:f>
        <x:v>待主管核定</x:v>
      </x:c>
      <x:c r="Q197" s="39" t="str">
        <x:v>確認後才納入自動判定</x:v>
      </x:c>
    </x:row>
    <x:row r="198">
      <x:c r="A198" s="37" t="str">
        <x:v>1019</x:v>
      </x:c>
      <x:c r="B198" s="37" t="str"/>
      <x:c r="C198" s="37" t="str">
        <x:v>LJT-RPD-FINAL</x:v>
      </x:c>
      <x:c r="D198" s="37" t="str">
        <x:v>RPD</x:v>
      </x:c>
      <x:c r="E198" s="37" t="str">
        <x:v>印最終模</x:v>
      </x:c>
      <x:c r="F198" s="37" t="str">
        <x:v>特殊階段</x:v>
      </x:c>
      <x:c r="G198" s="37" t="str">
        <x:v>COMMON-XRAY-RECORD</x:v>
      </x:c>
      <x:c r="H198" s="37" t="str">
        <x:v>待確認</x:v>
      </x:c>
      <x:c r="I198" s="37" t="str">
        <x:f>_xlfn.XLOOKUP($C198&amp;"|"&amp;$G198,'李醫師能力要求'!$M$7:$M$59,'李醫師能力要求'!$K$7:$K$59,"待確認",0)</x:f>
        <x:v>待確認</x:v>
      </x:c>
      <x:c r="J198" s="37" t="str">
        <x:v>◎</x:v>
      </x:c>
      <x:c r="K198" s="37" t="str">
        <x:v>Ø</x:v>
      </x:c>
      <x:c r="L198" s="48" t="str">
        <x:f>_xlfn.XLOOKUP($A198&amp;"|"&amp;$G198,'試行能力狀態'!$L$7:$L$258,'試行能力狀態'!$E$7:$E$258,"未評估",0)</x:f>
        <x:v>◎</x:v>
      </x:c>
      <x:c r="M198" s="48" t="str">
        <x:f>_xlfn.XLOOKUP($A198&amp;"|"&amp;$G198,'試行能力狀態'!$L$7:$L$258,'試行能力狀態'!$F$7:$F$258,"未建立",0)</x:f>
        <x:v>待主管核定</x:v>
      </x:c>
      <x:c r="N198" s="48" t="str">
        <x:f>IF($L198="◎","符合獨立",IF($L198="Ø","符合條件","不符合"))</x:f>
        <x:v>符合獨立</x:v>
      </x:c>
      <x:c r="O198" s="48" t="str">
        <x:f>_xlfn.XLOOKUP($A198&amp;"|李侑津醫師",'試行熟悉度'!$K$7:$K$20,'試行熟悉度'!$E$7:$E$20,"未評估",0)</x:f>
        <x:v>可獨立配合</x:v>
      </x:c>
      <x:c r="P198" s="48" t="str">
        <x:f>_xlfn.XLOOKUP($A198&amp;"|李侑津醫師",'試行熟悉度'!$K$7:$K$20,'試行熟悉度'!$F$7:$F$20,"未建立",0)</x:f>
        <x:v>待主管核定</x:v>
      </x:c>
      <x:c r="Q198" s="39" t="str">
        <x:v>確認後才納入自動判定</x:v>
      </x:c>
    </x:row>
    <x:row r="199">
      <x:c r="A199" s="37" t="str">
        <x:v>1019</x:v>
      </x:c>
      <x:c r="B199" s="37" t="str"/>
      <x:c r="C199" s="37" t="str">
        <x:v>LJT-AIRPOLISH</x:v>
      </x:c>
      <x:c r="D199" s="37" t="str">
        <x:v>噴砂美白</x:v>
      </x:c>
      <x:c r="E199" s="37" t="str">
        <x:v>一般</x:v>
      </x:c>
      <x:c r="F199" s="37" t="str">
        <x:v>一般</x:v>
      </x:c>
      <x:c r="G199" s="37" t="str">
        <x:v>LJT-PREP-AIRPOLISH</x:v>
      </x:c>
      <x:c r="H199" s="37" t="str">
        <x:v>必備</x:v>
      </x:c>
      <x:c r="I199" s="37" t="str">
        <x:f>_xlfn.XLOOKUP($C199&amp;"|"&amp;$G199,'李醫師能力要求'!$M$7:$M$59,'李醫師能力要求'!$K$7:$K$59,"待確認",0)</x:f>
        <x:v>已確認</x:v>
      </x:c>
      <x:c r="J199" s="37" t="str">
        <x:v>◎</x:v>
      </x:c>
      <x:c r="K199" s="37" t="str">
        <x:v>Ø</x:v>
      </x:c>
      <x:c r="L199" s="48" t="str">
        <x:f>_xlfn.XLOOKUP($A199&amp;"|"&amp;$G199,'試行能力狀態'!$L$7:$L$258,'試行能力狀態'!$E$7:$E$258,"未評估",0)</x:f>
        <x:v>◎</x:v>
      </x:c>
      <x:c r="M199" s="48" t="str">
        <x:f>_xlfn.XLOOKUP($A199&amp;"|"&amp;$G199,'試行能力狀態'!$L$7:$L$258,'試行能力狀態'!$F$7:$F$258,"未建立",0)</x:f>
        <x:v>待主管核定</x:v>
      </x:c>
      <x:c r="N199" s="48" t="str">
        <x:f>IF($L199="◎","符合獨立",IF($L199="Ø","符合條件","不符合"))</x:f>
        <x:v>符合獨立</x:v>
      </x:c>
      <x:c r="O199" s="48" t="str">
        <x:f>_xlfn.XLOOKUP($A199&amp;"|李侑津醫師",'試行熟悉度'!$K$7:$K$20,'試行熟悉度'!$E$7:$E$20,"未評估",0)</x:f>
        <x:v>可獨立配合</x:v>
      </x:c>
      <x:c r="P199" s="48" t="str">
        <x:f>_xlfn.XLOOKUP($A199&amp;"|李侑津醫師",'試行熟悉度'!$K$7:$K$20,'試行熟悉度'!$F$7:$F$20,"未建立",0)</x:f>
        <x:v>待主管核定</x:v>
      </x:c>
      <x:c r="Q199" s="39" t="str">
        <x:v>依一般支援名額</x:v>
      </x:c>
    </x:row>
    <x:row r="200">
      <x:c r="A200" s="37" t="str">
        <x:v>1019</x:v>
      </x:c>
      <x:c r="B200" s="37" t="str"/>
      <x:c r="C200" s="37" t="str">
        <x:v>LJT-AIRPOLISH</x:v>
      </x:c>
      <x:c r="D200" s="37" t="str">
        <x:v>噴砂美白</x:v>
      </x:c>
      <x:c r="E200" s="37" t="str">
        <x:v>一般</x:v>
      </x:c>
      <x:c r="F200" s="37" t="str">
        <x:v>一般</x:v>
      </x:c>
      <x:c r="G200" s="37" t="str">
        <x:v>COMMON-RECORD</x:v>
      </x:c>
      <x:c r="H200" s="37" t="str">
        <x:v>待確認</x:v>
      </x:c>
      <x:c r="I200" s="37" t="str">
        <x:f>_xlfn.XLOOKUP($C200&amp;"|"&amp;$G200,'李醫師能力要求'!$M$7:$M$59,'李醫師能力要求'!$K$7:$K$59,"待確認",0)</x:f>
        <x:v>待確認</x:v>
      </x:c>
      <x:c r="J200" s="37" t="str">
        <x:v>◎</x:v>
      </x:c>
      <x:c r="K200" s="37" t="str">
        <x:v>Ø</x:v>
      </x:c>
      <x:c r="L200" s="48" t="str">
        <x:f>_xlfn.XLOOKUP($A200&amp;"|"&amp;$G200,'試行能力狀態'!$L$7:$L$258,'試行能力狀態'!$E$7:$E$258,"未評估",0)</x:f>
        <x:v>◎</x:v>
      </x:c>
      <x:c r="M200" s="48" t="str">
        <x:f>_xlfn.XLOOKUP($A200&amp;"|"&amp;$G200,'試行能力狀態'!$L$7:$L$258,'試行能力狀態'!$F$7:$F$258,"未建立",0)</x:f>
        <x:v>待主管核定</x:v>
      </x:c>
      <x:c r="N200" s="48" t="str">
        <x:f>IF($L200="◎","符合獨立",IF($L200="Ø","符合條件","不符合"))</x:f>
        <x:v>符合獨立</x:v>
      </x:c>
      <x:c r="O200" s="48" t="str">
        <x:f>_xlfn.XLOOKUP($A200&amp;"|李侑津醫師",'試行熟悉度'!$K$7:$K$20,'試行熟悉度'!$E$7:$E$20,"未評估",0)</x:f>
        <x:v>可獨立配合</x:v>
      </x:c>
      <x:c r="P200" s="48" t="str">
        <x:f>_xlfn.XLOOKUP($A200&amp;"|李侑津醫師",'試行熟悉度'!$K$7:$K$20,'試行熟悉度'!$F$7:$F$20,"未建立",0)</x:f>
        <x:v>待主管核定</x:v>
      </x:c>
      <x:c r="Q200" s="39" t="str">
        <x:v>確認後才納入自動判定</x:v>
      </x:c>
    </x:row>
    <x:row r="201">
      <x:c r="A201" s="37" t="str">
        <x:v>1019</x:v>
      </x:c>
      <x:c r="B201" s="37" t="str"/>
      <x:c r="C201" s="37" t="str">
        <x:v>LJT-AIRPOLISH</x:v>
      </x:c>
      <x:c r="D201" s="37" t="str">
        <x:v>噴砂美白</x:v>
      </x:c>
      <x:c r="E201" s="37" t="str">
        <x:v>一般</x:v>
      </x:c>
      <x:c r="F201" s="37" t="str">
        <x:v>一般</x:v>
      </x:c>
      <x:c r="G201" s="37" t="str">
        <x:v>COMMON-INSURANCE</x:v>
      </x:c>
      <x:c r="H201" s="37" t="str">
        <x:v>待確認</x:v>
      </x:c>
      <x:c r="I201" s="37" t="str">
        <x:f>_xlfn.XLOOKUP($C201&amp;"|"&amp;$G201,'李醫師能力要求'!$M$7:$M$59,'李醫師能力要求'!$K$7:$K$59,"待確認",0)</x:f>
        <x:v>待確認</x:v>
      </x:c>
      <x:c r="J201" s="37" t="str">
        <x:v>◎</x:v>
      </x:c>
      <x:c r="K201" s="37" t="str">
        <x:v>Ø</x:v>
      </x:c>
      <x:c r="L201" s="48" t="str">
        <x:f>_xlfn.XLOOKUP($A201&amp;"|"&amp;$G201,'試行能力狀態'!$L$7:$L$258,'試行能力狀態'!$E$7:$E$258,"未評估",0)</x:f>
        <x:v>◎</x:v>
      </x:c>
      <x:c r="M201" s="48" t="str">
        <x:f>_xlfn.XLOOKUP($A201&amp;"|"&amp;$G201,'試行能力狀態'!$L$7:$L$258,'試行能力狀態'!$F$7:$F$258,"未建立",0)</x:f>
        <x:v>待主管核定</x:v>
      </x:c>
      <x:c r="N201" s="48" t="str">
        <x:f>IF($L201="◎","符合獨立",IF($L201="Ø","符合條件","不符合"))</x:f>
        <x:v>符合獨立</x:v>
      </x:c>
      <x:c r="O201" s="48" t="str">
        <x:f>_xlfn.XLOOKUP($A201&amp;"|李侑津醫師",'試行熟悉度'!$K$7:$K$20,'試行熟悉度'!$E$7:$E$20,"未評估",0)</x:f>
        <x:v>可獨立配合</x:v>
      </x:c>
      <x:c r="P201" s="48" t="str">
        <x:f>_xlfn.XLOOKUP($A201&amp;"|李侑津醫師",'試行熟悉度'!$K$7:$K$20,'試行熟悉度'!$F$7:$F$20,"未建立",0)</x:f>
        <x:v>待主管核定</x:v>
      </x:c>
      <x:c r="Q201" s="39" t="str">
        <x:v>確認後才納入自動判定</x:v>
      </x:c>
    </x:row>
    <x:row r="202">
      <x:c r="A202" s="37" t="str">
        <x:v>1019</x:v>
      </x:c>
      <x:c r="B202" s="37" t="str"/>
      <x:c r="C202" s="37" t="str">
        <x:v>LJT-AIRPOLISH</x:v>
      </x:c>
      <x:c r="D202" s="37" t="str">
        <x:v>噴砂美白</x:v>
      </x:c>
      <x:c r="E202" s="37" t="str">
        <x:v>一般</x:v>
      </x:c>
      <x:c r="F202" s="37" t="str">
        <x:v>一般</x:v>
      </x:c>
      <x:c r="G202" s="37" t="str">
        <x:v>COMMON-XRAY-RECORD</x:v>
      </x:c>
      <x:c r="H202" s="37" t="str">
        <x:v>待確認</x:v>
      </x:c>
      <x:c r="I202" s="37" t="str">
        <x:f>_xlfn.XLOOKUP($C202&amp;"|"&amp;$G202,'李醫師能力要求'!$M$7:$M$59,'李醫師能力要求'!$K$7:$K$59,"待確認",0)</x:f>
        <x:v>待確認</x:v>
      </x:c>
      <x:c r="J202" s="37" t="str">
        <x:v>◎</x:v>
      </x:c>
      <x:c r="K202" s="37" t="str">
        <x:v>Ø</x:v>
      </x:c>
      <x:c r="L202" s="48" t="str">
        <x:f>_xlfn.XLOOKUP($A202&amp;"|"&amp;$G202,'試行能力狀態'!$L$7:$L$258,'試行能力狀態'!$E$7:$E$258,"未評估",0)</x:f>
        <x:v>◎</x:v>
      </x:c>
      <x:c r="M202" s="48" t="str">
        <x:f>_xlfn.XLOOKUP($A202&amp;"|"&amp;$G202,'試行能力狀態'!$L$7:$L$258,'試行能力狀態'!$F$7:$F$258,"未建立",0)</x:f>
        <x:v>待主管核定</x:v>
      </x:c>
      <x:c r="N202" s="48" t="str">
        <x:f>IF($L202="◎","符合獨立",IF($L202="Ø","符合條件","不符合"))</x:f>
        <x:v>符合獨立</x:v>
      </x:c>
      <x:c r="O202" s="48" t="str">
        <x:f>_xlfn.XLOOKUP($A202&amp;"|李侑津醫師",'試行熟悉度'!$K$7:$K$20,'試行熟悉度'!$E$7:$E$20,"未評估",0)</x:f>
        <x:v>可獨立配合</x:v>
      </x:c>
      <x:c r="P202" s="48" t="str">
        <x:f>_xlfn.XLOOKUP($A202&amp;"|李侑津醫師",'試行熟悉度'!$K$7:$K$20,'試行熟悉度'!$F$7:$F$20,"未建立",0)</x:f>
        <x:v>待主管核定</x:v>
      </x:c>
      <x:c r="Q202" s="39" t="str">
        <x:v>確認後才納入自動判定</x:v>
      </x:c>
    </x:row>
    <x:row r="203">
      <x:c r="A203" s="37" t="str">
        <x:v>1019</x:v>
      </x:c>
      <x:c r="B203" s="37" t="str"/>
      <x:c r="C203" s="37" t="str">
        <x:v>LJT-PERIOSURG</x:v>
      </x:c>
      <x:c r="D203" s="37" t="str">
        <x:v>牙周手術</x:v>
      </x:c>
      <x:c r="E203" s="37" t="str">
        <x:v>一般</x:v>
      </x:c>
      <x:c r="F203" s="37" t="str">
        <x:v>高複雜度</x:v>
      </x:c>
      <x:c r="G203" s="37" t="str">
        <x:v>LJT-PREP-PERIOSURG</x:v>
      </x:c>
      <x:c r="H203" s="37" t="str">
        <x:v>必備</x:v>
      </x:c>
      <x:c r="I203" s="37" t="str">
        <x:f>_xlfn.XLOOKUP($C203&amp;"|"&amp;$G203,'李醫師能力要求'!$M$7:$M$59,'李醫師能力要求'!$K$7:$K$59,"待確認",0)</x:f>
        <x:v>已確認</x:v>
      </x:c>
      <x:c r="J203" s="37" t="str">
        <x:v>◎</x:v>
      </x:c>
      <x:c r="K203" s="37" t="str">
        <x:v>Ø</x:v>
      </x:c>
      <x:c r="L203" s="48" t="str">
        <x:f>_xlfn.XLOOKUP($A203&amp;"|"&amp;$G203,'試行能力狀態'!$L$7:$L$258,'試行能力狀態'!$E$7:$E$258,"未評估",0)</x:f>
        <x:v>◎</x:v>
      </x:c>
      <x:c r="M203" s="48" t="str">
        <x:f>_xlfn.XLOOKUP($A203&amp;"|"&amp;$G203,'試行能力狀態'!$L$7:$L$258,'試行能力狀態'!$F$7:$F$258,"未建立",0)</x:f>
        <x:v>待主管核定</x:v>
      </x:c>
      <x:c r="N203" s="48" t="str">
        <x:f>IF($L203="◎","符合獨立",IF($L203="Ø","符合條件","不符合"))</x:f>
        <x:v>符合獨立</x:v>
      </x:c>
      <x:c r="O203" s="48" t="str">
        <x:f>_xlfn.XLOOKUP($A203&amp;"|李侑津醫師",'試行熟悉度'!$K$7:$K$20,'試行熟悉度'!$E$7:$E$20,"未評估",0)</x:f>
        <x:v>可獨立配合</x:v>
      </x:c>
      <x:c r="P203" s="48" t="str">
        <x:f>_xlfn.XLOOKUP($A203&amp;"|李侑津醫師",'試行熟悉度'!$K$7:$K$20,'試行熟悉度'!$F$7:$F$20,"未建立",0)</x:f>
        <x:v>待主管核定</x:v>
      </x:c>
      <x:c r="Q203" s="39" t="str">
        <x:v>Ø 時完整支援者 1:1</x:v>
      </x:c>
    </x:row>
    <x:row r="204">
      <x:c r="A204" s="37" t="str">
        <x:v>1019</x:v>
      </x:c>
      <x:c r="B204" s="37" t="str"/>
      <x:c r="C204" s="37" t="str">
        <x:v>LJT-PERIOSURG</x:v>
      </x:c>
      <x:c r="D204" s="37" t="str">
        <x:v>牙周手術</x:v>
      </x:c>
      <x:c r="E204" s="37" t="str">
        <x:v>一般</x:v>
      </x:c>
      <x:c r="F204" s="37" t="str">
        <x:v>高複雜度</x:v>
      </x:c>
      <x:c r="G204" s="37" t="str">
        <x:v>COMMON-RECORD</x:v>
      </x:c>
      <x:c r="H204" s="37" t="str">
        <x:v>待確認</x:v>
      </x:c>
      <x:c r="I204" s="37" t="str">
        <x:f>_xlfn.XLOOKUP($C204&amp;"|"&amp;$G204,'李醫師能力要求'!$M$7:$M$59,'李醫師能力要求'!$K$7:$K$59,"待確認",0)</x:f>
        <x:v>待確認</x:v>
      </x:c>
      <x:c r="J204" s="37" t="str">
        <x:v>◎</x:v>
      </x:c>
      <x:c r="K204" s="37" t="str">
        <x:v>Ø</x:v>
      </x:c>
      <x:c r="L204" s="48" t="str">
        <x:f>_xlfn.XLOOKUP($A204&amp;"|"&amp;$G204,'試行能力狀態'!$L$7:$L$258,'試行能力狀態'!$E$7:$E$258,"未評估",0)</x:f>
        <x:v>◎</x:v>
      </x:c>
      <x:c r="M204" s="48" t="str">
        <x:f>_xlfn.XLOOKUP($A204&amp;"|"&amp;$G204,'試行能力狀態'!$L$7:$L$258,'試行能力狀態'!$F$7:$F$258,"未建立",0)</x:f>
        <x:v>待主管核定</x:v>
      </x:c>
      <x:c r="N204" s="48" t="str">
        <x:f>IF($L204="◎","符合獨立",IF($L204="Ø","符合條件","不符合"))</x:f>
        <x:v>符合獨立</x:v>
      </x:c>
      <x:c r="O204" s="48" t="str">
        <x:f>_xlfn.XLOOKUP($A204&amp;"|李侑津醫師",'試行熟悉度'!$K$7:$K$20,'試行熟悉度'!$E$7:$E$20,"未評估",0)</x:f>
        <x:v>可獨立配合</x:v>
      </x:c>
      <x:c r="P204" s="48" t="str">
        <x:f>_xlfn.XLOOKUP($A204&amp;"|李侑津醫師",'試行熟悉度'!$K$7:$K$20,'試行熟悉度'!$F$7:$F$20,"未建立",0)</x:f>
        <x:v>待主管核定</x:v>
      </x:c>
      <x:c r="Q204" s="39" t="str">
        <x:v>確認後才納入自動判定</x:v>
      </x:c>
    </x:row>
    <x:row r="205">
      <x:c r="A205" s="37" t="str">
        <x:v>1019</x:v>
      </x:c>
      <x:c r="B205" s="37" t="str"/>
      <x:c r="C205" s="37" t="str">
        <x:v>LJT-PERIOSURG</x:v>
      </x:c>
      <x:c r="D205" s="37" t="str">
        <x:v>牙周手術</x:v>
      </x:c>
      <x:c r="E205" s="37" t="str">
        <x:v>一般</x:v>
      </x:c>
      <x:c r="F205" s="37" t="str">
        <x:v>高複雜度</x:v>
      </x:c>
      <x:c r="G205" s="37" t="str">
        <x:v>COMMON-INSURANCE</x:v>
      </x:c>
      <x:c r="H205" s="37" t="str">
        <x:v>待確認</x:v>
      </x:c>
      <x:c r="I205" s="37" t="str">
        <x:f>_xlfn.XLOOKUP($C205&amp;"|"&amp;$G205,'李醫師能力要求'!$M$7:$M$59,'李醫師能力要求'!$K$7:$K$59,"待確認",0)</x:f>
        <x:v>待確認</x:v>
      </x:c>
      <x:c r="J205" s="37" t="str">
        <x:v>◎</x:v>
      </x:c>
      <x:c r="K205" s="37" t="str">
        <x:v>Ø</x:v>
      </x:c>
      <x:c r="L205" s="48" t="str">
        <x:f>_xlfn.XLOOKUP($A205&amp;"|"&amp;$G205,'試行能力狀態'!$L$7:$L$258,'試行能力狀態'!$E$7:$E$258,"未評估",0)</x:f>
        <x:v>◎</x:v>
      </x:c>
      <x:c r="M205" s="48" t="str">
        <x:f>_xlfn.XLOOKUP($A205&amp;"|"&amp;$G205,'試行能力狀態'!$L$7:$L$258,'試行能力狀態'!$F$7:$F$258,"未建立",0)</x:f>
        <x:v>待主管核定</x:v>
      </x:c>
      <x:c r="N205" s="48" t="str">
        <x:f>IF($L205="◎","符合獨立",IF($L205="Ø","符合條件","不符合"))</x:f>
        <x:v>符合獨立</x:v>
      </x:c>
      <x:c r="O205" s="48" t="str">
        <x:f>_xlfn.XLOOKUP($A205&amp;"|李侑津醫師",'試行熟悉度'!$K$7:$K$20,'試行熟悉度'!$E$7:$E$20,"未評估",0)</x:f>
        <x:v>可獨立配合</x:v>
      </x:c>
      <x:c r="P205" s="48" t="str">
        <x:f>_xlfn.XLOOKUP($A205&amp;"|李侑津醫師",'試行熟悉度'!$K$7:$K$20,'試行熟悉度'!$F$7:$F$20,"未建立",0)</x:f>
        <x:v>待主管核定</x:v>
      </x:c>
      <x:c r="Q205" s="39" t="str">
        <x:v>確認後才納入自動判定</x:v>
      </x:c>
    </x:row>
    <x:row r="206">
      <x:c r="A206" s="37" t="str">
        <x:v>1019</x:v>
      </x:c>
      <x:c r="B206" s="37" t="str"/>
      <x:c r="C206" s="37" t="str">
        <x:v>LJT-PERIOSURG</x:v>
      </x:c>
      <x:c r="D206" s="37" t="str">
        <x:v>牙周手術</x:v>
      </x:c>
      <x:c r="E206" s="37" t="str">
        <x:v>一般</x:v>
      </x:c>
      <x:c r="F206" s="37" t="str">
        <x:v>高複雜度</x:v>
      </x:c>
      <x:c r="G206" s="37" t="str">
        <x:v>COMMON-XRAY-RECORD</x:v>
      </x:c>
      <x:c r="H206" s="37" t="str">
        <x:v>待確認</x:v>
      </x:c>
      <x:c r="I206" s="37" t="str">
        <x:f>_xlfn.XLOOKUP($C206&amp;"|"&amp;$G206,'李醫師能力要求'!$M$7:$M$59,'李醫師能力要求'!$K$7:$K$59,"待確認",0)</x:f>
        <x:v>待確認</x:v>
      </x:c>
      <x:c r="J206" s="37" t="str">
        <x:v>◎</x:v>
      </x:c>
      <x:c r="K206" s="37" t="str">
        <x:v>Ø</x:v>
      </x:c>
      <x:c r="L206" s="48" t="str">
        <x:f>_xlfn.XLOOKUP($A206&amp;"|"&amp;$G206,'試行能力狀態'!$L$7:$L$258,'試行能力狀態'!$E$7:$E$258,"未評估",0)</x:f>
        <x:v>◎</x:v>
      </x:c>
      <x:c r="M206" s="48" t="str">
        <x:f>_xlfn.XLOOKUP($A206&amp;"|"&amp;$G206,'試行能力狀態'!$L$7:$L$258,'試行能力狀態'!$F$7:$F$258,"未建立",0)</x:f>
        <x:v>待主管核定</x:v>
      </x:c>
      <x:c r="N206" s="48" t="str">
        <x:f>IF($L206="◎","符合獨立",IF($L206="Ø","符合條件","不符合"))</x:f>
        <x:v>符合獨立</x:v>
      </x:c>
      <x:c r="O206" s="48" t="str">
        <x:f>_xlfn.XLOOKUP($A206&amp;"|李侑津醫師",'試行熟悉度'!$K$7:$K$20,'試行熟悉度'!$E$7:$E$20,"未評估",0)</x:f>
        <x:v>可獨立配合</x:v>
      </x:c>
      <x:c r="P206" s="48" t="str">
        <x:f>_xlfn.XLOOKUP($A206&amp;"|李侑津醫師",'試行熟悉度'!$K$7:$K$20,'試行熟悉度'!$F$7:$F$20,"未建立",0)</x:f>
        <x:v>待主管核定</x:v>
      </x:c>
      <x:c r="Q206" s="39" t="str">
        <x:v>確認後才納入自動判定</x:v>
      </x:c>
    </x:row>
    <x:row r="207">
      <x:c r="A207" s="37" t="str">
        <x:v>1019</x:v>
      </x:c>
      <x:c r="B207" s="37" t="str"/>
      <x:c r="C207" s="37" t="str">
        <x:v>LJT-MICROENDO</x:v>
      </x:c>
      <x:c r="D207" s="37" t="str">
        <x:v>顯微根管</x:v>
      </x:c>
      <x:c r="E207" s="37" t="str">
        <x:v>一般</x:v>
      </x:c>
      <x:c r="F207" s="37" t="str">
        <x:v>高複雜度</x:v>
      </x:c>
      <x:c r="G207" s="37" t="str">
        <x:v>LJT-PREP-MICROENDO</x:v>
      </x:c>
      <x:c r="H207" s="37" t="str">
        <x:v>必備</x:v>
      </x:c>
      <x:c r="I207" s="37" t="str">
        <x:f>_xlfn.XLOOKUP($C207&amp;"|"&amp;$G207,'李醫師能力要求'!$M$7:$M$59,'李醫師能力要求'!$K$7:$K$59,"待確認",0)</x:f>
        <x:v>已確認</x:v>
      </x:c>
      <x:c r="J207" s="37" t="str">
        <x:v>◎</x:v>
      </x:c>
      <x:c r="K207" s="37" t="str">
        <x:v>Ø</x:v>
      </x:c>
      <x:c r="L207" s="48" t="str">
        <x:f>_xlfn.XLOOKUP($A207&amp;"|"&amp;$G207,'試行能力狀態'!$L$7:$L$258,'試行能力狀態'!$E$7:$E$258,"未評估",0)</x:f>
        <x:v>◎</x:v>
      </x:c>
      <x:c r="M207" s="48" t="str">
        <x:f>_xlfn.XLOOKUP($A207&amp;"|"&amp;$G207,'試行能力狀態'!$L$7:$L$258,'試行能力狀態'!$F$7:$F$258,"未建立",0)</x:f>
        <x:v>待主管核定</x:v>
      </x:c>
      <x:c r="N207" s="48" t="str">
        <x:f>IF($L207="◎","符合獨立",IF($L207="Ø","符合條件","不符合"))</x:f>
        <x:v>符合獨立</x:v>
      </x:c>
      <x:c r="O207" s="48" t="str">
        <x:f>_xlfn.XLOOKUP($A207&amp;"|李侑津醫師",'試行熟悉度'!$K$7:$K$20,'試行熟悉度'!$E$7:$E$20,"未評估",0)</x:f>
        <x:v>可獨立配合</x:v>
      </x:c>
      <x:c r="P207" s="48" t="str">
        <x:f>_xlfn.XLOOKUP($A207&amp;"|李侑津醫師",'試行熟悉度'!$K$7:$K$20,'試行熟悉度'!$F$7:$F$20,"未建立",0)</x:f>
        <x:v>待主管核定</x:v>
      </x:c>
      <x:c r="Q207" s="39" t="str">
        <x:v>Ø 時完整支援者 1:1</x:v>
      </x:c>
    </x:row>
    <x:row r="208">
      <x:c r="A208" s="37" t="str">
        <x:v>1019</x:v>
      </x:c>
      <x:c r="B208" s="37" t="str"/>
      <x:c r="C208" s="37" t="str">
        <x:v>LJT-MICROENDO</x:v>
      </x:c>
      <x:c r="D208" s="37" t="str">
        <x:v>顯微根管</x:v>
      </x:c>
      <x:c r="E208" s="37" t="str">
        <x:v>一般</x:v>
      </x:c>
      <x:c r="F208" s="37" t="str">
        <x:v>高複雜度</x:v>
      </x:c>
      <x:c r="G208" s="37" t="str">
        <x:v>COMMON-RECORD</x:v>
      </x:c>
      <x:c r="H208" s="37" t="str">
        <x:v>待確認</x:v>
      </x:c>
      <x:c r="I208" s="37" t="str">
        <x:f>_xlfn.XLOOKUP($C208&amp;"|"&amp;$G208,'李醫師能力要求'!$M$7:$M$59,'李醫師能力要求'!$K$7:$K$59,"待確認",0)</x:f>
        <x:v>待確認</x:v>
      </x:c>
      <x:c r="J208" s="37" t="str">
        <x:v>◎</x:v>
      </x:c>
      <x:c r="K208" s="37" t="str">
        <x:v>Ø</x:v>
      </x:c>
      <x:c r="L208" s="48" t="str">
        <x:f>_xlfn.XLOOKUP($A208&amp;"|"&amp;$G208,'試行能力狀態'!$L$7:$L$258,'試行能力狀態'!$E$7:$E$258,"未評估",0)</x:f>
        <x:v>◎</x:v>
      </x:c>
      <x:c r="M208" s="48" t="str">
        <x:f>_xlfn.XLOOKUP($A208&amp;"|"&amp;$G208,'試行能力狀態'!$L$7:$L$258,'試行能力狀態'!$F$7:$F$258,"未建立",0)</x:f>
        <x:v>待主管核定</x:v>
      </x:c>
      <x:c r="N208" s="48" t="str">
        <x:f>IF($L208="◎","符合獨立",IF($L208="Ø","符合條件","不符合"))</x:f>
        <x:v>符合獨立</x:v>
      </x:c>
      <x:c r="O208" s="48" t="str">
        <x:f>_xlfn.XLOOKUP($A208&amp;"|李侑津醫師",'試行熟悉度'!$K$7:$K$20,'試行熟悉度'!$E$7:$E$20,"未評估",0)</x:f>
        <x:v>可獨立配合</x:v>
      </x:c>
      <x:c r="P208" s="48" t="str">
        <x:f>_xlfn.XLOOKUP($A208&amp;"|李侑津醫師",'試行熟悉度'!$K$7:$K$20,'試行熟悉度'!$F$7:$F$20,"未建立",0)</x:f>
        <x:v>待主管核定</x:v>
      </x:c>
      <x:c r="Q208" s="39" t="str">
        <x:v>確認後才納入自動判定</x:v>
      </x:c>
    </x:row>
    <x:row r="209">
      <x:c r="A209" s="37" t="str">
        <x:v>1019</x:v>
      </x:c>
      <x:c r="B209" s="37" t="str"/>
      <x:c r="C209" s="37" t="str">
        <x:v>LJT-MICROENDO</x:v>
      </x:c>
      <x:c r="D209" s="37" t="str">
        <x:v>顯微根管</x:v>
      </x:c>
      <x:c r="E209" s="37" t="str">
        <x:v>一般</x:v>
      </x:c>
      <x:c r="F209" s="37" t="str">
        <x:v>高複雜度</x:v>
      </x:c>
      <x:c r="G209" s="37" t="str">
        <x:v>COMMON-INSURANCE</x:v>
      </x:c>
      <x:c r="H209" s="37" t="str">
        <x:v>待確認</x:v>
      </x:c>
      <x:c r="I209" s="37" t="str">
        <x:f>_xlfn.XLOOKUP($C209&amp;"|"&amp;$G209,'李醫師能力要求'!$M$7:$M$59,'李醫師能力要求'!$K$7:$K$59,"待確認",0)</x:f>
        <x:v>待確認</x:v>
      </x:c>
      <x:c r="J209" s="37" t="str">
        <x:v>◎</x:v>
      </x:c>
      <x:c r="K209" s="37" t="str">
        <x:v>Ø</x:v>
      </x:c>
      <x:c r="L209" s="48" t="str">
        <x:f>_xlfn.XLOOKUP($A209&amp;"|"&amp;$G209,'試行能力狀態'!$L$7:$L$258,'試行能力狀態'!$E$7:$E$258,"未評估",0)</x:f>
        <x:v>◎</x:v>
      </x:c>
      <x:c r="M209" s="48" t="str">
        <x:f>_xlfn.XLOOKUP($A209&amp;"|"&amp;$G209,'試行能力狀態'!$L$7:$L$258,'試行能力狀態'!$F$7:$F$258,"未建立",0)</x:f>
        <x:v>待主管核定</x:v>
      </x:c>
      <x:c r="N209" s="48" t="str">
        <x:f>IF($L209="◎","符合獨立",IF($L209="Ø","符合條件","不符合"))</x:f>
        <x:v>符合獨立</x:v>
      </x:c>
      <x:c r="O209" s="48" t="str">
        <x:f>_xlfn.XLOOKUP($A209&amp;"|李侑津醫師",'試行熟悉度'!$K$7:$K$20,'試行熟悉度'!$E$7:$E$20,"未評估",0)</x:f>
        <x:v>可獨立配合</x:v>
      </x:c>
      <x:c r="P209" s="48" t="str">
        <x:f>_xlfn.XLOOKUP($A209&amp;"|李侑津醫師",'試行熟悉度'!$K$7:$K$20,'試行熟悉度'!$F$7:$F$20,"未建立",0)</x:f>
        <x:v>待主管核定</x:v>
      </x:c>
      <x:c r="Q209" s="39" t="str">
        <x:v>確認後才納入自動判定</x:v>
      </x:c>
    </x:row>
    <x:row r="210">
      <x:c r="A210" s="37" t="str">
        <x:v>1019</x:v>
      </x:c>
      <x:c r="B210" s="37" t="str"/>
      <x:c r="C210" s="37" t="str">
        <x:v>LJT-MICROENDO</x:v>
      </x:c>
      <x:c r="D210" s="37" t="str">
        <x:v>顯微根管</x:v>
      </x:c>
      <x:c r="E210" s="37" t="str">
        <x:v>一般</x:v>
      </x:c>
      <x:c r="F210" s="37" t="str">
        <x:v>高複雜度</x:v>
      </x:c>
      <x:c r="G210" s="37" t="str">
        <x:v>COMMON-XRAY-RECORD</x:v>
      </x:c>
      <x:c r="H210" s="37" t="str">
        <x:v>待確認</x:v>
      </x:c>
      <x:c r="I210" s="37" t="str">
        <x:f>_xlfn.XLOOKUP($C210&amp;"|"&amp;$G210,'李醫師能力要求'!$M$7:$M$59,'李醫師能力要求'!$K$7:$K$59,"待確認",0)</x:f>
        <x:v>待確認</x:v>
      </x:c>
      <x:c r="J210" s="37" t="str">
        <x:v>◎</x:v>
      </x:c>
      <x:c r="K210" s="37" t="str">
        <x:v>Ø</x:v>
      </x:c>
      <x:c r="L210" s="48" t="str">
        <x:f>_xlfn.XLOOKUP($A210&amp;"|"&amp;$G210,'試行能力狀態'!$L$7:$L$258,'試行能力狀態'!$E$7:$E$258,"未評估",0)</x:f>
        <x:v>◎</x:v>
      </x:c>
      <x:c r="M210" s="48" t="str">
        <x:f>_xlfn.XLOOKUP($A210&amp;"|"&amp;$G210,'試行能力狀態'!$L$7:$L$258,'試行能力狀態'!$F$7:$F$258,"未建立",0)</x:f>
        <x:v>待主管核定</x:v>
      </x:c>
      <x:c r="N210" s="48" t="str">
        <x:f>IF($L210="◎","符合獨立",IF($L210="Ø","符合條件","不符合"))</x:f>
        <x:v>符合獨立</x:v>
      </x:c>
      <x:c r="O210" s="48" t="str">
        <x:f>_xlfn.XLOOKUP($A210&amp;"|李侑津醫師",'試行熟悉度'!$K$7:$K$20,'試行熟悉度'!$E$7:$E$20,"未評估",0)</x:f>
        <x:v>可獨立配合</x:v>
      </x:c>
      <x:c r="P210" s="48" t="str">
        <x:f>_xlfn.XLOOKUP($A210&amp;"|李侑津醫師",'試行熟悉度'!$K$7:$K$20,'試行熟悉度'!$F$7:$F$20,"未建立",0)</x:f>
        <x:v>待主管核定</x:v>
      </x:c>
      <x:c r="Q210" s="39" t="str">
        <x:v>確認後才納入自動判定</x:v>
      </x:c>
    </x:row>
    <x:row r="211">
      <x:c r="A211" s="37" t="str">
        <x:v>1019</x:v>
      </x:c>
      <x:c r="B211" s="37" t="str"/>
      <x:c r="C211" s="37" t="str">
        <x:v>LJT-IMPLANT</x:v>
      </x:c>
      <x:c r="D211" s="37" t="str">
        <x:v>植牙</x:v>
      </x:c>
      <x:c r="E211" s="37" t="str">
        <x:v>一般</x:v>
      </x:c>
      <x:c r="F211" s="37" t="str">
        <x:v>高複雜度</x:v>
      </x:c>
      <x:c r="G211" s="37" t="str">
        <x:v>LJT-PREP-IMPLANT</x:v>
      </x:c>
      <x:c r="H211" s="37" t="str">
        <x:v>必備</x:v>
      </x:c>
      <x:c r="I211" s="37" t="str">
        <x:f>_xlfn.XLOOKUP($C211&amp;"|"&amp;$G211,'李醫師能力要求'!$M$7:$M$59,'李醫師能力要求'!$K$7:$K$59,"待確認",0)</x:f>
        <x:v>已確認</x:v>
      </x:c>
      <x:c r="J211" s="37" t="str">
        <x:v>◎</x:v>
      </x:c>
      <x:c r="K211" s="37" t="str">
        <x:v>Ø</x:v>
      </x:c>
      <x:c r="L211" s="48" t="str">
        <x:f>_xlfn.XLOOKUP($A211&amp;"|"&amp;$G211,'試行能力狀態'!$L$7:$L$258,'試行能力狀態'!$E$7:$E$258,"未評估",0)</x:f>
        <x:v>◎</x:v>
      </x:c>
      <x:c r="M211" s="48" t="str">
        <x:f>_xlfn.XLOOKUP($A211&amp;"|"&amp;$G211,'試行能力狀態'!$L$7:$L$258,'試行能力狀態'!$F$7:$F$258,"未建立",0)</x:f>
        <x:v>待主管核定</x:v>
      </x:c>
      <x:c r="N211" s="48" t="str">
        <x:f>IF($L211="◎","符合獨立",IF($L211="Ø","符合條件","不符合"))</x:f>
        <x:v>符合獨立</x:v>
      </x:c>
      <x:c r="O211" s="48" t="str">
        <x:f>_xlfn.XLOOKUP($A211&amp;"|李侑津醫師",'試行熟悉度'!$K$7:$K$20,'試行熟悉度'!$E$7:$E$20,"未評估",0)</x:f>
        <x:v>可獨立配合</x:v>
      </x:c>
      <x:c r="P211" s="48" t="str">
        <x:f>_xlfn.XLOOKUP($A211&amp;"|李侑津醫師",'試行熟悉度'!$K$7:$K$20,'試行熟悉度'!$F$7:$F$20,"未建立",0)</x:f>
        <x:v>待主管核定</x:v>
      </x:c>
      <x:c r="Q211" s="39" t="str">
        <x:v>Ø 時完整支援者 1:1</x:v>
      </x:c>
    </x:row>
    <x:row r="212">
      <x:c r="A212" s="37" t="str">
        <x:v>1019</x:v>
      </x:c>
      <x:c r="B212" s="37" t="str"/>
      <x:c r="C212" s="37" t="str">
        <x:v>LJT-IMPLANT</x:v>
      </x:c>
      <x:c r="D212" s="37" t="str">
        <x:v>植牙</x:v>
      </x:c>
      <x:c r="E212" s="37" t="str">
        <x:v>一般</x:v>
      </x:c>
      <x:c r="F212" s="37" t="str">
        <x:v>高複雜度</x:v>
      </x:c>
      <x:c r="G212" s="37" t="str">
        <x:v>COMMON-RECORD</x:v>
      </x:c>
      <x:c r="H212" s="37" t="str">
        <x:v>待確認</x:v>
      </x:c>
      <x:c r="I212" s="37" t="str">
        <x:f>_xlfn.XLOOKUP($C212&amp;"|"&amp;$G212,'李醫師能力要求'!$M$7:$M$59,'李醫師能力要求'!$K$7:$K$59,"待確認",0)</x:f>
        <x:v>待確認</x:v>
      </x:c>
      <x:c r="J212" s="37" t="str">
        <x:v>◎</x:v>
      </x:c>
      <x:c r="K212" s="37" t="str">
        <x:v>Ø</x:v>
      </x:c>
      <x:c r="L212" s="48" t="str">
        <x:f>_xlfn.XLOOKUP($A212&amp;"|"&amp;$G212,'試行能力狀態'!$L$7:$L$258,'試行能力狀態'!$E$7:$E$258,"未評估",0)</x:f>
        <x:v>◎</x:v>
      </x:c>
      <x:c r="M212" s="48" t="str">
        <x:f>_xlfn.XLOOKUP($A212&amp;"|"&amp;$G212,'試行能力狀態'!$L$7:$L$258,'試行能力狀態'!$F$7:$F$258,"未建立",0)</x:f>
        <x:v>待主管核定</x:v>
      </x:c>
      <x:c r="N212" s="48" t="str">
        <x:f>IF($L212="◎","符合獨立",IF($L212="Ø","符合條件","不符合"))</x:f>
        <x:v>符合獨立</x:v>
      </x:c>
      <x:c r="O212" s="48" t="str">
        <x:f>_xlfn.XLOOKUP($A212&amp;"|李侑津醫師",'試行熟悉度'!$K$7:$K$20,'試行熟悉度'!$E$7:$E$20,"未評估",0)</x:f>
        <x:v>可獨立配合</x:v>
      </x:c>
      <x:c r="P212" s="48" t="str">
        <x:f>_xlfn.XLOOKUP($A212&amp;"|李侑津醫師",'試行熟悉度'!$K$7:$K$20,'試行熟悉度'!$F$7:$F$20,"未建立",0)</x:f>
        <x:v>待主管核定</x:v>
      </x:c>
      <x:c r="Q212" s="39" t="str">
        <x:v>確認後才納入自動判定</x:v>
      </x:c>
    </x:row>
    <x:row r="213">
      <x:c r="A213" s="37" t="str">
        <x:v>1019</x:v>
      </x:c>
      <x:c r="B213" s="37" t="str"/>
      <x:c r="C213" s="37" t="str">
        <x:v>LJT-IMPLANT</x:v>
      </x:c>
      <x:c r="D213" s="37" t="str">
        <x:v>植牙</x:v>
      </x:c>
      <x:c r="E213" s="37" t="str">
        <x:v>一般</x:v>
      </x:c>
      <x:c r="F213" s="37" t="str">
        <x:v>高複雜度</x:v>
      </x:c>
      <x:c r="G213" s="37" t="str">
        <x:v>COMMON-INSURANCE</x:v>
      </x:c>
      <x:c r="H213" s="37" t="str">
        <x:v>待確認</x:v>
      </x:c>
      <x:c r="I213" s="37" t="str">
        <x:f>_xlfn.XLOOKUP($C213&amp;"|"&amp;$G213,'李醫師能力要求'!$M$7:$M$59,'李醫師能力要求'!$K$7:$K$59,"待確認",0)</x:f>
        <x:v>待確認</x:v>
      </x:c>
      <x:c r="J213" s="37" t="str">
        <x:v>◎</x:v>
      </x:c>
      <x:c r="K213" s="37" t="str">
        <x:v>Ø</x:v>
      </x:c>
      <x:c r="L213" s="48" t="str">
        <x:f>_xlfn.XLOOKUP($A213&amp;"|"&amp;$G213,'試行能力狀態'!$L$7:$L$258,'試行能力狀態'!$E$7:$E$258,"未評估",0)</x:f>
        <x:v>◎</x:v>
      </x:c>
      <x:c r="M213" s="48" t="str">
        <x:f>_xlfn.XLOOKUP($A213&amp;"|"&amp;$G213,'試行能力狀態'!$L$7:$L$258,'試行能力狀態'!$F$7:$F$258,"未建立",0)</x:f>
        <x:v>待主管核定</x:v>
      </x:c>
      <x:c r="N213" s="48" t="str">
        <x:f>IF($L213="◎","符合獨立",IF($L213="Ø","符合條件","不符合"))</x:f>
        <x:v>符合獨立</x:v>
      </x:c>
      <x:c r="O213" s="48" t="str">
        <x:f>_xlfn.XLOOKUP($A213&amp;"|李侑津醫師",'試行熟悉度'!$K$7:$K$20,'試行熟悉度'!$E$7:$E$20,"未評估",0)</x:f>
        <x:v>可獨立配合</x:v>
      </x:c>
      <x:c r="P213" s="48" t="str">
        <x:f>_xlfn.XLOOKUP($A213&amp;"|李侑津醫師",'試行熟悉度'!$K$7:$K$20,'試行熟悉度'!$F$7:$F$20,"未建立",0)</x:f>
        <x:v>待主管核定</x:v>
      </x:c>
      <x:c r="Q213" s="39" t="str">
        <x:v>確認後才納入自動判定</x:v>
      </x:c>
    </x:row>
    <x:row r="214">
      <x:c r="A214" s="37" t="str">
        <x:v>1019</x:v>
      </x:c>
      <x:c r="B214" s="37" t="str"/>
      <x:c r="C214" s="37" t="str">
        <x:v>LJT-IMPLANT</x:v>
      </x:c>
      <x:c r="D214" s="37" t="str">
        <x:v>植牙</x:v>
      </x:c>
      <x:c r="E214" s="37" t="str">
        <x:v>一般</x:v>
      </x:c>
      <x:c r="F214" s="37" t="str">
        <x:v>高複雜度</x:v>
      </x:c>
      <x:c r="G214" s="37" t="str">
        <x:v>COMMON-XRAY-RECORD</x:v>
      </x:c>
      <x:c r="H214" s="37" t="str">
        <x:v>待確認</x:v>
      </x:c>
      <x:c r="I214" s="37" t="str">
        <x:f>_xlfn.XLOOKUP($C214&amp;"|"&amp;$G214,'李醫師能力要求'!$M$7:$M$59,'李醫師能力要求'!$K$7:$K$59,"待確認",0)</x:f>
        <x:v>待確認</x:v>
      </x:c>
      <x:c r="J214" s="37" t="str">
        <x:v>◎</x:v>
      </x:c>
      <x:c r="K214" s="37" t="str">
        <x:v>Ø</x:v>
      </x:c>
      <x:c r="L214" s="48" t="str">
        <x:f>_xlfn.XLOOKUP($A214&amp;"|"&amp;$G214,'試行能力狀態'!$L$7:$L$258,'試行能力狀態'!$E$7:$E$258,"未評估",0)</x:f>
        <x:v>◎</x:v>
      </x:c>
      <x:c r="M214" s="48" t="str">
        <x:f>_xlfn.XLOOKUP($A214&amp;"|"&amp;$G214,'試行能力狀態'!$L$7:$L$258,'試行能力狀態'!$F$7:$F$258,"未建立",0)</x:f>
        <x:v>待主管核定</x:v>
      </x:c>
      <x:c r="N214" s="48" t="str">
        <x:f>IF($L214="◎","符合獨立",IF($L214="Ø","符合條件","不符合"))</x:f>
        <x:v>符合獨立</x:v>
      </x:c>
      <x:c r="O214" s="48" t="str">
        <x:f>_xlfn.XLOOKUP($A214&amp;"|李侑津醫師",'試行熟悉度'!$K$7:$K$20,'試行熟悉度'!$E$7:$E$20,"未評估",0)</x:f>
        <x:v>可獨立配合</x:v>
      </x:c>
      <x:c r="P214" s="48" t="str">
        <x:f>_xlfn.XLOOKUP($A214&amp;"|李侑津醫師",'試行熟悉度'!$K$7:$K$20,'試行熟悉度'!$F$7:$F$20,"未建立",0)</x:f>
        <x:v>待主管核定</x:v>
      </x:c>
      <x:c r="Q214" s="39" t="str">
        <x:v>確認後才納入自動判定</x:v>
      </x:c>
    </x:row>
    <x:row r="215">
      <x:c r="A215" s="37" t="str">
        <x:v>1020</x:v>
      </x:c>
      <x:c r="B215" s="37" t="str"/>
      <x:c r="C215" s="37" t="str">
        <x:v>LJT-SCALING</x:v>
      </x:c>
      <x:c r="D215" s="37" t="str">
        <x:v>洗牙</x:v>
      </x:c>
      <x:c r="E215" s="37" t="str">
        <x:v>一般</x:v>
      </x:c>
      <x:c r="F215" s="37" t="str">
        <x:v>一般</x:v>
      </x:c>
      <x:c r="G215" s="37" t="str">
        <x:v>LJT-PREP-SCALING</x:v>
      </x:c>
      <x:c r="H215" s="37" t="str">
        <x:v>必備</x:v>
      </x:c>
      <x:c r="I215" s="37" t="str">
        <x:f>_xlfn.XLOOKUP($C215&amp;"|"&amp;$G215,'李醫師能力要求'!$M$7:$M$59,'李醫師能力要求'!$K$7:$K$59,"待確認",0)</x:f>
        <x:v>已確認</x:v>
      </x:c>
      <x:c r="J215" s="37" t="str">
        <x:v>◎</x:v>
      </x:c>
      <x:c r="K215" s="37" t="str">
        <x:v>Ø</x:v>
      </x:c>
      <x:c r="L215" s="48" t="str">
        <x:f>_xlfn.XLOOKUP($A215&amp;"|"&amp;$G215,'試行能力狀態'!$L$7:$L$258,'試行能力狀態'!$E$7:$E$258,"未評估",0)</x:f>
        <x:v>◎</x:v>
      </x:c>
      <x:c r="M215" s="48" t="str">
        <x:f>_xlfn.XLOOKUP($A215&amp;"|"&amp;$G215,'試行能力狀態'!$L$7:$L$258,'試行能力狀態'!$F$7:$F$258,"未建立",0)</x:f>
        <x:v>待主管核定</x:v>
      </x:c>
      <x:c r="N215" s="48" t="str">
        <x:f>IF($L215="◎","符合獨立",IF($L215="Ø","符合條件","不符合"))</x:f>
        <x:v>符合獨立</x:v>
      </x:c>
      <x:c r="O215" s="48" t="str">
        <x:f>_xlfn.XLOOKUP($A215&amp;"|李侑津醫師",'試行熟悉度'!$K$7:$K$20,'試行熟悉度'!$E$7:$E$20,"未評估",0)</x:f>
        <x:v>可獨立配合</x:v>
      </x:c>
      <x:c r="P215" s="48" t="str">
        <x:f>_xlfn.XLOOKUP($A215&amp;"|李侑津醫師",'試行熟悉度'!$K$7:$K$20,'試行熟悉度'!$F$7:$F$20,"未建立",0)</x:f>
        <x:v>待主管核定</x:v>
      </x:c>
      <x:c r="Q215" s="39" t="str">
        <x:v>依一般支援名額</x:v>
      </x:c>
    </x:row>
    <x:row r="216">
      <x:c r="A216" s="37" t="str">
        <x:v>1020</x:v>
      </x:c>
      <x:c r="B216" s="37" t="str"/>
      <x:c r="C216" s="37" t="str">
        <x:v>LJT-SCALING</x:v>
      </x:c>
      <x:c r="D216" s="37" t="str">
        <x:v>洗牙</x:v>
      </x:c>
      <x:c r="E216" s="37" t="str">
        <x:v>一般</x:v>
      </x:c>
      <x:c r="F216" s="37" t="str">
        <x:v>一般</x:v>
      </x:c>
      <x:c r="G216" s="37" t="str">
        <x:v>COMMON-RECORD</x:v>
      </x:c>
      <x:c r="H216" s="37" t="str">
        <x:v>待確認</x:v>
      </x:c>
      <x:c r="I216" s="37" t="str">
        <x:f>_xlfn.XLOOKUP($C216&amp;"|"&amp;$G216,'李醫師能力要求'!$M$7:$M$59,'李醫師能力要求'!$K$7:$K$59,"待確認",0)</x:f>
        <x:v>待確認</x:v>
      </x:c>
      <x:c r="J216" s="37" t="str">
        <x:v>◎</x:v>
      </x:c>
      <x:c r="K216" s="37" t="str">
        <x:v>Ø</x:v>
      </x:c>
      <x:c r="L216" s="48" t="str">
        <x:f>_xlfn.XLOOKUP($A216&amp;"|"&amp;$G216,'試行能力狀態'!$L$7:$L$258,'試行能力狀態'!$E$7:$E$258,"未評估",0)</x:f>
        <x:v>◎</x:v>
      </x:c>
      <x:c r="M216" s="48" t="str">
        <x:f>_xlfn.XLOOKUP($A216&amp;"|"&amp;$G216,'試行能力狀態'!$L$7:$L$258,'試行能力狀態'!$F$7:$F$258,"未建立",0)</x:f>
        <x:v>待主管核定</x:v>
      </x:c>
      <x:c r="N216" s="48" t="str">
        <x:f>IF($L216="◎","符合獨立",IF($L216="Ø","符合條件","不符合"))</x:f>
        <x:v>符合獨立</x:v>
      </x:c>
      <x:c r="O216" s="48" t="str">
        <x:f>_xlfn.XLOOKUP($A216&amp;"|李侑津醫師",'試行熟悉度'!$K$7:$K$20,'試行熟悉度'!$E$7:$E$20,"未評估",0)</x:f>
        <x:v>可獨立配合</x:v>
      </x:c>
      <x:c r="P216" s="48" t="str">
        <x:f>_xlfn.XLOOKUP($A216&amp;"|李侑津醫師",'試行熟悉度'!$K$7:$K$20,'試行熟悉度'!$F$7:$F$20,"未建立",0)</x:f>
        <x:v>待主管核定</x:v>
      </x:c>
      <x:c r="Q216" s="39" t="str">
        <x:v>確認後才納入自動判定</x:v>
      </x:c>
    </x:row>
    <x:row r="217">
      <x:c r="A217" s="37" t="str">
        <x:v>1020</x:v>
      </x:c>
      <x:c r="B217" s="37" t="str"/>
      <x:c r="C217" s="37" t="str">
        <x:v>LJT-SCALING</x:v>
      </x:c>
      <x:c r="D217" s="37" t="str">
        <x:v>洗牙</x:v>
      </x:c>
      <x:c r="E217" s="37" t="str">
        <x:v>一般</x:v>
      </x:c>
      <x:c r="F217" s="37" t="str">
        <x:v>一般</x:v>
      </x:c>
      <x:c r="G217" s="37" t="str">
        <x:v>COMMON-INSURANCE</x:v>
      </x:c>
      <x:c r="H217" s="37" t="str">
        <x:v>待確認</x:v>
      </x:c>
      <x:c r="I217" s="37" t="str">
        <x:f>_xlfn.XLOOKUP($C217&amp;"|"&amp;$G217,'李醫師能力要求'!$M$7:$M$59,'李醫師能力要求'!$K$7:$K$59,"待確認",0)</x:f>
        <x:v>待確認</x:v>
      </x:c>
      <x:c r="J217" s="37" t="str">
        <x:v>◎</x:v>
      </x:c>
      <x:c r="K217" s="37" t="str">
        <x:v>Ø</x:v>
      </x:c>
      <x:c r="L217" s="48" t="str">
        <x:f>_xlfn.XLOOKUP($A217&amp;"|"&amp;$G217,'試行能力狀態'!$L$7:$L$258,'試行能力狀態'!$E$7:$E$258,"未評估",0)</x:f>
        <x:v>◎</x:v>
      </x:c>
      <x:c r="M217" s="48" t="str">
        <x:f>_xlfn.XLOOKUP($A217&amp;"|"&amp;$G217,'試行能力狀態'!$L$7:$L$258,'試行能力狀態'!$F$7:$F$258,"未建立",0)</x:f>
        <x:v>待主管核定</x:v>
      </x:c>
      <x:c r="N217" s="48" t="str">
        <x:f>IF($L217="◎","符合獨立",IF($L217="Ø","符合條件","不符合"))</x:f>
        <x:v>符合獨立</x:v>
      </x:c>
      <x:c r="O217" s="48" t="str">
        <x:f>_xlfn.XLOOKUP($A217&amp;"|李侑津醫師",'試行熟悉度'!$K$7:$K$20,'試行熟悉度'!$E$7:$E$20,"未評估",0)</x:f>
        <x:v>可獨立配合</x:v>
      </x:c>
      <x:c r="P217" s="48" t="str">
        <x:f>_xlfn.XLOOKUP($A217&amp;"|李侑津醫師",'試行熟悉度'!$K$7:$K$20,'試行熟悉度'!$F$7:$F$20,"未建立",0)</x:f>
        <x:v>待主管核定</x:v>
      </x:c>
      <x:c r="Q217" s="39" t="str">
        <x:v>確認後才納入自動判定</x:v>
      </x:c>
    </x:row>
    <x:row r="218">
      <x:c r="A218" s="37" t="str">
        <x:v>1020</x:v>
      </x:c>
      <x:c r="B218" s="37" t="str"/>
      <x:c r="C218" s="37" t="str">
        <x:v>LJT-SCALING</x:v>
      </x:c>
      <x:c r="D218" s="37" t="str">
        <x:v>洗牙</x:v>
      </x:c>
      <x:c r="E218" s="37" t="str">
        <x:v>一般</x:v>
      </x:c>
      <x:c r="F218" s="37" t="str">
        <x:v>一般</x:v>
      </x:c>
      <x:c r="G218" s="37" t="str">
        <x:v>COMMON-XRAY-RECORD</x:v>
      </x:c>
      <x:c r="H218" s="37" t="str">
        <x:v>待確認</x:v>
      </x:c>
      <x:c r="I218" s="37" t="str">
        <x:f>_xlfn.XLOOKUP($C218&amp;"|"&amp;$G218,'李醫師能力要求'!$M$7:$M$59,'李醫師能力要求'!$K$7:$K$59,"待確認",0)</x:f>
        <x:v>待確認</x:v>
      </x:c>
      <x:c r="J218" s="37" t="str">
        <x:v>◎</x:v>
      </x:c>
      <x:c r="K218" s="37" t="str">
        <x:v>Ø</x:v>
      </x:c>
      <x:c r="L218" s="48" t="str">
        <x:f>_xlfn.XLOOKUP($A218&amp;"|"&amp;$G218,'試行能力狀態'!$L$7:$L$258,'試行能力狀態'!$E$7:$E$258,"未評估",0)</x:f>
        <x:v>◎</x:v>
      </x:c>
      <x:c r="M218" s="48" t="str">
        <x:f>_xlfn.XLOOKUP($A218&amp;"|"&amp;$G218,'試行能力狀態'!$L$7:$L$258,'試行能力狀態'!$F$7:$F$258,"未建立",0)</x:f>
        <x:v>待主管核定</x:v>
      </x:c>
      <x:c r="N218" s="48" t="str">
        <x:f>IF($L218="◎","符合獨立",IF($L218="Ø","符合條件","不符合"))</x:f>
        <x:v>符合獨立</x:v>
      </x:c>
      <x:c r="O218" s="48" t="str">
        <x:f>_xlfn.XLOOKUP($A218&amp;"|李侑津醫師",'試行熟悉度'!$K$7:$K$20,'試行熟悉度'!$E$7:$E$20,"未評估",0)</x:f>
        <x:v>可獨立配合</x:v>
      </x:c>
      <x:c r="P218" s="48" t="str">
        <x:f>_xlfn.XLOOKUP($A218&amp;"|李侑津醫師",'試行熟悉度'!$K$7:$K$20,'試行熟悉度'!$F$7:$F$20,"未建立",0)</x:f>
        <x:v>待主管核定</x:v>
      </x:c>
      <x:c r="Q218" s="39" t="str">
        <x:v>確認後才納入自動判定</x:v>
      </x:c>
    </x:row>
    <x:row r="219">
      <x:c r="A219" s="37" t="str">
        <x:v>1020</x:v>
      </x:c>
      <x:c r="B219" s="37" t="str"/>
      <x:c r="C219" s="37" t="str">
        <x:v>LJT-FILLING</x:v>
      </x:c>
      <x:c r="D219" s="37" t="str">
        <x:v>補牙</x:v>
      </x:c>
      <x:c r="E219" s="37" t="str">
        <x:v>一般</x:v>
      </x:c>
      <x:c r="F219" s="37" t="str">
        <x:v>一般</x:v>
      </x:c>
      <x:c r="G219" s="37" t="str">
        <x:v>LJT-PREP-FILLING</x:v>
      </x:c>
      <x:c r="H219" s="37" t="str">
        <x:v>必備</x:v>
      </x:c>
      <x:c r="I219" s="37" t="str">
        <x:f>_xlfn.XLOOKUP($C219&amp;"|"&amp;$G219,'李醫師能力要求'!$M$7:$M$59,'李醫師能力要求'!$K$7:$K$59,"待確認",0)</x:f>
        <x:v>已確認</x:v>
      </x:c>
      <x:c r="J219" s="37" t="str">
        <x:v>◎</x:v>
      </x:c>
      <x:c r="K219" s="37" t="str">
        <x:v>Ø</x:v>
      </x:c>
      <x:c r="L219" s="48" t="str">
        <x:f>_xlfn.XLOOKUP($A219&amp;"|"&amp;$G219,'試行能力狀態'!$L$7:$L$258,'試行能力狀態'!$E$7:$E$258,"未評估",0)</x:f>
        <x:v>◎</x:v>
      </x:c>
      <x:c r="M219" s="48" t="str">
        <x:f>_xlfn.XLOOKUP($A219&amp;"|"&amp;$G219,'試行能力狀態'!$L$7:$L$258,'試行能力狀態'!$F$7:$F$258,"未建立",0)</x:f>
        <x:v>待主管核定</x:v>
      </x:c>
      <x:c r="N219" s="48" t="str">
        <x:f>IF($L219="◎","符合獨立",IF($L219="Ø","符合條件","不符合"))</x:f>
        <x:v>符合獨立</x:v>
      </x:c>
      <x:c r="O219" s="48" t="str">
        <x:f>_xlfn.XLOOKUP($A219&amp;"|李侑津醫師",'試行熟悉度'!$K$7:$K$20,'試行熟悉度'!$E$7:$E$20,"未評估",0)</x:f>
        <x:v>可獨立配合</x:v>
      </x:c>
      <x:c r="P219" s="48" t="str">
        <x:f>_xlfn.XLOOKUP($A219&amp;"|李侑津醫師",'試行熟悉度'!$K$7:$K$20,'試行熟悉度'!$F$7:$F$20,"未建立",0)</x:f>
        <x:v>待主管核定</x:v>
      </x:c>
      <x:c r="Q219" s="39" t="str">
        <x:v>依一般支援名額</x:v>
      </x:c>
    </x:row>
    <x:row r="220">
      <x:c r="A220" s="37" t="str">
        <x:v>1020</x:v>
      </x:c>
      <x:c r="B220" s="37" t="str"/>
      <x:c r="C220" s="37" t="str">
        <x:v>LJT-FILLING</x:v>
      </x:c>
      <x:c r="D220" s="37" t="str">
        <x:v>補牙</x:v>
      </x:c>
      <x:c r="E220" s="37" t="str">
        <x:v>一般</x:v>
      </x:c>
      <x:c r="F220" s="37" t="str">
        <x:v>一般</x:v>
      </x:c>
      <x:c r="G220" s="37" t="str">
        <x:v>COMMON-RECORD</x:v>
      </x:c>
      <x:c r="H220" s="37" t="str">
        <x:v>待確認</x:v>
      </x:c>
      <x:c r="I220" s="37" t="str">
        <x:f>_xlfn.XLOOKUP($C220&amp;"|"&amp;$G220,'李醫師能力要求'!$M$7:$M$59,'李醫師能力要求'!$K$7:$K$59,"待確認",0)</x:f>
        <x:v>待確認</x:v>
      </x:c>
      <x:c r="J220" s="37" t="str">
        <x:v>◎</x:v>
      </x:c>
      <x:c r="K220" s="37" t="str">
        <x:v>Ø</x:v>
      </x:c>
      <x:c r="L220" s="48" t="str">
        <x:f>_xlfn.XLOOKUP($A220&amp;"|"&amp;$G220,'試行能力狀態'!$L$7:$L$258,'試行能力狀態'!$E$7:$E$258,"未評估",0)</x:f>
        <x:v>◎</x:v>
      </x:c>
      <x:c r="M220" s="48" t="str">
        <x:f>_xlfn.XLOOKUP($A220&amp;"|"&amp;$G220,'試行能力狀態'!$L$7:$L$258,'試行能力狀態'!$F$7:$F$258,"未建立",0)</x:f>
        <x:v>待主管核定</x:v>
      </x:c>
      <x:c r="N220" s="48" t="str">
        <x:f>IF($L220="◎","符合獨立",IF($L220="Ø","符合條件","不符合"))</x:f>
        <x:v>符合獨立</x:v>
      </x:c>
      <x:c r="O220" s="48" t="str">
        <x:f>_xlfn.XLOOKUP($A220&amp;"|李侑津醫師",'試行熟悉度'!$K$7:$K$20,'試行熟悉度'!$E$7:$E$20,"未評估",0)</x:f>
        <x:v>可獨立配合</x:v>
      </x:c>
      <x:c r="P220" s="48" t="str">
        <x:f>_xlfn.XLOOKUP($A220&amp;"|李侑津醫師",'試行熟悉度'!$K$7:$K$20,'試行熟悉度'!$F$7:$F$20,"未建立",0)</x:f>
        <x:v>待主管核定</x:v>
      </x:c>
      <x:c r="Q220" s="39" t="str">
        <x:v>確認後才納入自動判定</x:v>
      </x:c>
    </x:row>
    <x:row r="221">
      <x:c r="A221" s="37" t="str">
        <x:v>1020</x:v>
      </x:c>
      <x:c r="B221" s="37" t="str"/>
      <x:c r="C221" s="37" t="str">
        <x:v>LJT-FILLING</x:v>
      </x:c>
      <x:c r="D221" s="37" t="str">
        <x:v>補牙</x:v>
      </x:c>
      <x:c r="E221" s="37" t="str">
        <x:v>一般</x:v>
      </x:c>
      <x:c r="F221" s="37" t="str">
        <x:v>一般</x:v>
      </x:c>
      <x:c r="G221" s="37" t="str">
        <x:v>COMMON-INSURANCE</x:v>
      </x:c>
      <x:c r="H221" s="37" t="str">
        <x:v>待確認</x:v>
      </x:c>
      <x:c r="I221" s="37" t="str">
        <x:f>_xlfn.XLOOKUP($C221&amp;"|"&amp;$G221,'李醫師能力要求'!$M$7:$M$59,'李醫師能力要求'!$K$7:$K$59,"待確認",0)</x:f>
        <x:v>待確認</x:v>
      </x:c>
      <x:c r="J221" s="37" t="str">
        <x:v>◎</x:v>
      </x:c>
      <x:c r="K221" s="37" t="str">
        <x:v>Ø</x:v>
      </x:c>
      <x:c r="L221" s="48" t="str">
        <x:f>_xlfn.XLOOKUP($A221&amp;"|"&amp;$G221,'試行能力狀態'!$L$7:$L$258,'試行能力狀態'!$E$7:$E$258,"未評估",0)</x:f>
        <x:v>◎</x:v>
      </x:c>
      <x:c r="M221" s="48" t="str">
        <x:f>_xlfn.XLOOKUP($A221&amp;"|"&amp;$G221,'試行能力狀態'!$L$7:$L$258,'試行能力狀態'!$F$7:$F$258,"未建立",0)</x:f>
        <x:v>待主管核定</x:v>
      </x:c>
      <x:c r="N221" s="48" t="str">
        <x:f>IF($L221="◎","符合獨立",IF($L221="Ø","符合條件","不符合"))</x:f>
        <x:v>符合獨立</x:v>
      </x:c>
      <x:c r="O221" s="48" t="str">
        <x:f>_xlfn.XLOOKUP($A221&amp;"|李侑津醫師",'試行熟悉度'!$K$7:$K$20,'試行熟悉度'!$E$7:$E$20,"未評估",0)</x:f>
        <x:v>可獨立配合</x:v>
      </x:c>
      <x:c r="P221" s="48" t="str">
        <x:f>_xlfn.XLOOKUP($A221&amp;"|李侑津醫師",'試行熟悉度'!$K$7:$K$20,'試行熟悉度'!$F$7:$F$20,"未建立",0)</x:f>
        <x:v>待主管核定</x:v>
      </x:c>
      <x:c r="Q221" s="39" t="str">
        <x:v>確認後才納入自動判定</x:v>
      </x:c>
    </x:row>
    <x:row r="222">
      <x:c r="A222" s="37" t="str">
        <x:v>1020</x:v>
      </x:c>
      <x:c r="B222" s="37" t="str"/>
      <x:c r="C222" s="37" t="str">
        <x:v>LJT-FILLING</x:v>
      </x:c>
      <x:c r="D222" s="37" t="str">
        <x:v>補牙</x:v>
      </x:c>
      <x:c r="E222" s="37" t="str">
        <x:v>一般</x:v>
      </x:c>
      <x:c r="F222" s="37" t="str">
        <x:v>一般</x:v>
      </x:c>
      <x:c r="G222" s="37" t="str">
        <x:v>COMMON-XRAY-RECORD</x:v>
      </x:c>
      <x:c r="H222" s="37" t="str">
        <x:v>待確認</x:v>
      </x:c>
      <x:c r="I222" s="37" t="str">
        <x:f>_xlfn.XLOOKUP($C222&amp;"|"&amp;$G222,'李醫師能力要求'!$M$7:$M$59,'李醫師能力要求'!$K$7:$K$59,"待確認",0)</x:f>
        <x:v>待確認</x:v>
      </x:c>
      <x:c r="J222" s="37" t="str">
        <x:v>◎</x:v>
      </x:c>
      <x:c r="K222" s="37" t="str">
        <x:v>Ø</x:v>
      </x:c>
      <x:c r="L222" s="48" t="str">
        <x:f>_xlfn.XLOOKUP($A222&amp;"|"&amp;$G222,'試行能力狀態'!$L$7:$L$258,'試行能力狀態'!$E$7:$E$258,"未評估",0)</x:f>
        <x:v>◎</x:v>
      </x:c>
      <x:c r="M222" s="48" t="str">
        <x:f>_xlfn.XLOOKUP($A222&amp;"|"&amp;$G222,'試行能力狀態'!$L$7:$L$258,'試行能力狀態'!$F$7:$F$258,"未建立",0)</x:f>
        <x:v>待主管核定</x:v>
      </x:c>
      <x:c r="N222" s="48" t="str">
        <x:f>IF($L222="◎","符合獨立",IF($L222="Ø","符合條件","不符合"))</x:f>
        <x:v>符合獨立</x:v>
      </x:c>
      <x:c r="O222" s="48" t="str">
        <x:f>_xlfn.XLOOKUP($A222&amp;"|李侑津醫師",'試行熟悉度'!$K$7:$K$20,'試行熟悉度'!$E$7:$E$20,"未評估",0)</x:f>
        <x:v>可獨立配合</x:v>
      </x:c>
      <x:c r="P222" s="48" t="str">
        <x:f>_xlfn.XLOOKUP($A222&amp;"|李侑津醫師",'試行熟悉度'!$K$7:$K$20,'試行熟悉度'!$F$7:$F$20,"未建立",0)</x:f>
        <x:v>待主管核定</x:v>
      </x:c>
      <x:c r="Q222" s="39" t="str">
        <x:v>確認後才納入自動判定</x:v>
      </x:c>
    </x:row>
    <x:row r="223">
      <x:c r="A223" s="37" t="str">
        <x:v>1020</x:v>
      </x:c>
      <x:c r="B223" s="37" t="str"/>
      <x:c r="C223" s="37" t="str">
        <x:v>LJT-PERIO</x:v>
      </x:c>
      <x:c r="D223" s="37" t="str">
        <x:v>牙周統合</x:v>
      </x:c>
      <x:c r="E223" s="37" t="str">
        <x:v>一般</x:v>
      </x:c>
      <x:c r="F223" s="37" t="str">
        <x:v>一般</x:v>
      </x:c>
      <x:c r="G223" s="37" t="str">
        <x:v>LJT-PREP-PERIO</x:v>
      </x:c>
      <x:c r="H223" s="37" t="str">
        <x:v>必備</x:v>
      </x:c>
      <x:c r="I223" s="37" t="str">
        <x:f>_xlfn.XLOOKUP($C223&amp;"|"&amp;$G223,'李醫師能力要求'!$M$7:$M$59,'李醫師能力要求'!$K$7:$K$59,"待確認",0)</x:f>
        <x:v>已確認</x:v>
      </x:c>
      <x:c r="J223" s="37" t="str">
        <x:v>◎</x:v>
      </x:c>
      <x:c r="K223" s="37" t="str">
        <x:v>Ø</x:v>
      </x:c>
      <x:c r="L223" s="48" t="str">
        <x:f>_xlfn.XLOOKUP($A223&amp;"|"&amp;$G223,'試行能力狀態'!$L$7:$L$258,'試行能力狀態'!$E$7:$E$258,"未評估",0)</x:f>
        <x:v>◎</x:v>
      </x:c>
      <x:c r="M223" s="48" t="str">
        <x:f>_xlfn.XLOOKUP($A223&amp;"|"&amp;$G223,'試行能力狀態'!$L$7:$L$258,'試行能力狀態'!$F$7:$F$258,"未建立",0)</x:f>
        <x:v>待主管核定</x:v>
      </x:c>
      <x:c r="N223" s="48" t="str">
        <x:f>IF($L223="◎","符合獨立",IF($L223="Ø","符合條件","不符合"))</x:f>
        <x:v>符合獨立</x:v>
      </x:c>
      <x:c r="O223" s="48" t="str">
        <x:f>_xlfn.XLOOKUP($A223&amp;"|李侑津醫師",'試行熟悉度'!$K$7:$K$20,'試行熟悉度'!$E$7:$E$20,"未評估",0)</x:f>
        <x:v>可獨立配合</x:v>
      </x:c>
      <x:c r="P223" s="48" t="str">
        <x:f>_xlfn.XLOOKUP($A223&amp;"|李侑津醫師",'試行熟悉度'!$K$7:$K$20,'試行熟悉度'!$F$7:$F$20,"未建立",0)</x:f>
        <x:v>待主管核定</x:v>
      </x:c>
      <x:c r="Q223" s="39" t="str">
        <x:v>依一般支援名額</x:v>
      </x:c>
    </x:row>
    <x:row r="224">
      <x:c r="A224" s="37" t="str">
        <x:v>1020</x:v>
      </x:c>
      <x:c r="B224" s="37" t="str"/>
      <x:c r="C224" s="37" t="str">
        <x:v>LJT-PERIO</x:v>
      </x:c>
      <x:c r="D224" s="37" t="str">
        <x:v>牙周統合</x:v>
      </x:c>
      <x:c r="E224" s="37" t="str">
        <x:v>一般</x:v>
      </x:c>
      <x:c r="F224" s="37" t="str">
        <x:v>一般</x:v>
      </x:c>
      <x:c r="G224" s="37" t="str">
        <x:v>COMMON-RECORD</x:v>
      </x:c>
      <x:c r="H224" s="37" t="str">
        <x:v>待確認</x:v>
      </x:c>
      <x:c r="I224" s="37" t="str">
        <x:f>_xlfn.XLOOKUP($C224&amp;"|"&amp;$G224,'李醫師能力要求'!$M$7:$M$59,'李醫師能力要求'!$K$7:$K$59,"待確認",0)</x:f>
        <x:v>待確認</x:v>
      </x:c>
      <x:c r="J224" s="37" t="str">
        <x:v>◎</x:v>
      </x:c>
      <x:c r="K224" s="37" t="str">
        <x:v>Ø</x:v>
      </x:c>
      <x:c r="L224" s="48" t="str">
        <x:f>_xlfn.XLOOKUP($A224&amp;"|"&amp;$G224,'試行能力狀態'!$L$7:$L$258,'試行能力狀態'!$E$7:$E$258,"未評估",0)</x:f>
        <x:v>◎</x:v>
      </x:c>
      <x:c r="M224" s="48" t="str">
        <x:f>_xlfn.XLOOKUP($A224&amp;"|"&amp;$G224,'試行能力狀態'!$L$7:$L$258,'試行能力狀態'!$F$7:$F$258,"未建立",0)</x:f>
        <x:v>待主管核定</x:v>
      </x:c>
      <x:c r="N224" s="48" t="str">
        <x:f>IF($L224="◎","符合獨立",IF($L224="Ø","符合條件","不符合"))</x:f>
        <x:v>符合獨立</x:v>
      </x:c>
      <x:c r="O224" s="48" t="str">
        <x:f>_xlfn.XLOOKUP($A224&amp;"|李侑津醫師",'試行熟悉度'!$K$7:$K$20,'試行熟悉度'!$E$7:$E$20,"未評估",0)</x:f>
        <x:v>可獨立配合</x:v>
      </x:c>
      <x:c r="P224" s="48" t="str">
        <x:f>_xlfn.XLOOKUP($A224&amp;"|李侑津醫師",'試行熟悉度'!$K$7:$K$20,'試行熟悉度'!$F$7:$F$20,"未建立",0)</x:f>
        <x:v>待主管核定</x:v>
      </x:c>
      <x:c r="Q224" s="39" t="str">
        <x:v>確認後才納入自動判定</x:v>
      </x:c>
    </x:row>
    <x:row r="225">
      <x:c r="A225" s="37" t="str">
        <x:v>1020</x:v>
      </x:c>
      <x:c r="B225" s="37" t="str"/>
      <x:c r="C225" s="37" t="str">
        <x:v>LJT-PERIO</x:v>
      </x:c>
      <x:c r="D225" s="37" t="str">
        <x:v>牙周統合</x:v>
      </x:c>
      <x:c r="E225" s="37" t="str">
        <x:v>一般</x:v>
      </x:c>
      <x:c r="F225" s="37" t="str">
        <x:v>一般</x:v>
      </x:c>
      <x:c r="G225" s="37" t="str">
        <x:v>COMMON-INSURANCE</x:v>
      </x:c>
      <x:c r="H225" s="37" t="str">
        <x:v>待確認</x:v>
      </x:c>
      <x:c r="I225" s="37" t="str">
        <x:f>_xlfn.XLOOKUP($C225&amp;"|"&amp;$G225,'李醫師能力要求'!$M$7:$M$59,'李醫師能力要求'!$K$7:$K$59,"待確認",0)</x:f>
        <x:v>待確認</x:v>
      </x:c>
      <x:c r="J225" s="37" t="str">
        <x:v>◎</x:v>
      </x:c>
      <x:c r="K225" s="37" t="str">
        <x:v>Ø</x:v>
      </x:c>
      <x:c r="L225" s="48" t="str">
        <x:f>_xlfn.XLOOKUP($A225&amp;"|"&amp;$G225,'試行能力狀態'!$L$7:$L$258,'試行能力狀態'!$E$7:$E$258,"未評估",0)</x:f>
        <x:v>◎</x:v>
      </x:c>
      <x:c r="M225" s="48" t="str">
        <x:f>_xlfn.XLOOKUP($A225&amp;"|"&amp;$G225,'試行能力狀態'!$L$7:$L$258,'試行能力狀態'!$F$7:$F$258,"未建立",0)</x:f>
        <x:v>待主管核定</x:v>
      </x:c>
      <x:c r="N225" s="48" t="str">
        <x:f>IF($L225="◎","符合獨立",IF($L225="Ø","符合條件","不符合"))</x:f>
        <x:v>符合獨立</x:v>
      </x:c>
      <x:c r="O225" s="48" t="str">
        <x:f>_xlfn.XLOOKUP($A225&amp;"|李侑津醫師",'試行熟悉度'!$K$7:$K$20,'試行熟悉度'!$E$7:$E$20,"未評估",0)</x:f>
        <x:v>可獨立配合</x:v>
      </x:c>
      <x:c r="P225" s="48" t="str">
        <x:f>_xlfn.XLOOKUP($A225&amp;"|李侑津醫師",'試行熟悉度'!$K$7:$K$20,'試行熟悉度'!$F$7:$F$20,"未建立",0)</x:f>
        <x:v>待主管核定</x:v>
      </x:c>
      <x:c r="Q225" s="39" t="str">
        <x:v>確認後才納入自動判定</x:v>
      </x:c>
    </x:row>
    <x:row r="226">
      <x:c r="A226" s="37" t="str">
        <x:v>1020</x:v>
      </x:c>
      <x:c r="B226" s="37" t="str"/>
      <x:c r="C226" s="37" t="str">
        <x:v>LJT-PERIO</x:v>
      </x:c>
      <x:c r="D226" s="37" t="str">
        <x:v>牙周統合</x:v>
      </x:c>
      <x:c r="E226" s="37" t="str">
        <x:v>一般</x:v>
      </x:c>
      <x:c r="F226" s="37" t="str">
        <x:v>一般</x:v>
      </x:c>
      <x:c r="G226" s="37" t="str">
        <x:v>COMMON-XRAY-RECORD</x:v>
      </x:c>
      <x:c r="H226" s="37" t="str">
        <x:v>待確認</x:v>
      </x:c>
      <x:c r="I226" s="37" t="str">
        <x:f>_xlfn.XLOOKUP($C226&amp;"|"&amp;$G226,'李醫師能力要求'!$M$7:$M$59,'李醫師能力要求'!$K$7:$K$59,"待確認",0)</x:f>
        <x:v>待確認</x:v>
      </x:c>
      <x:c r="J226" s="37" t="str">
        <x:v>◎</x:v>
      </x:c>
      <x:c r="K226" s="37" t="str">
        <x:v>Ø</x:v>
      </x:c>
      <x:c r="L226" s="48" t="str">
        <x:f>_xlfn.XLOOKUP($A226&amp;"|"&amp;$G226,'試行能力狀態'!$L$7:$L$258,'試行能力狀態'!$E$7:$E$258,"未評估",0)</x:f>
        <x:v>◎</x:v>
      </x:c>
      <x:c r="M226" s="48" t="str">
        <x:f>_xlfn.XLOOKUP($A226&amp;"|"&amp;$G226,'試行能力狀態'!$L$7:$L$258,'試行能力狀態'!$F$7:$F$258,"未建立",0)</x:f>
        <x:v>待主管核定</x:v>
      </x:c>
      <x:c r="N226" s="48" t="str">
        <x:f>IF($L226="◎","符合獨立",IF($L226="Ø","符合條件","不符合"))</x:f>
        <x:v>符合獨立</x:v>
      </x:c>
      <x:c r="O226" s="48" t="str">
        <x:f>_xlfn.XLOOKUP($A226&amp;"|李侑津醫師",'試行熟悉度'!$K$7:$K$20,'試行熟悉度'!$E$7:$E$20,"未評估",0)</x:f>
        <x:v>可獨立配合</x:v>
      </x:c>
      <x:c r="P226" s="48" t="str">
        <x:f>_xlfn.XLOOKUP($A226&amp;"|李侑津醫師",'試行熟悉度'!$K$7:$K$20,'試行熟悉度'!$F$7:$F$20,"未建立",0)</x:f>
        <x:v>待主管核定</x:v>
      </x:c>
      <x:c r="Q226" s="39" t="str">
        <x:v>確認後才納入自動判定</x:v>
      </x:c>
    </x:row>
    <x:row r="227">
      <x:c r="A227" s="37" t="str">
        <x:v>1020</x:v>
      </x:c>
      <x:c r="B227" s="37" t="str"/>
      <x:c r="C227" s="37" t="str">
        <x:v>LJT-RCT</x:v>
      </x:c>
      <x:c r="D227" s="37" t="str">
        <x:v>一般根管治療</x:v>
      </x:c>
      <x:c r="E227" s="37" t="str">
        <x:v>一般</x:v>
      </x:c>
      <x:c r="F227" s="37" t="str">
        <x:v>一般</x:v>
      </x:c>
      <x:c r="G227" s="37" t="str">
        <x:v>LJT-PREP-RCT</x:v>
      </x:c>
      <x:c r="H227" s="37" t="str">
        <x:v>必備</x:v>
      </x:c>
      <x:c r="I227" s="37" t="str">
        <x:f>_xlfn.XLOOKUP($C227&amp;"|"&amp;$G227,'李醫師能力要求'!$M$7:$M$59,'李醫師能力要求'!$K$7:$K$59,"待確認",0)</x:f>
        <x:v>已確認</x:v>
      </x:c>
      <x:c r="J227" s="37" t="str">
        <x:v>◎</x:v>
      </x:c>
      <x:c r="K227" s="37" t="str">
        <x:v>Ø</x:v>
      </x:c>
      <x:c r="L227" s="48" t="str">
        <x:f>_xlfn.XLOOKUP($A227&amp;"|"&amp;$G227,'試行能力狀態'!$L$7:$L$258,'試行能力狀態'!$E$7:$E$258,"未評估",0)</x:f>
        <x:v>◎</x:v>
      </x:c>
      <x:c r="M227" s="48" t="str">
        <x:f>_xlfn.XLOOKUP($A227&amp;"|"&amp;$G227,'試行能力狀態'!$L$7:$L$258,'試行能力狀態'!$F$7:$F$258,"未建立",0)</x:f>
        <x:v>待主管核定</x:v>
      </x:c>
      <x:c r="N227" s="48" t="str">
        <x:f>IF($L227="◎","符合獨立",IF($L227="Ø","符合條件","不符合"))</x:f>
        <x:v>符合獨立</x:v>
      </x:c>
      <x:c r="O227" s="48" t="str">
        <x:f>_xlfn.XLOOKUP($A227&amp;"|李侑津醫師",'試行熟悉度'!$K$7:$K$20,'試行熟悉度'!$E$7:$E$20,"未評估",0)</x:f>
        <x:v>可獨立配合</x:v>
      </x:c>
      <x:c r="P227" s="48" t="str">
        <x:f>_xlfn.XLOOKUP($A227&amp;"|李侑津醫師",'試行熟悉度'!$K$7:$K$20,'試行熟悉度'!$F$7:$F$20,"未建立",0)</x:f>
        <x:v>待主管核定</x:v>
      </x:c>
      <x:c r="Q227" s="39" t="str">
        <x:v>依一般支援名額</x:v>
      </x:c>
    </x:row>
    <x:row r="228">
      <x:c r="A228" s="37" t="str">
        <x:v>1020</x:v>
      </x:c>
      <x:c r="B228" s="37" t="str"/>
      <x:c r="C228" s="37" t="str">
        <x:v>LJT-RCT</x:v>
      </x:c>
      <x:c r="D228" s="37" t="str">
        <x:v>一般根管治療</x:v>
      </x:c>
      <x:c r="E228" s="37" t="str">
        <x:v>一般</x:v>
      </x:c>
      <x:c r="F228" s="37" t="str">
        <x:v>一般</x:v>
      </x:c>
      <x:c r="G228" s="37" t="str">
        <x:v>COMMON-RECORD</x:v>
      </x:c>
      <x:c r="H228" s="37" t="str">
        <x:v>待確認</x:v>
      </x:c>
      <x:c r="I228" s="37" t="str">
        <x:f>_xlfn.XLOOKUP($C228&amp;"|"&amp;$G228,'李醫師能力要求'!$M$7:$M$59,'李醫師能力要求'!$K$7:$K$59,"待確認",0)</x:f>
        <x:v>待確認</x:v>
      </x:c>
      <x:c r="J228" s="37" t="str">
        <x:v>◎</x:v>
      </x:c>
      <x:c r="K228" s="37" t="str">
        <x:v>Ø</x:v>
      </x:c>
      <x:c r="L228" s="48" t="str">
        <x:f>_xlfn.XLOOKUP($A228&amp;"|"&amp;$G228,'試行能力狀態'!$L$7:$L$258,'試行能力狀態'!$E$7:$E$258,"未評估",0)</x:f>
        <x:v>◎</x:v>
      </x:c>
      <x:c r="M228" s="48" t="str">
        <x:f>_xlfn.XLOOKUP($A228&amp;"|"&amp;$G228,'試行能力狀態'!$L$7:$L$258,'試行能力狀態'!$F$7:$F$258,"未建立",0)</x:f>
        <x:v>待主管核定</x:v>
      </x:c>
      <x:c r="N228" s="48" t="str">
        <x:f>IF($L228="◎","符合獨立",IF($L228="Ø","符合條件","不符合"))</x:f>
        <x:v>符合獨立</x:v>
      </x:c>
      <x:c r="O228" s="48" t="str">
        <x:f>_xlfn.XLOOKUP($A228&amp;"|李侑津醫師",'試行熟悉度'!$K$7:$K$20,'試行熟悉度'!$E$7:$E$20,"未評估",0)</x:f>
        <x:v>可獨立配合</x:v>
      </x:c>
      <x:c r="P228" s="48" t="str">
        <x:f>_xlfn.XLOOKUP($A228&amp;"|李侑津醫師",'試行熟悉度'!$K$7:$K$20,'試行熟悉度'!$F$7:$F$20,"未建立",0)</x:f>
        <x:v>待主管核定</x:v>
      </x:c>
      <x:c r="Q228" s="39" t="str">
        <x:v>確認後才納入自動判定</x:v>
      </x:c>
    </x:row>
    <x:row r="229">
      <x:c r="A229" s="37" t="str">
        <x:v>1020</x:v>
      </x:c>
      <x:c r="B229" s="37" t="str"/>
      <x:c r="C229" s="37" t="str">
        <x:v>LJT-RCT</x:v>
      </x:c>
      <x:c r="D229" s="37" t="str">
        <x:v>一般根管治療</x:v>
      </x:c>
      <x:c r="E229" s="37" t="str">
        <x:v>一般</x:v>
      </x:c>
      <x:c r="F229" s="37" t="str">
        <x:v>一般</x:v>
      </x:c>
      <x:c r="G229" s="37" t="str">
        <x:v>COMMON-INSURANCE</x:v>
      </x:c>
      <x:c r="H229" s="37" t="str">
        <x:v>待確認</x:v>
      </x:c>
      <x:c r="I229" s="37" t="str">
        <x:f>_xlfn.XLOOKUP($C229&amp;"|"&amp;$G229,'李醫師能力要求'!$M$7:$M$59,'李醫師能力要求'!$K$7:$K$59,"待確認",0)</x:f>
        <x:v>待確認</x:v>
      </x:c>
      <x:c r="J229" s="37" t="str">
        <x:v>◎</x:v>
      </x:c>
      <x:c r="K229" s="37" t="str">
        <x:v>Ø</x:v>
      </x:c>
      <x:c r="L229" s="48" t="str">
        <x:f>_xlfn.XLOOKUP($A229&amp;"|"&amp;$G229,'試行能力狀態'!$L$7:$L$258,'試行能力狀態'!$E$7:$E$258,"未評估",0)</x:f>
        <x:v>◎</x:v>
      </x:c>
      <x:c r="M229" s="48" t="str">
        <x:f>_xlfn.XLOOKUP($A229&amp;"|"&amp;$G229,'試行能力狀態'!$L$7:$L$258,'試行能力狀態'!$F$7:$F$258,"未建立",0)</x:f>
        <x:v>待主管核定</x:v>
      </x:c>
      <x:c r="N229" s="48" t="str">
        <x:f>IF($L229="◎","符合獨立",IF($L229="Ø","符合條件","不符合"))</x:f>
        <x:v>符合獨立</x:v>
      </x:c>
      <x:c r="O229" s="48" t="str">
        <x:f>_xlfn.XLOOKUP($A229&amp;"|李侑津醫師",'試行熟悉度'!$K$7:$K$20,'試行熟悉度'!$E$7:$E$20,"未評估",0)</x:f>
        <x:v>可獨立配合</x:v>
      </x:c>
      <x:c r="P229" s="48" t="str">
        <x:f>_xlfn.XLOOKUP($A229&amp;"|李侑津醫師",'試行熟悉度'!$K$7:$K$20,'試行熟悉度'!$F$7:$F$20,"未建立",0)</x:f>
        <x:v>待主管核定</x:v>
      </x:c>
      <x:c r="Q229" s="39" t="str">
        <x:v>確認後才納入自動判定</x:v>
      </x:c>
    </x:row>
    <x:row r="230">
      <x:c r="A230" s="37" t="str">
        <x:v>1020</x:v>
      </x:c>
      <x:c r="B230" s="37" t="str"/>
      <x:c r="C230" s="37" t="str">
        <x:v>LJT-RCT</x:v>
      </x:c>
      <x:c r="D230" s="37" t="str">
        <x:v>一般根管治療</x:v>
      </x:c>
      <x:c r="E230" s="37" t="str">
        <x:v>一般</x:v>
      </x:c>
      <x:c r="F230" s="37" t="str">
        <x:v>一般</x:v>
      </x:c>
      <x:c r="G230" s="37" t="str">
        <x:v>COMMON-XRAY-RECORD</x:v>
      </x:c>
      <x:c r="H230" s="37" t="str">
        <x:v>待確認</x:v>
      </x:c>
      <x:c r="I230" s="37" t="str">
        <x:f>_xlfn.XLOOKUP($C230&amp;"|"&amp;$G230,'李醫師能力要求'!$M$7:$M$59,'李醫師能力要求'!$K$7:$K$59,"待確認",0)</x:f>
        <x:v>待確認</x:v>
      </x:c>
      <x:c r="J230" s="37" t="str">
        <x:v>◎</x:v>
      </x:c>
      <x:c r="K230" s="37" t="str">
        <x:v>Ø</x:v>
      </x:c>
      <x:c r="L230" s="48" t="str">
        <x:f>_xlfn.XLOOKUP($A230&amp;"|"&amp;$G230,'試行能力狀態'!$L$7:$L$258,'試行能力狀態'!$E$7:$E$258,"未評估",0)</x:f>
        <x:v>◎</x:v>
      </x:c>
      <x:c r="M230" s="48" t="str">
        <x:f>_xlfn.XLOOKUP($A230&amp;"|"&amp;$G230,'試行能力狀態'!$L$7:$L$258,'試行能力狀態'!$F$7:$F$258,"未建立",0)</x:f>
        <x:v>待主管核定</x:v>
      </x:c>
      <x:c r="N230" s="48" t="str">
        <x:f>IF($L230="◎","符合獨立",IF($L230="Ø","符合條件","不符合"))</x:f>
        <x:v>符合獨立</x:v>
      </x:c>
      <x:c r="O230" s="48" t="str">
        <x:f>_xlfn.XLOOKUP($A230&amp;"|李侑津醫師",'試行熟悉度'!$K$7:$K$20,'試行熟悉度'!$E$7:$E$20,"未評估",0)</x:f>
        <x:v>可獨立配合</x:v>
      </x:c>
      <x:c r="P230" s="48" t="str">
        <x:f>_xlfn.XLOOKUP($A230&amp;"|李侑津醫師",'試行熟悉度'!$K$7:$K$20,'試行熟悉度'!$F$7:$F$20,"未建立",0)</x:f>
        <x:v>待主管核定</x:v>
      </x:c>
      <x:c r="Q230" s="39" t="str">
        <x:v>確認後才納入自動判定</x:v>
      </x:c>
    </x:row>
    <x:row r="231">
      <x:c r="A231" s="37" t="str">
        <x:v>1020</x:v>
      </x:c>
      <x:c r="B231" s="37" t="str"/>
      <x:c r="C231" s="37" t="str">
        <x:v>LJT-EXTRACTION</x:v>
      </x:c>
      <x:c r="D231" s="37" t="str">
        <x:v>拔牙</x:v>
      </x:c>
      <x:c r="E231" s="37" t="str">
        <x:v>一般</x:v>
      </x:c>
      <x:c r="F231" s="37" t="str">
        <x:v>一般</x:v>
      </x:c>
      <x:c r="G231" s="37" t="str">
        <x:v>LJT-PREP-EXTRACTION</x:v>
      </x:c>
      <x:c r="H231" s="37" t="str">
        <x:v>必備</x:v>
      </x:c>
      <x:c r="I231" s="37" t="str">
        <x:f>_xlfn.XLOOKUP($C231&amp;"|"&amp;$G231,'李醫師能力要求'!$M$7:$M$59,'李醫師能力要求'!$K$7:$K$59,"待確認",0)</x:f>
        <x:v>已確認</x:v>
      </x:c>
      <x:c r="J231" s="37" t="str">
        <x:v>◎</x:v>
      </x:c>
      <x:c r="K231" s="37" t="str">
        <x:v>Ø</x:v>
      </x:c>
      <x:c r="L231" s="48" t="str">
        <x:f>_xlfn.XLOOKUP($A231&amp;"|"&amp;$G231,'試行能力狀態'!$L$7:$L$258,'試行能力狀態'!$E$7:$E$258,"未評估",0)</x:f>
        <x:v>◎</x:v>
      </x:c>
      <x:c r="M231" s="48" t="str">
        <x:f>_xlfn.XLOOKUP($A231&amp;"|"&amp;$G231,'試行能力狀態'!$L$7:$L$258,'試行能力狀態'!$F$7:$F$258,"未建立",0)</x:f>
        <x:v>待主管核定</x:v>
      </x:c>
      <x:c r="N231" s="48" t="str">
        <x:f>IF($L231="◎","符合獨立",IF($L231="Ø","符合條件","不符合"))</x:f>
        <x:v>符合獨立</x:v>
      </x:c>
      <x:c r="O231" s="48" t="str">
        <x:f>_xlfn.XLOOKUP($A231&amp;"|李侑津醫師",'試行熟悉度'!$K$7:$K$20,'試行熟悉度'!$E$7:$E$20,"未評估",0)</x:f>
        <x:v>可獨立配合</x:v>
      </x:c>
      <x:c r="P231" s="48" t="str">
        <x:f>_xlfn.XLOOKUP($A231&amp;"|李侑津醫師",'試行熟悉度'!$K$7:$K$20,'試行熟悉度'!$F$7:$F$20,"未建立",0)</x:f>
        <x:v>待主管核定</x:v>
      </x:c>
      <x:c r="Q231" s="39" t="str">
        <x:v>依一般支援名額</x:v>
      </x:c>
    </x:row>
    <x:row r="232">
      <x:c r="A232" s="37" t="str">
        <x:v>1020</x:v>
      </x:c>
      <x:c r="B232" s="37" t="str"/>
      <x:c r="C232" s="37" t="str">
        <x:v>LJT-EXTRACTION</x:v>
      </x:c>
      <x:c r="D232" s="37" t="str">
        <x:v>拔牙</x:v>
      </x:c>
      <x:c r="E232" s="37" t="str">
        <x:v>一般</x:v>
      </x:c>
      <x:c r="F232" s="37" t="str">
        <x:v>一般</x:v>
      </x:c>
      <x:c r="G232" s="37" t="str">
        <x:v>COMMON-RECORD</x:v>
      </x:c>
      <x:c r="H232" s="37" t="str">
        <x:v>待確認</x:v>
      </x:c>
      <x:c r="I232" s="37" t="str">
        <x:f>_xlfn.XLOOKUP($C232&amp;"|"&amp;$G232,'李醫師能力要求'!$M$7:$M$59,'李醫師能力要求'!$K$7:$K$59,"待確認",0)</x:f>
        <x:v>待確認</x:v>
      </x:c>
      <x:c r="J232" s="37" t="str">
        <x:v>◎</x:v>
      </x:c>
      <x:c r="K232" s="37" t="str">
        <x:v>Ø</x:v>
      </x:c>
      <x:c r="L232" s="48" t="str">
        <x:f>_xlfn.XLOOKUP($A232&amp;"|"&amp;$G232,'試行能力狀態'!$L$7:$L$258,'試行能力狀態'!$E$7:$E$258,"未評估",0)</x:f>
        <x:v>◎</x:v>
      </x:c>
      <x:c r="M232" s="48" t="str">
        <x:f>_xlfn.XLOOKUP($A232&amp;"|"&amp;$G232,'試行能力狀態'!$L$7:$L$258,'試行能力狀態'!$F$7:$F$258,"未建立",0)</x:f>
        <x:v>待主管核定</x:v>
      </x:c>
      <x:c r="N232" s="48" t="str">
        <x:f>IF($L232="◎","符合獨立",IF($L232="Ø","符合條件","不符合"))</x:f>
        <x:v>符合獨立</x:v>
      </x:c>
      <x:c r="O232" s="48" t="str">
        <x:f>_xlfn.XLOOKUP($A232&amp;"|李侑津醫師",'試行熟悉度'!$K$7:$K$20,'試行熟悉度'!$E$7:$E$20,"未評估",0)</x:f>
        <x:v>可獨立配合</x:v>
      </x:c>
      <x:c r="P232" s="48" t="str">
        <x:f>_xlfn.XLOOKUP($A232&amp;"|李侑津醫師",'試行熟悉度'!$K$7:$K$20,'試行熟悉度'!$F$7:$F$20,"未建立",0)</x:f>
        <x:v>待主管核定</x:v>
      </x:c>
      <x:c r="Q232" s="39" t="str">
        <x:v>確認後才納入自動判定</x:v>
      </x:c>
    </x:row>
    <x:row r="233">
      <x:c r="A233" s="37" t="str">
        <x:v>1020</x:v>
      </x:c>
      <x:c r="B233" s="37" t="str"/>
      <x:c r="C233" s="37" t="str">
        <x:v>LJT-EXTRACTION</x:v>
      </x:c>
      <x:c r="D233" s="37" t="str">
        <x:v>拔牙</x:v>
      </x:c>
      <x:c r="E233" s="37" t="str">
        <x:v>一般</x:v>
      </x:c>
      <x:c r="F233" s="37" t="str">
        <x:v>一般</x:v>
      </x:c>
      <x:c r="G233" s="37" t="str">
        <x:v>COMMON-INSURANCE</x:v>
      </x:c>
      <x:c r="H233" s="37" t="str">
        <x:v>待確認</x:v>
      </x:c>
      <x:c r="I233" s="37" t="str">
        <x:f>_xlfn.XLOOKUP($C233&amp;"|"&amp;$G233,'李醫師能力要求'!$M$7:$M$59,'李醫師能力要求'!$K$7:$K$59,"待確認",0)</x:f>
        <x:v>待確認</x:v>
      </x:c>
      <x:c r="J233" s="37" t="str">
        <x:v>◎</x:v>
      </x:c>
      <x:c r="K233" s="37" t="str">
        <x:v>Ø</x:v>
      </x:c>
      <x:c r="L233" s="48" t="str">
        <x:f>_xlfn.XLOOKUP($A233&amp;"|"&amp;$G233,'試行能力狀態'!$L$7:$L$258,'試行能力狀態'!$E$7:$E$258,"未評估",0)</x:f>
        <x:v>◎</x:v>
      </x:c>
      <x:c r="M233" s="48" t="str">
        <x:f>_xlfn.XLOOKUP($A233&amp;"|"&amp;$G233,'試行能力狀態'!$L$7:$L$258,'試行能力狀態'!$F$7:$F$258,"未建立",0)</x:f>
        <x:v>待主管核定</x:v>
      </x:c>
      <x:c r="N233" s="48" t="str">
        <x:f>IF($L233="◎","符合獨立",IF($L233="Ø","符合條件","不符合"))</x:f>
        <x:v>符合獨立</x:v>
      </x:c>
      <x:c r="O233" s="48" t="str">
        <x:f>_xlfn.XLOOKUP($A233&amp;"|李侑津醫師",'試行熟悉度'!$K$7:$K$20,'試行熟悉度'!$E$7:$E$20,"未評估",0)</x:f>
        <x:v>可獨立配合</x:v>
      </x:c>
      <x:c r="P233" s="48" t="str">
        <x:f>_xlfn.XLOOKUP($A233&amp;"|李侑津醫師",'試行熟悉度'!$K$7:$K$20,'試行熟悉度'!$F$7:$F$20,"未建立",0)</x:f>
        <x:v>待主管核定</x:v>
      </x:c>
      <x:c r="Q233" s="39" t="str">
        <x:v>確認後才納入自動判定</x:v>
      </x:c>
    </x:row>
    <x:row r="234">
      <x:c r="A234" s="37" t="str">
        <x:v>1020</x:v>
      </x:c>
      <x:c r="B234" s="37" t="str"/>
      <x:c r="C234" s="37" t="str">
        <x:v>LJT-EXTRACTION</x:v>
      </x:c>
      <x:c r="D234" s="37" t="str">
        <x:v>拔牙</x:v>
      </x:c>
      <x:c r="E234" s="37" t="str">
        <x:v>一般</x:v>
      </x:c>
      <x:c r="F234" s="37" t="str">
        <x:v>一般</x:v>
      </x:c>
      <x:c r="G234" s="37" t="str">
        <x:v>COMMON-XRAY-RECORD</x:v>
      </x:c>
      <x:c r="H234" s="37" t="str">
        <x:v>待確認</x:v>
      </x:c>
      <x:c r="I234" s="37" t="str">
        <x:f>_xlfn.XLOOKUP($C234&amp;"|"&amp;$G234,'李醫師能力要求'!$M$7:$M$59,'李醫師能力要求'!$K$7:$K$59,"待確認",0)</x:f>
        <x:v>待確認</x:v>
      </x:c>
      <x:c r="J234" s="37" t="str">
        <x:v>◎</x:v>
      </x:c>
      <x:c r="K234" s="37" t="str">
        <x:v>Ø</x:v>
      </x:c>
      <x:c r="L234" s="48" t="str">
        <x:f>_xlfn.XLOOKUP($A234&amp;"|"&amp;$G234,'試行能力狀態'!$L$7:$L$258,'試行能力狀態'!$E$7:$E$258,"未評估",0)</x:f>
        <x:v>◎</x:v>
      </x:c>
      <x:c r="M234" s="48" t="str">
        <x:f>_xlfn.XLOOKUP($A234&amp;"|"&amp;$G234,'試行能力狀態'!$L$7:$L$258,'試行能力狀態'!$F$7:$F$258,"未建立",0)</x:f>
        <x:v>待主管核定</x:v>
      </x:c>
      <x:c r="N234" s="48" t="str">
        <x:f>IF($L234="◎","符合獨立",IF($L234="Ø","符合條件","不符合"))</x:f>
        <x:v>符合獨立</x:v>
      </x:c>
      <x:c r="O234" s="48" t="str">
        <x:f>_xlfn.XLOOKUP($A234&amp;"|李侑津醫師",'試行熟悉度'!$K$7:$K$20,'試行熟悉度'!$E$7:$E$20,"未評估",0)</x:f>
        <x:v>可獨立配合</x:v>
      </x:c>
      <x:c r="P234" s="48" t="str">
        <x:f>_xlfn.XLOOKUP($A234&amp;"|李侑津醫師",'試行熟悉度'!$K$7:$K$20,'試行熟悉度'!$F$7:$F$20,"未建立",0)</x:f>
        <x:v>待主管核定</x:v>
      </x:c>
      <x:c r="Q234" s="39" t="str">
        <x:v>確認後才納入自動判定</x:v>
      </x:c>
    </x:row>
    <x:row r="235">
      <x:c r="A235" s="37" t="str">
        <x:v>1020</x:v>
      </x:c>
      <x:c r="B235" s="37" t="str"/>
      <x:c r="C235" s="37" t="str">
        <x:v>LJT-CROWNPOST</x:v>
      </x:c>
      <x:c r="D235" s="37" t="str">
        <x:v>拆 crown/post</x:v>
      </x:c>
      <x:c r="E235" s="37" t="str">
        <x:v>一般</x:v>
      </x:c>
      <x:c r="F235" s="37" t="str">
        <x:v>一般</x:v>
      </x:c>
      <x:c r="G235" s="37" t="str">
        <x:v>LJT-PREP-CROWNPOST</x:v>
      </x:c>
      <x:c r="H235" s="37" t="str">
        <x:v>必備</x:v>
      </x:c>
      <x:c r="I235" s="37" t="str">
        <x:f>_xlfn.XLOOKUP($C235&amp;"|"&amp;$G235,'李醫師能力要求'!$M$7:$M$59,'李醫師能力要求'!$K$7:$K$59,"待確認",0)</x:f>
        <x:v>已確認</x:v>
      </x:c>
      <x:c r="J235" s="37" t="str">
        <x:v>◎</x:v>
      </x:c>
      <x:c r="K235" s="37" t="str">
        <x:v>Ø</x:v>
      </x:c>
      <x:c r="L235" s="48" t="str">
        <x:f>_xlfn.XLOOKUP($A235&amp;"|"&amp;$G235,'試行能力狀態'!$L$7:$L$258,'試行能力狀態'!$E$7:$E$258,"未評估",0)</x:f>
        <x:v>◎</x:v>
      </x:c>
      <x:c r="M235" s="48" t="str">
        <x:f>_xlfn.XLOOKUP($A235&amp;"|"&amp;$G235,'試行能力狀態'!$L$7:$L$258,'試行能力狀態'!$F$7:$F$258,"未建立",0)</x:f>
        <x:v>待主管核定</x:v>
      </x:c>
      <x:c r="N235" s="48" t="str">
        <x:f>IF($L235="◎","符合獨立",IF($L235="Ø","符合條件","不符合"))</x:f>
        <x:v>符合獨立</x:v>
      </x:c>
      <x:c r="O235" s="48" t="str">
        <x:f>_xlfn.XLOOKUP($A235&amp;"|李侑津醫師",'試行熟悉度'!$K$7:$K$20,'試行熟悉度'!$E$7:$E$20,"未評估",0)</x:f>
        <x:v>可獨立配合</x:v>
      </x:c>
      <x:c r="P235" s="48" t="str">
        <x:f>_xlfn.XLOOKUP($A235&amp;"|李侑津醫師",'試行熟悉度'!$K$7:$K$20,'試行熟悉度'!$F$7:$F$20,"未建立",0)</x:f>
        <x:v>待主管核定</x:v>
      </x:c>
      <x:c r="Q235" s="39" t="str">
        <x:v>依一般支援名額</x:v>
      </x:c>
    </x:row>
    <x:row r="236">
      <x:c r="A236" s="37" t="str">
        <x:v>1020</x:v>
      </x:c>
      <x:c r="B236" s="37" t="str"/>
      <x:c r="C236" s="37" t="str">
        <x:v>LJT-CROWNPOST</x:v>
      </x:c>
      <x:c r="D236" s="37" t="str">
        <x:v>拆 crown/post</x:v>
      </x:c>
      <x:c r="E236" s="37" t="str">
        <x:v>一般</x:v>
      </x:c>
      <x:c r="F236" s="37" t="str">
        <x:v>一般</x:v>
      </x:c>
      <x:c r="G236" s="37" t="str">
        <x:v>COMMON-RECORD</x:v>
      </x:c>
      <x:c r="H236" s="37" t="str">
        <x:v>待確認</x:v>
      </x:c>
      <x:c r="I236" s="37" t="str">
        <x:f>_xlfn.XLOOKUP($C236&amp;"|"&amp;$G236,'李醫師能力要求'!$M$7:$M$59,'李醫師能力要求'!$K$7:$K$59,"待確認",0)</x:f>
        <x:v>待確認</x:v>
      </x:c>
      <x:c r="J236" s="37" t="str">
        <x:v>◎</x:v>
      </x:c>
      <x:c r="K236" s="37" t="str">
        <x:v>Ø</x:v>
      </x:c>
      <x:c r="L236" s="48" t="str">
        <x:f>_xlfn.XLOOKUP($A236&amp;"|"&amp;$G236,'試行能力狀態'!$L$7:$L$258,'試行能力狀態'!$E$7:$E$258,"未評估",0)</x:f>
        <x:v>◎</x:v>
      </x:c>
      <x:c r="M236" s="48" t="str">
        <x:f>_xlfn.XLOOKUP($A236&amp;"|"&amp;$G236,'試行能力狀態'!$L$7:$L$258,'試行能力狀態'!$F$7:$F$258,"未建立",0)</x:f>
        <x:v>待主管核定</x:v>
      </x:c>
      <x:c r="N236" s="48" t="str">
        <x:f>IF($L236="◎","符合獨立",IF($L236="Ø","符合條件","不符合"))</x:f>
        <x:v>符合獨立</x:v>
      </x:c>
      <x:c r="O236" s="48" t="str">
        <x:f>_xlfn.XLOOKUP($A236&amp;"|李侑津醫師",'試行熟悉度'!$K$7:$K$20,'試行熟悉度'!$E$7:$E$20,"未評估",0)</x:f>
        <x:v>可獨立配合</x:v>
      </x:c>
      <x:c r="P236" s="48" t="str">
        <x:f>_xlfn.XLOOKUP($A236&amp;"|李侑津醫師",'試行熟悉度'!$K$7:$K$20,'試行熟悉度'!$F$7:$F$20,"未建立",0)</x:f>
        <x:v>待主管核定</x:v>
      </x:c>
      <x:c r="Q236" s="39" t="str">
        <x:v>確認後才納入自動判定</x:v>
      </x:c>
    </x:row>
    <x:row r="237">
      <x:c r="A237" s="37" t="str">
        <x:v>1020</x:v>
      </x:c>
      <x:c r="B237" s="37" t="str"/>
      <x:c r="C237" s="37" t="str">
        <x:v>LJT-CROWNPOST</x:v>
      </x:c>
      <x:c r="D237" s="37" t="str">
        <x:v>拆 crown/post</x:v>
      </x:c>
      <x:c r="E237" s="37" t="str">
        <x:v>一般</x:v>
      </x:c>
      <x:c r="F237" s="37" t="str">
        <x:v>一般</x:v>
      </x:c>
      <x:c r="G237" s="37" t="str">
        <x:v>COMMON-INSURANCE</x:v>
      </x:c>
      <x:c r="H237" s="37" t="str">
        <x:v>待確認</x:v>
      </x:c>
      <x:c r="I237" s="37" t="str">
        <x:f>_xlfn.XLOOKUP($C237&amp;"|"&amp;$G237,'李醫師能力要求'!$M$7:$M$59,'李醫師能力要求'!$K$7:$K$59,"待確認",0)</x:f>
        <x:v>待確認</x:v>
      </x:c>
      <x:c r="J237" s="37" t="str">
        <x:v>◎</x:v>
      </x:c>
      <x:c r="K237" s="37" t="str">
        <x:v>Ø</x:v>
      </x:c>
      <x:c r="L237" s="48" t="str">
        <x:f>_xlfn.XLOOKUP($A237&amp;"|"&amp;$G237,'試行能力狀態'!$L$7:$L$258,'試行能力狀態'!$E$7:$E$258,"未評估",0)</x:f>
        <x:v>◎</x:v>
      </x:c>
      <x:c r="M237" s="48" t="str">
        <x:f>_xlfn.XLOOKUP($A237&amp;"|"&amp;$G237,'試行能力狀態'!$L$7:$L$258,'試行能力狀態'!$F$7:$F$258,"未建立",0)</x:f>
        <x:v>待主管核定</x:v>
      </x:c>
      <x:c r="N237" s="48" t="str">
        <x:f>IF($L237="◎","符合獨立",IF($L237="Ø","符合條件","不符合"))</x:f>
        <x:v>符合獨立</x:v>
      </x:c>
      <x:c r="O237" s="48" t="str">
        <x:f>_xlfn.XLOOKUP($A237&amp;"|李侑津醫師",'試行熟悉度'!$K$7:$K$20,'試行熟悉度'!$E$7:$E$20,"未評估",0)</x:f>
        <x:v>可獨立配合</x:v>
      </x:c>
      <x:c r="P237" s="48" t="str">
        <x:f>_xlfn.XLOOKUP($A237&amp;"|李侑津醫師",'試行熟悉度'!$K$7:$K$20,'試行熟悉度'!$F$7:$F$20,"未建立",0)</x:f>
        <x:v>待主管核定</x:v>
      </x:c>
      <x:c r="Q237" s="39" t="str">
        <x:v>確認後才納入自動判定</x:v>
      </x:c>
    </x:row>
    <x:row r="238">
      <x:c r="A238" s="37" t="str">
        <x:v>1020</x:v>
      </x:c>
      <x:c r="B238" s="37" t="str"/>
      <x:c r="C238" s="37" t="str">
        <x:v>LJT-CROWNPOST</x:v>
      </x:c>
      <x:c r="D238" s="37" t="str">
        <x:v>拆 crown/post</x:v>
      </x:c>
      <x:c r="E238" s="37" t="str">
        <x:v>一般</x:v>
      </x:c>
      <x:c r="F238" s="37" t="str">
        <x:v>一般</x:v>
      </x:c>
      <x:c r="G238" s="37" t="str">
        <x:v>COMMON-XRAY-RECORD</x:v>
      </x:c>
      <x:c r="H238" s="37" t="str">
        <x:v>待確認</x:v>
      </x:c>
      <x:c r="I238" s="37" t="str">
        <x:f>_xlfn.XLOOKUP($C238&amp;"|"&amp;$G238,'李醫師能力要求'!$M$7:$M$59,'李醫師能力要求'!$K$7:$K$59,"待確認",0)</x:f>
        <x:v>待確認</x:v>
      </x:c>
      <x:c r="J238" s="37" t="str">
        <x:v>◎</x:v>
      </x:c>
      <x:c r="K238" s="37" t="str">
        <x:v>Ø</x:v>
      </x:c>
      <x:c r="L238" s="48" t="str">
        <x:f>_xlfn.XLOOKUP($A238&amp;"|"&amp;$G238,'試行能力狀態'!$L$7:$L$258,'試行能力狀態'!$E$7:$E$258,"未評估",0)</x:f>
        <x:v>◎</x:v>
      </x:c>
      <x:c r="M238" s="48" t="str">
        <x:f>_xlfn.XLOOKUP($A238&amp;"|"&amp;$G238,'試行能力狀態'!$L$7:$L$258,'試行能力狀態'!$F$7:$F$258,"未建立",0)</x:f>
        <x:v>待主管核定</x:v>
      </x:c>
      <x:c r="N238" s="48" t="str">
        <x:f>IF($L238="◎","符合獨立",IF($L238="Ø","符合條件","不符合"))</x:f>
        <x:v>符合獨立</x:v>
      </x:c>
      <x:c r="O238" s="48" t="str">
        <x:f>_xlfn.XLOOKUP($A238&amp;"|李侑津醫師",'試行熟悉度'!$K$7:$K$20,'試行熟悉度'!$E$7:$E$20,"未評估",0)</x:f>
        <x:v>可獨立配合</x:v>
      </x:c>
      <x:c r="P238" s="48" t="str">
        <x:f>_xlfn.XLOOKUP($A238&amp;"|李侑津醫師",'試行熟悉度'!$K$7:$K$20,'試行熟悉度'!$F$7:$F$20,"未建立",0)</x:f>
        <x:v>待主管核定</x:v>
      </x:c>
      <x:c r="Q238" s="39" t="str">
        <x:v>確認後才納入自動判定</x:v>
      </x:c>
    </x:row>
    <x:row r="239">
      <x:c r="A239" s="37" t="str">
        <x:v>1020</x:v>
      </x:c>
      <x:c r="B239" s="37" t="str"/>
      <x:c r="C239" s="37" t="str">
        <x:v>LJT-CROWN</x:v>
      </x:c>
      <x:c r="D239" s="37" t="str">
        <x:v>固定假牙</x:v>
      </x:c>
      <x:c r="E239" s="37" t="str">
        <x:v>一般</x:v>
      </x:c>
      <x:c r="F239" s="37" t="str">
        <x:v>一般</x:v>
      </x:c>
      <x:c r="G239" s="37" t="str">
        <x:v>LJT-PREP-CROWN</x:v>
      </x:c>
      <x:c r="H239" s="37" t="str">
        <x:v>必備</x:v>
      </x:c>
      <x:c r="I239" s="37" t="str">
        <x:f>_xlfn.XLOOKUP($C239&amp;"|"&amp;$G239,'李醫師能力要求'!$M$7:$M$59,'李醫師能力要求'!$K$7:$K$59,"待確認",0)</x:f>
        <x:v>已確認</x:v>
      </x:c>
      <x:c r="J239" s="37" t="str">
        <x:v>◎</x:v>
      </x:c>
      <x:c r="K239" s="37" t="str">
        <x:v>Ø</x:v>
      </x:c>
      <x:c r="L239" s="48" t="str">
        <x:f>_xlfn.XLOOKUP($A239&amp;"|"&amp;$G239,'試行能力狀態'!$L$7:$L$258,'試行能力狀態'!$E$7:$E$258,"未評估",0)</x:f>
        <x:v>◎</x:v>
      </x:c>
      <x:c r="M239" s="48" t="str">
        <x:f>_xlfn.XLOOKUP($A239&amp;"|"&amp;$G239,'試行能力狀態'!$L$7:$L$258,'試行能力狀態'!$F$7:$F$258,"未建立",0)</x:f>
        <x:v>待主管核定</x:v>
      </x:c>
      <x:c r="N239" s="48" t="str">
        <x:f>IF($L239="◎","符合獨立",IF($L239="Ø","符合條件","不符合"))</x:f>
        <x:v>符合獨立</x:v>
      </x:c>
      <x:c r="O239" s="48" t="str">
        <x:f>_xlfn.XLOOKUP($A239&amp;"|李侑津醫師",'試行熟悉度'!$K$7:$K$20,'試行熟悉度'!$E$7:$E$20,"未評估",0)</x:f>
        <x:v>可獨立配合</x:v>
      </x:c>
      <x:c r="P239" s="48" t="str">
        <x:f>_xlfn.XLOOKUP($A239&amp;"|李侑津醫師",'試行熟悉度'!$K$7:$K$20,'試行熟悉度'!$F$7:$F$20,"未建立",0)</x:f>
        <x:v>待主管核定</x:v>
      </x:c>
      <x:c r="Q239" s="39" t="str">
        <x:v>依一般支援名額</x:v>
      </x:c>
    </x:row>
    <x:row r="240">
      <x:c r="A240" s="37" t="str">
        <x:v>1020</x:v>
      </x:c>
      <x:c r="B240" s="37" t="str"/>
      <x:c r="C240" s="37" t="str">
        <x:v>LJT-CROWN</x:v>
      </x:c>
      <x:c r="D240" s="37" t="str">
        <x:v>固定假牙</x:v>
      </x:c>
      <x:c r="E240" s="37" t="str">
        <x:v>一般</x:v>
      </x:c>
      <x:c r="F240" s="37" t="str">
        <x:v>一般</x:v>
      </x:c>
      <x:c r="G240" s="37" t="str">
        <x:v>COMMON-RECORD</x:v>
      </x:c>
      <x:c r="H240" s="37" t="str">
        <x:v>待確認</x:v>
      </x:c>
      <x:c r="I240" s="37" t="str">
        <x:f>_xlfn.XLOOKUP($C240&amp;"|"&amp;$G240,'李醫師能力要求'!$M$7:$M$59,'李醫師能力要求'!$K$7:$K$59,"待確認",0)</x:f>
        <x:v>待確認</x:v>
      </x:c>
      <x:c r="J240" s="37" t="str">
        <x:v>◎</x:v>
      </x:c>
      <x:c r="K240" s="37" t="str">
        <x:v>Ø</x:v>
      </x:c>
      <x:c r="L240" s="48" t="str">
        <x:f>_xlfn.XLOOKUP($A240&amp;"|"&amp;$G240,'試行能力狀態'!$L$7:$L$258,'試行能力狀態'!$E$7:$E$258,"未評估",0)</x:f>
        <x:v>◎</x:v>
      </x:c>
      <x:c r="M240" s="48" t="str">
        <x:f>_xlfn.XLOOKUP($A240&amp;"|"&amp;$G240,'試行能力狀態'!$L$7:$L$258,'試行能力狀態'!$F$7:$F$258,"未建立",0)</x:f>
        <x:v>待主管核定</x:v>
      </x:c>
      <x:c r="N240" s="48" t="str">
        <x:f>IF($L240="◎","符合獨立",IF($L240="Ø","符合條件","不符合"))</x:f>
        <x:v>符合獨立</x:v>
      </x:c>
      <x:c r="O240" s="48" t="str">
        <x:f>_xlfn.XLOOKUP($A240&amp;"|李侑津醫師",'試行熟悉度'!$K$7:$K$20,'試行熟悉度'!$E$7:$E$20,"未評估",0)</x:f>
        <x:v>可獨立配合</x:v>
      </x:c>
      <x:c r="P240" s="48" t="str">
        <x:f>_xlfn.XLOOKUP($A240&amp;"|李侑津醫師",'試行熟悉度'!$K$7:$K$20,'試行熟悉度'!$F$7:$F$20,"未建立",0)</x:f>
        <x:v>待主管核定</x:v>
      </x:c>
      <x:c r="Q240" s="39" t="str">
        <x:v>確認後才納入自動判定</x:v>
      </x:c>
    </x:row>
    <x:row r="241">
      <x:c r="A241" s="37" t="str">
        <x:v>1020</x:v>
      </x:c>
      <x:c r="B241" s="37" t="str"/>
      <x:c r="C241" s="37" t="str">
        <x:v>LJT-CROWN</x:v>
      </x:c>
      <x:c r="D241" s="37" t="str">
        <x:v>固定假牙</x:v>
      </x:c>
      <x:c r="E241" s="37" t="str">
        <x:v>一般</x:v>
      </x:c>
      <x:c r="F241" s="37" t="str">
        <x:v>一般</x:v>
      </x:c>
      <x:c r="G241" s="37" t="str">
        <x:v>COMMON-INSURANCE</x:v>
      </x:c>
      <x:c r="H241" s="37" t="str">
        <x:v>待確認</x:v>
      </x:c>
      <x:c r="I241" s="37" t="str">
        <x:f>_xlfn.XLOOKUP($C241&amp;"|"&amp;$G241,'李醫師能力要求'!$M$7:$M$59,'李醫師能力要求'!$K$7:$K$59,"待確認",0)</x:f>
        <x:v>待確認</x:v>
      </x:c>
      <x:c r="J241" s="37" t="str">
        <x:v>◎</x:v>
      </x:c>
      <x:c r="K241" s="37" t="str">
        <x:v>Ø</x:v>
      </x:c>
      <x:c r="L241" s="48" t="str">
        <x:f>_xlfn.XLOOKUP($A241&amp;"|"&amp;$G241,'試行能力狀態'!$L$7:$L$258,'試行能力狀態'!$E$7:$E$258,"未評估",0)</x:f>
        <x:v>◎</x:v>
      </x:c>
      <x:c r="M241" s="48" t="str">
        <x:f>_xlfn.XLOOKUP($A241&amp;"|"&amp;$G241,'試行能力狀態'!$L$7:$L$258,'試行能力狀態'!$F$7:$F$258,"未建立",0)</x:f>
        <x:v>待主管核定</x:v>
      </x:c>
      <x:c r="N241" s="48" t="str">
        <x:f>IF($L241="◎","符合獨立",IF($L241="Ø","符合條件","不符合"))</x:f>
        <x:v>符合獨立</x:v>
      </x:c>
      <x:c r="O241" s="48" t="str">
        <x:f>_xlfn.XLOOKUP($A241&amp;"|李侑津醫師",'試行熟悉度'!$K$7:$K$20,'試行熟悉度'!$E$7:$E$20,"未評估",0)</x:f>
        <x:v>可獨立配合</x:v>
      </x:c>
      <x:c r="P241" s="48" t="str">
        <x:f>_xlfn.XLOOKUP($A241&amp;"|李侑津醫師",'試行熟悉度'!$K$7:$K$20,'試行熟悉度'!$F$7:$F$20,"未建立",0)</x:f>
        <x:v>待主管核定</x:v>
      </x:c>
      <x:c r="Q241" s="39" t="str">
        <x:v>確認後才納入自動判定</x:v>
      </x:c>
    </x:row>
    <x:row r="242">
      <x:c r="A242" s="37" t="str">
        <x:v>1020</x:v>
      </x:c>
      <x:c r="B242" s="37" t="str"/>
      <x:c r="C242" s="37" t="str">
        <x:v>LJT-CROWN</x:v>
      </x:c>
      <x:c r="D242" s="37" t="str">
        <x:v>固定假牙</x:v>
      </x:c>
      <x:c r="E242" s="37" t="str">
        <x:v>一般</x:v>
      </x:c>
      <x:c r="F242" s="37" t="str">
        <x:v>一般</x:v>
      </x:c>
      <x:c r="G242" s="37" t="str">
        <x:v>COMMON-XRAY-RECORD</x:v>
      </x:c>
      <x:c r="H242" s="37" t="str">
        <x:v>待確認</x:v>
      </x:c>
      <x:c r="I242" s="37" t="str">
        <x:f>_xlfn.XLOOKUP($C242&amp;"|"&amp;$G242,'李醫師能力要求'!$M$7:$M$59,'李醫師能力要求'!$K$7:$K$59,"待確認",0)</x:f>
        <x:v>待確認</x:v>
      </x:c>
      <x:c r="J242" s="37" t="str">
        <x:v>◎</x:v>
      </x:c>
      <x:c r="K242" s="37" t="str">
        <x:v>Ø</x:v>
      </x:c>
      <x:c r="L242" s="48" t="str">
        <x:f>_xlfn.XLOOKUP($A242&amp;"|"&amp;$G242,'試行能力狀態'!$L$7:$L$258,'試行能力狀態'!$E$7:$E$258,"未評估",0)</x:f>
        <x:v>◎</x:v>
      </x:c>
      <x:c r="M242" s="48" t="str">
        <x:f>_xlfn.XLOOKUP($A242&amp;"|"&amp;$G242,'試行能力狀態'!$L$7:$L$258,'試行能力狀態'!$F$7:$F$258,"未建立",0)</x:f>
        <x:v>待主管核定</x:v>
      </x:c>
      <x:c r="N242" s="48" t="str">
        <x:f>IF($L242="◎","符合獨立",IF($L242="Ø","符合條件","不符合"))</x:f>
        <x:v>符合獨立</x:v>
      </x:c>
      <x:c r="O242" s="48" t="str">
        <x:f>_xlfn.XLOOKUP($A242&amp;"|李侑津醫師",'試行熟悉度'!$K$7:$K$20,'試行熟悉度'!$E$7:$E$20,"未評估",0)</x:f>
        <x:v>可獨立配合</x:v>
      </x:c>
      <x:c r="P242" s="48" t="str">
        <x:f>_xlfn.XLOOKUP($A242&amp;"|李侑津醫師",'試行熟悉度'!$K$7:$K$20,'試行熟悉度'!$F$7:$F$20,"未建立",0)</x:f>
        <x:v>待主管核定</x:v>
      </x:c>
      <x:c r="Q242" s="39" t="str">
        <x:v>確認後才納入自動判定</x:v>
      </x:c>
    </x:row>
    <x:row r="243">
      <x:c r="A243" s="37" t="str">
        <x:v>1020</x:v>
      </x:c>
      <x:c r="B243" s="37" t="str"/>
      <x:c r="C243" s="37" t="str">
        <x:v>LJT-RPD</x:v>
      </x:c>
      <x:c r="D243" s="37" t="str">
        <x:v>RPD</x:v>
      </x:c>
      <x:c r="E243" s="37" t="str">
        <x:v>一般步驟</x:v>
      </x:c>
      <x:c r="F243" s="37" t="str">
        <x:v>一般</x:v>
      </x:c>
      <x:c r="G243" s="37" t="str">
        <x:v>LJT-PREP-RPD</x:v>
      </x:c>
      <x:c r="H243" s="37" t="str">
        <x:v>必備</x:v>
      </x:c>
      <x:c r="I243" s="37" t="str">
        <x:f>_xlfn.XLOOKUP($C243&amp;"|"&amp;$G243,'李醫師能力要求'!$M$7:$M$59,'李醫師能力要求'!$K$7:$K$59,"待確認",0)</x:f>
        <x:v>已確認</x:v>
      </x:c>
      <x:c r="J243" s="37" t="str">
        <x:v>◎</x:v>
      </x:c>
      <x:c r="K243" s="37" t="str">
        <x:v>Ø</x:v>
      </x:c>
      <x:c r="L243" s="48" t="str">
        <x:f>_xlfn.XLOOKUP($A243&amp;"|"&amp;$G243,'試行能力狀態'!$L$7:$L$258,'試行能力狀態'!$E$7:$E$258,"未評估",0)</x:f>
        <x:v>◎</x:v>
      </x:c>
      <x:c r="M243" s="48" t="str">
        <x:f>_xlfn.XLOOKUP($A243&amp;"|"&amp;$G243,'試行能力狀態'!$L$7:$L$258,'試行能力狀態'!$F$7:$F$258,"未建立",0)</x:f>
        <x:v>待主管核定</x:v>
      </x:c>
      <x:c r="N243" s="48" t="str">
        <x:f>IF($L243="◎","符合獨立",IF($L243="Ø","符合條件","不符合"))</x:f>
        <x:v>符合獨立</x:v>
      </x:c>
      <x:c r="O243" s="48" t="str">
        <x:f>_xlfn.XLOOKUP($A243&amp;"|李侑津醫師",'試行熟悉度'!$K$7:$K$20,'試行熟悉度'!$E$7:$E$20,"未評估",0)</x:f>
        <x:v>可獨立配合</x:v>
      </x:c>
      <x:c r="P243" s="48" t="str">
        <x:f>_xlfn.XLOOKUP($A243&amp;"|李侑津醫師",'試行熟悉度'!$K$7:$K$20,'試行熟悉度'!$F$7:$F$20,"未建立",0)</x:f>
        <x:v>待主管核定</x:v>
      </x:c>
      <x:c r="Q243" s="39" t="str">
        <x:v>依一般支援名額</x:v>
      </x:c>
    </x:row>
    <x:row r="244">
      <x:c r="A244" s="37" t="str">
        <x:v>1020</x:v>
      </x:c>
      <x:c r="B244" s="37" t="str"/>
      <x:c r="C244" s="37" t="str">
        <x:v>LJT-RPD</x:v>
      </x:c>
      <x:c r="D244" s="37" t="str">
        <x:v>RPD</x:v>
      </x:c>
      <x:c r="E244" s="37" t="str">
        <x:v>一般步驟</x:v>
      </x:c>
      <x:c r="F244" s="37" t="str">
        <x:v>一般</x:v>
      </x:c>
      <x:c r="G244" s="37" t="str">
        <x:v>COMMON-RECORD</x:v>
      </x:c>
      <x:c r="H244" s="37" t="str">
        <x:v>待確認</x:v>
      </x:c>
      <x:c r="I244" s="37" t="str">
        <x:f>_xlfn.XLOOKUP($C244&amp;"|"&amp;$G244,'李醫師能力要求'!$M$7:$M$59,'李醫師能力要求'!$K$7:$K$59,"待確認",0)</x:f>
        <x:v>待確認</x:v>
      </x:c>
      <x:c r="J244" s="37" t="str">
        <x:v>◎</x:v>
      </x:c>
      <x:c r="K244" s="37" t="str">
        <x:v>Ø</x:v>
      </x:c>
      <x:c r="L244" s="48" t="str">
        <x:f>_xlfn.XLOOKUP($A244&amp;"|"&amp;$G244,'試行能力狀態'!$L$7:$L$258,'試行能力狀態'!$E$7:$E$258,"未評估",0)</x:f>
        <x:v>◎</x:v>
      </x:c>
      <x:c r="M244" s="48" t="str">
        <x:f>_xlfn.XLOOKUP($A244&amp;"|"&amp;$G244,'試行能力狀態'!$L$7:$L$258,'試行能力狀態'!$F$7:$F$258,"未建立",0)</x:f>
        <x:v>待主管核定</x:v>
      </x:c>
      <x:c r="N244" s="48" t="str">
        <x:f>IF($L244="◎","符合獨立",IF($L244="Ø","符合條件","不符合"))</x:f>
        <x:v>符合獨立</x:v>
      </x:c>
      <x:c r="O244" s="48" t="str">
        <x:f>_xlfn.XLOOKUP($A244&amp;"|李侑津醫師",'試行熟悉度'!$K$7:$K$20,'試行熟悉度'!$E$7:$E$20,"未評估",0)</x:f>
        <x:v>可獨立配合</x:v>
      </x:c>
      <x:c r="P244" s="48" t="str">
        <x:f>_xlfn.XLOOKUP($A244&amp;"|李侑津醫師",'試行熟悉度'!$K$7:$K$20,'試行熟悉度'!$F$7:$F$20,"未建立",0)</x:f>
        <x:v>待主管核定</x:v>
      </x:c>
      <x:c r="Q244" s="39" t="str">
        <x:v>確認後才納入自動判定</x:v>
      </x:c>
    </x:row>
    <x:row r="245">
      <x:c r="A245" s="37" t="str">
        <x:v>1020</x:v>
      </x:c>
      <x:c r="B245" s="37" t="str"/>
      <x:c r="C245" s="37" t="str">
        <x:v>LJT-RPD</x:v>
      </x:c>
      <x:c r="D245" s="37" t="str">
        <x:v>RPD</x:v>
      </x:c>
      <x:c r="E245" s="37" t="str">
        <x:v>一般步驟</x:v>
      </x:c>
      <x:c r="F245" s="37" t="str">
        <x:v>一般</x:v>
      </x:c>
      <x:c r="G245" s="37" t="str">
        <x:v>COMMON-INSURANCE</x:v>
      </x:c>
      <x:c r="H245" s="37" t="str">
        <x:v>待確認</x:v>
      </x:c>
      <x:c r="I245" s="37" t="str">
        <x:f>_xlfn.XLOOKUP($C245&amp;"|"&amp;$G245,'李醫師能力要求'!$M$7:$M$59,'李醫師能力要求'!$K$7:$K$59,"待確認",0)</x:f>
        <x:v>待確認</x:v>
      </x:c>
      <x:c r="J245" s="37" t="str">
        <x:v>◎</x:v>
      </x:c>
      <x:c r="K245" s="37" t="str">
        <x:v>Ø</x:v>
      </x:c>
      <x:c r="L245" s="48" t="str">
        <x:f>_xlfn.XLOOKUP($A245&amp;"|"&amp;$G245,'試行能力狀態'!$L$7:$L$258,'試行能力狀態'!$E$7:$E$258,"未評估",0)</x:f>
        <x:v>◎</x:v>
      </x:c>
      <x:c r="M245" s="48" t="str">
        <x:f>_xlfn.XLOOKUP($A245&amp;"|"&amp;$G245,'試行能力狀態'!$L$7:$L$258,'試行能力狀態'!$F$7:$F$258,"未建立",0)</x:f>
        <x:v>待主管核定</x:v>
      </x:c>
      <x:c r="N245" s="48" t="str">
        <x:f>IF($L245="◎","符合獨立",IF($L245="Ø","符合條件","不符合"))</x:f>
        <x:v>符合獨立</x:v>
      </x:c>
      <x:c r="O245" s="48" t="str">
        <x:f>_xlfn.XLOOKUP($A245&amp;"|李侑津醫師",'試行熟悉度'!$K$7:$K$20,'試行熟悉度'!$E$7:$E$20,"未評估",0)</x:f>
        <x:v>可獨立配合</x:v>
      </x:c>
      <x:c r="P245" s="48" t="str">
        <x:f>_xlfn.XLOOKUP($A245&amp;"|李侑津醫師",'試行熟悉度'!$K$7:$K$20,'試行熟悉度'!$F$7:$F$20,"未建立",0)</x:f>
        <x:v>待主管核定</x:v>
      </x:c>
      <x:c r="Q245" s="39" t="str">
        <x:v>確認後才納入自動判定</x:v>
      </x:c>
    </x:row>
    <x:row r="246">
      <x:c r="A246" s="37" t="str">
        <x:v>1020</x:v>
      </x:c>
      <x:c r="B246" s="37" t="str"/>
      <x:c r="C246" s="37" t="str">
        <x:v>LJT-RPD</x:v>
      </x:c>
      <x:c r="D246" s="37" t="str">
        <x:v>RPD</x:v>
      </x:c>
      <x:c r="E246" s="37" t="str">
        <x:v>一般步驟</x:v>
      </x:c>
      <x:c r="F246" s="37" t="str">
        <x:v>一般</x:v>
      </x:c>
      <x:c r="G246" s="37" t="str">
        <x:v>COMMON-XRAY-RECORD</x:v>
      </x:c>
      <x:c r="H246" s="37" t="str">
        <x:v>待確認</x:v>
      </x:c>
      <x:c r="I246" s="37" t="str">
        <x:f>_xlfn.XLOOKUP($C246&amp;"|"&amp;$G246,'李醫師能力要求'!$M$7:$M$59,'李醫師能力要求'!$K$7:$K$59,"待確認",0)</x:f>
        <x:v>待確認</x:v>
      </x:c>
      <x:c r="J246" s="37" t="str">
        <x:v>◎</x:v>
      </x:c>
      <x:c r="K246" s="37" t="str">
        <x:v>Ø</x:v>
      </x:c>
      <x:c r="L246" s="48" t="str">
        <x:f>_xlfn.XLOOKUP($A246&amp;"|"&amp;$G246,'試行能力狀態'!$L$7:$L$258,'試行能力狀態'!$E$7:$E$258,"未評估",0)</x:f>
        <x:v>◎</x:v>
      </x:c>
      <x:c r="M246" s="48" t="str">
        <x:f>_xlfn.XLOOKUP($A246&amp;"|"&amp;$G246,'試行能力狀態'!$L$7:$L$258,'試行能力狀態'!$F$7:$F$258,"未建立",0)</x:f>
        <x:v>待主管核定</x:v>
      </x:c>
      <x:c r="N246" s="48" t="str">
        <x:f>IF($L246="◎","符合獨立",IF($L246="Ø","符合條件","不符合"))</x:f>
        <x:v>符合獨立</x:v>
      </x:c>
      <x:c r="O246" s="48" t="str">
        <x:f>_xlfn.XLOOKUP($A246&amp;"|李侑津醫師",'試行熟悉度'!$K$7:$K$20,'試行熟悉度'!$E$7:$E$20,"未評估",0)</x:f>
        <x:v>可獨立配合</x:v>
      </x:c>
      <x:c r="P246" s="48" t="str">
        <x:f>_xlfn.XLOOKUP($A246&amp;"|李侑津醫師",'試行熟悉度'!$K$7:$K$20,'試行熟悉度'!$F$7:$F$20,"未建立",0)</x:f>
        <x:v>待主管核定</x:v>
      </x:c>
      <x:c r="Q246" s="39" t="str">
        <x:v>確認後才納入自動判定</x:v>
      </x:c>
    </x:row>
    <x:row r="247">
      <x:c r="A247" s="37" t="str">
        <x:v>1020</x:v>
      </x:c>
      <x:c r="B247" s="37" t="str"/>
      <x:c r="C247" s="37" t="str">
        <x:v>LJT-RPD-FINAL</x:v>
      </x:c>
      <x:c r="D247" s="37" t="str">
        <x:v>RPD</x:v>
      </x:c>
      <x:c r="E247" s="37" t="str">
        <x:v>印最終模</x:v>
      </x:c>
      <x:c r="F247" s="37" t="str">
        <x:v>特殊階段</x:v>
      </x:c>
      <x:c r="G247" s="37" t="str">
        <x:v>LJT-PREP-RPD</x:v>
      </x:c>
      <x:c r="H247" s="37" t="str">
        <x:v>必備</x:v>
      </x:c>
      <x:c r="I247" s="37" t="str">
        <x:f>_xlfn.XLOOKUP($C247&amp;"|"&amp;$G247,'李醫師能力要求'!$M$7:$M$59,'李醫師能力要求'!$K$7:$K$59,"待確認",0)</x:f>
        <x:v>已確認</x:v>
      </x:c>
      <x:c r="J247" s="37" t="str">
        <x:v>◎</x:v>
      </x:c>
      <x:c r="K247" s="37" t="str">
        <x:v>Ø</x:v>
      </x:c>
      <x:c r="L247" s="48" t="str">
        <x:f>_xlfn.XLOOKUP($A247&amp;"|"&amp;$G247,'試行能力狀態'!$L$7:$L$258,'試行能力狀態'!$E$7:$E$258,"未評估",0)</x:f>
        <x:v>◎</x:v>
      </x:c>
      <x:c r="M247" s="48" t="str">
        <x:f>_xlfn.XLOOKUP($A247&amp;"|"&amp;$G247,'試行能力狀態'!$L$7:$L$258,'試行能力狀態'!$F$7:$F$258,"未建立",0)</x:f>
        <x:v>待主管核定</x:v>
      </x:c>
      <x:c r="N247" s="48" t="str">
        <x:f>IF($L247="◎","符合獨立",IF($L247="Ø","符合條件","不符合"))</x:f>
        <x:v>符合獨立</x:v>
      </x:c>
      <x:c r="O247" s="48" t="str">
        <x:f>_xlfn.XLOOKUP($A247&amp;"|李侑津醫師",'試行熟悉度'!$K$7:$K$20,'試行熟悉度'!$E$7:$E$20,"未評估",0)</x:f>
        <x:v>可獨立配合</x:v>
      </x:c>
      <x:c r="P247" s="48" t="str">
        <x:f>_xlfn.XLOOKUP($A247&amp;"|李侑津醫師",'試行熟悉度'!$K$7:$K$20,'試行熟悉度'!$F$7:$F$20,"未建立",0)</x:f>
        <x:v>待主管核定</x:v>
      </x:c>
      <x:c r="Q247" s="39" t="str">
        <x:v>依一般支援名額</x:v>
      </x:c>
    </x:row>
    <x:row r="248">
      <x:c r="A248" s="37" t="str">
        <x:v>1020</x:v>
      </x:c>
      <x:c r="B248" s="37" t="str"/>
      <x:c r="C248" s="37" t="str">
        <x:v>LJT-RPD-FINAL</x:v>
      </x:c>
      <x:c r="D248" s="37" t="str">
        <x:v>RPD</x:v>
      </x:c>
      <x:c r="E248" s="37" t="str">
        <x:v>印最終模</x:v>
      </x:c>
      <x:c r="F248" s="37" t="str">
        <x:v>特殊階段</x:v>
      </x:c>
      <x:c r="G248" s="37" t="str">
        <x:v>COMMON-RECORD</x:v>
      </x:c>
      <x:c r="H248" s="37" t="str">
        <x:v>待確認</x:v>
      </x:c>
      <x:c r="I248" s="37" t="str">
        <x:f>_xlfn.XLOOKUP($C248&amp;"|"&amp;$G248,'李醫師能力要求'!$M$7:$M$59,'李醫師能力要求'!$K$7:$K$59,"待確認",0)</x:f>
        <x:v>待確認</x:v>
      </x:c>
      <x:c r="J248" s="37" t="str">
        <x:v>◎</x:v>
      </x:c>
      <x:c r="K248" s="37" t="str">
        <x:v>Ø</x:v>
      </x:c>
      <x:c r="L248" s="48" t="str">
        <x:f>_xlfn.XLOOKUP($A248&amp;"|"&amp;$G248,'試行能力狀態'!$L$7:$L$258,'試行能力狀態'!$E$7:$E$258,"未評估",0)</x:f>
        <x:v>◎</x:v>
      </x:c>
      <x:c r="M248" s="48" t="str">
        <x:f>_xlfn.XLOOKUP($A248&amp;"|"&amp;$G248,'試行能力狀態'!$L$7:$L$258,'試行能力狀態'!$F$7:$F$258,"未建立",0)</x:f>
        <x:v>待主管核定</x:v>
      </x:c>
      <x:c r="N248" s="48" t="str">
        <x:f>IF($L248="◎","符合獨立",IF($L248="Ø","符合條件","不符合"))</x:f>
        <x:v>符合獨立</x:v>
      </x:c>
      <x:c r="O248" s="48" t="str">
        <x:f>_xlfn.XLOOKUP($A248&amp;"|李侑津醫師",'試行熟悉度'!$K$7:$K$20,'試行熟悉度'!$E$7:$E$20,"未評估",0)</x:f>
        <x:v>可獨立配合</x:v>
      </x:c>
      <x:c r="P248" s="48" t="str">
        <x:f>_xlfn.XLOOKUP($A248&amp;"|李侑津醫師",'試行熟悉度'!$K$7:$K$20,'試行熟悉度'!$F$7:$F$20,"未建立",0)</x:f>
        <x:v>待主管核定</x:v>
      </x:c>
      <x:c r="Q248" s="39" t="str">
        <x:v>確認後才納入自動判定</x:v>
      </x:c>
    </x:row>
    <x:row r="249">
      <x:c r="A249" s="37" t="str">
        <x:v>1020</x:v>
      </x:c>
      <x:c r="B249" s="37" t="str"/>
      <x:c r="C249" s="37" t="str">
        <x:v>LJT-RPD-FINAL</x:v>
      </x:c>
      <x:c r="D249" s="37" t="str">
        <x:v>RPD</x:v>
      </x:c>
      <x:c r="E249" s="37" t="str">
        <x:v>印最終模</x:v>
      </x:c>
      <x:c r="F249" s="37" t="str">
        <x:v>特殊階段</x:v>
      </x:c>
      <x:c r="G249" s="37" t="str">
        <x:v>COMMON-INSURANCE</x:v>
      </x:c>
      <x:c r="H249" s="37" t="str">
        <x:v>待確認</x:v>
      </x:c>
      <x:c r="I249" s="37" t="str">
        <x:f>_xlfn.XLOOKUP($C249&amp;"|"&amp;$G249,'李醫師能力要求'!$M$7:$M$59,'李醫師能力要求'!$K$7:$K$59,"待確認",0)</x:f>
        <x:v>待確認</x:v>
      </x:c>
      <x:c r="J249" s="37" t="str">
        <x:v>◎</x:v>
      </x:c>
      <x:c r="K249" s="37" t="str">
        <x:v>Ø</x:v>
      </x:c>
      <x:c r="L249" s="48" t="str">
        <x:f>_xlfn.XLOOKUP($A249&amp;"|"&amp;$G249,'試行能力狀態'!$L$7:$L$258,'試行能力狀態'!$E$7:$E$258,"未評估",0)</x:f>
        <x:v>◎</x:v>
      </x:c>
      <x:c r="M249" s="48" t="str">
        <x:f>_xlfn.XLOOKUP($A249&amp;"|"&amp;$G249,'試行能力狀態'!$L$7:$L$258,'試行能力狀態'!$F$7:$F$258,"未建立",0)</x:f>
        <x:v>待主管核定</x:v>
      </x:c>
      <x:c r="N249" s="48" t="str">
        <x:f>IF($L249="◎","符合獨立",IF($L249="Ø","符合條件","不符合"))</x:f>
        <x:v>符合獨立</x:v>
      </x:c>
      <x:c r="O249" s="48" t="str">
        <x:f>_xlfn.XLOOKUP($A249&amp;"|李侑津醫師",'試行熟悉度'!$K$7:$K$20,'試行熟悉度'!$E$7:$E$20,"未評估",0)</x:f>
        <x:v>可獨立配合</x:v>
      </x:c>
      <x:c r="P249" s="48" t="str">
        <x:f>_xlfn.XLOOKUP($A249&amp;"|李侑津醫師",'試行熟悉度'!$K$7:$K$20,'試行熟悉度'!$F$7:$F$20,"未建立",0)</x:f>
        <x:v>待主管核定</x:v>
      </x:c>
      <x:c r="Q249" s="39" t="str">
        <x:v>確認後才納入自動判定</x:v>
      </x:c>
    </x:row>
    <x:row r="250">
      <x:c r="A250" s="37" t="str">
        <x:v>1020</x:v>
      </x:c>
      <x:c r="B250" s="37" t="str"/>
      <x:c r="C250" s="37" t="str">
        <x:v>LJT-RPD-FINAL</x:v>
      </x:c>
      <x:c r="D250" s="37" t="str">
        <x:v>RPD</x:v>
      </x:c>
      <x:c r="E250" s="37" t="str">
        <x:v>印最終模</x:v>
      </x:c>
      <x:c r="F250" s="37" t="str">
        <x:v>特殊階段</x:v>
      </x:c>
      <x:c r="G250" s="37" t="str">
        <x:v>COMMON-XRAY-RECORD</x:v>
      </x:c>
      <x:c r="H250" s="37" t="str">
        <x:v>待確認</x:v>
      </x:c>
      <x:c r="I250" s="37" t="str">
        <x:f>_xlfn.XLOOKUP($C250&amp;"|"&amp;$G250,'李醫師能力要求'!$M$7:$M$59,'李醫師能力要求'!$K$7:$K$59,"待確認",0)</x:f>
        <x:v>待確認</x:v>
      </x:c>
      <x:c r="J250" s="37" t="str">
        <x:v>◎</x:v>
      </x:c>
      <x:c r="K250" s="37" t="str">
        <x:v>Ø</x:v>
      </x:c>
      <x:c r="L250" s="48" t="str">
        <x:f>_xlfn.XLOOKUP($A250&amp;"|"&amp;$G250,'試行能力狀態'!$L$7:$L$258,'試行能力狀態'!$E$7:$E$258,"未評估",0)</x:f>
        <x:v>◎</x:v>
      </x:c>
      <x:c r="M250" s="48" t="str">
        <x:f>_xlfn.XLOOKUP($A250&amp;"|"&amp;$G250,'試行能力狀態'!$L$7:$L$258,'試行能力狀態'!$F$7:$F$258,"未建立",0)</x:f>
        <x:v>待主管核定</x:v>
      </x:c>
      <x:c r="N250" s="48" t="str">
        <x:f>IF($L250="◎","符合獨立",IF($L250="Ø","符合條件","不符合"))</x:f>
        <x:v>符合獨立</x:v>
      </x:c>
      <x:c r="O250" s="48" t="str">
        <x:f>_xlfn.XLOOKUP($A250&amp;"|李侑津醫師",'試行熟悉度'!$K$7:$K$20,'試行熟悉度'!$E$7:$E$20,"未評估",0)</x:f>
        <x:v>可獨立配合</x:v>
      </x:c>
      <x:c r="P250" s="48" t="str">
        <x:f>_xlfn.XLOOKUP($A250&amp;"|李侑津醫師",'試行熟悉度'!$K$7:$K$20,'試行熟悉度'!$F$7:$F$20,"未建立",0)</x:f>
        <x:v>待主管核定</x:v>
      </x:c>
      <x:c r="Q250" s="39" t="str">
        <x:v>確認後才納入自動判定</x:v>
      </x:c>
    </x:row>
    <x:row r="251">
      <x:c r="A251" s="37" t="str">
        <x:v>1020</x:v>
      </x:c>
      <x:c r="B251" s="37" t="str"/>
      <x:c r="C251" s="37" t="str">
        <x:v>LJT-AIRPOLISH</x:v>
      </x:c>
      <x:c r="D251" s="37" t="str">
        <x:v>噴砂美白</x:v>
      </x:c>
      <x:c r="E251" s="37" t="str">
        <x:v>一般</x:v>
      </x:c>
      <x:c r="F251" s="37" t="str">
        <x:v>一般</x:v>
      </x:c>
      <x:c r="G251" s="37" t="str">
        <x:v>LJT-PREP-AIRPOLISH</x:v>
      </x:c>
      <x:c r="H251" s="37" t="str">
        <x:v>必備</x:v>
      </x:c>
      <x:c r="I251" s="37" t="str">
        <x:f>_xlfn.XLOOKUP($C251&amp;"|"&amp;$G251,'李醫師能力要求'!$M$7:$M$59,'李醫師能力要求'!$K$7:$K$59,"待確認",0)</x:f>
        <x:v>已確認</x:v>
      </x:c>
      <x:c r="J251" s="37" t="str">
        <x:v>◎</x:v>
      </x:c>
      <x:c r="K251" s="37" t="str">
        <x:v>Ø</x:v>
      </x:c>
      <x:c r="L251" s="48" t="str">
        <x:f>_xlfn.XLOOKUP($A251&amp;"|"&amp;$G251,'試行能力狀態'!$L$7:$L$258,'試行能力狀態'!$E$7:$E$258,"未評估",0)</x:f>
        <x:v>◎</x:v>
      </x:c>
      <x:c r="M251" s="48" t="str">
        <x:f>_xlfn.XLOOKUP($A251&amp;"|"&amp;$G251,'試行能力狀態'!$L$7:$L$258,'試行能力狀態'!$F$7:$F$258,"未建立",0)</x:f>
        <x:v>待主管核定</x:v>
      </x:c>
      <x:c r="N251" s="48" t="str">
        <x:f>IF($L251="◎","符合獨立",IF($L251="Ø","符合條件","不符合"))</x:f>
        <x:v>符合獨立</x:v>
      </x:c>
      <x:c r="O251" s="48" t="str">
        <x:f>_xlfn.XLOOKUP($A251&amp;"|李侑津醫師",'試行熟悉度'!$K$7:$K$20,'試行熟悉度'!$E$7:$E$20,"未評估",0)</x:f>
        <x:v>可獨立配合</x:v>
      </x:c>
      <x:c r="P251" s="48" t="str">
        <x:f>_xlfn.XLOOKUP($A251&amp;"|李侑津醫師",'試行熟悉度'!$K$7:$K$20,'試行熟悉度'!$F$7:$F$20,"未建立",0)</x:f>
        <x:v>待主管核定</x:v>
      </x:c>
      <x:c r="Q251" s="39" t="str">
        <x:v>依一般支援名額</x:v>
      </x:c>
    </x:row>
    <x:row r="252">
      <x:c r="A252" s="37" t="str">
        <x:v>1020</x:v>
      </x:c>
      <x:c r="B252" s="37" t="str"/>
      <x:c r="C252" s="37" t="str">
        <x:v>LJT-AIRPOLISH</x:v>
      </x:c>
      <x:c r="D252" s="37" t="str">
        <x:v>噴砂美白</x:v>
      </x:c>
      <x:c r="E252" s="37" t="str">
        <x:v>一般</x:v>
      </x:c>
      <x:c r="F252" s="37" t="str">
        <x:v>一般</x:v>
      </x:c>
      <x:c r="G252" s="37" t="str">
        <x:v>COMMON-RECORD</x:v>
      </x:c>
      <x:c r="H252" s="37" t="str">
        <x:v>待確認</x:v>
      </x:c>
      <x:c r="I252" s="37" t="str">
        <x:f>_xlfn.XLOOKUP($C252&amp;"|"&amp;$G252,'李醫師能力要求'!$M$7:$M$59,'李醫師能力要求'!$K$7:$K$59,"待確認",0)</x:f>
        <x:v>待確認</x:v>
      </x:c>
      <x:c r="J252" s="37" t="str">
        <x:v>◎</x:v>
      </x:c>
      <x:c r="K252" s="37" t="str">
        <x:v>Ø</x:v>
      </x:c>
      <x:c r="L252" s="48" t="str">
        <x:f>_xlfn.XLOOKUP($A252&amp;"|"&amp;$G252,'試行能力狀態'!$L$7:$L$258,'試行能力狀態'!$E$7:$E$258,"未評估",0)</x:f>
        <x:v>◎</x:v>
      </x:c>
      <x:c r="M252" s="48" t="str">
        <x:f>_xlfn.XLOOKUP($A252&amp;"|"&amp;$G252,'試行能力狀態'!$L$7:$L$258,'試行能力狀態'!$F$7:$F$258,"未建立",0)</x:f>
        <x:v>待主管核定</x:v>
      </x:c>
      <x:c r="N252" s="48" t="str">
        <x:f>IF($L252="◎","符合獨立",IF($L252="Ø","符合條件","不符合"))</x:f>
        <x:v>符合獨立</x:v>
      </x:c>
      <x:c r="O252" s="48" t="str">
        <x:f>_xlfn.XLOOKUP($A252&amp;"|李侑津醫師",'試行熟悉度'!$K$7:$K$20,'試行熟悉度'!$E$7:$E$20,"未評估",0)</x:f>
        <x:v>可獨立配合</x:v>
      </x:c>
      <x:c r="P252" s="48" t="str">
        <x:f>_xlfn.XLOOKUP($A252&amp;"|李侑津醫師",'試行熟悉度'!$K$7:$K$20,'試行熟悉度'!$F$7:$F$20,"未建立",0)</x:f>
        <x:v>待主管核定</x:v>
      </x:c>
      <x:c r="Q252" s="39" t="str">
        <x:v>確認後才納入自動判定</x:v>
      </x:c>
    </x:row>
    <x:row r="253">
      <x:c r="A253" s="37" t="str">
        <x:v>1020</x:v>
      </x:c>
      <x:c r="B253" s="37" t="str"/>
      <x:c r="C253" s="37" t="str">
        <x:v>LJT-AIRPOLISH</x:v>
      </x:c>
      <x:c r="D253" s="37" t="str">
        <x:v>噴砂美白</x:v>
      </x:c>
      <x:c r="E253" s="37" t="str">
        <x:v>一般</x:v>
      </x:c>
      <x:c r="F253" s="37" t="str">
        <x:v>一般</x:v>
      </x:c>
      <x:c r="G253" s="37" t="str">
        <x:v>COMMON-INSURANCE</x:v>
      </x:c>
      <x:c r="H253" s="37" t="str">
        <x:v>待確認</x:v>
      </x:c>
      <x:c r="I253" s="37" t="str">
        <x:f>_xlfn.XLOOKUP($C253&amp;"|"&amp;$G253,'李醫師能力要求'!$M$7:$M$59,'李醫師能力要求'!$K$7:$K$59,"待確認",0)</x:f>
        <x:v>待確認</x:v>
      </x:c>
      <x:c r="J253" s="37" t="str">
        <x:v>◎</x:v>
      </x:c>
      <x:c r="K253" s="37" t="str">
        <x:v>Ø</x:v>
      </x:c>
      <x:c r="L253" s="48" t="str">
        <x:f>_xlfn.XLOOKUP($A253&amp;"|"&amp;$G253,'試行能力狀態'!$L$7:$L$258,'試行能力狀態'!$E$7:$E$258,"未評估",0)</x:f>
        <x:v>◎</x:v>
      </x:c>
      <x:c r="M253" s="48" t="str">
        <x:f>_xlfn.XLOOKUP($A253&amp;"|"&amp;$G253,'試行能力狀態'!$L$7:$L$258,'試行能力狀態'!$F$7:$F$258,"未建立",0)</x:f>
        <x:v>待主管核定</x:v>
      </x:c>
      <x:c r="N253" s="48" t="str">
        <x:f>IF($L253="◎","符合獨立",IF($L253="Ø","符合條件","不符合"))</x:f>
        <x:v>符合獨立</x:v>
      </x:c>
      <x:c r="O253" s="48" t="str">
        <x:f>_xlfn.XLOOKUP($A253&amp;"|李侑津醫師",'試行熟悉度'!$K$7:$K$20,'試行熟悉度'!$E$7:$E$20,"未評估",0)</x:f>
        <x:v>可獨立配合</x:v>
      </x:c>
      <x:c r="P253" s="48" t="str">
        <x:f>_xlfn.XLOOKUP($A253&amp;"|李侑津醫師",'試行熟悉度'!$K$7:$K$20,'試行熟悉度'!$F$7:$F$20,"未建立",0)</x:f>
        <x:v>待主管核定</x:v>
      </x:c>
      <x:c r="Q253" s="39" t="str">
        <x:v>確認後才納入自動判定</x:v>
      </x:c>
    </x:row>
    <x:row r="254">
      <x:c r="A254" s="37" t="str">
        <x:v>1020</x:v>
      </x:c>
      <x:c r="B254" s="37" t="str"/>
      <x:c r="C254" s="37" t="str">
        <x:v>LJT-AIRPOLISH</x:v>
      </x:c>
      <x:c r="D254" s="37" t="str">
        <x:v>噴砂美白</x:v>
      </x:c>
      <x:c r="E254" s="37" t="str">
        <x:v>一般</x:v>
      </x:c>
      <x:c r="F254" s="37" t="str">
        <x:v>一般</x:v>
      </x:c>
      <x:c r="G254" s="37" t="str">
        <x:v>COMMON-XRAY-RECORD</x:v>
      </x:c>
      <x:c r="H254" s="37" t="str">
        <x:v>待確認</x:v>
      </x:c>
      <x:c r="I254" s="37" t="str">
        <x:f>_xlfn.XLOOKUP($C254&amp;"|"&amp;$G254,'李醫師能力要求'!$M$7:$M$59,'李醫師能力要求'!$K$7:$K$59,"待確認",0)</x:f>
        <x:v>待確認</x:v>
      </x:c>
      <x:c r="J254" s="37" t="str">
        <x:v>◎</x:v>
      </x:c>
      <x:c r="K254" s="37" t="str">
        <x:v>Ø</x:v>
      </x:c>
      <x:c r="L254" s="48" t="str">
        <x:f>_xlfn.XLOOKUP($A254&amp;"|"&amp;$G254,'試行能力狀態'!$L$7:$L$258,'試行能力狀態'!$E$7:$E$258,"未評估",0)</x:f>
        <x:v>◎</x:v>
      </x:c>
      <x:c r="M254" s="48" t="str">
        <x:f>_xlfn.XLOOKUP($A254&amp;"|"&amp;$G254,'試行能力狀態'!$L$7:$L$258,'試行能力狀態'!$F$7:$F$258,"未建立",0)</x:f>
        <x:v>待主管核定</x:v>
      </x:c>
      <x:c r="N254" s="48" t="str">
        <x:f>IF($L254="◎","符合獨立",IF($L254="Ø","符合條件","不符合"))</x:f>
        <x:v>符合獨立</x:v>
      </x:c>
      <x:c r="O254" s="48" t="str">
        <x:f>_xlfn.XLOOKUP($A254&amp;"|李侑津醫師",'試行熟悉度'!$K$7:$K$20,'試行熟悉度'!$E$7:$E$20,"未評估",0)</x:f>
        <x:v>可獨立配合</x:v>
      </x:c>
      <x:c r="P254" s="48" t="str">
        <x:f>_xlfn.XLOOKUP($A254&amp;"|李侑津醫師",'試行熟悉度'!$K$7:$K$20,'試行熟悉度'!$F$7:$F$20,"未建立",0)</x:f>
        <x:v>待主管核定</x:v>
      </x:c>
      <x:c r="Q254" s="39" t="str">
        <x:v>確認後才納入自動判定</x:v>
      </x:c>
    </x:row>
    <x:row r="255">
      <x:c r="A255" s="37" t="str">
        <x:v>1020</x:v>
      </x:c>
      <x:c r="B255" s="37" t="str"/>
      <x:c r="C255" s="37" t="str">
        <x:v>LJT-PERIOSURG</x:v>
      </x:c>
      <x:c r="D255" s="37" t="str">
        <x:v>牙周手術</x:v>
      </x:c>
      <x:c r="E255" s="37" t="str">
        <x:v>一般</x:v>
      </x:c>
      <x:c r="F255" s="37" t="str">
        <x:v>高複雜度</x:v>
      </x:c>
      <x:c r="G255" s="37" t="str">
        <x:v>LJT-PREP-PERIOSURG</x:v>
      </x:c>
      <x:c r="H255" s="37" t="str">
        <x:v>必備</x:v>
      </x:c>
      <x:c r="I255" s="37" t="str">
        <x:f>_xlfn.XLOOKUP($C255&amp;"|"&amp;$G255,'李醫師能力要求'!$M$7:$M$59,'李醫師能力要求'!$K$7:$K$59,"待確認",0)</x:f>
        <x:v>已確認</x:v>
      </x:c>
      <x:c r="J255" s="37" t="str">
        <x:v>◎</x:v>
      </x:c>
      <x:c r="K255" s="37" t="str">
        <x:v>Ø</x:v>
      </x:c>
      <x:c r="L255" s="48" t="str">
        <x:f>_xlfn.XLOOKUP($A255&amp;"|"&amp;$G255,'試行能力狀態'!$L$7:$L$258,'試行能力狀態'!$E$7:$E$258,"未評估",0)</x:f>
        <x:v>◎</x:v>
      </x:c>
      <x:c r="M255" s="48" t="str">
        <x:f>_xlfn.XLOOKUP($A255&amp;"|"&amp;$G255,'試行能力狀態'!$L$7:$L$258,'試行能力狀態'!$F$7:$F$258,"未建立",0)</x:f>
        <x:v>待主管核定</x:v>
      </x:c>
      <x:c r="N255" s="48" t="str">
        <x:f>IF($L255="◎","符合獨立",IF($L255="Ø","符合條件","不符合"))</x:f>
        <x:v>符合獨立</x:v>
      </x:c>
      <x:c r="O255" s="48" t="str">
        <x:f>_xlfn.XLOOKUP($A255&amp;"|李侑津醫師",'試行熟悉度'!$K$7:$K$20,'試行熟悉度'!$E$7:$E$20,"未評估",0)</x:f>
        <x:v>可獨立配合</x:v>
      </x:c>
      <x:c r="P255" s="48" t="str">
        <x:f>_xlfn.XLOOKUP($A255&amp;"|李侑津醫師",'試行熟悉度'!$K$7:$K$20,'試行熟悉度'!$F$7:$F$20,"未建立",0)</x:f>
        <x:v>待主管核定</x:v>
      </x:c>
      <x:c r="Q255" s="39" t="str">
        <x:v>Ø 時完整支援者 1:1</x:v>
      </x:c>
    </x:row>
    <x:row r="256">
      <x:c r="A256" s="37" t="str">
        <x:v>1020</x:v>
      </x:c>
      <x:c r="B256" s="37" t="str"/>
      <x:c r="C256" s="37" t="str">
        <x:v>LJT-PERIOSURG</x:v>
      </x:c>
      <x:c r="D256" s="37" t="str">
        <x:v>牙周手術</x:v>
      </x:c>
      <x:c r="E256" s="37" t="str">
        <x:v>一般</x:v>
      </x:c>
      <x:c r="F256" s="37" t="str">
        <x:v>高複雜度</x:v>
      </x:c>
      <x:c r="G256" s="37" t="str">
        <x:v>COMMON-RECORD</x:v>
      </x:c>
      <x:c r="H256" s="37" t="str">
        <x:v>待確認</x:v>
      </x:c>
      <x:c r="I256" s="37" t="str">
        <x:f>_xlfn.XLOOKUP($C256&amp;"|"&amp;$G256,'李醫師能力要求'!$M$7:$M$59,'李醫師能力要求'!$K$7:$K$59,"待確認",0)</x:f>
        <x:v>待確認</x:v>
      </x:c>
      <x:c r="J256" s="37" t="str">
        <x:v>◎</x:v>
      </x:c>
      <x:c r="K256" s="37" t="str">
        <x:v>Ø</x:v>
      </x:c>
      <x:c r="L256" s="48" t="str">
        <x:f>_xlfn.XLOOKUP($A256&amp;"|"&amp;$G256,'試行能力狀態'!$L$7:$L$258,'試行能力狀態'!$E$7:$E$258,"未評估",0)</x:f>
        <x:v>◎</x:v>
      </x:c>
      <x:c r="M256" s="48" t="str">
        <x:f>_xlfn.XLOOKUP($A256&amp;"|"&amp;$G256,'試行能力狀態'!$L$7:$L$258,'試行能力狀態'!$F$7:$F$258,"未建立",0)</x:f>
        <x:v>待主管核定</x:v>
      </x:c>
      <x:c r="N256" s="48" t="str">
        <x:f>IF($L256="◎","符合獨立",IF($L256="Ø","符合條件","不符合"))</x:f>
        <x:v>符合獨立</x:v>
      </x:c>
      <x:c r="O256" s="48" t="str">
        <x:f>_xlfn.XLOOKUP($A256&amp;"|李侑津醫師",'試行熟悉度'!$K$7:$K$20,'試行熟悉度'!$E$7:$E$20,"未評估",0)</x:f>
        <x:v>可獨立配合</x:v>
      </x:c>
      <x:c r="P256" s="48" t="str">
        <x:f>_xlfn.XLOOKUP($A256&amp;"|李侑津醫師",'試行熟悉度'!$K$7:$K$20,'試行熟悉度'!$F$7:$F$20,"未建立",0)</x:f>
        <x:v>待主管核定</x:v>
      </x:c>
      <x:c r="Q256" s="39" t="str">
        <x:v>確認後才納入自動判定</x:v>
      </x:c>
    </x:row>
    <x:row r="257">
      <x:c r="A257" s="37" t="str">
        <x:v>1020</x:v>
      </x:c>
      <x:c r="B257" s="37" t="str"/>
      <x:c r="C257" s="37" t="str">
        <x:v>LJT-PERIOSURG</x:v>
      </x:c>
      <x:c r="D257" s="37" t="str">
        <x:v>牙周手術</x:v>
      </x:c>
      <x:c r="E257" s="37" t="str">
        <x:v>一般</x:v>
      </x:c>
      <x:c r="F257" s="37" t="str">
        <x:v>高複雜度</x:v>
      </x:c>
      <x:c r="G257" s="37" t="str">
        <x:v>COMMON-INSURANCE</x:v>
      </x:c>
      <x:c r="H257" s="37" t="str">
        <x:v>待確認</x:v>
      </x:c>
      <x:c r="I257" s="37" t="str">
        <x:f>_xlfn.XLOOKUP($C257&amp;"|"&amp;$G257,'李醫師能力要求'!$M$7:$M$59,'李醫師能力要求'!$K$7:$K$59,"待確認",0)</x:f>
        <x:v>待確認</x:v>
      </x:c>
      <x:c r="J257" s="37" t="str">
        <x:v>◎</x:v>
      </x:c>
      <x:c r="K257" s="37" t="str">
        <x:v>Ø</x:v>
      </x:c>
      <x:c r="L257" s="48" t="str">
        <x:f>_xlfn.XLOOKUP($A257&amp;"|"&amp;$G257,'試行能力狀態'!$L$7:$L$258,'試行能力狀態'!$E$7:$E$258,"未評估",0)</x:f>
        <x:v>◎</x:v>
      </x:c>
      <x:c r="M257" s="48" t="str">
        <x:f>_xlfn.XLOOKUP($A257&amp;"|"&amp;$G257,'試行能力狀態'!$L$7:$L$258,'試行能力狀態'!$F$7:$F$258,"未建立",0)</x:f>
        <x:v>待主管核定</x:v>
      </x:c>
      <x:c r="N257" s="48" t="str">
        <x:f>IF($L257="◎","符合獨立",IF($L257="Ø","符合條件","不符合"))</x:f>
        <x:v>符合獨立</x:v>
      </x:c>
      <x:c r="O257" s="48" t="str">
        <x:f>_xlfn.XLOOKUP($A257&amp;"|李侑津醫師",'試行熟悉度'!$K$7:$K$20,'試行熟悉度'!$E$7:$E$20,"未評估",0)</x:f>
        <x:v>可獨立配合</x:v>
      </x:c>
      <x:c r="P257" s="48" t="str">
        <x:f>_xlfn.XLOOKUP($A257&amp;"|李侑津醫師",'試行熟悉度'!$K$7:$K$20,'試行熟悉度'!$F$7:$F$20,"未建立",0)</x:f>
        <x:v>待主管核定</x:v>
      </x:c>
      <x:c r="Q257" s="39" t="str">
        <x:v>確認後才納入自動判定</x:v>
      </x:c>
    </x:row>
    <x:row r="258">
      <x:c r="A258" s="37" t="str">
        <x:v>1020</x:v>
      </x:c>
      <x:c r="B258" s="37" t="str"/>
      <x:c r="C258" s="37" t="str">
        <x:v>LJT-PERIOSURG</x:v>
      </x:c>
      <x:c r="D258" s="37" t="str">
        <x:v>牙周手術</x:v>
      </x:c>
      <x:c r="E258" s="37" t="str">
        <x:v>一般</x:v>
      </x:c>
      <x:c r="F258" s="37" t="str">
        <x:v>高複雜度</x:v>
      </x:c>
      <x:c r="G258" s="37" t="str">
        <x:v>COMMON-XRAY-RECORD</x:v>
      </x:c>
      <x:c r="H258" s="37" t="str">
        <x:v>待確認</x:v>
      </x:c>
      <x:c r="I258" s="37" t="str">
        <x:f>_xlfn.XLOOKUP($C258&amp;"|"&amp;$G258,'李醫師能力要求'!$M$7:$M$59,'李醫師能力要求'!$K$7:$K$59,"待確認",0)</x:f>
        <x:v>待確認</x:v>
      </x:c>
      <x:c r="J258" s="37" t="str">
        <x:v>◎</x:v>
      </x:c>
      <x:c r="K258" s="37" t="str">
        <x:v>Ø</x:v>
      </x:c>
      <x:c r="L258" s="48" t="str">
        <x:f>_xlfn.XLOOKUP($A258&amp;"|"&amp;$G258,'試行能力狀態'!$L$7:$L$258,'試行能力狀態'!$E$7:$E$258,"未評估",0)</x:f>
        <x:v>◎</x:v>
      </x:c>
      <x:c r="M258" s="48" t="str">
        <x:f>_xlfn.XLOOKUP($A258&amp;"|"&amp;$G258,'試行能力狀態'!$L$7:$L$258,'試行能力狀態'!$F$7:$F$258,"未建立",0)</x:f>
        <x:v>待主管核定</x:v>
      </x:c>
      <x:c r="N258" s="48" t="str">
        <x:f>IF($L258="◎","符合獨立",IF($L258="Ø","符合條件","不符合"))</x:f>
        <x:v>符合獨立</x:v>
      </x:c>
      <x:c r="O258" s="48" t="str">
        <x:f>_xlfn.XLOOKUP($A258&amp;"|李侑津醫師",'試行熟悉度'!$K$7:$K$20,'試行熟悉度'!$E$7:$E$20,"未評估",0)</x:f>
        <x:v>可獨立配合</x:v>
      </x:c>
      <x:c r="P258" s="48" t="str">
        <x:f>_xlfn.XLOOKUP($A258&amp;"|李侑津醫師",'試行熟悉度'!$K$7:$K$20,'試行熟悉度'!$F$7:$F$20,"未建立",0)</x:f>
        <x:v>待主管核定</x:v>
      </x:c>
      <x:c r="Q258" s="39" t="str">
        <x:v>確認後才納入自動判定</x:v>
      </x:c>
    </x:row>
    <x:row r="259">
      <x:c r="A259" s="37" t="str">
        <x:v>1020</x:v>
      </x:c>
      <x:c r="B259" s="37" t="str"/>
      <x:c r="C259" s="37" t="str">
        <x:v>LJT-MICROENDO</x:v>
      </x:c>
      <x:c r="D259" s="37" t="str">
        <x:v>顯微根管</x:v>
      </x:c>
      <x:c r="E259" s="37" t="str">
        <x:v>一般</x:v>
      </x:c>
      <x:c r="F259" s="37" t="str">
        <x:v>高複雜度</x:v>
      </x:c>
      <x:c r="G259" s="37" t="str">
        <x:v>LJT-PREP-MICROENDO</x:v>
      </x:c>
      <x:c r="H259" s="37" t="str">
        <x:v>必備</x:v>
      </x:c>
      <x:c r="I259" s="37" t="str">
        <x:f>_xlfn.XLOOKUP($C259&amp;"|"&amp;$G259,'李醫師能力要求'!$M$7:$M$59,'李醫師能力要求'!$K$7:$K$59,"待確認",0)</x:f>
        <x:v>已確認</x:v>
      </x:c>
      <x:c r="J259" s="37" t="str">
        <x:v>◎</x:v>
      </x:c>
      <x:c r="K259" s="37" t="str">
        <x:v>Ø</x:v>
      </x:c>
      <x:c r="L259" s="48" t="str">
        <x:f>_xlfn.XLOOKUP($A259&amp;"|"&amp;$G259,'試行能力狀態'!$L$7:$L$258,'試行能力狀態'!$E$7:$E$258,"未評估",0)</x:f>
        <x:v>◎</x:v>
      </x:c>
      <x:c r="M259" s="48" t="str">
        <x:f>_xlfn.XLOOKUP($A259&amp;"|"&amp;$G259,'試行能力狀態'!$L$7:$L$258,'試行能力狀態'!$F$7:$F$258,"未建立",0)</x:f>
        <x:v>待主管核定</x:v>
      </x:c>
      <x:c r="N259" s="48" t="str">
        <x:f>IF($L259="◎","符合獨立",IF($L259="Ø","符合條件","不符合"))</x:f>
        <x:v>符合獨立</x:v>
      </x:c>
      <x:c r="O259" s="48" t="str">
        <x:f>_xlfn.XLOOKUP($A259&amp;"|李侑津醫師",'試行熟悉度'!$K$7:$K$20,'試行熟悉度'!$E$7:$E$20,"未評估",0)</x:f>
        <x:v>可獨立配合</x:v>
      </x:c>
      <x:c r="P259" s="48" t="str">
        <x:f>_xlfn.XLOOKUP($A259&amp;"|李侑津醫師",'試行熟悉度'!$K$7:$K$20,'試行熟悉度'!$F$7:$F$20,"未建立",0)</x:f>
        <x:v>待主管核定</x:v>
      </x:c>
      <x:c r="Q259" s="39" t="str">
        <x:v>Ø 時完整支援者 1:1</x:v>
      </x:c>
    </x:row>
    <x:row r="260">
      <x:c r="A260" s="37" t="str">
        <x:v>1020</x:v>
      </x:c>
      <x:c r="B260" s="37" t="str"/>
      <x:c r="C260" s="37" t="str">
        <x:v>LJT-MICROENDO</x:v>
      </x:c>
      <x:c r="D260" s="37" t="str">
        <x:v>顯微根管</x:v>
      </x:c>
      <x:c r="E260" s="37" t="str">
        <x:v>一般</x:v>
      </x:c>
      <x:c r="F260" s="37" t="str">
        <x:v>高複雜度</x:v>
      </x:c>
      <x:c r="G260" s="37" t="str">
        <x:v>COMMON-RECORD</x:v>
      </x:c>
      <x:c r="H260" s="37" t="str">
        <x:v>待確認</x:v>
      </x:c>
      <x:c r="I260" s="37" t="str">
        <x:f>_xlfn.XLOOKUP($C260&amp;"|"&amp;$G260,'李醫師能力要求'!$M$7:$M$59,'李醫師能力要求'!$K$7:$K$59,"待確認",0)</x:f>
        <x:v>待確認</x:v>
      </x:c>
      <x:c r="J260" s="37" t="str">
        <x:v>◎</x:v>
      </x:c>
      <x:c r="K260" s="37" t="str">
        <x:v>Ø</x:v>
      </x:c>
      <x:c r="L260" s="48" t="str">
        <x:f>_xlfn.XLOOKUP($A260&amp;"|"&amp;$G260,'試行能力狀態'!$L$7:$L$258,'試行能力狀態'!$E$7:$E$258,"未評估",0)</x:f>
        <x:v>◎</x:v>
      </x:c>
      <x:c r="M260" s="48" t="str">
        <x:f>_xlfn.XLOOKUP($A260&amp;"|"&amp;$G260,'試行能力狀態'!$L$7:$L$258,'試行能力狀態'!$F$7:$F$258,"未建立",0)</x:f>
        <x:v>待主管核定</x:v>
      </x:c>
      <x:c r="N260" s="48" t="str">
        <x:f>IF($L260="◎","符合獨立",IF($L260="Ø","符合條件","不符合"))</x:f>
        <x:v>符合獨立</x:v>
      </x:c>
      <x:c r="O260" s="48" t="str">
        <x:f>_xlfn.XLOOKUP($A260&amp;"|李侑津醫師",'試行熟悉度'!$K$7:$K$20,'試行熟悉度'!$E$7:$E$20,"未評估",0)</x:f>
        <x:v>可獨立配合</x:v>
      </x:c>
      <x:c r="P260" s="48" t="str">
        <x:f>_xlfn.XLOOKUP($A260&amp;"|李侑津醫師",'試行熟悉度'!$K$7:$K$20,'試行熟悉度'!$F$7:$F$20,"未建立",0)</x:f>
        <x:v>待主管核定</x:v>
      </x:c>
      <x:c r="Q260" s="39" t="str">
        <x:v>確認後才納入自動判定</x:v>
      </x:c>
    </x:row>
    <x:row r="261">
      <x:c r="A261" s="37" t="str">
        <x:v>1020</x:v>
      </x:c>
      <x:c r="B261" s="37" t="str"/>
      <x:c r="C261" s="37" t="str">
        <x:v>LJT-MICROENDO</x:v>
      </x:c>
      <x:c r="D261" s="37" t="str">
        <x:v>顯微根管</x:v>
      </x:c>
      <x:c r="E261" s="37" t="str">
        <x:v>一般</x:v>
      </x:c>
      <x:c r="F261" s="37" t="str">
        <x:v>高複雜度</x:v>
      </x:c>
      <x:c r="G261" s="37" t="str">
        <x:v>COMMON-INSURANCE</x:v>
      </x:c>
      <x:c r="H261" s="37" t="str">
        <x:v>待確認</x:v>
      </x:c>
      <x:c r="I261" s="37" t="str">
        <x:f>_xlfn.XLOOKUP($C261&amp;"|"&amp;$G261,'李醫師能力要求'!$M$7:$M$59,'李醫師能力要求'!$K$7:$K$59,"待確認",0)</x:f>
        <x:v>待確認</x:v>
      </x:c>
      <x:c r="J261" s="37" t="str">
        <x:v>◎</x:v>
      </x:c>
      <x:c r="K261" s="37" t="str">
        <x:v>Ø</x:v>
      </x:c>
      <x:c r="L261" s="48" t="str">
        <x:f>_xlfn.XLOOKUP($A261&amp;"|"&amp;$G261,'試行能力狀態'!$L$7:$L$258,'試行能力狀態'!$E$7:$E$258,"未評估",0)</x:f>
        <x:v>◎</x:v>
      </x:c>
      <x:c r="M261" s="48" t="str">
        <x:f>_xlfn.XLOOKUP($A261&amp;"|"&amp;$G261,'試行能力狀態'!$L$7:$L$258,'試行能力狀態'!$F$7:$F$258,"未建立",0)</x:f>
        <x:v>待主管核定</x:v>
      </x:c>
      <x:c r="N261" s="48" t="str">
        <x:f>IF($L261="◎","符合獨立",IF($L261="Ø","符合條件","不符合"))</x:f>
        <x:v>符合獨立</x:v>
      </x:c>
      <x:c r="O261" s="48" t="str">
        <x:f>_xlfn.XLOOKUP($A261&amp;"|李侑津醫師",'試行熟悉度'!$K$7:$K$20,'試行熟悉度'!$E$7:$E$20,"未評估",0)</x:f>
        <x:v>可獨立配合</x:v>
      </x:c>
      <x:c r="P261" s="48" t="str">
        <x:f>_xlfn.XLOOKUP($A261&amp;"|李侑津醫師",'試行熟悉度'!$K$7:$K$20,'試行熟悉度'!$F$7:$F$20,"未建立",0)</x:f>
        <x:v>待主管核定</x:v>
      </x:c>
      <x:c r="Q261" s="39" t="str">
        <x:v>確認後才納入自動判定</x:v>
      </x:c>
    </x:row>
    <x:row r="262">
      <x:c r="A262" s="37" t="str">
        <x:v>1020</x:v>
      </x:c>
      <x:c r="B262" s="37" t="str"/>
      <x:c r="C262" s="37" t="str">
        <x:v>LJT-MICROENDO</x:v>
      </x:c>
      <x:c r="D262" s="37" t="str">
        <x:v>顯微根管</x:v>
      </x:c>
      <x:c r="E262" s="37" t="str">
        <x:v>一般</x:v>
      </x:c>
      <x:c r="F262" s="37" t="str">
        <x:v>高複雜度</x:v>
      </x:c>
      <x:c r="G262" s="37" t="str">
        <x:v>COMMON-XRAY-RECORD</x:v>
      </x:c>
      <x:c r="H262" s="37" t="str">
        <x:v>待確認</x:v>
      </x:c>
      <x:c r="I262" s="37" t="str">
        <x:f>_xlfn.XLOOKUP($C262&amp;"|"&amp;$G262,'李醫師能力要求'!$M$7:$M$59,'李醫師能力要求'!$K$7:$K$59,"待確認",0)</x:f>
        <x:v>待確認</x:v>
      </x:c>
      <x:c r="J262" s="37" t="str">
        <x:v>◎</x:v>
      </x:c>
      <x:c r="K262" s="37" t="str">
        <x:v>Ø</x:v>
      </x:c>
      <x:c r="L262" s="48" t="str">
        <x:f>_xlfn.XLOOKUP($A262&amp;"|"&amp;$G262,'試行能力狀態'!$L$7:$L$258,'試行能力狀態'!$E$7:$E$258,"未評估",0)</x:f>
        <x:v>◎</x:v>
      </x:c>
      <x:c r="M262" s="48" t="str">
        <x:f>_xlfn.XLOOKUP($A262&amp;"|"&amp;$G262,'試行能力狀態'!$L$7:$L$258,'試行能力狀態'!$F$7:$F$258,"未建立",0)</x:f>
        <x:v>待主管核定</x:v>
      </x:c>
      <x:c r="N262" s="48" t="str">
        <x:f>IF($L262="◎","符合獨立",IF($L262="Ø","符合條件","不符合"))</x:f>
        <x:v>符合獨立</x:v>
      </x:c>
      <x:c r="O262" s="48" t="str">
        <x:f>_xlfn.XLOOKUP($A262&amp;"|李侑津醫師",'試行熟悉度'!$K$7:$K$20,'試行熟悉度'!$E$7:$E$20,"未評估",0)</x:f>
        <x:v>可獨立配合</x:v>
      </x:c>
      <x:c r="P262" s="48" t="str">
        <x:f>_xlfn.XLOOKUP($A262&amp;"|李侑津醫師",'試行熟悉度'!$K$7:$K$20,'試行熟悉度'!$F$7:$F$20,"未建立",0)</x:f>
        <x:v>待主管核定</x:v>
      </x:c>
      <x:c r="Q262" s="39" t="str">
        <x:v>確認後才納入自動判定</x:v>
      </x:c>
    </x:row>
    <x:row r="263">
      <x:c r="A263" s="37" t="str">
        <x:v>1020</x:v>
      </x:c>
      <x:c r="B263" s="37" t="str"/>
      <x:c r="C263" s="37" t="str">
        <x:v>LJT-IMPLANT</x:v>
      </x:c>
      <x:c r="D263" s="37" t="str">
        <x:v>植牙</x:v>
      </x:c>
      <x:c r="E263" s="37" t="str">
        <x:v>一般</x:v>
      </x:c>
      <x:c r="F263" s="37" t="str">
        <x:v>高複雜度</x:v>
      </x:c>
      <x:c r="G263" s="37" t="str">
        <x:v>LJT-PREP-IMPLANT</x:v>
      </x:c>
      <x:c r="H263" s="37" t="str">
        <x:v>必備</x:v>
      </x:c>
      <x:c r="I263" s="37" t="str">
        <x:f>_xlfn.XLOOKUP($C263&amp;"|"&amp;$G263,'李醫師能力要求'!$M$7:$M$59,'李醫師能力要求'!$K$7:$K$59,"待確認",0)</x:f>
        <x:v>已確認</x:v>
      </x:c>
      <x:c r="J263" s="37" t="str">
        <x:v>◎</x:v>
      </x:c>
      <x:c r="K263" s="37" t="str">
        <x:v>Ø</x:v>
      </x:c>
      <x:c r="L263" s="48" t="str">
        <x:f>_xlfn.XLOOKUP($A263&amp;"|"&amp;$G263,'試行能力狀態'!$L$7:$L$258,'試行能力狀態'!$E$7:$E$258,"未評估",0)</x:f>
        <x:v>◎</x:v>
      </x:c>
      <x:c r="M263" s="48" t="str">
        <x:f>_xlfn.XLOOKUP($A263&amp;"|"&amp;$G263,'試行能力狀態'!$L$7:$L$258,'試行能力狀態'!$F$7:$F$258,"未建立",0)</x:f>
        <x:v>待主管核定</x:v>
      </x:c>
      <x:c r="N263" s="48" t="str">
        <x:f>IF($L263="◎","符合獨立",IF($L263="Ø","符合條件","不符合"))</x:f>
        <x:v>符合獨立</x:v>
      </x:c>
      <x:c r="O263" s="48" t="str">
        <x:f>_xlfn.XLOOKUP($A263&amp;"|李侑津醫師",'試行熟悉度'!$K$7:$K$20,'試行熟悉度'!$E$7:$E$20,"未評估",0)</x:f>
        <x:v>可獨立配合</x:v>
      </x:c>
      <x:c r="P263" s="48" t="str">
        <x:f>_xlfn.XLOOKUP($A263&amp;"|李侑津醫師",'試行熟悉度'!$K$7:$K$20,'試行熟悉度'!$F$7:$F$20,"未建立",0)</x:f>
        <x:v>待主管核定</x:v>
      </x:c>
      <x:c r="Q263" s="39" t="str">
        <x:v>Ø 時完整支援者 1:1</x:v>
      </x:c>
    </x:row>
    <x:row r="264">
      <x:c r="A264" s="37" t="str">
        <x:v>1020</x:v>
      </x:c>
      <x:c r="B264" s="37" t="str"/>
      <x:c r="C264" s="37" t="str">
        <x:v>LJT-IMPLANT</x:v>
      </x:c>
      <x:c r="D264" s="37" t="str">
        <x:v>植牙</x:v>
      </x:c>
      <x:c r="E264" s="37" t="str">
        <x:v>一般</x:v>
      </x:c>
      <x:c r="F264" s="37" t="str">
        <x:v>高複雜度</x:v>
      </x:c>
      <x:c r="G264" s="37" t="str">
        <x:v>COMMON-RECORD</x:v>
      </x:c>
      <x:c r="H264" s="37" t="str">
        <x:v>待確認</x:v>
      </x:c>
      <x:c r="I264" s="37" t="str">
        <x:f>_xlfn.XLOOKUP($C264&amp;"|"&amp;$G264,'李醫師能力要求'!$M$7:$M$59,'李醫師能力要求'!$K$7:$K$59,"待確認",0)</x:f>
        <x:v>待確認</x:v>
      </x:c>
      <x:c r="J264" s="37" t="str">
        <x:v>◎</x:v>
      </x:c>
      <x:c r="K264" s="37" t="str">
        <x:v>Ø</x:v>
      </x:c>
      <x:c r="L264" s="48" t="str">
        <x:f>_xlfn.XLOOKUP($A264&amp;"|"&amp;$G264,'試行能力狀態'!$L$7:$L$258,'試行能力狀態'!$E$7:$E$258,"未評估",0)</x:f>
        <x:v>◎</x:v>
      </x:c>
      <x:c r="M264" s="48" t="str">
        <x:f>_xlfn.XLOOKUP($A264&amp;"|"&amp;$G264,'試行能力狀態'!$L$7:$L$258,'試行能力狀態'!$F$7:$F$258,"未建立",0)</x:f>
        <x:v>待主管核定</x:v>
      </x:c>
      <x:c r="N264" s="48" t="str">
        <x:f>IF($L264="◎","符合獨立",IF($L264="Ø","符合條件","不符合"))</x:f>
        <x:v>符合獨立</x:v>
      </x:c>
      <x:c r="O264" s="48" t="str">
        <x:f>_xlfn.XLOOKUP($A264&amp;"|李侑津醫師",'試行熟悉度'!$K$7:$K$20,'試行熟悉度'!$E$7:$E$20,"未評估",0)</x:f>
        <x:v>可獨立配合</x:v>
      </x:c>
      <x:c r="P264" s="48" t="str">
        <x:f>_xlfn.XLOOKUP($A264&amp;"|李侑津醫師",'試行熟悉度'!$K$7:$K$20,'試行熟悉度'!$F$7:$F$20,"未建立",0)</x:f>
        <x:v>待主管核定</x:v>
      </x:c>
      <x:c r="Q264" s="39" t="str">
        <x:v>確認後才納入自動判定</x:v>
      </x:c>
    </x:row>
    <x:row r="265">
      <x:c r="A265" s="37" t="str">
        <x:v>1020</x:v>
      </x:c>
      <x:c r="B265" s="37" t="str"/>
      <x:c r="C265" s="37" t="str">
        <x:v>LJT-IMPLANT</x:v>
      </x:c>
      <x:c r="D265" s="37" t="str">
        <x:v>植牙</x:v>
      </x:c>
      <x:c r="E265" s="37" t="str">
        <x:v>一般</x:v>
      </x:c>
      <x:c r="F265" s="37" t="str">
        <x:v>高複雜度</x:v>
      </x:c>
      <x:c r="G265" s="37" t="str">
        <x:v>COMMON-INSURANCE</x:v>
      </x:c>
      <x:c r="H265" s="37" t="str">
        <x:v>待確認</x:v>
      </x:c>
      <x:c r="I265" s="37" t="str">
        <x:f>_xlfn.XLOOKUP($C265&amp;"|"&amp;$G265,'李醫師能力要求'!$M$7:$M$59,'李醫師能力要求'!$K$7:$K$59,"待確認",0)</x:f>
        <x:v>待確認</x:v>
      </x:c>
      <x:c r="J265" s="37" t="str">
        <x:v>◎</x:v>
      </x:c>
      <x:c r="K265" s="37" t="str">
        <x:v>Ø</x:v>
      </x:c>
      <x:c r="L265" s="48" t="str">
        <x:f>_xlfn.XLOOKUP($A265&amp;"|"&amp;$G265,'試行能力狀態'!$L$7:$L$258,'試行能力狀態'!$E$7:$E$258,"未評估",0)</x:f>
        <x:v>◎</x:v>
      </x:c>
      <x:c r="M265" s="48" t="str">
        <x:f>_xlfn.XLOOKUP($A265&amp;"|"&amp;$G265,'試行能力狀態'!$L$7:$L$258,'試行能力狀態'!$F$7:$F$258,"未建立",0)</x:f>
        <x:v>待主管核定</x:v>
      </x:c>
      <x:c r="N265" s="48" t="str">
        <x:f>IF($L265="◎","符合獨立",IF($L265="Ø","符合條件","不符合"))</x:f>
        <x:v>符合獨立</x:v>
      </x:c>
      <x:c r="O265" s="48" t="str">
        <x:f>_xlfn.XLOOKUP($A265&amp;"|李侑津醫師",'試行熟悉度'!$K$7:$K$20,'試行熟悉度'!$E$7:$E$20,"未評估",0)</x:f>
        <x:v>可獨立配合</x:v>
      </x:c>
      <x:c r="P265" s="48" t="str">
        <x:f>_xlfn.XLOOKUP($A265&amp;"|李侑津醫師",'試行熟悉度'!$K$7:$K$20,'試行熟悉度'!$F$7:$F$20,"未建立",0)</x:f>
        <x:v>待主管核定</x:v>
      </x:c>
      <x:c r="Q265" s="39" t="str">
        <x:v>確認後才納入自動判定</x:v>
      </x:c>
    </x:row>
    <x:row r="266">
      <x:c r="A266" s="37" t="str">
        <x:v>1020</x:v>
      </x:c>
      <x:c r="B266" s="37" t="str"/>
      <x:c r="C266" s="37" t="str">
        <x:v>LJT-IMPLANT</x:v>
      </x:c>
      <x:c r="D266" s="37" t="str">
        <x:v>植牙</x:v>
      </x:c>
      <x:c r="E266" s="37" t="str">
        <x:v>一般</x:v>
      </x:c>
      <x:c r="F266" s="37" t="str">
        <x:v>高複雜度</x:v>
      </x:c>
      <x:c r="G266" s="37" t="str">
        <x:v>COMMON-XRAY-RECORD</x:v>
      </x:c>
      <x:c r="H266" s="37" t="str">
        <x:v>待確認</x:v>
      </x:c>
      <x:c r="I266" s="37" t="str">
        <x:f>_xlfn.XLOOKUP($C266&amp;"|"&amp;$G266,'李醫師能力要求'!$M$7:$M$59,'李醫師能力要求'!$K$7:$K$59,"待確認",0)</x:f>
        <x:v>待確認</x:v>
      </x:c>
      <x:c r="J266" s="37" t="str">
        <x:v>◎</x:v>
      </x:c>
      <x:c r="K266" s="37" t="str">
        <x:v>Ø</x:v>
      </x:c>
      <x:c r="L266" s="48" t="str">
        <x:f>_xlfn.XLOOKUP($A266&amp;"|"&amp;$G266,'試行能力狀態'!$L$7:$L$258,'試行能力狀態'!$E$7:$E$258,"未評估",0)</x:f>
        <x:v>◎</x:v>
      </x:c>
      <x:c r="M266" s="48" t="str">
        <x:f>_xlfn.XLOOKUP($A266&amp;"|"&amp;$G266,'試行能力狀態'!$L$7:$L$258,'試行能力狀態'!$F$7:$F$258,"未建立",0)</x:f>
        <x:v>待主管核定</x:v>
      </x:c>
      <x:c r="N266" s="48" t="str">
        <x:f>IF($L266="◎","符合獨立",IF($L266="Ø","符合條件","不符合"))</x:f>
        <x:v>符合獨立</x:v>
      </x:c>
      <x:c r="O266" s="48" t="str">
        <x:f>_xlfn.XLOOKUP($A266&amp;"|李侑津醫師",'試行熟悉度'!$K$7:$K$20,'試行熟悉度'!$E$7:$E$20,"未評估",0)</x:f>
        <x:v>可獨立配合</x:v>
      </x:c>
      <x:c r="P266" s="48" t="str">
        <x:f>_xlfn.XLOOKUP($A266&amp;"|李侑津醫師",'試行熟悉度'!$K$7:$K$20,'試行熟悉度'!$F$7:$F$20,"未建立",0)</x:f>
        <x:v>待主管核定</x:v>
      </x:c>
      <x:c r="Q266" s="39" t="str">
        <x:v>確認後才納入自動判定</x:v>
      </x:c>
    </x:row>
    <x:row r="267">
      <x:c r="A267" s="37" t="str">
        <x:v>1025</x:v>
      </x:c>
      <x:c r="B267" s="37" t="str"/>
      <x:c r="C267" s="37" t="str">
        <x:v>LJT-SCALING</x:v>
      </x:c>
      <x:c r="D267" s="37" t="str">
        <x:v>洗牙</x:v>
      </x:c>
      <x:c r="E267" s="37" t="str">
        <x:v>一般</x:v>
      </x:c>
      <x:c r="F267" s="37" t="str">
        <x:v>一般</x:v>
      </x:c>
      <x:c r="G267" s="37" t="str">
        <x:v>LJT-PREP-SCALING</x:v>
      </x:c>
      <x:c r="H267" s="37" t="str">
        <x:v>必備</x:v>
      </x:c>
      <x:c r="I267" s="37" t="str">
        <x:f>_xlfn.XLOOKUP($C267&amp;"|"&amp;$G267,'李醫師能力要求'!$M$7:$M$59,'李醫師能力要求'!$K$7:$K$59,"待確認",0)</x:f>
        <x:v>已確認</x:v>
      </x:c>
      <x:c r="J267" s="37" t="str">
        <x:v>◎</x:v>
      </x:c>
      <x:c r="K267" s="37" t="str">
        <x:v>Ø</x:v>
      </x:c>
      <x:c r="L267" s="48" t="str">
        <x:f>_xlfn.XLOOKUP($A267&amp;"|"&amp;$G267,'試行能力狀態'!$L$7:$L$258,'試行能力狀態'!$E$7:$E$258,"未評估",0)</x:f>
        <x:v>Ø</x:v>
      </x:c>
      <x:c r="M267" s="48" t="str">
        <x:f>_xlfn.XLOOKUP($A267&amp;"|"&amp;$G267,'試行能力狀態'!$L$7:$L$258,'試行能力狀態'!$F$7:$F$258,"未建立",0)</x:f>
        <x:v>待主管核定</x:v>
      </x:c>
      <x:c r="N267" s="48" t="str">
        <x:f>IF($L267="◎","符合獨立",IF($L267="Ø","符合條件","不符合"))</x:f>
        <x:v>符合條件</x:v>
      </x:c>
      <x:c r="O267" s="48" t="str">
        <x:f>_xlfn.XLOOKUP($A267&amp;"|李侑津醫師",'試行熟悉度'!$K$7:$K$20,'試行熟悉度'!$E$7:$E$20,"未評估",0)</x:f>
        <x:v>可配合但需支援</x:v>
      </x:c>
      <x:c r="P267" s="48" t="str">
        <x:f>_xlfn.XLOOKUP($A267&amp;"|李侑津醫師",'試行熟悉度'!$K$7:$K$20,'試行熟悉度'!$F$7:$F$20,"未建立",0)</x:f>
        <x:v>待主管核定</x:v>
      </x:c>
      <x:c r="Q267" s="39" t="str">
        <x:v>依一般支援名額</x:v>
      </x:c>
    </x:row>
    <x:row r="268">
      <x:c r="A268" s="37" t="str">
        <x:v>1025</x:v>
      </x:c>
      <x:c r="B268" s="37" t="str"/>
      <x:c r="C268" s="37" t="str">
        <x:v>LJT-SCALING</x:v>
      </x:c>
      <x:c r="D268" s="37" t="str">
        <x:v>洗牙</x:v>
      </x:c>
      <x:c r="E268" s="37" t="str">
        <x:v>一般</x:v>
      </x:c>
      <x:c r="F268" s="37" t="str">
        <x:v>一般</x:v>
      </x:c>
      <x:c r="G268" s="37" t="str">
        <x:v>COMMON-RECORD</x:v>
      </x:c>
      <x:c r="H268" s="37" t="str">
        <x:v>待確認</x:v>
      </x:c>
      <x:c r="I268" s="37" t="str">
        <x:f>_xlfn.XLOOKUP($C268&amp;"|"&amp;$G268,'李醫師能力要求'!$M$7:$M$59,'李醫師能力要求'!$K$7:$K$59,"待確認",0)</x:f>
        <x:v>待確認</x:v>
      </x:c>
      <x:c r="J268" s="37" t="str">
        <x:v>◎</x:v>
      </x:c>
      <x:c r="K268" s="37" t="str">
        <x:v>Ø</x:v>
      </x:c>
      <x:c r="L268" s="48" t="str">
        <x:f>_xlfn.XLOOKUP($A268&amp;"|"&amp;$G268,'試行能力狀態'!$L$7:$L$258,'試行能力狀態'!$E$7:$E$258,"未評估",0)</x:f>
        <x:v>Ø</x:v>
      </x:c>
      <x:c r="M268" s="48" t="str">
        <x:f>_xlfn.XLOOKUP($A268&amp;"|"&amp;$G268,'試行能力狀態'!$L$7:$L$258,'試行能力狀態'!$F$7:$F$258,"未建立",0)</x:f>
        <x:v>待主管核定</x:v>
      </x:c>
      <x:c r="N268" s="48" t="str">
        <x:f>IF($L268="◎","符合獨立",IF($L268="Ø","符合條件","不符合"))</x:f>
        <x:v>符合條件</x:v>
      </x:c>
      <x:c r="O268" s="48" t="str">
        <x:f>_xlfn.XLOOKUP($A268&amp;"|李侑津醫師",'試行熟悉度'!$K$7:$K$20,'試行熟悉度'!$E$7:$E$20,"未評估",0)</x:f>
        <x:v>可配合但需支援</x:v>
      </x:c>
      <x:c r="P268" s="48" t="str">
        <x:f>_xlfn.XLOOKUP($A268&amp;"|李侑津醫師",'試行熟悉度'!$K$7:$K$20,'試行熟悉度'!$F$7:$F$20,"未建立",0)</x:f>
        <x:v>待主管核定</x:v>
      </x:c>
      <x:c r="Q268" s="39" t="str">
        <x:v>確認後才納入自動判定</x:v>
      </x:c>
    </x:row>
    <x:row r="269">
      <x:c r="A269" s="37" t="str">
        <x:v>1025</x:v>
      </x:c>
      <x:c r="B269" s="37" t="str"/>
      <x:c r="C269" s="37" t="str">
        <x:v>LJT-SCALING</x:v>
      </x:c>
      <x:c r="D269" s="37" t="str">
        <x:v>洗牙</x:v>
      </x:c>
      <x:c r="E269" s="37" t="str">
        <x:v>一般</x:v>
      </x:c>
      <x:c r="F269" s="37" t="str">
        <x:v>一般</x:v>
      </x:c>
      <x:c r="G269" s="37" t="str">
        <x:v>COMMON-INSURANCE</x:v>
      </x:c>
      <x:c r="H269" s="37" t="str">
        <x:v>待確認</x:v>
      </x:c>
      <x:c r="I269" s="37" t="str">
        <x:f>_xlfn.XLOOKUP($C269&amp;"|"&amp;$G269,'李醫師能力要求'!$M$7:$M$59,'李醫師能力要求'!$K$7:$K$59,"待確認",0)</x:f>
        <x:v>待確認</x:v>
      </x:c>
      <x:c r="J269" s="37" t="str">
        <x:v>◎</x:v>
      </x:c>
      <x:c r="K269" s="37" t="str">
        <x:v>Ø</x:v>
      </x:c>
      <x:c r="L269" s="48" t="str">
        <x:f>_xlfn.XLOOKUP($A269&amp;"|"&amp;$G269,'試行能力狀態'!$L$7:$L$258,'試行能力狀態'!$E$7:$E$258,"未評估",0)</x:f>
        <x:v>Ø</x:v>
      </x:c>
      <x:c r="M269" s="48" t="str">
        <x:f>_xlfn.XLOOKUP($A269&amp;"|"&amp;$G269,'試行能力狀態'!$L$7:$L$258,'試行能力狀態'!$F$7:$F$258,"未建立",0)</x:f>
        <x:v>待主管核定</x:v>
      </x:c>
      <x:c r="N269" s="48" t="str">
        <x:f>IF($L269="◎","符合獨立",IF($L269="Ø","符合條件","不符合"))</x:f>
        <x:v>符合條件</x:v>
      </x:c>
      <x:c r="O269" s="48" t="str">
        <x:f>_xlfn.XLOOKUP($A269&amp;"|李侑津醫師",'試行熟悉度'!$K$7:$K$20,'試行熟悉度'!$E$7:$E$20,"未評估",0)</x:f>
        <x:v>可配合但需支援</x:v>
      </x:c>
      <x:c r="P269" s="48" t="str">
        <x:f>_xlfn.XLOOKUP($A269&amp;"|李侑津醫師",'試行熟悉度'!$K$7:$K$20,'試行熟悉度'!$F$7:$F$20,"未建立",0)</x:f>
        <x:v>待主管核定</x:v>
      </x:c>
      <x:c r="Q269" s="39" t="str">
        <x:v>確認後才納入自動判定</x:v>
      </x:c>
    </x:row>
    <x:row r="270">
      <x:c r="A270" s="37" t="str">
        <x:v>1025</x:v>
      </x:c>
      <x:c r="B270" s="37" t="str"/>
      <x:c r="C270" s="37" t="str">
        <x:v>LJT-SCALING</x:v>
      </x:c>
      <x:c r="D270" s="37" t="str">
        <x:v>洗牙</x:v>
      </x:c>
      <x:c r="E270" s="37" t="str">
        <x:v>一般</x:v>
      </x:c>
      <x:c r="F270" s="37" t="str">
        <x:v>一般</x:v>
      </x:c>
      <x:c r="G270" s="37" t="str">
        <x:v>COMMON-XRAY-RECORD</x:v>
      </x:c>
      <x:c r="H270" s="37" t="str">
        <x:v>待確認</x:v>
      </x:c>
      <x:c r="I270" s="37" t="str">
        <x:f>_xlfn.XLOOKUP($C270&amp;"|"&amp;$G270,'李醫師能力要求'!$M$7:$M$59,'李醫師能力要求'!$K$7:$K$59,"待確認",0)</x:f>
        <x:v>待確認</x:v>
      </x:c>
      <x:c r="J270" s="37" t="str">
        <x:v>◎</x:v>
      </x:c>
      <x:c r="K270" s="37" t="str">
        <x:v>Ø</x:v>
      </x:c>
      <x:c r="L270" s="48" t="str">
        <x:f>_xlfn.XLOOKUP($A270&amp;"|"&amp;$G270,'試行能力狀態'!$L$7:$L$258,'試行能力狀態'!$E$7:$E$258,"未評估",0)</x:f>
        <x:v>Ø</x:v>
      </x:c>
      <x:c r="M270" s="48" t="str">
        <x:f>_xlfn.XLOOKUP($A270&amp;"|"&amp;$G270,'試行能力狀態'!$L$7:$L$258,'試行能力狀態'!$F$7:$F$258,"未建立",0)</x:f>
        <x:v>待主管核定</x:v>
      </x:c>
      <x:c r="N270" s="48" t="str">
        <x:f>IF($L270="◎","符合獨立",IF($L270="Ø","符合條件","不符合"))</x:f>
        <x:v>符合條件</x:v>
      </x:c>
      <x:c r="O270" s="48" t="str">
        <x:f>_xlfn.XLOOKUP($A270&amp;"|李侑津醫師",'試行熟悉度'!$K$7:$K$20,'試行熟悉度'!$E$7:$E$20,"未評估",0)</x:f>
        <x:v>可配合但需支援</x:v>
      </x:c>
      <x:c r="P270" s="48" t="str">
        <x:f>_xlfn.XLOOKUP($A270&amp;"|李侑津醫師",'試行熟悉度'!$K$7:$K$20,'試行熟悉度'!$F$7:$F$20,"未建立",0)</x:f>
        <x:v>待主管核定</x:v>
      </x:c>
      <x:c r="Q270" s="39" t="str">
        <x:v>確認後才納入自動判定</x:v>
      </x:c>
    </x:row>
    <x:row r="271">
      <x:c r="A271" s="37" t="str">
        <x:v>1025</x:v>
      </x:c>
      <x:c r="B271" s="37" t="str"/>
      <x:c r="C271" s="37" t="str">
        <x:v>LJT-FILLING</x:v>
      </x:c>
      <x:c r="D271" s="37" t="str">
        <x:v>補牙</x:v>
      </x:c>
      <x:c r="E271" s="37" t="str">
        <x:v>一般</x:v>
      </x:c>
      <x:c r="F271" s="37" t="str">
        <x:v>一般</x:v>
      </x:c>
      <x:c r="G271" s="37" t="str">
        <x:v>LJT-PREP-FILLING</x:v>
      </x:c>
      <x:c r="H271" s="37" t="str">
        <x:v>必備</x:v>
      </x:c>
      <x:c r="I271" s="37" t="str">
        <x:f>_xlfn.XLOOKUP($C271&amp;"|"&amp;$G271,'李醫師能力要求'!$M$7:$M$59,'李醫師能力要求'!$K$7:$K$59,"待確認",0)</x:f>
        <x:v>已確認</x:v>
      </x:c>
      <x:c r="J271" s="37" t="str">
        <x:v>◎</x:v>
      </x:c>
      <x:c r="K271" s="37" t="str">
        <x:v>Ø</x:v>
      </x:c>
      <x:c r="L271" s="48" t="str">
        <x:f>_xlfn.XLOOKUP($A271&amp;"|"&amp;$G271,'試行能力狀態'!$L$7:$L$258,'試行能力狀態'!$E$7:$E$258,"未評估",0)</x:f>
        <x:v>Ø</x:v>
      </x:c>
      <x:c r="M271" s="48" t="str">
        <x:f>_xlfn.XLOOKUP($A271&amp;"|"&amp;$G271,'試行能力狀態'!$L$7:$L$258,'試行能力狀態'!$F$7:$F$258,"未建立",0)</x:f>
        <x:v>待主管核定</x:v>
      </x:c>
      <x:c r="N271" s="48" t="str">
        <x:f>IF($L271="◎","符合獨立",IF($L271="Ø","符合條件","不符合"))</x:f>
        <x:v>符合條件</x:v>
      </x:c>
      <x:c r="O271" s="48" t="str">
        <x:f>_xlfn.XLOOKUP($A271&amp;"|李侑津醫師",'試行熟悉度'!$K$7:$K$20,'試行熟悉度'!$E$7:$E$20,"未評估",0)</x:f>
        <x:v>可配合但需支援</x:v>
      </x:c>
      <x:c r="P271" s="48" t="str">
        <x:f>_xlfn.XLOOKUP($A271&amp;"|李侑津醫師",'試行熟悉度'!$K$7:$K$20,'試行熟悉度'!$F$7:$F$20,"未建立",0)</x:f>
        <x:v>待主管核定</x:v>
      </x:c>
      <x:c r="Q271" s="39" t="str">
        <x:v>依一般支援名額</x:v>
      </x:c>
    </x:row>
    <x:row r="272">
      <x:c r="A272" s="37" t="str">
        <x:v>1025</x:v>
      </x:c>
      <x:c r="B272" s="37" t="str"/>
      <x:c r="C272" s="37" t="str">
        <x:v>LJT-FILLING</x:v>
      </x:c>
      <x:c r="D272" s="37" t="str">
        <x:v>補牙</x:v>
      </x:c>
      <x:c r="E272" s="37" t="str">
        <x:v>一般</x:v>
      </x:c>
      <x:c r="F272" s="37" t="str">
        <x:v>一般</x:v>
      </x:c>
      <x:c r="G272" s="37" t="str">
        <x:v>COMMON-RECORD</x:v>
      </x:c>
      <x:c r="H272" s="37" t="str">
        <x:v>待確認</x:v>
      </x:c>
      <x:c r="I272" s="37" t="str">
        <x:f>_xlfn.XLOOKUP($C272&amp;"|"&amp;$G272,'李醫師能力要求'!$M$7:$M$59,'李醫師能力要求'!$K$7:$K$59,"待確認",0)</x:f>
        <x:v>待確認</x:v>
      </x:c>
      <x:c r="J272" s="37" t="str">
        <x:v>◎</x:v>
      </x:c>
      <x:c r="K272" s="37" t="str">
        <x:v>Ø</x:v>
      </x:c>
      <x:c r="L272" s="48" t="str">
        <x:f>_xlfn.XLOOKUP($A272&amp;"|"&amp;$G272,'試行能力狀態'!$L$7:$L$258,'試行能力狀態'!$E$7:$E$258,"未評估",0)</x:f>
        <x:v>Ø</x:v>
      </x:c>
      <x:c r="M272" s="48" t="str">
        <x:f>_xlfn.XLOOKUP($A272&amp;"|"&amp;$G272,'試行能力狀態'!$L$7:$L$258,'試行能力狀態'!$F$7:$F$258,"未建立",0)</x:f>
        <x:v>待主管核定</x:v>
      </x:c>
      <x:c r="N272" s="48" t="str">
        <x:f>IF($L272="◎","符合獨立",IF($L272="Ø","符合條件","不符合"))</x:f>
        <x:v>符合條件</x:v>
      </x:c>
      <x:c r="O272" s="48" t="str">
        <x:f>_xlfn.XLOOKUP($A272&amp;"|李侑津醫師",'試行熟悉度'!$K$7:$K$20,'試行熟悉度'!$E$7:$E$20,"未評估",0)</x:f>
        <x:v>可配合但需支援</x:v>
      </x:c>
      <x:c r="P272" s="48" t="str">
        <x:f>_xlfn.XLOOKUP($A272&amp;"|李侑津醫師",'試行熟悉度'!$K$7:$K$20,'試行熟悉度'!$F$7:$F$20,"未建立",0)</x:f>
        <x:v>待主管核定</x:v>
      </x:c>
      <x:c r="Q272" s="39" t="str">
        <x:v>確認後才納入自動判定</x:v>
      </x:c>
    </x:row>
    <x:row r="273">
      <x:c r="A273" s="37" t="str">
        <x:v>1025</x:v>
      </x:c>
      <x:c r="B273" s="37" t="str"/>
      <x:c r="C273" s="37" t="str">
        <x:v>LJT-FILLING</x:v>
      </x:c>
      <x:c r="D273" s="37" t="str">
        <x:v>補牙</x:v>
      </x:c>
      <x:c r="E273" s="37" t="str">
        <x:v>一般</x:v>
      </x:c>
      <x:c r="F273" s="37" t="str">
        <x:v>一般</x:v>
      </x:c>
      <x:c r="G273" s="37" t="str">
        <x:v>COMMON-INSURANCE</x:v>
      </x:c>
      <x:c r="H273" s="37" t="str">
        <x:v>待確認</x:v>
      </x:c>
      <x:c r="I273" s="37" t="str">
        <x:f>_xlfn.XLOOKUP($C273&amp;"|"&amp;$G273,'李醫師能力要求'!$M$7:$M$59,'李醫師能力要求'!$K$7:$K$59,"待確認",0)</x:f>
        <x:v>待確認</x:v>
      </x:c>
      <x:c r="J273" s="37" t="str">
        <x:v>◎</x:v>
      </x:c>
      <x:c r="K273" s="37" t="str">
        <x:v>Ø</x:v>
      </x:c>
      <x:c r="L273" s="48" t="str">
        <x:f>_xlfn.XLOOKUP($A273&amp;"|"&amp;$G273,'試行能力狀態'!$L$7:$L$258,'試行能力狀態'!$E$7:$E$258,"未評估",0)</x:f>
        <x:v>Ø</x:v>
      </x:c>
      <x:c r="M273" s="48" t="str">
        <x:f>_xlfn.XLOOKUP($A273&amp;"|"&amp;$G273,'試行能力狀態'!$L$7:$L$258,'試行能力狀態'!$F$7:$F$258,"未建立",0)</x:f>
        <x:v>待主管核定</x:v>
      </x:c>
      <x:c r="N273" s="48" t="str">
        <x:f>IF($L273="◎","符合獨立",IF($L273="Ø","符合條件","不符合"))</x:f>
        <x:v>符合條件</x:v>
      </x:c>
      <x:c r="O273" s="48" t="str">
        <x:f>_xlfn.XLOOKUP($A273&amp;"|李侑津醫師",'試行熟悉度'!$K$7:$K$20,'試行熟悉度'!$E$7:$E$20,"未評估",0)</x:f>
        <x:v>可配合但需支援</x:v>
      </x:c>
      <x:c r="P273" s="48" t="str">
        <x:f>_xlfn.XLOOKUP($A273&amp;"|李侑津醫師",'試行熟悉度'!$K$7:$K$20,'試行熟悉度'!$F$7:$F$20,"未建立",0)</x:f>
        <x:v>待主管核定</x:v>
      </x:c>
      <x:c r="Q273" s="39" t="str">
        <x:v>確認後才納入自動判定</x:v>
      </x:c>
    </x:row>
    <x:row r="274">
      <x:c r="A274" s="37" t="str">
        <x:v>1025</x:v>
      </x:c>
      <x:c r="B274" s="37" t="str"/>
      <x:c r="C274" s="37" t="str">
        <x:v>LJT-FILLING</x:v>
      </x:c>
      <x:c r="D274" s="37" t="str">
        <x:v>補牙</x:v>
      </x:c>
      <x:c r="E274" s="37" t="str">
        <x:v>一般</x:v>
      </x:c>
      <x:c r="F274" s="37" t="str">
        <x:v>一般</x:v>
      </x:c>
      <x:c r="G274" s="37" t="str">
        <x:v>COMMON-XRAY-RECORD</x:v>
      </x:c>
      <x:c r="H274" s="37" t="str">
        <x:v>待確認</x:v>
      </x:c>
      <x:c r="I274" s="37" t="str">
        <x:f>_xlfn.XLOOKUP($C274&amp;"|"&amp;$G274,'李醫師能力要求'!$M$7:$M$59,'李醫師能力要求'!$K$7:$K$59,"待確認",0)</x:f>
        <x:v>待確認</x:v>
      </x:c>
      <x:c r="J274" s="37" t="str">
        <x:v>◎</x:v>
      </x:c>
      <x:c r="K274" s="37" t="str">
        <x:v>Ø</x:v>
      </x:c>
      <x:c r="L274" s="48" t="str">
        <x:f>_xlfn.XLOOKUP($A274&amp;"|"&amp;$G274,'試行能力狀態'!$L$7:$L$258,'試行能力狀態'!$E$7:$E$258,"未評估",0)</x:f>
        <x:v>Ø</x:v>
      </x:c>
      <x:c r="M274" s="48" t="str">
        <x:f>_xlfn.XLOOKUP($A274&amp;"|"&amp;$G274,'試行能力狀態'!$L$7:$L$258,'試行能力狀態'!$F$7:$F$258,"未建立",0)</x:f>
        <x:v>待主管核定</x:v>
      </x:c>
      <x:c r="N274" s="48" t="str">
        <x:f>IF($L274="◎","符合獨立",IF($L274="Ø","符合條件","不符合"))</x:f>
        <x:v>符合條件</x:v>
      </x:c>
      <x:c r="O274" s="48" t="str">
        <x:f>_xlfn.XLOOKUP($A274&amp;"|李侑津醫師",'試行熟悉度'!$K$7:$K$20,'試行熟悉度'!$E$7:$E$20,"未評估",0)</x:f>
        <x:v>可配合但需支援</x:v>
      </x:c>
      <x:c r="P274" s="48" t="str">
        <x:f>_xlfn.XLOOKUP($A274&amp;"|李侑津醫師",'試行熟悉度'!$K$7:$K$20,'試行熟悉度'!$F$7:$F$20,"未建立",0)</x:f>
        <x:v>待主管核定</x:v>
      </x:c>
      <x:c r="Q274" s="39" t="str">
        <x:v>確認後才納入自動判定</x:v>
      </x:c>
    </x:row>
    <x:row r="275">
      <x:c r="A275" s="37" t="str">
        <x:v>1025</x:v>
      </x:c>
      <x:c r="B275" s="37" t="str"/>
      <x:c r="C275" s="37" t="str">
        <x:v>LJT-PERIO</x:v>
      </x:c>
      <x:c r="D275" s="37" t="str">
        <x:v>牙周統合</x:v>
      </x:c>
      <x:c r="E275" s="37" t="str">
        <x:v>一般</x:v>
      </x:c>
      <x:c r="F275" s="37" t="str">
        <x:v>一般</x:v>
      </x:c>
      <x:c r="G275" s="37" t="str">
        <x:v>LJT-PREP-PERIO</x:v>
      </x:c>
      <x:c r="H275" s="37" t="str">
        <x:v>必備</x:v>
      </x:c>
      <x:c r="I275" s="37" t="str">
        <x:f>_xlfn.XLOOKUP($C275&amp;"|"&amp;$G275,'李醫師能力要求'!$M$7:$M$59,'李醫師能力要求'!$K$7:$K$59,"待確認",0)</x:f>
        <x:v>已確認</x:v>
      </x:c>
      <x:c r="J275" s="37" t="str">
        <x:v>◎</x:v>
      </x:c>
      <x:c r="K275" s="37" t="str">
        <x:v>Ø</x:v>
      </x:c>
      <x:c r="L275" s="48" t="str">
        <x:f>_xlfn.XLOOKUP($A275&amp;"|"&amp;$G275,'試行能力狀態'!$L$7:$L$258,'試行能力狀態'!$E$7:$E$258,"未評估",0)</x:f>
        <x:v>Ø</x:v>
      </x:c>
      <x:c r="M275" s="48" t="str">
        <x:f>_xlfn.XLOOKUP($A275&amp;"|"&amp;$G275,'試行能力狀態'!$L$7:$L$258,'試行能力狀態'!$F$7:$F$258,"未建立",0)</x:f>
        <x:v>待主管核定</x:v>
      </x:c>
      <x:c r="N275" s="48" t="str">
        <x:f>IF($L275="◎","符合獨立",IF($L275="Ø","符合條件","不符合"))</x:f>
        <x:v>符合條件</x:v>
      </x:c>
      <x:c r="O275" s="48" t="str">
        <x:f>_xlfn.XLOOKUP($A275&amp;"|李侑津醫師",'試行熟悉度'!$K$7:$K$20,'試行熟悉度'!$E$7:$E$20,"未評估",0)</x:f>
        <x:v>可配合但需支援</x:v>
      </x:c>
      <x:c r="P275" s="48" t="str">
        <x:f>_xlfn.XLOOKUP($A275&amp;"|李侑津醫師",'試行熟悉度'!$K$7:$K$20,'試行熟悉度'!$F$7:$F$20,"未建立",0)</x:f>
        <x:v>待主管核定</x:v>
      </x:c>
      <x:c r="Q275" s="39" t="str">
        <x:v>依一般支援名額</x:v>
      </x:c>
    </x:row>
    <x:row r="276">
      <x:c r="A276" s="37" t="str">
        <x:v>1025</x:v>
      </x:c>
      <x:c r="B276" s="37" t="str"/>
      <x:c r="C276" s="37" t="str">
        <x:v>LJT-PERIO</x:v>
      </x:c>
      <x:c r="D276" s="37" t="str">
        <x:v>牙周統合</x:v>
      </x:c>
      <x:c r="E276" s="37" t="str">
        <x:v>一般</x:v>
      </x:c>
      <x:c r="F276" s="37" t="str">
        <x:v>一般</x:v>
      </x:c>
      <x:c r="G276" s="37" t="str">
        <x:v>COMMON-RECORD</x:v>
      </x:c>
      <x:c r="H276" s="37" t="str">
        <x:v>待確認</x:v>
      </x:c>
      <x:c r="I276" s="37" t="str">
        <x:f>_xlfn.XLOOKUP($C276&amp;"|"&amp;$G276,'李醫師能力要求'!$M$7:$M$59,'李醫師能力要求'!$K$7:$K$59,"待確認",0)</x:f>
        <x:v>待確認</x:v>
      </x:c>
      <x:c r="J276" s="37" t="str">
        <x:v>◎</x:v>
      </x:c>
      <x:c r="K276" s="37" t="str">
        <x:v>Ø</x:v>
      </x:c>
      <x:c r="L276" s="48" t="str">
        <x:f>_xlfn.XLOOKUP($A276&amp;"|"&amp;$G276,'試行能力狀態'!$L$7:$L$258,'試行能力狀態'!$E$7:$E$258,"未評估",0)</x:f>
        <x:v>Ø</x:v>
      </x:c>
      <x:c r="M276" s="48" t="str">
        <x:f>_xlfn.XLOOKUP($A276&amp;"|"&amp;$G276,'試行能力狀態'!$L$7:$L$258,'試行能力狀態'!$F$7:$F$258,"未建立",0)</x:f>
        <x:v>待主管核定</x:v>
      </x:c>
      <x:c r="N276" s="48" t="str">
        <x:f>IF($L276="◎","符合獨立",IF($L276="Ø","符合條件","不符合"))</x:f>
        <x:v>符合條件</x:v>
      </x:c>
      <x:c r="O276" s="48" t="str">
        <x:f>_xlfn.XLOOKUP($A276&amp;"|李侑津醫師",'試行熟悉度'!$K$7:$K$20,'試行熟悉度'!$E$7:$E$20,"未評估",0)</x:f>
        <x:v>可配合但需支援</x:v>
      </x:c>
      <x:c r="P276" s="48" t="str">
        <x:f>_xlfn.XLOOKUP($A276&amp;"|李侑津醫師",'試行熟悉度'!$K$7:$K$20,'試行熟悉度'!$F$7:$F$20,"未建立",0)</x:f>
        <x:v>待主管核定</x:v>
      </x:c>
      <x:c r="Q276" s="39" t="str">
        <x:v>確認後才納入自動判定</x:v>
      </x:c>
    </x:row>
    <x:row r="277">
      <x:c r="A277" s="37" t="str">
        <x:v>1025</x:v>
      </x:c>
      <x:c r="B277" s="37" t="str"/>
      <x:c r="C277" s="37" t="str">
        <x:v>LJT-PERIO</x:v>
      </x:c>
      <x:c r="D277" s="37" t="str">
        <x:v>牙周統合</x:v>
      </x:c>
      <x:c r="E277" s="37" t="str">
        <x:v>一般</x:v>
      </x:c>
      <x:c r="F277" s="37" t="str">
        <x:v>一般</x:v>
      </x:c>
      <x:c r="G277" s="37" t="str">
        <x:v>COMMON-INSURANCE</x:v>
      </x:c>
      <x:c r="H277" s="37" t="str">
        <x:v>待確認</x:v>
      </x:c>
      <x:c r="I277" s="37" t="str">
        <x:f>_xlfn.XLOOKUP($C277&amp;"|"&amp;$G277,'李醫師能力要求'!$M$7:$M$59,'李醫師能力要求'!$K$7:$K$59,"待確認",0)</x:f>
        <x:v>待確認</x:v>
      </x:c>
      <x:c r="J277" s="37" t="str">
        <x:v>◎</x:v>
      </x:c>
      <x:c r="K277" s="37" t="str">
        <x:v>Ø</x:v>
      </x:c>
      <x:c r="L277" s="48" t="str">
        <x:f>_xlfn.XLOOKUP($A277&amp;"|"&amp;$G277,'試行能力狀態'!$L$7:$L$258,'試行能力狀態'!$E$7:$E$258,"未評估",0)</x:f>
        <x:v>Ø</x:v>
      </x:c>
      <x:c r="M277" s="48" t="str">
        <x:f>_xlfn.XLOOKUP($A277&amp;"|"&amp;$G277,'試行能力狀態'!$L$7:$L$258,'試行能力狀態'!$F$7:$F$258,"未建立",0)</x:f>
        <x:v>待主管核定</x:v>
      </x:c>
      <x:c r="N277" s="48" t="str">
        <x:f>IF($L277="◎","符合獨立",IF($L277="Ø","符合條件","不符合"))</x:f>
        <x:v>符合條件</x:v>
      </x:c>
      <x:c r="O277" s="48" t="str">
        <x:f>_xlfn.XLOOKUP($A277&amp;"|李侑津醫師",'試行熟悉度'!$K$7:$K$20,'試行熟悉度'!$E$7:$E$20,"未評估",0)</x:f>
        <x:v>可配合但需支援</x:v>
      </x:c>
      <x:c r="P277" s="48" t="str">
        <x:f>_xlfn.XLOOKUP($A277&amp;"|李侑津醫師",'試行熟悉度'!$K$7:$K$20,'試行熟悉度'!$F$7:$F$20,"未建立",0)</x:f>
        <x:v>待主管核定</x:v>
      </x:c>
      <x:c r="Q277" s="39" t="str">
        <x:v>確認後才納入自動判定</x:v>
      </x:c>
    </x:row>
    <x:row r="278">
      <x:c r="A278" s="37" t="str">
        <x:v>1025</x:v>
      </x:c>
      <x:c r="B278" s="37" t="str"/>
      <x:c r="C278" s="37" t="str">
        <x:v>LJT-PERIO</x:v>
      </x:c>
      <x:c r="D278" s="37" t="str">
        <x:v>牙周統合</x:v>
      </x:c>
      <x:c r="E278" s="37" t="str">
        <x:v>一般</x:v>
      </x:c>
      <x:c r="F278" s="37" t="str">
        <x:v>一般</x:v>
      </x:c>
      <x:c r="G278" s="37" t="str">
        <x:v>COMMON-XRAY-RECORD</x:v>
      </x:c>
      <x:c r="H278" s="37" t="str">
        <x:v>待確認</x:v>
      </x:c>
      <x:c r="I278" s="37" t="str">
        <x:f>_xlfn.XLOOKUP($C278&amp;"|"&amp;$G278,'李醫師能力要求'!$M$7:$M$59,'李醫師能力要求'!$K$7:$K$59,"待確認",0)</x:f>
        <x:v>待確認</x:v>
      </x:c>
      <x:c r="J278" s="37" t="str">
        <x:v>◎</x:v>
      </x:c>
      <x:c r="K278" s="37" t="str">
        <x:v>Ø</x:v>
      </x:c>
      <x:c r="L278" s="48" t="str">
        <x:f>_xlfn.XLOOKUP($A278&amp;"|"&amp;$G278,'試行能力狀態'!$L$7:$L$258,'試行能力狀態'!$E$7:$E$258,"未評估",0)</x:f>
        <x:v>Ø</x:v>
      </x:c>
      <x:c r="M278" s="48" t="str">
        <x:f>_xlfn.XLOOKUP($A278&amp;"|"&amp;$G278,'試行能力狀態'!$L$7:$L$258,'試行能力狀態'!$F$7:$F$258,"未建立",0)</x:f>
        <x:v>待主管核定</x:v>
      </x:c>
      <x:c r="N278" s="48" t="str">
        <x:f>IF($L278="◎","符合獨立",IF($L278="Ø","符合條件","不符合"))</x:f>
        <x:v>符合條件</x:v>
      </x:c>
      <x:c r="O278" s="48" t="str">
        <x:f>_xlfn.XLOOKUP($A278&amp;"|李侑津醫師",'試行熟悉度'!$K$7:$K$20,'試行熟悉度'!$E$7:$E$20,"未評估",0)</x:f>
        <x:v>可配合但需支援</x:v>
      </x:c>
      <x:c r="P278" s="48" t="str">
        <x:f>_xlfn.XLOOKUP($A278&amp;"|李侑津醫師",'試行熟悉度'!$K$7:$K$20,'試行熟悉度'!$F$7:$F$20,"未建立",0)</x:f>
        <x:v>待主管核定</x:v>
      </x:c>
      <x:c r="Q278" s="39" t="str">
        <x:v>確認後才納入自動判定</x:v>
      </x:c>
    </x:row>
    <x:row r="279">
      <x:c r="A279" s="37" t="str">
        <x:v>1025</x:v>
      </x:c>
      <x:c r="B279" s="37" t="str"/>
      <x:c r="C279" s="37" t="str">
        <x:v>LJT-RCT</x:v>
      </x:c>
      <x:c r="D279" s="37" t="str">
        <x:v>一般根管治療</x:v>
      </x:c>
      <x:c r="E279" s="37" t="str">
        <x:v>一般</x:v>
      </x:c>
      <x:c r="F279" s="37" t="str">
        <x:v>一般</x:v>
      </x:c>
      <x:c r="G279" s="37" t="str">
        <x:v>LJT-PREP-RCT</x:v>
      </x:c>
      <x:c r="H279" s="37" t="str">
        <x:v>必備</x:v>
      </x:c>
      <x:c r="I279" s="37" t="str">
        <x:f>_xlfn.XLOOKUP($C279&amp;"|"&amp;$G279,'李醫師能力要求'!$M$7:$M$59,'李醫師能力要求'!$K$7:$K$59,"待確認",0)</x:f>
        <x:v>已確認</x:v>
      </x:c>
      <x:c r="J279" s="37" t="str">
        <x:v>◎</x:v>
      </x:c>
      <x:c r="K279" s="37" t="str">
        <x:v>Ø</x:v>
      </x:c>
      <x:c r="L279" s="48" t="str">
        <x:f>_xlfn.XLOOKUP($A279&amp;"|"&amp;$G279,'試行能力狀態'!$L$7:$L$258,'試行能力狀態'!$E$7:$E$258,"未評估",0)</x:f>
        <x:v>Ø</x:v>
      </x:c>
      <x:c r="M279" s="48" t="str">
        <x:f>_xlfn.XLOOKUP($A279&amp;"|"&amp;$G279,'試行能力狀態'!$L$7:$L$258,'試行能力狀態'!$F$7:$F$258,"未建立",0)</x:f>
        <x:v>待主管核定</x:v>
      </x:c>
      <x:c r="N279" s="48" t="str">
        <x:f>IF($L279="◎","符合獨立",IF($L279="Ø","符合條件","不符合"))</x:f>
        <x:v>符合條件</x:v>
      </x:c>
      <x:c r="O279" s="48" t="str">
        <x:f>_xlfn.XLOOKUP($A279&amp;"|李侑津醫師",'試行熟悉度'!$K$7:$K$20,'試行熟悉度'!$E$7:$E$20,"未評估",0)</x:f>
        <x:v>可配合但需支援</x:v>
      </x:c>
      <x:c r="P279" s="48" t="str">
        <x:f>_xlfn.XLOOKUP($A279&amp;"|李侑津醫師",'試行熟悉度'!$K$7:$K$20,'試行熟悉度'!$F$7:$F$20,"未建立",0)</x:f>
        <x:v>待主管核定</x:v>
      </x:c>
      <x:c r="Q279" s="39" t="str">
        <x:v>依一般支援名額</x:v>
      </x:c>
    </x:row>
    <x:row r="280">
      <x:c r="A280" s="37" t="str">
        <x:v>1025</x:v>
      </x:c>
      <x:c r="B280" s="37" t="str"/>
      <x:c r="C280" s="37" t="str">
        <x:v>LJT-RCT</x:v>
      </x:c>
      <x:c r="D280" s="37" t="str">
        <x:v>一般根管治療</x:v>
      </x:c>
      <x:c r="E280" s="37" t="str">
        <x:v>一般</x:v>
      </x:c>
      <x:c r="F280" s="37" t="str">
        <x:v>一般</x:v>
      </x:c>
      <x:c r="G280" s="37" t="str">
        <x:v>COMMON-RECORD</x:v>
      </x:c>
      <x:c r="H280" s="37" t="str">
        <x:v>待確認</x:v>
      </x:c>
      <x:c r="I280" s="37" t="str">
        <x:f>_xlfn.XLOOKUP($C280&amp;"|"&amp;$G280,'李醫師能力要求'!$M$7:$M$59,'李醫師能力要求'!$K$7:$K$59,"待確認",0)</x:f>
        <x:v>待確認</x:v>
      </x:c>
      <x:c r="J280" s="37" t="str">
        <x:v>◎</x:v>
      </x:c>
      <x:c r="K280" s="37" t="str">
        <x:v>Ø</x:v>
      </x:c>
      <x:c r="L280" s="48" t="str">
        <x:f>_xlfn.XLOOKUP($A280&amp;"|"&amp;$G280,'試行能力狀態'!$L$7:$L$258,'試行能力狀態'!$E$7:$E$258,"未評估",0)</x:f>
        <x:v>Ø</x:v>
      </x:c>
      <x:c r="M280" s="48" t="str">
        <x:f>_xlfn.XLOOKUP($A280&amp;"|"&amp;$G280,'試行能力狀態'!$L$7:$L$258,'試行能力狀態'!$F$7:$F$258,"未建立",0)</x:f>
        <x:v>待主管核定</x:v>
      </x:c>
      <x:c r="N280" s="48" t="str">
        <x:f>IF($L280="◎","符合獨立",IF($L280="Ø","符合條件","不符合"))</x:f>
        <x:v>符合條件</x:v>
      </x:c>
      <x:c r="O280" s="48" t="str">
        <x:f>_xlfn.XLOOKUP($A280&amp;"|李侑津醫師",'試行熟悉度'!$K$7:$K$20,'試行熟悉度'!$E$7:$E$20,"未評估",0)</x:f>
        <x:v>可配合但需支援</x:v>
      </x:c>
      <x:c r="P280" s="48" t="str">
        <x:f>_xlfn.XLOOKUP($A280&amp;"|李侑津醫師",'試行熟悉度'!$K$7:$K$20,'試行熟悉度'!$F$7:$F$20,"未建立",0)</x:f>
        <x:v>待主管核定</x:v>
      </x:c>
      <x:c r="Q280" s="39" t="str">
        <x:v>確認後才納入自動判定</x:v>
      </x:c>
    </x:row>
    <x:row r="281">
      <x:c r="A281" s="37" t="str">
        <x:v>1025</x:v>
      </x:c>
      <x:c r="B281" s="37" t="str"/>
      <x:c r="C281" s="37" t="str">
        <x:v>LJT-RCT</x:v>
      </x:c>
      <x:c r="D281" s="37" t="str">
        <x:v>一般根管治療</x:v>
      </x:c>
      <x:c r="E281" s="37" t="str">
        <x:v>一般</x:v>
      </x:c>
      <x:c r="F281" s="37" t="str">
        <x:v>一般</x:v>
      </x:c>
      <x:c r="G281" s="37" t="str">
        <x:v>COMMON-INSURANCE</x:v>
      </x:c>
      <x:c r="H281" s="37" t="str">
        <x:v>待確認</x:v>
      </x:c>
      <x:c r="I281" s="37" t="str">
        <x:f>_xlfn.XLOOKUP($C281&amp;"|"&amp;$G281,'李醫師能力要求'!$M$7:$M$59,'李醫師能力要求'!$K$7:$K$59,"待確認",0)</x:f>
        <x:v>待確認</x:v>
      </x:c>
      <x:c r="J281" s="37" t="str">
        <x:v>◎</x:v>
      </x:c>
      <x:c r="K281" s="37" t="str">
        <x:v>Ø</x:v>
      </x:c>
      <x:c r="L281" s="48" t="str">
        <x:f>_xlfn.XLOOKUP($A281&amp;"|"&amp;$G281,'試行能力狀態'!$L$7:$L$258,'試行能力狀態'!$E$7:$E$258,"未評估",0)</x:f>
        <x:v>Ø</x:v>
      </x:c>
      <x:c r="M281" s="48" t="str">
        <x:f>_xlfn.XLOOKUP($A281&amp;"|"&amp;$G281,'試行能力狀態'!$L$7:$L$258,'試行能力狀態'!$F$7:$F$258,"未建立",0)</x:f>
        <x:v>待主管核定</x:v>
      </x:c>
      <x:c r="N281" s="48" t="str">
        <x:f>IF($L281="◎","符合獨立",IF($L281="Ø","符合條件","不符合"))</x:f>
        <x:v>符合條件</x:v>
      </x:c>
      <x:c r="O281" s="48" t="str">
        <x:f>_xlfn.XLOOKUP($A281&amp;"|李侑津醫師",'試行熟悉度'!$K$7:$K$20,'試行熟悉度'!$E$7:$E$20,"未評估",0)</x:f>
        <x:v>可配合但需支援</x:v>
      </x:c>
      <x:c r="P281" s="48" t="str">
        <x:f>_xlfn.XLOOKUP($A281&amp;"|李侑津醫師",'試行熟悉度'!$K$7:$K$20,'試行熟悉度'!$F$7:$F$20,"未建立",0)</x:f>
        <x:v>待主管核定</x:v>
      </x:c>
      <x:c r="Q281" s="39" t="str">
        <x:v>確認後才納入自動判定</x:v>
      </x:c>
    </x:row>
    <x:row r="282">
      <x:c r="A282" s="37" t="str">
        <x:v>1025</x:v>
      </x:c>
      <x:c r="B282" s="37" t="str"/>
      <x:c r="C282" s="37" t="str">
        <x:v>LJT-RCT</x:v>
      </x:c>
      <x:c r="D282" s="37" t="str">
        <x:v>一般根管治療</x:v>
      </x:c>
      <x:c r="E282" s="37" t="str">
        <x:v>一般</x:v>
      </x:c>
      <x:c r="F282" s="37" t="str">
        <x:v>一般</x:v>
      </x:c>
      <x:c r="G282" s="37" t="str">
        <x:v>COMMON-XRAY-RECORD</x:v>
      </x:c>
      <x:c r="H282" s="37" t="str">
        <x:v>待確認</x:v>
      </x:c>
      <x:c r="I282" s="37" t="str">
        <x:f>_xlfn.XLOOKUP($C282&amp;"|"&amp;$G282,'李醫師能力要求'!$M$7:$M$59,'李醫師能力要求'!$K$7:$K$59,"待確認",0)</x:f>
        <x:v>待確認</x:v>
      </x:c>
      <x:c r="J282" s="37" t="str">
        <x:v>◎</x:v>
      </x:c>
      <x:c r="K282" s="37" t="str">
        <x:v>Ø</x:v>
      </x:c>
      <x:c r="L282" s="48" t="str">
        <x:f>_xlfn.XLOOKUP($A282&amp;"|"&amp;$G282,'試行能力狀態'!$L$7:$L$258,'試行能力狀態'!$E$7:$E$258,"未評估",0)</x:f>
        <x:v>Ø</x:v>
      </x:c>
      <x:c r="M282" s="48" t="str">
        <x:f>_xlfn.XLOOKUP($A282&amp;"|"&amp;$G282,'試行能力狀態'!$L$7:$L$258,'試行能力狀態'!$F$7:$F$258,"未建立",0)</x:f>
        <x:v>待主管核定</x:v>
      </x:c>
      <x:c r="N282" s="48" t="str">
        <x:f>IF($L282="◎","符合獨立",IF($L282="Ø","符合條件","不符合"))</x:f>
        <x:v>符合條件</x:v>
      </x:c>
      <x:c r="O282" s="48" t="str">
        <x:f>_xlfn.XLOOKUP($A282&amp;"|李侑津醫師",'試行熟悉度'!$K$7:$K$20,'試行熟悉度'!$E$7:$E$20,"未評估",0)</x:f>
        <x:v>可配合但需支援</x:v>
      </x:c>
      <x:c r="P282" s="48" t="str">
        <x:f>_xlfn.XLOOKUP($A282&amp;"|李侑津醫師",'試行熟悉度'!$K$7:$K$20,'試行熟悉度'!$F$7:$F$20,"未建立",0)</x:f>
        <x:v>待主管核定</x:v>
      </x:c>
      <x:c r="Q282" s="39" t="str">
        <x:v>確認後才納入自動判定</x:v>
      </x:c>
    </x:row>
    <x:row r="283">
      <x:c r="A283" s="37" t="str">
        <x:v>1025</x:v>
      </x:c>
      <x:c r="B283" s="37" t="str"/>
      <x:c r="C283" s="37" t="str">
        <x:v>LJT-EXTRACTION</x:v>
      </x:c>
      <x:c r="D283" s="37" t="str">
        <x:v>拔牙</x:v>
      </x:c>
      <x:c r="E283" s="37" t="str">
        <x:v>一般</x:v>
      </x:c>
      <x:c r="F283" s="37" t="str">
        <x:v>一般</x:v>
      </x:c>
      <x:c r="G283" s="37" t="str">
        <x:v>LJT-PREP-EXTRACTION</x:v>
      </x:c>
      <x:c r="H283" s="37" t="str">
        <x:v>必備</x:v>
      </x:c>
      <x:c r="I283" s="37" t="str">
        <x:f>_xlfn.XLOOKUP($C283&amp;"|"&amp;$G283,'李醫師能力要求'!$M$7:$M$59,'李醫師能力要求'!$K$7:$K$59,"待確認",0)</x:f>
        <x:v>已確認</x:v>
      </x:c>
      <x:c r="J283" s="37" t="str">
        <x:v>◎</x:v>
      </x:c>
      <x:c r="K283" s="37" t="str">
        <x:v>Ø</x:v>
      </x:c>
      <x:c r="L283" s="48" t="str">
        <x:f>_xlfn.XLOOKUP($A283&amp;"|"&amp;$G283,'試行能力狀態'!$L$7:$L$258,'試行能力狀態'!$E$7:$E$258,"未評估",0)</x:f>
        <x:v>Ø</x:v>
      </x:c>
      <x:c r="M283" s="48" t="str">
        <x:f>_xlfn.XLOOKUP($A283&amp;"|"&amp;$G283,'試行能力狀態'!$L$7:$L$258,'試行能力狀態'!$F$7:$F$258,"未建立",0)</x:f>
        <x:v>待主管核定</x:v>
      </x:c>
      <x:c r="N283" s="48" t="str">
        <x:f>IF($L283="◎","符合獨立",IF($L283="Ø","符合條件","不符合"))</x:f>
        <x:v>符合條件</x:v>
      </x:c>
      <x:c r="O283" s="48" t="str">
        <x:f>_xlfn.XLOOKUP($A283&amp;"|李侑津醫師",'試行熟悉度'!$K$7:$K$20,'試行熟悉度'!$E$7:$E$20,"未評估",0)</x:f>
        <x:v>可配合但需支援</x:v>
      </x:c>
      <x:c r="P283" s="48" t="str">
        <x:f>_xlfn.XLOOKUP($A283&amp;"|李侑津醫師",'試行熟悉度'!$K$7:$K$20,'試行熟悉度'!$F$7:$F$20,"未建立",0)</x:f>
        <x:v>待主管核定</x:v>
      </x:c>
      <x:c r="Q283" s="39" t="str">
        <x:v>依一般支援名額</x:v>
      </x:c>
    </x:row>
    <x:row r="284">
      <x:c r="A284" s="37" t="str">
        <x:v>1025</x:v>
      </x:c>
      <x:c r="B284" s="37" t="str"/>
      <x:c r="C284" s="37" t="str">
        <x:v>LJT-EXTRACTION</x:v>
      </x:c>
      <x:c r="D284" s="37" t="str">
        <x:v>拔牙</x:v>
      </x:c>
      <x:c r="E284" s="37" t="str">
        <x:v>一般</x:v>
      </x:c>
      <x:c r="F284" s="37" t="str">
        <x:v>一般</x:v>
      </x:c>
      <x:c r="G284" s="37" t="str">
        <x:v>COMMON-RECORD</x:v>
      </x:c>
      <x:c r="H284" s="37" t="str">
        <x:v>待確認</x:v>
      </x:c>
      <x:c r="I284" s="37" t="str">
        <x:f>_xlfn.XLOOKUP($C284&amp;"|"&amp;$G284,'李醫師能力要求'!$M$7:$M$59,'李醫師能力要求'!$K$7:$K$59,"待確認",0)</x:f>
        <x:v>待確認</x:v>
      </x:c>
      <x:c r="J284" s="37" t="str">
        <x:v>◎</x:v>
      </x:c>
      <x:c r="K284" s="37" t="str">
        <x:v>Ø</x:v>
      </x:c>
      <x:c r="L284" s="48" t="str">
        <x:f>_xlfn.XLOOKUP($A284&amp;"|"&amp;$G284,'試行能力狀態'!$L$7:$L$258,'試行能力狀態'!$E$7:$E$258,"未評估",0)</x:f>
        <x:v>Ø</x:v>
      </x:c>
      <x:c r="M284" s="48" t="str">
        <x:f>_xlfn.XLOOKUP($A284&amp;"|"&amp;$G284,'試行能力狀態'!$L$7:$L$258,'試行能力狀態'!$F$7:$F$258,"未建立",0)</x:f>
        <x:v>待主管核定</x:v>
      </x:c>
      <x:c r="N284" s="48" t="str">
        <x:f>IF($L284="◎","符合獨立",IF($L284="Ø","符合條件","不符合"))</x:f>
        <x:v>符合條件</x:v>
      </x:c>
      <x:c r="O284" s="48" t="str">
        <x:f>_xlfn.XLOOKUP($A284&amp;"|李侑津醫師",'試行熟悉度'!$K$7:$K$20,'試行熟悉度'!$E$7:$E$20,"未評估",0)</x:f>
        <x:v>可配合但需支援</x:v>
      </x:c>
      <x:c r="P284" s="48" t="str">
        <x:f>_xlfn.XLOOKUP($A284&amp;"|李侑津醫師",'試行熟悉度'!$K$7:$K$20,'試行熟悉度'!$F$7:$F$20,"未建立",0)</x:f>
        <x:v>待主管核定</x:v>
      </x:c>
      <x:c r="Q284" s="39" t="str">
        <x:v>確認後才納入自動判定</x:v>
      </x:c>
    </x:row>
    <x:row r="285">
      <x:c r="A285" s="37" t="str">
        <x:v>1025</x:v>
      </x:c>
      <x:c r="B285" s="37" t="str"/>
      <x:c r="C285" s="37" t="str">
        <x:v>LJT-EXTRACTION</x:v>
      </x:c>
      <x:c r="D285" s="37" t="str">
        <x:v>拔牙</x:v>
      </x:c>
      <x:c r="E285" s="37" t="str">
        <x:v>一般</x:v>
      </x:c>
      <x:c r="F285" s="37" t="str">
        <x:v>一般</x:v>
      </x:c>
      <x:c r="G285" s="37" t="str">
        <x:v>COMMON-INSURANCE</x:v>
      </x:c>
      <x:c r="H285" s="37" t="str">
        <x:v>待確認</x:v>
      </x:c>
      <x:c r="I285" s="37" t="str">
        <x:f>_xlfn.XLOOKUP($C285&amp;"|"&amp;$G285,'李醫師能力要求'!$M$7:$M$59,'李醫師能力要求'!$K$7:$K$59,"待確認",0)</x:f>
        <x:v>待確認</x:v>
      </x:c>
      <x:c r="J285" s="37" t="str">
        <x:v>◎</x:v>
      </x:c>
      <x:c r="K285" s="37" t="str">
        <x:v>Ø</x:v>
      </x:c>
      <x:c r="L285" s="48" t="str">
        <x:f>_xlfn.XLOOKUP($A285&amp;"|"&amp;$G285,'試行能力狀態'!$L$7:$L$258,'試行能力狀態'!$E$7:$E$258,"未評估",0)</x:f>
        <x:v>Ø</x:v>
      </x:c>
      <x:c r="M285" s="48" t="str">
        <x:f>_xlfn.XLOOKUP($A285&amp;"|"&amp;$G285,'試行能力狀態'!$L$7:$L$258,'試行能力狀態'!$F$7:$F$258,"未建立",0)</x:f>
        <x:v>待主管核定</x:v>
      </x:c>
      <x:c r="N285" s="48" t="str">
        <x:f>IF($L285="◎","符合獨立",IF($L285="Ø","符合條件","不符合"))</x:f>
        <x:v>符合條件</x:v>
      </x:c>
      <x:c r="O285" s="48" t="str">
        <x:f>_xlfn.XLOOKUP($A285&amp;"|李侑津醫師",'試行熟悉度'!$K$7:$K$20,'試行熟悉度'!$E$7:$E$20,"未評估",0)</x:f>
        <x:v>可配合但需支援</x:v>
      </x:c>
      <x:c r="P285" s="48" t="str">
        <x:f>_xlfn.XLOOKUP($A285&amp;"|李侑津醫師",'試行熟悉度'!$K$7:$K$20,'試行熟悉度'!$F$7:$F$20,"未建立",0)</x:f>
        <x:v>待主管核定</x:v>
      </x:c>
      <x:c r="Q285" s="39" t="str">
        <x:v>確認後才納入自動判定</x:v>
      </x:c>
    </x:row>
    <x:row r="286">
      <x:c r="A286" s="37" t="str">
        <x:v>1025</x:v>
      </x:c>
      <x:c r="B286" s="37" t="str"/>
      <x:c r="C286" s="37" t="str">
        <x:v>LJT-EXTRACTION</x:v>
      </x:c>
      <x:c r="D286" s="37" t="str">
        <x:v>拔牙</x:v>
      </x:c>
      <x:c r="E286" s="37" t="str">
        <x:v>一般</x:v>
      </x:c>
      <x:c r="F286" s="37" t="str">
        <x:v>一般</x:v>
      </x:c>
      <x:c r="G286" s="37" t="str">
        <x:v>COMMON-XRAY-RECORD</x:v>
      </x:c>
      <x:c r="H286" s="37" t="str">
        <x:v>待確認</x:v>
      </x:c>
      <x:c r="I286" s="37" t="str">
        <x:f>_xlfn.XLOOKUP($C286&amp;"|"&amp;$G286,'李醫師能力要求'!$M$7:$M$59,'李醫師能力要求'!$K$7:$K$59,"待確認",0)</x:f>
        <x:v>待確認</x:v>
      </x:c>
      <x:c r="J286" s="37" t="str">
        <x:v>◎</x:v>
      </x:c>
      <x:c r="K286" s="37" t="str">
        <x:v>Ø</x:v>
      </x:c>
      <x:c r="L286" s="48" t="str">
        <x:f>_xlfn.XLOOKUP($A286&amp;"|"&amp;$G286,'試行能力狀態'!$L$7:$L$258,'試行能力狀態'!$E$7:$E$258,"未評估",0)</x:f>
        <x:v>Ø</x:v>
      </x:c>
      <x:c r="M286" s="48" t="str">
        <x:f>_xlfn.XLOOKUP($A286&amp;"|"&amp;$G286,'試行能力狀態'!$L$7:$L$258,'試行能力狀態'!$F$7:$F$258,"未建立",0)</x:f>
        <x:v>待主管核定</x:v>
      </x:c>
      <x:c r="N286" s="48" t="str">
        <x:f>IF($L286="◎","符合獨立",IF($L286="Ø","符合條件","不符合"))</x:f>
        <x:v>符合條件</x:v>
      </x:c>
      <x:c r="O286" s="48" t="str">
        <x:f>_xlfn.XLOOKUP($A286&amp;"|李侑津醫師",'試行熟悉度'!$K$7:$K$20,'試行熟悉度'!$E$7:$E$20,"未評估",0)</x:f>
        <x:v>可配合但需支援</x:v>
      </x:c>
      <x:c r="P286" s="48" t="str">
        <x:f>_xlfn.XLOOKUP($A286&amp;"|李侑津醫師",'試行熟悉度'!$K$7:$K$20,'試行熟悉度'!$F$7:$F$20,"未建立",0)</x:f>
        <x:v>待主管核定</x:v>
      </x:c>
      <x:c r="Q286" s="39" t="str">
        <x:v>確認後才納入自動判定</x:v>
      </x:c>
    </x:row>
    <x:row r="287">
      <x:c r="A287" s="37" t="str">
        <x:v>1025</x:v>
      </x:c>
      <x:c r="B287" s="37" t="str"/>
      <x:c r="C287" s="37" t="str">
        <x:v>LJT-CROWNPOST</x:v>
      </x:c>
      <x:c r="D287" s="37" t="str">
        <x:v>拆 crown/post</x:v>
      </x:c>
      <x:c r="E287" s="37" t="str">
        <x:v>一般</x:v>
      </x:c>
      <x:c r="F287" s="37" t="str">
        <x:v>一般</x:v>
      </x:c>
      <x:c r="G287" s="37" t="str">
        <x:v>LJT-PREP-CROWNPOST</x:v>
      </x:c>
      <x:c r="H287" s="37" t="str">
        <x:v>必備</x:v>
      </x:c>
      <x:c r="I287" s="37" t="str">
        <x:f>_xlfn.XLOOKUP($C287&amp;"|"&amp;$G287,'李醫師能力要求'!$M$7:$M$59,'李醫師能力要求'!$K$7:$K$59,"待確認",0)</x:f>
        <x:v>已確認</x:v>
      </x:c>
      <x:c r="J287" s="37" t="str">
        <x:v>◎</x:v>
      </x:c>
      <x:c r="K287" s="37" t="str">
        <x:v>Ø</x:v>
      </x:c>
      <x:c r="L287" s="48" t="str">
        <x:f>_xlfn.XLOOKUP($A287&amp;"|"&amp;$G287,'試行能力狀態'!$L$7:$L$258,'試行能力狀態'!$E$7:$E$258,"未評估",0)</x:f>
        <x:v>Ø</x:v>
      </x:c>
      <x:c r="M287" s="48" t="str">
        <x:f>_xlfn.XLOOKUP($A287&amp;"|"&amp;$G287,'試行能力狀態'!$L$7:$L$258,'試行能力狀態'!$F$7:$F$258,"未建立",0)</x:f>
        <x:v>待主管核定</x:v>
      </x:c>
      <x:c r="N287" s="48" t="str">
        <x:f>IF($L287="◎","符合獨立",IF($L287="Ø","符合條件","不符合"))</x:f>
        <x:v>符合條件</x:v>
      </x:c>
      <x:c r="O287" s="48" t="str">
        <x:f>_xlfn.XLOOKUP($A287&amp;"|李侑津醫師",'試行熟悉度'!$K$7:$K$20,'試行熟悉度'!$E$7:$E$20,"未評估",0)</x:f>
        <x:v>可配合但需支援</x:v>
      </x:c>
      <x:c r="P287" s="48" t="str">
        <x:f>_xlfn.XLOOKUP($A287&amp;"|李侑津醫師",'試行熟悉度'!$K$7:$K$20,'試行熟悉度'!$F$7:$F$20,"未建立",0)</x:f>
        <x:v>待主管核定</x:v>
      </x:c>
      <x:c r="Q287" s="39" t="str">
        <x:v>依一般支援名額</x:v>
      </x:c>
    </x:row>
    <x:row r="288">
      <x:c r="A288" s="37" t="str">
        <x:v>1025</x:v>
      </x:c>
      <x:c r="B288" s="37" t="str"/>
      <x:c r="C288" s="37" t="str">
        <x:v>LJT-CROWNPOST</x:v>
      </x:c>
      <x:c r="D288" s="37" t="str">
        <x:v>拆 crown/post</x:v>
      </x:c>
      <x:c r="E288" s="37" t="str">
        <x:v>一般</x:v>
      </x:c>
      <x:c r="F288" s="37" t="str">
        <x:v>一般</x:v>
      </x:c>
      <x:c r="G288" s="37" t="str">
        <x:v>COMMON-RECORD</x:v>
      </x:c>
      <x:c r="H288" s="37" t="str">
        <x:v>待確認</x:v>
      </x:c>
      <x:c r="I288" s="37" t="str">
        <x:f>_xlfn.XLOOKUP($C288&amp;"|"&amp;$G288,'李醫師能力要求'!$M$7:$M$59,'李醫師能力要求'!$K$7:$K$59,"待確認",0)</x:f>
        <x:v>待確認</x:v>
      </x:c>
      <x:c r="J288" s="37" t="str">
        <x:v>◎</x:v>
      </x:c>
      <x:c r="K288" s="37" t="str">
        <x:v>Ø</x:v>
      </x:c>
      <x:c r="L288" s="48" t="str">
        <x:f>_xlfn.XLOOKUP($A288&amp;"|"&amp;$G288,'試行能力狀態'!$L$7:$L$258,'試行能力狀態'!$E$7:$E$258,"未評估",0)</x:f>
        <x:v>Ø</x:v>
      </x:c>
      <x:c r="M288" s="48" t="str">
        <x:f>_xlfn.XLOOKUP($A288&amp;"|"&amp;$G288,'試行能力狀態'!$L$7:$L$258,'試行能力狀態'!$F$7:$F$258,"未建立",0)</x:f>
        <x:v>待主管核定</x:v>
      </x:c>
      <x:c r="N288" s="48" t="str">
        <x:f>IF($L288="◎","符合獨立",IF($L288="Ø","符合條件","不符合"))</x:f>
        <x:v>符合條件</x:v>
      </x:c>
      <x:c r="O288" s="48" t="str">
        <x:f>_xlfn.XLOOKUP($A288&amp;"|李侑津醫師",'試行熟悉度'!$K$7:$K$20,'試行熟悉度'!$E$7:$E$20,"未評估",0)</x:f>
        <x:v>可配合但需支援</x:v>
      </x:c>
      <x:c r="P288" s="48" t="str">
        <x:f>_xlfn.XLOOKUP($A288&amp;"|李侑津醫師",'試行熟悉度'!$K$7:$K$20,'試行熟悉度'!$F$7:$F$20,"未建立",0)</x:f>
        <x:v>待主管核定</x:v>
      </x:c>
      <x:c r="Q288" s="39" t="str">
        <x:v>確認後才納入自動判定</x:v>
      </x:c>
    </x:row>
    <x:row r="289">
      <x:c r="A289" s="37" t="str">
        <x:v>1025</x:v>
      </x:c>
      <x:c r="B289" s="37" t="str"/>
      <x:c r="C289" s="37" t="str">
        <x:v>LJT-CROWNPOST</x:v>
      </x:c>
      <x:c r="D289" s="37" t="str">
        <x:v>拆 crown/post</x:v>
      </x:c>
      <x:c r="E289" s="37" t="str">
        <x:v>一般</x:v>
      </x:c>
      <x:c r="F289" s="37" t="str">
        <x:v>一般</x:v>
      </x:c>
      <x:c r="G289" s="37" t="str">
        <x:v>COMMON-INSURANCE</x:v>
      </x:c>
      <x:c r="H289" s="37" t="str">
        <x:v>待確認</x:v>
      </x:c>
      <x:c r="I289" s="37" t="str">
        <x:f>_xlfn.XLOOKUP($C289&amp;"|"&amp;$G289,'李醫師能力要求'!$M$7:$M$59,'李醫師能力要求'!$K$7:$K$59,"待確認",0)</x:f>
        <x:v>待確認</x:v>
      </x:c>
      <x:c r="J289" s="37" t="str">
        <x:v>◎</x:v>
      </x:c>
      <x:c r="K289" s="37" t="str">
        <x:v>Ø</x:v>
      </x:c>
      <x:c r="L289" s="48" t="str">
        <x:f>_xlfn.XLOOKUP($A289&amp;"|"&amp;$G289,'試行能力狀態'!$L$7:$L$258,'試行能力狀態'!$E$7:$E$258,"未評估",0)</x:f>
        <x:v>Ø</x:v>
      </x:c>
      <x:c r="M289" s="48" t="str">
        <x:f>_xlfn.XLOOKUP($A289&amp;"|"&amp;$G289,'試行能力狀態'!$L$7:$L$258,'試行能力狀態'!$F$7:$F$258,"未建立",0)</x:f>
        <x:v>待主管核定</x:v>
      </x:c>
      <x:c r="N289" s="48" t="str">
        <x:f>IF($L289="◎","符合獨立",IF($L289="Ø","符合條件","不符合"))</x:f>
        <x:v>符合條件</x:v>
      </x:c>
      <x:c r="O289" s="48" t="str">
        <x:f>_xlfn.XLOOKUP($A289&amp;"|李侑津醫師",'試行熟悉度'!$K$7:$K$20,'試行熟悉度'!$E$7:$E$20,"未評估",0)</x:f>
        <x:v>可配合但需支援</x:v>
      </x:c>
      <x:c r="P289" s="48" t="str">
        <x:f>_xlfn.XLOOKUP($A289&amp;"|李侑津醫師",'試行熟悉度'!$K$7:$K$20,'試行熟悉度'!$F$7:$F$20,"未建立",0)</x:f>
        <x:v>待主管核定</x:v>
      </x:c>
      <x:c r="Q289" s="39" t="str">
        <x:v>確認後才納入自動判定</x:v>
      </x:c>
    </x:row>
    <x:row r="290">
      <x:c r="A290" s="37" t="str">
        <x:v>1025</x:v>
      </x:c>
      <x:c r="B290" s="37" t="str"/>
      <x:c r="C290" s="37" t="str">
        <x:v>LJT-CROWNPOST</x:v>
      </x:c>
      <x:c r="D290" s="37" t="str">
        <x:v>拆 crown/post</x:v>
      </x:c>
      <x:c r="E290" s="37" t="str">
        <x:v>一般</x:v>
      </x:c>
      <x:c r="F290" s="37" t="str">
        <x:v>一般</x:v>
      </x:c>
      <x:c r="G290" s="37" t="str">
        <x:v>COMMON-XRAY-RECORD</x:v>
      </x:c>
      <x:c r="H290" s="37" t="str">
        <x:v>待確認</x:v>
      </x:c>
      <x:c r="I290" s="37" t="str">
        <x:f>_xlfn.XLOOKUP($C290&amp;"|"&amp;$G290,'李醫師能力要求'!$M$7:$M$59,'李醫師能力要求'!$K$7:$K$59,"待確認",0)</x:f>
        <x:v>待確認</x:v>
      </x:c>
      <x:c r="J290" s="37" t="str">
        <x:v>◎</x:v>
      </x:c>
      <x:c r="K290" s="37" t="str">
        <x:v>Ø</x:v>
      </x:c>
      <x:c r="L290" s="48" t="str">
        <x:f>_xlfn.XLOOKUP($A290&amp;"|"&amp;$G290,'試行能力狀態'!$L$7:$L$258,'試行能力狀態'!$E$7:$E$258,"未評估",0)</x:f>
        <x:v>Ø</x:v>
      </x:c>
      <x:c r="M290" s="48" t="str">
        <x:f>_xlfn.XLOOKUP($A290&amp;"|"&amp;$G290,'試行能力狀態'!$L$7:$L$258,'試行能力狀態'!$F$7:$F$258,"未建立",0)</x:f>
        <x:v>待主管核定</x:v>
      </x:c>
      <x:c r="N290" s="48" t="str">
        <x:f>IF($L290="◎","符合獨立",IF($L290="Ø","符合條件","不符合"))</x:f>
        <x:v>符合條件</x:v>
      </x:c>
      <x:c r="O290" s="48" t="str">
        <x:f>_xlfn.XLOOKUP($A290&amp;"|李侑津醫師",'試行熟悉度'!$K$7:$K$20,'試行熟悉度'!$E$7:$E$20,"未評估",0)</x:f>
        <x:v>可配合但需支援</x:v>
      </x:c>
      <x:c r="P290" s="48" t="str">
        <x:f>_xlfn.XLOOKUP($A290&amp;"|李侑津醫師",'試行熟悉度'!$K$7:$K$20,'試行熟悉度'!$F$7:$F$20,"未建立",0)</x:f>
        <x:v>待主管核定</x:v>
      </x:c>
      <x:c r="Q290" s="39" t="str">
        <x:v>確認後才納入自動判定</x:v>
      </x:c>
    </x:row>
    <x:row r="291">
      <x:c r="A291" s="37" t="str">
        <x:v>1025</x:v>
      </x:c>
      <x:c r="B291" s="37" t="str"/>
      <x:c r="C291" s="37" t="str">
        <x:v>LJT-CROWN</x:v>
      </x:c>
      <x:c r="D291" s="37" t="str">
        <x:v>固定假牙</x:v>
      </x:c>
      <x:c r="E291" s="37" t="str">
        <x:v>一般</x:v>
      </x:c>
      <x:c r="F291" s="37" t="str">
        <x:v>一般</x:v>
      </x:c>
      <x:c r="G291" s="37" t="str">
        <x:v>LJT-PREP-CROWN</x:v>
      </x:c>
      <x:c r="H291" s="37" t="str">
        <x:v>必備</x:v>
      </x:c>
      <x:c r="I291" s="37" t="str">
        <x:f>_xlfn.XLOOKUP($C291&amp;"|"&amp;$G291,'李醫師能力要求'!$M$7:$M$59,'李醫師能力要求'!$K$7:$K$59,"待確認",0)</x:f>
        <x:v>已確認</x:v>
      </x:c>
      <x:c r="J291" s="37" t="str">
        <x:v>◎</x:v>
      </x:c>
      <x:c r="K291" s="37" t="str">
        <x:v>Ø</x:v>
      </x:c>
      <x:c r="L291" s="48" t="str">
        <x:f>_xlfn.XLOOKUP($A291&amp;"|"&amp;$G291,'試行能力狀態'!$L$7:$L$258,'試行能力狀態'!$E$7:$E$258,"未評估",0)</x:f>
        <x:v>Ø</x:v>
      </x:c>
      <x:c r="M291" s="48" t="str">
        <x:f>_xlfn.XLOOKUP($A291&amp;"|"&amp;$G291,'試行能力狀態'!$L$7:$L$258,'試行能力狀態'!$F$7:$F$258,"未建立",0)</x:f>
        <x:v>待主管核定</x:v>
      </x:c>
      <x:c r="N291" s="48" t="str">
        <x:f>IF($L291="◎","符合獨立",IF($L291="Ø","符合條件","不符合"))</x:f>
        <x:v>符合條件</x:v>
      </x:c>
      <x:c r="O291" s="48" t="str">
        <x:f>_xlfn.XLOOKUP($A291&amp;"|李侑津醫師",'試行熟悉度'!$K$7:$K$20,'試行熟悉度'!$E$7:$E$20,"未評估",0)</x:f>
        <x:v>可配合但需支援</x:v>
      </x:c>
      <x:c r="P291" s="48" t="str">
        <x:f>_xlfn.XLOOKUP($A291&amp;"|李侑津醫師",'試行熟悉度'!$K$7:$K$20,'試行熟悉度'!$F$7:$F$20,"未建立",0)</x:f>
        <x:v>待主管核定</x:v>
      </x:c>
      <x:c r="Q291" s="39" t="str">
        <x:v>依一般支援名額</x:v>
      </x:c>
    </x:row>
    <x:row r="292">
      <x:c r="A292" s="37" t="str">
        <x:v>1025</x:v>
      </x:c>
      <x:c r="B292" s="37" t="str"/>
      <x:c r="C292" s="37" t="str">
        <x:v>LJT-CROWN</x:v>
      </x:c>
      <x:c r="D292" s="37" t="str">
        <x:v>固定假牙</x:v>
      </x:c>
      <x:c r="E292" s="37" t="str">
        <x:v>一般</x:v>
      </x:c>
      <x:c r="F292" s="37" t="str">
        <x:v>一般</x:v>
      </x:c>
      <x:c r="G292" s="37" t="str">
        <x:v>COMMON-RECORD</x:v>
      </x:c>
      <x:c r="H292" s="37" t="str">
        <x:v>待確認</x:v>
      </x:c>
      <x:c r="I292" s="37" t="str">
        <x:f>_xlfn.XLOOKUP($C292&amp;"|"&amp;$G292,'李醫師能力要求'!$M$7:$M$59,'李醫師能力要求'!$K$7:$K$59,"待確認",0)</x:f>
        <x:v>待確認</x:v>
      </x:c>
      <x:c r="J292" s="37" t="str">
        <x:v>◎</x:v>
      </x:c>
      <x:c r="K292" s="37" t="str">
        <x:v>Ø</x:v>
      </x:c>
      <x:c r="L292" s="48" t="str">
        <x:f>_xlfn.XLOOKUP($A292&amp;"|"&amp;$G292,'試行能力狀態'!$L$7:$L$258,'試行能力狀態'!$E$7:$E$258,"未評估",0)</x:f>
        <x:v>Ø</x:v>
      </x:c>
      <x:c r="M292" s="48" t="str">
        <x:f>_xlfn.XLOOKUP($A292&amp;"|"&amp;$G292,'試行能力狀態'!$L$7:$L$258,'試行能力狀態'!$F$7:$F$258,"未建立",0)</x:f>
        <x:v>待主管核定</x:v>
      </x:c>
      <x:c r="N292" s="48" t="str">
        <x:f>IF($L292="◎","符合獨立",IF($L292="Ø","符合條件","不符合"))</x:f>
        <x:v>符合條件</x:v>
      </x:c>
      <x:c r="O292" s="48" t="str">
        <x:f>_xlfn.XLOOKUP($A292&amp;"|李侑津醫師",'試行熟悉度'!$K$7:$K$20,'試行熟悉度'!$E$7:$E$20,"未評估",0)</x:f>
        <x:v>可配合但需支援</x:v>
      </x:c>
      <x:c r="P292" s="48" t="str">
        <x:f>_xlfn.XLOOKUP($A292&amp;"|李侑津醫師",'試行熟悉度'!$K$7:$K$20,'試行熟悉度'!$F$7:$F$20,"未建立",0)</x:f>
        <x:v>待主管核定</x:v>
      </x:c>
      <x:c r="Q292" s="39" t="str">
        <x:v>確認後才納入自動判定</x:v>
      </x:c>
    </x:row>
    <x:row r="293">
      <x:c r="A293" s="37" t="str">
        <x:v>1025</x:v>
      </x:c>
      <x:c r="B293" s="37" t="str"/>
      <x:c r="C293" s="37" t="str">
        <x:v>LJT-CROWN</x:v>
      </x:c>
      <x:c r="D293" s="37" t="str">
        <x:v>固定假牙</x:v>
      </x:c>
      <x:c r="E293" s="37" t="str">
        <x:v>一般</x:v>
      </x:c>
      <x:c r="F293" s="37" t="str">
        <x:v>一般</x:v>
      </x:c>
      <x:c r="G293" s="37" t="str">
        <x:v>COMMON-INSURANCE</x:v>
      </x:c>
      <x:c r="H293" s="37" t="str">
        <x:v>待確認</x:v>
      </x:c>
      <x:c r="I293" s="37" t="str">
        <x:f>_xlfn.XLOOKUP($C293&amp;"|"&amp;$G293,'李醫師能力要求'!$M$7:$M$59,'李醫師能力要求'!$K$7:$K$59,"待確認",0)</x:f>
        <x:v>待確認</x:v>
      </x:c>
      <x:c r="J293" s="37" t="str">
        <x:v>◎</x:v>
      </x:c>
      <x:c r="K293" s="37" t="str">
        <x:v>Ø</x:v>
      </x:c>
      <x:c r="L293" s="48" t="str">
        <x:f>_xlfn.XLOOKUP($A293&amp;"|"&amp;$G293,'試行能力狀態'!$L$7:$L$258,'試行能力狀態'!$E$7:$E$258,"未評估",0)</x:f>
        <x:v>Ø</x:v>
      </x:c>
      <x:c r="M293" s="48" t="str">
        <x:f>_xlfn.XLOOKUP($A293&amp;"|"&amp;$G293,'試行能力狀態'!$L$7:$L$258,'試行能力狀態'!$F$7:$F$258,"未建立",0)</x:f>
        <x:v>待主管核定</x:v>
      </x:c>
      <x:c r="N293" s="48" t="str">
        <x:f>IF($L293="◎","符合獨立",IF($L293="Ø","符合條件","不符合"))</x:f>
        <x:v>符合條件</x:v>
      </x:c>
      <x:c r="O293" s="48" t="str">
        <x:f>_xlfn.XLOOKUP($A293&amp;"|李侑津醫師",'試行熟悉度'!$K$7:$K$20,'試行熟悉度'!$E$7:$E$20,"未評估",0)</x:f>
        <x:v>可配合但需支援</x:v>
      </x:c>
      <x:c r="P293" s="48" t="str">
        <x:f>_xlfn.XLOOKUP($A293&amp;"|李侑津醫師",'試行熟悉度'!$K$7:$K$20,'試行熟悉度'!$F$7:$F$20,"未建立",0)</x:f>
        <x:v>待主管核定</x:v>
      </x:c>
      <x:c r="Q293" s="39" t="str">
        <x:v>確認後才納入自動判定</x:v>
      </x:c>
    </x:row>
    <x:row r="294">
      <x:c r="A294" s="37" t="str">
        <x:v>1025</x:v>
      </x:c>
      <x:c r="B294" s="37" t="str"/>
      <x:c r="C294" s="37" t="str">
        <x:v>LJT-CROWN</x:v>
      </x:c>
      <x:c r="D294" s="37" t="str">
        <x:v>固定假牙</x:v>
      </x:c>
      <x:c r="E294" s="37" t="str">
        <x:v>一般</x:v>
      </x:c>
      <x:c r="F294" s="37" t="str">
        <x:v>一般</x:v>
      </x:c>
      <x:c r="G294" s="37" t="str">
        <x:v>COMMON-XRAY-RECORD</x:v>
      </x:c>
      <x:c r="H294" s="37" t="str">
        <x:v>待確認</x:v>
      </x:c>
      <x:c r="I294" s="37" t="str">
        <x:f>_xlfn.XLOOKUP($C294&amp;"|"&amp;$G294,'李醫師能力要求'!$M$7:$M$59,'李醫師能力要求'!$K$7:$K$59,"待確認",0)</x:f>
        <x:v>待確認</x:v>
      </x:c>
      <x:c r="J294" s="37" t="str">
        <x:v>◎</x:v>
      </x:c>
      <x:c r="K294" s="37" t="str">
        <x:v>Ø</x:v>
      </x:c>
      <x:c r="L294" s="48" t="str">
        <x:f>_xlfn.XLOOKUP($A294&amp;"|"&amp;$G294,'試行能力狀態'!$L$7:$L$258,'試行能力狀態'!$E$7:$E$258,"未評估",0)</x:f>
        <x:v>Ø</x:v>
      </x:c>
      <x:c r="M294" s="48" t="str">
        <x:f>_xlfn.XLOOKUP($A294&amp;"|"&amp;$G294,'試行能力狀態'!$L$7:$L$258,'試行能力狀態'!$F$7:$F$258,"未建立",0)</x:f>
        <x:v>待主管核定</x:v>
      </x:c>
      <x:c r="N294" s="48" t="str">
        <x:f>IF($L294="◎","符合獨立",IF($L294="Ø","符合條件","不符合"))</x:f>
        <x:v>符合條件</x:v>
      </x:c>
      <x:c r="O294" s="48" t="str">
        <x:f>_xlfn.XLOOKUP($A294&amp;"|李侑津醫師",'試行熟悉度'!$K$7:$K$20,'試行熟悉度'!$E$7:$E$20,"未評估",0)</x:f>
        <x:v>可配合但需支援</x:v>
      </x:c>
      <x:c r="P294" s="48" t="str">
        <x:f>_xlfn.XLOOKUP($A294&amp;"|李侑津醫師",'試行熟悉度'!$K$7:$K$20,'試行熟悉度'!$F$7:$F$20,"未建立",0)</x:f>
        <x:v>待主管核定</x:v>
      </x:c>
      <x:c r="Q294" s="39" t="str">
        <x:v>確認後才納入自動判定</x:v>
      </x:c>
    </x:row>
    <x:row r="295">
      <x:c r="A295" s="37" t="str">
        <x:v>1025</x:v>
      </x:c>
      <x:c r="B295" s="37" t="str"/>
      <x:c r="C295" s="37" t="str">
        <x:v>LJT-RPD</x:v>
      </x:c>
      <x:c r="D295" s="37" t="str">
        <x:v>RPD</x:v>
      </x:c>
      <x:c r="E295" s="37" t="str">
        <x:v>一般步驟</x:v>
      </x:c>
      <x:c r="F295" s="37" t="str">
        <x:v>一般</x:v>
      </x:c>
      <x:c r="G295" s="37" t="str">
        <x:v>LJT-PREP-RPD</x:v>
      </x:c>
      <x:c r="H295" s="37" t="str">
        <x:v>必備</x:v>
      </x:c>
      <x:c r="I295" s="37" t="str">
        <x:f>_xlfn.XLOOKUP($C295&amp;"|"&amp;$G295,'李醫師能力要求'!$M$7:$M$59,'李醫師能力要求'!$K$7:$K$59,"待確認",0)</x:f>
        <x:v>已確認</x:v>
      </x:c>
      <x:c r="J295" s="37" t="str">
        <x:v>◎</x:v>
      </x:c>
      <x:c r="K295" s="37" t="str">
        <x:v>Ø</x:v>
      </x:c>
      <x:c r="L295" s="48" t="str">
        <x:f>_xlfn.XLOOKUP($A295&amp;"|"&amp;$G295,'試行能力狀態'!$L$7:$L$258,'試行能力狀態'!$E$7:$E$258,"未評估",0)</x:f>
        <x:v>Ø</x:v>
      </x:c>
      <x:c r="M295" s="48" t="str">
        <x:f>_xlfn.XLOOKUP($A295&amp;"|"&amp;$G295,'試行能力狀態'!$L$7:$L$258,'試行能力狀態'!$F$7:$F$258,"未建立",0)</x:f>
        <x:v>待主管核定</x:v>
      </x:c>
      <x:c r="N295" s="48" t="str">
        <x:f>IF($L295="◎","符合獨立",IF($L295="Ø","符合條件","不符合"))</x:f>
        <x:v>符合條件</x:v>
      </x:c>
      <x:c r="O295" s="48" t="str">
        <x:f>_xlfn.XLOOKUP($A295&amp;"|李侑津醫師",'試行熟悉度'!$K$7:$K$20,'試行熟悉度'!$E$7:$E$20,"未評估",0)</x:f>
        <x:v>可配合但需支援</x:v>
      </x:c>
      <x:c r="P295" s="48" t="str">
        <x:f>_xlfn.XLOOKUP($A295&amp;"|李侑津醫師",'試行熟悉度'!$K$7:$K$20,'試行熟悉度'!$F$7:$F$20,"未建立",0)</x:f>
        <x:v>待主管核定</x:v>
      </x:c>
      <x:c r="Q295" s="39" t="str">
        <x:v>依一般支援名額</x:v>
      </x:c>
    </x:row>
    <x:row r="296">
      <x:c r="A296" s="37" t="str">
        <x:v>1025</x:v>
      </x:c>
      <x:c r="B296" s="37" t="str"/>
      <x:c r="C296" s="37" t="str">
        <x:v>LJT-RPD</x:v>
      </x:c>
      <x:c r="D296" s="37" t="str">
        <x:v>RPD</x:v>
      </x:c>
      <x:c r="E296" s="37" t="str">
        <x:v>一般步驟</x:v>
      </x:c>
      <x:c r="F296" s="37" t="str">
        <x:v>一般</x:v>
      </x:c>
      <x:c r="G296" s="37" t="str">
        <x:v>COMMON-RECORD</x:v>
      </x:c>
      <x:c r="H296" s="37" t="str">
        <x:v>待確認</x:v>
      </x:c>
      <x:c r="I296" s="37" t="str">
        <x:f>_xlfn.XLOOKUP($C296&amp;"|"&amp;$G296,'李醫師能力要求'!$M$7:$M$59,'李醫師能力要求'!$K$7:$K$59,"待確認",0)</x:f>
        <x:v>待確認</x:v>
      </x:c>
      <x:c r="J296" s="37" t="str">
        <x:v>◎</x:v>
      </x:c>
      <x:c r="K296" s="37" t="str">
        <x:v>Ø</x:v>
      </x:c>
      <x:c r="L296" s="48" t="str">
        <x:f>_xlfn.XLOOKUP($A296&amp;"|"&amp;$G296,'試行能力狀態'!$L$7:$L$258,'試行能力狀態'!$E$7:$E$258,"未評估",0)</x:f>
        <x:v>Ø</x:v>
      </x:c>
      <x:c r="M296" s="48" t="str">
        <x:f>_xlfn.XLOOKUP($A296&amp;"|"&amp;$G296,'試行能力狀態'!$L$7:$L$258,'試行能力狀態'!$F$7:$F$258,"未建立",0)</x:f>
        <x:v>待主管核定</x:v>
      </x:c>
      <x:c r="N296" s="48" t="str">
        <x:f>IF($L296="◎","符合獨立",IF($L296="Ø","符合條件","不符合"))</x:f>
        <x:v>符合條件</x:v>
      </x:c>
      <x:c r="O296" s="48" t="str">
        <x:f>_xlfn.XLOOKUP($A296&amp;"|李侑津醫師",'試行熟悉度'!$K$7:$K$20,'試行熟悉度'!$E$7:$E$20,"未評估",0)</x:f>
        <x:v>可配合但需支援</x:v>
      </x:c>
      <x:c r="P296" s="48" t="str">
        <x:f>_xlfn.XLOOKUP($A296&amp;"|李侑津醫師",'試行熟悉度'!$K$7:$K$20,'試行熟悉度'!$F$7:$F$20,"未建立",0)</x:f>
        <x:v>待主管核定</x:v>
      </x:c>
      <x:c r="Q296" s="39" t="str">
        <x:v>確認後才納入自動判定</x:v>
      </x:c>
    </x:row>
    <x:row r="297">
      <x:c r="A297" s="37" t="str">
        <x:v>1025</x:v>
      </x:c>
      <x:c r="B297" s="37" t="str"/>
      <x:c r="C297" s="37" t="str">
        <x:v>LJT-RPD</x:v>
      </x:c>
      <x:c r="D297" s="37" t="str">
        <x:v>RPD</x:v>
      </x:c>
      <x:c r="E297" s="37" t="str">
        <x:v>一般步驟</x:v>
      </x:c>
      <x:c r="F297" s="37" t="str">
        <x:v>一般</x:v>
      </x:c>
      <x:c r="G297" s="37" t="str">
        <x:v>COMMON-INSURANCE</x:v>
      </x:c>
      <x:c r="H297" s="37" t="str">
        <x:v>待確認</x:v>
      </x:c>
      <x:c r="I297" s="37" t="str">
        <x:f>_xlfn.XLOOKUP($C297&amp;"|"&amp;$G297,'李醫師能力要求'!$M$7:$M$59,'李醫師能力要求'!$K$7:$K$59,"待確認",0)</x:f>
        <x:v>待確認</x:v>
      </x:c>
      <x:c r="J297" s="37" t="str">
        <x:v>◎</x:v>
      </x:c>
      <x:c r="K297" s="37" t="str">
        <x:v>Ø</x:v>
      </x:c>
      <x:c r="L297" s="48" t="str">
        <x:f>_xlfn.XLOOKUP($A297&amp;"|"&amp;$G297,'試行能力狀態'!$L$7:$L$258,'試行能力狀態'!$E$7:$E$258,"未評估",0)</x:f>
        <x:v>Ø</x:v>
      </x:c>
      <x:c r="M297" s="48" t="str">
        <x:f>_xlfn.XLOOKUP($A297&amp;"|"&amp;$G297,'試行能力狀態'!$L$7:$L$258,'試行能力狀態'!$F$7:$F$258,"未建立",0)</x:f>
        <x:v>待主管核定</x:v>
      </x:c>
      <x:c r="N297" s="48" t="str">
        <x:f>IF($L297="◎","符合獨立",IF($L297="Ø","符合條件","不符合"))</x:f>
        <x:v>符合條件</x:v>
      </x:c>
      <x:c r="O297" s="48" t="str">
        <x:f>_xlfn.XLOOKUP($A297&amp;"|李侑津醫師",'試行熟悉度'!$K$7:$K$20,'試行熟悉度'!$E$7:$E$20,"未評估",0)</x:f>
        <x:v>可配合但需支援</x:v>
      </x:c>
      <x:c r="P297" s="48" t="str">
        <x:f>_xlfn.XLOOKUP($A297&amp;"|李侑津醫師",'試行熟悉度'!$K$7:$K$20,'試行熟悉度'!$F$7:$F$20,"未建立",0)</x:f>
        <x:v>待主管核定</x:v>
      </x:c>
      <x:c r="Q297" s="39" t="str">
        <x:v>確認後才納入自動判定</x:v>
      </x:c>
    </x:row>
    <x:row r="298">
      <x:c r="A298" s="37" t="str">
        <x:v>1025</x:v>
      </x:c>
      <x:c r="B298" s="37" t="str"/>
      <x:c r="C298" s="37" t="str">
        <x:v>LJT-RPD</x:v>
      </x:c>
      <x:c r="D298" s="37" t="str">
        <x:v>RPD</x:v>
      </x:c>
      <x:c r="E298" s="37" t="str">
        <x:v>一般步驟</x:v>
      </x:c>
      <x:c r="F298" s="37" t="str">
        <x:v>一般</x:v>
      </x:c>
      <x:c r="G298" s="37" t="str">
        <x:v>COMMON-XRAY-RECORD</x:v>
      </x:c>
      <x:c r="H298" s="37" t="str">
        <x:v>待確認</x:v>
      </x:c>
      <x:c r="I298" s="37" t="str">
        <x:f>_xlfn.XLOOKUP($C298&amp;"|"&amp;$G298,'李醫師能力要求'!$M$7:$M$59,'李醫師能力要求'!$K$7:$K$59,"待確認",0)</x:f>
        <x:v>待確認</x:v>
      </x:c>
      <x:c r="J298" s="37" t="str">
        <x:v>◎</x:v>
      </x:c>
      <x:c r="K298" s="37" t="str">
        <x:v>Ø</x:v>
      </x:c>
      <x:c r="L298" s="48" t="str">
        <x:f>_xlfn.XLOOKUP($A298&amp;"|"&amp;$G298,'試行能力狀態'!$L$7:$L$258,'試行能力狀態'!$E$7:$E$258,"未評估",0)</x:f>
        <x:v>Ø</x:v>
      </x:c>
      <x:c r="M298" s="48" t="str">
        <x:f>_xlfn.XLOOKUP($A298&amp;"|"&amp;$G298,'試行能力狀態'!$L$7:$L$258,'試行能力狀態'!$F$7:$F$258,"未建立",0)</x:f>
        <x:v>待主管核定</x:v>
      </x:c>
      <x:c r="N298" s="48" t="str">
        <x:f>IF($L298="◎","符合獨立",IF($L298="Ø","符合條件","不符合"))</x:f>
        <x:v>符合條件</x:v>
      </x:c>
      <x:c r="O298" s="48" t="str">
        <x:f>_xlfn.XLOOKUP($A298&amp;"|李侑津醫師",'試行熟悉度'!$K$7:$K$20,'試行熟悉度'!$E$7:$E$20,"未評估",0)</x:f>
        <x:v>可配合但需支援</x:v>
      </x:c>
      <x:c r="P298" s="48" t="str">
        <x:f>_xlfn.XLOOKUP($A298&amp;"|李侑津醫師",'試行熟悉度'!$K$7:$K$20,'試行熟悉度'!$F$7:$F$20,"未建立",0)</x:f>
        <x:v>待主管核定</x:v>
      </x:c>
      <x:c r="Q298" s="39" t="str">
        <x:v>確認後才納入自動判定</x:v>
      </x:c>
    </x:row>
    <x:row r="299">
      <x:c r="A299" s="37" t="str">
        <x:v>1025</x:v>
      </x:c>
      <x:c r="B299" s="37" t="str"/>
      <x:c r="C299" s="37" t="str">
        <x:v>LJT-RPD-FINAL</x:v>
      </x:c>
      <x:c r="D299" s="37" t="str">
        <x:v>RPD</x:v>
      </x:c>
      <x:c r="E299" s="37" t="str">
        <x:v>印最終模</x:v>
      </x:c>
      <x:c r="F299" s="37" t="str">
        <x:v>特殊階段</x:v>
      </x:c>
      <x:c r="G299" s="37" t="str">
        <x:v>LJT-PREP-RPD</x:v>
      </x:c>
      <x:c r="H299" s="37" t="str">
        <x:v>必備</x:v>
      </x:c>
      <x:c r="I299" s="37" t="str">
        <x:f>_xlfn.XLOOKUP($C299&amp;"|"&amp;$G299,'李醫師能力要求'!$M$7:$M$59,'李醫師能力要求'!$K$7:$K$59,"待確認",0)</x:f>
        <x:v>已確認</x:v>
      </x:c>
      <x:c r="J299" s="37" t="str">
        <x:v>◎</x:v>
      </x:c>
      <x:c r="K299" s="37" t="str">
        <x:v>Ø</x:v>
      </x:c>
      <x:c r="L299" s="48" t="str">
        <x:f>_xlfn.XLOOKUP($A299&amp;"|"&amp;$G299,'試行能力狀態'!$L$7:$L$258,'試行能力狀態'!$E$7:$E$258,"未評估",0)</x:f>
        <x:v>Ø</x:v>
      </x:c>
      <x:c r="M299" s="48" t="str">
        <x:f>_xlfn.XLOOKUP($A299&amp;"|"&amp;$G299,'試行能力狀態'!$L$7:$L$258,'試行能力狀態'!$F$7:$F$258,"未建立",0)</x:f>
        <x:v>待主管核定</x:v>
      </x:c>
      <x:c r="N299" s="48" t="str">
        <x:f>IF($L299="◎","符合獨立",IF($L299="Ø","符合條件","不符合"))</x:f>
        <x:v>符合條件</x:v>
      </x:c>
      <x:c r="O299" s="48" t="str">
        <x:f>_xlfn.XLOOKUP($A299&amp;"|李侑津醫師",'試行熟悉度'!$K$7:$K$20,'試行熟悉度'!$E$7:$E$20,"未評估",0)</x:f>
        <x:v>可配合但需支援</x:v>
      </x:c>
      <x:c r="P299" s="48" t="str">
        <x:f>_xlfn.XLOOKUP($A299&amp;"|李侑津醫師",'試行熟悉度'!$K$7:$K$20,'試行熟悉度'!$F$7:$F$20,"未建立",0)</x:f>
        <x:v>待主管核定</x:v>
      </x:c>
      <x:c r="Q299" s="39" t="str">
        <x:v>依一般支援名額</x:v>
      </x:c>
    </x:row>
    <x:row r="300">
      <x:c r="A300" s="37" t="str">
        <x:v>1025</x:v>
      </x:c>
      <x:c r="B300" s="37" t="str"/>
      <x:c r="C300" s="37" t="str">
        <x:v>LJT-RPD-FINAL</x:v>
      </x:c>
      <x:c r="D300" s="37" t="str">
        <x:v>RPD</x:v>
      </x:c>
      <x:c r="E300" s="37" t="str">
        <x:v>印最終模</x:v>
      </x:c>
      <x:c r="F300" s="37" t="str">
        <x:v>特殊階段</x:v>
      </x:c>
      <x:c r="G300" s="37" t="str">
        <x:v>COMMON-RECORD</x:v>
      </x:c>
      <x:c r="H300" s="37" t="str">
        <x:v>待確認</x:v>
      </x:c>
      <x:c r="I300" s="37" t="str">
        <x:f>_xlfn.XLOOKUP($C300&amp;"|"&amp;$G300,'李醫師能力要求'!$M$7:$M$59,'李醫師能力要求'!$K$7:$K$59,"待確認",0)</x:f>
        <x:v>待確認</x:v>
      </x:c>
      <x:c r="J300" s="37" t="str">
        <x:v>◎</x:v>
      </x:c>
      <x:c r="K300" s="37" t="str">
        <x:v>Ø</x:v>
      </x:c>
      <x:c r="L300" s="48" t="str">
        <x:f>_xlfn.XLOOKUP($A300&amp;"|"&amp;$G300,'試行能力狀態'!$L$7:$L$258,'試行能力狀態'!$E$7:$E$258,"未評估",0)</x:f>
        <x:v>Ø</x:v>
      </x:c>
      <x:c r="M300" s="48" t="str">
        <x:f>_xlfn.XLOOKUP($A300&amp;"|"&amp;$G300,'試行能力狀態'!$L$7:$L$258,'試行能力狀態'!$F$7:$F$258,"未建立",0)</x:f>
        <x:v>待主管核定</x:v>
      </x:c>
      <x:c r="N300" s="48" t="str">
        <x:f>IF($L300="◎","符合獨立",IF($L300="Ø","符合條件","不符合"))</x:f>
        <x:v>符合條件</x:v>
      </x:c>
      <x:c r="O300" s="48" t="str">
        <x:f>_xlfn.XLOOKUP($A300&amp;"|李侑津醫師",'試行熟悉度'!$K$7:$K$20,'試行熟悉度'!$E$7:$E$20,"未評估",0)</x:f>
        <x:v>可配合但需支援</x:v>
      </x:c>
      <x:c r="P300" s="48" t="str">
        <x:f>_xlfn.XLOOKUP($A300&amp;"|李侑津醫師",'試行熟悉度'!$K$7:$K$20,'試行熟悉度'!$F$7:$F$20,"未建立",0)</x:f>
        <x:v>待主管核定</x:v>
      </x:c>
      <x:c r="Q300" s="39" t="str">
        <x:v>確認後才納入自動判定</x:v>
      </x:c>
    </x:row>
    <x:row r="301">
      <x:c r="A301" s="37" t="str">
        <x:v>1025</x:v>
      </x:c>
      <x:c r="B301" s="37" t="str"/>
      <x:c r="C301" s="37" t="str">
        <x:v>LJT-RPD-FINAL</x:v>
      </x:c>
      <x:c r="D301" s="37" t="str">
        <x:v>RPD</x:v>
      </x:c>
      <x:c r="E301" s="37" t="str">
        <x:v>印最終模</x:v>
      </x:c>
      <x:c r="F301" s="37" t="str">
        <x:v>特殊階段</x:v>
      </x:c>
      <x:c r="G301" s="37" t="str">
        <x:v>COMMON-INSURANCE</x:v>
      </x:c>
      <x:c r="H301" s="37" t="str">
        <x:v>待確認</x:v>
      </x:c>
      <x:c r="I301" s="37" t="str">
        <x:f>_xlfn.XLOOKUP($C301&amp;"|"&amp;$G301,'李醫師能力要求'!$M$7:$M$59,'李醫師能力要求'!$K$7:$K$59,"待確認",0)</x:f>
        <x:v>待確認</x:v>
      </x:c>
      <x:c r="J301" s="37" t="str">
        <x:v>◎</x:v>
      </x:c>
      <x:c r="K301" s="37" t="str">
        <x:v>Ø</x:v>
      </x:c>
      <x:c r="L301" s="48" t="str">
        <x:f>_xlfn.XLOOKUP($A301&amp;"|"&amp;$G301,'試行能力狀態'!$L$7:$L$258,'試行能力狀態'!$E$7:$E$258,"未評估",0)</x:f>
        <x:v>Ø</x:v>
      </x:c>
      <x:c r="M301" s="48" t="str">
        <x:f>_xlfn.XLOOKUP($A301&amp;"|"&amp;$G301,'試行能力狀態'!$L$7:$L$258,'試行能力狀態'!$F$7:$F$258,"未建立",0)</x:f>
        <x:v>待主管核定</x:v>
      </x:c>
      <x:c r="N301" s="48" t="str">
        <x:f>IF($L301="◎","符合獨立",IF($L301="Ø","符合條件","不符合"))</x:f>
        <x:v>符合條件</x:v>
      </x:c>
      <x:c r="O301" s="48" t="str">
        <x:f>_xlfn.XLOOKUP($A301&amp;"|李侑津醫師",'試行熟悉度'!$K$7:$K$20,'試行熟悉度'!$E$7:$E$20,"未評估",0)</x:f>
        <x:v>可配合但需支援</x:v>
      </x:c>
      <x:c r="P301" s="48" t="str">
        <x:f>_xlfn.XLOOKUP($A301&amp;"|李侑津醫師",'試行熟悉度'!$K$7:$K$20,'試行熟悉度'!$F$7:$F$20,"未建立",0)</x:f>
        <x:v>待主管核定</x:v>
      </x:c>
      <x:c r="Q301" s="39" t="str">
        <x:v>確認後才納入自動判定</x:v>
      </x:c>
    </x:row>
    <x:row r="302">
      <x:c r="A302" s="37" t="str">
        <x:v>1025</x:v>
      </x:c>
      <x:c r="B302" s="37" t="str"/>
      <x:c r="C302" s="37" t="str">
        <x:v>LJT-RPD-FINAL</x:v>
      </x:c>
      <x:c r="D302" s="37" t="str">
        <x:v>RPD</x:v>
      </x:c>
      <x:c r="E302" s="37" t="str">
        <x:v>印最終模</x:v>
      </x:c>
      <x:c r="F302" s="37" t="str">
        <x:v>特殊階段</x:v>
      </x:c>
      <x:c r="G302" s="37" t="str">
        <x:v>COMMON-XRAY-RECORD</x:v>
      </x:c>
      <x:c r="H302" s="37" t="str">
        <x:v>待確認</x:v>
      </x:c>
      <x:c r="I302" s="37" t="str">
        <x:f>_xlfn.XLOOKUP($C302&amp;"|"&amp;$G302,'李醫師能力要求'!$M$7:$M$59,'李醫師能力要求'!$K$7:$K$59,"待確認",0)</x:f>
        <x:v>待確認</x:v>
      </x:c>
      <x:c r="J302" s="37" t="str">
        <x:v>◎</x:v>
      </x:c>
      <x:c r="K302" s="37" t="str">
        <x:v>Ø</x:v>
      </x:c>
      <x:c r="L302" s="48" t="str">
        <x:f>_xlfn.XLOOKUP($A302&amp;"|"&amp;$G302,'試行能力狀態'!$L$7:$L$258,'試行能力狀態'!$E$7:$E$258,"未評估",0)</x:f>
        <x:v>Ø</x:v>
      </x:c>
      <x:c r="M302" s="48" t="str">
        <x:f>_xlfn.XLOOKUP($A302&amp;"|"&amp;$G302,'試行能力狀態'!$L$7:$L$258,'試行能力狀態'!$F$7:$F$258,"未建立",0)</x:f>
        <x:v>待主管核定</x:v>
      </x:c>
      <x:c r="N302" s="48" t="str">
        <x:f>IF($L302="◎","符合獨立",IF($L302="Ø","符合條件","不符合"))</x:f>
        <x:v>符合條件</x:v>
      </x:c>
      <x:c r="O302" s="48" t="str">
        <x:f>_xlfn.XLOOKUP($A302&amp;"|李侑津醫師",'試行熟悉度'!$K$7:$K$20,'試行熟悉度'!$E$7:$E$20,"未評估",0)</x:f>
        <x:v>可配合但需支援</x:v>
      </x:c>
      <x:c r="P302" s="48" t="str">
        <x:f>_xlfn.XLOOKUP($A302&amp;"|李侑津醫師",'試行熟悉度'!$K$7:$K$20,'試行熟悉度'!$F$7:$F$20,"未建立",0)</x:f>
        <x:v>待主管核定</x:v>
      </x:c>
      <x:c r="Q302" s="39" t="str">
        <x:v>確認後才納入自動判定</x:v>
      </x:c>
    </x:row>
    <x:row r="303">
      <x:c r="A303" s="37" t="str">
        <x:v>1025</x:v>
      </x:c>
      <x:c r="B303" s="37" t="str"/>
      <x:c r="C303" s="37" t="str">
        <x:v>LJT-AIRPOLISH</x:v>
      </x:c>
      <x:c r="D303" s="37" t="str">
        <x:v>噴砂美白</x:v>
      </x:c>
      <x:c r="E303" s="37" t="str">
        <x:v>一般</x:v>
      </x:c>
      <x:c r="F303" s="37" t="str">
        <x:v>一般</x:v>
      </x:c>
      <x:c r="G303" s="37" t="str">
        <x:v>LJT-PREP-AIRPOLISH</x:v>
      </x:c>
      <x:c r="H303" s="37" t="str">
        <x:v>必備</x:v>
      </x:c>
      <x:c r="I303" s="37" t="str">
        <x:f>_xlfn.XLOOKUP($C303&amp;"|"&amp;$G303,'李醫師能力要求'!$M$7:$M$59,'李醫師能力要求'!$K$7:$K$59,"待確認",0)</x:f>
        <x:v>已確認</x:v>
      </x:c>
      <x:c r="J303" s="37" t="str">
        <x:v>◎</x:v>
      </x:c>
      <x:c r="K303" s="37" t="str">
        <x:v>Ø</x:v>
      </x:c>
      <x:c r="L303" s="48" t="str">
        <x:f>_xlfn.XLOOKUP($A303&amp;"|"&amp;$G303,'試行能力狀態'!$L$7:$L$258,'試行能力狀態'!$E$7:$E$258,"未評估",0)</x:f>
        <x:v>※</x:v>
      </x:c>
      <x:c r="M303" s="48" t="str">
        <x:f>_xlfn.XLOOKUP($A303&amp;"|"&amp;$G303,'試行能力狀態'!$L$7:$L$258,'試行能力狀態'!$F$7:$F$258,"未建立",0)</x:f>
        <x:v>待主管核定</x:v>
      </x:c>
      <x:c r="N303" s="48" t="str">
        <x:f>IF($L303="◎","符合獨立",IF($L303="Ø","符合條件","不符合"))</x:f>
        <x:v>不符合</x:v>
      </x:c>
      <x:c r="O303" s="48" t="str">
        <x:f>_xlfn.XLOOKUP($A303&amp;"|李侑津醫師",'試行熟悉度'!$K$7:$K$20,'試行熟悉度'!$E$7:$E$20,"未評估",0)</x:f>
        <x:v>可配合但需支援</x:v>
      </x:c>
      <x:c r="P303" s="48" t="str">
        <x:f>_xlfn.XLOOKUP($A303&amp;"|李侑津醫師",'試行熟悉度'!$K$7:$K$20,'試行熟悉度'!$F$7:$F$20,"未建立",0)</x:f>
        <x:v>待主管核定</x:v>
      </x:c>
      <x:c r="Q303" s="39" t="str">
        <x:v>依一般支援名額</x:v>
      </x:c>
    </x:row>
    <x:row r="304">
      <x:c r="A304" s="37" t="str">
        <x:v>1025</x:v>
      </x:c>
      <x:c r="B304" s="37" t="str"/>
      <x:c r="C304" s="37" t="str">
        <x:v>LJT-AIRPOLISH</x:v>
      </x:c>
      <x:c r="D304" s="37" t="str">
        <x:v>噴砂美白</x:v>
      </x:c>
      <x:c r="E304" s="37" t="str">
        <x:v>一般</x:v>
      </x:c>
      <x:c r="F304" s="37" t="str">
        <x:v>一般</x:v>
      </x:c>
      <x:c r="G304" s="37" t="str">
        <x:v>COMMON-RECORD</x:v>
      </x:c>
      <x:c r="H304" s="37" t="str">
        <x:v>待確認</x:v>
      </x:c>
      <x:c r="I304" s="37" t="str">
        <x:f>_xlfn.XLOOKUP($C304&amp;"|"&amp;$G304,'李醫師能力要求'!$M$7:$M$59,'李醫師能力要求'!$K$7:$K$59,"待確認",0)</x:f>
        <x:v>待確認</x:v>
      </x:c>
      <x:c r="J304" s="37" t="str">
        <x:v>◎</x:v>
      </x:c>
      <x:c r="K304" s="37" t="str">
        <x:v>Ø</x:v>
      </x:c>
      <x:c r="L304" s="48" t="str">
        <x:f>_xlfn.XLOOKUP($A304&amp;"|"&amp;$G304,'試行能力狀態'!$L$7:$L$258,'試行能力狀態'!$E$7:$E$258,"未評估",0)</x:f>
        <x:v>Ø</x:v>
      </x:c>
      <x:c r="M304" s="48" t="str">
        <x:f>_xlfn.XLOOKUP($A304&amp;"|"&amp;$G304,'試行能力狀態'!$L$7:$L$258,'試行能力狀態'!$F$7:$F$258,"未建立",0)</x:f>
        <x:v>待主管核定</x:v>
      </x:c>
      <x:c r="N304" s="48" t="str">
        <x:f>IF($L304="◎","符合獨立",IF($L304="Ø","符合條件","不符合"))</x:f>
        <x:v>符合條件</x:v>
      </x:c>
      <x:c r="O304" s="48" t="str">
        <x:f>_xlfn.XLOOKUP($A304&amp;"|李侑津醫師",'試行熟悉度'!$K$7:$K$20,'試行熟悉度'!$E$7:$E$20,"未評估",0)</x:f>
        <x:v>可配合但需支援</x:v>
      </x:c>
      <x:c r="P304" s="48" t="str">
        <x:f>_xlfn.XLOOKUP($A304&amp;"|李侑津醫師",'試行熟悉度'!$K$7:$K$20,'試行熟悉度'!$F$7:$F$20,"未建立",0)</x:f>
        <x:v>待主管核定</x:v>
      </x:c>
      <x:c r="Q304" s="39" t="str">
        <x:v>確認後才納入自動判定</x:v>
      </x:c>
    </x:row>
    <x:row r="305">
      <x:c r="A305" s="37" t="str">
        <x:v>1025</x:v>
      </x:c>
      <x:c r="B305" s="37" t="str"/>
      <x:c r="C305" s="37" t="str">
        <x:v>LJT-AIRPOLISH</x:v>
      </x:c>
      <x:c r="D305" s="37" t="str">
        <x:v>噴砂美白</x:v>
      </x:c>
      <x:c r="E305" s="37" t="str">
        <x:v>一般</x:v>
      </x:c>
      <x:c r="F305" s="37" t="str">
        <x:v>一般</x:v>
      </x:c>
      <x:c r="G305" s="37" t="str">
        <x:v>COMMON-INSURANCE</x:v>
      </x:c>
      <x:c r="H305" s="37" t="str">
        <x:v>待確認</x:v>
      </x:c>
      <x:c r="I305" s="37" t="str">
        <x:f>_xlfn.XLOOKUP($C305&amp;"|"&amp;$G305,'李醫師能力要求'!$M$7:$M$59,'李醫師能力要求'!$K$7:$K$59,"待確認",0)</x:f>
        <x:v>待確認</x:v>
      </x:c>
      <x:c r="J305" s="37" t="str">
        <x:v>◎</x:v>
      </x:c>
      <x:c r="K305" s="37" t="str">
        <x:v>Ø</x:v>
      </x:c>
      <x:c r="L305" s="48" t="str">
        <x:f>_xlfn.XLOOKUP($A305&amp;"|"&amp;$G305,'試行能力狀態'!$L$7:$L$258,'試行能力狀態'!$E$7:$E$258,"未評估",0)</x:f>
        <x:v>Ø</x:v>
      </x:c>
      <x:c r="M305" s="48" t="str">
        <x:f>_xlfn.XLOOKUP($A305&amp;"|"&amp;$G305,'試行能力狀態'!$L$7:$L$258,'試行能力狀態'!$F$7:$F$258,"未建立",0)</x:f>
        <x:v>待主管核定</x:v>
      </x:c>
      <x:c r="N305" s="48" t="str">
        <x:f>IF($L305="◎","符合獨立",IF($L305="Ø","符合條件","不符合"))</x:f>
        <x:v>符合條件</x:v>
      </x:c>
      <x:c r="O305" s="48" t="str">
        <x:f>_xlfn.XLOOKUP($A305&amp;"|李侑津醫師",'試行熟悉度'!$K$7:$K$20,'試行熟悉度'!$E$7:$E$20,"未評估",0)</x:f>
        <x:v>可配合但需支援</x:v>
      </x:c>
      <x:c r="P305" s="48" t="str">
        <x:f>_xlfn.XLOOKUP($A305&amp;"|李侑津醫師",'試行熟悉度'!$K$7:$K$20,'試行熟悉度'!$F$7:$F$20,"未建立",0)</x:f>
        <x:v>待主管核定</x:v>
      </x:c>
      <x:c r="Q305" s="39" t="str">
        <x:v>確認後才納入自動判定</x:v>
      </x:c>
    </x:row>
    <x:row r="306">
      <x:c r="A306" s="37" t="str">
        <x:v>1025</x:v>
      </x:c>
      <x:c r="B306" s="37" t="str"/>
      <x:c r="C306" s="37" t="str">
        <x:v>LJT-AIRPOLISH</x:v>
      </x:c>
      <x:c r="D306" s="37" t="str">
        <x:v>噴砂美白</x:v>
      </x:c>
      <x:c r="E306" s="37" t="str">
        <x:v>一般</x:v>
      </x:c>
      <x:c r="F306" s="37" t="str">
        <x:v>一般</x:v>
      </x:c>
      <x:c r="G306" s="37" t="str">
        <x:v>COMMON-XRAY-RECORD</x:v>
      </x:c>
      <x:c r="H306" s="37" t="str">
        <x:v>待確認</x:v>
      </x:c>
      <x:c r="I306" s="37" t="str">
        <x:f>_xlfn.XLOOKUP($C306&amp;"|"&amp;$G306,'李醫師能力要求'!$M$7:$M$59,'李醫師能力要求'!$K$7:$K$59,"待確認",0)</x:f>
        <x:v>待確認</x:v>
      </x:c>
      <x:c r="J306" s="37" t="str">
        <x:v>◎</x:v>
      </x:c>
      <x:c r="K306" s="37" t="str">
        <x:v>Ø</x:v>
      </x:c>
      <x:c r="L306" s="48" t="str">
        <x:f>_xlfn.XLOOKUP($A306&amp;"|"&amp;$G306,'試行能力狀態'!$L$7:$L$258,'試行能力狀態'!$E$7:$E$258,"未評估",0)</x:f>
        <x:v>Ø</x:v>
      </x:c>
      <x:c r="M306" s="48" t="str">
        <x:f>_xlfn.XLOOKUP($A306&amp;"|"&amp;$G306,'試行能力狀態'!$L$7:$L$258,'試行能力狀態'!$F$7:$F$258,"未建立",0)</x:f>
        <x:v>待主管核定</x:v>
      </x:c>
      <x:c r="N306" s="48" t="str">
        <x:f>IF($L306="◎","符合獨立",IF($L306="Ø","符合條件","不符合"))</x:f>
        <x:v>符合條件</x:v>
      </x:c>
      <x:c r="O306" s="48" t="str">
        <x:f>_xlfn.XLOOKUP($A306&amp;"|李侑津醫師",'試行熟悉度'!$K$7:$K$20,'試行熟悉度'!$E$7:$E$20,"未評估",0)</x:f>
        <x:v>可配合但需支援</x:v>
      </x:c>
      <x:c r="P306" s="48" t="str">
        <x:f>_xlfn.XLOOKUP($A306&amp;"|李侑津醫師",'試行熟悉度'!$K$7:$K$20,'試行熟悉度'!$F$7:$F$20,"未建立",0)</x:f>
        <x:v>待主管核定</x:v>
      </x:c>
      <x:c r="Q306" s="39" t="str">
        <x:v>確認後才納入自動判定</x:v>
      </x:c>
    </x:row>
    <x:row r="307">
      <x:c r="A307" s="37" t="str">
        <x:v>1025</x:v>
      </x:c>
      <x:c r="B307" s="37" t="str"/>
      <x:c r="C307" s="37" t="str">
        <x:v>LJT-PERIOSURG</x:v>
      </x:c>
      <x:c r="D307" s="37" t="str">
        <x:v>牙周手術</x:v>
      </x:c>
      <x:c r="E307" s="37" t="str">
        <x:v>一般</x:v>
      </x:c>
      <x:c r="F307" s="37" t="str">
        <x:v>高複雜度</x:v>
      </x:c>
      <x:c r="G307" s="37" t="str">
        <x:v>LJT-PREP-PERIOSURG</x:v>
      </x:c>
      <x:c r="H307" s="37" t="str">
        <x:v>必備</x:v>
      </x:c>
      <x:c r="I307" s="37" t="str">
        <x:f>_xlfn.XLOOKUP($C307&amp;"|"&amp;$G307,'李醫師能力要求'!$M$7:$M$59,'李醫師能力要求'!$K$7:$K$59,"待確認",0)</x:f>
        <x:v>已確認</x:v>
      </x:c>
      <x:c r="J307" s="37" t="str">
        <x:v>◎</x:v>
      </x:c>
      <x:c r="K307" s="37" t="str">
        <x:v>Ø</x:v>
      </x:c>
      <x:c r="L307" s="48" t="str">
        <x:f>_xlfn.XLOOKUP($A307&amp;"|"&amp;$G307,'試行能力狀態'!$L$7:$L$258,'試行能力狀態'!$E$7:$E$258,"未評估",0)</x:f>
        <x:v>Ø</x:v>
      </x:c>
      <x:c r="M307" s="48" t="str">
        <x:f>_xlfn.XLOOKUP($A307&amp;"|"&amp;$G307,'試行能力狀態'!$L$7:$L$258,'試行能力狀態'!$F$7:$F$258,"未建立",0)</x:f>
        <x:v>待主管核定</x:v>
      </x:c>
      <x:c r="N307" s="48" t="str">
        <x:f>IF($L307="◎","符合獨立",IF($L307="Ø","符合條件","不符合"))</x:f>
        <x:v>符合條件</x:v>
      </x:c>
      <x:c r="O307" s="48" t="str">
        <x:f>_xlfn.XLOOKUP($A307&amp;"|李侑津醫師",'試行熟悉度'!$K$7:$K$20,'試行熟悉度'!$E$7:$E$20,"未評估",0)</x:f>
        <x:v>可配合但需支援</x:v>
      </x:c>
      <x:c r="P307" s="48" t="str">
        <x:f>_xlfn.XLOOKUP($A307&amp;"|李侑津醫師",'試行熟悉度'!$K$7:$K$20,'試行熟悉度'!$F$7:$F$20,"未建立",0)</x:f>
        <x:v>待主管核定</x:v>
      </x:c>
      <x:c r="Q307" s="39" t="str">
        <x:v>Ø 時完整支援者 1:1</x:v>
      </x:c>
    </x:row>
    <x:row r="308">
      <x:c r="A308" s="37" t="str">
        <x:v>1025</x:v>
      </x:c>
      <x:c r="B308" s="37" t="str"/>
      <x:c r="C308" s="37" t="str">
        <x:v>LJT-PERIOSURG</x:v>
      </x:c>
      <x:c r="D308" s="37" t="str">
        <x:v>牙周手術</x:v>
      </x:c>
      <x:c r="E308" s="37" t="str">
        <x:v>一般</x:v>
      </x:c>
      <x:c r="F308" s="37" t="str">
        <x:v>高複雜度</x:v>
      </x:c>
      <x:c r="G308" s="37" t="str">
        <x:v>COMMON-RECORD</x:v>
      </x:c>
      <x:c r="H308" s="37" t="str">
        <x:v>待確認</x:v>
      </x:c>
      <x:c r="I308" s="37" t="str">
        <x:f>_xlfn.XLOOKUP($C308&amp;"|"&amp;$G308,'李醫師能力要求'!$M$7:$M$59,'李醫師能力要求'!$K$7:$K$59,"待確認",0)</x:f>
        <x:v>待確認</x:v>
      </x:c>
      <x:c r="J308" s="37" t="str">
        <x:v>◎</x:v>
      </x:c>
      <x:c r="K308" s="37" t="str">
        <x:v>Ø</x:v>
      </x:c>
      <x:c r="L308" s="48" t="str">
        <x:f>_xlfn.XLOOKUP($A308&amp;"|"&amp;$G308,'試行能力狀態'!$L$7:$L$258,'試行能力狀態'!$E$7:$E$258,"未評估",0)</x:f>
        <x:v>Ø</x:v>
      </x:c>
      <x:c r="M308" s="48" t="str">
        <x:f>_xlfn.XLOOKUP($A308&amp;"|"&amp;$G308,'試行能力狀態'!$L$7:$L$258,'試行能力狀態'!$F$7:$F$258,"未建立",0)</x:f>
        <x:v>待主管核定</x:v>
      </x:c>
      <x:c r="N308" s="48" t="str">
        <x:f>IF($L308="◎","符合獨立",IF($L308="Ø","符合條件","不符合"))</x:f>
        <x:v>符合條件</x:v>
      </x:c>
      <x:c r="O308" s="48" t="str">
        <x:f>_xlfn.XLOOKUP($A308&amp;"|李侑津醫師",'試行熟悉度'!$K$7:$K$20,'試行熟悉度'!$E$7:$E$20,"未評估",0)</x:f>
        <x:v>可配合但需支援</x:v>
      </x:c>
      <x:c r="P308" s="48" t="str">
        <x:f>_xlfn.XLOOKUP($A308&amp;"|李侑津醫師",'試行熟悉度'!$K$7:$K$20,'試行熟悉度'!$F$7:$F$20,"未建立",0)</x:f>
        <x:v>待主管核定</x:v>
      </x:c>
      <x:c r="Q308" s="39" t="str">
        <x:v>確認後才納入自動判定</x:v>
      </x:c>
    </x:row>
    <x:row r="309">
      <x:c r="A309" s="37" t="str">
        <x:v>1025</x:v>
      </x:c>
      <x:c r="B309" s="37" t="str"/>
      <x:c r="C309" s="37" t="str">
        <x:v>LJT-PERIOSURG</x:v>
      </x:c>
      <x:c r="D309" s="37" t="str">
        <x:v>牙周手術</x:v>
      </x:c>
      <x:c r="E309" s="37" t="str">
        <x:v>一般</x:v>
      </x:c>
      <x:c r="F309" s="37" t="str">
        <x:v>高複雜度</x:v>
      </x:c>
      <x:c r="G309" s="37" t="str">
        <x:v>COMMON-INSURANCE</x:v>
      </x:c>
      <x:c r="H309" s="37" t="str">
        <x:v>待確認</x:v>
      </x:c>
      <x:c r="I309" s="37" t="str">
        <x:f>_xlfn.XLOOKUP($C309&amp;"|"&amp;$G309,'李醫師能力要求'!$M$7:$M$59,'李醫師能力要求'!$K$7:$K$59,"待確認",0)</x:f>
        <x:v>待確認</x:v>
      </x:c>
      <x:c r="J309" s="37" t="str">
        <x:v>◎</x:v>
      </x:c>
      <x:c r="K309" s="37" t="str">
        <x:v>Ø</x:v>
      </x:c>
      <x:c r="L309" s="48" t="str">
        <x:f>_xlfn.XLOOKUP($A309&amp;"|"&amp;$G309,'試行能力狀態'!$L$7:$L$258,'試行能力狀態'!$E$7:$E$258,"未評估",0)</x:f>
        <x:v>Ø</x:v>
      </x:c>
      <x:c r="M309" s="48" t="str">
        <x:f>_xlfn.XLOOKUP($A309&amp;"|"&amp;$G309,'試行能力狀態'!$L$7:$L$258,'試行能力狀態'!$F$7:$F$258,"未建立",0)</x:f>
        <x:v>待主管核定</x:v>
      </x:c>
      <x:c r="N309" s="48" t="str">
        <x:f>IF($L309="◎","符合獨立",IF($L309="Ø","符合條件","不符合"))</x:f>
        <x:v>符合條件</x:v>
      </x:c>
      <x:c r="O309" s="48" t="str">
        <x:f>_xlfn.XLOOKUP($A309&amp;"|李侑津醫師",'試行熟悉度'!$K$7:$K$20,'試行熟悉度'!$E$7:$E$20,"未評估",0)</x:f>
        <x:v>可配合但需支援</x:v>
      </x:c>
      <x:c r="P309" s="48" t="str">
        <x:f>_xlfn.XLOOKUP($A309&amp;"|李侑津醫師",'試行熟悉度'!$K$7:$K$20,'試行熟悉度'!$F$7:$F$20,"未建立",0)</x:f>
        <x:v>待主管核定</x:v>
      </x:c>
      <x:c r="Q309" s="39" t="str">
        <x:v>確認後才納入自動判定</x:v>
      </x:c>
    </x:row>
    <x:row r="310">
      <x:c r="A310" s="37" t="str">
        <x:v>1025</x:v>
      </x:c>
      <x:c r="B310" s="37" t="str"/>
      <x:c r="C310" s="37" t="str">
        <x:v>LJT-PERIOSURG</x:v>
      </x:c>
      <x:c r="D310" s="37" t="str">
        <x:v>牙周手術</x:v>
      </x:c>
      <x:c r="E310" s="37" t="str">
        <x:v>一般</x:v>
      </x:c>
      <x:c r="F310" s="37" t="str">
        <x:v>高複雜度</x:v>
      </x:c>
      <x:c r="G310" s="37" t="str">
        <x:v>COMMON-XRAY-RECORD</x:v>
      </x:c>
      <x:c r="H310" s="37" t="str">
        <x:v>待確認</x:v>
      </x:c>
      <x:c r="I310" s="37" t="str">
        <x:f>_xlfn.XLOOKUP($C310&amp;"|"&amp;$G310,'李醫師能力要求'!$M$7:$M$59,'李醫師能力要求'!$K$7:$K$59,"待確認",0)</x:f>
        <x:v>待確認</x:v>
      </x:c>
      <x:c r="J310" s="37" t="str">
        <x:v>◎</x:v>
      </x:c>
      <x:c r="K310" s="37" t="str">
        <x:v>Ø</x:v>
      </x:c>
      <x:c r="L310" s="48" t="str">
        <x:f>_xlfn.XLOOKUP($A310&amp;"|"&amp;$G310,'試行能力狀態'!$L$7:$L$258,'試行能力狀態'!$E$7:$E$258,"未評估",0)</x:f>
        <x:v>Ø</x:v>
      </x:c>
      <x:c r="M310" s="48" t="str">
        <x:f>_xlfn.XLOOKUP($A310&amp;"|"&amp;$G310,'試行能力狀態'!$L$7:$L$258,'試行能力狀態'!$F$7:$F$258,"未建立",0)</x:f>
        <x:v>待主管核定</x:v>
      </x:c>
      <x:c r="N310" s="48" t="str">
        <x:f>IF($L310="◎","符合獨立",IF($L310="Ø","符合條件","不符合"))</x:f>
        <x:v>符合條件</x:v>
      </x:c>
      <x:c r="O310" s="48" t="str">
        <x:f>_xlfn.XLOOKUP($A310&amp;"|李侑津醫師",'試行熟悉度'!$K$7:$K$20,'試行熟悉度'!$E$7:$E$20,"未評估",0)</x:f>
        <x:v>可配合但需支援</x:v>
      </x:c>
      <x:c r="P310" s="48" t="str">
        <x:f>_xlfn.XLOOKUP($A310&amp;"|李侑津醫師",'試行熟悉度'!$K$7:$K$20,'試行熟悉度'!$F$7:$F$20,"未建立",0)</x:f>
        <x:v>待主管核定</x:v>
      </x:c>
      <x:c r="Q310" s="39" t="str">
        <x:v>確認後才納入自動判定</x:v>
      </x:c>
    </x:row>
    <x:row r="311">
      <x:c r="A311" s="37" t="str">
        <x:v>1025</x:v>
      </x:c>
      <x:c r="B311" s="37" t="str"/>
      <x:c r="C311" s="37" t="str">
        <x:v>LJT-MICROENDO</x:v>
      </x:c>
      <x:c r="D311" s="37" t="str">
        <x:v>顯微根管</x:v>
      </x:c>
      <x:c r="E311" s="37" t="str">
        <x:v>一般</x:v>
      </x:c>
      <x:c r="F311" s="37" t="str">
        <x:v>高複雜度</x:v>
      </x:c>
      <x:c r="G311" s="37" t="str">
        <x:v>LJT-PREP-MICROENDO</x:v>
      </x:c>
      <x:c r="H311" s="37" t="str">
        <x:v>必備</x:v>
      </x:c>
      <x:c r="I311" s="37" t="str">
        <x:f>_xlfn.XLOOKUP($C311&amp;"|"&amp;$G311,'李醫師能力要求'!$M$7:$M$59,'李醫師能力要求'!$K$7:$K$59,"待確認",0)</x:f>
        <x:v>已確認</x:v>
      </x:c>
      <x:c r="J311" s="37" t="str">
        <x:v>◎</x:v>
      </x:c>
      <x:c r="K311" s="37" t="str">
        <x:v>Ø</x:v>
      </x:c>
      <x:c r="L311" s="48" t="str">
        <x:f>_xlfn.XLOOKUP($A311&amp;"|"&amp;$G311,'試行能力狀態'!$L$7:$L$258,'試行能力狀態'!$E$7:$E$258,"未評估",0)</x:f>
        <x:v>※</x:v>
      </x:c>
      <x:c r="M311" s="48" t="str">
        <x:f>_xlfn.XLOOKUP($A311&amp;"|"&amp;$G311,'試行能力狀態'!$L$7:$L$258,'試行能力狀態'!$F$7:$F$258,"未建立",0)</x:f>
        <x:v>待主管核定</x:v>
      </x:c>
      <x:c r="N311" s="48" t="str">
        <x:f>IF($L311="◎","符合獨立",IF($L311="Ø","符合條件","不符合"))</x:f>
        <x:v>不符合</x:v>
      </x:c>
      <x:c r="O311" s="48" t="str">
        <x:f>_xlfn.XLOOKUP($A311&amp;"|李侑津醫師",'試行熟悉度'!$K$7:$K$20,'試行熟悉度'!$E$7:$E$20,"未評估",0)</x:f>
        <x:v>可配合但需支援</x:v>
      </x:c>
      <x:c r="P311" s="48" t="str">
        <x:f>_xlfn.XLOOKUP($A311&amp;"|李侑津醫師",'試行熟悉度'!$K$7:$K$20,'試行熟悉度'!$F$7:$F$20,"未建立",0)</x:f>
        <x:v>待主管核定</x:v>
      </x:c>
      <x:c r="Q311" s="39" t="str">
        <x:v>Ø 時完整支援者 1:1</x:v>
      </x:c>
    </x:row>
    <x:row r="312">
      <x:c r="A312" s="37" t="str">
        <x:v>1025</x:v>
      </x:c>
      <x:c r="B312" s="37" t="str"/>
      <x:c r="C312" s="37" t="str">
        <x:v>LJT-MICROENDO</x:v>
      </x:c>
      <x:c r="D312" s="37" t="str">
        <x:v>顯微根管</x:v>
      </x:c>
      <x:c r="E312" s="37" t="str">
        <x:v>一般</x:v>
      </x:c>
      <x:c r="F312" s="37" t="str">
        <x:v>高複雜度</x:v>
      </x:c>
      <x:c r="G312" s="37" t="str">
        <x:v>COMMON-RECORD</x:v>
      </x:c>
      <x:c r="H312" s="37" t="str">
        <x:v>待確認</x:v>
      </x:c>
      <x:c r="I312" s="37" t="str">
        <x:f>_xlfn.XLOOKUP($C312&amp;"|"&amp;$G312,'李醫師能力要求'!$M$7:$M$59,'李醫師能力要求'!$K$7:$K$59,"待確認",0)</x:f>
        <x:v>待確認</x:v>
      </x:c>
      <x:c r="J312" s="37" t="str">
        <x:v>◎</x:v>
      </x:c>
      <x:c r="K312" s="37" t="str">
        <x:v>Ø</x:v>
      </x:c>
      <x:c r="L312" s="48" t="str">
        <x:f>_xlfn.XLOOKUP($A312&amp;"|"&amp;$G312,'試行能力狀態'!$L$7:$L$258,'試行能力狀態'!$E$7:$E$258,"未評估",0)</x:f>
        <x:v>Ø</x:v>
      </x:c>
      <x:c r="M312" s="48" t="str">
        <x:f>_xlfn.XLOOKUP($A312&amp;"|"&amp;$G312,'試行能力狀態'!$L$7:$L$258,'試行能力狀態'!$F$7:$F$258,"未建立",0)</x:f>
        <x:v>待主管核定</x:v>
      </x:c>
      <x:c r="N312" s="48" t="str">
        <x:f>IF($L312="◎","符合獨立",IF($L312="Ø","符合條件","不符合"))</x:f>
        <x:v>符合條件</x:v>
      </x:c>
      <x:c r="O312" s="48" t="str">
        <x:f>_xlfn.XLOOKUP($A312&amp;"|李侑津醫師",'試行熟悉度'!$K$7:$K$20,'試行熟悉度'!$E$7:$E$20,"未評估",0)</x:f>
        <x:v>可配合但需支援</x:v>
      </x:c>
      <x:c r="P312" s="48" t="str">
        <x:f>_xlfn.XLOOKUP($A312&amp;"|李侑津醫師",'試行熟悉度'!$K$7:$K$20,'試行熟悉度'!$F$7:$F$20,"未建立",0)</x:f>
        <x:v>待主管核定</x:v>
      </x:c>
      <x:c r="Q312" s="39" t="str">
        <x:v>確認後才納入自動判定</x:v>
      </x:c>
    </x:row>
    <x:row r="313">
      <x:c r="A313" s="37" t="str">
        <x:v>1025</x:v>
      </x:c>
      <x:c r="B313" s="37" t="str"/>
      <x:c r="C313" s="37" t="str">
        <x:v>LJT-MICROENDO</x:v>
      </x:c>
      <x:c r="D313" s="37" t="str">
        <x:v>顯微根管</x:v>
      </x:c>
      <x:c r="E313" s="37" t="str">
        <x:v>一般</x:v>
      </x:c>
      <x:c r="F313" s="37" t="str">
        <x:v>高複雜度</x:v>
      </x:c>
      <x:c r="G313" s="37" t="str">
        <x:v>COMMON-INSURANCE</x:v>
      </x:c>
      <x:c r="H313" s="37" t="str">
        <x:v>待確認</x:v>
      </x:c>
      <x:c r="I313" s="37" t="str">
        <x:f>_xlfn.XLOOKUP($C313&amp;"|"&amp;$G313,'李醫師能力要求'!$M$7:$M$59,'李醫師能力要求'!$K$7:$K$59,"待確認",0)</x:f>
        <x:v>待確認</x:v>
      </x:c>
      <x:c r="J313" s="37" t="str">
        <x:v>◎</x:v>
      </x:c>
      <x:c r="K313" s="37" t="str">
        <x:v>Ø</x:v>
      </x:c>
      <x:c r="L313" s="48" t="str">
        <x:f>_xlfn.XLOOKUP($A313&amp;"|"&amp;$G313,'試行能力狀態'!$L$7:$L$258,'試行能力狀態'!$E$7:$E$258,"未評估",0)</x:f>
        <x:v>Ø</x:v>
      </x:c>
      <x:c r="M313" s="48" t="str">
        <x:f>_xlfn.XLOOKUP($A313&amp;"|"&amp;$G313,'試行能力狀態'!$L$7:$L$258,'試行能力狀態'!$F$7:$F$258,"未建立",0)</x:f>
        <x:v>待主管核定</x:v>
      </x:c>
      <x:c r="N313" s="48" t="str">
        <x:f>IF($L313="◎","符合獨立",IF($L313="Ø","符合條件","不符合"))</x:f>
        <x:v>符合條件</x:v>
      </x:c>
      <x:c r="O313" s="48" t="str">
        <x:f>_xlfn.XLOOKUP($A313&amp;"|李侑津醫師",'試行熟悉度'!$K$7:$K$20,'試行熟悉度'!$E$7:$E$20,"未評估",0)</x:f>
        <x:v>可配合但需支援</x:v>
      </x:c>
      <x:c r="P313" s="48" t="str">
        <x:f>_xlfn.XLOOKUP($A313&amp;"|李侑津醫師",'試行熟悉度'!$K$7:$K$20,'試行熟悉度'!$F$7:$F$20,"未建立",0)</x:f>
        <x:v>待主管核定</x:v>
      </x:c>
      <x:c r="Q313" s="39" t="str">
        <x:v>確認後才納入自動判定</x:v>
      </x:c>
    </x:row>
    <x:row r="314">
      <x:c r="A314" s="37" t="str">
        <x:v>1025</x:v>
      </x:c>
      <x:c r="B314" s="37" t="str"/>
      <x:c r="C314" s="37" t="str">
        <x:v>LJT-MICROENDO</x:v>
      </x:c>
      <x:c r="D314" s="37" t="str">
        <x:v>顯微根管</x:v>
      </x:c>
      <x:c r="E314" s="37" t="str">
        <x:v>一般</x:v>
      </x:c>
      <x:c r="F314" s="37" t="str">
        <x:v>高複雜度</x:v>
      </x:c>
      <x:c r="G314" s="37" t="str">
        <x:v>COMMON-XRAY-RECORD</x:v>
      </x:c>
      <x:c r="H314" s="37" t="str">
        <x:v>待確認</x:v>
      </x:c>
      <x:c r="I314" s="37" t="str">
        <x:f>_xlfn.XLOOKUP($C314&amp;"|"&amp;$G314,'李醫師能力要求'!$M$7:$M$59,'李醫師能力要求'!$K$7:$K$59,"待確認",0)</x:f>
        <x:v>待確認</x:v>
      </x:c>
      <x:c r="J314" s="37" t="str">
        <x:v>◎</x:v>
      </x:c>
      <x:c r="K314" s="37" t="str">
        <x:v>Ø</x:v>
      </x:c>
      <x:c r="L314" s="48" t="str">
        <x:f>_xlfn.XLOOKUP($A314&amp;"|"&amp;$G314,'試行能力狀態'!$L$7:$L$258,'試行能力狀態'!$E$7:$E$258,"未評估",0)</x:f>
        <x:v>Ø</x:v>
      </x:c>
      <x:c r="M314" s="48" t="str">
        <x:f>_xlfn.XLOOKUP($A314&amp;"|"&amp;$G314,'試行能力狀態'!$L$7:$L$258,'試行能力狀態'!$F$7:$F$258,"未建立",0)</x:f>
        <x:v>待主管核定</x:v>
      </x:c>
      <x:c r="N314" s="48" t="str">
        <x:f>IF($L314="◎","符合獨立",IF($L314="Ø","符合條件","不符合"))</x:f>
        <x:v>符合條件</x:v>
      </x:c>
      <x:c r="O314" s="48" t="str">
        <x:f>_xlfn.XLOOKUP($A314&amp;"|李侑津醫師",'試行熟悉度'!$K$7:$K$20,'試行熟悉度'!$E$7:$E$20,"未評估",0)</x:f>
        <x:v>可配合但需支援</x:v>
      </x:c>
      <x:c r="P314" s="48" t="str">
        <x:f>_xlfn.XLOOKUP($A314&amp;"|李侑津醫師",'試行熟悉度'!$K$7:$K$20,'試行熟悉度'!$F$7:$F$20,"未建立",0)</x:f>
        <x:v>待主管核定</x:v>
      </x:c>
      <x:c r="Q314" s="39" t="str">
        <x:v>確認後才納入自動判定</x:v>
      </x:c>
    </x:row>
    <x:row r="315">
      <x:c r="A315" s="37" t="str">
        <x:v>1025</x:v>
      </x:c>
      <x:c r="B315" s="37" t="str"/>
      <x:c r="C315" s="37" t="str">
        <x:v>LJT-IMPLANT</x:v>
      </x:c>
      <x:c r="D315" s="37" t="str">
        <x:v>植牙</x:v>
      </x:c>
      <x:c r="E315" s="37" t="str">
        <x:v>一般</x:v>
      </x:c>
      <x:c r="F315" s="37" t="str">
        <x:v>高複雜度</x:v>
      </x:c>
      <x:c r="G315" s="37" t="str">
        <x:v>LJT-PREP-IMPLANT</x:v>
      </x:c>
      <x:c r="H315" s="37" t="str">
        <x:v>必備</x:v>
      </x:c>
      <x:c r="I315" s="37" t="str">
        <x:f>_xlfn.XLOOKUP($C315&amp;"|"&amp;$G315,'李醫師能力要求'!$M$7:$M$59,'李醫師能力要求'!$K$7:$K$59,"待確認",0)</x:f>
        <x:v>已確認</x:v>
      </x:c>
      <x:c r="J315" s="37" t="str">
        <x:v>◎</x:v>
      </x:c>
      <x:c r="K315" s="37" t="str">
        <x:v>Ø</x:v>
      </x:c>
      <x:c r="L315" s="48" t="str">
        <x:f>_xlfn.XLOOKUP($A315&amp;"|"&amp;$G315,'試行能力狀態'!$L$7:$L$258,'試行能力狀態'!$E$7:$E$258,"未評估",0)</x:f>
        <x:v>Ø</x:v>
      </x:c>
      <x:c r="M315" s="48" t="str">
        <x:f>_xlfn.XLOOKUP($A315&amp;"|"&amp;$G315,'試行能力狀態'!$L$7:$L$258,'試行能力狀態'!$F$7:$F$258,"未建立",0)</x:f>
        <x:v>待主管核定</x:v>
      </x:c>
      <x:c r="N315" s="48" t="str">
        <x:f>IF($L315="◎","符合獨立",IF($L315="Ø","符合條件","不符合"))</x:f>
        <x:v>符合條件</x:v>
      </x:c>
      <x:c r="O315" s="48" t="str">
        <x:f>_xlfn.XLOOKUP($A315&amp;"|李侑津醫師",'試行熟悉度'!$K$7:$K$20,'試行熟悉度'!$E$7:$E$20,"未評估",0)</x:f>
        <x:v>可配合但需支援</x:v>
      </x:c>
      <x:c r="P315" s="48" t="str">
        <x:f>_xlfn.XLOOKUP($A315&amp;"|李侑津醫師",'試行熟悉度'!$K$7:$K$20,'試行熟悉度'!$F$7:$F$20,"未建立",0)</x:f>
        <x:v>待主管核定</x:v>
      </x:c>
      <x:c r="Q315" s="39" t="str">
        <x:v>Ø 時完整支援者 1:1</x:v>
      </x:c>
    </x:row>
    <x:row r="316">
      <x:c r="A316" s="37" t="str">
        <x:v>1025</x:v>
      </x:c>
      <x:c r="B316" s="37" t="str"/>
      <x:c r="C316" s="37" t="str">
        <x:v>LJT-IMPLANT</x:v>
      </x:c>
      <x:c r="D316" s="37" t="str">
        <x:v>植牙</x:v>
      </x:c>
      <x:c r="E316" s="37" t="str">
        <x:v>一般</x:v>
      </x:c>
      <x:c r="F316" s="37" t="str">
        <x:v>高複雜度</x:v>
      </x:c>
      <x:c r="G316" s="37" t="str">
        <x:v>COMMON-RECORD</x:v>
      </x:c>
      <x:c r="H316" s="37" t="str">
        <x:v>待確認</x:v>
      </x:c>
      <x:c r="I316" s="37" t="str">
        <x:f>_xlfn.XLOOKUP($C316&amp;"|"&amp;$G316,'李醫師能力要求'!$M$7:$M$59,'李醫師能力要求'!$K$7:$K$59,"待確認",0)</x:f>
        <x:v>待確認</x:v>
      </x:c>
      <x:c r="J316" s="37" t="str">
        <x:v>◎</x:v>
      </x:c>
      <x:c r="K316" s="37" t="str">
        <x:v>Ø</x:v>
      </x:c>
      <x:c r="L316" s="48" t="str">
        <x:f>_xlfn.XLOOKUP($A316&amp;"|"&amp;$G316,'試行能力狀態'!$L$7:$L$258,'試行能力狀態'!$E$7:$E$258,"未評估",0)</x:f>
        <x:v>Ø</x:v>
      </x:c>
      <x:c r="M316" s="48" t="str">
        <x:f>_xlfn.XLOOKUP($A316&amp;"|"&amp;$G316,'試行能力狀態'!$L$7:$L$258,'試行能力狀態'!$F$7:$F$258,"未建立",0)</x:f>
        <x:v>待主管核定</x:v>
      </x:c>
      <x:c r="N316" s="48" t="str">
        <x:f>IF($L316="◎","符合獨立",IF($L316="Ø","符合條件","不符合"))</x:f>
        <x:v>符合條件</x:v>
      </x:c>
      <x:c r="O316" s="48" t="str">
        <x:f>_xlfn.XLOOKUP($A316&amp;"|李侑津醫師",'試行熟悉度'!$K$7:$K$20,'試行熟悉度'!$E$7:$E$20,"未評估",0)</x:f>
        <x:v>可配合但需支援</x:v>
      </x:c>
      <x:c r="P316" s="48" t="str">
        <x:f>_xlfn.XLOOKUP($A316&amp;"|李侑津醫師",'試行熟悉度'!$K$7:$K$20,'試行熟悉度'!$F$7:$F$20,"未建立",0)</x:f>
        <x:v>待主管核定</x:v>
      </x:c>
      <x:c r="Q316" s="39" t="str">
        <x:v>確認後才納入自動判定</x:v>
      </x:c>
    </x:row>
    <x:row r="317">
      <x:c r="A317" s="37" t="str">
        <x:v>1025</x:v>
      </x:c>
      <x:c r="B317" s="37" t="str"/>
      <x:c r="C317" s="37" t="str">
        <x:v>LJT-IMPLANT</x:v>
      </x:c>
      <x:c r="D317" s="37" t="str">
        <x:v>植牙</x:v>
      </x:c>
      <x:c r="E317" s="37" t="str">
        <x:v>一般</x:v>
      </x:c>
      <x:c r="F317" s="37" t="str">
        <x:v>高複雜度</x:v>
      </x:c>
      <x:c r="G317" s="37" t="str">
        <x:v>COMMON-INSURANCE</x:v>
      </x:c>
      <x:c r="H317" s="37" t="str">
        <x:v>待確認</x:v>
      </x:c>
      <x:c r="I317" s="37" t="str">
        <x:f>_xlfn.XLOOKUP($C317&amp;"|"&amp;$G317,'李醫師能力要求'!$M$7:$M$59,'李醫師能力要求'!$K$7:$K$59,"待確認",0)</x:f>
        <x:v>待確認</x:v>
      </x:c>
      <x:c r="J317" s="37" t="str">
        <x:v>◎</x:v>
      </x:c>
      <x:c r="K317" s="37" t="str">
        <x:v>Ø</x:v>
      </x:c>
      <x:c r="L317" s="48" t="str">
        <x:f>_xlfn.XLOOKUP($A317&amp;"|"&amp;$G317,'試行能力狀態'!$L$7:$L$258,'試行能力狀態'!$E$7:$E$258,"未評估",0)</x:f>
        <x:v>Ø</x:v>
      </x:c>
      <x:c r="M317" s="48" t="str">
        <x:f>_xlfn.XLOOKUP($A317&amp;"|"&amp;$G317,'試行能力狀態'!$L$7:$L$258,'試行能力狀態'!$F$7:$F$258,"未建立",0)</x:f>
        <x:v>待主管核定</x:v>
      </x:c>
      <x:c r="N317" s="48" t="str">
        <x:f>IF($L317="◎","符合獨立",IF($L317="Ø","符合條件","不符合"))</x:f>
        <x:v>符合條件</x:v>
      </x:c>
      <x:c r="O317" s="48" t="str">
        <x:f>_xlfn.XLOOKUP($A317&amp;"|李侑津醫師",'試行熟悉度'!$K$7:$K$20,'試行熟悉度'!$E$7:$E$20,"未評估",0)</x:f>
        <x:v>可配合但需支援</x:v>
      </x:c>
      <x:c r="P317" s="48" t="str">
        <x:f>_xlfn.XLOOKUP($A317&amp;"|李侑津醫師",'試行熟悉度'!$K$7:$K$20,'試行熟悉度'!$F$7:$F$20,"未建立",0)</x:f>
        <x:v>待主管核定</x:v>
      </x:c>
      <x:c r="Q317" s="39" t="str">
        <x:v>確認後才納入自動判定</x:v>
      </x:c>
    </x:row>
    <x:row r="318">
      <x:c r="A318" s="37" t="str">
        <x:v>1025</x:v>
      </x:c>
      <x:c r="B318" s="37" t="str"/>
      <x:c r="C318" s="37" t="str">
        <x:v>LJT-IMPLANT</x:v>
      </x:c>
      <x:c r="D318" s="37" t="str">
        <x:v>植牙</x:v>
      </x:c>
      <x:c r="E318" s="37" t="str">
        <x:v>一般</x:v>
      </x:c>
      <x:c r="F318" s="37" t="str">
        <x:v>高複雜度</x:v>
      </x:c>
      <x:c r="G318" s="37" t="str">
        <x:v>COMMON-XRAY-RECORD</x:v>
      </x:c>
      <x:c r="H318" s="37" t="str">
        <x:v>待確認</x:v>
      </x:c>
      <x:c r="I318" s="37" t="str">
        <x:f>_xlfn.XLOOKUP($C318&amp;"|"&amp;$G318,'李醫師能力要求'!$M$7:$M$59,'李醫師能力要求'!$K$7:$K$59,"待確認",0)</x:f>
        <x:v>待確認</x:v>
      </x:c>
      <x:c r="J318" s="37" t="str">
        <x:v>◎</x:v>
      </x:c>
      <x:c r="K318" s="37" t="str">
        <x:v>Ø</x:v>
      </x:c>
      <x:c r="L318" s="48" t="str">
        <x:f>_xlfn.XLOOKUP($A318&amp;"|"&amp;$G318,'試行能力狀態'!$L$7:$L$258,'試行能力狀態'!$E$7:$E$258,"未評估",0)</x:f>
        <x:v>Ø</x:v>
      </x:c>
      <x:c r="M318" s="48" t="str">
        <x:f>_xlfn.XLOOKUP($A318&amp;"|"&amp;$G318,'試行能力狀態'!$L$7:$L$258,'試行能力狀態'!$F$7:$F$258,"未建立",0)</x:f>
        <x:v>待主管核定</x:v>
      </x:c>
      <x:c r="N318" s="48" t="str">
        <x:f>IF($L318="◎","符合獨立",IF($L318="Ø","符合條件","不符合"))</x:f>
        <x:v>符合條件</x:v>
      </x:c>
      <x:c r="O318" s="48" t="str">
        <x:f>_xlfn.XLOOKUP($A318&amp;"|李侑津醫師",'試行熟悉度'!$K$7:$K$20,'試行熟悉度'!$E$7:$E$20,"未評估",0)</x:f>
        <x:v>可配合但需支援</x:v>
      </x:c>
      <x:c r="P318" s="48" t="str">
        <x:f>_xlfn.XLOOKUP($A318&amp;"|李侑津醫師",'試行熟悉度'!$K$7:$K$20,'試行熟悉度'!$F$7:$F$20,"未建立",0)</x:f>
        <x:v>待主管核定</x:v>
      </x:c>
      <x:c r="Q318" s="39" t="str">
        <x:v>確認後才納入自動判定</x:v>
      </x:c>
    </x:row>
    <x:row r="319">
      <x:c r="A319" s="37" t="str">
        <x:v>1026</x:v>
      </x:c>
      <x:c r="B319" s="37" t="str"/>
      <x:c r="C319" s="37" t="str">
        <x:v>LJT-SCALING</x:v>
      </x:c>
      <x:c r="D319" s="37" t="str">
        <x:v>洗牙</x:v>
      </x:c>
      <x:c r="E319" s="37" t="str">
        <x:v>一般</x:v>
      </x:c>
      <x:c r="F319" s="37" t="str">
        <x:v>一般</x:v>
      </x:c>
      <x:c r="G319" s="37" t="str">
        <x:v>LJT-PREP-SCALING</x:v>
      </x:c>
      <x:c r="H319" s="37" t="str">
        <x:v>必備</x:v>
      </x:c>
      <x:c r="I319" s="37" t="str">
        <x:f>_xlfn.XLOOKUP($C319&amp;"|"&amp;$G319,'李醫師能力要求'!$M$7:$M$59,'李醫師能力要求'!$K$7:$K$59,"待確認",0)</x:f>
        <x:v>已確認</x:v>
      </x:c>
      <x:c r="J319" s="37" t="str">
        <x:v>◎</x:v>
      </x:c>
      <x:c r="K319" s="37" t="str">
        <x:v>Ø</x:v>
      </x:c>
      <x:c r="L319" s="48" t="str">
        <x:f>_xlfn.XLOOKUP($A319&amp;"|"&amp;$G319,'試行能力狀態'!$L$7:$L$258,'試行能力狀態'!$E$7:$E$258,"未評估",0)</x:f>
        <x:v>◎</x:v>
      </x:c>
      <x:c r="M319" s="48" t="str">
        <x:f>_xlfn.XLOOKUP($A319&amp;"|"&amp;$G319,'試行能力狀態'!$L$7:$L$258,'試行能力狀態'!$F$7:$F$258,"未建立",0)</x:f>
        <x:v>待主管核定</x:v>
      </x:c>
      <x:c r="N319" s="48" t="str">
        <x:f>IF($L319="◎","符合獨立",IF($L319="Ø","符合條件","不符合"))</x:f>
        <x:v>符合獨立</x:v>
      </x:c>
      <x:c r="O319" s="48" t="str">
        <x:f>_xlfn.XLOOKUP($A319&amp;"|李侑津醫師",'試行熟悉度'!$K$7:$K$20,'試行熟悉度'!$E$7:$E$20,"未評估",0)</x:f>
        <x:v>可獨立配合</x:v>
      </x:c>
      <x:c r="P319" s="48" t="str">
        <x:f>_xlfn.XLOOKUP($A319&amp;"|李侑津醫師",'試行熟悉度'!$K$7:$K$20,'試行熟悉度'!$F$7:$F$20,"未建立",0)</x:f>
        <x:v>待主管核定</x:v>
      </x:c>
      <x:c r="Q319" s="39" t="str">
        <x:v>依一般支援名額</x:v>
      </x:c>
    </x:row>
    <x:row r="320">
      <x:c r="A320" s="37" t="str">
        <x:v>1026</x:v>
      </x:c>
      <x:c r="B320" s="37" t="str"/>
      <x:c r="C320" s="37" t="str">
        <x:v>LJT-SCALING</x:v>
      </x:c>
      <x:c r="D320" s="37" t="str">
        <x:v>洗牙</x:v>
      </x:c>
      <x:c r="E320" s="37" t="str">
        <x:v>一般</x:v>
      </x:c>
      <x:c r="F320" s="37" t="str">
        <x:v>一般</x:v>
      </x:c>
      <x:c r="G320" s="37" t="str">
        <x:v>COMMON-RECORD</x:v>
      </x:c>
      <x:c r="H320" s="37" t="str">
        <x:v>待確認</x:v>
      </x:c>
      <x:c r="I320" s="37" t="str">
        <x:f>_xlfn.XLOOKUP($C320&amp;"|"&amp;$G320,'李醫師能力要求'!$M$7:$M$59,'李醫師能力要求'!$K$7:$K$59,"待確認",0)</x:f>
        <x:v>待確認</x:v>
      </x:c>
      <x:c r="J320" s="37" t="str">
        <x:v>◎</x:v>
      </x:c>
      <x:c r="K320" s="37" t="str">
        <x:v>Ø</x:v>
      </x:c>
      <x:c r="L320" s="48" t="str">
        <x:f>_xlfn.XLOOKUP($A320&amp;"|"&amp;$G320,'試行能力狀態'!$L$7:$L$258,'試行能力狀態'!$E$7:$E$258,"未評估",0)</x:f>
        <x:v>△</x:v>
      </x:c>
      <x:c r="M320" s="48" t="str">
        <x:f>_xlfn.XLOOKUP($A320&amp;"|"&amp;$G320,'試行能力狀態'!$L$7:$L$258,'試行能力狀態'!$F$7:$F$258,"未建立",0)</x:f>
        <x:v>待主管核定</x:v>
      </x:c>
      <x:c r="N320" s="48" t="str">
        <x:f>IF($L320="◎","符合獨立",IF($L320="Ø","符合條件","不符合"))</x:f>
        <x:v>不符合</x:v>
      </x:c>
      <x:c r="O320" s="48" t="str">
        <x:f>_xlfn.XLOOKUP($A320&amp;"|李侑津醫師",'試行熟悉度'!$K$7:$K$20,'試行熟悉度'!$E$7:$E$20,"未評估",0)</x:f>
        <x:v>可獨立配合</x:v>
      </x:c>
      <x:c r="P320" s="48" t="str">
        <x:f>_xlfn.XLOOKUP($A320&amp;"|李侑津醫師",'試行熟悉度'!$K$7:$K$20,'試行熟悉度'!$F$7:$F$20,"未建立",0)</x:f>
        <x:v>待主管核定</x:v>
      </x:c>
      <x:c r="Q320" s="39" t="str">
        <x:v>確認後才納入自動判定</x:v>
      </x:c>
    </x:row>
    <x:row r="321">
      <x:c r="A321" s="37" t="str">
        <x:v>1026</x:v>
      </x:c>
      <x:c r="B321" s="37" t="str"/>
      <x:c r="C321" s="37" t="str">
        <x:v>LJT-SCALING</x:v>
      </x:c>
      <x:c r="D321" s="37" t="str">
        <x:v>洗牙</x:v>
      </x:c>
      <x:c r="E321" s="37" t="str">
        <x:v>一般</x:v>
      </x:c>
      <x:c r="F321" s="37" t="str">
        <x:v>一般</x:v>
      </x:c>
      <x:c r="G321" s="37" t="str">
        <x:v>COMMON-INSURANCE</x:v>
      </x:c>
      <x:c r="H321" s="37" t="str">
        <x:v>待確認</x:v>
      </x:c>
      <x:c r="I321" s="37" t="str">
        <x:f>_xlfn.XLOOKUP($C321&amp;"|"&amp;$G321,'李醫師能力要求'!$M$7:$M$59,'李醫師能力要求'!$K$7:$K$59,"待確認",0)</x:f>
        <x:v>待確認</x:v>
      </x:c>
      <x:c r="J321" s="37" t="str">
        <x:v>◎</x:v>
      </x:c>
      <x:c r="K321" s="37" t="str">
        <x:v>Ø</x:v>
      </x:c>
      <x:c r="L321" s="48" t="str">
        <x:f>_xlfn.XLOOKUP($A321&amp;"|"&amp;$G321,'試行能力狀態'!$L$7:$L$258,'試行能力狀態'!$E$7:$E$258,"未評估",0)</x:f>
        <x:v>△</x:v>
      </x:c>
      <x:c r="M321" s="48" t="str">
        <x:f>_xlfn.XLOOKUP($A321&amp;"|"&amp;$G321,'試行能力狀態'!$L$7:$L$258,'試行能力狀態'!$F$7:$F$258,"未建立",0)</x:f>
        <x:v>待主管核定</x:v>
      </x:c>
      <x:c r="N321" s="48" t="str">
        <x:f>IF($L321="◎","符合獨立",IF($L321="Ø","符合條件","不符合"))</x:f>
        <x:v>不符合</x:v>
      </x:c>
      <x:c r="O321" s="48" t="str">
        <x:f>_xlfn.XLOOKUP($A321&amp;"|李侑津醫師",'試行熟悉度'!$K$7:$K$20,'試行熟悉度'!$E$7:$E$20,"未評估",0)</x:f>
        <x:v>可獨立配合</x:v>
      </x:c>
      <x:c r="P321" s="48" t="str">
        <x:f>_xlfn.XLOOKUP($A321&amp;"|李侑津醫師",'試行熟悉度'!$K$7:$K$20,'試行熟悉度'!$F$7:$F$20,"未建立",0)</x:f>
        <x:v>待主管核定</x:v>
      </x:c>
      <x:c r="Q321" s="39" t="str">
        <x:v>確認後才納入自動判定</x:v>
      </x:c>
    </x:row>
    <x:row r="322">
      <x:c r="A322" s="37" t="str">
        <x:v>1026</x:v>
      </x:c>
      <x:c r="B322" s="37" t="str"/>
      <x:c r="C322" s="37" t="str">
        <x:v>LJT-SCALING</x:v>
      </x:c>
      <x:c r="D322" s="37" t="str">
        <x:v>洗牙</x:v>
      </x:c>
      <x:c r="E322" s="37" t="str">
        <x:v>一般</x:v>
      </x:c>
      <x:c r="F322" s="37" t="str">
        <x:v>一般</x:v>
      </x:c>
      <x:c r="G322" s="37" t="str">
        <x:v>COMMON-XRAY-RECORD</x:v>
      </x:c>
      <x:c r="H322" s="37" t="str">
        <x:v>待確認</x:v>
      </x:c>
      <x:c r="I322" s="37" t="str">
        <x:f>_xlfn.XLOOKUP($C322&amp;"|"&amp;$G322,'李醫師能力要求'!$M$7:$M$59,'李醫師能力要求'!$K$7:$K$59,"待確認",0)</x:f>
        <x:v>待確認</x:v>
      </x:c>
      <x:c r="J322" s="37" t="str">
        <x:v>◎</x:v>
      </x:c>
      <x:c r="K322" s="37" t="str">
        <x:v>Ø</x:v>
      </x:c>
      <x:c r="L322" s="48" t="str">
        <x:f>_xlfn.XLOOKUP($A322&amp;"|"&amp;$G322,'試行能力狀態'!$L$7:$L$258,'試行能力狀態'!$E$7:$E$258,"未評估",0)</x:f>
        <x:v>△</x:v>
      </x:c>
      <x:c r="M322" s="48" t="str">
        <x:f>_xlfn.XLOOKUP($A322&amp;"|"&amp;$G322,'試行能力狀態'!$L$7:$L$258,'試行能力狀態'!$F$7:$F$258,"未建立",0)</x:f>
        <x:v>待主管核定</x:v>
      </x:c>
      <x:c r="N322" s="48" t="str">
        <x:f>IF($L322="◎","符合獨立",IF($L322="Ø","符合條件","不符合"))</x:f>
        <x:v>不符合</x:v>
      </x:c>
      <x:c r="O322" s="48" t="str">
        <x:f>_xlfn.XLOOKUP($A322&amp;"|李侑津醫師",'試行熟悉度'!$K$7:$K$20,'試行熟悉度'!$E$7:$E$20,"未評估",0)</x:f>
        <x:v>可獨立配合</x:v>
      </x:c>
      <x:c r="P322" s="48" t="str">
        <x:f>_xlfn.XLOOKUP($A322&amp;"|李侑津醫師",'試行熟悉度'!$K$7:$K$20,'試行熟悉度'!$F$7:$F$20,"未建立",0)</x:f>
        <x:v>待主管核定</x:v>
      </x:c>
      <x:c r="Q322" s="39" t="str">
        <x:v>確認後才納入自動判定</x:v>
      </x:c>
    </x:row>
    <x:row r="323">
      <x:c r="A323" s="37" t="str">
        <x:v>1026</x:v>
      </x:c>
      <x:c r="B323" s="37" t="str"/>
      <x:c r="C323" s="37" t="str">
        <x:v>LJT-FILLING</x:v>
      </x:c>
      <x:c r="D323" s="37" t="str">
        <x:v>補牙</x:v>
      </x:c>
      <x:c r="E323" s="37" t="str">
        <x:v>一般</x:v>
      </x:c>
      <x:c r="F323" s="37" t="str">
        <x:v>一般</x:v>
      </x:c>
      <x:c r="G323" s="37" t="str">
        <x:v>LJT-PREP-FILLING</x:v>
      </x:c>
      <x:c r="H323" s="37" t="str">
        <x:v>必備</x:v>
      </x:c>
      <x:c r="I323" s="37" t="str">
        <x:f>_xlfn.XLOOKUP($C323&amp;"|"&amp;$G323,'李醫師能力要求'!$M$7:$M$59,'李醫師能力要求'!$K$7:$K$59,"待確認",0)</x:f>
        <x:v>已確認</x:v>
      </x:c>
      <x:c r="J323" s="37" t="str">
        <x:v>◎</x:v>
      </x:c>
      <x:c r="K323" s="37" t="str">
        <x:v>Ø</x:v>
      </x:c>
      <x:c r="L323" s="48" t="str">
        <x:f>_xlfn.XLOOKUP($A323&amp;"|"&amp;$G323,'試行能力狀態'!$L$7:$L$258,'試行能力狀態'!$E$7:$E$258,"未評估",0)</x:f>
        <x:v>◎</x:v>
      </x:c>
      <x:c r="M323" s="48" t="str">
        <x:f>_xlfn.XLOOKUP($A323&amp;"|"&amp;$G323,'試行能力狀態'!$L$7:$L$258,'試行能力狀態'!$F$7:$F$258,"未建立",0)</x:f>
        <x:v>待主管核定</x:v>
      </x:c>
      <x:c r="N323" s="48" t="str">
        <x:f>IF($L323="◎","符合獨立",IF($L323="Ø","符合條件","不符合"))</x:f>
        <x:v>符合獨立</x:v>
      </x:c>
      <x:c r="O323" s="48" t="str">
        <x:f>_xlfn.XLOOKUP($A323&amp;"|李侑津醫師",'試行熟悉度'!$K$7:$K$20,'試行熟悉度'!$E$7:$E$20,"未評估",0)</x:f>
        <x:v>可獨立配合</x:v>
      </x:c>
      <x:c r="P323" s="48" t="str">
        <x:f>_xlfn.XLOOKUP($A323&amp;"|李侑津醫師",'試行熟悉度'!$K$7:$K$20,'試行熟悉度'!$F$7:$F$20,"未建立",0)</x:f>
        <x:v>待主管核定</x:v>
      </x:c>
      <x:c r="Q323" s="39" t="str">
        <x:v>依一般支援名額</x:v>
      </x:c>
    </x:row>
    <x:row r="324">
      <x:c r="A324" s="37" t="str">
        <x:v>1026</x:v>
      </x:c>
      <x:c r="B324" s="37" t="str"/>
      <x:c r="C324" s="37" t="str">
        <x:v>LJT-FILLING</x:v>
      </x:c>
      <x:c r="D324" s="37" t="str">
        <x:v>補牙</x:v>
      </x:c>
      <x:c r="E324" s="37" t="str">
        <x:v>一般</x:v>
      </x:c>
      <x:c r="F324" s="37" t="str">
        <x:v>一般</x:v>
      </x:c>
      <x:c r="G324" s="37" t="str">
        <x:v>COMMON-RECORD</x:v>
      </x:c>
      <x:c r="H324" s="37" t="str">
        <x:v>待確認</x:v>
      </x:c>
      <x:c r="I324" s="37" t="str">
        <x:f>_xlfn.XLOOKUP($C324&amp;"|"&amp;$G324,'李醫師能力要求'!$M$7:$M$59,'李醫師能力要求'!$K$7:$K$59,"待確認",0)</x:f>
        <x:v>待確認</x:v>
      </x:c>
      <x:c r="J324" s="37" t="str">
        <x:v>◎</x:v>
      </x:c>
      <x:c r="K324" s="37" t="str">
        <x:v>Ø</x:v>
      </x:c>
      <x:c r="L324" s="48" t="str">
        <x:f>_xlfn.XLOOKUP($A324&amp;"|"&amp;$G324,'試行能力狀態'!$L$7:$L$258,'試行能力狀態'!$E$7:$E$258,"未評估",0)</x:f>
        <x:v>△</x:v>
      </x:c>
      <x:c r="M324" s="48" t="str">
        <x:f>_xlfn.XLOOKUP($A324&amp;"|"&amp;$G324,'試行能力狀態'!$L$7:$L$258,'試行能力狀態'!$F$7:$F$258,"未建立",0)</x:f>
        <x:v>待主管核定</x:v>
      </x:c>
      <x:c r="N324" s="48" t="str">
        <x:f>IF($L324="◎","符合獨立",IF($L324="Ø","符合條件","不符合"))</x:f>
        <x:v>不符合</x:v>
      </x:c>
      <x:c r="O324" s="48" t="str">
        <x:f>_xlfn.XLOOKUP($A324&amp;"|李侑津醫師",'試行熟悉度'!$K$7:$K$20,'試行熟悉度'!$E$7:$E$20,"未評估",0)</x:f>
        <x:v>可獨立配合</x:v>
      </x:c>
      <x:c r="P324" s="48" t="str">
        <x:f>_xlfn.XLOOKUP($A324&amp;"|李侑津醫師",'試行熟悉度'!$K$7:$K$20,'試行熟悉度'!$F$7:$F$20,"未建立",0)</x:f>
        <x:v>待主管核定</x:v>
      </x:c>
      <x:c r="Q324" s="39" t="str">
        <x:v>確認後才納入自動判定</x:v>
      </x:c>
    </x:row>
    <x:row r="325">
      <x:c r="A325" s="37" t="str">
        <x:v>1026</x:v>
      </x:c>
      <x:c r="B325" s="37" t="str"/>
      <x:c r="C325" s="37" t="str">
        <x:v>LJT-FILLING</x:v>
      </x:c>
      <x:c r="D325" s="37" t="str">
        <x:v>補牙</x:v>
      </x:c>
      <x:c r="E325" s="37" t="str">
        <x:v>一般</x:v>
      </x:c>
      <x:c r="F325" s="37" t="str">
        <x:v>一般</x:v>
      </x:c>
      <x:c r="G325" s="37" t="str">
        <x:v>COMMON-INSURANCE</x:v>
      </x:c>
      <x:c r="H325" s="37" t="str">
        <x:v>待確認</x:v>
      </x:c>
      <x:c r="I325" s="37" t="str">
        <x:f>_xlfn.XLOOKUP($C325&amp;"|"&amp;$G325,'李醫師能力要求'!$M$7:$M$59,'李醫師能力要求'!$K$7:$K$59,"待確認",0)</x:f>
        <x:v>待確認</x:v>
      </x:c>
      <x:c r="J325" s="37" t="str">
        <x:v>◎</x:v>
      </x:c>
      <x:c r="K325" s="37" t="str">
        <x:v>Ø</x:v>
      </x:c>
      <x:c r="L325" s="48" t="str">
        <x:f>_xlfn.XLOOKUP($A325&amp;"|"&amp;$G325,'試行能力狀態'!$L$7:$L$258,'試行能力狀態'!$E$7:$E$258,"未評估",0)</x:f>
        <x:v>△</x:v>
      </x:c>
      <x:c r="M325" s="48" t="str">
        <x:f>_xlfn.XLOOKUP($A325&amp;"|"&amp;$G325,'試行能力狀態'!$L$7:$L$258,'試行能力狀態'!$F$7:$F$258,"未建立",0)</x:f>
        <x:v>待主管核定</x:v>
      </x:c>
      <x:c r="N325" s="48" t="str">
        <x:f>IF($L325="◎","符合獨立",IF($L325="Ø","符合條件","不符合"))</x:f>
        <x:v>不符合</x:v>
      </x:c>
      <x:c r="O325" s="48" t="str">
        <x:f>_xlfn.XLOOKUP($A325&amp;"|李侑津醫師",'試行熟悉度'!$K$7:$K$20,'試行熟悉度'!$E$7:$E$20,"未評估",0)</x:f>
        <x:v>可獨立配合</x:v>
      </x:c>
      <x:c r="P325" s="48" t="str">
        <x:f>_xlfn.XLOOKUP($A325&amp;"|李侑津醫師",'試行熟悉度'!$K$7:$K$20,'試行熟悉度'!$F$7:$F$20,"未建立",0)</x:f>
        <x:v>待主管核定</x:v>
      </x:c>
      <x:c r="Q325" s="39" t="str">
        <x:v>確認後才納入自動判定</x:v>
      </x:c>
    </x:row>
    <x:row r="326">
      <x:c r="A326" s="37" t="str">
        <x:v>1026</x:v>
      </x:c>
      <x:c r="B326" s="37" t="str"/>
      <x:c r="C326" s="37" t="str">
        <x:v>LJT-FILLING</x:v>
      </x:c>
      <x:c r="D326" s="37" t="str">
        <x:v>補牙</x:v>
      </x:c>
      <x:c r="E326" s="37" t="str">
        <x:v>一般</x:v>
      </x:c>
      <x:c r="F326" s="37" t="str">
        <x:v>一般</x:v>
      </x:c>
      <x:c r="G326" s="37" t="str">
        <x:v>COMMON-XRAY-RECORD</x:v>
      </x:c>
      <x:c r="H326" s="37" t="str">
        <x:v>待確認</x:v>
      </x:c>
      <x:c r="I326" s="37" t="str">
        <x:f>_xlfn.XLOOKUP($C326&amp;"|"&amp;$G326,'李醫師能力要求'!$M$7:$M$59,'李醫師能力要求'!$K$7:$K$59,"待確認",0)</x:f>
        <x:v>待確認</x:v>
      </x:c>
      <x:c r="J326" s="37" t="str">
        <x:v>◎</x:v>
      </x:c>
      <x:c r="K326" s="37" t="str">
        <x:v>Ø</x:v>
      </x:c>
      <x:c r="L326" s="48" t="str">
        <x:f>_xlfn.XLOOKUP($A326&amp;"|"&amp;$G326,'試行能力狀態'!$L$7:$L$258,'試行能力狀態'!$E$7:$E$258,"未評估",0)</x:f>
        <x:v>△</x:v>
      </x:c>
      <x:c r="M326" s="48" t="str">
        <x:f>_xlfn.XLOOKUP($A326&amp;"|"&amp;$G326,'試行能力狀態'!$L$7:$L$258,'試行能力狀態'!$F$7:$F$258,"未建立",0)</x:f>
        <x:v>待主管核定</x:v>
      </x:c>
      <x:c r="N326" s="48" t="str">
        <x:f>IF($L326="◎","符合獨立",IF($L326="Ø","符合條件","不符合"))</x:f>
        <x:v>不符合</x:v>
      </x:c>
      <x:c r="O326" s="48" t="str">
        <x:f>_xlfn.XLOOKUP($A326&amp;"|李侑津醫師",'試行熟悉度'!$K$7:$K$20,'試行熟悉度'!$E$7:$E$20,"未評估",0)</x:f>
        <x:v>可獨立配合</x:v>
      </x:c>
      <x:c r="P326" s="48" t="str">
        <x:f>_xlfn.XLOOKUP($A326&amp;"|李侑津醫師",'試行熟悉度'!$K$7:$K$20,'試行熟悉度'!$F$7:$F$20,"未建立",0)</x:f>
        <x:v>待主管核定</x:v>
      </x:c>
      <x:c r="Q326" s="39" t="str">
        <x:v>確認後才納入自動判定</x:v>
      </x:c>
    </x:row>
    <x:row r="327">
      <x:c r="A327" s="37" t="str">
        <x:v>1026</x:v>
      </x:c>
      <x:c r="B327" s="37" t="str"/>
      <x:c r="C327" s="37" t="str">
        <x:v>LJT-PERIO</x:v>
      </x:c>
      <x:c r="D327" s="37" t="str">
        <x:v>牙周統合</x:v>
      </x:c>
      <x:c r="E327" s="37" t="str">
        <x:v>一般</x:v>
      </x:c>
      <x:c r="F327" s="37" t="str">
        <x:v>一般</x:v>
      </x:c>
      <x:c r="G327" s="37" t="str">
        <x:v>LJT-PREP-PERIO</x:v>
      </x:c>
      <x:c r="H327" s="37" t="str">
        <x:v>必備</x:v>
      </x:c>
      <x:c r="I327" s="37" t="str">
        <x:f>_xlfn.XLOOKUP($C327&amp;"|"&amp;$G327,'李醫師能力要求'!$M$7:$M$59,'李醫師能力要求'!$K$7:$K$59,"待確認",0)</x:f>
        <x:v>已確認</x:v>
      </x:c>
      <x:c r="J327" s="37" t="str">
        <x:v>◎</x:v>
      </x:c>
      <x:c r="K327" s="37" t="str">
        <x:v>Ø</x:v>
      </x:c>
      <x:c r="L327" s="48" t="str">
        <x:f>_xlfn.XLOOKUP($A327&amp;"|"&amp;$G327,'試行能力狀態'!$L$7:$L$258,'試行能力狀態'!$E$7:$E$258,"未評估",0)</x:f>
        <x:v>◎</x:v>
      </x:c>
      <x:c r="M327" s="48" t="str">
        <x:f>_xlfn.XLOOKUP($A327&amp;"|"&amp;$G327,'試行能力狀態'!$L$7:$L$258,'試行能力狀態'!$F$7:$F$258,"未建立",0)</x:f>
        <x:v>待主管核定</x:v>
      </x:c>
      <x:c r="N327" s="48" t="str">
        <x:f>IF($L327="◎","符合獨立",IF($L327="Ø","符合條件","不符合"))</x:f>
        <x:v>符合獨立</x:v>
      </x:c>
      <x:c r="O327" s="48" t="str">
        <x:f>_xlfn.XLOOKUP($A327&amp;"|李侑津醫師",'試行熟悉度'!$K$7:$K$20,'試行熟悉度'!$E$7:$E$20,"未評估",0)</x:f>
        <x:v>可獨立配合</x:v>
      </x:c>
      <x:c r="P327" s="48" t="str">
        <x:f>_xlfn.XLOOKUP($A327&amp;"|李侑津醫師",'試行熟悉度'!$K$7:$K$20,'試行熟悉度'!$F$7:$F$20,"未建立",0)</x:f>
        <x:v>待主管核定</x:v>
      </x:c>
      <x:c r="Q327" s="39" t="str">
        <x:v>依一般支援名額</x:v>
      </x:c>
    </x:row>
    <x:row r="328">
      <x:c r="A328" s="37" t="str">
        <x:v>1026</x:v>
      </x:c>
      <x:c r="B328" s="37" t="str"/>
      <x:c r="C328" s="37" t="str">
        <x:v>LJT-PERIO</x:v>
      </x:c>
      <x:c r="D328" s="37" t="str">
        <x:v>牙周統合</x:v>
      </x:c>
      <x:c r="E328" s="37" t="str">
        <x:v>一般</x:v>
      </x:c>
      <x:c r="F328" s="37" t="str">
        <x:v>一般</x:v>
      </x:c>
      <x:c r="G328" s="37" t="str">
        <x:v>COMMON-RECORD</x:v>
      </x:c>
      <x:c r="H328" s="37" t="str">
        <x:v>待確認</x:v>
      </x:c>
      <x:c r="I328" s="37" t="str">
        <x:f>_xlfn.XLOOKUP($C328&amp;"|"&amp;$G328,'李醫師能力要求'!$M$7:$M$59,'李醫師能力要求'!$K$7:$K$59,"待確認",0)</x:f>
        <x:v>待確認</x:v>
      </x:c>
      <x:c r="J328" s="37" t="str">
        <x:v>◎</x:v>
      </x:c>
      <x:c r="K328" s="37" t="str">
        <x:v>Ø</x:v>
      </x:c>
      <x:c r="L328" s="48" t="str">
        <x:f>_xlfn.XLOOKUP($A328&amp;"|"&amp;$G328,'試行能力狀態'!$L$7:$L$258,'試行能力狀態'!$E$7:$E$258,"未評估",0)</x:f>
        <x:v>△</x:v>
      </x:c>
      <x:c r="M328" s="48" t="str">
        <x:f>_xlfn.XLOOKUP($A328&amp;"|"&amp;$G328,'試行能力狀態'!$L$7:$L$258,'試行能力狀態'!$F$7:$F$258,"未建立",0)</x:f>
        <x:v>待主管核定</x:v>
      </x:c>
      <x:c r="N328" s="48" t="str">
        <x:f>IF($L328="◎","符合獨立",IF($L328="Ø","符合條件","不符合"))</x:f>
        <x:v>不符合</x:v>
      </x:c>
      <x:c r="O328" s="48" t="str">
        <x:f>_xlfn.XLOOKUP($A328&amp;"|李侑津醫師",'試行熟悉度'!$K$7:$K$20,'試行熟悉度'!$E$7:$E$20,"未評估",0)</x:f>
        <x:v>可獨立配合</x:v>
      </x:c>
      <x:c r="P328" s="48" t="str">
        <x:f>_xlfn.XLOOKUP($A328&amp;"|李侑津醫師",'試行熟悉度'!$K$7:$K$20,'試行熟悉度'!$F$7:$F$20,"未建立",0)</x:f>
        <x:v>待主管核定</x:v>
      </x:c>
      <x:c r="Q328" s="39" t="str">
        <x:v>確認後才納入自動判定</x:v>
      </x:c>
    </x:row>
    <x:row r="329">
      <x:c r="A329" s="37" t="str">
        <x:v>1026</x:v>
      </x:c>
      <x:c r="B329" s="37" t="str"/>
      <x:c r="C329" s="37" t="str">
        <x:v>LJT-PERIO</x:v>
      </x:c>
      <x:c r="D329" s="37" t="str">
        <x:v>牙周統合</x:v>
      </x:c>
      <x:c r="E329" s="37" t="str">
        <x:v>一般</x:v>
      </x:c>
      <x:c r="F329" s="37" t="str">
        <x:v>一般</x:v>
      </x:c>
      <x:c r="G329" s="37" t="str">
        <x:v>COMMON-INSURANCE</x:v>
      </x:c>
      <x:c r="H329" s="37" t="str">
        <x:v>待確認</x:v>
      </x:c>
      <x:c r="I329" s="37" t="str">
        <x:f>_xlfn.XLOOKUP($C329&amp;"|"&amp;$G329,'李醫師能力要求'!$M$7:$M$59,'李醫師能力要求'!$K$7:$K$59,"待確認",0)</x:f>
        <x:v>待確認</x:v>
      </x:c>
      <x:c r="J329" s="37" t="str">
        <x:v>◎</x:v>
      </x:c>
      <x:c r="K329" s="37" t="str">
        <x:v>Ø</x:v>
      </x:c>
      <x:c r="L329" s="48" t="str">
        <x:f>_xlfn.XLOOKUP($A329&amp;"|"&amp;$G329,'試行能力狀態'!$L$7:$L$258,'試行能力狀態'!$E$7:$E$258,"未評估",0)</x:f>
        <x:v>△</x:v>
      </x:c>
      <x:c r="M329" s="48" t="str">
        <x:f>_xlfn.XLOOKUP($A329&amp;"|"&amp;$G329,'試行能力狀態'!$L$7:$L$258,'試行能力狀態'!$F$7:$F$258,"未建立",0)</x:f>
        <x:v>待主管核定</x:v>
      </x:c>
      <x:c r="N329" s="48" t="str">
        <x:f>IF($L329="◎","符合獨立",IF($L329="Ø","符合條件","不符合"))</x:f>
        <x:v>不符合</x:v>
      </x:c>
      <x:c r="O329" s="48" t="str">
        <x:f>_xlfn.XLOOKUP($A329&amp;"|李侑津醫師",'試行熟悉度'!$K$7:$K$20,'試行熟悉度'!$E$7:$E$20,"未評估",0)</x:f>
        <x:v>可獨立配合</x:v>
      </x:c>
      <x:c r="P329" s="48" t="str">
        <x:f>_xlfn.XLOOKUP($A329&amp;"|李侑津醫師",'試行熟悉度'!$K$7:$K$20,'試行熟悉度'!$F$7:$F$20,"未建立",0)</x:f>
        <x:v>待主管核定</x:v>
      </x:c>
      <x:c r="Q329" s="39" t="str">
        <x:v>確認後才納入自動判定</x:v>
      </x:c>
    </x:row>
    <x:row r="330">
      <x:c r="A330" s="37" t="str">
        <x:v>1026</x:v>
      </x:c>
      <x:c r="B330" s="37" t="str"/>
      <x:c r="C330" s="37" t="str">
        <x:v>LJT-PERIO</x:v>
      </x:c>
      <x:c r="D330" s="37" t="str">
        <x:v>牙周統合</x:v>
      </x:c>
      <x:c r="E330" s="37" t="str">
        <x:v>一般</x:v>
      </x:c>
      <x:c r="F330" s="37" t="str">
        <x:v>一般</x:v>
      </x:c>
      <x:c r="G330" s="37" t="str">
        <x:v>COMMON-XRAY-RECORD</x:v>
      </x:c>
      <x:c r="H330" s="37" t="str">
        <x:v>待確認</x:v>
      </x:c>
      <x:c r="I330" s="37" t="str">
        <x:f>_xlfn.XLOOKUP($C330&amp;"|"&amp;$G330,'李醫師能力要求'!$M$7:$M$59,'李醫師能力要求'!$K$7:$K$59,"待確認",0)</x:f>
        <x:v>待確認</x:v>
      </x:c>
      <x:c r="J330" s="37" t="str">
        <x:v>◎</x:v>
      </x:c>
      <x:c r="K330" s="37" t="str">
        <x:v>Ø</x:v>
      </x:c>
      <x:c r="L330" s="48" t="str">
        <x:f>_xlfn.XLOOKUP($A330&amp;"|"&amp;$G330,'試行能力狀態'!$L$7:$L$258,'試行能力狀態'!$E$7:$E$258,"未評估",0)</x:f>
        <x:v>△</x:v>
      </x:c>
      <x:c r="M330" s="48" t="str">
        <x:f>_xlfn.XLOOKUP($A330&amp;"|"&amp;$G330,'試行能力狀態'!$L$7:$L$258,'試行能力狀態'!$F$7:$F$258,"未建立",0)</x:f>
        <x:v>待主管核定</x:v>
      </x:c>
      <x:c r="N330" s="48" t="str">
        <x:f>IF($L330="◎","符合獨立",IF($L330="Ø","符合條件","不符合"))</x:f>
        <x:v>不符合</x:v>
      </x:c>
      <x:c r="O330" s="48" t="str">
        <x:f>_xlfn.XLOOKUP($A330&amp;"|李侑津醫師",'試行熟悉度'!$K$7:$K$20,'試行熟悉度'!$E$7:$E$20,"未評估",0)</x:f>
        <x:v>可獨立配合</x:v>
      </x:c>
      <x:c r="P330" s="48" t="str">
        <x:f>_xlfn.XLOOKUP($A330&amp;"|李侑津醫師",'試行熟悉度'!$K$7:$K$20,'試行熟悉度'!$F$7:$F$20,"未建立",0)</x:f>
        <x:v>待主管核定</x:v>
      </x:c>
      <x:c r="Q330" s="39" t="str">
        <x:v>確認後才納入自動判定</x:v>
      </x:c>
    </x:row>
    <x:row r="331">
      <x:c r="A331" s="37" t="str">
        <x:v>1026</x:v>
      </x:c>
      <x:c r="B331" s="37" t="str"/>
      <x:c r="C331" s="37" t="str">
        <x:v>LJT-RCT</x:v>
      </x:c>
      <x:c r="D331" s="37" t="str">
        <x:v>一般根管治療</x:v>
      </x:c>
      <x:c r="E331" s="37" t="str">
        <x:v>一般</x:v>
      </x:c>
      <x:c r="F331" s="37" t="str">
        <x:v>一般</x:v>
      </x:c>
      <x:c r="G331" s="37" t="str">
        <x:v>LJT-PREP-RCT</x:v>
      </x:c>
      <x:c r="H331" s="37" t="str">
        <x:v>必備</x:v>
      </x:c>
      <x:c r="I331" s="37" t="str">
        <x:f>_xlfn.XLOOKUP($C331&amp;"|"&amp;$G331,'李醫師能力要求'!$M$7:$M$59,'李醫師能力要求'!$K$7:$K$59,"待確認",0)</x:f>
        <x:v>已確認</x:v>
      </x:c>
      <x:c r="J331" s="37" t="str">
        <x:v>◎</x:v>
      </x:c>
      <x:c r="K331" s="37" t="str">
        <x:v>Ø</x:v>
      </x:c>
      <x:c r="L331" s="48" t="str">
        <x:f>_xlfn.XLOOKUP($A331&amp;"|"&amp;$G331,'試行能力狀態'!$L$7:$L$258,'試行能力狀態'!$E$7:$E$258,"未評估",0)</x:f>
        <x:v>◎</x:v>
      </x:c>
      <x:c r="M331" s="48" t="str">
        <x:f>_xlfn.XLOOKUP($A331&amp;"|"&amp;$G331,'試行能力狀態'!$L$7:$L$258,'試行能力狀態'!$F$7:$F$258,"未建立",0)</x:f>
        <x:v>待主管核定</x:v>
      </x:c>
      <x:c r="N331" s="48" t="str">
        <x:f>IF($L331="◎","符合獨立",IF($L331="Ø","符合條件","不符合"))</x:f>
        <x:v>符合獨立</x:v>
      </x:c>
      <x:c r="O331" s="48" t="str">
        <x:f>_xlfn.XLOOKUP($A331&amp;"|李侑津醫師",'試行熟悉度'!$K$7:$K$20,'試行熟悉度'!$E$7:$E$20,"未評估",0)</x:f>
        <x:v>可獨立配合</x:v>
      </x:c>
      <x:c r="P331" s="48" t="str">
        <x:f>_xlfn.XLOOKUP($A331&amp;"|李侑津醫師",'試行熟悉度'!$K$7:$K$20,'試行熟悉度'!$F$7:$F$20,"未建立",0)</x:f>
        <x:v>待主管核定</x:v>
      </x:c>
      <x:c r="Q331" s="39" t="str">
        <x:v>依一般支援名額</x:v>
      </x:c>
    </x:row>
    <x:row r="332">
      <x:c r="A332" s="37" t="str">
        <x:v>1026</x:v>
      </x:c>
      <x:c r="B332" s="37" t="str"/>
      <x:c r="C332" s="37" t="str">
        <x:v>LJT-RCT</x:v>
      </x:c>
      <x:c r="D332" s="37" t="str">
        <x:v>一般根管治療</x:v>
      </x:c>
      <x:c r="E332" s="37" t="str">
        <x:v>一般</x:v>
      </x:c>
      <x:c r="F332" s="37" t="str">
        <x:v>一般</x:v>
      </x:c>
      <x:c r="G332" s="37" t="str">
        <x:v>COMMON-RECORD</x:v>
      </x:c>
      <x:c r="H332" s="37" t="str">
        <x:v>待確認</x:v>
      </x:c>
      <x:c r="I332" s="37" t="str">
        <x:f>_xlfn.XLOOKUP($C332&amp;"|"&amp;$G332,'李醫師能力要求'!$M$7:$M$59,'李醫師能力要求'!$K$7:$K$59,"待確認",0)</x:f>
        <x:v>待確認</x:v>
      </x:c>
      <x:c r="J332" s="37" t="str">
        <x:v>◎</x:v>
      </x:c>
      <x:c r="K332" s="37" t="str">
        <x:v>Ø</x:v>
      </x:c>
      <x:c r="L332" s="48" t="str">
        <x:f>_xlfn.XLOOKUP($A332&amp;"|"&amp;$G332,'試行能力狀態'!$L$7:$L$258,'試行能力狀態'!$E$7:$E$258,"未評估",0)</x:f>
        <x:v>△</x:v>
      </x:c>
      <x:c r="M332" s="48" t="str">
        <x:f>_xlfn.XLOOKUP($A332&amp;"|"&amp;$G332,'試行能力狀態'!$L$7:$L$258,'試行能力狀態'!$F$7:$F$258,"未建立",0)</x:f>
        <x:v>待主管核定</x:v>
      </x:c>
      <x:c r="N332" s="48" t="str">
        <x:f>IF($L332="◎","符合獨立",IF($L332="Ø","符合條件","不符合"))</x:f>
        <x:v>不符合</x:v>
      </x:c>
      <x:c r="O332" s="48" t="str">
        <x:f>_xlfn.XLOOKUP($A332&amp;"|李侑津醫師",'試行熟悉度'!$K$7:$K$20,'試行熟悉度'!$E$7:$E$20,"未評估",0)</x:f>
        <x:v>可獨立配合</x:v>
      </x:c>
      <x:c r="P332" s="48" t="str">
        <x:f>_xlfn.XLOOKUP($A332&amp;"|李侑津醫師",'試行熟悉度'!$K$7:$K$20,'試行熟悉度'!$F$7:$F$20,"未建立",0)</x:f>
        <x:v>待主管核定</x:v>
      </x:c>
      <x:c r="Q332" s="39" t="str">
        <x:v>確認後才納入自動判定</x:v>
      </x:c>
    </x:row>
    <x:row r="333">
      <x:c r="A333" s="37" t="str">
        <x:v>1026</x:v>
      </x:c>
      <x:c r="B333" s="37" t="str"/>
      <x:c r="C333" s="37" t="str">
        <x:v>LJT-RCT</x:v>
      </x:c>
      <x:c r="D333" s="37" t="str">
        <x:v>一般根管治療</x:v>
      </x:c>
      <x:c r="E333" s="37" t="str">
        <x:v>一般</x:v>
      </x:c>
      <x:c r="F333" s="37" t="str">
        <x:v>一般</x:v>
      </x:c>
      <x:c r="G333" s="37" t="str">
        <x:v>COMMON-INSURANCE</x:v>
      </x:c>
      <x:c r="H333" s="37" t="str">
        <x:v>待確認</x:v>
      </x:c>
      <x:c r="I333" s="37" t="str">
        <x:f>_xlfn.XLOOKUP($C333&amp;"|"&amp;$G333,'李醫師能力要求'!$M$7:$M$59,'李醫師能力要求'!$K$7:$K$59,"待確認",0)</x:f>
        <x:v>待確認</x:v>
      </x:c>
      <x:c r="J333" s="37" t="str">
        <x:v>◎</x:v>
      </x:c>
      <x:c r="K333" s="37" t="str">
        <x:v>Ø</x:v>
      </x:c>
      <x:c r="L333" s="48" t="str">
        <x:f>_xlfn.XLOOKUP($A333&amp;"|"&amp;$G333,'試行能力狀態'!$L$7:$L$258,'試行能力狀態'!$E$7:$E$258,"未評估",0)</x:f>
        <x:v>△</x:v>
      </x:c>
      <x:c r="M333" s="48" t="str">
        <x:f>_xlfn.XLOOKUP($A333&amp;"|"&amp;$G333,'試行能力狀態'!$L$7:$L$258,'試行能力狀態'!$F$7:$F$258,"未建立",0)</x:f>
        <x:v>待主管核定</x:v>
      </x:c>
      <x:c r="N333" s="48" t="str">
        <x:f>IF($L333="◎","符合獨立",IF($L333="Ø","符合條件","不符合"))</x:f>
        <x:v>不符合</x:v>
      </x:c>
      <x:c r="O333" s="48" t="str">
        <x:f>_xlfn.XLOOKUP($A333&amp;"|李侑津醫師",'試行熟悉度'!$K$7:$K$20,'試行熟悉度'!$E$7:$E$20,"未評估",0)</x:f>
        <x:v>可獨立配合</x:v>
      </x:c>
      <x:c r="P333" s="48" t="str">
        <x:f>_xlfn.XLOOKUP($A333&amp;"|李侑津醫師",'試行熟悉度'!$K$7:$K$20,'試行熟悉度'!$F$7:$F$20,"未建立",0)</x:f>
        <x:v>待主管核定</x:v>
      </x:c>
      <x:c r="Q333" s="39" t="str">
        <x:v>確認後才納入自動判定</x:v>
      </x:c>
    </x:row>
    <x:row r="334">
      <x:c r="A334" s="37" t="str">
        <x:v>1026</x:v>
      </x:c>
      <x:c r="B334" s="37" t="str"/>
      <x:c r="C334" s="37" t="str">
        <x:v>LJT-RCT</x:v>
      </x:c>
      <x:c r="D334" s="37" t="str">
        <x:v>一般根管治療</x:v>
      </x:c>
      <x:c r="E334" s="37" t="str">
        <x:v>一般</x:v>
      </x:c>
      <x:c r="F334" s="37" t="str">
        <x:v>一般</x:v>
      </x:c>
      <x:c r="G334" s="37" t="str">
        <x:v>COMMON-XRAY-RECORD</x:v>
      </x:c>
      <x:c r="H334" s="37" t="str">
        <x:v>待確認</x:v>
      </x:c>
      <x:c r="I334" s="37" t="str">
        <x:f>_xlfn.XLOOKUP($C334&amp;"|"&amp;$G334,'李醫師能力要求'!$M$7:$M$59,'李醫師能力要求'!$K$7:$K$59,"待確認",0)</x:f>
        <x:v>待確認</x:v>
      </x:c>
      <x:c r="J334" s="37" t="str">
        <x:v>◎</x:v>
      </x:c>
      <x:c r="K334" s="37" t="str">
        <x:v>Ø</x:v>
      </x:c>
      <x:c r="L334" s="48" t="str">
        <x:f>_xlfn.XLOOKUP($A334&amp;"|"&amp;$G334,'試行能力狀態'!$L$7:$L$258,'試行能力狀態'!$E$7:$E$258,"未評估",0)</x:f>
        <x:v>△</x:v>
      </x:c>
      <x:c r="M334" s="48" t="str">
        <x:f>_xlfn.XLOOKUP($A334&amp;"|"&amp;$G334,'試行能力狀態'!$L$7:$L$258,'試行能力狀態'!$F$7:$F$258,"未建立",0)</x:f>
        <x:v>待主管核定</x:v>
      </x:c>
      <x:c r="N334" s="48" t="str">
        <x:f>IF($L334="◎","符合獨立",IF($L334="Ø","符合條件","不符合"))</x:f>
        <x:v>不符合</x:v>
      </x:c>
      <x:c r="O334" s="48" t="str">
        <x:f>_xlfn.XLOOKUP($A334&amp;"|李侑津醫師",'試行熟悉度'!$K$7:$K$20,'試行熟悉度'!$E$7:$E$20,"未評估",0)</x:f>
        <x:v>可獨立配合</x:v>
      </x:c>
      <x:c r="P334" s="48" t="str">
        <x:f>_xlfn.XLOOKUP($A334&amp;"|李侑津醫師",'試行熟悉度'!$K$7:$K$20,'試行熟悉度'!$F$7:$F$20,"未建立",0)</x:f>
        <x:v>待主管核定</x:v>
      </x:c>
      <x:c r="Q334" s="39" t="str">
        <x:v>確認後才納入自動判定</x:v>
      </x:c>
    </x:row>
    <x:row r="335">
      <x:c r="A335" s="37" t="str">
        <x:v>1026</x:v>
      </x:c>
      <x:c r="B335" s="37" t="str"/>
      <x:c r="C335" s="37" t="str">
        <x:v>LJT-EXTRACTION</x:v>
      </x:c>
      <x:c r="D335" s="37" t="str">
        <x:v>拔牙</x:v>
      </x:c>
      <x:c r="E335" s="37" t="str">
        <x:v>一般</x:v>
      </x:c>
      <x:c r="F335" s="37" t="str">
        <x:v>一般</x:v>
      </x:c>
      <x:c r="G335" s="37" t="str">
        <x:v>LJT-PREP-EXTRACTION</x:v>
      </x:c>
      <x:c r="H335" s="37" t="str">
        <x:v>必備</x:v>
      </x:c>
      <x:c r="I335" s="37" t="str">
        <x:f>_xlfn.XLOOKUP($C335&amp;"|"&amp;$G335,'李醫師能力要求'!$M$7:$M$59,'李醫師能力要求'!$K$7:$K$59,"待確認",0)</x:f>
        <x:v>已確認</x:v>
      </x:c>
      <x:c r="J335" s="37" t="str">
        <x:v>◎</x:v>
      </x:c>
      <x:c r="K335" s="37" t="str">
        <x:v>Ø</x:v>
      </x:c>
      <x:c r="L335" s="48" t="str">
        <x:f>_xlfn.XLOOKUP($A335&amp;"|"&amp;$G335,'試行能力狀態'!$L$7:$L$258,'試行能力狀態'!$E$7:$E$258,"未評估",0)</x:f>
        <x:v>Ø</x:v>
      </x:c>
      <x:c r="M335" s="48" t="str">
        <x:f>_xlfn.XLOOKUP($A335&amp;"|"&amp;$G335,'試行能力狀態'!$L$7:$L$258,'試行能力狀態'!$F$7:$F$258,"未建立",0)</x:f>
        <x:v>待主管核定</x:v>
      </x:c>
      <x:c r="N335" s="48" t="str">
        <x:f>IF($L335="◎","符合獨立",IF($L335="Ø","符合條件","不符合"))</x:f>
        <x:v>符合條件</x:v>
      </x:c>
      <x:c r="O335" s="48" t="str">
        <x:f>_xlfn.XLOOKUP($A335&amp;"|李侑津醫師",'試行熟悉度'!$K$7:$K$20,'試行熟悉度'!$E$7:$E$20,"未評估",0)</x:f>
        <x:v>可獨立配合</x:v>
      </x:c>
      <x:c r="P335" s="48" t="str">
        <x:f>_xlfn.XLOOKUP($A335&amp;"|李侑津醫師",'試行熟悉度'!$K$7:$K$20,'試行熟悉度'!$F$7:$F$20,"未建立",0)</x:f>
        <x:v>待主管核定</x:v>
      </x:c>
      <x:c r="Q335" s="39" t="str">
        <x:v>依一般支援名額</x:v>
      </x:c>
    </x:row>
    <x:row r="336">
      <x:c r="A336" s="37" t="str">
        <x:v>1026</x:v>
      </x:c>
      <x:c r="B336" s="37" t="str"/>
      <x:c r="C336" s="37" t="str">
        <x:v>LJT-EXTRACTION</x:v>
      </x:c>
      <x:c r="D336" s="37" t="str">
        <x:v>拔牙</x:v>
      </x:c>
      <x:c r="E336" s="37" t="str">
        <x:v>一般</x:v>
      </x:c>
      <x:c r="F336" s="37" t="str">
        <x:v>一般</x:v>
      </x:c>
      <x:c r="G336" s="37" t="str">
        <x:v>COMMON-RECORD</x:v>
      </x:c>
      <x:c r="H336" s="37" t="str">
        <x:v>待確認</x:v>
      </x:c>
      <x:c r="I336" s="37" t="str">
        <x:f>_xlfn.XLOOKUP($C336&amp;"|"&amp;$G336,'李醫師能力要求'!$M$7:$M$59,'李醫師能力要求'!$K$7:$K$59,"待確認",0)</x:f>
        <x:v>待確認</x:v>
      </x:c>
      <x:c r="J336" s="37" t="str">
        <x:v>◎</x:v>
      </x:c>
      <x:c r="K336" s="37" t="str">
        <x:v>Ø</x:v>
      </x:c>
      <x:c r="L336" s="48" t="str">
        <x:f>_xlfn.XLOOKUP($A336&amp;"|"&amp;$G336,'試行能力狀態'!$L$7:$L$258,'試行能力狀態'!$E$7:$E$258,"未評估",0)</x:f>
        <x:v>△</x:v>
      </x:c>
      <x:c r="M336" s="48" t="str">
        <x:f>_xlfn.XLOOKUP($A336&amp;"|"&amp;$G336,'試行能力狀態'!$L$7:$L$258,'試行能力狀態'!$F$7:$F$258,"未建立",0)</x:f>
        <x:v>待主管核定</x:v>
      </x:c>
      <x:c r="N336" s="48" t="str">
        <x:f>IF($L336="◎","符合獨立",IF($L336="Ø","符合條件","不符合"))</x:f>
        <x:v>不符合</x:v>
      </x:c>
      <x:c r="O336" s="48" t="str">
        <x:f>_xlfn.XLOOKUP($A336&amp;"|李侑津醫師",'試行熟悉度'!$K$7:$K$20,'試行熟悉度'!$E$7:$E$20,"未評估",0)</x:f>
        <x:v>可獨立配合</x:v>
      </x:c>
      <x:c r="P336" s="48" t="str">
        <x:f>_xlfn.XLOOKUP($A336&amp;"|李侑津醫師",'試行熟悉度'!$K$7:$K$20,'試行熟悉度'!$F$7:$F$20,"未建立",0)</x:f>
        <x:v>待主管核定</x:v>
      </x:c>
      <x:c r="Q336" s="39" t="str">
        <x:v>確認後才納入自動判定</x:v>
      </x:c>
    </x:row>
    <x:row r="337">
      <x:c r="A337" s="37" t="str">
        <x:v>1026</x:v>
      </x:c>
      <x:c r="B337" s="37" t="str"/>
      <x:c r="C337" s="37" t="str">
        <x:v>LJT-EXTRACTION</x:v>
      </x:c>
      <x:c r="D337" s="37" t="str">
        <x:v>拔牙</x:v>
      </x:c>
      <x:c r="E337" s="37" t="str">
        <x:v>一般</x:v>
      </x:c>
      <x:c r="F337" s="37" t="str">
        <x:v>一般</x:v>
      </x:c>
      <x:c r="G337" s="37" t="str">
        <x:v>COMMON-INSURANCE</x:v>
      </x:c>
      <x:c r="H337" s="37" t="str">
        <x:v>待確認</x:v>
      </x:c>
      <x:c r="I337" s="37" t="str">
        <x:f>_xlfn.XLOOKUP($C337&amp;"|"&amp;$G337,'李醫師能力要求'!$M$7:$M$59,'李醫師能力要求'!$K$7:$K$59,"待確認",0)</x:f>
        <x:v>待確認</x:v>
      </x:c>
      <x:c r="J337" s="37" t="str">
        <x:v>◎</x:v>
      </x:c>
      <x:c r="K337" s="37" t="str">
        <x:v>Ø</x:v>
      </x:c>
      <x:c r="L337" s="48" t="str">
        <x:f>_xlfn.XLOOKUP($A337&amp;"|"&amp;$G337,'試行能力狀態'!$L$7:$L$258,'試行能力狀態'!$E$7:$E$258,"未評估",0)</x:f>
        <x:v>△</x:v>
      </x:c>
      <x:c r="M337" s="48" t="str">
        <x:f>_xlfn.XLOOKUP($A337&amp;"|"&amp;$G337,'試行能力狀態'!$L$7:$L$258,'試行能力狀態'!$F$7:$F$258,"未建立",0)</x:f>
        <x:v>待主管核定</x:v>
      </x:c>
      <x:c r="N337" s="48" t="str">
        <x:f>IF($L337="◎","符合獨立",IF($L337="Ø","符合條件","不符合"))</x:f>
        <x:v>不符合</x:v>
      </x:c>
      <x:c r="O337" s="48" t="str">
        <x:f>_xlfn.XLOOKUP($A337&amp;"|李侑津醫師",'試行熟悉度'!$K$7:$K$20,'試行熟悉度'!$E$7:$E$20,"未評估",0)</x:f>
        <x:v>可獨立配合</x:v>
      </x:c>
      <x:c r="P337" s="48" t="str">
        <x:f>_xlfn.XLOOKUP($A337&amp;"|李侑津醫師",'試行熟悉度'!$K$7:$K$20,'試行熟悉度'!$F$7:$F$20,"未建立",0)</x:f>
        <x:v>待主管核定</x:v>
      </x:c>
      <x:c r="Q337" s="39" t="str">
        <x:v>確認後才納入自動判定</x:v>
      </x:c>
    </x:row>
    <x:row r="338">
      <x:c r="A338" s="37" t="str">
        <x:v>1026</x:v>
      </x:c>
      <x:c r="B338" s="37" t="str"/>
      <x:c r="C338" s="37" t="str">
        <x:v>LJT-EXTRACTION</x:v>
      </x:c>
      <x:c r="D338" s="37" t="str">
        <x:v>拔牙</x:v>
      </x:c>
      <x:c r="E338" s="37" t="str">
        <x:v>一般</x:v>
      </x:c>
      <x:c r="F338" s="37" t="str">
        <x:v>一般</x:v>
      </x:c>
      <x:c r="G338" s="37" t="str">
        <x:v>COMMON-XRAY-RECORD</x:v>
      </x:c>
      <x:c r="H338" s="37" t="str">
        <x:v>待確認</x:v>
      </x:c>
      <x:c r="I338" s="37" t="str">
        <x:f>_xlfn.XLOOKUP($C338&amp;"|"&amp;$G338,'李醫師能力要求'!$M$7:$M$59,'李醫師能力要求'!$K$7:$K$59,"待確認",0)</x:f>
        <x:v>待確認</x:v>
      </x:c>
      <x:c r="J338" s="37" t="str">
        <x:v>◎</x:v>
      </x:c>
      <x:c r="K338" s="37" t="str">
        <x:v>Ø</x:v>
      </x:c>
      <x:c r="L338" s="48" t="str">
        <x:f>_xlfn.XLOOKUP($A338&amp;"|"&amp;$G338,'試行能力狀態'!$L$7:$L$258,'試行能力狀態'!$E$7:$E$258,"未評估",0)</x:f>
        <x:v>△</x:v>
      </x:c>
      <x:c r="M338" s="48" t="str">
        <x:f>_xlfn.XLOOKUP($A338&amp;"|"&amp;$G338,'試行能力狀態'!$L$7:$L$258,'試行能力狀態'!$F$7:$F$258,"未建立",0)</x:f>
        <x:v>待主管核定</x:v>
      </x:c>
      <x:c r="N338" s="48" t="str">
        <x:f>IF($L338="◎","符合獨立",IF($L338="Ø","符合條件","不符合"))</x:f>
        <x:v>不符合</x:v>
      </x:c>
      <x:c r="O338" s="48" t="str">
        <x:f>_xlfn.XLOOKUP($A338&amp;"|李侑津醫師",'試行熟悉度'!$K$7:$K$20,'試行熟悉度'!$E$7:$E$20,"未評估",0)</x:f>
        <x:v>可獨立配合</x:v>
      </x:c>
      <x:c r="P338" s="48" t="str">
        <x:f>_xlfn.XLOOKUP($A338&amp;"|李侑津醫師",'試行熟悉度'!$K$7:$K$20,'試行熟悉度'!$F$7:$F$20,"未建立",0)</x:f>
        <x:v>待主管核定</x:v>
      </x:c>
      <x:c r="Q338" s="39" t="str">
        <x:v>確認後才納入自動判定</x:v>
      </x:c>
    </x:row>
    <x:row r="339">
      <x:c r="A339" s="37" t="str">
        <x:v>1026</x:v>
      </x:c>
      <x:c r="B339" s="37" t="str"/>
      <x:c r="C339" s="37" t="str">
        <x:v>LJT-CROWNPOST</x:v>
      </x:c>
      <x:c r="D339" s="37" t="str">
        <x:v>拆 crown/post</x:v>
      </x:c>
      <x:c r="E339" s="37" t="str">
        <x:v>一般</x:v>
      </x:c>
      <x:c r="F339" s="37" t="str">
        <x:v>一般</x:v>
      </x:c>
      <x:c r="G339" s="37" t="str">
        <x:v>LJT-PREP-CROWNPOST</x:v>
      </x:c>
      <x:c r="H339" s="37" t="str">
        <x:v>必備</x:v>
      </x:c>
      <x:c r="I339" s="37" t="str">
        <x:f>_xlfn.XLOOKUP($C339&amp;"|"&amp;$G339,'李醫師能力要求'!$M$7:$M$59,'李醫師能力要求'!$K$7:$K$59,"待確認",0)</x:f>
        <x:v>已確認</x:v>
      </x:c>
      <x:c r="J339" s="37" t="str">
        <x:v>◎</x:v>
      </x:c>
      <x:c r="K339" s="37" t="str">
        <x:v>Ø</x:v>
      </x:c>
      <x:c r="L339" s="48" t="str">
        <x:f>_xlfn.XLOOKUP($A339&amp;"|"&amp;$G339,'試行能力狀態'!$L$7:$L$258,'試行能力狀態'!$E$7:$E$258,"未評估",0)</x:f>
        <x:v>◎</x:v>
      </x:c>
      <x:c r="M339" s="48" t="str">
        <x:f>_xlfn.XLOOKUP($A339&amp;"|"&amp;$G339,'試行能力狀態'!$L$7:$L$258,'試行能力狀態'!$F$7:$F$258,"未建立",0)</x:f>
        <x:v>待主管核定</x:v>
      </x:c>
      <x:c r="N339" s="48" t="str">
        <x:f>IF($L339="◎","符合獨立",IF($L339="Ø","符合條件","不符合"))</x:f>
        <x:v>符合獨立</x:v>
      </x:c>
      <x:c r="O339" s="48" t="str">
        <x:f>_xlfn.XLOOKUP($A339&amp;"|李侑津醫師",'試行熟悉度'!$K$7:$K$20,'試行熟悉度'!$E$7:$E$20,"未評估",0)</x:f>
        <x:v>可獨立配合</x:v>
      </x:c>
      <x:c r="P339" s="48" t="str">
        <x:f>_xlfn.XLOOKUP($A339&amp;"|李侑津醫師",'試行熟悉度'!$K$7:$K$20,'試行熟悉度'!$F$7:$F$20,"未建立",0)</x:f>
        <x:v>待主管核定</x:v>
      </x:c>
      <x:c r="Q339" s="39" t="str">
        <x:v>依一般支援名額</x:v>
      </x:c>
    </x:row>
    <x:row r="340">
      <x:c r="A340" s="37" t="str">
        <x:v>1026</x:v>
      </x:c>
      <x:c r="B340" s="37" t="str"/>
      <x:c r="C340" s="37" t="str">
        <x:v>LJT-CROWNPOST</x:v>
      </x:c>
      <x:c r="D340" s="37" t="str">
        <x:v>拆 crown/post</x:v>
      </x:c>
      <x:c r="E340" s="37" t="str">
        <x:v>一般</x:v>
      </x:c>
      <x:c r="F340" s="37" t="str">
        <x:v>一般</x:v>
      </x:c>
      <x:c r="G340" s="37" t="str">
        <x:v>COMMON-RECORD</x:v>
      </x:c>
      <x:c r="H340" s="37" t="str">
        <x:v>待確認</x:v>
      </x:c>
      <x:c r="I340" s="37" t="str">
        <x:f>_xlfn.XLOOKUP($C340&amp;"|"&amp;$G340,'李醫師能力要求'!$M$7:$M$59,'李醫師能力要求'!$K$7:$K$59,"待確認",0)</x:f>
        <x:v>待確認</x:v>
      </x:c>
      <x:c r="J340" s="37" t="str">
        <x:v>◎</x:v>
      </x:c>
      <x:c r="K340" s="37" t="str">
        <x:v>Ø</x:v>
      </x:c>
      <x:c r="L340" s="48" t="str">
        <x:f>_xlfn.XLOOKUP($A340&amp;"|"&amp;$G340,'試行能力狀態'!$L$7:$L$258,'試行能力狀態'!$E$7:$E$258,"未評估",0)</x:f>
        <x:v>△</x:v>
      </x:c>
      <x:c r="M340" s="48" t="str">
        <x:f>_xlfn.XLOOKUP($A340&amp;"|"&amp;$G340,'試行能力狀態'!$L$7:$L$258,'試行能力狀態'!$F$7:$F$258,"未建立",0)</x:f>
        <x:v>待主管核定</x:v>
      </x:c>
      <x:c r="N340" s="48" t="str">
        <x:f>IF($L340="◎","符合獨立",IF($L340="Ø","符合條件","不符合"))</x:f>
        <x:v>不符合</x:v>
      </x:c>
      <x:c r="O340" s="48" t="str">
        <x:f>_xlfn.XLOOKUP($A340&amp;"|李侑津醫師",'試行熟悉度'!$K$7:$K$20,'試行熟悉度'!$E$7:$E$20,"未評估",0)</x:f>
        <x:v>可獨立配合</x:v>
      </x:c>
      <x:c r="P340" s="48" t="str">
        <x:f>_xlfn.XLOOKUP($A340&amp;"|李侑津醫師",'試行熟悉度'!$K$7:$K$20,'試行熟悉度'!$F$7:$F$20,"未建立",0)</x:f>
        <x:v>待主管核定</x:v>
      </x:c>
      <x:c r="Q340" s="39" t="str">
        <x:v>確認後才納入自動判定</x:v>
      </x:c>
    </x:row>
    <x:row r="341">
      <x:c r="A341" s="37" t="str">
        <x:v>1026</x:v>
      </x:c>
      <x:c r="B341" s="37" t="str"/>
      <x:c r="C341" s="37" t="str">
        <x:v>LJT-CROWNPOST</x:v>
      </x:c>
      <x:c r="D341" s="37" t="str">
        <x:v>拆 crown/post</x:v>
      </x:c>
      <x:c r="E341" s="37" t="str">
        <x:v>一般</x:v>
      </x:c>
      <x:c r="F341" s="37" t="str">
        <x:v>一般</x:v>
      </x:c>
      <x:c r="G341" s="37" t="str">
        <x:v>COMMON-INSURANCE</x:v>
      </x:c>
      <x:c r="H341" s="37" t="str">
        <x:v>待確認</x:v>
      </x:c>
      <x:c r="I341" s="37" t="str">
        <x:f>_xlfn.XLOOKUP($C341&amp;"|"&amp;$G341,'李醫師能力要求'!$M$7:$M$59,'李醫師能力要求'!$K$7:$K$59,"待確認",0)</x:f>
        <x:v>待確認</x:v>
      </x:c>
      <x:c r="J341" s="37" t="str">
        <x:v>◎</x:v>
      </x:c>
      <x:c r="K341" s="37" t="str">
        <x:v>Ø</x:v>
      </x:c>
      <x:c r="L341" s="48" t="str">
        <x:f>_xlfn.XLOOKUP($A341&amp;"|"&amp;$G341,'試行能力狀態'!$L$7:$L$258,'試行能力狀態'!$E$7:$E$258,"未評估",0)</x:f>
        <x:v>△</x:v>
      </x:c>
      <x:c r="M341" s="48" t="str">
        <x:f>_xlfn.XLOOKUP($A341&amp;"|"&amp;$G341,'試行能力狀態'!$L$7:$L$258,'試行能力狀態'!$F$7:$F$258,"未建立",0)</x:f>
        <x:v>待主管核定</x:v>
      </x:c>
      <x:c r="N341" s="48" t="str">
        <x:f>IF($L341="◎","符合獨立",IF($L341="Ø","符合條件","不符合"))</x:f>
        <x:v>不符合</x:v>
      </x:c>
      <x:c r="O341" s="48" t="str">
        <x:f>_xlfn.XLOOKUP($A341&amp;"|李侑津醫師",'試行熟悉度'!$K$7:$K$20,'試行熟悉度'!$E$7:$E$20,"未評估",0)</x:f>
        <x:v>可獨立配合</x:v>
      </x:c>
      <x:c r="P341" s="48" t="str">
        <x:f>_xlfn.XLOOKUP($A341&amp;"|李侑津醫師",'試行熟悉度'!$K$7:$K$20,'試行熟悉度'!$F$7:$F$20,"未建立",0)</x:f>
        <x:v>待主管核定</x:v>
      </x:c>
      <x:c r="Q341" s="39" t="str">
        <x:v>確認後才納入自動判定</x:v>
      </x:c>
    </x:row>
    <x:row r="342">
      <x:c r="A342" s="37" t="str">
        <x:v>1026</x:v>
      </x:c>
      <x:c r="B342" s="37" t="str"/>
      <x:c r="C342" s="37" t="str">
        <x:v>LJT-CROWNPOST</x:v>
      </x:c>
      <x:c r="D342" s="37" t="str">
        <x:v>拆 crown/post</x:v>
      </x:c>
      <x:c r="E342" s="37" t="str">
        <x:v>一般</x:v>
      </x:c>
      <x:c r="F342" s="37" t="str">
        <x:v>一般</x:v>
      </x:c>
      <x:c r="G342" s="37" t="str">
        <x:v>COMMON-XRAY-RECORD</x:v>
      </x:c>
      <x:c r="H342" s="37" t="str">
        <x:v>待確認</x:v>
      </x:c>
      <x:c r="I342" s="37" t="str">
        <x:f>_xlfn.XLOOKUP($C342&amp;"|"&amp;$G342,'李醫師能力要求'!$M$7:$M$59,'李醫師能力要求'!$K$7:$K$59,"待確認",0)</x:f>
        <x:v>待確認</x:v>
      </x:c>
      <x:c r="J342" s="37" t="str">
        <x:v>◎</x:v>
      </x:c>
      <x:c r="K342" s="37" t="str">
        <x:v>Ø</x:v>
      </x:c>
      <x:c r="L342" s="48" t="str">
        <x:f>_xlfn.XLOOKUP($A342&amp;"|"&amp;$G342,'試行能力狀態'!$L$7:$L$258,'試行能力狀態'!$E$7:$E$258,"未評估",0)</x:f>
        <x:v>△</x:v>
      </x:c>
      <x:c r="M342" s="48" t="str">
        <x:f>_xlfn.XLOOKUP($A342&amp;"|"&amp;$G342,'試行能力狀態'!$L$7:$L$258,'試行能力狀態'!$F$7:$F$258,"未建立",0)</x:f>
        <x:v>待主管核定</x:v>
      </x:c>
      <x:c r="N342" s="48" t="str">
        <x:f>IF($L342="◎","符合獨立",IF($L342="Ø","符合條件","不符合"))</x:f>
        <x:v>不符合</x:v>
      </x:c>
      <x:c r="O342" s="48" t="str">
        <x:f>_xlfn.XLOOKUP($A342&amp;"|李侑津醫師",'試行熟悉度'!$K$7:$K$20,'試行熟悉度'!$E$7:$E$20,"未評估",0)</x:f>
        <x:v>可獨立配合</x:v>
      </x:c>
      <x:c r="P342" s="48" t="str">
        <x:f>_xlfn.XLOOKUP($A342&amp;"|李侑津醫師",'試行熟悉度'!$K$7:$K$20,'試行熟悉度'!$F$7:$F$20,"未建立",0)</x:f>
        <x:v>待主管核定</x:v>
      </x:c>
      <x:c r="Q342" s="39" t="str">
        <x:v>確認後才納入自動判定</x:v>
      </x:c>
    </x:row>
    <x:row r="343">
      <x:c r="A343" s="37" t="str">
        <x:v>1026</x:v>
      </x:c>
      <x:c r="B343" s="37" t="str"/>
      <x:c r="C343" s="37" t="str">
        <x:v>LJT-CROWN</x:v>
      </x:c>
      <x:c r="D343" s="37" t="str">
        <x:v>固定假牙</x:v>
      </x:c>
      <x:c r="E343" s="37" t="str">
        <x:v>一般</x:v>
      </x:c>
      <x:c r="F343" s="37" t="str">
        <x:v>一般</x:v>
      </x:c>
      <x:c r="G343" s="37" t="str">
        <x:v>LJT-PREP-CROWN</x:v>
      </x:c>
      <x:c r="H343" s="37" t="str">
        <x:v>必備</x:v>
      </x:c>
      <x:c r="I343" s="37" t="str">
        <x:f>_xlfn.XLOOKUP($C343&amp;"|"&amp;$G343,'李醫師能力要求'!$M$7:$M$59,'李醫師能力要求'!$K$7:$K$59,"待確認",0)</x:f>
        <x:v>已確認</x:v>
      </x:c>
      <x:c r="J343" s="37" t="str">
        <x:v>◎</x:v>
      </x:c>
      <x:c r="K343" s="37" t="str">
        <x:v>Ø</x:v>
      </x:c>
      <x:c r="L343" s="48" t="str">
        <x:f>_xlfn.XLOOKUP($A343&amp;"|"&amp;$G343,'試行能力狀態'!$L$7:$L$258,'試行能力狀態'!$E$7:$E$258,"未評估",0)</x:f>
        <x:v>◎</x:v>
      </x:c>
      <x:c r="M343" s="48" t="str">
        <x:f>_xlfn.XLOOKUP($A343&amp;"|"&amp;$G343,'試行能力狀態'!$L$7:$L$258,'試行能力狀態'!$F$7:$F$258,"未建立",0)</x:f>
        <x:v>待主管核定</x:v>
      </x:c>
      <x:c r="N343" s="48" t="str">
        <x:f>IF($L343="◎","符合獨立",IF($L343="Ø","符合條件","不符合"))</x:f>
        <x:v>符合獨立</x:v>
      </x:c>
      <x:c r="O343" s="48" t="str">
        <x:f>_xlfn.XLOOKUP($A343&amp;"|李侑津醫師",'試行熟悉度'!$K$7:$K$20,'試行熟悉度'!$E$7:$E$20,"未評估",0)</x:f>
        <x:v>可獨立配合</x:v>
      </x:c>
      <x:c r="P343" s="48" t="str">
        <x:f>_xlfn.XLOOKUP($A343&amp;"|李侑津醫師",'試行熟悉度'!$K$7:$K$20,'試行熟悉度'!$F$7:$F$20,"未建立",0)</x:f>
        <x:v>待主管核定</x:v>
      </x:c>
      <x:c r="Q343" s="39" t="str">
        <x:v>依一般支援名額</x:v>
      </x:c>
    </x:row>
    <x:row r="344">
      <x:c r="A344" s="37" t="str">
        <x:v>1026</x:v>
      </x:c>
      <x:c r="B344" s="37" t="str"/>
      <x:c r="C344" s="37" t="str">
        <x:v>LJT-CROWN</x:v>
      </x:c>
      <x:c r="D344" s="37" t="str">
        <x:v>固定假牙</x:v>
      </x:c>
      <x:c r="E344" s="37" t="str">
        <x:v>一般</x:v>
      </x:c>
      <x:c r="F344" s="37" t="str">
        <x:v>一般</x:v>
      </x:c>
      <x:c r="G344" s="37" t="str">
        <x:v>COMMON-RECORD</x:v>
      </x:c>
      <x:c r="H344" s="37" t="str">
        <x:v>待確認</x:v>
      </x:c>
      <x:c r="I344" s="37" t="str">
        <x:f>_xlfn.XLOOKUP($C344&amp;"|"&amp;$G344,'李醫師能力要求'!$M$7:$M$59,'李醫師能力要求'!$K$7:$K$59,"待確認",0)</x:f>
        <x:v>待確認</x:v>
      </x:c>
      <x:c r="J344" s="37" t="str">
        <x:v>◎</x:v>
      </x:c>
      <x:c r="K344" s="37" t="str">
        <x:v>Ø</x:v>
      </x:c>
      <x:c r="L344" s="48" t="str">
        <x:f>_xlfn.XLOOKUP($A344&amp;"|"&amp;$G344,'試行能力狀態'!$L$7:$L$258,'試行能力狀態'!$E$7:$E$258,"未評估",0)</x:f>
        <x:v>△</x:v>
      </x:c>
      <x:c r="M344" s="48" t="str">
        <x:f>_xlfn.XLOOKUP($A344&amp;"|"&amp;$G344,'試行能力狀態'!$L$7:$L$258,'試行能力狀態'!$F$7:$F$258,"未建立",0)</x:f>
        <x:v>待主管核定</x:v>
      </x:c>
      <x:c r="N344" s="48" t="str">
        <x:f>IF($L344="◎","符合獨立",IF($L344="Ø","符合條件","不符合"))</x:f>
        <x:v>不符合</x:v>
      </x:c>
      <x:c r="O344" s="48" t="str">
        <x:f>_xlfn.XLOOKUP($A344&amp;"|李侑津醫師",'試行熟悉度'!$K$7:$K$20,'試行熟悉度'!$E$7:$E$20,"未評估",0)</x:f>
        <x:v>可獨立配合</x:v>
      </x:c>
      <x:c r="P344" s="48" t="str">
        <x:f>_xlfn.XLOOKUP($A344&amp;"|李侑津醫師",'試行熟悉度'!$K$7:$K$20,'試行熟悉度'!$F$7:$F$20,"未建立",0)</x:f>
        <x:v>待主管核定</x:v>
      </x:c>
      <x:c r="Q344" s="39" t="str">
        <x:v>確認後才納入自動判定</x:v>
      </x:c>
    </x:row>
    <x:row r="345">
      <x:c r="A345" s="37" t="str">
        <x:v>1026</x:v>
      </x:c>
      <x:c r="B345" s="37" t="str"/>
      <x:c r="C345" s="37" t="str">
        <x:v>LJT-CROWN</x:v>
      </x:c>
      <x:c r="D345" s="37" t="str">
        <x:v>固定假牙</x:v>
      </x:c>
      <x:c r="E345" s="37" t="str">
        <x:v>一般</x:v>
      </x:c>
      <x:c r="F345" s="37" t="str">
        <x:v>一般</x:v>
      </x:c>
      <x:c r="G345" s="37" t="str">
        <x:v>COMMON-INSURANCE</x:v>
      </x:c>
      <x:c r="H345" s="37" t="str">
        <x:v>待確認</x:v>
      </x:c>
      <x:c r="I345" s="37" t="str">
        <x:f>_xlfn.XLOOKUP($C345&amp;"|"&amp;$G345,'李醫師能力要求'!$M$7:$M$59,'李醫師能力要求'!$K$7:$K$59,"待確認",0)</x:f>
        <x:v>待確認</x:v>
      </x:c>
      <x:c r="J345" s="37" t="str">
        <x:v>◎</x:v>
      </x:c>
      <x:c r="K345" s="37" t="str">
        <x:v>Ø</x:v>
      </x:c>
      <x:c r="L345" s="48" t="str">
        <x:f>_xlfn.XLOOKUP($A345&amp;"|"&amp;$G345,'試行能力狀態'!$L$7:$L$258,'試行能力狀態'!$E$7:$E$258,"未評估",0)</x:f>
        <x:v>△</x:v>
      </x:c>
      <x:c r="M345" s="48" t="str">
        <x:f>_xlfn.XLOOKUP($A345&amp;"|"&amp;$G345,'試行能力狀態'!$L$7:$L$258,'試行能力狀態'!$F$7:$F$258,"未建立",0)</x:f>
        <x:v>待主管核定</x:v>
      </x:c>
      <x:c r="N345" s="48" t="str">
        <x:f>IF($L345="◎","符合獨立",IF($L345="Ø","符合條件","不符合"))</x:f>
        <x:v>不符合</x:v>
      </x:c>
      <x:c r="O345" s="48" t="str">
        <x:f>_xlfn.XLOOKUP($A345&amp;"|李侑津醫師",'試行熟悉度'!$K$7:$K$20,'試行熟悉度'!$E$7:$E$20,"未評估",0)</x:f>
        <x:v>可獨立配合</x:v>
      </x:c>
      <x:c r="P345" s="48" t="str">
        <x:f>_xlfn.XLOOKUP($A345&amp;"|李侑津醫師",'試行熟悉度'!$K$7:$K$20,'試行熟悉度'!$F$7:$F$20,"未建立",0)</x:f>
        <x:v>待主管核定</x:v>
      </x:c>
      <x:c r="Q345" s="39" t="str">
        <x:v>確認後才納入自動判定</x:v>
      </x:c>
    </x:row>
    <x:row r="346">
      <x:c r="A346" s="37" t="str">
        <x:v>1026</x:v>
      </x:c>
      <x:c r="B346" s="37" t="str"/>
      <x:c r="C346" s="37" t="str">
        <x:v>LJT-CROWN</x:v>
      </x:c>
      <x:c r="D346" s="37" t="str">
        <x:v>固定假牙</x:v>
      </x:c>
      <x:c r="E346" s="37" t="str">
        <x:v>一般</x:v>
      </x:c>
      <x:c r="F346" s="37" t="str">
        <x:v>一般</x:v>
      </x:c>
      <x:c r="G346" s="37" t="str">
        <x:v>COMMON-XRAY-RECORD</x:v>
      </x:c>
      <x:c r="H346" s="37" t="str">
        <x:v>待確認</x:v>
      </x:c>
      <x:c r="I346" s="37" t="str">
        <x:f>_xlfn.XLOOKUP($C346&amp;"|"&amp;$G346,'李醫師能力要求'!$M$7:$M$59,'李醫師能力要求'!$K$7:$K$59,"待確認",0)</x:f>
        <x:v>待確認</x:v>
      </x:c>
      <x:c r="J346" s="37" t="str">
        <x:v>◎</x:v>
      </x:c>
      <x:c r="K346" s="37" t="str">
        <x:v>Ø</x:v>
      </x:c>
      <x:c r="L346" s="48" t="str">
        <x:f>_xlfn.XLOOKUP($A346&amp;"|"&amp;$G346,'試行能力狀態'!$L$7:$L$258,'試行能力狀態'!$E$7:$E$258,"未評估",0)</x:f>
        <x:v>△</x:v>
      </x:c>
      <x:c r="M346" s="48" t="str">
        <x:f>_xlfn.XLOOKUP($A346&amp;"|"&amp;$G346,'試行能力狀態'!$L$7:$L$258,'試行能力狀態'!$F$7:$F$258,"未建立",0)</x:f>
        <x:v>待主管核定</x:v>
      </x:c>
      <x:c r="N346" s="48" t="str">
        <x:f>IF($L346="◎","符合獨立",IF($L346="Ø","符合條件","不符合"))</x:f>
        <x:v>不符合</x:v>
      </x:c>
      <x:c r="O346" s="48" t="str">
        <x:f>_xlfn.XLOOKUP($A346&amp;"|李侑津醫師",'試行熟悉度'!$K$7:$K$20,'試行熟悉度'!$E$7:$E$20,"未評估",0)</x:f>
        <x:v>可獨立配合</x:v>
      </x:c>
      <x:c r="P346" s="48" t="str">
        <x:f>_xlfn.XLOOKUP($A346&amp;"|李侑津醫師",'試行熟悉度'!$K$7:$K$20,'試行熟悉度'!$F$7:$F$20,"未建立",0)</x:f>
        <x:v>待主管核定</x:v>
      </x:c>
      <x:c r="Q346" s="39" t="str">
        <x:v>確認後才納入自動判定</x:v>
      </x:c>
    </x:row>
    <x:row r="347">
      <x:c r="A347" s="37" t="str">
        <x:v>1026</x:v>
      </x:c>
      <x:c r="B347" s="37" t="str"/>
      <x:c r="C347" s="37" t="str">
        <x:v>LJT-RPD</x:v>
      </x:c>
      <x:c r="D347" s="37" t="str">
        <x:v>RPD</x:v>
      </x:c>
      <x:c r="E347" s="37" t="str">
        <x:v>一般步驟</x:v>
      </x:c>
      <x:c r="F347" s="37" t="str">
        <x:v>一般</x:v>
      </x:c>
      <x:c r="G347" s="37" t="str">
        <x:v>LJT-PREP-RPD</x:v>
      </x:c>
      <x:c r="H347" s="37" t="str">
        <x:v>必備</x:v>
      </x:c>
      <x:c r="I347" s="37" t="str">
        <x:f>_xlfn.XLOOKUP($C347&amp;"|"&amp;$G347,'李醫師能力要求'!$M$7:$M$59,'李醫師能力要求'!$K$7:$K$59,"待確認",0)</x:f>
        <x:v>已確認</x:v>
      </x:c>
      <x:c r="J347" s="37" t="str">
        <x:v>◎</x:v>
      </x:c>
      <x:c r="K347" s="37" t="str">
        <x:v>Ø</x:v>
      </x:c>
      <x:c r="L347" s="48" t="str">
        <x:f>_xlfn.XLOOKUP($A347&amp;"|"&amp;$G347,'試行能力狀態'!$L$7:$L$258,'試行能力狀態'!$E$7:$E$258,"未評估",0)</x:f>
        <x:v>※</x:v>
      </x:c>
      <x:c r="M347" s="48" t="str">
        <x:f>_xlfn.XLOOKUP($A347&amp;"|"&amp;$G347,'試行能力狀態'!$L$7:$L$258,'試行能力狀態'!$F$7:$F$258,"未建立",0)</x:f>
        <x:v>待主管核定</x:v>
      </x:c>
      <x:c r="N347" s="48" t="str">
        <x:f>IF($L347="◎","符合獨立",IF($L347="Ø","符合條件","不符合"))</x:f>
        <x:v>不符合</x:v>
      </x:c>
      <x:c r="O347" s="48" t="str">
        <x:f>_xlfn.XLOOKUP($A347&amp;"|李侑津醫師",'試行熟悉度'!$K$7:$K$20,'試行熟悉度'!$E$7:$E$20,"未評估",0)</x:f>
        <x:v>可獨立配合</x:v>
      </x:c>
      <x:c r="P347" s="48" t="str">
        <x:f>_xlfn.XLOOKUP($A347&amp;"|李侑津醫師",'試行熟悉度'!$K$7:$K$20,'試行熟悉度'!$F$7:$F$20,"未建立",0)</x:f>
        <x:v>待主管核定</x:v>
      </x:c>
      <x:c r="Q347" s="39" t="str">
        <x:v>依一般支援名額</x:v>
      </x:c>
    </x:row>
    <x:row r="348">
      <x:c r="A348" s="37" t="str">
        <x:v>1026</x:v>
      </x:c>
      <x:c r="B348" s="37" t="str"/>
      <x:c r="C348" s="37" t="str">
        <x:v>LJT-RPD</x:v>
      </x:c>
      <x:c r="D348" s="37" t="str">
        <x:v>RPD</x:v>
      </x:c>
      <x:c r="E348" s="37" t="str">
        <x:v>一般步驟</x:v>
      </x:c>
      <x:c r="F348" s="37" t="str">
        <x:v>一般</x:v>
      </x:c>
      <x:c r="G348" s="37" t="str">
        <x:v>COMMON-RECORD</x:v>
      </x:c>
      <x:c r="H348" s="37" t="str">
        <x:v>待確認</x:v>
      </x:c>
      <x:c r="I348" s="37" t="str">
        <x:f>_xlfn.XLOOKUP($C348&amp;"|"&amp;$G348,'李醫師能力要求'!$M$7:$M$59,'李醫師能力要求'!$K$7:$K$59,"待確認",0)</x:f>
        <x:v>待確認</x:v>
      </x:c>
      <x:c r="J348" s="37" t="str">
        <x:v>◎</x:v>
      </x:c>
      <x:c r="K348" s="37" t="str">
        <x:v>Ø</x:v>
      </x:c>
      <x:c r="L348" s="48" t="str">
        <x:f>_xlfn.XLOOKUP($A348&amp;"|"&amp;$G348,'試行能力狀態'!$L$7:$L$258,'試行能力狀態'!$E$7:$E$258,"未評估",0)</x:f>
        <x:v>△</x:v>
      </x:c>
      <x:c r="M348" s="48" t="str">
        <x:f>_xlfn.XLOOKUP($A348&amp;"|"&amp;$G348,'試行能力狀態'!$L$7:$L$258,'試行能力狀態'!$F$7:$F$258,"未建立",0)</x:f>
        <x:v>待主管核定</x:v>
      </x:c>
      <x:c r="N348" s="48" t="str">
        <x:f>IF($L348="◎","符合獨立",IF($L348="Ø","符合條件","不符合"))</x:f>
        <x:v>不符合</x:v>
      </x:c>
      <x:c r="O348" s="48" t="str">
        <x:f>_xlfn.XLOOKUP($A348&amp;"|李侑津醫師",'試行熟悉度'!$K$7:$K$20,'試行熟悉度'!$E$7:$E$20,"未評估",0)</x:f>
        <x:v>可獨立配合</x:v>
      </x:c>
      <x:c r="P348" s="48" t="str">
        <x:f>_xlfn.XLOOKUP($A348&amp;"|李侑津醫師",'試行熟悉度'!$K$7:$K$20,'試行熟悉度'!$F$7:$F$20,"未建立",0)</x:f>
        <x:v>待主管核定</x:v>
      </x:c>
      <x:c r="Q348" s="39" t="str">
        <x:v>確認後才納入自動判定</x:v>
      </x:c>
    </x:row>
    <x:row r="349">
      <x:c r="A349" s="37" t="str">
        <x:v>1026</x:v>
      </x:c>
      <x:c r="B349" s="37" t="str"/>
      <x:c r="C349" s="37" t="str">
        <x:v>LJT-RPD</x:v>
      </x:c>
      <x:c r="D349" s="37" t="str">
        <x:v>RPD</x:v>
      </x:c>
      <x:c r="E349" s="37" t="str">
        <x:v>一般步驟</x:v>
      </x:c>
      <x:c r="F349" s="37" t="str">
        <x:v>一般</x:v>
      </x:c>
      <x:c r="G349" s="37" t="str">
        <x:v>COMMON-INSURANCE</x:v>
      </x:c>
      <x:c r="H349" s="37" t="str">
        <x:v>待確認</x:v>
      </x:c>
      <x:c r="I349" s="37" t="str">
        <x:f>_xlfn.XLOOKUP($C349&amp;"|"&amp;$G349,'李醫師能力要求'!$M$7:$M$59,'李醫師能力要求'!$K$7:$K$59,"待確認",0)</x:f>
        <x:v>待確認</x:v>
      </x:c>
      <x:c r="J349" s="37" t="str">
        <x:v>◎</x:v>
      </x:c>
      <x:c r="K349" s="37" t="str">
        <x:v>Ø</x:v>
      </x:c>
      <x:c r="L349" s="48" t="str">
        <x:f>_xlfn.XLOOKUP($A349&amp;"|"&amp;$G349,'試行能力狀態'!$L$7:$L$258,'試行能力狀態'!$E$7:$E$258,"未評估",0)</x:f>
        <x:v>△</x:v>
      </x:c>
      <x:c r="M349" s="48" t="str">
        <x:f>_xlfn.XLOOKUP($A349&amp;"|"&amp;$G349,'試行能力狀態'!$L$7:$L$258,'試行能力狀態'!$F$7:$F$258,"未建立",0)</x:f>
        <x:v>待主管核定</x:v>
      </x:c>
      <x:c r="N349" s="48" t="str">
        <x:f>IF($L349="◎","符合獨立",IF($L349="Ø","符合條件","不符合"))</x:f>
        <x:v>不符合</x:v>
      </x:c>
      <x:c r="O349" s="48" t="str">
        <x:f>_xlfn.XLOOKUP($A349&amp;"|李侑津醫師",'試行熟悉度'!$K$7:$K$20,'試行熟悉度'!$E$7:$E$20,"未評估",0)</x:f>
        <x:v>可獨立配合</x:v>
      </x:c>
      <x:c r="P349" s="48" t="str">
        <x:f>_xlfn.XLOOKUP($A349&amp;"|李侑津醫師",'試行熟悉度'!$K$7:$K$20,'試行熟悉度'!$F$7:$F$20,"未建立",0)</x:f>
        <x:v>待主管核定</x:v>
      </x:c>
      <x:c r="Q349" s="39" t="str">
        <x:v>確認後才納入自動判定</x:v>
      </x:c>
    </x:row>
    <x:row r="350">
      <x:c r="A350" s="37" t="str">
        <x:v>1026</x:v>
      </x:c>
      <x:c r="B350" s="37" t="str"/>
      <x:c r="C350" s="37" t="str">
        <x:v>LJT-RPD</x:v>
      </x:c>
      <x:c r="D350" s="37" t="str">
        <x:v>RPD</x:v>
      </x:c>
      <x:c r="E350" s="37" t="str">
        <x:v>一般步驟</x:v>
      </x:c>
      <x:c r="F350" s="37" t="str">
        <x:v>一般</x:v>
      </x:c>
      <x:c r="G350" s="37" t="str">
        <x:v>COMMON-XRAY-RECORD</x:v>
      </x:c>
      <x:c r="H350" s="37" t="str">
        <x:v>待確認</x:v>
      </x:c>
      <x:c r="I350" s="37" t="str">
        <x:f>_xlfn.XLOOKUP($C350&amp;"|"&amp;$G350,'李醫師能力要求'!$M$7:$M$59,'李醫師能力要求'!$K$7:$K$59,"待確認",0)</x:f>
        <x:v>待確認</x:v>
      </x:c>
      <x:c r="J350" s="37" t="str">
        <x:v>◎</x:v>
      </x:c>
      <x:c r="K350" s="37" t="str">
        <x:v>Ø</x:v>
      </x:c>
      <x:c r="L350" s="48" t="str">
        <x:f>_xlfn.XLOOKUP($A350&amp;"|"&amp;$G350,'試行能力狀態'!$L$7:$L$258,'試行能力狀態'!$E$7:$E$258,"未評估",0)</x:f>
        <x:v>△</x:v>
      </x:c>
      <x:c r="M350" s="48" t="str">
        <x:f>_xlfn.XLOOKUP($A350&amp;"|"&amp;$G350,'試行能力狀態'!$L$7:$L$258,'試行能力狀態'!$F$7:$F$258,"未建立",0)</x:f>
        <x:v>待主管核定</x:v>
      </x:c>
      <x:c r="N350" s="48" t="str">
        <x:f>IF($L350="◎","符合獨立",IF($L350="Ø","符合條件","不符合"))</x:f>
        <x:v>不符合</x:v>
      </x:c>
      <x:c r="O350" s="48" t="str">
        <x:f>_xlfn.XLOOKUP($A350&amp;"|李侑津醫師",'試行熟悉度'!$K$7:$K$20,'試行熟悉度'!$E$7:$E$20,"未評估",0)</x:f>
        <x:v>可獨立配合</x:v>
      </x:c>
      <x:c r="P350" s="48" t="str">
        <x:f>_xlfn.XLOOKUP($A350&amp;"|李侑津醫師",'試行熟悉度'!$K$7:$K$20,'試行熟悉度'!$F$7:$F$20,"未建立",0)</x:f>
        <x:v>待主管核定</x:v>
      </x:c>
      <x:c r="Q350" s="39" t="str">
        <x:v>確認後才納入自動判定</x:v>
      </x:c>
    </x:row>
    <x:row r="351">
      <x:c r="A351" s="37" t="str">
        <x:v>1026</x:v>
      </x:c>
      <x:c r="B351" s="37" t="str"/>
      <x:c r="C351" s="37" t="str">
        <x:v>LJT-RPD-FINAL</x:v>
      </x:c>
      <x:c r="D351" s="37" t="str">
        <x:v>RPD</x:v>
      </x:c>
      <x:c r="E351" s="37" t="str">
        <x:v>印最終模</x:v>
      </x:c>
      <x:c r="F351" s="37" t="str">
        <x:v>特殊階段</x:v>
      </x:c>
      <x:c r="G351" s="37" t="str">
        <x:v>LJT-PREP-RPD</x:v>
      </x:c>
      <x:c r="H351" s="37" t="str">
        <x:v>必備</x:v>
      </x:c>
      <x:c r="I351" s="37" t="str">
        <x:f>_xlfn.XLOOKUP($C351&amp;"|"&amp;$G351,'李醫師能力要求'!$M$7:$M$59,'李醫師能力要求'!$K$7:$K$59,"待確認",0)</x:f>
        <x:v>已確認</x:v>
      </x:c>
      <x:c r="J351" s="37" t="str">
        <x:v>◎</x:v>
      </x:c>
      <x:c r="K351" s="37" t="str">
        <x:v>Ø</x:v>
      </x:c>
      <x:c r="L351" s="48" t="str">
        <x:f>_xlfn.XLOOKUP($A351&amp;"|"&amp;$G351,'試行能力狀態'!$L$7:$L$258,'試行能力狀態'!$E$7:$E$258,"未評估",0)</x:f>
        <x:v>※</x:v>
      </x:c>
      <x:c r="M351" s="48" t="str">
        <x:f>_xlfn.XLOOKUP($A351&amp;"|"&amp;$G351,'試行能力狀態'!$L$7:$L$258,'試行能力狀態'!$F$7:$F$258,"未建立",0)</x:f>
        <x:v>待主管核定</x:v>
      </x:c>
      <x:c r="N351" s="48" t="str">
        <x:f>IF($L351="◎","符合獨立",IF($L351="Ø","符合條件","不符合"))</x:f>
        <x:v>不符合</x:v>
      </x:c>
      <x:c r="O351" s="48" t="str">
        <x:f>_xlfn.XLOOKUP($A351&amp;"|李侑津醫師",'試行熟悉度'!$K$7:$K$20,'試行熟悉度'!$E$7:$E$20,"未評估",0)</x:f>
        <x:v>可獨立配合</x:v>
      </x:c>
      <x:c r="P351" s="48" t="str">
        <x:f>_xlfn.XLOOKUP($A351&amp;"|李侑津醫師",'試行熟悉度'!$K$7:$K$20,'試行熟悉度'!$F$7:$F$20,"未建立",0)</x:f>
        <x:v>待主管核定</x:v>
      </x:c>
      <x:c r="Q351" s="39" t="str">
        <x:v>依一般支援名額</x:v>
      </x:c>
    </x:row>
    <x:row r="352">
      <x:c r="A352" s="37" t="str">
        <x:v>1026</x:v>
      </x:c>
      <x:c r="B352" s="37" t="str"/>
      <x:c r="C352" s="37" t="str">
        <x:v>LJT-RPD-FINAL</x:v>
      </x:c>
      <x:c r="D352" s="37" t="str">
        <x:v>RPD</x:v>
      </x:c>
      <x:c r="E352" s="37" t="str">
        <x:v>印最終模</x:v>
      </x:c>
      <x:c r="F352" s="37" t="str">
        <x:v>特殊階段</x:v>
      </x:c>
      <x:c r="G352" s="37" t="str">
        <x:v>COMMON-RECORD</x:v>
      </x:c>
      <x:c r="H352" s="37" t="str">
        <x:v>待確認</x:v>
      </x:c>
      <x:c r="I352" s="37" t="str">
        <x:f>_xlfn.XLOOKUP($C352&amp;"|"&amp;$G352,'李醫師能力要求'!$M$7:$M$59,'李醫師能力要求'!$K$7:$K$59,"待確認",0)</x:f>
        <x:v>待確認</x:v>
      </x:c>
      <x:c r="J352" s="37" t="str">
        <x:v>◎</x:v>
      </x:c>
      <x:c r="K352" s="37" t="str">
        <x:v>Ø</x:v>
      </x:c>
      <x:c r="L352" s="48" t="str">
        <x:f>_xlfn.XLOOKUP($A352&amp;"|"&amp;$G352,'試行能力狀態'!$L$7:$L$258,'試行能力狀態'!$E$7:$E$258,"未評估",0)</x:f>
        <x:v>△</x:v>
      </x:c>
      <x:c r="M352" s="48" t="str">
        <x:f>_xlfn.XLOOKUP($A352&amp;"|"&amp;$G352,'試行能力狀態'!$L$7:$L$258,'試行能力狀態'!$F$7:$F$258,"未建立",0)</x:f>
        <x:v>待主管核定</x:v>
      </x:c>
      <x:c r="N352" s="48" t="str">
        <x:f>IF($L352="◎","符合獨立",IF($L352="Ø","符合條件","不符合"))</x:f>
        <x:v>不符合</x:v>
      </x:c>
      <x:c r="O352" s="48" t="str">
        <x:f>_xlfn.XLOOKUP($A352&amp;"|李侑津醫師",'試行熟悉度'!$K$7:$K$20,'試行熟悉度'!$E$7:$E$20,"未評估",0)</x:f>
        <x:v>可獨立配合</x:v>
      </x:c>
      <x:c r="P352" s="48" t="str">
        <x:f>_xlfn.XLOOKUP($A352&amp;"|李侑津醫師",'試行熟悉度'!$K$7:$K$20,'試行熟悉度'!$F$7:$F$20,"未建立",0)</x:f>
        <x:v>待主管核定</x:v>
      </x:c>
      <x:c r="Q352" s="39" t="str">
        <x:v>確認後才納入自動判定</x:v>
      </x:c>
    </x:row>
    <x:row r="353">
      <x:c r="A353" s="37" t="str">
        <x:v>1026</x:v>
      </x:c>
      <x:c r="B353" s="37" t="str"/>
      <x:c r="C353" s="37" t="str">
        <x:v>LJT-RPD-FINAL</x:v>
      </x:c>
      <x:c r="D353" s="37" t="str">
        <x:v>RPD</x:v>
      </x:c>
      <x:c r="E353" s="37" t="str">
        <x:v>印最終模</x:v>
      </x:c>
      <x:c r="F353" s="37" t="str">
        <x:v>特殊階段</x:v>
      </x:c>
      <x:c r="G353" s="37" t="str">
        <x:v>COMMON-INSURANCE</x:v>
      </x:c>
      <x:c r="H353" s="37" t="str">
        <x:v>待確認</x:v>
      </x:c>
      <x:c r="I353" s="37" t="str">
        <x:f>_xlfn.XLOOKUP($C353&amp;"|"&amp;$G353,'李醫師能力要求'!$M$7:$M$59,'李醫師能力要求'!$K$7:$K$59,"待確認",0)</x:f>
        <x:v>待確認</x:v>
      </x:c>
      <x:c r="J353" s="37" t="str">
        <x:v>◎</x:v>
      </x:c>
      <x:c r="K353" s="37" t="str">
        <x:v>Ø</x:v>
      </x:c>
      <x:c r="L353" s="48" t="str">
        <x:f>_xlfn.XLOOKUP($A353&amp;"|"&amp;$G353,'試行能力狀態'!$L$7:$L$258,'試行能力狀態'!$E$7:$E$258,"未評估",0)</x:f>
        <x:v>△</x:v>
      </x:c>
      <x:c r="M353" s="48" t="str">
        <x:f>_xlfn.XLOOKUP($A353&amp;"|"&amp;$G353,'試行能力狀態'!$L$7:$L$258,'試行能力狀態'!$F$7:$F$258,"未建立",0)</x:f>
        <x:v>待主管核定</x:v>
      </x:c>
      <x:c r="N353" s="48" t="str">
        <x:f>IF($L353="◎","符合獨立",IF($L353="Ø","符合條件","不符合"))</x:f>
        <x:v>不符合</x:v>
      </x:c>
      <x:c r="O353" s="48" t="str">
        <x:f>_xlfn.XLOOKUP($A353&amp;"|李侑津醫師",'試行熟悉度'!$K$7:$K$20,'試行熟悉度'!$E$7:$E$20,"未評估",0)</x:f>
        <x:v>可獨立配合</x:v>
      </x:c>
      <x:c r="P353" s="48" t="str">
        <x:f>_xlfn.XLOOKUP($A353&amp;"|李侑津醫師",'試行熟悉度'!$K$7:$K$20,'試行熟悉度'!$F$7:$F$20,"未建立",0)</x:f>
        <x:v>待主管核定</x:v>
      </x:c>
      <x:c r="Q353" s="39" t="str">
        <x:v>確認後才納入自動判定</x:v>
      </x:c>
    </x:row>
    <x:row r="354">
      <x:c r="A354" s="37" t="str">
        <x:v>1026</x:v>
      </x:c>
      <x:c r="B354" s="37" t="str"/>
      <x:c r="C354" s="37" t="str">
        <x:v>LJT-RPD-FINAL</x:v>
      </x:c>
      <x:c r="D354" s="37" t="str">
        <x:v>RPD</x:v>
      </x:c>
      <x:c r="E354" s="37" t="str">
        <x:v>印最終模</x:v>
      </x:c>
      <x:c r="F354" s="37" t="str">
        <x:v>特殊階段</x:v>
      </x:c>
      <x:c r="G354" s="37" t="str">
        <x:v>COMMON-XRAY-RECORD</x:v>
      </x:c>
      <x:c r="H354" s="37" t="str">
        <x:v>待確認</x:v>
      </x:c>
      <x:c r="I354" s="37" t="str">
        <x:f>_xlfn.XLOOKUP($C354&amp;"|"&amp;$G354,'李醫師能力要求'!$M$7:$M$59,'李醫師能力要求'!$K$7:$K$59,"待確認",0)</x:f>
        <x:v>待確認</x:v>
      </x:c>
      <x:c r="J354" s="37" t="str">
        <x:v>◎</x:v>
      </x:c>
      <x:c r="K354" s="37" t="str">
        <x:v>Ø</x:v>
      </x:c>
      <x:c r="L354" s="48" t="str">
        <x:f>_xlfn.XLOOKUP($A354&amp;"|"&amp;$G354,'試行能力狀態'!$L$7:$L$258,'試行能力狀態'!$E$7:$E$258,"未評估",0)</x:f>
        <x:v>△</x:v>
      </x:c>
      <x:c r="M354" s="48" t="str">
        <x:f>_xlfn.XLOOKUP($A354&amp;"|"&amp;$G354,'試行能力狀態'!$L$7:$L$258,'試行能力狀態'!$F$7:$F$258,"未建立",0)</x:f>
        <x:v>待主管核定</x:v>
      </x:c>
      <x:c r="N354" s="48" t="str">
        <x:f>IF($L354="◎","符合獨立",IF($L354="Ø","符合條件","不符合"))</x:f>
        <x:v>不符合</x:v>
      </x:c>
      <x:c r="O354" s="48" t="str">
        <x:f>_xlfn.XLOOKUP($A354&amp;"|李侑津醫師",'試行熟悉度'!$K$7:$K$20,'試行熟悉度'!$E$7:$E$20,"未評估",0)</x:f>
        <x:v>可獨立配合</x:v>
      </x:c>
      <x:c r="P354" s="48" t="str">
        <x:f>_xlfn.XLOOKUP($A354&amp;"|李侑津醫師",'試行熟悉度'!$K$7:$K$20,'試行熟悉度'!$F$7:$F$20,"未建立",0)</x:f>
        <x:v>待主管核定</x:v>
      </x:c>
      <x:c r="Q354" s="39" t="str">
        <x:v>確認後才納入自動判定</x:v>
      </x:c>
    </x:row>
    <x:row r="355">
      <x:c r="A355" s="37" t="str">
        <x:v>1026</x:v>
      </x:c>
      <x:c r="B355" s="37" t="str"/>
      <x:c r="C355" s="37" t="str">
        <x:v>LJT-AIRPOLISH</x:v>
      </x:c>
      <x:c r="D355" s="37" t="str">
        <x:v>噴砂美白</x:v>
      </x:c>
      <x:c r="E355" s="37" t="str">
        <x:v>一般</x:v>
      </x:c>
      <x:c r="F355" s="37" t="str">
        <x:v>一般</x:v>
      </x:c>
      <x:c r="G355" s="37" t="str">
        <x:v>LJT-PREP-AIRPOLISH</x:v>
      </x:c>
      <x:c r="H355" s="37" t="str">
        <x:v>必備</x:v>
      </x:c>
      <x:c r="I355" s="37" t="str">
        <x:f>_xlfn.XLOOKUP($C355&amp;"|"&amp;$G355,'李醫師能力要求'!$M$7:$M$59,'李醫師能力要求'!$K$7:$K$59,"待確認",0)</x:f>
        <x:v>已確認</x:v>
      </x:c>
      <x:c r="J355" s="37" t="str">
        <x:v>◎</x:v>
      </x:c>
      <x:c r="K355" s="37" t="str">
        <x:v>Ø</x:v>
      </x:c>
      <x:c r="L355" s="48" t="str">
        <x:f>_xlfn.XLOOKUP($A355&amp;"|"&amp;$G355,'試行能力狀態'!$L$7:$L$258,'試行能力狀態'!$E$7:$E$258,"未評估",0)</x:f>
        <x:v>※</x:v>
      </x:c>
      <x:c r="M355" s="48" t="str">
        <x:f>_xlfn.XLOOKUP($A355&amp;"|"&amp;$G355,'試行能力狀態'!$L$7:$L$258,'試行能力狀態'!$F$7:$F$258,"未建立",0)</x:f>
        <x:v>待主管核定</x:v>
      </x:c>
      <x:c r="N355" s="48" t="str">
        <x:f>IF($L355="◎","符合獨立",IF($L355="Ø","符合條件","不符合"))</x:f>
        <x:v>不符合</x:v>
      </x:c>
      <x:c r="O355" s="48" t="str">
        <x:f>_xlfn.XLOOKUP($A355&amp;"|李侑津醫師",'試行熟悉度'!$K$7:$K$20,'試行熟悉度'!$E$7:$E$20,"未評估",0)</x:f>
        <x:v>可獨立配合</x:v>
      </x:c>
      <x:c r="P355" s="48" t="str">
        <x:f>_xlfn.XLOOKUP($A355&amp;"|李侑津醫師",'試行熟悉度'!$K$7:$K$20,'試行熟悉度'!$F$7:$F$20,"未建立",0)</x:f>
        <x:v>待主管核定</x:v>
      </x:c>
      <x:c r="Q355" s="39" t="str">
        <x:v>依一般支援名額</x:v>
      </x:c>
    </x:row>
    <x:row r="356">
      <x:c r="A356" s="37" t="str">
        <x:v>1026</x:v>
      </x:c>
      <x:c r="B356" s="37" t="str"/>
      <x:c r="C356" s="37" t="str">
        <x:v>LJT-AIRPOLISH</x:v>
      </x:c>
      <x:c r="D356" s="37" t="str">
        <x:v>噴砂美白</x:v>
      </x:c>
      <x:c r="E356" s="37" t="str">
        <x:v>一般</x:v>
      </x:c>
      <x:c r="F356" s="37" t="str">
        <x:v>一般</x:v>
      </x:c>
      <x:c r="G356" s="37" t="str">
        <x:v>COMMON-RECORD</x:v>
      </x:c>
      <x:c r="H356" s="37" t="str">
        <x:v>待確認</x:v>
      </x:c>
      <x:c r="I356" s="37" t="str">
        <x:f>_xlfn.XLOOKUP($C356&amp;"|"&amp;$G356,'李醫師能力要求'!$M$7:$M$59,'李醫師能力要求'!$K$7:$K$59,"待確認",0)</x:f>
        <x:v>待確認</x:v>
      </x:c>
      <x:c r="J356" s="37" t="str">
        <x:v>◎</x:v>
      </x:c>
      <x:c r="K356" s="37" t="str">
        <x:v>Ø</x:v>
      </x:c>
      <x:c r="L356" s="48" t="str">
        <x:f>_xlfn.XLOOKUP($A356&amp;"|"&amp;$G356,'試行能力狀態'!$L$7:$L$258,'試行能力狀態'!$E$7:$E$258,"未評估",0)</x:f>
        <x:v>△</x:v>
      </x:c>
      <x:c r="M356" s="48" t="str">
        <x:f>_xlfn.XLOOKUP($A356&amp;"|"&amp;$G356,'試行能力狀態'!$L$7:$L$258,'試行能力狀態'!$F$7:$F$258,"未建立",0)</x:f>
        <x:v>待主管核定</x:v>
      </x:c>
      <x:c r="N356" s="48" t="str">
        <x:f>IF($L356="◎","符合獨立",IF($L356="Ø","符合條件","不符合"))</x:f>
        <x:v>不符合</x:v>
      </x:c>
      <x:c r="O356" s="48" t="str">
        <x:f>_xlfn.XLOOKUP($A356&amp;"|李侑津醫師",'試行熟悉度'!$K$7:$K$20,'試行熟悉度'!$E$7:$E$20,"未評估",0)</x:f>
        <x:v>可獨立配合</x:v>
      </x:c>
      <x:c r="P356" s="48" t="str">
        <x:f>_xlfn.XLOOKUP($A356&amp;"|李侑津醫師",'試行熟悉度'!$K$7:$K$20,'試行熟悉度'!$F$7:$F$20,"未建立",0)</x:f>
        <x:v>待主管核定</x:v>
      </x:c>
      <x:c r="Q356" s="39" t="str">
        <x:v>確認後才納入自動判定</x:v>
      </x:c>
    </x:row>
    <x:row r="357">
      <x:c r="A357" s="37" t="str">
        <x:v>1026</x:v>
      </x:c>
      <x:c r="B357" s="37" t="str"/>
      <x:c r="C357" s="37" t="str">
        <x:v>LJT-AIRPOLISH</x:v>
      </x:c>
      <x:c r="D357" s="37" t="str">
        <x:v>噴砂美白</x:v>
      </x:c>
      <x:c r="E357" s="37" t="str">
        <x:v>一般</x:v>
      </x:c>
      <x:c r="F357" s="37" t="str">
        <x:v>一般</x:v>
      </x:c>
      <x:c r="G357" s="37" t="str">
        <x:v>COMMON-INSURANCE</x:v>
      </x:c>
      <x:c r="H357" s="37" t="str">
        <x:v>待確認</x:v>
      </x:c>
      <x:c r="I357" s="37" t="str">
        <x:f>_xlfn.XLOOKUP($C357&amp;"|"&amp;$G357,'李醫師能力要求'!$M$7:$M$59,'李醫師能力要求'!$K$7:$K$59,"待確認",0)</x:f>
        <x:v>待確認</x:v>
      </x:c>
      <x:c r="J357" s="37" t="str">
        <x:v>◎</x:v>
      </x:c>
      <x:c r="K357" s="37" t="str">
        <x:v>Ø</x:v>
      </x:c>
      <x:c r="L357" s="48" t="str">
        <x:f>_xlfn.XLOOKUP($A357&amp;"|"&amp;$G357,'試行能力狀態'!$L$7:$L$258,'試行能力狀態'!$E$7:$E$258,"未評估",0)</x:f>
        <x:v>△</x:v>
      </x:c>
      <x:c r="M357" s="48" t="str">
        <x:f>_xlfn.XLOOKUP($A357&amp;"|"&amp;$G357,'試行能力狀態'!$L$7:$L$258,'試行能力狀態'!$F$7:$F$258,"未建立",0)</x:f>
        <x:v>待主管核定</x:v>
      </x:c>
      <x:c r="N357" s="48" t="str">
        <x:f>IF($L357="◎","符合獨立",IF($L357="Ø","符合條件","不符合"))</x:f>
        <x:v>不符合</x:v>
      </x:c>
      <x:c r="O357" s="48" t="str">
        <x:f>_xlfn.XLOOKUP($A357&amp;"|李侑津醫師",'試行熟悉度'!$K$7:$K$20,'試行熟悉度'!$E$7:$E$20,"未評估",0)</x:f>
        <x:v>可獨立配合</x:v>
      </x:c>
      <x:c r="P357" s="48" t="str">
        <x:f>_xlfn.XLOOKUP($A357&amp;"|李侑津醫師",'試行熟悉度'!$K$7:$K$20,'試行熟悉度'!$F$7:$F$20,"未建立",0)</x:f>
        <x:v>待主管核定</x:v>
      </x:c>
      <x:c r="Q357" s="39" t="str">
        <x:v>確認後才納入自動判定</x:v>
      </x:c>
    </x:row>
    <x:row r="358">
      <x:c r="A358" s="37" t="str">
        <x:v>1026</x:v>
      </x:c>
      <x:c r="B358" s="37" t="str"/>
      <x:c r="C358" s="37" t="str">
        <x:v>LJT-AIRPOLISH</x:v>
      </x:c>
      <x:c r="D358" s="37" t="str">
        <x:v>噴砂美白</x:v>
      </x:c>
      <x:c r="E358" s="37" t="str">
        <x:v>一般</x:v>
      </x:c>
      <x:c r="F358" s="37" t="str">
        <x:v>一般</x:v>
      </x:c>
      <x:c r="G358" s="37" t="str">
        <x:v>COMMON-XRAY-RECORD</x:v>
      </x:c>
      <x:c r="H358" s="37" t="str">
        <x:v>待確認</x:v>
      </x:c>
      <x:c r="I358" s="37" t="str">
        <x:f>_xlfn.XLOOKUP($C358&amp;"|"&amp;$G358,'李醫師能力要求'!$M$7:$M$59,'李醫師能力要求'!$K$7:$K$59,"待確認",0)</x:f>
        <x:v>待確認</x:v>
      </x:c>
      <x:c r="J358" s="37" t="str">
        <x:v>◎</x:v>
      </x:c>
      <x:c r="K358" s="37" t="str">
        <x:v>Ø</x:v>
      </x:c>
      <x:c r="L358" s="48" t="str">
        <x:f>_xlfn.XLOOKUP($A358&amp;"|"&amp;$G358,'試行能力狀態'!$L$7:$L$258,'試行能力狀態'!$E$7:$E$258,"未評估",0)</x:f>
        <x:v>△</x:v>
      </x:c>
      <x:c r="M358" s="48" t="str">
        <x:f>_xlfn.XLOOKUP($A358&amp;"|"&amp;$G358,'試行能力狀態'!$L$7:$L$258,'試行能力狀態'!$F$7:$F$258,"未建立",0)</x:f>
        <x:v>待主管核定</x:v>
      </x:c>
      <x:c r="N358" s="48" t="str">
        <x:f>IF($L358="◎","符合獨立",IF($L358="Ø","符合條件","不符合"))</x:f>
        <x:v>不符合</x:v>
      </x:c>
      <x:c r="O358" s="48" t="str">
        <x:f>_xlfn.XLOOKUP($A358&amp;"|李侑津醫師",'試行熟悉度'!$K$7:$K$20,'試行熟悉度'!$E$7:$E$20,"未評估",0)</x:f>
        <x:v>可獨立配合</x:v>
      </x:c>
      <x:c r="P358" s="48" t="str">
        <x:f>_xlfn.XLOOKUP($A358&amp;"|李侑津醫師",'試行熟悉度'!$K$7:$K$20,'試行熟悉度'!$F$7:$F$20,"未建立",0)</x:f>
        <x:v>待主管核定</x:v>
      </x:c>
      <x:c r="Q358" s="39" t="str">
        <x:v>確認後才納入自動判定</x:v>
      </x:c>
    </x:row>
    <x:row r="359">
      <x:c r="A359" s="37" t="str">
        <x:v>1026</x:v>
      </x:c>
      <x:c r="B359" s="37" t="str"/>
      <x:c r="C359" s="37" t="str">
        <x:v>LJT-PERIOSURG</x:v>
      </x:c>
      <x:c r="D359" s="37" t="str">
        <x:v>牙周手術</x:v>
      </x:c>
      <x:c r="E359" s="37" t="str">
        <x:v>一般</x:v>
      </x:c>
      <x:c r="F359" s="37" t="str">
        <x:v>高複雜度</x:v>
      </x:c>
      <x:c r="G359" s="37" t="str">
        <x:v>LJT-PREP-PERIOSURG</x:v>
      </x:c>
      <x:c r="H359" s="37" t="str">
        <x:v>必備</x:v>
      </x:c>
      <x:c r="I359" s="37" t="str">
        <x:f>_xlfn.XLOOKUP($C359&amp;"|"&amp;$G359,'李醫師能力要求'!$M$7:$M$59,'李醫師能力要求'!$K$7:$K$59,"待確認",0)</x:f>
        <x:v>已確認</x:v>
      </x:c>
      <x:c r="J359" s="37" t="str">
        <x:v>◎</x:v>
      </x:c>
      <x:c r="K359" s="37" t="str">
        <x:v>Ø</x:v>
      </x:c>
      <x:c r="L359" s="48" t="str">
        <x:f>_xlfn.XLOOKUP($A359&amp;"|"&amp;$G359,'試行能力狀態'!$L$7:$L$258,'試行能力狀態'!$E$7:$E$258,"未評估",0)</x:f>
        <x:v>※</x:v>
      </x:c>
      <x:c r="M359" s="48" t="str">
        <x:f>_xlfn.XLOOKUP($A359&amp;"|"&amp;$G359,'試行能力狀態'!$L$7:$L$258,'試行能力狀態'!$F$7:$F$258,"未建立",0)</x:f>
        <x:v>待主管核定</x:v>
      </x:c>
      <x:c r="N359" s="48" t="str">
        <x:f>IF($L359="◎","符合獨立",IF($L359="Ø","符合條件","不符合"))</x:f>
        <x:v>不符合</x:v>
      </x:c>
      <x:c r="O359" s="48" t="str">
        <x:f>_xlfn.XLOOKUP($A359&amp;"|李侑津醫師",'試行熟悉度'!$K$7:$K$20,'試行熟悉度'!$E$7:$E$20,"未評估",0)</x:f>
        <x:v>可獨立配合</x:v>
      </x:c>
      <x:c r="P359" s="48" t="str">
        <x:f>_xlfn.XLOOKUP($A359&amp;"|李侑津醫師",'試行熟悉度'!$K$7:$K$20,'試行熟悉度'!$F$7:$F$20,"未建立",0)</x:f>
        <x:v>待主管核定</x:v>
      </x:c>
      <x:c r="Q359" s="39" t="str">
        <x:v>Ø 時完整支援者 1:1</x:v>
      </x:c>
    </x:row>
    <x:row r="360">
      <x:c r="A360" s="37" t="str">
        <x:v>1026</x:v>
      </x:c>
      <x:c r="B360" s="37" t="str"/>
      <x:c r="C360" s="37" t="str">
        <x:v>LJT-PERIOSURG</x:v>
      </x:c>
      <x:c r="D360" s="37" t="str">
        <x:v>牙周手術</x:v>
      </x:c>
      <x:c r="E360" s="37" t="str">
        <x:v>一般</x:v>
      </x:c>
      <x:c r="F360" s="37" t="str">
        <x:v>高複雜度</x:v>
      </x:c>
      <x:c r="G360" s="37" t="str">
        <x:v>COMMON-RECORD</x:v>
      </x:c>
      <x:c r="H360" s="37" t="str">
        <x:v>待確認</x:v>
      </x:c>
      <x:c r="I360" s="37" t="str">
        <x:f>_xlfn.XLOOKUP($C360&amp;"|"&amp;$G360,'李醫師能力要求'!$M$7:$M$59,'李醫師能力要求'!$K$7:$K$59,"待確認",0)</x:f>
        <x:v>待確認</x:v>
      </x:c>
      <x:c r="J360" s="37" t="str">
        <x:v>◎</x:v>
      </x:c>
      <x:c r="K360" s="37" t="str">
        <x:v>Ø</x:v>
      </x:c>
      <x:c r="L360" s="48" t="str">
        <x:f>_xlfn.XLOOKUP($A360&amp;"|"&amp;$G360,'試行能力狀態'!$L$7:$L$258,'試行能力狀態'!$E$7:$E$258,"未評估",0)</x:f>
        <x:v>△</x:v>
      </x:c>
      <x:c r="M360" s="48" t="str">
        <x:f>_xlfn.XLOOKUP($A360&amp;"|"&amp;$G360,'試行能力狀態'!$L$7:$L$258,'試行能力狀態'!$F$7:$F$258,"未建立",0)</x:f>
        <x:v>待主管核定</x:v>
      </x:c>
      <x:c r="N360" s="48" t="str">
        <x:f>IF($L360="◎","符合獨立",IF($L360="Ø","符合條件","不符合"))</x:f>
        <x:v>不符合</x:v>
      </x:c>
      <x:c r="O360" s="48" t="str">
        <x:f>_xlfn.XLOOKUP($A360&amp;"|李侑津醫師",'試行熟悉度'!$K$7:$K$20,'試行熟悉度'!$E$7:$E$20,"未評估",0)</x:f>
        <x:v>可獨立配合</x:v>
      </x:c>
      <x:c r="P360" s="48" t="str">
        <x:f>_xlfn.XLOOKUP($A360&amp;"|李侑津醫師",'試行熟悉度'!$K$7:$K$20,'試行熟悉度'!$F$7:$F$20,"未建立",0)</x:f>
        <x:v>待主管核定</x:v>
      </x:c>
      <x:c r="Q360" s="39" t="str">
        <x:v>確認後才納入自動判定</x:v>
      </x:c>
    </x:row>
    <x:row r="361">
      <x:c r="A361" s="37" t="str">
        <x:v>1026</x:v>
      </x:c>
      <x:c r="B361" s="37" t="str"/>
      <x:c r="C361" s="37" t="str">
        <x:v>LJT-PERIOSURG</x:v>
      </x:c>
      <x:c r="D361" s="37" t="str">
        <x:v>牙周手術</x:v>
      </x:c>
      <x:c r="E361" s="37" t="str">
        <x:v>一般</x:v>
      </x:c>
      <x:c r="F361" s="37" t="str">
        <x:v>高複雜度</x:v>
      </x:c>
      <x:c r="G361" s="37" t="str">
        <x:v>COMMON-INSURANCE</x:v>
      </x:c>
      <x:c r="H361" s="37" t="str">
        <x:v>待確認</x:v>
      </x:c>
      <x:c r="I361" s="37" t="str">
        <x:f>_xlfn.XLOOKUP($C361&amp;"|"&amp;$G361,'李醫師能力要求'!$M$7:$M$59,'李醫師能力要求'!$K$7:$K$59,"待確認",0)</x:f>
        <x:v>待確認</x:v>
      </x:c>
      <x:c r="J361" s="37" t="str">
        <x:v>◎</x:v>
      </x:c>
      <x:c r="K361" s="37" t="str">
        <x:v>Ø</x:v>
      </x:c>
      <x:c r="L361" s="48" t="str">
        <x:f>_xlfn.XLOOKUP($A361&amp;"|"&amp;$G361,'試行能力狀態'!$L$7:$L$258,'試行能力狀態'!$E$7:$E$258,"未評估",0)</x:f>
        <x:v>△</x:v>
      </x:c>
      <x:c r="M361" s="48" t="str">
        <x:f>_xlfn.XLOOKUP($A361&amp;"|"&amp;$G361,'試行能力狀態'!$L$7:$L$258,'試行能力狀態'!$F$7:$F$258,"未建立",0)</x:f>
        <x:v>待主管核定</x:v>
      </x:c>
      <x:c r="N361" s="48" t="str">
        <x:f>IF($L361="◎","符合獨立",IF($L361="Ø","符合條件","不符合"))</x:f>
        <x:v>不符合</x:v>
      </x:c>
      <x:c r="O361" s="48" t="str">
        <x:f>_xlfn.XLOOKUP($A361&amp;"|李侑津醫師",'試行熟悉度'!$K$7:$K$20,'試行熟悉度'!$E$7:$E$20,"未評估",0)</x:f>
        <x:v>可獨立配合</x:v>
      </x:c>
      <x:c r="P361" s="48" t="str">
        <x:f>_xlfn.XLOOKUP($A361&amp;"|李侑津醫師",'試行熟悉度'!$K$7:$K$20,'試行熟悉度'!$F$7:$F$20,"未建立",0)</x:f>
        <x:v>待主管核定</x:v>
      </x:c>
      <x:c r="Q361" s="39" t="str">
        <x:v>確認後才納入自動判定</x:v>
      </x:c>
    </x:row>
    <x:row r="362">
      <x:c r="A362" s="37" t="str">
        <x:v>1026</x:v>
      </x:c>
      <x:c r="B362" s="37" t="str"/>
      <x:c r="C362" s="37" t="str">
        <x:v>LJT-PERIOSURG</x:v>
      </x:c>
      <x:c r="D362" s="37" t="str">
        <x:v>牙周手術</x:v>
      </x:c>
      <x:c r="E362" s="37" t="str">
        <x:v>一般</x:v>
      </x:c>
      <x:c r="F362" s="37" t="str">
        <x:v>高複雜度</x:v>
      </x:c>
      <x:c r="G362" s="37" t="str">
        <x:v>COMMON-XRAY-RECORD</x:v>
      </x:c>
      <x:c r="H362" s="37" t="str">
        <x:v>待確認</x:v>
      </x:c>
      <x:c r="I362" s="37" t="str">
        <x:f>_xlfn.XLOOKUP($C362&amp;"|"&amp;$G362,'李醫師能力要求'!$M$7:$M$59,'李醫師能力要求'!$K$7:$K$59,"待確認",0)</x:f>
        <x:v>待確認</x:v>
      </x:c>
      <x:c r="J362" s="37" t="str">
        <x:v>◎</x:v>
      </x:c>
      <x:c r="K362" s="37" t="str">
        <x:v>Ø</x:v>
      </x:c>
      <x:c r="L362" s="48" t="str">
        <x:f>_xlfn.XLOOKUP($A362&amp;"|"&amp;$G362,'試行能力狀態'!$L$7:$L$258,'試行能力狀態'!$E$7:$E$258,"未評估",0)</x:f>
        <x:v>△</x:v>
      </x:c>
      <x:c r="M362" s="48" t="str">
        <x:f>_xlfn.XLOOKUP($A362&amp;"|"&amp;$G362,'試行能力狀態'!$L$7:$L$258,'試行能力狀態'!$F$7:$F$258,"未建立",0)</x:f>
        <x:v>待主管核定</x:v>
      </x:c>
      <x:c r="N362" s="48" t="str">
        <x:f>IF($L362="◎","符合獨立",IF($L362="Ø","符合條件","不符合"))</x:f>
        <x:v>不符合</x:v>
      </x:c>
      <x:c r="O362" s="48" t="str">
        <x:f>_xlfn.XLOOKUP($A362&amp;"|李侑津醫師",'試行熟悉度'!$K$7:$K$20,'試行熟悉度'!$E$7:$E$20,"未評估",0)</x:f>
        <x:v>可獨立配合</x:v>
      </x:c>
      <x:c r="P362" s="48" t="str">
        <x:f>_xlfn.XLOOKUP($A362&amp;"|李侑津醫師",'試行熟悉度'!$K$7:$K$20,'試行熟悉度'!$F$7:$F$20,"未建立",0)</x:f>
        <x:v>待主管核定</x:v>
      </x:c>
      <x:c r="Q362" s="39" t="str">
        <x:v>確認後才納入自動判定</x:v>
      </x:c>
    </x:row>
    <x:row r="363">
      <x:c r="A363" s="37" t="str">
        <x:v>1026</x:v>
      </x:c>
      <x:c r="B363" s="37" t="str"/>
      <x:c r="C363" s="37" t="str">
        <x:v>LJT-MICROENDO</x:v>
      </x:c>
      <x:c r="D363" s="37" t="str">
        <x:v>顯微根管</x:v>
      </x:c>
      <x:c r="E363" s="37" t="str">
        <x:v>一般</x:v>
      </x:c>
      <x:c r="F363" s="37" t="str">
        <x:v>高複雜度</x:v>
      </x:c>
      <x:c r="G363" s="37" t="str">
        <x:v>LJT-PREP-MICROENDO</x:v>
      </x:c>
      <x:c r="H363" s="37" t="str">
        <x:v>必備</x:v>
      </x:c>
      <x:c r="I363" s="37" t="str">
        <x:f>_xlfn.XLOOKUP($C363&amp;"|"&amp;$G363,'李醫師能力要求'!$M$7:$M$59,'李醫師能力要求'!$K$7:$K$59,"待確認",0)</x:f>
        <x:v>已確認</x:v>
      </x:c>
      <x:c r="J363" s="37" t="str">
        <x:v>◎</x:v>
      </x:c>
      <x:c r="K363" s="37" t="str">
        <x:v>Ø</x:v>
      </x:c>
      <x:c r="L363" s="48" t="str">
        <x:f>_xlfn.XLOOKUP($A363&amp;"|"&amp;$G363,'試行能力狀態'!$L$7:$L$258,'試行能力狀態'!$E$7:$E$258,"未評估",0)</x:f>
        <x:v>※</x:v>
      </x:c>
      <x:c r="M363" s="48" t="str">
        <x:f>_xlfn.XLOOKUP($A363&amp;"|"&amp;$G363,'試行能力狀態'!$L$7:$L$258,'試行能力狀態'!$F$7:$F$258,"未建立",0)</x:f>
        <x:v>待主管核定</x:v>
      </x:c>
      <x:c r="N363" s="48" t="str">
        <x:f>IF($L363="◎","符合獨立",IF($L363="Ø","符合條件","不符合"))</x:f>
        <x:v>不符合</x:v>
      </x:c>
      <x:c r="O363" s="48" t="str">
        <x:f>_xlfn.XLOOKUP($A363&amp;"|李侑津醫師",'試行熟悉度'!$K$7:$K$20,'試行熟悉度'!$E$7:$E$20,"未評估",0)</x:f>
        <x:v>可獨立配合</x:v>
      </x:c>
      <x:c r="P363" s="48" t="str">
        <x:f>_xlfn.XLOOKUP($A363&amp;"|李侑津醫師",'試行熟悉度'!$K$7:$K$20,'試行熟悉度'!$F$7:$F$20,"未建立",0)</x:f>
        <x:v>待主管核定</x:v>
      </x:c>
      <x:c r="Q363" s="39" t="str">
        <x:v>Ø 時完整支援者 1:1</x:v>
      </x:c>
    </x:row>
    <x:row r="364">
      <x:c r="A364" s="37" t="str">
        <x:v>1026</x:v>
      </x:c>
      <x:c r="B364" s="37" t="str"/>
      <x:c r="C364" s="37" t="str">
        <x:v>LJT-MICROENDO</x:v>
      </x:c>
      <x:c r="D364" s="37" t="str">
        <x:v>顯微根管</x:v>
      </x:c>
      <x:c r="E364" s="37" t="str">
        <x:v>一般</x:v>
      </x:c>
      <x:c r="F364" s="37" t="str">
        <x:v>高複雜度</x:v>
      </x:c>
      <x:c r="G364" s="37" t="str">
        <x:v>COMMON-RECORD</x:v>
      </x:c>
      <x:c r="H364" s="37" t="str">
        <x:v>待確認</x:v>
      </x:c>
      <x:c r="I364" s="37" t="str">
        <x:f>_xlfn.XLOOKUP($C364&amp;"|"&amp;$G364,'李醫師能力要求'!$M$7:$M$59,'李醫師能力要求'!$K$7:$K$59,"待確認",0)</x:f>
        <x:v>待確認</x:v>
      </x:c>
      <x:c r="J364" s="37" t="str">
        <x:v>◎</x:v>
      </x:c>
      <x:c r="K364" s="37" t="str">
        <x:v>Ø</x:v>
      </x:c>
      <x:c r="L364" s="48" t="str">
        <x:f>_xlfn.XLOOKUP($A364&amp;"|"&amp;$G364,'試行能力狀態'!$L$7:$L$258,'試行能力狀態'!$E$7:$E$258,"未評估",0)</x:f>
        <x:v>△</x:v>
      </x:c>
      <x:c r="M364" s="48" t="str">
        <x:f>_xlfn.XLOOKUP($A364&amp;"|"&amp;$G364,'試行能力狀態'!$L$7:$L$258,'試行能力狀態'!$F$7:$F$258,"未建立",0)</x:f>
        <x:v>待主管核定</x:v>
      </x:c>
      <x:c r="N364" s="48" t="str">
        <x:f>IF($L364="◎","符合獨立",IF($L364="Ø","符合條件","不符合"))</x:f>
        <x:v>不符合</x:v>
      </x:c>
      <x:c r="O364" s="48" t="str">
        <x:f>_xlfn.XLOOKUP($A364&amp;"|李侑津醫師",'試行熟悉度'!$K$7:$K$20,'試行熟悉度'!$E$7:$E$20,"未評估",0)</x:f>
        <x:v>可獨立配合</x:v>
      </x:c>
      <x:c r="P364" s="48" t="str">
        <x:f>_xlfn.XLOOKUP($A364&amp;"|李侑津醫師",'試行熟悉度'!$K$7:$K$20,'試行熟悉度'!$F$7:$F$20,"未建立",0)</x:f>
        <x:v>待主管核定</x:v>
      </x:c>
      <x:c r="Q364" s="39" t="str">
        <x:v>確認後才納入自動判定</x:v>
      </x:c>
    </x:row>
    <x:row r="365">
      <x:c r="A365" s="37" t="str">
        <x:v>1026</x:v>
      </x:c>
      <x:c r="B365" s="37" t="str"/>
      <x:c r="C365" s="37" t="str">
        <x:v>LJT-MICROENDO</x:v>
      </x:c>
      <x:c r="D365" s="37" t="str">
        <x:v>顯微根管</x:v>
      </x:c>
      <x:c r="E365" s="37" t="str">
        <x:v>一般</x:v>
      </x:c>
      <x:c r="F365" s="37" t="str">
        <x:v>高複雜度</x:v>
      </x:c>
      <x:c r="G365" s="37" t="str">
        <x:v>COMMON-INSURANCE</x:v>
      </x:c>
      <x:c r="H365" s="37" t="str">
        <x:v>待確認</x:v>
      </x:c>
      <x:c r="I365" s="37" t="str">
        <x:f>_xlfn.XLOOKUP($C365&amp;"|"&amp;$G365,'李醫師能力要求'!$M$7:$M$59,'李醫師能力要求'!$K$7:$K$59,"待確認",0)</x:f>
        <x:v>待確認</x:v>
      </x:c>
      <x:c r="J365" s="37" t="str">
        <x:v>◎</x:v>
      </x:c>
      <x:c r="K365" s="37" t="str">
        <x:v>Ø</x:v>
      </x:c>
      <x:c r="L365" s="48" t="str">
        <x:f>_xlfn.XLOOKUP($A365&amp;"|"&amp;$G365,'試行能力狀態'!$L$7:$L$258,'試行能力狀態'!$E$7:$E$258,"未評估",0)</x:f>
        <x:v>△</x:v>
      </x:c>
      <x:c r="M365" s="48" t="str">
        <x:f>_xlfn.XLOOKUP($A365&amp;"|"&amp;$G365,'試行能力狀態'!$L$7:$L$258,'試行能力狀態'!$F$7:$F$258,"未建立",0)</x:f>
        <x:v>待主管核定</x:v>
      </x:c>
      <x:c r="N365" s="48" t="str">
        <x:f>IF($L365="◎","符合獨立",IF($L365="Ø","符合條件","不符合"))</x:f>
        <x:v>不符合</x:v>
      </x:c>
      <x:c r="O365" s="48" t="str">
        <x:f>_xlfn.XLOOKUP($A365&amp;"|李侑津醫師",'試行熟悉度'!$K$7:$K$20,'試行熟悉度'!$E$7:$E$20,"未評估",0)</x:f>
        <x:v>可獨立配合</x:v>
      </x:c>
      <x:c r="P365" s="48" t="str">
        <x:f>_xlfn.XLOOKUP($A365&amp;"|李侑津醫師",'試行熟悉度'!$K$7:$K$20,'試行熟悉度'!$F$7:$F$20,"未建立",0)</x:f>
        <x:v>待主管核定</x:v>
      </x:c>
      <x:c r="Q365" s="39" t="str">
        <x:v>確認後才納入自動判定</x:v>
      </x:c>
    </x:row>
    <x:row r="366">
      <x:c r="A366" s="37" t="str">
        <x:v>1026</x:v>
      </x:c>
      <x:c r="B366" s="37" t="str"/>
      <x:c r="C366" s="37" t="str">
        <x:v>LJT-MICROENDO</x:v>
      </x:c>
      <x:c r="D366" s="37" t="str">
        <x:v>顯微根管</x:v>
      </x:c>
      <x:c r="E366" s="37" t="str">
        <x:v>一般</x:v>
      </x:c>
      <x:c r="F366" s="37" t="str">
        <x:v>高複雜度</x:v>
      </x:c>
      <x:c r="G366" s="37" t="str">
        <x:v>COMMON-XRAY-RECORD</x:v>
      </x:c>
      <x:c r="H366" s="37" t="str">
        <x:v>待確認</x:v>
      </x:c>
      <x:c r="I366" s="37" t="str">
        <x:f>_xlfn.XLOOKUP($C366&amp;"|"&amp;$G366,'李醫師能力要求'!$M$7:$M$59,'李醫師能力要求'!$K$7:$K$59,"待確認",0)</x:f>
        <x:v>待確認</x:v>
      </x:c>
      <x:c r="J366" s="37" t="str">
        <x:v>◎</x:v>
      </x:c>
      <x:c r="K366" s="37" t="str">
        <x:v>Ø</x:v>
      </x:c>
      <x:c r="L366" s="48" t="str">
        <x:f>_xlfn.XLOOKUP($A366&amp;"|"&amp;$G366,'試行能力狀態'!$L$7:$L$258,'試行能力狀態'!$E$7:$E$258,"未評估",0)</x:f>
        <x:v>△</x:v>
      </x:c>
      <x:c r="M366" s="48" t="str">
        <x:f>_xlfn.XLOOKUP($A366&amp;"|"&amp;$G366,'試行能力狀態'!$L$7:$L$258,'試行能力狀態'!$F$7:$F$258,"未建立",0)</x:f>
        <x:v>待主管核定</x:v>
      </x:c>
      <x:c r="N366" s="48" t="str">
        <x:f>IF($L366="◎","符合獨立",IF($L366="Ø","符合條件","不符合"))</x:f>
        <x:v>不符合</x:v>
      </x:c>
      <x:c r="O366" s="48" t="str">
        <x:f>_xlfn.XLOOKUP($A366&amp;"|李侑津醫師",'試行熟悉度'!$K$7:$K$20,'試行熟悉度'!$E$7:$E$20,"未評估",0)</x:f>
        <x:v>可獨立配合</x:v>
      </x:c>
      <x:c r="P366" s="48" t="str">
        <x:f>_xlfn.XLOOKUP($A366&amp;"|李侑津醫師",'試行熟悉度'!$K$7:$K$20,'試行熟悉度'!$F$7:$F$20,"未建立",0)</x:f>
        <x:v>待主管核定</x:v>
      </x:c>
      <x:c r="Q366" s="39" t="str">
        <x:v>確認後才納入自動判定</x:v>
      </x:c>
    </x:row>
    <x:row r="367">
      <x:c r="A367" s="37" t="str">
        <x:v>1026</x:v>
      </x:c>
      <x:c r="B367" s="37" t="str"/>
      <x:c r="C367" s="37" t="str">
        <x:v>LJT-IMPLANT</x:v>
      </x:c>
      <x:c r="D367" s="37" t="str">
        <x:v>植牙</x:v>
      </x:c>
      <x:c r="E367" s="37" t="str">
        <x:v>一般</x:v>
      </x:c>
      <x:c r="F367" s="37" t="str">
        <x:v>高複雜度</x:v>
      </x:c>
      <x:c r="G367" s="37" t="str">
        <x:v>LJT-PREP-IMPLANT</x:v>
      </x:c>
      <x:c r="H367" s="37" t="str">
        <x:v>必備</x:v>
      </x:c>
      <x:c r="I367" s="37" t="str">
        <x:f>_xlfn.XLOOKUP($C367&amp;"|"&amp;$G367,'李醫師能力要求'!$M$7:$M$59,'李醫師能力要求'!$K$7:$K$59,"待確認",0)</x:f>
        <x:v>已確認</x:v>
      </x:c>
      <x:c r="J367" s="37" t="str">
        <x:v>◎</x:v>
      </x:c>
      <x:c r="K367" s="37" t="str">
        <x:v>Ø</x:v>
      </x:c>
      <x:c r="L367" s="48" t="str">
        <x:f>_xlfn.XLOOKUP($A367&amp;"|"&amp;$G367,'試行能力狀態'!$L$7:$L$258,'試行能力狀態'!$E$7:$E$258,"未評估",0)</x:f>
        <x:v>◎</x:v>
      </x:c>
      <x:c r="M367" s="48" t="str">
        <x:f>_xlfn.XLOOKUP($A367&amp;"|"&amp;$G367,'試行能力狀態'!$L$7:$L$258,'試行能力狀態'!$F$7:$F$258,"未建立",0)</x:f>
        <x:v>待主管核定</x:v>
      </x:c>
      <x:c r="N367" s="48" t="str">
        <x:f>IF($L367="◎","符合獨立",IF($L367="Ø","符合條件","不符合"))</x:f>
        <x:v>符合獨立</x:v>
      </x:c>
      <x:c r="O367" s="48" t="str">
        <x:f>_xlfn.XLOOKUP($A367&amp;"|李侑津醫師",'試行熟悉度'!$K$7:$K$20,'試行熟悉度'!$E$7:$E$20,"未評估",0)</x:f>
        <x:v>可獨立配合</x:v>
      </x:c>
      <x:c r="P367" s="48" t="str">
        <x:f>_xlfn.XLOOKUP($A367&amp;"|李侑津醫師",'試行熟悉度'!$K$7:$K$20,'試行熟悉度'!$F$7:$F$20,"未建立",0)</x:f>
        <x:v>待主管核定</x:v>
      </x:c>
      <x:c r="Q367" s="39" t="str">
        <x:v>Ø 時完整支援者 1:1</x:v>
      </x:c>
    </x:row>
    <x:row r="368">
      <x:c r="A368" s="37" t="str">
        <x:v>1026</x:v>
      </x:c>
      <x:c r="B368" s="37" t="str"/>
      <x:c r="C368" s="37" t="str">
        <x:v>LJT-IMPLANT</x:v>
      </x:c>
      <x:c r="D368" s="37" t="str">
        <x:v>植牙</x:v>
      </x:c>
      <x:c r="E368" s="37" t="str">
        <x:v>一般</x:v>
      </x:c>
      <x:c r="F368" s="37" t="str">
        <x:v>高複雜度</x:v>
      </x:c>
      <x:c r="G368" s="37" t="str">
        <x:v>COMMON-RECORD</x:v>
      </x:c>
      <x:c r="H368" s="37" t="str">
        <x:v>待確認</x:v>
      </x:c>
      <x:c r="I368" s="37" t="str">
        <x:f>_xlfn.XLOOKUP($C368&amp;"|"&amp;$G368,'李醫師能力要求'!$M$7:$M$59,'李醫師能力要求'!$K$7:$K$59,"待確認",0)</x:f>
        <x:v>待確認</x:v>
      </x:c>
      <x:c r="J368" s="37" t="str">
        <x:v>◎</x:v>
      </x:c>
      <x:c r="K368" s="37" t="str">
        <x:v>Ø</x:v>
      </x:c>
      <x:c r="L368" s="48" t="str">
        <x:f>_xlfn.XLOOKUP($A368&amp;"|"&amp;$G368,'試行能力狀態'!$L$7:$L$258,'試行能力狀態'!$E$7:$E$258,"未評估",0)</x:f>
        <x:v>△</x:v>
      </x:c>
      <x:c r="M368" s="48" t="str">
        <x:f>_xlfn.XLOOKUP($A368&amp;"|"&amp;$G368,'試行能力狀態'!$L$7:$L$258,'試行能力狀態'!$F$7:$F$258,"未建立",0)</x:f>
        <x:v>待主管核定</x:v>
      </x:c>
      <x:c r="N368" s="48" t="str">
        <x:f>IF($L368="◎","符合獨立",IF($L368="Ø","符合條件","不符合"))</x:f>
        <x:v>不符合</x:v>
      </x:c>
      <x:c r="O368" s="48" t="str">
        <x:f>_xlfn.XLOOKUP($A368&amp;"|李侑津醫師",'試行熟悉度'!$K$7:$K$20,'試行熟悉度'!$E$7:$E$20,"未評估",0)</x:f>
        <x:v>可獨立配合</x:v>
      </x:c>
      <x:c r="P368" s="48" t="str">
        <x:f>_xlfn.XLOOKUP($A368&amp;"|李侑津醫師",'試行熟悉度'!$K$7:$K$20,'試行熟悉度'!$F$7:$F$20,"未建立",0)</x:f>
        <x:v>待主管核定</x:v>
      </x:c>
      <x:c r="Q368" s="39" t="str">
        <x:v>確認後才納入自動判定</x:v>
      </x:c>
    </x:row>
    <x:row r="369">
      <x:c r="A369" s="37" t="str">
        <x:v>1026</x:v>
      </x:c>
      <x:c r="B369" s="37" t="str"/>
      <x:c r="C369" s="37" t="str">
        <x:v>LJT-IMPLANT</x:v>
      </x:c>
      <x:c r="D369" s="37" t="str">
        <x:v>植牙</x:v>
      </x:c>
      <x:c r="E369" s="37" t="str">
        <x:v>一般</x:v>
      </x:c>
      <x:c r="F369" s="37" t="str">
        <x:v>高複雜度</x:v>
      </x:c>
      <x:c r="G369" s="37" t="str">
        <x:v>COMMON-INSURANCE</x:v>
      </x:c>
      <x:c r="H369" s="37" t="str">
        <x:v>待確認</x:v>
      </x:c>
      <x:c r="I369" s="37" t="str">
        <x:f>_xlfn.XLOOKUP($C369&amp;"|"&amp;$G369,'李醫師能力要求'!$M$7:$M$59,'李醫師能力要求'!$K$7:$K$59,"待確認",0)</x:f>
        <x:v>待確認</x:v>
      </x:c>
      <x:c r="J369" s="37" t="str">
        <x:v>◎</x:v>
      </x:c>
      <x:c r="K369" s="37" t="str">
        <x:v>Ø</x:v>
      </x:c>
      <x:c r="L369" s="48" t="str">
        <x:f>_xlfn.XLOOKUP($A369&amp;"|"&amp;$G369,'試行能力狀態'!$L$7:$L$258,'試行能力狀態'!$E$7:$E$258,"未評估",0)</x:f>
        <x:v>△</x:v>
      </x:c>
      <x:c r="M369" s="48" t="str">
        <x:f>_xlfn.XLOOKUP($A369&amp;"|"&amp;$G369,'試行能力狀態'!$L$7:$L$258,'試行能力狀態'!$F$7:$F$258,"未建立",0)</x:f>
        <x:v>待主管核定</x:v>
      </x:c>
      <x:c r="N369" s="48" t="str">
        <x:f>IF($L369="◎","符合獨立",IF($L369="Ø","符合條件","不符合"))</x:f>
        <x:v>不符合</x:v>
      </x:c>
      <x:c r="O369" s="48" t="str">
        <x:f>_xlfn.XLOOKUP($A369&amp;"|李侑津醫師",'試行熟悉度'!$K$7:$K$20,'試行熟悉度'!$E$7:$E$20,"未評估",0)</x:f>
        <x:v>可獨立配合</x:v>
      </x:c>
      <x:c r="P369" s="48" t="str">
        <x:f>_xlfn.XLOOKUP($A369&amp;"|李侑津醫師",'試行熟悉度'!$K$7:$K$20,'試行熟悉度'!$F$7:$F$20,"未建立",0)</x:f>
        <x:v>待主管核定</x:v>
      </x:c>
      <x:c r="Q369" s="39" t="str">
        <x:v>確認後才納入自動判定</x:v>
      </x:c>
    </x:row>
    <x:row r="370">
      <x:c r="A370" s="37" t="str">
        <x:v>1026</x:v>
      </x:c>
      <x:c r="B370" s="37" t="str"/>
      <x:c r="C370" s="37" t="str">
        <x:v>LJT-IMPLANT</x:v>
      </x:c>
      <x:c r="D370" s="37" t="str">
        <x:v>植牙</x:v>
      </x:c>
      <x:c r="E370" s="37" t="str">
        <x:v>一般</x:v>
      </x:c>
      <x:c r="F370" s="37" t="str">
        <x:v>高複雜度</x:v>
      </x:c>
      <x:c r="G370" s="37" t="str">
        <x:v>COMMON-XRAY-RECORD</x:v>
      </x:c>
      <x:c r="H370" s="37" t="str">
        <x:v>待確認</x:v>
      </x:c>
      <x:c r="I370" s="37" t="str">
        <x:f>_xlfn.XLOOKUP($C370&amp;"|"&amp;$G370,'李醫師能力要求'!$M$7:$M$59,'李醫師能力要求'!$K$7:$K$59,"待確認",0)</x:f>
        <x:v>待確認</x:v>
      </x:c>
      <x:c r="J370" s="37" t="str">
        <x:v>◎</x:v>
      </x:c>
      <x:c r="K370" s="37" t="str">
        <x:v>Ø</x:v>
      </x:c>
      <x:c r="L370" s="48" t="str">
        <x:f>_xlfn.XLOOKUP($A370&amp;"|"&amp;$G370,'試行能力狀態'!$L$7:$L$258,'試行能力狀態'!$E$7:$E$258,"未評估",0)</x:f>
        <x:v>△</x:v>
      </x:c>
      <x:c r="M370" s="48" t="str">
        <x:f>_xlfn.XLOOKUP($A370&amp;"|"&amp;$G370,'試行能力狀態'!$L$7:$L$258,'試行能力狀態'!$F$7:$F$258,"未建立",0)</x:f>
        <x:v>待主管核定</x:v>
      </x:c>
      <x:c r="N370" s="48" t="str">
        <x:f>IF($L370="◎","符合獨立",IF($L370="Ø","符合條件","不符合"))</x:f>
        <x:v>不符合</x:v>
      </x:c>
      <x:c r="O370" s="48" t="str">
        <x:f>_xlfn.XLOOKUP($A370&amp;"|李侑津醫師",'試行熟悉度'!$K$7:$K$20,'試行熟悉度'!$E$7:$E$20,"未評估",0)</x:f>
        <x:v>可獨立配合</x:v>
      </x:c>
      <x:c r="P370" s="48" t="str">
        <x:f>_xlfn.XLOOKUP($A370&amp;"|李侑津醫師",'試行熟悉度'!$K$7:$K$20,'試行熟悉度'!$F$7:$F$20,"未建立",0)</x:f>
        <x:v>待主管核定</x:v>
      </x:c>
      <x:c r="Q370" s="39" t="str">
        <x:v>確認後才納入自動判定</x:v>
      </x:c>
    </x:row>
    <x:row r="371">
      <x:c r="A371" s="37" t="str">
        <x:v>1027</x:v>
      </x:c>
      <x:c r="B371" s="37" t="str"/>
      <x:c r="C371" s="37" t="str">
        <x:v>LJT-SCALING</x:v>
      </x:c>
      <x:c r="D371" s="37" t="str">
        <x:v>洗牙</x:v>
      </x:c>
      <x:c r="E371" s="37" t="str">
        <x:v>一般</x:v>
      </x:c>
      <x:c r="F371" s="37" t="str">
        <x:v>一般</x:v>
      </x:c>
      <x:c r="G371" s="37" t="str">
        <x:v>LJT-PREP-SCALING</x:v>
      </x:c>
      <x:c r="H371" s="37" t="str">
        <x:v>必備</x:v>
      </x:c>
      <x:c r="I371" s="37" t="str">
        <x:f>_xlfn.XLOOKUP($C371&amp;"|"&amp;$G371,'李醫師能力要求'!$M$7:$M$59,'李醫師能力要求'!$K$7:$K$59,"待確認",0)</x:f>
        <x:v>已確認</x:v>
      </x:c>
      <x:c r="J371" s="37" t="str">
        <x:v>◎</x:v>
      </x:c>
      <x:c r="K371" s="37" t="str">
        <x:v>Ø</x:v>
      </x:c>
      <x:c r="L371" s="48" t="str">
        <x:f>_xlfn.XLOOKUP($A371&amp;"|"&amp;$G371,'試行能力狀態'!$L$7:$L$258,'試行能力狀態'!$E$7:$E$258,"未評估",0)</x:f>
        <x:v>◎</x:v>
      </x:c>
      <x:c r="M371" s="48" t="str">
        <x:f>_xlfn.XLOOKUP($A371&amp;"|"&amp;$G371,'試行能力狀態'!$L$7:$L$258,'試行能力狀態'!$F$7:$F$258,"未建立",0)</x:f>
        <x:v>待主管核定</x:v>
      </x:c>
      <x:c r="N371" s="48" t="str">
        <x:f>IF($L371="◎","符合獨立",IF($L371="Ø","符合條件","不符合"))</x:f>
        <x:v>符合獨立</x:v>
      </x:c>
      <x:c r="O371" s="48" t="str">
        <x:f>_xlfn.XLOOKUP($A371&amp;"|李侑津醫師",'試行熟悉度'!$K$7:$K$20,'試行熟悉度'!$E$7:$E$20,"未評估",0)</x:f>
        <x:v>可配合但需支援</x:v>
      </x:c>
      <x:c r="P371" s="48" t="str">
        <x:f>_xlfn.XLOOKUP($A371&amp;"|李侑津醫師",'試行熟悉度'!$K$7:$K$20,'試行熟悉度'!$F$7:$F$20,"未建立",0)</x:f>
        <x:v>待主管核定</x:v>
      </x:c>
      <x:c r="Q371" s="39" t="str">
        <x:v>依一般支援名額</x:v>
      </x:c>
    </x:row>
    <x:row r="372">
      <x:c r="A372" s="37" t="str">
        <x:v>1027</x:v>
      </x:c>
      <x:c r="B372" s="37" t="str"/>
      <x:c r="C372" s="37" t="str">
        <x:v>LJT-SCALING</x:v>
      </x:c>
      <x:c r="D372" s="37" t="str">
        <x:v>洗牙</x:v>
      </x:c>
      <x:c r="E372" s="37" t="str">
        <x:v>一般</x:v>
      </x:c>
      <x:c r="F372" s="37" t="str">
        <x:v>一般</x:v>
      </x:c>
      <x:c r="G372" s="37" t="str">
        <x:v>COMMON-RECORD</x:v>
      </x:c>
      <x:c r="H372" s="37" t="str">
        <x:v>待確認</x:v>
      </x:c>
      <x:c r="I372" s="37" t="str">
        <x:f>_xlfn.XLOOKUP($C372&amp;"|"&amp;$G372,'李醫師能力要求'!$M$7:$M$59,'李醫師能力要求'!$K$7:$K$59,"待確認",0)</x:f>
        <x:v>待確認</x:v>
      </x:c>
      <x:c r="J372" s="37" t="str">
        <x:v>◎</x:v>
      </x:c>
      <x:c r="K372" s="37" t="str">
        <x:v>Ø</x:v>
      </x:c>
      <x:c r="L372" s="48" t="str">
        <x:f>_xlfn.XLOOKUP($A372&amp;"|"&amp;$G372,'試行能力狀態'!$L$7:$L$258,'試行能力狀態'!$E$7:$E$258,"未評估",0)</x:f>
        <x:v>◎</x:v>
      </x:c>
      <x:c r="M372" s="48" t="str">
        <x:f>_xlfn.XLOOKUP($A372&amp;"|"&amp;$G372,'試行能力狀態'!$L$7:$L$258,'試行能力狀態'!$F$7:$F$258,"未建立",0)</x:f>
        <x:v>待主管核定</x:v>
      </x:c>
      <x:c r="N372" s="48" t="str">
        <x:f>IF($L372="◎","符合獨立",IF($L372="Ø","符合條件","不符合"))</x:f>
        <x:v>符合獨立</x:v>
      </x:c>
      <x:c r="O372" s="48" t="str">
        <x:f>_xlfn.XLOOKUP($A372&amp;"|李侑津醫師",'試行熟悉度'!$K$7:$K$20,'試行熟悉度'!$E$7:$E$20,"未評估",0)</x:f>
        <x:v>可配合但需支援</x:v>
      </x:c>
      <x:c r="P372" s="48" t="str">
        <x:f>_xlfn.XLOOKUP($A372&amp;"|李侑津醫師",'試行熟悉度'!$K$7:$K$20,'試行熟悉度'!$F$7:$F$20,"未建立",0)</x:f>
        <x:v>待主管核定</x:v>
      </x:c>
      <x:c r="Q372" s="39" t="str">
        <x:v>確認後才納入自動判定</x:v>
      </x:c>
    </x:row>
    <x:row r="373">
      <x:c r="A373" s="37" t="str">
        <x:v>1027</x:v>
      </x:c>
      <x:c r="B373" s="37" t="str"/>
      <x:c r="C373" s="37" t="str">
        <x:v>LJT-SCALING</x:v>
      </x:c>
      <x:c r="D373" s="37" t="str">
        <x:v>洗牙</x:v>
      </x:c>
      <x:c r="E373" s="37" t="str">
        <x:v>一般</x:v>
      </x:c>
      <x:c r="F373" s="37" t="str">
        <x:v>一般</x:v>
      </x:c>
      <x:c r="G373" s="37" t="str">
        <x:v>COMMON-INSURANCE</x:v>
      </x:c>
      <x:c r="H373" s="37" t="str">
        <x:v>待確認</x:v>
      </x:c>
      <x:c r="I373" s="37" t="str">
        <x:f>_xlfn.XLOOKUP($C373&amp;"|"&amp;$G373,'李醫師能力要求'!$M$7:$M$59,'李醫師能力要求'!$K$7:$K$59,"待確認",0)</x:f>
        <x:v>待確認</x:v>
      </x:c>
      <x:c r="J373" s="37" t="str">
        <x:v>◎</x:v>
      </x:c>
      <x:c r="K373" s="37" t="str">
        <x:v>Ø</x:v>
      </x:c>
      <x:c r="L373" s="48" t="str">
        <x:f>_xlfn.XLOOKUP($A373&amp;"|"&amp;$G373,'試行能力狀態'!$L$7:$L$258,'試行能力狀態'!$E$7:$E$258,"未評估",0)</x:f>
        <x:v>Ø</x:v>
      </x:c>
      <x:c r="M373" s="48" t="str">
        <x:f>_xlfn.XLOOKUP($A373&amp;"|"&amp;$G373,'試行能力狀態'!$L$7:$L$258,'試行能力狀態'!$F$7:$F$258,"未建立",0)</x:f>
        <x:v>待主管核定</x:v>
      </x:c>
      <x:c r="N373" s="48" t="str">
        <x:f>IF($L373="◎","符合獨立",IF($L373="Ø","符合條件","不符合"))</x:f>
        <x:v>符合條件</x:v>
      </x:c>
      <x:c r="O373" s="48" t="str">
        <x:f>_xlfn.XLOOKUP($A373&amp;"|李侑津醫師",'試行熟悉度'!$K$7:$K$20,'試行熟悉度'!$E$7:$E$20,"未評估",0)</x:f>
        <x:v>可配合但需支援</x:v>
      </x:c>
      <x:c r="P373" s="48" t="str">
        <x:f>_xlfn.XLOOKUP($A373&amp;"|李侑津醫師",'試行熟悉度'!$K$7:$K$20,'試行熟悉度'!$F$7:$F$20,"未建立",0)</x:f>
        <x:v>待主管核定</x:v>
      </x:c>
      <x:c r="Q373" s="39" t="str">
        <x:v>確認後才納入自動判定</x:v>
      </x:c>
    </x:row>
    <x:row r="374">
      <x:c r="A374" s="37" t="str">
        <x:v>1027</x:v>
      </x:c>
      <x:c r="B374" s="37" t="str"/>
      <x:c r="C374" s="37" t="str">
        <x:v>LJT-SCALING</x:v>
      </x:c>
      <x:c r="D374" s="37" t="str">
        <x:v>洗牙</x:v>
      </x:c>
      <x:c r="E374" s="37" t="str">
        <x:v>一般</x:v>
      </x:c>
      <x:c r="F374" s="37" t="str">
        <x:v>一般</x:v>
      </x:c>
      <x:c r="G374" s="37" t="str">
        <x:v>COMMON-XRAY-RECORD</x:v>
      </x:c>
      <x:c r="H374" s="37" t="str">
        <x:v>待確認</x:v>
      </x:c>
      <x:c r="I374" s="37" t="str">
        <x:f>_xlfn.XLOOKUP($C374&amp;"|"&amp;$G374,'李醫師能力要求'!$M$7:$M$59,'李醫師能力要求'!$K$7:$K$59,"待確認",0)</x:f>
        <x:v>待確認</x:v>
      </x:c>
      <x:c r="J374" s="37" t="str">
        <x:v>◎</x:v>
      </x:c>
      <x:c r="K374" s="37" t="str">
        <x:v>Ø</x:v>
      </x:c>
      <x:c r="L374" s="48" t="str">
        <x:f>_xlfn.XLOOKUP($A374&amp;"|"&amp;$G374,'試行能力狀態'!$L$7:$L$258,'試行能力狀態'!$E$7:$E$258,"未評估",0)</x:f>
        <x:v>◎</x:v>
      </x:c>
      <x:c r="M374" s="48" t="str">
        <x:f>_xlfn.XLOOKUP($A374&amp;"|"&amp;$G374,'試行能力狀態'!$L$7:$L$258,'試行能力狀態'!$F$7:$F$258,"未建立",0)</x:f>
        <x:v>待主管核定</x:v>
      </x:c>
      <x:c r="N374" s="48" t="str">
        <x:f>IF($L374="◎","符合獨立",IF($L374="Ø","符合條件","不符合"))</x:f>
        <x:v>符合獨立</x:v>
      </x:c>
      <x:c r="O374" s="48" t="str">
        <x:f>_xlfn.XLOOKUP($A374&amp;"|李侑津醫師",'試行熟悉度'!$K$7:$K$20,'試行熟悉度'!$E$7:$E$20,"未評估",0)</x:f>
        <x:v>可配合但需支援</x:v>
      </x:c>
      <x:c r="P374" s="48" t="str">
        <x:f>_xlfn.XLOOKUP($A374&amp;"|李侑津醫師",'試行熟悉度'!$K$7:$K$20,'試行熟悉度'!$F$7:$F$20,"未建立",0)</x:f>
        <x:v>待主管核定</x:v>
      </x:c>
      <x:c r="Q374" s="39" t="str">
        <x:v>確認後才納入自動判定</x:v>
      </x:c>
    </x:row>
    <x:row r="375">
      <x:c r="A375" s="37" t="str">
        <x:v>1027</x:v>
      </x:c>
      <x:c r="B375" s="37" t="str"/>
      <x:c r="C375" s="37" t="str">
        <x:v>LJT-FILLING</x:v>
      </x:c>
      <x:c r="D375" s="37" t="str">
        <x:v>補牙</x:v>
      </x:c>
      <x:c r="E375" s="37" t="str">
        <x:v>一般</x:v>
      </x:c>
      <x:c r="F375" s="37" t="str">
        <x:v>一般</x:v>
      </x:c>
      <x:c r="G375" s="37" t="str">
        <x:v>LJT-PREP-FILLING</x:v>
      </x:c>
      <x:c r="H375" s="37" t="str">
        <x:v>必備</x:v>
      </x:c>
      <x:c r="I375" s="37" t="str">
        <x:f>_xlfn.XLOOKUP($C375&amp;"|"&amp;$G375,'李醫師能力要求'!$M$7:$M$59,'李醫師能力要求'!$K$7:$K$59,"待確認",0)</x:f>
        <x:v>已確認</x:v>
      </x:c>
      <x:c r="J375" s="37" t="str">
        <x:v>◎</x:v>
      </x:c>
      <x:c r="K375" s="37" t="str">
        <x:v>Ø</x:v>
      </x:c>
      <x:c r="L375" s="48" t="str">
        <x:f>_xlfn.XLOOKUP($A375&amp;"|"&amp;$G375,'試行能力狀態'!$L$7:$L$258,'試行能力狀態'!$E$7:$E$258,"未評估",0)</x:f>
        <x:v>◎</x:v>
      </x:c>
      <x:c r="M375" s="48" t="str">
        <x:f>_xlfn.XLOOKUP($A375&amp;"|"&amp;$G375,'試行能力狀態'!$L$7:$L$258,'試行能力狀態'!$F$7:$F$258,"未建立",0)</x:f>
        <x:v>待主管核定</x:v>
      </x:c>
      <x:c r="N375" s="48" t="str">
        <x:f>IF($L375="◎","符合獨立",IF($L375="Ø","符合條件","不符合"))</x:f>
        <x:v>符合獨立</x:v>
      </x:c>
      <x:c r="O375" s="48" t="str">
        <x:f>_xlfn.XLOOKUP($A375&amp;"|李侑津醫師",'試行熟悉度'!$K$7:$K$20,'試行熟悉度'!$E$7:$E$20,"未評估",0)</x:f>
        <x:v>可配合但需支援</x:v>
      </x:c>
      <x:c r="P375" s="48" t="str">
        <x:f>_xlfn.XLOOKUP($A375&amp;"|李侑津醫師",'試行熟悉度'!$K$7:$K$20,'試行熟悉度'!$F$7:$F$20,"未建立",0)</x:f>
        <x:v>待主管核定</x:v>
      </x:c>
      <x:c r="Q375" s="39" t="str">
        <x:v>依一般支援名額</x:v>
      </x:c>
    </x:row>
    <x:row r="376">
      <x:c r="A376" s="37" t="str">
        <x:v>1027</x:v>
      </x:c>
      <x:c r="B376" s="37" t="str"/>
      <x:c r="C376" s="37" t="str">
        <x:v>LJT-FILLING</x:v>
      </x:c>
      <x:c r="D376" s="37" t="str">
        <x:v>補牙</x:v>
      </x:c>
      <x:c r="E376" s="37" t="str">
        <x:v>一般</x:v>
      </x:c>
      <x:c r="F376" s="37" t="str">
        <x:v>一般</x:v>
      </x:c>
      <x:c r="G376" s="37" t="str">
        <x:v>COMMON-RECORD</x:v>
      </x:c>
      <x:c r="H376" s="37" t="str">
        <x:v>待確認</x:v>
      </x:c>
      <x:c r="I376" s="37" t="str">
        <x:f>_xlfn.XLOOKUP($C376&amp;"|"&amp;$G376,'李醫師能力要求'!$M$7:$M$59,'李醫師能力要求'!$K$7:$K$59,"待確認",0)</x:f>
        <x:v>待確認</x:v>
      </x:c>
      <x:c r="J376" s="37" t="str">
        <x:v>◎</x:v>
      </x:c>
      <x:c r="K376" s="37" t="str">
        <x:v>Ø</x:v>
      </x:c>
      <x:c r="L376" s="48" t="str">
        <x:f>_xlfn.XLOOKUP($A376&amp;"|"&amp;$G376,'試行能力狀態'!$L$7:$L$258,'試行能力狀態'!$E$7:$E$258,"未評估",0)</x:f>
        <x:v>◎</x:v>
      </x:c>
      <x:c r="M376" s="48" t="str">
        <x:f>_xlfn.XLOOKUP($A376&amp;"|"&amp;$G376,'試行能力狀態'!$L$7:$L$258,'試行能力狀態'!$F$7:$F$258,"未建立",0)</x:f>
        <x:v>待主管核定</x:v>
      </x:c>
      <x:c r="N376" s="48" t="str">
        <x:f>IF($L376="◎","符合獨立",IF($L376="Ø","符合條件","不符合"))</x:f>
        <x:v>符合獨立</x:v>
      </x:c>
      <x:c r="O376" s="48" t="str">
        <x:f>_xlfn.XLOOKUP($A376&amp;"|李侑津醫師",'試行熟悉度'!$K$7:$K$20,'試行熟悉度'!$E$7:$E$20,"未評估",0)</x:f>
        <x:v>可配合但需支援</x:v>
      </x:c>
      <x:c r="P376" s="48" t="str">
        <x:f>_xlfn.XLOOKUP($A376&amp;"|李侑津醫師",'試行熟悉度'!$K$7:$K$20,'試行熟悉度'!$F$7:$F$20,"未建立",0)</x:f>
        <x:v>待主管核定</x:v>
      </x:c>
      <x:c r="Q376" s="39" t="str">
        <x:v>確認後才納入自動判定</x:v>
      </x:c>
    </x:row>
    <x:row r="377">
      <x:c r="A377" s="37" t="str">
        <x:v>1027</x:v>
      </x:c>
      <x:c r="B377" s="37" t="str"/>
      <x:c r="C377" s="37" t="str">
        <x:v>LJT-FILLING</x:v>
      </x:c>
      <x:c r="D377" s="37" t="str">
        <x:v>補牙</x:v>
      </x:c>
      <x:c r="E377" s="37" t="str">
        <x:v>一般</x:v>
      </x:c>
      <x:c r="F377" s="37" t="str">
        <x:v>一般</x:v>
      </x:c>
      <x:c r="G377" s="37" t="str">
        <x:v>COMMON-INSURANCE</x:v>
      </x:c>
      <x:c r="H377" s="37" t="str">
        <x:v>待確認</x:v>
      </x:c>
      <x:c r="I377" s="37" t="str">
        <x:f>_xlfn.XLOOKUP($C377&amp;"|"&amp;$G377,'李醫師能力要求'!$M$7:$M$59,'李醫師能力要求'!$K$7:$K$59,"待確認",0)</x:f>
        <x:v>待確認</x:v>
      </x:c>
      <x:c r="J377" s="37" t="str">
        <x:v>◎</x:v>
      </x:c>
      <x:c r="K377" s="37" t="str">
        <x:v>Ø</x:v>
      </x:c>
      <x:c r="L377" s="48" t="str">
        <x:f>_xlfn.XLOOKUP($A377&amp;"|"&amp;$G377,'試行能力狀態'!$L$7:$L$258,'試行能力狀態'!$E$7:$E$258,"未評估",0)</x:f>
        <x:v>Ø</x:v>
      </x:c>
      <x:c r="M377" s="48" t="str">
        <x:f>_xlfn.XLOOKUP($A377&amp;"|"&amp;$G377,'試行能力狀態'!$L$7:$L$258,'試行能力狀態'!$F$7:$F$258,"未建立",0)</x:f>
        <x:v>待主管核定</x:v>
      </x:c>
      <x:c r="N377" s="48" t="str">
        <x:f>IF($L377="◎","符合獨立",IF($L377="Ø","符合條件","不符合"))</x:f>
        <x:v>符合條件</x:v>
      </x:c>
      <x:c r="O377" s="48" t="str">
        <x:f>_xlfn.XLOOKUP($A377&amp;"|李侑津醫師",'試行熟悉度'!$K$7:$K$20,'試行熟悉度'!$E$7:$E$20,"未評估",0)</x:f>
        <x:v>可配合但需支援</x:v>
      </x:c>
      <x:c r="P377" s="48" t="str">
        <x:f>_xlfn.XLOOKUP($A377&amp;"|李侑津醫師",'試行熟悉度'!$K$7:$K$20,'試行熟悉度'!$F$7:$F$20,"未建立",0)</x:f>
        <x:v>待主管核定</x:v>
      </x:c>
      <x:c r="Q377" s="39" t="str">
        <x:v>確認後才納入自動判定</x:v>
      </x:c>
    </x:row>
    <x:row r="378">
      <x:c r="A378" s="37" t="str">
        <x:v>1027</x:v>
      </x:c>
      <x:c r="B378" s="37" t="str"/>
      <x:c r="C378" s="37" t="str">
        <x:v>LJT-FILLING</x:v>
      </x:c>
      <x:c r="D378" s="37" t="str">
        <x:v>補牙</x:v>
      </x:c>
      <x:c r="E378" s="37" t="str">
        <x:v>一般</x:v>
      </x:c>
      <x:c r="F378" s="37" t="str">
        <x:v>一般</x:v>
      </x:c>
      <x:c r="G378" s="37" t="str">
        <x:v>COMMON-XRAY-RECORD</x:v>
      </x:c>
      <x:c r="H378" s="37" t="str">
        <x:v>待確認</x:v>
      </x:c>
      <x:c r="I378" s="37" t="str">
        <x:f>_xlfn.XLOOKUP($C378&amp;"|"&amp;$G378,'李醫師能力要求'!$M$7:$M$59,'李醫師能力要求'!$K$7:$K$59,"待確認",0)</x:f>
        <x:v>待確認</x:v>
      </x:c>
      <x:c r="J378" s="37" t="str">
        <x:v>◎</x:v>
      </x:c>
      <x:c r="K378" s="37" t="str">
        <x:v>Ø</x:v>
      </x:c>
      <x:c r="L378" s="48" t="str">
        <x:f>_xlfn.XLOOKUP($A378&amp;"|"&amp;$G378,'試行能力狀態'!$L$7:$L$258,'試行能力狀態'!$E$7:$E$258,"未評估",0)</x:f>
        <x:v>◎</x:v>
      </x:c>
      <x:c r="M378" s="48" t="str">
        <x:f>_xlfn.XLOOKUP($A378&amp;"|"&amp;$G378,'試行能力狀態'!$L$7:$L$258,'試行能力狀態'!$F$7:$F$258,"未建立",0)</x:f>
        <x:v>待主管核定</x:v>
      </x:c>
      <x:c r="N378" s="48" t="str">
        <x:f>IF($L378="◎","符合獨立",IF($L378="Ø","符合條件","不符合"))</x:f>
        <x:v>符合獨立</x:v>
      </x:c>
      <x:c r="O378" s="48" t="str">
        <x:f>_xlfn.XLOOKUP($A378&amp;"|李侑津醫師",'試行熟悉度'!$K$7:$K$20,'試行熟悉度'!$E$7:$E$20,"未評估",0)</x:f>
        <x:v>可配合但需支援</x:v>
      </x:c>
      <x:c r="P378" s="48" t="str">
        <x:f>_xlfn.XLOOKUP($A378&amp;"|李侑津醫師",'試行熟悉度'!$K$7:$K$20,'試行熟悉度'!$F$7:$F$20,"未建立",0)</x:f>
        <x:v>待主管核定</x:v>
      </x:c>
      <x:c r="Q378" s="39" t="str">
        <x:v>確認後才納入自動判定</x:v>
      </x:c>
    </x:row>
    <x:row r="379">
      <x:c r="A379" s="37" t="str">
        <x:v>1027</x:v>
      </x:c>
      <x:c r="B379" s="37" t="str"/>
      <x:c r="C379" s="37" t="str">
        <x:v>LJT-PERIO</x:v>
      </x:c>
      <x:c r="D379" s="37" t="str">
        <x:v>牙周統合</x:v>
      </x:c>
      <x:c r="E379" s="37" t="str">
        <x:v>一般</x:v>
      </x:c>
      <x:c r="F379" s="37" t="str">
        <x:v>一般</x:v>
      </x:c>
      <x:c r="G379" s="37" t="str">
        <x:v>LJT-PREP-PERIO</x:v>
      </x:c>
      <x:c r="H379" s="37" t="str">
        <x:v>必備</x:v>
      </x:c>
      <x:c r="I379" s="37" t="str">
        <x:f>_xlfn.XLOOKUP($C379&amp;"|"&amp;$G379,'李醫師能力要求'!$M$7:$M$59,'李醫師能力要求'!$K$7:$K$59,"待確認",0)</x:f>
        <x:v>已確認</x:v>
      </x:c>
      <x:c r="J379" s="37" t="str">
        <x:v>◎</x:v>
      </x:c>
      <x:c r="K379" s="37" t="str">
        <x:v>Ø</x:v>
      </x:c>
      <x:c r="L379" s="48" t="str">
        <x:f>_xlfn.XLOOKUP($A379&amp;"|"&amp;$G379,'試行能力狀態'!$L$7:$L$258,'試行能力狀態'!$E$7:$E$258,"未評估",0)</x:f>
        <x:v>◎</x:v>
      </x:c>
      <x:c r="M379" s="48" t="str">
        <x:f>_xlfn.XLOOKUP($A379&amp;"|"&amp;$G379,'試行能力狀態'!$L$7:$L$258,'試行能力狀態'!$F$7:$F$258,"未建立",0)</x:f>
        <x:v>待主管核定</x:v>
      </x:c>
      <x:c r="N379" s="48" t="str">
        <x:f>IF($L379="◎","符合獨立",IF($L379="Ø","符合條件","不符合"))</x:f>
        <x:v>符合獨立</x:v>
      </x:c>
      <x:c r="O379" s="48" t="str">
        <x:f>_xlfn.XLOOKUP($A379&amp;"|李侑津醫師",'試行熟悉度'!$K$7:$K$20,'試行熟悉度'!$E$7:$E$20,"未評估",0)</x:f>
        <x:v>可配合但需支援</x:v>
      </x:c>
      <x:c r="P379" s="48" t="str">
        <x:f>_xlfn.XLOOKUP($A379&amp;"|李侑津醫師",'試行熟悉度'!$K$7:$K$20,'試行熟悉度'!$F$7:$F$20,"未建立",0)</x:f>
        <x:v>待主管核定</x:v>
      </x:c>
      <x:c r="Q379" s="39" t="str">
        <x:v>依一般支援名額</x:v>
      </x:c>
    </x:row>
    <x:row r="380">
      <x:c r="A380" s="37" t="str">
        <x:v>1027</x:v>
      </x:c>
      <x:c r="B380" s="37" t="str"/>
      <x:c r="C380" s="37" t="str">
        <x:v>LJT-PERIO</x:v>
      </x:c>
      <x:c r="D380" s="37" t="str">
        <x:v>牙周統合</x:v>
      </x:c>
      <x:c r="E380" s="37" t="str">
        <x:v>一般</x:v>
      </x:c>
      <x:c r="F380" s="37" t="str">
        <x:v>一般</x:v>
      </x:c>
      <x:c r="G380" s="37" t="str">
        <x:v>COMMON-RECORD</x:v>
      </x:c>
      <x:c r="H380" s="37" t="str">
        <x:v>待確認</x:v>
      </x:c>
      <x:c r="I380" s="37" t="str">
        <x:f>_xlfn.XLOOKUP($C380&amp;"|"&amp;$G380,'李醫師能力要求'!$M$7:$M$59,'李醫師能力要求'!$K$7:$K$59,"待確認",0)</x:f>
        <x:v>待確認</x:v>
      </x:c>
      <x:c r="J380" s="37" t="str">
        <x:v>◎</x:v>
      </x:c>
      <x:c r="K380" s="37" t="str">
        <x:v>Ø</x:v>
      </x:c>
      <x:c r="L380" s="48" t="str">
        <x:f>_xlfn.XLOOKUP($A380&amp;"|"&amp;$G380,'試行能力狀態'!$L$7:$L$258,'試行能力狀態'!$E$7:$E$258,"未評估",0)</x:f>
        <x:v>◎</x:v>
      </x:c>
      <x:c r="M380" s="48" t="str">
        <x:f>_xlfn.XLOOKUP($A380&amp;"|"&amp;$G380,'試行能力狀態'!$L$7:$L$258,'試行能力狀態'!$F$7:$F$258,"未建立",0)</x:f>
        <x:v>待主管核定</x:v>
      </x:c>
      <x:c r="N380" s="48" t="str">
        <x:f>IF($L380="◎","符合獨立",IF($L380="Ø","符合條件","不符合"))</x:f>
        <x:v>符合獨立</x:v>
      </x:c>
      <x:c r="O380" s="48" t="str">
        <x:f>_xlfn.XLOOKUP($A380&amp;"|李侑津醫師",'試行熟悉度'!$K$7:$K$20,'試行熟悉度'!$E$7:$E$20,"未評估",0)</x:f>
        <x:v>可配合但需支援</x:v>
      </x:c>
      <x:c r="P380" s="48" t="str">
        <x:f>_xlfn.XLOOKUP($A380&amp;"|李侑津醫師",'試行熟悉度'!$K$7:$K$20,'試行熟悉度'!$F$7:$F$20,"未建立",0)</x:f>
        <x:v>待主管核定</x:v>
      </x:c>
      <x:c r="Q380" s="39" t="str">
        <x:v>確認後才納入自動判定</x:v>
      </x:c>
    </x:row>
    <x:row r="381">
      <x:c r="A381" s="37" t="str">
        <x:v>1027</x:v>
      </x:c>
      <x:c r="B381" s="37" t="str"/>
      <x:c r="C381" s="37" t="str">
        <x:v>LJT-PERIO</x:v>
      </x:c>
      <x:c r="D381" s="37" t="str">
        <x:v>牙周統合</x:v>
      </x:c>
      <x:c r="E381" s="37" t="str">
        <x:v>一般</x:v>
      </x:c>
      <x:c r="F381" s="37" t="str">
        <x:v>一般</x:v>
      </x:c>
      <x:c r="G381" s="37" t="str">
        <x:v>COMMON-INSURANCE</x:v>
      </x:c>
      <x:c r="H381" s="37" t="str">
        <x:v>待確認</x:v>
      </x:c>
      <x:c r="I381" s="37" t="str">
        <x:f>_xlfn.XLOOKUP($C381&amp;"|"&amp;$G381,'李醫師能力要求'!$M$7:$M$59,'李醫師能力要求'!$K$7:$K$59,"待確認",0)</x:f>
        <x:v>待確認</x:v>
      </x:c>
      <x:c r="J381" s="37" t="str">
        <x:v>◎</x:v>
      </x:c>
      <x:c r="K381" s="37" t="str">
        <x:v>Ø</x:v>
      </x:c>
      <x:c r="L381" s="48" t="str">
        <x:f>_xlfn.XLOOKUP($A381&amp;"|"&amp;$G381,'試行能力狀態'!$L$7:$L$258,'試行能力狀態'!$E$7:$E$258,"未評估",0)</x:f>
        <x:v>Ø</x:v>
      </x:c>
      <x:c r="M381" s="48" t="str">
        <x:f>_xlfn.XLOOKUP($A381&amp;"|"&amp;$G381,'試行能力狀態'!$L$7:$L$258,'試行能力狀態'!$F$7:$F$258,"未建立",0)</x:f>
        <x:v>待主管核定</x:v>
      </x:c>
      <x:c r="N381" s="48" t="str">
        <x:f>IF($L381="◎","符合獨立",IF($L381="Ø","符合條件","不符合"))</x:f>
        <x:v>符合條件</x:v>
      </x:c>
      <x:c r="O381" s="48" t="str">
        <x:f>_xlfn.XLOOKUP($A381&amp;"|李侑津醫師",'試行熟悉度'!$K$7:$K$20,'試行熟悉度'!$E$7:$E$20,"未評估",0)</x:f>
        <x:v>可配合但需支援</x:v>
      </x:c>
      <x:c r="P381" s="48" t="str">
        <x:f>_xlfn.XLOOKUP($A381&amp;"|李侑津醫師",'試行熟悉度'!$K$7:$K$20,'試行熟悉度'!$F$7:$F$20,"未建立",0)</x:f>
        <x:v>待主管核定</x:v>
      </x:c>
      <x:c r="Q381" s="39" t="str">
        <x:v>確認後才納入自動判定</x:v>
      </x:c>
    </x:row>
    <x:row r="382">
      <x:c r="A382" s="37" t="str">
        <x:v>1027</x:v>
      </x:c>
      <x:c r="B382" s="37" t="str"/>
      <x:c r="C382" s="37" t="str">
        <x:v>LJT-PERIO</x:v>
      </x:c>
      <x:c r="D382" s="37" t="str">
        <x:v>牙周統合</x:v>
      </x:c>
      <x:c r="E382" s="37" t="str">
        <x:v>一般</x:v>
      </x:c>
      <x:c r="F382" s="37" t="str">
        <x:v>一般</x:v>
      </x:c>
      <x:c r="G382" s="37" t="str">
        <x:v>COMMON-XRAY-RECORD</x:v>
      </x:c>
      <x:c r="H382" s="37" t="str">
        <x:v>待確認</x:v>
      </x:c>
      <x:c r="I382" s="37" t="str">
        <x:f>_xlfn.XLOOKUP($C382&amp;"|"&amp;$G382,'李醫師能力要求'!$M$7:$M$59,'李醫師能力要求'!$K$7:$K$59,"待確認",0)</x:f>
        <x:v>待確認</x:v>
      </x:c>
      <x:c r="J382" s="37" t="str">
        <x:v>◎</x:v>
      </x:c>
      <x:c r="K382" s="37" t="str">
        <x:v>Ø</x:v>
      </x:c>
      <x:c r="L382" s="48" t="str">
        <x:f>_xlfn.XLOOKUP($A382&amp;"|"&amp;$G382,'試行能力狀態'!$L$7:$L$258,'試行能力狀態'!$E$7:$E$258,"未評估",0)</x:f>
        <x:v>◎</x:v>
      </x:c>
      <x:c r="M382" s="48" t="str">
        <x:f>_xlfn.XLOOKUP($A382&amp;"|"&amp;$G382,'試行能力狀態'!$L$7:$L$258,'試行能力狀態'!$F$7:$F$258,"未建立",0)</x:f>
        <x:v>待主管核定</x:v>
      </x:c>
      <x:c r="N382" s="48" t="str">
        <x:f>IF($L382="◎","符合獨立",IF($L382="Ø","符合條件","不符合"))</x:f>
        <x:v>符合獨立</x:v>
      </x:c>
      <x:c r="O382" s="48" t="str">
        <x:f>_xlfn.XLOOKUP($A382&amp;"|李侑津醫師",'試行熟悉度'!$K$7:$K$20,'試行熟悉度'!$E$7:$E$20,"未評估",0)</x:f>
        <x:v>可配合但需支援</x:v>
      </x:c>
      <x:c r="P382" s="48" t="str">
        <x:f>_xlfn.XLOOKUP($A382&amp;"|李侑津醫師",'試行熟悉度'!$K$7:$K$20,'試行熟悉度'!$F$7:$F$20,"未建立",0)</x:f>
        <x:v>待主管核定</x:v>
      </x:c>
      <x:c r="Q382" s="39" t="str">
        <x:v>確認後才納入自動判定</x:v>
      </x:c>
    </x:row>
    <x:row r="383">
      <x:c r="A383" s="37" t="str">
        <x:v>1027</x:v>
      </x:c>
      <x:c r="B383" s="37" t="str"/>
      <x:c r="C383" s="37" t="str">
        <x:v>LJT-RCT</x:v>
      </x:c>
      <x:c r="D383" s="37" t="str">
        <x:v>一般根管治療</x:v>
      </x:c>
      <x:c r="E383" s="37" t="str">
        <x:v>一般</x:v>
      </x:c>
      <x:c r="F383" s="37" t="str">
        <x:v>一般</x:v>
      </x:c>
      <x:c r="G383" s="37" t="str">
        <x:v>LJT-PREP-RCT</x:v>
      </x:c>
      <x:c r="H383" s="37" t="str">
        <x:v>必備</x:v>
      </x:c>
      <x:c r="I383" s="37" t="str">
        <x:f>_xlfn.XLOOKUP($C383&amp;"|"&amp;$G383,'李醫師能力要求'!$M$7:$M$59,'李醫師能力要求'!$K$7:$K$59,"待確認",0)</x:f>
        <x:v>已確認</x:v>
      </x:c>
      <x:c r="J383" s="37" t="str">
        <x:v>◎</x:v>
      </x:c>
      <x:c r="K383" s="37" t="str">
        <x:v>Ø</x:v>
      </x:c>
      <x:c r="L383" s="48" t="str">
        <x:f>_xlfn.XLOOKUP($A383&amp;"|"&amp;$G383,'試行能力狀態'!$L$7:$L$258,'試行能力狀態'!$E$7:$E$258,"未評估",0)</x:f>
        <x:v>◎</x:v>
      </x:c>
      <x:c r="M383" s="48" t="str">
        <x:f>_xlfn.XLOOKUP($A383&amp;"|"&amp;$G383,'試行能力狀態'!$L$7:$L$258,'試行能力狀態'!$F$7:$F$258,"未建立",0)</x:f>
        <x:v>待主管核定</x:v>
      </x:c>
      <x:c r="N383" s="48" t="str">
        <x:f>IF($L383="◎","符合獨立",IF($L383="Ø","符合條件","不符合"))</x:f>
        <x:v>符合獨立</x:v>
      </x:c>
      <x:c r="O383" s="48" t="str">
        <x:f>_xlfn.XLOOKUP($A383&amp;"|李侑津醫師",'試行熟悉度'!$K$7:$K$20,'試行熟悉度'!$E$7:$E$20,"未評估",0)</x:f>
        <x:v>可配合但需支援</x:v>
      </x:c>
      <x:c r="P383" s="48" t="str">
        <x:f>_xlfn.XLOOKUP($A383&amp;"|李侑津醫師",'試行熟悉度'!$K$7:$K$20,'試行熟悉度'!$F$7:$F$20,"未建立",0)</x:f>
        <x:v>待主管核定</x:v>
      </x:c>
      <x:c r="Q383" s="39" t="str">
        <x:v>依一般支援名額</x:v>
      </x:c>
    </x:row>
    <x:row r="384">
      <x:c r="A384" s="37" t="str">
        <x:v>1027</x:v>
      </x:c>
      <x:c r="B384" s="37" t="str"/>
      <x:c r="C384" s="37" t="str">
        <x:v>LJT-RCT</x:v>
      </x:c>
      <x:c r="D384" s="37" t="str">
        <x:v>一般根管治療</x:v>
      </x:c>
      <x:c r="E384" s="37" t="str">
        <x:v>一般</x:v>
      </x:c>
      <x:c r="F384" s="37" t="str">
        <x:v>一般</x:v>
      </x:c>
      <x:c r="G384" s="37" t="str">
        <x:v>COMMON-RECORD</x:v>
      </x:c>
      <x:c r="H384" s="37" t="str">
        <x:v>待確認</x:v>
      </x:c>
      <x:c r="I384" s="37" t="str">
        <x:f>_xlfn.XLOOKUP($C384&amp;"|"&amp;$G384,'李醫師能力要求'!$M$7:$M$59,'李醫師能力要求'!$K$7:$K$59,"待確認",0)</x:f>
        <x:v>待確認</x:v>
      </x:c>
      <x:c r="J384" s="37" t="str">
        <x:v>◎</x:v>
      </x:c>
      <x:c r="K384" s="37" t="str">
        <x:v>Ø</x:v>
      </x:c>
      <x:c r="L384" s="48" t="str">
        <x:f>_xlfn.XLOOKUP($A384&amp;"|"&amp;$G384,'試行能力狀態'!$L$7:$L$258,'試行能力狀態'!$E$7:$E$258,"未評估",0)</x:f>
        <x:v>◎</x:v>
      </x:c>
      <x:c r="M384" s="48" t="str">
        <x:f>_xlfn.XLOOKUP($A384&amp;"|"&amp;$G384,'試行能力狀態'!$L$7:$L$258,'試行能力狀態'!$F$7:$F$258,"未建立",0)</x:f>
        <x:v>待主管核定</x:v>
      </x:c>
      <x:c r="N384" s="48" t="str">
        <x:f>IF($L384="◎","符合獨立",IF($L384="Ø","符合條件","不符合"))</x:f>
        <x:v>符合獨立</x:v>
      </x:c>
      <x:c r="O384" s="48" t="str">
        <x:f>_xlfn.XLOOKUP($A384&amp;"|李侑津醫師",'試行熟悉度'!$K$7:$K$20,'試行熟悉度'!$E$7:$E$20,"未評估",0)</x:f>
        <x:v>可配合但需支援</x:v>
      </x:c>
      <x:c r="P384" s="48" t="str">
        <x:f>_xlfn.XLOOKUP($A384&amp;"|李侑津醫師",'試行熟悉度'!$K$7:$K$20,'試行熟悉度'!$F$7:$F$20,"未建立",0)</x:f>
        <x:v>待主管核定</x:v>
      </x:c>
      <x:c r="Q384" s="39" t="str">
        <x:v>確認後才納入自動判定</x:v>
      </x:c>
    </x:row>
    <x:row r="385">
      <x:c r="A385" s="37" t="str">
        <x:v>1027</x:v>
      </x:c>
      <x:c r="B385" s="37" t="str"/>
      <x:c r="C385" s="37" t="str">
        <x:v>LJT-RCT</x:v>
      </x:c>
      <x:c r="D385" s="37" t="str">
        <x:v>一般根管治療</x:v>
      </x:c>
      <x:c r="E385" s="37" t="str">
        <x:v>一般</x:v>
      </x:c>
      <x:c r="F385" s="37" t="str">
        <x:v>一般</x:v>
      </x:c>
      <x:c r="G385" s="37" t="str">
        <x:v>COMMON-INSURANCE</x:v>
      </x:c>
      <x:c r="H385" s="37" t="str">
        <x:v>待確認</x:v>
      </x:c>
      <x:c r="I385" s="37" t="str">
        <x:f>_xlfn.XLOOKUP($C385&amp;"|"&amp;$G385,'李醫師能力要求'!$M$7:$M$59,'李醫師能力要求'!$K$7:$K$59,"待確認",0)</x:f>
        <x:v>待確認</x:v>
      </x:c>
      <x:c r="J385" s="37" t="str">
        <x:v>◎</x:v>
      </x:c>
      <x:c r="K385" s="37" t="str">
        <x:v>Ø</x:v>
      </x:c>
      <x:c r="L385" s="48" t="str">
        <x:f>_xlfn.XLOOKUP($A385&amp;"|"&amp;$G385,'試行能力狀態'!$L$7:$L$258,'試行能力狀態'!$E$7:$E$258,"未評估",0)</x:f>
        <x:v>Ø</x:v>
      </x:c>
      <x:c r="M385" s="48" t="str">
        <x:f>_xlfn.XLOOKUP($A385&amp;"|"&amp;$G385,'試行能力狀態'!$L$7:$L$258,'試行能力狀態'!$F$7:$F$258,"未建立",0)</x:f>
        <x:v>待主管核定</x:v>
      </x:c>
      <x:c r="N385" s="48" t="str">
        <x:f>IF($L385="◎","符合獨立",IF($L385="Ø","符合條件","不符合"))</x:f>
        <x:v>符合條件</x:v>
      </x:c>
      <x:c r="O385" s="48" t="str">
        <x:f>_xlfn.XLOOKUP($A385&amp;"|李侑津醫師",'試行熟悉度'!$K$7:$K$20,'試行熟悉度'!$E$7:$E$20,"未評估",0)</x:f>
        <x:v>可配合但需支援</x:v>
      </x:c>
      <x:c r="P385" s="48" t="str">
        <x:f>_xlfn.XLOOKUP($A385&amp;"|李侑津醫師",'試行熟悉度'!$K$7:$K$20,'試行熟悉度'!$F$7:$F$20,"未建立",0)</x:f>
        <x:v>待主管核定</x:v>
      </x:c>
      <x:c r="Q385" s="39" t="str">
        <x:v>確認後才納入自動判定</x:v>
      </x:c>
    </x:row>
    <x:row r="386">
      <x:c r="A386" s="37" t="str">
        <x:v>1027</x:v>
      </x:c>
      <x:c r="B386" s="37" t="str"/>
      <x:c r="C386" s="37" t="str">
        <x:v>LJT-RCT</x:v>
      </x:c>
      <x:c r="D386" s="37" t="str">
        <x:v>一般根管治療</x:v>
      </x:c>
      <x:c r="E386" s="37" t="str">
        <x:v>一般</x:v>
      </x:c>
      <x:c r="F386" s="37" t="str">
        <x:v>一般</x:v>
      </x:c>
      <x:c r="G386" s="37" t="str">
        <x:v>COMMON-XRAY-RECORD</x:v>
      </x:c>
      <x:c r="H386" s="37" t="str">
        <x:v>待確認</x:v>
      </x:c>
      <x:c r="I386" s="37" t="str">
        <x:f>_xlfn.XLOOKUP($C386&amp;"|"&amp;$G386,'李醫師能力要求'!$M$7:$M$59,'李醫師能力要求'!$K$7:$K$59,"待確認",0)</x:f>
        <x:v>待確認</x:v>
      </x:c>
      <x:c r="J386" s="37" t="str">
        <x:v>◎</x:v>
      </x:c>
      <x:c r="K386" s="37" t="str">
        <x:v>Ø</x:v>
      </x:c>
      <x:c r="L386" s="48" t="str">
        <x:f>_xlfn.XLOOKUP($A386&amp;"|"&amp;$G386,'試行能力狀態'!$L$7:$L$258,'試行能力狀態'!$E$7:$E$258,"未評估",0)</x:f>
        <x:v>◎</x:v>
      </x:c>
      <x:c r="M386" s="48" t="str">
        <x:f>_xlfn.XLOOKUP($A386&amp;"|"&amp;$G386,'試行能力狀態'!$L$7:$L$258,'試行能力狀態'!$F$7:$F$258,"未建立",0)</x:f>
        <x:v>待主管核定</x:v>
      </x:c>
      <x:c r="N386" s="48" t="str">
        <x:f>IF($L386="◎","符合獨立",IF($L386="Ø","符合條件","不符合"))</x:f>
        <x:v>符合獨立</x:v>
      </x:c>
      <x:c r="O386" s="48" t="str">
        <x:f>_xlfn.XLOOKUP($A386&amp;"|李侑津醫師",'試行熟悉度'!$K$7:$K$20,'試行熟悉度'!$E$7:$E$20,"未評估",0)</x:f>
        <x:v>可配合但需支援</x:v>
      </x:c>
      <x:c r="P386" s="48" t="str">
        <x:f>_xlfn.XLOOKUP($A386&amp;"|李侑津醫師",'試行熟悉度'!$K$7:$K$20,'試行熟悉度'!$F$7:$F$20,"未建立",0)</x:f>
        <x:v>待主管核定</x:v>
      </x:c>
      <x:c r="Q386" s="39" t="str">
        <x:v>確認後才納入自動判定</x:v>
      </x:c>
    </x:row>
    <x:row r="387">
      <x:c r="A387" s="37" t="str">
        <x:v>1027</x:v>
      </x:c>
      <x:c r="B387" s="37" t="str"/>
      <x:c r="C387" s="37" t="str">
        <x:v>LJT-EXTRACTION</x:v>
      </x:c>
      <x:c r="D387" s="37" t="str">
        <x:v>拔牙</x:v>
      </x:c>
      <x:c r="E387" s="37" t="str">
        <x:v>一般</x:v>
      </x:c>
      <x:c r="F387" s="37" t="str">
        <x:v>一般</x:v>
      </x:c>
      <x:c r="G387" s="37" t="str">
        <x:v>LJT-PREP-EXTRACTION</x:v>
      </x:c>
      <x:c r="H387" s="37" t="str">
        <x:v>必備</x:v>
      </x:c>
      <x:c r="I387" s="37" t="str">
        <x:f>_xlfn.XLOOKUP($C387&amp;"|"&amp;$G387,'李醫師能力要求'!$M$7:$M$59,'李醫師能力要求'!$K$7:$K$59,"待確認",0)</x:f>
        <x:v>已確認</x:v>
      </x:c>
      <x:c r="J387" s="37" t="str">
        <x:v>◎</x:v>
      </x:c>
      <x:c r="K387" s="37" t="str">
        <x:v>Ø</x:v>
      </x:c>
      <x:c r="L387" s="48" t="str">
        <x:f>_xlfn.XLOOKUP($A387&amp;"|"&amp;$G387,'試行能力狀態'!$L$7:$L$258,'試行能力狀態'!$E$7:$E$258,"未評估",0)</x:f>
        <x:v>Ø</x:v>
      </x:c>
      <x:c r="M387" s="48" t="str">
        <x:f>_xlfn.XLOOKUP($A387&amp;"|"&amp;$G387,'試行能力狀態'!$L$7:$L$258,'試行能力狀態'!$F$7:$F$258,"未建立",0)</x:f>
        <x:v>待主管核定</x:v>
      </x:c>
      <x:c r="N387" s="48" t="str">
        <x:f>IF($L387="◎","符合獨立",IF($L387="Ø","符合條件","不符合"))</x:f>
        <x:v>符合條件</x:v>
      </x:c>
      <x:c r="O387" s="48" t="str">
        <x:f>_xlfn.XLOOKUP($A387&amp;"|李侑津醫師",'試行熟悉度'!$K$7:$K$20,'試行熟悉度'!$E$7:$E$20,"未評估",0)</x:f>
        <x:v>可配合但需支援</x:v>
      </x:c>
      <x:c r="P387" s="48" t="str">
        <x:f>_xlfn.XLOOKUP($A387&amp;"|李侑津醫師",'試行熟悉度'!$K$7:$K$20,'試行熟悉度'!$F$7:$F$20,"未建立",0)</x:f>
        <x:v>待主管核定</x:v>
      </x:c>
      <x:c r="Q387" s="39" t="str">
        <x:v>依一般支援名額</x:v>
      </x:c>
    </x:row>
    <x:row r="388">
      <x:c r="A388" s="37" t="str">
        <x:v>1027</x:v>
      </x:c>
      <x:c r="B388" s="37" t="str"/>
      <x:c r="C388" s="37" t="str">
        <x:v>LJT-EXTRACTION</x:v>
      </x:c>
      <x:c r="D388" s="37" t="str">
        <x:v>拔牙</x:v>
      </x:c>
      <x:c r="E388" s="37" t="str">
        <x:v>一般</x:v>
      </x:c>
      <x:c r="F388" s="37" t="str">
        <x:v>一般</x:v>
      </x:c>
      <x:c r="G388" s="37" t="str">
        <x:v>COMMON-RECORD</x:v>
      </x:c>
      <x:c r="H388" s="37" t="str">
        <x:v>待確認</x:v>
      </x:c>
      <x:c r="I388" s="37" t="str">
        <x:f>_xlfn.XLOOKUP($C388&amp;"|"&amp;$G388,'李醫師能力要求'!$M$7:$M$59,'李醫師能力要求'!$K$7:$K$59,"待確認",0)</x:f>
        <x:v>待確認</x:v>
      </x:c>
      <x:c r="J388" s="37" t="str">
        <x:v>◎</x:v>
      </x:c>
      <x:c r="K388" s="37" t="str">
        <x:v>Ø</x:v>
      </x:c>
      <x:c r="L388" s="48" t="str">
        <x:f>_xlfn.XLOOKUP($A388&amp;"|"&amp;$G388,'試行能力狀態'!$L$7:$L$258,'試行能力狀態'!$E$7:$E$258,"未評估",0)</x:f>
        <x:v>◎</x:v>
      </x:c>
      <x:c r="M388" s="48" t="str">
        <x:f>_xlfn.XLOOKUP($A388&amp;"|"&amp;$G388,'試行能力狀態'!$L$7:$L$258,'試行能力狀態'!$F$7:$F$258,"未建立",0)</x:f>
        <x:v>待主管核定</x:v>
      </x:c>
      <x:c r="N388" s="48" t="str">
        <x:f>IF($L388="◎","符合獨立",IF($L388="Ø","符合條件","不符合"))</x:f>
        <x:v>符合獨立</x:v>
      </x:c>
      <x:c r="O388" s="48" t="str">
        <x:f>_xlfn.XLOOKUP($A388&amp;"|李侑津醫師",'試行熟悉度'!$K$7:$K$20,'試行熟悉度'!$E$7:$E$20,"未評估",0)</x:f>
        <x:v>可配合但需支援</x:v>
      </x:c>
      <x:c r="P388" s="48" t="str">
        <x:f>_xlfn.XLOOKUP($A388&amp;"|李侑津醫師",'試行熟悉度'!$K$7:$K$20,'試行熟悉度'!$F$7:$F$20,"未建立",0)</x:f>
        <x:v>待主管核定</x:v>
      </x:c>
      <x:c r="Q388" s="39" t="str">
        <x:v>確認後才納入自動判定</x:v>
      </x:c>
    </x:row>
    <x:row r="389">
      <x:c r="A389" s="37" t="str">
        <x:v>1027</x:v>
      </x:c>
      <x:c r="B389" s="37" t="str"/>
      <x:c r="C389" s="37" t="str">
        <x:v>LJT-EXTRACTION</x:v>
      </x:c>
      <x:c r="D389" s="37" t="str">
        <x:v>拔牙</x:v>
      </x:c>
      <x:c r="E389" s="37" t="str">
        <x:v>一般</x:v>
      </x:c>
      <x:c r="F389" s="37" t="str">
        <x:v>一般</x:v>
      </x:c>
      <x:c r="G389" s="37" t="str">
        <x:v>COMMON-INSURANCE</x:v>
      </x:c>
      <x:c r="H389" s="37" t="str">
        <x:v>待確認</x:v>
      </x:c>
      <x:c r="I389" s="37" t="str">
        <x:f>_xlfn.XLOOKUP($C389&amp;"|"&amp;$G389,'李醫師能力要求'!$M$7:$M$59,'李醫師能力要求'!$K$7:$K$59,"待確認",0)</x:f>
        <x:v>待確認</x:v>
      </x:c>
      <x:c r="J389" s="37" t="str">
        <x:v>◎</x:v>
      </x:c>
      <x:c r="K389" s="37" t="str">
        <x:v>Ø</x:v>
      </x:c>
      <x:c r="L389" s="48" t="str">
        <x:f>_xlfn.XLOOKUP($A389&amp;"|"&amp;$G389,'試行能力狀態'!$L$7:$L$258,'試行能力狀態'!$E$7:$E$258,"未評估",0)</x:f>
        <x:v>Ø</x:v>
      </x:c>
      <x:c r="M389" s="48" t="str">
        <x:f>_xlfn.XLOOKUP($A389&amp;"|"&amp;$G389,'試行能力狀態'!$L$7:$L$258,'試行能力狀態'!$F$7:$F$258,"未建立",0)</x:f>
        <x:v>待主管核定</x:v>
      </x:c>
      <x:c r="N389" s="48" t="str">
        <x:f>IF($L389="◎","符合獨立",IF($L389="Ø","符合條件","不符合"))</x:f>
        <x:v>符合條件</x:v>
      </x:c>
      <x:c r="O389" s="48" t="str">
        <x:f>_xlfn.XLOOKUP($A389&amp;"|李侑津醫師",'試行熟悉度'!$K$7:$K$20,'試行熟悉度'!$E$7:$E$20,"未評估",0)</x:f>
        <x:v>可配合但需支援</x:v>
      </x:c>
      <x:c r="P389" s="48" t="str">
        <x:f>_xlfn.XLOOKUP($A389&amp;"|李侑津醫師",'試行熟悉度'!$K$7:$K$20,'試行熟悉度'!$F$7:$F$20,"未建立",0)</x:f>
        <x:v>待主管核定</x:v>
      </x:c>
      <x:c r="Q389" s="39" t="str">
        <x:v>確認後才納入自動判定</x:v>
      </x:c>
    </x:row>
    <x:row r="390">
      <x:c r="A390" s="37" t="str">
        <x:v>1027</x:v>
      </x:c>
      <x:c r="B390" s="37" t="str"/>
      <x:c r="C390" s="37" t="str">
        <x:v>LJT-EXTRACTION</x:v>
      </x:c>
      <x:c r="D390" s="37" t="str">
        <x:v>拔牙</x:v>
      </x:c>
      <x:c r="E390" s="37" t="str">
        <x:v>一般</x:v>
      </x:c>
      <x:c r="F390" s="37" t="str">
        <x:v>一般</x:v>
      </x:c>
      <x:c r="G390" s="37" t="str">
        <x:v>COMMON-XRAY-RECORD</x:v>
      </x:c>
      <x:c r="H390" s="37" t="str">
        <x:v>待確認</x:v>
      </x:c>
      <x:c r="I390" s="37" t="str">
        <x:f>_xlfn.XLOOKUP($C390&amp;"|"&amp;$G390,'李醫師能力要求'!$M$7:$M$59,'李醫師能力要求'!$K$7:$K$59,"待確認",0)</x:f>
        <x:v>待確認</x:v>
      </x:c>
      <x:c r="J390" s="37" t="str">
        <x:v>◎</x:v>
      </x:c>
      <x:c r="K390" s="37" t="str">
        <x:v>Ø</x:v>
      </x:c>
      <x:c r="L390" s="48" t="str">
        <x:f>_xlfn.XLOOKUP($A390&amp;"|"&amp;$G390,'試行能力狀態'!$L$7:$L$258,'試行能力狀態'!$E$7:$E$258,"未評估",0)</x:f>
        <x:v>◎</x:v>
      </x:c>
      <x:c r="M390" s="48" t="str">
        <x:f>_xlfn.XLOOKUP($A390&amp;"|"&amp;$G390,'試行能力狀態'!$L$7:$L$258,'試行能力狀態'!$F$7:$F$258,"未建立",0)</x:f>
        <x:v>待主管核定</x:v>
      </x:c>
      <x:c r="N390" s="48" t="str">
        <x:f>IF($L390="◎","符合獨立",IF($L390="Ø","符合條件","不符合"))</x:f>
        <x:v>符合獨立</x:v>
      </x:c>
      <x:c r="O390" s="48" t="str">
        <x:f>_xlfn.XLOOKUP($A390&amp;"|李侑津醫師",'試行熟悉度'!$K$7:$K$20,'試行熟悉度'!$E$7:$E$20,"未評估",0)</x:f>
        <x:v>可配合但需支援</x:v>
      </x:c>
      <x:c r="P390" s="48" t="str">
        <x:f>_xlfn.XLOOKUP($A390&amp;"|李侑津醫師",'試行熟悉度'!$K$7:$K$20,'試行熟悉度'!$F$7:$F$20,"未建立",0)</x:f>
        <x:v>待主管核定</x:v>
      </x:c>
      <x:c r="Q390" s="39" t="str">
        <x:v>確認後才納入自動判定</x:v>
      </x:c>
    </x:row>
    <x:row r="391">
      <x:c r="A391" s="37" t="str">
        <x:v>1027</x:v>
      </x:c>
      <x:c r="B391" s="37" t="str"/>
      <x:c r="C391" s="37" t="str">
        <x:v>LJT-CROWNPOST</x:v>
      </x:c>
      <x:c r="D391" s="37" t="str">
        <x:v>拆 crown/post</x:v>
      </x:c>
      <x:c r="E391" s="37" t="str">
        <x:v>一般</x:v>
      </x:c>
      <x:c r="F391" s="37" t="str">
        <x:v>一般</x:v>
      </x:c>
      <x:c r="G391" s="37" t="str">
        <x:v>LJT-PREP-CROWNPOST</x:v>
      </x:c>
      <x:c r="H391" s="37" t="str">
        <x:v>必備</x:v>
      </x:c>
      <x:c r="I391" s="37" t="str">
        <x:f>_xlfn.XLOOKUP($C391&amp;"|"&amp;$G391,'李醫師能力要求'!$M$7:$M$59,'李醫師能力要求'!$K$7:$K$59,"待確認",0)</x:f>
        <x:v>已確認</x:v>
      </x:c>
      <x:c r="J391" s="37" t="str">
        <x:v>◎</x:v>
      </x:c>
      <x:c r="K391" s="37" t="str">
        <x:v>Ø</x:v>
      </x:c>
      <x:c r="L391" s="48" t="str">
        <x:f>_xlfn.XLOOKUP($A391&amp;"|"&amp;$G391,'試行能力狀態'!$L$7:$L$258,'試行能力狀態'!$E$7:$E$258,"未評估",0)</x:f>
        <x:v>◎</x:v>
      </x:c>
      <x:c r="M391" s="48" t="str">
        <x:f>_xlfn.XLOOKUP($A391&amp;"|"&amp;$G391,'試行能力狀態'!$L$7:$L$258,'試行能力狀態'!$F$7:$F$258,"未建立",0)</x:f>
        <x:v>待主管核定</x:v>
      </x:c>
      <x:c r="N391" s="48" t="str">
        <x:f>IF($L391="◎","符合獨立",IF($L391="Ø","符合條件","不符合"))</x:f>
        <x:v>符合獨立</x:v>
      </x:c>
      <x:c r="O391" s="48" t="str">
        <x:f>_xlfn.XLOOKUP($A391&amp;"|李侑津醫師",'試行熟悉度'!$K$7:$K$20,'試行熟悉度'!$E$7:$E$20,"未評估",0)</x:f>
        <x:v>可配合但需支援</x:v>
      </x:c>
      <x:c r="P391" s="48" t="str">
        <x:f>_xlfn.XLOOKUP($A391&amp;"|李侑津醫師",'試行熟悉度'!$K$7:$K$20,'試行熟悉度'!$F$7:$F$20,"未建立",0)</x:f>
        <x:v>待主管核定</x:v>
      </x:c>
      <x:c r="Q391" s="39" t="str">
        <x:v>依一般支援名額</x:v>
      </x:c>
    </x:row>
    <x:row r="392">
      <x:c r="A392" s="37" t="str">
        <x:v>1027</x:v>
      </x:c>
      <x:c r="B392" s="37" t="str"/>
      <x:c r="C392" s="37" t="str">
        <x:v>LJT-CROWNPOST</x:v>
      </x:c>
      <x:c r="D392" s="37" t="str">
        <x:v>拆 crown/post</x:v>
      </x:c>
      <x:c r="E392" s="37" t="str">
        <x:v>一般</x:v>
      </x:c>
      <x:c r="F392" s="37" t="str">
        <x:v>一般</x:v>
      </x:c>
      <x:c r="G392" s="37" t="str">
        <x:v>COMMON-RECORD</x:v>
      </x:c>
      <x:c r="H392" s="37" t="str">
        <x:v>待確認</x:v>
      </x:c>
      <x:c r="I392" s="37" t="str">
        <x:f>_xlfn.XLOOKUP($C392&amp;"|"&amp;$G392,'李醫師能力要求'!$M$7:$M$59,'李醫師能力要求'!$K$7:$K$59,"待確認",0)</x:f>
        <x:v>待確認</x:v>
      </x:c>
      <x:c r="J392" s="37" t="str">
        <x:v>◎</x:v>
      </x:c>
      <x:c r="K392" s="37" t="str">
        <x:v>Ø</x:v>
      </x:c>
      <x:c r="L392" s="48" t="str">
        <x:f>_xlfn.XLOOKUP($A392&amp;"|"&amp;$G392,'試行能力狀態'!$L$7:$L$258,'試行能力狀態'!$E$7:$E$258,"未評估",0)</x:f>
        <x:v>◎</x:v>
      </x:c>
      <x:c r="M392" s="48" t="str">
        <x:f>_xlfn.XLOOKUP($A392&amp;"|"&amp;$G392,'試行能力狀態'!$L$7:$L$258,'試行能力狀態'!$F$7:$F$258,"未建立",0)</x:f>
        <x:v>待主管核定</x:v>
      </x:c>
      <x:c r="N392" s="48" t="str">
        <x:f>IF($L392="◎","符合獨立",IF($L392="Ø","符合條件","不符合"))</x:f>
        <x:v>符合獨立</x:v>
      </x:c>
      <x:c r="O392" s="48" t="str">
        <x:f>_xlfn.XLOOKUP($A392&amp;"|李侑津醫師",'試行熟悉度'!$K$7:$K$20,'試行熟悉度'!$E$7:$E$20,"未評估",0)</x:f>
        <x:v>可配合但需支援</x:v>
      </x:c>
      <x:c r="P392" s="48" t="str">
        <x:f>_xlfn.XLOOKUP($A392&amp;"|李侑津醫師",'試行熟悉度'!$K$7:$K$20,'試行熟悉度'!$F$7:$F$20,"未建立",0)</x:f>
        <x:v>待主管核定</x:v>
      </x:c>
      <x:c r="Q392" s="39" t="str">
        <x:v>確認後才納入自動判定</x:v>
      </x:c>
    </x:row>
    <x:row r="393">
      <x:c r="A393" s="37" t="str">
        <x:v>1027</x:v>
      </x:c>
      <x:c r="B393" s="37" t="str"/>
      <x:c r="C393" s="37" t="str">
        <x:v>LJT-CROWNPOST</x:v>
      </x:c>
      <x:c r="D393" s="37" t="str">
        <x:v>拆 crown/post</x:v>
      </x:c>
      <x:c r="E393" s="37" t="str">
        <x:v>一般</x:v>
      </x:c>
      <x:c r="F393" s="37" t="str">
        <x:v>一般</x:v>
      </x:c>
      <x:c r="G393" s="37" t="str">
        <x:v>COMMON-INSURANCE</x:v>
      </x:c>
      <x:c r="H393" s="37" t="str">
        <x:v>待確認</x:v>
      </x:c>
      <x:c r="I393" s="37" t="str">
        <x:f>_xlfn.XLOOKUP($C393&amp;"|"&amp;$G393,'李醫師能力要求'!$M$7:$M$59,'李醫師能力要求'!$K$7:$K$59,"待確認",0)</x:f>
        <x:v>待確認</x:v>
      </x:c>
      <x:c r="J393" s="37" t="str">
        <x:v>◎</x:v>
      </x:c>
      <x:c r="K393" s="37" t="str">
        <x:v>Ø</x:v>
      </x:c>
      <x:c r="L393" s="48" t="str">
        <x:f>_xlfn.XLOOKUP($A393&amp;"|"&amp;$G393,'試行能力狀態'!$L$7:$L$258,'試行能力狀態'!$E$7:$E$258,"未評估",0)</x:f>
        <x:v>Ø</x:v>
      </x:c>
      <x:c r="M393" s="48" t="str">
        <x:f>_xlfn.XLOOKUP($A393&amp;"|"&amp;$G393,'試行能力狀態'!$L$7:$L$258,'試行能力狀態'!$F$7:$F$258,"未建立",0)</x:f>
        <x:v>待主管核定</x:v>
      </x:c>
      <x:c r="N393" s="48" t="str">
        <x:f>IF($L393="◎","符合獨立",IF($L393="Ø","符合條件","不符合"))</x:f>
        <x:v>符合條件</x:v>
      </x:c>
      <x:c r="O393" s="48" t="str">
        <x:f>_xlfn.XLOOKUP($A393&amp;"|李侑津醫師",'試行熟悉度'!$K$7:$K$20,'試行熟悉度'!$E$7:$E$20,"未評估",0)</x:f>
        <x:v>可配合但需支援</x:v>
      </x:c>
      <x:c r="P393" s="48" t="str">
        <x:f>_xlfn.XLOOKUP($A393&amp;"|李侑津醫師",'試行熟悉度'!$K$7:$K$20,'試行熟悉度'!$F$7:$F$20,"未建立",0)</x:f>
        <x:v>待主管核定</x:v>
      </x:c>
      <x:c r="Q393" s="39" t="str">
        <x:v>確認後才納入自動判定</x:v>
      </x:c>
    </x:row>
    <x:row r="394">
      <x:c r="A394" s="37" t="str">
        <x:v>1027</x:v>
      </x:c>
      <x:c r="B394" s="37" t="str"/>
      <x:c r="C394" s="37" t="str">
        <x:v>LJT-CROWNPOST</x:v>
      </x:c>
      <x:c r="D394" s="37" t="str">
        <x:v>拆 crown/post</x:v>
      </x:c>
      <x:c r="E394" s="37" t="str">
        <x:v>一般</x:v>
      </x:c>
      <x:c r="F394" s="37" t="str">
        <x:v>一般</x:v>
      </x:c>
      <x:c r="G394" s="37" t="str">
        <x:v>COMMON-XRAY-RECORD</x:v>
      </x:c>
      <x:c r="H394" s="37" t="str">
        <x:v>待確認</x:v>
      </x:c>
      <x:c r="I394" s="37" t="str">
        <x:f>_xlfn.XLOOKUP($C394&amp;"|"&amp;$G394,'李醫師能力要求'!$M$7:$M$59,'李醫師能力要求'!$K$7:$K$59,"待確認",0)</x:f>
        <x:v>待確認</x:v>
      </x:c>
      <x:c r="J394" s="37" t="str">
        <x:v>◎</x:v>
      </x:c>
      <x:c r="K394" s="37" t="str">
        <x:v>Ø</x:v>
      </x:c>
      <x:c r="L394" s="48" t="str">
        <x:f>_xlfn.XLOOKUP($A394&amp;"|"&amp;$G394,'試行能力狀態'!$L$7:$L$258,'試行能力狀態'!$E$7:$E$258,"未評估",0)</x:f>
        <x:v>◎</x:v>
      </x:c>
      <x:c r="M394" s="48" t="str">
        <x:f>_xlfn.XLOOKUP($A394&amp;"|"&amp;$G394,'試行能力狀態'!$L$7:$L$258,'試行能力狀態'!$F$7:$F$258,"未建立",0)</x:f>
        <x:v>待主管核定</x:v>
      </x:c>
      <x:c r="N394" s="48" t="str">
        <x:f>IF($L394="◎","符合獨立",IF($L394="Ø","符合條件","不符合"))</x:f>
        <x:v>符合獨立</x:v>
      </x:c>
      <x:c r="O394" s="48" t="str">
        <x:f>_xlfn.XLOOKUP($A394&amp;"|李侑津醫師",'試行熟悉度'!$K$7:$K$20,'試行熟悉度'!$E$7:$E$20,"未評估",0)</x:f>
        <x:v>可配合但需支援</x:v>
      </x:c>
      <x:c r="P394" s="48" t="str">
        <x:f>_xlfn.XLOOKUP($A394&amp;"|李侑津醫師",'試行熟悉度'!$K$7:$K$20,'試行熟悉度'!$F$7:$F$20,"未建立",0)</x:f>
        <x:v>待主管核定</x:v>
      </x:c>
      <x:c r="Q394" s="39" t="str">
        <x:v>確認後才納入自動判定</x:v>
      </x:c>
    </x:row>
    <x:row r="395">
      <x:c r="A395" s="37" t="str">
        <x:v>1027</x:v>
      </x:c>
      <x:c r="B395" s="37" t="str"/>
      <x:c r="C395" s="37" t="str">
        <x:v>LJT-CROWN</x:v>
      </x:c>
      <x:c r="D395" s="37" t="str">
        <x:v>固定假牙</x:v>
      </x:c>
      <x:c r="E395" s="37" t="str">
        <x:v>一般</x:v>
      </x:c>
      <x:c r="F395" s="37" t="str">
        <x:v>一般</x:v>
      </x:c>
      <x:c r="G395" s="37" t="str">
        <x:v>LJT-PREP-CROWN</x:v>
      </x:c>
      <x:c r="H395" s="37" t="str">
        <x:v>必備</x:v>
      </x:c>
      <x:c r="I395" s="37" t="str">
        <x:f>_xlfn.XLOOKUP($C395&amp;"|"&amp;$G395,'李醫師能力要求'!$M$7:$M$59,'李醫師能力要求'!$K$7:$K$59,"待確認",0)</x:f>
        <x:v>已確認</x:v>
      </x:c>
      <x:c r="J395" s="37" t="str">
        <x:v>◎</x:v>
      </x:c>
      <x:c r="K395" s="37" t="str">
        <x:v>Ø</x:v>
      </x:c>
      <x:c r="L395" s="48" t="str">
        <x:f>_xlfn.XLOOKUP($A395&amp;"|"&amp;$G395,'試行能力狀態'!$L$7:$L$258,'試行能力狀態'!$E$7:$E$258,"未評估",0)</x:f>
        <x:v>◎</x:v>
      </x:c>
      <x:c r="M395" s="48" t="str">
        <x:f>_xlfn.XLOOKUP($A395&amp;"|"&amp;$G395,'試行能力狀態'!$L$7:$L$258,'試行能力狀態'!$F$7:$F$258,"未建立",0)</x:f>
        <x:v>待主管核定</x:v>
      </x:c>
      <x:c r="N395" s="48" t="str">
        <x:f>IF($L395="◎","符合獨立",IF($L395="Ø","符合條件","不符合"))</x:f>
        <x:v>符合獨立</x:v>
      </x:c>
      <x:c r="O395" s="48" t="str">
        <x:f>_xlfn.XLOOKUP($A395&amp;"|李侑津醫師",'試行熟悉度'!$K$7:$K$20,'試行熟悉度'!$E$7:$E$20,"未評估",0)</x:f>
        <x:v>可配合但需支援</x:v>
      </x:c>
      <x:c r="P395" s="48" t="str">
        <x:f>_xlfn.XLOOKUP($A395&amp;"|李侑津醫師",'試行熟悉度'!$K$7:$K$20,'試行熟悉度'!$F$7:$F$20,"未建立",0)</x:f>
        <x:v>待主管核定</x:v>
      </x:c>
      <x:c r="Q395" s="39" t="str">
        <x:v>依一般支援名額</x:v>
      </x:c>
    </x:row>
    <x:row r="396">
      <x:c r="A396" s="37" t="str">
        <x:v>1027</x:v>
      </x:c>
      <x:c r="B396" s="37" t="str"/>
      <x:c r="C396" s="37" t="str">
        <x:v>LJT-CROWN</x:v>
      </x:c>
      <x:c r="D396" s="37" t="str">
        <x:v>固定假牙</x:v>
      </x:c>
      <x:c r="E396" s="37" t="str">
        <x:v>一般</x:v>
      </x:c>
      <x:c r="F396" s="37" t="str">
        <x:v>一般</x:v>
      </x:c>
      <x:c r="G396" s="37" t="str">
        <x:v>COMMON-RECORD</x:v>
      </x:c>
      <x:c r="H396" s="37" t="str">
        <x:v>待確認</x:v>
      </x:c>
      <x:c r="I396" s="37" t="str">
        <x:f>_xlfn.XLOOKUP($C396&amp;"|"&amp;$G396,'李醫師能力要求'!$M$7:$M$59,'李醫師能力要求'!$K$7:$K$59,"待確認",0)</x:f>
        <x:v>待確認</x:v>
      </x:c>
      <x:c r="J396" s="37" t="str">
        <x:v>◎</x:v>
      </x:c>
      <x:c r="K396" s="37" t="str">
        <x:v>Ø</x:v>
      </x:c>
      <x:c r="L396" s="48" t="str">
        <x:f>_xlfn.XLOOKUP($A396&amp;"|"&amp;$G396,'試行能力狀態'!$L$7:$L$258,'試行能力狀態'!$E$7:$E$258,"未評估",0)</x:f>
        <x:v>◎</x:v>
      </x:c>
      <x:c r="M396" s="48" t="str">
        <x:f>_xlfn.XLOOKUP($A396&amp;"|"&amp;$G396,'試行能力狀態'!$L$7:$L$258,'試行能力狀態'!$F$7:$F$258,"未建立",0)</x:f>
        <x:v>待主管核定</x:v>
      </x:c>
      <x:c r="N396" s="48" t="str">
        <x:f>IF($L396="◎","符合獨立",IF($L396="Ø","符合條件","不符合"))</x:f>
        <x:v>符合獨立</x:v>
      </x:c>
      <x:c r="O396" s="48" t="str">
        <x:f>_xlfn.XLOOKUP($A396&amp;"|李侑津醫師",'試行熟悉度'!$K$7:$K$20,'試行熟悉度'!$E$7:$E$20,"未評估",0)</x:f>
        <x:v>可配合但需支援</x:v>
      </x:c>
      <x:c r="P396" s="48" t="str">
        <x:f>_xlfn.XLOOKUP($A396&amp;"|李侑津醫師",'試行熟悉度'!$K$7:$K$20,'試行熟悉度'!$F$7:$F$20,"未建立",0)</x:f>
        <x:v>待主管核定</x:v>
      </x:c>
      <x:c r="Q396" s="39" t="str">
        <x:v>確認後才納入自動判定</x:v>
      </x:c>
    </x:row>
    <x:row r="397">
      <x:c r="A397" s="37" t="str">
        <x:v>1027</x:v>
      </x:c>
      <x:c r="B397" s="37" t="str"/>
      <x:c r="C397" s="37" t="str">
        <x:v>LJT-CROWN</x:v>
      </x:c>
      <x:c r="D397" s="37" t="str">
        <x:v>固定假牙</x:v>
      </x:c>
      <x:c r="E397" s="37" t="str">
        <x:v>一般</x:v>
      </x:c>
      <x:c r="F397" s="37" t="str">
        <x:v>一般</x:v>
      </x:c>
      <x:c r="G397" s="37" t="str">
        <x:v>COMMON-INSURANCE</x:v>
      </x:c>
      <x:c r="H397" s="37" t="str">
        <x:v>待確認</x:v>
      </x:c>
      <x:c r="I397" s="37" t="str">
        <x:f>_xlfn.XLOOKUP($C397&amp;"|"&amp;$G397,'李醫師能力要求'!$M$7:$M$59,'李醫師能力要求'!$K$7:$K$59,"待確認",0)</x:f>
        <x:v>待確認</x:v>
      </x:c>
      <x:c r="J397" s="37" t="str">
        <x:v>◎</x:v>
      </x:c>
      <x:c r="K397" s="37" t="str">
        <x:v>Ø</x:v>
      </x:c>
      <x:c r="L397" s="48" t="str">
        <x:f>_xlfn.XLOOKUP($A397&amp;"|"&amp;$G397,'試行能力狀態'!$L$7:$L$258,'試行能力狀態'!$E$7:$E$258,"未評估",0)</x:f>
        <x:v>Ø</x:v>
      </x:c>
      <x:c r="M397" s="48" t="str">
        <x:f>_xlfn.XLOOKUP($A397&amp;"|"&amp;$G397,'試行能力狀態'!$L$7:$L$258,'試行能力狀態'!$F$7:$F$258,"未建立",0)</x:f>
        <x:v>待主管核定</x:v>
      </x:c>
      <x:c r="N397" s="48" t="str">
        <x:f>IF($L397="◎","符合獨立",IF($L397="Ø","符合條件","不符合"))</x:f>
        <x:v>符合條件</x:v>
      </x:c>
      <x:c r="O397" s="48" t="str">
        <x:f>_xlfn.XLOOKUP($A397&amp;"|李侑津醫師",'試行熟悉度'!$K$7:$K$20,'試行熟悉度'!$E$7:$E$20,"未評估",0)</x:f>
        <x:v>可配合但需支援</x:v>
      </x:c>
      <x:c r="P397" s="48" t="str">
        <x:f>_xlfn.XLOOKUP($A397&amp;"|李侑津醫師",'試行熟悉度'!$K$7:$K$20,'試行熟悉度'!$F$7:$F$20,"未建立",0)</x:f>
        <x:v>待主管核定</x:v>
      </x:c>
      <x:c r="Q397" s="39" t="str">
        <x:v>確認後才納入自動判定</x:v>
      </x:c>
    </x:row>
    <x:row r="398">
      <x:c r="A398" s="37" t="str">
        <x:v>1027</x:v>
      </x:c>
      <x:c r="B398" s="37" t="str"/>
      <x:c r="C398" s="37" t="str">
        <x:v>LJT-CROWN</x:v>
      </x:c>
      <x:c r="D398" s="37" t="str">
        <x:v>固定假牙</x:v>
      </x:c>
      <x:c r="E398" s="37" t="str">
        <x:v>一般</x:v>
      </x:c>
      <x:c r="F398" s="37" t="str">
        <x:v>一般</x:v>
      </x:c>
      <x:c r="G398" s="37" t="str">
        <x:v>COMMON-XRAY-RECORD</x:v>
      </x:c>
      <x:c r="H398" s="37" t="str">
        <x:v>待確認</x:v>
      </x:c>
      <x:c r="I398" s="37" t="str">
        <x:f>_xlfn.XLOOKUP($C398&amp;"|"&amp;$G398,'李醫師能力要求'!$M$7:$M$59,'李醫師能力要求'!$K$7:$K$59,"待確認",0)</x:f>
        <x:v>待確認</x:v>
      </x:c>
      <x:c r="J398" s="37" t="str">
        <x:v>◎</x:v>
      </x:c>
      <x:c r="K398" s="37" t="str">
        <x:v>Ø</x:v>
      </x:c>
      <x:c r="L398" s="48" t="str">
        <x:f>_xlfn.XLOOKUP($A398&amp;"|"&amp;$G398,'試行能力狀態'!$L$7:$L$258,'試行能力狀態'!$E$7:$E$258,"未評估",0)</x:f>
        <x:v>◎</x:v>
      </x:c>
      <x:c r="M398" s="48" t="str">
        <x:f>_xlfn.XLOOKUP($A398&amp;"|"&amp;$G398,'試行能力狀態'!$L$7:$L$258,'試行能力狀態'!$F$7:$F$258,"未建立",0)</x:f>
        <x:v>待主管核定</x:v>
      </x:c>
      <x:c r="N398" s="48" t="str">
        <x:f>IF($L398="◎","符合獨立",IF($L398="Ø","符合條件","不符合"))</x:f>
        <x:v>符合獨立</x:v>
      </x:c>
      <x:c r="O398" s="48" t="str">
        <x:f>_xlfn.XLOOKUP($A398&amp;"|李侑津醫師",'試行熟悉度'!$K$7:$K$20,'試行熟悉度'!$E$7:$E$20,"未評估",0)</x:f>
        <x:v>可配合但需支援</x:v>
      </x:c>
      <x:c r="P398" s="48" t="str">
        <x:f>_xlfn.XLOOKUP($A398&amp;"|李侑津醫師",'試行熟悉度'!$K$7:$K$20,'試行熟悉度'!$F$7:$F$20,"未建立",0)</x:f>
        <x:v>待主管核定</x:v>
      </x:c>
      <x:c r="Q398" s="39" t="str">
        <x:v>確認後才納入自動判定</x:v>
      </x:c>
    </x:row>
    <x:row r="399">
      <x:c r="A399" s="37" t="str">
        <x:v>1027</x:v>
      </x:c>
      <x:c r="B399" s="37" t="str"/>
      <x:c r="C399" s="37" t="str">
        <x:v>LJT-RPD</x:v>
      </x:c>
      <x:c r="D399" s="37" t="str">
        <x:v>RPD</x:v>
      </x:c>
      <x:c r="E399" s="37" t="str">
        <x:v>一般步驟</x:v>
      </x:c>
      <x:c r="F399" s="37" t="str">
        <x:v>一般</x:v>
      </x:c>
      <x:c r="G399" s="37" t="str">
        <x:v>LJT-PREP-RPD</x:v>
      </x:c>
      <x:c r="H399" s="37" t="str">
        <x:v>必備</x:v>
      </x:c>
      <x:c r="I399" s="37" t="str">
        <x:f>_xlfn.XLOOKUP($C399&amp;"|"&amp;$G399,'李醫師能力要求'!$M$7:$M$59,'李醫師能力要求'!$K$7:$K$59,"待確認",0)</x:f>
        <x:v>已確認</x:v>
      </x:c>
      <x:c r="J399" s="37" t="str">
        <x:v>◎</x:v>
      </x:c>
      <x:c r="K399" s="37" t="str">
        <x:v>Ø</x:v>
      </x:c>
      <x:c r="L399" s="48" t="str">
        <x:f>_xlfn.XLOOKUP($A399&amp;"|"&amp;$G399,'試行能力狀態'!$L$7:$L$258,'試行能力狀態'!$E$7:$E$258,"未評估",0)</x:f>
        <x:v>Ø</x:v>
      </x:c>
      <x:c r="M399" s="48" t="str">
        <x:f>_xlfn.XLOOKUP($A399&amp;"|"&amp;$G399,'試行能力狀態'!$L$7:$L$258,'試行能力狀態'!$F$7:$F$258,"未建立",0)</x:f>
        <x:v>待主管核定</x:v>
      </x:c>
      <x:c r="N399" s="48" t="str">
        <x:f>IF($L399="◎","符合獨立",IF($L399="Ø","符合條件","不符合"))</x:f>
        <x:v>符合條件</x:v>
      </x:c>
      <x:c r="O399" s="48" t="str">
        <x:f>_xlfn.XLOOKUP($A399&amp;"|李侑津醫師",'試行熟悉度'!$K$7:$K$20,'試行熟悉度'!$E$7:$E$20,"未評估",0)</x:f>
        <x:v>可配合但需支援</x:v>
      </x:c>
      <x:c r="P399" s="48" t="str">
        <x:f>_xlfn.XLOOKUP($A399&amp;"|李侑津醫師",'試行熟悉度'!$K$7:$K$20,'試行熟悉度'!$F$7:$F$20,"未建立",0)</x:f>
        <x:v>待主管核定</x:v>
      </x:c>
      <x:c r="Q399" s="39" t="str">
        <x:v>依一般支援名額</x:v>
      </x:c>
    </x:row>
    <x:row r="400">
      <x:c r="A400" s="37" t="str">
        <x:v>1027</x:v>
      </x:c>
      <x:c r="B400" s="37" t="str"/>
      <x:c r="C400" s="37" t="str">
        <x:v>LJT-RPD</x:v>
      </x:c>
      <x:c r="D400" s="37" t="str">
        <x:v>RPD</x:v>
      </x:c>
      <x:c r="E400" s="37" t="str">
        <x:v>一般步驟</x:v>
      </x:c>
      <x:c r="F400" s="37" t="str">
        <x:v>一般</x:v>
      </x:c>
      <x:c r="G400" s="37" t="str">
        <x:v>COMMON-RECORD</x:v>
      </x:c>
      <x:c r="H400" s="37" t="str">
        <x:v>待確認</x:v>
      </x:c>
      <x:c r="I400" s="37" t="str">
        <x:f>_xlfn.XLOOKUP($C400&amp;"|"&amp;$G400,'李醫師能力要求'!$M$7:$M$59,'李醫師能力要求'!$K$7:$K$59,"待確認",0)</x:f>
        <x:v>待確認</x:v>
      </x:c>
      <x:c r="J400" s="37" t="str">
        <x:v>◎</x:v>
      </x:c>
      <x:c r="K400" s="37" t="str">
        <x:v>Ø</x:v>
      </x:c>
      <x:c r="L400" s="48" t="str">
        <x:f>_xlfn.XLOOKUP($A400&amp;"|"&amp;$G400,'試行能力狀態'!$L$7:$L$258,'試行能力狀態'!$E$7:$E$258,"未評估",0)</x:f>
        <x:v>◎</x:v>
      </x:c>
      <x:c r="M400" s="48" t="str">
        <x:f>_xlfn.XLOOKUP($A400&amp;"|"&amp;$G400,'試行能力狀態'!$L$7:$L$258,'試行能力狀態'!$F$7:$F$258,"未建立",0)</x:f>
        <x:v>待主管核定</x:v>
      </x:c>
      <x:c r="N400" s="48" t="str">
        <x:f>IF($L400="◎","符合獨立",IF($L400="Ø","符合條件","不符合"))</x:f>
        <x:v>符合獨立</x:v>
      </x:c>
      <x:c r="O400" s="48" t="str">
        <x:f>_xlfn.XLOOKUP($A400&amp;"|李侑津醫師",'試行熟悉度'!$K$7:$K$20,'試行熟悉度'!$E$7:$E$20,"未評估",0)</x:f>
        <x:v>可配合但需支援</x:v>
      </x:c>
      <x:c r="P400" s="48" t="str">
        <x:f>_xlfn.XLOOKUP($A400&amp;"|李侑津醫師",'試行熟悉度'!$K$7:$K$20,'試行熟悉度'!$F$7:$F$20,"未建立",0)</x:f>
        <x:v>待主管核定</x:v>
      </x:c>
      <x:c r="Q400" s="39" t="str">
        <x:v>確認後才納入自動判定</x:v>
      </x:c>
    </x:row>
    <x:row r="401">
      <x:c r="A401" s="37" t="str">
        <x:v>1027</x:v>
      </x:c>
      <x:c r="B401" s="37" t="str"/>
      <x:c r="C401" s="37" t="str">
        <x:v>LJT-RPD</x:v>
      </x:c>
      <x:c r="D401" s="37" t="str">
        <x:v>RPD</x:v>
      </x:c>
      <x:c r="E401" s="37" t="str">
        <x:v>一般步驟</x:v>
      </x:c>
      <x:c r="F401" s="37" t="str">
        <x:v>一般</x:v>
      </x:c>
      <x:c r="G401" s="37" t="str">
        <x:v>COMMON-INSURANCE</x:v>
      </x:c>
      <x:c r="H401" s="37" t="str">
        <x:v>待確認</x:v>
      </x:c>
      <x:c r="I401" s="37" t="str">
        <x:f>_xlfn.XLOOKUP($C401&amp;"|"&amp;$G401,'李醫師能力要求'!$M$7:$M$59,'李醫師能力要求'!$K$7:$K$59,"待確認",0)</x:f>
        <x:v>待確認</x:v>
      </x:c>
      <x:c r="J401" s="37" t="str">
        <x:v>◎</x:v>
      </x:c>
      <x:c r="K401" s="37" t="str">
        <x:v>Ø</x:v>
      </x:c>
      <x:c r="L401" s="48" t="str">
        <x:f>_xlfn.XLOOKUP($A401&amp;"|"&amp;$G401,'試行能力狀態'!$L$7:$L$258,'試行能力狀態'!$E$7:$E$258,"未評估",0)</x:f>
        <x:v>Ø</x:v>
      </x:c>
      <x:c r="M401" s="48" t="str">
        <x:f>_xlfn.XLOOKUP($A401&amp;"|"&amp;$G401,'試行能力狀態'!$L$7:$L$258,'試行能力狀態'!$F$7:$F$258,"未建立",0)</x:f>
        <x:v>待主管核定</x:v>
      </x:c>
      <x:c r="N401" s="48" t="str">
        <x:f>IF($L401="◎","符合獨立",IF($L401="Ø","符合條件","不符合"))</x:f>
        <x:v>符合條件</x:v>
      </x:c>
      <x:c r="O401" s="48" t="str">
        <x:f>_xlfn.XLOOKUP($A401&amp;"|李侑津醫師",'試行熟悉度'!$K$7:$K$20,'試行熟悉度'!$E$7:$E$20,"未評估",0)</x:f>
        <x:v>可配合但需支援</x:v>
      </x:c>
      <x:c r="P401" s="48" t="str">
        <x:f>_xlfn.XLOOKUP($A401&amp;"|李侑津醫師",'試行熟悉度'!$K$7:$K$20,'試行熟悉度'!$F$7:$F$20,"未建立",0)</x:f>
        <x:v>待主管核定</x:v>
      </x:c>
      <x:c r="Q401" s="39" t="str">
        <x:v>確認後才納入自動判定</x:v>
      </x:c>
    </x:row>
    <x:row r="402">
      <x:c r="A402" s="37" t="str">
        <x:v>1027</x:v>
      </x:c>
      <x:c r="B402" s="37" t="str"/>
      <x:c r="C402" s="37" t="str">
        <x:v>LJT-RPD</x:v>
      </x:c>
      <x:c r="D402" s="37" t="str">
        <x:v>RPD</x:v>
      </x:c>
      <x:c r="E402" s="37" t="str">
        <x:v>一般步驟</x:v>
      </x:c>
      <x:c r="F402" s="37" t="str">
        <x:v>一般</x:v>
      </x:c>
      <x:c r="G402" s="37" t="str">
        <x:v>COMMON-XRAY-RECORD</x:v>
      </x:c>
      <x:c r="H402" s="37" t="str">
        <x:v>待確認</x:v>
      </x:c>
      <x:c r="I402" s="37" t="str">
        <x:f>_xlfn.XLOOKUP($C402&amp;"|"&amp;$G402,'李醫師能力要求'!$M$7:$M$59,'李醫師能力要求'!$K$7:$K$59,"待確認",0)</x:f>
        <x:v>待確認</x:v>
      </x:c>
      <x:c r="J402" s="37" t="str">
        <x:v>◎</x:v>
      </x:c>
      <x:c r="K402" s="37" t="str">
        <x:v>Ø</x:v>
      </x:c>
      <x:c r="L402" s="48" t="str">
        <x:f>_xlfn.XLOOKUP($A402&amp;"|"&amp;$G402,'試行能力狀態'!$L$7:$L$258,'試行能力狀態'!$E$7:$E$258,"未評估",0)</x:f>
        <x:v>◎</x:v>
      </x:c>
      <x:c r="M402" s="48" t="str">
        <x:f>_xlfn.XLOOKUP($A402&amp;"|"&amp;$G402,'試行能力狀態'!$L$7:$L$258,'試行能力狀態'!$F$7:$F$258,"未建立",0)</x:f>
        <x:v>待主管核定</x:v>
      </x:c>
      <x:c r="N402" s="48" t="str">
        <x:f>IF($L402="◎","符合獨立",IF($L402="Ø","符合條件","不符合"))</x:f>
        <x:v>符合獨立</x:v>
      </x:c>
      <x:c r="O402" s="48" t="str">
        <x:f>_xlfn.XLOOKUP($A402&amp;"|李侑津醫師",'試行熟悉度'!$K$7:$K$20,'試行熟悉度'!$E$7:$E$20,"未評估",0)</x:f>
        <x:v>可配合但需支援</x:v>
      </x:c>
      <x:c r="P402" s="48" t="str">
        <x:f>_xlfn.XLOOKUP($A402&amp;"|李侑津醫師",'試行熟悉度'!$K$7:$K$20,'試行熟悉度'!$F$7:$F$20,"未建立",0)</x:f>
        <x:v>待主管核定</x:v>
      </x:c>
      <x:c r="Q402" s="39" t="str">
        <x:v>確認後才納入自動判定</x:v>
      </x:c>
    </x:row>
    <x:row r="403">
      <x:c r="A403" s="37" t="str">
        <x:v>1027</x:v>
      </x:c>
      <x:c r="B403" s="37" t="str"/>
      <x:c r="C403" s="37" t="str">
        <x:v>LJT-RPD-FINAL</x:v>
      </x:c>
      <x:c r="D403" s="37" t="str">
        <x:v>RPD</x:v>
      </x:c>
      <x:c r="E403" s="37" t="str">
        <x:v>印最終模</x:v>
      </x:c>
      <x:c r="F403" s="37" t="str">
        <x:v>特殊階段</x:v>
      </x:c>
      <x:c r="G403" s="37" t="str">
        <x:v>LJT-PREP-RPD</x:v>
      </x:c>
      <x:c r="H403" s="37" t="str">
        <x:v>必備</x:v>
      </x:c>
      <x:c r="I403" s="37" t="str">
        <x:f>_xlfn.XLOOKUP($C403&amp;"|"&amp;$G403,'李醫師能力要求'!$M$7:$M$59,'李醫師能力要求'!$K$7:$K$59,"待確認",0)</x:f>
        <x:v>已確認</x:v>
      </x:c>
      <x:c r="J403" s="37" t="str">
        <x:v>◎</x:v>
      </x:c>
      <x:c r="K403" s="37" t="str">
        <x:v>Ø</x:v>
      </x:c>
      <x:c r="L403" s="48" t="str">
        <x:f>_xlfn.XLOOKUP($A403&amp;"|"&amp;$G403,'試行能力狀態'!$L$7:$L$258,'試行能力狀態'!$E$7:$E$258,"未評估",0)</x:f>
        <x:v>Ø</x:v>
      </x:c>
      <x:c r="M403" s="48" t="str">
        <x:f>_xlfn.XLOOKUP($A403&amp;"|"&amp;$G403,'試行能力狀態'!$L$7:$L$258,'試行能力狀態'!$F$7:$F$258,"未建立",0)</x:f>
        <x:v>待主管核定</x:v>
      </x:c>
      <x:c r="N403" s="48" t="str">
        <x:f>IF($L403="◎","符合獨立",IF($L403="Ø","符合條件","不符合"))</x:f>
        <x:v>符合條件</x:v>
      </x:c>
      <x:c r="O403" s="48" t="str">
        <x:f>_xlfn.XLOOKUP($A403&amp;"|李侑津醫師",'試行熟悉度'!$K$7:$K$20,'試行熟悉度'!$E$7:$E$20,"未評估",0)</x:f>
        <x:v>可配合但需支援</x:v>
      </x:c>
      <x:c r="P403" s="48" t="str">
        <x:f>_xlfn.XLOOKUP($A403&amp;"|李侑津醫師",'試行熟悉度'!$K$7:$K$20,'試行熟悉度'!$F$7:$F$20,"未建立",0)</x:f>
        <x:v>待主管核定</x:v>
      </x:c>
      <x:c r="Q403" s="39" t="str">
        <x:v>依一般支援名額</x:v>
      </x:c>
    </x:row>
    <x:row r="404">
      <x:c r="A404" s="37" t="str">
        <x:v>1027</x:v>
      </x:c>
      <x:c r="B404" s="37" t="str"/>
      <x:c r="C404" s="37" t="str">
        <x:v>LJT-RPD-FINAL</x:v>
      </x:c>
      <x:c r="D404" s="37" t="str">
        <x:v>RPD</x:v>
      </x:c>
      <x:c r="E404" s="37" t="str">
        <x:v>印最終模</x:v>
      </x:c>
      <x:c r="F404" s="37" t="str">
        <x:v>特殊階段</x:v>
      </x:c>
      <x:c r="G404" s="37" t="str">
        <x:v>COMMON-RECORD</x:v>
      </x:c>
      <x:c r="H404" s="37" t="str">
        <x:v>待確認</x:v>
      </x:c>
      <x:c r="I404" s="37" t="str">
        <x:f>_xlfn.XLOOKUP($C404&amp;"|"&amp;$G404,'李醫師能力要求'!$M$7:$M$59,'李醫師能力要求'!$K$7:$K$59,"待確認",0)</x:f>
        <x:v>待確認</x:v>
      </x:c>
      <x:c r="J404" s="37" t="str">
        <x:v>◎</x:v>
      </x:c>
      <x:c r="K404" s="37" t="str">
        <x:v>Ø</x:v>
      </x:c>
      <x:c r="L404" s="48" t="str">
        <x:f>_xlfn.XLOOKUP($A404&amp;"|"&amp;$G404,'試行能力狀態'!$L$7:$L$258,'試行能力狀態'!$E$7:$E$258,"未評估",0)</x:f>
        <x:v>◎</x:v>
      </x:c>
      <x:c r="M404" s="48" t="str">
        <x:f>_xlfn.XLOOKUP($A404&amp;"|"&amp;$G404,'試行能力狀態'!$L$7:$L$258,'試行能力狀態'!$F$7:$F$258,"未建立",0)</x:f>
        <x:v>待主管核定</x:v>
      </x:c>
      <x:c r="N404" s="48" t="str">
        <x:f>IF($L404="◎","符合獨立",IF($L404="Ø","符合條件","不符合"))</x:f>
        <x:v>符合獨立</x:v>
      </x:c>
      <x:c r="O404" s="48" t="str">
        <x:f>_xlfn.XLOOKUP($A404&amp;"|李侑津醫師",'試行熟悉度'!$K$7:$K$20,'試行熟悉度'!$E$7:$E$20,"未評估",0)</x:f>
        <x:v>可配合但需支援</x:v>
      </x:c>
      <x:c r="P404" s="48" t="str">
        <x:f>_xlfn.XLOOKUP($A404&amp;"|李侑津醫師",'試行熟悉度'!$K$7:$K$20,'試行熟悉度'!$F$7:$F$20,"未建立",0)</x:f>
        <x:v>待主管核定</x:v>
      </x:c>
      <x:c r="Q404" s="39" t="str">
        <x:v>確認後才納入自動判定</x:v>
      </x:c>
    </x:row>
    <x:row r="405">
      <x:c r="A405" s="37" t="str">
        <x:v>1027</x:v>
      </x:c>
      <x:c r="B405" s="37" t="str"/>
      <x:c r="C405" s="37" t="str">
        <x:v>LJT-RPD-FINAL</x:v>
      </x:c>
      <x:c r="D405" s="37" t="str">
        <x:v>RPD</x:v>
      </x:c>
      <x:c r="E405" s="37" t="str">
        <x:v>印最終模</x:v>
      </x:c>
      <x:c r="F405" s="37" t="str">
        <x:v>特殊階段</x:v>
      </x:c>
      <x:c r="G405" s="37" t="str">
        <x:v>COMMON-INSURANCE</x:v>
      </x:c>
      <x:c r="H405" s="37" t="str">
        <x:v>待確認</x:v>
      </x:c>
      <x:c r="I405" s="37" t="str">
        <x:f>_xlfn.XLOOKUP($C405&amp;"|"&amp;$G405,'李醫師能力要求'!$M$7:$M$59,'李醫師能力要求'!$K$7:$K$59,"待確認",0)</x:f>
        <x:v>待確認</x:v>
      </x:c>
      <x:c r="J405" s="37" t="str">
        <x:v>◎</x:v>
      </x:c>
      <x:c r="K405" s="37" t="str">
        <x:v>Ø</x:v>
      </x:c>
      <x:c r="L405" s="48" t="str">
        <x:f>_xlfn.XLOOKUP($A405&amp;"|"&amp;$G405,'試行能力狀態'!$L$7:$L$258,'試行能力狀態'!$E$7:$E$258,"未評估",0)</x:f>
        <x:v>Ø</x:v>
      </x:c>
      <x:c r="M405" s="48" t="str">
        <x:f>_xlfn.XLOOKUP($A405&amp;"|"&amp;$G405,'試行能力狀態'!$L$7:$L$258,'試行能力狀態'!$F$7:$F$258,"未建立",0)</x:f>
        <x:v>待主管核定</x:v>
      </x:c>
      <x:c r="N405" s="48" t="str">
        <x:f>IF($L405="◎","符合獨立",IF($L405="Ø","符合條件","不符合"))</x:f>
        <x:v>符合條件</x:v>
      </x:c>
      <x:c r="O405" s="48" t="str">
        <x:f>_xlfn.XLOOKUP($A405&amp;"|李侑津醫師",'試行熟悉度'!$K$7:$K$20,'試行熟悉度'!$E$7:$E$20,"未評估",0)</x:f>
        <x:v>可配合但需支援</x:v>
      </x:c>
      <x:c r="P405" s="48" t="str">
        <x:f>_xlfn.XLOOKUP($A405&amp;"|李侑津醫師",'試行熟悉度'!$K$7:$K$20,'試行熟悉度'!$F$7:$F$20,"未建立",0)</x:f>
        <x:v>待主管核定</x:v>
      </x:c>
      <x:c r="Q405" s="39" t="str">
        <x:v>確認後才納入自動判定</x:v>
      </x:c>
    </x:row>
    <x:row r="406">
      <x:c r="A406" s="37" t="str">
        <x:v>1027</x:v>
      </x:c>
      <x:c r="B406" s="37" t="str"/>
      <x:c r="C406" s="37" t="str">
        <x:v>LJT-RPD-FINAL</x:v>
      </x:c>
      <x:c r="D406" s="37" t="str">
        <x:v>RPD</x:v>
      </x:c>
      <x:c r="E406" s="37" t="str">
        <x:v>印最終模</x:v>
      </x:c>
      <x:c r="F406" s="37" t="str">
        <x:v>特殊階段</x:v>
      </x:c>
      <x:c r="G406" s="37" t="str">
        <x:v>COMMON-XRAY-RECORD</x:v>
      </x:c>
      <x:c r="H406" s="37" t="str">
        <x:v>待確認</x:v>
      </x:c>
      <x:c r="I406" s="37" t="str">
        <x:f>_xlfn.XLOOKUP($C406&amp;"|"&amp;$G406,'李醫師能力要求'!$M$7:$M$59,'李醫師能力要求'!$K$7:$K$59,"待確認",0)</x:f>
        <x:v>待確認</x:v>
      </x:c>
      <x:c r="J406" s="37" t="str">
        <x:v>◎</x:v>
      </x:c>
      <x:c r="K406" s="37" t="str">
        <x:v>Ø</x:v>
      </x:c>
      <x:c r="L406" s="48" t="str">
        <x:f>_xlfn.XLOOKUP($A406&amp;"|"&amp;$G406,'試行能力狀態'!$L$7:$L$258,'試行能力狀態'!$E$7:$E$258,"未評估",0)</x:f>
        <x:v>◎</x:v>
      </x:c>
      <x:c r="M406" s="48" t="str">
        <x:f>_xlfn.XLOOKUP($A406&amp;"|"&amp;$G406,'試行能力狀態'!$L$7:$L$258,'試行能力狀態'!$F$7:$F$258,"未建立",0)</x:f>
        <x:v>待主管核定</x:v>
      </x:c>
      <x:c r="N406" s="48" t="str">
        <x:f>IF($L406="◎","符合獨立",IF($L406="Ø","符合條件","不符合"))</x:f>
        <x:v>符合獨立</x:v>
      </x:c>
      <x:c r="O406" s="48" t="str">
        <x:f>_xlfn.XLOOKUP($A406&amp;"|李侑津醫師",'試行熟悉度'!$K$7:$K$20,'試行熟悉度'!$E$7:$E$20,"未評估",0)</x:f>
        <x:v>可配合但需支援</x:v>
      </x:c>
      <x:c r="P406" s="48" t="str">
        <x:f>_xlfn.XLOOKUP($A406&amp;"|李侑津醫師",'試行熟悉度'!$K$7:$K$20,'試行熟悉度'!$F$7:$F$20,"未建立",0)</x:f>
        <x:v>待主管核定</x:v>
      </x:c>
      <x:c r="Q406" s="39" t="str">
        <x:v>確認後才納入自動判定</x:v>
      </x:c>
    </x:row>
    <x:row r="407">
      <x:c r="A407" s="37" t="str">
        <x:v>1027</x:v>
      </x:c>
      <x:c r="B407" s="37" t="str"/>
      <x:c r="C407" s="37" t="str">
        <x:v>LJT-AIRPOLISH</x:v>
      </x:c>
      <x:c r="D407" s="37" t="str">
        <x:v>噴砂美白</x:v>
      </x:c>
      <x:c r="E407" s="37" t="str">
        <x:v>一般</x:v>
      </x:c>
      <x:c r="F407" s="37" t="str">
        <x:v>一般</x:v>
      </x:c>
      <x:c r="G407" s="37" t="str">
        <x:v>LJT-PREP-AIRPOLISH</x:v>
      </x:c>
      <x:c r="H407" s="37" t="str">
        <x:v>必備</x:v>
      </x:c>
      <x:c r="I407" s="37" t="str">
        <x:f>_xlfn.XLOOKUP($C407&amp;"|"&amp;$G407,'李醫師能力要求'!$M$7:$M$59,'李醫師能力要求'!$K$7:$K$59,"待確認",0)</x:f>
        <x:v>已確認</x:v>
      </x:c>
      <x:c r="J407" s="37" t="str">
        <x:v>◎</x:v>
      </x:c>
      <x:c r="K407" s="37" t="str">
        <x:v>Ø</x:v>
      </x:c>
      <x:c r="L407" s="48" t="str">
        <x:f>_xlfn.XLOOKUP($A407&amp;"|"&amp;$G407,'試行能力狀態'!$L$7:$L$258,'試行能力狀態'!$E$7:$E$258,"未評估",0)</x:f>
        <x:v>※</x:v>
      </x:c>
      <x:c r="M407" s="48" t="str">
        <x:f>_xlfn.XLOOKUP($A407&amp;"|"&amp;$G407,'試行能力狀態'!$L$7:$L$258,'試行能力狀態'!$F$7:$F$258,"未建立",0)</x:f>
        <x:v>待主管核定</x:v>
      </x:c>
      <x:c r="N407" s="48" t="str">
        <x:f>IF($L407="◎","符合獨立",IF($L407="Ø","符合條件","不符合"))</x:f>
        <x:v>不符合</x:v>
      </x:c>
      <x:c r="O407" s="48" t="str">
        <x:f>_xlfn.XLOOKUP($A407&amp;"|李侑津醫師",'試行熟悉度'!$K$7:$K$20,'試行熟悉度'!$E$7:$E$20,"未評估",0)</x:f>
        <x:v>可配合但需支援</x:v>
      </x:c>
      <x:c r="P407" s="48" t="str">
        <x:f>_xlfn.XLOOKUP($A407&amp;"|李侑津醫師",'試行熟悉度'!$K$7:$K$20,'試行熟悉度'!$F$7:$F$20,"未建立",0)</x:f>
        <x:v>待主管核定</x:v>
      </x:c>
      <x:c r="Q407" s="39" t="str">
        <x:v>依一般支援名額</x:v>
      </x:c>
    </x:row>
    <x:row r="408">
      <x:c r="A408" s="37" t="str">
        <x:v>1027</x:v>
      </x:c>
      <x:c r="B408" s="37" t="str"/>
      <x:c r="C408" s="37" t="str">
        <x:v>LJT-AIRPOLISH</x:v>
      </x:c>
      <x:c r="D408" s="37" t="str">
        <x:v>噴砂美白</x:v>
      </x:c>
      <x:c r="E408" s="37" t="str">
        <x:v>一般</x:v>
      </x:c>
      <x:c r="F408" s="37" t="str">
        <x:v>一般</x:v>
      </x:c>
      <x:c r="G408" s="37" t="str">
        <x:v>COMMON-RECORD</x:v>
      </x:c>
      <x:c r="H408" s="37" t="str">
        <x:v>待確認</x:v>
      </x:c>
      <x:c r="I408" s="37" t="str">
        <x:f>_xlfn.XLOOKUP($C408&amp;"|"&amp;$G408,'李醫師能力要求'!$M$7:$M$59,'李醫師能力要求'!$K$7:$K$59,"待確認",0)</x:f>
        <x:v>待確認</x:v>
      </x:c>
      <x:c r="J408" s="37" t="str">
        <x:v>◎</x:v>
      </x:c>
      <x:c r="K408" s="37" t="str">
        <x:v>Ø</x:v>
      </x:c>
      <x:c r="L408" s="48" t="str">
        <x:f>_xlfn.XLOOKUP($A408&amp;"|"&amp;$G408,'試行能力狀態'!$L$7:$L$258,'試行能力狀態'!$E$7:$E$258,"未評估",0)</x:f>
        <x:v>◎</x:v>
      </x:c>
      <x:c r="M408" s="48" t="str">
        <x:f>_xlfn.XLOOKUP($A408&amp;"|"&amp;$G408,'試行能力狀態'!$L$7:$L$258,'試行能力狀態'!$F$7:$F$258,"未建立",0)</x:f>
        <x:v>待主管核定</x:v>
      </x:c>
      <x:c r="N408" s="48" t="str">
        <x:f>IF($L408="◎","符合獨立",IF($L408="Ø","符合條件","不符合"))</x:f>
        <x:v>符合獨立</x:v>
      </x:c>
      <x:c r="O408" s="48" t="str">
        <x:f>_xlfn.XLOOKUP($A408&amp;"|李侑津醫師",'試行熟悉度'!$K$7:$K$20,'試行熟悉度'!$E$7:$E$20,"未評估",0)</x:f>
        <x:v>可配合但需支援</x:v>
      </x:c>
      <x:c r="P408" s="48" t="str">
        <x:f>_xlfn.XLOOKUP($A408&amp;"|李侑津醫師",'試行熟悉度'!$K$7:$K$20,'試行熟悉度'!$F$7:$F$20,"未建立",0)</x:f>
        <x:v>待主管核定</x:v>
      </x:c>
      <x:c r="Q408" s="39" t="str">
        <x:v>確認後才納入自動判定</x:v>
      </x:c>
    </x:row>
    <x:row r="409">
      <x:c r="A409" s="37" t="str">
        <x:v>1027</x:v>
      </x:c>
      <x:c r="B409" s="37" t="str"/>
      <x:c r="C409" s="37" t="str">
        <x:v>LJT-AIRPOLISH</x:v>
      </x:c>
      <x:c r="D409" s="37" t="str">
        <x:v>噴砂美白</x:v>
      </x:c>
      <x:c r="E409" s="37" t="str">
        <x:v>一般</x:v>
      </x:c>
      <x:c r="F409" s="37" t="str">
        <x:v>一般</x:v>
      </x:c>
      <x:c r="G409" s="37" t="str">
        <x:v>COMMON-INSURANCE</x:v>
      </x:c>
      <x:c r="H409" s="37" t="str">
        <x:v>待確認</x:v>
      </x:c>
      <x:c r="I409" s="37" t="str">
        <x:f>_xlfn.XLOOKUP($C409&amp;"|"&amp;$G409,'李醫師能力要求'!$M$7:$M$59,'李醫師能力要求'!$K$7:$K$59,"待確認",0)</x:f>
        <x:v>待確認</x:v>
      </x:c>
      <x:c r="J409" s="37" t="str">
        <x:v>◎</x:v>
      </x:c>
      <x:c r="K409" s="37" t="str">
        <x:v>Ø</x:v>
      </x:c>
      <x:c r="L409" s="48" t="str">
        <x:f>_xlfn.XLOOKUP($A409&amp;"|"&amp;$G409,'試行能力狀態'!$L$7:$L$258,'試行能力狀態'!$E$7:$E$258,"未評估",0)</x:f>
        <x:v>Ø</x:v>
      </x:c>
      <x:c r="M409" s="48" t="str">
        <x:f>_xlfn.XLOOKUP($A409&amp;"|"&amp;$G409,'試行能力狀態'!$L$7:$L$258,'試行能力狀態'!$F$7:$F$258,"未建立",0)</x:f>
        <x:v>待主管核定</x:v>
      </x:c>
      <x:c r="N409" s="48" t="str">
        <x:f>IF($L409="◎","符合獨立",IF($L409="Ø","符合條件","不符合"))</x:f>
        <x:v>符合條件</x:v>
      </x:c>
      <x:c r="O409" s="48" t="str">
        <x:f>_xlfn.XLOOKUP($A409&amp;"|李侑津醫師",'試行熟悉度'!$K$7:$K$20,'試行熟悉度'!$E$7:$E$20,"未評估",0)</x:f>
        <x:v>可配合但需支援</x:v>
      </x:c>
      <x:c r="P409" s="48" t="str">
        <x:f>_xlfn.XLOOKUP($A409&amp;"|李侑津醫師",'試行熟悉度'!$K$7:$K$20,'試行熟悉度'!$F$7:$F$20,"未建立",0)</x:f>
        <x:v>待主管核定</x:v>
      </x:c>
      <x:c r="Q409" s="39" t="str">
        <x:v>確認後才納入自動判定</x:v>
      </x:c>
    </x:row>
    <x:row r="410">
      <x:c r="A410" s="37" t="str">
        <x:v>1027</x:v>
      </x:c>
      <x:c r="B410" s="37" t="str"/>
      <x:c r="C410" s="37" t="str">
        <x:v>LJT-AIRPOLISH</x:v>
      </x:c>
      <x:c r="D410" s="37" t="str">
        <x:v>噴砂美白</x:v>
      </x:c>
      <x:c r="E410" s="37" t="str">
        <x:v>一般</x:v>
      </x:c>
      <x:c r="F410" s="37" t="str">
        <x:v>一般</x:v>
      </x:c>
      <x:c r="G410" s="37" t="str">
        <x:v>COMMON-XRAY-RECORD</x:v>
      </x:c>
      <x:c r="H410" s="37" t="str">
        <x:v>待確認</x:v>
      </x:c>
      <x:c r="I410" s="37" t="str">
        <x:f>_xlfn.XLOOKUP($C410&amp;"|"&amp;$G410,'李醫師能力要求'!$M$7:$M$59,'李醫師能力要求'!$K$7:$K$59,"待確認",0)</x:f>
        <x:v>待確認</x:v>
      </x:c>
      <x:c r="J410" s="37" t="str">
        <x:v>◎</x:v>
      </x:c>
      <x:c r="K410" s="37" t="str">
        <x:v>Ø</x:v>
      </x:c>
      <x:c r="L410" s="48" t="str">
        <x:f>_xlfn.XLOOKUP($A410&amp;"|"&amp;$G410,'試行能力狀態'!$L$7:$L$258,'試行能力狀態'!$E$7:$E$258,"未評估",0)</x:f>
        <x:v>◎</x:v>
      </x:c>
      <x:c r="M410" s="48" t="str">
        <x:f>_xlfn.XLOOKUP($A410&amp;"|"&amp;$G410,'試行能力狀態'!$L$7:$L$258,'試行能力狀態'!$F$7:$F$258,"未建立",0)</x:f>
        <x:v>待主管核定</x:v>
      </x:c>
      <x:c r="N410" s="48" t="str">
        <x:f>IF($L410="◎","符合獨立",IF($L410="Ø","符合條件","不符合"))</x:f>
        <x:v>符合獨立</x:v>
      </x:c>
      <x:c r="O410" s="48" t="str">
        <x:f>_xlfn.XLOOKUP($A410&amp;"|李侑津醫師",'試行熟悉度'!$K$7:$K$20,'試行熟悉度'!$E$7:$E$20,"未評估",0)</x:f>
        <x:v>可配合但需支援</x:v>
      </x:c>
      <x:c r="P410" s="48" t="str">
        <x:f>_xlfn.XLOOKUP($A410&amp;"|李侑津醫師",'試行熟悉度'!$K$7:$K$20,'試行熟悉度'!$F$7:$F$20,"未建立",0)</x:f>
        <x:v>待主管核定</x:v>
      </x:c>
      <x:c r="Q410" s="39" t="str">
        <x:v>確認後才納入自動判定</x:v>
      </x:c>
    </x:row>
    <x:row r="411">
      <x:c r="A411" s="37" t="str">
        <x:v>1027</x:v>
      </x:c>
      <x:c r="B411" s="37" t="str"/>
      <x:c r="C411" s="37" t="str">
        <x:v>LJT-PERIOSURG</x:v>
      </x:c>
      <x:c r="D411" s="37" t="str">
        <x:v>牙周手術</x:v>
      </x:c>
      <x:c r="E411" s="37" t="str">
        <x:v>一般</x:v>
      </x:c>
      <x:c r="F411" s="37" t="str">
        <x:v>高複雜度</x:v>
      </x:c>
      <x:c r="G411" s="37" t="str">
        <x:v>LJT-PREP-PERIOSURG</x:v>
      </x:c>
      <x:c r="H411" s="37" t="str">
        <x:v>必備</x:v>
      </x:c>
      <x:c r="I411" s="37" t="str">
        <x:f>_xlfn.XLOOKUP($C411&amp;"|"&amp;$G411,'李醫師能力要求'!$M$7:$M$59,'李醫師能力要求'!$K$7:$K$59,"待確認",0)</x:f>
        <x:v>已確認</x:v>
      </x:c>
      <x:c r="J411" s="37" t="str">
        <x:v>◎</x:v>
      </x:c>
      <x:c r="K411" s="37" t="str">
        <x:v>Ø</x:v>
      </x:c>
      <x:c r="L411" s="48" t="str">
        <x:f>_xlfn.XLOOKUP($A411&amp;"|"&amp;$G411,'試行能力狀態'!$L$7:$L$258,'試行能力狀態'!$E$7:$E$258,"未評估",0)</x:f>
        <x:v>Ø</x:v>
      </x:c>
      <x:c r="M411" s="48" t="str">
        <x:f>_xlfn.XLOOKUP($A411&amp;"|"&amp;$G411,'試行能力狀態'!$L$7:$L$258,'試行能力狀態'!$F$7:$F$258,"未建立",0)</x:f>
        <x:v>待主管核定</x:v>
      </x:c>
      <x:c r="N411" s="48" t="str">
        <x:f>IF($L411="◎","符合獨立",IF($L411="Ø","符合條件","不符合"))</x:f>
        <x:v>符合條件</x:v>
      </x:c>
      <x:c r="O411" s="48" t="str">
        <x:f>_xlfn.XLOOKUP($A411&amp;"|李侑津醫師",'試行熟悉度'!$K$7:$K$20,'試行熟悉度'!$E$7:$E$20,"未評估",0)</x:f>
        <x:v>可配合但需支援</x:v>
      </x:c>
      <x:c r="P411" s="48" t="str">
        <x:f>_xlfn.XLOOKUP($A411&amp;"|李侑津醫師",'試行熟悉度'!$K$7:$K$20,'試行熟悉度'!$F$7:$F$20,"未建立",0)</x:f>
        <x:v>待主管核定</x:v>
      </x:c>
      <x:c r="Q411" s="39" t="str">
        <x:v>Ø 時完整支援者 1:1</x:v>
      </x:c>
    </x:row>
    <x:row r="412">
      <x:c r="A412" s="37" t="str">
        <x:v>1027</x:v>
      </x:c>
      <x:c r="B412" s="37" t="str"/>
      <x:c r="C412" s="37" t="str">
        <x:v>LJT-PERIOSURG</x:v>
      </x:c>
      <x:c r="D412" s="37" t="str">
        <x:v>牙周手術</x:v>
      </x:c>
      <x:c r="E412" s="37" t="str">
        <x:v>一般</x:v>
      </x:c>
      <x:c r="F412" s="37" t="str">
        <x:v>高複雜度</x:v>
      </x:c>
      <x:c r="G412" s="37" t="str">
        <x:v>COMMON-RECORD</x:v>
      </x:c>
      <x:c r="H412" s="37" t="str">
        <x:v>待確認</x:v>
      </x:c>
      <x:c r="I412" s="37" t="str">
        <x:f>_xlfn.XLOOKUP($C412&amp;"|"&amp;$G412,'李醫師能力要求'!$M$7:$M$59,'李醫師能力要求'!$K$7:$K$59,"待確認",0)</x:f>
        <x:v>待確認</x:v>
      </x:c>
      <x:c r="J412" s="37" t="str">
        <x:v>◎</x:v>
      </x:c>
      <x:c r="K412" s="37" t="str">
        <x:v>Ø</x:v>
      </x:c>
      <x:c r="L412" s="48" t="str">
        <x:f>_xlfn.XLOOKUP($A412&amp;"|"&amp;$G412,'試行能力狀態'!$L$7:$L$258,'試行能力狀態'!$E$7:$E$258,"未評估",0)</x:f>
        <x:v>◎</x:v>
      </x:c>
      <x:c r="M412" s="48" t="str">
        <x:f>_xlfn.XLOOKUP($A412&amp;"|"&amp;$G412,'試行能力狀態'!$L$7:$L$258,'試行能力狀態'!$F$7:$F$258,"未建立",0)</x:f>
        <x:v>待主管核定</x:v>
      </x:c>
      <x:c r="N412" s="48" t="str">
        <x:f>IF($L412="◎","符合獨立",IF($L412="Ø","符合條件","不符合"))</x:f>
        <x:v>符合獨立</x:v>
      </x:c>
      <x:c r="O412" s="48" t="str">
        <x:f>_xlfn.XLOOKUP($A412&amp;"|李侑津醫師",'試行熟悉度'!$K$7:$K$20,'試行熟悉度'!$E$7:$E$20,"未評估",0)</x:f>
        <x:v>可配合但需支援</x:v>
      </x:c>
      <x:c r="P412" s="48" t="str">
        <x:f>_xlfn.XLOOKUP($A412&amp;"|李侑津醫師",'試行熟悉度'!$K$7:$K$20,'試行熟悉度'!$F$7:$F$20,"未建立",0)</x:f>
        <x:v>待主管核定</x:v>
      </x:c>
      <x:c r="Q412" s="39" t="str">
        <x:v>確認後才納入自動判定</x:v>
      </x:c>
    </x:row>
    <x:row r="413">
      <x:c r="A413" s="37" t="str">
        <x:v>1027</x:v>
      </x:c>
      <x:c r="B413" s="37" t="str"/>
      <x:c r="C413" s="37" t="str">
        <x:v>LJT-PERIOSURG</x:v>
      </x:c>
      <x:c r="D413" s="37" t="str">
        <x:v>牙周手術</x:v>
      </x:c>
      <x:c r="E413" s="37" t="str">
        <x:v>一般</x:v>
      </x:c>
      <x:c r="F413" s="37" t="str">
        <x:v>高複雜度</x:v>
      </x:c>
      <x:c r="G413" s="37" t="str">
        <x:v>COMMON-INSURANCE</x:v>
      </x:c>
      <x:c r="H413" s="37" t="str">
        <x:v>待確認</x:v>
      </x:c>
      <x:c r="I413" s="37" t="str">
        <x:f>_xlfn.XLOOKUP($C413&amp;"|"&amp;$G413,'李醫師能力要求'!$M$7:$M$59,'李醫師能力要求'!$K$7:$K$59,"待確認",0)</x:f>
        <x:v>待確認</x:v>
      </x:c>
      <x:c r="J413" s="37" t="str">
        <x:v>◎</x:v>
      </x:c>
      <x:c r="K413" s="37" t="str">
        <x:v>Ø</x:v>
      </x:c>
      <x:c r="L413" s="48" t="str">
        <x:f>_xlfn.XLOOKUP($A413&amp;"|"&amp;$G413,'試行能力狀態'!$L$7:$L$258,'試行能力狀態'!$E$7:$E$258,"未評估",0)</x:f>
        <x:v>Ø</x:v>
      </x:c>
      <x:c r="M413" s="48" t="str">
        <x:f>_xlfn.XLOOKUP($A413&amp;"|"&amp;$G413,'試行能力狀態'!$L$7:$L$258,'試行能力狀態'!$F$7:$F$258,"未建立",0)</x:f>
        <x:v>待主管核定</x:v>
      </x:c>
      <x:c r="N413" s="48" t="str">
        <x:f>IF($L413="◎","符合獨立",IF($L413="Ø","符合條件","不符合"))</x:f>
        <x:v>符合條件</x:v>
      </x:c>
      <x:c r="O413" s="48" t="str">
        <x:f>_xlfn.XLOOKUP($A413&amp;"|李侑津醫師",'試行熟悉度'!$K$7:$K$20,'試行熟悉度'!$E$7:$E$20,"未評估",0)</x:f>
        <x:v>可配合但需支援</x:v>
      </x:c>
      <x:c r="P413" s="48" t="str">
        <x:f>_xlfn.XLOOKUP($A413&amp;"|李侑津醫師",'試行熟悉度'!$K$7:$K$20,'試行熟悉度'!$F$7:$F$20,"未建立",0)</x:f>
        <x:v>待主管核定</x:v>
      </x:c>
      <x:c r="Q413" s="39" t="str">
        <x:v>確認後才納入自動判定</x:v>
      </x:c>
    </x:row>
    <x:row r="414">
      <x:c r="A414" s="37" t="str">
        <x:v>1027</x:v>
      </x:c>
      <x:c r="B414" s="37" t="str"/>
      <x:c r="C414" s="37" t="str">
        <x:v>LJT-PERIOSURG</x:v>
      </x:c>
      <x:c r="D414" s="37" t="str">
        <x:v>牙周手術</x:v>
      </x:c>
      <x:c r="E414" s="37" t="str">
        <x:v>一般</x:v>
      </x:c>
      <x:c r="F414" s="37" t="str">
        <x:v>高複雜度</x:v>
      </x:c>
      <x:c r="G414" s="37" t="str">
        <x:v>COMMON-XRAY-RECORD</x:v>
      </x:c>
      <x:c r="H414" s="37" t="str">
        <x:v>待確認</x:v>
      </x:c>
      <x:c r="I414" s="37" t="str">
        <x:f>_xlfn.XLOOKUP($C414&amp;"|"&amp;$G414,'李醫師能力要求'!$M$7:$M$59,'李醫師能力要求'!$K$7:$K$59,"待確認",0)</x:f>
        <x:v>待確認</x:v>
      </x:c>
      <x:c r="J414" s="37" t="str">
        <x:v>◎</x:v>
      </x:c>
      <x:c r="K414" s="37" t="str">
        <x:v>Ø</x:v>
      </x:c>
      <x:c r="L414" s="48" t="str">
        <x:f>_xlfn.XLOOKUP($A414&amp;"|"&amp;$G414,'試行能力狀態'!$L$7:$L$258,'試行能力狀態'!$E$7:$E$258,"未評估",0)</x:f>
        <x:v>◎</x:v>
      </x:c>
      <x:c r="M414" s="48" t="str">
        <x:f>_xlfn.XLOOKUP($A414&amp;"|"&amp;$G414,'試行能力狀態'!$L$7:$L$258,'試行能力狀態'!$F$7:$F$258,"未建立",0)</x:f>
        <x:v>待主管核定</x:v>
      </x:c>
      <x:c r="N414" s="48" t="str">
        <x:f>IF($L414="◎","符合獨立",IF($L414="Ø","符合條件","不符合"))</x:f>
        <x:v>符合獨立</x:v>
      </x:c>
      <x:c r="O414" s="48" t="str">
        <x:f>_xlfn.XLOOKUP($A414&amp;"|李侑津醫師",'試行熟悉度'!$K$7:$K$20,'試行熟悉度'!$E$7:$E$20,"未評估",0)</x:f>
        <x:v>可配合但需支援</x:v>
      </x:c>
      <x:c r="P414" s="48" t="str">
        <x:f>_xlfn.XLOOKUP($A414&amp;"|李侑津醫師",'試行熟悉度'!$K$7:$K$20,'試行熟悉度'!$F$7:$F$20,"未建立",0)</x:f>
        <x:v>待主管核定</x:v>
      </x:c>
      <x:c r="Q414" s="39" t="str">
        <x:v>確認後才納入自動判定</x:v>
      </x:c>
    </x:row>
    <x:row r="415">
      <x:c r="A415" s="37" t="str">
        <x:v>1027</x:v>
      </x:c>
      <x:c r="B415" s="37" t="str"/>
      <x:c r="C415" s="37" t="str">
        <x:v>LJT-MICROENDO</x:v>
      </x:c>
      <x:c r="D415" s="37" t="str">
        <x:v>顯微根管</x:v>
      </x:c>
      <x:c r="E415" s="37" t="str">
        <x:v>一般</x:v>
      </x:c>
      <x:c r="F415" s="37" t="str">
        <x:v>高複雜度</x:v>
      </x:c>
      <x:c r="G415" s="37" t="str">
        <x:v>LJT-PREP-MICROENDO</x:v>
      </x:c>
      <x:c r="H415" s="37" t="str">
        <x:v>必備</x:v>
      </x:c>
      <x:c r="I415" s="37" t="str">
        <x:f>_xlfn.XLOOKUP($C415&amp;"|"&amp;$G415,'李醫師能力要求'!$M$7:$M$59,'李醫師能力要求'!$K$7:$K$59,"待確認",0)</x:f>
        <x:v>已確認</x:v>
      </x:c>
      <x:c r="J415" s="37" t="str">
        <x:v>◎</x:v>
      </x:c>
      <x:c r="K415" s="37" t="str">
        <x:v>Ø</x:v>
      </x:c>
      <x:c r="L415" s="48" t="str">
        <x:f>_xlfn.XLOOKUP($A415&amp;"|"&amp;$G415,'試行能力狀態'!$L$7:$L$258,'試行能力狀態'!$E$7:$E$258,"未評估",0)</x:f>
        <x:v>※</x:v>
      </x:c>
      <x:c r="M415" s="48" t="str">
        <x:f>_xlfn.XLOOKUP($A415&amp;"|"&amp;$G415,'試行能力狀態'!$L$7:$L$258,'試行能力狀態'!$F$7:$F$258,"未建立",0)</x:f>
        <x:v>待主管核定</x:v>
      </x:c>
      <x:c r="N415" s="48" t="str">
        <x:f>IF($L415="◎","符合獨立",IF($L415="Ø","符合條件","不符合"))</x:f>
        <x:v>不符合</x:v>
      </x:c>
      <x:c r="O415" s="48" t="str">
        <x:f>_xlfn.XLOOKUP($A415&amp;"|李侑津醫師",'試行熟悉度'!$K$7:$K$20,'試行熟悉度'!$E$7:$E$20,"未評估",0)</x:f>
        <x:v>可配合但需支援</x:v>
      </x:c>
      <x:c r="P415" s="48" t="str">
        <x:f>_xlfn.XLOOKUP($A415&amp;"|李侑津醫師",'試行熟悉度'!$K$7:$K$20,'試行熟悉度'!$F$7:$F$20,"未建立",0)</x:f>
        <x:v>待主管核定</x:v>
      </x:c>
      <x:c r="Q415" s="39" t="str">
        <x:v>Ø 時完整支援者 1:1</x:v>
      </x:c>
    </x:row>
    <x:row r="416">
      <x:c r="A416" s="37" t="str">
        <x:v>1027</x:v>
      </x:c>
      <x:c r="B416" s="37" t="str"/>
      <x:c r="C416" s="37" t="str">
        <x:v>LJT-MICROENDO</x:v>
      </x:c>
      <x:c r="D416" s="37" t="str">
        <x:v>顯微根管</x:v>
      </x:c>
      <x:c r="E416" s="37" t="str">
        <x:v>一般</x:v>
      </x:c>
      <x:c r="F416" s="37" t="str">
        <x:v>高複雜度</x:v>
      </x:c>
      <x:c r="G416" s="37" t="str">
        <x:v>COMMON-RECORD</x:v>
      </x:c>
      <x:c r="H416" s="37" t="str">
        <x:v>待確認</x:v>
      </x:c>
      <x:c r="I416" s="37" t="str">
        <x:f>_xlfn.XLOOKUP($C416&amp;"|"&amp;$G416,'李醫師能力要求'!$M$7:$M$59,'李醫師能力要求'!$K$7:$K$59,"待確認",0)</x:f>
        <x:v>待確認</x:v>
      </x:c>
      <x:c r="J416" s="37" t="str">
        <x:v>◎</x:v>
      </x:c>
      <x:c r="K416" s="37" t="str">
        <x:v>Ø</x:v>
      </x:c>
      <x:c r="L416" s="48" t="str">
        <x:f>_xlfn.XLOOKUP($A416&amp;"|"&amp;$G416,'試行能力狀態'!$L$7:$L$258,'試行能力狀態'!$E$7:$E$258,"未評估",0)</x:f>
        <x:v>◎</x:v>
      </x:c>
      <x:c r="M416" s="48" t="str">
        <x:f>_xlfn.XLOOKUP($A416&amp;"|"&amp;$G416,'試行能力狀態'!$L$7:$L$258,'試行能力狀態'!$F$7:$F$258,"未建立",0)</x:f>
        <x:v>待主管核定</x:v>
      </x:c>
      <x:c r="N416" s="48" t="str">
        <x:f>IF($L416="◎","符合獨立",IF($L416="Ø","符合條件","不符合"))</x:f>
        <x:v>符合獨立</x:v>
      </x:c>
      <x:c r="O416" s="48" t="str">
        <x:f>_xlfn.XLOOKUP($A416&amp;"|李侑津醫師",'試行熟悉度'!$K$7:$K$20,'試行熟悉度'!$E$7:$E$20,"未評估",0)</x:f>
        <x:v>可配合但需支援</x:v>
      </x:c>
      <x:c r="P416" s="48" t="str">
        <x:f>_xlfn.XLOOKUP($A416&amp;"|李侑津醫師",'試行熟悉度'!$K$7:$K$20,'試行熟悉度'!$F$7:$F$20,"未建立",0)</x:f>
        <x:v>待主管核定</x:v>
      </x:c>
      <x:c r="Q416" s="39" t="str">
        <x:v>確認後才納入自動判定</x:v>
      </x:c>
    </x:row>
    <x:row r="417">
      <x:c r="A417" s="37" t="str">
        <x:v>1027</x:v>
      </x:c>
      <x:c r="B417" s="37" t="str"/>
      <x:c r="C417" s="37" t="str">
        <x:v>LJT-MICROENDO</x:v>
      </x:c>
      <x:c r="D417" s="37" t="str">
        <x:v>顯微根管</x:v>
      </x:c>
      <x:c r="E417" s="37" t="str">
        <x:v>一般</x:v>
      </x:c>
      <x:c r="F417" s="37" t="str">
        <x:v>高複雜度</x:v>
      </x:c>
      <x:c r="G417" s="37" t="str">
        <x:v>COMMON-INSURANCE</x:v>
      </x:c>
      <x:c r="H417" s="37" t="str">
        <x:v>待確認</x:v>
      </x:c>
      <x:c r="I417" s="37" t="str">
        <x:f>_xlfn.XLOOKUP($C417&amp;"|"&amp;$G417,'李醫師能力要求'!$M$7:$M$59,'李醫師能力要求'!$K$7:$K$59,"待確認",0)</x:f>
        <x:v>待確認</x:v>
      </x:c>
      <x:c r="J417" s="37" t="str">
        <x:v>◎</x:v>
      </x:c>
      <x:c r="K417" s="37" t="str">
        <x:v>Ø</x:v>
      </x:c>
      <x:c r="L417" s="48" t="str">
        <x:f>_xlfn.XLOOKUP($A417&amp;"|"&amp;$G417,'試行能力狀態'!$L$7:$L$258,'試行能力狀態'!$E$7:$E$258,"未評估",0)</x:f>
        <x:v>Ø</x:v>
      </x:c>
      <x:c r="M417" s="48" t="str">
        <x:f>_xlfn.XLOOKUP($A417&amp;"|"&amp;$G417,'試行能力狀態'!$L$7:$L$258,'試行能力狀態'!$F$7:$F$258,"未建立",0)</x:f>
        <x:v>待主管核定</x:v>
      </x:c>
      <x:c r="N417" s="48" t="str">
        <x:f>IF($L417="◎","符合獨立",IF($L417="Ø","符合條件","不符合"))</x:f>
        <x:v>符合條件</x:v>
      </x:c>
      <x:c r="O417" s="48" t="str">
        <x:f>_xlfn.XLOOKUP($A417&amp;"|李侑津醫師",'試行熟悉度'!$K$7:$K$20,'試行熟悉度'!$E$7:$E$20,"未評估",0)</x:f>
        <x:v>可配合但需支援</x:v>
      </x:c>
      <x:c r="P417" s="48" t="str">
        <x:f>_xlfn.XLOOKUP($A417&amp;"|李侑津醫師",'試行熟悉度'!$K$7:$K$20,'試行熟悉度'!$F$7:$F$20,"未建立",0)</x:f>
        <x:v>待主管核定</x:v>
      </x:c>
      <x:c r="Q417" s="39" t="str">
        <x:v>確認後才納入自動判定</x:v>
      </x:c>
    </x:row>
    <x:row r="418">
      <x:c r="A418" s="37" t="str">
        <x:v>1027</x:v>
      </x:c>
      <x:c r="B418" s="37" t="str"/>
      <x:c r="C418" s="37" t="str">
        <x:v>LJT-MICROENDO</x:v>
      </x:c>
      <x:c r="D418" s="37" t="str">
        <x:v>顯微根管</x:v>
      </x:c>
      <x:c r="E418" s="37" t="str">
        <x:v>一般</x:v>
      </x:c>
      <x:c r="F418" s="37" t="str">
        <x:v>高複雜度</x:v>
      </x:c>
      <x:c r="G418" s="37" t="str">
        <x:v>COMMON-XRAY-RECORD</x:v>
      </x:c>
      <x:c r="H418" s="37" t="str">
        <x:v>待確認</x:v>
      </x:c>
      <x:c r="I418" s="37" t="str">
        <x:f>_xlfn.XLOOKUP($C418&amp;"|"&amp;$G418,'李醫師能力要求'!$M$7:$M$59,'李醫師能力要求'!$K$7:$K$59,"待確認",0)</x:f>
        <x:v>待確認</x:v>
      </x:c>
      <x:c r="J418" s="37" t="str">
        <x:v>◎</x:v>
      </x:c>
      <x:c r="K418" s="37" t="str">
        <x:v>Ø</x:v>
      </x:c>
      <x:c r="L418" s="48" t="str">
        <x:f>_xlfn.XLOOKUP($A418&amp;"|"&amp;$G418,'試行能力狀態'!$L$7:$L$258,'試行能力狀態'!$E$7:$E$258,"未評估",0)</x:f>
        <x:v>◎</x:v>
      </x:c>
      <x:c r="M418" s="48" t="str">
        <x:f>_xlfn.XLOOKUP($A418&amp;"|"&amp;$G418,'試行能力狀態'!$L$7:$L$258,'試行能力狀態'!$F$7:$F$258,"未建立",0)</x:f>
        <x:v>待主管核定</x:v>
      </x:c>
      <x:c r="N418" s="48" t="str">
        <x:f>IF($L418="◎","符合獨立",IF($L418="Ø","符合條件","不符合"))</x:f>
        <x:v>符合獨立</x:v>
      </x:c>
      <x:c r="O418" s="48" t="str">
        <x:f>_xlfn.XLOOKUP($A418&amp;"|李侑津醫師",'試行熟悉度'!$K$7:$K$20,'試行熟悉度'!$E$7:$E$20,"未評估",0)</x:f>
        <x:v>可配合但需支援</x:v>
      </x:c>
      <x:c r="P418" s="48" t="str">
        <x:f>_xlfn.XLOOKUP($A418&amp;"|李侑津醫師",'試行熟悉度'!$K$7:$K$20,'試行熟悉度'!$F$7:$F$20,"未建立",0)</x:f>
        <x:v>待主管核定</x:v>
      </x:c>
      <x:c r="Q418" s="39" t="str">
        <x:v>確認後才納入自動判定</x:v>
      </x:c>
    </x:row>
    <x:row r="419">
      <x:c r="A419" s="37" t="str">
        <x:v>1027</x:v>
      </x:c>
      <x:c r="B419" s="37" t="str"/>
      <x:c r="C419" s="37" t="str">
        <x:v>LJT-IMPLANT</x:v>
      </x:c>
      <x:c r="D419" s="37" t="str">
        <x:v>植牙</x:v>
      </x:c>
      <x:c r="E419" s="37" t="str">
        <x:v>一般</x:v>
      </x:c>
      <x:c r="F419" s="37" t="str">
        <x:v>高複雜度</x:v>
      </x:c>
      <x:c r="G419" s="37" t="str">
        <x:v>LJT-PREP-IMPLANT</x:v>
      </x:c>
      <x:c r="H419" s="37" t="str">
        <x:v>必備</x:v>
      </x:c>
      <x:c r="I419" s="37" t="str">
        <x:f>_xlfn.XLOOKUP($C419&amp;"|"&amp;$G419,'李醫師能力要求'!$M$7:$M$59,'李醫師能力要求'!$K$7:$K$59,"待確認",0)</x:f>
        <x:v>已確認</x:v>
      </x:c>
      <x:c r="J419" s="37" t="str">
        <x:v>◎</x:v>
      </x:c>
      <x:c r="K419" s="37" t="str">
        <x:v>Ø</x:v>
      </x:c>
      <x:c r="L419" s="48" t="str">
        <x:f>_xlfn.XLOOKUP($A419&amp;"|"&amp;$G419,'試行能力狀態'!$L$7:$L$258,'試行能力狀態'!$E$7:$E$258,"未評估",0)</x:f>
        <x:v>Ø</x:v>
      </x:c>
      <x:c r="M419" s="48" t="str">
        <x:f>_xlfn.XLOOKUP($A419&amp;"|"&amp;$G419,'試行能力狀態'!$L$7:$L$258,'試行能力狀態'!$F$7:$F$258,"未建立",0)</x:f>
        <x:v>待主管核定</x:v>
      </x:c>
      <x:c r="N419" s="48" t="str">
        <x:f>IF($L419="◎","符合獨立",IF($L419="Ø","符合條件","不符合"))</x:f>
        <x:v>符合條件</x:v>
      </x:c>
      <x:c r="O419" s="48" t="str">
        <x:f>_xlfn.XLOOKUP($A419&amp;"|李侑津醫師",'試行熟悉度'!$K$7:$K$20,'試行熟悉度'!$E$7:$E$20,"未評估",0)</x:f>
        <x:v>可配合但需支援</x:v>
      </x:c>
      <x:c r="P419" s="48" t="str">
        <x:f>_xlfn.XLOOKUP($A419&amp;"|李侑津醫師",'試行熟悉度'!$K$7:$K$20,'試行熟悉度'!$F$7:$F$20,"未建立",0)</x:f>
        <x:v>待主管核定</x:v>
      </x:c>
      <x:c r="Q419" s="39" t="str">
        <x:v>Ø 時完整支援者 1:1</x:v>
      </x:c>
    </x:row>
    <x:row r="420">
      <x:c r="A420" s="37" t="str">
        <x:v>1027</x:v>
      </x:c>
      <x:c r="B420" s="37" t="str"/>
      <x:c r="C420" s="37" t="str">
        <x:v>LJT-IMPLANT</x:v>
      </x:c>
      <x:c r="D420" s="37" t="str">
        <x:v>植牙</x:v>
      </x:c>
      <x:c r="E420" s="37" t="str">
        <x:v>一般</x:v>
      </x:c>
      <x:c r="F420" s="37" t="str">
        <x:v>高複雜度</x:v>
      </x:c>
      <x:c r="G420" s="37" t="str">
        <x:v>COMMON-RECORD</x:v>
      </x:c>
      <x:c r="H420" s="37" t="str">
        <x:v>待確認</x:v>
      </x:c>
      <x:c r="I420" s="37" t="str">
        <x:f>_xlfn.XLOOKUP($C420&amp;"|"&amp;$G420,'李醫師能力要求'!$M$7:$M$59,'李醫師能力要求'!$K$7:$K$59,"待確認",0)</x:f>
        <x:v>待確認</x:v>
      </x:c>
      <x:c r="J420" s="37" t="str">
        <x:v>◎</x:v>
      </x:c>
      <x:c r="K420" s="37" t="str">
        <x:v>Ø</x:v>
      </x:c>
      <x:c r="L420" s="48" t="str">
        <x:f>_xlfn.XLOOKUP($A420&amp;"|"&amp;$G420,'試行能力狀態'!$L$7:$L$258,'試行能力狀態'!$E$7:$E$258,"未評估",0)</x:f>
        <x:v>◎</x:v>
      </x:c>
      <x:c r="M420" s="48" t="str">
        <x:f>_xlfn.XLOOKUP($A420&amp;"|"&amp;$G420,'試行能力狀態'!$L$7:$L$258,'試行能力狀態'!$F$7:$F$258,"未建立",0)</x:f>
        <x:v>待主管核定</x:v>
      </x:c>
      <x:c r="N420" s="48" t="str">
        <x:f>IF($L420="◎","符合獨立",IF($L420="Ø","符合條件","不符合"))</x:f>
        <x:v>符合獨立</x:v>
      </x:c>
      <x:c r="O420" s="48" t="str">
        <x:f>_xlfn.XLOOKUP($A420&amp;"|李侑津醫師",'試行熟悉度'!$K$7:$K$20,'試行熟悉度'!$E$7:$E$20,"未評估",0)</x:f>
        <x:v>可配合但需支援</x:v>
      </x:c>
      <x:c r="P420" s="48" t="str">
        <x:f>_xlfn.XLOOKUP($A420&amp;"|李侑津醫師",'試行熟悉度'!$K$7:$K$20,'試行熟悉度'!$F$7:$F$20,"未建立",0)</x:f>
        <x:v>待主管核定</x:v>
      </x:c>
      <x:c r="Q420" s="39" t="str">
        <x:v>確認後才納入自動判定</x:v>
      </x:c>
    </x:row>
    <x:row r="421">
      <x:c r="A421" s="37" t="str">
        <x:v>1027</x:v>
      </x:c>
      <x:c r="B421" s="37" t="str"/>
      <x:c r="C421" s="37" t="str">
        <x:v>LJT-IMPLANT</x:v>
      </x:c>
      <x:c r="D421" s="37" t="str">
        <x:v>植牙</x:v>
      </x:c>
      <x:c r="E421" s="37" t="str">
        <x:v>一般</x:v>
      </x:c>
      <x:c r="F421" s="37" t="str">
        <x:v>高複雜度</x:v>
      </x:c>
      <x:c r="G421" s="37" t="str">
        <x:v>COMMON-INSURANCE</x:v>
      </x:c>
      <x:c r="H421" s="37" t="str">
        <x:v>待確認</x:v>
      </x:c>
      <x:c r="I421" s="37" t="str">
        <x:f>_xlfn.XLOOKUP($C421&amp;"|"&amp;$G421,'李醫師能力要求'!$M$7:$M$59,'李醫師能力要求'!$K$7:$K$59,"待確認",0)</x:f>
        <x:v>待確認</x:v>
      </x:c>
      <x:c r="J421" s="37" t="str">
        <x:v>◎</x:v>
      </x:c>
      <x:c r="K421" s="37" t="str">
        <x:v>Ø</x:v>
      </x:c>
      <x:c r="L421" s="48" t="str">
        <x:f>_xlfn.XLOOKUP($A421&amp;"|"&amp;$G421,'試行能力狀態'!$L$7:$L$258,'試行能力狀態'!$E$7:$E$258,"未評估",0)</x:f>
        <x:v>Ø</x:v>
      </x:c>
      <x:c r="M421" s="48" t="str">
        <x:f>_xlfn.XLOOKUP($A421&amp;"|"&amp;$G421,'試行能力狀態'!$L$7:$L$258,'試行能力狀態'!$F$7:$F$258,"未建立",0)</x:f>
        <x:v>待主管核定</x:v>
      </x:c>
      <x:c r="N421" s="48" t="str">
        <x:f>IF($L421="◎","符合獨立",IF($L421="Ø","符合條件","不符合"))</x:f>
        <x:v>符合條件</x:v>
      </x:c>
      <x:c r="O421" s="48" t="str">
        <x:f>_xlfn.XLOOKUP($A421&amp;"|李侑津醫師",'試行熟悉度'!$K$7:$K$20,'試行熟悉度'!$E$7:$E$20,"未評估",0)</x:f>
        <x:v>可配合但需支援</x:v>
      </x:c>
      <x:c r="P421" s="48" t="str">
        <x:f>_xlfn.XLOOKUP($A421&amp;"|李侑津醫師",'試行熟悉度'!$K$7:$K$20,'試行熟悉度'!$F$7:$F$20,"未建立",0)</x:f>
        <x:v>待主管核定</x:v>
      </x:c>
      <x:c r="Q421" s="39" t="str">
        <x:v>確認後才納入自動判定</x:v>
      </x:c>
    </x:row>
    <x:row r="422">
      <x:c r="A422" s="37" t="str">
        <x:v>1027</x:v>
      </x:c>
      <x:c r="B422" s="37" t="str"/>
      <x:c r="C422" s="37" t="str">
        <x:v>LJT-IMPLANT</x:v>
      </x:c>
      <x:c r="D422" s="37" t="str">
        <x:v>植牙</x:v>
      </x:c>
      <x:c r="E422" s="37" t="str">
        <x:v>一般</x:v>
      </x:c>
      <x:c r="F422" s="37" t="str">
        <x:v>高複雜度</x:v>
      </x:c>
      <x:c r="G422" s="37" t="str">
        <x:v>COMMON-XRAY-RECORD</x:v>
      </x:c>
      <x:c r="H422" s="37" t="str">
        <x:v>待確認</x:v>
      </x:c>
      <x:c r="I422" s="37" t="str">
        <x:f>_xlfn.XLOOKUP($C422&amp;"|"&amp;$G422,'李醫師能力要求'!$M$7:$M$59,'李醫師能力要求'!$K$7:$K$59,"待確認",0)</x:f>
        <x:v>待確認</x:v>
      </x:c>
      <x:c r="J422" s="37" t="str">
        <x:v>◎</x:v>
      </x:c>
      <x:c r="K422" s="37" t="str">
        <x:v>Ø</x:v>
      </x:c>
      <x:c r="L422" s="48" t="str">
        <x:f>_xlfn.XLOOKUP($A422&amp;"|"&amp;$G422,'試行能力狀態'!$L$7:$L$258,'試行能力狀態'!$E$7:$E$258,"未評估",0)</x:f>
        <x:v>◎</x:v>
      </x:c>
      <x:c r="M422" s="48" t="str">
        <x:f>_xlfn.XLOOKUP($A422&amp;"|"&amp;$G422,'試行能力狀態'!$L$7:$L$258,'試行能力狀態'!$F$7:$F$258,"未建立",0)</x:f>
        <x:v>待主管核定</x:v>
      </x:c>
      <x:c r="N422" s="48" t="str">
        <x:f>IF($L422="◎","符合獨立",IF($L422="Ø","符合條件","不符合"))</x:f>
        <x:v>符合獨立</x:v>
      </x:c>
      <x:c r="O422" s="48" t="str">
        <x:f>_xlfn.XLOOKUP($A422&amp;"|李侑津醫師",'試行熟悉度'!$K$7:$K$20,'試行熟悉度'!$E$7:$E$20,"未評估",0)</x:f>
        <x:v>可配合但需支援</x:v>
      </x:c>
      <x:c r="P422" s="48" t="str">
        <x:f>_xlfn.XLOOKUP($A422&amp;"|李侑津醫師",'試行熟悉度'!$K$7:$K$20,'試行熟悉度'!$F$7:$F$20,"未建立",0)</x:f>
        <x:v>待主管核定</x:v>
      </x:c>
      <x:c r="Q422" s="39" t="str">
        <x:v>確認後才納入自動判定</x:v>
      </x:c>
    </x:row>
    <x:row r="423">
      <x:c r="A423" s="37" t="str">
        <x:v>1028</x:v>
      </x:c>
      <x:c r="B423" s="37" t="str"/>
      <x:c r="C423" s="37" t="str">
        <x:v>LJT-SCALING</x:v>
      </x:c>
      <x:c r="D423" s="37" t="str">
        <x:v>洗牙</x:v>
      </x:c>
      <x:c r="E423" s="37" t="str">
        <x:v>一般</x:v>
      </x:c>
      <x:c r="F423" s="37" t="str">
        <x:v>一般</x:v>
      </x:c>
      <x:c r="G423" s="37" t="str">
        <x:v>LJT-PREP-SCALING</x:v>
      </x:c>
      <x:c r="H423" s="37" t="str">
        <x:v>必備</x:v>
      </x:c>
      <x:c r="I423" s="37" t="str">
        <x:f>_xlfn.XLOOKUP($C423&amp;"|"&amp;$G423,'李醫師能力要求'!$M$7:$M$59,'李醫師能力要求'!$K$7:$K$59,"待確認",0)</x:f>
        <x:v>已確認</x:v>
      </x:c>
      <x:c r="J423" s="37" t="str">
        <x:v>◎</x:v>
      </x:c>
      <x:c r="K423" s="37" t="str">
        <x:v>Ø</x:v>
      </x:c>
      <x:c r="L423" s="48" t="str">
        <x:f>_xlfn.XLOOKUP($A423&amp;"|"&amp;$G423,'試行能力狀態'!$L$7:$L$258,'試行能力狀態'!$E$7:$E$258,"未評估",0)</x:f>
        <x:v>※</x:v>
      </x:c>
      <x:c r="M423" s="48" t="str">
        <x:f>_xlfn.XLOOKUP($A423&amp;"|"&amp;$G423,'試行能力狀態'!$L$7:$L$258,'試行能力狀態'!$F$7:$F$258,"未建立",0)</x:f>
        <x:v>待主管核定</x:v>
      </x:c>
      <x:c r="N423" s="48" t="str">
        <x:f>IF($L423="◎","符合獨立",IF($L423="Ø","符合條件","不符合"))</x:f>
        <x:v>不符合</x:v>
      </x:c>
      <x:c r="O423" s="48" t="str">
        <x:f>_xlfn.XLOOKUP($A423&amp;"|李侑津醫師",'試行熟悉度'!$K$7:$K$20,'試行熟悉度'!$E$7:$E$20,"未評估",0)</x:f>
        <x:v>學習中</x:v>
      </x:c>
      <x:c r="P423" s="48" t="str">
        <x:f>_xlfn.XLOOKUP($A423&amp;"|李侑津醫師",'試行熟悉度'!$K$7:$K$20,'試行熟悉度'!$F$7:$F$20,"未建立",0)</x:f>
        <x:v>待主管核定</x:v>
      </x:c>
      <x:c r="Q423" s="39" t="str">
        <x:v>依一般支援名額</x:v>
      </x:c>
    </x:row>
    <x:row r="424">
      <x:c r="A424" s="37" t="str">
        <x:v>1028</x:v>
      </x:c>
      <x:c r="B424" s="37" t="str"/>
      <x:c r="C424" s="37" t="str">
        <x:v>LJT-SCALING</x:v>
      </x:c>
      <x:c r="D424" s="37" t="str">
        <x:v>洗牙</x:v>
      </x:c>
      <x:c r="E424" s="37" t="str">
        <x:v>一般</x:v>
      </x:c>
      <x:c r="F424" s="37" t="str">
        <x:v>一般</x:v>
      </x:c>
      <x:c r="G424" s="37" t="str">
        <x:v>COMMON-RECORD</x:v>
      </x:c>
      <x:c r="H424" s="37" t="str">
        <x:v>待確認</x:v>
      </x:c>
      <x:c r="I424" s="37" t="str">
        <x:f>_xlfn.XLOOKUP($C424&amp;"|"&amp;$G424,'李醫師能力要求'!$M$7:$M$59,'李醫師能力要求'!$K$7:$K$59,"待確認",0)</x:f>
        <x:v>待確認</x:v>
      </x:c>
      <x:c r="J424" s="37" t="str">
        <x:v>◎</x:v>
      </x:c>
      <x:c r="K424" s="37" t="str">
        <x:v>Ø</x:v>
      </x:c>
      <x:c r="L424" s="48" t="str">
        <x:f>_xlfn.XLOOKUP($A424&amp;"|"&amp;$G424,'試行能力狀態'!$L$7:$L$258,'試行能力狀態'!$E$7:$E$258,"未評估",0)</x:f>
        <x:v>※</x:v>
      </x:c>
      <x:c r="M424" s="48" t="str">
        <x:f>_xlfn.XLOOKUP($A424&amp;"|"&amp;$G424,'試行能力狀態'!$L$7:$L$258,'試行能力狀態'!$F$7:$F$258,"未建立",0)</x:f>
        <x:v>待主管核定</x:v>
      </x:c>
      <x:c r="N424" s="48" t="str">
        <x:f>IF($L424="◎","符合獨立",IF($L424="Ø","符合條件","不符合"))</x:f>
        <x:v>不符合</x:v>
      </x:c>
      <x:c r="O424" s="48" t="str">
        <x:f>_xlfn.XLOOKUP($A424&amp;"|李侑津醫師",'試行熟悉度'!$K$7:$K$20,'試行熟悉度'!$E$7:$E$20,"未評估",0)</x:f>
        <x:v>學習中</x:v>
      </x:c>
      <x:c r="P424" s="48" t="str">
        <x:f>_xlfn.XLOOKUP($A424&amp;"|李侑津醫師",'試行熟悉度'!$K$7:$K$20,'試行熟悉度'!$F$7:$F$20,"未建立",0)</x:f>
        <x:v>待主管核定</x:v>
      </x:c>
      <x:c r="Q424" s="39" t="str">
        <x:v>確認後才納入自動判定</x:v>
      </x:c>
    </x:row>
    <x:row r="425">
      <x:c r="A425" s="37" t="str">
        <x:v>1028</x:v>
      </x:c>
      <x:c r="B425" s="37" t="str"/>
      <x:c r="C425" s="37" t="str">
        <x:v>LJT-SCALING</x:v>
      </x:c>
      <x:c r="D425" s="37" t="str">
        <x:v>洗牙</x:v>
      </x:c>
      <x:c r="E425" s="37" t="str">
        <x:v>一般</x:v>
      </x:c>
      <x:c r="F425" s="37" t="str">
        <x:v>一般</x:v>
      </x:c>
      <x:c r="G425" s="37" t="str">
        <x:v>COMMON-INSURANCE</x:v>
      </x:c>
      <x:c r="H425" s="37" t="str">
        <x:v>待確認</x:v>
      </x:c>
      <x:c r="I425" s="37" t="str">
        <x:f>_xlfn.XLOOKUP($C425&amp;"|"&amp;$G425,'李醫師能力要求'!$M$7:$M$59,'李醫師能力要求'!$K$7:$K$59,"待確認",0)</x:f>
        <x:v>待確認</x:v>
      </x:c>
      <x:c r="J425" s="37" t="str">
        <x:v>◎</x:v>
      </x:c>
      <x:c r="K425" s="37" t="str">
        <x:v>Ø</x:v>
      </x:c>
      <x:c r="L425" s="48" t="str">
        <x:f>_xlfn.XLOOKUP($A425&amp;"|"&amp;$G425,'試行能力狀態'!$L$7:$L$258,'試行能力狀態'!$E$7:$E$258,"未評估",0)</x:f>
        <x:v>※</x:v>
      </x:c>
      <x:c r="M425" s="48" t="str">
        <x:f>_xlfn.XLOOKUP($A425&amp;"|"&amp;$G425,'試行能力狀態'!$L$7:$L$258,'試行能力狀態'!$F$7:$F$258,"未建立",0)</x:f>
        <x:v>待主管核定</x:v>
      </x:c>
      <x:c r="N425" s="48" t="str">
        <x:f>IF($L425="◎","符合獨立",IF($L425="Ø","符合條件","不符合"))</x:f>
        <x:v>不符合</x:v>
      </x:c>
      <x:c r="O425" s="48" t="str">
        <x:f>_xlfn.XLOOKUP($A425&amp;"|李侑津醫師",'試行熟悉度'!$K$7:$K$20,'試行熟悉度'!$E$7:$E$20,"未評估",0)</x:f>
        <x:v>學習中</x:v>
      </x:c>
      <x:c r="P425" s="48" t="str">
        <x:f>_xlfn.XLOOKUP($A425&amp;"|李侑津醫師",'試行熟悉度'!$K$7:$K$20,'試行熟悉度'!$F$7:$F$20,"未建立",0)</x:f>
        <x:v>待主管核定</x:v>
      </x:c>
      <x:c r="Q425" s="39" t="str">
        <x:v>確認後才納入自動判定</x:v>
      </x:c>
    </x:row>
    <x:row r="426">
      <x:c r="A426" s="37" t="str">
        <x:v>1028</x:v>
      </x:c>
      <x:c r="B426" s="37" t="str"/>
      <x:c r="C426" s="37" t="str">
        <x:v>LJT-SCALING</x:v>
      </x:c>
      <x:c r="D426" s="37" t="str">
        <x:v>洗牙</x:v>
      </x:c>
      <x:c r="E426" s="37" t="str">
        <x:v>一般</x:v>
      </x:c>
      <x:c r="F426" s="37" t="str">
        <x:v>一般</x:v>
      </x:c>
      <x:c r="G426" s="37" t="str">
        <x:v>COMMON-XRAY-RECORD</x:v>
      </x:c>
      <x:c r="H426" s="37" t="str">
        <x:v>待確認</x:v>
      </x:c>
      <x:c r="I426" s="37" t="str">
        <x:f>_xlfn.XLOOKUP($C426&amp;"|"&amp;$G426,'李醫師能力要求'!$M$7:$M$59,'李醫師能力要求'!$K$7:$K$59,"待確認",0)</x:f>
        <x:v>待確認</x:v>
      </x:c>
      <x:c r="J426" s="37" t="str">
        <x:v>◎</x:v>
      </x:c>
      <x:c r="K426" s="37" t="str">
        <x:v>Ø</x:v>
      </x:c>
      <x:c r="L426" s="48" t="str">
        <x:f>_xlfn.XLOOKUP($A426&amp;"|"&amp;$G426,'試行能力狀態'!$L$7:$L$258,'試行能力狀態'!$E$7:$E$258,"未評估",0)</x:f>
        <x:v>※</x:v>
      </x:c>
      <x:c r="M426" s="48" t="str">
        <x:f>_xlfn.XLOOKUP($A426&amp;"|"&amp;$G426,'試行能力狀態'!$L$7:$L$258,'試行能力狀態'!$F$7:$F$258,"未建立",0)</x:f>
        <x:v>待主管核定</x:v>
      </x:c>
      <x:c r="N426" s="48" t="str">
        <x:f>IF($L426="◎","符合獨立",IF($L426="Ø","符合條件","不符合"))</x:f>
        <x:v>不符合</x:v>
      </x:c>
      <x:c r="O426" s="48" t="str">
        <x:f>_xlfn.XLOOKUP($A426&amp;"|李侑津醫師",'試行熟悉度'!$K$7:$K$20,'試行熟悉度'!$E$7:$E$20,"未評估",0)</x:f>
        <x:v>學習中</x:v>
      </x:c>
      <x:c r="P426" s="48" t="str">
        <x:f>_xlfn.XLOOKUP($A426&amp;"|李侑津醫師",'試行熟悉度'!$K$7:$K$20,'試行熟悉度'!$F$7:$F$20,"未建立",0)</x:f>
        <x:v>待主管核定</x:v>
      </x:c>
      <x:c r="Q426" s="39" t="str">
        <x:v>確認後才納入自動判定</x:v>
      </x:c>
    </x:row>
    <x:row r="427">
      <x:c r="A427" s="37" t="str">
        <x:v>1028</x:v>
      </x:c>
      <x:c r="B427" s="37" t="str"/>
      <x:c r="C427" s="37" t="str">
        <x:v>LJT-FILLING</x:v>
      </x:c>
      <x:c r="D427" s="37" t="str">
        <x:v>補牙</x:v>
      </x:c>
      <x:c r="E427" s="37" t="str">
        <x:v>一般</x:v>
      </x:c>
      <x:c r="F427" s="37" t="str">
        <x:v>一般</x:v>
      </x:c>
      <x:c r="G427" s="37" t="str">
        <x:v>LJT-PREP-FILLING</x:v>
      </x:c>
      <x:c r="H427" s="37" t="str">
        <x:v>必備</x:v>
      </x:c>
      <x:c r="I427" s="37" t="str">
        <x:f>_xlfn.XLOOKUP($C427&amp;"|"&amp;$G427,'李醫師能力要求'!$M$7:$M$59,'李醫師能力要求'!$K$7:$K$59,"待確認",0)</x:f>
        <x:v>已確認</x:v>
      </x:c>
      <x:c r="J427" s="37" t="str">
        <x:v>◎</x:v>
      </x:c>
      <x:c r="K427" s="37" t="str">
        <x:v>Ø</x:v>
      </x:c>
      <x:c r="L427" s="48" t="str">
        <x:f>_xlfn.XLOOKUP($A427&amp;"|"&amp;$G427,'試行能力狀態'!$L$7:$L$258,'試行能力狀態'!$E$7:$E$258,"未評估",0)</x:f>
        <x:v>※</x:v>
      </x:c>
      <x:c r="M427" s="48" t="str">
        <x:f>_xlfn.XLOOKUP($A427&amp;"|"&amp;$G427,'試行能力狀態'!$L$7:$L$258,'試行能力狀態'!$F$7:$F$258,"未建立",0)</x:f>
        <x:v>待主管核定</x:v>
      </x:c>
      <x:c r="N427" s="48" t="str">
        <x:f>IF($L427="◎","符合獨立",IF($L427="Ø","符合條件","不符合"))</x:f>
        <x:v>不符合</x:v>
      </x:c>
      <x:c r="O427" s="48" t="str">
        <x:f>_xlfn.XLOOKUP($A427&amp;"|李侑津醫師",'試行熟悉度'!$K$7:$K$20,'試行熟悉度'!$E$7:$E$20,"未評估",0)</x:f>
        <x:v>學習中</x:v>
      </x:c>
      <x:c r="P427" s="48" t="str">
        <x:f>_xlfn.XLOOKUP($A427&amp;"|李侑津醫師",'試行熟悉度'!$K$7:$K$20,'試行熟悉度'!$F$7:$F$20,"未建立",0)</x:f>
        <x:v>待主管核定</x:v>
      </x:c>
      <x:c r="Q427" s="39" t="str">
        <x:v>依一般支援名額</x:v>
      </x:c>
    </x:row>
    <x:row r="428">
      <x:c r="A428" s="37" t="str">
        <x:v>1028</x:v>
      </x:c>
      <x:c r="B428" s="37" t="str"/>
      <x:c r="C428" s="37" t="str">
        <x:v>LJT-FILLING</x:v>
      </x:c>
      <x:c r="D428" s="37" t="str">
        <x:v>補牙</x:v>
      </x:c>
      <x:c r="E428" s="37" t="str">
        <x:v>一般</x:v>
      </x:c>
      <x:c r="F428" s="37" t="str">
        <x:v>一般</x:v>
      </x:c>
      <x:c r="G428" s="37" t="str">
        <x:v>COMMON-RECORD</x:v>
      </x:c>
      <x:c r="H428" s="37" t="str">
        <x:v>待確認</x:v>
      </x:c>
      <x:c r="I428" s="37" t="str">
        <x:f>_xlfn.XLOOKUP($C428&amp;"|"&amp;$G428,'李醫師能力要求'!$M$7:$M$59,'李醫師能力要求'!$K$7:$K$59,"待確認",0)</x:f>
        <x:v>待確認</x:v>
      </x:c>
      <x:c r="J428" s="37" t="str">
        <x:v>◎</x:v>
      </x:c>
      <x:c r="K428" s="37" t="str">
        <x:v>Ø</x:v>
      </x:c>
      <x:c r="L428" s="48" t="str">
        <x:f>_xlfn.XLOOKUP($A428&amp;"|"&amp;$G428,'試行能力狀態'!$L$7:$L$258,'試行能力狀態'!$E$7:$E$258,"未評估",0)</x:f>
        <x:v>※</x:v>
      </x:c>
      <x:c r="M428" s="48" t="str">
        <x:f>_xlfn.XLOOKUP($A428&amp;"|"&amp;$G428,'試行能力狀態'!$L$7:$L$258,'試行能力狀態'!$F$7:$F$258,"未建立",0)</x:f>
        <x:v>待主管核定</x:v>
      </x:c>
      <x:c r="N428" s="48" t="str">
        <x:f>IF($L428="◎","符合獨立",IF($L428="Ø","符合條件","不符合"))</x:f>
        <x:v>不符合</x:v>
      </x:c>
      <x:c r="O428" s="48" t="str">
        <x:f>_xlfn.XLOOKUP($A428&amp;"|李侑津醫師",'試行熟悉度'!$K$7:$K$20,'試行熟悉度'!$E$7:$E$20,"未評估",0)</x:f>
        <x:v>學習中</x:v>
      </x:c>
      <x:c r="P428" s="48" t="str">
        <x:f>_xlfn.XLOOKUP($A428&amp;"|李侑津醫師",'試行熟悉度'!$K$7:$K$20,'試行熟悉度'!$F$7:$F$20,"未建立",0)</x:f>
        <x:v>待主管核定</x:v>
      </x:c>
      <x:c r="Q428" s="39" t="str">
        <x:v>確認後才納入自動判定</x:v>
      </x:c>
    </x:row>
    <x:row r="429">
      <x:c r="A429" s="37" t="str">
        <x:v>1028</x:v>
      </x:c>
      <x:c r="B429" s="37" t="str"/>
      <x:c r="C429" s="37" t="str">
        <x:v>LJT-FILLING</x:v>
      </x:c>
      <x:c r="D429" s="37" t="str">
        <x:v>補牙</x:v>
      </x:c>
      <x:c r="E429" s="37" t="str">
        <x:v>一般</x:v>
      </x:c>
      <x:c r="F429" s="37" t="str">
        <x:v>一般</x:v>
      </x:c>
      <x:c r="G429" s="37" t="str">
        <x:v>COMMON-INSURANCE</x:v>
      </x:c>
      <x:c r="H429" s="37" t="str">
        <x:v>待確認</x:v>
      </x:c>
      <x:c r="I429" s="37" t="str">
        <x:f>_xlfn.XLOOKUP($C429&amp;"|"&amp;$G429,'李醫師能力要求'!$M$7:$M$59,'李醫師能力要求'!$K$7:$K$59,"待確認",0)</x:f>
        <x:v>待確認</x:v>
      </x:c>
      <x:c r="J429" s="37" t="str">
        <x:v>◎</x:v>
      </x:c>
      <x:c r="K429" s="37" t="str">
        <x:v>Ø</x:v>
      </x:c>
      <x:c r="L429" s="48" t="str">
        <x:f>_xlfn.XLOOKUP($A429&amp;"|"&amp;$G429,'試行能力狀態'!$L$7:$L$258,'試行能力狀態'!$E$7:$E$258,"未評估",0)</x:f>
        <x:v>※</x:v>
      </x:c>
      <x:c r="M429" s="48" t="str">
        <x:f>_xlfn.XLOOKUP($A429&amp;"|"&amp;$G429,'試行能力狀態'!$L$7:$L$258,'試行能力狀態'!$F$7:$F$258,"未建立",0)</x:f>
        <x:v>待主管核定</x:v>
      </x:c>
      <x:c r="N429" s="48" t="str">
        <x:f>IF($L429="◎","符合獨立",IF($L429="Ø","符合條件","不符合"))</x:f>
        <x:v>不符合</x:v>
      </x:c>
      <x:c r="O429" s="48" t="str">
        <x:f>_xlfn.XLOOKUP($A429&amp;"|李侑津醫師",'試行熟悉度'!$K$7:$K$20,'試行熟悉度'!$E$7:$E$20,"未評估",0)</x:f>
        <x:v>學習中</x:v>
      </x:c>
      <x:c r="P429" s="48" t="str">
        <x:f>_xlfn.XLOOKUP($A429&amp;"|李侑津醫師",'試行熟悉度'!$K$7:$K$20,'試行熟悉度'!$F$7:$F$20,"未建立",0)</x:f>
        <x:v>待主管核定</x:v>
      </x:c>
      <x:c r="Q429" s="39" t="str">
        <x:v>確認後才納入自動判定</x:v>
      </x:c>
    </x:row>
    <x:row r="430">
      <x:c r="A430" s="37" t="str">
        <x:v>1028</x:v>
      </x:c>
      <x:c r="B430" s="37" t="str"/>
      <x:c r="C430" s="37" t="str">
        <x:v>LJT-FILLING</x:v>
      </x:c>
      <x:c r="D430" s="37" t="str">
        <x:v>補牙</x:v>
      </x:c>
      <x:c r="E430" s="37" t="str">
        <x:v>一般</x:v>
      </x:c>
      <x:c r="F430" s="37" t="str">
        <x:v>一般</x:v>
      </x:c>
      <x:c r="G430" s="37" t="str">
        <x:v>COMMON-XRAY-RECORD</x:v>
      </x:c>
      <x:c r="H430" s="37" t="str">
        <x:v>待確認</x:v>
      </x:c>
      <x:c r="I430" s="37" t="str">
        <x:f>_xlfn.XLOOKUP($C430&amp;"|"&amp;$G430,'李醫師能力要求'!$M$7:$M$59,'李醫師能力要求'!$K$7:$K$59,"待確認",0)</x:f>
        <x:v>待確認</x:v>
      </x:c>
      <x:c r="J430" s="37" t="str">
        <x:v>◎</x:v>
      </x:c>
      <x:c r="K430" s="37" t="str">
        <x:v>Ø</x:v>
      </x:c>
      <x:c r="L430" s="48" t="str">
        <x:f>_xlfn.XLOOKUP($A430&amp;"|"&amp;$G430,'試行能力狀態'!$L$7:$L$258,'試行能力狀態'!$E$7:$E$258,"未評估",0)</x:f>
        <x:v>※</x:v>
      </x:c>
      <x:c r="M430" s="48" t="str">
        <x:f>_xlfn.XLOOKUP($A430&amp;"|"&amp;$G430,'試行能力狀態'!$L$7:$L$258,'試行能力狀態'!$F$7:$F$258,"未建立",0)</x:f>
        <x:v>待主管核定</x:v>
      </x:c>
      <x:c r="N430" s="48" t="str">
        <x:f>IF($L430="◎","符合獨立",IF($L430="Ø","符合條件","不符合"))</x:f>
        <x:v>不符合</x:v>
      </x:c>
      <x:c r="O430" s="48" t="str">
        <x:f>_xlfn.XLOOKUP($A430&amp;"|李侑津醫師",'試行熟悉度'!$K$7:$K$20,'試行熟悉度'!$E$7:$E$20,"未評估",0)</x:f>
        <x:v>學習中</x:v>
      </x:c>
      <x:c r="P430" s="48" t="str">
        <x:f>_xlfn.XLOOKUP($A430&amp;"|李侑津醫師",'試行熟悉度'!$K$7:$K$20,'試行熟悉度'!$F$7:$F$20,"未建立",0)</x:f>
        <x:v>待主管核定</x:v>
      </x:c>
      <x:c r="Q430" s="39" t="str">
        <x:v>確認後才納入自動判定</x:v>
      </x:c>
    </x:row>
    <x:row r="431">
      <x:c r="A431" s="37" t="str">
        <x:v>1028</x:v>
      </x:c>
      <x:c r="B431" s="37" t="str"/>
      <x:c r="C431" s="37" t="str">
        <x:v>LJT-PERIO</x:v>
      </x:c>
      <x:c r="D431" s="37" t="str">
        <x:v>牙周統合</x:v>
      </x:c>
      <x:c r="E431" s="37" t="str">
        <x:v>一般</x:v>
      </x:c>
      <x:c r="F431" s="37" t="str">
        <x:v>一般</x:v>
      </x:c>
      <x:c r="G431" s="37" t="str">
        <x:v>LJT-PREP-PERIO</x:v>
      </x:c>
      <x:c r="H431" s="37" t="str">
        <x:v>必備</x:v>
      </x:c>
      <x:c r="I431" s="37" t="str">
        <x:f>_xlfn.XLOOKUP($C431&amp;"|"&amp;$G431,'李醫師能力要求'!$M$7:$M$59,'李醫師能力要求'!$K$7:$K$59,"待確認",0)</x:f>
        <x:v>已確認</x:v>
      </x:c>
      <x:c r="J431" s="37" t="str">
        <x:v>◎</x:v>
      </x:c>
      <x:c r="K431" s="37" t="str">
        <x:v>Ø</x:v>
      </x:c>
      <x:c r="L431" s="48" t="str">
        <x:f>_xlfn.XLOOKUP($A431&amp;"|"&amp;$G431,'試行能力狀態'!$L$7:$L$258,'試行能力狀態'!$E$7:$E$258,"未評估",0)</x:f>
        <x:v>※</x:v>
      </x:c>
      <x:c r="M431" s="48" t="str">
        <x:f>_xlfn.XLOOKUP($A431&amp;"|"&amp;$G431,'試行能力狀態'!$L$7:$L$258,'試行能力狀態'!$F$7:$F$258,"未建立",0)</x:f>
        <x:v>待主管核定</x:v>
      </x:c>
      <x:c r="N431" s="48" t="str">
        <x:f>IF($L431="◎","符合獨立",IF($L431="Ø","符合條件","不符合"))</x:f>
        <x:v>不符合</x:v>
      </x:c>
      <x:c r="O431" s="48" t="str">
        <x:f>_xlfn.XLOOKUP($A431&amp;"|李侑津醫師",'試行熟悉度'!$K$7:$K$20,'試行熟悉度'!$E$7:$E$20,"未評估",0)</x:f>
        <x:v>學習中</x:v>
      </x:c>
      <x:c r="P431" s="48" t="str">
        <x:f>_xlfn.XLOOKUP($A431&amp;"|李侑津醫師",'試行熟悉度'!$K$7:$K$20,'試行熟悉度'!$F$7:$F$20,"未建立",0)</x:f>
        <x:v>待主管核定</x:v>
      </x:c>
      <x:c r="Q431" s="39" t="str">
        <x:v>依一般支援名額</x:v>
      </x:c>
    </x:row>
    <x:row r="432">
      <x:c r="A432" s="37" t="str">
        <x:v>1028</x:v>
      </x:c>
      <x:c r="B432" s="37" t="str"/>
      <x:c r="C432" s="37" t="str">
        <x:v>LJT-PERIO</x:v>
      </x:c>
      <x:c r="D432" s="37" t="str">
        <x:v>牙周統合</x:v>
      </x:c>
      <x:c r="E432" s="37" t="str">
        <x:v>一般</x:v>
      </x:c>
      <x:c r="F432" s="37" t="str">
        <x:v>一般</x:v>
      </x:c>
      <x:c r="G432" s="37" t="str">
        <x:v>COMMON-RECORD</x:v>
      </x:c>
      <x:c r="H432" s="37" t="str">
        <x:v>待確認</x:v>
      </x:c>
      <x:c r="I432" s="37" t="str">
        <x:f>_xlfn.XLOOKUP($C432&amp;"|"&amp;$G432,'李醫師能力要求'!$M$7:$M$59,'李醫師能力要求'!$K$7:$K$59,"待確認",0)</x:f>
        <x:v>待確認</x:v>
      </x:c>
      <x:c r="J432" s="37" t="str">
        <x:v>◎</x:v>
      </x:c>
      <x:c r="K432" s="37" t="str">
        <x:v>Ø</x:v>
      </x:c>
      <x:c r="L432" s="48" t="str">
        <x:f>_xlfn.XLOOKUP($A432&amp;"|"&amp;$G432,'試行能力狀態'!$L$7:$L$258,'試行能力狀態'!$E$7:$E$258,"未評估",0)</x:f>
        <x:v>※</x:v>
      </x:c>
      <x:c r="M432" s="48" t="str">
        <x:f>_xlfn.XLOOKUP($A432&amp;"|"&amp;$G432,'試行能力狀態'!$L$7:$L$258,'試行能力狀態'!$F$7:$F$258,"未建立",0)</x:f>
        <x:v>待主管核定</x:v>
      </x:c>
      <x:c r="N432" s="48" t="str">
        <x:f>IF($L432="◎","符合獨立",IF($L432="Ø","符合條件","不符合"))</x:f>
        <x:v>不符合</x:v>
      </x:c>
      <x:c r="O432" s="48" t="str">
        <x:f>_xlfn.XLOOKUP($A432&amp;"|李侑津醫師",'試行熟悉度'!$K$7:$K$20,'試行熟悉度'!$E$7:$E$20,"未評估",0)</x:f>
        <x:v>學習中</x:v>
      </x:c>
      <x:c r="P432" s="48" t="str">
        <x:f>_xlfn.XLOOKUP($A432&amp;"|李侑津醫師",'試行熟悉度'!$K$7:$K$20,'試行熟悉度'!$F$7:$F$20,"未建立",0)</x:f>
        <x:v>待主管核定</x:v>
      </x:c>
      <x:c r="Q432" s="39" t="str">
        <x:v>確認後才納入自動判定</x:v>
      </x:c>
    </x:row>
    <x:row r="433">
      <x:c r="A433" s="37" t="str">
        <x:v>1028</x:v>
      </x:c>
      <x:c r="B433" s="37" t="str"/>
      <x:c r="C433" s="37" t="str">
        <x:v>LJT-PERIO</x:v>
      </x:c>
      <x:c r="D433" s="37" t="str">
        <x:v>牙周統合</x:v>
      </x:c>
      <x:c r="E433" s="37" t="str">
        <x:v>一般</x:v>
      </x:c>
      <x:c r="F433" s="37" t="str">
        <x:v>一般</x:v>
      </x:c>
      <x:c r="G433" s="37" t="str">
        <x:v>COMMON-INSURANCE</x:v>
      </x:c>
      <x:c r="H433" s="37" t="str">
        <x:v>待確認</x:v>
      </x:c>
      <x:c r="I433" s="37" t="str">
        <x:f>_xlfn.XLOOKUP($C433&amp;"|"&amp;$G433,'李醫師能力要求'!$M$7:$M$59,'李醫師能力要求'!$K$7:$K$59,"待確認",0)</x:f>
        <x:v>待確認</x:v>
      </x:c>
      <x:c r="J433" s="37" t="str">
        <x:v>◎</x:v>
      </x:c>
      <x:c r="K433" s="37" t="str">
        <x:v>Ø</x:v>
      </x:c>
      <x:c r="L433" s="48" t="str">
        <x:f>_xlfn.XLOOKUP($A433&amp;"|"&amp;$G433,'試行能力狀態'!$L$7:$L$258,'試行能力狀態'!$E$7:$E$258,"未評估",0)</x:f>
        <x:v>※</x:v>
      </x:c>
      <x:c r="M433" s="48" t="str">
        <x:f>_xlfn.XLOOKUP($A433&amp;"|"&amp;$G433,'試行能力狀態'!$L$7:$L$258,'試行能力狀態'!$F$7:$F$258,"未建立",0)</x:f>
        <x:v>待主管核定</x:v>
      </x:c>
      <x:c r="N433" s="48" t="str">
        <x:f>IF($L433="◎","符合獨立",IF($L433="Ø","符合條件","不符合"))</x:f>
        <x:v>不符合</x:v>
      </x:c>
      <x:c r="O433" s="48" t="str">
        <x:f>_xlfn.XLOOKUP($A433&amp;"|李侑津醫師",'試行熟悉度'!$K$7:$K$20,'試行熟悉度'!$E$7:$E$20,"未評估",0)</x:f>
        <x:v>學習中</x:v>
      </x:c>
      <x:c r="P433" s="48" t="str">
        <x:f>_xlfn.XLOOKUP($A433&amp;"|李侑津醫師",'試行熟悉度'!$K$7:$K$20,'試行熟悉度'!$F$7:$F$20,"未建立",0)</x:f>
        <x:v>待主管核定</x:v>
      </x:c>
      <x:c r="Q433" s="39" t="str">
        <x:v>確認後才納入自動判定</x:v>
      </x:c>
    </x:row>
    <x:row r="434">
      <x:c r="A434" s="37" t="str">
        <x:v>1028</x:v>
      </x:c>
      <x:c r="B434" s="37" t="str"/>
      <x:c r="C434" s="37" t="str">
        <x:v>LJT-PERIO</x:v>
      </x:c>
      <x:c r="D434" s="37" t="str">
        <x:v>牙周統合</x:v>
      </x:c>
      <x:c r="E434" s="37" t="str">
        <x:v>一般</x:v>
      </x:c>
      <x:c r="F434" s="37" t="str">
        <x:v>一般</x:v>
      </x:c>
      <x:c r="G434" s="37" t="str">
        <x:v>COMMON-XRAY-RECORD</x:v>
      </x:c>
      <x:c r="H434" s="37" t="str">
        <x:v>待確認</x:v>
      </x:c>
      <x:c r="I434" s="37" t="str">
        <x:f>_xlfn.XLOOKUP($C434&amp;"|"&amp;$G434,'李醫師能力要求'!$M$7:$M$59,'李醫師能力要求'!$K$7:$K$59,"待確認",0)</x:f>
        <x:v>待確認</x:v>
      </x:c>
      <x:c r="J434" s="37" t="str">
        <x:v>◎</x:v>
      </x:c>
      <x:c r="K434" s="37" t="str">
        <x:v>Ø</x:v>
      </x:c>
      <x:c r="L434" s="48" t="str">
        <x:f>_xlfn.XLOOKUP($A434&amp;"|"&amp;$G434,'試行能力狀態'!$L$7:$L$258,'試行能力狀態'!$E$7:$E$258,"未評估",0)</x:f>
        <x:v>※</x:v>
      </x:c>
      <x:c r="M434" s="48" t="str">
        <x:f>_xlfn.XLOOKUP($A434&amp;"|"&amp;$G434,'試行能力狀態'!$L$7:$L$258,'試行能力狀態'!$F$7:$F$258,"未建立",0)</x:f>
        <x:v>待主管核定</x:v>
      </x:c>
      <x:c r="N434" s="48" t="str">
        <x:f>IF($L434="◎","符合獨立",IF($L434="Ø","符合條件","不符合"))</x:f>
        <x:v>不符合</x:v>
      </x:c>
      <x:c r="O434" s="48" t="str">
        <x:f>_xlfn.XLOOKUP($A434&amp;"|李侑津醫師",'試行熟悉度'!$K$7:$K$20,'試行熟悉度'!$E$7:$E$20,"未評估",0)</x:f>
        <x:v>學習中</x:v>
      </x:c>
      <x:c r="P434" s="48" t="str">
        <x:f>_xlfn.XLOOKUP($A434&amp;"|李侑津醫師",'試行熟悉度'!$K$7:$K$20,'試行熟悉度'!$F$7:$F$20,"未建立",0)</x:f>
        <x:v>待主管核定</x:v>
      </x:c>
      <x:c r="Q434" s="39" t="str">
        <x:v>確認後才納入自動判定</x:v>
      </x:c>
    </x:row>
    <x:row r="435">
      <x:c r="A435" s="37" t="str">
        <x:v>1028</x:v>
      </x:c>
      <x:c r="B435" s="37" t="str"/>
      <x:c r="C435" s="37" t="str">
        <x:v>LJT-RCT</x:v>
      </x:c>
      <x:c r="D435" s="37" t="str">
        <x:v>一般根管治療</x:v>
      </x:c>
      <x:c r="E435" s="37" t="str">
        <x:v>一般</x:v>
      </x:c>
      <x:c r="F435" s="37" t="str">
        <x:v>一般</x:v>
      </x:c>
      <x:c r="G435" s="37" t="str">
        <x:v>LJT-PREP-RCT</x:v>
      </x:c>
      <x:c r="H435" s="37" t="str">
        <x:v>必備</x:v>
      </x:c>
      <x:c r="I435" s="37" t="str">
        <x:f>_xlfn.XLOOKUP($C435&amp;"|"&amp;$G435,'李醫師能力要求'!$M$7:$M$59,'李醫師能力要求'!$K$7:$K$59,"待確認",0)</x:f>
        <x:v>已確認</x:v>
      </x:c>
      <x:c r="J435" s="37" t="str">
        <x:v>◎</x:v>
      </x:c>
      <x:c r="K435" s="37" t="str">
        <x:v>Ø</x:v>
      </x:c>
      <x:c r="L435" s="48" t="str">
        <x:f>_xlfn.XLOOKUP($A435&amp;"|"&amp;$G435,'試行能力狀態'!$L$7:$L$258,'試行能力狀態'!$E$7:$E$258,"未評估",0)</x:f>
        <x:v>※</x:v>
      </x:c>
      <x:c r="M435" s="48" t="str">
        <x:f>_xlfn.XLOOKUP($A435&amp;"|"&amp;$G435,'試行能力狀態'!$L$7:$L$258,'試行能力狀態'!$F$7:$F$258,"未建立",0)</x:f>
        <x:v>待主管核定</x:v>
      </x:c>
      <x:c r="N435" s="48" t="str">
        <x:f>IF($L435="◎","符合獨立",IF($L435="Ø","符合條件","不符合"))</x:f>
        <x:v>不符合</x:v>
      </x:c>
      <x:c r="O435" s="48" t="str">
        <x:f>_xlfn.XLOOKUP($A435&amp;"|李侑津醫師",'試行熟悉度'!$K$7:$K$20,'試行熟悉度'!$E$7:$E$20,"未評估",0)</x:f>
        <x:v>學習中</x:v>
      </x:c>
      <x:c r="P435" s="48" t="str">
        <x:f>_xlfn.XLOOKUP($A435&amp;"|李侑津醫師",'試行熟悉度'!$K$7:$K$20,'試行熟悉度'!$F$7:$F$20,"未建立",0)</x:f>
        <x:v>待主管核定</x:v>
      </x:c>
      <x:c r="Q435" s="39" t="str">
        <x:v>依一般支援名額</x:v>
      </x:c>
    </x:row>
    <x:row r="436">
      <x:c r="A436" s="37" t="str">
        <x:v>1028</x:v>
      </x:c>
      <x:c r="B436" s="37" t="str"/>
      <x:c r="C436" s="37" t="str">
        <x:v>LJT-RCT</x:v>
      </x:c>
      <x:c r="D436" s="37" t="str">
        <x:v>一般根管治療</x:v>
      </x:c>
      <x:c r="E436" s="37" t="str">
        <x:v>一般</x:v>
      </x:c>
      <x:c r="F436" s="37" t="str">
        <x:v>一般</x:v>
      </x:c>
      <x:c r="G436" s="37" t="str">
        <x:v>COMMON-RECORD</x:v>
      </x:c>
      <x:c r="H436" s="37" t="str">
        <x:v>待確認</x:v>
      </x:c>
      <x:c r="I436" s="37" t="str">
        <x:f>_xlfn.XLOOKUP($C436&amp;"|"&amp;$G436,'李醫師能力要求'!$M$7:$M$59,'李醫師能力要求'!$K$7:$K$59,"待確認",0)</x:f>
        <x:v>待確認</x:v>
      </x:c>
      <x:c r="J436" s="37" t="str">
        <x:v>◎</x:v>
      </x:c>
      <x:c r="K436" s="37" t="str">
        <x:v>Ø</x:v>
      </x:c>
      <x:c r="L436" s="48" t="str">
        <x:f>_xlfn.XLOOKUP($A436&amp;"|"&amp;$G436,'試行能力狀態'!$L$7:$L$258,'試行能力狀態'!$E$7:$E$258,"未評估",0)</x:f>
        <x:v>※</x:v>
      </x:c>
      <x:c r="M436" s="48" t="str">
        <x:f>_xlfn.XLOOKUP($A436&amp;"|"&amp;$G436,'試行能力狀態'!$L$7:$L$258,'試行能力狀態'!$F$7:$F$258,"未建立",0)</x:f>
        <x:v>待主管核定</x:v>
      </x:c>
      <x:c r="N436" s="48" t="str">
        <x:f>IF($L436="◎","符合獨立",IF($L436="Ø","符合條件","不符合"))</x:f>
        <x:v>不符合</x:v>
      </x:c>
      <x:c r="O436" s="48" t="str">
        <x:f>_xlfn.XLOOKUP($A436&amp;"|李侑津醫師",'試行熟悉度'!$K$7:$K$20,'試行熟悉度'!$E$7:$E$20,"未評估",0)</x:f>
        <x:v>學習中</x:v>
      </x:c>
      <x:c r="P436" s="48" t="str">
        <x:f>_xlfn.XLOOKUP($A436&amp;"|李侑津醫師",'試行熟悉度'!$K$7:$K$20,'試行熟悉度'!$F$7:$F$20,"未建立",0)</x:f>
        <x:v>待主管核定</x:v>
      </x:c>
      <x:c r="Q436" s="39" t="str">
        <x:v>確認後才納入自動判定</x:v>
      </x:c>
    </x:row>
    <x:row r="437">
      <x:c r="A437" s="37" t="str">
        <x:v>1028</x:v>
      </x:c>
      <x:c r="B437" s="37" t="str"/>
      <x:c r="C437" s="37" t="str">
        <x:v>LJT-RCT</x:v>
      </x:c>
      <x:c r="D437" s="37" t="str">
        <x:v>一般根管治療</x:v>
      </x:c>
      <x:c r="E437" s="37" t="str">
        <x:v>一般</x:v>
      </x:c>
      <x:c r="F437" s="37" t="str">
        <x:v>一般</x:v>
      </x:c>
      <x:c r="G437" s="37" t="str">
        <x:v>COMMON-INSURANCE</x:v>
      </x:c>
      <x:c r="H437" s="37" t="str">
        <x:v>待確認</x:v>
      </x:c>
      <x:c r="I437" s="37" t="str">
        <x:f>_xlfn.XLOOKUP($C437&amp;"|"&amp;$G437,'李醫師能力要求'!$M$7:$M$59,'李醫師能力要求'!$K$7:$K$59,"待確認",0)</x:f>
        <x:v>待確認</x:v>
      </x:c>
      <x:c r="J437" s="37" t="str">
        <x:v>◎</x:v>
      </x:c>
      <x:c r="K437" s="37" t="str">
        <x:v>Ø</x:v>
      </x:c>
      <x:c r="L437" s="48" t="str">
        <x:f>_xlfn.XLOOKUP($A437&amp;"|"&amp;$G437,'試行能力狀態'!$L$7:$L$258,'試行能力狀態'!$E$7:$E$258,"未評估",0)</x:f>
        <x:v>※</x:v>
      </x:c>
      <x:c r="M437" s="48" t="str">
        <x:f>_xlfn.XLOOKUP($A437&amp;"|"&amp;$G437,'試行能力狀態'!$L$7:$L$258,'試行能力狀態'!$F$7:$F$258,"未建立",0)</x:f>
        <x:v>待主管核定</x:v>
      </x:c>
      <x:c r="N437" s="48" t="str">
        <x:f>IF($L437="◎","符合獨立",IF($L437="Ø","符合條件","不符合"))</x:f>
        <x:v>不符合</x:v>
      </x:c>
      <x:c r="O437" s="48" t="str">
        <x:f>_xlfn.XLOOKUP($A437&amp;"|李侑津醫師",'試行熟悉度'!$K$7:$K$20,'試行熟悉度'!$E$7:$E$20,"未評估",0)</x:f>
        <x:v>學習中</x:v>
      </x:c>
      <x:c r="P437" s="48" t="str">
        <x:f>_xlfn.XLOOKUP($A437&amp;"|李侑津醫師",'試行熟悉度'!$K$7:$K$20,'試行熟悉度'!$F$7:$F$20,"未建立",0)</x:f>
        <x:v>待主管核定</x:v>
      </x:c>
      <x:c r="Q437" s="39" t="str">
        <x:v>確認後才納入自動判定</x:v>
      </x:c>
    </x:row>
    <x:row r="438">
      <x:c r="A438" s="37" t="str">
        <x:v>1028</x:v>
      </x:c>
      <x:c r="B438" s="37" t="str"/>
      <x:c r="C438" s="37" t="str">
        <x:v>LJT-RCT</x:v>
      </x:c>
      <x:c r="D438" s="37" t="str">
        <x:v>一般根管治療</x:v>
      </x:c>
      <x:c r="E438" s="37" t="str">
        <x:v>一般</x:v>
      </x:c>
      <x:c r="F438" s="37" t="str">
        <x:v>一般</x:v>
      </x:c>
      <x:c r="G438" s="37" t="str">
        <x:v>COMMON-XRAY-RECORD</x:v>
      </x:c>
      <x:c r="H438" s="37" t="str">
        <x:v>待確認</x:v>
      </x:c>
      <x:c r="I438" s="37" t="str">
        <x:f>_xlfn.XLOOKUP($C438&amp;"|"&amp;$G438,'李醫師能力要求'!$M$7:$M$59,'李醫師能力要求'!$K$7:$K$59,"待確認",0)</x:f>
        <x:v>待確認</x:v>
      </x:c>
      <x:c r="J438" s="37" t="str">
        <x:v>◎</x:v>
      </x:c>
      <x:c r="K438" s="37" t="str">
        <x:v>Ø</x:v>
      </x:c>
      <x:c r="L438" s="48" t="str">
        <x:f>_xlfn.XLOOKUP($A438&amp;"|"&amp;$G438,'試行能力狀態'!$L$7:$L$258,'試行能力狀態'!$E$7:$E$258,"未評估",0)</x:f>
        <x:v>※</x:v>
      </x:c>
      <x:c r="M438" s="48" t="str">
        <x:f>_xlfn.XLOOKUP($A438&amp;"|"&amp;$G438,'試行能力狀態'!$L$7:$L$258,'試行能力狀態'!$F$7:$F$258,"未建立",0)</x:f>
        <x:v>待主管核定</x:v>
      </x:c>
      <x:c r="N438" s="48" t="str">
        <x:f>IF($L438="◎","符合獨立",IF($L438="Ø","符合條件","不符合"))</x:f>
        <x:v>不符合</x:v>
      </x:c>
      <x:c r="O438" s="48" t="str">
        <x:f>_xlfn.XLOOKUP($A438&amp;"|李侑津醫師",'試行熟悉度'!$K$7:$K$20,'試行熟悉度'!$E$7:$E$20,"未評估",0)</x:f>
        <x:v>學習中</x:v>
      </x:c>
      <x:c r="P438" s="48" t="str">
        <x:f>_xlfn.XLOOKUP($A438&amp;"|李侑津醫師",'試行熟悉度'!$K$7:$K$20,'試行熟悉度'!$F$7:$F$20,"未建立",0)</x:f>
        <x:v>待主管核定</x:v>
      </x:c>
      <x:c r="Q438" s="39" t="str">
        <x:v>確認後才納入自動判定</x:v>
      </x:c>
    </x:row>
    <x:row r="439">
      <x:c r="A439" s="37" t="str">
        <x:v>1028</x:v>
      </x:c>
      <x:c r="B439" s="37" t="str"/>
      <x:c r="C439" s="37" t="str">
        <x:v>LJT-EXTRACTION</x:v>
      </x:c>
      <x:c r="D439" s="37" t="str">
        <x:v>拔牙</x:v>
      </x:c>
      <x:c r="E439" s="37" t="str">
        <x:v>一般</x:v>
      </x:c>
      <x:c r="F439" s="37" t="str">
        <x:v>一般</x:v>
      </x:c>
      <x:c r="G439" s="37" t="str">
        <x:v>LJT-PREP-EXTRACTION</x:v>
      </x:c>
      <x:c r="H439" s="37" t="str">
        <x:v>必備</x:v>
      </x:c>
      <x:c r="I439" s="37" t="str">
        <x:f>_xlfn.XLOOKUP($C439&amp;"|"&amp;$G439,'李醫師能力要求'!$M$7:$M$59,'李醫師能力要求'!$K$7:$K$59,"待確認",0)</x:f>
        <x:v>已確認</x:v>
      </x:c>
      <x:c r="J439" s="37" t="str">
        <x:v>◎</x:v>
      </x:c>
      <x:c r="K439" s="37" t="str">
        <x:v>Ø</x:v>
      </x:c>
      <x:c r="L439" s="48" t="str">
        <x:f>_xlfn.XLOOKUP($A439&amp;"|"&amp;$G439,'試行能力狀態'!$L$7:$L$258,'試行能力狀態'!$E$7:$E$258,"未評估",0)</x:f>
        <x:v>※</x:v>
      </x:c>
      <x:c r="M439" s="48" t="str">
        <x:f>_xlfn.XLOOKUP($A439&amp;"|"&amp;$G439,'試行能力狀態'!$L$7:$L$258,'試行能力狀態'!$F$7:$F$258,"未建立",0)</x:f>
        <x:v>待主管核定</x:v>
      </x:c>
      <x:c r="N439" s="48" t="str">
        <x:f>IF($L439="◎","符合獨立",IF($L439="Ø","符合條件","不符合"))</x:f>
        <x:v>不符合</x:v>
      </x:c>
      <x:c r="O439" s="48" t="str">
        <x:f>_xlfn.XLOOKUP($A439&amp;"|李侑津醫師",'試行熟悉度'!$K$7:$K$20,'試行熟悉度'!$E$7:$E$20,"未評估",0)</x:f>
        <x:v>學習中</x:v>
      </x:c>
      <x:c r="P439" s="48" t="str">
        <x:f>_xlfn.XLOOKUP($A439&amp;"|李侑津醫師",'試行熟悉度'!$K$7:$K$20,'試行熟悉度'!$F$7:$F$20,"未建立",0)</x:f>
        <x:v>待主管核定</x:v>
      </x:c>
      <x:c r="Q439" s="39" t="str">
        <x:v>依一般支援名額</x:v>
      </x:c>
    </x:row>
    <x:row r="440">
      <x:c r="A440" s="37" t="str">
        <x:v>1028</x:v>
      </x:c>
      <x:c r="B440" s="37" t="str"/>
      <x:c r="C440" s="37" t="str">
        <x:v>LJT-EXTRACTION</x:v>
      </x:c>
      <x:c r="D440" s="37" t="str">
        <x:v>拔牙</x:v>
      </x:c>
      <x:c r="E440" s="37" t="str">
        <x:v>一般</x:v>
      </x:c>
      <x:c r="F440" s="37" t="str">
        <x:v>一般</x:v>
      </x:c>
      <x:c r="G440" s="37" t="str">
        <x:v>COMMON-RECORD</x:v>
      </x:c>
      <x:c r="H440" s="37" t="str">
        <x:v>待確認</x:v>
      </x:c>
      <x:c r="I440" s="37" t="str">
        <x:f>_xlfn.XLOOKUP($C440&amp;"|"&amp;$G440,'李醫師能力要求'!$M$7:$M$59,'李醫師能力要求'!$K$7:$K$59,"待確認",0)</x:f>
        <x:v>待確認</x:v>
      </x:c>
      <x:c r="J440" s="37" t="str">
        <x:v>◎</x:v>
      </x:c>
      <x:c r="K440" s="37" t="str">
        <x:v>Ø</x:v>
      </x:c>
      <x:c r="L440" s="48" t="str">
        <x:f>_xlfn.XLOOKUP($A440&amp;"|"&amp;$G440,'試行能力狀態'!$L$7:$L$258,'試行能力狀態'!$E$7:$E$258,"未評估",0)</x:f>
        <x:v>※</x:v>
      </x:c>
      <x:c r="M440" s="48" t="str">
        <x:f>_xlfn.XLOOKUP($A440&amp;"|"&amp;$G440,'試行能力狀態'!$L$7:$L$258,'試行能力狀態'!$F$7:$F$258,"未建立",0)</x:f>
        <x:v>待主管核定</x:v>
      </x:c>
      <x:c r="N440" s="48" t="str">
        <x:f>IF($L440="◎","符合獨立",IF($L440="Ø","符合條件","不符合"))</x:f>
        <x:v>不符合</x:v>
      </x:c>
      <x:c r="O440" s="48" t="str">
        <x:f>_xlfn.XLOOKUP($A440&amp;"|李侑津醫師",'試行熟悉度'!$K$7:$K$20,'試行熟悉度'!$E$7:$E$20,"未評估",0)</x:f>
        <x:v>學習中</x:v>
      </x:c>
      <x:c r="P440" s="48" t="str">
        <x:f>_xlfn.XLOOKUP($A440&amp;"|李侑津醫師",'試行熟悉度'!$K$7:$K$20,'試行熟悉度'!$F$7:$F$20,"未建立",0)</x:f>
        <x:v>待主管核定</x:v>
      </x:c>
      <x:c r="Q440" s="39" t="str">
        <x:v>確認後才納入自動判定</x:v>
      </x:c>
    </x:row>
    <x:row r="441">
      <x:c r="A441" s="37" t="str">
        <x:v>1028</x:v>
      </x:c>
      <x:c r="B441" s="37" t="str"/>
      <x:c r="C441" s="37" t="str">
        <x:v>LJT-EXTRACTION</x:v>
      </x:c>
      <x:c r="D441" s="37" t="str">
        <x:v>拔牙</x:v>
      </x:c>
      <x:c r="E441" s="37" t="str">
        <x:v>一般</x:v>
      </x:c>
      <x:c r="F441" s="37" t="str">
        <x:v>一般</x:v>
      </x:c>
      <x:c r="G441" s="37" t="str">
        <x:v>COMMON-INSURANCE</x:v>
      </x:c>
      <x:c r="H441" s="37" t="str">
        <x:v>待確認</x:v>
      </x:c>
      <x:c r="I441" s="37" t="str">
        <x:f>_xlfn.XLOOKUP($C441&amp;"|"&amp;$G441,'李醫師能力要求'!$M$7:$M$59,'李醫師能力要求'!$K$7:$K$59,"待確認",0)</x:f>
        <x:v>待確認</x:v>
      </x:c>
      <x:c r="J441" s="37" t="str">
        <x:v>◎</x:v>
      </x:c>
      <x:c r="K441" s="37" t="str">
        <x:v>Ø</x:v>
      </x:c>
      <x:c r="L441" s="48" t="str">
        <x:f>_xlfn.XLOOKUP($A441&amp;"|"&amp;$G441,'試行能力狀態'!$L$7:$L$258,'試行能力狀態'!$E$7:$E$258,"未評估",0)</x:f>
        <x:v>※</x:v>
      </x:c>
      <x:c r="M441" s="48" t="str">
        <x:f>_xlfn.XLOOKUP($A441&amp;"|"&amp;$G441,'試行能力狀態'!$L$7:$L$258,'試行能力狀態'!$F$7:$F$258,"未建立",0)</x:f>
        <x:v>待主管核定</x:v>
      </x:c>
      <x:c r="N441" s="48" t="str">
        <x:f>IF($L441="◎","符合獨立",IF($L441="Ø","符合條件","不符合"))</x:f>
        <x:v>不符合</x:v>
      </x:c>
      <x:c r="O441" s="48" t="str">
        <x:f>_xlfn.XLOOKUP($A441&amp;"|李侑津醫師",'試行熟悉度'!$K$7:$K$20,'試行熟悉度'!$E$7:$E$20,"未評估",0)</x:f>
        <x:v>學習中</x:v>
      </x:c>
      <x:c r="P441" s="48" t="str">
        <x:f>_xlfn.XLOOKUP($A441&amp;"|李侑津醫師",'試行熟悉度'!$K$7:$K$20,'試行熟悉度'!$F$7:$F$20,"未建立",0)</x:f>
        <x:v>待主管核定</x:v>
      </x:c>
      <x:c r="Q441" s="39" t="str">
        <x:v>確認後才納入自動判定</x:v>
      </x:c>
    </x:row>
    <x:row r="442">
      <x:c r="A442" s="37" t="str">
        <x:v>1028</x:v>
      </x:c>
      <x:c r="B442" s="37" t="str"/>
      <x:c r="C442" s="37" t="str">
        <x:v>LJT-EXTRACTION</x:v>
      </x:c>
      <x:c r="D442" s="37" t="str">
        <x:v>拔牙</x:v>
      </x:c>
      <x:c r="E442" s="37" t="str">
        <x:v>一般</x:v>
      </x:c>
      <x:c r="F442" s="37" t="str">
        <x:v>一般</x:v>
      </x:c>
      <x:c r="G442" s="37" t="str">
        <x:v>COMMON-XRAY-RECORD</x:v>
      </x:c>
      <x:c r="H442" s="37" t="str">
        <x:v>待確認</x:v>
      </x:c>
      <x:c r="I442" s="37" t="str">
        <x:f>_xlfn.XLOOKUP($C442&amp;"|"&amp;$G442,'李醫師能力要求'!$M$7:$M$59,'李醫師能力要求'!$K$7:$K$59,"待確認",0)</x:f>
        <x:v>待確認</x:v>
      </x:c>
      <x:c r="J442" s="37" t="str">
        <x:v>◎</x:v>
      </x:c>
      <x:c r="K442" s="37" t="str">
        <x:v>Ø</x:v>
      </x:c>
      <x:c r="L442" s="48" t="str">
        <x:f>_xlfn.XLOOKUP($A442&amp;"|"&amp;$G442,'試行能力狀態'!$L$7:$L$258,'試行能力狀態'!$E$7:$E$258,"未評估",0)</x:f>
        <x:v>※</x:v>
      </x:c>
      <x:c r="M442" s="48" t="str">
        <x:f>_xlfn.XLOOKUP($A442&amp;"|"&amp;$G442,'試行能力狀態'!$L$7:$L$258,'試行能力狀態'!$F$7:$F$258,"未建立",0)</x:f>
        <x:v>待主管核定</x:v>
      </x:c>
      <x:c r="N442" s="48" t="str">
        <x:f>IF($L442="◎","符合獨立",IF($L442="Ø","符合條件","不符合"))</x:f>
        <x:v>不符合</x:v>
      </x:c>
      <x:c r="O442" s="48" t="str">
        <x:f>_xlfn.XLOOKUP($A442&amp;"|李侑津醫師",'試行熟悉度'!$K$7:$K$20,'試行熟悉度'!$E$7:$E$20,"未評估",0)</x:f>
        <x:v>學習中</x:v>
      </x:c>
      <x:c r="P442" s="48" t="str">
        <x:f>_xlfn.XLOOKUP($A442&amp;"|李侑津醫師",'試行熟悉度'!$K$7:$K$20,'試行熟悉度'!$F$7:$F$20,"未建立",0)</x:f>
        <x:v>待主管核定</x:v>
      </x:c>
      <x:c r="Q442" s="39" t="str">
        <x:v>確認後才納入自動判定</x:v>
      </x:c>
    </x:row>
    <x:row r="443">
      <x:c r="A443" s="37" t="str">
        <x:v>1028</x:v>
      </x:c>
      <x:c r="B443" s="37" t="str"/>
      <x:c r="C443" s="37" t="str">
        <x:v>LJT-CROWNPOST</x:v>
      </x:c>
      <x:c r="D443" s="37" t="str">
        <x:v>拆 crown/post</x:v>
      </x:c>
      <x:c r="E443" s="37" t="str">
        <x:v>一般</x:v>
      </x:c>
      <x:c r="F443" s="37" t="str">
        <x:v>一般</x:v>
      </x:c>
      <x:c r="G443" s="37" t="str">
        <x:v>LJT-PREP-CROWNPOST</x:v>
      </x:c>
      <x:c r="H443" s="37" t="str">
        <x:v>必備</x:v>
      </x:c>
      <x:c r="I443" s="37" t="str">
        <x:f>_xlfn.XLOOKUP($C443&amp;"|"&amp;$G443,'李醫師能力要求'!$M$7:$M$59,'李醫師能力要求'!$K$7:$K$59,"待確認",0)</x:f>
        <x:v>已確認</x:v>
      </x:c>
      <x:c r="J443" s="37" t="str">
        <x:v>◎</x:v>
      </x:c>
      <x:c r="K443" s="37" t="str">
        <x:v>Ø</x:v>
      </x:c>
      <x:c r="L443" s="48" t="str">
        <x:f>_xlfn.XLOOKUP($A443&amp;"|"&amp;$G443,'試行能力狀態'!$L$7:$L$258,'試行能力狀態'!$E$7:$E$258,"未評估",0)</x:f>
        <x:v>※</x:v>
      </x:c>
      <x:c r="M443" s="48" t="str">
        <x:f>_xlfn.XLOOKUP($A443&amp;"|"&amp;$G443,'試行能力狀態'!$L$7:$L$258,'試行能力狀態'!$F$7:$F$258,"未建立",0)</x:f>
        <x:v>待主管核定</x:v>
      </x:c>
      <x:c r="N443" s="48" t="str">
        <x:f>IF($L443="◎","符合獨立",IF($L443="Ø","符合條件","不符合"))</x:f>
        <x:v>不符合</x:v>
      </x:c>
      <x:c r="O443" s="48" t="str">
        <x:f>_xlfn.XLOOKUP($A443&amp;"|李侑津醫師",'試行熟悉度'!$K$7:$K$20,'試行熟悉度'!$E$7:$E$20,"未評估",0)</x:f>
        <x:v>學習中</x:v>
      </x:c>
      <x:c r="P443" s="48" t="str">
        <x:f>_xlfn.XLOOKUP($A443&amp;"|李侑津醫師",'試行熟悉度'!$K$7:$K$20,'試行熟悉度'!$F$7:$F$20,"未建立",0)</x:f>
        <x:v>待主管核定</x:v>
      </x:c>
      <x:c r="Q443" s="39" t="str">
        <x:v>依一般支援名額</x:v>
      </x:c>
    </x:row>
    <x:row r="444">
      <x:c r="A444" s="37" t="str">
        <x:v>1028</x:v>
      </x:c>
      <x:c r="B444" s="37" t="str"/>
      <x:c r="C444" s="37" t="str">
        <x:v>LJT-CROWNPOST</x:v>
      </x:c>
      <x:c r="D444" s="37" t="str">
        <x:v>拆 crown/post</x:v>
      </x:c>
      <x:c r="E444" s="37" t="str">
        <x:v>一般</x:v>
      </x:c>
      <x:c r="F444" s="37" t="str">
        <x:v>一般</x:v>
      </x:c>
      <x:c r="G444" s="37" t="str">
        <x:v>COMMON-RECORD</x:v>
      </x:c>
      <x:c r="H444" s="37" t="str">
        <x:v>待確認</x:v>
      </x:c>
      <x:c r="I444" s="37" t="str">
        <x:f>_xlfn.XLOOKUP($C444&amp;"|"&amp;$G444,'李醫師能力要求'!$M$7:$M$59,'李醫師能力要求'!$K$7:$K$59,"待確認",0)</x:f>
        <x:v>待確認</x:v>
      </x:c>
      <x:c r="J444" s="37" t="str">
        <x:v>◎</x:v>
      </x:c>
      <x:c r="K444" s="37" t="str">
        <x:v>Ø</x:v>
      </x:c>
      <x:c r="L444" s="48" t="str">
        <x:f>_xlfn.XLOOKUP($A444&amp;"|"&amp;$G444,'試行能力狀態'!$L$7:$L$258,'試行能力狀態'!$E$7:$E$258,"未評估",0)</x:f>
        <x:v>※</x:v>
      </x:c>
      <x:c r="M444" s="48" t="str">
        <x:f>_xlfn.XLOOKUP($A444&amp;"|"&amp;$G444,'試行能力狀態'!$L$7:$L$258,'試行能力狀態'!$F$7:$F$258,"未建立",0)</x:f>
        <x:v>待主管核定</x:v>
      </x:c>
      <x:c r="N444" s="48" t="str">
        <x:f>IF($L444="◎","符合獨立",IF($L444="Ø","符合條件","不符合"))</x:f>
        <x:v>不符合</x:v>
      </x:c>
      <x:c r="O444" s="48" t="str">
        <x:f>_xlfn.XLOOKUP($A444&amp;"|李侑津醫師",'試行熟悉度'!$K$7:$K$20,'試行熟悉度'!$E$7:$E$20,"未評估",0)</x:f>
        <x:v>學習中</x:v>
      </x:c>
      <x:c r="P444" s="48" t="str">
        <x:f>_xlfn.XLOOKUP($A444&amp;"|李侑津醫師",'試行熟悉度'!$K$7:$K$20,'試行熟悉度'!$F$7:$F$20,"未建立",0)</x:f>
        <x:v>待主管核定</x:v>
      </x:c>
      <x:c r="Q444" s="39" t="str">
        <x:v>確認後才納入自動判定</x:v>
      </x:c>
    </x:row>
    <x:row r="445">
      <x:c r="A445" s="37" t="str">
        <x:v>1028</x:v>
      </x:c>
      <x:c r="B445" s="37" t="str"/>
      <x:c r="C445" s="37" t="str">
        <x:v>LJT-CROWNPOST</x:v>
      </x:c>
      <x:c r="D445" s="37" t="str">
        <x:v>拆 crown/post</x:v>
      </x:c>
      <x:c r="E445" s="37" t="str">
        <x:v>一般</x:v>
      </x:c>
      <x:c r="F445" s="37" t="str">
        <x:v>一般</x:v>
      </x:c>
      <x:c r="G445" s="37" t="str">
        <x:v>COMMON-INSURANCE</x:v>
      </x:c>
      <x:c r="H445" s="37" t="str">
        <x:v>待確認</x:v>
      </x:c>
      <x:c r="I445" s="37" t="str">
        <x:f>_xlfn.XLOOKUP($C445&amp;"|"&amp;$G445,'李醫師能力要求'!$M$7:$M$59,'李醫師能力要求'!$K$7:$K$59,"待確認",0)</x:f>
        <x:v>待確認</x:v>
      </x:c>
      <x:c r="J445" s="37" t="str">
        <x:v>◎</x:v>
      </x:c>
      <x:c r="K445" s="37" t="str">
        <x:v>Ø</x:v>
      </x:c>
      <x:c r="L445" s="48" t="str">
        <x:f>_xlfn.XLOOKUP($A445&amp;"|"&amp;$G445,'試行能力狀態'!$L$7:$L$258,'試行能力狀態'!$E$7:$E$258,"未評估",0)</x:f>
        <x:v>※</x:v>
      </x:c>
      <x:c r="M445" s="48" t="str">
        <x:f>_xlfn.XLOOKUP($A445&amp;"|"&amp;$G445,'試行能力狀態'!$L$7:$L$258,'試行能力狀態'!$F$7:$F$258,"未建立",0)</x:f>
        <x:v>待主管核定</x:v>
      </x:c>
      <x:c r="N445" s="48" t="str">
        <x:f>IF($L445="◎","符合獨立",IF($L445="Ø","符合條件","不符合"))</x:f>
        <x:v>不符合</x:v>
      </x:c>
      <x:c r="O445" s="48" t="str">
        <x:f>_xlfn.XLOOKUP($A445&amp;"|李侑津醫師",'試行熟悉度'!$K$7:$K$20,'試行熟悉度'!$E$7:$E$20,"未評估",0)</x:f>
        <x:v>學習中</x:v>
      </x:c>
      <x:c r="P445" s="48" t="str">
        <x:f>_xlfn.XLOOKUP($A445&amp;"|李侑津醫師",'試行熟悉度'!$K$7:$K$20,'試行熟悉度'!$F$7:$F$20,"未建立",0)</x:f>
        <x:v>待主管核定</x:v>
      </x:c>
      <x:c r="Q445" s="39" t="str">
        <x:v>確認後才納入自動判定</x:v>
      </x:c>
    </x:row>
    <x:row r="446">
      <x:c r="A446" s="37" t="str">
        <x:v>1028</x:v>
      </x:c>
      <x:c r="B446" s="37" t="str"/>
      <x:c r="C446" s="37" t="str">
        <x:v>LJT-CROWNPOST</x:v>
      </x:c>
      <x:c r="D446" s="37" t="str">
        <x:v>拆 crown/post</x:v>
      </x:c>
      <x:c r="E446" s="37" t="str">
        <x:v>一般</x:v>
      </x:c>
      <x:c r="F446" s="37" t="str">
        <x:v>一般</x:v>
      </x:c>
      <x:c r="G446" s="37" t="str">
        <x:v>COMMON-XRAY-RECORD</x:v>
      </x:c>
      <x:c r="H446" s="37" t="str">
        <x:v>待確認</x:v>
      </x:c>
      <x:c r="I446" s="37" t="str">
        <x:f>_xlfn.XLOOKUP($C446&amp;"|"&amp;$G446,'李醫師能力要求'!$M$7:$M$59,'李醫師能力要求'!$K$7:$K$59,"待確認",0)</x:f>
        <x:v>待確認</x:v>
      </x:c>
      <x:c r="J446" s="37" t="str">
        <x:v>◎</x:v>
      </x:c>
      <x:c r="K446" s="37" t="str">
        <x:v>Ø</x:v>
      </x:c>
      <x:c r="L446" s="48" t="str">
        <x:f>_xlfn.XLOOKUP($A446&amp;"|"&amp;$G446,'試行能力狀態'!$L$7:$L$258,'試行能力狀態'!$E$7:$E$258,"未評估",0)</x:f>
        <x:v>※</x:v>
      </x:c>
      <x:c r="M446" s="48" t="str">
        <x:f>_xlfn.XLOOKUP($A446&amp;"|"&amp;$G446,'試行能力狀態'!$L$7:$L$258,'試行能力狀態'!$F$7:$F$258,"未建立",0)</x:f>
        <x:v>待主管核定</x:v>
      </x:c>
      <x:c r="N446" s="48" t="str">
        <x:f>IF($L446="◎","符合獨立",IF($L446="Ø","符合條件","不符合"))</x:f>
        <x:v>不符合</x:v>
      </x:c>
      <x:c r="O446" s="48" t="str">
        <x:f>_xlfn.XLOOKUP($A446&amp;"|李侑津醫師",'試行熟悉度'!$K$7:$K$20,'試行熟悉度'!$E$7:$E$20,"未評估",0)</x:f>
        <x:v>學習中</x:v>
      </x:c>
      <x:c r="P446" s="48" t="str">
        <x:f>_xlfn.XLOOKUP($A446&amp;"|李侑津醫師",'試行熟悉度'!$K$7:$K$20,'試行熟悉度'!$F$7:$F$20,"未建立",0)</x:f>
        <x:v>待主管核定</x:v>
      </x:c>
      <x:c r="Q446" s="39" t="str">
        <x:v>確認後才納入自動判定</x:v>
      </x:c>
    </x:row>
    <x:row r="447">
      <x:c r="A447" s="37" t="str">
        <x:v>1028</x:v>
      </x:c>
      <x:c r="B447" s="37" t="str"/>
      <x:c r="C447" s="37" t="str">
        <x:v>LJT-CROWN</x:v>
      </x:c>
      <x:c r="D447" s="37" t="str">
        <x:v>固定假牙</x:v>
      </x:c>
      <x:c r="E447" s="37" t="str">
        <x:v>一般</x:v>
      </x:c>
      <x:c r="F447" s="37" t="str">
        <x:v>一般</x:v>
      </x:c>
      <x:c r="G447" s="37" t="str">
        <x:v>LJT-PREP-CROWN</x:v>
      </x:c>
      <x:c r="H447" s="37" t="str">
        <x:v>必備</x:v>
      </x:c>
      <x:c r="I447" s="37" t="str">
        <x:f>_xlfn.XLOOKUP($C447&amp;"|"&amp;$G447,'李醫師能力要求'!$M$7:$M$59,'李醫師能力要求'!$K$7:$K$59,"待確認",0)</x:f>
        <x:v>已確認</x:v>
      </x:c>
      <x:c r="J447" s="37" t="str">
        <x:v>◎</x:v>
      </x:c>
      <x:c r="K447" s="37" t="str">
        <x:v>Ø</x:v>
      </x:c>
      <x:c r="L447" s="48" t="str">
        <x:f>_xlfn.XLOOKUP($A447&amp;"|"&amp;$G447,'試行能力狀態'!$L$7:$L$258,'試行能力狀態'!$E$7:$E$258,"未評估",0)</x:f>
        <x:v>※</x:v>
      </x:c>
      <x:c r="M447" s="48" t="str">
        <x:f>_xlfn.XLOOKUP($A447&amp;"|"&amp;$G447,'試行能力狀態'!$L$7:$L$258,'試行能力狀態'!$F$7:$F$258,"未建立",0)</x:f>
        <x:v>待主管核定</x:v>
      </x:c>
      <x:c r="N447" s="48" t="str">
        <x:f>IF($L447="◎","符合獨立",IF($L447="Ø","符合條件","不符合"))</x:f>
        <x:v>不符合</x:v>
      </x:c>
      <x:c r="O447" s="48" t="str">
        <x:f>_xlfn.XLOOKUP($A447&amp;"|李侑津醫師",'試行熟悉度'!$K$7:$K$20,'試行熟悉度'!$E$7:$E$20,"未評估",0)</x:f>
        <x:v>學習中</x:v>
      </x:c>
      <x:c r="P447" s="48" t="str">
        <x:f>_xlfn.XLOOKUP($A447&amp;"|李侑津醫師",'試行熟悉度'!$K$7:$K$20,'試行熟悉度'!$F$7:$F$20,"未建立",0)</x:f>
        <x:v>待主管核定</x:v>
      </x:c>
      <x:c r="Q447" s="39" t="str">
        <x:v>依一般支援名額</x:v>
      </x:c>
    </x:row>
    <x:row r="448">
      <x:c r="A448" s="37" t="str">
        <x:v>1028</x:v>
      </x:c>
      <x:c r="B448" s="37" t="str"/>
      <x:c r="C448" s="37" t="str">
        <x:v>LJT-CROWN</x:v>
      </x:c>
      <x:c r="D448" s="37" t="str">
        <x:v>固定假牙</x:v>
      </x:c>
      <x:c r="E448" s="37" t="str">
        <x:v>一般</x:v>
      </x:c>
      <x:c r="F448" s="37" t="str">
        <x:v>一般</x:v>
      </x:c>
      <x:c r="G448" s="37" t="str">
        <x:v>COMMON-RECORD</x:v>
      </x:c>
      <x:c r="H448" s="37" t="str">
        <x:v>待確認</x:v>
      </x:c>
      <x:c r="I448" s="37" t="str">
        <x:f>_xlfn.XLOOKUP($C448&amp;"|"&amp;$G448,'李醫師能力要求'!$M$7:$M$59,'李醫師能力要求'!$K$7:$K$59,"待確認",0)</x:f>
        <x:v>待確認</x:v>
      </x:c>
      <x:c r="J448" s="37" t="str">
        <x:v>◎</x:v>
      </x:c>
      <x:c r="K448" s="37" t="str">
        <x:v>Ø</x:v>
      </x:c>
      <x:c r="L448" s="48" t="str">
        <x:f>_xlfn.XLOOKUP($A448&amp;"|"&amp;$G448,'試行能力狀態'!$L$7:$L$258,'試行能力狀態'!$E$7:$E$258,"未評估",0)</x:f>
        <x:v>※</x:v>
      </x:c>
      <x:c r="M448" s="48" t="str">
        <x:f>_xlfn.XLOOKUP($A448&amp;"|"&amp;$G448,'試行能力狀態'!$L$7:$L$258,'試行能力狀態'!$F$7:$F$258,"未建立",0)</x:f>
        <x:v>待主管核定</x:v>
      </x:c>
      <x:c r="N448" s="48" t="str">
        <x:f>IF($L448="◎","符合獨立",IF($L448="Ø","符合條件","不符合"))</x:f>
        <x:v>不符合</x:v>
      </x:c>
      <x:c r="O448" s="48" t="str">
        <x:f>_xlfn.XLOOKUP($A448&amp;"|李侑津醫師",'試行熟悉度'!$K$7:$K$20,'試行熟悉度'!$E$7:$E$20,"未評估",0)</x:f>
        <x:v>學習中</x:v>
      </x:c>
      <x:c r="P448" s="48" t="str">
        <x:f>_xlfn.XLOOKUP($A448&amp;"|李侑津醫師",'試行熟悉度'!$K$7:$K$20,'試行熟悉度'!$F$7:$F$20,"未建立",0)</x:f>
        <x:v>待主管核定</x:v>
      </x:c>
      <x:c r="Q448" s="39" t="str">
        <x:v>確認後才納入自動判定</x:v>
      </x:c>
    </x:row>
    <x:row r="449">
      <x:c r="A449" s="37" t="str">
        <x:v>1028</x:v>
      </x:c>
      <x:c r="B449" s="37" t="str"/>
      <x:c r="C449" s="37" t="str">
        <x:v>LJT-CROWN</x:v>
      </x:c>
      <x:c r="D449" s="37" t="str">
        <x:v>固定假牙</x:v>
      </x:c>
      <x:c r="E449" s="37" t="str">
        <x:v>一般</x:v>
      </x:c>
      <x:c r="F449" s="37" t="str">
        <x:v>一般</x:v>
      </x:c>
      <x:c r="G449" s="37" t="str">
        <x:v>COMMON-INSURANCE</x:v>
      </x:c>
      <x:c r="H449" s="37" t="str">
        <x:v>待確認</x:v>
      </x:c>
      <x:c r="I449" s="37" t="str">
        <x:f>_xlfn.XLOOKUP($C449&amp;"|"&amp;$G449,'李醫師能力要求'!$M$7:$M$59,'李醫師能力要求'!$K$7:$K$59,"待確認",0)</x:f>
        <x:v>待確認</x:v>
      </x:c>
      <x:c r="J449" s="37" t="str">
        <x:v>◎</x:v>
      </x:c>
      <x:c r="K449" s="37" t="str">
        <x:v>Ø</x:v>
      </x:c>
      <x:c r="L449" s="48" t="str">
        <x:f>_xlfn.XLOOKUP($A449&amp;"|"&amp;$G449,'試行能力狀態'!$L$7:$L$258,'試行能力狀態'!$E$7:$E$258,"未評估",0)</x:f>
        <x:v>※</x:v>
      </x:c>
      <x:c r="M449" s="48" t="str">
        <x:f>_xlfn.XLOOKUP($A449&amp;"|"&amp;$G449,'試行能力狀態'!$L$7:$L$258,'試行能力狀態'!$F$7:$F$258,"未建立",0)</x:f>
        <x:v>待主管核定</x:v>
      </x:c>
      <x:c r="N449" s="48" t="str">
        <x:f>IF($L449="◎","符合獨立",IF($L449="Ø","符合條件","不符合"))</x:f>
        <x:v>不符合</x:v>
      </x:c>
      <x:c r="O449" s="48" t="str">
        <x:f>_xlfn.XLOOKUP($A449&amp;"|李侑津醫師",'試行熟悉度'!$K$7:$K$20,'試行熟悉度'!$E$7:$E$20,"未評估",0)</x:f>
        <x:v>學習中</x:v>
      </x:c>
      <x:c r="P449" s="48" t="str">
        <x:f>_xlfn.XLOOKUP($A449&amp;"|李侑津醫師",'試行熟悉度'!$K$7:$K$20,'試行熟悉度'!$F$7:$F$20,"未建立",0)</x:f>
        <x:v>待主管核定</x:v>
      </x:c>
      <x:c r="Q449" s="39" t="str">
        <x:v>確認後才納入自動判定</x:v>
      </x:c>
    </x:row>
    <x:row r="450">
      <x:c r="A450" s="37" t="str">
        <x:v>1028</x:v>
      </x:c>
      <x:c r="B450" s="37" t="str"/>
      <x:c r="C450" s="37" t="str">
        <x:v>LJT-CROWN</x:v>
      </x:c>
      <x:c r="D450" s="37" t="str">
        <x:v>固定假牙</x:v>
      </x:c>
      <x:c r="E450" s="37" t="str">
        <x:v>一般</x:v>
      </x:c>
      <x:c r="F450" s="37" t="str">
        <x:v>一般</x:v>
      </x:c>
      <x:c r="G450" s="37" t="str">
        <x:v>COMMON-XRAY-RECORD</x:v>
      </x:c>
      <x:c r="H450" s="37" t="str">
        <x:v>待確認</x:v>
      </x:c>
      <x:c r="I450" s="37" t="str">
        <x:f>_xlfn.XLOOKUP($C450&amp;"|"&amp;$G450,'李醫師能力要求'!$M$7:$M$59,'李醫師能力要求'!$K$7:$K$59,"待確認",0)</x:f>
        <x:v>待確認</x:v>
      </x:c>
      <x:c r="J450" s="37" t="str">
        <x:v>◎</x:v>
      </x:c>
      <x:c r="K450" s="37" t="str">
        <x:v>Ø</x:v>
      </x:c>
      <x:c r="L450" s="48" t="str">
        <x:f>_xlfn.XLOOKUP($A450&amp;"|"&amp;$G450,'試行能力狀態'!$L$7:$L$258,'試行能力狀態'!$E$7:$E$258,"未評估",0)</x:f>
        <x:v>※</x:v>
      </x:c>
      <x:c r="M450" s="48" t="str">
        <x:f>_xlfn.XLOOKUP($A450&amp;"|"&amp;$G450,'試行能力狀態'!$L$7:$L$258,'試行能力狀態'!$F$7:$F$258,"未建立",0)</x:f>
        <x:v>待主管核定</x:v>
      </x:c>
      <x:c r="N450" s="48" t="str">
        <x:f>IF($L450="◎","符合獨立",IF($L450="Ø","符合條件","不符合"))</x:f>
        <x:v>不符合</x:v>
      </x:c>
      <x:c r="O450" s="48" t="str">
        <x:f>_xlfn.XLOOKUP($A450&amp;"|李侑津醫師",'試行熟悉度'!$K$7:$K$20,'試行熟悉度'!$E$7:$E$20,"未評估",0)</x:f>
        <x:v>學習中</x:v>
      </x:c>
      <x:c r="P450" s="48" t="str">
        <x:f>_xlfn.XLOOKUP($A450&amp;"|李侑津醫師",'試行熟悉度'!$K$7:$K$20,'試行熟悉度'!$F$7:$F$20,"未建立",0)</x:f>
        <x:v>待主管核定</x:v>
      </x:c>
      <x:c r="Q450" s="39" t="str">
        <x:v>確認後才納入自動判定</x:v>
      </x:c>
    </x:row>
    <x:row r="451">
      <x:c r="A451" s="37" t="str">
        <x:v>1028</x:v>
      </x:c>
      <x:c r="B451" s="37" t="str"/>
      <x:c r="C451" s="37" t="str">
        <x:v>LJT-RPD</x:v>
      </x:c>
      <x:c r="D451" s="37" t="str">
        <x:v>RPD</x:v>
      </x:c>
      <x:c r="E451" s="37" t="str">
        <x:v>一般步驟</x:v>
      </x:c>
      <x:c r="F451" s="37" t="str">
        <x:v>一般</x:v>
      </x:c>
      <x:c r="G451" s="37" t="str">
        <x:v>LJT-PREP-RPD</x:v>
      </x:c>
      <x:c r="H451" s="37" t="str">
        <x:v>必備</x:v>
      </x:c>
      <x:c r="I451" s="37" t="str">
        <x:f>_xlfn.XLOOKUP($C451&amp;"|"&amp;$G451,'李醫師能力要求'!$M$7:$M$59,'李醫師能力要求'!$K$7:$K$59,"待確認",0)</x:f>
        <x:v>已確認</x:v>
      </x:c>
      <x:c r="J451" s="37" t="str">
        <x:v>◎</x:v>
      </x:c>
      <x:c r="K451" s="37" t="str">
        <x:v>Ø</x:v>
      </x:c>
      <x:c r="L451" s="48" t="str">
        <x:f>_xlfn.XLOOKUP($A451&amp;"|"&amp;$G451,'試行能力狀態'!$L$7:$L$258,'試行能力狀態'!$E$7:$E$258,"未評估",0)</x:f>
        <x:v>※</x:v>
      </x:c>
      <x:c r="M451" s="48" t="str">
        <x:f>_xlfn.XLOOKUP($A451&amp;"|"&amp;$G451,'試行能力狀態'!$L$7:$L$258,'試行能力狀態'!$F$7:$F$258,"未建立",0)</x:f>
        <x:v>待主管核定</x:v>
      </x:c>
      <x:c r="N451" s="48" t="str">
        <x:f>IF($L451="◎","符合獨立",IF($L451="Ø","符合條件","不符合"))</x:f>
        <x:v>不符合</x:v>
      </x:c>
      <x:c r="O451" s="48" t="str">
        <x:f>_xlfn.XLOOKUP($A451&amp;"|李侑津醫師",'試行熟悉度'!$K$7:$K$20,'試行熟悉度'!$E$7:$E$20,"未評估",0)</x:f>
        <x:v>學習中</x:v>
      </x:c>
      <x:c r="P451" s="48" t="str">
        <x:f>_xlfn.XLOOKUP($A451&amp;"|李侑津醫師",'試行熟悉度'!$K$7:$K$20,'試行熟悉度'!$F$7:$F$20,"未建立",0)</x:f>
        <x:v>待主管核定</x:v>
      </x:c>
      <x:c r="Q451" s="39" t="str">
        <x:v>依一般支援名額</x:v>
      </x:c>
    </x:row>
    <x:row r="452">
      <x:c r="A452" s="37" t="str">
        <x:v>1028</x:v>
      </x:c>
      <x:c r="B452" s="37" t="str"/>
      <x:c r="C452" s="37" t="str">
        <x:v>LJT-RPD</x:v>
      </x:c>
      <x:c r="D452" s="37" t="str">
        <x:v>RPD</x:v>
      </x:c>
      <x:c r="E452" s="37" t="str">
        <x:v>一般步驟</x:v>
      </x:c>
      <x:c r="F452" s="37" t="str">
        <x:v>一般</x:v>
      </x:c>
      <x:c r="G452" s="37" t="str">
        <x:v>COMMON-RECORD</x:v>
      </x:c>
      <x:c r="H452" s="37" t="str">
        <x:v>待確認</x:v>
      </x:c>
      <x:c r="I452" s="37" t="str">
        <x:f>_xlfn.XLOOKUP($C452&amp;"|"&amp;$G452,'李醫師能力要求'!$M$7:$M$59,'李醫師能力要求'!$K$7:$K$59,"待確認",0)</x:f>
        <x:v>待確認</x:v>
      </x:c>
      <x:c r="J452" s="37" t="str">
        <x:v>◎</x:v>
      </x:c>
      <x:c r="K452" s="37" t="str">
        <x:v>Ø</x:v>
      </x:c>
      <x:c r="L452" s="48" t="str">
        <x:f>_xlfn.XLOOKUP($A452&amp;"|"&amp;$G452,'試行能力狀態'!$L$7:$L$258,'試行能力狀態'!$E$7:$E$258,"未評估",0)</x:f>
        <x:v>※</x:v>
      </x:c>
      <x:c r="M452" s="48" t="str">
        <x:f>_xlfn.XLOOKUP($A452&amp;"|"&amp;$G452,'試行能力狀態'!$L$7:$L$258,'試行能力狀態'!$F$7:$F$258,"未建立",0)</x:f>
        <x:v>待主管核定</x:v>
      </x:c>
      <x:c r="N452" s="48" t="str">
        <x:f>IF($L452="◎","符合獨立",IF($L452="Ø","符合條件","不符合"))</x:f>
        <x:v>不符合</x:v>
      </x:c>
      <x:c r="O452" s="48" t="str">
        <x:f>_xlfn.XLOOKUP($A452&amp;"|李侑津醫師",'試行熟悉度'!$K$7:$K$20,'試行熟悉度'!$E$7:$E$20,"未評估",0)</x:f>
        <x:v>學習中</x:v>
      </x:c>
      <x:c r="P452" s="48" t="str">
        <x:f>_xlfn.XLOOKUP($A452&amp;"|李侑津醫師",'試行熟悉度'!$K$7:$K$20,'試行熟悉度'!$F$7:$F$20,"未建立",0)</x:f>
        <x:v>待主管核定</x:v>
      </x:c>
      <x:c r="Q452" s="39" t="str">
        <x:v>確認後才納入自動判定</x:v>
      </x:c>
    </x:row>
    <x:row r="453">
      <x:c r="A453" s="37" t="str">
        <x:v>1028</x:v>
      </x:c>
      <x:c r="B453" s="37" t="str"/>
      <x:c r="C453" s="37" t="str">
        <x:v>LJT-RPD</x:v>
      </x:c>
      <x:c r="D453" s="37" t="str">
        <x:v>RPD</x:v>
      </x:c>
      <x:c r="E453" s="37" t="str">
        <x:v>一般步驟</x:v>
      </x:c>
      <x:c r="F453" s="37" t="str">
        <x:v>一般</x:v>
      </x:c>
      <x:c r="G453" s="37" t="str">
        <x:v>COMMON-INSURANCE</x:v>
      </x:c>
      <x:c r="H453" s="37" t="str">
        <x:v>待確認</x:v>
      </x:c>
      <x:c r="I453" s="37" t="str">
        <x:f>_xlfn.XLOOKUP($C453&amp;"|"&amp;$G453,'李醫師能力要求'!$M$7:$M$59,'李醫師能力要求'!$K$7:$K$59,"待確認",0)</x:f>
        <x:v>待確認</x:v>
      </x:c>
      <x:c r="J453" s="37" t="str">
        <x:v>◎</x:v>
      </x:c>
      <x:c r="K453" s="37" t="str">
        <x:v>Ø</x:v>
      </x:c>
      <x:c r="L453" s="48" t="str">
        <x:f>_xlfn.XLOOKUP($A453&amp;"|"&amp;$G453,'試行能力狀態'!$L$7:$L$258,'試行能力狀態'!$E$7:$E$258,"未評估",0)</x:f>
        <x:v>※</x:v>
      </x:c>
      <x:c r="M453" s="48" t="str">
        <x:f>_xlfn.XLOOKUP($A453&amp;"|"&amp;$G453,'試行能力狀態'!$L$7:$L$258,'試行能力狀態'!$F$7:$F$258,"未建立",0)</x:f>
        <x:v>待主管核定</x:v>
      </x:c>
      <x:c r="N453" s="48" t="str">
        <x:f>IF($L453="◎","符合獨立",IF($L453="Ø","符合條件","不符合"))</x:f>
        <x:v>不符合</x:v>
      </x:c>
      <x:c r="O453" s="48" t="str">
        <x:f>_xlfn.XLOOKUP($A453&amp;"|李侑津醫師",'試行熟悉度'!$K$7:$K$20,'試行熟悉度'!$E$7:$E$20,"未評估",0)</x:f>
        <x:v>學習中</x:v>
      </x:c>
      <x:c r="P453" s="48" t="str">
        <x:f>_xlfn.XLOOKUP($A453&amp;"|李侑津醫師",'試行熟悉度'!$K$7:$K$20,'試行熟悉度'!$F$7:$F$20,"未建立",0)</x:f>
        <x:v>待主管核定</x:v>
      </x:c>
      <x:c r="Q453" s="39" t="str">
        <x:v>確認後才納入自動判定</x:v>
      </x:c>
    </x:row>
    <x:row r="454">
      <x:c r="A454" s="37" t="str">
        <x:v>1028</x:v>
      </x:c>
      <x:c r="B454" s="37" t="str"/>
      <x:c r="C454" s="37" t="str">
        <x:v>LJT-RPD</x:v>
      </x:c>
      <x:c r="D454" s="37" t="str">
        <x:v>RPD</x:v>
      </x:c>
      <x:c r="E454" s="37" t="str">
        <x:v>一般步驟</x:v>
      </x:c>
      <x:c r="F454" s="37" t="str">
        <x:v>一般</x:v>
      </x:c>
      <x:c r="G454" s="37" t="str">
        <x:v>COMMON-XRAY-RECORD</x:v>
      </x:c>
      <x:c r="H454" s="37" t="str">
        <x:v>待確認</x:v>
      </x:c>
      <x:c r="I454" s="37" t="str">
        <x:f>_xlfn.XLOOKUP($C454&amp;"|"&amp;$G454,'李醫師能力要求'!$M$7:$M$59,'李醫師能力要求'!$K$7:$K$59,"待確認",0)</x:f>
        <x:v>待確認</x:v>
      </x:c>
      <x:c r="J454" s="37" t="str">
        <x:v>◎</x:v>
      </x:c>
      <x:c r="K454" s="37" t="str">
        <x:v>Ø</x:v>
      </x:c>
      <x:c r="L454" s="48" t="str">
        <x:f>_xlfn.XLOOKUP($A454&amp;"|"&amp;$G454,'試行能力狀態'!$L$7:$L$258,'試行能力狀態'!$E$7:$E$258,"未評估",0)</x:f>
        <x:v>※</x:v>
      </x:c>
      <x:c r="M454" s="48" t="str">
        <x:f>_xlfn.XLOOKUP($A454&amp;"|"&amp;$G454,'試行能力狀態'!$L$7:$L$258,'試行能力狀態'!$F$7:$F$258,"未建立",0)</x:f>
        <x:v>待主管核定</x:v>
      </x:c>
      <x:c r="N454" s="48" t="str">
        <x:f>IF($L454="◎","符合獨立",IF($L454="Ø","符合條件","不符合"))</x:f>
        <x:v>不符合</x:v>
      </x:c>
      <x:c r="O454" s="48" t="str">
        <x:f>_xlfn.XLOOKUP($A454&amp;"|李侑津醫師",'試行熟悉度'!$K$7:$K$20,'試行熟悉度'!$E$7:$E$20,"未評估",0)</x:f>
        <x:v>學習中</x:v>
      </x:c>
      <x:c r="P454" s="48" t="str">
        <x:f>_xlfn.XLOOKUP($A454&amp;"|李侑津醫師",'試行熟悉度'!$K$7:$K$20,'試行熟悉度'!$F$7:$F$20,"未建立",0)</x:f>
        <x:v>待主管核定</x:v>
      </x:c>
      <x:c r="Q454" s="39" t="str">
        <x:v>確認後才納入自動判定</x:v>
      </x:c>
    </x:row>
    <x:row r="455">
      <x:c r="A455" s="37" t="str">
        <x:v>1028</x:v>
      </x:c>
      <x:c r="B455" s="37" t="str"/>
      <x:c r="C455" s="37" t="str">
        <x:v>LJT-RPD-FINAL</x:v>
      </x:c>
      <x:c r="D455" s="37" t="str">
        <x:v>RPD</x:v>
      </x:c>
      <x:c r="E455" s="37" t="str">
        <x:v>印最終模</x:v>
      </x:c>
      <x:c r="F455" s="37" t="str">
        <x:v>特殊階段</x:v>
      </x:c>
      <x:c r="G455" s="37" t="str">
        <x:v>LJT-PREP-RPD</x:v>
      </x:c>
      <x:c r="H455" s="37" t="str">
        <x:v>必備</x:v>
      </x:c>
      <x:c r="I455" s="37" t="str">
        <x:f>_xlfn.XLOOKUP($C455&amp;"|"&amp;$G455,'李醫師能力要求'!$M$7:$M$59,'李醫師能力要求'!$K$7:$K$59,"待確認",0)</x:f>
        <x:v>已確認</x:v>
      </x:c>
      <x:c r="J455" s="37" t="str">
        <x:v>◎</x:v>
      </x:c>
      <x:c r="K455" s="37" t="str">
        <x:v>Ø</x:v>
      </x:c>
      <x:c r="L455" s="48" t="str">
        <x:f>_xlfn.XLOOKUP($A455&amp;"|"&amp;$G455,'試行能力狀態'!$L$7:$L$258,'試行能力狀態'!$E$7:$E$258,"未評估",0)</x:f>
        <x:v>※</x:v>
      </x:c>
      <x:c r="M455" s="48" t="str">
        <x:f>_xlfn.XLOOKUP($A455&amp;"|"&amp;$G455,'試行能力狀態'!$L$7:$L$258,'試行能力狀態'!$F$7:$F$258,"未建立",0)</x:f>
        <x:v>待主管核定</x:v>
      </x:c>
      <x:c r="N455" s="48" t="str">
        <x:f>IF($L455="◎","符合獨立",IF($L455="Ø","符合條件","不符合"))</x:f>
        <x:v>不符合</x:v>
      </x:c>
      <x:c r="O455" s="48" t="str">
        <x:f>_xlfn.XLOOKUP($A455&amp;"|李侑津醫師",'試行熟悉度'!$K$7:$K$20,'試行熟悉度'!$E$7:$E$20,"未評估",0)</x:f>
        <x:v>學習中</x:v>
      </x:c>
      <x:c r="P455" s="48" t="str">
        <x:f>_xlfn.XLOOKUP($A455&amp;"|李侑津醫師",'試行熟悉度'!$K$7:$K$20,'試行熟悉度'!$F$7:$F$20,"未建立",0)</x:f>
        <x:v>待主管核定</x:v>
      </x:c>
      <x:c r="Q455" s="39" t="str">
        <x:v>依一般支援名額</x:v>
      </x:c>
    </x:row>
    <x:row r="456">
      <x:c r="A456" s="37" t="str">
        <x:v>1028</x:v>
      </x:c>
      <x:c r="B456" s="37" t="str"/>
      <x:c r="C456" s="37" t="str">
        <x:v>LJT-RPD-FINAL</x:v>
      </x:c>
      <x:c r="D456" s="37" t="str">
        <x:v>RPD</x:v>
      </x:c>
      <x:c r="E456" s="37" t="str">
        <x:v>印最終模</x:v>
      </x:c>
      <x:c r="F456" s="37" t="str">
        <x:v>特殊階段</x:v>
      </x:c>
      <x:c r="G456" s="37" t="str">
        <x:v>COMMON-RECORD</x:v>
      </x:c>
      <x:c r="H456" s="37" t="str">
        <x:v>待確認</x:v>
      </x:c>
      <x:c r="I456" s="37" t="str">
        <x:f>_xlfn.XLOOKUP($C456&amp;"|"&amp;$G456,'李醫師能力要求'!$M$7:$M$59,'李醫師能力要求'!$K$7:$K$59,"待確認",0)</x:f>
        <x:v>待確認</x:v>
      </x:c>
      <x:c r="J456" s="37" t="str">
        <x:v>◎</x:v>
      </x:c>
      <x:c r="K456" s="37" t="str">
        <x:v>Ø</x:v>
      </x:c>
      <x:c r="L456" s="48" t="str">
        <x:f>_xlfn.XLOOKUP($A456&amp;"|"&amp;$G456,'試行能力狀態'!$L$7:$L$258,'試行能力狀態'!$E$7:$E$258,"未評估",0)</x:f>
        <x:v>※</x:v>
      </x:c>
      <x:c r="M456" s="48" t="str">
        <x:f>_xlfn.XLOOKUP($A456&amp;"|"&amp;$G456,'試行能力狀態'!$L$7:$L$258,'試行能力狀態'!$F$7:$F$258,"未建立",0)</x:f>
        <x:v>待主管核定</x:v>
      </x:c>
      <x:c r="N456" s="48" t="str">
        <x:f>IF($L456="◎","符合獨立",IF($L456="Ø","符合條件","不符合"))</x:f>
        <x:v>不符合</x:v>
      </x:c>
      <x:c r="O456" s="48" t="str">
        <x:f>_xlfn.XLOOKUP($A456&amp;"|李侑津醫師",'試行熟悉度'!$K$7:$K$20,'試行熟悉度'!$E$7:$E$20,"未評估",0)</x:f>
        <x:v>學習中</x:v>
      </x:c>
      <x:c r="P456" s="48" t="str">
        <x:f>_xlfn.XLOOKUP($A456&amp;"|李侑津醫師",'試行熟悉度'!$K$7:$K$20,'試行熟悉度'!$F$7:$F$20,"未建立",0)</x:f>
        <x:v>待主管核定</x:v>
      </x:c>
      <x:c r="Q456" s="39" t="str">
        <x:v>確認後才納入自動判定</x:v>
      </x:c>
    </x:row>
    <x:row r="457">
      <x:c r="A457" s="37" t="str">
        <x:v>1028</x:v>
      </x:c>
      <x:c r="B457" s="37" t="str"/>
      <x:c r="C457" s="37" t="str">
        <x:v>LJT-RPD-FINAL</x:v>
      </x:c>
      <x:c r="D457" s="37" t="str">
        <x:v>RPD</x:v>
      </x:c>
      <x:c r="E457" s="37" t="str">
        <x:v>印最終模</x:v>
      </x:c>
      <x:c r="F457" s="37" t="str">
        <x:v>特殊階段</x:v>
      </x:c>
      <x:c r="G457" s="37" t="str">
        <x:v>COMMON-INSURANCE</x:v>
      </x:c>
      <x:c r="H457" s="37" t="str">
        <x:v>待確認</x:v>
      </x:c>
      <x:c r="I457" s="37" t="str">
        <x:f>_xlfn.XLOOKUP($C457&amp;"|"&amp;$G457,'李醫師能力要求'!$M$7:$M$59,'李醫師能力要求'!$K$7:$K$59,"待確認",0)</x:f>
        <x:v>待確認</x:v>
      </x:c>
      <x:c r="J457" s="37" t="str">
        <x:v>◎</x:v>
      </x:c>
      <x:c r="K457" s="37" t="str">
        <x:v>Ø</x:v>
      </x:c>
      <x:c r="L457" s="48" t="str">
        <x:f>_xlfn.XLOOKUP($A457&amp;"|"&amp;$G457,'試行能力狀態'!$L$7:$L$258,'試行能力狀態'!$E$7:$E$258,"未評估",0)</x:f>
        <x:v>※</x:v>
      </x:c>
      <x:c r="M457" s="48" t="str">
        <x:f>_xlfn.XLOOKUP($A457&amp;"|"&amp;$G457,'試行能力狀態'!$L$7:$L$258,'試行能力狀態'!$F$7:$F$258,"未建立",0)</x:f>
        <x:v>待主管核定</x:v>
      </x:c>
      <x:c r="N457" s="48" t="str">
        <x:f>IF($L457="◎","符合獨立",IF($L457="Ø","符合條件","不符合"))</x:f>
        <x:v>不符合</x:v>
      </x:c>
      <x:c r="O457" s="48" t="str">
        <x:f>_xlfn.XLOOKUP($A457&amp;"|李侑津醫師",'試行熟悉度'!$K$7:$K$20,'試行熟悉度'!$E$7:$E$20,"未評估",0)</x:f>
        <x:v>學習中</x:v>
      </x:c>
      <x:c r="P457" s="48" t="str">
        <x:f>_xlfn.XLOOKUP($A457&amp;"|李侑津醫師",'試行熟悉度'!$K$7:$K$20,'試行熟悉度'!$F$7:$F$20,"未建立",0)</x:f>
        <x:v>待主管核定</x:v>
      </x:c>
      <x:c r="Q457" s="39" t="str">
        <x:v>確認後才納入自動判定</x:v>
      </x:c>
    </x:row>
    <x:row r="458">
      <x:c r="A458" s="37" t="str">
        <x:v>1028</x:v>
      </x:c>
      <x:c r="B458" s="37" t="str"/>
      <x:c r="C458" s="37" t="str">
        <x:v>LJT-RPD-FINAL</x:v>
      </x:c>
      <x:c r="D458" s="37" t="str">
        <x:v>RPD</x:v>
      </x:c>
      <x:c r="E458" s="37" t="str">
        <x:v>印最終模</x:v>
      </x:c>
      <x:c r="F458" s="37" t="str">
        <x:v>特殊階段</x:v>
      </x:c>
      <x:c r="G458" s="37" t="str">
        <x:v>COMMON-XRAY-RECORD</x:v>
      </x:c>
      <x:c r="H458" s="37" t="str">
        <x:v>待確認</x:v>
      </x:c>
      <x:c r="I458" s="37" t="str">
        <x:f>_xlfn.XLOOKUP($C458&amp;"|"&amp;$G458,'李醫師能力要求'!$M$7:$M$59,'李醫師能力要求'!$K$7:$K$59,"待確認",0)</x:f>
        <x:v>待確認</x:v>
      </x:c>
      <x:c r="J458" s="37" t="str">
        <x:v>◎</x:v>
      </x:c>
      <x:c r="K458" s="37" t="str">
        <x:v>Ø</x:v>
      </x:c>
      <x:c r="L458" s="48" t="str">
        <x:f>_xlfn.XLOOKUP($A458&amp;"|"&amp;$G458,'試行能力狀態'!$L$7:$L$258,'試行能力狀態'!$E$7:$E$258,"未評估",0)</x:f>
        <x:v>※</x:v>
      </x:c>
      <x:c r="M458" s="48" t="str">
        <x:f>_xlfn.XLOOKUP($A458&amp;"|"&amp;$G458,'試行能力狀態'!$L$7:$L$258,'試行能力狀態'!$F$7:$F$258,"未建立",0)</x:f>
        <x:v>待主管核定</x:v>
      </x:c>
      <x:c r="N458" s="48" t="str">
        <x:f>IF($L458="◎","符合獨立",IF($L458="Ø","符合條件","不符合"))</x:f>
        <x:v>不符合</x:v>
      </x:c>
      <x:c r="O458" s="48" t="str">
        <x:f>_xlfn.XLOOKUP($A458&amp;"|李侑津醫師",'試行熟悉度'!$K$7:$K$20,'試行熟悉度'!$E$7:$E$20,"未評估",0)</x:f>
        <x:v>學習中</x:v>
      </x:c>
      <x:c r="P458" s="48" t="str">
        <x:f>_xlfn.XLOOKUP($A458&amp;"|李侑津醫師",'試行熟悉度'!$K$7:$K$20,'試行熟悉度'!$F$7:$F$20,"未建立",0)</x:f>
        <x:v>待主管核定</x:v>
      </x:c>
      <x:c r="Q458" s="39" t="str">
        <x:v>確認後才納入自動判定</x:v>
      </x:c>
    </x:row>
    <x:row r="459">
      <x:c r="A459" s="37" t="str">
        <x:v>1028</x:v>
      </x:c>
      <x:c r="B459" s="37" t="str"/>
      <x:c r="C459" s="37" t="str">
        <x:v>LJT-AIRPOLISH</x:v>
      </x:c>
      <x:c r="D459" s="37" t="str">
        <x:v>噴砂美白</x:v>
      </x:c>
      <x:c r="E459" s="37" t="str">
        <x:v>一般</x:v>
      </x:c>
      <x:c r="F459" s="37" t="str">
        <x:v>一般</x:v>
      </x:c>
      <x:c r="G459" s="37" t="str">
        <x:v>LJT-PREP-AIRPOLISH</x:v>
      </x:c>
      <x:c r="H459" s="37" t="str">
        <x:v>必備</x:v>
      </x:c>
      <x:c r="I459" s="37" t="str">
        <x:f>_xlfn.XLOOKUP($C459&amp;"|"&amp;$G459,'李醫師能力要求'!$M$7:$M$59,'李醫師能力要求'!$K$7:$K$59,"待確認",0)</x:f>
        <x:v>已確認</x:v>
      </x:c>
      <x:c r="J459" s="37" t="str">
        <x:v>◎</x:v>
      </x:c>
      <x:c r="K459" s="37" t="str">
        <x:v>Ø</x:v>
      </x:c>
      <x:c r="L459" s="48" t="str">
        <x:f>_xlfn.XLOOKUP($A459&amp;"|"&amp;$G459,'試行能力狀態'!$L$7:$L$258,'試行能力狀態'!$E$7:$E$258,"未評估",0)</x:f>
        <x:v>※</x:v>
      </x:c>
      <x:c r="M459" s="48" t="str">
        <x:f>_xlfn.XLOOKUP($A459&amp;"|"&amp;$G459,'試行能力狀態'!$L$7:$L$258,'試行能力狀態'!$F$7:$F$258,"未建立",0)</x:f>
        <x:v>待主管核定</x:v>
      </x:c>
      <x:c r="N459" s="48" t="str">
        <x:f>IF($L459="◎","符合獨立",IF($L459="Ø","符合條件","不符合"))</x:f>
        <x:v>不符合</x:v>
      </x:c>
      <x:c r="O459" s="48" t="str">
        <x:f>_xlfn.XLOOKUP($A459&amp;"|李侑津醫師",'試行熟悉度'!$K$7:$K$20,'試行熟悉度'!$E$7:$E$20,"未評估",0)</x:f>
        <x:v>學習中</x:v>
      </x:c>
      <x:c r="P459" s="48" t="str">
        <x:f>_xlfn.XLOOKUP($A459&amp;"|李侑津醫師",'試行熟悉度'!$K$7:$K$20,'試行熟悉度'!$F$7:$F$20,"未建立",0)</x:f>
        <x:v>待主管核定</x:v>
      </x:c>
      <x:c r="Q459" s="39" t="str">
        <x:v>依一般支援名額</x:v>
      </x:c>
    </x:row>
    <x:row r="460">
      <x:c r="A460" s="37" t="str">
        <x:v>1028</x:v>
      </x:c>
      <x:c r="B460" s="37" t="str"/>
      <x:c r="C460" s="37" t="str">
        <x:v>LJT-AIRPOLISH</x:v>
      </x:c>
      <x:c r="D460" s="37" t="str">
        <x:v>噴砂美白</x:v>
      </x:c>
      <x:c r="E460" s="37" t="str">
        <x:v>一般</x:v>
      </x:c>
      <x:c r="F460" s="37" t="str">
        <x:v>一般</x:v>
      </x:c>
      <x:c r="G460" s="37" t="str">
        <x:v>COMMON-RECORD</x:v>
      </x:c>
      <x:c r="H460" s="37" t="str">
        <x:v>待確認</x:v>
      </x:c>
      <x:c r="I460" s="37" t="str">
        <x:f>_xlfn.XLOOKUP($C460&amp;"|"&amp;$G460,'李醫師能力要求'!$M$7:$M$59,'李醫師能力要求'!$K$7:$K$59,"待確認",0)</x:f>
        <x:v>待確認</x:v>
      </x:c>
      <x:c r="J460" s="37" t="str">
        <x:v>◎</x:v>
      </x:c>
      <x:c r="K460" s="37" t="str">
        <x:v>Ø</x:v>
      </x:c>
      <x:c r="L460" s="48" t="str">
        <x:f>_xlfn.XLOOKUP($A460&amp;"|"&amp;$G460,'試行能力狀態'!$L$7:$L$258,'試行能力狀態'!$E$7:$E$258,"未評估",0)</x:f>
        <x:v>※</x:v>
      </x:c>
      <x:c r="M460" s="48" t="str">
        <x:f>_xlfn.XLOOKUP($A460&amp;"|"&amp;$G460,'試行能力狀態'!$L$7:$L$258,'試行能力狀態'!$F$7:$F$258,"未建立",0)</x:f>
        <x:v>待主管核定</x:v>
      </x:c>
      <x:c r="N460" s="48" t="str">
        <x:f>IF($L460="◎","符合獨立",IF($L460="Ø","符合條件","不符合"))</x:f>
        <x:v>不符合</x:v>
      </x:c>
      <x:c r="O460" s="48" t="str">
        <x:f>_xlfn.XLOOKUP($A460&amp;"|李侑津醫師",'試行熟悉度'!$K$7:$K$20,'試行熟悉度'!$E$7:$E$20,"未評估",0)</x:f>
        <x:v>學習中</x:v>
      </x:c>
      <x:c r="P460" s="48" t="str">
        <x:f>_xlfn.XLOOKUP($A460&amp;"|李侑津醫師",'試行熟悉度'!$K$7:$K$20,'試行熟悉度'!$F$7:$F$20,"未建立",0)</x:f>
        <x:v>待主管核定</x:v>
      </x:c>
      <x:c r="Q460" s="39" t="str">
        <x:v>確認後才納入自動判定</x:v>
      </x:c>
    </x:row>
    <x:row r="461">
      <x:c r="A461" s="37" t="str">
        <x:v>1028</x:v>
      </x:c>
      <x:c r="B461" s="37" t="str"/>
      <x:c r="C461" s="37" t="str">
        <x:v>LJT-AIRPOLISH</x:v>
      </x:c>
      <x:c r="D461" s="37" t="str">
        <x:v>噴砂美白</x:v>
      </x:c>
      <x:c r="E461" s="37" t="str">
        <x:v>一般</x:v>
      </x:c>
      <x:c r="F461" s="37" t="str">
        <x:v>一般</x:v>
      </x:c>
      <x:c r="G461" s="37" t="str">
        <x:v>COMMON-INSURANCE</x:v>
      </x:c>
      <x:c r="H461" s="37" t="str">
        <x:v>待確認</x:v>
      </x:c>
      <x:c r="I461" s="37" t="str">
        <x:f>_xlfn.XLOOKUP($C461&amp;"|"&amp;$G461,'李醫師能力要求'!$M$7:$M$59,'李醫師能力要求'!$K$7:$K$59,"待確認",0)</x:f>
        <x:v>待確認</x:v>
      </x:c>
      <x:c r="J461" s="37" t="str">
        <x:v>◎</x:v>
      </x:c>
      <x:c r="K461" s="37" t="str">
        <x:v>Ø</x:v>
      </x:c>
      <x:c r="L461" s="48" t="str">
        <x:f>_xlfn.XLOOKUP($A461&amp;"|"&amp;$G461,'試行能力狀態'!$L$7:$L$258,'試行能力狀態'!$E$7:$E$258,"未評估",0)</x:f>
        <x:v>※</x:v>
      </x:c>
      <x:c r="M461" s="48" t="str">
        <x:f>_xlfn.XLOOKUP($A461&amp;"|"&amp;$G461,'試行能力狀態'!$L$7:$L$258,'試行能力狀態'!$F$7:$F$258,"未建立",0)</x:f>
        <x:v>待主管核定</x:v>
      </x:c>
      <x:c r="N461" s="48" t="str">
        <x:f>IF($L461="◎","符合獨立",IF($L461="Ø","符合條件","不符合"))</x:f>
        <x:v>不符合</x:v>
      </x:c>
      <x:c r="O461" s="48" t="str">
        <x:f>_xlfn.XLOOKUP($A461&amp;"|李侑津醫師",'試行熟悉度'!$K$7:$K$20,'試行熟悉度'!$E$7:$E$20,"未評估",0)</x:f>
        <x:v>學習中</x:v>
      </x:c>
      <x:c r="P461" s="48" t="str">
        <x:f>_xlfn.XLOOKUP($A461&amp;"|李侑津醫師",'試行熟悉度'!$K$7:$K$20,'試行熟悉度'!$F$7:$F$20,"未建立",0)</x:f>
        <x:v>待主管核定</x:v>
      </x:c>
      <x:c r="Q461" s="39" t="str">
        <x:v>確認後才納入自動判定</x:v>
      </x:c>
    </x:row>
    <x:row r="462">
      <x:c r="A462" s="37" t="str">
        <x:v>1028</x:v>
      </x:c>
      <x:c r="B462" s="37" t="str"/>
      <x:c r="C462" s="37" t="str">
        <x:v>LJT-AIRPOLISH</x:v>
      </x:c>
      <x:c r="D462" s="37" t="str">
        <x:v>噴砂美白</x:v>
      </x:c>
      <x:c r="E462" s="37" t="str">
        <x:v>一般</x:v>
      </x:c>
      <x:c r="F462" s="37" t="str">
        <x:v>一般</x:v>
      </x:c>
      <x:c r="G462" s="37" t="str">
        <x:v>COMMON-XRAY-RECORD</x:v>
      </x:c>
      <x:c r="H462" s="37" t="str">
        <x:v>待確認</x:v>
      </x:c>
      <x:c r="I462" s="37" t="str">
        <x:f>_xlfn.XLOOKUP($C462&amp;"|"&amp;$G462,'李醫師能力要求'!$M$7:$M$59,'李醫師能力要求'!$K$7:$K$59,"待確認",0)</x:f>
        <x:v>待確認</x:v>
      </x:c>
      <x:c r="J462" s="37" t="str">
        <x:v>◎</x:v>
      </x:c>
      <x:c r="K462" s="37" t="str">
        <x:v>Ø</x:v>
      </x:c>
      <x:c r="L462" s="48" t="str">
        <x:f>_xlfn.XLOOKUP($A462&amp;"|"&amp;$G462,'試行能力狀態'!$L$7:$L$258,'試行能力狀態'!$E$7:$E$258,"未評估",0)</x:f>
        <x:v>※</x:v>
      </x:c>
      <x:c r="M462" s="48" t="str">
        <x:f>_xlfn.XLOOKUP($A462&amp;"|"&amp;$G462,'試行能力狀態'!$L$7:$L$258,'試行能力狀態'!$F$7:$F$258,"未建立",0)</x:f>
        <x:v>待主管核定</x:v>
      </x:c>
      <x:c r="N462" s="48" t="str">
        <x:f>IF($L462="◎","符合獨立",IF($L462="Ø","符合條件","不符合"))</x:f>
        <x:v>不符合</x:v>
      </x:c>
      <x:c r="O462" s="48" t="str">
        <x:f>_xlfn.XLOOKUP($A462&amp;"|李侑津醫師",'試行熟悉度'!$K$7:$K$20,'試行熟悉度'!$E$7:$E$20,"未評估",0)</x:f>
        <x:v>學習中</x:v>
      </x:c>
      <x:c r="P462" s="48" t="str">
        <x:f>_xlfn.XLOOKUP($A462&amp;"|李侑津醫師",'試行熟悉度'!$K$7:$K$20,'試行熟悉度'!$F$7:$F$20,"未建立",0)</x:f>
        <x:v>待主管核定</x:v>
      </x:c>
      <x:c r="Q462" s="39" t="str">
        <x:v>確認後才納入自動判定</x:v>
      </x:c>
    </x:row>
    <x:row r="463">
      <x:c r="A463" s="37" t="str">
        <x:v>1028</x:v>
      </x:c>
      <x:c r="B463" s="37" t="str"/>
      <x:c r="C463" s="37" t="str">
        <x:v>LJT-PERIOSURG</x:v>
      </x:c>
      <x:c r="D463" s="37" t="str">
        <x:v>牙周手術</x:v>
      </x:c>
      <x:c r="E463" s="37" t="str">
        <x:v>一般</x:v>
      </x:c>
      <x:c r="F463" s="37" t="str">
        <x:v>高複雜度</x:v>
      </x:c>
      <x:c r="G463" s="37" t="str">
        <x:v>LJT-PREP-PERIOSURG</x:v>
      </x:c>
      <x:c r="H463" s="37" t="str">
        <x:v>必備</x:v>
      </x:c>
      <x:c r="I463" s="37" t="str">
        <x:f>_xlfn.XLOOKUP($C463&amp;"|"&amp;$G463,'李醫師能力要求'!$M$7:$M$59,'李醫師能力要求'!$K$7:$K$59,"待確認",0)</x:f>
        <x:v>已確認</x:v>
      </x:c>
      <x:c r="J463" s="37" t="str">
        <x:v>◎</x:v>
      </x:c>
      <x:c r="K463" s="37" t="str">
        <x:v>Ø</x:v>
      </x:c>
      <x:c r="L463" s="48" t="str">
        <x:f>_xlfn.XLOOKUP($A463&amp;"|"&amp;$G463,'試行能力狀態'!$L$7:$L$258,'試行能力狀態'!$E$7:$E$258,"未評估",0)</x:f>
        <x:v>※</x:v>
      </x:c>
      <x:c r="M463" s="48" t="str">
        <x:f>_xlfn.XLOOKUP($A463&amp;"|"&amp;$G463,'試行能力狀態'!$L$7:$L$258,'試行能力狀態'!$F$7:$F$258,"未建立",0)</x:f>
        <x:v>待主管核定</x:v>
      </x:c>
      <x:c r="N463" s="48" t="str">
        <x:f>IF($L463="◎","符合獨立",IF($L463="Ø","符合條件","不符合"))</x:f>
        <x:v>不符合</x:v>
      </x:c>
      <x:c r="O463" s="48" t="str">
        <x:f>_xlfn.XLOOKUP($A463&amp;"|李侑津醫師",'試行熟悉度'!$K$7:$K$20,'試行熟悉度'!$E$7:$E$20,"未評估",0)</x:f>
        <x:v>學習中</x:v>
      </x:c>
      <x:c r="P463" s="48" t="str">
        <x:f>_xlfn.XLOOKUP($A463&amp;"|李侑津醫師",'試行熟悉度'!$K$7:$K$20,'試行熟悉度'!$F$7:$F$20,"未建立",0)</x:f>
        <x:v>待主管核定</x:v>
      </x:c>
      <x:c r="Q463" s="39" t="str">
        <x:v>Ø 時完整支援者 1:1</x:v>
      </x:c>
    </x:row>
    <x:row r="464">
      <x:c r="A464" s="37" t="str">
        <x:v>1028</x:v>
      </x:c>
      <x:c r="B464" s="37" t="str"/>
      <x:c r="C464" s="37" t="str">
        <x:v>LJT-PERIOSURG</x:v>
      </x:c>
      <x:c r="D464" s="37" t="str">
        <x:v>牙周手術</x:v>
      </x:c>
      <x:c r="E464" s="37" t="str">
        <x:v>一般</x:v>
      </x:c>
      <x:c r="F464" s="37" t="str">
        <x:v>高複雜度</x:v>
      </x:c>
      <x:c r="G464" s="37" t="str">
        <x:v>COMMON-RECORD</x:v>
      </x:c>
      <x:c r="H464" s="37" t="str">
        <x:v>待確認</x:v>
      </x:c>
      <x:c r="I464" s="37" t="str">
        <x:f>_xlfn.XLOOKUP($C464&amp;"|"&amp;$G464,'李醫師能力要求'!$M$7:$M$59,'李醫師能力要求'!$K$7:$K$59,"待確認",0)</x:f>
        <x:v>待確認</x:v>
      </x:c>
      <x:c r="J464" s="37" t="str">
        <x:v>◎</x:v>
      </x:c>
      <x:c r="K464" s="37" t="str">
        <x:v>Ø</x:v>
      </x:c>
      <x:c r="L464" s="48" t="str">
        <x:f>_xlfn.XLOOKUP($A464&amp;"|"&amp;$G464,'試行能力狀態'!$L$7:$L$258,'試行能力狀態'!$E$7:$E$258,"未評估",0)</x:f>
        <x:v>※</x:v>
      </x:c>
      <x:c r="M464" s="48" t="str">
        <x:f>_xlfn.XLOOKUP($A464&amp;"|"&amp;$G464,'試行能力狀態'!$L$7:$L$258,'試行能力狀態'!$F$7:$F$258,"未建立",0)</x:f>
        <x:v>待主管核定</x:v>
      </x:c>
      <x:c r="N464" s="48" t="str">
        <x:f>IF($L464="◎","符合獨立",IF($L464="Ø","符合條件","不符合"))</x:f>
        <x:v>不符合</x:v>
      </x:c>
      <x:c r="O464" s="48" t="str">
        <x:f>_xlfn.XLOOKUP($A464&amp;"|李侑津醫師",'試行熟悉度'!$K$7:$K$20,'試行熟悉度'!$E$7:$E$20,"未評估",0)</x:f>
        <x:v>學習中</x:v>
      </x:c>
      <x:c r="P464" s="48" t="str">
        <x:f>_xlfn.XLOOKUP($A464&amp;"|李侑津醫師",'試行熟悉度'!$K$7:$K$20,'試行熟悉度'!$F$7:$F$20,"未建立",0)</x:f>
        <x:v>待主管核定</x:v>
      </x:c>
      <x:c r="Q464" s="39" t="str">
        <x:v>確認後才納入自動判定</x:v>
      </x:c>
    </x:row>
    <x:row r="465">
      <x:c r="A465" s="37" t="str">
        <x:v>1028</x:v>
      </x:c>
      <x:c r="B465" s="37" t="str"/>
      <x:c r="C465" s="37" t="str">
        <x:v>LJT-PERIOSURG</x:v>
      </x:c>
      <x:c r="D465" s="37" t="str">
        <x:v>牙周手術</x:v>
      </x:c>
      <x:c r="E465" s="37" t="str">
        <x:v>一般</x:v>
      </x:c>
      <x:c r="F465" s="37" t="str">
        <x:v>高複雜度</x:v>
      </x:c>
      <x:c r="G465" s="37" t="str">
        <x:v>COMMON-INSURANCE</x:v>
      </x:c>
      <x:c r="H465" s="37" t="str">
        <x:v>待確認</x:v>
      </x:c>
      <x:c r="I465" s="37" t="str">
        <x:f>_xlfn.XLOOKUP($C465&amp;"|"&amp;$G465,'李醫師能力要求'!$M$7:$M$59,'李醫師能力要求'!$K$7:$K$59,"待確認",0)</x:f>
        <x:v>待確認</x:v>
      </x:c>
      <x:c r="J465" s="37" t="str">
        <x:v>◎</x:v>
      </x:c>
      <x:c r="K465" s="37" t="str">
        <x:v>Ø</x:v>
      </x:c>
      <x:c r="L465" s="48" t="str">
        <x:f>_xlfn.XLOOKUP($A465&amp;"|"&amp;$G465,'試行能力狀態'!$L$7:$L$258,'試行能力狀態'!$E$7:$E$258,"未評估",0)</x:f>
        <x:v>※</x:v>
      </x:c>
      <x:c r="M465" s="48" t="str">
        <x:f>_xlfn.XLOOKUP($A465&amp;"|"&amp;$G465,'試行能力狀態'!$L$7:$L$258,'試行能力狀態'!$F$7:$F$258,"未建立",0)</x:f>
        <x:v>待主管核定</x:v>
      </x:c>
      <x:c r="N465" s="48" t="str">
        <x:f>IF($L465="◎","符合獨立",IF($L465="Ø","符合條件","不符合"))</x:f>
        <x:v>不符合</x:v>
      </x:c>
      <x:c r="O465" s="48" t="str">
        <x:f>_xlfn.XLOOKUP($A465&amp;"|李侑津醫師",'試行熟悉度'!$K$7:$K$20,'試行熟悉度'!$E$7:$E$20,"未評估",0)</x:f>
        <x:v>學習中</x:v>
      </x:c>
      <x:c r="P465" s="48" t="str">
        <x:f>_xlfn.XLOOKUP($A465&amp;"|李侑津醫師",'試行熟悉度'!$K$7:$K$20,'試行熟悉度'!$F$7:$F$20,"未建立",0)</x:f>
        <x:v>待主管核定</x:v>
      </x:c>
      <x:c r="Q465" s="39" t="str">
        <x:v>確認後才納入自動判定</x:v>
      </x:c>
    </x:row>
    <x:row r="466">
      <x:c r="A466" s="37" t="str">
        <x:v>1028</x:v>
      </x:c>
      <x:c r="B466" s="37" t="str"/>
      <x:c r="C466" s="37" t="str">
        <x:v>LJT-PERIOSURG</x:v>
      </x:c>
      <x:c r="D466" s="37" t="str">
        <x:v>牙周手術</x:v>
      </x:c>
      <x:c r="E466" s="37" t="str">
        <x:v>一般</x:v>
      </x:c>
      <x:c r="F466" s="37" t="str">
        <x:v>高複雜度</x:v>
      </x:c>
      <x:c r="G466" s="37" t="str">
        <x:v>COMMON-XRAY-RECORD</x:v>
      </x:c>
      <x:c r="H466" s="37" t="str">
        <x:v>待確認</x:v>
      </x:c>
      <x:c r="I466" s="37" t="str">
        <x:f>_xlfn.XLOOKUP($C466&amp;"|"&amp;$G466,'李醫師能力要求'!$M$7:$M$59,'李醫師能力要求'!$K$7:$K$59,"待確認",0)</x:f>
        <x:v>待確認</x:v>
      </x:c>
      <x:c r="J466" s="37" t="str">
        <x:v>◎</x:v>
      </x:c>
      <x:c r="K466" s="37" t="str">
        <x:v>Ø</x:v>
      </x:c>
      <x:c r="L466" s="48" t="str">
        <x:f>_xlfn.XLOOKUP($A466&amp;"|"&amp;$G466,'試行能力狀態'!$L$7:$L$258,'試行能力狀態'!$E$7:$E$258,"未評估",0)</x:f>
        <x:v>※</x:v>
      </x:c>
      <x:c r="M466" s="48" t="str">
        <x:f>_xlfn.XLOOKUP($A466&amp;"|"&amp;$G466,'試行能力狀態'!$L$7:$L$258,'試行能力狀態'!$F$7:$F$258,"未建立",0)</x:f>
        <x:v>待主管核定</x:v>
      </x:c>
      <x:c r="N466" s="48" t="str">
        <x:f>IF($L466="◎","符合獨立",IF($L466="Ø","符合條件","不符合"))</x:f>
        <x:v>不符合</x:v>
      </x:c>
      <x:c r="O466" s="48" t="str">
        <x:f>_xlfn.XLOOKUP($A466&amp;"|李侑津醫師",'試行熟悉度'!$K$7:$K$20,'試行熟悉度'!$E$7:$E$20,"未評估",0)</x:f>
        <x:v>學習中</x:v>
      </x:c>
      <x:c r="P466" s="48" t="str">
        <x:f>_xlfn.XLOOKUP($A466&amp;"|李侑津醫師",'試行熟悉度'!$K$7:$K$20,'試行熟悉度'!$F$7:$F$20,"未建立",0)</x:f>
        <x:v>待主管核定</x:v>
      </x:c>
      <x:c r="Q466" s="39" t="str">
        <x:v>確認後才納入自動判定</x:v>
      </x:c>
    </x:row>
    <x:row r="467">
      <x:c r="A467" s="37" t="str">
        <x:v>1028</x:v>
      </x:c>
      <x:c r="B467" s="37" t="str"/>
      <x:c r="C467" s="37" t="str">
        <x:v>LJT-MICROENDO</x:v>
      </x:c>
      <x:c r="D467" s="37" t="str">
        <x:v>顯微根管</x:v>
      </x:c>
      <x:c r="E467" s="37" t="str">
        <x:v>一般</x:v>
      </x:c>
      <x:c r="F467" s="37" t="str">
        <x:v>高複雜度</x:v>
      </x:c>
      <x:c r="G467" s="37" t="str">
        <x:v>LJT-PREP-MICROENDO</x:v>
      </x:c>
      <x:c r="H467" s="37" t="str">
        <x:v>必備</x:v>
      </x:c>
      <x:c r="I467" s="37" t="str">
        <x:f>_xlfn.XLOOKUP($C467&amp;"|"&amp;$G467,'李醫師能力要求'!$M$7:$M$59,'李醫師能力要求'!$K$7:$K$59,"待確認",0)</x:f>
        <x:v>已確認</x:v>
      </x:c>
      <x:c r="J467" s="37" t="str">
        <x:v>◎</x:v>
      </x:c>
      <x:c r="K467" s="37" t="str">
        <x:v>Ø</x:v>
      </x:c>
      <x:c r="L467" s="48" t="str">
        <x:f>_xlfn.XLOOKUP($A467&amp;"|"&amp;$G467,'試行能力狀態'!$L$7:$L$258,'試行能力狀態'!$E$7:$E$258,"未評估",0)</x:f>
        <x:v>※</x:v>
      </x:c>
      <x:c r="M467" s="48" t="str">
        <x:f>_xlfn.XLOOKUP($A467&amp;"|"&amp;$G467,'試行能力狀態'!$L$7:$L$258,'試行能力狀態'!$F$7:$F$258,"未建立",0)</x:f>
        <x:v>待主管核定</x:v>
      </x:c>
      <x:c r="N467" s="48" t="str">
        <x:f>IF($L467="◎","符合獨立",IF($L467="Ø","符合條件","不符合"))</x:f>
        <x:v>不符合</x:v>
      </x:c>
      <x:c r="O467" s="48" t="str">
        <x:f>_xlfn.XLOOKUP($A467&amp;"|李侑津醫師",'試行熟悉度'!$K$7:$K$20,'試行熟悉度'!$E$7:$E$20,"未評估",0)</x:f>
        <x:v>學習中</x:v>
      </x:c>
      <x:c r="P467" s="48" t="str">
        <x:f>_xlfn.XLOOKUP($A467&amp;"|李侑津醫師",'試行熟悉度'!$K$7:$K$20,'試行熟悉度'!$F$7:$F$20,"未建立",0)</x:f>
        <x:v>待主管核定</x:v>
      </x:c>
      <x:c r="Q467" s="39" t="str">
        <x:v>Ø 時完整支援者 1:1</x:v>
      </x:c>
    </x:row>
    <x:row r="468">
      <x:c r="A468" s="37" t="str">
        <x:v>1028</x:v>
      </x:c>
      <x:c r="B468" s="37" t="str"/>
      <x:c r="C468" s="37" t="str">
        <x:v>LJT-MICROENDO</x:v>
      </x:c>
      <x:c r="D468" s="37" t="str">
        <x:v>顯微根管</x:v>
      </x:c>
      <x:c r="E468" s="37" t="str">
        <x:v>一般</x:v>
      </x:c>
      <x:c r="F468" s="37" t="str">
        <x:v>高複雜度</x:v>
      </x:c>
      <x:c r="G468" s="37" t="str">
        <x:v>COMMON-RECORD</x:v>
      </x:c>
      <x:c r="H468" s="37" t="str">
        <x:v>待確認</x:v>
      </x:c>
      <x:c r="I468" s="37" t="str">
        <x:f>_xlfn.XLOOKUP($C468&amp;"|"&amp;$G468,'李醫師能力要求'!$M$7:$M$59,'李醫師能力要求'!$K$7:$K$59,"待確認",0)</x:f>
        <x:v>待確認</x:v>
      </x:c>
      <x:c r="J468" s="37" t="str">
        <x:v>◎</x:v>
      </x:c>
      <x:c r="K468" s="37" t="str">
        <x:v>Ø</x:v>
      </x:c>
      <x:c r="L468" s="48" t="str">
        <x:f>_xlfn.XLOOKUP($A468&amp;"|"&amp;$G468,'試行能力狀態'!$L$7:$L$258,'試行能力狀態'!$E$7:$E$258,"未評估",0)</x:f>
        <x:v>※</x:v>
      </x:c>
      <x:c r="M468" s="48" t="str">
        <x:f>_xlfn.XLOOKUP($A468&amp;"|"&amp;$G468,'試行能力狀態'!$L$7:$L$258,'試行能力狀態'!$F$7:$F$258,"未建立",0)</x:f>
        <x:v>待主管核定</x:v>
      </x:c>
      <x:c r="N468" s="48" t="str">
        <x:f>IF($L468="◎","符合獨立",IF($L468="Ø","符合條件","不符合"))</x:f>
        <x:v>不符合</x:v>
      </x:c>
      <x:c r="O468" s="48" t="str">
        <x:f>_xlfn.XLOOKUP($A468&amp;"|李侑津醫師",'試行熟悉度'!$K$7:$K$20,'試行熟悉度'!$E$7:$E$20,"未評估",0)</x:f>
        <x:v>學習中</x:v>
      </x:c>
      <x:c r="P468" s="48" t="str">
        <x:f>_xlfn.XLOOKUP($A468&amp;"|李侑津醫師",'試行熟悉度'!$K$7:$K$20,'試行熟悉度'!$F$7:$F$20,"未建立",0)</x:f>
        <x:v>待主管核定</x:v>
      </x:c>
      <x:c r="Q468" s="39" t="str">
        <x:v>確認後才納入自動判定</x:v>
      </x:c>
    </x:row>
    <x:row r="469">
      <x:c r="A469" s="37" t="str">
        <x:v>1028</x:v>
      </x:c>
      <x:c r="B469" s="37" t="str"/>
      <x:c r="C469" s="37" t="str">
        <x:v>LJT-MICROENDO</x:v>
      </x:c>
      <x:c r="D469" s="37" t="str">
        <x:v>顯微根管</x:v>
      </x:c>
      <x:c r="E469" s="37" t="str">
        <x:v>一般</x:v>
      </x:c>
      <x:c r="F469" s="37" t="str">
        <x:v>高複雜度</x:v>
      </x:c>
      <x:c r="G469" s="37" t="str">
        <x:v>COMMON-INSURANCE</x:v>
      </x:c>
      <x:c r="H469" s="37" t="str">
        <x:v>待確認</x:v>
      </x:c>
      <x:c r="I469" s="37" t="str">
        <x:f>_xlfn.XLOOKUP($C469&amp;"|"&amp;$G469,'李醫師能力要求'!$M$7:$M$59,'李醫師能力要求'!$K$7:$K$59,"待確認",0)</x:f>
        <x:v>待確認</x:v>
      </x:c>
      <x:c r="J469" s="37" t="str">
        <x:v>◎</x:v>
      </x:c>
      <x:c r="K469" s="37" t="str">
        <x:v>Ø</x:v>
      </x:c>
      <x:c r="L469" s="48" t="str">
        <x:f>_xlfn.XLOOKUP($A469&amp;"|"&amp;$G469,'試行能力狀態'!$L$7:$L$258,'試行能力狀態'!$E$7:$E$258,"未評估",0)</x:f>
        <x:v>※</x:v>
      </x:c>
      <x:c r="M469" s="48" t="str">
        <x:f>_xlfn.XLOOKUP($A469&amp;"|"&amp;$G469,'試行能力狀態'!$L$7:$L$258,'試行能力狀態'!$F$7:$F$258,"未建立",0)</x:f>
        <x:v>待主管核定</x:v>
      </x:c>
      <x:c r="N469" s="48" t="str">
        <x:f>IF($L469="◎","符合獨立",IF($L469="Ø","符合條件","不符合"))</x:f>
        <x:v>不符合</x:v>
      </x:c>
      <x:c r="O469" s="48" t="str">
        <x:f>_xlfn.XLOOKUP($A469&amp;"|李侑津醫師",'試行熟悉度'!$K$7:$K$20,'試行熟悉度'!$E$7:$E$20,"未評估",0)</x:f>
        <x:v>學習中</x:v>
      </x:c>
      <x:c r="P469" s="48" t="str">
        <x:f>_xlfn.XLOOKUP($A469&amp;"|李侑津醫師",'試行熟悉度'!$K$7:$K$20,'試行熟悉度'!$F$7:$F$20,"未建立",0)</x:f>
        <x:v>待主管核定</x:v>
      </x:c>
      <x:c r="Q469" s="39" t="str">
        <x:v>確認後才納入自動判定</x:v>
      </x:c>
    </x:row>
    <x:row r="470">
      <x:c r="A470" s="37" t="str">
        <x:v>1028</x:v>
      </x:c>
      <x:c r="B470" s="37" t="str"/>
      <x:c r="C470" s="37" t="str">
        <x:v>LJT-MICROENDO</x:v>
      </x:c>
      <x:c r="D470" s="37" t="str">
        <x:v>顯微根管</x:v>
      </x:c>
      <x:c r="E470" s="37" t="str">
        <x:v>一般</x:v>
      </x:c>
      <x:c r="F470" s="37" t="str">
        <x:v>高複雜度</x:v>
      </x:c>
      <x:c r="G470" s="37" t="str">
        <x:v>COMMON-XRAY-RECORD</x:v>
      </x:c>
      <x:c r="H470" s="37" t="str">
        <x:v>待確認</x:v>
      </x:c>
      <x:c r="I470" s="37" t="str">
        <x:f>_xlfn.XLOOKUP($C470&amp;"|"&amp;$G470,'李醫師能力要求'!$M$7:$M$59,'李醫師能力要求'!$K$7:$K$59,"待確認",0)</x:f>
        <x:v>待確認</x:v>
      </x:c>
      <x:c r="J470" s="37" t="str">
        <x:v>◎</x:v>
      </x:c>
      <x:c r="K470" s="37" t="str">
        <x:v>Ø</x:v>
      </x:c>
      <x:c r="L470" s="48" t="str">
        <x:f>_xlfn.XLOOKUP($A470&amp;"|"&amp;$G470,'試行能力狀態'!$L$7:$L$258,'試行能力狀態'!$E$7:$E$258,"未評估",0)</x:f>
        <x:v>※</x:v>
      </x:c>
      <x:c r="M470" s="48" t="str">
        <x:f>_xlfn.XLOOKUP($A470&amp;"|"&amp;$G470,'試行能力狀態'!$L$7:$L$258,'試行能力狀態'!$F$7:$F$258,"未建立",0)</x:f>
        <x:v>待主管核定</x:v>
      </x:c>
      <x:c r="N470" s="48" t="str">
        <x:f>IF($L470="◎","符合獨立",IF($L470="Ø","符合條件","不符合"))</x:f>
        <x:v>不符合</x:v>
      </x:c>
      <x:c r="O470" s="48" t="str">
        <x:f>_xlfn.XLOOKUP($A470&amp;"|李侑津醫師",'試行熟悉度'!$K$7:$K$20,'試行熟悉度'!$E$7:$E$20,"未評估",0)</x:f>
        <x:v>學習中</x:v>
      </x:c>
      <x:c r="P470" s="48" t="str">
        <x:f>_xlfn.XLOOKUP($A470&amp;"|李侑津醫師",'試行熟悉度'!$K$7:$K$20,'試行熟悉度'!$F$7:$F$20,"未建立",0)</x:f>
        <x:v>待主管核定</x:v>
      </x:c>
      <x:c r="Q470" s="39" t="str">
        <x:v>確認後才納入自動判定</x:v>
      </x:c>
    </x:row>
    <x:row r="471">
      <x:c r="A471" s="37" t="str">
        <x:v>1028</x:v>
      </x:c>
      <x:c r="B471" s="37" t="str"/>
      <x:c r="C471" s="37" t="str">
        <x:v>LJT-IMPLANT</x:v>
      </x:c>
      <x:c r="D471" s="37" t="str">
        <x:v>植牙</x:v>
      </x:c>
      <x:c r="E471" s="37" t="str">
        <x:v>一般</x:v>
      </x:c>
      <x:c r="F471" s="37" t="str">
        <x:v>高複雜度</x:v>
      </x:c>
      <x:c r="G471" s="37" t="str">
        <x:v>LJT-PREP-IMPLANT</x:v>
      </x:c>
      <x:c r="H471" s="37" t="str">
        <x:v>必備</x:v>
      </x:c>
      <x:c r="I471" s="37" t="str">
        <x:f>_xlfn.XLOOKUP($C471&amp;"|"&amp;$G471,'李醫師能力要求'!$M$7:$M$59,'李醫師能力要求'!$K$7:$K$59,"待確認",0)</x:f>
        <x:v>已確認</x:v>
      </x:c>
      <x:c r="J471" s="37" t="str">
        <x:v>◎</x:v>
      </x:c>
      <x:c r="K471" s="37" t="str">
        <x:v>Ø</x:v>
      </x:c>
      <x:c r="L471" s="48" t="str">
        <x:f>_xlfn.XLOOKUP($A471&amp;"|"&amp;$G471,'試行能力狀態'!$L$7:$L$258,'試行能力狀態'!$E$7:$E$258,"未評估",0)</x:f>
        <x:v>※</x:v>
      </x:c>
      <x:c r="M471" s="48" t="str">
        <x:f>_xlfn.XLOOKUP($A471&amp;"|"&amp;$G471,'試行能力狀態'!$L$7:$L$258,'試行能力狀態'!$F$7:$F$258,"未建立",0)</x:f>
        <x:v>待主管核定</x:v>
      </x:c>
      <x:c r="N471" s="48" t="str">
        <x:f>IF($L471="◎","符合獨立",IF($L471="Ø","符合條件","不符合"))</x:f>
        <x:v>不符合</x:v>
      </x:c>
      <x:c r="O471" s="48" t="str">
        <x:f>_xlfn.XLOOKUP($A471&amp;"|李侑津醫師",'試行熟悉度'!$K$7:$K$20,'試行熟悉度'!$E$7:$E$20,"未評估",0)</x:f>
        <x:v>學習中</x:v>
      </x:c>
      <x:c r="P471" s="48" t="str">
        <x:f>_xlfn.XLOOKUP($A471&amp;"|李侑津醫師",'試行熟悉度'!$K$7:$K$20,'試行熟悉度'!$F$7:$F$20,"未建立",0)</x:f>
        <x:v>待主管核定</x:v>
      </x:c>
      <x:c r="Q471" s="39" t="str">
        <x:v>Ø 時完整支援者 1:1</x:v>
      </x:c>
    </x:row>
    <x:row r="472">
      <x:c r="A472" s="37" t="str">
        <x:v>1028</x:v>
      </x:c>
      <x:c r="B472" s="37" t="str"/>
      <x:c r="C472" s="37" t="str">
        <x:v>LJT-IMPLANT</x:v>
      </x:c>
      <x:c r="D472" s="37" t="str">
        <x:v>植牙</x:v>
      </x:c>
      <x:c r="E472" s="37" t="str">
        <x:v>一般</x:v>
      </x:c>
      <x:c r="F472" s="37" t="str">
        <x:v>高複雜度</x:v>
      </x:c>
      <x:c r="G472" s="37" t="str">
        <x:v>COMMON-RECORD</x:v>
      </x:c>
      <x:c r="H472" s="37" t="str">
        <x:v>待確認</x:v>
      </x:c>
      <x:c r="I472" s="37" t="str">
        <x:f>_xlfn.XLOOKUP($C472&amp;"|"&amp;$G472,'李醫師能力要求'!$M$7:$M$59,'李醫師能力要求'!$K$7:$K$59,"待確認",0)</x:f>
        <x:v>待確認</x:v>
      </x:c>
      <x:c r="J472" s="37" t="str">
        <x:v>◎</x:v>
      </x:c>
      <x:c r="K472" s="37" t="str">
        <x:v>Ø</x:v>
      </x:c>
      <x:c r="L472" s="48" t="str">
        <x:f>_xlfn.XLOOKUP($A472&amp;"|"&amp;$G472,'試行能力狀態'!$L$7:$L$258,'試行能力狀態'!$E$7:$E$258,"未評估",0)</x:f>
        <x:v>※</x:v>
      </x:c>
      <x:c r="M472" s="48" t="str">
        <x:f>_xlfn.XLOOKUP($A472&amp;"|"&amp;$G472,'試行能力狀態'!$L$7:$L$258,'試行能力狀態'!$F$7:$F$258,"未建立",0)</x:f>
        <x:v>待主管核定</x:v>
      </x:c>
      <x:c r="N472" s="48" t="str">
        <x:f>IF($L472="◎","符合獨立",IF($L472="Ø","符合條件","不符合"))</x:f>
        <x:v>不符合</x:v>
      </x:c>
      <x:c r="O472" s="48" t="str">
        <x:f>_xlfn.XLOOKUP($A472&amp;"|李侑津醫師",'試行熟悉度'!$K$7:$K$20,'試行熟悉度'!$E$7:$E$20,"未評估",0)</x:f>
        <x:v>學習中</x:v>
      </x:c>
      <x:c r="P472" s="48" t="str">
        <x:f>_xlfn.XLOOKUP($A472&amp;"|李侑津醫師",'試行熟悉度'!$K$7:$K$20,'試行熟悉度'!$F$7:$F$20,"未建立",0)</x:f>
        <x:v>待主管核定</x:v>
      </x:c>
      <x:c r="Q472" s="39" t="str">
        <x:v>確認後才納入自動判定</x:v>
      </x:c>
    </x:row>
    <x:row r="473">
      <x:c r="A473" s="37" t="str">
        <x:v>1028</x:v>
      </x:c>
      <x:c r="B473" s="37" t="str"/>
      <x:c r="C473" s="37" t="str">
        <x:v>LJT-IMPLANT</x:v>
      </x:c>
      <x:c r="D473" s="37" t="str">
        <x:v>植牙</x:v>
      </x:c>
      <x:c r="E473" s="37" t="str">
        <x:v>一般</x:v>
      </x:c>
      <x:c r="F473" s="37" t="str">
        <x:v>高複雜度</x:v>
      </x:c>
      <x:c r="G473" s="37" t="str">
        <x:v>COMMON-INSURANCE</x:v>
      </x:c>
      <x:c r="H473" s="37" t="str">
        <x:v>待確認</x:v>
      </x:c>
      <x:c r="I473" s="37" t="str">
        <x:f>_xlfn.XLOOKUP($C473&amp;"|"&amp;$G473,'李醫師能力要求'!$M$7:$M$59,'李醫師能力要求'!$K$7:$K$59,"待確認",0)</x:f>
        <x:v>待確認</x:v>
      </x:c>
      <x:c r="J473" s="37" t="str">
        <x:v>◎</x:v>
      </x:c>
      <x:c r="K473" s="37" t="str">
        <x:v>Ø</x:v>
      </x:c>
      <x:c r="L473" s="48" t="str">
        <x:f>_xlfn.XLOOKUP($A473&amp;"|"&amp;$G473,'試行能力狀態'!$L$7:$L$258,'試行能力狀態'!$E$7:$E$258,"未評估",0)</x:f>
        <x:v>※</x:v>
      </x:c>
      <x:c r="M473" s="48" t="str">
        <x:f>_xlfn.XLOOKUP($A473&amp;"|"&amp;$G473,'試行能力狀態'!$L$7:$L$258,'試行能力狀態'!$F$7:$F$258,"未建立",0)</x:f>
        <x:v>待主管核定</x:v>
      </x:c>
      <x:c r="N473" s="48" t="str">
        <x:f>IF($L473="◎","符合獨立",IF($L473="Ø","符合條件","不符合"))</x:f>
        <x:v>不符合</x:v>
      </x:c>
      <x:c r="O473" s="48" t="str">
        <x:f>_xlfn.XLOOKUP($A473&amp;"|李侑津醫師",'試行熟悉度'!$K$7:$K$20,'試行熟悉度'!$E$7:$E$20,"未評估",0)</x:f>
        <x:v>學習中</x:v>
      </x:c>
      <x:c r="P473" s="48" t="str">
        <x:f>_xlfn.XLOOKUP($A473&amp;"|李侑津醫師",'試行熟悉度'!$K$7:$K$20,'試行熟悉度'!$F$7:$F$20,"未建立",0)</x:f>
        <x:v>待主管核定</x:v>
      </x:c>
      <x:c r="Q473" s="39" t="str">
        <x:v>確認後才納入自動判定</x:v>
      </x:c>
    </x:row>
    <x:row r="474">
      <x:c r="A474" s="37" t="str">
        <x:v>1028</x:v>
      </x:c>
      <x:c r="B474" s="37" t="str"/>
      <x:c r="C474" s="37" t="str">
        <x:v>LJT-IMPLANT</x:v>
      </x:c>
      <x:c r="D474" s="37" t="str">
        <x:v>植牙</x:v>
      </x:c>
      <x:c r="E474" s="37" t="str">
        <x:v>一般</x:v>
      </x:c>
      <x:c r="F474" s="37" t="str">
        <x:v>高複雜度</x:v>
      </x:c>
      <x:c r="G474" s="37" t="str">
        <x:v>COMMON-XRAY-RECORD</x:v>
      </x:c>
      <x:c r="H474" s="37" t="str">
        <x:v>待確認</x:v>
      </x:c>
      <x:c r="I474" s="37" t="str">
        <x:f>_xlfn.XLOOKUP($C474&amp;"|"&amp;$G474,'李醫師能力要求'!$M$7:$M$59,'李醫師能力要求'!$K$7:$K$59,"待確認",0)</x:f>
        <x:v>待確認</x:v>
      </x:c>
      <x:c r="J474" s="37" t="str">
        <x:v>◎</x:v>
      </x:c>
      <x:c r="K474" s="37" t="str">
        <x:v>Ø</x:v>
      </x:c>
      <x:c r="L474" s="48" t="str">
        <x:f>_xlfn.XLOOKUP($A474&amp;"|"&amp;$G474,'試行能力狀態'!$L$7:$L$258,'試行能力狀態'!$E$7:$E$258,"未評估",0)</x:f>
        <x:v>※</x:v>
      </x:c>
      <x:c r="M474" s="48" t="str">
        <x:f>_xlfn.XLOOKUP($A474&amp;"|"&amp;$G474,'試行能力狀態'!$L$7:$L$258,'試行能力狀態'!$F$7:$F$258,"未建立",0)</x:f>
        <x:v>待主管核定</x:v>
      </x:c>
      <x:c r="N474" s="48" t="str">
        <x:f>IF($L474="◎","符合獨立",IF($L474="Ø","符合條件","不符合"))</x:f>
        <x:v>不符合</x:v>
      </x:c>
      <x:c r="O474" s="48" t="str">
        <x:f>_xlfn.XLOOKUP($A474&amp;"|李侑津醫師",'試行熟悉度'!$K$7:$K$20,'試行熟悉度'!$E$7:$E$20,"未評估",0)</x:f>
        <x:v>學習中</x:v>
      </x:c>
      <x:c r="P474" s="48" t="str">
        <x:f>_xlfn.XLOOKUP($A474&amp;"|李侑津醫師",'試行熟悉度'!$K$7:$K$20,'試行熟悉度'!$F$7:$F$20,"未建立",0)</x:f>
        <x:v>待主管核定</x:v>
      </x:c>
      <x:c r="Q474" s="39" t="str">
        <x:v>確認後才納入自動判定</x:v>
      </x:c>
    </x:row>
    <x:row r="475">
      <x:c r="A475" s="37" t="str">
        <x:v>1029</x:v>
      </x:c>
      <x:c r="B475" s="37" t="str"/>
      <x:c r="C475" s="37" t="str">
        <x:v>LJT-SCALING</x:v>
      </x:c>
      <x:c r="D475" s="37" t="str">
        <x:v>洗牙</x:v>
      </x:c>
      <x:c r="E475" s="37" t="str">
        <x:v>一般</x:v>
      </x:c>
      <x:c r="F475" s="37" t="str">
        <x:v>一般</x:v>
      </x:c>
      <x:c r="G475" s="37" t="str">
        <x:v>LJT-PREP-SCALING</x:v>
      </x:c>
      <x:c r="H475" s="37" t="str">
        <x:v>必備</x:v>
      </x:c>
      <x:c r="I475" s="37" t="str">
        <x:f>_xlfn.XLOOKUP($C475&amp;"|"&amp;$G475,'李醫師能力要求'!$M$7:$M$59,'李醫師能力要求'!$K$7:$K$59,"待確認",0)</x:f>
        <x:v>已確認</x:v>
      </x:c>
      <x:c r="J475" s="37" t="str">
        <x:v>◎</x:v>
      </x:c>
      <x:c r="K475" s="37" t="str">
        <x:v>Ø</x:v>
      </x:c>
      <x:c r="L475" s="48" t="str">
        <x:f>_xlfn.XLOOKUP($A475&amp;"|"&amp;$G475,'試行能力狀態'!$L$7:$L$258,'試行能力狀態'!$E$7:$E$258,"未評估",0)</x:f>
        <x:v>未評估</x:v>
      </x:c>
      <x:c r="M475" s="48" t="str">
        <x:f>_xlfn.XLOOKUP($A475&amp;"|"&amp;$G475,'試行能力狀態'!$L$7:$L$258,'試行能力狀態'!$F$7:$F$258,"未建立",0)</x:f>
        <x:v>未建立</x:v>
      </x:c>
      <x:c r="N475" s="48" t="str">
        <x:f>IF($L475="◎","符合獨立",IF($L475="Ø","符合條件","不符合"))</x:f>
        <x:v>不符合</x:v>
      </x:c>
      <x:c r="O475" s="48" t="str">
        <x:f>_xlfn.XLOOKUP($A475&amp;"|李侑津醫師",'試行熟悉度'!$K$7:$K$20,'試行熟悉度'!$E$7:$E$20,"未評估",0)</x:f>
        <x:v>未評估</x:v>
      </x:c>
      <x:c r="P475" s="48" t="str">
        <x:f>_xlfn.XLOOKUP($A475&amp;"|李侑津醫師",'試行熟悉度'!$K$7:$K$20,'試行熟悉度'!$F$7:$F$20,"未建立",0)</x:f>
        <x:v>未建立</x:v>
      </x:c>
      <x:c r="Q475" s="39" t="str">
        <x:v>依一般支援名額</x:v>
      </x:c>
    </x:row>
    <x:row r="476">
      <x:c r="A476" s="37" t="str">
        <x:v>1029</x:v>
      </x:c>
      <x:c r="B476" s="37" t="str"/>
      <x:c r="C476" s="37" t="str">
        <x:v>LJT-SCALING</x:v>
      </x:c>
      <x:c r="D476" s="37" t="str">
        <x:v>洗牙</x:v>
      </x:c>
      <x:c r="E476" s="37" t="str">
        <x:v>一般</x:v>
      </x:c>
      <x:c r="F476" s="37" t="str">
        <x:v>一般</x:v>
      </x:c>
      <x:c r="G476" s="37" t="str">
        <x:v>COMMON-RECORD</x:v>
      </x:c>
      <x:c r="H476" s="37" t="str">
        <x:v>待確認</x:v>
      </x:c>
      <x:c r="I476" s="37" t="str">
        <x:f>_xlfn.XLOOKUP($C476&amp;"|"&amp;$G476,'李醫師能力要求'!$M$7:$M$59,'李醫師能力要求'!$K$7:$K$59,"待確認",0)</x:f>
        <x:v>待確認</x:v>
      </x:c>
      <x:c r="J476" s="37" t="str">
        <x:v>◎</x:v>
      </x:c>
      <x:c r="K476" s="37" t="str">
        <x:v>Ø</x:v>
      </x:c>
      <x:c r="L476" s="48" t="str">
        <x:f>_xlfn.XLOOKUP($A476&amp;"|"&amp;$G476,'試行能力狀態'!$L$7:$L$258,'試行能力狀態'!$E$7:$E$258,"未評估",0)</x:f>
        <x:v>未評估</x:v>
      </x:c>
      <x:c r="M476" s="48" t="str">
        <x:f>_xlfn.XLOOKUP($A476&amp;"|"&amp;$G476,'試行能力狀態'!$L$7:$L$258,'試行能力狀態'!$F$7:$F$258,"未建立",0)</x:f>
        <x:v>未建立</x:v>
      </x:c>
      <x:c r="N476" s="48" t="str">
        <x:f>IF($L476="◎","符合獨立",IF($L476="Ø","符合條件","不符合"))</x:f>
        <x:v>不符合</x:v>
      </x:c>
      <x:c r="O476" s="48" t="str">
        <x:f>_xlfn.XLOOKUP($A476&amp;"|李侑津醫師",'試行熟悉度'!$K$7:$K$20,'試行熟悉度'!$E$7:$E$20,"未評估",0)</x:f>
        <x:v>未評估</x:v>
      </x:c>
      <x:c r="P476" s="48" t="str">
        <x:f>_xlfn.XLOOKUP($A476&amp;"|李侑津醫師",'試行熟悉度'!$K$7:$K$20,'試行熟悉度'!$F$7:$F$20,"未建立",0)</x:f>
        <x:v>未建立</x:v>
      </x:c>
      <x:c r="Q476" s="39" t="str">
        <x:v>確認後才納入自動判定</x:v>
      </x:c>
    </x:row>
    <x:row r="477">
      <x:c r="A477" s="37" t="str">
        <x:v>1029</x:v>
      </x:c>
      <x:c r="B477" s="37" t="str"/>
      <x:c r="C477" s="37" t="str">
        <x:v>LJT-SCALING</x:v>
      </x:c>
      <x:c r="D477" s="37" t="str">
        <x:v>洗牙</x:v>
      </x:c>
      <x:c r="E477" s="37" t="str">
        <x:v>一般</x:v>
      </x:c>
      <x:c r="F477" s="37" t="str">
        <x:v>一般</x:v>
      </x:c>
      <x:c r="G477" s="37" t="str">
        <x:v>COMMON-INSURANCE</x:v>
      </x:c>
      <x:c r="H477" s="37" t="str">
        <x:v>待確認</x:v>
      </x:c>
      <x:c r="I477" s="37" t="str">
        <x:f>_xlfn.XLOOKUP($C477&amp;"|"&amp;$G477,'李醫師能力要求'!$M$7:$M$59,'李醫師能力要求'!$K$7:$K$59,"待確認",0)</x:f>
        <x:v>待確認</x:v>
      </x:c>
      <x:c r="J477" s="37" t="str">
        <x:v>◎</x:v>
      </x:c>
      <x:c r="K477" s="37" t="str">
        <x:v>Ø</x:v>
      </x:c>
      <x:c r="L477" s="48" t="str">
        <x:f>_xlfn.XLOOKUP($A477&amp;"|"&amp;$G477,'試行能力狀態'!$L$7:$L$258,'試行能力狀態'!$E$7:$E$258,"未評估",0)</x:f>
        <x:v>未評估</x:v>
      </x:c>
      <x:c r="M477" s="48" t="str">
        <x:f>_xlfn.XLOOKUP($A477&amp;"|"&amp;$G477,'試行能力狀態'!$L$7:$L$258,'試行能力狀態'!$F$7:$F$258,"未建立",0)</x:f>
        <x:v>未建立</x:v>
      </x:c>
      <x:c r="N477" s="48" t="str">
        <x:f>IF($L477="◎","符合獨立",IF($L477="Ø","符合條件","不符合"))</x:f>
        <x:v>不符合</x:v>
      </x:c>
      <x:c r="O477" s="48" t="str">
        <x:f>_xlfn.XLOOKUP($A477&amp;"|李侑津醫師",'試行熟悉度'!$K$7:$K$20,'試行熟悉度'!$E$7:$E$20,"未評估",0)</x:f>
        <x:v>未評估</x:v>
      </x:c>
      <x:c r="P477" s="48" t="str">
        <x:f>_xlfn.XLOOKUP($A477&amp;"|李侑津醫師",'試行熟悉度'!$K$7:$K$20,'試行熟悉度'!$F$7:$F$20,"未建立",0)</x:f>
        <x:v>未建立</x:v>
      </x:c>
      <x:c r="Q477" s="39" t="str">
        <x:v>確認後才納入自動判定</x:v>
      </x:c>
    </x:row>
    <x:row r="478">
      <x:c r="A478" s="37" t="str">
        <x:v>1029</x:v>
      </x:c>
      <x:c r="B478" s="37" t="str"/>
      <x:c r="C478" s="37" t="str">
        <x:v>LJT-SCALING</x:v>
      </x:c>
      <x:c r="D478" s="37" t="str">
        <x:v>洗牙</x:v>
      </x:c>
      <x:c r="E478" s="37" t="str">
        <x:v>一般</x:v>
      </x:c>
      <x:c r="F478" s="37" t="str">
        <x:v>一般</x:v>
      </x:c>
      <x:c r="G478" s="37" t="str">
        <x:v>COMMON-XRAY-RECORD</x:v>
      </x:c>
      <x:c r="H478" s="37" t="str">
        <x:v>待確認</x:v>
      </x:c>
      <x:c r="I478" s="37" t="str">
        <x:f>_xlfn.XLOOKUP($C478&amp;"|"&amp;$G478,'李醫師能力要求'!$M$7:$M$59,'李醫師能力要求'!$K$7:$K$59,"待確認",0)</x:f>
        <x:v>待確認</x:v>
      </x:c>
      <x:c r="J478" s="37" t="str">
        <x:v>◎</x:v>
      </x:c>
      <x:c r="K478" s="37" t="str">
        <x:v>Ø</x:v>
      </x:c>
      <x:c r="L478" s="48" t="str">
        <x:f>_xlfn.XLOOKUP($A478&amp;"|"&amp;$G478,'試行能力狀態'!$L$7:$L$258,'試行能力狀態'!$E$7:$E$258,"未評估",0)</x:f>
        <x:v>未評估</x:v>
      </x:c>
      <x:c r="M478" s="48" t="str">
        <x:f>_xlfn.XLOOKUP($A478&amp;"|"&amp;$G478,'試行能力狀態'!$L$7:$L$258,'試行能力狀態'!$F$7:$F$258,"未建立",0)</x:f>
        <x:v>未建立</x:v>
      </x:c>
      <x:c r="N478" s="48" t="str">
        <x:f>IF($L478="◎","符合獨立",IF($L478="Ø","符合條件","不符合"))</x:f>
        <x:v>不符合</x:v>
      </x:c>
      <x:c r="O478" s="48" t="str">
        <x:f>_xlfn.XLOOKUP($A478&amp;"|李侑津醫師",'試行熟悉度'!$K$7:$K$20,'試行熟悉度'!$E$7:$E$20,"未評估",0)</x:f>
        <x:v>未評估</x:v>
      </x:c>
      <x:c r="P478" s="48" t="str">
        <x:f>_xlfn.XLOOKUP($A478&amp;"|李侑津醫師",'試行熟悉度'!$K$7:$K$20,'試行熟悉度'!$F$7:$F$20,"未建立",0)</x:f>
        <x:v>未建立</x:v>
      </x:c>
      <x:c r="Q478" s="39" t="str">
        <x:v>確認後才納入自動判定</x:v>
      </x:c>
    </x:row>
    <x:row r="479">
      <x:c r="A479" s="37" t="str">
        <x:v>1029</x:v>
      </x:c>
      <x:c r="B479" s="37" t="str"/>
      <x:c r="C479" s="37" t="str">
        <x:v>LJT-FILLING</x:v>
      </x:c>
      <x:c r="D479" s="37" t="str">
        <x:v>補牙</x:v>
      </x:c>
      <x:c r="E479" s="37" t="str">
        <x:v>一般</x:v>
      </x:c>
      <x:c r="F479" s="37" t="str">
        <x:v>一般</x:v>
      </x:c>
      <x:c r="G479" s="37" t="str">
        <x:v>LJT-PREP-FILLING</x:v>
      </x:c>
      <x:c r="H479" s="37" t="str">
        <x:v>必備</x:v>
      </x:c>
      <x:c r="I479" s="37" t="str">
        <x:f>_xlfn.XLOOKUP($C479&amp;"|"&amp;$G479,'李醫師能力要求'!$M$7:$M$59,'李醫師能力要求'!$K$7:$K$59,"待確認",0)</x:f>
        <x:v>已確認</x:v>
      </x:c>
      <x:c r="J479" s="37" t="str">
        <x:v>◎</x:v>
      </x:c>
      <x:c r="K479" s="37" t="str">
        <x:v>Ø</x:v>
      </x:c>
      <x:c r="L479" s="48" t="str">
        <x:f>_xlfn.XLOOKUP($A479&amp;"|"&amp;$G479,'試行能力狀態'!$L$7:$L$258,'試行能力狀態'!$E$7:$E$258,"未評估",0)</x:f>
        <x:v>未評估</x:v>
      </x:c>
      <x:c r="M479" s="48" t="str">
        <x:f>_xlfn.XLOOKUP($A479&amp;"|"&amp;$G479,'試行能力狀態'!$L$7:$L$258,'試行能力狀態'!$F$7:$F$258,"未建立",0)</x:f>
        <x:v>未建立</x:v>
      </x:c>
      <x:c r="N479" s="48" t="str">
        <x:f>IF($L479="◎","符合獨立",IF($L479="Ø","符合條件","不符合"))</x:f>
        <x:v>不符合</x:v>
      </x:c>
      <x:c r="O479" s="48" t="str">
        <x:f>_xlfn.XLOOKUP($A479&amp;"|李侑津醫師",'試行熟悉度'!$K$7:$K$20,'試行熟悉度'!$E$7:$E$20,"未評估",0)</x:f>
        <x:v>未評估</x:v>
      </x:c>
      <x:c r="P479" s="48" t="str">
        <x:f>_xlfn.XLOOKUP($A479&amp;"|李侑津醫師",'試行熟悉度'!$K$7:$K$20,'試行熟悉度'!$F$7:$F$20,"未建立",0)</x:f>
        <x:v>未建立</x:v>
      </x:c>
      <x:c r="Q479" s="39" t="str">
        <x:v>依一般支援名額</x:v>
      </x:c>
    </x:row>
    <x:row r="480">
      <x:c r="A480" s="37" t="str">
        <x:v>1029</x:v>
      </x:c>
      <x:c r="B480" s="37" t="str"/>
      <x:c r="C480" s="37" t="str">
        <x:v>LJT-FILLING</x:v>
      </x:c>
      <x:c r="D480" s="37" t="str">
        <x:v>補牙</x:v>
      </x:c>
      <x:c r="E480" s="37" t="str">
        <x:v>一般</x:v>
      </x:c>
      <x:c r="F480" s="37" t="str">
        <x:v>一般</x:v>
      </x:c>
      <x:c r="G480" s="37" t="str">
        <x:v>COMMON-RECORD</x:v>
      </x:c>
      <x:c r="H480" s="37" t="str">
        <x:v>待確認</x:v>
      </x:c>
      <x:c r="I480" s="37" t="str">
        <x:f>_xlfn.XLOOKUP($C480&amp;"|"&amp;$G480,'李醫師能力要求'!$M$7:$M$59,'李醫師能力要求'!$K$7:$K$59,"待確認",0)</x:f>
        <x:v>待確認</x:v>
      </x:c>
      <x:c r="J480" s="37" t="str">
        <x:v>◎</x:v>
      </x:c>
      <x:c r="K480" s="37" t="str">
        <x:v>Ø</x:v>
      </x:c>
      <x:c r="L480" s="48" t="str">
        <x:f>_xlfn.XLOOKUP($A480&amp;"|"&amp;$G480,'試行能力狀態'!$L$7:$L$258,'試行能力狀態'!$E$7:$E$258,"未評估",0)</x:f>
        <x:v>未評估</x:v>
      </x:c>
      <x:c r="M480" s="48" t="str">
        <x:f>_xlfn.XLOOKUP($A480&amp;"|"&amp;$G480,'試行能力狀態'!$L$7:$L$258,'試行能力狀態'!$F$7:$F$258,"未建立",0)</x:f>
        <x:v>未建立</x:v>
      </x:c>
      <x:c r="N480" s="48" t="str">
        <x:f>IF($L480="◎","符合獨立",IF($L480="Ø","符合條件","不符合"))</x:f>
        <x:v>不符合</x:v>
      </x:c>
      <x:c r="O480" s="48" t="str">
        <x:f>_xlfn.XLOOKUP($A480&amp;"|李侑津醫師",'試行熟悉度'!$K$7:$K$20,'試行熟悉度'!$E$7:$E$20,"未評估",0)</x:f>
        <x:v>未評估</x:v>
      </x:c>
      <x:c r="P480" s="48" t="str">
        <x:f>_xlfn.XLOOKUP($A480&amp;"|李侑津醫師",'試行熟悉度'!$K$7:$K$20,'試行熟悉度'!$F$7:$F$20,"未建立",0)</x:f>
        <x:v>未建立</x:v>
      </x:c>
      <x:c r="Q480" s="39" t="str">
        <x:v>確認後才納入自動判定</x:v>
      </x:c>
    </x:row>
    <x:row r="481">
      <x:c r="A481" s="37" t="str">
        <x:v>1029</x:v>
      </x:c>
      <x:c r="B481" s="37" t="str"/>
      <x:c r="C481" s="37" t="str">
        <x:v>LJT-FILLING</x:v>
      </x:c>
      <x:c r="D481" s="37" t="str">
        <x:v>補牙</x:v>
      </x:c>
      <x:c r="E481" s="37" t="str">
        <x:v>一般</x:v>
      </x:c>
      <x:c r="F481" s="37" t="str">
        <x:v>一般</x:v>
      </x:c>
      <x:c r="G481" s="37" t="str">
        <x:v>COMMON-INSURANCE</x:v>
      </x:c>
      <x:c r="H481" s="37" t="str">
        <x:v>待確認</x:v>
      </x:c>
      <x:c r="I481" s="37" t="str">
        <x:f>_xlfn.XLOOKUP($C481&amp;"|"&amp;$G481,'李醫師能力要求'!$M$7:$M$59,'李醫師能力要求'!$K$7:$K$59,"待確認",0)</x:f>
        <x:v>待確認</x:v>
      </x:c>
      <x:c r="J481" s="37" t="str">
        <x:v>◎</x:v>
      </x:c>
      <x:c r="K481" s="37" t="str">
        <x:v>Ø</x:v>
      </x:c>
      <x:c r="L481" s="48" t="str">
        <x:f>_xlfn.XLOOKUP($A481&amp;"|"&amp;$G481,'試行能力狀態'!$L$7:$L$258,'試行能力狀態'!$E$7:$E$258,"未評估",0)</x:f>
        <x:v>未評估</x:v>
      </x:c>
      <x:c r="M481" s="48" t="str">
        <x:f>_xlfn.XLOOKUP($A481&amp;"|"&amp;$G481,'試行能力狀態'!$L$7:$L$258,'試行能力狀態'!$F$7:$F$258,"未建立",0)</x:f>
        <x:v>未建立</x:v>
      </x:c>
      <x:c r="N481" s="48" t="str">
        <x:f>IF($L481="◎","符合獨立",IF($L481="Ø","符合條件","不符合"))</x:f>
        <x:v>不符合</x:v>
      </x:c>
      <x:c r="O481" s="48" t="str">
        <x:f>_xlfn.XLOOKUP($A481&amp;"|李侑津醫師",'試行熟悉度'!$K$7:$K$20,'試行熟悉度'!$E$7:$E$20,"未評估",0)</x:f>
        <x:v>未評估</x:v>
      </x:c>
      <x:c r="P481" s="48" t="str">
        <x:f>_xlfn.XLOOKUP($A481&amp;"|李侑津醫師",'試行熟悉度'!$K$7:$K$20,'試行熟悉度'!$F$7:$F$20,"未建立",0)</x:f>
        <x:v>未建立</x:v>
      </x:c>
      <x:c r="Q481" s="39" t="str">
        <x:v>確認後才納入自動判定</x:v>
      </x:c>
    </x:row>
    <x:row r="482">
      <x:c r="A482" s="37" t="str">
        <x:v>1029</x:v>
      </x:c>
      <x:c r="B482" s="37" t="str"/>
      <x:c r="C482" s="37" t="str">
        <x:v>LJT-FILLING</x:v>
      </x:c>
      <x:c r="D482" s="37" t="str">
        <x:v>補牙</x:v>
      </x:c>
      <x:c r="E482" s="37" t="str">
        <x:v>一般</x:v>
      </x:c>
      <x:c r="F482" s="37" t="str">
        <x:v>一般</x:v>
      </x:c>
      <x:c r="G482" s="37" t="str">
        <x:v>COMMON-XRAY-RECORD</x:v>
      </x:c>
      <x:c r="H482" s="37" t="str">
        <x:v>待確認</x:v>
      </x:c>
      <x:c r="I482" s="37" t="str">
        <x:f>_xlfn.XLOOKUP($C482&amp;"|"&amp;$G482,'李醫師能力要求'!$M$7:$M$59,'李醫師能力要求'!$K$7:$K$59,"待確認",0)</x:f>
        <x:v>待確認</x:v>
      </x:c>
      <x:c r="J482" s="37" t="str">
        <x:v>◎</x:v>
      </x:c>
      <x:c r="K482" s="37" t="str">
        <x:v>Ø</x:v>
      </x:c>
      <x:c r="L482" s="48" t="str">
        <x:f>_xlfn.XLOOKUP($A482&amp;"|"&amp;$G482,'試行能力狀態'!$L$7:$L$258,'試行能力狀態'!$E$7:$E$258,"未評估",0)</x:f>
        <x:v>未評估</x:v>
      </x:c>
      <x:c r="M482" s="48" t="str">
        <x:f>_xlfn.XLOOKUP($A482&amp;"|"&amp;$G482,'試行能力狀態'!$L$7:$L$258,'試行能力狀態'!$F$7:$F$258,"未建立",0)</x:f>
        <x:v>未建立</x:v>
      </x:c>
      <x:c r="N482" s="48" t="str">
        <x:f>IF($L482="◎","符合獨立",IF($L482="Ø","符合條件","不符合"))</x:f>
        <x:v>不符合</x:v>
      </x:c>
      <x:c r="O482" s="48" t="str">
        <x:f>_xlfn.XLOOKUP($A482&amp;"|李侑津醫師",'試行熟悉度'!$K$7:$K$20,'試行熟悉度'!$E$7:$E$20,"未評估",0)</x:f>
        <x:v>未評估</x:v>
      </x:c>
      <x:c r="P482" s="48" t="str">
        <x:f>_xlfn.XLOOKUP($A482&amp;"|李侑津醫師",'試行熟悉度'!$K$7:$K$20,'試行熟悉度'!$F$7:$F$20,"未建立",0)</x:f>
        <x:v>未建立</x:v>
      </x:c>
      <x:c r="Q482" s="39" t="str">
        <x:v>確認後才納入自動判定</x:v>
      </x:c>
    </x:row>
    <x:row r="483">
      <x:c r="A483" s="37" t="str">
        <x:v>1029</x:v>
      </x:c>
      <x:c r="B483" s="37" t="str"/>
      <x:c r="C483" s="37" t="str">
        <x:v>LJT-PERIO</x:v>
      </x:c>
      <x:c r="D483" s="37" t="str">
        <x:v>牙周統合</x:v>
      </x:c>
      <x:c r="E483" s="37" t="str">
        <x:v>一般</x:v>
      </x:c>
      <x:c r="F483" s="37" t="str">
        <x:v>一般</x:v>
      </x:c>
      <x:c r="G483" s="37" t="str">
        <x:v>LJT-PREP-PERIO</x:v>
      </x:c>
      <x:c r="H483" s="37" t="str">
        <x:v>必備</x:v>
      </x:c>
      <x:c r="I483" s="37" t="str">
        <x:f>_xlfn.XLOOKUP($C483&amp;"|"&amp;$G483,'李醫師能力要求'!$M$7:$M$59,'李醫師能力要求'!$K$7:$K$59,"待確認",0)</x:f>
        <x:v>已確認</x:v>
      </x:c>
      <x:c r="J483" s="37" t="str">
        <x:v>◎</x:v>
      </x:c>
      <x:c r="K483" s="37" t="str">
        <x:v>Ø</x:v>
      </x:c>
      <x:c r="L483" s="48" t="str">
        <x:f>_xlfn.XLOOKUP($A483&amp;"|"&amp;$G483,'試行能力狀態'!$L$7:$L$258,'試行能力狀態'!$E$7:$E$258,"未評估",0)</x:f>
        <x:v>未評估</x:v>
      </x:c>
      <x:c r="M483" s="48" t="str">
        <x:f>_xlfn.XLOOKUP($A483&amp;"|"&amp;$G483,'試行能力狀態'!$L$7:$L$258,'試行能力狀態'!$F$7:$F$258,"未建立",0)</x:f>
        <x:v>未建立</x:v>
      </x:c>
      <x:c r="N483" s="48" t="str">
        <x:f>IF($L483="◎","符合獨立",IF($L483="Ø","符合條件","不符合"))</x:f>
        <x:v>不符合</x:v>
      </x:c>
      <x:c r="O483" s="48" t="str">
        <x:f>_xlfn.XLOOKUP($A483&amp;"|李侑津醫師",'試行熟悉度'!$K$7:$K$20,'試行熟悉度'!$E$7:$E$20,"未評估",0)</x:f>
        <x:v>未評估</x:v>
      </x:c>
      <x:c r="P483" s="48" t="str">
        <x:f>_xlfn.XLOOKUP($A483&amp;"|李侑津醫師",'試行熟悉度'!$K$7:$K$20,'試行熟悉度'!$F$7:$F$20,"未建立",0)</x:f>
        <x:v>未建立</x:v>
      </x:c>
      <x:c r="Q483" s="39" t="str">
        <x:v>依一般支援名額</x:v>
      </x:c>
    </x:row>
    <x:row r="484">
      <x:c r="A484" s="37" t="str">
        <x:v>1029</x:v>
      </x:c>
      <x:c r="B484" s="37" t="str"/>
      <x:c r="C484" s="37" t="str">
        <x:v>LJT-PERIO</x:v>
      </x:c>
      <x:c r="D484" s="37" t="str">
        <x:v>牙周統合</x:v>
      </x:c>
      <x:c r="E484" s="37" t="str">
        <x:v>一般</x:v>
      </x:c>
      <x:c r="F484" s="37" t="str">
        <x:v>一般</x:v>
      </x:c>
      <x:c r="G484" s="37" t="str">
        <x:v>COMMON-RECORD</x:v>
      </x:c>
      <x:c r="H484" s="37" t="str">
        <x:v>待確認</x:v>
      </x:c>
      <x:c r="I484" s="37" t="str">
        <x:f>_xlfn.XLOOKUP($C484&amp;"|"&amp;$G484,'李醫師能力要求'!$M$7:$M$59,'李醫師能力要求'!$K$7:$K$59,"待確認",0)</x:f>
        <x:v>待確認</x:v>
      </x:c>
      <x:c r="J484" s="37" t="str">
        <x:v>◎</x:v>
      </x:c>
      <x:c r="K484" s="37" t="str">
        <x:v>Ø</x:v>
      </x:c>
      <x:c r="L484" s="48" t="str">
        <x:f>_xlfn.XLOOKUP($A484&amp;"|"&amp;$G484,'試行能力狀態'!$L$7:$L$258,'試行能力狀態'!$E$7:$E$258,"未評估",0)</x:f>
        <x:v>未評估</x:v>
      </x:c>
      <x:c r="M484" s="48" t="str">
        <x:f>_xlfn.XLOOKUP($A484&amp;"|"&amp;$G484,'試行能力狀態'!$L$7:$L$258,'試行能力狀態'!$F$7:$F$258,"未建立",0)</x:f>
        <x:v>未建立</x:v>
      </x:c>
      <x:c r="N484" s="48" t="str">
        <x:f>IF($L484="◎","符合獨立",IF($L484="Ø","符合條件","不符合"))</x:f>
        <x:v>不符合</x:v>
      </x:c>
      <x:c r="O484" s="48" t="str">
        <x:f>_xlfn.XLOOKUP($A484&amp;"|李侑津醫師",'試行熟悉度'!$K$7:$K$20,'試行熟悉度'!$E$7:$E$20,"未評估",0)</x:f>
        <x:v>未評估</x:v>
      </x:c>
      <x:c r="P484" s="48" t="str">
        <x:f>_xlfn.XLOOKUP($A484&amp;"|李侑津醫師",'試行熟悉度'!$K$7:$K$20,'試行熟悉度'!$F$7:$F$20,"未建立",0)</x:f>
        <x:v>未建立</x:v>
      </x:c>
      <x:c r="Q484" s="39" t="str">
        <x:v>確認後才納入自動判定</x:v>
      </x:c>
    </x:row>
    <x:row r="485">
      <x:c r="A485" s="37" t="str">
        <x:v>1029</x:v>
      </x:c>
      <x:c r="B485" s="37" t="str"/>
      <x:c r="C485" s="37" t="str">
        <x:v>LJT-PERIO</x:v>
      </x:c>
      <x:c r="D485" s="37" t="str">
        <x:v>牙周統合</x:v>
      </x:c>
      <x:c r="E485" s="37" t="str">
        <x:v>一般</x:v>
      </x:c>
      <x:c r="F485" s="37" t="str">
        <x:v>一般</x:v>
      </x:c>
      <x:c r="G485" s="37" t="str">
        <x:v>COMMON-INSURANCE</x:v>
      </x:c>
      <x:c r="H485" s="37" t="str">
        <x:v>待確認</x:v>
      </x:c>
      <x:c r="I485" s="37" t="str">
        <x:f>_xlfn.XLOOKUP($C485&amp;"|"&amp;$G485,'李醫師能力要求'!$M$7:$M$59,'李醫師能力要求'!$K$7:$K$59,"待確認",0)</x:f>
        <x:v>待確認</x:v>
      </x:c>
      <x:c r="J485" s="37" t="str">
        <x:v>◎</x:v>
      </x:c>
      <x:c r="K485" s="37" t="str">
        <x:v>Ø</x:v>
      </x:c>
      <x:c r="L485" s="48" t="str">
        <x:f>_xlfn.XLOOKUP($A485&amp;"|"&amp;$G485,'試行能力狀態'!$L$7:$L$258,'試行能力狀態'!$E$7:$E$258,"未評估",0)</x:f>
        <x:v>未評估</x:v>
      </x:c>
      <x:c r="M485" s="48" t="str">
        <x:f>_xlfn.XLOOKUP($A485&amp;"|"&amp;$G485,'試行能力狀態'!$L$7:$L$258,'試行能力狀態'!$F$7:$F$258,"未建立",0)</x:f>
        <x:v>未建立</x:v>
      </x:c>
      <x:c r="N485" s="48" t="str">
        <x:f>IF($L485="◎","符合獨立",IF($L485="Ø","符合條件","不符合"))</x:f>
        <x:v>不符合</x:v>
      </x:c>
      <x:c r="O485" s="48" t="str">
        <x:f>_xlfn.XLOOKUP($A485&amp;"|李侑津醫師",'試行熟悉度'!$K$7:$K$20,'試行熟悉度'!$E$7:$E$20,"未評估",0)</x:f>
        <x:v>未評估</x:v>
      </x:c>
      <x:c r="P485" s="48" t="str">
        <x:f>_xlfn.XLOOKUP($A485&amp;"|李侑津醫師",'試行熟悉度'!$K$7:$K$20,'試行熟悉度'!$F$7:$F$20,"未建立",0)</x:f>
        <x:v>未建立</x:v>
      </x:c>
      <x:c r="Q485" s="39" t="str">
        <x:v>確認後才納入自動判定</x:v>
      </x:c>
    </x:row>
    <x:row r="486">
      <x:c r="A486" s="37" t="str">
        <x:v>1029</x:v>
      </x:c>
      <x:c r="B486" s="37" t="str"/>
      <x:c r="C486" s="37" t="str">
        <x:v>LJT-PERIO</x:v>
      </x:c>
      <x:c r="D486" s="37" t="str">
        <x:v>牙周統合</x:v>
      </x:c>
      <x:c r="E486" s="37" t="str">
        <x:v>一般</x:v>
      </x:c>
      <x:c r="F486" s="37" t="str">
        <x:v>一般</x:v>
      </x:c>
      <x:c r="G486" s="37" t="str">
        <x:v>COMMON-XRAY-RECORD</x:v>
      </x:c>
      <x:c r="H486" s="37" t="str">
        <x:v>待確認</x:v>
      </x:c>
      <x:c r="I486" s="37" t="str">
        <x:f>_xlfn.XLOOKUP($C486&amp;"|"&amp;$G486,'李醫師能力要求'!$M$7:$M$59,'李醫師能力要求'!$K$7:$K$59,"待確認",0)</x:f>
        <x:v>待確認</x:v>
      </x:c>
      <x:c r="J486" s="37" t="str">
        <x:v>◎</x:v>
      </x:c>
      <x:c r="K486" s="37" t="str">
        <x:v>Ø</x:v>
      </x:c>
      <x:c r="L486" s="48" t="str">
        <x:f>_xlfn.XLOOKUP($A486&amp;"|"&amp;$G486,'試行能力狀態'!$L$7:$L$258,'試行能力狀態'!$E$7:$E$258,"未評估",0)</x:f>
        <x:v>未評估</x:v>
      </x:c>
      <x:c r="M486" s="48" t="str">
        <x:f>_xlfn.XLOOKUP($A486&amp;"|"&amp;$G486,'試行能力狀態'!$L$7:$L$258,'試行能力狀態'!$F$7:$F$258,"未建立",0)</x:f>
        <x:v>未建立</x:v>
      </x:c>
      <x:c r="N486" s="48" t="str">
        <x:f>IF($L486="◎","符合獨立",IF($L486="Ø","符合條件","不符合"))</x:f>
        <x:v>不符合</x:v>
      </x:c>
      <x:c r="O486" s="48" t="str">
        <x:f>_xlfn.XLOOKUP($A486&amp;"|李侑津醫師",'試行熟悉度'!$K$7:$K$20,'試行熟悉度'!$E$7:$E$20,"未評估",0)</x:f>
        <x:v>未評估</x:v>
      </x:c>
      <x:c r="P486" s="48" t="str">
        <x:f>_xlfn.XLOOKUP($A486&amp;"|李侑津醫師",'試行熟悉度'!$K$7:$K$20,'試行熟悉度'!$F$7:$F$20,"未建立",0)</x:f>
        <x:v>未建立</x:v>
      </x:c>
      <x:c r="Q486" s="39" t="str">
        <x:v>確認後才納入自動判定</x:v>
      </x:c>
    </x:row>
    <x:row r="487">
      <x:c r="A487" s="37" t="str">
        <x:v>1029</x:v>
      </x:c>
      <x:c r="B487" s="37" t="str"/>
      <x:c r="C487" s="37" t="str">
        <x:v>LJT-RCT</x:v>
      </x:c>
      <x:c r="D487" s="37" t="str">
        <x:v>一般根管治療</x:v>
      </x:c>
      <x:c r="E487" s="37" t="str">
        <x:v>一般</x:v>
      </x:c>
      <x:c r="F487" s="37" t="str">
        <x:v>一般</x:v>
      </x:c>
      <x:c r="G487" s="37" t="str">
        <x:v>LJT-PREP-RCT</x:v>
      </x:c>
      <x:c r="H487" s="37" t="str">
        <x:v>必備</x:v>
      </x:c>
      <x:c r="I487" s="37" t="str">
        <x:f>_xlfn.XLOOKUP($C487&amp;"|"&amp;$G487,'李醫師能力要求'!$M$7:$M$59,'李醫師能力要求'!$K$7:$K$59,"待確認",0)</x:f>
        <x:v>已確認</x:v>
      </x:c>
      <x:c r="J487" s="37" t="str">
        <x:v>◎</x:v>
      </x:c>
      <x:c r="K487" s="37" t="str">
        <x:v>Ø</x:v>
      </x:c>
      <x:c r="L487" s="48" t="str">
        <x:f>_xlfn.XLOOKUP($A487&amp;"|"&amp;$G487,'試行能力狀態'!$L$7:$L$258,'試行能力狀態'!$E$7:$E$258,"未評估",0)</x:f>
        <x:v>未評估</x:v>
      </x:c>
      <x:c r="M487" s="48" t="str">
        <x:f>_xlfn.XLOOKUP($A487&amp;"|"&amp;$G487,'試行能力狀態'!$L$7:$L$258,'試行能力狀態'!$F$7:$F$258,"未建立",0)</x:f>
        <x:v>未建立</x:v>
      </x:c>
      <x:c r="N487" s="48" t="str">
        <x:f>IF($L487="◎","符合獨立",IF($L487="Ø","符合條件","不符合"))</x:f>
        <x:v>不符合</x:v>
      </x:c>
      <x:c r="O487" s="48" t="str">
        <x:f>_xlfn.XLOOKUP($A487&amp;"|李侑津醫師",'試行熟悉度'!$K$7:$K$20,'試行熟悉度'!$E$7:$E$20,"未評估",0)</x:f>
        <x:v>未評估</x:v>
      </x:c>
      <x:c r="P487" s="48" t="str">
        <x:f>_xlfn.XLOOKUP($A487&amp;"|李侑津醫師",'試行熟悉度'!$K$7:$K$20,'試行熟悉度'!$F$7:$F$20,"未建立",0)</x:f>
        <x:v>未建立</x:v>
      </x:c>
      <x:c r="Q487" s="39" t="str">
        <x:v>依一般支援名額</x:v>
      </x:c>
    </x:row>
    <x:row r="488">
      <x:c r="A488" s="37" t="str">
        <x:v>1029</x:v>
      </x:c>
      <x:c r="B488" s="37" t="str"/>
      <x:c r="C488" s="37" t="str">
        <x:v>LJT-RCT</x:v>
      </x:c>
      <x:c r="D488" s="37" t="str">
        <x:v>一般根管治療</x:v>
      </x:c>
      <x:c r="E488" s="37" t="str">
        <x:v>一般</x:v>
      </x:c>
      <x:c r="F488" s="37" t="str">
        <x:v>一般</x:v>
      </x:c>
      <x:c r="G488" s="37" t="str">
        <x:v>COMMON-RECORD</x:v>
      </x:c>
      <x:c r="H488" s="37" t="str">
        <x:v>待確認</x:v>
      </x:c>
      <x:c r="I488" s="37" t="str">
        <x:f>_xlfn.XLOOKUP($C488&amp;"|"&amp;$G488,'李醫師能力要求'!$M$7:$M$59,'李醫師能力要求'!$K$7:$K$59,"待確認",0)</x:f>
        <x:v>待確認</x:v>
      </x:c>
      <x:c r="J488" s="37" t="str">
        <x:v>◎</x:v>
      </x:c>
      <x:c r="K488" s="37" t="str">
        <x:v>Ø</x:v>
      </x:c>
      <x:c r="L488" s="48" t="str">
        <x:f>_xlfn.XLOOKUP($A488&amp;"|"&amp;$G488,'試行能力狀態'!$L$7:$L$258,'試行能力狀態'!$E$7:$E$258,"未評估",0)</x:f>
        <x:v>未評估</x:v>
      </x:c>
      <x:c r="M488" s="48" t="str">
        <x:f>_xlfn.XLOOKUP($A488&amp;"|"&amp;$G488,'試行能力狀態'!$L$7:$L$258,'試行能力狀態'!$F$7:$F$258,"未建立",0)</x:f>
        <x:v>未建立</x:v>
      </x:c>
      <x:c r="N488" s="48" t="str">
        <x:f>IF($L488="◎","符合獨立",IF($L488="Ø","符合條件","不符合"))</x:f>
        <x:v>不符合</x:v>
      </x:c>
      <x:c r="O488" s="48" t="str">
        <x:f>_xlfn.XLOOKUP($A488&amp;"|李侑津醫師",'試行熟悉度'!$K$7:$K$20,'試行熟悉度'!$E$7:$E$20,"未評估",0)</x:f>
        <x:v>未評估</x:v>
      </x:c>
      <x:c r="P488" s="48" t="str">
        <x:f>_xlfn.XLOOKUP($A488&amp;"|李侑津醫師",'試行熟悉度'!$K$7:$K$20,'試行熟悉度'!$F$7:$F$20,"未建立",0)</x:f>
        <x:v>未建立</x:v>
      </x:c>
      <x:c r="Q488" s="39" t="str">
        <x:v>確認後才納入自動判定</x:v>
      </x:c>
    </x:row>
    <x:row r="489">
      <x:c r="A489" s="37" t="str">
        <x:v>1029</x:v>
      </x:c>
      <x:c r="B489" s="37" t="str"/>
      <x:c r="C489" s="37" t="str">
        <x:v>LJT-RCT</x:v>
      </x:c>
      <x:c r="D489" s="37" t="str">
        <x:v>一般根管治療</x:v>
      </x:c>
      <x:c r="E489" s="37" t="str">
        <x:v>一般</x:v>
      </x:c>
      <x:c r="F489" s="37" t="str">
        <x:v>一般</x:v>
      </x:c>
      <x:c r="G489" s="37" t="str">
        <x:v>COMMON-INSURANCE</x:v>
      </x:c>
      <x:c r="H489" s="37" t="str">
        <x:v>待確認</x:v>
      </x:c>
      <x:c r="I489" s="37" t="str">
        <x:f>_xlfn.XLOOKUP($C489&amp;"|"&amp;$G489,'李醫師能力要求'!$M$7:$M$59,'李醫師能力要求'!$K$7:$K$59,"待確認",0)</x:f>
        <x:v>待確認</x:v>
      </x:c>
      <x:c r="J489" s="37" t="str">
        <x:v>◎</x:v>
      </x:c>
      <x:c r="K489" s="37" t="str">
        <x:v>Ø</x:v>
      </x:c>
      <x:c r="L489" s="48" t="str">
        <x:f>_xlfn.XLOOKUP($A489&amp;"|"&amp;$G489,'試行能力狀態'!$L$7:$L$258,'試行能力狀態'!$E$7:$E$258,"未評估",0)</x:f>
        <x:v>未評估</x:v>
      </x:c>
      <x:c r="M489" s="48" t="str">
        <x:f>_xlfn.XLOOKUP($A489&amp;"|"&amp;$G489,'試行能力狀態'!$L$7:$L$258,'試行能力狀態'!$F$7:$F$258,"未建立",0)</x:f>
        <x:v>未建立</x:v>
      </x:c>
      <x:c r="N489" s="48" t="str">
        <x:f>IF($L489="◎","符合獨立",IF($L489="Ø","符合條件","不符合"))</x:f>
        <x:v>不符合</x:v>
      </x:c>
      <x:c r="O489" s="48" t="str">
        <x:f>_xlfn.XLOOKUP($A489&amp;"|李侑津醫師",'試行熟悉度'!$K$7:$K$20,'試行熟悉度'!$E$7:$E$20,"未評估",0)</x:f>
        <x:v>未評估</x:v>
      </x:c>
      <x:c r="P489" s="48" t="str">
        <x:f>_xlfn.XLOOKUP($A489&amp;"|李侑津醫師",'試行熟悉度'!$K$7:$K$20,'試行熟悉度'!$F$7:$F$20,"未建立",0)</x:f>
        <x:v>未建立</x:v>
      </x:c>
      <x:c r="Q489" s="39" t="str">
        <x:v>確認後才納入自動判定</x:v>
      </x:c>
    </x:row>
    <x:row r="490">
      <x:c r="A490" s="37" t="str">
        <x:v>1029</x:v>
      </x:c>
      <x:c r="B490" s="37" t="str"/>
      <x:c r="C490" s="37" t="str">
        <x:v>LJT-RCT</x:v>
      </x:c>
      <x:c r="D490" s="37" t="str">
        <x:v>一般根管治療</x:v>
      </x:c>
      <x:c r="E490" s="37" t="str">
        <x:v>一般</x:v>
      </x:c>
      <x:c r="F490" s="37" t="str">
        <x:v>一般</x:v>
      </x:c>
      <x:c r="G490" s="37" t="str">
        <x:v>COMMON-XRAY-RECORD</x:v>
      </x:c>
      <x:c r="H490" s="37" t="str">
        <x:v>待確認</x:v>
      </x:c>
      <x:c r="I490" s="37" t="str">
        <x:f>_xlfn.XLOOKUP($C490&amp;"|"&amp;$G490,'李醫師能力要求'!$M$7:$M$59,'李醫師能力要求'!$K$7:$K$59,"待確認",0)</x:f>
        <x:v>待確認</x:v>
      </x:c>
      <x:c r="J490" s="37" t="str">
        <x:v>◎</x:v>
      </x:c>
      <x:c r="K490" s="37" t="str">
        <x:v>Ø</x:v>
      </x:c>
      <x:c r="L490" s="48" t="str">
        <x:f>_xlfn.XLOOKUP($A490&amp;"|"&amp;$G490,'試行能力狀態'!$L$7:$L$258,'試行能力狀態'!$E$7:$E$258,"未評估",0)</x:f>
        <x:v>未評估</x:v>
      </x:c>
      <x:c r="M490" s="48" t="str">
        <x:f>_xlfn.XLOOKUP($A490&amp;"|"&amp;$G490,'試行能力狀態'!$L$7:$L$258,'試行能力狀態'!$F$7:$F$258,"未建立",0)</x:f>
        <x:v>未建立</x:v>
      </x:c>
      <x:c r="N490" s="48" t="str">
        <x:f>IF($L490="◎","符合獨立",IF($L490="Ø","符合條件","不符合"))</x:f>
        <x:v>不符合</x:v>
      </x:c>
      <x:c r="O490" s="48" t="str">
        <x:f>_xlfn.XLOOKUP($A490&amp;"|李侑津醫師",'試行熟悉度'!$K$7:$K$20,'試行熟悉度'!$E$7:$E$20,"未評估",0)</x:f>
        <x:v>未評估</x:v>
      </x:c>
      <x:c r="P490" s="48" t="str">
        <x:f>_xlfn.XLOOKUP($A490&amp;"|李侑津醫師",'試行熟悉度'!$K$7:$K$20,'試行熟悉度'!$F$7:$F$20,"未建立",0)</x:f>
        <x:v>未建立</x:v>
      </x:c>
      <x:c r="Q490" s="39" t="str">
        <x:v>確認後才納入自動判定</x:v>
      </x:c>
    </x:row>
    <x:row r="491">
      <x:c r="A491" s="37" t="str">
        <x:v>1029</x:v>
      </x:c>
      <x:c r="B491" s="37" t="str"/>
      <x:c r="C491" s="37" t="str">
        <x:v>LJT-EXTRACTION</x:v>
      </x:c>
      <x:c r="D491" s="37" t="str">
        <x:v>拔牙</x:v>
      </x:c>
      <x:c r="E491" s="37" t="str">
        <x:v>一般</x:v>
      </x:c>
      <x:c r="F491" s="37" t="str">
        <x:v>一般</x:v>
      </x:c>
      <x:c r="G491" s="37" t="str">
        <x:v>LJT-PREP-EXTRACTION</x:v>
      </x:c>
      <x:c r="H491" s="37" t="str">
        <x:v>必備</x:v>
      </x:c>
      <x:c r="I491" s="37" t="str">
        <x:f>_xlfn.XLOOKUP($C491&amp;"|"&amp;$G491,'李醫師能力要求'!$M$7:$M$59,'李醫師能力要求'!$K$7:$K$59,"待確認",0)</x:f>
        <x:v>已確認</x:v>
      </x:c>
      <x:c r="J491" s="37" t="str">
        <x:v>◎</x:v>
      </x:c>
      <x:c r="K491" s="37" t="str">
        <x:v>Ø</x:v>
      </x:c>
      <x:c r="L491" s="48" t="str">
        <x:f>_xlfn.XLOOKUP($A491&amp;"|"&amp;$G491,'試行能力狀態'!$L$7:$L$258,'試行能力狀態'!$E$7:$E$258,"未評估",0)</x:f>
        <x:v>未評估</x:v>
      </x:c>
      <x:c r="M491" s="48" t="str">
        <x:f>_xlfn.XLOOKUP($A491&amp;"|"&amp;$G491,'試行能力狀態'!$L$7:$L$258,'試行能力狀態'!$F$7:$F$258,"未建立",0)</x:f>
        <x:v>未建立</x:v>
      </x:c>
      <x:c r="N491" s="48" t="str">
        <x:f>IF($L491="◎","符合獨立",IF($L491="Ø","符合條件","不符合"))</x:f>
        <x:v>不符合</x:v>
      </x:c>
      <x:c r="O491" s="48" t="str">
        <x:f>_xlfn.XLOOKUP($A491&amp;"|李侑津醫師",'試行熟悉度'!$K$7:$K$20,'試行熟悉度'!$E$7:$E$20,"未評估",0)</x:f>
        <x:v>未評估</x:v>
      </x:c>
      <x:c r="P491" s="48" t="str">
        <x:f>_xlfn.XLOOKUP($A491&amp;"|李侑津醫師",'試行熟悉度'!$K$7:$K$20,'試行熟悉度'!$F$7:$F$20,"未建立",0)</x:f>
        <x:v>未建立</x:v>
      </x:c>
      <x:c r="Q491" s="39" t="str">
        <x:v>依一般支援名額</x:v>
      </x:c>
    </x:row>
    <x:row r="492">
      <x:c r="A492" s="37" t="str">
        <x:v>1029</x:v>
      </x:c>
      <x:c r="B492" s="37" t="str"/>
      <x:c r="C492" s="37" t="str">
        <x:v>LJT-EXTRACTION</x:v>
      </x:c>
      <x:c r="D492" s="37" t="str">
        <x:v>拔牙</x:v>
      </x:c>
      <x:c r="E492" s="37" t="str">
        <x:v>一般</x:v>
      </x:c>
      <x:c r="F492" s="37" t="str">
        <x:v>一般</x:v>
      </x:c>
      <x:c r="G492" s="37" t="str">
        <x:v>COMMON-RECORD</x:v>
      </x:c>
      <x:c r="H492" s="37" t="str">
        <x:v>待確認</x:v>
      </x:c>
      <x:c r="I492" s="37" t="str">
        <x:f>_xlfn.XLOOKUP($C492&amp;"|"&amp;$G492,'李醫師能力要求'!$M$7:$M$59,'李醫師能力要求'!$K$7:$K$59,"待確認",0)</x:f>
        <x:v>待確認</x:v>
      </x:c>
      <x:c r="J492" s="37" t="str">
        <x:v>◎</x:v>
      </x:c>
      <x:c r="K492" s="37" t="str">
        <x:v>Ø</x:v>
      </x:c>
      <x:c r="L492" s="48" t="str">
        <x:f>_xlfn.XLOOKUP($A492&amp;"|"&amp;$G492,'試行能力狀態'!$L$7:$L$258,'試行能力狀態'!$E$7:$E$258,"未評估",0)</x:f>
        <x:v>未評估</x:v>
      </x:c>
      <x:c r="M492" s="48" t="str">
        <x:f>_xlfn.XLOOKUP($A492&amp;"|"&amp;$G492,'試行能力狀態'!$L$7:$L$258,'試行能力狀態'!$F$7:$F$258,"未建立",0)</x:f>
        <x:v>未建立</x:v>
      </x:c>
      <x:c r="N492" s="48" t="str">
        <x:f>IF($L492="◎","符合獨立",IF($L492="Ø","符合條件","不符合"))</x:f>
        <x:v>不符合</x:v>
      </x:c>
      <x:c r="O492" s="48" t="str">
        <x:f>_xlfn.XLOOKUP($A492&amp;"|李侑津醫師",'試行熟悉度'!$K$7:$K$20,'試行熟悉度'!$E$7:$E$20,"未評估",0)</x:f>
        <x:v>未評估</x:v>
      </x:c>
      <x:c r="P492" s="48" t="str">
        <x:f>_xlfn.XLOOKUP($A492&amp;"|李侑津醫師",'試行熟悉度'!$K$7:$K$20,'試行熟悉度'!$F$7:$F$20,"未建立",0)</x:f>
        <x:v>未建立</x:v>
      </x:c>
      <x:c r="Q492" s="39" t="str">
        <x:v>確認後才納入自動判定</x:v>
      </x:c>
    </x:row>
    <x:row r="493">
      <x:c r="A493" s="37" t="str">
        <x:v>1029</x:v>
      </x:c>
      <x:c r="B493" s="37" t="str"/>
      <x:c r="C493" s="37" t="str">
        <x:v>LJT-EXTRACTION</x:v>
      </x:c>
      <x:c r="D493" s="37" t="str">
        <x:v>拔牙</x:v>
      </x:c>
      <x:c r="E493" s="37" t="str">
        <x:v>一般</x:v>
      </x:c>
      <x:c r="F493" s="37" t="str">
        <x:v>一般</x:v>
      </x:c>
      <x:c r="G493" s="37" t="str">
        <x:v>COMMON-INSURANCE</x:v>
      </x:c>
      <x:c r="H493" s="37" t="str">
        <x:v>待確認</x:v>
      </x:c>
      <x:c r="I493" s="37" t="str">
        <x:f>_xlfn.XLOOKUP($C493&amp;"|"&amp;$G493,'李醫師能力要求'!$M$7:$M$59,'李醫師能力要求'!$K$7:$K$59,"待確認",0)</x:f>
        <x:v>待確認</x:v>
      </x:c>
      <x:c r="J493" s="37" t="str">
        <x:v>◎</x:v>
      </x:c>
      <x:c r="K493" s="37" t="str">
        <x:v>Ø</x:v>
      </x:c>
      <x:c r="L493" s="48" t="str">
        <x:f>_xlfn.XLOOKUP($A493&amp;"|"&amp;$G493,'試行能力狀態'!$L$7:$L$258,'試行能力狀態'!$E$7:$E$258,"未評估",0)</x:f>
        <x:v>未評估</x:v>
      </x:c>
      <x:c r="M493" s="48" t="str">
        <x:f>_xlfn.XLOOKUP($A493&amp;"|"&amp;$G493,'試行能力狀態'!$L$7:$L$258,'試行能力狀態'!$F$7:$F$258,"未建立",0)</x:f>
        <x:v>未建立</x:v>
      </x:c>
      <x:c r="N493" s="48" t="str">
        <x:f>IF($L493="◎","符合獨立",IF($L493="Ø","符合條件","不符合"))</x:f>
        <x:v>不符合</x:v>
      </x:c>
      <x:c r="O493" s="48" t="str">
        <x:f>_xlfn.XLOOKUP($A493&amp;"|李侑津醫師",'試行熟悉度'!$K$7:$K$20,'試行熟悉度'!$E$7:$E$20,"未評估",0)</x:f>
        <x:v>未評估</x:v>
      </x:c>
      <x:c r="P493" s="48" t="str">
        <x:f>_xlfn.XLOOKUP($A493&amp;"|李侑津醫師",'試行熟悉度'!$K$7:$K$20,'試行熟悉度'!$F$7:$F$20,"未建立",0)</x:f>
        <x:v>未建立</x:v>
      </x:c>
      <x:c r="Q493" s="39" t="str">
        <x:v>確認後才納入自動判定</x:v>
      </x:c>
    </x:row>
    <x:row r="494">
      <x:c r="A494" s="37" t="str">
        <x:v>1029</x:v>
      </x:c>
      <x:c r="B494" s="37" t="str"/>
      <x:c r="C494" s="37" t="str">
        <x:v>LJT-EXTRACTION</x:v>
      </x:c>
      <x:c r="D494" s="37" t="str">
        <x:v>拔牙</x:v>
      </x:c>
      <x:c r="E494" s="37" t="str">
        <x:v>一般</x:v>
      </x:c>
      <x:c r="F494" s="37" t="str">
        <x:v>一般</x:v>
      </x:c>
      <x:c r="G494" s="37" t="str">
        <x:v>COMMON-XRAY-RECORD</x:v>
      </x:c>
      <x:c r="H494" s="37" t="str">
        <x:v>待確認</x:v>
      </x:c>
      <x:c r="I494" s="37" t="str">
        <x:f>_xlfn.XLOOKUP($C494&amp;"|"&amp;$G494,'李醫師能力要求'!$M$7:$M$59,'李醫師能力要求'!$K$7:$K$59,"待確認",0)</x:f>
        <x:v>待確認</x:v>
      </x:c>
      <x:c r="J494" s="37" t="str">
        <x:v>◎</x:v>
      </x:c>
      <x:c r="K494" s="37" t="str">
        <x:v>Ø</x:v>
      </x:c>
      <x:c r="L494" s="48" t="str">
        <x:f>_xlfn.XLOOKUP($A494&amp;"|"&amp;$G494,'試行能力狀態'!$L$7:$L$258,'試行能力狀態'!$E$7:$E$258,"未評估",0)</x:f>
        <x:v>未評估</x:v>
      </x:c>
      <x:c r="M494" s="48" t="str">
        <x:f>_xlfn.XLOOKUP($A494&amp;"|"&amp;$G494,'試行能力狀態'!$L$7:$L$258,'試行能力狀態'!$F$7:$F$258,"未建立",0)</x:f>
        <x:v>未建立</x:v>
      </x:c>
      <x:c r="N494" s="48" t="str">
        <x:f>IF($L494="◎","符合獨立",IF($L494="Ø","符合條件","不符合"))</x:f>
        <x:v>不符合</x:v>
      </x:c>
      <x:c r="O494" s="48" t="str">
        <x:f>_xlfn.XLOOKUP($A494&amp;"|李侑津醫師",'試行熟悉度'!$K$7:$K$20,'試行熟悉度'!$E$7:$E$20,"未評估",0)</x:f>
        <x:v>未評估</x:v>
      </x:c>
      <x:c r="P494" s="48" t="str">
        <x:f>_xlfn.XLOOKUP($A494&amp;"|李侑津醫師",'試行熟悉度'!$K$7:$K$20,'試行熟悉度'!$F$7:$F$20,"未建立",0)</x:f>
        <x:v>未建立</x:v>
      </x:c>
      <x:c r="Q494" s="39" t="str">
        <x:v>確認後才納入自動判定</x:v>
      </x:c>
    </x:row>
    <x:row r="495">
      <x:c r="A495" s="37" t="str">
        <x:v>1029</x:v>
      </x:c>
      <x:c r="B495" s="37" t="str"/>
      <x:c r="C495" s="37" t="str">
        <x:v>LJT-CROWNPOST</x:v>
      </x:c>
      <x:c r="D495" s="37" t="str">
        <x:v>拆 crown/post</x:v>
      </x:c>
      <x:c r="E495" s="37" t="str">
        <x:v>一般</x:v>
      </x:c>
      <x:c r="F495" s="37" t="str">
        <x:v>一般</x:v>
      </x:c>
      <x:c r="G495" s="37" t="str">
        <x:v>LJT-PREP-CROWNPOST</x:v>
      </x:c>
      <x:c r="H495" s="37" t="str">
        <x:v>必備</x:v>
      </x:c>
      <x:c r="I495" s="37" t="str">
        <x:f>_xlfn.XLOOKUP($C495&amp;"|"&amp;$G495,'李醫師能力要求'!$M$7:$M$59,'李醫師能力要求'!$K$7:$K$59,"待確認",0)</x:f>
        <x:v>已確認</x:v>
      </x:c>
      <x:c r="J495" s="37" t="str">
        <x:v>◎</x:v>
      </x:c>
      <x:c r="K495" s="37" t="str">
        <x:v>Ø</x:v>
      </x:c>
      <x:c r="L495" s="48" t="str">
        <x:f>_xlfn.XLOOKUP($A495&amp;"|"&amp;$G495,'試行能力狀態'!$L$7:$L$258,'試行能力狀態'!$E$7:$E$258,"未評估",0)</x:f>
        <x:v>未評估</x:v>
      </x:c>
      <x:c r="M495" s="48" t="str">
        <x:f>_xlfn.XLOOKUP($A495&amp;"|"&amp;$G495,'試行能力狀態'!$L$7:$L$258,'試行能力狀態'!$F$7:$F$258,"未建立",0)</x:f>
        <x:v>未建立</x:v>
      </x:c>
      <x:c r="N495" s="48" t="str">
        <x:f>IF($L495="◎","符合獨立",IF($L495="Ø","符合條件","不符合"))</x:f>
        <x:v>不符合</x:v>
      </x:c>
      <x:c r="O495" s="48" t="str">
        <x:f>_xlfn.XLOOKUP($A495&amp;"|李侑津醫師",'試行熟悉度'!$K$7:$K$20,'試行熟悉度'!$E$7:$E$20,"未評估",0)</x:f>
        <x:v>未評估</x:v>
      </x:c>
      <x:c r="P495" s="48" t="str">
        <x:f>_xlfn.XLOOKUP($A495&amp;"|李侑津醫師",'試行熟悉度'!$K$7:$K$20,'試行熟悉度'!$F$7:$F$20,"未建立",0)</x:f>
        <x:v>未建立</x:v>
      </x:c>
      <x:c r="Q495" s="39" t="str">
        <x:v>依一般支援名額</x:v>
      </x:c>
    </x:row>
    <x:row r="496">
      <x:c r="A496" s="37" t="str">
        <x:v>1029</x:v>
      </x:c>
      <x:c r="B496" s="37" t="str"/>
      <x:c r="C496" s="37" t="str">
        <x:v>LJT-CROWNPOST</x:v>
      </x:c>
      <x:c r="D496" s="37" t="str">
        <x:v>拆 crown/post</x:v>
      </x:c>
      <x:c r="E496" s="37" t="str">
        <x:v>一般</x:v>
      </x:c>
      <x:c r="F496" s="37" t="str">
        <x:v>一般</x:v>
      </x:c>
      <x:c r="G496" s="37" t="str">
        <x:v>COMMON-RECORD</x:v>
      </x:c>
      <x:c r="H496" s="37" t="str">
        <x:v>待確認</x:v>
      </x:c>
      <x:c r="I496" s="37" t="str">
        <x:f>_xlfn.XLOOKUP($C496&amp;"|"&amp;$G496,'李醫師能力要求'!$M$7:$M$59,'李醫師能力要求'!$K$7:$K$59,"待確認",0)</x:f>
        <x:v>待確認</x:v>
      </x:c>
      <x:c r="J496" s="37" t="str">
        <x:v>◎</x:v>
      </x:c>
      <x:c r="K496" s="37" t="str">
        <x:v>Ø</x:v>
      </x:c>
      <x:c r="L496" s="48" t="str">
        <x:f>_xlfn.XLOOKUP($A496&amp;"|"&amp;$G496,'試行能力狀態'!$L$7:$L$258,'試行能力狀態'!$E$7:$E$258,"未評估",0)</x:f>
        <x:v>未評估</x:v>
      </x:c>
      <x:c r="M496" s="48" t="str">
        <x:f>_xlfn.XLOOKUP($A496&amp;"|"&amp;$G496,'試行能力狀態'!$L$7:$L$258,'試行能力狀態'!$F$7:$F$258,"未建立",0)</x:f>
        <x:v>未建立</x:v>
      </x:c>
      <x:c r="N496" s="48" t="str">
        <x:f>IF($L496="◎","符合獨立",IF($L496="Ø","符合條件","不符合"))</x:f>
        <x:v>不符合</x:v>
      </x:c>
      <x:c r="O496" s="48" t="str">
        <x:f>_xlfn.XLOOKUP($A496&amp;"|李侑津醫師",'試行熟悉度'!$K$7:$K$20,'試行熟悉度'!$E$7:$E$20,"未評估",0)</x:f>
        <x:v>未評估</x:v>
      </x:c>
      <x:c r="P496" s="48" t="str">
        <x:f>_xlfn.XLOOKUP($A496&amp;"|李侑津醫師",'試行熟悉度'!$K$7:$K$20,'試行熟悉度'!$F$7:$F$20,"未建立",0)</x:f>
        <x:v>未建立</x:v>
      </x:c>
      <x:c r="Q496" s="39" t="str">
        <x:v>確認後才納入自動判定</x:v>
      </x:c>
    </x:row>
    <x:row r="497">
      <x:c r="A497" s="37" t="str">
        <x:v>1029</x:v>
      </x:c>
      <x:c r="B497" s="37" t="str"/>
      <x:c r="C497" s="37" t="str">
        <x:v>LJT-CROWNPOST</x:v>
      </x:c>
      <x:c r="D497" s="37" t="str">
        <x:v>拆 crown/post</x:v>
      </x:c>
      <x:c r="E497" s="37" t="str">
        <x:v>一般</x:v>
      </x:c>
      <x:c r="F497" s="37" t="str">
        <x:v>一般</x:v>
      </x:c>
      <x:c r="G497" s="37" t="str">
        <x:v>COMMON-INSURANCE</x:v>
      </x:c>
      <x:c r="H497" s="37" t="str">
        <x:v>待確認</x:v>
      </x:c>
      <x:c r="I497" s="37" t="str">
        <x:f>_xlfn.XLOOKUP($C497&amp;"|"&amp;$G497,'李醫師能力要求'!$M$7:$M$59,'李醫師能力要求'!$K$7:$K$59,"待確認",0)</x:f>
        <x:v>待確認</x:v>
      </x:c>
      <x:c r="J497" s="37" t="str">
        <x:v>◎</x:v>
      </x:c>
      <x:c r="K497" s="37" t="str">
        <x:v>Ø</x:v>
      </x:c>
      <x:c r="L497" s="48" t="str">
        <x:f>_xlfn.XLOOKUP($A497&amp;"|"&amp;$G497,'試行能力狀態'!$L$7:$L$258,'試行能力狀態'!$E$7:$E$258,"未評估",0)</x:f>
        <x:v>未評估</x:v>
      </x:c>
      <x:c r="M497" s="48" t="str">
        <x:f>_xlfn.XLOOKUP($A497&amp;"|"&amp;$G497,'試行能力狀態'!$L$7:$L$258,'試行能力狀態'!$F$7:$F$258,"未建立",0)</x:f>
        <x:v>未建立</x:v>
      </x:c>
      <x:c r="N497" s="48" t="str">
        <x:f>IF($L497="◎","符合獨立",IF($L497="Ø","符合條件","不符合"))</x:f>
        <x:v>不符合</x:v>
      </x:c>
      <x:c r="O497" s="48" t="str">
        <x:f>_xlfn.XLOOKUP($A497&amp;"|李侑津醫師",'試行熟悉度'!$K$7:$K$20,'試行熟悉度'!$E$7:$E$20,"未評估",0)</x:f>
        <x:v>未評估</x:v>
      </x:c>
      <x:c r="P497" s="48" t="str">
        <x:f>_xlfn.XLOOKUP($A497&amp;"|李侑津醫師",'試行熟悉度'!$K$7:$K$20,'試行熟悉度'!$F$7:$F$20,"未建立",0)</x:f>
        <x:v>未建立</x:v>
      </x:c>
      <x:c r="Q497" s="39" t="str">
        <x:v>確認後才納入自動判定</x:v>
      </x:c>
    </x:row>
    <x:row r="498">
      <x:c r="A498" s="37" t="str">
        <x:v>1029</x:v>
      </x:c>
      <x:c r="B498" s="37" t="str"/>
      <x:c r="C498" s="37" t="str">
        <x:v>LJT-CROWNPOST</x:v>
      </x:c>
      <x:c r="D498" s="37" t="str">
        <x:v>拆 crown/post</x:v>
      </x:c>
      <x:c r="E498" s="37" t="str">
        <x:v>一般</x:v>
      </x:c>
      <x:c r="F498" s="37" t="str">
        <x:v>一般</x:v>
      </x:c>
      <x:c r="G498" s="37" t="str">
        <x:v>COMMON-XRAY-RECORD</x:v>
      </x:c>
      <x:c r="H498" s="37" t="str">
        <x:v>待確認</x:v>
      </x:c>
      <x:c r="I498" s="37" t="str">
        <x:f>_xlfn.XLOOKUP($C498&amp;"|"&amp;$G498,'李醫師能力要求'!$M$7:$M$59,'李醫師能力要求'!$K$7:$K$59,"待確認",0)</x:f>
        <x:v>待確認</x:v>
      </x:c>
      <x:c r="J498" s="37" t="str">
        <x:v>◎</x:v>
      </x:c>
      <x:c r="K498" s="37" t="str">
        <x:v>Ø</x:v>
      </x:c>
      <x:c r="L498" s="48" t="str">
        <x:f>_xlfn.XLOOKUP($A498&amp;"|"&amp;$G498,'試行能力狀態'!$L$7:$L$258,'試行能力狀態'!$E$7:$E$258,"未評估",0)</x:f>
        <x:v>未評估</x:v>
      </x:c>
      <x:c r="M498" s="48" t="str">
        <x:f>_xlfn.XLOOKUP($A498&amp;"|"&amp;$G498,'試行能力狀態'!$L$7:$L$258,'試行能力狀態'!$F$7:$F$258,"未建立",0)</x:f>
        <x:v>未建立</x:v>
      </x:c>
      <x:c r="N498" s="48" t="str">
        <x:f>IF($L498="◎","符合獨立",IF($L498="Ø","符合條件","不符合"))</x:f>
        <x:v>不符合</x:v>
      </x:c>
      <x:c r="O498" s="48" t="str">
        <x:f>_xlfn.XLOOKUP($A498&amp;"|李侑津醫師",'試行熟悉度'!$K$7:$K$20,'試行熟悉度'!$E$7:$E$20,"未評估",0)</x:f>
        <x:v>未評估</x:v>
      </x:c>
      <x:c r="P498" s="48" t="str">
        <x:f>_xlfn.XLOOKUP($A498&amp;"|李侑津醫師",'試行熟悉度'!$K$7:$K$20,'試行熟悉度'!$F$7:$F$20,"未建立",0)</x:f>
        <x:v>未建立</x:v>
      </x:c>
      <x:c r="Q498" s="39" t="str">
        <x:v>確認後才納入自動判定</x:v>
      </x:c>
    </x:row>
    <x:row r="499">
      <x:c r="A499" s="37" t="str">
        <x:v>1029</x:v>
      </x:c>
      <x:c r="B499" s="37" t="str"/>
      <x:c r="C499" s="37" t="str">
        <x:v>LJT-CROWN</x:v>
      </x:c>
      <x:c r="D499" s="37" t="str">
        <x:v>固定假牙</x:v>
      </x:c>
      <x:c r="E499" s="37" t="str">
        <x:v>一般</x:v>
      </x:c>
      <x:c r="F499" s="37" t="str">
        <x:v>一般</x:v>
      </x:c>
      <x:c r="G499" s="37" t="str">
        <x:v>LJT-PREP-CROWN</x:v>
      </x:c>
      <x:c r="H499" s="37" t="str">
        <x:v>必備</x:v>
      </x:c>
      <x:c r="I499" s="37" t="str">
        <x:f>_xlfn.XLOOKUP($C499&amp;"|"&amp;$G499,'李醫師能力要求'!$M$7:$M$59,'李醫師能力要求'!$K$7:$K$59,"待確認",0)</x:f>
        <x:v>已確認</x:v>
      </x:c>
      <x:c r="J499" s="37" t="str">
        <x:v>◎</x:v>
      </x:c>
      <x:c r="K499" s="37" t="str">
        <x:v>Ø</x:v>
      </x:c>
      <x:c r="L499" s="48" t="str">
        <x:f>_xlfn.XLOOKUP($A499&amp;"|"&amp;$G499,'試行能力狀態'!$L$7:$L$258,'試行能力狀態'!$E$7:$E$258,"未評估",0)</x:f>
        <x:v>未評估</x:v>
      </x:c>
      <x:c r="M499" s="48" t="str">
        <x:f>_xlfn.XLOOKUP($A499&amp;"|"&amp;$G499,'試行能力狀態'!$L$7:$L$258,'試行能力狀態'!$F$7:$F$258,"未建立",0)</x:f>
        <x:v>未建立</x:v>
      </x:c>
      <x:c r="N499" s="48" t="str">
        <x:f>IF($L499="◎","符合獨立",IF($L499="Ø","符合條件","不符合"))</x:f>
        <x:v>不符合</x:v>
      </x:c>
      <x:c r="O499" s="48" t="str">
        <x:f>_xlfn.XLOOKUP($A499&amp;"|李侑津醫師",'試行熟悉度'!$K$7:$K$20,'試行熟悉度'!$E$7:$E$20,"未評估",0)</x:f>
        <x:v>未評估</x:v>
      </x:c>
      <x:c r="P499" s="48" t="str">
        <x:f>_xlfn.XLOOKUP($A499&amp;"|李侑津醫師",'試行熟悉度'!$K$7:$K$20,'試行熟悉度'!$F$7:$F$20,"未建立",0)</x:f>
        <x:v>未建立</x:v>
      </x:c>
      <x:c r="Q499" s="39" t="str">
        <x:v>依一般支援名額</x:v>
      </x:c>
    </x:row>
    <x:row r="500">
      <x:c r="A500" s="37" t="str">
        <x:v>1029</x:v>
      </x:c>
      <x:c r="B500" s="37" t="str"/>
      <x:c r="C500" s="37" t="str">
        <x:v>LJT-CROWN</x:v>
      </x:c>
      <x:c r="D500" s="37" t="str">
        <x:v>固定假牙</x:v>
      </x:c>
      <x:c r="E500" s="37" t="str">
        <x:v>一般</x:v>
      </x:c>
      <x:c r="F500" s="37" t="str">
        <x:v>一般</x:v>
      </x:c>
      <x:c r="G500" s="37" t="str">
        <x:v>COMMON-RECORD</x:v>
      </x:c>
      <x:c r="H500" s="37" t="str">
        <x:v>待確認</x:v>
      </x:c>
      <x:c r="I500" s="37" t="str">
        <x:f>_xlfn.XLOOKUP($C500&amp;"|"&amp;$G500,'李醫師能力要求'!$M$7:$M$59,'李醫師能力要求'!$K$7:$K$59,"待確認",0)</x:f>
        <x:v>待確認</x:v>
      </x:c>
      <x:c r="J500" s="37" t="str">
        <x:v>◎</x:v>
      </x:c>
      <x:c r="K500" s="37" t="str">
        <x:v>Ø</x:v>
      </x:c>
      <x:c r="L500" s="48" t="str">
        <x:f>_xlfn.XLOOKUP($A500&amp;"|"&amp;$G500,'試行能力狀態'!$L$7:$L$258,'試行能力狀態'!$E$7:$E$258,"未評估",0)</x:f>
        <x:v>未評估</x:v>
      </x:c>
      <x:c r="M500" s="48" t="str">
        <x:f>_xlfn.XLOOKUP($A500&amp;"|"&amp;$G500,'試行能力狀態'!$L$7:$L$258,'試行能力狀態'!$F$7:$F$258,"未建立",0)</x:f>
        <x:v>未建立</x:v>
      </x:c>
      <x:c r="N500" s="48" t="str">
        <x:f>IF($L500="◎","符合獨立",IF($L500="Ø","符合條件","不符合"))</x:f>
        <x:v>不符合</x:v>
      </x:c>
      <x:c r="O500" s="48" t="str">
        <x:f>_xlfn.XLOOKUP($A500&amp;"|李侑津醫師",'試行熟悉度'!$K$7:$K$20,'試行熟悉度'!$E$7:$E$20,"未評估",0)</x:f>
        <x:v>未評估</x:v>
      </x:c>
      <x:c r="P500" s="48" t="str">
        <x:f>_xlfn.XLOOKUP($A500&amp;"|李侑津醫師",'試行熟悉度'!$K$7:$K$20,'試行熟悉度'!$F$7:$F$20,"未建立",0)</x:f>
        <x:v>未建立</x:v>
      </x:c>
      <x:c r="Q500" s="39" t="str">
        <x:v>確認後才納入自動判定</x:v>
      </x:c>
    </x:row>
    <x:row r="501">
      <x:c r="A501" s="37" t="str">
        <x:v>1029</x:v>
      </x:c>
      <x:c r="B501" s="37" t="str"/>
      <x:c r="C501" s="37" t="str">
        <x:v>LJT-CROWN</x:v>
      </x:c>
      <x:c r="D501" s="37" t="str">
        <x:v>固定假牙</x:v>
      </x:c>
      <x:c r="E501" s="37" t="str">
        <x:v>一般</x:v>
      </x:c>
      <x:c r="F501" s="37" t="str">
        <x:v>一般</x:v>
      </x:c>
      <x:c r="G501" s="37" t="str">
        <x:v>COMMON-INSURANCE</x:v>
      </x:c>
      <x:c r="H501" s="37" t="str">
        <x:v>待確認</x:v>
      </x:c>
      <x:c r="I501" s="37" t="str">
        <x:f>_xlfn.XLOOKUP($C501&amp;"|"&amp;$G501,'李醫師能力要求'!$M$7:$M$59,'李醫師能力要求'!$K$7:$K$59,"待確認",0)</x:f>
        <x:v>待確認</x:v>
      </x:c>
      <x:c r="J501" s="37" t="str">
        <x:v>◎</x:v>
      </x:c>
      <x:c r="K501" s="37" t="str">
        <x:v>Ø</x:v>
      </x:c>
      <x:c r="L501" s="48" t="str">
        <x:f>_xlfn.XLOOKUP($A501&amp;"|"&amp;$G501,'試行能力狀態'!$L$7:$L$258,'試行能力狀態'!$E$7:$E$258,"未評估",0)</x:f>
        <x:v>未評估</x:v>
      </x:c>
      <x:c r="M501" s="48" t="str">
        <x:f>_xlfn.XLOOKUP($A501&amp;"|"&amp;$G501,'試行能力狀態'!$L$7:$L$258,'試行能力狀態'!$F$7:$F$258,"未建立",0)</x:f>
        <x:v>未建立</x:v>
      </x:c>
      <x:c r="N501" s="48" t="str">
        <x:f>IF($L501="◎","符合獨立",IF($L501="Ø","符合條件","不符合"))</x:f>
        <x:v>不符合</x:v>
      </x:c>
      <x:c r="O501" s="48" t="str">
        <x:f>_xlfn.XLOOKUP($A501&amp;"|李侑津醫師",'試行熟悉度'!$K$7:$K$20,'試行熟悉度'!$E$7:$E$20,"未評估",0)</x:f>
        <x:v>未評估</x:v>
      </x:c>
      <x:c r="P501" s="48" t="str">
        <x:f>_xlfn.XLOOKUP($A501&amp;"|李侑津醫師",'試行熟悉度'!$K$7:$K$20,'試行熟悉度'!$F$7:$F$20,"未建立",0)</x:f>
        <x:v>未建立</x:v>
      </x:c>
      <x:c r="Q501" s="39" t="str">
        <x:v>確認後才納入自動判定</x:v>
      </x:c>
    </x:row>
    <x:row r="502">
      <x:c r="A502" s="37" t="str">
        <x:v>1029</x:v>
      </x:c>
      <x:c r="B502" s="37" t="str"/>
      <x:c r="C502" s="37" t="str">
        <x:v>LJT-CROWN</x:v>
      </x:c>
      <x:c r="D502" s="37" t="str">
        <x:v>固定假牙</x:v>
      </x:c>
      <x:c r="E502" s="37" t="str">
        <x:v>一般</x:v>
      </x:c>
      <x:c r="F502" s="37" t="str">
        <x:v>一般</x:v>
      </x:c>
      <x:c r="G502" s="37" t="str">
        <x:v>COMMON-XRAY-RECORD</x:v>
      </x:c>
      <x:c r="H502" s="37" t="str">
        <x:v>待確認</x:v>
      </x:c>
      <x:c r="I502" s="37" t="str">
        <x:f>_xlfn.XLOOKUP($C502&amp;"|"&amp;$G502,'李醫師能力要求'!$M$7:$M$59,'李醫師能力要求'!$K$7:$K$59,"待確認",0)</x:f>
        <x:v>待確認</x:v>
      </x:c>
      <x:c r="J502" s="37" t="str">
        <x:v>◎</x:v>
      </x:c>
      <x:c r="K502" s="37" t="str">
        <x:v>Ø</x:v>
      </x:c>
      <x:c r="L502" s="48" t="str">
        <x:f>_xlfn.XLOOKUP($A502&amp;"|"&amp;$G502,'試行能力狀態'!$L$7:$L$258,'試行能力狀態'!$E$7:$E$258,"未評估",0)</x:f>
        <x:v>未評估</x:v>
      </x:c>
      <x:c r="M502" s="48" t="str">
        <x:f>_xlfn.XLOOKUP($A502&amp;"|"&amp;$G502,'試行能力狀態'!$L$7:$L$258,'試行能力狀態'!$F$7:$F$258,"未建立",0)</x:f>
        <x:v>未建立</x:v>
      </x:c>
      <x:c r="N502" s="48" t="str">
        <x:f>IF($L502="◎","符合獨立",IF($L502="Ø","符合條件","不符合"))</x:f>
        <x:v>不符合</x:v>
      </x:c>
      <x:c r="O502" s="48" t="str">
        <x:f>_xlfn.XLOOKUP($A502&amp;"|李侑津醫師",'試行熟悉度'!$K$7:$K$20,'試行熟悉度'!$E$7:$E$20,"未評估",0)</x:f>
        <x:v>未評估</x:v>
      </x:c>
      <x:c r="P502" s="48" t="str">
        <x:f>_xlfn.XLOOKUP($A502&amp;"|李侑津醫師",'試行熟悉度'!$K$7:$K$20,'試行熟悉度'!$F$7:$F$20,"未建立",0)</x:f>
        <x:v>未建立</x:v>
      </x:c>
      <x:c r="Q502" s="39" t="str">
        <x:v>確認後才納入自動判定</x:v>
      </x:c>
    </x:row>
    <x:row r="503">
      <x:c r="A503" s="37" t="str">
        <x:v>1029</x:v>
      </x:c>
      <x:c r="B503" s="37" t="str"/>
      <x:c r="C503" s="37" t="str">
        <x:v>LJT-RPD</x:v>
      </x:c>
      <x:c r="D503" s="37" t="str">
        <x:v>RPD</x:v>
      </x:c>
      <x:c r="E503" s="37" t="str">
        <x:v>一般步驟</x:v>
      </x:c>
      <x:c r="F503" s="37" t="str">
        <x:v>一般</x:v>
      </x:c>
      <x:c r="G503" s="37" t="str">
        <x:v>LJT-PREP-RPD</x:v>
      </x:c>
      <x:c r="H503" s="37" t="str">
        <x:v>必備</x:v>
      </x:c>
      <x:c r="I503" s="37" t="str">
        <x:f>_xlfn.XLOOKUP($C503&amp;"|"&amp;$G503,'李醫師能力要求'!$M$7:$M$59,'李醫師能力要求'!$K$7:$K$59,"待確認",0)</x:f>
        <x:v>已確認</x:v>
      </x:c>
      <x:c r="J503" s="37" t="str">
        <x:v>◎</x:v>
      </x:c>
      <x:c r="K503" s="37" t="str">
        <x:v>Ø</x:v>
      </x:c>
      <x:c r="L503" s="48" t="str">
        <x:f>_xlfn.XLOOKUP($A503&amp;"|"&amp;$G503,'試行能力狀態'!$L$7:$L$258,'試行能力狀態'!$E$7:$E$258,"未評估",0)</x:f>
        <x:v>未評估</x:v>
      </x:c>
      <x:c r="M503" s="48" t="str">
        <x:f>_xlfn.XLOOKUP($A503&amp;"|"&amp;$G503,'試行能力狀態'!$L$7:$L$258,'試行能力狀態'!$F$7:$F$258,"未建立",0)</x:f>
        <x:v>未建立</x:v>
      </x:c>
      <x:c r="N503" s="48" t="str">
        <x:f>IF($L503="◎","符合獨立",IF($L503="Ø","符合條件","不符合"))</x:f>
        <x:v>不符合</x:v>
      </x:c>
      <x:c r="O503" s="48" t="str">
        <x:f>_xlfn.XLOOKUP($A503&amp;"|李侑津醫師",'試行熟悉度'!$K$7:$K$20,'試行熟悉度'!$E$7:$E$20,"未評估",0)</x:f>
        <x:v>未評估</x:v>
      </x:c>
      <x:c r="P503" s="48" t="str">
        <x:f>_xlfn.XLOOKUP($A503&amp;"|李侑津醫師",'試行熟悉度'!$K$7:$K$20,'試行熟悉度'!$F$7:$F$20,"未建立",0)</x:f>
        <x:v>未建立</x:v>
      </x:c>
      <x:c r="Q503" s="39" t="str">
        <x:v>依一般支援名額</x:v>
      </x:c>
    </x:row>
    <x:row r="504">
      <x:c r="A504" s="37" t="str">
        <x:v>1029</x:v>
      </x:c>
      <x:c r="B504" s="37" t="str"/>
      <x:c r="C504" s="37" t="str">
        <x:v>LJT-RPD</x:v>
      </x:c>
      <x:c r="D504" s="37" t="str">
        <x:v>RPD</x:v>
      </x:c>
      <x:c r="E504" s="37" t="str">
        <x:v>一般步驟</x:v>
      </x:c>
      <x:c r="F504" s="37" t="str">
        <x:v>一般</x:v>
      </x:c>
      <x:c r="G504" s="37" t="str">
        <x:v>COMMON-RECORD</x:v>
      </x:c>
      <x:c r="H504" s="37" t="str">
        <x:v>待確認</x:v>
      </x:c>
      <x:c r="I504" s="37" t="str">
        <x:f>_xlfn.XLOOKUP($C504&amp;"|"&amp;$G504,'李醫師能力要求'!$M$7:$M$59,'李醫師能力要求'!$K$7:$K$59,"待確認",0)</x:f>
        <x:v>待確認</x:v>
      </x:c>
      <x:c r="J504" s="37" t="str">
        <x:v>◎</x:v>
      </x:c>
      <x:c r="K504" s="37" t="str">
        <x:v>Ø</x:v>
      </x:c>
      <x:c r="L504" s="48" t="str">
        <x:f>_xlfn.XLOOKUP($A504&amp;"|"&amp;$G504,'試行能力狀態'!$L$7:$L$258,'試行能力狀態'!$E$7:$E$258,"未評估",0)</x:f>
        <x:v>未評估</x:v>
      </x:c>
      <x:c r="M504" s="48" t="str">
        <x:f>_xlfn.XLOOKUP($A504&amp;"|"&amp;$G504,'試行能力狀態'!$L$7:$L$258,'試行能力狀態'!$F$7:$F$258,"未建立",0)</x:f>
        <x:v>未建立</x:v>
      </x:c>
      <x:c r="N504" s="48" t="str">
        <x:f>IF($L504="◎","符合獨立",IF($L504="Ø","符合條件","不符合"))</x:f>
        <x:v>不符合</x:v>
      </x:c>
      <x:c r="O504" s="48" t="str">
        <x:f>_xlfn.XLOOKUP($A504&amp;"|李侑津醫師",'試行熟悉度'!$K$7:$K$20,'試行熟悉度'!$E$7:$E$20,"未評估",0)</x:f>
        <x:v>未評估</x:v>
      </x:c>
      <x:c r="P504" s="48" t="str">
        <x:f>_xlfn.XLOOKUP($A504&amp;"|李侑津醫師",'試行熟悉度'!$K$7:$K$20,'試行熟悉度'!$F$7:$F$20,"未建立",0)</x:f>
        <x:v>未建立</x:v>
      </x:c>
      <x:c r="Q504" s="39" t="str">
        <x:v>確認後才納入自動判定</x:v>
      </x:c>
    </x:row>
    <x:row r="505">
      <x:c r="A505" s="37" t="str">
        <x:v>1029</x:v>
      </x:c>
      <x:c r="B505" s="37" t="str"/>
      <x:c r="C505" s="37" t="str">
        <x:v>LJT-RPD</x:v>
      </x:c>
      <x:c r="D505" s="37" t="str">
        <x:v>RPD</x:v>
      </x:c>
      <x:c r="E505" s="37" t="str">
        <x:v>一般步驟</x:v>
      </x:c>
      <x:c r="F505" s="37" t="str">
        <x:v>一般</x:v>
      </x:c>
      <x:c r="G505" s="37" t="str">
        <x:v>COMMON-INSURANCE</x:v>
      </x:c>
      <x:c r="H505" s="37" t="str">
        <x:v>待確認</x:v>
      </x:c>
      <x:c r="I505" s="37" t="str">
        <x:f>_xlfn.XLOOKUP($C505&amp;"|"&amp;$G505,'李醫師能力要求'!$M$7:$M$59,'李醫師能力要求'!$K$7:$K$59,"待確認",0)</x:f>
        <x:v>待確認</x:v>
      </x:c>
      <x:c r="J505" s="37" t="str">
        <x:v>◎</x:v>
      </x:c>
      <x:c r="K505" s="37" t="str">
        <x:v>Ø</x:v>
      </x:c>
      <x:c r="L505" s="48" t="str">
        <x:f>_xlfn.XLOOKUP($A505&amp;"|"&amp;$G505,'試行能力狀態'!$L$7:$L$258,'試行能力狀態'!$E$7:$E$258,"未評估",0)</x:f>
        <x:v>未評估</x:v>
      </x:c>
      <x:c r="M505" s="48" t="str">
        <x:f>_xlfn.XLOOKUP($A505&amp;"|"&amp;$G505,'試行能力狀態'!$L$7:$L$258,'試行能力狀態'!$F$7:$F$258,"未建立",0)</x:f>
        <x:v>未建立</x:v>
      </x:c>
      <x:c r="N505" s="48" t="str">
        <x:f>IF($L505="◎","符合獨立",IF($L505="Ø","符合條件","不符合"))</x:f>
        <x:v>不符合</x:v>
      </x:c>
      <x:c r="O505" s="48" t="str">
        <x:f>_xlfn.XLOOKUP($A505&amp;"|李侑津醫師",'試行熟悉度'!$K$7:$K$20,'試行熟悉度'!$E$7:$E$20,"未評估",0)</x:f>
        <x:v>未評估</x:v>
      </x:c>
      <x:c r="P505" s="48" t="str">
        <x:f>_xlfn.XLOOKUP($A505&amp;"|李侑津醫師",'試行熟悉度'!$K$7:$K$20,'試行熟悉度'!$F$7:$F$20,"未建立",0)</x:f>
        <x:v>未建立</x:v>
      </x:c>
      <x:c r="Q505" s="39" t="str">
        <x:v>確認後才納入自動判定</x:v>
      </x:c>
    </x:row>
    <x:row r="506">
      <x:c r="A506" s="37" t="str">
        <x:v>1029</x:v>
      </x:c>
      <x:c r="B506" s="37" t="str"/>
      <x:c r="C506" s="37" t="str">
        <x:v>LJT-RPD</x:v>
      </x:c>
      <x:c r="D506" s="37" t="str">
        <x:v>RPD</x:v>
      </x:c>
      <x:c r="E506" s="37" t="str">
        <x:v>一般步驟</x:v>
      </x:c>
      <x:c r="F506" s="37" t="str">
        <x:v>一般</x:v>
      </x:c>
      <x:c r="G506" s="37" t="str">
        <x:v>COMMON-XRAY-RECORD</x:v>
      </x:c>
      <x:c r="H506" s="37" t="str">
        <x:v>待確認</x:v>
      </x:c>
      <x:c r="I506" s="37" t="str">
        <x:f>_xlfn.XLOOKUP($C506&amp;"|"&amp;$G506,'李醫師能力要求'!$M$7:$M$59,'李醫師能力要求'!$K$7:$K$59,"待確認",0)</x:f>
        <x:v>待確認</x:v>
      </x:c>
      <x:c r="J506" s="37" t="str">
        <x:v>◎</x:v>
      </x:c>
      <x:c r="K506" s="37" t="str">
        <x:v>Ø</x:v>
      </x:c>
      <x:c r="L506" s="48" t="str">
        <x:f>_xlfn.XLOOKUP($A506&amp;"|"&amp;$G506,'試行能力狀態'!$L$7:$L$258,'試行能力狀態'!$E$7:$E$258,"未評估",0)</x:f>
        <x:v>未評估</x:v>
      </x:c>
      <x:c r="M506" s="48" t="str">
        <x:f>_xlfn.XLOOKUP($A506&amp;"|"&amp;$G506,'試行能力狀態'!$L$7:$L$258,'試行能力狀態'!$F$7:$F$258,"未建立",0)</x:f>
        <x:v>未建立</x:v>
      </x:c>
      <x:c r="N506" s="48" t="str">
        <x:f>IF($L506="◎","符合獨立",IF($L506="Ø","符合條件","不符合"))</x:f>
        <x:v>不符合</x:v>
      </x:c>
      <x:c r="O506" s="48" t="str">
        <x:f>_xlfn.XLOOKUP($A506&amp;"|李侑津醫師",'試行熟悉度'!$K$7:$K$20,'試行熟悉度'!$E$7:$E$20,"未評估",0)</x:f>
        <x:v>未評估</x:v>
      </x:c>
      <x:c r="P506" s="48" t="str">
        <x:f>_xlfn.XLOOKUP($A506&amp;"|李侑津醫師",'試行熟悉度'!$K$7:$K$20,'試行熟悉度'!$F$7:$F$20,"未建立",0)</x:f>
        <x:v>未建立</x:v>
      </x:c>
      <x:c r="Q506" s="39" t="str">
        <x:v>確認後才納入自動判定</x:v>
      </x:c>
    </x:row>
    <x:row r="507">
      <x:c r="A507" s="37" t="str">
        <x:v>1029</x:v>
      </x:c>
      <x:c r="B507" s="37" t="str"/>
      <x:c r="C507" s="37" t="str">
        <x:v>LJT-RPD-FINAL</x:v>
      </x:c>
      <x:c r="D507" s="37" t="str">
        <x:v>RPD</x:v>
      </x:c>
      <x:c r="E507" s="37" t="str">
        <x:v>印最終模</x:v>
      </x:c>
      <x:c r="F507" s="37" t="str">
        <x:v>特殊階段</x:v>
      </x:c>
      <x:c r="G507" s="37" t="str">
        <x:v>LJT-PREP-RPD</x:v>
      </x:c>
      <x:c r="H507" s="37" t="str">
        <x:v>必備</x:v>
      </x:c>
      <x:c r="I507" s="37" t="str">
        <x:f>_xlfn.XLOOKUP($C507&amp;"|"&amp;$G507,'李醫師能力要求'!$M$7:$M$59,'李醫師能力要求'!$K$7:$K$59,"待確認",0)</x:f>
        <x:v>已確認</x:v>
      </x:c>
      <x:c r="J507" s="37" t="str">
        <x:v>◎</x:v>
      </x:c>
      <x:c r="K507" s="37" t="str">
        <x:v>Ø</x:v>
      </x:c>
      <x:c r="L507" s="48" t="str">
        <x:f>_xlfn.XLOOKUP($A507&amp;"|"&amp;$G507,'試行能力狀態'!$L$7:$L$258,'試行能力狀態'!$E$7:$E$258,"未評估",0)</x:f>
        <x:v>未評估</x:v>
      </x:c>
      <x:c r="M507" s="48" t="str">
        <x:f>_xlfn.XLOOKUP($A507&amp;"|"&amp;$G507,'試行能力狀態'!$L$7:$L$258,'試行能力狀態'!$F$7:$F$258,"未建立",0)</x:f>
        <x:v>未建立</x:v>
      </x:c>
      <x:c r="N507" s="48" t="str">
        <x:f>IF($L507="◎","符合獨立",IF($L507="Ø","符合條件","不符合"))</x:f>
        <x:v>不符合</x:v>
      </x:c>
      <x:c r="O507" s="48" t="str">
        <x:f>_xlfn.XLOOKUP($A507&amp;"|李侑津醫師",'試行熟悉度'!$K$7:$K$20,'試行熟悉度'!$E$7:$E$20,"未評估",0)</x:f>
        <x:v>未評估</x:v>
      </x:c>
      <x:c r="P507" s="48" t="str">
        <x:f>_xlfn.XLOOKUP($A507&amp;"|李侑津醫師",'試行熟悉度'!$K$7:$K$20,'試行熟悉度'!$F$7:$F$20,"未建立",0)</x:f>
        <x:v>未建立</x:v>
      </x:c>
      <x:c r="Q507" s="39" t="str">
        <x:v>依一般支援名額</x:v>
      </x:c>
    </x:row>
    <x:row r="508">
      <x:c r="A508" s="37" t="str">
        <x:v>1029</x:v>
      </x:c>
      <x:c r="B508" s="37" t="str"/>
      <x:c r="C508" s="37" t="str">
        <x:v>LJT-RPD-FINAL</x:v>
      </x:c>
      <x:c r="D508" s="37" t="str">
        <x:v>RPD</x:v>
      </x:c>
      <x:c r="E508" s="37" t="str">
        <x:v>印最終模</x:v>
      </x:c>
      <x:c r="F508" s="37" t="str">
        <x:v>特殊階段</x:v>
      </x:c>
      <x:c r="G508" s="37" t="str">
        <x:v>COMMON-RECORD</x:v>
      </x:c>
      <x:c r="H508" s="37" t="str">
        <x:v>待確認</x:v>
      </x:c>
      <x:c r="I508" s="37" t="str">
        <x:f>_xlfn.XLOOKUP($C508&amp;"|"&amp;$G508,'李醫師能力要求'!$M$7:$M$59,'李醫師能力要求'!$K$7:$K$59,"待確認",0)</x:f>
        <x:v>待確認</x:v>
      </x:c>
      <x:c r="J508" s="37" t="str">
        <x:v>◎</x:v>
      </x:c>
      <x:c r="K508" s="37" t="str">
        <x:v>Ø</x:v>
      </x:c>
      <x:c r="L508" s="48" t="str">
        <x:f>_xlfn.XLOOKUP($A508&amp;"|"&amp;$G508,'試行能力狀態'!$L$7:$L$258,'試行能力狀態'!$E$7:$E$258,"未評估",0)</x:f>
        <x:v>未評估</x:v>
      </x:c>
      <x:c r="M508" s="48" t="str">
        <x:f>_xlfn.XLOOKUP($A508&amp;"|"&amp;$G508,'試行能力狀態'!$L$7:$L$258,'試行能力狀態'!$F$7:$F$258,"未建立",0)</x:f>
        <x:v>未建立</x:v>
      </x:c>
      <x:c r="N508" s="48" t="str">
        <x:f>IF($L508="◎","符合獨立",IF($L508="Ø","符合條件","不符合"))</x:f>
        <x:v>不符合</x:v>
      </x:c>
      <x:c r="O508" s="48" t="str">
        <x:f>_xlfn.XLOOKUP($A508&amp;"|李侑津醫師",'試行熟悉度'!$K$7:$K$20,'試行熟悉度'!$E$7:$E$20,"未評估",0)</x:f>
        <x:v>未評估</x:v>
      </x:c>
      <x:c r="P508" s="48" t="str">
        <x:f>_xlfn.XLOOKUP($A508&amp;"|李侑津醫師",'試行熟悉度'!$K$7:$K$20,'試行熟悉度'!$F$7:$F$20,"未建立",0)</x:f>
        <x:v>未建立</x:v>
      </x:c>
      <x:c r="Q508" s="39" t="str">
        <x:v>確認後才納入自動判定</x:v>
      </x:c>
    </x:row>
    <x:row r="509">
      <x:c r="A509" s="37" t="str">
        <x:v>1029</x:v>
      </x:c>
      <x:c r="B509" s="37" t="str"/>
      <x:c r="C509" s="37" t="str">
        <x:v>LJT-RPD-FINAL</x:v>
      </x:c>
      <x:c r="D509" s="37" t="str">
        <x:v>RPD</x:v>
      </x:c>
      <x:c r="E509" s="37" t="str">
        <x:v>印最終模</x:v>
      </x:c>
      <x:c r="F509" s="37" t="str">
        <x:v>特殊階段</x:v>
      </x:c>
      <x:c r="G509" s="37" t="str">
        <x:v>COMMON-INSURANCE</x:v>
      </x:c>
      <x:c r="H509" s="37" t="str">
        <x:v>待確認</x:v>
      </x:c>
      <x:c r="I509" s="37" t="str">
        <x:f>_xlfn.XLOOKUP($C509&amp;"|"&amp;$G509,'李醫師能力要求'!$M$7:$M$59,'李醫師能力要求'!$K$7:$K$59,"待確認",0)</x:f>
        <x:v>待確認</x:v>
      </x:c>
      <x:c r="J509" s="37" t="str">
        <x:v>◎</x:v>
      </x:c>
      <x:c r="K509" s="37" t="str">
        <x:v>Ø</x:v>
      </x:c>
      <x:c r="L509" s="48" t="str">
        <x:f>_xlfn.XLOOKUP($A509&amp;"|"&amp;$G509,'試行能力狀態'!$L$7:$L$258,'試行能力狀態'!$E$7:$E$258,"未評估",0)</x:f>
        <x:v>未評估</x:v>
      </x:c>
      <x:c r="M509" s="48" t="str">
        <x:f>_xlfn.XLOOKUP($A509&amp;"|"&amp;$G509,'試行能力狀態'!$L$7:$L$258,'試行能力狀態'!$F$7:$F$258,"未建立",0)</x:f>
        <x:v>未建立</x:v>
      </x:c>
      <x:c r="N509" s="48" t="str">
        <x:f>IF($L509="◎","符合獨立",IF($L509="Ø","符合條件","不符合"))</x:f>
        <x:v>不符合</x:v>
      </x:c>
      <x:c r="O509" s="48" t="str">
        <x:f>_xlfn.XLOOKUP($A509&amp;"|李侑津醫師",'試行熟悉度'!$K$7:$K$20,'試行熟悉度'!$E$7:$E$20,"未評估",0)</x:f>
        <x:v>未評估</x:v>
      </x:c>
      <x:c r="P509" s="48" t="str">
        <x:f>_xlfn.XLOOKUP($A509&amp;"|李侑津醫師",'試行熟悉度'!$K$7:$K$20,'試行熟悉度'!$F$7:$F$20,"未建立",0)</x:f>
        <x:v>未建立</x:v>
      </x:c>
      <x:c r="Q509" s="39" t="str">
        <x:v>確認後才納入自動判定</x:v>
      </x:c>
    </x:row>
    <x:row r="510">
      <x:c r="A510" s="37" t="str">
        <x:v>1029</x:v>
      </x:c>
      <x:c r="B510" s="37" t="str"/>
      <x:c r="C510" s="37" t="str">
        <x:v>LJT-RPD-FINAL</x:v>
      </x:c>
      <x:c r="D510" s="37" t="str">
        <x:v>RPD</x:v>
      </x:c>
      <x:c r="E510" s="37" t="str">
        <x:v>印最終模</x:v>
      </x:c>
      <x:c r="F510" s="37" t="str">
        <x:v>特殊階段</x:v>
      </x:c>
      <x:c r="G510" s="37" t="str">
        <x:v>COMMON-XRAY-RECORD</x:v>
      </x:c>
      <x:c r="H510" s="37" t="str">
        <x:v>待確認</x:v>
      </x:c>
      <x:c r="I510" s="37" t="str">
        <x:f>_xlfn.XLOOKUP($C510&amp;"|"&amp;$G510,'李醫師能力要求'!$M$7:$M$59,'李醫師能力要求'!$K$7:$K$59,"待確認",0)</x:f>
        <x:v>待確認</x:v>
      </x:c>
      <x:c r="J510" s="37" t="str">
        <x:v>◎</x:v>
      </x:c>
      <x:c r="K510" s="37" t="str">
        <x:v>Ø</x:v>
      </x:c>
      <x:c r="L510" s="48" t="str">
        <x:f>_xlfn.XLOOKUP($A510&amp;"|"&amp;$G510,'試行能力狀態'!$L$7:$L$258,'試行能力狀態'!$E$7:$E$258,"未評估",0)</x:f>
        <x:v>未評估</x:v>
      </x:c>
      <x:c r="M510" s="48" t="str">
        <x:f>_xlfn.XLOOKUP($A510&amp;"|"&amp;$G510,'試行能力狀態'!$L$7:$L$258,'試行能力狀態'!$F$7:$F$258,"未建立",0)</x:f>
        <x:v>未建立</x:v>
      </x:c>
      <x:c r="N510" s="48" t="str">
        <x:f>IF($L510="◎","符合獨立",IF($L510="Ø","符合條件","不符合"))</x:f>
        <x:v>不符合</x:v>
      </x:c>
      <x:c r="O510" s="48" t="str">
        <x:f>_xlfn.XLOOKUP($A510&amp;"|李侑津醫師",'試行熟悉度'!$K$7:$K$20,'試行熟悉度'!$E$7:$E$20,"未評估",0)</x:f>
        <x:v>未評估</x:v>
      </x:c>
      <x:c r="P510" s="48" t="str">
        <x:f>_xlfn.XLOOKUP($A510&amp;"|李侑津醫師",'試行熟悉度'!$K$7:$K$20,'試行熟悉度'!$F$7:$F$20,"未建立",0)</x:f>
        <x:v>未建立</x:v>
      </x:c>
      <x:c r="Q510" s="39" t="str">
        <x:v>確認後才納入自動判定</x:v>
      </x:c>
    </x:row>
    <x:row r="511">
      <x:c r="A511" s="37" t="str">
        <x:v>1029</x:v>
      </x:c>
      <x:c r="B511" s="37" t="str"/>
      <x:c r="C511" s="37" t="str">
        <x:v>LJT-AIRPOLISH</x:v>
      </x:c>
      <x:c r="D511" s="37" t="str">
        <x:v>噴砂美白</x:v>
      </x:c>
      <x:c r="E511" s="37" t="str">
        <x:v>一般</x:v>
      </x:c>
      <x:c r="F511" s="37" t="str">
        <x:v>一般</x:v>
      </x:c>
      <x:c r="G511" s="37" t="str">
        <x:v>LJT-PREP-AIRPOLISH</x:v>
      </x:c>
      <x:c r="H511" s="37" t="str">
        <x:v>必備</x:v>
      </x:c>
      <x:c r="I511" s="37" t="str">
        <x:f>_xlfn.XLOOKUP($C511&amp;"|"&amp;$G511,'李醫師能力要求'!$M$7:$M$59,'李醫師能力要求'!$K$7:$K$59,"待確認",0)</x:f>
        <x:v>已確認</x:v>
      </x:c>
      <x:c r="J511" s="37" t="str">
        <x:v>◎</x:v>
      </x:c>
      <x:c r="K511" s="37" t="str">
        <x:v>Ø</x:v>
      </x:c>
      <x:c r="L511" s="48" t="str">
        <x:f>_xlfn.XLOOKUP($A511&amp;"|"&amp;$G511,'試行能力狀態'!$L$7:$L$258,'試行能力狀態'!$E$7:$E$258,"未評估",0)</x:f>
        <x:v>未評估</x:v>
      </x:c>
      <x:c r="M511" s="48" t="str">
        <x:f>_xlfn.XLOOKUP($A511&amp;"|"&amp;$G511,'試行能力狀態'!$L$7:$L$258,'試行能力狀態'!$F$7:$F$258,"未建立",0)</x:f>
        <x:v>未建立</x:v>
      </x:c>
      <x:c r="N511" s="48" t="str">
        <x:f>IF($L511="◎","符合獨立",IF($L511="Ø","符合條件","不符合"))</x:f>
        <x:v>不符合</x:v>
      </x:c>
      <x:c r="O511" s="48" t="str">
        <x:f>_xlfn.XLOOKUP($A511&amp;"|李侑津醫師",'試行熟悉度'!$K$7:$K$20,'試行熟悉度'!$E$7:$E$20,"未評估",0)</x:f>
        <x:v>未評估</x:v>
      </x:c>
      <x:c r="P511" s="48" t="str">
        <x:f>_xlfn.XLOOKUP($A511&amp;"|李侑津醫師",'試行熟悉度'!$K$7:$K$20,'試行熟悉度'!$F$7:$F$20,"未建立",0)</x:f>
        <x:v>未建立</x:v>
      </x:c>
      <x:c r="Q511" s="39" t="str">
        <x:v>依一般支援名額</x:v>
      </x:c>
    </x:row>
    <x:row r="512">
      <x:c r="A512" s="37" t="str">
        <x:v>1029</x:v>
      </x:c>
      <x:c r="B512" s="37" t="str"/>
      <x:c r="C512" s="37" t="str">
        <x:v>LJT-AIRPOLISH</x:v>
      </x:c>
      <x:c r="D512" s="37" t="str">
        <x:v>噴砂美白</x:v>
      </x:c>
      <x:c r="E512" s="37" t="str">
        <x:v>一般</x:v>
      </x:c>
      <x:c r="F512" s="37" t="str">
        <x:v>一般</x:v>
      </x:c>
      <x:c r="G512" s="37" t="str">
        <x:v>COMMON-RECORD</x:v>
      </x:c>
      <x:c r="H512" s="37" t="str">
        <x:v>待確認</x:v>
      </x:c>
      <x:c r="I512" s="37" t="str">
        <x:f>_xlfn.XLOOKUP($C512&amp;"|"&amp;$G512,'李醫師能力要求'!$M$7:$M$59,'李醫師能力要求'!$K$7:$K$59,"待確認",0)</x:f>
        <x:v>待確認</x:v>
      </x:c>
      <x:c r="J512" s="37" t="str">
        <x:v>◎</x:v>
      </x:c>
      <x:c r="K512" s="37" t="str">
        <x:v>Ø</x:v>
      </x:c>
      <x:c r="L512" s="48" t="str">
        <x:f>_xlfn.XLOOKUP($A512&amp;"|"&amp;$G512,'試行能力狀態'!$L$7:$L$258,'試行能力狀態'!$E$7:$E$258,"未評估",0)</x:f>
        <x:v>未評估</x:v>
      </x:c>
      <x:c r="M512" s="48" t="str">
        <x:f>_xlfn.XLOOKUP($A512&amp;"|"&amp;$G512,'試行能力狀態'!$L$7:$L$258,'試行能力狀態'!$F$7:$F$258,"未建立",0)</x:f>
        <x:v>未建立</x:v>
      </x:c>
      <x:c r="N512" s="48" t="str">
        <x:f>IF($L512="◎","符合獨立",IF($L512="Ø","符合條件","不符合"))</x:f>
        <x:v>不符合</x:v>
      </x:c>
      <x:c r="O512" s="48" t="str">
        <x:f>_xlfn.XLOOKUP($A512&amp;"|李侑津醫師",'試行熟悉度'!$K$7:$K$20,'試行熟悉度'!$E$7:$E$20,"未評估",0)</x:f>
        <x:v>未評估</x:v>
      </x:c>
      <x:c r="P512" s="48" t="str">
        <x:f>_xlfn.XLOOKUP($A512&amp;"|李侑津醫師",'試行熟悉度'!$K$7:$K$20,'試行熟悉度'!$F$7:$F$20,"未建立",0)</x:f>
        <x:v>未建立</x:v>
      </x:c>
      <x:c r="Q512" s="39" t="str">
        <x:v>確認後才納入自動判定</x:v>
      </x:c>
    </x:row>
    <x:row r="513">
      <x:c r="A513" s="37" t="str">
        <x:v>1029</x:v>
      </x:c>
      <x:c r="B513" s="37" t="str"/>
      <x:c r="C513" s="37" t="str">
        <x:v>LJT-AIRPOLISH</x:v>
      </x:c>
      <x:c r="D513" s="37" t="str">
        <x:v>噴砂美白</x:v>
      </x:c>
      <x:c r="E513" s="37" t="str">
        <x:v>一般</x:v>
      </x:c>
      <x:c r="F513" s="37" t="str">
        <x:v>一般</x:v>
      </x:c>
      <x:c r="G513" s="37" t="str">
        <x:v>COMMON-INSURANCE</x:v>
      </x:c>
      <x:c r="H513" s="37" t="str">
        <x:v>待確認</x:v>
      </x:c>
      <x:c r="I513" s="37" t="str">
        <x:f>_xlfn.XLOOKUP($C513&amp;"|"&amp;$G513,'李醫師能力要求'!$M$7:$M$59,'李醫師能力要求'!$K$7:$K$59,"待確認",0)</x:f>
        <x:v>待確認</x:v>
      </x:c>
      <x:c r="J513" s="37" t="str">
        <x:v>◎</x:v>
      </x:c>
      <x:c r="K513" s="37" t="str">
        <x:v>Ø</x:v>
      </x:c>
      <x:c r="L513" s="48" t="str">
        <x:f>_xlfn.XLOOKUP($A513&amp;"|"&amp;$G513,'試行能力狀態'!$L$7:$L$258,'試行能力狀態'!$E$7:$E$258,"未評估",0)</x:f>
        <x:v>未評估</x:v>
      </x:c>
      <x:c r="M513" s="48" t="str">
        <x:f>_xlfn.XLOOKUP($A513&amp;"|"&amp;$G513,'試行能力狀態'!$L$7:$L$258,'試行能力狀態'!$F$7:$F$258,"未建立",0)</x:f>
        <x:v>未建立</x:v>
      </x:c>
      <x:c r="N513" s="48" t="str">
        <x:f>IF($L513="◎","符合獨立",IF($L513="Ø","符合條件","不符合"))</x:f>
        <x:v>不符合</x:v>
      </x:c>
      <x:c r="O513" s="48" t="str">
        <x:f>_xlfn.XLOOKUP($A513&amp;"|李侑津醫師",'試行熟悉度'!$K$7:$K$20,'試行熟悉度'!$E$7:$E$20,"未評估",0)</x:f>
        <x:v>未評估</x:v>
      </x:c>
      <x:c r="P513" s="48" t="str">
        <x:f>_xlfn.XLOOKUP($A513&amp;"|李侑津醫師",'試行熟悉度'!$K$7:$K$20,'試行熟悉度'!$F$7:$F$20,"未建立",0)</x:f>
        <x:v>未建立</x:v>
      </x:c>
      <x:c r="Q513" s="39" t="str">
        <x:v>確認後才納入自動判定</x:v>
      </x:c>
    </x:row>
    <x:row r="514">
      <x:c r="A514" s="37" t="str">
        <x:v>1029</x:v>
      </x:c>
      <x:c r="B514" s="37" t="str"/>
      <x:c r="C514" s="37" t="str">
        <x:v>LJT-AIRPOLISH</x:v>
      </x:c>
      <x:c r="D514" s="37" t="str">
        <x:v>噴砂美白</x:v>
      </x:c>
      <x:c r="E514" s="37" t="str">
        <x:v>一般</x:v>
      </x:c>
      <x:c r="F514" s="37" t="str">
        <x:v>一般</x:v>
      </x:c>
      <x:c r="G514" s="37" t="str">
        <x:v>COMMON-XRAY-RECORD</x:v>
      </x:c>
      <x:c r="H514" s="37" t="str">
        <x:v>待確認</x:v>
      </x:c>
      <x:c r="I514" s="37" t="str">
        <x:f>_xlfn.XLOOKUP($C514&amp;"|"&amp;$G514,'李醫師能力要求'!$M$7:$M$59,'李醫師能力要求'!$K$7:$K$59,"待確認",0)</x:f>
        <x:v>待確認</x:v>
      </x:c>
      <x:c r="J514" s="37" t="str">
        <x:v>◎</x:v>
      </x:c>
      <x:c r="K514" s="37" t="str">
        <x:v>Ø</x:v>
      </x:c>
      <x:c r="L514" s="48" t="str">
        <x:f>_xlfn.XLOOKUP($A514&amp;"|"&amp;$G514,'試行能力狀態'!$L$7:$L$258,'試行能力狀態'!$E$7:$E$258,"未評估",0)</x:f>
        <x:v>未評估</x:v>
      </x:c>
      <x:c r="M514" s="48" t="str">
        <x:f>_xlfn.XLOOKUP($A514&amp;"|"&amp;$G514,'試行能力狀態'!$L$7:$L$258,'試行能力狀態'!$F$7:$F$258,"未建立",0)</x:f>
        <x:v>未建立</x:v>
      </x:c>
      <x:c r="N514" s="48" t="str">
        <x:f>IF($L514="◎","符合獨立",IF($L514="Ø","符合條件","不符合"))</x:f>
        <x:v>不符合</x:v>
      </x:c>
      <x:c r="O514" s="48" t="str">
        <x:f>_xlfn.XLOOKUP($A514&amp;"|李侑津醫師",'試行熟悉度'!$K$7:$K$20,'試行熟悉度'!$E$7:$E$20,"未評估",0)</x:f>
        <x:v>未評估</x:v>
      </x:c>
      <x:c r="P514" s="48" t="str">
        <x:f>_xlfn.XLOOKUP($A514&amp;"|李侑津醫師",'試行熟悉度'!$K$7:$K$20,'試行熟悉度'!$F$7:$F$20,"未建立",0)</x:f>
        <x:v>未建立</x:v>
      </x:c>
      <x:c r="Q514" s="39" t="str">
        <x:v>確認後才納入自動判定</x:v>
      </x:c>
    </x:row>
    <x:row r="515">
      <x:c r="A515" s="37" t="str">
        <x:v>1029</x:v>
      </x:c>
      <x:c r="B515" s="37" t="str"/>
      <x:c r="C515" s="37" t="str">
        <x:v>LJT-PERIOSURG</x:v>
      </x:c>
      <x:c r="D515" s="37" t="str">
        <x:v>牙周手術</x:v>
      </x:c>
      <x:c r="E515" s="37" t="str">
        <x:v>一般</x:v>
      </x:c>
      <x:c r="F515" s="37" t="str">
        <x:v>高複雜度</x:v>
      </x:c>
      <x:c r="G515" s="37" t="str">
        <x:v>LJT-PREP-PERIOSURG</x:v>
      </x:c>
      <x:c r="H515" s="37" t="str">
        <x:v>必備</x:v>
      </x:c>
      <x:c r="I515" s="37" t="str">
        <x:f>_xlfn.XLOOKUP($C515&amp;"|"&amp;$G515,'李醫師能力要求'!$M$7:$M$59,'李醫師能力要求'!$K$7:$K$59,"待確認",0)</x:f>
        <x:v>已確認</x:v>
      </x:c>
      <x:c r="J515" s="37" t="str">
        <x:v>◎</x:v>
      </x:c>
      <x:c r="K515" s="37" t="str">
        <x:v>Ø</x:v>
      </x:c>
      <x:c r="L515" s="48" t="str">
        <x:f>_xlfn.XLOOKUP($A515&amp;"|"&amp;$G515,'試行能力狀態'!$L$7:$L$258,'試行能力狀態'!$E$7:$E$258,"未評估",0)</x:f>
        <x:v>未評估</x:v>
      </x:c>
      <x:c r="M515" s="48" t="str">
        <x:f>_xlfn.XLOOKUP($A515&amp;"|"&amp;$G515,'試行能力狀態'!$L$7:$L$258,'試行能力狀態'!$F$7:$F$258,"未建立",0)</x:f>
        <x:v>未建立</x:v>
      </x:c>
      <x:c r="N515" s="48" t="str">
        <x:f>IF($L515="◎","符合獨立",IF($L515="Ø","符合條件","不符合"))</x:f>
        <x:v>不符合</x:v>
      </x:c>
      <x:c r="O515" s="48" t="str">
        <x:f>_xlfn.XLOOKUP($A515&amp;"|李侑津醫師",'試行熟悉度'!$K$7:$K$20,'試行熟悉度'!$E$7:$E$20,"未評估",0)</x:f>
        <x:v>未評估</x:v>
      </x:c>
      <x:c r="P515" s="48" t="str">
        <x:f>_xlfn.XLOOKUP($A515&amp;"|李侑津醫師",'試行熟悉度'!$K$7:$K$20,'試行熟悉度'!$F$7:$F$20,"未建立",0)</x:f>
        <x:v>未建立</x:v>
      </x:c>
      <x:c r="Q515" s="39" t="str">
        <x:v>Ø 時完整支援者 1:1</x:v>
      </x:c>
    </x:row>
    <x:row r="516">
      <x:c r="A516" s="37" t="str">
        <x:v>1029</x:v>
      </x:c>
      <x:c r="B516" s="37" t="str"/>
      <x:c r="C516" s="37" t="str">
        <x:v>LJT-PERIOSURG</x:v>
      </x:c>
      <x:c r="D516" s="37" t="str">
        <x:v>牙周手術</x:v>
      </x:c>
      <x:c r="E516" s="37" t="str">
        <x:v>一般</x:v>
      </x:c>
      <x:c r="F516" s="37" t="str">
        <x:v>高複雜度</x:v>
      </x:c>
      <x:c r="G516" s="37" t="str">
        <x:v>COMMON-RECORD</x:v>
      </x:c>
      <x:c r="H516" s="37" t="str">
        <x:v>待確認</x:v>
      </x:c>
      <x:c r="I516" s="37" t="str">
        <x:f>_xlfn.XLOOKUP($C516&amp;"|"&amp;$G516,'李醫師能力要求'!$M$7:$M$59,'李醫師能力要求'!$K$7:$K$59,"待確認",0)</x:f>
        <x:v>待確認</x:v>
      </x:c>
      <x:c r="J516" s="37" t="str">
        <x:v>◎</x:v>
      </x:c>
      <x:c r="K516" s="37" t="str">
        <x:v>Ø</x:v>
      </x:c>
      <x:c r="L516" s="48" t="str">
        <x:f>_xlfn.XLOOKUP($A516&amp;"|"&amp;$G516,'試行能力狀態'!$L$7:$L$258,'試行能力狀態'!$E$7:$E$258,"未評估",0)</x:f>
        <x:v>未評估</x:v>
      </x:c>
      <x:c r="M516" s="48" t="str">
        <x:f>_xlfn.XLOOKUP($A516&amp;"|"&amp;$G516,'試行能力狀態'!$L$7:$L$258,'試行能力狀態'!$F$7:$F$258,"未建立",0)</x:f>
        <x:v>未建立</x:v>
      </x:c>
      <x:c r="N516" s="48" t="str">
        <x:f>IF($L516="◎","符合獨立",IF($L516="Ø","符合條件","不符合"))</x:f>
        <x:v>不符合</x:v>
      </x:c>
      <x:c r="O516" s="48" t="str">
        <x:f>_xlfn.XLOOKUP($A516&amp;"|李侑津醫師",'試行熟悉度'!$K$7:$K$20,'試行熟悉度'!$E$7:$E$20,"未評估",0)</x:f>
        <x:v>未評估</x:v>
      </x:c>
      <x:c r="P516" s="48" t="str">
        <x:f>_xlfn.XLOOKUP($A516&amp;"|李侑津醫師",'試行熟悉度'!$K$7:$K$20,'試行熟悉度'!$F$7:$F$20,"未建立",0)</x:f>
        <x:v>未建立</x:v>
      </x:c>
      <x:c r="Q516" s="39" t="str">
        <x:v>確認後才納入自動判定</x:v>
      </x:c>
    </x:row>
    <x:row r="517">
      <x:c r="A517" s="37" t="str">
        <x:v>1029</x:v>
      </x:c>
      <x:c r="B517" s="37" t="str"/>
      <x:c r="C517" s="37" t="str">
        <x:v>LJT-PERIOSURG</x:v>
      </x:c>
      <x:c r="D517" s="37" t="str">
        <x:v>牙周手術</x:v>
      </x:c>
      <x:c r="E517" s="37" t="str">
        <x:v>一般</x:v>
      </x:c>
      <x:c r="F517" s="37" t="str">
        <x:v>高複雜度</x:v>
      </x:c>
      <x:c r="G517" s="37" t="str">
        <x:v>COMMON-INSURANCE</x:v>
      </x:c>
      <x:c r="H517" s="37" t="str">
        <x:v>待確認</x:v>
      </x:c>
      <x:c r="I517" s="37" t="str">
        <x:f>_xlfn.XLOOKUP($C517&amp;"|"&amp;$G517,'李醫師能力要求'!$M$7:$M$59,'李醫師能力要求'!$K$7:$K$59,"待確認",0)</x:f>
        <x:v>待確認</x:v>
      </x:c>
      <x:c r="J517" s="37" t="str">
        <x:v>◎</x:v>
      </x:c>
      <x:c r="K517" s="37" t="str">
        <x:v>Ø</x:v>
      </x:c>
      <x:c r="L517" s="48" t="str">
        <x:f>_xlfn.XLOOKUP($A517&amp;"|"&amp;$G517,'試行能力狀態'!$L$7:$L$258,'試行能力狀態'!$E$7:$E$258,"未評估",0)</x:f>
        <x:v>未評估</x:v>
      </x:c>
      <x:c r="M517" s="48" t="str">
        <x:f>_xlfn.XLOOKUP($A517&amp;"|"&amp;$G517,'試行能力狀態'!$L$7:$L$258,'試行能力狀態'!$F$7:$F$258,"未建立",0)</x:f>
        <x:v>未建立</x:v>
      </x:c>
      <x:c r="N517" s="48" t="str">
        <x:f>IF($L517="◎","符合獨立",IF($L517="Ø","符合條件","不符合"))</x:f>
        <x:v>不符合</x:v>
      </x:c>
      <x:c r="O517" s="48" t="str">
        <x:f>_xlfn.XLOOKUP($A517&amp;"|李侑津醫師",'試行熟悉度'!$K$7:$K$20,'試行熟悉度'!$E$7:$E$20,"未評估",0)</x:f>
        <x:v>未評估</x:v>
      </x:c>
      <x:c r="P517" s="48" t="str">
        <x:f>_xlfn.XLOOKUP($A517&amp;"|李侑津醫師",'試行熟悉度'!$K$7:$K$20,'試行熟悉度'!$F$7:$F$20,"未建立",0)</x:f>
        <x:v>未建立</x:v>
      </x:c>
      <x:c r="Q517" s="39" t="str">
        <x:v>確認後才納入自動判定</x:v>
      </x:c>
    </x:row>
    <x:row r="518">
      <x:c r="A518" s="37" t="str">
        <x:v>1029</x:v>
      </x:c>
      <x:c r="B518" s="37" t="str"/>
      <x:c r="C518" s="37" t="str">
        <x:v>LJT-PERIOSURG</x:v>
      </x:c>
      <x:c r="D518" s="37" t="str">
        <x:v>牙周手術</x:v>
      </x:c>
      <x:c r="E518" s="37" t="str">
        <x:v>一般</x:v>
      </x:c>
      <x:c r="F518" s="37" t="str">
        <x:v>高複雜度</x:v>
      </x:c>
      <x:c r="G518" s="37" t="str">
        <x:v>COMMON-XRAY-RECORD</x:v>
      </x:c>
      <x:c r="H518" s="37" t="str">
        <x:v>待確認</x:v>
      </x:c>
      <x:c r="I518" s="37" t="str">
        <x:f>_xlfn.XLOOKUP($C518&amp;"|"&amp;$G518,'李醫師能力要求'!$M$7:$M$59,'李醫師能力要求'!$K$7:$K$59,"待確認",0)</x:f>
        <x:v>待確認</x:v>
      </x:c>
      <x:c r="J518" s="37" t="str">
        <x:v>◎</x:v>
      </x:c>
      <x:c r="K518" s="37" t="str">
        <x:v>Ø</x:v>
      </x:c>
      <x:c r="L518" s="48" t="str">
        <x:f>_xlfn.XLOOKUP($A518&amp;"|"&amp;$G518,'試行能力狀態'!$L$7:$L$258,'試行能力狀態'!$E$7:$E$258,"未評估",0)</x:f>
        <x:v>未評估</x:v>
      </x:c>
      <x:c r="M518" s="48" t="str">
        <x:f>_xlfn.XLOOKUP($A518&amp;"|"&amp;$G518,'試行能力狀態'!$L$7:$L$258,'試行能力狀態'!$F$7:$F$258,"未建立",0)</x:f>
        <x:v>未建立</x:v>
      </x:c>
      <x:c r="N518" s="48" t="str">
        <x:f>IF($L518="◎","符合獨立",IF($L518="Ø","符合條件","不符合"))</x:f>
        <x:v>不符合</x:v>
      </x:c>
      <x:c r="O518" s="48" t="str">
        <x:f>_xlfn.XLOOKUP($A518&amp;"|李侑津醫師",'試行熟悉度'!$K$7:$K$20,'試行熟悉度'!$E$7:$E$20,"未評估",0)</x:f>
        <x:v>未評估</x:v>
      </x:c>
      <x:c r="P518" s="48" t="str">
        <x:f>_xlfn.XLOOKUP($A518&amp;"|李侑津醫師",'試行熟悉度'!$K$7:$K$20,'試行熟悉度'!$F$7:$F$20,"未建立",0)</x:f>
        <x:v>未建立</x:v>
      </x:c>
      <x:c r="Q518" s="39" t="str">
        <x:v>確認後才納入自動判定</x:v>
      </x:c>
    </x:row>
    <x:row r="519">
      <x:c r="A519" s="37" t="str">
        <x:v>1029</x:v>
      </x:c>
      <x:c r="B519" s="37" t="str"/>
      <x:c r="C519" s="37" t="str">
        <x:v>LJT-MICROENDO</x:v>
      </x:c>
      <x:c r="D519" s="37" t="str">
        <x:v>顯微根管</x:v>
      </x:c>
      <x:c r="E519" s="37" t="str">
        <x:v>一般</x:v>
      </x:c>
      <x:c r="F519" s="37" t="str">
        <x:v>高複雜度</x:v>
      </x:c>
      <x:c r="G519" s="37" t="str">
        <x:v>LJT-PREP-MICROENDO</x:v>
      </x:c>
      <x:c r="H519" s="37" t="str">
        <x:v>必備</x:v>
      </x:c>
      <x:c r="I519" s="37" t="str">
        <x:f>_xlfn.XLOOKUP($C519&amp;"|"&amp;$G519,'李醫師能力要求'!$M$7:$M$59,'李醫師能力要求'!$K$7:$K$59,"待確認",0)</x:f>
        <x:v>已確認</x:v>
      </x:c>
      <x:c r="J519" s="37" t="str">
        <x:v>◎</x:v>
      </x:c>
      <x:c r="K519" s="37" t="str">
        <x:v>Ø</x:v>
      </x:c>
      <x:c r="L519" s="48" t="str">
        <x:f>_xlfn.XLOOKUP($A519&amp;"|"&amp;$G519,'試行能力狀態'!$L$7:$L$258,'試行能力狀態'!$E$7:$E$258,"未評估",0)</x:f>
        <x:v>未評估</x:v>
      </x:c>
      <x:c r="M519" s="48" t="str">
        <x:f>_xlfn.XLOOKUP($A519&amp;"|"&amp;$G519,'試行能力狀態'!$L$7:$L$258,'試行能力狀態'!$F$7:$F$258,"未建立",0)</x:f>
        <x:v>未建立</x:v>
      </x:c>
      <x:c r="N519" s="48" t="str">
        <x:f>IF($L519="◎","符合獨立",IF($L519="Ø","符合條件","不符合"))</x:f>
        <x:v>不符合</x:v>
      </x:c>
      <x:c r="O519" s="48" t="str">
        <x:f>_xlfn.XLOOKUP($A519&amp;"|李侑津醫師",'試行熟悉度'!$K$7:$K$20,'試行熟悉度'!$E$7:$E$20,"未評估",0)</x:f>
        <x:v>未評估</x:v>
      </x:c>
      <x:c r="P519" s="48" t="str">
        <x:f>_xlfn.XLOOKUP($A519&amp;"|李侑津醫師",'試行熟悉度'!$K$7:$K$20,'試行熟悉度'!$F$7:$F$20,"未建立",0)</x:f>
        <x:v>未建立</x:v>
      </x:c>
      <x:c r="Q519" s="39" t="str">
        <x:v>Ø 時完整支援者 1:1</x:v>
      </x:c>
    </x:row>
    <x:row r="520">
      <x:c r="A520" s="37" t="str">
        <x:v>1029</x:v>
      </x:c>
      <x:c r="B520" s="37" t="str"/>
      <x:c r="C520" s="37" t="str">
        <x:v>LJT-MICROENDO</x:v>
      </x:c>
      <x:c r="D520" s="37" t="str">
        <x:v>顯微根管</x:v>
      </x:c>
      <x:c r="E520" s="37" t="str">
        <x:v>一般</x:v>
      </x:c>
      <x:c r="F520" s="37" t="str">
        <x:v>高複雜度</x:v>
      </x:c>
      <x:c r="G520" s="37" t="str">
        <x:v>COMMON-RECORD</x:v>
      </x:c>
      <x:c r="H520" s="37" t="str">
        <x:v>待確認</x:v>
      </x:c>
      <x:c r="I520" s="37" t="str">
        <x:f>_xlfn.XLOOKUP($C520&amp;"|"&amp;$G520,'李醫師能力要求'!$M$7:$M$59,'李醫師能力要求'!$K$7:$K$59,"待確認",0)</x:f>
        <x:v>待確認</x:v>
      </x:c>
      <x:c r="J520" s="37" t="str">
        <x:v>◎</x:v>
      </x:c>
      <x:c r="K520" s="37" t="str">
        <x:v>Ø</x:v>
      </x:c>
      <x:c r="L520" s="48" t="str">
        <x:f>_xlfn.XLOOKUP($A520&amp;"|"&amp;$G520,'試行能力狀態'!$L$7:$L$258,'試行能力狀態'!$E$7:$E$258,"未評估",0)</x:f>
        <x:v>未評估</x:v>
      </x:c>
      <x:c r="M520" s="48" t="str">
        <x:f>_xlfn.XLOOKUP($A520&amp;"|"&amp;$G520,'試行能力狀態'!$L$7:$L$258,'試行能力狀態'!$F$7:$F$258,"未建立",0)</x:f>
        <x:v>未建立</x:v>
      </x:c>
      <x:c r="N520" s="48" t="str">
        <x:f>IF($L520="◎","符合獨立",IF($L520="Ø","符合條件","不符合"))</x:f>
        <x:v>不符合</x:v>
      </x:c>
      <x:c r="O520" s="48" t="str">
        <x:f>_xlfn.XLOOKUP($A520&amp;"|李侑津醫師",'試行熟悉度'!$K$7:$K$20,'試行熟悉度'!$E$7:$E$20,"未評估",0)</x:f>
        <x:v>未評估</x:v>
      </x:c>
      <x:c r="P520" s="48" t="str">
        <x:f>_xlfn.XLOOKUP($A520&amp;"|李侑津醫師",'試行熟悉度'!$K$7:$K$20,'試行熟悉度'!$F$7:$F$20,"未建立",0)</x:f>
        <x:v>未建立</x:v>
      </x:c>
      <x:c r="Q520" s="39" t="str">
        <x:v>確認後才納入自動判定</x:v>
      </x:c>
    </x:row>
    <x:row r="521">
      <x:c r="A521" s="37" t="str">
        <x:v>1029</x:v>
      </x:c>
      <x:c r="B521" s="37" t="str"/>
      <x:c r="C521" s="37" t="str">
        <x:v>LJT-MICROENDO</x:v>
      </x:c>
      <x:c r="D521" s="37" t="str">
        <x:v>顯微根管</x:v>
      </x:c>
      <x:c r="E521" s="37" t="str">
        <x:v>一般</x:v>
      </x:c>
      <x:c r="F521" s="37" t="str">
        <x:v>高複雜度</x:v>
      </x:c>
      <x:c r="G521" s="37" t="str">
        <x:v>COMMON-INSURANCE</x:v>
      </x:c>
      <x:c r="H521" s="37" t="str">
        <x:v>待確認</x:v>
      </x:c>
      <x:c r="I521" s="37" t="str">
        <x:f>_xlfn.XLOOKUP($C521&amp;"|"&amp;$G521,'李醫師能力要求'!$M$7:$M$59,'李醫師能力要求'!$K$7:$K$59,"待確認",0)</x:f>
        <x:v>待確認</x:v>
      </x:c>
      <x:c r="J521" s="37" t="str">
        <x:v>◎</x:v>
      </x:c>
      <x:c r="K521" s="37" t="str">
        <x:v>Ø</x:v>
      </x:c>
      <x:c r="L521" s="48" t="str">
        <x:f>_xlfn.XLOOKUP($A521&amp;"|"&amp;$G521,'試行能力狀態'!$L$7:$L$258,'試行能力狀態'!$E$7:$E$258,"未評估",0)</x:f>
        <x:v>未評估</x:v>
      </x:c>
      <x:c r="M521" s="48" t="str">
        <x:f>_xlfn.XLOOKUP($A521&amp;"|"&amp;$G521,'試行能力狀態'!$L$7:$L$258,'試行能力狀態'!$F$7:$F$258,"未建立",0)</x:f>
        <x:v>未建立</x:v>
      </x:c>
      <x:c r="N521" s="48" t="str">
        <x:f>IF($L521="◎","符合獨立",IF($L521="Ø","符合條件","不符合"))</x:f>
        <x:v>不符合</x:v>
      </x:c>
      <x:c r="O521" s="48" t="str">
        <x:f>_xlfn.XLOOKUP($A521&amp;"|李侑津醫師",'試行熟悉度'!$K$7:$K$20,'試行熟悉度'!$E$7:$E$20,"未評估",0)</x:f>
        <x:v>未評估</x:v>
      </x:c>
      <x:c r="P521" s="48" t="str">
        <x:f>_xlfn.XLOOKUP($A521&amp;"|李侑津醫師",'試行熟悉度'!$K$7:$K$20,'試行熟悉度'!$F$7:$F$20,"未建立",0)</x:f>
        <x:v>未建立</x:v>
      </x:c>
      <x:c r="Q521" s="39" t="str">
        <x:v>確認後才納入自動判定</x:v>
      </x:c>
    </x:row>
    <x:row r="522">
      <x:c r="A522" s="37" t="str">
        <x:v>1029</x:v>
      </x:c>
      <x:c r="B522" s="37" t="str"/>
      <x:c r="C522" s="37" t="str">
        <x:v>LJT-MICROENDO</x:v>
      </x:c>
      <x:c r="D522" s="37" t="str">
        <x:v>顯微根管</x:v>
      </x:c>
      <x:c r="E522" s="37" t="str">
        <x:v>一般</x:v>
      </x:c>
      <x:c r="F522" s="37" t="str">
        <x:v>高複雜度</x:v>
      </x:c>
      <x:c r="G522" s="37" t="str">
        <x:v>COMMON-XRAY-RECORD</x:v>
      </x:c>
      <x:c r="H522" s="37" t="str">
        <x:v>待確認</x:v>
      </x:c>
      <x:c r="I522" s="37" t="str">
        <x:f>_xlfn.XLOOKUP($C522&amp;"|"&amp;$G522,'李醫師能力要求'!$M$7:$M$59,'李醫師能力要求'!$K$7:$K$59,"待確認",0)</x:f>
        <x:v>待確認</x:v>
      </x:c>
      <x:c r="J522" s="37" t="str">
        <x:v>◎</x:v>
      </x:c>
      <x:c r="K522" s="37" t="str">
        <x:v>Ø</x:v>
      </x:c>
      <x:c r="L522" s="48" t="str">
        <x:f>_xlfn.XLOOKUP($A522&amp;"|"&amp;$G522,'試行能力狀態'!$L$7:$L$258,'試行能力狀態'!$E$7:$E$258,"未評估",0)</x:f>
        <x:v>未評估</x:v>
      </x:c>
      <x:c r="M522" s="48" t="str">
        <x:f>_xlfn.XLOOKUP($A522&amp;"|"&amp;$G522,'試行能力狀態'!$L$7:$L$258,'試行能力狀態'!$F$7:$F$258,"未建立",0)</x:f>
        <x:v>未建立</x:v>
      </x:c>
      <x:c r="N522" s="48" t="str">
        <x:f>IF($L522="◎","符合獨立",IF($L522="Ø","符合條件","不符合"))</x:f>
        <x:v>不符合</x:v>
      </x:c>
      <x:c r="O522" s="48" t="str">
        <x:f>_xlfn.XLOOKUP($A522&amp;"|李侑津醫師",'試行熟悉度'!$K$7:$K$20,'試行熟悉度'!$E$7:$E$20,"未評估",0)</x:f>
        <x:v>未評估</x:v>
      </x:c>
      <x:c r="P522" s="48" t="str">
        <x:f>_xlfn.XLOOKUP($A522&amp;"|李侑津醫師",'試行熟悉度'!$K$7:$K$20,'試行熟悉度'!$F$7:$F$20,"未建立",0)</x:f>
        <x:v>未建立</x:v>
      </x:c>
      <x:c r="Q522" s="39" t="str">
        <x:v>確認後才納入自動判定</x:v>
      </x:c>
    </x:row>
    <x:row r="523">
      <x:c r="A523" s="37" t="str">
        <x:v>1029</x:v>
      </x:c>
      <x:c r="B523" s="37" t="str"/>
      <x:c r="C523" s="37" t="str">
        <x:v>LJT-IMPLANT</x:v>
      </x:c>
      <x:c r="D523" s="37" t="str">
        <x:v>植牙</x:v>
      </x:c>
      <x:c r="E523" s="37" t="str">
        <x:v>一般</x:v>
      </x:c>
      <x:c r="F523" s="37" t="str">
        <x:v>高複雜度</x:v>
      </x:c>
      <x:c r="G523" s="37" t="str">
        <x:v>LJT-PREP-IMPLANT</x:v>
      </x:c>
      <x:c r="H523" s="37" t="str">
        <x:v>必備</x:v>
      </x:c>
      <x:c r="I523" s="37" t="str">
        <x:f>_xlfn.XLOOKUP($C523&amp;"|"&amp;$G523,'李醫師能力要求'!$M$7:$M$59,'李醫師能力要求'!$K$7:$K$59,"待確認",0)</x:f>
        <x:v>已確認</x:v>
      </x:c>
      <x:c r="J523" s="37" t="str">
        <x:v>◎</x:v>
      </x:c>
      <x:c r="K523" s="37" t="str">
        <x:v>Ø</x:v>
      </x:c>
      <x:c r="L523" s="48" t="str">
        <x:f>_xlfn.XLOOKUP($A523&amp;"|"&amp;$G523,'試行能力狀態'!$L$7:$L$258,'試行能力狀態'!$E$7:$E$258,"未評估",0)</x:f>
        <x:v>未評估</x:v>
      </x:c>
      <x:c r="M523" s="48" t="str">
        <x:f>_xlfn.XLOOKUP($A523&amp;"|"&amp;$G523,'試行能力狀態'!$L$7:$L$258,'試行能力狀態'!$F$7:$F$258,"未建立",0)</x:f>
        <x:v>未建立</x:v>
      </x:c>
      <x:c r="N523" s="48" t="str">
        <x:f>IF($L523="◎","符合獨立",IF($L523="Ø","符合條件","不符合"))</x:f>
        <x:v>不符合</x:v>
      </x:c>
      <x:c r="O523" s="48" t="str">
        <x:f>_xlfn.XLOOKUP($A523&amp;"|李侑津醫師",'試行熟悉度'!$K$7:$K$20,'試行熟悉度'!$E$7:$E$20,"未評估",0)</x:f>
        <x:v>未評估</x:v>
      </x:c>
      <x:c r="P523" s="48" t="str">
        <x:f>_xlfn.XLOOKUP($A523&amp;"|李侑津醫師",'試行熟悉度'!$K$7:$K$20,'試行熟悉度'!$F$7:$F$20,"未建立",0)</x:f>
        <x:v>未建立</x:v>
      </x:c>
      <x:c r="Q523" s="39" t="str">
        <x:v>Ø 時完整支援者 1:1</x:v>
      </x:c>
    </x:row>
    <x:row r="524">
      <x:c r="A524" s="37" t="str">
        <x:v>1029</x:v>
      </x:c>
      <x:c r="B524" s="37" t="str"/>
      <x:c r="C524" s="37" t="str">
        <x:v>LJT-IMPLANT</x:v>
      </x:c>
      <x:c r="D524" s="37" t="str">
        <x:v>植牙</x:v>
      </x:c>
      <x:c r="E524" s="37" t="str">
        <x:v>一般</x:v>
      </x:c>
      <x:c r="F524" s="37" t="str">
        <x:v>高複雜度</x:v>
      </x:c>
      <x:c r="G524" s="37" t="str">
        <x:v>COMMON-RECORD</x:v>
      </x:c>
      <x:c r="H524" s="37" t="str">
        <x:v>待確認</x:v>
      </x:c>
      <x:c r="I524" s="37" t="str">
        <x:f>_xlfn.XLOOKUP($C524&amp;"|"&amp;$G524,'李醫師能力要求'!$M$7:$M$59,'李醫師能力要求'!$K$7:$K$59,"待確認",0)</x:f>
        <x:v>待確認</x:v>
      </x:c>
      <x:c r="J524" s="37" t="str">
        <x:v>◎</x:v>
      </x:c>
      <x:c r="K524" s="37" t="str">
        <x:v>Ø</x:v>
      </x:c>
      <x:c r="L524" s="48" t="str">
        <x:f>_xlfn.XLOOKUP($A524&amp;"|"&amp;$G524,'試行能力狀態'!$L$7:$L$258,'試行能力狀態'!$E$7:$E$258,"未評估",0)</x:f>
        <x:v>未評估</x:v>
      </x:c>
      <x:c r="M524" s="48" t="str">
        <x:f>_xlfn.XLOOKUP($A524&amp;"|"&amp;$G524,'試行能力狀態'!$L$7:$L$258,'試行能力狀態'!$F$7:$F$258,"未建立",0)</x:f>
        <x:v>未建立</x:v>
      </x:c>
      <x:c r="N524" s="48" t="str">
        <x:f>IF($L524="◎","符合獨立",IF($L524="Ø","符合條件","不符合"))</x:f>
        <x:v>不符合</x:v>
      </x:c>
      <x:c r="O524" s="48" t="str">
        <x:f>_xlfn.XLOOKUP($A524&amp;"|李侑津醫師",'試行熟悉度'!$K$7:$K$20,'試行熟悉度'!$E$7:$E$20,"未評估",0)</x:f>
        <x:v>未評估</x:v>
      </x:c>
      <x:c r="P524" s="48" t="str">
        <x:f>_xlfn.XLOOKUP($A524&amp;"|李侑津醫師",'試行熟悉度'!$K$7:$K$20,'試行熟悉度'!$F$7:$F$20,"未建立",0)</x:f>
        <x:v>未建立</x:v>
      </x:c>
      <x:c r="Q524" s="39" t="str">
        <x:v>確認後才納入自動判定</x:v>
      </x:c>
    </x:row>
    <x:row r="525">
      <x:c r="A525" s="37" t="str">
        <x:v>1029</x:v>
      </x:c>
      <x:c r="B525" s="37" t="str"/>
      <x:c r="C525" s="37" t="str">
        <x:v>LJT-IMPLANT</x:v>
      </x:c>
      <x:c r="D525" s="37" t="str">
        <x:v>植牙</x:v>
      </x:c>
      <x:c r="E525" s="37" t="str">
        <x:v>一般</x:v>
      </x:c>
      <x:c r="F525" s="37" t="str">
        <x:v>高複雜度</x:v>
      </x:c>
      <x:c r="G525" s="37" t="str">
        <x:v>COMMON-INSURANCE</x:v>
      </x:c>
      <x:c r="H525" s="37" t="str">
        <x:v>待確認</x:v>
      </x:c>
      <x:c r="I525" s="37" t="str">
        <x:f>_xlfn.XLOOKUP($C525&amp;"|"&amp;$G525,'李醫師能力要求'!$M$7:$M$59,'李醫師能力要求'!$K$7:$K$59,"待確認",0)</x:f>
        <x:v>待確認</x:v>
      </x:c>
      <x:c r="J525" s="37" t="str">
        <x:v>◎</x:v>
      </x:c>
      <x:c r="K525" s="37" t="str">
        <x:v>Ø</x:v>
      </x:c>
      <x:c r="L525" s="48" t="str">
        <x:f>_xlfn.XLOOKUP($A525&amp;"|"&amp;$G525,'試行能力狀態'!$L$7:$L$258,'試行能力狀態'!$E$7:$E$258,"未評估",0)</x:f>
        <x:v>未評估</x:v>
      </x:c>
      <x:c r="M525" s="48" t="str">
        <x:f>_xlfn.XLOOKUP($A525&amp;"|"&amp;$G525,'試行能力狀態'!$L$7:$L$258,'試行能力狀態'!$F$7:$F$258,"未建立",0)</x:f>
        <x:v>未建立</x:v>
      </x:c>
      <x:c r="N525" s="48" t="str">
        <x:f>IF($L525="◎","符合獨立",IF($L525="Ø","符合條件","不符合"))</x:f>
        <x:v>不符合</x:v>
      </x:c>
      <x:c r="O525" s="48" t="str">
        <x:f>_xlfn.XLOOKUP($A525&amp;"|李侑津醫師",'試行熟悉度'!$K$7:$K$20,'試行熟悉度'!$E$7:$E$20,"未評估",0)</x:f>
        <x:v>未評估</x:v>
      </x:c>
      <x:c r="P525" s="48" t="str">
        <x:f>_xlfn.XLOOKUP($A525&amp;"|李侑津醫師",'試行熟悉度'!$K$7:$K$20,'試行熟悉度'!$F$7:$F$20,"未建立",0)</x:f>
        <x:v>未建立</x:v>
      </x:c>
      <x:c r="Q525" s="39" t="str">
        <x:v>確認後才納入自動判定</x:v>
      </x:c>
    </x:row>
    <x:row r="526">
      <x:c r="A526" s="37" t="str">
        <x:v>1029</x:v>
      </x:c>
      <x:c r="B526" s="37" t="str"/>
      <x:c r="C526" s="37" t="str">
        <x:v>LJT-IMPLANT</x:v>
      </x:c>
      <x:c r="D526" s="37" t="str">
        <x:v>植牙</x:v>
      </x:c>
      <x:c r="E526" s="37" t="str">
        <x:v>一般</x:v>
      </x:c>
      <x:c r="F526" s="37" t="str">
        <x:v>高複雜度</x:v>
      </x:c>
      <x:c r="G526" s="37" t="str">
        <x:v>COMMON-XRAY-RECORD</x:v>
      </x:c>
      <x:c r="H526" s="37" t="str">
        <x:v>待確認</x:v>
      </x:c>
      <x:c r="I526" s="37" t="str">
        <x:f>_xlfn.XLOOKUP($C526&amp;"|"&amp;$G526,'李醫師能力要求'!$M$7:$M$59,'李醫師能力要求'!$K$7:$K$59,"待確認",0)</x:f>
        <x:v>待確認</x:v>
      </x:c>
      <x:c r="J526" s="37" t="str">
        <x:v>◎</x:v>
      </x:c>
      <x:c r="K526" s="37" t="str">
        <x:v>Ø</x:v>
      </x:c>
      <x:c r="L526" s="48" t="str">
        <x:f>_xlfn.XLOOKUP($A526&amp;"|"&amp;$G526,'試行能力狀態'!$L$7:$L$258,'試行能力狀態'!$E$7:$E$258,"未評估",0)</x:f>
        <x:v>未評估</x:v>
      </x:c>
      <x:c r="M526" s="48" t="str">
        <x:f>_xlfn.XLOOKUP($A526&amp;"|"&amp;$G526,'試行能力狀態'!$L$7:$L$258,'試行能力狀態'!$F$7:$F$258,"未建立",0)</x:f>
        <x:v>未建立</x:v>
      </x:c>
      <x:c r="N526" s="48" t="str">
        <x:f>IF($L526="◎","符合獨立",IF($L526="Ø","符合條件","不符合"))</x:f>
        <x:v>不符合</x:v>
      </x:c>
      <x:c r="O526" s="48" t="str">
        <x:f>_xlfn.XLOOKUP($A526&amp;"|李侑津醫師",'試行熟悉度'!$K$7:$K$20,'試行熟悉度'!$E$7:$E$20,"未評估",0)</x:f>
        <x:v>未評估</x:v>
      </x:c>
      <x:c r="P526" s="48" t="str">
        <x:f>_xlfn.XLOOKUP($A526&amp;"|李侑津醫師",'試行熟悉度'!$K$7:$K$20,'試行熟悉度'!$F$7:$F$20,"未建立",0)</x:f>
        <x:v>未建立</x:v>
      </x:c>
      <x:c r="Q526" s="39" t="str">
        <x:v>確認後才納入自動判定</x:v>
      </x:c>
    </x:row>
    <x:row r="527">
      <x:c r="A527" s="37" t="str">
        <x:v>1030</x:v>
      </x:c>
      <x:c r="B527" s="37" t="str"/>
      <x:c r="C527" s="37" t="str">
        <x:v>LJT-SCALING</x:v>
      </x:c>
      <x:c r="D527" s="37" t="str">
        <x:v>洗牙</x:v>
      </x:c>
      <x:c r="E527" s="37" t="str">
        <x:v>一般</x:v>
      </x:c>
      <x:c r="F527" s="37" t="str">
        <x:v>一般</x:v>
      </x:c>
      <x:c r="G527" s="37" t="str">
        <x:v>LJT-PREP-SCALING</x:v>
      </x:c>
      <x:c r="H527" s="37" t="str">
        <x:v>必備</x:v>
      </x:c>
      <x:c r="I527" s="37" t="str">
        <x:f>_xlfn.XLOOKUP($C527&amp;"|"&amp;$G527,'李醫師能力要求'!$M$7:$M$59,'李醫師能力要求'!$K$7:$K$59,"待確認",0)</x:f>
        <x:v>已確認</x:v>
      </x:c>
      <x:c r="J527" s="37" t="str">
        <x:v>◎</x:v>
      </x:c>
      <x:c r="K527" s="37" t="str">
        <x:v>Ø</x:v>
      </x:c>
      <x:c r="L527" s="48" t="str">
        <x:f>_xlfn.XLOOKUP($A527&amp;"|"&amp;$G527,'試行能力狀態'!$L$7:$L$258,'試行能力狀態'!$E$7:$E$258,"未評估",0)</x:f>
        <x:v>未評估</x:v>
      </x:c>
      <x:c r="M527" s="48" t="str">
        <x:f>_xlfn.XLOOKUP($A527&amp;"|"&amp;$G527,'試行能力狀態'!$L$7:$L$258,'試行能力狀態'!$F$7:$F$258,"未建立",0)</x:f>
        <x:v>未建立</x:v>
      </x:c>
      <x:c r="N527" s="48" t="str">
        <x:f>IF($L527="◎","符合獨立",IF($L527="Ø","符合條件","不符合"))</x:f>
        <x:v>不符合</x:v>
      </x:c>
      <x:c r="O527" s="48" t="str">
        <x:f>_xlfn.XLOOKUP($A527&amp;"|李侑津醫師",'試行熟悉度'!$K$7:$K$20,'試行熟悉度'!$E$7:$E$20,"未評估",0)</x:f>
        <x:v>未評估</x:v>
      </x:c>
      <x:c r="P527" s="48" t="str">
        <x:f>_xlfn.XLOOKUP($A527&amp;"|李侑津醫師",'試行熟悉度'!$K$7:$K$20,'試行熟悉度'!$F$7:$F$20,"未建立",0)</x:f>
        <x:v>未建立</x:v>
      </x:c>
      <x:c r="Q527" s="39" t="str">
        <x:v>依一般支援名額</x:v>
      </x:c>
    </x:row>
    <x:row r="528">
      <x:c r="A528" s="37" t="str">
        <x:v>1030</x:v>
      </x:c>
      <x:c r="B528" s="37" t="str"/>
      <x:c r="C528" s="37" t="str">
        <x:v>LJT-SCALING</x:v>
      </x:c>
      <x:c r="D528" s="37" t="str">
        <x:v>洗牙</x:v>
      </x:c>
      <x:c r="E528" s="37" t="str">
        <x:v>一般</x:v>
      </x:c>
      <x:c r="F528" s="37" t="str">
        <x:v>一般</x:v>
      </x:c>
      <x:c r="G528" s="37" t="str">
        <x:v>COMMON-RECORD</x:v>
      </x:c>
      <x:c r="H528" s="37" t="str">
        <x:v>待確認</x:v>
      </x:c>
      <x:c r="I528" s="37" t="str">
        <x:f>_xlfn.XLOOKUP($C528&amp;"|"&amp;$G528,'李醫師能力要求'!$M$7:$M$59,'李醫師能力要求'!$K$7:$K$59,"待確認",0)</x:f>
        <x:v>待確認</x:v>
      </x:c>
      <x:c r="J528" s="37" t="str">
        <x:v>◎</x:v>
      </x:c>
      <x:c r="K528" s="37" t="str">
        <x:v>Ø</x:v>
      </x:c>
      <x:c r="L528" s="48" t="str">
        <x:f>_xlfn.XLOOKUP($A528&amp;"|"&amp;$G528,'試行能力狀態'!$L$7:$L$258,'試行能力狀態'!$E$7:$E$258,"未評估",0)</x:f>
        <x:v>未評估</x:v>
      </x:c>
      <x:c r="M528" s="48" t="str">
        <x:f>_xlfn.XLOOKUP($A528&amp;"|"&amp;$G528,'試行能力狀態'!$L$7:$L$258,'試行能力狀態'!$F$7:$F$258,"未建立",0)</x:f>
        <x:v>未建立</x:v>
      </x:c>
      <x:c r="N528" s="48" t="str">
        <x:f>IF($L528="◎","符合獨立",IF($L528="Ø","符合條件","不符合"))</x:f>
        <x:v>不符合</x:v>
      </x:c>
      <x:c r="O528" s="48" t="str">
        <x:f>_xlfn.XLOOKUP($A528&amp;"|李侑津醫師",'試行熟悉度'!$K$7:$K$20,'試行熟悉度'!$E$7:$E$20,"未評估",0)</x:f>
        <x:v>未評估</x:v>
      </x:c>
      <x:c r="P528" s="48" t="str">
        <x:f>_xlfn.XLOOKUP($A528&amp;"|李侑津醫師",'試行熟悉度'!$K$7:$K$20,'試行熟悉度'!$F$7:$F$20,"未建立",0)</x:f>
        <x:v>未建立</x:v>
      </x:c>
      <x:c r="Q528" s="39" t="str">
        <x:v>確認後才納入自動判定</x:v>
      </x:c>
    </x:row>
    <x:row r="529">
      <x:c r="A529" s="37" t="str">
        <x:v>1030</x:v>
      </x:c>
      <x:c r="B529" s="37" t="str"/>
      <x:c r="C529" s="37" t="str">
        <x:v>LJT-SCALING</x:v>
      </x:c>
      <x:c r="D529" s="37" t="str">
        <x:v>洗牙</x:v>
      </x:c>
      <x:c r="E529" s="37" t="str">
        <x:v>一般</x:v>
      </x:c>
      <x:c r="F529" s="37" t="str">
        <x:v>一般</x:v>
      </x:c>
      <x:c r="G529" s="37" t="str">
        <x:v>COMMON-INSURANCE</x:v>
      </x:c>
      <x:c r="H529" s="37" t="str">
        <x:v>待確認</x:v>
      </x:c>
      <x:c r="I529" s="37" t="str">
        <x:f>_xlfn.XLOOKUP($C529&amp;"|"&amp;$G529,'李醫師能力要求'!$M$7:$M$59,'李醫師能力要求'!$K$7:$K$59,"待確認",0)</x:f>
        <x:v>待確認</x:v>
      </x:c>
      <x:c r="J529" s="37" t="str">
        <x:v>◎</x:v>
      </x:c>
      <x:c r="K529" s="37" t="str">
        <x:v>Ø</x:v>
      </x:c>
      <x:c r="L529" s="48" t="str">
        <x:f>_xlfn.XLOOKUP($A529&amp;"|"&amp;$G529,'試行能力狀態'!$L$7:$L$258,'試行能力狀態'!$E$7:$E$258,"未評估",0)</x:f>
        <x:v>未評估</x:v>
      </x:c>
      <x:c r="M529" s="48" t="str">
        <x:f>_xlfn.XLOOKUP($A529&amp;"|"&amp;$G529,'試行能力狀態'!$L$7:$L$258,'試行能力狀態'!$F$7:$F$258,"未建立",0)</x:f>
        <x:v>未建立</x:v>
      </x:c>
      <x:c r="N529" s="48" t="str">
        <x:f>IF($L529="◎","符合獨立",IF($L529="Ø","符合條件","不符合"))</x:f>
        <x:v>不符合</x:v>
      </x:c>
      <x:c r="O529" s="48" t="str">
        <x:f>_xlfn.XLOOKUP($A529&amp;"|李侑津醫師",'試行熟悉度'!$K$7:$K$20,'試行熟悉度'!$E$7:$E$20,"未評估",0)</x:f>
        <x:v>未評估</x:v>
      </x:c>
      <x:c r="P529" s="48" t="str">
        <x:f>_xlfn.XLOOKUP($A529&amp;"|李侑津醫師",'試行熟悉度'!$K$7:$K$20,'試行熟悉度'!$F$7:$F$20,"未建立",0)</x:f>
        <x:v>未建立</x:v>
      </x:c>
      <x:c r="Q529" s="39" t="str">
        <x:v>確認後才納入自動判定</x:v>
      </x:c>
    </x:row>
    <x:row r="530">
      <x:c r="A530" s="37" t="str">
        <x:v>1030</x:v>
      </x:c>
      <x:c r="B530" s="37" t="str"/>
      <x:c r="C530" s="37" t="str">
        <x:v>LJT-SCALING</x:v>
      </x:c>
      <x:c r="D530" s="37" t="str">
        <x:v>洗牙</x:v>
      </x:c>
      <x:c r="E530" s="37" t="str">
        <x:v>一般</x:v>
      </x:c>
      <x:c r="F530" s="37" t="str">
        <x:v>一般</x:v>
      </x:c>
      <x:c r="G530" s="37" t="str">
        <x:v>COMMON-XRAY-RECORD</x:v>
      </x:c>
      <x:c r="H530" s="37" t="str">
        <x:v>待確認</x:v>
      </x:c>
      <x:c r="I530" s="37" t="str">
        <x:f>_xlfn.XLOOKUP($C530&amp;"|"&amp;$G530,'李醫師能力要求'!$M$7:$M$59,'李醫師能力要求'!$K$7:$K$59,"待確認",0)</x:f>
        <x:v>待確認</x:v>
      </x:c>
      <x:c r="J530" s="37" t="str">
        <x:v>◎</x:v>
      </x:c>
      <x:c r="K530" s="37" t="str">
        <x:v>Ø</x:v>
      </x:c>
      <x:c r="L530" s="48" t="str">
        <x:f>_xlfn.XLOOKUP($A530&amp;"|"&amp;$G530,'試行能力狀態'!$L$7:$L$258,'試行能力狀態'!$E$7:$E$258,"未評估",0)</x:f>
        <x:v>未評估</x:v>
      </x:c>
      <x:c r="M530" s="48" t="str">
        <x:f>_xlfn.XLOOKUP($A530&amp;"|"&amp;$G530,'試行能力狀態'!$L$7:$L$258,'試行能力狀態'!$F$7:$F$258,"未建立",0)</x:f>
        <x:v>未建立</x:v>
      </x:c>
      <x:c r="N530" s="48" t="str">
        <x:f>IF($L530="◎","符合獨立",IF($L530="Ø","符合條件","不符合"))</x:f>
        <x:v>不符合</x:v>
      </x:c>
      <x:c r="O530" s="48" t="str">
        <x:f>_xlfn.XLOOKUP($A530&amp;"|李侑津醫師",'試行熟悉度'!$K$7:$K$20,'試行熟悉度'!$E$7:$E$20,"未評估",0)</x:f>
        <x:v>未評估</x:v>
      </x:c>
      <x:c r="P530" s="48" t="str">
        <x:f>_xlfn.XLOOKUP($A530&amp;"|李侑津醫師",'試行熟悉度'!$K$7:$K$20,'試行熟悉度'!$F$7:$F$20,"未建立",0)</x:f>
        <x:v>未建立</x:v>
      </x:c>
      <x:c r="Q530" s="39" t="str">
        <x:v>確認後才納入自動判定</x:v>
      </x:c>
    </x:row>
    <x:row r="531">
      <x:c r="A531" s="37" t="str">
        <x:v>1030</x:v>
      </x:c>
      <x:c r="B531" s="37" t="str"/>
      <x:c r="C531" s="37" t="str">
        <x:v>LJT-FILLING</x:v>
      </x:c>
      <x:c r="D531" s="37" t="str">
        <x:v>補牙</x:v>
      </x:c>
      <x:c r="E531" s="37" t="str">
        <x:v>一般</x:v>
      </x:c>
      <x:c r="F531" s="37" t="str">
        <x:v>一般</x:v>
      </x:c>
      <x:c r="G531" s="37" t="str">
        <x:v>LJT-PREP-FILLING</x:v>
      </x:c>
      <x:c r="H531" s="37" t="str">
        <x:v>必備</x:v>
      </x:c>
      <x:c r="I531" s="37" t="str">
        <x:f>_xlfn.XLOOKUP($C531&amp;"|"&amp;$G531,'李醫師能力要求'!$M$7:$M$59,'李醫師能力要求'!$K$7:$K$59,"待確認",0)</x:f>
        <x:v>已確認</x:v>
      </x:c>
      <x:c r="J531" s="37" t="str">
        <x:v>◎</x:v>
      </x:c>
      <x:c r="K531" s="37" t="str">
        <x:v>Ø</x:v>
      </x:c>
      <x:c r="L531" s="48" t="str">
        <x:f>_xlfn.XLOOKUP($A531&amp;"|"&amp;$G531,'試行能力狀態'!$L$7:$L$258,'試行能力狀態'!$E$7:$E$258,"未評估",0)</x:f>
        <x:v>未評估</x:v>
      </x:c>
      <x:c r="M531" s="48" t="str">
        <x:f>_xlfn.XLOOKUP($A531&amp;"|"&amp;$G531,'試行能力狀態'!$L$7:$L$258,'試行能力狀態'!$F$7:$F$258,"未建立",0)</x:f>
        <x:v>未建立</x:v>
      </x:c>
      <x:c r="N531" s="48" t="str">
        <x:f>IF($L531="◎","符合獨立",IF($L531="Ø","符合條件","不符合"))</x:f>
        <x:v>不符合</x:v>
      </x:c>
      <x:c r="O531" s="48" t="str">
        <x:f>_xlfn.XLOOKUP($A531&amp;"|李侑津醫師",'試行熟悉度'!$K$7:$K$20,'試行熟悉度'!$E$7:$E$20,"未評估",0)</x:f>
        <x:v>未評估</x:v>
      </x:c>
      <x:c r="P531" s="48" t="str">
        <x:f>_xlfn.XLOOKUP($A531&amp;"|李侑津醫師",'試行熟悉度'!$K$7:$K$20,'試行熟悉度'!$F$7:$F$20,"未建立",0)</x:f>
        <x:v>未建立</x:v>
      </x:c>
      <x:c r="Q531" s="39" t="str">
        <x:v>依一般支援名額</x:v>
      </x:c>
    </x:row>
    <x:row r="532">
      <x:c r="A532" s="37" t="str">
        <x:v>1030</x:v>
      </x:c>
      <x:c r="B532" s="37" t="str"/>
      <x:c r="C532" s="37" t="str">
        <x:v>LJT-FILLING</x:v>
      </x:c>
      <x:c r="D532" s="37" t="str">
        <x:v>補牙</x:v>
      </x:c>
      <x:c r="E532" s="37" t="str">
        <x:v>一般</x:v>
      </x:c>
      <x:c r="F532" s="37" t="str">
        <x:v>一般</x:v>
      </x:c>
      <x:c r="G532" s="37" t="str">
        <x:v>COMMON-RECORD</x:v>
      </x:c>
      <x:c r="H532" s="37" t="str">
        <x:v>待確認</x:v>
      </x:c>
      <x:c r="I532" s="37" t="str">
        <x:f>_xlfn.XLOOKUP($C532&amp;"|"&amp;$G532,'李醫師能力要求'!$M$7:$M$59,'李醫師能力要求'!$K$7:$K$59,"待確認",0)</x:f>
        <x:v>待確認</x:v>
      </x:c>
      <x:c r="J532" s="37" t="str">
        <x:v>◎</x:v>
      </x:c>
      <x:c r="K532" s="37" t="str">
        <x:v>Ø</x:v>
      </x:c>
      <x:c r="L532" s="48" t="str">
        <x:f>_xlfn.XLOOKUP($A532&amp;"|"&amp;$G532,'試行能力狀態'!$L$7:$L$258,'試行能力狀態'!$E$7:$E$258,"未評估",0)</x:f>
        <x:v>未評估</x:v>
      </x:c>
      <x:c r="M532" s="48" t="str">
        <x:f>_xlfn.XLOOKUP($A532&amp;"|"&amp;$G532,'試行能力狀態'!$L$7:$L$258,'試行能力狀態'!$F$7:$F$258,"未建立",0)</x:f>
        <x:v>未建立</x:v>
      </x:c>
      <x:c r="N532" s="48" t="str">
        <x:f>IF($L532="◎","符合獨立",IF($L532="Ø","符合條件","不符合"))</x:f>
        <x:v>不符合</x:v>
      </x:c>
      <x:c r="O532" s="48" t="str">
        <x:f>_xlfn.XLOOKUP($A532&amp;"|李侑津醫師",'試行熟悉度'!$K$7:$K$20,'試行熟悉度'!$E$7:$E$20,"未評估",0)</x:f>
        <x:v>未評估</x:v>
      </x:c>
      <x:c r="P532" s="48" t="str">
        <x:f>_xlfn.XLOOKUP($A532&amp;"|李侑津醫師",'試行熟悉度'!$K$7:$K$20,'試行熟悉度'!$F$7:$F$20,"未建立",0)</x:f>
        <x:v>未建立</x:v>
      </x:c>
      <x:c r="Q532" s="39" t="str">
        <x:v>確認後才納入自動判定</x:v>
      </x:c>
    </x:row>
    <x:row r="533">
      <x:c r="A533" s="37" t="str">
        <x:v>1030</x:v>
      </x:c>
      <x:c r="B533" s="37" t="str"/>
      <x:c r="C533" s="37" t="str">
        <x:v>LJT-FILLING</x:v>
      </x:c>
      <x:c r="D533" s="37" t="str">
        <x:v>補牙</x:v>
      </x:c>
      <x:c r="E533" s="37" t="str">
        <x:v>一般</x:v>
      </x:c>
      <x:c r="F533" s="37" t="str">
        <x:v>一般</x:v>
      </x:c>
      <x:c r="G533" s="37" t="str">
        <x:v>COMMON-INSURANCE</x:v>
      </x:c>
      <x:c r="H533" s="37" t="str">
        <x:v>待確認</x:v>
      </x:c>
      <x:c r="I533" s="37" t="str">
        <x:f>_xlfn.XLOOKUP($C533&amp;"|"&amp;$G533,'李醫師能力要求'!$M$7:$M$59,'李醫師能力要求'!$K$7:$K$59,"待確認",0)</x:f>
        <x:v>待確認</x:v>
      </x:c>
      <x:c r="J533" s="37" t="str">
        <x:v>◎</x:v>
      </x:c>
      <x:c r="K533" s="37" t="str">
        <x:v>Ø</x:v>
      </x:c>
      <x:c r="L533" s="48" t="str">
        <x:f>_xlfn.XLOOKUP($A533&amp;"|"&amp;$G533,'試行能力狀態'!$L$7:$L$258,'試行能力狀態'!$E$7:$E$258,"未評估",0)</x:f>
        <x:v>未評估</x:v>
      </x:c>
      <x:c r="M533" s="48" t="str">
        <x:f>_xlfn.XLOOKUP($A533&amp;"|"&amp;$G533,'試行能力狀態'!$L$7:$L$258,'試行能力狀態'!$F$7:$F$258,"未建立",0)</x:f>
        <x:v>未建立</x:v>
      </x:c>
      <x:c r="N533" s="48" t="str">
        <x:f>IF($L533="◎","符合獨立",IF($L533="Ø","符合條件","不符合"))</x:f>
        <x:v>不符合</x:v>
      </x:c>
      <x:c r="O533" s="48" t="str">
        <x:f>_xlfn.XLOOKUP($A533&amp;"|李侑津醫師",'試行熟悉度'!$K$7:$K$20,'試行熟悉度'!$E$7:$E$20,"未評估",0)</x:f>
        <x:v>未評估</x:v>
      </x:c>
      <x:c r="P533" s="48" t="str">
        <x:f>_xlfn.XLOOKUP($A533&amp;"|李侑津醫師",'試行熟悉度'!$K$7:$K$20,'試行熟悉度'!$F$7:$F$20,"未建立",0)</x:f>
        <x:v>未建立</x:v>
      </x:c>
      <x:c r="Q533" s="39" t="str">
        <x:v>確認後才納入自動判定</x:v>
      </x:c>
    </x:row>
    <x:row r="534">
      <x:c r="A534" s="37" t="str">
        <x:v>1030</x:v>
      </x:c>
      <x:c r="B534" s="37" t="str"/>
      <x:c r="C534" s="37" t="str">
        <x:v>LJT-FILLING</x:v>
      </x:c>
      <x:c r="D534" s="37" t="str">
        <x:v>補牙</x:v>
      </x:c>
      <x:c r="E534" s="37" t="str">
        <x:v>一般</x:v>
      </x:c>
      <x:c r="F534" s="37" t="str">
        <x:v>一般</x:v>
      </x:c>
      <x:c r="G534" s="37" t="str">
        <x:v>COMMON-XRAY-RECORD</x:v>
      </x:c>
      <x:c r="H534" s="37" t="str">
        <x:v>待確認</x:v>
      </x:c>
      <x:c r="I534" s="37" t="str">
        <x:f>_xlfn.XLOOKUP($C534&amp;"|"&amp;$G534,'李醫師能力要求'!$M$7:$M$59,'李醫師能力要求'!$K$7:$K$59,"待確認",0)</x:f>
        <x:v>待確認</x:v>
      </x:c>
      <x:c r="J534" s="37" t="str">
        <x:v>◎</x:v>
      </x:c>
      <x:c r="K534" s="37" t="str">
        <x:v>Ø</x:v>
      </x:c>
      <x:c r="L534" s="48" t="str">
        <x:f>_xlfn.XLOOKUP($A534&amp;"|"&amp;$G534,'試行能力狀態'!$L$7:$L$258,'試行能力狀態'!$E$7:$E$258,"未評估",0)</x:f>
        <x:v>未評估</x:v>
      </x:c>
      <x:c r="M534" s="48" t="str">
        <x:f>_xlfn.XLOOKUP($A534&amp;"|"&amp;$G534,'試行能力狀態'!$L$7:$L$258,'試行能力狀態'!$F$7:$F$258,"未建立",0)</x:f>
        <x:v>未建立</x:v>
      </x:c>
      <x:c r="N534" s="48" t="str">
        <x:f>IF($L534="◎","符合獨立",IF($L534="Ø","符合條件","不符合"))</x:f>
        <x:v>不符合</x:v>
      </x:c>
      <x:c r="O534" s="48" t="str">
        <x:f>_xlfn.XLOOKUP($A534&amp;"|李侑津醫師",'試行熟悉度'!$K$7:$K$20,'試行熟悉度'!$E$7:$E$20,"未評估",0)</x:f>
        <x:v>未評估</x:v>
      </x:c>
      <x:c r="P534" s="48" t="str">
        <x:f>_xlfn.XLOOKUP($A534&amp;"|李侑津醫師",'試行熟悉度'!$K$7:$K$20,'試行熟悉度'!$F$7:$F$20,"未建立",0)</x:f>
        <x:v>未建立</x:v>
      </x:c>
      <x:c r="Q534" s="39" t="str">
        <x:v>確認後才納入自動判定</x:v>
      </x:c>
    </x:row>
    <x:row r="535">
      <x:c r="A535" s="37" t="str">
        <x:v>1030</x:v>
      </x:c>
      <x:c r="B535" s="37" t="str"/>
      <x:c r="C535" s="37" t="str">
        <x:v>LJT-PERIO</x:v>
      </x:c>
      <x:c r="D535" s="37" t="str">
        <x:v>牙周統合</x:v>
      </x:c>
      <x:c r="E535" s="37" t="str">
        <x:v>一般</x:v>
      </x:c>
      <x:c r="F535" s="37" t="str">
        <x:v>一般</x:v>
      </x:c>
      <x:c r="G535" s="37" t="str">
        <x:v>LJT-PREP-PERIO</x:v>
      </x:c>
      <x:c r="H535" s="37" t="str">
        <x:v>必備</x:v>
      </x:c>
      <x:c r="I535" s="37" t="str">
        <x:f>_xlfn.XLOOKUP($C535&amp;"|"&amp;$G535,'李醫師能力要求'!$M$7:$M$59,'李醫師能力要求'!$K$7:$K$59,"待確認",0)</x:f>
        <x:v>已確認</x:v>
      </x:c>
      <x:c r="J535" s="37" t="str">
        <x:v>◎</x:v>
      </x:c>
      <x:c r="K535" s="37" t="str">
        <x:v>Ø</x:v>
      </x:c>
      <x:c r="L535" s="48" t="str">
        <x:f>_xlfn.XLOOKUP($A535&amp;"|"&amp;$G535,'試行能力狀態'!$L$7:$L$258,'試行能力狀態'!$E$7:$E$258,"未評估",0)</x:f>
        <x:v>未評估</x:v>
      </x:c>
      <x:c r="M535" s="48" t="str">
        <x:f>_xlfn.XLOOKUP($A535&amp;"|"&amp;$G535,'試行能力狀態'!$L$7:$L$258,'試行能力狀態'!$F$7:$F$258,"未建立",0)</x:f>
        <x:v>未建立</x:v>
      </x:c>
      <x:c r="N535" s="48" t="str">
        <x:f>IF($L535="◎","符合獨立",IF($L535="Ø","符合條件","不符合"))</x:f>
        <x:v>不符合</x:v>
      </x:c>
      <x:c r="O535" s="48" t="str">
        <x:f>_xlfn.XLOOKUP($A535&amp;"|李侑津醫師",'試行熟悉度'!$K$7:$K$20,'試行熟悉度'!$E$7:$E$20,"未評估",0)</x:f>
        <x:v>未評估</x:v>
      </x:c>
      <x:c r="P535" s="48" t="str">
        <x:f>_xlfn.XLOOKUP($A535&amp;"|李侑津醫師",'試行熟悉度'!$K$7:$K$20,'試行熟悉度'!$F$7:$F$20,"未建立",0)</x:f>
        <x:v>未建立</x:v>
      </x:c>
      <x:c r="Q535" s="39" t="str">
        <x:v>依一般支援名額</x:v>
      </x:c>
    </x:row>
    <x:row r="536">
      <x:c r="A536" s="37" t="str">
        <x:v>1030</x:v>
      </x:c>
      <x:c r="B536" s="37" t="str"/>
      <x:c r="C536" s="37" t="str">
        <x:v>LJT-PERIO</x:v>
      </x:c>
      <x:c r="D536" s="37" t="str">
        <x:v>牙周統合</x:v>
      </x:c>
      <x:c r="E536" s="37" t="str">
        <x:v>一般</x:v>
      </x:c>
      <x:c r="F536" s="37" t="str">
        <x:v>一般</x:v>
      </x:c>
      <x:c r="G536" s="37" t="str">
        <x:v>COMMON-RECORD</x:v>
      </x:c>
      <x:c r="H536" s="37" t="str">
        <x:v>待確認</x:v>
      </x:c>
      <x:c r="I536" s="37" t="str">
        <x:f>_xlfn.XLOOKUP($C536&amp;"|"&amp;$G536,'李醫師能力要求'!$M$7:$M$59,'李醫師能力要求'!$K$7:$K$59,"待確認",0)</x:f>
        <x:v>待確認</x:v>
      </x:c>
      <x:c r="J536" s="37" t="str">
        <x:v>◎</x:v>
      </x:c>
      <x:c r="K536" s="37" t="str">
        <x:v>Ø</x:v>
      </x:c>
      <x:c r="L536" s="48" t="str">
        <x:f>_xlfn.XLOOKUP($A536&amp;"|"&amp;$G536,'試行能力狀態'!$L$7:$L$258,'試行能力狀態'!$E$7:$E$258,"未評估",0)</x:f>
        <x:v>未評估</x:v>
      </x:c>
      <x:c r="M536" s="48" t="str">
        <x:f>_xlfn.XLOOKUP($A536&amp;"|"&amp;$G536,'試行能力狀態'!$L$7:$L$258,'試行能力狀態'!$F$7:$F$258,"未建立",0)</x:f>
        <x:v>未建立</x:v>
      </x:c>
      <x:c r="N536" s="48" t="str">
        <x:f>IF($L536="◎","符合獨立",IF($L536="Ø","符合條件","不符合"))</x:f>
        <x:v>不符合</x:v>
      </x:c>
      <x:c r="O536" s="48" t="str">
        <x:f>_xlfn.XLOOKUP($A536&amp;"|李侑津醫師",'試行熟悉度'!$K$7:$K$20,'試行熟悉度'!$E$7:$E$20,"未評估",0)</x:f>
        <x:v>未評估</x:v>
      </x:c>
      <x:c r="P536" s="48" t="str">
        <x:f>_xlfn.XLOOKUP($A536&amp;"|李侑津醫師",'試行熟悉度'!$K$7:$K$20,'試行熟悉度'!$F$7:$F$20,"未建立",0)</x:f>
        <x:v>未建立</x:v>
      </x:c>
      <x:c r="Q536" s="39" t="str">
        <x:v>確認後才納入自動判定</x:v>
      </x:c>
    </x:row>
    <x:row r="537">
      <x:c r="A537" s="37" t="str">
        <x:v>1030</x:v>
      </x:c>
      <x:c r="B537" s="37" t="str"/>
      <x:c r="C537" s="37" t="str">
        <x:v>LJT-PERIO</x:v>
      </x:c>
      <x:c r="D537" s="37" t="str">
        <x:v>牙周統合</x:v>
      </x:c>
      <x:c r="E537" s="37" t="str">
        <x:v>一般</x:v>
      </x:c>
      <x:c r="F537" s="37" t="str">
        <x:v>一般</x:v>
      </x:c>
      <x:c r="G537" s="37" t="str">
        <x:v>COMMON-INSURANCE</x:v>
      </x:c>
      <x:c r="H537" s="37" t="str">
        <x:v>待確認</x:v>
      </x:c>
      <x:c r="I537" s="37" t="str">
        <x:f>_xlfn.XLOOKUP($C537&amp;"|"&amp;$G537,'李醫師能力要求'!$M$7:$M$59,'李醫師能力要求'!$K$7:$K$59,"待確認",0)</x:f>
        <x:v>待確認</x:v>
      </x:c>
      <x:c r="J537" s="37" t="str">
        <x:v>◎</x:v>
      </x:c>
      <x:c r="K537" s="37" t="str">
        <x:v>Ø</x:v>
      </x:c>
      <x:c r="L537" s="48" t="str">
        <x:f>_xlfn.XLOOKUP($A537&amp;"|"&amp;$G537,'試行能力狀態'!$L$7:$L$258,'試行能力狀態'!$E$7:$E$258,"未評估",0)</x:f>
        <x:v>未評估</x:v>
      </x:c>
      <x:c r="M537" s="48" t="str">
        <x:f>_xlfn.XLOOKUP($A537&amp;"|"&amp;$G537,'試行能力狀態'!$L$7:$L$258,'試行能力狀態'!$F$7:$F$258,"未建立",0)</x:f>
        <x:v>未建立</x:v>
      </x:c>
      <x:c r="N537" s="48" t="str">
        <x:f>IF($L537="◎","符合獨立",IF($L537="Ø","符合條件","不符合"))</x:f>
        <x:v>不符合</x:v>
      </x:c>
      <x:c r="O537" s="48" t="str">
        <x:f>_xlfn.XLOOKUP($A537&amp;"|李侑津醫師",'試行熟悉度'!$K$7:$K$20,'試行熟悉度'!$E$7:$E$20,"未評估",0)</x:f>
        <x:v>未評估</x:v>
      </x:c>
      <x:c r="P537" s="48" t="str">
        <x:f>_xlfn.XLOOKUP($A537&amp;"|李侑津醫師",'試行熟悉度'!$K$7:$K$20,'試行熟悉度'!$F$7:$F$20,"未建立",0)</x:f>
        <x:v>未建立</x:v>
      </x:c>
      <x:c r="Q537" s="39" t="str">
        <x:v>確認後才納入自動判定</x:v>
      </x:c>
    </x:row>
    <x:row r="538">
      <x:c r="A538" s="37" t="str">
        <x:v>1030</x:v>
      </x:c>
      <x:c r="B538" s="37" t="str"/>
      <x:c r="C538" s="37" t="str">
        <x:v>LJT-PERIO</x:v>
      </x:c>
      <x:c r="D538" s="37" t="str">
        <x:v>牙周統合</x:v>
      </x:c>
      <x:c r="E538" s="37" t="str">
        <x:v>一般</x:v>
      </x:c>
      <x:c r="F538" s="37" t="str">
        <x:v>一般</x:v>
      </x:c>
      <x:c r="G538" s="37" t="str">
        <x:v>COMMON-XRAY-RECORD</x:v>
      </x:c>
      <x:c r="H538" s="37" t="str">
        <x:v>待確認</x:v>
      </x:c>
      <x:c r="I538" s="37" t="str">
        <x:f>_xlfn.XLOOKUP($C538&amp;"|"&amp;$G538,'李醫師能力要求'!$M$7:$M$59,'李醫師能力要求'!$K$7:$K$59,"待確認",0)</x:f>
        <x:v>待確認</x:v>
      </x:c>
      <x:c r="J538" s="37" t="str">
        <x:v>◎</x:v>
      </x:c>
      <x:c r="K538" s="37" t="str">
        <x:v>Ø</x:v>
      </x:c>
      <x:c r="L538" s="48" t="str">
        <x:f>_xlfn.XLOOKUP($A538&amp;"|"&amp;$G538,'試行能力狀態'!$L$7:$L$258,'試行能力狀態'!$E$7:$E$258,"未評估",0)</x:f>
        <x:v>未評估</x:v>
      </x:c>
      <x:c r="M538" s="48" t="str">
        <x:f>_xlfn.XLOOKUP($A538&amp;"|"&amp;$G538,'試行能力狀態'!$L$7:$L$258,'試行能力狀態'!$F$7:$F$258,"未建立",0)</x:f>
        <x:v>未建立</x:v>
      </x:c>
      <x:c r="N538" s="48" t="str">
        <x:f>IF($L538="◎","符合獨立",IF($L538="Ø","符合條件","不符合"))</x:f>
        <x:v>不符合</x:v>
      </x:c>
      <x:c r="O538" s="48" t="str">
        <x:f>_xlfn.XLOOKUP($A538&amp;"|李侑津醫師",'試行熟悉度'!$K$7:$K$20,'試行熟悉度'!$E$7:$E$20,"未評估",0)</x:f>
        <x:v>未評估</x:v>
      </x:c>
      <x:c r="P538" s="48" t="str">
        <x:f>_xlfn.XLOOKUP($A538&amp;"|李侑津醫師",'試行熟悉度'!$K$7:$K$20,'試行熟悉度'!$F$7:$F$20,"未建立",0)</x:f>
        <x:v>未建立</x:v>
      </x:c>
      <x:c r="Q538" s="39" t="str">
        <x:v>確認後才納入自動判定</x:v>
      </x:c>
    </x:row>
    <x:row r="539">
      <x:c r="A539" s="37" t="str">
        <x:v>1030</x:v>
      </x:c>
      <x:c r="B539" s="37" t="str"/>
      <x:c r="C539" s="37" t="str">
        <x:v>LJT-RCT</x:v>
      </x:c>
      <x:c r="D539" s="37" t="str">
        <x:v>一般根管治療</x:v>
      </x:c>
      <x:c r="E539" s="37" t="str">
        <x:v>一般</x:v>
      </x:c>
      <x:c r="F539" s="37" t="str">
        <x:v>一般</x:v>
      </x:c>
      <x:c r="G539" s="37" t="str">
        <x:v>LJT-PREP-RCT</x:v>
      </x:c>
      <x:c r="H539" s="37" t="str">
        <x:v>必備</x:v>
      </x:c>
      <x:c r="I539" s="37" t="str">
        <x:f>_xlfn.XLOOKUP($C539&amp;"|"&amp;$G539,'李醫師能力要求'!$M$7:$M$59,'李醫師能力要求'!$K$7:$K$59,"待確認",0)</x:f>
        <x:v>已確認</x:v>
      </x:c>
      <x:c r="J539" s="37" t="str">
        <x:v>◎</x:v>
      </x:c>
      <x:c r="K539" s="37" t="str">
        <x:v>Ø</x:v>
      </x:c>
      <x:c r="L539" s="48" t="str">
        <x:f>_xlfn.XLOOKUP($A539&amp;"|"&amp;$G539,'試行能力狀態'!$L$7:$L$258,'試行能力狀態'!$E$7:$E$258,"未評估",0)</x:f>
        <x:v>未評估</x:v>
      </x:c>
      <x:c r="M539" s="48" t="str">
        <x:f>_xlfn.XLOOKUP($A539&amp;"|"&amp;$G539,'試行能力狀態'!$L$7:$L$258,'試行能力狀態'!$F$7:$F$258,"未建立",0)</x:f>
        <x:v>未建立</x:v>
      </x:c>
      <x:c r="N539" s="48" t="str">
        <x:f>IF($L539="◎","符合獨立",IF($L539="Ø","符合條件","不符合"))</x:f>
        <x:v>不符合</x:v>
      </x:c>
      <x:c r="O539" s="48" t="str">
        <x:f>_xlfn.XLOOKUP($A539&amp;"|李侑津醫師",'試行熟悉度'!$K$7:$K$20,'試行熟悉度'!$E$7:$E$20,"未評估",0)</x:f>
        <x:v>未評估</x:v>
      </x:c>
      <x:c r="P539" s="48" t="str">
        <x:f>_xlfn.XLOOKUP($A539&amp;"|李侑津醫師",'試行熟悉度'!$K$7:$K$20,'試行熟悉度'!$F$7:$F$20,"未建立",0)</x:f>
        <x:v>未建立</x:v>
      </x:c>
      <x:c r="Q539" s="39" t="str">
        <x:v>依一般支援名額</x:v>
      </x:c>
    </x:row>
    <x:row r="540">
      <x:c r="A540" s="37" t="str">
        <x:v>1030</x:v>
      </x:c>
      <x:c r="B540" s="37" t="str"/>
      <x:c r="C540" s="37" t="str">
        <x:v>LJT-RCT</x:v>
      </x:c>
      <x:c r="D540" s="37" t="str">
        <x:v>一般根管治療</x:v>
      </x:c>
      <x:c r="E540" s="37" t="str">
        <x:v>一般</x:v>
      </x:c>
      <x:c r="F540" s="37" t="str">
        <x:v>一般</x:v>
      </x:c>
      <x:c r="G540" s="37" t="str">
        <x:v>COMMON-RECORD</x:v>
      </x:c>
      <x:c r="H540" s="37" t="str">
        <x:v>待確認</x:v>
      </x:c>
      <x:c r="I540" s="37" t="str">
        <x:f>_xlfn.XLOOKUP($C540&amp;"|"&amp;$G540,'李醫師能力要求'!$M$7:$M$59,'李醫師能力要求'!$K$7:$K$59,"待確認",0)</x:f>
        <x:v>待確認</x:v>
      </x:c>
      <x:c r="J540" s="37" t="str">
        <x:v>◎</x:v>
      </x:c>
      <x:c r="K540" s="37" t="str">
        <x:v>Ø</x:v>
      </x:c>
      <x:c r="L540" s="48" t="str">
        <x:f>_xlfn.XLOOKUP($A540&amp;"|"&amp;$G540,'試行能力狀態'!$L$7:$L$258,'試行能力狀態'!$E$7:$E$258,"未評估",0)</x:f>
        <x:v>未評估</x:v>
      </x:c>
      <x:c r="M540" s="48" t="str">
        <x:f>_xlfn.XLOOKUP($A540&amp;"|"&amp;$G540,'試行能力狀態'!$L$7:$L$258,'試行能力狀態'!$F$7:$F$258,"未建立",0)</x:f>
        <x:v>未建立</x:v>
      </x:c>
      <x:c r="N540" s="48" t="str">
        <x:f>IF($L540="◎","符合獨立",IF($L540="Ø","符合條件","不符合"))</x:f>
        <x:v>不符合</x:v>
      </x:c>
      <x:c r="O540" s="48" t="str">
        <x:f>_xlfn.XLOOKUP($A540&amp;"|李侑津醫師",'試行熟悉度'!$K$7:$K$20,'試行熟悉度'!$E$7:$E$20,"未評估",0)</x:f>
        <x:v>未評估</x:v>
      </x:c>
      <x:c r="P540" s="48" t="str">
        <x:f>_xlfn.XLOOKUP($A540&amp;"|李侑津醫師",'試行熟悉度'!$K$7:$K$20,'試行熟悉度'!$F$7:$F$20,"未建立",0)</x:f>
        <x:v>未建立</x:v>
      </x:c>
      <x:c r="Q540" s="39" t="str">
        <x:v>確認後才納入自動判定</x:v>
      </x:c>
    </x:row>
    <x:row r="541">
      <x:c r="A541" s="37" t="str">
        <x:v>1030</x:v>
      </x:c>
      <x:c r="B541" s="37" t="str"/>
      <x:c r="C541" s="37" t="str">
        <x:v>LJT-RCT</x:v>
      </x:c>
      <x:c r="D541" s="37" t="str">
        <x:v>一般根管治療</x:v>
      </x:c>
      <x:c r="E541" s="37" t="str">
        <x:v>一般</x:v>
      </x:c>
      <x:c r="F541" s="37" t="str">
        <x:v>一般</x:v>
      </x:c>
      <x:c r="G541" s="37" t="str">
        <x:v>COMMON-INSURANCE</x:v>
      </x:c>
      <x:c r="H541" s="37" t="str">
        <x:v>待確認</x:v>
      </x:c>
      <x:c r="I541" s="37" t="str">
        <x:f>_xlfn.XLOOKUP($C541&amp;"|"&amp;$G541,'李醫師能力要求'!$M$7:$M$59,'李醫師能力要求'!$K$7:$K$59,"待確認",0)</x:f>
        <x:v>待確認</x:v>
      </x:c>
      <x:c r="J541" s="37" t="str">
        <x:v>◎</x:v>
      </x:c>
      <x:c r="K541" s="37" t="str">
        <x:v>Ø</x:v>
      </x:c>
      <x:c r="L541" s="48" t="str">
        <x:f>_xlfn.XLOOKUP($A541&amp;"|"&amp;$G541,'試行能力狀態'!$L$7:$L$258,'試行能力狀態'!$E$7:$E$258,"未評估",0)</x:f>
        <x:v>未評估</x:v>
      </x:c>
      <x:c r="M541" s="48" t="str">
        <x:f>_xlfn.XLOOKUP($A541&amp;"|"&amp;$G541,'試行能力狀態'!$L$7:$L$258,'試行能力狀態'!$F$7:$F$258,"未建立",0)</x:f>
        <x:v>未建立</x:v>
      </x:c>
      <x:c r="N541" s="48" t="str">
        <x:f>IF($L541="◎","符合獨立",IF($L541="Ø","符合條件","不符合"))</x:f>
        <x:v>不符合</x:v>
      </x:c>
      <x:c r="O541" s="48" t="str">
        <x:f>_xlfn.XLOOKUP($A541&amp;"|李侑津醫師",'試行熟悉度'!$K$7:$K$20,'試行熟悉度'!$E$7:$E$20,"未評估",0)</x:f>
        <x:v>未評估</x:v>
      </x:c>
      <x:c r="P541" s="48" t="str">
        <x:f>_xlfn.XLOOKUP($A541&amp;"|李侑津醫師",'試行熟悉度'!$K$7:$K$20,'試行熟悉度'!$F$7:$F$20,"未建立",0)</x:f>
        <x:v>未建立</x:v>
      </x:c>
      <x:c r="Q541" s="39" t="str">
        <x:v>確認後才納入自動判定</x:v>
      </x:c>
    </x:row>
    <x:row r="542">
      <x:c r="A542" s="37" t="str">
        <x:v>1030</x:v>
      </x:c>
      <x:c r="B542" s="37" t="str"/>
      <x:c r="C542" s="37" t="str">
        <x:v>LJT-RCT</x:v>
      </x:c>
      <x:c r="D542" s="37" t="str">
        <x:v>一般根管治療</x:v>
      </x:c>
      <x:c r="E542" s="37" t="str">
        <x:v>一般</x:v>
      </x:c>
      <x:c r="F542" s="37" t="str">
        <x:v>一般</x:v>
      </x:c>
      <x:c r="G542" s="37" t="str">
        <x:v>COMMON-XRAY-RECORD</x:v>
      </x:c>
      <x:c r="H542" s="37" t="str">
        <x:v>待確認</x:v>
      </x:c>
      <x:c r="I542" s="37" t="str">
        <x:f>_xlfn.XLOOKUP($C542&amp;"|"&amp;$G542,'李醫師能力要求'!$M$7:$M$59,'李醫師能力要求'!$K$7:$K$59,"待確認",0)</x:f>
        <x:v>待確認</x:v>
      </x:c>
      <x:c r="J542" s="37" t="str">
        <x:v>◎</x:v>
      </x:c>
      <x:c r="K542" s="37" t="str">
        <x:v>Ø</x:v>
      </x:c>
      <x:c r="L542" s="48" t="str">
        <x:f>_xlfn.XLOOKUP($A542&amp;"|"&amp;$G542,'試行能力狀態'!$L$7:$L$258,'試行能力狀態'!$E$7:$E$258,"未評估",0)</x:f>
        <x:v>未評估</x:v>
      </x:c>
      <x:c r="M542" s="48" t="str">
        <x:f>_xlfn.XLOOKUP($A542&amp;"|"&amp;$G542,'試行能力狀態'!$L$7:$L$258,'試行能力狀態'!$F$7:$F$258,"未建立",0)</x:f>
        <x:v>未建立</x:v>
      </x:c>
      <x:c r="N542" s="48" t="str">
        <x:f>IF($L542="◎","符合獨立",IF($L542="Ø","符合條件","不符合"))</x:f>
        <x:v>不符合</x:v>
      </x:c>
      <x:c r="O542" s="48" t="str">
        <x:f>_xlfn.XLOOKUP($A542&amp;"|李侑津醫師",'試行熟悉度'!$K$7:$K$20,'試行熟悉度'!$E$7:$E$20,"未評估",0)</x:f>
        <x:v>未評估</x:v>
      </x:c>
      <x:c r="P542" s="48" t="str">
        <x:f>_xlfn.XLOOKUP($A542&amp;"|李侑津醫師",'試行熟悉度'!$K$7:$K$20,'試行熟悉度'!$F$7:$F$20,"未建立",0)</x:f>
        <x:v>未建立</x:v>
      </x:c>
      <x:c r="Q542" s="39" t="str">
        <x:v>確認後才納入自動判定</x:v>
      </x:c>
    </x:row>
    <x:row r="543">
      <x:c r="A543" s="37" t="str">
        <x:v>1030</x:v>
      </x:c>
      <x:c r="B543" s="37" t="str"/>
      <x:c r="C543" s="37" t="str">
        <x:v>LJT-EXTRACTION</x:v>
      </x:c>
      <x:c r="D543" s="37" t="str">
        <x:v>拔牙</x:v>
      </x:c>
      <x:c r="E543" s="37" t="str">
        <x:v>一般</x:v>
      </x:c>
      <x:c r="F543" s="37" t="str">
        <x:v>一般</x:v>
      </x:c>
      <x:c r="G543" s="37" t="str">
        <x:v>LJT-PREP-EXTRACTION</x:v>
      </x:c>
      <x:c r="H543" s="37" t="str">
        <x:v>必備</x:v>
      </x:c>
      <x:c r="I543" s="37" t="str">
        <x:f>_xlfn.XLOOKUP($C543&amp;"|"&amp;$G543,'李醫師能力要求'!$M$7:$M$59,'李醫師能力要求'!$K$7:$K$59,"待確認",0)</x:f>
        <x:v>已確認</x:v>
      </x:c>
      <x:c r="J543" s="37" t="str">
        <x:v>◎</x:v>
      </x:c>
      <x:c r="K543" s="37" t="str">
        <x:v>Ø</x:v>
      </x:c>
      <x:c r="L543" s="48" t="str">
        <x:f>_xlfn.XLOOKUP($A543&amp;"|"&amp;$G543,'試行能力狀態'!$L$7:$L$258,'試行能力狀態'!$E$7:$E$258,"未評估",0)</x:f>
        <x:v>未評估</x:v>
      </x:c>
      <x:c r="M543" s="48" t="str">
        <x:f>_xlfn.XLOOKUP($A543&amp;"|"&amp;$G543,'試行能力狀態'!$L$7:$L$258,'試行能力狀態'!$F$7:$F$258,"未建立",0)</x:f>
        <x:v>未建立</x:v>
      </x:c>
      <x:c r="N543" s="48" t="str">
        <x:f>IF($L543="◎","符合獨立",IF($L543="Ø","符合條件","不符合"))</x:f>
        <x:v>不符合</x:v>
      </x:c>
      <x:c r="O543" s="48" t="str">
        <x:f>_xlfn.XLOOKUP($A543&amp;"|李侑津醫師",'試行熟悉度'!$K$7:$K$20,'試行熟悉度'!$E$7:$E$20,"未評估",0)</x:f>
        <x:v>未評估</x:v>
      </x:c>
      <x:c r="P543" s="48" t="str">
        <x:f>_xlfn.XLOOKUP($A543&amp;"|李侑津醫師",'試行熟悉度'!$K$7:$K$20,'試行熟悉度'!$F$7:$F$20,"未建立",0)</x:f>
        <x:v>未建立</x:v>
      </x:c>
      <x:c r="Q543" s="39" t="str">
        <x:v>依一般支援名額</x:v>
      </x:c>
    </x:row>
    <x:row r="544">
      <x:c r="A544" s="37" t="str">
        <x:v>1030</x:v>
      </x:c>
      <x:c r="B544" s="37" t="str"/>
      <x:c r="C544" s="37" t="str">
        <x:v>LJT-EXTRACTION</x:v>
      </x:c>
      <x:c r="D544" s="37" t="str">
        <x:v>拔牙</x:v>
      </x:c>
      <x:c r="E544" s="37" t="str">
        <x:v>一般</x:v>
      </x:c>
      <x:c r="F544" s="37" t="str">
        <x:v>一般</x:v>
      </x:c>
      <x:c r="G544" s="37" t="str">
        <x:v>COMMON-RECORD</x:v>
      </x:c>
      <x:c r="H544" s="37" t="str">
        <x:v>待確認</x:v>
      </x:c>
      <x:c r="I544" s="37" t="str">
        <x:f>_xlfn.XLOOKUP($C544&amp;"|"&amp;$G544,'李醫師能力要求'!$M$7:$M$59,'李醫師能力要求'!$K$7:$K$59,"待確認",0)</x:f>
        <x:v>待確認</x:v>
      </x:c>
      <x:c r="J544" s="37" t="str">
        <x:v>◎</x:v>
      </x:c>
      <x:c r="K544" s="37" t="str">
        <x:v>Ø</x:v>
      </x:c>
      <x:c r="L544" s="48" t="str">
        <x:f>_xlfn.XLOOKUP($A544&amp;"|"&amp;$G544,'試行能力狀態'!$L$7:$L$258,'試行能力狀態'!$E$7:$E$258,"未評估",0)</x:f>
        <x:v>未評估</x:v>
      </x:c>
      <x:c r="M544" s="48" t="str">
        <x:f>_xlfn.XLOOKUP($A544&amp;"|"&amp;$G544,'試行能力狀態'!$L$7:$L$258,'試行能力狀態'!$F$7:$F$258,"未建立",0)</x:f>
        <x:v>未建立</x:v>
      </x:c>
      <x:c r="N544" s="48" t="str">
        <x:f>IF($L544="◎","符合獨立",IF($L544="Ø","符合條件","不符合"))</x:f>
        <x:v>不符合</x:v>
      </x:c>
      <x:c r="O544" s="48" t="str">
        <x:f>_xlfn.XLOOKUP($A544&amp;"|李侑津醫師",'試行熟悉度'!$K$7:$K$20,'試行熟悉度'!$E$7:$E$20,"未評估",0)</x:f>
        <x:v>未評估</x:v>
      </x:c>
      <x:c r="P544" s="48" t="str">
        <x:f>_xlfn.XLOOKUP($A544&amp;"|李侑津醫師",'試行熟悉度'!$K$7:$K$20,'試行熟悉度'!$F$7:$F$20,"未建立",0)</x:f>
        <x:v>未建立</x:v>
      </x:c>
      <x:c r="Q544" s="39" t="str">
        <x:v>確認後才納入自動判定</x:v>
      </x:c>
    </x:row>
    <x:row r="545">
      <x:c r="A545" s="37" t="str">
        <x:v>1030</x:v>
      </x:c>
      <x:c r="B545" s="37" t="str"/>
      <x:c r="C545" s="37" t="str">
        <x:v>LJT-EXTRACTION</x:v>
      </x:c>
      <x:c r="D545" s="37" t="str">
        <x:v>拔牙</x:v>
      </x:c>
      <x:c r="E545" s="37" t="str">
        <x:v>一般</x:v>
      </x:c>
      <x:c r="F545" s="37" t="str">
        <x:v>一般</x:v>
      </x:c>
      <x:c r="G545" s="37" t="str">
        <x:v>COMMON-INSURANCE</x:v>
      </x:c>
      <x:c r="H545" s="37" t="str">
        <x:v>待確認</x:v>
      </x:c>
      <x:c r="I545" s="37" t="str">
        <x:f>_xlfn.XLOOKUP($C545&amp;"|"&amp;$G545,'李醫師能力要求'!$M$7:$M$59,'李醫師能力要求'!$K$7:$K$59,"待確認",0)</x:f>
        <x:v>待確認</x:v>
      </x:c>
      <x:c r="J545" s="37" t="str">
        <x:v>◎</x:v>
      </x:c>
      <x:c r="K545" s="37" t="str">
        <x:v>Ø</x:v>
      </x:c>
      <x:c r="L545" s="48" t="str">
        <x:f>_xlfn.XLOOKUP($A545&amp;"|"&amp;$G545,'試行能力狀態'!$L$7:$L$258,'試行能力狀態'!$E$7:$E$258,"未評估",0)</x:f>
        <x:v>未評估</x:v>
      </x:c>
      <x:c r="M545" s="48" t="str">
        <x:f>_xlfn.XLOOKUP($A545&amp;"|"&amp;$G545,'試行能力狀態'!$L$7:$L$258,'試行能力狀態'!$F$7:$F$258,"未建立",0)</x:f>
        <x:v>未建立</x:v>
      </x:c>
      <x:c r="N545" s="48" t="str">
        <x:f>IF($L545="◎","符合獨立",IF($L545="Ø","符合條件","不符合"))</x:f>
        <x:v>不符合</x:v>
      </x:c>
      <x:c r="O545" s="48" t="str">
        <x:f>_xlfn.XLOOKUP($A545&amp;"|李侑津醫師",'試行熟悉度'!$K$7:$K$20,'試行熟悉度'!$E$7:$E$20,"未評估",0)</x:f>
        <x:v>未評估</x:v>
      </x:c>
      <x:c r="P545" s="48" t="str">
        <x:f>_xlfn.XLOOKUP($A545&amp;"|李侑津醫師",'試行熟悉度'!$K$7:$K$20,'試行熟悉度'!$F$7:$F$20,"未建立",0)</x:f>
        <x:v>未建立</x:v>
      </x:c>
      <x:c r="Q545" s="39" t="str">
        <x:v>確認後才納入自動判定</x:v>
      </x:c>
    </x:row>
    <x:row r="546">
      <x:c r="A546" s="37" t="str">
        <x:v>1030</x:v>
      </x:c>
      <x:c r="B546" s="37" t="str"/>
      <x:c r="C546" s="37" t="str">
        <x:v>LJT-EXTRACTION</x:v>
      </x:c>
      <x:c r="D546" s="37" t="str">
        <x:v>拔牙</x:v>
      </x:c>
      <x:c r="E546" s="37" t="str">
        <x:v>一般</x:v>
      </x:c>
      <x:c r="F546" s="37" t="str">
        <x:v>一般</x:v>
      </x:c>
      <x:c r="G546" s="37" t="str">
        <x:v>COMMON-XRAY-RECORD</x:v>
      </x:c>
      <x:c r="H546" s="37" t="str">
        <x:v>待確認</x:v>
      </x:c>
      <x:c r="I546" s="37" t="str">
        <x:f>_xlfn.XLOOKUP($C546&amp;"|"&amp;$G546,'李醫師能力要求'!$M$7:$M$59,'李醫師能力要求'!$K$7:$K$59,"待確認",0)</x:f>
        <x:v>待確認</x:v>
      </x:c>
      <x:c r="J546" s="37" t="str">
        <x:v>◎</x:v>
      </x:c>
      <x:c r="K546" s="37" t="str">
        <x:v>Ø</x:v>
      </x:c>
      <x:c r="L546" s="48" t="str">
        <x:f>_xlfn.XLOOKUP($A546&amp;"|"&amp;$G546,'試行能力狀態'!$L$7:$L$258,'試行能力狀態'!$E$7:$E$258,"未評估",0)</x:f>
        <x:v>未評估</x:v>
      </x:c>
      <x:c r="M546" s="48" t="str">
        <x:f>_xlfn.XLOOKUP($A546&amp;"|"&amp;$G546,'試行能力狀態'!$L$7:$L$258,'試行能力狀態'!$F$7:$F$258,"未建立",0)</x:f>
        <x:v>未建立</x:v>
      </x:c>
      <x:c r="N546" s="48" t="str">
        <x:f>IF($L546="◎","符合獨立",IF($L546="Ø","符合條件","不符合"))</x:f>
        <x:v>不符合</x:v>
      </x:c>
      <x:c r="O546" s="48" t="str">
        <x:f>_xlfn.XLOOKUP($A546&amp;"|李侑津醫師",'試行熟悉度'!$K$7:$K$20,'試行熟悉度'!$E$7:$E$20,"未評估",0)</x:f>
        <x:v>未評估</x:v>
      </x:c>
      <x:c r="P546" s="48" t="str">
        <x:f>_xlfn.XLOOKUP($A546&amp;"|李侑津醫師",'試行熟悉度'!$K$7:$K$20,'試行熟悉度'!$F$7:$F$20,"未建立",0)</x:f>
        <x:v>未建立</x:v>
      </x:c>
      <x:c r="Q546" s="39" t="str">
        <x:v>確認後才納入自動判定</x:v>
      </x:c>
    </x:row>
    <x:row r="547">
      <x:c r="A547" s="37" t="str">
        <x:v>1030</x:v>
      </x:c>
      <x:c r="B547" s="37" t="str"/>
      <x:c r="C547" s="37" t="str">
        <x:v>LJT-CROWNPOST</x:v>
      </x:c>
      <x:c r="D547" s="37" t="str">
        <x:v>拆 crown/post</x:v>
      </x:c>
      <x:c r="E547" s="37" t="str">
        <x:v>一般</x:v>
      </x:c>
      <x:c r="F547" s="37" t="str">
        <x:v>一般</x:v>
      </x:c>
      <x:c r="G547" s="37" t="str">
        <x:v>LJT-PREP-CROWNPOST</x:v>
      </x:c>
      <x:c r="H547" s="37" t="str">
        <x:v>必備</x:v>
      </x:c>
      <x:c r="I547" s="37" t="str">
        <x:f>_xlfn.XLOOKUP($C547&amp;"|"&amp;$G547,'李醫師能力要求'!$M$7:$M$59,'李醫師能力要求'!$K$7:$K$59,"待確認",0)</x:f>
        <x:v>已確認</x:v>
      </x:c>
      <x:c r="J547" s="37" t="str">
        <x:v>◎</x:v>
      </x:c>
      <x:c r="K547" s="37" t="str">
        <x:v>Ø</x:v>
      </x:c>
      <x:c r="L547" s="48" t="str">
        <x:f>_xlfn.XLOOKUP($A547&amp;"|"&amp;$G547,'試行能力狀態'!$L$7:$L$258,'試行能力狀態'!$E$7:$E$258,"未評估",0)</x:f>
        <x:v>未評估</x:v>
      </x:c>
      <x:c r="M547" s="48" t="str">
        <x:f>_xlfn.XLOOKUP($A547&amp;"|"&amp;$G547,'試行能力狀態'!$L$7:$L$258,'試行能力狀態'!$F$7:$F$258,"未建立",0)</x:f>
        <x:v>未建立</x:v>
      </x:c>
      <x:c r="N547" s="48" t="str">
        <x:f>IF($L547="◎","符合獨立",IF($L547="Ø","符合條件","不符合"))</x:f>
        <x:v>不符合</x:v>
      </x:c>
      <x:c r="O547" s="48" t="str">
        <x:f>_xlfn.XLOOKUP($A547&amp;"|李侑津醫師",'試行熟悉度'!$K$7:$K$20,'試行熟悉度'!$E$7:$E$20,"未評估",0)</x:f>
        <x:v>未評估</x:v>
      </x:c>
      <x:c r="P547" s="48" t="str">
        <x:f>_xlfn.XLOOKUP($A547&amp;"|李侑津醫師",'試行熟悉度'!$K$7:$K$20,'試行熟悉度'!$F$7:$F$20,"未建立",0)</x:f>
        <x:v>未建立</x:v>
      </x:c>
      <x:c r="Q547" s="39" t="str">
        <x:v>依一般支援名額</x:v>
      </x:c>
    </x:row>
    <x:row r="548">
      <x:c r="A548" s="37" t="str">
        <x:v>1030</x:v>
      </x:c>
      <x:c r="B548" s="37" t="str"/>
      <x:c r="C548" s="37" t="str">
        <x:v>LJT-CROWNPOST</x:v>
      </x:c>
      <x:c r="D548" s="37" t="str">
        <x:v>拆 crown/post</x:v>
      </x:c>
      <x:c r="E548" s="37" t="str">
        <x:v>一般</x:v>
      </x:c>
      <x:c r="F548" s="37" t="str">
        <x:v>一般</x:v>
      </x:c>
      <x:c r="G548" s="37" t="str">
        <x:v>COMMON-RECORD</x:v>
      </x:c>
      <x:c r="H548" s="37" t="str">
        <x:v>待確認</x:v>
      </x:c>
      <x:c r="I548" s="37" t="str">
        <x:f>_xlfn.XLOOKUP($C548&amp;"|"&amp;$G548,'李醫師能力要求'!$M$7:$M$59,'李醫師能力要求'!$K$7:$K$59,"待確認",0)</x:f>
        <x:v>待確認</x:v>
      </x:c>
      <x:c r="J548" s="37" t="str">
        <x:v>◎</x:v>
      </x:c>
      <x:c r="K548" s="37" t="str">
        <x:v>Ø</x:v>
      </x:c>
      <x:c r="L548" s="48" t="str">
        <x:f>_xlfn.XLOOKUP($A548&amp;"|"&amp;$G548,'試行能力狀態'!$L$7:$L$258,'試行能力狀態'!$E$7:$E$258,"未評估",0)</x:f>
        <x:v>未評估</x:v>
      </x:c>
      <x:c r="M548" s="48" t="str">
        <x:f>_xlfn.XLOOKUP($A548&amp;"|"&amp;$G548,'試行能力狀態'!$L$7:$L$258,'試行能力狀態'!$F$7:$F$258,"未建立",0)</x:f>
        <x:v>未建立</x:v>
      </x:c>
      <x:c r="N548" s="48" t="str">
        <x:f>IF($L548="◎","符合獨立",IF($L548="Ø","符合條件","不符合"))</x:f>
        <x:v>不符合</x:v>
      </x:c>
      <x:c r="O548" s="48" t="str">
        <x:f>_xlfn.XLOOKUP($A548&amp;"|李侑津醫師",'試行熟悉度'!$K$7:$K$20,'試行熟悉度'!$E$7:$E$20,"未評估",0)</x:f>
        <x:v>未評估</x:v>
      </x:c>
      <x:c r="P548" s="48" t="str">
        <x:f>_xlfn.XLOOKUP($A548&amp;"|李侑津醫師",'試行熟悉度'!$K$7:$K$20,'試行熟悉度'!$F$7:$F$20,"未建立",0)</x:f>
        <x:v>未建立</x:v>
      </x:c>
      <x:c r="Q548" s="39" t="str">
        <x:v>確認後才納入自動判定</x:v>
      </x:c>
    </x:row>
    <x:row r="549">
      <x:c r="A549" s="37" t="str">
        <x:v>1030</x:v>
      </x:c>
      <x:c r="B549" s="37" t="str"/>
      <x:c r="C549" s="37" t="str">
        <x:v>LJT-CROWNPOST</x:v>
      </x:c>
      <x:c r="D549" s="37" t="str">
        <x:v>拆 crown/post</x:v>
      </x:c>
      <x:c r="E549" s="37" t="str">
        <x:v>一般</x:v>
      </x:c>
      <x:c r="F549" s="37" t="str">
        <x:v>一般</x:v>
      </x:c>
      <x:c r="G549" s="37" t="str">
        <x:v>COMMON-INSURANCE</x:v>
      </x:c>
      <x:c r="H549" s="37" t="str">
        <x:v>待確認</x:v>
      </x:c>
      <x:c r="I549" s="37" t="str">
        <x:f>_xlfn.XLOOKUP($C549&amp;"|"&amp;$G549,'李醫師能力要求'!$M$7:$M$59,'李醫師能力要求'!$K$7:$K$59,"待確認",0)</x:f>
        <x:v>待確認</x:v>
      </x:c>
      <x:c r="J549" s="37" t="str">
        <x:v>◎</x:v>
      </x:c>
      <x:c r="K549" s="37" t="str">
        <x:v>Ø</x:v>
      </x:c>
      <x:c r="L549" s="48" t="str">
        <x:f>_xlfn.XLOOKUP($A549&amp;"|"&amp;$G549,'試行能力狀態'!$L$7:$L$258,'試行能力狀態'!$E$7:$E$258,"未評估",0)</x:f>
        <x:v>未評估</x:v>
      </x:c>
      <x:c r="M549" s="48" t="str">
        <x:f>_xlfn.XLOOKUP($A549&amp;"|"&amp;$G549,'試行能力狀態'!$L$7:$L$258,'試行能力狀態'!$F$7:$F$258,"未建立",0)</x:f>
        <x:v>未建立</x:v>
      </x:c>
      <x:c r="N549" s="48" t="str">
        <x:f>IF($L549="◎","符合獨立",IF($L549="Ø","符合條件","不符合"))</x:f>
        <x:v>不符合</x:v>
      </x:c>
      <x:c r="O549" s="48" t="str">
        <x:f>_xlfn.XLOOKUP($A549&amp;"|李侑津醫師",'試行熟悉度'!$K$7:$K$20,'試行熟悉度'!$E$7:$E$20,"未評估",0)</x:f>
        <x:v>未評估</x:v>
      </x:c>
      <x:c r="P549" s="48" t="str">
        <x:f>_xlfn.XLOOKUP($A549&amp;"|李侑津醫師",'試行熟悉度'!$K$7:$K$20,'試行熟悉度'!$F$7:$F$20,"未建立",0)</x:f>
        <x:v>未建立</x:v>
      </x:c>
      <x:c r="Q549" s="39" t="str">
        <x:v>確認後才納入自動判定</x:v>
      </x:c>
    </x:row>
    <x:row r="550">
      <x:c r="A550" s="37" t="str">
        <x:v>1030</x:v>
      </x:c>
      <x:c r="B550" s="37" t="str"/>
      <x:c r="C550" s="37" t="str">
        <x:v>LJT-CROWNPOST</x:v>
      </x:c>
      <x:c r="D550" s="37" t="str">
        <x:v>拆 crown/post</x:v>
      </x:c>
      <x:c r="E550" s="37" t="str">
        <x:v>一般</x:v>
      </x:c>
      <x:c r="F550" s="37" t="str">
        <x:v>一般</x:v>
      </x:c>
      <x:c r="G550" s="37" t="str">
        <x:v>COMMON-XRAY-RECORD</x:v>
      </x:c>
      <x:c r="H550" s="37" t="str">
        <x:v>待確認</x:v>
      </x:c>
      <x:c r="I550" s="37" t="str">
        <x:f>_xlfn.XLOOKUP($C550&amp;"|"&amp;$G550,'李醫師能力要求'!$M$7:$M$59,'李醫師能力要求'!$K$7:$K$59,"待確認",0)</x:f>
        <x:v>待確認</x:v>
      </x:c>
      <x:c r="J550" s="37" t="str">
        <x:v>◎</x:v>
      </x:c>
      <x:c r="K550" s="37" t="str">
        <x:v>Ø</x:v>
      </x:c>
      <x:c r="L550" s="48" t="str">
        <x:f>_xlfn.XLOOKUP($A550&amp;"|"&amp;$G550,'試行能力狀態'!$L$7:$L$258,'試行能力狀態'!$E$7:$E$258,"未評估",0)</x:f>
        <x:v>未評估</x:v>
      </x:c>
      <x:c r="M550" s="48" t="str">
        <x:f>_xlfn.XLOOKUP($A550&amp;"|"&amp;$G550,'試行能力狀態'!$L$7:$L$258,'試行能力狀態'!$F$7:$F$258,"未建立",0)</x:f>
        <x:v>未建立</x:v>
      </x:c>
      <x:c r="N550" s="48" t="str">
        <x:f>IF($L550="◎","符合獨立",IF($L550="Ø","符合條件","不符合"))</x:f>
        <x:v>不符合</x:v>
      </x:c>
      <x:c r="O550" s="48" t="str">
        <x:f>_xlfn.XLOOKUP($A550&amp;"|李侑津醫師",'試行熟悉度'!$K$7:$K$20,'試行熟悉度'!$E$7:$E$20,"未評估",0)</x:f>
        <x:v>未評估</x:v>
      </x:c>
      <x:c r="P550" s="48" t="str">
        <x:f>_xlfn.XLOOKUP($A550&amp;"|李侑津醫師",'試行熟悉度'!$K$7:$K$20,'試行熟悉度'!$F$7:$F$20,"未建立",0)</x:f>
        <x:v>未建立</x:v>
      </x:c>
      <x:c r="Q550" s="39" t="str">
        <x:v>確認後才納入自動判定</x:v>
      </x:c>
    </x:row>
    <x:row r="551">
      <x:c r="A551" s="37" t="str">
        <x:v>1030</x:v>
      </x:c>
      <x:c r="B551" s="37" t="str"/>
      <x:c r="C551" s="37" t="str">
        <x:v>LJT-CROWN</x:v>
      </x:c>
      <x:c r="D551" s="37" t="str">
        <x:v>固定假牙</x:v>
      </x:c>
      <x:c r="E551" s="37" t="str">
        <x:v>一般</x:v>
      </x:c>
      <x:c r="F551" s="37" t="str">
        <x:v>一般</x:v>
      </x:c>
      <x:c r="G551" s="37" t="str">
        <x:v>LJT-PREP-CROWN</x:v>
      </x:c>
      <x:c r="H551" s="37" t="str">
        <x:v>必備</x:v>
      </x:c>
      <x:c r="I551" s="37" t="str">
        <x:f>_xlfn.XLOOKUP($C551&amp;"|"&amp;$G551,'李醫師能力要求'!$M$7:$M$59,'李醫師能力要求'!$K$7:$K$59,"待確認",0)</x:f>
        <x:v>已確認</x:v>
      </x:c>
      <x:c r="J551" s="37" t="str">
        <x:v>◎</x:v>
      </x:c>
      <x:c r="K551" s="37" t="str">
        <x:v>Ø</x:v>
      </x:c>
      <x:c r="L551" s="48" t="str">
        <x:f>_xlfn.XLOOKUP($A551&amp;"|"&amp;$G551,'試行能力狀態'!$L$7:$L$258,'試行能力狀態'!$E$7:$E$258,"未評估",0)</x:f>
        <x:v>未評估</x:v>
      </x:c>
      <x:c r="M551" s="48" t="str">
        <x:f>_xlfn.XLOOKUP($A551&amp;"|"&amp;$G551,'試行能力狀態'!$L$7:$L$258,'試行能力狀態'!$F$7:$F$258,"未建立",0)</x:f>
        <x:v>未建立</x:v>
      </x:c>
      <x:c r="N551" s="48" t="str">
        <x:f>IF($L551="◎","符合獨立",IF($L551="Ø","符合條件","不符合"))</x:f>
        <x:v>不符合</x:v>
      </x:c>
      <x:c r="O551" s="48" t="str">
        <x:f>_xlfn.XLOOKUP($A551&amp;"|李侑津醫師",'試行熟悉度'!$K$7:$K$20,'試行熟悉度'!$E$7:$E$20,"未評估",0)</x:f>
        <x:v>未評估</x:v>
      </x:c>
      <x:c r="P551" s="48" t="str">
        <x:f>_xlfn.XLOOKUP($A551&amp;"|李侑津醫師",'試行熟悉度'!$K$7:$K$20,'試行熟悉度'!$F$7:$F$20,"未建立",0)</x:f>
        <x:v>未建立</x:v>
      </x:c>
      <x:c r="Q551" s="39" t="str">
        <x:v>依一般支援名額</x:v>
      </x:c>
    </x:row>
    <x:row r="552">
      <x:c r="A552" s="37" t="str">
        <x:v>1030</x:v>
      </x:c>
      <x:c r="B552" s="37" t="str"/>
      <x:c r="C552" s="37" t="str">
        <x:v>LJT-CROWN</x:v>
      </x:c>
      <x:c r="D552" s="37" t="str">
        <x:v>固定假牙</x:v>
      </x:c>
      <x:c r="E552" s="37" t="str">
        <x:v>一般</x:v>
      </x:c>
      <x:c r="F552" s="37" t="str">
        <x:v>一般</x:v>
      </x:c>
      <x:c r="G552" s="37" t="str">
        <x:v>COMMON-RECORD</x:v>
      </x:c>
      <x:c r="H552" s="37" t="str">
        <x:v>待確認</x:v>
      </x:c>
      <x:c r="I552" s="37" t="str">
        <x:f>_xlfn.XLOOKUP($C552&amp;"|"&amp;$G552,'李醫師能力要求'!$M$7:$M$59,'李醫師能力要求'!$K$7:$K$59,"待確認",0)</x:f>
        <x:v>待確認</x:v>
      </x:c>
      <x:c r="J552" s="37" t="str">
        <x:v>◎</x:v>
      </x:c>
      <x:c r="K552" s="37" t="str">
        <x:v>Ø</x:v>
      </x:c>
      <x:c r="L552" s="48" t="str">
        <x:f>_xlfn.XLOOKUP($A552&amp;"|"&amp;$G552,'試行能力狀態'!$L$7:$L$258,'試行能力狀態'!$E$7:$E$258,"未評估",0)</x:f>
        <x:v>未評估</x:v>
      </x:c>
      <x:c r="M552" s="48" t="str">
        <x:f>_xlfn.XLOOKUP($A552&amp;"|"&amp;$G552,'試行能力狀態'!$L$7:$L$258,'試行能力狀態'!$F$7:$F$258,"未建立",0)</x:f>
        <x:v>未建立</x:v>
      </x:c>
      <x:c r="N552" s="48" t="str">
        <x:f>IF($L552="◎","符合獨立",IF($L552="Ø","符合條件","不符合"))</x:f>
        <x:v>不符合</x:v>
      </x:c>
      <x:c r="O552" s="48" t="str">
        <x:f>_xlfn.XLOOKUP($A552&amp;"|李侑津醫師",'試行熟悉度'!$K$7:$K$20,'試行熟悉度'!$E$7:$E$20,"未評估",0)</x:f>
        <x:v>未評估</x:v>
      </x:c>
      <x:c r="P552" s="48" t="str">
        <x:f>_xlfn.XLOOKUP($A552&amp;"|李侑津醫師",'試行熟悉度'!$K$7:$K$20,'試行熟悉度'!$F$7:$F$20,"未建立",0)</x:f>
        <x:v>未建立</x:v>
      </x:c>
      <x:c r="Q552" s="39" t="str">
        <x:v>確認後才納入自動判定</x:v>
      </x:c>
    </x:row>
    <x:row r="553">
      <x:c r="A553" s="37" t="str">
        <x:v>1030</x:v>
      </x:c>
      <x:c r="B553" s="37" t="str"/>
      <x:c r="C553" s="37" t="str">
        <x:v>LJT-CROWN</x:v>
      </x:c>
      <x:c r="D553" s="37" t="str">
        <x:v>固定假牙</x:v>
      </x:c>
      <x:c r="E553" s="37" t="str">
        <x:v>一般</x:v>
      </x:c>
      <x:c r="F553" s="37" t="str">
        <x:v>一般</x:v>
      </x:c>
      <x:c r="G553" s="37" t="str">
        <x:v>COMMON-INSURANCE</x:v>
      </x:c>
      <x:c r="H553" s="37" t="str">
        <x:v>待確認</x:v>
      </x:c>
      <x:c r="I553" s="37" t="str">
        <x:f>_xlfn.XLOOKUP($C553&amp;"|"&amp;$G553,'李醫師能力要求'!$M$7:$M$59,'李醫師能力要求'!$K$7:$K$59,"待確認",0)</x:f>
        <x:v>待確認</x:v>
      </x:c>
      <x:c r="J553" s="37" t="str">
        <x:v>◎</x:v>
      </x:c>
      <x:c r="K553" s="37" t="str">
        <x:v>Ø</x:v>
      </x:c>
      <x:c r="L553" s="48" t="str">
        <x:f>_xlfn.XLOOKUP($A553&amp;"|"&amp;$G553,'試行能力狀態'!$L$7:$L$258,'試行能力狀態'!$E$7:$E$258,"未評估",0)</x:f>
        <x:v>未評估</x:v>
      </x:c>
      <x:c r="M553" s="48" t="str">
        <x:f>_xlfn.XLOOKUP($A553&amp;"|"&amp;$G553,'試行能力狀態'!$L$7:$L$258,'試行能力狀態'!$F$7:$F$258,"未建立",0)</x:f>
        <x:v>未建立</x:v>
      </x:c>
      <x:c r="N553" s="48" t="str">
        <x:f>IF($L553="◎","符合獨立",IF($L553="Ø","符合條件","不符合"))</x:f>
        <x:v>不符合</x:v>
      </x:c>
      <x:c r="O553" s="48" t="str">
        <x:f>_xlfn.XLOOKUP($A553&amp;"|李侑津醫師",'試行熟悉度'!$K$7:$K$20,'試行熟悉度'!$E$7:$E$20,"未評估",0)</x:f>
        <x:v>未評估</x:v>
      </x:c>
      <x:c r="P553" s="48" t="str">
        <x:f>_xlfn.XLOOKUP($A553&amp;"|李侑津醫師",'試行熟悉度'!$K$7:$K$20,'試行熟悉度'!$F$7:$F$20,"未建立",0)</x:f>
        <x:v>未建立</x:v>
      </x:c>
      <x:c r="Q553" s="39" t="str">
        <x:v>確認後才納入自動判定</x:v>
      </x:c>
    </x:row>
    <x:row r="554">
      <x:c r="A554" s="37" t="str">
        <x:v>1030</x:v>
      </x:c>
      <x:c r="B554" s="37" t="str"/>
      <x:c r="C554" s="37" t="str">
        <x:v>LJT-CROWN</x:v>
      </x:c>
      <x:c r="D554" s="37" t="str">
        <x:v>固定假牙</x:v>
      </x:c>
      <x:c r="E554" s="37" t="str">
        <x:v>一般</x:v>
      </x:c>
      <x:c r="F554" s="37" t="str">
        <x:v>一般</x:v>
      </x:c>
      <x:c r="G554" s="37" t="str">
        <x:v>COMMON-XRAY-RECORD</x:v>
      </x:c>
      <x:c r="H554" s="37" t="str">
        <x:v>待確認</x:v>
      </x:c>
      <x:c r="I554" s="37" t="str">
        <x:f>_xlfn.XLOOKUP($C554&amp;"|"&amp;$G554,'李醫師能力要求'!$M$7:$M$59,'李醫師能力要求'!$K$7:$K$59,"待確認",0)</x:f>
        <x:v>待確認</x:v>
      </x:c>
      <x:c r="J554" s="37" t="str">
        <x:v>◎</x:v>
      </x:c>
      <x:c r="K554" s="37" t="str">
        <x:v>Ø</x:v>
      </x:c>
      <x:c r="L554" s="48" t="str">
        <x:f>_xlfn.XLOOKUP($A554&amp;"|"&amp;$G554,'試行能力狀態'!$L$7:$L$258,'試行能力狀態'!$E$7:$E$258,"未評估",0)</x:f>
        <x:v>未評估</x:v>
      </x:c>
      <x:c r="M554" s="48" t="str">
        <x:f>_xlfn.XLOOKUP($A554&amp;"|"&amp;$G554,'試行能力狀態'!$L$7:$L$258,'試行能力狀態'!$F$7:$F$258,"未建立",0)</x:f>
        <x:v>未建立</x:v>
      </x:c>
      <x:c r="N554" s="48" t="str">
        <x:f>IF($L554="◎","符合獨立",IF($L554="Ø","符合條件","不符合"))</x:f>
        <x:v>不符合</x:v>
      </x:c>
      <x:c r="O554" s="48" t="str">
        <x:f>_xlfn.XLOOKUP($A554&amp;"|李侑津醫師",'試行熟悉度'!$K$7:$K$20,'試行熟悉度'!$E$7:$E$20,"未評估",0)</x:f>
        <x:v>未評估</x:v>
      </x:c>
      <x:c r="P554" s="48" t="str">
        <x:f>_xlfn.XLOOKUP($A554&amp;"|李侑津醫師",'試行熟悉度'!$K$7:$K$20,'試行熟悉度'!$F$7:$F$20,"未建立",0)</x:f>
        <x:v>未建立</x:v>
      </x:c>
      <x:c r="Q554" s="39" t="str">
        <x:v>確認後才納入自動判定</x:v>
      </x:c>
    </x:row>
    <x:row r="555">
      <x:c r="A555" s="37" t="str">
        <x:v>1030</x:v>
      </x:c>
      <x:c r="B555" s="37" t="str"/>
      <x:c r="C555" s="37" t="str">
        <x:v>LJT-RPD</x:v>
      </x:c>
      <x:c r="D555" s="37" t="str">
        <x:v>RPD</x:v>
      </x:c>
      <x:c r="E555" s="37" t="str">
        <x:v>一般步驟</x:v>
      </x:c>
      <x:c r="F555" s="37" t="str">
        <x:v>一般</x:v>
      </x:c>
      <x:c r="G555" s="37" t="str">
        <x:v>LJT-PREP-RPD</x:v>
      </x:c>
      <x:c r="H555" s="37" t="str">
        <x:v>必備</x:v>
      </x:c>
      <x:c r="I555" s="37" t="str">
        <x:f>_xlfn.XLOOKUP($C555&amp;"|"&amp;$G555,'李醫師能力要求'!$M$7:$M$59,'李醫師能力要求'!$K$7:$K$59,"待確認",0)</x:f>
        <x:v>已確認</x:v>
      </x:c>
      <x:c r="J555" s="37" t="str">
        <x:v>◎</x:v>
      </x:c>
      <x:c r="K555" s="37" t="str">
        <x:v>Ø</x:v>
      </x:c>
      <x:c r="L555" s="48" t="str">
        <x:f>_xlfn.XLOOKUP($A555&amp;"|"&amp;$G555,'試行能力狀態'!$L$7:$L$258,'試行能力狀態'!$E$7:$E$258,"未評估",0)</x:f>
        <x:v>未評估</x:v>
      </x:c>
      <x:c r="M555" s="48" t="str">
        <x:f>_xlfn.XLOOKUP($A555&amp;"|"&amp;$G555,'試行能力狀態'!$L$7:$L$258,'試行能力狀態'!$F$7:$F$258,"未建立",0)</x:f>
        <x:v>未建立</x:v>
      </x:c>
      <x:c r="N555" s="48" t="str">
        <x:f>IF($L555="◎","符合獨立",IF($L555="Ø","符合條件","不符合"))</x:f>
        <x:v>不符合</x:v>
      </x:c>
      <x:c r="O555" s="48" t="str">
        <x:f>_xlfn.XLOOKUP($A555&amp;"|李侑津醫師",'試行熟悉度'!$K$7:$K$20,'試行熟悉度'!$E$7:$E$20,"未評估",0)</x:f>
        <x:v>未評估</x:v>
      </x:c>
      <x:c r="P555" s="48" t="str">
        <x:f>_xlfn.XLOOKUP($A555&amp;"|李侑津醫師",'試行熟悉度'!$K$7:$K$20,'試行熟悉度'!$F$7:$F$20,"未建立",0)</x:f>
        <x:v>未建立</x:v>
      </x:c>
      <x:c r="Q555" s="39" t="str">
        <x:v>依一般支援名額</x:v>
      </x:c>
    </x:row>
    <x:row r="556">
      <x:c r="A556" s="37" t="str">
        <x:v>1030</x:v>
      </x:c>
      <x:c r="B556" s="37" t="str"/>
      <x:c r="C556" s="37" t="str">
        <x:v>LJT-RPD</x:v>
      </x:c>
      <x:c r="D556" s="37" t="str">
        <x:v>RPD</x:v>
      </x:c>
      <x:c r="E556" s="37" t="str">
        <x:v>一般步驟</x:v>
      </x:c>
      <x:c r="F556" s="37" t="str">
        <x:v>一般</x:v>
      </x:c>
      <x:c r="G556" s="37" t="str">
        <x:v>COMMON-RECORD</x:v>
      </x:c>
      <x:c r="H556" s="37" t="str">
        <x:v>待確認</x:v>
      </x:c>
      <x:c r="I556" s="37" t="str">
        <x:f>_xlfn.XLOOKUP($C556&amp;"|"&amp;$G556,'李醫師能力要求'!$M$7:$M$59,'李醫師能力要求'!$K$7:$K$59,"待確認",0)</x:f>
        <x:v>待確認</x:v>
      </x:c>
      <x:c r="J556" s="37" t="str">
        <x:v>◎</x:v>
      </x:c>
      <x:c r="K556" s="37" t="str">
        <x:v>Ø</x:v>
      </x:c>
      <x:c r="L556" s="48" t="str">
        <x:f>_xlfn.XLOOKUP($A556&amp;"|"&amp;$G556,'試行能力狀態'!$L$7:$L$258,'試行能力狀態'!$E$7:$E$258,"未評估",0)</x:f>
        <x:v>未評估</x:v>
      </x:c>
      <x:c r="M556" s="48" t="str">
        <x:f>_xlfn.XLOOKUP($A556&amp;"|"&amp;$G556,'試行能力狀態'!$L$7:$L$258,'試行能力狀態'!$F$7:$F$258,"未建立",0)</x:f>
        <x:v>未建立</x:v>
      </x:c>
      <x:c r="N556" s="48" t="str">
        <x:f>IF($L556="◎","符合獨立",IF($L556="Ø","符合條件","不符合"))</x:f>
        <x:v>不符合</x:v>
      </x:c>
      <x:c r="O556" s="48" t="str">
        <x:f>_xlfn.XLOOKUP($A556&amp;"|李侑津醫師",'試行熟悉度'!$K$7:$K$20,'試行熟悉度'!$E$7:$E$20,"未評估",0)</x:f>
        <x:v>未評估</x:v>
      </x:c>
      <x:c r="P556" s="48" t="str">
        <x:f>_xlfn.XLOOKUP($A556&amp;"|李侑津醫師",'試行熟悉度'!$K$7:$K$20,'試行熟悉度'!$F$7:$F$20,"未建立",0)</x:f>
        <x:v>未建立</x:v>
      </x:c>
      <x:c r="Q556" s="39" t="str">
        <x:v>確認後才納入自動判定</x:v>
      </x:c>
    </x:row>
    <x:row r="557">
      <x:c r="A557" s="37" t="str">
        <x:v>1030</x:v>
      </x:c>
      <x:c r="B557" s="37" t="str"/>
      <x:c r="C557" s="37" t="str">
        <x:v>LJT-RPD</x:v>
      </x:c>
      <x:c r="D557" s="37" t="str">
        <x:v>RPD</x:v>
      </x:c>
      <x:c r="E557" s="37" t="str">
        <x:v>一般步驟</x:v>
      </x:c>
      <x:c r="F557" s="37" t="str">
        <x:v>一般</x:v>
      </x:c>
      <x:c r="G557" s="37" t="str">
        <x:v>COMMON-INSURANCE</x:v>
      </x:c>
      <x:c r="H557" s="37" t="str">
        <x:v>待確認</x:v>
      </x:c>
      <x:c r="I557" s="37" t="str">
        <x:f>_xlfn.XLOOKUP($C557&amp;"|"&amp;$G557,'李醫師能力要求'!$M$7:$M$59,'李醫師能力要求'!$K$7:$K$59,"待確認",0)</x:f>
        <x:v>待確認</x:v>
      </x:c>
      <x:c r="J557" s="37" t="str">
        <x:v>◎</x:v>
      </x:c>
      <x:c r="K557" s="37" t="str">
        <x:v>Ø</x:v>
      </x:c>
      <x:c r="L557" s="48" t="str">
        <x:f>_xlfn.XLOOKUP($A557&amp;"|"&amp;$G557,'試行能力狀態'!$L$7:$L$258,'試行能力狀態'!$E$7:$E$258,"未評估",0)</x:f>
        <x:v>未評估</x:v>
      </x:c>
      <x:c r="M557" s="48" t="str">
        <x:f>_xlfn.XLOOKUP($A557&amp;"|"&amp;$G557,'試行能力狀態'!$L$7:$L$258,'試行能力狀態'!$F$7:$F$258,"未建立",0)</x:f>
        <x:v>未建立</x:v>
      </x:c>
      <x:c r="N557" s="48" t="str">
        <x:f>IF($L557="◎","符合獨立",IF($L557="Ø","符合條件","不符合"))</x:f>
        <x:v>不符合</x:v>
      </x:c>
      <x:c r="O557" s="48" t="str">
        <x:f>_xlfn.XLOOKUP($A557&amp;"|李侑津醫師",'試行熟悉度'!$K$7:$K$20,'試行熟悉度'!$E$7:$E$20,"未評估",0)</x:f>
        <x:v>未評估</x:v>
      </x:c>
      <x:c r="P557" s="48" t="str">
        <x:f>_xlfn.XLOOKUP($A557&amp;"|李侑津醫師",'試行熟悉度'!$K$7:$K$20,'試行熟悉度'!$F$7:$F$20,"未建立",0)</x:f>
        <x:v>未建立</x:v>
      </x:c>
      <x:c r="Q557" s="39" t="str">
        <x:v>確認後才納入自動判定</x:v>
      </x:c>
    </x:row>
    <x:row r="558">
      <x:c r="A558" s="37" t="str">
        <x:v>1030</x:v>
      </x:c>
      <x:c r="B558" s="37" t="str"/>
      <x:c r="C558" s="37" t="str">
        <x:v>LJT-RPD</x:v>
      </x:c>
      <x:c r="D558" s="37" t="str">
        <x:v>RPD</x:v>
      </x:c>
      <x:c r="E558" s="37" t="str">
        <x:v>一般步驟</x:v>
      </x:c>
      <x:c r="F558" s="37" t="str">
        <x:v>一般</x:v>
      </x:c>
      <x:c r="G558" s="37" t="str">
        <x:v>COMMON-XRAY-RECORD</x:v>
      </x:c>
      <x:c r="H558" s="37" t="str">
        <x:v>待確認</x:v>
      </x:c>
      <x:c r="I558" s="37" t="str">
        <x:f>_xlfn.XLOOKUP($C558&amp;"|"&amp;$G558,'李醫師能力要求'!$M$7:$M$59,'李醫師能力要求'!$K$7:$K$59,"待確認",0)</x:f>
        <x:v>待確認</x:v>
      </x:c>
      <x:c r="J558" s="37" t="str">
        <x:v>◎</x:v>
      </x:c>
      <x:c r="K558" s="37" t="str">
        <x:v>Ø</x:v>
      </x:c>
      <x:c r="L558" s="48" t="str">
        <x:f>_xlfn.XLOOKUP($A558&amp;"|"&amp;$G558,'試行能力狀態'!$L$7:$L$258,'試行能力狀態'!$E$7:$E$258,"未評估",0)</x:f>
        <x:v>未評估</x:v>
      </x:c>
      <x:c r="M558" s="48" t="str">
        <x:f>_xlfn.XLOOKUP($A558&amp;"|"&amp;$G558,'試行能力狀態'!$L$7:$L$258,'試行能力狀態'!$F$7:$F$258,"未建立",0)</x:f>
        <x:v>未建立</x:v>
      </x:c>
      <x:c r="N558" s="48" t="str">
        <x:f>IF($L558="◎","符合獨立",IF($L558="Ø","符合條件","不符合"))</x:f>
        <x:v>不符合</x:v>
      </x:c>
      <x:c r="O558" s="48" t="str">
        <x:f>_xlfn.XLOOKUP($A558&amp;"|李侑津醫師",'試行熟悉度'!$K$7:$K$20,'試行熟悉度'!$E$7:$E$20,"未評估",0)</x:f>
        <x:v>未評估</x:v>
      </x:c>
      <x:c r="P558" s="48" t="str">
        <x:f>_xlfn.XLOOKUP($A558&amp;"|李侑津醫師",'試行熟悉度'!$K$7:$K$20,'試行熟悉度'!$F$7:$F$20,"未建立",0)</x:f>
        <x:v>未建立</x:v>
      </x:c>
      <x:c r="Q558" s="39" t="str">
        <x:v>確認後才納入自動判定</x:v>
      </x:c>
    </x:row>
    <x:row r="559">
      <x:c r="A559" s="37" t="str">
        <x:v>1030</x:v>
      </x:c>
      <x:c r="B559" s="37" t="str"/>
      <x:c r="C559" s="37" t="str">
        <x:v>LJT-RPD-FINAL</x:v>
      </x:c>
      <x:c r="D559" s="37" t="str">
        <x:v>RPD</x:v>
      </x:c>
      <x:c r="E559" s="37" t="str">
        <x:v>印最終模</x:v>
      </x:c>
      <x:c r="F559" s="37" t="str">
        <x:v>特殊階段</x:v>
      </x:c>
      <x:c r="G559" s="37" t="str">
        <x:v>LJT-PREP-RPD</x:v>
      </x:c>
      <x:c r="H559" s="37" t="str">
        <x:v>必備</x:v>
      </x:c>
      <x:c r="I559" s="37" t="str">
        <x:f>_xlfn.XLOOKUP($C559&amp;"|"&amp;$G559,'李醫師能力要求'!$M$7:$M$59,'李醫師能力要求'!$K$7:$K$59,"待確認",0)</x:f>
        <x:v>已確認</x:v>
      </x:c>
      <x:c r="J559" s="37" t="str">
        <x:v>◎</x:v>
      </x:c>
      <x:c r="K559" s="37" t="str">
        <x:v>Ø</x:v>
      </x:c>
      <x:c r="L559" s="48" t="str">
        <x:f>_xlfn.XLOOKUP($A559&amp;"|"&amp;$G559,'試行能力狀態'!$L$7:$L$258,'試行能力狀態'!$E$7:$E$258,"未評估",0)</x:f>
        <x:v>未評估</x:v>
      </x:c>
      <x:c r="M559" s="48" t="str">
        <x:f>_xlfn.XLOOKUP($A559&amp;"|"&amp;$G559,'試行能力狀態'!$L$7:$L$258,'試行能力狀態'!$F$7:$F$258,"未建立",0)</x:f>
        <x:v>未建立</x:v>
      </x:c>
      <x:c r="N559" s="48" t="str">
        <x:f>IF($L559="◎","符合獨立",IF($L559="Ø","符合條件","不符合"))</x:f>
        <x:v>不符合</x:v>
      </x:c>
      <x:c r="O559" s="48" t="str">
        <x:f>_xlfn.XLOOKUP($A559&amp;"|李侑津醫師",'試行熟悉度'!$K$7:$K$20,'試行熟悉度'!$E$7:$E$20,"未評估",0)</x:f>
        <x:v>未評估</x:v>
      </x:c>
      <x:c r="P559" s="48" t="str">
        <x:f>_xlfn.XLOOKUP($A559&amp;"|李侑津醫師",'試行熟悉度'!$K$7:$K$20,'試行熟悉度'!$F$7:$F$20,"未建立",0)</x:f>
        <x:v>未建立</x:v>
      </x:c>
      <x:c r="Q559" s="39" t="str">
        <x:v>依一般支援名額</x:v>
      </x:c>
    </x:row>
    <x:row r="560">
      <x:c r="A560" s="37" t="str">
        <x:v>1030</x:v>
      </x:c>
      <x:c r="B560" s="37" t="str"/>
      <x:c r="C560" s="37" t="str">
        <x:v>LJT-RPD-FINAL</x:v>
      </x:c>
      <x:c r="D560" s="37" t="str">
        <x:v>RPD</x:v>
      </x:c>
      <x:c r="E560" s="37" t="str">
        <x:v>印最終模</x:v>
      </x:c>
      <x:c r="F560" s="37" t="str">
        <x:v>特殊階段</x:v>
      </x:c>
      <x:c r="G560" s="37" t="str">
        <x:v>COMMON-RECORD</x:v>
      </x:c>
      <x:c r="H560" s="37" t="str">
        <x:v>待確認</x:v>
      </x:c>
      <x:c r="I560" s="37" t="str">
        <x:f>_xlfn.XLOOKUP($C560&amp;"|"&amp;$G560,'李醫師能力要求'!$M$7:$M$59,'李醫師能力要求'!$K$7:$K$59,"待確認",0)</x:f>
        <x:v>待確認</x:v>
      </x:c>
      <x:c r="J560" s="37" t="str">
        <x:v>◎</x:v>
      </x:c>
      <x:c r="K560" s="37" t="str">
        <x:v>Ø</x:v>
      </x:c>
      <x:c r="L560" s="48" t="str">
        <x:f>_xlfn.XLOOKUP($A560&amp;"|"&amp;$G560,'試行能力狀態'!$L$7:$L$258,'試行能力狀態'!$E$7:$E$258,"未評估",0)</x:f>
        <x:v>未評估</x:v>
      </x:c>
      <x:c r="M560" s="48" t="str">
        <x:f>_xlfn.XLOOKUP($A560&amp;"|"&amp;$G560,'試行能力狀態'!$L$7:$L$258,'試行能力狀態'!$F$7:$F$258,"未建立",0)</x:f>
        <x:v>未建立</x:v>
      </x:c>
      <x:c r="N560" s="48" t="str">
        <x:f>IF($L560="◎","符合獨立",IF($L560="Ø","符合條件","不符合"))</x:f>
        <x:v>不符合</x:v>
      </x:c>
      <x:c r="O560" s="48" t="str">
        <x:f>_xlfn.XLOOKUP($A560&amp;"|李侑津醫師",'試行熟悉度'!$K$7:$K$20,'試行熟悉度'!$E$7:$E$20,"未評估",0)</x:f>
        <x:v>未評估</x:v>
      </x:c>
      <x:c r="P560" s="48" t="str">
        <x:f>_xlfn.XLOOKUP($A560&amp;"|李侑津醫師",'試行熟悉度'!$K$7:$K$20,'試行熟悉度'!$F$7:$F$20,"未建立",0)</x:f>
        <x:v>未建立</x:v>
      </x:c>
      <x:c r="Q560" s="39" t="str">
        <x:v>確認後才納入自動判定</x:v>
      </x:c>
    </x:row>
    <x:row r="561">
      <x:c r="A561" s="37" t="str">
        <x:v>1030</x:v>
      </x:c>
      <x:c r="B561" s="37" t="str"/>
      <x:c r="C561" s="37" t="str">
        <x:v>LJT-RPD-FINAL</x:v>
      </x:c>
      <x:c r="D561" s="37" t="str">
        <x:v>RPD</x:v>
      </x:c>
      <x:c r="E561" s="37" t="str">
        <x:v>印最終模</x:v>
      </x:c>
      <x:c r="F561" s="37" t="str">
        <x:v>特殊階段</x:v>
      </x:c>
      <x:c r="G561" s="37" t="str">
        <x:v>COMMON-INSURANCE</x:v>
      </x:c>
      <x:c r="H561" s="37" t="str">
        <x:v>待確認</x:v>
      </x:c>
      <x:c r="I561" s="37" t="str">
        <x:f>_xlfn.XLOOKUP($C561&amp;"|"&amp;$G561,'李醫師能力要求'!$M$7:$M$59,'李醫師能力要求'!$K$7:$K$59,"待確認",0)</x:f>
        <x:v>待確認</x:v>
      </x:c>
      <x:c r="J561" s="37" t="str">
        <x:v>◎</x:v>
      </x:c>
      <x:c r="K561" s="37" t="str">
        <x:v>Ø</x:v>
      </x:c>
      <x:c r="L561" s="48" t="str">
        <x:f>_xlfn.XLOOKUP($A561&amp;"|"&amp;$G561,'試行能力狀態'!$L$7:$L$258,'試行能力狀態'!$E$7:$E$258,"未評估",0)</x:f>
        <x:v>未評估</x:v>
      </x:c>
      <x:c r="M561" s="48" t="str">
        <x:f>_xlfn.XLOOKUP($A561&amp;"|"&amp;$G561,'試行能力狀態'!$L$7:$L$258,'試行能力狀態'!$F$7:$F$258,"未建立",0)</x:f>
        <x:v>未建立</x:v>
      </x:c>
      <x:c r="N561" s="48" t="str">
        <x:f>IF($L561="◎","符合獨立",IF($L561="Ø","符合條件","不符合"))</x:f>
        <x:v>不符合</x:v>
      </x:c>
      <x:c r="O561" s="48" t="str">
        <x:f>_xlfn.XLOOKUP($A561&amp;"|李侑津醫師",'試行熟悉度'!$K$7:$K$20,'試行熟悉度'!$E$7:$E$20,"未評估",0)</x:f>
        <x:v>未評估</x:v>
      </x:c>
      <x:c r="P561" s="48" t="str">
        <x:f>_xlfn.XLOOKUP($A561&amp;"|李侑津醫師",'試行熟悉度'!$K$7:$K$20,'試行熟悉度'!$F$7:$F$20,"未建立",0)</x:f>
        <x:v>未建立</x:v>
      </x:c>
      <x:c r="Q561" s="39" t="str">
        <x:v>確認後才納入自動判定</x:v>
      </x:c>
    </x:row>
    <x:row r="562">
      <x:c r="A562" s="37" t="str">
        <x:v>1030</x:v>
      </x:c>
      <x:c r="B562" s="37" t="str"/>
      <x:c r="C562" s="37" t="str">
        <x:v>LJT-RPD-FINAL</x:v>
      </x:c>
      <x:c r="D562" s="37" t="str">
        <x:v>RPD</x:v>
      </x:c>
      <x:c r="E562" s="37" t="str">
        <x:v>印最終模</x:v>
      </x:c>
      <x:c r="F562" s="37" t="str">
        <x:v>特殊階段</x:v>
      </x:c>
      <x:c r="G562" s="37" t="str">
        <x:v>COMMON-XRAY-RECORD</x:v>
      </x:c>
      <x:c r="H562" s="37" t="str">
        <x:v>待確認</x:v>
      </x:c>
      <x:c r="I562" s="37" t="str">
        <x:f>_xlfn.XLOOKUP($C562&amp;"|"&amp;$G562,'李醫師能力要求'!$M$7:$M$59,'李醫師能力要求'!$K$7:$K$59,"待確認",0)</x:f>
        <x:v>待確認</x:v>
      </x:c>
      <x:c r="J562" s="37" t="str">
        <x:v>◎</x:v>
      </x:c>
      <x:c r="K562" s="37" t="str">
        <x:v>Ø</x:v>
      </x:c>
      <x:c r="L562" s="48" t="str">
        <x:f>_xlfn.XLOOKUP($A562&amp;"|"&amp;$G562,'試行能力狀態'!$L$7:$L$258,'試行能力狀態'!$E$7:$E$258,"未評估",0)</x:f>
        <x:v>未評估</x:v>
      </x:c>
      <x:c r="M562" s="48" t="str">
        <x:f>_xlfn.XLOOKUP($A562&amp;"|"&amp;$G562,'試行能力狀態'!$L$7:$L$258,'試行能力狀態'!$F$7:$F$258,"未建立",0)</x:f>
        <x:v>未建立</x:v>
      </x:c>
      <x:c r="N562" s="48" t="str">
        <x:f>IF($L562="◎","符合獨立",IF($L562="Ø","符合條件","不符合"))</x:f>
        <x:v>不符合</x:v>
      </x:c>
      <x:c r="O562" s="48" t="str">
        <x:f>_xlfn.XLOOKUP($A562&amp;"|李侑津醫師",'試行熟悉度'!$K$7:$K$20,'試行熟悉度'!$E$7:$E$20,"未評估",0)</x:f>
        <x:v>未評估</x:v>
      </x:c>
      <x:c r="P562" s="48" t="str">
        <x:f>_xlfn.XLOOKUP($A562&amp;"|李侑津醫師",'試行熟悉度'!$K$7:$K$20,'試行熟悉度'!$F$7:$F$20,"未建立",0)</x:f>
        <x:v>未建立</x:v>
      </x:c>
      <x:c r="Q562" s="39" t="str">
        <x:v>確認後才納入自動判定</x:v>
      </x:c>
    </x:row>
    <x:row r="563">
      <x:c r="A563" s="37" t="str">
        <x:v>1030</x:v>
      </x:c>
      <x:c r="B563" s="37" t="str"/>
      <x:c r="C563" s="37" t="str">
        <x:v>LJT-AIRPOLISH</x:v>
      </x:c>
      <x:c r="D563" s="37" t="str">
        <x:v>噴砂美白</x:v>
      </x:c>
      <x:c r="E563" s="37" t="str">
        <x:v>一般</x:v>
      </x:c>
      <x:c r="F563" s="37" t="str">
        <x:v>一般</x:v>
      </x:c>
      <x:c r="G563" s="37" t="str">
        <x:v>LJT-PREP-AIRPOLISH</x:v>
      </x:c>
      <x:c r="H563" s="37" t="str">
        <x:v>必備</x:v>
      </x:c>
      <x:c r="I563" s="37" t="str">
        <x:f>_xlfn.XLOOKUP($C563&amp;"|"&amp;$G563,'李醫師能力要求'!$M$7:$M$59,'李醫師能力要求'!$K$7:$K$59,"待確認",0)</x:f>
        <x:v>已確認</x:v>
      </x:c>
      <x:c r="J563" s="37" t="str">
        <x:v>◎</x:v>
      </x:c>
      <x:c r="K563" s="37" t="str">
        <x:v>Ø</x:v>
      </x:c>
      <x:c r="L563" s="48" t="str">
        <x:f>_xlfn.XLOOKUP($A563&amp;"|"&amp;$G563,'試行能力狀態'!$L$7:$L$258,'試行能力狀態'!$E$7:$E$258,"未評估",0)</x:f>
        <x:v>未評估</x:v>
      </x:c>
      <x:c r="M563" s="48" t="str">
        <x:f>_xlfn.XLOOKUP($A563&amp;"|"&amp;$G563,'試行能力狀態'!$L$7:$L$258,'試行能力狀態'!$F$7:$F$258,"未建立",0)</x:f>
        <x:v>未建立</x:v>
      </x:c>
      <x:c r="N563" s="48" t="str">
        <x:f>IF($L563="◎","符合獨立",IF($L563="Ø","符合條件","不符合"))</x:f>
        <x:v>不符合</x:v>
      </x:c>
      <x:c r="O563" s="48" t="str">
        <x:f>_xlfn.XLOOKUP($A563&amp;"|李侑津醫師",'試行熟悉度'!$K$7:$K$20,'試行熟悉度'!$E$7:$E$20,"未評估",0)</x:f>
        <x:v>未評估</x:v>
      </x:c>
      <x:c r="P563" s="48" t="str">
        <x:f>_xlfn.XLOOKUP($A563&amp;"|李侑津醫師",'試行熟悉度'!$K$7:$K$20,'試行熟悉度'!$F$7:$F$20,"未建立",0)</x:f>
        <x:v>未建立</x:v>
      </x:c>
      <x:c r="Q563" s="39" t="str">
        <x:v>依一般支援名額</x:v>
      </x:c>
    </x:row>
    <x:row r="564">
      <x:c r="A564" s="37" t="str">
        <x:v>1030</x:v>
      </x:c>
      <x:c r="B564" s="37" t="str"/>
      <x:c r="C564" s="37" t="str">
        <x:v>LJT-AIRPOLISH</x:v>
      </x:c>
      <x:c r="D564" s="37" t="str">
        <x:v>噴砂美白</x:v>
      </x:c>
      <x:c r="E564" s="37" t="str">
        <x:v>一般</x:v>
      </x:c>
      <x:c r="F564" s="37" t="str">
        <x:v>一般</x:v>
      </x:c>
      <x:c r="G564" s="37" t="str">
        <x:v>COMMON-RECORD</x:v>
      </x:c>
      <x:c r="H564" s="37" t="str">
        <x:v>待確認</x:v>
      </x:c>
      <x:c r="I564" s="37" t="str">
        <x:f>_xlfn.XLOOKUP($C564&amp;"|"&amp;$G564,'李醫師能力要求'!$M$7:$M$59,'李醫師能力要求'!$K$7:$K$59,"待確認",0)</x:f>
        <x:v>待確認</x:v>
      </x:c>
      <x:c r="J564" s="37" t="str">
        <x:v>◎</x:v>
      </x:c>
      <x:c r="K564" s="37" t="str">
        <x:v>Ø</x:v>
      </x:c>
      <x:c r="L564" s="48" t="str">
        <x:f>_xlfn.XLOOKUP($A564&amp;"|"&amp;$G564,'試行能力狀態'!$L$7:$L$258,'試行能力狀態'!$E$7:$E$258,"未評估",0)</x:f>
        <x:v>未評估</x:v>
      </x:c>
      <x:c r="M564" s="48" t="str">
        <x:f>_xlfn.XLOOKUP($A564&amp;"|"&amp;$G564,'試行能力狀態'!$L$7:$L$258,'試行能力狀態'!$F$7:$F$258,"未建立",0)</x:f>
        <x:v>未建立</x:v>
      </x:c>
      <x:c r="N564" s="48" t="str">
        <x:f>IF($L564="◎","符合獨立",IF($L564="Ø","符合條件","不符合"))</x:f>
        <x:v>不符合</x:v>
      </x:c>
      <x:c r="O564" s="48" t="str">
        <x:f>_xlfn.XLOOKUP($A564&amp;"|李侑津醫師",'試行熟悉度'!$K$7:$K$20,'試行熟悉度'!$E$7:$E$20,"未評估",0)</x:f>
        <x:v>未評估</x:v>
      </x:c>
      <x:c r="P564" s="48" t="str">
        <x:f>_xlfn.XLOOKUP($A564&amp;"|李侑津醫師",'試行熟悉度'!$K$7:$K$20,'試行熟悉度'!$F$7:$F$20,"未建立",0)</x:f>
        <x:v>未建立</x:v>
      </x:c>
      <x:c r="Q564" s="39" t="str">
        <x:v>確認後才納入自動判定</x:v>
      </x:c>
    </x:row>
    <x:row r="565">
      <x:c r="A565" s="37" t="str">
        <x:v>1030</x:v>
      </x:c>
      <x:c r="B565" s="37" t="str"/>
      <x:c r="C565" s="37" t="str">
        <x:v>LJT-AIRPOLISH</x:v>
      </x:c>
      <x:c r="D565" s="37" t="str">
        <x:v>噴砂美白</x:v>
      </x:c>
      <x:c r="E565" s="37" t="str">
        <x:v>一般</x:v>
      </x:c>
      <x:c r="F565" s="37" t="str">
        <x:v>一般</x:v>
      </x:c>
      <x:c r="G565" s="37" t="str">
        <x:v>COMMON-INSURANCE</x:v>
      </x:c>
      <x:c r="H565" s="37" t="str">
        <x:v>待確認</x:v>
      </x:c>
      <x:c r="I565" s="37" t="str">
        <x:f>_xlfn.XLOOKUP($C565&amp;"|"&amp;$G565,'李醫師能力要求'!$M$7:$M$59,'李醫師能力要求'!$K$7:$K$59,"待確認",0)</x:f>
        <x:v>待確認</x:v>
      </x:c>
      <x:c r="J565" s="37" t="str">
        <x:v>◎</x:v>
      </x:c>
      <x:c r="K565" s="37" t="str">
        <x:v>Ø</x:v>
      </x:c>
      <x:c r="L565" s="48" t="str">
        <x:f>_xlfn.XLOOKUP($A565&amp;"|"&amp;$G565,'試行能力狀態'!$L$7:$L$258,'試行能力狀態'!$E$7:$E$258,"未評估",0)</x:f>
        <x:v>未評估</x:v>
      </x:c>
      <x:c r="M565" s="48" t="str">
        <x:f>_xlfn.XLOOKUP($A565&amp;"|"&amp;$G565,'試行能力狀態'!$L$7:$L$258,'試行能力狀態'!$F$7:$F$258,"未建立",0)</x:f>
        <x:v>未建立</x:v>
      </x:c>
      <x:c r="N565" s="48" t="str">
        <x:f>IF($L565="◎","符合獨立",IF($L565="Ø","符合條件","不符合"))</x:f>
        <x:v>不符合</x:v>
      </x:c>
      <x:c r="O565" s="48" t="str">
        <x:f>_xlfn.XLOOKUP($A565&amp;"|李侑津醫師",'試行熟悉度'!$K$7:$K$20,'試行熟悉度'!$E$7:$E$20,"未評估",0)</x:f>
        <x:v>未評估</x:v>
      </x:c>
      <x:c r="P565" s="48" t="str">
        <x:f>_xlfn.XLOOKUP($A565&amp;"|李侑津醫師",'試行熟悉度'!$K$7:$K$20,'試行熟悉度'!$F$7:$F$20,"未建立",0)</x:f>
        <x:v>未建立</x:v>
      </x:c>
      <x:c r="Q565" s="39" t="str">
        <x:v>確認後才納入自動判定</x:v>
      </x:c>
    </x:row>
    <x:row r="566">
      <x:c r="A566" s="37" t="str">
        <x:v>1030</x:v>
      </x:c>
      <x:c r="B566" s="37" t="str"/>
      <x:c r="C566" s="37" t="str">
        <x:v>LJT-AIRPOLISH</x:v>
      </x:c>
      <x:c r="D566" s="37" t="str">
        <x:v>噴砂美白</x:v>
      </x:c>
      <x:c r="E566" s="37" t="str">
        <x:v>一般</x:v>
      </x:c>
      <x:c r="F566" s="37" t="str">
        <x:v>一般</x:v>
      </x:c>
      <x:c r="G566" s="37" t="str">
        <x:v>COMMON-XRAY-RECORD</x:v>
      </x:c>
      <x:c r="H566" s="37" t="str">
        <x:v>待確認</x:v>
      </x:c>
      <x:c r="I566" s="37" t="str">
        <x:f>_xlfn.XLOOKUP($C566&amp;"|"&amp;$G566,'李醫師能力要求'!$M$7:$M$59,'李醫師能力要求'!$K$7:$K$59,"待確認",0)</x:f>
        <x:v>待確認</x:v>
      </x:c>
      <x:c r="J566" s="37" t="str">
        <x:v>◎</x:v>
      </x:c>
      <x:c r="K566" s="37" t="str">
        <x:v>Ø</x:v>
      </x:c>
      <x:c r="L566" s="48" t="str">
        <x:f>_xlfn.XLOOKUP($A566&amp;"|"&amp;$G566,'試行能力狀態'!$L$7:$L$258,'試行能力狀態'!$E$7:$E$258,"未評估",0)</x:f>
        <x:v>未評估</x:v>
      </x:c>
      <x:c r="M566" s="48" t="str">
        <x:f>_xlfn.XLOOKUP($A566&amp;"|"&amp;$G566,'試行能力狀態'!$L$7:$L$258,'試行能力狀態'!$F$7:$F$258,"未建立",0)</x:f>
        <x:v>未建立</x:v>
      </x:c>
      <x:c r="N566" s="48" t="str">
        <x:f>IF($L566="◎","符合獨立",IF($L566="Ø","符合條件","不符合"))</x:f>
        <x:v>不符合</x:v>
      </x:c>
      <x:c r="O566" s="48" t="str">
        <x:f>_xlfn.XLOOKUP($A566&amp;"|李侑津醫師",'試行熟悉度'!$K$7:$K$20,'試行熟悉度'!$E$7:$E$20,"未評估",0)</x:f>
        <x:v>未評估</x:v>
      </x:c>
      <x:c r="P566" s="48" t="str">
        <x:f>_xlfn.XLOOKUP($A566&amp;"|李侑津醫師",'試行熟悉度'!$K$7:$K$20,'試行熟悉度'!$F$7:$F$20,"未建立",0)</x:f>
        <x:v>未建立</x:v>
      </x:c>
      <x:c r="Q566" s="39" t="str">
        <x:v>確認後才納入自動判定</x:v>
      </x:c>
    </x:row>
    <x:row r="567">
      <x:c r="A567" s="37" t="str">
        <x:v>1030</x:v>
      </x:c>
      <x:c r="B567" s="37" t="str"/>
      <x:c r="C567" s="37" t="str">
        <x:v>LJT-PERIOSURG</x:v>
      </x:c>
      <x:c r="D567" s="37" t="str">
        <x:v>牙周手術</x:v>
      </x:c>
      <x:c r="E567" s="37" t="str">
        <x:v>一般</x:v>
      </x:c>
      <x:c r="F567" s="37" t="str">
        <x:v>高複雜度</x:v>
      </x:c>
      <x:c r="G567" s="37" t="str">
        <x:v>LJT-PREP-PERIOSURG</x:v>
      </x:c>
      <x:c r="H567" s="37" t="str">
        <x:v>必備</x:v>
      </x:c>
      <x:c r="I567" s="37" t="str">
        <x:f>_xlfn.XLOOKUP($C567&amp;"|"&amp;$G567,'李醫師能力要求'!$M$7:$M$59,'李醫師能力要求'!$K$7:$K$59,"待確認",0)</x:f>
        <x:v>已確認</x:v>
      </x:c>
      <x:c r="J567" s="37" t="str">
        <x:v>◎</x:v>
      </x:c>
      <x:c r="K567" s="37" t="str">
        <x:v>Ø</x:v>
      </x:c>
      <x:c r="L567" s="48" t="str">
        <x:f>_xlfn.XLOOKUP($A567&amp;"|"&amp;$G567,'試行能力狀態'!$L$7:$L$258,'試行能力狀態'!$E$7:$E$258,"未評估",0)</x:f>
        <x:v>未評估</x:v>
      </x:c>
      <x:c r="M567" s="48" t="str">
        <x:f>_xlfn.XLOOKUP($A567&amp;"|"&amp;$G567,'試行能力狀態'!$L$7:$L$258,'試行能力狀態'!$F$7:$F$258,"未建立",0)</x:f>
        <x:v>未建立</x:v>
      </x:c>
      <x:c r="N567" s="48" t="str">
        <x:f>IF($L567="◎","符合獨立",IF($L567="Ø","符合條件","不符合"))</x:f>
        <x:v>不符合</x:v>
      </x:c>
      <x:c r="O567" s="48" t="str">
        <x:f>_xlfn.XLOOKUP($A567&amp;"|李侑津醫師",'試行熟悉度'!$K$7:$K$20,'試行熟悉度'!$E$7:$E$20,"未評估",0)</x:f>
        <x:v>未評估</x:v>
      </x:c>
      <x:c r="P567" s="48" t="str">
        <x:f>_xlfn.XLOOKUP($A567&amp;"|李侑津醫師",'試行熟悉度'!$K$7:$K$20,'試行熟悉度'!$F$7:$F$20,"未建立",0)</x:f>
        <x:v>未建立</x:v>
      </x:c>
      <x:c r="Q567" s="39" t="str">
        <x:v>Ø 時完整支援者 1:1</x:v>
      </x:c>
    </x:row>
    <x:row r="568">
      <x:c r="A568" s="37" t="str">
        <x:v>1030</x:v>
      </x:c>
      <x:c r="B568" s="37" t="str"/>
      <x:c r="C568" s="37" t="str">
        <x:v>LJT-PERIOSURG</x:v>
      </x:c>
      <x:c r="D568" s="37" t="str">
        <x:v>牙周手術</x:v>
      </x:c>
      <x:c r="E568" s="37" t="str">
        <x:v>一般</x:v>
      </x:c>
      <x:c r="F568" s="37" t="str">
        <x:v>高複雜度</x:v>
      </x:c>
      <x:c r="G568" s="37" t="str">
        <x:v>COMMON-RECORD</x:v>
      </x:c>
      <x:c r="H568" s="37" t="str">
        <x:v>待確認</x:v>
      </x:c>
      <x:c r="I568" s="37" t="str">
        <x:f>_xlfn.XLOOKUP($C568&amp;"|"&amp;$G568,'李醫師能力要求'!$M$7:$M$59,'李醫師能力要求'!$K$7:$K$59,"待確認",0)</x:f>
        <x:v>待確認</x:v>
      </x:c>
      <x:c r="J568" s="37" t="str">
        <x:v>◎</x:v>
      </x:c>
      <x:c r="K568" s="37" t="str">
        <x:v>Ø</x:v>
      </x:c>
      <x:c r="L568" s="48" t="str">
        <x:f>_xlfn.XLOOKUP($A568&amp;"|"&amp;$G568,'試行能力狀態'!$L$7:$L$258,'試行能力狀態'!$E$7:$E$258,"未評估",0)</x:f>
        <x:v>未評估</x:v>
      </x:c>
      <x:c r="M568" s="48" t="str">
        <x:f>_xlfn.XLOOKUP($A568&amp;"|"&amp;$G568,'試行能力狀態'!$L$7:$L$258,'試行能力狀態'!$F$7:$F$258,"未建立",0)</x:f>
        <x:v>未建立</x:v>
      </x:c>
      <x:c r="N568" s="48" t="str">
        <x:f>IF($L568="◎","符合獨立",IF($L568="Ø","符合條件","不符合"))</x:f>
        <x:v>不符合</x:v>
      </x:c>
      <x:c r="O568" s="48" t="str">
        <x:f>_xlfn.XLOOKUP($A568&amp;"|李侑津醫師",'試行熟悉度'!$K$7:$K$20,'試行熟悉度'!$E$7:$E$20,"未評估",0)</x:f>
        <x:v>未評估</x:v>
      </x:c>
      <x:c r="P568" s="48" t="str">
        <x:f>_xlfn.XLOOKUP($A568&amp;"|李侑津醫師",'試行熟悉度'!$K$7:$K$20,'試行熟悉度'!$F$7:$F$20,"未建立",0)</x:f>
        <x:v>未建立</x:v>
      </x:c>
      <x:c r="Q568" s="39" t="str">
        <x:v>確認後才納入自動判定</x:v>
      </x:c>
    </x:row>
    <x:row r="569">
      <x:c r="A569" s="37" t="str">
        <x:v>1030</x:v>
      </x:c>
      <x:c r="B569" s="37" t="str"/>
      <x:c r="C569" s="37" t="str">
        <x:v>LJT-PERIOSURG</x:v>
      </x:c>
      <x:c r="D569" s="37" t="str">
        <x:v>牙周手術</x:v>
      </x:c>
      <x:c r="E569" s="37" t="str">
        <x:v>一般</x:v>
      </x:c>
      <x:c r="F569" s="37" t="str">
        <x:v>高複雜度</x:v>
      </x:c>
      <x:c r="G569" s="37" t="str">
        <x:v>COMMON-INSURANCE</x:v>
      </x:c>
      <x:c r="H569" s="37" t="str">
        <x:v>待確認</x:v>
      </x:c>
      <x:c r="I569" s="37" t="str">
        <x:f>_xlfn.XLOOKUP($C569&amp;"|"&amp;$G569,'李醫師能力要求'!$M$7:$M$59,'李醫師能力要求'!$K$7:$K$59,"待確認",0)</x:f>
        <x:v>待確認</x:v>
      </x:c>
      <x:c r="J569" s="37" t="str">
        <x:v>◎</x:v>
      </x:c>
      <x:c r="K569" s="37" t="str">
        <x:v>Ø</x:v>
      </x:c>
      <x:c r="L569" s="48" t="str">
        <x:f>_xlfn.XLOOKUP($A569&amp;"|"&amp;$G569,'試行能力狀態'!$L$7:$L$258,'試行能力狀態'!$E$7:$E$258,"未評估",0)</x:f>
        <x:v>未評估</x:v>
      </x:c>
      <x:c r="M569" s="48" t="str">
        <x:f>_xlfn.XLOOKUP($A569&amp;"|"&amp;$G569,'試行能力狀態'!$L$7:$L$258,'試行能力狀態'!$F$7:$F$258,"未建立",0)</x:f>
        <x:v>未建立</x:v>
      </x:c>
      <x:c r="N569" s="48" t="str">
        <x:f>IF($L569="◎","符合獨立",IF($L569="Ø","符合條件","不符合"))</x:f>
        <x:v>不符合</x:v>
      </x:c>
      <x:c r="O569" s="48" t="str">
        <x:f>_xlfn.XLOOKUP($A569&amp;"|李侑津醫師",'試行熟悉度'!$K$7:$K$20,'試行熟悉度'!$E$7:$E$20,"未評估",0)</x:f>
        <x:v>未評估</x:v>
      </x:c>
      <x:c r="P569" s="48" t="str">
        <x:f>_xlfn.XLOOKUP($A569&amp;"|李侑津醫師",'試行熟悉度'!$K$7:$K$20,'試行熟悉度'!$F$7:$F$20,"未建立",0)</x:f>
        <x:v>未建立</x:v>
      </x:c>
      <x:c r="Q569" s="39" t="str">
        <x:v>確認後才納入自動判定</x:v>
      </x:c>
    </x:row>
    <x:row r="570">
      <x:c r="A570" s="37" t="str">
        <x:v>1030</x:v>
      </x:c>
      <x:c r="B570" s="37" t="str"/>
      <x:c r="C570" s="37" t="str">
        <x:v>LJT-PERIOSURG</x:v>
      </x:c>
      <x:c r="D570" s="37" t="str">
        <x:v>牙周手術</x:v>
      </x:c>
      <x:c r="E570" s="37" t="str">
        <x:v>一般</x:v>
      </x:c>
      <x:c r="F570" s="37" t="str">
        <x:v>高複雜度</x:v>
      </x:c>
      <x:c r="G570" s="37" t="str">
        <x:v>COMMON-XRAY-RECORD</x:v>
      </x:c>
      <x:c r="H570" s="37" t="str">
        <x:v>待確認</x:v>
      </x:c>
      <x:c r="I570" s="37" t="str">
        <x:f>_xlfn.XLOOKUP($C570&amp;"|"&amp;$G570,'李醫師能力要求'!$M$7:$M$59,'李醫師能力要求'!$K$7:$K$59,"待確認",0)</x:f>
        <x:v>待確認</x:v>
      </x:c>
      <x:c r="J570" s="37" t="str">
        <x:v>◎</x:v>
      </x:c>
      <x:c r="K570" s="37" t="str">
        <x:v>Ø</x:v>
      </x:c>
      <x:c r="L570" s="48" t="str">
        <x:f>_xlfn.XLOOKUP($A570&amp;"|"&amp;$G570,'試行能力狀態'!$L$7:$L$258,'試行能力狀態'!$E$7:$E$258,"未評估",0)</x:f>
        <x:v>未評估</x:v>
      </x:c>
      <x:c r="M570" s="48" t="str">
        <x:f>_xlfn.XLOOKUP($A570&amp;"|"&amp;$G570,'試行能力狀態'!$L$7:$L$258,'試行能力狀態'!$F$7:$F$258,"未建立",0)</x:f>
        <x:v>未建立</x:v>
      </x:c>
      <x:c r="N570" s="48" t="str">
        <x:f>IF($L570="◎","符合獨立",IF($L570="Ø","符合條件","不符合"))</x:f>
        <x:v>不符合</x:v>
      </x:c>
      <x:c r="O570" s="48" t="str">
        <x:f>_xlfn.XLOOKUP($A570&amp;"|李侑津醫師",'試行熟悉度'!$K$7:$K$20,'試行熟悉度'!$E$7:$E$20,"未評估",0)</x:f>
        <x:v>未評估</x:v>
      </x:c>
      <x:c r="P570" s="48" t="str">
        <x:f>_xlfn.XLOOKUP($A570&amp;"|李侑津醫師",'試行熟悉度'!$K$7:$K$20,'試行熟悉度'!$F$7:$F$20,"未建立",0)</x:f>
        <x:v>未建立</x:v>
      </x:c>
      <x:c r="Q570" s="39" t="str">
        <x:v>確認後才納入自動判定</x:v>
      </x:c>
    </x:row>
    <x:row r="571">
      <x:c r="A571" s="37" t="str">
        <x:v>1030</x:v>
      </x:c>
      <x:c r="B571" s="37" t="str"/>
      <x:c r="C571" s="37" t="str">
        <x:v>LJT-MICROENDO</x:v>
      </x:c>
      <x:c r="D571" s="37" t="str">
        <x:v>顯微根管</x:v>
      </x:c>
      <x:c r="E571" s="37" t="str">
        <x:v>一般</x:v>
      </x:c>
      <x:c r="F571" s="37" t="str">
        <x:v>高複雜度</x:v>
      </x:c>
      <x:c r="G571" s="37" t="str">
        <x:v>LJT-PREP-MICROENDO</x:v>
      </x:c>
      <x:c r="H571" s="37" t="str">
        <x:v>必備</x:v>
      </x:c>
      <x:c r="I571" s="37" t="str">
        <x:f>_xlfn.XLOOKUP($C571&amp;"|"&amp;$G571,'李醫師能力要求'!$M$7:$M$59,'李醫師能力要求'!$K$7:$K$59,"待確認",0)</x:f>
        <x:v>已確認</x:v>
      </x:c>
      <x:c r="J571" s="37" t="str">
        <x:v>◎</x:v>
      </x:c>
      <x:c r="K571" s="37" t="str">
        <x:v>Ø</x:v>
      </x:c>
      <x:c r="L571" s="48" t="str">
        <x:f>_xlfn.XLOOKUP($A571&amp;"|"&amp;$G571,'試行能力狀態'!$L$7:$L$258,'試行能力狀態'!$E$7:$E$258,"未評估",0)</x:f>
        <x:v>未評估</x:v>
      </x:c>
      <x:c r="M571" s="48" t="str">
        <x:f>_xlfn.XLOOKUP($A571&amp;"|"&amp;$G571,'試行能力狀態'!$L$7:$L$258,'試行能力狀態'!$F$7:$F$258,"未建立",0)</x:f>
        <x:v>未建立</x:v>
      </x:c>
      <x:c r="N571" s="48" t="str">
        <x:f>IF($L571="◎","符合獨立",IF($L571="Ø","符合條件","不符合"))</x:f>
        <x:v>不符合</x:v>
      </x:c>
      <x:c r="O571" s="48" t="str">
        <x:f>_xlfn.XLOOKUP($A571&amp;"|李侑津醫師",'試行熟悉度'!$K$7:$K$20,'試行熟悉度'!$E$7:$E$20,"未評估",0)</x:f>
        <x:v>未評估</x:v>
      </x:c>
      <x:c r="P571" s="48" t="str">
        <x:f>_xlfn.XLOOKUP($A571&amp;"|李侑津醫師",'試行熟悉度'!$K$7:$K$20,'試行熟悉度'!$F$7:$F$20,"未建立",0)</x:f>
        <x:v>未建立</x:v>
      </x:c>
      <x:c r="Q571" s="39" t="str">
        <x:v>Ø 時完整支援者 1:1</x:v>
      </x:c>
    </x:row>
    <x:row r="572">
      <x:c r="A572" s="37" t="str">
        <x:v>1030</x:v>
      </x:c>
      <x:c r="B572" s="37" t="str"/>
      <x:c r="C572" s="37" t="str">
        <x:v>LJT-MICROENDO</x:v>
      </x:c>
      <x:c r="D572" s="37" t="str">
        <x:v>顯微根管</x:v>
      </x:c>
      <x:c r="E572" s="37" t="str">
        <x:v>一般</x:v>
      </x:c>
      <x:c r="F572" s="37" t="str">
        <x:v>高複雜度</x:v>
      </x:c>
      <x:c r="G572" s="37" t="str">
        <x:v>COMMON-RECORD</x:v>
      </x:c>
      <x:c r="H572" s="37" t="str">
        <x:v>待確認</x:v>
      </x:c>
      <x:c r="I572" s="37" t="str">
        <x:f>_xlfn.XLOOKUP($C572&amp;"|"&amp;$G572,'李醫師能力要求'!$M$7:$M$59,'李醫師能力要求'!$K$7:$K$59,"待確認",0)</x:f>
        <x:v>待確認</x:v>
      </x:c>
      <x:c r="J572" s="37" t="str">
        <x:v>◎</x:v>
      </x:c>
      <x:c r="K572" s="37" t="str">
        <x:v>Ø</x:v>
      </x:c>
      <x:c r="L572" s="48" t="str">
        <x:f>_xlfn.XLOOKUP($A572&amp;"|"&amp;$G572,'試行能力狀態'!$L$7:$L$258,'試行能力狀態'!$E$7:$E$258,"未評估",0)</x:f>
        <x:v>未評估</x:v>
      </x:c>
      <x:c r="M572" s="48" t="str">
        <x:f>_xlfn.XLOOKUP($A572&amp;"|"&amp;$G572,'試行能力狀態'!$L$7:$L$258,'試行能力狀態'!$F$7:$F$258,"未建立",0)</x:f>
        <x:v>未建立</x:v>
      </x:c>
      <x:c r="N572" s="48" t="str">
        <x:f>IF($L572="◎","符合獨立",IF($L572="Ø","符合條件","不符合"))</x:f>
        <x:v>不符合</x:v>
      </x:c>
      <x:c r="O572" s="48" t="str">
        <x:f>_xlfn.XLOOKUP($A572&amp;"|李侑津醫師",'試行熟悉度'!$K$7:$K$20,'試行熟悉度'!$E$7:$E$20,"未評估",0)</x:f>
        <x:v>未評估</x:v>
      </x:c>
      <x:c r="P572" s="48" t="str">
        <x:f>_xlfn.XLOOKUP($A572&amp;"|李侑津醫師",'試行熟悉度'!$K$7:$K$20,'試行熟悉度'!$F$7:$F$20,"未建立",0)</x:f>
        <x:v>未建立</x:v>
      </x:c>
      <x:c r="Q572" s="39" t="str">
        <x:v>確認後才納入自動判定</x:v>
      </x:c>
    </x:row>
    <x:row r="573">
      <x:c r="A573" s="37" t="str">
        <x:v>1030</x:v>
      </x:c>
      <x:c r="B573" s="37" t="str"/>
      <x:c r="C573" s="37" t="str">
        <x:v>LJT-MICROENDO</x:v>
      </x:c>
      <x:c r="D573" s="37" t="str">
        <x:v>顯微根管</x:v>
      </x:c>
      <x:c r="E573" s="37" t="str">
        <x:v>一般</x:v>
      </x:c>
      <x:c r="F573" s="37" t="str">
        <x:v>高複雜度</x:v>
      </x:c>
      <x:c r="G573" s="37" t="str">
        <x:v>COMMON-INSURANCE</x:v>
      </x:c>
      <x:c r="H573" s="37" t="str">
        <x:v>待確認</x:v>
      </x:c>
      <x:c r="I573" s="37" t="str">
        <x:f>_xlfn.XLOOKUP($C573&amp;"|"&amp;$G573,'李醫師能力要求'!$M$7:$M$59,'李醫師能力要求'!$K$7:$K$59,"待確認",0)</x:f>
        <x:v>待確認</x:v>
      </x:c>
      <x:c r="J573" s="37" t="str">
        <x:v>◎</x:v>
      </x:c>
      <x:c r="K573" s="37" t="str">
        <x:v>Ø</x:v>
      </x:c>
      <x:c r="L573" s="48" t="str">
        <x:f>_xlfn.XLOOKUP($A573&amp;"|"&amp;$G573,'試行能力狀態'!$L$7:$L$258,'試行能力狀態'!$E$7:$E$258,"未評估",0)</x:f>
        <x:v>未評估</x:v>
      </x:c>
      <x:c r="M573" s="48" t="str">
        <x:f>_xlfn.XLOOKUP($A573&amp;"|"&amp;$G573,'試行能力狀態'!$L$7:$L$258,'試行能力狀態'!$F$7:$F$258,"未建立",0)</x:f>
        <x:v>未建立</x:v>
      </x:c>
      <x:c r="N573" s="48" t="str">
        <x:f>IF($L573="◎","符合獨立",IF($L573="Ø","符合條件","不符合"))</x:f>
        <x:v>不符合</x:v>
      </x:c>
      <x:c r="O573" s="48" t="str">
        <x:f>_xlfn.XLOOKUP($A573&amp;"|李侑津醫師",'試行熟悉度'!$K$7:$K$20,'試行熟悉度'!$E$7:$E$20,"未評估",0)</x:f>
        <x:v>未評估</x:v>
      </x:c>
      <x:c r="P573" s="48" t="str">
        <x:f>_xlfn.XLOOKUP($A573&amp;"|李侑津醫師",'試行熟悉度'!$K$7:$K$20,'試行熟悉度'!$F$7:$F$20,"未建立",0)</x:f>
        <x:v>未建立</x:v>
      </x:c>
      <x:c r="Q573" s="39" t="str">
        <x:v>確認後才納入自動判定</x:v>
      </x:c>
    </x:row>
    <x:row r="574">
      <x:c r="A574" s="37" t="str">
        <x:v>1030</x:v>
      </x:c>
      <x:c r="B574" s="37" t="str"/>
      <x:c r="C574" s="37" t="str">
        <x:v>LJT-MICROENDO</x:v>
      </x:c>
      <x:c r="D574" s="37" t="str">
        <x:v>顯微根管</x:v>
      </x:c>
      <x:c r="E574" s="37" t="str">
        <x:v>一般</x:v>
      </x:c>
      <x:c r="F574" s="37" t="str">
        <x:v>高複雜度</x:v>
      </x:c>
      <x:c r="G574" s="37" t="str">
        <x:v>COMMON-XRAY-RECORD</x:v>
      </x:c>
      <x:c r="H574" s="37" t="str">
        <x:v>待確認</x:v>
      </x:c>
      <x:c r="I574" s="37" t="str">
        <x:f>_xlfn.XLOOKUP($C574&amp;"|"&amp;$G574,'李醫師能力要求'!$M$7:$M$59,'李醫師能力要求'!$K$7:$K$59,"待確認",0)</x:f>
        <x:v>待確認</x:v>
      </x:c>
      <x:c r="J574" s="37" t="str">
        <x:v>◎</x:v>
      </x:c>
      <x:c r="K574" s="37" t="str">
        <x:v>Ø</x:v>
      </x:c>
      <x:c r="L574" s="48" t="str">
        <x:f>_xlfn.XLOOKUP($A574&amp;"|"&amp;$G574,'試行能力狀態'!$L$7:$L$258,'試行能力狀態'!$E$7:$E$258,"未評估",0)</x:f>
        <x:v>未評估</x:v>
      </x:c>
      <x:c r="M574" s="48" t="str">
        <x:f>_xlfn.XLOOKUP($A574&amp;"|"&amp;$G574,'試行能力狀態'!$L$7:$L$258,'試行能力狀態'!$F$7:$F$258,"未建立",0)</x:f>
        <x:v>未建立</x:v>
      </x:c>
      <x:c r="N574" s="48" t="str">
        <x:f>IF($L574="◎","符合獨立",IF($L574="Ø","符合條件","不符合"))</x:f>
        <x:v>不符合</x:v>
      </x:c>
      <x:c r="O574" s="48" t="str">
        <x:f>_xlfn.XLOOKUP($A574&amp;"|李侑津醫師",'試行熟悉度'!$K$7:$K$20,'試行熟悉度'!$E$7:$E$20,"未評估",0)</x:f>
        <x:v>未評估</x:v>
      </x:c>
      <x:c r="P574" s="48" t="str">
        <x:f>_xlfn.XLOOKUP($A574&amp;"|李侑津醫師",'試行熟悉度'!$K$7:$K$20,'試行熟悉度'!$F$7:$F$20,"未建立",0)</x:f>
        <x:v>未建立</x:v>
      </x:c>
      <x:c r="Q574" s="39" t="str">
        <x:v>確認後才納入自動判定</x:v>
      </x:c>
    </x:row>
    <x:row r="575">
      <x:c r="A575" s="37" t="str">
        <x:v>1030</x:v>
      </x:c>
      <x:c r="B575" s="37" t="str"/>
      <x:c r="C575" s="37" t="str">
        <x:v>LJT-IMPLANT</x:v>
      </x:c>
      <x:c r="D575" s="37" t="str">
        <x:v>植牙</x:v>
      </x:c>
      <x:c r="E575" s="37" t="str">
        <x:v>一般</x:v>
      </x:c>
      <x:c r="F575" s="37" t="str">
        <x:v>高複雜度</x:v>
      </x:c>
      <x:c r="G575" s="37" t="str">
        <x:v>LJT-PREP-IMPLANT</x:v>
      </x:c>
      <x:c r="H575" s="37" t="str">
        <x:v>必備</x:v>
      </x:c>
      <x:c r="I575" s="37" t="str">
        <x:f>_xlfn.XLOOKUP($C575&amp;"|"&amp;$G575,'李醫師能力要求'!$M$7:$M$59,'李醫師能力要求'!$K$7:$K$59,"待確認",0)</x:f>
        <x:v>已確認</x:v>
      </x:c>
      <x:c r="J575" s="37" t="str">
        <x:v>◎</x:v>
      </x:c>
      <x:c r="K575" s="37" t="str">
        <x:v>Ø</x:v>
      </x:c>
      <x:c r="L575" s="48" t="str">
        <x:f>_xlfn.XLOOKUP($A575&amp;"|"&amp;$G575,'試行能力狀態'!$L$7:$L$258,'試行能力狀態'!$E$7:$E$258,"未評估",0)</x:f>
        <x:v>未評估</x:v>
      </x:c>
      <x:c r="M575" s="48" t="str">
        <x:f>_xlfn.XLOOKUP($A575&amp;"|"&amp;$G575,'試行能力狀態'!$L$7:$L$258,'試行能力狀態'!$F$7:$F$258,"未建立",0)</x:f>
        <x:v>未建立</x:v>
      </x:c>
      <x:c r="N575" s="48" t="str">
        <x:f>IF($L575="◎","符合獨立",IF($L575="Ø","符合條件","不符合"))</x:f>
        <x:v>不符合</x:v>
      </x:c>
      <x:c r="O575" s="48" t="str">
        <x:f>_xlfn.XLOOKUP($A575&amp;"|李侑津醫師",'試行熟悉度'!$K$7:$K$20,'試行熟悉度'!$E$7:$E$20,"未評估",0)</x:f>
        <x:v>未評估</x:v>
      </x:c>
      <x:c r="P575" s="48" t="str">
        <x:f>_xlfn.XLOOKUP($A575&amp;"|李侑津醫師",'試行熟悉度'!$K$7:$K$20,'試行熟悉度'!$F$7:$F$20,"未建立",0)</x:f>
        <x:v>未建立</x:v>
      </x:c>
      <x:c r="Q575" s="39" t="str">
        <x:v>Ø 時完整支援者 1:1</x:v>
      </x:c>
    </x:row>
    <x:row r="576">
      <x:c r="A576" s="37" t="str">
        <x:v>1030</x:v>
      </x:c>
      <x:c r="B576" s="37" t="str"/>
      <x:c r="C576" s="37" t="str">
        <x:v>LJT-IMPLANT</x:v>
      </x:c>
      <x:c r="D576" s="37" t="str">
        <x:v>植牙</x:v>
      </x:c>
      <x:c r="E576" s="37" t="str">
        <x:v>一般</x:v>
      </x:c>
      <x:c r="F576" s="37" t="str">
        <x:v>高複雜度</x:v>
      </x:c>
      <x:c r="G576" s="37" t="str">
        <x:v>COMMON-RECORD</x:v>
      </x:c>
      <x:c r="H576" s="37" t="str">
        <x:v>待確認</x:v>
      </x:c>
      <x:c r="I576" s="37" t="str">
        <x:f>_xlfn.XLOOKUP($C576&amp;"|"&amp;$G576,'李醫師能力要求'!$M$7:$M$59,'李醫師能力要求'!$K$7:$K$59,"待確認",0)</x:f>
        <x:v>待確認</x:v>
      </x:c>
      <x:c r="J576" s="37" t="str">
        <x:v>◎</x:v>
      </x:c>
      <x:c r="K576" s="37" t="str">
        <x:v>Ø</x:v>
      </x:c>
      <x:c r="L576" s="48" t="str">
        <x:f>_xlfn.XLOOKUP($A576&amp;"|"&amp;$G576,'試行能力狀態'!$L$7:$L$258,'試行能力狀態'!$E$7:$E$258,"未評估",0)</x:f>
        <x:v>未評估</x:v>
      </x:c>
      <x:c r="M576" s="48" t="str">
        <x:f>_xlfn.XLOOKUP($A576&amp;"|"&amp;$G576,'試行能力狀態'!$L$7:$L$258,'試行能力狀態'!$F$7:$F$258,"未建立",0)</x:f>
        <x:v>未建立</x:v>
      </x:c>
      <x:c r="N576" s="48" t="str">
        <x:f>IF($L576="◎","符合獨立",IF($L576="Ø","符合條件","不符合"))</x:f>
        <x:v>不符合</x:v>
      </x:c>
      <x:c r="O576" s="48" t="str">
        <x:f>_xlfn.XLOOKUP($A576&amp;"|李侑津醫師",'試行熟悉度'!$K$7:$K$20,'試行熟悉度'!$E$7:$E$20,"未評估",0)</x:f>
        <x:v>未評估</x:v>
      </x:c>
      <x:c r="P576" s="48" t="str">
        <x:f>_xlfn.XLOOKUP($A576&amp;"|李侑津醫師",'試行熟悉度'!$K$7:$K$20,'試行熟悉度'!$F$7:$F$20,"未建立",0)</x:f>
        <x:v>未建立</x:v>
      </x:c>
      <x:c r="Q576" s="39" t="str">
        <x:v>確認後才納入自動判定</x:v>
      </x:c>
    </x:row>
    <x:row r="577">
      <x:c r="A577" s="37" t="str">
        <x:v>1030</x:v>
      </x:c>
      <x:c r="B577" s="37" t="str"/>
      <x:c r="C577" s="37" t="str">
        <x:v>LJT-IMPLANT</x:v>
      </x:c>
      <x:c r="D577" s="37" t="str">
        <x:v>植牙</x:v>
      </x:c>
      <x:c r="E577" s="37" t="str">
        <x:v>一般</x:v>
      </x:c>
      <x:c r="F577" s="37" t="str">
        <x:v>高複雜度</x:v>
      </x:c>
      <x:c r="G577" s="37" t="str">
        <x:v>COMMON-INSURANCE</x:v>
      </x:c>
      <x:c r="H577" s="37" t="str">
        <x:v>待確認</x:v>
      </x:c>
      <x:c r="I577" s="37" t="str">
        <x:f>_xlfn.XLOOKUP($C577&amp;"|"&amp;$G577,'李醫師能力要求'!$M$7:$M$59,'李醫師能力要求'!$K$7:$K$59,"待確認",0)</x:f>
        <x:v>待確認</x:v>
      </x:c>
      <x:c r="J577" s="37" t="str">
        <x:v>◎</x:v>
      </x:c>
      <x:c r="K577" s="37" t="str">
        <x:v>Ø</x:v>
      </x:c>
      <x:c r="L577" s="48" t="str">
        <x:f>_xlfn.XLOOKUP($A577&amp;"|"&amp;$G577,'試行能力狀態'!$L$7:$L$258,'試行能力狀態'!$E$7:$E$258,"未評估",0)</x:f>
        <x:v>未評估</x:v>
      </x:c>
      <x:c r="M577" s="48" t="str">
        <x:f>_xlfn.XLOOKUP($A577&amp;"|"&amp;$G577,'試行能力狀態'!$L$7:$L$258,'試行能力狀態'!$F$7:$F$258,"未建立",0)</x:f>
        <x:v>未建立</x:v>
      </x:c>
      <x:c r="N577" s="48" t="str">
        <x:f>IF($L577="◎","符合獨立",IF($L577="Ø","符合條件","不符合"))</x:f>
        <x:v>不符合</x:v>
      </x:c>
      <x:c r="O577" s="48" t="str">
        <x:f>_xlfn.XLOOKUP($A577&amp;"|李侑津醫師",'試行熟悉度'!$K$7:$K$20,'試行熟悉度'!$E$7:$E$20,"未評估",0)</x:f>
        <x:v>未評估</x:v>
      </x:c>
      <x:c r="P577" s="48" t="str">
        <x:f>_xlfn.XLOOKUP($A577&amp;"|李侑津醫師",'試行熟悉度'!$K$7:$K$20,'試行熟悉度'!$F$7:$F$20,"未建立",0)</x:f>
        <x:v>未建立</x:v>
      </x:c>
      <x:c r="Q577" s="39" t="str">
        <x:v>確認後才納入自動判定</x:v>
      </x:c>
    </x:row>
    <x:row r="578">
      <x:c r="A578" s="37" t="str">
        <x:v>1030</x:v>
      </x:c>
      <x:c r="B578" s="37" t="str"/>
      <x:c r="C578" s="37" t="str">
        <x:v>LJT-IMPLANT</x:v>
      </x:c>
      <x:c r="D578" s="37" t="str">
        <x:v>植牙</x:v>
      </x:c>
      <x:c r="E578" s="37" t="str">
        <x:v>一般</x:v>
      </x:c>
      <x:c r="F578" s="37" t="str">
        <x:v>高複雜度</x:v>
      </x:c>
      <x:c r="G578" s="37" t="str">
        <x:v>COMMON-XRAY-RECORD</x:v>
      </x:c>
      <x:c r="H578" s="37" t="str">
        <x:v>待確認</x:v>
      </x:c>
      <x:c r="I578" s="37" t="str">
        <x:f>_xlfn.XLOOKUP($C578&amp;"|"&amp;$G578,'李醫師能力要求'!$M$7:$M$59,'李醫師能力要求'!$K$7:$K$59,"待確認",0)</x:f>
        <x:v>待確認</x:v>
      </x:c>
      <x:c r="J578" s="37" t="str">
        <x:v>◎</x:v>
      </x:c>
      <x:c r="K578" s="37" t="str">
        <x:v>Ø</x:v>
      </x:c>
      <x:c r="L578" s="48" t="str">
        <x:f>_xlfn.XLOOKUP($A578&amp;"|"&amp;$G578,'試行能力狀態'!$L$7:$L$258,'試行能力狀態'!$E$7:$E$258,"未評估",0)</x:f>
        <x:v>未評估</x:v>
      </x:c>
      <x:c r="M578" s="48" t="str">
        <x:f>_xlfn.XLOOKUP($A578&amp;"|"&amp;$G578,'試行能力狀態'!$L$7:$L$258,'試行能力狀態'!$F$7:$F$258,"未建立",0)</x:f>
        <x:v>未建立</x:v>
      </x:c>
      <x:c r="N578" s="48" t="str">
        <x:f>IF($L578="◎","符合獨立",IF($L578="Ø","符合條件","不符合"))</x:f>
        <x:v>不符合</x:v>
      </x:c>
      <x:c r="O578" s="48" t="str">
        <x:f>_xlfn.XLOOKUP($A578&amp;"|李侑津醫師",'試行熟悉度'!$K$7:$K$20,'試行熟悉度'!$E$7:$E$20,"未評估",0)</x:f>
        <x:v>未評估</x:v>
      </x:c>
      <x:c r="P578" s="48" t="str">
        <x:f>_xlfn.XLOOKUP($A578&amp;"|李侑津醫師",'試行熟悉度'!$K$7:$K$20,'試行熟悉度'!$F$7:$F$20,"未建立",0)</x:f>
        <x:v>未建立</x:v>
      </x:c>
      <x:c r="Q578" s="39" t="str">
        <x:v>確認後才納入自動判定</x:v>
      </x:c>
    </x:row>
    <x:row r="579">
      <x:c r="A579" s="37" t="str">
        <x:v>1031</x:v>
      </x:c>
      <x:c r="B579" s="37" t="str"/>
      <x:c r="C579" s="37" t="str">
        <x:v>LJT-SCALING</x:v>
      </x:c>
      <x:c r="D579" s="37" t="str">
        <x:v>洗牙</x:v>
      </x:c>
      <x:c r="E579" s="37" t="str">
        <x:v>一般</x:v>
      </x:c>
      <x:c r="F579" s="37" t="str">
        <x:v>一般</x:v>
      </x:c>
      <x:c r="G579" s="37" t="str">
        <x:v>LJT-PREP-SCALING</x:v>
      </x:c>
      <x:c r="H579" s="37" t="str">
        <x:v>必備</x:v>
      </x:c>
      <x:c r="I579" s="37" t="str">
        <x:f>_xlfn.XLOOKUP($C579&amp;"|"&amp;$G579,'李醫師能力要求'!$M$7:$M$59,'李醫師能力要求'!$K$7:$K$59,"待確認",0)</x:f>
        <x:v>已確認</x:v>
      </x:c>
      <x:c r="J579" s="37" t="str">
        <x:v>◎</x:v>
      </x:c>
      <x:c r="K579" s="37" t="str">
        <x:v>Ø</x:v>
      </x:c>
      <x:c r="L579" s="48" t="str">
        <x:f>_xlfn.XLOOKUP($A579&amp;"|"&amp;$G579,'試行能力狀態'!$L$7:$L$258,'試行能力狀態'!$E$7:$E$258,"未評估",0)</x:f>
        <x:v>未評估</x:v>
      </x:c>
      <x:c r="M579" s="48" t="str">
        <x:f>_xlfn.XLOOKUP($A579&amp;"|"&amp;$G579,'試行能力狀態'!$L$7:$L$258,'試行能力狀態'!$F$7:$F$258,"未建立",0)</x:f>
        <x:v>未建立</x:v>
      </x:c>
      <x:c r="N579" s="48" t="str">
        <x:f>IF($L579="◎","符合獨立",IF($L579="Ø","符合條件","不符合"))</x:f>
        <x:v>不符合</x:v>
      </x:c>
      <x:c r="O579" s="48" t="str">
        <x:f>_xlfn.XLOOKUP($A579&amp;"|李侑津醫師",'試行熟悉度'!$K$7:$K$20,'試行熟悉度'!$E$7:$E$20,"未評估",0)</x:f>
        <x:v>未評估</x:v>
      </x:c>
      <x:c r="P579" s="48" t="str">
        <x:f>_xlfn.XLOOKUP($A579&amp;"|李侑津醫師",'試行熟悉度'!$K$7:$K$20,'試行熟悉度'!$F$7:$F$20,"未建立",0)</x:f>
        <x:v>未建立</x:v>
      </x:c>
      <x:c r="Q579" s="39" t="str">
        <x:v>依一般支援名額</x:v>
      </x:c>
    </x:row>
    <x:row r="580">
      <x:c r="A580" s="37" t="str">
        <x:v>1031</x:v>
      </x:c>
      <x:c r="B580" s="37" t="str"/>
      <x:c r="C580" s="37" t="str">
        <x:v>LJT-SCALING</x:v>
      </x:c>
      <x:c r="D580" s="37" t="str">
        <x:v>洗牙</x:v>
      </x:c>
      <x:c r="E580" s="37" t="str">
        <x:v>一般</x:v>
      </x:c>
      <x:c r="F580" s="37" t="str">
        <x:v>一般</x:v>
      </x:c>
      <x:c r="G580" s="37" t="str">
        <x:v>COMMON-RECORD</x:v>
      </x:c>
      <x:c r="H580" s="37" t="str">
        <x:v>待確認</x:v>
      </x:c>
      <x:c r="I580" s="37" t="str">
        <x:f>_xlfn.XLOOKUP($C580&amp;"|"&amp;$G580,'李醫師能力要求'!$M$7:$M$59,'李醫師能力要求'!$K$7:$K$59,"待確認",0)</x:f>
        <x:v>待確認</x:v>
      </x:c>
      <x:c r="J580" s="37" t="str">
        <x:v>◎</x:v>
      </x:c>
      <x:c r="K580" s="37" t="str">
        <x:v>Ø</x:v>
      </x:c>
      <x:c r="L580" s="48" t="str">
        <x:f>_xlfn.XLOOKUP($A580&amp;"|"&amp;$G580,'試行能力狀態'!$L$7:$L$258,'試行能力狀態'!$E$7:$E$258,"未評估",0)</x:f>
        <x:v>未評估</x:v>
      </x:c>
      <x:c r="M580" s="48" t="str">
        <x:f>_xlfn.XLOOKUP($A580&amp;"|"&amp;$G580,'試行能力狀態'!$L$7:$L$258,'試行能力狀態'!$F$7:$F$258,"未建立",0)</x:f>
        <x:v>未建立</x:v>
      </x:c>
      <x:c r="N580" s="48" t="str">
        <x:f>IF($L580="◎","符合獨立",IF($L580="Ø","符合條件","不符合"))</x:f>
        <x:v>不符合</x:v>
      </x:c>
      <x:c r="O580" s="48" t="str">
        <x:f>_xlfn.XLOOKUP($A580&amp;"|李侑津醫師",'試行熟悉度'!$K$7:$K$20,'試行熟悉度'!$E$7:$E$20,"未評估",0)</x:f>
        <x:v>未評估</x:v>
      </x:c>
      <x:c r="P580" s="48" t="str">
        <x:f>_xlfn.XLOOKUP($A580&amp;"|李侑津醫師",'試行熟悉度'!$K$7:$K$20,'試行熟悉度'!$F$7:$F$20,"未建立",0)</x:f>
        <x:v>未建立</x:v>
      </x:c>
      <x:c r="Q580" s="39" t="str">
        <x:v>確認後才納入自動判定</x:v>
      </x:c>
    </x:row>
    <x:row r="581">
      <x:c r="A581" s="37" t="str">
        <x:v>1031</x:v>
      </x:c>
      <x:c r="B581" s="37" t="str"/>
      <x:c r="C581" s="37" t="str">
        <x:v>LJT-SCALING</x:v>
      </x:c>
      <x:c r="D581" s="37" t="str">
        <x:v>洗牙</x:v>
      </x:c>
      <x:c r="E581" s="37" t="str">
        <x:v>一般</x:v>
      </x:c>
      <x:c r="F581" s="37" t="str">
        <x:v>一般</x:v>
      </x:c>
      <x:c r="G581" s="37" t="str">
        <x:v>COMMON-INSURANCE</x:v>
      </x:c>
      <x:c r="H581" s="37" t="str">
        <x:v>待確認</x:v>
      </x:c>
      <x:c r="I581" s="37" t="str">
        <x:f>_xlfn.XLOOKUP($C581&amp;"|"&amp;$G581,'李醫師能力要求'!$M$7:$M$59,'李醫師能力要求'!$K$7:$K$59,"待確認",0)</x:f>
        <x:v>待確認</x:v>
      </x:c>
      <x:c r="J581" s="37" t="str">
        <x:v>◎</x:v>
      </x:c>
      <x:c r="K581" s="37" t="str">
        <x:v>Ø</x:v>
      </x:c>
      <x:c r="L581" s="48" t="str">
        <x:f>_xlfn.XLOOKUP($A581&amp;"|"&amp;$G581,'試行能力狀態'!$L$7:$L$258,'試行能力狀態'!$E$7:$E$258,"未評估",0)</x:f>
        <x:v>未評估</x:v>
      </x:c>
      <x:c r="M581" s="48" t="str">
        <x:f>_xlfn.XLOOKUP($A581&amp;"|"&amp;$G581,'試行能力狀態'!$L$7:$L$258,'試行能力狀態'!$F$7:$F$258,"未建立",0)</x:f>
        <x:v>未建立</x:v>
      </x:c>
      <x:c r="N581" s="48" t="str">
        <x:f>IF($L581="◎","符合獨立",IF($L581="Ø","符合條件","不符合"))</x:f>
        <x:v>不符合</x:v>
      </x:c>
      <x:c r="O581" s="48" t="str">
        <x:f>_xlfn.XLOOKUP($A581&amp;"|李侑津醫師",'試行熟悉度'!$K$7:$K$20,'試行熟悉度'!$E$7:$E$20,"未評估",0)</x:f>
        <x:v>未評估</x:v>
      </x:c>
      <x:c r="P581" s="48" t="str">
        <x:f>_xlfn.XLOOKUP($A581&amp;"|李侑津醫師",'試行熟悉度'!$K$7:$K$20,'試行熟悉度'!$F$7:$F$20,"未建立",0)</x:f>
        <x:v>未建立</x:v>
      </x:c>
      <x:c r="Q581" s="39" t="str">
        <x:v>確認後才納入自動判定</x:v>
      </x:c>
    </x:row>
    <x:row r="582">
      <x:c r="A582" s="37" t="str">
        <x:v>1031</x:v>
      </x:c>
      <x:c r="B582" s="37" t="str"/>
      <x:c r="C582" s="37" t="str">
        <x:v>LJT-SCALING</x:v>
      </x:c>
      <x:c r="D582" s="37" t="str">
        <x:v>洗牙</x:v>
      </x:c>
      <x:c r="E582" s="37" t="str">
        <x:v>一般</x:v>
      </x:c>
      <x:c r="F582" s="37" t="str">
        <x:v>一般</x:v>
      </x:c>
      <x:c r="G582" s="37" t="str">
        <x:v>COMMON-XRAY-RECORD</x:v>
      </x:c>
      <x:c r="H582" s="37" t="str">
        <x:v>待確認</x:v>
      </x:c>
      <x:c r="I582" s="37" t="str">
        <x:f>_xlfn.XLOOKUP($C582&amp;"|"&amp;$G582,'李醫師能力要求'!$M$7:$M$59,'李醫師能力要求'!$K$7:$K$59,"待確認",0)</x:f>
        <x:v>待確認</x:v>
      </x:c>
      <x:c r="J582" s="37" t="str">
        <x:v>◎</x:v>
      </x:c>
      <x:c r="K582" s="37" t="str">
        <x:v>Ø</x:v>
      </x:c>
      <x:c r="L582" s="48" t="str">
        <x:f>_xlfn.XLOOKUP($A582&amp;"|"&amp;$G582,'試行能力狀態'!$L$7:$L$258,'試行能力狀態'!$E$7:$E$258,"未評估",0)</x:f>
        <x:v>未評估</x:v>
      </x:c>
      <x:c r="M582" s="48" t="str">
        <x:f>_xlfn.XLOOKUP($A582&amp;"|"&amp;$G582,'試行能力狀態'!$L$7:$L$258,'試行能力狀態'!$F$7:$F$258,"未建立",0)</x:f>
        <x:v>未建立</x:v>
      </x:c>
      <x:c r="N582" s="48" t="str">
        <x:f>IF($L582="◎","符合獨立",IF($L582="Ø","符合條件","不符合"))</x:f>
        <x:v>不符合</x:v>
      </x:c>
      <x:c r="O582" s="48" t="str">
        <x:f>_xlfn.XLOOKUP($A582&amp;"|李侑津醫師",'試行熟悉度'!$K$7:$K$20,'試行熟悉度'!$E$7:$E$20,"未評估",0)</x:f>
        <x:v>未評估</x:v>
      </x:c>
      <x:c r="P582" s="48" t="str">
        <x:f>_xlfn.XLOOKUP($A582&amp;"|李侑津醫師",'試行熟悉度'!$K$7:$K$20,'試行熟悉度'!$F$7:$F$20,"未建立",0)</x:f>
        <x:v>未建立</x:v>
      </x:c>
      <x:c r="Q582" s="39" t="str">
        <x:v>確認後才納入自動判定</x:v>
      </x:c>
    </x:row>
    <x:row r="583">
      <x:c r="A583" s="37" t="str">
        <x:v>1031</x:v>
      </x:c>
      <x:c r="B583" s="37" t="str"/>
      <x:c r="C583" s="37" t="str">
        <x:v>LJT-FILLING</x:v>
      </x:c>
      <x:c r="D583" s="37" t="str">
        <x:v>補牙</x:v>
      </x:c>
      <x:c r="E583" s="37" t="str">
        <x:v>一般</x:v>
      </x:c>
      <x:c r="F583" s="37" t="str">
        <x:v>一般</x:v>
      </x:c>
      <x:c r="G583" s="37" t="str">
        <x:v>LJT-PREP-FILLING</x:v>
      </x:c>
      <x:c r="H583" s="37" t="str">
        <x:v>必備</x:v>
      </x:c>
      <x:c r="I583" s="37" t="str">
        <x:f>_xlfn.XLOOKUP($C583&amp;"|"&amp;$G583,'李醫師能力要求'!$M$7:$M$59,'李醫師能力要求'!$K$7:$K$59,"待確認",0)</x:f>
        <x:v>已確認</x:v>
      </x:c>
      <x:c r="J583" s="37" t="str">
        <x:v>◎</x:v>
      </x:c>
      <x:c r="K583" s="37" t="str">
        <x:v>Ø</x:v>
      </x:c>
      <x:c r="L583" s="48" t="str">
        <x:f>_xlfn.XLOOKUP($A583&amp;"|"&amp;$G583,'試行能力狀態'!$L$7:$L$258,'試行能力狀態'!$E$7:$E$258,"未評估",0)</x:f>
        <x:v>未評估</x:v>
      </x:c>
      <x:c r="M583" s="48" t="str">
        <x:f>_xlfn.XLOOKUP($A583&amp;"|"&amp;$G583,'試行能力狀態'!$L$7:$L$258,'試行能力狀態'!$F$7:$F$258,"未建立",0)</x:f>
        <x:v>未建立</x:v>
      </x:c>
      <x:c r="N583" s="48" t="str">
        <x:f>IF($L583="◎","符合獨立",IF($L583="Ø","符合條件","不符合"))</x:f>
        <x:v>不符合</x:v>
      </x:c>
      <x:c r="O583" s="48" t="str">
        <x:f>_xlfn.XLOOKUP($A583&amp;"|李侑津醫師",'試行熟悉度'!$K$7:$K$20,'試行熟悉度'!$E$7:$E$20,"未評估",0)</x:f>
        <x:v>未評估</x:v>
      </x:c>
      <x:c r="P583" s="48" t="str">
        <x:f>_xlfn.XLOOKUP($A583&amp;"|李侑津醫師",'試行熟悉度'!$K$7:$K$20,'試行熟悉度'!$F$7:$F$20,"未建立",0)</x:f>
        <x:v>未建立</x:v>
      </x:c>
      <x:c r="Q583" s="39" t="str">
        <x:v>依一般支援名額</x:v>
      </x:c>
    </x:row>
    <x:row r="584">
      <x:c r="A584" s="37" t="str">
        <x:v>1031</x:v>
      </x:c>
      <x:c r="B584" s="37" t="str"/>
      <x:c r="C584" s="37" t="str">
        <x:v>LJT-FILLING</x:v>
      </x:c>
      <x:c r="D584" s="37" t="str">
        <x:v>補牙</x:v>
      </x:c>
      <x:c r="E584" s="37" t="str">
        <x:v>一般</x:v>
      </x:c>
      <x:c r="F584" s="37" t="str">
        <x:v>一般</x:v>
      </x:c>
      <x:c r="G584" s="37" t="str">
        <x:v>COMMON-RECORD</x:v>
      </x:c>
      <x:c r="H584" s="37" t="str">
        <x:v>待確認</x:v>
      </x:c>
      <x:c r="I584" s="37" t="str">
        <x:f>_xlfn.XLOOKUP($C584&amp;"|"&amp;$G584,'李醫師能力要求'!$M$7:$M$59,'李醫師能力要求'!$K$7:$K$59,"待確認",0)</x:f>
        <x:v>待確認</x:v>
      </x:c>
      <x:c r="J584" s="37" t="str">
        <x:v>◎</x:v>
      </x:c>
      <x:c r="K584" s="37" t="str">
        <x:v>Ø</x:v>
      </x:c>
      <x:c r="L584" s="48" t="str">
        <x:f>_xlfn.XLOOKUP($A584&amp;"|"&amp;$G584,'試行能力狀態'!$L$7:$L$258,'試行能力狀態'!$E$7:$E$258,"未評估",0)</x:f>
        <x:v>未評估</x:v>
      </x:c>
      <x:c r="M584" s="48" t="str">
        <x:f>_xlfn.XLOOKUP($A584&amp;"|"&amp;$G584,'試行能力狀態'!$L$7:$L$258,'試行能力狀態'!$F$7:$F$258,"未建立",0)</x:f>
        <x:v>未建立</x:v>
      </x:c>
      <x:c r="N584" s="48" t="str">
        <x:f>IF($L584="◎","符合獨立",IF($L584="Ø","符合條件","不符合"))</x:f>
        <x:v>不符合</x:v>
      </x:c>
      <x:c r="O584" s="48" t="str">
        <x:f>_xlfn.XLOOKUP($A584&amp;"|李侑津醫師",'試行熟悉度'!$K$7:$K$20,'試行熟悉度'!$E$7:$E$20,"未評估",0)</x:f>
        <x:v>未評估</x:v>
      </x:c>
      <x:c r="P584" s="48" t="str">
        <x:f>_xlfn.XLOOKUP($A584&amp;"|李侑津醫師",'試行熟悉度'!$K$7:$K$20,'試行熟悉度'!$F$7:$F$20,"未建立",0)</x:f>
        <x:v>未建立</x:v>
      </x:c>
      <x:c r="Q584" s="39" t="str">
        <x:v>確認後才納入自動判定</x:v>
      </x:c>
    </x:row>
    <x:row r="585">
      <x:c r="A585" s="37" t="str">
        <x:v>1031</x:v>
      </x:c>
      <x:c r="B585" s="37" t="str"/>
      <x:c r="C585" s="37" t="str">
        <x:v>LJT-FILLING</x:v>
      </x:c>
      <x:c r="D585" s="37" t="str">
        <x:v>補牙</x:v>
      </x:c>
      <x:c r="E585" s="37" t="str">
        <x:v>一般</x:v>
      </x:c>
      <x:c r="F585" s="37" t="str">
        <x:v>一般</x:v>
      </x:c>
      <x:c r="G585" s="37" t="str">
        <x:v>COMMON-INSURANCE</x:v>
      </x:c>
      <x:c r="H585" s="37" t="str">
        <x:v>待確認</x:v>
      </x:c>
      <x:c r="I585" s="37" t="str">
        <x:f>_xlfn.XLOOKUP($C585&amp;"|"&amp;$G585,'李醫師能力要求'!$M$7:$M$59,'李醫師能力要求'!$K$7:$K$59,"待確認",0)</x:f>
        <x:v>待確認</x:v>
      </x:c>
      <x:c r="J585" s="37" t="str">
        <x:v>◎</x:v>
      </x:c>
      <x:c r="K585" s="37" t="str">
        <x:v>Ø</x:v>
      </x:c>
      <x:c r="L585" s="48" t="str">
        <x:f>_xlfn.XLOOKUP($A585&amp;"|"&amp;$G585,'試行能力狀態'!$L$7:$L$258,'試行能力狀態'!$E$7:$E$258,"未評估",0)</x:f>
        <x:v>未評估</x:v>
      </x:c>
      <x:c r="M585" s="48" t="str">
        <x:f>_xlfn.XLOOKUP($A585&amp;"|"&amp;$G585,'試行能力狀態'!$L$7:$L$258,'試行能力狀態'!$F$7:$F$258,"未建立",0)</x:f>
        <x:v>未建立</x:v>
      </x:c>
      <x:c r="N585" s="48" t="str">
        <x:f>IF($L585="◎","符合獨立",IF($L585="Ø","符合條件","不符合"))</x:f>
        <x:v>不符合</x:v>
      </x:c>
      <x:c r="O585" s="48" t="str">
        <x:f>_xlfn.XLOOKUP($A585&amp;"|李侑津醫師",'試行熟悉度'!$K$7:$K$20,'試行熟悉度'!$E$7:$E$20,"未評估",0)</x:f>
        <x:v>未評估</x:v>
      </x:c>
      <x:c r="P585" s="48" t="str">
        <x:f>_xlfn.XLOOKUP($A585&amp;"|李侑津醫師",'試行熟悉度'!$K$7:$K$20,'試行熟悉度'!$F$7:$F$20,"未建立",0)</x:f>
        <x:v>未建立</x:v>
      </x:c>
      <x:c r="Q585" s="39" t="str">
        <x:v>確認後才納入自動判定</x:v>
      </x:c>
    </x:row>
    <x:row r="586">
      <x:c r="A586" s="37" t="str">
        <x:v>1031</x:v>
      </x:c>
      <x:c r="B586" s="37" t="str"/>
      <x:c r="C586" s="37" t="str">
        <x:v>LJT-FILLING</x:v>
      </x:c>
      <x:c r="D586" s="37" t="str">
        <x:v>補牙</x:v>
      </x:c>
      <x:c r="E586" s="37" t="str">
        <x:v>一般</x:v>
      </x:c>
      <x:c r="F586" s="37" t="str">
        <x:v>一般</x:v>
      </x:c>
      <x:c r="G586" s="37" t="str">
        <x:v>COMMON-XRAY-RECORD</x:v>
      </x:c>
      <x:c r="H586" s="37" t="str">
        <x:v>待確認</x:v>
      </x:c>
      <x:c r="I586" s="37" t="str">
        <x:f>_xlfn.XLOOKUP($C586&amp;"|"&amp;$G586,'李醫師能力要求'!$M$7:$M$59,'李醫師能力要求'!$K$7:$K$59,"待確認",0)</x:f>
        <x:v>待確認</x:v>
      </x:c>
      <x:c r="J586" s="37" t="str">
        <x:v>◎</x:v>
      </x:c>
      <x:c r="K586" s="37" t="str">
        <x:v>Ø</x:v>
      </x:c>
      <x:c r="L586" s="48" t="str">
        <x:f>_xlfn.XLOOKUP($A586&amp;"|"&amp;$G586,'試行能力狀態'!$L$7:$L$258,'試行能力狀態'!$E$7:$E$258,"未評估",0)</x:f>
        <x:v>未評估</x:v>
      </x:c>
      <x:c r="M586" s="48" t="str">
        <x:f>_xlfn.XLOOKUP($A586&amp;"|"&amp;$G586,'試行能力狀態'!$L$7:$L$258,'試行能力狀態'!$F$7:$F$258,"未建立",0)</x:f>
        <x:v>未建立</x:v>
      </x:c>
      <x:c r="N586" s="48" t="str">
        <x:f>IF($L586="◎","符合獨立",IF($L586="Ø","符合條件","不符合"))</x:f>
        <x:v>不符合</x:v>
      </x:c>
      <x:c r="O586" s="48" t="str">
        <x:f>_xlfn.XLOOKUP($A586&amp;"|李侑津醫師",'試行熟悉度'!$K$7:$K$20,'試行熟悉度'!$E$7:$E$20,"未評估",0)</x:f>
        <x:v>未評估</x:v>
      </x:c>
      <x:c r="P586" s="48" t="str">
        <x:f>_xlfn.XLOOKUP($A586&amp;"|李侑津醫師",'試行熟悉度'!$K$7:$K$20,'試行熟悉度'!$F$7:$F$20,"未建立",0)</x:f>
        <x:v>未建立</x:v>
      </x:c>
      <x:c r="Q586" s="39" t="str">
        <x:v>確認後才納入自動判定</x:v>
      </x:c>
    </x:row>
    <x:row r="587">
      <x:c r="A587" s="37" t="str">
        <x:v>1031</x:v>
      </x:c>
      <x:c r="B587" s="37" t="str"/>
      <x:c r="C587" s="37" t="str">
        <x:v>LJT-PERIO</x:v>
      </x:c>
      <x:c r="D587" s="37" t="str">
        <x:v>牙周統合</x:v>
      </x:c>
      <x:c r="E587" s="37" t="str">
        <x:v>一般</x:v>
      </x:c>
      <x:c r="F587" s="37" t="str">
        <x:v>一般</x:v>
      </x:c>
      <x:c r="G587" s="37" t="str">
        <x:v>LJT-PREP-PERIO</x:v>
      </x:c>
      <x:c r="H587" s="37" t="str">
        <x:v>必備</x:v>
      </x:c>
      <x:c r="I587" s="37" t="str">
        <x:f>_xlfn.XLOOKUP($C587&amp;"|"&amp;$G587,'李醫師能力要求'!$M$7:$M$59,'李醫師能力要求'!$K$7:$K$59,"待確認",0)</x:f>
        <x:v>已確認</x:v>
      </x:c>
      <x:c r="J587" s="37" t="str">
        <x:v>◎</x:v>
      </x:c>
      <x:c r="K587" s="37" t="str">
        <x:v>Ø</x:v>
      </x:c>
      <x:c r="L587" s="48" t="str">
        <x:f>_xlfn.XLOOKUP($A587&amp;"|"&amp;$G587,'試行能力狀態'!$L$7:$L$258,'試行能力狀態'!$E$7:$E$258,"未評估",0)</x:f>
        <x:v>未評估</x:v>
      </x:c>
      <x:c r="M587" s="48" t="str">
        <x:f>_xlfn.XLOOKUP($A587&amp;"|"&amp;$G587,'試行能力狀態'!$L$7:$L$258,'試行能力狀態'!$F$7:$F$258,"未建立",0)</x:f>
        <x:v>未建立</x:v>
      </x:c>
      <x:c r="N587" s="48" t="str">
        <x:f>IF($L587="◎","符合獨立",IF($L587="Ø","符合條件","不符合"))</x:f>
        <x:v>不符合</x:v>
      </x:c>
      <x:c r="O587" s="48" t="str">
        <x:f>_xlfn.XLOOKUP($A587&amp;"|李侑津醫師",'試行熟悉度'!$K$7:$K$20,'試行熟悉度'!$E$7:$E$20,"未評估",0)</x:f>
        <x:v>未評估</x:v>
      </x:c>
      <x:c r="P587" s="48" t="str">
        <x:f>_xlfn.XLOOKUP($A587&amp;"|李侑津醫師",'試行熟悉度'!$K$7:$K$20,'試行熟悉度'!$F$7:$F$20,"未建立",0)</x:f>
        <x:v>未建立</x:v>
      </x:c>
      <x:c r="Q587" s="39" t="str">
        <x:v>依一般支援名額</x:v>
      </x:c>
    </x:row>
    <x:row r="588">
      <x:c r="A588" s="37" t="str">
        <x:v>1031</x:v>
      </x:c>
      <x:c r="B588" s="37" t="str"/>
      <x:c r="C588" s="37" t="str">
        <x:v>LJT-PERIO</x:v>
      </x:c>
      <x:c r="D588" s="37" t="str">
        <x:v>牙周統合</x:v>
      </x:c>
      <x:c r="E588" s="37" t="str">
        <x:v>一般</x:v>
      </x:c>
      <x:c r="F588" s="37" t="str">
        <x:v>一般</x:v>
      </x:c>
      <x:c r="G588" s="37" t="str">
        <x:v>COMMON-RECORD</x:v>
      </x:c>
      <x:c r="H588" s="37" t="str">
        <x:v>待確認</x:v>
      </x:c>
      <x:c r="I588" s="37" t="str">
        <x:f>_xlfn.XLOOKUP($C588&amp;"|"&amp;$G588,'李醫師能力要求'!$M$7:$M$59,'李醫師能力要求'!$K$7:$K$59,"待確認",0)</x:f>
        <x:v>待確認</x:v>
      </x:c>
      <x:c r="J588" s="37" t="str">
        <x:v>◎</x:v>
      </x:c>
      <x:c r="K588" s="37" t="str">
        <x:v>Ø</x:v>
      </x:c>
      <x:c r="L588" s="48" t="str">
        <x:f>_xlfn.XLOOKUP($A588&amp;"|"&amp;$G588,'試行能力狀態'!$L$7:$L$258,'試行能力狀態'!$E$7:$E$258,"未評估",0)</x:f>
        <x:v>未評估</x:v>
      </x:c>
      <x:c r="M588" s="48" t="str">
        <x:f>_xlfn.XLOOKUP($A588&amp;"|"&amp;$G588,'試行能力狀態'!$L$7:$L$258,'試行能力狀態'!$F$7:$F$258,"未建立",0)</x:f>
        <x:v>未建立</x:v>
      </x:c>
      <x:c r="N588" s="48" t="str">
        <x:f>IF($L588="◎","符合獨立",IF($L588="Ø","符合條件","不符合"))</x:f>
        <x:v>不符合</x:v>
      </x:c>
      <x:c r="O588" s="48" t="str">
        <x:f>_xlfn.XLOOKUP($A588&amp;"|李侑津醫師",'試行熟悉度'!$K$7:$K$20,'試行熟悉度'!$E$7:$E$20,"未評估",0)</x:f>
        <x:v>未評估</x:v>
      </x:c>
      <x:c r="P588" s="48" t="str">
        <x:f>_xlfn.XLOOKUP($A588&amp;"|李侑津醫師",'試行熟悉度'!$K$7:$K$20,'試行熟悉度'!$F$7:$F$20,"未建立",0)</x:f>
        <x:v>未建立</x:v>
      </x:c>
      <x:c r="Q588" s="39" t="str">
        <x:v>確認後才納入自動判定</x:v>
      </x:c>
    </x:row>
    <x:row r="589">
      <x:c r="A589" s="37" t="str">
        <x:v>1031</x:v>
      </x:c>
      <x:c r="B589" s="37" t="str"/>
      <x:c r="C589" s="37" t="str">
        <x:v>LJT-PERIO</x:v>
      </x:c>
      <x:c r="D589" s="37" t="str">
        <x:v>牙周統合</x:v>
      </x:c>
      <x:c r="E589" s="37" t="str">
        <x:v>一般</x:v>
      </x:c>
      <x:c r="F589" s="37" t="str">
        <x:v>一般</x:v>
      </x:c>
      <x:c r="G589" s="37" t="str">
        <x:v>COMMON-INSURANCE</x:v>
      </x:c>
      <x:c r="H589" s="37" t="str">
        <x:v>待確認</x:v>
      </x:c>
      <x:c r="I589" s="37" t="str">
        <x:f>_xlfn.XLOOKUP($C589&amp;"|"&amp;$G589,'李醫師能力要求'!$M$7:$M$59,'李醫師能力要求'!$K$7:$K$59,"待確認",0)</x:f>
        <x:v>待確認</x:v>
      </x:c>
      <x:c r="J589" s="37" t="str">
        <x:v>◎</x:v>
      </x:c>
      <x:c r="K589" s="37" t="str">
        <x:v>Ø</x:v>
      </x:c>
      <x:c r="L589" s="48" t="str">
        <x:f>_xlfn.XLOOKUP($A589&amp;"|"&amp;$G589,'試行能力狀態'!$L$7:$L$258,'試行能力狀態'!$E$7:$E$258,"未評估",0)</x:f>
        <x:v>未評估</x:v>
      </x:c>
      <x:c r="M589" s="48" t="str">
        <x:f>_xlfn.XLOOKUP($A589&amp;"|"&amp;$G589,'試行能力狀態'!$L$7:$L$258,'試行能力狀態'!$F$7:$F$258,"未建立",0)</x:f>
        <x:v>未建立</x:v>
      </x:c>
      <x:c r="N589" s="48" t="str">
        <x:f>IF($L589="◎","符合獨立",IF($L589="Ø","符合條件","不符合"))</x:f>
        <x:v>不符合</x:v>
      </x:c>
      <x:c r="O589" s="48" t="str">
        <x:f>_xlfn.XLOOKUP($A589&amp;"|李侑津醫師",'試行熟悉度'!$K$7:$K$20,'試行熟悉度'!$E$7:$E$20,"未評估",0)</x:f>
        <x:v>未評估</x:v>
      </x:c>
      <x:c r="P589" s="48" t="str">
        <x:f>_xlfn.XLOOKUP($A589&amp;"|李侑津醫師",'試行熟悉度'!$K$7:$K$20,'試行熟悉度'!$F$7:$F$20,"未建立",0)</x:f>
        <x:v>未建立</x:v>
      </x:c>
      <x:c r="Q589" s="39" t="str">
        <x:v>確認後才納入自動判定</x:v>
      </x:c>
    </x:row>
    <x:row r="590">
      <x:c r="A590" s="37" t="str">
        <x:v>1031</x:v>
      </x:c>
      <x:c r="B590" s="37" t="str"/>
      <x:c r="C590" s="37" t="str">
        <x:v>LJT-PERIO</x:v>
      </x:c>
      <x:c r="D590" s="37" t="str">
        <x:v>牙周統合</x:v>
      </x:c>
      <x:c r="E590" s="37" t="str">
        <x:v>一般</x:v>
      </x:c>
      <x:c r="F590" s="37" t="str">
        <x:v>一般</x:v>
      </x:c>
      <x:c r="G590" s="37" t="str">
        <x:v>COMMON-XRAY-RECORD</x:v>
      </x:c>
      <x:c r="H590" s="37" t="str">
        <x:v>待確認</x:v>
      </x:c>
      <x:c r="I590" s="37" t="str">
        <x:f>_xlfn.XLOOKUP($C590&amp;"|"&amp;$G590,'李醫師能力要求'!$M$7:$M$59,'李醫師能力要求'!$K$7:$K$59,"待確認",0)</x:f>
        <x:v>待確認</x:v>
      </x:c>
      <x:c r="J590" s="37" t="str">
        <x:v>◎</x:v>
      </x:c>
      <x:c r="K590" s="37" t="str">
        <x:v>Ø</x:v>
      </x:c>
      <x:c r="L590" s="48" t="str">
        <x:f>_xlfn.XLOOKUP($A590&amp;"|"&amp;$G590,'試行能力狀態'!$L$7:$L$258,'試行能力狀態'!$E$7:$E$258,"未評估",0)</x:f>
        <x:v>未評估</x:v>
      </x:c>
      <x:c r="M590" s="48" t="str">
        <x:f>_xlfn.XLOOKUP($A590&amp;"|"&amp;$G590,'試行能力狀態'!$L$7:$L$258,'試行能力狀態'!$F$7:$F$258,"未建立",0)</x:f>
        <x:v>未建立</x:v>
      </x:c>
      <x:c r="N590" s="48" t="str">
        <x:f>IF($L590="◎","符合獨立",IF($L590="Ø","符合條件","不符合"))</x:f>
        <x:v>不符合</x:v>
      </x:c>
      <x:c r="O590" s="48" t="str">
        <x:f>_xlfn.XLOOKUP($A590&amp;"|李侑津醫師",'試行熟悉度'!$K$7:$K$20,'試行熟悉度'!$E$7:$E$20,"未評估",0)</x:f>
        <x:v>未評估</x:v>
      </x:c>
      <x:c r="P590" s="48" t="str">
        <x:f>_xlfn.XLOOKUP($A590&amp;"|李侑津醫師",'試行熟悉度'!$K$7:$K$20,'試行熟悉度'!$F$7:$F$20,"未建立",0)</x:f>
        <x:v>未建立</x:v>
      </x:c>
      <x:c r="Q590" s="39" t="str">
        <x:v>確認後才納入自動判定</x:v>
      </x:c>
    </x:row>
    <x:row r="591">
      <x:c r="A591" s="37" t="str">
        <x:v>1031</x:v>
      </x:c>
      <x:c r="B591" s="37" t="str"/>
      <x:c r="C591" s="37" t="str">
        <x:v>LJT-RCT</x:v>
      </x:c>
      <x:c r="D591" s="37" t="str">
        <x:v>一般根管治療</x:v>
      </x:c>
      <x:c r="E591" s="37" t="str">
        <x:v>一般</x:v>
      </x:c>
      <x:c r="F591" s="37" t="str">
        <x:v>一般</x:v>
      </x:c>
      <x:c r="G591" s="37" t="str">
        <x:v>LJT-PREP-RCT</x:v>
      </x:c>
      <x:c r="H591" s="37" t="str">
        <x:v>必備</x:v>
      </x:c>
      <x:c r="I591" s="37" t="str">
        <x:f>_xlfn.XLOOKUP($C591&amp;"|"&amp;$G591,'李醫師能力要求'!$M$7:$M$59,'李醫師能力要求'!$K$7:$K$59,"待確認",0)</x:f>
        <x:v>已確認</x:v>
      </x:c>
      <x:c r="J591" s="37" t="str">
        <x:v>◎</x:v>
      </x:c>
      <x:c r="K591" s="37" t="str">
        <x:v>Ø</x:v>
      </x:c>
      <x:c r="L591" s="48" t="str">
        <x:f>_xlfn.XLOOKUP($A591&amp;"|"&amp;$G591,'試行能力狀態'!$L$7:$L$258,'試行能力狀態'!$E$7:$E$258,"未評估",0)</x:f>
        <x:v>未評估</x:v>
      </x:c>
      <x:c r="M591" s="48" t="str">
        <x:f>_xlfn.XLOOKUP($A591&amp;"|"&amp;$G591,'試行能力狀態'!$L$7:$L$258,'試行能力狀態'!$F$7:$F$258,"未建立",0)</x:f>
        <x:v>未建立</x:v>
      </x:c>
      <x:c r="N591" s="48" t="str">
        <x:f>IF($L591="◎","符合獨立",IF($L591="Ø","符合條件","不符合"))</x:f>
        <x:v>不符合</x:v>
      </x:c>
      <x:c r="O591" s="48" t="str">
        <x:f>_xlfn.XLOOKUP($A591&amp;"|李侑津醫師",'試行熟悉度'!$K$7:$K$20,'試行熟悉度'!$E$7:$E$20,"未評估",0)</x:f>
        <x:v>未評估</x:v>
      </x:c>
      <x:c r="P591" s="48" t="str">
        <x:f>_xlfn.XLOOKUP($A591&amp;"|李侑津醫師",'試行熟悉度'!$K$7:$K$20,'試行熟悉度'!$F$7:$F$20,"未建立",0)</x:f>
        <x:v>未建立</x:v>
      </x:c>
      <x:c r="Q591" s="39" t="str">
        <x:v>依一般支援名額</x:v>
      </x:c>
    </x:row>
    <x:row r="592">
      <x:c r="A592" s="37" t="str">
        <x:v>1031</x:v>
      </x:c>
      <x:c r="B592" s="37" t="str"/>
      <x:c r="C592" s="37" t="str">
        <x:v>LJT-RCT</x:v>
      </x:c>
      <x:c r="D592" s="37" t="str">
        <x:v>一般根管治療</x:v>
      </x:c>
      <x:c r="E592" s="37" t="str">
        <x:v>一般</x:v>
      </x:c>
      <x:c r="F592" s="37" t="str">
        <x:v>一般</x:v>
      </x:c>
      <x:c r="G592" s="37" t="str">
        <x:v>COMMON-RECORD</x:v>
      </x:c>
      <x:c r="H592" s="37" t="str">
        <x:v>待確認</x:v>
      </x:c>
      <x:c r="I592" s="37" t="str">
        <x:f>_xlfn.XLOOKUP($C592&amp;"|"&amp;$G592,'李醫師能力要求'!$M$7:$M$59,'李醫師能力要求'!$K$7:$K$59,"待確認",0)</x:f>
        <x:v>待確認</x:v>
      </x:c>
      <x:c r="J592" s="37" t="str">
        <x:v>◎</x:v>
      </x:c>
      <x:c r="K592" s="37" t="str">
        <x:v>Ø</x:v>
      </x:c>
      <x:c r="L592" s="48" t="str">
        <x:f>_xlfn.XLOOKUP($A592&amp;"|"&amp;$G592,'試行能力狀態'!$L$7:$L$258,'試行能力狀態'!$E$7:$E$258,"未評估",0)</x:f>
        <x:v>未評估</x:v>
      </x:c>
      <x:c r="M592" s="48" t="str">
        <x:f>_xlfn.XLOOKUP($A592&amp;"|"&amp;$G592,'試行能力狀態'!$L$7:$L$258,'試行能力狀態'!$F$7:$F$258,"未建立",0)</x:f>
        <x:v>未建立</x:v>
      </x:c>
      <x:c r="N592" s="48" t="str">
        <x:f>IF($L592="◎","符合獨立",IF($L592="Ø","符合條件","不符合"))</x:f>
        <x:v>不符合</x:v>
      </x:c>
      <x:c r="O592" s="48" t="str">
        <x:f>_xlfn.XLOOKUP($A592&amp;"|李侑津醫師",'試行熟悉度'!$K$7:$K$20,'試行熟悉度'!$E$7:$E$20,"未評估",0)</x:f>
        <x:v>未評估</x:v>
      </x:c>
      <x:c r="P592" s="48" t="str">
        <x:f>_xlfn.XLOOKUP($A592&amp;"|李侑津醫師",'試行熟悉度'!$K$7:$K$20,'試行熟悉度'!$F$7:$F$20,"未建立",0)</x:f>
        <x:v>未建立</x:v>
      </x:c>
      <x:c r="Q592" s="39" t="str">
        <x:v>確認後才納入自動判定</x:v>
      </x:c>
    </x:row>
    <x:row r="593">
      <x:c r="A593" s="37" t="str">
        <x:v>1031</x:v>
      </x:c>
      <x:c r="B593" s="37" t="str"/>
      <x:c r="C593" s="37" t="str">
        <x:v>LJT-RCT</x:v>
      </x:c>
      <x:c r="D593" s="37" t="str">
        <x:v>一般根管治療</x:v>
      </x:c>
      <x:c r="E593" s="37" t="str">
        <x:v>一般</x:v>
      </x:c>
      <x:c r="F593" s="37" t="str">
        <x:v>一般</x:v>
      </x:c>
      <x:c r="G593" s="37" t="str">
        <x:v>COMMON-INSURANCE</x:v>
      </x:c>
      <x:c r="H593" s="37" t="str">
        <x:v>待確認</x:v>
      </x:c>
      <x:c r="I593" s="37" t="str">
        <x:f>_xlfn.XLOOKUP($C593&amp;"|"&amp;$G593,'李醫師能力要求'!$M$7:$M$59,'李醫師能力要求'!$K$7:$K$59,"待確認",0)</x:f>
        <x:v>待確認</x:v>
      </x:c>
      <x:c r="J593" s="37" t="str">
        <x:v>◎</x:v>
      </x:c>
      <x:c r="K593" s="37" t="str">
        <x:v>Ø</x:v>
      </x:c>
      <x:c r="L593" s="48" t="str">
        <x:f>_xlfn.XLOOKUP($A593&amp;"|"&amp;$G593,'試行能力狀態'!$L$7:$L$258,'試行能力狀態'!$E$7:$E$258,"未評估",0)</x:f>
        <x:v>未評估</x:v>
      </x:c>
      <x:c r="M593" s="48" t="str">
        <x:f>_xlfn.XLOOKUP($A593&amp;"|"&amp;$G593,'試行能力狀態'!$L$7:$L$258,'試行能力狀態'!$F$7:$F$258,"未建立",0)</x:f>
        <x:v>未建立</x:v>
      </x:c>
      <x:c r="N593" s="48" t="str">
        <x:f>IF($L593="◎","符合獨立",IF($L593="Ø","符合條件","不符合"))</x:f>
        <x:v>不符合</x:v>
      </x:c>
      <x:c r="O593" s="48" t="str">
        <x:f>_xlfn.XLOOKUP($A593&amp;"|李侑津醫師",'試行熟悉度'!$K$7:$K$20,'試行熟悉度'!$E$7:$E$20,"未評估",0)</x:f>
        <x:v>未評估</x:v>
      </x:c>
      <x:c r="P593" s="48" t="str">
        <x:f>_xlfn.XLOOKUP($A593&amp;"|李侑津醫師",'試行熟悉度'!$K$7:$K$20,'試行熟悉度'!$F$7:$F$20,"未建立",0)</x:f>
        <x:v>未建立</x:v>
      </x:c>
      <x:c r="Q593" s="39" t="str">
        <x:v>確認後才納入自動判定</x:v>
      </x:c>
    </x:row>
    <x:row r="594">
      <x:c r="A594" s="37" t="str">
        <x:v>1031</x:v>
      </x:c>
      <x:c r="B594" s="37" t="str"/>
      <x:c r="C594" s="37" t="str">
        <x:v>LJT-RCT</x:v>
      </x:c>
      <x:c r="D594" s="37" t="str">
        <x:v>一般根管治療</x:v>
      </x:c>
      <x:c r="E594" s="37" t="str">
        <x:v>一般</x:v>
      </x:c>
      <x:c r="F594" s="37" t="str">
        <x:v>一般</x:v>
      </x:c>
      <x:c r="G594" s="37" t="str">
        <x:v>COMMON-XRAY-RECORD</x:v>
      </x:c>
      <x:c r="H594" s="37" t="str">
        <x:v>待確認</x:v>
      </x:c>
      <x:c r="I594" s="37" t="str">
        <x:f>_xlfn.XLOOKUP($C594&amp;"|"&amp;$G594,'李醫師能力要求'!$M$7:$M$59,'李醫師能力要求'!$K$7:$K$59,"待確認",0)</x:f>
        <x:v>待確認</x:v>
      </x:c>
      <x:c r="J594" s="37" t="str">
        <x:v>◎</x:v>
      </x:c>
      <x:c r="K594" s="37" t="str">
        <x:v>Ø</x:v>
      </x:c>
      <x:c r="L594" s="48" t="str">
        <x:f>_xlfn.XLOOKUP($A594&amp;"|"&amp;$G594,'試行能力狀態'!$L$7:$L$258,'試行能力狀態'!$E$7:$E$258,"未評估",0)</x:f>
        <x:v>未評估</x:v>
      </x:c>
      <x:c r="M594" s="48" t="str">
        <x:f>_xlfn.XLOOKUP($A594&amp;"|"&amp;$G594,'試行能力狀態'!$L$7:$L$258,'試行能力狀態'!$F$7:$F$258,"未建立",0)</x:f>
        <x:v>未建立</x:v>
      </x:c>
      <x:c r="N594" s="48" t="str">
        <x:f>IF($L594="◎","符合獨立",IF($L594="Ø","符合條件","不符合"))</x:f>
        <x:v>不符合</x:v>
      </x:c>
      <x:c r="O594" s="48" t="str">
        <x:f>_xlfn.XLOOKUP($A594&amp;"|李侑津醫師",'試行熟悉度'!$K$7:$K$20,'試行熟悉度'!$E$7:$E$20,"未評估",0)</x:f>
        <x:v>未評估</x:v>
      </x:c>
      <x:c r="P594" s="48" t="str">
        <x:f>_xlfn.XLOOKUP($A594&amp;"|李侑津醫師",'試行熟悉度'!$K$7:$K$20,'試行熟悉度'!$F$7:$F$20,"未建立",0)</x:f>
        <x:v>未建立</x:v>
      </x:c>
      <x:c r="Q594" s="39" t="str">
        <x:v>確認後才納入自動判定</x:v>
      </x:c>
    </x:row>
    <x:row r="595">
      <x:c r="A595" s="37" t="str">
        <x:v>1031</x:v>
      </x:c>
      <x:c r="B595" s="37" t="str"/>
      <x:c r="C595" s="37" t="str">
        <x:v>LJT-EXTRACTION</x:v>
      </x:c>
      <x:c r="D595" s="37" t="str">
        <x:v>拔牙</x:v>
      </x:c>
      <x:c r="E595" s="37" t="str">
        <x:v>一般</x:v>
      </x:c>
      <x:c r="F595" s="37" t="str">
        <x:v>一般</x:v>
      </x:c>
      <x:c r="G595" s="37" t="str">
        <x:v>LJT-PREP-EXTRACTION</x:v>
      </x:c>
      <x:c r="H595" s="37" t="str">
        <x:v>必備</x:v>
      </x:c>
      <x:c r="I595" s="37" t="str">
        <x:f>_xlfn.XLOOKUP($C595&amp;"|"&amp;$G595,'李醫師能力要求'!$M$7:$M$59,'李醫師能力要求'!$K$7:$K$59,"待確認",0)</x:f>
        <x:v>已確認</x:v>
      </x:c>
      <x:c r="J595" s="37" t="str">
        <x:v>◎</x:v>
      </x:c>
      <x:c r="K595" s="37" t="str">
        <x:v>Ø</x:v>
      </x:c>
      <x:c r="L595" s="48" t="str">
        <x:f>_xlfn.XLOOKUP($A595&amp;"|"&amp;$G595,'試行能力狀態'!$L$7:$L$258,'試行能力狀態'!$E$7:$E$258,"未評估",0)</x:f>
        <x:v>未評估</x:v>
      </x:c>
      <x:c r="M595" s="48" t="str">
        <x:f>_xlfn.XLOOKUP($A595&amp;"|"&amp;$G595,'試行能力狀態'!$L$7:$L$258,'試行能力狀態'!$F$7:$F$258,"未建立",0)</x:f>
        <x:v>未建立</x:v>
      </x:c>
      <x:c r="N595" s="48" t="str">
        <x:f>IF($L595="◎","符合獨立",IF($L595="Ø","符合條件","不符合"))</x:f>
        <x:v>不符合</x:v>
      </x:c>
      <x:c r="O595" s="48" t="str">
        <x:f>_xlfn.XLOOKUP($A595&amp;"|李侑津醫師",'試行熟悉度'!$K$7:$K$20,'試行熟悉度'!$E$7:$E$20,"未評估",0)</x:f>
        <x:v>未評估</x:v>
      </x:c>
      <x:c r="P595" s="48" t="str">
        <x:f>_xlfn.XLOOKUP($A595&amp;"|李侑津醫師",'試行熟悉度'!$K$7:$K$20,'試行熟悉度'!$F$7:$F$20,"未建立",0)</x:f>
        <x:v>未建立</x:v>
      </x:c>
      <x:c r="Q595" s="39" t="str">
        <x:v>依一般支援名額</x:v>
      </x:c>
    </x:row>
    <x:row r="596">
      <x:c r="A596" s="37" t="str">
        <x:v>1031</x:v>
      </x:c>
      <x:c r="B596" s="37" t="str"/>
      <x:c r="C596" s="37" t="str">
        <x:v>LJT-EXTRACTION</x:v>
      </x:c>
      <x:c r="D596" s="37" t="str">
        <x:v>拔牙</x:v>
      </x:c>
      <x:c r="E596" s="37" t="str">
        <x:v>一般</x:v>
      </x:c>
      <x:c r="F596" s="37" t="str">
        <x:v>一般</x:v>
      </x:c>
      <x:c r="G596" s="37" t="str">
        <x:v>COMMON-RECORD</x:v>
      </x:c>
      <x:c r="H596" s="37" t="str">
        <x:v>待確認</x:v>
      </x:c>
      <x:c r="I596" s="37" t="str">
        <x:f>_xlfn.XLOOKUP($C596&amp;"|"&amp;$G596,'李醫師能力要求'!$M$7:$M$59,'李醫師能力要求'!$K$7:$K$59,"待確認",0)</x:f>
        <x:v>待確認</x:v>
      </x:c>
      <x:c r="J596" s="37" t="str">
        <x:v>◎</x:v>
      </x:c>
      <x:c r="K596" s="37" t="str">
        <x:v>Ø</x:v>
      </x:c>
      <x:c r="L596" s="48" t="str">
        <x:f>_xlfn.XLOOKUP($A596&amp;"|"&amp;$G596,'試行能力狀態'!$L$7:$L$258,'試行能力狀態'!$E$7:$E$258,"未評估",0)</x:f>
        <x:v>未評估</x:v>
      </x:c>
      <x:c r="M596" s="48" t="str">
        <x:f>_xlfn.XLOOKUP($A596&amp;"|"&amp;$G596,'試行能力狀態'!$L$7:$L$258,'試行能力狀態'!$F$7:$F$258,"未建立",0)</x:f>
        <x:v>未建立</x:v>
      </x:c>
      <x:c r="N596" s="48" t="str">
        <x:f>IF($L596="◎","符合獨立",IF($L596="Ø","符合條件","不符合"))</x:f>
        <x:v>不符合</x:v>
      </x:c>
      <x:c r="O596" s="48" t="str">
        <x:f>_xlfn.XLOOKUP($A596&amp;"|李侑津醫師",'試行熟悉度'!$K$7:$K$20,'試行熟悉度'!$E$7:$E$20,"未評估",0)</x:f>
        <x:v>未評估</x:v>
      </x:c>
      <x:c r="P596" s="48" t="str">
        <x:f>_xlfn.XLOOKUP($A596&amp;"|李侑津醫師",'試行熟悉度'!$K$7:$K$20,'試行熟悉度'!$F$7:$F$20,"未建立",0)</x:f>
        <x:v>未建立</x:v>
      </x:c>
      <x:c r="Q596" s="39" t="str">
        <x:v>確認後才納入自動判定</x:v>
      </x:c>
    </x:row>
    <x:row r="597">
      <x:c r="A597" s="37" t="str">
        <x:v>1031</x:v>
      </x:c>
      <x:c r="B597" s="37" t="str"/>
      <x:c r="C597" s="37" t="str">
        <x:v>LJT-EXTRACTION</x:v>
      </x:c>
      <x:c r="D597" s="37" t="str">
        <x:v>拔牙</x:v>
      </x:c>
      <x:c r="E597" s="37" t="str">
        <x:v>一般</x:v>
      </x:c>
      <x:c r="F597" s="37" t="str">
        <x:v>一般</x:v>
      </x:c>
      <x:c r="G597" s="37" t="str">
        <x:v>COMMON-INSURANCE</x:v>
      </x:c>
      <x:c r="H597" s="37" t="str">
        <x:v>待確認</x:v>
      </x:c>
      <x:c r="I597" s="37" t="str">
        <x:f>_xlfn.XLOOKUP($C597&amp;"|"&amp;$G597,'李醫師能力要求'!$M$7:$M$59,'李醫師能力要求'!$K$7:$K$59,"待確認",0)</x:f>
        <x:v>待確認</x:v>
      </x:c>
      <x:c r="J597" s="37" t="str">
        <x:v>◎</x:v>
      </x:c>
      <x:c r="K597" s="37" t="str">
        <x:v>Ø</x:v>
      </x:c>
      <x:c r="L597" s="48" t="str">
        <x:f>_xlfn.XLOOKUP($A597&amp;"|"&amp;$G597,'試行能力狀態'!$L$7:$L$258,'試行能力狀態'!$E$7:$E$258,"未評估",0)</x:f>
        <x:v>未評估</x:v>
      </x:c>
      <x:c r="M597" s="48" t="str">
        <x:f>_xlfn.XLOOKUP($A597&amp;"|"&amp;$G597,'試行能力狀態'!$L$7:$L$258,'試行能力狀態'!$F$7:$F$258,"未建立",0)</x:f>
        <x:v>未建立</x:v>
      </x:c>
      <x:c r="N597" s="48" t="str">
        <x:f>IF($L597="◎","符合獨立",IF($L597="Ø","符合條件","不符合"))</x:f>
        <x:v>不符合</x:v>
      </x:c>
      <x:c r="O597" s="48" t="str">
        <x:f>_xlfn.XLOOKUP($A597&amp;"|李侑津醫師",'試行熟悉度'!$K$7:$K$20,'試行熟悉度'!$E$7:$E$20,"未評估",0)</x:f>
        <x:v>未評估</x:v>
      </x:c>
      <x:c r="P597" s="48" t="str">
        <x:f>_xlfn.XLOOKUP($A597&amp;"|李侑津醫師",'試行熟悉度'!$K$7:$K$20,'試行熟悉度'!$F$7:$F$20,"未建立",0)</x:f>
        <x:v>未建立</x:v>
      </x:c>
      <x:c r="Q597" s="39" t="str">
        <x:v>確認後才納入自動判定</x:v>
      </x:c>
    </x:row>
    <x:row r="598">
      <x:c r="A598" s="37" t="str">
        <x:v>1031</x:v>
      </x:c>
      <x:c r="B598" s="37" t="str"/>
      <x:c r="C598" s="37" t="str">
        <x:v>LJT-EXTRACTION</x:v>
      </x:c>
      <x:c r="D598" s="37" t="str">
        <x:v>拔牙</x:v>
      </x:c>
      <x:c r="E598" s="37" t="str">
        <x:v>一般</x:v>
      </x:c>
      <x:c r="F598" s="37" t="str">
        <x:v>一般</x:v>
      </x:c>
      <x:c r="G598" s="37" t="str">
        <x:v>COMMON-XRAY-RECORD</x:v>
      </x:c>
      <x:c r="H598" s="37" t="str">
        <x:v>待確認</x:v>
      </x:c>
      <x:c r="I598" s="37" t="str">
        <x:f>_xlfn.XLOOKUP($C598&amp;"|"&amp;$G598,'李醫師能力要求'!$M$7:$M$59,'李醫師能力要求'!$K$7:$K$59,"待確認",0)</x:f>
        <x:v>待確認</x:v>
      </x:c>
      <x:c r="J598" s="37" t="str">
        <x:v>◎</x:v>
      </x:c>
      <x:c r="K598" s="37" t="str">
        <x:v>Ø</x:v>
      </x:c>
      <x:c r="L598" s="48" t="str">
        <x:f>_xlfn.XLOOKUP($A598&amp;"|"&amp;$G598,'試行能力狀態'!$L$7:$L$258,'試行能力狀態'!$E$7:$E$258,"未評估",0)</x:f>
        <x:v>未評估</x:v>
      </x:c>
      <x:c r="M598" s="48" t="str">
        <x:f>_xlfn.XLOOKUP($A598&amp;"|"&amp;$G598,'試行能力狀態'!$L$7:$L$258,'試行能力狀態'!$F$7:$F$258,"未建立",0)</x:f>
        <x:v>未建立</x:v>
      </x:c>
      <x:c r="N598" s="48" t="str">
        <x:f>IF($L598="◎","符合獨立",IF($L598="Ø","符合條件","不符合"))</x:f>
        <x:v>不符合</x:v>
      </x:c>
      <x:c r="O598" s="48" t="str">
        <x:f>_xlfn.XLOOKUP($A598&amp;"|李侑津醫師",'試行熟悉度'!$K$7:$K$20,'試行熟悉度'!$E$7:$E$20,"未評估",0)</x:f>
        <x:v>未評估</x:v>
      </x:c>
      <x:c r="P598" s="48" t="str">
        <x:f>_xlfn.XLOOKUP($A598&amp;"|李侑津醫師",'試行熟悉度'!$K$7:$K$20,'試行熟悉度'!$F$7:$F$20,"未建立",0)</x:f>
        <x:v>未建立</x:v>
      </x:c>
      <x:c r="Q598" s="39" t="str">
        <x:v>確認後才納入自動判定</x:v>
      </x:c>
    </x:row>
    <x:row r="599">
      <x:c r="A599" s="37" t="str">
        <x:v>1031</x:v>
      </x:c>
      <x:c r="B599" s="37" t="str"/>
      <x:c r="C599" s="37" t="str">
        <x:v>LJT-CROWNPOST</x:v>
      </x:c>
      <x:c r="D599" s="37" t="str">
        <x:v>拆 crown/post</x:v>
      </x:c>
      <x:c r="E599" s="37" t="str">
        <x:v>一般</x:v>
      </x:c>
      <x:c r="F599" s="37" t="str">
        <x:v>一般</x:v>
      </x:c>
      <x:c r="G599" s="37" t="str">
        <x:v>LJT-PREP-CROWNPOST</x:v>
      </x:c>
      <x:c r="H599" s="37" t="str">
        <x:v>必備</x:v>
      </x:c>
      <x:c r="I599" s="37" t="str">
        <x:f>_xlfn.XLOOKUP($C599&amp;"|"&amp;$G599,'李醫師能力要求'!$M$7:$M$59,'李醫師能力要求'!$K$7:$K$59,"待確認",0)</x:f>
        <x:v>已確認</x:v>
      </x:c>
      <x:c r="J599" s="37" t="str">
        <x:v>◎</x:v>
      </x:c>
      <x:c r="K599" s="37" t="str">
        <x:v>Ø</x:v>
      </x:c>
      <x:c r="L599" s="48" t="str">
        <x:f>_xlfn.XLOOKUP($A599&amp;"|"&amp;$G599,'試行能力狀態'!$L$7:$L$258,'試行能力狀態'!$E$7:$E$258,"未評估",0)</x:f>
        <x:v>未評估</x:v>
      </x:c>
      <x:c r="M599" s="48" t="str">
        <x:f>_xlfn.XLOOKUP($A599&amp;"|"&amp;$G599,'試行能力狀態'!$L$7:$L$258,'試行能力狀態'!$F$7:$F$258,"未建立",0)</x:f>
        <x:v>未建立</x:v>
      </x:c>
      <x:c r="N599" s="48" t="str">
        <x:f>IF($L599="◎","符合獨立",IF($L599="Ø","符合條件","不符合"))</x:f>
        <x:v>不符合</x:v>
      </x:c>
      <x:c r="O599" s="48" t="str">
        <x:f>_xlfn.XLOOKUP($A599&amp;"|李侑津醫師",'試行熟悉度'!$K$7:$K$20,'試行熟悉度'!$E$7:$E$20,"未評估",0)</x:f>
        <x:v>未評估</x:v>
      </x:c>
      <x:c r="P599" s="48" t="str">
        <x:f>_xlfn.XLOOKUP($A599&amp;"|李侑津醫師",'試行熟悉度'!$K$7:$K$20,'試行熟悉度'!$F$7:$F$20,"未建立",0)</x:f>
        <x:v>未建立</x:v>
      </x:c>
      <x:c r="Q599" s="39" t="str">
        <x:v>依一般支援名額</x:v>
      </x:c>
    </x:row>
    <x:row r="600">
      <x:c r="A600" s="37" t="str">
        <x:v>1031</x:v>
      </x:c>
      <x:c r="B600" s="37" t="str"/>
      <x:c r="C600" s="37" t="str">
        <x:v>LJT-CROWNPOST</x:v>
      </x:c>
      <x:c r="D600" s="37" t="str">
        <x:v>拆 crown/post</x:v>
      </x:c>
      <x:c r="E600" s="37" t="str">
        <x:v>一般</x:v>
      </x:c>
      <x:c r="F600" s="37" t="str">
        <x:v>一般</x:v>
      </x:c>
      <x:c r="G600" s="37" t="str">
        <x:v>COMMON-RECORD</x:v>
      </x:c>
      <x:c r="H600" s="37" t="str">
        <x:v>待確認</x:v>
      </x:c>
      <x:c r="I600" s="37" t="str">
        <x:f>_xlfn.XLOOKUP($C600&amp;"|"&amp;$G600,'李醫師能力要求'!$M$7:$M$59,'李醫師能力要求'!$K$7:$K$59,"待確認",0)</x:f>
        <x:v>待確認</x:v>
      </x:c>
      <x:c r="J600" s="37" t="str">
        <x:v>◎</x:v>
      </x:c>
      <x:c r="K600" s="37" t="str">
        <x:v>Ø</x:v>
      </x:c>
      <x:c r="L600" s="48" t="str">
        <x:f>_xlfn.XLOOKUP($A600&amp;"|"&amp;$G600,'試行能力狀態'!$L$7:$L$258,'試行能力狀態'!$E$7:$E$258,"未評估",0)</x:f>
        <x:v>未評估</x:v>
      </x:c>
      <x:c r="M600" s="48" t="str">
        <x:f>_xlfn.XLOOKUP($A600&amp;"|"&amp;$G600,'試行能力狀態'!$L$7:$L$258,'試行能力狀態'!$F$7:$F$258,"未建立",0)</x:f>
        <x:v>未建立</x:v>
      </x:c>
      <x:c r="N600" s="48" t="str">
        <x:f>IF($L600="◎","符合獨立",IF($L600="Ø","符合條件","不符合"))</x:f>
        <x:v>不符合</x:v>
      </x:c>
      <x:c r="O600" s="48" t="str">
        <x:f>_xlfn.XLOOKUP($A600&amp;"|李侑津醫師",'試行熟悉度'!$K$7:$K$20,'試行熟悉度'!$E$7:$E$20,"未評估",0)</x:f>
        <x:v>未評估</x:v>
      </x:c>
      <x:c r="P600" s="48" t="str">
        <x:f>_xlfn.XLOOKUP($A600&amp;"|李侑津醫師",'試行熟悉度'!$K$7:$K$20,'試行熟悉度'!$F$7:$F$20,"未建立",0)</x:f>
        <x:v>未建立</x:v>
      </x:c>
      <x:c r="Q600" s="39" t="str">
        <x:v>確認後才納入自動判定</x:v>
      </x:c>
    </x:row>
    <x:row r="601">
      <x:c r="A601" s="37" t="str">
        <x:v>1031</x:v>
      </x:c>
      <x:c r="B601" s="37" t="str"/>
      <x:c r="C601" s="37" t="str">
        <x:v>LJT-CROWNPOST</x:v>
      </x:c>
      <x:c r="D601" s="37" t="str">
        <x:v>拆 crown/post</x:v>
      </x:c>
      <x:c r="E601" s="37" t="str">
        <x:v>一般</x:v>
      </x:c>
      <x:c r="F601" s="37" t="str">
        <x:v>一般</x:v>
      </x:c>
      <x:c r="G601" s="37" t="str">
        <x:v>COMMON-INSURANCE</x:v>
      </x:c>
      <x:c r="H601" s="37" t="str">
        <x:v>待確認</x:v>
      </x:c>
      <x:c r="I601" s="37" t="str">
        <x:f>_xlfn.XLOOKUP($C601&amp;"|"&amp;$G601,'李醫師能力要求'!$M$7:$M$59,'李醫師能力要求'!$K$7:$K$59,"待確認",0)</x:f>
        <x:v>待確認</x:v>
      </x:c>
      <x:c r="J601" s="37" t="str">
        <x:v>◎</x:v>
      </x:c>
      <x:c r="K601" s="37" t="str">
        <x:v>Ø</x:v>
      </x:c>
      <x:c r="L601" s="48" t="str">
        <x:f>_xlfn.XLOOKUP($A601&amp;"|"&amp;$G601,'試行能力狀態'!$L$7:$L$258,'試行能力狀態'!$E$7:$E$258,"未評估",0)</x:f>
        <x:v>未評估</x:v>
      </x:c>
      <x:c r="M601" s="48" t="str">
        <x:f>_xlfn.XLOOKUP($A601&amp;"|"&amp;$G601,'試行能力狀態'!$L$7:$L$258,'試行能力狀態'!$F$7:$F$258,"未建立",0)</x:f>
        <x:v>未建立</x:v>
      </x:c>
      <x:c r="N601" s="48" t="str">
        <x:f>IF($L601="◎","符合獨立",IF($L601="Ø","符合條件","不符合"))</x:f>
        <x:v>不符合</x:v>
      </x:c>
      <x:c r="O601" s="48" t="str">
        <x:f>_xlfn.XLOOKUP($A601&amp;"|李侑津醫師",'試行熟悉度'!$K$7:$K$20,'試行熟悉度'!$E$7:$E$20,"未評估",0)</x:f>
        <x:v>未評估</x:v>
      </x:c>
      <x:c r="P601" s="48" t="str">
        <x:f>_xlfn.XLOOKUP($A601&amp;"|李侑津醫師",'試行熟悉度'!$K$7:$K$20,'試行熟悉度'!$F$7:$F$20,"未建立",0)</x:f>
        <x:v>未建立</x:v>
      </x:c>
      <x:c r="Q601" s="39" t="str">
        <x:v>確認後才納入自動判定</x:v>
      </x:c>
    </x:row>
    <x:row r="602">
      <x:c r="A602" s="37" t="str">
        <x:v>1031</x:v>
      </x:c>
      <x:c r="B602" s="37" t="str"/>
      <x:c r="C602" s="37" t="str">
        <x:v>LJT-CROWNPOST</x:v>
      </x:c>
      <x:c r="D602" s="37" t="str">
        <x:v>拆 crown/post</x:v>
      </x:c>
      <x:c r="E602" s="37" t="str">
        <x:v>一般</x:v>
      </x:c>
      <x:c r="F602" s="37" t="str">
        <x:v>一般</x:v>
      </x:c>
      <x:c r="G602" s="37" t="str">
        <x:v>COMMON-XRAY-RECORD</x:v>
      </x:c>
      <x:c r="H602" s="37" t="str">
        <x:v>待確認</x:v>
      </x:c>
      <x:c r="I602" s="37" t="str">
        <x:f>_xlfn.XLOOKUP($C602&amp;"|"&amp;$G602,'李醫師能力要求'!$M$7:$M$59,'李醫師能力要求'!$K$7:$K$59,"待確認",0)</x:f>
        <x:v>待確認</x:v>
      </x:c>
      <x:c r="J602" s="37" t="str">
        <x:v>◎</x:v>
      </x:c>
      <x:c r="K602" s="37" t="str">
        <x:v>Ø</x:v>
      </x:c>
      <x:c r="L602" s="48" t="str">
        <x:f>_xlfn.XLOOKUP($A602&amp;"|"&amp;$G602,'試行能力狀態'!$L$7:$L$258,'試行能力狀態'!$E$7:$E$258,"未評估",0)</x:f>
        <x:v>未評估</x:v>
      </x:c>
      <x:c r="M602" s="48" t="str">
        <x:f>_xlfn.XLOOKUP($A602&amp;"|"&amp;$G602,'試行能力狀態'!$L$7:$L$258,'試行能力狀態'!$F$7:$F$258,"未建立",0)</x:f>
        <x:v>未建立</x:v>
      </x:c>
      <x:c r="N602" s="48" t="str">
        <x:f>IF($L602="◎","符合獨立",IF($L602="Ø","符合條件","不符合"))</x:f>
        <x:v>不符合</x:v>
      </x:c>
      <x:c r="O602" s="48" t="str">
        <x:f>_xlfn.XLOOKUP($A602&amp;"|李侑津醫師",'試行熟悉度'!$K$7:$K$20,'試行熟悉度'!$E$7:$E$20,"未評估",0)</x:f>
        <x:v>未評估</x:v>
      </x:c>
      <x:c r="P602" s="48" t="str">
        <x:f>_xlfn.XLOOKUP($A602&amp;"|李侑津醫師",'試行熟悉度'!$K$7:$K$20,'試行熟悉度'!$F$7:$F$20,"未建立",0)</x:f>
        <x:v>未建立</x:v>
      </x:c>
      <x:c r="Q602" s="39" t="str">
        <x:v>確認後才納入自動判定</x:v>
      </x:c>
    </x:row>
    <x:row r="603">
      <x:c r="A603" s="37" t="str">
        <x:v>1031</x:v>
      </x:c>
      <x:c r="B603" s="37" t="str"/>
      <x:c r="C603" s="37" t="str">
        <x:v>LJT-CROWN</x:v>
      </x:c>
      <x:c r="D603" s="37" t="str">
        <x:v>固定假牙</x:v>
      </x:c>
      <x:c r="E603" s="37" t="str">
        <x:v>一般</x:v>
      </x:c>
      <x:c r="F603" s="37" t="str">
        <x:v>一般</x:v>
      </x:c>
      <x:c r="G603" s="37" t="str">
        <x:v>LJT-PREP-CROWN</x:v>
      </x:c>
      <x:c r="H603" s="37" t="str">
        <x:v>必備</x:v>
      </x:c>
      <x:c r="I603" s="37" t="str">
        <x:f>_xlfn.XLOOKUP($C603&amp;"|"&amp;$G603,'李醫師能力要求'!$M$7:$M$59,'李醫師能力要求'!$K$7:$K$59,"待確認",0)</x:f>
        <x:v>已確認</x:v>
      </x:c>
      <x:c r="J603" s="37" t="str">
        <x:v>◎</x:v>
      </x:c>
      <x:c r="K603" s="37" t="str">
        <x:v>Ø</x:v>
      </x:c>
      <x:c r="L603" s="48" t="str">
        <x:f>_xlfn.XLOOKUP($A603&amp;"|"&amp;$G603,'試行能力狀態'!$L$7:$L$258,'試行能力狀態'!$E$7:$E$258,"未評估",0)</x:f>
        <x:v>未評估</x:v>
      </x:c>
      <x:c r="M603" s="48" t="str">
        <x:f>_xlfn.XLOOKUP($A603&amp;"|"&amp;$G603,'試行能力狀態'!$L$7:$L$258,'試行能力狀態'!$F$7:$F$258,"未建立",0)</x:f>
        <x:v>未建立</x:v>
      </x:c>
      <x:c r="N603" s="48" t="str">
        <x:f>IF($L603="◎","符合獨立",IF($L603="Ø","符合條件","不符合"))</x:f>
        <x:v>不符合</x:v>
      </x:c>
      <x:c r="O603" s="48" t="str">
        <x:f>_xlfn.XLOOKUP($A603&amp;"|李侑津醫師",'試行熟悉度'!$K$7:$K$20,'試行熟悉度'!$E$7:$E$20,"未評估",0)</x:f>
        <x:v>未評估</x:v>
      </x:c>
      <x:c r="P603" s="48" t="str">
        <x:f>_xlfn.XLOOKUP($A603&amp;"|李侑津醫師",'試行熟悉度'!$K$7:$K$20,'試行熟悉度'!$F$7:$F$20,"未建立",0)</x:f>
        <x:v>未建立</x:v>
      </x:c>
      <x:c r="Q603" s="39" t="str">
        <x:v>依一般支援名額</x:v>
      </x:c>
    </x:row>
    <x:row r="604">
      <x:c r="A604" s="37" t="str">
        <x:v>1031</x:v>
      </x:c>
      <x:c r="B604" s="37" t="str"/>
      <x:c r="C604" s="37" t="str">
        <x:v>LJT-CROWN</x:v>
      </x:c>
      <x:c r="D604" s="37" t="str">
        <x:v>固定假牙</x:v>
      </x:c>
      <x:c r="E604" s="37" t="str">
        <x:v>一般</x:v>
      </x:c>
      <x:c r="F604" s="37" t="str">
        <x:v>一般</x:v>
      </x:c>
      <x:c r="G604" s="37" t="str">
        <x:v>COMMON-RECORD</x:v>
      </x:c>
      <x:c r="H604" s="37" t="str">
        <x:v>待確認</x:v>
      </x:c>
      <x:c r="I604" s="37" t="str">
        <x:f>_xlfn.XLOOKUP($C604&amp;"|"&amp;$G604,'李醫師能力要求'!$M$7:$M$59,'李醫師能力要求'!$K$7:$K$59,"待確認",0)</x:f>
        <x:v>待確認</x:v>
      </x:c>
      <x:c r="J604" s="37" t="str">
        <x:v>◎</x:v>
      </x:c>
      <x:c r="K604" s="37" t="str">
        <x:v>Ø</x:v>
      </x:c>
      <x:c r="L604" s="48" t="str">
        <x:f>_xlfn.XLOOKUP($A604&amp;"|"&amp;$G604,'試行能力狀態'!$L$7:$L$258,'試行能力狀態'!$E$7:$E$258,"未評估",0)</x:f>
        <x:v>未評估</x:v>
      </x:c>
      <x:c r="M604" s="48" t="str">
        <x:f>_xlfn.XLOOKUP($A604&amp;"|"&amp;$G604,'試行能力狀態'!$L$7:$L$258,'試行能力狀態'!$F$7:$F$258,"未建立",0)</x:f>
        <x:v>未建立</x:v>
      </x:c>
      <x:c r="N604" s="48" t="str">
        <x:f>IF($L604="◎","符合獨立",IF($L604="Ø","符合條件","不符合"))</x:f>
        <x:v>不符合</x:v>
      </x:c>
      <x:c r="O604" s="48" t="str">
        <x:f>_xlfn.XLOOKUP($A604&amp;"|李侑津醫師",'試行熟悉度'!$K$7:$K$20,'試行熟悉度'!$E$7:$E$20,"未評估",0)</x:f>
        <x:v>未評估</x:v>
      </x:c>
      <x:c r="P604" s="48" t="str">
        <x:f>_xlfn.XLOOKUP($A604&amp;"|李侑津醫師",'試行熟悉度'!$K$7:$K$20,'試行熟悉度'!$F$7:$F$20,"未建立",0)</x:f>
        <x:v>未建立</x:v>
      </x:c>
      <x:c r="Q604" s="39" t="str">
        <x:v>確認後才納入自動判定</x:v>
      </x:c>
    </x:row>
    <x:row r="605">
      <x:c r="A605" s="37" t="str">
        <x:v>1031</x:v>
      </x:c>
      <x:c r="B605" s="37" t="str"/>
      <x:c r="C605" s="37" t="str">
        <x:v>LJT-CROWN</x:v>
      </x:c>
      <x:c r="D605" s="37" t="str">
        <x:v>固定假牙</x:v>
      </x:c>
      <x:c r="E605" s="37" t="str">
        <x:v>一般</x:v>
      </x:c>
      <x:c r="F605" s="37" t="str">
        <x:v>一般</x:v>
      </x:c>
      <x:c r="G605" s="37" t="str">
        <x:v>COMMON-INSURANCE</x:v>
      </x:c>
      <x:c r="H605" s="37" t="str">
        <x:v>待確認</x:v>
      </x:c>
      <x:c r="I605" s="37" t="str">
        <x:f>_xlfn.XLOOKUP($C605&amp;"|"&amp;$G605,'李醫師能力要求'!$M$7:$M$59,'李醫師能力要求'!$K$7:$K$59,"待確認",0)</x:f>
        <x:v>待確認</x:v>
      </x:c>
      <x:c r="J605" s="37" t="str">
        <x:v>◎</x:v>
      </x:c>
      <x:c r="K605" s="37" t="str">
        <x:v>Ø</x:v>
      </x:c>
      <x:c r="L605" s="48" t="str">
        <x:f>_xlfn.XLOOKUP($A605&amp;"|"&amp;$G605,'試行能力狀態'!$L$7:$L$258,'試行能力狀態'!$E$7:$E$258,"未評估",0)</x:f>
        <x:v>未評估</x:v>
      </x:c>
      <x:c r="M605" s="48" t="str">
        <x:f>_xlfn.XLOOKUP($A605&amp;"|"&amp;$G605,'試行能力狀態'!$L$7:$L$258,'試行能力狀態'!$F$7:$F$258,"未建立",0)</x:f>
        <x:v>未建立</x:v>
      </x:c>
      <x:c r="N605" s="48" t="str">
        <x:f>IF($L605="◎","符合獨立",IF($L605="Ø","符合條件","不符合"))</x:f>
        <x:v>不符合</x:v>
      </x:c>
      <x:c r="O605" s="48" t="str">
        <x:f>_xlfn.XLOOKUP($A605&amp;"|李侑津醫師",'試行熟悉度'!$K$7:$K$20,'試行熟悉度'!$E$7:$E$20,"未評估",0)</x:f>
        <x:v>未評估</x:v>
      </x:c>
      <x:c r="P605" s="48" t="str">
        <x:f>_xlfn.XLOOKUP($A605&amp;"|李侑津醫師",'試行熟悉度'!$K$7:$K$20,'試行熟悉度'!$F$7:$F$20,"未建立",0)</x:f>
        <x:v>未建立</x:v>
      </x:c>
      <x:c r="Q605" s="39" t="str">
        <x:v>確認後才納入自動判定</x:v>
      </x:c>
    </x:row>
    <x:row r="606">
      <x:c r="A606" s="37" t="str">
        <x:v>1031</x:v>
      </x:c>
      <x:c r="B606" s="37" t="str"/>
      <x:c r="C606" s="37" t="str">
        <x:v>LJT-CROWN</x:v>
      </x:c>
      <x:c r="D606" s="37" t="str">
        <x:v>固定假牙</x:v>
      </x:c>
      <x:c r="E606" s="37" t="str">
        <x:v>一般</x:v>
      </x:c>
      <x:c r="F606" s="37" t="str">
        <x:v>一般</x:v>
      </x:c>
      <x:c r="G606" s="37" t="str">
        <x:v>COMMON-XRAY-RECORD</x:v>
      </x:c>
      <x:c r="H606" s="37" t="str">
        <x:v>待確認</x:v>
      </x:c>
      <x:c r="I606" s="37" t="str">
        <x:f>_xlfn.XLOOKUP($C606&amp;"|"&amp;$G606,'李醫師能力要求'!$M$7:$M$59,'李醫師能力要求'!$K$7:$K$59,"待確認",0)</x:f>
        <x:v>待確認</x:v>
      </x:c>
      <x:c r="J606" s="37" t="str">
        <x:v>◎</x:v>
      </x:c>
      <x:c r="K606" s="37" t="str">
        <x:v>Ø</x:v>
      </x:c>
      <x:c r="L606" s="48" t="str">
        <x:f>_xlfn.XLOOKUP($A606&amp;"|"&amp;$G606,'試行能力狀態'!$L$7:$L$258,'試行能力狀態'!$E$7:$E$258,"未評估",0)</x:f>
        <x:v>未評估</x:v>
      </x:c>
      <x:c r="M606" s="48" t="str">
        <x:f>_xlfn.XLOOKUP($A606&amp;"|"&amp;$G606,'試行能力狀態'!$L$7:$L$258,'試行能力狀態'!$F$7:$F$258,"未建立",0)</x:f>
        <x:v>未建立</x:v>
      </x:c>
      <x:c r="N606" s="48" t="str">
        <x:f>IF($L606="◎","符合獨立",IF($L606="Ø","符合條件","不符合"))</x:f>
        <x:v>不符合</x:v>
      </x:c>
      <x:c r="O606" s="48" t="str">
        <x:f>_xlfn.XLOOKUP($A606&amp;"|李侑津醫師",'試行熟悉度'!$K$7:$K$20,'試行熟悉度'!$E$7:$E$20,"未評估",0)</x:f>
        <x:v>未評估</x:v>
      </x:c>
      <x:c r="P606" s="48" t="str">
        <x:f>_xlfn.XLOOKUP($A606&amp;"|李侑津醫師",'試行熟悉度'!$K$7:$K$20,'試行熟悉度'!$F$7:$F$20,"未建立",0)</x:f>
        <x:v>未建立</x:v>
      </x:c>
      <x:c r="Q606" s="39" t="str">
        <x:v>確認後才納入自動判定</x:v>
      </x:c>
    </x:row>
    <x:row r="607">
      <x:c r="A607" s="37" t="str">
        <x:v>1031</x:v>
      </x:c>
      <x:c r="B607" s="37" t="str"/>
      <x:c r="C607" s="37" t="str">
        <x:v>LJT-RPD</x:v>
      </x:c>
      <x:c r="D607" s="37" t="str">
        <x:v>RPD</x:v>
      </x:c>
      <x:c r="E607" s="37" t="str">
        <x:v>一般步驟</x:v>
      </x:c>
      <x:c r="F607" s="37" t="str">
        <x:v>一般</x:v>
      </x:c>
      <x:c r="G607" s="37" t="str">
        <x:v>LJT-PREP-RPD</x:v>
      </x:c>
      <x:c r="H607" s="37" t="str">
        <x:v>必備</x:v>
      </x:c>
      <x:c r="I607" s="37" t="str">
        <x:f>_xlfn.XLOOKUP($C607&amp;"|"&amp;$G607,'李醫師能力要求'!$M$7:$M$59,'李醫師能力要求'!$K$7:$K$59,"待確認",0)</x:f>
        <x:v>已確認</x:v>
      </x:c>
      <x:c r="J607" s="37" t="str">
        <x:v>◎</x:v>
      </x:c>
      <x:c r="K607" s="37" t="str">
        <x:v>Ø</x:v>
      </x:c>
      <x:c r="L607" s="48" t="str">
        <x:f>_xlfn.XLOOKUP($A607&amp;"|"&amp;$G607,'試行能力狀態'!$L$7:$L$258,'試行能力狀態'!$E$7:$E$258,"未評估",0)</x:f>
        <x:v>未評估</x:v>
      </x:c>
      <x:c r="M607" s="48" t="str">
        <x:f>_xlfn.XLOOKUP($A607&amp;"|"&amp;$G607,'試行能力狀態'!$L$7:$L$258,'試行能力狀態'!$F$7:$F$258,"未建立",0)</x:f>
        <x:v>未建立</x:v>
      </x:c>
      <x:c r="N607" s="48" t="str">
        <x:f>IF($L607="◎","符合獨立",IF($L607="Ø","符合條件","不符合"))</x:f>
        <x:v>不符合</x:v>
      </x:c>
      <x:c r="O607" s="48" t="str">
        <x:f>_xlfn.XLOOKUP($A607&amp;"|李侑津醫師",'試行熟悉度'!$K$7:$K$20,'試行熟悉度'!$E$7:$E$20,"未評估",0)</x:f>
        <x:v>未評估</x:v>
      </x:c>
      <x:c r="P607" s="48" t="str">
        <x:f>_xlfn.XLOOKUP($A607&amp;"|李侑津醫師",'試行熟悉度'!$K$7:$K$20,'試行熟悉度'!$F$7:$F$20,"未建立",0)</x:f>
        <x:v>未建立</x:v>
      </x:c>
      <x:c r="Q607" s="39" t="str">
        <x:v>依一般支援名額</x:v>
      </x:c>
    </x:row>
    <x:row r="608">
      <x:c r="A608" s="37" t="str">
        <x:v>1031</x:v>
      </x:c>
      <x:c r="B608" s="37" t="str"/>
      <x:c r="C608" s="37" t="str">
        <x:v>LJT-RPD</x:v>
      </x:c>
      <x:c r="D608" s="37" t="str">
        <x:v>RPD</x:v>
      </x:c>
      <x:c r="E608" s="37" t="str">
        <x:v>一般步驟</x:v>
      </x:c>
      <x:c r="F608" s="37" t="str">
        <x:v>一般</x:v>
      </x:c>
      <x:c r="G608" s="37" t="str">
        <x:v>COMMON-RECORD</x:v>
      </x:c>
      <x:c r="H608" s="37" t="str">
        <x:v>待確認</x:v>
      </x:c>
      <x:c r="I608" s="37" t="str">
        <x:f>_xlfn.XLOOKUP($C608&amp;"|"&amp;$G608,'李醫師能力要求'!$M$7:$M$59,'李醫師能力要求'!$K$7:$K$59,"待確認",0)</x:f>
        <x:v>待確認</x:v>
      </x:c>
      <x:c r="J608" s="37" t="str">
        <x:v>◎</x:v>
      </x:c>
      <x:c r="K608" s="37" t="str">
        <x:v>Ø</x:v>
      </x:c>
      <x:c r="L608" s="48" t="str">
        <x:f>_xlfn.XLOOKUP($A608&amp;"|"&amp;$G608,'試行能力狀態'!$L$7:$L$258,'試行能力狀態'!$E$7:$E$258,"未評估",0)</x:f>
        <x:v>未評估</x:v>
      </x:c>
      <x:c r="M608" s="48" t="str">
        <x:f>_xlfn.XLOOKUP($A608&amp;"|"&amp;$G608,'試行能力狀態'!$L$7:$L$258,'試行能力狀態'!$F$7:$F$258,"未建立",0)</x:f>
        <x:v>未建立</x:v>
      </x:c>
      <x:c r="N608" s="48" t="str">
        <x:f>IF($L608="◎","符合獨立",IF($L608="Ø","符合條件","不符合"))</x:f>
        <x:v>不符合</x:v>
      </x:c>
      <x:c r="O608" s="48" t="str">
        <x:f>_xlfn.XLOOKUP($A608&amp;"|李侑津醫師",'試行熟悉度'!$K$7:$K$20,'試行熟悉度'!$E$7:$E$20,"未評估",0)</x:f>
        <x:v>未評估</x:v>
      </x:c>
      <x:c r="P608" s="48" t="str">
        <x:f>_xlfn.XLOOKUP($A608&amp;"|李侑津醫師",'試行熟悉度'!$K$7:$K$20,'試行熟悉度'!$F$7:$F$20,"未建立",0)</x:f>
        <x:v>未建立</x:v>
      </x:c>
      <x:c r="Q608" s="39" t="str">
        <x:v>確認後才納入自動判定</x:v>
      </x:c>
    </x:row>
    <x:row r="609">
      <x:c r="A609" s="37" t="str">
        <x:v>1031</x:v>
      </x:c>
      <x:c r="B609" s="37" t="str"/>
      <x:c r="C609" s="37" t="str">
        <x:v>LJT-RPD</x:v>
      </x:c>
      <x:c r="D609" s="37" t="str">
        <x:v>RPD</x:v>
      </x:c>
      <x:c r="E609" s="37" t="str">
        <x:v>一般步驟</x:v>
      </x:c>
      <x:c r="F609" s="37" t="str">
        <x:v>一般</x:v>
      </x:c>
      <x:c r="G609" s="37" t="str">
        <x:v>COMMON-INSURANCE</x:v>
      </x:c>
      <x:c r="H609" s="37" t="str">
        <x:v>待確認</x:v>
      </x:c>
      <x:c r="I609" s="37" t="str">
        <x:f>_xlfn.XLOOKUP($C609&amp;"|"&amp;$G609,'李醫師能力要求'!$M$7:$M$59,'李醫師能力要求'!$K$7:$K$59,"待確認",0)</x:f>
        <x:v>待確認</x:v>
      </x:c>
      <x:c r="J609" s="37" t="str">
        <x:v>◎</x:v>
      </x:c>
      <x:c r="K609" s="37" t="str">
        <x:v>Ø</x:v>
      </x:c>
      <x:c r="L609" s="48" t="str">
        <x:f>_xlfn.XLOOKUP($A609&amp;"|"&amp;$G609,'試行能力狀態'!$L$7:$L$258,'試行能力狀態'!$E$7:$E$258,"未評估",0)</x:f>
        <x:v>未評估</x:v>
      </x:c>
      <x:c r="M609" s="48" t="str">
        <x:f>_xlfn.XLOOKUP($A609&amp;"|"&amp;$G609,'試行能力狀態'!$L$7:$L$258,'試行能力狀態'!$F$7:$F$258,"未建立",0)</x:f>
        <x:v>未建立</x:v>
      </x:c>
      <x:c r="N609" s="48" t="str">
        <x:f>IF($L609="◎","符合獨立",IF($L609="Ø","符合條件","不符合"))</x:f>
        <x:v>不符合</x:v>
      </x:c>
      <x:c r="O609" s="48" t="str">
        <x:f>_xlfn.XLOOKUP($A609&amp;"|李侑津醫師",'試行熟悉度'!$K$7:$K$20,'試行熟悉度'!$E$7:$E$20,"未評估",0)</x:f>
        <x:v>未評估</x:v>
      </x:c>
      <x:c r="P609" s="48" t="str">
        <x:f>_xlfn.XLOOKUP($A609&amp;"|李侑津醫師",'試行熟悉度'!$K$7:$K$20,'試行熟悉度'!$F$7:$F$20,"未建立",0)</x:f>
        <x:v>未建立</x:v>
      </x:c>
      <x:c r="Q609" s="39" t="str">
        <x:v>確認後才納入自動判定</x:v>
      </x:c>
    </x:row>
    <x:row r="610">
      <x:c r="A610" s="37" t="str">
        <x:v>1031</x:v>
      </x:c>
      <x:c r="B610" s="37" t="str"/>
      <x:c r="C610" s="37" t="str">
        <x:v>LJT-RPD</x:v>
      </x:c>
      <x:c r="D610" s="37" t="str">
        <x:v>RPD</x:v>
      </x:c>
      <x:c r="E610" s="37" t="str">
        <x:v>一般步驟</x:v>
      </x:c>
      <x:c r="F610" s="37" t="str">
        <x:v>一般</x:v>
      </x:c>
      <x:c r="G610" s="37" t="str">
        <x:v>COMMON-XRAY-RECORD</x:v>
      </x:c>
      <x:c r="H610" s="37" t="str">
        <x:v>待確認</x:v>
      </x:c>
      <x:c r="I610" s="37" t="str">
        <x:f>_xlfn.XLOOKUP($C610&amp;"|"&amp;$G610,'李醫師能力要求'!$M$7:$M$59,'李醫師能力要求'!$K$7:$K$59,"待確認",0)</x:f>
        <x:v>待確認</x:v>
      </x:c>
      <x:c r="J610" s="37" t="str">
        <x:v>◎</x:v>
      </x:c>
      <x:c r="K610" s="37" t="str">
        <x:v>Ø</x:v>
      </x:c>
      <x:c r="L610" s="48" t="str">
        <x:f>_xlfn.XLOOKUP($A610&amp;"|"&amp;$G610,'試行能力狀態'!$L$7:$L$258,'試行能力狀態'!$E$7:$E$258,"未評估",0)</x:f>
        <x:v>未評估</x:v>
      </x:c>
      <x:c r="M610" s="48" t="str">
        <x:f>_xlfn.XLOOKUP($A610&amp;"|"&amp;$G610,'試行能力狀態'!$L$7:$L$258,'試行能力狀態'!$F$7:$F$258,"未建立",0)</x:f>
        <x:v>未建立</x:v>
      </x:c>
      <x:c r="N610" s="48" t="str">
        <x:f>IF($L610="◎","符合獨立",IF($L610="Ø","符合條件","不符合"))</x:f>
        <x:v>不符合</x:v>
      </x:c>
      <x:c r="O610" s="48" t="str">
        <x:f>_xlfn.XLOOKUP($A610&amp;"|李侑津醫師",'試行熟悉度'!$K$7:$K$20,'試行熟悉度'!$E$7:$E$20,"未評估",0)</x:f>
        <x:v>未評估</x:v>
      </x:c>
      <x:c r="P610" s="48" t="str">
        <x:f>_xlfn.XLOOKUP($A610&amp;"|李侑津醫師",'試行熟悉度'!$K$7:$K$20,'試行熟悉度'!$F$7:$F$20,"未建立",0)</x:f>
        <x:v>未建立</x:v>
      </x:c>
      <x:c r="Q610" s="39" t="str">
        <x:v>確認後才納入自動判定</x:v>
      </x:c>
    </x:row>
    <x:row r="611">
      <x:c r="A611" s="37" t="str">
        <x:v>1031</x:v>
      </x:c>
      <x:c r="B611" s="37" t="str"/>
      <x:c r="C611" s="37" t="str">
        <x:v>LJT-RPD-FINAL</x:v>
      </x:c>
      <x:c r="D611" s="37" t="str">
        <x:v>RPD</x:v>
      </x:c>
      <x:c r="E611" s="37" t="str">
        <x:v>印最終模</x:v>
      </x:c>
      <x:c r="F611" s="37" t="str">
        <x:v>特殊階段</x:v>
      </x:c>
      <x:c r="G611" s="37" t="str">
        <x:v>LJT-PREP-RPD</x:v>
      </x:c>
      <x:c r="H611" s="37" t="str">
        <x:v>必備</x:v>
      </x:c>
      <x:c r="I611" s="37" t="str">
        <x:f>_xlfn.XLOOKUP($C611&amp;"|"&amp;$G611,'李醫師能力要求'!$M$7:$M$59,'李醫師能力要求'!$K$7:$K$59,"待確認",0)</x:f>
        <x:v>已確認</x:v>
      </x:c>
      <x:c r="J611" s="37" t="str">
        <x:v>◎</x:v>
      </x:c>
      <x:c r="K611" s="37" t="str">
        <x:v>Ø</x:v>
      </x:c>
      <x:c r="L611" s="48" t="str">
        <x:f>_xlfn.XLOOKUP($A611&amp;"|"&amp;$G611,'試行能力狀態'!$L$7:$L$258,'試行能力狀態'!$E$7:$E$258,"未評估",0)</x:f>
        <x:v>未評估</x:v>
      </x:c>
      <x:c r="M611" s="48" t="str">
        <x:f>_xlfn.XLOOKUP($A611&amp;"|"&amp;$G611,'試行能力狀態'!$L$7:$L$258,'試行能力狀態'!$F$7:$F$258,"未建立",0)</x:f>
        <x:v>未建立</x:v>
      </x:c>
      <x:c r="N611" s="48" t="str">
        <x:f>IF($L611="◎","符合獨立",IF($L611="Ø","符合條件","不符合"))</x:f>
        <x:v>不符合</x:v>
      </x:c>
      <x:c r="O611" s="48" t="str">
        <x:f>_xlfn.XLOOKUP($A611&amp;"|李侑津醫師",'試行熟悉度'!$K$7:$K$20,'試行熟悉度'!$E$7:$E$20,"未評估",0)</x:f>
        <x:v>未評估</x:v>
      </x:c>
      <x:c r="P611" s="48" t="str">
        <x:f>_xlfn.XLOOKUP($A611&amp;"|李侑津醫師",'試行熟悉度'!$K$7:$K$20,'試行熟悉度'!$F$7:$F$20,"未建立",0)</x:f>
        <x:v>未建立</x:v>
      </x:c>
      <x:c r="Q611" s="39" t="str">
        <x:v>依一般支援名額</x:v>
      </x:c>
    </x:row>
    <x:row r="612">
      <x:c r="A612" s="37" t="str">
        <x:v>1031</x:v>
      </x:c>
      <x:c r="B612" s="37" t="str"/>
      <x:c r="C612" s="37" t="str">
        <x:v>LJT-RPD-FINAL</x:v>
      </x:c>
      <x:c r="D612" s="37" t="str">
        <x:v>RPD</x:v>
      </x:c>
      <x:c r="E612" s="37" t="str">
        <x:v>印最終模</x:v>
      </x:c>
      <x:c r="F612" s="37" t="str">
        <x:v>特殊階段</x:v>
      </x:c>
      <x:c r="G612" s="37" t="str">
        <x:v>COMMON-RECORD</x:v>
      </x:c>
      <x:c r="H612" s="37" t="str">
        <x:v>待確認</x:v>
      </x:c>
      <x:c r="I612" s="37" t="str">
        <x:f>_xlfn.XLOOKUP($C612&amp;"|"&amp;$G612,'李醫師能力要求'!$M$7:$M$59,'李醫師能力要求'!$K$7:$K$59,"待確認",0)</x:f>
        <x:v>待確認</x:v>
      </x:c>
      <x:c r="J612" s="37" t="str">
        <x:v>◎</x:v>
      </x:c>
      <x:c r="K612" s="37" t="str">
        <x:v>Ø</x:v>
      </x:c>
      <x:c r="L612" s="48" t="str">
        <x:f>_xlfn.XLOOKUP($A612&amp;"|"&amp;$G612,'試行能力狀態'!$L$7:$L$258,'試行能力狀態'!$E$7:$E$258,"未評估",0)</x:f>
        <x:v>未評估</x:v>
      </x:c>
      <x:c r="M612" s="48" t="str">
        <x:f>_xlfn.XLOOKUP($A612&amp;"|"&amp;$G612,'試行能力狀態'!$L$7:$L$258,'試行能力狀態'!$F$7:$F$258,"未建立",0)</x:f>
        <x:v>未建立</x:v>
      </x:c>
      <x:c r="N612" s="48" t="str">
        <x:f>IF($L612="◎","符合獨立",IF($L612="Ø","符合條件","不符合"))</x:f>
        <x:v>不符合</x:v>
      </x:c>
      <x:c r="O612" s="48" t="str">
        <x:f>_xlfn.XLOOKUP($A612&amp;"|李侑津醫師",'試行熟悉度'!$K$7:$K$20,'試行熟悉度'!$E$7:$E$20,"未評估",0)</x:f>
        <x:v>未評估</x:v>
      </x:c>
      <x:c r="P612" s="48" t="str">
        <x:f>_xlfn.XLOOKUP($A612&amp;"|李侑津醫師",'試行熟悉度'!$K$7:$K$20,'試行熟悉度'!$F$7:$F$20,"未建立",0)</x:f>
        <x:v>未建立</x:v>
      </x:c>
      <x:c r="Q612" s="39" t="str">
        <x:v>確認後才納入自動判定</x:v>
      </x:c>
    </x:row>
    <x:row r="613">
      <x:c r="A613" s="37" t="str">
        <x:v>1031</x:v>
      </x:c>
      <x:c r="B613" s="37" t="str"/>
      <x:c r="C613" s="37" t="str">
        <x:v>LJT-RPD-FINAL</x:v>
      </x:c>
      <x:c r="D613" s="37" t="str">
        <x:v>RPD</x:v>
      </x:c>
      <x:c r="E613" s="37" t="str">
        <x:v>印最終模</x:v>
      </x:c>
      <x:c r="F613" s="37" t="str">
        <x:v>特殊階段</x:v>
      </x:c>
      <x:c r="G613" s="37" t="str">
        <x:v>COMMON-INSURANCE</x:v>
      </x:c>
      <x:c r="H613" s="37" t="str">
        <x:v>待確認</x:v>
      </x:c>
      <x:c r="I613" s="37" t="str">
        <x:f>_xlfn.XLOOKUP($C613&amp;"|"&amp;$G613,'李醫師能力要求'!$M$7:$M$59,'李醫師能力要求'!$K$7:$K$59,"待確認",0)</x:f>
        <x:v>待確認</x:v>
      </x:c>
      <x:c r="J613" s="37" t="str">
        <x:v>◎</x:v>
      </x:c>
      <x:c r="K613" s="37" t="str">
        <x:v>Ø</x:v>
      </x:c>
      <x:c r="L613" s="48" t="str">
        <x:f>_xlfn.XLOOKUP($A613&amp;"|"&amp;$G613,'試行能力狀態'!$L$7:$L$258,'試行能力狀態'!$E$7:$E$258,"未評估",0)</x:f>
        <x:v>未評估</x:v>
      </x:c>
      <x:c r="M613" s="48" t="str">
        <x:f>_xlfn.XLOOKUP($A613&amp;"|"&amp;$G613,'試行能力狀態'!$L$7:$L$258,'試行能力狀態'!$F$7:$F$258,"未建立",0)</x:f>
        <x:v>未建立</x:v>
      </x:c>
      <x:c r="N613" s="48" t="str">
        <x:f>IF($L613="◎","符合獨立",IF($L613="Ø","符合條件","不符合"))</x:f>
        <x:v>不符合</x:v>
      </x:c>
      <x:c r="O613" s="48" t="str">
        <x:f>_xlfn.XLOOKUP($A613&amp;"|李侑津醫師",'試行熟悉度'!$K$7:$K$20,'試行熟悉度'!$E$7:$E$20,"未評估",0)</x:f>
        <x:v>未評估</x:v>
      </x:c>
      <x:c r="P613" s="48" t="str">
        <x:f>_xlfn.XLOOKUP($A613&amp;"|李侑津醫師",'試行熟悉度'!$K$7:$K$20,'試行熟悉度'!$F$7:$F$20,"未建立",0)</x:f>
        <x:v>未建立</x:v>
      </x:c>
      <x:c r="Q613" s="39" t="str">
        <x:v>確認後才納入自動判定</x:v>
      </x:c>
    </x:row>
    <x:row r="614">
      <x:c r="A614" s="37" t="str">
        <x:v>1031</x:v>
      </x:c>
      <x:c r="B614" s="37" t="str"/>
      <x:c r="C614" s="37" t="str">
        <x:v>LJT-RPD-FINAL</x:v>
      </x:c>
      <x:c r="D614" s="37" t="str">
        <x:v>RPD</x:v>
      </x:c>
      <x:c r="E614" s="37" t="str">
        <x:v>印最終模</x:v>
      </x:c>
      <x:c r="F614" s="37" t="str">
        <x:v>特殊階段</x:v>
      </x:c>
      <x:c r="G614" s="37" t="str">
        <x:v>COMMON-XRAY-RECORD</x:v>
      </x:c>
      <x:c r="H614" s="37" t="str">
        <x:v>待確認</x:v>
      </x:c>
      <x:c r="I614" s="37" t="str">
        <x:f>_xlfn.XLOOKUP($C614&amp;"|"&amp;$G614,'李醫師能力要求'!$M$7:$M$59,'李醫師能力要求'!$K$7:$K$59,"待確認",0)</x:f>
        <x:v>待確認</x:v>
      </x:c>
      <x:c r="J614" s="37" t="str">
        <x:v>◎</x:v>
      </x:c>
      <x:c r="K614" s="37" t="str">
        <x:v>Ø</x:v>
      </x:c>
      <x:c r="L614" s="48" t="str">
        <x:f>_xlfn.XLOOKUP($A614&amp;"|"&amp;$G614,'試行能力狀態'!$L$7:$L$258,'試行能力狀態'!$E$7:$E$258,"未評估",0)</x:f>
        <x:v>未評估</x:v>
      </x:c>
      <x:c r="M614" s="48" t="str">
        <x:f>_xlfn.XLOOKUP($A614&amp;"|"&amp;$G614,'試行能力狀態'!$L$7:$L$258,'試行能力狀態'!$F$7:$F$258,"未建立",0)</x:f>
        <x:v>未建立</x:v>
      </x:c>
      <x:c r="N614" s="48" t="str">
        <x:f>IF($L614="◎","符合獨立",IF($L614="Ø","符合條件","不符合"))</x:f>
        <x:v>不符合</x:v>
      </x:c>
      <x:c r="O614" s="48" t="str">
        <x:f>_xlfn.XLOOKUP($A614&amp;"|李侑津醫師",'試行熟悉度'!$K$7:$K$20,'試行熟悉度'!$E$7:$E$20,"未評估",0)</x:f>
        <x:v>未評估</x:v>
      </x:c>
      <x:c r="P614" s="48" t="str">
        <x:f>_xlfn.XLOOKUP($A614&amp;"|李侑津醫師",'試行熟悉度'!$K$7:$K$20,'試行熟悉度'!$F$7:$F$20,"未建立",0)</x:f>
        <x:v>未建立</x:v>
      </x:c>
      <x:c r="Q614" s="39" t="str">
        <x:v>確認後才納入自動判定</x:v>
      </x:c>
    </x:row>
    <x:row r="615">
      <x:c r="A615" s="37" t="str">
        <x:v>1031</x:v>
      </x:c>
      <x:c r="B615" s="37" t="str"/>
      <x:c r="C615" s="37" t="str">
        <x:v>LJT-AIRPOLISH</x:v>
      </x:c>
      <x:c r="D615" s="37" t="str">
        <x:v>噴砂美白</x:v>
      </x:c>
      <x:c r="E615" s="37" t="str">
        <x:v>一般</x:v>
      </x:c>
      <x:c r="F615" s="37" t="str">
        <x:v>一般</x:v>
      </x:c>
      <x:c r="G615" s="37" t="str">
        <x:v>LJT-PREP-AIRPOLISH</x:v>
      </x:c>
      <x:c r="H615" s="37" t="str">
        <x:v>必備</x:v>
      </x:c>
      <x:c r="I615" s="37" t="str">
        <x:f>_xlfn.XLOOKUP($C615&amp;"|"&amp;$G615,'李醫師能力要求'!$M$7:$M$59,'李醫師能力要求'!$K$7:$K$59,"待確認",0)</x:f>
        <x:v>已確認</x:v>
      </x:c>
      <x:c r="J615" s="37" t="str">
        <x:v>◎</x:v>
      </x:c>
      <x:c r="K615" s="37" t="str">
        <x:v>Ø</x:v>
      </x:c>
      <x:c r="L615" s="48" t="str">
        <x:f>_xlfn.XLOOKUP($A615&amp;"|"&amp;$G615,'試行能力狀態'!$L$7:$L$258,'試行能力狀態'!$E$7:$E$258,"未評估",0)</x:f>
        <x:v>未評估</x:v>
      </x:c>
      <x:c r="M615" s="48" t="str">
        <x:f>_xlfn.XLOOKUP($A615&amp;"|"&amp;$G615,'試行能力狀態'!$L$7:$L$258,'試行能力狀態'!$F$7:$F$258,"未建立",0)</x:f>
        <x:v>未建立</x:v>
      </x:c>
      <x:c r="N615" s="48" t="str">
        <x:f>IF($L615="◎","符合獨立",IF($L615="Ø","符合條件","不符合"))</x:f>
        <x:v>不符合</x:v>
      </x:c>
      <x:c r="O615" s="48" t="str">
        <x:f>_xlfn.XLOOKUP($A615&amp;"|李侑津醫師",'試行熟悉度'!$K$7:$K$20,'試行熟悉度'!$E$7:$E$20,"未評估",0)</x:f>
        <x:v>未評估</x:v>
      </x:c>
      <x:c r="P615" s="48" t="str">
        <x:f>_xlfn.XLOOKUP($A615&amp;"|李侑津醫師",'試行熟悉度'!$K$7:$K$20,'試行熟悉度'!$F$7:$F$20,"未建立",0)</x:f>
        <x:v>未建立</x:v>
      </x:c>
      <x:c r="Q615" s="39" t="str">
        <x:v>依一般支援名額</x:v>
      </x:c>
    </x:row>
    <x:row r="616">
      <x:c r="A616" s="37" t="str">
        <x:v>1031</x:v>
      </x:c>
      <x:c r="B616" s="37" t="str"/>
      <x:c r="C616" s="37" t="str">
        <x:v>LJT-AIRPOLISH</x:v>
      </x:c>
      <x:c r="D616" s="37" t="str">
        <x:v>噴砂美白</x:v>
      </x:c>
      <x:c r="E616" s="37" t="str">
        <x:v>一般</x:v>
      </x:c>
      <x:c r="F616" s="37" t="str">
        <x:v>一般</x:v>
      </x:c>
      <x:c r="G616" s="37" t="str">
        <x:v>COMMON-RECORD</x:v>
      </x:c>
      <x:c r="H616" s="37" t="str">
        <x:v>待確認</x:v>
      </x:c>
      <x:c r="I616" s="37" t="str">
        <x:f>_xlfn.XLOOKUP($C616&amp;"|"&amp;$G616,'李醫師能力要求'!$M$7:$M$59,'李醫師能力要求'!$K$7:$K$59,"待確認",0)</x:f>
        <x:v>待確認</x:v>
      </x:c>
      <x:c r="J616" s="37" t="str">
        <x:v>◎</x:v>
      </x:c>
      <x:c r="K616" s="37" t="str">
        <x:v>Ø</x:v>
      </x:c>
      <x:c r="L616" s="48" t="str">
        <x:f>_xlfn.XLOOKUP($A616&amp;"|"&amp;$G616,'試行能力狀態'!$L$7:$L$258,'試行能力狀態'!$E$7:$E$258,"未評估",0)</x:f>
        <x:v>未評估</x:v>
      </x:c>
      <x:c r="M616" s="48" t="str">
        <x:f>_xlfn.XLOOKUP($A616&amp;"|"&amp;$G616,'試行能力狀態'!$L$7:$L$258,'試行能力狀態'!$F$7:$F$258,"未建立",0)</x:f>
        <x:v>未建立</x:v>
      </x:c>
      <x:c r="N616" s="48" t="str">
        <x:f>IF($L616="◎","符合獨立",IF($L616="Ø","符合條件","不符合"))</x:f>
        <x:v>不符合</x:v>
      </x:c>
      <x:c r="O616" s="48" t="str">
        <x:f>_xlfn.XLOOKUP($A616&amp;"|李侑津醫師",'試行熟悉度'!$K$7:$K$20,'試行熟悉度'!$E$7:$E$20,"未評估",0)</x:f>
        <x:v>未評估</x:v>
      </x:c>
      <x:c r="P616" s="48" t="str">
        <x:f>_xlfn.XLOOKUP($A616&amp;"|李侑津醫師",'試行熟悉度'!$K$7:$K$20,'試行熟悉度'!$F$7:$F$20,"未建立",0)</x:f>
        <x:v>未建立</x:v>
      </x:c>
      <x:c r="Q616" s="39" t="str">
        <x:v>確認後才納入自動判定</x:v>
      </x:c>
    </x:row>
    <x:row r="617">
      <x:c r="A617" s="37" t="str">
        <x:v>1031</x:v>
      </x:c>
      <x:c r="B617" s="37" t="str"/>
      <x:c r="C617" s="37" t="str">
        <x:v>LJT-AIRPOLISH</x:v>
      </x:c>
      <x:c r="D617" s="37" t="str">
        <x:v>噴砂美白</x:v>
      </x:c>
      <x:c r="E617" s="37" t="str">
        <x:v>一般</x:v>
      </x:c>
      <x:c r="F617" s="37" t="str">
        <x:v>一般</x:v>
      </x:c>
      <x:c r="G617" s="37" t="str">
        <x:v>COMMON-INSURANCE</x:v>
      </x:c>
      <x:c r="H617" s="37" t="str">
        <x:v>待確認</x:v>
      </x:c>
      <x:c r="I617" s="37" t="str">
        <x:f>_xlfn.XLOOKUP($C617&amp;"|"&amp;$G617,'李醫師能力要求'!$M$7:$M$59,'李醫師能力要求'!$K$7:$K$59,"待確認",0)</x:f>
        <x:v>待確認</x:v>
      </x:c>
      <x:c r="J617" s="37" t="str">
        <x:v>◎</x:v>
      </x:c>
      <x:c r="K617" s="37" t="str">
        <x:v>Ø</x:v>
      </x:c>
      <x:c r="L617" s="48" t="str">
        <x:f>_xlfn.XLOOKUP($A617&amp;"|"&amp;$G617,'試行能力狀態'!$L$7:$L$258,'試行能力狀態'!$E$7:$E$258,"未評估",0)</x:f>
        <x:v>未評估</x:v>
      </x:c>
      <x:c r="M617" s="48" t="str">
        <x:f>_xlfn.XLOOKUP($A617&amp;"|"&amp;$G617,'試行能力狀態'!$L$7:$L$258,'試行能力狀態'!$F$7:$F$258,"未建立",0)</x:f>
        <x:v>未建立</x:v>
      </x:c>
      <x:c r="N617" s="48" t="str">
        <x:f>IF($L617="◎","符合獨立",IF($L617="Ø","符合條件","不符合"))</x:f>
        <x:v>不符合</x:v>
      </x:c>
      <x:c r="O617" s="48" t="str">
        <x:f>_xlfn.XLOOKUP($A617&amp;"|李侑津醫師",'試行熟悉度'!$K$7:$K$20,'試行熟悉度'!$E$7:$E$20,"未評估",0)</x:f>
        <x:v>未評估</x:v>
      </x:c>
      <x:c r="P617" s="48" t="str">
        <x:f>_xlfn.XLOOKUP($A617&amp;"|李侑津醫師",'試行熟悉度'!$K$7:$K$20,'試行熟悉度'!$F$7:$F$20,"未建立",0)</x:f>
        <x:v>未建立</x:v>
      </x:c>
      <x:c r="Q617" s="39" t="str">
        <x:v>確認後才納入自動判定</x:v>
      </x:c>
    </x:row>
    <x:row r="618">
      <x:c r="A618" s="37" t="str">
        <x:v>1031</x:v>
      </x:c>
      <x:c r="B618" s="37" t="str"/>
      <x:c r="C618" s="37" t="str">
        <x:v>LJT-AIRPOLISH</x:v>
      </x:c>
      <x:c r="D618" s="37" t="str">
        <x:v>噴砂美白</x:v>
      </x:c>
      <x:c r="E618" s="37" t="str">
        <x:v>一般</x:v>
      </x:c>
      <x:c r="F618" s="37" t="str">
        <x:v>一般</x:v>
      </x:c>
      <x:c r="G618" s="37" t="str">
        <x:v>COMMON-XRAY-RECORD</x:v>
      </x:c>
      <x:c r="H618" s="37" t="str">
        <x:v>待確認</x:v>
      </x:c>
      <x:c r="I618" s="37" t="str">
        <x:f>_xlfn.XLOOKUP($C618&amp;"|"&amp;$G618,'李醫師能力要求'!$M$7:$M$59,'李醫師能力要求'!$K$7:$K$59,"待確認",0)</x:f>
        <x:v>待確認</x:v>
      </x:c>
      <x:c r="J618" s="37" t="str">
        <x:v>◎</x:v>
      </x:c>
      <x:c r="K618" s="37" t="str">
        <x:v>Ø</x:v>
      </x:c>
      <x:c r="L618" s="48" t="str">
        <x:f>_xlfn.XLOOKUP($A618&amp;"|"&amp;$G618,'試行能力狀態'!$L$7:$L$258,'試行能力狀態'!$E$7:$E$258,"未評估",0)</x:f>
        <x:v>未評估</x:v>
      </x:c>
      <x:c r="M618" s="48" t="str">
        <x:f>_xlfn.XLOOKUP($A618&amp;"|"&amp;$G618,'試行能力狀態'!$L$7:$L$258,'試行能力狀態'!$F$7:$F$258,"未建立",0)</x:f>
        <x:v>未建立</x:v>
      </x:c>
      <x:c r="N618" s="48" t="str">
        <x:f>IF($L618="◎","符合獨立",IF($L618="Ø","符合條件","不符合"))</x:f>
        <x:v>不符合</x:v>
      </x:c>
      <x:c r="O618" s="48" t="str">
        <x:f>_xlfn.XLOOKUP($A618&amp;"|李侑津醫師",'試行熟悉度'!$K$7:$K$20,'試行熟悉度'!$E$7:$E$20,"未評估",0)</x:f>
        <x:v>未評估</x:v>
      </x:c>
      <x:c r="P618" s="48" t="str">
        <x:f>_xlfn.XLOOKUP($A618&amp;"|李侑津醫師",'試行熟悉度'!$K$7:$K$20,'試行熟悉度'!$F$7:$F$20,"未建立",0)</x:f>
        <x:v>未建立</x:v>
      </x:c>
      <x:c r="Q618" s="39" t="str">
        <x:v>確認後才納入自動判定</x:v>
      </x:c>
    </x:row>
    <x:row r="619">
      <x:c r="A619" s="37" t="str">
        <x:v>1031</x:v>
      </x:c>
      <x:c r="B619" s="37" t="str"/>
      <x:c r="C619" s="37" t="str">
        <x:v>LJT-PERIOSURG</x:v>
      </x:c>
      <x:c r="D619" s="37" t="str">
        <x:v>牙周手術</x:v>
      </x:c>
      <x:c r="E619" s="37" t="str">
        <x:v>一般</x:v>
      </x:c>
      <x:c r="F619" s="37" t="str">
        <x:v>高複雜度</x:v>
      </x:c>
      <x:c r="G619" s="37" t="str">
        <x:v>LJT-PREP-PERIOSURG</x:v>
      </x:c>
      <x:c r="H619" s="37" t="str">
        <x:v>必備</x:v>
      </x:c>
      <x:c r="I619" s="37" t="str">
        <x:f>_xlfn.XLOOKUP($C619&amp;"|"&amp;$G619,'李醫師能力要求'!$M$7:$M$59,'李醫師能力要求'!$K$7:$K$59,"待確認",0)</x:f>
        <x:v>已確認</x:v>
      </x:c>
      <x:c r="J619" s="37" t="str">
        <x:v>◎</x:v>
      </x:c>
      <x:c r="K619" s="37" t="str">
        <x:v>Ø</x:v>
      </x:c>
      <x:c r="L619" s="48" t="str">
        <x:f>_xlfn.XLOOKUP($A619&amp;"|"&amp;$G619,'試行能力狀態'!$L$7:$L$258,'試行能力狀態'!$E$7:$E$258,"未評估",0)</x:f>
        <x:v>未評估</x:v>
      </x:c>
      <x:c r="M619" s="48" t="str">
        <x:f>_xlfn.XLOOKUP($A619&amp;"|"&amp;$G619,'試行能力狀態'!$L$7:$L$258,'試行能力狀態'!$F$7:$F$258,"未建立",0)</x:f>
        <x:v>未建立</x:v>
      </x:c>
      <x:c r="N619" s="48" t="str">
        <x:f>IF($L619="◎","符合獨立",IF($L619="Ø","符合條件","不符合"))</x:f>
        <x:v>不符合</x:v>
      </x:c>
      <x:c r="O619" s="48" t="str">
        <x:f>_xlfn.XLOOKUP($A619&amp;"|李侑津醫師",'試行熟悉度'!$K$7:$K$20,'試行熟悉度'!$E$7:$E$20,"未評估",0)</x:f>
        <x:v>未評估</x:v>
      </x:c>
      <x:c r="P619" s="48" t="str">
        <x:f>_xlfn.XLOOKUP($A619&amp;"|李侑津醫師",'試行熟悉度'!$K$7:$K$20,'試行熟悉度'!$F$7:$F$20,"未建立",0)</x:f>
        <x:v>未建立</x:v>
      </x:c>
      <x:c r="Q619" s="39" t="str">
        <x:v>Ø 時完整支援者 1:1</x:v>
      </x:c>
    </x:row>
    <x:row r="620">
      <x:c r="A620" s="37" t="str">
        <x:v>1031</x:v>
      </x:c>
      <x:c r="B620" s="37" t="str"/>
      <x:c r="C620" s="37" t="str">
        <x:v>LJT-PERIOSURG</x:v>
      </x:c>
      <x:c r="D620" s="37" t="str">
        <x:v>牙周手術</x:v>
      </x:c>
      <x:c r="E620" s="37" t="str">
        <x:v>一般</x:v>
      </x:c>
      <x:c r="F620" s="37" t="str">
        <x:v>高複雜度</x:v>
      </x:c>
      <x:c r="G620" s="37" t="str">
        <x:v>COMMON-RECORD</x:v>
      </x:c>
      <x:c r="H620" s="37" t="str">
        <x:v>待確認</x:v>
      </x:c>
      <x:c r="I620" s="37" t="str">
        <x:f>_xlfn.XLOOKUP($C620&amp;"|"&amp;$G620,'李醫師能力要求'!$M$7:$M$59,'李醫師能力要求'!$K$7:$K$59,"待確認",0)</x:f>
        <x:v>待確認</x:v>
      </x:c>
      <x:c r="J620" s="37" t="str">
        <x:v>◎</x:v>
      </x:c>
      <x:c r="K620" s="37" t="str">
        <x:v>Ø</x:v>
      </x:c>
      <x:c r="L620" s="48" t="str">
        <x:f>_xlfn.XLOOKUP($A620&amp;"|"&amp;$G620,'試行能力狀態'!$L$7:$L$258,'試行能力狀態'!$E$7:$E$258,"未評估",0)</x:f>
        <x:v>未評估</x:v>
      </x:c>
      <x:c r="M620" s="48" t="str">
        <x:f>_xlfn.XLOOKUP($A620&amp;"|"&amp;$G620,'試行能力狀態'!$L$7:$L$258,'試行能力狀態'!$F$7:$F$258,"未建立",0)</x:f>
        <x:v>未建立</x:v>
      </x:c>
      <x:c r="N620" s="48" t="str">
        <x:f>IF($L620="◎","符合獨立",IF($L620="Ø","符合條件","不符合"))</x:f>
        <x:v>不符合</x:v>
      </x:c>
      <x:c r="O620" s="48" t="str">
        <x:f>_xlfn.XLOOKUP($A620&amp;"|李侑津醫師",'試行熟悉度'!$K$7:$K$20,'試行熟悉度'!$E$7:$E$20,"未評估",0)</x:f>
        <x:v>未評估</x:v>
      </x:c>
      <x:c r="P620" s="48" t="str">
        <x:f>_xlfn.XLOOKUP($A620&amp;"|李侑津醫師",'試行熟悉度'!$K$7:$K$20,'試行熟悉度'!$F$7:$F$20,"未建立",0)</x:f>
        <x:v>未建立</x:v>
      </x:c>
      <x:c r="Q620" s="39" t="str">
        <x:v>確認後才納入自動判定</x:v>
      </x:c>
    </x:row>
    <x:row r="621">
      <x:c r="A621" s="37" t="str">
        <x:v>1031</x:v>
      </x:c>
      <x:c r="B621" s="37" t="str"/>
      <x:c r="C621" s="37" t="str">
        <x:v>LJT-PERIOSURG</x:v>
      </x:c>
      <x:c r="D621" s="37" t="str">
        <x:v>牙周手術</x:v>
      </x:c>
      <x:c r="E621" s="37" t="str">
        <x:v>一般</x:v>
      </x:c>
      <x:c r="F621" s="37" t="str">
        <x:v>高複雜度</x:v>
      </x:c>
      <x:c r="G621" s="37" t="str">
        <x:v>COMMON-INSURANCE</x:v>
      </x:c>
      <x:c r="H621" s="37" t="str">
        <x:v>待確認</x:v>
      </x:c>
      <x:c r="I621" s="37" t="str">
        <x:f>_xlfn.XLOOKUP($C621&amp;"|"&amp;$G621,'李醫師能力要求'!$M$7:$M$59,'李醫師能力要求'!$K$7:$K$59,"待確認",0)</x:f>
        <x:v>待確認</x:v>
      </x:c>
      <x:c r="J621" s="37" t="str">
        <x:v>◎</x:v>
      </x:c>
      <x:c r="K621" s="37" t="str">
        <x:v>Ø</x:v>
      </x:c>
      <x:c r="L621" s="48" t="str">
        <x:f>_xlfn.XLOOKUP($A621&amp;"|"&amp;$G621,'試行能力狀態'!$L$7:$L$258,'試行能力狀態'!$E$7:$E$258,"未評估",0)</x:f>
        <x:v>未評估</x:v>
      </x:c>
      <x:c r="M621" s="48" t="str">
        <x:f>_xlfn.XLOOKUP($A621&amp;"|"&amp;$G621,'試行能力狀態'!$L$7:$L$258,'試行能力狀態'!$F$7:$F$258,"未建立",0)</x:f>
        <x:v>未建立</x:v>
      </x:c>
      <x:c r="N621" s="48" t="str">
        <x:f>IF($L621="◎","符合獨立",IF($L621="Ø","符合條件","不符合"))</x:f>
        <x:v>不符合</x:v>
      </x:c>
      <x:c r="O621" s="48" t="str">
        <x:f>_xlfn.XLOOKUP($A621&amp;"|李侑津醫師",'試行熟悉度'!$K$7:$K$20,'試行熟悉度'!$E$7:$E$20,"未評估",0)</x:f>
        <x:v>未評估</x:v>
      </x:c>
      <x:c r="P621" s="48" t="str">
        <x:f>_xlfn.XLOOKUP($A621&amp;"|李侑津醫師",'試行熟悉度'!$K$7:$K$20,'試行熟悉度'!$F$7:$F$20,"未建立",0)</x:f>
        <x:v>未建立</x:v>
      </x:c>
      <x:c r="Q621" s="39" t="str">
        <x:v>確認後才納入自動判定</x:v>
      </x:c>
    </x:row>
    <x:row r="622">
      <x:c r="A622" s="37" t="str">
        <x:v>1031</x:v>
      </x:c>
      <x:c r="B622" s="37" t="str"/>
      <x:c r="C622" s="37" t="str">
        <x:v>LJT-PERIOSURG</x:v>
      </x:c>
      <x:c r="D622" s="37" t="str">
        <x:v>牙周手術</x:v>
      </x:c>
      <x:c r="E622" s="37" t="str">
        <x:v>一般</x:v>
      </x:c>
      <x:c r="F622" s="37" t="str">
        <x:v>高複雜度</x:v>
      </x:c>
      <x:c r="G622" s="37" t="str">
        <x:v>COMMON-XRAY-RECORD</x:v>
      </x:c>
      <x:c r="H622" s="37" t="str">
        <x:v>待確認</x:v>
      </x:c>
      <x:c r="I622" s="37" t="str">
        <x:f>_xlfn.XLOOKUP($C622&amp;"|"&amp;$G622,'李醫師能力要求'!$M$7:$M$59,'李醫師能力要求'!$K$7:$K$59,"待確認",0)</x:f>
        <x:v>待確認</x:v>
      </x:c>
      <x:c r="J622" s="37" t="str">
        <x:v>◎</x:v>
      </x:c>
      <x:c r="K622" s="37" t="str">
        <x:v>Ø</x:v>
      </x:c>
      <x:c r="L622" s="48" t="str">
        <x:f>_xlfn.XLOOKUP($A622&amp;"|"&amp;$G622,'試行能力狀態'!$L$7:$L$258,'試行能力狀態'!$E$7:$E$258,"未評估",0)</x:f>
        <x:v>未評估</x:v>
      </x:c>
      <x:c r="M622" s="48" t="str">
        <x:f>_xlfn.XLOOKUP($A622&amp;"|"&amp;$G622,'試行能力狀態'!$L$7:$L$258,'試行能力狀態'!$F$7:$F$258,"未建立",0)</x:f>
        <x:v>未建立</x:v>
      </x:c>
      <x:c r="N622" s="48" t="str">
        <x:f>IF($L622="◎","符合獨立",IF($L622="Ø","符合條件","不符合"))</x:f>
        <x:v>不符合</x:v>
      </x:c>
      <x:c r="O622" s="48" t="str">
        <x:f>_xlfn.XLOOKUP($A622&amp;"|李侑津醫師",'試行熟悉度'!$K$7:$K$20,'試行熟悉度'!$E$7:$E$20,"未評估",0)</x:f>
        <x:v>未評估</x:v>
      </x:c>
      <x:c r="P622" s="48" t="str">
        <x:f>_xlfn.XLOOKUP($A622&amp;"|李侑津醫師",'試行熟悉度'!$K$7:$K$20,'試行熟悉度'!$F$7:$F$20,"未建立",0)</x:f>
        <x:v>未建立</x:v>
      </x:c>
      <x:c r="Q622" s="39" t="str">
        <x:v>確認後才納入自動判定</x:v>
      </x:c>
    </x:row>
    <x:row r="623">
      <x:c r="A623" s="37" t="str">
        <x:v>1031</x:v>
      </x:c>
      <x:c r="B623" s="37" t="str"/>
      <x:c r="C623" s="37" t="str">
        <x:v>LJT-MICROENDO</x:v>
      </x:c>
      <x:c r="D623" s="37" t="str">
        <x:v>顯微根管</x:v>
      </x:c>
      <x:c r="E623" s="37" t="str">
        <x:v>一般</x:v>
      </x:c>
      <x:c r="F623" s="37" t="str">
        <x:v>高複雜度</x:v>
      </x:c>
      <x:c r="G623" s="37" t="str">
        <x:v>LJT-PREP-MICROENDO</x:v>
      </x:c>
      <x:c r="H623" s="37" t="str">
        <x:v>必備</x:v>
      </x:c>
      <x:c r="I623" s="37" t="str">
        <x:f>_xlfn.XLOOKUP($C623&amp;"|"&amp;$G623,'李醫師能力要求'!$M$7:$M$59,'李醫師能力要求'!$K$7:$K$59,"待確認",0)</x:f>
        <x:v>已確認</x:v>
      </x:c>
      <x:c r="J623" s="37" t="str">
        <x:v>◎</x:v>
      </x:c>
      <x:c r="K623" s="37" t="str">
        <x:v>Ø</x:v>
      </x:c>
      <x:c r="L623" s="48" t="str">
        <x:f>_xlfn.XLOOKUP($A623&amp;"|"&amp;$G623,'試行能力狀態'!$L$7:$L$258,'試行能力狀態'!$E$7:$E$258,"未評估",0)</x:f>
        <x:v>未評估</x:v>
      </x:c>
      <x:c r="M623" s="48" t="str">
        <x:f>_xlfn.XLOOKUP($A623&amp;"|"&amp;$G623,'試行能力狀態'!$L$7:$L$258,'試行能力狀態'!$F$7:$F$258,"未建立",0)</x:f>
        <x:v>未建立</x:v>
      </x:c>
      <x:c r="N623" s="48" t="str">
        <x:f>IF($L623="◎","符合獨立",IF($L623="Ø","符合條件","不符合"))</x:f>
        <x:v>不符合</x:v>
      </x:c>
      <x:c r="O623" s="48" t="str">
        <x:f>_xlfn.XLOOKUP($A623&amp;"|李侑津醫師",'試行熟悉度'!$K$7:$K$20,'試行熟悉度'!$E$7:$E$20,"未評估",0)</x:f>
        <x:v>未評估</x:v>
      </x:c>
      <x:c r="P623" s="48" t="str">
        <x:f>_xlfn.XLOOKUP($A623&amp;"|李侑津醫師",'試行熟悉度'!$K$7:$K$20,'試行熟悉度'!$F$7:$F$20,"未建立",0)</x:f>
        <x:v>未建立</x:v>
      </x:c>
      <x:c r="Q623" s="39" t="str">
        <x:v>Ø 時完整支援者 1:1</x:v>
      </x:c>
    </x:row>
    <x:row r="624">
      <x:c r="A624" s="37" t="str">
        <x:v>1031</x:v>
      </x:c>
      <x:c r="B624" s="37" t="str"/>
      <x:c r="C624" s="37" t="str">
        <x:v>LJT-MICROENDO</x:v>
      </x:c>
      <x:c r="D624" s="37" t="str">
        <x:v>顯微根管</x:v>
      </x:c>
      <x:c r="E624" s="37" t="str">
        <x:v>一般</x:v>
      </x:c>
      <x:c r="F624" s="37" t="str">
        <x:v>高複雜度</x:v>
      </x:c>
      <x:c r="G624" s="37" t="str">
        <x:v>COMMON-RECORD</x:v>
      </x:c>
      <x:c r="H624" s="37" t="str">
        <x:v>待確認</x:v>
      </x:c>
      <x:c r="I624" s="37" t="str">
        <x:f>_xlfn.XLOOKUP($C624&amp;"|"&amp;$G624,'李醫師能力要求'!$M$7:$M$59,'李醫師能力要求'!$K$7:$K$59,"待確認",0)</x:f>
        <x:v>待確認</x:v>
      </x:c>
      <x:c r="J624" s="37" t="str">
        <x:v>◎</x:v>
      </x:c>
      <x:c r="K624" s="37" t="str">
        <x:v>Ø</x:v>
      </x:c>
      <x:c r="L624" s="48" t="str">
        <x:f>_xlfn.XLOOKUP($A624&amp;"|"&amp;$G624,'試行能力狀態'!$L$7:$L$258,'試行能力狀態'!$E$7:$E$258,"未評估",0)</x:f>
        <x:v>未評估</x:v>
      </x:c>
      <x:c r="M624" s="48" t="str">
        <x:f>_xlfn.XLOOKUP($A624&amp;"|"&amp;$G624,'試行能力狀態'!$L$7:$L$258,'試行能力狀態'!$F$7:$F$258,"未建立",0)</x:f>
        <x:v>未建立</x:v>
      </x:c>
      <x:c r="N624" s="48" t="str">
        <x:f>IF($L624="◎","符合獨立",IF($L624="Ø","符合條件","不符合"))</x:f>
        <x:v>不符合</x:v>
      </x:c>
      <x:c r="O624" s="48" t="str">
        <x:f>_xlfn.XLOOKUP($A624&amp;"|李侑津醫師",'試行熟悉度'!$K$7:$K$20,'試行熟悉度'!$E$7:$E$20,"未評估",0)</x:f>
        <x:v>未評估</x:v>
      </x:c>
      <x:c r="P624" s="48" t="str">
        <x:f>_xlfn.XLOOKUP($A624&amp;"|李侑津醫師",'試行熟悉度'!$K$7:$K$20,'試行熟悉度'!$F$7:$F$20,"未建立",0)</x:f>
        <x:v>未建立</x:v>
      </x:c>
      <x:c r="Q624" s="39" t="str">
        <x:v>確認後才納入自動判定</x:v>
      </x:c>
    </x:row>
    <x:row r="625">
      <x:c r="A625" s="37" t="str">
        <x:v>1031</x:v>
      </x:c>
      <x:c r="B625" s="37" t="str"/>
      <x:c r="C625" s="37" t="str">
        <x:v>LJT-MICROENDO</x:v>
      </x:c>
      <x:c r="D625" s="37" t="str">
        <x:v>顯微根管</x:v>
      </x:c>
      <x:c r="E625" s="37" t="str">
        <x:v>一般</x:v>
      </x:c>
      <x:c r="F625" s="37" t="str">
        <x:v>高複雜度</x:v>
      </x:c>
      <x:c r="G625" s="37" t="str">
        <x:v>COMMON-INSURANCE</x:v>
      </x:c>
      <x:c r="H625" s="37" t="str">
        <x:v>待確認</x:v>
      </x:c>
      <x:c r="I625" s="37" t="str">
        <x:f>_xlfn.XLOOKUP($C625&amp;"|"&amp;$G625,'李醫師能力要求'!$M$7:$M$59,'李醫師能力要求'!$K$7:$K$59,"待確認",0)</x:f>
        <x:v>待確認</x:v>
      </x:c>
      <x:c r="J625" s="37" t="str">
        <x:v>◎</x:v>
      </x:c>
      <x:c r="K625" s="37" t="str">
        <x:v>Ø</x:v>
      </x:c>
      <x:c r="L625" s="48" t="str">
        <x:f>_xlfn.XLOOKUP($A625&amp;"|"&amp;$G625,'試行能力狀態'!$L$7:$L$258,'試行能力狀態'!$E$7:$E$258,"未評估",0)</x:f>
        <x:v>未評估</x:v>
      </x:c>
      <x:c r="M625" s="48" t="str">
        <x:f>_xlfn.XLOOKUP($A625&amp;"|"&amp;$G625,'試行能力狀態'!$L$7:$L$258,'試行能力狀態'!$F$7:$F$258,"未建立",0)</x:f>
        <x:v>未建立</x:v>
      </x:c>
      <x:c r="N625" s="48" t="str">
        <x:f>IF($L625="◎","符合獨立",IF($L625="Ø","符合條件","不符合"))</x:f>
        <x:v>不符合</x:v>
      </x:c>
      <x:c r="O625" s="48" t="str">
        <x:f>_xlfn.XLOOKUP($A625&amp;"|李侑津醫師",'試行熟悉度'!$K$7:$K$20,'試行熟悉度'!$E$7:$E$20,"未評估",0)</x:f>
        <x:v>未評估</x:v>
      </x:c>
      <x:c r="P625" s="48" t="str">
        <x:f>_xlfn.XLOOKUP($A625&amp;"|李侑津醫師",'試行熟悉度'!$K$7:$K$20,'試行熟悉度'!$F$7:$F$20,"未建立",0)</x:f>
        <x:v>未建立</x:v>
      </x:c>
      <x:c r="Q625" s="39" t="str">
        <x:v>確認後才納入自動判定</x:v>
      </x:c>
    </x:row>
    <x:row r="626">
      <x:c r="A626" s="37" t="str">
        <x:v>1031</x:v>
      </x:c>
      <x:c r="B626" s="37" t="str"/>
      <x:c r="C626" s="37" t="str">
        <x:v>LJT-MICROENDO</x:v>
      </x:c>
      <x:c r="D626" s="37" t="str">
        <x:v>顯微根管</x:v>
      </x:c>
      <x:c r="E626" s="37" t="str">
        <x:v>一般</x:v>
      </x:c>
      <x:c r="F626" s="37" t="str">
        <x:v>高複雜度</x:v>
      </x:c>
      <x:c r="G626" s="37" t="str">
        <x:v>COMMON-XRAY-RECORD</x:v>
      </x:c>
      <x:c r="H626" s="37" t="str">
        <x:v>待確認</x:v>
      </x:c>
      <x:c r="I626" s="37" t="str">
        <x:f>_xlfn.XLOOKUP($C626&amp;"|"&amp;$G626,'李醫師能力要求'!$M$7:$M$59,'李醫師能力要求'!$K$7:$K$59,"待確認",0)</x:f>
        <x:v>待確認</x:v>
      </x:c>
      <x:c r="J626" s="37" t="str">
        <x:v>◎</x:v>
      </x:c>
      <x:c r="K626" s="37" t="str">
        <x:v>Ø</x:v>
      </x:c>
      <x:c r="L626" s="48" t="str">
        <x:f>_xlfn.XLOOKUP($A626&amp;"|"&amp;$G626,'試行能力狀態'!$L$7:$L$258,'試行能力狀態'!$E$7:$E$258,"未評估",0)</x:f>
        <x:v>未評估</x:v>
      </x:c>
      <x:c r="M626" s="48" t="str">
        <x:f>_xlfn.XLOOKUP($A626&amp;"|"&amp;$G626,'試行能力狀態'!$L$7:$L$258,'試行能力狀態'!$F$7:$F$258,"未建立",0)</x:f>
        <x:v>未建立</x:v>
      </x:c>
      <x:c r="N626" s="48" t="str">
        <x:f>IF($L626="◎","符合獨立",IF($L626="Ø","符合條件","不符合"))</x:f>
        <x:v>不符合</x:v>
      </x:c>
      <x:c r="O626" s="48" t="str">
        <x:f>_xlfn.XLOOKUP($A626&amp;"|李侑津醫師",'試行熟悉度'!$K$7:$K$20,'試行熟悉度'!$E$7:$E$20,"未評估",0)</x:f>
        <x:v>未評估</x:v>
      </x:c>
      <x:c r="P626" s="48" t="str">
        <x:f>_xlfn.XLOOKUP($A626&amp;"|李侑津醫師",'試行熟悉度'!$K$7:$K$20,'試行熟悉度'!$F$7:$F$20,"未建立",0)</x:f>
        <x:v>未建立</x:v>
      </x:c>
      <x:c r="Q626" s="39" t="str">
        <x:v>確認後才納入自動判定</x:v>
      </x:c>
    </x:row>
    <x:row r="627">
      <x:c r="A627" s="37" t="str">
        <x:v>1031</x:v>
      </x:c>
      <x:c r="B627" s="37" t="str"/>
      <x:c r="C627" s="37" t="str">
        <x:v>LJT-IMPLANT</x:v>
      </x:c>
      <x:c r="D627" s="37" t="str">
        <x:v>植牙</x:v>
      </x:c>
      <x:c r="E627" s="37" t="str">
        <x:v>一般</x:v>
      </x:c>
      <x:c r="F627" s="37" t="str">
        <x:v>高複雜度</x:v>
      </x:c>
      <x:c r="G627" s="37" t="str">
        <x:v>LJT-PREP-IMPLANT</x:v>
      </x:c>
      <x:c r="H627" s="37" t="str">
        <x:v>必備</x:v>
      </x:c>
      <x:c r="I627" s="37" t="str">
        <x:f>_xlfn.XLOOKUP($C627&amp;"|"&amp;$G627,'李醫師能力要求'!$M$7:$M$59,'李醫師能力要求'!$K$7:$K$59,"待確認",0)</x:f>
        <x:v>已確認</x:v>
      </x:c>
      <x:c r="J627" s="37" t="str">
        <x:v>◎</x:v>
      </x:c>
      <x:c r="K627" s="37" t="str">
        <x:v>Ø</x:v>
      </x:c>
      <x:c r="L627" s="48" t="str">
        <x:f>_xlfn.XLOOKUP($A627&amp;"|"&amp;$G627,'試行能力狀態'!$L$7:$L$258,'試行能力狀態'!$E$7:$E$258,"未評估",0)</x:f>
        <x:v>未評估</x:v>
      </x:c>
      <x:c r="M627" s="48" t="str">
        <x:f>_xlfn.XLOOKUP($A627&amp;"|"&amp;$G627,'試行能力狀態'!$L$7:$L$258,'試行能力狀態'!$F$7:$F$258,"未建立",0)</x:f>
        <x:v>未建立</x:v>
      </x:c>
      <x:c r="N627" s="48" t="str">
        <x:f>IF($L627="◎","符合獨立",IF($L627="Ø","符合條件","不符合"))</x:f>
        <x:v>不符合</x:v>
      </x:c>
      <x:c r="O627" s="48" t="str">
        <x:f>_xlfn.XLOOKUP($A627&amp;"|李侑津醫師",'試行熟悉度'!$K$7:$K$20,'試行熟悉度'!$E$7:$E$20,"未評估",0)</x:f>
        <x:v>未評估</x:v>
      </x:c>
      <x:c r="P627" s="48" t="str">
        <x:f>_xlfn.XLOOKUP($A627&amp;"|李侑津醫師",'試行熟悉度'!$K$7:$K$20,'試行熟悉度'!$F$7:$F$20,"未建立",0)</x:f>
        <x:v>未建立</x:v>
      </x:c>
      <x:c r="Q627" s="39" t="str">
        <x:v>Ø 時完整支援者 1:1</x:v>
      </x:c>
    </x:row>
    <x:row r="628">
      <x:c r="A628" s="37" t="str">
        <x:v>1031</x:v>
      </x:c>
      <x:c r="B628" s="37" t="str"/>
      <x:c r="C628" s="37" t="str">
        <x:v>LJT-IMPLANT</x:v>
      </x:c>
      <x:c r="D628" s="37" t="str">
        <x:v>植牙</x:v>
      </x:c>
      <x:c r="E628" s="37" t="str">
        <x:v>一般</x:v>
      </x:c>
      <x:c r="F628" s="37" t="str">
        <x:v>高複雜度</x:v>
      </x:c>
      <x:c r="G628" s="37" t="str">
        <x:v>COMMON-RECORD</x:v>
      </x:c>
      <x:c r="H628" s="37" t="str">
        <x:v>待確認</x:v>
      </x:c>
      <x:c r="I628" s="37" t="str">
        <x:f>_xlfn.XLOOKUP($C628&amp;"|"&amp;$G628,'李醫師能力要求'!$M$7:$M$59,'李醫師能力要求'!$K$7:$K$59,"待確認",0)</x:f>
        <x:v>待確認</x:v>
      </x:c>
      <x:c r="J628" s="37" t="str">
        <x:v>◎</x:v>
      </x:c>
      <x:c r="K628" s="37" t="str">
        <x:v>Ø</x:v>
      </x:c>
      <x:c r="L628" s="48" t="str">
        <x:f>_xlfn.XLOOKUP($A628&amp;"|"&amp;$G628,'試行能力狀態'!$L$7:$L$258,'試行能力狀態'!$E$7:$E$258,"未評估",0)</x:f>
        <x:v>未評估</x:v>
      </x:c>
      <x:c r="M628" s="48" t="str">
        <x:f>_xlfn.XLOOKUP($A628&amp;"|"&amp;$G628,'試行能力狀態'!$L$7:$L$258,'試行能力狀態'!$F$7:$F$258,"未建立",0)</x:f>
        <x:v>未建立</x:v>
      </x:c>
      <x:c r="N628" s="48" t="str">
        <x:f>IF($L628="◎","符合獨立",IF($L628="Ø","符合條件","不符合"))</x:f>
        <x:v>不符合</x:v>
      </x:c>
      <x:c r="O628" s="48" t="str">
        <x:f>_xlfn.XLOOKUP($A628&amp;"|李侑津醫師",'試行熟悉度'!$K$7:$K$20,'試行熟悉度'!$E$7:$E$20,"未評估",0)</x:f>
        <x:v>未評估</x:v>
      </x:c>
      <x:c r="P628" s="48" t="str">
        <x:f>_xlfn.XLOOKUP($A628&amp;"|李侑津醫師",'試行熟悉度'!$K$7:$K$20,'試行熟悉度'!$F$7:$F$20,"未建立",0)</x:f>
        <x:v>未建立</x:v>
      </x:c>
      <x:c r="Q628" s="39" t="str">
        <x:v>確認後才納入自動判定</x:v>
      </x:c>
    </x:row>
    <x:row r="629">
      <x:c r="A629" s="37" t="str">
        <x:v>1031</x:v>
      </x:c>
      <x:c r="B629" s="37" t="str"/>
      <x:c r="C629" s="37" t="str">
        <x:v>LJT-IMPLANT</x:v>
      </x:c>
      <x:c r="D629" s="37" t="str">
        <x:v>植牙</x:v>
      </x:c>
      <x:c r="E629" s="37" t="str">
        <x:v>一般</x:v>
      </x:c>
      <x:c r="F629" s="37" t="str">
        <x:v>高複雜度</x:v>
      </x:c>
      <x:c r="G629" s="37" t="str">
        <x:v>COMMON-INSURANCE</x:v>
      </x:c>
      <x:c r="H629" s="37" t="str">
        <x:v>待確認</x:v>
      </x:c>
      <x:c r="I629" s="37" t="str">
        <x:f>_xlfn.XLOOKUP($C629&amp;"|"&amp;$G629,'李醫師能力要求'!$M$7:$M$59,'李醫師能力要求'!$K$7:$K$59,"待確認",0)</x:f>
        <x:v>待確認</x:v>
      </x:c>
      <x:c r="J629" s="37" t="str">
        <x:v>◎</x:v>
      </x:c>
      <x:c r="K629" s="37" t="str">
        <x:v>Ø</x:v>
      </x:c>
      <x:c r="L629" s="48" t="str">
        <x:f>_xlfn.XLOOKUP($A629&amp;"|"&amp;$G629,'試行能力狀態'!$L$7:$L$258,'試行能力狀態'!$E$7:$E$258,"未評估",0)</x:f>
        <x:v>未評估</x:v>
      </x:c>
      <x:c r="M629" s="48" t="str">
        <x:f>_xlfn.XLOOKUP($A629&amp;"|"&amp;$G629,'試行能力狀態'!$L$7:$L$258,'試行能力狀態'!$F$7:$F$258,"未建立",0)</x:f>
        <x:v>未建立</x:v>
      </x:c>
      <x:c r="N629" s="48" t="str">
        <x:f>IF($L629="◎","符合獨立",IF($L629="Ø","符合條件","不符合"))</x:f>
        <x:v>不符合</x:v>
      </x:c>
      <x:c r="O629" s="48" t="str">
        <x:f>_xlfn.XLOOKUP($A629&amp;"|李侑津醫師",'試行熟悉度'!$K$7:$K$20,'試行熟悉度'!$E$7:$E$20,"未評估",0)</x:f>
        <x:v>未評估</x:v>
      </x:c>
      <x:c r="P629" s="48" t="str">
        <x:f>_xlfn.XLOOKUP($A629&amp;"|李侑津醫師",'試行熟悉度'!$K$7:$K$20,'試行熟悉度'!$F$7:$F$20,"未建立",0)</x:f>
        <x:v>未建立</x:v>
      </x:c>
      <x:c r="Q629" s="39" t="str">
        <x:v>確認後才納入自動判定</x:v>
      </x:c>
    </x:row>
    <x:row r="630">
      <x:c r="A630" s="37" t="str">
        <x:v>1031</x:v>
      </x:c>
      <x:c r="B630" s="37" t="str"/>
      <x:c r="C630" s="37" t="str">
        <x:v>LJT-IMPLANT</x:v>
      </x:c>
      <x:c r="D630" s="37" t="str">
        <x:v>植牙</x:v>
      </x:c>
      <x:c r="E630" s="37" t="str">
        <x:v>一般</x:v>
      </x:c>
      <x:c r="F630" s="37" t="str">
        <x:v>高複雜度</x:v>
      </x:c>
      <x:c r="G630" s="37" t="str">
        <x:v>COMMON-XRAY-RECORD</x:v>
      </x:c>
      <x:c r="H630" s="37" t="str">
        <x:v>待確認</x:v>
      </x:c>
      <x:c r="I630" s="37" t="str">
        <x:f>_xlfn.XLOOKUP($C630&amp;"|"&amp;$G630,'李醫師能力要求'!$M$7:$M$59,'李醫師能力要求'!$K$7:$K$59,"待確認",0)</x:f>
        <x:v>待確認</x:v>
      </x:c>
      <x:c r="J630" s="37" t="str">
        <x:v>◎</x:v>
      </x:c>
      <x:c r="K630" s="37" t="str">
        <x:v>Ø</x:v>
      </x:c>
      <x:c r="L630" s="48" t="str">
        <x:f>_xlfn.XLOOKUP($A630&amp;"|"&amp;$G630,'試行能力狀態'!$L$7:$L$258,'試行能力狀態'!$E$7:$E$258,"未評估",0)</x:f>
        <x:v>未評估</x:v>
      </x:c>
      <x:c r="M630" s="48" t="str">
        <x:f>_xlfn.XLOOKUP($A630&amp;"|"&amp;$G630,'試行能力狀態'!$L$7:$L$258,'試行能力狀態'!$F$7:$F$258,"未建立",0)</x:f>
        <x:v>未建立</x:v>
      </x:c>
      <x:c r="N630" s="48" t="str">
        <x:f>IF($L630="◎","符合獨立",IF($L630="Ø","符合條件","不符合"))</x:f>
        <x:v>不符合</x:v>
      </x:c>
      <x:c r="O630" s="48" t="str">
        <x:f>_xlfn.XLOOKUP($A630&amp;"|李侑津醫師",'試行熟悉度'!$K$7:$K$20,'試行熟悉度'!$E$7:$E$20,"未評估",0)</x:f>
        <x:v>未評估</x:v>
      </x:c>
      <x:c r="P630" s="48" t="str">
        <x:f>_xlfn.XLOOKUP($A630&amp;"|李侑津醫師",'試行熟悉度'!$K$7:$K$20,'試行熟悉度'!$F$7:$F$20,"未建立",0)</x:f>
        <x:v>未建立</x:v>
      </x:c>
      <x:c r="Q630" s="39" t="str">
        <x:v>確認後才納入自動判定</x:v>
      </x:c>
    </x:row>
    <x:row r="631">
      <x:c r="A631" s="37" t="str">
        <x:v>2006</x:v>
      </x:c>
      <x:c r="B631" s="37" t="str"/>
      <x:c r="C631" s="37" t="str">
        <x:v>LJT-SCALING</x:v>
      </x:c>
      <x:c r="D631" s="37" t="str">
        <x:v>洗牙</x:v>
      </x:c>
      <x:c r="E631" s="37" t="str">
        <x:v>一般</x:v>
      </x:c>
      <x:c r="F631" s="37" t="str">
        <x:v>一般</x:v>
      </x:c>
      <x:c r="G631" s="37" t="str">
        <x:v>LJT-PREP-SCALING</x:v>
      </x:c>
      <x:c r="H631" s="37" t="str">
        <x:v>必備</x:v>
      </x:c>
      <x:c r="I631" s="37" t="str">
        <x:f>_xlfn.XLOOKUP($C631&amp;"|"&amp;$G631,'李醫師能力要求'!$M$7:$M$59,'李醫師能力要求'!$K$7:$K$59,"待確認",0)</x:f>
        <x:v>已確認</x:v>
      </x:c>
      <x:c r="J631" s="37" t="str">
        <x:v>◎</x:v>
      </x:c>
      <x:c r="K631" s="37" t="str">
        <x:v>Ø</x:v>
      </x:c>
      <x:c r="L631" s="48" t="str">
        <x:f>_xlfn.XLOOKUP($A631&amp;"|"&amp;$G631,'試行能力狀態'!$L$7:$L$258,'試行能力狀態'!$E$7:$E$258,"未評估",0)</x:f>
        <x:v>未評估</x:v>
      </x:c>
      <x:c r="M631" s="48" t="str">
        <x:f>_xlfn.XLOOKUP($A631&amp;"|"&amp;$G631,'試行能力狀態'!$L$7:$L$258,'試行能力狀態'!$F$7:$F$258,"未建立",0)</x:f>
        <x:v>未建立</x:v>
      </x:c>
      <x:c r="N631" s="48" t="str">
        <x:f>IF($L631="◎","符合獨立",IF($L631="Ø","符合條件","不符合"))</x:f>
        <x:v>不符合</x:v>
      </x:c>
      <x:c r="O631" s="48" t="str">
        <x:f>_xlfn.XLOOKUP($A631&amp;"|李侑津醫師",'試行熟悉度'!$K$7:$K$20,'試行熟悉度'!$E$7:$E$20,"未評估",0)</x:f>
        <x:v>未評估</x:v>
      </x:c>
      <x:c r="P631" s="48" t="str">
        <x:f>_xlfn.XLOOKUP($A631&amp;"|李侑津醫師",'試行熟悉度'!$K$7:$K$20,'試行熟悉度'!$F$7:$F$20,"未建立",0)</x:f>
        <x:v>未建立</x:v>
      </x:c>
      <x:c r="Q631" s="39" t="str">
        <x:v>依一般支援名額</x:v>
      </x:c>
    </x:row>
    <x:row r="632">
      <x:c r="A632" s="37" t="str">
        <x:v>2006</x:v>
      </x:c>
      <x:c r="B632" s="37" t="str"/>
      <x:c r="C632" s="37" t="str">
        <x:v>LJT-SCALING</x:v>
      </x:c>
      <x:c r="D632" s="37" t="str">
        <x:v>洗牙</x:v>
      </x:c>
      <x:c r="E632" s="37" t="str">
        <x:v>一般</x:v>
      </x:c>
      <x:c r="F632" s="37" t="str">
        <x:v>一般</x:v>
      </x:c>
      <x:c r="G632" s="37" t="str">
        <x:v>COMMON-RECORD</x:v>
      </x:c>
      <x:c r="H632" s="37" t="str">
        <x:v>待確認</x:v>
      </x:c>
      <x:c r="I632" s="37" t="str">
        <x:f>_xlfn.XLOOKUP($C632&amp;"|"&amp;$G632,'李醫師能力要求'!$M$7:$M$59,'李醫師能力要求'!$K$7:$K$59,"待確認",0)</x:f>
        <x:v>待確認</x:v>
      </x:c>
      <x:c r="J632" s="37" t="str">
        <x:v>◎</x:v>
      </x:c>
      <x:c r="K632" s="37" t="str">
        <x:v>Ø</x:v>
      </x:c>
      <x:c r="L632" s="48" t="str">
        <x:f>_xlfn.XLOOKUP($A632&amp;"|"&amp;$G632,'試行能力狀態'!$L$7:$L$258,'試行能力狀態'!$E$7:$E$258,"未評估",0)</x:f>
        <x:v>未評估</x:v>
      </x:c>
      <x:c r="M632" s="48" t="str">
        <x:f>_xlfn.XLOOKUP($A632&amp;"|"&amp;$G632,'試行能力狀態'!$L$7:$L$258,'試行能力狀態'!$F$7:$F$258,"未建立",0)</x:f>
        <x:v>未建立</x:v>
      </x:c>
      <x:c r="N632" s="48" t="str">
        <x:f>IF($L632="◎","符合獨立",IF($L632="Ø","符合條件","不符合"))</x:f>
        <x:v>不符合</x:v>
      </x:c>
      <x:c r="O632" s="48" t="str">
        <x:f>_xlfn.XLOOKUP($A632&amp;"|李侑津醫師",'試行熟悉度'!$K$7:$K$20,'試行熟悉度'!$E$7:$E$20,"未評估",0)</x:f>
        <x:v>未評估</x:v>
      </x:c>
      <x:c r="P632" s="48" t="str">
        <x:f>_xlfn.XLOOKUP($A632&amp;"|李侑津醫師",'試行熟悉度'!$K$7:$K$20,'試行熟悉度'!$F$7:$F$20,"未建立",0)</x:f>
        <x:v>未建立</x:v>
      </x:c>
      <x:c r="Q632" s="39" t="str">
        <x:v>確認後才納入自動判定</x:v>
      </x:c>
    </x:row>
    <x:row r="633">
      <x:c r="A633" s="37" t="str">
        <x:v>2006</x:v>
      </x:c>
      <x:c r="B633" s="37" t="str"/>
      <x:c r="C633" s="37" t="str">
        <x:v>LJT-SCALING</x:v>
      </x:c>
      <x:c r="D633" s="37" t="str">
        <x:v>洗牙</x:v>
      </x:c>
      <x:c r="E633" s="37" t="str">
        <x:v>一般</x:v>
      </x:c>
      <x:c r="F633" s="37" t="str">
        <x:v>一般</x:v>
      </x:c>
      <x:c r="G633" s="37" t="str">
        <x:v>COMMON-INSURANCE</x:v>
      </x:c>
      <x:c r="H633" s="37" t="str">
        <x:v>待確認</x:v>
      </x:c>
      <x:c r="I633" s="37" t="str">
        <x:f>_xlfn.XLOOKUP($C633&amp;"|"&amp;$G633,'李醫師能力要求'!$M$7:$M$59,'李醫師能力要求'!$K$7:$K$59,"待確認",0)</x:f>
        <x:v>待確認</x:v>
      </x:c>
      <x:c r="J633" s="37" t="str">
        <x:v>◎</x:v>
      </x:c>
      <x:c r="K633" s="37" t="str">
        <x:v>Ø</x:v>
      </x:c>
      <x:c r="L633" s="48" t="str">
        <x:f>_xlfn.XLOOKUP($A633&amp;"|"&amp;$G633,'試行能力狀態'!$L$7:$L$258,'試行能力狀態'!$E$7:$E$258,"未評估",0)</x:f>
        <x:v>未評估</x:v>
      </x:c>
      <x:c r="M633" s="48" t="str">
        <x:f>_xlfn.XLOOKUP($A633&amp;"|"&amp;$G633,'試行能力狀態'!$L$7:$L$258,'試行能力狀態'!$F$7:$F$258,"未建立",0)</x:f>
        <x:v>未建立</x:v>
      </x:c>
      <x:c r="N633" s="48" t="str">
        <x:f>IF($L633="◎","符合獨立",IF($L633="Ø","符合條件","不符合"))</x:f>
        <x:v>不符合</x:v>
      </x:c>
      <x:c r="O633" s="48" t="str">
        <x:f>_xlfn.XLOOKUP($A633&amp;"|李侑津醫師",'試行熟悉度'!$K$7:$K$20,'試行熟悉度'!$E$7:$E$20,"未評估",0)</x:f>
        <x:v>未評估</x:v>
      </x:c>
      <x:c r="P633" s="48" t="str">
        <x:f>_xlfn.XLOOKUP($A633&amp;"|李侑津醫師",'試行熟悉度'!$K$7:$K$20,'試行熟悉度'!$F$7:$F$20,"未建立",0)</x:f>
        <x:v>未建立</x:v>
      </x:c>
      <x:c r="Q633" s="39" t="str">
        <x:v>確認後才納入自動判定</x:v>
      </x:c>
    </x:row>
    <x:row r="634">
      <x:c r="A634" s="37" t="str">
        <x:v>2006</x:v>
      </x:c>
      <x:c r="B634" s="37" t="str"/>
      <x:c r="C634" s="37" t="str">
        <x:v>LJT-SCALING</x:v>
      </x:c>
      <x:c r="D634" s="37" t="str">
        <x:v>洗牙</x:v>
      </x:c>
      <x:c r="E634" s="37" t="str">
        <x:v>一般</x:v>
      </x:c>
      <x:c r="F634" s="37" t="str">
        <x:v>一般</x:v>
      </x:c>
      <x:c r="G634" s="37" t="str">
        <x:v>COMMON-XRAY-RECORD</x:v>
      </x:c>
      <x:c r="H634" s="37" t="str">
        <x:v>待確認</x:v>
      </x:c>
      <x:c r="I634" s="37" t="str">
        <x:f>_xlfn.XLOOKUP($C634&amp;"|"&amp;$G634,'李醫師能力要求'!$M$7:$M$59,'李醫師能力要求'!$K$7:$K$59,"待確認",0)</x:f>
        <x:v>待確認</x:v>
      </x:c>
      <x:c r="J634" s="37" t="str">
        <x:v>◎</x:v>
      </x:c>
      <x:c r="K634" s="37" t="str">
        <x:v>Ø</x:v>
      </x:c>
      <x:c r="L634" s="48" t="str">
        <x:f>_xlfn.XLOOKUP($A634&amp;"|"&amp;$G634,'試行能力狀態'!$L$7:$L$258,'試行能力狀態'!$E$7:$E$258,"未評估",0)</x:f>
        <x:v>未評估</x:v>
      </x:c>
      <x:c r="M634" s="48" t="str">
        <x:f>_xlfn.XLOOKUP($A634&amp;"|"&amp;$G634,'試行能力狀態'!$L$7:$L$258,'試行能力狀態'!$F$7:$F$258,"未建立",0)</x:f>
        <x:v>未建立</x:v>
      </x:c>
      <x:c r="N634" s="48" t="str">
        <x:f>IF($L634="◎","符合獨立",IF($L634="Ø","符合條件","不符合"))</x:f>
        <x:v>不符合</x:v>
      </x:c>
      <x:c r="O634" s="48" t="str">
        <x:f>_xlfn.XLOOKUP($A634&amp;"|李侑津醫師",'試行熟悉度'!$K$7:$K$20,'試行熟悉度'!$E$7:$E$20,"未評估",0)</x:f>
        <x:v>未評估</x:v>
      </x:c>
      <x:c r="P634" s="48" t="str">
        <x:f>_xlfn.XLOOKUP($A634&amp;"|李侑津醫師",'試行熟悉度'!$K$7:$K$20,'試行熟悉度'!$F$7:$F$20,"未建立",0)</x:f>
        <x:v>未建立</x:v>
      </x:c>
      <x:c r="Q634" s="39" t="str">
        <x:v>確認後才納入自動判定</x:v>
      </x:c>
    </x:row>
    <x:row r="635">
      <x:c r="A635" s="37" t="str">
        <x:v>2006</x:v>
      </x:c>
      <x:c r="B635" s="37" t="str"/>
      <x:c r="C635" s="37" t="str">
        <x:v>LJT-FILLING</x:v>
      </x:c>
      <x:c r="D635" s="37" t="str">
        <x:v>補牙</x:v>
      </x:c>
      <x:c r="E635" s="37" t="str">
        <x:v>一般</x:v>
      </x:c>
      <x:c r="F635" s="37" t="str">
        <x:v>一般</x:v>
      </x:c>
      <x:c r="G635" s="37" t="str">
        <x:v>LJT-PREP-FILLING</x:v>
      </x:c>
      <x:c r="H635" s="37" t="str">
        <x:v>必備</x:v>
      </x:c>
      <x:c r="I635" s="37" t="str">
        <x:f>_xlfn.XLOOKUP($C635&amp;"|"&amp;$G635,'李醫師能力要求'!$M$7:$M$59,'李醫師能力要求'!$K$7:$K$59,"待確認",0)</x:f>
        <x:v>已確認</x:v>
      </x:c>
      <x:c r="J635" s="37" t="str">
        <x:v>◎</x:v>
      </x:c>
      <x:c r="K635" s="37" t="str">
        <x:v>Ø</x:v>
      </x:c>
      <x:c r="L635" s="48" t="str">
        <x:f>_xlfn.XLOOKUP($A635&amp;"|"&amp;$G635,'試行能力狀態'!$L$7:$L$258,'試行能力狀態'!$E$7:$E$258,"未評估",0)</x:f>
        <x:v>未評估</x:v>
      </x:c>
      <x:c r="M635" s="48" t="str">
        <x:f>_xlfn.XLOOKUP($A635&amp;"|"&amp;$G635,'試行能力狀態'!$L$7:$L$258,'試行能力狀態'!$F$7:$F$258,"未建立",0)</x:f>
        <x:v>未建立</x:v>
      </x:c>
      <x:c r="N635" s="48" t="str">
        <x:f>IF($L635="◎","符合獨立",IF($L635="Ø","符合條件","不符合"))</x:f>
        <x:v>不符合</x:v>
      </x:c>
      <x:c r="O635" s="48" t="str">
        <x:f>_xlfn.XLOOKUP($A635&amp;"|李侑津醫師",'試行熟悉度'!$K$7:$K$20,'試行熟悉度'!$E$7:$E$20,"未評估",0)</x:f>
        <x:v>未評估</x:v>
      </x:c>
      <x:c r="P635" s="48" t="str">
        <x:f>_xlfn.XLOOKUP($A635&amp;"|李侑津醫師",'試行熟悉度'!$K$7:$K$20,'試行熟悉度'!$F$7:$F$20,"未建立",0)</x:f>
        <x:v>未建立</x:v>
      </x:c>
      <x:c r="Q635" s="39" t="str">
        <x:v>依一般支援名額</x:v>
      </x:c>
    </x:row>
    <x:row r="636">
      <x:c r="A636" s="37" t="str">
        <x:v>2006</x:v>
      </x:c>
      <x:c r="B636" s="37" t="str"/>
      <x:c r="C636" s="37" t="str">
        <x:v>LJT-FILLING</x:v>
      </x:c>
      <x:c r="D636" s="37" t="str">
        <x:v>補牙</x:v>
      </x:c>
      <x:c r="E636" s="37" t="str">
        <x:v>一般</x:v>
      </x:c>
      <x:c r="F636" s="37" t="str">
        <x:v>一般</x:v>
      </x:c>
      <x:c r="G636" s="37" t="str">
        <x:v>COMMON-RECORD</x:v>
      </x:c>
      <x:c r="H636" s="37" t="str">
        <x:v>待確認</x:v>
      </x:c>
      <x:c r="I636" s="37" t="str">
        <x:f>_xlfn.XLOOKUP($C636&amp;"|"&amp;$G636,'李醫師能力要求'!$M$7:$M$59,'李醫師能力要求'!$K$7:$K$59,"待確認",0)</x:f>
        <x:v>待確認</x:v>
      </x:c>
      <x:c r="J636" s="37" t="str">
        <x:v>◎</x:v>
      </x:c>
      <x:c r="K636" s="37" t="str">
        <x:v>Ø</x:v>
      </x:c>
      <x:c r="L636" s="48" t="str">
        <x:f>_xlfn.XLOOKUP($A636&amp;"|"&amp;$G636,'試行能力狀態'!$L$7:$L$258,'試行能力狀態'!$E$7:$E$258,"未評估",0)</x:f>
        <x:v>未評估</x:v>
      </x:c>
      <x:c r="M636" s="48" t="str">
        <x:f>_xlfn.XLOOKUP($A636&amp;"|"&amp;$G636,'試行能力狀態'!$L$7:$L$258,'試行能力狀態'!$F$7:$F$258,"未建立",0)</x:f>
        <x:v>未建立</x:v>
      </x:c>
      <x:c r="N636" s="48" t="str">
        <x:f>IF($L636="◎","符合獨立",IF($L636="Ø","符合條件","不符合"))</x:f>
        <x:v>不符合</x:v>
      </x:c>
      <x:c r="O636" s="48" t="str">
        <x:f>_xlfn.XLOOKUP($A636&amp;"|李侑津醫師",'試行熟悉度'!$K$7:$K$20,'試行熟悉度'!$E$7:$E$20,"未評估",0)</x:f>
        <x:v>未評估</x:v>
      </x:c>
      <x:c r="P636" s="48" t="str">
        <x:f>_xlfn.XLOOKUP($A636&amp;"|李侑津醫師",'試行熟悉度'!$K$7:$K$20,'試行熟悉度'!$F$7:$F$20,"未建立",0)</x:f>
        <x:v>未建立</x:v>
      </x:c>
      <x:c r="Q636" s="39" t="str">
        <x:v>確認後才納入自動判定</x:v>
      </x:c>
    </x:row>
    <x:row r="637">
      <x:c r="A637" s="37" t="str">
        <x:v>2006</x:v>
      </x:c>
      <x:c r="B637" s="37" t="str"/>
      <x:c r="C637" s="37" t="str">
        <x:v>LJT-FILLING</x:v>
      </x:c>
      <x:c r="D637" s="37" t="str">
        <x:v>補牙</x:v>
      </x:c>
      <x:c r="E637" s="37" t="str">
        <x:v>一般</x:v>
      </x:c>
      <x:c r="F637" s="37" t="str">
        <x:v>一般</x:v>
      </x:c>
      <x:c r="G637" s="37" t="str">
        <x:v>COMMON-INSURANCE</x:v>
      </x:c>
      <x:c r="H637" s="37" t="str">
        <x:v>待確認</x:v>
      </x:c>
      <x:c r="I637" s="37" t="str">
        <x:f>_xlfn.XLOOKUP($C637&amp;"|"&amp;$G637,'李醫師能力要求'!$M$7:$M$59,'李醫師能力要求'!$K$7:$K$59,"待確認",0)</x:f>
        <x:v>待確認</x:v>
      </x:c>
      <x:c r="J637" s="37" t="str">
        <x:v>◎</x:v>
      </x:c>
      <x:c r="K637" s="37" t="str">
        <x:v>Ø</x:v>
      </x:c>
      <x:c r="L637" s="48" t="str">
        <x:f>_xlfn.XLOOKUP($A637&amp;"|"&amp;$G637,'試行能力狀態'!$L$7:$L$258,'試行能力狀態'!$E$7:$E$258,"未評估",0)</x:f>
        <x:v>未評估</x:v>
      </x:c>
      <x:c r="M637" s="48" t="str">
        <x:f>_xlfn.XLOOKUP($A637&amp;"|"&amp;$G637,'試行能力狀態'!$L$7:$L$258,'試行能力狀態'!$F$7:$F$258,"未建立",0)</x:f>
        <x:v>未建立</x:v>
      </x:c>
      <x:c r="N637" s="48" t="str">
        <x:f>IF($L637="◎","符合獨立",IF($L637="Ø","符合條件","不符合"))</x:f>
        <x:v>不符合</x:v>
      </x:c>
      <x:c r="O637" s="48" t="str">
        <x:f>_xlfn.XLOOKUP($A637&amp;"|李侑津醫師",'試行熟悉度'!$K$7:$K$20,'試行熟悉度'!$E$7:$E$20,"未評估",0)</x:f>
        <x:v>未評估</x:v>
      </x:c>
      <x:c r="P637" s="48" t="str">
        <x:f>_xlfn.XLOOKUP($A637&amp;"|李侑津醫師",'試行熟悉度'!$K$7:$K$20,'試行熟悉度'!$F$7:$F$20,"未建立",0)</x:f>
        <x:v>未建立</x:v>
      </x:c>
      <x:c r="Q637" s="39" t="str">
        <x:v>確認後才納入自動判定</x:v>
      </x:c>
    </x:row>
    <x:row r="638">
      <x:c r="A638" s="37" t="str">
        <x:v>2006</x:v>
      </x:c>
      <x:c r="B638" s="37" t="str"/>
      <x:c r="C638" s="37" t="str">
        <x:v>LJT-FILLING</x:v>
      </x:c>
      <x:c r="D638" s="37" t="str">
        <x:v>補牙</x:v>
      </x:c>
      <x:c r="E638" s="37" t="str">
        <x:v>一般</x:v>
      </x:c>
      <x:c r="F638" s="37" t="str">
        <x:v>一般</x:v>
      </x:c>
      <x:c r="G638" s="37" t="str">
        <x:v>COMMON-XRAY-RECORD</x:v>
      </x:c>
      <x:c r="H638" s="37" t="str">
        <x:v>待確認</x:v>
      </x:c>
      <x:c r="I638" s="37" t="str">
        <x:f>_xlfn.XLOOKUP($C638&amp;"|"&amp;$G638,'李醫師能力要求'!$M$7:$M$59,'李醫師能力要求'!$K$7:$K$59,"待確認",0)</x:f>
        <x:v>待確認</x:v>
      </x:c>
      <x:c r="J638" s="37" t="str">
        <x:v>◎</x:v>
      </x:c>
      <x:c r="K638" s="37" t="str">
        <x:v>Ø</x:v>
      </x:c>
      <x:c r="L638" s="48" t="str">
        <x:f>_xlfn.XLOOKUP($A638&amp;"|"&amp;$G638,'試行能力狀態'!$L$7:$L$258,'試行能力狀態'!$E$7:$E$258,"未評估",0)</x:f>
        <x:v>未評估</x:v>
      </x:c>
      <x:c r="M638" s="48" t="str">
        <x:f>_xlfn.XLOOKUP($A638&amp;"|"&amp;$G638,'試行能力狀態'!$L$7:$L$258,'試行能力狀態'!$F$7:$F$258,"未建立",0)</x:f>
        <x:v>未建立</x:v>
      </x:c>
      <x:c r="N638" s="48" t="str">
        <x:f>IF($L638="◎","符合獨立",IF($L638="Ø","符合條件","不符合"))</x:f>
        <x:v>不符合</x:v>
      </x:c>
      <x:c r="O638" s="48" t="str">
        <x:f>_xlfn.XLOOKUP($A638&amp;"|李侑津醫師",'試行熟悉度'!$K$7:$K$20,'試行熟悉度'!$E$7:$E$20,"未評估",0)</x:f>
        <x:v>未評估</x:v>
      </x:c>
      <x:c r="P638" s="48" t="str">
        <x:f>_xlfn.XLOOKUP($A638&amp;"|李侑津醫師",'試行熟悉度'!$K$7:$K$20,'試行熟悉度'!$F$7:$F$20,"未建立",0)</x:f>
        <x:v>未建立</x:v>
      </x:c>
      <x:c r="Q638" s="39" t="str">
        <x:v>確認後才納入自動判定</x:v>
      </x:c>
    </x:row>
    <x:row r="639">
      <x:c r="A639" s="37" t="str">
        <x:v>2006</x:v>
      </x:c>
      <x:c r="B639" s="37" t="str"/>
      <x:c r="C639" s="37" t="str">
        <x:v>LJT-PERIO</x:v>
      </x:c>
      <x:c r="D639" s="37" t="str">
        <x:v>牙周統合</x:v>
      </x:c>
      <x:c r="E639" s="37" t="str">
        <x:v>一般</x:v>
      </x:c>
      <x:c r="F639" s="37" t="str">
        <x:v>一般</x:v>
      </x:c>
      <x:c r="G639" s="37" t="str">
        <x:v>LJT-PREP-PERIO</x:v>
      </x:c>
      <x:c r="H639" s="37" t="str">
        <x:v>必備</x:v>
      </x:c>
      <x:c r="I639" s="37" t="str">
        <x:f>_xlfn.XLOOKUP($C639&amp;"|"&amp;$G639,'李醫師能力要求'!$M$7:$M$59,'李醫師能力要求'!$K$7:$K$59,"待確認",0)</x:f>
        <x:v>已確認</x:v>
      </x:c>
      <x:c r="J639" s="37" t="str">
        <x:v>◎</x:v>
      </x:c>
      <x:c r="K639" s="37" t="str">
        <x:v>Ø</x:v>
      </x:c>
      <x:c r="L639" s="48" t="str">
        <x:f>_xlfn.XLOOKUP($A639&amp;"|"&amp;$G639,'試行能力狀態'!$L$7:$L$258,'試行能力狀態'!$E$7:$E$258,"未評估",0)</x:f>
        <x:v>未評估</x:v>
      </x:c>
      <x:c r="M639" s="48" t="str">
        <x:f>_xlfn.XLOOKUP($A639&amp;"|"&amp;$G639,'試行能力狀態'!$L$7:$L$258,'試行能力狀態'!$F$7:$F$258,"未建立",0)</x:f>
        <x:v>未建立</x:v>
      </x:c>
      <x:c r="N639" s="48" t="str">
        <x:f>IF($L639="◎","符合獨立",IF($L639="Ø","符合條件","不符合"))</x:f>
        <x:v>不符合</x:v>
      </x:c>
      <x:c r="O639" s="48" t="str">
        <x:f>_xlfn.XLOOKUP($A639&amp;"|李侑津醫師",'試行熟悉度'!$K$7:$K$20,'試行熟悉度'!$E$7:$E$20,"未評估",0)</x:f>
        <x:v>未評估</x:v>
      </x:c>
      <x:c r="P639" s="48" t="str">
        <x:f>_xlfn.XLOOKUP($A639&amp;"|李侑津醫師",'試行熟悉度'!$K$7:$K$20,'試行熟悉度'!$F$7:$F$20,"未建立",0)</x:f>
        <x:v>未建立</x:v>
      </x:c>
      <x:c r="Q639" s="39" t="str">
        <x:v>依一般支援名額</x:v>
      </x:c>
    </x:row>
    <x:row r="640">
      <x:c r="A640" s="37" t="str">
        <x:v>2006</x:v>
      </x:c>
      <x:c r="B640" s="37" t="str"/>
      <x:c r="C640" s="37" t="str">
        <x:v>LJT-PERIO</x:v>
      </x:c>
      <x:c r="D640" s="37" t="str">
        <x:v>牙周統合</x:v>
      </x:c>
      <x:c r="E640" s="37" t="str">
        <x:v>一般</x:v>
      </x:c>
      <x:c r="F640" s="37" t="str">
        <x:v>一般</x:v>
      </x:c>
      <x:c r="G640" s="37" t="str">
        <x:v>COMMON-RECORD</x:v>
      </x:c>
      <x:c r="H640" s="37" t="str">
        <x:v>待確認</x:v>
      </x:c>
      <x:c r="I640" s="37" t="str">
        <x:f>_xlfn.XLOOKUP($C640&amp;"|"&amp;$G640,'李醫師能力要求'!$M$7:$M$59,'李醫師能力要求'!$K$7:$K$59,"待確認",0)</x:f>
        <x:v>待確認</x:v>
      </x:c>
      <x:c r="J640" s="37" t="str">
        <x:v>◎</x:v>
      </x:c>
      <x:c r="K640" s="37" t="str">
        <x:v>Ø</x:v>
      </x:c>
      <x:c r="L640" s="48" t="str">
        <x:f>_xlfn.XLOOKUP($A640&amp;"|"&amp;$G640,'試行能力狀態'!$L$7:$L$258,'試行能力狀態'!$E$7:$E$258,"未評估",0)</x:f>
        <x:v>未評估</x:v>
      </x:c>
      <x:c r="M640" s="48" t="str">
        <x:f>_xlfn.XLOOKUP($A640&amp;"|"&amp;$G640,'試行能力狀態'!$L$7:$L$258,'試行能力狀態'!$F$7:$F$258,"未建立",0)</x:f>
        <x:v>未建立</x:v>
      </x:c>
      <x:c r="N640" s="48" t="str">
        <x:f>IF($L640="◎","符合獨立",IF($L640="Ø","符合條件","不符合"))</x:f>
        <x:v>不符合</x:v>
      </x:c>
      <x:c r="O640" s="48" t="str">
        <x:f>_xlfn.XLOOKUP($A640&amp;"|李侑津醫師",'試行熟悉度'!$K$7:$K$20,'試行熟悉度'!$E$7:$E$20,"未評估",0)</x:f>
        <x:v>未評估</x:v>
      </x:c>
      <x:c r="P640" s="48" t="str">
        <x:f>_xlfn.XLOOKUP($A640&amp;"|李侑津醫師",'試行熟悉度'!$K$7:$K$20,'試行熟悉度'!$F$7:$F$20,"未建立",0)</x:f>
        <x:v>未建立</x:v>
      </x:c>
      <x:c r="Q640" s="39" t="str">
        <x:v>確認後才納入自動判定</x:v>
      </x:c>
    </x:row>
    <x:row r="641">
      <x:c r="A641" s="37" t="str">
        <x:v>2006</x:v>
      </x:c>
      <x:c r="B641" s="37" t="str"/>
      <x:c r="C641" s="37" t="str">
        <x:v>LJT-PERIO</x:v>
      </x:c>
      <x:c r="D641" s="37" t="str">
        <x:v>牙周統合</x:v>
      </x:c>
      <x:c r="E641" s="37" t="str">
        <x:v>一般</x:v>
      </x:c>
      <x:c r="F641" s="37" t="str">
        <x:v>一般</x:v>
      </x:c>
      <x:c r="G641" s="37" t="str">
        <x:v>COMMON-INSURANCE</x:v>
      </x:c>
      <x:c r="H641" s="37" t="str">
        <x:v>待確認</x:v>
      </x:c>
      <x:c r="I641" s="37" t="str">
        <x:f>_xlfn.XLOOKUP($C641&amp;"|"&amp;$G641,'李醫師能力要求'!$M$7:$M$59,'李醫師能力要求'!$K$7:$K$59,"待確認",0)</x:f>
        <x:v>待確認</x:v>
      </x:c>
      <x:c r="J641" s="37" t="str">
        <x:v>◎</x:v>
      </x:c>
      <x:c r="K641" s="37" t="str">
        <x:v>Ø</x:v>
      </x:c>
      <x:c r="L641" s="48" t="str">
        <x:f>_xlfn.XLOOKUP($A641&amp;"|"&amp;$G641,'試行能力狀態'!$L$7:$L$258,'試行能力狀態'!$E$7:$E$258,"未評估",0)</x:f>
        <x:v>未評估</x:v>
      </x:c>
      <x:c r="M641" s="48" t="str">
        <x:f>_xlfn.XLOOKUP($A641&amp;"|"&amp;$G641,'試行能力狀態'!$L$7:$L$258,'試行能力狀態'!$F$7:$F$258,"未建立",0)</x:f>
        <x:v>未建立</x:v>
      </x:c>
      <x:c r="N641" s="48" t="str">
        <x:f>IF($L641="◎","符合獨立",IF($L641="Ø","符合條件","不符合"))</x:f>
        <x:v>不符合</x:v>
      </x:c>
      <x:c r="O641" s="48" t="str">
        <x:f>_xlfn.XLOOKUP($A641&amp;"|李侑津醫師",'試行熟悉度'!$K$7:$K$20,'試行熟悉度'!$E$7:$E$20,"未評估",0)</x:f>
        <x:v>未評估</x:v>
      </x:c>
      <x:c r="P641" s="48" t="str">
        <x:f>_xlfn.XLOOKUP($A641&amp;"|李侑津醫師",'試行熟悉度'!$K$7:$K$20,'試行熟悉度'!$F$7:$F$20,"未建立",0)</x:f>
        <x:v>未建立</x:v>
      </x:c>
      <x:c r="Q641" s="39" t="str">
        <x:v>確認後才納入自動判定</x:v>
      </x:c>
    </x:row>
    <x:row r="642">
      <x:c r="A642" s="37" t="str">
        <x:v>2006</x:v>
      </x:c>
      <x:c r="B642" s="37" t="str"/>
      <x:c r="C642" s="37" t="str">
        <x:v>LJT-PERIO</x:v>
      </x:c>
      <x:c r="D642" s="37" t="str">
        <x:v>牙周統合</x:v>
      </x:c>
      <x:c r="E642" s="37" t="str">
        <x:v>一般</x:v>
      </x:c>
      <x:c r="F642" s="37" t="str">
        <x:v>一般</x:v>
      </x:c>
      <x:c r="G642" s="37" t="str">
        <x:v>COMMON-XRAY-RECORD</x:v>
      </x:c>
      <x:c r="H642" s="37" t="str">
        <x:v>待確認</x:v>
      </x:c>
      <x:c r="I642" s="37" t="str">
        <x:f>_xlfn.XLOOKUP($C642&amp;"|"&amp;$G642,'李醫師能力要求'!$M$7:$M$59,'李醫師能力要求'!$K$7:$K$59,"待確認",0)</x:f>
        <x:v>待確認</x:v>
      </x:c>
      <x:c r="J642" s="37" t="str">
        <x:v>◎</x:v>
      </x:c>
      <x:c r="K642" s="37" t="str">
        <x:v>Ø</x:v>
      </x:c>
      <x:c r="L642" s="48" t="str">
        <x:f>_xlfn.XLOOKUP($A642&amp;"|"&amp;$G642,'試行能力狀態'!$L$7:$L$258,'試行能力狀態'!$E$7:$E$258,"未評估",0)</x:f>
        <x:v>未評估</x:v>
      </x:c>
      <x:c r="M642" s="48" t="str">
        <x:f>_xlfn.XLOOKUP($A642&amp;"|"&amp;$G642,'試行能力狀態'!$L$7:$L$258,'試行能力狀態'!$F$7:$F$258,"未建立",0)</x:f>
        <x:v>未建立</x:v>
      </x:c>
      <x:c r="N642" s="48" t="str">
        <x:f>IF($L642="◎","符合獨立",IF($L642="Ø","符合條件","不符合"))</x:f>
        <x:v>不符合</x:v>
      </x:c>
      <x:c r="O642" s="48" t="str">
        <x:f>_xlfn.XLOOKUP($A642&amp;"|李侑津醫師",'試行熟悉度'!$K$7:$K$20,'試行熟悉度'!$E$7:$E$20,"未評估",0)</x:f>
        <x:v>未評估</x:v>
      </x:c>
      <x:c r="P642" s="48" t="str">
        <x:f>_xlfn.XLOOKUP($A642&amp;"|李侑津醫師",'試行熟悉度'!$K$7:$K$20,'試行熟悉度'!$F$7:$F$20,"未建立",0)</x:f>
        <x:v>未建立</x:v>
      </x:c>
      <x:c r="Q642" s="39" t="str">
        <x:v>確認後才納入自動判定</x:v>
      </x:c>
    </x:row>
    <x:row r="643">
      <x:c r="A643" s="37" t="str">
        <x:v>2006</x:v>
      </x:c>
      <x:c r="B643" s="37" t="str"/>
      <x:c r="C643" s="37" t="str">
        <x:v>LJT-RCT</x:v>
      </x:c>
      <x:c r="D643" s="37" t="str">
        <x:v>一般根管治療</x:v>
      </x:c>
      <x:c r="E643" s="37" t="str">
        <x:v>一般</x:v>
      </x:c>
      <x:c r="F643" s="37" t="str">
        <x:v>一般</x:v>
      </x:c>
      <x:c r="G643" s="37" t="str">
        <x:v>LJT-PREP-RCT</x:v>
      </x:c>
      <x:c r="H643" s="37" t="str">
        <x:v>必備</x:v>
      </x:c>
      <x:c r="I643" s="37" t="str">
        <x:f>_xlfn.XLOOKUP($C643&amp;"|"&amp;$G643,'李醫師能力要求'!$M$7:$M$59,'李醫師能力要求'!$K$7:$K$59,"待確認",0)</x:f>
        <x:v>已確認</x:v>
      </x:c>
      <x:c r="J643" s="37" t="str">
        <x:v>◎</x:v>
      </x:c>
      <x:c r="K643" s="37" t="str">
        <x:v>Ø</x:v>
      </x:c>
      <x:c r="L643" s="48" t="str">
        <x:f>_xlfn.XLOOKUP($A643&amp;"|"&amp;$G643,'試行能力狀態'!$L$7:$L$258,'試行能力狀態'!$E$7:$E$258,"未評估",0)</x:f>
        <x:v>未評估</x:v>
      </x:c>
      <x:c r="M643" s="48" t="str">
        <x:f>_xlfn.XLOOKUP($A643&amp;"|"&amp;$G643,'試行能力狀態'!$L$7:$L$258,'試行能力狀態'!$F$7:$F$258,"未建立",0)</x:f>
        <x:v>未建立</x:v>
      </x:c>
      <x:c r="N643" s="48" t="str">
        <x:f>IF($L643="◎","符合獨立",IF($L643="Ø","符合條件","不符合"))</x:f>
        <x:v>不符合</x:v>
      </x:c>
      <x:c r="O643" s="48" t="str">
        <x:f>_xlfn.XLOOKUP($A643&amp;"|李侑津醫師",'試行熟悉度'!$K$7:$K$20,'試行熟悉度'!$E$7:$E$20,"未評估",0)</x:f>
        <x:v>未評估</x:v>
      </x:c>
      <x:c r="P643" s="48" t="str">
        <x:f>_xlfn.XLOOKUP($A643&amp;"|李侑津醫師",'試行熟悉度'!$K$7:$K$20,'試行熟悉度'!$F$7:$F$20,"未建立",0)</x:f>
        <x:v>未建立</x:v>
      </x:c>
      <x:c r="Q643" s="39" t="str">
        <x:v>依一般支援名額</x:v>
      </x:c>
    </x:row>
    <x:row r="644">
      <x:c r="A644" s="37" t="str">
        <x:v>2006</x:v>
      </x:c>
      <x:c r="B644" s="37" t="str"/>
      <x:c r="C644" s="37" t="str">
        <x:v>LJT-RCT</x:v>
      </x:c>
      <x:c r="D644" s="37" t="str">
        <x:v>一般根管治療</x:v>
      </x:c>
      <x:c r="E644" s="37" t="str">
        <x:v>一般</x:v>
      </x:c>
      <x:c r="F644" s="37" t="str">
        <x:v>一般</x:v>
      </x:c>
      <x:c r="G644" s="37" t="str">
        <x:v>COMMON-RECORD</x:v>
      </x:c>
      <x:c r="H644" s="37" t="str">
        <x:v>待確認</x:v>
      </x:c>
      <x:c r="I644" s="37" t="str">
        <x:f>_xlfn.XLOOKUP($C644&amp;"|"&amp;$G644,'李醫師能力要求'!$M$7:$M$59,'李醫師能力要求'!$K$7:$K$59,"待確認",0)</x:f>
        <x:v>待確認</x:v>
      </x:c>
      <x:c r="J644" s="37" t="str">
        <x:v>◎</x:v>
      </x:c>
      <x:c r="K644" s="37" t="str">
        <x:v>Ø</x:v>
      </x:c>
      <x:c r="L644" s="48" t="str">
        <x:f>_xlfn.XLOOKUP($A644&amp;"|"&amp;$G644,'試行能力狀態'!$L$7:$L$258,'試行能力狀態'!$E$7:$E$258,"未評估",0)</x:f>
        <x:v>未評估</x:v>
      </x:c>
      <x:c r="M644" s="48" t="str">
        <x:f>_xlfn.XLOOKUP($A644&amp;"|"&amp;$G644,'試行能力狀態'!$L$7:$L$258,'試行能力狀態'!$F$7:$F$258,"未建立",0)</x:f>
        <x:v>未建立</x:v>
      </x:c>
      <x:c r="N644" s="48" t="str">
        <x:f>IF($L644="◎","符合獨立",IF($L644="Ø","符合條件","不符合"))</x:f>
        <x:v>不符合</x:v>
      </x:c>
      <x:c r="O644" s="48" t="str">
        <x:f>_xlfn.XLOOKUP($A644&amp;"|李侑津醫師",'試行熟悉度'!$K$7:$K$20,'試行熟悉度'!$E$7:$E$20,"未評估",0)</x:f>
        <x:v>未評估</x:v>
      </x:c>
      <x:c r="P644" s="48" t="str">
        <x:f>_xlfn.XLOOKUP($A644&amp;"|李侑津醫師",'試行熟悉度'!$K$7:$K$20,'試行熟悉度'!$F$7:$F$20,"未建立",0)</x:f>
        <x:v>未建立</x:v>
      </x:c>
      <x:c r="Q644" s="39" t="str">
        <x:v>確認後才納入自動判定</x:v>
      </x:c>
    </x:row>
    <x:row r="645">
      <x:c r="A645" s="37" t="str">
        <x:v>2006</x:v>
      </x:c>
      <x:c r="B645" s="37" t="str"/>
      <x:c r="C645" s="37" t="str">
        <x:v>LJT-RCT</x:v>
      </x:c>
      <x:c r="D645" s="37" t="str">
        <x:v>一般根管治療</x:v>
      </x:c>
      <x:c r="E645" s="37" t="str">
        <x:v>一般</x:v>
      </x:c>
      <x:c r="F645" s="37" t="str">
        <x:v>一般</x:v>
      </x:c>
      <x:c r="G645" s="37" t="str">
        <x:v>COMMON-INSURANCE</x:v>
      </x:c>
      <x:c r="H645" s="37" t="str">
        <x:v>待確認</x:v>
      </x:c>
      <x:c r="I645" s="37" t="str">
        <x:f>_xlfn.XLOOKUP($C645&amp;"|"&amp;$G645,'李醫師能力要求'!$M$7:$M$59,'李醫師能力要求'!$K$7:$K$59,"待確認",0)</x:f>
        <x:v>待確認</x:v>
      </x:c>
      <x:c r="J645" s="37" t="str">
        <x:v>◎</x:v>
      </x:c>
      <x:c r="K645" s="37" t="str">
        <x:v>Ø</x:v>
      </x:c>
      <x:c r="L645" s="48" t="str">
        <x:f>_xlfn.XLOOKUP($A645&amp;"|"&amp;$G645,'試行能力狀態'!$L$7:$L$258,'試行能力狀態'!$E$7:$E$258,"未評估",0)</x:f>
        <x:v>未評估</x:v>
      </x:c>
      <x:c r="M645" s="48" t="str">
        <x:f>_xlfn.XLOOKUP($A645&amp;"|"&amp;$G645,'試行能力狀態'!$L$7:$L$258,'試行能力狀態'!$F$7:$F$258,"未建立",0)</x:f>
        <x:v>未建立</x:v>
      </x:c>
      <x:c r="N645" s="48" t="str">
        <x:f>IF($L645="◎","符合獨立",IF($L645="Ø","符合條件","不符合"))</x:f>
        <x:v>不符合</x:v>
      </x:c>
      <x:c r="O645" s="48" t="str">
        <x:f>_xlfn.XLOOKUP($A645&amp;"|李侑津醫師",'試行熟悉度'!$K$7:$K$20,'試行熟悉度'!$E$7:$E$20,"未評估",0)</x:f>
        <x:v>未評估</x:v>
      </x:c>
      <x:c r="P645" s="48" t="str">
        <x:f>_xlfn.XLOOKUP($A645&amp;"|李侑津醫師",'試行熟悉度'!$K$7:$K$20,'試行熟悉度'!$F$7:$F$20,"未建立",0)</x:f>
        <x:v>未建立</x:v>
      </x:c>
      <x:c r="Q645" s="39" t="str">
        <x:v>確認後才納入自動判定</x:v>
      </x:c>
    </x:row>
    <x:row r="646">
      <x:c r="A646" s="37" t="str">
        <x:v>2006</x:v>
      </x:c>
      <x:c r="B646" s="37" t="str"/>
      <x:c r="C646" s="37" t="str">
        <x:v>LJT-RCT</x:v>
      </x:c>
      <x:c r="D646" s="37" t="str">
        <x:v>一般根管治療</x:v>
      </x:c>
      <x:c r="E646" s="37" t="str">
        <x:v>一般</x:v>
      </x:c>
      <x:c r="F646" s="37" t="str">
        <x:v>一般</x:v>
      </x:c>
      <x:c r="G646" s="37" t="str">
        <x:v>COMMON-XRAY-RECORD</x:v>
      </x:c>
      <x:c r="H646" s="37" t="str">
        <x:v>待確認</x:v>
      </x:c>
      <x:c r="I646" s="37" t="str">
        <x:f>_xlfn.XLOOKUP($C646&amp;"|"&amp;$G646,'李醫師能力要求'!$M$7:$M$59,'李醫師能力要求'!$K$7:$K$59,"待確認",0)</x:f>
        <x:v>待確認</x:v>
      </x:c>
      <x:c r="J646" s="37" t="str">
        <x:v>◎</x:v>
      </x:c>
      <x:c r="K646" s="37" t="str">
        <x:v>Ø</x:v>
      </x:c>
      <x:c r="L646" s="48" t="str">
        <x:f>_xlfn.XLOOKUP($A646&amp;"|"&amp;$G646,'試行能力狀態'!$L$7:$L$258,'試行能力狀態'!$E$7:$E$258,"未評估",0)</x:f>
        <x:v>未評估</x:v>
      </x:c>
      <x:c r="M646" s="48" t="str">
        <x:f>_xlfn.XLOOKUP($A646&amp;"|"&amp;$G646,'試行能力狀態'!$L$7:$L$258,'試行能力狀態'!$F$7:$F$258,"未建立",0)</x:f>
        <x:v>未建立</x:v>
      </x:c>
      <x:c r="N646" s="48" t="str">
        <x:f>IF($L646="◎","符合獨立",IF($L646="Ø","符合條件","不符合"))</x:f>
        <x:v>不符合</x:v>
      </x:c>
      <x:c r="O646" s="48" t="str">
        <x:f>_xlfn.XLOOKUP($A646&amp;"|李侑津醫師",'試行熟悉度'!$K$7:$K$20,'試行熟悉度'!$E$7:$E$20,"未評估",0)</x:f>
        <x:v>未評估</x:v>
      </x:c>
      <x:c r="P646" s="48" t="str">
        <x:f>_xlfn.XLOOKUP($A646&amp;"|李侑津醫師",'試行熟悉度'!$K$7:$K$20,'試行熟悉度'!$F$7:$F$20,"未建立",0)</x:f>
        <x:v>未建立</x:v>
      </x:c>
      <x:c r="Q646" s="39" t="str">
        <x:v>確認後才納入自動判定</x:v>
      </x:c>
    </x:row>
    <x:row r="647">
      <x:c r="A647" s="37" t="str">
        <x:v>2006</x:v>
      </x:c>
      <x:c r="B647" s="37" t="str"/>
      <x:c r="C647" s="37" t="str">
        <x:v>LJT-EXTRACTION</x:v>
      </x:c>
      <x:c r="D647" s="37" t="str">
        <x:v>拔牙</x:v>
      </x:c>
      <x:c r="E647" s="37" t="str">
        <x:v>一般</x:v>
      </x:c>
      <x:c r="F647" s="37" t="str">
        <x:v>一般</x:v>
      </x:c>
      <x:c r="G647" s="37" t="str">
        <x:v>LJT-PREP-EXTRACTION</x:v>
      </x:c>
      <x:c r="H647" s="37" t="str">
        <x:v>必備</x:v>
      </x:c>
      <x:c r="I647" s="37" t="str">
        <x:f>_xlfn.XLOOKUP($C647&amp;"|"&amp;$G647,'李醫師能力要求'!$M$7:$M$59,'李醫師能力要求'!$K$7:$K$59,"待確認",0)</x:f>
        <x:v>已確認</x:v>
      </x:c>
      <x:c r="J647" s="37" t="str">
        <x:v>◎</x:v>
      </x:c>
      <x:c r="K647" s="37" t="str">
        <x:v>Ø</x:v>
      </x:c>
      <x:c r="L647" s="48" t="str">
        <x:f>_xlfn.XLOOKUP($A647&amp;"|"&amp;$G647,'試行能力狀態'!$L$7:$L$258,'試行能力狀態'!$E$7:$E$258,"未評估",0)</x:f>
        <x:v>未評估</x:v>
      </x:c>
      <x:c r="M647" s="48" t="str">
        <x:f>_xlfn.XLOOKUP($A647&amp;"|"&amp;$G647,'試行能力狀態'!$L$7:$L$258,'試行能力狀態'!$F$7:$F$258,"未建立",0)</x:f>
        <x:v>未建立</x:v>
      </x:c>
      <x:c r="N647" s="48" t="str">
        <x:f>IF($L647="◎","符合獨立",IF($L647="Ø","符合條件","不符合"))</x:f>
        <x:v>不符合</x:v>
      </x:c>
      <x:c r="O647" s="48" t="str">
        <x:f>_xlfn.XLOOKUP($A647&amp;"|李侑津醫師",'試行熟悉度'!$K$7:$K$20,'試行熟悉度'!$E$7:$E$20,"未評估",0)</x:f>
        <x:v>未評估</x:v>
      </x:c>
      <x:c r="P647" s="48" t="str">
        <x:f>_xlfn.XLOOKUP($A647&amp;"|李侑津醫師",'試行熟悉度'!$K$7:$K$20,'試行熟悉度'!$F$7:$F$20,"未建立",0)</x:f>
        <x:v>未建立</x:v>
      </x:c>
      <x:c r="Q647" s="39" t="str">
        <x:v>依一般支援名額</x:v>
      </x:c>
    </x:row>
    <x:row r="648">
      <x:c r="A648" s="37" t="str">
        <x:v>2006</x:v>
      </x:c>
      <x:c r="B648" s="37" t="str"/>
      <x:c r="C648" s="37" t="str">
        <x:v>LJT-EXTRACTION</x:v>
      </x:c>
      <x:c r="D648" s="37" t="str">
        <x:v>拔牙</x:v>
      </x:c>
      <x:c r="E648" s="37" t="str">
        <x:v>一般</x:v>
      </x:c>
      <x:c r="F648" s="37" t="str">
        <x:v>一般</x:v>
      </x:c>
      <x:c r="G648" s="37" t="str">
        <x:v>COMMON-RECORD</x:v>
      </x:c>
      <x:c r="H648" s="37" t="str">
        <x:v>待確認</x:v>
      </x:c>
      <x:c r="I648" s="37" t="str">
        <x:f>_xlfn.XLOOKUP($C648&amp;"|"&amp;$G648,'李醫師能力要求'!$M$7:$M$59,'李醫師能力要求'!$K$7:$K$59,"待確認",0)</x:f>
        <x:v>待確認</x:v>
      </x:c>
      <x:c r="J648" s="37" t="str">
        <x:v>◎</x:v>
      </x:c>
      <x:c r="K648" s="37" t="str">
        <x:v>Ø</x:v>
      </x:c>
      <x:c r="L648" s="48" t="str">
        <x:f>_xlfn.XLOOKUP($A648&amp;"|"&amp;$G648,'試行能力狀態'!$L$7:$L$258,'試行能力狀態'!$E$7:$E$258,"未評估",0)</x:f>
        <x:v>未評估</x:v>
      </x:c>
      <x:c r="M648" s="48" t="str">
        <x:f>_xlfn.XLOOKUP($A648&amp;"|"&amp;$G648,'試行能力狀態'!$L$7:$L$258,'試行能力狀態'!$F$7:$F$258,"未建立",0)</x:f>
        <x:v>未建立</x:v>
      </x:c>
      <x:c r="N648" s="48" t="str">
        <x:f>IF($L648="◎","符合獨立",IF($L648="Ø","符合條件","不符合"))</x:f>
        <x:v>不符合</x:v>
      </x:c>
      <x:c r="O648" s="48" t="str">
        <x:f>_xlfn.XLOOKUP($A648&amp;"|李侑津醫師",'試行熟悉度'!$K$7:$K$20,'試行熟悉度'!$E$7:$E$20,"未評估",0)</x:f>
        <x:v>未評估</x:v>
      </x:c>
      <x:c r="P648" s="48" t="str">
        <x:f>_xlfn.XLOOKUP($A648&amp;"|李侑津醫師",'試行熟悉度'!$K$7:$K$20,'試行熟悉度'!$F$7:$F$20,"未建立",0)</x:f>
        <x:v>未建立</x:v>
      </x:c>
      <x:c r="Q648" s="39" t="str">
        <x:v>確認後才納入自動判定</x:v>
      </x:c>
    </x:row>
    <x:row r="649">
      <x:c r="A649" s="37" t="str">
        <x:v>2006</x:v>
      </x:c>
      <x:c r="B649" s="37" t="str"/>
      <x:c r="C649" s="37" t="str">
        <x:v>LJT-EXTRACTION</x:v>
      </x:c>
      <x:c r="D649" s="37" t="str">
        <x:v>拔牙</x:v>
      </x:c>
      <x:c r="E649" s="37" t="str">
        <x:v>一般</x:v>
      </x:c>
      <x:c r="F649" s="37" t="str">
        <x:v>一般</x:v>
      </x:c>
      <x:c r="G649" s="37" t="str">
        <x:v>COMMON-INSURANCE</x:v>
      </x:c>
      <x:c r="H649" s="37" t="str">
        <x:v>待確認</x:v>
      </x:c>
      <x:c r="I649" s="37" t="str">
        <x:f>_xlfn.XLOOKUP($C649&amp;"|"&amp;$G649,'李醫師能力要求'!$M$7:$M$59,'李醫師能力要求'!$K$7:$K$59,"待確認",0)</x:f>
        <x:v>待確認</x:v>
      </x:c>
      <x:c r="J649" s="37" t="str">
        <x:v>◎</x:v>
      </x:c>
      <x:c r="K649" s="37" t="str">
        <x:v>Ø</x:v>
      </x:c>
      <x:c r="L649" s="48" t="str">
        <x:f>_xlfn.XLOOKUP($A649&amp;"|"&amp;$G649,'試行能力狀態'!$L$7:$L$258,'試行能力狀態'!$E$7:$E$258,"未評估",0)</x:f>
        <x:v>未評估</x:v>
      </x:c>
      <x:c r="M649" s="48" t="str">
        <x:f>_xlfn.XLOOKUP($A649&amp;"|"&amp;$G649,'試行能力狀態'!$L$7:$L$258,'試行能力狀態'!$F$7:$F$258,"未建立",0)</x:f>
        <x:v>未建立</x:v>
      </x:c>
      <x:c r="N649" s="48" t="str">
        <x:f>IF($L649="◎","符合獨立",IF($L649="Ø","符合條件","不符合"))</x:f>
        <x:v>不符合</x:v>
      </x:c>
      <x:c r="O649" s="48" t="str">
        <x:f>_xlfn.XLOOKUP($A649&amp;"|李侑津醫師",'試行熟悉度'!$K$7:$K$20,'試行熟悉度'!$E$7:$E$20,"未評估",0)</x:f>
        <x:v>未評估</x:v>
      </x:c>
      <x:c r="P649" s="48" t="str">
        <x:f>_xlfn.XLOOKUP($A649&amp;"|李侑津醫師",'試行熟悉度'!$K$7:$K$20,'試行熟悉度'!$F$7:$F$20,"未建立",0)</x:f>
        <x:v>未建立</x:v>
      </x:c>
      <x:c r="Q649" s="39" t="str">
        <x:v>確認後才納入自動判定</x:v>
      </x:c>
    </x:row>
    <x:row r="650">
      <x:c r="A650" s="37" t="str">
        <x:v>2006</x:v>
      </x:c>
      <x:c r="B650" s="37" t="str"/>
      <x:c r="C650" s="37" t="str">
        <x:v>LJT-EXTRACTION</x:v>
      </x:c>
      <x:c r="D650" s="37" t="str">
        <x:v>拔牙</x:v>
      </x:c>
      <x:c r="E650" s="37" t="str">
        <x:v>一般</x:v>
      </x:c>
      <x:c r="F650" s="37" t="str">
        <x:v>一般</x:v>
      </x:c>
      <x:c r="G650" s="37" t="str">
        <x:v>COMMON-XRAY-RECORD</x:v>
      </x:c>
      <x:c r="H650" s="37" t="str">
        <x:v>待確認</x:v>
      </x:c>
      <x:c r="I650" s="37" t="str">
        <x:f>_xlfn.XLOOKUP($C650&amp;"|"&amp;$G650,'李醫師能力要求'!$M$7:$M$59,'李醫師能力要求'!$K$7:$K$59,"待確認",0)</x:f>
        <x:v>待確認</x:v>
      </x:c>
      <x:c r="J650" s="37" t="str">
        <x:v>◎</x:v>
      </x:c>
      <x:c r="K650" s="37" t="str">
        <x:v>Ø</x:v>
      </x:c>
      <x:c r="L650" s="48" t="str">
        <x:f>_xlfn.XLOOKUP($A650&amp;"|"&amp;$G650,'試行能力狀態'!$L$7:$L$258,'試行能力狀態'!$E$7:$E$258,"未評估",0)</x:f>
        <x:v>未評估</x:v>
      </x:c>
      <x:c r="M650" s="48" t="str">
        <x:f>_xlfn.XLOOKUP($A650&amp;"|"&amp;$G650,'試行能力狀態'!$L$7:$L$258,'試行能力狀態'!$F$7:$F$258,"未建立",0)</x:f>
        <x:v>未建立</x:v>
      </x:c>
      <x:c r="N650" s="48" t="str">
        <x:f>IF($L650="◎","符合獨立",IF($L650="Ø","符合條件","不符合"))</x:f>
        <x:v>不符合</x:v>
      </x:c>
      <x:c r="O650" s="48" t="str">
        <x:f>_xlfn.XLOOKUP($A650&amp;"|李侑津醫師",'試行熟悉度'!$K$7:$K$20,'試行熟悉度'!$E$7:$E$20,"未評估",0)</x:f>
        <x:v>未評估</x:v>
      </x:c>
      <x:c r="P650" s="48" t="str">
        <x:f>_xlfn.XLOOKUP($A650&amp;"|李侑津醫師",'試行熟悉度'!$K$7:$K$20,'試行熟悉度'!$F$7:$F$20,"未建立",0)</x:f>
        <x:v>未建立</x:v>
      </x:c>
      <x:c r="Q650" s="39" t="str">
        <x:v>確認後才納入自動判定</x:v>
      </x:c>
    </x:row>
    <x:row r="651">
      <x:c r="A651" s="37" t="str">
        <x:v>2006</x:v>
      </x:c>
      <x:c r="B651" s="37" t="str"/>
      <x:c r="C651" s="37" t="str">
        <x:v>LJT-CROWNPOST</x:v>
      </x:c>
      <x:c r="D651" s="37" t="str">
        <x:v>拆 crown/post</x:v>
      </x:c>
      <x:c r="E651" s="37" t="str">
        <x:v>一般</x:v>
      </x:c>
      <x:c r="F651" s="37" t="str">
        <x:v>一般</x:v>
      </x:c>
      <x:c r="G651" s="37" t="str">
        <x:v>LJT-PREP-CROWNPOST</x:v>
      </x:c>
      <x:c r="H651" s="37" t="str">
        <x:v>必備</x:v>
      </x:c>
      <x:c r="I651" s="37" t="str">
        <x:f>_xlfn.XLOOKUP($C651&amp;"|"&amp;$G651,'李醫師能力要求'!$M$7:$M$59,'李醫師能力要求'!$K$7:$K$59,"待確認",0)</x:f>
        <x:v>已確認</x:v>
      </x:c>
      <x:c r="J651" s="37" t="str">
        <x:v>◎</x:v>
      </x:c>
      <x:c r="K651" s="37" t="str">
        <x:v>Ø</x:v>
      </x:c>
      <x:c r="L651" s="48" t="str">
        <x:f>_xlfn.XLOOKUP($A651&amp;"|"&amp;$G651,'試行能力狀態'!$L$7:$L$258,'試行能力狀態'!$E$7:$E$258,"未評估",0)</x:f>
        <x:v>未評估</x:v>
      </x:c>
      <x:c r="M651" s="48" t="str">
        <x:f>_xlfn.XLOOKUP($A651&amp;"|"&amp;$G651,'試行能力狀態'!$L$7:$L$258,'試行能力狀態'!$F$7:$F$258,"未建立",0)</x:f>
        <x:v>未建立</x:v>
      </x:c>
      <x:c r="N651" s="48" t="str">
        <x:f>IF($L651="◎","符合獨立",IF($L651="Ø","符合條件","不符合"))</x:f>
        <x:v>不符合</x:v>
      </x:c>
      <x:c r="O651" s="48" t="str">
        <x:f>_xlfn.XLOOKUP($A651&amp;"|李侑津醫師",'試行熟悉度'!$K$7:$K$20,'試行熟悉度'!$E$7:$E$20,"未評估",0)</x:f>
        <x:v>未評估</x:v>
      </x:c>
      <x:c r="P651" s="48" t="str">
        <x:f>_xlfn.XLOOKUP($A651&amp;"|李侑津醫師",'試行熟悉度'!$K$7:$K$20,'試行熟悉度'!$F$7:$F$20,"未建立",0)</x:f>
        <x:v>未建立</x:v>
      </x:c>
      <x:c r="Q651" s="39" t="str">
        <x:v>依一般支援名額</x:v>
      </x:c>
    </x:row>
    <x:row r="652">
      <x:c r="A652" s="37" t="str">
        <x:v>2006</x:v>
      </x:c>
      <x:c r="B652" s="37" t="str"/>
      <x:c r="C652" s="37" t="str">
        <x:v>LJT-CROWNPOST</x:v>
      </x:c>
      <x:c r="D652" s="37" t="str">
        <x:v>拆 crown/post</x:v>
      </x:c>
      <x:c r="E652" s="37" t="str">
        <x:v>一般</x:v>
      </x:c>
      <x:c r="F652" s="37" t="str">
        <x:v>一般</x:v>
      </x:c>
      <x:c r="G652" s="37" t="str">
        <x:v>COMMON-RECORD</x:v>
      </x:c>
      <x:c r="H652" s="37" t="str">
        <x:v>待確認</x:v>
      </x:c>
      <x:c r="I652" s="37" t="str">
        <x:f>_xlfn.XLOOKUP($C652&amp;"|"&amp;$G652,'李醫師能力要求'!$M$7:$M$59,'李醫師能力要求'!$K$7:$K$59,"待確認",0)</x:f>
        <x:v>待確認</x:v>
      </x:c>
      <x:c r="J652" s="37" t="str">
        <x:v>◎</x:v>
      </x:c>
      <x:c r="K652" s="37" t="str">
        <x:v>Ø</x:v>
      </x:c>
      <x:c r="L652" s="48" t="str">
        <x:f>_xlfn.XLOOKUP($A652&amp;"|"&amp;$G652,'試行能力狀態'!$L$7:$L$258,'試行能力狀態'!$E$7:$E$258,"未評估",0)</x:f>
        <x:v>未評估</x:v>
      </x:c>
      <x:c r="M652" s="48" t="str">
        <x:f>_xlfn.XLOOKUP($A652&amp;"|"&amp;$G652,'試行能力狀態'!$L$7:$L$258,'試行能力狀態'!$F$7:$F$258,"未建立",0)</x:f>
        <x:v>未建立</x:v>
      </x:c>
      <x:c r="N652" s="48" t="str">
        <x:f>IF($L652="◎","符合獨立",IF($L652="Ø","符合條件","不符合"))</x:f>
        <x:v>不符合</x:v>
      </x:c>
      <x:c r="O652" s="48" t="str">
        <x:f>_xlfn.XLOOKUP($A652&amp;"|李侑津醫師",'試行熟悉度'!$K$7:$K$20,'試行熟悉度'!$E$7:$E$20,"未評估",0)</x:f>
        <x:v>未評估</x:v>
      </x:c>
      <x:c r="P652" s="48" t="str">
        <x:f>_xlfn.XLOOKUP($A652&amp;"|李侑津醫師",'試行熟悉度'!$K$7:$K$20,'試行熟悉度'!$F$7:$F$20,"未建立",0)</x:f>
        <x:v>未建立</x:v>
      </x:c>
      <x:c r="Q652" s="39" t="str">
        <x:v>確認後才納入自動判定</x:v>
      </x:c>
    </x:row>
    <x:row r="653">
      <x:c r="A653" s="37" t="str">
        <x:v>2006</x:v>
      </x:c>
      <x:c r="B653" s="37" t="str"/>
      <x:c r="C653" s="37" t="str">
        <x:v>LJT-CROWNPOST</x:v>
      </x:c>
      <x:c r="D653" s="37" t="str">
        <x:v>拆 crown/post</x:v>
      </x:c>
      <x:c r="E653" s="37" t="str">
        <x:v>一般</x:v>
      </x:c>
      <x:c r="F653" s="37" t="str">
        <x:v>一般</x:v>
      </x:c>
      <x:c r="G653" s="37" t="str">
        <x:v>COMMON-INSURANCE</x:v>
      </x:c>
      <x:c r="H653" s="37" t="str">
        <x:v>待確認</x:v>
      </x:c>
      <x:c r="I653" s="37" t="str">
        <x:f>_xlfn.XLOOKUP($C653&amp;"|"&amp;$G653,'李醫師能力要求'!$M$7:$M$59,'李醫師能力要求'!$K$7:$K$59,"待確認",0)</x:f>
        <x:v>待確認</x:v>
      </x:c>
      <x:c r="J653" s="37" t="str">
        <x:v>◎</x:v>
      </x:c>
      <x:c r="K653" s="37" t="str">
        <x:v>Ø</x:v>
      </x:c>
      <x:c r="L653" s="48" t="str">
        <x:f>_xlfn.XLOOKUP($A653&amp;"|"&amp;$G653,'試行能力狀態'!$L$7:$L$258,'試行能力狀態'!$E$7:$E$258,"未評估",0)</x:f>
        <x:v>未評估</x:v>
      </x:c>
      <x:c r="M653" s="48" t="str">
        <x:f>_xlfn.XLOOKUP($A653&amp;"|"&amp;$G653,'試行能力狀態'!$L$7:$L$258,'試行能力狀態'!$F$7:$F$258,"未建立",0)</x:f>
        <x:v>未建立</x:v>
      </x:c>
      <x:c r="N653" s="48" t="str">
        <x:f>IF($L653="◎","符合獨立",IF($L653="Ø","符合條件","不符合"))</x:f>
        <x:v>不符合</x:v>
      </x:c>
      <x:c r="O653" s="48" t="str">
        <x:f>_xlfn.XLOOKUP($A653&amp;"|李侑津醫師",'試行熟悉度'!$K$7:$K$20,'試行熟悉度'!$E$7:$E$20,"未評估",0)</x:f>
        <x:v>未評估</x:v>
      </x:c>
      <x:c r="P653" s="48" t="str">
        <x:f>_xlfn.XLOOKUP($A653&amp;"|李侑津醫師",'試行熟悉度'!$K$7:$K$20,'試行熟悉度'!$F$7:$F$20,"未建立",0)</x:f>
        <x:v>未建立</x:v>
      </x:c>
      <x:c r="Q653" s="39" t="str">
        <x:v>確認後才納入自動判定</x:v>
      </x:c>
    </x:row>
    <x:row r="654">
      <x:c r="A654" s="37" t="str">
        <x:v>2006</x:v>
      </x:c>
      <x:c r="B654" s="37" t="str"/>
      <x:c r="C654" s="37" t="str">
        <x:v>LJT-CROWNPOST</x:v>
      </x:c>
      <x:c r="D654" s="37" t="str">
        <x:v>拆 crown/post</x:v>
      </x:c>
      <x:c r="E654" s="37" t="str">
        <x:v>一般</x:v>
      </x:c>
      <x:c r="F654" s="37" t="str">
        <x:v>一般</x:v>
      </x:c>
      <x:c r="G654" s="37" t="str">
        <x:v>COMMON-XRAY-RECORD</x:v>
      </x:c>
      <x:c r="H654" s="37" t="str">
        <x:v>待確認</x:v>
      </x:c>
      <x:c r="I654" s="37" t="str">
        <x:f>_xlfn.XLOOKUP($C654&amp;"|"&amp;$G654,'李醫師能力要求'!$M$7:$M$59,'李醫師能力要求'!$K$7:$K$59,"待確認",0)</x:f>
        <x:v>待確認</x:v>
      </x:c>
      <x:c r="J654" s="37" t="str">
        <x:v>◎</x:v>
      </x:c>
      <x:c r="K654" s="37" t="str">
        <x:v>Ø</x:v>
      </x:c>
      <x:c r="L654" s="48" t="str">
        <x:f>_xlfn.XLOOKUP($A654&amp;"|"&amp;$G654,'試行能力狀態'!$L$7:$L$258,'試行能力狀態'!$E$7:$E$258,"未評估",0)</x:f>
        <x:v>未評估</x:v>
      </x:c>
      <x:c r="M654" s="48" t="str">
        <x:f>_xlfn.XLOOKUP($A654&amp;"|"&amp;$G654,'試行能力狀態'!$L$7:$L$258,'試行能力狀態'!$F$7:$F$258,"未建立",0)</x:f>
        <x:v>未建立</x:v>
      </x:c>
      <x:c r="N654" s="48" t="str">
        <x:f>IF($L654="◎","符合獨立",IF($L654="Ø","符合條件","不符合"))</x:f>
        <x:v>不符合</x:v>
      </x:c>
      <x:c r="O654" s="48" t="str">
        <x:f>_xlfn.XLOOKUP($A654&amp;"|李侑津醫師",'試行熟悉度'!$K$7:$K$20,'試行熟悉度'!$E$7:$E$20,"未評估",0)</x:f>
        <x:v>未評估</x:v>
      </x:c>
      <x:c r="P654" s="48" t="str">
        <x:f>_xlfn.XLOOKUP($A654&amp;"|李侑津醫師",'試行熟悉度'!$K$7:$K$20,'試行熟悉度'!$F$7:$F$20,"未建立",0)</x:f>
        <x:v>未建立</x:v>
      </x:c>
      <x:c r="Q654" s="39" t="str">
        <x:v>確認後才納入自動判定</x:v>
      </x:c>
    </x:row>
    <x:row r="655">
      <x:c r="A655" s="37" t="str">
        <x:v>2006</x:v>
      </x:c>
      <x:c r="B655" s="37" t="str"/>
      <x:c r="C655" s="37" t="str">
        <x:v>LJT-CROWN</x:v>
      </x:c>
      <x:c r="D655" s="37" t="str">
        <x:v>固定假牙</x:v>
      </x:c>
      <x:c r="E655" s="37" t="str">
        <x:v>一般</x:v>
      </x:c>
      <x:c r="F655" s="37" t="str">
        <x:v>一般</x:v>
      </x:c>
      <x:c r="G655" s="37" t="str">
        <x:v>LJT-PREP-CROWN</x:v>
      </x:c>
      <x:c r="H655" s="37" t="str">
        <x:v>必備</x:v>
      </x:c>
      <x:c r="I655" s="37" t="str">
        <x:f>_xlfn.XLOOKUP($C655&amp;"|"&amp;$G655,'李醫師能力要求'!$M$7:$M$59,'李醫師能力要求'!$K$7:$K$59,"待確認",0)</x:f>
        <x:v>已確認</x:v>
      </x:c>
      <x:c r="J655" s="37" t="str">
        <x:v>◎</x:v>
      </x:c>
      <x:c r="K655" s="37" t="str">
        <x:v>Ø</x:v>
      </x:c>
      <x:c r="L655" s="48" t="str">
        <x:f>_xlfn.XLOOKUP($A655&amp;"|"&amp;$G655,'試行能力狀態'!$L$7:$L$258,'試行能力狀態'!$E$7:$E$258,"未評估",0)</x:f>
        <x:v>未評估</x:v>
      </x:c>
      <x:c r="M655" s="48" t="str">
        <x:f>_xlfn.XLOOKUP($A655&amp;"|"&amp;$G655,'試行能力狀態'!$L$7:$L$258,'試行能力狀態'!$F$7:$F$258,"未建立",0)</x:f>
        <x:v>未建立</x:v>
      </x:c>
      <x:c r="N655" s="48" t="str">
        <x:f>IF($L655="◎","符合獨立",IF($L655="Ø","符合條件","不符合"))</x:f>
        <x:v>不符合</x:v>
      </x:c>
      <x:c r="O655" s="48" t="str">
        <x:f>_xlfn.XLOOKUP($A655&amp;"|李侑津醫師",'試行熟悉度'!$K$7:$K$20,'試行熟悉度'!$E$7:$E$20,"未評估",0)</x:f>
        <x:v>未評估</x:v>
      </x:c>
      <x:c r="P655" s="48" t="str">
        <x:f>_xlfn.XLOOKUP($A655&amp;"|李侑津醫師",'試行熟悉度'!$K$7:$K$20,'試行熟悉度'!$F$7:$F$20,"未建立",0)</x:f>
        <x:v>未建立</x:v>
      </x:c>
      <x:c r="Q655" s="39" t="str">
        <x:v>依一般支援名額</x:v>
      </x:c>
    </x:row>
    <x:row r="656">
      <x:c r="A656" s="37" t="str">
        <x:v>2006</x:v>
      </x:c>
      <x:c r="B656" s="37" t="str"/>
      <x:c r="C656" s="37" t="str">
        <x:v>LJT-CROWN</x:v>
      </x:c>
      <x:c r="D656" s="37" t="str">
        <x:v>固定假牙</x:v>
      </x:c>
      <x:c r="E656" s="37" t="str">
        <x:v>一般</x:v>
      </x:c>
      <x:c r="F656" s="37" t="str">
        <x:v>一般</x:v>
      </x:c>
      <x:c r="G656" s="37" t="str">
        <x:v>COMMON-RECORD</x:v>
      </x:c>
      <x:c r="H656" s="37" t="str">
        <x:v>待確認</x:v>
      </x:c>
      <x:c r="I656" s="37" t="str">
        <x:f>_xlfn.XLOOKUP($C656&amp;"|"&amp;$G656,'李醫師能力要求'!$M$7:$M$59,'李醫師能力要求'!$K$7:$K$59,"待確認",0)</x:f>
        <x:v>待確認</x:v>
      </x:c>
      <x:c r="J656" s="37" t="str">
        <x:v>◎</x:v>
      </x:c>
      <x:c r="K656" s="37" t="str">
        <x:v>Ø</x:v>
      </x:c>
      <x:c r="L656" s="48" t="str">
        <x:f>_xlfn.XLOOKUP($A656&amp;"|"&amp;$G656,'試行能力狀態'!$L$7:$L$258,'試行能力狀態'!$E$7:$E$258,"未評估",0)</x:f>
        <x:v>未評估</x:v>
      </x:c>
      <x:c r="M656" s="48" t="str">
        <x:f>_xlfn.XLOOKUP($A656&amp;"|"&amp;$G656,'試行能力狀態'!$L$7:$L$258,'試行能力狀態'!$F$7:$F$258,"未建立",0)</x:f>
        <x:v>未建立</x:v>
      </x:c>
      <x:c r="N656" s="48" t="str">
        <x:f>IF($L656="◎","符合獨立",IF($L656="Ø","符合條件","不符合"))</x:f>
        <x:v>不符合</x:v>
      </x:c>
      <x:c r="O656" s="48" t="str">
        <x:f>_xlfn.XLOOKUP($A656&amp;"|李侑津醫師",'試行熟悉度'!$K$7:$K$20,'試行熟悉度'!$E$7:$E$20,"未評估",0)</x:f>
        <x:v>未評估</x:v>
      </x:c>
      <x:c r="P656" s="48" t="str">
        <x:f>_xlfn.XLOOKUP($A656&amp;"|李侑津醫師",'試行熟悉度'!$K$7:$K$20,'試行熟悉度'!$F$7:$F$20,"未建立",0)</x:f>
        <x:v>未建立</x:v>
      </x:c>
      <x:c r="Q656" s="39" t="str">
        <x:v>確認後才納入自動判定</x:v>
      </x:c>
    </x:row>
    <x:row r="657">
      <x:c r="A657" s="37" t="str">
        <x:v>2006</x:v>
      </x:c>
      <x:c r="B657" s="37" t="str"/>
      <x:c r="C657" s="37" t="str">
        <x:v>LJT-CROWN</x:v>
      </x:c>
      <x:c r="D657" s="37" t="str">
        <x:v>固定假牙</x:v>
      </x:c>
      <x:c r="E657" s="37" t="str">
        <x:v>一般</x:v>
      </x:c>
      <x:c r="F657" s="37" t="str">
        <x:v>一般</x:v>
      </x:c>
      <x:c r="G657" s="37" t="str">
        <x:v>COMMON-INSURANCE</x:v>
      </x:c>
      <x:c r="H657" s="37" t="str">
        <x:v>待確認</x:v>
      </x:c>
      <x:c r="I657" s="37" t="str">
        <x:f>_xlfn.XLOOKUP($C657&amp;"|"&amp;$G657,'李醫師能力要求'!$M$7:$M$59,'李醫師能力要求'!$K$7:$K$59,"待確認",0)</x:f>
        <x:v>待確認</x:v>
      </x:c>
      <x:c r="J657" s="37" t="str">
        <x:v>◎</x:v>
      </x:c>
      <x:c r="K657" s="37" t="str">
        <x:v>Ø</x:v>
      </x:c>
      <x:c r="L657" s="48" t="str">
        <x:f>_xlfn.XLOOKUP($A657&amp;"|"&amp;$G657,'試行能力狀態'!$L$7:$L$258,'試行能力狀態'!$E$7:$E$258,"未評估",0)</x:f>
        <x:v>未評估</x:v>
      </x:c>
      <x:c r="M657" s="48" t="str">
        <x:f>_xlfn.XLOOKUP($A657&amp;"|"&amp;$G657,'試行能力狀態'!$L$7:$L$258,'試行能力狀態'!$F$7:$F$258,"未建立",0)</x:f>
        <x:v>未建立</x:v>
      </x:c>
      <x:c r="N657" s="48" t="str">
        <x:f>IF($L657="◎","符合獨立",IF($L657="Ø","符合條件","不符合"))</x:f>
        <x:v>不符合</x:v>
      </x:c>
      <x:c r="O657" s="48" t="str">
        <x:f>_xlfn.XLOOKUP($A657&amp;"|李侑津醫師",'試行熟悉度'!$K$7:$K$20,'試行熟悉度'!$E$7:$E$20,"未評估",0)</x:f>
        <x:v>未評估</x:v>
      </x:c>
      <x:c r="P657" s="48" t="str">
        <x:f>_xlfn.XLOOKUP($A657&amp;"|李侑津醫師",'試行熟悉度'!$K$7:$K$20,'試行熟悉度'!$F$7:$F$20,"未建立",0)</x:f>
        <x:v>未建立</x:v>
      </x:c>
      <x:c r="Q657" s="39" t="str">
        <x:v>確認後才納入自動判定</x:v>
      </x:c>
    </x:row>
    <x:row r="658">
      <x:c r="A658" s="37" t="str">
        <x:v>2006</x:v>
      </x:c>
      <x:c r="B658" s="37" t="str"/>
      <x:c r="C658" s="37" t="str">
        <x:v>LJT-CROWN</x:v>
      </x:c>
      <x:c r="D658" s="37" t="str">
        <x:v>固定假牙</x:v>
      </x:c>
      <x:c r="E658" s="37" t="str">
        <x:v>一般</x:v>
      </x:c>
      <x:c r="F658" s="37" t="str">
        <x:v>一般</x:v>
      </x:c>
      <x:c r="G658" s="37" t="str">
        <x:v>COMMON-XRAY-RECORD</x:v>
      </x:c>
      <x:c r="H658" s="37" t="str">
        <x:v>待確認</x:v>
      </x:c>
      <x:c r="I658" s="37" t="str">
        <x:f>_xlfn.XLOOKUP($C658&amp;"|"&amp;$G658,'李醫師能力要求'!$M$7:$M$59,'李醫師能力要求'!$K$7:$K$59,"待確認",0)</x:f>
        <x:v>待確認</x:v>
      </x:c>
      <x:c r="J658" s="37" t="str">
        <x:v>◎</x:v>
      </x:c>
      <x:c r="K658" s="37" t="str">
        <x:v>Ø</x:v>
      </x:c>
      <x:c r="L658" s="48" t="str">
        <x:f>_xlfn.XLOOKUP($A658&amp;"|"&amp;$G658,'試行能力狀態'!$L$7:$L$258,'試行能力狀態'!$E$7:$E$258,"未評估",0)</x:f>
        <x:v>未評估</x:v>
      </x:c>
      <x:c r="M658" s="48" t="str">
        <x:f>_xlfn.XLOOKUP($A658&amp;"|"&amp;$G658,'試行能力狀態'!$L$7:$L$258,'試行能力狀態'!$F$7:$F$258,"未建立",0)</x:f>
        <x:v>未建立</x:v>
      </x:c>
      <x:c r="N658" s="48" t="str">
        <x:f>IF($L658="◎","符合獨立",IF($L658="Ø","符合條件","不符合"))</x:f>
        <x:v>不符合</x:v>
      </x:c>
      <x:c r="O658" s="48" t="str">
        <x:f>_xlfn.XLOOKUP($A658&amp;"|李侑津醫師",'試行熟悉度'!$K$7:$K$20,'試行熟悉度'!$E$7:$E$20,"未評估",0)</x:f>
        <x:v>未評估</x:v>
      </x:c>
      <x:c r="P658" s="48" t="str">
        <x:f>_xlfn.XLOOKUP($A658&amp;"|李侑津醫師",'試行熟悉度'!$K$7:$K$20,'試行熟悉度'!$F$7:$F$20,"未建立",0)</x:f>
        <x:v>未建立</x:v>
      </x:c>
      <x:c r="Q658" s="39" t="str">
        <x:v>確認後才納入自動判定</x:v>
      </x:c>
    </x:row>
    <x:row r="659">
      <x:c r="A659" s="37" t="str">
        <x:v>2006</x:v>
      </x:c>
      <x:c r="B659" s="37" t="str"/>
      <x:c r="C659" s="37" t="str">
        <x:v>LJT-RPD</x:v>
      </x:c>
      <x:c r="D659" s="37" t="str">
        <x:v>RPD</x:v>
      </x:c>
      <x:c r="E659" s="37" t="str">
        <x:v>一般步驟</x:v>
      </x:c>
      <x:c r="F659" s="37" t="str">
        <x:v>一般</x:v>
      </x:c>
      <x:c r="G659" s="37" t="str">
        <x:v>LJT-PREP-RPD</x:v>
      </x:c>
      <x:c r="H659" s="37" t="str">
        <x:v>必備</x:v>
      </x:c>
      <x:c r="I659" s="37" t="str">
        <x:f>_xlfn.XLOOKUP($C659&amp;"|"&amp;$G659,'李醫師能力要求'!$M$7:$M$59,'李醫師能力要求'!$K$7:$K$59,"待確認",0)</x:f>
        <x:v>已確認</x:v>
      </x:c>
      <x:c r="J659" s="37" t="str">
        <x:v>◎</x:v>
      </x:c>
      <x:c r="K659" s="37" t="str">
        <x:v>Ø</x:v>
      </x:c>
      <x:c r="L659" s="48" t="str">
        <x:f>_xlfn.XLOOKUP($A659&amp;"|"&amp;$G659,'試行能力狀態'!$L$7:$L$258,'試行能力狀態'!$E$7:$E$258,"未評估",0)</x:f>
        <x:v>未評估</x:v>
      </x:c>
      <x:c r="M659" s="48" t="str">
        <x:f>_xlfn.XLOOKUP($A659&amp;"|"&amp;$G659,'試行能力狀態'!$L$7:$L$258,'試行能力狀態'!$F$7:$F$258,"未建立",0)</x:f>
        <x:v>未建立</x:v>
      </x:c>
      <x:c r="N659" s="48" t="str">
        <x:f>IF($L659="◎","符合獨立",IF($L659="Ø","符合條件","不符合"))</x:f>
        <x:v>不符合</x:v>
      </x:c>
      <x:c r="O659" s="48" t="str">
        <x:f>_xlfn.XLOOKUP($A659&amp;"|李侑津醫師",'試行熟悉度'!$K$7:$K$20,'試行熟悉度'!$E$7:$E$20,"未評估",0)</x:f>
        <x:v>未評估</x:v>
      </x:c>
      <x:c r="P659" s="48" t="str">
        <x:f>_xlfn.XLOOKUP($A659&amp;"|李侑津醫師",'試行熟悉度'!$K$7:$K$20,'試行熟悉度'!$F$7:$F$20,"未建立",0)</x:f>
        <x:v>未建立</x:v>
      </x:c>
      <x:c r="Q659" s="39" t="str">
        <x:v>依一般支援名額</x:v>
      </x:c>
    </x:row>
    <x:row r="660">
      <x:c r="A660" s="37" t="str">
        <x:v>2006</x:v>
      </x:c>
      <x:c r="B660" s="37" t="str"/>
      <x:c r="C660" s="37" t="str">
        <x:v>LJT-RPD</x:v>
      </x:c>
      <x:c r="D660" s="37" t="str">
        <x:v>RPD</x:v>
      </x:c>
      <x:c r="E660" s="37" t="str">
        <x:v>一般步驟</x:v>
      </x:c>
      <x:c r="F660" s="37" t="str">
        <x:v>一般</x:v>
      </x:c>
      <x:c r="G660" s="37" t="str">
        <x:v>COMMON-RECORD</x:v>
      </x:c>
      <x:c r="H660" s="37" t="str">
        <x:v>待確認</x:v>
      </x:c>
      <x:c r="I660" s="37" t="str">
        <x:f>_xlfn.XLOOKUP($C660&amp;"|"&amp;$G660,'李醫師能力要求'!$M$7:$M$59,'李醫師能力要求'!$K$7:$K$59,"待確認",0)</x:f>
        <x:v>待確認</x:v>
      </x:c>
      <x:c r="J660" s="37" t="str">
        <x:v>◎</x:v>
      </x:c>
      <x:c r="K660" s="37" t="str">
        <x:v>Ø</x:v>
      </x:c>
      <x:c r="L660" s="48" t="str">
        <x:f>_xlfn.XLOOKUP($A660&amp;"|"&amp;$G660,'試行能力狀態'!$L$7:$L$258,'試行能力狀態'!$E$7:$E$258,"未評估",0)</x:f>
        <x:v>未評估</x:v>
      </x:c>
      <x:c r="M660" s="48" t="str">
        <x:f>_xlfn.XLOOKUP($A660&amp;"|"&amp;$G660,'試行能力狀態'!$L$7:$L$258,'試行能力狀態'!$F$7:$F$258,"未建立",0)</x:f>
        <x:v>未建立</x:v>
      </x:c>
      <x:c r="N660" s="48" t="str">
        <x:f>IF($L660="◎","符合獨立",IF($L660="Ø","符合條件","不符合"))</x:f>
        <x:v>不符合</x:v>
      </x:c>
      <x:c r="O660" s="48" t="str">
        <x:f>_xlfn.XLOOKUP($A660&amp;"|李侑津醫師",'試行熟悉度'!$K$7:$K$20,'試行熟悉度'!$E$7:$E$20,"未評估",0)</x:f>
        <x:v>未評估</x:v>
      </x:c>
      <x:c r="P660" s="48" t="str">
        <x:f>_xlfn.XLOOKUP($A660&amp;"|李侑津醫師",'試行熟悉度'!$K$7:$K$20,'試行熟悉度'!$F$7:$F$20,"未建立",0)</x:f>
        <x:v>未建立</x:v>
      </x:c>
      <x:c r="Q660" s="39" t="str">
        <x:v>確認後才納入自動判定</x:v>
      </x:c>
    </x:row>
    <x:row r="661">
      <x:c r="A661" s="37" t="str">
        <x:v>2006</x:v>
      </x:c>
      <x:c r="B661" s="37" t="str"/>
      <x:c r="C661" s="37" t="str">
        <x:v>LJT-RPD</x:v>
      </x:c>
      <x:c r="D661" s="37" t="str">
        <x:v>RPD</x:v>
      </x:c>
      <x:c r="E661" s="37" t="str">
        <x:v>一般步驟</x:v>
      </x:c>
      <x:c r="F661" s="37" t="str">
        <x:v>一般</x:v>
      </x:c>
      <x:c r="G661" s="37" t="str">
        <x:v>COMMON-INSURANCE</x:v>
      </x:c>
      <x:c r="H661" s="37" t="str">
        <x:v>待確認</x:v>
      </x:c>
      <x:c r="I661" s="37" t="str">
        <x:f>_xlfn.XLOOKUP($C661&amp;"|"&amp;$G661,'李醫師能力要求'!$M$7:$M$59,'李醫師能力要求'!$K$7:$K$59,"待確認",0)</x:f>
        <x:v>待確認</x:v>
      </x:c>
      <x:c r="J661" s="37" t="str">
        <x:v>◎</x:v>
      </x:c>
      <x:c r="K661" s="37" t="str">
        <x:v>Ø</x:v>
      </x:c>
      <x:c r="L661" s="48" t="str">
        <x:f>_xlfn.XLOOKUP($A661&amp;"|"&amp;$G661,'試行能力狀態'!$L$7:$L$258,'試行能力狀態'!$E$7:$E$258,"未評估",0)</x:f>
        <x:v>未評估</x:v>
      </x:c>
      <x:c r="M661" s="48" t="str">
        <x:f>_xlfn.XLOOKUP($A661&amp;"|"&amp;$G661,'試行能力狀態'!$L$7:$L$258,'試行能力狀態'!$F$7:$F$258,"未建立",0)</x:f>
        <x:v>未建立</x:v>
      </x:c>
      <x:c r="N661" s="48" t="str">
        <x:f>IF($L661="◎","符合獨立",IF($L661="Ø","符合條件","不符合"))</x:f>
        <x:v>不符合</x:v>
      </x:c>
      <x:c r="O661" s="48" t="str">
        <x:f>_xlfn.XLOOKUP($A661&amp;"|李侑津醫師",'試行熟悉度'!$K$7:$K$20,'試行熟悉度'!$E$7:$E$20,"未評估",0)</x:f>
        <x:v>未評估</x:v>
      </x:c>
      <x:c r="P661" s="48" t="str">
        <x:f>_xlfn.XLOOKUP($A661&amp;"|李侑津醫師",'試行熟悉度'!$K$7:$K$20,'試行熟悉度'!$F$7:$F$20,"未建立",0)</x:f>
        <x:v>未建立</x:v>
      </x:c>
      <x:c r="Q661" s="39" t="str">
        <x:v>確認後才納入自動判定</x:v>
      </x:c>
    </x:row>
    <x:row r="662">
      <x:c r="A662" s="37" t="str">
        <x:v>2006</x:v>
      </x:c>
      <x:c r="B662" s="37" t="str"/>
      <x:c r="C662" s="37" t="str">
        <x:v>LJT-RPD</x:v>
      </x:c>
      <x:c r="D662" s="37" t="str">
        <x:v>RPD</x:v>
      </x:c>
      <x:c r="E662" s="37" t="str">
        <x:v>一般步驟</x:v>
      </x:c>
      <x:c r="F662" s="37" t="str">
        <x:v>一般</x:v>
      </x:c>
      <x:c r="G662" s="37" t="str">
        <x:v>COMMON-XRAY-RECORD</x:v>
      </x:c>
      <x:c r="H662" s="37" t="str">
        <x:v>待確認</x:v>
      </x:c>
      <x:c r="I662" s="37" t="str">
        <x:f>_xlfn.XLOOKUP($C662&amp;"|"&amp;$G662,'李醫師能力要求'!$M$7:$M$59,'李醫師能力要求'!$K$7:$K$59,"待確認",0)</x:f>
        <x:v>待確認</x:v>
      </x:c>
      <x:c r="J662" s="37" t="str">
        <x:v>◎</x:v>
      </x:c>
      <x:c r="K662" s="37" t="str">
        <x:v>Ø</x:v>
      </x:c>
      <x:c r="L662" s="48" t="str">
        <x:f>_xlfn.XLOOKUP($A662&amp;"|"&amp;$G662,'試行能力狀態'!$L$7:$L$258,'試行能力狀態'!$E$7:$E$258,"未評估",0)</x:f>
        <x:v>未評估</x:v>
      </x:c>
      <x:c r="M662" s="48" t="str">
        <x:f>_xlfn.XLOOKUP($A662&amp;"|"&amp;$G662,'試行能力狀態'!$L$7:$L$258,'試行能力狀態'!$F$7:$F$258,"未建立",0)</x:f>
        <x:v>未建立</x:v>
      </x:c>
      <x:c r="N662" s="48" t="str">
        <x:f>IF($L662="◎","符合獨立",IF($L662="Ø","符合條件","不符合"))</x:f>
        <x:v>不符合</x:v>
      </x:c>
      <x:c r="O662" s="48" t="str">
        <x:f>_xlfn.XLOOKUP($A662&amp;"|李侑津醫師",'試行熟悉度'!$K$7:$K$20,'試行熟悉度'!$E$7:$E$20,"未評估",0)</x:f>
        <x:v>未評估</x:v>
      </x:c>
      <x:c r="P662" s="48" t="str">
        <x:f>_xlfn.XLOOKUP($A662&amp;"|李侑津醫師",'試行熟悉度'!$K$7:$K$20,'試行熟悉度'!$F$7:$F$20,"未建立",0)</x:f>
        <x:v>未建立</x:v>
      </x:c>
      <x:c r="Q662" s="39" t="str">
        <x:v>確認後才納入自動判定</x:v>
      </x:c>
    </x:row>
    <x:row r="663">
      <x:c r="A663" s="37" t="str">
        <x:v>2006</x:v>
      </x:c>
      <x:c r="B663" s="37" t="str"/>
      <x:c r="C663" s="37" t="str">
        <x:v>LJT-RPD-FINAL</x:v>
      </x:c>
      <x:c r="D663" s="37" t="str">
        <x:v>RPD</x:v>
      </x:c>
      <x:c r="E663" s="37" t="str">
        <x:v>印最終模</x:v>
      </x:c>
      <x:c r="F663" s="37" t="str">
        <x:v>特殊階段</x:v>
      </x:c>
      <x:c r="G663" s="37" t="str">
        <x:v>LJT-PREP-RPD</x:v>
      </x:c>
      <x:c r="H663" s="37" t="str">
        <x:v>必備</x:v>
      </x:c>
      <x:c r="I663" s="37" t="str">
        <x:f>_xlfn.XLOOKUP($C663&amp;"|"&amp;$G663,'李醫師能力要求'!$M$7:$M$59,'李醫師能力要求'!$K$7:$K$59,"待確認",0)</x:f>
        <x:v>已確認</x:v>
      </x:c>
      <x:c r="J663" s="37" t="str">
        <x:v>◎</x:v>
      </x:c>
      <x:c r="K663" s="37" t="str">
        <x:v>Ø</x:v>
      </x:c>
      <x:c r="L663" s="48" t="str">
        <x:f>_xlfn.XLOOKUP($A663&amp;"|"&amp;$G663,'試行能力狀態'!$L$7:$L$258,'試行能力狀態'!$E$7:$E$258,"未評估",0)</x:f>
        <x:v>未評估</x:v>
      </x:c>
      <x:c r="M663" s="48" t="str">
        <x:f>_xlfn.XLOOKUP($A663&amp;"|"&amp;$G663,'試行能力狀態'!$L$7:$L$258,'試行能力狀態'!$F$7:$F$258,"未建立",0)</x:f>
        <x:v>未建立</x:v>
      </x:c>
      <x:c r="N663" s="48" t="str">
        <x:f>IF($L663="◎","符合獨立",IF($L663="Ø","符合條件","不符合"))</x:f>
        <x:v>不符合</x:v>
      </x:c>
      <x:c r="O663" s="48" t="str">
        <x:f>_xlfn.XLOOKUP($A663&amp;"|李侑津醫師",'試行熟悉度'!$K$7:$K$20,'試行熟悉度'!$E$7:$E$20,"未評估",0)</x:f>
        <x:v>未評估</x:v>
      </x:c>
      <x:c r="P663" s="48" t="str">
        <x:f>_xlfn.XLOOKUP($A663&amp;"|李侑津醫師",'試行熟悉度'!$K$7:$K$20,'試行熟悉度'!$F$7:$F$20,"未建立",0)</x:f>
        <x:v>未建立</x:v>
      </x:c>
      <x:c r="Q663" s="39" t="str">
        <x:v>依一般支援名額</x:v>
      </x:c>
    </x:row>
    <x:row r="664">
      <x:c r="A664" s="37" t="str">
        <x:v>2006</x:v>
      </x:c>
      <x:c r="B664" s="37" t="str"/>
      <x:c r="C664" s="37" t="str">
        <x:v>LJT-RPD-FINAL</x:v>
      </x:c>
      <x:c r="D664" s="37" t="str">
        <x:v>RPD</x:v>
      </x:c>
      <x:c r="E664" s="37" t="str">
        <x:v>印最終模</x:v>
      </x:c>
      <x:c r="F664" s="37" t="str">
        <x:v>特殊階段</x:v>
      </x:c>
      <x:c r="G664" s="37" t="str">
        <x:v>COMMON-RECORD</x:v>
      </x:c>
      <x:c r="H664" s="37" t="str">
        <x:v>待確認</x:v>
      </x:c>
      <x:c r="I664" s="37" t="str">
        <x:f>_xlfn.XLOOKUP($C664&amp;"|"&amp;$G664,'李醫師能力要求'!$M$7:$M$59,'李醫師能力要求'!$K$7:$K$59,"待確認",0)</x:f>
        <x:v>待確認</x:v>
      </x:c>
      <x:c r="J664" s="37" t="str">
        <x:v>◎</x:v>
      </x:c>
      <x:c r="K664" s="37" t="str">
        <x:v>Ø</x:v>
      </x:c>
      <x:c r="L664" s="48" t="str">
        <x:f>_xlfn.XLOOKUP($A664&amp;"|"&amp;$G664,'試行能力狀態'!$L$7:$L$258,'試行能力狀態'!$E$7:$E$258,"未評估",0)</x:f>
        <x:v>未評估</x:v>
      </x:c>
      <x:c r="M664" s="48" t="str">
        <x:f>_xlfn.XLOOKUP($A664&amp;"|"&amp;$G664,'試行能力狀態'!$L$7:$L$258,'試行能力狀態'!$F$7:$F$258,"未建立",0)</x:f>
        <x:v>未建立</x:v>
      </x:c>
      <x:c r="N664" s="48" t="str">
        <x:f>IF($L664="◎","符合獨立",IF($L664="Ø","符合條件","不符合"))</x:f>
        <x:v>不符合</x:v>
      </x:c>
      <x:c r="O664" s="48" t="str">
        <x:f>_xlfn.XLOOKUP($A664&amp;"|李侑津醫師",'試行熟悉度'!$K$7:$K$20,'試行熟悉度'!$E$7:$E$20,"未評估",0)</x:f>
        <x:v>未評估</x:v>
      </x:c>
      <x:c r="P664" s="48" t="str">
        <x:f>_xlfn.XLOOKUP($A664&amp;"|李侑津醫師",'試行熟悉度'!$K$7:$K$20,'試行熟悉度'!$F$7:$F$20,"未建立",0)</x:f>
        <x:v>未建立</x:v>
      </x:c>
      <x:c r="Q664" s="39" t="str">
        <x:v>確認後才納入自動判定</x:v>
      </x:c>
    </x:row>
    <x:row r="665">
      <x:c r="A665" s="37" t="str">
        <x:v>2006</x:v>
      </x:c>
      <x:c r="B665" s="37" t="str"/>
      <x:c r="C665" s="37" t="str">
        <x:v>LJT-RPD-FINAL</x:v>
      </x:c>
      <x:c r="D665" s="37" t="str">
        <x:v>RPD</x:v>
      </x:c>
      <x:c r="E665" s="37" t="str">
        <x:v>印最終模</x:v>
      </x:c>
      <x:c r="F665" s="37" t="str">
        <x:v>特殊階段</x:v>
      </x:c>
      <x:c r="G665" s="37" t="str">
        <x:v>COMMON-INSURANCE</x:v>
      </x:c>
      <x:c r="H665" s="37" t="str">
        <x:v>待確認</x:v>
      </x:c>
      <x:c r="I665" s="37" t="str">
        <x:f>_xlfn.XLOOKUP($C665&amp;"|"&amp;$G665,'李醫師能力要求'!$M$7:$M$59,'李醫師能力要求'!$K$7:$K$59,"待確認",0)</x:f>
        <x:v>待確認</x:v>
      </x:c>
      <x:c r="J665" s="37" t="str">
        <x:v>◎</x:v>
      </x:c>
      <x:c r="K665" s="37" t="str">
        <x:v>Ø</x:v>
      </x:c>
      <x:c r="L665" s="48" t="str">
        <x:f>_xlfn.XLOOKUP($A665&amp;"|"&amp;$G665,'試行能力狀態'!$L$7:$L$258,'試行能力狀態'!$E$7:$E$258,"未評估",0)</x:f>
        <x:v>未評估</x:v>
      </x:c>
      <x:c r="M665" s="48" t="str">
        <x:f>_xlfn.XLOOKUP($A665&amp;"|"&amp;$G665,'試行能力狀態'!$L$7:$L$258,'試行能力狀態'!$F$7:$F$258,"未建立",0)</x:f>
        <x:v>未建立</x:v>
      </x:c>
      <x:c r="N665" s="48" t="str">
        <x:f>IF($L665="◎","符合獨立",IF($L665="Ø","符合條件","不符合"))</x:f>
        <x:v>不符合</x:v>
      </x:c>
      <x:c r="O665" s="48" t="str">
        <x:f>_xlfn.XLOOKUP($A665&amp;"|李侑津醫師",'試行熟悉度'!$K$7:$K$20,'試行熟悉度'!$E$7:$E$20,"未評估",0)</x:f>
        <x:v>未評估</x:v>
      </x:c>
      <x:c r="P665" s="48" t="str">
        <x:f>_xlfn.XLOOKUP($A665&amp;"|李侑津醫師",'試行熟悉度'!$K$7:$K$20,'試行熟悉度'!$F$7:$F$20,"未建立",0)</x:f>
        <x:v>未建立</x:v>
      </x:c>
      <x:c r="Q665" s="39" t="str">
        <x:v>確認後才納入自動判定</x:v>
      </x:c>
    </x:row>
    <x:row r="666">
      <x:c r="A666" s="37" t="str">
        <x:v>2006</x:v>
      </x:c>
      <x:c r="B666" s="37" t="str"/>
      <x:c r="C666" s="37" t="str">
        <x:v>LJT-RPD-FINAL</x:v>
      </x:c>
      <x:c r="D666" s="37" t="str">
        <x:v>RPD</x:v>
      </x:c>
      <x:c r="E666" s="37" t="str">
        <x:v>印最終模</x:v>
      </x:c>
      <x:c r="F666" s="37" t="str">
        <x:v>特殊階段</x:v>
      </x:c>
      <x:c r="G666" s="37" t="str">
        <x:v>COMMON-XRAY-RECORD</x:v>
      </x:c>
      <x:c r="H666" s="37" t="str">
        <x:v>待確認</x:v>
      </x:c>
      <x:c r="I666" s="37" t="str">
        <x:f>_xlfn.XLOOKUP($C666&amp;"|"&amp;$G666,'李醫師能力要求'!$M$7:$M$59,'李醫師能力要求'!$K$7:$K$59,"待確認",0)</x:f>
        <x:v>待確認</x:v>
      </x:c>
      <x:c r="J666" s="37" t="str">
        <x:v>◎</x:v>
      </x:c>
      <x:c r="K666" s="37" t="str">
        <x:v>Ø</x:v>
      </x:c>
      <x:c r="L666" s="48" t="str">
        <x:f>_xlfn.XLOOKUP($A666&amp;"|"&amp;$G666,'試行能力狀態'!$L$7:$L$258,'試行能力狀態'!$E$7:$E$258,"未評估",0)</x:f>
        <x:v>未評估</x:v>
      </x:c>
      <x:c r="M666" s="48" t="str">
        <x:f>_xlfn.XLOOKUP($A666&amp;"|"&amp;$G666,'試行能力狀態'!$L$7:$L$258,'試行能力狀態'!$F$7:$F$258,"未建立",0)</x:f>
        <x:v>未建立</x:v>
      </x:c>
      <x:c r="N666" s="48" t="str">
        <x:f>IF($L666="◎","符合獨立",IF($L666="Ø","符合條件","不符合"))</x:f>
        <x:v>不符合</x:v>
      </x:c>
      <x:c r="O666" s="48" t="str">
        <x:f>_xlfn.XLOOKUP($A666&amp;"|李侑津醫師",'試行熟悉度'!$K$7:$K$20,'試行熟悉度'!$E$7:$E$20,"未評估",0)</x:f>
        <x:v>未評估</x:v>
      </x:c>
      <x:c r="P666" s="48" t="str">
        <x:f>_xlfn.XLOOKUP($A666&amp;"|李侑津醫師",'試行熟悉度'!$K$7:$K$20,'試行熟悉度'!$F$7:$F$20,"未建立",0)</x:f>
        <x:v>未建立</x:v>
      </x:c>
      <x:c r="Q666" s="39" t="str">
        <x:v>確認後才納入自動判定</x:v>
      </x:c>
    </x:row>
    <x:row r="667">
      <x:c r="A667" s="37" t="str">
        <x:v>2006</x:v>
      </x:c>
      <x:c r="B667" s="37" t="str"/>
      <x:c r="C667" s="37" t="str">
        <x:v>LJT-AIRPOLISH</x:v>
      </x:c>
      <x:c r="D667" s="37" t="str">
        <x:v>噴砂美白</x:v>
      </x:c>
      <x:c r="E667" s="37" t="str">
        <x:v>一般</x:v>
      </x:c>
      <x:c r="F667" s="37" t="str">
        <x:v>一般</x:v>
      </x:c>
      <x:c r="G667" s="37" t="str">
        <x:v>LJT-PREP-AIRPOLISH</x:v>
      </x:c>
      <x:c r="H667" s="37" t="str">
        <x:v>必備</x:v>
      </x:c>
      <x:c r="I667" s="37" t="str">
        <x:f>_xlfn.XLOOKUP($C667&amp;"|"&amp;$G667,'李醫師能力要求'!$M$7:$M$59,'李醫師能力要求'!$K$7:$K$59,"待確認",0)</x:f>
        <x:v>已確認</x:v>
      </x:c>
      <x:c r="J667" s="37" t="str">
        <x:v>◎</x:v>
      </x:c>
      <x:c r="K667" s="37" t="str">
        <x:v>Ø</x:v>
      </x:c>
      <x:c r="L667" s="48" t="str">
        <x:f>_xlfn.XLOOKUP($A667&amp;"|"&amp;$G667,'試行能力狀態'!$L$7:$L$258,'試行能力狀態'!$E$7:$E$258,"未評估",0)</x:f>
        <x:v>未評估</x:v>
      </x:c>
      <x:c r="M667" s="48" t="str">
        <x:f>_xlfn.XLOOKUP($A667&amp;"|"&amp;$G667,'試行能力狀態'!$L$7:$L$258,'試行能力狀態'!$F$7:$F$258,"未建立",0)</x:f>
        <x:v>未建立</x:v>
      </x:c>
      <x:c r="N667" s="48" t="str">
        <x:f>IF($L667="◎","符合獨立",IF($L667="Ø","符合條件","不符合"))</x:f>
        <x:v>不符合</x:v>
      </x:c>
      <x:c r="O667" s="48" t="str">
        <x:f>_xlfn.XLOOKUP($A667&amp;"|李侑津醫師",'試行熟悉度'!$K$7:$K$20,'試行熟悉度'!$E$7:$E$20,"未評估",0)</x:f>
        <x:v>未評估</x:v>
      </x:c>
      <x:c r="P667" s="48" t="str">
        <x:f>_xlfn.XLOOKUP($A667&amp;"|李侑津醫師",'試行熟悉度'!$K$7:$K$20,'試行熟悉度'!$F$7:$F$20,"未建立",0)</x:f>
        <x:v>未建立</x:v>
      </x:c>
      <x:c r="Q667" s="39" t="str">
        <x:v>依一般支援名額</x:v>
      </x:c>
    </x:row>
    <x:row r="668">
      <x:c r="A668" s="37" t="str">
        <x:v>2006</x:v>
      </x:c>
      <x:c r="B668" s="37" t="str"/>
      <x:c r="C668" s="37" t="str">
        <x:v>LJT-AIRPOLISH</x:v>
      </x:c>
      <x:c r="D668" s="37" t="str">
        <x:v>噴砂美白</x:v>
      </x:c>
      <x:c r="E668" s="37" t="str">
        <x:v>一般</x:v>
      </x:c>
      <x:c r="F668" s="37" t="str">
        <x:v>一般</x:v>
      </x:c>
      <x:c r="G668" s="37" t="str">
        <x:v>COMMON-RECORD</x:v>
      </x:c>
      <x:c r="H668" s="37" t="str">
        <x:v>待確認</x:v>
      </x:c>
      <x:c r="I668" s="37" t="str">
        <x:f>_xlfn.XLOOKUP($C668&amp;"|"&amp;$G668,'李醫師能力要求'!$M$7:$M$59,'李醫師能力要求'!$K$7:$K$59,"待確認",0)</x:f>
        <x:v>待確認</x:v>
      </x:c>
      <x:c r="J668" s="37" t="str">
        <x:v>◎</x:v>
      </x:c>
      <x:c r="K668" s="37" t="str">
        <x:v>Ø</x:v>
      </x:c>
      <x:c r="L668" s="48" t="str">
        <x:f>_xlfn.XLOOKUP($A668&amp;"|"&amp;$G668,'試行能力狀態'!$L$7:$L$258,'試行能力狀態'!$E$7:$E$258,"未評估",0)</x:f>
        <x:v>未評估</x:v>
      </x:c>
      <x:c r="M668" s="48" t="str">
        <x:f>_xlfn.XLOOKUP($A668&amp;"|"&amp;$G668,'試行能力狀態'!$L$7:$L$258,'試行能力狀態'!$F$7:$F$258,"未建立",0)</x:f>
        <x:v>未建立</x:v>
      </x:c>
      <x:c r="N668" s="48" t="str">
        <x:f>IF($L668="◎","符合獨立",IF($L668="Ø","符合條件","不符合"))</x:f>
        <x:v>不符合</x:v>
      </x:c>
      <x:c r="O668" s="48" t="str">
        <x:f>_xlfn.XLOOKUP($A668&amp;"|李侑津醫師",'試行熟悉度'!$K$7:$K$20,'試行熟悉度'!$E$7:$E$20,"未評估",0)</x:f>
        <x:v>未評估</x:v>
      </x:c>
      <x:c r="P668" s="48" t="str">
        <x:f>_xlfn.XLOOKUP($A668&amp;"|李侑津醫師",'試行熟悉度'!$K$7:$K$20,'試行熟悉度'!$F$7:$F$20,"未建立",0)</x:f>
        <x:v>未建立</x:v>
      </x:c>
      <x:c r="Q668" s="39" t="str">
        <x:v>確認後才納入自動判定</x:v>
      </x:c>
    </x:row>
    <x:row r="669">
      <x:c r="A669" s="37" t="str">
        <x:v>2006</x:v>
      </x:c>
      <x:c r="B669" s="37" t="str"/>
      <x:c r="C669" s="37" t="str">
        <x:v>LJT-AIRPOLISH</x:v>
      </x:c>
      <x:c r="D669" s="37" t="str">
        <x:v>噴砂美白</x:v>
      </x:c>
      <x:c r="E669" s="37" t="str">
        <x:v>一般</x:v>
      </x:c>
      <x:c r="F669" s="37" t="str">
        <x:v>一般</x:v>
      </x:c>
      <x:c r="G669" s="37" t="str">
        <x:v>COMMON-INSURANCE</x:v>
      </x:c>
      <x:c r="H669" s="37" t="str">
        <x:v>待確認</x:v>
      </x:c>
      <x:c r="I669" s="37" t="str">
        <x:f>_xlfn.XLOOKUP($C669&amp;"|"&amp;$G669,'李醫師能力要求'!$M$7:$M$59,'李醫師能力要求'!$K$7:$K$59,"待確認",0)</x:f>
        <x:v>待確認</x:v>
      </x:c>
      <x:c r="J669" s="37" t="str">
        <x:v>◎</x:v>
      </x:c>
      <x:c r="K669" s="37" t="str">
        <x:v>Ø</x:v>
      </x:c>
      <x:c r="L669" s="48" t="str">
        <x:f>_xlfn.XLOOKUP($A669&amp;"|"&amp;$G669,'試行能力狀態'!$L$7:$L$258,'試行能力狀態'!$E$7:$E$258,"未評估",0)</x:f>
        <x:v>未評估</x:v>
      </x:c>
      <x:c r="M669" s="48" t="str">
        <x:f>_xlfn.XLOOKUP($A669&amp;"|"&amp;$G669,'試行能力狀態'!$L$7:$L$258,'試行能力狀態'!$F$7:$F$258,"未建立",0)</x:f>
        <x:v>未建立</x:v>
      </x:c>
      <x:c r="N669" s="48" t="str">
        <x:f>IF($L669="◎","符合獨立",IF($L669="Ø","符合條件","不符合"))</x:f>
        <x:v>不符合</x:v>
      </x:c>
      <x:c r="O669" s="48" t="str">
        <x:f>_xlfn.XLOOKUP($A669&amp;"|李侑津醫師",'試行熟悉度'!$K$7:$K$20,'試行熟悉度'!$E$7:$E$20,"未評估",0)</x:f>
        <x:v>未評估</x:v>
      </x:c>
      <x:c r="P669" s="48" t="str">
        <x:f>_xlfn.XLOOKUP($A669&amp;"|李侑津醫師",'試行熟悉度'!$K$7:$K$20,'試行熟悉度'!$F$7:$F$20,"未建立",0)</x:f>
        <x:v>未建立</x:v>
      </x:c>
      <x:c r="Q669" s="39" t="str">
        <x:v>確認後才納入自動判定</x:v>
      </x:c>
    </x:row>
    <x:row r="670">
      <x:c r="A670" s="37" t="str">
        <x:v>2006</x:v>
      </x:c>
      <x:c r="B670" s="37" t="str"/>
      <x:c r="C670" s="37" t="str">
        <x:v>LJT-AIRPOLISH</x:v>
      </x:c>
      <x:c r="D670" s="37" t="str">
        <x:v>噴砂美白</x:v>
      </x:c>
      <x:c r="E670" s="37" t="str">
        <x:v>一般</x:v>
      </x:c>
      <x:c r="F670" s="37" t="str">
        <x:v>一般</x:v>
      </x:c>
      <x:c r="G670" s="37" t="str">
        <x:v>COMMON-XRAY-RECORD</x:v>
      </x:c>
      <x:c r="H670" s="37" t="str">
        <x:v>待確認</x:v>
      </x:c>
      <x:c r="I670" s="37" t="str">
        <x:f>_xlfn.XLOOKUP($C670&amp;"|"&amp;$G670,'李醫師能力要求'!$M$7:$M$59,'李醫師能力要求'!$K$7:$K$59,"待確認",0)</x:f>
        <x:v>待確認</x:v>
      </x:c>
      <x:c r="J670" s="37" t="str">
        <x:v>◎</x:v>
      </x:c>
      <x:c r="K670" s="37" t="str">
        <x:v>Ø</x:v>
      </x:c>
      <x:c r="L670" s="48" t="str">
        <x:f>_xlfn.XLOOKUP($A670&amp;"|"&amp;$G670,'試行能力狀態'!$L$7:$L$258,'試行能力狀態'!$E$7:$E$258,"未評估",0)</x:f>
        <x:v>未評估</x:v>
      </x:c>
      <x:c r="M670" s="48" t="str">
        <x:f>_xlfn.XLOOKUP($A670&amp;"|"&amp;$G670,'試行能力狀態'!$L$7:$L$258,'試行能力狀態'!$F$7:$F$258,"未建立",0)</x:f>
        <x:v>未建立</x:v>
      </x:c>
      <x:c r="N670" s="48" t="str">
        <x:f>IF($L670="◎","符合獨立",IF($L670="Ø","符合條件","不符合"))</x:f>
        <x:v>不符合</x:v>
      </x:c>
      <x:c r="O670" s="48" t="str">
        <x:f>_xlfn.XLOOKUP($A670&amp;"|李侑津醫師",'試行熟悉度'!$K$7:$K$20,'試行熟悉度'!$E$7:$E$20,"未評估",0)</x:f>
        <x:v>未評估</x:v>
      </x:c>
      <x:c r="P670" s="48" t="str">
        <x:f>_xlfn.XLOOKUP($A670&amp;"|李侑津醫師",'試行熟悉度'!$K$7:$K$20,'試行熟悉度'!$F$7:$F$20,"未建立",0)</x:f>
        <x:v>未建立</x:v>
      </x:c>
      <x:c r="Q670" s="39" t="str">
        <x:v>確認後才納入自動判定</x:v>
      </x:c>
    </x:row>
    <x:row r="671">
      <x:c r="A671" s="37" t="str">
        <x:v>2006</x:v>
      </x:c>
      <x:c r="B671" s="37" t="str"/>
      <x:c r="C671" s="37" t="str">
        <x:v>LJT-PERIOSURG</x:v>
      </x:c>
      <x:c r="D671" s="37" t="str">
        <x:v>牙周手術</x:v>
      </x:c>
      <x:c r="E671" s="37" t="str">
        <x:v>一般</x:v>
      </x:c>
      <x:c r="F671" s="37" t="str">
        <x:v>高複雜度</x:v>
      </x:c>
      <x:c r="G671" s="37" t="str">
        <x:v>LJT-PREP-PERIOSURG</x:v>
      </x:c>
      <x:c r="H671" s="37" t="str">
        <x:v>必備</x:v>
      </x:c>
      <x:c r="I671" s="37" t="str">
        <x:f>_xlfn.XLOOKUP($C671&amp;"|"&amp;$G671,'李醫師能力要求'!$M$7:$M$59,'李醫師能力要求'!$K$7:$K$59,"待確認",0)</x:f>
        <x:v>已確認</x:v>
      </x:c>
      <x:c r="J671" s="37" t="str">
        <x:v>◎</x:v>
      </x:c>
      <x:c r="K671" s="37" t="str">
        <x:v>Ø</x:v>
      </x:c>
      <x:c r="L671" s="48" t="str">
        <x:f>_xlfn.XLOOKUP($A671&amp;"|"&amp;$G671,'試行能力狀態'!$L$7:$L$258,'試行能力狀態'!$E$7:$E$258,"未評估",0)</x:f>
        <x:v>未評估</x:v>
      </x:c>
      <x:c r="M671" s="48" t="str">
        <x:f>_xlfn.XLOOKUP($A671&amp;"|"&amp;$G671,'試行能力狀態'!$L$7:$L$258,'試行能力狀態'!$F$7:$F$258,"未建立",0)</x:f>
        <x:v>未建立</x:v>
      </x:c>
      <x:c r="N671" s="48" t="str">
        <x:f>IF($L671="◎","符合獨立",IF($L671="Ø","符合條件","不符合"))</x:f>
        <x:v>不符合</x:v>
      </x:c>
      <x:c r="O671" s="48" t="str">
        <x:f>_xlfn.XLOOKUP($A671&amp;"|李侑津醫師",'試行熟悉度'!$K$7:$K$20,'試行熟悉度'!$E$7:$E$20,"未評估",0)</x:f>
        <x:v>未評估</x:v>
      </x:c>
      <x:c r="P671" s="48" t="str">
        <x:f>_xlfn.XLOOKUP($A671&amp;"|李侑津醫師",'試行熟悉度'!$K$7:$K$20,'試行熟悉度'!$F$7:$F$20,"未建立",0)</x:f>
        <x:v>未建立</x:v>
      </x:c>
      <x:c r="Q671" s="39" t="str">
        <x:v>Ø 時完整支援者 1:1</x:v>
      </x:c>
    </x:row>
    <x:row r="672">
      <x:c r="A672" s="37" t="str">
        <x:v>2006</x:v>
      </x:c>
      <x:c r="B672" s="37" t="str"/>
      <x:c r="C672" s="37" t="str">
        <x:v>LJT-PERIOSURG</x:v>
      </x:c>
      <x:c r="D672" s="37" t="str">
        <x:v>牙周手術</x:v>
      </x:c>
      <x:c r="E672" s="37" t="str">
        <x:v>一般</x:v>
      </x:c>
      <x:c r="F672" s="37" t="str">
        <x:v>高複雜度</x:v>
      </x:c>
      <x:c r="G672" s="37" t="str">
        <x:v>COMMON-RECORD</x:v>
      </x:c>
      <x:c r="H672" s="37" t="str">
        <x:v>待確認</x:v>
      </x:c>
      <x:c r="I672" s="37" t="str">
        <x:f>_xlfn.XLOOKUP($C672&amp;"|"&amp;$G672,'李醫師能力要求'!$M$7:$M$59,'李醫師能力要求'!$K$7:$K$59,"待確認",0)</x:f>
        <x:v>待確認</x:v>
      </x:c>
      <x:c r="J672" s="37" t="str">
        <x:v>◎</x:v>
      </x:c>
      <x:c r="K672" s="37" t="str">
        <x:v>Ø</x:v>
      </x:c>
      <x:c r="L672" s="48" t="str">
        <x:f>_xlfn.XLOOKUP($A672&amp;"|"&amp;$G672,'試行能力狀態'!$L$7:$L$258,'試行能力狀態'!$E$7:$E$258,"未評估",0)</x:f>
        <x:v>未評估</x:v>
      </x:c>
      <x:c r="M672" s="48" t="str">
        <x:f>_xlfn.XLOOKUP($A672&amp;"|"&amp;$G672,'試行能力狀態'!$L$7:$L$258,'試行能力狀態'!$F$7:$F$258,"未建立",0)</x:f>
        <x:v>未建立</x:v>
      </x:c>
      <x:c r="N672" s="48" t="str">
        <x:f>IF($L672="◎","符合獨立",IF($L672="Ø","符合條件","不符合"))</x:f>
        <x:v>不符合</x:v>
      </x:c>
      <x:c r="O672" s="48" t="str">
        <x:f>_xlfn.XLOOKUP($A672&amp;"|李侑津醫師",'試行熟悉度'!$K$7:$K$20,'試行熟悉度'!$E$7:$E$20,"未評估",0)</x:f>
        <x:v>未評估</x:v>
      </x:c>
      <x:c r="P672" s="48" t="str">
        <x:f>_xlfn.XLOOKUP($A672&amp;"|李侑津醫師",'試行熟悉度'!$K$7:$K$20,'試行熟悉度'!$F$7:$F$20,"未建立",0)</x:f>
        <x:v>未建立</x:v>
      </x:c>
      <x:c r="Q672" s="39" t="str">
        <x:v>確認後才納入自動判定</x:v>
      </x:c>
    </x:row>
    <x:row r="673">
      <x:c r="A673" s="37" t="str">
        <x:v>2006</x:v>
      </x:c>
      <x:c r="B673" s="37" t="str"/>
      <x:c r="C673" s="37" t="str">
        <x:v>LJT-PERIOSURG</x:v>
      </x:c>
      <x:c r="D673" s="37" t="str">
        <x:v>牙周手術</x:v>
      </x:c>
      <x:c r="E673" s="37" t="str">
        <x:v>一般</x:v>
      </x:c>
      <x:c r="F673" s="37" t="str">
        <x:v>高複雜度</x:v>
      </x:c>
      <x:c r="G673" s="37" t="str">
        <x:v>COMMON-INSURANCE</x:v>
      </x:c>
      <x:c r="H673" s="37" t="str">
        <x:v>待確認</x:v>
      </x:c>
      <x:c r="I673" s="37" t="str">
        <x:f>_xlfn.XLOOKUP($C673&amp;"|"&amp;$G673,'李醫師能力要求'!$M$7:$M$59,'李醫師能力要求'!$K$7:$K$59,"待確認",0)</x:f>
        <x:v>待確認</x:v>
      </x:c>
      <x:c r="J673" s="37" t="str">
        <x:v>◎</x:v>
      </x:c>
      <x:c r="K673" s="37" t="str">
        <x:v>Ø</x:v>
      </x:c>
      <x:c r="L673" s="48" t="str">
        <x:f>_xlfn.XLOOKUP($A673&amp;"|"&amp;$G673,'試行能力狀態'!$L$7:$L$258,'試行能力狀態'!$E$7:$E$258,"未評估",0)</x:f>
        <x:v>未評估</x:v>
      </x:c>
      <x:c r="M673" s="48" t="str">
        <x:f>_xlfn.XLOOKUP($A673&amp;"|"&amp;$G673,'試行能力狀態'!$L$7:$L$258,'試行能力狀態'!$F$7:$F$258,"未建立",0)</x:f>
        <x:v>未建立</x:v>
      </x:c>
      <x:c r="N673" s="48" t="str">
        <x:f>IF($L673="◎","符合獨立",IF($L673="Ø","符合條件","不符合"))</x:f>
        <x:v>不符合</x:v>
      </x:c>
      <x:c r="O673" s="48" t="str">
        <x:f>_xlfn.XLOOKUP($A673&amp;"|李侑津醫師",'試行熟悉度'!$K$7:$K$20,'試行熟悉度'!$E$7:$E$20,"未評估",0)</x:f>
        <x:v>未評估</x:v>
      </x:c>
      <x:c r="P673" s="48" t="str">
        <x:f>_xlfn.XLOOKUP($A673&amp;"|李侑津醫師",'試行熟悉度'!$K$7:$K$20,'試行熟悉度'!$F$7:$F$20,"未建立",0)</x:f>
        <x:v>未建立</x:v>
      </x:c>
      <x:c r="Q673" s="39" t="str">
        <x:v>確認後才納入自動判定</x:v>
      </x:c>
    </x:row>
    <x:row r="674">
      <x:c r="A674" s="37" t="str">
        <x:v>2006</x:v>
      </x:c>
      <x:c r="B674" s="37" t="str"/>
      <x:c r="C674" s="37" t="str">
        <x:v>LJT-PERIOSURG</x:v>
      </x:c>
      <x:c r="D674" s="37" t="str">
        <x:v>牙周手術</x:v>
      </x:c>
      <x:c r="E674" s="37" t="str">
        <x:v>一般</x:v>
      </x:c>
      <x:c r="F674" s="37" t="str">
        <x:v>高複雜度</x:v>
      </x:c>
      <x:c r="G674" s="37" t="str">
        <x:v>COMMON-XRAY-RECORD</x:v>
      </x:c>
      <x:c r="H674" s="37" t="str">
        <x:v>待確認</x:v>
      </x:c>
      <x:c r="I674" s="37" t="str">
        <x:f>_xlfn.XLOOKUP($C674&amp;"|"&amp;$G674,'李醫師能力要求'!$M$7:$M$59,'李醫師能力要求'!$K$7:$K$59,"待確認",0)</x:f>
        <x:v>待確認</x:v>
      </x:c>
      <x:c r="J674" s="37" t="str">
        <x:v>◎</x:v>
      </x:c>
      <x:c r="K674" s="37" t="str">
        <x:v>Ø</x:v>
      </x:c>
      <x:c r="L674" s="48" t="str">
        <x:f>_xlfn.XLOOKUP($A674&amp;"|"&amp;$G674,'試行能力狀態'!$L$7:$L$258,'試行能力狀態'!$E$7:$E$258,"未評估",0)</x:f>
        <x:v>未評估</x:v>
      </x:c>
      <x:c r="M674" s="48" t="str">
        <x:f>_xlfn.XLOOKUP($A674&amp;"|"&amp;$G674,'試行能力狀態'!$L$7:$L$258,'試行能力狀態'!$F$7:$F$258,"未建立",0)</x:f>
        <x:v>未建立</x:v>
      </x:c>
      <x:c r="N674" s="48" t="str">
        <x:f>IF($L674="◎","符合獨立",IF($L674="Ø","符合條件","不符合"))</x:f>
        <x:v>不符合</x:v>
      </x:c>
      <x:c r="O674" s="48" t="str">
        <x:f>_xlfn.XLOOKUP($A674&amp;"|李侑津醫師",'試行熟悉度'!$K$7:$K$20,'試行熟悉度'!$E$7:$E$20,"未評估",0)</x:f>
        <x:v>未評估</x:v>
      </x:c>
      <x:c r="P674" s="48" t="str">
        <x:f>_xlfn.XLOOKUP($A674&amp;"|李侑津醫師",'試行熟悉度'!$K$7:$K$20,'試行熟悉度'!$F$7:$F$20,"未建立",0)</x:f>
        <x:v>未建立</x:v>
      </x:c>
      <x:c r="Q674" s="39" t="str">
        <x:v>確認後才納入自動判定</x:v>
      </x:c>
    </x:row>
    <x:row r="675">
      <x:c r="A675" s="37" t="str">
        <x:v>2006</x:v>
      </x:c>
      <x:c r="B675" s="37" t="str"/>
      <x:c r="C675" s="37" t="str">
        <x:v>LJT-MICROENDO</x:v>
      </x:c>
      <x:c r="D675" s="37" t="str">
        <x:v>顯微根管</x:v>
      </x:c>
      <x:c r="E675" s="37" t="str">
        <x:v>一般</x:v>
      </x:c>
      <x:c r="F675" s="37" t="str">
        <x:v>高複雜度</x:v>
      </x:c>
      <x:c r="G675" s="37" t="str">
        <x:v>LJT-PREP-MICROENDO</x:v>
      </x:c>
      <x:c r="H675" s="37" t="str">
        <x:v>必備</x:v>
      </x:c>
      <x:c r="I675" s="37" t="str">
        <x:f>_xlfn.XLOOKUP($C675&amp;"|"&amp;$G675,'李醫師能力要求'!$M$7:$M$59,'李醫師能力要求'!$K$7:$K$59,"待確認",0)</x:f>
        <x:v>已確認</x:v>
      </x:c>
      <x:c r="J675" s="37" t="str">
        <x:v>◎</x:v>
      </x:c>
      <x:c r="K675" s="37" t="str">
        <x:v>Ø</x:v>
      </x:c>
      <x:c r="L675" s="48" t="str">
        <x:f>_xlfn.XLOOKUP($A675&amp;"|"&amp;$G675,'試行能力狀態'!$L$7:$L$258,'試行能力狀態'!$E$7:$E$258,"未評估",0)</x:f>
        <x:v>未評估</x:v>
      </x:c>
      <x:c r="M675" s="48" t="str">
        <x:f>_xlfn.XLOOKUP($A675&amp;"|"&amp;$G675,'試行能力狀態'!$L$7:$L$258,'試行能力狀態'!$F$7:$F$258,"未建立",0)</x:f>
        <x:v>未建立</x:v>
      </x:c>
      <x:c r="N675" s="48" t="str">
        <x:f>IF($L675="◎","符合獨立",IF($L675="Ø","符合條件","不符合"))</x:f>
        <x:v>不符合</x:v>
      </x:c>
      <x:c r="O675" s="48" t="str">
        <x:f>_xlfn.XLOOKUP($A675&amp;"|李侑津醫師",'試行熟悉度'!$K$7:$K$20,'試行熟悉度'!$E$7:$E$20,"未評估",0)</x:f>
        <x:v>未評估</x:v>
      </x:c>
      <x:c r="P675" s="48" t="str">
        <x:f>_xlfn.XLOOKUP($A675&amp;"|李侑津醫師",'試行熟悉度'!$K$7:$K$20,'試行熟悉度'!$F$7:$F$20,"未建立",0)</x:f>
        <x:v>未建立</x:v>
      </x:c>
      <x:c r="Q675" s="39" t="str">
        <x:v>Ø 時完整支援者 1:1</x:v>
      </x:c>
    </x:row>
    <x:row r="676">
      <x:c r="A676" s="37" t="str">
        <x:v>2006</x:v>
      </x:c>
      <x:c r="B676" s="37" t="str"/>
      <x:c r="C676" s="37" t="str">
        <x:v>LJT-MICROENDO</x:v>
      </x:c>
      <x:c r="D676" s="37" t="str">
        <x:v>顯微根管</x:v>
      </x:c>
      <x:c r="E676" s="37" t="str">
        <x:v>一般</x:v>
      </x:c>
      <x:c r="F676" s="37" t="str">
        <x:v>高複雜度</x:v>
      </x:c>
      <x:c r="G676" s="37" t="str">
        <x:v>COMMON-RECORD</x:v>
      </x:c>
      <x:c r="H676" s="37" t="str">
        <x:v>待確認</x:v>
      </x:c>
      <x:c r="I676" s="37" t="str">
        <x:f>_xlfn.XLOOKUP($C676&amp;"|"&amp;$G676,'李醫師能力要求'!$M$7:$M$59,'李醫師能力要求'!$K$7:$K$59,"待確認",0)</x:f>
        <x:v>待確認</x:v>
      </x:c>
      <x:c r="J676" s="37" t="str">
        <x:v>◎</x:v>
      </x:c>
      <x:c r="K676" s="37" t="str">
        <x:v>Ø</x:v>
      </x:c>
      <x:c r="L676" s="48" t="str">
        <x:f>_xlfn.XLOOKUP($A676&amp;"|"&amp;$G676,'試行能力狀態'!$L$7:$L$258,'試行能力狀態'!$E$7:$E$258,"未評估",0)</x:f>
        <x:v>未評估</x:v>
      </x:c>
      <x:c r="M676" s="48" t="str">
        <x:f>_xlfn.XLOOKUP($A676&amp;"|"&amp;$G676,'試行能力狀態'!$L$7:$L$258,'試行能力狀態'!$F$7:$F$258,"未建立",0)</x:f>
        <x:v>未建立</x:v>
      </x:c>
      <x:c r="N676" s="48" t="str">
        <x:f>IF($L676="◎","符合獨立",IF($L676="Ø","符合條件","不符合"))</x:f>
        <x:v>不符合</x:v>
      </x:c>
      <x:c r="O676" s="48" t="str">
        <x:f>_xlfn.XLOOKUP($A676&amp;"|李侑津醫師",'試行熟悉度'!$K$7:$K$20,'試行熟悉度'!$E$7:$E$20,"未評估",0)</x:f>
        <x:v>未評估</x:v>
      </x:c>
      <x:c r="P676" s="48" t="str">
        <x:f>_xlfn.XLOOKUP($A676&amp;"|李侑津醫師",'試行熟悉度'!$K$7:$K$20,'試行熟悉度'!$F$7:$F$20,"未建立",0)</x:f>
        <x:v>未建立</x:v>
      </x:c>
      <x:c r="Q676" s="39" t="str">
        <x:v>確認後才納入自動判定</x:v>
      </x:c>
    </x:row>
    <x:row r="677">
      <x:c r="A677" s="37" t="str">
        <x:v>2006</x:v>
      </x:c>
      <x:c r="B677" s="37" t="str"/>
      <x:c r="C677" s="37" t="str">
        <x:v>LJT-MICROENDO</x:v>
      </x:c>
      <x:c r="D677" s="37" t="str">
        <x:v>顯微根管</x:v>
      </x:c>
      <x:c r="E677" s="37" t="str">
        <x:v>一般</x:v>
      </x:c>
      <x:c r="F677" s="37" t="str">
        <x:v>高複雜度</x:v>
      </x:c>
      <x:c r="G677" s="37" t="str">
        <x:v>COMMON-INSURANCE</x:v>
      </x:c>
      <x:c r="H677" s="37" t="str">
        <x:v>待確認</x:v>
      </x:c>
      <x:c r="I677" s="37" t="str">
        <x:f>_xlfn.XLOOKUP($C677&amp;"|"&amp;$G677,'李醫師能力要求'!$M$7:$M$59,'李醫師能力要求'!$K$7:$K$59,"待確認",0)</x:f>
        <x:v>待確認</x:v>
      </x:c>
      <x:c r="J677" s="37" t="str">
        <x:v>◎</x:v>
      </x:c>
      <x:c r="K677" s="37" t="str">
        <x:v>Ø</x:v>
      </x:c>
      <x:c r="L677" s="48" t="str">
        <x:f>_xlfn.XLOOKUP($A677&amp;"|"&amp;$G677,'試行能力狀態'!$L$7:$L$258,'試行能力狀態'!$E$7:$E$258,"未評估",0)</x:f>
        <x:v>未評估</x:v>
      </x:c>
      <x:c r="M677" s="48" t="str">
        <x:f>_xlfn.XLOOKUP($A677&amp;"|"&amp;$G677,'試行能力狀態'!$L$7:$L$258,'試行能力狀態'!$F$7:$F$258,"未建立",0)</x:f>
        <x:v>未建立</x:v>
      </x:c>
      <x:c r="N677" s="48" t="str">
        <x:f>IF($L677="◎","符合獨立",IF($L677="Ø","符合條件","不符合"))</x:f>
        <x:v>不符合</x:v>
      </x:c>
      <x:c r="O677" s="48" t="str">
        <x:f>_xlfn.XLOOKUP($A677&amp;"|李侑津醫師",'試行熟悉度'!$K$7:$K$20,'試行熟悉度'!$E$7:$E$20,"未評估",0)</x:f>
        <x:v>未評估</x:v>
      </x:c>
      <x:c r="P677" s="48" t="str">
        <x:f>_xlfn.XLOOKUP($A677&amp;"|李侑津醫師",'試行熟悉度'!$K$7:$K$20,'試行熟悉度'!$F$7:$F$20,"未建立",0)</x:f>
        <x:v>未建立</x:v>
      </x:c>
      <x:c r="Q677" s="39" t="str">
        <x:v>確認後才納入自動判定</x:v>
      </x:c>
    </x:row>
    <x:row r="678">
      <x:c r="A678" s="37" t="str">
        <x:v>2006</x:v>
      </x:c>
      <x:c r="B678" s="37" t="str"/>
      <x:c r="C678" s="37" t="str">
        <x:v>LJT-MICROENDO</x:v>
      </x:c>
      <x:c r="D678" s="37" t="str">
        <x:v>顯微根管</x:v>
      </x:c>
      <x:c r="E678" s="37" t="str">
        <x:v>一般</x:v>
      </x:c>
      <x:c r="F678" s="37" t="str">
        <x:v>高複雜度</x:v>
      </x:c>
      <x:c r="G678" s="37" t="str">
        <x:v>COMMON-XRAY-RECORD</x:v>
      </x:c>
      <x:c r="H678" s="37" t="str">
        <x:v>待確認</x:v>
      </x:c>
      <x:c r="I678" s="37" t="str">
        <x:f>_xlfn.XLOOKUP($C678&amp;"|"&amp;$G678,'李醫師能力要求'!$M$7:$M$59,'李醫師能力要求'!$K$7:$K$59,"待確認",0)</x:f>
        <x:v>待確認</x:v>
      </x:c>
      <x:c r="J678" s="37" t="str">
        <x:v>◎</x:v>
      </x:c>
      <x:c r="K678" s="37" t="str">
        <x:v>Ø</x:v>
      </x:c>
      <x:c r="L678" s="48" t="str">
        <x:f>_xlfn.XLOOKUP($A678&amp;"|"&amp;$G678,'試行能力狀態'!$L$7:$L$258,'試行能力狀態'!$E$7:$E$258,"未評估",0)</x:f>
        <x:v>未評估</x:v>
      </x:c>
      <x:c r="M678" s="48" t="str">
        <x:f>_xlfn.XLOOKUP($A678&amp;"|"&amp;$G678,'試行能力狀態'!$L$7:$L$258,'試行能力狀態'!$F$7:$F$258,"未建立",0)</x:f>
        <x:v>未建立</x:v>
      </x:c>
      <x:c r="N678" s="48" t="str">
        <x:f>IF($L678="◎","符合獨立",IF($L678="Ø","符合條件","不符合"))</x:f>
        <x:v>不符合</x:v>
      </x:c>
      <x:c r="O678" s="48" t="str">
        <x:f>_xlfn.XLOOKUP($A678&amp;"|李侑津醫師",'試行熟悉度'!$K$7:$K$20,'試行熟悉度'!$E$7:$E$20,"未評估",0)</x:f>
        <x:v>未評估</x:v>
      </x:c>
      <x:c r="P678" s="48" t="str">
        <x:f>_xlfn.XLOOKUP($A678&amp;"|李侑津醫師",'試行熟悉度'!$K$7:$K$20,'試行熟悉度'!$F$7:$F$20,"未建立",0)</x:f>
        <x:v>未建立</x:v>
      </x:c>
      <x:c r="Q678" s="39" t="str">
        <x:v>確認後才納入自動判定</x:v>
      </x:c>
    </x:row>
    <x:row r="679">
      <x:c r="A679" s="37" t="str">
        <x:v>2006</x:v>
      </x:c>
      <x:c r="B679" s="37" t="str"/>
      <x:c r="C679" s="37" t="str">
        <x:v>LJT-IMPLANT</x:v>
      </x:c>
      <x:c r="D679" s="37" t="str">
        <x:v>植牙</x:v>
      </x:c>
      <x:c r="E679" s="37" t="str">
        <x:v>一般</x:v>
      </x:c>
      <x:c r="F679" s="37" t="str">
        <x:v>高複雜度</x:v>
      </x:c>
      <x:c r="G679" s="37" t="str">
        <x:v>LJT-PREP-IMPLANT</x:v>
      </x:c>
      <x:c r="H679" s="37" t="str">
        <x:v>必備</x:v>
      </x:c>
      <x:c r="I679" s="37" t="str">
        <x:f>_xlfn.XLOOKUP($C679&amp;"|"&amp;$G679,'李醫師能力要求'!$M$7:$M$59,'李醫師能力要求'!$K$7:$K$59,"待確認",0)</x:f>
        <x:v>已確認</x:v>
      </x:c>
      <x:c r="J679" s="37" t="str">
        <x:v>◎</x:v>
      </x:c>
      <x:c r="K679" s="37" t="str">
        <x:v>Ø</x:v>
      </x:c>
      <x:c r="L679" s="48" t="str">
        <x:f>_xlfn.XLOOKUP($A679&amp;"|"&amp;$G679,'試行能力狀態'!$L$7:$L$258,'試行能力狀態'!$E$7:$E$258,"未評估",0)</x:f>
        <x:v>未評估</x:v>
      </x:c>
      <x:c r="M679" s="48" t="str">
        <x:f>_xlfn.XLOOKUP($A679&amp;"|"&amp;$G679,'試行能力狀態'!$L$7:$L$258,'試行能力狀態'!$F$7:$F$258,"未建立",0)</x:f>
        <x:v>未建立</x:v>
      </x:c>
      <x:c r="N679" s="48" t="str">
        <x:f>IF($L679="◎","符合獨立",IF($L679="Ø","符合條件","不符合"))</x:f>
        <x:v>不符合</x:v>
      </x:c>
      <x:c r="O679" s="48" t="str">
        <x:f>_xlfn.XLOOKUP($A679&amp;"|李侑津醫師",'試行熟悉度'!$K$7:$K$20,'試行熟悉度'!$E$7:$E$20,"未評估",0)</x:f>
        <x:v>未評估</x:v>
      </x:c>
      <x:c r="P679" s="48" t="str">
        <x:f>_xlfn.XLOOKUP($A679&amp;"|李侑津醫師",'試行熟悉度'!$K$7:$K$20,'試行熟悉度'!$F$7:$F$20,"未建立",0)</x:f>
        <x:v>未建立</x:v>
      </x:c>
      <x:c r="Q679" s="39" t="str">
        <x:v>Ø 時完整支援者 1:1</x:v>
      </x:c>
    </x:row>
    <x:row r="680">
      <x:c r="A680" s="37" t="str">
        <x:v>2006</x:v>
      </x:c>
      <x:c r="B680" s="37" t="str"/>
      <x:c r="C680" s="37" t="str">
        <x:v>LJT-IMPLANT</x:v>
      </x:c>
      <x:c r="D680" s="37" t="str">
        <x:v>植牙</x:v>
      </x:c>
      <x:c r="E680" s="37" t="str">
        <x:v>一般</x:v>
      </x:c>
      <x:c r="F680" s="37" t="str">
        <x:v>高複雜度</x:v>
      </x:c>
      <x:c r="G680" s="37" t="str">
        <x:v>COMMON-RECORD</x:v>
      </x:c>
      <x:c r="H680" s="37" t="str">
        <x:v>待確認</x:v>
      </x:c>
      <x:c r="I680" s="37" t="str">
        <x:f>_xlfn.XLOOKUP($C680&amp;"|"&amp;$G680,'李醫師能力要求'!$M$7:$M$59,'李醫師能力要求'!$K$7:$K$59,"待確認",0)</x:f>
        <x:v>待確認</x:v>
      </x:c>
      <x:c r="J680" s="37" t="str">
        <x:v>◎</x:v>
      </x:c>
      <x:c r="K680" s="37" t="str">
        <x:v>Ø</x:v>
      </x:c>
      <x:c r="L680" s="48" t="str">
        <x:f>_xlfn.XLOOKUP($A680&amp;"|"&amp;$G680,'試行能力狀態'!$L$7:$L$258,'試行能力狀態'!$E$7:$E$258,"未評估",0)</x:f>
        <x:v>未評估</x:v>
      </x:c>
      <x:c r="M680" s="48" t="str">
        <x:f>_xlfn.XLOOKUP($A680&amp;"|"&amp;$G680,'試行能力狀態'!$L$7:$L$258,'試行能力狀態'!$F$7:$F$258,"未建立",0)</x:f>
        <x:v>未建立</x:v>
      </x:c>
      <x:c r="N680" s="48" t="str">
        <x:f>IF($L680="◎","符合獨立",IF($L680="Ø","符合條件","不符合"))</x:f>
        <x:v>不符合</x:v>
      </x:c>
      <x:c r="O680" s="48" t="str">
        <x:f>_xlfn.XLOOKUP($A680&amp;"|李侑津醫師",'試行熟悉度'!$K$7:$K$20,'試行熟悉度'!$E$7:$E$20,"未評估",0)</x:f>
        <x:v>未評估</x:v>
      </x:c>
      <x:c r="P680" s="48" t="str">
        <x:f>_xlfn.XLOOKUP($A680&amp;"|李侑津醫師",'試行熟悉度'!$K$7:$K$20,'試行熟悉度'!$F$7:$F$20,"未建立",0)</x:f>
        <x:v>未建立</x:v>
      </x:c>
      <x:c r="Q680" s="39" t="str">
        <x:v>確認後才納入自動判定</x:v>
      </x:c>
    </x:row>
    <x:row r="681">
      <x:c r="A681" s="37" t="str">
        <x:v>2006</x:v>
      </x:c>
      <x:c r="B681" s="37" t="str"/>
      <x:c r="C681" s="37" t="str">
        <x:v>LJT-IMPLANT</x:v>
      </x:c>
      <x:c r="D681" s="37" t="str">
        <x:v>植牙</x:v>
      </x:c>
      <x:c r="E681" s="37" t="str">
        <x:v>一般</x:v>
      </x:c>
      <x:c r="F681" s="37" t="str">
        <x:v>高複雜度</x:v>
      </x:c>
      <x:c r="G681" s="37" t="str">
        <x:v>COMMON-INSURANCE</x:v>
      </x:c>
      <x:c r="H681" s="37" t="str">
        <x:v>待確認</x:v>
      </x:c>
      <x:c r="I681" s="37" t="str">
        <x:f>_xlfn.XLOOKUP($C681&amp;"|"&amp;$G681,'李醫師能力要求'!$M$7:$M$59,'李醫師能力要求'!$K$7:$K$59,"待確認",0)</x:f>
        <x:v>待確認</x:v>
      </x:c>
      <x:c r="J681" s="37" t="str">
        <x:v>◎</x:v>
      </x:c>
      <x:c r="K681" s="37" t="str">
        <x:v>Ø</x:v>
      </x:c>
      <x:c r="L681" s="48" t="str">
        <x:f>_xlfn.XLOOKUP($A681&amp;"|"&amp;$G681,'試行能力狀態'!$L$7:$L$258,'試行能力狀態'!$E$7:$E$258,"未評估",0)</x:f>
        <x:v>未評估</x:v>
      </x:c>
      <x:c r="M681" s="48" t="str">
        <x:f>_xlfn.XLOOKUP($A681&amp;"|"&amp;$G681,'試行能力狀態'!$L$7:$L$258,'試行能力狀態'!$F$7:$F$258,"未建立",0)</x:f>
        <x:v>未建立</x:v>
      </x:c>
      <x:c r="N681" s="48" t="str">
        <x:f>IF($L681="◎","符合獨立",IF($L681="Ø","符合條件","不符合"))</x:f>
        <x:v>不符合</x:v>
      </x:c>
      <x:c r="O681" s="48" t="str">
        <x:f>_xlfn.XLOOKUP($A681&amp;"|李侑津醫師",'試行熟悉度'!$K$7:$K$20,'試行熟悉度'!$E$7:$E$20,"未評估",0)</x:f>
        <x:v>未評估</x:v>
      </x:c>
      <x:c r="P681" s="48" t="str">
        <x:f>_xlfn.XLOOKUP($A681&amp;"|李侑津醫師",'試行熟悉度'!$K$7:$K$20,'試行熟悉度'!$F$7:$F$20,"未建立",0)</x:f>
        <x:v>未建立</x:v>
      </x:c>
      <x:c r="Q681" s="39" t="str">
        <x:v>確認後才納入自動判定</x:v>
      </x:c>
    </x:row>
    <x:row r="682">
      <x:c r="A682" s="37" t="str">
        <x:v>2006</x:v>
      </x:c>
      <x:c r="B682" s="37" t="str"/>
      <x:c r="C682" s="37" t="str">
        <x:v>LJT-IMPLANT</x:v>
      </x:c>
      <x:c r="D682" s="37" t="str">
        <x:v>植牙</x:v>
      </x:c>
      <x:c r="E682" s="37" t="str">
        <x:v>一般</x:v>
      </x:c>
      <x:c r="F682" s="37" t="str">
        <x:v>高複雜度</x:v>
      </x:c>
      <x:c r="G682" s="37" t="str">
        <x:v>COMMON-XRAY-RECORD</x:v>
      </x:c>
      <x:c r="H682" s="37" t="str">
        <x:v>待確認</x:v>
      </x:c>
      <x:c r="I682" s="37" t="str">
        <x:f>_xlfn.XLOOKUP($C682&amp;"|"&amp;$G682,'李醫師能力要求'!$M$7:$M$59,'李醫師能力要求'!$K$7:$K$59,"待確認",0)</x:f>
        <x:v>待確認</x:v>
      </x:c>
      <x:c r="J682" s="37" t="str">
        <x:v>◎</x:v>
      </x:c>
      <x:c r="K682" s="37" t="str">
        <x:v>Ø</x:v>
      </x:c>
      <x:c r="L682" s="48" t="str">
        <x:f>_xlfn.XLOOKUP($A682&amp;"|"&amp;$G682,'試行能力狀態'!$L$7:$L$258,'試行能力狀態'!$E$7:$E$258,"未評估",0)</x:f>
        <x:v>未評估</x:v>
      </x:c>
      <x:c r="M682" s="48" t="str">
        <x:f>_xlfn.XLOOKUP($A682&amp;"|"&amp;$G682,'試行能力狀態'!$L$7:$L$258,'試行能力狀態'!$F$7:$F$258,"未建立",0)</x:f>
        <x:v>未建立</x:v>
      </x:c>
      <x:c r="N682" s="48" t="str">
        <x:f>IF($L682="◎","符合獨立",IF($L682="Ø","符合條件","不符合"))</x:f>
        <x:v>不符合</x:v>
      </x:c>
      <x:c r="O682" s="48" t="str">
        <x:f>_xlfn.XLOOKUP($A682&amp;"|李侑津醫師",'試行熟悉度'!$K$7:$K$20,'試行熟悉度'!$E$7:$E$20,"未評估",0)</x:f>
        <x:v>未評估</x:v>
      </x:c>
      <x:c r="P682" s="48" t="str">
        <x:f>_xlfn.XLOOKUP($A682&amp;"|李侑津醫師",'試行熟悉度'!$K$7:$K$20,'試行熟悉度'!$F$7:$F$20,"未建立",0)</x:f>
        <x:v>未建立</x:v>
      </x:c>
      <x:c r="Q682" s="39" t="str">
        <x:v>確認後才納入自動判定</x:v>
      </x:c>
    </x:row>
    <x:row r="683">
      <x:c r="A683" s="37" t="str">
        <x:v>2007</x:v>
      </x:c>
      <x:c r="B683" s="37" t="str"/>
      <x:c r="C683" s="37" t="str">
        <x:v>LJT-SCALING</x:v>
      </x:c>
      <x:c r="D683" s="37" t="str">
        <x:v>洗牙</x:v>
      </x:c>
      <x:c r="E683" s="37" t="str">
        <x:v>一般</x:v>
      </x:c>
      <x:c r="F683" s="37" t="str">
        <x:v>一般</x:v>
      </x:c>
      <x:c r="G683" s="37" t="str">
        <x:v>LJT-PREP-SCALING</x:v>
      </x:c>
      <x:c r="H683" s="37" t="str">
        <x:v>必備</x:v>
      </x:c>
      <x:c r="I683" s="37" t="str">
        <x:f>_xlfn.XLOOKUP($C683&amp;"|"&amp;$G683,'李醫師能力要求'!$M$7:$M$59,'李醫師能力要求'!$K$7:$K$59,"待確認",0)</x:f>
        <x:v>已確認</x:v>
      </x:c>
      <x:c r="J683" s="37" t="str">
        <x:v>◎</x:v>
      </x:c>
      <x:c r="K683" s="37" t="str">
        <x:v>Ø</x:v>
      </x:c>
      <x:c r="L683" s="48" t="str">
        <x:f>_xlfn.XLOOKUP($A683&amp;"|"&amp;$G683,'試行能力狀態'!$L$7:$L$258,'試行能力狀態'!$E$7:$E$258,"未評估",0)</x:f>
        <x:v>未評估</x:v>
      </x:c>
      <x:c r="M683" s="48" t="str">
        <x:f>_xlfn.XLOOKUP($A683&amp;"|"&amp;$G683,'試行能力狀態'!$L$7:$L$258,'試行能力狀態'!$F$7:$F$258,"未建立",0)</x:f>
        <x:v>未建立</x:v>
      </x:c>
      <x:c r="N683" s="48" t="str">
        <x:f>IF($L683="◎","符合獨立",IF($L683="Ø","符合條件","不符合"))</x:f>
        <x:v>不符合</x:v>
      </x:c>
      <x:c r="O683" s="48" t="str">
        <x:f>_xlfn.XLOOKUP($A683&amp;"|李侑津醫師",'試行熟悉度'!$K$7:$K$20,'試行熟悉度'!$E$7:$E$20,"未評估",0)</x:f>
        <x:v>未評估</x:v>
      </x:c>
      <x:c r="P683" s="48" t="str">
        <x:f>_xlfn.XLOOKUP($A683&amp;"|李侑津醫師",'試行熟悉度'!$K$7:$K$20,'試行熟悉度'!$F$7:$F$20,"未建立",0)</x:f>
        <x:v>未建立</x:v>
      </x:c>
      <x:c r="Q683" s="39" t="str">
        <x:v>依一般支援名額</x:v>
      </x:c>
    </x:row>
    <x:row r="684">
      <x:c r="A684" s="37" t="str">
        <x:v>2007</x:v>
      </x:c>
      <x:c r="B684" s="37" t="str"/>
      <x:c r="C684" s="37" t="str">
        <x:v>LJT-SCALING</x:v>
      </x:c>
      <x:c r="D684" s="37" t="str">
        <x:v>洗牙</x:v>
      </x:c>
      <x:c r="E684" s="37" t="str">
        <x:v>一般</x:v>
      </x:c>
      <x:c r="F684" s="37" t="str">
        <x:v>一般</x:v>
      </x:c>
      <x:c r="G684" s="37" t="str">
        <x:v>COMMON-RECORD</x:v>
      </x:c>
      <x:c r="H684" s="37" t="str">
        <x:v>待確認</x:v>
      </x:c>
      <x:c r="I684" s="37" t="str">
        <x:f>_xlfn.XLOOKUP($C684&amp;"|"&amp;$G684,'李醫師能力要求'!$M$7:$M$59,'李醫師能力要求'!$K$7:$K$59,"待確認",0)</x:f>
        <x:v>待確認</x:v>
      </x:c>
      <x:c r="J684" s="37" t="str">
        <x:v>◎</x:v>
      </x:c>
      <x:c r="K684" s="37" t="str">
        <x:v>Ø</x:v>
      </x:c>
      <x:c r="L684" s="48" t="str">
        <x:f>_xlfn.XLOOKUP($A684&amp;"|"&amp;$G684,'試行能力狀態'!$L$7:$L$258,'試行能力狀態'!$E$7:$E$258,"未評估",0)</x:f>
        <x:v>未評估</x:v>
      </x:c>
      <x:c r="M684" s="48" t="str">
        <x:f>_xlfn.XLOOKUP($A684&amp;"|"&amp;$G684,'試行能力狀態'!$L$7:$L$258,'試行能力狀態'!$F$7:$F$258,"未建立",0)</x:f>
        <x:v>未建立</x:v>
      </x:c>
      <x:c r="N684" s="48" t="str">
        <x:f>IF($L684="◎","符合獨立",IF($L684="Ø","符合條件","不符合"))</x:f>
        <x:v>不符合</x:v>
      </x:c>
      <x:c r="O684" s="48" t="str">
        <x:f>_xlfn.XLOOKUP($A684&amp;"|李侑津醫師",'試行熟悉度'!$K$7:$K$20,'試行熟悉度'!$E$7:$E$20,"未評估",0)</x:f>
        <x:v>未評估</x:v>
      </x:c>
      <x:c r="P684" s="48" t="str">
        <x:f>_xlfn.XLOOKUP($A684&amp;"|李侑津醫師",'試行熟悉度'!$K$7:$K$20,'試行熟悉度'!$F$7:$F$20,"未建立",0)</x:f>
        <x:v>未建立</x:v>
      </x:c>
      <x:c r="Q684" s="39" t="str">
        <x:v>確認後才納入自動判定</x:v>
      </x:c>
    </x:row>
    <x:row r="685">
      <x:c r="A685" s="37" t="str">
        <x:v>2007</x:v>
      </x:c>
      <x:c r="B685" s="37" t="str"/>
      <x:c r="C685" s="37" t="str">
        <x:v>LJT-SCALING</x:v>
      </x:c>
      <x:c r="D685" s="37" t="str">
        <x:v>洗牙</x:v>
      </x:c>
      <x:c r="E685" s="37" t="str">
        <x:v>一般</x:v>
      </x:c>
      <x:c r="F685" s="37" t="str">
        <x:v>一般</x:v>
      </x:c>
      <x:c r="G685" s="37" t="str">
        <x:v>COMMON-INSURANCE</x:v>
      </x:c>
      <x:c r="H685" s="37" t="str">
        <x:v>待確認</x:v>
      </x:c>
      <x:c r="I685" s="37" t="str">
        <x:f>_xlfn.XLOOKUP($C685&amp;"|"&amp;$G685,'李醫師能力要求'!$M$7:$M$59,'李醫師能力要求'!$K$7:$K$59,"待確認",0)</x:f>
        <x:v>待確認</x:v>
      </x:c>
      <x:c r="J685" s="37" t="str">
        <x:v>◎</x:v>
      </x:c>
      <x:c r="K685" s="37" t="str">
        <x:v>Ø</x:v>
      </x:c>
      <x:c r="L685" s="48" t="str">
        <x:f>_xlfn.XLOOKUP($A685&amp;"|"&amp;$G685,'試行能力狀態'!$L$7:$L$258,'試行能力狀態'!$E$7:$E$258,"未評估",0)</x:f>
        <x:v>未評估</x:v>
      </x:c>
      <x:c r="M685" s="48" t="str">
        <x:f>_xlfn.XLOOKUP($A685&amp;"|"&amp;$G685,'試行能力狀態'!$L$7:$L$258,'試行能力狀態'!$F$7:$F$258,"未建立",0)</x:f>
        <x:v>未建立</x:v>
      </x:c>
      <x:c r="N685" s="48" t="str">
        <x:f>IF($L685="◎","符合獨立",IF($L685="Ø","符合條件","不符合"))</x:f>
        <x:v>不符合</x:v>
      </x:c>
      <x:c r="O685" s="48" t="str">
        <x:f>_xlfn.XLOOKUP($A685&amp;"|李侑津醫師",'試行熟悉度'!$K$7:$K$20,'試行熟悉度'!$E$7:$E$20,"未評估",0)</x:f>
        <x:v>未評估</x:v>
      </x:c>
      <x:c r="P685" s="48" t="str">
        <x:f>_xlfn.XLOOKUP($A685&amp;"|李侑津醫師",'試行熟悉度'!$K$7:$K$20,'試行熟悉度'!$F$7:$F$20,"未建立",0)</x:f>
        <x:v>未建立</x:v>
      </x:c>
      <x:c r="Q685" s="39" t="str">
        <x:v>確認後才納入自動判定</x:v>
      </x:c>
    </x:row>
    <x:row r="686">
      <x:c r="A686" s="37" t="str">
        <x:v>2007</x:v>
      </x:c>
      <x:c r="B686" s="37" t="str"/>
      <x:c r="C686" s="37" t="str">
        <x:v>LJT-SCALING</x:v>
      </x:c>
      <x:c r="D686" s="37" t="str">
        <x:v>洗牙</x:v>
      </x:c>
      <x:c r="E686" s="37" t="str">
        <x:v>一般</x:v>
      </x:c>
      <x:c r="F686" s="37" t="str">
        <x:v>一般</x:v>
      </x:c>
      <x:c r="G686" s="37" t="str">
        <x:v>COMMON-XRAY-RECORD</x:v>
      </x:c>
      <x:c r="H686" s="37" t="str">
        <x:v>待確認</x:v>
      </x:c>
      <x:c r="I686" s="37" t="str">
        <x:f>_xlfn.XLOOKUP($C686&amp;"|"&amp;$G686,'李醫師能力要求'!$M$7:$M$59,'李醫師能力要求'!$K$7:$K$59,"待確認",0)</x:f>
        <x:v>待確認</x:v>
      </x:c>
      <x:c r="J686" s="37" t="str">
        <x:v>◎</x:v>
      </x:c>
      <x:c r="K686" s="37" t="str">
        <x:v>Ø</x:v>
      </x:c>
      <x:c r="L686" s="48" t="str">
        <x:f>_xlfn.XLOOKUP($A686&amp;"|"&amp;$G686,'試行能力狀態'!$L$7:$L$258,'試行能力狀態'!$E$7:$E$258,"未評估",0)</x:f>
        <x:v>未評估</x:v>
      </x:c>
      <x:c r="M686" s="48" t="str">
        <x:f>_xlfn.XLOOKUP($A686&amp;"|"&amp;$G686,'試行能力狀態'!$L$7:$L$258,'試行能力狀態'!$F$7:$F$258,"未建立",0)</x:f>
        <x:v>未建立</x:v>
      </x:c>
      <x:c r="N686" s="48" t="str">
        <x:f>IF($L686="◎","符合獨立",IF($L686="Ø","符合條件","不符合"))</x:f>
        <x:v>不符合</x:v>
      </x:c>
      <x:c r="O686" s="48" t="str">
        <x:f>_xlfn.XLOOKUP($A686&amp;"|李侑津醫師",'試行熟悉度'!$K$7:$K$20,'試行熟悉度'!$E$7:$E$20,"未評估",0)</x:f>
        <x:v>未評估</x:v>
      </x:c>
      <x:c r="P686" s="48" t="str">
        <x:f>_xlfn.XLOOKUP($A686&amp;"|李侑津醫師",'試行熟悉度'!$K$7:$K$20,'試行熟悉度'!$F$7:$F$20,"未建立",0)</x:f>
        <x:v>未建立</x:v>
      </x:c>
      <x:c r="Q686" s="39" t="str">
        <x:v>確認後才納入自動判定</x:v>
      </x:c>
    </x:row>
    <x:row r="687">
      <x:c r="A687" s="37" t="str">
        <x:v>2007</x:v>
      </x:c>
      <x:c r="B687" s="37" t="str"/>
      <x:c r="C687" s="37" t="str">
        <x:v>LJT-FILLING</x:v>
      </x:c>
      <x:c r="D687" s="37" t="str">
        <x:v>補牙</x:v>
      </x:c>
      <x:c r="E687" s="37" t="str">
        <x:v>一般</x:v>
      </x:c>
      <x:c r="F687" s="37" t="str">
        <x:v>一般</x:v>
      </x:c>
      <x:c r="G687" s="37" t="str">
        <x:v>LJT-PREP-FILLING</x:v>
      </x:c>
      <x:c r="H687" s="37" t="str">
        <x:v>必備</x:v>
      </x:c>
      <x:c r="I687" s="37" t="str">
        <x:f>_xlfn.XLOOKUP($C687&amp;"|"&amp;$G687,'李醫師能力要求'!$M$7:$M$59,'李醫師能力要求'!$K$7:$K$59,"待確認",0)</x:f>
        <x:v>已確認</x:v>
      </x:c>
      <x:c r="J687" s="37" t="str">
        <x:v>◎</x:v>
      </x:c>
      <x:c r="K687" s="37" t="str">
        <x:v>Ø</x:v>
      </x:c>
      <x:c r="L687" s="48" t="str">
        <x:f>_xlfn.XLOOKUP($A687&amp;"|"&amp;$G687,'試行能力狀態'!$L$7:$L$258,'試行能力狀態'!$E$7:$E$258,"未評估",0)</x:f>
        <x:v>未評估</x:v>
      </x:c>
      <x:c r="M687" s="48" t="str">
        <x:f>_xlfn.XLOOKUP($A687&amp;"|"&amp;$G687,'試行能力狀態'!$L$7:$L$258,'試行能力狀態'!$F$7:$F$258,"未建立",0)</x:f>
        <x:v>未建立</x:v>
      </x:c>
      <x:c r="N687" s="48" t="str">
        <x:f>IF($L687="◎","符合獨立",IF($L687="Ø","符合條件","不符合"))</x:f>
        <x:v>不符合</x:v>
      </x:c>
      <x:c r="O687" s="48" t="str">
        <x:f>_xlfn.XLOOKUP($A687&amp;"|李侑津醫師",'試行熟悉度'!$K$7:$K$20,'試行熟悉度'!$E$7:$E$20,"未評估",0)</x:f>
        <x:v>未評估</x:v>
      </x:c>
      <x:c r="P687" s="48" t="str">
        <x:f>_xlfn.XLOOKUP($A687&amp;"|李侑津醫師",'試行熟悉度'!$K$7:$K$20,'試行熟悉度'!$F$7:$F$20,"未建立",0)</x:f>
        <x:v>未建立</x:v>
      </x:c>
      <x:c r="Q687" s="39" t="str">
        <x:v>依一般支援名額</x:v>
      </x:c>
    </x:row>
    <x:row r="688">
      <x:c r="A688" s="37" t="str">
        <x:v>2007</x:v>
      </x:c>
      <x:c r="B688" s="37" t="str"/>
      <x:c r="C688" s="37" t="str">
        <x:v>LJT-FILLING</x:v>
      </x:c>
      <x:c r="D688" s="37" t="str">
        <x:v>補牙</x:v>
      </x:c>
      <x:c r="E688" s="37" t="str">
        <x:v>一般</x:v>
      </x:c>
      <x:c r="F688" s="37" t="str">
        <x:v>一般</x:v>
      </x:c>
      <x:c r="G688" s="37" t="str">
        <x:v>COMMON-RECORD</x:v>
      </x:c>
      <x:c r="H688" s="37" t="str">
        <x:v>待確認</x:v>
      </x:c>
      <x:c r="I688" s="37" t="str">
        <x:f>_xlfn.XLOOKUP($C688&amp;"|"&amp;$G688,'李醫師能力要求'!$M$7:$M$59,'李醫師能力要求'!$K$7:$K$59,"待確認",0)</x:f>
        <x:v>待確認</x:v>
      </x:c>
      <x:c r="J688" s="37" t="str">
        <x:v>◎</x:v>
      </x:c>
      <x:c r="K688" s="37" t="str">
        <x:v>Ø</x:v>
      </x:c>
      <x:c r="L688" s="48" t="str">
        <x:f>_xlfn.XLOOKUP($A688&amp;"|"&amp;$G688,'試行能力狀態'!$L$7:$L$258,'試行能力狀態'!$E$7:$E$258,"未評估",0)</x:f>
        <x:v>未評估</x:v>
      </x:c>
      <x:c r="M688" s="48" t="str">
        <x:f>_xlfn.XLOOKUP($A688&amp;"|"&amp;$G688,'試行能力狀態'!$L$7:$L$258,'試行能力狀態'!$F$7:$F$258,"未建立",0)</x:f>
        <x:v>未建立</x:v>
      </x:c>
      <x:c r="N688" s="48" t="str">
        <x:f>IF($L688="◎","符合獨立",IF($L688="Ø","符合條件","不符合"))</x:f>
        <x:v>不符合</x:v>
      </x:c>
      <x:c r="O688" s="48" t="str">
        <x:f>_xlfn.XLOOKUP($A688&amp;"|李侑津醫師",'試行熟悉度'!$K$7:$K$20,'試行熟悉度'!$E$7:$E$20,"未評估",0)</x:f>
        <x:v>未評估</x:v>
      </x:c>
      <x:c r="P688" s="48" t="str">
        <x:f>_xlfn.XLOOKUP($A688&amp;"|李侑津醫師",'試行熟悉度'!$K$7:$K$20,'試行熟悉度'!$F$7:$F$20,"未建立",0)</x:f>
        <x:v>未建立</x:v>
      </x:c>
      <x:c r="Q688" s="39" t="str">
        <x:v>確認後才納入自動判定</x:v>
      </x:c>
    </x:row>
    <x:row r="689">
      <x:c r="A689" s="37" t="str">
        <x:v>2007</x:v>
      </x:c>
      <x:c r="B689" s="37" t="str"/>
      <x:c r="C689" s="37" t="str">
        <x:v>LJT-FILLING</x:v>
      </x:c>
      <x:c r="D689" s="37" t="str">
        <x:v>補牙</x:v>
      </x:c>
      <x:c r="E689" s="37" t="str">
        <x:v>一般</x:v>
      </x:c>
      <x:c r="F689" s="37" t="str">
        <x:v>一般</x:v>
      </x:c>
      <x:c r="G689" s="37" t="str">
        <x:v>COMMON-INSURANCE</x:v>
      </x:c>
      <x:c r="H689" s="37" t="str">
        <x:v>待確認</x:v>
      </x:c>
      <x:c r="I689" s="37" t="str">
        <x:f>_xlfn.XLOOKUP($C689&amp;"|"&amp;$G689,'李醫師能力要求'!$M$7:$M$59,'李醫師能力要求'!$K$7:$K$59,"待確認",0)</x:f>
        <x:v>待確認</x:v>
      </x:c>
      <x:c r="J689" s="37" t="str">
        <x:v>◎</x:v>
      </x:c>
      <x:c r="K689" s="37" t="str">
        <x:v>Ø</x:v>
      </x:c>
      <x:c r="L689" s="48" t="str">
        <x:f>_xlfn.XLOOKUP($A689&amp;"|"&amp;$G689,'試行能力狀態'!$L$7:$L$258,'試行能力狀態'!$E$7:$E$258,"未評估",0)</x:f>
        <x:v>未評估</x:v>
      </x:c>
      <x:c r="M689" s="48" t="str">
        <x:f>_xlfn.XLOOKUP($A689&amp;"|"&amp;$G689,'試行能力狀態'!$L$7:$L$258,'試行能力狀態'!$F$7:$F$258,"未建立",0)</x:f>
        <x:v>未建立</x:v>
      </x:c>
      <x:c r="N689" s="48" t="str">
        <x:f>IF($L689="◎","符合獨立",IF($L689="Ø","符合條件","不符合"))</x:f>
        <x:v>不符合</x:v>
      </x:c>
      <x:c r="O689" s="48" t="str">
        <x:f>_xlfn.XLOOKUP($A689&amp;"|李侑津醫師",'試行熟悉度'!$K$7:$K$20,'試行熟悉度'!$E$7:$E$20,"未評估",0)</x:f>
        <x:v>未評估</x:v>
      </x:c>
      <x:c r="P689" s="48" t="str">
        <x:f>_xlfn.XLOOKUP($A689&amp;"|李侑津醫師",'試行熟悉度'!$K$7:$K$20,'試行熟悉度'!$F$7:$F$20,"未建立",0)</x:f>
        <x:v>未建立</x:v>
      </x:c>
      <x:c r="Q689" s="39" t="str">
        <x:v>確認後才納入自動判定</x:v>
      </x:c>
    </x:row>
    <x:row r="690">
      <x:c r="A690" s="37" t="str">
        <x:v>2007</x:v>
      </x:c>
      <x:c r="B690" s="37" t="str"/>
      <x:c r="C690" s="37" t="str">
        <x:v>LJT-FILLING</x:v>
      </x:c>
      <x:c r="D690" s="37" t="str">
        <x:v>補牙</x:v>
      </x:c>
      <x:c r="E690" s="37" t="str">
        <x:v>一般</x:v>
      </x:c>
      <x:c r="F690" s="37" t="str">
        <x:v>一般</x:v>
      </x:c>
      <x:c r="G690" s="37" t="str">
        <x:v>COMMON-XRAY-RECORD</x:v>
      </x:c>
      <x:c r="H690" s="37" t="str">
        <x:v>待確認</x:v>
      </x:c>
      <x:c r="I690" s="37" t="str">
        <x:f>_xlfn.XLOOKUP($C690&amp;"|"&amp;$G690,'李醫師能力要求'!$M$7:$M$59,'李醫師能力要求'!$K$7:$K$59,"待確認",0)</x:f>
        <x:v>待確認</x:v>
      </x:c>
      <x:c r="J690" s="37" t="str">
        <x:v>◎</x:v>
      </x:c>
      <x:c r="K690" s="37" t="str">
        <x:v>Ø</x:v>
      </x:c>
      <x:c r="L690" s="48" t="str">
        <x:f>_xlfn.XLOOKUP($A690&amp;"|"&amp;$G690,'試行能力狀態'!$L$7:$L$258,'試行能力狀態'!$E$7:$E$258,"未評估",0)</x:f>
        <x:v>未評估</x:v>
      </x:c>
      <x:c r="M690" s="48" t="str">
        <x:f>_xlfn.XLOOKUP($A690&amp;"|"&amp;$G690,'試行能力狀態'!$L$7:$L$258,'試行能力狀態'!$F$7:$F$258,"未建立",0)</x:f>
        <x:v>未建立</x:v>
      </x:c>
      <x:c r="N690" s="48" t="str">
        <x:f>IF($L690="◎","符合獨立",IF($L690="Ø","符合條件","不符合"))</x:f>
        <x:v>不符合</x:v>
      </x:c>
      <x:c r="O690" s="48" t="str">
        <x:f>_xlfn.XLOOKUP($A690&amp;"|李侑津醫師",'試行熟悉度'!$K$7:$K$20,'試行熟悉度'!$E$7:$E$20,"未評估",0)</x:f>
        <x:v>未評估</x:v>
      </x:c>
      <x:c r="P690" s="48" t="str">
        <x:f>_xlfn.XLOOKUP($A690&amp;"|李侑津醫師",'試行熟悉度'!$K$7:$K$20,'試行熟悉度'!$F$7:$F$20,"未建立",0)</x:f>
        <x:v>未建立</x:v>
      </x:c>
      <x:c r="Q690" s="39" t="str">
        <x:v>確認後才納入自動判定</x:v>
      </x:c>
    </x:row>
    <x:row r="691">
      <x:c r="A691" s="37" t="str">
        <x:v>2007</x:v>
      </x:c>
      <x:c r="B691" s="37" t="str"/>
      <x:c r="C691" s="37" t="str">
        <x:v>LJT-PERIO</x:v>
      </x:c>
      <x:c r="D691" s="37" t="str">
        <x:v>牙周統合</x:v>
      </x:c>
      <x:c r="E691" s="37" t="str">
        <x:v>一般</x:v>
      </x:c>
      <x:c r="F691" s="37" t="str">
        <x:v>一般</x:v>
      </x:c>
      <x:c r="G691" s="37" t="str">
        <x:v>LJT-PREP-PERIO</x:v>
      </x:c>
      <x:c r="H691" s="37" t="str">
        <x:v>必備</x:v>
      </x:c>
      <x:c r="I691" s="37" t="str">
        <x:f>_xlfn.XLOOKUP($C691&amp;"|"&amp;$G691,'李醫師能力要求'!$M$7:$M$59,'李醫師能力要求'!$K$7:$K$59,"待確認",0)</x:f>
        <x:v>已確認</x:v>
      </x:c>
      <x:c r="J691" s="37" t="str">
        <x:v>◎</x:v>
      </x:c>
      <x:c r="K691" s="37" t="str">
        <x:v>Ø</x:v>
      </x:c>
      <x:c r="L691" s="48" t="str">
        <x:f>_xlfn.XLOOKUP($A691&amp;"|"&amp;$G691,'試行能力狀態'!$L$7:$L$258,'試行能力狀態'!$E$7:$E$258,"未評估",0)</x:f>
        <x:v>未評估</x:v>
      </x:c>
      <x:c r="M691" s="48" t="str">
        <x:f>_xlfn.XLOOKUP($A691&amp;"|"&amp;$G691,'試行能力狀態'!$L$7:$L$258,'試行能力狀態'!$F$7:$F$258,"未建立",0)</x:f>
        <x:v>未建立</x:v>
      </x:c>
      <x:c r="N691" s="48" t="str">
        <x:f>IF($L691="◎","符合獨立",IF($L691="Ø","符合條件","不符合"))</x:f>
        <x:v>不符合</x:v>
      </x:c>
      <x:c r="O691" s="48" t="str">
        <x:f>_xlfn.XLOOKUP($A691&amp;"|李侑津醫師",'試行熟悉度'!$K$7:$K$20,'試行熟悉度'!$E$7:$E$20,"未評估",0)</x:f>
        <x:v>未評估</x:v>
      </x:c>
      <x:c r="P691" s="48" t="str">
        <x:f>_xlfn.XLOOKUP($A691&amp;"|李侑津醫師",'試行熟悉度'!$K$7:$K$20,'試行熟悉度'!$F$7:$F$20,"未建立",0)</x:f>
        <x:v>未建立</x:v>
      </x:c>
      <x:c r="Q691" s="39" t="str">
        <x:v>依一般支援名額</x:v>
      </x:c>
    </x:row>
    <x:row r="692">
      <x:c r="A692" s="37" t="str">
        <x:v>2007</x:v>
      </x:c>
      <x:c r="B692" s="37" t="str"/>
      <x:c r="C692" s="37" t="str">
        <x:v>LJT-PERIO</x:v>
      </x:c>
      <x:c r="D692" s="37" t="str">
        <x:v>牙周統合</x:v>
      </x:c>
      <x:c r="E692" s="37" t="str">
        <x:v>一般</x:v>
      </x:c>
      <x:c r="F692" s="37" t="str">
        <x:v>一般</x:v>
      </x:c>
      <x:c r="G692" s="37" t="str">
        <x:v>COMMON-RECORD</x:v>
      </x:c>
      <x:c r="H692" s="37" t="str">
        <x:v>待確認</x:v>
      </x:c>
      <x:c r="I692" s="37" t="str">
        <x:f>_xlfn.XLOOKUP($C692&amp;"|"&amp;$G692,'李醫師能力要求'!$M$7:$M$59,'李醫師能力要求'!$K$7:$K$59,"待確認",0)</x:f>
        <x:v>待確認</x:v>
      </x:c>
      <x:c r="J692" s="37" t="str">
        <x:v>◎</x:v>
      </x:c>
      <x:c r="K692" s="37" t="str">
        <x:v>Ø</x:v>
      </x:c>
      <x:c r="L692" s="48" t="str">
        <x:f>_xlfn.XLOOKUP($A692&amp;"|"&amp;$G692,'試行能力狀態'!$L$7:$L$258,'試行能力狀態'!$E$7:$E$258,"未評估",0)</x:f>
        <x:v>未評估</x:v>
      </x:c>
      <x:c r="M692" s="48" t="str">
        <x:f>_xlfn.XLOOKUP($A692&amp;"|"&amp;$G692,'試行能力狀態'!$L$7:$L$258,'試行能力狀態'!$F$7:$F$258,"未建立",0)</x:f>
        <x:v>未建立</x:v>
      </x:c>
      <x:c r="N692" s="48" t="str">
        <x:f>IF($L692="◎","符合獨立",IF($L692="Ø","符合條件","不符合"))</x:f>
        <x:v>不符合</x:v>
      </x:c>
      <x:c r="O692" s="48" t="str">
        <x:f>_xlfn.XLOOKUP($A692&amp;"|李侑津醫師",'試行熟悉度'!$K$7:$K$20,'試行熟悉度'!$E$7:$E$20,"未評估",0)</x:f>
        <x:v>未評估</x:v>
      </x:c>
      <x:c r="P692" s="48" t="str">
        <x:f>_xlfn.XLOOKUP($A692&amp;"|李侑津醫師",'試行熟悉度'!$K$7:$K$20,'試行熟悉度'!$F$7:$F$20,"未建立",0)</x:f>
        <x:v>未建立</x:v>
      </x:c>
      <x:c r="Q692" s="39" t="str">
        <x:v>確認後才納入自動判定</x:v>
      </x:c>
    </x:row>
    <x:row r="693">
      <x:c r="A693" s="37" t="str">
        <x:v>2007</x:v>
      </x:c>
      <x:c r="B693" s="37" t="str"/>
      <x:c r="C693" s="37" t="str">
        <x:v>LJT-PERIO</x:v>
      </x:c>
      <x:c r="D693" s="37" t="str">
        <x:v>牙周統合</x:v>
      </x:c>
      <x:c r="E693" s="37" t="str">
        <x:v>一般</x:v>
      </x:c>
      <x:c r="F693" s="37" t="str">
        <x:v>一般</x:v>
      </x:c>
      <x:c r="G693" s="37" t="str">
        <x:v>COMMON-INSURANCE</x:v>
      </x:c>
      <x:c r="H693" s="37" t="str">
        <x:v>待確認</x:v>
      </x:c>
      <x:c r="I693" s="37" t="str">
        <x:f>_xlfn.XLOOKUP($C693&amp;"|"&amp;$G693,'李醫師能力要求'!$M$7:$M$59,'李醫師能力要求'!$K$7:$K$59,"待確認",0)</x:f>
        <x:v>待確認</x:v>
      </x:c>
      <x:c r="J693" s="37" t="str">
        <x:v>◎</x:v>
      </x:c>
      <x:c r="K693" s="37" t="str">
        <x:v>Ø</x:v>
      </x:c>
      <x:c r="L693" s="48" t="str">
        <x:f>_xlfn.XLOOKUP($A693&amp;"|"&amp;$G693,'試行能力狀態'!$L$7:$L$258,'試行能力狀態'!$E$7:$E$258,"未評估",0)</x:f>
        <x:v>未評估</x:v>
      </x:c>
      <x:c r="M693" s="48" t="str">
        <x:f>_xlfn.XLOOKUP($A693&amp;"|"&amp;$G693,'試行能力狀態'!$L$7:$L$258,'試行能力狀態'!$F$7:$F$258,"未建立",0)</x:f>
        <x:v>未建立</x:v>
      </x:c>
      <x:c r="N693" s="48" t="str">
        <x:f>IF($L693="◎","符合獨立",IF($L693="Ø","符合條件","不符合"))</x:f>
        <x:v>不符合</x:v>
      </x:c>
      <x:c r="O693" s="48" t="str">
        <x:f>_xlfn.XLOOKUP($A693&amp;"|李侑津醫師",'試行熟悉度'!$K$7:$K$20,'試行熟悉度'!$E$7:$E$20,"未評估",0)</x:f>
        <x:v>未評估</x:v>
      </x:c>
      <x:c r="P693" s="48" t="str">
        <x:f>_xlfn.XLOOKUP($A693&amp;"|李侑津醫師",'試行熟悉度'!$K$7:$K$20,'試行熟悉度'!$F$7:$F$20,"未建立",0)</x:f>
        <x:v>未建立</x:v>
      </x:c>
      <x:c r="Q693" s="39" t="str">
        <x:v>確認後才納入自動判定</x:v>
      </x:c>
    </x:row>
    <x:row r="694">
      <x:c r="A694" s="37" t="str">
        <x:v>2007</x:v>
      </x:c>
      <x:c r="B694" s="37" t="str"/>
      <x:c r="C694" s="37" t="str">
        <x:v>LJT-PERIO</x:v>
      </x:c>
      <x:c r="D694" s="37" t="str">
        <x:v>牙周統合</x:v>
      </x:c>
      <x:c r="E694" s="37" t="str">
        <x:v>一般</x:v>
      </x:c>
      <x:c r="F694" s="37" t="str">
        <x:v>一般</x:v>
      </x:c>
      <x:c r="G694" s="37" t="str">
        <x:v>COMMON-XRAY-RECORD</x:v>
      </x:c>
      <x:c r="H694" s="37" t="str">
        <x:v>待確認</x:v>
      </x:c>
      <x:c r="I694" s="37" t="str">
        <x:f>_xlfn.XLOOKUP($C694&amp;"|"&amp;$G694,'李醫師能力要求'!$M$7:$M$59,'李醫師能力要求'!$K$7:$K$59,"待確認",0)</x:f>
        <x:v>待確認</x:v>
      </x:c>
      <x:c r="J694" s="37" t="str">
        <x:v>◎</x:v>
      </x:c>
      <x:c r="K694" s="37" t="str">
        <x:v>Ø</x:v>
      </x:c>
      <x:c r="L694" s="48" t="str">
        <x:f>_xlfn.XLOOKUP($A694&amp;"|"&amp;$G694,'試行能力狀態'!$L$7:$L$258,'試行能力狀態'!$E$7:$E$258,"未評估",0)</x:f>
        <x:v>未評估</x:v>
      </x:c>
      <x:c r="M694" s="48" t="str">
        <x:f>_xlfn.XLOOKUP($A694&amp;"|"&amp;$G694,'試行能力狀態'!$L$7:$L$258,'試行能力狀態'!$F$7:$F$258,"未建立",0)</x:f>
        <x:v>未建立</x:v>
      </x:c>
      <x:c r="N694" s="48" t="str">
        <x:f>IF($L694="◎","符合獨立",IF($L694="Ø","符合條件","不符合"))</x:f>
        <x:v>不符合</x:v>
      </x:c>
      <x:c r="O694" s="48" t="str">
        <x:f>_xlfn.XLOOKUP($A694&amp;"|李侑津醫師",'試行熟悉度'!$K$7:$K$20,'試行熟悉度'!$E$7:$E$20,"未評估",0)</x:f>
        <x:v>未評估</x:v>
      </x:c>
      <x:c r="P694" s="48" t="str">
        <x:f>_xlfn.XLOOKUP($A694&amp;"|李侑津醫師",'試行熟悉度'!$K$7:$K$20,'試行熟悉度'!$F$7:$F$20,"未建立",0)</x:f>
        <x:v>未建立</x:v>
      </x:c>
      <x:c r="Q694" s="39" t="str">
        <x:v>確認後才納入自動判定</x:v>
      </x:c>
    </x:row>
    <x:row r="695">
      <x:c r="A695" s="37" t="str">
        <x:v>2007</x:v>
      </x:c>
      <x:c r="B695" s="37" t="str"/>
      <x:c r="C695" s="37" t="str">
        <x:v>LJT-RCT</x:v>
      </x:c>
      <x:c r="D695" s="37" t="str">
        <x:v>一般根管治療</x:v>
      </x:c>
      <x:c r="E695" s="37" t="str">
        <x:v>一般</x:v>
      </x:c>
      <x:c r="F695" s="37" t="str">
        <x:v>一般</x:v>
      </x:c>
      <x:c r="G695" s="37" t="str">
        <x:v>LJT-PREP-RCT</x:v>
      </x:c>
      <x:c r="H695" s="37" t="str">
        <x:v>必備</x:v>
      </x:c>
      <x:c r="I695" s="37" t="str">
        <x:f>_xlfn.XLOOKUP($C695&amp;"|"&amp;$G695,'李醫師能力要求'!$M$7:$M$59,'李醫師能力要求'!$K$7:$K$59,"待確認",0)</x:f>
        <x:v>已確認</x:v>
      </x:c>
      <x:c r="J695" s="37" t="str">
        <x:v>◎</x:v>
      </x:c>
      <x:c r="K695" s="37" t="str">
        <x:v>Ø</x:v>
      </x:c>
      <x:c r="L695" s="48" t="str">
        <x:f>_xlfn.XLOOKUP($A695&amp;"|"&amp;$G695,'試行能力狀態'!$L$7:$L$258,'試行能力狀態'!$E$7:$E$258,"未評估",0)</x:f>
        <x:v>未評估</x:v>
      </x:c>
      <x:c r="M695" s="48" t="str">
        <x:f>_xlfn.XLOOKUP($A695&amp;"|"&amp;$G695,'試行能力狀態'!$L$7:$L$258,'試行能力狀態'!$F$7:$F$258,"未建立",0)</x:f>
        <x:v>未建立</x:v>
      </x:c>
      <x:c r="N695" s="48" t="str">
        <x:f>IF($L695="◎","符合獨立",IF($L695="Ø","符合條件","不符合"))</x:f>
        <x:v>不符合</x:v>
      </x:c>
      <x:c r="O695" s="48" t="str">
        <x:f>_xlfn.XLOOKUP($A695&amp;"|李侑津醫師",'試行熟悉度'!$K$7:$K$20,'試行熟悉度'!$E$7:$E$20,"未評估",0)</x:f>
        <x:v>未評估</x:v>
      </x:c>
      <x:c r="P695" s="48" t="str">
        <x:f>_xlfn.XLOOKUP($A695&amp;"|李侑津醫師",'試行熟悉度'!$K$7:$K$20,'試行熟悉度'!$F$7:$F$20,"未建立",0)</x:f>
        <x:v>未建立</x:v>
      </x:c>
      <x:c r="Q695" s="39" t="str">
        <x:v>依一般支援名額</x:v>
      </x:c>
    </x:row>
    <x:row r="696">
      <x:c r="A696" s="37" t="str">
        <x:v>2007</x:v>
      </x:c>
      <x:c r="B696" s="37" t="str"/>
      <x:c r="C696" s="37" t="str">
        <x:v>LJT-RCT</x:v>
      </x:c>
      <x:c r="D696" s="37" t="str">
        <x:v>一般根管治療</x:v>
      </x:c>
      <x:c r="E696" s="37" t="str">
        <x:v>一般</x:v>
      </x:c>
      <x:c r="F696" s="37" t="str">
        <x:v>一般</x:v>
      </x:c>
      <x:c r="G696" s="37" t="str">
        <x:v>COMMON-RECORD</x:v>
      </x:c>
      <x:c r="H696" s="37" t="str">
        <x:v>待確認</x:v>
      </x:c>
      <x:c r="I696" s="37" t="str">
        <x:f>_xlfn.XLOOKUP($C696&amp;"|"&amp;$G696,'李醫師能力要求'!$M$7:$M$59,'李醫師能力要求'!$K$7:$K$59,"待確認",0)</x:f>
        <x:v>待確認</x:v>
      </x:c>
      <x:c r="J696" s="37" t="str">
        <x:v>◎</x:v>
      </x:c>
      <x:c r="K696" s="37" t="str">
        <x:v>Ø</x:v>
      </x:c>
      <x:c r="L696" s="48" t="str">
        <x:f>_xlfn.XLOOKUP($A696&amp;"|"&amp;$G696,'試行能力狀態'!$L$7:$L$258,'試行能力狀態'!$E$7:$E$258,"未評估",0)</x:f>
        <x:v>未評估</x:v>
      </x:c>
      <x:c r="M696" s="48" t="str">
        <x:f>_xlfn.XLOOKUP($A696&amp;"|"&amp;$G696,'試行能力狀態'!$L$7:$L$258,'試行能力狀態'!$F$7:$F$258,"未建立",0)</x:f>
        <x:v>未建立</x:v>
      </x:c>
      <x:c r="N696" s="48" t="str">
        <x:f>IF($L696="◎","符合獨立",IF($L696="Ø","符合條件","不符合"))</x:f>
        <x:v>不符合</x:v>
      </x:c>
      <x:c r="O696" s="48" t="str">
        <x:f>_xlfn.XLOOKUP($A696&amp;"|李侑津醫師",'試行熟悉度'!$K$7:$K$20,'試行熟悉度'!$E$7:$E$20,"未評估",0)</x:f>
        <x:v>未評估</x:v>
      </x:c>
      <x:c r="P696" s="48" t="str">
        <x:f>_xlfn.XLOOKUP($A696&amp;"|李侑津醫師",'試行熟悉度'!$K$7:$K$20,'試行熟悉度'!$F$7:$F$20,"未建立",0)</x:f>
        <x:v>未建立</x:v>
      </x:c>
      <x:c r="Q696" s="39" t="str">
        <x:v>確認後才納入自動判定</x:v>
      </x:c>
    </x:row>
    <x:row r="697">
      <x:c r="A697" s="37" t="str">
        <x:v>2007</x:v>
      </x:c>
      <x:c r="B697" s="37" t="str"/>
      <x:c r="C697" s="37" t="str">
        <x:v>LJT-RCT</x:v>
      </x:c>
      <x:c r="D697" s="37" t="str">
        <x:v>一般根管治療</x:v>
      </x:c>
      <x:c r="E697" s="37" t="str">
        <x:v>一般</x:v>
      </x:c>
      <x:c r="F697" s="37" t="str">
        <x:v>一般</x:v>
      </x:c>
      <x:c r="G697" s="37" t="str">
        <x:v>COMMON-INSURANCE</x:v>
      </x:c>
      <x:c r="H697" s="37" t="str">
        <x:v>待確認</x:v>
      </x:c>
      <x:c r="I697" s="37" t="str">
        <x:f>_xlfn.XLOOKUP($C697&amp;"|"&amp;$G697,'李醫師能力要求'!$M$7:$M$59,'李醫師能力要求'!$K$7:$K$59,"待確認",0)</x:f>
        <x:v>待確認</x:v>
      </x:c>
      <x:c r="J697" s="37" t="str">
        <x:v>◎</x:v>
      </x:c>
      <x:c r="K697" s="37" t="str">
        <x:v>Ø</x:v>
      </x:c>
      <x:c r="L697" s="48" t="str">
        <x:f>_xlfn.XLOOKUP($A697&amp;"|"&amp;$G697,'試行能力狀態'!$L$7:$L$258,'試行能力狀態'!$E$7:$E$258,"未評估",0)</x:f>
        <x:v>未評估</x:v>
      </x:c>
      <x:c r="M697" s="48" t="str">
        <x:f>_xlfn.XLOOKUP($A697&amp;"|"&amp;$G697,'試行能力狀態'!$L$7:$L$258,'試行能力狀態'!$F$7:$F$258,"未建立",0)</x:f>
        <x:v>未建立</x:v>
      </x:c>
      <x:c r="N697" s="48" t="str">
        <x:f>IF($L697="◎","符合獨立",IF($L697="Ø","符合條件","不符合"))</x:f>
        <x:v>不符合</x:v>
      </x:c>
      <x:c r="O697" s="48" t="str">
        <x:f>_xlfn.XLOOKUP($A697&amp;"|李侑津醫師",'試行熟悉度'!$K$7:$K$20,'試行熟悉度'!$E$7:$E$20,"未評估",0)</x:f>
        <x:v>未評估</x:v>
      </x:c>
      <x:c r="P697" s="48" t="str">
        <x:f>_xlfn.XLOOKUP($A697&amp;"|李侑津醫師",'試行熟悉度'!$K$7:$K$20,'試行熟悉度'!$F$7:$F$20,"未建立",0)</x:f>
        <x:v>未建立</x:v>
      </x:c>
      <x:c r="Q697" s="39" t="str">
        <x:v>確認後才納入自動判定</x:v>
      </x:c>
    </x:row>
    <x:row r="698">
      <x:c r="A698" s="37" t="str">
        <x:v>2007</x:v>
      </x:c>
      <x:c r="B698" s="37" t="str"/>
      <x:c r="C698" s="37" t="str">
        <x:v>LJT-RCT</x:v>
      </x:c>
      <x:c r="D698" s="37" t="str">
        <x:v>一般根管治療</x:v>
      </x:c>
      <x:c r="E698" s="37" t="str">
        <x:v>一般</x:v>
      </x:c>
      <x:c r="F698" s="37" t="str">
        <x:v>一般</x:v>
      </x:c>
      <x:c r="G698" s="37" t="str">
        <x:v>COMMON-XRAY-RECORD</x:v>
      </x:c>
      <x:c r="H698" s="37" t="str">
        <x:v>待確認</x:v>
      </x:c>
      <x:c r="I698" s="37" t="str">
        <x:f>_xlfn.XLOOKUP($C698&amp;"|"&amp;$G698,'李醫師能力要求'!$M$7:$M$59,'李醫師能力要求'!$K$7:$K$59,"待確認",0)</x:f>
        <x:v>待確認</x:v>
      </x:c>
      <x:c r="J698" s="37" t="str">
        <x:v>◎</x:v>
      </x:c>
      <x:c r="K698" s="37" t="str">
        <x:v>Ø</x:v>
      </x:c>
      <x:c r="L698" s="48" t="str">
        <x:f>_xlfn.XLOOKUP($A698&amp;"|"&amp;$G698,'試行能力狀態'!$L$7:$L$258,'試行能力狀態'!$E$7:$E$258,"未評估",0)</x:f>
        <x:v>未評估</x:v>
      </x:c>
      <x:c r="M698" s="48" t="str">
        <x:f>_xlfn.XLOOKUP($A698&amp;"|"&amp;$G698,'試行能力狀態'!$L$7:$L$258,'試行能力狀態'!$F$7:$F$258,"未建立",0)</x:f>
        <x:v>未建立</x:v>
      </x:c>
      <x:c r="N698" s="48" t="str">
        <x:f>IF($L698="◎","符合獨立",IF($L698="Ø","符合條件","不符合"))</x:f>
        <x:v>不符合</x:v>
      </x:c>
      <x:c r="O698" s="48" t="str">
        <x:f>_xlfn.XLOOKUP($A698&amp;"|李侑津醫師",'試行熟悉度'!$K$7:$K$20,'試行熟悉度'!$E$7:$E$20,"未評估",0)</x:f>
        <x:v>未評估</x:v>
      </x:c>
      <x:c r="P698" s="48" t="str">
        <x:f>_xlfn.XLOOKUP($A698&amp;"|李侑津醫師",'試行熟悉度'!$K$7:$K$20,'試行熟悉度'!$F$7:$F$20,"未建立",0)</x:f>
        <x:v>未建立</x:v>
      </x:c>
      <x:c r="Q698" s="39" t="str">
        <x:v>確認後才納入自動判定</x:v>
      </x:c>
    </x:row>
    <x:row r="699">
      <x:c r="A699" s="37" t="str">
        <x:v>2007</x:v>
      </x:c>
      <x:c r="B699" s="37" t="str"/>
      <x:c r="C699" s="37" t="str">
        <x:v>LJT-EXTRACTION</x:v>
      </x:c>
      <x:c r="D699" s="37" t="str">
        <x:v>拔牙</x:v>
      </x:c>
      <x:c r="E699" s="37" t="str">
        <x:v>一般</x:v>
      </x:c>
      <x:c r="F699" s="37" t="str">
        <x:v>一般</x:v>
      </x:c>
      <x:c r="G699" s="37" t="str">
        <x:v>LJT-PREP-EXTRACTION</x:v>
      </x:c>
      <x:c r="H699" s="37" t="str">
        <x:v>必備</x:v>
      </x:c>
      <x:c r="I699" s="37" t="str">
        <x:f>_xlfn.XLOOKUP($C699&amp;"|"&amp;$G699,'李醫師能力要求'!$M$7:$M$59,'李醫師能力要求'!$K$7:$K$59,"待確認",0)</x:f>
        <x:v>已確認</x:v>
      </x:c>
      <x:c r="J699" s="37" t="str">
        <x:v>◎</x:v>
      </x:c>
      <x:c r="K699" s="37" t="str">
        <x:v>Ø</x:v>
      </x:c>
      <x:c r="L699" s="48" t="str">
        <x:f>_xlfn.XLOOKUP($A699&amp;"|"&amp;$G699,'試行能力狀態'!$L$7:$L$258,'試行能力狀態'!$E$7:$E$258,"未評估",0)</x:f>
        <x:v>未評估</x:v>
      </x:c>
      <x:c r="M699" s="48" t="str">
        <x:f>_xlfn.XLOOKUP($A699&amp;"|"&amp;$G699,'試行能力狀態'!$L$7:$L$258,'試行能力狀態'!$F$7:$F$258,"未建立",0)</x:f>
        <x:v>未建立</x:v>
      </x:c>
      <x:c r="N699" s="48" t="str">
        <x:f>IF($L699="◎","符合獨立",IF($L699="Ø","符合條件","不符合"))</x:f>
        <x:v>不符合</x:v>
      </x:c>
      <x:c r="O699" s="48" t="str">
        <x:f>_xlfn.XLOOKUP($A699&amp;"|李侑津醫師",'試行熟悉度'!$K$7:$K$20,'試行熟悉度'!$E$7:$E$20,"未評估",0)</x:f>
        <x:v>未評估</x:v>
      </x:c>
      <x:c r="P699" s="48" t="str">
        <x:f>_xlfn.XLOOKUP($A699&amp;"|李侑津醫師",'試行熟悉度'!$K$7:$K$20,'試行熟悉度'!$F$7:$F$20,"未建立",0)</x:f>
        <x:v>未建立</x:v>
      </x:c>
      <x:c r="Q699" s="39" t="str">
        <x:v>依一般支援名額</x:v>
      </x:c>
    </x:row>
    <x:row r="700">
      <x:c r="A700" s="37" t="str">
        <x:v>2007</x:v>
      </x:c>
      <x:c r="B700" s="37" t="str"/>
      <x:c r="C700" s="37" t="str">
        <x:v>LJT-EXTRACTION</x:v>
      </x:c>
      <x:c r="D700" s="37" t="str">
        <x:v>拔牙</x:v>
      </x:c>
      <x:c r="E700" s="37" t="str">
        <x:v>一般</x:v>
      </x:c>
      <x:c r="F700" s="37" t="str">
        <x:v>一般</x:v>
      </x:c>
      <x:c r="G700" s="37" t="str">
        <x:v>COMMON-RECORD</x:v>
      </x:c>
      <x:c r="H700" s="37" t="str">
        <x:v>待確認</x:v>
      </x:c>
      <x:c r="I700" s="37" t="str">
        <x:f>_xlfn.XLOOKUP($C700&amp;"|"&amp;$G700,'李醫師能力要求'!$M$7:$M$59,'李醫師能力要求'!$K$7:$K$59,"待確認",0)</x:f>
        <x:v>待確認</x:v>
      </x:c>
      <x:c r="J700" s="37" t="str">
        <x:v>◎</x:v>
      </x:c>
      <x:c r="K700" s="37" t="str">
        <x:v>Ø</x:v>
      </x:c>
      <x:c r="L700" s="48" t="str">
        <x:f>_xlfn.XLOOKUP($A700&amp;"|"&amp;$G700,'試行能力狀態'!$L$7:$L$258,'試行能力狀態'!$E$7:$E$258,"未評估",0)</x:f>
        <x:v>未評估</x:v>
      </x:c>
      <x:c r="M700" s="48" t="str">
        <x:f>_xlfn.XLOOKUP($A700&amp;"|"&amp;$G700,'試行能力狀態'!$L$7:$L$258,'試行能力狀態'!$F$7:$F$258,"未建立",0)</x:f>
        <x:v>未建立</x:v>
      </x:c>
      <x:c r="N700" s="48" t="str">
        <x:f>IF($L700="◎","符合獨立",IF($L700="Ø","符合條件","不符合"))</x:f>
        <x:v>不符合</x:v>
      </x:c>
      <x:c r="O700" s="48" t="str">
        <x:f>_xlfn.XLOOKUP($A700&amp;"|李侑津醫師",'試行熟悉度'!$K$7:$K$20,'試行熟悉度'!$E$7:$E$20,"未評估",0)</x:f>
        <x:v>未評估</x:v>
      </x:c>
      <x:c r="P700" s="48" t="str">
        <x:f>_xlfn.XLOOKUP($A700&amp;"|李侑津醫師",'試行熟悉度'!$K$7:$K$20,'試行熟悉度'!$F$7:$F$20,"未建立",0)</x:f>
        <x:v>未建立</x:v>
      </x:c>
      <x:c r="Q700" s="39" t="str">
        <x:v>確認後才納入自動判定</x:v>
      </x:c>
    </x:row>
    <x:row r="701">
      <x:c r="A701" s="37" t="str">
        <x:v>2007</x:v>
      </x:c>
      <x:c r="B701" s="37" t="str"/>
      <x:c r="C701" s="37" t="str">
        <x:v>LJT-EXTRACTION</x:v>
      </x:c>
      <x:c r="D701" s="37" t="str">
        <x:v>拔牙</x:v>
      </x:c>
      <x:c r="E701" s="37" t="str">
        <x:v>一般</x:v>
      </x:c>
      <x:c r="F701" s="37" t="str">
        <x:v>一般</x:v>
      </x:c>
      <x:c r="G701" s="37" t="str">
        <x:v>COMMON-INSURANCE</x:v>
      </x:c>
      <x:c r="H701" s="37" t="str">
        <x:v>待確認</x:v>
      </x:c>
      <x:c r="I701" s="37" t="str">
        <x:f>_xlfn.XLOOKUP($C701&amp;"|"&amp;$G701,'李醫師能力要求'!$M$7:$M$59,'李醫師能力要求'!$K$7:$K$59,"待確認",0)</x:f>
        <x:v>待確認</x:v>
      </x:c>
      <x:c r="J701" s="37" t="str">
        <x:v>◎</x:v>
      </x:c>
      <x:c r="K701" s="37" t="str">
        <x:v>Ø</x:v>
      </x:c>
      <x:c r="L701" s="48" t="str">
        <x:f>_xlfn.XLOOKUP($A701&amp;"|"&amp;$G701,'試行能力狀態'!$L$7:$L$258,'試行能力狀態'!$E$7:$E$258,"未評估",0)</x:f>
        <x:v>未評估</x:v>
      </x:c>
      <x:c r="M701" s="48" t="str">
        <x:f>_xlfn.XLOOKUP($A701&amp;"|"&amp;$G701,'試行能力狀態'!$L$7:$L$258,'試行能力狀態'!$F$7:$F$258,"未建立",0)</x:f>
        <x:v>未建立</x:v>
      </x:c>
      <x:c r="N701" s="48" t="str">
        <x:f>IF($L701="◎","符合獨立",IF($L701="Ø","符合條件","不符合"))</x:f>
        <x:v>不符合</x:v>
      </x:c>
      <x:c r="O701" s="48" t="str">
        <x:f>_xlfn.XLOOKUP($A701&amp;"|李侑津醫師",'試行熟悉度'!$K$7:$K$20,'試行熟悉度'!$E$7:$E$20,"未評估",0)</x:f>
        <x:v>未評估</x:v>
      </x:c>
      <x:c r="P701" s="48" t="str">
        <x:f>_xlfn.XLOOKUP($A701&amp;"|李侑津醫師",'試行熟悉度'!$K$7:$K$20,'試行熟悉度'!$F$7:$F$20,"未建立",0)</x:f>
        <x:v>未建立</x:v>
      </x:c>
      <x:c r="Q701" s="39" t="str">
        <x:v>確認後才納入自動判定</x:v>
      </x:c>
    </x:row>
    <x:row r="702">
      <x:c r="A702" s="37" t="str">
        <x:v>2007</x:v>
      </x:c>
      <x:c r="B702" s="37" t="str"/>
      <x:c r="C702" s="37" t="str">
        <x:v>LJT-EXTRACTION</x:v>
      </x:c>
      <x:c r="D702" s="37" t="str">
        <x:v>拔牙</x:v>
      </x:c>
      <x:c r="E702" s="37" t="str">
        <x:v>一般</x:v>
      </x:c>
      <x:c r="F702" s="37" t="str">
        <x:v>一般</x:v>
      </x:c>
      <x:c r="G702" s="37" t="str">
        <x:v>COMMON-XRAY-RECORD</x:v>
      </x:c>
      <x:c r="H702" s="37" t="str">
        <x:v>待確認</x:v>
      </x:c>
      <x:c r="I702" s="37" t="str">
        <x:f>_xlfn.XLOOKUP($C702&amp;"|"&amp;$G702,'李醫師能力要求'!$M$7:$M$59,'李醫師能力要求'!$K$7:$K$59,"待確認",0)</x:f>
        <x:v>待確認</x:v>
      </x:c>
      <x:c r="J702" s="37" t="str">
        <x:v>◎</x:v>
      </x:c>
      <x:c r="K702" s="37" t="str">
        <x:v>Ø</x:v>
      </x:c>
      <x:c r="L702" s="48" t="str">
        <x:f>_xlfn.XLOOKUP($A702&amp;"|"&amp;$G702,'試行能力狀態'!$L$7:$L$258,'試行能力狀態'!$E$7:$E$258,"未評估",0)</x:f>
        <x:v>未評估</x:v>
      </x:c>
      <x:c r="M702" s="48" t="str">
        <x:f>_xlfn.XLOOKUP($A702&amp;"|"&amp;$G702,'試行能力狀態'!$L$7:$L$258,'試行能力狀態'!$F$7:$F$258,"未建立",0)</x:f>
        <x:v>未建立</x:v>
      </x:c>
      <x:c r="N702" s="48" t="str">
        <x:f>IF($L702="◎","符合獨立",IF($L702="Ø","符合條件","不符合"))</x:f>
        <x:v>不符合</x:v>
      </x:c>
      <x:c r="O702" s="48" t="str">
        <x:f>_xlfn.XLOOKUP($A702&amp;"|李侑津醫師",'試行熟悉度'!$K$7:$K$20,'試行熟悉度'!$E$7:$E$20,"未評估",0)</x:f>
        <x:v>未評估</x:v>
      </x:c>
      <x:c r="P702" s="48" t="str">
        <x:f>_xlfn.XLOOKUP($A702&amp;"|李侑津醫師",'試行熟悉度'!$K$7:$K$20,'試行熟悉度'!$F$7:$F$20,"未建立",0)</x:f>
        <x:v>未建立</x:v>
      </x:c>
      <x:c r="Q702" s="39" t="str">
        <x:v>確認後才納入自動判定</x:v>
      </x:c>
    </x:row>
    <x:row r="703">
      <x:c r="A703" s="37" t="str">
        <x:v>2007</x:v>
      </x:c>
      <x:c r="B703" s="37" t="str"/>
      <x:c r="C703" s="37" t="str">
        <x:v>LJT-CROWNPOST</x:v>
      </x:c>
      <x:c r="D703" s="37" t="str">
        <x:v>拆 crown/post</x:v>
      </x:c>
      <x:c r="E703" s="37" t="str">
        <x:v>一般</x:v>
      </x:c>
      <x:c r="F703" s="37" t="str">
        <x:v>一般</x:v>
      </x:c>
      <x:c r="G703" s="37" t="str">
        <x:v>LJT-PREP-CROWNPOST</x:v>
      </x:c>
      <x:c r="H703" s="37" t="str">
        <x:v>必備</x:v>
      </x:c>
      <x:c r="I703" s="37" t="str">
        <x:f>_xlfn.XLOOKUP($C703&amp;"|"&amp;$G703,'李醫師能力要求'!$M$7:$M$59,'李醫師能力要求'!$K$7:$K$59,"待確認",0)</x:f>
        <x:v>已確認</x:v>
      </x:c>
      <x:c r="J703" s="37" t="str">
        <x:v>◎</x:v>
      </x:c>
      <x:c r="K703" s="37" t="str">
        <x:v>Ø</x:v>
      </x:c>
      <x:c r="L703" s="48" t="str">
        <x:f>_xlfn.XLOOKUP($A703&amp;"|"&amp;$G703,'試行能力狀態'!$L$7:$L$258,'試行能力狀態'!$E$7:$E$258,"未評估",0)</x:f>
        <x:v>未評估</x:v>
      </x:c>
      <x:c r="M703" s="48" t="str">
        <x:f>_xlfn.XLOOKUP($A703&amp;"|"&amp;$G703,'試行能力狀態'!$L$7:$L$258,'試行能力狀態'!$F$7:$F$258,"未建立",0)</x:f>
        <x:v>未建立</x:v>
      </x:c>
      <x:c r="N703" s="48" t="str">
        <x:f>IF($L703="◎","符合獨立",IF($L703="Ø","符合條件","不符合"))</x:f>
        <x:v>不符合</x:v>
      </x:c>
      <x:c r="O703" s="48" t="str">
        <x:f>_xlfn.XLOOKUP($A703&amp;"|李侑津醫師",'試行熟悉度'!$K$7:$K$20,'試行熟悉度'!$E$7:$E$20,"未評估",0)</x:f>
        <x:v>未評估</x:v>
      </x:c>
      <x:c r="P703" s="48" t="str">
        <x:f>_xlfn.XLOOKUP($A703&amp;"|李侑津醫師",'試行熟悉度'!$K$7:$K$20,'試行熟悉度'!$F$7:$F$20,"未建立",0)</x:f>
        <x:v>未建立</x:v>
      </x:c>
      <x:c r="Q703" s="39" t="str">
        <x:v>依一般支援名額</x:v>
      </x:c>
    </x:row>
    <x:row r="704">
      <x:c r="A704" s="37" t="str">
        <x:v>2007</x:v>
      </x:c>
      <x:c r="B704" s="37" t="str"/>
      <x:c r="C704" s="37" t="str">
        <x:v>LJT-CROWNPOST</x:v>
      </x:c>
      <x:c r="D704" s="37" t="str">
        <x:v>拆 crown/post</x:v>
      </x:c>
      <x:c r="E704" s="37" t="str">
        <x:v>一般</x:v>
      </x:c>
      <x:c r="F704" s="37" t="str">
        <x:v>一般</x:v>
      </x:c>
      <x:c r="G704" s="37" t="str">
        <x:v>COMMON-RECORD</x:v>
      </x:c>
      <x:c r="H704" s="37" t="str">
        <x:v>待確認</x:v>
      </x:c>
      <x:c r="I704" s="37" t="str">
        <x:f>_xlfn.XLOOKUP($C704&amp;"|"&amp;$G704,'李醫師能力要求'!$M$7:$M$59,'李醫師能力要求'!$K$7:$K$59,"待確認",0)</x:f>
        <x:v>待確認</x:v>
      </x:c>
      <x:c r="J704" s="37" t="str">
        <x:v>◎</x:v>
      </x:c>
      <x:c r="K704" s="37" t="str">
        <x:v>Ø</x:v>
      </x:c>
      <x:c r="L704" s="48" t="str">
        <x:f>_xlfn.XLOOKUP($A704&amp;"|"&amp;$G704,'試行能力狀態'!$L$7:$L$258,'試行能力狀態'!$E$7:$E$258,"未評估",0)</x:f>
        <x:v>未評估</x:v>
      </x:c>
      <x:c r="M704" s="48" t="str">
        <x:f>_xlfn.XLOOKUP($A704&amp;"|"&amp;$G704,'試行能力狀態'!$L$7:$L$258,'試行能力狀態'!$F$7:$F$258,"未建立",0)</x:f>
        <x:v>未建立</x:v>
      </x:c>
      <x:c r="N704" s="48" t="str">
        <x:f>IF($L704="◎","符合獨立",IF($L704="Ø","符合條件","不符合"))</x:f>
        <x:v>不符合</x:v>
      </x:c>
      <x:c r="O704" s="48" t="str">
        <x:f>_xlfn.XLOOKUP($A704&amp;"|李侑津醫師",'試行熟悉度'!$K$7:$K$20,'試行熟悉度'!$E$7:$E$20,"未評估",0)</x:f>
        <x:v>未評估</x:v>
      </x:c>
      <x:c r="P704" s="48" t="str">
        <x:f>_xlfn.XLOOKUP($A704&amp;"|李侑津醫師",'試行熟悉度'!$K$7:$K$20,'試行熟悉度'!$F$7:$F$20,"未建立",0)</x:f>
        <x:v>未建立</x:v>
      </x:c>
      <x:c r="Q704" s="39" t="str">
        <x:v>確認後才納入自動判定</x:v>
      </x:c>
    </x:row>
    <x:row r="705">
      <x:c r="A705" s="37" t="str">
        <x:v>2007</x:v>
      </x:c>
      <x:c r="B705" s="37" t="str"/>
      <x:c r="C705" s="37" t="str">
        <x:v>LJT-CROWNPOST</x:v>
      </x:c>
      <x:c r="D705" s="37" t="str">
        <x:v>拆 crown/post</x:v>
      </x:c>
      <x:c r="E705" s="37" t="str">
        <x:v>一般</x:v>
      </x:c>
      <x:c r="F705" s="37" t="str">
        <x:v>一般</x:v>
      </x:c>
      <x:c r="G705" s="37" t="str">
        <x:v>COMMON-INSURANCE</x:v>
      </x:c>
      <x:c r="H705" s="37" t="str">
        <x:v>待確認</x:v>
      </x:c>
      <x:c r="I705" s="37" t="str">
        <x:f>_xlfn.XLOOKUP($C705&amp;"|"&amp;$G705,'李醫師能力要求'!$M$7:$M$59,'李醫師能力要求'!$K$7:$K$59,"待確認",0)</x:f>
        <x:v>待確認</x:v>
      </x:c>
      <x:c r="J705" s="37" t="str">
        <x:v>◎</x:v>
      </x:c>
      <x:c r="K705" s="37" t="str">
        <x:v>Ø</x:v>
      </x:c>
      <x:c r="L705" s="48" t="str">
        <x:f>_xlfn.XLOOKUP($A705&amp;"|"&amp;$G705,'試行能力狀態'!$L$7:$L$258,'試行能力狀態'!$E$7:$E$258,"未評估",0)</x:f>
        <x:v>未評估</x:v>
      </x:c>
      <x:c r="M705" s="48" t="str">
        <x:f>_xlfn.XLOOKUP($A705&amp;"|"&amp;$G705,'試行能力狀態'!$L$7:$L$258,'試行能力狀態'!$F$7:$F$258,"未建立",0)</x:f>
        <x:v>未建立</x:v>
      </x:c>
      <x:c r="N705" s="48" t="str">
        <x:f>IF($L705="◎","符合獨立",IF($L705="Ø","符合條件","不符合"))</x:f>
        <x:v>不符合</x:v>
      </x:c>
      <x:c r="O705" s="48" t="str">
        <x:f>_xlfn.XLOOKUP($A705&amp;"|李侑津醫師",'試行熟悉度'!$K$7:$K$20,'試行熟悉度'!$E$7:$E$20,"未評估",0)</x:f>
        <x:v>未評估</x:v>
      </x:c>
      <x:c r="P705" s="48" t="str">
        <x:f>_xlfn.XLOOKUP($A705&amp;"|李侑津醫師",'試行熟悉度'!$K$7:$K$20,'試行熟悉度'!$F$7:$F$20,"未建立",0)</x:f>
        <x:v>未建立</x:v>
      </x:c>
      <x:c r="Q705" s="39" t="str">
        <x:v>確認後才納入自動判定</x:v>
      </x:c>
    </x:row>
    <x:row r="706">
      <x:c r="A706" s="37" t="str">
        <x:v>2007</x:v>
      </x:c>
      <x:c r="B706" s="37" t="str"/>
      <x:c r="C706" s="37" t="str">
        <x:v>LJT-CROWNPOST</x:v>
      </x:c>
      <x:c r="D706" s="37" t="str">
        <x:v>拆 crown/post</x:v>
      </x:c>
      <x:c r="E706" s="37" t="str">
        <x:v>一般</x:v>
      </x:c>
      <x:c r="F706" s="37" t="str">
        <x:v>一般</x:v>
      </x:c>
      <x:c r="G706" s="37" t="str">
        <x:v>COMMON-XRAY-RECORD</x:v>
      </x:c>
      <x:c r="H706" s="37" t="str">
        <x:v>待確認</x:v>
      </x:c>
      <x:c r="I706" s="37" t="str">
        <x:f>_xlfn.XLOOKUP($C706&amp;"|"&amp;$G706,'李醫師能力要求'!$M$7:$M$59,'李醫師能力要求'!$K$7:$K$59,"待確認",0)</x:f>
        <x:v>待確認</x:v>
      </x:c>
      <x:c r="J706" s="37" t="str">
        <x:v>◎</x:v>
      </x:c>
      <x:c r="K706" s="37" t="str">
        <x:v>Ø</x:v>
      </x:c>
      <x:c r="L706" s="48" t="str">
        <x:f>_xlfn.XLOOKUP($A706&amp;"|"&amp;$G706,'試行能力狀態'!$L$7:$L$258,'試行能力狀態'!$E$7:$E$258,"未評估",0)</x:f>
        <x:v>未評估</x:v>
      </x:c>
      <x:c r="M706" s="48" t="str">
        <x:f>_xlfn.XLOOKUP($A706&amp;"|"&amp;$G706,'試行能力狀態'!$L$7:$L$258,'試行能力狀態'!$F$7:$F$258,"未建立",0)</x:f>
        <x:v>未建立</x:v>
      </x:c>
      <x:c r="N706" s="48" t="str">
        <x:f>IF($L706="◎","符合獨立",IF($L706="Ø","符合條件","不符合"))</x:f>
        <x:v>不符合</x:v>
      </x:c>
      <x:c r="O706" s="48" t="str">
        <x:f>_xlfn.XLOOKUP($A706&amp;"|李侑津醫師",'試行熟悉度'!$K$7:$K$20,'試行熟悉度'!$E$7:$E$20,"未評估",0)</x:f>
        <x:v>未評估</x:v>
      </x:c>
      <x:c r="P706" s="48" t="str">
        <x:f>_xlfn.XLOOKUP($A706&amp;"|李侑津醫師",'試行熟悉度'!$K$7:$K$20,'試行熟悉度'!$F$7:$F$20,"未建立",0)</x:f>
        <x:v>未建立</x:v>
      </x:c>
      <x:c r="Q706" s="39" t="str">
        <x:v>確認後才納入自動判定</x:v>
      </x:c>
    </x:row>
    <x:row r="707">
      <x:c r="A707" s="37" t="str">
        <x:v>2007</x:v>
      </x:c>
      <x:c r="B707" s="37" t="str"/>
      <x:c r="C707" s="37" t="str">
        <x:v>LJT-CROWN</x:v>
      </x:c>
      <x:c r="D707" s="37" t="str">
        <x:v>固定假牙</x:v>
      </x:c>
      <x:c r="E707" s="37" t="str">
        <x:v>一般</x:v>
      </x:c>
      <x:c r="F707" s="37" t="str">
        <x:v>一般</x:v>
      </x:c>
      <x:c r="G707" s="37" t="str">
        <x:v>LJT-PREP-CROWN</x:v>
      </x:c>
      <x:c r="H707" s="37" t="str">
        <x:v>必備</x:v>
      </x:c>
      <x:c r="I707" s="37" t="str">
        <x:f>_xlfn.XLOOKUP($C707&amp;"|"&amp;$G707,'李醫師能力要求'!$M$7:$M$59,'李醫師能力要求'!$K$7:$K$59,"待確認",0)</x:f>
        <x:v>已確認</x:v>
      </x:c>
      <x:c r="J707" s="37" t="str">
        <x:v>◎</x:v>
      </x:c>
      <x:c r="K707" s="37" t="str">
        <x:v>Ø</x:v>
      </x:c>
      <x:c r="L707" s="48" t="str">
        <x:f>_xlfn.XLOOKUP($A707&amp;"|"&amp;$G707,'試行能力狀態'!$L$7:$L$258,'試行能力狀態'!$E$7:$E$258,"未評估",0)</x:f>
        <x:v>未評估</x:v>
      </x:c>
      <x:c r="M707" s="48" t="str">
        <x:f>_xlfn.XLOOKUP($A707&amp;"|"&amp;$G707,'試行能力狀態'!$L$7:$L$258,'試行能力狀態'!$F$7:$F$258,"未建立",0)</x:f>
        <x:v>未建立</x:v>
      </x:c>
      <x:c r="N707" s="48" t="str">
        <x:f>IF($L707="◎","符合獨立",IF($L707="Ø","符合條件","不符合"))</x:f>
        <x:v>不符合</x:v>
      </x:c>
      <x:c r="O707" s="48" t="str">
        <x:f>_xlfn.XLOOKUP($A707&amp;"|李侑津醫師",'試行熟悉度'!$K$7:$K$20,'試行熟悉度'!$E$7:$E$20,"未評估",0)</x:f>
        <x:v>未評估</x:v>
      </x:c>
      <x:c r="P707" s="48" t="str">
        <x:f>_xlfn.XLOOKUP($A707&amp;"|李侑津醫師",'試行熟悉度'!$K$7:$K$20,'試行熟悉度'!$F$7:$F$20,"未建立",0)</x:f>
        <x:v>未建立</x:v>
      </x:c>
      <x:c r="Q707" s="39" t="str">
        <x:v>依一般支援名額</x:v>
      </x:c>
    </x:row>
    <x:row r="708">
      <x:c r="A708" s="37" t="str">
        <x:v>2007</x:v>
      </x:c>
      <x:c r="B708" s="37" t="str"/>
      <x:c r="C708" s="37" t="str">
        <x:v>LJT-CROWN</x:v>
      </x:c>
      <x:c r="D708" s="37" t="str">
        <x:v>固定假牙</x:v>
      </x:c>
      <x:c r="E708" s="37" t="str">
        <x:v>一般</x:v>
      </x:c>
      <x:c r="F708" s="37" t="str">
        <x:v>一般</x:v>
      </x:c>
      <x:c r="G708" s="37" t="str">
        <x:v>COMMON-RECORD</x:v>
      </x:c>
      <x:c r="H708" s="37" t="str">
        <x:v>待確認</x:v>
      </x:c>
      <x:c r="I708" s="37" t="str">
        <x:f>_xlfn.XLOOKUP($C708&amp;"|"&amp;$G708,'李醫師能力要求'!$M$7:$M$59,'李醫師能力要求'!$K$7:$K$59,"待確認",0)</x:f>
        <x:v>待確認</x:v>
      </x:c>
      <x:c r="J708" s="37" t="str">
        <x:v>◎</x:v>
      </x:c>
      <x:c r="K708" s="37" t="str">
        <x:v>Ø</x:v>
      </x:c>
      <x:c r="L708" s="48" t="str">
        <x:f>_xlfn.XLOOKUP($A708&amp;"|"&amp;$G708,'試行能力狀態'!$L$7:$L$258,'試行能力狀態'!$E$7:$E$258,"未評估",0)</x:f>
        <x:v>未評估</x:v>
      </x:c>
      <x:c r="M708" s="48" t="str">
        <x:f>_xlfn.XLOOKUP($A708&amp;"|"&amp;$G708,'試行能力狀態'!$L$7:$L$258,'試行能力狀態'!$F$7:$F$258,"未建立",0)</x:f>
        <x:v>未建立</x:v>
      </x:c>
      <x:c r="N708" s="48" t="str">
        <x:f>IF($L708="◎","符合獨立",IF($L708="Ø","符合條件","不符合"))</x:f>
        <x:v>不符合</x:v>
      </x:c>
      <x:c r="O708" s="48" t="str">
        <x:f>_xlfn.XLOOKUP($A708&amp;"|李侑津醫師",'試行熟悉度'!$K$7:$K$20,'試行熟悉度'!$E$7:$E$20,"未評估",0)</x:f>
        <x:v>未評估</x:v>
      </x:c>
      <x:c r="P708" s="48" t="str">
        <x:f>_xlfn.XLOOKUP($A708&amp;"|李侑津醫師",'試行熟悉度'!$K$7:$K$20,'試行熟悉度'!$F$7:$F$20,"未建立",0)</x:f>
        <x:v>未建立</x:v>
      </x:c>
      <x:c r="Q708" s="39" t="str">
        <x:v>確認後才納入自動判定</x:v>
      </x:c>
    </x:row>
    <x:row r="709">
      <x:c r="A709" s="37" t="str">
        <x:v>2007</x:v>
      </x:c>
      <x:c r="B709" s="37" t="str"/>
      <x:c r="C709" s="37" t="str">
        <x:v>LJT-CROWN</x:v>
      </x:c>
      <x:c r="D709" s="37" t="str">
        <x:v>固定假牙</x:v>
      </x:c>
      <x:c r="E709" s="37" t="str">
        <x:v>一般</x:v>
      </x:c>
      <x:c r="F709" s="37" t="str">
        <x:v>一般</x:v>
      </x:c>
      <x:c r="G709" s="37" t="str">
        <x:v>COMMON-INSURANCE</x:v>
      </x:c>
      <x:c r="H709" s="37" t="str">
        <x:v>待確認</x:v>
      </x:c>
      <x:c r="I709" s="37" t="str">
        <x:f>_xlfn.XLOOKUP($C709&amp;"|"&amp;$G709,'李醫師能力要求'!$M$7:$M$59,'李醫師能力要求'!$K$7:$K$59,"待確認",0)</x:f>
        <x:v>待確認</x:v>
      </x:c>
      <x:c r="J709" s="37" t="str">
        <x:v>◎</x:v>
      </x:c>
      <x:c r="K709" s="37" t="str">
        <x:v>Ø</x:v>
      </x:c>
      <x:c r="L709" s="48" t="str">
        <x:f>_xlfn.XLOOKUP($A709&amp;"|"&amp;$G709,'試行能力狀態'!$L$7:$L$258,'試行能力狀態'!$E$7:$E$258,"未評估",0)</x:f>
        <x:v>未評估</x:v>
      </x:c>
      <x:c r="M709" s="48" t="str">
        <x:f>_xlfn.XLOOKUP($A709&amp;"|"&amp;$G709,'試行能力狀態'!$L$7:$L$258,'試行能力狀態'!$F$7:$F$258,"未建立",0)</x:f>
        <x:v>未建立</x:v>
      </x:c>
      <x:c r="N709" s="48" t="str">
        <x:f>IF($L709="◎","符合獨立",IF($L709="Ø","符合條件","不符合"))</x:f>
        <x:v>不符合</x:v>
      </x:c>
      <x:c r="O709" s="48" t="str">
        <x:f>_xlfn.XLOOKUP($A709&amp;"|李侑津醫師",'試行熟悉度'!$K$7:$K$20,'試行熟悉度'!$E$7:$E$20,"未評估",0)</x:f>
        <x:v>未評估</x:v>
      </x:c>
      <x:c r="P709" s="48" t="str">
        <x:f>_xlfn.XLOOKUP($A709&amp;"|李侑津醫師",'試行熟悉度'!$K$7:$K$20,'試行熟悉度'!$F$7:$F$20,"未建立",0)</x:f>
        <x:v>未建立</x:v>
      </x:c>
      <x:c r="Q709" s="39" t="str">
        <x:v>確認後才納入自動判定</x:v>
      </x:c>
    </x:row>
    <x:row r="710">
      <x:c r="A710" s="37" t="str">
        <x:v>2007</x:v>
      </x:c>
      <x:c r="B710" s="37" t="str"/>
      <x:c r="C710" s="37" t="str">
        <x:v>LJT-CROWN</x:v>
      </x:c>
      <x:c r="D710" s="37" t="str">
        <x:v>固定假牙</x:v>
      </x:c>
      <x:c r="E710" s="37" t="str">
        <x:v>一般</x:v>
      </x:c>
      <x:c r="F710" s="37" t="str">
        <x:v>一般</x:v>
      </x:c>
      <x:c r="G710" s="37" t="str">
        <x:v>COMMON-XRAY-RECORD</x:v>
      </x:c>
      <x:c r="H710" s="37" t="str">
        <x:v>待確認</x:v>
      </x:c>
      <x:c r="I710" s="37" t="str">
        <x:f>_xlfn.XLOOKUP($C710&amp;"|"&amp;$G710,'李醫師能力要求'!$M$7:$M$59,'李醫師能力要求'!$K$7:$K$59,"待確認",0)</x:f>
        <x:v>待確認</x:v>
      </x:c>
      <x:c r="J710" s="37" t="str">
        <x:v>◎</x:v>
      </x:c>
      <x:c r="K710" s="37" t="str">
        <x:v>Ø</x:v>
      </x:c>
      <x:c r="L710" s="48" t="str">
        <x:f>_xlfn.XLOOKUP($A710&amp;"|"&amp;$G710,'試行能力狀態'!$L$7:$L$258,'試行能力狀態'!$E$7:$E$258,"未評估",0)</x:f>
        <x:v>未評估</x:v>
      </x:c>
      <x:c r="M710" s="48" t="str">
        <x:f>_xlfn.XLOOKUP($A710&amp;"|"&amp;$G710,'試行能力狀態'!$L$7:$L$258,'試行能力狀態'!$F$7:$F$258,"未建立",0)</x:f>
        <x:v>未建立</x:v>
      </x:c>
      <x:c r="N710" s="48" t="str">
        <x:f>IF($L710="◎","符合獨立",IF($L710="Ø","符合條件","不符合"))</x:f>
        <x:v>不符合</x:v>
      </x:c>
      <x:c r="O710" s="48" t="str">
        <x:f>_xlfn.XLOOKUP($A710&amp;"|李侑津醫師",'試行熟悉度'!$K$7:$K$20,'試行熟悉度'!$E$7:$E$20,"未評估",0)</x:f>
        <x:v>未評估</x:v>
      </x:c>
      <x:c r="P710" s="48" t="str">
        <x:f>_xlfn.XLOOKUP($A710&amp;"|李侑津醫師",'試行熟悉度'!$K$7:$K$20,'試行熟悉度'!$F$7:$F$20,"未建立",0)</x:f>
        <x:v>未建立</x:v>
      </x:c>
      <x:c r="Q710" s="39" t="str">
        <x:v>確認後才納入自動判定</x:v>
      </x:c>
    </x:row>
    <x:row r="711">
      <x:c r="A711" s="37" t="str">
        <x:v>2007</x:v>
      </x:c>
      <x:c r="B711" s="37" t="str"/>
      <x:c r="C711" s="37" t="str">
        <x:v>LJT-RPD</x:v>
      </x:c>
      <x:c r="D711" s="37" t="str">
        <x:v>RPD</x:v>
      </x:c>
      <x:c r="E711" s="37" t="str">
        <x:v>一般步驟</x:v>
      </x:c>
      <x:c r="F711" s="37" t="str">
        <x:v>一般</x:v>
      </x:c>
      <x:c r="G711" s="37" t="str">
        <x:v>LJT-PREP-RPD</x:v>
      </x:c>
      <x:c r="H711" s="37" t="str">
        <x:v>必備</x:v>
      </x:c>
      <x:c r="I711" s="37" t="str">
        <x:f>_xlfn.XLOOKUP($C711&amp;"|"&amp;$G711,'李醫師能力要求'!$M$7:$M$59,'李醫師能力要求'!$K$7:$K$59,"待確認",0)</x:f>
        <x:v>已確認</x:v>
      </x:c>
      <x:c r="J711" s="37" t="str">
        <x:v>◎</x:v>
      </x:c>
      <x:c r="K711" s="37" t="str">
        <x:v>Ø</x:v>
      </x:c>
      <x:c r="L711" s="48" t="str">
        <x:f>_xlfn.XLOOKUP($A711&amp;"|"&amp;$G711,'試行能力狀態'!$L$7:$L$258,'試行能力狀態'!$E$7:$E$258,"未評估",0)</x:f>
        <x:v>未評估</x:v>
      </x:c>
      <x:c r="M711" s="48" t="str">
        <x:f>_xlfn.XLOOKUP($A711&amp;"|"&amp;$G711,'試行能力狀態'!$L$7:$L$258,'試行能力狀態'!$F$7:$F$258,"未建立",0)</x:f>
        <x:v>未建立</x:v>
      </x:c>
      <x:c r="N711" s="48" t="str">
        <x:f>IF($L711="◎","符合獨立",IF($L711="Ø","符合條件","不符合"))</x:f>
        <x:v>不符合</x:v>
      </x:c>
      <x:c r="O711" s="48" t="str">
        <x:f>_xlfn.XLOOKUP($A711&amp;"|李侑津醫師",'試行熟悉度'!$K$7:$K$20,'試行熟悉度'!$E$7:$E$20,"未評估",0)</x:f>
        <x:v>未評估</x:v>
      </x:c>
      <x:c r="P711" s="48" t="str">
        <x:f>_xlfn.XLOOKUP($A711&amp;"|李侑津醫師",'試行熟悉度'!$K$7:$K$20,'試行熟悉度'!$F$7:$F$20,"未建立",0)</x:f>
        <x:v>未建立</x:v>
      </x:c>
      <x:c r="Q711" s="39" t="str">
        <x:v>依一般支援名額</x:v>
      </x:c>
    </x:row>
    <x:row r="712">
      <x:c r="A712" s="37" t="str">
        <x:v>2007</x:v>
      </x:c>
      <x:c r="B712" s="37" t="str"/>
      <x:c r="C712" s="37" t="str">
        <x:v>LJT-RPD</x:v>
      </x:c>
      <x:c r="D712" s="37" t="str">
        <x:v>RPD</x:v>
      </x:c>
      <x:c r="E712" s="37" t="str">
        <x:v>一般步驟</x:v>
      </x:c>
      <x:c r="F712" s="37" t="str">
        <x:v>一般</x:v>
      </x:c>
      <x:c r="G712" s="37" t="str">
        <x:v>COMMON-RECORD</x:v>
      </x:c>
      <x:c r="H712" s="37" t="str">
        <x:v>待確認</x:v>
      </x:c>
      <x:c r="I712" s="37" t="str">
        <x:f>_xlfn.XLOOKUP($C712&amp;"|"&amp;$G712,'李醫師能力要求'!$M$7:$M$59,'李醫師能力要求'!$K$7:$K$59,"待確認",0)</x:f>
        <x:v>待確認</x:v>
      </x:c>
      <x:c r="J712" s="37" t="str">
        <x:v>◎</x:v>
      </x:c>
      <x:c r="K712" s="37" t="str">
        <x:v>Ø</x:v>
      </x:c>
      <x:c r="L712" s="48" t="str">
        <x:f>_xlfn.XLOOKUP($A712&amp;"|"&amp;$G712,'試行能力狀態'!$L$7:$L$258,'試行能力狀態'!$E$7:$E$258,"未評估",0)</x:f>
        <x:v>未評估</x:v>
      </x:c>
      <x:c r="M712" s="48" t="str">
        <x:f>_xlfn.XLOOKUP($A712&amp;"|"&amp;$G712,'試行能力狀態'!$L$7:$L$258,'試行能力狀態'!$F$7:$F$258,"未建立",0)</x:f>
        <x:v>未建立</x:v>
      </x:c>
      <x:c r="N712" s="48" t="str">
        <x:f>IF($L712="◎","符合獨立",IF($L712="Ø","符合條件","不符合"))</x:f>
        <x:v>不符合</x:v>
      </x:c>
      <x:c r="O712" s="48" t="str">
        <x:f>_xlfn.XLOOKUP($A712&amp;"|李侑津醫師",'試行熟悉度'!$K$7:$K$20,'試行熟悉度'!$E$7:$E$20,"未評估",0)</x:f>
        <x:v>未評估</x:v>
      </x:c>
      <x:c r="P712" s="48" t="str">
        <x:f>_xlfn.XLOOKUP($A712&amp;"|李侑津醫師",'試行熟悉度'!$K$7:$K$20,'試行熟悉度'!$F$7:$F$20,"未建立",0)</x:f>
        <x:v>未建立</x:v>
      </x:c>
      <x:c r="Q712" s="39" t="str">
        <x:v>確認後才納入自動判定</x:v>
      </x:c>
    </x:row>
    <x:row r="713">
      <x:c r="A713" s="37" t="str">
        <x:v>2007</x:v>
      </x:c>
      <x:c r="B713" s="37" t="str"/>
      <x:c r="C713" s="37" t="str">
        <x:v>LJT-RPD</x:v>
      </x:c>
      <x:c r="D713" s="37" t="str">
        <x:v>RPD</x:v>
      </x:c>
      <x:c r="E713" s="37" t="str">
        <x:v>一般步驟</x:v>
      </x:c>
      <x:c r="F713" s="37" t="str">
        <x:v>一般</x:v>
      </x:c>
      <x:c r="G713" s="37" t="str">
        <x:v>COMMON-INSURANCE</x:v>
      </x:c>
      <x:c r="H713" s="37" t="str">
        <x:v>待確認</x:v>
      </x:c>
      <x:c r="I713" s="37" t="str">
        <x:f>_xlfn.XLOOKUP($C713&amp;"|"&amp;$G713,'李醫師能力要求'!$M$7:$M$59,'李醫師能力要求'!$K$7:$K$59,"待確認",0)</x:f>
        <x:v>待確認</x:v>
      </x:c>
      <x:c r="J713" s="37" t="str">
        <x:v>◎</x:v>
      </x:c>
      <x:c r="K713" s="37" t="str">
        <x:v>Ø</x:v>
      </x:c>
      <x:c r="L713" s="48" t="str">
        <x:f>_xlfn.XLOOKUP($A713&amp;"|"&amp;$G713,'試行能力狀態'!$L$7:$L$258,'試行能力狀態'!$E$7:$E$258,"未評估",0)</x:f>
        <x:v>未評估</x:v>
      </x:c>
      <x:c r="M713" s="48" t="str">
        <x:f>_xlfn.XLOOKUP($A713&amp;"|"&amp;$G713,'試行能力狀態'!$L$7:$L$258,'試行能力狀態'!$F$7:$F$258,"未建立",0)</x:f>
        <x:v>未建立</x:v>
      </x:c>
      <x:c r="N713" s="48" t="str">
        <x:f>IF($L713="◎","符合獨立",IF($L713="Ø","符合條件","不符合"))</x:f>
        <x:v>不符合</x:v>
      </x:c>
      <x:c r="O713" s="48" t="str">
        <x:f>_xlfn.XLOOKUP($A713&amp;"|李侑津醫師",'試行熟悉度'!$K$7:$K$20,'試行熟悉度'!$E$7:$E$20,"未評估",0)</x:f>
        <x:v>未評估</x:v>
      </x:c>
      <x:c r="P713" s="48" t="str">
        <x:f>_xlfn.XLOOKUP($A713&amp;"|李侑津醫師",'試行熟悉度'!$K$7:$K$20,'試行熟悉度'!$F$7:$F$20,"未建立",0)</x:f>
        <x:v>未建立</x:v>
      </x:c>
      <x:c r="Q713" s="39" t="str">
        <x:v>確認後才納入自動判定</x:v>
      </x:c>
    </x:row>
    <x:row r="714">
      <x:c r="A714" s="37" t="str">
        <x:v>2007</x:v>
      </x:c>
      <x:c r="B714" s="37" t="str"/>
      <x:c r="C714" s="37" t="str">
        <x:v>LJT-RPD</x:v>
      </x:c>
      <x:c r="D714" s="37" t="str">
        <x:v>RPD</x:v>
      </x:c>
      <x:c r="E714" s="37" t="str">
        <x:v>一般步驟</x:v>
      </x:c>
      <x:c r="F714" s="37" t="str">
        <x:v>一般</x:v>
      </x:c>
      <x:c r="G714" s="37" t="str">
        <x:v>COMMON-XRAY-RECORD</x:v>
      </x:c>
      <x:c r="H714" s="37" t="str">
        <x:v>待確認</x:v>
      </x:c>
      <x:c r="I714" s="37" t="str">
        <x:f>_xlfn.XLOOKUP($C714&amp;"|"&amp;$G714,'李醫師能力要求'!$M$7:$M$59,'李醫師能力要求'!$K$7:$K$59,"待確認",0)</x:f>
        <x:v>待確認</x:v>
      </x:c>
      <x:c r="J714" s="37" t="str">
        <x:v>◎</x:v>
      </x:c>
      <x:c r="K714" s="37" t="str">
        <x:v>Ø</x:v>
      </x:c>
      <x:c r="L714" s="48" t="str">
        <x:f>_xlfn.XLOOKUP($A714&amp;"|"&amp;$G714,'試行能力狀態'!$L$7:$L$258,'試行能力狀態'!$E$7:$E$258,"未評估",0)</x:f>
        <x:v>未評估</x:v>
      </x:c>
      <x:c r="M714" s="48" t="str">
        <x:f>_xlfn.XLOOKUP($A714&amp;"|"&amp;$G714,'試行能力狀態'!$L$7:$L$258,'試行能力狀態'!$F$7:$F$258,"未建立",0)</x:f>
        <x:v>未建立</x:v>
      </x:c>
      <x:c r="N714" s="48" t="str">
        <x:f>IF($L714="◎","符合獨立",IF($L714="Ø","符合條件","不符合"))</x:f>
        <x:v>不符合</x:v>
      </x:c>
      <x:c r="O714" s="48" t="str">
        <x:f>_xlfn.XLOOKUP($A714&amp;"|李侑津醫師",'試行熟悉度'!$K$7:$K$20,'試行熟悉度'!$E$7:$E$20,"未評估",0)</x:f>
        <x:v>未評估</x:v>
      </x:c>
      <x:c r="P714" s="48" t="str">
        <x:f>_xlfn.XLOOKUP($A714&amp;"|李侑津醫師",'試行熟悉度'!$K$7:$K$20,'試行熟悉度'!$F$7:$F$20,"未建立",0)</x:f>
        <x:v>未建立</x:v>
      </x:c>
      <x:c r="Q714" s="39" t="str">
        <x:v>確認後才納入自動判定</x:v>
      </x:c>
    </x:row>
    <x:row r="715">
      <x:c r="A715" s="37" t="str">
        <x:v>2007</x:v>
      </x:c>
      <x:c r="B715" s="37" t="str"/>
      <x:c r="C715" s="37" t="str">
        <x:v>LJT-RPD-FINAL</x:v>
      </x:c>
      <x:c r="D715" s="37" t="str">
        <x:v>RPD</x:v>
      </x:c>
      <x:c r="E715" s="37" t="str">
        <x:v>印最終模</x:v>
      </x:c>
      <x:c r="F715" s="37" t="str">
        <x:v>特殊階段</x:v>
      </x:c>
      <x:c r="G715" s="37" t="str">
        <x:v>LJT-PREP-RPD</x:v>
      </x:c>
      <x:c r="H715" s="37" t="str">
        <x:v>必備</x:v>
      </x:c>
      <x:c r="I715" s="37" t="str">
        <x:f>_xlfn.XLOOKUP($C715&amp;"|"&amp;$G715,'李醫師能力要求'!$M$7:$M$59,'李醫師能力要求'!$K$7:$K$59,"待確認",0)</x:f>
        <x:v>已確認</x:v>
      </x:c>
      <x:c r="J715" s="37" t="str">
        <x:v>◎</x:v>
      </x:c>
      <x:c r="K715" s="37" t="str">
        <x:v>Ø</x:v>
      </x:c>
      <x:c r="L715" s="48" t="str">
        <x:f>_xlfn.XLOOKUP($A715&amp;"|"&amp;$G715,'試行能力狀態'!$L$7:$L$258,'試行能力狀態'!$E$7:$E$258,"未評估",0)</x:f>
        <x:v>未評估</x:v>
      </x:c>
      <x:c r="M715" s="48" t="str">
        <x:f>_xlfn.XLOOKUP($A715&amp;"|"&amp;$G715,'試行能力狀態'!$L$7:$L$258,'試行能力狀態'!$F$7:$F$258,"未建立",0)</x:f>
        <x:v>未建立</x:v>
      </x:c>
      <x:c r="N715" s="48" t="str">
        <x:f>IF($L715="◎","符合獨立",IF($L715="Ø","符合條件","不符合"))</x:f>
        <x:v>不符合</x:v>
      </x:c>
      <x:c r="O715" s="48" t="str">
        <x:f>_xlfn.XLOOKUP($A715&amp;"|李侑津醫師",'試行熟悉度'!$K$7:$K$20,'試行熟悉度'!$E$7:$E$20,"未評估",0)</x:f>
        <x:v>未評估</x:v>
      </x:c>
      <x:c r="P715" s="48" t="str">
        <x:f>_xlfn.XLOOKUP($A715&amp;"|李侑津醫師",'試行熟悉度'!$K$7:$K$20,'試行熟悉度'!$F$7:$F$20,"未建立",0)</x:f>
        <x:v>未建立</x:v>
      </x:c>
      <x:c r="Q715" s="39" t="str">
        <x:v>依一般支援名額</x:v>
      </x:c>
    </x:row>
    <x:row r="716">
      <x:c r="A716" s="37" t="str">
        <x:v>2007</x:v>
      </x:c>
      <x:c r="B716" s="37" t="str"/>
      <x:c r="C716" s="37" t="str">
        <x:v>LJT-RPD-FINAL</x:v>
      </x:c>
      <x:c r="D716" s="37" t="str">
        <x:v>RPD</x:v>
      </x:c>
      <x:c r="E716" s="37" t="str">
        <x:v>印最終模</x:v>
      </x:c>
      <x:c r="F716" s="37" t="str">
        <x:v>特殊階段</x:v>
      </x:c>
      <x:c r="G716" s="37" t="str">
        <x:v>COMMON-RECORD</x:v>
      </x:c>
      <x:c r="H716" s="37" t="str">
        <x:v>待確認</x:v>
      </x:c>
      <x:c r="I716" s="37" t="str">
        <x:f>_xlfn.XLOOKUP($C716&amp;"|"&amp;$G716,'李醫師能力要求'!$M$7:$M$59,'李醫師能力要求'!$K$7:$K$59,"待確認",0)</x:f>
        <x:v>待確認</x:v>
      </x:c>
      <x:c r="J716" s="37" t="str">
        <x:v>◎</x:v>
      </x:c>
      <x:c r="K716" s="37" t="str">
        <x:v>Ø</x:v>
      </x:c>
      <x:c r="L716" s="48" t="str">
        <x:f>_xlfn.XLOOKUP($A716&amp;"|"&amp;$G716,'試行能力狀態'!$L$7:$L$258,'試行能力狀態'!$E$7:$E$258,"未評估",0)</x:f>
        <x:v>未評估</x:v>
      </x:c>
      <x:c r="M716" s="48" t="str">
        <x:f>_xlfn.XLOOKUP($A716&amp;"|"&amp;$G716,'試行能力狀態'!$L$7:$L$258,'試行能力狀態'!$F$7:$F$258,"未建立",0)</x:f>
        <x:v>未建立</x:v>
      </x:c>
      <x:c r="N716" s="48" t="str">
        <x:f>IF($L716="◎","符合獨立",IF($L716="Ø","符合條件","不符合"))</x:f>
        <x:v>不符合</x:v>
      </x:c>
      <x:c r="O716" s="48" t="str">
        <x:f>_xlfn.XLOOKUP($A716&amp;"|李侑津醫師",'試行熟悉度'!$K$7:$K$20,'試行熟悉度'!$E$7:$E$20,"未評估",0)</x:f>
        <x:v>未評估</x:v>
      </x:c>
      <x:c r="P716" s="48" t="str">
        <x:f>_xlfn.XLOOKUP($A716&amp;"|李侑津醫師",'試行熟悉度'!$K$7:$K$20,'試行熟悉度'!$F$7:$F$20,"未建立",0)</x:f>
        <x:v>未建立</x:v>
      </x:c>
      <x:c r="Q716" s="39" t="str">
        <x:v>確認後才納入自動判定</x:v>
      </x:c>
    </x:row>
    <x:row r="717">
      <x:c r="A717" s="37" t="str">
        <x:v>2007</x:v>
      </x:c>
      <x:c r="B717" s="37" t="str"/>
      <x:c r="C717" s="37" t="str">
        <x:v>LJT-RPD-FINAL</x:v>
      </x:c>
      <x:c r="D717" s="37" t="str">
        <x:v>RPD</x:v>
      </x:c>
      <x:c r="E717" s="37" t="str">
        <x:v>印最終模</x:v>
      </x:c>
      <x:c r="F717" s="37" t="str">
        <x:v>特殊階段</x:v>
      </x:c>
      <x:c r="G717" s="37" t="str">
        <x:v>COMMON-INSURANCE</x:v>
      </x:c>
      <x:c r="H717" s="37" t="str">
        <x:v>待確認</x:v>
      </x:c>
      <x:c r="I717" s="37" t="str">
        <x:f>_xlfn.XLOOKUP($C717&amp;"|"&amp;$G717,'李醫師能力要求'!$M$7:$M$59,'李醫師能力要求'!$K$7:$K$59,"待確認",0)</x:f>
        <x:v>待確認</x:v>
      </x:c>
      <x:c r="J717" s="37" t="str">
        <x:v>◎</x:v>
      </x:c>
      <x:c r="K717" s="37" t="str">
        <x:v>Ø</x:v>
      </x:c>
      <x:c r="L717" s="48" t="str">
        <x:f>_xlfn.XLOOKUP($A717&amp;"|"&amp;$G717,'試行能力狀態'!$L$7:$L$258,'試行能力狀態'!$E$7:$E$258,"未評估",0)</x:f>
        <x:v>未評估</x:v>
      </x:c>
      <x:c r="M717" s="48" t="str">
        <x:f>_xlfn.XLOOKUP($A717&amp;"|"&amp;$G717,'試行能力狀態'!$L$7:$L$258,'試行能力狀態'!$F$7:$F$258,"未建立",0)</x:f>
        <x:v>未建立</x:v>
      </x:c>
      <x:c r="N717" s="48" t="str">
        <x:f>IF($L717="◎","符合獨立",IF($L717="Ø","符合條件","不符合"))</x:f>
        <x:v>不符合</x:v>
      </x:c>
      <x:c r="O717" s="48" t="str">
        <x:f>_xlfn.XLOOKUP($A717&amp;"|李侑津醫師",'試行熟悉度'!$K$7:$K$20,'試行熟悉度'!$E$7:$E$20,"未評估",0)</x:f>
        <x:v>未評估</x:v>
      </x:c>
      <x:c r="P717" s="48" t="str">
        <x:f>_xlfn.XLOOKUP($A717&amp;"|李侑津醫師",'試行熟悉度'!$K$7:$K$20,'試行熟悉度'!$F$7:$F$20,"未建立",0)</x:f>
        <x:v>未建立</x:v>
      </x:c>
      <x:c r="Q717" s="39" t="str">
        <x:v>確認後才納入自動判定</x:v>
      </x:c>
    </x:row>
    <x:row r="718">
      <x:c r="A718" s="37" t="str">
        <x:v>2007</x:v>
      </x:c>
      <x:c r="B718" s="37" t="str"/>
      <x:c r="C718" s="37" t="str">
        <x:v>LJT-RPD-FINAL</x:v>
      </x:c>
      <x:c r="D718" s="37" t="str">
        <x:v>RPD</x:v>
      </x:c>
      <x:c r="E718" s="37" t="str">
        <x:v>印最終模</x:v>
      </x:c>
      <x:c r="F718" s="37" t="str">
        <x:v>特殊階段</x:v>
      </x:c>
      <x:c r="G718" s="37" t="str">
        <x:v>COMMON-XRAY-RECORD</x:v>
      </x:c>
      <x:c r="H718" s="37" t="str">
        <x:v>待確認</x:v>
      </x:c>
      <x:c r="I718" s="37" t="str">
        <x:f>_xlfn.XLOOKUP($C718&amp;"|"&amp;$G718,'李醫師能力要求'!$M$7:$M$59,'李醫師能力要求'!$K$7:$K$59,"待確認",0)</x:f>
        <x:v>待確認</x:v>
      </x:c>
      <x:c r="J718" s="37" t="str">
        <x:v>◎</x:v>
      </x:c>
      <x:c r="K718" s="37" t="str">
        <x:v>Ø</x:v>
      </x:c>
      <x:c r="L718" s="48" t="str">
        <x:f>_xlfn.XLOOKUP($A718&amp;"|"&amp;$G718,'試行能力狀態'!$L$7:$L$258,'試行能力狀態'!$E$7:$E$258,"未評估",0)</x:f>
        <x:v>未評估</x:v>
      </x:c>
      <x:c r="M718" s="48" t="str">
        <x:f>_xlfn.XLOOKUP($A718&amp;"|"&amp;$G718,'試行能力狀態'!$L$7:$L$258,'試行能力狀態'!$F$7:$F$258,"未建立",0)</x:f>
        <x:v>未建立</x:v>
      </x:c>
      <x:c r="N718" s="48" t="str">
        <x:f>IF($L718="◎","符合獨立",IF($L718="Ø","符合條件","不符合"))</x:f>
        <x:v>不符合</x:v>
      </x:c>
      <x:c r="O718" s="48" t="str">
        <x:f>_xlfn.XLOOKUP($A718&amp;"|李侑津醫師",'試行熟悉度'!$K$7:$K$20,'試行熟悉度'!$E$7:$E$20,"未評估",0)</x:f>
        <x:v>未評估</x:v>
      </x:c>
      <x:c r="P718" s="48" t="str">
        <x:f>_xlfn.XLOOKUP($A718&amp;"|李侑津醫師",'試行熟悉度'!$K$7:$K$20,'試行熟悉度'!$F$7:$F$20,"未建立",0)</x:f>
        <x:v>未建立</x:v>
      </x:c>
      <x:c r="Q718" s="39" t="str">
        <x:v>確認後才納入自動判定</x:v>
      </x:c>
    </x:row>
    <x:row r="719">
      <x:c r="A719" s="37" t="str">
        <x:v>2007</x:v>
      </x:c>
      <x:c r="B719" s="37" t="str"/>
      <x:c r="C719" s="37" t="str">
        <x:v>LJT-AIRPOLISH</x:v>
      </x:c>
      <x:c r="D719" s="37" t="str">
        <x:v>噴砂美白</x:v>
      </x:c>
      <x:c r="E719" s="37" t="str">
        <x:v>一般</x:v>
      </x:c>
      <x:c r="F719" s="37" t="str">
        <x:v>一般</x:v>
      </x:c>
      <x:c r="G719" s="37" t="str">
        <x:v>LJT-PREP-AIRPOLISH</x:v>
      </x:c>
      <x:c r="H719" s="37" t="str">
        <x:v>必備</x:v>
      </x:c>
      <x:c r="I719" s="37" t="str">
        <x:f>_xlfn.XLOOKUP($C719&amp;"|"&amp;$G719,'李醫師能力要求'!$M$7:$M$59,'李醫師能力要求'!$K$7:$K$59,"待確認",0)</x:f>
        <x:v>已確認</x:v>
      </x:c>
      <x:c r="J719" s="37" t="str">
        <x:v>◎</x:v>
      </x:c>
      <x:c r="K719" s="37" t="str">
        <x:v>Ø</x:v>
      </x:c>
      <x:c r="L719" s="48" t="str">
        <x:f>_xlfn.XLOOKUP($A719&amp;"|"&amp;$G719,'試行能力狀態'!$L$7:$L$258,'試行能力狀態'!$E$7:$E$258,"未評估",0)</x:f>
        <x:v>未評估</x:v>
      </x:c>
      <x:c r="M719" s="48" t="str">
        <x:f>_xlfn.XLOOKUP($A719&amp;"|"&amp;$G719,'試行能力狀態'!$L$7:$L$258,'試行能力狀態'!$F$7:$F$258,"未建立",0)</x:f>
        <x:v>未建立</x:v>
      </x:c>
      <x:c r="N719" s="48" t="str">
        <x:f>IF($L719="◎","符合獨立",IF($L719="Ø","符合條件","不符合"))</x:f>
        <x:v>不符合</x:v>
      </x:c>
      <x:c r="O719" s="48" t="str">
        <x:f>_xlfn.XLOOKUP($A719&amp;"|李侑津醫師",'試行熟悉度'!$K$7:$K$20,'試行熟悉度'!$E$7:$E$20,"未評估",0)</x:f>
        <x:v>未評估</x:v>
      </x:c>
      <x:c r="P719" s="48" t="str">
        <x:f>_xlfn.XLOOKUP($A719&amp;"|李侑津醫師",'試行熟悉度'!$K$7:$K$20,'試行熟悉度'!$F$7:$F$20,"未建立",0)</x:f>
        <x:v>未建立</x:v>
      </x:c>
      <x:c r="Q719" s="39" t="str">
        <x:v>依一般支援名額</x:v>
      </x:c>
    </x:row>
    <x:row r="720">
      <x:c r="A720" s="37" t="str">
        <x:v>2007</x:v>
      </x:c>
      <x:c r="B720" s="37" t="str"/>
      <x:c r="C720" s="37" t="str">
        <x:v>LJT-AIRPOLISH</x:v>
      </x:c>
      <x:c r="D720" s="37" t="str">
        <x:v>噴砂美白</x:v>
      </x:c>
      <x:c r="E720" s="37" t="str">
        <x:v>一般</x:v>
      </x:c>
      <x:c r="F720" s="37" t="str">
        <x:v>一般</x:v>
      </x:c>
      <x:c r="G720" s="37" t="str">
        <x:v>COMMON-RECORD</x:v>
      </x:c>
      <x:c r="H720" s="37" t="str">
        <x:v>待確認</x:v>
      </x:c>
      <x:c r="I720" s="37" t="str">
        <x:f>_xlfn.XLOOKUP($C720&amp;"|"&amp;$G720,'李醫師能力要求'!$M$7:$M$59,'李醫師能力要求'!$K$7:$K$59,"待確認",0)</x:f>
        <x:v>待確認</x:v>
      </x:c>
      <x:c r="J720" s="37" t="str">
        <x:v>◎</x:v>
      </x:c>
      <x:c r="K720" s="37" t="str">
        <x:v>Ø</x:v>
      </x:c>
      <x:c r="L720" s="48" t="str">
        <x:f>_xlfn.XLOOKUP($A720&amp;"|"&amp;$G720,'試行能力狀態'!$L$7:$L$258,'試行能力狀態'!$E$7:$E$258,"未評估",0)</x:f>
        <x:v>未評估</x:v>
      </x:c>
      <x:c r="M720" s="48" t="str">
        <x:f>_xlfn.XLOOKUP($A720&amp;"|"&amp;$G720,'試行能力狀態'!$L$7:$L$258,'試行能力狀態'!$F$7:$F$258,"未建立",0)</x:f>
        <x:v>未建立</x:v>
      </x:c>
      <x:c r="N720" s="48" t="str">
        <x:f>IF($L720="◎","符合獨立",IF($L720="Ø","符合條件","不符合"))</x:f>
        <x:v>不符合</x:v>
      </x:c>
      <x:c r="O720" s="48" t="str">
        <x:f>_xlfn.XLOOKUP($A720&amp;"|李侑津醫師",'試行熟悉度'!$K$7:$K$20,'試行熟悉度'!$E$7:$E$20,"未評估",0)</x:f>
        <x:v>未評估</x:v>
      </x:c>
      <x:c r="P720" s="48" t="str">
        <x:f>_xlfn.XLOOKUP($A720&amp;"|李侑津醫師",'試行熟悉度'!$K$7:$K$20,'試行熟悉度'!$F$7:$F$20,"未建立",0)</x:f>
        <x:v>未建立</x:v>
      </x:c>
      <x:c r="Q720" s="39" t="str">
        <x:v>確認後才納入自動判定</x:v>
      </x:c>
    </x:row>
    <x:row r="721">
      <x:c r="A721" s="37" t="str">
        <x:v>2007</x:v>
      </x:c>
      <x:c r="B721" s="37" t="str"/>
      <x:c r="C721" s="37" t="str">
        <x:v>LJT-AIRPOLISH</x:v>
      </x:c>
      <x:c r="D721" s="37" t="str">
        <x:v>噴砂美白</x:v>
      </x:c>
      <x:c r="E721" s="37" t="str">
        <x:v>一般</x:v>
      </x:c>
      <x:c r="F721" s="37" t="str">
        <x:v>一般</x:v>
      </x:c>
      <x:c r="G721" s="37" t="str">
        <x:v>COMMON-INSURANCE</x:v>
      </x:c>
      <x:c r="H721" s="37" t="str">
        <x:v>待確認</x:v>
      </x:c>
      <x:c r="I721" s="37" t="str">
        <x:f>_xlfn.XLOOKUP($C721&amp;"|"&amp;$G721,'李醫師能力要求'!$M$7:$M$59,'李醫師能力要求'!$K$7:$K$59,"待確認",0)</x:f>
        <x:v>待確認</x:v>
      </x:c>
      <x:c r="J721" s="37" t="str">
        <x:v>◎</x:v>
      </x:c>
      <x:c r="K721" s="37" t="str">
        <x:v>Ø</x:v>
      </x:c>
      <x:c r="L721" s="48" t="str">
        <x:f>_xlfn.XLOOKUP($A721&amp;"|"&amp;$G721,'試行能力狀態'!$L$7:$L$258,'試行能力狀態'!$E$7:$E$258,"未評估",0)</x:f>
        <x:v>未評估</x:v>
      </x:c>
      <x:c r="M721" s="48" t="str">
        <x:f>_xlfn.XLOOKUP($A721&amp;"|"&amp;$G721,'試行能力狀態'!$L$7:$L$258,'試行能力狀態'!$F$7:$F$258,"未建立",0)</x:f>
        <x:v>未建立</x:v>
      </x:c>
      <x:c r="N721" s="48" t="str">
        <x:f>IF($L721="◎","符合獨立",IF($L721="Ø","符合條件","不符合"))</x:f>
        <x:v>不符合</x:v>
      </x:c>
      <x:c r="O721" s="48" t="str">
        <x:f>_xlfn.XLOOKUP($A721&amp;"|李侑津醫師",'試行熟悉度'!$K$7:$K$20,'試行熟悉度'!$E$7:$E$20,"未評估",0)</x:f>
        <x:v>未評估</x:v>
      </x:c>
      <x:c r="P721" s="48" t="str">
        <x:f>_xlfn.XLOOKUP($A721&amp;"|李侑津醫師",'試行熟悉度'!$K$7:$K$20,'試行熟悉度'!$F$7:$F$20,"未建立",0)</x:f>
        <x:v>未建立</x:v>
      </x:c>
      <x:c r="Q721" s="39" t="str">
        <x:v>確認後才納入自動判定</x:v>
      </x:c>
    </x:row>
    <x:row r="722">
      <x:c r="A722" s="37" t="str">
        <x:v>2007</x:v>
      </x:c>
      <x:c r="B722" s="37" t="str"/>
      <x:c r="C722" s="37" t="str">
        <x:v>LJT-AIRPOLISH</x:v>
      </x:c>
      <x:c r="D722" s="37" t="str">
        <x:v>噴砂美白</x:v>
      </x:c>
      <x:c r="E722" s="37" t="str">
        <x:v>一般</x:v>
      </x:c>
      <x:c r="F722" s="37" t="str">
        <x:v>一般</x:v>
      </x:c>
      <x:c r="G722" s="37" t="str">
        <x:v>COMMON-XRAY-RECORD</x:v>
      </x:c>
      <x:c r="H722" s="37" t="str">
        <x:v>待確認</x:v>
      </x:c>
      <x:c r="I722" s="37" t="str">
        <x:f>_xlfn.XLOOKUP($C722&amp;"|"&amp;$G722,'李醫師能力要求'!$M$7:$M$59,'李醫師能力要求'!$K$7:$K$59,"待確認",0)</x:f>
        <x:v>待確認</x:v>
      </x:c>
      <x:c r="J722" s="37" t="str">
        <x:v>◎</x:v>
      </x:c>
      <x:c r="K722" s="37" t="str">
        <x:v>Ø</x:v>
      </x:c>
      <x:c r="L722" s="48" t="str">
        <x:f>_xlfn.XLOOKUP($A722&amp;"|"&amp;$G722,'試行能力狀態'!$L$7:$L$258,'試行能力狀態'!$E$7:$E$258,"未評估",0)</x:f>
        <x:v>未評估</x:v>
      </x:c>
      <x:c r="M722" s="48" t="str">
        <x:f>_xlfn.XLOOKUP($A722&amp;"|"&amp;$G722,'試行能力狀態'!$L$7:$L$258,'試行能力狀態'!$F$7:$F$258,"未建立",0)</x:f>
        <x:v>未建立</x:v>
      </x:c>
      <x:c r="N722" s="48" t="str">
        <x:f>IF($L722="◎","符合獨立",IF($L722="Ø","符合條件","不符合"))</x:f>
        <x:v>不符合</x:v>
      </x:c>
      <x:c r="O722" s="48" t="str">
        <x:f>_xlfn.XLOOKUP($A722&amp;"|李侑津醫師",'試行熟悉度'!$K$7:$K$20,'試行熟悉度'!$E$7:$E$20,"未評估",0)</x:f>
        <x:v>未評估</x:v>
      </x:c>
      <x:c r="P722" s="48" t="str">
        <x:f>_xlfn.XLOOKUP($A722&amp;"|李侑津醫師",'試行熟悉度'!$K$7:$K$20,'試行熟悉度'!$F$7:$F$20,"未建立",0)</x:f>
        <x:v>未建立</x:v>
      </x:c>
      <x:c r="Q722" s="39" t="str">
        <x:v>確認後才納入自動判定</x:v>
      </x:c>
    </x:row>
    <x:row r="723">
      <x:c r="A723" s="37" t="str">
        <x:v>2007</x:v>
      </x:c>
      <x:c r="B723" s="37" t="str"/>
      <x:c r="C723" s="37" t="str">
        <x:v>LJT-PERIOSURG</x:v>
      </x:c>
      <x:c r="D723" s="37" t="str">
        <x:v>牙周手術</x:v>
      </x:c>
      <x:c r="E723" s="37" t="str">
        <x:v>一般</x:v>
      </x:c>
      <x:c r="F723" s="37" t="str">
        <x:v>高複雜度</x:v>
      </x:c>
      <x:c r="G723" s="37" t="str">
        <x:v>LJT-PREP-PERIOSURG</x:v>
      </x:c>
      <x:c r="H723" s="37" t="str">
        <x:v>必備</x:v>
      </x:c>
      <x:c r="I723" s="37" t="str">
        <x:f>_xlfn.XLOOKUP($C723&amp;"|"&amp;$G723,'李醫師能力要求'!$M$7:$M$59,'李醫師能力要求'!$K$7:$K$59,"待確認",0)</x:f>
        <x:v>已確認</x:v>
      </x:c>
      <x:c r="J723" s="37" t="str">
        <x:v>◎</x:v>
      </x:c>
      <x:c r="K723" s="37" t="str">
        <x:v>Ø</x:v>
      </x:c>
      <x:c r="L723" s="48" t="str">
        <x:f>_xlfn.XLOOKUP($A723&amp;"|"&amp;$G723,'試行能力狀態'!$L$7:$L$258,'試行能力狀態'!$E$7:$E$258,"未評估",0)</x:f>
        <x:v>未評估</x:v>
      </x:c>
      <x:c r="M723" s="48" t="str">
        <x:f>_xlfn.XLOOKUP($A723&amp;"|"&amp;$G723,'試行能力狀態'!$L$7:$L$258,'試行能力狀態'!$F$7:$F$258,"未建立",0)</x:f>
        <x:v>未建立</x:v>
      </x:c>
      <x:c r="N723" s="48" t="str">
        <x:f>IF($L723="◎","符合獨立",IF($L723="Ø","符合條件","不符合"))</x:f>
        <x:v>不符合</x:v>
      </x:c>
      <x:c r="O723" s="48" t="str">
        <x:f>_xlfn.XLOOKUP($A723&amp;"|李侑津醫師",'試行熟悉度'!$K$7:$K$20,'試行熟悉度'!$E$7:$E$20,"未評估",0)</x:f>
        <x:v>未評估</x:v>
      </x:c>
      <x:c r="P723" s="48" t="str">
        <x:f>_xlfn.XLOOKUP($A723&amp;"|李侑津醫師",'試行熟悉度'!$K$7:$K$20,'試行熟悉度'!$F$7:$F$20,"未建立",0)</x:f>
        <x:v>未建立</x:v>
      </x:c>
      <x:c r="Q723" s="39" t="str">
        <x:v>Ø 時完整支援者 1:1</x:v>
      </x:c>
    </x:row>
    <x:row r="724">
      <x:c r="A724" s="37" t="str">
        <x:v>2007</x:v>
      </x:c>
      <x:c r="B724" s="37" t="str"/>
      <x:c r="C724" s="37" t="str">
        <x:v>LJT-PERIOSURG</x:v>
      </x:c>
      <x:c r="D724" s="37" t="str">
        <x:v>牙周手術</x:v>
      </x:c>
      <x:c r="E724" s="37" t="str">
        <x:v>一般</x:v>
      </x:c>
      <x:c r="F724" s="37" t="str">
        <x:v>高複雜度</x:v>
      </x:c>
      <x:c r="G724" s="37" t="str">
        <x:v>COMMON-RECORD</x:v>
      </x:c>
      <x:c r="H724" s="37" t="str">
        <x:v>待確認</x:v>
      </x:c>
      <x:c r="I724" s="37" t="str">
        <x:f>_xlfn.XLOOKUP($C724&amp;"|"&amp;$G724,'李醫師能力要求'!$M$7:$M$59,'李醫師能力要求'!$K$7:$K$59,"待確認",0)</x:f>
        <x:v>待確認</x:v>
      </x:c>
      <x:c r="J724" s="37" t="str">
        <x:v>◎</x:v>
      </x:c>
      <x:c r="K724" s="37" t="str">
        <x:v>Ø</x:v>
      </x:c>
      <x:c r="L724" s="48" t="str">
        <x:f>_xlfn.XLOOKUP($A724&amp;"|"&amp;$G724,'試行能力狀態'!$L$7:$L$258,'試行能力狀態'!$E$7:$E$258,"未評估",0)</x:f>
        <x:v>未評估</x:v>
      </x:c>
      <x:c r="M724" s="48" t="str">
        <x:f>_xlfn.XLOOKUP($A724&amp;"|"&amp;$G724,'試行能力狀態'!$L$7:$L$258,'試行能力狀態'!$F$7:$F$258,"未建立",0)</x:f>
        <x:v>未建立</x:v>
      </x:c>
      <x:c r="N724" s="48" t="str">
        <x:f>IF($L724="◎","符合獨立",IF($L724="Ø","符合條件","不符合"))</x:f>
        <x:v>不符合</x:v>
      </x:c>
      <x:c r="O724" s="48" t="str">
        <x:f>_xlfn.XLOOKUP($A724&amp;"|李侑津醫師",'試行熟悉度'!$K$7:$K$20,'試行熟悉度'!$E$7:$E$20,"未評估",0)</x:f>
        <x:v>未評估</x:v>
      </x:c>
      <x:c r="P724" s="48" t="str">
        <x:f>_xlfn.XLOOKUP($A724&amp;"|李侑津醫師",'試行熟悉度'!$K$7:$K$20,'試行熟悉度'!$F$7:$F$20,"未建立",0)</x:f>
        <x:v>未建立</x:v>
      </x:c>
      <x:c r="Q724" s="39" t="str">
        <x:v>確認後才納入自動判定</x:v>
      </x:c>
    </x:row>
    <x:row r="725">
      <x:c r="A725" s="37" t="str">
        <x:v>2007</x:v>
      </x:c>
      <x:c r="B725" s="37" t="str"/>
      <x:c r="C725" s="37" t="str">
        <x:v>LJT-PERIOSURG</x:v>
      </x:c>
      <x:c r="D725" s="37" t="str">
        <x:v>牙周手術</x:v>
      </x:c>
      <x:c r="E725" s="37" t="str">
        <x:v>一般</x:v>
      </x:c>
      <x:c r="F725" s="37" t="str">
        <x:v>高複雜度</x:v>
      </x:c>
      <x:c r="G725" s="37" t="str">
        <x:v>COMMON-INSURANCE</x:v>
      </x:c>
      <x:c r="H725" s="37" t="str">
        <x:v>待確認</x:v>
      </x:c>
      <x:c r="I725" s="37" t="str">
        <x:f>_xlfn.XLOOKUP($C725&amp;"|"&amp;$G725,'李醫師能力要求'!$M$7:$M$59,'李醫師能力要求'!$K$7:$K$59,"待確認",0)</x:f>
        <x:v>待確認</x:v>
      </x:c>
      <x:c r="J725" s="37" t="str">
        <x:v>◎</x:v>
      </x:c>
      <x:c r="K725" s="37" t="str">
        <x:v>Ø</x:v>
      </x:c>
      <x:c r="L725" s="48" t="str">
        <x:f>_xlfn.XLOOKUP($A725&amp;"|"&amp;$G725,'試行能力狀態'!$L$7:$L$258,'試行能力狀態'!$E$7:$E$258,"未評估",0)</x:f>
        <x:v>未評估</x:v>
      </x:c>
      <x:c r="M725" s="48" t="str">
        <x:f>_xlfn.XLOOKUP($A725&amp;"|"&amp;$G725,'試行能力狀態'!$L$7:$L$258,'試行能力狀態'!$F$7:$F$258,"未建立",0)</x:f>
        <x:v>未建立</x:v>
      </x:c>
      <x:c r="N725" s="48" t="str">
        <x:f>IF($L725="◎","符合獨立",IF($L725="Ø","符合條件","不符合"))</x:f>
        <x:v>不符合</x:v>
      </x:c>
      <x:c r="O725" s="48" t="str">
        <x:f>_xlfn.XLOOKUP($A725&amp;"|李侑津醫師",'試行熟悉度'!$K$7:$K$20,'試行熟悉度'!$E$7:$E$20,"未評估",0)</x:f>
        <x:v>未評估</x:v>
      </x:c>
      <x:c r="P725" s="48" t="str">
        <x:f>_xlfn.XLOOKUP($A725&amp;"|李侑津醫師",'試行熟悉度'!$K$7:$K$20,'試行熟悉度'!$F$7:$F$20,"未建立",0)</x:f>
        <x:v>未建立</x:v>
      </x:c>
      <x:c r="Q725" s="39" t="str">
        <x:v>確認後才納入自動判定</x:v>
      </x:c>
    </x:row>
    <x:row r="726">
      <x:c r="A726" s="37" t="str">
        <x:v>2007</x:v>
      </x:c>
      <x:c r="B726" s="37" t="str"/>
      <x:c r="C726" s="37" t="str">
        <x:v>LJT-PERIOSURG</x:v>
      </x:c>
      <x:c r="D726" s="37" t="str">
        <x:v>牙周手術</x:v>
      </x:c>
      <x:c r="E726" s="37" t="str">
        <x:v>一般</x:v>
      </x:c>
      <x:c r="F726" s="37" t="str">
        <x:v>高複雜度</x:v>
      </x:c>
      <x:c r="G726" s="37" t="str">
        <x:v>COMMON-XRAY-RECORD</x:v>
      </x:c>
      <x:c r="H726" s="37" t="str">
        <x:v>待確認</x:v>
      </x:c>
      <x:c r="I726" s="37" t="str">
        <x:f>_xlfn.XLOOKUP($C726&amp;"|"&amp;$G726,'李醫師能力要求'!$M$7:$M$59,'李醫師能力要求'!$K$7:$K$59,"待確認",0)</x:f>
        <x:v>待確認</x:v>
      </x:c>
      <x:c r="J726" s="37" t="str">
        <x:v>◎</x:v>
      </x:c>
      <x:c r="K726" s="37" t="str">
        <x:v>Ø</x:v>
      </x:c>
      <x:c r="L726" s="48" t="str">
        <x:f>_xlfn.XLOOKUP($A726&amp;"|"&amp;$G726,'試行能力狀態'!$L$7:$L$258,'試行能力狀態'!$E$7:$E$258,"未評估",0)</x:f>
        <x:v>未評估</x:v>
      </x:c>
      <x:c r="M726" s="48" t="str">
        <x:f>_xlfn.XLOOKUP($A726&amp;"|"&amp;$G726,'試行能力狀態'!$L$7:$L$258,'試行能力狀態'!$F$7:$F$258,"未建立",0)</x:f>
        <x:v>未建立</x:v>
      </x:c>
      <x:c r="N726" s="48" t="str">
        <x:f>IF($L726="◎","符合獨立",IF($L726="Ø","符合條件","不符合"))</x:f>
        <x:v>不符合</x:v>
      </x:c>
      <x:c r="O726" s="48" t="str">
        <x:f>_xlfn.XLOOKUP($A726&amp;"|李侑津醫師",'試行熟悉度'!$K$7:$K$20,'試行熟悉度'!$E$7:$E$20,"未評估",0)</x:f>
        <x:v>未評估</x:v>
      </x:c>
      <x:c r="P726" s="48" t="str">
        <x:f>_xlfn.XLOOKUP($A726&amp;"|李侑津醫師",'試行熟悉度'!$K$7:$K$20,'試行熟悉度'!$F$7:$F$20,"未建立",0)</x:f>
        <x:v>未建立</x:v>
      </x:c>
      <x:c r="Q726" s="39" t="str">
        <x:v>確認後才納入自動判定</x:v>
      </x:c>
    </x:row>
    <x:row r="727">
      <x:c r="A727" s="37" t="str">
        <x:v>2007</x:v>
      </x:c>
      <x:c r="B727" s="37" t="str"/>
      <x:c r="C727" s="37" t="str">
        <x:v>LJT-MICROENDO</x:v>
      </x:c>
      <x:c r="D727" s="37" t="str">
        <x:v>顯微根管</x:v>
      </x:c>
      <x:c r="E727" s="37" t="str">
        <x:v>一般</x:v>
      </x:c>
      <x:c r="F727" s="37" t="str">
        <x:v>高複雜度</x:v>
      </x:c>
      <x:c r="G727" s="37" t="str">
        <x:v>LJT-PREP-MICROENDO</x:v>
      </x:c>
      <x:c r="H727" s="37" t="str">
        <x:v>必備</x:v>
      </x:c>
      <x:c r="I727" s="37" t="str">
        <x:f>_xlfn.XLOOKUP($C727&amp;"|"&amp;$G727,'李醫師能力要求'!$M$7:$M$59,'李醫師能力要求'!$K$7:$K$59,"待確認",0)</x:f>
        <x:v>已確認</x:v>
      </x:c>
      <x:c r="J727" s="37" t="str">
        <x:v>◎</x:v>
      </x:c>
      <x:c r="K727" s="37" t="str">
        <x:v>Ø</x:v>
      </x:c>
      <x:c r="L727" s="48" t="str">
        <x:f>_xlfn.XLOOKUP($A727&amp;"|"&amp;$G727,'試行能力狀態'!$L$7:$L$258,'試行能力狀態'!$E$7:$E$258,"未評估",0)</x:f>
        <x:v>未評估</x:v>
      </x:c>
      <x:c r="M727" s="48" t="str">
        <x:f>_xlfn.XLOOKUP($A727&amp;"|"&amp;$G727,'試行能力狀態'!$L$7:$L$258,'試行能力狀態'!$F$7:$F$258,"未建立",0)</x:f>
        <x:v>未建立</x:v>
      </x:c>
      <x:c r="N727" s="48" t="str">
        <x:f>IF($L727="◎","符合獨立",IF($L727="Ø","符合條件","不符合"))</x:f>
        <x:v>不符合</x:v>
      </x:c>
      <x:c r="O727" s="48" t="str">
        <x:f>_xlfn.XLOOKUP($A727&amp;"|李侑津醫師",'試行熟悉度'!$K$7:$K$20,'試行熟悉度'!$E$7:$E$20,"未評估",0)</x:f>
        <x:v>未評估</x:v>
      </x:c>
      <x:c r="P727" s="48" t="str">
        <x:f>_xlfn.XLOOKUP($A727&amp;"|李侑津醫師",'試行熟悉度'!$K$7:$K$20,'試行熟悉度'!$F$7:$F$20,"未建立",0)</x:f>
        <x:v>未建立</x:v>
      </x:c>
      <x:c r="Q727" s="39" t="str">
        <x:v>Ø 時完整支援者 1:1</x:v>
      </x:c>
    </x:row>
    <x:row r="728">
      <x:c r="A728" s="37" t="str">
        <x:v>2007</x:v>
      </x:c>
      <x:c r="B728" s="37" t="str"/>
      <x:c r="C728" s="37" t="str">
        <x:v>LJT-MICROENDO</x:v>
      </x:c>
      <x:c r="D728" s="37" t="str">
        <x:v>顯微根管</x:v>
      </x:c>
      <x:c r="E728" s="37" t="str">
        <x:v>一般</x:v>
      </x:c>
      <x:c r="F728" s="37" t="str">
        <x:v>高複雜度</x:v>
      </x:c>
      <x:c r="G728" s="37" t="str">
        <x:v>COMMON-RECORD</x:v>
      </x:c>
      <x:c r="H728" s="37" t="str">
        <x:v>待確認</x:v>
      </x:c>
      <x:c r="I728" s="37" t="str">
        <x:f>_xlfn.XLOOKUP($C728&amp;"|"&amp;$G728,'李醫師能力要求'!$M$7:$M$59,'李醫師能力要求'!$K$7:$K$59,"待確認",0)</x:f>
        <x:v>待確認</x:v>
      </x:c>
      <x:c r="J728" s="37" t="str">
        <x:v>◎</x:v>
      </x:c>
      <x:c r="K728" s="37" t="str">
        <x:v>Ø</x:v>
      </x:c>
      <x:c r="L728" s="48" t="str">
        <x:f>_xlfn.XLOOKUP($A728&amp;"|"&amp;$G728,'試行能力狀態'!$L$7:$L$258,'試行能力狀態'!$E$7:$E$258,"未評估",0)</x:f>
        <x:v>未評估</x:v>
      </x:c>
      <x:c r="M728" s="48" t="str">
        <x:f>_xlfn.XLOOKUP($A728&amp;"|"&amp;$G728,'試行能力狀態'!$L$7:$L$258,'試行能力狀態'!$F$7:$F$258,"未建立",0)</x:f>
        <x:v>未建立</x:v>
      </x:c>
      <x:c r="N728" s="48" t="str">
        <x:f>IF($L728="◎","符合獨立",IF($L728="Ø","符合條件","不符合"))</x:f>
        <x:v>不符合</x:v>
      </x:c>
      <x:c r="O728" s="48" t="str">
        <x:f>_xlfn.XLOOKUP($A728&amp;"|李侑津醫師",'試行熟悉度'!$K$7:$K$20,'試行熟悉度'!$E$7:$E$20,"未評估",0)</x:f>
        <x:v>未評估</x:v>
      </x:c>
      <x:c r="P728" s="48" t="str">
        <x:f>_xlfn.XLOOKUP($A728&amp;"|李侑津醫師",'試行熟悉度'!$K$7:$K$20,'試行熟悉度'!$F$7:$F$20,"未建立",0)</x:f>
        <x:v>未建立</x:v>
      </x:c>
      <x:c r="Q728" s="39" t="str">
        <x:v>確認後才納入自動判定</x:v>
      </x:c>
    </x:row>
    <x:row r="729">
      <x:c r="A729" s="37" t="str">
        <x:v>2007</x:v>
      </x:c>
      <x:c r="B729" s="37" t="str"/>
      <x:c r="C729" s="37" t="str">
        <x:v>LJT-MICROENDO</x:v>
      </x:c>
      <x:c r="D729" s="37" t="str">
        <x:v>顯微根管</x:v>
      </x:c>
      <x:c r="E729" s="37" t="str">
        <x:v>一般</x:v>
      </x:c>
      <x:c r="F729" s="37" t="str">
        <x:v>高複雜度</x:v>
      </x:c>
      <x:c r="G729" s="37" t="str">
        <x:v>COMMON-INSURANCE</x:v>
      </x:c>
      <x:c r="H729" s="37" t="str">
        <x:v>待確認</x:v>
      </x:c>
      <x:c r="I729" s="37" t="str">
        <x:f>_xlfn.XLOOKUP($C729&amp;"|"&amp;$G729,'李醫師能力要求'!$M$7:$M$59,'李醫師能力要求'!$K$7:$K$59,"待確認",0)</x:f>
        <x:v>待確認</x:v>
      </x:c>
      <x:c r="J729" s="37" t="str">
        <x:v>◎</x:v>
      </x:c>
      <x:c r="K729" s="37" t="str">
        <x:v>Ø</x:v>
      </x:c>
      <x:c r="L729" s="48" t="str">
        <x:f>_xlfn.XLOOKUP($A729&amp;"|"&amp;$G729,'試行能力狀態'!$L$7:$L$258,'試行能力狀態'!$E$7:$E$258,"未評估",0)</x:f>
        <x:v>未評估</x:v>
      </x:c>
      <x:c r="M729" s="48" t="str">
        <x:f>_xlfn.XLOOKUP($A729&amp;"|"&amp;$G729,'試行能力狀態'!$L$7:$L$258,'試行能力狀態'!$F$7:$F$258,"未建立",0)</x:f>
        <x:v>未建立</x:v>
      </x:c>
      <x:c r="N729" s="48" t="str">
        <x:f>IF($L729="◎","符合獨立",IF($L729="Ø","符合條件","不符合"))</x:f>
        <x:v>不符合</x:v>
      </x:c>
      <x:c r="O729" s="48" t="str">
        <x:f>_xlfn.XLOOKUP($A729&amp;"|李侑津醫師",'試行熟悉度'!$K$7:$K$20,'試行熟悉度'!$E$7:$E$20,"未評估",0)</x:f>
        <x:v>未評估</x:v>
      </x:c>
      <x:c r="P729" s="48" t="str">
        <x:f>_xlfn.XLOOKUP($A729&amp;"|李侑津醫師",'試行熟悉度'!$K$7:$K$20,'試行熟悉度'!$F$7:$F$20,"未建立",0)</x:f>
        <x:v>未建立</x:v>
      </x:c>
      <x:c r="Q729" s="39" t="str">
        <x:v>確認後才納入自動判定</x:v>
      </x:c>
    </x:row>
    <x:row r="730">
      <x:c r="A730" s="37" t="str">
        <x:v>2007</x:v>
      </x:c>
      <x:c r="B730" s="37" t="str"/>
      <x:c r="C730" s="37" t="str">
        <x:v>LJT-MICROENDO</x:v>
      </x:c>
      <x:c r="D730" s="37" t="str">
        <x:v>顯微根管</x:v>
      </x:c>
      <x:c r="E730" s="37" t="str">
        <x:v>一般</x:v>
      </x:c>
      <x:c r="F730" s="37" t="str">
        <x:v>高複雜度</x:v>
      </x:c>
      <x:c r="G730" s="37" t="str">
        <x:v>COMMON-XRAY-RECORD</x:v>
      </x:c>
      <x:c r="H730" s="37" t="str">
        <x:v>待確認</x:v>
      </x:c>
      <x:c r="I730" s="37" t="str">
        <x:f>_xlfn.XLOOKUP($C730&amp;"|"&amp;$G730,'李醫師能力要求'!$M$7:$M$59,'李醫師能力要求'!$K$7:$K$59,"待確認",0)</x:f>
        <x:v>待確認</x:v>
      </x:c>
      <x:c r="J730" s="37" t="str">
        <x:v>◎</x:v>
      </x:c>
      <x:c r="K730" s="37" t="str">
        <x:v>Ø</x:v>
      </x:c>
      <x:c r="L730" s="48" t="str">
        <x:f>_xlfn.XLOOKUP($A730&amp;"|"&amp;$G730,'試行能力狀態'!$L$7:$L$258,'試行能力狀態'!$E$7:$E$258,"未評估",0)</x:f>
        <x:v>未評估</x:v>
      </x:c>
      <x:c r="M730" s="48" t="str">
        <x:f>_xlfn.XLOOKUP($A730&amp;"|"&amp;$G730,'試行能力狀態'!$L$7:$L$258,'試行能力狀態'!$F$7:$F$258,"未建立",0)</x:f>
        <x:v>未建立</x:v>
      </x:c>
      <x:c r="N730" s="48" t="str">
        <x:f>IF($L730="◎","符合獨立",IF($L730="Ø","符合條件","不符合"))</x:f>
        <x:v>不符合</x:v>
      </x:c>
      <x:c r="O730" s="48" t="str">
        <x:f>_xlfn.XLOOKUP($A730&amp;"|李侑津醫師",'試行熟悉度'!$K$7:$K$20,'試行熟悉度'!$E$7:$E$20,"未評估",0)</x:f>
        <x:v>未評估</x:v>
      </x:c>
      <x:c r="P730" s="48" t="str">
        <x:f>_xlfn.XLOOKUP($A730&amp;"|李侑津醫師",'試行熟悉度'!$K$7:$K$20,'試行熟悉度'!$F$7:$F$20,"未建立",0)</x:f>
        <x:v>未建立</x:v>
      </x:c>
      <x:c r="Q730" s="39" t="str">
        <x:v>確認後才納入自動判定</x:v>
      </x:c>
    </x:row>
    <x:row r="731">
      <x:c r="A731" s="37" t="str">
        <x:v>2007</x:v>
      </x:c>
      <x:c r="B731" s="37" t="str"/>
      <x:c r="C731" s="37" t="str">
        <x:v>LJT-IMPLANT</x:v>
      </x:c>
      <x:c r="D731" s="37" t="str">
        <x:v>植牙</x:v>
      </x:c>
      <x:c r="E731" s="37" t="str">
        <x:v>一般</x:v>
      </x:c>
      <x:c r="F731" s="37" t="str">
        <x:v>高複雜度</x:v>
      </x:c>
      <x:c r="G731" s="37" t="str">
        <x:v>LJT-PREP-IMPLANT</x:v>
      </x:c>
      <x:c r="H731" s="37" t="str">
        <x:v>必備</x:v>
      </x:c>
      <x:c r="I731" s="37" t="str">
        <x:f>_xlfn.XLOOKUP($C731&amp;"|"&amp;$G731,'李醫師能力要求'!$M$7:$M$59,'李醫師能力要求'!$K$7:$K$59,"待確認",0)</x:f>
        <x:v>已確認</x:v>
      </x:c>
      <x:c r="J731" s="37" t="str">
        <x:v>◎</x:v>
      </x:c>
      <x:c r="K731" s="37" t="str">
        <x:v>Ø</x:v>
      </x:c>
      <x:c r="L731" s="48" t="str">
        <x:f>_xlfn.XLOOKUP($A731&amp;"|"&amp;$G731,'試行能力狀態'!$L$7:$L$258,'試行能力狀態'!$E$7:$E$258,"未評估",0)</x:f>
        <x:v>未評估</x:v>
      </x:c>
      <x:c r="M731" s="48" t="str">
        <x:f>_xlfn.XLOOKUP($A731&amp;"|"&amp;$G731,'試行能力狀態'!$L$7:$L$258,'試行能力狀態'!$F$7:$F$258,"未建立",0)</x:f>
        <x:v>未建立</x:v>
      </x:c>
      <x:c r="N731" s="48" t="str">
        <x:f>IF($L731="◎","符合獨立",IF($L731="Ø","符合條件","不符合"))</x:f>
        <x:v>不符合</x:v>
      </x:c>
      <x:c r="O731" s="48" t="str">
        <x:f>_xlfn.XLOOKUP($A731&amp;"|李侑津醫師",'試行熟悉度'!$K$7:$K$20,'試行熟悉度'!$E$7:$E$20,"未評估",0)</x:f>
        <x:v>未評估</x:v>
      </x:c>
      <x:c r="P731" s="48" t="str">
        <x:f>_xlfn.XLOOKUP($A731&amp;"|李侑津醫師",'試行熟悉度'!$K$7:$K$20,'試行熟悉度'!$F$7:$F$20,"未建立",0)</x:f>
        <x:v>未建立</x:v>
      </x:c>
      <x:c r="Q731" s="39" t="str">
        <x:v>Ø 時完整支援者 1:1</x:v>
      </x:c>
    </x:row>
    <x:row r="732">
      <x:c r="A732" s="37" t="str">
        <x:v>2007</x:v>
      </x:c>
      <x:c r="B732" s="37" t="str"/>
      <x:c r="C732" s="37" t="str">
        <x:v>LJT-IMPLANT</x:v>
      </x:c>
      <x:c r="D732" s="37" t="str">
        <x:v>植牙</x:v>
      </x:c>
      <x:c r="E732" s="37" t="str">
        <x:v>一般</x:v>
      </x:c>
      <x:c r="F732" s="37" t="str">
        <x:v>高複雜度</x:v>
      </x:c>
      <x:c r="G732" s="37" t="str">
        <x:v>COMMON-RECORD</x:v>
      </x:c>
      <x:c r="H732" s="37" t="str">
        <x:v>待確認</x:v>
      </x:c>
      <x:c r="I732" s="37" t="str">
        <x:f>_xlfn.XLOOKUP($C732&amp;"|"&amp;$G732,'李醫師能力要求'!$M$7:$M$59,'李醫師能力要求'!$K$7:$K$59,"待確認",0)</x:f>
        <x:v>待確認</x:v>
      </x:c>
      <x:c r="J732" s="37" t="str">
        <x:v>◎</x:v>
      </x:c>
      <x:c r="K732" s="37" t="str">
        <x:v>Ø</x:v>
      </x:c>
      <x:c r="L732" s="48" t="str">
        <x:f>_xlfn.XLOOKUP($A732&amp;"|"&amp;$G732,'試行能力狀態'!$L$7:$L$258,'試行能力狀態'!$E$7:$E$258,"未評估",0)</x:f>
        <x:v>未評估</x:v>
      </x:c>
      <x:c r="M732" s="48" t="str">
        <x:f>_xlfn.XLOOKUP($A732&amp;"|"&amp;$G732,'試行能力狀態'!$L$7:$L$258,'試行能力狀態'!$F$7:$F$258,"未建立",0)</x:f>
        <x:v>未建立</x:v>
      </x:c>
      <x:c r="N732" s="48" t="str">
        <x:f>IF($L732="◎","符合獨立",IF($L732="Ø","符合條件","不符合"))</x:f>
        <x:v>不符合</x:v>
      </x:c>
      <x:c r="O732" s="48" t="str">
        <x:f>_xlfn.XLOOKUP($A732&amp;"|李侑津醫師",'試行熟悉度'!$K$7:$K$20,'試行熟悉度'!$E$7:$E$20,"未評估",0)</x:f>
        <x:v>未評估</x:v>
      </x:c>
      <x:c r="P732" s="48" t="str">
        <x:f>_xlfn.XLOOKUP($A732&amp;"|李侑津醫師",'試行熟悉度'!$K$7:$K$20,'試行熟悉度'!$F$7:$F$20,"未建立",0)</x:f>
        <x:v>未建立</x:v>
      </x:c>
      <x:c r="Q732" s="39" t="str">
        <x:v>確認後才納入自動判定</x:v>
      </x:c>
    </x:row>
    <x:row r="733">
      <x:c r="A733" s="37" t="str">
        <x:v>2007</x:v>
      </x:c>
      <x:c r="B733" s="37" t="str"/>
      <x:c r="C733" s="37" t="str">
        <x:v>LJT-IMPLANT</x:v>
      </x:c>
      <x:c r="D733" s="37" t="str">
        <x:v>植牙</x:v>
      </x:c>
      <x:c r="E733" s="37" t="str">
        <x:v>一般</x:v>
      </x:c>
      <x:c r="F733" s="37" t="str">
        <x:v>高複雜度</x:v>
      </x:c>
      <x:c r="G733" s="37" t="str">
        <x:v>COMMON-INSURANCE</x:v>
      </x:c>
      <x:c r="H733" s="37" t="str">
        <x:v>待確認</x:v>
      </x:c>
      <x:c r="I733" s="37" t="str">
        <x:f>_xlfn.XLOOKUP($C733&amp;"|"&amp;$G733,'李醫師能力要求'!$M$7:$M$59,'李醫師能力要求'!$K$7:$K$59,"待確認",0)</x:f>
        <x:v>待確認</x:v>
      </x:c>
      <x:c r="J733" s="37" t="str">
        <x:v>◎</x:v>
      </x:c>
      <x:c r="K733" s="37" t="str">
        <x:v>Ø</x:v>
      </x:c>
      <x:c r="L733" s="48" t="str">
        <x:f>_xlfn.XLOOKUP($A733&amp;"|"&amp;$G733,'試行能力狀態'!$L$7:$L$258,'試行能力狀態'!$E$7:$E$258,"未評估",0)</x:f>
        <x:v>未評估</x:v>
      </x:c>
      <x:c r="M733" s="48" t="str">
        <x:f>_xlfn.XLOOKUP($A733&amp;"|"&amp;$G733,'試行能力狀態'!$L$7:$L$258,'試行能力狀態'!$F$7:$F$258,"未建立",0)</x:f>
        <x:v>未建立</x:v>
      </x:c>
      <x:c r="N733" s="48" t="str">
        <x:f>IF($L733="◎","符合獨立",IF($L733="Ø","符合條件","不符合"))</x:f>
        <x:v>不符合</x:v>
      </x:c>
      <x:c r="O733" s="48" t="str">
        <x:f>_xlfn.XLOOKUP($A733&amp;"|李侑津醫師",'試行熟悉度'!$K$7:$K$20,'試行熟悉度'!$E$7:$E$20,"未評估",0)</x:f>
        <x:v>未評估</x:v>
      </x:c>
      <x:c r="P733" s="48" t="str">
        <x:f>_xlfn.XLOOKUP($A733&amp;"|李侑津醫師",'試行熟悉度'!$K$7:$K$20,'試行熟悉度'!$F$7:$F$20,"未建立",0)</x:f>
        <x:v>未建立</x:v>
      </x:c>
      <x:c r="Q733" s="39" t="str">
        <x:v>確認後才納入自動判定</x:v>
      </x:c>
    </x:row>
    <x:row r="734">
      <x:c r="A734" s="38" t="str">
        <x:v>2007</x:v>
      </x:c>
      <x:c r="B734" s="38" t="str"/>
      <x:c r="C734" s="38" t="str">
        <x:v>LJT-IMPLANT</x:v>
      </x:c>
      <x:c r="D734" s="38" t="str">
        <x:v>植牙</x:v>
      </x:c>
      <x:c r="E734" s="38" t="str">
        <x:v>一般</x:v>
      </x:c>
      <x:c r="F734" s="38" t="str">
        <x:v>高複雜度</x:v>
      </x:c>
      <x:c r="G734" s="38" t="str">
        <x:v>COMMON-XRAY-RECORD</x:v>
      </x:c>
      <x:c r="H734" s="38" t="str">
        <x:v>待確認</x:v>
      </x:c>
      <x:c r="I734" s="38" t="str">
        <x:f>_xlfn.XLOOKUP($C734&amp;"|"&amp;$G734,'李醫師能力要求'!$M$7:$M$59,'李醫師能力要求'!$K$7:$K$59,"待確認",0)</x:f>
        <x:v>待確認</x:v>
      </x:c>
      <x:c r="J734" s="38" t="str">
        <x:v>◎</x:v>
      </x:c>
      <x:c r="K734" s="38" t="str">
        <x:v>Ø</x:v>
      </x:c>
      <x:c r="L734" s="49" t="str">
        <x:f>_xlfn.XLOOKUP($A734&amp;"|"&amp;$G734,'試行能力狀態'!$L$7:$L$258,'試行能力狀態'!$E$7:$E$258,"未評估",0)</x:f>
        <x:v>未評估</x:v>
      </x:c>
      <x:c r="M734" s="49" t="str">
        <x:f>_xlfn.XLOOKUP($A734&amp;"|"&amp;$G734,'試行能力狀態'!$L$7:$L$258,'試行能力狀態'!$F$7:$F$258,"未建立",0)</x:f>
        <x:v>未建立</x:v>
      </x:c>
      <x:c r="N734" s="49" t="str">
        <x:f>IF($L734="◎","符合獨立",IF($L734="Ø","符合條件","不符合"))</x:f>
        <x:v>不符合</x:v>
      </x:c>
      <x:c r="O734" s="49" t="str">
        <x:f>_xlfn.XLOOKUP($A734&amp;"|李侑津醫師",'試行熟悉度'!$K$7:$K$20,'試行熟悉度'!$E$7:$E$20,"未評估",0)</x:f>
        <x:v>未評估</x:v>
      </x:c>
      <x:c r="P734" s="49" t="str">
        <x:f>_xlfn.XLOOKUP($A734&amp;"|李侑津醫師",'試行熟悉度'!$K$7:$K$20,'試行熟悉度'!$F$7:$F$20,"未建立",0)</x:f>
        <x:v>未建立</x:v>
      </x:c>
      <x:c r="Q734" s="40" t="str">
        <x:v>確認後才納入自動判定</x:v>
      </x:c>
    </x:row>
  </x:sheetData>
  <x:pageMargins left="0.7" right="0.7" top="0.75" bottom="0.75" header="0.3" footer="0.3"/>
  <x:tableParts count="1">
    <x:tablePart xmlns:r="http://schemas.openxmlformats.org/officeDocument/2006/relationships" r:id="R5c463c844d064b5d"/>
  </x:tableParts>
</x:worksheet>
</file>

<file path=xl/worksheets/sheet14.xml><?xml version="1.0" encoding="utf-8"?>
<x:worksheet xmlns:x="http://schemas.openxmlformats.org/spreadsheetml/2006/main">
  <x:sheetPr>
    <x:tabColor rgb="FF1F5E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8" hidden="0" customWidth="1"/>
    <x:col min="9" max="9" width="14" hidden="0" customWidth="1"/>
    <x:col min="10" max="10" width="16" hidden="0" customWidth="1"/>
    <x:col min="11" max="11" width="14" hidden="0" customWidth="1"/>
    <x:col min="12" max="12" width="12" hidden="0" customWidth="1"/>
    <x:col min="13" max="13" width="12" hidden="0" customWidth="1"/>
    <x:col min="14" max="14" width="22" hidden="0" customWidth="1"/>
    <x:col min="15" max="15" width="18" hidden="0" customWidth="1"/>
    <x:col min="16" max="16" width="18" hidden="0" customWidth="1"/>
    <x:col min="17" max="17" width="18" hidden="0" customWidth="1"/>
    <x:col min="18" max="18" width="16" hidden="0" customWidth="1"/>
    <x:col min="19" max="19" width="22" hidden="0" customWidth="1"/>
    <x:col min="20" max="20" width="42" hidden="0" customWidth="1"/>
    <x:col min="21" max="21" width="34" hidden="0" customWidth="1"/>
    <x:col min="22" max="22" width="38" hidden="0" customWidth="1"/>
  </x:cols>
  <x:sheetData>
    <x:row r="2">
      <x:c r="A2" s="26" t="str">
        <x:v>員工 × 李侑津醫師治療模式適配試算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>
      <x:c r="A4" s="28" t="str">
        <x:v>試算先採用三項待確認共通技能；正式狀態仍受主管核定、資格有效性、班次支援容量與時間衝突限制。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</x:row>
    <x:row r="6">
      <x:c r="A6" s="36" t="str">
        <x:v>員工編號</x:v>
      </x:c>
      <x:c r="B6" s="36" t="str">
        <x:v>姓名</x:v>
      </x:c>
      <x:c r="C6" s="36" t="str">
        <x:v>模式代碼</x:v>
      </x:c>
      <x:c r="D6" s="36" t="str">
        <x:v>模式群組</x:v>
      </x:c>
      <x:c r="E6" s="36" t="str">
        <x:v>治療項目</x:v>
      </x:c>
      <x:c r="F6" s="36" t="str">
        <x:v>療程階段</x:v>
      </x:c>
      <x:c r="G6" s="36" t="str">
        <x:v>複雜度</x:v>
      </x:c>
      <x:c r="H6" s="36" t="str">
        <x:v>主技能代碼</x:v>
      </x:c>
      <x:c r="I6" s="36" t="str">
        <x:v>要求技能數</x:v>
      </x:c>
      <x:c r="J6" s="36" t="str">
        <x:v>待確認要求數</x:v>
      </x:c>
      <x:c r="K6" s="36" t="str">
        <x:v>低於 Ø 項數</x:v>
      </x:c>
      <x:c r="L6" s="36" t="str">
        <x:v>Ø 項數</x:v>
      </x:c>
      <x:c r="M6" s="36" t="str">
        <x:v>Ø 比例</x:v>
      </x:c>
      <x:c r="N6" s="36" t="str">
        <x:v>跟診熟悉度</x:v>
      </x:c>
      <x:c r="O6" s="36" t="str">
        <x:v>資料核定狀態</x:v>
      </x:c>
      <x:c r="P6" s="36" t="str">
        <x:v>資格狀態</x:v>
      </x:c>
      <x:c r="Q6" s="36" t="str">
        <x:v>固定短時支援人數</x:v>
      </x:c>
      <x:c r="R6" s="36" t="str">
        <x:v>預設支援分鐘</x:v>
      </x:c>
      <x:c r="S6" s="36" t="str">
        <x:v>能力試算結果</x:v>
      </x:c>
      <x:c r="T6" s="36" t="str">
        <x:v>支援需求</x:v>
      </x:c>
      <x:c r="U6" s="36" t="str">
        <x:v>正式狀態／待辦</x:v>
      </x:c>
      <x:c r="V6" s="73" t="str">
        <x:v>適配查找鍵</x:v>
      </x:c>
    </x:row>
    <x:row r="7">
      <x:c r="A7" s="37" t="str">
        <x:v>1001</x:v>
      </x:c>
      <x:c r="B7" s="37" t="str"/>
      <x:c r="C7" s="37" t="str">
        <x:v>LJT-SCALING</x:v>
      </x:c>
      <x:c r="D7" s="37" t="str">
        <x:v>一般治療</x:v>
      </x:c>
      <x:c r="E7" s="37" t="str">
        <x:v>洗牙</x:v>
      </x:c>
      <x:c r="F7" s="37" t="str">
        <x:v>一般</x:v>
      </x:c>
      <x:c r="G7" s="37" t="str">
        <x:v>一般</x:v>
      </x:c>
      <x:c r="H7" s="37" t="str">
        <x:v>LJT-PREP-SCALING</x:v>
      </x:c>
      <x:c r="I7" s="48" t="n">
        <x:f>COUNTIFS('適配要求展開'!$A$7:$A$734,$A7,'適配要求展開'!$C$7:$C$734,$C7)</x:f>
        <x:v>4</x:v>
      </x:c>
      <x:c r="J7" s="48" t="n">
        <x:f>COUNTIFS('適配要求展開'!$A$7:$A$734,$A7,'適配要求展開'!$C$7:$C$734,$C7,'適配要求展開'!$I$7:$I$734,"待確認")</x:f>
        <x:v>3</x:v>
      </x:c>
      <x:c r="K7" s="48" t="n">
        <x:f>COUNTIFS('適配要求展開'!$A$7:$A$734,$A7,'適配要求展開'!$C$7:$C$734,$C7,'適配要求展開'!$N$7:$N$734,"不符合")</x:f>
        <x:v>0</x:v>
      </x:c>
      <x:c r="L7" s="48" t="n">
        <x:f>COUNTIFS('適配要求展開'!$A$7:$A$734,$A7,'適配要求展開'!$C$7:$C$734,$C7,'適配要求展開'!$L$7:$L$734,"Ø")</x:f>
        <x:v>0</x:v>
      </x:c>
      <x:c r="M7" s="51" t="n">
        <x:f>IF($I7=0,"n.a.",$L7/$I7)</x:f>
        <x:v>0</x:v>
      </x:c>
      <x:c r="N7" s="48" t="str">
        <x:f>_xlfn.XLOOKUP($A7&amp;"|李侑津醫師",'試行熟悉度'!$K$7:$K$20,'試行熟悉度'!$E$7:$E$20,"未評估",0)</x:f>
        <x:v>可獨立配合</x:v>
      </x:c>
      <x:c r="O7" s="48" t="str">
        <x:f>IF(OR(COUNTIFS('適配要求展開'!$A$7:$A$734,$A7,'適配要求展開'!$C$7:$C$734,$C7,'適配要求展開'!$M$7:$M$734,"&lt;&gt;已核定")&gt;0,_xlfn.XLOOKUP($A7&amp;"|李侑津醫師",'試行熟悉度'!$K$7:$K$20,'試行熟悉度'!$F$7:$F$20,"未建立",0)&lt;&gt;"已核定"),"待主管核定","已核定")</x:f>
        <x:v>待主管核定</x:v>
      </x:c>
      <x:c r="P7" s="48" t="str">
        <x:f>IF($C7="LJT-RPD-FINAL","支援者另判",IF($G7="高複雜度",_xlfn.XLOOKUP($A7&amp;"|"&amp;$H7,'資格有效性'!$L$7:$L$62,'資格有效性'!$E$7:$E$62,"未建立",0),"不需複評"))</x:f>
        <x:v>不需複評</x:v>
      </x:c>
      <x:c r="Q7" s="48" t="n">
        <x:v>0</x:v>
      </x:c>
      <x:c r="R7" s="48"/>
      <x:c r="S7" s="48" t="str">
        <x:f>IF($K7&gt;0,"不可正式排",IF(OR($N7="未評估",$N7="學習中"),"不可正式排",IF(AND($L7=0,$N7="可獨立配合"),"初步可獨立",IF(AND($L7&lt;=3,$M7&lt;=1/3,OR($N7="可獨立配合",$N7="可配合但需支援")),"初步可條件排","不可正式排"))))</x:f>
        <x:v>初步可獨立</x:v>
      </x:c>
      <x:c r="T7" s="53" t="str">
        <x:f>IF($C7="LJT-RPD-FINAL","固定短時支援 1 人／30 分鐘",IF($S7="初步可條件排",IF($G7="高複雜度","完整支援者 1:1（占 2 名額）","一般支援 1 名額"),"無"))</x:f>
        <x:v>無</x:v>
      </x:c>
      <x:c r="U7" s="53" t="str">
        <x:f>IF($J7&gt;0,"待確認共通技能門檻",IF($O7&lt;&gt;"已核定","待主管核定",IF(AND($G7="高複雜度",$P7&lt;&gt;"有效"),"資格未有效",$S7)))</x:f>
        <x:v>待確認共通技能門檻</x:v>
      </x:c>
      <x:c r="V7" t="str">
        <x:f>$A7&amp;"|"&amp;$C7</x:f>
        <x:v>1001|LJT-SCALING</x:v>
      </x:c>
    </x:row>
    <x:row r="8">
      <x:c r="A8" s="37" t="str">
        <x:v>1001</x:v>
      </x:c>
      <x:c r="B8" s="37" t="str"/>
      <x:c r="C8" s="37" t="str">
        <x:v>LJT-FILLING</x:v>
      </x:c>
      <x:c r="D8" s="37" t="str">
        <x:v>一般治療</x:v>
      </x:c>
      <x:c r="E8" s="37" t="str">
        <x:v>補牙</x:v>
      </x:c>
      <x:c r="F8" s="37" t="str">
        <x:v>一般</x:v>
      </x:c>
      <x:c r="G8" s="37" t="str">
        <x:v>一般</x:v>
      </x:c>
      <x:c r="H8" s="37" t="str">
        <x:v>LJT-PREP-FILLING</x:v>
      </x:c>
      <x:c r="I8" s="48" t="n">
        <x:f>COUNTIFS('適配要求展開'!$A$7:$A$734,$A8,'適配要求展開'!$C$7:$C$734,$C8)</x:f>
        <x:v>4</x:v>
      </x:c>
      <x:c r="J8" s="48" t="n">
        <x:f>COUNTIFS('適配要求展開'!$A$7:$A$734,$A8,'適配要求展開'!$C$7:$C$734,$C8,'適配要求展開'!$I$7:$I$734,"待確認")</x:f>
        <x:v>3</x:v>
      </x:c>
      <x:c r="K8" s="48" t="n">
        <x:f>COUNTIFS('適配要求展開'!$A$7:$A$734,$A8,'適配要求展開'!$C$7:$C$734,$C8,'適配要求展開'!$N$7:$N$734,"不符合")</x:f>
        <x:v>0</x:v>
      </x:c>
      <x:c r="L8" s="48" t="n">
        <x:f>COUNTIFS('適配要求展開'!$A$7:$A$734,$A8,'適配要求展開'!$C$7:$C$734,$C8,'適配要求展開'!$L$7:$L$734,"Ø")</x:f>
        <x:v>0</x:v>
      </x:c>
      <x:c r="M8" s="51" t="n">
        <x:f>IF($I8=0,"n.a.",$L8/$I8)</x:f>
        <x:v>0</x:v>
      </x:c>
      <x:c r="N8" s="48" t="str">
        <x:f>_xlfn.XLOOKUP($A8&amp;"|李侑津醫師",'試行熟悉度'!$K$7:$K$20,'試行熟悉度'!$E$7:$E$20,"未評估",0)</x:f>
        <x:v>可獨立配合</x:v>
      </x:c>
      <x:c r="O8" s="48" t="str">
        <x:f>IF(OR(COUNTIFS('適配要求展開'!$A$7:$A$734,$A8,'適配要求展開'!$C$7:$C$734,$C8,'適配要求展開'!$M$7:$M$734,"&lt;&gt;已核定")&gt;0,_xlfn.XLOOKUP($A8&amp;"|李侑津醫師",'試行熟悉度'!$K$7:$K$20,'試行熟悉度'!$F$7:$F$20,"未建立",0)&lt;&gt;"已核定"),"待主管核定","已核定")</x:f>
        <x:v>待主管核定</x:v>
      </x:c>
      <x:c r="P8" s="48" t="str">
        <x:f>IF($C8="LJT-RPD-FINAL","支援者另判",IF($G8="高複雜度",_xlfn.XLOOKUP($A8&amp;"|"&amp;$H8,'資格有效性'!$L$7:$L$62,'資格有效性'!$E$7:$E$62,"未建立",0),"不需複評"))</x:f>
        <x:v>不需複評</x:v>
      </x:c>
      <x:c r="Q8" s="48" t="n">
        <x:v>0</x:v>
      </x:c>
      <x:c r="R8" s="48"/>
      <x:c r="S8" s="48" t="str">
        <x:f>IF($K8&gt;0,"不可正式排",IF(OR($N8="未評估",$N8="學習中"),"不可正式排",IF(AND($L8=0,$N8="可獨立配合"),"初步可獨立",IF(AND($L8&lt;=3,$M8&lt;=1/3,OR($N8="可獨立配合",$N8="可配合但需支援")),"初步可條件排","不可正式排"))))</x:f>
        <x:v>初步可獨立</x:v>
      </x:c>
      <x:c r="T8" s="53" t="str">
        <x:f>IF($C8="LJT-RPD-FINAL","固定短時支援 1 人／30 分鐘",IF($S8="初步可條件排",IF($G8="高複雜度","完整支援者 1:1（占 2 名額）","一般支援 1 名額"),"無"))</x:f>
        <x:v>無</x:v>
      </x:c>
      <x:c r="U8" s="53" t="str">
        <x:f>IF($J8&gt;0,"待確認共通技能門檻",IF($O8&lt;&gt;"已核定","待主管核定",IF(AND($G8="高複雜度",$P8&lt;&gt;"有效"),"資格未有效",$S8)))</x:f>
        <x:v>待確認共通技能門檻</x:v>
      </x:c>
      <x:c r="V8" t="str">
        <x:f>$A8&amp;"|"&amp;$C8</x:f>
        <x:v>1001|LJT-FILLING</x:v>
      </x:c>
    </x:row>
    <x:row r="9">
      <x:c r="A9" s="37" t="str">
        <x:v>1001</x:v>
      </x:c>
      <x:c r="B9" s="37" t="str"/>
      <x:c r="C9" s="37" t="str">
        <x:v>LJT-PERIO</x:v>
      </x:c>
      <x:c r="D9" s="37" t="str">
        <x:v>一般治療</x:v>
      </x:c>
      <x:c r="E9" s="37" t="str">
        <x:v>牙周統合</x:v>
      </x:c>
      <x:c r="F9" s="37" t="str">
        <x:v>一般</x:v>
      </x:c>
      <x:c r="G9" s="37" t="str">
        <x:v>一般</x:v>
      </x:c>
      <x:c r="H9" s="37" t="str">
        <x:v>LJT-PREP-PERIO</x:v>
      </x:c>
      <x:c r="I9" s="48" t="n">
        <x:f>COUNTIFS('適配要求展開'!$A$7:$A$734,$A9,'適配要求展開'!$C$7:$C$734,$C9)</x:f>
        <x:v>4</x:v>
      </x:c>
      <x:c r="J9" s="48" t="n">
        <x:f>COUNTIFS('適配要求展開'!$A$7:$A$734,$A9,'適配要求展開'!$C$7:$C$734,$C9,'適配要求展開'!$I$7:$I$734,"待確認")</x:f>
        <x:v>3</x:v>
      </x:c>
      <x:c r="K9" s="48" t="n">
        <x:f>COUNTIFS('適配要求展開'!$A$7:$A$734,$A9,'適配要求展開'!$C$7:$C$734,$C9,'適配要求展開'!$N$7:$N$734,"不符合")</x:f>
        <x:v>0</x:v>
      </x:c>
      <x:c r="L9" s="48" t="n">
        <x:f>COUNTIFS('適配要求展開'!$A$7:$A$734,$A9,'適配要求展開'!$C$7:$C$734,$C9,'適配要求展開'!$L$7:$L$734,"Ø")</x:f>
        <x:v>0</x:v>
      </x:c>
      <x:c r="M9" s="51" t="n">
        <x:f>IF($I9=0,"n.a.",$L9/$I9)</x:f>
        <x:v>0</x:v>
      </x:c>
      <x:c r="N9" s="48" t="str">
        <x:f>_xlfn.XLOOKUP($A9&amp;"|李侑津醫師",'試行熟悉度'!$K$7:$K$20,'試行熟悉度'!$E$7:$E$20,"未評估",0)</x:f>
        <x:v>可獨立配合</x:v>
      </x:c>
      <x:c r="O9" s="48" t="str">
        <x:f>IF(OR(COUNTIFS('適配要求展開'!$A$7:$A$734,$A9,'適配要求展開'!$C$7:$C$734,$C9,'適配要求展開'!$M$7:$M$734,"&lt;&gt;已核定")&gt;0,_xlfn.XLOOKUP($A9&amp;"|李侑津醫師",'試行熟悉度'!$K$7:$K$20,'試行熟悉度'!$F$7:$F$20,"未建立",0)&lt;&gt;"已核定"),"待主管核定","已核定")</x:f>
        <x:v>待主管核定</x:v>
      </x:c>
      <x:c r="P9" s="48" t="str">
        <x:f>IF($C9="LJT-RPD-FINAL","支援者另判",IF($G9="高複雜度",_xlfn.XLOOKUP($A9&amp;"|"&amp;$H9,'資格有效性'!$L$7:$L$62,'資格有效性'!$E$7:$E$62,"未建立",0),"不需複評"))</x:f>
        <x:v>不需複評</x:v>
      </x:c>
      <x:c r="Q9" s="48" t="n">
        <x:v>0</x:v>
      </x:c>
      <x:c r="R9" s="48"/>
      <x:c r="S9" s="48" t="str">
        <x:f>IF($K9&gt;0,"不可正式排",IF(OR($N9="未評估",$N9="學習中"),"不可正式排",IF(AND($L9=0,$N9="可獨立配合"),"初步可獨立",IF(AND($L9&lt;=3,$M9&lt;=1/3,OR($N9="可獨立配合",$N9="可配合但需支援")),"初步可條件排","不可正式排"))))</x:f>
        <x:v>初步可獨立</x:v>
      </x:c>
      <x:c r="T9" s="53" t="str">
        <x:f>IF($C9="LJT-RPD-FINAL","固定短時支援 1 人／30 分鐘",IF($S9="初步可條件排",IF($G9="高複雜度","完整支援者 1:1（占 2 名額）","一般支援 1 名額"),"無"))</x:f>
        <x:v>無</x:v>
      </x:c>
      <x:c r="U9" s="53" t="str">
        <x:f>IF($J9&gt;0,"待確認共通技能門檻",IF($O9&lt;&gt;"已核定","待主管核定",IF(AND($G9="高複雜度",$P9&lt;&gt;"有效"),"資格未有效",$S9)))</x:f>
        <x:v>待確認共通技能門檻</x:v>
      </x:c>
      <x:c r="V9" t="str">
        <x:f>$A9&amp;"|"&amp;$C9</x:f>
        <x:v>1001|LJT-PERIO</x:v>
      </x:c>
    </x:row>
    <x:row r="10">
      <x:c r="A10" s="37" t="str">
        <x:v>1001</x:v>
      </x:c>
      <x:c r="B10" s="37" t="str"/>
      <x:c r="C10" s="37" t="str">
        <x:v>LJT-RCT</x:v>
      </x:c>
      <x:c r="D10" s="37" t="str">
        <x:v>一般治療</x:v>
      </x:c>
      <x:c r="E10" s="37" t="str">
        <x:v>一般根管治療</x:v>
      </x:c>
      <x:c r="F10" s="37" t="str">
        <x:v>一般</x:v>
      </x:c>
      <x:c r="G10" s="37" t="str">
        <x:v>一般</x:v>
      </x:c>
      <x:c r="H10" s="37" t="str">
        <x:v>LJT-PREP-RCT</x:v>
      </x:c>
      <x:c r="I10" s="48" t="n">
        <x:f>COUNTIFS('適配要求展開'!$A$7:$A$734,$A10,'適配要求展開'!$C$7:$C$734,$C10)</x:f>
        <x:v>4</x:v>
      </x:c>
      <x:c r="J10" s="48" t="n">
        <x:f>COUNTIFS('適配要求展開'!$A$7:$A$734,$A10,'適配要求展開'!$C$7:$C$734,$C10,'適配要求展開'!$I$7:$I$734,"待確認")</x:f>
        <x:v>3</x:v>
      </x:c>
      <x:c r="K10" s="48" t="n">
        <x:f>COUNTIFS('適配要求展開'!$A$7:$A$734,$A10,'適配要求展開'!$C$7:$C$734,$C10,'適配要求展開'!$N$7:$N$734,"不符合")</x:f>
        <x:v>0</x:v>
      </x:c>
      <x:c r="L10" s="48" t="n">
        <x:f>COUNTIFS('適配要求展開'!$A$7:$A$734,$A10,'適配要求展開'!$C$7:$C$734,$C10,'適配要求展開'!$L$7:$L$734,"Ø")</x:f>
        <x:v>0</x:v>
      </x:c>
      <x:c r="M10" s="51" t="n">
        <x:f>IF($I10=0,"n.a.",$L10/$I10)</x:f>
        <x:v>0</x:v>
      </x:c>
      <x:c r="N10" s="48" t="str">
        <x:f>_xlfn.XLOOKUP($A10&amp;"|李侑津醫師",'試行熟悉度'!$K$7:$K$20,'試行熟悉度'!$E$7:$E$20,"未評估",0)</x:f>
        <x:v>可獨立配合</x:v>
      </x:c>
      <x:c r="O10" s="48" t="str">
        <x:f>IF(OR(COUNTIFS('適配要求展開'!$A$7:$A$734,$A10,'適配要求展開'!$C$7:$C$734,$C10,'適配要求展開'!$M$7:$M$734,"&lt;&gt;已核定")&gt;0,_xlfn.XLOOKUP($A10&amp;"|李侑津醫師",'試行熟悉度'!$K$7:$K$20,'試行熟悉度'!$F$7:$F$20,"未建立",0)&lt;&gt;"已核定"),"待主管核定","已核定")</x:f>
        <x:v>待主管核定</x:v>
      </x:c>
      <x:c r="P10" s="48" t="str">
        <x:f>IF($C10="LJT-RPD-FINAL","支援者另判",IF($G10="高複雜度",_xlfn.XLOOKUP($A10&amp;"|"&amp;$H10,'資格有效性'!$L$7:$L$62,'資格有效性'!$E$7:$E$62,"未建立",0),"不需複評"))</x:f>
        <x:v>不需複評</x:v>
      </x:c>
      <x:c r="Q10" s="48" t="n">
        <x:v>0</x:v>
      </x:c>
      <x:c r="R10" s="48"/>
      <x:c r="S10" s="48" t="str">
        <x:f>IF($K10&gt;0,"不可正式排",IF(OR($N10="未評估",$N10="學習中"),"不可正式排",IF(AND($L10=0,$N10="可獨立配合"),"初步可獨立",IF(AND($L10&lt;=3,$M10&lt;=1/3,OR($N10="可獨立配合",$N10="可配合但需支援")),"初步可條件排","不可正式排"))))</x:f>
        <x:v>初步可獨立</x:v>
      </x:c>
      <x:c r="T10" s="53" t="str">
        <x:f>IF($C10="LJT-RPD-FINAL","固定短時支援 1 人／30 分鐘",IF($S10="初步可條件排",IF($G10="高複雜度","完整支援者 1:1（占 2 名額）","一般支援 1 名額"),"無"))</x:f>
        <x:v>無</x:v>
      </x:c>
      <x:c r="U10" s="53" t="str">
        <x:f>IF($J10&gt;0,"待確認共通技能門檻",IF($O10&lt;&gt;"已核定","待主管核定",IF(AND($G10="高複雜度",$P10&lt;&gt;"有效"),"資格未有效",$S10)))</x:f>
        <x:v>待確認共通技能門檻</x:v>
      </x:c>
      <x:c r="V10" t="str">
        <x:f>$A10&amp;"|"&amp;$C10</x:f>
        <x:v>1001|LJT-RCT</x:v>
      </x:c>
    </x:row>
    <x:row r="11">
      <x:c r="A11" s="37" t="str">
        <x:v>1001</x:v>
      </x:c>
      <x:c r="B11" s="37" t="str"/>
      <x:c r="C11" s="37" t="str">
        <x:v>LJT-EXTRACTION</x:v>
      </x:c>
      <x:c r="D11" s="37" t="str">
        <x:v>一般治療</x:v>
      </x:c>
      <x:c r="E11" s="37" t="str">
        <x:v>拔牙</x:v>
      </x:c>
      <x:c r="F11" s="37" t="str">
        <x:v>一般</x:v>
      </x:c>
      <x:c r="G11" s="37" t="str">
        <x:v>一般</x:v>
      </x:c>
      <x:c r="H11" s="37" t="str">
        <x:v>LJT-PREP-EXTRACTION</x:v>
      </x:c>
      <x:c r="I11" s="48" t="n">
        <x:f>COUNTIFS('適配要求展開'!$A$7:$A$734,$A11,'適配要求展開'!$C$7:$C$734,$C11)</x:f>
        <x:v>4</x:v>
      </x:c>
      <x:c r="J11" s="48" t="n">
        <x:f>COUNTIFS('適配要求展開'!$A$7:$A$734,$A11,'適配要求展開'!$C$7:$C$734,$C11,'適配要求展開'!$I$7:$I$734,"待確認")</x:f>
        <x:v>3</x:v>
      </x:c>
      <x:c r="K11" s="48" t="n">
        <x:f>COUNTIFS('適配要求展開'!$A$7:$A$734,$A11,'適配要求展開'!$C$7:$C$734,$C11,'適配要求展開'!$N$7:$N$734,"不符合")</x:f>
        <x:v>0</x:v>
      </x:c>
      <x:c r="L11" s="48" t="n">
        <x:f>COUNTIFS('適配要求展開'!$A$7:$A$734,$A11,'適配要求展開'!$C$7:$C$734,$C11,'適配要求展開'!$L$7:$L$734,"Ø")</x:f>
        <x:v>0</x:v>
      </x:c>
      <x:c r="M11" s="51" t="n">
        <x:f>IF($I11=0,"n.a.",$L11/$I11)</x:f>
        <x:v>0</x:v>
      </x:c>
      <x:c r="N11" s="48" t="str">
        <x:f>_xlfn.XLOOKUP($A11&amp;"|李侑津醫師",'試行熟悉度'!$K$7:$K$20,'試行熟悉度'!$E$7:$E$20,"未評估",0)</x:f>
        <x:v>可獨立配合</x:v>
      </x:c>
      <x:c r="O11" s="48" t="str">
        <x:f>IF(OR(COUNTIFS('適配要求展開'!$A$7:$A$734,$A11,'適配要求展開'!$C$7:$C$734,$C11,'適配要求展開'!$M$7:$M$734,"&lt;&gt;已核定")&gt;0,_xlfn.XLOOKUP($A11&amp;"|李侑津醫師",'試行熟悉度'!$K$7:$K$20,'試行熟悉度'!$F$7:$F$20,"未建立",0)&lt;&gt;"已核定"),"待主管核定","已核定")</x:f>
        <x:v>待主管核定</x:v>
      </x:c>
      <x:c r="P11" s="48" t="str">
        <x:f>IF($C11="LJT-RPD-FINAL","支援者另判",IF($G11="高複雜度",_xlfn.XLOOKUP($A11&amp;"|"&amp;$H11,'資格有效性'!$L$7:$L$62,'資格有效性'!$E$7:$E$62,"未建立",0),"不需複評"))</x:f>
        <x:v>不需複評</x:v>
      </x:c>
      <x:c r="Q11" s="48" t="n">
        <x:v>0</x:v>
      </x:c>
      <x:c r="R11" s="48"/>
      <x:c r="S11" s="48" t="str">
        <x:f>IF($K11&gt;0,"不可正式排",IF(OR($N11="未評估",$N11="學習中"),"不可正式排",IF(AND($L11=0,$N11="可獨立配合"),"初步可獨立",IF(AND($L11&lt;=3,$M11&lt;=1/3,OR($N11="可獨立配合",$N11="可配合但需支援")),"初步可條件排","不可正式排"))))</x:f>
        <x:v>初步可獨立</x:v>
      </x:c>
      <x:c r="T11" s="53" t="str">
        <x:f>IF($C11="LJT-RPD-FINAL","固定短時支援 1 人／30 分鐘",IF($S11="初步可條件排",IF($G11="高複雜度","完整支援者 1:1（占 2 名額）","一般支援 1 名額"),"無"))</x:f>
        <x:v>無</x:v>
      </x:c>
      <x:c r="U11" s="53" t="str">
        <x:f>IF($J11&gt;0,"待確認共通技能門檻",IF($O11&lt;&gt;"已核定","待主管核定",IF(AND($G11="高複雜度",$P11&lt;&gt;"有效"),"資格未有效",$S11)))</x:f>
        <x:v>待確認共通技能門檻</x:v>
      </x:c>
      <x:c r="V11" t="str">
        <x:f>$A11&amp;"|"&amp;$C11</x:f>
        <x:v>1001|LJT-EXTRACTION</x:v>
      </x:c>
    </x:row>
    <x:row r="12">
      <x:c r="A12" s="37" t="str">
        <x:v>1001</x:v>
      </x:c>
      <x:c r="B12" s="37" t="str"/>
      <x:c r="C12" s="37" t="str">
        <x:v>LJT-CROWNPOST</x:v>
      </x:c>
      <x:c r="D12" s="37" t="str">
        <x:v>一般治療</x:v>
      </x:c>
      <x:c r="E12" s="37" t="str">
        <x:v>拆 crown/post</x:v>
      </x:c>
      <x:c r="F12" s="37" t="str">
        <x:v>一般</x:v>
      </x:c>
      <x:c r="G12" s="37" t="str">
        <x:v>一般</x:v>
      </x:c>
      <x:c r="H12" s="37" t="str">
        <x:v>LJT-PREP-CROWNPOST</x:v>
      </x:c>
      <x:c r="I12" s="48" t="n">
        <x:f>COUNTIFS('適配要求展開'!$A$7:$A$734,$A12,'適配要求展開'!$C$7:$C$734,$C12)</x:f>
        <x:v>4</x:v>
      </x:c>
      <x:c r="J12" s="48" t="n">
        <x:f>COUNTIFS('適配要求展開'!$A$7:$A$734,$A12,'適配要求展開'!$C$7:$C$734,$C12,'適配要求展開'!$I$7:$I$734,"待確認")</x:f>
        <x:v>3</x:v>
      </x:c>
      <x:c r="K12" s="48" t="n">
        <x:f>COUNTIFS('適配要求展開'!$A$7:$A$734,$A12,'適配要求展開'!$C$7:$C$734,$C12,'適配要求展開'!$N$7:$N$734,"不符合")</x:f>
        <x:v>0</x:v>
      </x:c>
      <x:c r="L12" s="48" t="n">
        <x:f>COUNTIFS('適配要求展開'!$A$7:$A$734,$A12,'適配要求展開'!$C$7:$C$734,$C12,'適配要求展開'!$L$7:$L$734,"Ø")</x:f>
        <x:v>0</x:v>
      </x:c>
      <x:c r="M12" s="51" t="n">
        <x:f>IF($I12=0,"n.a.",$L12/$I12)</x:f>
        <x:v>0</x:v>
      </x:c>
      <x:c r="N12" s="48" t="str">
        <x:f>_xlfn.XLOOKUP($A12&amp;"|李侑津醫師",'試行熟悉度'!$K$7:$K$20,'試行熟悉度'!$E$7:$E$20,"未評估",0)</x:f>
        <x:v>可獨立配合</x:v>
      </x:c>
      <x:c r="O12" s="48" t="str">
        <x:f>IF(OR(COUNTIFS('適配要求展開'!$A$7:$A$734,$A12,'適配要求展開'!$C$7:$C$734,$C12,'適配要求展開'!$M$7:$M$734,"&lt;&gt;已核定")&gt;0,_xlfn.XLOOKUP($A12&amp;"|李侑津醫師",'試行熟悉度'!$K$7:$K$20,'試行熟悉度'!$F$7:$F$20,"未建立",0)&lt;&gt;"已核定"),"待主管核定","已核定")</x:f>
        <x:v>待主管核定</x:v>
      </x:c>
      <x:c r="P12" s="48" t="str">
        <x:f>IF($C12="LJT-RPD-FINAL","支援者另判",IF($G12="高複雜度",_xlfn.XLOOKUP($A12&amp;"|"&amp;$H12,'資格有效性'!$L$7:$L$62,'資格有效性'!$E$7:$E$62,"未建立",0),"不需複評"))</x:f>
        <x:v>不需複評</x:v>
      </x:c>
      <x:c r="Q12" s="48" t="n">
        <x:v>0</x:v>
      </x:c>
      <x:c r="R12" s="48"/>
      <x:c r="S12" s="48" t="str">
        <x:f>IF($K12&gt;0,"不可正式排",IF(OR($N12="未評估",$N12="學習中"),"不可正式排",IF(AND($L12=0,$N12="可獨立配合"),"初步可獨立",IF(AND($L12&lt;=3,$M12&lt;=1/3,OR($N12="可獨立配合",$N12="可配合但需支援")),"初步可條件排","不可正式排"))))</x:f>
        <x:v>初步可獨立</x:v>
      </x:c>
      <x:c r="T12" s="53" t="str">
        <x:f>IF($C12="LJT-RPD-FINAL","固定短時支援 1 人／30 分鐘",IF($S12="初步可條件排",IF($G12="高複雜度","完整支援者 1:1（占 2 名額）","一般支援 1 名額"),"無"))</x:f>
        <x:v>無</x:v>
      </x:c>
      <x:c r="U12" s="53" t="str">
        <x:f>IF($J12&gt;0,"待確認共通技能門檻",IF($O12&lt;&gt;"已核定","待主管核定",IF(AND($G12="高複雜度",$P12&lt;&gt;"有效"),"資格未有效",$S12)))</x:f>
        <x:v>待確認共通技能門檻</x:v>
      </x:c>
      <x:c r="V12" t="str">
        <x:f>$A12&amp;"|"&amp;$C12</x:f>
        <x:v>1001|LJT-CROWNPOST</x:v>
      </x:c>
    </x:row>
    <x:row r="13">
      <x:c r="A13" s="37" t="str">
        <x:v>1001</x:v>
      </x:c>
      <x:c r="B13" s="37" t="str"/>
      <x:c r="C13" s="37" t="str">
        <x:v>LJT-CROWN</x:v>
      </x:c>
      <x:c r="D13" s="37" t="str">
        <x:v>補綴／自費</x:v>
      </x:c>
      <x:c r="E13" s="37" t="str">
        <x:v>固定假牙</x:v>
      </x:c>
      <x:c r="F13" s="37" t="str">
        <x:v>一般</x:v>
      </x:c>
      <x:c r="G13" s="37" t="str">
        <x:v>一般</x:v>
      </x:c>
      <x:c r="H13" s="37" t="str">
        <x:v>LJT-PREP-CROWN</x:v>
      </x:c>
      <x:c r="I13" s="48" t="n">
        <x:f>COUNTIFS('適配要求展開'!$A$7:$A$734,$A13,'適配要求展開'!$C$7:$C$734,$C13)</x:f>
        <x:v>4</x:v>
      </x:c>
      <x:c r="J13" s="48" t="n">
        <x:f>COUNTIFS('適配要求展開'!$A$7:$A$734,$A13,'適配要求展開'!$C$7:$C$734,$C13,'適配要求展開'!$I$7:$I$734,"待確認")</x:f>
        <x:v>3</x:v>
      </x:c>
      <x:c r="K13" s="48" t="n">
        <x:f>COUNTIFS('適配要求展開'!$A$7:$A$734,$A13,'適配要求展開'!$C$7:$C$734,$C13,'適配要求展開'!$N$7:$N$734,"不符合")</x:f>
        <x:v>0</x:v>
      </x:c>
      <x:c r="L13" s="48" t="n">
        <x:f>COUNTIFS('適配要求展開'!$A$7:$A$734,$A13,'適配要求展開'!$C$7:$C$734,$C13,'適配要求展開'!$L$7:$L$734,"Ø")</x:f>
        <x:v>0</x:v>
      </x:c>
      <x:c r="M13" s="51" t="n">
        <x:f>IF($I13=0,"n.a.",$L13/$I13)</x:f>
        <x:v>0</x:v>
      </x:c>
      <x:c r="N13" s="48" t="str">
        <x:f>_xlfn.XLOOKUP($A13&amp;"|李侑津醫師",'試行熟悉度'!$K$7:$K$20,'試行熟悉度'!$E$7:$E$20,"未評估",0)</x:f>
        <x:v>可獨立配合</x:v>
      </x:c>
      <x:c r="O13" s="48" t="str">
        <x:f>IF(OR(COUNTIFS('適配要求展開'!$A$7:$A$734,$A13,'適配要求展開'!$C$7:$C$734,$C13,'適配要求展開'!$M$7:$M$734,"&lt;&gt;已核定")&gt;0,_xlfn.XLOOKUP($A13&amp;"|李侑津醫師",'試行熟悉度'!$K$7:$K$20,'試行熟悉度'!$F$7:$F$20,"未建立",0)&lt;&gt;"已核定"),"待主管核定","已核定")</x:f>
        <x:v>待主管核定</x:v>
      </x:c>
      <x:c r="P13" s="48" t="str">
        <x:f>IF($C13="LJT-RPD-FINAL","支援者另判",IF($G13="高複雜度",_xlfn.XLOOKUP($A13&amp;"|"&amp;$H13,'資格有效性'!$L$7:$L$62,'資格有效性'!$E$7:$E$62,"未建立",0),"不需複評"))</x:f>
        <x:v>不需複評</x:v>
      </x:c>
      <x:c r="Q13" s="48" t="n">
        <x:v>0</x:v>
      </x:c>
      <x:c r="R13" s="48"/>
      <x:c r="S13" s="48" t="str">
        <x:f>IF($K13&gt;0,"不可正式排",IF(OR($N13="未評估",$N13="學習中"),"不可正式排",IF(AND($L13=0,$N13="可獨立配合"),"初步可獨立",IF(AND($L13&lt;=3,$M13&lt;=1/3,OR($N13="可獨立配合",$N13="可配合但需支援")),"初步可條件排","不可正式排"))))</x:f>
        <x:v>初步可獨立</x:v>
      </x:c>
      <x:c r="T13" s="53" t="str">
        <x:f>IF($C13="LJT-RPD-FINAL","固定短時支援 1 人／30 分鐘",IF($S13="初步可條件排",IF($G13="高複雜度","完整支援者 1:1（占 2 名額）","一般支援 1 名額"),"無"))</x:f>
        <x:v>無</x:v>
      </x:c>
      <x:c r="U13" s="53" t="str">
        <x:f>IF($J13&gt;0,"待確認共通技能門檻",IF($O13&lt;&gt;"已核定","待主管核定",IF(AND($G13="高複雜度",$P13&lt;&gt;"有效"),"資格未有效",$S13)))</x:f>
        <x:v>待確認共通技能門檻</x:v>
      </x:c>
      <x:c r="V13" t="str">
        <x:f>$A13&amp;"|"&amp;$C13</x:f>
        <x:v>1001|LJT-CROWN</x:v>
      </x:c>
    </x:row>
    <x:row r="14">
      <x:c r="A14" s="37" t="str">
        <x:v>1001</x:v>
      </x:c>
      <x:c r="B14" s="37" t="str"/>
      <x:c r="C14" s="37" t="str">
        <x:v>LJT-RPD</x:v>
      </x:c>
      <x:c r="D14" s="37" t="str">
        <x:v>補綴／自費</x:v>
      </x:c>
      <x:c r="E14" s="37" t="str">
        <x:v>RPD</x:v>
      </x:c>
      <x:c r="F14" s="37" t="str">
        <x:v>一般步驟</x:v>
      </x:c>
      <x:c r="G14" s="37" t="str">
        <x:v>一般</x:v>
      </x:c>
      <x:c r="H14" s="37" t="str">
        <x:v>LJT-PREP-RPD</x:v>
      </x:c>
      <x:c r="I14" s="48" t="n">
        <x:f>COUNTIFS('適配要求展開'!$A$7:$A$734,$A14,'適配要求展開'!$C$7:$C$734,$C14)</x:f>
        <x:v>4</x:v>
      </x:c>
      <x:c r="J14" s="48" t="n">
        <x:f>COUNTIFS('適配要求展開'!$A$7:$A$734,$A14,'適配要求展開'!$C$7:$C$734,$C14,'適配要求展開'!$I$7:$I$734,"待確認")</x:f>
        <x:v>3</x:v>
      </x:c>
      <x:c r="K14" s="48" t="n">
        <x:f>COUNTIFS('適配要求展開'!$A$7:$A$734,$A14,'適配要求展開'!$C$7:$C$734,$C14,'適配要求展開'!$N$7:$N$734,"不符合")</x:f>
        <x:v>0</x:v>
      </x:c>
      <x:c r="L14" s="48" t="n">
        <x:f>COUNTIFS('適配要求展開'!$A$7:$A$734,$A14,'適配要求展開'!$C$7:$C$734,$C14,'適配要求展開'!$L$7:$L$734,"Ø")</x:f>
        <x:v>0</x:v>
      </x:c>
      <x:c r="M14" s="51" t="n">
        <x:f>IF($I14=0,"n.a.",$L14/$I14)</x:f>
        <x:v>0</x:v>
      </x:c>
      <x:c r="N14" s="48" t="str">
        <x:f>_xlfn.XLOOKUP($A14&amp;"|李侑津醫師",'試行熟悉度'!$K$7:$K$20,'試行熟悉度'!$E$7:$E$20,"未評估",0)</x:f>
        <x:v>可獨立配合</x:v>
      </x:c>
      <x:c r="O14" s="48" t="str">
        <x:f>IF(OR(COUNTIFS('適配要求展開'!$A$7:$A$734,$A14,'適配要求展開'!$C$7:$C$734,$C14,'適配要求展開'!$M$7:$M$734,"&lt;&gt;已核定")&gt;0,_xlfn.XLOOKUP($A14&amp;"|李侑津醫師",'試行熟悉度'!$K$7:$K$20,'試行熟悉度'!$F$7:$F$20,"未建立",0)&lt;&gt;"已核定"),"待主管核定","已核定")</x:f>
        <x:v>待主管核定</x:v>
      </x:c>
      <x:c r="P14" s="48" t="str">
        <x:f>IF($C14="LJT-RPD-FINAL","支援者另判",IF($G14="高複雜度",_xlfn.XLOOKUP($A14&amp;"|"&amp;$H14,'資格有效性'!$L$7:$L$62,'資格有效性'!$E$7:$E$62,"未建立",0),"不需複評"))</x:f>
        <x:v>不需複評</x:v>
      </x:c>
      <x:c r="Q14" s="48" t="n">
        <x:v>0</x:v>
      </x:c>
      <x:c r="R14" s="48"/>
      <x:c r="S14" s="48" t="str">
        <x:f>IF($K14&gt;0,"不可正式排",IF(OR($N14="未評估",$N14="學習中"),"不可正式排",IF(AND($L14=0,$N14="可獨立配合"),"初步可獨立",IF(AND($L14&lt;=3,$M14&lt;=1/3,OR($N14="可獨立配合",$N14="可配合但需支援")),"初步可條件排","不可正式排"))))</x:f>
        <x:v>初步可獨立</x:v>
      </x:c>
      <x:c r="T14" s="53" t="str">
        <x:f>IF($C14="LJT-RPD-FINAL","固定短時支援 1 人／30 分鐘",IF($S14="初步可條件排",IF($G14="高複雜度","完整支援者 1:1（占 2 名額）","一般支援 1 名額"),"無"))</x:f>
        <x:v>無</x:v>
      </x:c>
      <x:c r="U14" s="53" t="str">
        <x:f>IF($J14&gt;0,"待確認共通技能門檻",IF($O14&lt;&gt;"已核定","待主管核定",IF(AND($G14="高複雜度",$P14&lt;&gt;"有效"),"資格未有效",$S14)))</x:f>
        <x:v>待確認共通技能門檻</x:v>
      </x:c>
      <x:c r="V14" t="str">
        <x:f>$A14&amp;"|"&amp;$C14</x:f>
        <x:v>1001|LJT-RPD</x:v>
      </x:c>
    </x:row>
    <x:row r="15">
      <x:c r="A15" s="37" t="str">
        <x:v>1001</x:v>
      </x:c>
      <x:c r="B15" s="37" t="str"/>
      <x:c r="C15" s="37" t="str">
        <x:v>LJT-RPD-FINAL</x:v>
      </x:c>
      <x:c r="D15" s="37" t="str">
        <x:v>補綴／自費</x:v>
      </x:c>
      <x:c r="E15" s="37" t="str">
        <x:v>RPD</x:v>
      </x:c>
      <x:c r="F15" s="37" t="str">
        <x:v>印最終模</x:v>
      </x:c>
      <x:c r="G15" s="37" t="str">
        <x:v>特殊階段</x:v>
      </x:c>
      <x:c r="H15" s="37" t="str">
        <x:v>LJT-PREP-RPD</x:v>
      </x:c>
      <x:c r="I15" s="48" t="n">
        <x:f>COUNTIFS('適配要求展開'!$A$7:$A$734,$A15,'適配要求展開'!$C$7:$C$734,$C15)</x:f>
        <x:v>4</x:v>
      </x:c>
      <x:c r="J15" s="48" t="n">
        <x:f>COUNTIFS('適配要求展開'!$A$7:$A$734,$A15,'適配要求展開'!$C$7:$C$734,$C15,'適配要求展開'!$I$7:$I$734,"待確認")</x:f>
        <x:v>3</x:v>
      </x:c>
      <x:c r="K15" s="48" t="n">
        <x:f>COUNTIFS('適配要求展開'!$A$7:$A$734,$A15,'適配要求展開'!$C$7:$C$734,$C15,'適配要求展開'!$N$7:$N$734,"不符合")</x:f>
        <x:v>0</x:v>
      </x:c>
      <x:c r="L15" s="48" t="n">
        <x:f>COUNTIFS('適配要求展開'!$A$7:$A$734,$A15,'適配要求展開'!$C$7:$C$734,$C15,'適配要求展開'!$L$7:$L$734,"Ø")</x:f>
        <x:v>0</x:v>
      </x:c>
      <x:c r="M15" s="51" t="n">
        <x:f>IF($I15=0,"n.a.",$L15/$I15)</x:f>
        <x:v>0</x:v>
      </x:c>
      <x:c r="N15" s="48" t="str">
        <x:f>_xlfn.XLOOKUP($A15&amp;"|李侑津醫師",'試行熟悉度'!$K$7:$K$20,'試行熟悉度'!$E$7:$E$20,"未評估",0)</x:f>
        <x:v>可獨立配合</x:v>
      </x:c>
      <x:c r="O15" s="48" t="str">
        <x:f>IF(OR(COUNTIFS('適配要求展開'!$A$7:$A$734,$A15,'適配要求展開'!$C$7:$C$734,$C15,'適配要求展開'!$M$7:$M$734,"&lt;&gt;已核定")&gt;0,_xlfn.XLOOKUP($A15&amp;"|李侑津醫師",'試行熟悉度'!$K$7:$K$20,'試行熟悉度'!$F$7:$F$20,"未建立",0)&lt;&gt;"已核定"),"待主管核定","已核定")</x:f>
        <x:v>待主管核定</x:v>
      </x:c>
      <x:c r="P15" s="48" t="str">
        <x:f>IF($C15="LJT-RPD-FINAL","支援者另判",IF($G15="高複雜度",_xlfn.XLOOKUP($A15&amp;"|"&amp;$H15,'資格有效性'!$L$7:$L$62,'資格有效性'!$E$7:$E$62,"未建立",0),"不需複評"))</x:f>
        <x:v>支援者另判</x:v>
      </x:c>
      <x:c r="Q15" s="48" t="n">
        <x:v>1</x:v>
      </x:c>
      <x:c r="R15" s="48" t="n">
        <x:v>30</x:v>
      </x:c>
      <x:c r="S15" s="48" t="str">
        <x:f>IF($K15&gt;0,"不可正式排",IF(OR($N15="未評估",$N15="學習中"),"不可正式排",IF(AND($L15=0,$N15="可獨立配合"),"初步可獨立",IF(AND($L15&lt;=3,$M15&lt;=1/3,OR($N15="可獨立配合",$N15="可配合但需支援")),"初步可條件排","不可正式排"))))</x:f>
        <x:v>初步可獨立</x:v>
      </x:c>
      <x:c r="T15" s="53" t="str">
        <x:f>IF($C15="LJT-RPD-FINAL","固定短時支援 1 人／30 分鐘",IF($S15="初步可條件排",IF($G15="高複雜度","完整支援者 1:1（占 2 名額）","一般支援 1 名額"),"無"))</x:f>
        <x:v>固定短時支援 1 人／30 分鐘</x:v>
      </x:c>
      <x:c r="U15" s="53" t="str">
        <x:f>IF($J15&gt;0,"待確認共通技能門檻",IF($O15&lt;&gt;"已核定","待主管核定",IF(AND($G15="高複雜度",$P15&lt;&gt;"有效"),"資格未有效",$S15)))</x:f>
        <x:v>待確認共通技能門檻</x:v>
      </x:c>
      <x:c r="V15" t="str">
        <x:f>$A15&amp;"|"&amp;$C15</x:f>
        <x:v>1001|LJT-RPD-FINAL</x:v>
      </x:c>
    </x:row>
    <x:row r="16">
      <x:c r="A16" s="37" t="str">
        <x:v>1001</x:v>
      </x:c>
      <x:c r="B16" s="37" t="str"/>
      <x:c r="C16" s="37" t="str">
        <x:v>LJT-AIRPOLISH</x:v>
      </x:c>
      <x:c r="D16" s="37" t="str">
        <x:v>補綴／自費</x:v>
      </x:c>
      <x:c r="E16" s="37" t="str">
        <x:v>噴砂美白</x:v>
      </x:c>
      <x:c r="F16" s="37" t="str">
        <x:v>一般</x:v>
      </x:c>
      <x:c r="G16" s="37" t="str">
        <x:v>一般</x:v>
      </x:c>
      <x:c r="H16" s="37" t="str">
        <x:v>LJT-PREP-AIRPOLISH</x:v>
      </x:c>
      <x:c r="I16" s="48" t="n">
        <x:f>COUNTIFS('適配要求展開'!$A$7:$A$734,$A16,'適配要求展開'!$C$7:$C$734,$C16)</x:f>
        <x:v>4</x:v>
      </x:c>
      <x:c r="J16" s="48" t="n">
        <x:f>COUNTIFS('適配要求展開'!$A$7:$A$734,$A16,'適配要求展開'!$C$7:$C$734,$C16,'適配要求展開'!$I$7:$I$734,"待確認")</x:f>
        <x:v>3</x:v>
      </x:c>
      <x:c r="K16" s="48" t="n">
        <x:f>COUNTIFS('適配要求展開'!$A$7:$A$734,$A16,'適配要求展開'!$C$7:$C$734,$C16,'適配要求展開'!$N$7:$N$734,"不符合")</x:f>
        <x:v>0</x:v>
      </x:c>
      <x:c r="L16" s="48" t="n">
        <x:f>COUNTIFS('適配要求展開'!$A$7:$A$734,$A16,'適配要求展開'!$C$7:$C$734,$C16,'適配要求展開'!$L$7:$L$734,"Ø")</x:f>
        <x:v>0</x:v>
      </x:c>
      <x:c r="M16" s="51" t="n">
        <x:f>IF($I16=0,"n.a.",$L16/$I16)</x:f>
        <x:v>0</x:v>
      </x:c>
      <x:c r="N16" s="48" t="str">
        <x:f>_xlfn.XLOOKUP($A16&amp;"|李侑津醫師",'試行熟悉度'!$K$7:$K$20,'試行熟悉度'!$E$7:$E$20,"未評估",0)</x:f>
        <x:v>可獨立配合</x:v>
      </x:c>
      <x:c r="O16" s="48" t="str">
        <x:f>IF(OR(COUNTIFS('適配要求展開'!$A$7:$A$734,$A16,'適配要求展開'!$C$7:$C$734,$C16,'適配要求展開'!$M$7:$M$734,"&lt;&gt;已核定")&gt;0,_xlfn.XLOOKUP($A16&amp;"|李侑津醫師",'試行熟悉度'!$K$7:$K$20,'試行熟悉度'!$F$7:$F$20,"未建立",0)&lt;&gt;"已核定"),"待主管核定","已核定")</x:f>
        <x:v>待主管核定</x:v>
      </x:c>
      <x:c r="P16" s="48" t="str">
        <x:f>IF($C16="LJT-RPD-FINAL","支援者另判",IF($G16="高複雜度",_xlfn.XLOOKUP($A16&amp;"|"&amp;$H16,'資格有效性'!$L$7:$L$62,'資格有效性'!$E$7:$E$62,"未建立",0),"不需複評"))</x:f>
        <x:v>不需複評</x:v>
      </x:c>
      <x:c r="Q16" s="48" t="n">
        <x:v>0</x:v>
      </x:c>
      <x:c r="R16" s="48"/>
      <x:c r="S16" s="48" t="str">
        <x:f>IF($K16&gt;0,"不可正式排",IF(OR($N16="未評估",$N16="學習中"),"不可正式排",IF(AND($L16=0,$N16="可獨立配合"),"初步可獨立",IF(AND($L16&lt;=3,$M16&lt;=1/3,OR($N16="可獨立配合",$N16="可配合但需支援")),"初步可條件排","不可正式排"))))</x:f>
        <x:v>初步可獨立</x:v>
      </x:c>
      <x:c r="T16" s="53" t="str">
        <x:f>IF($C16="LJT-RPD-FINAL","固定短時支援 1 人／30 分鐘",IF($S16="初步可條件排",IF($G16="高複雜度","完整支援者 1:1（占 2 名額）","一般支援 1 名額"),"無"))</x:f>
        <x:v>無</x:v>
      </x:c>
      <x:c r="U16" s="53" t="str">
        <x:f>IF($J16&gt;0,"待確認共通技能門檻",IF($O16&lt;&gt;"已核定","待主管核定",IF(AND($G16="高複雜度",$P16&lt;&gt;"有效"),"資格未有效",$S16)))</x:f>
        <x:v>待確認共通技能門檻</x:v>
      </x:c>
      <x:c r="V16" t="str">
        <x:f>$A16&amp;"|"&amp;$C16</x:f>
        <x:v>1001|LJT-AIRPOLISH</x:v>
      </x:c>
    </x:row>
    <x:row r="17">
      <x:c r="A17" s="37" t="str">
        <x:v>1001</x:v>
      </x:c>
      <x:c r="B17" s="37" t="str"/>
      <x:c r="C17" s="37" t="str">
        <x:v>LJT-PERIOSURG</x:v>
      </x:c>
      <x:c r="D17" s="37" t="str">
        <x:v>高複雜度</x:v>
      </x:c>
      <x:c r="E17" s="37" t="str">
        <x:v>牙周手術</x:v>
      </x:c>
      <x:c r="F17" s="37" t="str">
        <x:v>一般</x:v>
      </x:c>
      <x:c r="G17" s="37" t="str">
        <x:v>高複雜度</x:v>
      </x:c>
      <x:c r="H17" s="37" t="str">
        <x:v>LJT-PREP-PERIOSURG</x:v>
      </x:c>
      <x:c r="I17" s="48" t="n">
        <x:f>COUNTIFS('適配要求展開'!$A$7:$A$734,$A17,'適配要求展開'!$C$7:$C$734,$C17)</x:f>
        <x:v>4</x:v>
      </x:c>
      <x:c r="J17" s="48" t="n">
        <x:f>COUNTIFS('適配要求展開'!$A$7:$A$734,$A17,'適配要求展開'!$C$7:$C$734,$C17,'適配要求展開'!$I$7:$I$734,"待確認")</x:f>
        <x:v>3</x:v>
      </x:c>
      <x:c r="K17" s="48" t="n">
        <x:f>COUNTIFS('適配要求展開'!$A$7:$A$734,$A17,'適配要求展開'!$C$7:$C$734,$C17,'適配要求展開'!$N$7:$N$734,"不符合")</x:f>
        <x:v>0</x:v>
      </x:c>
      <x:c r="L17" s="48" t="n">
        <x:f>COUNTIFS('適配要求展開'!$A$7:$A$734,$A17,'適配要求展開'!$C$7:$C$734,$C17,'適配要求展開'!$L$7:$L$734,"Ø")</x:f>
        <x:v>0</x:v>
      </x:c>
      <x:c r="M17" s="51" t="n">
        <x:f>IF($I17=0,"n.a.",$L17/$I17)</x:f>
        <x:v>0</x:v>
      </x:c>
      <x:c r="N17" s="48" t="str">
        <x:f>_xlfn.XLOOKUP($A17&amp;"|李侑津醫師",'試行熟悉度'!$K$7:$K$20,'試行熟悉度'!$E$7:$E$20,"未評估",0)</x:f>
        <x:v>可獨立配合</x:v>
      </x:c>
      <x:c r="O17" s="48" t="str">
        <x:f>IF(OR(COUNTIFS('適配要求展開'!$A$7:$A$734,$A17,'適配要求展開'!$C$7:$C$734,$C17,'適配要求展開'!$M$7:$M$734,"&lt;&gt;已核定")&gt;0,_xlfn.XLOOKUP($A17&amp;"|李侑津醫師",'試行熟悉度'!$K$7:$K$20,'試行熟悉度'!$F$7:$F$20,"未建立",0)&lt;&gt;"已核定"),"待主管核定","已核定")</x:f>
        <x:v>待主管核定</x:v>
      </x:c>
      <x:c r="P17" s="48" t="str">
        <x:f>IF($C17="LJT-RPD-FINAL","支援者另判",IF($G17="高複雜度",_xlfn.XLOOKUP($A17&amp;"|"&amp;$H17,'資格有效性'!$L$7:$L$62,'資格有效性'!$E$7:$E$62,"未建立",0),"不需複評"))</x:f>
        <x:v>待主管核定</x:v>
      </x:c>
      <x:c r="Q17" s="48" t="n">
        <x:v>0</x:v>
      </x:c>
      <x:c r="R17" s="48"/>
      <x:c r="S17" s="48" t="str">
        <x:f>IF($K17&gt;0,"不可正式排",IF(OR($N17="未評估",$N17="學習中"),"不可正式排",IF(AND($L17=0,$N17="可獨立配合"),"初步可獨立",IF(AND($L17&lt;=3,$M17&lt;=1/3,OR($N17="可獨立配合",$N17="可配合但需支援")),"初步可條件排","不可正式排"))))</x:f>
        <x:v>初步可獨立</x:v>
      </x:c>
      <x:c r="T17" s="53" t="str">
        <x:f>IF($C17="LJT-RPD-FINAL","固定短時支援 1 人／30 分鐘",IF($S17="初步可條件排",IF($G17="高複雜度","完整支援者 1:1（占 2 名額）","一般支援 1 名額"),"無"))</x:f>
        <x:v>無</x:v>
      </x:c>
      <x:c r="U17" s="53" t="str">
        <x:f>IF($J17&gt;0,"待確認共通技能門檻",IF($O17&lt;&gt;"已核定","待主管核定",IF(AND($G17="高複雜度",$P17&lt;&gt;"有效"),"資格未有效",$S17)))</x:f>
        <x:v>待確認共通技能門檻</x:v>
      </x:c>
      <x:c r="V17" t="str">
        <x:f>$A17&amp;"|"&amp;$C17</x:f>
        <x:v>1001|LJT-PERIOSURG</x:v>
      </x:c>
    </x:row>
    <x:row r="18">
      <x:c r="A18" s="37" t="str">
        <x:v>1001</x:v>
      </x:c>
      <x:c r="B18" s="37" t="str"/>
      <x:c r="C18" s="37" t="str">
        <x:v>LJT-MICROENDO</x:v>
      </x:c>
      <x:c r="D18" s="37" t="str">
        <x:v>高複雜度</x:v>
      </x:c>
      <x:c r="E18" s="37" t="str">
        <x:v>顯微根管</x:v>
      </x:c>
      <x:c r="F18" s="37" t="str">
        <x:v>一般</x:v>
      </x:c>
      <x:c r="G18" s="37" t="str">
        <x:v>高複雜度</x:v>
      </x:c>
      <x:c r="H18" s="37" t="str">
        <x:v>LJT-PREP-MICROENDO</x:v>
      </x:c>
      <x:c r="I18" s="48" t="n">
        <x:f>COUNTIFS('適配要求展開'!$A$7:$A$734,$A18,'適配要求展開'!$C$7:$C$734,$C18)</x:f>
        <x:v>4</x:v>
      </x:c>
      <x:c r="J18" s="48" t="n">
        <x:f>COUNTIFS('適配要求展開'!$A$7:$A$734,$A18,'適配要求展開'!$C$7:$C$734,$C18,'適配要求展開'!$I$7:$I$734,"待確認")</x:f>
        <x:v>3</x:v>
      </x:c>
      <x:c r="K18" s="48" t="n">
        <x:f>COUNTIFS('適配要求展開'!$A$7:$A$734,$A18,'適配要求展開'!$C$7:$C$734,$C18,'適配要求展開'!$N$7:$N$734,"不符合")</x:f>
        <x:v>0</x:v>
      </x:c>
      <x:c r="L18" s="48" t="n">
        <x:f>COUNTIFS('適配要求展開'!$A$7:$A$734,$A18,'適配要求展開'!$C$7:$C$734,$C18,'適配要求展開'!$L$7:$L$734,"Ø")</x:f>
        <x:v>0</x:v>
      </x:c>
      <x:c r="M18" s="51" t="n">
        <x:f>IF($I18=0,"n.a.",$L18/$I18)</x:f>
        <x:v>0</x:v>
      </x:c>
      <x:c r="N18" s="48" t="str">
        <x:f>_xlfn.XLOOKUP($A18&amp;"|李侑津醫師",'試行熟悉度'!$K$7:$K$20,'試行熟悉度'!$E$7:$E$20,"未評估",0)</x:f>
        <x:v>可獨立配合</x:v>
      </x:c>
      <x:c r="O18" s="48" t="str">
        <x:f>IF(OR(COUNTIFS('適配要求展開'!$A$7:$A$734,$A18,'適配要求展開'!$C$7:$C$734,$C18,'適配要求展開'!$M$7:$M$734,"&lt;&gt;已核定")&gt;0,_xlfn.XLOOKUP($A18&amp;"|李侑津醫師",'試行熟悉度'!$K$7:$K$20,'試行熟悉度'!$F$7:$F$20,"未建立",0)&lt;&gt;"已核定"),"待主管核定","已核定")</x:f>
        <x:v>待主管核定</x:v>
      </x:c>
      <x:c r="P18" s="48" t="str">
        <x:f>IF($C18="LJT-RPD-FINAL","支援者另判",IF($G18="高複雜度",_xlfn.XLOOKUP($A18&amp;"|"&amp;$H18,'資格有效性'!$L$7:$L$62,'資格有效性'!$E$7:$E$62,"未建立",0),"不需複評"))</x:f>
        <x:v>待主管核定</x:v>
      </x:c>
      <x:c r="Q18" s="48" t="n">
        <x:v>0</x:v>
      </x:c>
      <x:c r="R18" s="48"/>
      <x:c r="S18" s="48" t="str">
        <x:f>IF($K18&gt;0,"不可正式排",IF(OR($N18="未評估",$N18="學習中"),"不可正式排",IF(AND($L18=0,$N18="可獨立配合"),"初步可獨立",IF(AND($L18&lt;=3,$M18&lt;=1/3,OR($N18="可獨立配合",$N18="可配合但需支援")),"初步可條件排","不可正式排"))))</x:f>
        <x:v>初步可獨立</x:v>
      </x:c>
      <x:c r="T18" s="53" t="str">
        <x:f>IF($C18="LJT-RPD-FINAL","固定短時支援 1 人／30 分鐘",IF($S18="初步可條件排",IF($G18="高複雜度","完整支援者 1:1（占 2 名額）","一般支援 1 名額"),"無"))</x:f>
        <x:v>無</x:v>
      </x:c>
      <x:c r="U18" s="53" t="str">
        <x:f>IF($J18&gt;0,"待確認共通技能門檻",IF($O18&lt;&gt;"已核定","待主管核定",IF(AND($G18="高複雜度",$P18&lt;&gt;"有效"),"資格未有效",$S18)))</x:f>
        <x:v>待確認共通技能門檻</x:v>
      </x:c>
      <x:c r="V18" t="str">
        <x:f>$A18&amp;"|"&amp;$C18</x:f>
        <x:v>1001|LJT-MICROENDO</x:v>
      </x:c>
    </x:row>
    <x:row r="19">
      <x:c r="A19" s="37" t="str">
        <x:v>1001</x:v>
      </x:c>
      <x:c r="B19" s="37" t="str"/>
      <x:c r="C19" s="37" t="str">
        <x:v>LJT-IMPLANT</x:v>
      </x:c>
      <x:c r="D19" s="37" t="str">
        <x:v>高複雜度</x:v>
      </x:c>
      <x:c r="E19" s="37" t="str">
        <x:v>植牙</x:v>
      </x:c>
      <x:c r="F19" s="37" t="str">
        <x:v>一般</x:v>
      </x:c>
      <x:c r="G19" s="37" t="str">
        <x:v>高複雜度</x:v>
      </x:c>
      <x:c r="H19" s="37" t="str">
        <x:v>LJT-PREP-IMPLANT</x:v>
      </x:c>
      <x:c r="I19" s="48" t="n">
        <x:f>COUNTIFS('適配要求展開'!$A$7:$A$734,$A19,'適配要求展開'!$C$7:$C$734,$C19)</x:f>
        <x:v>4</x:v>
      </x:c>
      <x:c r="J19" s="48" t="n">
        <x:f>COUNTIFS('適配要求展開'!$A$7:$A$734,$A19,'適配要求展開'!$C$7:$C$734,$C19,'適配要求展開'!$I$7:$I$734,"待確認")</x:f>
        <x:v>3</x:v>
      </x:c>
      <x:c r="K19" s="48" t="n">
        <x:f>COUNTIFS('適配要求展開'!$A$7:$A$734,$A19,'適配要求展開'!$C$7:$C$734,$C19,'適配要求展開'!$N$7:$N$734,"不符合")</x:f>
        <x:v>0</x:v>
      </x:c>
      <x:c r="L19" s="48" t="n">
        <x:f>COUNTIFS('適配要求展開'!$A$7:$A$734,$A19,'適配要求展開'!$C$7:$C$734,$C19,'適配要求展開'!$L$7:$L$734,"Ø")</x:f>
        <x:v>0</x:v>
      </x:c>
      <x:c r="M19" s="51" t="n">
        <x:f>IF($I19=0,"n.a.",$L19/$I19)</x:f>
        <x:v>0</x:v>
      </x:c>
      <x:c r="N19" s="48" t="str">
        <x:f>_xlfn.XLOOKUP($A19&amp;"|李侑津醫師",'試行熟悉度'!$K$7:$K$20,'試行熟悉度'!$E$7:$E$20,"未評估",0)</x:f>
        <x:v>可獨立配合</x:v>
      </x:c>
      <x:c r="O19" s="48" t="str">
        <x:f>IF(OR(COUNTIFS('適配要求展開'!$A$7:$A$734,$A19,'適配要求展開'!$C$7:$C$734,$C19,'適配要求展開'!$M$7:$M$734,"&lt;&gt;已核定")&gt;0,_xlfn.XLOOKUP($A19&amp;"|李侑津醫師",'試行熟悉度'!$K$7:$K$20,'試行熟悉度'!$F$7:$F$20,"未建立",0)&lt;&gt;"已核定"),"待主管核定","已核定")</x:f>
        <x:v>待主管核定</x:v>
      </x:c>
      <x:c r="P19" s="48" t="str">
        <x:f>IF($C19="LJT-RPD-FINAL","支援者另判",IF($G19="高複雜度",_xlfn.XLOOKUP($A19&amp;"|"&amp;$H19,'資格有效性'!$L$7:$L$62,'資格有效性'!$E$7:$E$62,"未建立",0),"不需複評"))</x:f>
        <x:v>待主管核定</x:v>
      </x:c>
      <x:c r="Q19" s="48" t="n">
        <x:v>0</x:v>
      </x:c>
      <x:c r="R19" s="48"/>
      <x:c r="S19" s="48" t="str">
        <x:f>IF($K19&gt;0,"不可正式排",IF(OR($N19="未評估",$N19="學習中"),"不可正式排",IF(AND($L19=0,$N19="可獨立配合"),"初步可獨立",IF(AND($L19&lt;=3,$M19&lt;=1/3,OR($N19="可獨立配合",$N19="可配合但需支援")),"初步可條件排","不可正式排"))))</x:f>
        <x:v>初步可獨立</x:v>
      </x:c>
      <x:c r="T19" s="53" t="str">
        <x:f>IF($C19="LJT-RPD-FINAL","固定短時支援 1 人／30 分鐘",IF($S19="初步可條件排",IF($G19="高複雜度","完整支援者 1:1（占 2 名額）","一般支援 1 名額"),"無"))</x:f>
        <x:v>無</x:v>
      </x:c>
      <x:c r="U19" s="53" t="str">
        <x:f>IF($J19&gt;0,"待確認共通技能門檻",IF($O19&lt;&gt;"已核定","待主管核定",IF(AND($G19="高複雜度",$P19&lt;&gt;"有效"),"資格未有效",$S19)))</x:f>
        <x:v>待確認共通技能門檻</x:v>
      </x:c>
      <x:c r="V19" t="str">
        <x:f>$A19&amp;"|"&amp;$C19</x:f>
        <x:v>1001|LJT-IMPLANT</x:v>
      </x:c>
    </x:row>
    <x:row r="20">
      <x:c r="A20" s="37" t="str">
        <x:v>1004</x:v>
      </x:c>
      <x:c r="B20" s="37" t="str"/>
      <x:c r="C20" s="37" t="str">
        <x:v>LJT-SCALING</x:v>
      </x:c>
      <x:c r="D20" s="37" t="str">
        <x:v>一般治療</x:v>
      </x:c>
      <x:c r="E20" s="37" t="str">
        <x:v>洗牙</x:v>
      </x:c>
      <x:c r="F20" s="37" t="str">
        <x:v>一般</x:v>
      </x:c>
      <x:c r="G20" s="37" t="str">
        <x:v>一般</x:v>
      </x:c>
      <x:c r="H20" s="37" t="str">
        <x:v>LJT-PREP-SCALING</x:v>
      </x:c>
      <x:c r="I20" s="48" t="n">
        <x:f>COUNTIFS('適配要求展開'!$A$7:$A$734,$A20,'適配要求展開'!$C$7:$C$734,$C20)</x:f>
        <x:v>4</x:v>
      </x:c>
      <x:c r="J20" s="48" t="n">
        <x:f>COUNTIFS('適配要求展開'!$A$7:$A$734,$A20,'適配要求展開'!$C$7:$C$734,$C20,'適配要求展開'!$I$7:$I$734,"待確認")</x:f>
        <x:v>3</x:v>
      </x:c>
      <x:c r="K20" s="48" t="n">
        <x:f>COUNTIFS('適配要求展開'!$A$7:$A$734,$A20,'適配要求展開'!$C$7:$C$734,$C20,'適配要求展開'!$N$7:$N$734,"不符合")</x:f>
        <x:v>0</x:v>
      </x:c>
      <x:c r="L20" s="48" t="n">
        <x:f>COUNTIFS('適配要求展開'!$A$7:$A$734,$A20,'適配要求展開'!$C$7:$C$734,$C20,'適配要求展開'!$L$7:$L$734,"Ø")</x:f>
        <x:v>0</x:v>
      </x:c>
      <x:c r="M20" s="51" t="n">
        <x:f>IF($I20=0,"n.a.",$L20/$I20)</x:f>
        <x:v>0</x:v>
      </x:c>
      <x:c r="N20" s="48" t="str">
        <x:f>_xlfn.XLOOKUP($A20&amp;"|李侑津醫師",'試行熟悉度'!$K$7:$K$20,'試行熟悉度'!$E$7:$E$20,"未評估",0)</x:f>
        <x:v>可獨立配合</x:v>
      </x:c>
      <x:c r="O20" s="48" t="str">
        <x:f>IF(OR(COUNTIFS('適配要求展開'!$A$7:$A$734,$A20,'適配要求展開'!$C$7:$C$734,$C20,'適配要求展開'!$M$7:$M$734,"&lt;&gt;已核定")&gt;0,_xlfn.XLOOKUP($A20&amp;"|李侑津醫師",'試行熟悉度'!$K$7:$K$20,'試行熟悉度'!$F$7:$F$20,"未建立",0)&lt;&gt;"已核定"),"待主管核定","已核定")</x:f>
        <x:v>待主管核定</x:v>
      </x:c>
      <x:c r="P20" s="48" t="str">
        <x:f>IF($C20="LJT-RPD-FINAL","支援者另判",IF($G20="高複雜度",_xlfn.XLOOKUP($A20&amp;"|"&amp;$H20,'資格有效性'!$L$7:$L$62,'資格有效性'!$E$7:$E$62,"未建立",0),"不需複評"))</x:f>
        <x:v>不需複評</x:v>
      </x:c>
      <x:c r="Q20" s="48" t="n">
        <x:v>0</x:v>
      </x:c>
      <x:c r="R20" s="48"/>
      <x:c r="S20" s="48" t="str">
        <x:f>IF($K20&gt;0,"不可正式排",IF(OR($N20="未評估",$N20="學習中"),"不可正式排",IF(AND($L20=0,$N20="可獨立配合"),"初步可獨立",IF(AND($L20&lt;=3,$M20&lt;=1/3,OR($N20="可獨立配合",$N20="可配合但需支援")),"初步可條件排","不可正式排"))))</x:f>
        <x:v>初步可獨立</x:v>
      </x:c>
      <x:c r="T20" s="53" t="str">
        <x:f>IF($C20="LJT-RPD-FINAL","固定短時支援 1 人／30 分鐘",IF($S20="初步可條件排",IF($G20="高複雜度","完整支援者 1:1（占 2 名額）","一般支援 1 名額"),"無"))</x:f>
        <x:v>無</x:v>
      </x:c>
      <x:c r="U20" s="53" t="str">
        <x:f>IF($J20&gt;0,"待確認共通技能門檻",IF($O20&lt;&gt;"已核定","待主管核定",IF(AND($G20="高複雜度",$P20&lt;&gt;"有效"),"資格未有效",$S20)))</x:f>
        <x:v>待確認共通技能門檻</x:v>
      </x:c>
      <x:c r="V20" t="str">
        <x:f>$A20&amp;"|"&amp;$C20</x:f>
        <x:v>1004|LJT-SCALING</x:v>
      </x:c>
    </x:row>
    <x:row r="21">
      <x:c r="A21" s="37" t="str">
        <x:v>1004</x:v>
      </x:c>
      <x:c r="B21" s="37" t="str"/>
      <x:c r="C21" s="37" t="str">
        <x:v>LJT-FILLING</x:v>
      </x:c>
      <x:c r="D21" s="37" t="str">
        <x:v>一般治療</x:v>
      </x:c>
      <x:c r="E21" s="37" t="str">
        <x:v>補牙</x:v>
      </x:c>
      <x:c r="F21" s="37" t="str">
        <x:v>一般</x:v>
      </x:c>
      <x:c r="G21" s="37" t="str">
        <x:v>一般</x:v>
      </x:c>
      <x:c r="H21" s="37" t="str">
        <x:v>LJT-PREP-FILLING</x:v>
      </x:c>
      <x:c r="I21" s="48" t="n">
        <x:f>COUNTIFS('適配要求展開'!$A$7:$A$734,$A21,'適配要求展開'!$C$7:$C$734,$C21)</x:f>
        <x:v>4</x:v>
      </x:c>
      <x:c r="J21" s="48" t="n">
        <x:f>COUNTIFS('適配要求展開'!$A$7:$A$734,$A21,'適配要求展開'!$C$7:$C$734,$C21,'適配要求展開'!$I$7:$I$734,"待確認")</x:f>
        <x:v>3</x:v>
      </x:c>
      <x:c r="K21" s="48" t="n">
        <x:f>COUNTIFS('適配要求展開'!$A$7:$A$734,$A21,'適配要求展開'!$C$7:$C$734,$C21,'適配要求展開'!$N$7:$N$734,"不符合")</x:f>
        <x:v>0</x:v>
      </x:c>
      <x:c r="L21" s="48" t="n">
        <x:f>COUNTIFS('適配要求展開'!$A$7:$A$734,$A21,'適配要求展開'!$C$7:$C$734,$C21,'適配要求展開'!$L$7:$L$734,"Ø")</x:f>
        <x:v>0</x:v>
      </x:c>
      <x:c r="M21" s="51" t="n">
        <x:f>IF($I21=0,"n.a.",$L21/$I21)</x:f>
        <x:v>0</x:v>
      </x:c>
      <x:c r="N21" s="48" t="str">
        <x:f>_xlfn.XLOOKUP($A21&amp;"|李侑津醫師",'試行熟悉度'!$K$7:$K$20,'試行熟悉度'!$E$7:$E$20,"未評估",0)</x:f>
        <x:v>可獨立配合</x:v>
      </x:c>
      <x:c r="O21" s="48" t="str">
        <x:f>IF(OR(COUNTIFS('適配要求展開'!$A$7:$A$734,$A21,'適配要求展開'!$C$7:$C$734,$C21,'適配要求展開'!$M$7:$M$734,"&lt;&gt;已核定")&gt;0,_xlfn.XLOOKUP($A21&amp;"|李侑津醫師",'試行熟悉度'!$K$7:$K$20,'試行熟悉度'!$F$7:$F$20,"未建立",0)&lt;&gt;"已核定"),"待主管核定","已核定")</x:f>
        <x:v>待主管核定</x:v>
      </x:c>
      <x:c r="P21" s="48" t="str">
        <x:f>IF($C21="LJT-RPD-FINAL","支援者另判",IF($G21="高複雜度",_xlfn.XLOOKUP($A21&amp;"|"&amp;$H21,'資格有效性'!$L$7:$L$62,'資格有效性'!$E$7:$E$62,"未建立",0),"不需複評"))</x:f>
        <x:v>不需複評</x:v>
      </x:c>
      <x:c r="Q21" s="48" t="n">
        <x:v>0</x:v>
      </x:c>
      <x:c r="R21" s="48"/>
      <x:c r="S21" s="48" t="str">
        <x:f>IF($K21&gt;0,"不可正式排",IF(OR($N21="未評估",$N21="學習中"),"不可正式排",IF(AND($L21=0,$N21="可獨立配合"),"初步可獨立",IF(AND($L21&lt;=3,$M21&lt;=1/3,OR($N21="可獨立配合",$N21="可配合但需支援")),"初步可條件排","不可正式排"))))</x:f>
        <x:v>初步可獨立</x:v>
      </x:c>
      <x:c r="T21" s="53" t="str">
        <x:f>IF($C21="LJT-RPD-FINAL","固定短時支援 1 人／30 分鐘",IF($S21="初步可條件排",IF($G21="高複雜度","完整支援者 1:1（占 2 名額）","一般支援 1 名額"),"無"))</x:f>
        <x:v>無</x:v>
      </x:c>
      <x:c r="U21" s="53" t="str">
        <x:f>IF($J21&gt;0,"待確認共通技能門檻",IF($O21&lt;&gt;"已核定","待主管核定",IF(AND($G21="高複雜度",$P21&lt;&gt;"有效"),"資格未有效",$S21)))</x:f>
        <x:v>待確認共通技能門檻</x:v>
      </x:c>
      <x:c r="V21" t="str">
        <x:f>$A21&amp;"|"&amp;$C21</x:f>
        <x:v>1004|LJT-FILLING</x:v>
      </x:c>
    </x:row>
    <x:row r="22">
      <x:c r="A22" s="37" t="str">
        <x:v>1004</x:v>
      </x:c>
      <x:c r="B22" s="37" t="str"/>
      <x:c r="C22" s="37" t="str">
        <x:v>LJT-PERIO</x:v>
      </x:c>
      <x:c r="D22" s="37" t="str">
        <x:v>一般治療</x:v>
      </x:c>
      <x:c r="E22" s="37" t="str">
        <x:v>牙周統合</x:v>
      </x:c>
      <x:c r="F22" s="37" t="str">
        <x:v>一般</x:v>
      </x:c>
      <x:c r="G22" s="37" t="str">
        <x:v>一般</x:v>
      </x:c>
      <x:c r="H22" s="37" t="str">
        <x:v>LJT-PREP-PERIO</x:v>
      </x:c>
      <x:c r="I22" s="48" t="n">
        <x:f>COUNTIFS('適配要求展開'!$A$7:$A$734,$A22,'適配要求展開'!$C$7:$C$734,$C22)</x:f>
        <x:v>4</x:v>
      </x:c>
      <x:c r="J22" s="48" t="n">
        <x:f>COUNTIFS('適配要求展開'!$A$7:$A$734,$A22,'適配要求展開'!$C$7:$C$734,$C22,'適配要求展開'!$I$7:$I$734,"待確認")</x:f>
        <x:v>3</x:v>
      </x:c>
      <x:c r="K22" s="48" t="n">
        <x:f>COUNTIFS('適配要求展開'!$A$7:$A$734,$A22,'適配要求展開'!$C$7:$C$734,$C22,'適配要求展開'!$N$7:$N$734,"不符合")</x:f>
        <x:v>0</x:v>
      </x:c>
      <x:c r="L22" s="48" t="n">
        <x:f>COUNTIFS('適配要求展開'!$A$7:$A$734,$A22,'適配要求展開'!$C$7:$C$734,$C22,'適配要求展開'!$L$7:$L$734,"Ø")</x:f>
        <x:v>0</x:v>
      </x:c>
      <x:c r="M22" s="51" t="n">
        <x:f>IF($I22=0,"n.a.",$L22/$I22)</x:f>
        <x:v>0</x:v>
      </x:c>
      <x:c r="N22" s="48" t="str">
        <x:f>_xlfn.XLOOKUP($A22&amp;"|李侑津醫師",'試行熟悉度'!$K$7:$K$20,'試行熟悉度'!$E$7:$E$20,"未評估",0)</x:f>
        <x:v>可獨立配合</x:v>
      </x:c>
      <x:c r="O22" s="48" t="str">
        <x:f>IF(OR(COUNTIFS('適配要求展開'!$A$7:$A$734,$A22,'適配要求展開'!$C$7:$C$734,$C22,'適配要求展開'!$M$7:$M$734,"&lt;&gt;已核定")&gt;0,_xlfn.XLOOKUP($A22&amp;"|李侑津醫師",'試行熟悉度'!$K$7:$K$20,'試行熟悉度'!$F$7:$F$20,"未建立",0)&lt;&gt;"已核定"),"待主管核定","已核定")</x:f>
        <x:v>待主管核定</x:v>
      </x:c>
      <x:c r="P22" s="48" t="str">
        <x:f>IF($C22="LJT-RPD-FINAL","支援者另判",IF($G22="高複雜度",_xlfn.XLOOKUP($A22&amp;"|"&amp;$H22,'資格有效性'!$L$7:$L$62,'資格有效性'!$E$7:$E$62,"未建立",0),"不需複評"))</x:f>
        <x:v>不需複評</x:v>
      </x:c>
      <x:c r="Q22" s="48" t="n">
        <x:v>0</x:v>
      </x:c>
      <x:c r="R22" s="48"/>
      <x:c r="S22" s="48" t="str">
        <x:f>IF($K22&gt;0,"不可正式排",IF(OR($N22="未評估",$N22="學習中"),"不可正式排",IF(AND($L22=0,$N22="可獨立配合"),"初步可獨立",IF(AND($L22&lt;=3,$M22&lt;=1/3,OR($N22="可獨立配合",$N22="可配合但需支援")),"初步可條件排","不可正式排"))))</x:f>
        <x:v>初步可獨立</x:v>
      </x:c>
      <x:c r="T22" s="53" t="str">
        <x:f>IF($C22="LJT-RPD-FINAL","固定短時支援 1 人／30 分鐘",IF($S22="初步可條件排",IF($G22="高複雜度","完整支援者 1:1（占 2 名額）","一般支援 1 名額"),"無"))</x:f>
        <x:v>無</x:v>
      </x:c>
      <x:c r="U22" s="53" t="str">
        <x:f>IF($J22&gt;0,"待確認共通技能門檻",IF($O22&lt;&gt;"已核定","待主管核定",IF(AND($G22="高複雜度",$P22&lt;&gt;"有效"),"資格未有效",$S22)))</x:f>
        <x:v>待確認共通技能門檻</x:v>
      </x:c>
      <x:c r="V22" t="str">
        <x:f>$A22&amp;"|"&amp;$C22</x:f>
        <x:v>1004|LJT-PERIO</x:v>
      </x:c>
    </x:row>
    <x:row r="23">
      <x:c r="A23" s="37" t="str">
        <x:v>1004</x:v>
      </x:c>
      <x:c r="B23" s="37" t="str"/>
      <x:c r="C23" s="37" t="str">
        <x:v>LJT-RCT</x:v>
      </x:c>
      <x:c r="D23" s="37" t="str">
        <x:v>一般治療</x:v>
      </x:c>
      <x:c r="E23" s="37" t="str">
        <x:v>一般根管治療</x:v>
      </x:c>
      <x:c r="F23" s="37" t="str">
        <x:v>一般</x:v>
      </x:c>
      <x:c r="G23" s="37" t="str">
        <x:v>一般</x:v>
      </x:c>
      <x:c r="H23" s="37" t="str">
        <x:v>LJT-PREP-RCT</x:v>
      </x:c>
      <x:c r="I23" s="48" t="n">
        <x:f>COUNTIFS('適配要求展開'!$A$7:$A$734,$A23,'適配要求展開'!$C$7:$C$734,$C23)</x:f>
        <x:v>4</x:v>
      </x:c>
      <x:c r="J23" s="48" t="n">
        <x:f>COUNTIFS('適配要求展開'!$A$7:$A$734,$A23,'適配要求展開'!$C$7:$C$734,$C23,'適配要求展開'!$I$7:$I$734,"待確認")</x:f>
        <x:v>3</x:v>
      </x:c>
      <x:c r="K23" s="48" t="n">
        <x:f>COUNTIFS('適配要求展開'!$A$7:$A$734,$A23,'適配要求展開'!$C$7:$C$734,$C23,'適配要求展開'!$N$7:$N$734,"不符合")</x:f>
        <x:v>0</x:v>
      </x:c>
      <x:c r="L23" s="48" t="n">
        <x:f>COUNTIFS('適配要求展開'!$A$7:$A$734,$A23,'適配要求展開'!$C$7:$C$734,$C23,'適配要求展開'!$L$7:$L$734,"Ø")</x:f>
        <x:v>0</x:v>
      </x:c>
      <x:c r="M23" s="51" t="n">
        <x:f>IF($I23=0,"n.a.",$L23/$I23)</x:f>
        <x:v>0</x:v>
      </x:c>
      <x:c r="N23" s="48" t="str">
        <x:f>_xlfn.XLOOKUP($A23&amp;"|李侑津醫師",'試行熟悉度'!$K$7:$K$20,'試行熟悉度'!$E$7:$E$20,"未評估",0)</x:f>
        <x:v>可獨立配合</x:v>
      </x:c>
      <x:c r="O23" s="48" t="str">
        <x:f>IF(OR(COUNTIFS('適配要求展開'!$A$7:$A$734,$A23,'適配要求展開'!$C$7:$C$734,$C23,'適配要求展開'!$M$7:$M$734,"&lt;&gt;已核定")&gt;0,_xlfn.XLOOKUP($A23&amp;"|李侑津醫師",'試行熟悉度'!$K$7:$K$20,'試行熟悉度'!$F$7:$F$20,"未建立",0)&lt;&gt;"已核定"),"待主管核定","已核定")</x:f>
        <x:v>待主管核定</x:v>
      </x:c>
      <x:c r="P23" s="48" t="str">
        <x:f>IF($C23="LJT-RPD-FINAL","支援者另判",IF($G23="高複雜度",_xlfn.XLOOKUP($A23&amp;"|"&amp;$H23,'資格有效性'!$L$7:$L$62,'資格有效性'!$E$7:$E$62,"未建立",0),"不需複評"))</x:f>
        <x:v>不需複評</x:v>
      </x:c>
      <x:c r="Q23" s="48" t="n">
        <x:v>0</x:v>
      </x:c>
      <x:c r="R23" s="48"/>
      <x:c r="S23" s="48" t="str">
        <x:f>IF($K23&gt;0,"不可正式排",IF(OR($N23="未評估",$N23="學習中"),"不可正式排",IF(AND($L23=0,$N23="可獨立配合"),"初步可獨立",IF(AND($L23&lt;=3,$M23&lt;=1/3,OR($N23="可獨立配合",$N23="可配合但需支援")),"初步可條件排","不可正式排"))))</x:f>
        <x:v>初步可獨立</x:v>
      </x:c>
      <x:c r="T23" s="53" t="str">
        <x:f>IF($C23="LJT-RPD-FINAL","固定短時支援 1 人／30 分鐘",IF($S23="初步可條件排",IF($G23="高複雜度","完整支援者 1:1（占 2 名額）","一般支援 1 名額"),"無"))</x:f>
        <x:v>無</x:v>
      </x:c>
      <x:c r="U23" s="53" t="str">
        <x:f>IF($J23&gt;0,"待確認共通技能門檻",IF($O23&lt;&gt;"已核定","待主管核定",IF(AND($G23="高複雜度",$P23&lt;&gt;"有效"),"資格未有效",$S23)))</x:f>
        <x:v>待確認共通技能門檻</x:v>
      </x:c>
      <x:c r="V23" t="str">
        <x:f>$A23&amp;"|"&amp;$C23</x:f>
        <x:v>1004|LJT-RCT</x:v>
      </x:c>
    </x:row>
    <x:row r="24">
      <x:c r="A24" s="37" t="str">
        <x:v>1004</x:v>
      </x:c>
      <x:c r="B24" s="37" t="str"/>
      <x:c r="C24" s="37" t="str">
        <x:v>LJT-EXTRACTION</x:v>
      </x:c>
      <x:c r="D24" s="37" t="str">
        <x:v>一般治療</x:v>
      </x:c>
      <x:c r="E24" s="37" t="str">
        <x:v>拔牙</x:v>
      </x:c>
      <x:c r="F24" s="37" t="str">
        <x:v>一般</x:v>
      </x:c>
      <x:c r="G24" s="37" t="str">
        <x:v>一般</x:v>
      </x:c>
      <x:c r="H24" s="37" t="str">
        <x:v>LJT-PREP-EXTRACTION</x:v>
      </x:c>
      <x:c r="I24" s="48" t="n">
        <x:f>COUNTIFS('適配要求展開'!$A$7:$A$734,$A24,'適配要求展開'!$C$7:$C$734,$C24)</x:f>
        <x:v>4</x:v>
      </x:c>
      <x:c r="J24" s="48" t="n">
        <x:f>COUNTIFS('適配要求展開'!$A$7:$A$734,$A24,'適配要求展開'!$C$7:$C$734,$C24,'適配要求展開'!$I$7:$I$734,"待確認")</x:f>
        <x:v>3</x:v>
      </x:c>
      <x:c r="K24" s="48" t="n">
        <x:f>COUNTIFS('適配要求展開'!$A$7:$A$734,$A24,'適配要求展開'!$C$7:$C$734,$C24,'適配要求展開'!$N$7:$N$734,"不符合")</x:f>
        <x:v>0</x:v>
      </x:c>
      <x:c r="L24" s="48" t="n">
        <x:f>COUNTIFS('適配要求展開'!$A$7:$A$734,$A24,'適配要求展開'!$C$7:$C$734,$C24,'適配要求展開'!$L$7:$L$734,"Ø")</x:f>
        <x:v>0</x:v>
      </x:c>
      <x:c r="M24" s="51" t="n">
        <x:f>IF($I24=0,"n.a.",$L24/$I24)</x:f>
        <x:v>0</x:v>
      </x:c>
      <x:c r="N24" s="48" t="str">
        <x:f>_xlfn.XLOOKUP($A24&amp;"|李侑津醫師",'試行熟悉度'!$K$7:$K$20,'試行熟悉度'!$E$7:$E$20,"未評估",0)</x:f>
        <x:v>可獨立配合</x:v>
      </x:c>
      <x:c r="O24" s="48" t="str">
        <x:f>IF(OR(COUNTIFS('適配要求展開'!$A$7:$A$734,$A24,'適配要求展開'!$C$7:$C$734,$C24,'適配要求展開'!$M$7:$M$734,"&lt;&gt;已核定")&gt;0,_xlfn.XLOOKUP($A24&amp;"|李侑津醫師",'試行熟悉度'!$K$7:$K$20,'試行熟悉度'!$F$7:$F$20,"未建立",0)&lt;&gt;"已核定"),"待主管核定","已核定")</x:f>
        <x:v>待主管核定</x:v>
      </x:c>
      <x:c r="P24" s="48" t="str">
        <x:f>IF($C24="LJT-RPD-FINAL","支援者另判",IF($G24="高複雜度",_xlfn.XLOOKUP($A24&amp;"|"&amp;$H24,'資格有效性'!$L$7:$L$62,'資格有效性'!$E$7:$E$62,"未建立",0),"不需複評"))</x:f>
        <x:v>不需複評</x:v>
      </x:c>
      <x:c r="Q24" s="48" t="n">
        <x:v>0</x:v>
      </x:c>
      <x:c r="R24" s="48"/>
      <x:c r="S24" s="48" t="str">
        <x:f>IF($K24&gt;0,"不可正式排",IF(OR($N24="未評估",$N24="學習中"),"不可正式排",IF(AND($L24=0,$N24="可獨立配合"),"初步可獨立",IF(AND($L24&lt;=3,$M24&lt;=1/3,OR($N24="可獨立配合",$N24="可配合但需支援")),"初步可條件排","不可正式排"))))</x:f>
        <x:v>初步可獨立</x:v>
      </x:c>
      <x:c r="T24" s="53" t="str">
        <x:f>IF($C24="LJT-RPD-FINAL","固定短時支援 1 人／30 分鐘",IF($S24="初步可條件排",IF($G24="高複雜度","完整支援者 1:1（占 2 名額）","一般支援 1 名額"),"無"))</x:f>
        <x:v>無</x:v>
      </x:c>
      <x:c r="U24" s="53" t="str">
        <x:f>IF($J24&gt;0,"待確認共通技能門檻",IF($O24&lt;&gt;"已核定","待主管核定",IF(AND($G24="高複雜度",$P24&lt;&gt;"有效"),"資格未有效",$S24)))</x:f>
        <x:v>待確認共通技能門檻</x:v>
      </x:c>
      <x:c r="V24" t="str">
        <x:f>$A24&amp;"|"&amp;$C24</x:f>
        <x:v>1004|LJT-EXTRACTION</x:v>
      </x:c>
    </x:row>
    <x:row r="25">
      <x:c r="A25" s="37" t="str">
        <x:v>1004</x:v>
      </x:c>
      <x:c r="B25" s="37" t="str"/>
      <x:c r="C25" s="37" t="str">
        <x:v>LJT-CROWNPOST</x:v>
      </x:c>
      <x:c r="D25" s="37" t="str">
        <x:v>一般治療</x:v>
      </x:c>
      <x:c r="E25" s="37" t="str">
        <x:v>拆 crown/post</x:v>
      </x:c>
      <x:c r="F25" s="37" t="str">
        <x:v>一般</x:v>
      </x:c>
      <x:c r="G25" s="37" t="str">
        <x:v>一般</x:v>
      </x:c>
      <x:c r="H25" s="37" t="str">
        <x:v>LJT-PREP-CROWNPOST</x:v>
      </x:c>
      <x:c r="I25" s="48" t="n">
        <x:f>COUNTIFS('適配要求展開'!$A$7:$A$734,$A25,'適配要求展開'!$C$7:$C$734,$C25)</x:f>
        <x:v>4</x:v>
      </x:c>
      <x:c r="J25" s="48" t="n">
        <x:f>COUNTIFS('適配要求展開'!$A$7:$A$734,$A25,'適配要求展開'!$C$7:$C$734,$C25,'適配要求展開'!$I$7:$I$734,"待確認")</x:f>
        <x:v>3</x:v>
      </x:c>
      <x:c r="K25" s="48" t="n">
        <x:f>COUNTIFS('適配要求展開'!$A$7:$A$734,$A25,'適配要求展開'!$C$7:$C$734,$C25,'適配要求展開'!$N$7:$N$734,"不符合")</x:f>
        <x:v>0</x:v>
      </x:c>
      <x:c r="L25" s="48" t="n">
        <x:f>COUNTIFS('適配要求展開'!$A$7:$A$734,$A25,'適配要求展開'!$C$7:$C$734,$C25,'適配要求展開'!$L$7:$L$734,"Ø")</x:f>
        <x:v>0</x:v>
      </x:c>
      <x:c r="M25" s="51" t="n">
        <x:f>IF($I25=0,"n.a.",$L25/$I25)</x:f>
        <x:v>0</x:v>
      </x:c>
      <x:c r="N25" s="48" t="str">
        <x:f>_xlfn.XLOOKUP($A25&amp;"|李侑津醫師",'試行熟悉度'!$K$7:$K$20,'試行熟悉度'!$E$7:$E$20,"未評估",0)</x:f>
        <x:v>可獨立配合</x:v>
      </x:c>
      <x:c r="O25" s="48" t="str">
        <x:f>IF(OR(COUNTIFS('適配要求展開'!$A$7:$A$734,$A25,'適配要求展開'!$C$7:$C$734,$C25,'適配要求展開'!$M$7:$M$734,"&lt;&gt;已核定")&gt;0,_xlfn.XLOOKUP($A25&amp;"|李侑津醫師",'試行熟悉度'!$K$7:$K$20,'試行熟悉度'!$F$7:$F$20,"未建立",0)&lt;&gt;"已核定"),"待主管核定","已核定")</x:f>
        <x:v>待主管核定</x:v>
      </x:c>
      <x:c r="P25" s="48" t="str">
        <x:f>IF($C25="LJT-RPD-FINAL","支援者另判",IF($G25="高複雜度",_xlfn.XLOOKUP($A25&amp;"|"&amp;$H25,'資格有效性'!$L$7:$L$62,'資格有效性'!$E$7:$E$62,"未建立",0),"不需複評"))</x:f>
        <x:v>不需複評</x:v>
      </x:c>
      <x:c r="Q25" s="48" t="n">
        <x:v>0</x:v>
      </x:c>
      <x:c r="R25" s="48"/>
      <x:c r="S25" s="48" t="str">
        <x:f>IF($K25&gt;0,"不可正式排",IF(OR($N25="未評估",$N25="學習中"),"不可正式排",IF(AND($L25=0,$N25="可獨立配合"),"初步可獨立",IF(AND($L25&lt;=3,$M25&lt;=1/3,OR($N25="可獨立配合",$N25="可配合但需支援")),"初步可條件排","不可正式排"))))</x:f>
        <x:v>初步可獨立</x:v>
      </x:c>
      <x:c r="T25" s="53" t="str">
        <x:f>IF($C25="LJT-RPD-FINAL","固定短時支援 1 人／30 分鐘",IF($S25="初步可條件排",IF($G25="高複雜度","完整支援者 1:1（占 2 名額）","一般支援 1 名額"),"無"))</x:f>
        <x:v>無</x:v>
      </x:c>
      <x:c r="U25" s="53" t="str">
        <x:f>IF($J25&gt;0,"待確認共通技能門檻",IF($O25&lt;&gt;"已核定","待主管核定",IF(AND($G25="高複雜度",$P25&lt;&gt;"有效"),"資格未有效",$S25)))</x:f>
        <x:v>待確認共通技能門檻</x:v>
      </x:c>
      <x:c r="V25" t="str">
        <x:f>$A25&amp;"|"&amp;$C25</x:f>
        <x:v>1004|LJT-CROWNPOST</x:v>
      </x:c>
    </x:row>
    <x:row r="26">
      <x:c r="A26" s="37" t="str">
        <x:v>1004</x:v>
      </x:c>
      <x:c r="B26" s="37" t="str"/>
      <x:c r="C26" s="37" t="str">
        <x:v>LJT-CROWN</x:v>
      </x:c>
      <x:c r="D26" s="37" t="str">
        <x:v>補綴／自費</x:v>
      </x:c>
      <x:c r="E26" s="37" t="str">
        <x:v>固定假牙</x:v>
      </x:c>
      <x:c r="F26" s="37" t="str">
        <x:v>一般</x:v>
      </x:c>
      <x:c r="G26" s="37" t="str">
        <x:v>一般</x:v>
      </x:c>
      <x:c r="H26" s="37" t="str">
        <x:v>LJT-PREP-CROWN</x:v>
      </x:c>
      <x:c r="I26" s="48" t="n">
        <x:f>COUNTIFS('適配要求展開'!$A$7:$A$734,$A26,'適配要求展開'!$C$7:$C$734,$C26)</x:f>
        <x:v>4</x:v>
      </x:c>
      <x:c r="J26" s="48" t="n">
        <x:f>COUNTIFS('適配要求展開'!$A$7:$A$734,$A26,'適配要求展開'!$C$7:$C$734,$C26,'適配要求展開'!$I$7:$I$734,"待確認")</x:f>
        <x:v>3</x:v>
      </x:c>
      <x:c r="K26" s="48" t="n">
        <x:f>COUNTIFS('適配要求展開'!$A$7:$A$734,$A26,'適配要求展開'!$C$7:$C$734,$C26,'適配要求展開'!$N$7:$N$734,"不符合")</x:f>
        <x:v>0</x:v>
      </x:c>
      <x:c r="L26" s="48" t="n">
        <x:f>COUNTIFS('適配要求展開'!$A$7:$A$734,$A26,'適配要求展開'!$C$7:$C$734,$C26,'適配要求展開'!$L$7:$L$734,"Ø")</x:f>
        <x:v>0</x:v>
      </x:c>
      <x:c r="M26" s="51" t="n">
        <x:f>IF($I26=0,"n.a.",$L26/$I26)</x:f>
        <x:v>0</x:v>
      </x:c>
      <x:c r="N26" s="48" t="str">
        <x:f>_xlfn.XLOOKUP($A26&amp;"|李侑津醫師",'試行熟悉度'!$K$7:$K$20,'試行熟悉度'!$E$7:$E$20,"未評估",0)</x:f>
        <x:v>可獨立配合</x:v>
      </x:c>
      <x:c r="O26" s="48" t="str">
        <x:f>IF(OR(COUNTIFS('適配要求展開'!$A$7:$A$734,$A26,'適配要求展開'!$C$7:$C$734,$C26,'適配要求展開'!$M$7:$M$734,"&lt;&gt;已核定")&gt;0,_xlfn.XLOOKUP($A26&amp;"|李侑津醫師",'試行熟悉度'!$K$7:$K$20,'試行熟悉度'!$F$7:$F$20,"未建立",0)&lt;&gt;"已核定"),"待主管核定","已核定")</x:f>
        <x:v>待主管核定</x:v>
      </x:c>
      <x:c r="P26" s="48" t="str">
        <x:f>IF($C26="LJT-RPD-FINAL","支援者另判",IF($G26="高複雜度",_xlfn.XLOOKUP($A26&amp;"|"&amp;$H26,'資格有效性'!$L$7:$L$62,'資格有效性'!$E$7:$E$62,"未建立",0),"不需複評"))</x:f>
        <x:v>不需複評</x:v>
      </x:c>
      <x:c r="Q26" s="48" t="n">
        <x:v>0</x:v>
      </x:c>
      <x:c r="R26" s="48"/>
      <x:c r="S26" s="48" t="str">
        <x:f>IF($K26&gt;0,"不可正式排",IF(OR($N26="未評估",$N26="學習中"),"不可正式排",IF(AND($L26=0,$N26="可獨立配合"),"初步可獨立",IF(AND($L26&lt;=3,$M26&lt;=1/3,OR($N26="可獨立配合",$N26="可配合但需支援")),"初步可條件排","不可正式排"))))</x:f>
        <x:v>初步可獨立</x:v>
      </x:c>
      <x:c r="T26" s="53" t="str">
        <x:f>IF($C26="LJT-RPD-FINAL","固定短時支援 1 人／30 分鐘",IF($S26="初步可條件排",IF($G26="高複雜度","完整支援者 1:1（占 2 名額）","一般支援 1 名額"),"無"))</x:f>
        <x:v>無</x:v>
      </x:c>
      <x:c r="U26" s="53" t="str">
        <x:f>IF($J26&gt;0,"待確認共通技能門檻",IF($O26&lt;&gt;"已核定","待主管核定",IF(AND($G26="高複雜度",$P26&lt;&gt;"有效"),"資格未有效",$S26)))</x:f>
        <x:v>待確認共通技能門檻</x:v>
      </x:c>
      <x:c r="V26" t="str">
        <x:f>$A26&amp;"|"&amp;$C26</x:f>
        <x:v>1004|LJT-CROWN</x:v>
      </x:c>
    </x:row>
    <x:row r="27">
      <x:c r="A27" s="37" t="str">
        <x:v>1004</x:v>
      </x:c>
      <x:c r="B27" s="37" t="str"/>
      <x:c r="C27" s="37" t="str">
        <x:v>LJT-RPD</x:v>
      </x:c>
      <x:c r="D27" s="37" t="str">
        <x:v>補綴／自費</x:v>
      </x:c>
      <x:c r="E27" s="37" t="str">
        <x:v>RPD</x:v>
      </x:c>
      <x:c r="F27" s="37" t="str">
        <x:v>一般步驟</x:v>
      </x:c>
      <x:c r="G27" s="37" t="str">
        <x:v>一般</x:v>
      </x:c>
      <x:c r="H27" s="37" t="str">
        <x:v>LJT-PREP-RPD</x:v>
      </x:c>
      <x:c r="I27" s="48" t="n">
        <x:f>COUNTIFS('適配要求展開'!$A$7:$A$734,$A27,'適配要求展開'!$C$7:$C$734,$C27)</x:f>
        <x:v>4</x:v>
      </x:c>
      <x:c r="J27" s="48" t="n">
        <x:f>COUNTIFS('適配要求展開'!$A$7:$A$734,$A27,'適配要求展開'!$C$7:$C$734,$C27,'適配要求展開'!$I$7:$I$734,"待確認")</x:f>
        <x:v>3</x:v>
      </x:c>
      <x:c r="K27" s="48" t="n">
        <x:f>COUNTIFS('適配要求展開'!$A$7:$A$734,$A27,'適配要求展開'!$C$7:$C$734,$C27,'適配要求展開'!$N$7:$N$734,"不符合")</x:f>
        <x:v>0</x:v>
      </x:c>
      <x:c r="L27" s="48" t="n">
        <x:f>COUNTIFS('適配要求展開'!$A$7:$A$734,$A27,'適配要求展開'!$C$7:$C$734,$C27,'適配要求展開'!$L$7:$L$734,"Ø")</x:f>
        <x:v>0</x:v>
      </x:c>
      <x:c r="M27" s="51" t="n">
        <x:f>IF($I27=0,"n.a.",$L27/$I27)</x:f>
        <x:v>0</x:v>
      </x:c>
      <x:c r="N27" s="48" t="str">
        <x:f>_xlfn.XLOOKUP($A27&amp;"|李侑津醫師",'試行熟悉度'!$K$7:$K$20,'試行熟悉度'!$E$7:$E$20,"未評估",0)</x:f>
        <x:v>可獨立配合</x:v>
      </x:c>
      <x:c r="O27" s="48" t="str">
        <x:f>IF(OR(COUNTIFS('適配要求展開'!$A$7:$A$734,$A27,'適配要求展開'!$C$7:$C$734,$C27,'適配要求展開'!$M$7:$M$734,"&lt;&gt;已核定")&gt;0,_xlfn.XLOOKUP($A27&amp;"|李侑津醫師",'試行熟悉度'!$K$7:$K$20,'試行熟悉度'!$F$7:$F$20,"未建立",0)&lt;&gt;"已核定"),"待主管核定","已核定")</x:f>
        <x:v>待主管核定</x:v>
      </x:c>
      <x:c r="P27" s="48" t="str">
        <x:f>IF($C27="LJT-RPD-FINAL","支援者另判",IF($G27="高複雜度",_xlfn.XLOOKUP($A27&amp;"|"&amp;$H27,'資格有效性'!$L$7:$L$62,'資格有效性'!$E$7:$E$62,"未建立",0),"不需複評"))</x:f>
        <x:v>不需複評</x:v>
      </x:c>
      <x:c r="Q27" s="48" t="n">
        <x:v>0</x:v>
      </x:c>
      <x:c r="R27" s="48"/>
      <x:c r="S27" s="48" t="str">
        <x:f>IF($K27&gt;0,"不可正式排",IF(OR($N27="未評估",$N27="學習中"),"不可正式排",IF(AND($L27=0,$N27="可獨立配合"),"初步可獨立",IF(AND($L27&lt;=3,$M27&lt;=1/3,OR($N27="可獨立配合",$N27="可配合但需支援")),"初步可條件排","不可正式排"))))</x:f>
        <x:v>初步可獨立</x:v>
      </x:c>
      <x:c r="T27" s="53" t="str">
        <x:f>IF($C27="LJT-RPD-FINAL","固定短時支援 1 人／30 分鐘",IF($S27="初步可條件排",IF($G27="高複雜度","完整支援者 1:1（占 2 名額）","一般支援 1 名額"),"無"))</x:f>
        <x:v>無</x:v>
      </x:c>
      <x:c r="U27" s="53" t="str">
        <x:f>IF($J27&gt;0,"待確認共通技能門檻",IF($O27&lt;&gt;"已核定","待主管核定",IF(AND($G27="高複雜度",$P27&lt;&gt;"有效"),"資格未有效",$S27)))</x:f>
        <x:v>待確認共通技能門檻</x:v>
      </x:c>
      <x:c r="V27" t="str">
        <x:f>$A27&amp;"|"&amp;$C27</x:f>
        <x:v>1004|LJT-RPD</x:v>
      </x:c>
    </x:row>
    <x:row r="28">
      <x:c r="A28" s="37" t="str">
        <x:v>1004</x:v>
      </x:c>
      <x:c r="B28" s="37" t="str"/>
      <x:c r="C28" s="37" t="str">
        <x:v>LJT-RPD-FINAL</x:v>
      </x:c>
      <x:c r="D28" s="37" t="str">
        <x:v>補綴／自費</x:v>
      </x:c>
      <x:c r="E28" s="37" t="str">
        <x:v>RPD</x:v>
      </x:c>
      <x:c r="F28" s="37" t="str">
        <x:v>印最終模</x:v>
      </x:c>
      <x:c r="G28" s="37" t="str">
        <x:v>特殊階段</x:v>
      </x:c>
      <x:c r="H28" s="37" t="str">
        <x:v>LJT-PREP-RPD</x:v>
      </x:c>
      <x:c r="I28" s="48" t="n">
        <x:f>COUNTIFS('適配要求展開'!$A$7:$A$734,$A28,'適配要求展開'!$C$7:$C$734,$C28)</x:f>
        <x:v>4</x:v>
      </x:c>
      <x:c r="J28" s="48" t="n">
        <x:f>COUNTIFS('適配要求展開'!$A$7:$A$734,$A28,'適配要求展開'!$C$7:$C$734,$C28,'適配要求展開'!$I$7:$I$734,"待確認")</x:f>
        <x:v>3</x:v>
      </x:c>
      <x:c r="K28" s="48" t="n">
        <x:f>COUNTIFS('適配要求展開'!$A$7:$A$734,$A28,'適配要求展開'!$C$7:$C$734,$C28,'適配要求展開'!$N$7:$N$734,"不符合")</x:f>
        <x:v>0</x:v>
      </x:c>
      <x:c r="L28" s="48" t="n">
        <x:f>COUNTIFS('適配要求展開'!$A$7:$A$734,$A28,'適配要求展開'!$C$7:$C$734,$C28,'適配要求展開'!$L$7:$L$734,"Ø")</x:f>
        <x:v>0</x:v>
      </x:c>
      <x:c r="M28" s="51" t="n">
        <x:f>IF($I28=0,"n.a.",$L28/$I28)</x:f>
        <x:v>0</x:v>
      </x:c>
      <x:c r="N28" s="48" t="str">
        <x:f>_xlfn.XLOOKUP($A28&amp;"|李侑津醫師",'試行熟悉度'!$K$7:$K$20,'試行熟悉度'!$E$7:$E$20,"未評估",0)</x:f>
        <x:v>可獨立配合</x:v>
      </x:c>
      <x:c r="O28" s="48" t="str">
        <x:f>IF(OR(COUNTIFS('適配要求展開'!$A$7:$A$734,$A28,'適配要求展開'!$C$7:$C$734,$C28,'適配要求展開'!$M$7:$M$734,"&lt;&gt;已核定")&gt;0,_xlfn.XLOOKUP($A28&amp;"|李侑津醫師",'試行熟悉度'!$K$7:$K$20,'試行熟悉度'!$F$7:$F$20,"未建立",0)&lt;&gt;"已核定"),"待主管核定","已核定")</x:f>
        <x:v>待主管核定</x:v>
      </x:c>
      <x:c r="P28" s="48" t="str">
        <x:f>IF($C28="LJT-RPD-FINAL","支援者另判",IF($G28="高複雜度",_xlfn.XLOOKUP($A28&amp;"|"&amp;$H28,'資格有效性'!$L$7:$L$62,'資格有效性'!$E$7:$E$62,"未建立",0),"不需複評"))</x:f>
        <x:v>支援者另判</x:v>
      </x:c>
      <x:c r="Q28" s="48" t="n">
        <x:v>1</x:v>
      </x:c>
      <x:c r="R28" s="48" t="n">
        <x:v>30</x:v>
      </x:c>
      <x:c r="S28" s="48" t="str">
        <x:f>IF($K28&gt;0,"不可正式排",IF(OR($N28="未評估",$N28="學習中"),"不可正式排",IF(AND($L28=0,$N28="可獨立配合"),"初步可獨立",IF(AND($L28&lt;=3,$M28&lt;=1/3,OR($N28="可獨立配合",$N28="可配合但需支援")),"初步可條件排","不可正式排"))))</x:f>
        <x:v>初步可獨立</x:v>
      </x:c>
      <x:c r="T28" s="53" t="str">
        <x:f>IF($C28="LJT-RPD-FINAL","固定短時支援 1 人／30 分鐘",IF($S28="初步可條件排",IF($G28="高複雜度","完整支援者 1:1（占 2 名額）","一般支援 1 名額"),"無"))</x:f>
        <x:v>固定短時支援 1 人／30 分鐘</x:v>
      </x:c>
      <x:c r="U28" s="53" t="str">
        <x:f>IF($J28&gt;0,"待確認共通技能門檻",IF($O28&lt;&gt;"已核定","待主管核定",IF(AND($G28="高複雜度",$P28&lt;&gt;"有效"),"資格未有效",$S28)))</x:f>
        <x:v>待確認共通技能門檻</x:v>
      </x:c>
      <x:c r="V28" t="str">
        <x:f>$A28&amp;"|"&amp;$C28</x:f>
        <x:v>1004|LJT-RPD-FINAL</x:v>
      </x:c>
    </x:row>
    <x:row r="29">
      <x:c r="A29" s="37" t="str">
        <x:v>1004</x:v>
      </x:c>
      <x:c r="B29" s="37" t="str"/>
      <x:c r="C29" s="37" t="str">
        <x:v>LJT-AIRPOLISH</x:v>
      </x:c>
      <x:c r="D29" s="37" t="str">
        <x:v>補綴／自費</x:v>
      </x:c>
      <x:c r="E29" s="37" t="str">
        <x:v>噴砂美白</x:v>
      </x:c>
      <x:c r="F29" s="37" t="str">
        <x:v>一般</x:v>
      </x:c>
      <x:c r="G29" s="37" t="str">
        <x:v>一般</x:v>
      </x:c>
      <x:c r="H29" s="37" t="str">
        <x:v>LJT-PREP-AIRPOLISH</x:v>
      </x:c>
      <x:c r="I29" s="48" t="n">
        <x:f>COUNTIFS('適配要求展開'!$A$7:$A$734,$A29,'適配要求展開'!$C$7:$C$734,$C29)</x:f>
        <x:v>4</x:v>
      </x:c>
      <x:c r="J29" s="48" t="n">
        <x:f>COUNTIFS('適配要求展開'!$A$7:$A$734,$A29,'適配要求展開'!$C$7:$C$734,$C29,'適配要求展開'!$I$7:$I$734,"待確認")</x:f>
        <x:v>3</x:v>
      </x:c>
      <x:c r="K29" s="48" t="n">
        <x:f>COUNTIFS('適配要求展開'!$A$7:$A$734,$A29,'適配要求展開'!$C$7:$C$734,$C29,'適配要求展開'!$N$7:$N$734,"不符合")</x:f>
        <x:v>0</x:v>
      </x:c>
      <x:c r="L29" s="48" t="n">
        <x:f>COUNTIFS('適配要求展開'!$A$7:$A$734,$A29,'適配要求展開'!$C$7:$C$734,$C29,'適配要求展開'!$L$7:$L$734,"Ø")</x:f>
        <x:v>0</x:v>
      </x:c>
      <x:c r="M29" s="51" t="n">
        <x:f>IF($I29=0,"n.a.",$L29/$I29)</x:f>
        <x:v>0</x:v>
      </x:c>
      <x:c r="N29" s="48" t="str">
        <x:f>_xlfn.XLOOKUP($A29&amp;"|李侑津醫師",'試行熟悉度'!$K$7:$K$20,'試行熟悉度'!$E$7:$E$20,"未評估",0)</x:f>
        <x:v>可獨立配合</x:v>
      </x:c>
      <x:c r="O29" s="48" t="str">
        <x:f>IF(OR(COUNTIFS('適配要求展開'!$A$7:$A$734,$A29,'適配要求展開'!$C$7:$C$734,$C29,'適配要求展開'!$M$7:$M$734,"&lt;&gt;已核定")&gt;0,_xlfn.XLOOKUP($A29&amp;"|李侑津醫師",'試行熟悉度'!$K$7:$K$20,'試行熟悉度'!$F$7:$F$20,"未建立",0)&lt;&gt;"已核定"),"待主管核定","已核定")</x:f>
        <x:v>待主管核定</x:v>
      </x:c>
      <x:c r="P29" s="48" t="str">
        <x:f>IF($C29="LJT-RPD-FINAL","支援者另判",IF($G29="高複雜度",_xlfn.XLOOKUP($A29&amp;"|"&amp;$H29,'資格有效性'!$L$7:$L$62,'資格有效性'!$E$7:$E$62,"未建立",0),"不需複評"))</x:f>
        <x:v>不需複評</x:v>
      </x:c>
      <x:c r="Q29" s="48" t="n">
        <x:v>0</x:v>
      </x:c>
      <x:c r="R29" s="48"/>
      <x:c r="S29" s="48" t="str">
        <x:f>IF($K29&gt;0,"不可正式排",IF(OR($N29="未評估",$N29="學習中"),"不可正式排",IF(AND($L29=0,$N29="可獨立配合"),"初步可獨立",IF(AND($L29&lt;=3,$M29&lt;=1/3,OR($N29="可獨立配合",$N29="可配合但需支援")),"初步可條件排","不可正式排"))))</x:f>
        <x:v>初步可獨立</x:v>
      </x:c>
      <x:c r="T29" s="53" t="str">
        <x:f>IF($C29="LJT-RPD-FINAL","固定短時支援 1 人／30 分鐘",IF($S29="初步可條件排",IF($G29="高複雜度","完整支援者 1:1（占 2 名額）","一般支援 1 名額"),"無"))</x:f>
        <x:v>無</x:v>
      </x:c>
      <x:c r="U29" s="53" t="str">
        <x:f>IF($J29&gt;0,"待確認共通技能門檻",IF($O29&lt;&gt;"已核定","待主管核定",IF(AND($G29="高複雜度",$P29&lt;&gt;"有效"),"資格未有效",$S29)))</x:f>
        <x:v>待確認共通技能門檻</x:v>
      </x:c>
      <x:c r="V29" t="str">
        <x:f>$A29&amp;"|"&amp;$C29</x:f>
        <x:v>1004|LJT-AIRPOLISH</x:v>
      </x:c>
    </x:row>
    <x:row r="30">
      <x:c r="A30" s="37" t="str">
        <x:v>1004</x:v>
      </x:c>
      <x:c r="B30" s="37" t="str"/>
      <x:c r="C30" s="37" t="str">
        <x:v>LJT-PERIOSURG</x:v>
      </x:c>
      <x:c r="D30" s="37" t="str">
        <x:v>高複雜度</x:v>
      </x:c>
      <x:c r="E30" s="37" t="str">
        <x:v>牙周手術</x:v>
      </x:c>
      <x:c r="F30" s="37" t="str">
        <x:v>一般</x:v>
      </x:c>
      <x:c r="G30" s="37" t="str">
        <x:v>高複雜度</x:v>
      </x:c>
      <x:c r="H30" s="37" t="str">
        <x:v>LJT-PREP-PERIOSURG</x:v>
      </x:c>
      <x:c r="I30" s="48" t="n">
        <x:f>COUNTIFS('適配要求展開'!$A$7:$A$734,$A30,'適配要求展開'!$C$7:$C$734,$C30)</x:f>
        <x:v>4</x:v>
      </x:c>
      <x:c r="J30" s="48" t="n">
        <x:f>COUNTIFS('適配要求展開'!$A$7:$A$734,$A30,'適配要求展開'!$C$7:$C$734,$C30,'適配要求展開'!$I$7:$I$734,"待確認")</x:f>
        <x:v>3</x:v>
      </x:c>
      <x:c r="K30" s="48" t="n">
        <x:f>COUNTIFS('適配要求展開'!$A$7:$A$734,$A30,'適配要求展開'!$C$7:$C$734,$C30,'適配要求展開'!$N$7:$N$734,"不符合")</x:f>
        <x:v>0</x:v>
      </x:c>
      <x:c r="L30" s="48" t="n">
        <x:f>COUNTIFS('適配要求展開'!$A$7:$A$734,$A30,'適配要求展開'!$C$7:$C$734,$C30,'適配要求展開'!$L$7:$L$734,"Ø")</x:f>
        <x:v>0</x:v>
      </x:c>
      <x:c r="M30" s="51" t="n">
        <x:f>IF($I30=0,"n.a.",$L30/$I30)</x:f>
        <x:v>0</x:v>
      </x:c>
      <x:c r="N30" s="48" t="str">
        <x:f>_xlfn.XLOOKUP($A30&amp;"|李侑津醫師",'試行熟悉度'!$K$7:$K$20,'試行熟悉度'!$E$7:$E$20,"未評估",0)</x:f>
        <x:v>可獨立配合</x:v>
      </x:c>
      <x:c r="O30" s="48" t="str">
        <x:f>IF(OR(COUNTIFS('適配要求展開'!$A$7:$A$734,$A30,'適配要求展開'!$C$7:$C$734,$C30,'適配要求展開'!$M$7:$M$734,"&lt;&gt;已核定")&gt;0,_xlfn.XLOOKUP($A30&amp;"|李侑津醫師",'試行熟悉度'!$K$7:$K$20,'試行熟悉度'!$F$7:$F$20,"未建立",0)&lt;&gt;"已核定"),"待主管核定","已核定")</x:f>
        <x:v>待主管核定</x:v>
      </x:c>
      <x:c r="P30" s="48" t="str">
        <x:f>IF($C30="LJT-RPD-FINAL","支援者另判",IF($G30="高複雜度",_xlfn.XLOOKUP($A30&amp;"|"&amp;$H30,'資格有效性'!$L$7:$L$62,'資格有效性'!$E$7:$E$62,"未建立",0),"不需複評"))</x:f>
        <x:v>待主管核定</x:v>
      </x:c>
      <x:c r="Q30" s="48" t="n">
        <x:v>0</x:v>
      </x:c>
      <x:c r="R30" s="48"/>
      <x:c r="S30" s="48" t="str">
        <x:f>IF($K30&gt;0,"不可正式排",IF(OR($N30="未評估",$N30="學習中"),"不可正式排",IF(AND($L30=0,$N30="可獨立配合"),"初步可獨立",IF(AND($L30&lt;=3,$M30&lt;=1/3,OR($N30="可獨立配合",$N30="可配合但需支援")),"初步可條件排","不可正式排"))))</x:f>
        <x:v>初步可獨立</x:v>
      </x:c>
      <x:c r="T30" s="53" t="str">
        <x:f>IF($C30="LJT-RPD-FINAL","固定短時支援 1 人／30 分鐘",IF($S30="初步可條件排",IF($G30="高複雜度","完整支援者 1:1（占 2 名額）","一般支援 1 名額"),"無"))</x:f>
        <x:v>無</x:v>
      </x:c>
      <x:c r="U30" s="53" t="str">
        <x:f>IF($J30&gt;0,"待確認共通技能門檻",IF($O30&lt;&gt;"已核定","待主管核定",IF(AND($G30="高複雜度",$P30&lt;&gt;"有效"),"資格未有效",$S30)))</x:f>
        <x:v>待確認共通技能門檻</x:v>
      </x:c>
      <x:c r="V30" t="str">
        <x:f>$A30&amp;"|"&amp;$C30</x:f>
        <x:v>1004|LJT-PERIOSURG</x:v>
      </x:c>
    </x:row>
    <x:row r="31">
      <x:c r="A31" s="37" t="str">
        <x:v>1004</x:v>
      </x:c>
      <x:c r="B31" s="37" t="str"/>
      <x:c r="C31" s="37" t="str">
        <x:v>LJT-MICROENDO</x:v>
      </x:c>
      <x:c r="D31" s="37" t="str">
        <x:v>高複雜度</x:v>
      </x:c>
      <x:c r="E31" s="37" t="str">
        <x:v>顯微根管</x:v>
      </x:c>
      <x:c r="F31" s="37" t="str">
        <x:v>一般</x:v>
      </x:c>
      <x:c r="G31" s="37" t="str">
        <x:v>高複雜度</x:v>
      </x:c>
      <x:c r="H31" s="37" t="str">
        <x:v>LJT-PREP-MICROENDO</x:v>
      </x:c>
      <x:c r="I31" s="48" t="n">
        <x:f>COUNTIFS('適配要求展開'!$A$7:$A$734,$A31,'適配要求展開'!$C$7:$C$734,$C31)</x:f>
        <x:v>4</x:v>
      </x:c>
      <x:c r="J31" s="48" t="n">
        <x:f>COUNTIFS('適配要求展開'!$A$7:$A$734,$A31,'適配要求展開'!$C$7:$C$734,$C31,'適配要求展開'!$I$7:$I$734,"待確認")</x:f>
        <x:v>3</x:v>
      </x:c>
      <x:c r="K31" s="48" t="n">
        <x:f>COUNTIFS('適配要求展開'!$A$7:$A$734,$A31,'適配要求展開'!$C$7:$C$734,$C31,'適配要求展開'!$N$7:$N$734,"不符合")</x:f>
        <x:v>0</x:v>
      </x:c>
      <x:c r="L31" s="48" t="n">
        <x:f>COUNTIFS('適配要求展開'!$A$7:$A$734,$A31,'適配要求展開'!$C$7:$C$734,$C31,'適配要求展開'!$L$7:$L$734,"Ø")</x:f>
        <x:v>0</x:v>
      </x:c>
      <x:c r="M31" s="51" t="n">
        <x:f>IF($I31=0,"n.a.",$L31/$I31)</x:f>
        <x:v>0</x:v>
      </x:c>
      <x:c r="N31" s="48" t="str">
        <x:f>_xlfn.XLOOKUP($A31&amp;"|李侑津醫師",'試行熟悉度'!$K$7:$K$20,'試行熟悉度'!$E$7:$E$20,"未評估",0)</x:f>
        <x:v>可獨立配合</x:v>
      </x:c>
      <x:c r="O31" s="48" t="str">
        <x:f>IF(OR(COUNTIFS('適配要求展開'!$A$7:$A$734,$A31,'適配要求展開'!$C$7:$C$734,$C31,'適配要求展開'!$M$7:$M$734,"&lt;&gt;已核定")&gt;0,_xlfn.XLOOKUP($A31&amp;"|李侑津醫師",'試行熟悉度'!$K$7:$K$20,'試行熟悉度'!$F$7:$F$20,"未建立",0)&lt;&gt;"已核定"),"待主管核定","已核定")</x:f>
        <x:v>待主管核定</x:v>
      </x:c>
      <x:c r="P31" s="48" t="str">
        <x:f>IF($C31="LJT-RPD-FINAL","支援者另判",IF($G31="高複雜度",_xlfn.XLOOKUP($A31&amp;"|"&amp;$H31,'資格有效性'!$L$7:$L$62,'資格有效性'!$E$7:$E$62,"未建立",0),"不需複評"))</x:f>
        <x:v>待主管核定</x:v>
      </x:c>
      <x:c r="Q31" s="48" t="n">
        <x:v>0</x:v>
      </x:c>
      <x:c r="R31" s="48"/>
      <x:c r="S31" s="48" t="str">
        <x:f>IF($K31&gt;0,"不可正式排",IF(OR($N31="未評估",$N31="學習中"),"不可正式排",IF(AND($L31=0,$N31="可獨立配合"),"初步可獨立",IF(AND($L31&lt;=3,$M31&lt;=1/3,OR($N31="可獨立配合",$N31="可配合但需支援")),"初步可條件排","不可正式排"))))</x:f>
        <x:v>初步可獨立</x:v>
      </x:c>
      <x:c r="T31" s="53" t="str">
        <x:f>IF($C31="LJT-RPD-FINAL","固定短時支援 1 人／30 分鐘",IF($S31="初步可條件排",IF($G31="高複雜度","完整支援者 1:1（占 2 名額）","一般支援 1 名額"),"無"))</x:f>
        <x:v>無</x:v>
      </x:c>
      <x:c r="U31" s="53" t="str">
        <x:f>IF($J31&gt;0,"待確認共通技能門檻",IF($O31&lt;&gt;"已核定","待主管核定",IF(AND($G31="高複雜度",$P31&lt;&gt;"有效"),"資格未有效",$S31)))</x:f>
        <x:v>待確認共通技能門檻</x:v>
      </x:c>
      <x:c r="V31" t="str">
        <x:f>$A31&amp;"|"&amp;$C31</x:f>
        <x:v>1004|LJT-MICROENDO</x:v>
      </x:c>
    </x:row>
    <x:row r="32">
      <x:c r="A32" s="37" t="str">
        <x:v>1004</x:v>
      </x:c>
      <x:c r="B32" s="37" t="str"/>
      <x:c r="C32" s="37" t="str">
        <x:v>LJT-IMPLANT</x:v>
      </x:c>
      <x:c r="D32" s="37" t="str">
        <x:v>高複雜度</x:v>
      </x:c>
      <x:c r="E32" s="37" t="str">
        <x:v>植牙</x:v>
      </x:c>
      <x:c r="F32" s="37" t="str">
        <x:v>一般</x:v>
      </x:c>
      <x:c r="G32" s="37" t="str">
        <x:v>高複雜度</x:v>
      </x:c>
      <x:c r="H32" s="37" t="str">
        <x:v>LJT-PREP-IMPLANT</x:v>
      </x:c>
      <x:c r="I32" s="48" t="n">
        <x:f>COUNTIFS('適配要求展開'!$A$7:$A$734,$A32,'適配要求展開'!$C$7:$C$734,$C32)</x:f>
        <x:v>4</x:v>
      </x:c>
      <x:c r="J32" s="48" t="n">
        <x:f>COUNTIFS('適配要求展開'!$A$7:$A$734,$A32,'適配要求展開'!$C$7:$C$734,$C32,'適配要求展開'!$I$7:$I$734,"待確認")</x:f>
        <x:v>3</x:v>
      </x:c>
      <x:c r="K32" s="48" t="n">
        <x:f>COUNTIFS('適配要求展開'!$A$7:$A$734,$A32,'適配要求展開'!$C$7:$C$734,$C32,'適配要求展開'!$N$7:$N$734,"不符合")</x:f>
        <x:v>0</x:v>
      </x:c>
      <x:c r="L32" s="48" t="n">
        <x:f>COUNTIFS('適配要求展開'!$A$7:$A$734,$A32,'適配要求展開'!$C$7:$C$734,$C32,'適配要求展開'!$L$7:$L$734,"Ø")</x:f>
        <x:v>0</x:v>
      </x:c>
      <x:c r="M32" s="51" t="n">
        <x:f>IF($I32=0,"n.a.",$L32/$I32)</x:f>
        <x:v>0</x:v>
      </x:c>
      <x:c r="N32" s="48" t="str">
        <x:f>_xlfn.XLOOKUP($A32&amp;"|李侑津醫師",'試行熟悉度'!$K$7:$K$20,'試行熟悉度'!$E$7:$E$20,"未評估",0)</x:f>
        <x:v>可獨立配合</x:v>
      </x:c>
      <x:c r="O32" s="48" t="str">
        <x:f>IF(OR(COUNTIFS('適配要求展開'!$A$7:$A$734,$A32,'適配要求展開'!$C$7:$C$734,$C32,'適配要求展開'!$M$7:$M$734,"&lt;&gt;已核定")&gt;0,_xlfn.XLOOKUP($A32&amp;"|李侑津醫師",'試行熟悉度'!$K$7:$K$20,'試行熟悉度'!$F$7:$F$20,"未建立",0)&lt;&gt;"已核定"),"待主管核定","已核定")</x:f>
        <x:v>待主管核定</x:v>
      </x:c>
      <x:c r="P32" s="48" t="str">
        <x:f>IF($C32="LJT-RPD-FINAL","支援者另判",IF($G32="高複雜度",_xlfn.XLOOKUP($A32&amp;"|"&amp;$H32,'資格有效性'!$L$7:$L$62,'資格有效性'!$E$7:$E$62,"未建立",0),"不需複評"))</x:f>
        <x:v>待主管核定</x:v>
      </x:c>
      <x:c r="Q32" s="48" t="n">
        <x:v>0</x:v>
      </x:c>
      <x:c r="R32" s="48"/>
      <x:c r="S32" s="48" t="str">
        <x:f>IF($K32&gt;0,"不可正式排",IF(OR($N32="未評估",$N32="學習中"),"不可正式排",IF(AND($L32=0,$N32="可獨立配合"),"初步可獨立",IF(AND($L32&lt;=3,$M32&lt;=1/3,OR($N32="可獨立配合",$N32="可配合但需支援")),"初步可條件排","不可正式排"))))</x:f>
        <x:v>初步可獨立</x:v>
      </x:c>
      <x:c r="T32" s="53" t="str">
        <x:f>IF($C32="LJT-RPD-FINAL","固定短時支援 1 人／30 分鐘",IF($S32="初步可條件排",IF($G32="高複雜度","完整支援者 1:1（占 2 名額）","一般支援 1 名額"),"無"))</x:f>
        <x:v>無</x:v>
      </x:c>
      <x:c r="U32" s="53" t="str">
        <x:f>IF($J32&gt;0,"待確認共通技能門檻",IF($O32&lt;&gt;"已核定","待主管核定",IF(AND($G32="高複雜度",$P32&lt;&gt;"有效"),"資格未有效",$S32)))</x:f>
        <x:v>待確認共通技能門檻</x:v>
      </x:c>
      <x:c r="V32" t="str">
        <x:f>$A32&amp;"|"&amp;$C32</x:f>
        <x:v>1004|LJT-IMPLANT</x:v>
      </x:c>
    </x:row>
    <x:row r="33">
      <x:c r="A33" s="37" t="str">
        <x:v>1013</x:v>
      </x:c>
      <x:c r="B33" s="37" t="str"/>
      <x:c r="C33" s="37" t="str">
        <x:v>LJT-SCALING</x:v>
      </x:c>
      <x:c r="D33" s="37" t="str">
        <x:v>一般治療</x:v>
      </x:c>
      <x:c r="E33" s="37" t="str">
        <x:v>洗牙</x:v>
      </x:c>
      <x:c r="F33" s="37" t="str">
        <x:v>一般</x:v>
      </x:c>
      <x:c r="G33" s="37" t="str">
        <x:v>一般</x:v>
      </x:c>
      <x:c r="H33" s="37" t="str">
        <x:v>LJT-PREP-SCALING</x:v>
      </x:c>
      <x:c r="I33" s="48" t="n">
        <x:f>COUNTIFS('適配要求展開'!$A$7:$A$734,$A33,'適配要求展開'!$C$7:$C$734,$C33)</x:f>
        <x:v>4</x:v>
      </x:c>
      <x:c r="J33" s="48" t="n">
        <x:f>COUNTIFS('適配要求展開'!$A$7:$A$734,$A33,'適配要求展開'!$C$7:$C$734,$C33,'適配要求展開'!$I$7:$I$734,"待確認")</x:f>
        <x:v>3</x:v>
      </x:c>
      <x:c r="K33" s="48" t="n">
        <x:f>COUNTIFS('適配要求展開'!$A$7:$A$734,$A33,'適配要求展開'!$C$7:$C$734,$C33,'適配要求展開'!$N$7:$N$734,"不符合")</x:f>
        <x:v>0</x:v>
      </x:c>
      <x:c r="L33" s="48" t="n">
        <x:f>COUNTIFS('適配要求展開'!$A$7:$A$734,$A33,'適配要求展開'!$C$7:$C$734,$C33,'適配要求展開'!$L$7:$L$734,"Ø")</x:f>
        <x:v>0</x:v>
      </x:c>
      <x:c r="M33" s="51" t="n">
        <x:f>IF($I33=0,"n.a.",$L33/$I33)</x:f>
        <x:v>0</x:v>
      </x:c>
      <x:c r="N33" s="48" t="str">
        <x:f>_xlfn.XLOOKUP($A33&amp;"|李侑津醫師",'試行熟悉度'!$K$7:$K$20,'試行熟悉度'!$E$7:$E$20,"未評估",0)</x:f>
        <x:v>可獨立配合</x:v>
      </x:c>
      <x:c r="O33" s="48" t="str">
        <x:f>IF(OR(COUNTIFS('適配要求展開'!$A$7:$A$734,$A33,'適配要求展開'!$C$7:$C$734,$C33,'適配要求展開'!$M$7:$M$734,"&lt;&gt;已核定")&gt;0,_xlfn.XLOOKUP($A33&amp;"|李侑津醫師",'試行熟悉度'!$K$7:$K$20,'試行熟悉度'!$F$7:$F$20,"未建立",0)&lt;&gt;"已核定"),"待主管核定","已核定")</x:f>
        <x:v>待主管核定</x:v>
      </x:c>
      <x:c r="P33" s="48" t="str">
        <x:f>IF($C33="LJT-RPD-FINAL","支援者另判",IF($G33="高複雜度",_xlfn.XLOOKUP($A33&amp;"|"&amp;$H33,'資格有效性'!$L$7:$L$62,'資格有效性'!$E$7:$E$62,"未建立",0),"不需複評"))</x:f>
        <x:v>不需複評</x:v>
      </x:c>
      <x:c r="Q33" s="48" t="n">
        <x:v>0</x:v>
      </x:c>
      <x:c r="R33" s="48"/>
      <x:c r="S33" s="48" t="str">
        <x:f>IF($K33&gt;0,"不可正式排",IF(OR($N33="未評估",$N33="學習中"),"不可正式排",IF(AND($L33=0,$N33="可獨立配合"),"初步可獨立",IF(AND($L33&lt;=3,$M33&lt;=1/3,OR($N33="可獨立配合",$N33="可配合但需支援")),"初步可條件排","不可正式排"))))</x:f>
        <x:v>初步可獨立</x:v>
      </x:c>
      <x:c r="T33" s="53" t="str">
        <x:f>IF($C33="LJT-RPD-FINAL","固定短時支援 1 人／30 分鐘",IF($S33="初步可條件排",IF($G33="高複雜度","完整支援者 1:1（占 2 名額）","一般支援 1 名額"),"無"))</x:f>
        <x:v>無</x:v>
      </x:c>
      <x:c r="U33" s="53" t="str">
        <x:f>IF($J33&gt;0,"待確認共通技能門檻",IF($O33&lt;&gt;"已核定","待主管核定",IF(AND($G33="高複雜度",$P33&lt;&gt;"有效"),"資格未有效",$S33)))</x:f>
        <x:v>待確認共通技能門檻</x:v>
      </x:c>
      <x:c r="V33" t="str">
        <x:f>$A33&amp;"|"&amp;$C33</x:f>
        <x:v>1013|LJT-SCALING</x:v>
      </x:c>
    </x:row>
    <x:row r="34">
      <x:c r="A34" s="37" t="str">
        <x:v>1013</x:v>
      </x:c>
      <x:c r="B34" s="37" t="str"/>
      <x:c r="C34" s="37" t="str">
        <x:v>LJT-FILLING</x:v>
      </x:c>
      <x:c r="D34" s="37" t="str">
        <x:v>一般治療</x:v>
      </x:c>
      <x:c r="E34" s="37" t="str">
        <x:v>補牙</x:v>
      </x:c>
      <x:c r="F34" s="37" t="str">
        <x:v>一般</x:v>
      </x:c>
      <x:c r="G34" s="37" t="str">
        <x:v>一般</x:v>
      </x:c>
      <x:c r="H34" s="37" t="str">
        <x:v>LJT-PREP-FILLING</x:v>
      </x:c>
      <x:c r="I34" s="48" t="n">
        <x:f>COUNTIFS('適配要求展開'!$A$7:$A$734,$A34,'適配要求展開'!$C$7:$C$734,$C34)</x:f>
        <x:v>4</x:v>
      </x:c>
      <x:c r="J34" s="48" t="n">
        <x:f>COUNTIFS('適配要求展開'!$A$7:$A$734,$A34,'適配要求展開'!$C$7:$C$734,$C34,'適配要求展開'!$I$7:$I$734,"待確認")</x:f>
        <x:v>3</x:v>
      </x:c>
      <x:c r="K34" s="48" t="n">
        <x:f>COUNTIFS('適配要求展開'!$A$7:$A$734,$A34,'適配要求展開'!$C$7:$C$734,$C34,'適配要求展開'!$N$7:$N$734,"不符合")</x:f>
        <x:v>0</x:v>
      </x:c>
      <x:c r="L34" s="48" t="n">
        <x:f>COUNTIFS('適配要求展開'!$A$7:$A$734,$A34,'適配要求展開'!$C$7:$C$734,$C34,'適配要求展開'!$L$7:$L$734,"Ø")</x:f>
        <x:v>0</x:v>
      </x:c>
      <x:c r="M34" s="51" t="n">
        <x:f>IF($I34=0,"n.a.",$L34/$I34)</x:f>
        <x:v>0</x:v>
      </x:c>
      <x:c r="N34" s="48" t="str">
        <x:f>_xlfn.XLOOKUP($A34&amp;"|李侑津醫師",'試行熟悉度'!$K$7:$K$20,'試行熟悉度'!$E$7:$E$20,"未評估",0)</x:f>
        <x:v>可獨立配合</x:v>
      </x:c>
      <x:c r="O34" s="48" t="str">
        <x:f>IF(OR(COUNTIFS('適配要求展開'!$A$7:$A$734,$A34,'適配要求展開'!$C$7:$C$734,$C34,'適配要求展開'!$M$7:$M$734,"&lt;&gt;已核定")&gt;0,_xlfn.XLOOKUP($A34&amp;"|李侑津醫師",'試行熟悉度'!$K$7:$K$20,'試行熟悉度'!$F$7:$F$20,"未建立",0)&lt;&gt;"已核定"),"待主管核定","已核定")</x:f>
        <x:v>待主管核定</x:v>
      </x:c>
      <x:c r="P34" s="48" t="str">
        <x:f>IF($C34="LJT-RPD-FINAL","支援者另判",IF($G34="高複雜度",_xlfn.XLOOKUP($A34&amp;"|"&amp;$H34,'資格有效性'!$L$7:$L$62,'資格有效性'!$E$7:$E$62,"未建立",0),"不需複評"))</x:f>
        <x:v>不需複評</x:v>
      </x:c>
      <x:c r="Q34" s="48" t="n">
        <x:v>0</x:v>
      </x:c>
      <x:c r="R34" s="48"/>
      <x:c r="S34" s="48" t="str">
        <x:f>IF($K34&gt;0,"不可正式排",IF(OR($N34="未評估",$N34="學習中"),"不可正式排",IF(AND($L34=0,$N34="可獨立配合"),"初步可獨立",IF(AND($L34&lt;=3,$M34&lt;=1/3,OR($N34="可獨立配合",$N34="可配合但需支援")),"初步可條件排","不可正式排"))))</x:f>
        <x:v>初步可獨立</x:v>
      </x:c>
      <x:c r="T34" s="53" t="str">
        <x:f>IF($C34="LJT-RPD-FINAL","固定短時支援 1 人／30 分鐘",IF($S34="初步可條件排",IF($G34="高複雜度","完整支援者 1:1（占 2 名額）","一般支援 1 名額"),"無"))</x:f>
        <x:v>無</x:v>
      </x:c>
      <x:c r="U34" s="53" t="str">
        <x:f>IF($J34&gt;0,"待確認共通技能門檻",IF($O34&lt;&gt;"已核定","待主管核定",IF(AND($G34="高複雜度",$P34&lt;&gt;"有效"),"資格未有效",$S34)))</x:f>
        <x:v>待確認共通技能門檻</x:v>
      </x:c>
      <x:c r="V34" t="str">
        <x:f>$A34&amp;"|"&amp;$C34</x:f>
        <x:v>1013|LJT-FILLING</x:v>
      </x:c>
    </x:row>
    <x:row r="35">
      <x:c r="A35" s="37" t="str">
        <x:v>1013</x:v>
      </x:c>
      <x:c r="B35" s="37" t="str"/>
      <x:c r="C35" s="37" t="str">
        <x:v>LJT-PERIO</x:v>
      </x:c>
      <x:c r="D35" s="37" t="str">
        <x:v>一般治療</x:v>
      </x:c>
      <x:c r="E35" s="37" t="str">
        <x:v>牙周統合</x:v>
      </x:c>
      <x:c r="F35" s="37" t="str">
        <x:v>一般</x:v>
      </x:c>
      <x:c r="G35" s="37" t="str">
        <x:v>一般</x:v>
      </x:c>
      <x:c r="H35" s="37" t="str">
        <x:v>LJT-PREP-PERIO</x:v>
      </x:c>
      <x:c r="I35" s="48" t="n">
        <x:f>COUNTIFS('適配要求展開'!$A$7:$A$734,$A35,'適配要求展開'!$C$7:$C$734,$C35)</x:f>
        <x:v>4</x:v>
      </x:c>
      <x:c r="J35" s="48" t="n">
        <x:f>COUNTIFS('適配要求展開'!$A$7:$A$734,$A35,'適配要求展開'!$C$7:$C$734,$C35,'適配要求展開'!$I$7:$I$734,"待確認")</x:f>
        <x:v>3</x:v>
      </x:c>
      <x:c r="K35" s="48" t="n">
        <x:f>COUNTIFS('適配要求展開'!$A$7:$A$734,$A35,'適配要求展開'!$C$7:$C$734,$C35,'適配要求展開'!$N$7:$N$734,"不符合")</x:f>
        <x:v>0</x:v>
      </x:c>
      <x:c r="L35" s="48" t="n">
        <x:f>COUNTIFS('適配要求展開'!$A$7:$A$734,$A35,'適配要求展開'!$C$7:$C$734,$C35,'適配要求展開'!$L$7:$L$734,"Ø")</x:f>
        <x:v>0</x:v>
      </x:c>
      <x:c r="M35" s="51" t="n">
        <x:f>IF($I35=0,"n.a.",$L35/$I35)</x:f>
        <x:v>0</x:v>
      </x:c>
      <x:c r="N35" s="48" t="str">
        <x:f>_xlfn.XLOOKUP($A35&amp;"|李侑津醫師",'試行熟悉度'!$K$7:$K$20,'試行熟悉度'!$E$7:$E$20,"未評估",0)</x:f>
        <x:v>可獨立配合</x:v>
      </x:c>
      <x:c r="O35" s="48" t="str">
        <x:f>IF(OR(COUNTIFS('適配要求展開'!$A$7:$A$734,$A35,'適配要求展開'!$C$7:$C$734,$C35,'適配要求展開'!$M$7:$M$734,"&lt;&gt;已核定")&gt;0,_xlfn.XLOOKUP($A35&amp;"|李侑津醫師",'試行熟悉度'!$K$7:$K$20,'試行熟悉度'!$F$7:$F$20,"未建立",0)&lt;&gt;"已核定"),"待主管核定","已核定")</x:f>
        <x:v>待主管核定</x:v>
      </x:c>
      <x:c r="P35" s="48" t="str">
        <x:f>IF($C35="LJT-RPD-FINAL","支援者另判",IF($G35="高複雜度",_xlfn.XLOOKUP($A35&amp;"|"&amp;$H35,'資格有效性'!$L$7:$L$62,'資格有效性'!$E$7:$E$62,"未建立",0),"不需複評"))</x:f>
        <x:v>不需複評</x:v>
      </x:c>
      <x:c r="Q35" s="48" t="n">
        <x:v>0</x:v>
      </x:c>
      <x:c r="R35" s="48"/>
      <x:c r="S35" s="48" t="str">
        <x:f>IF($K35&gt;0,"不可正式排",IF(OR($N35="未評估",$N35="學習中"),"不可正式排",IF(AND($L35=0,$N35="可獨立配合"),"初步可獨立",IF(AND($L35&lt;=3,$M35&lt;=1/3,OR($N35="可獨立配合",$N35="可配合但需支援")),"初步可條件排","不可正式排"))))</x:f>
        <x:v>初步可獨立</x:v>
      </x:c>
      <x:c r="T35" s="53" t="str">
        <x:f>IF($C35="LJT-RPD-FINAL","固定短時支援 1 人／30 分鐘",IF($S35="初步可條件排",IF($G35="高複雜度","完整支援者 1:1（占 2 名額）","一般支援 1 名額"),"無"))</x:f>
        <x:v>無</x:v>
      </x:c>
      <x:c r="U35" s="53" t="str">
        <x:f>IF($J35&gt;0,"待確認共通技能門檻",IF($O35&lt;&gt;"已核定","待主管核定",IF(AND($G35="高複雜度",$P35&lt;&gt;"有效"),"資格未有效",$S35)))</x:f>
        <x:v>待確認共通技能門檻</x:v>
      </x:c>
      <x:c r="V35" t="str">
        <x:f>$A35&amp;"|"&amp;$C35</x:f>
        <x:v>1013|LJT-PERIO</x:v>
      </x:c>
    </x:row>
    <x:row r="36">
      <x:c r="A36" s="37" t="str">
        <x:v>1013</x:v>
      </x:c>
      <x:c r="B36" s="37" t="str"/>
      <x:c r="C36" s="37" t="str">
        <x:v>LJT-RCT</x:v>
      </x:c>
      <x:c r="D36" s="37" t="str">
        <x:v>一般治療</x:v>
      </x:c>
      <x:c r="E36" s="37" t="str">
        <x:v>一般根管治療</x:v>
      </x:c>
      <x:c r="F36" s="37" t="str">
        <x:v>一般</x:v>
      </x:c>
      <x:c r="G36" s="37" t="str">
        <x:v>一般</x:v>
      </x:c>
      <x:c r="H36" s="37" t="str">
        <x:v>LJT-PREP-RCT</x:v>
      </x:c>
      <x:c r="I36" s="48" t="n">
        <x:f>COUNTIFS('適配要求展開'!$A$7:$A$734,$A36,'適配要求展開'!$C$7:$C$734,$C36)</x:f>
        <x:v>4</x:v>
      </x:c>
      <x:c r="J36" s="48" t="n">
        <x:f>COUNTIFS('適配要求展開'!$A$7:$A$734,$A36,'適配要求展開'!$C$7:$C$734,$C36,'適配要求展開'!$I$7:$I$734,"待確認")</x:f>
        <x:v>3</x:v>
      </x:c>
      <x:c r="K36" s="48" t="n">
        <x:f>COUNTIFS('適配要求展開'!$A$7:$A$734,$A36,'適配要求展開'!$C$7:$C$734,$C36,'適配要求展開'!$N$7:$N$734,"不符合")</x:f>
        <x:v>0</x:v>
      </x:c>
      <x:c r="L36" s="48" t="n">
        <x:f>COUNTIFS('適配要求展開'!$A$7:$A$734,$A36,'適配要求展開'!$C$7:$C$734,$C36,'適配要求展開'!$L$7:$L$734,"Ø")</x:f>
        <x:v>0</x:v>
      </x:c>
      <x:c r="M36" s="51" t="n">
        <x:f>IF($I36=0,"n.a.",$L36/$I36)</x:f>
        <x:v>0</x:v>
      </x:c>
      <x:c r="N36" s="48" t="str">
        <x:f>_xlfn.XLOOKUP($A36&amp;"|李侑津醫師",'試行熟悉度'!$K$7:$K$20,'試行熟悉度'!$E$7:$E$20,"未評估",0)</x:f>
        <x:v>可獨立配合</x:v>
      </x:c>
      <x:c r="O36" s="48" t="str">
        <x:f>IF(OR(COUNTIFS('適配要求展開'!$A$7:$A$734,$A36,'適配要求展開'!$C$7:$C$734,$C36,'適配要求展開'!$M$7:$M$734,"&lt;&gt;已核定")&gt;0,_xlfn.XLOOKUP($A36&amp;"|李侑津醫師",'試行熟悉度'!$K$7:$K$20,'試行熟悉度'!$F$7:$F$20,"未建立",0)&lt;&gt;"已核定"),"待主管核定","已核定")</x:f>
        <x:v>待主管核定</x:v>
      </x:c>
      <x:c r="P36" s="48" t="str">
        <x:f>IF($C36="LJT-RPD-FINAL","支援者另判",IF($G36="高複雜度",_xlfn.XLOOKUP($A36&amp;"|"&amp;$H36,'資格有效性'!$L$7:$L$62,'資格有效性'!$E$7:$E$62,"未建立",0),"不需複評"))</x:f>
        <x:v>不需複評</x:v>
      </x:c>
      <x:c r="Q36" s="48" t="n">
        <x:v>0</x:v>
      </x:c>
      <x:c r="R36" s="48"/>
      <x:c r="S36" s="48" t="str">
        <x:f>IF($K36&gt;0,"不可正式排",IF(OR($N36="未評估",$N36="學習中"),"不可正式排",IF(AND($L36=0,$N36="可獨立配合"),"初步可獨立",IF(AND($L36&lt;=3,$M36&lt;=1/3,OR($N36="可獨立配合",$N36="可配合但需支援")),"初步可條件排","不可正式排"))))</x:f>
        <x:v>初步可獨立</x:v>
      </x:c>
      <x:c r="T36" s="53" t="str">
        <x:f>IF($C36="LJT-RPD-FINAL","固定短時支援 1 人／30 分鐘",IF($S36="初步可條件排",IF($G36="高複雜度","完整支援者 1:1（占 2 名額）","一般支援 1 名額"),"無"))</x:f>
        <x:v>無</x:v>
      </x:c>
      <x:c r="U36" s="53" t="str">
        <x:f>IF($J36&gt;0,"待確認共通技能門檻",IF($O36&lt;&gt;"已核定","待主管核定",IF(AND($G36="高複雜度",$P36&lt;&gt;"有效"),"資格未有效",$S36)))</x:f>
        <x:v>待確認共通技能門檻</x:v>
      </x:c>
      <x:c r="V36" t="str">
        <x:f>$A36&amp;"|"&amp;$C36</x:f>
        <x:v>1013|LJT-RCT</x:v>
      </x:c>
    </x:row>
    <x:row r="37">
      <x:c r="A37" s="37" t="str">
        <x:v>1013</x:v>
      </x:c>
      <x:c r="B37" s="37" t="str"/>
      <x:c r="C37" s="37" t="str">
        <x:v>LJT-EXTRACTION</x:v>
      </x:c>
      <x:c r="D37" s="37" t="str">
        <x:v>一般治療</x:v>
      </x:c>
      <x:c r="E37" s="37" t="str">
        <x:v>拔牙</x:v>
      </x:c>
      <x:c r="F37" s="37" t="str">
        <x:v>一般</x:v>
      </x:c>
      <x:c r="G37" s="37" t="str">
        <x:v>一般</x:v>
      </x:c>
      <x:c r="H37" s="37" t="str">
        <x:v>LJT-PREP-EXTRACTION</x:v>
      </x:c>
      <x:c r="I37" s="48" t="n">
        <x:f>COUNTIFS('適配要求展開'!$A$7:$A$734,$A37,'適配要求展開'!$C$7:$C$734,$C37)</x:f>
        <x:v>4</x:v>
      </x:c>
      <x:c r="J37" s="48" t="n">
        <x:f>COUNTIFS('適配要求展開'!$A$7:$A$734,$A37,'適配要求展開'!$C$7:$C$734,$C37,'適配要求展開'!$I$7:$I$734,"待確認")</x:f>
        <x:v>3</x:v>
      </x:c>
      <x:c r="K37" s="48" t="n">
        <x:f>COUNTIFS('適配要求展開'!$A$7:$A$734,$A37,'適配要求展開'!$C$7:$C$734,$C37,'適配要求展開'!$N$7:$N$734,"不符合")</x:f>
        <x:v>0</x:v>
      </x:c>
      <x:c r="L37" s="48" t="n">
        <x:f>COUNTIFS('適配要求展開'!$A$7:$A$734,$A37,'適配要求展開'!$C$7:$C$734,$C37,'適配要求展開'!$L$7:$L$734,"Ø")</x:f>
        <x:v>0</x:v>
      </x:c>
      <x:c r="M37" s="51" t="n">
        <x:f>IF($I37=0,"n.a.",$L37/$I37)</x:f>
        <x:v>0</x:v>
      </x:c>
      <x:c r="N37" s="48" t="str">
        <x:f>_xlfn.XLOOKUP($A37&amp;"|李侑津醫師",'試行熟悉度'!$K$7:$K$20,'試行熟悉度'!$E$7:$E$20,"未評估",0)</x:f>
        <x:v>可獨立配合</x:v>
      </x:c>
      <x:c r="O37" s="48" t="str">
        <x:f>IF(OR(COUNTIFS('適配要求展開'!$A$7:$A$734,$A37,'適配要求展開'!$C$7:$C$734,$C37,'適配要求展開'!$M$7:$M$734,"&lt;&gt;已核定")&gt;0,_xlfn.XLOOKUP($A37&amp;"|李侑津醫師",'試行熟悉度'!$K$7:$K$20,'試行熟悉度'!$F$7:$F$20,"未建立",0)&lt;&gt;"已核定"),"待主管核定","已核定")</x:f>
        <x:v>待主管核定</x:v>
      </x:c>
      <x:c r="P37" s="48" t="str">
        <x:f>IF($C37="LJT-RPD-FINAL","支援者另判",IF($G37="高複雜度",_xlfn.XLOOKUP($A37&amp;"|"&amp;$H37,'資格有效性'!$L$7:$L$62,'資格有效性'!$E$7:$E$62,"未建立",0),"不需複評"))</x:f>
        <x:v>不需複評</x:v>
      </x:c>
      <x:c r="Q37" s="48" t="n">
        <x:v>0</x:v>
      </x:c>
      <x:c r="R37" s="48"/>
      <x:c r="S37" s="48" t="str">
        <x:f>IF($K37&gt;0,"不可正式排",IF(OR($N37="未評估",$N37="學習中"),"不可正式排",IF(AND($L37=0,$N37="可獨立配合"),"初步可獨立",IF(AND($L37&lt;=3,$M37&lt;=1/3,OR($N37="可獨立配合",$N37="可配合但需支援")),"初步可條件排","不可正式排"))))</x:f>
        <x:v>初步可獨立</x:v>
      </x:c>
      <x:c r="T37" s="53" t="str">
        <x:f>IF($C37="LJT-RPD-FINAL","固定短時支援 1 人／30 分鐘",IF($S37="初步可條件排",IF($G37="高複雜度","完整支援者 1:1（占 2 名額）","一般支援 1 名額"),"無"))</x:f>
        <x:v>無</x:v>
      </x:c>
      <x:c r="U37" s="53" t="str">
        <x:f>IF($J37&gt;0,"待確認共通技能門檻",IF($O37&lt;&gt;"已核定","待主管核定",IF(AND($G37="高複雜度",$P37&lt;&gt;"有效"),"資格未有效",$S37)))</x:f>
        <x:v>待確認共通技能門檻</x:v>
      </x:c>
      <x:c r="V37" t="str">
        <x:f>$A37&amp;"|"&amp;$C37</x:f>
        <x:v>1013|LJT-EXTRACTION</x:v>
      </x:c>
    </x:row>
    <x:row r="38">
      <x:c r="A38" s="37" t="str">
        <x:v>1013</x:v>
      </x:c>
      <x:c r="B38" s="37" t="str"/>
      <x:c r="C38" s="37" t="str">
        <x:v>LJT-CROWNPOST</x:v>
      </x:c>
      <x:c r="D38" s="37" t="str">
        <x:v>一般治療</x:v>
      </x:c>
      <x:c r="E38" s="37" t="str">
        <x:v>拆 crown/post</x:v>
      </x:c>
      <x:c r="F38" s="37" t="str">
        <x:v>一般</x:v>
      </x:c>
      <x:c r="G38" s="37" t="str">
        <x:v>一般</x:v>
      </x:c>
      <x:c r="H38" s="37" t="str">
        <x:v>LJT-PREP-CROWNPOST</x:v>
      </x:c>
      <x:c r="I38" s="48" t="n">
        <x:f>COUNTIFS('適配要求展開'!$A$7:$A$734,$A38,'適配要求展開'!$C$7:$C$734,$C38)</x:f>
        <x:v>4</x:v>
      </x:c>
      <x:c r="J38" s="48" t="n">
        <x:f>COUNTIFS('適配要求展開'!$A$7:$A$734,$A38,'適配要求展開'!$C$7:$C$734,$C38,'適配要求展開'!$I$7:$I$734,"待確認")</x:f>
        <x:v>3</x:v>
      </x:c>
      <x:c r="K38" s="48" t="n">
        <x:f>COUNTIFS('適配要求展開'!$A$7:$A$734,$A38,'適配要求展開'!$C$7:$C$734,$C38,'適配要求展開'!$N$7:$N$734,"不符合")</x:f>
        <x:v>0</x:v>
      </x:c>
      <x:c r="L38" s="48" t="n">
        <x:f>COUNTIFS('適配要求展開'!$A$7:$A$734,$A38,'適配要求展開'!$C$7:$C$734,$C38,'適配要求展開'!$L$7:$L$734,"Ø")</x:f>
        <x:v>0</x:v>
      </x:c>
      <x:c r="M38" s="51" t="n">
        <x:f>IF($I38=0,"n.a.",$L38/$I38)</x:f>
        <x:v>0</x:v>
      </x:c>
      <x:c r="N38" s="48" t="str">
        <x:f>_xlfn.XLOOKUP($A38&amp;"|李侑津醫師",'試行熟悉度'!$K$7:$K$20,'試行熟悉度'!$E$7:$E$20,"未評估",0)</x:f>
        <x:v>可獨立配合</x:v>
      </x:c>
      <x:c r="O38" s="48" t="str">
        <x:f>IF(OR(COUNTIFS('適配要求展開'!$A$7:$A$734,$A38,'適配要求展開'!$C$7:$C$734,$C38,'適配要求展開'!$M$7:$M$734,"&lt;&gt;已核定")&gt;0,_xlfn.XLOOKUP($A38&amp;"|李侑津醫師",'試行熟悉度'!$K$7:$K$20,'試行熟悉度'!$F$7:$F$20,"未建立",0)&lt;&gt;"已核定"),"待主管核定","已核定")</x:f>
        <x:v>待主管核定</x:v>
      </x:c>
      <x:c r="P38" s="48" t="str">
        <x:f>IF($C38="LJT-RPD-FINAL","支援者另判",IF($G38="高複雜度",_xlfn.XLOOKUP($A38&amp;"|"&amp;$H38,'資格有效性'!$L$7:$L$62,'資格有效性'!$E$7:$E$62,"未建立",0),"不需複評"))</x:f>
        <x:v>不需複評</x:v>
      </x:c>
      <x:c r="Q38" s="48" t="n">
        <x:v>0</x:v>
      </x:c>
      <x:c r="R38" s="48"/>
      <x:c r="S38" s="48" t="str">
        <x:f>IF($K38&gt;0,"不可正式排",IF(OR($N38="未評估",$N38="學習中"),"不可正式排",IF(AND($L38=0,$N38="可獨立配合"),"初步可獨立",IF(AND($L38&lt;=3,$M38&lt;=1/3,OR($N38="可獨立配合",$N38="可配合但需支援")),"初步可條件排","不可正式排"))))</x:f>
        <x:v>初步可獨立</x:v>
      </x:c>
      <x:c r="T38" s="53" t="str">
        <x:f>IF($C38="LJT-RPD-FINAL","固定短時支援 1 人／30 分鐘",IF($S38="初步可條件排",IF($G38="高複雜度","完整支援者 1:1（占 2 名額）","一般支援 1 名額"),"無"))</x:f>
        <x:v>無</x:v>
      </x:c>
      <x:c r="U38" s="53" t="str">
        <x:f>IF($J38&gt;0,"待確認共通技能門檻",IF($O38&lt;&gt;"已核定","待主管核定",IF(AND($G38="高複雜度",$P38&lt;&gt;"有效"),"資格未有效",$S38)))</x:f>
        <x:v>待確認共通技能門檻</x:v>
      </x:c>
      <x:c r="V38" t="str">
        <x:f>$A38&amp;"|"&amp;$C38</x:f>
        <x:v>1013|LJT-CROWNPOST</x:v>
      </x:c>
    </x:row>
    <x:row r="39">
      <x:c r="A39" s="37" t="str">
        <x:v>1013</x:v>
      </x:c>
      <x:c r="B39" s="37" t="str"/>
      <x:c r="C39" s="37" t="str">
        <x:v>LJT-CROWN</x:v>
      </x:c>
      <x:c r="D39" s="37" t="str">
        <x:v>補綴／自費</x:v>
      </x:c>
      <x:c r="E39" s="37" t="str">
        <x:v>固定假牙</x:v>
      </x:c>
      <x:c r="F39" s="37" t="str">
        <x:v>一般</x:v>
      </x:c>
      <x:c r="G39" s="37" t="str">
        <x:v>一般</x:v>
      </x:c>
      <x:c r="H39" s="37" t="str">
        <x:v>LJT-PREP-CROWN</x:v>
      </x:c>
      <x:c r="I39" s="48" t="n">
        <x:f>COUNTIFS('適配要求展開'!$A$7:$A$734,$A39,'適配要求展開'!$C$7:$C$734,$C39)</x:f>
        <x:v>4</x:v>
      </x:c>
      <x:c r="J39" s="48" t="n">
        <x:f>COUNTIFS('適配要求展開'!$A$7:$A$734,$A39,'適配要求展開'!$C$7:$C$734,$C39,'適配要求展開'!$I$7:$I$734,"待確認")</x:f>
        <x:v>3</x:v>
      </x:c>
      <x:c r="K39" s="48" t="n">
        <x:f>COUNTIFS('適配要求展開'!$A$7:$A$734,$A39,'適配要求展開'!$C$7:$C$734,$C39,'適配要求展開'!$N$7:$N$734,"不符合")</x:f>
        <x:v>0</x:v>
      </x:c>
      <x:c r="L39" s="48" t="n">
        <x:f>COUNTIFS('適配要求展開'!$A$7:$A$734,$A39,'適配要求展開'!$C$7:$C$734,$C39,'適配要求展開'!$L$7:$L$734,"Ø")</x:f>
        <x:v>0</x:v>
      </x:c>
      <x:c r="M39" s="51" t="n">
        <x:f>IF($I39=0,"n.a.",$L39/$I39)</x:f>
        <x:v>0</x:v>
      </x:c>
      <x:c r="N39" s="48" t="str">
        <x:f>_xlfn.XLOOKUP($A39&amp;"|李侑津醫師",'試行熟悉度'!$K$7:$K$20,'試行熟悉度'!$E$7:$E$20,"未評估",0)</x:f>
        <x:v>可獨立配合</x:v>
      </x:c>
      <x:c r="O39" s="48" t="str">
        <x:f>IF(OR(COUNTIFS('適配要求展開'!$A$7:$A$734,$A39,'適配要求展開'!$C$7:$C$734,$C39,'適配要求展開'!$M$7:$M$734,"&lt;&gt;已核定")&gt;0,_xlfn.XLOOKUP($A39&amp;"|李侑津醫師",'試行熟悉度'!$K$7:$K$20,'試行熟悉度'!$F$7:$F$20,"未建立",0)&lt;&gt;"已核定"),"待主管核定","已核定")</x:f>
        <x:v>待主管核定</x:v>
      </x:c>
      <x:c r="P39" s="48" t="str">
        <x:f>IF($C39="LJT-RPD-FINAL","支援者另判",IF($G39="高複雜度",_xlfn.XLOOKUP($A39&amp;"|"&amp;$H39,'資格有效性'!$L$7:$L$62,'資格有效性'!$E$7:$E$62,"未建立",0),"不需複評"))</x:f>
        <x:v>不需複評</x:v>
      </x:c>
      <x:c r="Q39" s="48" t="n">
        <x:v>0</x:v>
      </x:c>
      <x:c r="R39" s="48"/>
      <x:c r="S39" s="48" t="str">
        <x:f>IF($K39&gt;0,"不可正式排",IF(OR($N39="未評估",$N39="學習中"),"不可正式排",IF(AND($L39=0,$N39="可獨立配合"),"初步可獨立",IF(AND($L39&lt;=3,$M39&lt;=1/3,OR($N39="可獨立配合",$N39="可配合但需支援")),"初步可條件排","不可正式排"))))</x:f>
        <x:v>初步可獨立</x:v>
      </x:c>
      <x:c r="T39" s="53" t="str">
        <x:f>IF($C39="LJT-RPD-FINAL","固定短時支援 1 人／30 分鐘",IF($S39="初步可條件排",IF($G39="高複雜度","完整支援者 1:1（占 2 名額）","一般支援 1 名額"),"無"))</x:f>
        <x:v>無</x:v>
      </x:c>
      <x:c r="U39" s="53" t="str">
        <x:f>IF($J39&gt;0,"待確認共通技能門檻",IF($O39&lt;&gt;"已核定","待主管核定",IF(AND($G39="高複雜度",$P39&lt;&gt;"有效"),"資格未有效",$S39)))</x:f>
        <x:v>待確認共通技能門檻</x:v>
      </x:c>
      <x:c r="V39" t="str">
        <x:f>$A39&amp;"|"&amp;$C39</x:f>
        <x:v>1013|LJT-CROWN</x:v>
      </x:c>
    </x:row>
    <x:row r="40">
      <x:c r="A40" s="37" t="str">
        <x:v>1013</x:v>
      </x:c>
      <x:c r="B40" s="37" t="str"/>
      <x:c r="C40" s="37" t="str">
        <x:v>LJT-RPD</x:v>
      </x:c>
      <x:c r="D40" s="37" t="str">
        <x:v>補綴／自費</x:v>
      </x:c>
      <x:c r="E40" s="37" t="str">
        <x:v>RPD</x:v>
      </x:c>
      <x:c r="F40" s="37" t="str">
        <x:v>一般步驟</x:v>
      </x:c>
      <x:c r="G40" s="37" t="str">
        <x:v>一般</x:v>
      </x:c>
      <x:c r="H40" s="37" t="str">
        <x:v>LJT-PREP-RPD</x:v>
      </x:c>
      <x:c r="I40" s="48" t="n">
        <x:f>COUNTIFS('適配要求展開'!$A$7:$A$734,$A40,'適配要求展開'!$C$7:$C$734,$C40)</x:f>
        <x:v>4</x:v>
      </x:c>
      <x:c r="J40" s="48" t="n">
        <x:f>COUNTIFS('適配要求展開'!$A$7:$A$734,$A40,'適配要求展開'!$C$7:$C$734,$C40,'適配要求展開'!$I$7:$I$734,"待確認")</x:f>
        <x:v>3</x:v>
      </x:c>
      <x:c r="K40" s="48" t="n">
        <x:f>COUNTIFS('適配要求展開'!$A$7:$A$734,$A40,'適配要求展開'!$C$7:$C$734,$C40,'適配要求展開'!$N$7:$N$734,"不符合")</x:f>
        <x:v>0</x:v>
      </x:c>
      <x:c r="L40" s="48" t="n">
        <x:f>COUNTIFS('適配要求展開'!$A$7:$A$734,$A40,'適配要求展開'!$C$7:$C$734,$C40,'適配要求展開'!$L$7:$L$734,"Ø")</x:f>
        <x:v>0</x:v>
      </x:c>
      <x:c r="M40" s="51" t="n">
        <x:f>IF($I40=0,"n.a.",$L40/$I40)</x:f>
        <x:v>0</x:v>
      </x:c>
      <x:c r="N40" s="48" t="str">
        <x:f>_xlfn.XLOOKUP($A40&amp;"|李侑津醫師",'試行熟悉度'!$K$7:$K$20,'試行熟悉度'!$E$7:$E$20,"未評估",0)</x:f>
        <x:v>可獨立配合</x:v>
      </x:c>
      <x:c r="O40" s="48" t="str">
        <x:f>IF(OR(COUNTIFS('適配要求展開'!$A$7:$A$734,$A40,'適配要求展開'!$C$7:$C$734,$C40,'適配要求展開'!$M$7:$M$734,"&lt;&gt;已核定")&gt;0,_xlfn.XLOOKUP($A40&amp;"|李侑津醫師",'試行熟悉度'!$K$7:$K$20,'試行熟悉度'!$F$7:$F$20,"未建立",0)&lt;&gt;"已核定"),"待主管核定","已核定")</x:f>
        <x:v>待主管核定</x:v>
      </x:c>
      <x:c r="P40" s="48" t="str">
        <x:f>IF($C40="LJT-RPD-FINAL","支援者另判",IF($G40="高複雜度",_xlfn.XLOOKUP($A40&amp;"|"&amp;$H40,'資格有效性'!$L$7:$L$62,'資格有效性'!$E$7:$E$62,"未建立",0),"不需複評"))</x:f>
        <x:v>不需複評</x:v>
      </x:c>
      <x:c r="Q40" s="48" t="n">
        <x:v>0</x:v>
      </x:c>
      <x:c r="R40" s="48"/>
      <x:c r="S40" s="48" t="str">
        <x:f>IF($K40&gt;0,"不可正式排",IF(OR($N40="未評估",$N40="學習中"),"不可正式排",IF(AND($L40=0,$N40="可獨立配合"),"初步可獨立",IF(AND($L40&lt;=3,$M40&lt;=1/3,OR($N40="可獨立配合",$N40="可配合但需支援")),"初步可條件排","不可正式排"))))</x:f>
        <x:v>初步可獨立</x:v>
      </x:c>
      <x:c r="T40" s="53" t="str">
        <x:f>IF($C40="LJT-RPD-FINAL","固定短時支援 1 人／30 分鐘",IF($S40="初步可條件排",IF($G40="高複雜度","完整支援者 1:1（占 2 名額）","一般支援 1 名額"),"無"))</x:f>
        <x:v>無</x:v>
      </x:c>
      <x:c r="U40" s="53" t="str">
        <x:f>IF($J40&gt;0,"待確認共通技能門檻",IF($O40&lt;&gt;"已核定","待主管核定",IF(AND($G40="高複雜度",$P40&lt;&gt;"有效"),"資格未有效",$S40)))</x:f>
        <x:v>待確認共通技能門檻</x:v>
      </x:c>
      <x:c r="V40" t="str">
        <x:f>$A40&amp;"|"&amp;$C40</x:f>
        <x:v>1013|LJT-RPD</x:v>
      </x:c>
    </x:row>
    <x:row r="41">
      <x:c r="A41" s="37" t="str">
        <x:v>1013</x:v>
      </x:c>
      <x:c r="B41" s="37" t="str"/>
      <x:c r="C41" s="37" t="str">
        <x:v>LJT-RPD-FINAL</x:v>
      </x:c>
      <x:c r="D41" s="37" t="str">
        <x:v>補綴／自費</x:v>
      </x:c>
      <x:c r="E41" s="37" t="str">
        <x:v>RPD</x:v>
      </x:c>
      <x:c r="F41" s="37" t="str">
        <x:v>印最終模</x:v>
      </x:c>
      <x:c r="G41" s="37" t="str">
        <x:v>特殊階段</x:v>
      </x:c>
      <x:c r="H41" s="37" t="str">
        <x:v>LJT-PREP-RPD</x:v>
      </x:c>
      <x:c r="I41" s="48" t="n">
        <x:f>COUNTIFS('適配要求展開'!$A$7:$A$734,$A41,'適配要求展開'!$C$7:$C$734,$C41)</x:f>
        <x:v>4</x:v>
      </x:c>
      <x:c r="J41" s="48" t="n">
        <x:f>COUNTIFS('適配要求展開'!$A$7:$A$734,$A41,'適配要求展開'!$C$7:$C$734,$C41,'適配要求展開'!$I$7:$I$734,"待確認")</x:f>
        <x:v>3</x:v>
      </x:c>
      <x:c r="K41" s="48" t="n">
        <x:f>COUNTIFS('適配要求展開'!$A$7:$A$734,$A41,'適配要求展開'!$C$7:$C$734,$C41,'適配要求展開'!$N$7:$N$734,"不符合")</x:f>
        <x:v>0</x:v>
      </x:c>
      <x:c r="L41" s="48" t="n">
        <x:f>COUNTIFS('適配要求展開'!$A$7:$A$734,$A41,'適配要求展開'!$C$7:$C$734,$C41,'適配要求展開'!$L$7:$L$734,"Ø")</x:f>
        <x:v>0</x:v>
      </x:c>
      <x:c r="M41" s="51" t="n">
        <x:f>IF($I41=0,"n.a.",$L41/$I41)</x:f>
        <x:v>0</x:v>
      </x:c>
      <x:c r="N41" s="48" t="str">
        <x:f>_xlfn.XLOOKUP($A41&amp;"|李侑津醫師",'試行熟悉度'!$K$7:$K$20,'試行熟悉度'!$E$7:$E$20,"未評估",0)</x:f>
        <x:v>可獨立配合</x:v>
      </x:c>
      <x:c r="O41" s="48" t="str">
        <x:f>IF(OR(COUNTIFS('適配要求展開'!$A$7:$A$734,$A41,'適配要求展開'!$C$7:$C$734,$C41,'適配要求展開'!$M$7:$M$734,"&lt;&gt;已核定")&gt;0,_xlfn.XLOOKUP($A41&amp;"|李侑津醫師",'試行熟悉度'!$K$7:$K$20,'試行熟悉度'!$F$7:$F$20,"未建立",0)&lt;&gt;"已核定"),"待主管核定","已核定")</x:f>
        <x:v>待主管核定</x:v>
      </x:c>
      <x:c r="P41" s="48" t="str">
        <x:f>IF($C41="LJT-RPD-FINAL","支援者另判",IF($G41="高複雜度",_xlfn.XLOOKUP($A41&amp;"|"&amp;$H41,'資格有效性'!$L$7:$L$62,'資格有效性'!$E$7:$E$62,"未建立",0),"不需複評"))</x:f>
        <x:v>支援者另判</x:v>
      </x:c>
      <x:c r="Q41" s="48" t="n">
        <x:v>1</x:v>
      </x:c>
      <x:c r="R41" s="48" t="n">
        <x:v>30</x:v>
      </x:c>
      <x:c r="S41" s="48" t="str">
        <x:f>IF($K41&gt;0,"不可正式排",IF(OR($N41="未評估",$N41="學習中"),"不可正式排",IF(AND($L41=0,$N41="可獨立配合"),"初步可獨立",IF(AND($L41&lt;=3,$M41&lt;=1/3,OR($N41="可獨立配合",$N41="可配合但需支援")),"初步可條件排","不可正式排"))))</x:f>
        <x:v>初步可獨立</x:v>
      </x:c>
      <x:c r="T41" s="53" t="str">
        <x:f>IF($C41="LJT-RPD-FINAL","固定短時支援 1 人／30 分鐘",IF($S41="初步可條件排",IF($G41="高複雜度","完整支援者 1:1（占 2 名額）","一般支援 1 名額"),"無"))</x:f>
        <x:v>固定短時支援 1 人／30 分鐘</x:v>
      </x:c>
      <x:c r="U41" s="53" t="str">
        <x:f>IF($J41&gt;0,"待確認共通技能門檻",IF($O41&lt;&gt;"已核定","待主管核定",IF(AND($G41="高複雜度",$P41&lt;&gt;"有效"),"資格未有效",$S41)))</x:f>
        <x:v>待確認共通技能門檻</x:v>
      </x:c>
      <x:c r="V41" t="str">
        <x:f>$A41&amp;"|"&amp;$C41</x:f>
        <x:v>1013|LJT-RPD-FINAL</x:v>
      </x:c>
    </x:row>
    <x:row r="42">
      <x:c r="A42" s="37" t="str">
        <x:v>1013</x:v>
      </x:c>
      <x:c r="B42" s="37" t="str"/>
      <x:c r="C42" s="37" t="str">
        <x:v>LJT-AIRPOLISH</x:v>
      </x:c>
      <x:c r="D42" s="37" t="str">
        <x:v>補綴／自費</x:v>
      </x:c>
      <x:c r="E42" s="37" t="str">
        <x:v>噴砂美白</x:v>
      </x:c>
      <x:c r="F42" s="37" t="str">
        <x:v>一般</x:v>
      </x:c>
      <x:c r="G42" s="37" t="str">
        <x:v>一般</x:v>
      </x:c>
      <x:c r="H42" s="37" t="str">
        <x:v>LJT-PREP-AIRPOLISH</x:v>
      </x:c>
      <x:c r="I42" s="48" t="n">
        <x:f>COUNTIFS('適配要求展開'!$A$7:$A$734,$A42,'適配要求展開'!$C$7:$C$734,$C42)</x:f>
        <x:v>4</x:v>
      </x:c>
      <x:c r="J42" s="48" t="n">
        <x:f>COUNTIFS('適配要求展開'!$A$7:$A$734,$A42,'適配要求展開'!$C$7:$C$734,$C42,'適配要求展開'!$I$7:$I$734,"待確認")</x:f>
        <x:v>3</x:v>
      </x:c>
      <x:c r="K42" s="48" t="n">
        <x:f>COUNTIFS('適配要求展開'!$A$7:$A$734,$A42,'適配要求展開'!$C$7:$C$734,$C42,'適配要求展開'!$N$7:$N$734,"不符合")</x:f>
        <x:v>0</x:v>
      </x:c>
      <x:c r="L42" s="48" t="n">
        <x:f>COUNTIFS('適配要求展開'!$A$7:$A$734,$A42,'適配要求展開'!$C$7:$C$734,$C42,'適配要求展開'!$L$7:$L$734,"Ø")</x:f>
        <x:v>0</x:v>
      </x:c>
      <x:c r="M42" s="51" t="n">
        <x:f>IF($I42=0,"n.a.",$L42/$I42)</x:f>
        <x:v>0</x:v>
      </x:c>
      <x:c r="N42" s="48" t="str">
        <x:f>_xlfn.XLOOKUP($A42&amp;"|李侑津醫師",'試行熟悉度'!$K$7:$K$20,'試行熟悉度'!$E$7:$E$20,"未評估",0)</x:f>
        <x:v>可獨立配合</x:v>
      </x:c>
      <x:c r="O42" s="48" t="str">
        <x:f>IF(OR(COUNTIFS('適配要求展開'!$A$7:$A$734,$A42,'適配要求展開'!$C$7:$C$734,$C42,'適配要求展開'!$M$7:$M$734,"&lt;&gt;已核定")&gt;0,_xlfn.XLOOKUP($A42&amp;"|李侑津醫師",'試行熟悉度'!$K$7:$K$20,'試行熟悉度'!$F$7:$F$20,"未建立",0)&lt;&gt;"已核定"),"待主管核定","已核定")</x:f>
        <x:v>待主管核定</x:v>
      </x:c>
      <x:c r="P42" s="48" t="str">
        <x:f>IF($C42="LJT-RPD-FINAL","支援者另判",IF($G42="高複雜度",_xlfn.XLOOKUP($A42&amp;"|"&amp;$H42,'資格有效性'!$L$7:$L$62,'資格有效性'!$E$7:$E$62,"未建立",0),"不需複評"))</x:f>
        <x:v>不需複評</x:v>
      </x:c>
      <x:c r="Q42" s="48" t="n">
        <x:v>0</x:v>
      </x:c>
      <x:c r="R42" s="48"/>
      <x:c r="S42" s="48" t="str">
        <x:f>IF($K42&gt;0,"不可正式排",IF(OR($N42="未評估",$N42="學習中"),"不可正式排",IF(AND($L42=0,$N42="可獨立配合"),"初步可獨立",IF(AND($L42&lt;=3,$M42&lt;=1/3,OR($N42="可獨立配合",$N42="可配合但需支援")),"初步可條件排","不可正式排"))))</x:f>
        <x:v>初步可獨立</x:v>
      </x:c>
      <x:c r="T42" s="53" t="str">
        <x:f>IF($C42="LJT-RPD-FINAL","固定短時支援 1 人／30 分鐘",IF($S42="初步可條件排",IF($G42="高複雜度","完整支援者 1:1（占 2 名額）","一般支援 1 名額"),"無"))</x:f>
        <x:v>無</x:v>
      </x:c>
      <x:c r="U42" s="53" t="str">
        <x:f>IF($J42&gt;0,"待確認共通技能門檻",IF($O42&lt;&gt;"已核定","待主管核定",IF(AND($G42="高複雜度",$P42&lt;&gt;"有效"),"資格未有效",$S42)))</x:f>
        <x:v>待確認共通技能門檻</x:v>
      </x:c>
      <x:c r="V42" t="str">
        <x:f>$A42&amp;"|"&amp;$C42</x:f>
        <x:v>1013|LJT-AIRPOLISH</x:v>
      </x:c>
    </x:row>
    <x:row r="43">
      <x:c r="A43" s="37" t="str">
        <x:v>1013</x:v>
      </x:c>
      <x:c r="B43" s="37" t="str"/>
      <x:c r="C43" s="37" t="str">
        <x:v>LJT-PERIOSURG</x:v>
      </x:c>
      <x:c r="D43" s="37" t="str">
        <x:v>高複雜度</x:v>
      </x:c>
      <x:c r="E43" s="37" t="str">
        <x:v>牙周手術</x:v>
      </x:c>
      <x:c r="F43" s="37" t="str">
        <x:v>一般</x:v>
      </x:c>
      <x:c r="G43" s="37" t="str">
        <x:v>高複雜度</x:v>
      </x:c>
      <x:c r="H43" s="37" t="str">
        <x:v>LJT-PREP-PERIOSURG</x:v>
      </x:c>
      <x:c r="I43" s="48" t="n">
        <x:f>COUNTIFS('適配要求展開'!$A$7:$A$734,$A43,'適配要求展開'!$C$7:$C$734,$C43)</x:f>
        <x:v>4</x:v>
      </x:c>
      <x:c r="J43" s="48" t="n">
        <x:f>COUNTIFS('適配要求展開'!$A$7:$A$734,$A43,'適配要求展開'!$C$7:$C$734,$C43,'適配要求展開'!$I$7:$I$734,"待確認")</x:f>
        <x:v>3</x:v>
      </x:c>
      <x:c r="K43" s="48" t="n">
        <x:f>COUNTIFS('適配要求展開'!$A$7:$A$734,$A43,'適配要求展開'!$C$7:$C$734,$C43,'適配要求展開'!$N$7:$N$734,"不符合")</x:f>
        <x:v>0</x:v>
      </x:c>
      <x:c r="L43" s="48" t="n">
        <x:f>COUNTIFS('適配要求展開'!$A$7:$A$734,$A43,'適配要求展開'!$C$7:$C$734,$C43,'適配要求展開'!$L$7:$L$734,"Ø")</x:f>
        <x:v>0</x:v>
      </x:c>
      <x:c r="M43" s="51" t="n">
        <x:f>IF($I43=0,"n.a.",$L43/$I43)</x:f>
        <x:v>0</x:v>
      </x:c>
      <x:c r="N43" s="48" t="str">
        <x:f>_xlfn.XLOOKUP($A43&amp;"|李侑津醫師",'試行熟悉度'!$K$7:$K$20,'試行熟悉度'!$E$7:$E$20,"未評估",0)</x:f>
        <x:v>可獨立配合</x:v>
      </x:c>
      <x:c r="O43" s="48" t="str">
        <x:f>IF(OR(COUNTIFS('適配要求展開'!$A$7:$A$734,$A43,'適配要求展開'!$C$7:$C$734,$C43,'適配要求展開'!$M$7:$M$734,"&lt;&gt;已核定")&gt;0,_xlfn.XLOOKUP($A43&amp;"|李侑津醫師",'試行熟悉度'!$K$7:$K$20,'試行熟悉度'!$F$7:$F$20,"未建立",0)&lt;&gt;"已核定"),"待主管核定","已核定")</x:f>
        <x:v>待主管核定</x:v>
      </x:c>
      <x:c r="P43" s="48" t="str">
        <x:f>IF($C43="LJT-RPD-FINAL","支援者另判",IF($G43="高複雜度",_xlfn.XLOOKUP($A43&amp;"|"&amp;$H43,'資格有效性'!$L$7:$L$62,'資格有效性'!$E$7:$E$62,"未建立",0),"不需複評"))</x:f>
        <x:v>待主管核定</x:v>
      </x:c>
      <x:c r="Q43" s="48" t="n">
        <x:v>0</x:v>
      </x:c>
      <x:c r="R43" s="48"/>
      <x:c r="S43" s="48" t="str">
        <x:f>IF($K43&gt;0,"不可正式排",IF(OR($N43="未評估",$N43="學習中"),"不可正式排",IF(AND($L43=0,$N43="可獨立配合"),"初步可獨立",IF(AND($L43&lt;=3,$M43&lt;=1/3,OR($N43="可獨立配合",$N43="可配合但需支援")),"初步可條件排","不可正式排"))))</x:f>
        <x:v>初步可獨立</x:v>
      </x:c>
      <x:c r="T43" s="53" t="str">
        <x:f>IF($C43="LJT-RPD-FINAL","固定短時支援 1 人／30 分鐘",IF($S43="初步可條件排",IF($G43="高複雜度","完整支援者 1:1（占 2 名額）","一般支援 1 名額"),"無"))</x:f>
        <x:v>無</x:v>
      </x:c>
      <x:c r="U43" s="53" t="str">
        <x:f>IF($J43&gt;0,"待確認共通技能門檻",IF($O43&lt;&gt;"已核定","待主管核定",IF(AND($G43="高複雜度",$P43&lt;&gt;"有效"),"資格未有效",$S43)))</x:f>
        <x:v>待確認共通技能門檻</x:v>
      </x:c>
      <x:c r="V43" t="str">
        <x:f>$A43&amp;"|"&amp;$C43</x:f>
        <x:v>1013|LJT-PERIOSURG</x:v>
      </x:c>
    </x:row>
    <x:row r="44">
      <x:c r="A44" s="37" t="str">
        <x:v>1013</x:v>
      </x:c>
      <x:c r="B44" s="37" t="str"/>
      <x:c r="C44" s="37" t="str">
        <x:v>LJT-MICROENDO</x:v>
      </x:c>
      <x:c r="D44" s="37" t="str">
        <x:v>高複雜度</x:v>
      </x:c>
      <x:c r="E44" s="37" t="str">
        <x:v>顯微根管</x:v>
      </x:c>
      <x:c r="F44" s="37" t="str">
        <x:v>一般</x:v>
      </x:c>
      <x:c r="G44" s="37" t="str">
        <x:v>高複雜度</x:v>
      </x:c>
      <x:c r="H44" s="37" t="str">
        <x:v>LJT-PREP-MICROENDO</x:v>
      </x:c>
      <x:c r="I44" s="48" t="n">
        <x:f>COUNTIFS('適配要求展開'!$A$7:$A$734,$A44,'適配要求展開'!$C$7:$C$734,$C44)</x:f>
        <x:v>4</x:v>
      </x:c>
      <x:c r="J44" s="48" t="n">
        <x:f>COUNTIFS('適配要求展開'!$A$7:$A$734,$A44,'適配要求展開'!$C$7:$C$734,$C44,'適配要求展開'!$I$7:$I$734,"待確認")</x:f>
        <x:v>3</x:v>
      </x:c>
      <x:c r="K44" s="48" t="n">
        <x:f>COUNTIFS('適配要求展開'!$A$7:$A$734,$A44,'適配要求展開'!$C$7:$C$734,$C44,'適配要求展開'!$N$7:$N$734,"不符合")</x:f>
        <x:v>0</x:v>
      </x:c>
      <x:c r="L44" s="48" t="n">
        <x:f>COUNTIFS('適配要求展開'!$A$7:$A$734,$A44,'適配要求展開'!$C$7:$C$734,$C44,'適配要求展開'!$L$7:$L$734,"Ø")</x:f>
        <x:v>0</x:v>
      </x:c>
      <x:c r="M44" s="51" t="n">
        <x:f>IF($I44=0,"n.a.",$L44/$I44)</x:f>
        <x:v>0</x:v>
      </x:c>
      <x:c r="N44" s="48" t="str">
        <x:f>_xlfn.XLOOKUP($A44&amp;"|李侑津醫師",'試行熟悉度'!$K$7:$K$20,'試行熟悉度'!$E$7:$E$20,"未評估",0)</x:f>
        <x:v>可獨立配合</x:v>
      </x:c>
      <x:c r="O44" s="48" t="str">
        <x:f>IF(OR(COUNTIFS('適配要求展開'!$A$7:$A$734,$A44,'適配要求展開'!$C$7:$C$734,$C44,'適配要求展開'!$M$7:$M$734,"&lt;&gt;已核定")&gt;0,_xlfn.XLOOKUP($A44&amp;"|李侑津醫師",'試行熟悉度'!$K$7:$K$20,'試行熟悉度'!$F$7:$F$20,"未建立",0)&lt;&gt;"已核定"),"待主管核定","已核定")</x:f>
        <x:v>待主管核定</x:v>
      </x:c>
      <x:c r="P44" s="48" t="str">
        <x:f>IF($C44="LJT-RPD-FINAL","支援者另判",IF($G44="高複雜度",_xlfn.XLOOKUP($A44&amp;"|"&amp;$H44,'資格有效性'!$L$7:$L$62,'資格有效性'!$E$7:$E$62,"未建立",0),"不需複評"))</x:f>
        <x:v>待主管核定</x:v>
      </x:c>
      <x:c r="Q44" s="48" t="n">
        <x:v>0</x:v>
      </x:c>
      <x:c r="R44" s="48"/>
      <x:c r="S44" s="48" t="str">
        <x:f>IF($K44&gt;0,"不可正式排",IF(OR($N44="未評估",$N44="學習中"),"不可正式排",IF(AND($L44=0,$N44="可獨立配合"),"初步可獨立",IF(AND($L44&lt;=3,$M44&lt;=1/3,OR($N44="可獨立配合",$N44="可配合但需支援")),"初步可條件排","不可正式排"))))</x:f>
        <x:v>初步可獨立</x:v>
      </x:c>
      <x:c r="T44" s="53" t="str">
        <x:f>IF($C44="LJT-RPD-FINAL","固定短時支援 1 人／30 分鐘",IF($S44="初步可條件排",IF($G44="高複雜度","完整支援者 1:1（占 2 名額）","一般支援 1 名額"),"無"))</x:f>
        <x:v>無</x:v>
      </x:c>
      <x:c r="U44" s="53" t="str">
        <x:f>IF($J44&gt;0,"待確認共通技能門檻",IF($O44&lt;&gt;"已核定","待主管核定",IF(AND($G44="高複雜度",$P44&lt;&gt;"有效"),"資格未有效",$S44)))</x:f>
        <x:v>待確認共通技能門檻</x:v>
      </x:c>
      <x:c r="V44" t="str">
        <x:f>$A44&amp;"|"&amp;$C44</x:f>
        <x:v>1013|LJT-MICROENDO</x:v>
      </x:c>
    </x:row>
    <x:row r="45">
      <x:c r="A45" s="37" t="str">
        <x:v>1013</x:v>
      </x:c>
      <x:c r="B45" s="37" t="str"/>
      <x:c r="C45" s="37" t="str">
        <x:v>LJT-IMPLANT</x:v>
      </x:c>
      <x:c r="D45" s="37" t="str">
        <x:v>高複雜度</x:v>
      </x:c>
      <x:c r="E45" s="37" t="str">
        <x:v>植牙</x:v>
      </x:c>
      <x:c r="F45" s="37" t="str">
        <x:v>一般</x:v>
      </x:c>
      <x:c r="G45" s="37" t="str">
        <x:v>高複雜度</x:v>
      </x:c>
      <x:c r="H45" s="37" t="str">
        <x:v>LJT-PREP-IMPLANT</x:v>
      </x:c>
      <x:c r="I45" s="48" t="n">
        <x:f>COUNTIFS('適配要求展開'!$A$7:$A$734,$A45,'適配要求展開'!$C$7:$C$734,$C45)</x:f>
        <x:v>4</x:v>
      </x:c>
      <x:c r="J45" s="48" t="n">
        <x:f>COUNTIFS('適配要求展開'!$A$7:$A$734,$A45,'適配要求展開'!$C$7:$C$734,$C45,'適配要求展開'!$I$7:$I$734,"待確認")</x:f>
        <x:v>3</x:v>
      </x:c>
      <x:c r="K45" s="48" t="n">
        <x:f>COUNTIFS('適配要求展開'!$A$7:$A$734,$A45,'適配要求展開'!$C$7:$C$734,$C45,'適配要求展開'!$N$7:$N$734,"不符合")</x:f>
        <x:v>0</x:v>
      </x:c>
      <x:c r="L45" s="48" t="n">
        <x:f>COUNTIFS('適配要求展開'!$A$7:$A$734,$A45,'適配要求展開'!$C$7:$C$734,$C45,'適配要求展開'!$L$7:$L$734,"Ø")</x:f>
        <x:v>0</x:v>
      </x:c>
      <x:c r="M45" s="51" t="n">
        <x:f>IF($I45=0,"n.a.",$L45/$I45)</x:f>
        <x:v>0</x:v>
      </x:c>
      <x:c r="N45" s="48" t="str">
        <x:f>_xlfn.XLOOKUP($A45&amp;"|李侑津醫師",'試行熟悉度'!$K$7:$K$20,'試行熟悉度'!$E$7:$E$20,"未評估",0)</x:f>
        <x:v>可獨立配合</x:v>
      </x:c>
      <x:c r="O45" s="48" t="str">
        <x:f>IF(OR(COUNTIFS('適配要求展開'!$A$7:$A$734,$A45,'適配要求展開'!$C$7:$C$734,$C45,'適配要求展開'!$M$7:$M$734,"&lt;&gt;已核定")&gt;0,_xlfn.XLOOKUP($A45&amp;"|李侑津醫師",'試行熟悉度'!$K$7:$K$20,'試行熟悉度'!$F$7:$F$20,"未建立",0)&lt;&gt;"已核定"),"待主管核定","已核定")</x:f>
        <x:v>待主管核定</x:v>
      </x:c>
      <x:c r="P45" s="48" t="str">
        <x:f>IF($C45="LJT-RPD-FINAL","支援者另判",IF($G45="高複雜度",_xlfn.XLOOKUP($A45&amp;"|"&amp;$H45,'資格有效性'!$L$7:$L$62,'資格有效性'!$E$7:$E$62,"未建立",0),"不需複評"))</x:f>
        <x:v>待主管核定</x:v>
      </x:c>
      <x:c r="Q45" s="48" t="n">
        <x:v>0</x:v>
      </x:c>
      <x:c r="R45" s="48"/>
      <x:c r="S45" s="48" t="str">
        <x:f>IF($K45&gt;0,"不可正式排",IF(OR($N45="未評估",$N45="學習中"),"不可正式排",IF(AND($L45=0,$N45="可獨立配合"),"初步可獨立",IF(AND($L45&lt;=3,$M45&lt;=1/3,OR($N45="可獨立配合",$N45="可配合但需支援")),"初步可條件排","不可正式排"))))</x:f>
        <x:v>初步可獨立</x:v>
      </x:c>
      <x:c r="T45" s="53" t="str">
        <x:f>IF($C45="LJT-RPD-FINAL","固定短時支援 1 人／30 分鐘",IF($S45="初步可條件排",IF($G45="高複雜度","完整支援者 1:1（占 2 名額）","一般支援 1 名額"),"無"))</x:f>
        <x:v>無</x:v>
      </x:c>
      <x:c r="U45" s="53" t="str">
        <x:f>IF($J45&gt;0,"待確認共通技能門檻",IF($O45&lt;&gt;"已核定","待主管核定",IF(AND($G45="高複雜度",$P45&lt;&gt;"有效"),"資格未有效",$S45)))</x:f>
        <x:v>待確認共通技能門檻</x:v>
      </x:c>
      <x:c r="V45" t="str">
        <x:f>$A45&amp;"|"&amp;$C45</x:f>
        <x:v>1013|LJT-IMPLANT</x:v>
      </x:c>
    </x:row>
    <x:row r="46">
      <x:c r="A46" s="37" t="str">
        <x:v>1019</x:v>
      </x:c>
      <x:c r="B46" s="37" t="str"/>
      <x:c r="C46" s="37" t="str">
        <x:v>LJT-SCALING</x:v>
      </x:c>
      <x:c r="D46" s="37" t="str">
        <x:v>一般治療</x:v>
      </x:c>
      <x:c r="E46" s="37" t="str">
        <x:v>洗牙</x:v>
      </x:c>
      <x:c r="F46" s="37" t="str">
        <x:v>一般</x:v>
      </x:c>
      <x:c r="G46" s="37" t="str">
        <x:v>一般</x:v>
      </x:c>
      <x:c r="H46" s="37" t="str">
        <x:v>LJT-PREP-SCALING</x:v>
      </x:c>
      <x:c r="I46" s="48" t="n">
        <x:f>COUNTIFS('適配要求展開'!$A$7:$A$734,$A46,'適配要求展開'!$C$7:$C$734,$C46)</x:f>
        <x:v>4</x:v>
      </x:c>
      <x:c r="J46" s="48" t="n">
        <x:f>COUNTIFS('適配要求展開'!$A$7:$A$734,$A46,'適配要求展開'!$C$7:$C$734,$C46,'適配要求展開'!$I$7:$I$734,"待確認")</x:f>
        <x:v>3</x:v>
      </x:c>
      <x:c r="K46" s="48" t="n">
        <x:f>COUNTIFS('適配要求展開'!$A$7:$A$734,$A46,'適配要求展開'!$C$7:$C$734,$C46,'適配要求展開'!$N$7:$N$734,"不符合")</x:f>
        <x:v>0</x:v>
      </x:c>
      <x:c r="L46" s="48" t="n">
        <x:f>COUNTIFS('適配要求展開'!$A$7:$A$734,$A46,'適配要求展開'!$C$7:$C$734,$C46,'適配要求展開'!$L$7:$L$734,"Ø")</x:f>
        <x:v>0</x:v>
      </x:c>
      <x:c r="M46" s="51" t="n">
        <x:f>IF($I46=0,"n.a.",$L46/$I46)</x:f>
        <x:v>0</x:v>
      </x:c>
      <x:c r="N46" s="48" t="str">
        <x:f>_xlfn.XLOOKUP($A46&amp;"|李侑津醫師",'試行熟悉度'!$K$7:$K$20,'試行熟悉度'!$E$7:$E$20,"未評估",0)</x:f>
        <x:v>可獨立配合</x:v>
      </x:c>
      <x:c r="O46" s="48" t="str">
        <x:f>IF(OR(COUNTIFS('適配要求展開'!$A$7:$A$734,$A46,'適配要求展開'!$C$7:$C$734,$C46,'適配要求展開'!$M$7:$M$734,"&lt;&gt;已核定")&gt;0,_xlfn.XLOOKUP($A46&amp;"|李侑津醫師",'試行熟悉度'!$K$7:$K$20,'試行熟悉度'!$F$7:$F$20,"未建立",0)&lt;&gt;"已核定"),"待主管核定","已核定")</x:f>
        <x:v>待主管核定</x:v>
      </x:c>
      <x:c r="P46" s="48" t="str">
        <x:f>IF($C46="LJT-RPD-FINAL","支援者另判",IF($G46="高複雜度",_xlfn.XLOOKUP($A46&amp;"|"&amp;$H46,'資格有效性'!$L$7:$L$62,'資格有效性'!$E$7:$E$62,"未建立",0),"不需複評"))</x:f>
        <x:v>不需複評</x:v>
      </x:c>
      <x:c r="Q46" s="48" t="n">
        <x:v>0</x:v>
      </x:c>
      <x:c r="R46" s="48"/>
      <x:c r="S46" s="48" t="str">
        <x:f>IF($K46&gt;0,"不可正式排",IF(OR($N46="未評估",$N46="學習中"),"不可正式排",IF(AND($L46=0,$N46="可獨立配合"),"初步可獨立",IF(AND($L46&lt;=3,$M46&lt;=1/3,OR($N46="可獨立配合",$N46="可配合但需支援")),"初步可條件排","不可正式排"))))</x:f>
        <x:v>初步可獨立</x:v>
      </x:c>
      <x:c r="T46" s="53" t="str">
        <x:f>IF($C46="LJT-RPD-FINAL","固定短時支援 1 人／30 分鐘",IF($S46="初步可條件排",IF($G46="高複雜度","完整支援者 1:1（占 2 名額）","一般支援 1 名額"),"無"))</x:f>
        <x:v>無</x:v>
      </x:c>
      <x:c r="U46" s="53" t="str">
        <x:f>IF($J46&gt;0,"待確認共通技能門檻",IF($O46&lt;&gt;"已核定","待主管核定",IF(AND($G46="高複雜度",$P46&lt;&gt;"有效"),"資格未有效",$S46)))</x:f>
        <x:v>待確認共通技能門檻</x:v>
      </x:c>
      <x:c r="V46" t="str">
        <x:f>$A46&amp;"|"&amp;$C46</x:f>
        <x:v>1019|LJT-SCALING</x:v>
      </x:c>
    </x:row>
    <x:row r="47">
      <x:c r="A47" s="37" t="str">
        <x:v>1019</x:v>
      </x:c>
      <x:c r="B47" s="37" t="str"/>
      <x:c r="C47" s="37" t="str">
        <x:v>LJT-FILLING</x:v>
      </x:c>
      <x:c r="D47" s="37" t="str">
        <x:v>一般治療</x:v>
      </x:c>
      <x:c r="E47" s="37" t="str">
        <x:v>補牙</x:v>
      </x:c>
      <x:c r="F47" s="37" t="str">
        <x:v>一般</x:v>
      </x:c>
      <x:c r="G47" s="37" t="str">
        <x:v>一般</x:v>
      </x:c>
      <x:c r="H47" s="37" t="str">
        <x:v>LJT-PREP-FILLING</x:v>
      </x:c>
      <x:c r="I47" s="48" t="n">
        <x:f>COUNTIFS('適配要求展開'!$A$7:$A$734,$A47,'適配要求展開'!$C$7:$C$734,$C47)</x:f>
        <x:v>4</x:v>
      </x:c>
      <x:c r="J47" s="48" t="n">
        <x:f>COUNTIFS('適配要求展開'!$A$7:$A$734,$A47,'適配要求展開'!$C$7:$C$734,$C47,'適配要求展開'!$I$7:$I$734,"待確認")</x:f>
        <x:v>3</x:v>
      </x:c>
      <x:c r="K47" s="48" t="n">
        <x:f>COUNTIFS('適配要求展開'!$A$7:$A$734,$A47,'適配要求展開'!$C$7:$C$734,$C47,'適配要求展開'!$N$7:$N$734,"不符合")</x:f>
        <x:v>0</x:v>
      </x:c>
      <x:c r="L47" s="48" t="n">
        <x:f>COUNTIFS('適配要求展開'!$A$7:$A$734,$A47,'適配要求展開'!$C$7:$C$734,$C47,'適配要求展開'!$L$7:$L$734,"Ø")</x:f>
        <x:v>0</x:v>
      </x:c>
      <x:c r="M47" s="51" t="n">
        <x:f>IF($I47=0,"n.a.",$L47/$I47)</x:f>
        <x:v>0</x:v>
      </x:c>
      <x:c r="N47" s="48" t="str">
        <x:f>_xlfn.XLOOKUP($A47&amp;"|李侑津醫師",'試行熟悉度'!$K$7:$K$20,'試行熟悉度'!$E$7:$E$20,"未評估",0)</x:f>
        <x:v>可獨立配合</x:v>
      </x:c>
      <x:c r="O47" s="48" t="str">
        <x:f>IF(OR(COUNTIFS('適配要求展開'!$A$7:$A$734,$A47,'適配要求展開'!$C$7:$C$734,$C47,'適配要求展開'!$M$7:$M$734,"&lt;&gt;已核定")&gt;0,_xlfn.XLOOKUP($A47&amp;"|李侑津醫師",'試行熟悉度'!$K$7:$K$20,'試行熟悉度'!$F$7:$F$20,"未建立",0)&lt;&gt;"已核定"),"待主管核定","已核定")</x:f>
        <x:v>待主管核定</x:v>
      </x:c>
      <x:c r="P47" s="48" t="str">
        <x:f>IF($C47="LJT-RPD-FINAL","支援者另判",IF($G47="高複雜度",_xlfn.XLOOKUP($A47&amp;"|"&amp;$H47,'資格有效性'!$L$7:$L$62,'資格有效性'!$E$7:$E$62,"未建立",0),"不需複評"))</x:f>
        <x:v>不需複評</x:v>
      </x:c>
      <x:c r="Q47" s="48" t="n">
        <x:v>0</x:v>
      </x:c>
      <x:c r="R47" s="48"/>
      <x:c r="S47" s="48" t="str">
        <x:f>IF($K47&gt;0,"不可正式排",IF(OR($N47="未評估",$N47="學習中"),"不可正式排",IF(AND($L47=0,$N47="可獨立配合"),"初步可獨立",IF(AND($L47&lt;=3,$M47&lt;=1/3,OR($N47="可獨立配合",$N47="可配合但需支援")),"初步可條件排","不可正式排"))))</x:f>
        <x:v>初步可獨立</x:v>
      </x:c>
      <x:c r="T47" s="53" t="str">
        <x:f>IF($C47="LJT-RPD-FINAL","固定短時支援 1 人／30 分鐘",IF($S47="初步可條件排",IF($G47="高複雜度","完整支援者 1:1（占 2 名額）","一般支援 1 名額"),"無"))</x:f>
        <x:v>無</x:v>
      </x:c>
      <x:c r="U47" s="53" t="str">
        <x:f>IF($J47&gt;0,"待確認共通技能門檻",IF($O47&lt;&gt;"已核定","待主管核定",IF(AND($G47="高複雜度",$P47&lt;&gt;"有效"),"資格未有效",$S47)))</x:f>
        <x:v>待確認共通技能門檻</x:v>
      </x:c>
      <x:c r="V47" t="str">
        <x:f>$A47&amp;"|"&amp;$C47</x:f>
        <x:v>1019|LJT-FILLING</x:v>
      </x:c>
    </x:row>
    <x:row r="48">
      <x:c r="A48" s="37" t="str">
        <x:v>1019</x:v>
      </x:c>
      <x:c r="B48" s="37" t="str"/>
      <x:c r="C48" s="37" t="str">
        <x:v>LJT-PERIO</x:v>
      </x:c>
      <x:c r="D48" s="37" t="str">
        <x:v>一般治療</x:v>
      </x:c>
      <x:c r="E48" s="37" t="str">
        <x:v>牙周統合</x:v>
      </x:c>
      <x:c r="F48" s="37" t="str">
        <x:v>一般</x:v>
      </x:c>
      <x:c r="G48" s="37" t="str">
        <x:v>一般</x:v>
      </x:c>
      <x:c r="H48" s="37" t="str">
        <x:v>LJT-PREP-PERIO</x:v>
      </x:c>
      <x:c r="I48" s="48" t="n">
        <x:f>COUNTIFS('適配要求展開'!$A$7:$A$734,$A48,'適配要求展開'!$C$7:$C$734,$C48)</x:f>
        <x:v>4</x:v>
      </x:c>
      <x:c r="J48" s="48" t="n">
        <x:f>COUNTIFS('適配要求展開'!$A$7:$A$734,$A48,'適配要求展開'!$C$7:$C$734,$C48,'適配要求展開'!$I$7:$I$734,"待確認")</x:f>
        <x:v>3</x:v>
      </x:c>
      <x:c r="K48" s="48" t="n">
        <x:f>COUNTIFS('適配要求展開'!$A$7:$A$734,$A48,'適配要求展開'!$C$7:$C$734,$C48,'適配要求展開'!$N$7:$N$734,"不符合")</x:f>
        <x:v>0</x:v>
      </x:c>
      <x:c r="L48" s="48" t="n">
        <x:f>COUNTIFS('適配要求展開'!$A$7:$A$734,$A48,'適配要求展開'!$C$7:$C$734,$C48,'適配要求展開'!$L$7:$L$734,"Ø")</x:f>
        <x:v>0</x:v>
      </x:c>
      <x:c r="M48" s="51" t="n">
        <x:f>IF($I48=0,"n.a.",$L48/$I48)</x:f>
        <x:v>0</x:v>
      </x:c>
      <x:c r="N48" s="48" t="str">
        <x:f>_xlfn.XLOOKUP($A48&amp;"|李侑津醫師",'試行熟悉度'!$K$7:$K$20,'試行熟悉度'!$E$7:$E$20,"未評估",0)</x:f>
        <x:v>可獨立配合</x:v>
      </x:c>
      <x:c r="O48" s="48" t="str">
        <x:f>IF(OR(COUNTIFS('適配要求展開'!$A$7:$A$734,$A48,'適配要求展開'!$C$7:$C$734,$C48,'適配要求展開'!$M$7:$M$734,"&lt;&gt;已核定")&gt;0,_xlfn.XLOOKUP($A48&amp;"|李侑津醫師",'試行熟悉度'!$K$7:$K$20,'試行熟悉度'!$F$7:$F$20,"未建立",0)&lt;&gt;"已核定"),"待主管核定","已核定")</x:f>
        <x:v>待主管核定</x:v>
      </x:c>
      <x:c r="P48" s="48" t="str">
        <x:f>IF($C48="LJT-RPD-FINAL","支援者另判",IF($G48="高複雜度",_xlfn.XLOOKUP($A48&amp;"|"&amp;$H48,'資格有效性'!$L$7:$L$62,'資格有效性'!$E$7:$E$62,"未建立",0),"不需複評"))</x:f>
        <x:v>不需複評</x:v>
      </x:c>
      <x:c r="Q48" s="48" t="n">
        <x:v>0</x:v>
      </x:c>
      <x:c r="R48" s="48"/>
      <x:c r="S48" s="48" t="str">
        <x:f>IF($K48&gt;0,"不可正式排",IF(OR($N48="未評估",$N48="學習中"),"不可正式排",IF(AND($L48=0,$N48="可獨立配合"),"初步可獨立",IF(AND($L48&lt;=3,$M48&lt;=1/3,OR($N48="可獨立配合",$N48="可配合但需支援")),"初步可條件排","不可正式排"))))</x:f>
        <x:v>初步可獨立</x:v>
      </x:c>
      <x:c r="T48" s="53" t="str">
        <x:f>IF($C48="LJT-RPD-FINAL","固定短時支援 1 人／30 分鐘",IF($S48="初步可條件排",IF($G48="高複雜度","完整支援者 1:1（占 2 名額）","一般支援 1 名額"),"無"))</x:f>
        <x:v>無</x:v>
      </x:c>
      <x:c r="U48" s="53" t="str">
        <x:f>IF($J48&gt;0,"待確認共通技能門檻",IF($O48&lt;&gt;"已核定","待主管核定",IF(AND($G48="高複雜度",$P48&lt;&gt;"有效"),"資格未有效",$S48)))</x:f>
        <x:v>待確認共通技能門檻</x:v>
      </x:c>
      <x:c r="V48" t="str">
        <x:f>$A48&amp;"|"&amp;$C48</x:f>
        <x:v>1019|LJT-PERIO</x:v>
      </x:c>
    </x:row>
    <x:row r="49">
      <x:c r="A49" s="37" t="str">
        <x:v>1019</x:v>
      </x:c>
      <x:c r="B49" s="37" t="str"/>
      <x:c r="C49" s="37" t="str">
        <x:v>LJT-RCT</x:v>
      </x:c>
      <x:c r="D49" s="37" t="str">
        <x:v>一般治療</x:v>
      </x:c>
      <x:c r="E49" s="37" t="str">
        <x:v>一般根管治療</x:v>
      </x:c>
      <x:c r="F49" s="37" t="str">
        <x:v>一般</x:v>
      </x:c>
      <x:c r="G49" s="37" t="str">
        <x:v>一般</x:v>
      </x:c>
      <x:c r="H49" s="37" t="str">
        <x:v>LJT-PREP-RCT</x:v>
      </x:c>
      <x:c r="I49" s="48" t="n">
        <x:f>COUNTIFS('適配要求展開'!$A$7:$A$734,$A49,'適配要求展開'!$C$7:$C$734,$C49)</x:f>
        <x:v>4</x:v>
      </x:c>
      <x:c r="J49" s="48" t="n">
        <x:f>COUNTIFS('適配要求展開'!$A$7:$A$734,$A49,'適配要求展開'!$C$7:$C$734,$C49,'適配要求展開'!$I$7:$I$734,"待確認")</x:f>
        <x:v>3</x:v>
      </x:c>
      <x:c r="K49" s="48" t="n">
        <x:f>COUNTIFS('適配要求展開'!$A$7:$A$734,$A49,'適配要求展開'!$C$7:$C$734,$C49,'適配要求展開'!$N$7:$N$734,"不符合")</x:f>
        <x:v>0</x:v>
      </x:c>
      <x:c r="L49" s="48" t="n">
        <x:f>COUNTIFS('適配要求展開'!$A$7:$A$734,$A49,'適配要求展開'!$C$7:$C$734,$C49,'適配要求展開'!$L$7:$L$734,"Ø")</x:f>
        <x:v>0</x:v>
      </x:c>
      <x:c r="M49" s="51" t="n">
        <x:f>IF($I49=0,"n.a.",$L49/$I49)</x:f>
        <x:v>0</x:v>
      </x:c>
      <x:c r="N49" s="48" t="str">
        <x:f>_xlfn.XLOOKUP($A49&amp;"|李侑津醫師",'試行熟悉度'!$K$7:$K$20,'試行熟悉度'!$E$7:$E$20,"未評估",0)</x:f>
        <x:v>可獨立配合</x:v>
      </x:c>
      <x:c r="O49" s="48" t="str">
        <x:f>IF(OR(COUNTIFS('適配要求展開'!$A$7:$A$734,$A49,'適配要求展開'!$C$7:$C$734,$C49,'適配要求展開'!$M$7:$M$734,"&lt;&gt;已核定")&gt;0,_xlfn.XLOOKUP($A49&amp;"|李侑津醫師",'試行熟悉度'!$K$7:$K$20,'試行熟悉度'!$F$7:$F$20,"未建立",0)&lt;&gt;"已核定"),"待主管核定","已核定")</x:f>
        <x:v>待主管核定</x:v>
      </x:c>
      <x:c r="P49" s="48" t="str">
        <x:f>IF($C49="LJT-RPD-FINAL","支援者另判",IF($G49="高複雜度",_xlfn.XLOOKUP($A49&amp;"|"&amp;$H49,'資格有效性'!$L$7:$L$62,'資格有效性'!$E$7:$E$62,"未建立",0),"不需複評"))</x:f>
        <x:v>不需複評</x:v>
      </x:c>
      <x:c r="Q49" s="48" t="n">
        <x:v>0</x:v>
      </x:c>
      <x:c r="R49" s="48"/>
      <x:c r="S49" s="48" t="str">
        <x:f>IF($K49&gt;0,"不可正式排",IF(OR($N49="未評估",$N49="學習中"),"不可正式排",IF(AND($L49=0,$N49="可獨立配合"),"初步可獨立",IF(AND($L49&lt;=3,$M49&lt;=1/3,OR($N49="可獨立配合",$N49="可配合但需支援")),"初步可條件排","不可正式排"))))</x:f>
        <x:v>初步可獨立</x:v>
      </x:c>
      <x:c r="T49" s="53" t="str">
        <x:f>IF($C49="LJT-RPD-FINAL","固定短時支援 1 人／30 分鐘",IF($S49="初步可條件排",IF($G49="高複雜度","完整支援者 1:1（占 2 名額）","一般支援 1 名額"),"無"))</x:f>
        <x:v>無</x:v>
      </x:c>
      <x:c r="U49" s="53" t="str">
        <x:f>IF($J49&gt;0,"待確認共通技能門檻",IF($O49&lt;&gt;"已核定","待主管核定",IF(AND($G49="高複雜度",$P49&lt;&gt;"有效"),"資格未有效",$S49)))</x:f>
        <x:v>待確認共通技能門檻</x:v>
      </x:c>
      <x:c r="V49" t="str">
        <x:f>$A49&amp;"|"&amp;$C49</x:f>
        <x:v>1019|LJT-RCT</x:v>
      </x:c>
    </x:row>
    <x:row r="50">
      <x:c r="A50" s="37" t="str">
        <x:v>1019</x:v>
      </x:c>
      <x:c r="B50" s="37" t="str"/>
      <x:c r="C50" s="37" t="str">
        <x:v>LJT-EXTRACTION</x:v>
      </x:c>
      <x:c r="D50" s="37" t="str">
        <x:v>一般治療</x:v>
      </x:c>
      <x:c r="E50" s="37" t="str">
        <x:v>拔牙</x:v>
      </x:c>
      <x:c r="F50" s="37" t="str">
        <x:v>一般</x:v>
      </x:c>
      <x:c r="G50" s="37" t="str">
        <x:v>一般</x:v>
      </x:c>
      <x:c r="H50" s="37" t="str">
        <x:v>LJT-PREP-EXTRACTION</x:v>
      </x:c>
      <x:c r="I50" s="48" t="n">
        <x:f>COUNTIFS('適配要求展開'!$A$7:$A$734,$A50,'適配要求展開'!$C$7:$C$734,$C50)</x:f>
        <x:v>4</x:v>
      </x:c>
      <x:c r="J50" s="48" t="n">
        <x:f>COUNTIFS('適配要求展開'!$A$7:$A$734,$A50,'適配要求展開'!$C$7:$C$734,$C50,'適配要求展開'!$I$7:$I$734,"待確認")</x:f>
        <x:v>3</x:v>
      </x:c>
      <x:c r="K50" s="48" t="n">
        <x:f>COUNTIFS('適配要求展開'!$A$7:$A$734,$A50,'適配要求展開'!$C$7:$C$734,$C50,'適配要求展開'!$N$7:$N$734,"不符合")</x:f>
        <x:v>0</x:v>
      </x:c>
      <x:c r="L50" s="48" t="n">
        <x:f>COUNTIFS('適配要求展開'!$A$7:$A$734,$A50,'適配要求展開'!$C$7:$C$734,$C50,'適配要求展開'!$L$7:$L$734,"Ø")</x:f>
        <x:v>0</x:v>
      </x:c>
      <x:c r="M50" s="51" t="n">
        <x:f>IF($I50=0,"n.a.",$L50/$I50)</x:f>
        <x:v>0</x:v>
      </x:c>
      <x:c r="N50" s="48" t="str">
        <x:f>_xlfn.XLOOKUP($A50&amp;"|李侑津醫師",'試行熟悉度'!$K$7:$K$20,'試行熟悉度'!$E$7:$E$20,"未評估",0)</x:f>
        <x:v>可獨立配合</x:v>
      </x:c>
      <x:c r="O50" s="48" t="str">
        <x:f>IF(OR(COUNTIFS('適配要求展開'!$A$7:$A$734,$A50,'適配要求展開'!$C$7:$C$734,$C50,'適配要求展開'!$M$7:$M$734,"&lt;&gt;已核定")&gt;0,_xlfn.XLOOKUP($A50&amp;"|李侑津醫師",'試行熟悉度'!$K$7:$K$20,'試行熟悉度'!$F$7:$F$20,"未建立",0)&lt;&gt;"已核定"),"待主管核定","已核定")</x:f>
        <x:v>待主管核定</x:v>
      </x:c>
      <x:c r="P50" s="48" t="str">
        <x:f>IF($C50="LJT-RPD-FINAL","支援者另判",IF($G50="高複雜度",_xlfn.XLOOKUP($A50&amp;"|"&amp;$H50,'資格有效性'!$L$7:$L$62,'資格有效性'!$E$7:$E$62,"未建立",0),"不需複評"))</x:f>
        <x:v>不需複評</x:v>
      </x:c>
      <x:c r="Q50" s="48" t="n">
        <x:v>0</x:v>
      </x:c>
      <x:c r="R50" s="48"/>
      <x:c r="S50" s="48" t="str">
        <x:f>IF($K50&gt;0,"不可正式排",IF(OR($N50="未評估",$N50="學習中"),"不可正式排",IF(AND($L50=0,$N50="可獨立配合"),"初步可獨立",IF(AND($L50&lt;=3,$M50&lt;=1/3,OR($N50="可獨立配合",$N50="可配合但需支援")),"初步可條件排","不可正式排"))))</x:f>
        <x:v>初步可獨立</x:v>
      </x:c>
      <x:c r="T50" s="53" t="str">
        <x:f>IF($C50="LJT-RPD-FINAL","固定短時支援 1 人／30 分鐘",IF($S50="初步可條件排",IF($G50="高複雜度","完整支援者 1:1（占 2 名額）","一般支援 1 名額"),"無"))</x:f>
        <x:v>無</x:v>
      </x:c>
      <x:c r="U50" s="53" t="str">
        <x:f>IF($J50&gt;0,"待確認共通技能門檻",IF($O50&lt;&gt;"已核定","待主管核定",IF(AND($G50="高複雜度",$P50&lt;&gt;"有效"),"資格未有效",$S50)))</x:f>
        <x:v>待確認共通技能門檻</x:v>
      </x:c>
      <x:c r="V50" t="str">
        <x:f>$A50&amp;"|"&amp;$C50</x:f>
        <x:v>1019|LJT-EXTRACTION</x:v>
      </x:c>
    </x:row>
    <x:row r="51">
      <x:c r="A51" s="37" t="str">
        <x:v>1019</x:v>
      </x:c>
      <x:c r="B51" s="37" t="str"/>
      <x:c r="C51" s="37" t="str">
        <x:v>LJT-CROWNPOST</x:v>
      </x:c>
      <x:c r="D51" s="37" t="str">
        <x:v>一般治療</x:v>
      </x:c>
      <x:c r="E51" s="37" t="str">
        <x:v>拆 crown/post</x:v>
      </x:c>
      <x:c r="F51" s="37" t="str">
        <x:v>一般</x:v>
      </x:c>
      <x:c r="G51" s="37" t="str">
        <x:v>一般</x:v>
      </x:c>
      <x:c r="H51" s="37" t="str">
        <x:v>LJT-PREP-CROWNPOST</x:v>
      </x:c>
      <x:c r="I51" s="48" t="n">
        <x:f>COUNTIFS('適配要求展開'!$A$7:$A$734,$A51,'適配要求展開'!$C$7:$C$734,$C51)</x:f>
        <x:v>4</x:v>
      </x:c>
      <x:c r="J51" s="48" t="n">
        <x:f>COUNTIFS('適配要求展開'!$A$7:$A$734,$A51,'適配要求展開'!$C$7:$C$734,$C51,'適配要求展開'!$I$7:$I$734,"待確認")</x:f>
        <x:v>3</x:v>
      </x:c>
      <x:c r="K51" s="48" t="n">
        <x:f>COUNTIFS('適配要求展開'!$A$7:$A$734,$A51,'適配要求展開'!$C$7:$C$734,$C51,'適配要求展開'!$N$7:$N$734,"不符合")</x:f>
        <x:v>0</x:v>
      </x:c>
      <x:c r="L51" s="48" t="n">
        <x:f>COUNTIFS('適配要求展開'!$A$7:$A$734,$A51,'適配要求展開'!$C$7:$C$734,$C51,'適配要求展開'!$L$7:$L$734,"Ø")</x:f>
        <x:v>0</x:v>
      </x:c>
      <x:c r="M51" s="51" t="n">
        <x:f>IF($I51=0,"n.a.",$L51/$I51)</x:f>
        <x:v>0</x:v>
      </x:c>
      <x:c r="N51" s="48" t="str">
        <x:f>_xlfn.XLOOKUP($A51&amp;"|李侑津醫師",'試行熟悉度'!$K$7:$K$20,'試行熟悉度'!$E$7:$E$20,"未評估",0)</x:f>
        <x:v>可獨立配合</x:v>
      </x:c>
      <x:c r="O51" s="48" t="str">
        <x:f>IF(OR(COUNTIFS('適配要求展開'!$A$7:$A$734,$A51,'適配要求展開'!$C$7:$C$734,$C51,'適配要求展開'!$M$7:$M$734,"&lt;&gt;已核定")&gt;0,_xlfn.XLOOKUP($A51&amp;"|李侑津醫師",'試行熟悉度'!$K$7:$K$20,'試行熟悉度'!$F$7:$F$20,"未建立",0)&lt;&gt;"已核定"),"待主管核定","已核定")</x:f>
        <x:v>待主管核定</x:v>
      </x:c>
      <x:c r="P51" s="48" t="str">
        <x:f>IF($C51="LJT-RPD-FINAL","支援者另判",IF($G51="高複雜度",_xlfn.XLOOKUP($A51&amp;"|"&amp;$H51,'資格有效性'!$L$7:$L$62,'資格有效性'!$E$7:$E$62,"未建立",0),"不需複評"))</x:f>
        <x:v>不需複評</x:v>
      </x:c>
      <x:c r="Q51" s="48" t="n">
        <x:v>0</x:v>
      </x:c>
      <x:c r="R51" s="48"/>
      <x:c r="S51" s="48" t="str">
        <x:f>IF($K51&gt;0,"不可正式排",IF(OR($N51="未評估",$N51="學習中"),"不可正式排",IF(AND($L51=0,$N51="可獨立配合"),"初步可獨立",IF(AND($L51&lt;=3,$M51&lt;=1/3,OR($N51="可獨立配合",$N51="可配合但需支援")),"初步可條件排","不可正式排"))))</x:f>
        <x:v>初步可獨立</x:v>
      </x:c>
      <x:c r="T51" s="53" t="str">
        <x:f>IF($C51="LJT-RPD-FINAL","固定短時支援 1 人／30 分鐘",IF($S51="初步可條件排",IF($G51="高複雜度","完整支援者 1:1（占 2 名額）","一般支援 1 名額"),"無"))</x:f>
        <x:v>無</x:v>
      </x:c>
      <x:c r="U51" s="53" t="str">
        <x:f>IF($J51&gt;0,"待確認共通技能門檻",IF($O51&lt;&gt;"已核定","待主管核定",IF(AND($G51="高複雜度",$P51&lt;&gt;"有效"),"資格未有效",$S51)))</x:f>
        <x:v>待確認共通技能門檻</x:v>
      </x:c>
      <x:c r="V51" t="str">
        <x:f>$A51&amp;"|"&amp;$C51</x:f>
        <x:v>1019|LJT-CROWNPOST</x:v>
      </x:c>
    </x:row>
    <x:row r="52">
      <x:c r="A52" s="37" t="str">
        <x:v>1019</x:v>
      </x:c>
      <x:c r="B52" s="37" t="str"/>
      <x:c r="C52" s="37" t="str">
        <x:v>LJT-CROWN</x:v>
      </x:c>
      <x:c r="D52" s="37" t="str">
        <x:v>補綴／自費</x:v>
      </x:c>
      <x:c r="E52" s="37" t="str">
        <x:v>固定假牙</x:v>
      </x:c>
      <x:c r="F52" s="37" t="str">
        <x:v>一般</x:v>
      </x:c>
      <x:c r="G52" s="37" t="str">
        <x:v>一般</x:v>
      </x:c>
      <x:c r="H52" s="37" t="str">
        <x:v>LJT-PREP-CROWN</x:v>
      </x:c>
      <x:c r="I52" s="48" t="n">
        <x:f>COUNTIFS('適配要求展開'!$A$7:$A$734,$A52,'適配要求展開'!$C$7:$C$734,$C52)</x:f>
        <x:v>4</x:v>
      </x:c>
      <x:c r="J52" s="48" t="n">
        <x:f>COUNTIFS('適配要求展開'!$A$7:$A$734,$A52,'適配要求展開'!$C$7:$C$734,$C52,'適配要求展開'!$I$7:$I$734,"待確認")</x:f>
        <x:v>3</x:v>
      </x:c>
      <x:c r="K52" s="48" t="n">
        <x:f>COUNTIFS('適配要求展開'!$A$7:$A$734,$A52,'適配要求展開'!$C$7:$C$734,$C52,'適配要求展開'!$N$7:$N$734,"不符合")</x:f>
        <x:v>0</x:v>
      </x:c>
      <x:c r="L52" s="48" t="n">
        <x:f>COUNTIFS('適配要求展開'!$A$7:$A$734,$A52,'適配要求展開'!$C$7:$C$734,$C52,'適配要求展開'!$L$7:$L$734,"Ø")</x:f>
        <x:v>0</x:v>
      </x:c>
      <x:c r="M52" s="51" t="n">
        <x:f>IF($I52=0,"n.a.",$L52/$I52)</x:f>
        <x:v>0</x:v>
      </x:c>
      <x:c r="N52" s="48" t="str">
        <x:f>_xlfn.XLOOKUP($A52&amp;"|李侑津醫師",'試行熟悉度'!$K$7:$K$20,'試行熟悉度'!$E$7:$E$20,"未評估",0)</x:f>
        <x:v>可獨立配合</x:v>
      </x:c>
      <x:c r="O52" s="48" t="str">
        <x:f>IF(OR(COUNTIFS('適配要求展開'!$A$7:$A$734,$A52,'適配要求展開'!$C$7:$C$734,$C52,'適配要求展開'!$M$7:$M$734,"&lt;&gt;已核定")&gt;0,_xlfn.XLOOKUP($A52&amp;"|李侑津醫師",'試行熟悉度'!$K$7:$K$20,'試行熟悉度'!$F$7:$F$20,"未建立",0)&lt;&gt;"已核定"),"待主管核定","已核定")</x:f>
        <x:v>待主管核定</x:v>
      </x:c>
      <x:c r="P52" s="48" t="str">
        <x:f>IF($C52="LJT-RPD-FINAL","支援者另判",IF($G52="高複雜度",_xlfn.XLOOKUP($A52&amp;"|"&amp;$H52,'資格有效性'!$L$7:$L$62,'資格有效性'!$E$7:$E$62,"未建立",0),"不需複評"))</x:f>
        <x:v>不需複評</x:v>
      </x:c>
      <x:c r="Q52" s="48" t="n">
        <x:v>0</x:v>
      </x:c>
      <x:c r="R52" s="48"/>
      <x:c r="S52" s="48" t="str">
        <x:f>IF($K52&gt;0,"不可正式排",IF(OR($N52="未評估",$N52="學習中"),"不可正式排",IF(AND($L52=0,$N52="可獨立配合"),"初步可獨立",IF(AND($L52&lt;=3,$M52&lt;=1/3,OR($N52="可獨立配合",$N52="可配合但需支援")),"初步可條件排","不可正式排"))))</x:f>
        <x:v>初步可獨立</x:v>
      </x:c>
      <x:c r="T52" s="53" t="str">
        <x:f>IF($C52="LJT-RPD-FINAL","固定短時支援 1 人／30 分鐘",IF($S52="初步可條件排",IF($G52="高複雜度","完整支援者 1:1（占 2 名額）","一般支援 1 名額"),"無"))</x:f>
        <x:v>無</x:v>
      </x:c>
      <x:c r="U52" s="53" t="str">
        <x:f>IF($J52&gt;0,"待確認共通技能門檻",IF($O52&lt;&gt;"已核定","待主管核定",IF(AND($G52="高複雜度",$P52&lt;&gt;"有效"),"資格未有效",$S52)))</x:f>
        <x:v>待確認共通技能門檻</x:v>
      </x:c>
      <x:c r="V52" t="str">
        <x:f>$A52&amp;"|"&amp;$C52</x:f>
        <x:v>1019|LJT-CROWN</x:v>
      </x:c>
    </x:row>
    <x:row r="53">
      <x:c r="A53" s="37" t="str">
        <x:v>1019</x:v>
      </x:c>
      <x:c r="B53" s="37" t="str"/>
      <x:c r="C53" s="37" t="str">
        <x:v>LJT-RPD</x:v>
      </x:c>
      <x:c r="D53" s="37" t="str">
        <x:v>補綴／自費</x:v>
      </x:c>
      <x:c r="E53" s="37" t="str">
        <x:v>RPD</x:v>
      </x:c>
      <x:c r="F53" s="37" t="str">
        <x:v>一般步驟</x:v>
      </x:c>
      <x:c r="G53" s="37" t="str">
        <x:v>一般</x:v>
      </x:c>
      <x:c r="H53" s="37" t="str">
        <x:v>LJT-PREP-RPD</x:v>
      </x:c>
      <x:c r="I53" s="48" t="n">
        <x:f>COUNTIFS('適配要求展開'!$A$7:$A$734,$A53,'適配要求展開'!$C$7:$C$734,$C53)</x:f>
        <x:v>4</x:v>
      </x:c>
      <x:c r="J53" s="48" t="n">
        <x:f>COUNTIFS('適配要求展開'!$A$7:$A$734,$A53,'適配要求展開'!$C$7:$C$734,$C53,'適配要求展開'!$I$7:$I$734,"待確認")</x:f>
        <x:v>3</x:v>
      </x:c>
      <x:c r="K53" s="48" t="n">
        <x:f>COUNTIFS('適配要求展開'!$A$7:$A$734,$A53,'適配要求展開'!$C$7:$C$734,$C53,'適配要求展開'!$N$7:$N$734,"不符合")</x:f>
        <x:v>0</x:v>
      </x:c>
      <x:c r="L53" s="48" t="n">
        <x:f>COUNTIFS('適配要求展開'!$A$7:$A$734,$A53,'適配要求展開'!$C$7:$C$734,$C53,'適配要求展開'!$L$7:$L$734,"Ø")</x:f>
        <x:v>0</x:v>
      </x:c>
      <x:c r="M53" s="51" t="n">
        <x:f>IF($I53=0,"n.a.",$L53/$I53)</x:f>
        <x:v>0</x:v>
      </x:c>
      <x:c r="N53" s="48" t="str">
        <x:f>_xlfn.XLOOKUP($A53&amp;"|李侑津醫師",'試行熟悉度'!$K$7:$K$20,'試行熟悉度'!$E$7:$E$20,"未評估",0)</x:f>
        <x:v>可獨立配合</x:v>
      </x:c>
      <x:c r="O53" s="48" t="str">
        <x:f>IF(OR(COUNTIFS('適配要求展開'!$A$7:$A$734,$A53,'適配要求展開'!$C$7:$C$734,$C53,'適配要求展開'!$M$7:$M$734,"&lt;&gt;已核定")&gt;0,_xlfn.XLOOKUP($A53&amp;"|李侑津醫師",'試行熟悉度'!$K$7:$K$20,'試行熟悉度'!$F$7:$F$20,"未建立",0)&lt;&gt;"已核定"),"待主管核定","已核定")</x:f>
        <x:v>待主管核定</x:v>
      </x:c>
      <x:c r="P53" s="48" t="str">
        <x:f>IF($C53="LJT-RPD-FINAL","支援者另判",IF($G53="高複雜度",_xlfn.XLOOKUP($A53&amp;"|"&amp;$H53,'資格有效性'!$L$7:$L$62,'資格有效性'!$E$7:$E$62,"未建立",0),"不需複評"))</x:f>
        <x:v>不需複評</x:v>
      </x:c>
      <x:c r="Q53" s="48" t="n">
        <x:v>0</x:v>
      </x:c>
      <x:c r="R53" s="48"/>
      <x:c r="S53" s="48" t="str">
        <x:f>IF($K53&gt;0,"不可正式排",IF(OR($N53="未評估",$N53="學習中"),"不可正式排",IF(AND($L53=0,$N53="可獨立配合"),"初步可獨立",IF(AND($L53&lt;=3,$M53&lt;=1/3,OR($N53="可獨立配合",$N53="可配合但需支援")),"初步可條件排","不可正式排"))))</x:f>
        <x:v>初步可獨立</x:v>
      </x:c>
      <x:c r="T53" s="53" t="str">
        <x:f>IF($C53="LJT-RPD-FINAL","固定短時支援 1 人／30 分鐘",IF($S53="初步可條件排",IF($G53="高複雜度","完整支援者 1:1（占 2 名額）","一般支援 1 名額"),"無"))</x:f>
        <x:v>無</x:v>
      </x:c>
      <x:c r="U53" s="53" t="str">
        <x:f>IF($J53&gt;0,"待確認共通技能門檻",IF($O53&lt;&gt;"已核定","待主管核定",IF(AND($G53="高複雜度",$P53&lt;&gt;"有效"),"資格未有效",$S53)))</x:f>
        <x:v>待確認共通技能門檻</x:v>
      </x:c>
      <x:c r="V53" t="str">
        <x:f>$A53&amp;"|"&amp;$C53</x:f>
        <x:v>1019|LJT-RPD</x:v>
      </x:c>
    </x:row>
    <x:row r="54">
      <x:c r="A54" s="37" t="str">
        <x:v>1019</x:v>
      </x:c>
      <x:c r="B54" s="37" t="str"/>
      <x:c r="C54" s="37" t="str">
        <x:v>LJT-RPD-FINAL</x:v>
      </x:c>
      <x:c r="D54" s="37" t="str">
        <x:v>補綴／自費</x:v>
      </x:c>
      <x:c r="E54" s="37" t="str">
        <x:v>RPD</x:v>
      </x:c>
      <x:c r="F54" s="37" t="str">
        <x:v>印最終模</x:v>
      </x:c>
      <x:c r="G54" s="37" t="str">
        <x:v>特殊階段</x:v>
      </x:c>
      <x:c r="H54" s="37" t="str">
        <x:v>LJT-PREP-RPD</x:v>
      </x:c>
      <x:c r="I54" s="48" t="n">
        <x:f>COUNTIFS('適配要求展開'!$A$7:$A$734,$A54,'適配要求展開'!$C$7:$C$734,$C54)</x:f>
        <x:v>4</x:v>
      </x:c>
      <x:c r="J54" s="48" t="n">
        <x:f>COUNTIFS('適配要求展開'!$A$7:$A$734,$A54,'適配要求展開'!$C$7:$C$734,$C54,'適配要求展開'!$I$7:$I$734,"待確認")</x:f>
        <x:v>3</x:v>
      </x:c>
      <x:c r="K54" s="48" t="n">
        <x:f>COUNTIFS('適配要求展開'!$A$7:$A$734,$A54,'適配要求展開'!$C$7:$C$734,$C54,'適配要求展開'!$N$7:$N$734,"不符合")</x:f>
        <x:v>0</x:v>
      </x:c>
      <x:c r="L54" s="48" t="n">
        <x:f>COUNTIFS('適配要求展開'!$A$7:$A$734,$A54,'適配要求展開'!$C$7:$C$734,$C54,'適配要求展開'!$L$7:$L$734,"Ø")</x:f>
        <x:v>0</x:v>
      </x:c>
      <x:c r="M54" s="51" t="n">
        <x:f>IF($I54=0,"n.a.",$L54/$I54)</x:f>
        <x:v>0</x:v>
      </x:c>
      <x:c r="N54" s="48" t="str">
        <x:f>_xlfn.XLOOKUP($A54&amp;"|李侑津醫師",'試行熟悉度'!$K$7:$K$20,'試行熟悉度'!$E$7:$E$20,"未評估",0)</x:f>
        <x:v>可獨立配合</x:v>
      </x:c>
      <x:c r="O54" s="48" t="str">
        <x:f>IF(OR(COUNTIFS('適配要求展開'!$A$7:$A$734,$A54,'適配要求展開'!$C$7:$C$734,$C54,'適配要求展開'!$M$7:$M$734,"&lt;&gt;已核定")&gt;0,_xlfn.XLOOKUP($A54&amp;"|李侑津醫師",'試行熟悉度'!$K$7:$K$20,'試行熟悉度'!$F$7:$F$20,"未建立",0)&lt;&gt;"已核定"),"待主管核定","已核定")</x:f>
        <x:v>待主管核定</x:v>
      </x:c>
      <x:c r="P54" s="48" t="str">
        <x:f>IF($C54="LJT-RPD-FINAL","支援者另判",IF($G54="高複雜度",_xlfn.XLOOKUP($A54&amp;"|"&amp;$H54,'資格有效性'!$L$7:$L$62,'資格有效性'!$E$7:$E$62,"未建立",0),"不需複評"))</x:f>
        <x:v>支援者另判</x:v>
      </x:c>
      <x:c r="Q54" s="48" t="n">
        <x:v>1</x:v>
      </x:c>
      <x:c r="R54" s="48" t="n">
        <x:v>30</x:v>
      </x:c>
      <x:c r="S54" s="48" t="str">
        <x:f>IF($K54&gt;0,"不可正式排",IF(OR($N54="未評估",$N54="學習中"),"不可正式排",IF(AND($L54=0,$N54="可獨立配合"),"初步可獨立",IF(AND($L54&lt;=3,$M54&lt;=1/3,OR($N54="可獨立配合",$N54="可配合但需支援")),"初步可條件排","不可正式排"))))</x:f>
        <x:v>初步可獨立</x:v>
      </x:c>
      <x:c r="T54" s="53" t="str">
        <x:f>IF($C54="LJT-RPD-FINAL","固定短時支援 1 人／30 分鐘",IF($S54="初步可條件排",IF($G54="高複雜度","完整支援者 1:1（占 2 名額）","一般支援 1 名額"),"無"))</x:f>
        <x:v>固定短時支援 1 人／30 分鐘</x:v>
      </x:c>
      <x:c r="U54" s="53" t="str">
        <x:f>IF($J54&gt;0,"待確認共通技能門檻",IF($O54&lt;&gt;"已核定","待主管核定",IF(AND($G54="高複雜度",$P54&lt;&gt;"有效"),"資格未有效",$S54)))</x:f>
        <x:v>待確認共通技能門檻</x:v>
      </x:c>
      <x:c r="V54" t="str">
        <x:f>$A54&amp;"|"&amp;$C54</x:f>
        <x:v>1019|LJT-RPD-FINAL</x:v>
      </x:c>
    </x:row>
    <x:row r="55">
      <x:c r="A55" s="37" t="str">
        <x:v>1019</x:v>
      </x:c>
      <x:c r="B55" s="37" t="str"/>
      <x:c r="C55" s="37" t="str">
        <x:v>LJT-AIRPOLISH</x:v>
      </x:c>
      <x:c r="D55" s="37" t="str">
        <x:v>補綴／自費</x:v>
      </x:c>
      <x:c r="E55" s="37" t="str">
        <x:v>噴砂美白</x:v>
      </x:c>
      <x:c r="F55" s="37" t="str">
        <x:v>一般</x:v>
      </x:c>
      <x:c r="G55" s="37" t="str">
        <x:v>一般</x:v>
      </x:c>
      <x:c r="H55" s="37" t="str">
        <x:v>LJT-PREP-AIRPOLISH</x:v>
      </x:c>
      <x:c r="I55" s="48" t="n">
        <x:f>COUNTIFS('適配要求展開'!$A$7:$A$734,$A55,'適配要求展開'!$C$7:$C$734,$C55)</x:f>
        <x:v>4</x:v>
      </x:c>
      <x:c r="J55" s="48" t="n">
        <x:f>COUNTIFS('適配要求展開'!$A$7:$A$734,$A55,'適配要求展開'!$C$7:$C$734,$C55,'適配要求展開'!$I$7:$I$734,"待確認")</x:f>
        <x:v>3</x:v>
      </x:c>
      <x:c r="K55" s="48" t="n">
        <x:f>COUNTIFS('適配要求展開'!$A$7:$A$734,$A55,'適配要求展開'!$C$7:$C$734,$C55,'適配要求展開'!$N$7:$N$734,"不符合")</x:f>
        <x:v>0</x:v>
      </x:c>
      <x:c r="L55" s="48" t="n">
        <x:f>COUNTIFS('適配要求展開'!$A$7:$A$734,$A55,'適配要求展開'!$C$7:$C$734,$C55,'適配要求展開'!$L$7:$L$734,"Ø")</x:f>
        <x:v>0</x:v>
      </x:c>
      <x:c r="M55" s="51" t="n">
        <x:f>IF($I55=0,"n.a.",$L55/$I55)</x:f>
        <x:v>0</x:v>
      </x:c>
      <x:c r="N55" s="48" t="str">
        <x:f>_xlfn.XLOOKUP($A55&amp;"|李侑津醫師",'試行熟悉度'!$K$7:$K$20,'試行熟悉度'!$E$7:$E$20,"未評估",0)</x:f>
        <x:v>可獨立配合</x:v>
      </x:c>
      <x:c r="O55" s="48" t="str">
        <x:f>IF(OR(COUNTIFS('適配要求展開'!$A$7:$A$734,$A55,'適配要求展開'!$C$7:$C$734,$C55,'適配要求展開'!$M$7:$M$734,"&lt;&gt;已核定")&gt;0,_xlfn.XLOOKUP($A55&amp;"|李侑津醫師",'試行熟悉度'!$K$7:$K$20,'試行熟悉度'!$F$7:$F$20,"未建立",0)&lt;&gt;"已核定"),"待主管核定","已核定")</x:f>
        <x:v>待主管核定</x:v>
      </x:c>
      <x:c r="P55" s="48" t="str">
        <x:f>IF($C55="LJT-RPD-FINAL","支援者另判",IF($G55="高複雜度",_xlfn.XLOOKUP($A55&amp;"|"&amp;$H55,'資格有效性'!$L$7:$L$62,'資格有效性'!$E$7:$E$62,"未建立",0),"不需複評"))</x:f>
        <x:v>不需複評</x:v>
      </x:c>
      <x:c r="Q55" s="48" t="n">
        <x:v>0</x:v>
      </x:c>
      <x:c r="R55" s="48"/>
      <x:c r="S55" s="48" t="str">
        <x:f>IF($K55&gt;0,"不可正式排",IF(OR($N55="未評估",$N55="學習中"),"不可正式排",IF(AND($L55=0,$N55="可獨立配合"),"初步可獨立",IF(AND($L55&lt;=3,$M55&lt;=1/3,OR($N55="可獨立配合",$N55="可配合但需支援")),"初步可條件排","不可正式排"))))</x:f>
        <x:v>初步可獨立</x:v>
      </x:c>
      <x:c r="T55" s="53" t="str">
        <x:f>IF($C55="LJT-RPD-FINAL","固定短時支援 1 人／30 分鐘",IF($S55="初步可條件排",IF($G55="高複雜度","完整支援者 1:1（占 2 名額）","一般支援 1 名額"),"無"))</x:f>
        <x:v>無</x:v>
      </x:c>
      <x:c r="U55" s="53" t="str">
        <x:f>IF($J55&gt;0,"待確認共通技能門檻",IF($O55&lt;&gt;"已核定","待主管核定",IF(AND($G55="高複雜度",$P55&lt;&gt;"有效"),"資格未有效",$S55)))</x:f>
        <x:v>待確認共通技能門檻</x:v>
      </x:c>
      <x:c r="V55" t="str">
        <x:f>$A55&amp;"|"&amp;$C55</x:f>
        <x:v>1019|LJT-AIRPOLISH</x:v>
      </x:c>
    </x:row>
    <x:row r="56">
      <x:c r="A56" s="37" t="str">
        <x:v>1019</x:v>
      </x:c>
      <x:c r="B56" s="37" t="str"/>
      <x:c r="C56" s="37" t="str">
        <x:v>LJT-PERIOSURG</x:v>
      </x:c>
      <x:c r="D56" s="37" t="str">
        <x:v>高複雜度</x:v>
      </x:c>
      <x:c r="E56" s="37" t="str">
        <x:v>牙周手術</x:v>
      </x:c>
      <x:c r="F56" s="37" t="str">
        <x:v>一般</x:v>
      </x:c>
      <x:c r="G56" s="37" t="str">
        <x:v>高複雜度</x:v>
      </x:c>
      <x:c r="H56" s="37" t="str">
        <x:v>LJT-PREP-PERIOSURG</x:v>
      </x:c>
      <x:c r="I56" s="48" t="n">
        <x:f>COUNTIFS('適配要求展開'!$A$7:$A$734,$A56,'適配要求展開'!$C$7:$C$734,$C56)</x:f>
        <x:v>4</x:v>
      </x:c>
      <x:c r="J56" s="48" t="n">
        <x:f>COUNTIFS('適配要求展開'!$A$7:$A$734,$A56,'適配要求展開'!$C$7:$C$734,$C56,'適配要求展開'!$I$7:$I$734,"待確認")</x:f>
        <x:v>3</x:v>
      </x:c>
      <x:c r="K56" s="48" t="n">
        <x:f>COUNTIFS('適配要求展開'!$A$7:$A$734,$A56,'適配要求展開'!$C$7:$C$734,$C56,'適配要求展開'!$N$7:$N$734,"不符合")</x:f>
        <x:v>0</x:v>
      </x:c>
      <x:c r="L56" s="48" t="n">
        <x:f>COUNTIFS('適配要求展開'!$A$7:$A$734,$A56,'適配要求展開'!$C$7:$C$734,$C56,'適配要求展開'!$L$7:$L$734,"Ø")</x:f>
        <x:v>0</x:v>
      </x:c>
      <x:c r="M56" s="51" t="n">
        <x:f>IF($I56=0,"n.a.",$L56/$I56)</x:f>
        <x:v>0</x:v>
      </x:c>
      <x:c r="N56" s="48" t="str">
        <x:f>_xlfn.XLOOKUP($A56&amp;"|李侑津醫師",'試行熟悉度'!$K$7:$K$20,'試行熟悉度'!$E$7:$E$20,"未評估",0)</x:f>
        <x:v>可獨立配合</x:v>
      </x:c>
      <x:c r="O56" s="48" t="str">
        <x:f>IF(OR(COUNTIFS('適配要求展開'!$A$7:$A$734,$A56,'適配要求展開'!$C$7:$C$734,$C56,'適配要求展開'!$M$7:$M$734,"&lt;&gt;已核定")&gt;0,_xlfn.XLOOKUP($A56&amp;"|李侑津醫師",'試行熟悉度'!$K$7:$K$20,'試行熟悉度'!$F$7:$F$20,"未建立",0)&lt;&gt;"已核定"),"待主管核定","已核定")</x:f>
        <x:v>待主管核定</x:v>
      </x:c>
      <x:c r="P56" s="48" t="str">
        <x:f>IF($C56="LJT-RPD-FINAL","支援者另判",IF($G56="高複雜度",_xlfn.XLOOKUP($A56&amp;"|"&amp;$H56,'資格有效性'!$L$7:$L$62,'資格有效性'!$E$7:$E$62,"未建立",0),"不需複評"))</x:f>
        <x:v>待主管核定</x:v>
      </x:c>
      <x:c r="Q56" s="48" t="n">
        <x:v>0</x:v>
      </x:c>
      <x:c r="R56" s="48"/>
      <x:c r="S56" s="48" t="str">
        <x:f>IF($K56&gt;0,"不可正式排",IF(OR($N56="未評估",$N56="學習中"),"不可正式排",IF(AND($L56=0,$N56="可獨立配合"),"初步可獨立",IF(AND($L56&lt;=3,$M56&lt;=1/3,OR($N56="可獨立配合",$N56="可配合但需支援")),"初步可條件排","不可正式排"))))</x:f>
        <x:v>初步可獨立</x:v>
      </x:c>
      <x:c r="T56" s="53" t="str">
        <x:f>IF($C56="LJT-RPD-FINAL","固定短時支援 1 人／30 分鐘",IF($S56="初步可條件排",IF($G56="高複雜度","完整支援者 1:1（占 2 名額）","一般支援 1 名額"),"無"))</x:f>
        <x:v>無</x:v>
      </x:c>
      <x:c r="U56" s="53" t="str">
        <x:f>IF($J56&gt;0,"待確認共通技能門檻",IF($O56&lt;&gt;"已核定","待主管核定",IF(AND($G56="高複雜度",$P56&lt;&gt;"有效"),"資格未有效",$S56)))</x:f>
        <x:v>待確認共通技能門檻</x:v>
      </x:c>
      <x:c r="V56" t="str">
        <x:f>$A56&amp;"|"&amp;$C56</x:f>
        <x:v>1019|LJT-PERIOSURG</x:v>
      </x:c>
    </x:row>
    <x:row r="57">
      <x:c r="A57" s="37" t="str">
        <x:v>1019</x:v>
      </x:c>
      <x:c r="B57" s="37" t="str"/>
      <x:c r="C57" s="37" t="str">
        <x:v>LJT-MICROENDO</x:v>
      </x:c>
      <x:c r="D57" s="37" t="str">
        <x:v>高複雜度</x:v>
      </x:c>
      <x:c r="E57" s="37" t="str">
        <x:v>顯微根管</x:v>
      </x:c>
      <x:c r="F57" s="37" t="str">
        <x:v>一般</x:v>
      </x:c>
      <x:c r="G57" s="37" t="str">
        <x:v>高複雜度</x:v>
      </x:c>
      <x:c r="H57" s="37" t="str">
        <x:v>LJT-PREP-MICROENDO</x:v>
      </x:c>
      <x:c r="I57" s="48" t="n">
        <x:f>COUNTIFS('適配要求展開'!$A$7:$A$734,$A57,'適配要求展開'!$C$7:$C$734,$C57)</x:f>
        <x:v>4</x:v>
      </x:c>
      <x:c r="J57" s="48" t="n">
        <x:f>COUNTIFS('適配要求展開'!$A$7:$A$734,$A57,'適配要求展開'!$C$7:$C$734,$C57,'適配要求展開'!$I$7:$I$734,"待確認")</x:f>
        <x:v>3</x:v>
      </x:c>
      <x:c r="K57" s="48" t="n">
        <x:f>COUNTIFS('適配要求展開'!$A$7:$A$734,$A57,'適配要求展開'!$C$7:$C$734,$C57,'適配要求展開'!$N$7:$N$734,"不符合")</x:f>
        <x:v>0</x:v>
      </x:c>
      <x:c r="L57" s="48" t="n">
        <x:f>COUNTIFS('適配要求展開'!$A$7:$A$734,$A57,'適配要求展開'!$C$7:$C$734,$C57,'適配要求展開'!$L$7:$L$734,"Ø")</x:f>
        <x:v>0</x:v>
      </x:c>
      <x:c r="M57" s="51" t="n">
        <x:f>IF($I57=0,"n.a.",$L57/$I57)</x:f>
        <x:v>0</x:v>
      </x:c>
      <x:c r="N57" s="48" t="str">
        <x:f>_xlfn.XLOOKUP($A57&amp;"|李侑津醫師",'試行熟悉度'!$K$7:$K$20,'試行熟悉度'!$E$7:$E$20,"未評估",0)</x:f>
        <x:v>可獨立配合</x:v>
      </x:c>
      <x:c r="O57" s="48" t="str">
        <x:f>IF(OR(COUNTIFS('適配要求展開'!$A$7:$A$734,$A57,'適配要求展開'!$C$7:$C$734,$C57,'適配要求展開'!$M$7:$M$734,"&lt;&gt;已核定")&gt;0,_xlfn.XLOOKUP($A57&amp;"|李侑津醫師",'試行熟悉度'!$K$7:$K$20,'試行熟悉度'!$F$7:$F$20,"未建立",0)&lt;&gt;"已核定"),"待主管核定","已核定")</x:f>
        <x:v>待主管核定</x:v>
      </x:c>
      <x:c r="P57" s="48" t="str">
        <x:f>IF($C57="LJT-RPD-FINAL","支援者另判",IF($G57="高複雜度",_xlfn.XLOOKUP($A57&amp;"|"&amp;$H57,'資格有效性'!$L$7:$L$62,'資格有效性'!$E$7:$E$62,"未建立",0),"不需複評"))</x:f>
        <x:v>待主管核定</x:v>
      </x:c>
      <x:c r="Q57" s="48" t="n">
        <x:v>0</x:v>
      </x:c>
      <x:c r="R57" s="48"/>
      <x:c r="S57" s="48" t="str">
        <x:f>IF($K57&gt;0,"不可正式排",IF(OR($N57="未評估",$N57="學習中"),"不可正式排",IF(AND($L57=0,$N57="可獨立配合"),"初步可獨立",IF(AND($L57&lt;=3,$M57&lt;=1/3,OR($N57="可獨立配合",$N57="可配合但需支援")),"初步可條件排","不可正式排"))))</x:f>
        <x:v>初步可獨立</x:v>
      </x:c>
      <x:c r="T57" s="53" t="str">
        <x:f>IF($C57="LJT-RPD-FINAL","固定短時支援 1 人／30 分鐘",IF($S57="初步可條件排",IF($G57="高複雜度","完整支援者 1:1（占 2 名額）","一般支援 1 名額"),"無"))</x:f>
        <x:v>無</x:v>
      </x:c>
      <x:c r="U57" s="53" t="str">
        <x:f>IF($J57&gt;0,"待確認共通技能門檻",IF($O57&lt;&gt;"已核定","待主管核定",IF(AND($G57="高複雜度",$P57&lt;&gt;"有效"),"資格未有效",$S57)))</x:f>
        <x:v>待確認共通技能門檻</x:v>
      </x:c>
      <x:c r="V57" t="str">
        <x:f>$A57&amp;"|"&amp;$C57</x:f>
        <x:v>1019|LJT-MICROENDO</x:v>
      </x:c>
    </x:row>
    <x:row r="58">
      <x:c r="A58" s="37" t="str">
        <x:v>1019</x:v>
      </x:c>
      <x:c r="B58" s="37" t="str"/>
      <x:c r="C58" s="37" t="str">
        <x:v>LJT-IMPLANT</x:v>
      </x:c>
      <x:c r="D58" s="37" t="str">
        <x:v>高複雜度</x:v>
      </x:c>
      <x:c r="E58" s="37" t="str">
        <x:v>植牙</x:v>
      </x:c>
      <x:c r="F58" s="37" t="str">
        <x:v>一般</x:v>
      </x:c>
      <x:c r="G58" s="37" t="str">
        <x:v>高複雜度</x:v>
      </x:c>
      <x:c r="H58" s="37" t="str">
        <x:v>LJT-PREP-IMPLANT</x:v>
      </x:c>
      <x:c r="I58" s="48" t="n">
        <x:f>COUNTIFS('適配要求展開'!$A$7:$A$734,$A58,'適配要求展開'!$C$7:$C$734,$C58)</x:f>
        <x:v>4</x:v>
      </x:c>
      <x:c r="J58" s="48" t="n">
        <x:f>COUNTIFS('適配要求展開'!$A$7:$A$734,$A58,'適配要求展開'!$C$7:$C$734,$C58,'適配要求展開'!$I$7:$I$734,"待確認")</x:f>
        <x:v>3</x:v>
      </x:c>
      <x:c r="K58" s="48" t="n">
        <x:f>COUNTIFS('適配要求展開'!$A$7:$A$734,$A58,'適配要求展開'!$C$7:$C$734,$C58,'適配要求展開'!$N$7:$N$734,"不符合")</x:f>
        <x:v>0</x:v>
      </x:c>
      <x:c r="L58" s="48" t="n">
        <x:f>COUNTIFS('適配要求展開'!$A$7:$A$734,$A58,'適配要求展開'!$C$7:$C$734,$C58,'適配要求展開'!$L$7:$L$734,"Ø")</x:f>
        <x:v>0</x:v>
      </x:c>
      <x:c r="M58" s="51" t="n">
        <x:f>IF($I58=0,"n.a.",$L58/$I58)</x:f>
        <x:v>0</x:v>
      </x:c>
      <x:c r="N58" s="48" t="str">
        <x:f>_xlfn.XLOOKUP($A58&amp;"|李侑津醫師",'試行熟悉度'!$K$7:$K$20,'試行熟悉度'!$E$7:$E$20,"未評估",0)</x:f>
        <x:v>可獨立配合</x:v>
      </x:c>
      <x:c r="O58" s="48" t="str">
        <x:f>IF(OR(COUNTIFS('適配要求展開'!$A$7:$A$734,$A58,'適配要求展開'!$C$7:$C$734,$C58,'適配要求展開'!$M$7:$M$734,"&lt;&gt;已核定")&gt;0,_xlfn.XLOOKUP($A58&amp;"|李侑津醫師",'試行熟悉度'!$K$7:$K$20,'試行熟悉度'!$F$7:$F$20,"未建立",0)&lt;&gt;"已核定"),"待主管核定","已核定")</x:f>
        <x:v>待主管核定</x:v>
      </x:c>
      <x:c r="P58" s="48" t="str">
        <x:f>IF($C58="LJT-RPD-FINAL","支援者另判",IF($G58="高複雜度",_xlfn.XLOOKUP($A58&amp;"|"&amp;$H58,'資格有效性'!$L$7:$L$62,'資格有效性'!$E$7:$E$62,"未建立",0),"不需複評"))</x:f>
        <x:v>待主管核定</x:v>
      </x:c>
      <x:c r="Q58" s="48" t="n">
        <x:v>0</x:v>
      </x:c>
      <x:c r="R58" s="48"/>
      <x:c r="S58" s="48" t="str">
        <x:f>IF($K58&gt;0,"不可正式排",IF(OR($N58="未評估",$N58="學習中"),"不可正式排",IF(AND($L58=0,$N58="可獨立配合"),"初步可獨立",IF(AND($L58&lt;=3,$M58&lt;=1/3,OR($N58="可獨立配合",$N58="可配合但需支援")),"初步可條件排","不可正式排"))))</x:f>
        <x:v>初步可獨立</x:v>
      </x:c>
      <x:c r="T58" s="53" t="str">
        <x:f>IF($C58="LJT-RPD-FINAL","固定短時支援 1 人／30 分鐘",IF($S58="初步可條件排",IF($G58="高複雜度","完整支援者 1:1（占 2 名額）","一般支援 1 名額"),"無"))</x:f>
        <x:v>無</x:v>
      </x:c>
      <x:c r="U58" s="53" t="str">
        <x:f>IF($J58&gt;0,"待確認共通技能門檻",IF($O58&lt;&gt;"已核定","待主管核定",IF(AND($G58="高複雜度",$P58&lt;&gt;"有效"),"資格未有效",$S58)))</x:f>
        <x:v>待確認共通技能門檻</x:v>
      </x:c>
      <x:c r="V58" t="str">
        <x:f>$A58&amp;"|"&amp;$C58</x:f>
        <x:v>1019|LJT-IMPLANT</x:v>
      </x:c>
    </x:row>
    <x:row r="59">
      <x:c r="A59" s="37" t="str">
        <x:v>1020</x:v>
      </x:c>
      <x:c r="B59" s="37" t="str"/>
      <x:c r="C59" s="37" t="str">
        <x:v>LJT-SCALING</x:v>
      </x:c>
      <x:c r="D59" s="37" t="str">
        <x:v>一般治療</x:v>
      </x:c>
      <x:c r="E59" s="37" t="str">
        <x:v>洗牙</x:v>
      </x:c>
      <x:c r="F59" s="37" t="str">
        <x:v>一般</x:v>
      </x:c>
      <x:c r="G59" s="37" t="str">
        <x:v>一般</x:v>
      </x:c>
      <x:c r="H59" s="37" t="str">
        <x:v>LJT-PREP-SCALING</x:v>
      </x:c>
      <x:c r="I59" s="48" t="n">
        <x:f>COUNTIFS('適配要求展開'!$A$7:$A$734,$A59,'適配要求展開'!$C$7:$C$734,$C59)</x:f>
        <x:v>4</x:v>
      </x:c>
      <x:c r="J59" s="48" t="n">
        <x:f>COUNTIFS('適配要求展開'!$A$7:$A$734,$A59,'適配要求展開'!$C$7:$C$734,$C59,'適配要求展開'!$I$7:$I$734,"待確認")</x:f>
        <x:v>3</x:v>
      </x:c>
      <x:c r="K59" s="48" t="n">
        <x:f>COUNTIFS('適配要求展開'!$A$7:$A$734,$A59,'適配要求展開'!$C$7:$C$734,$C59,'適配要求展開'!$N$7:$N$734,"不符合")</x:f>
        <x:v>0</x:v>
      </x:c>
      <x:c r="L59" s="48" t="n">
        <x:f>COUNTIFS('適配要求展開'!$A$7:$A$734,$A59,'適配要求展開'!$C$7:$C$734,$C59,'適配要求展開'!$L$7:$L$734,"Ø")</x:f>
        <x:v>0</x:v>
      </x:c>
      <x:c r="M59" s="51" t="n">
        <x:f>IF($I59=0,"n.a.",$L59/$I59)</x:f>
        <x:v>0</x:v>
      </x:c>
      <x:c r="N59" s="48" t="str">
        <x:f>_xlfn.XLOOKUP($A59&amp;"|李侑津醫師",'試行熟悉度'!$K$7:$K$20,'試行熟悉度'!$E$7:$E$20,"未評估",0)</x:f>
        <x:v>可獨立配合</x:v>
      </x:c>
      <x:c r="O59" s="48" t="str">
        <x:f>IF(OR(COUNTIFS('適配要求展開'!$A$7:$A$734,$A59,'適配要求展開'!$C$7:$C$734,$C59,'適配要求展開'!$M$7:$M$734,"&lt;&gt;已核定")&gt;0,_xlfn.XLOOKUP($A59&amp;"|李侑津醫師",'試行熟悉度'!$K$7:$K$20,'試行熟悉度'!$F$7:$F$20,"未建立",0)&lt;&gt;"已核定"),"待主管核定","已核定")</x:f>
        <x:v>待主管核定</x:v>
      </x:c>
      <x:c r="P59" s="48" t="str">
        <x:f>IF($C59="LJT-RPD-FINAL","支援者另判",IF($G59="高複雜度",_xlfn.XLOOKUP($A59&amp;"|"&amp;$H59,'資格有效性'!$L$7:$L$62,'資格有效性'!$E$7:$E$62,"未建立",0),"不需複評"))</x:f>
        <x:v>不需複評</x:v>
      </x:c>
      <x:c r="Q59" s="48" t="n">
        <x:v>0</x:v>
      </x:c>
      <x:c r="R59" s="48"/>
      <x:c r="S59" s="48" t="str">
        <x:f>IF($K59&gt;0,"不可正式排",IF(OR($N59="未評估",$N59="學習中"),"不可正式排",IF(AND($L59=0,$N59="可獨立配合"),"初步可獨立",IF(AND($L59&lt;=3,$M59&lt;=1/3,OR($N59="可獨立配合",$N59="可配合但需支援")),"初步可條件排","不可正式排"))))</x:f>
        <x:v>初步可獨立</x:v>
      </x:c>
      <x:c r="T59" s="53" t="str">
        <x:f>IF($C59="LJT-RPD-FINAL","固定短時支援 1 人／30 分鐘",IF($S59="初步可條件排",IF($G59="高複雜度","完整支援者 1:1（占 2 名額）","一般支援 1 名額"),"無"))</x:f>
        <x:v>無</x:v>
      </x:c>
      <x:c r="U59" s="53" t="str">
        <x:f>IF($J59&gt;0,"待確認共通技能門檻",IF($O59&lt;&gt;"已核定","待主管核定",IF(AND($G59="高複雜度",$P59&lt;&gt;"有效"),"資格未有效",$S59)))</x:f>
        <x:v>待確認共通技能門檻</x:v>
      </x:c>
      <x:c r="V59" t="str">
        <x:f>$A59&amp;"|"&amp;$C59</x:f>
        <x:v>1020|LJT-SCALING</x:v>
      </x:c>
    </x:row>
    <x:row r="60">
      <x:c r="A60" s="37" t="str">
        <x:v>1020</x:v>
      </x:c>
      <x:c r="B60" s="37" t="str"/>
      <x:c r="C60" s="37" t="str">
        <x:v>LJT-FILLING</x:v>
      </x:c>
      <x:c r="D60" s="37" t="str">
        <x:v>一般治療</x:v>
      </x:c>
      <x:c r="E60" s="37" t="str">
        <x:v>補牙</x:v>
      </x:c>
      <x:c r="F60" s="37" t="str">
        <x:v>一般</x:v>
      </x:c>
      <x:c r="G60" s="37" t="str">
        <x:v>一般</x:v>
      </x:c>
      <x:c r="H60" s="37" t="str">
        <x:v>LJT-PREP-FILLING</x:v>
      </x:c>
      <x:c r="I60" s="48" t="n">
        <x:f>COUNTIFS('適配要求展開'!$A$7:$A$734,$A60,'適配要求展開'!$C$7:$C$734,$C60)</x:f>
        <x:v>4</x:v>
      </x:c>
      <x:c r="J60" s="48" t="n">
        <x:f>COUNTIFS('適配要求展開'!$A$7:$A$734,$A60,'適配要求展開'!$C$7:$C$734,$C60,'適配要求展開'!$I$7:$I$734,"待確認")</x:f>
        <x:v>3</x:v>
      </x:c>
      <x:c r="K60" s="48" t="n">
        <x:f>COUNTIFS('適配要求展開'!$A$7:$A$734,$A60,'適配要求展開'!$C$7:$C$734,$C60,'適配要求展開'!$N$7:$N$734,"不符合")</x:f>
        <x:v>0</x:v>
      </x:c>
      <x:c r="L60" s="48" t="n">
        <x:f>COUNTIFS('適配要求展開'!$A$7:$A$734,$A60,'適配要求展開'!$C$7:$C$734,$C60,'適配要求展開'!$L$7:$L$734,"Ø")</x:f>
        <x:v>0</x:v>
      </x:c>
      <x:c r="M60" s="51" t="n">
        <x:f>IF($I60=0,"n.a.",$L60/$I60)</x:f>
        <x:v>0</x:v>
      </x:c>
      <x:c r="N60" s="48" t="str">
        <x:f>_xlfn.XLOOKUP($A60&amp;"|李侑津醫師",'試行熟悉度'!$K$7:$K$20,'試行熟悉度'!$E$7:$E$20,"未評估",0)</x:f>
        <x:v>可獨立配合</x:v>
      </x:c>
      <x:c r="O60" s="48" t="str">
        <x:f>IF(OR(COUNTIFS('適配要求展開'!$A$7:$A$734,$A60,'適配要求展開'!$C$7:$C$734,$C60,'適配要求展開'!$M$7:$M$734,"&lt;&gt;已核定")&gt;0,_xlfn.XLOOKUP($A60&amp;"|李侑津醫師",'試行熟悉度'!$K$7:$K$20,'試行熟悉度'!$F$7:$F$20,"未建立",0)&lt;&gt;"已核定"),"待主管核定","已核定")</x:f>
        <x:v>待主管核定</x:v>
      </x:c>
      <x:c r="P60" s="48" t="str">
        <x:f>IF($C60="LJT-RPD-FINAL","支援者另判",IF($G60="高複雜度",_xlfn.XLOOKUP($A60&amp;"|"&amp;$H60,'資格有效性'!$L$7:$L$62,'資格有效性'!$E$7:$E$62,"未建立",0),"不需複評"))</x:f>
        <x:v>不需複評</x:v>
      </x:c>
      <x:c r="Q60" s="48" t="n">
        <x:v>0</x:v>
      </x:c>
      <x:c r="R60" s="48"/>
      <x:c r="S60" s="48" t="str">
        <x:f>IF($K60&gt;0,"不可正式排",IF(OR($N60="未評估",$N60="學習中"),"不可正式排",IF(AND($L60=0,$N60="可獨立配合"),"初步可獨立",IF(AND($L60&lt;=3,$M60&lt;=1/3,OR($N60="可獨立配合",$N60="可配合但需支援")),"初步可條件排","不可正式排"))))</x:f>
        <x:v>初步可獨立</x:v>
      </x:c>
      <x:c r="T60" s="53" t="str">
        <x:f>IF($C60="LJT-RPD-FINAL","固定短時支援 1 人／30 分鐘",IF($S60="初步可條件排",IF($G60="高複雜度","完整支援者 1:1（占 2 名額）","一般支援 1 名額"),"無"))</x:f>
        <x:v>無</x:v>
      </x:c>
      <x:c r="U60" s="53" t="str">
        <x:f>IF($J60&gt;0,"待確認共通技能門檻",IF($O60&lt;&gt;"已核定","待主管核定",IF(AND($G60="高複雜度",$P60&lt;&gt;"有效"),"資格未有效",$S60)))</x:f>
        <x:v>待確認共通技能門檻</x:v>
      </x:c>
      <x:c r="V60" t="str">
        <x:f>$A60&amp;"|"&amp;$C60</x:f>
        <x:v>1020|LJT-FILLING</x:v>
      </x:c>
    </x:row>
    <x:row r="61">
      <x:c r="A61" s="37" t="str">
        <x:v>1020</x:v>
      </x:c>
      <x:c r="B61" s="37" t="str"/>
      <x:c r="C61" s="37" t="str">
        <x:v>LJT-PERIO</x:v>
      </x:c>
      <x:c r="D61" s="37" t="str">
        <x:v>一般治療</x:v>
      </x:c>
      <x:c r="E61" s="37" t="str">
        <x:v>牙周統合</x:v>
      </x:c>
      <x:c r="F61" s="37" t="str">
        <x:v>一般</x:v>
      </x:c>
      <x:c r="G61" s="37" t="str">
        <x:v>一般</x:v>
      </x:c>
      <x:c r="H61" s="37" t="str">
        <x:v>LJT-PREP-PERIO</x:v>
      </x:c>
      <x:c r="I61" s="48" t="n">
        <x:f>COUNTIFS('適配要求展開'!$A$7:$A$734,$A61,'適配要求展開'!$C$7:$C$734,$C61)</x:f>
        <x:v>4</x:v>
      </x:c>
      <x:c r="J61" s="48" t="n">
        <x:f>COUNTIFS('適配要求展開'!$A$7:$A$734,$A61,'適配要求展開'!$C$7:$C$734,$C61,'適配要求展開'!$I$7:$I$734,"待確認")</x:f>
        <x:v>3</x:v>
      </x:c>
      <x:c r="K61" s="48" t="n">
        <x:f>COUNTIFS('適配要求展開'!$A$7:$A$734,$A61,'適配要求展開'!$C$7:$C$734,$C61,'適配要求展開'!$N$7:$N$734,"不符合")</x:f>
        <x:v>0</x:v>
      </x:c>
      <x:c r="L61" s="48" t="n">
        <x:f>COUNTIFS('適配要求展開'!$A$7:$A$734,$A61,'適配要求展開'!$C$7:$C$734,$C61,'適配要求展開'!$L$7:$L$734,"Ø")</x:f>
        <x:v>0</x:v>
      </x:c>
      <x:c r="M61" s="51" t="n">
        <x:f>IF($I61=0,"n.a.",$L61/$I61)</x:f>
        <x:v>0</x:v>
      </x:c>
      <x:c r="N61" s="48" t="str">
        <x:f>_xlfn.XLOOKUP($A61&amp;"|李侑津醫師",'試行熟悉度'!$K$7:$K$20,'試行熟悉度'!$E$7:$E$20,"未評估",0)</x:f>
        <x:v>可獨立配合</x:v>
      </x:c>
      <x:c r="O61" s="48" t="str">
        <x:f>IF(OR(COUNTIFS('適配要求展開'!$A$7:$A$734,$A61,'適配要求展開'!$C$7:$C$734,$C61,'適配要求展開'!$M$7:$M$734,"&lt;&gt;已核定")&gt;0,_xlfn.XLOOKUP($A61&amp;"|李侑津醫師",'試行熟悉度'!$K$7:$K$20,'試行熟悉度'!$F$7:$F$20,"未建立",0)&lt;&gt;"已核定"),"待主管核定","已核定")</x:f>
        <x:v>待主管核定</x:v>
      </x:c>
      <x:c r="P61" s="48" t="str">
        <x:f>IF($C61="LJT-RPD-FINAL","支援者另判",IF($G61="高複雜度",_xlfn.XLOOKUP($A61&amp;"|"&amp;$H61,'資格有效性'!$L$7:$L$62,'資格有效性'!$E$7:$E$62,"未建立",0),"不需複評"))</x:f>
        <x:v>不需複評</x:v>
      </x:c>
      <x:c r="Q61" s="48" t="n">
        <x:v>0</x:v>
      </x:c>
      <x:c r="R61" s="48"/>
      <x:c r="S61" s="48" t="str">
        <x:f>IF($K61&gt;0,"不可正式排",IF(OR($N61="未評估",$N61="學習中"),"不可正式排",IF(AND($L61=0,$N61="可獨立配合"),"初步可獨立",IF(AND($L61&lt;=3,$M61&lt;=1/3,OR($N61="可獨立配合",$N61="可配合但需支援")),"初步可條件排","不可正式排"))))</x:f>
        <x:v>初步可獨立</x:v>
      </x:c>
      <x:c r="T61" s="53" t="str">
        <x:f>IF($C61="LJT-RPD-FINAL","固定短時支援 1 人／30 分鐘",IF($S61="初步可條件排",IF($G61="高複雜度","完整支援者 1:1（占 2 名額）","一般支援 1 名額"),"無"))</x:f>
        <x:v>無</x:v>
      </x:c>
      <x:c r="U61" s="53" t="str">
        <x:f>IF($J61&gt;0,"待確認共通技能門檻",IF($O61&lt;&gt;"已核定","待主管核定",IF(AND($G61="高複雜度",$P61&lt;&gt;"有效"),"資格未有效",$S61)))</x:f>
        <x:v>待確認共通技能門檻</x:v>
      </x:c>
      <x:c r="V61" t="str">
        <x:f>$A61&amp;"|"&amp;$C61</x:f>
        <x:v>1020|LJT-PERIO</x:v>
      </x:c>
    </x:row>
    <x:row r="62">
      <x:c r="A62" s="37" t="str">
        <x:v>1020</x:v>
      </x:c>
      <x:c r="B62" s="37" t="str"/>
      <x:c r="C62" s="37" t="str">
        <x:v>LJT-RCT</x:v>
      </x:c>
      <x:c r="D62" s="37" t="str">
        <x:v>一般治療</x:v>
      </x:c>
      <x:c r="E62" s="37" t="str">
        <x:v>一般根管治療</x:v>
      </x:c>
      <x:c r="F62" s="37" t="str">
        <x:v>一般</x:v>
      </x:c>
      <x:c r="G62" s="37" t="str">
        <x:v>一般</x:v>
      </x:c>
      <x:c r="H62" s="37" t="str">
        <x:v>LJT-PREP-RCT</x:v>
      </x:c>
      <x:c r="I62" s="48" t="n">
        <x:f>COUNTIFS('適配要求展開'!$A$7:$A$734,$A62,'適配要求展開'!$C$7:$C$734,$C62)</x:f>
        <x:v>4</x:v>
      </x:c>
      <x:c r="J62" s="48" t="n">
        <x:f>COUNTIFS('適配要求展開'!$A$7:$A$734,$A62,'適配要求展開'!$C$7:$C$734,$C62,'適配要求展開'!$I$7:$I$734,"待確認")</x:f>
        <x:v>3</x:v>
      </x:c>
      <x:c r="K62" s="48" t="n">
        <x:f>COUNTIFS('適配要求展開'!$A$7:$A$734,$A62,'適配要求展開'!$C$7:$C$734,$C62,'適配要求展開'!$N$7:$N$734,"不符合")</x:f>
        <x:v>0</x:v>
      </x:c>
      <x:c r="L62" s="48" t="n">
        <x:f>COUNTIFS('適配要求展開'!$A$7:$A$734,$A62,'適配要求展開'!$C$7:$C$734,$C62,'適配要求展開'!$L$7:$L$734,"Ø")</x:f>
        <x:v>0</x:v>
      </x:c>
      <x:c r="M62" s="51" t="n">
        <x:f>IF($I62=0,"n.a.",$L62/$I62)</x:f>
        <x:v>0</x:v>
      </x:c>
      <x:c r="N62" s="48" t="str">
        <x:f>_xlfn.XLOOKUP($A62&amp;"|李侑津醫師",'試行熟悉度'!$K$7:$K$20,'試行熟悉度'!$E$7:$E$20,"未評估",0)</x:f>
        <x:v>可獨立配合</x:v>
      </x:c>
      <x:c r="O62" s="48" t="str">
        <x:f>IF(OR(COUNTIFS('適配要求展開'!$A$7:$A$734,$A62,'適配要求展開'!$C$7:$C$734,$C62,'適配要求展開'!$M$7:$M$734,"&lt;&gt;已核定")&gt;0,_xlfn.XLOOKUP($A62&amp;"|李侑津醫師",'試行熟悉度'!$K$7:$K$20,'試行熟悉度'!$F$7:$F$20,"未建立",0)&lt;&gt;"已核定"),"待主管核定","已核定")</x:f>
        <x:v>待主管核定</x:v>
      </x:c>
      <x:c r="P62" s="48" t="str">
        <x:f>IF($C62="LJT-RPD-FINAL","支援者另判",IF($G62="高複雜度",_xlfn.XLOOKUP($A62&amp;"|"&amp;$H62,'資格有效性'!$L$7:$L$62,'資格有效性'!$E$7:$E$62,"未建立",0),"不需複評"))</x:f>
        <x:v>不需複評</x:v>
      </x:c>
      <x:c r="Q62" s="48" t="n">
        <x:v>0</x:v>
      </x:c>
      <x:c r="R62" s="48"/>
      <x:c r="S62" s="48" t="str">
        <x:f>IF($K62&gt;0,"不可正式排",IF(OR($N62="未評估",$N62="學習中"),"不可正式排",IF(AND($L62=0,$N62="可獨立配合"),"初步可獨立",IF(AND($L62&lt;=3,$M62&lt;=1/3,OR($N62="可獨立配合",$N62="可配合但需支援")),"初步可條件排","不可正式排"))))</x:f>
        <x:v>初步可獨立</x:v>
      </x:c>
      <x:c r="T62" s="53" t="str">
        <x:f>IF($C62="LJT-RPD-FINAL","固定短時支援 1 人／30 分鐘",IF($S62="初步可條件排",IF($G62="高複雜度","完整支援者 1:1（占 2 名額）","一般支援 1 名額"),"無"))</x:f>
        <x:v>無</x:v>
      </x:c>
      <x:c r="U62" s="53" t="str">
        <x:f>IF($J62&gt;0,"待確認共通技能門檻",IF($O62&lt;&gt;"已核定","待主管核定",IF(AND($G62="高複雜度",$P62&lt;&gt;"有效"),"資格未有效",$S62)))</x:f>
        <x:v>待確認共通技能門檻</x:v>
      </x:c>
      <x:c r="V62" t="str">
        <x:f>$A62&amp;"|"&amp;$C62</x:f>
        <x:v>1020|LJT-RCT</x:v>
      </x:c>
    </x:row>
    <x:row r="63">
      <x:c r="A63" s="37" t="str">
        <x:v>1020</x:v>
      </x:c>
      <x:c r="B63" s="37" t="str"/>
      <x:c r="C63" s="37" t="str">
        <x:v>LJT-EXTRACTION</x:v>
      </x:c>
      <x:c r="D63" s="37" t="str">
        <x:v>一般治療</x:v>
      </x:c>
      <x:c r="E63" s="37" t="str">
        <x:v>拔牙</x:v>
      </x:c>
      <x:c r="F63" s="37" t="str">
        <x:v>一般</x:v>
      </x:c>
      <x:c r="G63" s="37" t="str">
        <x:v>一般</x:v>
      </x:c>
      <x:c r="H63" s="37" t="str">
        <x:v>LJT-PREP-EXTRACTION</x:v>
      </x:c>
      <x:c r="I63" s="48" t="n">
        <x:f>COUNTIFS('適配要求展開'!$A$7:$A$734,$A63,'適配要求展開'!$C$7:$C$734,$C63)</x:f>
        <x:v>4</x:v>
      </x:c>
      <x:c r="J63" s="48" t="n">
        <x:f>COUNTIFS('適配要求展開'!$A$7:$A$734,$A63,'適配要求展開'!$C$7:$C$734,$C63,'適配要求展開'!$I$7:$I$734,"待確認")</x:f>
        <x:v>3</x:v>
      </x:c>
      <x:c r="K63" s="48" t="n">
        <x:f>COUNTIFS('適配要求展開'!$A$7:$A$734,$A63,'適配要求展開'!$C$7:$C$734,$C63,'適配要求展開'!$N$7:$N$734,"不符合")</x:f>
        <x:v>0</x:v>
      </x:c>
      <x:c r="L63" s="48" t="n">
        <x:f>COUNTIFS('適配要求展開'!$A$7:$A$734,$A63,'適配要求展開'!$C$7:$C$734,$C63,'適配要求展開'!$L$7:$L$734,"Ø")</x:f>
        <x:v>0</x:v>
      </x:c>
      <x:c r="M63" s="51" t="n">
        <x:f>IF($I63=0,"n.a.",$L63/$I63)</x:f>
        <x:v>0</x:v>
      </x:c>
      <x:c r="N63" s="48" t="str">
        <x:f>_xlfn.XLOOKUP($A63&amp;"|李侑津醫師",'試行熟悉度'!$K$7:$K$20,'試行熟悉度'!$E$7:$E$20,"未評估",0)</x:f>
        <x:v>可獨立配合</x:v>
      </x:c>
      <x:c r="O63" s="48" t="str">
        <x:f>IF(OR(COUNTIFS('適配要求展開'!$A$7:$A$734,$A63,'適配要求展開'!$C$7:$C$734,$C63,'適配要求展開'!$M$7:$M$734,"&lt;&gt;已核定")&gt;0,_xlfn.XLOOKUP($A63&amp;"|李侑津醫師",'試行熟悉度'!$K$7:$K$20,'試行熟悉度'!$F$7:$F$20,"未建立",0)&lt;&gt;"已核定"),"待主管核定","已核定")</x:f>
        <x:v>待主管核定</x:v>
      </x:c>
      <x:c r="P63" s="48" t="str">
        <x:f>IF($C63="LJT-RPD-FINAL","支援者另判",IF($G63="高複雜度",_xlfn.XLOOKUP($A63&amp;"|"&amp;$H63,'資格有效性'!$L$7:$L$62,'資格有效性'!$E$7:$E$62,"未建立",0),"不需複評"))</x:f>
        <x:v>不需複評</x:v>
      </x:c>
      <x:c r="Q63" s="48" t="n">
        <x:v>0</x:v>
      </x:c>
      <x:c r="R63" s="48"/>
      <x:c r="S63" s="48" t="str">
        <x:f>IF($K63&gt;0,"不可正式排",IF(OR($N63="未評估",$N63="學習中"),"不可正式排",IF(AND($L63=0,$N63="可獨立配合"),"初步可獨立",IF(AND($L63&lt;=3,$M63&lt;=1/3,OR($N63="可獨立配合",$N63="可配合但需支援")),"初步可條件排","不可正式排"))))</x:f>
        <x:v>初步可獨立</x:v>
      </x:c>
      <x:c r="T63" s="53" t="str">
        <x:f>IF($C63="LJT-RPD-FINAL","固定短時支援 1 人／30 分鐘",IF($S63="初步可條件排",IF($G63="高複雜度","完整支援者 1:1（占 2 名額）","一般支援 1 名額"),"無"))</x:f>
        <x:v>無</x:v>
      </x:c>
      <x:c r="U63" s="53" t="str">
        <x:f>IF($J63&gt;0,"待確認共通技能門檻",IF($O63&lt;&gt;"已核定","待主管核定",IF(AND($G63="高複雜度",$P63&lt;&gt;"有效"),"資格未有效",$S63)))</x:f>
        <x:v>待確認共通技能門檻</x:v>
      </x:c>
      <x:c r="V63" t="str">
        <x:f>$A63&amp;"|"&amp;$C63</x:f>
        <x:v>1020|LJT-EXTRACTION</x:v>
      </x:c>
    </x:row>
    <x:row r="64">
      <x:c r="A64" s="37" t="str">
        <x:v>1020</x:v>
      </x:c>
      <x:c r="B64" s="37" t="str"/>
      <x:c r="C64" s="37" t="str">
        <x:v>LJT-CROWNPOST</x:v>
      </x:c>
      <x:c r="D64" s="37" t="str">
        <x:v>一般治療</x:v>
      </x:c>
      <x:c r="E64" s="37" t="str">
        <x:v>拆 crown/post</x:v>
      </x:c>
      <x:c r="F64" s="37" t="str">
        <x:v>一般</x:v>
      </x:c>
      <x:c r="G64" s="37" t="str">
        <x:v>一般</x:v>
      </x:c>
      <x:c r="H64" s="37" t="str">
        <x:v>LJT-PREP-CROWNPOST</x:v>
      </x:c>
      <x:c r="I64" s="48" t="n">
        <x:f>COUNTIFS('適配要求展開'!$A$7:$A$734,$A64,'適配要求展開'!$C$7:$C$734,$C64)</x:f>
        <x:v>4</x:v>
      </x:c>
      <x:c r="J64" s="48" t="n">
        <x:f>COUNTIFS('適配要求展開'!$A$7:$A$734,$A64,'適配要求展開'!$C$7:$C$734,$C64,'適配要求展開'!$I$7:$I$734,"待確認")</x:f>
        <x:v>3</x:v>
      </x:c>
      <x:c r="K64" s="48" t="n">
        <x:f>COUNTIFS('適配要求展開'!$A$7:$A$734,$A64,'適配要求展開'!$C$7:$C$734,$C64,'適配要求展開'!$N$7:$N$734,"不符合")</x:f>
        <x:v>0</x:v>
      </x:c>
      <x:c r="L64" s="48" t="n">
        <x:f>COUNTIFS('適配要求展開'!$A$7:$A$734,$A64,'適配要求展開'!$C$7:$C$734,$C64,'適配要求展開'!$L$7:$L$734,"Ø")</x:f>
        <x:v>0</x:v>
      </x:c>
      <x:c r="M64" s="51" t="n">
        <x:f>IF($I64=0,"n.a.",$L64/$I64)</x:f>
        <x:v>0</x:v>
      </x:c>
      <x:c r="N64" s="48" t="str">
        <x:f>_xlfn.XLOOKUP($A64&amp;"|李侑津醫師",'試行熟悉度'!$K$7:$K$20,'試行熟悉度'!$E$7:$E$20,"未評估",0)</x:f>
        <x:v>可獨立配合</x:v>
      </x:c>
      <x:c r="O64" s="48" t="str">
        <x:f>IF(OR(COUNTIFS('適配要求展開'!$A$7:$A$734,$A64,'適配要求展開'!$C$7:$C$734,$C64,'適配要求展開'!$M$7:$M$734,"&lt;&gt;已核定")&gt;0,_xlfn.XLOOKUP($A64&amp;"|李侑津醫師",'試行熟悉度'!$K$7:$K$20,'試行熟悉度'!$F$7:$F$20,"未建立",0)&lt;&gt;"已核定"),"待主管核定","已核定")</x:f>
        <x:v>待主管核定</x:v>
      </x:c>
      <x:c r="P64" s="48" t="str">
        <x:f>IF($C64="LJT-RPD-FINAL","支援者另判",IF($G64="高複雜度",_xlfn.XLOOKUP($A64&amp;"|"&amp;$H64,'資格有效性'!$L$7:$L$62,'資格有效性'!$E$7:$E$62,"未建立",0),"不需複評"))</x:f>
        <x:v>不需複評</x:v>
      </x:c>
      <x:c r="Q64" s="48" t="n">
        <x:v>0</x:v>
      </x:c>
      <x:c r="R64" s="48"/>
      <x:c r="S64" s="48" t="str">
        <x:f>IF($K64&gt;0,"不可正式排",IF(OR($N64="未評估",$N64="學習中"),"不可正式排",IF(AND($L64=0,$N64="可獨立配合"),"初步可獨立",IF(AND($L64&lt;=3,$M64&lt;=1/3,OR($N64="可獨立配合",$N64="可配合但需支援")),"初步可條件排","不可正式排"))))</x:f>
        <x:v>初步可獨立</x:v>
      </x:c>
      <x:c r="T64" s="53" t="str">
        <x:f>IF($C64="LJT-RPD-FINAL","固定短時支援 1 人／30 分鐘",IF($S64="初步可條件排",IF($G64="高複雜度","完整支援者 1:1（占 2 名額）","一般支援 1 名額"),"無"))</x:f>
        <x:v>無</x:v>
      </x:c>
      <x:c r="U64" s="53" t="str">
        <x:f>IF($J64&gt;0,"待確認共通技能門檻",IF($O64&lt;&gt;"已核定","待主管核定",IF(AND($G64="高複雜度",$P64&lt;&gt;"有效"),"資格未有效",$S64)))</x:f>
        <x:v>待確認共通技能門檻</x:v>
      </x:c>
      <x:c r="V64" t="str">
        <x:f>$A64&amp;"|"&amp;$C64</x:f>
        <x:v>1020|LJT-CROWNPOST</x:v>
      </x:c>
    </x:row>
    <x:row r="65">
      <x:c r="A65" s="37" t="str">
        <x:v>1020</x:v>
      </x:c>
      <x:c r="B65" s="37" t="str"/>
      <x:c r="C65" s="37" t="str">
        <x:v>LJT-CROWN</x:v>
      </x:c>
      <x:c r="D65" s="37" t="str">
        <x:v>補綴／自費</x:v>
      </x:c>
      <x:c r="E65" s="37" t="str">
        <x:v>固定假牙</x:v>
      </x:c>
      <x:c r="F65" s="37" t="str">
        <x:v>一般</x:v>
      </x:c>
      <x:c r="G65" s="37" t="str">
        <x:v>一般</x:v>
      </x:c>
      <x:c r="H65" s="37" t="str">
        <x:v>LJT-PREP-CROWN</x:v>
      </x:c>
      <x:c r="I65" s="48" t="n">
        <x:f>COUNTIFS('適配要求展開'!$A$7:$A$734,$A65,'適配要求展開'!$C$7:$C$734,$C65)</x:f>
        <x:v>4</x:v>
      </x:c>
      <x:c r="J65" s="48" t="n">
        <x:f>COUNTIFS('適配要求展開'!$A$7:$A$734,$A65,'適配要求展開'!$C$7:$C$734,$C65,'適配要求展開'!$I$7:$I$734,"待確認")</x:f>
        <x:v>3</x:v>
      </x:c>
      <x:c r="K65" s="48" t="n">
        <x:f>COUNTIFS('適配要求展開'!$A$7:$A$734,$A65,'適配要求展開'!$C$7:$C$734,$C65,'適配要求展開'!$N$7:$N$734,"不符合")</x:f>
        <x:v>0</x:v>
      </x:c>
      <x:c r="L65" s="48" t="n">
        <x:f>COUNTIFS('適配要求展開'!$A$7:$A$734,$A65,'適配要求展開'!$C$7:$C$734,$C65,'適配要求展開'!$L$7:$L$734,"Ø")</x:f>
        <x:v>0</x:v>
      </x:c>
      <x:c r="M65" s="51" t="n">
        <x:f>IF($I65=0,"n.a.",$L65/$I65)</x:f>
        <x:v>0</x:v>
      </x:c>
      <x:c r="N65" s="48" t="str">
        <x:f>_xlfn.XLOOKUP($A65&amp;"|李侑津醫師",'試行熟悉度'!$K$7:$K$20,'試行熟悉度'!$E$7:$E$20,"未評估",0)</x:f>
        <x:v>可獨立配合</x:v>
      </x:c>
      <x:c r="O65" s="48" t="str">
        <x:f>IF(OR(COUNTIFS('適配要求展開'!$A$7:$A$734,$A65,'適配要求展開'!$C$7:$C$734,$C65,'適配要求展開'!$M$7:$M$734,"&lt;&gt;已核定")&gt;0,_xlfn.XLOOKUP($A65&amp;"|李侑津醫師",'試行熟悉度'!$K$7:$K$20,'試行熟悉度'!$F$7:$F$20,"未建立",0)&lt;&gt;"已核定"),"待主管核定","已核定")</x:f>
        <x:v>待主管核定</x:v>
      </x:c>
      <x:c r="P65" s="48" t="str">
        <x:f>IF($C65="LJT-RPD-FINAL","支援者另判",IF($G65="高複雜度",_xlfn.XLOOKUP($A65&amp;"|"&amp;$H65,'資格有效性'!$L$7:$L$62,'資格有效性'!$E$7:$E$62,"未建立",0),"不需複評"))</x:f>
        <x:v>不需複評</x:v>
      </x:c>
      <x:c r="Q65" s="48" t="n">
        <x:v>0</x:v>
      </x:c>
      <x:c r="R65" s="48"/>
      <x:c r="S65" s="48" t="str">
        <x:f>IF($K65&gt;0,"不可正式排",IF(OR($N65="未評估",$N65="學習中"),"不可正式排",IF(AND($L65=0,$N65="可獨立配合"),"初步可獨立",IF(AND($L65&lt;=3,$M65&lt;=1/3,OR($N65="可獨立配合",$N65="可配合但需支援")),"初步可條件排","不可正式排"))))</x:f>
        <x:v>初步可獨立</x:v>
      </x:c>
      <x:c r="T65" s="53" t="str">
        <x:f>IF($C65="LJT-RPD-FINAL","固定短時支援 1 人／30 分鐘",IF($S65="初步可條件排",IF($G65="高複雜度","完整支援者 1:1（占 2 名額）","一般支援 1 名額"),"無"))</x:f>
        <x:v>無</x:v>
      </x:c>
      <x:c r="U65" s="53" t="str">
        <x:f>IF($J65&gt;0,"待確認共通技能門檻",IF($O65&lt;&gt;"已核定","待主管核定",IF(AND($G65="高複雜度",$P65&lt;&gt;"有效"),"資格未有效",$S65)))</x:f>
        <x:v>待確認共通技能門檻</x:v>
      </x:c>
      <x:c r="V65" t="str">
        <x:f>$A65&amp;"|"&amp;$C65</x:f>
        <x:v>1020|LJT-CROWN</x:v>
      </x:c>
    </x:row>
    <x:row r="66">
      <x:c r="A66" s="37" t="str">
        <x:v>1020</x:v>
      </x:c>
      <x:c r="B66" s="37" t="str"/>
      <x:c r="C66" s="37" t="str">
        <x:v>LJT-RPD</x:v>
      </x:c>
      <x:c r="D66" s="37" t="str">
        <x:v>補綴／自費</x:v>
      </x:c>
      <x:c r="E66" s="37" t="str">
        <x:v>RPD</x:v>
      </x:c>
      <x:c r="F66" s="37" t="str">
        <x:v>一般步驟</x:v>
      </x:c>
      <x:c r="G66" s="37" t="str">
        <x:v>一般</x:v>
      </x:c>
      <x:c r="H66" s="37" t="str">
        <x:v>LJT-PREP-RPD</x:v>
      </x:c>
      <x:c r="I66" s="48" t="n">
        <x:f>COUNTIFS('適配要求展開'!$A$7:$A$734,$A66,'適配要求展開'!$C$7:$C$734,$C66)</x:f>
        <x:v>4</x:v>
      </x:c>
      <x:c r="J66" s="48" t="n">
        <x:f>COUNTIFS('適配要求展開'!$A$7:$A$734,$A66,'適配要求展開'!$C$7:$C$734,$C66,'適配要求展開'!$I$7:$I$734,"待確認")</x:f>
        <x:v>3</x:v>
      </x:c>
      <x:c r="K66" s="48" t="n">
        <x:f>COUNTIFS('適配要求展開'!$A$7:$A$734,$A66,'適配要求展開'!$C$7:$C$734,$C66,'適配要求展開'!$N$7:$N$734,"不符合")</x:f>
        <x:v>0</x:v>
      </x:c>
      <x:c r="L66" s="48" t="n">
        <x:f>COUNTIFS('適配要求展開'!$A$7:$A$734,$A66,'適配要求展開'!$C$7:$C$734,$C66,'適配要求展開'!$L$7:$L$734,"Ø")</x:f>
        <x:v>0</x:v>
      </x:c>
      <x:c r="M66" s="51" t="n">
        <x:f>IF($I66=0,"n.a.",$L66/$I66)</x:f>
        <x:v>0</x:v>
      </x:c>
      <x:c r="N66" s="48" t="str">
        <x:f>_xlfn.XLOOKUP($A66&amp;"|李侑津醫師",'試行熟悉度'!$K$7:$K$20,'試行熟悉度'!$E$7:$E$20,"未評估",0)</x:f>
        <x:v>可獨立配合</x:v>
      </x:c>
      <x:c r="O66" s="48" t="str">
        <x:f>IF(OR(COUNTIFS('適配要求展開'!$A$7:$A$734,$A66,'適配要求展開'!$C$7:$C$734,$C66,'適配要求展開'!$M$7:$M$734,"&lt;&gt;已核定")&gt;0,_xlfn.XLOOKUP($A66&amp;"|李侑津醫師",'試行熟悉度'!$K$7:$K$20,'試行熟悉度'!$F$7:$F$20,"未建立",0)&lt;&gt;"已核定"),"待主管核定","已核定")</x:f>
        <x:v>待主管核定</x:v>
      </x:c>
      <x:c r="P66" s="48" t="str">
        <x:f>IF($C66="LJT-RPD-FINAL","支援者另判",IF($G66="高複雜度",_xlfn.XLOOKUP($A66&amp;"|"&amp;$H66,'資格有效性'!$L$7:$L$62,'資格有效性'!$E$7:$E$62,"未建立",0),"不需複評"))</x:f>
        <x:v>不需複評</x:v>
      </x:c>
      <x:c r="Q66" s="48" t="n">
        <x:v>0</x:v>
      </x:c>
      <x:c r="R66" s="48"/>
      <x:c r="S66" s="48" t="str">
        <x:f>IF($K66&gt;0,"不可正式排",IF(OR($N66="未評估",$N66="學習中"),"不可正式排",IF(AND($L66=0,$N66="可獨立配合"),"初步可獨立",IF(AND($L66&lt;=3,$M66&lt;=1/3,OR($N66="可獨立配合",$N66="可配合但需支援")),"初步可條件排","不可正式排"))))</x:f>
        <x:v>初步可獨立</x:v>
      </x:c>
      <x:c r="T66" s="53" t="str">
        <x:f>IF($C66="LJT-RPD-FINAL","固定短時支援 1 人／30 分鐘",IF($S66="初步可條件排",IF($G66="高複雜度","完整支援者 1:1（占 2 名額）","一般支援 1 名額"),"無"))</x:f>
        <x:v>無</x:v>
      </x:c>
      <x:c r="U66" s="53" t="str">
        <x:f>IF($J66&gt;0,"待確認共通技能門檻",IF($O66&lt;&gt;"已核定","待主管核定",IF(AND($G66="高複雜度",$P66&lt;&gt;"有效"),"資格未有效",$S66)))</x:f>
        <x:v>待確認共通技能門檻</x:v>
      </x:c>
      <x:c r="V66" t="str">
        <x:f>$A66&amp;"|"&amp;$C66</x:f>
        <x:v>1020|LJT-RPD</x:v>
      </x:c>
    </x:row>
    <x:row r="67">
      <x:c r="A67" s="37" t="str">
        <x:v>1020</x:v>
      </x:c>
      <x:c r="B67" s="37" t="str"/>
      <x:c r="C67" s="37" t="str">
        <x:v>LJT-RPD-FINAL</x:v>
      </x:c>
      <x:c r="D67" s="37" t="str">
        <x:v>補綴／自費</x:v>
      </x:c>
      <x:c r="E67" s="37" t="str">
        <x:v>RPD</x:v>
      </x:c>
      <x:c r="F67" s="37" t="str">
        <x:v>印最終模</x:v>
      </x:c>
      <x:c r="G67" s="37" t="str">
        <x:v>特殊階段</x:v>
      </x:c>
      <x:c r="H67" s="37" t="str">
        <x:v>LJT-PREP-RPD</x:v>
      </x:c>
      <x:c r="I67" s="48" t="n">
        <x:f>COUNTIFS('適配要求展開'!$A$7:$A$734,$A67,'適配要求展開'!$C$7:$C$734,$C67)</x:f>
        <x:v>4</x:v>
      </x:c>
      <x:c r="J67" s="48" t="n">
        <x:f>COUNTIFS('適配要求展開'!$A$7:$A$734,$A67,'適配要求展開'!$C$7:$C$734,$C67,'適配要求展開'!$I$7:$I$734,"待確認")</x:f>
        <x:v>3</x:v>
      </x:c>
      <x:c r="K67" s="48" t="n">
        <x:f>COUNTIFS('適配要求展開'!$A$7:$A$734,$A67,'適配要求展開'!$C$7:$C$734,$C67,'適配要求展開'!$N$7:$N$734,"不符合")</x:f>
        <x:v>0</x:v>
      </x:c>
      <x:c r="L67" s="48" t="n">
        <x:f>COUNTIFS('適配要求展開'!$A$7:$A$734,$A67,'適配要求展開'!$C$7:$C$734,$C67,'適配要求展開'!$L$7:$L$734,"Ø")</x:f>
        <x:v>0</x:v>
      </x:c>
      <x:c r="M67" s="51" t="n">
        <x:f>IF($I67=0,"n.a.",$L67/$I67)</x:f>
        <x:v>0</x:v>
      </x:c>
      <x:c r="N67" s="48" t="str">
        <x:f>_xlfn.XLOOKUP($A67&amp;"|李侑津醫師",'試行熟悉度'!$K$7:$K$20,'試行熟悉度'!$E$7:$E$20,"未評估",0)</x:f>
        <x:v>可獨立配合</x:v>
      </x:c>
      <x:c r="O67" s="48" t="str">
        <x:f>IF(OR(COUNTIFS('適配要求展開'!$A$7:$A$734,$A67,'適配要求展開'!$C$7:$C$734,$C67,'適配要求展開'!$M$7:$M$734,"&lt;&gt;已核定")&gt;0,_xlfn.XLOOKUP($A67&amp;"|李侑津醫師",'試行熟悉度'!$K$7:$K$20,'試行熟悉度'!$F$7:$F$20,"未建立",0)&lt;&gt;"已核定"),"待主管核定","已核定")</x:f>
        <x:v>待主管核定</x:v>
      </x:c>
      <x:c r="P67" s="48" t="str">
        <x:f>IF($C67="LJT-RPD-FINAL","支援者另判",IF($G67="高複雜度",_xlfn.XLOOKUP($A67&amp;"|"&amp;$H67,'資格有效性'!$L$7:$L$62,'資格有效性'!$E$7:$E$62,"未建立",0),"不需複評"))</x:f>
        <x:v>支援者另判</x:v>
      </x:c>
      <x:c r="Q67" s="48" t="n">
        <x:v>1</x:v>
      </x:c>
      <x:c r="R67" s="48" t="n">
        <x:v>30</x:v>
      </x:c>
      <x:c r="S67" s="48" t="str">
        <x:f>IF($K67&gt;0,"不可正式排",IF(OR($N67="未評估",$N67="學習中"),"不可正式排",IF(AND($L67=0,$N67="可獨立配合"),"初步可獨立",IF(AND($L67&lt;=3,$M67&lt;=1/3,OR($N67="可獨立配合",$N67="可配合但需支援")),"初步可條件排","不可正式排"))))</x:f>
        <x:v>初步可獨立</x:v>
      </x:c>
      <x:c r="T67" s="53" t="str">
        <x:f>IF($C67="LJT-RPD-FINAL","固定短時支援 1 人／30 分鐘",IF($S67="初步可條件排",IF($G67="高複雜度","完整支援者 1:1（占 2 名額）","一般支援 1 名額"),"無"))</x:f>
        <x:v>固定短時支援 1 人／30 分鐘</x:v>
      </x:c>
      <x:c r="U67" s="53" t="str">
        <x:f>IF($J67&gt;0,"待確認共通技能門檻",IF($O67&lt;&gt;"已核定","待主管核定",IF(AND($G67="高複雜度",$P67&lt;&gt;"有效"),"資格未有效",$S67)))</x:f>
        <x:v>待確認共通技能門檻</x:v>
      </x:c>
      <x:c r="V67" t="str">
        <x:f>$A67&amp;"|"&amp;$C67</x:f>
        <x:v>1020|LJT-RPD-FINAL</x:v>
      </x:c>
    </x:row>
    <x:row r="68">
      <x:c r="A68" s="37" t="str">
        <x:v>1020</x:v>
      </x:c>
      <x:c r="B68" s="37" t="str"/>
      <x:c r="C68" s="37" t="str">
        <x:v>LJT-AIRPOLISH</x:v>
      </x:c>
      <x:c r="D68" s="37" t="str">
        <x:v>補綴／自費</x:v>
      </x:c>
      <x:c r="E68" s="37" t="str">
        <x:v>噴砂美白</x:v>
      </x:c>
      <x:c r="F68" s="37" t="str">
        <x:v>一般</x:v>
      </x:c>
      <x:c r="G68" s="37" t="str">
        <x:v>一般</x:v>
      </x:c>
      <x:c r="H68" s="37" t="str">
        <x:v>LJT-PREP-AIRPOLISH</x:v>
      </x:c>
      <x:c r="I68" s="48" t="n">
        <x:f>COUNTIFS('適配要求展開'!$A$7:$A$734,$A68,'適配要求展開'!$C$7:$C$734,$C68)</x:f>
        <x:v>4</x:v>
      </x:c>
      <x:c r="J68" s="48" t="n">
        <x:f>COUNTIFS('適配要求展開'!$A$7:$A$734,$A68,'適配要求展開'!$C$7:$C$734,$C68,'適配要求展開'!$I$7:$I$734,"待確認")</x:f>
        <x:v>3</x:v>
      </x:c>
      <x:c r="K68" s="48" t="n">
        <x:f>COUNTIFS('適配要求展開'!$A$7:$A$734,$A68,'適配要求展開'!$C$7:$C$734,$C68,'適配要求展開'!$N$7:$N$734,"不符合")</x:f>
        <x:v>0</x:v>
      </x:c>
      <x:c r="L68" s="48" t="n">
        <x:f>COUNTIFS('適配要求展開'!$A$7:$A$734,$A68,'適配要求展開'!$C$7:$C$734,$C68,'適配要求展開'!$L$7:$L$734,"Ø")</x:f>
        <x:v>0</x:v>
      </x:c>
      <x:c r="M68" s="51" t="n">
        <x:f>IF($I68=0,"n.a.",$L68/$I68)</x:f>
        <x:v>0</x:v>
      </x:c>
      <x:c r="N68" s="48" t="str">
        <x:f>_xlfn.XLOOKUP($A68&amp;"|李侑津醫師",'試行熟悉度'!$K$7:$K$20,'試行熟悉度'!$E$7:$E$20,"未評估",0)</x:f>
        <x:v>可獨立配合</x:v>
      </x:c>
      <x:c r="O68" s="48" t="str">
        <x:f>IF(OR(COUNTIFS('適配要求展開'!$A$7:$A$734,$A68,'適配要求展開'!$C$7:$C$734,$C68,'適配要求展開'!$M$7:$M$734,"&lt;&gt;已核定")&gt;0,_xlfn.XLOOKUP($A68&amp;"|李侑津醫師",'試行熟悉度'!$K$7:$K$20,'試行熟悉度'!$F$7:$F$20,"未建立",0)&lt;&gt;"已核定"),"待主管核定","已核定")</x:f>
        <x:v>待主管核定</x:v>
      </x:c>
      <x:c r="P68" s="48" t="str">
        <x:f>IF($C68="LJT-RPD-FINAL","支援者另判",IF($G68="高複雜度",_xlfn.XLOOKUP($A68&amp;"|"&amp;$H68,'資格有效性'!$L$7:$L$62,'資格有效性'!$E$7:$E$62,"未建立",0),"不需複評"))</x:f>
        <x:v>不需複評</x:v>
      </x:c>
      <x:c r="Q68" s="48" t="n">
        <x:v>0</x:v>
      </x:c>
      <x:c r="R68" s="48"/>
      <x:c r="S68" s="48" t="str">
        <x:f>IF($K68&gt;0,"不可正式排",IF(OR($N68="未評估",$N68="學習中"),"不可正式排",IF(AND($L68=0,$N68="可獨立配合"),"初步可獨立",IF(AND($L68&lt;=3,$M68&lt;=1/3,OR($N68="可獨立配合",$N68="可配合但需支援")),"初步可條件排","不可正式排"))))</x:f>
        <x:v>初步可獨立</x:v>
      </x:c>
      <x:c r="T68" s="53" t="str">
        <x:f>IF($C68="LJT-RPD-FINAL","固定短時支援 1 人／30 分鐘",IF($S68="初步可條件排",IF($G68="高複雜度","完整支援者 1:1（占 2 名額）","一般支援 1 名額"),"無"))</x:f>
        <x:v>無</x:v>
      </x:c>
      <x:c r="U68" s="53" t="str">
        <x:f>IF($J68&gt;0,"待確認共通技能門檻",IF($O68&lt;&gt;"已核定","待主管核定",IF(AND($G68="高複雜度",$P68&lt;&gt;"有效"),"資格未有效",$S68)))</x:f>
        <x:v>待確認共通技能門檻</x:v>
      </x:c>
      <x:c r="V68" t="str">
        <x:f>$A68&amp;"|"&amp;$C68</x:f>
        <x:v>1020|LJT-AIRPOLISH</x:v>
      </x:c>
    </x:row>
    <x:row r="69">
      <x:c r="A69" s="37" t="str">
        <x:v>1020</x:v>
      </x:c>
      <x:c r="B69" s="37" t="str"/>
      <x:c r="C69" s="37" t="str">
        <x:v>LJT-PERIOSURG</x:v>
      </x:c>
      <x:c r="D69" s="37" t="str">
        <x:v>高複雜度</x:v>
      </x:c>
      <x:c r="E69" s="37" t="str">
        <x:v>牙周手術</x:v>
      </x:c>
      <x:c r="F69" s="37" t="str">
        <x:v>一般</x:v>
      </x:c>
      <x:c r="G69" s="37" t="str">
        <x:v>高複雜度</x:v>
      </x:c>
      <x:c r="H69" s="37" t="str">
        <x:v>LJT-PREP-PERIOSURG</x:v>
      </x:c>
      <x:c r="I69" s="48" t="n">
        <x:f>COUNTIFS('適配要求展開'!$A$7:$A$734,$A69,'適配要求展開'!$C$7:$C$734,$C69)</x:f>
        <x:v>4</x:v>
      </x:c>
      <x:c r="J69" s="48" t="n">
        <x:f>COUNTIFS('適配要求展開'!$A$7:$A$734,$A69,'適配要求展開'!$C$7:$C$734,$C69,'適配要求展開'!$I$7:$I$734,"待確認")</x:f>
        <x:v>3</x:v>
      </x:c>
      <x:c r="K69" s="48" t="n">
        <x:f>COUNTIFS('適配要求展開'!$A$7:$A$734,$A69,'適配要求展開'!$C$7:$C$734,$C69,'適配要求展開'!$N$7:$N$734,"不符合")</x:f>
        <x:v>0</x:v>
      </x:c>
      <x:c r="L69" s="48" t="n">
        <x:f>COUNTIFS('適配要求展開'!$A$7:$A$734,$A69,'適配要求展開'!$C$7:$C$734,$C69,'適配要求展開'!$L$7:$L$734,"Ø")</x:f>
        <x:v>0</x:v>
      </x:c>
      <x:c r="M69" s="51" t="n">
        <x:f>IF($I69=0,"n.a.",$L69/$I69)</x:f>
        <x:v>0</x:v>
      </x:c>
      <x:c r="N69" s="48" t="str">
        <x:f>_xlfn.XLOOKUP($A69&amp;"|李侑津醫師",'試行熟悉度'!$K$7:$K$20,'試行熟悉度'!$E$7:$E$20,"未評估",0)</x:f>
        <x:v>可獨立配合</x:v>
      </x:c>
      <x:c r="O69" s="48" t="str">
        <x:f>IF(OR(COUNTIFS('適配要求展開'!$A$7:$A$734,$A69,'適配要求展開'!$C$7:$C$734,$C69,'適配要求展開'!$M$7:$M$734,"&lt;&gt;已核定")&gt;0,_xlfn.XLOOKUP($A69&amp;"|李侑津醫師",'試行熟悉度'!$K$7:$K$20,'試行熟悉度'!$F$7:$F$20,"未建立",0)&lt;&gt;"已核定"),"待主管核定","已核定")</x:f>
        <x:v>待主管核定</x:v>
      </x:c>
      <x:c r="P69" s="48" t="str">
        <x:f>IF($C69="LJT-RPD-FINAL","支援者另判",IF($G69="高複雜度",_xlfn.XLOOKUP($A69&amp;"|"&amp;$H69,'資格有效性'!$L$7:$L$62,'資格有效性'!$E$7:$E$62,"未建立",0),"不需複評"))</x:f>
        <x:v>待主管核定</x:v>
      </x:c>
      <x:c r="Q69" s="48" t="n">
        <x:v>0</x:v>
      </x:c>
      <x:c r="R69" s="48"/>
      <x:c r="S69" s="48" t="str">
        <x:f>IF($K69&gt;0,"不可正式排",IF(OR($N69="未評估",$N69="學習中"),"不可正式排",IF(AND($L69=0,$N69="可獨立配合"),"初步可獨立",IF(AND($L69&lt;=3,$M69&lt;=1/3,OR($N69="可獨立配合",$N69="可配合但需支援")),"初步可條件排","不可正式排"))))</x:f>
        <x:v>初步可獨立</x:v>
      </x:c>
      <x:c r="T69" s="53" t="str">
        <x:f>IF($C69="LJT-RPD-FINAL","固定短時支援 1 人／30 分鐘",IF($S69="初步可條件排",IF($G69="高複雜度","完整支援者 1:1（占 2 名額）","一般支援 1 名額"),"無"))</x:f>
        <x:v>無</x:v>
      </x:c>
      <x:c r="U69" s="53" t="str">
        <x:f>IF($J69&gt;0,"待確認共通技能門檻",IF($O69&lt;&gt;"已核定","待主管核定",IF(AND($G69="高複雜度",$P69&lt;&gt;"有效"),"資格未有效",$S69)))</x:f>
        <x:v>待確認共通技能門檻</x:v>
      </x:c>
      <x:c r="V69" t="str">
        <x:f>$A69&amp;"|"&amp;$C69</x:f>
        <x:v>1020|LJT-PERIOSURG</x:v>
      </x:c>
    </x:row>
    <x:row r="70">
      <x:c r="A70" s="37" t="str">
        <x:v>1020</x:v>
      </x:c>
      <x:c r="B70" s="37" t="str"/>
      <x:c r="C70" s="37" t="str">
        <x:v>LJT-MICROENDO</x:v>
      </x:c>
      <x:c r="D70" s="37" t="str">
        <x:v>高複雜度</x:v>
      </x:c>
      <x:c r="E70" s="37" t="str">
        <x:v>顯微根管</x:v>
      </x:c>
      <x:c r="F70" s="37" t="str">
        <x:v>一般</x:v>
      </x:c>
      <x:c r="G70" s="37" t="str">
        <x:v>高複雜度</x:v>
      </x:c>
      <x:c r="H70" s="37" t="str">
        <x:v>LJT-PREP-MICROENDO</x:v>
      </x:c>
      <x:c r="I70" s="48" t="n">
        <x:f>COUNTIFS('適配要求展開'!$A$7:$A$734,$A70,'適配要求展開'!$C$7:$C$734,$C70)</x:f>
        <x:v>4</x:v>
      </x:c>
      <x:c r="J70" s="48" t="n">
        <x:f>COUNTIFS('適配要求展開'!$A$7:$A$734,$A70,'適配要求展開'!$C$7:$C$734,$C70,'適配要求展開'!$I$7:$I$734,"待確認")</x:f>
        <x:v>3</x:v>
      </x:c>
      <x:c r="K70" s="48" t="n">
        <x:f>COUNTIFS('適配要求展開'!$A$7:$A$734,$A70,'適配要求展開'!$C$7:$C$734,$C70,'適配要求展開'!$N$7:$N$734,"不符合")</x:f>
        <x:v>0</x:v>
      </x:c>
      <x:c r="L70" s="48" t="n">
        <x:f>COUNTIFS('適配要求展開'!$A$7:$A$734,$A70,'適配要求展開'!$C$7:$C$734,$C70,'適配要求展開'!$L$7:$L$734,"Ø")</x:f>
        <x:v>0</x:v>
      </x:c>
      <x:c r="M70" s="51" t="n">
        <x:f>IF($I70=0,"n.a.",$L70/$I70)</x:f>
        <x:v>0</x:v>
      </x:c>
      <x:c r="N70" s="48" t="str">
        <x:f>_xlfn.XLOOKUP($A70&amp;"|李侑津醫師",'試行熟悉度'!$K$7:$K$20,'試行熟悉度'!$E$7:$E$20,"未評估",0)</x:f>
        <x:v>可獨立配合</x:v>
      </x:c>
      <x:c r="O70" s="48" t="str">
        <x:f>IF(OR(COUNTIFS('適配要求展開'!$A$7:$A$734,$A70,'適配要求展開'!$C$7:$C$734,$C70,'適配要求展開'!$M$7:$M$734,"&lt;&gt;已核定")&gt;0,_xlfn.XLOOKUP($A70&amp;"|李侑津醫師",'試行熟悉度'!$K$7:$K$20,'試行熟悉度'!$F$7:$F$20,"未建立",0)&lt;&gt;"已核定"),"待主管核定","已核定")</x:f>
        <x:v>待主管核定</x:v>
      </x:c>
      <x:c r="P70" s="48" t="str">
        <x:f>IF($C70="LJT-RPD-FINAL","支援者另判",IF($G70="高複雜度",_xlfn.XLOOKUP($A70&amp;"|"&amp;$H70,'資格有效性'!$L$7:$L$62,'資格有效性'!$E$7:$E$62,"未建立",0),"不需複評"))</x:f>
        <x:v>待主管核定</x:v>
      </x:c>
      <x:c r="Q70" s="48" t="n">
        <x:v>0</x:v>
      </x:c>
      <x:c r="R70" s="48"/>
      <x:c r="S70" s="48" t="str">
        <x:f>IF($K70&gt;0,"不可正式排",IF(OR($N70="未評估",$N70="學習中"),"不可正式排",IF(AND($L70=0,$N70="可獨立配合"),"初步可獨立",IF(AND($L70&lt;=3,$M70&lt;=1/3,OR($N70="可獨立配合",$N70="可配合但需支援")),"初步可條件排","不可正式排"))))</x:f>
        <x:v>初步可獨立</x:v>
      </x:c>
      <x:c r="T70" s="53" t="str">
        <x:f>IF($C70="LJT-RPD-FINAL","固定短時支援 1 人／30 分鐘",IF($S70="初步可條件排",IF($G70="高複雜度","完整支援者 1:1（占 2 名額）","一般支援 1 名額"),"無"))</x:f>
        <x:v>無</x:v>
      </x:c>
      <x:c r="U70" s="53" t="str">
        <x:f>IF($J70&gt;0,"待確認共通技能門檻",IF($O70&lt;&gt;"已核定","待主管核定",IF(AND($G70="高複雜度",$P70&lt;&gt;"有效"),"資格未有效",$S70)))</x:f>
        <x:v>待確認共通技能門檻</x:v>
      </x:c>
      <x:c r="V70" t="str">
        <x:f>$A70&amp;"|"&amp;$C70</x:f>
        <x:v>1020|LJT-MICROENDO</x:v>
      </x:c>
    </x:row>
    <x:row r="71">
      <x:c r="A71" s="37" t="str">
        <x:v>1020</x:v>
      </x:c>
      <x:c r="B71" s="37" t="str"/>
      <x:c r="C71" s="37" t="str">
        <x:v>LJT-IMPLANT</x:v>
      </x:c>
      <x:c r="D71" s="37" t="str">
        <x:v>高複雜度</x:v>
      </x:c>
      <x:c r="E71" s="37" t="str">
        <x:v>植牙</x:v>
      </x:c>
      <x:c r="F71" s="37" t="str">
        <x:v>一般</x:v>
      </x:c>
      <x:c r="G71" s="37" t="str">
        <x:v>高複雜度</x:v>
      </x:c>
      <x:c r="H71" s="37" t="str">
        <x:v>LJT-PREP-IMPLANT</x:v>
      </x:c>
      <x:c r="I71" s="48" t="n">
        <x:f>COUNTIFS('適配要求展開'!$A$7:$A$734,$A71,'適配要求展開'!$C$7:$C$734,$C71)</x:f>
        <x:v>4</x:v>
      </x:c>
      <x:c r="J71" s="48" t="n">
        <x:f>COUNTIFS('適配要求展開'!$A$7:$A$734,$A71,'適配要求展開'!$C$7:$C$734,$C71,'適配要求展開'!$I$7:$I$734,"待確認")</x:f>
        <x:v>3</x:v>
      </x:c>
      <x:c r="K71" s="48" t="n">
        <x:f>COUNTIFS('適配要求展開'!$A$7:$A$734,$A71,'適配要求展開'!$C$7:$C$734,$C71,'適配要求展開'!$N$7:$N$734,"不符合")</x:f>
        <x:v>0</x:v>
      </x:c>
      <x:c r="L71" s="48" t="n">
        <x:f>COUNTIFS('適配要求展開'!$A$7:$A$734,$A71,'適配要求展開'!$C$7:$C$734,$C71,'適配要求展開'!$L$7:$L$734,"Ø")</x:f>
        <x:v>0</x:v>
      </x:c>
      <x:c r="M71" s="51" t="n">
        <x:f>IF($I71=0,"n.a.",$L71/$I71)</x:f>
        <x:v>0</x:v>
      </x:c>
      <x:c r="N71" s="48" t="str">
        <x:f>_xlfn.XLOOKUP($A71&amp;"|李侑津醫師",'試行熟悉度'!$K$7:$K$20,'試行熟悉度'!$E$7:$E$20,"未評估",0)</x:f>
        <x:v>可獨立配合</x:v>
      </x:c>
      <x:c r="O71" s="48" t="str">
        <x:f>IF(OR(COUNTIFS('適配要求展開'!$A$7:$A$734,$A71,'適配要求展開'!$C$7:$C$734,$C71,'適配要求展開'!$M$7:$M$734,"&lt;&gt;已核定")&gt;0,_xlfn.XLOOKUP($A71&amp;"|李侑津醫師",'試行熟悉度'!$K$7:$K$20,'試行熟悉度'!$F$7:$F$20,"未建立",0)&lt;&gt;"已核定"),"待主管核定","已核定")</x:f>
        <x:v>待主管核定</x:v>
      </x:c>
      <x:c r="P71" s="48" t="str">
        <x:f>IF($C71="LJT-RPD-FINAL","支援者另判",IF($G71="高複雜度",_xlfn.XLOOKUP($A71&amp;"|"&amp;$H71,'資格有效性'!$L$7:$L$62,'資格有效性'!$E$7:$E$62,"未建立",0),"不需複評"))</x:f>
        <x:v>待主管核定</x:v>
      </x:c>
      <x:c r="Q71" s="48" t="n">
        <x:v>0</x:v>
      </x:c>
      <x:c r="R71" s="48"/>
      <x:c r="S71" s="48" t="str">
        <x:f>IF($K71&gt;0,"不可正式排",IF(OR($N71="未評估",$N71="學習中"),"不可正式排",IF(AND($L71=0,$N71="可獨立配合"),"初步可獨立",IF(AND($L71&lt;=3,$M71&lt;=1/3,OR($N71="可獨立配合",$N71="可配合但需支援")),"初步可條件排","不可正式排"))))</x:f>
        <x:v>初步可獨立</x:v>
      </x:c>
      <x:c r="T71" s="53" t="str">
        <x:f>IF($C71="LJT-RPD-FINAL","固定短時支援 1 人／30 分鐘",IF($S71="初步可條件排",IF($G71="高複雜度","完整支援者 1:1（占 2 名額）","一般支援 1 名額"),"無"))</x:f>
        <x:v>無</x:v>
      </x:c>
      <x:c r="U71" s="53" t="str">
        <x:f>IF($J71&gt;0,"待確認共通技能門檻",IF($O71&lt;&gt;"已核定","待主管核定",IF(AND($G71="高複雜度",$P71&lt;&gt;"有效"),"資格未有效",$S71)))</x:f>
        <x:v>待確認共通技能門檻</x:v>
      </x:c>
      <x:c r="V71" t="str">
        <x:f>$A71&amp;"|"&amp;$C71</x:f>
        <x:v>1020|LJT-IMPLANT</x:v>
      </x:c>
    </x:row>
    <x:row r="72">
      <x:c r="A72" s="37" t="str">
        <x:v>1025</x:v>
      </x:c>
      <x:c r="B72" s="37" t="str"/>
      <x:c r="C72" s="37" t="str">
        <x:v>LJT-SCALING</x:v>
      </x:c>
      <x:c r="D72" s="37" t="str">
        <x:v>一般治療</x:v>
      </x:c>
      <x:c r="E72" s="37" t="str">
        <x:v>洗牙</x:v>
      </x:c>
      <x:c r="F72" s="37" t="str">
        <x:v>一般</x:v>
      </x:c>
      <x:c r="G72" s="37" t="str">
        <x:v>一般</x:v>
      </x:c>
      <x:c r="H72" s="37" t="str">
        <x:v>LJT-PREP-SCALING</x:v>
      </x:c>
      <x:c r="I72" s="48" t="n">
        <x:f>COUNTIFS('適配要求展開'!$A$7:$A$734,$A72,'適配要求展開'!$C$7:$C$734,$C72)</x:f>
        <x:v>4</x:v>
      </x:c>
      <x:c r="J72" s="48" t="n">
        <x:f>COUNTIFS('適配要求展開'!$A$7:$A$734,$A72,'適配要求展開'!$C$7:$C$734,$C72,'適配要求展開'!$I$7:$I$734,"待確認")</x:f>
        <x:v>3</x:v>
      </x:c>
      <x:c r="K72" s="48" t="n">
        <x:f>COUNTIFS('適配要求展開'!$A$7:$A$734,$A72,'適配要求展開'!$C$7:$C$734,$C72,'適配要求展開'!$N$7:$N$734,"不符合")</x:f>
        <x:v>0</x:v>
      </x:c>
      <x:c r="L72" s="48" t="n">
        <x:f>COUNTIFS('適配要求展開'!$A$7:$A$734,$A72,'適配要求展開'!$C$7:$C$734,$C72,'適配要求展開'!$L$7:$L$734,"Ø")</x:f>
        <x:v>4</x:v>
      </x:c>
      <x:c r="M72" s="51" t="n">
        <x:f>IF($I72=0,"n.a.",$L72/$I72)</x:f>
        <x:v>1</x:v>
      </x:c>
      <x:c r="N72" s="48" t="str">
        <x:f>_xlfn.XLOOKUP($A72&amp;"|李侑津醫師",'試行熟悉度'!$K$7:$K$20,'試行熟悉度'!$E$7:$E$20,"未評估",0)</x:f>
        <x:v>可配合但需支援</x:v>
      </x:c>
      <x:c r="O72" s="48" t="str">
        <x:f>IF(OR(COUNTIFS('適配要求展開'!$A$7:$A$734,$A72,'適配要求展開'!$C$7:$C$734,$C72,'適配要求展開'!$M$7:$M$734,"&lt;&gt;已核定")&gt;0,_xlfn.XLOOKUP($A72&amp;"|李侑津醫師",'試行熟悉度'!$K$7:$K$20,'試行熟悉度'!$F$7:$F$20,"未建立",0)&lt;&gt;"已核定"),"待主管核定","已核定")</x:f>
        <x:v>待主管核定</x:v>
      </x:c>
      <x:c r="P72" s="48" t="str">
        <x:f>IF($C72="LJT-RPD-FINAL","支援者另判",IF($G72="高複雜度",_xlfn.XLOOKUP($A72&amp;"|"&amp;$H72,'資格有效性'!$L$7:$L$62,'資格有效性'!$E$7:$E$62,"未建立",0),"不需複評"))</x:f>
        <x:v>不需複評</x:v>
      </x:c>
      <x:c r="Q72" s="48" t="n">
        <x:v>0</x:v>
      </x:c>
      <x:c r="R72" s="48"/>
      <x:c r="S72" s="48" t="str">
        <x:f>IF($K72&gt;0,"不可正式排",IF(OR($N72="未評估",$N72="學習中"),"不可正式排",IF(AND($L72=0,$N72="可獨立配合"),"初步可獨立",IF(AND($L72&lt;=3,$M72&lt;=1/3,OR($N72="可獨立配合",$N72="可配合但需支援")),"初步可條件排","不可正式排"))))</x:f>
        <x:v>不可正式排</x:v>
      </x:c>
      <x:c r="T72" s="53" t="str">
        <x:f>IF($C72="LJT-RPD-FINAL","固定短時支援 1 人／30 分鐘",IF($S72="初步可條件排",IF($G72="高複雜度","完整支援者 1:1（占 2 名額）","一般支援 1 名額"),"無"))</x:f>
        <x:v>無</x:v>
      </x:c>
      <x:c r="U72" s="53" t="str">
        <x:f>IF($J72&gt;0,"待確認共通技能門檻",IF($O72&lt;&gt;"已核定","待主管核定",IF(AND($G72="高複雜度",$P72&lt;&gt;"有效"),"資格未有效",$S72)))</x:f>
        <x:v>待確認共通技能門檻</x:v>
      </x:c>
      <x:c r="V72" t="str">
        <x:f>$A72&amp;"|"&amp;$C72</x:f>
        <x:v>1025|LJT-SCALING</x:v>
      </x:c>
    </x:row>
    <x:row r="73">
      <x:c r="A73" s="37" t="str">
        <x:v>1025</x:v>
      </x:c>
      <x:c r="B73" s="37" t="str"/>
      <x:c r="C73" s="37" t="str">
        <x:v>LJT-FILLING</x:v>
      </x:c>
      <x:c r="D73" s="37" t="str">
        <x:v>一般治療</x:v>
      </x:c>
      <x:c r="E73" s="37" t="str">
        <x:v>補牙</x:v>
      </x:c>
      <x:c r="F73" s="37" t="str">
        <x:v>一般</x:v>
      </x:c>
      <x:c r="G73" s="37" t="str">
        <x:v>一般</x:v>
      </x:c>
      <x:c r="H73" s="37" t="str">
        <x:v>LJT-PREP-FILLING</x:v>
      </x:c>
      <x:c r="I73" s="48" t="n">
        <x:f>COUNTIFS('適配要求展開'!$A$7:$A$734,$A73,'適配要求展開'!$C$7:$C$734,$C73)</x:f>
        <x:v>4</x:v>
      </x:c>
      <x:c r="J73" s="48" t="n">
        <x:f>COUNTIFS('適配要求展開'!$A$7:$A$734,$A73,'適配要求展開'!$C$7:$C$734,$C73,'適配要求展開'!$I$7:$I$734,"待確認")</x:f>
        <x:v>3</x:v>
      </x:c>
      <x:c r="K73" s="48" t="n">
        <x:f>COUNTIFS('適配要求展開'!$A$7:$A$734,$A73,'適配要求展開'!$C$7:$C$734,$C73,'適配要求展開'!$N$7:$N$734,"不符合")</x:f>
        <x:v>0</x:v>
      </x:c>
      <x:c r="L73" s="48" t="n">
        <x:f>COUNTIFS('適配要求展開'!$A$7:$A$734,$A73,'適配要求展開'!$C$7:$C$734,$C73,'適配要求展開'!$L$7:$L$734,"Ø")</x:f>
        <x:v>4</x:v>
      </x:c>
      <x:c r="M73" s="51" t="n">
        <x:f>IF($I73=0,"n.a.",$L73/$I73)</x:f>
        <x:v>1</x:v>
      </x:c>
      <x:c r="N73" s="48" t="str">
        <x:f>_xlfn.XLOOKUP($A73&amp;"|李侑津醫師",'試行熟悉度'!$K$7:$K$20,'試行熟悉度'!$E$7:$E$20,"未評估",0)</x:f>
        <x:v>可配合但需支援</x:v>
      </x:c>
      <x:c r="O73" s="48" t="str">
        <x:f>IF(OR(COUNTIFS('適配要求展開'!$A$7:$A$734,$A73,'適配要求展開'!$C$7:$C$734,$C73,'適配要求展開'!$M$7:$M$734,"&lt;&gt;已核定")&gt;0,_xlfn.XLOOKUP($A73&amp;"|李侑津醫師",'試行熟悉度'!$K$7:$K$20,'試行熟悉度'!$F$7:$F$20,"未建立",0)&lt;&gt;"已核定"),"待主管核定","已核定")</x:f>
        <x:v>待主管核定</x:v>
      </x:c>
      <x:c r="P73" s="48" t="str">
        <x:f>IF($C73="LJT-RPD-FINAL","支援者另判",IF($G73="高複雜度",_xlfn.XLOOKUP($A73&amp;"|"&amp;$H73,'資格有效性'!$L$7:$L$62,'資格有效性'!$E$7:$E$62,"未建立",0),"不需複評"))</x:f>
        <x:v>不需複評</x:v>
      </x:c>
      <x:c r="Q73" s="48" t="n">
        <x:v>0</x:v>
      </x:c>
      <x:c r="R73" s="48"/>
      <x:c r="S73" s="48" t="str">
        <x:f>IF($K73&gt;0,"不可正式排",IF(OR($N73="未評估",$N73="學習中"),"不可正式排",IF(AND($L73=0,$N73="可獨立配合"),"初步可獨立",IF(AND($L73&lt;=3,$M73&lt;=1/3,OR($N73="可獨立配合",$N73="可配合但需支援")),"初步可條件排","不可正式排"))))</x:f>
        <x:v>不可正式排</x:v>
      </x:c>
      <x:c r="T73" s="53" t="str">
        <x:f>IF($C73="LJT-RPD-FINAL","固定短時支援 1 人／30 分鐘",IF($S73="初步可條件排",IF($G73="高複雜度","完整支援者 1:1（占 2 名額）","一般支援 1 名額"),"無"))</x:f>
        <x:v>無</x:v>
      </x:c>
      <x:c r="U73" s="53" t="str">
        <x:f>IF($J73&gt;0,"待確認共通技能門檻",IF($O73&lt;&gt;"已核定","待主管核定",IF(AND($G73="高複雜度",$P73&lt;&gt;"有效"),"資格未有效",$S73)))</x:f>
        <x:v>待確認共通技能門檻</x:v>
      </x:c>
      <x:c r="V73" t="str">
        <x:f>$A73&amp;"|"&amp;$C73</x:f>
        <x:v>1025|LJT-FILLING</x:v>
      </x:c>
    </x:row>
    <x:row r="74">
      <x:c r="A74" s="37" t="str">
        <x:v>1025</x:v>
      </x:c>
      <x:c r="B74" s="37" t="str"/>
      <x:c r="C74" s="37" t="str">
        <x:v>LJT-PERIO</x:v>
      </x:c>
      <x:c r="D74" s="37" t="str">
        <x:v>一般治療</x:v>
      </x:c>
      <x:c r="E74" s="37" t="str">
        <x:v>牙周統合</x:v>
      </x:c>
      <x:c r="F74" s="37" t="str">
        <x:v>一般</x:v>
      </x:c>
      <x:c r="G74" s="37" t="str">
        <x:v>一般</x:v>
      </x:c>
      <x:c r="H74" s="37" t="str">
        <x:v>LJT-PREP-PERIO</x:v>
      </x:c>
      <x:c r="I74" s="48" t="n">
        <x:f>COUNTIFS('適配要求展開'!$A$7:$A$734,$A74,'適配要求展開'!$C$7:$C$734,$C74)</x:f>
        <x:v>4</x:v>
      </x:c>
      <x:c r="J74" s="48" t="n">
        <x:f>COUNTIFS('適配要求展開'!$A$7:$A$734,$A74,'適配要求展開'!$C$7:$C$734,$C74,'適配要求展開'!$I$7:$I$734,"待確認")</x:f>
        <x:v>3</x:v>
      </x:c>
      <x:c r="K74" s="48" t="n">
        <x:f>COUNTIFS('適配要求展開'!$A$7:$A$734,$A74,'適配要求展開'!$C$7:$C$734,$C74,'適配要求展開'!$N$7:$N$734,"不符合")</x:f>
        <x:v>0</x:v>
      </x:c>
      <x:c r="L74" s="48" t="n">
        <x:f>COUNTIFS('適配要求展開'!$A$7:$A$734,$A74,'適配要求展開'!$C$7:$C$734,$C74,'適配要求展開'!$L$7:$L$734,"Ø")</x:f>
        <x:v>4</x:v>
      </x:c>
      <x:c r="M74" s="51" t="n">
        <x:f>IF($I74=0,"n.a.",$L74/$I74)</x:f>
        <x:v>1</x:v>
      </x:c>
      <x:c r="N74" s="48" t="str">
        <x:f>_xlfn.XLOOKUP($A74&amp;"|李侑津醫師",'試行熟悉度'!$K$7:$K$20,'試行熟悉度'!$E$7:$E$20,"未評估",0)</x:f>
        <x:v>可配合但需支援</x:v>
      </x:c>
      <x:c r="O74" s="48" t="str">
        <x:f>IF(OR(COUNTIFS('適配要求展開'!$A$7:$A$734,$A74,'適配要求展開'!$C$7:$C$734,$C74,'適配要求展開'!$M$7:$M$734,"&lt;&gt;已核定")&gt;0,_xlfn.XLOOKUP($A74&amp;"|李侑津醫師",'試行熟悉度'!$K$7:$K$20,'試行熟悉度'!$F$7:$F$20,"未建立",0)&lt;&gt;"已核定"),"待主管核定","已核定")</x:f>
        <x:v>待主管核定</x:v>
      </x:c>
      <x:c r="P74" s="48" t="str">
        <x:f>IF($C74="LJT-RPD-FINAL","支援者另判",IF($G74="高複雜度",_xlfn.XLOOKUP($A74&amp;"|"&amp;$H74,'資格有效性'!$L$7:$L$62,'資格有效性'!$E$7:$E$62,"未建立",0),"不需複評"))</x:f>
        <x:v>不需複評</x:v>
      </x:c>
      <x:c r="Q74" s="48" t="n">
        <x:v>0</x:v>
      </x:c>
      <x:c r="R74" s="48"/>
      <x:c r="S74" s="48" t="str">
        <x:f>IF($K74&gt;0,"不可正式排",IF(OR($N74="未評估",$N74="學習中"),"不可正式排",IF(AND($L74=0,$N74="可獨立配合"),"初步可獨立",IF(AND($L74&lt;=3,$M74&lt;=1/3,OR($N74="可獨立配合",$N74="可配合但需支援")),"初步可條件排","不可正式排"))))</x:f>
        <x:v>不可正式排</x:v>
      </x:c>
      <x:c r="T74" s="53" t="str">
        <x:f>IF($C74="LJT-RPD-FINAL","固定短時支援 1 人／30 分鐘",IF($S74="初步可條件排",IF($G74="高複雜度","完整支援者 1:1（占 2 名額）","一般支援 1 名額"),"無"))</x:f>
        <x:v>無</x:v>
      </x:c>
      <x:c r="U74" s="53" t="str">
        <x:f>IF($J74&gt;0,"待確認共通技能門檻",IF($O74&lt;&gt;"已核定","待主管核定",IF(AND($G74="高複雜度",$P74&lt;&gt;"有效"),"資格未有效",$S74)))</x:f>
        <x:v>待確認共通技能門檻</x:v>
      </x:c>
      <x:c r="V74" t="str">
        <x:f>$A74&amp;"|"&amp;$C74</x:f>
        <x:v>1025|LJT-PERIO</x:v>
      </x:c>
    </x:row>
    <x:row r="75">
      <x:c r="A75" s="37" t="str">
        <x:v>1025</x:v>
      </x:c>
      <x:c r="B75" s="37" t="str"/>
      <x:c r="C75" s="37" t="str">
        <x:v>LJT-RCT</x:v>
      </x:c>
      <x:c r="D75" s="37" t="str">
        <x:v>一般治療</x:v>
      </x:c>
      <x:c r="E75" s="37" t="str">
        <x:v>一般根管治療</x:v>
      </x:c>
      <x:c r="F75" s="37" t="str">
        <x:v>一般</x:v>
      </x:c>
      <x:c r="G75" s="37" t="str">
        <x:v>一般</x:v>
      </x:c>
      <x:c r="H75" s="37" t="str">
        <x:v>LJT-PREP-RCT</x:v>
      </x:c>
      <x:c r="I75" s="48" t="n">
        <x:f>COUNTIFS('適配要求展開'!$A$7:$A$734,$A75,'適配要求展開'!$C$7:$C$734,$C75)</x:f>
        <x:v>4</x:v>
      </x:c>
      <x:c r="J75" s="48" t="n">
        <x:f>COUNTIFS('適配要求展開'!$A$7:$A$734,$A75,'適配要求展開'!$C$7:$C$734,$C75,'適配要求展開'!$I$7:$I$734,"待確認")</x:f>
        <x:v>3</x:v>
      </x:c>
      <x:c r="K75" s="48" t="n">
        <x:f>COUNTIFS('適配要求展開'!$A$7:$A$734,$A75,'適配要求展開'!$C$7:$C$734,$C75,'適配要求展開'!$N$7:$N$734,"不符合")</x:f>
        <x:v>0</x:v>
      </x:c>
      <x:c r="L75" s="48" t="n">
        <x:f>COUNTIFS('適配要求展開'!$A$7:$A$734,$A75,'適配要求展開'!$C$7:$C$734,$C75,'適配要求展開'!$L$7:$L$734,"Ø")</x:f>
        <x:v>4</x:v>
      </x:c>
      <x:c r="M75" s="51" t="n">
        <x:f>IF($I75=0,"n.a.",$L75/$I75)</x:f>
        <x:v>1</x:v>
      </x:c>
      <x:c r="N75" s="48" t="str">
        <x:f>_xlfn.XLOOKUP($A75&amp;"|李侑津醫師",'試行熟悉度'!$K$7:$K$20,'試行熟悉度'!$E$7:$E$20,"未評估",0)</x:f>
        <x:v>可配合但需支援</x:v>
      </x:c>
      <x:c r="O75" s="48" t="str">
        <x:f>IF(OR(COUNTIFS('適配要求展開'!$A$7:$A$734,$A75,'適配要求展開'!$C$7:$C$734,$C75,'適配要求展開'!$M$7:$M$734,"&lt;&gt;已核定")&gt;0,_xlfn.XLOOKUP($A75&amp;"|李侑津醫師",'試行熟悉度'!$K$7:$K$20,'試行熟悉度'!$F$7:$F$20,"未建立",0)&lt;&gt;"已核定"),"待主管核定","已核定")</x:f>
        <x:v>待主管核定</x:v>
      </x:c>
      <x:c r="P75" s="48" t="str">
        <x:f>IF($C75="LJT-RPD-FINAL","支援者另判",IF($G75="高複雜度",_xlfn.XLOOKUP($A75&amp;"|"&amp;$H75,'資格有效性'!$L$7:$L$62,'資格有效性'!$E$7:$E$62,"未建立",0),"不需複評"))</x:f>
        <x:v>不需複評</x:v>
      </x:c>
      <x:c r="Q75" s="48" t="n">
        <x:v>0</x:v>
      </x:c>
      <x:c r="R75" s="48"/>
      <x:c r="S75" s="48" t="str">
        <x:f>IF($K75&gt;0,"不可正式排",IF(OR($N75="未評估",$N75="學習中"),"不可正式排",IF(AND($L75=0,$N75="可獨立配合"),"初步可獨立",IF(AND($L75&lt;=3,$M75&lt;=1/3,OR($N75="可獨立配合",$N75="可配合但需支援")),"初步可條件排","不可正式排"))))</x:f>
        <x:v>不可正式排</x:v>
      </x:c>
      <x:c r="T75" s="53" t="str">
        <x:f>IF($C75="LJT-RPD-FINAL","固定短時支援 1 人／30 分鐘",IF($S75="初步可條件排",IF($G75="高複雜度","完整支援者 1:1（占 2 名額）","一般支援 1 名額"),"無"))</x:f>
        <x:v>無</x:v>
      </x:c>
      <x:c r="U75" s="53" t="str">
        <x:f>IF($J75&gt;0,"待確認共通技能門檻",IF($O75&lt;&gt;"已核定","待主管核定",IF(AND($G75="高複雜度",$P75&lt;&gt;"有效"),"資格未有效",$S75)))</x:f>
        <x:v>待確認共通技能門檻</x:v>
      </x:c>
      <x:c r="V75" t="str">
        <x:f>$A75&amp;"|"&amp;$C75</x:f>
        <x:v>1025|LJT-RCT</x:v>
      </x:c>
    </x:row>
    <x:row r="76">
      <x:c r="A76" s="37" t="str">
        <x:v>1025</x:v>
      </x:c>
      <x:c r="B76" s="37" t="str"/>
      <x:c r="C76" s="37" t="str">
        <x:v>LJT-EXTRACTION</x:v>
      </x:c>
      <x:c r="D76" s="37" t="str">
        <x:v>一般治療</x:v>
      </x:c>
      <x:c r="E76" s="37" t="str">
        <x:v>拔牙</x:v>
      </x:c>
      <x:c r="F76" s="37" t="str">
        <x:v>一般</x:v>
      </x:c>
      <x:c r="G76" s="37" t="str">
        <x:v>一般</x:v>
      </x:c>
      <x:c r="H76" s="37" t="str">
        <x:v>LJT-PREP-EXTRACTION</x:v>
      </x:c>
      <x:c r="I76" s="48" t="n">
        <x:f>COUNTIFS('適配要求展開'!$A$7:$A$734,$A76,'適配要求展開'!$C$7:$C$734,$C76)</x:f>
        <x:v>4</x:v>
      </x:c>
      <x:c r="J76" s="48" t="n">
        <x:f>COUNTIFS('適配要求展開'!$A$7:$A$734,$A76,'適配要求展開'!$C$7:$C$734,$C76,'適配要求展開'!$I$7:$I$734,"待確認")</x:f>
        <x:v>3</x:v>
      </x:c>
      <x:c r="K76" s="48" t="n">
        <x:f>COUNTIFS('適配要求展開'!$A$7:$A$734,$A76,'適配要求展開'!$C$7:$C$734,$C76,'適配要求展開'!$N$7:$N$734,"不符合")</x:f>
        <x:v>0</x:v>
      </x:c>
      <x:c r="L76" s="48" t="n">
        <x:f>COUNTIFS('適配要求展開'!$A$7:$A$734,$A76,'適配要求展開'!$C$7:$C$734,$C76,'適配要求展開'!$L$7:$L$734,"Ø")</x:f>
        <x:v>4</x:v>
      </x:c>
      <x:c r="M76" s="51" t="n">
        <x:f>IF($I76=0,"n.a.",$L76/$I76)</x:f>
        <x:v>1</x:v>
      </x:c>
      <x:c r="N76" s="48" t="str">
        <x:f>_xlfn.XLOOKUP($A76&amp;"|李侑津醫師",'試行熟悉度'!$K$7:$K$20,'試行熟悉度'!$E$7:$E$20,"未評估",0)</x:f>
        <x:v>可配合但需支援</x:v>
      </x:c>
      <x:c r="O76" s="48" t="str">
        <x:f>IF(OR(COUNTIFS('適配要求展開'!$A$7:$A$734,$A76,'適配要求展開'!$C$7:$C$734,$C76,'適配要求展開'!$M$7:$M$734,"&lt;&gt;已核定")&gt;0,_xlfn.XLOOKUP($A76&amp;"|李侑津醫師",'試行熟悉度'!$K$7:$K$20,'試行熟悉度'!$F$7:$F$20,"未建立",0)&lt;&gt;"已核定"),"待主管核定","已核定")</x:f>
        <x:v>待主管核定</x:v>
      </x:c>
      <x:c r="P76" s="48" t="str">
        <x:f>IF($C76="LJT-RPD-FINAL","支援者另判",IF($G76="高複雜度",_xlfn.XLOOKUP($A76&amp;"|"&amp;$H76,'資格有效性'!$L$7:$L$62,'資格有效性'!$E$7:$E$62,"未建立",0),"不需複評"))</x:f>
        <x:v>不需複評</x:v>
      </x:c>
      <x:c r="Q76" s="48" t="n">
        <x:v>0</x:v>
      </x:c>
      <x:c r="R76" s="48"/>
      <x:c r="S76" s="48" t="str">
        <x:f>IF($K76&gt;0,"不可正式排",IF(OR($N76="未評估",$N76="學習中"),"不可正式排",IF(AND($L76=0,$N76="可獨立配合"),"初步可獨立",IF(AND($L76&lt;=3,$M76&lt;=1/3,OR($N76="可獨立配合",$N76="可配合但需支援")),"初步可條件排","不可正式排"))))</x:f>
        <x:v>不可正式排</x:v>
      </x:c>
      <x:c r="T76" s="53" t="str">
        <x:f>IF($C76="LJT-RPD-FINAL","固定短時支援 1 人／30 分鐘",IF($S76="初步可條件排",IF($G76="高複雜度","完整支援者 1:1（占 2 名額）","一般支援 1 名額"),"無"))</x:f>
        <x:v>無</x:v>
      </x:c>
      <x:c r="U76" s="53" t="str">
        <x:f>IF($J76&gt;0,"待確認共通技能門檻",IF($O76&lt;&gt;"已核定","待主管核定",IF(AND($G76="高複雜度",$P76&lt;&gt;"有效"),"資格未有效",$S76)))</x:f>
        <x:v>待確認共通技能門檻</x:v>
      </x:c>
      <x:c r="V76" t="str">
        <x:f>$A76&amp;"|"&amp;$C76</x:f>
        <x:v>1025|LJT-EXTRACTION</x:v>
      </x:c>
    </x:row>
    <x:row r="77">
      <x:c r="A77" s="37" t="str">
        <x:v>1025</x:v>
      </x:c>
      <x:c r="B77" s="37" t="str"/>
      <x:c r="C77" s="37" t="str">
        <x:v>LJT-CROWNPOST</x:v>
      </x:c>
      <x:c r="D77" s="37" t="str">
        <x:v>一般治療</x:v>
      </x:c>
      <x:c r="E77" s="37" t="str">
        <x:v>拆 crown/post</x:v>
      </x:c>
      <x:c r="F77" s="37" t="str">
        <x:v>一般</x:v>
      </x:c>
      <x:c r="G77" s="37" t="str">
        <x:v>一般</x:v>
      </x:c>
      <x:c r="H77" s="37" t="str">
        <x:v>LJT-PREP-CROWNPOST</x:v>
      </x:c>
      <x:c r="I77" s="48" t="n">
        <x:f>COUNTIFS('適配要求展開'!$A$7:$A$734,$A77,'適配要求展開'!$C$7:$C$734,$C77)</x:f>
        <x:v>4</x:v>
      </x:c>
      <x:c r="J77" s="48" t="n">
        <x:f>COUNTIFS('適配要求展開'!$A$7:$A$734,$A77,'適配要求展開'!$C$7:$C$734,$C77,'適配要求展開'!$I$7:$I$734,"待確認")</x:f>
        <x:v>3</x:v>
      </x:c>
      <x:c r="K77" s="48" t="n">
        <x:f>COUNTIFS('適配要求展開'!$A$7:$A$734,$A77,'適配要求展開'!$C$7:$C$734,$C77,'適配要求展開'!$N$7:$N$734,"不符合")</x:f>
        <x:v>0</x:v>
      </x:c>
      <x:c r="L77" s="48" t="n">
        <x:f>COUNTIFS('適配要求展開'!$A$7:$A$734,$A77,'適配要求展開'!$C$7:$C$734,$C77,'適配要求展開'!$L$7:$L$734,"Ø")</x:f>
        <x:v>4</x:v>
      </x:c>
      <x:c r="M77" s="51" t="n">
        <x:f>IF($I77=0,"n.a.",$L77/$I77)</x:f>
        <x:v>1</x:v>
      </x:c>
      <x:c r="N77" s="48" t="str">
        <x:f>_xlfn.XLOOKUP($A77&amp;"|李侑津醫師",'試行熟悉度'!$K$7:$K$20,'試行熟悉度'!$E$7:$E$20,"未評估",0)</x:f>
        <x:v>可配合但需支援</x:v>
      </x:c>
      <x:c r="O77" s="48" t="str">
        <x:f>IF(OR(COUNTIFS('適配要求展開'!$A$7:$A$734,$A77,'適配要求展開'!$C$7:$C$734,$C77,'適配要求展開'!$M$7:$M$734,"&lt;&gt;已核定")&gt;0,_xlfn.XLOOKUP($A77&amp;"|李侑津醫師",'試行熟悉度'!$K$7:$K$20,'試行熟悉度'!$F$7:$F$20,"未建立",0)&lt;&gt;"已核定"),"待主管核定","已核定")</x:f>
        <x:v>待主管核定</x:v>
      </x:c>
      <x:c r="P77" s="48" t="str">
        <x:f>IF($C77="LJT-RPD-FINAL","支援者另判",IF($G77="高複雜度",_xlfn.XLOOKUP($A77&amp;"|"&amp;$H77,'資格有效性'!$L$7:$L$62,'資格有效性'!$E$7:$E$62,"未建立",0),"不需複評"))</x:f>
        <x:v>不需複評</x:v>
      </x:c>
      <x:c r="Q77" s="48" t="n">
        <x:v>0</x:v>
      </x:c>
      <x:c r="R77" s="48"/>
      <x:c r="S77" s="48" t="str">
        <x:f>IF($K77&gt;0,"不可正式排",IF(OR($N77="未評估",$N77="學習中"),"不可正式排",IF(AND($L77=0,$N77="可獨立配合"),"初步可獨立",IF(AND($L77&lt;=3,$M77&lt;=1/3,OR($N77="可獨立配合",$N77="可配合但需支援")),"初步可條件排","不可正式排"))))</x:f>
        <x:v>不可正式排</x:v>
      </x:c>
      <x:c r="T77" s="53" t="str">
        <x:f>IF($C77="LJT-RPD-FINAL","固定短時支援 1 人／30 分鐘",IF($S77="初步可條件排",IF($G77="高複雜度","完整支援者 1:1（占 2 名額）","一般支援 1 名額"),"無"))</x:f>
        <x:v>無</x:v>
      </x:c>
      <x:c r="U77" s="53" t="str">
        <x:f>IF($J77&gt;0,"待確認共通技能門檻",IF($O77&lt;&gt;"已核定","待主管核定",IF(AND($G77="高複雜度",$P77&lt;&gt;"有效"),"資格未有效",$S77)))</x:f>
        <x:v>待確認共通技能門檻</x:v>
      </x:c>
      <x:c r="V77" t="str">
        <x:f>$A77&amp;"|"&amp;$C77</x:f>
        <x:v>1025|LJT-CROWNPOST</x:v>
      </x:c>
    </x:row>
    <x:row r="78">
      <x:c r="A78" s="37" t="str">
        <x:v>1025</x:v>
      </x:c>
      <x:c r="B78" s="37" t="str"/>
      <x:c r="C78" s="37" t="str">
        <x:v>LJT-CROWN</x:v>
      </x:c>
      <x:c r="D78" s="37" t="str">
        <x:v>補綴／自費</x:v>
      </x:c>
      <x:c r="E78" s="37" t="str">
        <x:v>固定假牙</x:v>
      </x:c>
      <x:c r="F78" s="37" t="str">
        <x:v>一般</x:v>
      </x:c>
      <x:c r="G78" s="37" t="str">
        <x:v>一般</x:v>
      </x:c>
      <x:c r="H78" s="37" t="str">
        <x:v>LJT-PREP-CROWN</x:v>
      </x:c>
      <x:c r="I78" s="48" t="n">
        <x:f>COUNTIFS('適配要求展開'!$A$7:$A$734,$A78,'適配要求展開'!$C$7:$C$734,$C78)</x:f>
        <x:v>4</x:v>
      </x:c>
      <x:c r="J78" s="48" t="n">
        <x:f>COUNTIFS('適配要求展開'!$A$7:$A$734,$A78,'適配要求展開'!$C$7:$C$734,$C78,'適配要求展開'!$I$7:$I$734,"待確認")</x:f>
        <x:v>3</x:v>
      </x:c>
      <x:c r="K78" s="48" t="n">
        <x:f>COUNTIFS('適配要求展開'!$A$7:$A$734,$A78,'適配要求展開'!$C$7:$C$734,$C78,'適配要求展開'!$N$7:$N$734,"不符合")</x:f>
        <x:v>0</x:v>
      </x:c>
      <x:c r="L78" s="48" t="n">
        <x:f>COUNTIFS('適配要求展開'!$A$7:$A$734,$A78,'適配要求展開'!$C$7:$C$734,$C78,'適配要求展開'!$L$7:$L$734,"Ø")</x:f>
        <x:v>4</x:v>
      </x:c>
      <x:c r="M78" s="51" t="n">
        <x:f>IF($I78=0,"n.a.",$L78/$I78)</x:f>
        <x:v>1</x:v>
      </x:c>
      <x:c r="N78" s="48" t="str">
        <x:f>_xlfn.XLOOKUP($A78&amp;"|李侑津醫師",'試行熟悉度'!$K$7:$K$20,'試行熟悉度'!$E$7:$E$20,"未評估",0)</x:f>
        <x:v>可配合但需支援</x:v>
      </x:c>
      <x:c r="O78" s="48" t="str">
        <x:f>IF(OR(COUNTIFS('適配要求展開'!$A$7:$A$734,$A78,'適配要求展開'!$C$7:$C$734,$C78,'適配要求展開'!$M$7:$M$734,"&lt;&gt;已核定")&gt;0,_xlfn.XLOOKUP($A78&amp;"|李侑津醫師",'試行熟悉度'!$K$7:$K$20,'試行熟悉度'!$F$7:$F$20,"未建立",0)&lt;&gt;"已核定"),"待主管核定","已核定")</x:f>
        <x:v>待主管核定</x:v>
      </x:c>
      <x:c r="P78" s="48" t="str">
        <x:f>IF($C78="LJT-RPD-FINAL","支援者另判",IF($G78="高複雜度",_xlfn.XLOOKUP($A78&amp;"|"&amp;$H78,'資格有效性'!$L$7:$L$62,'資格有效性'!$E$7:$E$62,"未建立",0),"不需複評"))</x:f>
        <x:v>不需複評</x:v>
      </x:c>
      <x:c r="Q78" s="48" t="n">
        <x:v>0</x:v>
      </x:c>
      <x:c r="R78" s="48"/>
      <x:c r="S78" s="48" t="str">
        <x:f>IF($K78&gt;0,"不可正式排",IF(OR($N78="未評估",$N78="學習中"),"不可正式排",IF(AND($L78=0,$N78="可獨立配合"),"初步可獨立",IF(AND($L78&lt;=3,$M78&lt;=1/3,OR($N78="可獨立配合",$N78="可配合但需支援")),"初步可條件排","不可正式排"))))</x:f>
        <x:v>不可正式排</x:v>
      </x:c>
      <x:c r="T78" s="53" t="str">
        <x:f>IF($C78="LJT-RPD-FINAL","固定短時支援 1 人／30 分鐘",IF($S78="初步可條件排",IF($G78="高複雜度","完整支援者 1:1（占 2 名額）","一般支援 1 名額"),"無"))</x:f>
        <x:v>無</x:v>
      </x:c>
      <x:c r="U78" s="53" t="str">
        <x:f>IF($J78&gt;0,"待確認共通技能門檻",IF($O78&lt;&gt;"已核定","待主管核定",IF(AND($G78="高複雜度",$P78&lt;&gt;"有效"),"資格未有效",$S78)))</x:f>
        <x:v>待確認共通技能門檻</x:v>
      </x:c>
      <x:c r="V78" t="str">
        <x:f>$A78&amp;"|"&amp;$C78</x:f>
        <x:v>1025|LJT-CROWN</x:v>
      </x:c>
    </x:row>
    <x:row r="79">
      <x:c r="A79" s="37" t="str">
        <x:v>1025</x:v>
      </x:c>
      <x:c r="B79" s="37" t="str"/>
      <x:c r="C79" s="37" t="str">
        <x:v>LJT-RPD</x:v>
      </x:c>
      <x:c r="D79" s="37" t="str">
        <x:v>補綴／自費</x:v>
      </x:c>
      <x:c r="E79" s="37" t="str">
        <x:v>RPD</x:v>
      </x:c>
      <x:c r="F79" s="37" t="str">
        <x:v>一般步驟</x:v>
      </x:c>
      <x:c r="G79" s="37" t="str">
        <x:v>一般</x:v>
      </x:c>
      <x:c r="H79" s="37" t="str">
        <x:v>LJT-PREP-RPD</x:v>
      </x:c>
      <x:c r="I79" s="48" t="n">
        <x:f>COUNTIFS('適配要求展開'!$A$7:$A$734,$A79,'適配要求展開'!$C$7:$C$734,$C79)</x:f>
        <x:v>4</x:v>
      </x:c>
      <x:c r="J79" s="48" t="n">
        <x:f>COUNTIFS('適配要求展開'!$A$7:$A$734,$A79,'適配要求展開'!$C$7:$C$734,$C79,'適配要求展開'!$I$7:$I$734,"待確認")</x:f>
        <x:v>3</x:v>
      </x:c>
      <x:c r="K79" s="48" t="n">
        <x:f>COUNTIFS('適配要求展開'!$A$7:$A$734,$A79,'適配要求展開'!$C$7:$C$734,$C79,'適配要求展開'!$N$7:$N$734,"不符合")</x:f>
        <x:v>0</x:v>
      </x:c>
      <x:c r="L79" s="48" t="n">
        <x:f>COUNTIFS('適配要求展開'!$A$7:$A$734,$A79,'適配要求展開'!$C$7:$C$734,$C79,'適配要求展開'!$L$7:$L$734,"Ø")</x:f>
        <x:v>4</x:v>
      </x:c>
      <x:c r="M79" s="51" t="n">
        <x:f>IF($I79=0,"n.a.",$L79/$I79)</x:f>
        <x:v>1</x:v>
      </x:c>
      <x:c r="N79" s="48" t="str">
        <x:f>_xlfn.XLOOKUP($A79&amp;"|李侑津醫師",'試行熟悉度'!$K$7:$K$20,'試行熟悉度'!$E$7:$E$20,"未評估",0)</x:f>
        <x:v>可配合但需支援</x:v>
      </x:c>
      <x:c r="O79" s="48" t="str">
        <x:f>IF(OR(COUNTIFS('適配要求展開'!$A$7:$A$734,$A79,'適配要求展開'!$C$7:$C$734,$C79,'適配要求展開'!$M$7:$M$734,"&lt;&gt;已核定")&gt;0,_xlfn.XLOOKUP($A79&amp;"|李侑津醫師",'試行熟悉度'!$K$7:$K$20,'試行熟悉度'!$F$7:$F$20,"未建立",0)&lt;&gt;"已核定"),"待主管核定","已核定")</x:f>
        <x:v>待主管核定</x:v>
      </x:c>
      <x:c r="P79" s="48" t="str">
        <x:f>IF($C79="LJT-RPD-FINAL","支援者另判",IF($G79="高複雜度",_xlfn.XLOOKUP($A79&amp;"|"&amp;$H79,'資格有效性'!$L$7:$L$62,'資格有效性'!$E$7:$E$62,"未建立",0),"不需複評"))</x:f>
        <x:v>不需複評</x:v>
      </x:c>
      <x:c r="Q79" s="48" t="n">
        <x:v>0</x:v>
      </x:c>
      <x:c r="R79" s="48"/>
      <x:c r="S79" s="48" t="str">
        <x:f>IF($K79&gt;0,"不可正式排",IF(OR($N79="未評估",$N79="學習中"),"不可正式排",IF(AND($L79=0,$N79="可獨立配合"),"初步可獨立",IF(AND($L79&lt;=3,$M79&lt;=1/3,OR($N79="可獨立配合",$N79="可配合但需支援")),"初步可條件排","不可正式排"))))</x:f>
        <x:v>不可正式排</x:v>
      </x:c>
      <x:c r="T79" s="53" t="str">
        <x:f>IF($C79="LJT-RPD-FINAL","固定短時支援 1 人／30 分鐘",IF($S79="初步可條件排",IF($G79="高複雜度","完整支援者 1:1（占 2 名額）","一般支援 1 名額"),"無"))</x:f>
        <x:v>無</x:v>
      </x:c>
      <x:c r="U79" s="53" t="str">
        <x:f>IF($J79&gt;0,"待確認共通技能門檻",IF($O79&lt;&gt;"已核定","待主管核定",IF(AND($G79="高複雜度",$P79&lt;&gt;"有效"),"資格未有效",$S79)))</x:f>
        <x:v>待確認共通技能門檻</x:v>
      </x:c>
      <x:c r="V79" t="str">
        <x:f>$A79&amp;"|"&amp;$C79</x:f>
        <x:v>1025|LJT-RPD</x:v>
      </x:c>
    </x:row>
    <x:row r="80">
      <x:c r="A80" s="37" t="str">
        <x:v>1025</x:v>
      </x:c>
      <x:c r="B80" s="37" t="str"/>
      <x:c r="C80" s="37" t="str">
        <x:v>LJT-RPD-FINAL</x:v>
      </x:c>
      <x:c r="D80" s="37" t="str">
        <x:v>補綴／自費</x:v>
      </x:c>
      <x:c r="E80" s="37" t="str">
        <x:v>RPD</x:v>
      </x:c>
      <x:c r="F80" s="37" t="str">
        <x:v>印最終模</x:v>
      </x:c>
      <x:c r="G80" s="37" t="str">
        <x:v>特殊階段</x:v>
      </x:c>
      <x:c r="H80" s="37" t="str">
        <x:v>LJT-PREP-RPD</x:v>
      </x:c>
      <x:c r="I80" s="48" t="n">
        <x:f>COUNTIFS('適配要求展開'!$A$7:$A$734,$A80,'適配要求展開'!$C$7:$C$734,$C80)</x:f>
        <x:v>4</x:v>
      </x:c>
      <x:c r="J80" s="48" t="n">
        <x:f>COUNTIFS('適配要求展開'!$A$7:$A$734,$A80,'適配要求展開'!$C$7:$C$734,$C80,'適配要求展開'!$I$7:$I$734,"待確認")</x:f>
        <x:v>3</x:v>
      </x:c>
      <x:c r="K80" s="48" t="n">
        <x:f>COUNTIFS('適配要求展開'!$A$7:$A$734,$A80,'適配要求展開'!$C$7:$C$734,$C80,'適配要求展開'!$N$7:$N$734,"不符合")</x:f>
        <x:v>0</x:v>
      </x:c>
      <x:c r="L80" s="48" t="n">
        <x:f>COUNTIFS('適配要求展開'!$A$7:$A$734,$A80,'適配要求展開'!$C$7:$C$734,$C80,'適配要求展開'!$L$7:$L$734,"Ø")</x:f>
        <x:v>4</x:v>
      </x:c>
      <x:c r="M80" s="51" t="n">
        <x:f>IF($I80=0,"n.a.",$L80/$I80)</x:f>
        <x:v>1</x:v>
      </x:c>
      <x:c r="N80" s="48" t="str">
        <x:f>_xlfn.XLOOKUP($A80&amp;"|李侑津醫師",'試行熟悉度'!$K$7:$K$20,'試行熟悉度'!$E$7:$E$20,"未評估",0)</x:f>
        <x:v>可配合但需支援</x:v>
      </x:c>
      <x:c r="O80" s="48" t="str">
        <x:f>IF(OR(COUNTIFS('適配要求展開'!$A$7:$A$734,$A80,'適配要求展開'!$C$7:$C$734,$C80,'適配要求展開'!$M$7:$M$734,"&lt;&gt;已核定")&gt;0,_xlfn.XLOOKUP($A80&amp;"|李侑津醫師",'試行熟悉度'!$K$7:$K$20,'試行熟悉度'!$F$7:$F$20,"未建立",0)&lt;&gt;"已核定"),"待主管核定","已核定")</x:f>
        <x:v>待主管核定</x:v>
      </x:c>
      <x:c r="P80" s="48" t="str">
        <x:f>IF($C80="LJT-RPD-FINAL","支援者另判",IF($G80="高複雜度",_xlfn.XLOOKUP($A80&amp;"|"&amp;$H80,'資格有效性'!$L$7:$L$62,'資格有效性'!$E$7:$E$62,"未建立",0),"不需複評"))</x:f>
        <x:v>支援者另判</x:v>
      </x:c>
      <x:c r="Q80" s="48" t="n">
        <x:v>1</x:v>
      </x:c>
      <x:c r="R80" s="48" t="n">
        <x:v>30</x:v>
      </x:c>
      <x:c r="S80" s="48" t="str">
        <x:f>IF($K80&gt;0,"不可正式排",IF(OR($N80="未評估",$N80="學習中"),"不可正式排",IF(AND($L80=0,$N80="可獨立配合"),"初步可獨立",IF(AND($L80&lt;=3,$M80&lt;=1/3,OR($N80="可獨立配合",$N80="可配合但需支援")),"初步可條件排","不可正式排"))))</x:f>
        <x:v>不可正式排</x:v>
      </x:c>
      <x:c r="T80" s="53" t="str">
        <x:f>IF($C80="LJT-RPD-FINAL","固定短時支援 1 人／30 分鐘",IF($S80="初步可條件排",IF($G80="高複雜度","完整支援者 1:1（占 2 名額）","一般支援 1 名額"),"無"))</x:f>
        <x:v>固定短時支援 1 人／30 分鐘</x:v>
      </x:c>
      <x:c r="U80" s="53" t="str">
        <x:f>IF($J80&gt;0,"待確認共通技能門檻",IF($O80&lt;&gt;"已核定","待主管核定",IF(AND($G80="高複雜度",$P80&lt;&gt;"有效"),"資格未有效",$S80)))</x:f>
        <x:v>待確認共通技能門檻</x:v>
      </x:c>
      <x:c r="V80" t="str">
        <x:f>$A80&amp;"|"&amp;$C80</x:f>
        <x:v>1025|LJT-RPD-FINAL</x:v>
      </x:c>
    </x:row>
    <x:row r="81">
      <x:c r="A81" s="37" t="str">
        <x:v>1025</x:v>
      </x:c>
      <x:c r="B81" s="37" t="str"/>
      <x:c r="C81" s="37" t="str">
        <x:v>LJT-AIRPOLISH</x:v>
      </x:c>
      <x:c r="D81" s="37" t="str">
        <x:v>補綴／自費</x:v>
      </x:c>
      <x:c r="E81" s="37" t="str">
        <x:v>噴砂美白</x:v>
      </x:c>
      <x:c r="F81" s="37" t="str">
        <x:v>一般</x:v>
      </x:c>
      <x:c r="G81" s="37" t="str">
        <x:v>一般</x:v>
      </x:c>
      <x:c r="H81" s="37" t="str">
        <x:v>LJT-PREP-AIRPOLISH</x:v>
      </x:c>
      <x:c r="I81" s="48" t="n">
        <x:f>COUNTIFS('適配要求展開'!$A$7:$A$734,$A81,'適配要求展開'!$C$7:$C$734,$C81)</x:f>
        <x:v>4</x:v>
      </x:c>
      <x:c r="J81" s="48" t="n">
        <x:f>COUNTIFS('適配要求展開'!$A$7:$A$734,$A81,'適配要求展開'!$C$7:$C$734,$C81,'適配要求展開'!$I$7:$I$734,"待確認")</x:f>
        <x:v>3</x:v>
      </x:c>
      <x:c r="K81" s="48" t="n">
        <x:f>COUNTIFS('適配要求展開'!$A$7:$A$734,$A81,'適配要求展開'!$C$7:$C$734,$C81,'適配要求展開'!$N$7:$N$734,"不符合")</x:f>
        <x:v>1</x:v>
      </x:c>
      <x:c r="L81" s="48" t="n">
        <x:f>COUNTIFS('適配要求展開'!$A$7:$A$734,$A81,'適配要求展開'!$C$7:$C$734,$C81,'適配要求展開'!$L$7:$L$734,"Ø")</x:f>
        <x:v>3</x:v>
      </x:c>
      <x:c r="M81" s="51" t="n">
        <x:f>IF($I81=0,"n.a.",$L81/$I81)</x:f>
        <x:v>0.75</x:v>
      </x:c>
      <x:c r="N81" s="48" t="str">
        <x:f>_xlfn.XLOOKUP($A81&amp;"|李侑津醫師",'試行熟悉度'!$K$7:$K$20,'試行熟悉度'!$E$7:$E$20,"未評估",0)</x:f>
        <x:v>可配合但需支援</x:v>
      </x:c>
      <x:c r="O81" s="48" t="str">
        <x:f>IF(OR(COUNTIFS('適配要求展開'!$A$7:$A$734,$A81,'適配要求展開'!$C$7:$C$734,$C81,'適配要求展開'!$M$7:$M$734,"&lt;&gt;已核定")&gt;0,_xlfn.XLOOKUP($A81&amp;"|李侑津醫師",'試行熟悉度'!$K$7:$K$20,'試行熟悉度'!$F$7:$F$20,"未建立",0)&lt;&gt;"已核定"),"待主管核定","已核定")</x:f>
        <x:v>待主管核定</x:v>
      </x:c>
      <x:c r="P81" s="48" t="str">
        <x:f>IF($C81="LJT-RPD-FINAL","支援者另判",IF($G81="高複雜度",_xlfn.XLOOKUP($A81&amp;"|"&amp;$H81,'資格有效性'!$L$7:$L$62,'資格有效性'!$E$7:$E$62,"未建立",0),"不需複評"))</x:f>
        <x:v>不需複評</x:v>
      </x:c>
      <x:c r="Q81" s="48" t="n">
        <x:v>0</x:v>
      </x:c>
      <x:c r="R81" s="48"/>
      <x:c r="S81" s="48" t="str">
        <x:f>IF($K81&gt;0,"不可正式排",IF(OR($N81="未評估",$N81="學習中"),"不可正式排",IF(AND($L81=0,$N81="可獨立配合"),"初步可獨立",IF(AND($L81&lt;=3,$M81&lt;=1/3,OR($N81="可獨立配合",$N81="可配合但需支援")),"初步可條件排","不可正式排"))))</x:f>
        <x:v>不可正式排</x:v>
      </x:c>
      <x:c r="T81" s="53" t="str">
        <x:f>IF($C81="LJT-RPD-FINAL","固定短時支援 1 人／30 分鐘",IF($S81="初步可條件排",IF($G81="高複雜度","完整支援者 1:1（占 2 名額）","一般支援 1 名額"),"無"))</x:f>
        <x:v>無</x:v>
      </x:c>
      <x:c r="U81" s="53" t="str">
        <x:f>IF($J81&gt;0,"待確認共通技能門檻",IF($O81&lt;&gt;"已核定","待主管核定",IF(AND($G81="高複雜度",$P81&lt;&gt;"有效"),"資格未有效",$S81)))</x:f>
        <x:v>待確認共通技能門檻</x:v>
      </x:c>
      <x:c r="V81" t="str">
        <x:f>$A81&amp;"|"&amp;$C81</x:f>
        <x:v>1025|LJT-AIRPOLISH</x:v>
      </x:c>
    </x:row>
    <x:row r="82">
      <x:c r="A82" s="37" t="str">
        <x:v>1025</x:v>
      </x:c>
      <x:c r="B82" s="37" t="str"/>
      <x:c r="C82" s="37" t="str">
        <x:v>LJT-PERIOSURG</x:v>
      </x:c>
      <x:c r="D82" s="37" t="str">
        <x:v>高複雜度</x:v>
      </x:c>
      <x:c r="E82" s="37" t="str">
        <x:v>牙周手術</x:v>
      </x:c>
      <x:c r="F82" s="37" t="str">
        <x:v>一般</x:v>
      </x:c>
      <x:c r="G82" s="37" t="str">
        <x:v>高複雜度</x:v>
      </x:c>
      <x:c r="H82" s="37" t="str">
        <x:v>LJT-PREP-PERIOSURG</x:v>
      </x:c>
      <x:c r="I82" s="48" t="n">
        <x:f>COUNTIFS('適配要求展開'!$A$7:$A$734,$A82,'適配要求展開'!$C$7:$C$734,$C82)</x:f>
        <x:v>4</x:v>
      </x:c>
      <x:c r="J82" s="48" t="n">
        <x:f>COUNTIFS('適配要求展開'!$A$7:$A$734,$A82,'適配要求展開'!$C$7:$C$734,$C82,'適配要求展開'!$I$7:$I$734,"待確認")</x:f>
        <x:v>3</x:v>
      </x:c>
      <x:c r="K82" s="48" t="n">
        <x:f>COUNTIFS('適配要求展開'!$A$7:$A$734,$A82,'適配要求展開'!$C$7:$C$734,$C82,'適配要求展開'!$N$7:$N$734,"不符合")</x:f>
        <x:v>0</x:v>
      </x:c>
      <x:c r="L82" s="48" t="n">
        <x:f>COUNTIFS('適配要求展開'!$A$7:$A$734,$A82,'適配要求展開'!$C$7:$C$734,$C82,'適配要求展開'!$L$7:$L$734,"Ø")</x:f>
        <x:v>4</x:v>
      </x:c>
      <x:c r="M82" s="51" t="n">
        <x:f>IF($I82=0,"n.a.",$L82/$I82)</x:f>
        <x:v>1</x:v>
      </x:c>
      <x:c r="N82" s="48" t="str">
        <x:f>_xlfn.XLOOKUP($A82&amp;"|李侑津醫師",'試行熟悉度'!$K$7:$K$20,'試行熟悉度'!$E$7:$E$20,"未評估",0)</x:f>
        <x:v>可配合但需支援</x:v>
      </x:c>
      <x:c r="O82" s="48" t="str">
        <x:f>IF(OR(COUNTIFS('適配要求展開'!$A$7:$A$734,$A82,'適配要求展開'!$C$7:$C$734,$C82,'適配要求展開'!$M$7:$M$734,"&lt;&gt;已核定")&gt;0,_xlfn.XLOOKUP($A82&amp;"|李侑津醫師",'試行熟悉度'!$K$7:$K$20,'試行熟悉度'!$F$7:$F$20,"未建立",0)&lt;&gt;"已核定"),"待主管核定","已核定")</x:f>
        <x:v>待主管核定</x:v>
      </x:c>
      <x:c r="P82" s="48" t="str">
        <x:f>IF($C82="LJT-RPD-FINAL","支援者另判",IF($G82="高複雜度",_xlfn.XLOOKUP($A82&amp;"|"&amp;$H82,'資格有效性'!$L$7:$L$62,'資格有效性'!$E$7:$E$62,"未建立",0),"不需複評"))</x:f>
        <x:v>待主管核定</x:v>
      </x:c>
      <x:c r="Q82" s="48" t="n">
        <x:v>0</x:v>
      </x:c>
      <x:c r="R82" s="48"/>
      <x:c r="S82" s="48" t="str">
        <x:f>IF($K82&gt;0,"不可正式排",IF(OR($N82="未評估",$N82="學習中"),"不可正式排",IF(AND($L82=0,$N82="可獨立配合"),"初步可獨立",IF(AND($L82&lt;=3,$M82&lt;=1/3,OR($N82="可獨立配合",$N82="可配合但需支援")),"初步可條件排","不可正式排"))))</x:f>
        <x:v>不可正式排</x:v>
      </x:c>
      <x:c r="T82" s="53" t="str">
        <x:f>IF($C82="LJT-RPD-FINAL","固定短時支援 1 人／30 分鐘",IF($S82="初步可條件排",IF($G82="高複雜度","完整支援者 1:1（占 2 名額）","一般支援 1 名額"),"無"))</x:f>
        <x:v>無</x:v>
      </x:c>
      <x:c r="U82" s="53" t="str">
        <x:f>IF($J82&gt;0,"待確認共通技能門檻",IF($O82&lt;&gt;"已核定","待主管核定",IF(AND($G82="高複雜度",$P82&lt;&gt;"有效"),"資格未有效",$S82)))</x:f>
        <x:v>待確認共通技能門檻</x:v>
      </x:c>
      <x:c r="V82" t="str">
        <x:f>$A82&amp;"|"&amp;$C82</x:f>
        <x:v>1025|LJT-PERIOSURG</x:v>
      </x:c>
    </x:row>
    <x:row r="83">
      <x:c r="A83" s="37" t="str">
        <x:v>1025</x:v>
      </x:c>
      <x:c r="B83" s="37" t="str"/>
      <x:c r="C83" s="37" t="str">
        <x:v>LJT-MICROENDO</x:v>
      </x:c>
      <x:c r="D83" s="37" t="str">
        <x:v>高複雜度</x:v>
      </x:c>
      <x:c r="E83" s="37" t="str">
        <x:v>顯微根管</x:v>
      </x:c>
      <x:c r="F83" s="37" t="str">
        <x:v>一般</x:v>
      </x:c>
      <x:c r="G83" s="37" t="str">
        <x:v>高複雜度</x:v>
      </x:c>
      <x:c r="H83" s="37" t="str">
        <x:v>LJT-PREP-MICROENDO</x:v>
      </x:c>
      <x:c r="I83" s="48" t="n">
        <x:f>COUNTIFS('適配要求展開'!$A$7:$A$734,$A83,'適配要求展開'!$C$7:$C$734,$C83)</x:f>
        <x:v>4</x:v>
      </x:c>
      <x:c r="J83" s="48" t="n">
        <x:f>COUNTIFS('適配要求展開'!$A$7:$A$734,$A83,'適配要求展開'!$C$7:$C$734,$C83,'適配要求展開'!$I$7:$I$734,"待確認")</x:f>
        <x:v>3</x:v>
      </x:c>
      <x:c r="K83" s="48" t="n">
        <x:f>COUNTIFS('適配要求展開'!$A$7:$A$734,$A83,'適配要求展開'!$C$7:$C$734,$C83,'適配要求展開'!$N$7:$N$734,"不符合")</x:f>
        <x:v>1</x:v>
      </x:c>
      <x:c r="L83" s="48" t="n">
        <x:f>COUNTIFS('適配要求展開'!$A$7:$A$734,$A83,'適配要求展開'!$C$7:$C$734,$C83,'適配要求展開'!$L$7:$L$734,"Ø")</x:f>
        <x:v>3</x:v>
      </x:c>
      <x:c r="M83" s="51" t="n">
        <x:f>IF($I83=0,"n.a.",$L83/$I83)</x:f>
        <x:v>0.75</x:v>
      </x:c>
      <x:c r="N83" s="48" t="str">
        <x:f>_xlfn.XLOOKUP($A83&amp;"|李侑津醫師",'試行熟悉度'!$K$7:$K$20,'試行熟悉度'!$E$7:$E$20,"未評估",0)</x:f>
        <x:v>可配合但需支援</x:v>
      </x:c>
      <x:c r="O83" s="48" t="str">
        <x:f>IF(OR(COUNTIFS('適配要求展開'!$A$7:$A$734,$A83,'適配要求展開'!$C$7:$C$734,$C83,'適配要求展開'!$M$7:$M$734,"&lt;&gt;已核定")&gt;0,_xlfn.XLOOKUP($A83&amp;"|李侑津醫師",'試行熟悉度'!$K$7:$K$20,'試行熟悉度'!$F$7:$F$20,"未建立",0)&lt;&gt;"已核定"),"待主管核定","已核定")</x:f>
        <x:v>待主管核定</x:v>
      </x:c>
      <x:c r="P83" s="48" t="str">
        <x:f>IF($C83="LJT-RPD-FINAL","支援者另判",IF($G83="高複雜度",_xlfn.XLOOKUP($A83&amp;"|"&amp;$H83,'資格有效性'!$L$7:$L$62,'資格有效性'!$E$7:$E$62,"未建立",0),"不需複評"))</x:f>
        <x:v>待主管核定</x:v>
      </x:c>
      <x:c r="Q83" s="48" t="n">
        <x:v>0</x:v>
      </x:c>
      <x:c r="R83" s="48"/>
      <x:c r="S83" s="48" t="str">
        <x:f>IF($K83&gt;0,"不可正式排",IF(OR($N83="未評估",$N83="學習中"),"不可正式排",IF(AND($L83=0,$N83="可獨立配合"),"初步可獨立",IF(AND($L83&lt;=3,$M83&lt;=1/3,OR($N83="可獨立配合",$N83="可配合但需支援")),"初步可條件排","不可正式排"))))</x:f>
        <x:v>不可正式排</x:v>
      </x:c>
      <x:c r="T83" s="53" t="str">
        <x:f>IF($C83="LJT-RPD-FINAL","固定短時支援 1 人／30 分鐘",IF($S83="初步可條件排",IF($G83="高複雜度","完整支援者 1:1（占 2 名額）","一般支援 1 名額"),"無"))</x:f>
        <x:v>無</x:v>
      </x:c>
      <x:c r="U83" s="53" t="str">
        <x:f>IF($J83&gt;0,"待確認共通技能門檻",IF($O83&lt;&gt;"已核定","待主管核定",IF(AND($G83="高複雜度",$P83&lt;&gt;"有效"),"資格未有效",$S83)))</x:f>
        <x:v>待確認共通技能門檻</x:v>
      </x:c>
      <x:c r="V83" t="str">
        <x:f>$A83&amp;"|"&amp;$C83</x:f>
        <x:v>1025|LJT-MICROENDO</x:v>
      </x:c>
    </x:row>
    <x:row r="84">
      <x:c r="A84" s="37" t="str">
        <x:v>1025</x:v>
      </x:c>
      <x:c r="B84" s="37" t="str"/>
      <x:c r="C84" s="37" t="str">
        <x:v>LJT-IMPLANT</x:v>
      </x:c>
      <x:c r="D84" s="37" t="str">
        <x:v>高複雜度</x:v>
      </x:c>
      <x:c r="E84" s="37" t="str">
        <x:v>植牙</x:v>
      </x:c>
      <x:c r="F84" s="37" t="str">
        <x:v>一般</x:v>
      </x:c>
      <x:c r="G84" s="37" t="str">
        <x:v>高複雜度</x:v>
      </x:c>
      <x:c r="H84" s="37" t="str">
        <x:v>LJT-PREP-IMPLANT</x:v>
      </x:c>
      <x:c r="I84" s="48" t="n">
        <x:f>COUNTIFS('適配要求展開'!$A$7:$A$734,$A84,'適配要求展開'!$C$7:$C$734,$C84)</x:f>
        <x:v>4</x:v>
      </x:c>
      <x:c r="J84" s="48" t="n">
        <x:f>COUNTIFS('適配要求展開'!$A$7:$A$734,$A84,'適配要求展開'!$C$7:$C$734,$C84,'適配要求展開'!$I$7:$I$734,"待確認")</x:f>
        <x:v>3</x:v>
      </x:c>
      <x:c r="K84" s="48" t="n">
        <x:f>COUNTIFS('適配要求展開'!$A$7:$A$734,$A84,'適配要求展開'!$C$7:$C$734,$C84,'適配要求展開'!$N$7:$N$734,"不符合")</x:f>
        <x:v>0</x:v>
      </x:c>
      <x:c r="L84" s="48" t="n">
        <x:f>COUNTIFS('適配要求展開'!$A$7:$A$734,$A84,'適配要求展開'!$C$7:$C$734,$C84,'適配要求展開'!$L$7:$L$734,"Ø")</x:f>
        <x:v>4</x:v>
      </x:c>
      <x:c r="M84" s="51" t="n">
        <x:f>IF($I84=0,"n.a.",$L84/$I84)</x:f>
        <x:v>1</x:v>
      </x:c>
      <x:c r="N84" s="48" t="str">
        <x:f>_xlfn.XLOOKUP($A84&amp;"|李侑津醫師",'試行熟悉度'!$K$7:$K$20,'試行熟悉度'!$E$7:$E$20,"未評估",0)</x:f>
        <x:v>可配合但需支援</x:v>
      </x:c>
      <x:c r="O84" s="48" t="str">
        <x:f>IF(OR(COUNTIFS('適配要求展開'!$A$7:$A$734,$A84,'適配要求展開'!$C$7:$C$734,$C84,'適配要求展開'!$M$7:$M$734,"&lt;&gt;已核定")&gt;0,_xlfn.XLOOKUP($A84&amp;"|李侑津醫師",'試行熟悉度'!$K$7:$K$20,'試行熟悉度'!$F$7:$F$20,"未建立",0)&lt;&gt;"已核定"),"待主管核定","已核定")</x:f>
        <x:v>待主管核定</x:v>
      </x:c>
      <x:c r="P84" s="48" t="str">
        <x:f>IF($C84="LJT-RPD-FINAL","支援者另判",IF($G84="高複雜度",_xlfn.XLOOKUP($A84&amp;"|"&amp;$H84,'資格有效性'!$L$7:$L$62,'資格有效性'!$E$7:$E$62,"未建立",0),"不需複評"))</x:f>
        <x:v>待主管核定</x:v>
      </x:c>
      <x:c r="Q84" s="48" t="n">
        <x:v>0</x:v>
      </x:c>
      <x:c r="R84" s="48"/>
      <x:c r="S84" s="48" t="str">
        <x:f>IF($K84&gt;0,"不可正式排",IF(OR($N84="未評估",$N84="學習中"),"不可正式排",IF(AND($L84=0,$N84="可獨立配合"),"初步可獨立",IF(AND($L84&lt;=3,$M84&lt;=1/3,OR($N84="可獨立配合",$N84="可配合但需支援")),"初步可條件排","不可正式排"))))</x:f>
        <x:v>不可正式排</x:v>
      </x:c>
      <x:c r="T84" s="53" t="str">
        <x:f>IF($C84="LJT-RPD-FINAL","固定短時支援 1 人／30 分鐘",IF($S84="初步可條件排",IF($G84="高複雜度","完整支援者 1:1（占 2 名額）","一般支援 1 名額"),"無"))</x:f>
        <x:v>無</x:v>
      </x:c>
      <x:c r="U84" s="53" t="str">
        <x:f>IF($J84&gt;0,"待確認共通技能門檻",IF($O84&lt;&gt;"已核定","待主管核定",IF(AND($G84="高複雜度",$P84&lt;&gt;"有效"),"資格未有效",$S84)))</x:f>
        <x:v>待確認共通技能門檻</x:v>
      </x:c>
      <x:c r="V84" t="str">
        <x:f>$A84&amp;"|"&amp;$C84</x:f>
        <x:v>1025|LJT-IMPLANT</x:v>
      </x:c>
    </x:row>
    <x:row r="85">
      <x:c r="A85" s="37" t="str">
        <x:v>1026</x:v>
      </x:c>
      <x:c r="B85" s="37" t="str"/>
      <x:c r="C85" s="37" t="str">
        <x:v>LJT-SCALING</x:v>
      </x:c>
      <x:c r="D85" s="37" t="str">
        <x:v>一般治療</x:v>
      </x:c>
      <x:c r="E85" s="37" t="str">
        <x:v>洗牙</x:v>
      </x:c>
      <x:c r="F85" s="37" t="str">
        <x:v>一般</x:v>
      </x:c>
      <x:c r="G85" s="37" t="str">
        <x:v>一般</x:v>
      </x:c>
      <x:c r="H85" s="37" t="str">
        <x:v>LJT-PREP-SCALING</x:v>
      </x:c>
      <x:c r="I85" s="48" t="n">
        <x:f>COUNTIFS('適配要求展開'!$A$7:$A$734,$A85,'適配要求展開'!$C$7:$C$734,$C85)</x:f>
        <x:v>4</x:v>
      </x:c>
      <x:c r="J85" s="48" t="n">
        <x:f>COUNTIFS('適配要求展開'!$A$7:$A$734,$A85,'適配要求展開'!$C$7:$C$734,$C85,'適配要求展開'!$I$7:$I$734,"待確認")</x:f>
        <x:v>3</x:v>
      </x:c>
      <x:c r="K85" s="48" t="n">
        <x:f>COUNTIFS('適配要求展開'!$A$7:$A$734,$A85,'適配要求展開'!$C$7:$C$734,$C85,'適配要求展開'!$N$7:$N$734,"不符合")</x:f>
        <x:v>3</x:v>
      </x:c>
      <x:c r="L85" s="48" t="n">
        <x:f>COUNTIFS('適配要求展開'!$A$7:$A$734,$A85,'適配要求展開'!$C$7:$C$734,$C85,'適配要求展開'!$L$7:$L$734,"Ø")</x:f>
        <x:v>0</x:v>
      </x:c>
      <x:c r="M85" s="51" t="n">
        <x:f>IF($I85=0,"n.a.",$L85/$I85)</x:f>
        <x:v>0</x:v>
      </x:c>
      <x:c r="N85" s="48" t="str">
        <x:f>_xlfn.XLOOKUP($A85&amp;"|李侑津醫師",'試行熟悉度'!$K$7:$K$20,'試行熟悉度'!$E$7:$E$20,"未評估",0)</x:f>
        <x:v>可獨立配合</x:v>
      </x:c>
      <x:c r="O85" s="48" t="str">
        <x:f>IF(OR(COUNTIFS('適配要求展開'!$A$7:$A$734,$A85,'適配要求展開'!$C$7:$C$734,$C85,'適配要求展開'!$M$7:$M$734,"&lt;&gt;已核定")&gt;0,_xlfn.XLOOKUP($A85&amp;"|李侑津醫師",'試行熟悉度'!$K$7:$K$20,'試行熟悉度'!$F$7:$F$20,"未建立",0)&lt;&gt;"已核定"),"待主管核定","已核定")</x:f>
        <x:v>待主管核定</x:v>
      </x:c>
      <x:c r="P85" s="48" t="str">
        <x:f>IF($C85="LJT-RPD-FINAL","支援者另判",IF($G85="高複雜度",_xlfn.XLOOKUP($A85&amp;"|"&amp;$H85,'資格有效性'!$L$7:$L$62,'資格有效性'!$E$7:$E$62,"未建立",0),"不需複評"))</x:f>
        <x:v>不需複評</x:v>
      </x:c>
      <x:c r="Q85" s="48" t="n">
        <x:v>0</x:v>
      </x:c>
      <x:c r="R85" s="48"/>
      <x:c r="S85" s="48" t="str">
        <x:f>IF($K85&gt;0,"不可正式排",IF(OR($N85="未評估",$N85="學習中"),"不可正式排",IF(AND($L85=0,$N85="可獨立配合"),"初步可獨立",IF(AND($L85&lt;=3,$M85&lt;=1/3,OR($N85="可獨立配合",$N85="可配合但需支援")),"初步可條件排","不可正式排"))))</x:f>
        <x:v>不可正式排</x:v>
      </x:c>
      <x:c r="T85" s="53" t="str">
        <x:f>IF($C85="LJT-RPD-FINAL","固定短時支援 1 人／30 分鐘",IF($S85="初步可條件排",IF($G85="高複雜度","完整支援者 1:1（占 2 名額）","一般支援 1 名額"),"無"))</x:f>
        <x:v>無</x:v>
      </x:c>
      <x:c r="U85" s="53" t="str">
        <x:f>IF($J85&gt;0,"待確認共通技能門檻",IF($O85&lt;&gt;"已核定","待主管核定",IF(AND($G85="高複雜度",$P85&lt;&gt;"有效"),"資格未有效",$S85)))</x:f>
        <x:v>待確認共通技能門檻</x:v>
      </x:c>
      <x:c r="V85" t="str">
        <x:f>$A85&amp;"|"&amp;$C85</x:f>
        <x:v>1026|LJT-SCALING</x:v>
      </x:c>
    </x:row>
    <x:row r="86">
      <x:c r="A86" s="37" t="str">
        <x:v>1026</x:v>
      </x:c>
      <x:c r="B86" s="37" t="str"/>
      <x:c r="C86" s="37" t="str">
        <x:v>LJT-FILLING</x:v>
      </x:c>
      <x:c r="D86" s="37" t="str">
        <x:v>一般治療</x:v>
      </x:c>
      <x:c r="E86" s="37" t="str">
        <x:v>補牙</x:v>
      </x:c>
      <x:c r="F86" s="37" t="str">
        <x:v>一般</x:v>
      </x:c>
      <x:c r="G86" s="37" t="str">
        <x:v>一般</x:v>
      </x:c>
      <x:c r="H86" s="37" t="str">
        <x:v>LJT-PREP-FILLING</x:v>
      </x:c>
      <x:c r="I86" s="48" t="n">
        <x:f>COUNTIFS('適配要求展開'!$A$7:$A$734,$A86,'適配要求展開'!$C$7:$C$734,$C86)</x:f>
        <x:v>4</x:v>
      </x:c>
      <x:c r="J86" s="48" t="n">
        <x:f>COUNTIFS('適配要求展開'!$A$7:$A$734,$A86,'適配要求展開'!$C$7:$C$734,$C86,'適配要求展開'!$I$7:$I$734,"待確認")</x:f>
        <x:v>3</x:v>
      </x:c>
      <x:c r="K86" s="48" t="n">
        <x:f>COUNTIFS('適配要求展開'!$A$7:$A$734,$A86,'適配要求展開'!$C$7:$C$734,$C86,'適配要求展開'!$N$7:$N$734,"不符合")</x:f>
        <x:v>3</x:v>
      </x:c>
      <x:c r="L86" s="48" t="n">
        <x:f>COUNTIFS('適配要求展開'!$A$7:$A$734,$A86,'適配要求展開'!$C$7:$C$734,$C86,'適配要求展開'!$L$7:$L$734,"Ø")</x:f>
        <x:v>0</x:v>
      </x:c>
      <x:c r="M86" s="51" t="n">
        <x:f>IF($I86=0,"n.a.",$L86/$I86)</x:f>
        <x:v>0</x:v>
      </x:c>
      <x:c r="N86" s="48" t="str">
        <x:f>_xlfn.XLOOKUP($A86&amp;"|李侑津醫師",'試行熟悉度'!$K$7:$K$20,'試行熟悉度'!$E$7:$E$20,"未評估",0)</x:f>
        <x:v>可獨立配合</x:v>
      </x:c>
      <x:c r="O86" s="48" t="str">
        <x:f>IF(OR(COUNTIFS('適配要求展開'!$A$7:$A$734,$A86,'適配要求展開'!$C$7:$C$734,$C86,'適配要求展開'!$M$7:$M$734,"&lt;&gt;已核定")&gt;0,_xlfn.XLOOKUP($A86&amp;"|李侑津醫師",'試行熟悉度'!$K$7:$K$20,'試行熟悉度'!$F$7:$F$20,"未建立",0)&lt;&gt;"已核定"),"待主管核定","已核定")</x:f>
        <x:v>待主管核定</x:v>
      </x:c>
      <x:c r="P86" s="48" t="str">
        <x:f>IF($C86="LJT-RPD-FINAL","支援者另判",IF($G86="高複雜度",_xlfn.XLOOKUP($A86&amp;"|"&amp;$H86,'資格有效性'!$L$7:$L$62,'資格有效性'!$E$7:$E$62,"未建立",0),"不需複評"))</x:f>
        <x:v>不需複評</x:v>
      </x:c>
      <x:c r="Q86" s="48" t="n">
        <x:v>0</x:v>
      </x:c>
      <x:c r="R86" s="48"/>
      <x:c r="S86" s="48" t="str">
        <x:f>IF($K86&gt;0,"不可正式排",IF(OR($N86="未評估",$N86="學習中"),"不可正式排",IF(AND($L86=0,$N86="可獨立配合"),"初步可獨立",IF(AND($L86&lt;=3,$M86&lt;=1/3,OR($N86="可獨立配合",$N86="可配合但需支援")),"初步可條件排","不可正式排"))))</x:f>
        <x:v>不可正式排</x:v>
      </x:c>
      <x:c r="T86" s="53" t="str">
        <x:f>IF($C86="LJT-RPD-FINAL","固定短時支援 1 人／30 分鐘",IF($S86="初步可條件排",IF($G86="高複雜度","完整支援者 1:1（占 2 名額）","一般支援 1 名額"),"無"))</x:f>
        <x:v>無</x:v>
      </x:c>
      <x:c r="U86" s="53" t="str">
        <x:f>IF($J86&gt;0,"待確認共通技能門檻",IF($O86&lt;&gt;"已核定","待主管核定",IF(AND($G86="高複雜度",$P86&lt;&gt;"有效"),"資格未有效",$S86)))</x:f>
        <x:v>待確認共通技能門檻</x:v>
      </x:c>
      <x:c r="V86" t="str">
        <x:f>$A86&amp;"|"&amp;$C86</x:f>
        <x:v>1026|LJT-FILLING</x:v>
      </x:c>
    </x:row>
    <x:row r="87">
      <x:c r="A87" s="37" t="str">
        <x:v>1026</x:v>
      </x:c>
      <x:c r="B87" s="37" t="str"/>
      <x:c r="C87" s="37" t="str">
        <x:v>LJT-PERIO</x:v>
      </x:c>
      <x:c r="D87" s="37" t="str">
        <x:v>一般治療</x:v>
      </x:c>
      <x:c r="E87" s="37" t="str">
        <x:v>牙周統合</x:v>
      </x:c>
      <x:c r="F87" s="37" t="str">
        <x:v>一般</x:v>
      </x:c>
      <x:c r="G87" s="37" t="str">
        <x:v>一般</x:v>
      </x:c>
      <x:c r="H87" s="37" t="str">
        <x:v>LJT-PREP-PERIO</x:v>
      </x:c>
      <x:c r="I87" s="48" t="n">
        <x:f>COUNTIFS('適配要求展開'!$A$7:$A$734,$A87,'適配要求展開'!$C$7:$C$734,$C87)</x:f>
        <x:v>4</x:v>
      </x:c>
      <x:c r="J87" s="48" t="n">
        <x:f>COUNTIFS('適配要求展開'!$A$7:$A$734,$A87,'適配要求展開'!$C$7:$C$734,$C87,'適配要求展開'!$I$7:$I$734,"待確認")</x:f>
        <x:v>3</x:v>
      </x:c>
      <x:c r="K87" s="48" t="n">
        <x:f>COUNTIFS('適配要求展開'!$A$7:$A$734,$A87,'適配要求展開'!$C$7:$C$734,$C87,'適配要求展開'!$N$7:$N$734,"不符合")</x:f>
        <x:v>3</x:v>
      </x:c>
      <x:c r="L87" s="48" t="n">
        <x:f>COUNTIFS('適配要求展開'!$A$7:$A$734,$A87,'適配要求展開'!$C$7:$C$734,$C87,'適配要求展開'!$L$7:$L$734,"Ø")</x:f>
        <x:v>0</x:v>
      </x:c>
      <x:c r="M87" s="51" t="n">
        <x:f>IF($I87=0,"n.a.",$L87/$I87)</x:f>
        <x:v>0</x:v>
      </x:c>
      <x:c r="N87" s="48" t="str">
        <x:f>_xlfn.XLOOKUP($A87&amp;"|李侑津醫師",'試行熟悉度'!$K$7:$K$20,'試行熟悉度'!$E$7:$E$20,"未評估",0)</x:f>
        <x:v>可獨立配合</x:v>
      </x:c>
      <x:c r="O87" s="48" t="str">
        <x:f>IF(OR(COUNTIFS('適配要求展開'!$A$7:$A$734,$A87,'適配要求展開'!$C$7:$C$734,$C87,'適配要求展開'!$M$7:$M$734,"&lt;&gt;已核定")&gt;0,_xlfn.XLOOKUP($A87&amp;"|李侑津醫師",'試行熟悉度'!$K$7:$K$20,'試行熟悉度'!$F$7:$F$20,"未建立",0)&lt;&gt;"已核定"),"待主管核定","已核定")</x:f>
        <x:v>待主管核定</x:v>
      </x:c>
      <x:c r="P87" s="48" t="str">
        <x:f>IF($C87="LJT-RPD-FINAL","支援者另判",IF($G87="高複雜度",_xlfn.XLOOKUP($A87&amp;"|"&amp;$H87,'資格有效性'!$L$7:$L$62,'資格有效性'!$E$7:$E$62,"未建立",0),"不需複評"))</x:f>
        <x:v>不需複評</x:v>
      </x:c>
      <x:c r="Q87" s="48" t="n">
        <x:v>0</x:v>
      </x:c>
      <x:c r="R87" s="48"/>
      <x:c r="S87" s="48" t="str">
        <x:f>IF($K87&gt;0,"不可正式排",IF(OR($N87="未評估",$N87="學習中"),"不可正式排",IF(AND($L87=0,$N87="可獨立配合"),"初步可獨立",IF(AND($L87&lt;=3,$M87&lt;=1/3,OR($N87="可獨立配合",$N87="可配合但需支援")),"初步可條件排","不可正式排"))))</x:f>
        <x:v>不可正式排</x:v>
      </x:c>
      <x:c r="T87" s="53" t="str">
        <x:f>IF($C87="LJT-RPD-FINAL","固定短時支援 1 人／30 分鐘",IF($S87="初步可條件排",IF($G87="高複雜度","完整支援者 1:1（占 2 名額）","一般支援 1 名額"),"無"))</x:f>
        <x:v>無</x:v>
      </x:c>
      <x:c r="U87" s="53" t="str">
        <x:f>IF($J87&gt;0,"待確認共通技能門檻",IF($O87&lt;&gt;"已核定","待主管核定",IF(AND($G87="高複雜度",$P87&lt;&gt;"有效"),"資格未有效",$S87)))</x:f>
        <x:v>待確認共通技能門檻</x:v>
      </x:c>
      <x:c r="V87" t="str">
        <x:f>$A87&amp;"|"&amp;$C87</x:f>
        <x:v>1026|LJT-PERIO</x:v>
      </x:c>
    </x:row>
    <x:row r="88">
      <x:c r="A88" s="37" t="str">
        <x:v>1026</x:v>
      </x:c>
      <x:c r="B88" s="37" t="str"/>
      <x:c r="C88" s="37" t="str">
        <x:v>LJT-RCT</x:v>
      </x:c>
      <x:c r="D88" s="37" t="str">
        <x:v>一般治療</x:v>
      </x:c>
      <x:c r="E88" s="37" t="str">
        <x:v>一般根管治療</x:v>
      </x:c>
      <x:c r="F88" s="37" t="str">
        <x:v>一般</x:v>
      </x:c>
      <x:c r="G88" s="37" t="str">
        <x:v>一般</x:v>
      </x:c>
      <x:c r="H88" s="37" t="str">
        <x:v>LJT-PREP-RCT</x:v>
      </x:c>
      <x:c r="I88" s="48" t="n">
        <x:f>COUNTIFS('適配要求展開'!$A$7:$A$734,$A88,'適配要求展開'!$C$7:$C$734,$C88)</x:f>
        <x:v>4</x:v>
      </x:c>
      <x:c r="J88" s="48" t="n">
        <x:f>COUNTIFS('適配要求展開'!$A$7:$A$734,$A88,'適配要求展開'!$C$7:$C$734,$C88,'適配要求展開'!$I$7:$I$734,"待確認")</x:f>
        <x:v>3</x:v>
      </x:c>
      <x:c r="K88" s="48" t="n">
        <x:f>COUNTIFS('適配要求展開'!$A$7:$A$734,$A88,'適配要求展開'!$C$7:$C$734,$C88,'適配要求展開'!$N$7:$N$734,"不符合")</x:f>
        <x:v>3</x:v>
      </x:c>
      <x:c r="L88" s="48" t="n">
        <x:f>COUNTIFS('適配要求展開'!$A$7:$A$734,$A88,'適配要求展開'!$C$7:$C$734,$C88,'適配要求展開'!$L$7:$L$734,"Ø")</x:f>
        <x:v>0</x:v>
      </x:c>
      <x:c r="M88" s="51" t="n">
        <x:f>IF($I88=0,"n.a.",$L88/$I88)</x:f>
        <x:v>0</x:v>
      </x:c>
      <x:c r="N88" s="48" t="str">
        <x:f>_xlfn.XLOOKUP($A88&amp;"|李侑津醫師",'試行熟悉度'!$K$7:$K$20,'試行熟悉度'!$E$7:$E$20,"未評估",0)</x:f>
        <x:v>可獨立配合</x:v>
      </x:c>
      <x:c r="O88" s="48" t="str">
        <x:f>IF(OR(COUNTIFS('適配要求展開'!$A$7:$A$734,$A88,'適配要求展開'!$C$7:$C$734,$C88,'適配要求展開'!$M$7:$M$734,"&lt;&gt;已核定")&gt;0,_xlfn.XLOOKUP($A88&amp;"|李侑津醫師",'試行熟悉度'!$K$7:$K$20,'試行熟悉度'!$F$7:$F$20,"未建立",0)&lt;&gt;"已核定"),"待主管核定","已核定")</x:f>
        <x:v>待主管核定</x:v>
      </x:c>
      <x:c r="P88" s="48" t="str">
        <x:f>IF($C88="LJT-RPD-FINAL","支援者另判",IF($G88="高複雜度",_xlfn.XLOOKUP($A88&amp;"|"&amp;$H88,'資格有效性'!$L$7:$L$62,'資格有效性'!$E$7:$E$62,"未建立",0),"不需複評"))</x:f>
        <x:v>不需複評</x:v>
      </x:c>
      <x:c r="Q88" s="48" t="n">
        <x:v>0</x:v>
      </x:c>
      <x:c r="R88" s="48"/>
      <x:c r="S88" s="48" t="str">
        <x:f>IF($K88&gt;0,"不可正式排",IF(OR($N88="未評估",$N88="學習中"),"不可正式排",IF(AND($L88=0,$N88="可獨立配合"),"初步可獨立",IF(AND($L88&lt;=3,$M88&lt;=1/3,OR($N88="可獨立配合",$N88="可配合但需支援")),"初步可條件排","不可正式排"))))</x:f>
        <x:v>不可正式排</x:v>
      </x:c>
      <x:c r="T88" s="53" t="str">
        <x:f>IF($C88="LJT-RPD-FINAL","固定短時支援 1 人／30 分鐘",IF($S88="初步可條件排",IF($G88="高複雜度","完整支援者 1:1（占 2 名額）","一般支援 1 名額"),"無"))</x:f>
        <x:v>無</x:v>
      </x:c>
      <x:c r="U88" s="53" t="str">
        <x:f>IF($J88&gt;0,"待確認共通技能門檻",IF($O88&lt;&gt;"已核定","待主管核定",IF(AND($G88="高複雜度",$P88&lt;&gt;"有效"),"資格未有效",$S88)))</x:f>
        <x:v>待確認共通技能門檻</x:v>
      </x:c>
      <x:c r="V88" t="str">
        <x:f>$A88&amp;"|"&amp;$C88</x:f>
        <x:v>1026|LJT-RCT</x:v>
      </x:c>
    </x:row>
    <x:row r="89">
      <x:c r="A89" s="37" t="str">
        <x:v>1026</x:v>
      </x:c>
      <x:c r="B89" s="37" t="str"/>
      <x:c r="C89" s="37" t="str">
        <x:v>LJT-EXTRACTION</x:v>
      </x:c>
      <x:c r="D89" s="37" t="str">
        <x:v>一般治療</x:v>
      </x:c>
      <x:c r="E89" s="37" t="str">
        <x:v>拔牙</x:v>
      </x:c>
      <x:c r="F89" s="37" t="str">
        <x:v>一般</x:v>
      </x:c>
      <x:c r="G89" s="37" t="str">
        <x:v>一般</x:v>
      </x:c>
      <x:c r="H89" s="37" t="str">
        <x:v>LJT-PREP-EXTRACTION</x:v>
      </x:c>
      <x:c r="I89" s="48" t="n">
        <x:f>COUNTIFS('適配要求展開'!$A$7:$A$734,$A89,'適配要求展開'!$C$7:$C$734,$C89)</x:f>
        <x:v>4</x:v>
      </x:c>
      <x:c r="J89" s="48" t="n">
        <x:f>COUNTIFS('適配要求展開'!$A$7:$A$734,$A89,'適配要求展開'!$C$7:$C$734,$C89,'適配要求展開'!$I$7:$I$734,"待確認")</x:f>
        <x:v>3</x:v>
      </x:c>
      <x:c r="K89" s="48" t="n">
        <x:f>COUNTIFS('適配要求展開'!$A$7:$A$734,$A89,'適配要求展開'!$C$7:$C$734,$C89,'適配要求展開'!$N$7:$N$734,"不符合")</x:f>
        <x:v>3</x:v>
      </x:c>
      <x:c r="L89" s="48" t="n">
        <x:f>COUNTIFS('適配要求展開'!$A$7:$A$734,$A89,'適配要求展開'!$C$7:$C$734,$C89,'適配要求展開'!$L$7:$L$734,"Ø")</x:f>
        <x:v>1</x:v>
      </x:c>
      <x:c r="M89" s="51" t="n">
        <x:f>IF($I89=0,"n.a.",$L89/$I89)</x:f>
        <x:v>0.25</x:v>
      </x:c>
      <x:c r="N89" s="48" t="str">
        <x:f>_xlfn.XLOOKUP($A89&amp;"|李侑津醫師",'試行熟悉度'!$K$7:$K$20,'試行熟悉度'!$E$7:$E$20,"未評估",0)</x:f>
        <x:v>可獨立配合</x:v>
      </x:c>
      <x:c r="O89" s="48" t="str">
        <x:f>IF(OR(COUNTIFS('適配要求展開'!$A$7:$A$734,$A89,'適配要求展開'!$C$7:$C$734,$C89,'適配要求展開'!$M$7:$M$734,"&lt;&gt;已核定")&gt;0,_xlfn.XLOOKUP($A89&amp;"|李侑津醫師",'試行熟悉度'!$K$7:$K$20,'試行熟悉度'!$F$7:$F$20,"未建立",0)&lt;&gt;"已核定"),"待主管核定","已核定")</x:f>
        <x:v>待主管核定</x:v>
      </x:c>
      <x:c r="P89" s="48" t="str">
        <x:f>IF($C89="LJT-RPD-FINAL","支援者另判",IF($G89="高複雜度",_xlfn.XLOOKUP($A89&amp;"|"&amp;$H89,'資格有效性'!$L$7:$L$62,'資格有效性'!$E$7:$E$62,"未建立",0),"不需複評"))</x:f>
        <x:v>不需複評</x:v>
      </x:c>
      <x:c r="Q89" s="48" t="n">
        <x:v>0</x:v>
      </x:c>
      <x:c r="R89" s="48"/>
      <x:c r="S89" s="48" t="str">
        <x:f>IF($K89&gt;0,"不可正式排",IF(OR($N89="未評估",$N89="學習中"),"不可正式排",IF(AND($L89=0,$N89="可獨立配合"),"初步可獨立",IF(AND($L89&lt;=3,$M89&lt;=1/3,OR($N89="可獨立配合",$N89="可配合但需支援")),"初步可條件排","不可正式排"))))</x:f>
        <x:v>不可正式排</x:v>
      </x:c>
      <x:c r="T89" s="53" t="str">
        <x:f>IF($C89="LJT-RPD-FINAL","固定短時支援 1 人／30 分鐘",IF($S89="初步可條件排",IF($G89="高複雜度","完整支援者 1:1（占 2 名額）","一般支援 1 名額"),"無"))</x:f>
        <x:v>無</x:v>
      </x:c>
      <x:c r="U89" s="53" t="str">
        <x:f>IF($J89&gt;0,"待確認共通技能門檻",IF($O89&lt;&gt;"已核定","待主管核定",IF(AND($G89="高複雜度",$P89&lt;&gt;"有效"),"資格未有效",$S89)))</x:f>
        <x:v>待確認共通技能門檻</x:v>
      </x:c>
      <x:c r="V89" t="str">
        <x:f>$A89&amp;"|"&amp;$C89</x:f>
        <x:v>1026|LJT-EXTRACTION</x:v>
      </x:c>
    </x:row>
    <x:row r="90">
      <x:c r="A90" s="37" t="str">
        <x:v>1026</x:v>
      </x:c>
      <x:c r="B90" s="37" t="str"/>
      <x:c r="C90" s="37" t="str">
        <x:v>LJT-CROWNPOST</x:v>
      </x:c>
      <x:c r="D90" s="37" t="str">
        <x:v>一般治療</x:v>
      </x:c>
      <x:c r="E90" s="37" t="str">
        <x:v>拆 crown/post</x:v>
      </x:c>
      <x:c r="F90" s="37" t="str">
        <x:v>一般</x:v>
      </x:c>
      <x:c r="G90" s="37" t="str">
        <x:v>一般</x:v>
      </x:c>
      <x:c r="H90" s="37" t="str">
        <x:v>LJT-PREP-CROWNPOST</x:v>
      </x:c>
      <x:c r="I90" s="48" t="n">
        <x:f>COUNTIFS('適配要求展開'!$A$7:$A$734,$A90,'適配要求展開'!$C$7:$C$734,$C90)</x:f>
        <x:v>4</x:v>
      </x:c>
      <x:c r="J90" s="48" t="n">
        <x:f>COUNTIFS('適配要求展開'!$A$7:$A$734,$A90,'適配要求展開'!$C$7:$C$734,$C90,'適配要求展開'!$I$7:$I$734,"待確認")</x:f>
        <x:v>3</x:v>
      </x:c>
      <x:c r="K90" s="48" t="n">
        <x:f>COUNTIFS('適配要求展開'!$A$7:$A$734,$A90,'適配要求展開'!$C$7:$C$734,$C90,'適配要求展開'!$N$7:$N$734,"不符合")</x:f>
        <x:v>3</x:v>
      </x:c>
      <x:c r="L90" s="48" t="n">
        <x:f>COUNTIFS('適配要求展開'!$A$7:$A$734,$A90,'適配要求展開'!$C$7:$C$734,$C90,'適配要求展開'!$L$7:$L$734,"Ø")</x:f>
        <x:v>0</x:v>
      </x:c>
      <x:c r="M90" s="51" t="n">
        <x:f>IF($I90=0,"n.a.",$L90/$I90)</x:f>
        <x:v>0</x:v>
      </x:c>
      <x:c r="N90" s="48" t="str">
        <x:f>_xlfn.XLOOKUP($A90&amp;"|李侑津醫師",'試行熟悉度'!$K$7:$K$20,'試行熟悉度'!$E$7:$E$20,"未評估",0)</x:f>
        <x:v>可獨立配合</x:v>
      </x:c>
      <x:c r="O90" s="48" t="str">
        <x:f>IF(OR(COUNTIFS('適配要求展開'!$A$7:$A$734,$A90,'適配要求展開'!$C$7:$C$734,$C90,'適配要求展開'!$M$7:$M$734,"&lt;&gt;已核定")&gt;0,_xlfn.XLOOKUP($A90&amp;"|李侑津醫師",'試行熟悉度'!$K$7:$K$20,'試行熟悉度'!$F$7:$F$20,"未建立",0)&lt;&gt;"已核定"),"待主管核定","已核定")</x:f>
        <x:v>待主管核定</x:v>
      </x:c>
      <x:c r="P90" s="48" t="str">
        <x:f>IF($C90="LJT-RPD-FINAL","支援者另判",IF($G90="高複雜度",_xlfn.XLOOKUP($A90&amp;"|"&amp;$H90,'資格有效性'!$L$7:$L$62,'資格有效性'!$E$7:$E$62,"未建立",0),"不需複評"))</x:f>
        <x:v>不需複評</x:v>
      </x:c>
      <x:c r="Q90" s="48" t="n">
        <x:v>0</x:v>
      </x:c>
      <x:c r="R90" s="48"/>
      <x:c r="S90" s="48" t="str">
        <x:f>IF($K90&gt;0,"不可正式排",IF(OR($N90="未評估",$N90="學習中"),"不可正式排",IF(AND($L90=0,$N90="可獨立配合"),"初步可獨立",IF(AND($L90&lt;=3,$M90&lt;=1/3,OR($N90="可獨立配合",$N90="可配合但需支援")),"初步可條件排","不可正式排"))))</x:f>
        <x:v>不可正式排</x:v>
      </x:c>
      <x:c r="T90" s="53" t="str">
        <x:f>IF($C90="LJT-RPD-FINAL","固定短時支援 1 人／30 分鐘",IF($S90="初步可條件排",IF($G90="高複雜度","完整支援者 1:1（占 2 名額）","一般支援 1 名額"),"無"))</x:f>
        <x:v>無</x:v>
      </x:c>
      <x:c r="U90" s="53" t="str">
        <x:f>IF($J90&gt;0,"待確認共通技能門檻",IF($O90&lt;&gt;"已核定","待主管核定",IF(AND($G90="高複雜度",$P90&lt;&gt;"有效"),"資格未有效",$S90)))</x:f>
        <x:v>待確認共通技能門檻</x:v>
      </x:c>
      <x:c r="V90" t="str">
        <x:f>$A90&amp;"|"&amp;$C90</x:f>
        <x:v>1026|LJT-CROWNPOST</x:v>
      </x:c>
    </x:row>
    <x:row r="91">
      <x:c r="A91" s="37" t="str">
        <x:v>1026</x:v>
      </x:c>
      <x:c r="B91" s="37" t="str"/>
      <x:c r="C91" s="37" t="str">
        <x:v>LJT-CROWN</x:v>
      </x:c>
      <x:c r="D91" s="37" t="str">
        <x:v>補綴／自費</x:v>
      </x:c>
      <x:c r="E91" s="37" t="str">
        <x:v>固定假牙</x:v>
      </x:c>
      <x:c r="F91" s="37" t="str">
        <x:v>一般</x:v>
      </x:c>
      <x:c r="G91" s="37" t="str">
        <x:v>一般</x:v>
      </x:c>
      <x:c r="H91" s="37" t="str">
        <x:v>LJT-PREP-CROWN</x:v>
      </x:c>
      <x:c r="I91" s="48" t="n">
        <x:f>COUNTIFS('適配要求展開'!$A$7:$A$734,$A91,'適配要求展開'!$C$7:$C$734,$C91)</x:f>
        <x:v>4</x:v>
      </x:c>
      <x:c r="J91" s="48" t="n">
        <x:f>COUNTIFS('適配要求展開'!$A$7:$A$734,$A91,'適配要求展開'!$C$7:$C$734,$C91,'適配要求展開'!$I$7:$I$734,"待確認")</x:f>
        <x:v>3</x:v>
      </x:c>
      <x:c r="K91" s="48" t="n">
        <x:f>COUNTIFS('適配要求展開'!$A$7:$A$734,$A91,'適配要求展開'!$C$7:$C$734,$C91,'適配要求展開'!$N$7:$N$734,"不符合")</x:f>
        <x:v>3</x:v>
      </x:c>
      <x:c r="L91" s="48" t="n">
        <x:f>COUNTIFS('適配要求展開'!$A$7:$A$734,$A91,'適配要求展開'!$C$7:$C$734,$C91,'適配要求展開'!$L$7:$L$734,"Ø")</x:f>
        <x:v>0</x:v>
      </x:c>
      <x:c r="M91" s="51" t="n">
        <x:f>IF($I91=0,"n.a.",$L91/$I91)</x:f>
        <x:v>0</x:v>
      </x:c>
      <x:c r="N91" s="48" t="str">
        <x:f>_xlfn.XLOOKUP($A91&amp;"|李侑津醫師",'試行熟悉度'!$K$7:$K$20,'試行熟悉度'!$E$7:$E$20,"未評估",0)</x:f>
        <x:v>可獨立配合</x:v>
      </x:c>
      <x:c r="O91" s="48" t="str">
        <x:f>IF(OR(COUNTIFS('適配要求展開'!$A$7:$A$734,$A91,'適配要求展開'!$C$7:$C$734,$C91,'適配要求展開'!$M$7:$M$734,"&lt;&gt;已核定")&gt;0,_xlfn.XLOOKUP($A91&amp;"|李侑津醫師",'試行熟悉度'!$K$7:$K$20,'試行熟悉度'!$F$7:$F$20,"未建立",0)&lt;&gt;"已核定"),"待主管核定","已核定")</x:f>
        <x:v>待主管核定</x:v>
      </x:c>
      <x:c r="P91" s="48" t="str">
        <x:f>IF($C91="LJT-RPD-FINAL","支援者另判",IF($G91="高複雜度",_xlfn.XLOOKUP($A91&amp;"|"&amp;$H91,'資格有效性'!$L$7:$L$62,'資格有效性'!$E$7:$E$62,"未建立",0),"不需複評"))</x:f>
        <x:v>不需複評</x:v>
      </x:c>
      <x:c r="Q91" s="48" t="n">
        <x:v>0</x:v>
      </x:c>
      <x:c r="R91" s="48"/>
      <x:c r="S91" s="48" t="str">
        <x:f>IF($K91&gt;0,"不可正式排",IF(OR($N91="未評估",$N91="學習中"),"不可正式排",IF(AND($L91=0,$N91="可獨立配合"),"初步可獨立",IF(AND($L91&lt;=3,$M91&lt;=1/3,OR($N91="可獨立配合",$N91="可配合但需支援")),"初步可條件排","不可正式排"))))</x:f>
        <x:v>不可正式排</x:v>
      </x:c>
      <x:c r="T91" s="53" t="str">
        <x:f>IF($C91="LJT-RPD-FINAL","固定短時支援 1 人／30 分鐘",IF($S91="初步可條件排",IF($G91="高複雜度","完整支援者 1:1（占 2 名額）","一般支援 1 名額"),"無"))</x:f>
        <x:v>無</x:v>
      </x:c>
      <x:c r="U91" s="53" t="str">
        <x:f>IF($J91&gt;0,"待確認共通技能門檻",IF($O91&lt;&gt;"已核定","待主管核定",IF(AND($G91="高複雜度",$P91&lt;&gt;"有效"),"資格未有效",$S91)))</x:f>
        <x:v>待確認共通技能門檻</x:v>
      </x:c>
      <x:c r="V91" t="str">
        <x:f>$A91&amp;"|"&amp;$C91</x:f>
        <x:v>1026|LJT-CROWN</x:v>
      </x:c>
    </x:row>
    <x:row r="92">
      <x:c r="A92" s="37" t="str">
        <x:v>1026</x:v>
      </x:c>
      <x:c r="B92" s="37" t="str"/>
      <x:c r="C92" s="37" t="str">
        <x:v>LJT-RPD</x:v>
      </x:c>
      <x:c r="D92" s="37" t="str">
        <x:v>補綴／自費</x:v>
      </x:c>
      <x:c r="E92" s="37" t="str">
        <x:v>RPD</x:v>
      </x:c>
      <x:c r="F92" s="37" t="str">
        <x:v>一般步驟</x:v>
      </x:c>
      <x:c r="G92" s="37" t="str">
        <x:v>一般</x:v>
      </x:c>
      <x:c r="H92" s="37" t="str">
        <x:v>LJT-PREP-RPD</x:v>
      </x:c>
      <x:c r="I92" s="48" t="n">
        <x:f>COUNTIFS('適配要求展開'!$A$7:$A$734,$A92,'適配要求展開'!$C$7:$C$734,$C92)</x:f>
        <x:v>4</x:v>
      </x:c>
      <x:c r="J92" s="48" t="n">
        <x:f>COUNTIFS('適配要求展開'!$A$7:$A$734,$A92,'適配要求展開'!$C$7:$C$734,$C92,'適配要求展開'!$I$7:$I$734,"待確認")</x:f>
        <x:v>3</x:v>
      </x:c>
      <x:c r="K92" s="48" t="n">
        <x:f>COUNTIFS('適配要求展開'!$A$7:$A$734,$A92,'適配要求展開'!$C$7:$C$734,$C92,'適配要求展開'!$N$7:$N$734,"不符合")</x:f>
        <x:v>4</x:v>
      </x:c>
      <x:c r="L92" s="48" t="n">
        <x:f>COUNTIFS('適配要求展開'!$A$7:$A$734,$A92,'適配要求展開'!$C$7:$C$734,$C92,'適配要求展開'!$L$7:$L$734,"Ø")</x:f>
        <x:v>0</x:v>
      </x:c>
      <x:c r="M92" s="51" t="n">
        <x:f>IF($I92=0,"n.a.",$L92/$I92)</x:f>
        <x:v>0</x:v>
      </x:c>
      <x:c r="N92" s="48" t="str">
        <x:f>_xlfn.XLOOKUP($A92&amp;"|李侑津醫師",'試行熟悉度'!$K$7:$K$20,'試行熟悉度'!$E$7:$E$20,"未評估",0)</x:f>
        <x:v>可獨立配合</x:v>
      </x:c>
      <x:c r="O92" s="48" t="str">
        <x:f>IF(OR(COUNTIFS('適配要求展開'!$A$7:$A$734,$A92,'適配要求展開'!$C$7:$C$734,$C92,'適配要求展開'!$M$7:$M$734,"&lt;&gt;已核定")&gt;0,_xlfn.XLOOKUP($A92&amp;"|李侑津醫師",'試行熟悉度'!$K$7:$K$20,'試行熟悉度'!$F$7:$F$20,"未建立",0)&lt;&gt;"已核定"),"待主管核定","已核定")</x:f>
        <x:v>待主管核定</x:v>
      </x:c>
      <x:c r="P92" s="48" t="str">
        <x:f>IF($C92="LJT-RPD-FINAL","支援者另判",IF($G92="高複雜度",_xlfn.XLOOKUP($A92&amp;"|"&amp;$H92,'資格有效性'!$L$7:$L$62,'資格有效性'!$E$7:$E$62,"未建立",0),"不需複評"))</x:f>
        <x:v>不需複評</x:v>
      </x:c>
      <x:c r="Q92" s="48" t="n">
        <x:v>0</x:v>
      </x:c>
      <x:c r="R92" s="48"/>
      <x:c r="S92" s="48" t="str">
        <x:f>IF($K92&gt;0,"不可正式排",IF(OR($N92="未評估",$N92="學習中"),"不可正式排",IF(AND($L92=0,$N92="可獨立配合"),"初步可獨立",IF(AND($L92&lt;=3,$M92&lt;=1/3,OR($N92="可獨立配合",$N92="可配合但需支援")),"初步可條件排","不可正式排"))))</x:f>
        <x:v>不可正式排</x:v>
      </x:c>
      <x:c r="T92" s="53" t="str">
        <x:f>IF($C92="LJT-RPD-FINAL","固定短時支援 1 人／30 分鐘",IF($S92="初步可條件排",IF($G92="高複雜度","完整支援者 1:1（占 2 名額）","一般支援 1 名額"),"無"))</x:f>
        <x:v>無</x:v>
      </x:c>
      <x:c r="U92" s="53" t="str">
        <x:f>IF($J92&gt;0,"待確認共通技能門檻",IF($O92&lt;&gt;"已核定","待主管核定",IF(AND($G92="高複雜度",$P92&lt;&gt;"有效"),"資格未有效",$S92)))</x:f>
        <x:v>待確認共通技能門檻</x:v>
      </x:c>
      <x:c r="V92" t="str">
        <x:f>$A92&amp;"|"&amp;$C92</x:f>
        <x:v>1026|LJT-RPD</x:v>
      </x:c>
    </x:row>
    <x:row r="93">
      <x:c r="A93" s="37" t="str">
        <x:v>1026</x:v>
      </x:c>
      <x:c r="B93" s="37" t="str"/>
      <x:c r="C93" s="37" t="str">
        <x:v>LJT-RPD-FINAL</x:v>
      </x:c>
      <x:c r="D93" s="37" t="str">
        <x:v>補綴／自費</x:v>
      </x:c>
      <x:c r="E93" s="37" t="str">
        <x:v>RPD</x:v>
      </x:c>
      <x:c r="F93" s="37" t="str">
        <x:v>印最終模</x:v>
      </x:c>
      <x:c r="G93" s="37" t="str">
        <x:v>特殊階段</x:v>
      </x:c>
      <x:c r="H93" s="37" t="str">
        <x:v>LJT-PREP-RPD</x:v>
      </x:c>
      <x:c r="I93" s="48" t="n">
        <x:f>COUNTIFS('適配要求展開'!$A$7:$A$734,$A93,'適配要求展開'!$C$7:$C$734,$C93)</x:f>
        <x:v>4</x:v>
      </x:c>
      <x:c r="J93" s="48" t="n">
        <x:f>COUNTIFS('適配要求展開'!$A$7:$A$734,$A93,'適配要求展開'!$C$7:$C$734,$C93,'適配要求展開'!$I$7:$I$734,"待確認")</x:f>
        <x:v>3</x:v>
      </x:c>
      <x:c r="K93" s="48" t="n">
        <x:f>COUNTIFS('適配要求展開'!$A$7:$A$734,$A93,'適配要求展開'!$C$7:$C$734,$C93,'適配要求展開'!$N$7:$N$734,"不符合")</x:f>
        <x:v>4</x:v>
      </x:c>
      <x:c r="L93" s="48" t="n">
        <x:f>COUNTIFS('適配要求展開'!$A$7:$A$734,$A93,'適配要求展開'!$C$7:$C$734,$C93,'適配要求展開'!$L$7:$L$734,"Ø")</x:f>
        <x:v>0</x:v>
      </x:c>
      <x:c r="M93" s="51" t="n">
        <x:f>IF($I93=0,"n.a.",$L93/$I93)</x:f>
        <x:v>0</x:v>
      </x:c>
      <x:c r="N93" s="48" t="str">
        <x:f>_xlfn.XLOOKUP($A93&amp;"|李侑津醫師",'試行熟悉度'!$K$7:$K$20,'試行熟悉度'!$E$7:$E$20,"未評估",0)</x:f>
        <x:v>可獨立配合</x:v>
      </x:c>
      <x:c r="O93" s="48" t="str">
        <x:f>IF(OR(COUNTIFS('適配要求展開'!$A$7:$A$734,$A93,'適配要求展開'!$C$7:$C$734,$C93,'適配要求展開'!$M$7:$M$734,"&lt;&gt;已核定")&gt;0,_xlfn.XLOOKUP($A93&amp;"|李侑津醫師",'試行熟悉度'!$K$7:$K$20,'試行熟悉度'!$F$7:$F$20,"未建立",0)&lt;&gt;"已核定"),"待主管核定","已核定")</x:f>
        <x:v>待主管核定</x:v>
      </x:c>
      <x:c r="P93" s="48" t="str">
        <x:f>IF($C93="LJT-RPD-FINAL","支援者另判",IF($G93="高複雜度",_xlfn.XLOOKUP($A93&amp;"|"&amp;$H93,'資格有效性'!$L$7:$L$62,'資格有效性'!$E$7:$E$62,"未建立",0),"不需複評"))</x:f>
        <x:v>支援者另判</x:v>
      </x:c>
      <x:c r="Q93" s="48" t="n">
        <x:v>1</x:v>
      </x:c>
      <x:c r="R93" s="48" t="n">
        <x:v>30</x:v>
      </x:c>
      <x:c r="S93" s="48" t="str">
        <x:f>IF($K93&gt;0,"不可正式排",IF(OR($N93="未評估",$N93="學習中"),"不可正式排",IF(AND($L93=0,$N93="可獨立配合"),"初步可獨立",IF(AND($L93&lt;=3,$M93&lt;=1/3,OR($N93="可獨立配合",$N93="可配合但需支援")),"初步可條件排","不可正式排"))))</x:f>
        <x:v>不可正式排</x:v>
      </x:c>
      <x:c r="T93" s="53" t="str">
        <x:f>IF($C93="LJT-RPD-FINAL","固定短時支援 1 人／30 分鐘",IF($S93="初步可條件排",IF($G93="高複雜度","完整支援者 1:1（占 2 名額）","一般支援 1 名額"),"無"))</x:f>
        <x:v>固定短時支援 1 人／30 分鐘</x:v>
      </x:c>
      <x:c r="U93" s="53" t="str">
        <x:f>IF($J93&gt;0,"待確認共通技能門檻",IF($O93&lt;&gt;"已核定","待主管核定",IF(AND($G93="高複雜度",$P93&lt;&gt;"有效"),"資格未有效",$S93)))</x:f>
        <x:v>待確認共通技能門檻</x:v>
      </x:c>
      <x:c r="V93" t="str">
        <x:f>$A93&amp;"|"&amp;$C93</x:f>
        <x:v>1026|LJT-RPD-FINAL</x:v>
      </x:c>
    </x:row>
    <x:row r="94">
      <x:c r="A94" s="37" t="str">
        <x:v>1026</x:v>
      </x:c>
      <x:c r="B94" s="37" t="str"/>
      <x:c r="C94" s="37" t="str">
        <x:v>LJT-AIRPOLISH</x:v>
      </x:c>
      <x:c r="D94" s="37" t="str">
        <x:v>補綴／自費</x:v>
      </x:c>
      <x:c r="E94" s="37" t="str">
        <x:v>噴砂美白</x:v>
      </x:c>
      <x:c r="F94" s="37" t="str">
        <x:v>一般</x:v>
      </x:c>
      <x:c r="G94" s="37" t="str">
        <x:v>一般</x:v>
      </x:c>
      <x:c r="H94" s="37" t="str">
        <x:v>LJT-PREP-AIRPOLISH</x:v>
      </x:c>
      <x:c r="I94" s="48" t="n">
        <x:f>COUNTIFS('適配要求展開'!$A$7:$A$734,$A94,'適配要求展開'!$C$7:$C$734,$C94)</x:f>
        <x:v>4</x:v>
      </x:c>
      <x:c r="J94" s="48" t="n">
        <x:f>COUNTIFS('適配要求展開'!$A$7:$A$734,$A94,'適配要求展開'!$C$7:$C$734,$C94,'適配要求展開'!$I$7:$I$734,"待確認")</x:f>
        <x:v>3</x:v>
      </x:c>
      <x:c r="K94" s="48" t="n">
        <x:f>COUNTIFS('適配要求展開'!$A$7:$A$734,$A94,'適配要求展開'!$C$7:$C$734,$C94,'適配要求展開'!$N$7:$N$734,"不符合")</x:f>
        <x:v>4</x:v>
      </x:c>
      <x:c r="L94" s="48" t="n">
        <x:f>COUNTIFS('適配要求展開'!$A$7:$A$734,$A94,'適配要求展開'!$C$7:$C$734,$C94,'適配要求展開'!$L$7:$L$734,"Ø")</x:f>
        <x:v>0</x:v>
      </x:c>
      <x:c r="M94" s="51" t="n">
        <x:f>IF($I94=0,"n.a.",$L94/$I94)</x:f>
        <x:v>0</x:v>
      </x:c>
      <x:c r="N94" s="48" t="str">
        <x:f>_xlfn.XLOOKUP($A94&amp;"|李侑津醫師",'試行熟悉度'!$K$7:$K$20,'試行熟悉度'!$E$7:$E$20,"未評估",0)</x:f>
        <x:v>可獨立配合</x:v>
      </x:c>
      <x:c r="O94" s="48" t="str">
        <x:f>IF(OR(COUNTIFS('適配要求展開'!$A$7:$A$734,$A94,'適配要求展開'!$C$7:$C$734,$C94,'適配要求展開'!$M$7:$M$734,"&lt;&gt;已核定")&gt;0,_xlfn.XLOOKUP($A94&amp;"|李侑津醫師",'試行熟悉度'!$K$7:$K$20,'試行熟悉度'!$F$7:$F$20,"未建立",0)&lt;&gt;"已核定"),"待主管核定","已核定")</x:f>
        <x:v>待主管核定</x:v>
      </x:c>
      <x:c r="P94" s="48" t="str">
        <x:f>IF($C94="LJT-RPD-FINAL","支援者另判",IF($G94="高複雜度",_xlfn.XLOOKUP($A94&amp;"|"&amp;$H94,'資格有效性'!$L$7:$L$62,'資格有效性'!$E$7:$E$62,"未建立",0),"不需複評"))</x:f>
        <x:v>不需複評</x:v>
      </x:c>
      <x:c r="Q94" s="48" t="n">
        <x:v>0</x:v>
      </x:c>
      <x:c r="R94" s="48"/>
      <x:c r="S94" s="48" t="str">
        <x:f>IF($K94&gt;0,"不可正式排",IF(OR($N94="未評估",$N94="學習中"),"不可正式排",IF(AND($L94=0,$N94="可獨立配合"),"初步可獨立",IF(AND($L94&lt;=3,$M94&lt;=1/3,OR($N94="可獨立配合",$N94="可配合但需支援")),"初步可條件排","不可正式排"))))</x:f>
        <x:v>不可正式排</x:v>
      </x:c>
      <x:c r="T94" s="53" t="str">
        <x:f>IF($C94="LJT-RPD-FINAL","固定短時支援 1 人／30 分鐘",IF($S94="初步可條件排",IF($G94="高複雜度","完整支援者 1:1（占 2 名額）","一般支援 1 名額"),"無"))</x:f>
        <x:v>無</x:v>
      </x:c>
      <x:c r="U94" s="53" t="str">
        <x:f>IF($J94&gt;0,"待確認共通技能門檻",IF($O94&lt;&gt;"已核定","待主管核定",IF(AND($G94="高複雜度",$P94&lt;&gt;"有效"),"資格未有效",$S94)))</x:f>
        <x:v>待確認共通技能門檻</x:v>
      </x:c>
      <x:c r="V94" t="str">
        <x:f>$A94&amp;"|"&amp;$C94</x:f>
        <x:v>1026|LJT-AIRPOLISH</x:v>
      </x:c>
    </x:row>
    <x:row r="95">
      <x:c r="A95" s="37" t="str">
        <x:v>1026</x:v>
      </x:c>
      <x:c r="B95" s="37" t="str"/>
      <x:c r="C95" s="37" t="str">
        <x:v>LJT-PERIOSURG</x:v>
      </x:c>
      <x:c r="D95" s="37" t="str">
        <x:v>高複雜度</x:v>
      </x:c>
      <x:c r="E95" s="37" t="str">
        <x:v>牙周手術</x:v>
      </x:c>
      <x:c r="F95" s="37" t="str">
        <x:v>一般</x:v>
      </x:c>
      <x:c r="G95" s="37" t="str">
        <x:v>高複雜度</x:v>
      </x:c>
      <x:c r="H95" s="37" t="str">
        <x:v>LJT-PREP-PERIOSURG</x:v>
      </x:c>
      <x:c r="I95" s="48" t="n">
        <x:f>COUNTIFS('適配要求展開'!$A$7:$A$734,$A95,'適配要求展開'!$C$7:$C$734,$C95)</x:f>
        <x:v>4</x:v>
      </x:c>
      <x:c r="J95" s="48" t="n">
        <x:f>COUNTIFS('適配要求展開'!$A$7:$A$734,$A95,'適配要求展開'!$C$7:$C$734,$C95,'適配要求展開'!$I$7:$I$734,"待確認")</x:f>
        <x:v>3</x:v>
      </x:c>
      <x:c r="K95" s="48" t="n">
        <x:f>COUNTIFS('適配要求展開'!$A$7:$A$734,$A95,'適配要求展開'!$C$7:$C$734,$C95,'適配要求展開'!$N$7:$N$734,"不符合")</x:f>
        <x:v>4</x:v>
      </x:c>
      <x:c r="L95" s="48" t="n">
        <x:f>COUNTIFS('適配要求展開'!$A$7:$A$734,$A95,'適配要求展開'!$C$7:$C$734,$C95,'適配要求展開'!$L$7:$L$734,"Ø")</x:f>
        <x:v>0</x:v>
      </x:c>
      <x:c r="M95" s="51" t="n">
        <x:f>IF($I95=0,"n.a.",$L95/$I95)</x:f>
        <x:v>0</x:v>
      </x:c>
      <x:c r="N95" s="48" t="str">
        <x:f>_xlfn.XLOOKUP($A95&amp;"|李侑津醫師",'試行熟悉度'!$K$7:$K$20,'試行熟悉度'!$E$7:$E$20,"未評估",0)</x:f>
        <x:v>可獨立配合</x:v>
      </x:c>
      <x:c r="O95" s="48" t="str">
        <x:f>IF(OR(COUNTIFS('適配要求展開'!$A$7:$A$734,$A95,'適配要求展開'!$C$7:$C$734,$C95,'適配要求展開'!$M$7:$M$734,"&lt;&gt;已核定")&gt;0,_xlfn.XLOOKUP($A95&amp;"|李侑津醫師",'試行熟悉度'!$K$7:$K$20,'試行熟悉度'!$F$7:$F$20,"未建立",0)&lt;&gt;"已核定"),"待主管核定","已核定")</x:f>
        <x:v>待主管核定</x:v>
      </x:c>
      <x:c r="P95" s="48" t="str">
        <x:f>IF($C95="LJT-RPD-FINAL","支援者另判",IF($G95="高複雜度",_xlfn.XLOOKUP($A95&amp;"|"&amp;$H95,'資格有效性'!$L$7:$L$62,'資格有效性'!$E$7:$E$62,"未建立",0),"不需複評"))</x:f>
        <x:v>待主管核定</x:v>
      </x:c>
      <x:c r="Q95" s="48" t="n">
        <x:v>0</x:v>
      </x:c>
      <x:c r="R95" s="48"/>
      <x:c r="S95" s="48" t="str">
        <x:f>IF($K95&gt;0,"不可正式排",IF(OR($N95="未評估",$N95="學習中"),"不可正式排",IF(AND($L95=0,$N95="可獨立配合"),"初步可獨立",IF(AND($L95&lt;=3,$M95&lt;=1/3,OR($N95="可獨立配合",$N95="可配合但需支援")),"初步可條件排","不可正式排"))))</x:f>
        <x:v>不可正式排</x:v>
      </x:c>
      <x:c r="T95" s="53" t="str">
        <x:f>IF($C95="LJT-RPD-FINAL","固定短時支援 1 人／30 分鐘",IF($S95="初步可條件排",IF($G95="高複雜度","完整支援者 1:1（占 2 名額）","一般支援 1 名額"),"無"))</x:f>
        <x:v>無</x:v>
      </x:c>
      <x:c r="U95" s="53" t="str">
        <x:f>IF($J95&gt;0,"待確認共通技能門檻",IF($O95&lt;&gt;"已核定","待主管核定",IF(AND($G95="高複雜度",$P95&lt;&gt;"有效"),"資格未有效",$S95)))</x:f>
        <x:v>待確認共通技能門檻</x:v>
      </x:c>
      <x:c r="V95" t="str">
        <x:f>$A95&amp;"|"&amp;$C95</x:f>
        <x:v>1026|LJT-PERIOSURG</x:v>
      </x:c>
    </x:row>
    <x:row r="96">
      <x:c r="A96" s="37" t="str">
        <x:v>1026</x:v>
      </x:c>
      <x:c r="B96" s="37" t="str"/>
      <x:c r="C96" s="37" t="str">
        <x:v>LJT-MICROENDO</x:v>
      </x:c>
      <x:c r="D96" s="37" t="str">
        <x:v>高複雜度</x:v>
      </x:c>
      <x:c r="E96" s="37" t="str">
        <x:v>顯微根管</x:v>
      </x:c>
      <x:c r="F96" s="37" t="str">
        <x:v>一般</x:v>
      </x:c>
      <x:c r="G96" s="37" t="str">
        <x:v>高複雜度</x:v>
      </x:c>
      <x:c r="H96" s="37" t="str">
        <x:v>LJT-PREP-MICROENDO</x:v>
      </x:c>
      <x:c r="I96" s="48" t="n">
        <x:f>COUNTIFS('適配要求展開'!$A$7:$A$734,$A96,'適配要求展開'!$C$7:$C$734,$C96)</x:f>
        <x:v>4</x:v>
      </x:c>
      <x:c r="J96" s="48" t="n">
        <x:f>COUNTIFS('適配要求展開'!$A$7:$A$734,$A96,'適配要求展開'!$C$7:$C$734,$C96,'適配要求展開'!$I$7:$I$734,"待確認")</x:f>
        <x:v>3</x:v>
      </x:c>
      <x:c r="K96" s="48" t="n">
        <x:f>COUNTIFS('適配要求展開'!$A$7:$A$734,$A96,'適配要求展開'!$C$7:$C$734,$C96,'適配要求展開'!$N$7:$N$734,"不符合")</x:f>
        <x:v>4</x:v>
      </x:c>
      <x:c r="L96" s="48" t="n">
        <x:f>COUNTIFS('適配要求展開'!$A$7:$A$734,$A96,'適配要求展開'!$C$7:$C$734,$C96,'適配要求展開'!$L$7:$L$734,"Ø")</x:f>
        <x:v>0</x:v>
      </x:c>
      <x:c r="M96" s="51" t="n">
        <x:f>IF($I96=0,"n.a.",$L96/$I96)</x:f>
        <x:v>0</x:v>
      </x:c>
      <x:c r="N96" s="48" t="str">
        <x:f>_xlfn.XLOOKUP($A96&amp;"|李侑津醫師",'試行熟悉度'!$K$7:$K$20,'試行熟悉度'!$E$7:$E$20,"未評估",0)</x:f>
        <x:v>可獨立配合</x:v>
      </x:c>
      <x:c r="O96" s="48" t="str">
        <x:f>IF(OR(COUNTIFS('適配要求展開'!$A$7:$A$734,$A96,'適配要求展開'!$C$7:$C$734,$C96,'適配要求展開'!$M$7:$M$734,"&lt;&gt;已核定")&gt;0,_xlfn.XLOOKUP($A96&amp;"|李侑津醫師",'試行熟悉度'!$K$7:$K$20,'試行熟悉度'!$F$7:$F$20,"未建立",0)&lt;&gt;"已核定"),"待主管核定","已核定")</x:f>
        <x:v>待主管核定</x:v>
      </x:c>
      <x:c r="P96" s="48" t="str">
        <x:f>IF($C96="LJT-RPD-FINAL","支援者另判",IF($G96="高複雜度",_xlfn.XLOOKUP($A96&amp;"|"&amp;$H96,'資格有效性'!$L$7:$L$62,'資格有效性'!$E$7:$E$62,"未建立",0),"不需複評"))</x:f>
        <x:v>待主管核定</x:v>
      </x:c>
      <x:c r="Q96" s="48" t="n">
        <x:v>0</x:v>
      </x:c>
      <x:c r="R96" s="48"/>
      <x:c r="S96" s="48" t="str">
        <x:f>IF($K96&gt;0,"不可正式排",IF(OR($N96="未評估",$N96="學習中"),"不可正式排",IF(AND($L96=0,$N96="可獨立配合"),"初步可獨立",IF(AND($L96&lt;=3,$M96&lt;=1/3,OR($N96="可獨立配合",$N96="可配合但需支援")),"初步可條件排","不可正式排"))))</x:f>
        <x:v>不可正式排</x:v>
      </x:c>
      <x:c r="T96" s="53" t="str">
        <x:f>IF($C96="LJT-RPD-FINAL","固定短時支援 1 人／30 分鐘",IF($S96="初步可條件排",IF($G96="高複雜度","完整支援者 1:1（占 2 名額）","一般支援 1 名額"),"無"))</x:f>
        <x:v>無</x:v>
      </x:c>
      <x:c r="U96" s="53" t="str">
        <x:f>IF($J96&gt;0,"待確認共通技能門檻",IF($O96&lt;&gt;"已核定","待主管核定",IF(AND($G96="高複雜度",$P96&lt;&gt;"有效"),"資格未有效",$S96)))</x:f>
        <x:v>待確認共通技能門檻</x:v>
      </x:c>
      <x:c r="V96" t="str">
        <x:f>$A96&amp;"|"&amp;$C96</x:f>
        <x:v>1026|LJT-MICROENDO</x:v>
      </x:c>
    </x:row>
    <x:row r="97">
      <x:c r="A97" s="37" t="str">
        <x:v>1026</x:v>
      </x:c>
      <x:c r="B97" s="37" t="str"/>
      <x:c r="C97" s="37" t="str">
        <x:v>LJT-IMPLANT</x:v>
      </x:c>
      <x:c r="D97" s="37" t="str">
        <x:v>高複雜度</x:v>
      </x:c>
      <x:c r="E97" s="37" t="str">
        <x:v>植牙</x:v>
      </x:c>
      <x:c r="F97" s="37" t="str">
        <x:v>一般</x:v>
      </x:c>
      <x:c r="G97" s="37" t="str">
        <x:v>高複雜度</x:v>
      </x:c>
      <x:c r="H97" s="37" t="str">
        <x:v>LJT-PREP-IMPLANT</x:v>
      </x:c>
      <x:c r="I97" s="48" t="n">
        <x:f>COUNTIFS('適配要求展開'!$A$7:$A$734,$A97,'適配要求展開'!$C$7:$C$734,$C97)</x:f>
        <x:v>4</x:v>
      </x:c>
      <x:c r="J97" s="48" t="n">
        <x:f>COUNTIFS('適配要求展開'!$A$7:$A$734,$A97,'適配要求展開'!$C$7:$C$734,$C97,'適配要求展開'!$I$7:$I$734,"待確認")</x:f>
        <x:v>3</x:v>
      </x:c>
      <x:c r="K97" s="48" t="n">
        <x:f>COUNTIFS('適配要求展開'!$A$7:$A$734,$A97,'適配要求展開'!$C$7:$C$734,$C97,'適配要求展開'!$N$7:$N$734,"不符合")</x:f>
        <x:v>3</x:v>
      </x:c>
      <x:c r="L97" s="48" t="n">
        <x:f>COUNTIFS('適配要求展開'!$A$7:$A$734,$A97,'適配要求展開'!$C$7:$C$734,$C97,'適配要求展開'!$L$7:$L$734,"Ø")</x:f>
        <x:v>0</x:v>
      </x:c>
      <x:c r="M97" s="51" t="n">
        <x:f>IF($I97=0,"n.a.",$L97/$I97)</x:f>
        <x:v>0</x:v>
      </x:c>
      <x:c r="N97" s="48" t="str">
        <x:f>_xlfn.XLOOKUP($A97&amp;"|李侑津醫師",'試行熟悉度'!$K$7:$K$20,'試行熟悉度'!$E$7:$E$20,"未評估",0)</x:f>
        <x:v>可獨立配合</x:v>
      </x:c>
      <x:c r="O97" s="48" t="str">
        <x:f>IF(OR(COUNTIFS('適配要求展開'!$A$7:$A$734,$A97,'適配要求展開'!$C$7:$C$734,$C97,'適配要求展開'!$M$7:$M$734,"&lt;&gt;已核定")&gt;0,_xlfn.XLOOKUP($A97&amp;"|李侑津醫師",'試行熟悉度'!$K$7:$K$20,'試行熟悉度'!$F$7:$F$20,"未建立",0)&lt;&gt;"已核定"),"待主管核定","已核定")</x:f>
        <x:v>待主管核定</x:v>
      </x:c>
      <x:c r="P97" s="48" t="str">
        <x:f>IF($C97="LJT-RPD-FINAL","支援者另判",IF($G97="高複雜度",_xlfn.XLOOKUP($A97&amp;"|"&amp;$H97,'資格有效性'!$L$7:$L$62,'資格有效性'!$E$7:$E$62,"未建立",0),"不需複評"))</x:f>
        <x:v>待主管核定</x:v>
      </x:c>
      <x:c r="Q97" s="48" t="n">
        <x:v>0</x:v>
      </x:c>
      <x:c r="R97" s="48"/>
      <x:c r="S97" s="48" t="str">
        <x:f>IF($K97&gt;0,"不可正式排",IF(OR($N97="未評估",$N97="學習中"),"不可正式排",IF(AND($L97=0,$N97="可獨立配合"),"初步可獨立",IF(AND($L97&lt;=3,$M97&lt;=1/3,OR($N97="可獨立配合",$N97="可配合但需支援")),"初步可條件排","不可正式排"))))</x:f>
        <x:v>不可正式排</x:v>
      </x:c>
      <x:c r="T97" s="53" t="str">
        <x:f>IF($C97="LJT-RPD-FINAL","固定短時支援 1 人／30 分鐘",IF($S97="初步可條件排",IF($G97="高複雜度","完整支援者 1:1（占 2 名額）","一般支援 1 名額"),"無"))</x:f>
        <x:v>無</x:v>
      </x:c>
      <x:c r="U97" s="53" t="str">
        <x:f>IF($J97&gt;0,"待確認共通技能門檻",IF($O97&lt;&gt;"已核定","待主管核定",IF(AND($G97="高複雜度",$P97&lt;&gt;"有效"),"資格未有效",$S97)))</x:f>
        <x:v>待確認共通技能門檻</x:v>
      </x:c>
      <x:c r="V97" t="str">
        <x:f>$A97&amp;"|"&amp;$C97</x:f>
        <x:v>1026|LJT-IMPLANT</x:v>
      </x:c>
    </x:row>
    <x:row r="98">
      <x:c r="A98" s="37" t="str">
        <x:v>1027</x:v>
      </x:c>
      <x:c r="B98" s="37" t="str"/>
      <x:c r="C98" s="37" t="str">
        <x:v>LJT-SCALING</x:v>
      </x:c>
      <x:c r="D98" s="37" t="str">
        <x:v>一般治療</x:v>
      </x:c>
      <x:c r="E98" s="37" t="str">
        <x:v>洗牙</x:v>
      </x:c>
      <x:c r="F98" s="37" t="str">
        <x:v>一般</x:v>
      </x:c>
      <x:c r="G98" s="37" t="str">
        <x:v>一般</x:v>
      </x:c>
      <x:c r="H98" s="37" t="str">
        <x:v>LJT-PREP-SCALING</x:v>
      </x:c>
      <x:c r="I98" s="48" t="n">
        <x:f>COUNTIFS('適配要求展開'!$A$7:$A$734,$A98,'適配要求展開'!$C$7:$C$734,$C98)</x:f>
        <x:v>4</x:v>
      </x:c>
      <x:c r="J98" s="48" t="n">
        <x:f>COUNTIFS('適配要求展開'!$A$7:$A$734,$A98,'適配要求展開'!$C$7:$C$734,$C98,'適配要求展開'!$I$7:$I$734,"待確認")</x:f>
        <x:v>3</x:v>
      </x:c>
      <x:c r="K98" s="48" t="n">
        <x:f>COUNTIFS('適配要求展開'!$A$7:$A$734,$A98,'適配要求展開'!$C$7:$C$734,$C98,'適配要求展開'!$N$7:$N$734,"不符合")</x:f>
        <x:v>0</x:v>
      </x:c>
      <x:c r="L98" s="48" t="n">
        <x:f>COUNTIFS('適配要求展開'!$A$7:$A$734,$A98,'適配要求展開'!$C$7:$C$734,$C98,'適配要求展開'!$L$7:$L$734,"Ø")</x:f>
        <x:v>1</x:v>
      </x:c>
      <x:c r="M98" s="51" t="n">
        <x:f>IF($I98=0,"n.a.",$L98/$I98)</x:f>
        <x:v>0.25</x:v>
      </x:c>
      <x:c r="N98" s="48" t="str">
        <x:f>_xlfn.XLOOKUP($A98&amp;"|李侑津醫師",'試行熟悉度'!$K$7:$K$20,'試行熟悉度'!$E$7:$E$20,"未評估",0)</x:f>
        <x:v>可配合但需支援</x:v>
      </x:c>
      <x:c r="O98" s="48" t="str">
        <x:f>IF(OR(COUNTIFS('適配要求展開'!$A$7:$A$734,$A98,'適配要求展開'!$C$7:$C$734,$C98,'適配要求展開'!$M$7:$M$734,"&lt;&gt;已核定")&gt;0,_xlfn.XLOOKUP($A98&amp;"|李侑津醫師",'試行熟悉度'!$K$7:$K$20,'試行熟悉度'!$F$7:$F$20,"未建立",0)&lt;&gt;"已核定"),"待主管核定","已核定")</x:f>
        <x:v>待主管核定</x:v>
      </x:c>
      <x:c r="P98" s="48" t="str">
        <x:f>IF($C98="LJT-RPD-FINAL","支援者另判",IF($G98="高複雜度",_xlfn.XLOOKUP($A98&amp;"|"&amp;$H98,'資格有效性'!$L$7:$L$62,'資格有效性'!$E$7:$E$62,"未建立",0),"不需複評"))</x:f>
        <x:v>不需複評</x:v>
      </x:c>
      <x:c r="Q98" s="48" t="n">
        <x:v>0</x:v>
      </x:c>
      <x:c r="R98" s="48"/>
      <x:c r="S98" s="48" t="str">
        <x:f>IF($K98&gt;0,"不可正式排",IF(OR($N98="未評估",$N98="學習中"),"不可正式排",IF(AND($L98=0,$N98="可獨立配合"),"初步可獨立",IF(AND($L98&lt;=3,$M98&lt;=1/3,OR($N98="可獨立配合",$N98="可配合但需支援")),"初步可條件排","不可正式排"))))</x:f>
        <x:v>初步可條件排</x:v>
      </x:c>
      <x:c r="T98" s="53" t="str">
        <x:f>IF($C98="LJT-RPD-FINAL","固定短時支援 1 人／30 分鐘",IF($S98="初步可條件排",IF($G98="高複雜度","完整支援者 1:1（占 2 名額）","一般支援 1 名額"),"無"))</x:f>
        <x:v>一般支援 1 名額</x:v>
      </x:c>
      <x:c r="U98" s="53" t="str">
        <x:f>IF($J98&gt;0,"待確認共通技能門檻",IF($O98&lt;&gt;"已核定","待主管核定",IF(AND($G98="高複雜度",$P98&lt;&gt;"有效"),"資格未有效",$S98)))</x:f>
        <x:v>待確認共通技能門檻</x:v>
      </x:c>
      <x:c r="V98" t="str">
        <x:f>$A98&amp;"|"&amp;$C98</x:f>
        <x:v>1027|LJT-SCALING</x:v>
      </x:c>
    </x:row>
    <x:row r="99">
      <x:c r="A99" s="37" t="str">
        <x:v>1027</x:v>
      </x:c>
      <x:c r="B99" s="37" t="str"/>
      <x:c r="C99" s="37" t="str">
        <x:v>LJT-FILLING</x:v>
      </x:c>
      <x:c r="D99" s="37" t="str">
        <x:v>一般治療</x:v>
      </x:c>
      <x:c r="E99" s="37" t="str">
        <x:v>補牙</x:v>
      </x:c>
      <x:c r="F99" s="37" t="str">
        <x:v>一般</x:v>
      </x:c>
      <x:c r="G99" s="37" t="str">
        <x:v>一般</x:v>
      </x:c>
      <x:c r="H99" s="37" t="str">
        <x:v>LJT-PREP-FILLING</x:v>
      </x:c>
      <x:c r="I99" s="48" t="n">
        <x:f>COUNTIFS('適配要求展開'!$A$7:$A$734,$A99,'適配要求展開'!$C$7:$C$734,$C99)</x:f>
        <x:v>4</x:v>
      </x:c>
      <x:c r="J99" s="48" t="n">
        <x:f>COUNTIFS('適配要求展開'!$A$7:$A$734,$A99,'適配要求展開'!$C$7:$C$734,$C99,'適配要求展開'!$I$7:$I$734,"待確認")</x:f>
        <x:v>3</x:v>
      </x:c>
      <x:c r="K99" s="48" t="n">
        <x:f>COUNTIFS('適配要求展開'!$A$7:$A$734,$A99,'適配要求展開'!$C$7:$C$734,$C99,'適配要求展開'!$N$7:$N$734,"不符合")</x:f>
        <x:v>0</x:v>
      </x:c>
      <x:c r="L99" s="48" t="n">
        <x:f>COUNTIFS('適配要求展開'!$A$7:$A$734,$A99,'適配要求展開'!$C$7:$C$734,$C99,'適配要求展開'!$L$7:$L$734,"Ø")</x:f>
        <x:v>1</x:v>
      </x:c>
      <x:c r="M99" s="51" t="n">
        <x:f>IF($I99=0,"n.a.",$L99/$I99)</x:f>
        <x:v>0.25</x:v>
      </x:c>
      <x:c r="N99" s="48" t="str">
        <x:f>_xlfn.XLOOKUP($A99&amp;"|李侑津醫師",'試行熟悉度'!$K$7:$K$20,'試行熟悉度'!$E$7:$E$20,"未評估",0)</x:f>
        <x:v>可配合但需支援</x:v>
      </x:c>
      <x:c r="O99" s="48" t="str">
        <x:f>IF(OR(COUNTIFS('適配要求展開'!$A$7:$A$734,$A99,'適配要求展開'!$C$7:$C$734,$C99,'適配要求展開'!$M$7:$M$734,"&lt;&gt;已核定")&gt;0,_xlfn.XLOOKUP($A99&amp;"|李侑津醫師",'試行熟悉度'!$K$7:$K$20,'試行熟悉度'!$F$7:$F$20,"未建立",0)&lt;&gt;"已核定"),"待主管核定","已核定")</x:f>
        <x:v>待主管核定</x:v>
      </x:c>
      <x:c r="P99" s="48" t="str">
        <x:f>IF($C99="LJT-RPD-FINAL","支援者另判",IF($G99="高複雜度",_xlfn.XLOOKUP($A99&amp;"|"&amp;$H99,'資格有效性'!$L$7:$L$62,'資格有效性'!$E$7:$E$62,"未建立",0),"不需複評"))</x:f>
        <x:v>不需複評</x:v>
      </x:c>
      <x:c r="Q99" s="48" t="n">
        <x:v>0</x:v>
      </x:c>
      <x:c r="R99" s="48"/>
      <x:c r="S99" s="48" t="str">
        <x:f>IF($K99&gt;0,"不可正式排",IF(OR($N99="未評估",$N99="學習中"),"不可正式排",IF(AND($L99=0,$N99="可獨立配合"),"初步可獨立",IF(AND($L99&lt;=3,$M99&lt;=1/3,OR($N99="可獨立配合",$N99="可配合但需支援")),"初步可條件排","不可正式排"))))</x:f>
        <x:v>初步可條件排</x:v>
      </x:c>
      <x:c r="T99" s="53" t="str">
        <x:f>IF($C99="LJT-RPD-FINAL","固定短時支援 1 人／30 分鐘",IF($S99="初步可條件排",IF($G99="高複雜度","完整支援者 1:1（占 2 名額）","一般支援 1 名額"),"無"))</x:f>
        <x:v>一般支援 1 名額</x:v>
      </x:c>
      <x:c r="U99" s="53" t="str">
        <x:f>IF($J99&gt;0,"待確認共通技能門檻",IF($O99&lt;&gt;"已核定","待主管核定",IF(AND($G99="高複雜度",$P99&lt;&gt;"有效"),"資格未有效",$S99)))</x:f>
        <x:v>待確認共通技能門檻</x:v>
      </x:c>
      <x:c r="V99" t="str">
        <x:f>$A99&amp;"|"&amp;$C99</x:f>
        <x:v>1027|LJT-FILLING</x:v>
      </x:c>
    </x:row>
    <x:row r="100">
      <x:c r="A100" s="37" t="str">
        <x:v>1027</x:v>
      </x:c>
      <x:c r="B100" s="37" t="str"/>
      <x:c r="C100" s="37" t="str">
        <x:v>LJT-PERIO</x:v>
      </x:c>
      <x:c r="D100" s="37" t="str">
        <x:v>一般治療</x:v>
      </x:c>
      <x:c r="E100" s="37" t="str">
        <x:v>牙周統合</x:v>
      </x:c>
      <x:c r="F100" s="37" t="str">
        <x:v>一般</x:v>
      </x:c>
      <x:c r="G100" s="37" t="str">
        <x:v>一般</x:v>
      </x:c>
      <x:c r="H100" s="37" t="str">
        <x:v>LJT-PREP-PERIO</x:v>
      </x:c>
      <x:c r="I100" s="48" t="n">
        <x:f>COUNTIFS('適配要求展開'!$A$7:$A$734,$A100,'適配要求展開'!$C$7:$C$734,$C100)</x:f>
        <x:v>4</x:v>
      </x:c>
      <x:c r="J100" s="48" t="n">
        <x:f>COUNTIFS('適配要求展開'!$A$7:$A$734,$A100,'適配要求展開'!$C$7:$C$734,$C100,'適配要求展開'!$I$7:$I$734,"待確認")</x:f>
        <x:v>3</x:v>
      </x:c>
      <x:c r="K100" s="48" t="n">
        <x:f>COUNTIFS('適配要求展開'!$A$7:$A$734,$A100,'適配要求展開'!$C$7:$C$734,$C100,'適配要求展開'!$N$7:$N$734,"不符合")</x:f>
        <x:v>0</x:v>
      </x:c>
      <x:c r="L100" s="48" t="n">
        <x:f>COUNTIFS('適配要求展開'!$A$7:$A$734,$A100,'適配要求展開'!$C$7:$C$734,$C100,'適配要求展開'!$L$7:$L$734,"Ø")</x:f>
        <x:v>1</x:v>
      </x:c>
      <x:c r="M100" s="51" t="n">
        <x:f>IF($I100=0,"n.a.",$L100/$I100)</x:f>
        <x:v>0.25</x:v>
      </x:c>
      <x:c r="N100" s="48" t="str">
        <x:f>_xlfn.XLOOKUP($A100&amp;"|李侑津醫師",'試行熟悉度'!$K$7:$K$20,'試行熟悉度'!$E$7:$E$20,"未評估",0)</x:f>
        <x:v>可配合但需支援</x:v>
      </x:c>
      <x:c r="O100" s="48" t="str">
        <x:f>IF(OR(COUNTIFS('適配要求展開'!$A$7:$A$734,$A100,'適配要求展開'!$C$7:$C$734,$C100,'適配要求展開'!$M$7:$M$734,"&lt;&gt;已核定")&gt;0,_xlfn.XLOOKUP($A100&amp;"|李侑津醫師",'試行熟悉度'!$K$7:$K$20,'試行熟悉度'!$F$7:$F$20,"未建立",0)&lt;&gt;"已核定"),"待主管核定","已核定")</x:f>
        <x:v>待主管核定</x:v>
      </x:c>
      <x:c r="P100" s="48" t="str">
        <x:f>IF($C100="LJT-RPD-FINAL","支援者另判",IF($G100="高複雜度",_xlfn.XLOOKUP($A100&amp;"|"&amp;$H100,'資格有效性'!$L$7:$L$62,'資格有效性'!$E$7:$E$62,"未建立",0),"不需複評"))</x:f>
        <x:v>不需複評</x:v>
      </x:c>
      <x:c r="Q100" s="48" t="n">
        <x:v>0</x:v>
      </x:c>
      <x:c r="R100" s="48"/>
      <x:c r="S100" s="48" t="str">
        <x:f>IF($K100&gt;0,"不可正式排",IF(OR($N100="未評估",$N100="學習中"),"不可正式排",IF(AND($L100=0,$N100="可獨立配合"),"初步可獨立",IF(AND($L100&lt;=3,$M100&lt;=1/3,OR($N100="可獨立配合",$N100="可配合但需支援")),"初步可條件排","不可正式排"))))</x:f>
        <x:v>初步可條件排</x:v>
      </x:c>
      <x:c r="T100" s="53" t="str">
        <x:f>IF($C100="LJT-RPD-FINAL","固定短時支援 1 人／30 分鐘",IF($S100="初步可條件排",IF($G100="高複雜度","完整支援者 1:1（占 2 名額）","一般支援 1 名額"),"無"))</x:f>
        <x:v>一般支援 1 名額</x:v>
      </x:c>
      <x:c r="U100" s="53" t="str">
        <x:f>IF($J100&gt;0,"待確認共通技能門檻",IF($O100&lt;&gt;"已核定","待主管核定",IF(AND($G100="高複雜度",$P100&lt;&gt;"有效"),"資格未有效",$S100)))</x:f>
        <x:v>待確認共通技能門檻</x:v>
      </x:c>
      <x:c r="V100" t="str">
        <x:f>$A100&amp;"|"&amp;$C100</x:f>
        <x:v>1027|LJT-PERIO</x:v>
      </x:c>
    </x:row>
    <x:row r="101">
      <x:c r="A101" s="37" t="str">
        <x:v>1027</x:v>
      </x:c>
      <x:c r="B101" s="37" t="str"/>
      <x:c r="C101" s="37" t="str">
        <x:v>LJT-RCT</x:v>
      </x:c>
      <x:c r="D101" s="37" t="str">
        <x:v>一般治療</x:v>
      </x:c>
      <x:c r="E101" s="37" t="str">
        <x:v>一般根管治療</x:v>
      </x:c>
      <x:c r="F101" s="37" t="str">
        <x:v>一般</x:v>
      </x:c>
      <x:c r="G101" s="37" t="str">
        <x:v>一般</x:v>
      </x:c>
      <x:c r="H101" s="37" t="str">
        <x:v>LJT-PREP-RCT</x:v>
      </x:c>
      <x:c r="I101" s="48" t="n">
        <x:f>COUNTIFS('適配要求展開'!$A$7:$A$734,$A101,'適配要求展開'!$C$7:$C$734,$C101)</x:f>
        <x:v>4</x:v>
      </x:c>
      <x:c r="J101" s="48" t="n">
        <x:f>COUNTIFS('適配要求展開'!$A$7:$A$734,$A101,'適配要求展開'!$C$7:$C$734,$C101,'適配要求展開'!$I$7:$I$734,"待確認")</x:f>
        <x:v>3</x:v>
      </x:c>
      <x:c r="K101" s="48" t="n">
        <x:f>COUNTIFS('適配要求展開'!$A$7:$A$734,$A101,'適配要求展開'!$C$7:$C$734,$C101,'適配要求展開'!$N$7:$N$734,"不符合")</x:f>
        <x:v>0</x:v>
      </x:c>
      <x:c r="L101" s="48" t="n">
        <x:f>COUNTIFS('適配要求展開'!$A$7:$A$734,$A101,'適配要求展開'!$C$7:$C$734,$C101,'適配要求展開'!$L$7:$L$734,"Ø")</x:f>
        <x:v>1</x:v>
      </x:c>
      <x:c r="M101" s="51" t="n">
        <x:f>IF($I101=0,"n.a.",$L101/$I101)</x:f>
        <x:v>0.25</x:v>
      </x:c>
      <x:c r="N101" s="48" t="str">
        <x:f>_xlfn.XLOOKUP($A101&amp;"|李侑津醫師",'試行熟悉度'!$K$7:$K$20,'試行熟悉度'!$E$7:$E$20,"未評估",0)</x:f>
        <x:v>可配合但需支援</x:v>
      </x:c>
      <x:c r="O101" s="48" t="str">
        <x:f>IF(OR(COUNTIFS('適配要求展開'!$A$7:$A$734,$A101,'適配要求展開'!$C$7:$C$734,$C101,'適配要求展開'!$M$7:$M$734,"&lt;&gt;已核定")&gt;0,_xlfn.XLOOKUP($A101&amp;"|李侑津醫師",'試行熟悉度'!$K$7:$K$20,'試行熟悉度'!$F$7:$F$20,"未建立",0)&lt;&gt;"已核定"),"待主管核定","已核定")</x:f>
        <x:v>待主管核定</x:v>
      </x:c>
      <x:c r="P101" s="48" t="str">
        <x:f>IF($C101="LJT-RPD-FINAL","支援者另判",IF($G101="高複雜度",_xlfn.XLOOKUP($A101&amp;"|"&amp;$H101,'資格有效性'!$L$7:$L$62,'資格有效性'!$E$7:$E$62,"未建立",0),"不需複評"))</x:f>
        <x:v>不需複評</x:v>
      </x:c>
      <x:c r="Q101" s="48" t="n">
        <x:v>0</x:v>
      </x:c>
      <x:c r="R101" s="48"/>
      <x:c r="S101" s="48" t="str">
        <x:f>IF($K101&gt;0,"不可正式排",IF(OR($N101="未評估",$N101="學習中"),"不可正式排",IF(AND($L101=0,$N101="可獨立配合"),"初步可獨立",IF(AND($L101&lt;=3,$M101&lt;=1/3,OR($N101="可獨立配合",$N101="可配合但需支援")),"初步可條件排","不可正式排"))))</x:f>
        <x:v>初步可條件排</x:v>
      </x:c>
      <x:c r="T101" s="53" t="str">
        <x:f>IF($C101="LJT-RPD-FINAL","固定短時支援 1 人／30 分鐘",IF($S101="初步可條件排",IF($G101="高複雜度","完整支援者 1:1（占 2 名額）","一般支援 1 名額"),"無"))</x:f>
        <x:v>一般支援 1 名額</x:v>
      </x:c>
      <x:c r="U101" s="53" t="str">
        <x:f>IF($J101&gt;0,"待確認共通技能門檻",IF($O101&lt;&gt;"已核定","待主管核定",IF(AND($G101="高複雜度",$P101&lt;&gt;"有效"),"資格未有效",$S101)))</x:f>
        <x:v>待確認共通技能門檻</x:v>
      </x:c>
      <x:c r="V101" t="str">
        <x:f>$A101&amp;"|"&amp;$C101</x:f>
        <x:v>1027|LJT-RCT</x:v>
      </x:c>
    </x:row>
    <x:row r="102">
      <x:c r="A102" s="37" t="str">
        <x:v>1027</x:v>
      </x:c>
      <x:c r="B102" s="37" t="str"/>
      <x:c r="C102" s="37" t="str">
        <x:v>LJT-EXTRACTION</x:v>
      </x:c>
      <x:c r="D102" s="37" t="str">
        <x:v>一般治療</x:v>
      </x:c>
      <x:c r="E102" s="37" t="str">
        <x:v>拔牙</x:v>
      </x:c>
      <x:c r="F102" s="37" t="str">
        <x:v>一般</x:v>
      </x:c>
      <x:c r="G102" s="37" t="str">
        <x:v>一般</x:v>
      </x:c>
      <x:c r="H102" s="37" t="str">
        <x:v>LJT-PREP-EXTRACTION</x:v>
      </x:c>
      <x:c r="I102" s="48" t="n">
        <x:f>COUNTIFS('適配要求展開'!$A$7:$A$734,$A102,'適配要求展開'!$C$7:$C$734,$C102)</x:f>
        <x:v>4</x:v>
      </x:c>
      <x:c r="J102" s="48" t="n">
        <x:f>COUNTIFS('適配要求展開'!$A$7:$A$734,$A102,'適配要求展開'!$C$7:$C$734,$C102,'適配要求展開'!$I$7:$I$734,"待確認")</x:f>
        <x:v>3</x:v>
      </x:c>
      <x:c r="K102" s="48" t="n">
        <x:f>COUNTIFS('適配要求展開'!$A$7:$A$734,$A102,'適配要求展開'!$C$7:$C$734,$C102,'適配要求展開'!$N$7:$N$734,"不符合")</x:f>
        <x:v>0</x:v>
      </x:c>
      <x:c r="L102" s="48" t="n">
        <x:f>COUNTIFS('適配要求展開'!$A$7:$A$734,$A102,'適配要求展開'!$C$7:$C$734,$C102,'適配要求展開'!$L$7:$L$734,"Ø")</x:f>
        <x:v>2</x:v>
      </x:c>
      <x:c r="M102" s="51" t="n">
        <x:f>IF($I102=0,"n.a.",$L102/$I102)</x:f>
        <x:v>0.5</x:v>
      </x:c>
      <x:c r="N102" s="48" t="str">
        <x:f>_xlfn.XLOOKUP($A102&amp;"|李侑津醫師",'試行熟悉度'!$K$7:$K$20,'試行熟悉度'!$E$7:$E$20,"未評估",0)</x:f>
        <x:v>可配合但需支援</x:v>
      </x:c>
      <x:c r="O102" s="48" t="str">
        <x:f>IF(OR(COUNTIFS('適配要求展開'!$A$7:$A$734,$A102,'適配要求展開'!$C$7:$C$734,$C102,'適配要求展開'!$M$7:$M$734,"&lt;&gt;已核定")&gt;0,_xlfn.XLOOKUP($A102&amp;"|李侑津醫師",'試行熟悉度'!$K$7:$K$20,'試行熟悉度'!$F$7:$F$20,"未建立",0)&lt;&gt;"已核定"),"待主管核定","已核定")</x:f>
        <x:v>待主管核定</x:v>
      </x:c>
      <x:c r="P102" s="48" t="str">
        <x:f>IF($C102="LJT-RPD-FINAL","支援者另判",IF($G102="高複雜度",_xlfn.XLOOKUP($A102&amp;"|"&amp;$H102,'資格有效性'!$L$7:$L$62,'資格有效性'!$E$7:$E$62,"未建立",0),"不需複評"))</x:f>
        <x:v>不需複評</x:v>
      </x:c>
      <x:c r="Q102" s="48" t="n">
        <x:v>0</x:v>
      </x:c>
      <x:c r="R102" s="48"/>
      <x:c r="S102" s="48" t="str">
        <x:f>IF($K102&gt;0,"不可正式排",IF(OR($N102="未評估",$N102="學習中"),"不可正式排",IF(AND($L102=0,$N102="可獨立配合"),"初步可獨立",IF(AND($L102&lt;=3,$M102&lt;=1/3,OR($N102="可獨立配合",$N102="可配合但需支援")),"初步可條件排","不可正式排"))))</x:f>
        <x:v>不可正式排</x:v>
      </x:c>
      <x:c r="T102" s="53" t="str">
        <x:f>IF($C102="LJT-RPD-FINAL","固定短時支援 1 人／30 分鐘",IF($S102="初步可條件排",IF($G102="高複雜度","完整支援者 1:1（占 2 名額）","一般支援 1 名額"),"無"))</x:f>
        <x:v>無</x:v>
      </x:c>
      <x:c r="U102" s="53" t="str">
        <x:f>IF($J102&gt;0,"待確認共通技能門檻",IF($O102&lt;&gt;"已核定","待主管核定",IF(AND($G102="高複雜度",$P102&lt;&gt;"有效"),"資格未有效",$S102)))</x:f>
        <x:v>待確認共通技能門檻</x:v>
      </x:c>
      <x:c r="V102" t="str">
        <x:f>$A102&amp;"|"&amp;$C102</x:f>
        <x:v>1027|LJT-EXTRACTION</x:v>
      </x:c>
    </x:row>
    <x:row r="103">
      <x:c r="A103" s="37" t="str">
        <x:v>1027</x:v>
      </x:c>
      <x:c r="B103" s="37" t="str"/>
      <x:c r="C103" s="37" t="str">
        <x:v>LJT-CROWNPOST</x:v>
      </x:c>
      <x:c r="D103" s="37" t="str">
        <x:v>一般治療</x:v>
      </x:c>
      <x:c r="E103" s="37" t="str">
        <x:v>拆 crown/post</x:v>
      </x:c>
      <x:c r="F103" s="37" t="str">
        <x:v>一般</x:v>
      </x:c>
      <x:c r="G103" s="37" t="str">
        <x:v>一般</x:v>
      </x:c>
      <x:c r="H103" s="37" t="str">
        <x:v>LJT-PREP-CROWNPOST</x:v>
      </x:c>
      <x:c r="I103" s="48" t="n">
        <x:f>COUNTIFS('適配要求展開'!$A$7:$A$734,$A103,'適配要求展開'!$C$7:$C$734,$C103)</x:f>
        <x:v>4</x:v>
      </x:c>
      <x:c r="J103" s="48" t="n">
        <x:f>COUNTIFS('適配要求展開'!$A$7:$A$734,$A103,'適配要求展開'!$C$7:$C$734,$C103,'適配要求展開'!$I$7:$I$734,"待確認")</x:f>
        <x:v>3</x:v>
      </x:c>
      <x:c r="K103" s="48" t="n">
        <x:f>COUNTIFS('適配要求展開'!$A$7:$A$734,$A103,'適配要求展開'!$C$7:$C$734,$C103,'適配要求展開'!$N$7:$N$734,"不符合")</x:f>
        <x:v>0</x:v>
      </x:c>
      <x:c r="L103" s="48" t="n">
        <x:f>COUNTIFS('適配要求展開'!$A$7:$A$734,$A103,'適配要求展開'!$C$7:$C$734,$C103,'適配要求展開'!$L$7:$L$734,"Ø")</x:f>
        <x:v>1</x:v>
      </x:c>
      <x:c r="M103" s="51" t="n">
        <x:f>IF($I103=0,"n.a.",$L103/$I103)</x:f>
        <x:v>0.25</x:v>
      </x:c>
      <x:c r="N103" s="48" t="str">
        <x:f>_xlfn.XLOOKUP($A103&amp;"|李侑津醫師",'試行熟悉度'!$K$7:$K$20,'試行熟悉度'!$E$7:$E$20,"未評估",0)</x:f>
        <x:v>可配合但需支援</x:v>
      </x:c>
      <x:c r="O103" s="48" t="str">
        <x:f>IF(OR(COUNTIFS('適配要求展開'!$A$7:$A$734,$A103,'適配要求展開'!$C$7:$C$734,$C103,'適配要求展開'!$M$7:$M$734,"&lt;&gt;已核定")&gt;0,_xlfn.XLOOKUP($A103&amp;"|李侑津醫師",'試行熟悉度'!$K$7:$K$20,'試行熟悉度'!$F$7:$F$20,"未建立",0)&lt;&gt;"已核定"),"待主管核定","已核定")</x:f>
        <x:v>待主管核定</x:v>
      </x:c>
      <x:c r="P103" s="48" t="str">
        <x:f>IF($C103="LJT-RPD-FINAL","支援者另判",IF($G103="高複雜度",_xlfn.XLOOKUP($A103&amp;"|"&amp;$H103,'資格有效性'!$L$7:$L$62,'資格有效性'!$E$7:$E$62,"未建立",0),"不需複評"))</x:f>
        <x:v>不需複評</x:v>
      </x:c>
      <x:c r="Q103" s="48" t="n">
        <x:v>0</x:v>
      </x:c>
      <x:c r="R103" s="48"/>
      <x:c r="S103" s="48" t="str">
        <x:f>IF($K103&gt;0,"不可正式排",IF(OR($N103="未評估",$N103="學習中"),"不可正式排",IF(AND($L103=0,$N103="可獨立配合"),"初步可獨立",IF(AND($L103&lt;=3,$M103&lt;=1/3,OR($N103="可獨立配合",$N103="可配合但需支援")),"初步可條件排","不可正式排"))))</x:f>
        <x:v>初步可條件排</x:v>
      </x:c>
      <x:c r="T103" s="53" t="str">
        <x:f>IF($C103="LJT-RPD-FINAL","固定短時支援 1 人／30 分鐘",IF($S103="初步可條件排",IF($G103="高複雜度","完整支援者 1:1（占 2 名額）","一般支援 1 名額"),"無"))</x:f>
        <x:v>一般支援 1 名額</x:v>
      </x:c>
      <x:c r="U103" s="53" t="str">
        <x:f>IF($J103&gt;0,"待確認共通技能門檻",IF($O103&lt;&gt;"已核定","待主管核定",IF(AND($G103="高複雜度",$P103&lt;&gt;"有效"),"資格未有效",$S103)))</x:f>
        <x:v>待確認共通技能門檻</x:v>
      </x:c>
      <x:c r="V103" t="str">
        <x:f>$A103&amp;"|"&amp;$C103</x:f>
        <x:v>1027|LJT-CROWNPOST</x:v>
      </x:c>
    </x:row>
    <x:row r="104">
      <x:c r="A104" s="37" t="str">
        <x:v>1027</x:v>
      </x:c>
      <x:c r="B104" s="37" t="str"/>
      <x:c r="C104" s="37" t="str">
        <x:v>LJT-CROWN</x:v>
      </x:c>
      <x:c r="D104" s="37" t="str">
        <x:v>補綴／自費</x:v>
      </x:c>
      <x:c r="E104" s="37" t="str">
        <x:v>固定假牙</x:v>
      </x:c>
      <x:c r="F104" s="37" t="str">
        <x:v>一般</x:v>
      </x:c>
      <x:c r="G104" s="37" t="str">
        <x:v>一般</x:v>
      </x:c>
      <x:c r="H104" s="37" t="str">
        <x:v>LJT-PREP-CROWN</x:v>
      </x:c>
      <x:c r="I104" s="48" t="n">
        <x:f>COUNTIFS('適配要求展開'!$A$7:$A$734,$A104,'適配要求展開'!$C$7:$C$734,$C104)</x:f>
        <x:v>4</x:v>
      </x:c>
      <x:c r="J104" s="48" t="n">
        <x:f>COUNTIFS('適配要求展開'!$A$7:$A$734,$A104,'適配要求展開'!$C$7:$C$734,$C104,'適配要求展開'!$I$7:$I$734,"待確認")</x:f>
        <x:v>3</x:v>
      </x:c>
      <x:c r="K104" s="48" t="n">
        <x:f>COUNTIFS('適配要求展開'!$A$7:$A$734,$A104,'適配要求展開'!$C$7:$C$734,$C104,'適配要求展開'!$N$7:$N$734,"不符合")</x:f>
        <x:v>0</x:v>
      </x:c>
      <x:c r="L104" s="48" t="n">
        <x:f>COUNTIFS('適配要求展開'!$A$7:$A$734,$A104,'適配要求展開'!$C$7:$C$734,$C104,'適配要求展開'!$L$7:$L$734,"Ø")</x:f>
        <x:v>1</x:v>
      </x:c>
      <x:c r="M104" s="51" t="n">
        <x:f>IF($I104=0,"n.a.",$L104/$I104)</x:f>
        <x:v>0.25</x:v>
      </x:c>
      <x:c r="N104" s="48" t="str">
        <x:f>_xlfn.XLOOKUP($A104&amp;"|李侑津醫師",'試行熟悉度'!$K$7:$K$20,'試行熟悉度'!$E$7:$E$20,"未評估",0)</x:f>
        <x:v>可配合但需支援</x:v>
      </x:c>
      <x:c r="O104" s="48" t="str">
        <x:f>IF(OR(COUNTIFS('適配要求展開'!$A$7:$A$734,$A104,'適配要求展開'!$C$7:$C$734,$C104,'適配要求展開'!$M$7:$M$734,"&lt;&gt;已核定")&gt;0,_xlfn.XLOOKUP($A104&amp;"|李侑津醫師",'試行熟悉度'!$K$7:$K$20,'試行熟悉度'!$F$7:$F$20,"未建立",0)&lt;&gt;"已核定"),"待主管核定","已核定")</x:f>
        <x:v>待主管核定</x:v>
      </x:c>
      <x:c r="P104" s="48" t="str">
        <x:f>IF($C104="LJT-RPD-FINAL","支援者另判",IF($G104="高複雜度",_xlfn.XLOOKUP($A104&amp;"|"&amp;$H104,'資格有效性'!$L$7:$L$62,'資格有效性'!$E$7:$E$62,"未建立",0),"不需複評"))</x:f>
        <x:v>不需複評</x:v>
      </x:c>
      <x:c r="Q104" s="48" t="n">
        <x:v>0</x:v>
      </x:c>
      <x:c r="R104" s="48"/>
      <x:c r="S104" s="48" t="str">
        <x:f>IF($K104&gt;0,"不可正式排",IF(OR($N104="未評估",$N104="學習中"),"不可正式排",IF(AND($L104=0,$N104="可獨立配合"),"初步可獨立",IF(AND($L104&lt;=3,$M104&lt;=1/3,OR($N104="可獨立配合",$N104="可配合但需支援")),"初步可條件排","不可正式排"))))</x:f>
        <x:v>初步可條件排</x:v>
      </x:c>
      <x:c r="T104" s="53" t="str">
        <x:f>IF($C104="LJT-RPD-FINAL","固定短時支援 1 人／30 分鐘",IF($S104="初步可條件排",IF($G104="高複雜度","完整支援者 1:1（占 2 名額）","一般支援 1 名額"),"無"))</x:f>
        <x:v>一般支援 1 名額</x:v>
      </x:c>
      <x:c r="U104" s="53" t="str">
        <x:f>IF($J104&gt;0,"待確認共通技能門檻",IF($O104&lt;&gt;"已核定","待主管核定",IF(AND($G104="高複雜度",$P104&lt;&gt;"有效"),"資格未有效",$S104)))</x:f>
        <x:v>待確認共通技能門檻</x:v>
      </x:c>
      <x:c r="V104" t="str">
        <x:f>$A104&amp;"|"&amp;$C104</x:f>
        <x:v>1027|LJT-CROWN</x:v>
      </x:c>
    </x:row>
    <x:row r="105">
      <x:c r="A105" s="37" t="str">
        <x:v>1027</x:v>
      </x:c>
      <x:c r="B105" s="37" t="str"/>
      <x:c r="C105" s="37" t="str">
        <x:v>LJT-RPD</x:v>
      </x:c>
      <x:c r="D105" s="37" t="str">
        <x:v>補綴／自費</x:v>
      </x:c>
      <x:c r="E105" s="37" t="str">
        <x:v>RPD</x:v>
      </x:c>
      <x:c r="F105" s="37" t="str">
        <x:v>一般步驟</x:v>
      </x:c>
      <x:c r="G105" s="37" t="str">
        <x:v>一般</x:v>
      </x:c>
      <x:c r="H105" s="37" t="str">
        <x:v>LJT-PREP-RPD</x:v>
      </x:c>
      <x:c r="I105" s="48" t="n">
        <x:f>COUNTIFS('適配要求展開'!$A$7:$A$734,$A105,'適配要求展開'!$C$7:$C$734,$C105)</x:f>
        <x:v>4</x:v>
      </x:c>
      <x:c r="J105" s="48" t="n">
        <x:f>COUNTIFS('適配要求展開'!$A$7:$A$734,$A105,'適配要求展開'!$C$7:$C$734,$C105,'適配要求展開'!$I$7:$I$734,"待確認")</x:f>
        <x:v>3</x:v>
      </x:c>
      <x:c r="K105" s="48" t="n">
        <x:f>COUNTIFS('適配要求展開'!$A$7:$A$734,$A105,'適配要求展開'!$C$7:$C$734,$C105,'適配要求展開'!$N$7:$N$734,"不符合")</x:f>
        <x:v>0</x:v>
      </x:c>
      <x:c r="L105" s="48" t="n">
        <x:f>COUNTIFS('適配要求展開'!$A$7:$A$734,$A105,'適配要求展開'!$C$7:$C$734,$C105,'適配要求展開'!$L$7:$L$734,"Ø")</x:f>
        <x:v>2</x:v>
      </x:c>
      <x:c r="M105" s="51" t="n">
        <x:f>IF($I105=0,"n.a.",$L105/$I105)</x:f>
        <x:v>0.5</x:v>
      </x:c>
      <x:c r="N105" s="48" t="str">
        <x:f>_xlfn.XLOOKUP($A105&amp;"|李侑津醫師",'試行熟悉度'!$K$7:$K$20,'試行熟悉度'!$E$7:$E$20,"未評估",0)</x:f>
        <x:v>可配合但需支援</x:v>
      </x:c>
      <x:c r="O105" s="48" t="str">
        <x:f>IF(OR(COUNTIFS('適配要求展開'!$A$7:$A$734,$A105,'適配要求展開'!$C$7:$C$734,$C105,'適配要求展開'!$M$7:$M$734,"&lt;&gt;已核定")&gt;0,_xlfn.XLOOKUP($A105&amp;"|李侑津醫師",'試行熟悉度'!$K$7:$K$20,'試行熟悉度'!$F$7:$F$20,"未建立",0)&lt;&gt;"已核定"),"待主管核定","已核定")</x:f>
        <x:v>待主管核定</x:v>
      </x:c>
      <x:c r="P105" s="48" t="str">
        <x:f>IF($C105="LJT-RPD-FINAL","支援者另判",IF($G105="高複雜度",_xlfn.XLOOKUP($A105&amp;"|"&amp;$H105,'資格有效性'!$L$7:$L$62,'資格有效性'!$E$7:$E$62,"未建立",0),"不需複評"))</x:f>
        <x:v>不需複評</x:v>
      </x:c>
      <x:c r="Q105" s="48" t="n">
        <x:v>0</x:v>
      </x:c>
      <x:c r="R105" s="48"/>
      <x:c r="S105" s="48" t="str">
        <x:f>IF($K105&gt;0,"不可正式排",IF(OR($N105="未評估",$N105="學習中"),"不可正式排",IF(AND($L105=0,$N105="可獨立配合"),"初步可獨立",IF(AND($L105&lt;=3,$M105&lt;=1/3,OR($N105="可獨立配合",$N105="可配合但需支援")),"初步可條件排","不可正式排"))))</x:f>
        <x:v>不可正式排</x:v>
      </x:c>
      <x:c r="T105" s="53" t="str">
        <x:f>IF($C105="LJT-RPD-FINAL","固定短時支援 1 人／30 分鐘",IF($S105="初步可條件排",IF($G105="高複雜度","完整支援者 1:1（占 2 名額）","一般支援 1 名額"),"無"))</x:f>
        <x:v>無</x:v>
      </x:c>
      <x:c r="U105" s="53" t="str">
        <x:f>IF($J105&gt;0,"待確認共通技能門檻",IF($O105&lt;&gt;"已核定","待主管核定",IF(AND($G105="高複雜度",$P105&lt;&gt;"有效"),"資格未有效",$S105)))</x:f>
        <x:v>待確認共通技能門檻</x:v>
      </x:c>
      <x:c r="V105" t="str">
        <x:f>$A105&amp;"|"&amp;$C105</x:f>
        <x:v>1027|LJT-RPD</x:v>
      </x:c>
    </x:row>
    <x:row r="106">
      <x:c r="A106" s="37" t="str">
        <x:v>1027</x:v>
      </x:c>
      <x:c r="B106" s="37" t="str"/>
      <x:c r="C106" s="37" t="str">
        <x:v>LJT-RPD-FINAL</x:v>
      </x:c>
      <x:c r="D106" s="37" t="str">
        <x:v>補綴／自費</x:v>
      </x:c>
      <x:c r="E106" s="37" t="str">
        <x:v>RPD</x:v>
      </x:c>
      <x:c r="F106" s="37" t="str">
        <x:v>印最終模</x:v>
      </x:c>
      <x:c r="G106" s="37" t="str">
        <x:v>特殊階段</x:v>
      </x:c>
      <x:c r="H106" s="37" t="str">
        <x:v>LJT-PREP-RPD</x:v>
      </x:c>
      <x:c r="I106" s="48" t="n">
        <x:f>COUNTIFS('適配要求展開'!$A$7:$A$734,$A106,'適配要求展開'!$C$7:$C$734,$C106)</x:f>
        <x:v>4</x:v>
      </x:c>
      <x:c r="J106" s="48" t="n">
        <x:f>COUNTIFS('適配要求展開'!$A$7:$A$734,$A106,'適配要求展開'!$C$7:$C$734,$C106,'適配要求展開'!$I$7:$I$734,"待確認")</x:f>
        <x:v>3</x:v>
      </x:c>
      <x:c r="K106" s="48" t="n">
        <x:f>COUNTIFS('適配要求展開'!$A$7:$A$734,$A106,'適配要求展開'!$C$7:$C$734,$C106,'適配要求展開'!$N$7:$N$734,"不符合")</x:f>
        <x:v>0</x:v>
      </x:c>
      <x:c r="L106" s="48" t="n">
        <x:f>COUNTIFS('適配要求展開'!$A$7:$A$734,$A106,'適配要求展開'!$C$7:$C$734,$C106,'適配要求展開'!$L$7:$L$734,"Ø")</x:f>
        <x:v>2</x:v>
      </x:c>
      <x:c r="M106" s="51" t="n">
        <x:f>IF($I106=0,"n.a.",$L106/$I106)</x:f>
        <x:v>0.5</x:v>
      </x:c>
      <x:c r="N106" s="48" t="str">
        <x:f>_xlfn.XLOOKUP($A106&amp;"|李侑津醫師",'試行熟悉度'!$K$7:$K$20,'試行熟悉度'!$E$7:$E$20,"未評估",0)</x:f>
        <x:v>可配合但需支援</x:v>
      </x:c>
      <x:c r="O106" s="48" t="str">
        <x:f>IF(OR(COUNTIFS('適配要求展開'!$A$7:$A$734,$A106,'適配要求展開'!$C$7:$C$734,$C106,'適配要求展開'!$M$7:$M$734,"&lt;&gt;已核定")&gt;0,_xlfn.XLOOKUP($A106&amp;"|李侑津醫師",'試行熟悉度'!$K$7:$K$20,'試行熟悉度'!$F$7:$F$20,"未建立",0)&lt;&gt;"已核定"),"待主管核定","已核定")</x:f>
        <x:v>待主管核定</x:v>
      </x:c>
      <x:c r="P106" s="48" t="str">
        <x:f>IF($C106="LJT-RPD-FINAL","支援者另判",IF($G106="高複雜度",_xlfn.XLOOKUP($A106&amp;"|"&amp;$H106,'資格有效性'!$L$7:$L$62,'資格有效性'!$E$7:$E$62,"未建立",0),"不需複評"))</x:f>
        <x:v>支援者另判</x:v>
      </x:c>
      <x:c r="Q106" s="48" t="n">
        <x:v>1</x:v>
      </x:c>
      <x:c r="R106" s="48" t="n">
        <x:v>30</x:v>
      </x:c>
      <x:c r="S106" s="48" t="str">
        <x:f>IF($K106&gt;0,"不可正式排",IF(OR($N106="未評估",$N106="學習中"),"不可正式排",IF(AND($L106=0,$N106="可獨立配合"),"初步可獨立",IF(AND($L106&lt;=3,$M106&lt;=1/3,OR($N106="可獨立配合",$N106="可配合但需支援")),"初步可條件排","不可正式排"))))</x:f>
        <x:v>不可正式排</x:v>
      </x:c>
      <x:c r="T106" s="53" t="str">
        <x:f>IF($C106="LJT-RPD-FINAL","固定短時支援 1 人／30 分鐘",IF($S106="初步可條件排",IF($G106="高複雜度","完整支援者 1:1（占 2 名額）","一般支援 1 名額"),"無"))</x:f>
        <x:v>固定短時支援 1 人／30 分鐘</x:v>
      </x:c>
      <x:c r="U106" s="53" t="str">
        <x:f>IF($J106&gt;0,"待確認共通技能門檻",IF($O106&lt;&gt;"已核定","待主管核定",IF(AND($G106="高複雜度",$P106&lt;&gt;"有效"),"資格未有效",$S106)))</x:f>
        <x:v>待確認共通技能門檻</x:v>
      </x:c>
      <x:c r="V106" t="str">
        <x:f>$A106&amp;"|"&amp;$C106</x:f>
        <x:v>1027|LJT-RPD-FINAL</x:v>
      </x:c>
    </x:row>
    <x:row r="107">
      <x:c r="A107" s="37" t="str">
        <x:v>1027</x:v>
      </x:c>
      <x:c r="B107" s="37" t="str"/>
      <x:c r="C107" s="37" t="str">
        <x:v>LJT-AIRPOLISH</x:v>
      </x:c>
      <x:c r="D107" s="37" t="str">
        <x:v>補綴／自費</x:v>
      </x:c>
      <x:c r="E107" s="37" t="str">
        <x:v>噴砂美白</x:v>
      </x:c>
      <x:c r="F107" s="37" t="str">
        <x:v>一般</x:v>
      </x:c>
      <x:c r="G107" s="37" t="str">
        <x:v>一般</x:v>
      </x:c>
      <x:c r="H107" s="37" t="str">
        <x:v>LJT-PREP-AIRPOLISH</x:v>
      </x:c>
      <x:c r="I107" s="48" t="n">
        <x:f>COUNTIFS('適配要求展開'!$A$7:$A$734,$A107,'適配要求展開'!$C$7:$C$734,$C107)</x:f>
        <x:v>4</x:v>
      </x:c>
      <x:c r="J107" s="48" t="n">
        <x:f>COUNTIFS('適配要求展開'!$A$7:$A$734,$A107,'適配要求展開'!$C$7:$C$734,$C107,'適配要求展開'!$I$7:$I$734,"待確認")</x:f>
        <x:v>3</x:v>
      </x:c>
      <x:c r="K107" s="48" t="n">
        <x:f>COUNTIFS('適配要求展開'!$A$7:$A$734,$A107,'適配要求展開'!$C$7:$C$734,$C107,'適配要求展開'!$N$7:$N$734,"不符合")</x:f>
        <x:v>1</x:v>
      </x:c>
      <x:c r="L107" s="48" t="n">
        <x:f>COUNTIFS('適配要求展開'!$A$7:$A$734,$A107,'適配要求展開'!$C$7:$C$734,$C107,'適配要求展開'!$L$7:$L$734,"Ø")</x:f>
        <x:v>1</x:v>
      </x:c>
      <x:c r="M107" s="51" t="n">
        <x:f>IF($I107=0,"n.a.",$L107/$I107)</x:f>
        <x:v>0.25</x:v>
      </x:c>
      <x:c r="N107" s="48" t="str">
        <x:f>_xlfn.XLOOKUP($A107&amp;"|李侑津醫師",'試行熟悉度'!$K$7:$K$20,'試行熟悉度'!$E$7:$E$20,"未評估",0)</x:f>
        <x:v>可配合但需支援</x:v>
      </x:c>
      <x:c r="O107" s="48" t="str">
        <x:f>IF(OR(COUNTIFS('適配要求展開'!$A$7:$A$734,$A107,'適配要求展開'!$C$7:$C$734,$C107,'適配要求展開'!$M$7:$M$734,"&lt;&gt;已核定")&gt;0,_xlfn.XLOOKUP($A107&amp;"|李侑津醫師",'試行熟悉度'!$K$7:$K$20,'試行熟悉度'!$F$7:$F$20,"未建立",0)&lt;&gt;"已核定"),"待主管核定","已核定")</x:f>
        <x:v>待主管核定</x:v>
      </x:c>
      <x:c r="P107" s="48" t="str">
        <x:f>IF($C107="LJT-RPD-FINAL","支援者另判",IF($G107="高複雜度",_xlfn.XLOOKUP($A107&amp;"|"&amp;$H107,'資格有效性'!$L$7:$L$62,'資格有效性'!$E$7:$E$62,"未建立",0),"不需複評"))</x:f>
        <x:v>不需複評</x:v>
      </x:c>
      <x:c r="Q107" s="48" t="n">
        <x:v>0</x:v>
      </x:c>
      <x:c r="R107" s="48"/>
      <x:c r="S107" s="48" t="str">
        <x:f>IF($K107&gt;0,"不可正式排",IF(OR($N107="未評估",$N107="學習中"),"不可正式排",IF(AND($L107=0,$N107="可獨立配合"),"初步可獨立",IF(AND($L107&lt;=3,$M107&lt;=1/3,OR($N107="可獨立配合",$N107="可配合但需支援")),"初步可條件排","不可正式排"))))</x:f>
        <x:v>不可正式排</x:v>
      </x:c>
      <x:c r="T107" s="53" t="str">
        <x:f>IF($C107="LJT-RPD-FINAL","固定短時支援 1 人／30 分鐘",IF($S107="初步可條件排",IF($G107="高複雜度","完整支援者 1:1（占 2 名額）","一般支援 1 名額"),"無"))</x:f>
        <x:v>無</x:v>
      </x:c>
      <x:c r="U107" s="53" t="str">
        <x:f>IF($J107&gt;0,"待確認共通技能門檻",IF($O107&lt;&gt;"已核定","待主管核定",IF(AND($G107="高複雜度",$P107&lt;&gt;"有效"),"資格未有效",$S107)))</x:f>
        <x:v>待確認共通技能門檻</x:v>
      </x:c>
      <x:c r="V107" t="str">
        <x:f>$A107&amp;"|"&amp;$C107</x:f>
        <x:v>1027|LJT-AIRPOLISH</x:v>
      </x:c>
    </x:row>
    <x:row r="108">
      <x:c r="A108" s="37" t="str">
        <x:v>1027</x:v>
      </x:c>
      <x:c r="B108" s="37" t="str"/>
      <x:c r="C108" s="37" t="str">
        <x:v>LJT-PERIOSURG</x:v>
      </x:c>
      <x:c r="D108" s="37" t="str">
        <x:v>高複雜度</x:v>
      </x:c>
      <x:c r="E108" s="37" t="str">
        <x:v>牙周手術</x:v>
      </x:c>
      <x:c r="F108" s="37" t="str">
        <x:v>一般</x:v>
      </x:c>
      <x:c r="G108" s="37" t="str">
        <x:v>高複雜度</x:v>
      </x:c>
      <x:c r="H108" s="37" t="str">
        <x:v>LJT-PREP-PERIOSURG</x:v>
      </x:c>
      <x:c r="I108" s="48" t="n">
        <x:f>COUNTIFS('適配要求展開'!$A$7:$A$734,$A108,'適配要求展開'!$C$7:$C$734,$C108)</x:f>
        <x:v>4</x:v>
      </x:c>
      <x:c r="J108" s="48" t="n">
        <x:f>COUNTIFS('適配要求展開'!$A$7:$A$734,$A108,'適配要求展開'!$C$7:$C$734,$C108,'適配要求展開'!$I$7:$I$734,"待確認")</x:f>
        <x:v>3</x:v>
      </x:c>
      <x:c r="K108" s="48" t="n">
        <x:f>COUNTIFS('適配要求展開'!$A$7:$A$734,$A108,'適配要求展開'!$C$7:$C$734,$C108,'適配要求展開'!$N$7:$N$734,"不符合")</x:f>
        <x:v>0</x:v>
      </x:c>
      <x:c r="L108" s="48" t="n">
        <x:f>COUNTIFS('適配要求展開'!$A$7:$A$734,$A108,'適配要求展開'!$C$7:$C$734,$C108,'適配要求展開'!$L$7:$L$734,"Ø")</x:f>
        <x:v>2</x:v>
      </x:c>
      <x:c r="M108" s="51" t="n">
        <x:f>IF($I108=0,"n.a.",$L108/$I108)</x:f>
        <x:v>0.5</x:v>
      </x:c>
      <x:c r="N108" s="48" t="str">
        <x:f>_xlfn.XLOOKUP($A108&amp;"|李侑津醫師",'試行熟悉度'!$K$7:$K$20,'試行熟悉度'!$E$7:$E$20,"未評估",0)</x:f>
        <x:v>可配合但需支援</x:v>
      </x:c>
      <x:c r="O108" s="48" t="str">
        <x:f>IF(OR(COUNTIFS('適配要求展開'!$A$7:$A$734,$A108,'適配要求展開'!$C$7:$C$734,$C108,'適配要求展開'!$M$7:$M$734,"&lt;&gt;已核定")&gt;0,_xlfn.XLOOKUP($A108&amp;"|李侑津醫師",'試行熟悉度'!$K$7:$K$20,'試行熟悉度'!$F$7:$F$20,"未建立",0)&lt;&gt;"已核定"),"待主管核定","已核定")</x:f>
        <x:v>待主管核定</x:v>
      </x:c>
      <x:c r="P108" s="48" t="str">
        <x:f>IF($C108="LJT-RPD-FINAL","支援者另判",IF($G108="高複雜度",_xlfn.XLOOKUP($A108&amp;"|"&amp;$H108,'資格有效性'!$L$7:$L$62,'資格有效性'!$E$7:$E$62,"未建立",0),"不需複評"))</x:f>
        <x:v>待主管核定</x:v>
      </x:c>
      <x:c r="Q108" s="48" t="n">
        <x:v>0</x:v>
      </x:c>
      <x:c r="R108" s="48"/>
      <x:c r="S108" s="48" t="str">
        <x:f>IF($K108&gt;0,"不可正式排",IF(OR($N108="未評估",$N108="學習中"),"不可正式排",IF(AND($L108=0,$N108="可獨立配合"),"初步可獨立",IF(AND($L108&lt;=3,$M108&lt;=1/3,OR($N108="可獨立配合",$N108="可配合但需支援")),"初步可條件排","不可正式排"))))</x:f>
        <x:v>不可正式排</x:v>
      </x:c>
      <x:c r="T108" s="53" t="str">
        <x:f>IF($C108="LJT-RPD-FINAL","固定短時支援 1 人／30 分鐘",IF($S108="初步可條件排",IF($G108="高複雜度","完整支援者 1:1（占 2 名額）","一般支援 1 名額"),"無"))</x:f>
        <x:v>無</x:v>
      </x:c>
      <x:c r="U108" s="53" t="str">
        <x:f>IF($J108&gt;0,"待確認共通技能門檻",IF($O108&lt;&gt;"已核定","待主管核定",IF(AND($G108="高複雜度",$P108&lt;&gt;"有效"),"資格未有效",$S108)))</x:f>
        <x:v>待確認共通技能門檻</x:v>
      </x:c>
      <x:c r="V108" t="str">
        <x:f>$A108&amp;"|"&amp;$C108</x:f>
        <x:v>1027|LJT-PERIOSURG</x:v>
      </x:c>
    </x:row>
    <x:row r="109">
      <x:c r="A109" s="37" t="str">
        <x:v>1027</x:v>
      </x:c>
      <x:c r="B109" s="37" t="str"/>
      <x:c r="C109" s="37" t="str">
        <x:v>LJT-MICROENDO</x:v>
      </x:c>
      <x:c r="D109" s="37" t="str">
        <x:v>高複雜度</x:v>
      </x:c>
      <x:c r="E109" s="37" t="str">
        <x:v>顯微根管</x:v>
      </x:c>
      <x:c r="F109" s="37" t="str">
        <x:v>一般</x:v>
      </x:c>
      <x:c r="G109" s="37" t="str">
        <x:v>高複雜度</x:v>
      </x:c>
      <x:c r="H109" s="37" t="str">
        <x:v>LJT-PREP-MICROENDO</x:v>
      </x:c>
      <x:c r="I109" s="48" t="n">
        <x:f>COUNTIFS('適配要求展開'!$A$7:$A$734,$A109,'適配要求展開'!$C$7:$C$734,$C109)</x:f>
        <x:v>4</x:v>
      </x:c>
      <x:c r="J109" s="48" t="n">
        <x:f>COUNTIFS('適配要求展開'!$A$7:$A$734,$A109,'適配要求展開'!$C$7:$C$734,$C109,'適配要求展開'!$I$7:$I$734,"待確認")</x:f>
        <x:v>3</x:v>
      </x:c>
      <x:c r="K109" s="48" t="n">
        <x:f>COUNTIFS('適配要求展開'!$A$7:$A$734,$A109,'適配要求展開'!$C$7:$C$734,$C109,'適配要求展開'!$N$7:$N$734,"不符合")</x:f>
        <x:v>1</x:v>
      </x:c>
      <x:c r="L109" s="48" t="n">
        <x:f>COUNTIFS('適配要求展開'!$A$7:$A$734,$A109,'適配要求展開'!$C$7:$C$734,$C109,'適配要求展開'!$L$7:$L$734,"Ø")</x:f>
        <x:v>1</x:v>
      </x:c>
      <x:c r="M109" s="51" t="n">
        <x:f>IF($I109=0,"n.a.",$L109/$I109)</x:f>
        <x:v>0.25</x:v>
      </x:c>
      <x:c r="N109" s="48" t="str">
        <x:f>_xlfn.XLOOKUP($A109&amp;"|李侑津醫師",'試行熟悉度'!$K$7:$K$20,'試行熟悉度'!$E$7:$E$20,"未評估",0)</x:f>
        <x:v>可配合但需支援</x:v>
      </x:c>
      <x:c r="O109" s="48" t="str">
        <x:f>IF(OR(COUNTIFS('適配要求展開'!$A$7:$A$734,$A109,'適配要求展開'!$C$7:$C$734,$C109,'適配要求展開'!$M$7:$M$734,"&lt;&gt;已核定")&gt;0,_xlfn.XLOOKUP($A109&amp;"|李侑津醫師",'試行熟悉度'!$K$7:$K$20,'試行熟悉度'!$F$7:$F$20,"未建立",0)&lt;&gt;"已核定"),"待主管核定","已核定")</x:f>
        <x:v>待主管核定</x:v>
      </x:c>
      <x:c r="P109" s="48" t="str">
        <x:f>IF($C109="LJT-RPD-FINAL","支援者另判",IF($G109="高複雜度",_xlfn.XLOOKUP($A109&amp;"|"&amp;$H109,'資格有效性'!$L$7:$L$62,'資格有效性'!$E$7:$E$62,"未建立",0),"不需複評"))</x:f>
        <x:v>待主管核定</x:v>
      </x:c>
      <x:c r="Q109" s="48" t="n">
        <x:v>0</x:v>
      </x:c>
      <x:c r="R109" s="48"/>
      <x:c r="S109" s="48" t="str">
        <x:f>IF($K109&gt;0,"不可正式排",IF(OR($N109="未評估",$N109="學習中"),"不可正式排",IF(AND($L109=0,$N109="可獨立配合"),"初步可獨立",IF(AND($L109&lt;=3,$M109&lt;=1/3,OR($N109="可獨立配合",$N109="可配合但需支援")),"初步可條件排","不可正式排"))))</x:f>
        <x:v>不可正式排</x:v>
      </x:c>
      <x:c r="T109" s="53" t="str">
        <x:f>IF($C109="LJT-RPD-FINAL","固定短時支援 1 人／30 分鐘",IF($S109="初步可條件排",IF($G109="高複雜度","完整支援者 1:1（占 2 名額）","一般支援 1 名額"),"無"))</x:f>
        <x:v>無</x:v>
      </x:c>
      <x:c r="U109" s="53" t="str">
        <x:f>IF($J109&gt;0,"待確認共通技能門檻",IF($O109&lt;&gt;"已核定","待主管核定",IF(AND($G109="高複雜度",$P109&lt;&gt;"有效"),"資格未有效",$S109)))</x:f>
        <x:v>待確認共通技能門檻</x:v>
      </x:c>
      <x:c r="V109" t="str">
        <x:f>$A109&amp;"|"&amp;$C109</x:f>
        <x:v>1027|LJT-MICROENDO</x:v>
      </x:c>
    </x:row>
    <x:row r="110">
      <x:c r="A110" s="37" t="str">
        <x:v>1027</x:v>
      </x:c>
      <x:c r="B110" s="37" t="str"/>
      <x:c r="C110" s="37" t="str">
        <x:v>LJT-IMPLANT</x:v>
      </x:c>
      <x:c r="D110" s="37" t="str">
        <x:v>高複雜度</x:v>
      </x:c>
      <x:c r="E110" s="37" t="str">
        <x:v>植牙</x:v>
      </x:c>
      <x:c r="F110" s="37" t="str">
        <x:v>一般</x:v>
      </x:c>
      <x:c r="G110" s="37" t="str">
        <x:v>高複雜度</x:v>
      </x:c>
      <x:c r="H110" s="37" t="str">
        <x:v>LJT-PREP-IMPLANT</x:v>
      </x:c>
      <x:c r="I110" s="48" t="n">
        <x:f>COUNTIFS('適配要求展開'!$A$7:$A$734,$A110,'適配要求展開'!$C$7:$C$734,$C110)</x:f>
        <x:v>4</x:v>
      </x:c>
      <x:c r="J110" s="48" t="n">
        <x:f>COUNTIFS('適配要求展開'!$A$7:$A$734,$A110,'適配要求展開'!$C$7:$C$734,$C110,'適配要求展開'!$I$7:$I$734,"待確認")</x:f>
        <x:v>3</x:v>
      </x:c>
      <x:c r="K110" s="48" t="n">
        <x:f>COUNTIFS('適配要求展開'!$A$7:$A$734,$A110,'適配要求展開'!$C$7:$C$734,$C110,'適配要求展開'!$N$7:$N$734,"不符合")</x:f>
        <x:v>0</x:v>
      </x:c>
      <x:c r="L110" s="48" t="n">
        <x:f>COUNTIFS('適配要求展開'!$A$7:$A$734,$A110,'適配要求展開'!$C$7:$C$734,$C110,'適配要求展開'!$L$7:$L$734,"Ø")</x:f>
        <x:v>2</x:v>
      </x:c>
      <x:c r="M110" s="51" t="n">
        <x:f>IF($I110=0,"n.a.",$L110/$I110)</x:f>
        <x:v>0.5</x:v>
      </x:c>
      <x:c r="N110" s="48" t="str">
        <x:f>_xlfn.XLOOKUP($A110&amp;"|李侑津醫師",'試行熟悉度'!$K$7:$K$20,'試行熟悉度'!$E$7:$E$20,"未評估",0)</x:f>
        <x:v>可配合但需支援</x:v>
      </x:c>
      <x:c r="O110" s="48" t="str">
        <x:f>IF(OR(COUNTIFS('適配要求展開'!$A$7:$A$734,$A110,'適配要求展開'!$C$7:$C$734,$C110,'適配要求展開'!$M$7:$M$734,"&lt;&gt;已核定")&gt;0,_xlfn.XLOOKUP($A110&amp;"|李侑津醫師",'試行熟悉度'!$K$7:$K$20,'試行熟悉度'!$F$7:$F$20,"未建立",0)&lt;&gt;"已核定"),"待主管核定","已核定")</x:f>
        <x:v>待主管核定</x:v>
      </x:c>
      <x:c r="P110" s="48" t="str">
        <x:f>IF($C110="LJT-RPD-FINAL","支援者另判",IF($G110="高複雜度",_xlfn.XLOOKUP($A110&amp;"|"&amp;$H110,'資格有效性'!$L$7:$L$62,'資格有效性'!$E$7:$E$62,"未建立",0),"不需複評"))</x:f>
        <x:v>待主管核定</x:v>
      </x:c>
      <x:c r="Q110" s="48" t="n">
        <x:v>0</x:v>
      </x:c>
      <x:c r="R110" s="48"/>
      <x:c r="S110" s="48" t="str">
        <x:f>IF($K110&gt;0,"不可正式排",IF(OR($N110="未評估",$N110="學習中"),"不可正式排",IF(AND($L110=0,$N110="可獨立配合"),"初步可獨立",IF(AND($L110&lt;=3,$M110&lt;=1/3,OR($N110="可獨立配合",$N110="可配合但需支援")),"初步可條件排","不可正式排"))))</x:f>
        <x:v>不可正式排</x:v>
      </x:c>
      <x:c r="T110" s="53" t="str">
        <x:f>IF($C110="LJT-RPD-FINAL","固定短時支援 1 人／30 分鐘",IF($S110="初步可條件排",IF($G110="高複雜度","完整支援者 1:1（占 2 名額）","一般支援 1 名額"),"無"))</x:f>
        <x:v>無</x:v>
      </x:c>
      <x:c r="U110" s="53" t="str">
        <x:f>IF($J110&gt;0,"待確認共通技能門檻",IF($O110&lt;&gt;"已核定","待主管核定",IF(AND($G110="高複雜度",$P110&lt;&gt;"有效"),"資格未有效",$S110)))</x:f>
        <x:v>待確認共通技能門檻</x:v>
      </x:c>
      <x:c r="V110" t="str">
        <x:f>$A110&amp;"|"&amp;$C110</x:f>
        <x:v>1027|LJT-IMPLANT</x:v>
      </x:c>
    </x:row>
    <x:row r="111">
      <x:c r="A111" s="37" t="str">
        <x:v>1028</x:v>
      </x:c>
      <x:c r="B111" s="37" t="str"/>
      <x:c r="C111" s="37" t="str">
        <x:v>LJT-SCALING</x:v>
      </x:c>
      <x:c r="D111" s="37" t="str">
        <x:v>一般治療</x:v>
      </x:c>
      <x:c r="E111" s="37" t="str">
        <x:v>洗牙</x:v>
      </x:c>
      <x:c r="F111" s="37" t="str">
        <x:v>一般</x:v>
      </x:c>
      <x:c r="G111" s="37" t="str">
        <x:v>一般</x:v>
      </x:c>
      <x:c r="H111" s="37" t="str">
        <x:v>LJT-PREP-SCALING</x:v>
      </x:c>
      <x:c r="I111" s="48" t="n">
        <x:f>COUNTIFS('適配要求展開'!$A$7:$A$734,$A111,'適配要求展開'!$C$7:$C$734,$C111)</x:f>
        <x:v>4</x:v>
      </x:c>
      <x:c r="J111" s="48" t="n">
        <x:f>COUNTIFS('適配要求展開'!$A$7:$A$734,$A111,'適配要求展開'!$C$7:$C$734,$C111,'適配要求展開'!$I$7:$I$734,"待確認")</x:f>
        <x:v>3</x:v>
      </x:c>
      <x:c r="K111" s="48" t="n">
        <x:f>COUNTIFS('適配要求展開'!$A$7:$A$734,$A111,'適配要求展開'!$C$7:$C$734,$C111,'適配要求展開'!$N$7:$N$734,"不符合")</x:f>
        <x:v>4</x:v>
      </x:c>
      <x:c r="L111" s="48" t="n">
        <x:f>COUNTIFS('適配要求展開'!$A$7:$A$734,$A111,'適配要求展開'!$C$7:$C$734,$C111,'適配要求展開'!$L$7:$L$734,"Ø")</x:f>
        <x:v>0</x:v>
      </x:c>
      <x:c r="M111" s="51" t="n">
        <x:f>IF($I111=0,"n.a.",$L111/$I111)</x:f>
        <x:v>0</x:v>
      </x:c>
      <x:c r="N111" s="48" t="str">
        <x:f>_xlfn.XLOOKUP($A111&amp;"|李侑津醫師",'試行熟悉度'!$K$7:$K$20,'試行熟悉度'!$E$7:$E$20,"未評估",0)</x:f>
        <x:v>學習中</x:v>
      </x:c>
      <x:c r="O111" s="48" t="str">
        <x:f>IF(OR(COUNTIFS('適配要求展開'!$A$7:$A$734,$A111,'適配要求展開'!$C$7:$C$734,$C111,'適配要求展開'!$M$7:$M$734,"&lt;&gt;已核定")&gt;0,_xlfn.XLOOKUP($A111&amp;"|李侑津醫師",'試行熟悉度'!$K$7:$K$20,'試行熟悉度'!$F$7:$F$20,"未建立",0)&lt;&gt;"已核定"),"待主管核定","已核定")</x:f>
        <x:v>待主管核定</x:v>
      </x:c>
      <x:c r="P111" s="48" t="str">
        <x:f>IF($C111="LJT-RPD-FINAL","支援者另判",IF($G111="高複雜度",_xlfn.XLOOKUP($A111&amp;"|"&amp;$H111,'資格有效性'!$L$7:$L$62,'資格有效性'!$E$7:$E$62,"未建立",0),"不需複評"))</x:f>
        <x:v>不需複評</x:v>
      </x:c>
      <x:c r="Q111" s="48" t="n">
        <x:v>0</x:v>
      </x:c>
      <x:c r="R111" s="48"/>
      <x:c r="S111" s="48" t="str">
        <x:f>IF($K111&gt;0,"不可正式排",IF(OR($N111="未評估",$N111="學習中"),"不可正式排",IF(AND($L111=0,$N111="可獨立配合"),"初步可獨立",IF(AND($L111&lt;=3,$M111&lt;=1/3,OR($N111="可獨立配合",$N111="可配合但需支援")),"初步可條件排","不可正式排"))))</x:f>
        <x:v>不可正式排</x:v>
      </x:c>
      <x:c r="T111" s="53" t="str">
        <x:f>IF($C111="LJT-RPD-FINAL","固定短時支援 1 人／30 分鐘",IF($S111="初步可條件排",IF($G111="高複雜度","完整支援者 1:1（占 2 名額）","一般支援 1 名額"),"無"))</x:f>
        <x:v>無</x:v>
      </x:c>
      <x:c r="U111" s="53" t="str">
        <x:f>IF($J111&gt;0,"待確認共通技能門檻",IF($O111&lt;&gt;"已核定","待主管核定",IF(AND($G111="高複雜度",$P111&lt;&gt;"有效"),"資格未有效",$S111)))</x:f>
        <x:v>待確認共通技能門檻</x:v>
      </x:c>
      <x:c r="V111" t="str">
        <x:f>$A111&amp;"|"&amp;$C111</x:f>
        <x:v>1028|LJT-SCALING</x:v>
      </x:c>
    </x:row>
    <x:row r="112">
      <x:c r="A112" s="37" t="str">
        <x:v>1028</x:v>
      </x:c>
      <x:c r="B112" s="37" t="str"/>
      <x:c r="C112" s="37" t="str">
        <x:v>LJT-FILLING</x:v>
      </x:c>
      <x:c r="D112" s="37" t="str">
        <x:v>一般治療</x:v>
      </x:c>
      <x:c r="E112" s="37" t="str">
        <x:v>補牙</x:v>
      </x:c>
      <x:c r="F112" s="37" t="str">
        <x:v>一般</x:v>
      </x:c>
      <x:c r="G112" s="37" t="str">
        <x:v>一般</x:v>
      </x:c>
      <x:c r="H112" s="37" t="str">
        <x:v>LJT-PREP-FILLING</x:v>
      </x:c>
      <x:c r="I112" s="48" t="n">
        <x:f>COUNTIFS('適配要求展開'!$A$7:$A$734,$A112,'適配要求展開'!$C$7:$C$734,$C112)</x:f>
        <x:v>4</x:v>
      </x:c>
      <x:c r="J112" s="48" t="n">
        <x:f>COUNTIFS('適配要求展開'!$A$7:$A$734,$A112,'適配要求展開'!$C$7:$C$734,$C112,'適配要求展開'!$I$7:$I$734,"待確認")</x:f>
        <x:v>3</x:v>
      </x:c>
      <x:c r="K112" s="48" t="n">
        <x:f>COUNTIFS('適配要求展開'!$A$7:$A$734,$A112,'適配要求展開'!$C$7:$C$734,$C112,'適配要求展開'!$N$7:$N$734,"不符合")</x:f>
        <x:v>4</x:v>
      </x:c>
      <x:c r="L112" s="48" t="n">
        <x:f>COUNTIFS('適配要求展開'!$A$7:$A$734,$A112,'適配要求展開'!$C$7:$C$734,$C112,'適配要求展開'!$L$7:$L$734,"Ø")</x:f>
        <x:v>0</x:v>
      </x:c>
      <x:c r="M112" s="51" t="n">
        <x:f>IF($I112=0,"n.a.",$L112/$I112)</x:f>
        <x:v>0</x:v>
      </x:c>
      <x:c r="N112" s="48" t="str">
        <x:f>_xlfn.XLOOKUP($A112&amp;"|李侑津醫師",'試行熟悉度'!$K$7:$K$20,'試行熟悉度'!$E$7:$E$20,"未評估",0)</x:f>
        <x:v>學習中</x:v>
      </x:c>
      <x:c r="O112" s="48" t="str">
        <x:f>IF(OR(COUNTIFS('適配要求展開'!$A$7:$A$734,$A112,'適配要求展開'!$C$7:$C$734,$C112,'適配要求展開'!$M$7:$M$734,"&lt;&gt;已核定")&gt;0,_xlfn.XLOOKUP($A112&amp;"|李侑津醫師",'試行熟悉度'!$K$7:$K$20,'試行熟悉度'!$F$7:$F$20,"未建立",0)&lt;&gt;"已核定"),"待主管核定","已核定")</x:f>
        <x:v>待主管核定</x:v>
      </x:c>
      <x:c r="P112" s="48" t="str">
        <x:f>IF($C112="LJT-RPD-FINAL","支援者另判",IF($G112="高複雜度",_xlfn.XLOOKUP($A112&amp;"|"&amp;$H112,'資格有效性'!$L$7:$L$62,'資格有效性'!$E$7:$E$62,"未建立",0),"不需複評"))</x:f>
        <x:v>不需複評</x:v>
      </x:c>
      <x:c r="Q112" s="48" t="n">
        <x:v>0</x:v>
      </x:c>
      <x:c r="R112" s="48"/>
      <x:c r="S112" s="48" t="str">
        <x:f>IF($K112&gt;0,"不可正式排",IF(OR($N112="未評估",$N112="學習中"),"不可正式排",IF(AND($L112=0,$N112="可獨立配合"),"初步可獨立",IF(AND($L112&lt;=3,$M112&lt;=1/3,OR($N112="可獨立配合",$N112="可配合但需支援")),"初步可條件排","不可正式排"))))</x:f>
        <x:v>不可正式排</x:v>
      </x:c>
      <x:c r="T112" s="53" t="str">
        <x:f>IF($C112="LJT-RPD-FINAL","固定短時支援 1 人／30 分鐘",IF($S112="初步可條件排",IF($G112="高複雜度","完整支援者 1:1（占 2 名額）","一般支援 1 名額"),"無"))</x:f>
        <x:v>無</x:v>
      </x:c>
      <x:c r="U112" s="53" t="str">
        <x:f>IF($J112&gt;0,"待確認共通技能門檻",IF($O112&lt;&gt;"已核定","待主管核定",IF(AND($G112="高複雜度",$P112&lt;&gt;"有效"),"資格未有效",$S112)))</x:f>
        <x:v>待確認共通技能門檻</x:v>
      </x:c>
      <x:c r="V112" t="str">
        <x:f>$A112&amp;"|"&amp;$C112</x:f>
        <x:v>1028|LJT-FILLING</x:v>
      </x:c>
    </x:row>
    <x:row r="113">
      <x:c r="A113" s="37" t="str">
        <x:v>1028</x:v>
      </x:c>
      <x:c r="B113" s="37" t="str"/>
      <x:c r="C113" s="37" t="str">
        <x:v>LJT-PERIO</x:v>
      </x:c>
      <x:c r="D113" s="37" t="str">
        <x:v>一般治療</x:v>
      </x:c>
      <x:c r="E113" s="37" t="str">
        <x:v>牙周統合</x:v>
      </x:c>
      <x:c r="F113" s="37" t="str">
        <x:v>一般</x:v>
      </x:c>
      <x:c r="G113" s="37" t="str">
        <x:v>一般</x:v>
      </x:c>
      <x:c r="H113" s="37" t="str">
        <x:v>LJT-PREP-PERIO</x:v>
      </x:c>
      <x:c r="I113" s="48" t="n">
        <x:f>COUNTIFS('適配要求展開'!$A$7:$A$734,$A113,'適配要求展開'!$C$7:$C$734,$C113)</x:f>
        <x:v>4</x:v>
      </x:c>
      <x:c r="J113" s="48" t="n">
        <x:f>COUNTIFS('適配要求展開'!$A$7:$A$734,$A113,'適配要求展開'!$C$7:$C$734,$C113,'適配要求展開'!$I$7:$I$734,"待確認")</x:f>
        <x:v>3</x:v>
      </x:c>
      <x:c r="K113" s="48" t="n">
        <x:f>COUNTIFS('適配要求展開'!$A$7:$A$734,$A113,'適配要求展開'!$C$7:$C$734,$C113,'適配要求展開'!$N$7:$N$734,"不符合")</x:f>
        <x:v>4</x:v>
      </x:c>
      <x:c r="L113" s="48" t="n">
        <x:f>COUNTIFS('適配要求展開'!$A$7:$A$734,$A113,'適配要求展開'!$C$7:$C$734,$C113,'適配要求展開'!$L$7:$L$734,"Ø")</x:f>
        <x:v>0</x:v>
      </x:c>
      <x:c r="M113" s="51" t="n">
        <x:f>IF($I113=0,"n.a.",$L113/$I113)</x:f>
        <x:v>0</x:v>
      </x:c>
      <x:c r="N113" s="48" t="str">
        <x:f>_xlfn.XLOOKUP($A113&amp;"|李侑津醫師",'試行熟悉度'!$K$7:$K$20,'試行熟悉度'!$E$7:$E$20,"未評估",0)</x:f>
        <x:v>學習中</x:v>
      </x:c>
      <x:c r="O113" s="48" t="str">
        <x:f>IF(OR(COUNTIFS('適配要求展開'!$A$7:$A$734,$A113,'適配要求展開'!$C$7:$C$734,$C113,'適配要求展開'!$M$7:$M$734,"&lt;&gt;已核定")&gt;0,_xlfn.XLOOKUP($A113&amp;"|李侑津醫師",'試行熟悉度'!$K$7:$K$20,'試行熟悉度'!$F$7:$F$20,"未建立",0)&lt;&gt;"已核定"),"待主管核定","已核定")</x:f>
        <x:v>待主管核定</x:v>
      </x:c>
      <x:c r="P113" s="48" t="str">
        <x:f>IF($C113="LJT-RPD-FINAL","支援者另判",IF($G113="高複雜度",_xlfn.XLOOKUP($A113&amp;"|"&amp;$H113,'資格有效性'!$L$7:$L$62,'資格有效性'!$E$7:$E$62,"未建立",0),"不需複評"))</x:f>
        <x:v>不需複評</x:v>
      </x:c>
      <x:c r="Q113" s="48" t="n">
        <x:v>0</x:v>
      </x:c>
      <x:c r="R113" s="48"/>
      <x:c r="S113" s="48" t="str">
        <x:f>IF($K113&gt;0,"不可正式排",IF(OR($N113="未評估",$N113="學習中"),"不可正式排",IF(AND($L113=0,$N113="可獨立配合"),"初步可獨立",IF(AND($L113&lt;=3,$M113&lt;=1/3,OR($N113="可獨立配合",$N113="可配合但需支援")),"初步可條件排","不可正式排"))))</x:f>
        <x:v>不可正式排</x:v>
      </x:c>
      <x:c r="T113" s="53" t="str">
        <x:f>IF($C113="LJT-RPD-FINAL","固定短時支援 1 人／30 分鐘",IF($S113="初步可條件排",IF($G113="高複雜度","完整支援者 1:1（占 2 名額）","一般支援 1 名額"),"無"))</x:f>
        <x:v>無</x:v>
      </x:c>
      <x:c r="U113" s="53" t="str">
        <x:f>IF($J113&gt;0,"待確認共通技能門檻",IF($O113&lt;&gt;"已核定","待主管核定",IF(AND($G113="高複雜度",$P113&lt;&gt;"有效"),"資格未有效",$S113)))</x:f>
        <x:v>待確認共通技能門檻</x:v>
      </x:c>
      <x:c r="V113" t="str">
        <x:f>$A113&amp;"|"&amp;$C113</x:f>
        <x:v>1028|LJT-PERIO</x:v>
      </x:c>
    </x:row>
    <x:row r="114">
      <x:c r="A114" s="37" t="str">
        <x:v>1028</x:v>
      </x:c>
      <x:c r="B114" s="37" t="str"/>
      <x:c r="C114" s="37" t="str">
        <x:v>LJT-RCT</x:v>
      </x:c>
      <x:c r="D114" s="37" t="str">
        <x:v>一般治療</x:v>
      </x:c>
      <x:c r="E114" s="37" t="str">
        <x:v>一般根管治療</x:v>
      </x:c>
      <x:c r="F114" s="37" t="str">
        <x:v>一般</x:v>
      </x:c>
      <x:c r="G114" s="37" t="str">
        <x:v>一般</x:v>
      </x:c>
      <x:c r="H114" s="37" t="str">
        <x:v>LJT-PREP-RCT</x:v>
      </x:c>
      <x:c r="I114" s="48" t="n">
        <x:f>COUNTIFS('適配要求展開'!$A$7:$A$734,$A114,'適配要求展開'!$C$7:$C$734,$C114)</x:f>
        <x:v>4</x:v>
      </x:c>
      <x:c r="J114" s="48" t="n">
        <x:f>COUNTIFS('適配要求展開'!$A$7:$A$734,$A114,'適配要求展開'!$C$7:$C$734,$C114,'適配要求展開'!$I$7:$I$734,"待確認")</x:f>
        <x:v>3</x:v>
      </x:c>
      <x:c r="K114" s="48" t="n">
        <x:f>COUNTIFS('適配要求展開'!$A$7:$A$734,$A114,'適配要求展開'!$C$7:$C$734,$C114,'適配要求展開'!$N$7:$N$734,"不符合")</x:f>
        <x:v>4</x:v>
      </x:c>
      <x:c r="L114" s="48" t="n">
        <x:f>COUNTIFS('適配要求展開'!$A$7:$A$734,$A114,'適配要求展開'!$C$7:$C$734,$C114,'適配要求展開'!$L$7:$L$734,"Ø")</x:f>
        <x:v>0</x:v>
      </x:c>
      <x:c r="M114" s="51" t="n">
        <x:f>IF($I114=0,"n.a.",$L114/$I114)</x:f>
        <x:v>0</x:v>
      </x:c>
      <x:c r="N114" s="48" t="str">
        <x:f>_xlfn.XLOOKUP($A114&amp;"|李侑津醫師",'試行熟悉度'!$K$7:$K$20,'試行熟悉度'!$E$7:$E$20,"未評估",0)</x:f>
        <x:v>學習中</x:v>
      </x:c>
      <x:c r="O114" s="48" t="str">
        <x:f>IF(OR(COUNTIFS('適配要求展開'!$A$7:$A$734,$A114,'適配要求展開'!$C$7:$C$734,$C114,'適配要求展開'!$M$7:$M$734,"&lt;&gt;已核定")&gt;0,_xlfn.XLOOKUP($A114&amp;"|李侑津醫師",'試行熟悉度'!$K$7:$K$20,'試行熟悉度'!$F$7:$F$20,"未建立",0)&lt;&gt;"已核定"),"待主管核定","已核定")</x:f>
        <x:v>待主管核定</x:v>
      </x:c>
      <x:c r="P114" s="48" t="str">
        <x:f>IF($C114="LJT-RPD-FINAL","支援者另判",IF($G114="高複雜度",_xlfn.XLOOKUP($A114&amp;"|"&amp;$H114,'資格有效性'!$L$7:$L$62,'資格有效性'!$E$7:$E$62,"未建立",0),"不需複評"))</x:f>
        <x:v>不需複評</x:v>
      </x:c>
      <x:c r="Q114" s="48" t="n">
        <x:v>0</x:v>
      </x:c>
      <x:c r="R114" s="48"/>
      <x:c r="S114" s="48" t="str">
        <x:f>IF($K114&gt;0,"不可正式排",IF(OR($N114="未評估",$N114="學習中"),"不可正式排",IF(AND($L114=0,$N114="可獨立配合"),"初步可獨立",IF(AND($L114&lt;=3,$M114&lt;=1/3,OR($N114="可獨立配合",$N114="可配合但需支援")),"初步可條件排","不可正式排"))))</x:f>
        <x:v>不可正式排</x:v>
      </x:c>
      <x:c r="T114" s="53" t="str">
        <x:f>IF($C114="LJT-RPD-FINAL","固定短時支援 1 人／30 分鐘",IF($S114="初步可條件排",IF($G114="高複雜度","完整支援者 1:1（占 2 名額）","一般支援 1 名額"),"無"))</x:f>
        <x:v>無</x:v>
      </x:c>
      <x:c r="U114" s="53" t="str">
        <x:f>IF($J114&gt;0,"待確認共通技能門檻",IF($O114&lt;&gt;"已核定","待主管核定",IF(AND($G114="高複雜度",$P114&lt;&gt;"有效"),"資格未有效",$S114)))</x:f>
        <x:v>待確認共通技能門檻</x:v>
      </x:c>
      <x:c r="V114" t="str">
        <x:f>$A114&amp;"|"&amp;$C114</x:f>
        <x:v>1028|LJT-RCT</x:v>
      </x:c>
    </x:row>
    <x:row r="115">
      <x:c r="A115" s="37" t="str">
        <x:v>1028</x:v>
      </x:c>
      <x:c r="B115" s="37" t="str"/>
      <x:c r="C115" s="37" t="str">
        <x:v>LJT-EXTRACTION</x:v>
      </x:c>
      <x:c r="D115" s="37" t="str">
        <x:v>一般治療</x:v>
      </x:c>
      <x:c r="E115" s="37" t="str">
        <x:v>拔牙</x:v>
      </x:c>
      <x:c r="F115" s="37" t="str">
        <x:v>一般</x:v>
      </x:c>
      <x:c r="G115" s="37" t="str">
        <x:v>一般</x:v>
      </x:c>
      <x:c r="H115" s="37" t="str">
        <x:v>LJT-PREP-EXTRACTION</x:v>
      </x:c>
      <x:c r="I115" s="48" t="n">
        <x:f>COUNTIFS('適配要求展開'!$A$7:$A$734,$A115,'適配要求展開'!$C$7:$C$734,$C115)</x:f>
        <x:v>4</x:v>
      </x:c>
      <x:c r="J115" s="48" t="n">
        <x:f>COUNTIFS('適配要求展開'!$A$7:$A$734,$A115,'適配要求展開'!$C$7:$C$734,$C115,'適配要求展開'!$I$7:$I$734,"待確認")</x:f>
        <x:v>3</x:v>
      </x:c>
      <x:c r="K115" s="48" t="n">
        <x:f>COUNTIFS('適配要求展開'!$A$7:$A$734,$A115,'適配要求展開'!$C$7:$C$734,$C115,'適配要求展開'!$N$7:$N$734,"不符合")</x:f>
        <x:v>4</x:v>
      </x:c>
      <x:c r="L115" s="48" t="n">
        <x:f>COUNTIFS('適配要求展開'!$A$7:$A$734,$A115,'適配要求展開'!$C$7:$C$734,$C115,'適配要求展開'!$L$7:$L$734,"Ø")</x:f>
        <x:v>0</x:v>
      </x:c>
      <x:c r="M115" s="51" t="n">
        <x:f>IF($I115=0,"n.a.",$L115/$I115)</x:f>
        <x:v>0</x:v>
      </x:c>
      <x:c r="N115" s="48" t="str">
        <x:f>_xlfn.XLOOKUP($A115&amp;"|李侑津醫師",'試行熟悉度'!$K$7:$K$20,'試行熟悉度'!$E$7:$E$20,"未評估",0)</x:f>
        <x:v>學習中</x:v>
      </x:c>
      <x:c r="O115" s="48" t="str">
        <x:f>IF(OR(COUNTIFS('適配要求展開'!$A$7:$A$734,$A115,'適配要求展開'!$C$7:$C$734,$C115,'適配要求展開'!$M$7:$M$734,"&lt;&gt;已核定")&gt;0,_xlfn.XLOOKUP($A115&amp;"|李侑津醫師",'試行熟悉度'!$K$7:$K$20,'試行熟悉度'!$F$7:$F$20,"未建立",0)&lt;&gt;"已核定"),"待主管核定","已核定")</x:f>
        <x:v>待主管核定</x:v>
      </x:c>
      <x:c r="P115" s="48" t="str">
        <x:f>IF($C115="LJT-RPD-FINAL","支援者另判",IF($G115="高複雜度",_xlfn.XLOOKUP($A115&amp;"|"&amp;$H115,'資格有效性'!$L$7:$L$62,'資格有效性'!$E$7:$E$62,"未建立",0),"不需複評"))</x:f>
        <x:v>不需複評</x:v>
      </x:c>
      <x:c r="Q115" s="48" t="n">
        <x:v>0</x:v>
      </x:c>
      <x:c r="R115" s="48"/>
      <x:c r="S115" s="48" t="str">
        <x:f>IF($K115&gt;0,"不可正式排",IF(OR($N115="未評估",$N115="學習中"),"不可正式排",IF(AND($L115=0,$N115="可獨立配合"),"初步可獨立",IF(AND($L115&lt;=3,$M115&lt;=1/3,OR($N115="可獨立配合",$N115="可配合但需支援")),"初步可條件排","不可正式排"))))</x:f>
        <x:v>不可正式排</x:v>
      </x:c>
      <x:c r="T115" s="53" t="str">
        <x:f>IF($C115="LJT-RPD-FINAL","固定短時支援 1 人／30 分鐘",IF($S115="初步可條件排",IF($G115="高複雜度","完整支援者 1:1（占 2 名額）","一般支援 1 名額"),"無"))</x:f>
        <x:v>無</x:v>
      </x:c>
      <x:c r="U115" s="53" t="str">
        <x:f>IF($J115&gt;0,"待確認共通技能門檻",IF($O115&lt;&gt;"已核定","待主管核定",IF(AND($G115="高複雜度",$P115&lt;&gt;"有效"),"資格未有效",$S115)))</x:f>
        <x:v>待確認共通技能門檻</x:v>
      </x:c>
      <x:c r="V115" t="str">
        <x:f>$A115&amp;"|"&amp;$C115</x:f>
        <x:v>1028|LJT-EXTRACTION</x:v>
      </x:c>
    </x:row>
    <x:row r="116">
      <x:c r="A116" s="37" t="str">
        <x:v>1028</x:v>
      </x:c>
      <x:c r="B116" s="37" t="str"/>
      <x:c r="C116" s="37" t="str">
        <x:v>LJT-CROWNPOST</x:v>
      </x:c>
      <x:c r="D116" s="37" t="str">
        <x:v>一般治療</x:v>
      </x:c>
      <x:c r="E116" s="37" t="str">
        <x:v>拆 crown/post</x:v>
      </x:c>
      <x:c r="F116" s="37" t="str">
        <x:v>一般</x:v>
      </x:c>
      <x:c r="G116" s="37" t="str">
        <x:v>一般</x:v>
      </x:c>
      <x:c r="H116" s="37" t="str">
        <x:v>LJT-PREP-CROWNPOST</x:v>
      </x:c>
      <x:c r="I116" s="48" t="n">
        <x:f>COUNTIFS('適配要求展開'!$A$7:$A$734,$A116,'適配要求展開'!$C$7:$C$734,$C116)</x:f>
        <x:v>4</x:v>
      </x:c>
      <x:c r="J116" s="48" t="n">
        <x:f>COUNTIFS('適配要求展開'!$A$7:$A$734,$A116,'適配要求展開'!$C$7:$C$734,$C116,'適配要求展開'!$I$7:$I$734,"待確認")</x:f>
        <x:v>3</x:v>
      </x:c>
      <x:c r="K116" s="48" t="n">
        <x:f>COUNTIFS('適配要求展開'!$A$7:$A$734,$A116,'適配要求展開'!$C$7:$C$734,$C116,'適配要求展開'!$N$7:$N$734,"不符合")</x:f>
        <x:v>4</x:v>
      </x:c>
      <x:c r="L116" s="48" t="n">
        <x:f>COUNTIFS('適配要求展開'!$A$7:$A$734,$A116,'適配要求展開'!$C$7:$C$734,$C116,'適配要求展開'!$L$7:$L$734,"Ø")</x:f>
        <x:v>0</x:v>
      </x:c>
      <x:c r="M116" s="51" t="n">
        <x:f>IF($I116=0,"n.a.",$L116/$I116)</x:f>
        <x:v>0</x:v>
      </x:c>
      <x:c r="N116" s="48" t="str">
        <x:f>_xlfn.XLOOKUP($A116&amp;"|李侑津醫師",'試行熟悉度'!$K$7:$K$20,'試行熟悉度'!$E$7:$E$20,"未評估",0)</x:f>
        <x:v>學習中</x:v>
      </x:c>
      <x:c r="O116" s="48" t="str">
        <x:f>IF(OR(COUNTIFS('適配要求展開'!$A$7:$A$734,$A116,'適配要求展開'!$C$7:$C$734,$C116,'適配要求展開'!$M$7:$M$734,"&lt;&gt;已核定")&gt;0,_xlfn.XLOOKUP($A116&amp;"|李侑津醫師",'試行熟悉度'!$K$7:$K$20,'試行熟悉度'!$F$7:$F$20,"未建立",0)&lt;&gt;"已核定"),"待主管核定","已核定")</x:f>
        <x:v>待主管核定</x:v>
      </x:c>
      <x:c r="P116" s="48" t="str">
        <x:f>IF($C116="LJT-RPD-FINAL","支援者另判",IF($G116="高複雜度",_xlfn.XLOOKUP($A116&amp;"|"&amp;$H116,'資格有效性'!$L$7:$L$62,'資格有效性'!$E$7:$E$62,"未建立",0),"不需複評"))</x:f>
        <x:v>不需複評</x:v>
      </x:c>
      <x:c r="Q116" s="48" t="n">
        <x:v>0</x:v>
      </x:c>
      <x:c r="R116" s="48"/>
      <x:c r="S116" s="48" t="str">
        <x:f>IF($K116&gt;0,"不可正式排",IF(OR($N116="未評估",$N116="學習中"),"不可正式排",IF(AND($L116=0,$N116="可獨立配合"),"初步可獨立",IF(AND($L116&lt;=3,$M116&lt;=1/3,OR($N116="可獨立配合",$N116="可配合但需支援")),"初步可條件排","不可正式排"))))</x:f>
        <x:v>不可正式排</x:v>
      </x:c>
      <x:c r="T116" s="53" t="str">
        <x:f>IF($C116="LJT-RPD-FINAL","固定短時支援 1 人／30 分鐘",IF($S116="初步可條件排",IF($G116="高複雜度","完整支援者 1:1（占 2 名額）","一般支援 1 名額"),"無"))</x:f>
        <x:v>無</x:v>
      </x:c>
      <x:c r="U116" s="53" t="str">
        <x:f>IF($J116&gt;0,"待確認共通技能門檻",IF($O116&lt;&gt;"已核定","待主管核定",IF(AND($G116="高複雜度",$P116&lt;&gt;"有效"),"資格未有效",$S116)))</x:f>
        <x:v>待確認共通技能門檻</x:v>
      </x:c>
      <x:c r="V116" t="str">
        <x:f>$A116&amp;"|"&amp;$C116</x:f>
        <x:v>1028|LJT-CROWNPOST</x:v>
      </x:c>
    </x:row>
    <x:row r="117">
      <x:c r="A117" s="37" t="str">
        <x:v>1028</x:v>
      </x:c>
      <x:c r="B117" s="37" t="str"/>
      <x:c r="C117" s="37" t="str">
        <x:v>LJT-CROWN</x:v>
      </x:c>
      <x:c r="D117" s="37" t="str">
        <x:v>補綴／自費</x:v>
      </x:c>
      <x:c r="E117" s="37" t="str">
        <x:v>固定假牙</x:v>
      </x:c>
      <x:c r="F117" s="37" t="str">
        <x:v>一般</x:v>
      </x:c>
      <x:c r="G117" s="37" t="str">
        <x:v>一般</x:v>
      </x:c>
      <x:c r="H117" s="37" t="str">
        <x:v>LJT-PREP-CROWN</x:v>
      </x:c>
      <x:c r="I117" s="48" t="n">
        <x:f>COUNTIFS('適配要求展開'!$A$7:$A$734,$A117,'適配要求展開'!$C$7:$C$734,$C117)</x:f>
        <x:v>4</x:v>
      </x:c>
      <x:c r="J117" s="48" t="n">
        <x:f>COUNTIFS('適配要求展開'!$A$7:$A$734,$A117,'適配要求展開'!$C$7:$C$734,$C117,'適配要求展開'!$I$7:$I$734,"待確認")</x:f>
        <x:v>3</x:v>
      </x:c>
      <x:c r="K117" s="48" t="n">
        <x:f>COUNTIFS('適配要求展開'!$A$7:$A$734,$A117,'適配要求展開'!$C$7:$C$734,$C117,'適配要求展開'!$N$7:$N$734,"不符合")</x:f>
        <x:v>4</x:v>
      </x:c>
      <x:c r="L117" s="48" t="n">
        <x:f>COUNTIFS('適配要求展開'!$A$7:$A$734,$A117,'適配要求展開'!$C$7:$C$734,$C117,'適配要求展開'!$L$7:$L$734,"Ø")</x:f>
        <x:v>0</x:v>
      </x:c>
      <x:c r="M117" s="51" t="n">
        <x:f>IF($I117=0,"n.a.",$L117/$I117)</x:f>
        <x:v>0</x:v>
      </x:c>
      <x:c r="N117" s="48" t="str">
        <x:f>_xlfn.XLOOKUP($A117&amp;"|李侑津醫師",'試行熟悉度'!$K$7:$K$20,'試行熟悉度'!$E$7:$E$20,"未評估",0)</x:f>
        <x:v>學習中</x:v>
      </x:c>
      <x:c r="O117" s="48" t="str">
        <x:f>IF(OR(COUNTIFS('適配要求展開'!$A$7:$A$734,$A117,'適配要求展開'!$C$7:$C$734,$C117,'適配要求展開'!$M$7:$M$734,"&lt;&gt;已核定")&gt;0,_xlfn.XLOOKUP($A117&amp;"|李侑津醫師",'試行熟悉度'!$K$7:$K$20,'試行熟悉度'!$F$7:$F$20,"未建立",0)&lt;&gt;"已核定"),"待主管核定","已核定")</x:f>
        <x:v>待主管核定</x:v>
      </x:c>
      <x:c r="P117" s="48" t="str">
        <x:f>IF($C117="LJT-RPD-FINAL","支援者另判",IF($G117="高複雜度",_xlfn.XLOOKUP($A117&amp;"|"&amp;$H117,'資格有效性'!$L$7:$L$62,'資格有效性'!$E$7:$E$62,"未建立",0),"不需複評"))</x:f>
        <x:v>不需複評</x:v>
      </x:c>
      <x:c r="Q117" s="48" t="n">
        <x:v>0</x:v>
      </x:c>
      <x:c r="R117" s="48"/>
      <x:c r="S117" s="48" t="str">
        <x:f>IF($K117&gt;0,"不可正式排",IF(OR($N117="未評估",$N117="學習中"),"不可正式排",IF(AND($L117=0,$N117="可獨立配合"),"初步可獨立",IF(AND($L117&lt;=3,$M117&lt;=1/3,OR($N117="可獨立配合",$N117="可配合但需支援")),"初步可條件排","不可正式排"))))</x:f>
        <x:v>不可正式排</x:v>
      </x:c>
      <x:c r="T117" s="53" t="str">
        <x:f>IF($C117="LJT-RPD-FINAL","固定短時支援 1 人／30 分鐘",IF($S117="初步可條件排",IF($G117="高複雜度","完整支援者 1:1（占 2 名額）","一般支援 1 名額"),"無"))</x:f>
        <x:v>無</x:v>
      </x:c>
      <x:c r="U117" s="53" t="str">
        <x:f>IF($J117&gt;0,"待確認共通技能門檻",IF($O117&lt;&gt;"已核定","待主管核定",IF(AND($G117="高複雜度",$P117&lt;&gt;"有效"),"資格未有效",$S117)))</x:f>
        <x:v>待確認共通技能門檻</x:v>
      </x:c>
      <x:c r="V117" t="str">
        <x:f>$A117&amp;"|"&amp;$C117</x:f>
        <x:v>1028|LJT-CROWN</x:v>
      </x:c>
    </x:row>
    <x:row r="118">
      <x:c r="A118" s="37" t="str">
        <x:v>1028</x:v>
      </x:c>
      <x:c r="B118" s="37" t="str"/>
      <x:c r="C118" s="37" t="str">
        <x:v>LJT-RPD</x:v>
      </x:c>
      <x:c r="D118" s="37" t="str">
        <x:v>補綴／自費</x:v>
      </x:c>
      <x:c r="E118" s="37" t="str">
        <x:v>RPD</x:v>
      </x:c>
      <x:c r="F118" s="37" t="str">
        <x:v>一般步驟</x:v>
      </x:c>
      <x:c r="G118" s="37" t="str">
        <x:v>一般</x:v>
      </x:c>
      <x:c r="H118" s="37" t="str">
        <x:v>LJT-PREP-RPD</x:v>
      </x:c>
      <x:c r="I118" s="48" t="n">
        <x:f>COUNTIFS('適配要求展開'!$A$7:$A$734,$A118,'適配要求展開'!$C$7:$C$734,$C118)</x:f>
        <x:v>4</x:v>
      </x:c>
      <x:c r="J118" s="48" t="n">
        <x:f>COUNTIFS('適配要求展開'!$A$7:$A$734,$A118,'適配要求展開'!$C$7:$C$734,$C118,'適配要求展開'!$I$7:$I$734,"待確認")</x:f>
        <x:v>3</x:v>
      </x:c>
      <x:c r="K118" s="48" t="n">
        <x:f>COUNTIFS('適配要求展開'!$A$7:$A$734,$A118,'適配要求展開'!$C$7:$C$734,$C118,'適配要求展開'!$N$7:$N$734,"不符合")</x:f>
        <x:v>4</x:v>
      </x:c>
      <x:c r="L118" s="48" t="n">
        <x:f>COUNTIFS('適配要求展開'!$A$7:$A$734,$A118,'適配要求展開'!$C$7:$C$734,$C118,'適配要求展開'!$L$7:$L$734,"Ø")</x:f>
        <x:v>0</x:v>
      </x:c>
      <x:c r="M118" s="51" t="n">
        <x:f>IF($I118=0,"n.a.",$L118/$I118)</x:f>
        <x:v>0</x:v>
      </x:c>
      <x:c r="N118" s="48" t="str">
        <x:f>_xlfn.XLOOKUP($A118&amp;"|李侑津醫師",'試行熟悉度'!$K$7:$K$20,'試行熟悉度'!$E$7:$E$20,"未評估",0)</x:f>
        <x:v>學習中</x:v>
      </x:c>
      <x:c r="O118" s="48" t="str">
        <x:f>IF(OR(COUNTIFS('適配要求展開'!$A$7:$A$734,$A118,'適配要求展開'!$C$7:$C$734,$C118,'適配要求展開'!$M$7:$M$734,"&lt;&gt;已核定")&gt;0,_xlfn.XLOOKUP($A118&amp;"|李侑津醫師",'試行熟悉度'!$K$7:$K$20,'試行熟悉度'!$F$7:$F$20,"未建立",0)&lt;&gt;"已核定"),"待主管核定","已核定")</x:f>
        <x:v>待主管核定</x:v>
      </x:c>
      <x:c r="P118" s="48" t="str">
        <x:f>IF($C118="LJT-RPD-FINAL","支援者另判",IF($G118="高複雜度",_xlfn.XLOOKUP($A118&amp;"|"&amp;$H118,'資格有效性'!$L$7:$L$62,'資格有效性'!$E$7:$E$62,"未建立",0),"不需複評"))</x:f>
        <x:v>不需複評</x:v>
      </x:c>
      <x:c r="Q118" s="48" t="n">
        <x:v>0</x:v>
      </x:c>
      <x:c r="R118" s="48"/>
      <x:c r="S118" s="48" t="str">
        <x:f>IF($K118&gt;0,"不可正式排",IF(OR($N118="未評估",$N118="學習中"),"不可正式排",IF(AND($L118=0,$N118="可獨立配合"),"初步可獨立",IF(AND($L118&lt;=3,$M118&lt;=1/3,OR($N118="可獨立配合",$N118="可配合但需支援")),"初步可條件排","不可正式排"))))</x:f>
        <x:v>不可正式排</x:v>
      </x:c>
      <x:c r="T118" s="53" t="str">
        <x:f>IF($C118="LJT-RPD-FINAL","固定短時支援 1 人／30 分鐘",IF($S118="初步可條件排",IF($G118="高複雜度","完整支援者 1:1（占 2 名額）","一般支援 1 名額"),"無"))</x:f>
        <x:v>無</x:v>
      </x:c>
      <x:c r="U118" s="53" t="str">
        <x:f>IF($J118&gt;0,"待確認共通技能門檻",IF($O118&lt;&gt;"已核定","待主管核定",IF(AND($G118="高複雜度",$P118&lt;&gt;"有效"),"資格未有效",$S118)))</x:f>
        <x:v>待確認共通技能門檻</x:v>
      </x:c>
      <x:c r="V118" t="str">
        <x:f>$A118&amp;"|"&amp;$C118</x:f>
        <x:v>1028|LJT-RPD</x:v>
      </x:c>
    </x:row>
    <x:row r="119">
      <x:c r="A119" s="37" t="str">
        <x:v>1028</x:v>
      </x:c>
      <x:c r="B119" s="37" t="str"/>
      <x:c r="C119" s="37" t="str">
        <x:v>LJT-RPD-FINAL</x:v>
      </x:c>
      <x:c r="D119" s="37" t="str">
        <x:v>補綴／自費</x:v>
      </x:c>
      <x:c r="E119" s="37" t="str">
        <x:v>RPD</x:v>
      </x:c>
      <x:c r="F119" s="37" t="str">
        <x:v>印最終模</x:v>
      </x:c>
      <x:c r="G119" s="37" t="str">
        <x:v>特殊階段</x:v>
      </x:c>
      <x:c r="H119" s="37" t="str">
        <x:v>LJT-PREP-RPD</x:v>
      </x:c>
      <x:c r="I119" s="48" t="n">
        <x:f>COUNTIFS('適配要求展開'!$A$7:$A$734,$A119,'適配要求展開'!$C$7:$C$734,$C119)</x:f>
        <x:v>4</x:v>
      </x:c>
      <x:c r="J119" s="48" t="n">
        <x:f>COUNTIFS('適配要求展開'!$A$7:$A$734,$A119,'適配要求展開'!$C$7:$C$734,$C119,'適配要求展開'!$I$7:$I$734,"待確認")</x:f>
        <x:v>3</x:v>
      </x:c>
      <x:c r="K119" s="48" t="n">
        <x:f>COUNTIFS('適配要求展開'!$A$7:$A$734,$A119,'適配要求展開'!$C$7:$C$734,$C119,'適配要求展開'!$N$7:$N$734,"不符合")</x:f>
        <x:v>4</x:v>
      </x:c>
      <x:c r="L119" s="48" t="n">
        <x:f>COUNTIFS('適配要求展開'!$A$7:$A$734,$A119,'適配要求展開'!$C$7:$C$734,$C119,'適配要求展開'!$L$7:$L$734,"Ø")</x:f>
        <x:v>0</x:v>
      </x:c>
      <x:c r="M119" s="51" t="n">
        <x:f>IF($I119=0,"n.a.",$L119/$I119)</x:f>
        <x:v>0</x:v>
      </x:c>
      <x:c r="N119" s="48" t="str">
        <x:f>_xlfn.XLOOKUP($A119&amp;"|李侑津醫師",'試行熟悉度'!$K$7:$K$20,'試行熟悉度'!$E$7:$E$20,"未評估",0)</x:f>
        <x:v>學習中</x:v>
      </x:c>
      <x:c r="O119" s="48" t="str">
        <x:f>IF(OR(COUNTIFS('適配要求展開'!$A$7:$A$734,$A119,'適配要求展開'!$C$7:$C$734,$C119,'適配要求展開'!$M$7:$M$734,"&lt;&gt;已核定")&gt;0,_xlfn.XLOOKUP($A119&amp;"|李侑津醫師",'試行熟悉度'!$K$7:$K$20,'試行熟悉度'!$F$7:$F$20,"未建立",0)&lt;&gt;"已核定"),"待主管核定","已核定")</x:f>
        <x:v>待主管核定</x:v>
      </x:c>
      <x:c r="P119" s="48" t="str">
        <x:f>IF($C119="LJT-RPD-FINAL","支援者另判",IF($G119="高複雜度",_xlfn.XLOOKUP($A119&amp;"|"&amp;$H119,'資格有效性'!$L$7:$L$62,'資格有效性'!$E$7:$E$62,"未建立",0),"不需複評"))</x:f>
        <x:v>支援者另判</x:v>
      </x:c>
      <x:c r="Q119" s="48" t="n">
        <x:v>1</x:v>
      </x:c>
      <x:c r="R119" s="48" t="n">
        <x:v>30</x:v>
      </x:c>
      <x:c r="S119" s="48" t="str">
        <x:f>IF($K119&gt;0,"不可正式排",IF(OR($N119="未評估",$N119="學習中"),"不可正式排",IF(AND($L119=0,$N119="可獨立配合"),"初步可獨立",IF(AND($L119&lt;=3,$M119&lt;=1/3,OR($N119="可獨立配合",$N119="可配合但需支援")),"初步可條件排","不可正式排"))))</x:f>
        <x:v>不可正式排</x:v>
      </x:c>
      <x:c r="T119" s="53" t="str">
        <x:f>IF($C119="LJT-RPD-FINAL","固定短時支援 1 人／30 分鐘",IF($S119="初步可條件排",IF($G119="高複雜度","完整支援者 1:1（占 2 名額）","一般支援 1 名額"),"無"))</x:f>
        <x:v>固定短時支援 1 人／30 分鐘</x:v>
      </x:c>
      <x:c r="U119" s="53" t="str">
        <x:f>IF($J119&gt;0,"待確認共通技能門檻",IF($O119&lt;&gt;"已核定","待主管核定",IF(AND($G119="高複雜度",$P119&lt;&gt;"有效"),"資格未有效",$S119)))</x:f>
        <x:v>待確認共通技能門檻</x:v>
      </x:c>
      <x:c r="V119" t="str">
        <x:f>$A119&amp;"|"&amp;$C119</x:f>
        <x:v>1028|LJT-RPD-FINAL</x:v>
      </x:c>
    </x:row>
    <x:row r="120">
      <x:c r="A120" s="37" t="str">
        <x:v>1028</x:v>
      </x:c>
      <x:c r="B120" s="37" t="str"/>
      <x:c r="C120" s="37" t="str">
        <x:v>LJT-AIRPOLISH</x:v>
      </x:c>
      <x:c r="D120" s="37" t="str">
        <x:v>補綴／自費</x:v>
      </x:c>
      <x:c r="E120" s="37" t="str">
        <x:v>噴砂美白</x:v>
      </x:c>
      <x:c r="F120" s="37" t="str">
        <x:v>一般</x:v>
      </x:c>
      <x:c r="G120" s="37" t="str">
        <x:v>一般</x:v>
      </x:c>
      <x:c r="H120" s="37" t="str">
        <x:v>LJT-PREP-AIRPOLISH</x:v>
      </x:c>
      <x:c r="I120" s="48" t="n">
        <x:f>COUNTIFS('適配要求展開'!$A$7:$A$734,$A120,'適配要求展開'!$C$7:$C$734,$C120)</x:f>
        <x:v>4</x:v>
      </x:c>
      <x:c r="J120" s="48" t="n">
        <x:f>COUNTIFS('適配要求展開'!$A$7:$A$734,$A120,'適配要求展開'!$C$7:$C$734,$C120,'適配要求展開'!$I$7:$I$734,"待確認")</x:f>
        <x:v>3</x:v>
      </x:c>
      <x:c r="K120" s="48" t="n">
        <x:f>COUNTIFS('適配要求展開'!$A$7:$A$734,$A120,'適配要求展開'!$C$7:$C$734,$C120,'適配要求展開'!$N$7:$N$734,"不符合")</x:f>
        <x:v>4</x:v>
      </x:c>
      <x:c r="L120" s="48" t="n">
        <x:f>COUNTIFS('適配要求展開'!$A$7:$A$734,$A120,'適配要求展開'!$C$7:$C$734,$C120,'適配要求展開'!$L$7:$L$734,"Ø")</x:f>
        <x:v>0</x:v>
      </x:c>
      <x:c r="M120" s="51" t="n">
        <x:f>IF($I120=0,"n.a.",$L120/$I120)</x:f>
        <x:v>0</x:v>
      </x:c>
      <x:c r="N120" s="48" t="str">
        <x:f>_xlfn.XLOOKUP($A120&amp;"|李侑津醫師",'試行熟悉度'!$K$7:$K$20,'試行熟悉度'!$E$7:$E$20,"未評估",0)</x:f>
        <x:v>學習中</x:v>
      </x:c>
      <x:c r="O120" s="48" t="str">
        <x:f>IF(OR(COUNTIFS('適配要求展開'!$A$7:$A$734,$A120,'適配要求展開'!$C$7:$C$734,$C120,'適配要求展開'!$M$7:$M$734,"&lt;&gt;已核定")&gt;0,_xlfn.XLOOKUP($A120&amp;"|李侑津醫師",'試行熟悉度'!$K$7:$K$20,'試行熟悉度'!$F$7:$F$20,"未建立",0)&lt;&gt;"已核定"),"待主管核定","已核定")</x:f>
        <x:v>待主管核定</x:v>
      </x:c>
      <x:c r="P120" s="48" t="str">
        <x:f>IF($C120="LJT-RPD-FINAL","支援者另判",IF($G120="高複雜度",_xlfn.XLOOKUP($A120&amp;"|"&amp;$H120,'資格有效性'!$L$7:$L$62,'資格有效性'!$E$7:$E$62,"未建立",0),"不需複評"))</x:f>
        <x:v>不需複評</x:v>
      </x:c>
      <x:c r="Q120" s="48" t="n">
        <x:v>0</x:v>
      </x:c>
      <x:c r="R120" s="48"/>
      <x:c r="S120" s="48" t="str">
        <x:f>IF($K120&gt;0,"不可正式排",IF(OR($N120="未評估",$N120="學習中"),"不可正式排",IF(AND($L120=0,$N120="可獨立配合"),"初步可獨立",IF(AND($L120&lt;=3,$M120&lt;=1/3,OR($N120="可獨立配合",$N120="可配合但需支援")),"初步可條件排","不可正式排"))))</x:f>
        <x:v>不可正式排</x:v>
      </x:c>
      <x:c r="T120" s="53" t="str">
        <x:f>IF($C120="LJT-RPD-FINAL","固定短時支援 1 人／30 分鐘",IF($S120="初步可條件排",IF($G120="高複雜度","完整支援者 1:1（占 2 名額）","一般支援 1 名額"),"無"))</x:f>
        <x:v>無</x:v>
      </x:c>
      <x:c r="U120" s="53" t="str">
        <x:f>IF($J120&gt;0,"待確認共通技能門檻",IF($O120&lt;&gt;"已核定","待主管核定",IF(AND($G120="高複雜度",$P120&lt;&gt;"有效"),"資格未有效",$S120)))</x:f>
        <x:v>待確認共通技能門檻</x:v>
      </x:c>
      <x:c r="V120" t="str">
        <x:f>$A120&amp;"|"&amp;$C120</x:f>
        <x:v>1028|LJT-AIRPOLISH</x:v>
      </x:c>
    </x:row>
    <x:row r="121">
      <x:c r="A121" s="37" t="str">
        <x:v>1028</x:v>
      </x:c>
      <x:c r="B121" s="37" t="str"/>
      <x:c r="C121" s="37" t="str">
        <x:v>LJT-PERIOSURG</x:v>
      </x:c>
      <x:c r="D121" s="37" t="str">
        <x:v>高複雜度</x:v>
      </x:c>
      <x:c r="E121" s="37" t="str">
        <x:v>牙周手術</x:v>
      </x:c>
      <x:c r="F121" s="37" t="str">
        <x:v>一般</x:v>
      </x:c>
      <x:c r="G121" s="37" t="str">
        <x:v>高複雜度</x:v>
      </x:c>
      <x:c r="H121" s="37" t="str">
        <x:v>LJT-PREP-PERIOSURG</x:v>
      </x:c>
      <x:c r="I121" s="48" t="n">
        <x:f>COUNTIFS('適配要求展開'!$A$7:$A$734,$A121,'適配要求展開'!$C$7:$C$734,$C121)</x:f>
        <x:v>4</x:v>
      </x:c>
      <x:c r="J121" s="48" t="n">
        <x:f>COUNTIFS('適配要求展開'!$A$7:$A$734,$A121,'適配要求展開'!$C$7:$C$734,$C121,'適配要求展開'!$I$7:$I$734,"待確認")</x:f>
        <x:v>3</x:v>
      </x:c>
      <x:c r="K121" s="48" t="n">
        <x:f>COUNTIFS('適配要求展開'!$A$7:$A$734,$A121,'適配要求展開'!$C$7:$C$734,$C121,'適配要求展開'!$N$7:$N$734,"不符合")</x:f>
        <x:v>4</x:v>
      </x:c>
      <x:c r="L121" s="48" t="n">
        <x:f>COUNTIFS('適配要求展開'!$A$7:$A$734,$A121,'適配要求展開'!$C$7:$C$734,$C121,'適配要求展開'!$L$7:$L$734,"Ø")</x:f>
        <x:v>0</x:v>
      </x:c>
      <x:c r="M121" s="51" t="n">
        <x:f>IF($I121=0,"n.a.",$L121/$I121)</x:f>
        <x:v>0</x:v>
      </x:c>
      <x:c r="N121" s="48" t="str">
        <x:f>_xlfn.XLOOKUP($A121&amp;"|李侑津醫師",'試行熟悉度'!$K$7:$K$20,'試行熟悉度'!$E$7:$E$20,"未評估",0)</x:f>
        <x:v>學習中</x:v>
      </x:c>
      <x:c r="O121" s="48" t="str">
        <x:f>IF(OR(COUNTIFS('適配要求展開'!$A$7:$A$734,$A121,'適配要求展開'!$C$7:$C$734,$C121,'適配要求展開'!$M$7:$M$734,"&lt;&gt;已核定")&gt;0,_xlfn.XLOOKUP($A121&amp;"|李侑津醫師",'試行熟悉度'!$K$7:$K$20,'試行熟悉度'!$F$7:$F$20,"未建立",0)&lt;&gt;"已核定"),"待主管核定","已核定")</x:f>
        <x:v>待主管核定</x:v>
      </x:c>
      <x:c r="P121" s="48" t="str">
        <x:f>IF($C121="LJT-RPD-FINAL","支援者另判",IF($G121="高複雜度",_xlfn.XLOOKUP($A121&amp;"|"&amp;$H121,'資格有效性'!$L$7:$L$62,'資格有效性'!$E$7:$E$62,"未建立",0),"不需複評"))</x:f>
        <x:v>待主管核定</x:v>
      </x:c>
      <x:c r="Q121" s="48" t="n">
        <x:v>0</x:v>
      </x:c>
      <x:c r="R121" s="48"/>
      <x:c r="S121" s="48" t="str">
        <x:f>IF($K121&gt;0,"不可正式排",IF(OR($N121="未評估",$N121="學習中"),"不可正式排",IF(AND($L121=0,$N121="可獨立配合"),"初步可獨立",IF(AND($L121&lt;=3,$M121&lt;=1/3,OR($N121="可獨立配合",$N121="可配合但需支援")),"初步可條件排","不可正式排"))))</x:f>
        <x:v>不可正式排</x:v>
      </x:c>
      <x:c r="T121" s="53" t="str">
        <x:f>IF($C121="LJT-RPD-FINAL","固定短時支援 1 人／30 分鐘",IF($S121="初步可條件排",IF($G121="高複雜度","完整支援者 1:1（占 2 名額）","一般支援 1 名額"),"無"))</x:f>
        <x:v>無</x:v>
      </x:c>
      <x:c r="U121" s="53" t="str">
        <x:f>IF($J121&gt;0,"待確認共通技能門檻",IF($O121&lt;&gt;"已核定","待主管核定",IF(AND($G121="高複雜度",$P121&lt;&gt;"有效"),"資格未有效",$S121)))</x:f>
        <x:v>待確認共通技能門檻</x:v>
      </x:c>
      <x:c r="V121" t="str">
        <x:f>$A121&amp;"|"&amp;$C121</x:f>
        <x:v>1028|LJT-PERIOSURG</x:v>
      </x:c>
    </x:row>
    <x:row r="122">
      <x:c r="A122" s="37" t="str">
        <x:v>1028</x:v>
      </x:c>
      <x:c r="B122" s="37" t="str"/>
      <x:c r="C122" s="37" t="str">
        <x:v>LJT-MICROENDO</x:v>
      </x:c>
      <x:c r="D122" s="37" t="str">
        <x:v>高複雜度</x:v>
      </x:c>
      <x:c r="E122" s="37" t="str">
        <x:v>顯微根管</x:v>
      </x:c>
      <x:c r="F122" s="37" t="str">
        <x:v>一般</x:v>
      </x:c>
      <x:c r="G122" s="37" t="str">
        <x:v>高複雜度</x:v>
      </x:c>
      <x:c r="H122" s="37" t="str">
        <x:v>LJT-PREP-MICROENDO</x:v>
      </x:c>
      <x:c r="I122" s="48" t="n">
        <x:f>COUNTIFS('適配要求展開'!$A$7:$A$734,$A122,'適配要求展開'!$C$7:$C$734,$C122)</x:f>
        <x:v>4</x:v>
      </x:c>
      <x:c r="J122" s="48" t="n">
        <x:f>COUNTIFS('適配要求展開'!$A$7:$A$734,$A122,'適配要求展開'!$C$7:$C$734,$C122,'適配要求展開'!$I$7:$I$734,"待確認")</x:f>
        <x:v>3</x:v>
      </x:c>
      <x:c r="K122" s="48" t="n">
        <x:f>COUNTIFS('適配要求展開'!$A$7:$A$734,$A122,'適配要求展開'!$C$7:$C$734,$C122,'適配要求展開'!$N$7:$N$734,"不符合")</x:f>
        <x:v>4</x:v>
      </x:c>
      <x:c r="L122" s="48" t="n">
        <x:f>COUNTIFS('適配要求展開'!$A$7:$A$734,$A122,'適配要求展開'!$C$7:$C$734,$C122,'適配要求展開'!$L$7:$L$734,"Ø")</x:f>
        <x:v>0</x:v>
      </x:c>
      <x:c r="M122" s="51" t="n">
        <x:f>IF($I122=0,"n.a.",$L122/$I122)</x:f>
        <x:v>0</x:v>
      </x:c>
      <x:c r="N122" s="48" t="str">
        <x:f>_xlfn.XLOOKUP($A122&amp;"|李侑津醫師",'試行熟悉度'!$K$7:$K$20,'試行熟悉度'!$E$7:$E$20,"未評估",0)</x:f>
        <x:v>學習中</x:v>
      </x:c>
      <x:c r="O122" s="48" t="str">
        <x:f>IF(OR(COUNTIFS('適配要求展開'!$A$7:$A$734,$A122,'適配要求展開'!$C$7:$C$734,$C122,'適配要求展開'!$M$7:$M$734,"&lt;&gt;已核定")&gt;0,_xlfn.XLOOKUP($A122&amp;"|李侑津醫師",'試行熟悉度'!$K$7:$K$20,'試行熟悉度'!$F$7:$F$20,"未建立",0)&lt;&gt;"已核定"),"待主管核定","已核定")</x:f>
        <x:v>待主管核定</x:v>
      </x:c>
      <x:c r="P122" s="48" t="str">
        <x:f>IF($C122="LJT-RPD-FINAL","支援者另判",IF($G122="高複雜度",_xlfn.XLOOKUP($A122&amp;"|"&amp;$H122,'資格有效性'!$L$7:$L$62,'資格有效性'!$E$7:$E$62,"未建立",0),"不需複評"))</x:f>
        <x:v>待主管核定</x:v>
      </x:c>
      <x:c r="Q122" s="48" t="n">
        <x:v>0</x:v>
      </x:c>
      <x:c r="R122" s="48"/>
      <x:c r="S122" s="48" t="str">
        <x:f>IF($K122&gt;0,"不可正式排",IF(OR($N122="未評估",$N122="學習中"),"不可正式排",IF(AND($L122=0,$N122="可獨立配合"),"初步可獨立",IF(AND($L122&lt;=3,$M122&lt;=1/3,OR($N122="可獨立配合",$N122="可配合但需支援")),"初步可條件排","不可正式排"))))</x:f>
        <x:v>不可正式排</x:v>
      </x:c>
      <x:c r="T122" s="53" t="str">
        <x:f>IF($C122="LJT-RPD-FINAL","固定短時支援 1 人／30 分鐘",IF($S122="初步可條件排",IF($G122="高複雜度","完整支援者 1:1（占 2 名額）","一般支援 1 名額"),"無"))</x:f>
        <x:v>無</x:v>
      </x:c>
      <x:c r="U122" s="53" t="str">
        <x:f>IF($J122&gt;0,"待確認共通技能門檻",IF($O122&lt;&gt;"已核定","待主管核定",IF(AND($G122="高複雜度",$P122&lt;&gt;"有效"),"資格未有效",$S122)))</x:f>
        <x:v>待確認共通技能門檻</x:v>
      </x:c>
      <x:c r="V122" t="str">
        <x:f>$A122&amp;"|"&amp;$C122</x:f>
        <x:v>1028|LJT-MICROENDO</x:v>
      </x:c>
    </x:row>
    <x:row r="123">
      <x:c r="A123" s="37" t="str">
        <x:v>1028</x:v>
      </x:c>
      <x:c r="B123" s="37" t="str"/>
      <x:c r="C123" s="37" t="str">
        <x:v>LJT-IMPLANT</x:v>
      </x:c>
      <x:c r="D123" s="37" t="str">
        <x:v>高複雜度</x:v>
      </x:c>
      <x:c r="E123" s="37" t="str">
        <x:v>植牙</x:v>
      </x:c>
      <x:c r="F123" s="37" t="str">
        <x:v>一般</x:v>
      </x:c>
      <x:c r="G123" s="37" t="str">
        <x:v>高複雜度</x:v>
      </x:c>
      <x:c r="H123" s="37" t="str">
        <x:v>LJT-PREP-IMPLANT</x:v>
      </x:c>
      <x:c r="I123" s="48" t="n">
        <x:f>COUNTIFS('適配要求展開'!$A$7:$A$734,$A123,'適配要求展開'!$C$7:$C$734,$C123)</x:f>
        <x:v>4</x:v>
      </x:c>
      <x:c r="J123" s="48" t="n">
        <x:f>COUNTIFS('適配要求展開'!$A$7:$A$734,$A123,'適配要求展開'!$C$7:$C$734,$C123,'適配要求展開'!$I$7:$I$734,"待確認")</x:f>
        <x:v>3</x:v>
      </x:c>
      <x:c r="K123" s="48" t="n">
        <x:f>COUNTIFS('適配要求展開'!$A$7:$A$734,$A123,'適配要求展開'!$C$7:$C$734,$C123,'適配要求展開'!$N$7:$N$734,"不符合")</x:f>
        <x:v>4</x:v>
      </x:c>
      <x:c r="L123" s="48" t="n">
        <x:f>COUNTIFS('適配要求展開'!$A$7:$A$734,$A123,'適配要求展開'!$C$7:$C$734,$C123,'適配要求展開'!$L$7:$L$734,"Ø")</x:f>
        <x:v>0</x:v>
      </x:c>
      <x:c r="M123" s="51" t="n">
        <x:f>IF($I123=0,"n.a.",$L123/$I123)</x:f>
        <x:v>0</x:v>
      </x:c>
      <x:c r="N123" s="48" t="str">
        <x:f>_xlfn.XLOOKUP($A123&amp;"|李侑津醫師",'試行熟悉度'!$K$7:$K$20,'試行熟悉度'!$E$7:$E$20,"未評估",0)</x:f>
        <x:v>學習中</x:v>
      </x:c>
      <x:c r="O123" s="48" t="str">
        <x:f>IF(OR(COUNTIFS('適配要求展開'!$A$7:$A$734,$A123,'適配要求展開'!$C$7:$C$734,$C123,'適配要求展開'!$M$7:$M$734,"&lt;&gt;已核定")&gt;0,_xlfn.XLOOKUP($A123&amp;"|李侑津醫師",'試行熟悉度'!$K$7:$K$20,'試行熟悉度'!$F$7:$F$20,"未建立",0)&lt;&gt;"已核定"),"待主管核定","已核定")</x:f>
        <x:v>待主管核定</x:v>
      </x:c>
      <x:c r="P123" s="48" t="str">
        <x:f>IF($C123="LJT-RPD-FINAL","支援者另判",IF($G123="高複雜度",_xlfn.XLOOKUP($A123&amp;"|"&amp;$H123,'資格有效性'!$L$7:$L$62,'資格有效性'!$E$7:$E$62,"未建立",0),"不需複評"))</x:f>
        <x:v>待主管核定</x:v>
      </x:c>
      <x:c r="Q123" s="48" t="n">
        <x:v>0</x:v>
      </x:c>
      <x:c r="R123" s="48"/>
      <x:c r="S123" s="48" t="str">
        <x:f>IF($K123&gt;0,"不可正式排",IF(OR($N123="未評估",$N123="學習中"),"不可正式排",IF(AND($L123=0,$N123="可獨立配合"),"初步可獨立",IF(AND($L123&lt;=3,$M123&lt;=1/3,OR($N123="可獨立配合",$N123="可配合但需支援")),"初步可條件排","不可正式排"))))</x:f>
        <x:v>不可正式排</x:v>
      </x:c>
      <x:c r="T123" s="53" t="str">
        <x:f>IF($C123="LJT-RPD-FINAL","固定短時支援 1 人／30 分鐘",IF($S123="初步可條件排",IF($G123="高複雜度","完整支援者 1:1（占 2 名額）","一般支援 1 名額"),"無"))</x:f>
        <x:v>無</x:v>
      </x:c>
      <x:c r="U123" s="53" t="str">
        <x:f>IF($J123&gt;0,"待確認共通技能門檻",IF($O123&lt;&gt;"已核定","待主管核定",IF(AND($G123="高複雜度",$P123&lt;&gt;"有效"),"資格未有效",$S123)))</x:f>
        <x:v>待確認共通技能門檻</x:v>
      </x:c>
      <x:c r="V123" t="str">
        <x:f>$A123&amp;"|"&amp;$C123</x:f>
        <x:v>1028|LJT-IMPLANT</x:v>
      </x:c>
    </x:row>
    <x:row r="124">
      <x:c r="A124" s="37" t="str">
        <x:v>1029</x:v>
      </x:c>
      <x:c r="B124" s="37" t="str"/>
      <x:c r="C124" s="37" t="str">
        <x:v>LJT-SCALING</x:v>
      </x:c>
      <x:c r="D124" s="37" t="str">
        <x:v>一般治療</x:v>
      </x:c>
      <x:c r="E124" s="37" t="str">
        <x:v>洗牙</x:v>
      </x:c>
      <x:c r="F124" s="37" t="str">
        <x:v>一般</x:v>
      </x:c>
      <x:c r="G124" s="37" t="str">
        <x:v>一般</x:v>
      </x:c>
      <x:c r="H124" s="37" t="str">
        <x:v>LJT-PREP-SCALING</x:v>
      </x:c>
      <x:c r="I124" s="48" t="n">
        <x:f>COUNTIFS('適配要求展開'!$A$7:$A$734,$A124,'適配要求展開'!$C$7:$C$734,$C124)</x:f>
        <x:v>4</x:v>
      </x:c>
      <x:c r="J124" s="48" t="n">
        <x:f>COUNTIFS('適配要求展開'!$A$7:$A$734,$A124,'適配要求展開'!$C$7:$C$734,$C124,'適配要求展開'!$I$7:$I$734,"待確認")</x:f>
        <x:v>3</x:v>
      </x:c>
      <x:c r="K124" s="48" t="n">
        <x:f>COUNTIFS('適配要求展開'!$A$7:$A$734,$A124,'適配要求展開'!$C$7:$C$734,$C124,'適配要求展開'!$N$7:$N$734,"不符合")</x:f>
        <x:v>4</x:v>
      </x:c>
      <x:c r="L124" s="48" t="n">
        <x:f>COUNTIFS('適配要求展開'!$A$7:$A$734,$A124,'適配要求展開'!$C$7:$C$734,$C124,'適配要求展開'!$L$7:$L$734,"Ø")</x:f>
        <x:v>0</x:v>
      </x:c>
      <x:c r="M124" s="51" t="n">
        <x:f>IF($I124=0,"n.a.",$L124/$I124)</x:f>
        <x:v>0</x:v>
      </x:c>
      <x:c r="N124" s="48" t="str">
        <x:f>_xlfn.XLOOKUP($A124&amp;"|李侑津醫師",'試行熟悉度'!$K$7:$K$20,'試行熟悉度'!$E$7:$E$20,"未評估",0)</x:f>
        <x:v>未評估</x:v>
      </x:c>
      <x:c r="O124" s="48" t="str">
        <x:f>IF(OR(COUNTIFS('適配要求展開'!$A$7:$A$734,$A124,'適配要求展開'!$C$7:$C$734,$C124,'適配要求展開'!$M$7:$M$734,"&lt;&gt;已核定")&gt;0,_xlfn.XLOOKUP($A124&amp;"|李侑津醫師",'試行熟悉度'!$K$7:$K$20,'試行熟悉度'!$F$7:$F$20,"未建立",0)&lt;&gt;"已核定"),"待主管核定","已核定")</x:f>
        <x:v>待主管核定</x:v>
      </x:c>
      <x:c r="P124" s="48" t="str">
        <x:f>IF($C124="LJT-RPD-FINAL","支援者另判",IF($G124="高複雜度",_xlfn.XLOOKUP($A124&amp;"|"&amp;$H124,'資格有效性'!$L$7:$L$62,'資格有效性'!$E$7:$E$62,"未建立",0),"不需複評"))</x:f>
        <x:v>不需複評</x:v>
      </x:c>
      <x:c r="Q124" s="48" t="n">
        <x:v>0</x:v>
      </x:c>
      <x:c r="R124" s="48"/>
      <x:c r="S124" s="48" t="str">
        <x:f>IF($K124&gt;0,"不可正式排",IF(OR($N124="未評估",$N124="學習中"),"不可正式排",IF(AND($L124=0,$N124="可獨立配合"),"初步可獨立",IF(AND($L124&lt;=3,$M124&lt;=1/3,OR($N124="可獨立配合",$N124="可配合但需支援")),"初步可條件排","不可正式排"))))</x:f>
        <x:v>不可正式排</x:v>
      </x:c>
      <x:c r="T124" s="53" t="str">
        <x:f>IF($C124="LJT-RPD-FINAL","固定短時支援 1 人／30 分鐘",IF($S124="初步可條件排",IF($G124="高複雜度","完整支援者 1:1（占 2 名額）","一般支援 1 名額"),"無"))</x:f>
        <x:v>無</x:v>
      </x:c>
      <x:c r="U124" s="53" t="str">
        <x:f>IF($J124&gt;0,"待確認共通技能門檻",IF($O124&lt;&gt;"已核定","待主管核定",IF(AND($G124="高複雜度",$P124&lt;&gt;"有效"),"資格未有效",$S124)))</x:f>
        <x:v>待確認共通技能門檻</x:v>
      </x:c>
      <x:c r="V124" t="str">
        <x:f>$A124&amp;"|"&amp;$C124</x:f>
        <x:v>1029|LJT-SCALING</x:v>
      </x:c>
    </x:row>
    <x:row r="125">
      <x:c r="A125" s="37" t="str">
        <x:v>1029</x:v>
      </x:c>
      <x:c r="B125" s="37" t="str"/>
      <x:c r="C125" s="37" t="str">
        <x:v>LJT-FILLING</x:v>
      </x:c>
      <x:c r="D125" s="37" t="str">
        <x:v>一般治療</x:v>
      </x:c>
      <x:c r="E125" s="37" t="str">
        <x:v>補牙</x:v>
      </x:c>
      <x:c r="F125" s="37" t="str">
        <x:v>一般</x:v>
      </x:c>
      <x:c r="G125" s="37" t="str">
        <x:v>一般</x:v>
      </x:c>
      <x:c r="H125" s="37" t="str">
        <x:v>LJT-PREP-FILLING</x:v>
      </x:c>
      <x:c r="I125" s="48" t="n">
        <x:f>COUNTIFS('適配要求展開'!$A$7:$A$734,$A125,'適配要求展開'!$C$7:$C$734,$C125)</x:f>
        <x:v>4</x:v>
      </x:c>
      <x:c r="J125" s="48" t="n">
        <x:f>COUNTIFS('適配要求展開'!$A$7:$A$734,$A125,'適配要求展開'!$C$7:$C$734,$C125,'適配要求展開'!$I$7:$I$734,"待確認")</x:f>
        <x:v>3</x:v>
      </x:c>
      <x:c r="K125" s="48" t="n">
        <x:f>COUNTIFS('適配要求展開'!$A$7:$A$734,$A125,'適配要求展開'!$C$7:$C$734,$C125,'適配要求展開'!$N$7:$N$734,"不符合")</x:f>
        <x:v>4</x:v>
      </x:c>
      <x:c r="L125" s="48" t="n">
        <x:f>COUNTIFS('適配要求展開'!$A$7:$A$734,$A125,'適配要求展開'!$C$7:$C$734,$C125,'適配要求展開'!$L$7:$L$734,"Ø")</x:f>
        <x:v>0</x:v>
      </x:c>
      <x:c r="M125" s="51" t="n">
        <x:f>IF($I125=0,"n.a.",$L125/$I125)</x:f>
        <x:v>0</x:v>
      </x:c>
      <x:c r="N125" s="48" t="str">
        <x:f>_xlfn.XLOOKUP($A125&amp;"|李侑津醫師",'試行熟悉度'!$K$7:$K$20,'試行熟悉度'!$E$7:$E$20,"未評估",0)</x:f>
        <x:v>未評估</x:v>
      </x:c>
      <x:c r="O125" s="48" t="str">
        <x:f>IF(OR(COUNTIFS('適配要求展開'!$A$7:$A$734,$A125,'適配要求展開'!$C$7:$C$734,$C125,'適配要求展開'!$M$7:$M$734,"&lt;&gt;已核定")&gt;0,_xlfn.XLOOKUP($A125&amp;"|李侑津醫師",'試行熟悉度'!$K$7:$K$20,'試行熟悉度'!$F$7:$F$20,"未建立",0)&lt;&gt;"已核定"),"待主管核定","已核定")</x:f>
        <x:v>待主管核定</x:v>
      </x:c>
      <x:c r="P125" s="48" t="str">
        <x:f>IF($C125="LJT-RPD-FINAL","支援者另判",IF($G125="高複雜度",_xlfn.XLOOKUP($A125&amp;"|"&amp;$H125,'資格有效性'!$L$7:$L$62,'資格有效性'!$E$7:$E$62,"未建立",0),"不需複評"))</x:f>
        <x:v>不需複評</x:v>
      </x:c>
      <x:c r="Q125" s="48" t="n">
        <x:v>0</x:v>
      </x:c>
      <x:c r="R125" s="48"/>
      <x:c r="S125" s="48" t="str">
        <x:f>IF($K125&gt;0,"不可正式排",IF(OR($N125="未評估",$N125="學習中"),"不可正式排",IF(AND($L125=0,$N125="可獨立配合"),"初步可獨立",IF(AND($L125&lt;=3,$M125&lt;=1/3,OR($N125="可獨立配合",$N125="可配合但需支援")),"初步可條件排","不可正式排"))))</x:f>
        <x:v>不可正式排</x:v>
      </x:c>
      <x:c r="T125" s="53" t="str">
        <x:f>IF($C125="LJT-RPD-FINAL","固定短時支援 1 人／30 分鐘",IF($S125="初步可條件排",IF($G125="高複雜度","完整支援者 1:1（占 2 名額）","一般支援 1 名額"),"無"))</x:f>
        <x:v>無</x:v>
      </x:c>
      <x:c r="U125" s="53" t="str">
        <x:f>IF($J125&gt;0,"待確認共通技能門檻",IF($O125&lt;&gt;"已核定","待主管核定",IF(AND($G125="高複雜度",$P125&lt;&gt;"有效"),"資格未有效",$S125)))</x:f>
        <x:v>待確認共通技能門檻</x:v>
      </x:c>
      <x:c r="V125" t="str">
        <x:f>$A125&amp;"|"&amp;$C125</x:f>
        <x:v>1029|LJT-FILLING</x:v>
      </x:c>
    </x:row>
    <x:row r="126">
      <x:c r="A126" s="37" t="str">
        <x:v>1029</x:v>
      </x:c>
      <x:c r="B126" s="37" t="str"/>
      <x:c r="C126" s="37" t="str">
        <x:v>LJT-PERIO</x:v>
      </x:c>
      <x:c r="D126" s="37" t="str">
        <x:v>一般治療</x:v>
      </x:c>
      <x:c r="E126" s="37" t="str">
        <x:v>牙周統合</x:v>
      </x:c>
      <x:c r="F126" s="37" t="str">
        <x:v>一般</x:v>
      </x:c>
      <x:c r="G126" s="37" t="str">
        <x:v>一般</x:v>
      </x:c>
      <x:c r="H126" s="37" t="str">
        <x:v>LJT-PREP-PERIO</x:v>
      </x:c>
      <x:c r="I126" s="48" t="n">
        <x:f>COUNTIFS('適配要求展開'!$A$7:$A$734,$A126,'適配要求展開'!$C$7:$C$734,$C126)</x:f>
        <x:v>4</x:v>
      </x:c>
      <x:c r="J126" s="48" t="n">
        <x:f>COUNTIFS('適配要求展開'!$A$7:$A$734,$A126,'適配要求展開'!$C$7:$C$734,$C126,'適配要求展開'!$I$7:$I$734,"待確認")</x:f>
        <x:v>3</x:v>
      </x:c>
      <x:c r="K126" s="48" t="n">
        <x:f>COUNTIFS('適配要求展開'!$A$7:$A$734,$A126,'適配要求展開'!$C$7:$C$734,$C126,'適配要求展開'!$N$7:$N$734,"不符合")</x:f>
        <x:v>4</x:v>
      </x:c>
      <x:c r="L126" s="48" t="n">
        <x:f>COUNTIFS('適配要求展開'!$A$7:$A$734,$A126,'適配要求展開'!$C$7:$C$734,$C126,'適配要求展開'!$L$7:$L$734,"Ø")</x:f>
        <x:v>0</x:v>
      </x:c>
      <x:c r="M126" s="51" t="n">
        <x:f>IF($I126=0,"n.a.",$L126/$I126)</x:f>
        <x:v>0</x:v>
      </x:c>
      <x:c r="N126" s="48" t="str">
        <x:f>_xlfn.XLOOKUP($A126&amp;"|李侑津醫師",'試行熟悉度'!$K$7:$K$20,'試行熟悉度'!$E$7:$E$20,"未評估",0)</x:f>
        <x:v>未評估</x:v>
      </x:c>
      <x:c r="O126" s="48" t="str">
        <x:f>IF(OR(COUNTIFS('適配要求展開'!$A$7:$A$734,$A126,'適配要求展開'!$C$7:$C$734,$C126,'適配要求展開'!$M$7:$M$734,"&lt;&gt;已核定")&gt;0,_xlfn.XLOOKUP($A126&amp;"|李侑津醫師",'試行熟悉度'!$K$7:$K$20,'試行熟悉度'!$F$7:$F$20,"未建立",0)&lt;&gt;"已核定"),"待主管核定","已核定")</x:f>
        <x:v>待主管核定</x:v>
      </x:c>
      <x:c r="P126" s="48" t="str">
        <x:f>IF($C126="LJT-RPD-FINAL","支援者另判",IF($G126="高複雜度",_xlfn.XLOOKUP($A126&amp;"|"&amp;$H126,'資格有效性'!$L$7:$L$62,'資格有效性'!$E$7:$E$62,"未建立",0),"不需複評"))</x:f>
        <x:v>不需複評</x:v>
      </x:c>
      <x:c r="Q126" s="48" t="n">
        <x:v>0</x:v>
      </x:c>
      <x:c r="R126" s="48"/>
      <x:c r="S126" s="48" t="str">
        <x:f>IF($K126&gt;0,"不可正式排",IF(OR($N126="未評估",$N126="學習中"),"不可正式排",IF(AND($L126=0,$N126="可獨立配合"),"初步可獨立",IF(AND($L126&lt;=3,$M126&lt;=1/3,OR($N126="可獨立配合",$N126="可配合但需支援")),"初步可條件排","不可正式排"))))</x:f>
        <x:v>不可正式排</x:v>
      </x:c>
      <x:c r="T126" s="53" t="str">
        <x:f>IF($C126="LJT-RPD-FINAL","固定短時支援 1 人／30 分鐘",IF($S126="初步可條件排",IF($G126="高複雜度","完整支援者 1:1（占 2 名額）","一般支援 1 名額"),"無"))</x:f>
        <x:v>無</x:v>
      </x:c>
      <x:c r="U126" s="53" t="str">
        <x:f>IF($J126&gt;0,"待確認共通技能門檻",IF($O126&lt;&gt;"已核定","待主管核定",IF(AND($G126="高複雜度",$P126&lt;&gt;"有效"),"資格未有效",$S126)))</x:f>
        <x:v>待確認共通技能門檻</x:v>
      </x:c>
      <x:c r="V126" t="str">
        <x:f>$A126&amp;"|"&amp;$C126</x:f>
        <x:v>1029|LJT-PERIO</x:v>
      </x:c>
    </x:row>
    <x:row r="127">
      <x:c r="A127" s="37" t="str">
        <x:v>1029</x:v>
      </x:c>
      <x:c r="B127" s="37" t="str"/>
      <x:c r="C127" s="37" t="str">
        <x:v>LJT-RCT</x:v>
      </x:c>
      <x:c r="D127" s="37" t="str">
        <x:v>一般治療</x:v>
      </x:c>
      <x:c r="E127" s="37" t="str">
        <x:v>一般根管治療</x:v>
      </x:c>
      <x:c r="F127" s="37" t="str">
        <x:v>一般</x:v>
      </x:c>
      <x:c r="G127" s="37" t="str">
        <x:v>一般</x:v>
      </x:c>
      <x:c r="H127" s="37" t="str">
        <x:v>LJT-PREP-RCT</x:v>
      </x:c>
      <x:c r="I127" s="48" t="n">
        <x:f>COUNTIFS('適配要求展開'!$A$7:$A$734,$A127,'適配要求展開'!$C$7:$C$734,$C127)</x:f>
        <x:v>4</x:v>
      </x:c>
      <x:c r="J127" s="48" t="n">
        <x:f>COUNTIFS('適配要求展開'!$A$7:$A$734,$A127,'適配要求展開'!$C$7:$C$734,$C127,'適配要求展開'!$I$7:$I$734,"待確認")</x:f>
        <x:v>3</x:v>
      </x:c>
      <x:c r="K127" s="48" t="n">
        <x:f>COUNTIFS('適配要求展開'!$A$7:$A$734,$A127,'適配要求展開'!$C$7:$C$734,$C127,'適配要求展開'!$N$7:$N$734,"不符合")</x:f>
        <x:v>4</x:v>
      </x:c>
      <x:c r="L127" s="48" t="n">
        <x:f>COUNTIFS('適配要求展開'!$A$7:$A$734,$A127,'適配要求展開'!$C$7:$C$734,$C127,'適配要求展開'!$L$7:$L$734,"Ø")</x:f>
        <x:v>0</x:v>
      </x:c>
      <x:c r="M127" s="51" t="n">
        <x:f>IF($I127=0,"n.a.",$L127/$I127)</x:f>
        <x:v>0</x:v>
      </x:c>
      <x:c r="N127" s="48" t="str">
        <x:f>_xlfn.XLOOKUP($A127&amp;"|李侑津醫師",'試行熟悉度'!$K$7:$K$20,'試行熟悉度'!$E$7:$E$20,"未評估",0)</x:f>
        <x:v>未評估</x:v>
      </x:c>
      <x:c r="O127" s="48" t="str">
        <x:f>IF(OR(COUNTIFS('適配要求展開'!$A$7:$A$734,$A127,'適配要求展開'!$C$7:$C$734,$C127,'適配要求展開'!$M$7:$M$734,"&lt;&gt;已核定")&gt;0,_xlfn.XLOOKUP($A127&amp;"|李侑津醫師",'試行熟悉度'!$K$7:$K$20,'試行熟悉度'!$F$7:$F$20,"未建立",0)&lt;&gt;"已核定"),"待主管核定","已核定")</x:f>
        <x:v>待主管核定</x:v>
      </x:c>
      <x:c r="P127" s="48" t="str">
        <x:f>IF($C127="LJT-RPD-FINAL","支援者另判",IF($G127="高複雜度",_xlfn.XLOOKUP($A127&amp;"|"&amp;$H127,'資格有效性'!$L$7:$L$62,'資格有效性'!$E$7:$E$62,"未建立",0),"不需複評"))</x:f>
        <x:v>不需複評</x:v>
      </x:c>
      <x:c r="Q127" s="48" t="n">
        <x:v>0</x:v>
      </x:c>
      <x:c r="R127" s="48"/>
      <x:c r="S127" s="48" t="str">
        <x:f>IF($K127&gt;0,"不可正式排",IF(OR($N127="未評估",$N127="學習中"),"不可正式排",IF(AND($L127=0,$N127="可獨立配合"),"初步可獨立",IF(AND($L127&lt;=3,$M127&lt;=1/3,OR($N127="可獨立配合",$N127="可配合但需支援")),"初步可條件排","不可正式排"))))</x:f>
        <x:v>不可正式排</x:v>
      </x:c>
      <x:c r="T127" s="53" t="str">
        <x:f>IF($C127="LJT-RPD-FINAL","固定短時支援 1 人／30 分鐘",IF($S127="初步可條件排",IF($G127="高複雜度","完整支援者 1:1（占 2 名額）","一般支援 1 名額"),"無"))</x:f>
        <x:v>無</x:v>
      </x:c>
      <x:c r="U127" s="53" t="str">
        <x:f>IF($J127&gt;0,"待確認共通技能門檻",IF($O127&lt;&gt;"已核定","待主管核定",IF(AND($G127="高複雜度",$P127&lt;&gt;"有效"),"資格未有效",$S127)))</x:f>
        <x:v>待確認共通技能門檻</x:v>
      </x:c>
      <x:c r="V127" t="str">
        <x:f>$A127&amp;"|"&amp;$C127</x:f>
        <x:v>1029|LJT-RCT</x:v>
      </x:c>
    </x:row>
    <x:row r="128">
      <x:c r="A128" s="37" t="str">
        <x:v>1029</x:v>
      </x:c>
      <x:c r="B128" s="37" t="str"/>
      <x:c r="C128" s="37" t="str">
        <x:v>LJT-EXTRACTION</x:v>
      </x:c>
      <x:c r="D128" s="37" t="str">
        <x:v>一般治療</x:v>
      </x:c>
      <x:c r="E128" s="37" t="str">
        <x:v>拔牙</x:v>
      </x:c>
      <x:c r="F128" s="37" t="str">
        <x:v>一般</x:v>
      </x:c>
      <x:c r="G128" s="37" t="str">
        <x:v>一般</x:v>
      </x:c>
      <x:c r="H128" s="37" t="str">
        <x:v>LJT-PREP-EXTRACTION</x:v>
      </x:c>
      <x:c r="I128" s="48" t="n">
        <x:f>COUNTIFS('適配要求展開'!$A$7:$A$734,$A128,'適配要求展開'!$C$7:$C$734,$C128)</x:f>
        <x:v>4</x:v>
      </x:c>
      <x:c r="J128" s="48" t="n">
        <x:f>COUNTIFS('適配要求展開'!$A$7:$A$734,$A128,'適配要求展開'!$C$7:$C$734,$C128,'適配要求展開'!$I$7:$I$734,"待確認")</x:f>
        <x:v>3</x:v>
      </x:c>
      <x:c r="K128" s="48" t="n">
        <x:f>COUNTIFS('適配要求展開'!$A$7:$A$734,$A128,'適配要求展開'!$C$7:$C$734,$C128,'適配要求展開'!$N$7:$N$734,"不符合")</x:f>
        <x:v>4</x:v>
      </x:c>
      <x:c r="L128" s="48" t="n">
        <x:f>COUNTIFS('適配要求展開'!$A$7:$A$734,$A128,'適配要求展開'!$C$7:$C$734,$C128,'適配要求展開'!$L$7:$L$734,"Ø")</x:f>
        <x:v>0</x:v>
      </x:c>
      <x:c r="M128" s="51" t="n">
        <x:f>IF($I128=0,"n.a.",$L128/$I128)</x:f>
        <x:v>0</x:v>
      </x:c>
      <x:c r="N128" s="48" t="str">
        <x:f>_xlfn.XLOOKUP($A128&amp;"|李侑津醫師",'試行熟悉度'!$K$7:$K$20,'試行熟悉度'!$E$7:$E$20,"未評估",0)</x:f>
        <x:v>未評估</x:v>
      </x:c>
      <x:c r="O128" s="48" t="str">
        <x:f>IF(OR(COUNTIFS('適配要求展開'!$A$7:$A$734,$A128,'適配要求展開'!$C$7:$C$734,$C128,'適配要求展開'!$M$7:$M$734,"&lt;&gt;已核定")&gt;0,_xlfn.XLOOKUP($A128&amp;"|李侑津醫師",'試行熟悉度'!$K$7:$K$20,'試行熟悉度'!$F$7:$F$20,"未建立",0)&lt;&gt;"已核定"),"待主管核定","已核定")</x:f>
        <x:v>待主管核定</x:v>
      </x:c>
      <x:c r="P128" s="48" t="str">
        <x:f>IF($C128="LJT-RPD-FINAL","支援者另判",IF($G128="高複雜度",_xlfn.XLOOKUP($A128&amp;"|"&amp;$H128,'資格有效性'!$L$7:$L$62,'資格有效性'!$E$7:$E$62,"未建立",0),"不需複評"))</x:f>
        <x:v>不需複評</x:v>
      </x:c>
      <x:c r="Q128" s="48" t="n">
        <x:v>0</x:v>
      </x:c>
      <x:c r="R128" s="48"/>
      <x:c r="S128" s="48" t="str">
        <x:f>IF($K128&gt;0,"不可正式排",IF(OR($N128="未評估",$N128="學習中"),"不可正式排",IF(AND($L128=0,$N128="可獨立配合"),"初步可獨立",IF(AND($L128&lt;=3,$M128&lt;=1/3,OR($N128="可獨立配合",$N128="可配合但需支援")),"初步可條件排","不可正式排"))))</x:f>
        <x:v>不可正式排</x:v>
      </x:c>
      <x:c r="T128" s="53" t="str">
        <x:f>IF($C128="LJT-RPD-FINAL","固定短時支援 1 人／30 分鐘",IF($S128="初步可條件排",IF($G128="高複雜度","完整支援者 1:1（占 2 名額）","一般支援 1 名額"),"無"))</x:f>
        <x:v>無</x:v>
      </x:c>
      <x:c r="U128" s="53" t="str">
        <x:f>IF($J128&gt;0,"待確認共通技能門檻",IF($O128&lt;&gt;"已核定","待主管核定",IF(AND($G128="高複雜度",$P128&lt;&gt;"有效"),"資格未有效",$S128)))</x:f>
        <x:v>待確認共通技能門檻</x:v>
      </x:c>
      <x:c r="V128" t="str">
        <x:f>$A128&amp;"|"&amp;$C128</x:f>
        <x:v>1029|LJT-EXTRACTION</x:v>
      </x:c>
    </x:row>
    <x:row r="129">
      <x:c r="A129" s="37" t="str">
        <x:v>1029</x:v>
      </x:c>
      <x:c r="B129" s="37" t="str"/>
      <x:c r="C129" s="37" t="str">
        <x:v>LJT-CROWNPOST</x:v>
      </x:c>
      <x:c r="D129" s="37" t="str">
        <x:v>一般治療</x:v>
      </x:c>
      <x:c r="E129" s="37" t="str">
        <x:v>拆 crown/post</x:v>
      </x:c>
      <x:c r="F129" s="37" t="str">
        <x:v>一般</x:v>
      </x:c>
      <x:c r="G129" s="37" t="str">
        <x:v>一般</x:v>
      </x:c>
      <x:c r="H129" s="37" t="str">
        <x:v>LJT-PREP-CROWNPOST</x:v>
      </x:c>
      <x:c r="I129" s="48" t="n">
        <x:f>COUNTIFS('適配要求展開'!$A$7:$A$734,$A129,'適配要求展開'!$C$7:$C$734,$C129)</x:f>
        <x:v>4</x:v>
      </x:c>
      <x:c r="J129" s="48" t="n">
        <x:f>COUNTIFS('適配要求展開'!$A$7:$A$734,$A129,'適配要求展開'!$C$7:$C$734,$C129,'適配要求展開'!$I$7:$I$734,"待確認")</x:f>
        <x:v>3</x:v>
      </x:c>
      <x:c r="K129" s="48" t="n">
        <x:f>COUNTIFS('適配要求展開'!$A$7:$A$734,$A129,'適配要求展開'!$C$7:$C$734,$C129,'適配要求展開'!$N$7:$N$734,"不符合")</x:f>
        <x:v>4</x:v>
      </x:c>
      <x:c r="L129" s="48" t="n">
        <x:f>COUNTIFS('適配要求展開'!$A$7:$A$734,$A129,'適配要求展開'!$C$7:$C$734,$C129,'適配要求展開'!$L$7:$L$734,"Ø")</x:f>
        <x:v>0</x:v>
      </x:c>
      <x:c r="M129" s="51" t="n">
        <x:f>IF($I129=0,"n.a.",$L129/$I129)</x:f>
        <x:v>0</x:v>
      </x:c>
      <x:c r="N129" s="48" t="str">
        <x:f>_xlfn.XLOOKUP($A129&amp;"|李侑津醫師",'試行熟悉度'!$K$7:$K$20,'試行熟悉度'!$E$7:$E$20,"未評估",0)</x:f>
        <x:v>未評估</x:v>
      </x:c>
      <x:c r="O129" s="48" t="str">
        <x:f>IF(OR(COUNTIFS('適配要求展開'!$A$7:$A$734,$A129,'適配要求展開'!$C$7:$C$734,$C129,'適配要求展開'!$M$7:$M$734,"&lt;&gt;已核定")&gt;0,_xlfn.XLOOKUP($A129&amp;"|李侑津醫師",'試行熟悉度'!$K$7:$K$20,'試行熟悉度'!$F$7:$F$20,"未建立",0)&lt;&gt;"已核定"),"待主管核定","已核定")</x:f>
        <x:v>待主管核定</x:v>
      </x:c>
      <x:c r="P129" s="48" t="str">
        <x:f>IF($C129="LJT-RPD-FINAL","支援者另判",IF($G129="高複雜度",_xlfn.XLOOKUP($A129&amp;"|"&amp;$H129,'資格有效性'!$L$7:$L$62,'資格有效性'!$E$7:$E$62,"未建立",0),"不需複評"))</x:f>
        <x:v>不需複評</x:v>
      </x:c>
      <x:c r="Q129" s="48" t="n">
        <x:v>0</x:v>
      </x:c>
      <x:c r="R129" s="48"/>
      <x:c r="S129" s="48" t="str">
        <x:f>IF($K129&gt;0,"不可正式排",IF(OR($N129="未評估",$N129="學習中"),"不可正式排",IF(AND($L129=0,$N129="可獨立配合"),"初步可獨立",IF(AND($L129&lt;=3,$M129&lt;=1/3,OR($N129="可獨立配合",$N129="可配合但需支援")),"初步可條件排","不可正式排"))))</x:f>
        <x:v>不可正式排</x:v>
      </x:c>
      <x:c r="T129" s="53" t="str">
        <x:f>IF($C129="LJT-RPD-FINAL","固定短時支援 1 人／30 分鐘",IF($S129="初步可條件排",IF($G129="高複雜度","完整支援者 1:1（占 2 名額）","一般支援 1 名額"),"無"))</x:f>
        <x:v>無</x:v>
      </x:c>
      <x:c r="U129" s="53" t="str">
        <x:f>IF($J129&gt;0,"待確認共通技能門檻",IF($O129&lt;&gt;"已核定","待主管核定",IF(AND($G129="高複雜度",$P129&lt;&gt;"有效"),"資格未有效",$S129)))</x:f>
        <x:v>待確認共通技能門檻</x:v>
      </x:c>
      <x:c r="V129" t="str">
        <x:f>$A129&amp;"|"&amp;$C129</x:f>
        <x:v>1029|LJT-CROWNPOST</x:v>
      </x:c>
    </x:row>
    <x:row r="130">
      <x:c r="A130" s="37" t="str">
        <x:v>1029</x:v>
      </x:c>
      <x:c r="B130" s="37" t="str"/>
      <x:c r="C130" s="37" t="str">
        <x:v>LJT-CROWN</x:v>
      </x:c>
      <x:c r="D130" s="37" t="str">
        <x:v>補綴／自費</x:v>
      </x:c>
      <x:c r="E130" s="37" t="str">
        <x:v>固定假牙</x:v>
      </x:c>
      <x:c r="F130" s="37" t="str">
        <x:v>一般</x:v>
      </x:c>
      <x:c r="G130" s="37" t="str">
        <x:v>一般</x:v>
      </x:c>
      <x:c r="H130" s="37" t="str">
        <x:v>LJT-PREP-CROWN</x:v>
      </x:c>
      <x:c r="I130" s="48" t="n">
        <x:f>COUNTIFS('適配要求展開'!$A$7:$A$734,$A130,'適配要求展開'!$C$7:$C$734,$C130)</x:f>
        <x:v>4</x:v>
      </x:c>
      <x:c r="J130" s="48" t="n">
        <x:f>COUNTIFS('適配要求展開'!$A$7:$A$734,$A130,'適配要求展開'!$C$7:$C$734,$C130,'適配要求展開'!$I$7:$I$734,"待確認")</x:f>
        <x:v>3</x:v>
      </x:c>
      <x:c r="K130" s="48" t="n">
        <x:f>COUNTIFS('適配要求展開'!$A$7:$A$734,$A130,'適配要求展開'!$C$7:$C$734,$C130,'適配要求展開'!$N$7:$N$734,"不符合")</x:f>
        <x:v>4</x:v>
      </x:c>
      <x:c r="L130" s="48" t="n">
        <x:f>COUNTIFS('適配要求展開'!$A$7:$A$734,$A130,'適配要求展開'!$C$7:$C$734,$C130,'適配要求展開'!$L$7:$L$734,"Ø")</x:f>
        <x:v>0</x:v>
      </x:c>
      <x:c r="M130" s="51" t="n">
        <x:f>IF($I130=0,"n.a.",$L130/$I130)</x:f>
        <x:v>0</x:v>
      </x:c>
      <x:c r="N130" s="48" t="str">
        <x:f>_xlfn.XLOOKUP($A130&amp;"|李侑津醫師",'試行熟悉度'!$K$7:$K$20,'試行熟悉度'!$E$7:$E$20,"未評估",0)</x:f>
        <x:v>未評估</x:v>
      </x:c>
      <x:c r="O130" s="48" t="str">
        <x:f>IF(OR(COUNTIFS('適配要求展開'!$A$7:$A$734,$A130,'適配要求展開'!$C$7:$C$734,$C130,'適配要求展開'!$M$7:$M$734,"&lt;&gt;已核定")&gt;0,_xlfn.XLOOKUP($A130&amp;"|李侑津醫師",'試行熟悉度'!$K$7:$K$20,'試行熟悉度'!$F$7:$F$20,"未建立",0)&lt;&gt;"已核定"),"待主管核定","已核定")</x:f>
        <x:v>待主管核定</x:v>
      </x:c>
      <x:c r="P130" s="48" t="str">
        <x:f>IF($C130="LJT-RPD-FINAL","支援者另判",IF($G130="高複雜度",_xlfn.XLOOKUP($A130&amp;"|"&amp;$H130,'資格有效性'!$L$7:$L$62,'資格有效性'!$E$7:$E$62,"未建立",0),"不需複評"))</x:f>
        <x:v>不需複評</x:v>
      </x:c>
      <x:c r="Q130" s="48" t="n">
        <x:v>0</x:v>
      </x:c>
      <x:c r="R130" s="48"/>
      <x:c r="S130" s="48" t="str">
        <x:f>IF($K130&gt;0,"不可正式排",IF(OR($N130="未評估",$N130="學習中"),"不可正式排",IF(AND($L130=0,$N130="可獨立配合"),"初步可獨立",IF(AND($L130&lt;=3,$M130&lt;=1/3,OR($N130="可獨立配合",$N130="可配合但需支援")),"初步可條件排","不可正式排"))))</x:f>
        <x:v>不可正式排</x:v>
      </x:c>
      <x:c r="T130" s="53" t="str">
        <x:f>IF($C130="LJT-RPD-FINAL","固定短時支援 1 人／30 分鐘",IF($S130="初步可條件排",IF($G130="高複雜度","完整支援者 1:1（占 2 名額）","一般支援 1 名額"),"無"))</x:f>
        <x:v>無</x:v>
      </x:c>
      <x:c r="U130" s="53" t="str">
        <x:f>IF($J130&gt;0,"待確認共通技能門檻",IF($O130&lt;&gt;"已核定","待主管核定",IF(AND($G130="高複雜度",$P130&lt;&gt;"有效"),"資格未有效",$S130)))</x:f>
        <x:v>待確認共通技能門檻</x:v>
      </x:c>
      <x:c r="V130" t="str">
        <x:f>$A130&amp;"|"&amp;$C130</x:f>
        <x:v>1029|LJT-CROWN</x:v>
      </x:c>
    </x:row>
    <x:row r="131">
      <x:c r="A131" s="37" t="str">
        <x:v>1029</x:v>
      </x:c>
      <x:c r="B131" s="37" t="str"/>
      <x:c r="C131" s="37" t="str">
        <x:v>LJT-RPD</x:v>
      </x:c>
      <x:c r="D131" s="37" t="str">
        <x:v>補綴／自費</x:v>
      </x:c>
      <x:c r="E131" s="37" t="str">
        <x:v>RPD</x:v>
      </x:c>
      <x:c r="F131" s="37" t="str">
        <x:v>一般步驟</x:v>
      </x:c>
      <x:c r="G131" s="37" t="str">
        <x:v>一般</x:v>
      </x:c>
      <x:c r="H131" s="37" t="str">
        <x:v>LJT-PREP-RPD</x:v>
      </x:c>
      <x:c r="I131" s="48" t="n">
        <x:f>COUNTIFS('適配要求展開'!$A$7:$A$734,$A131,'適配要求展開'!$C$7:$C$734,$C131)</x:f>
        <x:v>4</x:v>
      </x:c>
      <x:c r="J131" s="48" t="n">
        <x:f>COUNTIFS('適配要求展開'!$A$7:$A$734,$A131,'適配要求展開'!$C$7:$C$734,$C131,'適配要求展開'!$I$7:$I$734,"待確認")</x:f>
        <x:v>3</x:v>
      </x:c>
      <x:c r="K131" s="48" t="n">
        <x:f>COUNTIFS('適配要求展開'!$A$7:$A$734,$A131,'適配要求展開'!$C$7:$C$734,$C131,'適配要求展開'!$N$7:$N$734,"不符合")</x:f>
        <x:v>4</x:v>
      </x:c>
      <x:c r="L131" s="48" t="n">
        <x:f>COUNTIFS('適配要求展開'!$A$7:$A$734,$A131,'適配要求展開'!$C$7:$C$734,$C131,'適配要求展開'!$L$7:$L$734,"Ø")</x:f>
        <x:v>0</x:v>
      </x:c>
      <x:c r="M131" s="51" t="n">
        <x:f>IF($I131=0,"n.a.",$L131/$I131)</x:f>
        <x:v>0</x:v>
      </x:c>
      <x:c r="N131" s="48" t="str">
        <x:f>_xlfn.XLOOKUP($A131&amp;"|李侑津醫師",'試行熟悉度'!$K$7:$K$20,'試行熟悉度'!$E$7:$E$20,"未評估",0)</x:f>
        <x:v>未評估</x:v>
      </x:c>
      <x:c r="O131" s="48" t="str">
        <x:f>IF(OR(COUNTIFS('適配要求展開'!$A$7:$A$734,$A131,'適配要求展開'!$C$7:$C$734,$C131,'適配要求展開'!$M$7:$M$734,"&lt;&gt;已核定")&gt;0,_xlfn.XLOOKUP($A131&amp;"|李侑津醫師",'試行熟悉度'!$K$7:$K$20,'試行熟悉度'!$F$7:$F$20,"未建立",0)&lt;&gt;"已核定"),"待主管核定","已核定")</x:f>
        <x:v>待主管核定</x:v>
      </x:c>
      <x:c r="P131" s="48" t="str">
        <x:f>IF($C131="LJT-RPD-FINAL","支援者另判",IF($G131="高複雜度",_xlfn.XLOOKUP($A131&amp;"|"&amp;$H131,'資格有效性'!$L$7:$L$62,'資格有效性'!$E$7:$E$62,"未建立",0),"不需複評"))</x:f>
        <x:v>不需複評</x:v>
      </x:c>
      <x:c r="Q131" s="48" t="n">
        <x:v>0</x:v>
      </x:c>
      <x:c r="R131" s="48"/>
      <x:c r="S131" s="48" t="str">
        <x:f>IF($K131&gt;0,"不可正式排",IF(OR($N131="未評估",$N131="學習中"),"不可正式排",IF(AND($L131=0,$N131="可獨立配合"),"初步可獨立",IF(AND($L131&lt;=3,$M131&lt;=1/3,OR($N131="可獨立配合",$N131="可配合但需支援")),"初步可條件排","不可正式排"))))</x:f>
        <x:v>不可正式排</x:v>
      </x:c>
      <x:c r="T131" s="53" t="str">
        <x:f>IF($C131="LJT-RPD-FINAL","固定短時支援 1 人／30 分鐘",IF($S131="初步可條件排",IF($G131="高複雜度","完整支援者 1:1（占 2 名額）","一般支援 1 名額"),"無"))</x:f>
        <x:v>無</x:v>
      </x:c>
      <x:c r="U131" s="53" t="str">
        <x:f>IF($J131&gt;0,"待確認共通技能門檻",IF($O131&lt;&gt;"已核定","待主管核定",IF(AND($G131="高複雜度",$P131&lt;&gt;"有效"),"資格未有效",$S131)))</x:f>
        <x:v>待確認共通技能門檻</x:v>
      </x:c>
      <x:c r="V131" t="str">
        <x:f>$A131&amp;"|"&amp;$C131</x:f>
        <x:v>1029|LJT-RPD</x:v>
      </x:c>
    </x:row>
    <x:row r="132">
      <x:c r="A132" s="37" t="str">
        <x:v>1029</x:v>
      </x:c>
      <x:c r="B132" s="37" t="str"/>
      <x:c r="C132" s="37" t="str">
        <x:v>LJT-RPD-FINAL</x:v>
      </x:c>
      <x:c r="D132" s="37" t="str">
        <x:v>補綴／自費</x:v>
      </x:c>
      <x:c r="E132" s="37" t="str">
        <x:v>RPD</x:v>
      </x:c>
      <x:c r="F132" s="37" t="str">
        <x:v>印最終模</x:v>
      </x:c>
      <x:c r="G132" s="37" t="str">
        <x:v>特殊階段</x:v>
      </x:c>
      <x:c r="H132" s="37" t="str">
        <x:v>LJT-PREP-RPD</x:v>
      </x:c>
      <x:c r="I132" s="48" t="n">
        <x:f>COUNTIFS('適配要求展開'!$A$7:$A$734,$A132,'適配要求展開'!$C$7:$C$734,$C132)</x:f>
        <x:v>4</x:v>
      </x:c>
      <x:c r="J132" s="48" t="n">
        <x:f>COUNTIFS('適配要求展開'!$A$7:$A$734,$A132,'適配要求展開'!$C$7:$C$734,$C132,'適配要求展開'!$I$7:$I$734,"待確認")</x:f>
        <x:v>3</x:v>
      </x:c>
      <x:c r="K132" s="48" t="n">
        <x:f>COUNTIFS('適配要求展開'!$A$7:$A$734,$A132,'適配要求展開'!$C$7:$C$734,$C132,'適配要求展開'!$N$7:$N$734,"不符合")</x:f>
        <x:v>4</x:v>
      </x:c>
      <x:c r="L132" s="48" t="n">
        <x:f>COUNTIFS('適配要求展開'!$A$7:$A$734,$A132,'適配要求展開'!$C$7:$C$734,$C132,'適配要求展開'!$L$7:$L$734,"Ø")</x:f>
        <x:v>0</x:v>
      </x:c>
      <x:c r="M132" s="51" t="n">
        <x:f>IF($I132=0,"n.a.",$L132/$I132)</x:f>
        <x:v>0</x:v>
      </x:c>
      <x:c r="N132" s="48" t="str">
        <x:f>_xlfn.XLOOKUP($A132&amp;"|李侑津醫師",'試行熟悉度'!$K$7:$K$20,'試行熟悉度'!$E$7:$E$20,"未評估",0)</x:f>
        <x:v>未評估</x:v>
      </x:c>
      <x:c r="O132" s="48" t="str">
        <x:f>IF(OR(COUNTIFS('適配要求展開'!$A$7:$A$734,$A132,'適配要求展開'!$C$7:$C$734,$C132,'適配要求展開'!$M$7:$M$734,"&lt;&gt;已核定")&gt;0,_xlfn.XLOOKUP($A132&amp;"|李侑津醫師",'試行熟悉度'!$K$7:$K$20,'試行熟悉度'!$F$7:$F$20,"未建立",0)&lt;&gt;"已核定"),"待主管核定","已核定")</x:f>
        <x:v>待主管核定</x:v>
      </x:c>
      <x:c r="P132" s="48" t="str">
        <x:f>IF($C132="LJT-RPD-FINAL","支援者另判",IF($G132="高複雜度",_xlfn.XLOOKUP($A132&amp;"|"&amp;$H132,'資格有效性'!$L$7:$L$62,'資格有效性'!$E$7:$E$62,"未建立",0),"不需複評"))</x:f>
        <x:v>支援者另判</x:v>
      </x:c>
      <x:c r="Q132" s="48" t="n">
        <x:v>1</x:v>
      </x:c>
      <x:c r="R132" s="48" t="n">
        <x:v>30</x:v>
      </x:c>
      <x:c r="S132" s="48" t="str">
        <x:f>IF($K132&gt;0,"不可正式排",IF(OR($N132="未評估",$N132="學習中"),"不可正式排",IF(AND($L132=0,$N132="可獨立配合"),"初步可獨立",IF(AND($L132&lt;=3,$M132&lt;=1/3,OR($N132="可獨立配合",$N132="可配合但需支援")),"初步可條件排","不可正式排"))))</x:f>
        <x:v>不可正式排</x:v>
      </x:c>
      <x:c r="T132" s="53" t="str">
        <x:f>IF($C132="LJT-RPD-FINAL","固定短時支援 1 人／30 分鐘",IF($S132="初步可條件排",IF($G132="高複雜度","完整支援者 1:1（占 2 名額）","一般支援 1 名額"),"無"))</x:f>
        <x:v>固定短時支援 1 人／30 分鐘</x:v>
      </x:c>
      <x:c r="U132" s="53" t="str">
        <x:f>IF($J132&gt;0,"待確認共通技能門檻",IF($O132&lt;&gt;"已核定","待主管核定",IF(AND($G132="高複雜度",$P132&lt;&gt;"有效"),"資格未有效",$S132)))</x:f>
        <x:v>待確認共通技能門檻</x:v>
      </x:c>
      <x:c r="V132" t="str">
        <x:f>$A132&amp;"|"&amp;$C132</x:f>
        <x:v>1029|LJT-RPD-FINAL</x:v>
      </x:c>
    </x:row>
    <x:row r="133">
      <x:c r="A133" s="37" t="str">
        <x:v>1029</x:v>
      </x:c>
      <x:c r="B133" s="37" t="str"/>
      <x:c r="C133" s="37" t="str">
        <x:v>LJT-AIRPOLISH</x:v>
      </x:c>
      <x:c r="D133" s="37" t="str">
        <x:v>補綴／自費</x:v>
      </x:c>
      <x:c r="E133" s="37" t="str">
        <x:v>噴砂美白</x:v>
      </x:c>
      <x:c r="F133" s="37" t="str">
        <x:v>一般</x:v>
      </x:c>
      <x:c r="G133" s="37" t="str">
        <x:v>一般</x:v>
      </x:c>
      <x:c r="H133" s="37" t="str">
        <x:v>LJT-PREP-AIRPOLISH</x:v>
      </x:c>
      <x:c r="I133" s="48" t="n">
        <x:f>COUNTIFS('適配要求展開'!$A$7:$A$734,$A133,'適配要求展開'!$C$7:$C$734,$C133)</x:f>
        <x:v>4</x:v>
      </x:c>
      <x:c r="J133" s="48" t="n">
        <x:f>COUNTIFS('適配要求展開'!$A$7:$A$734,$A133,'適配要求展開'!$C$7:$C$734,$C133,'適配要求展開'!$I$7:$I$734,"待確認")</x:f>
        <x:v>3</x:v>
      </x:c>
      <x:c r="K133" s="48" t="n">
        <x:f>COUNTIFS('適配要求展開'!$A$7:$A$734,$A133,'適配要求展開'!$C$7:$C$734,$C133,'適配要求展開'!$N$7:$N$734,"不符合")</x:f>
        <x:v>4</x:v>
      </x:c>
      <x:c r="L133" s="48" t="n">
        <x:f>COUNTIFS('適配要求展開'!$A$7:$A$734,$A133,'適配要求展開'!$C$7:$C$734,$C133,'適配要求展開'!$L$7:$L$734,"Ø")</x:f>
        <x:v>0</x:v>
      </x:c>
      <x:c r="M133" s="51" t="n">
        <x:f>IF($I133=0,"n.a.",$L133/$I133)</x:f>
        <x:v>0</x:v>
      </x:c>
      <x:c r="N133" s="48" t="str">
        <x:f>_xlfn.XLOOKUP($A133&amp;"|李侑津醫師",'試行熟悉度'!$K$7:$K$20,'試行熟悉度'!$E$7:$E$20,"未評估",0)</x:f>
        <x:v>未評估</x:v>
      </x:c>
      <x:c r="O133" s="48" t="str">
        <x:f>IF(OR(COUNTIFS('適配要求展開'!$A$7:$A$734,$A133,'適配要求展開'!$C$7:$C$734,$C133,'適配要求展開'!$M$7:$M$734,"&lt;&gt;已核定")&gt;0,_xlfn.XLOOKUP($A133&amp;"|李侑津醫師",'試行熟悉度'!$K$7:$K$20,'試行熟悉度'!$F$7:$F$20,"未建立",0)&lt;&gt;"已核定"),"待主管核定","已核定")</x:f>
        <x:v>待主管核定</x:v>
      </x:c>
      <x:c r="P133" s="48" t="str">
        <x:f>IF($C133="LJT-RPD-FINAL","支援者另判",IF($G133="高複雜度",_xlfn.XLOOKUP($A133&amp;"|"&amp;$H133,'資格有效性'!$L$7:$L$62,'資格有效性'!$E$7:$E$62,"未建立",0),"不需複評"))</x:f>
        <x:v>不需複評</x:v>
      </x:c>
      <x:c r="Q133" s="48" t="n">
        <x:v>0</x:v>
      </x:c>
      <x:c r="R133" s="48"/>
      <x:c r="S133" s="48" t="str">
        <x:f>IF($K133&gt;0,"不可正式排",IF(OR($N133="未評估",$N133="學習中"),"不可正式排",IF(AND($L133=0,$N133="可獨立配合"),"初步可獨立",IF(AND($L133&lt;=3,$M133&lt;=1/3,OR($N133="可獨立配合",$N133="可配合但需支援")),"初步可條件排","不可正式排"))))</x:f>
        <x:v>不可正式排</x:v>
      </x:c>
      <x:c r="T133" s="53" t="str">
        <x:f>IF($C133="LJT-RPD-FINAL","固定短時支援 1 人／30 分鐘",IF($S133="初步可條件排",IF($G133="高複雜度","完整支援者 1:1（占 2 名額）","一般支援 1 名額"),"無"))</x:f>
        <x:v>無</x:v>
      </x:c>
      <x:c r="U133" s="53" t="str">
        <x:f>IF($J133&gt;0,"待確認共通技能門檻",IF($O133&lt;&gt;"已核定","待主管核定",IF(AND($G133="高複雜度",$P133&lt;&gt;"有效"),"資格未有效",$S133)))</x:f>
        <x:v>待確認共通技能門檻</x:v>
      </x:c>
      <x:c r="V133" t="str">
        <x:f>$A133&amp;"|"&amp;$C133</x:f>
        <x:v>1029|LJT-AIRPOLISH</x:v>
      </x:c>
    </x:row>
    <x:row r="134">
      <x:c r="A134" s="37" t="str">
        <x:v>1029</x:v>
      </x:c>
      <x:c r="B134" s="37" t="str"/>
      <x:c r="C134" s="37" t="str">
        <x:v>LJT-PERIOSURG</x:v>
      </x:c>
      <x:c r="D134" s="37" t="str">
        <x:v>高複雜度</x:v>
      </x:c>
      <x:c r="E134" s="37" t="str">
        <x:v>牙周手術</x:v>
      </x:c>
      <x:c r="F134" s="37" t="str">
        <x:v>一般</x:v>
      </x:c>
      <x:c r="G134" s="37" t="str">
        <x:v>高複雜度</x:v>
      </x:c>
      <x:c r="H134" s="37" t="str">
        <x:v>LJT-PREP-PERIOSURG</x:v>
      </x:c>
      <x:c r="I134" s="48" t="n">
        <x:f>COUNTIFS('適配要求展開'!$A$7:$A$734,$A134,'適配要求展開'!$C$7:$C$734,$C134)</x:f>
        <x:v>4</x:v>
      </x:c>
      <x:c r="J134" s="48" t="n">
        <x:f>COUNTIFS('適配要求展開'!$A$7:$A$734,$A134,'適配要求展開'!$C$7:$C$734,$C134,'適配要求展開'!$I$7:$I$734,"待確認")</x:f>
        <x:v>3</x:v>
      </x:c>
      <x:c r="K134" s="48" t="n">
        <x:f>COUNTIFS('適配要求展開'!$A$7:$A$734,$A134,'適配要求展開'!$C$7:$C$734,$C134,'適配要求展開'!$N$7:$N$734,"不符合")</x:f>
        <x:v>4</x:v>
      </x:c>
      <x:c r="L134" s="48" t="n">
        <x:f>COUNTIFS('適配要求展開'!$A$7:$A$734,$A134,'適配要求展開'!$C$7:$C$734,$C134,'適配要求展開'!$L$7:$L$734,"Ø")</x:f>
        <x:v>0</x:v>
      </x:c>
      <x:c r="M134" s="51" t="n">
        <x:f>IF($I134=0,"n.a.",$L134/$I134)</x:f>
        <x:v>0</x:v>
      </x:c>
      <x:c r="N134" s="48" t="str">
        <x:f>_xlfn.XLOOKUP($A134&amp;"|李侑津醫師",'試行熟悉度'!$K$7:$K$20,'試行熟悉度'!$E$7:$E$20,"未評估",0)</x:f>
        <x:v>未評估</x:v>
      </x:c>
      <x:c r="O134" s="48" t="str">
        <x:f>IF(OR(COUNTIFS('適配要求展開'!$A$7:$A$734,$A134,'適配要求展開'!$C$7:$C$734,$C134,'適配要求展開'!$M$7:$M$734,"&lt;&gt;已核定")&gt;0,_xlfn.XLOOKUP($A134&amp;"|李侑津醫師",'試行熟悉度'!$K$7:$K$20,'試行熟悉度'!$F$7:$F$20,"未建立",0)&lt;&gt;"已核定"),"待主管核定","已核定")</x:f>
        <x:v>待主管核定</x:v>
      </x:c>
      <x:c r="P134" s="48" t="str">
        <x:f>IF($C134="LJT-RPD-FINAL","支援者另判",IF($G134="高複雜度",_xlfn.XLOOKUP($A134&amp;"|"&amp;$H134,'資格有效性'!$L$7:$L$62,'資格有效性'!$E$7:$E$62,"未建立",0),"不需複評"))</x:f>
        <x:v>未建立</x:v>
      </x:c>
      <x:c r="Q134" s="48" t="n">
        <x:v>0</x:v>
      </x:c>
      <x:c r="R134" s="48"/>
      <x:c r="S134" s="48" t="str">
        <x:f>IF($K134&gt;0,"不可正式排",IF(OR($N134="未評估",$N134="學習中"),"不可正式排",IF(AND($L134=0,$N134="可獨立配合"),"初步可獨立",IF(AND($L134&lt;=3,$M134&lt;=1/3,OR($N134="可獨立配合",$N134="可配合但需支援")),"初步可條件排","不可正式排"))))</x:f>
        <x:v>不可正式排</x:v>
      </x:c>
      <x:c r="T134" s="53" t="str">
        <x:f>IF($C134="LJT-RPD-FINAL","固定短時支援 1 人／30 分鐘",IF($S134="初步可條件排",IF($G134="高複雜度","完整支援者 1:1（占 2 名額）","一般支援 1 名額"),"無"))</x:f>
        <x:v>無</x:v>
      </x:c>
      <x:c r="U134" s="53" t="str">
        <x:f>IF($J134&gt;0,"待確認共通技能門檻",IF($O134&lt;&gt;"已核定","待主管核定",IF(AND($G134="高複雜度",$P134&lt;&gt;"有效"),"資格未有效",$S134)))</x:f>
        <x:v>待確認共通技能門檻</x:v>
      </x:c>
      <x:c r="V134" t="str">
        <x:f>$A134&amp;"|"&amp;$C134</x:f>
        <x:v>1029|LJT-PERIOSURG</x:v>
      </x:c>
    </x:row>
    <x:row r="135">
      <x:c r="A135" s="37" t="str">
        <x:v>1029</x:v>
      </x:c>
      <x:c r="B135" s="37" t="str"/>
      <x:c r="C135" s="37" t="str">
        <x:v>LJT-MICROENDO</x:v>
      </x:c>
      <x:c r="D135" s="37" t="str">
        <x:v>高複雜度</x:v>
      </x:c>
      <x:c r="E135" s="37" t="str">
        <x:v>顯微根管</x:v>
      </x:c>
      <x:c r="F135" s="37" t="str">
        <x:v>一般</x:v>
      </x:c>
      <x:c r="G135" s="37" t="str">
        <x:v>高複雜度</x:v>
      </x:c>
      <x:c r="H135" s="37" t="str">
        <x:v>LJT-PREP-MICROENDO</x:v>
      </x:c>
      <x:c r="I135" s="48" t="n">
        <x:f>COUNTIFS('適配要求展開'!$A$7:$A$734,$A135,'適配要求展開'!$C$7:$C$734,$C135)</x:f>
        <x:v>4</x:v>
      </x:c>
      <x:c r="J135" s="48" t="n">
        <x:f>COUNTIFS('適配要求展開'!$A$7:$A$734,$A135,'適配要求展開'!$C$7:$C$734,$C135,'適配要求展開'!$I$7:$I$734,"待確認")</x:f>
        <x:v>3</x:v>
      </x:c>
      <x:c r="K135" s="48" t="n">
        <x:f>COUNTIFS('適配要求展開'!$A$7:$A$734,$A135,'適配要求展開'!$C$7:$C$734,$C135,'適配要求展開'!$N$7:$N$734,"不符合")</x:f>
        <x:v>4</x:v>
      </x:c>
      <x:c r="L135" s="48" t="n">
        <x:f>COUNTIFS('適配要求展開'!$A$7:$A$734,$A135,'適配要求展開'!$C$7:$C$734,$C135,'適配要求展開'!$L$7:$L$734,"Ø")</x:f>
        <x:v>0</x:v>
      </x:c>
      <x:c r="M135" s="51" t="n">
        <x:f>IF($I135=0,"n.a.",$L135/$I135)</x:f>
        <x:v>0</x:v>
      </x:c>
      <x:c r="N135" s="48" t="str">
        <x:f>_xlfn.XLOOKUP($A135&amp;"|李侑津醫師",'試行熟悉度'!$K$7:$K$20,'試行熟悉度'!$E$7:$E$20,"未評估",0)</x:f>
        <x:v>未評估</x:v>
      </x:c>
      <x:c r="O135" s="48" t="str">
        <x:f>IF(OR(COUNTIFS('適配要求展開'!$A$7:$A$734,$A135,'適配要求展開'!$C$7:$C$734,$C135,'適配要求展開'!$M$7:$M$734,"&lt;&gt;已核定")&gt;0,_xlfn.XLOOKUP($A135&amp;"|李侑津醫師",'試行熟悉度'!$K$7:$K$20,'試行熟悉度'!$F$7:$F$20,"未建立",0)&lt;&gt;"已核定"),"待主管核定","已核定")</x:f>
        <x:v>待主管核定</x:v>
      </x:c>
      <x:c r="P135" s="48" t="str">
        <x:f>IF($C135="LJT-RPD-FINAL","支援者另判",IF($G135="高複雜度",_xlfn.XLOOKUP($A135&amp;"|"&amp;$H135,'資格有效性'!$L$7:$L$62,'資格有效性'!$E$7:$E$62,"未建立",0),"不需複評"))</x:f>
        <x:v>未建立</x:v>
      </x:c>
      <x:c r="Q135" s="48" t="n">
        <x:v>0</x:v>
      </x:c>
      <x:c r="R135" s="48"/>
      <x:c r="S135" s="48" t="str">
        <x:f>IF($K135&gt;0,"不可正式排",IF(OR($N135="未評估",$N135="學習中"),"不可正式排",IF(AND($L135=0,$N135="可獨立配合"),"初步可獨立",IF(AND($L135&lt;=3,$M135&lt;=1/3,OR($N135="可獨立配合",$N135="可配合但需支援")),"初步可條件排","不可正式排"))))</x:f>
        <x:v>不可正式排</x:v>
      </x:c>
      <x:c r="T135" s="53" t="str">
        <x:f>IF($C135="LJT-RPD-FINAL","固定短時支援 1 人／30 分鐘",IF($S135="初步可條件排",IF($G135="高複雜度","完整支援者 1:1（占 2 名額）","一般支援 1 名額"),"無"))</x:f>
        <x:v>無</x:v>
      </x:c>
      <x:c r="U135" s="53" t="str">
        <x:f>IF($J135&gt;0,"待確認共通技能門檻",IF($O135&lt;&gt;"已核定","待主管核定",IF(AND($G135="高複雜度",$P135&lt;&gt;"有效"),"資格未有效",$S135)))</x:f>
        <x:v>待確認共通技能門檻</x:v>
      </x:c>
      <x:c r="V135" t="str">
        <x:f>$A135&amp;"|"&amp;$C135</x:f>
        <x:v>1029|LJT-MICROENDO</x:v>
      </x:c>
    </x:row>
    <x:row r="136">
      <x:c r="A136" s="37" t="str">
        <x:v>1029</x:v>
      </x:c>
      <x:c r="B136" s="37" t="str"/>
      <x:c r="C136" s="37" t="str">
        <x:v>LJT-IMPLANT</x:v>
      </x:c>
      <x:c r="D136" s="37" t="str">
        <x:v>高複雜度</x:v>
      </x:c>
      <x:c r="E136" s="37" t="str">
        <x:v>植牙</x:v>
      </x:c>
      <x:c r="F136" s="37" t="str">
        <x:v>一般</x:v>
      </x:c>
      <x:c r="G136" s="37" t="str">
        <x:v>高複雜度</x:v>
      </x:c>
      <x:c r="H136" s="37" t="str">
        <x:v>LJT-PREP-IMPLANT</x:v>
      </x:c>
      <x:c r="I136" s="48" t="n">
        <x:f>COUNTIFS('適配要求展開'!$A$7:$A$734,$A136,'適配要求展開'!$C$7:$C$734,$C136)</x:f>
        <x:v>4</x:v>
      </x:c>
      <x:c r="J136" s="48" t="n">
        <x:f>COUNTIFS('適配要求展開'!$A$7:$A$734,$A136,'適配要求展開'!$C$7:$C$734,$C136,'適配要求展開'!$I$7:$I$734,"待確認")</x:f>
        <x:v>3</x:v>
      </x:c>
      <x:c r="K136" s="48" t="n">
        <x:f>COUNTIFS('適配要求展開'!$A$7:$A$734,$A136,'適配要求展開'!$C$7:$C$734,$C136,'適配要求展開'!$N$7:$N$734,"不符合")</x:f>
        <x:v>4</x:v>
      </x:c>
      <x:c r="L136" s="48" t="n">
        <x:f>COUNTIFS('適配要求展開'!$A$7:$A$734,$A136,'適配要求展開'!$C$7:$C$734,$C136,'適配要求展開'!$L$7:$L$734,"Ø")</x:f>
        <x:v>0</x:v>
      </x:c>
      <x:c r="M136" s="51" t="n">
        <x:f>IF($I136=0,"n.a.",$L136/$I136)</x:f>
        <x:v>0</x:v>
      </x:c>
      <x:c r="N136" s="48" t="str">
        <x:f>_xlfn.XLOOKUP($A136&amp;"|李侑津醫師",'試行熟悉度'!$K$7:$K$20,'試行熟悉度'!$E$7:$E$20,"未評估",0)</x:f>
        <x:v>未評估</x:v>
      </x:c>
      <x:c r="O136" s="48" t="str">
        <x:f>IF(OR(COUNTIFS('適配要求展開'!$A$7:$A$734,$A136,'適配要求展開'!$C$7:$C$734,$C136,'適配要求展開'!$M$7:$M$734,"&lt;&gt;已核定")&gt;0,_xlfn.XLOOKUP($A136&amp;"|李侑津醫師",'試行熟悉度'!$K$7:$K$20,'試行熟悉度'!$F$7:$F$20,"未建立",0)&lt;&gt;"已核定"),"待主管核定","已核定")</x:f>
        <x:v>待主管核定</x:v>
      </x:c>
      <x:c r="P136" s="48" t="str">
        <x:f>IF($C136="LJT-RPD-FINAL","支援者另判",IF($G136="高複雜度",_xlfn.XLOOKUP($A136&amp;"|"&amp;$H136,'資格有效性'!$L$7:$L$62,'資格有效性'!$E$7:$E$62,"未建立",0),"不需複評"))</x:f>
        <x:v>未建立</x:v>
      </x:c>
      <x:c r="Q136" s="48" t="n">
        <x:v>0</x:v>
      </x:c>
      <x:c r="R136" s="48"/>
      <x:c r="S136" s="48" t="str">
        <x:f>IF($K136&gt;0,"不可正式排",IF(OR($N136="未評估",$N136="學習中"),"不可正式排",IF(AND($L136=0,$N136="可獨立配合"),"初步可獨立",IF(AND($L136&lt;=3,$M136&lt;=1/3,OR($N136="可獨立配合",$N136="可配合但需支援")),"初步可條件排","不可正式排"))))</x:f>
        <x:v>不可正式排</x:v>
      </x:c>
      <x:c r="T136" s="53" t="str">
        <x:f>IF($C136="LJT-RPD-FINAL","固定短時支援 1 人／30 分鐘",IF($S136="初步可條件排",IF($G136="高複雜度","完整支援者 1:1（占 2 名額）","一般支援 1 名額"),"無"))</x:f>
        <x:v>無</x:v>
      </x:c>
      <x:c r="U136" s="53" t="str">
        <x:f>IF($J136&gt;0,"待確認共通技能門檻",IF($O136&lt;&gt;"已核定","待主管核定",IF(AND($G136="高複雜度",$P136&lt;&gt;"有效"),"資格未有效",$S136)))</x:f>
        <x:v>待確認共通技能門檻</x:v>
      </x:c>
      <x:c r="V136" t="str">
        <x:f>$A136&amp;"|"&amp;$C136</x:f>
        <x:v>1029|LJT-IMPLANT</x:v>
      </x:c>
    </x:row>
    <x:row r="137">
      <x:c r="A137" s="37" t="str">
        <x:v>1030</x:v>
      </x:c>
      <x:c r="B137" s="37" t="str"/>
      <x:c r="C137" s="37" t="str">
        <x:v>LJT-SCALING</x:v>
      </x:c>
      <x:c r="D137" s="37" t="str">
        <x:v>一般治療</x:v>
      </x:c>
      <x:c r="E137" s="37" t="str">
        <x:v>洗牙</x:v>
      </x:c>
      <x:c r="F137" s="37" t="str">
        <x:v>一般</x:v>
      </x:c>
      <x:c r="G137" s="37" t="str">
        <x:v>一般</x:v>
      </x:c>
      <x:c r="H137" s="37" t="str">
        <x:v>LJT-PREP-SCALING</x:v>
      </x:c>
      <x:c r="I137" s="48" t="n">
        <x:f>COUNTIFS('適配要求展開'!$A$7:$A$734,$A137,'適配要求展開'!$C$7:$C$734,$C137)</x:f>
        <x:v>4</x:v>
      </x:c>
      <x:c r="J137" s="48" t="n">
        <x:f>COUNTIFS('適配要求展開'!$A$7:$A$734,$A137,'適配要求展開'!$C$7:$C$734,$C137,'適配要求展開'!$I$7:$I$734,"待確認")</x:f>
        <x:v>3</x:v>
      </x:c>
      <x:c r="K137" s="48" t="n">
        <x:f>COUNTIFS('適配要求展開'!$A$7:$A$734,$A137,'適配要求展開'!$C$7:$C$734,$C137,'適配要求展開'!$N$7:$N$734,"不符合")</x:f>
        <x:v>4</x:v>
      </x:c>
      <x:c r="L137" s="48" t="n">
        <x:f>COUNTIFS('適配要求展開'!$A$7:$A$734,$A137,'適配要求展開'!$C$7:$C$734,$C137,'適配要求展開'!$L$7:$L$734,"Ø")</x:f>
        <x:v>0</x:v>
      </x:c>
      <x:c r="M137" s="51" t="n">
        <x:f>IF($I137=0,"n.a.",$L137/$I137)</x:f>
        <x:v>0</x:v>
      </x:c>
      <x:c r="N137" s="48" t="str">
        <x:f>_xlfn.XLOOKUP($A137&amp;"|李侑津醫師",'試行熟悉度'!$K$7:$K$20,'試行熟悉度'!$E$7:$E$20,"未評估",0)</x:f>
        <x:v>未評估</x:v>
      </x:c>
      <x:c r="O137" s="48" t="str">
        <x:f>IF(OR(COUNTIFS('適配要求展開'!$A$7:$A$734,$A137,'適配要求展開'!$C$7:$C$734,$C137,'適配要求展開'!$M$7:$M$734,"&lt;&gt;已核定")&gt;0,_xlfn.XLOOKUP($A137&amp;"|李侑津醫師",'試行熟悉度'!$K$7:$K$20,'試行熟悉度'!$F$7:$F$20,"未建立",0)&lt;&gt;"已核定"),"待主管核定","已核定")</x:f>
        <x:v>待主管核定</x:v>
      </x:c>
      <x:c r="P137" s="48" t="str">
        <x:f>IF($C137="LJT-RPD-FINAL","支援者另判",IF($G137="高複雜度",_xlfn.XLOOKUP($A137&amp;"|"&amp;$H137,'資格有效性'!$L$7:$L$62,'資格有效性'!$E$7:$E$62,"未建立",0),"不需複評"))</x:f>
        <x:v>不需複評</x:v>
      </x:c>
      <x:c r="Q137" s="48" t="n">
        <x:v>0</x:v>
      </x:c>
      <x:c r="R137" s="48"/>
      <x:c r="S137" s="48" t="str">
        <x:f>IF($K137&gt;0,"不可正式排",IF(OR($N137="未評估",$N137="學習中"),"不可正式排",IF(AND($L137=0,$N137="可獨立配合"),"初步可獨立",IF(AND($L137&lt;=3,$M137&lt;=1/3,OR($N137="可獨立配合",$N137="可配合但需支援")),"初步可條件排","不可正式排"))))</x:f>
        <x:v>不可正式排</x:v>
      </x:c>
      <x:c r="T137" s="53" t="str">
        <x:f>IF($C137="LJT-RPD-FINAL","固定短時支援 1 人／30 分鐘",IF($S137="初步可條件排",IF($G137="高複雜度","完整支援者 1:1（占 2 名額）","一般支援 1 名額"),"無"))</x:f>
        <x:v>無</x:v>
      </x:c>
      <x:c r="U137" s="53" t="str">
        <x:f>IF($J137&gt;0,"待確認共通技能門檻",IF($O137&lt;&gt;"已核定","待主管核定",IF(AND($G137="高複雜度",$P137&lt;&gt;"有效"),"資格未有效",$S137)))</x:f>
        <x:v>待確認共通技能門檻</x:v>
      </x:c>
      <x:c r="V137" t="str">
        <x:f>$A137&amp;"|"&amp;$C137</x:f>
        <x:v>1030|LJT-SCALING</x:v>
      </x:c>
    </x:row>
    <x:row r="138">
      <x:c r="A138" s="37" t="str">
        <x:v>1030</x:v>
      </x:c>
      <x:c r="B138" s="37" t="str"/>
      <x:c r="C138" s="37" t="str">
        <x:v>LJT-FILLING</x:v>
      </x:c>
      <x:c r="D138" s="37" t="str">
        <x:v>一般治療</x:v>
      </x:c>
      <x:c r="E138" s="37" t="str">
        <x:v>補牙</x:v>
      </x:c>
      <x:c r="F138" s="37" t="str">
        <x:v>一般</x:v>
      </x:c>
      <x:c r="G138" s="37" t="str">
        <x:v>一般</x:v>
      </x:c>
      <x:c r="H138" s="37" t="str">
        <x:v>LJT-PREP-FILLING</x:v>
      </x:c>
      <x:c r="I138" s="48" t="n">
        <x:f>COUNTIFS('適配要求展開'!$A$7:$A$734,$A138,'適配要求展開'!$C$7:$C$734,$C138)</x:f>
        <x:v>4</x:v>
      </x:c>
      <x:c r="J138" s="48" t="n">
        <x:f>COUNTIFS('適配要求展開'!$A$7:$A$734,$A138,'適配要求展開'!$C$7:$C$734,$C138,'適配要求展開'!$I$7:$I$734,"待確認")</x:f>
        <x:v>3</x:v>
      </x:c>
      <x:c r="K138" s="48" t="n">
        <x:f>COUNTIFS('適配要求展開'!$A$7:$A$734,$A138,'適配要求展開'!$C$7:$C$734,$C138,'適配要求展開'!$N$7:$N$734,"不符合")</x:f>
        <x:v>4</x:v>
      </x:c>
      <x:c r="L138" s="48" t="n">
        <x:f>COUNTIFS('適配要求展開'!$A$7:$A$734,$A138,'適配要求展開'!$C$7:$C$734,$C138,'適配要求展開'!$L$7:$L$734,"Ø")</x:f>
        <x:v>0</x:v>
      </x:c>
      <x:c r="M138" s="51" t="n">
        <x:f>IF($I138=0,"n.a.",$L138/$I138)</x:f>
        <x:v>0</x:v>
      </x:c>
      <x:c r="N138" s="48" t="str">
        <x:f>_xlfn.XLOOKUP($A138&amp;"|李侑津醫師",'試行熟悉度'!$K$7:$K$20,'試行熟悉度'!$E$7:$E$20,"未評估",0)</x:f>
        <x:v>未評估</x:v>
      </x:c>
      <x:c r="O138" s="48" t="str">
        <x:f>IF(OR(COUNTIFS('適配要求展開'!$A$7:$A$734,$A138,'適配要求展開'!$C$7:$C$734,$C138,'適配要求展開'!$M$7:$M$734,"&lt;&gt;已核定")&gt;0,_xlfn.XLOOKUP($A138&amp;"|李侑津醫師",'試行熟悉度'!$K$7:$K$20,'試行熟悉度'!$F$7:$F$20,"未建立",0)&lt;&gt;"已核定"),"待主管核定","已核定")</x:f>
        <x:v>待主管核定</x:v>
      </x:c>
      <x:c r="P138" s="48" t="str">
        <x:f>IF($C138="LJT-RPD-FINAL","支援者另判",IF($G138="高複雜度",_xlfn.XLOOKUP($A138&amp;"|"&amp;$H138,'資格有效性'!$L$7:$L$62,'資格有效性'!$E$7:$E$62,"未建立",0),"不需複評"))</x:f>
        <x:v>不需複評</x:v>
      </x:c>
      <x:c r="Q138" s="48" t="n">
        <x:v>0</x:v>
      </x:c>
      <x:c r="R138" s="48"/>
      <x:c r="S138" s="48" t="str">
        <x:f>IF($K138&gt;0,"不可正式排",IF(OR($N138="未評估",$N138="學習中"),"不可正式排",IF(AND($L138=0,$N138="可獨立配合"),"初步可獨立",IF(AND($L138&lt;=3,$M138&lt;=1/3,OR($N138="可獨立配合",$N138="可配合但需支援")),"初步可條件排","不可正式排"))))</x:f>
        <x:v>不可正式排</x:v>
      </x:c>
      <x:c r="T138" s="53" t="str">
        <x:f>IF($C138="LJT-RPD-FINAL","固定短時支援 1 人／30 分鐘",IF($S138="初步可條件排",IF($G138="高複雜度","完整支援者 1:1（占 2 名額）","一般支援 1 名額"),"無"))</x:f>
        <x:v>無</x:v>
      </x:c>
      <x:c r="U138" s="53" t="str">
        <x:f>IF($J138&gt;0,"待確認共通技能門檻",IF($O138&lt;&gt;"已核定","待主管核定",IF(AND($G138="高複雜度",$P138&lt;&gt;"有效"),"資格未有效",$S138)))</x:f>
        <x:v>待確認共通技能門檻</x:v>
      </x:c>
      <x:c r="V138" t="str">
        <x:f>$A138&amp;"|"&amp;$C138</x:f>
        <x:v>1030|LJT-FILLING</x:v>
      </x:c>
    </x:row>
    <x:row r="139">
      <x:c r="A139" s="37" t="str">
        <x:v>1030</x:v>
      </x:c>
      <x:c r="B139" s="37" t="str"/>
      <x:c r="C139" s="37" t="str">
        <x:v>LJT-PERIO</x:v>
      </x:c>
      <x:c r="D139" s="37" t="str">
        <x:v>一般治療</x:v>
      </x:c>
      <x:c r="E139" s="37" t="str">
        <x:v>牙周統合</x:v>
      </x:c>
      <x:c r="F139" s="37" t="str">
        <x:v>一般</x:v>
      </x:c>
      <x:c r="G139" s="37" t="str">
        <x:v>一般</x:v>
      </x:c>
      <x:c r="H139" s="37" t="str">
        <x:v>LJT-PREP-PERIO</x:v>
      </x:c>
      <x:c r="I139" s="48" t="n">
        <x:f>COUNTIFS('適配要求展開'!$A$7:$A$734,$A139,'適配要求展開'!$C$7:$C$734,$C139)</x:f>
        <x:v>4</x:v>
      </x:c>
      <x:c r="J139" s="48" t="n">
        <x:f>COUNTIFS('適配要求展開'!$A$7:$A$734,$A139,'適配要求展開'!$C$7:$C$734,$C139,'適配要求展開'!$I$7:$I$734,"待確認")</x:f>
        <x:v>3</x:v>
      </x:c>
      <x:c r="K139" s="48" t="n">
        <x:f>COUNTIFS('適配要求展開'!$A$7:$A$734,$A139,'適配要求展開'!$C$7:$C$734,$C139,'適配要求展開'!$N$7:$N$734,"不符合")</x:f>
        <x:v>4</x:v>
      </x:c>
      <x:c r="L139" s="48" t="n">
        <x:f>COUNTIFS('適配要求展開'!$A$7:$A$734,$A139,'適配要求展開'!$C$7:$C$734,$C139,'適配要求展開'!$L$7:$L$734,"Ø")</x:f>
        <x:v>0</x:v>
      </x:c>
      <x:c r="M139" s="51" t="n">
        <x:f>IF($I139=0,"n.a.",$L139/$I139)</x:f>
        <x:v>0</x:v>
      </x:c>
      <x:c r="N139" s="48" t="str">
        <x:f>_xlfn.XLOOKUP($A139&amp;"|李侑津醫師",'試行熟悉度'!$K$7:$K$20,'試行熟悉度'!$E$7:$E$20,"未評估",0)</x:f>
        <x:v>未評估</x:v>
      </x:c>
      <x:c r="O139" s="48" t="str">
        <x:f>IF(OR(COUNTIFS('適配要求展開'!$A$7:$A$734,$A139,'適配要求展開'!$C$7:$C$734,$C139,'適配要求展開'!$M$7:$M$734,"&lt;&gt;已核定")&gt;0,_xlfn.XLOOKUP($A139&amp;"|李侑津醫師",'試行熟悉度'!$K$7:$K$20,'試行熟悉度'!$F$7:$F$20,"未建立",0)&lt;&gt;"已核定"),"待主管核定","已核定")</x:f>
        <x:v>待主管核定</x:v>
      </x:c>
      <x:c r="P139" s="48" t="str">
        <x:f>IF($C139="LJT-RPD-FINAL","支援者另判",IF($G139="高複雜度",_xlfn.XLOOKUP($A139&amp;"|"&amp;$H139,'資格有效性'!$L$7:$L$62,'資格有效性'!$E$7:$E$62,"未建立",0),"不需複評"))</x:f>
        <x:v>不需複評</x:v>
      </x:c>
      <x:c r="Q139" s="48" t="n">
        <x:v>0</x:v>
      </x:c>
      <x:c r="R139" s="48"/>
      <x:c r="S139" s="48" t="str">
        <x:f>IF($K139&gt;0,"不可正式排",IF(OR($N139="未評估",$N139="學習中"),"不可正式排",IF(AND($L139=0,$N139="可獨立配合"),"初步可獨立",IF(AND($L139&lt;=3,$M139&lt;=1/3,OR($N139="可獨立配合",$N139="可配合但需支援")),"初步可條件排","不可正式排"))))</x:f>
        <x:v>不可正式排</x:v>
      </x:c>
      <x:c r="T139" s="53" t="str">
        <x:f>IF($C139="LJT-RPD-FINAL","固定短時支援 1 人／30 分鐘",IF($S139="初步可條件排",IF($G139="高複雜度","完整支援者 1:1（占 2 名額）","一般支援 1 名額"),"無"))</x:f>
        <x:v>無</x:v>
      </x:c>
      <x:c r="U139" s="53" t="str">
        <x:f>IF($J139&gt;0,"待確認共通技能門檻",IF($O139&lt;&gt;"已核定","待主管核定",IF(AND($G139="高複雜度",$P139&lt;&gt;"有效"),"資格未有效",$S139)))</x:f>
        <x:v>待確認共通技能門檻</x:v>
      </x:c>
      <x:c r="V139" t="str">
        <x:f>$A139&amp;"|"&amp;$C139</x:f>
        <x:v>1030|LJT-PERIO</x:v>
      </x:c>
    </x:row>
    <x:row r="140">
      <x:c r="A140" s="37" t="str">
        <x:v>1030</x:v>
      </x:c>
      <x:c r="B140" s="37" t="str"/>
      <x:c r="C140" s="37" t="str">
        <x:v>LJT-RCT</x:v>
      </x:c>
      <x:c r="D140" s="37" t="str">
        <x:v>一般治療</x:v>
      </x:c>
      <x:c r="E140" s="37" t="str">
        <x:v>一般根管治療</x:v>
      </x:c>
      <x:c r="F140" s="37" t="str">
        <x:v>一般</x:v>
      </x:c>
      <x:c r="G140" s="37" t="str">
        <x:v>一般</x:v>
      </x:c>
      <x:c r="H140" s="37" t="str">
        <x:v>LJT-PREP-RCT</x:v>
      </x:c>
      <x:c r="I140" s="48" t="n">
        <x:f>COUNTIFS('適配要求展開'!$A$7:$A$734,$A140,'適配要求展開'!$C$7:$C$734,$C140)</x:f>
        <x:v>4</x:v>
      </x:c>
      <x:c r="J140" s="48" t="n">
        <x:f>COUNTIFS('適配要求展開'!$A$7:$A$734,$A140,'適配要求展開'!$C$7:$C$734,$C140,'適配要求展開'!$I$7:$I$734,"待確認")</x:f>
        <x:v>3</x:v>
      </x:c>
      <x:c r="K140" s="48" t="n">
        <x:f>COUNTIFS('適配要求展開'!$A$7:$A$734,$A140,'適配要求展開'!$C$7:$C$734,$C140,'適配要求展開'!$N$7:$N$734,"不符合")</x:f>
        <x:v>4</x:v>
      </x:c>
      <x:c r="L140" s="48" t="n">
        <x:f>COUNTIFS('適配要求展開'!$A$7:$A$734,$A140,'適配要求展開'!$C$7:$C$734,$C140,'適配要求展開'!$L$7:$L$734,"Ø")</x:f>
        <x:v>0</x:v>
      </x:c>
      <x:c r="M140" s="51" t="n">
        <x:f>IF($I140=0,"n.a.",$L140/$I140)</x:f>
        <x:v>0</x:v>
      </x:c>
      <x:c r="N140" s="48" t="str">
        <x:f>_xlfn.XLOOKUP($A140&amp;"|李侑津醫師",'試行熟悉度'!$K$7:$K$20,'試行熟悉度'!$E$7:$E$20,"未評估",0)</x:f>
        <x:v>未評估</x:v>
      </x:c>
      <x:c r="O140" s="48" t="str">
        <x:f>IF(OR(COUNTIFS('適配要求展開'!$A$7:$A$734,$A140,'適配要求展開'!$C$7:$C$734,$C140,'適配要求展開'!$M$7:$M$734,"&lt;&gt;已核定")&gt;0,_xlfn.XLOOKUP($A140&amp;"|李侑津醫師",'試行熟悉度'!$K$7:$K$20,'試行熟悉度'!$F$7:$F$20,"未建立",0)&lt;&gt;"已核定"),"待主管核定","已核定")</x:f>
        <x:v>待主管核定</x:v>
      </x:c>
      <x:c r="P140" s="48" t="str">
        <x:f>IF($C140="LJT-RPD-FINAL","支援者另判",IF($G140="高複雜度",_xlfn.XLOOKUP($A140&amp;"|"&amp;$H140,'資格有效性'!$L$7:$L$62,'資格有效性'!$E$7:$E$62,"未建立",0),"不需複評"))</x:f>
        <x:v>不需複評</x:v>
      </x:c>
      <x:c r="Q140" s="48" t="n">
        <x:v>0</x:v>
      </x:c>
      <x:c r="R140" s="48"/>
      <x:c r="S140" s="48" t="str">
        <x:f>IF($K140&gt;0,"不可正式排",IF(OR($N140="未評估",$N140="學習中"),"不可正式排",IF(AND($L140=0,$N140="可獨立配合"),"初步可獨立",IF(AND($L140&lt;=3,$M140&lt;=1/3,OR($N140="可獨立配合",$N140="可配合但需支援")),"初步可條件排","不可正式排"))))</x:f>
        <x:v>不可正式排</x:v>
      </x:c>
      <x:c r="T140" s="53" t="str">
        <x:f>IF($C140="LJT-RPD-FINAL","固定短時支援 1 人／30 分鐘",IF($S140="初步可條件排",IF($G140="高複雜度","完整支援者 1:1（占 2 名額）","一般支援 1 名額"),"無"))</x:f>
        <x:v>無</x:v>
      </x:c>
      <x:c r="U140" s="53" t="str">
        <x:f>IF($J140&gt;0,"待確認共通技能門檻",IF($O140&lt;&gt;"已核定","待主管核定",IF(AND($G140="高複雜度",$P140&lt;&gt;"有效"),"資格未有效",$S140)))</x:f>
        <x:v>待確認共通技能門檻</x:v>
      </x:c>
      <x:c r="V140" t="str">
        <x:f>$A140&amp;"|"&amp;$C140</x:f>
        <x:v>1030|LJT-RCT</x:v>
      </x:c>
    </x:row>
    <x:row r="141">
      <x:c r="A141" s="37" t="str">
        <x:v>1030</x:v>
      </x:c>
      <x:c r="B141" s="37" t="str"/>
      <x:c r="C141" s="37" t="str">
        <x:v>LJT-EXTRACTION</x:v>
      </x:c>
      <x:c r="D141" s="37" t="str">
        <x:v>一般治療</x:v>
      </x:c>
      <x:c r="E141" s="37" t="str">
        <x:v>拔牙</x:v>
      </x:c>
      <x:c r="F141" s="37" t="str">
        <x:v>一般</x:v>
      </x:c>
      <x:c r="G141" s="37" t="str">
        <x:v>一般</x:v>
      </x:c>
      <x:c r="H141" s="37" t="str">
        <x:v>LJT-PREP-EXTRACTION</x:v>
      </x:c>
      <x:c r="I141" s="48" t="n">
        <x:f>COUNTIFS('適配要求展開'!$A$7:$A$734,$A141,'適配要求展開'!$C$7:$C$734,$C141)</x:f>
        <x:v>4</x:v>
      </x:c>
      <x:c r="J141" s="48" t="n">
        <x:f>COUNTIFS('適配要求展開'!$A$7:$A$734,$A141,'適配要求展開'!$C$7:$C$734,$C141,'適配要求展開'!$I$7:$I$734,"待確認")</x:f>
        <x:v>3</x:v>
      </x:c>
      <x:c r="K141" s="48" t="n">
        <x:f>COUNTIFS('適配要求展開'!$A$7:$A$734,$A141,'適配要求展開'!$C$7:$C$734,$C141,'適配要求展開'!$N$7:$N$734,"不符合")</x:f>
        <x:v>4</x:v>
      </x:c>
      <x:c r="L141" s="48" t="n">
        <x:f>COUNTIFS('適配要求展開'!$A$7:$A$734,$A141,'適配要求展開'!$C$7:$C$734,$C141,'適配要求展開'!$L$7:$L$734,"Ø")</x:f>
        <x:v>0</x:v>
      </x:c>
      <x:c r="M141" s="51" t="n">
        <x:f>IF($I141=0,"n.a.",$L141/$I141)</x:f>
        <x:v>0</x:v>
      </x:c>
      <x:c r="N141" s="48" t="str">
        <x:f>_xlfn.XLOOKUP($A141&amp;"|李侑津醫師",'試行熟悉度'!$K$7:$K$20,'試行熟悉度'!$E$7:$E$20,"未評估",0)</x:f>
        <x:v>未評估</x:v>
      </x:c>
      <x:c r="O141" s="48" t="str">
        <x:f>IF(OR(COUNTIFS('適配要求展開'!$A$7:$A$734,$A141,'適配要求展開'!$C$7:$C$734,$C141,'適配要求展開'!$M$7:$M$734,"&lt;&gt;已核定")&gt;0,_xlfn.XLOOKUP($A141&amp;"|李侑津醫師",'試行熟悉度'!$K$7:$K$20,'試行熟悉度'!$F$7:$F$20,"未建立",0)&lt;&gt;"已核定"),"待主管核定","已核定")</x:f>
        <x:v>待主管核定</x:v>
      </x:c>
      <x:c r="P141" s="48" t="str">
        <x:f>IF($C141="LJT-RPD-FINAL","支援者另判",IF($G141="高複雜度",_xlfn.XLOOKUP($A141&amp;"|"&amp;$H141,'資格有效性'!$L$7:$L$62,'資格有效性'!$E$7:$E$62,"未建立",0),"不需複評"))</x:f>
        <x:v>不需複評</x:v>
      </x:c>
      <x:c r="Q141" s="48" t="n">
        <x:v>0</x:v>
      </x:c>
      <x:c r="R141" s="48"/>
      <x:c r="S141" s="48" t="str">
        <x:f>IF($K141&gt;0,"不可正式排",IF(OR($N141="未評估",$N141="學習中"),"不可正式排",IF(AND($L141=0,$N141="可獨立配合"),"初步可獨立",IF(AND($L141&lt;=3,$M141&lt;=1/3,OR($N141="可獨立配合",$N141="可配合但需支援")),"初步可條件排","不可正式排"))))</x:f>
        <x:v>不可正式排</x:v>
      </x:c>
      <x:c r="T141" s="53" t="str">
        <x:f>IF($C141="LJT-RPD-FINAL","固定短時支援 1 人／30 分鐘",IF($S141="初步可條件排",IF($G141="高複雜度","完整支援者 1:1（占 2 名額）","一般支援 1 名額"),"無"))</x:f>
        <x:v>無</x:v>
      </x:c>
      <x:c r="U141" s="53" t="str">
        <x:f>IF($J141&gt;0,"待確認共通技能門檻",IF($O141&lt;&gt;"已核定","待主管核定",IF(AND($G141="高複雜度",$P141&lt;&gt;"有效"),"資格未有效",$S141)))</x:f>
        <x:v>待確認共通技能門檻</x:v>
      </x:c>
      <x:c r="V141" t="str">
        <x:f>$A141&amp;"|"&amp;$C141</x:f>
        <x:v>1030|LJT-EXTRACTION</x:v>
      </x:c>
    </x:row>
    <x:row r="142">
      <x:c r="A142" s="37" t="str">
        <x:v>1030</x:v>
      </x:c>
      <x:c r="B142" s="37" t="str"/>
      <x:c r="C142" s="37" t="str">
        <x:v>LJT-CROWNPOST</x:v>
      </x:c>
      <x:c r="D142" s="37" t="str">
        <x:v>一般治療</x:v>
      </x:c>
      <x:c r="E142" s="37" t="str">
        <x:v>拆 crown/post</x:v>
      </x:c>
      <x:c r="F142" s="37" t="str">
        <x:v>一般</x:v>
      </x:c>
      <x:c r="G142" s="37" t="str">
        <x:v>一般</x:v>
      </x:c>
      <x:c r="H142" s="37" t="str">
        <x:v>LJT-PREP-CROWNPOST</x:v>
      </x:c>
      <x:c r="I142" s="48" t="n">
        <x:f>COUNTIFS('適配要求展開'!$A$7:$A$734,$A142,'適配要求展開'!$C$7:$C$734,$C142)</x:f>
        <x:v>4</x:v>
      </x:c>
      <x:c r="J142" s="48" t="n">
        <x:f>COUNTIFS('適配要求展開'!$A$7:$A$734,$A142,'適配要求展開'!$C$7:$C$734,$C142,'適配要求展開'!$I$7:$I$734,"待確認")</x:f>
        <x:v>3</x:v>
      </x:c>
      <x:c r="K142" s="48" t="n">
        <x:f>COUNTIFS('適配要求展開'!$A$7:$A$734,$A142,'適配要求展開'!$C$7:$C$734,$C142,'適配要求展開'!$N$7:$N$734,"不符合")</x:f>
        <x:v>4</x:v>
      </x:c>
      <x:c r="L142" s="48" t="n">
        <x:f>COUNTIFS('適配要求展開'!$A$7:$A$734,$A142,'適配要求展開'!$C$7:$C$734,$C142,'適配要求展開'!$L$7:$L$734,"Ø")</x:f>
        <x:v>0</x:v>
      </x:c>
      <x:c r="M142" s="51" t="n">
        <x:f>IF($I142=0,"n.a.",$L142/$I142)</x:f>
        <x:v>0</x:v>
      </x:c>
      <x:c r="N142" s="48" t="str">
        <x:f>_xlfn.XLOOKUP($A142&amp;"|李侑津醫師",'試行熟悉度'!$K$7:$K$20,'試行熟悉度'!$E$7:$E$20,"未評估",0)</x:f>
        <x:v>未評估</x:v>
      </x:c>
      <x:c r="O142" s="48" t="str">
        <x:f>IF(OR(COUNTIFS('適配要求展開'!$A$7:$A$734,$A142,'適配要求展開'!$C$7:$C$734,$C142,'適配要求展開'!$M$7:$M$734,"&lt;&gt;已核定")&gt;0,_xlfn.XLOOKUP($A142&amp;"|李侑津醫師",'試行熟悉度'!$K$7:$K$20,'試行熟悉度'!$F$7:$F$20,"未建立",0)&lt;&gt;"已核定"),"待主管核定","已核定")</x:f>
        <x:v>待主管核定</x:v>
      </x:c>
      <x:c r="P142" s="48" t="str">
        <x:f>IF($C142="LJT-RPD-FINAL","支援者另判",IF($G142="高複雜度",_xlfn.XLOOKUP($A142&amp;"|"&amp;$H142,'資格有效性'!$L$7:$L$62,'資格有效性'!$E$7:$E$62,"未建立",0),"不需複評"))</x:f>
        <x:v>不需複評</x:v>
      </x:c>
      <x:c r="Q142" s="48" t="n">
        <x:v>0</x:v>
      </x:c>
      <x:c r="R142" s="48"/>
      <x:c r="S142" s="48" t="str">
        <x:f>IF($K142&gt;0,"不可正式排",IF(OR($N142="未評估",$N142="學習中"),"不可正式排",IF(AND($L142=0,$N142="可獨立配合"),"初步可獨立",IF(AND($L142&lt;=3,$M142&lt;=1/3,OR($N142="可獨立配合",$N142="可配合但需支援")),"初步可條件排","不可正式排"))))</x:f>
        <x:v>不可正式排</x:v>
      </x:c>
      <x:c r="T142" s="53" t="str">
        <x:f>IF($C142="LJT-RPD-FINAL","固定短時支援 1 人／30 分鐘",IF($S142="初步可條件排",IF($G142="高複雜度","完整支援者 1:1（占 2 名額）","一般支援 1 名額"),"無"))</x:f>
        <x:v>無</x:v>
      </x:c>
      <x:c r="U142" s="53" t="str">
        <x:f>IF($J142&gt;0,"待確認共通技能門檻",IF($O142&lt;&gt;"已核定","待主管核定",IF(AND($G142="高複雜度",$P142&lt;&gt;"有效"),"資格未有效",$S142)))</x:f>
        <x:v>待確認共通技能門檻</x:v>
      </x:c>
      <x:c r="V142" t="str">
        <x:f>$A142&amp;"|"&amp;$C142</x:f>
        <x:v>1030|LJT-CROWNPOST</x:v>
      </x:c>
    </x:row>
    <x:row r="143">
      <x:c r="A143" s="37" t="str">
        <x:v>1030</x:v>
      </x:c>
      <x:c r="B143" s="37" t="str"/>
      <x:c r="C143" s="37" t="str">
        <x:v>LJT-CROWN</x:v>
      </x:c>
      <x:c r="D143" s="37" t="str">
        <x:v>補綴／自費</x:v>
      </x:c>
      <x:c r="E143" s="37" t="str">
        <x:v>固定假牙</x:v>
      </x:c>
      <x:c r="F143" s="37" t="str">
        <x:v>一般</x:v>
      </x:c>
      <x:c r="G143" s="37" t="str">
        <x:v>一般</x:v>
      </x:c>
      <x:c r="H143" s="37" t="str">
        <x:v>LJT-PREP-CROWN</x:v>
      </x:c>
      <x:c r="I143" s="48" t="n">
        <x:f>COUNTIFS('適配要求展開'!$A$7:$A$734,$A143,'適配要求展開'!$C$7:$C$734,$C143)</x:f>
        <x:v>4</x:v>
      </x:c>
      <x:c r="J143" s="48" t="n">
        <x:f>COUNTIFS('適配要求展開'!$A$7:$A$734,$A143,'適配要求展開'!$C$7:$C$734,$C143,'適配要求展開'!$I$7:$I$734,"待確認")</x:f>
        <x:v>3</x:v>
      </x:c>
      <x:c r="K143" s="48" t="n">
        <x:f>COUNTIFS('適配要求展開'!$A$7:$A$734,$A143,'適配要求展開'!$C$7:$C$734,$C143,'適配要求展開'!$N$7:$N$734,"不符合")</x:f>
        <x:v>4</x:v>
      </x:c>
      <x:c r="L143" s="48" t="n">
        <x:f>COUNTIFS('適配要求展開'!$A$7:$A$734,$A143,'適配要求展開'!$C$7:$C$734,$C143,'適配要求展開'!$L$7:$L$734,"Ø")</x:f>
        <x:v>0</x:v>
      </x:c>
      <x:c r="M143" s="51" t="n">
        <x:f>IF($I143=0,"n.a.",$L143/$I143)</x:f>
        <x:v>0</x:v>
      </x:c>
      <x:c r="N143" s="48" t="str">
        <x:f>_xlfn.XLOOKUP($A143&amp;"|李侑津醫師",'試行熟悉度'!$K$7:$K$20,'試行熟悉度'!$E$7:$E$20,"未評估",0)</x:f>
        <x:v>未評估</x:v>
      </x:c>
      <x:c r="O143" s="48" t="str">
        <x:f>IF(OR(COUNTIFS('適配要求展開'!$A$7:$A$734,$A143,'適配要求展開'!$C$7:$C$734,$C143,'適配要求展開'!$M$7:$M$734,"&lt;&gt;已核定")&gt;0,_xlfn.XLOOKUP($A143&amp;"|李侑津醫師",'試行熟悉度'!$K$7:$K$20,'試行熟悉度'!$F$7:$F$20,"未建立",0)&lt;&gt;"已核定"),"待主管核定","已核定")</x:f>
        <x:v>待主管核定</x:v>
      </x:c>
      <x:c r="P143" s="48" t="str">
        <x:f>IF($C143="LJT-RPD-FINAL","支援者另判",IF($G143="高複雜度",_xlfn.XLOOKUP($A143&amp;"|"&amp;$H143,'資格有效性'!$L$7:$L$62,'資格有效性'!$E$7:$E$62,"未建立",0),"不需複評"))</x:f>
        <x:v>不需複評</x:v>
      </x:c>
      <x:c r="Q143" s="48" t="n">
        <x:v>0</x:v>
      </x:c>
      <x:c r="R143" s="48"/>
      <x:c r="S143" s="48" t="str">
        <x:f>IF($K143&gt;0,"不可正式排",IF(OR($N143="未評估",$N143="學習中"),"不可正式排",IF(AND($L143=0,$N143="可獨立配合"),"初步可獨立",IF(AND($L143&lt;=3,$M143&lt;=1/3,OR($N143="可獨立配合",$N143="可配合但需支援")),"初步可條件排","不可正式排"))))</x:f>
        <x:v>不可正式排</x:v>
      </x:c>
      <x:c r="T143" s="53" t="str">
        <x:f>IF($C143="LJT-RPD-FINAL","固定短時支援 1 人／30 分鐘",IF($S143="初步可條件排",IF($G143="高複雜度","完整支援者 1:1（占 2 名額）","一般支援 1 名額"),"無"))</x:f>
        <x:v>無</x:v>
      </x:c>
      <x:c r="U143" s="53" t="str">
        <x:f>IF($J143&gt;0,"待確認共通技能門檻",IF($O143&lt;&gt;"已核定","待主管核定",IF(AND($G143="高複雜度",$P143&lt;&gt;"有效"),"資格未有效",$S143)))</x:f>
        <x:v>待確認共通技能門檻</x:v>
      </x:c>
      <x:c r="V143" t="str">
        <x:f>$A143&amp;"|"&amp;$C143</x:f>
        <x:v>1030|LJT-CROWN</x:v>
      </x:c>
    </x:row>
    <x:row r="144">
      <x:c r="A144" s="37" t="str">
        <x:v>1030</x:v>
      </x:c>
      <x:c r="B144" s="37" t="str"/>
      <x:c r="C144" s="37" t="str">
        <x:v>LJT-RPD</x:v>
      </x:c>
      <x:c r="D144" s="37" t="str">
        <x:v>補綴／自費</x:v>
      </x:c>
      <x:c r="E144" s="37" t="str">
        <x:v>RPD</x:v>
      </x:c>
      <x:c r="F144" s="37" t="str">
        <x:v>一般步驟</x:v>
      </x:c>
      <x:c r="G144" s="37" t="str">
        <x:v>一般</x:v>
      </x:c>
      <x:c r="H144" s="37" t="str">
        <x:v>LJT-PREP-RPD</x:v>
      </x:c>
      <x:c r="I144" s="48" t="n">
        <x:f>COUNTIFS('適配要求展開'!$A$7:$A$734,$A144,'適配要求展開'!$C$7:$C$734,$C144)</x:f>
        <x:v>4</x:v>
      </x:c>
      <x:c r="J144" s="48" t="n">
        <x:f>COUNTIFS('適配要求展開'!$A$7:$A$734,$A144,'適配要求展開'!$C$7:$C$734,$C144,'適配要求展開'!$I$7:$I$734,"待確認")</x:f>
        <x:v>3</x:v>
      </x:c>
      <x:c r="K144" s="48" t="n">
        <x:f>COUNTIFS('適配要求展開'!$A$7:$A$734,$A144,'適配要求展開'!$C$7:$C$734,$C144,'適配要求展開'!$N$7:$N$734,"不符合")</x:f>
        <x:v>4</x:v>
      </x:c>
      <x:c r="L144" s="48" t="n">
        <x:f>COUNTIFS('適配要求展開'!$A$7:$A$734,$A144,'適配要求展開'!$C$7:$C$734,$C144,'適配要求展開'!$L$7:$L$734,"Ø")</x:f>
        <x:v>0</x:v>
      </x:c>
      <x:c r="M144" s="51" t="n">
        <x:f>IF($I144=0,"n.a.",$L144/$I144)</x:f>
        <x:v>0</x:v>
      </x:c>
      <x:c r="N144" s="48" t="str">
        <x:f>_xlfn.XLOOKUP($A144&amp;"|李侑津醫師",'試行熟悉度'!$K$7:$K$20,'試行熟悉度'!$E$7:$E$20,"未評估",0)</x:f>
        <x:v>未評估</x:v>
      </x:c>
      <x:c r="O144" s="48" t="str">
        <x:f>IF(OR(COUNTIFS('適配要求展開'!$A$7:$A$734,$A144,'適配要求展開'!$C$7:$C$734,$C144,'適配要求展開'!$M$7:$M$734,"&lt;&gt;已核定")&gt;0,_xlfn.XLOOKUP($A144&amp;"|李侑津醫師",'試行熟悉度'!$K$7:$K$20,'試行熟悉度'!$F$7:$F$20,"未建立",0)&lt;&gt;"已核定"),"待主管核定","已核定")</x:f>
        <x:v>待主管核定</x:v>
      </x:c>
      <x:c r="P144" s="48" t="str">
        <x:f>IF($C144="LJT-RPD-FINAL","支援者另判",IF($G144="高複雜度",_xlfn.XLOOKUP($A144&amp;"|"&amp;$H144,'資格有效性'!$L$7:$L$62,'資格有效性'!$E$7:$E$62,"未建立",0),"不需複評"))</x:f>
        <x:v>不需複評</x:v>
      </x:c>
      <x:c r="Q144" s="48" t="n">
        <x:v>0</x:v>
      </x:c>
      <x:c r="R144" s="48"/>
      <x:c r="S144" s="48" t="str">
        <x:f>IF($K144&gt;0,"不可正式排",IF(OR($N144="未評估",$N144="學習中"),"不可正式排",IF(AND($L144=0,$N144="可獨立配合"),"初步可獨立",IF(AND($L144&lt;=3,$M144&lt;=1/3,OR($N144="可獨立配合",$N144="可配合但需支援")),"初步可條件排","不可正式排"))))</x:f>
        <x:v>不可正式排</x:v>
      </x:c>
      <x:c r="T144" s="53" t="str">
        <x:f>IF($C144="LJT-RPD-FINAL","固定短時支援 1 人／30 分鐘",IF($S144="初步可條件排",IF($G144="高複雜度","完整支援者 1:1（占 2 名額）","一般支援 1 名額"),"無"))</x:f>
        <x:v>無</x:v>
      </x:c>
      <x:c r="U144" s="53" t="str">
        <x:f>IF($J144&gt;0,"待確認共通技能門檻",IF($O144&lt;&gt;"已核定","待主管核定",IF(AND($G144="高複雜度",$P144&lt;&gt;"有效"),"資格未有效",$S144)))</x:f>
        <x:v>待確認共通技能門檻</x:v>
      </x:c>
      <x:c r="V144" t="str">
        <x:f>$A144&amp;"|"&amp;$C144</x:f>
        <x:v>1030|LJT-RPD</x:v>
      </x:c>
    </x:row>
    <x:row r="145">
      <x:c r="A145" s="37" t="str">
        <x:v>1030</x:v>
      </x:c>
      <x:c r="B145" s="37" t="str"/>
      <x:c r="C145" s="37" t="str">
        <x:v>LJT-RPD-FINAL</x:v>
      </x:c>
      <x:c r="D145" s="37" t="str">
        <x:v>補綴／自費</x:v>
      </x:c>
      <x:c r="E145" s="37" t="str">
        <x:v>RPD</x:v>
      </x:c>
      <x:c r="F145" s="37" t="str">
        <x:v>印最終模</x:v>
      </x:c>
      <x:c r="G145" s="37" t="str">
        <x:v>特殊階段</x:v>
      </x:c>
      <x:c r="H145" s="37" t="str">
        <x:v>LJT-PREP-RPD</x:v>
      </x:c>
      <x:c r="I145" s="48" t="n">
        <x:f>COUNTIFS('適配要求展開'!$A$7:$A$734,$A145,'適配要求展開'!$C$7:$C$734,$C145)</x:f>
        <x:v>4</x:v>
      </x:c>
      <x:c r="J145" s="48" t="n">
        <x:f>COUNTIFS('適配要求展開'!$A$7:$A$734,$A145,'適配要求展開'!$C$7:$C$734,$C145,'適配要求展開'!$I$7:$I$734,"待確認")</x:f>
        <x:v>3</x:v>
      </x:c>
      <x:c r="K145" s="48" t="n">
        <x:f>COUNTIFS('適配要求展開'!$A$7:$A$734,$A145,'適配要求展開'!$C$7:$C$734,$C145,'適配要求展開'!$N$7:$N$734,"不符合")</x:f>
        <x:v>4</x:v>
      </x:c>
      <x:c r="L145" s="48" t="n">
        <x:f>COUNTIFS('適配要求展開'!$A$7:$A$734,$A145,'適配要求展開'!$C$7:$C$734,$C145,'適配要求展開'!$L$7:$L$734,"Ø")</x:f>
        <x:v>0</x:v>
      </x:c>
      <x:c r="M145" s="51" t="n">
        <x:f>IF($I145=0,"n.a.",$L145/$I145)</x:f>
        <x:v>0</x:v>
      </x:c>
      <x:c r="N145" s="48" t="str">
        <x:f>_xlfn.XLOOKUP($A145&amp;"|李侑津醫師",'試行熟悉度'!$K$7:$K$20,'試行熟悉度'!$E$7:$E$20,"未評估",0)</x:f>
        <x:v>未評估</x:v>
      </x:c>
      <x:c r="O145" s="48" t="str">
        <x:f>IF(OR(COUNTIFS('適配要求展開'!$A$7:$A$734,$A145,'適配要求展開'!$C$7:$C$734,$C145,'適配要求展開'!$M$7:$M$734,"&lt;&gt;已核定")&gt;0,_xlfn.XLOOKUP($A145&amp;"|李侑津醫師",'試行熟悉度'!$K$7:$K$20,'試行熟悉度'!$F$7:$F$20,"未建立",0)&lt;&gt;"已核定"),"待主管核定","已核定")</x:f>
        <x:v>待主管核定</x:v>
      </x:c>
      <x:c r="P145" s="48" t="str">
        <x:f>IF($C145="LJT-RPD-FINAL","支援者另判",IF($G145="高複雜度",_xlfn.XLOOKUP($A145&amp;"|"&amp;$H145,'資格有效性'!$L$7:$L$62,'資格有效性'!$E$7:$E$62,"未建立",0),"不需複評"))</x:f>
        <x:v>支援者另判</x:v>
      </x:c>
      <x:c r="Q145" s="48" t="n">
        <x:v>1</x:v>
      </x:c>
      <x:c r="R145" s="48" t="n">
        <x:v>30</x:v>
      </x:c>
      <x:c r="S145" s="48" t="str">
        <x:f>IF($K145&gt;0,"不可正式排",IF(OR($N145="未評估",$N145="學習中"),"不可正式排",IF(AND($L145=0,$N145="可獨立配合"),"初步可獨立",IF(AND($L145&lt;=3,$M145&lt;=1/3,OR($N145="可獨立配合",$N145="可配合但需支援")),"初步可條件排","不可正式排"))))</x:f>
        <x:v>不可正式排</x:v>
      </x:c>
      <x:c r="T145" s="53" t="str">
        <x:f>IF($C145="LJT-RPD-FINAL","固定短時支援 1 人／30 分鐘",IF($S145="初步可條件排",IF($G145="高複雜度","完整支援者 1:1（占 2 名額）","一般支援 1 名額"),"無"))</x:f>
        <x:v>固定短時支援 1 人／30 分鐘</x:v>
      </x:c>
      <x:c r="U145" s="53" t="str">
        <x:f>IF($J145&gt;0,"待確認共通技能門檻",IF($O145&lt;&gt;"已核定","待主管核定",IF(AND($G145="高複雜度",$P145&lt;&gt;"有效"),"資格未有效",$S145)))</x:f>
        <x:v>待確認共通技能門檻</x:v>
      </x:c>
      <x:c r="V145" t="str">
        <x:f>$A145&amp;"|"&amp;$C145</x:f>
        <x:v>1030|LJT-RPD-FINAL</x:v>
      </x:c>
    </x:row>
    <x:row r="146">
      <x:c r="A146" s="37" t="str">
        <x:v>1030</x:v>
      </x:c>
      <x:c r="B146" s="37" t="str"/>
      <x:c r="C146" s="37" t="str">
        <x:v>LJT-AIRPOLISH</x:v>
      </x:c>
      <x:c r="D146" s="37" t="str">
        <x:v>補綴／自費</x:v>
      </x:c>
      <x:c r="E146" s="37" t="str">
        <x:v>噴砂美白</x:v>
      </x:c>
      <x:c r="F146" s="37" t="str">
        <x:v>一般</x:v>
      </x:c>
      <x:c r="G146" s="37" t="str">
        <x:v>一般</x:v>
      </x:c>
      <x:c r="H146" s="37" t="str">
        <x:v>LJT-PREP-AIRPOLISH</x:v>
      </x:c>
      <x:c r="I146" s="48" t="n">
        <x:f>COUNTIFS('適配要求展開'!$A$7:$A$734,$A146,'適配要求展開'!$C$7:$C$734,$C146)</x:f>
        <x:v>4</x:v>
      </x:c>
      <x:c r="J146" s="48" t="n">
        <x:f>COUNTIFS('適配要求展開'!$A$7:$A$734,$A146,'適配要求展開'!$C$7:$C$734,$C146,'適配要求展開'!$I$7:$I$734,"待確認")</x:f>
        <x:v>3</x:v>
      </x:c>
      <x:c r="K146" s="48" t="n">
        <x:f>COUNTIFS('適配要求展開'!$A$7:$A$734,$A146,'適配要求展開'!$C$7:$C$734,$C146,'適配要求展開'!$N$7:$N$734,"不符合")</x:f>
        <x:v>4</x:v>
      </x:c>
      <x:c r="L146" s="48" t="n">
        <x:f>COUNTIFS('適配要求展開'!$A$7:$A$734,$A146,'適配要求展開'!$C$7:$C$734,$C146,'適配要求展開'!$L$7:$L$734,"Ø")</x:f>
        <x:v>0</x:v>
      </x:c>
      <x:c r="M146" s="51" t="n">
        <x:f>IF($I146=0,"n.a.",$L146/$I146)</x:f>
        <x:v>0</x:v>
      </x:c>
      <x:c r="N146" s="48" t="str">
        <x:f>_xlfn.XLOOKUP($A146&amp;"|李侑津醫師",'試行熟悉度'!$K$7:$K$20,'試行熟悉度'!$E$7:$E$20,"未評估",0)</x:f>
        <x:v>未評估</x:v>
      </x:c>
      <x:c r="O146" s="48" t="str">
        <x:f>IF(OR(COUNTIFS('適配要求展開'!$A$7:$A$734,$A146,'適配要求展開'!$C$7:$C$734,$C146,'適配要求展開'!$M$7:$M$734,"&lt;&gt;已核定")&gt;0,_xlfn.XLOOKUP($A146&amp;"|李侑津醫師",'試行熟悉度'!$K$7:$K$20,'試行熟悉度'!$F$7:$F$20,"未建立",0)&lt;&gt;"已核定"),"待主管核定","已核定")</x:f>
        <x:v>待主管核定</x:v>
      </x:c>
      <x:c r="P146" s="48" t="str">
        <x:f>IF($C146="LJT-RPD-FINAL","支援者另判",IF($G146="高複雜度",_xlfn.XLOOKUP($A146&amp;"|"&amp;$H146,'資格有效性'!$L$7:$L$62,'資格有效性'!$E$7:$E$62,"未建立",0),"不需複評"))</x:f>
        <x:v>不需複評</x:v>
      </x:c>
      <x:c r="Q146" s="48" t="n">
        <x:v>0</x:v>
      </x:c>
      <x:c r="R146" s="48"/>
      <x:c r="S146" s="48" t="str">
        <x:f>IF($K146&gt;0,"不可正式排",IF(OR($N146="未評估",$N146="學習中"),"不可正式排",IF(AND($L146=0,$N146="可獨立配合"),"初步可獨立",IF(AND($L146&lt;=3,$M146&lt;=1/3,OR($N146="可獨立配合",$N146="可配合但需支援")),"初步可條件排","不可正式排"))))</x:f>
        <x:v>不可正式排</x:v>
      </x:c>
      <x:c r="T146" s="53" t="str">
        <x:f>IF($C146="LJT-RPD-FINAL","固定短時支援 1 人／30 分鐘",IF($S146="初步可條件排",IF($G146="高複雜度","完整支援者 1:1（占 2 名額）","一般支援 1 名額"),"無"))</x:f>
        <x:v>無</x:v>
      </x:c>
      <x:c r="U146" s="53" t="str">
        <x:f>IF($J146&gt;0,"待確認共通技能門檻",IF($O146&lt;&gt;"已核定","待主管核定",IF(AND($G146="高複雜度",$P146&lt;&gt;"有效"),"資格未有效",$S146)))</x:f>
        <x:v>待確認共通技能門檻</x:v>
      </x:c>
      <x:c r="V146" t="str">
        <x:f>$A146&amp;"|"&amp;$C146</x:f>
        <x:v>1030|LJT-AIRPOLISH</x:v>
      </x:c>
    </x:row>
    <x:row r="147">
      <x:c r="A147" s="37" t="str">
        <x:v>1030</x:v>
      </x:c>
      <x:c r="B147" s="37" t="str"/>
      <x:c r="C147" s="37" t="str">
        <x:v>LJT-PERIOSURG</x:v>
      </x:c>
      <x:c r="D147" s="37" t="str">
        <x:v>高複雜度</x:v>
      </x:c>
      <x:c r="E147" s="37" t="str">
        <x:v>牙周手術</x:v>
      </x:c>
      <x:c r="F147" s="37" t="str">
        <x:v>一般</x:v>
      </x:c>
      <x:c r="G147" s="37" t="str">
        <x:v>高複雜度</x:v>
      </x:c>
      <x:c r="H147" s="37" t="str">
        <x:v>LJT-PREP-PERIOSURG</x:v>
      </x:c>
      <x:c r="I147" s="48" t="n">
        <x:f>COUNTIFS('適配要求展開'!$A$7:$A$734,$A147,'適配要求展開'!$C$7:$C$734,$C147)</x:f>
        <x:v>4</x:v>
      </x:c>
      <x:c r="J147" s="48" t="n">
        <x:f>COUNTIFS('適配要求展開'!$A$7:$A$734,$A147,'適配要求展開'!$C$7:$C$734,$C147,'適配要求展開'!$I$7:$I$734,"待確認")</x:f>
        <x:v>3</x:v>
      </x:c>
      <x:c r="K147" s="48" t="n">
        <x:f>COUNTIFS('適配要求展開'!$A$7:$A$734,$A147,'適配要求展開'!$C$7:$C$734,$C147,'適配要求展開'!$N$7:$N$734,"不符合")</x:f>
        <x:v>4</x:v>
      </x:c>
      <x:c r="L147" s="48" t="n">
        <x:f>COUNTIFS('適配要求展開'!$A$7:$A$734,$A147,'適配要求展開'!$C$7:$C$734,$C147,'適配要求展開'!$L$7:$L$734,"Ø")</x:f>
        <x:v>0</x:v>
      </x:c>
      <x:c r="M147" s="51" t="n">
        <x:f>IF($I147=0,"n.a.",$L147/$I147)</x:f>
        <x:v>0</x:v>
      </x:c>
      <x:c r="N147" s="48" t="str">
        <x:f>_xlfn.XLOOKUP($A147&amp;"|李侑津醫師",'試行熟悉度'!$K$7:$K$20,'試行熟悉度'!$E$7:$E$20,"未評估",0)</x:f>
        <x:v>未評估</x:v>
      </x:c>
      <x:c r="O147" s="48" t="str">
        <x:f>IF(OR(COUNTIFS('適配要求展開'!$A$7:$A$734,$A147,'適配要求展開'!$C$7:$C$734,$C147,'適配要求展開'!$M$7:$M$734,"&lt;&gt;已核定")&gt;0,_xlfn.XLOOKUP($A147&amp;"|李侑津醫師",'試行熟悉度'!$K$7:$K$20,'試行熟悉度'!$F$7:$F$20,"未建立",0)&lt;&gt;"已核定"),"待主管核定","已核定")</x:f>
        <x:v>待主管核定</x:v>
      </x:c>
      <x:c r="P147" s="48" t="str">
        <x:f>IF($C147="LJT-RPD-FINAL","支援者另判",IF($G147="高複雜度",_xlfn.XLOOKUP($A147&amp;"|"&amp;$H147,'資格有效性'!$L$7:$L$62,'資格有效性'!$E$7:$E$62,"未建立",0),"不需複評"))</x:f>
        <x:v>未建立</x:v>
      </x:c>
      <x:c r="Q147" s="48" t="n">
        <x:v>0</x:v>
      </x:c>
      <x:c r="R147" s="48"/>
      <x:c r="S147" s="48" t="str">
        <x:f>IF($K147&gt;0,"不可正式排",IF(OR($N147="未評估",$N147="學習中"),"不可正式排",IF(AND($L147=0,$N147="可獨立配合"),"初步可獨立",IF(AND($L147&lt;=3,$M147&lt;=1/3,OR($N147="可獨立配合",$N147="可配合但需支援")),"初步可條件排","不可正式排"))))</x:f>
        <x:v>不可正式排</x:v>
      </x:c>
      <x:c r="T147" s="53" t="str">
        <x:f>IF($C147="LJT-RPD-FINAL","固定短時支援 1 人／30 分鐘",IF($S147="初步可條件排",IF($G147="高複雜度","完整支援者 1:1（占 2 名額）","一般支援 1 名額"),"無"))</x:f>
        <x:v>無</x:v>
      </x:c>
      <x:c r="U147" s="53" t="str">
        <x:f>IF($J147&gt;0,"待確認共通技能門檻",IF($O147&lt;&gt;"已核定","待主管核定",IF(AND($G147="高複雜度",$P147&lt;&gt;"有效"),"資格未有效",$S147)))</x:f>
        <x:v>待確認共通技能門檻</x:v>
      </x:c>
      <x:c r="V147" t="str">
        <x:f>$A147&amp;"|"&amp;$C147</x:f>
        <x:v>1030|LJT-PERIOSURG</x:v>
      </x:c>
    </x:row>
    <x:row r="148">
      <x:c r="A148" s="37" t="str">
        <x:v>1030</x:v>
      </x:c>
      <x:c r="B148" s="37" t="str"/>
      <x:c r="C148" s="37" t="str">
        <x:v>LJT-MICROENDO</x:v>
      </x:c>
      <x:c r="D148" s="37" t="str">
        <x:v>高複雜度</x:v>
      </x:c>
      <x:c r="E148" s="37" t="str">
        <x:v>顯微根管</x:v>
      </x:c>
      <x:c r="F148" s="37" t="str">
        <x:v>一般</x:v>
      </x:c>
      <x:c r="G148" s="37" t="str">
        <x:v>高複雜度</x:v>
      </x:c>
      <x:c r="H148" s="37" t="str">
        <x:v>LJT-PREP-MICROENDO</x:v>
      </x:c>
      <x:c r="I148" s="48" t="n">
        <x:f>COUNTIFS('適配要求展開'!$A$7:$A$734,$A148,'適配要求展開'!$C$7:$C$734,$C148)</x:f>
        <x:v>4</x:v>
      </x:c>
      <x:c r="J148" s="48" t="n">
        <x:f>COUNTIFS('適配要求展開'!$A$7:$A$734,$A148,'適配要求展開'!$C$7:$C$734,$C148,'適配要求展開'!$I$7:$I$734,"待確認")</x:f>
        <x:v>3</x:v>
      </x:c>
      <x:c r="K148" s="48" t="n">
        <x:f>COUNTIFS('適配要求展開'!$A$7:$A$734,$A148,'適配要求展開'!$C$7:$C$734,$C148,'適配要求展開'!$N$7:$N$734,"不符合")</x:f>
        <x:v>4</x:v>
      </x:c>
      <x:c r="L148" s="48" t="n">
        <x:f>COUNTIFS('適配要求展開'!$A$7:$A$734,$A148,'適配要求展開'!$C$7:$C$734,$C148,'適配要求展開'!$L$7:$L$734,"Ø")</x:f>
        <x:v>0</x:v>
      </x:c>
      <x:c r="M148" s="51" t="n">
        <x:f>IF($I148=0,"n.a.",$L148/$I148)</x:f>
        <x:v>0</x:v>
      </x:c>
      <x:c r="N148" s="48" t="str">
        <x:f>_xlfn.XLOOKUP($A148&amp;"|李侑津醫師",'試行熟悉度'!$K$7:$K$20,'試行熟悉度'!$E$7:$E$20,"未評估",0)</x:f>
        <x:v>未評估</x:v>
      </x:c>
      <x:c r="O148" s="48" t="str">
        <x:f>IF(OR(COUNTIFS('適配要求展開'!$A$7:$A$734,$A148,'適配要求展開'!$C$7:$C$734,$C148,'適配要求展開'!$M$7:$M$734,"&lt;&gt;已核定")&gt;0,_xlfn.XLOOKUP($A148&amp;"|李侑津醫師",'試行熟悉度'!$K$7:$K$20,'試行熟悉度'!$F$7:$F$20,"未建立",0)&lt;&gt;"已核定"),"待主管核定","已核定")</x:f>
        <x:v>待主管核定</x:v>
      </x:c>
      <x:c r="P148" s="48" t="str">
        <x:f>IF($C148="LJT-RPD-FINAL","支援者另判",IF($G148="高複雜度",_xlfn.XLOOKUP($A148&amp;"|"&amp;$H148,'資格有效性'!$L$7:$L$62,'資格有效性'!$E$7:$E$62,"未建立",0),"不需複評"))</x:f>
        <x:v>未建立</x:v>
      </x:c>
      <x:c r="Q148" s="48" t="n">
        <x:v>0</x:v>
      </x:c>
      <x:c r="R148" s="48"/>
      <x:c r="S148" s="48" t="str">
        <x:f>IF($K148&gt;0,"不可正式排",IF(OR($N148="未評估",$N148="學習中"),"不可正式排",IF(AND($L148=0,$N148="可獨立配合"),"初步可獨立",IF(AND($L148&lt;=3,$M148&lt;=1/3,OR($N148="可獨立配合",$N148="可配合但需支援")),"初步可條件排","不可正式排"))))</x:f>
        <x:v>不可正式排</x:v>
      </x:c>
      <x:c r="T148" s="53" t="str">
        <x:f>IF($C148="LJT-RPD-FINAL","固定短時支援 1 人／30 分鐘",IF($S148="初步可條件排",IF($G148="高複雜度","完整支援者 1:1（占 2 名額）","一般支援 1 名額"),"無"))</x:f>
        <x:v>無</x:v>
      </x:c>
      <x:c r="U148" s="53" t="str">
        <x:f>IF($J148&gt;0,"待確認共通技能門檻",IF($O148&lt;&gt;"已核定","待主管核定",IF(AND($G148="高複雜度",$P148&lt;&gt;"有效"),"資格未有效",$S148)))</x:f>
        <x:v>待確認共通技能門檻</x:v>
      </x:c>
      <x:c r="V148" t="str">
        <x:f>$A148&amp;"|"&amp;$C148</x:f>
        <x:v>1030|LJT-MICROENDO</x:v>
      </x:c>
    </x:row>
    <x:row r="149">
      <x:c r="A149" s="37" t="str">
        <x:v>1030</x:v>
      </x:c>
      <x:c r="B149" s="37" t="str"/>
      <x:c r="C149" s="37" t="str">
        <x:v>LJT-IMPLANT</x:v>
      </x:c>
      <x:c r="D149" s="37" t="str">
        <x:v>高複雜度</x:v>
      </x:c>
      <x:c r="E149" s="37" t="str">
        <x:v>植牙</x:v>
      </x:c>
      <x:c r="F149" s="37" t="str">
        <x:v>一般</x:v>
      </x:c>
      <x:c r="G149" s="37" t="str">
        <x:v>高複雜度</x:v>
      </x:c>
      <x:c r="H149" s="37" t="str">
        <x:v>LJT-PREP-IMPLANT</x:v>
      </x:c>
      <x:c r="I149" s="48" t="n">
        <x:f>COUNTIFS('適配要求展開'!$A$7:$A$734,$A149,'適配要求展開'!$C$7:$C$734,$C149)</x:f>
        <x:v>4</x:v>
      </x:c>
      <x:c r="J149" s="48" t="n">
        <x:f>COUNTIFS('適配要求展開'!$A$7:$A$734,$A149,'適配要求展開'!$C$7:$C$734,$C149,'適配要求展開'!$I$7:$I$734,"待確認")</x:f>
        <x:v>3</x:v>
      </x:c>
      <x:c r="K149" s="48" t="n">
        <x:f>COUNTIFS('適配要求展開'!$A$7:$A$734,$A149,'適配要求展開'!$C$7:$C$734,$C149,'適配要求展開'!$N$7:$N$734,"不符合")</x:f>
        <x:v>4</x:v>
      </x:c>
      <x:c r="L149" s="48" t="n">
        <x:f>COUNTIFS('適配要求展開'!$A$7:$A$734,$A149,'適配要求展開'!$C$7:$C$734,$C149,'適配要求展開'!$L$7:$L$734,"Ø")</x:f>
        <x:v>0</x:v>
      </x:c>
      <x:c r="M149" s="51" t="n">
        <x:f>IF($I149=0,"n.a.",$L149/$I149)</x:f>
        <x:v>0</x:v>
      </x:c>
      <x:c r="N149" s="48" t="str">
        <x:f>_xlfn.XLOOKUP($A149&amp;"|李侑津醫師",'試行熟悉度'!$K$7:$K$20,'試行熟悉度'!$E$7:$E$20,"未評估",0)</x:f>
        <x:v>未評估</x:v>
      </x:c>
      <x:c r="O149" s="48" t="str">
        <x:f>IF(OR(COUNTIFS('適配要求展開'!$A$7:$A$734,$A149,'適配要求展開'!$C$7:$C$734,$C149,'適配要求展開'!$M$7:$M$734,"&lt;&gt;已核定")&gt;0,_xlfn.XLOOKUP($A149&amp;"|李侑津醫師",'試行熟悉度'!$K$7:$K$20,'試行熟悉度'!$F$7:$F$20,"未建立",0)&lt;&gt;"已核定"),"待主管核定","已核定")</x:f>
        <x:v>待主管核定</x:v>
      </x:c>
      <x:c r="P149" s="48" t="str">
        <x:f>IF($C149="LJT-RPD-FINAL","支援者另判",IF($G149="高複雜度",_xlfn.XLOOKUP($A149&amp;"|"&amp;$H149,'資格有效性'!$L$7:$L$62,'資格有效性'!$E$7:$E$62,"未建立",0),"不需複評"))</x:f>
        <x:v>未建立</x:v>
      </x:c>
      <x:c r="Q149" s="48" t="n">
        <x:v>0</x:v>
      </x:c>
      <x:c r="R149" s="48"/>
      <x:c r="S149" s="48" t="str">
        <x:f>IF($K149&gt;0,"不可正式排",IF(OR($N149="未評估",$N149="學習中"),"不可正式排",IF(AND($L149=0,$N149="可獨立配合"),"初步可獨立",IF(AND($L149&lt;=3,$M149&lt;=1/3,OR($N149="可獨立配合",$N149="可配合但需支援")),"初步可條件排","不可正式排"))))</x:f>
        <x:v>不可正式排</x:v>
      </x:c>
      <x:c r="T149" s="53" t="str">
        <x:f>IF($C149="LJT-RPD-FINAL","固定短時支援 1 人／30 分鐘",IF($S149="初步可條件排",IF($G149="高複雜度","完整支援者 1:1（占 2 名額）","一般支援 1 名額"),"無"))</x:f>
        <x:v>無</x:v>
      </x:c>
      <x:c r="U149" s="53" t="str">
        <x:f>IF($J149&gt;0,"待確認共通技能門檻",IF($O149&lt;&gt;"已核定","待主管核定",IF(AND($G149="高複雜度",$P149&lt;&gt;"有效"),"資格未有效",$S149)))</x:f>
        <x:v>待確認共通技能門檻</x:v>
      </x:c>
      <x:c r="V149" t="str">
        <x:f>$A149&amp;"|"&amp;$C149</x:f>
        <x:v>1030|LJT-IMPLANT</x:v>
      </x:c>
    </x:row>
    <x:row r="150">
      <x:c r="A150" s="37" t="str">
        <x:v>1031</x:v>
      </x:c>
      <x:c r="B150" s="37" t="str"/>
      <x:c r="C150" s="37" t="str">
        <x:v>LJT-SCALING</x:v>
      </x:c>
      <x:c r="D150" s="37" t="str">
        <x:v>一般治療</x:v>
      </x:c>
      <x:c r="E150" s="37" t="str">
        <x:v>洗牙</x:v>
      </x:c>
      <x:c r="F150" s="37" t="str">
        <x:v>一般</x:v>
      </x:c>
      <x:c r="G150" s="37" t="str">
        <x:v>一般</x:v>
      </x:c>
      <x:c r="H150" s="37" t="str">
        <x:v>LJT-PREP-SCALING</x:v>
      </x:c>
      <x:c r="I150" s="48" t="n">
        <x:f>COUNTIFS('適配要求展開'!$A$7:$A$734,$A150,'適配要求展開'!$C$7:$C$734,$C150)</x:f>
        <x:v>4</x:v>
      </x:c>
      <x:c r="J150" s="48" t="n">
        <x:f>COUNTIFS('適配要求展開'!$A$7:$A$734,$A150,'適配要求展開'!$C$7:$C$734,$C150,'適配要求展開'!$I$7:$I$734,"待確認")</x:f>
        <x:v>3</x:v>
      </x:c>
      <x:c r="K150" s="48" t="n">
        <x:f>COUNTIFS('適配要求展開'!$A$7:$A$734,$A150,'適配要求展開'!$C$7:$C$734,$C150,'適配要求展開'!$N$7:$N$734,"不符合")</x:f>
        <x:v>4</x:v>
      </x:c>
      <x:c r="L150" s="48" t="n">
        <x:f>COUNTIFS('適配要求展開'!$A$7:$A$734,$A150,'適配要求展開'!$C$7:$C$734,$C150,'適配要求展開'!$L$7:$L$734,"Ø")</x:f>
        <x:v>0</x:v>
      </x:c>
      <x:c r="M150" s="51" t="n">
        <x:f>IF($I150=0,"n.a.",$L150/$I150)</x:f>
        <x:v>0</x:v>
      </x:c>
      <x:c r="N150" s="48" t="str">
        <x:f>_xlfn.XLOOKUP($A150&amp;"|李侑津醫師",'試行熟悉度'!$K$7:$K$20,'試行熟悉度'!$E$7:$E$20,"未評估",0)</x:f>
        <x:v>未評估</x:v>
      </x:c>
      <x:c r="O150" s="48" t="str">
        <x:f>IF(OR(COUNTIFS('適配要求展開'!$A$7:$A$734,$A150,'適配要求展開'!$C$7:$C$734,$C150,'適配要求展開'!$M$7:$M$734,"&lt;&gt;已核定")&gt;0,_xlfn.XLOOKUP($A150&amp;"|李侑津醫師",'試行熟悉度'!$K$7:$K$20,'試行熟悉度'!$F$7:$F$20,"未建立",0)&lt;&gt;"已核定"),"待主管核定","已核定")</x:f>
        <x:v>待主管核定</x:v>
      </x:c>
      <x:c r="P150" s="48" t="str">
        <x:f>IF($C150="LJT-RPD-FINAL","支援者另判",IF($G150="高複雜度",_xlfn.XLOOKUP($A150&amp;"|"&amp;$H150,'資格有效性'!$L$7:$L$62,'資格有效性'!$E$7:$E$62,"未建立",0),"不需複評"))</x:f>
        <x:v>不需複評</x:v>
      </x:c>
      <x:c r="Q150" s="48" t="n">
        <x:v>0</x:v>
      </x:c>
      <x:c r="R150" s="48"/>
      <x:c r="S150" s="48" t="str">
        <x:f>IF($K150&gt;0,"不可正式排",IF(OR($N150="未評估",$N150="學習中"),"不可正式排",IF(AND($L150=0,$N150="可獨立配合"),"初步可獨立",IF(AND($L150&lt;=3,$M150&lt;=1/3,OR($N150="可獨立配合",$N150="可配合但需支援")),"初步可條件排","不可正式排"))))</x:f>
        <x:v>不可正式排</x:v>
      </x:c>
      <x:c r="T150" s="53" t="str">
        <x:f>IF($C150="LJT-RPD-FINAL","固定短時支援 1 人／30 分鐘",IF($S150="初步可條件排",IF($G150="高複雜度","完整支援者 1:1（占 2 名額）","一般支援 1 名額"),"無"))</x:f>
        <x:v>無</x:v>
      </x:c>
      <x:c r="U150" s="53" t="str">
        <x:f>IF($J150&gt;0,"待確認共通技能門檻",IF($O150&lt;&gt;"已核定","待主管核定",IF(AND($G150="高複雜度",$P150&lt;&gt;"有效"),"資格未有效",$S150)))</x:f>
        <x:v>待確認共通技能門檻</x:v>
      </x:c>
      <x:c r="V150" t="str">
        <x:f>$A150&amp;"|"&amp;$C150</x:f>
        <x:v>1031|LJT-SCALING</x:v>
      </x:c>
    </x:row>
    <x:row r="151">
      <x:c r="A151" s="37" t="str">
        <x:v>1031</x:v>
      </x:c>
      <x:c r="B151" s="37" t="str"/>
      <x:c r="C151" s="37" t="str">
        <x:v>LJT-FILLING</x:v>
      </x:c>
      <x:c r="D151" s="37" t="str">
        <x:v>一般治療</x:v>
      </x:c>
      <x:c r="E151" s="37" t="str">
        <x:v>補牙</x:v>
      </x:c>
      <x:c r="F151" s="37" t="str">
        <x:v>一般</x:v>
      </x:c>
      <x:c r="G151" s="37" t="str">
        <x:v>一般</x:v>
      </x:c>
      <x:c r="H151" s="37" t="str">
        <x:v>LJT-PREP-FILLING</x:v>
      </x:c>
      <x:c r="I151" s="48" t="n">
        <x:f>COUNTIFS('適配要求展開'!$A$7:$A$734,$A151,'適配要求展開'!$C$7:$C$734,$C151)</x:f>
        <x:v>4</x:v>
      </x:c>
      <x:c r="J151" s="48" t="n">
        <x:f>COUNTIFS('適配要求展開'!$A$7:$A$734,$A151,'適配要求展開'!$C$7:$C$734,$C151,'適配要求展開'!$I$7:$I$734,"待確認")</x:f>
        <x:v>3</x:v>
      </x:c>
      <x:c r="K151" s="48" t="n">
        <x:f>COUNTIFS('適配要求展開'!$A$7:$A$734,$A151,'適配要求展開'!$C$7:$C$734,$C151,'適配要求展開'!$N$7:$N$734,"不符合")</x:f>
        <x:v>4</x:v>
      </x:c>
      <x:c r="L151" s="48" t="n">
        <x:f>COUNTIFS('適配要求展開'!$A$7:$A$734,$A151,'適配要求展開'!$C$7:$C$734,$C151,'適配要求展開'!$L$7:$L$734,"Ø")</x:f>
        <x:v>0</x:v>
      </x:c>
      <x:c r="M151" s="51" t="n">
        <x:f>IF($I151=0,"n.a.",$L151/$I151)</x:f>
        <x:v>0</x:v>
      </x:c>
      <x:c r="N151" s="48" t="str">
        <x:f>_xlfn.XLOOKUP($A151&amp;"|李侑津醫師",'試行熟悉度'!$K$7:$K$20,'試行熟悉度'!$E$7:$E$20,"未評估",0)</x:f>
        <x:v>未評估</x:v>
      </x:c>
      <x:c r="O151" s="48" t="str">
        <x:f>IF(OR(COUNTIFS('適配要求展開'!$A$7:$A$734,$A151,'適配要求展開'!$C$7:$C$734,$C151,'適配要求展開'!$M$7:$M$734,"&lt;&gt;已核定")&gt;0,_xlfn.XLOOKUP($A151&amp;"|李侑津醫師",'試行熟悉度'!$K$7:$K$20,'試行熟悉度'!$F$7:$F$20,"未建立",0)&lt;&gt;"已核定"),"待主管核定","已核定")</x:f>
        <x:v>待主管核定</x:v>
      </x:c>
      <x:c r="P151" s="48" t="str">
        <x:f>IF($C151="LJT-RPD-FINAL","支援者另判",IF($G151="高複雜度",_xlfn.XLOOKUP($A151&amp;"|"&amp;$H151,'資格有效性'!$L$7:$L$62,'資格有效性'!$E$7:$E$62,"未建立",0),"不需複評"))</x:f>
        <x:v>不需複評</x:v>
      </x:c>
      <x:c r="Q151" s="48" t="n">
        <x:v>0</x:v>
      </x:c>
      <x:c r="R151" s="48"/>
      <x:c r="S151" s="48" t="str">
        <x:f>IF($K151&gt;0,"不可正式排",IF(OR($N151="未評估",$N151="學習中"),"不可正式排",IF(AND($L151=0,$N151="可獨立配合"),"初步可獨立",IF(AND($L151&lt;=3,$M151&lt;=1/3,OR($N151="可獨立配合",$N151="可配合但需支援")),"初步可條件排","不可正式排"))))</x:f>
        <x:v>不可正式排</x:v>
      </x:c>
      <x:c r="T151" s="53" t="str">
        <x:f>IF($C151="LJT-RPD-FINAL","固定短時支援 1 人／30 分鐘",IF($S151="初步可條件排",IF($G151="高複雜度","完整支援者 1:1（占 2 名額）","一般支援 1 名額"),"無"))</x:f>
        <x:v>無</x:v>
      </x:c>
      <x:c r="U151" s="53" t="str">
        <x:f>IF($J151&gt;0,"待確認共通技能門檻",IF($O151&lt;&gt;"已核定","待主管核定",IF(AND($G151="高複雜度",$P151&lt;&gt;"有效"),"資格未有效",$S151)))</x:f>
        <x:v>待確認共通技能門檻</x:v>
      </x:c>
      <x:c r="V151" t="str">
        <x:f>$A151&amp;"|"&amp;$C151</x:f>
        <x:v>1031|LJT-FILLING</x:v>
      </x:c>
    </x:row>
    <x:row r="152">
      <x:c r="A152" s="37" t="str">
        <x:v>1031</x:v>
      </x:c>
      <x:c r="B152" s="37" t="str"/>
      <x:c r="C152" s="37" t="str">
        <x:v>LJT-PERIO</x:v>
      </x:c>
      <x:c r="D152" s="37" t="str">
        <x:v>一般治療</x:v>
      </x:c>
      <x:c r="E152" s="37" t="str">
        <x:v>牙周統合</x:v>
      </x:c>
      <x:c r="F152" s="37" t="str">
        <x:v>一般</x:v>
      </x:c>
      <x:c r="G152" s="37" t="str">
        <x:v>一般</x:v>
      </x:c>
      <x:c r="H152" s="37" t="str">
        <x:v>LJT-PREP-PERIO</x:v>
      </x:c>
      <x:c r="I152" s="48" t="n">
        <x:f>COUNTIFS('適配要求展開'!$A$7:$A$734,$A152,'適配要求展開'!$C$7:$C$734,$C152)</x:f>
        <x:v>4</x:v>
      </x:c>
      <x:c r="J152" s="48" t="n">
        <x:f>COUNTIFS('適配要求展開'!$A$7:$A$734,$A152,'適配要求展開'!$C$7:$C$734,$C152,'適配要求展開'!$I$7:$I$734,"待確認")</x:f>
        <x:v>3</x:v>
      </x:c>
      <x:c r="K152" s="48" t="n">
        <x:f>COUNTIFS('適配要求展開'!$A$7:$A$734,$A152,'適配要求展開'!$C$7:$C$734,$C152,'適配要求展開'!$N$7:$N$734,"不符合")</x:f>
        <x:v>4</x:v>
      </x:c>
      <x:c r="L152" s="48" t="n">
        <x:f>COUNTIFS('適配要求展開'!$A$7:$A$734,$A152,'適配要求展開'!$C$7:$C$734,$C152,'適配要求展開'!$L$7:$L$734,"Ø")</x:f>
        <x:v>0</x:v>
      </x:c>
      <x:c r="M152" s="51" t="n">
        <x:f>IF($I152=0,"n.a.",$L152/$I152)</x:f>
        <x:v>0</x:v>
      </x:c>
      <x:c r="N152" s="48" t="str">
        <x:f>_xlfn.XLOOKUP($A152&amp;"|李侑津醫師",'試行熟悉度'!$K$7:$K$20,'試行熟悉度'!$E$7:$E$20,"未評估",0)</x:f>
        <x:v>未評估</x:v>
      </x:c>
      <x:c r="O152" s="48" t="str">
        <x:f>IF(OR(COUNTIFS('適配要求展開'!$A$7:$A$734,$A152,'適配要求展開'!$C$7:$C$734,$C152,'適配要求展開'!$M$7:$M$734,"&lt;&gt;已核定")&gt;0,_xlfn.XLOOKUP($A152&amp;"|李侑津醫師",'試行熟悉度'!$K$7:$K$20,'試行熟悉度'!$F$7:$F$20,"未建立",0)&lt;&gt;"已核定"),"待主管核定","已核定")</x:f>
        <x:v>待主管核定</x:v>
      </x:c>
      <x:c r="P152" s="48" t="str">
        <x:f>IF($C152="LJT-RPD-FINAL","支援者另判",IF($G152="高複雜度",_xlfn.XLOOKUP($A152&amp;"|"&amp;$H152,'資格有效性'!$L$7:$L$62,'資格有效性'!$E$7:$E$62,"未建立",0),"不需複評"))</x:f>
        <x:v>不需複評</x:v>
      </x:c>
      <x:c r="Q152" s="48" t="n">
        <x:v>0</x:v>
      </x:c>
      <x:c r="R152" s="48"/>
      <x:c r="S152" s="48" t="str">
        <x:f>IF($K152&gt;0,"不可正式排",IF(OR($N152="未評估",$N152="學習中"),"不可正式排",IF(AND($L152=0,$N152="可獨立配合"),"初步可獨立",IF(AND($L152&lt;=3,$M152&lt;=1/3,OR($N152="可獨立配合",$N152="可配合但需支援")),"初步可條件排","不可正式排"))))</x:f>
        <x:v>不可正式排</x:v>
      </x:c>
      <x:c r="T152" s="53" t="str">
        <x:f>IF($C152="LJT-RPD-FINAL","固定短時支援 1 人／30 分鐘",IF($S152="初步可條件排",IF($G152="高複雜度","完整支援者 1:1（占 2 名額）","一般支援 1 名額"),"無"))</x:f>
        <x:v>無</x:v>
      </x:c>
      <x:c r="U152" s="53" t="str">
        <x:f>IF($J152&gt;0,"待確認共通技能門檻",IF($O152&lt;&gt;"已核定","待主管核定",IF(AND($G152="高複雜度",$P152&lt;&gt;"有效"),"資格未有效",$S152)))</x:f>
        <x:v>待確認共通技能門檻</x:v>
      </x:c>
      <x:c r="V152" t="str">
        <x:f>$A152&amp;"|"&amp;$C152</x:f>
        <x:v>1031|LJT-PERIO</x:v>
      </x:c>
    </x:row>
    <x:row r="153">
      <x:c r="A153" s="37" t="str">
        <x:v>1031</x:v>
      </x:c>
      <x:c r="B153" s="37" t="str"/>
      <x:c r="C153" s="37" t="str">
        <x:v>LJT-RCT</x:v>
      </x:c>
      <x:c r="D153" s="37" t="str">
        <x:v>一般治療</x:v>
      </x:c>
      <x:c r="E153" s="37" t="str">
        <x:v>一般根管治療</x:v>
      </x:c>
      <x:c r="F153" s="37" t="str">
        <x:v>一般</x:v>
      </x:c>
      <x:c r="G153" s="37" t="str">
        <x:v>一般</x:v>
      </x:c>
      <x:c r="H153" s="37" t="str">
        <x:v>LJT-PREP-RCT</x:v>
      </x:c>
      <x:c r="I153" s="48" t="n">
        <x:f>COUNTIFS('適配要求展開'!$A$7:$A$734,$A153,'適配要求展開'!$C$7:$C$734,$C153)</x:f>
        <x:v>4</x:v>
      </x:c>
      <x:c r="J153" s="48" t="n">
        <x:f>COUNTIFS('適配要求展開'!$A$7:$A$734,$A153,'適配要求展開'!$C$7:$C$734,$C153,'適配要求展開'!$I$7:$I$734,"待確認")</x:f>
        <x:v>3</x:v>
      </x:c>
      <x:c r="K153" s="48" t="n">
        <x:f>COUNTIFS('適配要求展開'!$A$7:$A$734,$A153,'適配要求展開'!$C$7:$C$734,$C153,'適配要求展開'!$N$7:$N$734,"不符合")</x:f>
        <x:v>4</x:v>
      </x:c>
      <x:c r="L153" s="48" t="n">
        <x:f>COUNTIFS('適配要求展開'!$A$7:$A$734,$A153,'適配要求展開'!$C$7:$C$734,$C153,'適配要求展開'!$L$7:$L$734,"Ø")</x:f>
        <x:v>0</x:v>
      </x:c>
      <x:c r="M153" s="51" t="n">
        <x:f>IF($I153=0,"n.a.",$L153/$I153)</x:f>
        <x:v>0</x:v>
      </x:c>
      <x:c r="N153" s="48" t="str">
        <x:f>_xlfn.XLOOKUP($A153&amp;"|李侑津醫師",'試行熟悉度'!$K$7:$K$20,'試行熟悉度'!$E$7:$E$20,"未評估",0)</x:f>
        <x:v>未評估</x:v>
      </x:c>
      <x:c r="O153" s="48" t="str">
        <x:f>IF(OR(COUNTIFS('適配要求展開'!$A$7:$A$734,$A153,'適配要求展開'!$C$7:$C$734,$C153,'適配要求展開'!$M$7:$M$734,"&lt;&gt;已核定")&gt;0,_xlfn.XLOOKUP($A153&amp;"|李侑津醫師",'試行熟悉度'!$K$7:$K$20,'試行熟悉度'!$F$7:$F$20,"未建立",0)&lt;&gt;"已核定"),"待主管核定","已核定")</x:f>
        <x:v>待主管核定</x:v>
      </x:c>
      <x:c r="P153" s="48" t="str">
        <x:f>IF($C153="LJT-RPD-FINAL","支援者另判",IF($G153="高複雜度",_xlfn.XLOOKUP($A153&amp;"|"&amp;$H153,'資格有效性'!$L$7:$L$62,'資格有效性'!$E$7:$E$62,"未建立",0),"不需複評"))</x:f>
        <x:v>不需複評</x:v>
      </x:c>
      <x:c r="Q153" s="48" t="n">
        <x:v>0</x:v>
      </x:c>
      <x:c r="R153" s="48"/>
      <x:c r="S153" s="48" t="str">
        <x:f>IF($K153&gt;0,"不可正式排",IF(OR($N153="未評估",$N153="學習中"),"不可正式排",IF(AND($L153=0,$N153="可獨立配合"),"初步可獨立",IF(AND($L153&lt;=3,$M153&lt;=1/3,OR($N153="可獨立配合",$N153="可配合但需支援")),"初步可條件排","不可正式排"))))</x:f>
        <x:v>不可正式排</x:v>
      </x:c>
      <x:c r="T153" s="53" t="str">
        <x:f>IF($C153="LJT-RPD-FINAL","固定短時支援 1 人／30 分鐘",IF($S153="初步可條件排",IF($G153="高複雜度","完整支援者 1:1（占 2 名額）","一般支援 1 名額"),"無"))</x:f>
        <x:v>無</x:v>
      </x:c>
      <x:c r="U153" s="53" t="str">
        <x:f>IF($J153&gt;0,"待確認共通技能門檻",IF($O153&lt;&gt;"已核定","待主管核定",IF(AND($G153="高複雜度",$P153&lt;&gt;"有效"),"資格未有效",$S153)))</x:f>
        <x:v>待確認共通技能門檻</x:v>
      </x:c>
      <x:c r="V153" t="str">
        <x:f>$A153&amp;"|"&amp;$C153</x:f>
        <x:v>1031|LJT-RCT</x:v>
      </x:c>
    </x:row>
    <x:row r="154">
      <x:c r="A154" s="37" t="str">
        <x:v>1031</x:v>
      </x:c>
      <x:c r="B154" s="37" t="str"/>
      <x:c r="C154" s="37" t="str">
        <x:v>LJT-EXTRACTION</x:v>
      </x:c>
      <x:c r="D154" s="37" t="str">
        <x:v>一般治療</x:v>
      </x:c>
      <x:c r="E154" s="37" t="str">
        <x:v>拔牙</x:v>
      </x:c>
      <x:c r="F154" s="37" t="str">
        <x:v>一般</x:v>
      </x:c>
      <x:c r="G154" s="37" t="str">
        <x:v>一般</x:v>
      </x:c>
      <x:c r="H154" s="37" t="str">
        <x:v>LJT-PREP-EXTRACTION</x:v>
      </x:c>
      <x:c r="I154" s="48" t="n">
        <x:f>COUNTIFS('適配要求展開'!$A$7:$A$734,$A154,'適配要求展開'!$C$7:$C$734,$C154)</x:f>
        <x:v>4</x:v>
      </x:c>
      <x:c r="J154" s="48" t="n">
        <x:f>COUNTIFS('適配要求展開'!$A$7:$A$734,$A154,'適配要求展開'!$C$7:$C$734,$C154,'適配要求展開'!$I$7:$I$734,"待確認")</x:f>
        <x:v>3</x:v>
      </x:c>
      <x:c r="K154" s="48" t="n">
        <x:f>COUNTIFS('適配要求展開'!$A$7:$A$734,$A154,'適配要求展開'!$C$7:$C$734,$C154,'適配要求展開'!$N$7:$N$734,"不符合")</x:f>
        <x:v>4</x:v>
      </x:c>
      <x:c r="L154" s="48" t="n">
        <x:f>COUNTIFS('適配要求展開'!$A$7:$A$734,$A154,'適配要求展開'!$C$7:$C$734,$C154,'適配要求展開'!$L$7:$L$734,"Ø")</x:f>
        <x:v>0</x:v>
      </x:c>
      <x:c r="M154" s="51" t="n">
        <x:f>IF($I154=0,"n.a.",$L154/$I154)</x:f>
        <x:v>0</x:v>
      </x:c>
      <x:c r="N154" s="48" t="str">
        <x:f>_xlfn.XLOOKUP($A154&amp;"|李侑津醫師",'試行熟悉度'!$K$7:$K$20,'試行熟悉度'!$E$7:$E$20,"未評估",0)</x:f>
        <x:v>未評估</x:v>
      </x:c>
      <x:c r="O154" s="48" t="str">
        <x:f>IF(OR(COUNTIFS('適配要求展開'!$A$7:$A$734,$A154,'適配要求展開'!$C$7:$C$734,$C154,'適配要求展開'!$M$7:$M$734,"&lt;&gt;已核定")&gt;0,_xlfn.XLOOKUP($A154&amp;"|李侑津醫師",'試行熟悉度'!$K$7:$K$20,'試行熟悉度'!$F$7:$F$20,"未建立",0)&lt;&gt;"已核定"),"待主管核定","已核定")</x:f>
        <x:v>待主管核定</x:v>
      </x:c>
      <x:c r="P154" s="48" t="str">
        <x:f>IF($C154="LJT-RPD-FINAL","支援者另判",IF($G154="高複雜度",_xlfn.XLOOKUP($A154&amp;"|"&amp;$H154,'資格有效性'!$L$7:$L$62,'資格有效性'!$E$7:$E$62,"未建立",0),"不需複評"))</x:f>
        <x:v>不需複評</x:v>
      </x:c>
      <x:c r="Q154" s="48" t="n">
        <x:v>0</x:v>
      </x:c>
      <x:c r="R154" s="48"/>
      <x:c r="S154" s="48" t="str">
        <x:f>IF($K154&gt;0,"不可正式排",IF(OR($N154="未評估",$N154="學習中"),"不可正式排",IF(AND($L154=0,$N154="可獨立配合"),"初步可獨立",IF(AND($L154&lt;=3,$M154&lt;=1/3,OR($N154="可獨立配合",$N154="可配合但需支援")),"初步可條件排","不可正式排"))))</x:f>
        <x:v>不可正式排</x:v>
      </x:c>
      <x:c r="T154" s="53" t="str">
        <x:f>IF($C154="LJT-RPD-FINAL","固定短時支援 1 人／30 分鐘",IF($S154="初步可條件排",IF($G154="高複雜度","完整支援者 1:1（占 2 名額）","一般支援 1 名額"),"無"))</x:f>
        <x:v>無</x:v>
      </x:c>
      <x:c r="U154" s="53" t="str">
        <x:f>IF($J154&gt;0,"待確認共通技能門檻",IF($O154&lt;&gt;"已核定","待主管核定",IF(AND($G154="高複雜度",$P154&lt;&gt;"有效"),"資格未有效",$S154)))</x:f>
        <x:v>待確認共通技能門檻</x:v>
      </x:c>
      <x:c r="V154" t="str">
        <x:f>$A154&amp;"|"&amp;$C154</x:f>
        <x:v>1031|LJT-EXTRACTION</x:v>
      </x:c>
    </x:row>
    <x:row r="155">
      <x:c r="A155" s="37" t="str">
        <x:v>1031</x:v>
      </x:c>
      <x:c r="B155" s="37" t="str"/>
      <x:c r="C155" s="37" t="str">
        <x:v>LJT-CROWNPOST</x:v>
      </x:c>
      <x:c r="D155" s="37" t="str">
        <x:v>一般治療</x:v>
      </x:c>
      <x:c r="E155" s="37" t="str">
        <x:v>拆 crown/post</x:v>
      </x:c>
      <x:c r="F155" s="37" t="str">
        <x:v>一般</x:v>
      </x:c>
      <x:c r="G155" s="37" t="str">
        <x:v>一般</x:v>
      </x:c>
      <x:c r="H155" s="37" t="str">
        <x:v>LJT-PREP-CROWNPOST</x:v>
      </x:c>
      <x:c r="I155" s="48" t="n">
        <x:f>COUNTIFS('適配要求展開'!$A$7:$A$734,$A155,'適配要求展開'!$C$7:$C$734,$C155)</x:f>
        <x:v>4</x:v>
      </x:c>
      <x:c r="J155" s="48" t="n">
        <x:f>COUNTIFS('適配要求展開'!$A$7:$A$734,$A155,'適配要求展開'!$C$7:$C$734,$C155,'適配要求展開'!$I$7:$I$734,"待確認")</x:f>
        <x:v>3</x:v>
      </x:c>
      <x:c r="K155" s="48" t="n">
        <x:f>COUNTIFS('適配要求展開'!$A$7:$A$734,$A155,'適配要求展開'!$C$7:$C$734,$C155,'適配要求展開'!$N$7:$N$734,"不符合")</x:f>
        <x:v>4</x:v>
      </x:c>
      <x:c r="L155" s="48" t="n">
        <x:f>COUNTIFS('適配要求展開'!$A$7:$A$734,$A155,'適配要求展開'!$C$7:$C$734,$C155,'適配要求展開'!$L$7:$L$734,"Ø")</x:f>
        <x:v>0</x:v>
      </x:c>
      <x:c r="M155" s="51" t="n">
        <x:f>IF($I155=0,"n.a.",$L155/$I155)</x:f>
        <x:v>0</x:v>
      </x:c>
      <x:c r="N155" s="48" t="str">
        <x:f>_xlfn.XLOOKUP($A155&amp;"|李侑津醫師",'試行熟悉度'!$K$7:$K$20,'試行熟悉度'!$E$7:$E$20,"未評估",0)</x:f>
        <x:v>未評估</x:v>
      </x:c>
      <x:c r="O155" s="48" t="str">
        <x:f>IF(OR(COUNTIFS('適配要求展開'!$A$7:$A$734,$A155,'適配要求展開'!$C$7:$C$734,$C155,'適配要求展開'!$M$7:$M$734,"&lt;&gt;已核定")&gt;0,_xlfn.XLOOKUP($A155&amp;"|李侑津醫師",'試行熟悉度'!$K$7:$K$20,'試行熟悉度'!$F$7:$F$20,"未建立",0)&lt;&gt;"已核定"),"待主管核定","已核定")</x:f>
        <x:v>待主管核定</x:v>
      </x:c>
      <x:c r="P155" s="48" t="str">
        <x:f>IF($C155="LJT-RPD-FINAL","支援者另判",IF($G155="高複雜度",_xlfn.XLOOKUP($A155&amp;"|"&amp;$H155,'資格有效性'!$L$7:$L$62,'資格有效性'!$E$7:$E$62,"未建立",0),"不需複評"))</x:f>
        <x:v>不需複評</x:v>
      </x:c>
      <x:c r="Q155" s="48" t="n">
        <x:v>0</x:v>
      </x:c>
      <x:c r="R155" s="48"/>
      <x:c r="S155" s="48" t="str">
        <x:f>IF($K155&gt;0,"不可正式排",IF(OR($N155="未評估",$N155="學習中"),"不可正式排",IF(AND($L155=0,$N155="可獨立配合"),"初步可獨立",IF(AND($L155&lt;=3,$M155&lt;=1/3,OR($N155="可獨立配合",$N155="可配合但需支援")),"初步可條件排","不可正式排"))))</x:f>
        <x:v>不可正式排</x:v>
      </x:c>
      <x:c r="T155" s="53" t="str">
        <x:f>IF($C155="LJT-RPD-FINAL","固定短時支援 1 人／30 分鐘",IF($S155="初步可條件排",IF($G155="高複雜度","完整支援者 1:1（占 2 名額）","一般支援 1 名額"),"無"))</x:f>
        <x:v>無</x:v>
      </x:c>
      <x:c r="U155" s="53" t="str">
        <x:f>IF($J155&gt;0,"待確認共通技能門檻",IF($O155&lt;&gt;"已核定","待主管核定",IF(AND($G155="高複雜度",$P155&lt;&gt;"有效"),"資格未有效",$S155)))</x:f>
        <x:v>待確認共通技能門檻</x:v>
      </x:c>
      <x:c r="V155" t="str">
        <x:f>$A155&amp;"|"&amp;$C155</x:f>
        <x:v>1031|LJT-CROWNPOST</x:v>
      </x:c>
    </x:row>
    <x:row r="156">
      <x:c r="A156" s="37" t="str">
        <x:v>1031</x:v>
      </x:c>
      <x:c r="B156" s="37" t="str"/>
      <x:c r="C156" s="37" t="str">
        <x:v>LJT-CROWN</x:v>
      </x:c>
      <x:c r="D156" s="37" t="str">
        <x:v>補綴／自費</x:v>
      </x:c>
      <x:c r="E156" s="37" t="str">
        <x:v>固定假牙</x:v>
      </x:c>
      <x:c r="F156" s="37" t="str">
        <x:v>一般</x:v>
      </x:c>
      <x:c r="G156" s="37" t="str">
        <x:v>一般</x:v>
      </x:c>
      <x:c r="H156" s="37" t="str">
        <x:v>LJT-PREP-CROWN</x:v>
      </x:c>
      <x:c r="I156" s="48" t="n">
        <x:f>COUNTIFS('適配要求展開'!$A$7:$A$734,$A156,'適配要求展開'!$C$7:$C$734,$C156)</x:f>
        <x:v>4</x:v>
      </x:c>
      <x:c r="J156" s="48" t="n">
        <x:f>COUNTIFS('適配要求展開'!$A$7:$A$734,$A156,'適配要求展開'!$C$7:$C$734,$C156,'適配要求展開'!$I$7:$I$734,"待確認")</x:f>
        <x:v>3</x:v>
      </x:c>
      <x:c r="K156" s="48" t="n">
        <x:f>COUNTIFS('適配要求展開'!$A$7:$A$734,$A156,'適配要求展開'!$C$7:$C$734,$C156,'適配要求展開'!$N$7:$N$734,"不符合")</x:f>
        <x:v>4</x:v>
      </x:c>
      <x:c r="L156" s="48" t="n">
        <x:f>COUNTIFS('適配要求展開'!$A$7:$A$734,$A156,'適配要求展開'!$C$7:$C$734,$C156,'適配要求展開'!$L$7:$L$734,"Ø")</x:f>
        <x:v>0</x:v>
      </x:c>
      <x:c r="M156" s="51" t="n">
        <x:f>IF($I156=0,"n.a.",$L156/$I156)</x:f>
        <x:v>0</x:v>
      </x:c>
      <x:c r="N156" s="48" t="str">
        <x:f>_xlfn.XLOOKUP($A156&amp;"|李侑津醫師",'試行熟悉度'!$K$7:$K$20,'試行熟悉度'!$E$7:$E$20,"未評估",0)</x:f>
        <x:v>未評估</x:v>
      </x:c>
      <x:c r="O156" s="48" t="str">
        <x:f>IF(OR(COUNTIFS('適配要求展開'!$A$7:$A$734,$A156,'適配要求展開'!$C$7:$C$734,$C156,'適配要求展開'!$M$7:$M$734,"&lt;&gt;已核定")&gt;0,_xlfn.XLOOKUP($A156&amp;"|李侑津醫師",'試行熟悉度'!$K$7:$K$20,'試行熟悉度'!$F$7:$F$20,"未建立",0)&lt;&gt;"已核定"),"待主管核定","已核定")</x:f>
        <x:v>待主管核定</x:v>
      </x:c>
      <x:c r="P156" s="48" t="str">
        <x:f>IF($C156="LJT-RPD-FINAL","支援者另判",IF($G156="高複雜度",_xlfn.XLOOKUP($A156&amp;"|"&amp;$H156,'資格有效性'!$L$7:$L$62,'資格有效性'!$E$7:$E$62,"未建立",0),"不需複評"))</x:f>
        <x:v>不需複評</x:v>
      </x:c>
      <x:c r="Q156" s="48" t="n">
        <x:v>0</x:v>
      </x:c>
      <x:c r="R156" s="48"/>
      <x:c r="S156" s="48" t="str">
        <x:f>IF($K156&gt;0,"不可正式排",IF(OR($N156="未評估",$N156="學習中"),"不可正式排",IF(AND($L156=0,$N156="可獨立配合"),"初步可獨立",IF(AND($L156&lt;=3,$M156&lt;=1/3,OR($N156="可獨立配合",$N156="可配合但需支援")),"初步可條件排","不可正式排"))))</x:f>
        <x:v>不可正式排</x:v>
      </x:c>
      <x:c r="T156" s="53" t="str">
        <x:f>IF($C156="LJT-RPD-FINAL","固定短時支援 1 人／30 分鐘",IF($S156="初步可條件排",IF($G156="高複雜度","完整支援者 1:1（占 2 名額）","一般支援 1 名額"),"無"))</x:f>
        <x:v>無</x:v>
      </x:c>
      <x:c r="U156" s="53" t="str">
        <x:f>IF($J156&gt;0,"待確認共通技能門檻",IF($O156&lt;&gt;"已核定","待主管核定",IF(AND($G156="高複雜度",$P156&lt;&gt;"有效"),"資格未有效",$S156)))</x:f>
        <x:v>待確認共通技能門檻</x:v>
      </x:c>
      <x:c r="V156" t="str">
        <x:f>$A156&amp;"|"&amp;$C156</x:f>
        <x:v>1031|LJT-CROWN</x:v>
      </x:c>
    </x:row>
    <x:row r="157">
      <x:c r="A157" s="37" t="str">
        <x:v>1031</x:v>
      </x:c>
      <x:c r="B157" s="37" t="str"/>
      <x:c r="C157" s="37" t="str">
        <x:v>LJT-RPD</x:v>
      </x:c>
      <x:c r="D157" s="37" t="str">
        <x:v>補綴／自費</x:v>
      </x:c>
      <x:c r="E157" s="37" t="str">
        <x:v>RPD</x:v>
      </x:c>
      <x:c r="F157" s="37" t="str">
        <x:v>一般步驟</x:v>
      </x:c>
      <x:c r="G157" s="37" t="str">
        <x:v>一般</x:v>
      </x:c>
      <x:c r="H157" s="37" t="str">
        <x:v>LJT-PREP-RPD</x:v>
      </x:c>
      <x:c r="I157" s="48" t="n">
        <x:f>COUNTIFS('適配要求展開'!$A$7:$A$734,$A157,'適配要求展開'!$C$7:$C$734,$C157)</x:f>
        <x:v>4</x:v>
      </x:c>
      <x:c r="J157" s="48" t="n">
        <x:f>COUNTIFS('適配要求展開'!$A$7:$A$734,$A157,'適配要求展開'!$C$7:$C$734,$C157,'適配要求展開'!$I$7:$I$734,"待確認")</x:f>
        <x:v>3</x:v>
      </x:c>
      <x:c r="K157" s="48" t="n">
        <x:f>COUNTIFS('適配要求展開'!$A$7:$A$734,$A157,'適配要求展開'!$C$7:$C$734,$C157,'適配要求展開'!$N$7:$N$734,"不符合")</x:f>
        <x:v>4</x:v>
      </x:c>
      <x:c r="L157" s="48" t="n">
        <x:f>COUNTIFS('適配要求展開'!$A$7:$A$734,$A157,'適配要求展開'!$C$7:$C$734,$C157,'適配要求展開'!$L$7:$L$734,"Ø")</x:f>
        <x:v>0</x:v>
      </x:c>
      <x:c r="M157" s="51" t="n">
        <x:f>IF($I157=0,"n.a.",$L157/$I157)</x:f>
        <x:v>0</x:v>
      </x:c>
      <x:c r="N157" s="48" t="str">
        <x:f>_xlfn.XLOOKUP($A157&amp;"|李侑津醫師",'試行熟悉度'!$K$7:$K$20,'試行熟悉度'!$E$7:$E$20,"未評估",0)</x:f>
        <x:v>未評估</x:v>
      </x:c>
      <x:c r="O157" s="48" t="str">
        <x:f>IF(OR(COUNTIFS('適配要求展開'!$A$7:$A$734,$A157,'適配要求展開'!$C$7:$C$734,$C157,'適配要求展開'!$M$7:$M$734,"&lt;&gt;已核定")&gt;0,_xlfn.XLOOKUP($A157&amp;"|李侑津醫師",'試行熟悉度'!$K$7:$K$20,'試行熟悉度'!$F$7:$F$20,"未建立",0)&lt;&gt;"已核定"),"待主管核定","已核定")</x:f>
        <x:v>待主管核定</x:v>
      </x:c>
      <x:c r="P157" s="48" t="str">
        <x:f>IF($C157="LJT-RPD-FINAL","支援者另判",IF($G157="高複雜度",_xlfn.XLOOKUP($A157&amp;"|"&amp;$H157,'資格有效性'!$L$7:$L$62,'資格有效性'!$E$7:$E$62,"未建立",0),"不需複評"))</x:f>
        <x:v>不需複評</x:v>
      </x:c>
      <x:c r="Q157" s="48" t="n">
        <x:v>0</x:v>
      </x:c>
      <x:c r="R157" s="48"/>
      <x:c r="S157" s="48" t="str">
        <x:f>IF($K157&gt;0,"不可正式排",IF(OR($N157="未評估",$N157="學習中"),"不可正式排",IF(AND($L157=0,$N157="可獨立配合"),"初步可獨立",IF(AND($L157&lt;=3,$M157&lt;=1/3,OR($N157="可獨立配合",$N157="可配合但需支援")),"初步可條件排","不可正式排"))))</x:f>
        <x:v>不可正式排</x:v>
      </x:c>
      <x:c r="T157" s="53" t="str">
        <x:f>IF($C157="LJT-RPD-FINAL","固定短時支援 1 人／30 分鐘",IF($S157="初步可條件排",IF($G157="高複雜度","完整支援者 1:1（占 2 名額）","一般支援 1 名額"),"無"))</x:f>
        <x:v>無</x:v>
      </x:c>
      <x:c r="U157" s="53" t="str">
        <x:f>IF($J157&gt;0,"待確認共通技能門檻",IF($O157&lt;&gt;"已核定","待主管核定",IF(AND($G157="高複雜度",$P157&lt;&gt;"有效"),"資格未有效",$S157)))</x:f>
        <x:v>待確認共通技能門檻</x:v>
      </x:c>
      <x:c r="V157" t="str">
        <x:f>$A157&amp;"|"&amp;$C157</x:f>
        <x:v>1031|LJT-RPD</x:v>
      </x:c>
    </x:row>
    <x:row r="158">
      <x:c r="A158" s="37" t="str">
        <x:v>1031</x:v>
      </x:c>
      <x:c r="B158" s="37" t="str"/>
      <x:c r="C158" s="37" t="str">
        <x:v>LJT-RPD-FINAL</x:v>
      </x:c>
      <x:c r="D158" s="37" t="str">
        <x:v>補綴／自費</x:v>
      </x:c>
      <x:c r="E158" s="37" t="str">
        <x:v>RPD</x:v>
      </x:c>
      <x:c r="F158" s="37" t="str">
        <x:v>印最終模</x:v>
      </x:c>
      <x:c r="G158" s="37" t="str">
        <x:v>特殊階段</x:v>
      </x:c>
      <x:c r="H158" s="37" t="str">
        <x:v>LJT-PREP-RPD</x:v>
      </x:c>
      <x:c r="I158" s="48" t="n">
        <x:f>COUNTIFS('適配要求展開'!$A$7:$A$734,$A158,'適配要求展開'!$C$7:$C$734,$C158)</x:f>
        <x:v>4</x:v>
      </x:c>
      <x:c r="J158" s="48" t="n">
        <x:f>COUNTIFS('適配要求展開'!$A$7:$A$734,$A158,'適配要求展開'!$C$7:$C$734,$C158,'適配要求展開'!$I$7:$I$734,"待確認")</x:f>
        <x:v>3</x:v>
      </x:c>
      <x:c r="K158" s="48" t="n">
        <x:f>COUNTIFS('適配要求展開'!$A$7:$A$734,$A158,'適配要求展開'!$C$7:$C$734,$C158,'適配要求展開'!$N$7:$N$734,"不符合")</x:f>
        <x:v>4</x:v>
      </x:c>
      <x:c r="L158" s="48" t="n">
        <x:f>COUNTIFS('適配要求展開'!$A$7:$A$734,$A158,'適配要求展開'!$C$7:$C$734,$C158,'適配要求展開'!$L$7:$L$734,"Ø")</x:f>
        <x:v>0</x:v>
      </x:c>
      <x:c r="M158" s="51" t="n">
        <x:f>IF($I158=0,"n.a.",$L158/$I158)</x:f>
        <x:v>0</x:v>
      </x:c>
      <x:c r="N158" s="48" t="str">
        <x:f>_xlfn.XLOOKUP($A158&amp;"|李侑津醫師",'試行熟悉度'!$K$7:$K$20,'試行熟悉度'!$E$7:$E$20,"未評估",0)</x:f>
        <x:v>未評估</x:v>
      </x:c>
      <x:c r="O158" s="48" t="str">
        <x:f>IF(OR(COUNTIFS('適配要求展開'!$A$7:$A$734,$A158,'適配要求展開'!$C$7:$C$734,$C158,'適配要求展開'!$M$7:$M$734,"&lt;&gt;已核定")&gt;0,_xlfn.XLOOKUP($A158&amp;"|李侑津醫師",'試行熟悉度'!$K$7:$K$20,'試行熟悉度'!$F$7:$F$20,"未建立",0)&lt;&gt;"已核定"),"待主管核定","已核定")</x:f>
        <x:v>待主管核定</x:v>
      </x:c>
      <x:c r="P158" s="48" t="str">
        <x:f>IF($C158="LJT-RPD-FINAL","支援者另判",IF($G158="高複雜度",_xlfn.XLOOKUP($A158&amp;"|"&amp;$H158,'資格有效性'!$L$7:$L$62,'資格有效性'!$E$7:$E$62,"未建立",0),"不需複評"))</x:f>
        <x:v>支援者另判</x:v>
      </x:c>
      <x:c r="Q158" s="48" t="n">
        <x:v>1</x:v>
      </x:c>
      <x:c r="R158" s="48" t="n">
        <x:v>30</x:v>
      </x:c>
      <x:c r="S158" s="48" t="str">
        <x:f>IF($K158&gt;0,"不可正式排",IF(OR($N158="未評估",$N158="學習中"),"不可正式排",IF(AND($L158=0,$N158="可獨立配合"),"初步可獨立",IF(AND($L158&lt;=3,$M158&lt;=1/3,OR($N158="可獨立配合",$N158="可配合但需支援")),"初步可條件排","不可正式排"))))</x:f>
        <x:v>不可正式排</x:v>
      </x:c>
      <x:c r="T158" s="53" t="str">
        <x:f>IF($C158="LJT-RPD-FINAL","固定短時支援 1 人／30 分鐘",IF($S158="初步可條件排",IF($G158="高複雜度","完整支援者 1:1（占 2 名額）","一般支援 1 名額"),"無"))</x:f>
        <x:v>固定短時支援 1 人／30 分鐘</x:v>
      </x:c>
      <x:c r="U158" s="53" t="str">
        <x:f>IF($J158&gt;0,"待確認共通技能門檻",IF($O158&lt;&gt;"已核定","待主管核定",IF(AND($G158="高複雜度",$P158&lt;&gt;"有效"),"資格未有效",$S158)))</x:f>
        <x:v>待確認共通技能門檻</x:v>
      </x:c>
      <x:c r="V158" t="str">
        <x:f>$A158&amp;"|"&amp;$C158</x:f>
        <x:v>1031|LJT-RPD-FINAL</x:v>
      </x:c>
    </x:row>
    <x:row r="159">
      <x:c r="A159" s="37" t="str">
        <x:v>1031</x:v>
      </x:c>
      <x:c r="B159" s="37" t="str"/>
      <x:c r="C159" s="37" t="str">
        <x:v>LJT-AIRPOLISH</x:v>
      </x:c>
      <x:c r="D159" s="37" t="str">
        <x:v>補綴／自費</x:v>
      </x:c>
      <x:c r="E159" s="37" t="str">
        <x:v>噴砂美白</x:v>
      </x:c>
      <x:c r="F159" s="37" t="str">
        <x:v>一般</x:v>
      </x:c>
      <x:c r="G159" s="37" t="str">
        <x:v>一般</x:v>
      </x:c>
      <x:c r="H159" s="37" t="str">
        <x:v>LJT-PREP-AIRPOLISH</x:v>
      </x:c>
      <x:c r="I159" s="48" t="n">
        <x:f>COUNTIFS('適配要求展開'!$A$7:$A$734,$A159,'適配要求展開'!$C$7:$C$734,$C159)</x:f>
        <x:v>4</x:v>
      </x:c>
      <x:c r="J159" s="48" t="n">
        <x:f>COUNTIFS('適配要求展開'!$A$7:$A$734,$A159,'適配要求展開'!$C$7:$C$734,$C159,'適配要求展開'!$I$7:$I$734,"待確認")</x:f>
        <x:v>3</x:v>
      </x:c>
      <x:c r="K159" s="48" t="n">
        <x:f>COUNTIFS('適配要求展開'!$A$7:$A$734,$A159,'適配要求展開'!$C$7:$C$734,$C159,'適配要求展開'!$N$7:$N$734,"不符合")</x:f>
        <x:v>4</x:v>
      </x:c>
      <x:c r="L159" s="48" t="n">
        <x:f>COUNTIFS('適配要求展開'!$A$7:$A$734,$A159,'適配要求展開'!$C$7:$C$734,$C159,'適配要求展開'!$L$7:$L$734,"Ø")</x:f>
        <x:v>0</x:v>
      </x:c>
      <x:c r="M159" s="51" t="n">
        <x:f>IF($I159=0,"n.a.",$L159/$I159)</x:f>
        <x:v>0</x:v>
      </x:c>
      <x:c r="N159" s="48" t="str">
        <x:f>_xlfn.XLOOKUP($A159&amp;"|李侑津醫師",'試行熟悉度'!$K$7:$K$20,'試行熟悉度'!$E$7:$E$20,"未評估",0)</x:f>
        <x:v>未評估</x:v>
      </x:c>
      <x:c r="O159" s="48" t="str">
        <x:f>IF(OR(COUNTIFS('適配要求展開'!$A$7:$A$734,$A159,'適配要求展開'!$C$7:$C$734,$C159,'適配要求展開'!$M$7:$M$734,"&lt;&gt;已核定")&gt;0,_xlfn.XLOOKUP($A159&amp;"|李侑津醫師",'試行熟悉度'!$K$7:$K$20,'試行熟悉度'!$F$7:$F$20,"未建立",0)&lt;&gt;"已核定"),"待主管核定","已核定")</x:f>
        <x:v>待主管核定</x:v>
      </x:c>
      <x:c r="P159" s="48" t="str">
        <x:f>IF($C159="LJT-RPD-FINAL","支援者另判",IF($G159="高複雜度",_xlfn.XLOOKUP($A159&amp;"|"&amp;$H159,'資格有效性'!$L$7:$L$62,'資格有效性'!$E$7:$E$62,"未建立",0),"不需複評"))</x:f>
        <x:v>不需複評</x:v>
      </x:c>
      <x:c r="Q159" s="48" t="n">
        <x:v>0</x:v>
      </x:c>
      <x:c r="R159" s="48"/>
      <x:c r="S159" s="48" t="str">
        <x:f>IF($K159&gt;0,"不可正式排",IF(OR($N159="未評估",$N159="學習中"),"不可正式排",IF(AND($L159=0,$N159="可獨立配合"),"初步可獨立",IF(AND($L159&lt;=3,$M159&lt;=1/3,OR($N159="可獨立配合",$N159="可配合但需支援")),"初步可條件排","不可正式排"))))</x:f>
        <x:v>不可正式排</x:v>
      </x:c>
      <x:c r="T159" s="53" t="str">
        <x:f>IF($C159="LJT-RPD-FINAL","固定短時支援 1 人／30 分鐘",IF($S159="初步可條件排",IF($G159="高複雜度","完整支援者 1:1（占 2 名額）","一般支援 1 名額"),"無"))</x:f>
        <x:v>無</x:v>
      </x:c>
      <x:c r="U159" s="53" t="str">
        <x:f>IF($J159&gt;0,"待確認共通技能門檻",IF($O159&lt;&gt;"已核定","待主管核定",IF(AND($G159="高複雜度",$P159&lt;&gt;"有效"),"資格未有效",$S159)))</x:f>
        <x:v>待確認共通技能門檻</x:v>
      </x:c>
      <x:c r="V159" t="str">
        <x:f>$A159&amp;"|"&amp;$C159</x:f>
        <x:v>1031|LJT-AIRPOLISH</x:v>
      </x:c>
    </x:row>
    <x:row r="160">
      <x:c r="A160" s="37" t="str">
        <x:v>1031</x:v>
      </x:c>
      <x:c r="B160" s="37" t="str"/>
      <x:c r="C160" s="37" t="str">
        <x:v>LJT-PERIOSURG</x:v>
      </x:c>
      <x:c r="D160" s="37" t="str">
        <x:v>高複雜度</x:v>
      </x:c>
      <x:c r="E160" s="37" t="str">
        <x:v>牙周手術</x:v>
      </x:c>
      <x:c r="F160" s="37" t="str">
        <x:v>一般</x:v>
      </x:c>
      <x:c r="G160" s="37" t="str">
        <x:v>高複雜度</x:v>
      </x:c>
      <x:c r="H160" s="37" t="str">
        <x:v>LJT-PREP-PERIOSURG</x:v>
      </x:c>
      <x:c r="I160" s="48" t="n">
        <x:f>COUNTIFS('適配要求展開'!$A$7:$A$734,$A160,'適配要求展開'!$C$7:$C$734,$C160)</x:f>
        <x:v>4</x:v>
      </x:c>
      <x:c r="J160" s="48" t="n">
        <x:f>COUNTIFS('適配要求展開'!$A$7:$A$734,$A160,'適配要求展開'!$C$7:$C$734,$C160,'適配要求展開'!$I$7:$I$734,"待確認")</x:f>
        <x:v>3</x:v>
      </x:c>
      <x:c r="K160" s="48" t="n">
        <x:f>COUNTIFS('適配要求展開'!$A$7:$A$734,$A160,'適配要求展開'!$C$7:$C$734,$C160,'適配要求展開'!$N$7:$N$734,"不符合")</x:f>
        <x:v>4</x:v>
      </x:c>
      <x:c r="L160" s="48" t="n">
        <x:f>COUNTIFS('適配要求展開'!$A$7:$A$734,$A160,'適配要求展開'!$C$7:$C$734,$C160,'適配要求展開'!$L$7:$L$734,"Ø")</x:f>
        <x:v>0</x:v>
      </x:c>
      <x:c r="M160" s="51" t="n">
        <x:f>IF($I160=0,"n.a.",$L160/$I160)</x:f>
        <x:v>0</x:v>
      </x:c>
      <x:c r="N160" s="48" t="str">
        <x:f>_xlfn.XLOOKUP($A160&amp;"|李侑津醫師",'試行熟悉度'!$K$7:$K$20,'試行熟悉度'!$E$7:$E$20,"未評估",0)</x:f>
        <x:v>未評估</x:v>
      </x:c>
      <x:c r="O160" s="48" t="str">
        <x:f>IF(OR(COUNTIFS('適配要求展開'!$A$7:$A$734,$A160,'適配要求展開'!$C$7:$C$734,$C160,'適配要求展開'!$M$7:$M$734,"&lt;&gt;已核定")&gt;0,_xlfn.XLOOKUP($A160&amp;"|李侑津醫師",'試行熟悉度'!$K$7:$K$20,'試行熟悉度'!$F$7:$F$20,"未建立",0)&lt;&gt;"已核定"),"待主管核定","已核定")</x:f>
        <x:v>待主管核定</x:v>
      </x:c>
      <x:c r="P160" s="48" t="str">
        <x:f>IF($C160="LJT-RPD-FINAL","支援者另判",IF($G160="高複雜度",_xlfn.XLOOKUP($A160&amp;"|"&amp;$H160,'資格有效性'!$L$7:$L$62,'資格有效性'!$E$7:$E$62,"未建立",0),"不需複評"))</x:f>
        <x:v>未建立</x:v>
      </x:c>
      <x:c r="Q160" s="48" t="n">
        <x:v>0</x:v>
      </x:c>
      <x:c r="R160" s="48"/>
      <x:c r="S160" s="48" t="str">
        <x:f>IF($K160&gt;0,"不可正式排",IF(OR($N160="未評估",$N160="學習中"),"不可正式排",IF(AND($L160=0,$N160="可獨立配合"),"初步可獨立",IF(AND($L160&lt;=3,$M160&lt;=1/3,OR($N160="可獨立配合",$N160="可配合但需支援")),"初步可條件排","不可正式排"))))</x:f>
        <x:v>不可正式排</x:v>
      </x:c>
      <x:c r="T160" s="53" t="str">
        <x:f>IF($C160="LJT-RPD-FINAL","固定短時支援 1 人／30 分鐘",IF($S160="初步可條件排",IF($G160="高複雜度","完整支援者 1:1（占 2 名額）","一般支援 1 名額"),"無"))</x:f>
        <x:v>無</x:v>
      </x:c>
      <x:c r="U160" s="53" t="str">
        <x:f>IF($J160&gt;0,"待確認共通技能門檻",IF($O160&lt;&gt;"已核定","待主管核定",IF(AND($G160="高複雜度",$P160&lt;&gt;"有效"),"資格未有效",$S160)))</x:f>
        <x:v>待確認共通技能門檻</x:v>
      </x:c>
      <x:c r="V160" t="str">
        <x:f>$A160&amp;"|"&amp;$C160</x:f>
        <x:v>1031|LJT-PERIOSURG</x:v>
      </x:c>
    </x:row>
    <x:row r="161">
      <x:c r="A161" s="37" t="str">
        <x:v>1031</x:v>
      </x:c>
      <x:c r="B161" s="37" t="str"/>
      <x:c r="C161" s="37" t="str">
        <x:v>LJT-MICROENDO</x:v>
      </x:c>
      <x:c r="D161" s="37" t="str">
        <x:v>高複雜度</x:v>
      </x:c>
      <x:c r="E161" s="37" t="str">
        <x:v>顯微根管</x:v>
      </x:c>
      <x:c r="F161" s="37" t="str">
        <x:v>一般</x:v>
      </x:c>
      <x:c r="G161" s="37" t="str">
        <x:v>高複雜度</x:v>
      </x:c>
      <x:c r="H161" s="37" t="str">
        <x:v>LJT-PREP-MICROENDO</x:v>
      </x:c>
      <x:c r="I161" s="48" t="n">
        <x:f>COUNTIFS('適配要求展開'!$A$7:$A$734,$A161,'適配要求展開'!$C$7:$C$734,$C161)</x:f>
        <x:v>4</x:v>
      </x:c>
      <x:c r="J161" s="48" t="n">
        <x:f>COUNTIFS('適配要求展開'!$A$7:$A$734,$A161,'適配要求展開'!$C$7:$C$734,$C161,'適配要求展開'!$I$7:$I$734,"待確認")</x:f>
        <x:v>3</x:v>
      </x:c>
      <x:c r="K161" s="48" t="n">
        <x:f>COUNTIFS('適配要求展開'!$A$7:$A$734,$A161,'適配要求展開'!$C$7:$C$734,$C161,'適配要求展開'!$N$7:$N$734,"不符合")</x:f>
        <x:v>4</x:v>
      </x:c>
      <x:c r="L161" s="48" t="n">
        <x:f>COUNTIFS('適配要求展開'!$A$7:$A$734,$A161,'適配要求展開'!$C$7:$C$734,$C161,'適配要求展開'!$L$7:$L$734,"Ø")</x:f>
        <x:v>0</x:v>
      </x:c>
      <x:c r="M161" s="51" t="n">
        <x:f>IF($I161=0,"n.a.",$L161/$I161)</x:f>
        <x:v>0</x:v>
      </x:c>
      <x:c r="N161" s="48" t="str">
        <x:f>_xlfn.XLOOKUP($A161&amp;"|李侑津醫師",'試行熟悉度'!$K$7:$K$20,'試行熟悉度'!$E$7:$E$20,"未評估",0)</x:f>
        <x:v>未評估</x:v>
      </x:c>
      <x:c r="O161" s="48" t="str">
        <x:f>IF(OR(COUNTIFS('適配要求展開'!$A$7:$A$734,$A161,'適配要求展開'!$C$7:$C$734,$C161,'適配要求展開'!$M$7:$M$734,"&lt;&gt;已核定")&gt;0,_xlfn.XLOOKUP($A161&amp;"|李侑津醫師",'試行熟悉度'!$K$7:$K$20,'試行熟悉度'!$F$7:$F$20,"未建立",0)&lt;&gt;"已核定"),"待主管核定","已核定")</x:f>
        <x:v>待主管核定</x:v>
      </x:c>
      <x:c r="P161" s="48" t="str">
        <x:f>IF($C161="LJT-RPD-FINAL","支援者另判",IF($G161="高複雜度",_xlfn.XLOOKUP($A161&amp;"|"&amp;$H161,'資格有效性'!$L$7:$L$62,'資格有效性'!$E$7:$E$62,"未建立",0),"不需複評"))</x:f>
        <x:v>未建立</x:v>
      </x:c>
      <x:c r="Q161" s="48" t="n">
        <x:v>0</x:v>
      </x:c>
      <x:c r="R161" s="48"/>
      <x:c r="S161" s="48" t="str">
        <x:f>IF($K161&gt;0,"不可正式排",IF(OR($N161="未評估",$N161="學習中"),"不可正式排",IF(AND($L161=0,$N161="可獨立配合"),"初步可獨立",IF(AND($L161&lt;=3,$M161&lt;=1/3,OR($N161="可獨立配合",$N161="可配合但需支援")),"初步可條件排","不可正式排"))))</x:f>
        <x:v>不可正式排</x:v>
      </x:c>
      <x:c r="T161" s="53" t="str">
        <x:f>IF($C161="LJT-RPD-FINAL","固定短時支援 1 人／30 分鐘",IF($S161="初步可條件排",IF($G161="高複雜度","完整支援者 1:1（占 2 名額）","一般支援 1 名額"),"無"))</x:f>
        <x:v>無</x:v>
      </x:c>
      <x:c r="U161" s="53" t="str">
        <x:f>IF($J161&gt;0,"待確認共通技能門檻",IF($O161&lt;&gt;"已核定","待主管核定",IF(AND($G161="高複雜度",$P161&lt;&gt;"有效"),"資格未有效",$S161)))</x:f>
        <x:v>待確認共通技能門檻</x:v>
      </x:c>
      <x:c r="V161" t="str">
        <x:f>$A161&amp;"|"&amp;$C161</x:f>
        <x:v>1031|LJT-MICROENDO</x:v>
      </x:c>
    </x:row>
    <x:row r="162">
      <x:c r="A162" s="37" t="str">
        <x:v>1031</x:v>
      </x:c>
      <x:c r="B162" s="37" t="str"/>
      <x:c r="C162" s="37" t="str">
        <x:v>LJT-IMPLANT</x:v>
      </x:c>
      <x:c r="D162" s="37" t="str">
        <x:v>高複雜度</x:v>
      </x:c>
      <x:c r="E162" s="37" t="str">
        <x:v>植牙</x:v>
      </x:c>
      <x:c r="F162" s="37" t="str">
        <x:v>一般</x:v>
      </x:c>
      <x:c r="G162" s="37" t="str">
        <x:v>高複雜度</x:v>
      </x:c>
      <x:c r="H162" s="37" t="str">
        <x:v>LJT-PREP-IMPLANT</x:v>
      </x:c>
      <x:c r="I162" s="48" t="n">
        <x:f>COUNTIFS('適配要求展開'!$A$7:$A$734,$A162,'適配要求展開'!$C$7:$C$734,$C162)</x:f>
        <x:v>4</x:v>
      </x:c>
      <x:c r="J162" s="48" t="n">
        <x:f>COUNTIFS('適配要求展開'!$A$7:$A$734,$A162,'適配要求展開'!$C$7:$C$734,$C162,'適配要求展開'!$I$7:$I$734,"待確認")</x:f>
        <x:v>3</x:v>
      </x:c>
      <x:c r="K162" s="48" t="n">
        <x:f>COUNTIFS('適配要求展開'!$A$7:$A$734,$A162,'適配要求展開'!$C$7:$C$734,$C162,'適配要求展開'!$N$7:$N$734,"不符合")</x:f>
        <x:v>4</x:v>
      </x:c>
      <x:c r="L162" s="48" t="n">
        <x:f>COUNTIFS('適配要求展開'!$A$7:$A$734,$A162,'適配要求展開'!$C$7:$C$734,$C162,'適配要求展開'!$L$7:$L$734,"Ø")</x:f>
        <x:v>0</x:v>
      </x:c>
      <x:c r="M162" s="51" t="n">
        <x:f>IF($I162=0,"n.a.",$L162/$I162)</x:f>
        <x:v>0</x:v>
      </x:c>
      <x:c r="N162" s="48" t="str">
        <x:f>_xlfn.XLOOKUP($A162&amp;"|李侑津醫師",'試行熟悉度'!$K$7:$K$20,'試行熟悉度'!$E$7:$E$20,"未評估",0)</x:f>
        <x:v>未評估</x:v>
      </x:c>
      <x:c r="O162" s="48" t="str">
        <x:f>IF(OR(COUNTIFS('適配要求展開'!$A$7:$A$734,$A162,'適配要求展開'!$C$7:$C$734,$C162,'適配要求展開'!$M$7:$M$734,"&lt;&gt;已核定")&gt;0,_xlfn.XLOOKUP($A162&amp;"|李侑津醫師",'試行熟悉度'!$K$7:$K$20,'試行熟悉度'!$F$7:$F$20,"未建立",0)&lt;&gt;"已核定"),"待主管核定","已核定")</x:f>
        <x:v>待主管核定</x:v>
      </x:c>
      <x:c r="P162" s="48" t="str">
        <x:f>IF($C162="LJT-RPD-FINAL","支援者另判",IF($G162="高複雜度",_xlfn.XLOOKUP($A162&amp;"|"&amp;$H162,'資格有效性'!$L$7:$L$62,'資格有效性'!$E$7:$E$62,"未建立",0),"不需複評"))</x:f>
        <x:v>未建立</x:v>
      </x:c>
      <x:c r="Q162" s="48" t="n">
        <x:v>0</x:v>
      </x:c>
      <x:c r="R162" s="48"/>
      <x:c r="S162" s="48" t="str">
        <x:f>IF($K162&gt;0,"不可正式排",IF(OR($N162="未評估",$N162="學習中"),"不可正式排",IF(AND($L162=0,$N162="可獨立配合"),"初步可獨立",IF(AND($L162&lt;=3,$M162&lt;=1/3,OR($N162="可獨立配合",$N162="可配合但需支援")),"初步可條件排","不可正式排"))))</x:f>
        <x:v>不可正式排</x:v>
      </x:c>
      <x:c r="T162" s="53" t="str">
        <x:f>IF($C162="LJT-RPD-FINAL","固定短時支援 1 人／30 分鐘",IF($S162="初步可條件排",IF($G162="高複雜度","完整支援者 1:1（占 2 名額）","一般支援 1 名額"),"無"))</x:f>
        <x:v>無</x:v>
      </x:c>
      <x:c r="U162" s="53" t="str">
        <x:f>IF($J162&gt;0,"待確認共通技能門檻",IF($O162&lt;&gt;"已核定","待主管核定",IF(AND($G162="高複雜度",$P162&lt;&gt;"有效"),"資格未有效",$S162)))</x:f>
        <x:v>待確認共通技能門檻</x:v>
      </x:c>
      <x:c r="V162" t="str">
        <x:f>$A162&amp;"|"&amp;$C162</x:f>
        <x:v>1031|LJT-IMPLANT</x:v>
      </x:c>
    </x:row>
    <x:row r="163">
      <x:c r="A163" s="37" t="str">
        <x:v>2006</x:v>
      </x:c>
      <x:c r="B163" s="37" t="str"/>
      <x:c r="C163" s="37" t="str">
        <x:v>LJT-SCALING</x:v>
      </x:c>
      <x:c r="D163" s="37" t="str">
        <x:v>一般治療</x:v>
      </x:c>
      <x:c r="E163" s="37" t="str">
        <x:v>洗牙</x:v>
      </x:c>
      <x:c r="F163" s="37" t="str">
        <x:v>一般</x:v>
      </x:c>
      <x:c r="G163" s="37" t="str">
        <x:v>一般</x:v>
      </x:c>
      <x:c r="H163" s="37" t="str">
        <x:v>LJT-PREP-SCALING</x:v>
      </x:c>
      <x:c r="I163" s="48" t="n">
        <x:f>COUNTIFS('適配要求展開'!$A$7:$A$734,$A163,'適配要求展開'!$C$7:$C$734,$C163)</x:f>
        <x:v>4</x:v>
      </x:c>
      <x:c r="J163" s="48" t="n">
        <x:f>COUNTIFS('適配要求展開'!$A$7:$A$734,$A163,'適配要求展開'!$C$7:$C$734,$C163,'適配要求展開'!$I$7:$I$734,"待確認")</x:f>
        <x:v>3</x:v>
      </x:c>
      <x:c r="K163" s="48" t="n">
        <x:f>COUNTIFS('適配要求展開'!$A$7:$A$734,$A163,'適配要求展開'!$C$7:$C$734,$C163,'適配要求展開'!$N$7:$N$734,"不符合")</x:f>
        <x:v>4</x:v>
      </x:c>
      <x:c r="L163" s="48" t="n">
        <x:f>COUNTIFS('適配要求展開'!$A$7:$A$734,$A163,'適配要求展開'!$C$7:$C$734,$C163,'適配要求展開'!$L$7:$L$734,"Ø")</x:f>
        <x:v>0</x:v>
      </x:c>
      <x:c r="M163" s="51" t="n">
        <x:f>IF($I163=0,"n.a.",$L163/$I163)</x:f>
        <x:v>0</x:v>
      </x:c>
      <x:c r="N163" s="48" t="str">
        <x:f>_xlfn.XLOOKUP($A163&amp;"|李侑津醫師",'試行熟悉度'!$K$7:$K$20,'試行熟悉度'!$E$7:$E$20,"未評估",0)</x:f>
        <x:v>未評估</x:v>
      </x:c>
      <x:c r="O163" s="48" t="str">
        <x:f>IF(OR(COUNTIFS('適配要求展開'!$A$7:$A$734,$A163,'適配要求展開'!$C$7:$C$734,$C163,'適配要求展開'!$M$7:$M$734,"&lt;&gt;已核定")&gt;0,_xlfn.XLOOKUP($A163&amp;"|李侑津醫師",'試行熟悉度'!$K$7:$K$20,'試行熟悉度'!$F$7:$F$20,"未建立",0)&lt;&gt;"已核定"),"待主管核定","已核定")</x:f>
        <x:v>待主管核定</x:v>
      </x:c>
      <x:c r="P163" s="48" t="str">
        <x:f>IF($C163="LJT-RPD-FINAL","支援者另判",IF($G163="高複雜度",_xlfn.XLOOKUP($A163&amp;"|"&amp;$H163,'資格有效性'!$L$7:$L$62,'資格有效性'!$E$7:$E$62,"未建立",0),"不需複評"))</x:f>
        <x:v>不需複評</x:v>
      </x:c>
      <x:c r="Q163" s="48" t="n">
        <x:v>0</x:v>
      </x:c>
      <x:c r="R163" s="48"/>
      <x:c r="S163" s="48" t="str">
        <x:f>IF($K163&gt;0,"不可正式排",IF(OR($N163="未評估",$N163="學習中"),"不可正式排",IF(AND($L163=0,$N163="可獨立配合"),"初步可獨立",IF(AND($L163&lt;=3,$M163&lt;=1/3,OR($N163="可獨立配合",$N163="可配合但需支援")),"初步可條件排","不可正式排"))))</x:f>
        <x:v>不可正式排</x:v>
      </x:c>
      <x:c r="T163" s="53" t="str">
        <x:f>IF($C163="LJT-RPD-FINAL","固定短時支援 1 人／30 分鐘",IF($S163="初步可條件排",IF($G163="高複雜度","完整支援者 1:1（占 2 名額）","一般支援 1 名額"),"無"))</x:f>
        <x:v>無</x:v>
      </x:c>
      <x:c r="U163" s="53" t="str">
        <x:f>IF($J163&gt;0,"待確認共通技能門檻",IF($O163&lt;&gt;"已核定","待主管核定",IF(AND($G163="高複雜度",$P163&lt;&gt;"有效"),"資格未有效",$S163)))</x:f>
        <x:v>待確認共通技能門檻</x:v>
      </x:c>
      <x:c r="V163" t="str">
        <x:f>$A163&amp;"|"&amp;$C163</x:f>
        <x:v>2006|LJT-SCALING</x:v>
      </x:c>
    </x:row>
    <x:row r="164">
      <x:c r="A164" s="37" t="str">
        <x:v>2006</x:v>
      </x:c>
      <x:c r="B164" s="37" t="str"/>
      <x:c r="C164" s="37" t="str">
        <x:v>LJT-FILLING</x:v>
      </x:c>
      <x:c r="D164" s="37" t="str">
        <x:v>一般治療</x:v>
      </x:c>
      <x:c r="E164" s="37" t="str">
        <x:v>補牙</x:v>
      </x:c>
      <x:c r="F164" s="37" t="str">
        <x:v>一般</x:v>
      </x:c>
      <x:c r="G164" s="37" t="str">
        <x:v>一般</x:v>
      </x:c>
      <x:c r="H164" s="37" t="str">
        <x:v>LJT-PREP-FILLING</x:v>
      </x:c>
      <x:c r="I164" s="48" t="n">
        <x:f>COUNTIFS('適配要求展開'!$A$7:$A$734,$A164,'適配要求展開'!$C$7:$C$734,$C164)</x:f>
        <x:v>4</x:v>
      </x:c>
      <x:c r="J164" s="48" t="n">
        <x:f>COUNTIFS('適配要求展開'!$A$7:$A$734,$A164,'適配要求展開'!$C$7:$C$734,$C164,'適配要求展開'!$I$7:$I$734,"待確認")</x:f>
        <x:v>3</x:v>
      </x:c>
      <x:c r="K164" s="48" t="n">
        <x:f>COUNTIFS('適配要求展開'!$A$7:$A$734,$A164,'適配要求展開'!$C$7:$C$734,$C164,'適配要求展開'!$N$7:$N$734,"不符合")</x:f>
        <x:v>4</x:v>
      </x:c>
      <x:c r="L164" s="48" t="n">
        <x:f>COUNTIFS('適配要求展開'!$A$7:$A$734,$A164,'適配要求展開'!$C$7:$C$734,$C164,'適配要求展開'!$L$7:$L$734,"Ø")</x:f>
        <x:v>0</x:v>
      </x:c>
      <x:c r="M164" s="51" t="n">
        <x:f>IF($I164=0,"n.a.",$L164/$I164)</x:f>
        <x:v>0</x:v>
      </x:c>
      <x:c r="N164" s="48" t="str">
        <x:f>_xlfn.XLOOKUP($A164&amp;"|李侑津醫師",'試行熟悉度'!$K$7:$K$20,'試行熟悉度'!$E$7:$E$20,"未評估",0)</x:f>
        <x:v>未評估</x:v>
      </x:c>
      <x:c r="O164" s="48" t="str">
        <x:f>IF(OR(COUNTIFS('適配要求展開'!$A$7:$A$734,$A164,'適配要求展開'!$C$7:$C$734,$C164,'適配要求展開'!$M$7:$M$734,"&lt;&gt;已核定")&gt;0,_xlfn.XLOOKUP($A164&amp;"|李侑津醫師",'試行熟悉度'!$K$7:$K$20,'試行熟悉度'!$F$7:$F$20,"未建立",0)&lt;&gt;"已核定"),"待主管核定","已核定")</x:f>
        <x:v>待主管核定</x:v>
      </x:c>
      <x:c r="P164" s="48" t="str">
        <x:f>IF($C164="LJT-RPD-FINAL","支援者另判",IF($G164="高複雜度",_xlfn.XLOOKUP($A164&amp;"|"&amp;$H164,'資格有效性'!$L$7:$L$62,'資格有效性'!$E$7:$E$62,"未建立",0),"不需複評"))</x:f>
        <x:v>不需複評</x:v>
      </x:c>
      <x:c r="Q164" s="48" t="n">
        <x:v>0</x:v>
      </x:c>
      <x:c r="R164" s="48"/>
      <x:c r="S164" s="48" t="str">
        <x:f>IF($K164&gt;0,"不可正式排",IF(OR($N164="未評估",$N164="學習中"),"不可正式排",IF(AND($L164=0,$N164="可獨立配合"),"初步可獨立",IF(AND($L164&lt;=3,$M164&lt;=1/3,OR($N164="可獨立配合",$N164="可配合但需支援")),"初步可條件排","不可正式排"))))</x:f>
        <x:v>不可正式排</x:v>
      </x:c>
      <x:c r="T164" s="53" t="str">
        <x:f>IF($C164="LJT-RPD-FINAL","固定短時支援 1 人／30 分鐘",IF($S164="初步可條件排",IF($G164="高複雜度","完整支援者 1:1（占 2 名額）","一般支援 1 名額"),"無"))</x:f>
        <x:v>無</x:v>
      </x:c>
      <x:c r="U164" s="53" t="str">
        <x:f>IF($J164&gt;0,"待確認共通技能門檻",IF($O164&lt;&gt;"已核定","待主管核定",IF(AND($G164="高複雜度",$P164&lt;&gt;"有效"),"資格未有效",$S164)))</x:f>
        <x:v>待確認共通技能門檻</x:v>
      </x:c>
      <x:c r="V164" t="str">
        <x:f>$A164&amp;"|"&amp;$C164</x:f>
        <x:v>2006|LJT-FILLING</x:v>
      </x:c>
    </x:row>
    <x:row r="165">
      <x:c r="A165" s="37" t="str">
        <x:v>2006</x:v>
      </x:c>
      <x:c r="B165" s="37" t="str"/>
      <x:c r="C165" s="37" t="str">
        <x:v>LJT-PERIO</x:v>
      </x:c>
      <x:c r="D165" s="37" t="str">
        <x:v>一般治療</x:v>
      </x:c>
      <x:c r="E165" s="37" t="str">
        <x:v>牙周統合</x:v>
      </x:c>
      <x:c r="F165" s="37" t="str">
        <x:v>一般</x:v>
      </x:c>
      <x:c r="G165" s="37" t="str">
        <x:v>一般</x:v>
      </x:c>
      <x:c r="H165" s="37" t="str">
        <x:v>LJT-PREP-PERIO</x:v>
      </x:c>
      <x:c r="I165" s="48" t="n">
        <x:f>COUNTIFS('適配要求展開'!$A$7:$A$734,$A165,'適配要求展開'!$C$7:$C$734,$C165)</x:f>
        <x:v>4</x:v>
      </x:c>
      <x:c r="J165" s="48" t="n">
        <x:f>COUNTIFS('適配要求展開'!$A$7:$A$734,$A165,'適配要求展開'!$C$7:$C$734,$C165,'適配要求展開'!$I$7:$I$734,"待確認")</x:f>
        <x:v>3</x:v>
      </x:c>
      <x:c r="K165" s="48" t="n">
        <x:f>COUNTIFS('適配要求展開'!$A$7:$A$734,$A165,'適配要求展開'!$C$7:$C$734,$C165,'適配要求展開'!$N$7:$N$734,"不符合")</x:f>
        <x:v>4</x:v>
      </x:c>
      <x:c r="L165" s="48" t="n">
        <x:f>COUNTIFS('適配要求展開'!$A$7:$A$734,$A165,'適配要求展開'!$C$7:$C$734,$C165,'適配要求展開'!$L$7:$L$734,"Ø")</x:f>
        <x:v>0</x:v>
      </x:c>
      <x:c r="M165" s="51" t="n">
        <x:f>IF($I165=0,"n.a.",$L165/$I165)</x:f>
        <x:v>0</x:v>
      </x:c>
      <x:c r="N165" s="48" t="str">
        <x:f>_xlfn.XLOOKUP($A165&amp;"|李侑津醫師",'試行熟悉度'!$K$7:$K$20,'試行熟悉度'!$E$7:$E$20,"未評估",0)</x:f>
        <x:v>未評估</x:v>
      </x:c>
      <x:c r="O165" s="48" t="str">
        <x:f>IF(OR(COUNTIFS('適配要求展開'!$A$7:$A$734,$A165,'適配要求展開'!$C$7:$C$734,$C165,'適配要求展開'!$M$7:$M$734,"&lt;&gt;已核定")&gt;0,_xlfn.XLOOKUP($A165&amp;"|李侑津醫師",'試行熟悉度'!$K$7:$K$20,'試行熟悉度'!$F$7:$F$20,"未建立",0)&lt;&gt;"已核定"),"待主管核定","已核定")</x:f>
        <x:v>待主管核定</x:v>
      </x:c>
      <x:c r="P165" s="48" t="str">
        <x:f>IF($C165="LJT-RPD-FINAL","支援者另判",IF($G165="高複雜度",_xlfn.XLOOKUP($A165&amp;"|"&amp;$H165,'資格有效性'!$L$7:$L$62,'資格有效性'!$E$7:$E$62,"未建立",0),"不需複評"))</x:f>
        <x:v>不需複評</x:v>
      </x:c>
      <x:c r="Q165" s="48" t="n">
        <x:v>0</x:v>
      </x:c>
      <x:c r="R165" s="48"/>
      <x:c r="S165" s="48" t="str">
        <x:f>IF($K165&gt;0,"不可正式排",IF(OR($N165="未評估",$N165="學習中"),"不可正式排",IF(AND($L165=0,$N165="可獨立配合"),"初步可獨立",IF(AND($L165&lt;=3,$M165&lt;=1/3,OR($N165="可獨立配合",$N165="可配合但需支援")),"初步可條件排","不可正式排"))))</x:f>
        <x:v>不可正式排</x:v>
      </x:c>
      <x:c r="T165" s="53" t="str">
        <x:f>IF($C165="LJT-RPD-FINAL","固定短時支援 1 人／30 分鐘",IF($S165="初步可條件排",IF($G165="高複雜度","完整支援者 1:1（占 2 名額）","一般支援 1 名額"),"無"))</x:f>
        <x:v>無</x:v>
      </x:c>
      <x:c r="U165" s="53" t="str">
        <x:f>IF($J165&gt;0,"待確認共通技能門檻",IF($O165&lt;&gt;"已核定","待主管核定",IF(AND($G165="高複雜度",$P165&lt;&gt;"有效"),"資格未有效",$S165)))</x:f>
        <x:v>待確認共通技能門檻</x:v>
      </x:c>
      <x:c r="V165" t="str">
        <x:f>$A165&amp;"|"&amp;$C165</x:f>
        <x:v>2006|LJT-PERIO</x:v>
      </x:c>
    </x:row>
    <x:row r="166">
      <x:c r="A166" s="37" t="str">
        <x:v>2006</x:v>
      </x:c>
      <x:c r="B166" s="37" t="str"/>
      <x:c r="C166" s="37" t="str">
        <x:v>LJT-RCT</x:v>
      </x:c>
      <x:c r="D166" s="37" t="str">
        <x:v>一般治療</x:v>
      </x:c>
      <x:c r="E166" s="37" t="str">
        <x:v>一般根管治療</x:v>
      </x:c>
      <x:c r="F166" s="37" t="str">
        <x:v>一般</x:v>
      </x:c>
      <x:c r="G166" s="37" t="str">
        <x:v>一般</x:v>
      </x:c>
      <x:c r="H166" s="37" t="str">
        <x:v>LJT-PREP-RCT</x:v>
      </x:c>
      <x:c r="I166" s="48" t="n">
        <x:f>COUNTIFS('適配要求展開'!$A$7:$A$734,$A166,'適配要求展開'!$C$7:$C$734,$C166)</x:f>
        <x:v>4</x:v>
      </x:c>
      <x:c r="J166" s="48" t="n">
        <x:f>COUNTIFS('適配要求展開'!$A$7:$A$734,$A166,'適配要求展開'!$C$7:$C$734,$C166,'適配要求展開'!$I$7:$I$734,"待確認")</x:f>
        <x:v>3</x:v>
      </x:c>
      <x:c r="K166" s="48" t="n">
        <x:f>COUNTIFS('適配要求展開'!$A$7:$A$734,$A166,'適配要求展開'!$C$7:$C$734,$C166,'適配要求展開'!$N$7:$N$734,"不符合")</x:f>
        <x:v>4</x:v>
      </x:c>
      <x:c r="L166" s="48" t="n">
        <x:f>COUNTIFS('適配要求展開'!$A$7:$A$734,$A166,'適配要求展開'!$C$7:$C$734,$C166,'適配要求展開'!$L$7:$L$734,"Ø")</x:f>
        <x:v>0</x:v>
      </x:c>
      <x:c r="M166" s="51" t="n">
        <x:f>IF($I166=0,"n.a.",$L166/$I166)</x:f>
        <x:v>0</x:v>
      </x:c>
      <x:c r="N166" s="48" t="str">
        <x:f>_xlfn.XLOOKUP($A166&amp;"|李侑津醫師",'試行熟悉度'!$K$7:$K$20,'試行熟悉度'!$E$7:$E$20,"未評估",0)</x:f>
        <x:v>未評估</x:v>
      </x:c>
      <x:c r="O166" s="48" t="str">
        <x:f>IF(OR(COUNTIFS('適配要求展開'!$A$7:$A$734,$A166,'適配要求展開'!$C$7:$C$734,$C166,'適配要求展開'!$M$7:$M$734,"&lt;&gt;已核定")&gt;0,_xlfn.XLOOKUP($A166&amp;"|李侑津醫師",'試行熟悉度'!$K$7:$K$20,'試行熟悉度'!$F$7:$F$20,"未建立",0)&lt;&gt;"已核定"),"待主管核定","已核定")</x:f>
        <x:v>待主管核定</x:v>
      </x:c>
      <x:c r="P166" s="48" t="str">
        <x:f>IF($C166="LJT-RPD-FINAL","支援者另判",IF($G166="高複雜度",_xlfn.XLOOKUP($A166&amp;"|"&amp;$H166,'資格有效性'!$L$7:$L$62,'資格有效性'!$E$7:$E$62,"未建立",0),"不需複評"))</x:f>
        <x:v>不需複評</x:v>
      </x:c>
      <x:c r="Q166" s="48" t="n">
        <x:v>0</x:v>
      </x:c>
      <x:c r="R166" s="48"/>
      <x:c r="S166" s="48" t="str">
        <x:f>IF($K166&gt;0,"不可正式排",IF(OR($N166="未評估",$N166="學習中"),"不可正式排",IF(AND($L166=0,$N166="可獨立配合"),"初步可獨立",IF(AND($L166&lt;=3,$M166&lt;=1/3,OR($N166="可獨立配合",$N166="可配合但需支援")),"初步可條件排","不可正式排"))))</x:f>
        <x:v>不可正式排</x:v>
      </x:c>
      <x:c r="T166" s="53" t="str">
        <x:f>IF($C166="LJT-RPD-FINAL","固定短時支援 1 人／30 分鐘",IF($S166="初步可條件排",IF($G166="高複雜度","完整支援者 1:1（占 2 名額）","一般支援 1 名額"),"無"))</x:f>
        <x:v>無</x:v>
      </x:c>
      <x:c r="U166" s="53" t="str">
        <x:f>IF($J166&gt;0,"待確認共通技能門檻",IF($O166&lt;&gt;"已核定","待主管核定",IF(AND($G166="高複雜度",$P166&lt;&gt;"有效"),"資格未有效",$S166)))</x:f>
        <x:v>待確認共通技能門檻</x:v>
      </x:c>
      <x:c r="V166" t="str">
        <x:f>$A166&amp;"|"&amp;$C166</x:f>
        <x:v>2006|LJT-RCT</x:v>
      </x:c>
    </x:row>
    <x:row r="167">
      <x:c r="A167" s="37" t="str">
        <x:v>2006</x:v>
      </x:c>
      <x:c r="B167" s="37" t="str"/>
      <x:c r="C167" s="37" t="str">
        <x:v>LJT-EXTRACTION</x:v>
      </x:c>
      <x:c r="D167" s="37" t="str">
        <x:v>一般治療</x:v>
      </x:c>
      <x:c r="E167" s="37" t="str">
        <x:v>拔牙</x:v>
      </x:c>
      <x:c r="F167" s="37" t="str">
        <x:v>一般</x:v>
      </x:c>
      <x:c r="G167" s="37" t="str">
        <x:v>一般</x:v>
      </x:c>
      <x:c r="H167" s="37" t="str">
        <x:v>LJT-PREP-EXTRACTION</x:v>
      </x:c>
      <x:c r="I167" s="48" t="n">
        <x:f>COUNTIFS('適配要求展開'!$A$7:$A$734,$A167,'適配要求展開'!$C$7:$C$734,$C167)</x:f>
        <x:v>4</x:v>
      </x:c>
      <x:c r="J167" s="48" t="n">
        <x:f>COUNTIFS('適配要求展開'!$A$7:$A$734,$A167,'適配要求展開'!$C$7:$C$734,$C167,'適配要求展開'!$I$7:$I$734,"待確認")</x:f>
        <x:v>3</x:v>
      </x:c>
      <x:c r="K167" s="48" t="n">
        <x:f>COUNTIFS('適配要求展開'!$A$7:$A$734,$A167,'適配要求展開'!$C$7:$C$734,$C167,'適配要求展開'!$N$7:$N$734,"不符合")</x:f>
        <x:v>4</x:v>
      </x:c>
      <x:c r="L167" s="48" t="n">
        <x:f>COUNTIFS('適配要求展開'!$A$7:$A$734,$A167,'適配要求展開'!$C$7:$C$734,$C167,'適配要求展開'!$L$7:$L$734,"Ø")</x:f>
        <x:v>0</x:v>
      </x:c>
      <x:c r="M167" s="51" t="n">
        <x:f>IF($I167=0,"n.a.",$L167/$I167)</x:f>
        <x:v>0</x:v>
      </x:c>
      <x:c r="N167" s="48" t="str">
        <x:f>_xlfn.XLOOKUP($A167&amp;"|李侑津醫師",'試行熟悉度'!$K$7:$K$20,'試行熟悉度'!$E$7:$E$20,"未評估",0)</x:f>
        <x:v>未評估</x:v>
      </x:c>
      <x:c r="O167" s="48" t="str">
        <x:f>IF(OR(COUNTIFS('適配要求展開'!$A$7:$A$734,$A167,'適配要求展開'!$C$7:$C$734,$C167,'適配要求展開'!$M$7:$M$734,"&lt;&gt;已核定")&gt;0,_xlfn.XLOOKUP($A167&amp;"|李侑津醫師",'試行熟悉度'!$K$7:$K$20,'試行熟悉度'!$F$7:$F$20,"未建立",0)&lt;&gt;"已核定"),"待主管核定","已核定")</x:f>
        <x:v>待主管核定</x:v>
      </x:c>
      <x:c r="P167" s="48" t="str">
        <x:f>IF($C167="LJT-RPD-FINAL","支援者另判",IF($G167="高複雜度",_xlfn.XLOOKUP($A167&amp;"|"&amp;$H167,'資格有效性'!$L$7:$L$62,'資格有效性'!$E$7:$E$62,"未建立",0),"不需複評"))</x:f>
        <x:v>不需複評</x:v>
      </x:c>
      <x:c r="Q167" s="48" t="n">
        <x:v>0</x:v>
      </x:c>
      <x:c r="R167" s="48"/>
      <x:c r="S167" s="48" t="str">
        <x:f>IF($K167&gt;0,"不可正式排",IF(OR($N167="未評估",$N167="學習中"),"不可正式排",IF(AND($L167=0,$N167="可獨立配合"),"初步可獨立",IF(AND($L167&lt;=3,$M167&lt;=1/3,OR($N167="可獨立配合",$N167="可配合但需支援")),"初步可條件排","不可正式排"))))</x:f>
        <x:v>不可正式排</x:v>
      </x:c>
      <x:c r="T167" s="53" t="str">
        <x:f>IF($C167="LJT-RPD-FINAL","固定短時支援 1 人／30 分鐘",IF($S167="初步可條件排",IF($G167="高複雜度","完整支援者 1:1（占 2 名額）","一般支援 1 名額"),"無"))</x:f>
        <x:v>無</x:v>
      </x:c>
      <x:c r="U167" s="53" t="str">
        <x:f>IF($J167&gt;0,"待確認共通技能門檻",IF($O167&lt;&gt;"已核定","待主管核定",IF(AND($G167="高複雜度",$P167&lt;&gt;"有效"),"資格未有效",$S167)))</x:f>
        <x:v>待確認共通技能門檻</x:v>
      </x:c>
      <x:c r="V167" t="str">
        <x:f>$A167&amp;"|"&amp;$C167</x:f>
        <x:v>2006|LJT-EXTRACTION</x:v>
      </x:c>
    </x:row>
    <x:row r="168">
      <x:c r="A168" s="37" t="str">
        <x:v>2006</x:v>
      </x:c>
      <x:c r="B168" s="37" t="str"/>
      <x:c r="C168" s="37" t="str">
        <x:v>LJT-CROWNPOST</x:v>
      </x:c>
      <x:c r="D168" s="37" t="str">
        <x:v>一般治療</x:v>
      </x:c>
      <x:c r="E168" s="37" t="str">
        <x:v>拆 crown/post</x:v>
      </x:c>
      <x:c r="F168" s="37" t="str">
        <x:v>一般</x:v>
      </x:c>
      <x:c r="G168" s="37" t="str">
        <x:v>一般</x:v>
      </x:c>
      <x:c r="H168" s="37" t="str">
        <x:v>LJT-PREP-CROWNPOST</x:v>
      </x:c>
      <x:c r="I168" s="48" t="n">
        <x:f>COUNTIFS('適配要求展開'!$A$7:$A$734,$A168,'適配要求展開'!$C$7:$C$734,$C168)</x:f>
        <x:v>4</x:v>
      </x:c>
      <x:c r="J168" s="48" t="n">
        <x:f>COUNTIFS('適配要求展開'!$A$7:$A$734,$A168,'適配要求展開'!$C$7:$C$734,$C168,'適配要求展開'!$I$7:$I$734,"待確認")</x:f>
        <x:v>3</x:v>
      </x:c>
      <x:c r="K168" s="48" t="n">
        <x:f>COUNTIFS('適配要求展開'!$A$7:$A$734,$A168,'適配要求展開'!$C$7:$C$734,$C168,'適配要求展開'!$N$7:$N$734,"不符合")</x:f>
        <x:v>4</x:v>
      </x:c>
      <x:c r="L168" s="48" t="n">
        <x:f>COUNTIFS('適配要求展開'!$A$7:$A$734,$A168,'適配要求展開'!$C$7:$C$734,$C168,'適配要求展開'!$L$7:$L$734,"Ø")</x:f>
        <x:v>0</x:v>
      </x:c>
      <x:c r="M168" s="51" t="n">
        <x:f>IF($I168=0,"n.a.",$L168/$I168)</x:f>
        <x:v>0</x:v>
      </x:c>
      <x:c r="N168" s="48" t="str">
        <x:f>_xlfn.XLOOKUP($A168&amp;"|李侑津醫師",'試行熟悉度'!$K$7:$K$20,'試行熟悉度'!$E$7:$E$20,"未評估",0)</x:f>
        <x:v>未評估</x:v>
      </x:c>
      <x:c r="O168" s="48" t="str">
        <x:f>IF(OR(COUNTIFS('適配要求展開'!$A$7:$A$734,$A168,'適配要求展開'!$C$7:$C$734,$C168,'適配要求展開'!$M$7:$M$734,"&lt;&gt;已核定")&gt;0,_xlfn.XLOOKUP($A168&amp;"|李侑津醫師",'試行熟悉度'!$K$7:$K$20,'試行熟悉度'!$F$7:$F$20,"未建立",0)&lt;&gt;"已核定"),"待主管核定","已核定")</x:f>
        <x:v>待主管核定</x:v>
      </x:c>
      <x:c r="P168" s="48" t="str">
        <x:f>IF($C168="LJT-RPD-FINAL","支援者另判",IF($G168="高複雜度",_xlfn.XLOOKUP($A168&amp;"|"&amp;$H168,'資格有效性'!$L$7:$L$62,'資格有效性'!$E$7:$E$62,"未建立",0),"不需複評"))</x:f>
        <x:v>不需複評</x:v>
      </x:c>
      <x:c r="Q168" s="48" t="n">
        <x:v>0</x:v>
      </x:c>
      <x:c r="R168" s="48"/>
      <x:c r="S168" s="48" t="str">
        <x:f>IF($K168&gt;0,"不可正式排",IF(OR($N168="未評估",$N168="學習中"),"不可正式排",IF(AND($L168=0,$N168="可獨立配合"),"初步可獨立",IF(AND($L168&lt;=3,$M168&lt;=1/3,OR($N168="可獨立配合",$N168="可配合但需支援")),"初步可條件排","不可正式排"))))</x:f>
        <x:v>不可正式排</x:v>
      </x:c>
      <x:c r="T168" s="53" t="str">
        <x:f>IF($C168="LJT-RPD-FINAL","固定短時支援 1 人／30 分鐘",IF($S168="初步可條件排",IF($G168="高複雜度","完整支援者 1:1（占 2 名額）","一般支援 1 名額"),"無"))</x:f>
        <x:v>無</x:v>
      </x:c>
      <x:c r="U168" s="53" t="str">
        <x:f>IF($J168&gt;0,"待確認共通技能門檻",IF($O168&lt;&gt;"已核定","待主管核定",IF(AND($G168="高複雜度",$P168&lt;&gt;"有效"),"資格未有效",$S168)))</x:f>
        <x:v>待確認共通技能門檻</x:v>
      </x:c>
      <x:c r="V168" t="str">
        <x:f>$A168&amp;"|"&amp;$C168</x:f>
        <x:v>2006|LJT-CROWNPOST</x:v>
      </x:c>
    </x:row>
    <x:row r="169">
      <x:c r="A169" s="37" t="str">
        <x:v>2006</x:v>
      </x:c>
      <x:c r="B169" s="37" t="str"/>
      <x:c r="C169" s="37" t="str">
        <x:v>LJT-CROWN</x:v>
      </x:c>
      <x:c r="D169" s="37" t="str">
        <x:v>補綴／自費</x:v>
      </x:c>
      <x:c r="E169" s="37" t="str">
        <x:v>固定假牙</x:v>
      </x:c>
      <x:c r="F169" s="37" t="str">
        <x:v>一般</x:v>
      </x:c>
      <x:c r="G169" s="37" t="str">
        <x:v>一般</x:v>
      </x:c>
      <x:c r="H169" s="37" t="str">
        <x:v>LJT-PREP-CROWN</x:v>
      </x:c>
      <x:c r="I169" s="48" t="n">
        <x:f>COUNTIFS('適配要求展開'!$A$7:$A$734,$A169,'適配要求展開'!$C$7:$C$734,$C169)</x:f>
        <x:v>4</x:v>
      </x:c>
      <x:c r="J169" s="48" t="n">
        <x:f>COUNTIFS('適配要求展開'!$A$7:$A$734,$A169,'適配要求展開'!$C$7:$C$734,$C169,'適配要求展開'!$I$7:$I$734,"待確認")</x:f>
        <x:v>3</x:v>
      </x:c>
      <x:c r="K169" s="48" t="n">
        <x:f>COUNTIFS('適配要求展開'!$A$7:$A$734,$A169,'適配要求展開'!$C$7:$C$734,$C169,'適配要求展開'!$N$7:$N$734,"不符合")</x:f>
        <x:v>4</x:v>
      </x:c>
      <x:c r="L169" s="48" t="n">
        <x:f>COUNTIFS('適配要求展開'!$A$7:$A$734,$A169,'適配要求展開'!$C$7:$C$734,$C169,'適配要求展開'!$L$7:$L$734,"Ø")</x:f>
        <x:v>0</x:v>
      </x:c>
      <x:c r="M169" s="51" t="n">
        <x:f>IF($I169=0,"n.a.",$L169/$I169)</x:f>
        <x:v>0</x:v>
      </x:c>
      <x:c r="N169" s="48" t="str">
        <x:f>_xlfn.XLOOKUP($A169&amp;"|李侑津醫師",'試行熟悉度'!$K$7:$K$20,'試行熟悉度'!$E$7:$E$20,"未評估",0)</x:f>
        <x:v>未評估</x:v>
      </x:c>
      <x:c r="O169" s="48" t="str">
        <x:f>IF(OR(COUNTIFS('適配要求展開'!$A$7:$A$734,$A169,'適配要求展開'!$C$7:$C$734,$C169,'適配要求展開'!$M$7:$M$734,"&lt;&gt;已核定")&gt;0,_xlfn.XLOOKUP($A169&amp;"|李侑津醫師",'試行熟悉度'!$K$7:$K$20,'試行熟悉度'!$F$7:$F$20,"未建立",0)&lt;&gt;"已核定"),"待主管核定","已核定")</x:f>
        <x:v>待主管核定</x:v>
      </x:c>
      <x:c r="P169" s="48" t="str">
        <x:f>IF($C169="LJT-RPD-FINAL","支援者另判",IF($G169="高複雜度",_xlfn.XLOOKUP($A169&amp;"|"&amp;$H169,'資格有效性'!$L$7:$L$62,'資格有效性'!$E$7:$E$62,"未建立",0),"不需複評"))</x:f>
        <x:v>不需複評</x:v>
      </x:c>
      <x:c r="Q169" s="48" t="n">
        <x:v>0</x:v>
      </x:c>
      <x:c r="R169" s="48"/>
      <x:c r="S169" s="48" t="str">
        <x:f>IF($K169&gt;0,"不可正式排",IF(OR($N169="未評估",$N169="學習中"),"不可正式排",IF(AND($L169=0,$N169="可獨立配合"),"初步可獨立",IF(AND($L169&lt;=3,$M169&lt;=1/3,OR($N169="可獨立配合",$N169="可配合但需支援")),"初步可條件排","不可正式排"))))</x:f>
        <x:v>不可正式排</x:v>
      </x:c>
      <x:c r="T169" s="53" t="str">
        <x:f>IF($C169="LJT-RPD-FINAL","固定短時支援 1 人／30 分鐘",IF($S169="初步可條件排",IF($G169="高複雜度","完整支援者 1:1（占 2 名額）","一般支援 1 名額"),"無"))</x:f>
        <x:v>無</x:v>
      </x:c>
      <x:c r="U169" s="53" t="str">
        <x:f>IF($J169&gt;0,"待確認共通技能門檻",IF($O169&lt;&gt;"已核定","待主管核定",IF(AND($G169="高複雜度",$P169&lt;&gt;"有效"),"資格未有效",$S169)))</x:f>
        <x:v>待確認共通技能門檻</x:v>
      </x:c>
      <x:c r="V169" t="str">
        <x:f>$A169&amp;"|"&amp;$C169</x:f>
        <x:v>2006|LJT-CROWN</x:v>
      </x:c>
    </x:row>
    <x:row r="170">
      <x:c r="A170" s="37" t="str">
        <x:v>2006</x:v>
      </x:c>
      <x:c r="B170" s="37" t="str"/>
      <x:c r="C170" s="37" t="str">
        <x:v>LJT-RPD</x:v>
      </x:c>
      <x:c r="D170" s="37" t="str">
        <x:v>補綴／自費</x:v>
      </x:c>
      <x:c r="E170" s="37" t="str">
        <x:v>RPD</x:v>
      </x:c>
      <x:c r="F170" s="37" t="str">
        <x:v>一般步驟</x:v>
      </x:c>
      <x:c r="G170" s="37" t="str">
        <x:v>一般</x:v>
      </x:c>
      <x:c r="H170" s="37" t="str">
        <x:v>LJT-PREP-RPD</x:v>
      </x:c>
      <x:c r="I170" s="48" t="n">
        <x:f>COUNTIFS('適配要求展開'!$A$7:$A$734,$A170,'適配要求展開'!$C$7:$C$734,$C170)</x:f>
        <x:v>4</x:v>
      </x:c>
      <x:c r="J170" s="48" t="n">
        <x:f>COUNTIFS('適配要求展開'!$A$7:$A$734,$A170,'適配要求展開'!$C$7:$C$734,$C170,'適配要求展開'!$I$7:$I$734,"待確認")</x:f>
        <x:v>3</x:v>
      </x:c>
      <x:c r="K170" s="48" t="n">
        <x:f>COUNTIFS('適配要求展開'!$A$7:$A$734,$A170,'適配要求展開'!$C$7:$C$734,$C170,'適配要求展開'!$N$7:$N$734,"不符合")</x:f>
        <x:v>4</x:v>
      </x:c>
      <x:c r="L170" s="48" t="n">
        <x:f>COUNTIFS('適配要求展開'!$A$7:$A$734,$A170,'適配要求展開'!$C$7:$C$734,$C170,'適配要求展開'!$L$7:$L$734,"Ø")</x:f>
        <x:v>0</x:v>
      </x:c>
      <x:c r="M170" s="51" t="n">
        <x:f>IF($I170=0,"n.a.",$L170/$I170)</x:f>
        <x:v>0</x:v>
      </x:c>
      <x:c r="N170" s="48" t="str">
        <x:f>_xlfn.XLOOKUP($A170&amp;"|李侑津醫師",'試行熟悉度'!$K$7:$K$20,'試行熟悉度'!$E$7:$E$20,"未評估",0)</x:f>
        <x:v>未評估</x:v>
      </x:c>
      <x:c r="O170" s="48" t="str">
        <x:f>IF(OR(COUNTIFS('適配要求展開'!$A$7:$A$734,$A170,'適配要求展開'!$C$7:$C$734,$C170,'適配要求展開'!$M$7:$M$734,"&lt;&gt;已核定")&gt;0,_xlfn.XLOOKUP($A170&amp;"|李侑津醫師",'試行熟悉度'!$K$7:$K$20,'試行熟悉度'!$F$7:$F$20,"未建立",0)&lt;&gt;"已核定"),"待主管核定","已核定")</x:f>
        <x:v>待主管核定</x:v>
      </x:c>
      <x:c r="P170" s="48" t="str">
        <x:f>IF($C170="LJT-RPD-FINAL","支援者另判",IF($G170="高複雜度",_xlfn.XLOOKUP($A170&amp;"|"&amp;$H170,'資格有效性'!$L$7:$L$62,'資格有效性'!$E$7:$E$62,"未建立",0),"不需複評"))</x:f>
        <x:v>不需複評</x:v>
      </x:c>
      <x:c r="Q170" s="48" t="n">
        <x:v>0</x:v>
      </x:c>
      <x:c r="R170" s="48"/>
      <x:c r="S170" s="48" t="str">
        <x:f>IF($K170&gt;0,"不可正式排",IF(OR($N170="未評估",$N170="學習中"),"不可正式排",IF(AND($L170=0,$N170="可獨立配合"),"初步可獨立",IF(AND($L170&lt;=3,$M170&lt;=1/3,OR($N170="可獨立配合",$N170="可配合但需支援")),"初步可條件排","不可正式排"))))</x:f>
        <x:v>不可正式排</x:v>
      </x:c>
      <x:c r="T170" s="53" t="str">
        <x:f>IF($C170="LJT-RPD-FINAL","固定短時支援 1 人／30 分鐘",IF($S170="初步可條件排",IF($G170="高複雜度","完整支援者 1:1（占 2 名額）","一般支援 1 名額"),"無"))</x:f>
        <x:v>無</x:v>
      </x:c>
      <x:c r="U170" s="53" t="str">
        <x:f>IF($J170&gt;0,"待確認共通技能門檻",IF($O170&lt;&gt;"已核定","待主管核定",IF(AND($G170="高複雜度",$P170&lt;&gt;"有效"),"資格未有效",$S170)))</x:f>
        <x:v>待確認共通技能門檻</x:v>
      </x:c>
      <x:c r="V170" t="str">
        <x:f>$A170&amp;"|"&amp;$C170</x:f>
        <x:v>2006|LJT-RPD</x:v>
      </x:c>
    </x:row>
    <x:row r="171">
      <x:c r="A171" s="37" t="str">
        <x:v>2006</x:v>
      </x:c>
      <x:c r="B171" s="37" t="str"/>
      <x:c r="C171" s="37" t="str">
        <x:v>LJT-RPD-FINAL</x:v>
      </x:c>
      <x:c r="D171" s="37" t="str">
        <x:v>補綴／自費</x:v>
      </x:c>
      <x:c r="E171" s="37" t="str">
        <x:v>RPD</x:v>
      </x:c>
      <x:c r="F171" s="37" t="str">
        <x:v>印最終模</x:v>
      </x:c>
      <x:c r="G171" s="37" t="str">
        <x:v>特殊階段</x:v>
      </x:c>
      <x:c r="H171" s="37" t="str">
        <x:v>LJT-PREP-RPD</x:v>
      </x:c>
      <x:c r="I171" s="48" t="n">
        <x:f>COUNTIFS('適配要求展開'!$A$7:$A$734,$A171,'適配要求展開'!$C$7:$C$734,$C171)</x:f>
        <x:v>4</x:v>
      </x:c>
      <x:c r="J171" s="48" t="n">
        <x:f>COUNTIFS('適配要求展開'!$A$7:$A$734,$A171,'適配要求展開'!$C$7:$C$734,$C171,'適配要求展開'!$I$7:$I$734,"待確認")</x:f>
        <x:v>3</x:v>
      </x:c>
      <x:c r="K171" s="48" t="n">
        <x:f>COUNTIFS('適配要求展開'!$A$7:$A$734,$A171,'適配要求展開'!$C$7:$C$734,$C171,'適配要求展開'!$N$7:$N$734,"不符合")</x:f>
        <x:v>4</x:v>
      </x:c>
      <x:c r="L171" s="48" t="n">
        <x:f>COUNTIFS('適配要求展開'!$A$7:$A$734,$A171,'適配要求展開'!$C$7:$C$734,$C171,'適配要求展開'!$L$7:$L$734,"Ø")</x:f>
        <x:v>0</x:v>
      </x:c>
      <x:c r="M171" s="51" t="n">
        <x:f>IF($I171=0,"n.a.",$L171/$I171)</x:f>
        <x:v>0</x:v>
      </x:c>
      <x:c r="N171" s="48" t="str">
        <x:f>_xlfn.XLOOKUP($A171&amp;"|李侑津醫師",'試行熟悉度'!$K$7:$K$20,'試行熟悉度'!$E$7:$E$20,"未評估",0)</x:f>
        <x:v>未評估</x:v>
      </x:c>
      <x:c r="O171" s="48" t="str">
        <x:f>IF(OR(COUNTIFS('適配要求展開'!$A$7:$A$734,$A171,'適配要求展開'!$C$7:$C$734,$C171,'適配要求展開'!$M$7:$M$734,"&lt;&gt;已核定")&gt;0,_xlfn.XLOOKUP($A171&amp;"|李侑津醫師",'試行熟悉度'!$K$7:$K$20,'試行熟悉度'!$F$7:$F$20,"未建立",0)&lt;&gt;"已核定"),"待主管核定","已核定")</x:f>
        <x:v>待主管核定</x:v>
      </x:c>
      <x:c r="P171" s="48" t="str">
        <x:f>IF($C171="LJT-RPD-FINAL","支援者另判",IF($G171="高複雜度",_xlfn.XLOOKUP($A171&amp;"|"&amp;$H171,'資格有效性'!$L$7:$L$62,'資格有效性'!$E$7:$E$62,"未建立",0),"不需複評"))</x:f>
        <x:v>支援者另判</x:v>
      </x:c>
      <x:c r="Q171" s="48" t="n">
        <x:v>1</x:v>
      </x:c>
      <x:c r="R171" s="48" t="n">
        <x:v>30</x:v>
      </x:c>
      <x:c r="S171" s="48" t="str">
        <x:f>IF($K171&gt;0,"不可正式排",IF(OR($N171="未評估",$N171="學習中"),"不可正式排",IF(AND($L171=0,$N171="可獨立配合"),"初步可獨立",IF(AND($L171&lt;=3,$M171&lt;=1/3,OR($N171="可獨立配合",$N171="可配合但需支援")),"初步可條件排","不可正式排"))))</x:f>
        <x:v>不可正式排</x:v>
      </x:c>
      <x:c r="T171" s="53" t="str">
        <x:f>IF($C171="LJT-RPD-FINAL","固定短時支援 1 人／30 分鐘",IF($S171="初步可條件排",IF($G171="高複雜度","完整支援者 1:1（占 2 名額）","一般支援 1 名額"),"無"))</x:f>
        <x:v>固定短時支援 1 人／30 分鐘</x:v>
      </x:c>
      <x:c r="U171" s="53" t="str">
        <x:f>IF($J171&gt;0,"待確認共通技能門檻",IF($O171&lt;&gt;"已核定","待主管核定",IF(AND($G171="高複雜度",$P171&lt;&gt;"有效"),"資格未有效",$S171)))</x:f>
        <x:v>待確認共通技能門檻</x:v>
      </x:c>
      <x:c r="V171" t="str">
        <x:f>$A171&amp;"|"&amp;$C171</x:f>
        <x:v>2006|LJT-RPD-FINAL</x:v>
      </x:c>
    </x:row>
    <x:row r="172">
      <x:c r="A172" s="37" t="str">
        <x:v>2006</x:v>
      </x:c>
      <x:c r="B172" s="37" t="str"/>
      <x:c r="C172" s="37" t="str">
        <x:v>LJT-AIRPOLISH</x:v>
      </x:c>
      <x:c r="D172" s="37" t="str">
        <x:v>補綴／自費</x:v>
      </x:c>
      <x:c r="E172" s="37" t="str">
        <x:v>噴砂美白</x:v>
      </x:c>
      <x:c r="F172" s="37" t="str">
        <x:v>一般</x:v>
      </x:c>
      <x:c r="G172" s="37" t="str">
        <x:v>一般</x:v>
      </x:c>
      <x:c r="H172" s="37" t="str">
        <x:v>LJT-PREP-AIRPOLISH</x:v>
      </x:c>
      <x:c r="I172" s="48" t="n">
        <x:f>COUNTIFS('適配要求展開'!$A$7:$A$734,$A172,'適配要求展開'!$C$7:$C$734,$C172)</x:f>
        <x:v>4</x:v>
      </x:c>
      <x:c r="J172" s="48" t="n">
        <x:f>COUNTIFS('適配要求展開'!$A$7:$A$734,$A172,'適配要求展開'!$C$7:$C$734,$C172,'適配要求展開'!$I$7:$I$734,"待確認")</x:f>
        <x:v>3</x:v>
      </x:c>
      <x:c r="K172" s="48" t="n">
        <x:f>COUNTIFS('適配要求展開'!$A$7:$A$734,$A172,'適配要求展開'!$C$7:$C$734,$C172,'適配要求展開'!$N$7:$N$734,"不符合")</x:f>
        <x:v>4</x:v>
      </x:c>
      <x:c r="L172" s="48" t="n">
        <x:f>COUNTIFS('適配要求展開'!$A$7:$A$734,$A172,'適配要求展開'!$C$7:$C$734,$C172,'適配要求展開'!$L$7:$L$734,"Ø")</x:f>
        <x:v>0</x:v>
      </x:c>
      <x:c r="M172" s="51" t="n">
        <x:f>IF($I172=0,"n.a.",$L172/$I172)</x:f>
        <x:v>0</x:v>
      </x:c>
      <x:c r="N172" s="48" t="str">
        <x:f>_xlfn.XLOOKUP($A172&amp;"|李侑津醫師",'試行熟悉度'!$K$7:$K$20,'試行熟悉度'!$E$7:$E$20,"未評估",0)</x:f>
        <x:v>未評估</x:v>
      </x:c>
      <x:c r="O172" s="48" t="str">
        <x:f>IF(OR(COUNTIFS('適配要求展開'!$A$7:$A$734,$A172,'適配要求展開'!$C$7:$C$734,$C172,'適配要求展開'!$M$7:$M$734,"&lt;&gt;已核定")&gt;0,_xlfn.XLOOKUP($A172&amp;"|李侑津醫師",'試行熟悉度'!$K$7:$K$20,'試行熟悉度'!$F$7:$F$20,"未建立",0)&lt;&gt;"已核定"),"待主管核定","已核定")</x:f>
        <x:v>待主管核定</x:v>
      </x:c>
      <x:c r="P172" s="48" t="str">
        <x:f>IF($C172="LJT-RPD-FINAL","支援者另判",IF($G172="高複雜度",_xlfn.XLOOKUP($A172&amp;"|"&amp;$H172,'資格有效性'!$L$7:$L$62,'資格有效性'!$E$7:$E$62,"未建立",0),"不需複評"))</x:f>
        <x:v>不需複評</x:v>
      </x:c>
      <x:c r="Q172" s="48" t="n">
        <x:v>0</x:v>
      </x:c>
      <x:c r="R172" s="48"/>
      <x:c r="S172" s="48" t="str">
        <x:f>IF($K172&gt;0,"不可正式排",IF(OR($N172="未評估",$N172="學習中"),"不可正式排",IF(AND($L172=0,$N172="可獨立配合"),"初步可獨立",IF(AND($L172&lt;=3,$M172&lt;=1/3,OR($N172="可獨立配合",$N172="可配合但需支援")),"初步可條件排","不可正式排"))))</x:f>
        <x:v>不可正式排</x:v>
      </x:c>
      <x:c r="T172" s="53" t="str">
        <x:f>IF($C172="LJT-RPD-FINAL","固定短時支援 1 人／30 分鐘",IF($S172="初步可條件排",IF($G172="高複雜度","完整支援者 1:1（占 2 名額）","一般支援 1 名額"),"無"))</x:f>
        <x:v>無</x:v>
      </x:c>
      <x:c r="U172" s="53" t="str">
        <x:f>IF($J172&gt;0,"待確認共通技能門檻",IF($O172&lt;&gt;"已核定","待主管核定",IF(AND($G172="高複雜度",$P172&lt;&gt;"有效"),"資格未有效",$S172)))</x:f>
        <x:v>待確認共通技能門檻</x:v>
      </x:c>
      <x:c r="V172" t="str">
        <x:f>$A172&amp;"|"&amp;$C172</x:f>
        <x:v>2006|LJT-AIRPOLISH</x:v>
      </x:c>
    </x:row>
    <x:row r="173">
      <x:c r="A173" s="37" t="str">
        <x:v>2006</x:v>
      </x:c>
      <x:c r="B173" s="37" t="str"/>
      <x:c r="C173" s="37" t="str">
        <x:v>LJT-PERIOSURG</x:v>
      </x:c>
      <x:c r="D173" s="37" t="str">
        <x:v>高複雜度</x:v>
      </x:c>
      <x:c r="E173" s="37" t="str">
        <x:v>牙周手術</x:v>
      </x:c>
      <x:c r="F173" s="37" t="str">
        <x:v>一般</x:v>
      </x:c>
      <x:c r="G173" s="37" t="str">
        <x:v>高複雜度</x:v>
      </x:c>
      <x:c r="H173" s="37" t="str">
        <x:v>LJT-PREP-PERIOSURG</x:v>
      </x:c>
      <x:c r="I173" s="48" t="n">
        <x:f>COUNTIFS('適配要求展開'!$A$7:$A$734,$A173,'適配要求展開'!$C$7:$C$734,$C173)</x:f>
        <x:v>4</x:v>
      </x:c>
      <x:c r="J173" s="48" t="n">
        <x:f>COUNTIFS('適配要求展開'!$A$7:$A$734,$A173,'適配要求展開'!$C$7:$C$734,$C173,'適配要求展開'!$I$7:$I$734,"待確認")</x:f>
        <x:v>3</x:v>
      </x:c>
      <x:c r="K173" s="48" t="n">
        <x:f>COUNTIFS('適配要求展開'!$A$7:$A$734,$A173,'適配要求展開'!$C$7:$C$734,$C173,'適配要求展開'!$N$7:$N$734,"不符合")</x:f>
        <x:v>4</x:v>
      </x:c>
      <x:c r="L173" s="48" t="n">
        <x:f>COUNTIFS('適配要求展開'!$A$7:$A$734,$A173,'適配要求展開'!$C$7:$C$734,$C173,'適配要求展開'!$L$7:$L$734,"Ø")</x:f>
        <x:v>0</x:v>
      </x:c>
      <x:c r="M173" s="51" t="n">
        <x:f>IF($I173=0,"n.a.",$L173/$I173)</x:f>
        <x:v>0</x:v>
      </x:c>
      <x:c r="N173" s="48" t="str">
        <x:f>_xlfn.XLOOKUP($A173&amp;"|李侑津醫師",'試行熟悉度'!$K$7:$K$20,'試行熟悉度'!$E$7:$E$20,"未評估",0)</x:f>
        <x:v>未評估</x:v>
      </x:c>
      <x:c r="O173" s="48" t="str">
        <x:f>IF(OR(COUNTIFS('適配要求展開'!$A$7:$A$734,$A173,'適配要求展開'!$C$7:$C$734,$C173,'適配要求展開'!$M$7:$M$734,"&lt;&gt;已核定")&gt;0,_xlfn.XLOOKUP($A173&amp;"|李侑津醫師",'試行熟悉度'!$K$7:$K$20,'試行熟悉度'!$F$7:$F$20,"未建立",0)&lt;&gt;"已核定"),"待主管核定","已核定")</x:f>
        <x:v>待主管核定</x:v>
      </x:c>
      <x:c r="P173" s="48" t="str">
        <x:f>IF($C173="LJT-RPD-FINAL","支援者另判",IF($G173="高複雜度",_xlfn.XLOOKUP($A173&amp;"|"&amp;$H173,'資格有效性'!$L$7:$L$62,'資格有效性'!$E$7:$E$62,"未建立",0),"不需複評"))</x:f>
        <x:v>未建立</x:v>
      </x:c>
      <x:c r="Q173" s="48" t="n">
        <x:v>0</x:v>
      </x:c>
      <x:c r="R173" s="48"/>
      <x:c r="S173" s="48" t="str">
        <x:f>IF($K173&gt;0,"不可正式排",IF(OR($N173="未評估",$N173="學習中"),"不可正式排",IF(AND($L173=0,$N173="可獨立配合"),"初步可獨立",IF(AND($L173&lt;=3,$M173&lt;=1/3,OR($N173="可獨立配合",$N173="可配合但需支援")),"初步可條件排","不可正式排"))))</x:f>
        <x:v>不可正式排</x:v>
      </x:c>
      <x:c r="T173" s="53" t="str">
        <x:f>IF($C173="LJT-RPD-FINAL","固定短時支援 1 人／30 分鐘",IF($S173="初步可條件排",IF($G173="高複雜度","完整支援者 1:1（占 2 名額）","一般支援 1 名額"),"無"))</x:f>
        <x:v>無</x:v>
      </x:c>
      <x:c r="U173" s="53" t="str">
        <x:f>IF($J173&gt;0,"待確認共通技能門檻",IF($O173&lt;&gt;"已核定","待主管核定",IF(AND($G173="高複雜度",$P173&lt;&gt;"有效"),"資格未有效",$S173)))</x:f>
        <x:v>待確認共通技能門檻</x:v>
      </x:c>
      <x:c r="V173" t="str">
        <x:f>$A173&amp;"|"&amp;$C173</x:f>
        <x:v>2006|LJT-PERIOSURG</x:v>
      </x:c>
    </x:row>
    <x:row r="174">
      <x:c r="A174" s="37" t="str">
        <x:v>2006</x:v>
      </x:c>
      <x:c r="B174" s="37" t="str"/>
      <x:c r="C174" s="37" t="str">
        <x:v>LJT-MICROENDO</x:v>
      </x:c>
      <x:c r="D174" s="37" t="str">
        <x:v>高複雜度</x:v>
      </x:c>
      <x:c r="E174" s="37" t="str">
        <x:v>顯微根管</x:v>
      </x:c>
      <x:c r="F174" s="37" t="str">
        <x:v>一般</x:v>
      </x:c>
      <x:c r="G174" s="37" t="str">
        <x:v>高複雜度</x:v>
      </x:c>
      <x:c r="H174" s="37" t="str">
        <x:v>LJT-PREP-MICROENDO</x:v>
      </x:c>
      <x:c r="I174" s="48" t="n">
        <x:f>COUNTIFS('適配要求展開'!$A$7:$A$734,$A174,'適配要求展開'!$C$7:$C$734,$C174)</x:f>
        <x:v>4</x:v>
      </x:c>
      <x:c r="J174" s="48" t="n">
        <x:f>COUNTIFS('適配要求展開'!$A$7:$A$734,$A174,'適配要求展開'!$C$7:$C$734,$C174,'適配要求展開'!$I$7:$I$734,"待確認")</x:f>
        <x:v>3</x:v>
      </x:c>
      <x:c r="K174" s="48" t="n">
        <x:f>COUNTIFS('適配要求展開'!$A$7:$A$734,$A174,'適配要求展開'!$C$7:$C$734,$C174,'適配要求展開'!$N$7:$N$734,"不符合")</x:f>
        <x:v>4</x:v>
      </x:c>
      <x:c r="L174" s="48" t="n">
        <x:f>COUNTIFS('適配要求展開'!$A$7:$A$734,$A174,'適配要求展開'!$C$7:$C$734,$C174,'適配要求展開'!$L$7:$L$734,"Ø")</x:f>
        <x:v>0</x:v>
      </x:c>
      <x:c r="M174" s="51" t="n">
        <x:f>IF($I174=0,"n.a.",$L174/$I174)</x:f>
        <x:v>0</x:v>
      </x:c>
      <x:c r="N174" s="48" t="str">
        <x:f>_xlfn.XLOOKUP($A174&amp;"|李侑津醫師",'試行熟悉度'!$K$7:$K$20,'試行熟悉度'!$E$7:$E$20,"未評估",0)</x:f>
        <x:v>未評估</x:v>
      </x:c>
      <x:c r="O174" s="48" t="str">
        <x:f>IF(OR(COUNTIFS('適配要求展開'!$A$7:$A$734,$A174,'適配要求展開'!$C$7:$C$734,$C174,'適配要求展開'!$M$7:$M$734,"&lt;&gt;已核定")&gt;0,_xlfn.XLOOKUP($A174&amp;"|李侑津醫師",'試行熟悉度'!$K$7:$K$20,'試行熟悉度'!$F$7:$F$20,"未建立",0)&lt;&gt;"已核定"),"待主管核定","已核定")</x:f>
        <x:v>待主管核定</x:v>
      </x:c>
      <x:c r="P174" s="48" t="str">
        <x:f>IF($C174="LJT-RPD-FINAL","支援者另判",IF($G174="高複雜度",_xlfn.XLOOKUP($A174&amp;"|"&amp;$H174,'資格有效性'!$L$7:$L$62,'資格有效性'!$E$7:$E$62,"未建立",0),"不需複評"))</x:f>
        <x:v>未建立</x:v>
      </x:c>
      <x:c r="Q174" s="48" t="n">
        <x:v>0</x:v>
      </x:c>
      <x:c r="R174" s="48"/>
      <x:c r="S174" s="48" t="str">
        <x:f>IF($K174&gt;0,"不可正式排",IF(OR($N174="未評估",$N174="學習中"),"不可正式排",IF(AND($L174=0,$N174="可獨立配合"),"初步可獨立",IF(AND($L174&lt;=3,$M174&lt;=1/3,OR($N174="可獨立配合",$N174="可配合但需支援")),"初步可條件排","不可正式排"))))</x:f>
        <x:v>不可正式排</x:v>
      </x:c>
      <x:c r="T174" s="53" t="str">
        <x:f>IF($C174="LJT-RPD-FINAL","固定短時支援 1 人／30 分鐘",IF($S174="初步可條件排",IF($G174="高複雜度","完整支援者 1:1（占 2 名額）","一般支援 1 名額"),"無"))</x:f>
        <x:v>無</x:v>
      </x:c>
      <x:c r="U174" s="53" t="str">
        <x:f>IF($J174&gt;0,"待確認共通技能門檻",IF($O174&lt;&gt;"已核定","待主管核定",IF(AND($G174="高複雜度",$P174&lt;&gt;"有效"),"資格未有效",$S174)))</x:f>
        <x:v>待確認共通技能門檻</x:v>
      </x:c>
      <x:c r="V174" t="str">
        <x:f>$A174&amp;"|"&amp;$C174</x:f>
        <x:v>2006|LJT-MICROENDO</x:v>
      </x:c>
    </x:row>
    <x:row r="175">
      <x:c r="A175" s="37" t="str">
        <x:v>2006</x:v>
      </x:c>
      <x:c r="B175" s="37" t="str"/>
      <x:c r="C175" s="37" t="str">
        <x:v>LJT-IMPLANT</x:v>
      </x:c>
      <x:c r="D175" s="37" t="str">
        <x:v>高複雜度</x:v>
      </x:c>
      <x:c r="E175" s="37" t="str">
        <x:v>植牙</x:v>
      </x:c>
      <x:c r="F175" s="37" t="str">
        <x:v>一般</x:v>
      </x:c>
      <x:c r="G175" s="37" t="str">
        <x:v>高複雜度</x:v>
      </x:c>
      <x:c r="H175" s="37" t="str">
        <x:v>LJT-PREP-IMPLANT</x:v>
      </x:c>
      <x:c r="I175" s="48" t="n">
        <x:f>COUNTIFS('適配要求展開'!$A$7:$A$734,$A175,'適配要求展開'!$C$7:$C$734,$C175)</x:f>
        <x:v>4</x:v>
      </x:c>
      <x:c r="J175" s="48" t="n">
        <x:f>COUNTIFS('適配要求展開'!$A$7:$A$734,$A175,'適配要求展開'!$C$7:$C$734,$C175,'適配要求展開'!$I$7:$I$734,"待確認")</x:f>
        <x:v>3</x:v>
      </x:c>
      <x:c r="K175" s="48" t="n">
        <x:f>COUNTIFS('適配要求展開'!$A$7:$A$734,$A175,'適配要求展開'!$C$7:$C$734,$C175,'適配要求展開'!$N$7:$N$734,"不符合")</x:f>
        <x:v>4</x:v>
      </x:c>
      <x:c r="L175" s="48" t="n">
        <x:f>COUNTIFS('適配要求展開'!$A$7:$A$734,$A175,'適配要求展開'!$C$7:$C$734,$C175,'適配要求展開'!$L$7:$L$734,"Ø")</x:f>
        <x:v>0</x:v>
      </x:c>
      <x:c r="M175" s="51" t="n">
        <x:f>IF($I175=0,"n.a.",$L175/$I175)</x:f>
        <x:v>0</x:v>
      </x:c>
      <x:c r="N175" s="48" t="str">
        <x:f>_xlfn.XLOOKUP($A175&amp;"|李侑津醫師",'試行熟悉度'!$K$7:$K$20,'試行熟悉度'!$E$7:$E$20,"未評估",0)</x:f>
        <x:v>未評估</x:v>
      </x:c>
      <x:c r="O175" s="48" t="str">
        <x:f>IF(OR(COUNTIFS('適配要求展開'!$A$7:$A$734,$A175,'適配要求展開'!$C$7:$C$734,$C175,'適配要求展開'!$M$7:$M$734,"&lt;&gt;已核定")&gt;0,_xlfn.XLOOKUP($A175&amp;"|李侑津醫師",'試行熟悉度'!$K$7:$K$20,'試行熟悉度'!$F$7:$F$20,"未建立",0)&lt;&gt;"已核定"),"待主管核定","已核定")</x:f>
        <x:v>待主管核定</x:v>
      </x:c>
      <x:c r="P175" s="48" t="str">
        <x:f>IF($C175="LJT-RPD-FINAL","支援者另判",IF($G175="高複雜度",_xlfn.XLOOKUP($A175&amp;"|"&amp;$H175,'資格有效性'!$L$7:$L$62,'資格有效性'!$E$7:$E$62,"未建立",0),"不需複評"))</x:f>
        <x:v>未建立</x:v>
      </x:c>
      <x:c r="Q175" s="48" t="n">
        <x:v>0</x:v>
      </x:c>
      <x:c r="R175" s="48"/>
      <x:c r="S175" s="48" t="str">
        <x:f>IF($K175&gt;0,"不可正式排",IF(OR($N175="未評估",$N175="學習中"),"不可正式排",IF(AND($L175=0,$N175="可獨立配合"),"初步可獨立",IF(AND($L175&lt;=3,$M175&lt;=1/3,OR($N175="可獨立配合",$N175="可配合但需支援")),"初步可條件排","不可正式排"))))</x:f>
        <x:v>不可正式排</x:v>
      </x:c>
      <x:c r="T175" s="53" t="str">
        <x:f>IF($C175="LJT-RPD-FINAL","固定短時支援 1 人／30 分鐘",IF($S175="初步可條件排",IF($G175="高複雜度","完整支援者 1:1（占 2 名額）","一般支援 1 名額"),"無"))</x:f>
        <x:v>無</x:v>
      </x:c>
      <x:c r="U175" s="53" t="str">
        <x:f>IF($J175&gt;0,"待確認共通技能門檻",IF($O175&lt;&gt;"已核定","待主管核定",IF(AND($G175="高複雜度",$P175&lt;&gt;"有效"),"資格未有效",$S175)))</x:f>
        <x:v>待確認共通技能門檻</x:v>
      </x:c>
      <x:c r="V175" t="str">
        <x:f>$A175&amp;"|"&amp;$C175</x:f>
        <x:v>2006|LJT-IMPLANT</x:v>
      </x:c>
    </x:row>
    <x:row r="176">
      <x:c r="A176" s="37" t="str">
        <x:v>2007</x:v>
      </x:c>
      <x:c r="B176" s="37" t="str"/>
      <x:c r="C176" s="37" t="str">
        <x:v>LJT-SCALING</x:v>
      </x:c>
      <x:c r="D176" s="37" t="str">
        <x:v>一般治療</x:v>
      </x:c>
      <x:c r="E176" s="37" t="str">
        <x:v>洗牙</x:v>
      </x:c>
      <x:c r="F176" s="37" t="str">
        <x:v>一般</x:v>
      </x:c>
      <x:c r="G176" s="37" t="str">
        <x:v>一般</x:v>
      </x:c>
      <x:c r="H176" s="37" t="str">
        <x:v>LJT-PREP-SCALING</x:v>
      </x:c>
      <x:c r="I176" s="48" t="n">
        <x:f>COUNTIFS('適配要求展開'!$A$7:$A$734,$A176,'適配要求展開'!$C$7:$C$734,$C176)</x:f>
        <x:v>4</x:v>
      </x:c>
      <x:c r="J176" s="48" t="n">
        <x:f>COUNTIFS('適配要求展開'!$A$7:$A$734,$A176,'適配要求展開'!$C$7:$C$734,$C176,'適配要求展開'!$I$7:$I$734,"待確認")</x:f>
        <x:v>3</x:v>
      </x:c>
      <x:c r="K176" s="48" t="n">
        <x:f>COUNTIFS('適配要求展開'!$A$7:$A$734,$A176,'適配要求展開'!$C$7:$C$734,$C176,'適配要求展開'!$N$7:$N$734,"不符合")</x:f>
        <x:v>4</x:v>
      </x:c>
      <x:c r="L176" s="48" t="n">
        <x:f>COUNTIFS('適配要求展開'!$A$7:$A$734,$A176,'適配要求展開'!$C$7:$C$734,$C176,'適配要求展開'!$L$7:$L$734,"Ø")</x:f>
        <x:v>0</x:v>
      </x:c>
      <x:c r="M176" s="51" t="n">
        <x:f>IF($I176=0,"n.a.",$L176/$I176)</x:f>
        <x:v>0</x:v>
      </x:c>
      <x:c r="N176" s="48" t="str">
        <x:f>_xlfn.XLOOKUP($A176&amp;"|李侑津醫師",'試行熟悉度'!$K$7:$K$20,'試行熟悉度'!$E$7:$E$20,"未評估",0)</x:f>
        <x:v>未評估</x:v>
      </x:c>
      <x:c r="O176" s="48" t="str">
        <x:f>IF(OR(COUNTIFS('適配要求展開'!$A$7:$A$734,$A176,'適配要求展開'!$C$7:$C$734,$C176,'適配要求展開'!$M$7:$M$734,"&lt;&gt;已核定")&gt;0,_xlfn.XLOOKUP($A176&amp;"|李侑津醫師",'試行熟悉度'!$K$7:$K$20,'試行熟悉度'!$F$7:$F$20,"未建立",0)&lt;&gt;"已核定"),"待主管核定","已核定")</x:f>
        <x:v>待主管核定</x:v>
      </x:c>
      <x:c r="P176" s="48" t="str">
        <x:f>IF($C176="LJT-RPD-FINAL","支援者另判",IF($G176="高複雜度",_xlfn.XLOOKUP($A176&amp;"|"&amp;$H176,'資格有效性'!$L$7:$L$62,'資格有效性'!$E$7:$E$62,"未建立",0),"不需複評"))</x:f>
        <x:v>不需複評</x:v>
      </x:c>
      <x:c r="Q176" s="48" t="n">
        <x:v>0</x:v>
      </x:c>
      <x:c r="R176" s="48"/>
      <x:c r="S176" s="48" t="str">
        <x:f>IF($K176&gt;0,"不可正式排",IF(OR($N176="未評估",$N176="學習中"),"不可正式排",IF(AND($L176=0,$N176="可獨立配合"),"初步可獨立",IF(AND($L176&lt;=3,$M176&lt;=1/3,OR($N176="可獨立配合",$N176="可配合但需支援")),"初步可條件排","不可正式排"))))</x:f>
        <x:v>不可正式排</x:v>
      </x:c>
      <x:c r="T176" s="53" t="str">
        <x:f>IF($C176="LJT-RPD-FINAL","固定短時支援 1 人／30 分鐘",IF($S176="初步可條件排",IF($G176="高複雜度","完整支援者 1:1（占 2 名額）","一般支援 1 名額"),"無"))</x:f>
        <x:v>無</x:v>
      </x:c>
      <x:c r="U176" s="53" t="str">
        <x:f>IF($J176&gt;0,"待確認共通技能門檻",IF($O176&lt;&gt;"已核定","待主管核定",IF(AND($G176="高複雜度",$P176&lt;&gt;"有效"),"資格未有效",$S176)))</x:f>
        <x:v>待確認共通技能門檻</x:v>
      </x:c>
      <x:c r="V176" t="str">
        <x:f>$A176&amp;"|"&amp;$C176</x:f>
        <x:v>2007|LJT-SCALING</x:v>
      </x:c>
    </x:row>
    <x:row r="177">
      <x:c r="A177" s="37" t="str">
        <x:v>2007</x:v>
      </x:c>
      <x:c r="B177" s="37" t="str"/>
      <x:c r="C177" s="37" t="str">
        <x:v>LJT-FILLING</x:v>
      </x:c>
      <x:c r="D177" s="37" t="str">
        <x:v>一般治療</x:v>
      </x:c>
      <x:c r="E177" s="37" t="str">
        <x:v>補牙</x:v>
      </x:c>
      <x:c r="F177" s="37" t="str">
        <x:v>一般</x:v>
      </x:c>
      <x:c r="G177" s="37" t="str">
        <x:v>一般</x:v>
      </x:c>
      <x:c r="H177" s="37" t="str">
        <x:v>LJT-PREP-FILLING</x:v>
      </x:c>
      <x:c r="I177" s="48" t="n">
        <x:f>COUNTIFS('適配要求展開'!$A$7:$A$734,$A177,'適配要求展開'!$C$7:$C$734,$C177)</x:f>
        <x:v>4</x:v>
      </x:c>
      <x:c r="J177" s="48" t="n">
        <x:f>COUNTIFS('適配要求展開'!$A$7:$A$734,$A177,'適配要求展開'!$C$7:$C$734,$C177,'適配要求展開'!$I$7:$I$734,"待確認")</x:f>
        <x:v>3</x:v>
      </x:c>
      <x:c r="K177" s="48" t="n">
        <x:f>COUNTIFS('適配要求展開'!$A$7:$A$734,$A177,'適配要求展開'!$C$7:$C$734,$C177,'適配要求展開'!$N$7:$N$734,"不符合")</x:f>
        <x:v>4</x:v>
      </x:c>
      <x:c r="L177" s="48" t="n">
        <x:f>COUNTIFS('適配要求展開'!$A$7:$A$734,$A177,'適配要求展開'!$C$7:$C$734,$C177,'適配要求展開'!$L$7:$L$734,"Ø")</x:f>
        <x:v>0</x:v>
      </x:c>
      <x:c r="M177" s="51" t="n">
        <x:f>IF($I177=0,"n.a.",$L177/$I177)</x:f>
        <x:v>0</x:v>
      </x:c>
      <x:c r="N177" s="48" t="str">
        <x:f>_xlfn.XLOOKUP($A177&amp;"|李侑津醫師",'試行熟悉度'!$K$7:$K$20,'試行熟悉度'!$E$7:$E$20,"未評估",0)</x:f>
        <x:v>未評估</x:v>
      </x:c>
      <x:c r="O177" s="48" t="str">
        <x:f>IF(OR(COUNTIFS('適配要求展開'!$A$7:$A$734,$A177,'適配要求展開'!$C$7:$C$734,$C177,'適配要求展開'!$M$7:$M$734,"&lt;&gt;已核定")&gt;0,_xlfn.XLOOKUP($A177&amp;"|李侑津醫師",'試行熟悉度'!$K$7:$K$20,'試行熟悉度'!$F$7:$F$20,"未建立",0)&lt;&gt;"已核定"),"待主管核定","已核定")</x:f>
        <x:v>待主管核定</x:v>
      </x:c>
      <x:c r="P177" s="48" t="str">
        <x:f>IF($C177="LJT-RPD-FINAL","支援者另判",IF($G177="高複雜度",_xlfn.XLOOKUP($A177&amp;"|"&amp;$H177,'資格有效性'!$L$7:$L$62,'資格有效性'!$E$7:$E$62,"未建立",0),"不需複評"))</x:f>
        <x:v>不需複評</x:v>
      </x:c>
      <x:c r="Q177" s="48" t="n">
        <x:v>0</x:v>
      </x:c>
      <x:c r="R177" s="48"/>
      <x:c r="S177" s="48" t="str">
        <x:f>IF($K177&gt;0,"不可正式排",IF(OR($N177="未評估",$N177="學習中"),"不可正式排",IF(AND($L177=0,$N177="可獨立配合"),"初步可獨立",IF(AND($L177&lt;=3,$M177&lt;=1/3,OR($N177="可獨立配合",$N177="可配合但需支援")),"初步可條件排","不可正式排"))))</x:f>
        <x:v>不可正式排</x:v>
      </x:c>
      <x:c r="T177" s="53" t="str">
        <x:f>IF($C177="LJT-RPD-FINAL","固定短時支援 1 人／30 分鐘",IF($S177="初步可條件排",IF($G177="高複雜度","完整支援者 1:1（占 2 名額）","一般支援 1 名額"),"無"))</x:f>
        <x:v>無</x:v>
      </x:c>
      <x:c r="U177" s="53" t="str">
        <x:f>IF($J177&gt;0,"待確認共通技能門檻",IF($O177&lt;&gt;"已核定","待主管核定",IF(AND($G177="高複雜度",$P177&lt;&gt;"有效"),"資格未有效",$S177)))</x:f>
        <x:v>待確認共通技能門檻</x:v>
      </x:c>
      <x:c r="V177" t="str">
        <x:f>$A177&amp;"|"&amp;$C177</x:f>
        <x:v>2007|LJT-FILLING</x:v>
      </x:c>
    </x:row>
    <x:row r="178">
      <x:c r="A178" s="37" t="str">
        <x:v>2007</x:v>
      </x:c>
      <x:c r="B178" s="37" t="str"/>
      <x:c r="C178" s="37" t="str">
        <x:v>LJT-PERIO</x:v>
      </x:c>
      <x:c r="D178" s="37" t="str">
        <x:v>一般治療</x:v>
      </x:c>
      <x:c r="E178" s="37" t="str">
        <x:v>牙周統合</x:v>
      </x:c>
      <x:c r="F178" s="37" t="str">
        <x:v>一般</x:v>
      </x:c>
      <x:c r="G178" s="37" t="str">
        <x:v>一般</x:v>
      </x:c>
      <x:c r="H178" s="37" t="str">
        <x:v>LJT-PREP-PERIO</x:v>
      </x:c>
      <x:c r="I178" s="48" t="n">
        <x:f>COUNTIFS('適配要求展開'!$A$7:$A$734,$A178,'適配要求展開'!$C$7:$C$734,$C178)</x:f>
        <x:v>4</x:v>
      </x:c>
      <x:c r="J178" s="48" t="n">
        <x:f>COUNTIFS('適配要求展開'!$A$7:$A$734,$A178,'適配要求展開'!$C$7:$C$734,$C178,'適配要求展開'!$I$7:$I$734,"待確認")</x:f>
        <x:v>3</x:v>
      </x:c>
      <x:c r="K178" s="48" t="n">
        <x:f>COUNTIFS('適配要求展開'!$A$7:$A$734,$A178,'適配要求展開'!$C$7:$C$734,$C178,'適配要求展開'!$N$7:$N$734,"不符合")</x:f>
        <x:v>4</x:v>
      </x:c>
      <x:c r="L178" s="48" t="n">
        <x:f>COUNTIFS('適配要求展開'!$A$7:$A$734,$A178,'適配要求展開'!$C$7:$C$734,$C178,'適配要求展開'!$L$7:$L$734,"Ø")</x:f>
        <x:v>0</x:v>
      </x:c>
      <x:c r="M178" s="51" t="n">
        <x:f>IF($I178=0,"n.a.",$L178/$I178)</x:f>
        <x:v>0</x:v>
      </x:c>
      <x:c r="N178" s="48" t="str">
        <x:f>_xlfn.XLOOKUP($A178&amp;"|李侑津醫師",'試行熟悉度'!$K$7:$K$20,'試行熟悉度'!$E$7:$E$20,"未評估",0)</x:f>
        <x:v>未評估</x:v>
      </x:c>
      <x:c r="O178" s="48" t="str">
        <x:f>IF(OR(COUNTIFS('適配要求展開'!$A$7:$A$734,$A178,'適配要求展開'!$C$7:$C$734,$C178,'適配要求展開'!$M$7:$M$734,"&lt;&gt;已核定")&gt;0,_xlfn.XLOOKUP($A178&amp;"|李侑津醫師",'試行熟悉度'!$K$7:$K$20,'試行熟悉度'!$F$7:$F$20,"未建立",0)&lt;&gt;"已核定"),"待主管核定","已核定")</x:f>
        <x:v>待主管核定</x:v>
      </x:c>
      <x:c r="P178" s="48" t="str">
        <x:f>IF($C178="LJT-RPD-FINAL","支援者另判",IF($G178="高複雜度",_xlfn.XLOOKUP($A178&amp;"|"&amp;$H178,'資格有效性'!$L$7:$L$62,'資格有效性'!$E$7:$E$62,"未建立",0),"不需複評"))</x:f>
        <x:v>不需複評</x:v>
      </x:c>
      <x:c r="Q178" s="48" t="n">
        <x:v>0</x:v>
      </x:c>
      <x:c r="R178" s="48"/>
      <x:c r="S178" s="48" t="str">
        <x:f>IF($K178&gt;0,"不可正式排",IF(OR($N178="未評估",$N178="學習中"),"不可正式排",IF(AND($L178=0,$N178="可獨立配合"),"初步可獨立",IF(AND($L178&lt;=3,$M178&lt;=1/3,OR($N178="可獨立配合",$N178="可配合但需支援")),"初步可條件排","不可正式排"))))</x:f>
        <x:v>不可正式排</x:v>
      </x:c>
      <x:c r="T178" s="53" t="str">
        <x:f>IF($C178="LJT-RPD-FINAL","固定短時支援 1 人／30 分鐘",IF($S178="初步可條件排",IF($G178="高複雜度","完整支援者 1:1（占 2 名額）","一般支援 1 名額"),"無"))</x:f>
        <x:v>無</x:v>
      </x:c>
      <x:c r="U178" s="53" t="str">
        <x:f>IF($J178&gt;0,"待確認共通技能門檻",IF($O178&lt;&gt;"已核定","待主管核定",IF(AND($G178="高複雜度",$P178&lt;&gt;"有效"),"資格未有效",$S178)))</x:f>
        <x:v>待確認共通技能門檻</x:v>
      </x:c>
      <x:c r="V178" t="str">
        <x:f>$A178&amp;"|"&amp;$C178</x:f>
        <x:v>2007|LJT-PERIO</x:v>
      </x:c>
    </x:row>
    <x:row r="179">
      <x:c r="A179" s="37" t="str">
        <x:v>2007</x:v>
      </x:c>
      <x:c r="B179" s="37" t="str"/>
      <x:c r="C179" s="37" t="str">
        <x:v>LJT-RCT</x:v>
      </x:c>
      <x:c r="D179" s="37" t="str">
        <x:v>一般治療</x:v>
      </x:c>
      <x:c r="E179" s="37" t="str">
        <x:v>一般根管治療</x:v>
      </x:c>
      <x:c r="F179" s="37" t="str">
        <x:v>一般</x:v>
      </x:c>
      <x:c r="G179" s="37" t="str">
        <x:v>一般</x:v>
      </x:c>
      <x:c r="H179" s="37" t="str">
        <x:v>LJT-PREP-RCT</x:v>
      </x:c>
      <x:c r="I179" s="48" t="n">
        <x:f>COUNTIFS('適配要求展開'!$A$7:$A$734,$A179,'適配要求展開'!$C$7:$C$734,$C179)</x:f>
        <x:v>4</x:v>
      </x:c>
      <x:c r="J179" s="48" t="n">
        <x:f>COUNTIFS('適配要求展開'!$A$7:$A$734,$A179,'適配要求展開'!$C$7:$C$734,$C179,'適配要求展開'!$I$7:$I$734,"待確認")</x:f>
        <x:v>3</x:v>
      </x:c>
      <x:c r="K179" s="48" t="n">
        <x:f>COUNTIFS('適配要求展開'!$A$7:$A$734,$A179,'適配要求展開'!$C$7:$C$734,$C179,'適配要求展開'!$N$7:$N$734,"不符合")</x:f>
        <x:v>4</x:v>
      </x:c>
      <x:c r="L179" s="48" t="n">
        <x:f>COUNTIFS('適配要求展開'!$A$7:$A$734,$A179,'適配要求展開'!$C$7:$C$734,$C179,'適配要求展開'!$L$7:$L$734,"Ø")</x:f>
        <x:v>0</x:v>
      </x:c>
      <x:c r="M179" s="51" t="n">
        <x:f>IF($I179=0,"n.a.",$L179/$I179)</x:f>
        <x:v>0</x:v>
      </x:c>
      <x:c r="N179" s="48" t="str">
        <x:f>_xlfn.XLOOKUP($A179&amp;"|李侑津醫師",'試行熟悉度'!$K$7:$K$20,'試行熟悉度'!$E$7:$E$20,"未評估",0)</x:f>
        <x:v>未評估</x:v>
      </x:c>
      <x:c r="O179" s="48" t="str">
        <x:f>IF(OR(COUNTIFS('適配要求展開'!$A$7:$A$734,$A179,'適配要求展開'!$C$7:$C$734,$C179,'適配要求展開'!$M$7:$M$734,"&lt;&gt;已核定")&gt;0,_xlfn.XLOOKUP($A179&amp;"|李侑津醫師",'試行熟悉度'!$K$7:$K$20,'試行熟悉度'!$F$7:$F$20,"未建立",0)&lt;&gt;"已核定"),"待主管核定","已核定")</x:f>
        <x:v>待主管核定</x:v>
      </x:c>
      <x:c r="P179" s="48" t="str">
        <x:f>IF($C179="LJT-RPD-FINAL","支援者另判",IF($G179="高複雜度",_xlfn.XLOOKUP($A179&amp;"|"&amp;$H179,'資格有效性'!$L$7:$L$62,'資格有效性'!$E$7:$E$62,"未建立",0),"不需複評"))</x:f>
        <x:v>不需複評</x:v>
      </x:c>
      <x:c r="Q179" s="48" t="n">
        <x:v>0</x:v>
      </x:c>
      <x:c r="R179" s="48"/>
      <x:c r="S179" s="48" t="str">
        <x:f>IF($K179&gt;0,"不可正式排",IF(OR($N179="未評估",$N179="學習中"),"不可正式排",IF(AND($L179=0,$N179="可獨立配合"),"初步可獨立",IF(AND($L179&lt;=3,$M179&lt;=1/3,OR($N179="可獨立配合",$N179="可配合但需支援")),"初步可條件排","不可正式排"))))</x:f>
        <x:v>不可正式排</x:v>
      </x:c>
      <x:c r="T179" s="53" t="str">
        <x:f>IF($C179="LJT-RPD-FINAL","固定短時支援 1 人／30 分鐘",IF($S179="初步可條件排",IF($G179="高複雜度","完整支援者 1:1（占 2 名額）","一般支援 1 名額"),"無"))</x:f>
        <x:v>無</x:v>
      </x:c>
      <x:c r="U179" s="53" t="str">
        <x:f>IF($J179&gt;0,"待確認共通技能門檻",IF($O179&lt;&gt;"已核定","待主管核定",IF(AND($G179="高複雜度",$P179&lt;&gt;"有效"),"資格未有效",$S179)))</x:f>
        <x:v>待確認共通技能門檻</x:v>
      </x:c>
      <x:c r="V179" t="str">
        <x:f>$A179&amp;"|"&amp;$C179</x:f>
        <x:v>2007|LJT-RCT</x:v>
      </x:c>
    </x:row>
    <x:row r="180">
      <x:c r="A180" s="37" t="str">
        <x:v>2007</x:v>
      </x:c>
      <x:c r="B180" s="37" t="str"/>
      <x:c r="C180" s="37" t="str">
        <x:v>LJT-EXTRACTION</x:v>
      </x:c>
      <x:c r="D180" s="37" t="str">
        <x:v>一般治療</x:v>
      </x:c>
      <x:c r="E180" s="37" t="str">
        <x:v>拔牙</x:v>
      </x:c>
      <x:c r="F180" s="37" t="str">
        <x:v>一般</x:v>
      </x:c>
      <x:c r="G180" s="37" t="str">
        <x:v>一般</x:v>
      </x:c>
      <x:c r="H180" s="37" t="str">
        <x:v>LJT-PREP-EXTRACTION</x:v>
      </x:c>
      <x:c r="I180" s="48" t="n">
        <x:f>COUNTIFS('適配要求展開'!$A$7:$A$734,$A180,'適配要求展開'!$C$7:$C$734,$C180)</x:f>
        <x:v>4</x:v>
      </x:c>
      <x:c r="J180" s="48" t="n">
        <x:f>COUNTIFS('適配要求展開'!$A$7:$A$734,$A180,'適配要求展開'!$C$7:$C$734,$C180,'適配要求展開'!$I$7:$I$734,"待確認")</x:f>
        <x:v>3</x:v>
      </x:c>
      <x:c r="K180" s="48" t="n">
        <x:f>COUNTIFS('適配要求展開'!$A$7:$A$734,$A180,'適配要求展開'!$C$7:$C$734,$C180,'適配要求展開'!$N$7:$N$734,"不符合")</x:f>
        <x:v>4</x:v>
      </x:c>
      <x:c r="L180" s="48" t="n">
        <x:f>COUNTIFS('適配要求展開'!$A$7:$A$734,$A180,'適配要求展開'!$C$7:$C$734,$C180,'適配要求展開'!$L$7:$L$734,"Ø")</x:f>
        <x:v>0</x:v>
      </x:c>
      <x:c r="M180" s="51" t="n">
        <x:f>IF($I180=0,"n.a.",$L180/$I180)</x:f>
        <x:v>0</x:v>
      </x:c>
      <x:c r="N180" s="48" t="str">
        <x:f>_xlfn.XLOOKUP($A180&amp;"|李侑津醫師",'試行熟悉度'!$K$7:$K$20,'試行熟悉度'!$E$7:$E$20,"未評估",0)</x:f>
        <x:v>未評估</x:v>
      </x:c>
      <x:c r="O180" s="48" t="str">
        <x:f>IF(OR(COUNTIFS('適配要求展開'!$A$7:$A$734,$A180,'適配要求展開'!$C$7:$C$734,$C180,'適配要求展開'!$M$7:$M$734,"&lt;&gt;已核定")&gt;0,_xlfn.XLOOKUP($A180&amp;"|李侑津醫師",'試行熟悉度'!$K$7:$K$20,'試行熟悉度'!$F$7:$F$20,"未建立",0)&lt;&gt;"已核定"),"待主管核定","已核定")</x:f>
        <x:v>待主管核定</x:v>
      </x:c>
      <x:c r="P180" s="48" t="str">
        <x:f>IF($C180="LJT-RPD-FINAL","支援者另判",IF($G180="高複雜度",_xlfn.XLOOKUP($A180&amp;"|"&amp;$H180,'資格有效性'!$L$7:$L$62,'資格有效性'!$E$7:$E$62,"未建立",0),"不需複評"))</x:f>
        <x:v>不需複評</x:v>
      </x:c>
      <x:c r="Q180" s="48" t="n">
        <x:v>0</x:v>
      </x:c>
      <x:c r="R180" s="48"/>
      <x:c r="S180" s="48" t="str">
        <x:f>IF($K180&gt;0,"不可正式排",IF(OR($N180="未評估",$N180="學習中"),"不可正式排",IF(AND($L180=0,$N180="可獨立配合"),"初步可獨立",IF(AND($L180&lt;=3,$M180&lt;=1/3,OR($N180="可獨立配合",$N180="可配合但需支援")),"初步可條件排","不可正式排"))))</x:f>
        <x:v>不可正式排</x:v>
      </x:c>
      <x:c r="T180" s="53" t="str">
        <x:f>IF($C180="LJT-RPD-FINAL","固定短時支援 1 人／30 分鐘",IF($S180="初步可條件排",IF($G180="高複雜度","完整支援者 1:1（占 2 名額）","一般支援 1 名額"),"無"))</x:f>
        <x:v>無</x:v>
      </x:c>
      <x:c r="U180" s="53" t="str">
        <x:f>IF($J180&gt;0,"待確認共通技能門檻",IF($O180&lt;&gt;"已核定","待主管核定",IF(AND($G180="高複雜度",$P180&lt;&gt;"有效"),"資格未有效",$S180)))</x:f>
        <x:v>待確認共通技能門檻</x:v>
      </x:c>
      <x:c r="V180" t="str">
        <x:f>$A180&amp;"|"&amp;$C180</x:f>
        <x:v>2007|LJT-EXTRACTION</x:v>
      </x:c>
    </x:row>
    <x:row r="181">
      <x:c r="A181" s="37" t="str">
        <x:v>2007</x:v>
      </x:c>
      <x:c r="B181" s="37" t="str"/>
      <x:c r="C181" s="37" t="str">
        <x:v>LJT-CROWNPOST</x:v>
      </x:c>
      <x:c r="D181" s="37" t="str">
        <x:v>一般治療</x:v>
      </x:c>
      <x:c r="E181" s="37" t="str">
        <x:v>拆 crown/post</x:v>
      </x:c>
      <x:c r="F181" s="37" t="str">
        <x:v>一般</x:v>
      </x:c>
      <x:c r="G181" s="37" t="str">
        <x:v>一般</x:v>
      </x:c>
      <x:c r="H181" s="37" t="str">
        <x:v>LJT-PREP-CROWNPOST</x:v>
      </x:c>
      <x:c r="I181" s="48" t="n">
        <x:f>COUNTIFS('適配要求展開'!$A$7:$A$734,$A181,'適配要求展開'!$C$7:$C$734,$C181)</x:f>
        <x:v>4</x:v>
      </x:c>
      <x:c r="J181" s="48" t="n">
        <x:f>COUNTIFS('適配要求展開'!$A$7:$A$734,$A181,'適配要求展開'!$C$7:$C$734,$C181,'適配要求展開'!$I$7:$I$734,"待確認")</x:f>
        <x:v>3</x:v>
      </x:c>
      <x:c r="K181" s="48" t="n">
        <x:f>COUNTIFS('適配要求展開'!$A$7:$A$734,$A181,'適配要求展開'!$C$7:$C$734,$C181,'適配要求展開'!$N$7:$N$734,"不符合")</x:f>
        <x:v>4</x:v>
      </x:c>
      <x:c r="L181" s="48" t="n">
        <x:f>COUNTIFS('適配要求展開'!$A$7:$A$734,$A181,'適配要求展開'!$C$7:$C$734,$C181,'適配要求展開'!$L$7:$L$734,"Ø")</x:f>
        <x:v>0</x:v>
      </x:c>
      <x:c r="M181" s="51" t="n">
        <x:f>IF($I181=0,"n.a.",$L181/$I181)</x:f>
        <x:v>0</x:v>
      </x:c>
      <x:c r="N181" s="48" t="str">
        <x:f>_xlfn.XLOOKUP($A181&amp;"|李侑津醫師",'試行熟悉度'!$K$7:$K$20,'試行熟悉度'!$E$7:$E$20,"未評估",0)</x:f>
        <x:v>未評估</x:v>
      </x:c>
      <x:c r="O181" s="48" t="str">
        <x:f>IF(OR(COUNTIFS('適配要求展開'!$A$7:$A$734,$A181,'適配要求展開'!$C$7:$C$734,$C181,'適配要求展開'!$M$7:$M$734,"&lt;&gt;已核定")&gt;0,_xlfn.XLOOKUP($A181&amp;"|李侑津醫師",'試行熟悉度'!$K$7:$K$20,'試行熟悉度'!$F$7:$F$20,"未建立",0)&lt;&gt;"已核定"),"待主管核定","已核定")</x:f>
        <x:v>待主管核定</x:v>
      </x:c>
      <x:c r="P181" s="48" t="str">
        <x:f>IF($C181="LJT-RPD-FINAL","支援者另判",IF($G181="高複雜度",_xlfn.XLOOKUP($A181&amp;"|"&amp;$H181,'資格有效性'!$L$7:$L$62,'資格有效性'!$E$7:$E$62,"未建立",0),"不需複評"))</x:f>
        <x:v>不需複評</x:v>
      </x:c>
      <x:c r="Q181" s="48" t="n">
        <x:v>0</x:v>
      </x:c>
      <x:c r="R181" s="48"/>
      <x:c r="S181" s="48" t="str">
        <x:f>IF($K181&gt;0,"不可正式排",IF(OR($N181="未評估",$N181="學習中"),"不可正式排",IF(AND($L181=0,$N181="可獨立配合"),"初步可獨立",IF(AND($L181&lt;=3,$M181&lt;=1/3,OR($N181="可獨立配合",$N181="可配合但需支援")),"初步可條件排","不可正式排"))))</x:f>
        <x:v>不可正式排</x:v>
      </x:c>
      <x:c r="T181" s="53" t="str">
        <x:f>IF($C181="LJT-RPD-FINAL","固定短時支援 1 人／30 分鐘",IF($S181="初步可條件排",IF($G181="高複雜度","完整支援者 1:1（占 2 名額）","一般支援 1 名額"),"無"))</x:f>
        <x:v>無</x:v>
      </x:c>
      <x:c r="U181" s="53" t="str">
        <x:f>IF($J181&gt;0,"待確認共通技能門檻",IF($O181&lt;&gt;"已核定","待主管核定",IF(AND($G181="高複雜度",$P181&lt;&gt;"有效"),"資格未有效",$S181)))</x:f>
        <x:v>待確認共通技能門檻</x:v>
      </x:c>
      <x:c r="V181" t="str">
        <x:f>$A181&amp;"|"&amp;$C181</x:f>
        <x:v>2007|LJT-CROWNPOST</x:v>
      </x:c>
    </x:row>
    <x:row r="182">
      <x:c r="A182" s="37" t="str">
        <x:v>2007</x:v>
      </x:c>
      <x:c r="B182" s="37" t="str"/>
      <x:c r="C182" s="37" t="str">
        <x:v>LJT-CROWN</x:v>
      </x:c>
      <x:c r="D182" s="37" t="str">
        <x:v>補綴／自費</x:v>
      </x:c>
      <x:c r="E182" s="37" t="str">
        <x:v>固定假牙</x:v>
      </x:c>
      <x:c r="F182" s="37" t="str">
        <x:v>一般</x:v>
      </x:c>
      <x:c r="G182" s="37" t="str">
        <x:v>一般</x:v>
      </x:c>
      <x:c r="H182" s="37" t="str">
        <x:v>LJT-PREP-CROWN</x:v>
      </x:c>
      <x:c r="I182" s="48" t="n">
        <x:f>COUNTIFS('適配要求展開'!$A$7:$A$734,$A182,'適配要求展開'!$C$7:$C$734,$C182)</x:f>
        <x:v>4</x:v>
      </x:c>
      <x:c r="J182" s="48" t="n">
        <x:f>COUNTIFS('適配要求展開'!$A$7:$A$734,$A182,'適配要求展開'!$C$7:$C$734,$C182,'適配要求展開'!$I$7:$I$734,"待確認")</x:f>
        <x:v>3</x:v>
      </x:c>
      <x:c r="K182" s="48" t="n">
        <x:f>COUNTIFS('適配要求展開'!$A$7:$A$734,$A182,'適配要求展開'!$C$7:$C$734,$C182,'適配要求展開'!$N$7:$N$734,"不符合")</x:f>
        <x:v>4</x:v>
      </x:c>
      <x:c r="L182" s="48" t="n">
        <x:f>COUNTIFS('適配要求展開'!$A$7:$A$734,$A182,'適配要求展開'!$C$7:$C$734,$C182,'適配要求展開'!$L$7:$L$734,"Ø")</x:f>
        <x:v>0</x:v>
      </x:c>
      <x:c r="M182" s="51" t="n">
        <x:f>IF($I182=0,"n.a.",$L182/$I182)</x:f>
        <x:v>0</x:v>
      </x:c>
      <x:c r="N182" s="48" t="str">
        <x:f>_xlfn.XLOOKUP($A182&amp;"|李侑津醫師",'試行熟悉度'!$K$7:$K$20,'試行熟悉度'!$E$7:$E$20,"未評估",0)</x:f>
        <x:v>未評估</x:v>
      </x:c>
      <x:c r="O182" s="48" t="str">
        <x:f>IF(OR(COUNTIFS('適配要求展開'!$A$7:$A$734,$A182,'適配要求展開'!$C$7:$C$734,$C182,'適配要求展開'!$M$7:$M$734,"&lt;&gt;已核定")&gt;0,_xlfn.XLOOKUP($A182&amp;"|李侑津醫師",'試行熟悉度'!$K$7:$K$20,'試行熟悉度'!$F$7:$F$20,"未建立",0)&lt;&gt;"已核定"),"待主管核定","已核定")</x:f>
        <x:v>待主管核定</x:v>
      </x:c>
      <x:c r="P182" s="48" t="str">
        <x:f>IF($C182="LJT-RPD-FINAL","支援者另判",IF($G182="高複雜度",_xlfn.XLOOKUP($A182&amp;"|"&amp;$H182,'資格有效性'!$L$7:$L$62,'資格有效性'!$E$7:$E$62,"未建立",0),"不需複評"))</x:f>
        <x:v>不需複評</x:v>
      </x:c>
      <x:c r="Q182" s="48" t="n">
        <x:v>0</x:v>
      </x:c>
      <x:c r="R182" s="48"/>
      <x:c r="S182" s="48" t="str">
        <x:f>IF($K182&gt;0,"不可正式排",IF(OR($N182="未評估",$N182="學習中"),"不可正式排",IF(AND($L182=0,$N182="可獨立配合"),"初步可獨立",IF(AND($L182&lt;=3,$M182&lt;=1/3,OR($N182="可獨立配合",$N182="可配合但需支援")),"初步可條件排","不可正式排"))))</x:f>
        <x:v>不可正式排</x:v>
      </x:c>
      <x:c r="T182" s="53" t="str">
        <x:f>IF($C182="LJT-RPD-FINAL","固定短時支援 1 人／30 分鐘",IF($S182="初步可條件排",IF($G182="高複雜度","完整支援者 1:1（占 2 名額）","一般支援 1 名額"),"無"))</x:f>
        <x:v>無</x:v>
      </x:c>
      <x:c r="U182" s="53" t="str">
        <x:f>IF($J182&gt;0,"待確認共通技能門檻",IF($O182&lt;&gt;"已核定","待主管核定",IF(AND($G182="高複雜度",$P182&lt;&gt;"有效"),"資格未有效",$S182)))</x:f>
        <x:v>待確認共通技能門檻</x:v>
      </x:c>
      <x:c r="V182" t="str">
        <x:f>$A182&amp;"|"&amp;$C182</x:f>
        <x:v>2007|LJT-CROWN</x:v>
      </x:c>
    </x:row>
    <x:row r="183">
      <x:c r="A183" s="37" t="str">
        <x:v>2007</x:v>
      </x:c>
      <x:c r="B183" s="37" t="str"/>
      <x:c r="C183" s="37" t="str">
        <x:v>LJT-RPD</x:v>
      </x:c>
      <x:c r="D183" s="37" t="str">
        <x:v>補綴／自費</x:v>
      </x:c>
      <x:c r="E183" s="37" t="str">
        <x:v>RPD</x:v>
      </x:c>
      <x:c r="F183" s="37" t="str">
        <x:v>一般步驟</x:v>
      </x:c>
      <x:c r="G183" s="37" t="str">
        <x:v>一般</x:v>
      </x:c>
      <x:c r="H183" s="37" t="str">
        <x:v>LJT-PREP-RPD</x:v>
      </x:c>
      <x:c r="I183" s="48" t="n">
        <x:f>COUNTIFS('適配要求展開'!$A$7:$A$734,$A183,'適配要求展開'!$C$7:$C$734,$C183)</x:f>
        <x:v>4</x:v>
      </x:c>
      <x:c r="J183" s="48" t="n">
        <x:f>COUNTIFS('適配要求展開'!$A$7:$A$734,$A183,'適配要求展開'!$C$7:$C$734,$C183,'適配要求展開'!$I$7:$I$734,"待確認")</x:f>
        <x:v>3</x:v>
      </x:c>
      <x:c r="K183" s="48" t="n">
        <x:f>COUNTIFS('適配要求展開'!$A$7:$A$734,$A183,'適配要求展開'!$C$7:$C$734,$C183,'適配要求展開'!$N$7:$N$734,"不符合")</x:f>
        <x:v>4</x:v>
      </x:c>
      <x:c r="L183" s="48" t="n">
        <x:f>COUNTIFS('適配要求展開'!$A$7:$A$734,$A183,'適配要求展開'!$C$7:$C$734,$C183,'適配要求展開'!$L$7:$L$734,"Ø")</x:f>
        <x:v>0</x:v>
      </x:c>
      <x:c r="M183" s="51" t="n">
        <x:f>IF($I183=0,"n.a.",$L183/$I183)</x:f>
        <x:v>0</x:v>
      </x:c>
      <x:c r="N183" s="48" t="str">
        <x:f>_xlfn.XLOOKUP($A183&amp;"|李侑津醫師",'試行熟悉度'!$K$7:$K$20,'試行熟悉度'!$E$7:$E$20,"未評估",0)</x:f>
        <x:v>未評估</x:v>
      </x:c>
      <x:c r="O183" s="48" t="str">
        <x:f>IF(OR(COUNTIFS('適配要求展開'!$A$7:$A$734,$A183,'適配要求展開'!$C$7:$C$734,$C183,'適配要求展開'!$M$7:$M$734,"&lt;&gt;已核定")&gt;0,_xlfn.XLOOKUP($A183&amp;"|李侑津醫師",'試行熟悉度'!$K$7:$K$20,'試行熟悉度'!$F$7:$F$20,"未建立",0)&lt;&gt;"已核定"),"待主管核定","已核定")</x:f>
        <x:v>待主管核定</x:v>
      </x:c>
      <x:c r="P183" s="48" t="str">
        <x:f>IF($C183="LJT-RPD-FINAL","支援者另判",IF($G183="高複雜度",_xlfn.XLOOKUP($A183&amp;"|"&amp;$H183,'資格有效性'!$L$7:$L$62,'資格有效性'!$E$7:$E$62,"未建立",0),"不需複評"))</x:f>
        <x:v>不需複評</x:v>
      </x:c>
      <x:c r="Q183" s="48" t="n">
        <x:v>0</x:v>
      </x:c>
      <x:c r="R183" s="48"/>
      <x:c r="S183" s="48" t="str">
        <x:f>IF($K183&gt;0,"不可正式排",IF(OR($N183="未評估",$N183="學習中"),"不可正式排",IF(AND($L183=0,$N183="可獨立配合"),"初步可獨立",IF(AND($L183&lt;=3,$M183&lt;=1/3,OR($N183="可獨立配合",$N183="可配合但需支援")),"初步可條件排","不可正式排"))))</x:f>
        <x:v>不可正式排</x:v>
      </x:c>
      <x:c r="T183" s="53" t="str">
        <x:f>IF($C183="LJT-RPD-FINAL","固定短時支援 1 人／30 分鐘",IF($S183="初步可條件排",IF($G183="高複雜度","完整支援者 1:1（占 2 名額）","一般支援 1 名額"),"無"))</x:f>
        <x:v>無</x:v>
      </x:c>
      <x:c r="U183" s="53" t="str">
        <x:f>IF($J183&gt;0,"待確認共通技能門檻",IF($O183&lt;&gt;"已核定","待主管核定",IF(AND($G183="高複雜度",$P183&lt;&gt;"有效"),"資格未有效",$S183)))</x:f>
        <x:v>待確認共通技能門檻</x:v>
      </x:c>
      <x:c r="V183" t="str">
        <x:f>$A183&amp;"|"&amp;$C183</x:f>
        <x:v>2007|LJT-RPD</x:v>
      </x:c>
    </x:row>
    <x:row r="184">
      <x:c r="A184" s="37" t="str">
        <x:v>2007</x:v>
      </x:c>
      <x:c r="B184" s="37" t="str"/>
      <x:c r="C184" s="37" t="str">
        <x:v>LJT-RPD-FINAL</x:v>
      </x:c>
      <x:c r="D184" s="37" t="str">
        <x:v>補綴／自費</x:v>
      </x:c>
      <x:c r="E184" s="37" t="str">
        <x:v>RPD</x:v>
      </x:c>
      <x:c r="F184" s="37" t="str">
        <x:v>印最終模</x:v>
      </x:c>
      <x:c r="G184" s="37" t="str">
        <x:v>特殊階段</x:v>
      </x:c>
      <x:c r="H184" s="37" t="str">
        <x:v>LJT-PREP-RPD</x:v>
      </x:c>
      <x:c r="I184" s="48" t="n">
        <x:f>COUNTIFS('適配要求展開'!$A$7:$A$734,$A184,'適配要求展開'!$C$7:$C$734,$C184)</x:f>
        <x:v>4</x:v>
      </x:c>
      <x:c r="J184" s="48" t="n">
        <x:f>COUNTIFS('適配要求展開'!$A$7:$A$734,$A184,'適配要求展開'!$C$7:$C$734,$C184,'適配要求展開'!$I$7:$I$734,"待確認")</x:f>
        <x:v>3</x:v>
      </x:c>
      <x:c r="K184" s="48" t="n">
        <x:f>COUNTIFS('適配要求展開'!$A$7:$A$734,$A184,'適配要求展開'!$C$7:$C$734,$C184,'適配要求展開'!$N$7:$N$734,"不符合")</x:f>
        <x:v>4</x:v>
      </x:c>
      <x:c r="L184" s="48" t="n">
        <x:f>COUNTIFS('適配要求展開'!$A$7:$A$734,$A184,'適配要求展開'!$C$7:$C$734,$C184,'適配要求展開'!$L$7:$L$734,"Ø")</x:f>
        <x:v>0</x:v>
      </x:c>
      <x:c r="M184" s="51" t="n">
        <x:f>IF($I184=0,"n.a.",$L184/$I184)</x:f>
        <x:v>0</x:v>
      </x:c>
      <x:c r="N184" s="48" t="str">
        <x:f>_xlfn.XLOOKUP($A184&amp;"|李侑津醫師",'試行熟悉度'!$K$7:$K$20,'試行熟悉度'!$E$7:$E$20,"未評估",0)</x:f>
        <x:v>未評估</x:v>
      </x:c>
      <x:c r="O184" s="48" t="str">
        <x:f>IF(OR(COUNTIFS('適配要求展開'!$A$7:$A$734,$A184,'適配要求展開'!$C$7:$C$734,$C184,'適配要求展開'!$M$7:$M$734,"&lt;&gt;已核定")&gt;0,_xlfn.XLOOKUP($A184&amp;"|李侑津醫師",'試行熟悉度'!$K$7:$K$20,'試行熟悉度'!$F$7:$F$20,"未建立",0)&lt;&gt;"已核定"),"待主管核定","已核定")</x:f>
        <x:v>待主管核定</x:v>
      </x:c>
      <x:c r="P184" s="48" t="str">
        <x:f>IF($C184="LJT-RPD-FINAL","支援者另判",IF($G184="高複雜度",_xlfn.XLOOKUP($A184&amp;"|"&amp;$H184,'資格有效性'!$L$7:$L$62,'資格有效性'!$E$7:$E$62,"未建立",0),"不需複評"))</x:f>
        <x:v>支援者另判</x:v>
      </x:c>
      <x:c r="Q184" s="48" t="n">
        <x:v>1</x:v>
      </x:c>
      <x:c r="R184" s="48" t="n">
        <x:v>30</x:v>
      </x:c>
      <x:c r="S184" s="48" t="str">
        <x:f>IF($K184&gt;0,"不可正式排",IF(OR($N184="未評估",$N184="學習中"),"不可正式排",IF(AND($L184=0,$N184="可獨立配合"),"初步可獨立",IF(AND($L184&lt;=3,$M184&lt;=1/3,OR($N184="可獨立配合",$N184="可配合但需支援")),"初步可條件排","不可正式排"))))</x:f>
        <x:v>不可正式排</x:v>
      </x:c>
      <x:c r="T184" s="53" t="str">
        <x:f>IF($C184="LJT-RPD-FINAL","固定短時支援 1 人／30 分鐘",IF($S184="初步可條件排",IF($G184="高複雜度","完整支援者 1:1（占 2 名額）","一般支援 1 名額"),"無"))</x:f>
        <x:v>固定短時支援 1 人／30 分鐘</x:v>
      </x:c>
      <x:c r="U184" s="53" t="str">
        <x:f>IF($J184&gt;0,"待確認共通技能門檻",IF($O184&lt;&gt;"已核定","待主管核定",IF(AND($G184="高複雜度",$P184&lt;&gt;"有效"),"資格未有效",$S184)))</x:f>
        <x:v>待確認共通技能門檻</x:v>
      </x:c>
      <x:c r="V184" t="str">
        <x:f>$A184&amp;"|"&amp;$C184</x:f>
        <x:v>2007|LJT-RPD-FINAL</x:v>
      </x:c>
    </x:row>
    <x:row r="185">
      <x:c r="A185" s="37" t="str">
        <x:v>2007</x:v>
      </x:c>
      <x:c r="B185" s="37" t="str"/>
      <x:c r="C185" s="37" t="str">
        <x:v>LJT-AIRPOLISH</x:v>
      </x:c>
      <x:c r="D185" s="37" t="str">
        <x:v>補綴／自費</x:v>
      </x:c>
      <x:c r="E185" s="37" t="str">
        <x:v>噴砂美白</x:v>
      </x:c>
      <x:c r="F185" s="37" t="str">
        <x:v>一般</x:v>
      </x:c>
      <x:c r="G185" s="37" t="str">
        <x:v>一般</x:v>
      </x:c>
      <x:c r="H185" s="37" t="str">
        <x:v>LJT-PREP-AIRPOLISH</x:v>
      </x:c>
      <x:c r="I185" s="48" t="n">
        <x:f>COUNTIFS('適配要求展開'!$A$7:$A$734,$A185,'適配要求展開'!$C$7:$C$734,$C185)</x:f>
        <x:v>4</x:v>
      </x:c>
      <x:c r="J185" s="48" t="n">
        <x:f>COUNTIFS('適配要求展開'!$A$7:$A$734,$A185,'適配要求展開'!$C$7:$C$734,$C185,'適配要求展開'!$I$7:$I$734,"待確認")</x:f>
        <x:v>3</x:v>
      </x:c>
      <x:c r="K185" s="48" t="n">
        <x:f>COUNTIFS('適配要求展開'!$A$7:$A$734,$A185,'適配要求展開'!$C$7:$C$734,$C185,'適配要求展開'!$N$7:$N$734,"不符合")</x:f>
        <x:v>4</x:v>
      </x:c>
      <x:c r="L185" s="48" t="n">
        <x:f>COUNTIFS('適配要求展開'!$A$7:$A$734,$A185,'適配要求展開'!$C$7:$C$734,$C185,'適配要求展開'!$L$7:$L$734,"Ø")</x:f>
        <x:v>0</x:v>
      </x:c>
      <x:c r="M185" s="51" t="n">
        <x:f>IF($I185=0,"n.a.",$L185/$I185)</x:f>
        <x:v>0</x:v>
      </x:c>
      <x:c r="N185" s="48" t="str">
        <x:f>_xlfn.XLOOKUP($A185&amp;"|李侑津醫師",'試行熟悉度'!$K$7:$K$20,'試行熟悉度'!$E$7:$E$20,"未評估",0)</x:f>
        <x:v>未評估</x:v>
      </x:c>
      <x:c r="O185" s="48" t="str">
        <x:f>IF(OR(COUNTIFS('適配要求展開'!$A$7:$A$734,$A185,'適配要求展開'!$C$7:$C$734,$C185,'適配要求展開'!$M$7:$M$734,"&lt;&gt;已核定")&gt;0,_xlfn.XLOOKUP($A185&amp;"|李侑津醫師",'試行熟悉度'!$K$7:$K$20,'試行熟悉度'!$F$7:$F$20,"未建立",0)&lt;&gt;"已核定"),"待主管核定","已核定")</x:f>
        <x:v>待主管核定</x:v>
      </x:c>
      <x:c r="P185" s="48" t="str">
        <x:f>IF($C185="LJT-RPD-FINAL","支援者另判",IF($G185="高複雜度",_xlfn.XLOOKUP($A185&amp;"|"&amp;$H185,'資格有效性'!$L$7:$L$62,'資格有效性'!$E$7:$E$62,"未建立",0),"不需複評"))</x:f>
        <x:v>不需複評</x:v>
      </x:c>
      <x:c r="Q185" s="48" t="n">
        <x:v>0</x:v>
      </x:c>
      <x:c r="R185" s="48"/>
      <x:c r="S185" s="48" t="str">
        <x:f>IF($K185&gt;0,"不可正式排",IF(OR($N185="未評估",$N185="學習中"),"不可正式排",IF(AND($L185=0,$N185="可獨立配合"),"初步可獨立",IF(AND($L185&lt;=3,$M185&lt;=1/3,OR($N185="可獨立配合",$N185="可配合但需支援")),"初步可條件排","不可正式排"))))</x:f>
        <x:v>不可正式排</x:v>
      </x:c>
      <x:c r="T185" s="53" t="str">
        <x:f>IF($C185="LJT-RPD-FINAL","固定短時支援 1 人／30 分鐘",IF($S185="初步可條件排",IF($G185="高複雜度","完整支援者 1:1（占 2 名額）","一般支援 1 名額"),"無"))</x:f>
        <x:v>無</x:v>
      </x:c>
      <x:c r="U185" s="53" t="str">
        <x:f>IF($J185&gt;0,"待確認共通技能門檻",IF($O185&lt;&gt;"已核定","待主管核定",IF(AND($G185="高複雜度",$P185&lt;&gt;"有效"),"資格未有效",$S185)))</x:f>
        <x:v>待確認共通技能門檻</x:v>
      </x:c>
      <x:c r="V185" t="str">
        <x:f>$A185&amp;"|"&amp;$C185</x:f>
        <x:v>2007|LJT-AIRPOLISH</x:v>
      </x:c>
    </x:row>
    <x:row r="186">
      <x:c r="A186" s="37" t="str">
        <x:v>2007</x:v>
      </x:c>
      <x:c r="B186" s="37" t="str"/>
      <x:c r="C186" s="37" t="str">
        <x:v>LJT-PERIOSURG</x:v>
      </x:c>
      <x:c r="D186" s="37" t="str">
        <x:v>高複雜度</x:v>
      </x:c>
      <x:c r="E186" s="37" t="str">
        <x:v>牙周手術</x:v>
      </x:c>
      <x:c r="F186" s="37" t="str">
        <x:v>一般</x:v>
      </x:c>
      <x:c r="G186" s="37" t="str">
        <x:v>高複雜度</x:v>
      </x:c>
      <x:c r="H186" s="37" t="str">
        <x:v>LJT-PREP-PERIOSURG</x:v>
      </x:c>
      <x:c r="I186" s="48" t="n">
        <x:f>COUNTIFS('適配要求展開'!$A$7:$A$734,$A186,'適配要求展開'!$C$7:$C$734,$C186)</x:f>
        <x:v>4</x:v>
      </x:c>
      <x:c r="J186" s="48" t="n">
        <x:f>COUNTIFS('適配要求展開'!$A$7:$A$734,$A186,'適配要求展開'!$C$7:$C$734,$C186,'適配要求展開'!$I$7:$I$734,"待確認")</x:f>
        <x:v>3</x:v>
      </x:c>
      <x:c r="K186" s="48" t="n">
        <x:f>COUNTIFS('適配要求展開'!$A$7:$A$734,$A186,'適配要求展開'!$C$7:$C$734,$C186,'適配要求展開'!$N$7:$N$734,"不符合")</x:f>
        <x:v>4</x:v>
      </x:c>
      <x:c r="L186" s="48" t="n">
        <x:f>COUNTIFS('適配要求展開'!$A$7:$A$734,$A186,'適配要求展開'!$C$7:$C$734,$C186,'適配要求展開'!$L$7:$L$734,"Ø")</x:f>
        <x:v>0</x:v>
      </x:c>
      <x:c r="M186" s="51" t="n">
        <x:f>IF($I186=0,"n.a.",$L186/$I186)</x:f>
        <x:v>0</x:v>
      </x:c>
      <x:c r="N186" s="48" t="str">
        <x:f>_xlfn.XLOOKUP($A186&amp;"|李侑津醫師",'試行熟悉度'!$K$7:$K$20,'試行熟悉度'!$E$7:$E$20,"未評估",0)</x:f>
        <x:v>未評估</x:v>
      </x:c>
      <x:c r="O186" s="48" t="str">
        <x:f>IF(OR(COUNTIFS('適配要求展開'!$A$7:$A$734,$A186,'適配要求展開'!$C$7:$C$734,$C186,'適配要求展開'!$M$7:$M$734,"&lt;&gt;已核定")&gt;0,_xlfn.XLOOKUP($A186&amp;"|李侑津醫師",'試行熟悉度'!$K$7:$K$20,'試行熟悉度'!$F$7:$F$20,"未建立",0)&lt;&gt;"已核定"),"待主管核定","已核定")</x:f>
        <x:v>待主管核定</x:v>
      </x:c>
      <x:c r="P186" s="48" t="str">
        <x:f>IF($C186="LJT-RPD-FINAL","支援者另判",IF($G186="高複雜度",_xlfn.XLOOKUP($A186&amp;"|"&amp;$H186,'資格有效性'!$L$7:$L$62,'資格有效性'!$E$7:$E$62,"未建立",0),"不需複評"))</x:f>
        <x:v>未建立</x:v>
      </x:c>
      <x:c r="Q186" s="48" t="n">
        <x:v>0</x:v>
      </x:c>
      <x:c r="R186" s="48"/>
      <x:c r="S186" s="48" t="str">
        <x:f>IF($K186&gt;0,"不可正式排",IF(OR($N186="未評估",$N186="學習中"),"不可正式排",IF(AND($L186=0,$N186="可獨立配合"),"初步可獨立",IF(AND($L186&lt;=3,$M186&lt;=1/3,OR($N186="可獨立配合",$N186="可配合但需支援")),"初步可條件排","不可正式排"))))</x:f>
        <x:v>不可正式排</x:v>
      </x:c>
      <x:c r="T186" s="53" t="str">
        <x:f>IF($C186="LJT-RPD-FINAL","固定短時支援 1 人／30 分鐘",IF($S186="初步可條件排",IF($G186="高複雜度","完整支援者 1:1（占 2 名額）","一般支援 1 名額"),"無"))</x:f>
        <x:v>無</x:v>
      </x:c>
      <x:c r="U186" s="53" t="str">
        <x:f>IF($J186&gt;0,"待確認共通技能門檻",IF($O186&lt;&gt;"已核定","待主管核定",IF(AND($G186="高複雜度",$P186&lt;&gt;"有效"),"資格未有效",$S186)))</x:f>
        <x:v>待確認共通技能門檻</x:v>
      </x:c>
      <x:c r="V186" t="str">
        <x:f>$A186&amp;"|"&amp;$C186</x:f>
        <x:v>2007|LJT-PERIOSURG</x:v>
      </x:c>
    </x:row>
    <x:row r="187">
      <x:c r="A187" s="37" t="str">
        <x:v>2007</x:v>
      </x:c>
      <x:c r="B187" s="37" t="str"/>
      <x:c r="C187" s="37" t="str">
        <x:v>LJT-MICROENDO</x:v>
      </x:c>
      <x:c r="D187" s="37" t="str">
        <x:v>高複雜度</x:v>
      </x:c>
      <x:c r="E187" s="37" t="str">
        <x:v>顯微根管</x:v>
      </x:c>
      <x:c r="F187" s="37" t="str">
        <x:v>一般</x:v>
      </x:c>
      <x:c r="G187" s="37" t="str">
        <x:v>高複雜度</x:v>
      </x:c>
      <x:c r="H187" s="37" t="str">
        <x:v>LJT-PREP-MICROENDO</x:v>
      </x:c>
      <x:c r="I187" s="48" t="n">
        <x:f>COUNTIFS('適配要求展開'!$A$7:$A$734,$A187,'適配要求展開'!$C$7:$C$734,$C187)</x:f>
        <x:v>4</x:v>
      </x:c>
      <x:c r="J187" s="48" t="n">
        <x:f>COUNTIFS('適配要求展開'!$A$7:$A$734,$A187,'適配要求展開'!$C$7:$C$734,$C187,'適配要求展開'!$I$7:$I$734,"待確認")</x:f>
        <x:v>3</x:v>
      </x:c>
      <x:c r="K187" s="48" t="n">
        <x:f>COUNTIFS('適配要求展開'!$A$7:$A$734,$A187,'適配要求展開'!$C$7:$C$734,$C187,'適配要求展開'!$N$7:$N$734,"不符合")</x:f>
        <x:v>4</x:v>
      </x:c>
      <x:c r="L187" s="48" t="n">
        <x:f>COUNTIFS('適配要求展開'!$A$7:$A$734,$A187,'適配要求展開'!$C$7:$C$734,$C187,'適配要求展開'!$L$7:$L$734,"Ø")</x:f>
        <x:v>0</x:v>
      </x:c>
      <x:c r="M187" s="51" t="n">
        <x:f>IF($I187=0,"n.a.",$L187/$I187)</x:f>
        <x:v>0</x:v>
      </x:c>
      <x:c r="N187" s="48" t="str">
        <x:f>_xlfn.XLOOKUP($A187&amp;"|李侑津醫師",'試行熟悉度'!$K$7:$K$20,'試行熟悉度'!$E$7:$E$20,"未評估",0)</x:f>
        <x:v>未評估</x:v>
      </x:c>
      <x:c r="O187" s="48" t="str">
        <x:f>IF(OR(COUNTIFS('適配要求展開'!$A$7:$A$734,$A187,'適配要求展開'!$C$7:$C$734,$C187,'適配要求展開'!$M$7:$M$734,"&lt;&gt;已核定")&gt;0,_xlfn.XLOOKUP($A187&amp;"|李侑津醫師",'試行熟悉度'!$K$7:$K$20,'試行熟悉度'!$F$7:$F$20,"未建立",0)&lt;&gt;"已核定"),"待主管核定","已核定")</x:f>
        <x:v>待主管核定</x:v>
      </x:c>
      <x:c r="P187" s="48" t="str">
        <x:f>IF($C187="LJT-RPD-FINAL","支援者另判",IF($G187="高複雜度",_xlfn.XLOOKUP($A187&amp;"|"&amp;$H187,'資格有效性'!$L$7:$L$62,'資格有效性'!$E$7:$E$62,"未建立",0),"不需複評"))</x:f>
        <x:v>未建立</x:v>
      </x:c>
      <x:c r="Q187" s="48" t="n">
        <x:v>0</x:v>
      </x:c>
      <x:c r="R187" s="48"/>
      <x:c r="S187" s="48" t="str">
        <x:f>IF($K187&gt;0,"不可正式排",IF(OR($N187="未評估",$N187="學習中"),"不可正式排",IF(AND($L187=0,$N187="可獨立配合"),"初步可獨立",IF(AND($L187&lt;=3,$M187&lt;=1/3,OR($N187="可獨立配合",$N187="可配合但需支援")),"初步可條件排","不可正式排"))))</x:f>
        <x:v>不可正式排</x:v>
      </x:c>
      <x:c r="T187" s="53" t="str">
        <x:f>IF($C187="LJT-RPD-FINAL","固定短時支援 1 人／30 分鐘",IF($S187="初步可條件排",IF($G187="高複雜度","完整支援者 1:1（占 2 名額）","一般支援 1 名額"),"無"))</x:f>
        <x:v>無</x:v>
      </x:c>
      <x:c r="U187" s="53" t="str">
        <x:f>IF($J187&gt;0,"待確認共通技能門檻",IF($O187&lt;&gt;"已核定","待主管核定",IF(AND($G187="高複雜度",$P187&lt;&gt;"有效"),"資格未有效",$S187)))</x:f>
        <x:v>待確認共通技能門檻</x:v>
      </x:c>
      <x:c r="V187" t="str">
        <x:f>$A187&amp;"|"&amp;$C187</x:f>
        <x:v>2007|LJT-MICROENDO</x:v>
      </x:c>
    </x:row>
    <x:row r="188">
      <x:c r="A188" s="38" t="str">
        <x:v>2007</x:v>
      </x:c>
      <x:c r="B188" s="38" t="str"/>
      <x:c r="C188" s="38" t="str">
        <x:v>LJT-IMPLANT</x:v>
      </x:c>
      <x:c r="D188" s="38" t="str">
        <x:v>高複雜度</x:v>
      </x:c>
      <x:c r="E188" s="38" t="str">
        <x:v>植牙</x:v>
      </x:c>
      <x:c r="F188" s="38" t="str">
        <x:v>一般</x:v>
      </x:c>
      <x:c r="G188" s="38" t="str">
        <x:v>高複雜度</x:v>
      </x:c>
      <x:c r="H188" s="38" t="str">
        <x:v>LJT-PREP-IMPLANT</x:v>
      </x:c>
      <x:c r="I188" s="49" t="n">
        <x:f>COUNTIFS('適配要求展開'!$A$7:$A$734,$A188,'適配要求展開'!$C$7:$C$734,$C188)</x:f>
        <x:v>4</x:v>
      </x:c>
      <x:c r="J188" s="49" t="n">
        <x:f>COUNTIFS('適配要求展開'!$A$7:$A$734,$A188,'適配要求展開'!$C$7:$C$734,$C188,'適配要求展開'!$I$7:$I$734,"待確認")</x:f>
        <x:v>3</x:v>
      </x:c>
      <x:c r="K188" s="49" t="n">
        <x:f>COUNTIFS('適配要求展開'!$A$7:$A$734,$A188,'適配要求展開'!$C$7:$C$734,$C188,'適配要求展開'!$N$7:$N$734,"不符合")</x:f>
        <x:v>4</x:v>
      </x:c>
      <x:c r="L188" s="49" t="n">
        <x:f>COUNTIFS('適配要求展開'!$A$7:$A$734,$A188,'適配要求展開'!$C$7:$C$734,$C188,'適配要求展開'!$L$7:$L$734,"Ø")</x:f>
        <x:v>0</x:v>
      </x:c>
      <x:c r="M188" s="52" t="n">
        <x:f>IF($I188=0,"n.a.",$L188/$I188)</x:f>
        <x:v>0</x:v>
      </x:c>
      <x:c r="N188" s="49" t="str">
        <x:f>_xlfn.XLOOKUP($A188&amp;"|李侑津醫師",'試行熟悉度'!$K$7:$K$20,'試行熟悉度'!$E$7:$E$20,"未評估",0)</x:f>
        <x:v>未評估</x:v>
      </x:c>
      <x:c r="O188" s="49" t="str">
        <x:f>IF(OR(COUNTIFS('適配要求展開'!$A$7:$A$734,$A188,'適配要求展開'!$C$7:$C$734,$C188,'適配要求展開'!$M$7:$M$734,"&lt;&gt;已核定")&gt;0,_xlfn.XLOOKUP($A188&amp;"|李侑津醫師",'試行熟悉度'!$K$7:$K$20,'試行熟悉度'!$F$7:$F$20,"未建立",0)&lt;&gt;"已核定"),"待主管核定","已核定")</x:f>
        <x:v>待主管核定</x:v>
      </x:c>
      <x:c r="P188" s="49" t="str">
        <x:f>IF($C188="LJT-RPD-FINAL","支援者另判",IF($G188="高複雜度",_xlfn.XLOOKUP($A188&amp;"|"&amp;$H188,'資格有效性'!$L$7:$L$62,'資格有效性'!$E$7:$E$62,"未建立",0),"不需複評"))</x:f>
        <x:v>未建立</x:v>
      </x:c>
      <x:c r="Q188" s="49" t="n">
        <x:v>0</x:v>
      </x:c>
      <x:c r="R188" s="49"/>
      <x:c r="S188" s="49" t="str">
        <x:f>IF($K188&gt;0,"不可正式排",IF(OR($N188="未評估",$N188="學習中"),"不可正式排",IF(AND($L188=0,$N188="可獨立配合"),"初步可獨立",IF(AND($L188&lt;=3,$M188&lt;=1/3,OR($N188="可獨立配合",$N188="可配合但需支援")),"初步可條件排","不可正式排"))))</x:f>
        <x:v>不可正式排</x:v>
      </x:c>
      <x:c r="T188" s="54" t="str">
        <x:f>IF($C188="LJT-RPD-FINAL","固定短時支援 1 人／30 分鐘",IF($S188="初步可條件排",IF($G188="高複雜度","完整支援者 1:1（占 2 名額）","一般支援 1 名額"),"無"))</x:f>
        <x:v>無</x:v>
      </x:c>
      <x:c r="U188" s="54" t="str">
        <x:f>IF($J188&gt;0,"待確認共通技能門檻",IF($O188&lt;&gt;"已核定","待主管核定",IF(AND($G188="高複雜度",$P188&lt;&gt;"有效"),"資格未有效",$S188)))</x:f>
        <x:v>待確認共通技能門檻</x:v>
      </x:c>
      <x:c r="V188" t="str">
        <x:f>$A188&amp;"|"&amp;$C188</x:f>
        <x:v>2007|LJT-IMPLANT</x:v>
      </x:c>
    </x:row>
  </x:sheetData>
  <x:conditionalFormatting sqref="S7:S188">
    <x:cfRule type="containsText" dxfId="5" priority="1" operator="containsText" text="初步可獨立"/>
    <x:cfRule type="containsText" dxfId="6" priority="2" operator="containsText" text="初步可條件排"/>
    <x:cfRule type="containsText" dxfId="7" priority="3" operator="containsText" text="不可正式排"/>
  </x:conditionalFormatting>
  <x:conditionalFormatting sqref="U7:U188">
    <x:cfRule type="containsText" dxfId="8" priority="4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1003e71633974aca"/>
  </x:tableParts>
</x:worksheet>
</file>

<file path=xl/worksheets/sheet1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4" hidden="0" customWidth="1"/>
    <x:col min="5" max="5" width="18" hidden="0" customWidth="1"/>
    <x:col min="6" max="6" width="18" hidden="0" customWidth="1"/>
    <x:col min="7" max="7" width="20" hidden="0" customWidth="1"/>
    <x:col min="8" max="8" width="22" hidden="0" customWidth="1"/>
    <x:col min="9" max="9" width="42" hidden="0" customWidth="1"/>
  </x:cols>
  <x:sheetData>
    <x:row r="2">
      <x:c r="A2" s="26" t="str">
        <x:v>RPD 印最終模短時支援者候選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>
      <x:c r="A4" s="28" t="str">
        <x:v>此項支援不要求李侑津醫師完整跟診熟悉度；技能須為 ◎、能力已核定且資格有效。</x:v>
      </x:c>
      <x:c r="B4" s="28"/>
      <x:c r="C4" s="28"/>
      <x:c r="D4" s="28"/>
      <x:c r="E4" s="28"/>
      <x:c r="F4" s="28"/>
      <x:c r="G4" s="28"/>
      <x:c r="H4" s="28"/>
      <x:c r="I4" s="28"/>
    </x:row>
    <x:row r="6">
      <x:c r="A6" s="36" t="str">
        <x:v>員工編號</x:v>
      </x:c>
      <x:c r="B6" s="36" t="str">
        <x:v>姓名</x:v>
      </x:c>
      <x:c r="C6" s="36" t="str">
        <x:v>技能代碼</x:v>
      </x:c>
      <x:c r="D6" s="36" t="str">
        <x:v>目前評等</x:v>
      </x:c>
      <x:c r="E6" s="36" t="str">
        <x:v>能力有效狀態</x:v>
      </x:c>
      <x:c r="F6" s="36" t="str">
        <x:v>資格狀態</x:v>
      </x:c>
      <x:c r="G6" s="36" t="str">
        <x:v>需李醫師熟悉度</x:v>
      </x:c>
      <x:c r="H6" s="36" t="str">
        <x:v>候選結果</x:v>
      </x:c>
      <x:c r="I6" s="36" t="str">
        <x:v>原因</x:v>
      </x:c>
    </x:row>
    <x:row r="7">
      <x:c r="A7" s="37" t="str">
        <x:v>1001</x:v>
      </x:c>
      <x:c r="B7" s="37" t="str"/>
      <x:c r="C7" s="37" t="str">
        <x:v>LJT-RPD-FINAL</x:v>
      </x:c>
      <x:c r="D7" s="48" t="str">
        <x:f>_xlfn.XLOOKUP($A7&amp;"|LJT-RPD-FINAL",'試行能力狀態'!$L$7:$L$258,'試行能力狀態'!$E$7:$E$258,"未評估",0)</x:f>
        <x:v>未評估</x:v>
      </x:c>
      <x:c r="E7" s="48" t="str">
        <x:f>_xlfn.XLOOKUP($A7&amp;"|LJT-RPD-FINAL",'試行能力狀態'!$L$7:$L$258,'試行能力狀態'!$F$7:$F$258,"未建立",0)</x:f>
        <x:v>未建立</x:v>
      </x:c>
      <x:c r="F7" s="48" t="str">
        <x:f>_xlfn.XLOOKUP($A7&amp;"|LJT-RPD-FINAL",'資格有效性'!$L$7:$L$62,'資格有效性'!$E$7:$E$62,"未建立",0)</x:f>
        <x:v>未建立</x:v>
      </x:c>
      <x:c r="G7" s="48" t="str">
        <x:v>否</x:v>
      </x:c>
      <x:c r="H7" s="48" t="str">
        <x:f>IF(AND($D7="◎",$E7="已核定",$F7="有效"),"可列短時支援者","尚不可列入")</x:f>
        <x:v>尚不可列入</x:v>
      </x:c>
      <x:c r="I7" s="53" t="str">
        <x:f>IF($D7&lt;&gt;"◎","技能未達 ◎",IF($E7&lt;&gt;"已核定","能力尚未核定",IF($F7&lt;&gt;"有效","資格未有效","")))</x:f>
        <x:v>技能未達 ◎</x:v>
      </x:c>
    </x:row>
    <x:row r="8">
      <x:c r="A8" s="37" t="str">
        <x:v>1004</x:v>
      </x:c>
      <x:c r="B8" s="37" t="str"/>
      <x:c r="C8" s="37" t="str">
        <x:v>LJT-RPD-FINAL</x:v>
      </x:c>
      <x:c r="D8" s="48" t="str">
        <x:f>_xlfn.XLOOKUP($A8&amp;"|LJT-RPD-FINAL",'試行能力狀態'!$L$7:$L$258,'試行能力狀態'!$E$7:$E$258,"未評估",0)</x:f>
        <x:v>未評估</x:v>
      </x:c>
      <x:c r="E8" s="48" t="str">
        <x:f>_xlfn.XLOOKUP($A8&amp;"|LJT-RPD-FINAL",'試行能力狀態'!$L$7:$L$258,'試行能力狀態'!$F$7:$F$258,"未建立",0)</x:f>
        <x:v>未建立</x:v>
      </x:c>
      <x:c r="F8" s="48" t="str">
        <x:f>_xlfn.XLOOKUP($A8&amp;"|LJT-RPD-FINAL",'資格有效性'!$L$7:$L$62,'資格有效性'!$E$7:$E$62,"未建立",0)</x:f>
        <x:v>未建立</x:v>
      </x:c>
      <x:c r="G8" s="48" t="str">
        <x:v>否</x:v>
      </x:c>
      <x:c r="H8" s="48" t="str">
        <x:f>IF(AND($D8="◎",$E8="已核定",$F8="有效"),"可列短時支援者","尚不可列入")</x:f>
        <x:v>尚不可列入</x:v>
      </x:c>
      <x:c r="I8" s="53" t="str">
        <x:f>IF($D8&lt;&gt;"◎","技能未達 ◎",IF($E8&lt;&gt;"已核定","能力尚未核定",IF($F8&lt;&gt;"有效","資格未有效","")))</x:f>
        <x:v>技能未達 ◎</x:v>
      </x:c>
    </x:row>
    <x:row r="9">
      <x:c r="A9" s="37" t="str">
        <x:v>1013</x:v>
      </x:c>
      <x:c r="B9" s="37" t="str"/>
      <x:c r="C9" s="37" t="str">
        <x:v>LJT-RPD-FINAL</x:v>
      </x:c>
      <x:c r="D9" s="48" t="str">
        <x:f>_xlfn.XLOOKUP($A9&amp;"|LJT-RPD-FINAL",'試行能力狀態'!$L$7:$L$258,'試行能力狀態'!$E$7:$E$258,"未評估",0)</x:f>
        <x:v>未評估</x:v>
      </x:c>
      <x:c r="E9" s="48" t="str">
        <x:f>_xlfn.XLOOKUP($A9&amp;"|LJT-RPD-FINAL",'試行能力狀態'!$L$7:$L$258,'試行能力狀態'!$F$7:$F$258,"未建立",0)</x:f>
        <x:v>未建立</x:v>
      </x:c>
      <x:c r="F9" s="48" t="str">
        <x:f>_xlfn.XLOOKUP($A9&amp;"|LJT-RPD-FINAL",'資格有效性'!$L$7:$L$62,'資格有效性'!$E$7:$E$62,"未建立",0)</x:f>
        <x:v>未建立</x:v>
      </x:c>
      <x:c r="G9" s="48" t="str">
        <x:v>否</x:v>
      </x:c>
      <x:c r="H9" s="48" t="str">
        <x:f>IF(AND($D9="◎",$E9="已核定",$F9="有效"),"可列短時支援者","尚不可列入")</x:f>
        <x:v>尚不可列入</x:v>
      </x:c>
      <x:c r="I9" s="53" t="str">
        <x:f>IF($D9&lt;&gt;"◎","技能未達 ◎",IF($E9&lt;&gt;"已核定","能力尚未核定",IF($F9&lt;&gt;"有效","資格未有效","")))</x:f>
        <x:v>技能未達 ◎</x:v>
      </x:c>
    </x:row>
    <x:row r="10">
      <x:c r="A10" s="37" t="str">
        <x:v>1019</x:v>
      </x:c>
      <x:c r="B10" s="37" t="str"/>
      <x:c r="C10" s="37" t="str">
        <x:v>LJT-RPD-FINAL</x:v>
      </x:c>
      <x:c r="D10" s="48" t="str">
        <x:f>_xlfn.XLOOKUP($A10&amp;"|LJT-RPD-FINAL",'試行能力狀態'!$L$7:$L$258,'試行能力狀態'!$E$7:$E$258,"未評估",0)</x:f>
        <x:v>未評估</x:v>
      </x:c>
      <x:c r="E10" s="48" t="str">
        <x:f>_xlfn.XLOOKUP($A10&amp;"|LJT-RPD-FINAL",'試行能力狀態'!$L$7:$L$258,'試行能力狀態'!$F$7:$F$258,"未建立",0)</x:f>
        <x:v>未建立</x:v>
      </x:c>
      <x:c r="F10" s="48" t="str">
        <x:f>_xlfn.XLOOKUP($A10&amp;"|LJT-RPD-FINAL",'資格有效性'!$L$7:$L$62,'資格有效性'!$E$7:$E$62,"未建立",0)</x:f>
        <x:v>未建立</x:v>
      </x:c>
      <x:c r="G10" s="48" t="str">
        <x:v>否</x:v>
      </x:c>
      <x:c r="H10" s="48" t="str">
        <x:f>IF(AND($D10="◎",$E10="已核定",$F10="有效"),"可列短時支援者","尚不可列入")</x:f>
        <x:v>尚不可列入</x:v>
      </x:c>
      <x:c r="I10" s="53" t="str">
        <x:f>IF($D10&lt;&gt;"◎","技能未達 ◎",IF($E10&lt;&gt;"已核定","能力尚未核定",IF($F10&lt;&gt;"有效","資格未有效","")))</x:f>
        <x:v>技能未達 ◎</x:v>
      </x:c>
    </x:row>
    <x:row r="11">
      <x:c r="A11" s="37" t="str">
        <x:v>1020</x:v>
      </x:c>
      <x:c r="B11" s="37" t="str"/>
      <x:c r="C11" s="37" t="str">
        <x:v>LJT-RPD-FINAL</x:v>
      </x:c>
      <x:c r="D11" s="48" t="str">
        <x:f>_xlfn.XLOOKUP($A11&amp;"|LJT-RPD-FINAL",'試行能力狀態'!$L$7:$L$258,'試行能力狀態'!$E$7:$E$258,"未評估",0)</x:f>
        <x:v>未評估</x:v>
      </x:c>
      <x:c r="E11" s="48" t="str">
        <x:f>_xlfn.XLOOKUP($A11&amp;"|LJT-RPD-FINAL",'試行能力狀態'!$L$7:$L$258,'試行能力狀態'!$F$7:$F$258,"未建立",0)</x:f>
        <x:v>未建立</x:v>
      </x:c>
      <x:c r="F11" s="48" t="str">
        <x:f>_xlfn.XLOOKUP($A11&amp;"|LJT-RPD-FINAL",'資格有效性'!$L$7:$L$62,'資格有效性'!$E$7:$E$62,"未建立",0)</x:f>
        <x:v>未建立</x:v>
      </x:c>
      <x:c r="G11" s="48" t="str">
        <x:v>否</x:v>
      </x:c>
      <x:c r="H11" s="48" t="str">
        <x:f>IF(AND($D11="◎",$E11="已核定",$F11="有效"),"可列短時支援者","尚不可列入")</x:f>
        <x:v>尚不可列入</x:v>
      </x:c>
      <x:c r="I11" s="53" t="str">
        <x:f>IF($D11&lt;&gt;"◎","技能未達 ◎",IF($E11&lt;&gt;"已核定","能力尚未核定",IF($F11&lt;&gt;"有效","資格未有效","")))</x:f>
        <x:v>技能未達 ◎</x:v>
      </x:c>
    </x:row>
    <x:row r="12">
      <x:c r="A12" s="37" t="str">
        <x:v>1025</x:v>
      </x:c>
      <x:c r="B12" s="37" t="str"/>
      <x:c r="C12" s="37" t="str">
        <x:v>LJT-RPD-FINAL</x:v>
      </x:c>
      <x:c r="D12" s="48" t="str">
        <x:f>_xlfn.XLOOKUP($A12&amp;"|LJT-RPD-FINAL",'試行能力狀態'!$L$7:$L$258,'試行能力狀態'!$E$7:$E$258,"未評估",0)</x:f>
        <x:v>未評估</x:v>
      </x:c>
      <x:c r="E12" s="48" t="str">
        <x:f>_xlfn.XLOOKUP($A12&amp;"|LJT-RPD-FINAL",'試行能力狀態'!$L$7:$L$258,'試行能力狀態'!$F$7:$F$258,"未建立",0)</x:f>
        <x:v>未建立</x:v>
      </x:c>
      <x:c r="F12" s="48" t="str">
        <x:f>_xlfn.XLOOKUP($A12&amp;"|LJT-RPD-FINAL",'資格有效性'!$L$7:$L$62,'資格有效性'!$E$7:$E$62,"未建立",0)</x:f>
        <x:v>未建立</x:v>
      </x:c>
      <x:c r="G12" s="48" t="str">
        <x:v>否</x:v>
      </x:c>
      <x:c r="H12" s="48" t="str">
        <x:f>IF(AND($D12="◎",$E12="已核定",$F12="有效"),"可列短時支援者","尚不可列入")</x:f>
        <x:v>尚不可列入</x:v>
      </x:c>
      <x:c r="I12" s="53" t="str">
        <x:f>IF($D12&lt;&gt;"◎","技能未達 ◎",IF($E12&lt;&gt;"已核定","能力尚未核定",IF($F12&lt;&gt;"有效","資格未有效","")))</x:f>
        <x:v>技能未達 ◎</x:v>
      </x:c>
    </x:row>
    <x:row r="13">
      <x:c r="A13" s="37" t="str">
        <x:v>1026</x:v>
      </x:c>
      <x:c r="B13" s="37" t="str"/>
      <x:c r="C13" s="37" t="str">
        <x:v>LJT-RPD-FINAL</x:v>
      </x:c>
      <x:c r="D13" s="48" t="str">
        <x:f>_xlfn.XLOOKUP($A13&amp;"|LJT-RPD-FINAL",'試行能力狀態'!$L$7:$L$258,'試行能力狀態'!$E$7:$E$258,"未評估",0)</x:f>
        <x:v>未評估</x:v>
      </x:c>
      <x:c r="E13" s="48" t="str">
        <x:f>_xlfn.XLOOKUP($A13&amp;"|LJT-RPD-FINAL",'試行能力狀態'!$L$7:$L$258,'試行能力狀態'!$F$7:$F$258,"未建立",0)</x:f>
        <x:v>未建立</x:v>
      </x:c>
      <x:c r="F13" s="48" t="str">
        <x:f>_xlfn.XLOOKUP($A13&amp;"|LJT-RPD-FINAL",'資格有效性'!$L$7:$L$62,'資格有效性'!$E$7:$E$62,"未建立",0)</x:f>
        <x:v>未建立</x:v>
      </x:c>
      <x:c r="G13" s="48" t="str">
        <x:v>否</x:v>
      </x:c>
      <x:c r="H13" s="48" t="str">
        <x:f>IF(AND($D13="◎",$E13="已核定",$F13="有效"),"可列短時支援者","尚不可列入")</x:f>
        <x:v>尚不可列入</x:v>
      </x:c>
      <x:c r="I13" s="53" t="str">
        <x:f>IF($D13&lt;&gt;"◎","技能未達 ◎",IF($E13&lt;&gt;"已核定","能力尚未核定",IF($F13&lt;&gt;"有效","資格未有效","")))</x:f>
        <x:v>技能未達 ◎</x:v>
      </x:c>
    </x:row>
    <x:row r="14">
      <x:c r="A14" s="37" t="str">
        <x:v>1027</x:v>
      </x:c>
      <x:c r="B14" s="37" t="str"/>
      <x:c r="C14" s="37" t="str">
        <x:v>LJT-RPD-FINAL</x:v>
      </x:c>
      <x:c r="D14" s="48" t="str">
        <x:f>_xlfn.XLOOKUP($A14&amp;"|LJT-RPD-FINAL",'試行能力狀態'!$L$7:$L$258,'試行能力狀態'!$E$7:$E$258,"未評估",0)</x:f>
        <x:v>未評估</x:v>
      </x:c>
      <x:c r="E14" s="48" t="str">
        <x:f>_xlfn.XLOOKUP($A14&amp;"|LJT-RPD-FINAL",'試行能力狀態'!$L$7:$L$258,'試行能力狀態'!$F$7:$F$258,"未建立",0)</x:f>
        <x:v>未建立</x:v>
      </x:c>
      <x:c r="F14" s="48" t="str">
        <x:f>_xlfn.XLOOKUP($A14&amp;"|LJT-RPD-FINAL",'資格有效性'!$L$7:$L$62,'資格有效性'!$E$7:$E$62,"未建立",0)</x:f>
        <x:v>未建立</x:v>
      </x:c>
      <x:c r="G14" s="48" t="str">
        <x:v>否</x:v>
      </x:c>
      <x:c r="H14" s="48" t="str">
        <x:f>IF(AND($D14="◎",$E14="已核定",$F14="有效"),"可列短時支援者","尚不可列入")</x:f>
        <x:v>尚不可列入</x:v>
      </x:c>
      <x:c r="I14" s="53" t="str">
        <x:f>IF($D14&lt;&gt;"◎","技能未達 ◎",IF($E14&lt;&gt;"已核定","能力尚未核定",IF($F14&lt;&gt;"有效","資格未有效","")))</x:f>
        <x:v>技能未達 ◎</x:v>
      </x:c>
    </x:row>
    <x:row r="15">
      <x:c r="A15" s="37" t="str">
        <x:v>1028</x:v>
      </x:c>
      <x:c r="B15" s="37" t="str"/>
      <x:c r="C15" s="37" t="str">
        <x:v>LJT-RPD-FINAL</x:v>
      </x:c>
      <x:c r="D15" s="48" t="str">
        <x:f>_xlfn.XLOOKUP($A15&amp;"|LJT-RPD-FINAL",'試行能力狀態'!$L$7:$L$258,'試行能力狀態'!$E$7:$E$258,"未評估",0)</x:f>
        <x:v>未評估</x:v>
      </x:c>
      <x:c r="E15" s="48" t="str">
        <x:f>_xlfn.XLOOKUP($A15&amp;"|LJT-RPD-FINAL",'試行能力狀態'!$L$7:$L$258,'試行能力狀態'!$F$7:$F$258,"未建立",0)</x:f>
        <x:v>未建立</x:v>
      </x:c>
      <x:c r="F15" s="48" t="str">
        <x:f>_xlfn.XLOOKUP($A15&amp;"|LJT-RPD-FINAL",'資格有效性'!$L$7:$L$62,'資格有效性'!$E$7:$E$62,"未建立",0)</x:f>
        <x:v>未建立</x:v>
      </x:c>
      <x:c r="G15" s="48" t="str">
        <x:v>否</x:v>
      </x:c>
      <x:c r="H15" s="48" t="str">
        <x:f>IF(AND($D15="◎",$E15="已核定",$F15="有效"),"可列短時支援者","尚不可列入")</x:f>
        <x:v>尚不可列入</x:v>
      </x:c>
      <x:c r="I15" s="53" t="str">
        <x:f>IF($D15&lt;&gt;"◎","技能未達 ◎",IF($E15&lt;&gt;"已核定","能力尚未核定",IF($F15&lt;&gt;"有效","資格未有效","")))</x:f>
        <x:v>技能未達 ◎</x:v>
      </x:c>
    </x:row>
    <x:row r="16">
      <x:c r="A16" s="37" t="str">
        <x:v>1029</x:v>
      </x:c>
      <x:c r="B16" s="37" t="str"/>
      <x:c r="C16" s="37" t="str">
        <x:v>LJT-RPD-FINAL</x:v>
      </x:c>
      <x:c r="D16" s="48" t="str">
        <x:f>_xlfn.XLOOKUP($A16&amp;"|LJT-RPD-FINAL",'試行能力狀態'!$L$7:$L$258,'試行能力狀態'!$E$7:$E$258,"未評估",0)</x:f>
        <x:v>未評估</x:v>
      </x:c>
      <x:c r="E16" s="48" t="str">
        <x:f>_xlfn.XLOOKUP($A16&amp;"|LJT-RPD-FINAL",'試行能力狀態'!$L$7:$L$258,'試行能力狀態'!$F$7:$F$258,"未建立",0)</x:f>
        <x:v>未建立</x:v>
      </x:c>
      <x:c r="F16" s="48" t="str">
        <x:f>_xlfn.XLOOKUP($A16&amp;"|LJT-RPD-FINAL",'資格有效性'!$L$7:$L$62,'資格有效性'!$E$7:$E$62,"未建立",0)</x:f>
        <x:v>未建立</x:v>
      </x:c>
      <x:c r="G16" s="48" t="str">
        <x:v>否</x:v>
      </x:c>
      <x:c r="H16" s="48" t="str">
        <x:f>IF(AND($D16="◎",$E16="已核定",$F16="有效"),"可列短時支援者","尚不可列入")</x:f>
        <x:v>尚不可列入</x:v>
      </x:c>
      <x:c r="I16" s="53" t="str">
        <x:f>IF($D16&lt;&gt;"◎","技能未達 ◎",IF($E16&lt;&gt;"已核定","能力尚未核定",IF($F16&lt;&gt;"有效","資格未有效","")))</x:f>
        <x:v>技能未達 ◎</x:v>
      </x:c>
    </x:row>
    <x:row r="17">
      <x:c r="A17" s="37" t="str">
        <x:v>1030</x:v>
      </x:c>
      <x:c r="B17" s="37" t="str"/>
      <x:c r="C17" s="37" t="str">
        <x:v>LJT-RPD-FINAL</x:v>
      </x:c>
      <x:c r="D17" s="48" t="str">
        <x:f>_xlfn.XLOOKUP($A17&amp;"|LJT-RPD-FINAL",'試行能力狀態'!$L$7:$L$258,'試行能力狀態'!$E$7:$E$258,"未評估",0)</x:f>
        <x:v>未評估</x:v>
      </x:c>
      <x:c r="E17" s="48" t="str">
        <x:f>_xlfn.XLOOKUP($A17&amp;"|LJT-RPD-FINAL",'試行能力狀態'!$L$7:$L$258,'試行能力狀態'!$F$7:$F$258,"未建立",0)</x:f>
        <x:v>未建立</x:v>
      </x:c>
      <x:c r="F17" s="48" t="str">
        <x:f>_xlfn.XLOOKUP($A17&amp;"|LJT-RPD-FINAL",'資格有效性'!$L$7:$L$62,'資格有效性'!$E$7:$E$62,"未建立",0)</x:f>
        <x:v>未建立</x:v>
      </x:c>
      <x:c r="G17" s="48" t="str">
        <x:v>否</x:v>
      </x:c>
      <x:c r="H17" s="48" t="str">
        <x:f>IF(AND($D17="◎",$E17="已核定",$F17="有效"),"可列短時支援者","尚不可列入")</x:f>
        <x:v>尚不可列入</x:v>
      </x:c>
      <x:c r="I17" s="53" t="str">
        <x:f>IF($D17&lt;&gt;"◎","技能未達 ◎",IF($E17&lt;&gt;"已核定","能力尚未核定",IF($F17&lt;&gt;"有效","資格未有效","")))</x:f>
        <x:v>技能未達 ◎</x:v>
      </x:c>
    </x:row>
    <x:row r="18">
      <x:c r="A18" s="37" t="str">
        <x:v>1031</x:v>
      </x:c>
      <x:c r="B18" s="37" t="str"/>
      <x:c r="C18" s="37" t="str">
        <x:v>LJT-RPD-FINAL</x:v>
      </x:c>
      <x:c r="D18" s="48" t="str">
        <x:f>_xlfn.XLOOKUP($A18&amp;"|LJT-RPD-FINAL",'試行能力狀態'!$L$7:$L$258,'試行能力狀態'!$E$7:$E$258,"未評估",0)</x:f>
        <x:v>未評估</x:v>
      </x:c>
      <x:c r="E18" s="48" t="str">
        <x:f>_xlfn.XLOOKUP($A18&amp;"|LJT-RPD-FINAL",'試行能力狀態'!$L$7:$L$258,'試行能力狀態'!$F$7:$F$258,"未建立",0)</x:f>
        <x:v>未建立</x:v>
      </x:c>
      <x:c r="F18" s="48" t="str">
        <x:f>_xlfn.XLOOKUP($A18&amp;"|LJT-RPD-FINAL",'資格有效性'!$L$7:$L$62,'資格有效性'!$E$7:$E$62,"未建立",0)</x:f>
        <x:v>未建立</x:v>
      </x:c>
      <x:c r="G18" s="48" t="str">
        <x:v>否</x:v>
      </x:c>
      <x:c r="H18" s="48" t="str">
        <x:f>IF(AND($D18="◎",$E18="已核定",$F18="有效"),"可列短時支援者","尚不可列入")</x:f>
        <x:v>尚不可列入</x:v>
      </x:c>
      <x:c r="I18" s="53" t="str">
        <x:f>IF($D18&lt;&gt;"◎","技能未達 ◎",IF($E18&lt;&gt;"已核定","能力尚未核定",IF($F18&lt;&gt;"有效","資格未有效","")))</x:f>
        <x:v>技能未達 ◎</x:v>
      </x:c>
    </x:row>
    <x:row r="19">
      <x:c r="A19" s="37" t="str">
        <x:v>2006</x:v>
      </x:c>
      <x:c r="B19" s="37" t="str"/>
      <x:c r="C19" s="37" t="str">
        <x:v>LJT-RPD-FINAL</x:v>
      </x:c>
      <x:c r="D19" s="48" t="str">
        <x:f>_xlfn.XLOOKUP($A19&amp;"|LJT-RPD-FINAL",'試行能力狀態'!$L$7:$L$258,'試行能力狀態'!$E$7:$E$258,"未評估",0)</x:f>
        <x:v>未評估</x:v>
      </x:c>
      <x:c r="E19" s="48" t="str">
        <x:f>_xlfn.XLOOKUP($A19&amp;"|LJT-RPD-FINAL",'試行能力狀態'!$L$7:$L$258,'試行能力狀態'!$F$7:$F$258,"未建立",0)</x:f>
        <x:v>未建立</x:v>
      </x:c>
      <x:c r="F19" s="48" t="str">
        <x:f>_xlfn.XLOOKUP($A19&amp;"|LJT-RPD-FINAL",'資格有效性'!$L$7:$L$62,'資格有效性'!$E$7:$E$62,"未建立",0)</x:f>
        <x:v>未建立</x:v>
      </x:c>
      <x:c r="G19" s="48" t="str">
        <x:v>否</x:v>
      </x:c>
      <x:c r="H19" s="48" t="str">
        <x:f>IF(AND($D19="◎",$E19="已核定",$F19="有效"),"可列短時支援者","尚不可列入")</x:f>
        <x:v>尚不可列入</x:v>
      </x:c>
      <x:c r="I19" s="53" t="str">
        <x:f>IF($D19&lt;&gt;"◎","技能未達 ◎",IF($E19&lt;&gt;"已核定","能力尚未核定",IF($F19&lt;&gt;"有效","資格未有效","")))</x:f>
        <x:v>技能未達 ◎</x:v>
      </x:c>
    </x:row>
    <x:row r="20">
      <x:c r="A20" s="38" t="str">
        <x:v>2007</x:v>
      </x:c>
      <x:c r="B20" s="38" t="str"/>
      <x:c r="C20" s="38" t="str">
        <x:v>LJT-RPD-FINAL</x:v>
      </x:c>
      <x:c r="D20" s="49" t="str">
        <x:f>_xlfn.XLOOKUP($A20&amp;"|LJT-RPD-FINAL",'試行能力狀態'!$L$7:$L$258,'試行能力狀態'!$E$7:$E$258,"未評估",0)</x:f>
        <x:v>未評估</x:v>
      </x:c>
      <x:c r="E20" s="49" t="str">
        <x:f>_xlfn.XLOOKUP($A20&amp;"|LJT-RPD-FINAL",'試行能力狀態'!$L$7:$L$258,'試行能力狀態'!$F$7:$F$258,"未建立",0)</x:f>
        <x:v>未建立</x:v>
      </x:c>
      <x:c r="F20" s="49" t="str">
        <x:f>_xlfn.XLOOKUP($A20&amp;"|LJT-RPD-FINAL",'資格有效性'!$L$7:$L$62,'資格有效性'!$E$7:$E$62,"未建立",0)</x:f>
        <x:v>未建立</x:v>
      </x:c>
      <x:c r="G20" s="49" t="str">
        <x:v>否</x:v>
      </x:c>
      <x:c r="H20" s="49" t="str">
        <x:f>IF(AND($D20="◎",$E20="已核定",$F20="有效"),"可列短時支援者","尚不可列入")</x:f>
        <x:v>尚不可列入</x:v>
      </x:c>
      <x:c r="I20" s="54" t="str">
        <x:f>IF($D20&lt;&gt;"◎","技能未達 ◎",IF($E20&lt;&gt;"已核定","能力尚未核定",IF($F20&lt;&gt;"有效","資格未有效","")))</x:f>
        <x:v>技能未達 ◎</x:v>
      </x:c>
    </x:row>
  </x:sheetData>
  <x:conditionalFormatting sqref="H7:H20">
    <x:cfRule type="containsText" dxfId="9" priority="1" operator="containsText" text="可列短時支援者"/>
    <x:cfRule type="containsText" dxfId="10" priority="2" operator="containsText" text="尚不可列入"/>
  </x:conditionalFormatting>
  <x:pageMargins left="0.7" right="0.7" top="0.75" bottom="0.75" header="0.3" footer="0.3"/>
  <x:tableParts count="1">
    <x:tablePart xmlns:r="http://schemas.openxmlformats.org/officeDocument/2006/relationships" r:id="Rb0beb780c9cf4209"/>
  </x:tableParts>
</x:worksheet>
</file>

<file path=xl/worksheets/sheet16.xml><?xml version="1.0" encoding="utf-8"?>
<x:worksheet xmlns:x="http://schemas.openxmlformats.org/spreadsheetml/2006/main">
  <x:sheetPr>
    <x:tabColor rgb="FF1F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22" hidden="0" customWidth="1"/>
    <x:col min="4" max="4" width="54" hidden="0" customWidth="1"/>
  </x:cols>
  <x:sheetData>
    <x:row r="2">
      <x:c r="A2" s="26" t="str">
        <x:v>診所助理能力模型續作總覽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>
      <x:c r="A4" s="28" t="str">
        <x:v>已保留原始三張工作表；本次新增第一版最小資料結構與李侑津醫師試行資料。未經主管核定的轉換資料不直接視為可排班。 </x:v>
      </x:c>
      <x:c r="B4" s="28"/>
      <x:c r="C4" s="28"/>
      <x:c r="D4" s="28"/>
      <x:c r="E4" s="28"/>
      <x:c r="F4" s="28"/>
      <x:c r="G4" s="28"/>
      <x:c r="H4" s="28"/>
      <x:c r="I4" s="28"/>
      <x:c r="J4" s="28"/>
    </x:row>
    <x:row r="6">
      <x:c r="A6" s="57" t="str">
        <x:v>建置項目</x:v>
      </x:c>
      <x:c r="B6" s="57" t="str">
        <x:v>目前數量</x:v>
      </x:c>
      <x:c r="C6" s="57" t="str">
        <x:v>狀態</x:v>
      </x:c>
      <x:c r="D6" s="57" t="str">
        <x:v>說明</x:v>
      </x:c>
    </x:row>
    <x:row r="7">
      <x:c r="A7" s="61" t="str">
        <x:v>最小邏輯資料表</x:v>
      </x:c>
      <x:c r="B7" s="64" t="n">
        <x:f>COUNTA('資料字典'!A7:A24)</x:f>
        <x:v>18</x:v>
      </x:c>
      <x:c r="C7" s="58" t="str">
        <x:v>完成</x:v>
      </x:c>
      <x:c r="D7" s="58" t="str">
        <x:v>18 張表已定義最小欄位</x:v>
      </x:c>
    </x:row>
    <x:row r="8">
      <x:c r="A8" s="62" t="str">
        <x:v>試行技能</x:v>
      </x:c>
      <x:c r="B8" s="65" t="n">
        <x:f>COUNTA('技能主檔_V1'!A7:A100)</x:f>
        <x:v>18</x:v>
      </x:c>
      <x:c r="C8" s="59" t="str">
        <x:v>試行</x:v>
      </x:c>
      <x:c r="D8" s="59" t="str">
        <x:v>含共通技能、高複雜度與 RPD 印最終模</x:v>
      </x:c>
    </x:row>
    <x:row r="9">
      <x:c r="A9" s="62" t="str">
        <x:v>治療模式／階段</x:v>
      </x:c>
      <x:c r="B9" s="65" t="n">
        <x:f>COUNTA('李醫師治療模式'!A7:A100)</x:f>
        <x:v>13</x:v>
      </x:c>
      <x:c r="C9" s="59" t="str">
        <x:v>試行</x:v>
      </x:c>
      <x:c r="D9" s="59" t="str">
        <x:v>13 個治療／療程階段</x:v>
      </x:c>
    </x:row>
    <x:row r="10">
      <x:c r="A10" s="62" t="str">
        <x:v>能力要求</x:v>
      </x:c>
      <x:c r="B10" s="65" t="n">
        <x:f>COUNTA('李醫師能力要求'!A7:A200)</x:f>
        <x:v>53</x:v>
      </x:c>
      <x:c r="C10" s="59" t="str">
        <x:v>部分待確認</x:v>
      </x:c>
      <x:c r="D10" s="59" t="str">
        <x:v>治療專屬要求已建，共通技能門檻待逐項確認</x:v>
      </x:c>
    </x:row>
    <x:row r="11">
      <x:c r="A11" s="62" t="str">
        <x:v>試行員工</x:v>
      </x:c>
      <x:c r="B11" s="65" t="n">
        <x:f>COUNTA('試行員工主檔'!A7:A100)</x:f>
        <x:v>14</x:v>
      </x:c>
      <x:c r="C11" s="59" t="str">
        <x:v>核定流程已建立</x:v>
      </x:c>
      <x:c r="D11" s="59" t="str">
        <x:v>能力、熟悉度、共通要求與資格均由主管核定中心回寫</x:v>
      </x:c>
    </x:row>
    <x:row r="12">
      <x:c r="A12" s="62" t="str">
        <x:v>初始能力紀錄</x:v>
      </x:c>
      <x:c r="B12" s="65" t="n">
        <x:f>COUNTA('試行能力狀態'!A7:A500)</x:f>
        <x:v>252</x:v>
      </x:c>
      <x:c r="C12" s="59" t="str">
        <x:v>考核與複評流程已建立</x:v>
      </x:c>
      <x:c r="D12" s="59" t="str">
        <x:v>正式考核、觀察、面談異議及複評待辦已接入</x:v>
      </x:c>
    </x:row>
    <x:row r="13">
      <x:c r="A13" s="63" t="str">
        <x:v>員工×治療模式試算</x:v>
      </x:c>
      <x:c r="B13" s="66" t="n">
        <x:f>COUNTA('排班適配試算'!A7:A300)</x:f>
        <x:v>182</x:v>
      </x:c>
      <x:c r="C13" s="60" t="str">
        <x:v>能力升級流程已建立</x:v>
      </x:c>
      <x:c r="D13" s="60" t="str">
        <x:v>三次跨日成功觀察與面談後，仍須主管核定</x:v>
      </x:c>
    </x:row>
    <x:row r="14">
      <x:c r="C14" t="str">
        <x:v>資格恢復流程已建立</x:v>
      </x:c>
      <x:c r="D14" t="str">
        <x:v>補訓、複評、資料一致與主管核定後回寫新效期</x:v>
      </x:c>
    </x:row>
    <x:row r="15">
      <x:c r="A15" s="57" t="str">
        <x:v>待確認事項</x:v>
      </x:c>
      <x:c r="B15" s="57" t="str">
        <x:v>影響</x:v>
      </x:c>
      <x:c r="C15" s="57" t="str">
        <x:v>主管工作台已建立</x:v>
      </x:c>
      <x:c r="D15" s="57" t="str">
        <x:v>每日待辦與操作順序集中顯示</x:v>
      </x:c>
    </x:row>
    <x:row r="16">
      <x:c r="A16" s="58" t="str">
        <x:v>逐模式確認病歷、健保與 X 光紀錄是否為必備</x:v>
      </x:c>
      <x:c r="B16" s="58" t="str">
        <x:v>影響正式排班門檻</x:v>
      </x:c>
      <x:c r="C16" s="58" t="str">
        <x:v>助理長／各組主管</x:v>
      </x:c>
      <x:c r="D16" s="67" t="str">
        <x:v>待確認</x:v>
      </x:c>
    </x:row>
    <x:row r="17">
      <x:c r="A17" s="59" t="str">
        <x:v>核定由舊跟診順暢度轉換的熟悉度</x:v>
      </x:c>
      <x:c r="B17" s="59" t="str">
        <x:v>影響可獨立配合</x:v>
      </x:c>
      <x:c r="C17" s="59" t="str">
        <x:v>助理主管</x:v>
      </x:c>
      <x:c r="D17" s="68" t="str">
        <x:v>待確認</x:v>
      </x:c>
    </x:row>
    <x:row r="18">
      <x:c r="A18" s="59" t="str">
        <x:v>補建 RPD 印最終模的獨立考核結果</x:v>
      </x:c>
      <x:c r="B18" s="59" t="str">
        <x:v>影響短時支援者資格</x:v>
      </x:c>
      <x:c r="C18" s="59" t="str">
        <x:v>助理主管</x:v>
      </x:c>
      <x:c r="D18" s="68" t="str">
        <x:v>待確認</x:v>
      </x:c>
    </x:row>
    <x:row r="19">
      <x:c r="A19" s="59" t="str">
        <x:v>指定正職／兼職能力路徑、培訓組與主管</x:v>
      </x:c>
      <x:c r="B19" s="59" t="str">
        <x:v>影響培訓與權限</x:v>
      </x:c>
      <x:c r="C19" s="59" t="str">
        <x:v>事件與限制流程已建立</x:v>
      </x:c>
      <x:c r="D19" s="68" t="str">
        <x:v>直接相關技能可暫停，結束後回復原核定狀態</x:v>
      </x:c>
    </x:row>
    <x:row r="20">
      <x:c r="A20" s="59" t="str">
        <x:v>匯入正職流動三級、兼職流動六級</x:v>
      </x:c>
      <x:c r="B20" s="59" t="str">
        <x:v>影響流動崗位判定</x:v>
      </x:c>
      <x:c r="C20" s="59" t="str">
        <x:v>助理長</x:v>
      </x:c>
      <x:c r="D20" s="69" t="str">
        <x:v>第二階段</x:v>
      </x:c>
    </x:row>
    <x:row r="21">
      <x:c r="A21" s="60" t="str">
        <x:v>其他醫師模式規則</x:v>
      </x:c>
      <x:c r="B21" s="66" t="n">
        <x:v>8</x:v>
      </x:c>
      <x:c r="C21" s="60" t="str">
        <x:v>待正式內容，收件骨架已預建</x:v>
      </x:c>
      <x:c r="D21" s="70" t="str">
        <x:v>已列出來源工作簿中的其餘 8 位醫師，不推定臨床門檻</x:v>
      </x:c>
    </x:row>
    <x:row r="22">
      <x:c r="A22" t="str">
        <x:v>正／兼職流動層級</x:v>
      </x:c>
      <x:c r="B22" s="228" t="n">
        <x:v>9</x:v>
      </x:c>
      <x:c r="C22" t="str">
        <x:v>待正式內容，收件骨架已預建</x:v>
      </x:c>
      <x:c r="D22" t="str">
        <x:v>已預列正職 3 級與兼職 6 級；任務條件待提供</x:v>
      </x:c>
    </x:row>
    <x:row r="23">
      <x:c r="A23" t="str">
        <x:v>Lv.1–Lv.10 職級矩陣</x:v>
      </x:c>
      <x:c r="B23" s="228" t="n">
        <x:v>10</x:v>
      </x:c>
      <x:c r="C23" t="str">
        <x:v>待正式內容，收件骨架已預建</x:v>
      </x:c>
      <x:c r="D23" t="str">
        <x:v>已預列 10 個正式職級；升級條件仍須人工核定</x:v>
      </x:c>
    </x:row>
    <x:row r="25">
      <x:c r="C25" t="str">
        <x:v>療程確認流程已建立</x:v>
      </x:c>
      <x:c r="D25" t="str">
        <x:v>三週標記、一週確認、異動與發布狀態已接入班次檢核</x:v>
      </x:c>
    </x:row>
    <x:row r="26">
      <x:c r="C26" t="str">
        <x:v>諮詢組視圖已建立</x:v>
      </x:c>
      <x:c r="D26" t="str">
        <x:v>只顯示療程、人力、支援、確認與發布資訊</x:v>
      </x:c>
    </x:row>
    <x:row r="27">
      <x:c r="C27" t="str">
        <x:v>支援者資格流程已建立</x:v>
      </x:c>
      <x:c r="D27" t="str">
        <x:v>完整支援 2 名額、技術備援 1 名額與高複雜度限制已接入</x:v>
      </x:c>
    </x:row>
    <x:row r="28">
      <x:c r="A28" t="str">
        <x:v>員工治理核定</x:v>
      </x:c>
      <x:c r="B28" s="228" t="n">
        <x:v>14</x:v>
      </x:c>
      <x:c r="C28" t="str">
        <x:v>流程已建立</x:v>
      </x:c>
      <x:c r="D28" t="str">
        <x:v>能力路徑、培訓組、主管與正式職級採人工核定並保留異動紀錄</x:v>
      </x:c>
    </x:row>
    <x:row r="29">
      <x:c r="A29" t="str">
        <x:v>技能名稱來源組合</x:v>
      </x:c>
      <x:c r="B29" s="228" t="n">
        <x:v>117</x:v>
      </x:c>
      <x:c r="C29" t="str">
        <x:v>流程已建立</x:v>
      </x:c>
      <x:c r="D29" t="str">
        <x:v>保留原始文字與醫師脈絡；主管核定、複合項目拆分及代碼一致後才發布</x:v>
      </x:c>
    </x:row>
    <x:row r="30">
      <x:c r="A30" t="str">
        <x:v>半年複評檢核表</x:v>
      </x:c>
      <x:c r="B30" s="228" t="n">
        <x:v>7</x:v>
      </x:c>
      <x:c r="C30" t="str">
        <x:v>版本與項目流程已建立</x:v>
      </x:c>
      <x:c r="D30" t="str">
        <x:v>七類骨架、五項影像分項、主管核定與正式考核版本閘門已接入</x:v>
      </x:c>
    </x:row>
    <x:row r="31">
      <x:c r="A31" t="str">
        <x:v>排班例外核定</x:v>
      </x:c>
      <x:c r="B31" s="228" t="n">
        <x:v>1</x:v>
      </x:c>
      <x:c r="C31" t="str">
        <x:v>安全閘門流程已建立</x:v>
      </x:c>
      <x:c r="D31" t="str">
        <x:v>僅限已核定資料待回寫或另行核定緊急規則；缺人、缺支援、容量與衝突不可例外</x:v>
      </x:c>
    </x:row>
    <x:row r="32">
      <x:c r="A32" t="str">
        <x:v>主管操作導引</x:v>
      </x:c>
      <x:c r="B32" s="228" t="n">
        <x:v>11</x:v>
      </x:c>
      <x:c r="C32" t="str">
        <x:v>流程與優先順序已建立</x:v>
      </x:c>
      <x:c r="D32" t="str">
        <x:v>十一步日常流程、角色可見範圍、安全底線、動態最高優先事項與上線準備閘門已接入主管工作台</x:v>
      </x:c>
    </x:row>
    <x:row r="33">
      <x:c r="A33" t="str">
        <x:v>正式上線準備閘門</x:v>
      </x:c>
      <x:c r="B33" s="228" t="n">
        <x:v>14</x:v>
      </x:c>
      <x:c r="C33" t="str">
        <x:v>流程已建立，尚未達標</x:v>
      </x:c>
      <x:c r="D33" t="str">
        <x:v>10 項系統條件與 4 項人工營運確認；正式資料與至少一筆正式試排完成後才可上線</x:v>
      </x:c>
    </x:row>
    <x:row r="34">
      <x:c r="A34" t="str">
        <x:v>正式資料收件</x:v>
      </x:c>
      <x:c r="B34" s="228" t="n">
        <x:v>9</x:v>
      </x:c>
      <x:c r="C34" t="str">
        <x:v>流程已建立，待診所提供與內部處理</x:v>
      </x:c>
      <x:c r="D34" t="str">
        <x:v>4 個外部正式資料包、4 個內部核定工作與 1 個正式試排集中追蹤，並同步主管工作台與上線準備</x:v>
      </x:c>
    </x:row>
    <x:row r="35">
      <x:c r="A35" t="str">
        <x:v>正式資料來源追溯</x:v>
      </x:c>
      <x:c r="B35" s="228" t="n">
        <x:v>4</x:v>
      </x:c>
      <x:c r="C35" t="str">
        <x:v>逐列來源閘門已建立</x:v>
      </x:c>
      <x:c r="D35" t="str">
        <x:v>醫師、流動層級、職級矩陣與檢核表項目均需來源文件及來源定位；重複編號與缺來源不得發布</x:v>
      </x:c>
    </x:row>
    <x:row r="36">
      <x:c r="A36" t="str">
        <x:v>正式試排驗收</x:v>
      </x:c>
      <x:c r="B36" s="228" t="n">
        <x:v>12</x:v>
      </x:c>
      <x:c r="C36" t="str">
        <x:v>驗收流程已建立，尚待實際班次</x:v>
      </x:c>
      <x:c r="D36" t="str">
        <x:v>非範例正式班次須通過十二項系統條件與主管簽核；例外核定不可作為正式試排通過</x:v>
      </x:c>
    </x:row>
    <x:row r="37">
      <x:c r="A37" t="str">
        <x:v>主管核定批次</x:v>
      </x:c>
      <x:c r="B37" s="228" t="n">
        <x:v>8</x:v>
      </x:c>
      <x:c r="C37" t="str">
        <x:v>批次規劃與紀錄流程已建立</x:v>
      </x:c>
      <x:c r="D37" t="str">
        <x:v>八類核定工作流依安全與上線影響排序；保留批次範圍、負責人、期限、完成量與複核證據</x:v>
      </x:c>
    </x:row>
    <x:row r="38">
      <x:c r="A38" t="str">
        <x:v>正式班次建檔</x:v>
      </x:c>
      <x:c r="B38" s="228" t="n">
        <x:v>27</x:v>
      </x:c>
      <x:c r="C38" t="str">
        <x:v>空白範本與逐列檢核已建立</x:v>
      </x:c>
      <x:c r="D38" t="str">
        <x:v>第 10–36 列可直接輸入正式班次；編號、必填、日期時間、醫師模式與人力參數未通過時，不進入安全放行</x:v>
      </x:c>
    </x:row>
    <x:row r="39">
      <x:c r="A39" t="str">
        <x:v>主管批次建議</x:v>
      </x:c>
      <x:c r="B39" s="228" t="n">
        <x:f>'主管核定批次'!$O$7</x:f>
        <x:v>38</x:v>
      </x:c>
      <x:c r="C39" t="str">
        <x:v>批量與涵蓋檢核已建立</x:v>
      </x:c>
      <x:c r="D39" t="str">
        <x:v>依風險與覆核負荷提供可調整單批量；有效規劃量未涵蓋全部待辦時，工作流仍保持未完成</x:v>
      </x:c>
    </x:row>
    <x:row r="40">
      <x:c r="A40" t="str">
        <x:v>其他醫師模式安全匯入</x:v>
      </x:c>
      <x:c r="B40" s="228" t="n">
        <x:v>300</x:v>
      </x:c>
      <x:c r="C40" t="str">
        <x:v>能力要求輸入、統一模式清單與雙重閘門已建立</x:v>
      </x:c>
      <x:c r="D40" t="str">
        <x:v>模式規則、逐項能力要求、來源及主管完整性確認全數通過後才進入排班建檔；人員適配未建立仍會在配置階段阻擋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22" hidden="0" customWidth="1"/>
    <x:col min="7" max="7" width="20" hidden="0" customWidth="1"/>
    <x:col min="8" max="8" width="18" hidden="0" customWidth="1"/>
    <x:col min="9" max="9" width="20" hidden="0" customWidth="1"/>
    <x:col min="10" max="10" width="18" hidden="0" customWidth="1"/>
    <x:col min="11" max="11" width="14" hidden="0" customWidth="1"/>
    <x:col min="12" max="12" width="38" hidden="0" customWidth="1"/>
    <x:col min="13" max="13" width="16" hidden="0" customWidth="1"/>
    <x:col min="14" max="14" width="16" hidden="0" customWidth="1"/>
    <x:col min="15" max="15" width="14" hidden="0" customWidth="1"/>
    <x:col min="16" max="16" width="16" hidden="0" customWidth="1"/>
    <x:col min="17" max="17" width="16" hidden="0" customWidth="1"/>
    <x:col min="18" max="18" width="14" hidden="0" customWidth="1"/>
    <x:col min="19" max="19" width="18" hidden="0" customWidth="1"/>
    <x:col min="20" max="20" width="16" hidden="0" customWidth="1"/>
    <x:col min="21" max="21" width="36" hidden="0" customWidth="1"/>
    <x:col min="22" max="22" width="18" hidden="0" customWidth="1"/>
    <x:col min="23" max="23" width="16" hidden="0" customWidth="1"/>
    <x:col min="24" max="24" width="20" hidden="0" customWidth="1"/>
    <x:col min="25" max="25" width="16" hidden="0" customWidth="1"/>
    <x:col min="26" max="26" width="16" hidden="0" customWidth="1"/>
    <x:col min="27" max="27" width="22" hidden="0" customWidth="1"/>
    <x:col min="28" max="28" width="22" hidden="0" customWidth="1"/>
    <x:col min="29" max="29" width="20" hidden="0" customWidth="1"/>
    <x:col min="30" max="30" width="20" hidden="0" customWidth="1"/>
    <x:col min="31" max="31" width="20" hidden="0" customWidth="1"/>
    <x:col min="32" max="32" width="40" hidden="0" customWidth="1"/>
  </x:cols>
  <x:sheetData>
    <x:row r="2">
      <x:c r="A2" s="74" t="str">
        <x:v>班次與療程需求輸入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Y2" s="74" t="str">
        <x:v>正式班次建檔檢核</x:v>
      </x:c>
      <x:c r="Z2" s="74"/>
      <x:c r="AA2" s="74"/>
      <x:c r="AB2" s="74"/>
      <x:c r="AC2" s="74"/>
      <x:c r="AD2" s="74"/>
      <x:c r="AE2" s="74"/>
      <x:c r="AF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Y3" s="27"/>
      <x:c r="Z3" s="27"/>
      <x:c r="AA3" s="27"/>
      <x:c r="AB3" s="27"/>
      <x:c r="AC3" s="27"/>
      <x:c r="AD3" s="27"/>
      <x:c r="AE3" s="27"/>
      <x:c r="AF3" s="27"/>
    </x:row>
    <x:row r="4">
      <x:c r="A4" s="75" t="str">
        <x:v>黃色欄位由諮詢組或助理主管填寫。第 7–9 列是範例；第 10–36 列是正式班次空白範本。請逐列填寫，不要另建第二份班表。正式需求須完成基本建檔、三週標記、一週確認及必要的人力重檢。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Y4" s="75" t="str">
        <x:v>藍色欄位由系統檢查需求編號、必填內容、日期時間、醫師模式與人力參數。正式班次只有顯示「可進入排班」後，才會進入人力配置與正式試排流程。</x:v>
      </x:c>
      <x:c r="Z4" s="75"/>
      <x:c r="AA4" s="75"/>
      <x:c r="AB4" s="75"/>
      <x:c r="AC4" s="75"/>
      <x:c r="AD4" s="75"/>
      <x:c r="AE4" s="75"/>
      <x:c r="AF4" s="75"/>
    </x:row>
    <x:row r="6">
      <x:c r="A6" s="78" t="str">
        <x:v>需求編號</x:v>
      </x:c>
      <x:c r="B6" s="78" t="str">
        <x:v>日期</x:v>
      </x:c>
      <x:c r="C6" s="78" t="str">
        <x:v>開始時間</x:v>
      </x:c>
      <x:c r="D6" s="78" t="str">
        <x:v>結束時間</x:v>
      </x:c>
      <x:c r="E6" s="78" t="str">
        <x:v>醫師</x:v>
      </x:c>
      <x:c r="F6" s="78" t="str">
        <x:v>模式代碼</x:v>
      </x:c>
      <x:c r="G6" s="78" t="str">
        <x:v>療程確認</x:v>
      </x:c>
      <x:c r="H6" s="78" t="str">
        <x:v>主跟診需求人數</x:v>
      </x:c>
      <x:c r="I6" s="78" t="str">
        <x:v>固定短時支援人數</x:v>
      </x:c>
      <x:c r="J6" s="78" t="str">
        <x:v>預設支援分鐘</x:v>
      </x:c>
      <x:c r="K6" s="78" t="str">
        <x:v>資料狀態</x:v>
      </x:c>
      <x:c r="L6" s="78" t="str">
        <x:v>備註</x:v>
      </x:c>
      <x:c r="M6" s="188" t="str">
        <x:v>三週前截止日</x:v>
      </x:c>
      <x:c r="N6" s="188" t="str">
        <x:v>三週標記人</x:v>
      </x:c>
      <x:c r="O6" s="188" t="str">
        <x:v>三週標記日</x:v>
      </x:c>
      <x:c r="P6" s="188" t="str">
        <x:v>一週前截止日</x:v>
      </x:c>
      <x:c r="Q6" s="188" t="str">
        <x:v>一週確認人</x:v>
      </x:c>
      <x:c r="R6" s="188" t="str">
        <x:v>一週確認日</x:v>
      </x:c>
      <x:c r="S6" s="188" t="str">
        <x:v>診前確認結果</x:v>
      </x:c>
      <x:c r="T6" s="188" t="str">
        <x:v>異動類型</x:v>
      </x:c>
      <x:c r="U6" s="188" t="str">
        <x:v>異動說明</x:v>
      </x:c>
      <x:c r="V6" s="188" t="str">
        <x:v>人力處理狀態</x:v>
      </x:c>
      <x:c r="W6" s="188" t="str">
        <x:v>處理主管</x:v>
      </x:c>
      <x:c r="X6" s="188" t="str">
        <x:v>確認流程狀態</x:v>
      </x:c>
      <x:c r="Y6" s="532" t="str">
        <x:v>編號檢核</x:v>
      </x:c>
      <x:c r="Z6" s="532" t="str">
        <x:v>必填檢核</x:v>
      </x:c>
      <x:c r="AA6" s="532" t="str">
        <x:v>日期時間檢核</x:v>
      </x:c>
      <x:c r="AB6" s="532" t="str">
        <x:v>醫師模式匯入檢核</x:v>
      </x:c>
      <x:c r="AC6" s="532" t="str">
        <x:v>人力參數檢核</x:v>
      </x:c>
      <x:c r="AD6" s="532" t="str">
        <x:v>基本建檔狀態</x:v>
      </x:c>
      <x:c r="AE6" s="532" t="str">
        <x:v>正式流程狀態</x:v>
      </x:c>
      <x:c r="AF6" s="532" t="str">
        <x:v>下一步</x:v>
      </x:c>
    </x:row>
    <x:row r="7">
      <x:c r="A7" s="81" t="str">
        <x:v>S001</x:v>
      </x:c>
      <x:c r="B7" s="82" t="n">
        <x:v>46286</x:v>
      </x:c>
      <x:c r="C7" s="83" t="n">
        <x:v>0.375</x:v>
      </x:c>
      <x:c r="D7" s="83" t="n">
        <x:v>0.5</x:v>
      </x:c>
      <x:c r="E7" s="81" t="str">
        <x:v>李侑津醫師</x:v>
      </x:c>
      <x:c r="F7" s="81" t="str">
        <x:v>LJT-SCALING</x:v>
      </x:c>
      <x:c r="G7" s="81" t="str">
        <x:v>一般診已確認</x:v>
      </x:c>
      <x:c r="H7" s="81" t="n">
        <x:v>1</x:v>
      </x:c>
      <x:c r="I7" s="84" t="n">
        <x:f>IF($F7="","",_xlfn.XLOOKUP($F7,'排班模式清單'!$A$7:$A$169,'排班模式清單'!$G$7:$G$169,"模式未建立",0))</x:f>
        <x:v>0</x:v>
      </x:c>
      <x:c r="J7" s="84" t="str">
        <x:f>IF($F7="","",_xlfn.XLOOKUP($F7,'排班模式清單'!$A$7:$A$169,'排班模式清單'!$H$7:$H$169,"",0))</x:f>
      </x:c>
      <x:c r="K7" s="81" t="str">
        <x:v>範例</x:v>
      </x:c>
      <x:c r="L7" s="81" t="str">
        <x:v>可改成正式班次</x:v>
      </x:c>
      <x:c r="M7" s="191" t="n">
        <x:f>IF($B7="","",$B7-21)</x:f>
        <x:v>46265</x:v>
      </x:c>
      <x:c r="N7" s="190"/>
      <x:c r="O7" s="192"/>
      <x:c r="P7" s="191" t="n">
        <x:f>IF($B7="","",$B7-7)</x:f>
        <x:v>46279</x:v>
      </x:c>
      <x:c r="Q7" s="190"/>
      <x:c r="R7" s="192"/>
      <x:c r="S7" s="190"/>
      <x:c r="T7" s="190"/>
      <x:c r="U7" s="190"/>
      <x:c r="V7" s="190"/>
      <x:c r="W7" s="190"/>
      <x:c r="X7" s="189" t="str">
        <x:f>IF($A7="","",IF(OR($G7="",$G7="待確認",$N7="",$O7=""),"待三週前標記",IF(OR($Q7="",$R7="",$S7=""),"待一週前確認",IF(OR($S7="影響人力",$T7&lt;&gt;"無異動"),IF(OR($U7="",$V7="",$W7="",$V7="未處理"),"人力異動待處理",IF(AND(OR($T7="療程取消",$T7="病患取消"),NOT(OR($V7="人力可調整",$V7="已改派",$V7="已結案"))),"人力釋出待處理","確認完成")),"確認完成"))))</x:f>
        <x:v>待三週前標記</x:v>
      </x:c>
      <x:c r="Y7" s="533" t="str">
        <x:f>IF($A7="","",IF(COUNTIFS($A$7:$A$36,$A7)=1,"通過","編號重複"))</x:f>
        <x:v>通過</x:v>
      </x:c>
      <x:c r="Z7" s="533" t="str">
        <x:f>IF($A7="","",IF(OR($B7="",$C7="",$D7="",$E7="",$F7="",$G7="",$H7="",$K7=""),"缺少必填","通過"))</x:f>
        <x:v>通過</x:v>
      </x:c>
      <x:c r="AA7" s="533" t="str">
        <x:f>IF($A7="","",IF(OR(NOT(ISNUMBER($B7)),NOT(ISNUMBER($C7)),NOT(ISNUMBER($D7))),"日期或時間格式不正確",IF($D7&lt;=$C7,"結束時間須晚於開始","通過")))</x:f>
        <x:v>通過</x:v>
      </x:c>
      <x:c r="AB7" s="533" t="str">
        <x:f>IF($A7="","",IF(COUNTIFS('排班模式清單'!$A$7:$A$169,$F7,'排班模式清單'!$B$7:$B$169,$E7,'排班模式清單'!$Q$7:$Q$169,$F7)=1,"通過","醫師或模式未通過匯入閘門"))</x:f>
        <x:v>通過</x:v>
      </x:c>
      <x:c r="AC7" s="533" t="str">
        <x:f>IF($A7="","",IF(OR(NOT(ISNUMBER($H7)),$H7&lt;1,AND($I7&lt;&gt;"",OR(NOT(ISNUMBER($I7)),$I7&lt;0)),AND($J7&lt;&gt;"",OR(NOT(ISNUMBER($J7)),$J7&lt;=0))),"人力參數不正確",IF($H7&lt;&gt;_xlfn.XLOOKUP($F7,'排班模式清單'!$A$7:$A$169,'排班模式清單'!$F$7:$F$169,-1,0),"主跟診人數與規則不符",IF($I7&lt;&gt;_xlfn.XLOOKUP($F7,'排班模式清單'!$A$7:$A$169,'排班模式清單'!$G$7:$G$169,-1,0),"支援人數與規則不符",IF(AND($I7&gt;0,$J7=""),"缺少支援分鐘",IF(AND($J7&lt;&gt;"",$J7&lt;&gt;_xlfn.XLOOKUP($F7,'排班模式清單'!$A$7:$A$169,'排班模式清單'!$H$7:$H$169,"",0)),"支援分鐘與規則不符","通過"))))))</x:f>
        <x:v>通過</x:v>
      </x:c>
      <x:c r="AD7" s="533" t="str">
        <x:f>IF($A7="","",IF($K7="範例","範例",IF($K7="取消","已取消",IF($K7="草稿","草稿待完成",IF($K7&lt;&gt;"正式","資料狀態待選擇",IF(COUNTIFS($Y7:$AC7,"通過")=5,"可進入排班","正式建檔未完成"))))))</x:f>
        <x:v>範例</x:v>
      </x:c>
      <x:c r="AE7" s="533" t="str">
        <x:f>IF($A7="","",IF($K7&lt;&gt;"正式","不適用",IF($AD7&lt;&gt;"可進入排班","基本資料未完成",IF($X7="確認完成","確認完成",$X7))))</x:f>
        <x:v>不適用</x:v>
      </x:c>
      <x:c r="AF7" s="533" t="str">
        <x:f>IF($A7="","",IF($AD7="範例","範例不需發布",IF($AD7="已取消","已取消",IF($AD7="草稿待完成","完成基本欄位並改為正式",IF($AD7="資料狀態待選擇","選擇資料狀態",IF($AD7="正式建檔未完成","依左側未通過檢核修正",IF($X7&lt;&gt;"確認完成","依三週／一週確認欄位繼續處理","可進入正式試排驗收")))))))</x:f>
        <x:v>範例不需發布</x:v>
      </x:c>
    </x:row>
    <x:row r="8">
      <x:c r="A8" s="81" t="str">
        <x:v>S002</x:v>
      </x:c>
      <x:c r="B8" s="82" t="n">
        <x:v>46286</x:v>
      </x:c>
      <x:c r="C8" s="83" t="n">
        <x:v>0.5833333333333334</x:v>
      </x:c>
      <x:c r="D8" s="83" t="n">
        <x:v>0.7083333333333334</x:v>
      </x:c>
      <x:c r="E8" s="81" t="str">
        <x:v>李侑津醫師</x:v>
      </x:c>
      <x:c r="F8" s="81" t="str">
        <x:v>LJT-IMPLANT</x:v>
      </x:c>
      <x:c r="G8" s="81" t="str">
        <x:v>特殊療程已確認</x:v>
      </x:c>
      <x:c r="H8" s="81" t="n">
        <x:v>1</x:v>
      </x:c>
      <x:c r="I8" s="84" t="n">
        <x:f>IF($F8="","",_xlfn.XLOOKUP($F8,'排班模式清單'!$A$7:$A$169,'排班模式清單'!$G$7:$G$169,"模式未建立",0))</x:f>
        <x:v>0</x:v>
      </x:c>
      <x:c r="J8" s="84" t="n">
        <x:f>IF($F8="","",_xlfn.XLOOKUP($F8,'排班模式清單'!$A$7:$A$169,'排班模式清單'!$H$7:$H$169,"",0))</x:f>
        <x:v>0</x:v>
      </x:c>
      <x:c r="K8" s="81" t="str">
        <x:v>範例</x:v>
      </x:c>
      <x:c r="L8" s="81" t="str">
        <x:v>示範高複雜度支援</x:v>
      </x:c>
      <x:c r="M8" s="191" t="n">
        <x:f>IF($B8="","",$B8-21)</x:f>
        <x:v>46265</x:v>
      </x:c>
      <x:c r="N8" s="190"/>
      <x:c r="O8" s="192"/>
      <x:c r="P8" s="191" t="n">
        <x:f>IF($B8="","",$B8-7)</x:f>
        <x:v>46279</x:v>
      </x:c>
      <x:c r="Q8" s="190"/>
      <x:c r="R8" s="192"/>
      <x:c r="S8" s="190"/>
      <x:c r="T8" s="190"/>
      <x:c r="U8" s="190"/>
      <x:c r="V8" s="190"/>
      <x:c r="W8" s="190"/>
      <x:c r="X8" s="189" t="str">
        <x:f>IF($A8="","",IF(OR($G8="",$G8="待確認",$N8="",$O8=""),"待三週前標記",IF(OR($Q8="",$R8="",$S8=""),"待一週前確認",IF(OR($S8="影響人力",$T8&lt;&gt;"無異動"),IF(OR($U8="",$V8="",$W8="",$V8="未處理"),"人力異動待處理",IF(AND(OR($T8="療程取消",$T8="病患取消"),NOT(OR($V8="人力可調整",$V8="已改派",$V8="已結案"))),"人力釋出待處理","確認完成")),"確認完成"))))</x:f>
        <x:v>待三週前標記</x:v>
      </x:c>
      <x:c r="Y8" s="533" t="str">
        <x:f>IF($A8="","",IF(COUNTIFS($A$7:$A$36,$A8)=1,"通過","編號重複"))</x:f>
        <x:v>通過</x:v>
      </x:c>
      <x:c r="Z8" s="533" t="str">
        <x:f>IF($A8="","",IF(OR($B8="",$C8="",$D8="",$E8="",$F8="",$G8="",$H8="",$K8=""),"缺少必填","通過"))</x:f>
        <x:v>通過</x:v>
      </x:c>
      <x:c r="AA8" s="533" t="str">
        <x:f>IF($A8="","",IF(OR(NOT(ISNUMBER($B8)),NOT(ISNUMBER($C8)),NOT(ISNUMBER($D8))),"日期或時間格式不正確",IF($D8&lt;=$C8,"結束時間須晚於開始","通過")))</x:f>
        <x:v>通過</x:v>
      </x:c>
      <x:c r="AB8" s="533" t="str">
        <x:f>IF($A8="","",IF(COUNTIFS('排班模式清單'!$A$7:$A$169,$F8,'排班模式清單'!$B$7:$B$169,$E8,'排班模式清單'!$Q$7:$Q$169,$F8)=1,"通過","醫師或模式未通過匯入閘門"))</x:f>
        <x:v>通過</x:v>
      </x:c>
      <x:c r="AC8" s="533" t="str">
        <x:f>IF($A8="","",IF(OR(NOT(ISNUMBER($H8)),$H8&lt;1,AND($I8&lt;&gt;"",OR(NOT(ISNUMBER($I8)),$I8&lt;0)),AND($J8&lt;&gt;"",OR(NOT(ISNUMBER($J8)),$J8&lt;=0))),"人力參數不正確",IF($H8&lt;&gt;_xlfn.XLOOKUP($F8,'排班模式清單'!$A$7:$A$169,'排班模式清單'!$F$7:$F$169,-1,0),"主跟診人數與規則不符",IF($I8&lt;&gt;_xlfn.XLOOKUP($F8,'排班模式清單'!$A$7:$A$169,'排班模式清單'!$G$7:$G$169,-1,0),"支援人數與規則不符",IF(AND($I8&gt;0,$J8=""),"缺少支援分鐘",IF(AND($J8&lt;&gt;"",$J8&lt;&gt;_xlfn.XLOOKUP($F8,'排班模式清單'!$A$7:$A$169,'排班模式清單'!$H$7:$H$169,"",0)),"支援分鐘與規則不符","通過"))))))</x:f>
        <x:v>通過</x:v>
      </x:c>
      <x:c r="AD8" s="533" t="str">
        <x:f>IF($A8="","",IF($K8="範例","範例",IF($K8="取消","已取消",IF($K8="草稿","草稿待完成",IF($K8&lt;&gt;"正式","資料狀態待選擇",IF(COUNTIFS($Y8:$AC8,"通過")=5,"可進入排班","正式建檔未完成"))))))</x:f>
        <x:v>範例</x:v>
      </x:c>
      <x:c r="AE8" s="533" t="str">
        <x:f>IF($A8="","",IF($K8&lt;&gt;"正式","不適用",IF($AD8&lt;&gt;"可進入排班","基本資料未完成",IF($X8="確認完成","確認完成",$X8))))</x:f>
        <x:v>不適用</x:v>
      </x:c>
      <x:c r="AF8" s="533" t="str">
        <x:f>IF($A8="","",IF($AD8="範例","範例不需發布",IF($AD8="已取消","已取消",IF($AD8="草稿待完成","完成基本欄位並改為正式",IF($AD8="資料狀態待選擇","選擇資料狀態",IF($AD8="正式建檔未完成","依左側未通過檢核修正",IF($X8&lt;&gt;"確認完成","依三週／一週確認欄位繼續處理","可進入正式試排驗收")))))))</x:f>
        <x:v>範例不需發布</x:v>
      </x:c>
    </x:row>
    <x:row r="9">
      <x:c r="A9" s="81" t="str">
        <x:v>S003</x:v>
      </x:c>
      <x:c r="B9" s="82" t="n">
        <x:v>46286</x:v>
      </x:c>
      <x:c r="C9" s="83" t="n">
        <x:v>0.7083333333333334</x:v>
      </x:c>
      <x:c r="D9" s="83" t="n">
        <x:v>0.7291666666666666</x:v>
      </x:c>
      <x:c r="E9" s="81" t="str">
        <x:v>李侑津醫師</x:v>
      </x:c>
      <x:c r="F9" s="81" t="str">
        <x:v>LJT-RPD-FINAL</x:v>
      </x:c>
      <x:c r="G9" s="81" t="str">
        <x:v>特殊療程已確認</x:v>
      </x:c>
      <x:c r="H9" s="81" t="n">
        <x:v>1</x:v>
      </x:c>
      <x:c r="I9" s="84" t="n">
        <x:f>IF($F9="","",_xlfn.XLOOKUP($F9,'排班模式清單'!$A$7:$A$169,'排班模式清單'!$G$7:$G$169,"模式未建立",0))</x:f>
        <x:v>1</x:v>
      </x:c>
      <x:c r="J9" s="84" t="n">
        <x:f>IF($F9="","",_xlfn.XLOOKUP($F9,'排班模式清單'!$A$7:$A$169,'排班模式清單'!$H$7:$H$169,"",0))</x:f>
        <x:v>30</x:v>
      </x:c>
      <x:c r="K9" s="81" t="str">
        <x:v>範例</x:v>
      </x:c>
      <x:c r="L9" s="81" t="str">
        <x:v>示範 30 分鐘短時支援</x:v>
      </x:c>
      <x:c r="M9" s="191" t="n">
        <x:f>IF($B9="","",$B9-21)</x:f>
        <x:v>46265</x:v>
      </x:c>
      <x:c r="N9" s="190"/>
      <x:c r="O9" s="192"/>
      <x:c r="P9" s="191" t="n">
        <x:f>IF($B9="","",$B9-7)</x:f>
        <x:v>46279</x:v>
      </x:c>
      <x:c r="Q9" s="190"/>
      <x:c r="R9" s="192"/>
      <x:c r="S9" s="190"/>
      <x:c r="T9" s="190"/>
      <x:c r="U9" s="190"/>
      <x:c r="V9" s="190"/>
      <x:c r="W9" s="190"/>
      <x:c r="X9" s="189" t="str">
        <x:f>IF($A9="","",IF(OR($G9="",$G9="待確認",$N9="",$O9=""),"待三週前標記",IF(OR($Q9="",$R9="",$S9=""),"待一週前確認",IF(OR($S9="影響人力",$T9&lt;&gt;"無異動"),IF(OR($U9="",$V9="",$W9="",$V9="未處理"),"人力異動待處理",IF(AND(OR($T9="療程取消",$T9="病患取消"),NOT(OR($V9="人力可調整",$V9="已改派",$V9="已結案"))),"人力釋出待處理","確認完成")),"確認完成"))))</x:f>
        <x:v>待三週前標記</x:v>
      </x:c>
      <x:c r="Y9" s="533" t="str">
        <x:f>IF($A9="","",IF(COUNTIFS($A$7:$A$36,$A9)=1,"通過","編號重複"))</x:f>
        <x:v>通過</x:v>
      </x:c>
      <x:c r="Z9" s="533" t="str">
        <x:f>IF($A9="","",IF(OR($B9="",$C9="",$D9="",$E9="",$F9="",$G9="",$H9="",$K9=""),"缺少必填","通過"))</x:f>
        <x:v>通過</x:v>
      </x:c>
      <x:c r="AA9" s="533" t="str">
        <x:f>IF($A9="","",IF(OR(NOT(ISNUMBER($B9)),NOT(ISNUMBER($C9)),NOT(ISNUMBER($D9))),"日期或時間格式不正確",IF($D9&lt;=$C9,"結束時間須晚於開始","通過")))</x:f>
        <x:v>通過</x:v>
      </x:c>
      <x:c r="AB9" s="533" t="str">
        <x:f>IF($A9="","",IF(COUNTIFS('排班模式清單'!$A$7:$A$169,$F9,'排班模式清單'!$B$7:$B$169,$E9,'排班模式清單'!$Q$7:$Q$169,$F9)=1,"通過","醫師或模式未通過匯入閘門"))</x:f>
        <x:v>通過</x:v>
      </x:c>
      <x:c r="AC9" s="533" t="str">
        <x:f>IF($A9="","",IF(OR(NOT(ISNUMBER($H9)),$H9&lt;1,AND($I9&lt;&gt;"",OR(NOT(ISNUMBER($I9)),$I9&lt;0)),AND($J9&lt;&gt;"",OR(NOT(ISNUMBER($J9)),$J9&lt;=0))),"人力參數不正確",IF($H9&lt;&gt;_xlfn.XLOOKUP($F9,'排班模式清單'!$A$7:$A$169,'排班模式清單'!$F$7:$F$169,-1,0),"主跟診人數與規則不符",IF($I9&lt;&gt;_xlfn.XLOOKUP($F9,'排班模式清單'!$A$7:$A$169,'排班模式清單'!$G$7:$G$169,-1,0),"支援人數與規則不符",IF(AND($I9&gt;0,$J9=""),"缺少支援分鐘",IF(AND($J9&lt;&gt;"",$J9&lt;&gt;_xlfn.XLOOKUP($F9,'排班模式清單'!$A$7:$A$169,'排班模式清單'!$H$7:$H$169,"",0)),"支援分鐘與規則不符","通過"))))))</x:f>
        <x:v>通過</x:v>
      </x:c>
      <x:c r="AD9" s="533" t="str">
        <x:f>IF($A9="","",IF($K9="範例","範例",IF($K9="取消","已取消",IF($K9="草稿","草稿待完成",IF($K9&lt;&gt;"正式","資料狀態待選擇",IF(COUNTIFS($Y9:$AC9,"通過")=5,"可進入排班","正式建檔未完成"))))))</x:f>
        <x:v>範例</x:v>
      </x:c>
      <x:c r="AE9" s="533" t="str">
        <x:f>IF($A9="","",IF($K9&lt;&gt;"正式","不適用",IF($AD9&lt;&gt;"可進入排班","基本資料未完成",IF($X9="確認完成","確認完成",$X9))))</x:f>
        <x:v>不適用</x:v>
      </x:c>
      <x:c r="AF9" s="533" t="str">
        <x:f>IF($A9="","",IF($AD9="範例","範例不需發布",IF($AD9="已取消","已取消",IF($AD9="草稿待完成","完成基本欄位並改為正式",IF($AD9="資料狀態待選擇","選擇資料狀態",IF($AD9="正式建檔未完成","依左側未通過檢核修正",IF($X9&lt;&gt;"確認完成","依三週／一週確認欄位繼續處理","可進入正式試排驗收")))))))</x:f>
        <x:v>範例不需發布</x:v>
      </x:c>
    </x:row>
    <x:row r="10">
      <x:c r="A10" s="81"/>
      <x:c r="B10" s="82"/>
      <x:c r="C10" s="83"/>
      <x:c r="D10" s="83"/>
      <x:c r="E10" s="81"/>
      <x:c r="F10" s="81"/>
      <x:c r="G10" s="81"/>
      <x:c r="H10" s="81"/>
      <x:c r="I10" s="84" t="str">
        <x:f>IF($F10="","",_xlfn.XLOOKUP($F10,'排班模式清單'!$A$7:$A$169,'排班模式清單'!$G$7:$G$169,"模式未建立",0))</x:f>
      </x:c>
      <x:c r="J10" s="84" t="str">
        <x:f>IF($F10="","",_xlfn.XLOOKUP($F10,'排班模式清單'!$A$7:$A$169,'排班模式清單'!$H$7:$H$169,"",0))</x:f>
      </x:c>
      <x:c r="K10" s="81"/>
      <x:c r="L10" s="81"/>
      <x:c r="M10" s="191" t="str">
        <x:f>IF($B10="","",$B10-21)</x:f>
      </x:c>
      <x:c r="N10" s="190"/>
      <x:c r="O10" s="192"/>
      <x:c r="P10" s="191" t="str">
        <x:f>IF($B10="","",$B10-7)</x:f>
      </x:c>
      <x:c r="Q10" s="190"/>
      <x:c r="R10" s="192"/>
      <x:c r="S10" s="190"/>
      <x:c r="T10" s="190"/>
      <x:c r="U10" s="190"/>
      <x:c r="V10" s="190"/>
      <x:c r="W10" s="190"/>
      <x:c r="X10" s="189" t="str">
        <x:f>IF($A10="","",IF(OR($G10="",$G10="待確認",$N10="",$O10=""),"待三週前標記",IF(OR($Q10="",$R10="",$S10=""),"待一週前確認",IF(OR($S10="影響人力",$T10&lt;&gt;"無異動"),IF(OR($U10="",$V10="",$W10="",$V10="未處理"),"人力異動待處理",IF(AND(OR($T10="療程取消",$T10="病患取消"),NOT(OR($V10="人力可調整",$V10="已改派",$V10="已結案"))),"人力釋出待處理","確認完成")),"確認完成"))))</x:f>
      </x:c>
      <x:c r="Y10" s="533" t="str">
        <x:f>IF($A10="","",IF(COUNTIFS($A$7:$A$36,$A10)=1,"通過","編號重複"))</x:f>
      </x:c>
      <x:c r="Z10" s="533" t="str">
        <x:f>IF($A10="","",IF(OR($B10="",$C10="",$D10="",$E10="",$F10="",$G10="",$H10="",$K10=""),"缺少必填","通過"))</x:f>
      </x:c>
      <x:c r="AA10" s="533" t="str">
        <x:f>IF($A10="","",IF(OR(NOT(ISNUMBER($B10)),NOT(ISNUMBER($C10)),NOT(ISNUMBER($D10))),"日期或時間格式不正確",IF($D10&lt;=$C10,"結束時間須晚於開始","通過")))</x:f>
      </x:c>
      <x:c r="AB10" s="533" t="str">
        <x:f>IF($A10="","",IF(COUNTIFS('排班模式清單'!$A$7:$A$169,$F10,'排班模式清單'!$B$7:$B$169,$E10,'排班模式清單'!$Q$7:$Q$169,$F10)=1,"通過","醫師或模式未通過匯入閘門"))</x:f>
      </x:c>
      <x:c r="AC10" s="533" t="str">
        <x:f>IF($A10="","",IF(OR(NOT(ISNUMBER($H10)),$H10&lt;1,AND($I10&lt;&gt;"",OR(NOT(ISNUMBER($I10)),$I10&lt;0)),AND($J10&lt;&gt;"",OR(NOT(ISNUMBER($J10)),$J10&lt;=0))),"人力參數不正確",IF($H10&lt;&gt;_xlfn.XLOOKUP($F10,'排班模式清單'!$A$7:$A$169,'排班模式清單'!$F$7:$F$169,-1,0),"主跟診人數與規則不符",IF($I10&lt;&gt;_xlfn.XLOOKUP($F10,'排班模式清單'!$A$7:$A$169,'排班模式清單'!$G$7:$G$169,-1,0),"支援人數與規則不符",IF(AND($I10&gt;0,$J10=""),"缺少支援分鐘",IF(AND($J10&lt;&gt;"",$J10&lt;&gt;_xlfn.XLOOKUP($F10,'排班模式清單'!$A$7:$A$169,'排班模式清單'!$H$7:$H$169,"",0)),"支援分鐘與規則不符","通過"))))))</x:f>
      </x:c>
      <x:c r="AD10" s="533" t="str">
        <x:f>IF($A10="","",IF($K10="範例","範例",IF($K10="取消","已取消",IF($K10="草稿","草稿待完成",IF($K10&lt;&gt;"正式","資料狀態待選擇",IF(COUNTIFS($Y10:$AC10,"通過")=5,"可進入排班","正式建檔未完成"))))))</x:f>
      </x:c>
      <x:c r="AE10" s="533" t="str">
        <x:f>IF($A10="","",IF($K10&lt;&gt;"正式","不適用",IF($AD10&lt;&gt;"可進入排班","基本資料未完成",IF($X10="確認完成","確認完成",$X10))))</x:f>
      </x:c>
      <x:c r="AF10" s="533" t="str">
        <x:f>IF($A10="","",IF($AD10="範例","範例不需發布",IF($AD10="已取消","已取消",IF($AD10="草稿待完成","完成基本欄位並改為正式",IF($AD10="資料狀態待選擇","選擇資料狀態",IF($AD10="正式建檔未完成","依左側未通過檢核修正",IF($X10&lt;&gt;"確認完成","依三週／一週確認欄位繼續處理","可進入正式試排驗收")))))))</x:f>
      </x:c>
    </x:row>
    <x:row r="11">
      <x:c r="A11" s="81"/>
      <x:c r="B11" s="82"/>
      <x:c r="C11" s="83"/>
      <x:c r="D11" s="83"/>
      <x:c r="E11" s="81"/>
      <x:c r="F11" s="81"/>
      <x:c r="G11" s="81"/>
      <x:c r="H11" s="81"/>
      <x:c r="I11" s="84" t="str">
        <x:f>IF($F11="","",_xlfn.XLOOKUP($F11,'排班模式清單'!$A$7:$A$169,'排班模式清單'!$G$7:$G$169,"模式未建立",0))</x:f>
      </x:c>
      <x:c r="J11" s="84" t="str">
        <x:f>IF($F11="","",_xlfn.XLOOKUP($F11,'排班模式清單'!$A$7:$A$169,'排班模式清單'!$H$7:$H$169,"",0))</x:f>
      </x:c>
      <x:c r="K11" s="81"/>
      <x:c r="L11" s="81"/>
      <x:c r="M11" s="191" t="str">
        <x:f>IF($B11="","",$B11-21)</x:f>
      </x:c>
      <x:c r="N11" s="190"/>
      <x:c r="O11" s="192"/>
      <x:c r="P11" s="191" t="str">
        <x:f>IF($B11="","",$B11-7)</x:f>
      </x:c>
      <x:c r="Q11" s="190"/>
      <x:c r="R11" s="192"/>
      <x:c r="S11" s="190"/>
      <x:c r="T11" s="190"/>
      <x:c r="U11" s="190"/>
      <x:c r="V11" s="190"/>
      <x:c r="W11" s="190"/>
      <x:c r="X11" s="189" t="str">
        <x:f>IF($A11="","",IF(OR($G11="",$G11="待確認",$N11="",$O11=""),"待三週前標記",IF(OR($Q11="",$R11="",$S11=""),"待一週前確認",IF(OR($S11="影響人力",$T11&lt;&gt;"無異動"),IF(OR($U11="",$V11="",$W11="",$V11="未處理"),"人力異動待處理",IF(AND(OR($T11="療程取消",$T11="病患取消"),NOT(OR($V11="人力可調整",$V11="已改派",$V11="已結案"))),"人力釋出待處理","確認完成")),"確認完成"))))</x:f>
      </x:c>
      <x:c r="Y11" s="533" t="str">
        <x:f>IF($A11="","",IF(COUNTIFS($A$7:$A$36,$A11)=1,"通過","編號重複"))</x:f>
      </x:c>
      <x:c r="Z11" s="533" t="str">
        <x:f>IF($A11="","",IF(OR($B11="",$C11="",$D11="",$E11="",$F11="",$G11="",$H11="",$K11=""),"缺少必填","通過"))</x:f>
      </x:c>
      <x:c r="AA11" s="533" t="str">
        <x:f>IF($A11="","",IF(OR(NOT(ISNUMBER($B11)),NOT(ISNUMBER($C11)),NOT(ISNUMBER($D11))),"日期或時間格式不正確",IF($D11&lt;=$C11,"結束時間須晚於開始","通過")))</x:f>
      </x:c>
      <x:c r="AB11" s="533" t="str">
        <x:f>IF($A11="","",IF(COUNTIFS('排班模式清單'!$A$7:$A$169,$F11,'排班模式清單'!$B$7:$B$169,$E11,'排班模式清單'!$Q$7:$Q$169,$F11)=1,"通過","醫師或模式未通過匯入閘門"))</x:f>
      </x:c>
      <x:c r="AC11" s="533" t="str">
        <x:f>IF($A11="","",IF(OR(NOT(ISNUMBER($H11)),$H11&lt;1,AND($I11&lt;&gt;"",OR(NOT(ISNUMBER($I11)),$I11&lt;0)),AND($J11&lt;&gt;"",OR(NOT(ISNUMBER($J11)),$J11&lt;=0))),"人力參數不正確",IF($H11&lt;&gt;_xlfn.XLOOKUP($F11,'排班模式清單'!$A$7:$A$169,'排班模式清單'!$F$7:$F$169,-1,0),"主跟診人數與規則不符",IF($I11&lt;&gt;_xlfn.XLOOKUP($F11,'排班模式清單'!$A$7:$A$169,'排班模式清單'!$G$7:$G$169,-1,0),"支援人數與規則不符",IF(AND($I11&gt;0,$J11=""),"缺少支援分鐘",IF(AND($J11&lt;&gt;"",$J11&lt;&gt;_xlfn.XLOOKUP($F11,'排班模式清單'!$A$7:$A$169,'排班模式清單'!$H$7:$H$169,"",0)),"支援分鐘與規則不符","通過"))))))</x:f>
      </x:c>
      <x:c r="AD11" s="533" t="str">
        <x:f>IF($A11="","",IF($K11="範例","範例",IF($K11="取消","已取消",IF($K11="草稿","草稿待完成",IF($K11&lt;&gt;"正式","資料狀態待選擇",IF(COUNTIFS($Y11:$AC11,"通過")=5,"可進入排班","正式建檔未完成"))))))</x:f>
      </x:c>
      <x:c r="AE11" s="533" t="str">
        <x:f>IF($A11="","",IF($K11&lt;&gt;"正式","不適用",IF($AD11&lt;&gt;"可進入排班","基本資料未完成",IF($X11="確認完成","確認完成",$X11))))</x:f>
      </x:c>
      <x:c r="AF11" s="533" t="str">
        <x:f>IF($A11="","",IF($AD11="範例","範例不需發布",IF($AD11="已取消","已取消",IF($AD11="草稿待完成","完成基本欄位並改為正式",IF($AD11="資料狀態待選擇","選擇資料狀態",IF($AD11="正式建檔未完成","依左側未通過檢核修正",IF($X11&lt;&gt;"確認完成","依三週／一週確認欄位繼續處理","可進入正式試排驗收")))))))</x:f>
      </x:c>
    </x:row>
    <x:row r="12">
      <x:c r="A12" s="81"/>
      <x:c r="B12" s="82"/>
      <x:c r="C12" s="83"/>
      <x:c r="D12" s="83"/>
      <x:c r="E12" s="81"/>
      <x:c r="F12" s="81"/>
      <x:c r="G12" s="81"/>
      <x:c r="H12" s="81"/>
      <x:c r="I12" s="84" t="str">
        <x:f>IF($F12="","",_xlfn.XLOOKUP($F12,'排班模式清單'!$A$7:$A$169,'排班模式清單'!$G$7:$G$169,"模式未建立",0))</x:f>
      </x:c>
      <x:c r="J12" s="84" t="str">
        <x:f>IF($F12="","",_xlfn.XLOOKUP($F12,'排班模式清單'!$A$7:$A$169,'排班模式清單'!$H$7:$H$169,"",0))</x:f>
      </x:c>
      <x:c r="K12" s="81"/>
      <x:c r="L12" s="81"/>
      <x:c r="M12" s="191" t="str">
        <x:f>IF($B12="","",$B12-21)</x:f>
      </x:c>
      <x:c r="N12" s="190"/>
      <x:c r="O12" s="192"/>
      <x:c r="P12" s="191" t="str">
        <x:f>IF($B12="","",$B12-7)</x:f>
      </x:c>
      <x:c r="Q12" s="190"/>
      <x:c r="R12" s="192"/>
      <x:c r="S12" s="190"/>
      <x:c r="T12" s="190"/>
      <x:c r="U12" s="190"/>
      <x:c r="V12" s="190"/>
      <x:c r="W12" s="190"/>
      <x:c r="X12" s="189" t="str">
        <x:f>IF($A12="","",IF(OR($G12="",$G12="待確認",$N12="",$O12=""),"待三週前標記",IF(OR($Q12="",$R12="",$S12=""),"待一週前確認",IF(OR($S12="影響人力",$T12&lt;&gt;"無異動"),IF(OR($U12="",$V12="",$W12="",$V12="未處理"),"人力異動待處理",IF(AND(OR($T12="療程取消",$T12="病患取消"),NOT(OR($V12="人力可調整",$V12="已改派",$V12="已結案"))),"人力釋出待處理","確認完成")),"確認完成"))))</x:f>
      </x:c>
      <x:c r="Y12" s="533" t="str">
        <x:f>IF($A12="","",IF(COUNTIFS($A$7:$A$36,$A12)=1,"通過","編號重複"))</x:f>
      </x:c>
      <x:c r="Z12" s="533" t="str">
        <x:f>IF($A12="","",IF(OR($B12="",$C12="",$D12="",$E12="",$F12="",$G12="",$H12="",$K12=""),"缺少必填","通過"))</x:f>
      </x:c>
      <x:c r="AA12" s="533" t="str">
        <x:f>IF($A12="","",IF(OR(NOT(ISNUMBER($B12)),NOT(ISNUMBER($C12)),NOT(ISNUMBER($D12))),"日期或時間格式不正確",IF($D12&lt;=$C12,"結束時間須晚於開始","通過")))</x:f>
      </x:c>
      <x:c r="AB12" s="533" t="str">
        <x:f>IF($A12="","",IF(COUNTIFS('排班模式清單'!$A$7:$A$169,$F12,'排班模式清單'!$B$7:$B$169,$E12,'排班模式清單'!$Q$7:$Q$169,$F12)=1,"通過","醫師或模式未通過匯入閘門"))</x:f>
      </x:c>
      <x:c r="AC12" s="533" t="str">
        <x:f>IF($A12="","",IF(OR(NOT(ISNUMBER($H12)),$H12&lt;1,AND($I12&lt;&gt;"",OR(NOT(ISNUMBER($I12)),$I12&lt;0)),AND($J12&lt;&gt;"",OR(NOT(ISNUMBER($J12)),$J12&lt;=0))),"人力參數不正確",IF($H12&lt;&gt;_xlfn.XLOOKUP($F12,'排班模式清單'!$A$7:$A$169,'排班模式清單'!$F$7:$F$169,-1,0),"主跟診人數與規則不符",IF($I12&lt;&gt;_xlfn.XLOOKUP($F12,'排班模式清單'!$A$7:$A$169,'排班模式清單'!$G$7:$G$169,-1,0),"支援人數與規則不符",IF(AND($I12&gt;0,$J12=""),"缺少支援分鐘",IF(AND($J12&lt;&gt;"",$J12&lt;&gt;_xlfn.XLOOKUP($F12,'排班模式清單'!$A$7:$A$169,'排班模式清單'!$H$7:$H$169,"",0)),"支援分鐘與規則不符","通過"))))))</x:f>
      </x:c>
      <x:c r="AD12" s="533" t="str">
        <x:f>IF($A12="","",IF($K12="範例","範例",IF($K12="取消","已取消",IF($K12="草稿","草稿待完成",IF($K12&lt;&gt;"正式","資料狀態待選擇",IF(COUNTIFS($Y12:$AC12,"通過")=5,"可進入排班","正式建檔未完成"))))))</x:f>
      </x:c>
      <x:c r="AE12" s="533" t="str">
        <x:f>IF($A12="","",IF($K12&lt;&gt;"正式","不適用",IF($AD12&lt;&gt;"可進入排班","基本資料未完成",IF($X12="確認完成","確認完成",$X12))))</x:f>
      </x:c>
      <x:c r="AF12" s="533" t="str">
        <x:f>IF($A12="","",IF($AD12="範例","範例不需發布",IF($AD12="已取消","已取消",IF($AD12="草稿待完成","完成基本欄位並改為正式",IF($AD12="資料狀態待選擇","選擇資料狀態",IF($AD12="正式建檔未完成","依左側未通過檢核修正",IF($X12&lt;&gt;"確認完成","依三週／一週確認欄位繼續處理","可進入正式試排驗收")))))))</x:f>
      </x:c>
    </x:row>
    <x:row r="13">
      <x:c r="A13" s="81"/>
      <x:c r="B13" s="82"/>
      <x:c r="C13" s="83"/>
      <x:c r="D13" s="83"/>
      <x:c r="E13" s="81"/>
      <x:c r="F13" s="81"/>
      <x:c r="G13" s="81"/>
      <x:c r="H13" s="81"/>
      <x:c r="I13" s="84" t="str">
        <x:f>IF($F13="","",_xlfn.XLOOKUP($F13,'排班模式清單'!$A$7:$A$169,'排班模式清單'!$G$7:$G$169,"模式未建立",0))</x:f>
      </x:c>
      <x:c r="J13" s="84" t="str">
        <x:f>IF($F13="","",_xlfn.XLOOKUP($F13,'排班模式清單'!$A$7:$A$169,'排班模式清單'!$H$7:$H$169,"",0))</x:f>
      </x:c>
      <x:c r="K13" s="81"/>
      <x:c r="L13" s="81"/>
      <x:c r="M13" s="191" t="str">
        <x:f>IF($B13="","",$B13-21)</x:f>
      </x:c>
      <x:c r="N13" s="190"/>
      <x:c r="O13" s="192"/>
      <x:c r="P13" s="191" t="str">
        <x:f>IF($B13="","",$B13-7)</x:f>
      </x:c>
      <x:c r="Q13" s="190"/>
      <x:c r="R13" s="192"/>
      <x:c r="S13" s="190"/>
      <x:c r="T13" s="190"/>
      <x:c r="U13" s="190"/>
      <x:c r="V13" s="190"/>
      <x:c r="W13" s="190"/>
      <x:c r="X13" s="189" t="str">
        <x:f>IF($A13="","",IF(OR($G13="",$G13="待確認",$N13="",$O13=""),"待三週前標記",IF(OR($Q13="",$R13="",$S13=""),"待一週前確認",IF(OR($S13="影響人力",$T13&lt;&gt;"無異動"),IF(OR($U13="",$V13="",$W13="",$V13="未處理"),"人力異動待處理",IF(AND(OR($T13="療程取消",$T13="病患取消"),NOT(OR($V13="人力可調整",$V13="已改派",$V13="已結案"))),"人力釋出待處理","確認完成")),"確認完成"))))</x:f>
      </x:c>
      <x:c r="Y13" s="533" t="str">
        <x:f>IF($A13="","",IF(COUNTIFS($A$7:$A$36,$A13)=1,"通過","編號重複"))</x:f>
      </x:c>
      <x:c r="Z13" s="533" t="str">
        <x:f>IF($A13="","",IF(OR($B13="",$C13="",$D13="",$E13="",$F13="",$G13="",$H13="",$K13=""),"缺少必填","通過"))</x:f>
      </x:c>
      <x:c r="AA13" s="533" t="str">
        <x:f>IF($A13="","",IF(OR(NOT(ISNUMBER($B13)),NOT(ISNUMBER($C13)),NOT(ISNUMBER($D13))),"日期或時間格式不正確",IF($D13&lt;=$C13,"結束時間須晚於開始","通過")))</x:f>
      </x:c>
      <x:c r="AB13" s="533" t="str">
        <x:f>IF($A13="","",IF(COUNTIFS('排班模式清單'!$A$7:$A$169,$F13,'排班模式清單'!$B$7:$B$169,$E13,'排班模式清單'!$Q$7:$Q$169,$F13)=1,"通過","醫師或模式未通過匯入閘門"))</x:f>
      </x:c>
      <x:c r="AC13" s="533" t="str">
        <x:f>IF($A13="","",IF(OR(NOT(ISNUMBER($H13)),$H13&lt;1,AND($I13&lt;&gt;"",OR(NOT(ISNUMBER($I13)),$I13&lt;0)),AND($J13&lt;&gt;"",OR(NOT(ISNUMBER($J13)),$J13&lt;=0))),"人力參數不正確",IF($H13&lt;&gt;_xlfn.XLOOKUP($F13,'排班模式清單'!$A$7:$A$169,'排班模式清單'!$F$7:$F$169,-1,0),"主跟診人數與規則不符",IF($I13&lt;&gt;_xlfn.XLOOKUP($F13,'排班模式清單'!$A$7:$A$169,'排班模式清單'!$G$7:$G$169,-1,0),"支援人數與規則不符",IF(AND($I13&gt;0,$J13=""),"缺少支援分鐘",IF(AND($J13&lt;&gt;"",$J13&lt;&gt;_xlfn.XLOOKUP($F13,'排班模式清單'!$A$7:$A$169,'排班模式清單'!$H$7:$H$169,"",0)),"支援分鐘與規則不符","通過"))))))</x:f>
      </x:c>
      <x:c r="AD13" s="533" t="str">
        <x:f>IF($A13="","",IF($K13="範例","範例",IF($K13="取消","已取消",IF($K13="草稿","草稿待完成",IF($K13&lt;&gt;"正式","資料狀態待選擇",IF(COUNTIFS($Y13:$AC13,"通過")=5,"可進入排班","正式建檔未完成"))))))</x:f>
      </x:c>
      <x:c r="AE13" s="533" t="str">
        <x:f>IF($A13="","",IF($K13&lt;&gt;"正式","不適用",IF($AD13&lt;&gt;"可進入排班","基本資料未完成",IF($X13="確認完成","確認完成",$X13))))</x:f>
      </x:c>
      <x:c r="AF13" s="533" t="str">
        <x:f>IF($A13="","",IF($AD13="範例","範例不需發布",IF($AD13="已取消","已取消",IF($AD13="草稿待完成","完成基本欄位並改為正式",IF($AD13="資料狀態待選擇","選擇資料狀態",IF($AD13="正式建檔未完成","依左側未通過檢核修正",IF($X13&lt;&gt;"確認完成","依三週／一週確認欄位繼續處理","可進入正式試排驗收")))))))</x:f>
      </x:c>
    </x:row>
    <x:row r="14">
      <x:c r="A14" s="81"/>
      <x:c r="B14" s="82"/>
      <x:c r="C14" s="83"/>
      <x:c r="D14" s="83"/>
      <x:c r="E14" s="81"/>
      <x:c r="F14" s="81"/>
      <x:c r="G14" s="81"/>
      <x:c r="H14" s="81"/>
      <x:c r="I14" s="84" t="str">
        <x:f>IF($F14="","",_xlfn.XLOOKUP($F14,'排班模式清單'!$A$7:$A$169,'排班模式清單'!$G$7:$G$169,"模式未建立",0))</x:f>
      </x:c>
      <x:c r="J14" s="84" t="str">
        <x:f>IF($F14="","",_xlfn.XLOOKUP($F14,'排班模式清單'!$A$7:$A$169,'排班模式清單'!$H$7:$H$169,"",0))</x:f>
      </x:c>
      <x:c r="K14" s="81"/>
      <x:c r="L14" s="81"/>
      <x:c r="M14" s="191" t="str">
        <x:f>IF($B14="","",$B14-21)</x:f>
      </x:c>
      <x:c r="N14" s="190"/>
      <x:c r="O14" s="192"/>
      <x:c r="P14" s="191" t="str">
        <x:f>IF($B14="","",$B14-7)</x:f>
      </x:c>
      <x:c r="Q14" s="190"/>
      <x:c r="R14" s="192"/>
      <x:c r="S14" s="190"/>
      <x:c r="T14" s="190"/>
      <x:c r="U14" s="190"/>
      <x:c r="V14" s="190"/>
      <x:c r="W14" s="190"/>
      <x:c r="X14" s="189" t="str">
        <x:f>IF($A14="","",IF(OR($G14="",$G14="待確認",$N14="",$O14=""),"待三週前標記",IF(OR($Q14="",$R14="",$S14=""),"待一週前確認",IF(OR($S14="影響人力",$T14&lt;&gt;"無異動"),IF(OR($U14="",$V14="",$W14="",$V14="未處理"),"人力異動待處理",IF(AND(OR($T14="療程取消",$T14="病患取消"),NOT(OR($V14="人力可調整",$V14="已改派",$V14="已結案"))),"人力釋出待處理","確認完成")),"確認完成"))))</x:f>
      </x:c>
      <x:c r="Y14" s="533" t="str">
        <x:f>IF($A14="","",IF(COUNTIFS($A$7:$A$36,$A14)=1,"通過","編號重複"))</x:f>
      </x:c>
      <x:c r="Z14" s="533" t="str">
        <x:f>IF($A14="","",IF(OR($B14="",$C14="",$D14="",$E14="",$F14="",$G14="",$H14="",$K14=""),"缺少必填","通過"))</x:f>
      </x:c>
      <x:c r="AA14" s="533" t="str">
        <x:f>IF($A14="","",IF(OR(NOT(ISNUMBER($B14)),NOT(ISNUMBER($C14)),NOT(ISNUMBER($D14))),"日期或時間格式不正確",IF($D14&lt;=$C14,"結束時間須晚於開始","通過")))</x:f>
      </x:c>
      <x:c r="AB14" s="533" t="str">
        <x:f>IF($A14="","",IF(COUNTIFS('排班模式清單'!$A$7:$A$169,$F14,'排班模式清單'!$B$7:$B$169,$E14,'排班模式清單'!$Q$7:$Q$169,$F14)=1,"通過","醫師或模式未通過匯入閘門"))</x:f>
      </x:c>
      <x:c r="AC14" s="533" t="str">
        <x:f>IF($A14="","",IF(OR(NOT(ISNUMBER($H14)),$H14&lt;1,AND($I14&lt;&gt;"",OR(NOT(ISNUMBER($I14)),$I14&lt;0)),AND($J14&lt;&gt;"",OR(NOT(ISNUMBER($J14)),$J14&lt;=0))),"人力參數不正確",IF($H14&lt;&gt;_xlfn.XLOOKUP($F14,'排班模式清單'!$A$7:$A$169,'排班模式清單'!$F$7:$F$169,-1,0),"主跟診人數與規則不符",IF($I14&lt;&gt;_xlfn.XLOOKUP($F14,'排班模式清單'!$A$7:$A$169,'排班模式清單'!$G$7:$G$169,-1,0),"支援人數與規則不符",IF(AND($I14&gt;0,$J14=""),"缺少支援分鐘",IF(AND($J14&lt;&gt;"",$J14&lt;&gt;_xlfn.XLOOKUP($F14,'排班模式清單'!$A$7:$A$169,'排班模式清單'!$H$7:$H$169,"",0)),"支援分鐘與規則不符","通過"))))))</x:f>
      </x:c>
      <x:c r="AD14" s="533" t="str">
        <x:f>IF($A14="","",IF($K14="範例","範例",IF($K14="取消","已取消",IF($K14="草稿","草稿待完成",IF($K14&lt;&gt;"正式","資料狀態待選擇",IF(COUNTIFS($Y14:$AC14,"通過")=5,"可進入排班","正式建檔未完成"))))))</x:f>
      </x:c>
      <x:c r="AE14" s="533" t="str">
        <x:f>IF($A14="","",IF($K14&lt;&gt;"正式","不適用",IF($AD14&lt;&gt;"可進入排班","基本資料未完成",IF($X14="確認完成","確認完成",$X14))))</x:f>
      </x:c>
      <x:c r="AF14" s="533" t="str">
        <x:f>IF($A14="","",IF($AD14="範例","範例不需發布",IF($AD14="已取消","已取消",IF($AD14="草稿待完成","完成基本欄位並改為正式",IF($AD14="資料狀態待選擇","選擇資料狀態",IF($AD14="正式建檔未完成","依左側未通過檢核修正",IF($X14&lt;&gt;"確認完成","依三週／一週確認欄位繼續處理","可進入正式試排驗收")))))))</x:f>
      </x:c>
    </x:row>
    <x:row r="15">
      <x:c r="A15" s="81"/>
      <x:c r="B15" s="82"/>
      <x:c r="C15" s="83"/>
      <x:c r="D15" s="83"/>
      <x:c r="E15" s="81"/>
      <x:c r="F15" s="81"/>
      <x:c r="G15" s="81"/>
      <x:c r="H15" s="81"/>
      <x:c r="I15" s="84" t="str">
        <x:f>IF($F15="","",_xlfn.XLOOKUP($F15,'排班模式清單'!$A$7:$A$169,'排班模式清單'!$G$7:$G$169,"模式未建立",0))</x:f>
      </x:c>
      <x:c r="J15" s="84" t="str">
        <x:f>IF($F15="","",_xlfn.XLOOKUP($F15,'排班模式清單'!$A$7:$A$169,'排班模式清單'!$H$7:$H$169,"",0))</x:f>
      </x:c>
      <x:c r="K15" s="81"/>
      <x:c r="L15" s="81"/>
      <x:c r="M15" s="191" t="str">
        <x:f>IF($B15="","",$B15-21)</x:f>
      </x:c>
      <x:c r="N15" s="190"/>
      <x:c r="O15" s="192"/>
      <x:c r="P15" s="191" t="str">
        <x:f>IF($B15="","",$B15-7)</x:f>
      </x:c>
      <x:c r="Q15" s="190"/>
      <x:c r="R15" s="192"/>
      <x:c r="S15" s="190"/>
      <x:c r="T15" s="190"/>
      <x:c r="U15" s="190"/>
      <x:c r="V15" s="190"/>
      <x:c r="W15" s="190"/>
      <x:c r="X15" s="189" t="str">
        <x:f>IF($A15="","",IF(OR($G15="",$G15="待確認",$N15="",$O15=""),"待三週前標記",IF(OR($Q15="",$R15="",$S15=""),"待一週前確認",IF(OR($S15="影響人力",$T15&lt;&gt;"無異動"),IF(OR($U15="",$V15="",$W15="",$V15="未處理"),"人力異動待處理",IF(AND(OR($T15="療程取消",$T15="病患取消"),NOT(OR($V15="人力可調整",$V15="已改派",$V15="已結案"))),"人力釋出待處理","確認完成")),"確認完成"))))</x:f>
      </x:c>
      <x:c r="Y15" s="533" t="str">
        <x:f>IF($A15="","",IF(COUNTIFS($A$7:$A$36,$A15)=1,"通過","編號重複"))</x:f>
      </x:c>
      <x:c r="Z15" s="533" t="str">
        <x:f>IF($A15="","",IF(OR($B15="",$C15="",$D15="",$E15="",$F15="",$G15="",$H15="",$K15=""),"缺少必填","通過"))</x:f>
      </x:c>
      <x:c r="AA15" s="533" t="str">
        <x:f>IF($A15="","",IF(OR(NOT(ISNUMBER($B15)),NOT(ISNUMBER($C15)),NOT(ISNUMBER($D15))),"日期或時間格式不正確",IF($D15&lt;=$C15,"結束時間須晚於開始","通過")))</x:f>
      </x:c>
      <x:c r="AB15" s="533" t="str">
        <x:f>IF($A15="","",IF(COUNTIFS('排班模式清單'!$A$7:$A$169,$F15,'排班模式清單'!$B$7:$B$169,$E15,'排班模式清單'!$Q$7:$Q$169,$F15)=1,"通過","醫師或模式未通過匯入閘門"))</x:f>
      </x:c>
      <x:c r="AC15" s="533" t="str">
        <x:f>IF($A15="","",IF(OR(NOT(ISNUMBER($H15)),$H15&lt;1,AND($I15&lt;&gt;"",OR(NOT(ISNUMBER($I15)),$I15&lt;0)),AND($J15&lt;&gt;"",OR(NOT(ISNUMBER($J15)),$J15&lt;=0))),"人力參數不正確",IF($H15&lt;&gt;_xlfn.XLOOKUP($F15,'排班模式清單'!$A$7:$A$169,'排班模式清單'!$F$7:$F$169,-1,0),"主跟診人數與規則不符",IF($I15&lt;&gt;_xlfn.XLOOKUP($F15,'排班模式清單'!$A$7:$A$169,'排班模式清單'!$G$7:$G$169,-1,0),"支援人數與規則不符",IF(AND($I15&gt;0,$J15=""),"缺少支援分鐘",IF(AND($J15&lt;&gt;"",$J15&lt;&gt;_xlfn.XLOOKUP($F15,'排班模式清單'!$A$7:$A$169,'排班模式清單'!$H$7:$H$169,"",0)),"支援分鐘與規則不符","通過"))))))</x:f>
      </x:c>
      <x:c r="AD15" s="533" t="str">
        <x:f>IF($A15="","",IF($K15="範例","範例",IF($K15="取消","已取消",IF($K15="草稿","草稿待完成",IF($K15&lt;&gt;"正式","資料狀態待選擇",IF(COUNTIFS($Y15:$AC15,"通過")=5,"可進入排班","正式建檔未完成"))))))</x:f>
      </x:c>
      <x:c r="AE15" s="533" t="str">
        <x:f>IF($A15="","",IF($K15&lt;&gt;"正式","不適用",IF($AD15&lt;&gt;"可進入排班","基本資料未完成",IF($X15="確認完成","確認完成",$X15))))</x:f>
      </x:c>
      <x:c r="AF15" s="533" t="str">
        <x:f>IF($A15="","",IF($AD15="範例","範例不需發布",IF($AD15="已取消","已取消",IF($AD15="草稿待完成","完成基本欄位並改為正式",IF($AD15="資料狀態待選擇","選擇資料狀態",IF($AD15="正式建檔未完成","依左側未通過檢核修正",IF($X15&lt;&gt;"確認完成","依三週／一週確認欄位繼續處理","可進入正式試排驗收")))))))</x:f>
      </x:c>
    </x:row>
    <x:row r="16">
      <x:c r="A16" s="81"/>
      <x:c r="B16" s="82"/>
      <x:c r="C16" s="83"/>
      <x:c r="D16" s="83"/>
      <x:c r="E16" s="81"/>
      <x:c r="F16" s="81"/>
      <x:c r="G16" s="81"/>
      <x:c r="H16" s="81"/>
      <x:c r="I16" s="84" t="str">
        <x:f>IF($F16="","",_xlfn.XLOOKUP($F16,'排班模式清單'!$A$7:$A$169,'排班模式清單'!$G$7:$G$169,"模式未建立",0))</x:f>
      </x:c>
      <x:c r="J16" s="84" t="str">
        <x:f>IF($F16="","",_xlfn.XLOOKUP($F16,'排班模式清單'!$A$7:$A$169,'排班模式清單'!$H$7:$H$169,"",0))</x:f>
      </x:c>
      <x:c r="K16" s="81"/>
      <x:c r="L16" s="81"/>
      <x:c r="M16" s="191" t="str">
        <x:f>IF($B16="","",$B16-21)</x:f>
      </x:c>
      <x:c r="N16" s="190"/>
      <x:c r="O16" s="192"/>
      <x:c r="P16" s="191" t="str">
        <x:f>IF($B16="","",$B16-7)</x:f>
      </x:c>
      <x:c r="Q16" s="190"/>
      <x:c r="R16" s="192"/>
      <x:c r="S16" s="190"/>
      <x:c r="T16" s="190"/>
      <x:c r="U16" s="190"/>
      <x:c r="V16" s="190"/>
      <x:c r="W16" s="190"/>
      <x:c r="X16" s="189" t="str">
        <x:f>IF($A16="","",IF(OR($G16="",$G16="待確認",$N16="",$O16=""),"待三週前標記",IF(OR($Q16="",$R16="",$S16=""),"待一週前確認",IF(OR($S16="影響人力",$T16&lt;&gt;"無異動"),IF(OR($U16="",$V16="",$W16="",$V16="未處理"),"人力異動待處理",IF(AND(OR($T16="療程取消",$T16="病患取消"),NOT(OR($V16="人力可調整",$V16="已改派",$V16="已結案"))),"人力釋出待處理","確認完成")),"確認完成"))))</x:f>
      </x:c>
      <x:c r="Y16" s="533" t="str">
        <x:f>IF($A16="","",IF(COUNTIFS($A$7:$A$36,$A16)=1,"通過","編號重複"))</x:f>
      </x:c>
      <x:c r="Z16" s="533" t="str">
        <x:f>IF($A16="","",IF(OR($B16="",$C16="",$D16="",$E16="",$F16="",$G16="",$H16="",$K16=""),"缺少必填","通過"))</x:f>
      </x:c>
      <x:c r="AA16" s="533" t="str">
        <x:f>IF($A16="","",IF(OR(NOT(ISNUMBER($B16)),NOT(ISNUMBER($C16)),NOT(ISNUMBER($D16))),"日期或時間格式不正確",IF($D16&lt;=$C16,"結束時間須晚於開始","通過")))</x:f>
      </x:c>
      <x:c r="AB16" s="533" t="str">
        <x:f>IF($A16="","",IF(COUNTIFS('排班模式清單'!$A$7:$A$169,$F16,'排班模式清單'!$B$7:$B$169,$E16,'排班模式清單'!$Q$7:$Q$169,$F16)=1,"通過","醫師或模式未通過匯入閘門"))</x:f>
      </x:c>
      <x:c r="AC16" s="533" t="str">
        <x:f>IF($A16="","",IF(OR(NOT(ISNUMBER($H16)),$H16&lt;1,AND($I16&lt;&gt;"",OR(NOT(ISNUMBER($I16)),$I16&lt;0)),AND($J16&lt;&gt;"",OR(NOT(ISNUMBER($J16)),$J16&lt;=0))),"人力參數不正確",IF($H16&lt;&gt;_xlfn.XLOOKUP($F16,'排班模式清單'!$A$7:$A$169,'排班模式清單'!$F$7:$F$169,-1,0),"主跟診人數與規則不符",IF($I16&lt;&gt;_xlfn.XLOOKUP($F16,'排班模式清單'!$A$7:$A$169,'排班模式清單'!$G$7:$G$169,-1,0),"支援人數與規則不符",IF(AND($I16&gt;0,$J16=""),"缺少支援分鐘",IF(AND($J16&lt;&gt;"",$J16&lt;&gt;_xlfn.XLOOKUP($F16,'排班模式清單'!$A$7:$A$169,'排班模式清單'!$H$7:$H$169,"",0)),"支援分鐘與規則不符","通過"))))))</x:f>
      </x:c>
      <x:c r="AD16" s="533" t="str">
        <x:f>IF($A16="","",IF($K16="範例","範例",IF($K16="取消","已取消",IF($K16="草稿","草稿待完成",IF($K16&lt;&gt;"正式","資料狀態待選擇",IF(COUNTIFS($Y16:$AC16,"通過")=5,"可進入排班","正式建檔未完成"))))))</x:f>
      </x:c>
      <x:c r="AE16" s="533" t="str">
        <x:f>IF($A16="","",IF($K16&lt;&gt;"正式","不適用",IF($AD16&lt;&gt;"可進入排班","基本資料未完成",IF($X16="確認完成","確認完成",$X16))))</x:f>
      </x:c>
      <x:c r="AF16" s="533" t="str">
        <x:f>IF($A16="","",IF($AD16="範例","範例不需發布",IF($AD16="已取消","已取消",IF($AD16="草稿待完成","完成基本欄位並改為正式",IF($AD16="資料狀態待選擇","選擇資料狀態",IF($AD16="正式建檔未完成","依左側未通過檢核修正",IF($X16&lt;&gt;"確認完成","依三週／一週確認欄位繼續處理","可進入正式試排驗收")))))))</x:f>
      </x:c>
    </x:row>
    <x:row r="17">
      <x:c r="A17" s="81"/>
      <x:c r="B17" s="82"/>
      <x:c r="C17" s="83"/>
      <x:c r="D17" s="83"/>
      <x:c r="E17" s="81"/>
      <x:c r="F17" s="81"/>
      <x:c r="G17" s="81"/>
      <x:c r="H17" s="81"/>
      <x:c r="I17" s="84" t="str">
        <x:f>IF($F17="","",_xlfn.XLOOKUP($F17,'排班模式清單'!$A$7:$A$169,'排班模式清單'!$G$7:$G$169,"模式未建立",0))</x:f>
      </x:c>
      <x:c r="J17" s="84" t="str">
        <x:f>IF($F17="","",_xlfn.XLOOKUP($F17,'排班模式清單'!$A$7:$A$169,'排班模式清單'!$H$7:$H$169,"",0))</x:f>
      </x:c>
      <x:c r="K17" s="81"/>
      <x:c r="L17" s="81"/>
      <x:c r="M17" s="191" t="str">
        <x:f>IF($B17="","",$B17-21)</x:f>
      </x:c>
      <x:c r="N17" s="190"/>
      <x:c r="O17" s="192"/>
      <x:c r="P17" s="191" t="str">
        <x:f>IF($B17="","",$B17-7)</x:f>
      </x:c>
      <x:c r="Q17" s="190"/>
      <x:c r="R17" s="192"/>
      <x:c r="S17" s="190"/>
      <x:c r="T17" s="190"/>
      <x:c r="U17" s="190"/>
      <x:c r="V17" s="190"/>
      <x:c r="W17" s="190"/>
      <x:c r="X17" s="189" t="str">
        <x:f>IF($A17="","",IF(OR($G17="",$G17="待確認",$N17="",$O17=""),"待三週前標記",IF(OR($Q17="",$R17="",$S17=""),"待一週前確認",IF(OR($S17="影響人力",$T17&lt;&gt;"無異動"),IF(OR($U17="",$V17="",$W17="",$V17="未處理"),"人力異動待處理",IF(AND(OR($T17="療程取消",$T17="病患取消"),NOT(OR($V17="人力可調整",$V17="已改派",$V17="已結案"))),"人力釋出待處理","確認完成")),"確認完成"))))</x:f>
      </x:c>
      <x:c r="Y17" s="533" t="str">
        <x:f>IF($A17="","",IF(COUNTIFS($A$7:$A$36,$A17)=1,"通過","編號重複"))</x:f>
      </x:c>
      <x:c r="Z17" s="533" t="str">
        <x:f>IF($A17="","",IF(OR($B17="",$C17="",$D17="",$E17="",$F17="",$G17="",$H17="",$K17=""),"缺少必填","通過"))</x:f>
      </x:c>
      <x:c r="AA17" s="533" t="str">
        <x:f>IF($A17="","",IF(OR(NOT(ISNUMBER($B17)),NOT(ISNUMBER($C17)),NOT(ISNUMBER($D17))),"日期或時間格式不正確",IF($D17&lt;=$C17,"結束時間須晚於開始","通過")))</x:f>
      </x:c>
      <x:c r="AB17" s="533" t="str">
        <x:f>IF($A17="","",IF(COUNTIFS('排班模式清單'!$A$7:$A$169,$F17,'排班模式清單'!$B$7:$B$169,$E17,'排班模式清單'!$Q$7:$Q$169,$F17)=1,"通過","醫師或模式未通過匯入閘門"))</x:f>
      </x:c>
      <x:c r="AC17" s="533" t="str">
        <x:f>IF($A17="","",IF(OR(NOT(ISNUMBER($H17)),$H17&lt;1,AND($I17&lt;&gt;"",OR(NOT(ISNUMBER($I17)),$I17&lt;0)),AND($J17&lt;&gt;"",OR(NOT(ISNUMBER($J17)),$J17&lt;=0))),"人力參數不正確",IF($H17&lt;&gt;_xlfn.XLOOKUP($F17,'排班模式清單'!$A$7:$A$169,'排班模式清單'!$F$7:$F$169,-1,0),"主跟診人數與規則不符",IF($I17&lt;&gt;_xlfn.XLOOKUP($F17,'排班模式清單'!$A$7:$A$169,'排班模式清單'!$G$7:$G$169,-1,0),"支援人數與規則不符",IF(AND($I17&gt;0,$J17=""),"缺少支援分鐘",IF(AND($J17&lt;&gt;"",$J17&lt;&gt;_xlfn.XLOOKUP($F17,'排班模式清單'!$A$7:$A$169,'排班模式清單'!$H$7:$H$169,"",0)),"支援分鐘與規則不符","通過"))))))</x:f>
      </x:c>
      <x:c r="AD17" s="533" t="str">
        <x:f>IF($A17="","",IF($K17="範例","範例",IF($K17="取消","已取消",IF($K17="草稿","草稿待完成",IF($K17&lt;&gt;"正式","資料狀態待選擇",IF(COUNTIFS($Y17:$AC17,"通過")=5,"可進入排班","正式建檔未完成"))))))</x:f>
      </x:c>
      <x:c r="AE17" s="533" t="str">
        <x:f>IF($A17="","",IF($K17&lt;&gt;"正式","不適用",IF($AD17&lt;&gt;"可進入排班","基本資料未完成",IF($X17="確認完成","確認完成",$X17))))</x:f>
      </x:c>
      <x:c r="AF17" s="533" t="str">
        <x:f>IF($A17="","",IF($AD17="範例","範例不需發布",IF($AD17="已取消","已取消",IF($AD17="草稿待完成","完成基本欄位並改為正式",IF($AD17="資料狀態待選擇","選擇資料狀態",IF($AD17="正式建檔未完成","依左側未通過檢核修正",IF($X17&lt;&gt;"確認完成","依三週／一週確認欄位繼續處理","可進入正式試排驗收")))))))</x:f>
      </x:c>
    </x:row>
    <x:row r="18">
      <x:c r="A18" s="81"/>
      <x:c r="B18" s="82"/>
      <x:c r="C18" s="83"/>
      <x:c r="D18" s="83"/>
      <x:c r="E18" s="81"/>
      <x:c r="F18" s="81"/>
      <x:c r="G18" s="81"/>
      <x:c r="H18" s="81"/>
      <x:c r="I18" s="84" t="str">
        <x:f>IF($F18="","",_xlfn.XLOOKUP($F18,'排班模式清單'!$A$7:$A$169,'排班模式清單'!$G$7:$G$169,"模式未建立",0))</x:f>
      </x:c>
      <x:c r="J18" s="84" t="str">
        <x:f>IF($F18="","",_xlfn.XLOOKUP($F18,'排班模式清單'!$A$7:$A$169,'排班模式清單'!$H$7:$H$169,"",0))</x:f>
      </x:c>
      <x:c r="K18" s="81"/>
      <x:c r="L18" s="81"/>
      <x:c r="M18" s="191" t="str">
        <x:f>IF($B18="","",$B18-21)</x:f>
      </x:c>
      <x:c r="N18" s="190"/>
      <x:c r="O18" s="192"/>
      <x:c r="P18" s="191" t="str">
        <x:f>IF($B18="","",$B18-7)</x:f>
      </x:c>
      <x:c r="Q18" s="190"/>
      <x:c r="R18" s="192"/>
      <x:c r="S18" s="190"/>
      <x:c r="T18" s="190"/>
      <x:c r="U18" s="190"/>
      <x:c r="V18" s="190"/>
      <x:c r="W18" s="190"/>
      <x:c r="X18" s="189" t="str">
        <x:f>IF($A18="","",IF(OR($G18="",$G18="待確認",$N18="",$O18=""),"待三週前標記",IF(OR($Q18="",$R18="",$S18=""),"待一週前確認",IF(OR($S18="影響人力",$T18&lt;&gt;"無異動"),IF(OR($U18="",$V18="",$W18="",$V18="未處理"),"人力異動待處理",IF(AND(OR($T18="療程取消",$T18="病患取消"),NOT(OR($V18="人力可調整",$V18="已改派",$V18="已結案"))),"人力釋出待處理","確認完成")),"確認完成"))))</x:f>
      </x:c>
      <x:c r="Y18" s="533" t="str">
        <x:f>IF($A18="","",IF(COUNTIFS($A$7:$A$36,$A18)=1,"通過","編號重複"))</x:f>
      </x:c>
      <x:c r="Z18" s="533" t="str">
        <x:f>IF($A18="","",IF(OR($B18="",$C18="",$D18="",$E18="",$F18="",$G18="",$H18="",$K18=""),"缺少必填","通過"))</x:f>
      </x:c>
      <x:c r="AA18" s="533" t="str">
        <x:f>IF($A18="","",IF(OR(NOT(ISNUMBER($B18)),NOT(ISNUMBER($C18)),NOT(ISNUMBER($D18))),"日期或時間格式不正確",IF($D18&lt;=$C18,"結束時間須晚於開始","通過")))</x:f>
      </x:c>
      <x:c r="AB18" s="533" t="str">
        <x:f>IF($A18="","",IF(COUNTIFS('排班模式清單'!$A$7:$A$169,$F18,'排班模式清單'!$B$7:$B$169,$E18,'排班模式清單'!$Q$7:$Q$169,$F18)=1,"通過","醫師或模式未通過匯入閘門"))</x:f>
      </x:c>
      <x:c r="AC18" s="533" t="str">
        <x:f>IF($A18="","",IF(OR(NOT(ISNUMBER($H18)),$H18&lt;1,AND($I18&lt;&gt;"",OR(NOT(ISNUMBER($I18)),$I18&lt;0)),AND($J18&lt;&gt;"",OR(NOT(ISNUMBER($J18)),$J18&lt;=0))),"人力參數不正確",IF($H18&lt;&gt;_xlfn.XLOOKUP($F18,'排班模式清單'!$A$7:$A$169,'排班模式清單'!$F$7:$F$169,-1,0),"主跟診人數與規則不符",IF($I18&lt;&gt;_xlfn.XLOOKUP($F18,'排班模式清單'!$A$7:$A$169,'排班模式清單'!$G$7:$G$169,-1,0),"支援人數與規則不符",IF(AND($I18&gt;0,$J18=""),"缺少支援分鐘",IF(AND($J18&lt;&gt;"",$J18&lt;&gt;_xlfn.XLOOKUP($F18,'排班模式清單'!$A$7:$A$169,'排班模式清單'!$H$7:$H$169,"",0)),"支援分鐘與規則不符","通過"))))))</x:f>
      </x:c>
      <x:c r="AD18" s="533" t="str">
        <x:f>IF($A18="","",IF($K18="範例","範例",IF($K18="取消","已取消",IF($K18="草稿","草稿待完成",IF($K18&lt;&gt;"正式","資料狀態待選擇",IF(COUNTIFS($Y18:$AC18,"通過")=5,"可進入排班","正式建檔未完成"))))))</x:f>
      </x:c>
      <x:c r="AE18" s="533" t="str">
        <x:f>IF($A18="","",IF($K18&lt;&gt;"正式","不適用",IF($AD18&lt;&gt;"可進入排班","基本資料未完成",IF($X18="確認完成","確認完成",$X18))))</x:f>
      </x:c>
      <x:c r="AF18" s="533" t="str">
        <x:f>IF($A18="","",IF($AD18="範例","範例不需發布",IF($AD18="已取消","已取消",IF($AD18="草稿待完成","完成基本欄位並改為正式",IF($AD18="資料狀態待選擇","選擇資料狀態",IF($AD18="正式建檔未完成","依左側未通過檢核修正",IF($X18&lt;&gt;"確認完成","依三週／一週確認欄位繼續處理","可進入正式試排驗收")))))))</x:f>
      </x:c>
    </x:row>
    <x:row r="19">
      <x:c r="A19" s="81"/>
      <x:c r="B19" s="82"/>
      <x:c r="C19" s="83"/>
      <x:c r="D19" s="83"/>
      <x:c r="E19" s="81"/>
      <x:c r="F19" s="81"/>
      <x:c r="G19" s="81"/>
      <x:c r="H19" s="81"/>
      <x:c r="I19" s="84" t="str">
        <x:f>IF($F19="","",_xlfn.XLOOKUP($F19,'排班模式清單'!$A$7:$A$169,'排班模式清單'!$G$7:$G$169,"模式未建立",0))</x:f>
      </x:c>
      <x:c r="J19" s="84" t="str">
        <x:f>IF($F19="","",_xlfn.XLOOKUP($F19,'排班模式清單'!$A$7:$A$169,'排班模式清單'!$H$7:$H$169,"",0))</x:f>
      </x:c>
      <x:c r="K19" s="81"/>
      <x:c r="L19" s="81"/>
      <x:c r="M19" s="191" t="str">
        <x:f>IF($B19="","",$B19-21)</x:f>
      </x:c>
      <x:c r="N19" s="190"/>
      <x:c r="O19" s="192"/>
      <x:c r="P19" s="191" t="str">
        <x:f>IF($B19="","",$B19-7)</x:f>
      </x:c>
      <x:c r="Q19" s="190"/>
      <x:c r="R19" s="192"/>
      <x:c r="S19" s="190"/>
      <x:c r="T19" s="190"/>
      <x:c r="U19" s="190"/>
      <x:c r="V19" s="190"/>
      <x:c r="W19" s="190"/>
      <x:c r="X19" s="189" t="str">
        <x:f>IF($A19="","",IF(OR($G19="",$G19="待確認",$N19="",$O19=""),"待三週前標記",IF(OR($Q19="",$R19="",$S19=""),"待一週前確認",IF(OR($S19="影響人力",$T19&lt;&gt;"無異動"),IF(OR($U19="",$V19="",$W19="",$V19="未處理"),"人力異動待處理",IF(AND(OR($T19="療程取消",$T19="病患取消"),NOT(OR($V19="人力可調整",$V19="已改派",$V19="已結案"))),"人力釋出待處理","確認完成")),"確認完成"))))</x:f>
      </x:c>
      <x:c r="Y19" s="533" t="str">
        <x:f>IF($A19="","",IF(COUNTIFS($A$7:$A$36,$A19)=1,"通過","編號重複"))</x:f>
      </x:c>
      <x:c r="Z19" s="533" t="str">
        <x:f>IF($A19="","",IF(OR($B19="",$C19="",$D19="",$E19="",$F19="",$G19="",$H19="",$K19=""),"缺少必填","通過"))</x:f>
      </x:c>
      <x:c r="AA19" s="533" t="str">
        <x:f>IF($A19="","",IF(OR(NOT(ISNUMBER($B19)),NOT(ISNUMBER($C19)),NOT(ISNUMBER($D19))),"日期或時間格式不正確",IF($D19&lt;=$C19,"結束時間須晚於開始","通過")))</x:f>
      </x:c>
      <x:c r="AB19" s="533" t="str">
        <x:f>IF($A19="","",IF(COUNTIFS('排班模式清單'!$A$7:$A$169,$F19,'排班模式清單'!$B$7:$B$169,$E19,'排班模式清單'!$Q$7:$Q$169,$F19)=1,"通過","醫師或模式未通過匯入閘門"))</x:f>
      </x:c>
      <x:c r="AC19" s="533" t="str">
        <x:f>IF($A19="","",IF(OR(NOT(ISNUMBER($H19)),$H19&lt;1,AND($I19&lt;&gt;"",OR(NOT(ISNUMBER($I19)),$I19&lt;0)),AND($J19&lt;&gt;"",OR(NOT(ISNUMBER($J19)),$J19&lt;=0))),"人力參數不正確",IF($H19&lt;&gt;_xlfn.XLOOKUP($F19,'排班模式清單'!$A$7:$A$169,'排班模式清單'!$F$7:$F$169,-1,0),"主跟診人數與規則不符",IF($I19&lt;&gt;_xlfn.XLOOKUP($F19,'排班模式清單'!$A$7:$A$169,'排班模式清單'!$G$7:$G$169,-1,0),"支援人數與規則不符",IF(AND($I19&gt;0,$J19=""),"缺少支援分鐘",IF(AND($J19&lt;&gt;"",$J19&lt;&gt;_xlfn.XLOOKUP($F19,'排班模式清單'!$A$7:$A$169,'排班模式清單'!$H$7:$H$169,"",0)),"支援分鐘與規則不符","通過"))))))</x:f>
      </x:c>
      <x:c r="AD19" s="533" t="str">
        <x:f>IF($A19="","",IF($K19="範例","範例",IF($K19="取消","已取消",IF($K19="草稿","草稿待完成",IF($K19&lt;&gt;"正式","資料狀態待選擇",IF(COUNTIFS($Y19:$AC19,"通過")=5,"可進入排班","正式建檔未完成"))))))</x:f>
      </x:c>
      <x:c r="AE19" s="533" t="str">
        <x:f>IF($A19="","",IF($K19&lt;&gt;"正式","不適用",IF($AD19&lt;&gt;"可進入排班","基本資料未完成",IF($X19="確認完成","確認完成",$X19))))</x:f>
      </x:c>
      <x:c r="AF19" s="533" t="str">
        <x:f>IF($A19="","",IF($AD19="範例","範例不需發布",IF($AD19="已取消","已取消",IF($AD19="草稿待完成","完成基本欄位並改為正式",IF($AD19="資料狀態待選擇","選擇資料狀態",IF($AD19="正式建檔未完成","依左側未通過檢核修正",IF($X19&lt;&gt;"確認完成","依三週／一週確認欄位繼續處理","可進入正式試排驗收")))))))</x:f>
      </x:c>
    </x:row>
    <x:row r="20">
      <x:c r="A20" s="81"/>
      <x:c r="B20" s="82"/>
      <x:c r="C20" s="83"/>
      <x:c r="D20" s="83"/>
      <x:c r="E20" s="81"/>
      <x:c r="F20" s="81"/>
      <x:c r="G20" s="81"/>
      <x:c r="H20" s="81"/>
      <x:c r="I20" s="84" t="str">
        <x:f>IF($F20="","",_xlfn.XLOOKUP($F20,'排班模式清單'!$A$7:$A$169,'排班模式清單'!$G$7:$G$169,"模式未建立",0))</x:f>
      </x:c>
      <x:c r="J20" s="84" t="str">
        <x:f>IF($F20="","",_xlfn.XLOOKUP($F20,'排班模式清單'!$A$7:$A$169,'排班模式清單'!$H$7:$H$169,"",0))</x:f>
      </x:c>
      <x:c r="K20" s="81"/>
      <x:c r="L20" s="81"/>
      <x:c r="M20" s="191" t="str">
        <x:f>IF($B20="","",$B20-21)</x:f>
      </x:c>
      <x:c r="N20" s="190"/>
      <x:c r="O20" s="192"/>
      <x:c r="P20" s="191" t="str">
        <x:f>IF($B20="","",$B20-7)</x:f>
      </x:c>
      <x:c r="Q20" s="190"/>
      <x:c r="R20" s="192"/>
      <x:c r="S20" s="190"/>
      <x:c r="T20" s="190"/>
      <x:c r="U20" s="190"/>
      <x:c r="V20" s="190"/>
      <x:c r="W20" s="190"/>
      <x:c r="X20" s="189" t="str">
        <x:f>IF($A20="","",IF(OR($G20="",$G20="待確認",$N20="",$O20=""),"待三週前標記",IF(OR($Q20="",$R20="",$S20=""),"待一週前確認",IF(OR($S20="影響人力",$T20&lt;&gt;"無異動"),IF(OR($U20="",$V20="",$W20="",$V20="未處理"),"人力異動待處理",IF(AND(OR($T20="療程取消",$T20="病患取消"),NOT(OR($V20="人力可調整",$V20="已改派",$V20="已結案"))),"人力釋出待處理","確認完成")),"確認完成"))))</x:f>
      </x:c>
      <x:c r="Y20" s="533" t="str">
        <x:f>IF($A20="","",IF(COUNTIFS($A$7:$A$36,$A20)=1,"通過","編號重複"))</x:f>
      </x:c>
      <x:c r="Z20" s="533" t="str">
        <x:f>IF($A20="","",IF(OR($B20="",$C20="",$D20="",$E20="",$F20="",$G20="",$H20="",$K20=""),"缺少必填","通過"))</x:f>
      </x:c>
      <x:c r="AA20" s="533" t="str">
        <x:f>IF($A20="","",IF(OR(NOT(ISNUMBER($B20)),NOT(ISNUMBER($C20)),NOT(ISNUMBER($D20))),"日期或時間格式不正確",IF($D20&lt;=$C20,"結束時間須晚於開始","通過")))</x:f>
      </x:c>
      <x:c r="AB20" s="533" t="str">
        <x:f>IF($A20="","",IF(COUNTIFS('排班模式清單'!$A$7:$A$169,$F20,'排班模式清單'!$B$7:$B$169,$E20,'排班模式清單'!$Q$7:$Q$169,$F20)=1,"通過","醫師或模式未通過匯入閘門"))</x:f>
      </x:c>
      <x:c r="AC20" s="533" t="str">
        <x:f>IF($A20="","",IF(OR(NOT(ISNUMBER($H20)),$H20&lt;1,AND($I20&lt;&gt;"",OR(NOT(ISNUMBER($I20)),$I20&lt;0)),AND($J20&lt;&gt;"",OR(NOT(ISNUMBER($J20)),$J20&lt;=0))),"人力參數不正確",IF($H20&lt;&gt;_xlfn.XLOOKUP($F20,'排班模式清單'!$A$7:$A$169,'排班模式清單'!$F$7:$F$169,-1,0),"主跟診人數與規則不符",IF($I20&lt;&gt;_xlfn.XLOOKUP($F20,'排班模式清單'!$A$7:$A$169,'排班模式清單'!$G$7:$G$169,-1,0),"支援人數與規則不符",IF(AND($I20&gt;0,$J20=""),"缺少支援分鐘",IF(AND($J20&lt;&gt;"",$J20&lt;&gt;_xlfn.XLOOKUP($F20,'排班模式清單'!$A$7:$A$169,'排班模式清單'!$H$7:$H$169,"",0)),"支援分鐘與規則不符","通過"))))))</x:f>
      </x:c>
      <x:c r="AD20" s="533" t="str">
        <x:f>IF($A20="","",IF($K20="範例","範例",IF($K20="取消","已取消",IF($K20="草稿","草稿待完成",IF($K20&lt;&gt;"正式","資料狀態待選擇",IF(COUNTIFS($Y20:$AC20,"通過")=5,"可進入排班","正式建檔未完成"))))))</x:f>
      </x:c>
      <x:c r="AE20" s="533" t="str">
        <x:f>IF($A20="","",IF($K20&lt;&gt;"正式","不適用",IF($AD20&lt;&gt;"可進入排班","基本資料未完成",IF($X20="確認完成","確認完成",$X20))))</x:f>
      </x:c>
      <x:c r="AF20" s="533" t="str">
        <x:f>IF($A20="","",IF($AD20="範例","範例不需發布",IF($AD20="已取消","已取消",IF($AD20="草稿待完成","完成基本欄位並改為正式",IF($AD20="資料狀態待選擇","選擇資料狀態",IF($AD20="正式建檔未完成","依左側未通過檢核修正",IF($X20&lt;&gt;"確認完成","依三週／一週確認欄位繼續處理","可進入正式試排驗收")))))))</x:f>
      </x:c>
    </x:row>
    <x:row r="21">
      <x:c r="A21" s="81"/>
      <x:c r="B21" s="82"/>
      <x:c r="C21" s="83"/>
      <x:c r="D21" s="83"/>
      <x:c r="E21" s="81"/>
      <x:c r="F21" s="81"/>
      <x:c r="G21" s="81"/>
      <x:c r="H21" s="81"/>
      <x:c r="I21" s="84" t="str">
        <x:f>IF($F21="","",_xlfn.XLOOKUP($F21,'排班模式清單'!$A$7:$A$169,'排班模式清單'!$G$7:$G$169,"模式未建立",0))</x:f>
      </x:c>
      <x:c r="J21" s="84" t="str">
        <x:f>IF($F21="","",_xlfn.XLOOKUP($F21,'排班模式清單'!$A$7:$A$169,'排班模式清單'!$H$7:$H$169,"",0))</x:f>
      </x:c>
      <x:c r="K21" s="81"/>
      <x:c r="L21" s="81"/>
      <x:c r="M21" s="191" t="str">
        <x:f>IF($B21="","",$B21-21)</x:f>
      </x:c>
      <x:c r="N21" s="190"/>
      <x:c r="O21" s="192"/>
      <x:c r="P21" s="191" t="str">
        <x:f>IF($B21="","",$B21-7)</x:f>
      </x:c>
      <x:c r="Q21" s="190"/>
      <x:c r="R21" s="192"/>
      <x:c r="S21" s="190"/>
      <x:c r="T21" s="190"/>
      <x:c r="U21" s="190"/>
      <x:c r="V21" s="190"/>
      <x:c r="W21" s="190"/>
      <x:c r="X21" s="189" t="str">
        <x:f>IF($A21="","",IF(OR($G21="",$G21="待確認",$N21="",$O21=""),"待三週前標記",IF(OR($Q21="",$R21="",$S21=""),"待一週前確認",IF(OR($S21="影響人力",$T21&lt;&gt;"無異動"),IF(OR($U21="",$V21="",$W21="",$V21="未處理"),"人力異動待處理",IF(AND(OR($T21="療程取消",$T21="病患取消"),NOT(OR($V21="人力可調整",$V21="已改派",$V21="已結案"))),"人力釋出待處理","確認完成")),"確認完成"))))</x:f>
      </x:c>
      <x:c r="Y21" s="533" t="str">
        <x:f>IF($A21="","",IF(COUNTIFS($A$7:$A$36,$A21)=1,"通過","編號重複"))</x:f>
      </x:c>
      <x:c r="Z21" s="533" t="str">
        <x:f>IF($A21="","",IF(OR($B21="",$C21="",$D21="",$E21="",$F21="",$G21="",$H21="",$K21=""),"缺少必填","通過"))</x:f>
      </x:c>
      <x:c r="AA21" s="533" t="str">
        <x:f>IF($A21="","",IF(OR(NOT(ISNUMBER($B21)),NOT(ISNUMBER($C21)),NOT(ISNUMBER($D21))),"日期或時間格式不正確",IF($D21&lt;=$C21,"結束時間須晚於開始","通過")))</x:f>
      </x:c>
      <x:c r="AB21" s="533" t="str">
        <x:f>IF($A21="","",IF(COUNTIFS('排班模式清單'!$A$7:$A$169,$F21,'排班模式清單'!$B$7:$B$169,$E21,'排班模式清單'!$Q$7:$Q$169,$F21)=1,"通過","醫師或模式未通過匯入閘門"))</x:f>
      </x:c>
      <x:c r="AC21" s="533" t="str">
        <x:f>IF($A21="","",IF(OR(NOT(ISNUMBER($H21)),$H21&lt;1,AND($I21&lt;&gt;"",OR(NOT(ISNUMBER($I21)),$I21&lt;0)),AND($J21&lt;&gt;"",OR(NOT(ISNUMBER($J21)),$J21&lt;=0))),"人力參數不正確",IF($H21&lt;&gt;_xlfn.XLOOKUP($F21,'排班模式清單'!$A$7:$A$169,'排班模式清單'!$F$7:$F$169,-1,0),"主跟診人數與規則不符",IF($I21&lt;&gt;_xlfn.XLOOKUP($F21,'排班模式清單'!$A$7:$A$169,'排班模式清單'!$G$7:$G$169,-1,0),"支援人數與規則不符",IF(AND($I21&gt;0,$J21=""),"缺少支援分鐘",IF(AND($J21&lt;&gt;"",$J21&lt;&gt;_xlfn.XLOOKUP($F21,'排班模式清單'!$A$7:$A$169,'排班模式清單'!$H$7:$H$169,"",0)),"支援分鐘與規則不符","通過"))))))</x:f>
      </x:c>
      <x:c r="AD21" s="533" t="str">
        <x:f>IF($A21="","",IF($K21="範例","範例",IF($K21="取消","已取消",IF($K21="草稿","草稿待完成",IF($K21&lt;&gt;"正式","資料狀態待選擇",IF(COUNTIFS($Y21:$AC21,"通過")=5,"可進入排班","正式建檔未完成"))))))</x:f>
      </x:c>
      <x:c r="AE21" s="533" t="str">
        <x:f>IF($A21="","",IF($K21&lt;&gt;"正式","不適用",IF($AD21&lt;&gt;"可進入排班","基本資料未完成",IF($X21="確認完成","確認完成",$X21))))</x:f>
      </x:c>
      <x:c r="AF21" s="533" t="str">
        <x:f>IF($A21="","",IF($AD21="範例","範例不需發布",IF($AD21="已取消","已取消",IF($AD21="草稿待完成","完成基本欄位並改為正式",IF($AD21="資料狀態待選擇","選擇資料狀態",IF($AD21="正式建檔未完成","依左側未通過檢核修正",IF($X21&lt;&gt;"確認完成","依三週／一週確認欄位繼續處理","可進入正式試排驗收")))))))</x:f>
      </x:c>
    </x:row>
    <x:row r="22">
      <x:c r="A22" s="81"/>
      <x:c r="B22" s="82"/>
      <x:c r="C22" s="83"/>
      <x:c r="D22" s="83"/>
      <x:c r="E22" s="81"/>
      <x:c r="F22" s="81"/>
      <x:c r="G22" s="81"/>
      <x:c r="H22" s="81"/>
      <x:c r="I22" s="84" t="str">
        <x:f>IF($F22="","",_xlfn.XLOOKUP($F22,'排班模式清單'!$A$7:$A$169,'排班模式清單'!$G$7:$G$169,"模式未建立",0))</x:f>
      </x:c>
      <x:c r="J22" s="84" t="str">
        <x:f>IF($F22="","",_xlfn.XLOOKUP($F22,'排班模式清單'!$A$7:$A$169,'排班模式清單'!$H$7:$H$169,"",0))</x:f>
      </x:c>
      <x:c r="K22" s="81"/>
      <x:c r="L22" s="81"/>
      <x:c r="M22" s="191" t="str">
        <x:f>IF($B22="","",$B22-21)</x:f>
      </x:c>
      <x:c r="N22" s="190"/>
      <x:c r="O22" s="192"/>
      <x:c r="P22" s="191" t="str">
        <x:f>IF($B22="","",$B22-7)</x:f>
      </x:c>
      <x:c r="Q22" s="190"/>
      <x:c r="R22" s="192"/>
      <x:c r="S22" s="190"/>
      <x:c r="T22" s="190"/>
      <x:c r="U22" s="190"/>
      <x:c r="V22" s="190"/>
      <x:c r="W22" s="190"/>
      <x:c r="X22" s="189" t="str">
        <x:f>IF($A22="","",IF(OR($G22="",$G22="待確認",$N22="",$O22=""),"待三週前標記",IF(OR($Q22="",$R22="",$S22=""),"待一週前確認",IF(OR($S22="影響人力",$T22&lt;&gt;"無異動"),IF(OR($U22="",$V22="",$W22="",$V22="未處理"),"人力異動待處理",IF(AND(OR($T22="療程取消",$T22="病患取消"),NOT(OR($V22="人力可調整",$V22="已改派",$V22="已結案"))),"人力釋出待處理","確認完成")),"確認完成"))))</x:f>
      </x:c>
      <x:c r="Y22" s="533" t="str">
        <x:f>IF($A22="","",IF(COUNTIFS($A$7:$A$36,$A22)=1,"通過","編號重複"))</x:f>
      </x:c>
      <x:c r="Z22" s="533" t="str">
        <x:f>IF($A22="","",IF(OR($B22="",$C22="",$D22="",$E22="",$F22="",$G22="",$H22="",$K22=""),"缺少必填","通過"))</x:f>
      </x:c>
      <x:c r="AA22" s="533" t="str">
        <x:f>IF($A22="","",IF(OR(NOT(ISNUMBER($B22)),NOT(ISNUMBER($C22)),NOT(ISNUMBER($D22))),"日期或時間格式不正確",IF($D22&lt;=$C22,"結束時間須晚於開始","通過")))</x:f>
      </x:c>
      <x:c r="AB22" s="533" t="str">
        <x:f>IF($A22="","",IF(COUNTIFS('排班模式清單'!$A$7:$A$169,$F22,'排班模式清單'!$B$7:$B$169,$E22,'排班模式清單'!$Q$7:$Q$169,$F22)=1,"通過","醫師或模式未通過匯入閘門"))</x:f>
      </x:c>
      <x:c r="AC22" s="533" t="str">
        <x:f>IF($A22="","",IF(OR(NOT(ISNUMBER($H22)),$H22&lt;1,AND($I22&lt;&gt;"",OR(NOT(ISNUMBER($I22)),$I22&lt;0)),AND($J22&lt;&gt;"",OR(NOT(ISNUMBER($J22)),$J22&lt;=0))),"人力參數不正確",IF($H22&lt;&gt;_xlfn.XLOOKUP($F22,'排班模式清單'!$A$7:$A$169,'排班模式清單'!$F$7:$F$169,-1,0),"主跟診人數與規則不符",IF($I22&lt;&gt;_xlfn.XLOOKUP($F22,'排班模式清單'!$A$7:$A$169,'排班模式清單'!$G$7:$G$169,-1,0),"支援人數與規則不符",IF(AND($I22&gt;0,$J22=""),"缺少支援分鐘",IF(AND($J22&lt;&gt;"",$J22&lt;&gt;_xlfn.XLOOKUP($F22,'排班模式清單'!$A$7:$A$169,'排班模式清單'!$H$7:$H$169,"",0)),"支援分鐘與規則不符","通過"))))))</x:f>
      </x:c>
      <x:c r="AD22" s="533" t="str">
        <x:f>IF($A22="","",IF($K22="範例","範例",IF($K22="取消","已取消",IF($K22="草稿","草稿待完成",IF($K22&lt;&gt;"正式","資料狀態待選擇",IF(COUNTIFS($Y22:$AC22,"通過")=5,"可進入排班","正式建檔未完成"))))))</x:f>
      </x:c>
      <x:c r="AE22" s="533" t="str">
        <x:f>IF($A22="","",IF($K22&lt;&gt;"正式","不適用",IF($AD22&lt;&gt;"可進入排班","基本資料未完成",IF($X22="確認完成","確認完成",$X22))))</x:f>
      </x:c>
      <x:c r="AF22" s="533" t="str">
        <x:f>IF($A22="","",IF($AD22="範例","範例不需發布",IF($AD22="已取消","已取消",IF($AD22="草稿待完成","完成基本欄位並改為正式",IF($AD22="資料狀態待選擇","選擇資料狀態",IF($AD22="正式建檔未完成","依左側未通過檢核修正",IF($X22&lt;&gt;"確認完成","依三週／一週確認欄位繼續處理","可進入正式試排驗收")))))))</x:f>
      </x:c>
    </x:row>
    <x:row r="23">
      <x:c r="A23" s="81"/>
      <x:c r="B23" s="82"/>
      <x:c r="C23" s="83"/>
      <x:c r="D23" s="83"/>
      <x:c r="E23" s="81"/>
      <x:c r="F23" s="81"/>
      <x:c r="G23" s="81"/>
      <x:c r="H23" s="81"/>
      <x:c r="I23" s="84" t="str">
        <x:f>IF($F23="","",_xlfn.XLOOKUP($F23,'排班模式清單'!$A$7:$A$169,'排班模式清單'!$G$7:$G$169,"模式未建立",0))</x:f>
      </x:c>
      <x:c r="J23" s="84" t="str">
        <x:f>IF($F23="","",_xlfn.XLOOKUP($F23,'排班模式清單'!$A$7:$A$169,'排班模式清單'!$H$7:$H$169,"",0))</x:f>
      </x:c>
      <x:c r="K23" s="81"/>
      <x:c r="L23" s="81"/>
      <x:c r="M23" s="191" t="str">
        <x:f>IF($B23="","",$B23-21)</x:f>
      </x:c>
      <x:c r="N23" s="190"/>
      <x:c r="O23" s="192"/>
      <x:c r="P23" s="191" t="str">
        <x:f>IF($B23="","",$B23-7)</x:f>
      </x:c>
      <x:c r="Q23" s="190"/>
      <x:c r="R23" s="192"/>
      <x:c r="S23" s="190"/>
      <x:c r="T23" s="190"/>
      <x:c r="U23" s="190"/>
      <x:c r="V23" s="190"/>
      <x:c r="W23" s="190"/>
      <x:c r="X23" s="189" t="str">
        <x:f>IF($A23="","",IF(OR($G23="",$G23="待確認",$N23="",$O23=""),"待三週前標記",IF(OR($Q23="",$R23="",$S23=""),"待一週前確認",IF(OR($S23="影響人力",$T23&lt;&gt;"無異動"),IF(OR($U23="",$V23="",$W23="",$V23="未處理"),"人力異動待處理",IF(AND(OR($T23="療程取消",$T23="病患取消"),NOT(OR($V23="人力可調整",$V23="已改派",$V23="已結案"))),"人力釋出待處理","確認完成")),"確認完成"))))</x:f>
      </x:c>
      <x:c r="Y23" s="533" t="str">
        <x:f>IF($A23="","",IF(COUNTIFS($A$7:$A$36,$A23)=1,"通過","編號重複"))</x:f>
      </x:c>
      <x:c r="Z23" s="533" t="str">
        <x:f>IF($A23="","",IF(OR($B23="",$C23="",$D23="",$E23="",$F23="",$G23="",$H23="",$K23=""),"缺少必填","通過"))</x:f>
      </x:c>
      <x:c r="AA23" s="533" t="str">
        <x:f>IF($A23="","",IF(OR(NOT(ISNUMBER($B23)),NOT(ISNUMBER($C23)),NOT(ISNUMBER($D23))),"日期或時間格式不正確",IF($D23&lt;=$C23,"結束時間須晚於開始","通過")))</x:f>
      </x:c>
      <x:c r="AB23" s="533" t="str">
        <x:f>IF($A23="","",IF(COUNTIFS('排班模式清單'!$A$7:$A$169,$F23,'排班模式清單'!$B$7:$B$169,$E23,'排班模式清單'!$Q$7:$Q$169,$F23)=1,"通過","醫師或模式未通過匯入閘門"))</x:f>
      </x:c>
      <x:c r="AC23" s="533" t="str">
        <x:f>IF($A23="","",IF(OR(NOT(ISNUMBER($H23)),$H23&lt;1,AND($I23&lt;&gt;"",OR(NOT(ISNUMBER($I23)),$I23&lt;0)),AND($J23&lt;&gt;"",OR(NOT(ISNUMBER($J23)),$J23&lt;=0))),"人力參數不正確",IF($H23&lt;&gt;_xlfn.XLOOKUP($F23,'排班模式清單'!$A$7:$A$169,'排班模式清單'!$F$7:$F$169,-1,0),"主跟診人數與規則不符",IF($I23&lt;&gt;_xlfn.XLOOKUP($F23,'排班模式清單'!$A$7:$A$169,'排班模式清單'!$G$7:$G$169,-1,0),"支援人數與規則不符",IF(AND($I23&gt;0,$J23=""),"缺少支援分鐘",IF(AND($J23&lt;&gt;"",$J23&lt;&gt;_xlfn.XLOOKUP($F23,'排班模式清單'!$A$7:$A$169,'排班模式清單'!$H$7:$H$169,"",0)),"支援分鐘與規則不符","通過"))))))</x:f>
      </x:c>
      <x:c r="AD23" s="533" t="str">
        <x:f>IF($A23="","",IF($K23="範例","範例",IF($K23="取消","已取消",IF($K23="草稿","草稿待完成",IF($K23&lt;&gt;"正式","資料狀態待選擇",IF(COUNTIFS($Y23:$AC23,"通過")=5,"可進入排班","正式建檔未完成"))))))</x:f>
      </x:c>
      <x:c r="AE23" s="533" t="str">
        <x:f>IF($A23="","",IF($K23&lt;&gt;"正式","不適用",IF($AD23&lt;&gt;"可進入排班","基本資料未完成",IF($X23="確認完成","確認完成",$X23))))</x:f>
      </x:c>
      <x:c r="AF23" s="533" t="str">
        <x:f>IF($A23="","",IF($AD23="範例","範例不需發布",IF($AD23="已取消","已取消",IF($AD23="草稿待完成","完成基本欄位並改為正式",IF($AD23="資料狀態待選擇","選擇資料狀態",IF($AD23="正式建檔未完成","依左側未通過檢核修正",IF($X23&lt;&gt;"確認完成","依三週／一週確認欄位繼續處理","可進入正式試排驗收")))))))</x:f>
      </x:c>
    </x:row>
    <x:row r="24">
      <x:c r="A24" s="81"/>
      <x:c r="B24" s="82"/>
      <x:c r="C24" s="83"/>
      <x:c r="D24" s="83"/>
      <x:c r="E24" s="81"/>
      <x:c r="F24" s="81"/>
      <x:c r="G24" s="81"/>
      <x:c r="H24" s="81"/>
      <x:c r="I24" s="84" t="str">
        <x:f>IF($F24="","",_xlfn.XLOOKUP($F24,'排班模式清單'!$A$7:$A$169,'排班模式清單'!$G$7:$G$169,"模式未建立",0))</x:f>
      </x:c>
      <x:c r="J24" s="84" t="str">
        <x:f>IF($F24="","",_xlfn.XLOOKUP($F24,'排班模式清單'!$A$7:$A$169,'排班模式清單'!$H$7:$H$169,"",0))</x:f>
      </x:c>
      <x:c r="K24" s="81"/>
      <x:c r="L24" s="81"/>
      <x:c r="M24" s="191" t="str">
        <x:f>IF($B24="","",$B24-21)</x:f>
      </x:c>
      <x:c r="N24" s="190"/>
      <x:c r="O24" s="192"/>
      <x:c r="P24" s="191" t="str">
        <x:f>IF($B24="","",$B24-7)</x:f>
      </x:c>
      <x:c r="Q24" s="190"/>
      <x:c r="R24" s="192"/>
      <x:c r="S24" s="190"/>
      <x:c r="T24" s="190"/>
      <x:c r="U24" s="190"/>
      <x:c r="V24" s="190"/>
      <x:c r="W24" s="190"/>
      <x:c r="X24" s="189" t="str">
        <x:f>IF($A24="","",IF(OR($G24="",$G24="待確認",$N24="",$O24=""),"待三週前標記",IF(OR($Q24="",$R24="",$S24=""),"待一週前確認",IF(OR($S24="影響人力",$T24&lt;&gt;"無異動"),IF(OR($U24="",$V24="",$W24="",$V24="未處理"),"人力異動待處理",IF(AND(OR($T24="療程取消",$T24="病患取消"),NOT(OR($V24="人力可調整",$V24="已改派",$V24="已結案"))),"人力釋出待處理","確認完成")),"確認完成"))))</x:f>
      </x:c>
      <x:c r="Y24" s="533" t="str">
        <x:f>IF($A24="","",IF(COUNTIFS($A$7:$A$36,$A24)=1,"通過","編號重複"))</x:f>
      </x:c>
      <x:c r="Z24" s="533" t="str">
        <x:f>IF($A24="","",IF(OR($B24="",$C24="",$D24="",$E24="",$F24="",$G24="",$H24="",$K24=""),"缺少必填","通過"))</x:f>
      </x:c>
      <x:c r="AA24" s="533" t="str">
        <x:f>IF($A24="","",IF(OR(NOT(ISNUMBER($B24)),NOT(ISNUMBER($C24)),NOT(ISNUMBER($D24))),"日期或時間格式不正確",IF($D24&lt;=$C24,"結束時間須晚於開始","通過")))</x:f>
      </x:c>
      <x:c r="AB24" s="533" t="str">
        <x:f>IF($A24="","",IF(COUNTIFS('排班模式清單'!$A$7:$A$169,$F24,'排班模式清單'!$B$7:$B$169,$E24,'排班模式清單'!$Q$7:$Q$169,$F24)=1,"通過","醫師或模式未通過匯入閘門"))</x:f>
      </x:c>
      <x:c r="AC24" s="533" t="str">
        <x:f>IF($A24="","",IF(OR(NOT(ISNUMBER($H24)),$H24&lt;1,AND($I24&lt;&gt;"",OR(NOT(ISNUMBER($I24)),$I24&lt;0)),AND($J24&lt;&gt;"",OR(NOT(ISNUMBER($J24)),$J24&lt;=0))),"人力參數不正確",IF($H24&lt;&gt;_xlfn.XLOOKUP($F24,'排班模式清單'!$A$7:$A$169,'排班模式清單'!$F$7:$F$169,-1,0),"主跟診人數與規則不符",IF($I24&lt;&gt;_xlfn.XLOOKUP($F24,'排班模式清單'!$A$7:$A$169,'排班模式清單'!$G$7:$G$169,-1,0),"支援人數與規則不符",IF(AND($I24&gt;0,$J24=""),"缺少支援分鐘",IF(AND($J24&lt;&gt;"",$J24&lt;&gt;_xlfn.XLOOKUP($F24,'排班模式清單'!$A$7:$A$169,'排班模式清單'!$H$7:$H$169,"",0)),"支援分鐘與規則不符","通過"))))))</x:f>
      </x:c>
      <x:c r="AD24" s="533" t="str">
        <x:f>IF($A24="","",IF($K24="範例","範例",IF($K24="取消","已取消",IF($K24="草稿","草稿待完成",IF($K24&lt;&gt;"正式","資料狀態待選擇",IF(COUNTIFS($Y24:$AC24,"通過")=5,"可進入排班","正式建檔未完成"))))))</x:f>
      </x:c>
      <x:c r="AE24" s="533" t="str">
        <x:f>IF($A24="","",IF($K24&lt;&gt;"正式","不適用",IF($AD24&lt;&gt;"可進入排班","基本資料未完成",IF($X24="確認完成","確認完成",$X24))))</x:f>
      </x:c>
      <x:c r="AF24" s="533" t="str">
        <x:f>IF($A24="","",IF($AD24="範例","範例不需發布",IF($AD24="已取消","已取消",IF($AD24="草稿待完成","完成基本欄位並改為正式",IF($AD24="資料狀態待選擇","選擇資料狀態",IF($AD24="正式建檔未完成","依左側未通過檢核修正",IF($X24&lt;&gt;"確認完成","依三週／一週確認欄位繼續處理","可進入正式試排驗收")))))))</x:f>
      </x:c>
    </x:row>
    <x:row r="25">
      <x:c r="A25" s="81"/>
      <x:c r="B25" s="82"/>
      <x:c r="C25" s="83"/>
      <x:c r="D25" s="83"/>
      <x:c r="E25" s="81"/>
      <x:c r="F25" s="81"/>
      <x:c r="G25" s="81"/>
      <x:c r="H25" s="81"/>
      <x:c r="I25" s="84" t="str">
        <x:f>IF($F25="","",_xlfn.XLOOKUP($F25,'排班模式清單'!$A$7:$A$169,'排班模式清單'!$G$7:$G$169,"模式未建立",0))</x:f>
      </x:c>
      <x:c r="J25" s="84" t="str">
        <x:f>IF($F25="","",_xlfn.XLOOKUP($F25,'排班模式清單'!$A$7:$A$169,'排班模式清單'!$H$7:$H$169,"",0))</x:f>
      </x:c>
      <x:c r="K25" s="81"/>
      <x:c r="L25" s="81"/>
      <x:c r="M25" s="191" t="str">
        <x:f>IF($B25="","",$B25-21)</x:f>
      </x:c>
      <x:c r="N25" s="190"/>
      <x:c r="O25" s="192"/>
      <x:c r="P25" s="191" t="str">
        <x:f>IF($B25="","",$B25-7)</x:f>
      </x:c>
      <x:c r="Q25" s="190"/>
      <x:c r="R25" s="192"/>
      <x:c r="S25" s="190"/>
      <x:c r="T25" s="190"/>
      <x:c r="U25" s="190"/>
      <x:c r="V25" s="190"/>
      <x:c r="W25" s="190"/>
      <x:c r="X25" s="189" t="str">
        <x:f>IF($A25="","",IF(OR($G25="",$G25="待確認",$N25="",$O25=""),"待三週前標記",IF(OR($Q25="",$R25="",$S25=""),"待一週前確認",IF(OR($S25="影響人力",$T25&lt;&gt;"無異動"),IF(OR($U25="",$V25="",$W25="",$V25="未處理"),"人力異動待處理",IF(AND(OR($T25="療程取消",$T25="病患取消"),NOT(OR($V25="人力可調整",$V25="已改派",$V25="已結案"))),"人力釋出待處理","確認完成")),"確認完成"))))</x:f>
      </x:c>
      <x:c r="Y25" s="533" t="str">
        <x:f>IF($A25="","",IF(COUNTIFS($A$7:$A$36,$A25)=1,"通過","編號重複"))</x:f>
      </x:c>
      <x:c r="Z25" s="533" t="str">
        <x:f>IF($A25="","",IF(OR($B25="",$C25="",$D25="",$E25="",$F25="",$G25="",$H25="",$K25=""),"缺少必填","通過"))</x:f>
      </x:c>
      <x:c r="AA25" s="533" t="str">
        <x:f>IF($A25="","",IF(OR(NOT(ISNUMBER($B25)),NOT(ISNUMBER($C25)),NOT(ISNUMBER($D25))),"日期或時間格式不正確",IF($D25&lt;=$C25,"結束時間須晚於開始","通過")))</x:f>
      </x:c>
      <x:c r="AB25" s="533" t="str">
        <x:f>IF($A25="","",IF(COUNTIFS('排班模式清單'!$A$7:$A$169,$F25,'排班模式清單'!$B$7:$B$169,$E25,'排班模式清單'!$Q$7:$Q$169,$F25)=1,"通過","醫師或模式未通過匯入閘門"))</x:f>
      </x:c>
      <x:c r="AC25" s="533" t="str">
        <x:f>IF($A25="","",IF(OR(NOT(ISNUMBER($H25)),$H25&lt;1,AND($I25&lt;&gt;"",OR(NOT(ISNUMBER($I25)),$I25&lt;0)),AND($J25&lt;&gt;"",OR(NOT(ISNUMBER($J25)),$J25&lt;=0))),"人力參數不正確",IF($H25&lt;&gt;_xlfn.XLOOKUP($F25,'排班模式清單'!$A$7:$A$169,'排班模式清單'!$F$7:$F$169,-1,0),"主跟診人數與規則不符",IF($I25&lt;&gt;_xlfn.XLOOKUP($F25,'排班模式清單'!$A$7:$A$169,'排班模式清單'!$G$7:$G$169,-1,0),"支援人數與規則不符",IF(AND($I25&gt;0,$J25=""),"缺少支援分鐘",IF(AND($J25&lt;&gt;"",$J25&lt;&gt;_xlfn.XLOOKUP($F25,'排班模式清單'!$A$7:$A$169,'排班模式清單'!$H$7:$H$169,"",0)),"支援分鐘與規則不符","通過"))))))</x:f>
      </x:c>
      <x:c r="AD25" s="533" t="str">
        <x:f>IF($A25="","",IF($K25="範例","範例",IF($K25="取消","已取消",IF($K25="草稿","草稿待完成",IF($K25&lt;&gt;"正式","資料狀態待選擇",IF(COUNTIFS($Y25:$AC25,"通過")=5,"可進入排班","正式建檔未完成"))))))</x:f>
      </x:c>
      <x:c r="AE25" s="533" t="str">
        <x:f>IF($A25="","",IF($K25&lt;&gt;"正式","不適用",IF($AD25&lt;&gt;"可進入排班","基本資料未完成",IF($X25="確認完成","確認完成",$X25))))</x:f>
      </x:c>
      <x:c r="AF25" s="533" t="str">
        <x:f>IF($A25="","",IF($AD25="範例","範例不需發布",IF($AD25="已取消","已取消",IF($AD25="草稿待完成","完成基本欄位並改為正式",IF($AD25="資料狀態待選擇","選擇資料狀態",IF($AD25="正式建檔未完成","依左側未通過檢核修正",IF($X25&lt;&gt;"確認完成","依三週／一週確認欄位繼續處理","可進入正式試排驗收")))))))</x:f>
      </x:c>
    </x:row>
    <x:row r="26">
      <x:c r="A26" s="81"/>
      <x:c r="B26" s="82"/>
      <x:c r="C26" s="83"/>
      <x:c r="D26" s="83"/>
      <x:c r="E26" s="81"/>
      <x:c r="F26" s="81"/>
      <x:c r="G26" s="81"/>
      <x:c r="H26" s="81"/>
      <x:c r="I26" s="84" t="str">
        <x:f>IF($F26="","",_xlfn.XLOOKUP($F26,'排班模式清單'!$A$7:$A$169,'排班模式清單'!$G$7:$G$169,"模式未建立",0))</x:f>
      </x:c>
      <x:c r="J26" s="84" t="str">
        <x:f>IF($F26="","",_xlfn.XLOOKUP($F26,'排班模式清單'!$A$7:$A$169,'排班模式清單'!$H$7:$H$169,"",0))</x:f>
      </x:c>
      <x:c r="K26" s="81"/>
      <x:c r="L26" s="81"/>
      <x:c r="M26" s="191" t="str">
        <x:f>IF($B26="","",$B26-21)</x:f>
      </x:c>
      <x:c r="N26" s="190"/>
      <x:c r="O26" s="192"/>
      <x:c r="P26" s="191" t="str">
        <x:f>IF($B26="","",$B26-7)</x:f>
      </x:c>
      <x:c r="Q26" s="190"/>
      <x:c r="R26" s="192"/>
      <x:c r="S26" s="190"/>
      <x:c r="T26" s="190"/>
      <x:c r="U26" s="190"/>
      <x:c r="V26" s="190"/>
      <x:c r="W26" s="190"/>
      <x:c r="X26" s="189" t="str">
        <x:f>IF($A26="","",IF(OR($G26="",$G26="待確認",$N26="",$O26=""),"待三週前標記",IF(OR($Q26="",$R26="",$S26=""),"待一週前確認",IF(OR($S26="影響人力",$T26&lt;&gt;"無異動"),IF(OR($U26="",$V26="",$W26="",$V26="未處理"),"人力異動待處理",IF(AND(OR($T26="療程取消",$T26="病患取消"),NOT(OR($V26="人力可調整",$V26="已改派",$V26="已結案"))),"人力釋出待處理","確認完成")),"確認完成"))))</x:f>
      </x:c>
      <x:c r="Y26" s="533" t="str">
        <x:f>IF($A26="","",IF(COUNTIFS($A$7:$A$36,$A26)=1,"通過","編號重複"))</x:f>
      </x:c>
      <x:c r="Z26" s="533" t="str">
        <x:f>IF($A26="","",IF(OR($B26="",$C26="",$D26="",$E26="",$F26="",$G26="",$H26="",$K26=""),"缺少必填","通過"))</x:f>
      </x:c>
      <x:c r="AA26" s="533" t="str">
        <x:f>IF($A26="","",IF(OR(NOT(ISNUMBER($B26)),NOT(ISNUMBER($C26)),NOT(ISNUMBER($D26))),"日期或時間格式不正確",IF($D26&lt;=$C26,"結束時間須晚於開始","通過")))</x:f>
      </x:c>
      <x:c r="AB26" s="533" t="str">
        <x:f>IF($A26="","",IF(COUNTIFS('排班模式清單'!$A$7:$A$169,$F26,'排班模式清單'!$B$7:$B$169,$E26,'排班模式清單'!$Q$7:$Q$169,$F26)=1,"通過","醫師或模式未通過匯入閘門"))</x:f>
      </x:c>
      <x:c r="AC26" s="533" t="str">
        <x:f>IF($A26="","",IF(OR(NOT(ISNUMBER($H26)),$H26&lt;1,AND($I26&lt;&gt;"",OR(NOT(ISNUMBER($I26)),$I26&lt;0)),AND($J26&lt;&gt;"",OR(NOT(ISNUMBER($J26)),$J26&lt;=0))),"人力參數不正確",IF($H26&lt;&gt;_xlfn.XLOOKUP($F26,'排班模式清單'!$A$7:$A$169,'排班模式清單'!$F$7:$F$169,-1,0),"主跟診人數與規則不符",IF($I26&lt;&gt;_xlfn.XLOOKUP($F26,'排班模式清單'!$A$7:$A$169,'排班模式清單'!$G$7:$G$169,-1,0),"支援人數與規則不符",IF(AND($I26&gt;0,$J26=""),"缺少支援分鐘",IF(AND($J26&lt;&gt;"",$J26&lt;&gt;_xlfn.XLOOKUP($F26,'排班模式清單'!$A$7:$A$169,'排班模式清單'!$H$7:$H$169,"",0)),"支援分鐘與規則不符","通過"))))))</x:f>
      </x:c>
      <x:c r="AD26" s="533" t="str">
        <x:f>IF($A26="","",IF($K26="範例","範例",IF($K26="取消","已取消",IF($K26="草稿","草稿待完成",IF($K26&lt;&gt;"正式","資料狀態待選擇",IF(COUNTIFS($Y26:$AC26,"通過")=5,"可進入排班","正式建檔未完成"))))))</x:f>
      </x:c>
      <x:c r="AE26" s="533" t="str">
        <x:f>IF($A26="","",IF($K26&lt;&gt;"正式","不適用",IF($AD26&lt;&gt;"可進入排班","基本資料未完成",IF($X26="確認完成","確認完成",$X26))))</x:f>
      </x:c>
      <x:c r="AF26" s="533" t="str">
        <x:f>IF($A26="","",IF($AD26="範例","範例不需發布",IF($AD26="已取消","已取消",IF($AD26="草稿待完成","完成基本欄位並改為正式",IF($AD26="資料狀態待選擇","選擇資料狀態",IF($AD26="正式建檔未完成","依左側未通過檢核修正",IF($X26&lt;&gt;"確認完成","依三週／一週確認欄位繼續處理","可進入正式試排驗收")))))))</x:f>
      </x:c>
    </x:row>
    <x:row r="27">
      <x:c r="A27" s="81"/>
      <x:c r="B27" s="82"/>
      <x:c r="C27" s="83"/>
      <x:c r="D27" s="83"/>
      <x:c r="E27" s="81"/>
      <x:c r="F27" s="81"/>
      <x:c r="G27" s="81"/>
      <x:c r="H27" s="81"/>
      <x:c r="I27" s="84" t="str">
        <x:f>IF($F27="","",_xlfn.XLOOKUP($F27,'排班模式清單'!$A$7:$A$169,'排班模式清單'!$G$7:$G$169,"模式未建立",0))</x:f>
      </x:c>
      <x:c r="J27" s="84" t="str">
        <x:f>IF($F27="","",_xlfn.XLOOKUP($F27,'排班模式清單'!$A$7:$A$169,'排班模式清單'!$H$7:$H$169,"",0))</x:f>
      </x:c>
      <x:c r="K27" s="81"/>
      <x:c r="L27" s="81"/>
      <x:c r="M27" s="191" t="str">
        <x:f>IF($B27="","",$B27-21)</x:f>
      </x:c>
      <x:c r="N27" s="190"/>
      <x:c r="O27" s="192"/>
      <x:c r="P27" s="191" t="str">
        <x:f>IF($B27="","",$B27-7)</x:f>
      </x:c>
      <x:c r="Q27" s="190"/>
      <x:c r="R27" s="192"/>
      <x:c r="S27" s="190"/>
      <x:c r="T27" s="190"/>
      <x:c r="U27" s="190"/>
      <x:c r="V27" s="190"/>
      <x:c r="W27" s="190"/>
      <x:c r="X27" s="189" t="str">
        <x:f>IF($A27="","",IF(OR($G27="",$G27="待確認",$N27="",$O27=""),"待三週前標記",IF(OR($Q27="",$R27="",$S27=""),"待一週前確認",IF(OR($S27="影響人力",$T27&lt;&gt;"無異動"),IF(OR($U27="",$V27="",$W27="",$V27="未處理"),"人力異動待處理",IF(AND(OR($T27="療程取消",$T27="病患取消"),NOT(OR($V27="人力可調整",$V27="已改派",$V27="已結案"))),"人力釋出待處理","確認完成")),"確認完成"))))</x:f>
      </x:c>
      <x:c r="Y27" s="533" t="str">
        <x:f>IF($A27="","",IF(COUNTIFS($A$7:$A$36,$A27)=1,"通過","編號重複"))</x:f>
      </x:c>
      <x:c r="Z27" s="533" t="str">
        <x:f>IF($A27="","",IF(OR($B27="",$C27="",$D27="",$E27="",$F27="",$G27="",$H27="",$K27=""),"缺少必填","通過"))</x:f>
      </x:c>
      <x:c r="AA27" s="533" t="str">
        <x:f>IF($A27="","",IF(OR(NOT(ISNUMBER($B27)),NOT(ISNUMBER($C27)),NOT(ISNUMBER($D27))),"日期或時間格式不正確",IF($D27&lt;=$C27,"結束時間須晚於開始","通過")))</x:f>
      </x:c>
      <x:c r="AB27" s="533" t="str">
        <x:f>IF($A27="","",IF(COUNTIFS('排班模式清單'!$A$7:$A$169,$F27,'排班模式清單'!$B$7:$B$169,$E27,'排班模式清單'!$Q$7:$Q$169,$F27)=1,"通過","醫師或模式未通過匯入閘門"))</x:f>
      </x:c>
      <x:c r="AC27" s="533" t="str">
        <x:f>IF($A27="","",IF(OR(NOT(ISNUMBER($H27)),$H27&lt;1,AND($I27&lt;&gt;"",OR(NOT(ISNUMBER($I27)),$I27&lt;0)),AND($J27&lt;&gt;"",OR(NOT(ISNUMBER($J27)),$J27&lt;=0))),"人力參數不正確",IF($H27&lt;&gt;_xlfn.XLOOKUP($F27,'排班模式清單'!$A$7:$A$169,'排班模式清單'!$F$7:$F$169,-1,0),"主跟診人數與規則不符",IF($I27&lt;&gt;_xlfn.XLOOKUP($F27,'排班模式清單'!$A$7:$A$169,'排班模式清單'!$G$7:$G$169,-1,0),"支援人數與規則不符",IF(AND($I27&gt;0,$J27=""),"缺少支援分鐘",IF(AND($J27&lt;&gt;"",$J27&lt;&gt;_xlfn.XLOOKUP($F27,'排班模式清單'!$A$7:$A$169,'排班模式清單'!$H$7:$H$169,"",0)),"支援分鐘與規則不符","通過"))))))</x:f>
      </x:c>
      <x:c r="AD27" s="533" t="str">
        <x:f>IF($A27="","",IF($K27="範例","範例",IF($K27="取消","已取消",IF($K27="草稿","草稿待完成",IF($K27&lt;&gt;"正式","資料狀態待選擇",IF(COUNTIFS($Y27:$AC27,"通過")=5,"可進入排班","正式建檔未完成"))))))</x:f>
      </x:c>
      <x:c r="AE27" s="533" t="str">
        <x:f>IF($A27="","",IF($K27&lt;&gt;"正式","不適用",IF($AD27&lt;&gt;"可進入排班","基本資料未完成",IF($X27="確認完成","確認完成",$X27))))</x:f>
      </x:c>
      <x:c r="AF27" s="533" t="str">
        <x:f>IF($A27="","",IF($AD27="範例","範例不需發布",IF($AD27="已取消","已取消",IF($AD27="草稿待完成","完成基本欄位並改為正式",IF($AD27="資料狀態待選擇","選擇資料狀態",IF($AD27="正式建檔未完成","依左側未通過檢核修正",IF($X27&lt;&gt;"確認完成","依三週／一週確認欄位繼續處理","可進入正式試排驗收")))))))</x:f>
      </x:c>
    </x:row>
    <x:row r="28">
      <x:c r="A28" s="81"/>
      <x:c r="B28" s="82"/>
      <x:c r="C28" s="83"/>
      <x:c r="D28" s="83"/>
      <x:c r="E28" s="81"/>
      <x:c r="F28" s="81"/>
      <x:c r="G28" s="81"/>
      <x:c r="H28" s="81"/>
      <x:c r="I28" s="84" t="str">
        <x:f>IF($F28="","",_xlfn.XLOOKUP($F28,'排班模式清單'!$A$7:$A$169,'排班模式清單'!$G$7:$G$169,"模式未建立",0))</x:f>
      </x:c>
      <x:c r="J28" s="84" t="str">
        <x:f>IF($F28="","",_xlfn.XLOOKUP($F28,'排班模式清單'!$A$7:$A$169,'排班模式清單'!$H$7:$H$169,"",0))</x:f>
      </x:c>
      <x:c r="K28" s="81"/>
      <x:c r="L28" s="81"/>
      <x:c r="M28" s="191" t="str">
        <x:f>IF($B28="","",$B28-21)</x:f>
      </x:c>
      <x:c r="N28" s="190"/>
      <x:c r="O28" s="192"/>
      <x:c r="P28" s="191" t="str">
        <x:f>IF($B28="","",$B28-7)</x:f>
      </x:c>
      <x:c r="Q28" s="190"/>
      <x:c r="R28" s="192"/>
      <x:c r="S28" s="190"/>
      <x:c r="T28" s="190"/>
      <x:c r="U28" s="190"/>
      <x:c r="V28" s="190"/>
      <x:c r="W28" s="190"/>
      <x:c r="X28" s="189" t="str">
        <x:f>IF($A28="","",IF(OR($G28="",$G28="待確認",$N28="",$O28=""),"待三週前標記",IF(OR($Q28="",$R28="",$S28=""),"待一週前確認",IF(OR($S28="影響人力",$T28&lt;&gt;"無異動"),IF(OR($U28="",$V28="",$W28="",$V28="未處理"),"人力異動待處理",IF(AND(OR($T28="療程取消",$T28="病患取消"),NOT(OR($V28="人力可調整",$V28="已改派",$V28="已結案"))),"人力釋出待處理","確認完成")),"確認完成"))))</x:f>
      </x:c>
      <x:c r="Y28" s="533" t="str">
        <x:f>IF($A28="","",IF(COUNTIFS($A$7:$A$36,$A28)=1,"通過","編號重複"))</x:f>
      </x:c>
      <x:c r="Z28" s="533" t="str">
        <x:f>IF($A28="","",IF(OR($B28="",$C28="",$D28="",$E28="",$F28="",$G28="",$H28="",$K28=""),"缺少必填","通過"))</x:f>
      </x:c>
      <x:c r="AA28" s="533" t="str">
        <x:f>IF($A28="","",IF(OR(NOT(ISNUMBER($B28)),NOT(ISNUMBER($C28)),NOT(ISNUMBER($D28))),"日期或時間格式不正確",IF($D28&lt;=$C28,"結束時間須晚於開始","通過")))</x:f>
      </x:c>
      <x:c r="AB28" s="533" t="str">
        <x:f>IF($A28="","",IF(COUNTIFS('排班模式清單'!$A$7:$A$169,$F28,'排班模式清單'!$B$7:$B$169,$E28,'排班模式清單'!$Q$7:$Q$169,$F28)=1,"通過","醫師或模式未通過匯入閘門"))</x:f>
      </x:c>
      <x:c r="AC28" s="533" t="str">
        <x:f>IF($A28="","",IF(OR(NOT(ISNUMBER($H28)),$H28&lt;1,AND($I28&lt;&gt;"",OR(NOT(ISNUMBER($I28)),$I28&lt;0)),AND($J28&lt;&gt;"",OR(NOT(ISNUMBER($J28)),$J28&lt;=0))),"人力參數不正確",IF($H28&lt;&gt;_xlfn.XLOOKUP($F28,'排班模式清單'!$A$7:$A$169,'排班模式清單'!$F$7:$F$169,-1,0),"主跟診人數與規則不符",IF($I28&lt;&gt;_xlfn.XLOOKUP($F28,'排班模式清單'!$A$7:$A$169,'排班模式清單'!$G$7:$G$169,-1,0),"支援人數與規則不符",IF(AND($I28&gt;0,$J28=""),"缺少支援分鐘",IF(AND($J28&lt;&gt;"",$J28&lt;&gt;_xlfn.XLOOKUP($F28,'排班模式清單'!$A$7:$A$169,'排班模式清單'!$H$7:$H$169,"",0)),"支援分鐘與規則不符","通過"))))))</x:f>
      </x:c>
      <x:c r="AD28" s="533" t="str">
        <x:f>IF($A28="","",IF($K28="範例","範例",IF($K28="取消","已取消",IF($K28="草稿","草稿待完成",IF($K28&lt;&gt;"正式","資料狀態待選擇",IF(COUNTIFS($Y28:$AC28,"通過")=5,"可進入排班","正式建檔未完成"))))))</x:f>
      </x:c>
      <x:c r="AE28" s="533" t="str">
        <x:f>IF($A28="","",IF($K28&lt;&gt;"正式","不適用",IF($AD28&lt;&gt;"可進入排班","基本資料未完成",IF($X28="確認完成","確認完成",$X28))))</x:f>
      </x:c>
      <x:c r="AF28" s="533" t="str">
        <x:f>IF($A28="","",IF($AD28="範例","範例不需發布",IF($AD28="已取消","已取消",IF($AD28="草稿待完成","完成基本欄位並改為正式",IF($AD28="資料狀態待選擇","選擇資料狀態",IF($AD28="正式建檔未完成","依左側未通過檢核修正",IF($X28&lt;&gt;"確認完成","依三週／一週確認欄位繼續處理","可進入正式試排驗收")))))))</x:f>
      </x:c>
    </x:row>
    <x:row r="29">
      <x:c r="A29" s="81"/>
      <x:c r="B29" s="82"/>
      <x:c r="C29" s="83"/>
      <x:c r="D29" s="83"/>
      <x:c r="E29" s="81"/>
      <x:c r="F29" s="81"/>
      <x:c r="G29" s="81"/>
      <x:c r="H29" s="81"/>
      <x:c r="I29" s="84" t="str">
        <x:f>IF($F29="","",_xlfn.XLOOKUP($F29,'排班模式清單'!$A$7:$A$169,'排班模式清單'!$G$7:$G$169,"模式未建立",0))</x:f>
      </x:c>
      <x:c r="J29" s="84" t="str">
        <x:f>IF($F29="","",_xlfn.XLOOKUP($F29,'排班模式清單'!$A$7:$A$169,'排班模式清單'!$H$7:$H$169,"",0))</x:f>
      </x:c>
      <x:c r="K29" s="81"/>
      <x:c r="L29" s="81"/>
      <x:c r="M29" s="191" t="str">
        <x:f>IF($B29="","",$B29-21)</x:f>
      </x:c>
      <x:c r="N29" s="190"/>
      <x:c r="O29" s="192"/>
      <x:c r="P29" s="191" t="str">
        <x:f>IF($B29="","",$B29-7)</x:f>
      </x:c>
      <x:c r="Q29" s="190"/>
      <x:c r="R29" s="192"/>
      <x:c r="S29" s="190"/>
      <x:c r="T29" s="190"/>
      <x:c r="U29" s="190"/>
      <x:c r="V29" s="190"/>
      <x:c r="W29" s="190"/>
      <x:c r="X29" s="189" t="str">
        <x:f>IF($A29="","",IF(OR($G29="",$G29="待確認",$N29="",$O29=""),"待三週前標記",IF(OR($Q29="",$R29="",$S29=""),"待一週前確認",IF(OR($S29="影響人力",$T29&lt;&gt;"無異動"),IF(OR($U29="",$V29="",$W29="",$V29="未處理"),"人力異動待處理",IF(AND(OR($T29="療程取消",$T29="病患取消"),NOT(OR($V29="人力可調整",$V29="已改派",$V29="已結案"))),"人力釋出待處理","確認完成")),"確認完成"))))</x:f>
      </x:c>
      <x:c r="Y29" s="533" t="str">
        <x:f>IF($A29="","",IF(COUNTIFS($A$7:$A$36,$A29)=1,"通過","編號重複"))</x:f>
      </x:c>
      <x:c r="Z29" s="533" t="str">
        <x:f>IF($A29="","",IF(OR($B29="",$C29="",$D29="",$E29="",$F29="",$G29="",$H29="",$K29=""),"缺少必填","通過"))</x:f>
      </x:c>
      <x:c r="AA29" s="533" t="str">
        <x:f>IF($A29="","",IF(OR(NOT(ISNUMBER($B29)),NOT(ISNUMBER($C29)),NOT(ISNUMBER($D29))),"日期或時間格式不正確",IF($D29&lt;=$C29,"結束時間須晚於開始","通過")))</x:f>
      </x:c>
      <x:c r="AB29" s="533" t="str">
        <x:f>IF($A29="","",IF(COUNTIFS('排班模式清單'!$A$7:$A$169,$F29,'排班模式清單'!$B$7:$B$169,$E29,'排班模式清單'!$Q$7:$Q$169,$F29)=1,"通過","醫師或模式未通過匯入閘門"))</x:f>
      </x:c>
      <x:c r="AC29" s="533" t="str">
        <x:f>IF($A29="","",IF(OR(NOT(ISNUMBER($H29)),$H29&lt;1,AND($I29&lt;&gt;"",OR(NOT(ISNUMBER($I29)),$I29&lt;0)),AND($J29&lt;&gt;"",OR(NOT(ISNUMBER($J29)),$J29&lt;=0))),"人力參數不正確",IF($H29&lt;&gt;_xlfn.XLOOKUP($F29,'排班模式清單'!$A$7:$A$169,'排班模式清單'!$F$7:$F$169,-1,0),"主跟診人數與規則不符",IF($I29&lt;&gt;_xlfn.XLOOKUP($F29,'排班模式清單'!$A$7:$A$169,'排班模式清單'!$G$7:$G$169,-1,0),"支援人數與規則不符",IF(AND($I29&gt;0,$J29=""),"缺少支援分鐘",IF(AND($J29&lt;&gt;"",$J29&lt;&gt;_xlfn.XLOOKUP($F29,'排班模式清單'!$A$7:$A$169,'排班模式清單'!$H$7:$H$169,"",0)),"支援分鐘與規則不符","通過"))))))</x:f>
      </x:c>
      <x:c r="AD29" s="533" t="str">
        <x:f>IF($A29="","",IF($K29="範例","範例",IF($K29="取消","已取消",IF($K29="草稿","草稿待完成",IF($K29&lt;&gt;"正式","資料狀態待選擇",IF(COUNTIFS($Y29:$AC29,"通過")=5,"可進入排班","正式建檔未完成"))))))</x:f>
      </x:c>
      <x:c r="AE29" s="533" t="str">
        <x:f>IF($A29="","",IF($K29&lt;&gt;"正式","不適用",IF($AD29&lt;&gt;"可進入排班","基本資料未完成",IF($X29="確認完成","確認完成",$X29))))</x:f>
      </x:c>
      <x:c r="AF29" s="533" t="str">
        <x:f>IF($A29="","",IF($AD29="範例","範例不需發布",IF($AD29="已取消","已取消",IF($AD29="草稿待完成","完成基本欄位並改為正式",IF($AD29="資料狀態待選擇","選擇資料狀態",IF($AD29="正式建檔未完成","依左側未通過檢核修正",IF($X29&lt;&gt;"確認完成","依三週／一週確認欄位繼續處理","可進入正式試排驗收")))))))</x:f>
      </x:c>
    </x:row>
    <x:row r="30">
      <x:c r="A30" s="81"/>
      <x:c r="B30" s="82"/>
      <x:c r="C30" s="83"/>
      <x:c r="D30" s="83"/>
      <x:c r="E30" s="81"/>
      <x:c r="F30" s="81"/>
      <x:c r="G30" s="81"/>
      <x:c r="H30" s="81"/>
      <x:c r="I30" s="84" t="str">
        <x:f>IF($F30="","",_xlfn.XLOOKUP($F30,'排班模式清單'!$A$7:$A$169,'排班模式清單'!$G$7:$G$169,"模式未建立",0))</x:f>
      </x:c>
      <x:c r="J30" s="84" t="str">
        <x:f>IF($F30="","",_xlfn.XLOOKUP($F30,'排班模式清單'!$A$7:$A$169,'排班模式清單'!$H$7:$H$169,"",0))</x:f>
      </x:c>
      <x:c r="K30" s="81"/>
      <x:c r="L30" s="81"/>
      <x:c r="M30" s="191" t="str">
        <x:f>IF($B30="","",$B30-21)</x:f>
      </x:c>
      <x:c r="N30" s="190"/>
      <x:c r="O30" s="192"/>
      <x:c r="P30" s="191" t="str">
        <x:f>IF($B30="","",$B30-7)</x:f>
      </x:c>
      <x:c r="Q30" s="190"/>
      <x:c r="R30" s="192"/>
      <x:c r="S30" s="190"/>
      <x:c r="T30" s="190"/>
      <x:c r="U30" s="190"/>
      <x:c r="V30" s="190"/>
      <x:c r="W30" s="190"/>
      <x:c r="X30" s="189" t="str">
        <x:f>IF($A30="","",IF(OR($G30="",$G30="待確認",$N30="",$O30=""),"待三週前標記",IF(OR($Q30="",$R30="",$S30=""),"待一週前確認",IF(OR($S30="影響人力",$T30&lt;&gt;"無異動"),IF(OR($U30="",$V30="",$W30="",$V30="未處理"),"人力異動待處理",IF(AND(OR($T30="療程取消",$T30="病患取消"),NOT(OR($V30="人力可調整",$V30="已改派",$V30="已結案"))),"人力釋出待處理","確認完成")),"確認完成"))))</x:f>
      </x:c>
      <x:c r="Y30" s="533" t="str">
        <x:f>IF($A30="","",IF(COUNTIFS($A$7:$A$36,$A30)=1,"通過","編號重複"))</x:f>
      </x:c>
      <x:c r="Z30" s="533" t="str">
        <x:f>IF($A30="","",IF(OR($B30="",$C30="",$D30="",$E30="",$F30="",$G30="",$H30="",$K30=""),"缺少必填","通過"))</x:f>
      </x:c>
      <x:c r="AA30" s="533" t="str">
        <x:f>IF($A30="","",IF(OR(NOT(ISNUMBER($B30)),NOT(ISNUMBER($C30)),NOT(ISNUMBER($D30))),"日期或時間格式不正確",IF($D30&lt;=$C30,"結束時間須晚於開始","通過")))</x:f>
      </x:c>
      <x:c r="AB30" s="533" t="str">
        <x:f>IF($A30="","",IF(COUNTIFS('排班模式清單'!$A$7:$A$169,$F30,'排班模式清單'!$B$7:$B$169,$E30,'排班模式清單'!$Q$7:$Q$169,$F30)=1,"通過","醫師或模式未通過匯入閘門"))</x:f>
      </x:c>
      <x:c r="AC30" s="533" t="str">
        <x:f>IF($A30="","",IF(OR(NOT(ISNUMBER($H30)),$H30&lt;1,AND($I30&lt;&gt;"",OR(NOT(ISNUMBER($I30)),$I30&lt;0)),AND($J30&lt;&gt;"",OR(NOT(ISNUMBER($J30)),$J30&lt;=0))),"人力參數不正確",IF($H30&lt;&gt;_xlfn.XLOOKUP($F30,'排班模式清單'!$A$7:$A$169,'排班模式清單'!$F$7:$F$169,-1,0),"主跟診人數與規則不符",IF($I30&lt;&gt;_xlfn.XLOOKUP($F30,'排班模式清單'!$A$7:$A$169,'排班模式清單'!$G$7:$G$169,-1,0),"支援人數與規則不符",IF(AND($I30&gt;0,$J30=""),"缺少支援分鐘",IF(AND($J30&lt;&gt;"",$J30&lt;&gt;_xlfn.XLOOKUP($F30,'排班模式清單'!$A$7:$A$169,'排班模式清單'!$H$7:$H$169,"",0)),"支援分鐘與規則不符","通過"))))))</x:f>
      </x:c>
      <x:c r="AD30" s="533" t="str">
        <x:f>IF($A30="","",IF($K30="範例","範例",IF($K30="取消","已取消",IF($K30="草稿","草稿待完成",IF($K30&lt;&gt;"正式","資料狀態待選擇",IF(COUNTIFS($Y30:$AC30,"通過")=5,"可進入排班","正式建檔未完成"))))))</x:f>
      </x:c>
      <x:c r="AE30" s="533" t="str">
        <x:f>IF($A30="","",IF($K30&lt;&gt;"正式","不適用",IF($AD30&lt;&gt;"可進入排班","基本資料未完成",IF($X30="確認完成","確認完成",$X30))))</x:f>
      </x:c>
      <x:c r="AF30" s="533" t="str">
        <x:f>IF($A30="","",IF($AD30="範例","範例不需發布",IF($AD30="已取消","已取消",IF($AD30="草稿待完成","完成基本欄位並改為正式",IF($AD30="資料狀態待選擇","選擇資料狀態",IF($AD30="正式建檔未完成","依左側未通過檢核修正",IF($X30&lt;&gt;"確認完成","依三週／一週確認欄位繼續處理","可進入正式試排驗收")))))))</x:f>
      </x:c>
    </x:row>
    <x:row r="31">
      <x:c r="A31" s="81"/>
      <x:c r="B31" s="82"/>
      <x:c r="C31" s="83"/>
      <x:c r="D31" s="83"/>
      <x:c r="E31" s="81"/>
      <x:c r="F31" s="81"/>
      <x:c r="G31" s="81"/>
      <x:c r="H31" s="81"/>
      <x:c r="I31" s="84" t="str">
        <x:f>IF($F31="","",_xlfn.XLOOKUP($F31,'排班模式清單'!$A$7:$A$169,'排班模式清單'!$G$7:$G$169,"模式未建立",0))</x:f>
      </x:c>
      <x:c r="J31" s="84" t="str">
        <x:f>IF($F31="","",_xlfn.XLOOKUP($F31,'排班模式清單'!$A$7:$A$169,'排班模式清單'!$H$7:$H$169,"",0))</x:f>
      </x:c>
      <x:c r="K31" s="81"/>
      <x:c r="L31" s="81"/>
      <x:c r="M31" s="191" t="str">
        <x:f>IF($B31="","",$B31-21)</x:f>
      </x:c>
      <x:c r="N31" s="190"/>
      <x:c r="O31" s="192"/>
      <x:c r="P31" s="191" t="str">
        <x:f>IF($B31="","",$B31-7)</x:f>
      </x:c>
      <x:c r="Q31" s="190"/>
      <x:c r="R31" s="192"/>
      <x:c r="S31" s="190"/>
      <x:c r="T31" s="190"/>
      <x:c r="U31" s="190"/>
      <x:c r="V31" s="190"/>
      <x:c r="W31" s="190"/>
      <x:c r="X31" s="189" t="str">
        <x:f>IF($A31="","",IF(OR($G31="",$G31="待確認",$N31="",$O31=""),"待三週前標記",IF(OR($Q31="",$R31="",$S31=""),"待一週前確認",IF(OR($S31="影響人力",$T31&lt;&gt;"無異動"),IF(OR($U31="",$V31="",$W31="",$V31="未處理"),"人力異動待處理",IF(AND(OR($T31="療程取消",$T31="病患取消"),NOT(OR($V31="人力可調整",$V31="已改派",$V31="已結案"))),"人力釋出待處理","確認完成")),"確認完成"))))</x:f>
      </x:c>
      <x:c r="Y31" s="533" t="str">
        <x:f>IF($A31="","",IF(COUNTIFS($A$7:$A$36,$A31)=1,"通過","編號重複"))</x:f>
      </x:c>
      <x:c r="Z31" s="533" t="str">
        <x:f>IF($A31="","",IF(OR($B31="",$C31="",$D31="",$E31="",$F31="",$G31="",$H31="",$K31=""),"缺少必填","通過"))</x:f>
      </x:c>
      <x:c r="AA31" s="533" t="str">
        <x:f>IF($A31="","",IF(OR(NOT(ISNUMBER($B31)),NOT(ISNUMBER($C31)),NOT(ISNUMBER($D31))),"日期或時間格式不正確",IF($D31&lt;=$C31,"結束時間須晚於開始","通過")))</x:f>
      </x:c>
      <x:c r="AB31" s="533" t="str">
        <x:f>IF($A31="","",IF(COUNTIFS('排班模式清單'!$A$7:$A$169,$F31,'排班模式清單'!$B$7:$B$169,$E31,'排班模式清單'!$Q$7:$Q$169,$F31)=1,"通過","醫師或模式未通過匯入閘門"))</x:f>
      </x:c>
      <x:c r="AC31" s="533" t="str">
        <x:f>IF($A31="","",IF(OR(NOT(ISNUMBER($H31)),$H31&lt;1,AND($I31&lt;&gt;"",OR(NOT(ISNUMBER($I31)),$I31&lt;0)),AND($J31&lt;&gt;"",OR(NOT(ISNUMBER($J31)),$J31&lt;=0))),"人力參數不正確",IF($H31&lt;&gt;_xlfn.XLOOKUP($F31,'排班模式清單'!$A$7:$A$169,'排班模式清單'!$F$7:$F$169,-1,0),"主跟診人數與規則不符",IF($I31&lt;&gt;_xlfn.XLOOKUP($F31,'排班模式清單'!$A$7:$A$169,'排班模式清單'!$G$7:$G$169,-1,0),"支援人數與規則不符",IF(AND($I31&gt;0,$J31=""),"缺少支援分鐘",IF(AND($J31&lt;&gt;"",$J31&lt;&gt;_xlfn.XLOOKUP($F31,'排班模式清單'!$A$7:$A$169,'排班模式清單'!$H$7:$H$169,"",0)),"支援分鐘與規則不符","通過"))))))</x:f>
      </x:c>
      <x:c r="AD31" s="533" t="str">
        <x:f>IF($A31="","",IF($K31="範例","範例",IF($K31="取消","已取消",IF($K31="草稿","草稿待完成",IF($K31&lt;&gt;"正式","資料狀態待選擇",IF(COUNTIFS($Y31:$AC31,"通過")=5,"可進入排班","正式建檔未完成"))))))</x:f>
      </x:c>
      <x:c r="AE31" s="533" t="str">
        <x:f>IF($A31="","",IF($K31&lt;&gt;"正式","不適用",IF($AD31&lt;&gt;"可進入排班","基本資料未完成",IF($X31="確認完成","確認完成",$X31))))</x:f>
      </x:c>
      <x:c r="AF31" s="533" t="str">
        <x:f>IF($A31="","",IF($AD31="範例","範例不需發布",IF($AD31="已取消","已取消",IF($AD31="草稿待完成","完成基本欄位並改為正式",IF($AD31="資料狀態待選擇","選擇資料狀態",IF($AD31="正式建檔未完成","依左側未通過檢核修正",IF($X31&lt;&gt;"確認完成","依三週／一週確認欄位繼續處理","可進入正式試排驗收")))))))</x:f>
      </x:c>
    </x:row>
    <x:row r="32">
      <x:c r="A32" s="81"/>
      <x:c r="B32" s="82"/>
      <x:c r="C32" s="83"/>
      <x:c r="D32" s="83"/>
      <x:c r="E32" s="81"/>
      <x:c r="F32" s="81"/>
      <x:c r="G32" s="81"/>
      <x:c r="H32" s="81"/>
      <x:c r="I32" s="84" t="str">
        <x:f>IF($F32="","",_xlfn.XLOOKUP($F32,'排班模式清單'!$A$7:$A$169,'排班模式清單'!$G$7:$G$169,"模式未建立",0))</x:f>
      </x:c>
      <x:c r="J32" s="84" t="str">
        <x:f>IF($F32="","",_xlfn.XLOOKUP($F32,'排班模式清單'!$A$7:$A$169,'排班模式清單'!$H$7:$H$169,"",0))</x:f>
      </x:c>
      <x:c r="K32" s="81"/>
      <x:c r="L32" s="81"/>
      <x:c r="M32" s="191" t="str">
        <x:f>IF($B32="","",$B32-21)</x:f>
      </x:c>
      <x:c r="N32" s="190"/>
      <x:c r="O32" s="192"/>
      <x:c r="P32" s="191" t="str">
        <x:f>IF($B32="","",$B32-7)</x:f>
      </x:c>
      <x:c r="Q32" s="190"/>
      <x:c r="R32" s="192"/>
      <x:c r="S32" s="190"/>
      <x:c r="T32" s="190"/>
      <x:c r="U32" s="190"/>
      <x:c r="V32" s="190"/>
      <x:c r="W32" s="190"/>
      <x:c r="X32" s="189" t="str">
        <x:f>IF($A32="","",IF(OR($G32="",$G32="待確認",$N32="",$O32=""),"待三週前標記",IF(OR($Q32="",$R32="",$S32=""),"待一週前確認",IF(OR($S32="影響人力",$T32&lt;&gt;"無異動"),IF(OR($U32="",$V32="",$W32="",$V32="未處理"),"人力異動待處理",IF(AND(OR($T32="療程取消",$T32="病患取消"),NOT(OR($V32="人力可調整",$V32="已改派",$V32="已結案"))),"人力釋出待處理","確認完成")),"確認完成"))))</x:f>
      </x:c>
      <x:c r="Y32" s="533" t="str">
        <x:f>IF($A32="","",IF(COUNTIFS($A$7:$A$36,$A32)=1,"通過","編號重複"))</x:f>
      </x:c>
      <x:c r="Z32" s="533" t="str">
        <x:f>IF($A32="","",IF(OR($B32="",$C32="",$D32="",$E32="",$F32="",$G32="",$H32="",$K32=""),"缺少必填","通過"))</x:f>
      </x:c>
      <x:c r="AA32" s="533" t="str">
        <x:f>IF($A32="","",IF(OR(NOT(ISNUMBER($B32)),NOT(ISNUMBER($C32)),NOT(ISNUMBER($D32))),"日期或時間格式不正確",IF($D32&lt;=$C32,"結束時間須晚於開始","通過")))</x:f>
      </x:c>
      <x:c r="AB32" s="533" t="str">
        <x:f>IF($A32="","",IF(COUNTIFS('排班模式清單'!$A$7:$A$169,$F32,'排班模式清單'!$B$7:$B$169,$E32,'排班模式清單'!$Q$7:$Q$169,$F32)=1,"通過","醫師或模式未通過匯入閘門"))</x:f>
      </x:c>
      <x:c r="AC32" s="533" t="str">
        <x:f>IF($A32="","",IF(OR(NOT(ISNUMBER($H32)),$H32&lt;1,AND($I32&lt;&gt;"",OR(NOT(ISNUMBER($I32)),$I32&lt;0)),AND($J32&lt;&gt;"",OR(NOT(ISNUMBER($J32)),$J32&lt;=0))),"人力參數不正確",IF($H32&lt;&gt;_xlfn.XLOOKUP($F32,'排班模式清單'!$A$7:$A$169,'排班模式清單'!$F$7:$F$169,-1,0),"主跟診人數與規則不符",IF($I32&lt;&gt;_xlfn.XLOOKUP($F32,'排班模式清單'!$A$7:$A$169,'排班模式清單'!$G$7:$G$169,-1,0),"支援人數與規則不符",IF(AND($I32&gt;0,$J32=""),"缺少支援分鐘",IF(AND($J32&lt;&gt;"",$J32&lt;&gt;_xlfn.XLOOKUP($F32,'排班模式清單'!$A$7:$A$169,'排班模式清單'!$H$7:$H$169,"",0)),"支援分鐘與規則不符","通過"))))))</x:f>
      </x:c>
      <x:c r="AD32" s="533" t="str">
        <x:f>IF($A32="","",IF($K32="範例","範例",IF($K32="取消","已取消",IF($K32="草稿","草稿待完成",IF($K32&lt;&gt;"正式","資料狀態待選擇",IF(COUNTIFS($Y32:$AC32,"通過")=5,"可進入排班","正式建檔未完成"))))))</x:f>
      </x:c>
      <x:c r="AE32" s="533" t="str">
        <x:f>IF($A32="","",IF($K32&lt;&gt;"正式","不適用",IF($AD32&lt;&gt;"可進入排班","基本資料未完成",IF($X32="確認完成","確認完成",$X32))))</x:f>
      </x:c>
      <x:c r="AF32" s="533" t="str">
        <x:f>IF($A32="","",IF($AD32="範例","範例不需發布",IF($AD32="已取消","已取消",IF($AD32="草稿待完成","完成基本欄位並改為正式",IF($AD32="資料狀態待選擇","選擇資料狀態",IF($AD32="正式建檔未完成","依左側未通過檢核修正",IF($X32&lt;&gt;"確認完成","依三週／一週確認欄位繼續處理","可進入正式試排驗收")))))))</x:f>
      </x:c>
    </x:row>
    <x:row r="33">
      <x:c r="A33" s="81"/>
      <x:c r="B33" s="82"/>
      <x:c r="C33" s="83"/>
      <x:c r="D33" s="83"/>
      <x:c r="E33" s="81"/>
      <x:c r="F33" s="81"/>
      <x:c r="G33" s="81"/>
      <x:c r="H33" s="81"/>
      <x:c r="I33" s="84" t="str">
        <x:f>IF($F33="","",_xlfn.XLOOKUP($F33,'排班模式清單'!$A$7:$A$169,'排班模式清單'!$G$7:$G$169,"模式未建立",0))</x:f>
      </x:c>
      <x:c r="J33" s="84" t="str">
        <x:f>IF($F33="","",_xlfn.XLOOKUP($F33,'排班模式清單'!$A$7:$A$169,'排班模式清單'!$H$7:$H$169,"",0))</x:f>
      </x:c>
      <x:c r="K33" s="81"/>
      <x:c r="L33" s="81"/>
      <x:c r="M33" s="191" t="str">
        <x:f>IF($B33="","",$B33-21)</x:f>
      </x:c>
      <x:c r="N33" s="190"/>
      <x:c r="O33" s="192"/>
      <x:c r="P33" s="191" t="str">
        <x:f>IF($B33="","",$B33-7)</x:f>
      </x:c>
      <x:c r="Q33" s="190"/>
      <x:c r="R33" s="192"/>
      <x:c r="S33" s="190"/>
      <x:c r="T33" s="190"/>
      <x:c r="U33" s="190"/>
      <x:c r="V33" s="190"/>
      <x:c r="W33" s="190"/>
      <x:c r="X33" s="189" t="str">
        <x:f>IF($A33="","",IF(OR($G33="",$G33="待確認",$N33="",$O33=""),"待三週前標記",IF(OR($Q33="",$R33="",$S33=""),"待一週前確認",IF(OR($S33="影響人力",$T33&lt;&gt;"無異動"),IF(OR($U33="",$V33="",$W33="",$V33="未處理"),"人力異動待處理",IF(AND(OR($T33="療程取消",$T33="病患取消"),NOT(OR($V33="人力可調整",$V33="已改派",$V33="已結案"))),"人力釋出待處理","確認完成")),"確認完成"))))</x:f>
      </x:c>
      <x:c r="Y33" s="533" t="str">
        <x:f>IF($A33="","",IF(COUNTIFS($A$7:$A$36,$A33)=1,"通過","編號重複"))</x:f>
      </x:c>
      <x:c r="Z33" s="533" t="str">
        <x:f>IF($A33="","",IF(OR($B33="",$C33="",$D33="",$E33="",$F33="",$G33="",$H33="",$K33=""),"缺少必填","通過"))</x:f>
      </x:c>
      <x:c r="AA33" s="533" t="str">
        <x:f>IF($A33="","",IF(OR(NOT(ISNUMBER($B33)),NOT(ISNUMBER($C33)),NOT(ISNUMBER($D33))),"日期或時間格式不正確",IF($D33&lt;=$C33,"結束時間須晚於開始","通過")))</x:f>
      </x:c>
      <x:c r="AB33" s="533" t="str">
        <x:f>IF($A33="","",IF(COUNTIFS('排班模式清單'!$A$7:$A$169,$F33,'排班模式清單'!$B$7:$B$169,$E33,'排班模式清單'!$Q$7:$Q$169,$F33)=1,"通過","醫師或模式未通過匯入閘門"))</x:f>
      </x:c>
      <x:c r="AC33" s="533" t="str">
        <x:f>IF($A33="","",IF(OR(NOT(ISNUMBER($H33)),$H33&lt;1,AND($I33&lt;&gt;"",OR(NOT(ISNUMBER($I33)),$I33&lt;0)),AND($J33&lt;&gt;"",OR(NOT(ISNUMBER($J33)),$J33&lt;=0))),"人力參數不正確",IF($H33&lt;&gt;_xlfn.XLOOKUP($F33,'排班模式清單'!$A$7:$A$169,'排班模式清單'!$F$7:$F$169,-1,0),"主跟診人數與規則不符",IF($I33&lt;&gt;_xlfn.XLOOKUP($F33,'排班模式清單'!$A$7:$A$169,'排班模式清單'!$G$7:$G$169,-1,0),"支援人數與規則不符",IF(AND($I33&gt;0,$J33=""),"缺少支援分鐘",IF(AND($J33&lt;&gt;"",$J33&lt;&gt;_xlfn.XLOOKUP($F33,'排班模式清單'!$A$7:$A$169,'排班模式清單'!$H$7:$H$169,"",0)),"支援分鐘與規則不符","通過"))))))</x:f>
      </x:c>
      <x:c r="AD33" s="533" t="str">
        <x:f>IF($A33="","",IF($K33="範例","範例",IF($K33="取消","已取消",IF($K33="草稿","草稿待完成",IF($K33&lt;&gt;"正式","資料狀態待選擇",IF(COUNTIFS($Y33:$AC33,"通過")=5,"可進入排班","正式建檔未完成"))))))</x:f>
      </x:c>
      <x:c r="AE33" s="533" t="str">
        <x:f>IF($A33="","",IF($K33&lt;&gt;"正式","不適用",IF($AD33&lt;&gt;"可進入排班","基本資料未完成",IF($X33="確認完成","確認完成",$X33))))</x:f>
      </x:c>
      <x:c r="AF33" s="533" t="str">
        <x:f>IF($A33="","",IF($AD33="範例","範例不需發布",IF($AD33="已取消","已取消",IF($AD33="草稿待完成","完成基本欄位並改為正式",IF($AD33="資料狀態待選擇","選擇資料狀態",IF($AD33="正式建檔未完成","依左側未通過檢核修正",IF($X33&lt;&gt;"確認完成","依三週／一週確認欄位繼續處理","可進入正式試排驗收")))))))</x:f>
      </x:c>
    </x:row>
    <x:row r="34">
      <x:c r="A34" s="81"/>
      <x:c r="B34" s="82"/>
      <x:c r="C34" s="83"/>
      <x:c r="D34" s="83"/>
      <x:c r="E34" s="81"/>
      <x:c r="F34" s="81"/>
      <x:c r="G34" s="81"/>
      <x:c r="H34" s="81"/>
      <x:c r="I34" s="84" t="str">
        <x:f>IF($F34="","",_xlfn.XLOOKUP($F34,'排班模式清單'!$A$7:$A$169,'排班模式清單'!$G$7:$G$169,"模式未建立",0))</x:f>
      </x:c>
      <x:c r="J34" s="84" t="str">
        <x:f>IF($F34="","",_xlfn.XLOOKUP($F34,'排班模式清單'!$A$7:$A$169,'排班模式清單'!$H$7:$H$169,"",0))</x:f>
      </x:c>
      <x:c r="K34" s="81"/>
      <x:c r="L34" s="81"/>
      <x:c r="M34" s="191" t="str">
        <x:f>IF($B34="","",$B34-21)</x:f>
      </x:c>
      <x:c r="N34" s="190"/>
      <x:c r="O34" s="192"/>
      <x:c r="P34" s="191" t="str">
        <x:f>IF($B34="","",$B34-7)</x:f>
      </x:c>
      <x:c r="Q34" s="190"/>
      <x:c r="R34" s="192"/>
      <x:c r="S34" s="190"/>
      <x:c r="T34" s="190"/>
      <x:c r="U34" s="190"/>
      <x:c r="V34" s="190"/>
      <x:c r="W34" s="190"/>
      <x:c r="X34" s="189" t="str">
        <x:f>IF($A34="","",IF(OR($G34="",$G34="待確認",$N34="",$O34=""),"待三週前標記",IF(OR($Q34="",$R34="",$S34=""),"待一週前確認",IF(OR($S34="影響人力",$T34&lt;&gt;"無異動"),IF(OR($U34="",$V34="",$W34="",$V34="未處理"),"人力異動待處理",IF(AND(OR($T34="療程取消",$T34="病患取消"),NOT(OR($V34="人力可調整",$V34="已改派",$V34="已結案"))),"人力釋出待處理","確認完成")),"確認完成"))))</x:f>
      </x:c>
      <x:c r="Y34" s="533" t="str">
        <x:f>IF($A34="","",IF(COUNTIFS($A$7:$A$36,$A34)=1,"通過","編號重複"))</x:f>
      </x:c>
      <x:c r="Z34" s="533" t="str">
        <x:f>IF($A34="","",IF(OR($B34="",$C34="",$D34="",$E34="",$F34="",$G34="",$H34="",$K34=""),"缺少必填","通過"))</x:f>
      </x:c>
      <x:c r="AA34" s="533" t="str">
        <x:f>IF($A34="","",IF(OR(NOT(ISNUMBER($B34)),NOT(ISNUMBER($C34)),NOT(ISNUMBER($D34))),"日期或時間格式不正確",IF($D34&lt;=$C34,"結束時間須晚於開始","通過")))</x:f>
      </x:c>
      <x:c r="AB34" s="533" t="str">
        <x:f>IF($A34="","",IF(COUNTIFS('排班模式清單'!$A$7:$A$169,$F34,'排班模式清單'!$B$7:$B$169,$E34,'排班模式清單'!$Q$7:$Q$169,$F34)=1,"通過","醫師或模式未通過匯入閘門"))</x:f>
      </x:c>
      <x:c r="AC34" s="533" t="str">
        <x:f>IF($A34="","",IF(OR(NOT(ISNUMBER($H34)),$H34&lt;1,AND($I34&lt;&gt;"",OR(NOT(ISNUMBER($I34)),$I34&lt;0)),AND($J34&lt;&gt;"",OR(NOT(ISNUMBER($J34)),$J34&lt;=0))),"人力參數不正確",IF($H34&lt;&gt;_xlfn.XLOOKUP($F34,'排班模式清單'!$A$7:$A$169,'排班模式清單'!$F$7:$F$169,-1,0),"主跟診人數與規則不符",IF($I34&lt;&gt;_xlfn.XLOOKUP($F34,'排班模式清單'!$A$7:$A$169,'排班模式清單'!$G$7:$G$169,-1,0),"支援人數與規則不符",IF(AND($I34&gt;0,$J34=""),"缺少支援分鐘",IF(AND($J34&lt;&gt;"",$J34&lt;&gt;_xlfn.XLOOKUP($F34,'排班模式清單'!$A$7:$A$169,'排班模式清單'!$H$7:$H$169,"",0)),"支援分鐘與規則不符","通過"))))))</x:f>
      </x:c>
      <x:c r="AD34" s="533" t="str">
        <x:f>IF($A34="","",IF($K34="範例","範例",IF($K34="取消","已取消",IF($K34="草稿","草稿待完成",IF($K34&lt;&gt;"正式","資料狀態待選擇",IF(COUNTIFS($Y34:$AC34,"通過")=5,"可進入排班","正式建檔未完成"))))))</x:f>
      </x:c>
      <x:c r="AE34" s="533" t="str">
        <x:f>IF($A34="","",IF($K34&lt;&gt;"正式","不適用",IF($AD34&lt;&gt;"可進入排班","基本資料未完成",IF($X34="確認完成","確認完成",$X34))))</x:f>
      </x:c>
      <x:c r="AF34" s="533" t="str">
        <x:f>IF($A34="","",IF($AD34="範例","範例不需發布",IF($AD34="已取消","已取消",IF($AD34="草稿待完成","完成基本欄位並改為正式",IF($AD34="資料狀態待選擇","選擇資料狀態",IF($AD34="正式建檔未完成","依左側未通過檢核修正",IF($X34&lt;&gt;"確認完成","依三週／一週確認欄位繼續處理","可進入正式試排驗收")))))))</x:f>
      </x:c>
    </x:row>
    <x:row r="35">
      <x:c r="A35" s="81"/>
      <x:c r="B35" s="82"/>
      <x:c r="C35" s="83"/>
      <x:c r="D35" s="83"/>
      <x:c r="E35" s="81"/>
      <x:c r="F35" s="81"/>
      <x:c r="G35" s="81"/>
      <x:c r="H35" s="81"/>
      <x:c r="I35" s="84" t="str">
        <x:f>IF($F35="","",_xlfn.XLOOKUP($F35,'排班模式清單'!$A$7:$A$169,'排班模式清單'!$G$7:$G$169,"模式未建立",0))</x:f>
      </x:c>
      <x:c r="J35" s="84" t="str">
        <x:f>IF($F35="","",_xlfn.XLOOKUP($F35,'排班模式清單'!$A$7:$A$169,'排班模式清單'!$H$7:$H$169,"",0))</x:f>
      </x:c>
      <x:c r="K35" s="81"/>
      <x:c r="L35" s="81"/>
      <x:c r="M35" s="191" t="str">
        <x:f>IF($B35="","",$B35-21)</x:f>
      </x:c>
      <x:c r="N35" s="190"/>
      <x:c r="O35" s="192"/>
      <x:c r="P35" s="191" t="str">
        <x:f>IF($B35="","",$B35-7)</x:f>
      </x:c>
      <x:c r="Q35" s="190"/>
      <x:c r="R35" s="192"/>
      <x:c r="S35" s="190"/>
      <x:c r="T35" s="190"/>
      <x:c r="U35" s="190"/>
      <x:c r="V35" s="190"/>
      <x:c r="W35" s="190"/>
      <x:c r="X35" s="189" t="str">
        <x:f>IF($A35="","",IF(OR($G35="",$G35="待確認",$N35="",$O35=""),"待三週前標記",IF(OR($Q35="",$R35="",$S35=""),"待一週前確認",IF(OR($S35="影響人力",$T35&lt;&gt;"無異動"),IF(OR($U35="",$V35="",$W35="",$V35="未處理"),"人力異動待處理",IF(AND(OR($T35="療程取消",$T35="病患取消"),NOT(OR($V35="人力可調整",$V35="已改派",$V35="已結案"))),"人力釋出待處理","確認完成")),"確認完成"))))</x:f>
      </x:c>
      <x:c r="Y35" s="533" t="str">
        <x:f>IF($A35="","",IF(COUNTIFS($A$7:$A$36,$A35)=1,"通過","編號重複"))</x:f>
      </x:c>
      <x:c r="Z35" s="533" t="str">
        <x:f>IF($A35="","",IF(OR($B35="",$C35="",$D35="",$E35="",$F35="",$G35="",$H35="",$K35=""),"缺少必填","通過"))</x:f>
      </x:c>
      <x:c r="AA35" s="533" t="str">
        <x:f>IF($A35="","",IF(OR(NOT(ISNUMBER($B35)),NOT(ISNUMBER($C35)),NOT(ISNUMBER($D35))),"日期或時間格式不正確",IF($D35&lt;=$C35,"結束時間須晚於開始","通過")))</x:f>
      </x:c>
      <x:c r="AB35" s="533" t="str">
        <x:f>IF($A35="","",IF(COUNTIFS('排班模式清單'!$A$7:$A$169,$F35,'排班模式清單'!$B$7:$B$169,$E35,'排班模式清單'!$Q$7:$Q$169,$F35)=1,"通過","醫師或模式未通過匯入閘門"))</x:f>
      </x:c>
      <x:c r="AC35" s="533" t="str">
        <x:f>IF($A35="","",IF(OR(NOT(ISNUMBER($H35)),$H35&lt;1,AND($I35&lt;&gt;"",OR(NOT(ISNUMBER($I35)),$I35&lt;0)),AND($J35&lt;&gt;"",OR(NOT(ISNUMBER($J35)),$J35&lt;=0))),"人力參數不正確",IF($H35&lt;&gt;_xlfn.XLOOKUP($F35,'排班模式清單'!$A$7:$A$169,'排班模式清單'!$F$7:$F$169,-1,0),"主跟診人數與規則不符",IF($I35&lt;&gt;_xlfn.XLOOKUP($F35,'排班模式清單'!$A$7:$A$169,'排班模式清單'!$G$7:$G$169,-1,0),"支援人數與規則不符",IF(AND($I35&gt;0,$J35=""),"缺少支援分鐘",IF(AND($J35&lt;&gt;"",$J35&lt;&gt;_xlfn.XLOOKUP($F35,'排班模式清單'!$A$7:$A$169,'排班模式清單'!$H$7:$H$169,"",0)),"支援分鐘與規則不符","通過"))))))</x:f>
      </x:c>
      <x:c r="AD35" s="533" t="str">
        <x:f>IF($A35="","",IF($K35="範例","範例",IF($K35="取消","已取消",IF($K35="草稿","草稿待完成",IF($K35&lt;&gt;"正式","資料狀態待選擇",IF(COUNTIFS($Y35:$AC35,"通過")=5,"可進入排班","正式建檔未完成"))))))</x:f>
      </x:c>
      <x:c r="AE35" s="533" t="str">
        <x:f>IF($A35="","",IF($K35&lt;&gt;"正式","不適用",IF($AD35&lt;&gt;"可進入排班","基本資料未完成",IF($X35="確認完成","確認完成",$X35))))</x:f>
      </x:c>
      <x:c r="AF35" s="533" t="str">
        <x:f>IF($A35="","",IF($AD35="範例","範例不需發布",IF($AD35="已取消","已取消",IF($AD35="草稿待完成","完成基本欄位並改為正式",IF($AD35="資料狀態待選擇","選擇資料狀態",IF($AD35="正式建檔未完成","依左側未通過檢核修正",IF($X35&lt;&gt;"確認完成","依三週／一週確認欄位繼續處理","可進入正式試排驗收")))))))</x:f>
      </x:c>
    </x:row>
    <x:row r="36">
      <x:c r="A36" s="81"/>
      <x:c r="B36" s="82"/>
      <x:c r="C36" s="83"/>
      <x:c r="D36" s="83"/>
      <x:c r="E36" s="81"/>
      <x:c r="F36" s="81"/>
      <x:c r="G36" s="81"/>
      <x:c r="H36" s="81"/>
      <x:c r="I36" s="84" t="str">
        <x:f>IF($F36="","",_xlfn.XLOOKUP($F36,'排班模式清單'!$A$7:$A$169,'排班模式清單'!$G$7:$G$169,"模式未建立",0))</x:f>
      </x:c>
      <x:c r="J36" s="84" t="str">
        <x:f>IF($F36="","",_xlfn.XLOOKUP($F36,'排班模式清單'!$A$7:$A$169,'排班模式清單'!$H$7:$H$169,"",0))</x:f>
      </x:c>
      <x:c r="K36" s="81"/>
      <x:c r="L36" s="81"/>
      <x:c r="M36" s="191" t="str">
        <x:f>IF($B36="","",$B36-21)</x:f>
      </x:c>
      <x:c r="N36" s="190"/>
      <x:c r="O36" s="192"/>
      <x:c r="P36" s="191" t="str">
        <x:f>IF($B36="","",$B36-7)</x:f>
      </x:c>
      <x:c r="Q36" s="190"/>
      <x:c r="R36" s="192"/>
      <x:c r="S36" s="190"/>
      <x:c r="T36" s="190"/>
      <x:c r="U36" s="190"/>
      <x:c r="V36" s="190"/>
      <x:c r="W36" s="190"/>
      <x:c r="X36" s="189" t="str">
        <x:f>IF($A36="","",IF(OR($G36="",$G36="待確認",$N36="",$O36=""),"待三週前標記",IF(OR($Q36="",$R36="",$S36=""),"待一週前確認",IF(OR($S36="影響人力",$T36&lt;&gt;"無異動"),IF(OR($U36="",$V36="",$W36="",$V36="未處理"),"人力異動待處理",IF(AND(OR($T36="療程取消",$T36="病患取消"),NOT(OR($V36="人力可調整",$V36="已改派",$V36="已結案"))),"人力釋出待處理","確認完成")),"確認完成"))))</x:f>
      </x:c>
      <x:c r="Y36" s="533" t="str">
        <x:f>IF($A36="","",IF(COUNTIFS($A$7:$A$36,$A36)=1,"通過","編號重複"))</x:f>
      </x:c>
      <x:c r="Z36" s="533" t="str">
        <x:f>IF($A36="","",IF(OR($B36="",$C36="",$D36="",$E36="",$F36="",$G36="",$H36="",$K36=""),"缺少必填","通過"))</x:f>
      </x:c>
      <x:c r="AA36" s="533" t="str">
        <x:f>IF($A36="","",IF(OR(NOT(ISNUMBER($B36)),NOT(ISNUMBER($C36)),NOT(ISNUMBER($D36))),"日期或時間格式不正確",IF($D36&lt;=$C36,"結束時間須晚於開始","通過")))</x:f>
      </x:c>
      <x:c r="AB36" s="533" t="str">
        <x:f>IF($A36="","",IF(COUNTIFS('排班模式清單'!$A$7:$A$169,$F36,'排班模式清單'!$B$7:$B$169,$E36,'排班模式清單'!$Q$7:$Q$169,$F36)=1,"通過","醫師或模式未通過匯入閘門"))</x:f>
      </x:c>
      <x:c r="AC36" s="533" t="str">
        <x:f>IF($A36="","",IF(OR(NOT(ISNUMBER($H36)),$H36&lt;1,AND($I36&lt;&gt;"",OR(NOT(ISNUMBER($I36)),$I36&lt;0)),AND($J36&lt;&gt;"",OR(NOT(ISNUMBER($J36)),$J36&lt;=0))),"人力參數不正確",IF($H36&lt;&gt;_xlfn.XLOOKUP($F36,'排班模式清單'!$A$7:$A$169,'排班模式清單'!$F$7:$F$169,-1,0),"主跟診人數與規則不符",IF($I36&lt;&gt;_xlfn.XLOOKUP($F36,'排班模式清單'!$A$7:$A$169,'排班模式清單'!$G$7:$G$169,-1,0),"支援人數與規則不符",IF(AND($I36&gt;0,$J36=""),"缺少支援分鐘",IF(AND($J36&lt;&gt;"",$J36&lt;&gt;_xlfn.XLOOKUP($F36,'排班模式清單'!$A$7:$A$169,'排班模式清單'!$H$7:$H$169,"",0)),"支援分鐘與規則不符","通過"))))))</x:f>
      </x:c>
      <x:c r="AD36" s="533" t="str">
        <x:f>IF($A36="","",IF($K36="範例","範例",IF($K36="取消","已取消",IF($K36="草稿","草稿待完成",IF($K36&lt;&gt;"正式","資料狀態待選擇",IF(COUNTIFS($Y36:$AC36,"通過")=5,"可進入排班","正式建檔未完成"))))))</x:f>
      </x:c>
      <x:c r="AE36" s="533" t="str">
        <x:f>IF($A36="","",IF($K36&lt;&gt;"正式","不適用",IF($AD36&lt;&gt;"可進入排班","基本資料未完成",IF($X36="確認完成","確認完成",$X36))))</x:f>
      </x:c>
      <x:c r="AF36" s="533" t="str">
        <x:f>IF($A36="","",IF($AD36="範例","範例不需發布",IF($AD36="已取消","已取消",IF($AD36="草稿待完成","完成基本欄位並改為正式",IF($AD36="資料狀態待選擇","選擇資料狀態",IF($AD36="正式建檔未完成","依左側未通過檢核修正",IF($X36&lt;&gt;"確認完成","依三週／一週確認欄位繼續處理","可進入正式試排驗收")))))))</x:f>
      </x:c>
    </x:row>
  </x:sheetData>
  <x:mergeCells>
    <x:mergeCell ref="Y2:AF2"/>
    <x:mergeCell ref="Y4:AF4"/>
  </x:mergeCells>
  <x:conditionalFormatting sqref="X7:X36">
    <x:cfRule type="containsText" dxfId="31" priority="1" operator="containsText" text="待處理"/>
    <x:cfRule type="containsText" dxfId="32" priority="2" operator="containsText" text="待三週"/>
    <x:cfRule type="containsText" dxfId="33" priority="3" operator="containsText" text="待一週"/>
  </x:conditionalFormatting>
  <x:conditionalFormatting sqref="Y7:AF36">
    <x:cfRule type="containsText" dxfId="135" priority="4" operator="containsText" text="未完成"/>
    <x:cfRule type="containsText" dxfId="136" priority="5" operator="containsText" text="重複"/>
    <x:cfRule type="containsText" dxfId="137" priority="6" operator="containsText" text="不正確"/>
    <x:cfRule type="containsText" dxfId="138" priority="7" operator="containsText" text="缺少"/>
    <x:cfRule type="containsText" dxfId="142" priority="10" operator="containsText" text="未完成"/>
    <x:cfRule type="containsText" dxfId="143" priority="11" operator="containsText" text="重複"/>
    <x:cfRule type="containsText" dxfId="144" priority="12" operator="containsText" text="不正確"/>
    <x:cfRule type="containsText" dxfId="145" priority="13" operator="containsText" text="缺少"/>
    <x:cfRule type="containsText" dxfId="149" priority="16" operator="containsText" text="未完成"/>
    <x:cfRule type="containsText" dxfId="150" priority="17" operator="containsText" text="重複"/>
    <x:cfRule type="containsText" dxfId="151" priority="18" operator="containsText" text="不正確"/>
    <x:cfRule type="containsText" dxfId="152" priority="19" operator="containsText" text="缺少"/>
    <x:cfRule type="containsText" dxfId="156" priority="22" operator="containsText" text="未完成"/>
    <x:cfRule type="containsText" dxfId="157" priority="23" operator="containsText" text="重複"/>
    <x:cfRule type="containsText" dxfId="158" priority="24" operator="containsText" text="不正確"/>
    <x:cfRule type="containsText" dxfId="159" priority="25" operator="containsText" text="缺少"/>
    <x:cfRule type="containsText" dxfId="163" priority="28" operator="containsText" text="未完成"/>
    <x:cfRule type="containsText" dxfId="164" priority="29" operator="containsText" text="重複"/>
    <x:cfRule type="containsText" dxfId="165" priority="30" operator="containsText" text="不正確"/>
    <x:cfRule type="containsText" dxfId="166" priority="31" operator="containsText" text="缺少"/>
  </x:conditionalFormatting>
  <x:conditionalFormatting sqref="AD7:AD36">
    <x:cfRule type="containsText" dxfId="139" priority="8" operator="containsText" text="可進入排班"/>
    <x:cfRule type="containsText" dxfId="146" priority="14" operator="containsText" text="可進入排班"/>
    <x:cfRule type="containsText" dxfId="153" priority="20" operator="containsText" text="可進入排班"/>
    <x:cfRule type="containsText" dxfId="160" priority="26" operator="containsText" text="可進入排班"/>
    <x:cfRule type="containsText" dxfId="167" priority="32" operator="containsText" text="可進入排班"/>
  </x:conditionalFormatting>
  <x:conditionalFormatting sqref="AE7:AE36">
    <x:cfRule type="containsText" dxfId="140" priority="9" operator="containsText" text="確認完成"/>
    <x:cfRule type="containsText" dxfId="147" priority="15" operator="containsText" text="確認完成"/>
    <x:cfRule type="containsText" dxfId="154" priority="21" operator="containsText" text="確認完成"/>
    <x:cfRule type="containsText" dxfId="161" priority="27" operator="containsText" text="確認完成"/>
    <x:cfRule type="containsText" dxfId="168" priority="33" operator="containsText" text="確認完成"/>
  </x:conditionalFormatting>
  <x:dataValidations count="6">
    <x:dataValidation type="list" sqref="F7:F36">
      <x:formula1>'排班模式清單'!$Q$7:$Q$169</x:formula1>
    </x:dataValidation>
    <x:dataValidation type="list" sqref="G7:G36">
      <x:formula1>"待確認,一般診已確認,特殊療程已確認,取消"</x:formula1>
    </x:dataValidation>
    <x:dataValidation type="list" sqref="K7:K36">
      <x:formula1>"草稿,正式,範例,取消"</x:formula1>
    </x:dataValidation>
    <x:dataValidation type="list" sqref="S7:S36">
      <x:formula1>"待確認,無變更,器械／材料更新,影響人力"</x:formula1>
    </x:dataValidation>
    <x:dataValidation type="list" sqref="T7:T36">
      <x:formula1>"無異動,增加人力,減少人力,療程取消,病患取消"</x:formula1>
    </x:dataValidation>
    <x:dataValidation type="list" sqref="V7:V36">
      <x:formula1>"未處理,已重新檢核,人力可調整,已改派,已結案"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15196ba4e9c84931"/>
    <x:tablePart xmlns:r="http://schemas.openxmlformats.org/officeDocument/2006/relationships" r:id="Rc47c270f7f994f9b"/>
    <x:tablePart xmlns:r="http://schemas.openxmlformats.org/officeDocument/2006/relationships" r:id="R43cf2fcede684597"/>
  </x:tableParts>
</x:worksheet>
</file>

<file path=xl/worksheets/sheet18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22" hidden="0" customWidth="1"/>
    <x:col min="10" max="10" width="28" hidden="0" customWidth="1"/>
    <x:col min="11" max="11" width="24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24" hidden="0" customWidth="1"/>
    <x:col min="18" max="18" width="30" hidden="0" customWidth="1"/>
  </x:cols>
  <x:sheetData>
    <x:row r="2">
      <x:c r="A2" s="74" t="str">
        <x:v>班次人員配置與即時檢核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>
      <x:c r="A4" s="75" t="str">
        <x:v>黃色欄位由助理主管填寫。公式會帶入能力候選、正式狀態、支援需求及時段衝突。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</x:row>
    <x:row r="6">
      <x:c r="A6" s="78" t="str">
        <x:v>配置編號</x:v>
      </x:c>
      <x:c r="B6" s="78" t="str">
        <x:v>需求編號</x:v>
      </x:c>
      <x:c r="C6" s="78" t="str">
        <x:v>員工編號</x:v>
      </x:c>
      <x:c r="D6" s="78" t="str">
        <x:v>姓名</x:v>
      </x:c>
      <x:c r="E6" s="78" t="str">
        <x:v>角色</x:v>
      </x:c>
      <x:c r="F6" s="78" t="str">
        <x:v>可用支援名額</x:v>
      </x:c>
      <x:c r="G6" s="78" t="str">
        <x:v>當班可調度</x:v>
      </x:c>
      <x:c r="H6" s="78" t="str">
        <x:v>模式代碼</x:v>
      </x:c>
      <x:c r="I6" s="78" t="str">
        <x:v>能力試算結果</x:v>
      </x:c>
      <x:c r="J6" s="78" t="str">
        <x:v>正式狀態</x:v>
      </x:c>
      <x:c r="K6" s="78" t="str">
        <x:v>角色資格檢核</x:v>
      </x:c>
      <x:c r="L6" s="78" t="str">
        <x:v>支援占用名額</x:v>
      </x:c>
      <x:c r="M6" s="78" t="str">
        <x:v>日期</x:v>
      </x:c>
      <x:c r="N6" s="78" t="str">
        <x:v>開始時間</x:v>
      </x:c>
      <x:c r="O6" s="78" t="str">
        <x:v>結束時間</x:v>
      </x:c>
      <x:c r="P6" s="78" t="str">
        <x:v>時段重疊數</x:v>
      </x:c>
      <x:c r="Q6" s="78" t="str">
        <x:v>配置狀態</x:v>
      </x:c>
      <x:c r="R6" s="78" t="str">
        <x:v>備註</x:v>
      </x:c>
    </x:row>
    <x:row r="7">
      <x:c r="A7" s="81" t="str">
        <x:v>C001</x:v>
      </x:c>
      <x:c r="B7" s="81" t="str">
        <x:v>S001</x:v>
      </x:c>
      <x:c r="C7" s="81" t="str">
        <x:v>1001</x:v>
      </x:c>
      <x:c r="D7" s="84" t="str">
        <x:f>IF($C7="","",_xlfn.XLOOKUP($C7,'試行員工主檔'!$A$7:$A$20,'試行員工主檔'!$B$7:$B$20,"員工未建立",0))</x:f>
      </x:c>
      <x:c r="E7" s="84" t="str">
        <x:v>主跟診</x:v>
      </x:c>
      <x:c r="F7" s="84" t="n">
        <x:v>0</x:v>
      </x:c>
      <x:c r="G7" s="84" t="str">
        <x:v>否</x:v>
      </x:c>
      <x:c r="H7" s="84" t="str">
        <x:f>IF($B7="","",_xlfn.XLOOKUP($B7,'班次需求輸入'!$A$7:$A$36,'班次需求輸入'!$F$7:$F$36,"需求未建立",0))</x:f>
        <x:v>LJT-SCALING</x:v>
      </x:c>
      <x:c r="I7" s="84" t="str">
        <x:f>IF(OR($C7="",$H7=""),"",_xlfn.XLOOKUP($C7&amp;"|"&amp;$H7,'排班適配試算'!$V$7:$V$188,'排班適配試算'!$S$7:$S$188,"未建立",0))</x:f>
        <x:v>初步可獨立</x:v>
      </x:c>
      <x:c r="J7" s="84" t="str">
        <x:f>IF(OR($C7="",$H7=""),"",_xlfn.XLOOKUP($C7&amp;"|"&amp;$H7,'排班適配試算'!$V$7:$V$188,'排班適配試算'!$U$7:$U$188,"未建立",0))</x:f>
        <x:v>待確認共通技能門檻</x:v>
      </x:c>
      <x:c r="K7" s="84" t="str">
        <x:f>IF($E7="","",IF($E7="主跟診",$J7,IF($E7="短時支援",_xlfn.XLOOKUP($C7,'RPD支援者候選'!$A$7:$A$20,'RPD支援者候選'!$H$7:$H$20,"未建立",0),IF($E7="學習觀摩","學習觀摩，不計正式人力",IF(OR($E7="完整支援",$E7="技術備援",$E7="流動",$E7="第二櫃台"),IF(AND($E7="技術備援",_xlfn.XLOOKUP($H7,'李醫師治療模式'!$A$7:$A$19,'李醫師治療模式'!$F$7:$F$19,"",0)="高複雜度"),"高複雜度不可由技術備援",IF($E7="完整支援",IF(_xlfn.XLOOKUP("SUP|"&amp;$C7&amp;"|"&amp;$H7,'支援者資格核定'!$A$7:$A$188,'支援者資格核定'!$N$7:$N$188,"未建立",0)&lt;&gt;"完整支援者","需要完整支援者",IF($F7&gt;_xlfn.XLOOKUP("SUP|"&amp;$C7&amp;"|"&amp;$H7,'支援者資格核定'!$A$7:$A$188,'支援者資格核定'!$O$7:$O$188,0,0),"支援名額超過核定上限","支援資格通過")),IF(OR(_xlfn.XLOOKUP("SUP|"&amp;$C7&amp;"|"&amp;$H7,'支援者資格核定'!$A$7:$A$188,'支援者資格核定'!$N$7:$N$188,"未建立",0)="完整支援者",_xlfn.XLOOKUP("SUP|"&amp;$C7&amp;"|"&amp;$H7,'支援者資格核定'!$A$7:$A$188,'支援者資格核定'!$N$7:$N$188,"未建立",0)="技術備援者"),IF($F7&gt;_xlfn.XLOOKUP("SUP|"&amp;$C7&amp;"|"&amp;$H7,'支援者資格核定'!$A$7:$A$188,'支援者資格核定'!$O$7:$O$188,0,0),"支援名額超過核定上限","支援資格通過"),"支援資格未核定"))),"角色未定義")))))</x:f>
        <x:v>待確認共通技能門檻</x:v>
      </x:c>
      <x:c r="L7" s="84" t="n">
        <x:f>IF($E7&lt;&gt;"主跟診",0,IF($I7="初步可條件排",IF(_xlfn.XLOOKUP($H7,'排班模式清單'!$A$7:$A$169,'排班模式清單'!$E$7:$E$169,"",0)="高複雜度",2,1),0)+IFNA(_xlfn.XLOOKUP($B7,'班次需求輸入'!$A$7:$A$36,'班次需求輸入'!$I$7:$I$36,0,0),0))</x:f>
        <x:v>0</x:v>
      </x:c>
      <x:c r="M7" s="85" t="n">
        <x:f>IF($B7="","",_xlfn.XLOOKUP($B7,'班次需求輸入'!$A$7:$A$36,'班次需求輸入'!$B$7:$B$36,"",0))</x:f>
        <x:v>46286</x:v>
      </x:c>
      <x:c r="N7" s="86" t="n">
        <x:f>IF($B7="","",_xlfn.XLOOKUP($B7,'班次需求輸入'!$A$7:$A$36,'班次需求輸入'!$C$7:$C$36,"",0))</x:f>
        <x:v>0.375</x:v>
      </x:c>
      <x:c r="O7" s="86" t="n">
        <x:f>IF($B7="","",_xlfn.XLOOKUP($B7,'班次需求輸入'!$A$7:$A$36,'班次需求輸入'!$D$7:$D$36,"",0))</x:f>
        <x:v>0.5</x:v>
      </x:c>
      <x:c r="P7" s="84" t="n">
        <x:f>IF(OR($C7="",$M7="",$N7="",$O7=""),0,COUNTIFS($C$7:$C$66,$C7,$M$7:$M$66,$M7,$N$7:$N$66,"&lt;"&amp;$O7,$O$7:$O$66,"&gt;"&amp;$N7)-1)</x:f>
        <x:v>0</x:v>
      </x:c>
      <x:c r="Q7" s="84" t="str">
        <x:f>IF($B7="","",IF($P7&gt;0,"時段衝突",IF($E7="主跟診",IF(LEFT($K7,1)="待","候選，待完成資格","已檢核"),IF(OR($E7="完整支援",$E7="技術備援",$E7="流動",$E7="第二櫃台"),IF($K7="支援資格通過","已檢核",$K7),$K7))))</x:f>
        <x:v>候選，待完成資格</x:v>
      </x:c>
      <x:c r="R7" s="81" t="str">
        <x:v>範例</x:v>
      </x:c>
    </x:row>
    <x:row r="8">
      <x:c r="A8" s="81" t="str">
        <x:v>C002</x:v>
      </x:c>
      <x:c r="B8" s="81" t="str">
        <x:v>S002</x:v>
      </x:c>
      <x:c r="C8" s="81" t="str">
        <x:v>1025</x:v>
      </x:c>
      <x:c r="D8" s="84" t="str">
        <x:f>IF($C8="","",_xlfn.XLOOKUP($C8,'試行員工主檔'!$A$7:$A$20,'試行員工主檔'!$B$7:$B$20,"員工未建立",0))</x:f>
      </x:c>
      <x:c r="E8" s="84" t="str">
        <x:v>主跟診</x:v>
      </x:c>
      <x:c r="F8" s="84" t="n">
        <x:v>0</x:v>
      </x:c>
      <x:c r="G8" s="84" t="str">
        <x:v>否</x:v>
      </x:c>
      <x:c r="H8" s="84" t="str">
        <x:f>IF($B8="","",_xlfn.XLOOKUP($B8,'班次需求輸入'!$A$7:$A$36,'班次需求輸入'!$F$7:$F$36,"需求未建立",0))</x:f>
        <x:v>LJT-IMPLANT</x:v>
      </x:c>
      <x:c r="I8" s="84" t="str">
        <x:f>IF(OR($C8="",$H8=""),"",_xlfn.XLOOKUP($C8&amp;"|"&amp;$H8,'排班適配試算'!$V$7:$V$188,'排班適配試算'!$S$7:$S$188,"未建立",0))</x:f>
        <x:v>不可正式排</x:v>
      </x:c>
      <x:c r="J8" s="84" t="str">
        <x:f>IF(OR($C8="",$H8=""),"",_xlfn.XLOOKUP($C8&amp;"|"&amp;$H8,'排班適配試算'!$V$7:$V$188,'排班適配試算'!$U$7:$U$188,"未建立",0))</x:f>
        <x:v>待確認共通技能門檻</x:v>
      </x:c>
      <x:c r="K8" s="84" t="str">
        <x:f>IF($E8="","",IF($E8="主跟診",$J8,IF($E8="短時支援",_xlfn.XLOOKUP($C8,'RPD支援者候選'!$A$7:$A$20,'RPD支援者候選'!$H$7:$H$20,"未建立",0),IF($E8="學習觀摩","學習觀摩，不計正式人力",IF(OR($E8="完整支援",$E8="技術備援",$E8="流動",$E8="第二櫃台"),IF(AND($E8="技術備援",_xlfn.XLOOKUP($H8,'李醫師治療模式'!$A$7:$A$19,'李醫師治療模式'!$F$7:$F$19,"",0)="高複雜度"),"高複雜度不可由技術備援",IF($E8="完整支援",IF(_xlfn.XLOOKUP("SUP|"&amp;$C8&amp;"|"&amp;$H8,'支援者資格核定'!$A$7:$A$188,'支援者資格核定'!$N$7:$N$188,"未建立",0)&lt;&gt;"完整支援者","需要完整支援者",IF($F8&gt;_xlfn.XLOOKUP("SUP|"&amp;$C8&amp;"|"&amp;$H8,'支援者資格核定'!$A$7:$A$188,'支援者資格核定'!$O$7:$O$188,0,0),"支援名額超過核定上限","支援資格通過")),IF(OR(_xlfn.XLOOKUP("SUP|"&amp;$C8&amp;"|"&amp;$H8,'支援者資格核定'!$A$7:$A$188,'支援者資格核定'!$N$7:$N$188,"未建立",0)="完整支援者",_xlfn.XLOOKUP("SUP|"&amp;$C8&amp;"|"&amp;$H8,'支援者資格核定'!$A$7:$A$188,'支援者資格核定'!$N$7:$N$188,"未建立",0)="技術備援者"),IF($F8&gt;_xlfn.XLOOKUP("SUP|"&amp;$C8&amp;"|"&amp;$H8,'支援者資格核定'!$A$7:$A$188,'支援者資格核定'!$O$7:$O$188,0,0),"支援名額超過核定上限","支援資格通過"),"支援資格未核定"))),"角色未定義")))))</x:f>
        <x:v>待確認共通技能門檻</x:v>
      </x:c>
      <x:c r="L8" s="84" t="n">
        <x:f>IF($E8&lt;&gt;"主跟診",0,IF($I8="初步可條件排",IF(_xlfn.XLOOKUP($H8,'排班模式清單'!$A$7:$A$169,'排班模式清單'!$E$7:$E$169,"",0)="高複雜度",2,1),0)+IFNA(_xlfn.XLOOKUP($B8,'班次需求輸入'!$A$7:$A$36,'班次需求輸入'!$I$7:$I$36,0,0),0))</x:f>
        <x:v>0</x:v>
      </x:c>
      <x:c r="M8" s="85" t="n">
        <x:f>IF($B8="","",_xlfn.XLOOKUP($B8,'班次需求輸入'!$A$7:$A$36,'班次需求輸入'!$B$7:$B$36,"",0))</x:f>
        <x:v>46286</x:v>
      </x:c>
      <x:c r="N8" s="86" t="n">
        <x:f>IF($B8="","",_xlfn.XLOOKUP($B8,'班次需求輸入'!$A$7:$A$36,'班次需求輸入'!$C$7:$C$36,"",0))</x:f>
        <x:v>0.5833333333333334</x:v>
      </x:c>
      <x:c r="O8" s="86" t="n">
        <x:f>IF($B8="","",_xlfn.XLOOKUP($B8,'班次需求輸入'!$A$7:$A$36,'班次需求輸入'!$D$7:$D$36,"",0))</x:f>
        <x:v>0.7083333333333334</x:v>
      </x:c>
      <x:c r="P8" s="84" t="n">
        <x:f>IF(OR($C8="",$M8="",$N8="",$O8=""),0,COUNTIFS($C$7:$C$66,$C8,$M$7:$M$66,$M8,$N$7:$N$66,"&lt;"&amp;$O8,$O$7:$O$66,"&gt;"&amp;$N8)-1)</x:f>
        <x:v>0</x:v>
      </x:c>
      <x:c r="Q8" s="84" t="str">
        <x:f>IF($B8="","",IF($P8&gt;0,"時段衝突",IF($E8="主跟診",IF(LEFT($K8,1)="待","候選，待完成資格","已檢核"),IF(OR($E8="完整支援",$E8="技術備援",$E8="流動",$E8="第二櫃台"),IF($K8="支援資格通過","已檢核",$K8),$K8))))</x:f>
        <x:v>候選，待完成資格</x:v>
      </x:c>
      <x:c r="R8" s="81" t="str">
        <x:v>範例</x:v>
      </x:c>
    </x:row>
    <x:row r="9">
      <x:c r="A9" s="81" t="str">
        <x:v>C003</x:v>
      </x:c>
      <x:c r="B9" s="81" t="str">
        <x:v>S002</x:v>
      </x:c>
      <x:c r="C9" s="81" t="str">
        <x:v>1001</x:v>
      </x:c>
      <x:c r="D9" s="84" t="str">
        <x:f>IF($C9="","",_xlfn.XLOOKUP($C9,'試行員工主檔'!$A$7:$A$20,'試行員工主檔'!$B$7:$B$20,"員工未建立",0))</x:f>
      </x:c>
      <x:c r="E9" s="84" t="str">
        <x:v>完整支援</x:v>
      </x:c>
      <x:c r="F9" s="84" t="n">
        <x:v>2</x:v>
      </x:c>
      <x:c r="G9" s="84" t="str">
        <x:v>是</x:v>
      </x:c>
      <x:c r="H9" s="84" t="str">
        <x:f>IF($B9="","",_xlfn.XLOOKUP($B9,'班次需求輸入'!$A$7:$A$36,'班次需求輸入'!$F$7:$F$36,"需求未建立",0))</x:f>
        <x:v>LJT-IMPLANT</x:v>
      </x:c>
      <x:c r="I9" s="84" t="str">
        <x:f>IF(OR($C9="",$H9=""),"",_xlfn.XLOOKUP($C9&amp;"|"&amp;$H9,'排班適配試算'!$V$7:$V$188,'排班適配試算'!$S$7:$S$188,"未建立",0))</x:f>
        <x:v>初步可獨立</x:v>
      </x:c>
      <x:c r="J9" s="84" t="str">
        <x:f>IF(OR($C9="",$H9=""),"",_xlfn.XLOOKUP($C9&amp;"|"&amp;$H9,'排班適配試算'!$V$7:$V$188,'排班適配試算'!$U$7:$U$188,"未建立",0))</x:f>
        <x:v>待確認共通技能門檻</x:v>
      </x:c>
      <x:c r="K9" s="84" t="str">
        <x:f>IF($E9="","",IF($E9="主跟診",$J9,IF($E9="短時支援",_xlfn.XLOOKUP($C9,'RPD支援者候選'!$A$7:$A$20,'RPD支援者候選'!$H$7:$H$20,"未建立",0),IF($E9="學習觀摩","學習觀摩，不計正式人力",IF(OR($E9="完整支援",$E9="技術備援",$E9="流動",$E9="第二櫃台"),IF(AND($E9="技術備援",_xlfn.XLOOKUP($H9,'李醫師治療模式'!$A$7:$A$19,'李醫師治療模式'!$F$7:$F$19,"",0)="高複雜度"),"高複雜度不可由技術備援",IF($E9="完整支援",IF(_xlfn.XLOOKUP("SUP|"&amp;$C9&amp;"|"&amp;$H9,'支援者資格核定'!$A$7:$A$188,'支援者資格核定'!$N$7:$N$188,"未建立",0)&lt;&gt;"完整支援者","需要完整支援者",IF($F9&gt;_xlfn.XLOOKUP("SUP|"&amp;$C9&amp;"|"&amp;$H9,'支援者資格核定'!$A$7:$A$188,'支援者資格核定'!$O$7:$O$188,0,0),"支援名額超過核定上限","支援資格通過")),IF(OR(_xlfn.XLOOKUP("SUP|"&amp;$C9&amp;"|"&amp;$H9,'支援者資格核定'!$A$7:$A$188,'支援者資格核定'!$N$7:$N$188,"未建立",0)="完整支援者",_xlfn.XLOOKUP("SUP|"&amp;$C9&amp;"|"&amp;$H9,'支援者資格核定'!$A$7:$A$188,'支援者資格核定'!$N$7:$N$188,"未建立",0)="技術備援者"),IF($F9&gt;_xlfn.XLOOKUP("SUP|"&amp;$C9&amp;"|"&amp;$H9,'支援者資格核定'!$A$7:$A$188,'支援者資格核定'!$O$7:$O$188,0,0),"支援名額超過核定上限","支援資格通過"),"支援資格未核定"))),"角色未定義")))))</x:f>
        <x:v>需要完整支援者</x:v>
      </x:c>
      <x:c r="L9" s="84" t="n">
        <x:f>IF($E9&lt;&gt;"主跟診",0,IF($I9="初步可條件排",IF(_xlfn.XLOOKUP($H9,'排班模式清單'!$A$7:$A$169,'排班模式清單'!$E$7:$E$169,"",0)="高複雜度",2,1),0)+IFNA(_xlfn.XLOOKUP($B9,'班次需求輸入'!$A$7:$A$36,'班次需求輸入'!$I$7:$I$36,0,0),0))</x:f>
        <x:v>0</x:v>
      </x:c>
      <x:c r="M9" s="85" t="n">
        <x:f>IF($B9="","",_xlfn.XLOOKUP($B9,'班次需求輸入'!$A$7:$A$36,'班次需求輸入'!$B$7:$B$36,"",0))</x:f>
        <x:v>46286</x:v>
      </x:c>
      <x:c r="N9" s="86" t="n">
        <x:f>IF($B9="","",_xlfn.XLOOKUP($B9,'班次需求輸入'!$A$7:$A$36,'班次需求輸入'!$C$7:$C$36,"",0))</x:f>
        <x:v>0.5833333333333334</x:v>
      </x:c>
      <x:c r="O9" s="86" t="n">
        <x:f>IF($B9="","",_xlfn.XLOOKUP($B9,'班次需求輸入'!$A$7:$A$36,'班次需求輸入'!$D$7:$D$36,"",0))</x:f>
        <x:v>0.7083333333333334</x:v>
      </x:c>
      <x:c r="P9" s="84" t="n">
        <x:f>IF(OR($C9="",$M9="",$N9="",$O9=""),0,COUNTIFS($C$7:$C$66,$C9,$M$7:$M$66,$M9,$N$7:$N$66,"&lt;"&amp;$O9,$O$7:$O$66,"&gt;"&amp;$N9)-1)</x:f>
        <x:v>0</x:v>
      </x:c>
      <x:c r="Q9" s="84" t="str">
        <x:f>IF($B9="","",IF($P9&gt;0,"時段衝突",IF($E9="主跟診",IF(LEFT($K9,1)="待","候選，待完成資格","已檢核"),IF(OR($E9="完整支援",$E9="技術備援",$E9="流動",$E9="第二櫃台"),IF($K9="支援資格通過","已檢核",$K9),$K9))))</x:f>
        <x:v>需要完整支援者</x:v>
      </x:c>
      <x:c r="R9" s="81" t="str">
        <x:v>範例</x:v>
      </x:c>
    </x:row>
    <x:row r="10">
      <x:c r="A10" s="81" t="str">
        <x:v>C004</x:v>
      </x:c>
      <x:c r="B10" s="81" t="str">
        <x:v>S003</x:v>
      </x:c>
      <x:c r="C10" s="81" t="str">
        <x:v>1004</x:v>
      </x:c>
      <x:c r="D10" s="84" t="str">
        <x:f>IF($C10="","",_xlfn.XLOOKUP($C10,'試行員工主檔'!$A$7:$A$20,'試行員工主檔'!$B$7:$B$20,"員工未建立",0))</x:f>
      </x:c>
      <x:c r="E10" s="84" t="str">
        <x:v>主跟診</x:v>
      </x:c>
      <x:c r="F10" s="84" t="n">
        <x:v>0</x:v>
      </x:c>
      <x:c r="G10" s="84" t="str">
        <x:v>否</x:v>
      </x:c>
      <x:c r="H10" s="84" t="str">
        <x:f>IF($B10="","",_xlfn.XLOOKUP($B10,'班次需求輸入'!$A$7:$A$36,'班次需求輸入'!$F$7:$F$36,"需求未建立",0))</x:f>
        <x:v>LJT-RPD-FINAL</x:v>
      </x:c>
      <x:c r="I10" s="84" t="str">
        <x:f>IF(OR($C10="",$H10=""),"",_xlfn.XLOOKUP($C10&amp;"|"&amp;$H10,'排班適配試算'!$V$7:$V$188,'排班適配試算'!$S$7:$S$188,"未建立",0))</x:f>
        <x:v>初步可獨立</x:v>
      </x:c>
      <x:c r="J10" s="84" t="str">
        <x:f>IF(OR($C10="",$H10=""),"",_xlfn.XLOOKUP($C10&amp;"|"&amp;$H10,'排班適配試算'!$V$7:$V$188,'排班適配試算'!$U$7:$U$188,"未建立",0))</x:f>
        <x:v>待確認共通技能門檻</x:v>
      </x:c>
      <x:c r="K10" s="84" t="str">
        <x:f>IF($E10="","",IF($E10="主跟診",$J10,IF($E10="短時支援",_xlfn.XLOOKUP($C10,'RPD支援者候選'!$A$7:$A$20,'RPD支援者候選'!$H$7:$H$20,"未建立",0),IF($E10="學習觀摩","學習觀摩，不計正式人力",IF(OR($E10="完整支援",$E10="技術備援",$E10="流動",$E10="第二櫃台"),IF(AND($E10="技術備援",_xlfn.XLOOKUP($H10,'李醫師治療模式'!$A$7:$A$19,'李醫師治療模式'!$F$7:$F$19,"",0)="高複雜度"),"高複雜度不可由技術備援",IF($E10="完整支援",IF(_xlfn.XLOOKUP("SUP|"&amp;$C10&amp;"|"&amp;$H10,'支援者資格核定'!$A$7:$A$188,'支援者資格核定'!$N$7:$N$188,"未建立",0)&lt;&gt;"完整支援者","需要完整支援者",IF($F10&gt;_xlfn.XLOOKUP("SUP|"&amp;$C10&amp;"|"&amp;$H10,'支援者資格核定'!$A$7:$A$188,'支援者資格核定'!$O$7:$O$188,0,0),"支援名額超過核定上限","支援資格通過")),IF(OR(_xlfn.XLOOKUP("SUP|"&amp;$C10&amp;"|"&amp;$H10,'支援者資格核定'!$A$7:$A$188,'支援者資格核定'!$N$7:$N$188,"未建立",0)="完整支援者",_xlfn.XLOOKUP("SUP|"&amp;$C10&amp;"|"&amp;$H10,'支援者資格核定'!$A$7:$A$188,'支援者資格核定'!$N$7:$N$188,"未建立",0)="技術備援者"),IF($F10&gt;_xlfn.XLOOKUP("SUP|"&amp;$C10&amp;"|"&amp;$H10,'支援者資格核定'!$A$7:$A$188,'支援者資格核定'!$O$7:$O$188,0,0),"支援名額超過核定上限","支援資格通過"),"支援資格未核定"))),"角色未定義")))))</x:f>
        <x:v>待確認共通技能門檻</x:v>
      </x:c>
      <x:c r="L10" s="84" t="n">
        <x:f>IF($E10&lt;&gt;"主跟診",0,IF($I10="初步可條件排",IF(_xlfn.XLOOKUP($H10,'排班模式清單'!$A$7:$A$169,'排班模式清單'!$E$7:$E$169,"",0)="高複雜度",2,1),0)+IFNA(_xlfn.XLOOKUP($B10,'班次需求輸入'!$A$7:$A$36,'班次需求輸入'!$I$7:$I$36,0,0),0))</x:f>
        <x:v>1</x:v>
      </x:c>
      <x:c r="M10" s="85" t="n">
        <x:f>IF($B10="","",_xlfn.XLOOKUP($B10,'班次需求輸入'!$A$7:$A$36,'班次需求輸入'!$B$7:$B$36,"",0))</x:f>
        <x:v>46286</x:v>
      </x:c>
      <x:c r="N10" s="86" t="n">
        <x:f>IF($B10="","",_xlfn.XLOOKUP($B10,'班次需求輸入'!$A$7:$A$36,'班次需求輸入'!$C$7:$C$36,"",0))</x:f>
        <x:v>0.7083333333333334</x:v>
      </x:c>
      <x:c r="O10" s="86" t="n">
        <x:f>IF($B10="","",_xlfn.XLOOKUP($B10,'班次需求輸入'!$A$7:$A$36,'班次需求輸入'!$D$7:$D$36,"",0))</x:f>
        <x:v>0.7291666666666666</x:v>
      </x:c>
      <x:c r="P10" s="84" t="n">
        <x:f>IF(OR($C10="",$M10="",$N10="",$O10=""),0,COUNTIFS($C$7:$C$66,$C10,$M$7:$M$66,$M10,$N$7:$N$66,"&lt;"&amp;$O10,$O$7:$O$66,"&gt;"&amp;$N10)-1)</x:f>
        <x:v>0</x:v>
      </x:c>
      <x:c r="Q10" s="84" t="str">
        <x:f>IF($B10="","",IF($P10&gt;0,"時段衝突",IF($E10="主跟診",IF(LEFT($K10,1)="待","候選，待完成資格","已檢核"),IF(OR($E10="完整支援",$E10="技術備援",$E10="流動",$E10="第二櫃台"),IF($K10="支援資格通過","已檢核",$K10),$K10))))</x:f>
        <x:v>候選，待完成資格</x:v>
      </x:c>
      <x:c r="R10" s="81" t="str">
        <x:v>範例</x:v>
      </x:c>
    </x:row>
    <x:row r="11">
      <x:c r="A11" s="81"/>
      <x:c r="B11" s="81"/>
      <x:c r="C11" s="81"/>
      <x:c r="D11" s="84" t="str">
        <x:f>IF($C11="","",_xlfn.XLOOKUP($C11,'試行員工主檔'!$A$7:$A$20,'試行員工主檔'!$B$7:$B$20,"員工未建立",0))</x:f>
      </x:c>
      <x:c r="E11" s="84"/>
      <x:c r="F11" s="84"/>
      <x:c r="G11" s="84"/>
      <x:c r="H11" s="84" t="str">
        <x:f>IF($B11="","",_xlfn.XLOOKUP($B11,'班次需求輸入'!$A$7:$A$36,'班次需求輸入'!$F$7:$F$36,"需求未建立",0))</x:f>
      </x:c>
      <x:c r="I11" s="84" t="str">
        <x:f>IF(OR($C11="",$H11=""),"",_xlfn.XLOOKUP($C11&amp;"|"&amp;$H11,'排班適配試算'!$V$7:$V$188,'排班適配試算'!$S$7:$S$188,"未建立",0))</x:f>
      </x:c>
      <x:c r="J11" s="84" t="str">
        <x:f>IF(OR($C11="",$H11=""),"",_xlfn.XLOOKUP($C11&amp;"|"&amp;$H11,'排班適配試算'!$V$7:$V$188,'排班適配試算'!$U$7:$U$188,"未建立",0))</x:f>
      </x:c>
      <x:c r="K11" s="84" t="str">
        <x:f>IF($E11="","",IF($E11="主跟診",$J11,IF($E11="短時支援",_xlfn.XLOOKUP($C11,'RPD支援者候選'!$A$7:$A$20,'RPD支援者候選'!$H$7:$H$20,"未建立",0),IF($E11="學習觀摩","學習觀摩，不計正式人力",IF(OR($E11="完整支援",$E11="技術備援",$E11="流動",$E11="第二櫃台"),IF(AND($E11="技術備援",_xlfn.XLOOKUP($H11,'李醫師治療模式'!$A$7:$A$19,'李醫師治療模式'!$F$7:$F$19,"",0)="高複雜度"),"高複雜度不可由技術備援",IF($E11="完整支援",IF(_xlfn.XLOOKUP("SUP|"&amp;$C11&amp;"|"&amp;$H11,'支援者資格核定'!$A$7:$A$188,'支援者資格核定'!$N$7:$N$188,"未建立",0)&lt;&gt;"完整支援者","需要完整支援者",IF($F11&gt;_xlfn.XLOOKUP("SUP|"&amp;$C11&amp;"|"&amp;$H11,'支援者資格核定'!$A$7:$A$188,'支援者資格核定'!$O$7:$O$188,0,0),"支援名額超過核定上限","支援資格通過")),IF(OR(_xlfn.XLOOKUP("SUP|"&amp;$C11&amp;"|"&amp;$H11,'支援者資格核定'!$A$7:$A$188,'支援者資格核定'!$N$7:$N$188,"未建立",0)="完整支援者",_xlfn.XLOOKUP("SUP|"&amp;$C11&amp;"|"&amp;$H11,'支援者資格核定'!$A$7:$A$188,'支援者資格核定'!$N$7:$N$188,"未建立",0)="技術備援者"),IF($F11&gt;_xlfn.XLOOKUP("SUP|"&amp;$C11&amp;"|"&amp;$H11,'支援者資格核定'!$A$7:$A$188,'支援者資格核定'!$O$7:$O$188,0,0),"支援名額超過核定上限","支援資格通過"),"支援資格未核定"))),"角色未定義")))))</x:f>
      </x:c>
      <x:c r="L11" s="84" t="n">
        <x:f>IF($E11&lt;&gt;"主跟診",0,IF($I11="初步可條件排",IF(_xlfn.XLOOKUP($H11,'排班模式清單'!$A$7:$A$169,'排班模式清單'!$E$7:$E$169,"",0)="高複雜度",2,1),0)+IFNA(_xlfn.XLOOKUP($B11,'班次需求輸入'!$A$7:$A$36,'班次需求輸入'!$I$7:$I$36,0,0),0))</x:f>
        <x:v>0</x:v>
      </x:c>
      <x:c r="M11" s="85" t="str">
        <x:f>IF($B11="","",_xlfn.XLOOKUP($B11,'班次需求輸入'!$A$7:$A$36,'班次需求輸入'!$B$7:$B$36,"",0))</x:f>
      </x:c>
      <x:c r="N11" s="86" t="str">
        <x:f>IF($B11="","",_xlfn.XLOOKUP($B11,'班次需求輸入'!$A$7:$A$36,'班次需求輸入'!$C$7:$C$36,"",0))</x:f>
      </x:c>
      <x:c r="O11" s="86" t="str">
        <x:f>IF($B11="","",_xlfn.XLOOKUP($B11,'班次需求輸入'!$A$7:$A$36,'班次需求輸入'!$D$7:$D$36,"",0))</x:f>
      </x:c>
      <x:c r="P11" s="84" t="n">
        <x:f>IF(OR($C11="",$M11="",$N11="",$O11=""),0,COUNTIFS($C$7:$C$66,$C11,$M$7:$M$66,$M11,$N$7:$N$66,"&lt;"&amp;$O11,$O$7:$O$66,"&gt;"&amp;$N11)-1)</x:f>
        <x:v>0</x:v>
      </x:c>
      <x:c r="Q11" s="84" t="str">
        <x:f>IF($B11="","",IF($P11&gt;0,"時段衝突",IF($E11="主跟診",IF(LEFT($K11,1)="待","候選，待完成資格","已檢核"),IF(OR($E11="完整支援",$E11="技術備援",$E11="流動",$E11="第二櫃台"),IF($K11="支援資格通過","已檢核",$K11),$K11))))</x:f>
      </x:c>
      <x:c r="R11" s="81"/>
    </x:row>
    <x:row r="12">
      <x:c r="A12" s="81"/>
      <x:c r="B12" s="81"/>
      <x:c r="C12" s="81"/>
      <x:c r="D12" s="84" t="str">
        <x:f>IF($C12="","",_xlfn.XLOOKUP($C12,'試行員工主檔'!$A$7:$A$20,'試行員工主檔'!$B$7:$B$20,"員工未建立",0))</x:f>
      </x:c>
      <x:c r="E12" s="84"/>
      <x:c r="F12" s="84"/>
      <x:c r="G12" s="84"/>
      <x:c r="H12" s="84" t="str">
        <x:f>IF($B12="","",_xlfn.XLOOKUP($B12,'班次需求輸入'!$A$7:$A$36,'班次需求輸入'!$F$7:$F$36,"需求未建立",0))</x:f>
      </x:c>
      <x:c r="I12" s="84" t="str">
        <x:f>IF(OR($C12="",$H12=""),"",_xlfn.XLOOKUP($C12&amp;"|"&amp;$H12,'排班適配試算'!$V$7:$V$188,'排班適配試算'!$S$7:$S$188,"未建立",0))</x:f>
      </x:c>
      <x:c r="J12" s="84" t="str">
        <x:f>IF(OR($C12="",$H12=""),"",_xlfn.XLOOKUP($C12&amp;"|"&amp;$H12,'排班適配試算'!$V$7:$V$188,'排班適配試算'!$U$7:$U$188,"未建立",0))</x:f>
      </x:c>
      <x:c r="K12" s="84" t="str">
        <x:f>IF($E12="","",IF($E12="主跟診",$J12,IF($E12="短時支援",_xlfn.XLOOKUP($C12,'RPD支援者候選'!$A$7:$A$20,'RPD支援者候選'!$H$7:$H$20,"未建立",0),IF($E12="學習觀摩","學習觀摩，不計正式人力",IF(OR($E12="完整支援",$E12="技術備援",$E12="流動",$E12="第二櫃台"),IF(AND($E12="技術備援",_xlfn.XLOOKUP($H12,'李醫師治療模式'!$A$7:$A$19,'李醫師治療模式'!$F$7:$F$19,"",0)="高複雜度"),"高複雜度不可由技術備援",IF($E12="完整支援",IF(_xlfn.XLOOKUP("SUP|"&amp;$C12&amp;"|"&amp;$H12,'支援者資格核定'!$A$7:$A$188,'支援者資格核定'!$N$7:$N$188,"未建立",0)&lt;&gt;"完整支援者","需要完整支援者",IF($F12&gt;_xlfn.XLOOKUP("SUP|"&amp;$C12&amp;"|"&amp;$H12,'支援者資格核定'!$A$7:$A$188,'支援者資格核定'!$O$7:$O$188,0,0),"支援名額超過核定上限","支援資格通過")),IF(OR(_xlfn.XLOOKUP("SUP|"&amp;$C12&amp;"|"&amp;$H12,'支援者資格核定'!$A$7:$A$188,'支援者資格核定'!$N$7:$N$188,"未建立",0)="完整支援者",_xlfn.XLOOKUP("SUP|"&amp;$C12&amp;"|"&amp;$H12,'支援者資格核定'!$A$7:$A$188,'支援者資格核定'!$N$7:$N$188,"未建立",0)="技術備援者"),IF($F12&gt;_xlfn.XLOOKUP("SUP|"&amp;$C12&amp;"|"&amp;$H12,'支援者資格核定'!$A$7:$A$188,'支援者資格核定'!$O$7:$O$188,0,0),"支援名額超過核定上限","支援資格通過"),"支援資格未核定"))),"角色未定義")))))</x:f>
      </x:c>
      <x:c r="L12" s="84" t="n">
        <x:f>IF($E12&lt;&gt;"主跟診",0,IF($I12="初步可條件排",IF(_xlfn.XLOOKUP($H12,'排班模式清單'!$A$7:$A$169,'排班模式清單'!$E$7:$E$169,"",0)="高複雜度",2,1),0)+IFNA(_xlfn.XLOOKUP($B12,'班次需求輸入'!$A$7:$A$36,'班次需求輸入'!$I$7:$I$36,0,0),0))</x:f>
        <x:v>0</x:v>
      </x:c>
      <x:c r="M12" s="85" t="str">
        <x:f>IF($B12="","",_xlfn.XLOOKUP($B12,'班次需求輸入'!$A$7:$A$36,'班次需求輸入'!$B$7:$B$36,"",0))</x:f>
      </x:c>
      <x:c r="N12" s="86" t="str">
        <x:f>IF($B12="","",_xlfn.XLOOKUP($B12,'班次需求輸入'!$A$7:$A$36,'班次需求輸入'!$C$7:$C$36,"",0))</x:f>
      </x:c>
      <x:c r="O12" s="86" t="str">
        <x:f>IF($B12="","",_xlfn.XLOOKUP($B12,'班次需求輸入'!$A$7:$A$36,'班次需求輸入'!$D$7:$D$36,"",0))</x:f>
      </x:c>
      <x:c r="P12" s="84" t="n">
        <x:f>IF(OR($C12="",$M12="",$N12="",$O12=""),0,COUNTIFS($C$7:$C$66,$C12,$M$7:$M$66,$M12,$N$7:$N$66,"&lt;"&amp;$O12,$O$7:$O$66,"&gt;"&amp;$N12)-1)</x:f>
        <x:v>0</x:v>
      </x:c>
      <x:c r="Q12" s="84" t="str">
        <x:f>IF($B12="","",IF($P12&gt;0,"時段衝突",IF($E12="主跟診",IF(LEFT($K12,1)="待","候選，待完成資格","已檢核"),IF(OR($E12="完整支援",$E12="技術備援",$E12="流動",$E12="第二櫃台"),IF($K12="支援資格通過","已檢核",$K12),$K12))))</x:f>
      </x:c>
      <x:c r="R12" s="81"/>
    </x:row>
    <x:row r="13">
      <x:c r="A13" s="81"/>
      <x:c r="B13" s="81"/>
      <x:c r="C13" s="81"/>
      <x:c r="D13" s="84" t="str">
        <x:f>IF($C13="","",_xlfn.XLOOKUP($C13,'試行員工主檔'!$A$7:$A$20,'試行員工主檔'!$B$7:$B$20,"員工未建立",0))</x:f>
      </x:c>
      <x:c r="E13" s="84"/>
      <x:c r="F13" s="84"/>
      <x:c r="G13" s="84"/>
      <x:c r="H13" s="84" t="str">
        <x:f>IF($B13="","",_xlfn.XLOOKUP($B13,'班次需求輸入'!$A$7:$A$36,'班次需求輸入'!$F$7:$F$36,"需求未建立",0))</x:f>
      </x:c>
      <x:c r="I13" s="84" t="str">
        <x:f>IF(OR($C13="",$H13=""),"",_xlfn.XLOOKUP($C13&amp;"|"&amp;$H13,'排班適配試算'!$V$7:$V$188,'排班適配試算'!$S$7:$S$188,"未建立",0))</x:f>
      </x:c>
      <x:c r="J13" s="84" t="str">
        <x:f>IF(OR($C13="",$H13=""),"",_xlfn.XLOOKUP($C13&amp;"|"&amp;$H13,'排班適配試算'!$V$7:$V$188,'排班適配試算'!$U$7:$U$188,"未建立",0))</x:f>
      </x:c>
      <x:c r="K13" s="84" t="str">
        <x:f>IF($E13="","",IF($E13="主跟診",$J13,IF($E13="短時支援",_xlfn.XLOOKUP($C13,'RPD支援者候選'!$A$7:$A$20,'RPD支援者候選'!$H$7:$H$20,"未建立",0),IF($E13="學習觀摩","學習觀摩，不計正式人力",IF(OR($E13="完整支援",$E13="技術備援",$E13="流動",$E13="第二櫃台"),IF(AND($E13="技術備援",_xlfn.XLOOKUP($H13,'李醫師治療模式'!$A$7:$A$19,'李醫師治療模式'!$F$7:$F$19,"",0)="高複雜度"),"高複雜度不可由技術備援",IF($E13="完整支援",IF(_xlfn.XLOOKUP("SUP|"&amp;$C13&amp;"|"&amp;$H13,'支援者資格核定'!$A$7:$A$188,'支援者資格核定'!$N$7:$N$188,"未建立",0)&lt;&gt;"完整支援者","需要完整支援者",IF($F13&gt;_xlfn.XLOOKUP("SUP|"&amp;$C13&amp;"|"&amp;$H13,'支援者資格核定'!$A$7:$A$188,'支援者資格核定'!$O$7:$O$188,0,0),"支援名額超過核定上限","支援資格通過")),IF(OR(_xlfn.XLOOKUP("SUP|"&amp;$C13&amp;"|"&amp;$H13,'支援者資格核定'!$A$7:$A$188,'支援者資格核定'!$N$7:$N$188,"未建立",0)="完整支援者",_xlfn.XLOOKUP("SUP|"&amp;$C13&amp;"|"&amp;$H13,'支援者資格核定'!$A$7:$A$188,'支援者資格核定'!$N$7:$N$188,"未建立",0)="技術備援者"),IF($F13&gt;_xlfn.XLOOKUP("SUP|"&amp;$C13&amp;"|"&amp;$H13,'支援者資格核定'!$A$7:$A$188,'支援者資格核定'!$O$7:$O$188,0,0),"支援名額超過核定上限","支援資格通過"),"支援資格未核定"))),"角色未定義")))))</x:f>
      </x:c>
      <x:c r="L13" s="84" t="n">
        <x:f>IF($E13&lt;&gt;"主跟診",0,IF($I13="初步可條件排",IF(_xlfn.XLOOKUP($H13,'排班模式清單'!$A$7:$A$169,'排班模式清單'!$E$7:$E$169,"",0)="高複雜度",2,1),0)+IFNA(_xlfn.XLOOKUP($B13,'班次需求輸入'!$A$7:$A$36,'班次需求輸入'!$I$7:$I$36,0,0),0))</x:f>
        <x:v>0</x:v>
      </x:c>
      <x:c r="M13" s="85" t="str">
        <x:f>IF($B13="","",_xlfn.XLOOKUP($B13,'班次需求輸入'!$A$7:$A$36,'班次需求輸入'!$B$7:$B$36,"",0))</x:f>
      </x:c>
      <x:c r="N13" s="86" t="str">
        <x:f>IF($B13="","",_xlfn.XLOOKUP($B13,'班次需求輸入'!$A$7:$A$36,'班次需求輸入'!$C$7:$C$36,"",0))</x:f>
      </x:c>
      <x:c r="O13" s="86" t="str">
        <x:f>IF($B13="","",_xlfn.XLOOKUP($B13,'班次需求輸入'!$A$7:$A$36,'班次需求輸入'!$D$7:$D$36,"",0))</x:f>
      </x:c>
      <x:c r="P13" s="84" t="n">
        <x:f>IF(OR($C13="",$M13="",$N13="",$O13=""),0,COUNTIFS($C$7:$C$66,$C13,$M$7:$M$66,$M13,$N$7:$N$66,"&lt;"&amp;$O13,$O$7:$O$66,"&gt;"&amp;$N13)-1)</x:f>
        <x:v>0</x:v>
      </x:c>
      <x:c r="Q13" s="84" t="str">
        <x:f>IF($B13="","",IF($P13&gt;0,"時段衝突",IF($E13="主跟診",IF(LEFT($K13,1)="待","候選，待完成資格","已檢核"),IF(OR($E13="完整支援",$E13="技術備援",$E13="流動",$E13="第二櫃台"),IF($K13="支援資格通過","已檢核",$K13),$K13))))</x:f>
      </x:c>
      <x:c r="R13" s="81"/>
    </x:row>
    <x:row r="14">
      <x:c r="A14" s="81"/>
      <x:c r="B14" s="81"/>
      <x:c r="C14" s="81"/>
      <x:c r="D14" s="84" t="str">
        <x:f>IF($C14="","",_xlfn.XLOOKUP($C14,'試行員工主檔'!$A$7:$A$20,'試行員工主檔'!$B$7:$B$20,"員工未建立",0))</x:f>
      </x:c>
      <x:c r="E14" s="84"/>
      <x:c r="F14" s="84"/>
      <x:c r="G14" s="84"/>
      <x:c r="H14" s="84" t="str">
        <x:f>IF($B14="","",_xlfn.XLOOKUP($B14,'班次需求輸入'!$A$7:$A$36,'班次需求輸入'!$F$7:$F$36,"需求未建立",0))</x:f>
      </x:c>
      <x:c r="I14" s="84" t="str">
        <x:f>IF(OR($C14="",$H14=""),"",_xlfn.XLOOKUP($C14&amp;"|"&amp;$H14,'排班適配試算'!$V$7:$V$188,'排班適配試算'!$S$7:$S$188,"未建立",0))</x:f>
      </x:c>
      <x:c r="J14" s="84" t="str">
        <x:f>IF(OR($C14="",$H14=""),"",_xlfn.XLOOKUP($C14&amp;"|"&amp;$H14,'排班適配試算'!$V$7:$V$188,'排班適配試算'!$U$7:$U$188,"未建立",0))</x:f>
      </x:c>
      <x:c r="K14" s="84" t="str">
        <x:f>IF($E14="","",IF($E14="主跟診",$J14,IF($E14="短時支援",_xlfn.XLOOKUP($C14,'RPD支援者候選'!$A$7:$A$20,'RPD支援者候選'!$H$7:$H$20,"未建立",0),IF($E14="學習觀摩","學習觀摩，不計正式人力",IF(OR($E14="完整支援",$E14="技術備援",$E14="流動",$E14="第二櫃台"),IF(AND($E14="技術備援",_xlfn.XLOOKUP($H14,'李醫師治療模式'!$A$7:$A$19,'李醫師治療模式'!$F$7:$F$19,"",0)="高複雜度"),"高複雜度不可由技術備援",IF($E14="完整支援",IF(_xlfn.XLOOKUP("SUP|"&amp;$C14&amp;"|"&amp;$H14,'支援者資格核定'!$A$7:$A$188,'支援者資格核定'!$N$7:$N$188,"未建立",0)&lt;&gt;"完整支援者","需要完整支援者",IF($F14&gt;_xlfn.XLOOKUP("SUP|"&amp;$C14&amp;"|"&amp;$H14,'支援者資格核定'!$A$7:$A$188,'支援者資格核定'!$O$7:$O$188,0,0),"支援名額超過核定上限","支援資格通過")),IF(OR(_xlfn.XLOOKUP("SUP|"&amp;$C14&amp;"|"&amp;$H14,'支援者資格核定'!$A$7:$A$188,'支援者資格核定'!$N$7:$N$188,"未建立",0)="完整支援者",_xlfn.XLOOKUP("SUP|"&amp;$C14&amp;"|"&amp;$H14,'支援者資格核定'!$A$7:$A$188,'支援者資格核定'!$N$7:$N$188,"未建立",0)="技術備援者"),IF($F14&gt;_xlfn.XLOOKUP("SUP|"&amp;$C14&amp;"|"&amp;$H14,'支援者資格核定'!$A$7:$A$188,'支援者資格核定'!$O$7:$O$188,0,0),"支援名額超過核定上限","支援資格通過"),"支援資格未核定"))),"角色未定義")))))</x:f>
      </x:c>
      <x:c r="L14" s="84" t="n">
        <x:f>IF($E14&lt;&gt;"主跟診",0,IF($I14="初步可條件排",IF(_xlfn.XLOOKUP($H14,'排班模式清單'!$A$7:$A$169,'排班模式清單'!$E$7:$E$169,"",0)="高複雜度",2,1),0)+IFNA(_xlfn.XLOOKUP($B14,'班次需求輸入'!$A$7:$A$36,'班次需求輸入'!$I$7:$I$36,0,0),0))</x:f>
        <x:v>0</x:v>
      </x:c>
      <x:c r="M14" s="85" t="str">
        <x:f>IF($B14="","",_xlfn.XLOOKUP($B14,'班次需求輸入'!$A$7:$A$36,'班次需求輸入'!$B$7:$B$36,"",0))</x:f>
      </x:c>
      <x:c r="N14" s="86" t="str">
        <x:f>IF($B14="","",_xlfn.XLOOKUP($B14,'班次需求輸入'!$A$7:$A$36,'班次需求輸入'!$C$7:$C$36,"",0))</x:f>
      </x:c>
      <x:c r="O14" s="86" t="str">
        <x:f>IF($B14="","",_xlfn.XLOOKUP($B14,'班次需求輸入'!$A$7:$A$36,'班次需求輸入'!$D$7:$D$36,"",0))</x:f>
      </x:c>
      <x:c r="P14" s="84" t="n">
        <x:f>IF(OR($C14="",$M14="",$N14="",$O14=""),0,COUNTIFS($C$7:$C$66,$C14,$M$7:$M$66,$M14,$N$7:$N$66,"&lt;"&amp;$O14,$O$7:$O$66,"&gt;"&amp;$N14)-1)</x:f>
        <x:v>0</x:v>
      </x:c>
      <x:c r="Q14" s="84" t="str">
        <x:f>IF($B14="","",IF($P14&gt;0,"時段衝突",IF($E14="主跟診",IF(LEFT($K14,1)="待","候選，待完成資格","已檢核"),IF(OR($E14="完整支援",$E14="技術備援",$E14="流動",$E14="第二櫃台"),IF($K14="支援資格通過","已檢核",$K14),$K14))))</x:f>
      </x:c>
      <x:c r="R14" s="81"/>
    </x:row>
    <x:row r="15">
      <x:c r="A15" s="81"/>
      <x:c r="B15" s="81"/>
      <x:c r="C15" s="81"/>
      <x:c r="D15" s="84" t="str">
        <x:f>IF($C15="","",_xlfn.XLOOKUP($C15,'試行員工主檔'!$A$7:$A$20,'試行員工主檔'!$B$7:$B$20,"員工未建立",0))</x:f>
      </x:c>
      <x:c r="E15" s="84"/>
      <x:c r="F15" s="84"/>
      <x:c r="G15" s="84"/>
      <x:c r="H15" s="84" t="str">
        <x:f>IF($B15="","",_xlfn.XLOOKUP($B15,'班次需求輸入'!$A$7:$A$36,'班次需求輸入'!$F$7:$F$36,"需求未建立",0))</x:f>
      </x:c>
      <x:c r="I15" s="84" t="str">
        <x:f>IF(OR($C15="",$H15=""),"",_xlfn.XLOOKUP($C15&amp;"|"&amp;$H15,'排班適配試算'!$V$7:$V$188,'排班適配試算'!$S$7:$S$188,"未建立",0))</x:f>
      </x:c>
      <x:c r="J15" s="84" t="str">
        <x:f>IF(OR($C15="",$H15=""),"",_xlfn.XLOOKUP($C15&amp;"|"&amp;$H15,'排班適配試算'!$V$7:$V$188,'排班適配試算'!$U$7:$U$188,"未建立",0))</x:f>
      </x:c>
      <x:c r="K15" s="84" t="str">
        <x:f>IF($E15="","",IF($E15="主跟診",$J15,IF($E15="短時支援",_xlfn.XLOOKUP($C15,'RPD支援者候選'!$A$7:$A$20,'RPD支援者候選'!$H$7:$H$20,"未建立",0),IF($E15="學習觀摩","學習觀摩，不計正式人力",IF(OR($E15="完整支援",$E15="技術備援",$E15="流動",$E15="第二櫃台"),IF(AND($E15="技術備援",_xlfn.XLOOKUP($H15,'李醫師治療模式'!$A$7:$A$19,'李醫師治療模式'!$F$7:$F$19,"",0)="高複雜度"),"高複雜度不可由技術備援",IF($E15="完整支援",IF(_xlfn.XLOOKUP("SUP|"&amp;$C15&amp;"|"&amp;$H15,'支援者資格核定'!$A$7:$A$188,'支援者資格核定'!$N$7:$N$188,"未建立",0)&lt;&gt;"完整支援者","需要完整支援者",IF($F15&gt;_xlfn.XLOOKUP("SUP|"&amp;$C15&amp;"|"&amp;$H15,'支援者資格核定'!$A$7:$A$188,'支援者資格核定'!$O$7:$O$188,0,0),"支援名額超過核定上限","支援資格通過")),IF(OR(_xlfn.XLOOKUP("SUP|"&amp;$C15&amp;"|"&amp;$H15,'支援者資格核定'!$A$7:$A$188,'支援者資格核定'!$N$7:$N$188,"未建立",0)="完整支援者",_xlfn.XLOOKUP("SUP|"&amp;$C15&amp;"|"&amp;$H15,'支援者資格核定'!$A$7:$A$188,'支援者資格核定'!$N$7:$N$188,"未建立",0)="技術備援者"),IF($F15&gt;_xlfn.XLOOKUP("SUP|"&amp;$C15&amp;"|"&amp;$H15,'支援者資格核定'!$A$7:$A$188,'支援者資格核定'!$O$7:$O$188,0,0),"支援名額超過核定上限","支援資格通過"),"支援資格未核定"))),"角色未定義")))))</x:f>
      </x:c>
      <x:c r="L15" s="84" t="n">
        <x:f>IF($E15&lt;&gt;"主跟診",0,IF($I15="初步可條件排",IF(_xlfn.XLOOKUP($H15,'排班模式清單'!$A$7:$A$169,'排班模式清單'!$E$7:$E$169,"",0)="高複雜度",2,1),0)+IFNA(_xlfn.XLOOKUP($B15,'班次需求輸入'!$A$7:$A$36,'班次需求輸入'!$I$7:$I$36,0,0),0))</x:f>
        <x:v>0</x:v>
      </x:c>
      <x:c r="M15" s="85" t="str">
        <x:f>IF($B15="","",_xlfn.XLOOKUP($B15,'班次需求輸入'!$A$7:$A$36,'班次需求輸入'!$B$7:$B$36,"",0))</x:f>
      </x:c>
      <x:c r="N15" s="86" t="str">
        <x:f>IF($B15="","",_xlfn.XLOOKUP($B15,'班次需求輸入'!$A$7:$A$36,'班次需求輸入'!$C$7:$C$36,"",0))</x:f>
      </x:c>
      <x:c r="O15" s="86" t="str">
        <x:f>IF($B15="","",_xlfn.XLOOKUP($B15,'班次需求輸入'!$A$7:$A$36,'班次需求輸入'!$D$7:$D$36,"",0))</x:f>
      </x:c>
      <x:c r="P15" s="84" t="n">
        <x:f>IF(OR($C15="",$M15="",$N15="",$O15=""),0,COUNTIFS($C$7:$C$66,$C15,$M$7:$M$66,$M15,$N$7:$N$66,"&lt;"&amp;$O15,$O$7:$O$66,"&gt;"&amp;$N15)-1)</x:f>
        <x:v>0</x:v>
      </x:c>
      <x:c r="Q15" s="84" t="str">
        <x:f>IF($B15="","",IF($P15&gt;0,"時段衝突",IF($E15="主跟診",IF(LEFT($K15,1)="待","候選，待完成資格","已檢核"),IF(OR($E15="完整支援",$E15="技術備援",$E15="流動",$E15="第二櫃台"),IF($K15="支援資格通過","已檢核",$K15),$K15))))</x:f>
      </x:c>
      <x:c r="R15" s="81"/>
    </x:row>
    <x:row r="16">
      <x:c r="A16" s="81"/>
      <x:c r="B16" s="81"/>
      <x:c r="C16" s="81"/>
      <x:c r="D16" s="84" t="str">
        <x:f>IF($C16="","",_xlfn.XLOOKUP($C16,'試行員工主檔'!$A$7:$A$20,'試行員工主檔'!$B$7:$B$20,"員工未建立",0))</x:f>
      </x:c>
      <x:c r="E16" s="84"/>
      <x:c r="F16" s="84"/>
      <x:c r="G16" s="84"/>
      <x:c r="H16" s="84" t="str">
        <x:f>IF($B16="","",_xlfn.XLOOKUP($B16,'班次需求輸入'!$A$7:$A$36,'班次需求輸入'!$F$7:$F$36,"需求未建立",0))</x:f>
      </x:c>
      <x:c r="I16" s="84" t="str">
        <x:f>IF(OR($C16="",$H16=""),"",_xlfn.XLOOKUP($C16&amp;"|"&amp;$H16,'排班適配試算'!$V$7:$V$188,'排班適配試算'!$S$7:$S$188,"未建立",0))</x:f>
      </x:c>
      <x:c r="J16" s="84" t="str">
        <x:f>IF(OR($C16="",$H16=""),"",_xlfn.XLOOKUP($C16&amp;"|"&amp;$H16,'排班適配試算'!$V$7:$V$188,'排班適配試算'!$U$7:$U$188,"未建立",0))</x:f>
      </x:c>
      <x:c r="K16" s="84" t="str">
        <x:f>IF($E16="","",IF($E16="主跟診",$J16,IF($E16="短時支援",_xlfn.XLOOKUP($C16,'RPD支援者候選'!$A$7:$A$20,'RPD支援者候選'!$H$7:$H$20,"未建立",0),IF($E16="學習觀摩","學習觀摩，不計正式人力",IF(OR($E16="完整支援",$E16="技術備援",$E16="流動",$E16="第二櫃台"),IF(AND($E16="技術備援",_xlfn.XLOOKUP($H16,'李醫師治療模式'!$A$7:$A$19,'李醫師治療模式'!$F$7:$F$19,"",0)="高複雜度"),"高複雜度不可由技術備援",IF($E16="完整支援",IF(_xlfn.XLOOKUP("SUP|"&amp;$C16&amp;"|"&amp;$H16,'支援者資格核定'!$A$7:$A$188,'支援者資格核定'!$N$7:$N$188,"未建立",0)&lt;&gt;"完整支援者","需要完整支援者",IF($F16&gt;_xlfn.XLOOKUP("SUP|"&amp;$C16&amp;"|"&amp;$H16,'支援者資格核定'!$A$7:$A$188,'支援者資格核定'!$O$7:$O$188,0,0),"支援名額超過核定上限","支援資格通過")),IF(OR(_xlfn.XLOOKUP("SUP|"&amp;$C16&amp;"|"&amp;$H16,'支援者資格核定'!$A$7:$A$188,'支援者資格核定'!$N$7:$N$188,"未建立",0)="完整支援者",_xlfn.XLOOKUP("SUP|"&amp;$C16&amp;"|"&amp;$H16,'支援者資格核定'!$A$7:$A$188,'支援者資格核定'!$N$7:$N$188,"未建立",0)="技術備援者"),IF($F16&gt;_xlfn.XLOOKUP("SUP|"&amp;$C16&amp;"|"&amp;$H16,'支援者資格核定'!$A$7:$A$188,'支援者資格核定'!$O$7:$O$188,0,0),"支援名額超過核定上限","支援資格通過"),"支援資格未核定"))),"角色未定義")))))</x:f>
      </x:c>
      <x:c r="L16" s="84" t="n">
        <x:f>IF($E16&lt;&gt;"主跟診",0,IF($I16="初步可條件排",IF(_xlfn.XLOOKUP($H16,'排班模式清單'!$A$7:$A$169,'排班模式清單'!$E$7:$E$169,"",0)="高複雜度",2,1),0)+IFNA(_xlfn.XLOOKUP($B16,'班次需求輸入'!$A$7:$A$36,'班次需求輸入'!$I$7:$I$36,0,0),0))</x:f>
        <x:v>0</x:v>
      </x:c>
      <x:c r="M16" s="85" t="str">
        <x:f>IF($B16="","",_xlfn.XLOOKUP($B16,'班次需求輸入'!$A$7:$A$36,'班次需求輸入'!$B$7:$B$36,"",0))</x:f>
      </x:c>
      <x:c r="N16" s="86" t="str">
        <x:f>IF($B16="","",_xlfn.XLOOKUP($B16,'班次需求輸入'!$A$7:$A$36,'班次需求輸入'!$C$7:$C$36,"",0))</x:f>
      </x:c>
      <x:c r="O16" s="86" t="str">
        <x:f>IF($B16="","",_xlfn.XLOOKUP($B16,'班次需求輸入'!$A$7:$A$36,'班次需求輸入'!$D$7:$D$36,"",0))</x:f>
      </x:c>
      <x:c r="P16" s="84" t="n">
        <x:f>IF(OR($C16="",$M16="",$N16="",$O16=""),0,COUNTIFS($C$7:$C$66,$C16,$M$7:$M$66,$M16,$N$7:$N$66,"&lt;"&amp;$O16,$O$7:$O$66,"&gt;"&amp;$N16)-1)</x:f>
        <x:v>0</x:v>
      </x:c>
      <x:c r="Q16" s="84" t="str">
        <x:f>IF($B16="","",IF($P16&gt;0,"時段衝突",IF($E16="主跟診",IF(LEFT($K16,1)="待","候選，待完成資格","已檢核"),IF(OR($E16="完整支援",$E16="技術備援",$E16="流動",$E16="第二櫃台"),IF($K16="支援資格通過","已檢核",$K16),$K16))))</x:f>
      </x:c>
      <x:c r="R16" s="81"/>
    </x:row>
    <x:row r="17">
      <x:c r="A17" s="81"/>
      <x:c r="B17" s="81"/>
      <x:c r="C17" s="81"/>
      <x:c r="D17" s="84" t="str">
        <x:f>IF($C17="","",_xlfn.XLOOKUP($C17,'試行員工主檔'!$A$7:$A$20,'試行員工主檔'!$B$7:$B$20,"員工未建立",0))</x:f>
      </x:c>
      <x:c r="E17" s="84"/>
      <x:c r="F17" s="84"/>
      <x:c r="G17" s="84"/>
      <x:c r="H17" s="84" t="str">
        <x:f>IF($B17="","",_xlfn.XLOOKUP($B17,'班次需求輸入'!$A$7:$A$36,'班次需求輸入'!$F$7:$F$36,"需求未建立",0))</x:f>
      </x:c>
      <x:c r="I17" s="84" t="str">
        <x:f>IF(OR($C17="",$H17=""),"",_xlfn.XLOOKUP($C17&amp;"|"&amp;$H17,'排班適配試算'!$V$7:$V$188,'排班適配試算'!$S$7:$S$188,"未建立",0))</x:f>
      </x:c>
      <x:c r="J17" s="84" t="str">
        <x:f>IF(OR($C17="",$H17=""),"",_xlfn.XLOOKUP($C17&amp;"|"&amp;$H17,'排班適配試算'!$V$7:$V$188,'排班適配試算'!$U$7:$U$188,"未建立",0))</x:f>
      </x:c>
      <x:c r="K17" s="84" t="str">
        <x:f>IF($E17="","",IF($E17="主跟診",$J17,IF($E17="短時支援",_xlfn.XLOOKUP($C17,'RPD支援者候選'!$A$7:$A$20,'RPD支援者候選'!$H$7:$H$20,"未建立",0),IF($E17="學習觀摩","學習觀摩，不計正式人力",IF(OR($E17="完整支援",$E17="技術備援",$E17="流動",$E17="第二櫃台"),IF(AND($E17="技術備援",_xlfn.XLOOKUP($H17,'李醫師治療模式'!$A$7:$A$19,'李醫師治療模式'!$F$7:$F$19,"",0)="高複雜度"),"高複雜度不可由技術備援",IF($E17="完整支援",IF(_xlfn.XLOOKUP("SUP|"&amp;$C17&amp;"|"&amp;$H17,'支援者資格核定'!$A$7:$A$188,'支援者資格核定'!$N$7:$N$188,"未建立",0)&lt;&gt;"完整支援者","需要完整支援者",IF($F17&gt;_xlfn.XLOOKUP("SUP|"&amp;$C17&amp;"|"&amp;$H17,'支援者資格核定'!$A$7:$A$188,'支援者資格核定'!$O$7:$O$188,0,0),"支援名額超過核定上限","支援資格通過")),IF(OR(_xlfn.XLOOKUP("SUP|"&amp;$C17&amp;"|"&amp;$H17,'支援者資格核定'!$A$7:$A$188,'支援者資格核定'!$N$7:$N$188,"未建立",0)="完整支援者",_xlfn.XLOOKUP("SUP|"&amp;$C17&amp;"|"&amp;$H17,'支援者資格核定'!$A$7:$A$188,'支援者資格核定'!$N$7:$N$188,"未建立",0)="技術備援者"),IF($F17&gt;_xlfn.XLOOKUP("SUP|"&amp;$C17&amp;"|"&amp;$H17,'支援者資格核定'!$A$7:$A$188,'支援者資格核定'!$O$7:$O$188,0,0),"支援名額超過核定上限","支援資格通過"),"支援資格未核定"))),"角色未定義")))))</x:f>
      </x:c>
      <x:c r="L17" s="84" t="n">
        <x:f>IF($E17&lt;&gt;"主跟診",0,IF($I17="初步可條件排",IF(_xlfn.XLOOKUP($H17,'排班模式清單'!$A$7:$A$169,'排班模式清單'!$E$7:$E$169,"",0)="高複雜度",2,1),0)+IFNA(_xlfn.XLOOKUP($B17,'班次需求輸入'!$A$7:$A$36,'班次需求輸入'!$I$7:$I$36,0,0),0))</x:f>
        <x:v>0</x:v>
      </x:c>
      <x:c r="M17" s="85" t="str">
        <x:f>IF($B17="","",_xlfn.XLOOKUP($B17,'班次需求輸入'!$A$7:$A$36,'班次需求輸入'!$B$7:$B$36,"",0))</x:f>
      </x:c>
      <x:c r="N17" s="86" t="str">
        <x:f>IF($B17="","",_xlfn.XLOOKUP($B17,'班次需求輸入'!$A$7:$A$36,'班次需求輸入'!$C$7:$C$36,"",0))</x:f>
      </x:c>
      <x:c r="O17" s="86" t="str">
        <x:f>IF($B17="","",_xlfn.XLOOKUP($B17,'班次需求輸入'!$A$7:$A$36,'班次需求輸入'!$D$7:$D$36,"",0))</x:f>
      </x:c>
      <x:c r="P17" s="84" t="n">
        <x:f>IF(OR($C17="",$M17="",$N17="",$O17=""),0,COUNTIFS($C$7:$C$66,$C17,$M$7:$M$66,$M17,$N$7:$N$66,"&lt;"&amp;$O17,$O$7:$O$66,"&gt;"&amp;$N17)-1)</x:f>
        <x:v>0</x:v>
      </x:c>
      <x:c r="Q17" s="84" t="str">
        <x:f>IF($B17="","",IF($P17&gt;0,"時段衝突",IF($E17="主跟診",IF(LEFT($K17,1)="待","候選，待完成資格","已檢核"),IF(OR($E17="完整支援",$E17="技術備援",$E17="流動",$E17="第二櫃台"),IF($K17="支援資格通過","已檢核",$K17),$K17))))</x:f>
      </x:c>
      <x:c r="R17" s="81"/>
    </x:row>
    <x:row r="18">
      <x:c r="A18" s="81"/>
      <x:c r="B18" s="81"/>
      <x:c r="C18" s="81"/>
      <x:c r="D18" s="84" t="str">
        <x:f>IF($C18="","",_xlfn.XLOOKUP($C18,'試行員工主檔'!$A$7:$A$20,'試行員工主檔'!$B$7:$B$20,"員工未建立",0))</x:f>
      </x:c>
      <x:c r="E18" s="84"/>
      <x:c r="F18" s="84"/>
      <x:c r="G18" s="84"/>
      <x:c r="H18" s="84" t="str">
        <x:f>IF($B18="","",_xlfn.XLOOKUP($B18,'班次需求輸入'!$A$7:$A$36,'班次需求輸入'!$F$7:$F$36,"需求未建立",0))</x:f>
      </x:c>
      <x:c r="I18" s="84" t="str">
        <x:f>IF(OR($C18="",$H18=""),"",_xlfn.XLOOKUP($C18&amp;"|"&amp;$H18,'排班適配試算'!$V$7:$V$188,'排班適配試算'!$S$7:$S$188,"未建立",0))</x:f>
      </x:c>
      <x:c r="J18" s="84" t="str">
        <x:f>IF(OR($C18="",$H18=""),"",_xlfn.XLOOKUP($C18&amp;"|"&amp;$H18,'排班適配試算'!$V$7:$V$188,'排班適配試算'!$U$7:$U$188,"未建立",0))</x:f>
      </x:c>
      <x:c r="K18" s="84" t="str">
        <x:f>IF($E18="","",IF($E18="主跟診",$J18,IF($E18="短時支援",_xlfn.XLOOKUP($C18,'RPD支援者候選'!$A$7:$A$20,'RPD支援者候選'!$H$7:$H$20,"未建立",0),IF($E18="學習觀摩","學習觀摩，不計正式人力",IF(OR($E18="完整支援",$E18="技術備援",$E18="流動",$E18="第二櫃台"),IF(AND($E18="技術備援",_xlfn.XLOOKUP($H18,'李醫師治療模式'!$A$7:$A$19,'李醫師治療模式'!$F$7:$F$19,"",0)="高複雜度"),"高複雜度不可由技術備援",IF($E18="完整支援",IF(_xlfn.XLOOKUP("SUP|"&amp;$C18&amp;"|"&amp;$H18,'支援者資格核定'!$A$7:$A$188,'支援者資格核定'!$N$7:$N$188,"未建立",0)&lt;&gt;"完整支援者","需要完整支援者",IF($F18&gt;_xlfn.XLOOKUP("SUP|"&amp;$C18&amp;"|"&amp;$H18,'支援者資格核定'!$A$7:$A$188,'支援者資格核定'!$O$7:$O$188,0,0),"支援名額超過核定上限","支援資格通過")),IF(OR(_xlfn.XLOOKUP("SUP|"&amp;$C18&amp;"|"&amp;$H18,'支援者資格核定'!$A$7:$A$188,'支援者資格核定'!$N$7:$N$188,"未建立",0)="完整支援者",_xlfn.XLOOKUP("SUP|"&amp;$C18&amp;"|"&amp;$H18,'支援者資格核定'!$A$7:$A$188,'支援者資格核定'!$N$7:$N$188,"未建立",0)="技術備援者"),IF($F18&gt;_xlfn.XLOOKUP("SUP|"&amp;$C18&amp;"|"&amp;$H18,'支援者資格核定'!$A$7:$A$188,'支援者資格核定'!$O$7:$O$188,0,0),"支援名額超過核定上限","支援資格通過"),"支援資格未核定"))),"角色未定義")))))</x:f>
      </x:c>
      <x:c r="L18" s="84" t="n">
        <x:f>IF($E18&lt;&gt;"主跟診",0,IF($I18="初步可條件排",IF(_xlfn.XLOOKUP($H18,'排班模式清單'!$A$7:$A$169,'排班模式清單'!$E$7:$E$169,"",0)="高複雜度",2,1),0)+IFNA(_xlfn.XLOOKUP($B18,'班次需求輸入'!$A$7:$A$36,'班次需求輸入'!$I$7:$I$36,0,0),0))</x:f>
        <x:v>0</x:v>
      </x:c>
      <x:c r="M18" s="85" t="str">
        <x:f>IF($B18="","",_xlfn.XLOOKUP($B18,'班次需求輸入'!$A$7:$A$36,'班次需求輸入'!$B$7:$B$36,"",0))</x:f>
      </x:c>
      <x:c r="N18" s="86" t="str">
        <x:f>IF($B18="","",_xlfn.XLOOKUP($B18,'班次需求輸入'!$A$7:$A$36,'班次需求輸入'!$C$7:$C$36,"",0))</x:f>
      </x:c>
      <x:c r="O18" s="86" t="str">
        <x:f>IF($B18="","",_xlfn.XLOOKUP($B18,'班次需求輸入'!$A$7:$A$36,'班次需求輸入'!$D$7:$D$36,"",0))</x:f>
      </x:c>
      <x:c r="P18" s="84" t="n">
        <x:f>IF(OR($C18="",$M18="",$N18="",$O18=""),0,COUNTIFS($C$7:$C$66,$C18,$M$7:$M$66,$M18,$N$7:$N$66,"&lt;"&amp;$O18,$O$7:$O$66,"&gt;"&amp;$N18)-1)</x:f>
        <x:v>0</x:v>
      </x:c>
      <x:c r="Q18" s="84" t="str">
        <x:f>IF($B18="","",IF($P18&gt;0,"時段衝突",IF($E18="主跟診",IF(LEFT($K18,1)="待","候選，待完成資格","已檢核"),IF(OR($E18="完整支援",$E18="技術備援",$E18="流動",$E18="第二櫃台"),IF($K18="支援資格通過","已檢核",$K18),$K18))))</x:f>
      </x:c>
      <x:c r="R18" s="81"/>
    </x:row>
    <x:row r="19">
      <x:c r="A19" s="81"/>
      <x:c r="B19" s="81"/>
      <x:c r="C19" s="81"/>
      <x:c r="D19" s="84" t="str">
        <x:f>IF($C19="","",_xlfn.XLOOKUP($C19,'試行員工主檔'!$A$7:$A$20,'試行員工主檔'!$B$7:$B$20,"員工未建立",0))</x:f>
      </x:c>
      <x:c r="E19" s="84"/>
      <x:c r="F19" s="84"/>
      <x:c r="G19" s="84"/>
      <x:c r="H19" s="84" t="str">
        <x:f>IF($B19="","",_xlfn.XLOOKUP($B19,'班次需求輸入'!$A$7:$A$36,'班次需求輸入'!$F$7:$F$36,"需求未建立",0))</x:f>
      </x:c>
      <x:c r="I19" s="84" t="str">
        <x:f>IF(OR($C19="",$H19=""),"",_xlfn.XLOOKUP($C19&amp;"|"&amp;$H19,'排班適配試算'!$V$7:$V$188,'排班適配試算'!$S$7:$S$188,"未建立",0))</x:f>
      </x:c>
      <x:c r="J19" s="84" t="str">
        <x:f>IF(OR($C19="",$H19=""),"",_xlfn.XLOOKUP($C19&amp;"|"&amp;$H19,'排班適配試算'!$V$7:$V$188,'排班適配試算'!$U$7:$U$188,"未建立",0))</x:f>
      </x:c>
      <x:c r="K19" s="84" t="str">
        <x:f>IF($E19="","",IF($E19="主跟診",$J19,IF($E19="短時支援",_xlfn.XLOOKUP($C19,'RPD支援者候選'!$A$7:$A$20,'RPD支援者候選'!$H$7:$H$20,"未建立",0),IF($E19="學習觀摩","學習觀摩，不計正式人力",IF(OR($E19="完整支援",$E19="技術備援",$E19="流動",$E19="第二櫃台"),IF(AND($E19="技術備援",_xlfn.XLOOKUP($H19,'李醫師治療模式'!$A$7:$A$19,'李醫師治療模式'!$F$7:$F$19,"",0)="高複雜度"),"高複雜度不可由技術備援",IF($E19="完整支援",IF(_xlfn.XLOOKUP("SUP|"&amp;$C19&amp;"|"&amp;$H19,'支援者資格核定'!$A$7:$A$188,'支援者資格核定'!$N$7:$N$188,"未建立",0)&lt;&gt;"完整支援者","需要完整支援者",IF($F19&gt;_xlfn.XLOOKUP("SUP|"&amp;$C19&amp;"|"&amp;$H19,'支援者資格核定'!$A$7:$A$188,'支援者資格核定'!$O$7:$O$188,0,0),"支援名額超過核定上限","支援資格通過")),IF(OR(_xlfn.XLOOKUP("SUP|"&amp;$C19&amp;"|"&amp;$H19,'支援者資格核定'!$A$7:$A$188,'支援者資格核定'!$N$7:$N$188,"未建立",0)="完整支援者",_xlfn.XLOOKUP("SUP|"&amp;$C19&amp;"|"&amp;$H19,'支援者資格核定'!$A$7:$A$188,'支援者資格核定'!$N$7:$N$188,"未建立",0)="技術備援者"),IF($F19&gt;_xlfn.XLOOKUP("SUP|"&amp;$C19&amp;"|"&amp;$H19,'支援者資格核定'!$A$7:$A$188,'支援者資格核定'!$O$7:$O$188,0,0),"支援名額超過核定上限","支援資格通過"),"支援資格未核定"))),"角色未定義")))))</x:f>
      </x:c>
      <x:c r="L19" s="84" t="n">
        <x:f>IF($E19&lt;&gt;"主跟診",0,IF($I19="初步可條件排",IF(_xlfn.XLOOKUP($H19,'排班模式清單'!$A$7:$A$169,'排班模式清單'!$E$7:$E$169,"",0)="高複雜度",2,1),0)+IFNA(_xlfn.XLOOKUP($B19,'班次需求輸入'!$A$7:$A$36,'班次需求輸入'!$I$7:$I$36,0,0),0))</x:f>
        <x:v>0</x:v>
      </x:c>
      <x:c r="M19" s="85" t="str">
        <x:f>IF($B19="","",_xlfn.XLOOKUP($B19,'班次需求輸入'!$A$7:$A$36,'班次需求輸入'!$B$7:$B$36,"",0))</x:f>
      </x:c>
      <x:c r="N19" s="86" t="str">
        <x:f>IF($B19="","",_xlfn.XLOOKUP($B19,'班次需求輸入'!$A$7:$A$36,'班次需求輸入'!$C$7:$C$36,"",0))</x:f>
      </x:c>
      <x:c r="O19" s="86" t="str">
        <x:f>IF($B19="","",_xlfn.XLOOKUP($B19,'班次需求輸入'!$A$7:$A$36,'班次需求輸入'!$D$7:$D$36,"",0))</x:f>
      </x:c>
      <x:c r="P19" s="84" t="n">
        <x:f>IF(OR($C19="",$M19="",$N19="",$O19=""),0,COUNTIFS($C$7:$C$66,$C19,$M$7:$M$66,$M19,$N$7:$N$66,"&lt;"&amp;$O19,$O$7:$O$66,"&gt;"&amp;$N19)-1)</x:f>
        <x:v>0</x:v>
      </x:c>
      <x:c r="Q19" s="84" t="str">
        <x:f>IF($B19="","",IF($P19&gt;0,"時段衝突",IF($E19="主跟診",IF(LEFT($K19,1)="待","候選，待完成資格","已檢核"),IF(OR($E19="完整支援",$E19="技術備援",$E19="流動",$E19="第二櫃台"),IF($K19="支援資格通過","已檢核",$K19),$K19))))</x:f>
      </x:c>
      <x:c r="R19" s="81"/>
    </x:row>
    <x:row r="20">
      <x:c r="A20" s="81"/>
      <x:c r="B20" s="81"/>
      <x:c r="C20" s="81"/>
      <x:c r="D20" s="84" t="str">
        <x:f>IF($C20="","",_xlfn.XLOOKUP($C20,'試行員工主檔'!$A$7:$A$20,'試行員工主檔'!$B$7:$B$20,"員工未建立",0))</x:f>
      </x:c>
      <x:c r="E20" s="84"/>
      <x:c r="F20" s="84"/>
      <x:c r="G20" s="84"/>
      <x:c r="H20" s="84" t="str">
        <x:f>IF($B20="","",_xlfn.XLOOKUP($B20,'班次需求輸入'!$A$7:$A$36,'班次需求輸入'!$F$7:$F$36,"需求未建立",0))</x:f>
      </x:c>
      <x:c r="I20" s="84" t="str">
        <x:f>IF(OR($C20="",$H20=""),"",_xlfn.XLOOKUP($C20&amp;"|"&amp;$H20,'排班適配試算'!$V$7:$V$188,'排班適配試算'!$S$7:$S$188,"未建立",0))</x:f>
      </x:c>
      <x:c r="J20" s="84" t="str">
        <x:f>IF(OR($C20="",$H20=""),"",_xlfn.XLOOKUP($C20&amp;"|"&amp;$H20,'排班適配試算'!$V$7:$V$188,'排班適配試算'!$U$7:$U$188,"未建立",0))</x:f>
      </x:c>
      <x:c r="K20" s="84" t="str">
        <x:f>IF($E20="","",IF($E20="主跟診",$J20,IF($E20="短時支援",_xlfn.XLOOKUP($C20,'RPD支援者候選'!$A$7:$A$20,'RPD支援者候選'!$H$7:$H$20,"未建立",0),IF($E20="學習觀摩","學習觀摩，不計正式人力",IF(OR($E20="完整支援",$E20="技術備援",$E20="流動",$E20="第二櫃台"),IF(AND($E20="技術備援",_xlfn.XLOOKUP($H20,'李醫師治療模式'!$A$7:$A$19,'李醫師治療模式'!$F$7:$F$19,"",0)="高複雜度"),"高複雜度不可由技術備援",IF($E20="完整支援",IF(_xlfn.XLOOKUP("SUP|"&amp;$C20&amp;"|"&amp;$H20,'支援者資格核定'!$A$7:$A$188,'支援者資格核定'!$N$7:$N$188,"未建立",0)&lt;&gt;"完整支援者","需要完整支援者",IF($F20&gt;_xlfn.XLOOKUP("SUP|"&amp;$C20&amp;"|"&amp;$H20,'支援者資格核定'!$A$7:$A$188,'支援者資格核定'!$O$7:$O$188,0,0),"支援名額超過核定上限","支援資格通過")),IF(OR(_xlfn.XLOOKUP("SUP|"&amp;$C20&amp;"|"&amp;$H20,'支援者資格核定'!$A$7:$A$188,'支援者資格核定'!$N$7:$N$188,"未建立",0)="完整支援者",_xlfn.XLOOKUP("SUP|"&amp;$C20&amp;"|"&amp;$H20,'支援者資格核定'!$A$7:$A$188,'支援者資格核定'!$N$7:$N$188,"未建立",0)="技術備援者"),IF($F20&gt;_xlfn.XLOOKUP("SUP|"&amp;$C20&amp;"|"&amp;$H20,'支援者資格核定'!$A$7:$A$188,'支援者資格核定'!$O$7:$O$188,0,0),"支援名額超過核定上限","支援資格通過"),"支援資格未核定"))),"角色未定義")))))</x:f>
      </x:c>
      <x:c r="L20" s="84" t="n">
        <x:f>IF($E20&lt;&gt;"主跟診",0,IF($I20="初步可條件排",IF(_xlfn.XLOOKUP($H20,'排班模式清單'!$A$7:$A$169,'排班模式清單'!$E$7:$E$169,"",0)="高複雜度",2,1),0)+IFNA(_xlfn.XLOOKUP($B20,'班次需求輸入'!$A$7:$A$36,'班次需求輸入'!$I$7:$I$36,0,0),0))</x:f>
        <x:v>0</x:v>
      </x:c>
      <x:c r="M20" s="85" t="str">
        <x:f>IF($B20="","",_xlfn.XLOOKUP($B20,'班次需求輸入'!$A$7:$A$36,'班次需求輸入'!$B$7:$B$36,"",0))</x:f>
      </x:c>
      <x:c r="N20" s="86" t="str">
        <x:f>IF($B20="","",_xlfn.XLOOKUP($B20,'班次需求輸入'!$A$7:$A$36,'班次需求輸入'!$C$7:$C$36,"",0))</x:f>
      </x:c>
      <x:c r="O20" s="86" t="str">
        <x:f>IF($B20="","",_xlfn.XLOOKUP($B20,'班次需求輸入'!$A$7:$A$36,'班次需求輸入'!$D$7:$D$36,"",0))</x:f>
      </x:c>
      <x:c r="P20" s="84" t="n">
        <x:f>IF(OR($C20="",$M20="",$N20="",$O20=""),0,COUNTIFS($C$7:$C$66,$C20,$M$7:$M$66,$M20,$N$7:$N$66,"&lt;"&amp;$O20,$O$7:$O$66,"&gt;"&amp;$N20)-1)</x:f>
        <x:v>0</x:v>
      </x:c>
      <x:c r="Q20" s="84" t="str">
        <x:f>IF($B20="","",IF($P20&gt;0,"時段衝突",IF($E20="主跟診",IF(LEFT($K20,1)="待","候選，待完成資格","已檢核"),IF(OR($E20="完整支援",$E20="技術備援",$E20="流動",$E20="第二櫃台"),IF($K20="支援資格通過","已檢核",$K20),$K20))))</x:f>
      </x:c>
      <x:c r="R20" s="81"/>
    </x:row>
    <x:row r="21">
      <x:c r="A21" s="81"/>
      <x:c r="B21" s="81"/>
      <x:c r="C21" s="81"/>
      <x:c r="D21" s="84" t="str">
        <x:f>IF($C21="","",_xlfn.XLOOKUP($C21,'試行員工主檔'!$A$7:$A$20,'試行員工主檔'!$B$7:$B$20,"員工未建立",0))</x:f>
      </x:c>
      <x:c r="E21" s="84"/>
      <x:c r="F21" s="84"/>
      <x:c r="G21" s="84"/>
      <x:c r="H21" s="84" t="str">
        <x:f>IF($B21="","",_xlfn.XLOOKUP($B21,'班次需求輸入'!$A$7:$A$36,'班次需求輸入'!$F$7:$F$36,"需求未建立",0))</x:f>
      </x:c>
      <x:c r="I21" s="84" t="str">
        <x:f>IF(OR($C21="",$H21=""),"",_xlfn.XLOOKUP($C21&amp;"|"&amp;$H21,'排班適配試算'!$V$7:$V$188,'排班適配試算'!$S$7:$S$188,"未建立",0))</x:f>
      </x:c>
      <x:c r="J21" s="84" t="str">
        <x:f>IF(OR($C21="",$H21=""),"",_xlfn.XLOOKUP($C21&amp;"|"&amp;$H21,'排班適配試算'!$V$7:$V$188,'排班適配試算'!$U$7:$U$188,"未建立",0))</x:f>
      </x:c>
      <x:c r="K21" s="84" t="str">
        <x:f>IF($E21="","",IF($E21="主跟診",$J21,IF($E21="短時支援",_xlfn.XLOOKUP($C21,'RPD支援者候選'!$A$7:$A$20,'RPD支援者候選'!$H$7:$H$20,"未建立",0),IF($E21="學習觀摩","學習觀摩，不計正式人力",IF(OR($E21="完整支援",$E21="技術備援",$E21="流動",$E21="第二櫃台"),IF(AND($E21="技術備援",_xlfn.XLOOKUP($H21,'李醫師治療模式'!$A$7:$A$19,'李醫師治療模式'!$F$7:$F$19,"",0)="高複雜度"),"高複雜度不可由技術備援",IF($E21="完整支援",IF(_xlfn.XLOOKUP("SUP|"&amp;$C21&amp;"|"&amp;$H21,'支援者資格核定'!$A$7:$A$188,'支援者資格核定'!$N$7:$N$188,"未建立",0)&lt;&gt;"完整支援者","需要完整支援者",IF($F21&gt;_xlfn.XLOOKUP("SUP|"&amp;$C21&amp;"|"&amp;$H21,'支援者資格核定'!$A$7:$A$188,'支援者資格核定'!$O$7:$O$188,0,0),"支援名額超過核定上限","支援資格通過")),IF(OR(_xlfn.XLOOKUP("SUP|"&amp;$C21&amp;"|"&amp;$H21,'支援者資格核定'!$A$7:$A$188,'支援者資格核定'!$N$7:$N$188,"未建立",0)="完整支援者",_xlfn.XLOOKUP("SUP|"&amp;$C21&amp;"|"&amp;$H21,'支援者資格核定'!$A$7:$A$188,'支援者資格核定'!$N$7:$N$188,"未建立",0)="技術備援者"),IF($F21&gt;_xlfn.XLOOKUP("SUP|"&amp;$C21&amp;"|"&amp;$H21,'支援者資格核定'!$A$7:$A$188,'支援者資格核定'!$O$7:$O$188,0,0),"支援名額超過核定上限","支援資格通過"),"支援資格未核定"))),"角色未定義")))))</x:f>
      </x:c>
      <x:c r="L21" s="84" t="n">
        <x:f>IF($E21&lt;&gt;"主跟診",0,IF($I21="初步可條件排",IF(_xlfn.XLOOKUP($H21,'排班模式清單'!$A$7:$A$169,'排班模式清單'!$E$7:$E$169,"",0)="高複雜度",2,1),0)+IFNA(_xlfn.XLOOKUP($B21,'班次需求輸入'!$A$7:$A$36,'班次需求輸入'!$I$7:$I$36,0,0),0))</x:f>
        <x:v>0</x:v>
      </x:c>
      <x:c r="M21" s="85" t="str">
        <x:f>IF($B21="","",_xlfn.XLOOKUP($B21,'班次需求輸入'!$A$7:$A$36,'班次需求輸入'!$B$7:$B$36,"",0))</x:f>
      </x:c>
      <x:c r="N21" s="86" t="str">
        <x:f>IF($B21="","",_xlfn.XLOOKUP($B21,'班次需求輸入'!$A$7:$A$36,'班次需求輸入'!$C$7:$C$36,"",0))</x:f>
      </x:c>
      <x:c r="O21" s="86" t="str">
        <x:f>IF($B21="","",_xlfn.XLOOKUP($B21,'班次需求輸入'!$A$7:$A$36,'班次需求輸入'!$D$7:$D$36,"",0))</x:f>
      </x:c>
      <x:c r="P21" s="84" t="n">
        <x:f>IF(OR($C21="",$M21="",$N21="",$O21=""),0,COUNTIFS($C$7:$C$66,$C21,$M$7:$M$66,$M21,$N$7:$N$66,"&lt;"&amp;$O21,$O$7:$O$66,"&gt;"&amp;$N21)-1)</x:f>
        <x:v>0</x:v>
      </x:c>
      <x:c r="Q21" s="84" t="str">
        <x:f>IF($B21="","",IF($P21&gt;0,"時段衝突",IF($E21="主跟診",IF(LEFT($K21,1)="待","候選，待完成資格","已檢核"),IF(OR($E21="完整支援",$E21="技術備援",$E21="流動",$E21="第二櫃台"),IF($K21="支援資格通過","已檢核",$K21),$K21))))</x:f>
      </x:c>
      <x:c r="R21" s="81"/>
    </x:row>
    <x:row r="22">
      <x:c r="A22" s="81"/>
      <x:c r="B22" s="81"/>
      <x:c r="C22" s="81"/>
      <x:c r="D22" s="84" t="str">
        <x:f>IF($C22="","",_xlfn.XLOOKUP($C22,'試行員工主檔'!$A$7:$A$20,'試行員工主檔'!$B$7:$B$20,"員工未建立",0))</x:f>
      </x:c>
      <x:c r="E22" s="84"/>
      <x:c r="F22" s="84"/>
      <x:c r="G22" s="84"/>
      <x:c r="H22" s="84" t="str">
        <x:f>IF($B22="","",_xlfn.XLOOKUP($B22,'班次需求輸入'!$A$7:$A$36,'班次需求輸入'!$F$7:$F$36,"需求未建立",0))</x:f>
      </x:c>
      <x:c r="I22" s="84" t="str">
        <x:f>IF(OR($C22="",$H22=""),"",_xlfn.XLOOKUP($C22&amp;"|"&amp;$H22,'排班適配試算'!$V$7:$V$188,'排班適配試算'!$S$7:$S$188,"未建立",0))</x:f>
      </x:c>
      <x:c r="J22" s="84" t="str">
        <x:f>IF(OR($C22="",$H22=""),"",_xlfn.XLOOKUP($C22&amp;"|"&amp;$H22,'排班適配試算'!$V$7:$V$188,'排班適配試算'!$U$7:$U$188,"未建立",0))</x:f>
      </x:c>
      <x:c r="K22" s="84" t="str">
        <x:f>IF($E22="","",IF($E22="主跟診",$J22,IF($E22="短時支援",_xlfn.XLOOKUP($C22,'RPD支援者候選'!$A$7:$A$20,'RPD支援者候選'!$H$7:$H$20,"未建立",0),IF($E22="學習觀摩","學習觀摩，不計正式人力",IF(OR($E22="完整支援",$E22="技術備援",$E22="流動",$E22="第二櫃台"),IF(AND($E22="技術備援",_xlfn.XLOOKUP($H22,'李醫師治療模式'!$A$7:$A$19,'李醫師治療模式'!$F$7:$F$19,"",0)="高複雜度"),"高複雜度不可由技術備援",IF($E22="完整支援",IF(_xlfn.XLOOKUP("SUP|"&amp;$C22&amp;"|"&amp;$H22,'支援者資格核定'!$A$7:$A$188,'支援者資格核定'!$N$7:$N$188,"未建立",0)&lt;&gt;"完整支援者","需要完整支援者",IF($F22&gt;_xlfn.XLOOKUP("SUP|"&amp;$C22&amp;"|"&amp;$H22,'支援者資格核定'!$A$7:$A$188,'支援者資格核定'!$O$7:$O$188,0,0),"支援名額超過核定上限","支援資格通過")),IF(OR(_xlfn.XLOOKUP("SUP|"&amp;$C22&amp;"|"&amp;$H22,'支援者資格核定'!$A$7:$A$188,'支援者資格核定'!$N$7:$N$188,"未建立",0)="完整支援者",_xlfn.XLOOKUP("SUP|"&amp;$C22&amp;"|"&amp;$H22,'支援者資格核定'!$A$7:$A$188,'支援者資格核定'!$N$7:$N$188,"未建立",0)="技術備援者"),IF($F22&gt;_xlfn.XLOOKUP("SUP|"&amp;$C22&amp;"|"&amp;$H22,'支援者資格核定'!$A$7:$A$188,'支援者資格核定'!$O$7:$O$188,0,0),"支援名額超過核定上限","支援資格通過"),"支援資格未核定"))),"角色未定義")))))</x:f>
      </x:c>
      <x:c r="L22" s="84" t="n">
        <x:f>IF($E22&lt;&gt;"主跟診",0,IF($I22="初步可條件排",IF(_xlfn.XLOOKUP($H22,'排班模式清單'!$A$7:$A$169,'排班模式清單'!$E$7:$E$169,"",0)="高複雜度",2,1),0)+IFNA(_xlfn.XLOOKUP($B22,'班次需求輸入'!$A$7:$A$36,'班次需求輸入'!$I$7:$I$36,0,0),0))</x:f>
        <x:v>0</x:v>
      </x:c>
      <x:c r="M22" s="85" t="str">
        <x:f>IF($B22="","",_xlfn.XLOOKUP($B22,'班次需求輸入'!$A$7:$A$36,'班次需求輸入'!$B$7:$B$36,"",0))</x:f>
      </x:c>
      <x:c r="N22" s="86" t="str">
        <x:f>IF($B22="","",_xlfn.XLOOKUP($B22,'班次需求輸入'!$A$7:$A$36,'班次需求輸入'!$C$7:$C$36,"",0))</x:f>
      </x:c>
      <x:c r="O22" s="86" t="str">
        <x:f>IF($B22="","",_xlfn.XLOOKUP($B22,'班次需求輸入'!$A$7:$A$36,'班次需求輸入'!$D$7:$D$36,"",0))</x:f>
      </x:c>
      <x:c r="P22" s="84" t="n">
        <x:f>IF(OR($C22="",$M22="",$N22="",$O22=""),0,COUNTIFS($C$7:$C$66,$C22,$M$7:$M$66,$M22,$N$7:$N$66,"&lt;"&amp;$O22,$O$7:$O$66,"&gt;"&amp;$N22)-1)</x:f>
        <x:v>0</x:v>
      </x:c>
      <x:c r="Q22" s="84" t="str">
        <x:f>IF($B22="","",IF($P22&gt;0,"時段衝突",IF($E22="主跟診",IF(LEFT($K22,1)="待","候選，待完成資格","已檢核"),IF(OR($E22="完整支援",$E22="技術備援",$E22="流動",$E22="第二櫃台"),IF($K22="支援資格通過","已檢核",$K22),$K22))))</x:f>
      </x:c>
      <x:c r="R22" s="81"/>
    </x:row>
    <x:row r="23">
      <x:c r="A23" s="81"/>
      <x:c r="B23" s="81"/>
      <x:c r="C23" s="81"/>
      <x:c r="D23" s="84" t="str">
        <x:f>IF($C23="","",_xlfn.XLOOKUP($C23,'試行員工主檔'!$A$7:$A$20,'試行員工主檔'!$B$7:$B$20,"員工未建立",0))</x:f>
      </x:c>
      <x:c r="E23" s="84"/>
      <x:c r="F23" s="84"/>
      <x:c r="G23" s="84"/>
      <x:c r="H23" s="84" t="str">
        <x:f>IF($B23="","",_xlfn.XLOOKUP($B23,'班次需求輸入'!$A$7:$A$36,'班次需求輸入'!$F$7:$F$36,"需求未建立",0))</x:f>
      </x:c>
      <x:c r="I23" s="84" t="str">
        <x:f>IF(OR($C23="",$H23=""),"",_xlfn.XLOOKUP($C23&amp;"|"&amp;$H23,'排班適配試算'!$V$7:$V$188,'排班適配試算'!$S$7:$S$188,"未建立",0))</x:f>
      </x:c>
      <x:c r="J23" s="84" t="str">
        <x:f>IF(OR($C23="",$H23=""),"",_xlfn.XLOOKUP($C23&amp;"|"&amp;$H23,'排班適配試算'!$V$7:$V$188,'排班適配試算'!$U$7:$U$188,"未建立",0))</x:f>
      </x:c>
      <x:c r="K23" s="84" t="str">
        <x:f>IF($E23="","",IF($E23="主跟診",$J23,IF($E23="短時支援",_xlfn.XLOOKUP($C23,'RPD支援者候選'!$A$7:$A$20,'RPD支援者候選'!$H$7:$H$20,"未建立",0),IF($E23="學習觀摩","學習觀摩，不計正式人力",IF(OR($E23="完整支援",$E23="技術備援",$E23="流動",$E23="第二櫃台"),IF(AND($E23="技術備援",_xlfn.XLOOKUP($H23,'李醫師治療模式'!$A$7:$A$19,'李醫師治療模式'!$F$7:$F$19,"",0)="高複雜度"),"高複雜度不可由技術備援",IF($E23="完整支援",IF(_xlfn.XLOOKUP("SUP|"&amp;$C23&amp;"|"&amp;$H23,'支援者資格核定'!$A$7:$A$188,'支援者資格核定'!$N$7:$N$188,"未建立",0)&lt;&gt;"完整支援者","需要完整支援者",IF($F23&gt;_xlfn.XLOOKUP("SUP|"&amp;$C23&amp;"|"&amp;$H23,'支援者資格核定'!$A$7:$A$188,'支援者資格核定'!$O$7:$O$188,0,0),"支援名額超過核定上限","支援資格通過")),IF(OR(_xlfn.XLOOKUP("SUP|"&amp;$C23&amp;"|"&amp;$H23,'支援者資格核定'!$A$7:$A$188,'支援者資格核定'!$N$7:$N$188,"未建立",0)="完整支援者",_xlfn.XLOOKUP("SUP|"&amp;$C23&amp;"|"&amp;$H23,'支援者資格核定'!$A$7:$A$188,'支援者資格核定'!$N$7:$N$188,"未建立",0)="技術備援者"),IF($F23&gt;_xlfn.XLOOKUP("SUP|"&amp;$C23&amp;"|"&amp;$H23,'支援者資格核定'!$A$7:$A$188,'支援者資格核定'!$O$7:$O$188,0,0),"支援名額超過核定上限","支援資格通過"),"支援資格未核定"))),"角色未定義")))))</x:f>
      </x:c>
      <x:c r="L23" s="84" t="n">
        <x:f>IF($E23&lt;&gt;"主跟診",0,IF($I23="初步可條件排",IF(_xlfn.XLOOKUP($H23,'排班模式清單'!$A$7:$A$169,'排班模式清單'!$E$7:$E$169,"",0)="高複雜度",2,1),0)+IFNA(_xlfn.XLOOKUP($B23,'班次需求輸入'!$A$7:$A$36,'班次需求輸入'!$I$7:$I$36,0,0),0))</x:f>
        <x:v>0</x:v>
      </x:c>
      <x:c r="M23" s="85" t="str">
        <x:f>IF($B23="","",_xlfn.XLOOKUP($B23,'班次需求輸入'!$A$7:$A$36,'班次需求輸入'!$B$7:$B$36,"",0))</x:f>
      </x:c>
      <x:c r="N23" s="86" t="str">
        <x:f>IF($B23="","",_xlfn.XLOOKUP($B23,'班次需求輸入'!$A$7:$A$36,'班次需求輸入'!$C$7:$C$36,"",0))</x:f>
      </x:c>
      <x:c r="O23" s="86" t="str">
        <x:f>IF($B23="","",_xlfn.XLOOKUP($B23,'班次需求輸入'!$A$7:$A$36,'班次需求輸入'!$D$7:$D$36,"",0))</x:f>
      </x:c>
      <x:c r="P23" s="84" t="n">
        <x:f>IF(OR($C23="",$M23="",$N23="",$O23=""),0,COUNTIFS($C$7:$C$66,$C23,$M$7:$M$66,$M23,$N$7:$N$66,"&lt;"&amp;$O23,$O$7:$O$66,"&gt;"&amp;$N23)-1)</x:f>
        <x:v>0</x:v>
      </x:c>
      <x:c r="Q23" s="84" t="str">
        <x:f>IF($B23="","",IF($P23&gt;0,"時段衝突",IF($E23="主跟診",IF(LEFT($K23,1)="待","候選，待完成資格","已檢核"),IF(OR($E23="完整支援",$E23="技術備援",$E23="流動",$E23="第二櫃台"),IF($K23="支援資格通過","已檢核",$K23),$K23))))</x:f>
      </x:c>
      <x:c r="R23" s="81"/>
    </x:row>
    <x:row r="24">
      <x:c r="A24" s="81"/>
      <x:c r="B24" s="81"/>
      <x:c r="C24" s="81"/>
      <x:c r="D24" s="84" t="str">
        <x:f>IF($C24="","",_xlfn.XLOOKUP($C24,'試行員工主檔'!$A$7:$A$20,'試行員工主檔'!$B$7:$B$20,"員工未建立",0))</x:f>
      </x:c>
      <x:c r="E24" s="84"/>
      <x:c r="F24" s="84"/>
      <x:c r="G24" s="84"/>
      <x:c r="H24" s="84" t="str">
        <x:f>IF($B24="","",_xlfn.XLOOKUP($B24,'班次需求輸入'!$A$7:$A$36,'班次需求輸入'!$F$7:$F$36,"需求未建立",0))</x:f>
      </x:c>
      <x:c r="I24" s="84" t="str">
        <x:f>IF(OR($C24="",$H24=""),"",_xlfn.XLOOKUP($C24&amp;"|"&amp;$H24,'排班適配試算'!$V$7:$V$188,'排班適配試算'!$S$7:$S$188,"未建立",0))</x:f>
      </x:c>
      <x:c r="J24" s="84" t="str">
        <x:f>IF(OR($C24="",$H24=""),"",_xlfn.XLOOKUP($C24&amp;"|"&amp;$H24,'排班適配試算'!$V$7:$V$188,'排班適配試算'!$U$7:$U$188,"未建立",0))</x:f>
      </x:c>
      <x:c r="K24" s="84" t="str">
        <x:f>IF($E24="","",IF($E24="主跟診",$J24,IF($E24="短時支援",_xlfn.XLOOKUP($C24,'RPD支援者候選'!$A$7:$A$20,'RPD支援者候選'!$H$7:$H$20,"未建立",0),IF($E24="學習觀摩","學習觀摩，不計正式人力",IF(OR($E24="完整支援",$E24="技術備援",$E24="流動",$E24="第二櫃台"),IF(AND($E24="技術備援",_xlfn.XLOOKUP($H24,'李醫師治療模式'!$A$7:$A$19,'李醫師治療模式'!$F$7:$F$19,"",0)="高複雜度"),"高複雜度不可由技術備援",IF($E24="完整支援",IF(_xlfn.XLOOKUP("SUP|"&amp;$C24&amp;"|"&amp;$H24,'支援者資格核定'!$A$7:$A$188,'支援者資格核定'!$N$7:$N$188,"未建立",0)&lt;&gt;"完整支援者","需要完整支援者",IF($F24&gt;_xlfn.XLOOKUP("SUP|"&amp;$C24&amp;"|"&amp;$H24,'支援者資格核定'!$A$7:$A$188,'支援者資格核定'!$O$7:$O$188,0,0),"支援名額超過核定上限","支援資格通過")),IF(OR(_xlfn.XLOOKUP("SUP|"&amp;$C24&amp;"|"&amp;$H24,'支援者資格核定'!$A$7:$A$188,'支援者資格核定'!$N$7:$N$188,"未建立",0)="完整支援者",_xlfn.XLOOKUP("SUP|"&amp;$C24&amp;"|"&amp;$H24,'支援者資格核定'!$A$7:$A$188,'支援者資格核定'!$N$7:$N$188,"未建立",0)="技術備援者"),IF($F24&gt;_xlfn.XLOOKUP("SUP|"&amp;$C24&amp;"|"&amp;$H24,'支援者資格核定'!$A$7:$A$188,'支援者資格核定'!$O$7:$O$188,0,0),"支援名額超過核定上限","支援資格通過"),"支援資格未核定"))),"角色未定義")))))</x:f>
      </x:c>
      <x:c r="L24" s="84" t="n">
        <x:f>IF($E24&lt;&gt;"主跟診",0,IF($I24="初步可條件排",IF(_xlfn.XLOOKUP($H24,'排班模式清單'!$A$7:$A$169,'排班模式清單'!$E$7:$E$169,"",0)="高複雜度",2,1),0)+IFNA(_xlfn.XLOOKUP($B24,'班次需求輸入'!$A$7:$A$36,'班次需求輸入'!$I$7:$I$36,0,0),0))</x:f>
        <x:v>0</x:v>
      </x:c>
      <x:c r="M24" s="85" t="str">
        <x:f>IF($B24="","",_xlfn.XLOOKUP($B24,'班次需求輸入'!$A$7:$A$36,'班次需求輸入'!$B$7:$B$36,"",0))</x:f>
      </x:c>
      <x:c r="N24" s="86" t="str">
        <x:f>IF($B24="","",_xlfn.XLOOKUP($B24,'班次需求輸入'!$A$7:$A$36,'班次需求輸入'!$C$7:$C$36,"",0))</x:f>
      </x:c>
      <x:c r="O24" s="86" t="str">
        <x:f>IF($B24="","",_xlfn.XLOOKUP($B24,'班次需求輸入'!$A$7:$A$36,'班次需求輸入'!$D$7:$D$36,"",0))</x:f>
      </x:c>
      <x:c r="P24" s="84" t="n">
        <x:f>IF(OR($C24="",$M24="",$N24="",$O24=""),0,COUNTIFS($C$7:$C$66,$C24,$M$7:$M$66,$M24,$N$7:$N$66,"&lt;"&amp;$O24,$O$7:$O$66,"&gt;"&amp;$N24)-1)</x:f>
        <x:v>0</x:v>
      </x:c>
      <x:c r="Q24" s="84" t="str">
        <x:f>IF($B24="","",IF($P24&gt;0,"時段衝突",IF($E24="主跟診",IF(LEFT($K24,1)="待","候選，待完成資格","已檢核"),IF(OR($E24="完整支援",$E24="技術備援",$E24="流動",$E24="第二櫃台"),IF($K24="支援資格通過","已檢核",$K24),$K24))))</x:f>
      </x:c>
      <x:c r="R24" s="81"/>
    </x:row>
    <x:row r="25">
      <x:c r="A25" s="81"/>
      <x:c r="B25" s="81"/>
      <x:c r="C25" s="81"/>
      <x:c r="D25" s="84" t="str">
        <x:f>IF($C25="","",_xlfn.XLOOKUP($C25,'試行員工主檔'!$A$7:$A$20,'試行員工主檔'!$B$7:$B$20,"員工未建立",0))</x:f>
      </x:c>
      <x:c r="E25" s="84"/>
      <x:c r="F25" s="84"/>
      <x:c r="G25" s="84"/>
      <x:c r="H25" s="84" t="str">
        <x:f>IF($B25="","",_xlfn.XLOOKUP($B25,'班次需求輸入'!$A$7:$A$36,'班次需求輸入'!$F$7:$F$36,"需求未建立",0))</x:f>
      </x:c>
      <x:c r="I25" s="84" t="str">
        <x:f>IF(OR($C25="",$H25=""),"",_xlfn.XLOOKUP($C25&amp;"|"&amp;$H25,'排班適配試算'!$V$7:$V$188,'排班適配試算'!$S$7:$S$188,"未建立",0))</x:f>
      </x:c>
      <x:c r="J25" s="84" t="str">
        <x:f>IF(OR($C25="",$H25=""),"",_xlfn.XLOOKUP($C25&amp;"|"&amp;$H25,'排班適配試算'!$V$7:$V$188,'排班適配試算'!$U$7:$U$188,"未建立",0))</x:f>
      </x:c>
      <x:c r="K25" s="84" t="str">
        <x:f>IF($E25="","",IF($E25="主跟診",$J25,IF($E25="短時支援",_xlfn.XLOOKUP($C25,'RPD支援者候選'!$A$7:$A$20,'RPD支援者候選'!$H$7:$H$20,"未建立",0),IF($E25="學習觀摩","學習觀摩，不計正式人力",IF(OR($E25="完整支援",$E25="技術備援",$E25="流動",$E25="第二櫃台"),IF(AND($E25="技術備援",_xlfn.XLOOKUP($H25,'李醫師治療模式'!$A$7:$A$19,'李醫師治療模式'!$F$7:$F$19,"",0)="高複雜度"),"高複雜度不可由技術備援",IF($E25="完整支援",IF(_xlfn.XLOOKUP("SUP|"&amp;$C25&amp;"|"&amp;$H25,'支援者資格核定'!$A$7:$A$188,'支援者資格核定'!$N$7:$N$188,"未建立",0)&lt;&gt;"完整支援者","需要完整支援者",IF($F25&gt;_xlfn.XLOOKUP("SUP|"&amp;$C25&amp;"|"&amp;$H25,'支援者資格核定'!$A$7:$A$188,'支援者資格核定'!$O$7:$O$188,0,0),"支援名額超過核定上限","支援資格通過")),IF(OR(_xlfn.XLOOKUP("SUP|"&amp;$C25&amp;"|"&amp;$H25,'支援者資格核定'!$A$7:$A$188,'支援者資格核定'!$N$7:$N$188,"未建立",0)="完整支援者",_xlfn.XLOOKUP("SUP|"&amp;$C25&amp;"|"&amp;$H25,'支援者資格核定'!$A$7:$A$188,'支援者資格核定'!$N$7:$N$188,"未建立",0)="技術備援者"),IF($F25&gt;_xlfn.XLOOKUP("SUP|"&amp;$C25&amp;"|"&amp;$H25,'支援者資格核定'!$A$7:$A$188,'支援者資格核定'!$O$7:$O$188,0,0),"支援名額超過核定上限","支援資格通過"),"支援資格未核定"))),"角色未定義")))))</x:f>
      </x:c>
      <x:c r="L25" s="84" t="n">
        <x:f>IF($E25&lt;&gt;"主跟診",0,IF($I25="初步可條件排",IF(_xlfn.XLOOKUP($H25,'排班模式清單'!$A$7:$A$169,'排班模式清單'!$E$7:$E$169,"",0)="高複雜度",2,1),0)+IFNA(_xlfn.XLOOKUP($B25,'班次需求輸入'!$A$7:$A$36,'班次需求輸入'!$I$7:$I$36,0,0),0))</x:f>
        <x:v>0</x:v>
      </x:c>
      <x:c r="M25" s="85" t="str">
        <x:f>IF($B25="","",_xlfn.XLOOKUP($B25,'班次需求輸入'!$A$7:$A$36,'班次需求輸入'!$B$7:$B$36,"",0))</x:f>
      </x:c>
      <x:c r="N25" s="86" t="str">
        <x:f>IF($B25="","",_xlfn.XLOOKUP($B25,'班次需求輸入'!$A$7:$A$36,'班次需求輸入'!$C$7:$C$36,"",0))</x:f>
      </x:c>
      <x:c r="O25" s="86" t="str">
        <x:f>IF($B25="","",_xlfn.XLOOKUP($B25,'班次需求輸入'!$A$7:$A$36,'班次需求輸入'!$D$7:$D$36,"",0))</x:f>
      </x:c>
      <x:c r="P25" s="84" t="n">
        <x:f>IF(OR($C25="",$M25="",$N25="",$O25=""),0,COUNTIFS($C$7:$C$66,$C25,$M$7:$M$66,$M25,$N$7:$N$66,"&lt;"&amp;$O25,$O$7:$O$66,"&gt;"&amp;$N25)-1)</x:f>
        <x:v>0</x:v>
      </x:c>
      <x:c r="Q25" s="84" t="str">
        <x:f>IF($B25="","",IF($P25&gt;0,"時段衝突",IF($E25="主跟診",IF(LEFT($K25,1)="待","候選，待完成資格","已檢核"),IF(OR($E25="完整支援",$E25="技術備援",$E25="流動",$E25="第二櫃台"),IF($K25="支援資格通過","已檢核",$K25),$K25))))</x:f>
      </x:c>
      <x:c r="R25" s="81"/>
    </x:row>
    <x:row r="26">
      <x:c r="A26" s="81"/>
      <x:c r="B26" s="81"/>
      <x:c r="C26" s="81"/>
      <x:c r="D26" s="84" t="str">
        <x:f>IF($C26="","",_xlfn.XLOOKUP($C26,'試行員工主檔'!$A$7:$A$20,'試行員工主檔'!$B$7:$B$20,"員工未建立",0))</x:f>
      </x:c>
      <x:c r="E26" s="84"/>
      <x:c r="F26" s="84"/>
      <x:c r="G26" s="84"/>
      <x:c r="H26" s="84" t="str">
        <x:f>IF($B26="","",_xlfn.XLOOKUP($B26,'班次需求輸入'!$A$7:$A$36,'班次需求輸入'!$F$7:$F$36,"需求未建立",0))</x:f>
      </x:c>
      <x:c r="I26" s="84" t="str">
        <x:f>IF(OR($C26="",$H26=""),"",_xlfn.XLOOKUP($C26&amp;"|"&amp;$H26,'排班適配試算'!$V$7:$V$188,'排班適配試算'!$S$7:$S$188,"未建立",0))</x:f>
      </x:c>
      <x:c r="J26" s="84" t="str">
        <x:f>IF(OR($C26="",$H26=""),"",_xlfn.XLOOKUP($C26&amp;"|"&amp;$H26,'排班適配試算'!$V$7:$V$188,'排班適配試算'!$U$7:$U$188,"未建立",0))</x:f>
      </x:c>
      <x:c r="K26" s="84" t="str">
        <x:f>IF($E26="","",IF($E26="主跟診",$J26,IF($E26="短時支援",_xlfn.XLOOKUP($C26,'RPD支援者候選'!$A$7:$A$20,'RPD支援者候選'!$H$7:$H$20,"未建立",0),IF($E26="學習觀摩","學習觀摩，不計正式人力",IF(OR($E26="完整支援",$E26="技術備援",$E26="流動",$E26="第二櫃台"),IF(AND($E26="技術備援",_xlfn.XLOOKUP($H26,'李醫師治療模式'!$A$7:$A$19,'李醫師治療模式'!$F$7:$F$19,"",0)="高複雜度"),"高複雜度不可由技術備援",IF($E26="完整支援",IF(_xlfn.XLOOKUP("SUP|"&amp;$C26&amp;"|"&amp;$H26,'支援者資格核定'!$A$7:$A$188,'支援者資格核定'!$N$7:$N$188,"未建立",0)&lt;&gt;"完整支援者","需要完整支援者",IF($F26&gt;_xlfn.XLOOKUP("SUP|"&amp;$C26&amp;"|"&amp;$H26,'支援者資格核定'!$A$7:$A$188,'支援者資格核定'!$O$7:$O$188,0,0),"支援名額超過核定上限","支援資格通過")),IF(OR(_xlfn.XLOOKUP("SUP|"&amp;$C26&amp;"|"&amp;$H26,'支援者資格核定'!$A$7:$A$188,'支援者資格核定'!$N$7:$N$188,"未建立",0)="完整支援者",_xlfn.XLOOKUP("SUP|"&amp;$C26&amp;"|"&amp;$H26,'支援者資格核定'!$A$7:$A$188,'支援者資格核定'!$N$7:$N$188,"未建立",0)="技術備援者"),IF($F26&gt;_xlfn.XLOOKUP("SUP|"&amp;$C26&amp;"|"&amp;$H26,'支援者資格核定'!$A$7:$A$188,'支援者資格核定'!$O$7:$O$188,0,0),"支援名額超過核定上限","支援資格通過"),"支援資格未核定"))),"角色未定義")))))</x:f>
      </x:c>
      <x:c r="L26" s="84" t="n">
        <x:f>IF($E26&lt;&gt;"主跟診",0,IF($I26="初步可條件排",IF(_xlfn.XLOOKUP($H26,'排班模式清單'!$A$7:$A$169,'排班模式清單'!$E$7:$E$169,"",0)="高複雜度",2,1),0)+IFNA(_xlfn.XLOOKUP($B26,'班次需求輸入'!$A$7:$A$36,'班次需求輸入'!$I$7:$I$36,0,0),0))</x:f>
        <x:v>0</x:v>
      </x:c>
      <x:c r="M26" s="85" t="str">
        <x:f>IF($B26="","",_xlfn.XLOOKUP($B26,'班次需求輸入'!$A$7:$A$36,'班次需求輸入'!$B$7:$B$36,"",0))</x:f>
      </x:c>
      <x:c r="N26" s="86" t="str">
        <x:f>IF($B26="","",_xlfn.XLOOKUP($B26,'班次需求輸入'!$A$7:$A$36,'班次需求輸入'!$C$7:$C$36,"",0))</x:f>
      </x:c>
      <x:c r="O26" s="86" t="str">
        <x:f>IF($B26="","",_xlfn.XLOOKUP($B26,'班次需求輸入'!$A$7:$A$36,'班次需求輸入'!$D$7:$D$36,"",0))</x:f>
      </x:c>
      <x:c r="P26" s="84" t="n">
        <x:f>IF(OR($C26="",$M26="",$N26="",$O26=""),0,COUNTIFS($C$7:$C$66,$C26,$M$7:$M$66,$M26,$N$7:$N$66,"&lt;"&amp;$O26,$O$7:$O$66,"&gt;"&amp;$N26)-1)</x:f>
        <x:v>0</x:v>
      </x:c>
      <x:c r="Q26" s="84" t="str">
        <x:f>IF($B26="","",IF($P26&gt;0,"時段衝突",IF($E26="主跟診",IF(LEFT($K26,1)="待","候選，待完成資格","已檢核"),IF(OR($E26="完整支援",$E26="技術備援",$E26="流動",$E26="第二櫃台"),IF($K26="支援資格通過","已檢核",$K26),$K26))))</x:f>
      </x:c>
      <x:c r="R26" s="81"/>
    </x:row>
    <x:row r="27">
      <x:c r="A27" s="81"/>
      <x:c r="B27" s="81"/>
      <x:c r="C27" s="81"/>
      <x:c r="D27" s="84" t="str">
        <x:f>IF($C27="","",_xlfn.XLOOKUP($C27,'試行員工主檔'!$A$7:$A$20,'試行員工主檔'!$B$7:$B$20,"員工未建立",0))</x:f>
      </x:c>
      <x:c r="E27" s="84"/>
      <x:c r="F27" s="84"/>
      <x:c r="G27" s="84"/>
      <x:c r="H27" s="84" t="str">
        <x:f>IF($B27="","",_xlfn.XLOOKUP($B27,'班次需求輸入'!$A$7:$A$36,'班次需求輸入'!$F$7:$F$36,"需求未建立",0))</x:f>
      </x:c>
      <x:c r="I27" s="84" t="str">
        <x:f>IF(OR($C27="",$H27=""),"",_xlfn.XLOOKUP($C27&amp;"|"&amp;$H27,'排班適配試算'!$V$7:$V$188,'排班適配試算'!$S$7:$S$188,"未建立",0))</x:f>
      </x:c>
      <x:c r="J27" s="84" t="str">
        <x:f>IF(OR($C27="",$H27=""),"",_xlfn.XLOOKUP($C27&amp;"|"&amp;$H27,'排班適配試算'!$V$7:$V$188,'排班適配試算'!$U$7:$U$188,"未建立",0))</x:f>
      </x:c>
      <x:c r="K27" s="84" t="str">
        <x:f>IF($E27="","",IF($E27="主跟診",$J27,IF($E27="短時支援",_xlfn.XLOOKUP($C27,'RPD支援者候選'!$A$7:$A$20,'RPD支援者候選'!$H$7:$H$20,"未建立",0),IF($E27="學習觀摩","學習觀摩，不計正式人力",IF(OR($E27="完整支援",$E27="技術備援",$E27="流動",$E27="第二櫃台"),IF(AND($E27="技術備援",_xlfn.XLOOKUP($H27,'李醫師治療模式'!$A$7:$A$19,'李醫師治療模式'!$F$7:$F$19,"",0)="高複雜度"),"高複雜度不可由技術備援",IF($E27="完整支援",IF(_xlfn.XLOOKUP("SUP|"&amp;$C27&amp;"|"&amp;$H27,'支援者資格核定'!$A$7:$A$188,'支援者資格核定'!$N$7:$N$188,"未建立",0)&lt;&gt;"完整支援者","需要完整支援者",IF($F27&gt;_xlfn.XLOOKUP("SUP|"&amp;$C27&amp;"|"&amp;$H27,'支援者資格核定'!$A$7:$A$188,'支援者資格核定'!$O$7:$O$188,0,0),"支援名額超過核定上限","支援資格通過")),IF(OR(_xlfn.XLOOKUP("SUP|"&amp;$C27&amp;"|"&amp;$H27,'支援者資格核定'!$A$7:$A$188,'支援者資格核定'!$N$7:$N$188,"未建立",0)="完整支援者",_xlfn.XLOOKUP("SUP|"&amp;$C27&amp;"|"&amp;$H27,'支援者資格核定'!$A$7:$A$188,'支援者資格核定'!$N$7:$N$188,"未建立",0)="技術備援者"),IF($F27&gt;_xlfn.XLOOKUP("SUP|"&amp;$C27&amp;"|"&amp;$H27,'支援者資格核定'!$A$7:$A$188,'支援者資格核定'!$O$7:$O$188,0,0),"支援名額超過核定上限","支援資格通過"),"支援資格未核定"))),"角色未定義")))))</x:f>
      </x:c>
      <x:c r="L27" s="84" t="n">
        <x:f>IF($E27&lt;&gt;"主跟診",0,IF($I27="初步可條件排",IF(_xlfn.XLOOKUP($H27,'排班模式清單'!$A$7:$A$169,'排班模式清單'!$E$7:$E$169,"",0)="高複雜度",2,1),0)+IFNA(_xlfn.XLOOKUP($B27,'班次需求輸入'!$A$7:$A$36,'班次需求輸入'!$I$7:$I$36,0,0),0))</x:f>
        <x:v>0</x:v>
      </x:c>
      <x:c r="M27" s="85" t="str">
        <x:f>IF($B27="","",_xlfn.XLOOKUP($B27,'班次需求輸入'!$A$7:$A$36,'班次需求輸入'!$B$7:$B$36,"",0))</x:f>
      </x:c>
      <x:c r="N27" s="86" t="str">
        <x:f>IF($B27="","",_xlfn.XLOOKUP($B27,'班次需求輸入'!$A$7:$A$36,'班次需求輸入'!$C$7:$C$36,"",0))</x:f>
      </x:c>
      <x:c r="O27" s="86" t="str">
        <x:f>IF($B27="","",_xlfn.XLOOKUP($B27,'班次需求輸入'!$A$7:$A$36,'班次需求輸入'!$D$7:$D$36,"",0))</x:f>
      </x:c>
      <x:c r="P27" s="84" t="n">
        <x:f>IF(OR($C27="",$M27="",$N27="",$O27=""),0,COUNTIFS($C$7:$C$66,$C27,$M$7:$M$66,$M27,$N$7:$N$66,"&lt;"&amp;$O27,$O$7:$O$66,"&gt;"&amp;$N27)-1)</x:f>
        <x:v>0</x:v>
      </x:c>
      <x:c r="Q27" s="84" t="str">
        <x:f>IF($B27="","",IF($P27&gt;0,"時段衝突",IF($E27="主跟診",IF(LEFT($K27,1)="待","候選，待完成資格","已檢核"),IF(OR($E27="完整支援",$E27="技術備援",$E27="流動",$E27="第二櫃台"),IF($K27="支援資格通過","已檢核",$K27),$K27))))</x:f>
      </x:c>
      <x:c r="R27" s="81"/>
    </x:row>
    <x:row r="28">
      <x:c r="A28" s="81"/>
      <x:c r="B28" s="81"/>
      <x:c r="C28" s="81"/>
      <x:c r="D28" s="84" t="str">
        <x:f>IF($C28="","",_xlfn.XLOOKUP($C28,'試行員工主檔'!$A$7:$A$20,'試行員工主檔'!$B$7:$B$20,"員工未建立",0))</x:f>
      </x:c>
      <x:c r="E28" s="84"/>
      <x:c r="F28" s="84"/>
      <x:c r="G28" s="84"/>
      <x:c r="H28" s="84" t="str">
        <x:f>IF($B28="","",_xlfn.XLOOKUP($B28,'班次需求輸入'!$A$7:$A$36,'班次需求輸入'!$F$7:$F$36,"需求未建立",0))</x:f>
      </x:c>
      <x:c r="I28" s="84" t="str">
        <x:f>IF(OR($C28="",$H28=""),"",_xlfn.XLOOKUP($C28&amp;"|"&amp;$H28,'排班適配試算'!$V$7:$V$188,'排班適配試算'!$S$7:$S$188,"未建立",0))</x:f>
      </x:c>
      <x:c r="J28" s="84" t="str">
        <x:f>IF(OR($C28="",$H28=""),"",_xlfn.XLOOKUP($C28&amp;"|"&amp;$H28,'排班適配試算'!$V$7:$V$188,'排班適配試算'!$U$7:$U$188,"未建立",0))</x:f>
      </x:c>
      <x:c r="K28" s="84" t="str">
        <x:f>IF($E28="","",IF($E28="主跟診",$J28,IF($E28="短時支援",_xlfn.XLOOKUP($C28,'RPD支援者候選'!$A$7:$A$20,'RPD支援者候選'!$H$7:$H$20,"未建立",0),IF($E28="學習觀摩","學習觀摩，不計正式人力",IF(OR($E28="完整支援",$E28="技術備援",$E28="流動",$E28="第二櫃台"),IF(AND($E28="技術備援",_xlfn.XLOOKUP($H28,'李醫師治療模式'!$A$7:$A$19,'李醫師治療模式'!$F$7:$F$19,"",0)="高複雜度"),"高複雜度不可由技術備援",IF($E28="完整支援",IF(_xlfn.XLOOKUP("SUP|"&amp;$C28&amp;"|"&amp;$H28,'支援者資格核定'!$A$7:$A$188,'支援者資格核定'!$N$7:$N$188,"未建立",0)&lt;&gt;"完整支援者","需要完整支援者",IF($F28&gt;_xlfn.XLOOKUP("SUP|"&amp;$C28&amp;"|"&amp;$H28,'支援者資格核定'!$A$7:$A$188,'支援者資格核定'!$O$7:$O$188,0,0),"支援名額超過核定上限","支援資格通過")),IF(OR(_xlfn.XLOOKUP("SUP|"&amp;$C28&amp;"|"&amp;$H28,'支援者資格核定'!$A$7:$A$188,'支援者資格核定'!$N$7:$N$188,"未建立",0)="完整支援者",_xlfn.XLOOKUP("SUP|"&amp;$C28&amp;"|"&amp;$H28,'支援者資格核定'!$A$7:$A$188,'支援者資格核定'!$N$7:$N$188,"未建立",0)="技術備援者"),IF($F28&gt;_xlfn.XLOOKUP("SUP|"&amp;$C28&amp;"|"&amp;$H28,'支援者資格核定'!$A$7:$A$188,'支援者資格核定'!$O$7:$O$188,0,0),"支援名額超過核定上限","支援資格通過"),"支援資格未核定"))),"角色未定義")))))</x:f>
      </x:c>
      <x:c r="L28" s="84" t="n">
        <x:f>IF($E28&lt;&gt;"主跟診",0,IF($I28="初步可條件排",IF(_xlfn.XLOOKUP($H28,'排班模式清單'!$A$7:$A$169,'排班模式清單'!$E$7:$E$169,"",0)="高複雜度",2,1),0)+IFNA(_xlfn.XLOOKUP($B28,'班次需求輸入'!$A$7:$A$36,'班次需求輸入'!$I$7:$I$36,0,0),0))</x:f>
        <x:v>0</x:v>
      </x:c>
      <x:c r="M28" s="85" t="str">
        <x:f>IF($B28="","",_xlfn.XLOOKUP($B28,'班次需求輸入'!$A$7:$A$36,'班次需求輸入'!$B$7:$B$36,"",0))</x:f>
      </x:c>
      <x:c r="N28" s="86" t="str">
        <x:f>IF($B28="","",_xlfn.XLOOKUP($B28,'班次需求輸入'!$A$7:$A$36,'班次需求輸入'!$C$7:$C$36,"",0))</x:f>
      </x:c>
      <x:c r="O28" s="86" t="str">
        <x:f>IF($B28="","",_xlfn.XLOOKUP($B28,'班次需求輸入'!$A$7:$A$36,'班次需求輸入'!$D$7:$D$36,"",0))</x:f>
      </x:c>
      <x:c r="P28" s="84" t="n">
        <x:f>IF(OR($C28="",$M28="",$N28="",$O28=""),0,COUNTIFS($C$7:$C$66,$C28,$M$7:$M$66,$M28,$N$7:$N$66,"&lt;"&amp;$O28,$O$7:$O$66,"&gt;"&amp;$N28)-1)</x:f>
        <x:v>0</x:v>
      </x:c>
      <x:c r="Q28" s="84" t="str">
        <x:f>IF($B28="","",IF($P28&gt;0,"時段衝突",IF($E28="主跟診",IF(LEFT($K28,1)="待","候選，待完成資格","已檢核"),IF(OR($E28="完整支援",$E28="技術備援",$E28="流動",$E28="第二櫃台"),IF($K28="支援資格通過","已檢核",$K28),$K28))))</x:f>
      </x:c>
      <x:c r="R28" s="81"/>
    </x:row>
    <x:row r="29">
      <x:c r="A29" s="81"/>
      <x:c r="B29" s="81"/>
      <x:c r="C29" s="81"/>
      <x:c r="D29" s="84" t="str">
        <x:f>IF($C29="","",_xlfn.XLOOKUP($C29,'試行員工主檔'!$A$7:$A$20,'試行員工主檔'!$B$7:$B$20,"員工未建立",0))</x:f>
      </x:c>
      <x:c r="E29" s="84"/>
      <x:c r="F29" s="84"/>
      <x:c r="G29" s="84"/>
      <x:c r="H29" s="84" t="str">
        <x:f>IF($B29="","",_xlfn.XLOOKUP($B29,'班次需求輸入'!$A$7:$A$36,'班次需求輸入'!$F$7:$F$36,"需求未建立",0))</x:f>
      </x:c>
      <x:c r="I29" s="84" t="str">
        <x:f>IF(OR($C29="",$H29=""),"",_xlfn.XLOOKUP($C29&amp;"|"&amp;$H29,'排班適配試算'!$V$7:$V$188,'排班適配試算'!$S$7:$S$188,"未建立",0))</x:f>
      </x:c>
      <x:c r="J29" s="84" t="str">
        <x:f>IF(OR($C29="",$H29=""),"",_xlfn.XLOOKUP($C29&amp;"|"&amp;$H29,'排班適配試算'!$V$7:$V$188,'排班適配試算'!$U$7:$U$188,"未建立",0))</x:f>
      </x:c>
      <x:c r="K29" s="84" t="str">
        <x:f>IF($E29="","",IF($E29="主跟診",$J29,IF($E29="短時支援",_xlfn.XLOOKUP($C29,'RPD支援者候選'!$A$7:$A$20,'RPD支援者候選'!$H$7:$H$20,"未建立",0),IF($E29="學習觀摩","學習觀摩，不計正式人力",IF(OR($E29="完整支援",$E29="技術備援",$E29="流動",$E29="第二櫃台"),IF(AND($E29="技術備援",_xlfn.XLOOKUP($H29,'李醫師治療模式'!$A$7:$A$19,'李醫師治療模式'!$F$7:$F$19,"",0)="高複雜度"),"高複雜度不可由技術備援",IF($E29="完整支援",IF(_xlfn.XLOOKUP("SUP|"&amp;$C29&amp;"|"&amp;$H29,'支援者資格核定'!$A$7:$A$188,'支援者資格核定'!$N$7:$N$188,"未建立",0)&lt;&gt;"完整支援者","需要完整支援者",IF($F29&gt;_xlfn.XLOOKUP("SUP|"&amp;$C29&amp;"|"&amp;$H29,'支援者資格核定'!$A$7:$A$188,'支援者資格核定'!$O$7:$O$188,0,0),"支援名額超過核定上限","支援資格通過")),IF(OR(_xlfn.XLOOKUP("SUP|"&amp;$C29&amp;"|"&amp;$H29,'支援者資格核定'!$A$7:$A$188,'支援者資格核定'!$N$7:$N$188,"未建立",0)="完整支援者",_xlfn.XLOOKUP("SUP|"&amp;$C29&amp;"|"&amp;$H29,'支援者資格核定'!$A$7:$A$188,'支援者資格核定'!$N$7:$N$188,"未建立",0)="技術備援者"),IF($F29&gt;_xlfn.XLOOKUP("SUP|"&amp;$C29&amp;"|"&amp;$H29,'支援者資格核定'!$A$7:$A$188,'支援者資格核定'!$O$7:$O$188,0,0),"支援名額超過核定上限","支援資格通過"),"支援資格未核定"))),"角色未定義")))))</x:f>
      </x:c>
      <x:c r="L29" s="84" t="n">
        <x:f>IF($E29&lt;&gt;"主跟診",0,IF($I29="初步可條件排",IF(_xlfn.XLOOKUP($H29,'排班模式清單'!$A$7:$A$169,'排班模式清單'!$E$7:$E$169,"",0)="高複雜度",2,1),0)+IFNA(_xlfn.XLOOKUP($B29,'班次需求輸入'!$A$7:$A$36,'班次需求輸入'!$I$7:$I$36,0,0),0))</x:f>
        <x:v>0</x:v>
      </x:c>
      <x:c r="M29" s="85" t="str">
        <x:f>IF($B29="","",_xlfn.XLOOKUP($B29,'班次需求輸入'!$A$7:$A$36,'班次需求輸入'!$B$7:$B$36,"",0))</x:f>
      </x:c>
      <x:c r="N29" s="86" t="str">
        <x:f>IF($B29="","",_xlfn.XLOOKUP($B29,'班次需求輸入'!$A$7:$A$36,'班次需求輸入'!$C$7:$C$36,"",0))</x:f>
      </x:c>
      <x:c r="O29" s="86" t="str">
        <x:f>IF($B29="","",_xlfn.XLOOKUP($B29,'班次需求輸入'!$A$7:$A$36,'班次需求輸入'!$D$7:$D$36,"",0))</x:f>
      </x:c>
      <x:c r="P29" s="84" t="n">
        <x:f>IF(OR($C29="",$M29="",$N29="",$O29=""),0,COUNTIFS($C$7:$C$66,$C29,$M$7:$M$66,$M29,$N$7:$N$66,"&lt;"&amp;$O29,$O$7:$O$66,"&gt;"&amp;$N29)-1)</x:f>
        <x:v>0</x:v>
      </x:c>
      <x:c r="Q29" s="84" t="str">
        <x:f>IF($B29="","",IF($P29&gt;0,"時段衝突",IF($E29="主跟診",IF(LEFT($K29,1)="待","候選，待完成資格","已檢核"),IF(OR($E29="完整支援",$E29="技術備援",$E29="流動",$E29="第二櫃台"),IF($K29="支援資格通過","已檢核",$K29),$K29))))</x:f>
      </x:c>
      <x:c r="R29" s="81"/>
    </x:row>
    <x:row r="30">
      <x:c r="A30" s="81"/>
      <x:c r="B30" s="81"/>
      <x:c r="C30" s="81"/>
      <x:c r="D30" s="84" t="str">
        <x:f>IF($C30="","",_xlfn.XLOOKUP($C30,'試行員工主檔'!$A$7:$A$20,'試行員工主檔'!$B$7:$B$20,"員工未建立",0))</x:f>
      </x:c>
      <x:c r="E30" s="84"/>
      <x:c r="F30" s="84"/>
      <x:c r="G30" s="84"/>
      <x:c r="H30" s="84" t="str">
        <x:f>IF($B30="","",_xlfn.XLOOKUP($B30,'班次需求輸入'!$A$7:$A$36,'班次需求輸入'!$F$7:$F$36,"需求未建立",0))</x:f>
      </x:c>
      <x:c r="I30" s="84" t="str">
        <x:f>IF(OR($C30="",$H30=""),"",_xlfn.XLOOKUP($C30&amp;"|"&amp;$H30,'排班適配試算'!$V$7:$V$188,'排班適配試算'!$S$7:$S$188,"未建立",0))</x:f>
      </x:c>
      <x:c r="J30" s="84" t="str">
        <x:f>IF(OR($C30="",$H30=""),"",_xlfn.XLOOKUP($C30&amp;"|"&amp;$H30,'排班適配試算'!$V$7:$V$188,'排班適配試算'!$U$7:$U$188,"未建立",0))</x:f>
      </x:c>
      <x:c r="K30" s="84" t="str">
        <x:f>IF($E30="","",IF($E30="主跟診",$J30,IF($E30="短時支援",_xlfn.XLOOKUP($C30,'RPD支援者候選'!$A$7:$A$20,'RPD支援者候選'!$H$7:$H$20,"未建立",0),IF($E30="學習觀摩","學習觀摩，不計正式人力",IF(OR($E30="完整支援",$E30="技術備援",$E30="流動",$E30="第二櫃台"),IF(AND($E30="技術備援",_xlfn.XLOOKUP($H30,'李醫師治療模式'!$A$7:$A$19,'李醫師治療模式'!$F$7:$F$19,"",0)="高複雜度"),"高複雜度不可由技術備援",IF($E30="完整支援",IF(_xlfn.XLOOKUP("SUP|"&amp;$C30&amp;"|"&amp;$H30,'支援者資格核定'!$A$7:$A$188,'支援者資格核定'!$N$7:$N$188,"未建立",0)&lt;&gt;"完整支援者","需要完整支援者",IF($F30&gt;_xlfn.XLOOKUP("SUP|"&amp;$C30&amp;"|"&amp;$H30,'支援者資格核定'!$A$7:$A$188,'支援者資格核定'!$O$7:$O$188,0,0),"支援名額超過核定上限","支援資格通過")),IF(OR(_xlfn.XLOOKUP("SUP|"&amp;$C30&amp;"|"&amp;$H30,'支援者資格核定'!$A$7:$A$188,'支援者資格核定'!$N$7:$N$188,"未建立",0)="完整支援者",_xlfn.XLOOKUP("SUP|"&amp;$C30&amp;"|"&amp;$H30,'支援者資格核定'!$A$7:$A$188,'支援者資格核定'!$N$7:$N$188,"未建立",0)="技術備援者"),IF($F30&gt;_xlfn.XLOOKUP("SUP|"&amp;$C30&amp;"|"&amp;$H30,'支援者資格核定'!$A$7:$A$188,'支援者資格核定'!$O$7:$O$188,0,0),"支援名額超過核定上限","支援資格通過"),"支援資格未核定"))),"角色未定義")))))</x:f>
      </x:c>
      <x:c r="L30" s="84" t="n">
        <x:f>IF($E30&lt;&gt;"主跟診",0,IF($I30="初步可條件排",IF(_xlfn.XLOOKUP($H30,'排班模式清單'!$A$7:$A$169,'排班模式清單'!$E$7:$E$169,"",0)="高複雜度",2,1),0)+IFNA(_xlfn.XLOOKUP($B30,'班次需求輸入'!$A$7:$A$36,'班次需求輸入'!$I$7:$I$36,0,0),0))</x:f>
        <x:v>0</x:v>
      </x:c>
      <x:c r="M30" s="85" t="str">
        <x:f>IF($B30="","",_xlfn.XLOOKUP($B30,'班次需求輸入'!$A$7:$A$36,'班次需求輸入'!$B$7:$B$36,"",0))</x:f>
      </x:c>
      <x:c r="N30" s="86" t="str">
        <x:f>IF($B30="","",_xlfn.XLOOKUP($B30,'班次需求輸入'!$A$7:$A$36,'班次需求輸入'!$C$7:$C$36,"",0))</x:f>
      </x:c>
      <x:c r="O30" s="86" t="str">
        <x:f>IF($B30="","",_xlfn.XLOOKUP($B30,'班次需求輸入'!$A$7:$A$36,'班次需求輸入'!$D$7:$D$36,"",0))</x:f>
      </x:c>
      <x:c r="P30" s="84" t="n">
        <x:f>IF(OR($C30="",$M30="",$N30="",$O30=""),0,COUNTIFS($C$7:$C$66,$C30,$M$7:$M$66,$M30,$N$7:$N$66,"&lt;"&amp;$O30,$O$7:$O$66,"&gt;"&amp;$N30)-1)</x:f>
        <x:v>0</x:v>
      </x:c>
      <x:c r="Q30" s="84" t="str">
        <x:f>IF($B30="","",IF($P30&gt;0,"時段衝突",IF($E30="主跟診",IF(LEFT($K30,1)="待","候選，待完成資格","已檢核"),IF(OR($E30="完整支援",$E30="技術備援",$E30="流動",$E30="第二櫃台"),IF($K30="支援資格通過","已檢核",$K30),$K30))))</x:f>
      </x:c>
      <x:c r="R30" s="81"/>
    </x:row>
    <x:row r="31">
      <x:c r="A31" s="81"/>
      <x:c r="B31" s="81"/>
      <x:c r="C31" s="81"/>
      <x:c r="D31" s="84" t="str">
        <x:f>IF($C31="","",_xlfn.XLOOKUP($C31,'試行員工主檔'!$A$7:$A$20,'試行員工主檔'!$B$7:$B$20,"員工未建立",0))</x:f>
      </x:c>
      <x:c r="E31" s="84"/>
      <x:c r="F31" s="84"/>
      <x:c r="G31" s="84"/>
      <x:c r="H31" s="84" t="str">
        <x:f>IF($B31="","",_xlfn.XLOOKUP($B31,'班次需求輸入'!$A$7:$A$36,'班次需求輸入'!$F$7:$F$36,"需求未建立",0))</x:f>
      </x:c>
      <x:c r="I31" s="84" t="str">
        <x:f>IF(OR($C31="",$H31=""),"",_xlfn.XLOOKUP($C31&amp;"|"&amp;$H31,'排班適配試算'!$V$7:$V$188,'排班適配試算'!$S$7:$S$188,"未建立",0))</x:f>
      </x:c>
      <x:c r="J31" s="84" t="str">
        <x:f>IF(OR($C31="",$H31=""),"",_xlfn.XLOOKUP($C31&amp;"|"&amp;$H31,'排班適配試算'!$V$7:$V$188,'排班適配試算'!$U$7:$U$188,"未建立",0))</x:f>
      </x:c>
      <x:c r="K31" s="84" t="str">
        <x:f>IF($E31="","",IF($E31="主跟診",$J31,IF($E31="短時支援",_xlfn.XLOOKUP($C31,'RPD支援者候選'!$A$7:$A$20,'RPD支援者候選'!$H$7:$H$20,"未建立",0),IF($E31="學習觀摩","學習觀摩，不計正式人力",IF(OR($E31="完整支援",$E31="技術備援",$E31="流動",$E31="第二櫃台"),IF(AND($E31="技術備援",_xlfn.XLOOKUP($H31,'李醫師治療模式'!$A$7:$A$19,'李醫師治療模式'!$F$7:$F$19,"",0)="高複雜度"),"高複雜度不可由技術備援",IF($E31="完整支援",IF(_xlfn.XLOOKUP("SUP|"&amp;$C31&amp;"|"&amp;$H31,'支援者資格核定'!$A$7:$A$188,'支援者資格核定'!$N$7:$N$188,"未建立",0)&lt;&gt;"完整支援者","需要完整支援者",IF($F31&gt;_xlfn.XLOOKUP("SUP|"&amp;$C31&amp;"|"&amp;$H31,'支援者資格核定'!$A$7:$A$188,'支援者資格核定'!$O$7:$O$188,0,0),"支援名額超過核定上限","支援資格通過")),IF(OR(_xlfn.XLOOKUP("SUP|"&amp;$C31&amp;"|"&amp;$H31,'支援者資格核定'!$A$7:$A$188,'支援者資格核定'!$N$7:$N$188,"未建立",0)="完整支援者",_xlfn.XLOOKUP("SUP|"&amp;$C31&amp;"|"&amp;$H31,'支援者資格核定'!$A$7:$A$188,'支援者資格核定'!$N$7:$N$188,"未建立",0)="技術備援者"),IF($F31&gt;_xlfn.XLOOKUP("SUP|"&amp;$C31&amp;"|"&amp;$H31,'支援者資格核定'!$A$7:$A$188,'支援者資格核定'!$O$7:$O$188,0,0),"支援名額超過核定上限","支援資格通過"),"支援資格未核定"))),"角色未定義")))))</x:f>
      </x:c>
      <x:c r="L31" s="84" t="n">
        <x:f>IF($E31&lt;&gt;"主跟診",0,IF($I31="初步可條件排",IF(_xlfn.XLOOKUP($H31,'排班模式清單'!$A$7:$A$169,'排班模式清單'!$E$7:$E$169,"",0)="高複雜度",2,1),0)+IFNA(_xlfn.XLOOKUP($B31,'班次需求輸入'!$A$7:$A$36,'班次需求輸入'!$I$7:$I$36,0,0),0))</x:f>
        <x:v>0</x:v>
      </x:c>
      <x:c r="M31" s="85" t="str">
        <x:f>IF($B31="","",_xlfn.XLOOKUP($B31,'班次需求輸入'!$A$7:$A$36,'班次需求輸入'!$B$7:$B$36,"",0))</x:f>
      </x:c>
      <x:c r="N31" s="86" t="str">
        <x:f>IF($B31="","",_xlfn.XLOOKUP($B31,'班次需求輸入'!$A$7:$A$36,'班次需求輸入'!$C$7:$C$36,"",0))</x:f>
      </x:c>
      <x:c r="O31" s="86" t="str">
        <x:f>IF($B31="","",_xlfn.XLOOKUP($B31,'班次需求輸入'!$A$7:$A$36,'班次需求輸入'!$D$7:$D$36,"",0))</x:f>
      </x:c>
      <x:c r="P31" s="84" t="n">
        <x:f>IF(OR($C31="",$M31="",$N31="",$O31=""),0,COUNTIFS($C$7:$C$66,$C31,$M$7:$M$66,$M31,$N$7:$N$66,"&lt;"&amp;$O31,$O$7:$O$66,"&gt;"&amp;$N31)-1)</x:f>
        <x:v>0</x:v>
      </x:c>
      <x:c r="Q31" s="84" t="str">
        <x:f>IF($B31="","",IF($P31&gt;0,"時段衝突",IF($E31="主跟診",IF(LEFT($K31,1)="待","候選，待完成資格","已檢核"),IF(OR($E31="完整支援",$E31="技術備援",$E31="流動",$E31="第二櫃台"),IF($K31="支援資格通過","已檢核",$K31),$K31))))</x:f>
      </x:c>
      <x:c r="R31" s="81"/>
    </x:row>
    <x:row r="32">
      <x:c r="A32" s="81"/>
      <x:c r="B32" s="81"/>
      <x:c r="C32" s="81"/>
      <x:c r="D32" s="84" t="str">
        <x:f>IF($C32="","",_xlfn.XLOOKUP($C32,'試行員工主檔'!$A$7:$A$20,'試行員工主檔'!$B$7:$B$20,"員工未建立",0))</x:f>
      </x:c>
      <x:c r="E32" s="84"/>
      <x:c r="F32" s="84"/>
      <x:c r="G32" s="84"/>
      <x:c r="H32" s="84" t="str">
        <x:f>IF($B32="","",_xlfn.XLOOKUP($B32,'班次需求輸入'!$A$7:$A$36,'班次需求輸入'!$F$7:$F$36,"需求未建立",0))</x:f>
      </x:c>
      <x:c r="I32" s="84" t="str">
        <x:f>IF(OR($C32="",$H32=""),"",_xlfn.XLOOKUP($C32&amp;"|"&amp;$H32,'排班適配試算'!$V$7:$V$188,'排班適配試算'!$S$7:$S$188,"未建立",0))</x:f>
      </x:c>
      <x:c r="J32" s="84" t="str">
        <x:f>IF(OR($C32="",$H32=""),"",_xlfn.XLOOKUP($C32&amp;"|"&amp;$H32,'排班適配試算'!$V$7:$V$188,'排班適配試算'!$U$7:$U$188,"未建立",0))</x:f>
      </x:c>
      <x:c r="K32" s="84" t="str">
        <x:f>IF($E32="","",IF($E32="主跟診",$J32,IF($E32="短時支援",_xlfn.XLOOKUP($C32,'RPD支援者候選'!$A$7:$A$20,'RPD支援者候選'!$H$7:$H$20,"未建立",0),IF($E32="學習觀摩","學習觀摩，不計正式人力",IF(OR($E32="完整支援",$E32="技術備援",$E32="流動",$E32="第二櫃台"),IF(AND($E32="技術備援",_xlfn.XLOOKUP($H32,'李醫師治療模式'!$A$7:$A$19,'李醫師治療模式'!$F$7:$F$19,"",0)="高複雜度"),"高複雜度不可由技術備援",IF($E32="完整支援",IF(_xlfn.XLOOKUP("SUP|"&amp;$C32&amp;"|"&amp;$H32,'支援者資格核定'!$A$7:$A$188,'支援者資格核定'!$N$7:$N$188,"未建立",0)&lt;&gt;"完整支援者","需要完整支援者",IF($F32&gt;_xlfn.XLOOKUP("SUP|"&amp;$C32&amp;"|"&amp;$H32,'支援者資格核定'!$A$7:$A$188,'支援者資格核定'!$O$7:$O$188,0,0),"支援名額超過核定上限","支援資格通過")),IF(OR(_xlfn.XLOOKUP("SUP|"&amp;$C32&amp;"|"&amp;$H32,'支援者資格核定'!$A$7:$A$188,'支援者資格核定'!$N$7:$N$188,"未建立",0)="完整支援者",_xlfn.XLOOKUP("SUP|"&amp;$C32&amp;"|"&amp;$H32,'支援者資格核定'!$A$7:$A$188,'支援者資格核定'!$N$7:$N$188,"未建立",0)="技術備援者"),IF($F32&gt;_xlfn.XLOOKUP("SUP|"&amp;$C32&amp;"|"&amp;$H32,'支援者資格核定'!$A$7:$A$188,'支援者資格核定'!$O$7:$O$188,0,0),"支援名額超過核定上限","支援資格通過"),"支援資格未核定"))),"角色未定義")))))</x:f>
      </x:c>
      <x:c r="L32" s="84" t="n">
        <x:f>IF($E32&lt;&gt;"主跟診",0,IF($I32="初步可條件排",IF(_xlfn.XLOOKUP($H32,'排班模式清單'!$A$7:$A$169,'排班模式清單'!$E$7:$E$169,"",0)="高複雜度",2,1),0)+IFNA(_xlfn.XLOOKUP($B32,'班次需求輸入'!$A$7:$A$36,'班次需求輸入'!$I$7:$I$36,0,0),0))</x:f>
        <x:v>0</x:v>
      </x:c>
      <x:c r="M32" s="85" t="str">
        <x:f>IF($B32="","",_xlfn.XLOOKUP($B32,'班次需求輸入'!$A$7:$A$36,'班次需求輸入'!$B$7:$B$36,"",0))</x:f>
      </x:c>
      <x:c r="N32" s="86" t="str">
        <x:f>IF($B32="","",_xlfn.XLOOKUP($B32,'班次需求輸入'!$A$7:$A$36,'班次需求輸入'!$C$7:$C$36,"",0))</x:f>
      </x:c>
      <x:c r="O32" s="86" t="str">
        <x:f>IF($B32="","",_xlfn.XLOOKUP($B32,'班次需求輸入'!$A$7:$A$36,'班次需求輸入'!$D$7:$D$36,"",0))</x:f>
      </x:c>
      <x:c r="P32" s="84" t="n">
        <x:f>IF(OR($C32="",$M32="",$N32="",$O32=""),0,COUNTIFS($C$7:$C$66,$C32,$M$7:$M$66,$M32,$N$7:$N$66,"&lt;"&amp;$O32,$O$7:$O$66,"&gt;"&amp;$N32)-1)</x:f>
        <x:v>0</x:v>
      </x:c>
      <x:c r="Q32" s="84" t="str">
        <x:f>IF($B32="","",IF($P32&gt;0,"時段衝突",IF($E32="主跟診",IF(LEFT($K32,1)="待","候選，待完成資格","已檢核"),IF(OR($E32="完整支援",$E32="技術備援",$E32="流動",$E32="第二櫃台"),IF($K32="支援資格通過","已檢核",$K32),$K32))))</x:f>
      </x:c>
      <x:c r="R32" s="81"/>
    </x:row>
    <x:row r="33">
      <x:c r="A33" s="81"/>
      <x:c r="B33" s="81"/>
      <x:c r="C33" s="81"/>
      <x:c r="D33" s="84" t="str">
        <x:f>IF($C33="","",_xlfn.XLOOKUP($C33,'試行員工主檔'!$A$7:$A$20,'試行員工主檔'!$B$7:$B$20,"員工未建立",0))</x:f>
      </x:c>
      <x:c r="E33" s="84"/>
      <x:c r="F33" s="84"/>
      <x:c r="G33" s="84"/>
      <x:c r="H33" s="84" t="str">
        <x:f>IF($B33="","",_xlfn.XLOOKUP($B33,'班次需求輸入'!$A$7:$A$36,'班次需求輸入'!$F$7:$F$36,"需求未建立",0))</x:f>
      </x:c>
      <x:c r="I33" s="84" t="str">
        <x:f>IF(OR($C33="",$H33=""),"",_xlfn.XLOOKUP($C33&amp;"|"&amp;$H33,'排班適配試算'!$V$7:$V$188,'排班適配試算'!$S$7:$S$188,"未建立",0))</x:f>
      </x:c>
      <x:c r="J33" s="84" t="str">
        <x:f>IF(OR($C33="",$H33=""),"",_xlfn.XLOOKUP($C33&amp;"|"&amp;$H33,'排班適配試算'!$V$7:$V$188,'排班適配試算'!$U$7:$U$188,"未建立",0))</x:f>
      </x:c>
      <x:c r="K33" s="84" t="str">
        <x:f>IF($E33="","",IF($E33="主跟診",$J33,IF($E33="短時支援",_xlfn.XLOOKUP($C33,'RPD支援者候選'!$A$7:$A$20,'RPD支援者候選'!$H$7:$H$20,"未建立",0),IF($E33="學習觀摩","學習觀摩，不計正式人力",IF(OR($E33="完整支援",$E33="技術備援",$E33="流動",$E33="第二櫃台"),IF(AND($E33="技術備援",_xlfn.XLOOKUP($H33,'李醫師治療模式'!$A$7:$A$19,'李醫師治療模式'!$F$7:$F$19,"",0)="高複雜度"),"高複雜度不可由技術備援",IF($E33="完整支援",IF(_xlfn.XLOOKUP("SUP|"&amp;$C33&amp;"|"&amp;$H33,'支援者資格核定'!$A$7:$A$188,'支援者資格核定'!$N$7:$N$188,"未建立",0)&lt;&gt;"完整支援者","需要完整支援者",IF($F33&gt;_xlfn.XLOOKUP("SUP|"&amp;$C33&amp;"|"&amp;$H33,'支援者資格核定'!$A$7:$A$188,'支援者資格核定'!$O$7:$O$188,0,0),"支援名額超過核定上限","支援資格通過")),IF(OR(_xlfn.XLOOKUP("SUP|"&amp;$C33&amp;"|"&amp;$H33,'支援者資格核定'!$A$7:$A$188,'支援者資格核定'!$N$7:$N$188,"未建立",0)="完整支援者",_xlfn.XLOOKUP("SUP|"&amp;$C33&amp;"|"&amp;$H33,'支援者資格核定'!$A$7:$A$188,'支援者資格核定'!$N$7:$N$188,"未建立",0)="技術備援者"),IF($F33&gt;_xlfn.XLOOKUP("SUP|"&amp;$C33&amp;"|"&amp;$H33,'支援者資格核定'!$A$7:$A$188,'支援者資格核定'!$O$7:$O$188,0,0),"支援名額超過核定上限","支援資格通過"),"支援資格未核定"))),"角色未定義")))))</x:f>
      </x:c>
      <x:c r="L33" s="84" t="n">
        <x:f>IF($E33&lt;&gt;"主跟診",0,IF($I33="初步可條件排",IF(_xlfn.XLOOKUP($H33,'排班模式清單'!$A$7:$A$169,'排班模式清單'!$E$7:$E$169,"",0)="高複雜度",2,1),0)+IFNA(_xlfn.XLOOKUP($B33,'班次需求輸入'!$A$7:$A$36,'班次需求輸入'!$I$7:$I$36,0,0),0))</x:f>
        <x:v>0</x:v>
      </x:c>
      <x:c r="M33" s="85" t="str">
        <x:f>IF($B33="","",_xlfn.XLOOKUP($B33,'班次需求輸入'!$A$7:$A$36,'班次需求輸入'!$B$7:$B$36,"",0))</x:f>
      </x:c>
      <x:c r="N33" s="86" t="str">
        <x:f>IF($B33="","",_xlfn.XLOOKUP($B33,'班次需求輸入'!$A$7:$A$36,'班次需求輸入'!$C$7:$C$36,"",0))</x:f>
      </x:c>
      <x:c r="O33" s="86" t="str">
        <x:f>IF($B33="","",_xlfn.XLOOKUP($B33,'班次需求輸入'!$A$7:$A$36,'班次需求輸入'!$D$7:$D$36,"",0))</x:f>
      </x:c>
      <x:c r="P33" s="84" t="n">
        <x:f>IF(OR($C33="",$M33="",$N33="",$O33=""),0,COUNTIFS($C$7:$C$66,$C33,$M$7:$M$66,$M33,$N$7:$N$66,"&lt;"&amp;$O33,$O$7:$O$66,"&gt;"&amp;$N33)-1)</x:f>
        <x:v>0</x:v>
      </x:c>
      <x:c r="Q33" s="84" t="str">
        <x:f>IF($B33="","",IF($P33&gt;0,"時段衝突",IF($E33="主跟診",IF(LEFT($K33,1)="待","候選，待完成資格","已檢核"),IF(OR($E33="完整支援",$E33="技術備援",$E33="流動",$E33="第二櫃台"),IF($K33="支援資格通過","已檢核",$K33),$K33))))</x:f>
      </x:c>
      <x:c r="R33" s="81"/>
    </x:row>
    <x:row r="34">
      <x:c r="A34" s="81"/>
      <x:c r="B34" s="81"/>
      <x:c r="C34" s="81"/>
      <x:c r="D34" s="84" t="str">
        <x:f>IF($C34="","",_xlfn.XLOOKUP($C34,'試行員工主檔'!$A$7:$A$20,'試行員工主檔'!$B$7:$B$20,"員工未建立",0))</x:f>
      </x:c>
      <x:c r="E34" s="84"/>
      <x:c r="F34" s="84"/>
      <x:c r="G34" s="84"/>
      <x:c r="H34" s="84" t="str">
        <x:f>IF($B34="","",_xlfn.XLOOKUP($B34,'班次需求輸入'!$A$7:$A$36,'班次需求輸入'!$F$7:$F$36,"需求未建立",0))</x:f>
      </x:c>
      <x:c r="I34" s="84" t="str">
        <x:f>IF(OR($C34="",$H34=""),"",_xlfn.XLOOKUP($C34&amp;"|"&amp;$H34,'排班適配試算'!$V$7:$V$188,'排班適配試算'!$S$7:$S$188,"未建立",0))</x:f>
      </x:c>
      <x:c r="J34" s="84" t="str">
        <x:f>IF(OR($C34="",$H34=""),"",_xlfn.XLOOKUP($C34&amp;"|"&amp;$H34,'排班適配試算'!$V$7:$V$188,'排班適配試算'!$U$7:$U$188,"未建立",0))</x:f>
      </x:c>
      <x:c r="K34" s="84" t="str">
        <x:f>IF($E34="","",IF($E34="主跟診",$J34,IF($E34="短時支援",_xlfn.XLOOKUP($C34,'RPD支援者候選'!$A$7:$A$20,'RPD支援者候選'!$H$7:$H$20,"未建立",0),IF($E34="學習觀摩","學習觀摩，不計正式人力",IF(OR($E34="完整支援",$E34="技術備援",$E34="流動",$E34="第二櫃台"),IF(AND($E34="技術備援",_xlfn.XLOOKUP($H34,'李醫師治療模式'!$A$7:$A$19,'李醫師治療模式'!$F$7:$F$19,"",0)="高複雜度"),"高複雜度不可由技術備援",IF($E34="完整支援",IF(_xlfn.XLOOKUP("SUP|"&amp;$C34&amp;"|"&amp;$H34,'支援者資格核定'!$A$7:$A$188,'支援者資格核定'!$N$7:$N$188,"未建立",0)&lt;&gt;"完整支援者","需要完整支援者",IF($F34&gt;_xlfn.XLOOKUP("SUP|"&amp;$C34&amp;"|"&amp;$H34,'支援者資格核定'!$A$7:$A$188,'支援者資格核定'!$O$7:$O$188,0,0),"支援名額超過核定上限","支援資格通過")),IF(OR(_xlfn.XLOOKUP("SUP|"&amp;$C34&amp;"|"&amp;$H34,'支援者資格核定'!$A$7:$A$188,'支援者資格核定'!$N$7:$N$188,"未建立",0)="完整支援者",_xlfn.XLOOKUP("SUP|"&amp;$C34&amp;"|"&amp;$H34,'支援者資格核定'!$A$7:$A$188,'支援者資格核定'!$N$7:$N$188,"未建立",0)="技術備援者"),IF($F34&gt;_xlfn.XLOOKUP("SUP|"&amp;$C34&amp;"|"&amp;$H34,'支援者資格核定'!$A$7:$A$188,'支援者資格核定'!$O$7:$O$188,0,0),"支援名額超過核定上限","支援資格通過"),"支援資格未核定"))),"角色未定義")))))</x:f>
      </x:c>
      <x:c r="L34" s="84" t="n">
        <x:f>IF($E34&lt;&gt;"主跟診",0,IF($I34="初步可條件排",IF(_xlfn.XLOOKUP($H34,'排班模式清單'!$A$7:$A$169,'排班模式清單'!$E$7:$E$169,"",0)="高複雜度",2,1),0)+IFNA(_xlfn.XLOOKUP($B34,'班次需求輸入'!$A$7:$A$36,'班次需求輸入'!$I$7:$I$36,0,0),0))</x:f>
        <x:v>0</x:v>
      </x:c>
      <x:c r="M34" s="85" t="str">
        <x:f>IF($B34="","",_xlfn.XLOOKUP($B34,'班次需求輸入'!$A$7:$A$36,'班次需求輸入'!$B$7:$B$36,"",0))</x:f>
      </x:c>
      <x:c r="N34" s="86" t="str">
        <x:f>IF($B34="","",_xlfn.XLOOKUP($B34,'班次需求輸入'!$A$7:$A$36,'班次需求輸入'!$C$7:$C$36,"",0))</x:f>
      </x:c>
      <x:c r="O34" s="86" t="str">
        <x:f>IF($B34="","",_xlfn.XLOOKUP($B34,'班次需求輸入'!$A$7:$A$36,'班次需求輸入'!$D$7:$D$36,"",0))</x:f>
      </x:c>
      <x:c r="P34" s="84" t="n">
        <x:f>IF(OR($C34="",$M34="",$N34="",$O34=""),0,COUNTIFS($C$7:$C$66,$C34,$M$7:$M$66,$M34,$N$7:$N$66,"&lt;"&amp;$O34,$O$7:$O$66,"&gt;"&amp;$N34)-1)</x:f>
        <x:v>0</x:v>
      </x:c>
      <x:c r="Q34" s="84" t="str">
        <x:f>IF($B34="","",IF($P34&gt;0,"時段衝突",IF($E34="主跟診",IF(LEFT($K34,1)="待","候選，待完成資格","已檢核"),IF(OR($E34="完整支援",$E34="技術備援",$E34="流動",$E34="第二櫃台"),IF($K34="支援資格通過","已檢核",$K34),$K34))))</x:f>
      </x:c>
      <x:c r="R34" s="81"/>
    </x:row>
    <x:row r="35">
      <x:c r="A35" s="81"/>
      <x:c r="B35" s="81"/>
      <x:c r="C35" s="81"/>
      <x:c r="D35" s="84" t="str">
        <x:f>IF($C35="","",_xlfn.XLOOKUP($C35,'試行員工主檔'!$A$7:$A$20,'試行員工主檔'!$B$7:$B$20,"員工未建立",0))</x:f>
      </x:c>
      <x:c r="E35" s="84"/>
      <x:c r="F35" s="84"/>
      <x:c r="G35" s="84"/>
      <x:c r="H35" s="84" t="str">
        <x:f>IF($B35="","",_xlfn.XLOOKUP($B35,'班次需求輸入'!$A$7:$A$36,'班次需求輸入'!$F$7:$F$36,"需求未建立",0))</x:f>
      </x:c>
      <x:c r="I35" s="84" t="str">
        <x:f>IF(OR($C35="",$H35=""),"",_xlfn.XLOOKUP($C35&amp;"|"&amp;$H35,'排班適配試算'!$V$7:$V$188,'排班適配試算'!$S$7:$S$188,"未建立",0))</x:f>
      </x:c>
      <x:c r="J35" s="84" t="str">
        <x:f>IF(OR($C35="",$H35=""),"",_xlfn.XLOOKUP($C35&amp;"|"&amp;$H35,'排班適配試算'!$V$7:$V$188,'排班適配試算'!$U$7:$U$188,"未建立",0))</x:f>
      </x:c>
      <x:c r="K35" s="84" t="str">
        <x:f>IF($E35="","",IF($E35="主跟診",$J35,IF($E35="短時支援",_xlfn.XLOOKUP($C35,'RPD支援者候選'!$A$7:$A$20,'RPD支援者候選'!$H$7:$H$20,"未建立",0),IF($E35="學習觀摩","學習觀摩，不計正式人力",IF(OR($E35="完整支援",$E35="技術備援",$E35="流動",$E35="第二櫃台"),IF(AND($E35="技術備援",_xlfn.XLOOKUP($H35,'李醫師治療模式'!$A$7:$A$19,'李醫師治療模式'!$F$7:$F$19,"",0)="高複雜度"),"高複雜度不可由技術備援",IF($E35="完整支援",IF(_xlfn.XLOOKUP("SUP|"&amp;$C35&amp;"|"&amp;$H35,'支援者資格核定'!$A$7:$A$188,'支援者資格核定'!$N$7:$N$188,"未建立",0)&lt;&gt;"完整支援者","需要完整支援者",IF($F35&gt;_xlfn.XLOOKUP("SUP|"&amp;$C35&amp;"|"&amp;$H35,'支援者資格核定'!$A$7:$A$188,'支援者資格核定'!$O$7:$O$188,0,0),"支援名額超過核定上限","支援資格通過")),IF(OR(_xlfn.XLOOKUP("SUP|"&amp;$C35&amp;"|"&amp;$H35,'支援者資格核定'!$A$7:$A$188,'支援者資格核定'!$N$7:$N$188,"未建立",0)="完整支援者",_xlfn.XLOOKUP("SUP|"&amp;$C35&amp;"|"&amp;$H35,'支援者資格核定'!$A$7:$A$188,'支援者資格核定'!$N$7:$N$188,"未建立",0)="技術備援者"),IF($F35&gt;_xlfn.XLOOKUP("SUP|"&amp;$C35&amp;"|"&amp;$H35,'支援者資格核定'!$A$7:$A$188,'支援者資格核定'!$O$7:$O$188,0,0),"支援名額超過核定上限","支援資格通過"),"支援資格未核定"))),"角色未定義")))))</x:f>
      </x:c>
      <x:c r="L35" s="84" t="n">
        <x:f>IF($E35&lt;&gt;"主跟診",0,IF($I35="初步可條件排",IF(_xlfn.XLOOKUP($H35,'排班模式清單'!$A$7:$A$169,'排班模式清單'!$E$7:$E$169,"",0)="高複雜度",2,1),0)+IFNA(_xlfn.XLOOKUP($B35,'班次需求輸入'!$A$7:$A$36,'班次需求輸入'!$I$7:$I$36,0,0),0))</x:f>
        <x:v>0</x:v>
      </x:c>
      <x:c r="M35" s="85" t="str">
        <x:f>IF($B35="","",_xlfn.XLOOKUP($B35,'班次需求輸入'!$A$7:$A$36,'班次需求輸入'!$B$7:$B$36,"",0))</x:f>
      </x:c>
      <x:c r="N35" s="86" t="str">
        <x:f>IF($B35="","",_xlfn.XLOOKUP($B35,'班次需求輸入'!$A$7:$A$36,'班次需求輸入'!$C$7:$C$36,"",0))</x:f>
      </x:c>
      <x:c r="O35" s="86" t="str">
        <x:f>IF($B35="","",_xlfn.XLOOKUP($B35,'班次需求輸入'!$A$7:$A$36,'班次需求輸入'!$D$7:$D$36,"",0))</x:f>
      </x:c>
      <x:c r="P35" s="84" t="n">
        <x:f>IF(OR($C35="",$M35="",$N35="",$O35=""),0,COUNTIFS($C$7:$C$66,$C35,$M$7:$M$66,$M35,$N$7:$N$66,"&lt;"&amp;$O35,$O$7:$O$66,"&gt;"&amp;$N35)-1)</x:f>
        <x:v>0</x:v>
      </x:c>
      <x:c r="Q35" s="84" t="str">
        <x:f>IF($B35="","",IF($P35&gt;0,"時段衝突",IF($E35="主跟診",IF(LEFT($K35,1)="待","候選，待完成資格","已檢核"),IF(OR($E35="完整支援",$E35="技術備援",$E35="流動",$E35="第二櫃台"),IF($K35="支援資格通過","已檢核",$K35),$K35))))</x:f>
      </x:c>
      <x:c r="R35" s="81"/>
    </x:row>
    <x:row r="36">
      <x:c r="A36" s="81"/>
      <x:c r="B36" s="81"/>
      <x:c r="C36" s="81"/>
      <x:c r="D36" s="84" t="str">
        <x:f>IF($C36="","",_xlfn.XLOOKUP($C36,'試行員工主檔'!$A$7:$A$20,'試行員工主檔'!$B$7:$B$20,"員工未建立",0))</x:f>
      </x:c>
      <x:c r="E36" s="84"/>
      <x:c r="F36" s="84"/>
      <x:c r="G36" s="84"/>
      <x:c r="H36" s="84" t="str">
        <x:f>IF($B36="","",_xlfn.XLOOKUP($B36,'班次需求輸入'!$A$7:$A$36,'班次需求輸入'!$F$7:$F$36,"需求未建立",0))</x:f>
      </x:c>
      <x:c r="I36" s="84" t="str">
        <x:f>IF(OR($C36="",$H36=""),"",_xlfn.XLOOKUP($C36&amp;"|"&amp;$H36,'排班適配試算'!$V$7:$V$188,'排班適配試算'!$S$7:$S$188,"未建立",0))</x:f>
      </x:c>
      <x:c r="J36" s="84" t="str">
        <x:f>IF(OR($C36="",$H36=""),"",_xlfn.XLOOKUP($C36&amp;"|"&amp;$H36,'排班適配試算'!$V$7:$V$188,'排班適配試算'!$U$7:$U$188,"未建立",0))</x:f>
      </x:c>
      <x:c r="K36" s="84" t="str">
        <x:f>IF($E36="","",IF($E36="主跟診",$J36,IF($E36="短時支援",_xlfn.XLOOKUP($C36,'RPD支援者候選'!$A$7:$A$20,'RPD支援者候選'!$H$7:$H$20,"未建立",0),IF($E36="學習觀摩","學習觀摩，不計正式人力",IF(OR($E36="完整支援",$E36="技術備援",$E36="流動",$E36="第二櫃台"),IF(AND($E36="技術備援",_xlfn.XLOOKUP($H36,'李醫師治療模式'!$A$7:$A$19,'李醫師治療模式'!$F$7:$F$19,"",0)="高複雜度"),"高複雜度不可由技術備援",IF($E36="完整支援",IF(_xlfn.XLOOKUP("SUP|"&amp;$C36&amp;"|"&amp;$H36,'支援者資格核定'!$A$7:$A$188,'支援者資格核定'!$N$7:$N$188,"未建立",0)&lt;&gt;"完整支援者","需要完整支援者",IF($F36&gt;_xlfn.XLOOKUP("SUP|"&amp;$C36&amp;"|"&amp;$H36,'支援者資格核定'!$A$7:$A$188,'支援者資格核定'!$O$7:$O$188,0,0),"支援名額超過核定上限","支援資格通過")),IF(OR(_xlfn.XLOOKUP("SUP|"&amp;$C36&amp;"|"&amp;$H36,'支援者資格核定'!$A$7:$A$188,'支援者資格核定'!$N$7:$N$188,"未建立",0)="完整支援者",_xlfn.XLOOKUP("SUP|"&amp;$C36&amp;"|"&amp;$H36,'支援者資格核定'!$A$7:$A$188,'支援者資格核定'!$N$7:$N$188,"未建立",0)="技術備援者"),IF($F36&gt;_xlfn.XLOOKUP("SUP|"&amp;$C36&amp;"|"&amp;$H36,'支援者資格核定'!$A$7:$A$188,'支援者資格核定'!$O$7:$O$188,0,0),"支援名額超過核定上限","支援資格通過"),"支援資格未核定"))),"角色未定義")))))</x:f>
      </x:c>
      <x:c r="L36" s="84" t="n">
        <x:f>IF($E36&lt;&gt;"主跟診",0,IF($I36="初步可條件排",IF(_xlfn.XLOOKUP($H36,'排班模式清單'!$A$7:$A$169,'排班模式清單'!$E$7:$E$169,"",0)="高複雜度",2,1),0)+IFNA(_xlfn.XLOOKUP($B36,'班次需求輸入'!$A$7:$A$36,'班次需求輸入'!$I$7:$I$36,0,0),0))</x:f>
        <x:v>0</x:v>
      </x:c>
      <x:c r="M36" s="85" t="str">
        <x:f>IF($B36="","",_xlfn.XLOOKUP($B36,'班次需求輸入'!$A$7:$A$36,'班次需求輸入'!$B$7:$B$36,"",0))</x:f>
      </x:c>
      <x:c r="N36" s="86" t="str">
        <x:f>IF($B36="","",_xlfn.XLOOKUP($B36,'班次需求輸入'!$A$7:$A$36,'班次需求輸入'!$C$7:$C$36,"",0))</x:f>
      </x:c>
      <x:c r="O36" s="86" t="str">
        <x:f>IF($B36="","",_xlfn.XLOOKUP($B36,'班次需求輸入'!$A$7:$A$36,'班次需求輸入'!$D$7:$D$36,"",0))</x:f>
      </x:c>
      <x:c r="P36" s="84" t="n">
        <x:f>IF(OR($C36="",$M36="",$N36="",$O36=""),0,COUNTIFS($C$7:$C$66,$C36,$M$7:$M$66,$M36,$N$7:$N$66,"&lt;"&amp;$O36,$O$7:$O$66,"&gt;"&amp;$N36)-1)</x:f>
        <x:v>0</x:v>
      </x:c>
      <x:c r="Q36" s="84" t="str">
        <x:f>IF($B36="","",IF($P36&gt;0,"時段衝突",IF($E36="主跟診",IF(LEFT($K36,1)="待","候選，待完成資格","已檢核"),IF(OR($E36="完整支援",$E36="技術備援",$E36="流動",$E36="第二櫃台"),IF($K36="支援資格通過","已檢核",$K36),$K36))))</x:f>
      </x:c>
      <x:c r="R36" s="81"/>
    </x:row>
    <x:row r="37">
      <x:c r="A37" s="81"/>
      <x:c r="B37" s="81"/>
      <x:c r="C37" s="81"/>
      <x:c r="D37" s="84" t="str">
        <x:f>IF($C37="","",_xlfn.XLOOKUP($C37,'試行員工主檔'!$A$7:$A$20,'試行員工主檔'!$B$7:$B$20,"員工未建立",0))</x:f>
      </x:c>
      <x:c r="E37" s="84"/>
      <x:c r="F37" s="84"/>
      <x:c r="G37" s="84"/>
      <x:c r="H37" s="84" t="str">
        <x:f>IF($B37="","",_xlfn.XLOOKUP($B37,'班次需求輸入'!$A$7:$A$36,'班次需求輸入'!$F$7:$F$36,"需求未建立",0))</x:f>
      </x:c>
      <x:c r="I37" s="84" t="str">
        <x:f>IF(OR($C37="",$H37=""),"",_xlfn.XLOOKUP($C37&amp;"|"&amp;$H37,'排班適配試算'!$V$7:$V$188,'排班適配試算'!$S$7:$S$188,"未建立",0))</x:f>
      </x:c>
      <x:c r="J37" s="84" t="str">
        <x:f>IF(OR($C37="",$H37=""),"",_xlfn.XLOOKUP($C37&amp;"|"&amp;$H37,'排班適配試算'!$V$7:$V$188,'排班適配試算'!$U$7:$U$188,"未建立",0))</x:f>
      </x:c>
      <x:c r="K37" s="84" t="str">
        <x:f>IF($E37="","",IF($E37="主跟診",$J37,IF($E37="短時支援",_xlfn.XLOOKUP($C37,'RPD支援者候選'!$A$7:$A$20,'RPD支援者候選'!$H$7:$H$20,"未建立",0),IF($E37="學習觀摩","學習觀摩，不計正式人力",IF(OR($E37="完整支援",$E37="技術備援",$E37="流動",$E37="第二櫃台"),IF(AND($E37="技術備援",_xlfn.XLOOKUP($H37,'李醫師治療模式'!$A$7:$A$19,'李醫師治療模式'!$F$7:$F$19,"",0)="高複雜度"),"高複雜度不可由技術備援",IF($E37="完整支援",IF(_xlfn.XLOOKUP("SUP|"&amp;$C37&amp;"|"&amp;$H37,'支援者資格核定'!$A$7:$A$188,'支援者資格核定'!$N$7:$N$188,"未建立",0)&lt;&gt;"完整支援者","需要完整支援者",IF($F37&gt;_xlfn.XLOOKUP("SUP|"&amp;$C37&amp;"|"&amp;$H37,'支援者資格核定'!$A$7:$A$188,'支援者資格核定'!$O$7:$O$188,0,0),"支援名額超過核定上限","支援資格通過")),IF(OR(_xlfn.XLOOKUP("SUP|"&amp;$C37&amp;"|"&amp;$H37,'支援者資格核定'!$A$7:$A$188,'支援者資格核定'!$N$7:$N$188,"未建立",0)="完整支援者",_xlfn.XLOOKUP("SUP|"&amp;$C37&amp;"|"&amp;$H37,'支援者資格核定'!$A$7:$A$188,'支援者資格核定'!$N$7:$N$188,"未建立",0)="技術備援者"),IF($F37&gt;_xlfn.XLOOKUP("SUP|"&amp;$C37&amp;"|"&amp;$H37,'支援者資格核定'!$A$7:$A$188,'支援者資格核定'!$O$7:$O$188,0,0),"支援名額超過核定上限","支援資格通過"),"支援資格未核定"))),"角色未定義")))))</x:f>
      </x:c>
      <x:c r="L37" s="84" t="n">
        <x:f>IF($E37&lt;&gt;"主跟診",0,IF($I37="初步可條件排",IF(_xlfn.XLOOKUP($H37,'排班模式清單'!$A$7:$A$169,'排班模式清單'!$E$7:$E$169,"",0)="高複雜度",2,1),0)+IFNA(_xlfn.XLOOKUP($B37,'班次需求輸入'!$A$7:$A$36,'班次需求輸入'!$I$7:$I$36,0,0),0))</x:f>
        <x:v>0</x:v>
      </x:c>
      <x:c r="M37" s="85" t="str">
        <x:f>IF($B37="","",_xlfn.XLOOKUP($B37,'班次需求輸入'!$A$7:$A$36,'班次需求輸入'!$B$7:$B$36,"",0))</x:f>
      </x:c>
      <x:c r="N37" s="86" t="str">
        <x:f>IF($B37="","",_xlfn.XLOOKUP($B37,'班次需求輸入'!$A$7:$A$36,'班次需求輸入'!$C$7:$C$36,"",0))</x:f>
      </x:c>
      <x:c r="O37" s="86" t="str">
        <x:f>IF($B37="","",_xlfn.XLOOKUP($B37,'班次需求輸入'!$A$7:$A$36,'班次需求輸入'!$D$7:$D$36,"",0))</x:f>
      </x:c>
      <x:c r="P37" s="84" t="n">
        <x:f>IF(OR($C37="",$M37="",$N37="",$O37=""),0,COUNTIFS($C$7:$C$66,$C37,$M$7:$M$66,$M37,$N$7:$N$66,"&lt;"&amp;$O37,$O$7:$O$66,"&gt;"&amp;$N37)-1)</x:f>
        <x:v>0</x:v>
      </x:c>
      <x:c r="Q37" s="84" t="str">
        <x:f>IF($B37="","",IF($P37&gt;0,"時段衝突",IF($E37="主跟診",IF(LEFT($K37,1)="待","候選，待完成資格","已檢核"),IF(OR($E37="完整支援",$E37="技術備援",$E37="流動",$E37="第二櫃台"),IF($K37="支援資格通過","已檢核",$K37),$K37))))</x:f>
      </x:c>
      <x:c r="R37" s="81"/>
    </x:row>
    <x:row r="38">
      <x:c r="A38" s="81"/>
      <x:c r="B38" s="81"/>
      <x:c r="C38" s="81"/>
      <x:c r="D38" s="84" t="str">
        <x:f>IF($C38="","",_xlfn.XLOOKUP($C38,'試行員工主檔'!$A$7:$A$20,'試行員工主檔'!$B$7:$B$20,"員工未建立",0))</x:f>
      </x:c>
      <x:c r="E38" s="84"/>
      <x:c r="F38" s="84"/>
      <x:c r="G38" s="84"/>
      <x:c r="H38" s="84" t="str">
        <x:f>IF($B38="","",_xlfn.XLOOKUP($B38,'班次需求輸入'!$A$7:$A$36,'班次需求輸入'!$F$7:$F$36,"需求未建立",0))</x:f>
      </x:c>
      <x:c r="I38" s="84" t="str">
        <x:f>IF(OR($C38="",$H38=""),"",_xlfn.XLOOKUP($C38&amp;"|"&amp;$H38,'排班適配試算'!$V$7:$V$188,'排班適配試算'!$S$7:$S$188,"未建立",0))</x:f>
      </x:c>
      <x:c r="J38" s="84" t="str">
        <x:f>IF(OR($C38="",$H38=""),"",_xlfn.XLOOKUP($C38&amp;"|"&amp;$H38,'排班適配試算'!$V$7:$V$188,'排班適配試算'!$U$7:$U$188,"未建立",0))</x:f>
      </x:c>
      <x:c r="K38" s="84" t="str">
        <x:f>IF($E38="","",IF($E38="主跟診",$J38,IF($E38="短時支援",_xlfn.XLOOKUP($C38,'RPD支援者候選'!$A$7:$A$20,'RPD支援者候選'!$H$7:$H$20,"未建立",0),IF($E38="學習觀摩","學習觀摩，不計正式人力",IF(OR($E38="完整支援",$E38="技術備援",$E38="流動",$E38="第二櫃台"),IF(AND($E38="技術備援",_xlfn.XLOOKUP($H38,'李醫師治療模式'!$A$7:$A$19,'李醫師治療模式'!$F$7:$F$19,"",0)="高複雜度"),"高複雜度不可由技術備援",IF($E38="完整支援",IF(_xlfn.XLOOKUP("SUP|"&amp;$C38&amp;"|"&amp;$H38,'支援者資格核定'!$A$7:$A$188,'支援者資格核定'!$N$7:$N$188,"未建立",0)&lt;&gt;"完整支援者","需要完整支援者",IF($F38&gt;_xlfn.XLOOKUP("SUP|"&amp;$C38&amp;"|"&amp;$H38,'支援者資格核定'!$A$7:$A$188,'支援者資格核定'!$O$7:$O$188,0,0),"支援名額超過核定上限","支援資格通過")),IF(OR(_xlfn.XLOOKUP("SUP|"&amp;$C38&amp;"|"&amp;$H38,'支援者資格核定'!$A$7:$A$188,'支援者資格核定'!$N$7:$N$188,"未建立",0)="完整支援者",_xlfn.XLOOKUP("SUP|"&amp;$C38&amp;"|"&amp;$H38,'支援者資格核定'!$A$7:$A$188,'支援者資格核定'!$N$7:$N$188,"未建立",0)="技術備援者"),IF($F38&gt;_xlfn.XLOOKUP("SUP|"&amp;$C38&amp;"|"&amp;$H38,'支援者資格核定'!$A$7:$A$188,'支援者資格核定'!$O$7:$O$188,0,0),"支援名額超過核定上限","支援資格通過"),"支援資格未核定"))),"角色未定義")))))</x:f>
      </x:c>
      <x:c r="L38" s="84" t="n">
        <x:f>IF($E38&lt;&gt;"主跟診",0,IF($I38="初步可條件排",IF(_xlfn.XLOOKUP($H38,'排班模式清單'!$A$7:$A$169,'排班模式清單'!$E$7:$E$169,"",0)="高複雜度",2,1),0)+IFNA(_xlfn.XLOOKUP($B38,'班次需求輸入'!$A$7:$A$36,'班次需求輸入'!$I$7:$I$36,0,0),0))</x:f>
        <x:v>0</x:v>
      </x:c>
      <x:c r="M38" s="85" t="str">
        <x:f>IF($B38="","",_xlfn.XLOOKUP($B38,'班次需求輸入'!$A$7:$A$36,'班次需求輸入'!$B$7:$B$36,"",0))</x:f>
      </x:c>
      <x:c r="N38" s="86" t="str">
        <x:f>IF($B38="","",_xlfn.XLOOKUP($B38,'班次需求輸入'!$A$7:$A$36,'班次需求輸入'!$C$7:$C$36,"",0))</x:f>
      </x:c>
      <x:c r="O38" s="86" t="str">
        <x:f>IF($B38="","",_xlfn.XLOOKUP($B38,'班次需求輸入'!$A$7:$A$36,'班次需求輸入'!$D$7:$D$36,"",0))</x:f>
      </x:c>
      <x:c r="P38" s="84" t="n">
        <x:f>IF(OR($C38="",$M38="",$N38="",$O38=""),0,COUNTIFS($C$7:$C$66,$C38,$M$7:$M$66,$M38,$N$7:$N$66,"&lt;"&amp;$O38,$O$7:$O$66,"&gt;"&amp;$N38)-1)</x:f>
        <x:v>0</x:v>
      </x:c>
      <x:c r="Q38" s="84" t="str">
        <x:f>IF($B38="","",IF($P38&gt;0,"時段衝突",IF($E38="主跟診",IF(LEFT($K38,1)="待","候選，待完成資格","已檢核"),IF(OR($E38="完整支援",$E38="技術備援",$E38="流動",$E38="第二櫃台"),IF($K38="支援資格通過","已檢核",$K38),$K38))))</x:f>
      </x:c>
      <x:c r="R38" s="81"/>
    </x:row>
    <x:row r="39">
      <x:c r="A39" s="81"/>
      <x:c r="B39" s="81"/>
      <x:c r="C39" s="81"/>
      <x:c r="D39" s="84" t="str">
        <x:f>IF($C39="","",_xlfn.XLOOKUP($C39,'試行員工主檔'!$A$7:$A$20,'試行員工主檔'!$B$7:$B$20,"員工未建立",0))</x:f>
      </x:c>
      <x:c r="E39" s="84"/>
      <x:c r="F39" s="84"/>
      <x:c r="G39" s="84"/>
      <x:c r="H39" s="84" t="str">
        <x:f>IF($B39="","",_xlfn.XLOOKUP($B39,'班次需求輸入'!$A$7:$A$36,'班次需求輸入'!$F$7:$F$36,"需求未建立",0))</x:f>
      </x:c>
      <x:c r="I39" s="84" t="str">
        <x:f>IF(OR($C39="",$H39=""),"",_xlfn.XLOOKUP($C39&amp;"|"&amp;$H39,'排班適配試算'!$V$7:$V$188,'排班適配試算'!$S$7:$S$188,"未建立",0))</x:f>
      </x:c>
      <x:c r="J39" s="84" t="str">
        <x:f>IF(OR($C39="",$H39=""),"",_xlfn.XLOOKUP($C39&amp;"|"&amp;$H39,'排班適配試算'!$V$7:$V$188,'排班適配試算'!$U$7:$U$188,"未建立",0))</x:f>
      </x:c>
      <x:c r="K39" s="84" t="str">
        <x:f>IF($E39="","",IF($E39="主跟診",$J39,IF($E39="短時支援",_xlfn.XLOOKUP($C39,'RPD支援者候選'!$A$7:$A$20,'RPD支援者候選'!$H$7:$H$20,"未建立",0),IF($E39="學習觀摩","學習觀摩，不計正式人力",IF(OR($E39="完整支援",$E39="技術備援",$E39="流動",$E39="第二櫃台"),IF(AND($E39="技術備援",_xlfn.XLOOKUP($H39,'李醫師治療模式'!$A$7:$A$19,'李醫師治療模式'!$F$7:$F$19,"",0)="高複雜度"),"高複雜度不可由技術備援",IF($E39="完整支援",IF(_xlfn.XLOOKUP("SUP|"&amp;$C39&amp;"|"&amp;$H39,'支援者資格核定'!$A$7:$A$188,'支援者資格核定'!$N$7:$N$188,"未建立",0)&lt;&gt;"完整支援者","需要完整支援者",IF($F39&gt;_xlfn.XLOOKUP("SUP|"&amp;$C39&amp;"|"&amp;$H39,'支援者資格核定'!$A$7:$A$188,'支援者資格核定'!$O$7:$O$188,0,0),"支援名額超過核定上限","支援資格通過")),IF(OR(_xlfn.XLOOKUP("SUP|"&amp;$C39&amp;"|"&amp;$H39,'支援者資格核定'!$A$7:$A$188,'支援者資格核定'!$N$7:$N$188,"未建立",0)="完整支援者",_xlfn.XLOOKUP("SUP|"&amp;$C39&amp;"|"&amp;$H39,'支援者資格核定'!$A$7:$A$188,'支援者資格核定'!$N$7:$N$188,"未建立",0)="技術備援者"),IF($F39&gt;_xlfn.XLOOKUP("SUP|"&amp;$C39&amp;"|"&amp;$H39,'支援者資格核定'!$A$7:$A$188,'支援者資格核定'!$O$7:$O$188,0,0),"支援名額超過核定上限","支援資格通過"),"支援資格未核定"))),"角色未定義")))))</x:f>
      </x:c>
      <x:c r="L39" s="84" t="n">
        <x:f>IF($E39&lt;&gt;"主跟診",0,IF($I39="初步可條件排",IF(_xlfn.XLOOKUP($H39,'排班模式清單'!$A$7:$A$169,'排班模式清單'!$E$7:$E$169,"",0)="高複雜度",2,1),0)+IFNA(_xlfn.XLOOKUP($B39,'班次需求輸入'!$A$7:$A$36,'班次需求輸入'!$I$7:$I$36,0,0),0))</x:f>
        <x:v>0</x:v>
      </x:c>
      <x:c r="M39" s="85" t="str">
        <x:f>IF($B39="","",_xlfn.XLOOKUP($B39,'班次需求輸入'!$A$7:$A$36,'班次需求輸入'!$B$7:$B$36,"",0))</x:f>
      </x:c>
      <x:c r="N39" s="86" t="str">
        <x:f>IF($B39="","",_xlfn.XLOOKUP($B39,'班次需求輸入'!$A$7:$A$36,'班次需求輸入'!$C$7:$C$36,"",0))</x:f>
      </x:c>
      <x:c r="O39" s="86" t="str">
        <x:f>IF($B39="","",_xlfn.XLOOKUP($B39,'班次需求輸入'!$A$7:$A$36,'班次需求輸入'!$D$7:$D$36,"",0))</x:f>
      </x:c>
      <x:c r="P39" s="84" t="n">
        <x:f>IF(OR($C39="",$M39="",$N39="",$O39=""),0,COUNTIFS($C$7:$C$66,$C39,$M$7:$M$66,$M39,$N$7:$N$66,"&lt;"&amp;$O39,$O$7:$O$66,"&gt;"&amp;$N39)-1)</x:f>
        <x:v>0</x:v>
      </x:c>
      <x:c r="Q39" s="84" t="str">
        <x:f>IF($B39="","",IF($P39&gt;0,"時段衝突",IF($E39="主跟診",IF(LEFT($K39,1)="待","候選，待完成資格","已檢核"),IF(OR($E39="完整支援",$E39="技術備援",$E39="流動",$E39="第二櫃台"),IF($K39="支援資格通過","已檢核",$K39),$K39))))</x:f>
      </x:c>
      <x:c r="R39" s="81"/>
    </x:row>
    <x:row r="40">
      <x:c r="A40" s="81"/>
      <x:c r="B40" s="81"/>
      <x:c r="C40" s="81"/>
      <x:c r="D40" s="84" t="str">
        <x:f>IF($C40="","",_xlfn.XLOOKUP($C40,'試行員工主檔'!$A$7:$A$20,'試行員工主檔'!$B$7:$B$20,"員工未建立",0))</x:f>
      </x:c>
      <x:c r="E40" s="84"/>
      <x:c r="F40" s="84"/>
      <x:c r="G40" s="84"/>
      <x:c r="H40" s="84" t="str">
        <x:f>IF($B40="","",_xlfn.XLOOKUP($B40,'班次需求輸入'!$A$7:$A$36,'班次需求輸入'!$F$7:$F$36,"需求未建立",0))</x:f>
      </x:c>
      <x:c r="I40" s="84" t="str">
        <x:f>IF(OR($C40="",$H40=""),"",_xlfn.XLOOKUP($C40&amp;"|"&amp;$H40,'排班適配試算'!$V$7:$V$188,'排班適配試算'!$S$7:$S$188,"未建立",0))</x:f>
      </x:c>
      <x:c r="J40" s="84" t="str">
        <x:f>IF(OR($C40="",$H40=""),"",_xlfn.XLOOKUP($C40&amp;"|"&amp;$H40,'排班適配試算'!$V$7:$V$188,'排班適配試算'!$U$7:$U$188,"未建立",0))</x:f>
      </x:c>
      <x:c r="K40" s="84" t="str">
        <x:f>IF($E40="","",IF($E40="主跟診",$J40,IF($E40="短時支援",_xlfn.XLOOKUP($C40,'RPD支援者候選'!$A$7:$A$20,'RPD支援者候選'!$H$7:$H$20,"未建立",0),IF($E40="學習觀摩","學習觀摩，不計正式人力",IF(OR($E40="完整支援",$E40="技術備援",$E40="流動",$E40="第二櫃台"),IF(AND($E40="技術備援",_xlfn.XLOOKUP($H40,'李醫師治療模式'!$A$7:$A$19,'李醫師治療模式'!$F$7:$F$19,"",0)="高複雜度"),"高複雜度不可由技術備援",IF($E40="完整支援",IF(_xlfn.XLOOKUP("SUP|"&amp;$C40&amp;"|"&amp;$H40,'支援者資格核定'!$A$7:$A$188,'支援者資格核定'!$N$7:$N$188,"未建立",0)&lt;&gt;"完整支援者","需要完整支援者",IF($F40&gt;_xlfn.XLOOKUP("SUP|"&amp;$C40&amp;"|"&amp;$H40,'支援者資格核定'!$A$7:$A$188,'支援者資格核定'!$O$7:$O$188,0,0),"支援名額超過核定上限","支援資格通過")),IF(OR(_xlfn.XLOOKUP("SUP|"&amp;$C40&amp;"|"&amp;$H40,'支援者資格核定'!$A$7:$A$188,'支援者資格核定'!$N$7:$N$188,"未建立",0)="完整支援者",_xlfn.XLOOKUP("SUP|"&amp;$C40&amp;"|"&amp;$H40,'支援者資格核定'!$A$7:$A$188,'支援者資格核定'!$N$7:$N$188,"未建立",0)="技術備援者"),IF($F40&gt;_xlfn.XLOOKUP("SUP|"&amp;$C40&amp;"|"&amp;$H40,'支援者資格核定'!$A$7:$A$188,'支援者資格核定'!$O$7:$O$188,0,0),"支援名額超過核定上限","支援資格通過"),"支援資格未核定"))),"角色未定義")))))</x:f>
      </x:c>
      <x:c r="L40" s="84" t="n">
        <x:f>IF($E40&lt;&gt;"主跟診",0,IF($I40="初步可條件排",IF(_xlfn.XLOOKUP($H40,'排班模式清單'!$A$7:$A$169,'排班模式清單'!$E$7:$E$169,"",0)="高複雜度",2,1),0)+IFNA(_xlfn.XLOOKUP($B40,'班次需求輸入'!$A$7:$A$36,'班次需求輸入'!$I$7:$I$36,0,0),0))</x:f>
        <x:v>0</x:v>
      </x:c>
      <x:c r="M40" s="85" t="str">
        <x:f>IF($B40="","",_xlfn.XLOOKUP($B40,'班次需求輸入'!$A$7:$A$36,'班次需求輸入'!$B$7:$B$36,"",0))</x:f>
      </x:c>
      <x:c r="N40" s="86" t="str">
        <x:f>IF($B40="","",_xlfn.XLOOKUP($B40,'班次需求輸入'!$A$7:$A$36,'班次需求輸入'!$C$7:$C$36,"",0))</x:f>
      </x:c>
      <x:c r="O40" s="86" t="str">
        <x:f>IF($B40="","",_xlfn.XLOOKUP($B40,'班次需求輸入'!$A$7:$A$36,'班次需求輸入'!$D$7:$D$36,"",0))</x:f>
      </x:c>
      <x:c r="P40" s="84" t="n">
        <x:f>IF(OR($C40="",$M40="",$N40="",$O40=""),0,COUNTIFS($C$7:$C$66,$C40,$M$7:$M$66,$M40,$N$7:$N$66,"&lt;"&amp;$O40,$O$7:$O$66,"&gt;"&amp;$N40)-1)</x:f>
        <x:v>0</x:v>
      </x:c>
      <x:c r="Q40" s="84" t="str">
        <x:f>IF($B40="","",IF($P40&gt;0,"時段衝突",IF($E40="主跟診",IF(LEFT($K40,1)="待","候選，待完成資格","已檢核"),IF(OR($E40="完整支援",$E40="技術備援",$E40="流動",$E40="第二櫃台"),IF($K40="支援資格通過","已檢核",$K40),$K40))))</x:f>
      </x:c>
      <x:c r="R40" s="81"/>
    </x:row>
    <x:row r="41">
      <x:c r="A41" s="81"/>
      <x:c r="B41" s="81"/>
      <x:c r="C41" s="81"/>
      <x:c r="D41" s="84" t="str">
        <x:f>IF($C41="","",_xlfn.XLOOKUP($C41,'試行員工主檔'!$A$7:$A$20,'試行員工主檔'!$B$7:$B$20,"員工未建立",0))</x:f>
      </x:c>
      <x:c r="E41" s="84"/>
      <x:c r="F41" s="84"/>
      <x:c r="G41" s="84"/>
      <x:c r="H41" s="84" t="str">
        <x:f>IF($B41="","",_xlfn.XLOOKUP($B41,'班次需求輸入'!$A$7:$A$36,'班次需求輸入'!$F$7:$F$36,"需求未建立",0))</x:f>
      </x:c>
      <x:c r="I41" s="84" t="str">
        <x:f>IF(OR($C41="",$H41=""),"",_xlfn.XLOOKUP($C41&amp;"|"&amp;$H41,'排班適配試算'!$V$7:$V$188,'排班適配試算'!$S$7:$S$188,"未建立",0))</x:f>
      </x:c>
      <x:c r="J41" s="84" t="str">
        <x:f>IF(OR($C41="",$H41=""),"",_xlfn.XLOOKUP($C41&amp;"|"&amp;$H41,'排班適配試算'!$V$7:$V$188,'排班適配試算'!$U$7:$U$188,"未建立",0))</x:f>
      </x:c>
      <x:c r="K41" s="84" t="str">
        <x:f>IF($E41="","",IF($E41="主跟診",$J41,IF($E41="短時支援",_xlfn.XLOOKUP($C41,'RPD支援者候選'!$A$7:$A$20,'RPD支援者候選'!$H$7:$H$20,"未建立",0),IF($E41="學習觀摩","學習觀摩，不計正式人力",IF(OR($E41="完整支援",$E41="技術備援",$E41="流動",$E41="第二櫃台"),IF(AND($E41="技術備援",_xlfn.XLOOKUP($H41,'李醫師治療模式'!$A$7:$A$19,'李醫師治療模式'!$F$7:$F$19,"",0)="高複雜度"),"高複雜度不可由技術備援",IF($E41="完整支援",IF(_xlfn.XLOOKUP("SUP|"&amp;$C41&amp;"|"&amp;$H41,'支援者資格核定'!$A$7:$A$188,'支援者資格核定'!$N$7:$N$188,"未建立",0)&lt;&gt;"完整支援者","需要完整支援者",IF($F41&gt;_xlfn.XLOOKUP("SUP|"&amp;$C41&amp;"|"&amp;$H41,'支援者資格核定'!$A$7:$A$188,'支援者資格核定'!$O$7:$O$188,0,0),"支援名額超過核定上限","支援資格通過")),IF(OR(_xlfn.XLOOKUP("SUP|"&amp;$C41&amp;"|"&amp;$H41,'支援者資格核定'!$A$7:$A$188,'支援者資格核定'!$N$7:$N$188,"未建立",0)="完整支援者",_xlfn.XLOOKUP("SUP|"&amp;$C41&amp;"|"&amp;$H41,'支援者資格核定'!$A$7:$A$188,'支援者資格核定'!$N$7:$N$188,"未建立",0)="技術備援者"),IF($F41&gt;_xlfn.XLOOKUP("SUP|"&amp;$C41&amp;"|"&amp;$H41,'支援者資格核定'!$A$7:$A$188,'支援者資格核定'!$O$7:$O$188,0,0),"支援名額超過核定上限","支援資格通過"),"支援資格未核定"))),"角色未定義")))))</x:f>
      </x:c>
      <x:c r="L41" s="84" t="n">
        <x:f>IF($E41&lt;&gt;"主跟診",0,IF($I41="初步可條件排",IF(_xlfn.XLOOKUP($H41,'排班模式清單'!$A$7:$A$169,'排班模式清單'!$E$7:$E$169,"",0)="高複雜度",2,1),0)+IFNA(_xlfn.XLOOKUP($B41,'班次需求輸入'!$A$7:$A$36,'班次需求輸入'!$I$7:$I$36,0,0),0))</x:f>
        <x:v>0</x:v>
      </x:c>
      <x:c r="M41" s="85" t="str">
        <x:f>IF($B41="","",_xlfn.XLOOKUP($B41,'班次需求輸入'!$A$7:$A$36,'班次需求輸入'!$B$7:$B$36,"",0))</x:f>
      </x:c>
      <x:c r="N41" s="86" t="str">
        <x:f>IF($B41="","",_xlfn.XLOOKUP($B41,'班次需求輸入'!$A$7:$A$36,'班次需求輸入'!$C$7:$C$36,"",0))</x:f>
      </x:c>
      <x:c r="O41" s="86" t="str">
        <x:f>IF($B41="","",_xlfn.XLOOKUP($B41,'班次需求輸入'!$A$7:$A$36,'班次需求輸入'!$D$7:$D$36,"",0))</x:f>
      </x:c>
      <x:c r="P41" s="84" t="n">
        <x:f>IF(OR($C41="",$M41="",$N41="",$O41=""),0,COUNTIFS($C$7:$C$66,$C41,$M$7:$M$66,$M41,$N$7:$N$66,"&lt;"&amp;$O41,$O$7:$O$66,"&gt;"&amp;$N41)-1)</x:f>
        <x:v>0</x:v>
      </x:c>
      <x:c r="Q41" s="84" t="str">
        <x:f>IF($B41="","",IF($P41&gt;0,"時段衝突",IF($E41="主跟診",IF(LEFT($K41,1)="待","候選，待完成資格","已檢核"),IF(OR($E41="完整支援",$E41="技術備援",$E41="流動",$E41="第二櫃台"),IF($K41="支援資格通過","已檢核",$K41),$K41))))</x:f>
      </x:c>
      <x:c r="R41" s="81"/>
    </x:row>
    <x:row r="42">
      <x:c r="A42" s="81"/>
      <x:c r="B42" s="81"/>
      <x:c r="C42" s="81"/>
      <x:c r="D42" s="84" t="str">
        <x:f>IF($C42="","",_xlfn.XLOOKUP($C42,'試行員工主檔'!$A$7:$A$20,'試行員工主檔'!$B$7:$B$20,"員工未建立",0))</x:f>
      </x:c>
      <x:c r="E42" s="84"/>
      <x:c r="F42" s="84"/>
      <x:c r="G42" s="84"/>
      <x:c r="H42" s="84" t="str">
        <x:f>IF($B42="","",_xlfn.XLOOKUP($B42,'班次需求輸入'!$A$7:$A$36,'班次需求輸入'!$F$7:$F$36,"需求未建立",0))</x:f>
      </x:c>
      <x:c r="I42" s="84" t="str">
        <x:f>IF(OR($C42="",$H42=""),"",_xlfn.XLOOKUP($C42&amp;"|"&amp;$H42,'排班適配試算'!$V$7:$V$188,'排班適配試算'!$S$7:$S$188,"未建立",0))</x:f>
      </x:c>
      <x:c r="J42" s="84" t="str">
        <x:f>IF(OR($C42="",$H42=""),"",_xlfn.XLOOKUP($C42&amp;"|"&amp;$H42,'排班適配試算'!$V$7:$V$188,'排班適配試算'!$U$7:$U$188,"未建立",0))</x:f>
      </x:c>
      <x:c r="K42" s="84" t="str">
        <x:f>IF($E42="","",IF($E42="主跟診",$J42,IF($E42="短時支援",_xlfn.XLOOKUP($C42,'RPD支援者候選'!$A$7:$A$20,'RPD支援者候選'!$H$7:$H$20,"未建立",0),IF($E42="學習觀摩","學習觀摩，不計正式人力",IF(OR($E42="完整支援",$E42="技術備援",$E42="流動",$E42="第二櫃台"),IF(AND($E42="技術備援",_xlfn.XLOOKUP($H42,'李醫師治療模式'!$A$7:$A$19,'李醫師治療模式'!$F$7:$F$19,"",0)="高複雜度"),"高複雜度不可由技術備援",IF($E42="完整支援",IF(_xlfn.XLOOKUP("SUP|"&amp;$C42&amp;"|"&amp;$H42,'支援者資格核定'!$A$7:$A$188,'支援者資格核定'!$N$7:$N$188,"未建立",0)&lt;&gt;"完整支援者","需要完整支援者",IF($F42&gt;_xlfn.XLOOKUP("SUP|"&amp;$C42&amp;"|"&amp;$H42,'支援者資格核定'!$A$7:$A$188,'支援者資格核定'!$O$7:$O$188,0,0),"支援名額超過核定上限","支援資格通過")),IF(OR(_xlfn.XLOOKUP("SUP|"&amp;$C42&amp;"|"&amp;$H42,'支援者資格核定'!$A$7:$A$188,'支援者資格核定'!$N$7:$N$188,"未建立",0)="完整支援者",_xlfn.XLOOKUP("SUP|"&amp;$C42&amp;"|"&amp;$H42,'支援者資格核定'!$A$7:$A$188,'支援者資格核定'!$N$7:$N$188,"未建立",0)="技術備援者"),IF($F42&gt;_xlfn.XLOOKUP("SUP|"&amp;$C42&amp;"|"&amp;$H42,'支援者資格核定'!$A$7:$A$188,'支援者資格核定'!$O$7:$O$188,0,0),"支援名額超過核定上限","支援資格通過"),"支援資格未核定"))),"角色未定義")))))</x:f>
      </x:c>
      <x:c r="L42" s="84" t="n">
        <x:f>IF($E42&lt;&gt;"主跟診",0,IF($I42="初步可條件排",IF(_xlfn.XLOOKUP($H42,'排班模式清單'!$A$7:$A$169,'排班模式清單'!$E$7:$E$169,"",0)="高複雜度",2,1),0)+IFNA(_xlfn.XLOOKUP($B42,'班次需求輸入'!$A$7:$A$36,'班次需求輸入'!$I$7:$I$36,0,0),0))</x:f>
        <x:v>0</x:v>
      </x:c>
      <x:c r="M42" s="85" t="str">
        <x:f>IF($B42="","",_xlfn.XLOOKUP($B42,'班次需求輸入'!$A$7:$A$36,'班次需求輸入'!$B$7:$B$36,"",0))</x:f>
      </x:c>
      <x:c r="N42" s="86" t="str">
        <x:f>IF($B42="","",_xlfn.XLOOKUP($B42,'班次需求輸入'!$A$7:$A$36,'班次需求輸入'!$C$7:$C$36,"",0))</x:f>
      </x:c>
      <x:c r="O42" s="86" t="str">
        <x:f>IF($B42="","",_xlfn.XLOOKUP($B42,'班次需求輸入'!$A$7:$A$36,'班次需求輸入'!$D$7:$D$36,"",0))</x:f>
      </x:c>
      <x:c r="P42" s="84" t="n">
        <x:f>IF(OR($C42="",$M42="",$N42="",$O42=""),0,COUNTIFS($C$7:$C$66,$C42,$M$7:$M$66,$M42,$N$7:$N$66,"&lt;"&amp;$O42,$O$7:$O$66,"&gt;"&amp;$N42)-1)</x:f>
        <x:v>0</x:v>
      </x:c>
      <x:c r="Q42" s="84" t="str">
        <x:f>IF($B42="","",IF($P42&gt;0,"時段衝突",IF($E42="主跟診",IF(LEFT($K42,1)="待","候選，待完成資格","已檢核"),IF(OR($E42="完整支援",$E42="技術備援",$E42="流動",$E42="第二櫃台"),IF($K42="支援資格通過","已檢核",$K42),$K42))))</x:f>
      </x:c>
      <x:c r="R42" s="81"/>
    </x:row>
    <x:row r="43">
      <x:c r="A43" s="81"/>
      <x:c r="B43" s="81"/>
      <x:c r="C43" s="81"/>
      <x:c r="D43" s="84" t="str">
        <x:f>IF($C43="","",_xlfn.XLOOKUP($C43,'試行員工主檔'!$A$7:$A$20,'試行員工主檔'!$B$7:$B$20,"員工未建立",0))</x:f>
      </x:c>
      <x:c r="E43" s="84"/>
      <x:c r="F43" s="84"/>
      <x:c r="G43" s="84"/>
      <x:c r="H43" s="84" t="str">
        <x:f>IF($B43="","",_xlfn.XLOOKUP($B43,'班次需求輸入'!$A$7:$A$36,'班次需求輸入'!$F$7:$F$36,"需求未建立",0))</x:f>
      </x:c>
      <x:c r="I43" s="84" t="str">
        <x:f>IF(OR($C43="",$H43=""),"",_xlfn.XLOOKUP($C43&amp;"|"&amp;$H43,'排班適配試算'!$V$7:$V$188,'排班適配試算'!$S$7:$S$188,"未建立",0))</x:f>
      </x:c>
      <x:c r="J43" s="84" t="str">
        <x:f>IF(OR($C43="",$H43=""),"",_xlfn.XLOOKUP($C43&amp;"|"&amp;$H43,'排班適配試算'!$V$7:$V$188,'排班適配試算'!$U$7:$U$188,"未建立",0))</x:f>
      </x:c>
      <x:c r="K43" s="84" t="str">
        <x:f>IF($E43="","",IF($E43="主跟診",$J43,IF($E43="短時支援",_xlfn.XLOOKUP($C43,'RPD支援者候選'!$A$7:$A$20,'RPD支援者候選'!$H$7:$H$20,"未建立",0),IF($E43="學習觀摩","學習觀摩，不計正式人力",IF(OR($E43="完整支援",$E43="技術備援",$E43="流動",$E43="第二櫃台"),IF(AND($E43="技術備援",_xlfn.XLOOKUP($H43,'李醫師治療模式'!$A$7:$A$19,'李醫師治療模式'!$F$7:$F$19,"",0)="高複雜度"),"高複雜度不可由技術備援",IF($E43="完整支援",IF(_xlfn.XLOOKUP("SUP|"&amp;$C43&amp;"|"&amp;$H43,'支援者資格核定'!$A$7:$A$188,'支援者資格核定'!$N$7:$N$188,"未建立",0)&lt;&gt;"完整支援者","需要完整支援者",IF($F43&gt;_xlfn.XLOOKUP("SUP|"&amp;$C43&amp;"|"&amp;$H43,'支援者資格核定'!$A$7:$A$188,'支援者資格核定'!$O$7:$O$188,0,0),"支援名額超過核定上限","支援資格通過")),IF(OR(_xlfn.XLOOKUP("SUP|"&amp;$C43&amp;"|"&amp;$H43,'支援者資格核定'!$A$7:$A$188,'支援者資格核定'!$N$7:$N$188,"未建立",0)="完整支援者",_xlfn.XLOOKUP("SUP|"&amp;$C43&amp;"|"&amp;$H43,'支援者資格核定'!$A$7:$A$188,'支援者資格核定'!$N$7:$N$188,"未建立",0)="技術備援者"),IF($F43&gt;_xlfn.XLOOKUP("SUP|"&amp;$C43&amp;"|"&amp;$H43,'支援者資格核定'!$A$7:$A$188,'支援者資格核定'!$O$7:$O$188,0,0),"支援名額超過核定上限","支援資格通過"),"支援資格未核定"))),"角色未定義")))))</x:f>
      </x:c>
      <x:c r="L43" s="84" t="n">
        <x:f>IF($E43&lt;&gt;"主跟診",0,IF($I43="初步可條件排",IF(_xlfn.XLOOKUP($H43,'排班模式清單'!$A$7:$A$169,'排班模式清單'!$E$7:$E$169,"",0)="高複雜度",2,1),0)+IFNA(_xlfn.XLOOKUP($B43,'班次需求輸入'!$A$7:$A$36,'班次需求輸入'!$I$7:$I$36,0,0),0))</x:f>
        <x:v>0</x:v>
      </x:c>
      <x:c r="M43" s="85" t="str">
        <x:f>IF($B43="","",_xlfn.XLOOKUP($B43,'班次需求輸入'!$A$7:$A$36,'班次需求輸入'!$B$7:$B$36,"",0))</x:f>
      </x:c>
      <x:c r="N43" s="86" t="str">
        <x:f>IF($B43="","",_xlfn.XLOOKUP($B43,'班次需求輸入'!$A$7:$A$36,'班次需求輸入'!$C$7:$C$36,"",0))</x:f>
      </x:c>
      <x:c r="O43" s="86" t="str">
        <x:f>IF($B43="","",_xlfn.XLOOKUP($B43,'班次需求輸入'!$A$7:$A$36,'班次需求輸入'!$D$7:$D$36,"",0))</x:f>
      </x:c>
      <x:c r="P43" s="84" t="n">
        <x:f>IF(OR($C43="",$M43="",$N43="",$O43=""),0,COUNTIFS($C$7:$C$66,$C43,$M$7:$M$66,$M43,$N$7:$N$66,"&lt;"&amp;$O43,$O$7:$O$66,"&gt;"&amp;$N43)-1)</x:f>
        <x:v>0</x:v>
      </x:c>
      <x:c r="Q43" s="84" t="str">
        <x:f>IF($B43="","",IF($P43&gt;0,"時段衝突",IF($E43="主跟診",IF(LEFT($K43,1)="待","候選，待完成資格","已檢核"),IF(OR($E43="完整支援",$E43="技術備援",$E43="流動",$E43="第二櫃台"),IF($K43="支援資格通過","已檢核",$K43),$K43))))</x:f>
      </x:c>
      <x:c r="R43" s="81"/>
    </x:row>
    <x:row r="44">
      <x:c r="A44" s="81"/>
      <x:c r="B44" s="81"/>
      <x:c r="C44" s="81"/>
      <x:c r="D44" s="84" t="str">
        <x:f>IF($C44="","",_xlfn.XLOOKUP($C44,'試行員工主檔'!$A$7:$A$20,'試行員工主檔'!$B$7:$B$20,"員工未建立",0))</x:f>
      </x:c>
      <x:c r="E44" s="84"/>
      <x:c r="F44" s="84"/>
      <x:c r="G44" s="84"/>
      <x:c r="H44" s="84" t="str">
        <x:f>IF($B44="","",_xlfn.XLOOKUP($B44,'班次需求輸入'!$A$7:$A$36,'班次需求輸入'!$F$7:$F$36,"需求未建立",0))</x:f>
      </x:c>
      <x:c r="I44" s="84" t="str">
        <x:f>IF(OR($C44="",$H44=""),"",_xlfn.XLOOKUP($C44&amp;"|"&amp;$H44,'排班適配試算'!$V$7:$V$188,'排班適配試算'!$S$7:$S$188,"未建立",0))</x:f>
      </x:c>
      <x:c r="J44" s="84" t="str">
        <x:f>IF(OR($C44="",$H44=""),"",_xlfn.XLOOKUP($C44&amp;"|"&amp;$H44,'排班適配試算'!$V$7:$V$188,'排班適配試算'!$U$7:$U$188,"未建立",0))</x:f>
      </x:c>
      <x:c r="K44" s="84" t="str">
        <x:f>IF($E44="","",IF($E44="主跟診",$J44,IF($E44="短時支援",_xlfn.XLOOKUP($C44,'RPD支援者候選'!$A$7:$A$20,'RPD支援者候選'!$H$7:$H$20,"未建立",0),IF($E44="學習觀摩","學習觀摩，不計正式人力",IF(OR($E44="完整支援",$E44="技術備援",$E44="流動",$E44="第二櫃台"),IF(AND($E44="技術備援",_xlfn.XLOOKUP($H44,'李醫師治療模式'!$A$7:$A$19,'李醫師治療模式'!$F$7:$F$19,"",0)="高複雜度"),"高複雜度不可由技術備援",IF($E44="完整支援",IF(_xlfn.XLOOKUP("SUP|"&amp;$C44&amp;"|"&amp;$H44,'支援者資格核定'!$A$7:$A$188,'支援者資格核定'!$N$7:$N$188,"未建立",0)&lt;&gt;"完整支援者","需要完整支援者",IF($F44&gt;_xlfn.XLOOKUP("SUP|"&amp;$C44&amp;"|"&amp;$H44,'支援者資格核定'!$A$7:$A$188,'支援者資格核定'!$O$7:$O$188,0,0),"支援名額超過核定上限","支援資格通過")),IF(OR(_xlfn.XLOOKUP("SUP|"&amp;$C44&amp;"|"&amp;$H44,'支援者資格核定'!$A$7:$A$188,'支援者資格核定'!$N$7:$N$188,"未建立",0)="完整支援者",_xlfn.XLOOKUP("SUP|"&amp;$C44&amp;"|"&amp;$H44,'支援者資格核定'!$A$7:$A$188,'支援者資格核定'!$N$7:$N$188,"未建立",0)="技術備援者"),IF($F44&gt;_xlfn.XLOOKUP("SUP|"&amp;$C44&amp;"|"&amp;$H44,'支援者資格核定'!$A$7:$A$188,'支援者資格核定'!$O$7:$O$188,0,0),"支援名額超過核定上限","支援資格通過"),"支援資格未核定"))),"角色未定義")))))</x:f>
      </x:c>
      <x:c r="L44" s="84" t="n">
        <x:f>IF($E44&lt;&gt;"主跟診",0,IF($I44="初步可條件排",IF(_xlfn.XLOOKUP($H44,'排班模式清單'!$A$7:$A$169,'排班模式清單'!$E$7:$E$169,"",0)="高複雜度",2,1),0)+IFNA(_xlfn.XLOOKUP($B44,'班次需求輸入'!$A$7:$A$36,'班次需求輸入'!$I$7:$I$36,0,0),0))</x:f>
        <x:v>0</x:v>
      </x:c>
      <x:c r="M44" s="85" t="str">
        <x:f>IF($B44="","",_xlfn.XLOOKUP($B44,'班次需求輸入'!$A$7:$A$36,'班次需求輸入'!$B$7:$B$36,"",0))</x:f>
      </x:c>
      <x:c r="N44" s="86" t="str">
        <x:f>IF($B44="","",_xlfn.XLOOKUP($B44,'班次需求輸入'!$A$7:$A$36,'班次需求輸入'!$C$7:$C$36,"",0))</x:f>
      </x:c>
      <x:c r="O44" s="86" t="str">
        <x:f>IF($B44="","",_xlfn.XLOOKUP($B44,'班次需求輸入'!$A$7:$A$36,'班次需求輸入'!$D$7:$D$36,"",0))</x:f>
      </x:c>
      <x:c r="P44" s="84" t="n">
        <x:f>IF(OR($C44="",$M44="",$N44="",$O44=""),0,COUNTIFS($C$7:$C$66,$C44,$M$7:$M$66,$M44,$N$7:$N$66,"&lt;"&amp;$O44,$O$7:$O$66,"&gt;"&amp;$N44)-1)</x:f>
        <x:v>0</x:v>
      </x:c>
      <x:c r="Q44" s="84" t="str">
        <x:f>IF($B44="","",IF($P44&gt;0,"時段衝突",IF($E44="主跟診",IF(LEFT($K44,1)="待","候選，待完成資格","已檢核"),IF(OR($E44="完整支援",$E44="技術備援",$E44="流動",$E44="第二櫃台"),IF($K44="支援資格通過","已檢核",$K44),$K44))))</x:f>
      </x:c>
      <x:c r="R44" s="81"/>
    </x:row>
    <x:row r="45">
      <x:c r="A45" s="81"/>
      <x:c r="B45" s="81"/>
      <x:c r="C45" s="81"/>
      <x:c r="D45" s="84" t="str">
        <x:f>IF($C45="","",_xlfn.XLOOKUP($C45,'試行員工主檔'!$A$7:$A$20,'試行員工主檔'!$B$7:$B$20,"員工未建立",0))</x:f>
      </x:c>
      <x:c r="E45" s="84"/>
      <x:c r="F45" s="84"/>
      <x:c r="G45" s="84"/>
      <x:c r="H45" s="84" t="str">
        <x:f>IF($B45="","",_xlfn.XLOOKUP($B45,'班次需求輸入'!$A$7:$A$36,'班次需求輸入'!$F$7:$F$36,"需求未建立",0))</x:f>
      </x:c>
      <x:c r="I45" s="84" t="str">
        <x:f>IF(OR($C45="",$H45=""),"",_xlfn.XLOOKUP($C45&amp;"|"&amp;$H45,'排班適配試算'!$V$7:$V$188,'排班適配試算'!$S$7:$S$188,"未建立",0))</x:f>
      </x:c>
      <x:c r="J45" s="84" t="str">
        <x:f>IF(OR($C45="",$H45=""),"",_xlfn.XLOOKUP($C45&amp;"|"&amp;$H45,'排班適配試算'!$V$7:$V$188,'排班適配試算'!$U$7:$U$188,"未建立",0))</x:f>
      </x:c>
      <x:c r="K45" s="84" t="str">
        <x:f>IF($E45="","",IF($E45="主跟診",$J45,IF($E45="短時支援",_xlfn.XLOOKUP($C45,'RPD支援者候選'!$A$7:$A$20,'RPD支援者候選'!$H$7:$H$20,"未建立",0),IF($E45="學習觀摩","學習觀摩，不計正式人力",IF(OR($E45="完整支援",$E45="技術備援",$E45="流動",$E45="第二櫃台"),IF(AND($E45="技術備援",_xlfn.XLOOKUP($H45,'李醫師治療模式'!$A$7:$A$19,'李醫師治療模式'!$F$7:$F$19,"",0)="高複雜度"),"高複雜度不可由技術備援",IF($E45="完整支援",IF(_xlfn.XLOOKUP("SUP|"&amp;$C45&amp;"|"&amp;$H45,'支援者資格核定'!$A$7:$A$188,'支援者資格核定'!$N$7:$N$188,"未建立",0)&lt;&gt;"完整支援者","需要完整支援者",IF($F45&gt;_xlfn.XLOOKUP("SUP|"&amp;$C45&amp;"|"&amp;$H45,'支援者資格核定'!$A$7:$A$188,'支援者資格核定'!$O$7:$O$188,0,0),"支援名額超過核定上限","支援資格通過")),IF(OR(_xlfn.XLOOKUP("SUP|"&amp;$C45&amp;"|"&amp;$H45,'支援者資格核定'!$A$7:$A$188,'支援者資格核定'!$N$7:$N$188,"未建立",0)="完整支援者",_xlfn.XLOOKUP("SUP|"&amp;$C45&amp;"|"&amp;$H45,'支援者資格核定'!$A$7:$A$188,'支援者資格核定'!$N$7:$N$188,"未建立",0)="技術備援者"),IF($F45&gt;_xlfn.XLOOKUP("SUP|"&amp;$C45&amp;"|"&amp;$H45,'支援者資格核定'!$A$7:$A$188,'支援者資格核定'!$O$7:$O$188,0,0),"支援名額超過核定上限","支援資格通過"),"支援資格未核定"))),"角色未定義")))))</x:f>
      </x:c>
      <x:c r="L45" s="84" t="n">
        <x:f>IF($E45&lt;&gt;"主跟診",0,IF($I45="初步可條件排",IF(_xlfn.XLOOKUP($H45,'排班模式清單'!$A$7:$A$169,'排班模式清單'!$E$7:$E$169,"",0)="高複雜度",2,1),0)+IFNA(_xlfn.XLOOKUP($B45,'班次需求輸入'!$A$7:$A$36,'班次需求輸入'!$I$7:$I$36,0,0),0))</x:f>
        <x:v>0</x:v>
      </x:c>
      <x:c r="M45" s="85" t="str">
        <x:f>IF($B45="","",_xlfn.XLOOKUP($B45,'班次需求輸入'!$A$7:$A$36,'班次需求輸入'!$B$7:$B$36,"",0))</x:f>
      </x:c>
      <x:c r="N45" s="86" t="str">
        <x:f>IF($B45="","",_xlfn.XLOOKUP($B45,'班次需求輸入'!$A$7:$A$36,'班次需求輸入'!$C$7:$C$36,"",0))</x:f>
      </x:c>
      <x:c r="O45" s="86" t="str">
        <x:f>IF($B45="","",_xlfn.XLOOKUP($B45,'班次需求輸入'!$A$7:$A$36,'班次需求輸入'!$D$7:$D$36,"",0))</x:f>
      </x:c>
      <x:c r="P45" s="84" t="n">
        <x:f>IF(OR($C45="",$M45="",$N45="",$O45=""),0,COUNTIFS($C$7:$C$66,$C45,$M$7:$M$66,$M45,$N$7:$N$66,"&lt;"&amp;$O45,$O$7:$O$66,"&gt;"&amp;$N45)-1)</x:f>
        <x:v>0</x:v>
      </x:c>
      <x:c r="Q45" s="84" t="str">
        <x:f>IF($B45="","",IF($P45&gt;0,"時段衝突",IF($E45="主跟診",IF(LEFT($K45,1)="待","候選，待完成資格","已檢核"),IF(OR($E45="完整支援",$E45="技術備援",$E45="流動",$E45="第二櫃台"),IF($K45="支援資格通過","已檢核",$K45),$K45))))</x:f>
      </x:c>
      <x:c r="R45" s="81"/>
    </x:row>
    <x:row r="46">
      <x:c r="A46" s="81"/>
      <x:c r="B46" s="81"/>
      <x:c r="C46" s="81"/>
      <x:c r="D46" s="84" t="str">
        <x:f>IF($C46="","",_xlfn.XLOOKUP($C46,'試行員工主檔'!$A$7:$A$20,'試行員工主檔'!$B$7:$B$20,"員工未建立",0))</x:f>
      </x:c>
      <x:c r="E46" s="84"/>
      <x:c r="F46" s="84"/>
      <x:c r="G46" s="84"/>
      <x:c r="H46" s="84" t="str">
        <x:f>IF($B46="","",_xlfn.XLOOKUP($B46,'班次需求輸入'!$A$7:$A$36,'班次需求輸入'!$F$7:$F$36,"需求未建立",0))</x:f>
      </x:c>
      <x:c r="I46" s="84" t="str">
        <x:f>IF(OR($C46="",$H46=""),"",_xlfn.XLOOKUP($C46&amp;"|"&amp;$H46,'排班適配試算'!$V$7:$V$188,'排班適配試算'!$S$7:$S$188,"未建立",0))</x:f>
      </x:c>
      <x:c r="J46" s="84" t="str">
        <x:f>IF(OR($C46="",$H46=""),"",_xlfn.XLOOKUP($C46&amp;"|"&amp;$H46,'排班適配試算'!$V$7:$V$188,'排班適配試算'!$U$7:$U$188,"未建立",0))</x:f>
      </x:c>
      <x:c r="K46" s="84" t="str">
        <x:f>IF($E46="","",IF($E46="主跟診",$J46,IF($E46="短時支援",_xlfn.XLOOKUP($C46,'RPD支援者候選'!$A$7:$A$20,'RPD支援者候選'!$H$7:$H$20,"未建立",0),IF($E46="學習觀摩","學習觀摩，不計正式人力",IF(OR($E46="完整支援",$E46="技術備援",$E46="流動",$E46="第二櫃台"),IF(AND($E46="技術備援",_xlfn.XLOOKUP($H46,'李醫師治療模式'!$A$7:$A$19,'李醫師治療模式'!$F$7:$F$19,"",0)="高複雜度"),"高複雜度不可由技術備援",IF($E46="完整支援",IF(_xlfn.XLOOKUP("SUP|"&amp;$C46&amp;"|"&amp;$H46,'支援者資格核定'!$A$7:$A$188,'支援者資格核定'!$N$7:$N$188,"未建立",0)&lt;&gt;"完整支援者","需要完整支援者",IF($F46&gt;_xlfn.XLOOKUP("SUP|"&amp;$C46&amp;"|"&amp;$H46,'支援者資格核定'!$A$7:$A$188,'支援者資格核定'!$O$7:$O$188,0,0),"支援名額超過核定上限","支援資格通過")),IF(OR(_xlfn.XLOOKUP("SUP|"&amp;$C46&amp;"|"&amp;$H46,'支援者資格核定'!$A$7:$A$188,'支援者資格核定'!$N$7:$N$188,"未建立",0)="完整支援者",_xlfn.XLOOKUP("SUP|"&amp;$C46&amp;"|"&amp;$H46,'支援者資格核定'!$A$7:$A$188,'支援者資格核定'!$N$7:$N$188,"未建立",0)="技術備援者"),IF($F46&gt;_xlfn.XLOOKUP("SUP|"&amp;$C46&amp;"|"&amp;$H46,'支援者資格核定'!$A$7:$A$188,'支援者資格核定'!$O$7:$O$188,0,0),"支援名額超過核定上限","支援資格通過"),"支援資格未核定"))),"角色未定義")))))</x:f>
      </x:c>
      <x:c r="L46" s="84" t="n">
        <x:f>IF($E46&lt;&gt;"主跟診",0,IF($I46="初步可條件排",IF(_xlfn.XLOOKUP($H46,'排班模式清單'!$A$7:$A$169,'排班模式清單'!$E$7:$E$169,"",0)="高複雜度",2,1),0)+IFNA(_xlfn.XLOOKUP($B46,'班次需求輸入'!$A$7:$A$36,'班次需求輸入'!$I$7:$I$36,0,0),0))</x:f>
        <x:v>0</x:v>
      </x:c>
      <x:c r="M46" s="85" t="str">
        <x:f>IF($B46="","",_xlfn.XLOOKUP($B46,'班次需求輸入'!$A$7:$A$36,'班次需求輸入'!$B$7:$B$36,"",0))</x:f>
      </x:c>
      <x:c r="N46" s="86" t="str">
        <x:f>IF($B46="","",_xlfn.XLOOKUP($B46,'班次需求輸入'!$A$7:$A$36,'班次需求輸入'!$C$7:$C$36,"",0))</x:f>
      </x:c>
      <x:c r="O46" s="86" t="str">
        <x:f>IF($B46="","",_xlfn.XLOOKUP($B46,'班次需求輸入'!$A$7:$A$36,'班次需求輸入'!$D$7:$D$36,"",0))</x:f>
      </x:c>
      <x:c r="P46" s="84" t="n">
        <x:f>IF(OR($C46="",$M46="",$N46="",$O46=""),0,COUNTIFS($C$7:$C$66,$C46,$M$7:$M$66,$M46,$N$7:$N$66,"&lt;"&amp;$O46,$O$7:$O$66,"&gt;"&amp;$N46)-1)</x:f>
        <x:v>0</x:v>
      </x:c>
      <x:c r="Q46" s="84" t="str">
        <x:f>IF($B46="","",IF($P46&gt;0,"時段衝突",IF($E46="主跟診",IF(LEFT($K46,1)="待","候選，待完成資格","已檢核"),IF(OR($E46="完整支援",$E46="技術備援",$E46="流動",$E46="第二櫃台"),IF($K46="支援資格通過","已檢核",$K46),$K46))))</x:f>
      </x:c>
      <x:c r="R46" s="81"/>
    </x:row>
    <x:row r="47">
      <x:c r="A47" s="81"/>
      <x:c r="B47" s="81"/>
      <x:c r="C47" s="81"/>
      <x:c r="D47" s="84" t="str">
        <x:f>IF($C47="","",_xlfn.XLOOKUP($C47,'試行員工主檔'!$A$7:$A$20,'試行員工主檔'!$B$7:$B$20,"員工未建立",0))</x:f>
      </x:c>
      <x:c r="E47" s="84"/>
      <x:c r="F47" s="84"/>
      <x:c r="G47" s="84"/>
      <x:c r="H47" s="84" t="str">
        <x:f>IF($B47="","",_xlfn.XLOOKUP($B47,'班次需求輸入'!$A$7:$A$36,'班次需求輸入'!$F$7:$F$36,"需求未建立",0))</x:f>
      </x:c>
      <x:c r="I47" s="84" t="str">
        <x:f>IF(OR($C47="",$H47=""),"",_xlfn.XLOOKUP($C47&amp;"|"&amp;$H47,'排班適配試算'!$V$7:$V$188,'排班適配試算'!$S$7:$S$188,"未建立",0))</x:f>
      </x:c>
      <x:c r="J47" s="84" t="str">
        <x:f>IF(OR($C47="",$H47=""),"",_xlfn.XLOOKUP($C47&amp;"|"&amp;$H47,'排班適配試算'!$V$7:$V$188,'排班適配試算'!$U$7:$U$188,"未建立",0))</x:f>
      </x:c>
      <x:c r="K47" s="84" t="str">
        <x:f>IF($E47="","",IF($E47="主跟診",$J47,IF($E47="短時支援",_xlfn.XLOOKUP($C47,'RPD支援者候選'!$A$7:$A$20,'RPD支援者候選'!$H$7:$H$20,"未建立",0),IF($E47="學習觀摩","學習觀摩，不計正式人力",IF(OR($E47="完整支援",$E47="技術備援",$E47="流動",$E47="第二櫃台"),IF(AND($E47="技術備援",_xlfn.XLOOKUP($H47,'李醫師治療模式'!$A$7:$A$19,'李醫師治療模式'!$F$7:$F$19,"",0)="高複雜度"),"高複雜度不可由技術備援",IF($E47="完整支援",IF(_xlfn.XLOOKUP("SUP|"&amp;$C47&amp;"|"&amp;$H47,'支援者資格核定'!$A$7:$A$188,'支援者資格核定'!$N$7:$N$188,"未建立",0)&lt;&gt;"完整支援者","需要完整支援者",IF($F47&gt;_xlfn.XLOOKUP("SUP|"&amp;$C47&amp;"|"&amp;$H47,'支援者資格核定'!$A$7:$A$188,'支援者資格核定'!$O$7:$O$188,0,0),"支援名額超過核定上限","支援資格通過")),IF(OR(_xlfn.XLOOKUP("SUP|"&amp;$C47&amp;"|"&amp;$H47,'支援者資格核定'!$A$7:$A$188,'支援者資格核定'!$N$7:$N$188,"未建立",0)="完整支援者",_xlfn.XLOOKUP("SUP|"&amp;$C47&amp;"|"&amp;$H47,'支援者資格核定'!$A$7:$A$188,'支援者資格核定'!$N$7:$N$188,"未建立",0)="技術備援者"),IF($F47&gt;_xlfn.XLOOKUP("SUP|"&amp;$C47&amp;"|"&amp;$H47,'支援者資格核定'!$A$7:$A$188,'支援者資格核定'!$O$7:$O$188,0,0),"支援名額超過核定上限","支援資格通過"),"支援資格未核定"))),"角色未定義")))))</x:f>
      </x:c>
      <x:c r="L47" s="84" t="n">
        <x:f>IF($E47&lt;&gt;"主跟診",0,IF($I47="初步可條件排",IF(_xlfn.XLOOKUP($H47,'排班模式清單'!$A$7:$A$169,'排班模式清單'!$E$7:$E$169,"",0)="高複雜度",2,1),0)+IFNA(_xlfn.XLOOKUP($B47,'班次需求輸入'!$A$7:$A$36,'班次需求輸入'!$I$7:$I$36,0,0),0))</x:f>
        <x:v>0</x:v>
      </x:c>
      <x:c r="M47" s="85" t="str">
        <x:f>IF($B47="","",_xlfn.XLOOKUP($B47,'班次需求輸入'!$A$7:$A$36,'班次需求輸入'!$B$7:$B$36,"",0))</x:f>
      </x:c>
      <x:c r="N47" s="86" t="str">
        <x:f>IF($B47="","",_xlfn.XLOOKUP($B47,'班次需求輸入'!$A$7:$A$36,'班次需求輸入'!$C$7:$C$36,"",0))</x:f>
      </x:c>
      <x:c r="O47" s="86" t="str">
        <x:f>IF($B47="","",_xlfn.XLOOKUP($B47,'班次需求輸入'!$A$7:$A$36,'班次需求輸入'!$D$7:$D$36,"",0))</x:f>
      </x:c>
      <x:c r="P47" s="84" t="n">
        <x:f>IF(OR($C47="",$M47="",$N47="",$O47=""),0,COUNTIFS($C$7:$C$66,$C47,$M$7:$M$66,$M47,$N$7:$N$66,"&lt;"&amp;$O47,$O$7:$O$66,"&gt;"&amp;$N47)-1)</x:f>
        <x:v>0</x:v>
      </x:c>
      <x:c r="Q47" s="84" t="str">
        <x:f>IF($B47="","",IF($P47&gt;0,"時段衝突",IF($E47="主跟診",IF(LEFT($K47,1)="待","候選，待完成資格","已檢核"),IF(OR($E47="完整支援",$E47="技術備援",$E47="流動",$E47="第二櫃台"),IF($K47="支援資格通過","已檢核",$K47),$K47))))</x:f>
      </x:c>
      <x:c r="R47" s="81"/>
    </x:row>
    <x:row r="48">
      <x:c r="A48" s="81"/>
      <x:c r="B48" s="81"/>
      <x:c r="C48" s="81"/>
      <x:c r="D48" s="84" t="str">
        <x:f>IF($C48="","",_xlfn.XLOOKUP($C48,'試行員工主檔'!$A$7:$A$20,'試行員工主檔'!$B$7:$B$20,"員工未建立",0))</x:f>
      </x:c>
      <x:c r="E48" s="84"/>
      <x:c r="F48" s="84"/>
      <x:c r="G48" s="84"/>
      <x:c r="H48" s="84" t="str">
        <x:f>IF($B48="","",_xlfn.XLOOKUP($B48,'班次需求輸入'!$A$7:$A$36,'班次需求輸入'!$F$7:$F$36,"需求未建立",0))</x:f>
      </x:c>
      <x:c r="I48" s="84" t="str">
        <x:f>IF(OR($C48="",$H48=""),"",_xlfn.XLOOKUP($C48&amp;"|"&amp;$H48,'排班適配試算'!$V$7:$V$188,'排班適配試算'!$S$7:$S$188,"未建立",0))</x:f>
      </x:c>
      <x:c r="J48" s="84" t="str">
        <x:f>IF(OR($C48="",$H48=""),"",_xlfn.XLOOKUP($C48&amp;"|"&amp;$H48,'排班適配試算'!$V$7:$V$188,'排班適配試算'!$U$7:$U$188,"未建立",0))</x:f>
      </x:c>
      <x:c r="K48" s="84" t="str">
        <x:f>IF($E48="","",IF($E48="主跟診",$J48,IF($E48="短時支援",_xlfn.XLOOKUP($C48,'RPD支援者候選'!$A$7:$A$20,'RPD支援者候選'!$H$7:$H$20,"未建立",0),IF($E48="學習觀摩","學習觀摩，不計正式人力",IF(OR($E48="完整支援",$E48="技術備援",$E48="流動",$E48="第二櫃台"),IF(AND($E48="技術備援",_xlfn.XLOOKUP($H48,'李醫師治療模式'!$A$7:$A$19,'李醫師治療模式'!$F$7:$F$19,"",0)="高複雜度"),"高複雜度不可由技術備援",IF($E48="完整支援",IF(_xlfn.XLOOKUP("SUP|"&amp;$C48&amp;"|"&amp;$H48,'支援者資格核定'!$A$7:$A$188,'支援者資格核定'!$N$7:$N$188,"未建立",0)&lt;&gt;"完整支援者","需要完整支援者",IF($F48&gt;_xlfn.XLOOKUP("SUP|"&amp;$C48&amp;"|"&amp;$H48,'支援者資格核定'!$A$7:$A$188,'支援者資格核定'!$O$7:$O$188,0,0),"支援名額超過核定上限","支援資格通過")),IF(OR(_xlfn.XLOOKUP("SUP|"&amp;$C48&amp;"|"&amp;$H48,'支援者資格核定'!$A$7:$A$188,'支援者資格核定'!$N$7:$N$188,"未建立",0)="完整支援者",_xlfn.XLOOKUP("SUP|"&amp;$C48&amp;"|"&amp;$H48,'支援者資格核定'!$A$7:$A$188,'支援者資格核定'!$N$7:$N$188,"未建立",0)="技術備援者"),IF($F48&gt;_xlfn.XLOOKUP("SUP|"&amp;$C48&amp;"|"&amp;$H48,'支援者資格核定'!$A$7:$A$188,'支援者資格核定'!$O$7:$O$188,0,0),"支援名額超過核定上限","支援資格通過"),"支援資格未核定"))),"角色未定義")))))</x:f>
      </x:c>
      <x:c r="L48" s="84" t="n">
        <x:f>IF($E48&lt;&gt;"主跟診",0,IF($I48="初步可條件排",IF(_xlfn.XLOOKUP($H48,'排班模式清單'!$A$7:$A$169,'排班模式清單'!$E$7:$E$169,"",0)="高複雜度",2,1),0)+IFNA(_xlfn.XLOOKUP($B48,'班次需求輸入'!$A$7:$A$36,'班次需求輸入'!$I$7:$I$36,0,0),0))</x:f>
        <x:v>0</x:v>
      </x:c>
      <x:c r="M48" s="85" t="str">
        <x:f>IF($B48="","",_xlfn.XLOOKUP($B48,'班次需求輸入'!$A$7:$A$36,'班次需求輸入'!$B$7:$B$36,"",0))</x:f>
      </x:c>
      <x:c r="N48" s="86" t="str">
        <x:f>IF($B48="","",_xlfn.XLOOKUP($B48,'班次需求輸入'!$A$7:$A$36,'班次需求輸入'!$C$7:$C$36,"",0))</x:f>
      </x:c>
      <x:c r="O48" s="86" t="str">
        <x:f>IF($B48="","",_xlfn.XLOOKUP($B48,'班次需求輸入'!$A$7:$A$36,'班次需求輸入'!$D$7:$D$36,"",0))</x:f>
      </x:c>
      <x:c r="P48" s="84" t="n">
        <x:f>IF(OR($C48="",$M48="",$N48="",$O48=""),0,COUNTIFS($C$7:$C$66,$C48,$M$7:$M$66,$M48,$N$7:$N$66,"&lt;"&amp;$O48,$O$7:$O$66,"&gt;"&amp;$N48)-1)</x:f>
        <x:v>0</x:v>
      </x:c>
      <x:c r="Q48" s="84" t="str">
        <x:f>IF($B48="","",IF($P48&gt;0,"時段衝突",IF($E48="主跟診",IF(LEFT($K48,1)="待","候選，待完成資格","已檢核"),IF(OR($E48="完整支援",$E48="技術備援",$E48="流動",$E48="第二櫃台"),IF($K48="支援資格通過","已檢核",$K48),$K48))))</x:f>
      </x:c>
      <x:c r="R48" s="81"/>
    </x:row>
    <x:row r="49">
      <x:c r="A49" s="81"/>
      <x:c r="B49" s="81"/>
      <x:c r="C49" s="81"/>
      <x:c r="D49" s="84" t="str">
        <x:f>IF($C49="","",_xlfn.XLOOKUP($C49,'試行員工主檔'!$A$7:$A$20,'試行員工主檔'!$B$7:$B$20,"員工未建立",0))</x:f>
      </x:c>
      <x:c r="E49" s="84"/>
      <x:c r="F49" s="84"/>
      <x:c r="G49" s="84"/>
      <x:c r="H49" s="84" t="str">
        <x:f>IF($B49="","",_xlfn.XLOOKUP($B49,'班次需求輸入'!$A$7:$A$36,'班次需求輸入'!$F$7:$F$36,"需求未建立",0))</x:f>
      </x:c>
      <x:c r="I49" s="84" t="str">
        <x:f>IF(OR($C49="",$H49=""),"",_xlfn.XLOOKUP($C49&amp;"|"&amp;$H49,'排班適配試算'!$V$7:$V$188,'排班適配試算'!$S$7:$S$188,"未建立",0))</x:f>
      </x:c>
      <x:c r="J49" s="84" t="str">
        <x:f>IF(OR($C49="",$H49=""),"",_xlfn.XLOOKUP($C49&amp;"|"&amp;$H49,'排班適配試算'!$V$7:$V$188,'排班適配試算'!$U$7:$U$188,"未建立",0))</x:f>
      </x:c>
      <x:c r="K49" s="84" t="str">
        <x:f>IF($E49="","",IF($E49="主跟診",$J49,IF($E49="短時支援",_xlfn.XLOOKUP($C49,'RPD支援者候選'!$A$7:$A$20,'RPD支援者候選'!$H$7:$H$20,"未建立",0),IF($E49="學習觀摩","學習觀摩，不計正式人力",IF(OR($E49="完整支援",$E49="技術備援",$E49="流動",$E49="第二櫃台"),IF(AND($E49="技術備援",_xlfn.XLOOKUP($H49,'李醫師治療模式'!$A$7:$A$19,'李醫師治療模式'!$F$7:$F$19,"",0)="高複雜度"),"高複雜度不可由技術備援",IF($E49="完整支援",IF(_xlfn.XLOOKUP("SUP|"&amp;$C49&amp;"|"&amp;$H49,'支援者資格核定'!$A$7:$A$188,'支援者資格核定'!$N$7:$N$188,"未建立",0)&lt;&gt;"完整支援者","需要完整支援者",IF($F49&gt;_xlfn.XLOOKUP("SUP|"&amp;$C49&amp;"|"&amp;$H49,'支援者資格核定'!$A$7:$A$188,'支援者資格核定'!$O$7:$O$188,0,0),"支援名額超過核定上限","支援資格通過")),IF(OR(_xlfn.XLOOKUP("SUP|"&amp;$C49&amp;"|"&amp;$H49,'支援者資格核定'!$A$7:$A$188,'支援者資格核定'!$N$7:$N$188,"未建立",0)="完整支援者",_xlfn.XLOOKUP("SUP|"&amp;$C49&amp;"|"&amp;$H49,'支援者資格核定'!$A$7:$A$188,'支援者資格核定'!$N$7:$N$188,"未建立",0)="技術備援者"),IF($F49&gt;_xlfn.XLOOKUP("SUP|"&amp;$C49&amp;"|"&amp;$H49,'支援者資格核定'!$A$7:$A$188,'支援者資格核定'!$O$7:$O$188,0,0),"支援名額超過核定上限","支援資格通過"),"支援資格未核定"))),"角色未定義")))))</x:f>
      </x:c>
      <x:c r="L49" s="84" t="n">
        <x:f>IF($E49&lt;&gt;"主跟診",0,IF($I49="初步可條件排",IF(_xlfn.XLOOKUP($H49,'排班模式清單'!$A$7:$A$169,'排班模式清單'!$E$7:$E$169,"",0)="高複雜度",2,1),0)+IFNA(_xlfn.XLOOKUP($B49,'班次需求輸入'!$A$7:$A$36,'班次需求輸入'!$I$7:$I$36,0,0),0))</x:f>
        <x:v>0</x:v>
      </x:c>
      <x:c r="M49" s="85" t="str">
        <x:f>IF($B49="","",_xlfn.XLOOKUP($B49,'班次需求輸入'!$A$7:$A$36,'班次需求輸入'!$B$7:$B$36,"",0))</x:f>
      </x:c>
      <x:c r="N49" s="86" t="str">
        <x:f>IF($B49="","",_xlfn.XLOOKUP($B49,'班次需求輸入'!$A$7:$A$36,'班次需求輸入'!$C$7:$C$36,"",0))</x:f>
      </x:c>
      <x:c r="O49" s="86" t="str">
        <x:f>IF($B49="","",_xlfn.XLOOKUP($B49,'班次需求輸入'!$A$7:$A$36,'班次需求輸入'!$D$7:$D$36,"",0))</x:f>
      </x:c>
      <x:c r="P49" s="84" t="n">
        <x:f>IF(OR($C49="",$M49="",$N49="",$O49=""),0,COUNTIFS($C$7:$C$66,$C49,$M$7:$M$66,$M49,$N$7:$N$66,"&lt;"&amp;$O49,$O$7:$O$66,"&gt;"&amp;$N49)-1)</x:f>
        <x:v>0</x:v>
      </x:c>
      <x:c r="Q49" s="84" t="str">
        <x:f>IF($B49="","",IF($P49&gt;0,"時段衝突",IF($E49="主跟診",IF(LEFT($K49,1)="待","候選，待完成資格","已檢核"),IF(OR($E49="完整支援",$E49="技術備援",$E49="流動",$E49="第二櫃台"),IF($K49="支援資格通過","已檢核",$K49),$K49))))</x:f>
      </x:c>
      <x:c r="R49" s="81"/>
    </x:row>
    <x:row r="50">
      <x:c r="A50" s="81"/>
      <x:c r="B50" s="81"/>
      <x:c r="C50" s="81"/>
      <x:c r="D50" s="84" t="str">
        <x:f>IF($C50="","",_xlfn.XLOOKUP($C50,'試行員工主檔'!$A$7:$A$20,'試行員工主檔'!$B$7:$B$20,"員工未建立",0))</x:f>
      </x:c>
      <x:c r="E50" s="84"/>
      <x:c r="F50" s="84"/>
      <x:c r="G50" s="84"/>
      <x:c r="H50" s="84" t="str">
        <x:f>IF($B50="","",_xlfn.XLOOKUP($B50,'班次需求輸入'!$A$7:$A$36,'班次需求輸入'!$F$7:$F$36,"需求未建立",0))</x:f>
      </x:c>
      <x:c r="I50" s="84" t="str">
        <x:f>IF(OR($C50="",$H50=""),"",_xlfn.XLOOKUP($C50&amp;"|"&amp;$H50,'排班適配試算'!$V$7:$V$188,'排班適配試算'!$S$7:$S$188,"未建立",0))</x:f>
      </x:c>
      <x:c r="J50" s="84" t="str">
        <x:f>IF(OR($C50="",$H50=""),"",_xlfn.XLOOKUP($C50&amp;"|"&amp;$H50,'排班適配試算'!$V$7:$V$188,'排班適配試算'!$U$7:$U$188,"未建立",0))</x:f>
      </x:c>
      <x:c r="K50" s="84" t="str">
        <x:f>IF($E50="","",IF($E50="主跟診",$J50,IF($E50="短時支援",_xlfn.XLOOKUP($C50,'RPD支援者候選'!$A$7:$A$20,'RPD支援者候選'!$H$7:$H$20,"未建立",0),IF($E50="學習觀摩","學習觀摩，不計正式人力",IF(OR($E50="完整支援",$E50="技術備援",$E50="流動",$E50="第二櫃台"),IF(AND($E50="技術備援",_xlfn.XLOOKUP($H50,'李醫師治療模式'!$A$7:$A$19,'李醫師治療模式'!$F$7:$F$19,"",0)="高複雜度"),"高複雜度不可由技術備援",IF($E50="完整支援",IF(_xlfn.XLOOKUP("SUP|"&amp;$C50&amp;"|"&amp;$H50,'支援者資格核定'!$A$7:$A$188,'支援者資格核定'!$N$7:$N$188,"未建立",0)&lt;&gt;"完整支援者","需要完整支援者",IF($F50&gt;_xlfn.XLOOKUP("SUP|"&amp;$C50&amp;"|"&amp;$H50,'支援者資格核定'!$A$7:$A$188,'支援者資格核定'!$O$7:$O$188,0,0),"支援名額超過核定上限","支援資格通過")),IF(OR(_xlfn.XLOOKUP("SUP|"&amp;$C50&amp;"|"&amp;$H50,'支援者資格核定'!$A$7:$A$188,'支援者資格核定'!$N$7:$N$188,"未建立",0)="完整支援者",_xlfn.XLOOKUP("SUP|"&amp;$C50&amp;"|"&amp;$H50,'支援者資格核定'!$A$7:$A$188,'支援者資格核定'!$N$7:$N$188,"未建立",0)="技術備援者"),IF($F50&gt;_xlfn.XLOOKUP("SUP|"&amp;$C50&amp;"|"&amp;$H50,'支援者資格核定'!$A$7:$A$188,'支援者資格核定'!$O$7:$O$188,0,0),"支援名額超過核定上限","支援資格通過"),"支援資格未核定"))),"角色未定義")))))</x:f>
      </x:c>
      <x:c r="L50" s="84" t="n">
        <x:f>IF($E50&lt;&gt;"主跟診",0,IF($I50="初步可條件排",IF(_xlfn.XLOOKUP($H50,'排班模式清單'!$A$7:$A$169,'排班模式清單'!$E$7:$E$169,"",0)="高複雜度",2,1),0)+IFNA(_xlfn.XLOOKUP($B50,'班次需求輸入'!$A$7:$A$36,'班次需求輸入'!$I$7:$I$36,0,0),0))</x:f>
        <x:v>0</x:v>
      </x:c>
      <x:c r="M50" s="85" t="str">
        <x:f>IF($B50="","",_xlfn.XLOOKUP($B50,'班次需求輸入'!$A$7:$A$36,'班次需求輸入'!$B$7:$B$36,"",0))</x:f>
      </x:c>
      <x:c r="N50" s="86" t="str">
        <x:f>IF($B50="","",_xlfn.XLOOKUP($B50,'班次需求輸入'!$A$7:$A$36,'班次需求輸入'!$C$7:$C$36,"",0))</x:f>
      </x:c>
      <x:c r="O50" s="86" t="str">
        <x:f>IF($B50="","",_xlfn.XLOOKUP($B50,'班次需求輸入'!$A$7:$A$36,'班次需求輸入'!$D$7:$D$36,"",0))</x:f>
      </x:c>
      <x:c r="P50" s="84" t="n">
        <x:f>IF(OR($C50="",$M50="",$N50="",$O50=""),0,COUNTIFS($C$7:$C$66,$C50,$M$7:$M$66,$M50,$N$7:$N$66,"&lt;"&amp;$O50,$O$7:$O$66,"&gt;"&amp;$N50)-1)</x:f>
        <x:v>0</x:v>
      </x:c>
      <x:c r="Q50" s="84" t="str">
        <x:f>IF($B50="","",IF($P50&gt;0,"時段衝突",IF($E50="主跟診",IF(LEFT($K50,1)="待","候選，待完成資格","已檢核"),IF(OR($E50="完整支援",$E50="技術備援",$E50="流動",$E50="第二櫃台"),IF($K50="支援資格通過","已檢核",$K50),$K50))))</x:f>
      </x:c>
      <x:c r="R50" s="81"/>
    </x:row>
    <x:row r="51">
      <x:c r="A51" s="81"/>
      <x:c r="B51" s="81"/>
      <x:c r="C51" s="81"/>
      <x:c r="D51" s="84" t="str">
        <x:f>IF($C51="","",_xlfn.XLOOKUP($C51,'試行員工主檔'!$A$7:$A$20,'試行員工主檔'!$B$7:$B$20,"員工未建立",0))</x:f>
      </x:c>
      <x:c r="E51" s="84"/>
      <x:c r="F51" s="84"/>
      <x:c r="G51" s="84"/>
      <x:c r="H51" s="84" t="str">
        <x:f>IF($B51="","",_xlfn.XLOOKUP($B51,'班次需求輸入'!$A$7:$A$36,'班次需求輸入'!$F$7:$F$36,"需求未建立",0))</x:f>
      </x:c>
      <x:c r="I51" s="84" t="str">
        <x:f>IF(OR($C51="",$H51=""),"",_xlfn.XLOOKUP($C51&amp;"|"&amp;$H51,'排班適配試算'!$V$7:$V$188,'排班適配試算'!$S$7:$S$188,"未建立",0))</x:f>
      </x:c>
      <x:c r="J51" s="84" t="str">
        <x:f>IF(OR($C51="",$H51=""),"",_xlfn.XLOOKUP($C51&amp;"|"&amp;$H51,'排班適配試算'!$V$7:$V$188,'排班適配試算'!$U$7:$U$188,"未建立",0))</x:f>
      </x:c>
      <x:c r="K51" s="84" t="str">
        <x:f>IF($E51="","",IF($E51="主跟診",$J51,IF($E51="短時支援",_xlfn.XLOOKUP($C51,'RPD支援者候選'!$A$7:$A$20,'RPD支援者候選'!$H$7:$H$20,"未建立",0),IF($E51="學習觀摩","學習觀摩，不計正式人力",IF(OR($E51="完整支援",$E51="技術備援",$E51="流動",$E51="第二櫃台"),IF(AND($E51="技術備援",_xlfn.XLOOKUP($H51,'李醫師治療模式'!$A$7:$A$19,'李醫師治療模式'!$F$7:$F$19,"",0)="高複雜度"),"高複雜度不可由技術備援",IF($E51="完整支援",IF(_xlfn.XLOOKUP("SUP|"&amp;$C51&amp;"|"&amp;$H51,'支援者資格核定'!$A$7:$A$188,'支援者資格核定'!$N$7:$N$188,"未建立",0)&lt;&gt;"完整支援者","需要完整支援者",IF($F51&gt;_xlfn.XLOOKUP("SUP|"&amp;$C51&amp;"|"&amp;$H51,'支援者資格核定'!$A$7:$A$188,'支援者資格核定'!$O$7:$O$188,0,0),"支援名額超過核定上限","支援資格通過")),IF(OR(_xlfn.XLOOKUP("SUP|"&amp;$C51&amp;"|"&amp;$H51,'支援者資格核定'!$A$7:$A$188,'支援者資格核定'!$N$7:$N$188,"未建立",0)="完整支援者",_xlfn.XLOOKUP("SUP|"&amp;$C51&amp;"|"&amp;$H51,'支援者資格核定'!$A$7:$A$188,'支援者資格核定'!$N$7:$N$188,"未建立",0)="技術備援者"),IF($F51&gt;_xlfn.XLOOKUP("SUP|"&amp;$C51&amp;"|"&amp;$H51,'支援者資格核定'!$A$7:$A$188,'支援者資格核定'!$O$7:$O$188,0,0),"支援名額超過核定上限","支援資格通過"),"支援資格未核定"))),"角色未定義")))))</x:f>
      </x:c>
      <x:c r="L51" s="84" t="n">
        <x:f>IF($E51&lt;&gt;"主跟診",0,IF($I51="初步可條件排",IF(_xlfn.XLOOKUP($H51,'排班模式清單'!$A$7:$A$169,'排班模式清單'!$E$7:$E$169,"",0)="高複雜度",2,1),0)+IFNA(_xlfn.XLOOKUP($B51,'班次需求輸入'!$A$7:$A$36,'班次需求輸入'!$I$7:$I$36,0,0),0))</x:f>
        <x:v>0</x:v>
      </x:c>
      <x:c r="M51" s="85" t="str">
        <x:f>IF($B51="","",_xlfn.XLOOKUP($B51,'班次需求輸入'!$A$7:$A$36,'班次需求輸入'!$B$7:$B$36,"",0))</x:f>
      </x:c>
      <x:c r="N51" s="86" t="str">
        <x:f>IF($B51="","",_xlfn.XLOOKUP($B51,'班次需求輸入'!$A$7:$A$36,'班次需求輸入'!$C$7:$C$36,"",0))</x:f>
      </x:c>
      <x:c r="O51" s="86" t="str">
        <x:f>IF($B51="","",_xlfn.XLOOKUP($B51,'班次需求輸入'!$A$7:$A$36,'班次需求輸入'!$D$7:$D$36,"",0))</x:f>
      </x:c>
      <x:c r="P51" s="84" t="n">
        <x:f>IF(OR($C51="",$M51="",$N51="",$O51=""),0,COUNTIFS($C$7:$C$66,$C51,$M$7:$M$66,$M51,$N$7:$N$66,"&lt;"&amp;$O51,$O$7:$O$66,"&gt;"&amp;$N51)-1)</x:f>
        <x:v>0</x:v>
      </x:c>
      <x:c r="Q51" s="84" t="str">
        <x:f>IF($B51="","",IF($P51&gt;0,"時段衝突",IF($E51="主跟診",IF(LEFT($K51,1)="待","候選，待完成資格","已檢核"),IF(OR($E51="完整支援",$E51="技術備援",$E51="流動",$E51="第二櫃台"),IF($K51="支援資格通過","已檢核",$K51),$K51))))</x:f>
      </x:c>
      <x:c r="R51" s="81"/>
    </x:row>
    <x:row r="52">
      <x:c r="A52" s="81"/>
      <x:c r="B52" s="81"/>
      <x:c r="C52" s="81"/>
      <x:c r="D52" s="84" t="str">
        <x:f>IF($C52="","",_xlfn.XLOOKUP($C52,'試行員工主檔'!$A$7:$A$20,'試行員工主檔'!$B$7:$B$20,"員工未建立",0))</x:f>
      </x:c>
      <x:c r="E52" s="84"/>
      <x:c r="F52" s="84"/>
      <x:c r="G52" s="84"/>
      <x:c r="H52" s="84" t="str">
        <x:f>IF($B52="","",_xlfn.XLOOKUP($B52,'班次需求輸入'!$A$7:$A$36,'班次需求輸入'!$F$7:$F$36,"需求未建立",0))</x:f>
      </x:c>
      <x:c r="I52" s="84" t="str">
        <x:f>IF(OR($C52="",$H52=""),"",_xlfn.XLOOKUP($C52&amp;"|"&amp;$H52,'排班適配試算'!$V$7:$V$188,'排班適配試算'!$S$7:$S$188,"未建立",0))</x:f>
      </x:c>
      <x:c r="J52" s="84" t="str">
        <x:f>IF(OR($C52="",$H52=""),"",_xlfn.XLOOKUP($C52&amp;"|"&amp;$H52,'排班適配試算'!$V$7:$V$188,'排班適配試算'!$U$7:$U$188,"未建立",0))</x:f>
      </x:c>
      <x:c r="K52" s="84" t="str">
        <x:f>IF($E52="","",IF($E52="主跟診",$J52,IF($E52="短時支援",_xlfn.XLOOKUP($C52,'RPD支援者候選'!$A$7:$A$20,'RPD支援者候選'!$H$7:$H$20,"未建立",0),IF($E52="學習觀摩","學習觀摩，不計正式人力",IF(OR($E52="完整支援",$E52="技術備援",$E52="流動",$E52="第二櫃台"),IF(AND($E52="技術備援",_xlfn.XLOOKUP($H52,'李醫師治療模式'!$A$7:$A$19,'李醫師治療模式'!$F$7:$F$19,"",0)="高複雜度"),"高複雜度不可由技術備援",IF($E52="完整支援",IF(_xlfn.XLOOKUP("SUP|"&amp;$C52&amp;"|"&amp;$H52,'支援者資格核定'!$A$7:$A$188,'支援者資格核定'!$N$7:$N$188,"未建立",0)&lt;&gt;"完整支援者","需要完整支援者",IF($F52&gt;_xlfn.XLOOKUP("SUP|"&amp;$C52&amp;"|"&amp;$H52,'支援者資格核定'!$A$7:$A$188,'支援者資格核定'!$O$7:$O$188,0,0),"支援名額超過核定上限","支援資格通過")),IF(OR(_xlfn.XLOOKUP("SUP|"&amp;$C52&amp;"|"&amp;$H52,'支援者資格核定'!$A$7:$A$188,'支援者資格核定'!$N$7:$N$188,"未建立",0)="完整支援者",_xlfn.XLOOKUP("SUP|"&amp;$C52&amp;"|"&amp;$H52,'支援者資格核定'!$A$7:$A$188,'支援者資格核定'!$N$7:$N$188,"未建立",0)="技術備援者"),IF($F52&gt;_xlfn.XLOOKUP("SUP|"&amp;$C52&amp;"|"&amp;$H52,'支援者資格核定'!$A$7:$A$188,'支援者資格核定'!$O$7:$O$188,0,0),"支援名額超過核定上限","支援資格通過"),"支援資格未核定"))),"角色未定義")))))</x:f>
      </x:c>
      <x:c r="L52" s="84" t="n">
        <x:f>IF($E52&lt;&gt;"主跟診",0,IF($I52="初步可條件排",IF(_xlfn.XLOOKUP($H52,'排班模式清單'!$A$7:$A$169,'排班模式清單'!$E$7:$E$169,"",0)="高複雜度",2,1),0)+IFNA(_xlfn.XLOOKUP($B52,'班次需求輸入'!$A$7:$A$36,'班次需求輸入'!$I$7:$I$36,0,0),0))</x:f>
        <x:v>0</x:v>
      </x:c>
      <x:c r="M52" s="85" t="str">
        <x:f>IF($B52="","",_xlfn.XLOOKUP($B52,'班次需求輸入'!$A$7:$A$36,'班次需求輸入'!$B$7:$B$36,"",0))</x:f>
      </x:c>
      <x:c r="N52" s="86" t="str">
        <x:f>IF($B52="","",_xlfn.XLOOKUP($B52,'班次需求輸入'!$A$7:$A$36,'班次需求輸入'!$C$7:$C$36,"",0))</x:f>
      </x:c>
      <x:c r="O52" s="86" t="str">
        <x:f>IF($B52="","",_xlfn.XLOOKUP($B52,'班次需求輸入'!$A$7:$A$36,'班次需求輸入'!$D$7:$D$36,"",0))</x:f>
      </x:c>
      <x:c r="P52" s="84" t="n">
        <x:f>IF(OR($C52="",$M52="",$N52="",$O52=""),0,COUNTIFS($C$7:$C$66,$C52,$M$7:$M$66,$M52,$N$7:$N$66,"&lt;"&amp;$O52,$O$7:$O$66,"&gt;"&amp;$N52)-1)</x:f>
        <x:v>0</x:v>
      </x:c>
      <x:c r="Q52" s="84" t="str">
        <x:f>IF($B52="","",IF($P52&gt;0,"時段衝突",IF($E52="主跟診",IF(LEFT($K52,1)="待","候選，待完成資格","已檢核"),IF(OR($E52="完整支援",$E52="技術備援",$E52="流動",$E52="第二櫃台"),IF($K52="支援資格通過","已檢核",$K52),$K52))))</x:f>
      </x:c>
      <x:c r="R52" s="81"/>
    </x:row>
    <x:row r="53">
      <x:c r="A53" s="81"/>
      <x:c r="B53" s="81"/>
      <x:c r="C53" s="81"/>
      <x:c r="D53" s="84" t="str">
        <x:f>IF($C53="","",_xlfn.XLOOKUP($C53,'試行員工主檔'!$A$7:$A$20,'試行員工主檔'!$B$7:$B$20,"員工未建立",0))</x:f>
      </x:c>
      <x:c r="E53" s="84"/>
      <x:c r="F53" s="84"/>
      <x:c r="G53" s="84"/>
      <x:c r="H53" s="84" t="str">
        <x:f>IF($B53="","",_xlfn.XLOOKUP($B53,'班次需求輸入'!$A$7:$A$36,'班次需求輸入'!$F$7:$F$36,"需求未建立",0))</x:f>
      </x:c>
      <x:c r="I53" s="84" t="str">
        <x:f>IF(OR($C53="",$H53=""),"",_xlfn.XLOOKUP($C53&amp;"|"&amp;$H53,'排班適配試算'!$V$7:$V$188,'排班適配試算'!$S$7:$S$188,"未建立",0))</x:f>
      </x:c>
      <x:c r="J53" s="84" t="str">
        <x:f>IF(OR($C53="",$H53=""),"",_xlfn.XLOOKUP($C53&amp;"|"&amp;$H53,'排班適配試算'!$V$7:$V$188,'排班適配試算'!$U$7:$U$188,"未建立",0))</x:f>
      </x:c>
      <x:c r="K53" s="84" t="str">
        <x:f>IF($E53="","",IF($E53="主跟診",$J53,IF($E53="短時支援",_xlfn.XLOOKUP($C53,'RPD支援者候選'!$A$7:$A$20,'RPD支援者候選'!$H$7:$H$20,"未建立",0),IF($E53="學習觀摩","學習觀摩，不計正式人力",IF(OR($E53="完整支援",$E53="技術備援",$E53="流動",$E53="第二櫃台"),IF(AND($E53="技術備援",_xlfn.XLOOKUP($H53,'李醫師治療模式'!$A$7:$A$19,'李醫師治療模式'!$F$7:$F$19,"",0)="高複雜度"),"高複雜度不可由技術備援",IF($E53="完整支援",IF(_xlfn.XLOOKUP("SUP|"&amp;$C53&amp;"|"&amp;$H53,'支援者資格核定'!$A$7:$A$188,'支援者資格核定'!$N$7:$N$188,"未建立",0)&lt;&gt;"完整支援者","需要完整支援者",IF($F53&gt;_xlfn.XLOOKUP("SUP|"&amp;$C53&amp;"|"&amp;$H53,'支援者資格核定'!$A$7:$A$188,'支援者資格核定'!$O$7:$O$188,0,0),"支援名額超過核定上限","支援資格通過")),IF(OR(_xlfn.XLOOKUP("SUP|"&amp;$C53&amp;"|"&amp;$H53,'支援者資格核定'!$A$7:$A$188,'支援者資格核定'!$N$7:$N$188,"未建立",0)="完整支援者",_xlfn.XLOOKUP("SUP|"&amp;$C53&amp;"|"&amp;$H53,'支援者資格核定'!$A$7:$A$188,'支援者資格核定'!$N$7:$N$188,"未建立",0)="技術備援者"),IF($F53&gt;_xlfn.XLOOKUP("SUP|"&amp;$C53&amp;"|"&amp;$H53,'支援者資格核定'!$A$7:$A$188,'支援者資格核定'!$O$7:$O$188,0,0),"支援名額超過核定上限","支援資格通過"),"支援資格未核定"))),"角色未定義")))))</x:f>
      </x:c>
      <x:c r="L53" s="84" t="n">
        <x:f>IF($E53&lt;&gt;"主跟診",0,IF($I53="初步可條件排",IF(_xlfn.XLOOKUP($H53,'排班模式清單'!$A$7:$A$169,'排班模式清單'!$E$7:$E$169,"",0)="高複雜度",2,1),0)+IFNA(_xlfn.XLOOKUP($B53,'班次需求輸入'!$A$7:$A$36,'班次需求輸入'!$I$7:$I$36,0,0),0))</x:f>
        <x:v>0</x:v>
      </x:c>
      <x:c r="M53" s="85" t="str">
        <x:f>IF($B53="","",_xlfn.XLOOKUP($B53,'班次需求輸入'!$A$7:$A$36,'班次需求輸入'!$B$7:$B$36,"",0))</x:f>
      </x:c>
      <x:c r="N53" s="86" t="str">
        <x:f>IF($B53="","",_xlfn.XLOOKUP($B53,'班次需求輸入'!$A$7:$A$36,'班次需求輸入'!$C$7:$C$36,"",0))</x:f>
      </x:c>
      <x:c r="O53" s="86" t="str">
        <x:f>IF($B53="","",_xlfn.XLOOKUP($B53,'班次需求輸入'!$A$7:$A$36,'班次需求輸入'!$D$7:$D$36,"",0))</x:f>
      </x:c>
      <x:c r="P53" s="84" t="n">
        <x:f>IF(OR($C53="",$M53="",$N53="",$O53=""),0,COUNTIFS($C$7:$C$66,$C53,$M$7:$M$66,$M53,$N$7:$N$66,"&lt;"&amp;$O53,$O$7:$O$66,"&gt;"&amp;$N53)-1)</x:f>
        <x:v>0</x:v>
      </x:c>
      <x:c r="Q53" s="84" t="str">
        <x:f>IF($B53="","",IF($P53&gt;0,"時段衝突",IF($E53="主跟診",IF(LEFT($K53,1)="待","候選，待完成資格","已檢核"),IF(OR($E53="完整支援",$E53="技術備援",$E53="流動",$E53="第二櫃台"),IF($K53="支援資格通過","已檢核",$K53),$K53))))</x:f>
      </x:c>
      <x:c r="R53" s="81"/>
    </x:row>
    <x:row r="54">
      <x:c r="A54" s="81"/>
      <x:c r="B54" s="81"/>
      <x:c r="C54" s="81"/>
      <x:c r="D54" s="84" t="str">
        <x:f>IF($C54="","",_xlfn.XLOOKUP($C54,'試行員工主檔'!$A$7:$A$20,'試行員工主檔'!$B$7:$B$20,"員工未建立",0))</x:f>
      </x:c>
      <x:c r="E54" s="84"/>
      <x:c r="F54" s="84"/>
      <x:c r="G54" s="84"/>
      <x:c r="H54" s="84" t="str">
        <x:f>IF($B54="","",_xlfn.XLOOKUP($B54,'班次需求輸入'!$A$7:$A$36,'班次需求輸入'!$F$7:$F$36,"需求未建立",0))</x:f>
      </x:c>
      <x:c r="I54" s="84" t="str">
        <x:f>IF(OR($C54="",$H54=""),"",_xlfn.XLOOKUP($C54&amp;"|"&amp;$H54,'排班適配試算'!$V$7:$V$188,'排班適配試算'!$S$7:$S$188,"未建立",0))</x:f>
      </x:c>
      <x:c r="J54" s="84" t="str">
        <x:f>IF(OR($C54="",$H54=""),"",_xlfn.XLOOKUP($C54&amp;"|"&amp;$H54,'排班適配試算'!$V$7:$V$188,'排班適配試算'!$U$7:$U$188,"未建立",0))</x:f>
      </x:c>
      <x:c r="K54" s="84" t="str">
        <x:f>IF($E54="","",IF($E54="主跟診",$J54,IF($E54="短時支援",_xlfn.XLOOKUP($C54,'RPD支援者候選'!$A$7:$A$20,'RPD支援者候選'!$H$7:$H$20,"未建立",0),IF($E54="學習觀摩","學習觀摩，不計正式人力",IF(OR($E54="完整支援",$E54="技術備援",$E54="流動",$E54="第二櫃台"),IF(AND($E54="技術備援",_xlfn.XLOOKUP($H54,'李醫師治療模式'!$A$7:$A$19,'李醫師治療模式'!$F$7:$F$19,"",0)="高複雜度"),"高複雜度不可由技術備援",IF($E54="完整支援",IF(_xlfn.XLOOKUP("SUP|"&amp;$C54&amp;"|"&amp;$H54,'支援者資格核定'!$A$7:$A$188,'支援者資格核定'!$N$7:$N$188,"未建立",0)&lt;&gt;"完整支援者","需要完整支援者",IF($F54&gt;_xlfn.XLOOKUP("SUP|"&amp;$C54&amp;"|"&amp;$H54,'支援者資格核定'!$A$7:$A$188,'支援者資格核定'!$O$7:$O$188,0,0),"支援名額超過核定上限","支援資格通過")),IF(OR(_xlfn.XLOOKUP("SUP|"&amp;$C54&amp;"|"&amp;$H54,'支援者資格核定'!$A$7:$A$188,'支援者資格核定'!$N$7:$N$188,"未建立",0)="完整支援者",_xlfn.XLOOKUP("SUP|"&amp;$C54&amp;"|"&amp;$H54,'支援者資格核定'!$A$7:$A$188,'支援者資格核定'!$N$7:$N$188,"未建立",0)="技術備援者"),IF($F54&gt;_xlfn.XLOOKUP("SUP|"&amp;$C54&amp;"|"&amp;$H54,'支援者資格核定'!$A$7:$A$188,'支援者資格核定'!$O$7:$O$188,0,0),"支援名額超過核定上限","支援資格通過"),"支援資格未核定"))),"角色未定義")))))</x:f>
      </x:c>
      <x:c r="L54" s="84" t="n">
        <x:f>IF($E54&lt;&gt;"主跟診",0,IF($I54="初步可條件排",IF(_xlfn.XLOOKUP($H54,'排班模式清單'!$A$7:$A$169,'排班模式清單'!$E$7:$E$169,"",0)="高複雜度",2,1),0)+IFNA(_xlfn.XLOOKUP($B54,'班次需求輸入'!$A$7:$A$36,'班次需求輸入'!$I$7:$I$36,0,0),0))</x:f>
        <x:v>0</x:v>
      </x:c>
      <x:c r="M54" s="85" t="str">
        <x:f>IF($B54="","",_xlfn.XLOOKUP($B54,'班次需求輸入'!$A$7:$A$36,'班次需求輸入'!$B$7:$B$36,"",0))</x:f>
      </x:c>
      <x:c r="N54" s="86" t="str">
        <x:f>IF($B54="","",_xlfn.XLOOKUP($B54,'班次需求輸入'!$A$7:$A$36,'班次需求輸入'!$C$7:$C$36,"",0))</x:f>
      </x:c>
      <x:c r="O54" s="86" t="str">
        <x:f>IF($B54="","",_xlfn.XLOOKUP($B54,'班次需求輸入'!$A$7:$A$36,'班次需求輸入'!$D$7:$D$36,"",0))</x:f>
      </x:c>
      <x:c r="P54" s="84" t="n">
        <x:f>IF(OR($C54="",$M54="",$N54="",$O54=""),0,COUNTIFS($C$7:$C$66,$C54,$M$7:$M$66,$M54,$N$7:$N$66,"&lt;"&amp;$O54,$O$7:$O$66,"&gt;"&amp;$N54)-1)</x:f>
        <x:v>0</x:v>
      </x:c>
      <x:c r="Q54" s="84" t="str">
        <x:f>IF($B54="","",IF($P54&gt;0,"時段衝突",IF($E54="主跟診",IF(LEFT($K54,1)="待","候選，待完成資格","已檢核"),IF(OR($E54="完整支援",$E54="技術備援",$E54="流動",$E54="第二櫃台"),IF($K54="支援資格通過","已檢核",$K54),$K54))))</x:f>
      </x:c>
      <x:c r="R54" s="81"/>
    </x:row>
    <x:row r="55">
      <x:c r="A55" s="81"/>
      <x:c r="B55" s="81"/>
      <x:c r="C55" s="81"/>
      <x:c r="D55" s="84" t="str">
        <x:f>IF($C55="","",_xlfn.XLOOKUP($C55,'試行員工主檔'!$A$7:$A$20,'試行員工主檔'!$B$7:$B$20,"員工未建立",0))</x:f>
      </x:c>
      <x:c r="E55" s="84"/>
      <x:c r="F55" s="84"/>
      <x:c r="G55" s="84"/>
      <x:c r="H55" s="84" t="str">
        <x:f>IF($B55="","",_xlfn.XLOOKUP($B55,'班次需求輸入'!$A$7:$A$36,'班次需求輸入'!$F$7:$F$36,"需求未建立",0))</x:f>
      </x:c>
      <x:c r="I55" s="84" t="str">
        <x:f>IF(OR($C55="",$H55=""),"",_xlfn.XLOOKUP($C55&amp;"|"&amp;$H55,'排班適配試算'!$V$7:$V$188,'排班適配試算'!$S$7:$S$188,"未建立",0))</x:f>
      </x:c>
      <x:c r="J55" s="84" t="str">
        <x:f>IF(OR($C55="",$H55=""),"",_xlfn.XLOOKUP($C55&amp;"|"&amp;$H55,'排班適配試算'!$V$7:$V$188,'排班適配試算'!$U$7:$U$188,"未建立",0))</x:f>
      </x:c>
      <x:c r="K55" s="84" t="str">
        <x:f>IF($E55="","",IF($E55="主跟診",$J55,IF($E55="短時支援",_xlfn.XLOOKUP($C55,'RPD支援者候選'!$A$7:$A$20,'RPD支援者候選'!$H$7:$H$20,"未建立",0),IF($E55="學習觀摩","學習觀摩，不計正式人力",IF(OR($E55="完整支援",$E55="技術備援",$E55="流動",$E55="第二櫃台"),IF(AND($E55="技術備援",_xlfn.XLOOKUP($H55,'李醫師治療模式'!$A$7:$A$19,'李醫師治療模式'!$F$7:$F$19,"",0)="高複雜度"),"高複雜度不可由技術備援",IF($E55="完整支援",IF(_xlfn.XLOOKUP("SUP|"&amp;$C55&amp;"|"&amp;$H55,'支援者資格核定'!$A$7:$A$188,'支援者資格核定'!$N$7:$N$188,"未建立",0)&lt;&gt;"完整支援者","需要完整支援者",IF($F55&gt;_xlfn.XLOOKUP("SUP|"&amp;$C55&amp;"|"&amp;$H55,'支援者資格核定'!$A$7:$A$188,'支援者資格核定'!$O$7:$O$188,0,0),"支援名額超過核定上限","支援資格通過")),IF(OR(_xlfn.XLOOKUP("SUP|"&amp;$C55&amp;"|"&amp;$H55,'支援者資格核定'!$A$7:$A$188,'支援者資格核定'!$N$7:$N$188,"未建立",0)="完整支援者",_xlfn.XLOOKUP("SUP|"&amp;$C55&amp;"|"&amp;$H55,'支援者資格核定'!$A$7:$A$188,'支援者資格核定'!$N$7:$N$188,"未建立",0)="技術備援者"),IF($F55&gt;_xlfn.XLOOKUP("SUP|"&amp;$C55&amp;"|"&amp;$H55,'支援者資格核定'!$A$7:$A$188,'支援者資格核定'!$O$7:$O$188,0,0),"支援名額超過核定上限","支援資格通過"),"支援資格未核定"))),"角色未定義")))))</x:f>
      </x:c>
      <x:c r="L55" s="84" t="n">
        <x:f>IF($E55&lt;&gt;"主跟診",0,IF($I55="初步可條件排",IF(_xlfn.XLOOKUP($H55,'排班模式清單'!$A$7:$A$169,'排班模式清單'!$E$7:$E$169,"",0)="高複雜度",2,1),0)+IFNA(_xlfn.XLOOKUP($B55,'班次需求輸入'!$A$7:$A$36,'班次需求輸入'!$I$7:$I$36,0,0),0))</x:f>
        <x:v>0</x:v>
      </x:c>
      <x:c r="M55" s="85" t="str">
        <x:f>IF($B55="","",_xlfn.XLOOKUP($B55,'班次需求輸入'!$A$7:$A$36,'班次需求輸入'!$B$7:$B$36,"",0))</x:f>
      </x:c>
      <x:c r="N55" s="86" t="str">
        <x:f>IF($B55="","",_xlfn.XLOOKUP($B55,'班次需求輸入'!$A$7:$A$36,'班次需求輸入'!$C$7:$C$36,"",0))</x:f>
      </x:c>
      <x:c r="O55" s="86" t="str">
        <x:f>IF($B55="","",_xlfn.XLOOKUP($B55,'班次需求輸入'!$A$7:$A$36,'班次需求輸入'!$D$7:$D$36,"",0))</x:f>
      </x:c>
      <x:c r="P55" s="84" t="n">
        <x:f>IF(OR($C55="",$M55="",$N55="",$O55=""),0,COUNTIFS($C$7:$C$66,$C55,$M$7:$M$66,$M55,$N$7:$N$66,"&lt;"&amp;$O55,$O$7:$O$66,"&gt;"&amp;$N55)-1)</x:f>
        <x:v>0</x:v>
      </x:c>
      <x:c r="Q55" s="84" t="str">
        <x:f>IF($B55="","",IF($P55&gt;0,"時段衝突",IF($E55="主跟診",IF(LEFT($K55,1)="待","候選，待完成資格","已檢核"),IF(OR($E55="完整支援",$E55="技術備援",$E55="流動",$E55="第二櫃台"),IF($K55="支援資格通過","已檢核",$K55),$K55))))</x:f>
      </x:c>
      <x:c r="R55" s="81"/>
    </x:row>
    <x:row r="56">
      <x:c r="A56" s="81"/>
      <x:c r="B56" s="81"/>
      <x:c r="C56" s="81"/>
      <x:c r="D56" s="84" t="str">
        <x:f>IF($C56="","",_xlfn.XLOOKUP($C56,'試行員工主檔'!$A$7:$A$20,'試行員工主檔'!$B$7:$B$20,"員工未建立",0))</x:f>
      </x:c>
      <x:c r="E56" s="84"/>
      <x:c r="F56" s="84"/>
      <x:c r="G56" s="84"/>
      <x:c r="H56" s="84" t="str">
        <x:f>IF($B56="","",_xlfn.XLOOKUP($B56,'班次需求輸入'!$A$7:$A$36,'班次需求輸入'!$F$7:$F$36,"需求未建立",0))</x:f>
      </x:c>
      <x:c r="I56" s="84" t="str">
        <x:f>IF(OR($C56="",$H56=""),"",_xlfn.XLOOKUP($C56&amp;"|"&amp;$H56,'排班適配試算'!$V$7:$V$188,'排班適配試算'!$S$7:$S$188,"未建立",0))</x:f>
      </x:c>
      <x:c r="J56" s="84" t="str">
        <x:f>IF(OR($C56="",$H56=""),"",_xlfn.XLOOKUP($C56&amp;"|"&amp;$H56,'排班適配試算'!$V$7:$V$188,'排班適配試算'!$U$7:$U$188,"未建立",0))</x:f>
      </x:c>
      <x:c r="K56" s="84" t="str">
        <x:f>IF($E56="","",IF($E56="主跟診",$J56,IF($E56="短時支援",_xlfn.XLOOKUP($C56,'RPD支援者候選'!$A$7:$A$20,'RPD支援者候選'!$H$7:$H$20,"未建立",0),IF($E56="學習觀摩","學習觀摩，不計正式人力",IF(OR($E56="完整支援",$E56="技術備援",$E56="流動",$E56="第二櫃台"),IF(AND($E56="技術備援",_xlfn.XLOOKUP($H56,'李醫師治療模式'!$A$7:$A$19,'李醫師治療模式'!$F$7:$F$19,"",0)="高複雜度"),"高複雜度不可由技術備援",IF($E56="完整支援",IF(_xlfn.XLOOKUP("SUP|"&amp;$C56&amp;"|"&amp;$H56,'支援者資格核定'!$A$7:$A$188,'支援者資格核定'!$N$7:$N$188,"未建立",0)&lt;&gt;"完整支援者","需要完整支援者",IF($F56&gt;_xlfn.XLOOKUP("SUP|"&amp;$C56&amp;"|"&amp;$H56,'支援者資格核定'!$A$7:$A$188,'支援者資格核定'!$O$7:$O$188,0,0),"支援名額超過核定上限","支援資格通過")),IF(OR(_xlfn.XLOOKUP("SUP|"&amp;$C56&amp;"|"&amp;$H56,'支援者資格核定'!$A$7:$A$188,'支援者資格核定'!$N$7:$N$188,"未建立",0)="完整支援者",_xlfn.XLOOKUP("SUP|"&amp;$C56&amp;"|"&amp;$H56,'支援者資格核定'!$A$7:$A$188,'支援者資格核定'!$N$7:$N$188,"未建立",0)="技術備援者"),IF($F56&gt;_xlfn.XLOOKUP("SUP|"&amp;$C56&amp;"|"&amp;$H56,'支援者資格核定'!$A$7:$A$188,'支援者資格核定'!$O$7:$O$188,0,0),"支援名額超過核定上限","支援資格通過"),"支援資格未核定"))),"角色未定義")))))</x:f>
      </x:c>
      <x:c r="L56" s="84" t="n">
        <x:f>IF($E56&lt;&gt;"主跟診",0,IF($I56="初步可條件排",IF(_xlfn.XLOOKUP($H56,'排班模式清單'!$A$7:$A$169,'排班模式清單'!$E$7:$E$169,"",0)="高複雜度",2,1),0)+IFNA(_xlfn.XLOOKUP($B56,'班次需求輸入'!$A$7:$A$36,'班次需求輸入'!$I$7:$I$36,0,0),0))</x:f>
        <x:v>0</x:v>
      </x:c>
      <x:c r="M56" s="85" t="str">
        <x:f>IF($B56="","",_xlfn.XLOOKUP($B56,'班次需求輸入'!$A$7:$A$36,'班次需求輸入'!$B$7:$B$36,"",0))</x:f>
      </x:c>
      <x:c r="N56" s="86" t="str">
        <x:f>IF($B56="","",_xlfn.XLOOKUP($B56,'班次需求輸入'!$A$7:$A$36,'班次需求輸入'!$C$7:$C$36,"",0))</x:f>
      </x:c>
      <x:c r="O56" s="86" t="str">
        <x:f>IF($B56="","",_xlfn.XLOOKUP($B56,'班次需求輸入'!$A$7:$A$36,'班次需求輸入'!$D$7:$D$36,"",0))</x:f>
      </x:c>
      <x:c r="P56" s="84" t="n">
        <x:f>IF(OR($C56="",$M56="",$N56="",$O56=""),0,COUNTIFS($C$7:$C$66,$C56,$M$7:$M$66,$M56,$N$7:$N$66,"&lt;"&amp;$O56,$O$7:$O$66,"&gt;"&amp;$N56)-1)</x:f>
        <x:v>0</x:v>
      </x:c>
      <x:c r="Q56" s="84" t="str">
        <x:f>IF($B56="","",IF($P56&gt;0,"時段衝突",IF($E56="主跟診",IF(LEFT($K56,1)="待","候選，待完成資格","已檢核"),IF(OR($E56="完整支援",$E56="技術備援",$E56="流動",$E56="第二櫃台"),IF($K56="支援資格通過","已檢核",$K56),$K56))))</x:f>
      </x:c>
      <x:c r="R56" s="81"/>
    </x:row>
    <x:row r="57">
      <x:c r="A57" s="81"/>
      <x:c r="B57" s="81"/>
      <x:c r="C57" s="81"/>
      <x:c r="D57" s="84" t="str">
        <x:f>IF($C57="","",_xlfn.XLOOKUP($C57,'試行員工主檔'!$A$7:$A$20,'試行員工主檔'!$B$7:$B$20,"員工未建立",0))</x:f>
      </x:c>
      <x:c r="E57" s="84"/>
      <x:c r="F57" s="84"/>
      <x:c r="G57" s="84"/>
      <x:c r="H57" s="84" t="str">
        <x:f>IF($B57="","",_xlfn.XLOOKUP($B57,'班次需求輸入'!$A$7:$A$36,'班次需求輸入'!$F$7:$F$36,"需求未建立",0))</x:f>
      </x:c>
      <x:c r="I57" s="84" t="str">
        <x:f>IF(OR($C57="",$H57=""),"",_xlfn.XLOOKUP($C57&amp;"|"&amp;$H57,'排班適配試算'!$V$7:$V$188,'排班適配試算'!$S$7:$S$188,"未建立",0))</x:f>
      </x:c>
      <x:c r="J57" s="84" t="str">
        <x:f>IF(OR($C57="",$H57=""),"",_xlfn.XLOOKUP($C57&amp;"|"&amp;$H57,'排班適配試算'!$V$7:$V$188,'排班適配試算'!$U$7:$U$188,"未建立",0))</x:f>
      </x:c>
      <x:c r="K57" s="84" t="str">
        <x:f>IF($E57="","",IF($E57="主跟診",$J57,IF($E57="短時支援",_xlfn.XLOOKUP($C57,'RPD支援者候選'!$A$7:$A$20,'RPD支援者候選'!$H$7:$H$20,"未建立",0),IF($E57="學習觀摩","學習觀摩，不計正式人力",IF(OR($E57="完整支援",$E57="技術備援",$E57="流動",$E57="第二櫃台"),IF(AND($E57="技術備援",_xlfn.XLOOKUP($H57,'李醫師治療模式'!$A$7:$A$19,'李醫師治療模式'!$F$7:$F$19,"",0)="高複雜度"),"高複雜度不可由技術備援",IF($E57="完整支援",IF(_xlfn.XLOOKUP("SUP|"&amp;$C57&amp;"|"&amp;$H57,'支援者資格核定'!$A$7:$A$188,'支援者資格核定'!$N$7:$N$188,"未建立",0)&lt;&gt;"完整支援者","需要完整支援者",IF($F57&gt;_xlfn.XLOOKUP("SUP|"&amp;$C57&amp;"|"&amp;$H57,'支援者資格核定'!$A$7:$A$188,'支援者資格核定'!$O$7:$O$188,0,0),"支援名額超過核定上限","支援資格通過")),IF(OR(_xlfn.XLOOKUP("SUP|"&amp;$C57&amp;"|"&amp;$H57,'支援者資格核定'!$A$7:$A$188,'支援者資格核定'!$N$7:$N$188,"未建立",0)="完整支援者",_xlfn.XLOOKUP("SUP|"&amp;$C57&amp;"|"&amp;$H57,'支援者資格核定'!$A$7:$A$188,'支援者資格核定'!$N$7:$N$188,"未建立",0)="技術備援者"),IF($F57&gt;_xlfn.XLOOKUP("SUP|"&amp;$C57&amp;"|"&amp;$H57,'支援者資格核定'!$A$7:$A$188,'支援者資格核定'!$O$7:$O$188,0,0),"支援名額超過核定上限","支援資格通過"),"支援資格未核定"))),"角色未定義")))))</x:f>
      </x:c>
      <x:c r="L57" s="84" t="n">
        <x:f>IF($E57&lt;&gt;"主跟診",0,IF($I57="初步可條件排",IF(_xlfn.XLOOKUP($H57,'排班模式清單'!$A$7:$A$169,'排班模式清單'!$E$7:$E$169,"",0)="高複雜度",2,1),0)+IFNA(_xlfn.XLOOKUP($B57,'班次需求輸入'!$A$7:$A$36,'班次需求輸入'!$I$7:$I$36,0,0),0))</x:f>
        <x:v>0</x:v>
      </x:c>
      <x:c r="M57" s="85" t="str">
        <x:f>IF($B57="","",_xlfn.XLOOKUP($B57,'班次需求輸入'!$A$7:$A$36,'班次需求輸入'!$B$7:$B$36,"",0))</x:f>
      </x:c>
      <x:c r="N57" s="86" t="str">
        <x:f>IF($B57="","",_xlfn.XLOOKUP($B57,'班次需求輸入'!$A$7:$A$36,'班次需求輸入'!$C$7:$C$36,"",0))</x:f>
      </x:c>
      <x:c r="O57" s="86" t="str">
        <x:f>IF($B57="","",_xlfn.XLOOKUP($B57,'班次需求輸入'!$A$7:$A$36,'班次需求輸入'!$D$7:$D$36,"",0))</x:f>
      </x:c>
      <x:c r="P57" s="84" t="n">
        <x:f>IF(OR($C57="",$M57="",$N57="",$O57=""),0,COUNTIFS($C$7:$C$66,$C57,$M$7:$M$66,$M57,$N$7:$N$66,"&lt;"&amp;$O57,$O$7:$O$66,"&gt;"&amp;$N57)-1)</x:f>
        <x:v>0</x:v>
      </x:c>
      <x:c r="Q57" s="84" t="str">
        <x:f>IF($B57="","",IF($P57&gt;0,"時段衝突",IF($E57="主跟診",IF(LEFT($K57,1)="待","候選，待完成資格","已檢核"),IF(OR($E57="完整支援",$E57="技術備援",$E57="流動",$E57="第二櫃台"),IF($K57="支援資格通過","已檢核",$K57),$K57))))</x:f>
      </x:c>
      <x:c r="R57" s="81"/>
    </x:row>
    <x:row r="58">
      <x:c r="A58" s="81"/>
      <x:c r="B58" s="81"/>
      <x:c r="C58" s="81"/>
      <x:c r="D58" s="84" t="str">
        <x:f>IF($C58="","",_xlfn.XLOOKUP($C58,'試行員工主檔'!$A$7:$A$20,'試行員工主檔'!$B$7:$B$20,"員工未建立",0))</x:f>
      </x:c>
      <x:c r="E58" s="84"/>
      <x:c r="F58" s="84"/>
      <x:c r="G58" s="84"/>
      <x:c r="H58" s="84" t="str">
        <x:f>IF($B58="","",_xlfn.XLOOKUP($B58,'班次需求輸入'!$A$7:$A$36,'班次需求輸入'!$F$7:$F$36,"需求未建立",0))</x:f>
      </x:c>
      <x:c r="I58" s="84" t="str">
        <x:f>IF(OR($C58="",$H58=""),"",_xlfn.XLOOKUP($C58&amp;"|"&amp;$H58,'排班適配試算'!$V$7:$V$188,'排班適配試算'!$S$7:$S$188,"未建立",0))</x:f>
      </x:c>
      <x:c r="J58" s="84" t="str">
        <x:f>IF(OR($C58="",$H58=""),"",_xlfn.XLOOKUP($C58&amp;"|"&amp;$H58,'排班適配試算'!$V$7:$V$188,'排班適配試算'!$U$7:$U$188,"未建立",0))</x:f>
      </x:c>
      <x:c r="K58" s="84" t="str">
        <x:f>IF($E58="","",IF($E58="主跟診",$J58,IF($E58="短時支援",_xlfn.XLOOKUP($C58,'RPD支援者候選'!$A$7:$A$20,'RPD支援者候選'!$H$7:$H$20,"未建立",0),IF($E58="學習觀摩","學習觀摩，不計正式人力",IF(OR($E58="完整支援",$E58="技術備援",$E58="流動",$E58="第二櫃台"),IF(AND($E58="技術備援",_xlfn.XLOOKUP($H58,'李醫師治療模式'!$A$7:$A$19,'李醫師治療模式'!$F$7:$F$19,"",0)="高複雜度"),"高複雜度不可由技術備援",IF($E58="完整支援",IF(_xlfn.XLOOKUP("SUP|"&amp;$C58&amp;"|"&amp;$H58,'支援者資格核定'!$A$7:$A$188,'支援者資格核定'!$N$7:$N$188,"未建立",0)&lt;&gt;"完整支援者","需要完整支援者",IF($F58&gt;_xlfn.XLOOKUP("SUP|"&amp;$C58&amp;"|"&amp;$H58,'支援者資格核定'!$A$7:$A$188,'支援者資格核定'!$O$7:$O$188,0,0),"支援名額超過核定上限","支援資格通過")),IF(OR(_xlfn.XLOOKUP("SUP|"&amp;$C58&amp;"|"&amp;$H58,'支援者資格核定'!$A$7:$A$188,'支援者資格核定'!$N$7:$N$188,"未建立",0)="完整支援者",_xlfn.XLOOKUP("SUP|"&amp;$C58&amp;"|"&amp;$H58,'支援者資格核定'!$A$7:$A$188,'支援者資格核定'!$N$7:$N$188,"未建立",0)="技術備援者"),IF($F58&gt;_xlfn.XLOOKUP("SUP|"&amp;$C58&amp;"|"&amp;$H58,'支援者資格核定'!$A$7:$A$188,'支援者資格核定'!$O$7:$O$188,0,0),"支援名額超過核定上限","支援資格通過"),"支援資格未核定"))),"角色未定義")))))</x:f>
      </x:c>
      <x:c r="L58" s="84" t="n">
        <x:f>IF($E58&lt;&gt;"主跟診",0,IF($I58="初步可條件排",IF(_xlfn.XLOOKUP($H58,'排班模式清單'!$A$7:$A$169,'排班模式清單'!$E$7:$E$169,"",0)="高複雜度",2,1),0)+IFNA(_xlfn.XLOOKUP($B58,'班次需求輸入'!$A$7:$A$36,'班次需求輸入'!$I$7:$I$36,0,0),0))</x:f>
        <x:v>0</x:v>
      </x:c>
      <x:c r="M58" s="85" t="str">
        <x:f>IF($B58="","",_xlfn.XLOOKUP($B58,'班次需求輸入'!$A$7:$A$36,'班次需求輸入'!$B$7:$B$36,"",0))</x:f>
      </x:c>
      <x:c r="N58" s="86" t="str">
        <x:f>IF($B58="","",_xlfn.XLOOKUP($B58,'班次需求輸入'!$A$7:$A$36,'班次需求輸入'!$C$7:$C$36,"",0))</x:f>
      </x:c>
      <x:c r="O58" s="86" t="str">
        <x:f>IF($B58="","",_xlfn.XLOOKUP($B58,'班次需求輸入'!$A$7:$A$36,'班次需求輸入'!$D$7:$D$36,"",0))</x:f>
      </x:c>
      <x:c r="P58" s="84" t="n">
        <x:f>IF(OR($C58="",$M58="",$N58="",$O58=""),0,COUNTIFS($C$7:$C$66,$C58,$M$7:$M$66,$M58,$N$7:$N$66,"&lt;"&amp;$O58,$O$7:$O$66,"&gt;"&amp;$N58)-1)</x:f>
        <x:v>0</x:v>
      </x:c>
      <x:c r="Q58" s="84" t="str">
        <x:f>IF($B58="","",IF($P58&gt;0,"時段衝突",IF($E58="主跟診",IF(LEFT($K58,1)="待","候選，待完成資格","已檢核"),IF(OR($E58="完整支援",$E58="技術備援",$E58="流動",$E58="第二櫃台"),IF($K58="支援資格通過","已檢核",$K58),$K58))))</x:f>
      </x:c>
      <x:c r="R58" s="81"/>
    </x:row>
    <x:row r="59">
      <x:c r="A59" s="81"/>
      <x:c r="B59" s="81"/>
      <x:c r="C59" s="81"/>
      <x:c r="D59" s="84" t="str">
        <x:f>IF($C59="","",_xlfn.XLOOKUP($C59,'試行員工主檔'!$A$7:$A$20,'試行員工主檔'!$B$7:$B$20,"員工未建立",0))</x:f>
      </x:c>
      <x:c r="E59" s="84"/>
      <x:c r="F59" s="84"/>
      <x:c r="G59" s="84"/>
      <x:c r="H59" s="84" t="str">
        <x:f>IF($B59="","",_xlfn.XLOOKUP($B59,'班次需求輸入'!$A$7:$A$36,'班次需求輸入'!$F$7:$F$36,"需求未建立",0))</x:f>
      </x:c>
      <x:c r="I59" s="84" t="str">
        <x:f>IF(OR($C59="",$H59=""),"",_xlfn.XLOOKUP($C59&amp;"|"&amp;$H59,'排班適配試算'!$V$7:$V$188,'排班適配試算'!$S$7:$S$188,"未建立",0))</x:f>
      </x:c>
      <x:c r="J59" s="84" t="str">
        <x:f>IF(OR($C59="",$H59=""),"",_xlfn.XLOOKUP($C59&amp;"|"&amp;$H59,'排班適配試算'!$V$7:$V$188,'排班適配試算'!$U$7:$U$188,"未建立",0))</x:f>
      </x:c>
      <x:c r="K59" s="84" t="str">
        <x:f>IF($E59="","",IF($E59="主跟診",$J59,IF($E59="短時支援",_xlfn.XLOOKUP($C59,'RPD支援者候選'!$A$7:$A$20,'RPD支援者候選'!$H$7:$H$20,"未建立",0),IF($E59="學習觀摩","學習觀摩，不計正式人力",IF(OR($E59="完整支援",$E59="技術備援",$E59="流動",$E59="第二櫃台"),IF(AND($E59="技術備援",_xlfn.XLOOKUP($H59,'李醫師治療模式'!$A$7:$A$19,'李醫師治療模式'!$F$7:$F$19,"",0)="高複雜度"),"高複雜度不可由技術備援",IF($E59="完整支援",IF(_xlfn.XLOOKUP("SUP|"&amp;$C59&amp;"|"&amp;$H59,'支援者資格核定'!$A$7:$A$188,'支援者資格核定'!$N$7:$N$188,"未建立",0)&lt;&gt;"完整支援者","需要完整支援者",IF($F59&gt;_xlfn.XLOOKUP("SUP|"&amp;$C59&amp;"|"&amp;$H59,'支援者資格核定'!$A$7:$A$188,'支援者資格核定'!$O$7:$O$188,0,0),"支援名額超過核定上限","支援資格通過")),IF(OR(_xlfn.XLOOKUP("SUP|"&amp;$C59&amp;"|"&amp;$H59,'支援者資格核定'!$A$7:$A$188,'支援者資格核定'!$N$7:$N$188,"未建立",0)="完整支援者",_xlfn.XLOOKUP("SUP|"&amp;$C59&amp;"|"&amp;$H59,'支援者資格核定'!$A$7:$A$188,'支援者資格核定'!$N$7:$N$188,"未建立",0)="技術備援者"),IF($F59&gt;_xlfn.XLOOKUP("SUP|"&amp;$C59&amp;"|"&amp;$H59,'支援者資格核定'!$A$7:$A$188,'支援者資格核定'!$O$7:$O$188,0,0),"支援名額超過核定上限","支援資格通過"),"支援資格未核定"))),"角色未定義")))))</x:f>
      </x:c>
      <x:c r="L59" s="84" t="n">
        <x:f>IF($E59&lt;&gt;"主跟診",0,IF($I59="初步可條件排",IF(_xlfn.XLOOKUP($H59,'排班模式清單'!$A$7:$A$169,'排班模式清單'!$E$7:$E$169,"",0)="高複雜度",2,1),0)+IFNA(_xlfn.XLOOKUP($B59,'班次需求輸入'!$A$7:$A$36,'班次需求輸入'!$I$7:$I$36,0,0),0))</x:f>
        <x:v>0</x:v>
      </x:c>
      <x:c r="M59" s="85" t="str">
        <x:f>IF($B59="","",_xlfn.XLOOKUP($B59,'班次需求輸入'!$A$7:$A$36,'班次需求輸入'!$B$7:$B$36,"",0))</x:f>
      </x:c>
      <x:c r="N59" s="86" t="str">
        <x:f>IF($B59="","",_xlfn.XLOOKUP($B59,'班次需求輸入'!$A$7:$A$36,'班次需求輸入'!$C$7:$C$36,"",0))</x:f>
      </x:c>
      <x:c r="O59" s="86" t="str">
        <x:f>IF($B59="","",_xlfn.XLOOKUP($B59,'班次需求輸入'!$A$7:$A$36,'班次需求輸入'!$D$7:$D$36,"",0))</x:f>
      </x:c>
      <x:c r="P59" s="84" t="n">
        <x:f>IF(OR($C59="",$M59="",$N59="",$O59=""),0,COUNTIFS($C$7:$C$66,$C59,$M$7:$M$66,$M59,$N$7:$N$66,"&lt;"&amp;$O59,$O$7:$O$66,"&gt;"&amp;$N59)-1)</x:f>
        <x:v>0</x:v>
      </x:c>
      <x:c r="Q59" s="84" t="str">
        <x:f>IF($B59="","",IF($P59&gt;0,"時段衝突",IF($E59="主跟診",IF(LEFT($K59,1)="待","候選，待完成資格","已檢核"),IF(OR($E59="完整支援",$E59="技術備援",$E59="流動",$E59="第二櫃台"),IF($K59="支援資格通過","已檢核",$K59),$K59))))</x:f>
      </x:c>
      <x:c r="R59" s="81"/>
    </x:row>
    <x:row r="60">
      <x:c r="A60" s="81"/>
      <x:c r="B60" s="81"/>
      <x:c r="C60" s="81"/>
      <x:c r="D60" s="84" t="str">
        <x:f>IF($C60="","",_xlfn.XLOOKUP($C60,'試行員工主檔'!$A$7:$A$20,'試行員工主檔'!$B$7:$B$20,"員工未建立",0))</x:f>
      </x:c>
      <x:c r="E60" s="84"/>
      <x:c r="F60" s="84"/>
      <x:c r="G60" s="84"/>
      <x:c r="H60" s="84" t="str">
        <x:f>IF($B60="","",_xlfn.XLOOKUP($B60,'班次需求輸入'!$A$7:$A$36,'班次需求輸入'!$F$7:$F$36,"需求未建立",0))</x:f>
      </x:c>
      <x:c r="I60" s="84" t="str">
        <x:f>IF(OR($C60="",$H60=""),"",_xlfn.XLOOKUP($C60&amp;"|"&amp;$H60,'排班適配試算'!$V$7:$V$188,'排班適配試算'!$S$7:$S$188,"未建立",0))</x:f>
      </x:c>
      <x:c r="J60" s="84" t="str">
        <x:f>IF(OR($C60="",$H60=""),"",_xlfn.XLOOKUP($C60&amp;"|"&amp;$H60,'排班適配試算'!$V$7:$V$188,'排班適配試算'!$U$7:$U$188,"未建立",0))</x:f>
      </x:c>
      <x:c r="K60" s="84" t="str">
        <x:f>IF($E60="","",IF($E60="主跟診",$J60,IF($E60="短時支援",_xlfn.XLOOKUP($C60,'RPD支援者候選'!$A$7:$A$20,'RPD支援者候選'!$H$7:$H$20,"未建立",0),IF($E60="學習觀摩","學習觀摩，不計正式人力",IF(OR($E60="完整支援",$E60="技術備援",$E60="流動",$E60="第二櫃台"),IF(AND($E60="技術備援",_xlfn.XLOOKUP($H60,'李醫師治療模式'!$A$7:$A$19,'李醫師治療模式'!$F$7:$F$19,"",0)="高複雜度"),"高複雜度不可由技術備援",IF($E60="完整支援",IF(_xlfn.XLOOKUP("SUP|"&amp;$C60&amp;"|"&amp;$H60,'支援者資格核定'!$A$7:$A$188,'支援者資格核定'!$N$7:$N$188,"未建立",0)&lt;&gt;"完整支援者","需要完整支援者",IF($F60&gt;_xlfn.XLOOKUP("SUP|"&amp;$C60&amp;"|"&amp;$H60,'支援者資格核定'!$A$7:$A$188,'支援者資格核定'!$O$7:$O$188,0,0),"支援名額超過核定上限","支援資格通過")),IF(OR(_xlfn.XLOOKUP("SUP|"&amp;$C60&amp;"|"&amp;$H60,'支援者資格核定'!$A$7:$A$188,'支援者資格核定'!$N$7:$N$188,"未建立",0)="完整支援者",_xlfn.XLOOKUP("SUP|"&amp;$C60&amp;"|"&amp;$H60,'支援者資格核定'!$A$7:$A$188,'支援者資格核定'!$N$7:$N$188,"未建立",0)="技術備援者"),IF($F60&gt;_xlfn.XLOOKUP("SUP|"&amp;$C60&amp;"|"&amp;$H60,'支援者資格核定'!$A$7:$A$188,'支援者資格核定'!$O$7:$O$188,0,0),"支援名額超過核定上限","支援資格通過"),"支援資格未核定"))),"角色未定義")))))</x:f>
      </x:c>
      <x:c r="L60" s="84" t="n">
        <x:f>IF($E60&lt;&gt;"主跟診",0,IF($I60="初步可條件排",IF(_xlfn.XLOOKUP($H60,'排班模式清單'!$A$7:$A$169,'排班模式清單'!$E$7:$E$169,"",0)="高複雜度",2,1),0)+IFNA(_xlfn.XLOOKUP($B60,'班次需求輸入'!$A$7:$A$36,'班次需求輸入'!$I$7:$I$36,0,0),0))</x:f>
        <x:v>0</x:v>
      </x:c>
      <x:c r="M60" s="85" t="str">
        <x:f>IF($B60="","",_xlfn.XLOOKUP($B60,'班次需求輸入'!$A$7:$A$36,'班次需求輸入'!$B$7:$B$36,"",0))</x:f>
      </x:c>
      <x:c r="N60" s="86" t="str">
        <x:f>IF($B60="","",_xlfn.XLOOKUP($B60,'班次需求輸入'!$A$7:$A$36,'班次需求輸入'!$C$7:$C$36,"",0))</x:f>
      </x:c>
      <x:c r="O60" s="86" t="str">
        <x:f>IF($B60="","",_xlfn.XLOOKUP($B60,'班次需求輸入'!$A$7:$A$36,'班次需求輸入'!$D$7:$D$36,"",0))</x:f>
      </x:c>
      <x:c r="P60" s="84" t="n">
        <x:f>IF(OR($C60="",$M60="",$N60="",$O60=""),0,COUNTIFS($C$7:$C$66,$C60,$M$7:$M$66,$M60,$N$7:$N$66,"&lt;"&amp;$O60,$O$7:$O$66,"&gt;"&amp;$N60)-1)</x:f>
        <x:v>0</x:v>
      </x:c>
      <x:c r="Q60" s="84" t="str">
        <x:f>IF($B60="","",IF($P60&gt;0,"時段衝突",IF($E60="主跟診",IF(LEFT($K60,1)="待","候選，待完成資格","已檢核"),IF(OR($E60="完整支援",$E60="技術備援",$E60="流動",$E60="第二櫃台"),IF($K60="支援資格通過","已檢核",$K60),$K60))))</x:f>
      </x:c>
      <x:c r="R60" s="81"/>
    </x:row>
    <x:row r="61">
      <x:c r="A61" s="81"/>
      <x:c r="B61" s="81"/>
      <x:c r="C61" s="81"/>
      <x:c r="D61" s="84" t="str">
        <x:f>IF($C61="","",_xlfn.XLOOKUP($C61,'試行員工主檔'!$A$7:$A$20,'試行員工主檔'!$B$7:$B$20,"員工未建立",0))</x:f>
      </x:c>
      <x:c r="E61" s="84"/>
      <x:c r="F61" s="84"/>
      <x:c r="G61" s="84"/>
      <x:c r="H61" s="84" t="str">
        <x:f>IF($B61="","",_xlfn.XLOOKUP($B61,'班次需求輸入'!$A$7:$A$36,'班次需求輸入'!$F$7:$F$36,"需求未建立",0))</x:f>
      </x:c>
      <x:c r="I61" s="84" t="str">
        <x:f>IF(OR($C61="",$H61=""),"",_xlfn.XLOOKUP($C61&amp;"|"&amp;$H61,'排班適配試算'!$V$7:$V$188,'排班適配試算'!$S$7:$S$188,"未建立",0))</x:f>
      </x:c>
      <x:c r="J61" s="84" t="str">
        <x:f>IF(OR($C61="",$H61=""),"",_xlfn.XLOOKUP($C61&amp;"|"&amp;$H61,'排班適配試算'!$V$7:$V$188,'排班適配試算'!$U$7:$U$188,"未建立",0))</x:f>
      </x:c>
      <x:c r="K61" s="84" t="str">
        <x:f>IF($E61="","",IF($E61="主跟診",$J61,IF($E61="短時支援",_xlfn.XLOOKUP($C61,'RPD支援者候選'!$A$7:$A$20,'RPD支援者候選'!$H$7:$H$20,"未建立",0),IF($E61="學習觀摩","學習觀摩，不計正式人力",IF(OR($E61="完整支援",$E61="技術備援",$E61="流動",$E61="第二櫃台"),IF(AND($E61="技術備援",_xlfn.XLOOKUP($H61,'李醫師治療模式'!$A$7:$A$19,'李醫師治療模式'!$F$7:$F$19,"",0)="高複雜度"),"高複雜度不可由技術備援",IF($E61="完整支援",IF(_xlfn.XLOOKUP("SUP|"&amp;$C61&amp;"|"&amp;$H61,'支援者資格核定'!$A$7:$A$188,'支援者資格核定'!$N$7:$N$188,"未建立",0)&lt;&gt;"完整支援者","需要完整支援者",IF($F61&gt;_xlfn.XLOOKUP("SUP|"&amp;$C61&amp;"|"&amp;$H61,'支援者資格核定'!$A$7:$A$188,'支援者資格核定'!$O$7:$O$188,0,0),"支援名額超過核定上限","支援資格通過")),IF(OR(_xlfn.XLOOKUP("SUP|"&amp;$C61&amp;"|"&amp;$H61,'支援者資格核定'!$A$7:$A$188,'支援者資格核定'!$N$7:$N$188,"未建立",0)="完整支援者",_xlfn.XLOOKUP("SUP|"&amp;$C61&amp;"|"&amp;$H61,'支援者資格核定'!$A$7:$A$188,'支援者資格核定'!$N$7:$N$188,"未建立",0)="技術備援者"),IF($F61&gt;_xlfn.XLOOKUP("SUP|"&amp;$C61&amp;"|"&amp;$H61,'支援者資格核定'!$A$7:$A$188,'支援者資格核定'!$O$7:$O$188,0,0),"支援名額超過核定上限","支援資格通過"),"支援資格未核定"))),"角色未定義")))))</x:f>
      </x:c>
      <x:c r="L61" s="84" t="n">
        <x:f>IF($E61&lt;&gt;"主跟診",0,IF($I61="初步可條件排",IF(_xlfn.XLOOKUP($H61,'排班模式清單'!$A$7:$A$169,'排班模式清單'!$E$7:$E$169,"",0)="高複雜度",2,1),0)+IFNA(_xlfn.XLOOKUP($B61,'班次需求輸入'!$A$7:$A$36,'班次需求輸入'!$I$7:$I$36,0,0),0))</x:f>
        <x:v>0</x:v>
      </x:c>
      <x:c r="M61" s="85" t="str">
        <x:f>IF($B61="","",_xlfn.XLOOKUP($B61,'班次需求輸入'!$A$7:$A$36,'班次需求輸入'!$B$7:$B$36,"",0))</x:f>
      </x:c>
      <x:c r="N61" s="86" t="str">
        <x:f>IF($B61="","",_xlfn.XLOOKUP($B61,'班次需求輸入'!$A$7:$A$36,'班次需求輸入'!$C$7:$C$36,"",0))</x:f>
      </x:c>
      <x:c r="O61" s="86" t="str">
        <x:f>IF($B61="","",_xlfn.XLOOKUP($B61,'班次需求輸入'!$A$7:$A$36,'班次需求輸入'!$D$7:$D$36,"",0))</x:f>
      </x:c>
      <x:c r="P61" s="84" t="n">
        <x:f>IF(OR($C61="",$M61="",$N61="",$O61=""),0,COUNTIFS($C$7:$C$66,$C61,$M$7:$M$66,$M61,$N$7:$N$66,"&lt;"&amp;$O61,$O$7:$O$66,"&gt;"&amp;$N61)-1)</x:f>
        <x:v>0</x:v>
      </x:c>
      <x:c r="Q61" s="84" t="str">
        <x:f>IF($B61="","",IF($P61&gt;0,"時段衝突",IF($E61="主跟診",IF(LEFT($K61,1)="待","候選，待完成資格","已檢核"),IF(OR($E61="完整支援",$E61="技術備援",$E61="流動",$E61="第二櫃台"),IF($K61="支援資格通過","已檢核",$K61),$K61))))</x:f>
      </x:c>
      <x:c r="R61" s="81"/>
    </x:row>
    <x:row r="62">
      <x:c r="A62" s="81"/>
      <x:c r="B62" s="81"/>
      <x:c r="C62" s="81"/>
      <x:c r="D62" s="84" t="str">
        <x:f>IF($C62="","",_xlfn.XLOOKUP($C62,'試行員工主檔'!$A$7:$A$20,'試行員工主檔'!$B$7:$B$20,"員工未建立",0))</x:f>
      </x:c>
      <x:c r="E62" s="84"/>
      <x:c r="F62" s="84"/>
      <x:c r="G62" s="84"/>
      <x:c r="H62" s="84" t="str">
        <x:f>IF($B62="","",_xlfn.XLOOKUP($B62,'班次需求輸入'!$A$7:$A$36,'班次需求輸入'!$F$7:$F$36,"需求未建立",0))</x:f>
      </x:c>
      <x:c r="I62" s="84" t="str">
        <x:f>IF(OR($C62="",$H62=""),"",_xlfn.XLOOKUP($C62&amp;"|"&amp;$H62,'排班適配試算'!$V$7:$V$188,'排班適配試算'!$S$7:$S$188,"未建立",0))</x:f>
      </x:c>
      <x:c r="J62" s="84" t="str">
        <x:f>IF(OR($C62="",$H62=""),"",_xlfn.XLOOKUP($C62&amp;"|"&amp;$H62,'排班適配試算'!$V$7:$V$188,'排班適配試算'!$U$7:$U$188,"未建立",0))</x:f>
      </x:c>
      <x:c r="K62" s="84" t="str">
        <x:f>IF($E62="","",IF($E62="主跟診",$J62,IF($E62="短時支援",_xlfn.XLOOKUP($C62,'RPD支援者候選'!$A$7:$A$20,'RPD支援者候選'!$H$7:$H$20,"未建立",0),IF($E62="學習觀摩","學習觀摩，不計正式人力",IF(OR($E62="完整支援",$E62="技術備援",$E62="流動",$E62="第二櫃台"),IF(AND($E62="技術備援",_xlfn.XLOOKUP($H62,'李醫師治療模式'!$A$7:$A$19,'李醫師治療模式'!$F$7:$F$19,"",0)="高複雜度"),"高複雜度不可由技術備援",IF($E62="完整支援",IF(_xlfn.XLOOKUP("SUP|"&amp;$C62&amp;"|"&amp;$H62,'支援者資格核定'!$A$7:$A$188,'支援者資格核定'!$N$7:$N$188,"未建立",0)&lt;&gt;"完整支援者","需要完整支援者",IF($F62&gt;_xlfn.XLOOKUP("SUP|"&amp;$C62&amp;"|"&amp;$H62,'支援者資格核定'!$A$7:$A$188,'支援者資格核定'!$O$7:$O$188,0,0),"支援名額超過核定上限","支援資格通過")),IF(OR(_xlfn.XLOOKUP("SUP|"&amp;$C62&amp;"|"&amp;$H62,'支援者資格核定'!$A$7:$A$188,'支援者資格核定'!$N$7:$N$188,"未建立",0)="完整支援者",_xlfn.XLOOKUP("SUP|"&amp;$C62&amp;"|"&amp;$H62,'支援者資格核定'!$A$7:$A$188,'支援者資格核定'!$N$7:$N$188,"未建立",0)="技術備援者"),IF($F62&gt;_xlfn.XLOOKUP("SUP|"&amp;$C62&amp;"|"&amp;$H62,'支援者資格核定'!$A$7:$A$188,'支援者資格核定'!$O$7:$O$188,0,0),"支援名額超過核定上限","支援資格通過"),"支援資格未核定"))),"角色未定義")))))</x:f>
      </x:c>
      <x:c r="L62" s="84" t="n">
        <x:f>IF($E62&lt;&gt;"主跟診",0,IF($I62="初步可條件排",IF(_xlfn.XLOOKUP($H62,'排班模式清單'!$A$7:$A$169,'排班模式清單'!$E$7:$E$169,"",0)="高複雜度",2,1),0)+IFNA(_xlfn.XLOOKUP($B62,'班次需求輸入'!$A$7:$A$36,'班次需求輸入'!$I$7:$I$36,0,0),0))</x:f>
        <x:v>0</x:v>
      </x:c>
      <x:c r="M62" s="85" t="str">
        <x:f>IF($B62="","",_xlfn.XLOOKUP($B62,'班次需求輸入'!$A$7:$A$36,'班次需求輸入'!$B$7:$B$36,"",0))</x:f>
      </x:c>
      <x:c r="N62" s="86" t="str">
        <x:f>IF($B62="","",_xlfn.XLOOKUP($B62,'班次需求輸入'!$A$7:$A$36,'班次需求輸入'!$C$7:$C$36,"",0))</x:f>
      </x:c>
      <x:c r="O62" s="86" t="str">
        <x:f>IF($B62="","",_xlfn.XLOOKUP($B62,'班次需求輸入'!$A$7:$A$36,'班次需求輸入'!$D$7:$D$36,"",0))</x:f>
      </x:c>
      <x:c r="P62" s="84" t="n">
        <x:f>IF(OR($C62="",$M62="",$N62="",$O62=""),0,COUNTIFS($C$7:$C$66,$C62,$M$7:$M$66,$M62,$N$7:$N$66,"&lt;"&amp;$O62,$O$7:$O$66,"&gt;"&amp;$N62)-1)</x:f>
        <x:v>0</x:v>
      </x:c>
      <x:c r="Q62" s="84" t="str">
        <x:f>IF($B62="","",IF($P62&gt;0,"時段衝突",IF($E62="主跟診",IF(LEFT($K62,1)="待","候選，待完成資格","已檢核"),IF(OR($E62="完整支援",$E62="技術備援",$E62="流動",$E62="第二櫃台"),IF($K62="支援資格通過","已檢核",$K62),$K62))))</x:f>
      </x:c>
      <x:c r="R62" s="81"/>
    </x:row>
    <x:row r="63">
      <x:c r="A63" s="81"/>
      <x:c r="B63" s="81"/>
      <x:c r="C63" s="81"/>
      <x:c r="D63" s="84" t="str">
        <x:f>IF($C63="","",_xlfn.XLOOKUP($C63,'試行員工主檔'!$A$7:$A$20,'試行員工主檔'!$B$7:$B$20,"員工未建立",0))</x:f>
      </x:c>
      <x:c r="E63" s="84"/>
      <x:c r="F63" s="84"/>
      <x:c r="G63" s="84"/>
      <x:c r="H63" s="84" t="str">
        <x:f>IF($B63="","",_xlfn.XLOOKUP($B63,'班次需求輸入'!$A$7:$A$36,'班次需求輸入'!$F$7:$F$36,"需求未建立",0))</x:f>
      </x:c>
      <x:c r="I63" s="84" t="str">
        <x:f>IF(OR($C63="",$H63=""),"",_xlfn.XLOOKUP($C63&amp;"|"&amp;$H63,'排班適配試算'!$V$7:$V$188,'排班適配試算'!$S$7:$S$188,"未建立",0))</x:f>
      </x:c>
      <x:c r="J63" s="84" t="str">
        <x:f>IF(OR($C63="",$H63=""),"",_xlfn.XLOOKUP($C63&amp;"|"&amp;$H63,'排班適配試算'!$V$7:$V$188,'排班適配試算'!$U$7:$U$188,"未建立",0))</x:f>
      </x:c>
      <x:c r="K63" s="84" t="str">
        <x:f>IF($E63="","",IF($E63="主跟診",$J63,IF($E63="短時支援",_xlfn.XLOOKUP($C63,'RPD支援者候選'!$A$7:$A$20,'RPD支援者候選'!$H$7:$H$20,"未建立",0),IF($E63="學習觀摩","學習觀摩，不計正式人力",IF(OR($E63="完整支援",$E63="技術備援",$E63="流動",$E63="第二櫃台"),IF(AND($E63="技術備援",_xlfn.XLOOKUP($H63,'李醫師治療模式'!$A$7:$A$19,'李醫師治療模式'!$F$7:$F$19,"",0)="高複雜度"),"高複雜度不可由技術備援",IF($E63="完整支援",IF(_xlfn.XLOOKUP("SUP|"&amp;$C63&amp;"|"&amp;$H63,'支援者資格核定'!$A$7:$A$188,'支援者資格核定'!$N$7:$N$188,"未建立",0)&lt;&gt;"完整支援者","需要完整支援者",IF($F63&gt;_xlfn.XLOOKUP("SUP|"&amp;$C63&amp;"|"&amp;$H63,'支援者資格核定'!$A$7:$A$188,'支援者資格核定'!$O$7:$O$188,0,0),"支援名額超過核定上限","支援資格通過")),IF(OR(_xlfn.XLOOKUP("SUP|"&amp;$C63&amp;"|"&amp;$H63,'支援者資格核定'!$A$7:$A$188,'支援者資格核定'!$N$7:$N$188,"未建立",0)="完整支援者",_xlfn.XLOOKUP("SUP|"&amp;$C63&amp;"|"&amp;$H63,'支援者資格核定'!$A$7:$A$188,'支援者資格核定'!$N$7:$N$188,"未建立",0)="技術備援者"),IF($F63&gt;_xlfn.XLOOKUP("SUP|"&amp;$C63&amp;"|"&amp;$H63,'支援者資格核定'!$A$7:$A$188,'支援者資格核定'!$O$7:$O$188,0,0),"支援名額超過核定上限","支援資格通過"),"支援資格未核定"))),"角色未定義")))))</x:f>
      </x:c>
      <x:c r="L63" s="84" t="n">
        <x:f>IF($E63&lt;&gt;"主跟診",0,IF($I63="初步可條件排",IF(_xlfn.XLOOKUP($H63,'排班模式清單'!$A$7:$A$169,'排班模式清單'!$E$7:$E$169,"",0)="高複雜度",2,1),0)+IFNA(_xlfn.XLOOKUP($B63,'班次需求輸入'!$A$7:$A$36,'班次需求輸入'!$I$7:$I$36,0,0),0))</x:f>
        <x:v>0</x:v>
      </x:c>
      <x:c r="M63" s="85" t="str">
        <x:f>IF($B63="","",_xlfn.XLOOKUP($B63,'班次需求輸入'!$A$7:$A$36,'班次需求輸入'!$B$7:$B$36,"",0))</x:f>
      </x:c>
      <x:c r="N63" s="86" t="str">
        <x:f>IF($B63="","",_xlfn.XLOOKUP($B63,'班次需求輸入'!$A$7:$A$36,'班次需求輸入'!$C$7:$C$36,"",0))</x:f>
      </x:c>
      <x:c r="O63" s="86" t="str">
        <x:f>IF($B63="","",_xlfn.XLOOKUP($B63,'班次需求輸入'!$A$7:$A$36,'班次需求輸入'!$D$7:$D$36,"",0))</x:f>
      </x:c>
      <x:c r="P63" s="84" t="n">
        <x:f>IF(OR($C63="",$M63="",$N63="",$O63=""),0,COUNTIFS($C$7:$C$66,$C63,$M$7:$M$66,$M63,$N$7:$N$66,"&lt;"&amp;$O63,$O$7:$O$66,"&gt;"&amp;$N63)-1)</x:f>
        <x:v>0</x:v>
      </x:c>
      <x:c r="Q63" s="84" t="str">
        <x:f>IF($B63="","",IF($P63&gt;0,"時段衝突",IF($E63="主跟診",IF(LEFT($K63,1)="待","候選，待完成資格","已檢核"),IF(OR($E63="完整支援",$E63="技術備援",$E63="流動",$E63="第二櫃台"),IF($K63="支援資格通過","已檢核",$K63),$K63))))</x:f>
      </x:c>
      <x:c r="R63" s="81"/>
    </x:row>
    <x:row r="64">
      <x:c r="A64" s="81"/>
      <x:c r="B64" s="81"/>
      <x:c r="C64" s="81"/>
      <x:c r="D64" s="84" t="str">
        <x:f>IF($C64="","",_xlfn.XLOOKUP($C64,'試行員工主檔'!$A$7:$A$20,'試行員工主檔'!$B$7:$B$20,"員工未建立",0))</x:f>
      </x:c>
      <x:c r="E64" s="84"/>
      <x:c r="F64" s="84"/>
      <x:c r="G64" s="84"/>
      <x:c r="H64" s="84" t="str">
        <x:f>IF($B64="","",_xlfn.XLOOKUP($B64,'班次需求輸入'!$A$7:$A$36,'班次需求輸入'!$F$7:$F$36,"需求未建立",0))</x:f>
      </x:c>
      <x:c r="I64" s="84" t="str">
        <x:f>IF(OR($C64="",$H64=""),"",_xlfn.XLOOKUP($C64&amp;"|"&amp;$H64,'排班適配試算'!$V$7:$V$188,'排班適配試算'!$S$7:$S$188,"未建立",0))</x:f>
      </x:c>
      <x:c r="J64" s="84" t="str">
        <x:f>IF(OR($C64="",$H64=""),"",_xlfn.XLOOKUP($C64&amp;"|"&amp;$H64,'排班適配試算'!$V$7:$V$188,'排班適配試算'!$U$7:$U$188,"未建立",0))</x:f>
      </x:c>
      <x:c r="K64" s="84" t="str">
        <x:f>IF($E64="","",IF($E64="主跟診",$J64,IF($E64="短時支援",_xlfn.XLOOKUP($C64,'RPD支援者候選'!$A$7:$A$20,'RPD支援者候選'!$H$7:$H$20,"未建立",0),IF($E64="學習觀摩","學習觀摩，不計正式人力",IF(OR($E64="完整支援",$E64="技術備援",$E64="流動",$E64="第二櫃台"),IF(AND($E64="技術備援",_xlfn.XLOOKUP($H64,'李醫師治療模式'!$A$7:$A$19,'李醫師治療模式'!$F$7:$F$19,"",0)="高複雜度"),"高複雜度不可由技術備援",IF($E64="完整支援",IF(_xlfn.XLOOKUP("SUP|"&amp;$C64&amp;"|"&amp;$H64,'支援者資格核定'!$A$7:$A$188,'支援者資格核定'!$N$7:$N$188,"未建立",0)&lt;&gt;"完整支援者","需要完整支援者",IF($F64&gt;_xlfn.XLOOKUP("SUP|"&amp;$C64&amp;"|"&amp;$H64,'支援者資格核定'!$A$7:$A$188,'支援者資格核定'!$O$7:$O$188,0,0),"支援名額超過核定上限","支援資格通過")),IF(OR(_xlfn.XLOOKUP("SUP|"&amp;$C64&amp;"|"&amp;$H64,'支援者資格核定'!$A$7:$A$188,'支援者資格核定'!$N$7:$N$188,"未建立",0)="完整支援者",_xlfn.XLOOKUP("SUP|"&amp;$C64&amp;"|"&amp;$H64,'支援者資格核定'!$A$7:$A$188,'支援者資格核定'!$N$7:$N$188,"未建立",0)="技術備援者"),IF($F64&gt;_xlfn.XLOOKUP("SUP|"&amp;$C64&amp;"|"&amp;$H64,'支援者資格核定'!$A$7:$A$188,'支援者資格核定'!$O$7:$O$188,0,0),"支援名額超過核定上限","支援資格通過"),"支援資格未核定"))),"角色未定義")))))</x:f>
      </x:c>
      <x:c r="L64" s="84" t="n">
        <x:f>IF($E64&lt;&gt;"主跟診",0,IF($I64="初步可條件排",IF(_xlfn.XLOOKUP($H64,'排班模式清單'!$A$7:$A$169,'排班模式清單'!$E$7:$E$169,"",0)="高複雜度",2,1),0)+IFNA(_xlfn.XLOOKUP($B64,'班次需求輸入'!$A$7:$A$36,'班次需求輸入'!$I$7:$I$36,0,0),0))</x:f>
        <x:v>0</x:v>
      </x:c>
      <x:c r="M64" s="85" t="str">
        <x:f>IF($B64="","",_xlfn.XLOOKUP($B64,'班次需求輸入'!$A$7:$A$36,'班次需求輸入'!$B$7:$B$36,"",0))</x:f>
      </x:c>
      <x:c r="N64" s="86" t="str">
        <x:f>IF($B64="","",_xlfn.XLOOKUP($B64,'班次需求輸入'!$A$7:$A$36,'班次需求輸入'!$C$7:$C$36,"",0))</x:f>
      </x:c>
      <x:c r="O64" s="86" t="str">
        <x:f>IF($B64="","",_xlfn.XLOOKUP($B64,'班次需求輸入'!$A$7:$A$36,'班次需求輸入'!$D$7:$D$36,"",0))</x:f>
      </x:c>
      <x:c r="P64" s="84" t="n">
        <x:f>IF(OR($C64="",$M64="",$N64="",$O64=""),0,COUNTIFS($C$7:$C$66,$C64,$M$7:$M$66,$M64,$N$7:$N$66,"&lt;"&amp;$O64,$O$7:$O$66,"&gt;"&amp;$N64)-1)</x:f>
        <x:v>0</x:v>
      </x:c>
      <x:c r="Q64" s="84" t="str">
        <x:f>IF($B64="","",IF($P64&gt;0,"時段衝突",IF($E64="主跟診",IF(LEFT($K64,1)="待","候選，待完成資格","已檢核"),IF(OR($E64="完整支援",$E64="技術備援",$E64="流動",$E64="第二櫃台"),IF($K64="支援資格通過","已檢核",$K64),$K64))))</x:f>
      </x:c>
      <x:c r="R64" s="81"/>
    </x:row>
    <x:row r="65">
      <x:c r="A65" s="81"/>
      <x:c r="B65" s="81"/>
      <x:c r="C65" s="81"/>
      <x:c r="D65" s="84" t="str">
        <x:f>IF($C65="","",_xlfn.XLOOKUP($C65,'試行員工主檔'!$A$7:$A$20,'試行員工主檔'!$B$7:$B$20,"員工未建立",0))</x:f>
      </x:c>
      <x:c r="E65" s="84"/>
      <x:c r="F65" s="84"/>
      <x:c r="G65" s="84"/>
      <x:c r="H65" s="84" t="str">
        <x:f>IF($B65="","",_xlfn.XLOOKUP($B65,'班次需求輸入'!$A$7:$A$36,'班次需求輸入'!$F$7:$F$36,"需求未建立",0))</x:f>
      </x:c>
      <x:c r="I65" s="84" t="str">
        <x:f>IF(OR($C65="",$H65=""),"",_xlfn.XLOOKUP($C65&amp;"|"&amp;$H65,'排班適配試算'!$V$7:$V$188,'排班適配試算'!$S$7:$S$188,"未建立",0))</x:f>
      </x:c>
      <x:c r="J65" s="84" t="str">
        <x:f>IF(OR($C65="",$H65=""),"",_xlfn.XLOOKUP($C65&amp;"|"&amp;$H65,'排班適配試算'!$V$7:$V$188,'排班適配試算'!$U$7:$U$188,"未建立",0))</x:f>
      </x:c>
      <x:c r="K65" s="84" t="str">
        <x:f>IF($E65="","",IF($E65="主跟診",$J65,IF($E65="短時支援",_xlfn.XLOOKUP($C65,'RPD支援者候選'!$A$7:$A$20,'RPD支援者候選'!$H$7:$H$20,"未建立",0),IF($E65="學習觀摩","學習觀摩，不計正式人力",IF(OR($E65="完整支援",$E65="技術備援",$E65="流動",$E65="第二櫃台"),IF(AND($E65="技術備援",_xlfn.XLOOKUP($H65,'李醫師治療模式'!$A$7:$A$19,'李醫師治療模式'!$F$7:$F$19,"",0)="高複雜度"),"高複雜度不可由技術備援",IF($E65="完整支援",IF(_xlfn.XLOOKUP("SUP|"&amp;$C65&amp;"|"&amp;$H65,'支援者資格核定'!$A$7:$A$188,'支援者資格核定'!$N$7:$N$188,"未建立",0)&lt;&gt;"完整支援者","需要完整支援者",IF($F65&gt;_xlfn.XLOOKUP("SUP|"&amp;$C65&amp;"|"&amp;$H65,'支援者資格核定'!$A$7:$A$188,'支援者資格核定'!$O$7:$O$188,0,0),"支援名額超過核定上限","支援資格通過")),IF(OR(_xlfn.XLOOKUP("SUP|"&amp;$C65&amp;"|"&amp;$H65,'支援者資格核定'!$A$7:$A$188,'支援者資格核定'!$N$7:$N$188,"未建立",0)="完整支援者",_xlfn.XLOOKUP("SUP|"&amp;$C65&amp;"|"&amp;$H65,'支援者資格核定'!$A$7:$A$188,'支援者資格核定'!$N$7:$N$188,"未建立",0)="技術備援者"),IF($F65&gt;_xlfn.XLOOKUP("SUP|"&amp;$C65&amp;"|"&amp;$H65,'支援者資格核定'!$A$7:$A$188,'支援者資格核定'!$O$7:$O$188,0,0),"支援名額超過核定上限","支援資格通過"),"支援資格未核定"))),"角色未定義")))))</x:f>
      </x:c>
      <x:c r="L65" s="84" t="n">
        <x:f>IF($E65&lt;&gt;"主跟診",0,IF($I65="初步可條件排",IF(_xlfn.XLOOKUP($H65,'排班模式清單'!$A$7:$A$169,'排班模式清單'!$E$7:$E$169,"",0)="高複雜度",2,1),0)+IFNA(_xlfn.XLOOKUP($B65,'班次需求輸入'!$A$7:$A$36,'班次需求輸入'!$I$7:$I$36,0,0),0))</x:f>
        <x:v>0</x:v>
      </x:c>
      <x:c r="M65" s="85" t="str">
        <x:f>IF($B65="","",_xlfn.XLOOKUP($B65,'班次需求輸入'!$A$7:$A$36,'班次需求輸入'!$B$7:$B$36,"",0))</x:f>
      </x:c>
      <x:c r="N65" s="86" t="str">
        <x:f>IF($B65="","",_xlfn.XLOOKUP($B65,'班次需求輸入'!$A$7:$A$36,'班次需求輸入'!$C$7:$C$36,"",0))</x:f>
      </x:c>
      <x:c r="O65" s="86" t="str">
        <x:f>IF($B65="","",_xlfn.XLOOKUP($B65,'班次需求輸入'!$A$7:$A$36,'班次需求輸入'!$D$7:$D$36,"",0))</x:f>
      </x:c>
      <x:c r="P65" s="84" t="n">
        <x:f>IF(OR($C65="",$M65="",$N65="",$O65=""),0,COUNTIFS($C$7:$C$66,$C65,$M$7:$M$66,$M65,$N$7:$N$66,"&lt;"&amp;$O65,$O$7:$O$66,"&gt;"&amp;$N65)-1)</x:f>
        <x:v>0</x:v>
      </x:c>
      <x:c r="Q65" s="84" t="str">
        <x:f>IF($B65="","",IF($P65&gt;0,"時段衝突",IF($E65="主跟診",IF(LEFT($K65,1)="待","候選，待完成資格","已檢核"),IF(OR($E65="完整支援",$E65="技術備援",$E65="流動",$E65="第二櫃台"),IF($K65="支援資格通過","已檢核",$K65),$K65))))</x:f>
      </x:c>
      <x:c r="R65" s="81"/>
    </x:row>
    <x:row r="66">
      <x:c r="A66" s="81"/>
      <x:c r="B66" s="81"/>
      <x:c r="C66" s="81"/>
      <x:c r="D66" s="84" t="str">
        <x:f>IF($C66="","",_xlfn.XLOOKUP($C66,'試行員工主檔'!$A$7:$A$20,'試行員工主檔'!$B$7:$B$20,"員工未建立",0))</x:f>
      </x:c>
      <x:c r="E66" s="84"/>
      <x:c r="F66" s="84"/>
      <x:c r="G66" s="84"/>
      <x:c r="H66" s="84" t="str">
        <x:f>IF($B66="","",_xlfn.XLOOKUP($B66,'班次需求輸入'!$A$7:$A$36,'班次需求輸入'!$F$7:$F$36,"需求未建立",0))</x:f>
      </x:c>
      <x:c r="I66" s="84" t="str">
        <x:f>IF(OR($C66="",$H66=""),"",_xlfn.XLOOKUP($C66&amp;"|"&amp;$H66,'排班適配試算'!$V$7:$V$188,'排班適配試算'!$S$7:$S$188,"未建立",0))</x:f>
      </x:c>
      <x:c r="J66" s="84" t="str">
        <x:f>IF(OR($C66="",$H66=""),"",_xlfn.XLOOKUP($C66&amp;"|"&amp;$H66,'排班適配試算'!$V$7:$V$188,'排班適配試算'!$U$7:$U$188,"未建立",0))</x:f>
      </x:c>
      <x:c r="K66" s="84" t="str">
        <x:f>IF($E66="","",IF($E66="主跟診",$J66,IF($E66="短時支援",_xlfn.XLOOKUP($C66,'RPD支援者候選'!$A$7:$A$20,'RPD支援者候選'!$H$7:$H$20,"未建立",0),IF($E66="學習觀摩","學習觀摩，不計正式人力",IF(OR($E66="完整支援",$E66="技術備援",$E66="流動",$E66="第二櫃台"),IF(AND($E66="技術備援",_xlfn.XLOOKUP($H66,'李醫師治療模式'!$A$7:$A$19,'李醫師治療模式'!$F$7:$F$19,"",0)="高複雜度"),"高複雜度不可由技術備援",IF($E66="完整支援",IF(_xlfn.XLOOKUP("SUP|"&amp;$C66&amp;"|"&amp;$H66,'支援者資格核定'!$A$7:$A$188,'支援者資格核定'!$N$7:$N$188,"未建立",0)&lt;&gt;"完整支援者","需要完整支援者",IF($F66&gt;_xlfn.XLOOKUP("SUP|"&amp;$C66&amp;"|"&amp;$H66,'支援者資格核定'!$A$7:$A$188,'支援者資格核定'!$O$7:$O$188,0,0),"支援名額超過核定上限","支援資格通過")),IF(OR(_xlfn.XLOOKUP("SUP|"&amp;$C66&amp;"|"&amp;$H66,'支援者資格核定'!$A$7:$A$188,'支援者資格核定'!$N$7:$N$188,"未建立",0)="完整支援者",_xlfn.XLOOKUP("SUP|"&amp;$C66&amp;"|"&amp;$H66,'支援者資格核定'!$A$7:$A$188,'支援者資格核定'!$N$7:$N$188,"未建立",0)="技術備援者"),IF($F66&gt;_xlfn.XLOOKUP("SUP|"&amp;$C66&amp;"|"&amp;$H66,'支援者資格核定'!$A$7:$A$188,'支援者資格核定'!$O$7:$O$188,0,0),"支援名額超過核定上限","支援資格通過"),"支援資格未核定"))),"角色未定義")))))</x:f>
      </x:c>
      <x:c r="L66" s="84" t="n">
        <x:f>IF($E66&lt;&gt;"主跟診",0,IF($I66="初步可條件排",IF(_xlfn.XLOOKUP($H66,'排班模式清單'!$A$7:$A$169,'排班模式清單'!$E$7:$E$169,"",0)="高複雜度",2,1),0)+IFNA(_xlfn.XLOOKUP($B66,'班次需求輸入'!$A$7:$A$36,'班次需求輸入'!$I$7:$I$36,0,0),0))</x:f>
        <x:v>0</x:v>
      </x:c>
      <x:c r="M66" s="85" t="str">
        <x:f>IF($B66="","",_xlfn.XLOOKUP($B66,'班次需求輸入'!$A$7:$A$36,'班次需求輸入'!$B$7:$B$36,"",0))</x:f>
      </x:c>
      <x:c r="N66" s="86" t="str">
        <x:f>IF($B66="","",_xlfn.XLOOKUP($B66,'班次需求輸入'!$A$7:$A$36,'班次需求輸入'!$C$7:$C$36,"",0))</x:f>
      </x:c>
      <x:c r="O66" s="86" t="str">
        <x:f>IF($B66="","",_xlfn.XLOOKUP($B66,'班次需求輸入'!$A$7:$A$36,'班次需求輸入'!$D$7:$D$36,"",0))</x:f>
      </x:c>
      <x:c r="P66" s="84" t="n">
        <x:f>IF(OR($C66="",$M66="",$N66="",$O66=""),0,COUNTIFS($C$7:$C$66,$C66,$M$7:$M$66,$M66,$N$7:$N$66,"&lt;"&amp;$O66,$O$7:$O$66,"&gt;"&amp;$N66)-1)</x:f>
        <x:v>0</x:v>
      </x:c>
      <x:c r="Q66" s="84" t="str">
        <x:f>IF($B66="","",IF($P66&gt;0,"時段衝突",IF($E66="主跟診",IF(LEFT($K66,1)="待","候選，待完成資格","已檢核"),IF(OR($E66="完整支援",$E66="技術備援",$E66="流動",$E66="第二櫃台"),IF($K66="支援資格通過","已檢核",$K66),$K66))))</x:f>
      </x:c>
      <x:c r="R66" s="81"/>
    </x:row>
  </x:sheetData>
  <x:conditionalFormatting sqref="Q7:Q66">
    <x:cfRule type="containsText" dxfId="11" priority="1" operator="containsText" text="衝突"/>
  </x:conditionalFormatting>
  <x:conditionalFormatting sqref="K7:K66">
    <x:cfRule type="containsText" dxfId="44" priority="2" operator="containsText" text="超過"/>
    <x:cfRule type="containsText" dxfId="45" priority="3" operator="containsText" text="不可"/>
  </x:conditionalFormatting>
  <x:dataValidations count="4">
    <x:dataValidation type="list" sqref="B7:B66">
      <x:formula1>'班次需求輸入'!$A$7:$A$36</x:formula1>
    </x:dataValidation>
    <x:dataValidation type="list" sqref="C7:C66">
      <x:formula1>'試行員工主檔'!$A$7:$A$20</x:formula1>
    </x:dataValidation>
    <x:dataValidation type="list" sqref="E7:E66">
      <x:formula1>"主跟診,完整支援,技術備援,短時支援,流動,第二櫃台,學習觀摩"</x:formula1>
    </x:dataValidation>
    <x:dataValidation type="list" sqref="G7:G66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d6771a97024cb4"/>
  </x:tableParts>
</x:worksheet>
</file>

<file path=xl/worksheets/sheet19.xml><?xml version="1.0" encoding="utf-8"?>
<x:worksheet xmlns:x="http://schemas.openxmlformats.org/spreadsheetml/2006/main">
  <x:sheetPr>
    <x:tabColor rgb="FF1F5E7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22" hidden="0" customWidth="1"/>
    <x:col min="6" max="6" width="18" hidden="0" customWidth="1"/>
    <x:col min="7" max="7" width="20" hidden="0" customWidth="1"/>
    <x:col min="8" max="8" width="16" hidden="0" customWidth="1"/>
    <x:col min="9" max="9" width="18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16" hidden="0" customWidth="1"/>
    <x:col min="17" max="17" width="24" hidden="0" customWidth="1"/>
    <x:col min="18" max="18" width="14" hidden="0" customWidth="1"/>
    <x:col min="19" max="19" width="20" hidden="0" customWidth="1"/>
    <x:col min="20" max="20" width="16" hidden="0" customWidth="1"/>
    <x:col min="21" max="21" width="22" hidden="0" customWidth="1"/>
    <x:col min="22" max="22" width="24" hidden="0" customWidth="1"/>
    <x:col min="23" max="23" width="24" hidden="0" customWidth="1"/>
    <x:col min="24" max="24" width="20" hidden="0" customWidth="1"/>
    <x:col min="25" max="25" width="22" hidden="0" customWidth="1"/>
  </x:cols>
  <x:sheetData>
    <x:row r="2">
      <x:c r="A2" s="74" t="str">
        <x:v>班次人力與支援檢核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>
      <x:c r="A4" s="75" t="str">
        <x:v>每列對應一筆需求。例外只允許已核定資料待回寫或已另行核定的緊急規則；缺人、缺支援、容量不足、時段衝突及療程未確認不可例外。最終發布仍須完成三週／一週確認流程。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</x:row>
    <x:row r="6">
      <x:c r="A6" s="78" t="str">
        <x:v>需求編號</x:v>
      </x:c>
      <x:c r="B6" s="78" t="str">
        <x:v>日期</x:v>
      </x:c>
      <x:c r="C6" s="78" t="str">
        <x:v>開始</x:v>
      </x:c>
      <x:c r="D6" s="78" t="str">
        <x:v>結束</x:v>
      </x:c>
      <x:c r="E6" s="78" t="str">
        <x:v>模式代碼</x:v>
      </x:c>
      <x:c r="F6" s="78" t="str">
        <x:v>治療項目</x:v>
      </x:c>
      <x:c r="G6" s="78" t="str">
        <x:v>療程確認</x:v>
      </x:c>
      <x:c r="H6" s="78" t="str">
        <x:v>主跟診需求</x:v>
      </x:c>
      <x:c r="I6" s="78" t="str">
        <x:v>已配置主跟診</x:v>
      </x:c>
      <x:c r="J6" s="78" t="str">
        <x:v>試算可用主跟診</x:v>
      </x:c>
      <x:c r="K6" s="78" t="str">
        <x:v>正式可用主跟診</x:v>
      </x:c>
      <x:c r="L6" s="78" t="str">
        <x:v>支援需求名額</x:v>
      </x:c>
      <x:c r="M6" s="78" t="str">
        <x:v>可用支援名額</x:v>
      </x:c>
      <x:c r="N6" s="78" t="str">
        <x:v>短時支援需求</x:v>
      </x:c>
      <x:c r="O6" s="78" t="str">
        <x:v>已配置短時支援</x:v>
      </x:c>
      <x:c r="P6" s="78" t="str">
        <x:v>衝突配置數</x:v>
      </x:c>
      <x:c r="Q6" s="78" t="str">
        <x:v>班次結果</x:v>
      </x:c>
      <x:c r="R6" s="188" t="str">
        <x:v>資料狀態</x:v>
      </x:c>
      <x:c r="S6" s="188" t="str">
        <x:v>確認流程狀態</x:v>
      </x:c>
      <x:c r="T6" s="188" t="str">
        <x:v>異動類型</x:v>
      </x:c>
      <x:c r="U6" s="188" t="str">
        <x:v>發布狀態</x:v>
      </x:c>
      <x:c r="V6" s="313" t="str">
        <x:v>例外核定狀態</x:v>
      </x:c>
      <x:c r="W6" s="313" t="str">
        <x:v>最終發布判定</x:v>
      </x:c>
      <x:c r="X6" s="532" t="str">
        <x:v>基本建檔狀態</x:v>
      </x:c>
      <x:c r="Y6" s="532" t="str">
        <x:v>人力安全結果</x:v>
      </x:c>
    </x:row>
    <x:row r="7">
      <x:c r="A7" s="80" t="str">
        <x:f>IF('班次需求輸入'!$A7="","",'班次需求輸入'!$A7)</x:f>
        <x:v>S001</x:v>
      </x:c>
      <x:c r="B7" s="85" t="n">
        <x:f>IF($A7="","",_xlfn.XLOOKUP($A7,'班次需求輸入'!$A$7:$A$36,'班次需求輸入'!$B$7:$B$36,"",0))</x:f>
        <x:v>46286</x:v>
      </x:c>
      <x:c r="C7" s="86" t="n">
        <x:f>IF($A7="","",_xlfn.XLOOKUP($A7,'班次需求輸入'!$A$7:$A$36,'班次需求輸入'!$C$7:$C$36,"",0))</x:f>
        <x:v>0.375</x:v>
      </x:c>
      <x:c r="D7" s="86" t="n">
        <x:f>IF($A7="","",_xlfn.XLOOKUP($A7,'班次需求輸入'!$A$7:$A$36,'班次需求輸入'!$D$7:$D$36,"",0))</x:f>
        <x:v>0.5</x:v>
      </x:c>
      <x:c r="E7" s="84" t="str">
        <x:f>IF($A7="","",_xlfn.XLOOKUP($A7,'班次需求輸入'!$A$7:$A$36,'班次需求輸入'!$F$7:$F$36,"",0))</x:f>
        <x:v>LJT-SCALING</x:v>
      </x:c>
      <x:c r="F7" s="84" t="str">
        <x:f>IF($E7="","",_xlfn.XLOOKUP($E7,'排班模式清單'!$A$7:$A$169,'排班模式清單'!$C$7:$C$169,"未建立",0))</x:f>
        <x:v>洗牙</x:v>
      </x:c>
      <x:c r="G7" s="84" t="str">
        <x:f>IF($A7="","",_xlfn.XLOOKUP($A7,'班次需求輸入'!$A$7:$A$36,'班次需求輸入'!$G$7:$G$36,"",0))</x:f>
        <x:v>一般診已確認</x:v>
      </x:c>
      <x:c r="H7" s="84" t="n">
        <x:f>IF($A7="","",_xlfn.XLOOKUP($A7,'班次需求輸入'!$A$7:$A$36,'班次需求輸入'!$H$7:$H$36,"",0))</x:f>
        <x:v>1</x:v>
      </x:c>
      <x:c r="I7" s="84" t="n">
        <x:f>IF($A7="","",COUNTIFS('排班配置輸入'!$B$7:$B$66,$A7,'排班配置輸入'!$E$7:$E$66,"主跟診"))</x:f>
        <x:v>1</x:v>
      </x:c>
      <x:c r="J7" s="84" t="n">
        <x:f>IF($A7="","",COUNTIFS('排班配置輸入'!$B$7:$B$66,$A7,'排班配置輸入'!$E$7:$E$66,"主跟診",'排班配置輸入'!$I$7:$I$66,"&lt;&gt;不可正式排"))</x:f>
        <x:v>1</x:v>
      </x:c>
      <x:c r="K7" s="84" t="n">
        <x:f>IF($A7="","",COUNTIFS('排班配置輸入'!$B$7:$B$66,$A7,'排班配置輸入'!$E$7:$E$66,"主跟診",'排班配置輸入'!$J$7:$J$66,"初步可獨立")+COUNTIFS('排班配置輸入'!$B$7:$B$66,$A7,'排班配置輸入'!$E$7:$E$66,"主跟診",'排班配置輸入'!$J$7:$J$66,"初步可條件排"))</x:f>
        <x:v>0</x:v>
      </x:c>
      <x:c r="L7" s="84" t="n">
        <x:f>IF($A7="","",SUMIFS('排班配置輸入'!$L$7:$L$66,'排班配置輸入'!$B$7:$B$66,$A7))</x:f>
        <x:v>0</x:v>
      </x:c>
      <x:c r="M7" s="84" t="n">
        <x:f>IF($A7="","",SUMIFS('排班配置輸入'!$F$7:$F$66,'排班配置輸入'!$B$7:$B$66,$A7,'排班配置輸入'!$G$7:$G$66,"是",'排班配置輸入'!$K$7:$K$66,"支援資格通過"))</x:f>
        <x:v>0</x:v>
      </x:c>
      <x:c r="N7" s="84" t="n">
        <x:f>IF($A7="","",_xlfn.XLOOKUP($A7,'班次需求輸入'!$A$7:$A$36,'班次需求輸入'!$I$7:$I$36,0,0))</x:f>
        <x:v>0</x:v>
      </x:c>
      <x:c r="O7" s="84" t="n">
        <x:f>IF($A7="","",COUNTIFS('排班配置輸入'!$B$7:$B$66,$A7,'排班配置輸入'!$E$7:$E$66,"短時支援"))</x:f>
        <x:v>0</x:v>
      </x:c>
      <x:c r="P7" s="84" t="n">
        <x:f>IF($A7="","",SUMIFS('排班配置輸入'!$P$7:$P$66,'排班配置輸入'!$B$7:$B$66,$A7))</x:f>
        <x:v>0</x:v>
      </x:c>
      <x:c r="Q7" s="84" t="str">
        <x:f>IF($A7="","",IF($X7="已取消","已取消",IF(OR($X7="範例",$X7="可進入排班"),$Y7,"班次建檔未完成")))</x:f>
        <x:v>正式資格未完成</x:v>
      </x:c>
      <x:c r="R7" s="194" t="str">
        <x:f>IF($A7="","",_xlfn.XLOOKUP($A7,'班次需求輸入'!$A$7:$A$36,'班次需求輸入'!$K$7:$K$36,"",0))</x:f>
        <x:v>範例</x:v>
      </x:c>
      <x:c r="S7" s="189" t="str">
        <x:f>IF($A7="","",_xlfn.XLOOKUP($A7,'班次需求輸入'!$A$7:$A$36,'班次需求輸入'!$X$7:$X$36,"",0))</x:f>
        <x:v>待三週前標記</x:v>
      </x:c>
      <x:c r="T7" s="189" t="str">
        <x:f>IF($A7="","",_xlfn.XLOOKUP($A7,'班次需求輸入'!$A$7:$A$36,'班次需求輸入'!$T$7:$T$36,"",0))</x:f>
      </x:c>
      <x:c r="U7" s="189" t="str">
        <x:f>IF($A7="","",IF($R7="範例","範例，不發布",IF(AND(OR($T7="療程取消",$T7="病患取消"),$S7="確認完成"),"人力已釋出",IF($Q7&lt;&gt;"通過",$Q7,IF($S7&lt;&gt;"確認完成",$S7,"可發布")))))</x:f>
        <x:v>範例，不發布</x:v>
      </x:c>
      <x:c r="V7" s="315" t="str">
        <x:f>IF($A7="","",IF(COUNTIFS('排班例外核定'!$U$7:$U$106,$A7)&gt;0,"例外有效",IF(COUNTIFS('排班例外核定'!$B$7:$B$106,$A7)&gt;0,"例外申請未生效","無例外")))</x:f>
        <x:v>無例外</x:v>
      </x:c>
      <x:c r="W7" s="315" t="str">
        <x:f>IF($A7="","",IF(OR($U7="可發布",$U7="人力已釋出",$U7="範例，不發布"),$U7,IF(AND($V7="例外有效",$Q7="正式資格未完成",$S7="確認完成",$R7&lt;&gt;"範例"),"例外核定可發布",$U7)))</x:f>
        <x:v>範例，不發布</x:v>
      </x:c>
      <x:c r="X7" s="533" t="str">
        <x:f>IF($A7="","",_xlfn.XLOOKUP($A7,'班次需求輸入'!$A$7:$A$36,'班次需求輸入'!$AD$7:$AD$36,"正式建檔未完成",0))</x:f>
        <x:v>範例</x:v>
      </x:c>
      <x:c r="Y7" s="533" t="str">
        <x:f>IF($A7="","",IF($G7="待確認","療程待確認",IF($I7&lt;$H7,"缺主跟診配置",IF($K7&lt;$H7,"正式資格未完成",IF($O7&lt;$N7,"缺短時支援",IF($M7&lt;$L7,"支援容量不足",IF($P7&gt;0,"人員時段衝突","通過")))))))</x:f>
        <x:v>正式資格未完成</x:v>
      </x:c>
    </x:row>
    <x:row r="8">
      <x:c r="A8" s="80" t="str">
        <x:f>IF('班次需求輸入'!$A8="","",'班次需求輸入'!$A8)</x:f>
        <x:v>S002</x:v>
      </x:c>
      <x:c r="B8" s="85" t="n">
        <x:f>IF($A8="","",_xlfn.XLOOKUP($A8,'班次需求輸入'!$A$7:$A$36,'班次需求輸入'!$B$7:$B$36,"",0))</x:f>
        <x:v>46286</x:v>
      </x:c>
      <x:c r="C8" s="86" t="n">
        <x:f>IF($A8="","",_xlfn.XLOOKUP($A8,'班次需求輸入'!$A$7:$A$36,'班次需求輸入'!$C$7:$C$36,"",0))</x:f>
        <x:v>0.5833333333333334</x:v>
      </x:c>
      <x:c r="D8" s="86" t="n">
        <x:f>IF($A8="","",_xlfn.XLOOKUP($A8,'班次需求輸入'!$A$7:$A$36,'班次需求輸入'!$D$7:$D$36,"",0))</x:f>
        <x:v>0.7083333333333334</x:v>
      </x:c>
      <x:c r="E8" s="84" t="str">
        <x:f>IF($A8="","",_xlfn.XLOOKUP($A8,'班次需求輸入'!$A$7:$A$36,'班次需求輸入'!$F$7:$F$36,"",0))</x:f>
        <x:v>LJT-IMPLANT</x:v>
      </x:c>
      <x:c r="F8" s="84" t="str">
        <x:f>IF($E8="","",_xlfn.XLOOKUP($E8,'排班模式清單'!$A$7:$A$169,'排班模式清單'!$C$7:$C$169,"未建立",0))</x:f>
        <x:v>植牙</x:v>
      </x:c>
      <x:c r="G8" s="84" t="str">
        <x:f>IF($A8="","",_xlfn.XLOOKUP($A8,'班次需求輸入'!$A$7:$A$36,'班次需求輸入'!$G$7:$G$36,"",0))</x:f>
        <x:v>特殊療程已確認</x:v>
      </x:c>
      <x:c r="H8" s="84" t="n">
        <x:f>IF($A8="","",_xlfn.XLOOKUP($A8,'班次需求輸入'!$A$7:$A$36,'班次需求輸入'!$H$7:$H$36,"",0))</x:f>
        <x:v>1</x:v>
      </x:c>
      <x:c r="I8" s="84" t="n">
        <x:f>IF($A8="","",COUNTIFS('排班配置輸入'!$B$7:$B$66,$A8,'排班配置輸入'!$E$7:$E$66,"主跟診"))</x:f>
        <x:v>1</x:v>
      </x:c>
      <x:c r="J8" s="84" t="n">
        <x:f>IF($A8="","",COUNTIFS('排班配置輸入'!$B$7:$B$66,$A8,'排班配置輸入'!$E$7:$E$66,"主跟診",'排班配置輸入'!$I$7:$I$66,"&lt;&gt;不可正式排"))</x:f>
        <x:v>0</x:v>
      </x:c>
      <x:c r="K8" s="84" t="n">
        <x:f>IF($A8="","",COUNTIFS('排班配置輸入'!$B$7:$B$66,$A8,'排班配置輸入'!$E$7:$E$66,"主跟診",'排班配置輸入'!$J$7:$J$66,"初步可獨立")+COUNTIFS('排班配置輸入'!$B$7:$B$66,$A8,'排班配置輸入'!$E$7:$E$66,"主跟診",'排班配置輸入'!$J$7:$J$66,"初步可條件排"))</x:f>
        <x:v>0</x:v>
      </x:c>
      <x:c r="L8" s="84" t="n">
        <x:f>IF($A8="","",SUMIFS('排班配置輸入'!$L$7:$L$66,'排班配置輸入'!$B$7:$B$66,$A8))</x:f>
        <x:v>0</x:v>
      </x:c>
      <x:c r="M8" s="84" t="n">
        <x:f>IF($A8="","",SUMIFS('排班配置輸入'!$F$7:$F$66,'排班配置輸入'!$B$7:$B$66,$A8,'排班配置輸入'!$G$7:$G$66,"是",'排班配置輸入'!$K$7:$K$66,"支援資格通過"))</x:f>
        <x:v>0</x:v>
      </x:c>
      <x:c r="N8" s="84" t="n">
        <x:f>IF($A8="","",_xlfn.XLOOKUP($A8,'班次需求輸入'!$A$7:$A$36,'班次需求輸入'!$I$7:$I$36,0,0))</x:f>
        <x:v>0</x:v>
      </x:c>
      <x:c r="O8" s="84" t="n">
        <x:f>IF($A8="","",COUNTIFS('排班配置輸入'!$B$7:$B$66,$A8,'排班配置輸入'!$E$7:$E$66,"短時支援"))</x:f>
        <x:v>0</x:v>
      </x:c>
      <x:c r="P8" s="84" t="n">
        <x:f>IF($A8="","",SUMIFS('排班配置輸入'!$P$7:$P$66,'排班配置輸入'!$B$7:$B$66,$A8))</x:f>
        <x:v>0</x:v>
      </x:c>
      <x:c r="Q8" s="84" t="str">
        <x:f>IF($A8="","",IF($X8="已取消","已取消",IF(OR($X8="範例",$X8="可進入排班"),$Y8,"班次建檔未完成")))</x:f>
        <x:v>正式資格未完成</x:v>
      </x:c>
      <x:c r="R8" s="194" t="str">
        <x:f>IF($A8="","",_xlfn.XLOOKUP($A8,'班次需求輸入'!$A$7:$A$36,'班次需求輸入'!$K$7:$K$36,"",0))</x:f>
        <x:v>範例</x:v>
      </x:c>
      <x:c r="S8" s="189" t="str">
        <x:f>IF($A8="","",_xlfn.XLOOKUP($A8,'班次需求輸入'!$A$7:$A$36,'班次需求輸入'!$X$7:$X$36,"",0))</x:f>
        <x:v>待三週前標記</x:v>
      </x:c>
      <x:c r="T8" s="189" t="str">
        <x:f>IF($A8="","",_xlfn.XLOOKUP($A8,'班次需求輸入'!$A$7:$A$36,'班次需求輸入'!$T$7:$T$36,"",0))</x:f>
      </x:c>
      <x:c r="U8" s="189" t="str">
        <x:f>IF($A8="","",IF($R8="範例","範例，不發布",IF(AND(OR($T8="療程取消",$T8="病患取消"),$S8="確認完成"),"人力已釋出",IF($Q8&lt;&gt;"通過",$Q8,IF($S8&lt;&gt;"確認完成",$S8,"可發布")))))</x:f>
        <x:v>範例，不發布</x:v>
      </x:c>
      <x:c r="V8" s="315" t="str">
        <x:f>IF($A8="","",IF(COUNTIFS('排班例外核定'!$U$7:$U$106,$A8)&gt;0,"例外有效",IF(COUNTIFS('排班例外核定'!$B$7:$B$106,$A8)&gt;0,"例外申請未生效","無例外")))</x:f>
        <x:v>無例外</x:v>
      </x:c>
      <x:c r="W8" s="315" t="str">
        <x:f>IF($A8="","",IF(OR($U8="可發布",$U8="人力已釋出",$U8="範例，不發布"),$U8,IF(AND($V8="例外有效",$Q8="正式資格未完成",$S8="確認完成",$R8&lt;&gt;"範例"),"例外核定可發布",$U8)))</x:f>
        <x:v>範例，不發布</x:v>
      </x:c>
      <x:c r="X8" s="533" t="str">
        <x:f>IF($A8="","",_xlfn.XLOOKUP($A8,'班次需求輸入'!$A$7:$A$36,'班次需求輸入'!$AD$7:$AD$36,"正式建檔未完成",0))</x:f>
        <x:v>範例</x:v>
      </x:c>
      <x:c r="Y8" s="533" t="str">
        <x:f>IF($A8="","",IF($G8="待確認","療程待確認",IF($I8&lt;$H8,"缺主跟診配置",IF($K8&lt;$H8,"正式資格未完成",IF($O8&lt;$N8,"缺短時支援",IF($M8&lt;$L8,"支援容量不足",IF($P8&gt;0,"人員時段衝突","通過")))))))</x:f>
        <x:v>正式資格未完成</x:v>
      </x:c>
    </x:row>
    <x:row r="9">
      <x:c r="A9" s="80" t="str">
        <x:f>IF('班次需求輸入'!$A9="","",'班次需求輸入'!$A9)</x:f>
        <x:v>S003</x:v>
      </x:c>
      <x:c r="B9" s="85" t="n">
        <x:f>IF($A9="","",_xlfn.XLOOKUP($A9,'班次需求輸入'!$A$7:$A$36,'班次需求輸入'!$B$7:$B$36,"",0))</x:f>
        <x:v>46286</x:v>
      </x:c>
      <x:c r="C9" s="86" t="n">
        <x:f>IF($A9="","",_xlfn.XLOOKUP($A9,'班次需求輸入'!$A$7:$A$36,'班次需求輸入'!$C$7:$C$36,"",0))</x:f>
        <x:v>0.7083333333333334</x:v>
      </x:c>
      <x:c r="D9" s="86" t="n">
        <x:f>IF($A9="","",_xlfn.XLOOKUP($A9,'班次需求輸入'!$A$7:$A$36,'班次需求輸入'!$D$7:$D$36,"",0))</x:f>
        <x:v>0.7291666666666666</x:v>
      </x:c>
      <x:c r="E9" s="84" t="str">
        <x:f>IF($A9="","",_xlfn.XLOOKUP($A9,'班次需求輸入'!$A$7:$A$36,'班次需求輸入'!$F$7:$F$36,"",0))</x:f>
        <x:v>LJT-RPD-FINAL</x:v>
      </x:c>
      <x:c r="F9" s="84" t="str">
        <x:f>IF($E9="","",_xlfn.XLOOKUP($E9,'排班模式清單'!$A$7:$A$169,'排班模式清單'!$C$7:$C$169,"未建立",0))</x:f>
        <x:v>RPD</x:v>
      </x:c>
      <x:c r="G9" s="84" t="str">
        <x:f>IF($A9="","",_xlfn.XLOOKUP($A9,'班次需求輸入'!$A$7:$A$36,'班次需求輸入'!$G$7:$G$36,"",0))</x:f>
        <x:v>特殊療程已確認</x:v>
      </x:c>
      <x:c r="H9" s="84" t="n">
        <x:f>IF($A9="","",_xlfn.XLOOKUP($A9,'班次需求輸入'!$A$7:$A$36,'班次需求輸入'!$H$7:$H$36,"",0))</x:f>
        <x:v>1</x:v>
      </x:c>
      <x:c r="I9" s="84" t="n">
        <x:f>IF($A9="","",COUNTIFS('排班配置輸入'!$B$7:$B$66,$A9,'排班配置輸入'!$E$7:$E$66,"主跟診"))</x:f>
        <x:v>1</x:v>
      </x:c>
      <x:c r="J9" s="84" t="n">
        <x:f>IF($A9="","",COUNTIFS('排班配置輸入'!$B$7:$B$66,$A9,'排班配置輸入'!$E$7:$E$66,"主跟診",'排班配置輸入'!$I$7:$I$66,"&lt;&gt;不可正式排"))</x:f>
        <x:v>1</x:v>
      </x:c>
      <x:c r="K9" s="84" t="n">
        <x:f>IF($A9="","",COUNTIFS('排班配置輸入'!$B$7:$B$66,$A9,'排班配置輸入'!$E$7:$E$66,"主跟診",'排班配置輸入'!$J$7:$J$66,"初步可獨立")+COUNTIFS('排班配置輸入'!$B$7:$B$66,$A9,'排班配置輸入'!$E$7:$E$66,"主跟診",'排班配置輸入'!$J$7:$J$66,"初步可條件排"))</x:f>
        <x:v>0</x:v>
      </x:c>
      <x:c r="L9" s="84" t="n">
        <x:f>IF($A9="","",SUMIFS('排班配置輸入'!$L$7:$L$66,'排班配置輸入'!$B$7:$B$66,$A9))</x:f>
        <x:v>1</x:v>
      </x:c>
      <x:c r="M9" s="84" t="n">
        <x:f>IF($A9="","",SUMIFS('排班配置輸入'!$F$7:$F$66,'排班配置輸入'!$B$7:$B$66,$A9,'排班配置輸入'!$G$7:$G$66,"是",'排班配置輸入'!$K$7:$K$66,"支援資格通過"))</x:f>
        <x:v>0</x:v>
      </x:c>
      <x:c r="N9" s="84" t="n">
        <x:f>IF($A9="","",_xlfn.XLOOKUP($A9,'班次需求輸入'!$A$7:$A$36,'班次需求輸入'!$I$7:$I$36,0,0))</x:f>
        <x:v>1</x:v>
      </x:c>
      <x:c r="O9" s="84" t="n">
        <x:f>IF($A9="","",COUNTIFS('排班配置輸入'!$B$7:$B$66,$A9,'排班配置輸入'!$E$7:$E$66,"短時支援"))</x:f>
        <x:v>0</x:v>
      </x:c>
      <x:c r="P9" s="84" t="n">
        <x:f>IF($A9="","",SUMIFS('排班配置輸入'!$P$7:$P$66,'排班配置輸入'!$B$7:$B$66,$A9))</x:f>
        <x:v>0</x:v>
      </x:c>
      <x:c r="Q9" s="84" t="str">
        <x:f>IF($A9="","",IF($X9="已取消","已取消",IF(OR($X9="範例",$X9="可進入排班"),$Y9,"班次建檔未完成")))</x:f>
        <x:v>正式資格未完成</x:v>
      </x:c>
      <x:c r="R9" s="194" t="str">
        <x:f>IF($A9="","",_xlfn.XLOOKUP($A9,'班次需求輸入'!$A$7:$A$36,'班次需求輸入'!$K$7:$K$36,"",0))</x:f>
        <x:v>範例</x:v>
      </x:c>
      <x:c r="S9" s="189" t="str">
        <x:f>IF($A9="","",_xlfn.XLOOKUP($A9,'班次需求輸入'!$A$7:$A$36,'班次需求輸入'!$X$7:$X$36,"",0))</x:f>
        <x:v>待三週前標記</x:v>
      </x:c>
      <x:c r="T9" s="189" t="str">
        <x:f>IF($A9="","",_xlfn.XLOOKUP($A9,'班次需求輸入'!$A$7:$A$36,'班次需求輸入'!$T$7:$T$36,"",0))</x:f>
      </x:c>
      <x:c r="U9" s="189" t="str">
        <x:f>IF($A9="","",IF($R9="範例","範例，不發布",IF(AND(OR($T9="療程取消",$T9="病患取消"),$S9="確認完成"),"人力已釋出",IF($Q9&lt;&gt;"通過",$Q9,IF($S9&lt;&gt;"確認完成",$S9,"可發布")))))</x:f>
        <x:v>範例，不發布</x:v>
      </x:c>
      <x:c r="V9" s="315" t="str">
        <x:f>IF($A9="","",IF(COUNTIFS('排班例外核定'!$U$7:$U$106,$A9)&gt;0,"例外有效",IF(COUNTIFS('排班例外核定'!$B$7:$B$106,$A9)&gt;0,"例外申請未生效","無例外")))</x:f>
        <x:v>無例外</x:v>
      </x:c>
      <x:c r="W9" s="315" t="str">
        <x:f>IF($A9="","",IF(OR($U9="可發布",$U9="人力已釋出",$U9="範例，不發布"),$U9,IF(AND($V9="例外有效",$Q9="正式資格未完成",$S9="確認完成",$R9&lt;&gt;"範例"),"例外核定可發布",$U9)))</x:f>
        <x:v>範例，不發布</x:v>
      </x:c>
      <x:c r="X9" s="533" t="str">
        <x:f>IF($A9="","",_xlfn.XLOOKUP($A9,'班次需求輸入'!$A$7:$A$36,'班次需求輸入'!$AD$7:$AD$36,"正式建檔未完成",0))</x:f>
        <x:v>範例</x:v>
      </x:c>
      <x:c r="Y9" s="533" t="str">
        <x:f>IF($A9="","",IF($G9="待確認","療程待確認",IF($I9&lt;$H9,"缺主跟診配置",IF($K9&lt;$H9,"正式資格未完成",IF($O9&lt;$N9,"缺短時支援",IF($M9&lt;$L9,"支援容量不足",IF($P9&gt;0,"人員時段衝突","通過")))))))</x:f>
        <x:v>正式資格未完成</x:v>
      </x:c>
    </x:row>
    <x:row r="10">
      <x:c r="A10" s="80" t="str">
        <x:f>IF('班次需求輸入'!$A10="","",'班次需求輸入'!$A10)</x:f>
      </x:c>
      <x:c r="B10" s="85" t="str">
        <x:f>IF($A10="","",_xlfn.XLOOKUP($A10,'班次需求輸入'!$A$7:$A$36,'班次需求輸入'!$B$7:$B$36,"",0))</x:f>
      </x:c>
      <x:c r="C10" s="86" t="str">
        <x:f>IF($A10="","",_xlfn.XLOOKUP($A10,'班次需求輸入'!$A$7:$A$36,'班次需求輸入'!$C$7:$C$36,"",0))</x:f>
      </x:c>
      <x:c r="D10" s="86" t="str">
        <x:f>IF($A10="","",_xlfn.XLOOKUP($A10,'班次需求輸入'!$A$7:$A$36,'班次需求輸入'!$D$7:$D$36,"",0))</x:f>
      </x:c>
      <x:c r="E10" s="84" t="str">
        <x:f>IF($A10="","",_xlfn.XLOOKUP($A10,'班次需求輸入'!$A$7:$A$36,'班次需求輸入'!$F$7:$F$36,"",0))</x:f>
      </x:c>
      <x:c r="F10" s="84" t="str">
        <x:f>IF($E10="","",_xlfn.XLOOKUP($E10,'排班模式清單'!$A$7:$A$169,'排班模式清單'!$C$7:$C$169,"未建立",0))</x:f>
      </x:c>
      <x:c r="G10" s="84" t="str">
        <x:f>IF($A10="","",_xlfn.XLOOKUP($A10,'班次需求輸入'!$A$7:$A$36,'班次需求輸入'!$G$7:$G$36,"",0))</x:f>
      </x:c>
      <x:c r="H10" s="84" t="str">
        <x:f>IF($A10="","",_xlfn.XLOOKUP($A10,'班次需求輸入'!$A$7:$A$36,'班次需求輸入'!$H$7:$H$36,"",0))</x:f>
      </x:c>
      <x:c r="I10" s="84" t="str">
        <x:f>IF($A10="","",COUNTIFS('排班配置輸入'!$B$7:$B$66,$A10,'排班配置輸入'!$E$7:$E$66,"主跟診"))</x:f>
      </x:c>
      <x:c r="J10" s="84" t="str">
        <x:f>IF($A10="","",COUNTIFS('排班配置輸入'!$B$7:$B$66,$A10,'排班配置輸入'!$E$7:$E$66,"主跟診",'排班配置輸入'!$I$7:$I$66,"&lt;&gt;不可正式排"))</x:f>
      </x:c>
      <x:c r="K10" s="84" t="str">
        <x:f>IF($A10="","",COUNTIFS('排班配置輸入'!$B$7:$B$66,$A10,'排班配置輸入'!$E$7:$E$66,"主跟診",'排班配置輸入'!$J$7:$J$66,"初步可獨立")+COUNTIFS('排班配置輸入'!$B$7:$B$66,$A10,'排班配置輸入'!$E$7:$E$66,"主跟診",'排班配置輸入'!$J$7:$J$66,"初步可條件排"))</x:f>
      </x:c>
      <x:c r="L10" s="84" t="str">
        <x:f>IF($A10="","",SUMIFS('排班配置輸入'!$L$7:$L$66,'排班配置輸入'!$B$7:$B$66,$A10))</x:f>
      </x:c>
      <x:c r="M10" s="84" t="str">
        <x:f>IF($A10="","",SUMIFS('排班配置輸入'!$F$7:$F$66,'排班配置輸入'!$B$7:$B$66,$A10,'排班配置輸入'!$G$7:$G$66,"是",'排班配置輸入'!$K$7:$K$66,"支援資格通過"))</x:f>
      </x:c>
      <x:c r="N10" s="84" t="str">
        <x:f>IF($A10="","",_xlfn.XLOOKUP($A10,'班次需求輸入'!$A$7:$A$36,'班次需求輸入'!$I$7:$I$36,0,0))</x:f>
      </x:c>
      <x:c r="O10" s="84" t="str">
        <x:f>IF($A10="","",COUNTIFS('排班配置輸入'!$B$7:$B$66,$A10,'排班配置輸入'!$E$7:$E$66,"短時支援"))</x:f>
      </x:c>
      <x:c r="P10" s="84" t="str">
        <x:f>IF($A10="","",SUMIFS('排班配置輸入'!$P$7:$P$66,'排班配置輸入'!$B$7:$B$66,$A10))</x:f>
      </x:c>
      <x:c r="Q10" s="84" t="str">
        <x:f>IF($A10="","",IF($X10="已取消","已取消",IF(OR($X10="範例",$X10="可進入排班"),$Y10,"班次建檔未完成")))</x:f>
      </x:c>
      <x:c r="R10" s="194" t="str">
        <x:f>IF($A10="","",_xlfn.XLOOKUP($A10,'班次需求輸入'!$A$7:$A$36,'班次需求輸入'!$K$7:$K$36,"",0))</x:f>
      </x:c>
      <x:c r="S10" s="189" t="str">
        <x:f>IF($A10="","",_xlfn.XLOOKUP($A10,'班次需求輸入'!$A$7:$A$36,'班次需求輸入'!$X$7:$X$36,"",0))</x:f>
      </x:c>
      <x:c r="T10" s="189" t="str">
        <x:f>IF($A10="","",_xlfn.XLOOKUP($A10,'班次需求輸入'!$A$7:$A$36,'班次需求輸入'!$T$7:$T$36,"",0))</x:f>
      </x:c>
      <x:c r="U10" s="189" t="str">
        <x:f>IF($A10="","",IF($R10="範例","範例，不發布",IF(AND(OR($T10="療程取消",$T10="病患取消"),$S10="確認完成"),"人力已釋出",IF($Q10&lt;&gt;"通過",$Q10,IF($S10&lt;&gt;"確認完成",$S10,"可發布")))))</x:f>
      </x:c>
      <x:c r="V10" s="315" t="str">
        <x:f>IF($A10="","",IF(COUNTIFS('排班例外核定'!$U$7:$U$106,$A10)&gt;0,"例外有效",IF(COUNTIFS('排班例外核定'!$B$7:$B$106,$A10)&gt;0,"例外申請未生效","無例外")))</x:f>
      </x:c>
      <x:c r="W10" s="315" t="str">
        <x:f>IF($A10="","",IF(OR($U10="可發布",$U10="人力已釋出",$U10="範例，不發布"),$U10,IF(AND($V10="例外有效",$Q10="正式資格未完成",$S10="確認完成",$R10&lt;&gt;"範例"),"例外核定可發布",$U10)))</x:f>
      </x:c>
      <x:c r="X10" s="533" t="str">
        <x:f>IF($A10="","",_xlfn.XLOOKUP($A10,'班次需求輸入'!$A$7:$A$36,'班次需求輸入'!$AD$7:$AD$36,"正式建檔未完成",0))</x:f>
      </x:c>
      <x:c r="Y10" s="533" t="str">
        <x:f>IF($A10="","",IF($G10="待確認","療程待確認",IF($I10&lt;$H10,"缺主跟診配置",IF($K10&lt;$H10,"正式資格未完成",IF($O10&lt;$N10,"缺短時支援",IF($M10&lt;$L10,"支援容量不足",IF($P10&gt;0,"人員時段衝突","通過")))))))</x:f>
      </x:c>
    </x:row>
    <x:row r="11">
      <x:c r="A11" s="80" t="str">
        <x:f>IF('班次需求輸入'!$A11="","",'班次需求輸入'!$A11)</x:f>
      </x:c>
      <x:c r="B11" s="85" t="str">
        <x:f>IF($A11="","",_xlfn.XLOOKUP($A11,'班次需求輸入'!$A$7:$A$36,'班次需求輸入'!$B$7:$B$36,"",0))</x:f>
      </x:c>
      <x:c r="C11" s="86" t="str">
        <x:f>IF($A11="","",_xlfn.XLOOKUP($A11,'班次需求輸入'!$A$7:$A$36,'班次需求輸入'!$C$7:$C$36,"",0))</x:f>
      </x:c>
      <x:c r="D11" s="86" t="str">
        <x:f>IF($A11="","",_xlfn.XLOOKUP($A11,'班次需求輸入'!$A$7:$A$36,'班次需求輸入'!$D$7:$D$36,"",0))</x:f>
      </x:c>
      <x:c r="E11" s="84" t="str">
        <x:f>IF($A11="","",_xlfn.XLOOKUP($A11,'班次需求輸入'!$A$7:$A$36,'班次需求輸入'!$F$7:$F$36,"",0))</x:f>
      </x:c>
      <x:c r="F11" s="84" t="str">
        <x:f>IF($E11="","",_xlfn.XLOOKUP($E11,'排班模式清單'!$A$7:$A$169,'排班模式清單'!$C$7:$C$169,"未建立",0))</x:f>
      </x:c>
      <x:c r="G11" s="84" t="str">
        <x:f>IF($A11="","",_xlfn.XLOOKUP($A11,'班次需求輸入'!$A$7:$A$36,'班次需求輸入'!$G$7:$G$36,"",0))</x:f>
      </x:c>
      <x:c r="H11" s="84" t="str">
        <x:f>IF($A11="","",_xlfn.XLOOKUP($A11,'班次需求輸入'!$A$7:$A$36,'班次需求輸入'!$H$7:$H$36,"",0))</x:f>
      </x:c>
      <x:c r="I11" s="84" t="str">
        <x:f>IF($A11="","",COUNTIFS('排班配置輸入'!$B$7:$B$66,$A11,'排班配置輸入'!$E$7:$E$66,"主跟診"))</x:f>
      </x:c>
      <x:c r="J11" s="84" t="str">
        <x:f>IF($A11="","",COUNTIFS('排班配置輸入'!$B$7:$B$66,$A11,'排班配置輸入'!$E$7:$E$66,"主跟診",'排班配置輸入'!$I$7:$I$66,"&lt;&gt;不可正式排"))</x:f>
      </x:c>
      <x:c r="K11" s="84" t="str">
        <x:f>IF($A11="","",COUNTIFS('排班配置輸入'!$B$7:$B$66,$A11,'排班配置輸入'!$E$7:$E$66,"主跟診",'排班配置輸入'!$J$7:$J$66,"初步可獨立")+COUNTIFS('排班配置輸入'!$B$7:$B$66,$A11,'排班配置輸入'!$E$7:$E$66,"主跟診",'排班配置輸入'!$J$7:$J$66,"初步可條件排"))</x:f>
      </x:c>
      <x:c r="L11" s="84" t="str">
        <x:f>IF($A11="","",SUMIFS('排班配置輸入'!$L$7:$L$66,'排班配置輸入'!$B$7:$B$66,$A11))</x:f>
      </x:c>
      <x:c r="M11" s="84" t="str">
        <x:f>IF($A11="","",SUMIFS('排班配置輸入'!$F$7:$F$66,'排班配置輸入'!$B$7:$B$66,$A11,'排班配置輸入'!$G$7:$G$66,"是",'排班配置輸入'!$K$7:$K$66,"支援資格通過"))</x:f>
      </x:c>
      <x:c r="N11" s="84" t="str">
        <x:f>IF($A11="","",_xlfn.XLOOKUP($A11,'班次需求輸入'!$A$7:$A$36,'班次需求輸入'!$I$7:$I$36,0,0))</x:f>
      </x:c>
      <x:c r="O11" s="84" t="str">
        <x:f>IF($A11="","",COUNTIFS('排班配置輸入'!$B$7:$B$66,$A11,'排班配置輸入'!$E$7:$E$66,"短時支援"))</x:f>
      </x:c>
      <x:c r="P11" s="84" t="str">
        <x:f>IF($A11="","",SUMIFS('排班配置輸入'!$P$7:$P$66,'排班配置輸入'!$B$7:$B$66,$A11))</x:f>
      </x:c>
      <x:c r="Q11" s="84" t="str">
        <x:f>IF($A11="","",IF($X11="已取消","已取消",IF(OR($X11="範例",$X11="可進入排班"),$Y11,"班次建檔未完成")))</x:f>
      </x:c>
      <x:c r="R11" s="194" t="str">
        <x:f>IF($A11="","",_xlfn.XLOOKUP($A11,'班次需求輸入'!$A$7:$A$36,'班次需求輸入'!$K$7:$K$36,"",0))</x:f>
      </x:c>
      <x:c r="S11" s="189" t="str">
        <x:f>IF($A11="","",_xlfn.XLOOKUP($A11,'班次需求輸入'!$A$7:$A$36,'班次需求輸入'!$X$7:$X$36,"",0))</x:f>
      </x:c>
      <x:c r="T11" s="189" t="str">
        <x:f>IF($A11="","",_xlfn.XLOOKUP($A11,'班次需求輸入'!$A$7:$A$36,'班次需求輸入'!$T$7:$T$36,"",0))</x:f>
      </x:c>
      <x:c r="U11" s="189" t="str">
        <x:f>IF($A11="","",IF($R11="範例","範例，不發布",IF(AND(OR($T11="療程取消",$T11="病患取消"),$S11="確認完成"),"人力已釋出",IF($Q11&lt;&gt;"通過",$Q11,IF($S11&lt;&gt;"確認完成",$S11,"可發布")))))</x:f>
      </x:c>
      <x:c r="V11" s="315" t="str">
        <x:f>IF($A11="","",IF(COUNTIFS('排班例外核定'!$U$7:$U$106,$A11)&gt;0,"例外有效",IF(COUNTIFS('排班例外核定'!$B$7:$B$106,$A11)&gt;0,"例外申請未生效","無例外")))</x:f>
      </x:c>
      <x:c r="W11" s="315" t="str">
        <x:f>IF($A11="","",IF(OR($U11="可發布",$U11="人力已釋出",$U11="範例，不發布"),$U11,IF(AND($V11="例外有效",$Q11="正式資格未完成",$S11="確認完成",$R11&lt;&gt;"範例"),"例外核定可發布",$U11)))</x:f>
      </x:c>
      <x:c r="X11" s="533" t="str">
        <x:f>IF($A11="","",_xlfn.XLOOKUP($A11,'班次需求輸入'!$A$7:$A$36,'班次需求輸入'!$AD$7:$AD$36,"正式建檔未完成",0))</x:f>
      </x:c>
      <x:c r="Y11" s="533" t="str">
        <x:f>IF($A11="","",IF($G11="待確認","療程待確認",IF($I11&lt;$H11,"缺主跟診配置",IF($K11&lt;$H11,"正式資格未完成",IF($O11&lt;$N11,"缺短時支援",IF($M11&lt;$L11,"支援容量不足",IF($P11&gt;0,"人員時段衝突","通過")))))))</x:f>
      </x:c>
    </x:row>
    <x:row r="12">
      <x:c r="A12" s="80" t="str">
        <x:f>IF('班次需求輸入'!$A12="","",'班次需求輸入'!$A12)</x:f>
      </x:c>
      <x:c r="B12" s="85" t="str">
        <x:f>IF($A12="","",_xlfn.XLOOKUP($A12,'班次需求輸入'!$A$7:$A$36,'班次需求輸入'!$B$7:$B$36,"",0))</x:f>
      </x:c>
      <x:c r="C12" s="86" t="str">
        <x:f>IF($A12="","",_xlfn.XLOOKUP($A12,'班次需求輸入'!$A$7:$A$36,'班次需求輸入'!$C$7:$C$36,"",0))</x:f>
      </x:c>
      <x:c r="D12" s="86" t="str">
        <x:f>IF($A12="","",_xlfn.XLOOKUP($A12,'班次需求輸入'!$A$7:$A$36,'班次需求輸入'!$D$7:$D$36,"",0))</x:f>
      </x:c>
      <x:c r="E12" s="84" t="str">
        <x:f>IF($A12="","",_xlfn.XLOOKUP($A12,'班次需求輸入'!$A$7:$A$36,'班次需求輸入'!$F$7:$F$36,"",0))</x:f>
      </x:c>
      <x:c r="F12" s="84" t="str">
        <x:f>IF($E12="","",_xlfn.XLOOKUP($E12,'排班模式清單'!$A$7:$A$169,'排班模式清單'!$C$7:$C$169,"未建立",0))</x:f>
      </x:c>
      <x:c r="G12" s="84" t="str">
        <x:f>IF($A12="","",_xlfn.XLOOKUP($A12,'班次需求輸入'!$A$7:$A$36,'班次需求輸入'!$G$7:$G$36,"",0))</x:f>
      </x:c>
      <x:c r="H12" s="84" t="str">
        <x:f>IF($A12="","",_xlfn.XLOOKUP($A12,'班次需求輸入'!$A$7:$A$36,'班次需求輸入'!$H$7:$H$36,"",0))</x:f>
      </x:c>
      <x:c r="I12" s="84" t="str">
        <x:f>IF($A12="","",COUNTIFS('排班配置輸入'!$B$7:$B$66,$A12,'排班配置輸入'!$E$7:$E$66,"主跟診"))</x:f>
      </x:c>
      <x:c r="J12" s="84" t="str">
        <x:f>IF($A12="","",COUNTIFS('排班配置輸入'!$B$7:$B$66,$A12,'排班配置輸入'!$E$7:$E$66,"主跟診",'排班配置輸入'!$I$7:$I$66,"&lt;&gt;不可正式排"))</x:f>
      </x:c>
      <x:c r="K12" s="84" t="str">
        <x:f>IF($A12="","",COUNTIFS('排班配置輸入'!$B$7:$B$66,$A12,'排班配置輸入'!$E$7:$E$66,"主跟診",'排班配置輸入'!$J$7:$J$66,"初步可獨立")+COUNTIFS('排班配置輸入'!$B$7:$B$66,$A12,'排班配置輸入'!$E$7:$E$66,"主跟診",'排班配置輸入'!$J$7:$J$66,"初步可條件排"))</x:f>
      </x:c>
      <x:c r="L12" s="84" t="str">
        <x:f>IF($A12="","",SUMIFS('排班配置輸入'!$L$7:$L$66,'排班配置輸入'!$B$7:$B$66,$A12))</x:f>
      </x:c>
      <x:c r="M12" s="84" t="str">
        <x:f>IF($A12="","",SUMIFS('排班配置輸入'!$F$7:$F$66,'排班配置輸入'!$B$7:$B$66,$A12,'排班配置輸入'!$G$7:$G$66,"是",'排班配置輸入'!$K$7:$K$66,"支援資格通過"))</x:f>
      </x:c>
      <x:c r="N12" s="84" t="str">
        <x:f>IF($A12="","",_xlfn.XLOOKUP($A12,'班次需求輸入'!$A$7:$A$36,'班次需求輸入'!$I$7:$I$36,0,0))</x:f>
      </x:c>
      <x:c r="O12" s="84" t="str">
        <x:f>IF($A12="","",COUNTIFS('排班配置輸入'!$B$7:$B$66,$A12,'排班配置輸入'!$E$7:$E$66,"短時支援"))</x:f>
      </x:c>
      <x:c r="P12" s="84" t="str">
        <x:f>IF($A12="","",SUMIFS('排班配置輸入'!$P$7:$P$66,'排班配置輸入'!$B$7:$B$66,$A12))</x:f>
      </x:c>
      <x:c r="Q12" s="84" t="str">
        <x:f>IF($A12="","",IF($X12="已取消","已取消",IF(OR($X12="範例",$X12="可進入排班"),$Y12,"班次建檔未完成")))</x:f>
      </x:c>
      <x:c r="R12" s="194" t="str">
        <x:f>IF($A12="","",_xlfn.XLOOKUP($A12,'班次需求輸入'!$A$7:$A$36,'班次需求輸入'!$K$7:$K$36,"",0))</x:f>
      </x:c>
      <x:c r="S12" s="189" t="str">
        <x:f>IF($A12="","",_xlfn.XLOOKUP($A12,'班次需求輸入'!$A$7:$A$36,'班次需求輸入'!$X$7:$X$36,"",0))</x:f>
      </x:c>
      <x:c r="T12" s="189" t="str">
        <x:f>IF($A12="","",_xlfn.XLOOKUP($A12,'班次需求輸入'!$A$7:$A$36,'班次需求輸入'!$T$7:$T$36,"",0))</x:f>
      </x:c>
      <x:c r="U12" s="189" t="str">
        <x:f>IF($A12="","",IF($R12="範例","範例，不發布",IF(AND(OR($T12="療程取消",$T12="病患取消"),$S12="確認完成"),"人力已釋出",IF($Q12&lt;&gt;"通過",$Q12,IF($S12&lt;&gt;"確認完成",$S12,"可發布")))))</x:f>
      </x:c>
      <x:c r="V12" s="315" t="str">
        <x:f>IF($A12="","",IF(COUNTIFS('排班例外核定'!$U$7:$U$106,$A12)&gt;0,"例外有效",IF(COUNTIFS('排班例外核定'!$B$7:$B$106,$A12)&gt;0,"例外申請未生效","無例外")))</x:f>
      </x:c>
      <x:c r="W12" s="315" t="str">
        <x:f>IF($A12="","",IF(OR($U12="可發布",$U12="人力已釋出",$U12="範例，不發布"),$U12,IF(AND($V12="例外有效",$Q12="正式資格未完成",$S12="確認完成",$R12&lt;&gt;"範例"),"例外核定可發布",$U12)))</x:f>
      </x:c>
      <x:c r="X12" s="533" t="str">
        <x:f>IF($A12="","",_xlfn.XLOOKUP($A12,'班次需求輸入'!$A$7:$A$36,'班次需求輸入'!$AD$7:$AD$36,"正式建檔未完成",0))</x:f>
      </x:c>
      <x:c r="Y12" s="533" t="str">
        <x:f>IF($A12="","",IF($G12="待確認","療程待確認",IF($I12&lt;$H12,"缺主跟診配置",IF($K12&lt;$H12,"正式資格未完成",IF($O12&lt;$N12,"缺短時支援",IF($M12&lt;$L12,"支援容量不足",IF($P12&gt;0,"人員時段衝突","通過")))))))</x:f>
      </x:c>
    </x:row>
    <x:row r="13">
      <x:c r="A13" s="80" t="str">
        <x:f>IF('班次需求輸入'!$A13="","",'班次需求輸入'!$A13)</x:f>
      </x:c>
      <x:c r="B13" s="85" t="str">
        <x:f>IF($A13="","",_xlfn.XLOOKUP($A13,'班次需求輸入'!$A$7:$A$36,'班次需求輸入'!$B$7:$B$36,"",0))</x:f>
      </x:c>
      <x:c r="C13" s="86" t="str">
        <x:f>IF($A13="","",_xlfn.XLOOKUP($A13,'班次需求輸入'!$A$7:$A$36,'班次需求輸入'!$C$7:$C$36,"",0))</x:f>
      </x:c>
      <x:c r="D13" s="86" t="str">
        <x:f>IF($A13="","",_xlfn.XLOOKUP($A13,'班次需求輸入'!$A$7:$A$36,'班次需求輸入'!$D$7:$D$36,"",0))</x:f>
      </x:c>
      <x:c r="E13" s="84" t="str">
        <x:f>IF($A13="","",_xlfn.XLOOKUP($A13,'班次需求輸入'!$A$7:$A$36,'班次需求輸入'!$F$7:$F$36,"",0))</x:f>
      </x:c>
      <x:c r="F13" s="84" t="str">
        <x:f>IF($E13="","",_xlfn.XLOOKUP($E13,'排班模式清單'!$A$7:$A$169,'排班模式清單'!$C$7:$C$169,"未建立",0))</x:f>
      </x:c>
      <x:c r="G13" s="84" t="str">
        <x:f>IF($A13="","",_xlfn.XLOOKUP($A13,'班次需求輸入'!$A$7:$A$36,'班次需求輸入'!$G$7:$G$36,"",0))</x:f>
      </x:c>
      <x:c r="H13" s="84" t="str">
        <x:f>IF($A13="","",_xlfn.XLOOKUP($A13,'班次需求輸入'!$A$7:$A$36,'班次需求輸入'!$H$7:$H$36,"",0))</x:f>
      </x:c>
      <x:c r="I13" s="84" t="str">
        <x:f>IF($A13="","",COUNTIFS('排班配置輸入'!$B$7:$B$66,$A13,'排班配置輸入'!$E$7:$E$66,"主跟診"))</x:f>
      </x:c>
      <x:c r="J13" s="84" t="str">
        <x:f>IF($A13="","",COUNTIFS('排班配置輸入'!$B$7:$B$66,$A13,'排班配置輸入'!$E$7:$E$66,"主跟診",'排班配置輸入'!$I$7:$I$66,"&lt;&gt;不可正式排"))</x:f>
      </x:c>
      <x:c r="K13" s="84" t="str">
        <x:f>IF($A13="","",COUNTIFS('排班配置輸入'!$B$7:$B$66,$A13,'排班配置輸入'!$E$7:$E$66,"主跟診",'排班配置輸入'!$J$7:$J$66,"初步可獨立")+COUNTIFS('排班配置輸入'!$B$7:$B$66,$A13,'排班配置輸入'!$E$7:$E$66,"主跟診",'排班配置輸入'!$J$7:$J$66,"初步可條件排"))</x:f>
      </x:c>
      <x:c r="L13" s="84" t="str">
        <x:f>IF($A13="","",SUMIFS('排班配置輸入'!$L$7:$L$66,'排班配置輸入'!$B$7:$B$66,$A13))</x:f>
      </x:c>
      <x:c r="M13" s="84" t="str">
        <x:f>IF($A13="","",SUMIFS('排班配置輸入'!$F$7:$F$66,'排班配置輸入'!$B$7:$B$66,$A13,'排班配置輸入'!$G$7:$G$66,"是",'排班配置輸入'!$K$7:$K$66,"支援資格通過"))</x:f>
      </x:c>
      <x:c r="N13" s="84" t="str">
        <x:f>IF($A13="","",_xlfn.XLOOKUP($A13,'班次需求輸入'!$A$7:$A$36,'班次需求輸入'!$I$7:$I$36,0,0))</x:f>
      </x:c>
      <x:c r="O13" s="84" t="str">
        <x:f>IF($A13="","",COUNTIFS('排班配置輸入'!$B$7:$B$66,$A13,'排班配置輸入'!$E$7:$E$66,"短時支援"))</x:f>
      </x:c>
      <x:c r="P13" s="84" t="str">
        <x:f>IF($A13="","",SUMIFS('排班配置輸入'!$P$7:$P$66,'排班配置輸入'!$B$7:$B$66,$A13))</x:f>
      </x:c>
      <x:c r="Q13" s="84" t="str">
        <x:f>IF($A13="","",IF($X13="已取消","已取消",IF(OR($X13="範例",$X13="可進入排班"),$Y13,"班次建檔未完成")))</x:f>
      </x:c>
      <x:c r="R13" s="194" t="str">
        <x:f>IF($A13="","",_xlfn.XLOOKUP($A13,'班次需求輸入'!$A$7:$A$36,'班次需求輸入'!$K$7:$K$36,"",0))</x:f>
      </x:c>
      <x:c r="S13" s="189" t="str">
        <x:f>IF($A13="","",_xlfn.XLOOKUP($A13,'班次需求輸入'!$A$7:$A$36,'班次需求輸入'!$X$7:$X$36,"",0))</x:f>
      </x:c>
      <x:c r="T13" s="189" t="str">
        <x:f>IF($A13="","",_xlfn.XLOOKUP($A13,'班次需求輸入'!$A$7:$A$36,'班次需求輸入'!$T$7:$T$36,"",0))</x:f>
      </x:c>
      <x:c r="U13" s="189" t="str">
        <x:f>IF($A13="","",IF($R13="範例","範例，不發布",IF(AND(OR($T13="療程取消",$T13="病患取消"),$S13="確認完成"),"人力已釋出",IF($Q13&lt;&gt;"通過",$Q13,IF($S13&lt;&gt;"確認完成",$S13,"可發布")))))</x:f>
      </x:c>
      <x:c r="V13" s="315" t="str">
        <x:f>IF($A13="","",IF(COUNTIFS('排班例外核定'!$U$7:$U$106,$A13)&gt;0,"例外有效",IF(COUNTIFS('排班例外核定'!$B$7:$B$106,$A13)&gt;0,"例外申請未生效","無例外")))</x:f>
      </x:c>
      <x:c r="W13" s="315" t="str">
        <x:f>IF($A13="","",IF(OR($U13="可發布",$U13="人力已釋出",$U13="範例，不發布"),$U13,IF(AND($V13="例外有效",$Q13="正式資格未完成",$S13="確認完成",$R13&lt;&gt;"範例"),"例外核定可發布",$U13)))</x:f>
      </x:c>
      <x:c r="X13" s="533" t="str">
        <x:f>IF($A13="","",_xlfn.XLOOKUP($A13,'班次需求輸入'!$A$7:$A$36,'班次需求輸入'!$AD$7:$AD$36,"正式建檔未完成",0))</x:f>
      </x:c>
      <x:c r="Y13" s="533" t="str">
        <x:f>IF($A13="","",IF($G13="待確認","療程待確認",IF($I13&lt;$H13,"缺主跟診配置",IF($K13&lt;$H13,"正式資格未完成",IF($O13&lt;$N13,"缺短時支援",IF($M13&lt;$L13,"支援容量不足",IF($P13&gt;0,"人員時段衝突","通過")))))))</x:f>
      </x:c>
    </x:row>
    <x:row r="14">
      <x:c r="A14" s="80" t="str">
        <x:f>IF('班次需求輸入'!$A14="","",'班次需求輸入'!$A14)</x:f>
      </x:c>
      <x:c r="B14" s="85" t="str">
        <x:f>IF($A14="","",_xlfn.XLOOKUP($A14,'班次需求輸入'!$A$7:$A$36,'班次需求輸入'!$B$7:$B$36,"",0))</x:f>
      </x:c>
      <x:c r="C14" s="86" t="str">
        <x:f>IF($A14="","",_xlfn.XLOOKUP($A14,'班次需求輸入'!$A$7:$A$36,'班次需求輸入'!$C$7:$C$36,"",0))</x:f>
      </x:c>
      <x:c r="D14" s="86" t="str">
        <x:f>IF($A14="","",_xlfn.XLOOKUP($A14,'班次需求輸入'!$A$7:$A$36,'班次需求輸入'!$D$7:$D$36,"",0))</x:f>
      </x:c>
      <x:c r="E14" s="84" t="str">
        <x:f>IF($A14="","",_xlfn.XLOOKUP($A14,'班次需求輸入'!$A$7:$A$36,'班次需求輸入'!$F$7:$F$36,"",0))</x:f>
      </x:c>
      <x:c r="F14" s="84" t="str">
        <x:f>IF($E14="","",_xlfn.XLOOKUP($E14,'排班模式清單'!$A$7:$A$169,'排班模式清單'!$C$7:$C$169,"未建立",0))</x:f>
      </x:c>
      <x:c r="G14" s="84" t="str">
        <x:f>IF($A14="","",_xlfn.XLOOKUP($A14,'班次需求輸入'!$A$7:$A$36,'班次需求輸入'!$G$7:$G$36,"",0))</x:f>
      </x:c>
      <x:c r="H14" s="84" t="str">
        <x:f>IF($A14="","",_xlfn.XLOOKUP($A14,'班次需求輸入'!$A$7:$A$36,'班次需求輸入'!$H$7:$H$36,"",0))</x:f>
      </x:c>
      <x:c r="I14" s="84" t="str">
        <x:f>IF($A14="","",COUNTIFS('排班配置輸入'!$B$7:$B$66,$A14,'排班配置輸入'!$E$7:$E$66,"主跟診"))</x:f>
      </x:c>
      <x:c r="J14" s="84" t="str">
        <x:f>IF($A14="","",COUNTIFS('排班配置輸入'!$B$7:$B$66,$A14,'排班配置輸入'!$E$7:$E$66,"主跟診",'排班配置輸入'!$I$7:$I$66,"&lt;&gt;不可正式排"))</x:f>
      </x:c>
      <x:c r="K14" s="84" t="str">
        <x:f>IF($A14="","",COUNTIFS('排班配置輸入'!$B$7:$B$66,$A14,'排班配置輸入'!$E$7:$E$66,"主跟診",'排班配置輸入'!$J$7:$J$66,"初步可獨立")+COUNTIFS('排班配置輸入'!$B$7:$B$66,$A14,'排班配置輸入'!$E$7:$E$66,"主跟診",'排班配置輸入'!$J$7:$J$66,"初步可條件排"))</x:f>
      </x:c>
      <x:c r="L14" s="84" t="str">
        <x:f>IF($A14="","",SUMIFS('排班配置輸入'!$L$7:$L$66,'排班配置輸入'!$B$7:$B$66,$A14))</x:f>
      </x:c>
      <x:c r="M14" s="84" t="str">
        <x:f>IF($A14="","",SUMIFS('排班配置輸入'!$F$7:$F$66,'排班配置輸入'!$B$7:$B$66,$A14,'排班配置輸入'!$G$7:$G$66,"是",'排班配置輸入'!$K$7:$K$66,"支援資格通過"))</x:f>
      </x:c>
      <x:c r="N14" s="84" t="str">
        <x:f>IF($A14="","",_xlfn.XLOOKUP($A14,'班次需求輸入'!$A$7:$A$36,'班次需求輸入'!$I$7:$I$36,0,0))</x:f>
      </x:c>
      <x:c r="O14" s="84" t="str">
        <x:f>IF($A14="","",COUNTIFS('排班配置輸入'!$B$7:$B$66,$A14,'排班配置輸入'!$E$7:$E$66,"短時支援"))</x:f>
      </x:c>
      <x:c r="P14" s="84" t="str">
        <x:f>IF($A14="","",SUMIFS('排班配置輸入'!$P$7:$P$66,'排班配置輸入'!$B$7:$B$66,$A14))</x:f>
      </x:c>
      <x:c r="Q14" s="84" t="str">
        <x:f>IF($A14="","",IF($X14="已取消","已取消",IF(OR($X14="範例",$X14="可進入排班"),$Y14,"班次建檔未完成")))</x:f>
      </x:c>
      <x:c r="R14" s="194" t="str">
        <x:f>IF($A14="","",_xlfn.XLOOKUP($A14,'班次需求輸入'!$A$7:$A$36,'班次需求輸入'!$K$7:$K$36,"",0))</x:f>
      </x:c>
      <x:c r="S14" s="189" t="str">
        <x:f>IF($A14="","",_xlfn.XLOOKUP($A14,'班次需求輸入'!$A$7:$A$36,'班次需求輸入'!$X$7:$X$36,"",0))</x:f>
      </x:c>
      <x:c r="T14" s="189" t="str">
        <x:f>IF($A14="","",_xlfn.XLOOKUP($A14,'班次需求輸入'!$A$7:$A$36,'班次需求輸入'!$T$7:$T$36,"",0))</x:f>
      </x:c>
      <x:c r="U14" s="189" t="str">
        <x:f>IF($A14="","",IF($R14="範例","範例，不發布",IF(AND(OR($T14="療程取消",$T14="病患取消"),$S14="確認完成"),"人力已釋出",IF($Q14&lt;&gt;"通過",$Q14,IF($S14&lt;&gt;"確認完成",$S14,"可發布")))))</x:f>
      </x:c>
      <x:c r="V14" s="315" t="str">
        <x:f>IF($A14="","",IF(COUNTIFS('排班例外核定'!$U$7:$U$106,$A14)&gt;0,"例外有效",IF(COUNTIFS('排班例外核定'!$B$7:$B$106,$A14)&gt;0,"例外申請未生效","無例外")))</x:f>
      </x:c>
      <x:c r="W14" s="315" t="str">
        <x:f>IF($A14="","",IF(OR($U14="可發布",$U14="人力已釋出",$U14="範例，不發布"),$U14,IF(AND($V14="例外有效",$Q14="正式資格未完成",$S14="確認完成",$R14&lt;&gt;"範例"),"例外核定可發布",$U14)))</x:f>
      </x:c>
      <x:c r="X14" s="533" t="str">
        <x:f>IF($A14="","",_xlfn.XLOOKUP($A14,'班次需求輸入'!$A$7:$A$36,'班次需求輸入'!$AD$7:$AD$36,"正式建檔未完成",0))</x:f>
      </x:c>
      <x:c r="Y14" s="533" t="str">
        <x:f>IF($A14="","",IF($G14="待確認","療程待確認",IF($I14&lt;$H14,"缺主跟診配置",IF($K14&lt;$H14,"正式資格未完成",IF($O14&lt;$N14,"缺短時支援",IF($M14&lt;$L14,"支援容量不足",IF($P14&gt;0,"人員時段衝突","通過")))))))</x:f>
      </x:c>
    </x:row>
    <x:row r="15">
      <x:c r="A15" s="80" t="str">
        <x:f>IF('班次需求輸入'!$A15="","",'班次需求輸入'!$A15)</x:f>
      </x:c>
      <x:c r="B15" s="85" t="str">
        <x:f>IF($A15="","",_xlfn.XLOOKUP($A15,'班次需求輸入'!$A$7:$A$36,'班次需求輸入'!$B$7:$B$36,"",0))</x:f>
      </x:c>
      <x:c r="C15" s="86" t="str">
        <x:f>IF($A15="","",_xlfn.XLOOKUP($A15,'班次需求輸入'!$A$7:$A$36,'班次需求輸入'!$C$7:$C$36,"",0))</x:f>
      </x:c>
      <x:c r="D15" s="86" t="str">
        <x:f>IF($A15="","",_xlfn.XLOOKUP($A15,'班次需求輸入'!$A$7:$A$36,'班次需求輸入'!$D$7:$D$36,"",0))</x:f>
      </x:c>
      <x:c r="E15" s="84" t="str">
        <x:f>IF($A15="","",_xlfn.XLOOKUP($A15,'班次需求輸入'!$A$7:$A$36,'班次需求輸入'!$F$7:$F$36,"",0))</x:f>
      </x:c>
      <x:c r="F15" s="84" t="str">
        <x:f>IF($E15="","",_xlfn.XLOOKUP($E15,'排班模式清單'!$A$7:$A$169,'排班模式清單'!$C$7:$C$169,"未建立",0))</x:f>
      </x:c>
      <x:c r="G15" s="84" t="str">
        <x:f>IF($A15="","",_xlfn.XLOOKUP($A15,'班次需求輸入'!$A$7:$A$36,'班次需求輸入'!$G$7:$G$36,"",0))</x:f>
      </x:c>
      <x:c r="H15" s="84" t="str">
        <x:f>IF($A15="","",_xlfn.XLOOKUP($A15,'班次需求輸入'!$A$7:$A$36,'班次需求輸入'!$H$7:$H$36,"",0))</x:f>
      </x:c>
      <x:c r="I15" s="84" t="str">
        <x:f>IF($A15="","",COUNTIFS('排班配置輸入'!$B$7:$B$66,$A15,'排班配置輸入'!$E$7:$E$66,"主跟診"))</x:f>
      </x:c>
      <x:c r="J15" s="84" t="str">
        <x:f>IF($A15="","",COUNTIFS('排班配置輸入'!$B$7:$B$66,$A15,'排班配置輸入'!$E$7:$E$66,"主跟診",'排班配置輸入'!$I$7:$I$66,"&lt;&gt;不可正式排"))</x:f>
      </x:c>
      <x:c r="K15" s="84" t="str">
        <x:f>IF($A15="","",COUNTIFS('排班配置輸入'!$B$7:$B$66,$A15,'排班配置輸入'!$E$7:$E$66,"主跟診",'排班配置輸入'!$J$7:$J$66,"初步可獨立")+COUNTIFS('排班配置輸入'!$B$7:$B$66,$A15,'排班配置輸入'!$E$7:$E$66,"主跟診",'排班配置輸入'!$J$7:$J$66,"初步可條件排"))</x:f>
      </x:c>
      <x:c r="L15" s="84" t="str">
        <x:f>IF($A15="","",SUMIFS('排班配置輸入'!$L$7:$L$66,'排班配置輸入'!$B$7:$B$66,$A15))</x:f>
      </x:c>
      <x:c r="M15" s="84" t="str">
        <x:f>IF($A15="","",SUMIFS('排班配置輸入'!$F$7:$F$66,'排班配置輸入'!$B$7:$B$66,$A15,'排班配置輸入'!$G$7:$G$66,"是",'排班配置輸入'!$K$7:$K$66,"支援資格通過"))</x:f>
      </x:c>
      <x:c r="N15" s="84" t="str">
        <x:f>IF($A15="","",_xlfn.XLOOKUP($A15,'班次需求輸入'!$A$7:$A$36,'班次需求輸入'!$I$7:$I$36,0,0))</x:f>
      </x:c>
      <x:c r="O15" s="84" t="str">
        <x:f>IF($A15="","",COUNTIFS('排班配置輸入'!$B$7:$B$66,$A15,'排班配置輸入'!$E$7:$E$66,"短時支援"))</x:f>
      </x:c>
      <x:c r="P15" s="84" t="str">
        <x:f>IF($A15="","",SUMIFS('排班配置輸入'!$P$7:$P$66,'排班配置輸入'!$B$7:$B$66,$A15))</x:f>
      </x:c>
      <x:c r="Q15" s="84" t="str">
        <x:f>IF($A15="","",IF($X15="已取消","已取消",IF(OR($X15="範例",$X15="可進入排班"),$Y15,"班次建檔未完成")))</x:f>
      </x:c>
      <x:c r="R15" s="194" t="str">
        <x:f>IF($A15="","",_xlfn.XLOOKUP($A15,'班次需求輸入'!$A$7:$A$36,'班次需求輸入'!$K$7:$K$36,"",0))</x:f>
      </x:c>
      <x:c r="S15" s="189" t="str">
        <x:f>IF($A15="","",_xlfn.XLOOKUP($A15,'班次需求輸入'!$A$7:$A$36,'班次需求輸入'!$X$7:$X$36,"",0))</x:f>
      </x:c>
      <x:c r="T15" s="189" t="str">
        <x:f>IF($A15="","",_xlfn.XLOOKUP($A15,'班次需求輸入'!$A$7:$A$36,'班次需求輸入'!$T$7:$T$36,"",0))</x:f>
      </x:c>
      <x:c r="U15" s="189" t="str">
        <x:f>IF($A15="","",IF($R15="範例","範例，不發布",IF(AND(OR($T15="療程取消",$T15="病患取消"),$S15="確認完成"),"人力已釋出",IF($Q15&lt;&gt;"通過",$Q15,IF($S15&lt;&gt;"確認完成",$S15,"可發布")))))</x:f>
      </x:c>
      <x:c r="V15" s="315" t="str">
        <x:f>IF($A15="","",IF(COUNTIFS('排班例外核定'!$U$7:$U$106,$A15)&gt;0,"例外有效",IF(COUNTIFS('排班例外核定'!$B$7:$B$106,$A15)&gt;0,"例外申請未生效","無例外")))</x:f>
      </x:c>
      <x:c r="W15" s="315" t="str">
        <x:f>IF($A15="","",IF(OR($U15="可發布",$U15="人力已釋出",$U15="範例，不發布"),$U15,IF(AND($V15="例外有效",$Q15="正式資格未完成",$S15="確認完成",$R15&lt;&gt;"範例"),"例外核定可發布",$U15)))</x:f>
      </x:c>
      <x:c r="X15" s="533" t="str">
        <x:f>IF($A15="","",_xlfn.XLOOKUP($A15,'班次需求輸入'!$A$7:$A$36,'班次需求輸入'!$AD$7:$AD$36,"正式建檔未完成",0))</x:f>
      </x:c>
      <x:c r="Y15" s="533" t="str">
        <x:f>IF($A15="","",IF($G15="待確認","療程待確認",IF($I15&lt;$H15,"缺主跟診配置",IF($K15&lt;$H15,"正式資格未完成",IF($O15&lt;$N15,"缺短時支援",IF($M15&lt;$L15,"支援容量不足",IF($P15&gt;0,"人員時段衝突","通過")))))))</x:f>
      </x:c>
    </x:row>
    <x:row r="16">
      <x:c r="A16" s="80" t="str">
        <x:f>IF('班次需求輸入'!$A16="","",'班次需求輸入'!$A16)</x:f>
      </x:c>
      <x:c r="B16" s="85" t="str">
        <x:f>IF($A16="","",_xlfn.XLOOKUP($A16,'班次需求輸入'!$A$7:$A$36,'班次需求輸入'!$B$7:$B$36,"",0))</x:f>
      </x:c>
      <x:c r="C16" s="86" t="str">
        <x:f>IF($A16="","",_xlfn.XLOOKUP($A16,'班次需求輸入'!$A$7:$A$36,'班次需求輸入'!$C$7:$C$36,"",0))</x:f>
      </x:c>
      <x:c r="D16" s="86" t="str">
        <x:f>IF($A16="","",_xlfn.XLOOKUP($A16,'班次需求輸入'!$A$7:$A$36,'班次需求輸入'!$D$7:$D$36,"",0))</x:f>
      </x:c>
      <x:c r="E16" s="84" t="str">
        <x:f>IF($A16="","",_xlfn.XLOOKUP($A16,'班次需求輸入'!$A$7:$A$36,'班次需求輸入'!$F$7:$F$36,"",0))</x:f>
      </x:c>
      <x:c r="F16" s="84" t="str">
        <x:f>IF($E16="","",_xlfn.XLOOKUP($E16,'排班模式清單'!$A$7:$A$169,'排班模式清單'!$C$7:$C$169,"未建立",0))</x:f>
      </x:c>
      <x:c r="G16" s="84" t="str">
        <x:f>IF($A16="","",_xlfn.XLOOKUP($A16,'班次需求輸入'!$A$7:$A$36,'班次需求輸入'!$G$7:$G$36,"",0))</x:f>
      </x:c>
      <x:c r="H16" s="84" t="str">
        <x:f>IF($A16="","",_xlfn.XLOOKUP($A16,'班次需求輸入'!$A$7:$A$36,'班次需求輸入'!$H$7:$H$36,"",0))</x:f>
      </x:c>
      <x:c r="I16" s="84" t="str">
        <x:f>IF($A16="","",COUNTIFS('排班配置輸入'!$B$7:$B$66,$A16,'排班配置輸入'!$E$7:$E$66,"主跟診"))</x:f>
      </x:c>
      <x:c r="J16" s="84" t="str">
        <x:f>IF($A16="","",COUNTIFS('排班配置輸入'!$B$7:$B$66,$A16,'排班配置輸入'!$E$7:$E$66,"主跟診",'排班配置輸入'!$I$7:$I$66,"&lt;&gt;不可正式排"))</x:f>
      </x:c>
      <x:c r="K16" s="84" t="str">
        <x:f>IF($A16="","",COUNTIFS('排班配置輸入'!$B$7:$B$66,$A16,'排班配置輸入'!$E$7:$E$66,"主跟診",'排班配置輸入'!$J$7:$J$66,"初步可獨立")+COUNTIFS('排班配置輸入'!$B$7:$B$66,$A16,'排班配置輸入'!$E$7:$E$66,"主跟診",'排班配置輸入'!$J$7:$J$66,"初步可條件排"))</x:f>
      </x:c>
      <x:c r="L16" s="84" t="str">
        <x:f>IF($A16="","",SUMIFS('排班配置輸入'!$L$7:$L$66,'排班配置輸入'!$B$7:$B$66,$A16))</x:f>
      </x:c>
      <x:c r="M16" s="84" t="str">
        <x:f>IF($A16="","",SUMIFS('排班配置輸入'!$F$7:$F$66,'排班配置輸入'!$B$7:$B$66,$A16,'排班配置輸入'!$G$7:$G$66,"是",'排班配置輸入'!$K$7:$K$66,"支援資格通過"))</x:f>
      </x:c>
      <x:c r="N16" s="84" t="str">
        <x:f>IF($A16="","",_xlfn.XLOOKUP($A16,'班次需求輸入'!$A$7:$A$36,'班次需求輸入'!$I$7:$I$36,0,0))</x:f>
      </x:c>
      <x:c r="O16" s="84" t="str">
        <x:f>IF($A16="","",COUNTIFS('排班配置輸入'!$B$7:$B$66,$A16,'排班配置輸入'!$E$7:$E$66,"短時支援"))</x:f>
      </x:c>
      <x:c r="P16" s="84" t="str">
        <x:f>IF($A16="","",SUMIFS('排班配置輸入'!$P$7:$P$66,'排班配置輸入'!$B$7:$B$66,$A16))</x:f>
      </x:c>
      <x:c r="Q16" s="84" t="str">
        <x:f>IF($A16="","",IF($X16="已取消","已取消",IF(OR($X16="範例",$X16="可進入排班"),$Y16,"班次建檔未完成")))</x:f>
      </x:c>
      <x:c r="R16" s="194" t="str">
        <x:f>IF($A16="","",_xlfn.XLOOKUP($A16,'班次需求輸入'!$A$7:$A$36,'班次需求輸入'!$K$7:$K$36,"",0))</x:f>
      </x:c>
      <x:c r="S16" s="189" t="str">
        <x:f>IF($A16="","",_xlfn.XLOOKUP($A16,'班次需求輸入'!$A$7:$A$36,'班次需求輸入'!$X$7:$X$36,"",0))</x:f>
      </x:c>
      <x:c r="T16" s="189" t="str">
        <x:f>IF($A16="","",_xlfn.XLOOKUP($A16,'班次需求輸入'!$A$7:$A$36,'班次需求輸入'!$T$7:$T$36,"",0))</x:f>
      </x:c>
      <x:c r="U16" s="189" t="str">
        <x:f>IF($A16="","",IF($R16="範例","範例，不發布",IF(AND(OR($T16="療程取消",$T16="病患取消"),$S16="確認完成"),"人力已釋出",IF($Q16&lt;&gt;"通過",$Q16,IF($S16&lt;&gt;"確認完成",$S16,"可發布")))))</x:f>
      </x:c>
      <x:c r="V16" s="315" t="str">
        <x:f>IF($A16="","",IF(COUNTIFS('排班例外核定'!$U$7:$U$106,$A16)&gt;0,"例外有效",IF(COUNTIFS('排班例外核定'!$B$7:$B$106,$A16)&gt;0,"例外申請未生效","無例外")))</x:f>
      </x:c>
      <x:c r="W16" s="315" t="str">
        <x:f>IF($A16="","",IF(OR($U16="可發布",$U16="人力已釋出",$U16="範例，不發布"),$U16,IF(AND($V16="例外有效",$Q16="正式資格未完成",$S16="確認完成",$R16&lt;&gt;"範例"),"例外核定可發布",$U16)))</x:f>
      </x:c>
      <x:c r="X16" s="533" t="str">
        <x:f>IF($A16="","",_xlfn.XLOOKUP($A16,'班次需求輸入'!$A$7:$A$36,'班次需求輸入'!$AD$7:$AD$36,"正式建檔未完成",0))</x:f>
      </x:c>
      <x:c r="Y16" s="533" t="str">
        <x:f>IF($A16="","",IF($G16="待確認","療程待確認",IF($I16&lt;$H16,"缺主跟診配置",IF($K16&lt;$H16,"正式資格未完成",IF($O16&lt;$N16,"缺短時支援",IF($M16&lt;$L16,"支援容量不足",IF($P16&gt;0,"人員時段衝突","通過")))))))</x:f>
      </x:c>
    </x:row>
    <x:row r="17">
      <x:c r="A17" s="80" t="str">
        <x:f>IF('班次需求輸入'!$A17="","",'班次需求輸入'!$A17)</x:f>
      </x:c>
      <x:c r="B17" s="85" t="str">
        <x:f>IF($A17="","",_xlfn.XLOOKUP($A17,'班次需求輸入'!$A$7:$A$36,'班次需求輸入'!$B$7:$B$36,"",0))</x:f>
      </x:c>
      <x:c r="C17" s="86" t="str">
        <x:f>IF($A17="","",_xlfn.XLOOKUP($A17,'班次需求輸入'!$A$7:$A$36,'班次需求輸入'!$C$7:$C$36,"",0))</x:f>
      </x:c>
      <x:c r="D17" s="86" t="str">
        <x:f>IF($A17="","",_xlfn.XLOOKUP($A17,'班次需求輸入'!$A$7:$A$36,'班次需求輸入'!$D$7:$D$36,"",0))</x:f>
      </x:c>
      <x:c r="E17" s="84" t="str">
        <x:f>IF($A17="","",_xlfn.XLOOKUP($A17,'班次需求輸入'!$A$7:$A$36,'班次需求輸入'!$F$7:$F$36,"",0))</x:f>
      </x:c>
      <x:c r="F17" s="84" t="str">
        <x:f>IF($E17="","",_xlfn.XLOOKUP($E17,'排班模式清單'!$A$7:$A$169,'排班模式清單'!$C$7:$C$169,"未建立",0))</x:f>
      </x:c>
      <x:c r="G17" s="84" t="str">
        <x:f>IF($A17="","",_xlfn.XLOOKUP($A17,'班次需求輸入'!$A$7:$A$36,'班次需求輸入'!$G$7:$G$36,"",0))</x:f>
      </x:c>
      <x:c r="H17" s="84" t="str">
        <x:f>IF($A17="","",_xlfn.XLOOKUP($A17,'班次需求輸入'!$A$7:$A$36,'班次需求輸入'!$H$7:$H$36,"",0))</x:f>
      </x:c>
      <x:c r="I17" s="84" t="str">
        <x:f>IF($A17="","",COUNTIFS('排班配置輸入'!$B$7:$B$66,$A17,'排班配置輸入'!$E$7:$E$66,"主跟診"))</x:f>
      </x:c>
      <x:c r="J17" s="84" t="str">
        <x:f>IF($A17="","",COUNTIFS('排班配置輸入'!$B$7:$B$66,$A17,'排班配置輸入'!$E$7:$E$66,"主跟診",'排班配置輸入'!$I$7:$I$66,"&lt;&gt;不可正式排"))</x:f>
      </x:c>
      <x:c r="K17" s="84" t="str">
        <x:f>IF($A17="","",COUNTIFS('排班配置輸入'!$B$7:$B$66,$A17,'排班配置輸入'!$E$7:$E$66,"主跟診",'排班配置輸入'!$J$7:$J$66,"初步可獨立")+COUNTIFS('排班配置輸入'!$B$7:$B$66,$A17,'排班配置輸入'!$E$7:$E$66,"主跟診",'排班配置輸入'!$J$7:$J$66,"初步可條件排"))</x:f>
      </x:c>
      <x:c r="L17" s="84" t="str">
        <x:f>IF($A17="","",SUMIFS('排班配置輸入'!$L$7:$L$66,'排班配置輸入'!$B$7:$B$66,$A17))</x:f>
      </x:c>
      <x:c r="M17" s="84" t="str">
        <x:f>IF($A17="","",SUMIFS('排班配置輸入'!$F$7:$F$66,'排班配置輸入'!$B$7:$B$66,$A17,'排班配置輸入'!$G$7:$G$66,"是",'排班配置輸入'!$K$7:$K$66,"支援資格通過"))</x:f>
      </x:c>
      <x:c r="N17" s="84" t="str">
        <x:f>IF($A17="","",_xlfn.XLOOKUP($A17,'班次需求輸入'!$A$7:$A$36,'班次需求輸入'!$I$7:$I$36,0,0))</x:f>
      </x:c>
      <x:c r="O17" s="84" t="str">
        <x:f>IF($A17="","",COUNTIFS('排班配置輸入'!$B$7:$B$66,$A17,'排班配置輸入'!$E$7:$E$66,"短時支援"))</x:f>
      </x:c>
      <x:c r="P17" s="84" t="str">
        <x:f>IF($A17="","",SUMIFS('排班配置輸入'!$P$7:$P$66,'排班配置輸入'!$B$7:$B$66,$A17))</x:f>
      </x:c>
      <x:c r="Q17" s="84" t="str">
        <x:f>IF($A17="","",IF($X17="已取消","已取消",IF(OR($X17="範例",$X17="可進入排班"),$Y17,"班次建檔未完成")))</x:f>
      </x:c>
      <x:c r="R17" s="194" t="str">
        <x:f>IF($A17="","",_xlfn.XLOOKUP($A17,'班次需求輸入'!$A$7:$A$36,'班次需求輸入'!$K$7:$K$36,"",0))</x:f>
      </x:c>
      <x:c r="S17" s="189" t="str">
        <x:f>IF($A17="","",_xlfn.XLOOKUP($A17,'班次需求輸入'!$A$7:$A$36,'班次需求輸入'!$X$7:$X$36,"",0))</x:f>
      </x:c>
      <x:c r="T17" s="189" t="str">
        <x:f>IF($A17="","",_xlfn.XLOOKUP($A17,'班次需求輸入'!$A$7:$A$36,'班次需求輸入'!$T$7:$T$36,"",0))</x:f>
      </x:c>
      <x:c r="U17" s="189" t="str">
        <x:f>IF($A17="","",IF($R17="範例","範例，不發布",IF(AND(OR($T17="療程取消",$T17="病患取消"),$S17="確認完成"),"人力已釋出",IF($Q17&lt;&gt;"通過",$Q17,IF($S17&lt;&gt;"確認完成",$S17,"可發布")))))</x:f>
      </x:c>
      <x:c r="V17" s="315" t="str">
        <x:f>IF($A17="","",IF(COUNTIFS('排班例外核定'!$U$7:$U$106,$A17)&gt;0,"例外有效",IF(COUNTIFS('排班例外核定'!$B$7:$B$106,$A17)&gt;0,"例外申請未生效","無例外")))</x:f>
      </x:c>
      <x:c r="W17" s="315" t="str">
        <x:f>IF($A17="","",IF(OR($U17="可發布",$U17="人力已釋出",$U17="範例，不發布"),$U17,IF(AND($V17="例外有效",$Q17="正式資格未完成",$S17="確認完成",$R17&lt;&gt;"範例"),"例外核定可發布",$U17)))</x:f>
      </x:c>
      <x:c r="X17" s="533" t="str">
        <x:f>IF($A17="","",_xlfn.XLOOKUP($A17,'班次需求輸入'!$A$7:$A$36,'班次需求輸入'!$AD$7:$AD$36,"正式建檔未完成",0))</x:f>
      </x:c>
      <x:c r="Y17" s="533" t="str">
        <x:f>IF($A17="","",IF($G17="待確認","療程待確認",IF($I17&lt;$H17,"缺主跟診配置",IF($K17&lt;$H17,"正式資格未完成",IF($O17&lt;$N17,"缺短時支援",IF($M17&lt;$L17,"支援容量不足",IF($P17&gt;0,"人員時段衝突","通過")))))))</x:f>
      </x:c>
    </x:row>
    <x:row r="18">
      <x:c r="A18" s="80" t="str">
        <x:f>IF('班次需求輸入'!$A18="","",'班次需求輸入'!$A18)</x:f>
      </x:c>
      <x:c r="B18" s="85" t="str">
        <x:f>IF($A18="","",_xlfn.XLOOKUP($A18,'班次需求輸入'!$A$7:$A$36,'班次需求輸入'!$B$7:$B$36,"",0))</x:f>
      </x:c>
      <x:c r="C18" s="86" t="str">
        <x:f>IF($A18="","",_xlfn.XLOOKUP($A18,'班次需求輸入'!$A$7:$A$36,'班次需求輸入'!$C$7:$C$36,"",0))</x:f>
      </x:c>
      <x:c r="D18" s="86" t="str">
        <x:f>IF($A18="","",_xlfn.XLOOKUP($A18,'班次需求輸入'!$A$7:$A$36,'班次需求輸入'!$D$7:$D$36,"",0))</x:f>
      </x:c>
      <x:c r="E18" s="84" t="str">
        <x:f>IF($A18="","",_xlfn.XLOOKUP($A18,'班次需求輸入'!$A$7:$A$36,'班次需求輸入'!$F$7:$F$36,"",0))</x:f>
      </x:c>
      <x:c r="F18" s="84" t="str">
        <x:f>IF($E18="","",_xlfn.XLOOKUP($E18,'排班模式清單'!$A$7:$A$169,'排班模式清單'!$C$7:$C$169,"未建立",0))</x:f>
      </x:c>
      <x:c r="G18" s="84" t="str">
        <x:f>IF($A18="","",_xlfn.XLOOKUP($A18,'班次需求輸入'!$A$7:$A$36,'班次需求輸入'!$G$7:$G$36,"",0))</x:f>
      </x:c>
      <x:c r="H18" s="84" t="str">
        <x:f>IF($A18="","",_xlfn.XLOOKUP($A18,'班次需求輸入'!$A$7:$A$36,'班次需求輸入'!$H$7:$H$36,"",0))</x:f>
      </x:c>
      <x:c r="I18" s="84" t="str">
        <x:f>IF($A18="","",COUNTIFS('排班配置輸入'!$B$7:$B$66,$A18,'排班配置輸入'!$E$7:$E$66,"主跟診"))</x:f>
      </x:c>
      <x:c r="J18" s="84" t="str">
        <x:f>IF($A18="","",COUNTIFS('排班配置輸入'!$B$7:$B$66,$A18,'排班配置輸入'!$E$7:$E$66,"主跟診",'排班配置輸入'!$I$7:$I$66,"&lt;&gt;不可正式排"))</x:f>
      </x:c>
      <x:c r="K18" s="84" t="str">
        <x:f>IF($A18="","",COUNTIFS('排班配置輸入'!$B$7:$B$66,$A18,'排班配置輸入'!$E$7:$E$66,"主跟診",'排班配置輸入'!$J$7:$J$66,"初步可獨立")+COUNTIFS('排班配置輸入'!$B$7:$B$66,$A18,'排班配置輸入'!$E$7:$E$66,"主跟診",'排班配置輸入'!$J$7:$J$66,"初步可條件排"))</x:f>
      </x:c>
      <x:c r="L18" s="84" t="str">
        <x:f>IF($A18="","",SUMIFS('排班配置輸入'!$L$7:$L$66,'排班配置輸入'!$B$7:$B$66,$A18))</x:f>
      </x:c>
      <x:c r="M18" s="84" t="str">
        <x:f>IF($A18="","",SUMIFS('排班配置輸入'!$F$7:$F$66,'排班配置輸入'!$B$7:$B$66,$A18,'排班配置輸入'!$G$7:$G$66,"是",'排班配置輸入'!$K$7:$K$66,"支援資格通過"))</x:f>
      </x:c>
      <x:c r="N18" s="84" t="str">
        <x:f>IF($A18="","",_xlfn.XLOOKUP($A18,'班次需求輸入'!$A$7:$A$36,'班次需求輸入'!$I$7:$I$36,0,0))</x:f>
      </x:c>
      <x:c r="O18" s="84" t="str">
        <x:f>IF($A18="","",COUNTIFS('排班配置輸入'!$B$7:$B$66,$A18,'排班配置輸入'!$E$7:$E$66,"短時支援"))</x:f>
      </x:c>
      <x:c r="P18" s="84" t="str">
        <x:f>IF($A18="","",SUMIFS('排班配置輸入'!$P$7:$P$66,'排班配置輸入'!$B$7:$B$66,$A18))</x:f>
      </x:c>
      <x:c r="Q18" s="84" t="str">
        <x:f>IF($A18="","",IF($X18="已取消","已取消",IF(OR($X18="範例",$X18="可進入排班"),$Y18,"班次建檔未完成")))</x:f>
      </x:c>
      <x:c r="R18" s="194" t="str">
        <x:f>IF($A18="","",_xlfn.XLOOKUP($A18,'班次需求輸入'!$A$7:$A$36,'班次需求輸入'!$K$7:$K$36,"",0))</x:f>
      </x:c>
      <x:c r="S18" s="189" t="str">
        <x:f>IF($A18="","",_xlfn.XLOOKUP($A18,'班次需求輸入'!$A$7:$A$36,'班次需求輸入'!$X$7:$X$36,"",0))</x:f>
      </x:c>
      <x:c r="T18" s="189" t="str">
        <x:f>IF($A18="","",_xlfn.XLOOKUP($A18,'班次需求輸入'!$A$7:$A$36,'班次需求輸入'!$T$7:$T$36,"",0))</x:f>
      </x:c>
      <x:c r="U18" s="189" t="str">
        <x:f>IF($A18="","",IF($R18="範例","範例，不發布",IF(AND(OR($T18="療程取消",$T18="病患取消"),$S18="確認完成"),"人力已釋出",IF($Q18&lt;&gt;"通過",$Q18,IF($S18&lt;&gt;"確認完成",$S18,"可發布")))))</x:f>
      </x:c>
      <x:c r="V18" s="315" t="str">
        <x:f>IF($A18="","",IF(COUNTIFS('排班例外核定'!$U$7:$U$106,$A18)&gt;0,"例外有效",IF(COUNTIFS('排班例外核定'!$B$7:$B$106,$A18)&gt;0,"例外申請未生效","無例外")))</x:f>
      </x:c>
      <x:c r="W18" s="315" t="str">
        <x:f>IF($A18="","",IF(OR($U18="可發布",$U18="人力已釋出",$U18="範例，不發布"),$U18,IF(AND($V18="例外有效",$Q18="正式資格未完成",$S18="確認完成",$R18&lt;&gt;"範例"),"例外核定可發布",$U18)))</x:f>
      </x:c>
      <x:c r="X18" s="533" t="str">
        <x:f>IF($A18="","",_xlfn.XLOOKUP($A18,'班次需求輸入'!$A$7:$A$36,'班次需求輸入'!$AD$7:$AD$36,"正式建檔未完成",0))</x:f>
      </x:c>
      <x:c r="Y18" s="533" t="str">
        <x:f>IF($A18="","",IF($G18="待確認","療程待確認",IF($I18&lt;$H18,"缺主跟診配置",IF($K18&lt;$H18,"正式資格未完成",IF($O18&lt;$N18,"缺短時支援",IF($M18&lt;$L18,"支援容量不足",IF($P18&gt;0,"人員時段衝突","通過")))))))</x:f>
      </x:c>
    </x:row>
    <x:row r="19">
      <x:c r="A19" s="80" t="str">
        <x:f>IF('班次需求輸入'!$A19="","",'班次需求輸入'!$A19)</x:f>
      </x:c>
      <x:c r="B19" s="85" t="str">
        <x:f>IF($A19="","",_xlfn.XLOOKUP($A19,'班次需求輸入'!$A$7:$A$36,'班次需求輸入'!$B$7:$B$36,"",0))</x:f>
      </x:c>
      <x:c r="C19" s="86" t="str">
        <x:f>IF($A19="","",_xlfn.XLOOKUP($A19,'班次需求輸入'!$A$7:$A$36,'班次需求輸入'!$C$7:$C$36,"",0))</x:f>
      </x:c>
      <x:c r="D19" s="86" t="str">
        <x:f>IF($A19="","",_xlfn.XLOOKUP($A19,'班次需求輸入'!$A$7:$A$36,'班次需求輸入'!$D$7:$D$36,"",0))</x:f>
      </x:c>
      <x:c r="E19" s="84" t="str">
        <x:f>IF($A19="","",_xlfn.XLOOKUP($A19,'班次需求輸入'!$A$7:$A$36,'班次需求輸入'!$F$7:$F$36,"",0))</x:f>
      </x:c>
      <x:c r="F19" s="84" t="str">
        <x:f>IF($E19="","",_xlfn.XLOOKUP($E19,'排班模式清單'!$A$7:$A$169,'排班模式清單'!$C$7:$C$169,"未建立",0))</x:f>
      </x:c>
      <x:c r="G19" s="84" t="str">
        <x:f>IF($A19="","",_xlfn.XLOOKUP($A19,'班次需求輸入'!$A$7:$A$36,'班次需求輸入'!$G$7:$G$36,"",0))</x:f>
      </x:c>
      <x:c r="H19" s="84" t="str">
        <x:f>IF($A19="","",_xlfn.XLOOKUP($A19,'班次需求輸入'!$A$7:$A$36,'班次需求輸入'!$H$7:$H$36,"",0))</x:f>
      </x:c>
      <x:c r="I19" s="84" t="str">
        <x:f>IF($A19="","",COUNTIFS('排班配置輸入'!$B$7:$B$66,$A19,'排班配置輸入'!$E$7:$E$66,"主跟診"))</x:f>
      </x:c>
      <x:c r="J19" s="84" t="str">
        <x:f>IF($A19="","",COUNTIFS('排班配置輸入'!$B$7:$B$66,$A19,'排班配置輸入'!$E$7:$E$66,"主跟診",'排班配置輸入'!$I$7:$I$66,"&lt;&gt;不可正式排"))</x:f>
      </x:c>
      <x:c r="K19" s="84" t="str">
        <x:f>IF($A19="","",COUNTIFS('排班配置輸入'!$B$7:$B$66,$A19,'排班配置輸入'!$E$7:$E$66,"主跟診",'排班配置輸入'!$J$7:$J$66,"初步可獨立")+COUNTIFS('排班配置輸入'!$B$7:$B$66,$A19,'排班配置輸入'!$E$7:$E$66,"主跟診",'排班配置輸入'!$J$7:$J$66,"初步可條件排"))</x:f>
      </x:c>
      <x:c r="L19" s="84" t="str">
        <x:f>IF($A19="","",SUMIFS('排班配置輸入'!$L$7:$L$66,'排班配置輸入'!$B$7:$B$66,$A19))</x:f>
      </x:c>
      <x:c r="M19" s="84" t="str">
        <x:f>IF($A19="","",SUMIFS('排班配置輸入'!$F$7:$F$66,'排班配置輸入'!$B$7:$B$66,$A19,'排班配置輸入'!$G$7:$G$66,"是",'排班配置輸入'!$K$7:$K$66,"支援資格通過"))</x:f>
      </x:c>
      <x:c r="N19" s="84" t="str">
        <x:f>IF($A19="","",_xlfn.XLOOKUP($A19,'班次需求輸入'!$A$7:$A$36,'班次需求輸入'!$I$7:$I$36,0,0))</x:f>
      </x:c>
      <x:c r="O19" s="84" t="str">
        <x:f>IF($A19="","",COUNTIFS('排班配置輸入'!$B$7:$B$66,$A19,'排班配置輸入'!$E$7:$E$66,"短時支援"))</x:f>
      </x:c>
      <x:c r="P19" s="84" t="str">
        <x:f>IF($A19="","",SUMIFS('排班配置輸入'!$P$7:$P$66,'排班配置輸入'!$B$7:$B$66,$A19))</x:f>
      </x:c>
      <x:c r="Q19" s="84" t="str">
        <x:f>IF($A19="","",IF($X19="已取消","已取消",IF(OR($X19="範例",$X19="可進入排班"),$Y19,"班次建檔未完成")))</x:f>
      </x:c>
      <x:c r="R19" s="194" t="str">
        <x:f>IF($A19="","",_xlfn.XLOOKUP($A19,'班次需求輸入'!$A$7:$A$36,'班次需求輸入'!$K$7:$K$36,"",0))</x:f>
      </x:c>
      <x:c r="S19" s="189" t="str">
        <x:f>IF($A19="","",_xlfn.XLOOKUP($A19,'班次需求輸入'!$A$7:$A$36,'班次需求輸入'!$X$7:$X$36,"",0))</x:f>
      </x:c>
      <x:c r="T19" s="189" t="str">
        <x:f>IF($A19="","",_xlfn.XLOOKUP($A19,'班次需求輸入'!$A$7:$A$36,'班次需求輸入'!$T$7:$T$36,"",0))</x:f>
      </x:c>
      <x:c r="U19" s="189" t="str">
        <x:f>IF($A19="","",IF($R19="範例","範例，不發布",IF(AND(OR($T19="療程取消",$T19="病患取消"),$S19="確認完成"),"人力已釋出",IF($Q19&lt;&gt;"通過",$Q19,IF($S19&lt;&gt;"確認完成",$S19,"可發布")))))</x:f>
      </x:c>
      <x:c r="V19" s="315" t="str">
        <x:f>IF($A19="","",IF(COUNTIFS('排班例外核定'!$U$7:$U$106,$A19)&gt;0,"例外有效",IF(COUNTIFS('排班例外核定'!$B$7:$B$106,$A19)&gt;0,"例外申請未生效","無例外")))</x:f>
      </x:c>
      <x:c r="W19" s="315" t="str">
        <x:f>IF($A19="","",IF(OR($U19="可發布",$U19="人力已釋出",$U19="範例，不發布"),$U19,IF(AND($V19="例外有效",$Q19="正式資格未完成",$S19="確認完成",$R19&lt;&gt;"範例"),"例外核定可發布",$U19)))</x:f>
      </x:c>
      <x:c r="X19" s="533" t="str">
        <x:f>IF($A19="","",_xlfn.XLOOKUP($A19,'班次需求輸入'!$A$7:$A$36,'班次需求輸入'!$AD$7:$AD$36,"正式建檔未完成",0))</x:f>
      </x:c>
      <x:c r="Y19" s="533" t="str">
        <x:f>IF($A19="","",IF($G19="待確認","療程待確認",IF($I19&lt;$H19,"缺主跟診配置",IF($K19&lt;$H19,"正式資格未完成",IF($O19&lt;$N19,"缺短時支援",IF($M19&lt;$L19,"支援容量不足",IF($P19&gt;0,"人員時段衝突","通過")))))))</x:f>
      </x:c>
    </x:row>
    <x:row r="20">
      <x:c r="A20" s="80" t="str">
        <x:f>IF('班次需求輸入'!$A20="","",'班次需求輸入'!$A20)</x:f>
      </x:c>
      <x:c r="B20" s="85" t="str">
        <x:f>IF($A20="","",_xlfn.XLOOKUP($A20,'班次需求輸入'!$A$7:$A$36,'班次需求輸入'!$B$7:$B$36,"",0))</x:f>
      </x:c>
      <x:c r="C20" s="86" t="str">
        <x:f>IF($A20="","",_xlfn.XLOOKUP($A20,'班次需求輸入'!$A$7:$A$36,'班次需求輸入'!$C$7:$C$36,"",0))</x:f>
      </x:c>
      <x:c r="D20" s="86" t="str">
        <x:f>IF($A20="","",_xlfn.XLOOKUP($A20,'班次需求輸入'!$A$7:$A$36,'班次需求輸入'!$D$7:$D$36,"",0))</x:f>
      </x:c>
      <x:c r="E20" s="84" t="str">
        <x:f>IF($A20="","",_xlfn.XLOOKUP($A20,'班次需求輸入'!$A$7:$A$36,'班次需求輸入'!$F$7:$F$36,"",0))</x:f>
      </x:c>
      <x:c r="F20" s="84" t="str">
        <x:f>IF($E20="","",_xlfn.XLOOKUP($E20,'排班模式清單'!$A$7:$A$169,'排班模式清單'!$C$7:$C$169,"未建立",0))</x:f>
      </x:c>
      <x:c r="G20" s="84" t="str">
        <x:f>IF($A20="","",_xlfn.XLOOKUP($A20,'班次需求輸入'!$A$7:$A$36,'班次需求輸入'!$G$7:$G$36,"",0))</x:f>
      </x:c>
      <x:c r="H20" s="84" t="str">
        <x:f>IF($A20="","",_xlfn.XLOOKUP($A20,'班次需求輸入'!$A$7:$A$36,'班次需求輸入'!$H$7:$H$36,"",0))</x:f>
      </x:c>
      <x:c r="I20" s="84" t="str">
        <x:f>IF($A20="","",COUNTIFS('排班配置輸入'!$B$7:$B$66,$A20,'排班配置輸入'!$E$7:$E$66,"主跟診"))</x:f>
      </x:c>
      <x:c r="J20" s="84" t="str">
        <x:f>IF($A20="","",COUNTIFS('排班配置輸入'!$B$7:$B$66,$A20,'排班配置輸入'!$E$7:$E$66,"主跟診",'排班配置輸入'!$I$7:$I$66,"&lt;&gt;不可正式排"))</x:f>
      </x:c>
      <x:c r="K20" s="84" t="str">
        <x:f>IF($A20="","",COUNTIFS('排班配置輸入'!$B$7:$B$66,$A20,'排班配置輸入'!$E$7:$E$66,"主跟診",'排班配置輸入'!$J$7:$J$66,"初步可獨立")+COUNTIFS('排班配置輸入'!$B$7:$B$66,$A20,'排班配置輸入'!$E$7:$E$66,"主跟診",'排班配置輸入'!$J$7:$J$66,"初步可條件排"))</x:f>
      </x:c>
      <x:c r="L20" s="84" t="str">
        <x:f>IF($A20="","",SUMIFS('排班配置輸入'!$L$7:$L$66,'排班配置輸入'!$B$7:$B$66,$A20))</x:f>
      </x:c>
      <x:c r="M20" s="84" t="str">
        <x:f>IF($A20="","",SUMIFS('排班配置輸入'!$F$7:$F$66,'排班配置輸入'!$B$7:$B$66,$A20,'排班配置輸入'!$G$7:$G$66,"是",'排班配置輸入'!$K$7:$K$66,"支援資格通過"))</x:f>
      </x:c>
      <x:c r="N20" s="84" t="str">
        <x:f>IF($A20="","",_xlfn.XLOOKUP($A20,'班次需求輸入'!$A$7:$A$36,'班次需求輸入'!$I$7:$I$36,0,0))</x:f>
      </x:c>
      <x:c r="O20" s="84" t="str">
        <x:f>IF($A20="","",COUNTIFS('排班配置輸入'!$B$7:$B$66,$A20,'排班配置輸入'!$E$7:$E$66,"短時支援"))</x:f>
      </x:c>
      <x:c r="P20" s="84" t="str">
        <x:f>IF($A20="","",SUMIFS('排班配置輸入'!$P$7:$P$66,'排班配置輸入'!$B$7:$B$66,$A20))</x:f>
      </x:c>
      <x:c r="Q20" s="84" t="str">
        <x:f>IF($A20="","",IF($X20="已取消","已取消",IF(OR($X20="範例",$X20="可進入排班"),$Y20,"班次建檔未完成")))</x:f>
      </x:c>
      <x:c r="R20" s="194" t="str">
        <x:f>IF($A20="","",_xlfn.XLOOKUP($A20,'班次需求輸入'!$A$7:$A$36,'班次需求輸入'!$K$7:$K$36,"",0))</x:f>
      </x:c>
      <x:c r="S20" s="189" t="str">
        <x:f>IF($A20="","",_xlfn.XLOOKUP($A20,'班次需求輸入'!$A$7:$A$36,'班次需求輸入'!$X$7:$X$36,"",0))</x:f>
      </x:c>
      <x:c r="T20" s="189" t="str">
        <x:f>IF($A20="","",_xlfn.XLOOKUP($A20,'班次需求輸入'!$A$7:$A$36,'班次需求輸入'!$T$7:$T$36,"",0))</x:f>
      </x:c>
      <x:c r="U20" s="189" t="str">
        <x:f>IF($A20="","",IF($R20="範例","範例，不發布",IF(AND(OR($T20="療程取消",$T20="病患取消"),$S20="確認完成"),"人力已釋出",IF($Q20&lt;&gt;"通過",$Q20,IF($S20&lt;&gt;"確認完成",$S20,"可發布")))))</x:f>
      </x:c>
      <x:c r="V20" s="315" t="str">
        <x:f>IF($A20="","",IF(COUNTIFS('排班例外核定'!$U$7:$U$106,$A20)&gt;0,"例外有效",IF(COUNTIFS('排班例外核定'!$B$7:$B$106,$A20)&gt;0,"例外申請未生效","無例外")))</x:f>
      </x:c>
      <x:c r="W20" s="315" t="str">
        <x:f>IF($A20="","",IF(OR($U20="可發布",$U20="人力已釋出",$U20="範例，不發布"),$U20,IF(AND($V20="例外有效",$Q20="正式資格未完成",$S20="確認完成",$R20&lt;&gt;"範例"),"例外核定可發布",$U20)))</x:f>
      </x:c>
      <x:c r="X20" s="533" t="str">
        <x:f>IF($A20="","",_xlfn.XLOOKUP($A20,'班次需求輸入'!$A$7:$A$36,'班次需求輸入'!$AD$7:$AD$36,"正式建檔未完成",0))</x:f>
      </x:c>
      <x:c r="Y20" s="533" t="str">
        <x:f>IF($A20="","",IF($G20="待確認","療程待確認",IF($I20&lt;$H20,"缺主跟診配置",IF($K20&lt;$H20,"正式資格未完成",IF($O20&lt;$N20,"缺短時支援",IF($M20&lt;$L20,"支援容量不足",IF($P20&gt;0,"人員時段衝突","通過")))))))</x:f>
      </x:c>
    </x:row>
    <x:row r="21">
      <x:c r="A21" s="80" t="str">
        <x:f>IF('班次需求輸入'!$A21="","",'班次需求輸入'!$A21)</x:f>
      </x:c>
      <x:c r="B21" s="85" t="str">
        <x:f>IF($A21="","",_xlfn.XLOOKUP($A21,'班次需求輸入'!$A$7:$A$36,'班次需求輸入'!$B$7:$B$36,"",0))</x:f>
      </x:c>
      <x:c r="C21" s="86" t="str">
        <x:f>IF($A21="","",_xlfn.XLOOKUP($A21,'班次需求輸入'!$A$7:$A$36,'班次需求輸入'!$C$7:$C$36,"",0))</x:f>
      </x:c>
      <x:c r="D21" s="86" t="str">
        <x:f>IF($A21="","",_xlfn.XLOOKUP($A21,'班次需求輸入'!$A$7:$A$36,'班次需求輸入'!$D$7:$D$36,"",0))</x:f>
      </x:c>
      <x:c r="E21" s="84" t="str">
        <x:f>IF($A21="","",_xlfn.XLOOKUP($A21,'班次需求輸入'!$A$7:$A$36,'班次需求輸入'!$F$7:$F$36,"",0))</x:f>
      </x:c>
      <x:c r="F21" s="84" t="str">
        <x:f>IF($E21="","",_xlfn.XLOOKUP($E21,'排班模式清單'!$A$7:$A$169,'排班模式清單'!$C$7:$C$169,"未建立",0))</x:f>
      </x:c>
      <x:c r="G21" s="84" t="str">
        <x:f>IF($A21="","",_xlfn.XLOOKUP($A21,'班次需求輸入'!$A$7:$A$36,'班次需求輸入'!$G$7:$G$36,"",0))</x:f>
      </x:c>
      <x:c r="H21" s="84" t="str">
        <x:f>IF($A21="","",_xlfn.XLOOKUP($A21,'班次需求輸入'!$A$7:$A$36,'班次需求輸入'!$H$7:$H$36,"",0))</x:f>
      </x:c>
      <x:c r="I21" s="84" t="str">
        <x:f>IF($A21="","",COUNTIFS('排班配置輸入'!$B$7:$B$66,$A21,'排班配置輸入'!$E$7:$E$66,"主跟診"))</x:f>
      </x:c>
      <x:c r="J21" s="84" t="str">
        <x:f>IF($A21="","",COUNTIFS('排班配置輸入'!$B$7:$B$66,$A21,'排班配置輸入'!$E$7:$E$66,"主跟診",'排班配置輸入'!$I$7:$I$66,"&lt;&gt;不可正式排"))</x:f>
      </x:c>
      <x:c r="K21" s="84" t="str">
        <x:f>IF($A21="","",COUNTIFS('排班配置輸入'!$B$7:$B$66,$A21,'排班配置輸入'!$E$7:$E$66,"主跟診",'排班配置輸入'!$J$7:$J$66,"初步可獨立")+COUNTIFS('排班配置輸入'!$B$7:$B$66,$A21,'排班配置輸入'!$E$7:$E$66,"主跟診",'排班配置輸入'!$J$7:$J$66,"初步可條件排"))</x:f>
      </x:c>
      <x:c r="L21" s="84" t="str">
        <x:f>IF($A21="","",SUMIFS('排班配置輸入'!$L$7:$L$66,'排班配置輸入'!$B$7:$B$66,$A21))</x:f>
      </x:c>
      <x:c r="M21" s="84" t="str">
        <x:f>IF($A21="","",SUMIFS('排班配置輸入'!$F$7:$F$66,'排班配置輸入'!$B$7:$B$66,$A21,'排班配置輸入'!$G$7:$G$66,"是",'排班配置輸入'!$K$7:$K$66,"支援資格通過"))</x:f>
      </x:c>
      <x:c r="N21" s="84" t="str">
        <x:f>IF($A21="","",_xlfn.XLOOKUP($A21,'班次需求輸入'!$A$7:$A$36,'班次需求輸入'!$I$7:$I$36,0,0))</x:f>
      </x:c>
      <x:c r="O21" s="84" t="str">
        <x:f>IF($A21="","",COUNTIFS('排班配置輸入'!$B$7:$B$66,$A21,'排班配置輸入'!$E$7:$E$66,"短時支援"))</x:f>
      </x:c>
      <x:c r="P21" s="84" t="str">
        <x:f>IF($A21="","",SUMIFS('排班配置輸入'!$P$7:$P$66,'排班配置輸入'!$B$7:$B$66,$A21))</x:f>
      </x:c>
      <x:c r="Q21" s="84" t="str">
        <x:f>IF($A21="","",IF($X21="已取消","已取消",IF(OR($X21="範例",$X21="可進入排班"),$Y21,"班次建檔未完成")))</x:f>
      </x:c>
      <x:c r="R21" s="194" t="str">
        <x:f>IF($A21="","",_xlfn.XLOOKUP($A21,'班次需求輸入'!$A$7:$A$36,'班次需求輸入'!$K$7:$K$36,"",0))</x:f>
      </x:c>
      <x:c r="S21" s="189" t="str">
        <x:f>IF($A21="","",_xlfn.XLOOKUP($A21,'班次需求輸入'!$A$7:$A$36,'班次需求輸入'!$X$7:$X$36,"",0))</x:f>
      </x:c>
      <x:c r="T21" s="189" t="str">
        <x:f>IF($A21="","",_xlfn.XLOOKUP($A21,'班次需求輸入'!$A$7:$A$36,'班次需求輸入'!$T$7:$T$36,"",0))</x:f>
      </x:c>
      <x:c r="U21" s="189" t="str">
        <x:f>IF($A21="","",IF($R21="範例","範例，不發布",IF(AND(OR($T21="療程取消",$T21="病患取消"),$S21="確認完成"),"人力已釋出",IF($Q21&lt;&gt;"通過",$Q21,IF($S21&lt;&gt;"確認完成",$S21,"可發布")))))</x:f>
      </x:c>
      <x:c r="V21" s="315" t="str">
        <x:f>IF($A21="","",IF(COUNTIFS('排班例外核定'!$U$7:$U$106,$A21)&gt;0,"例外有效",IF(COUNTIFS('排班例外核定'!$B$7:$B$106,$A21)&gt;0,"例外申請未生效","無例外")))</x:f>
      </x:c>
      <x:c r="W21" s="315" t="str">
        <x:f>IF($A21="","",IF(OR($U21="可發布",$U21="人力已釋出",$U21="範例，不發布"),$U21,IF(AND($V21="例外有效",$Q21="正式資格未完成",$S21="確認完成",$R21&lt;&gt;"範例"),"例外核定可發布",$U21)))</x:f>
      </x:c>
      <x:c r="X21" s="533" t="str">
        <x:f>IF($A21="","",_xlfn.XLOOKUP($A21,'班次需求輸入'!$A$7:$A$36,'班次需求輸入'!$AD$7:$AD$36,"正式建檔未完成",0))</x:f>
      </x:c>
      <x:c r="Y21" s="533" t="str">
        <x:f>IF($A21="","",IF($G21="待確認","療程待確認",IF($I21&lt;$H21,"缺主跟診配置",IF($K21&lt;$H21,"正式資格未完成",IF($O21&lt;$N21,"缺短時支援",IF($M21&lt;$L21,"支援容量不足",IF($P21&gt;0,"人員時段衝突","通過")))))))</x:f>
      </x:c>
    </x:row>
    <x:row r="22">
      <x:c r="A22" s="80" t="str">
        <x:f>IF('班次需求輸入'!$A22="","",'班次需求輸入'!$A22)</x:f>
      </x:c>
      <x:c r="B22" s="85" t="str">
        <x:f>IF($A22="","",_xlfn.XLOOKUP($A22,'班次需求輸入'!$A$7:$A$36,'班次需求輸入'!$B$7:$B$36,"",0))</x:f>
      </x:c>
      <x:c r="C22" s="86" t="str">
        <x:f>IF($A22="","",_xlfn.XLOOKUP($A22,'班次需求輸入'!$A$7:$A$36,'班次需求輸入'!$C$7:$C$36,"",0))</x:f>
      </x:c>
      <x:c r="D22" s="86" t="str">
        <x:f>IF($A22="","",_xlfn.XLOOKUP($A22,'班次需求輸入'!$A$7:$A$36,'班次需求輸入'!$D$7:$D$36,"",0))</x:f>
      </x:c>
      <x:c r="E22" s="84" t="str">
        <x:f>IF($A22="","",_xlfn.XLOOKUP($A22,'班次需求輸入'!$A$7:$A$36,'班次需求輸入'!$F$7:$F$36,"",0))</x:f>
      </x:c>
      <x:c r="F22" s="84" t="str">
        <x:f>IF($E22="","",_xlfn.XLOOKUP($E22,'排班模式清單'!$A$7:$A$169,'排班模式清單'!$C$7:$C$169,"未建立",0))</x:f>
      </x:c>
      <x:c r="G22" s="84" t="str">
        <x:f>IF($A22="","",_xlfn.XLOOKUP($A22,'班次需求輸入'!$A$7:$A$36,'班次需求輸入'!$G$7:$G$36,"",0))</x:f>
      </x:c>
      <x:c r="H22" s="84" t="str">
        <x:f>IF($A22="","",_xlfn.XLOOKUP($A22,'班次需求輸入'!$A$7:$A$36,'班次需求輸入'!$H$7:$H$36,"",0))</x:f>
      </x:c>
      <x:c r="I22" s="84" t="str">
        <x:f>IF($A22="","",COUNTIFS('排班配置輸入'!$B$7:$B$66,$A22,'排班配置輸入'!$E$7:$E$66,"主跟診"))</x:f>
      </x:c>
      <x:c r="J22" s="84" t="str">
        <x:f>IF($A22="","",COUNTIFS('排班配置輸入'!$B$7:$B$66,$A22,'排班配置輸入'!$E$7:$E$66,"主跟診",'排班配置輸入'!$I$7:$I$66,"&lt;&gt;不可正式排"))</x:f>
      </x:c>
      <x:c r="K22" s="84" t="str">
        <x:f>IF($A22="","",COUNTIFS('排班配置輸入'!$B$7:$B$66,$A22,'排班配置輸入'!$E$7:$E$66,"主跟診",'排班配置輸入'!$J$7:$J$66,"初步可獨立")+COUNTIFS('排班配置輸入'!$B$7:$B$66,$A22,'排班配置輸入'!$E$7:$E$66,"主跟診",'排班配置輸入'!$J$7:$J$66,"初步可條件排"))</x:f>
      </x:c>
      <x:c r="L22" s="84" t="str">
        <x:f>IF($A22="","",SUMIFS('排班配置輸入'!$L$7:$L$66,'排班配置輸入'!$B$7:$B$66,$A22))</x:f>
      </x:c>
      <x:c r="M22" s="84" t="str">
        <x:f>IF($A22="","",SUMIFS('排班配置輸入'!$F$7:$F$66,'排班配置輸入'!$B$7:$B$66,$A22,'排班配置輸入'!$G$7:$G$66,"是",'排班配置輸入'!$K$7:$K$66,"支援資格通過"))</x:f>
      </x:c>
      <x:c r="N22" s="84" t="str">
        <x:f>IF($A22="","",_xlfn.XLOOKUP($A22,'班次需求輸入'!$A$7:$A$36,'班次需求輸入'!$I$7:$I$36,0,0))</x:f>
      </x:c>
      <x:c r="O22" s="84" t="str">
        <x:f>IF($A22="","",COUNTIFS('排班配置輸入'!$B$7:$B$66,$A22,'排班配置輸入'!$E$7:$E$66,"短時支援"))</x:f>
      </x:c>
      <x:c r="P22" s="84" t="str">
        <x:f>IF($A22="","",SUMIFS('排班配置輸入'!$P$7:$P$66,'排班配置輸入'!$B$7:$B$66,$A22))</x:f>
      </x:c>
      <x:c r="Q22" s="84" t="str">
        <x:f>IF($A22="","",IF($X22="已取消","已取消",IF(OR($X22="範例",$X22="可進入排班"),$Y22,"班次建檔未完成")))</x:f>
      </x:c>
      <x:c r="R22" s="194" t="str">
        <x:f>IF($A22="","",_xlfn.XLOOKUP($A22,'班次需求輸入'!$A$7:$A$36,'班次需求輸入'!$K$7:$K$36,"",0))</x:f>
      </x:c>
      <x:c r="S22" s="189" t="str">
        <x:f>IF($A22="","",_xlfn.XLOOKUP($A22,'班次需求輸入'!$A$7:$A$36,'班次需求輸入'!$X$7:$X$36,"",0))</x:f>
      </x:c>
      <x:c r="T22" s="189" t="str">
        <x:f>IF($A22="","",_xlfn.XLOOKUP($A22,'班次需求輸入'!$A$7:$A$36,'班次需求輸入'!$T$7:$T$36,"",0))</x:f>
      </x:c>
      <x:c r="U22" s="189" t="str">
        <x:f>IF($A22="","",IF($R22="範例","範例，不發布",IF(AND(OR($T22="療程取消",$T22="病患取消"),$S22="確認完成"),"人力已釋出",IF($Q22&lt;&gt;"通過",$Q22,IF($S22&lt;&gt;"確認完成",$S22,"可發布")))))</x:f>
      </x:c>
      <x:c r="V22" s="315" t="str">
        <x:f>IF($A22="","",IF(COUNTIFS('排班例外核定'!$U$7:$U$106,$A22)&gt;0,"例外有效",IF(COUNTIFS('排班例外核定'!$B$7:$B$106,$A22)&gt;0,"例外申請未生效","無例外")))</x:f>
      </x:c>
      <x:c r="W22" s="315" t="str">
        <x:f>IF($A22="","",IF(OR($U22="可發布",$U22="人力已釋出",$U22="範例，不發布"),$U22,IF(AND($V22="例外有效",$Q22="正式資格未完成",$S22="確認完成",$R22&lt;&gt;"範例"),"例外核定可發布",$U22)))</x:f>
      </x:c>
      <x:c r="X22" s="533" t="str">
        <x:f>IF($A22="","",_xlfn.XLOOKUP($A22,'班次需求輸入'!$A$7:$A$36,'班次需求輸入'!$AD$7:$AD$36,"正式建檔未完成",0))</x:f>
      </x:c>
      <x:c r="Y22" s="533" t="str">
        <x:f>IF($A22="","",IF($G22="待確認","療程待確認",IF($I22&lt;$H22,"缺主跟診配置",IF($K22&lt;$H22,"正式資格未完成",IF($O22&lt;$N22,"缺短時支援",IF($M22&lt;$L22,"支援容量不足",IF($P22&gt;0,"人員時段衝突","通過")))))))</x:f>
      </x:c>
    </x:row>
    <x:row r="23">
      <x:c r="A23" s="80" t="str">
        <x:f>IF('班次需求輸入'!$A23="","",'班次需求輸入'!$A23)</x:f>
      </x:c>
      <x:c r="B23" s="85" t="str">
        <x:f>IF($A23="","",_xlfn.XLOOKUP($A23,'班次需求輸入'!$A$7:$A$36,'班次需求輸入'!$B$7:$B$36,"",0))</x:f>
      </x:c>
      <x:c r="C23" s="86" t="str">
        <x:f>IF($A23="","",_xlfn.XLOOKUP($A23,'班次需求輸入'!$A$7:$A$36,'班次需求輸入'!$C$7:$C$36,"",0))</x:f>
      </x:c>
      <x:c r="D23" s="86" t="str">
        <x:f>IF($A23="","",_xlfn.XLOOKUP($A23,'班次需求輸入'!$A$7:$A$36,'班次需求輸入'!$D$7:$D$36,"",0))</x:f>
      </x:c>
      <x:c r="E23" s="84" t="str">
        <x:f>IF($A23="","",_xlfn.XLOOKUP($A23,'班次需求輸入'!$A$7:$A$36,'班次需求輸入'!$F$7:$F$36,"",0))</x:f>
      </x:c>
      <x:c r="F23" s="84" t="str">
        <x:f>IF($E23="","",_xlfn.XLOOKUP($E23,'排班模式清單'!$A$7:$A$169,'排班模式清單'!$C$7:$C$169,"未建立",0))</x:f>
      </x:c>
      <x:c r="G23" s="84" t="str">
        <x:f>IF($A23="","",_xlfn.XLOOKUP($A23,'班次需求輸入'!$A$7:$A$36,'班次需求輸入'!$G$7:$G$36,"",0))</x:f>
      </x:c>
      <x:c r="H23" s="84" t="str">
        <x:f>IF($A23="","",_xlfn.XLOOKUP($A23,'班次需求輸入'!$A$7:$A$36,'班次需求輸入'!$H$7:$H$36,"",0))</x:f>
      </x:c>
      <x:c r="I23" s="84" t="str">
        <x:f>IF($A23="","",COUNTIFS('排班配置輸入'!$B$7:$B$66,$A23,'排班配置輸入'!$E$7:$E$66,"主跟診"))</x:f>
      </x:c>
      <x:c r="J23" s="84" t="str">
        <x:f>IF($A23="","",COUNTIFS('排班配置輸入'!$B$7:$B$66,$A23,'排班配置輸入'!$E$7:$E$66,"主跟診",'排班配置輸入'!$I$7:$I$66,"&lt;&gt;不可正式排"))</x:f>
      </x:c>
      <x:c r="K23" s="84" t="str">
        <x:f>IF($A23="","",COUNTIFS('排班配置輸入'!$B$7:$B$66,$A23,'排班配置輸入'!$E$7:$E$66,"主跟診",'排班配置輸入'!$J$7:$J$66,"初步可獨立")+COUNTIFS('排班配置輸入'!$B$7:$B$66,$A23,'排班配置輸入'!$E$7:$E$66,"主跟診",'排班配置輸入'!$J$7:$J$66,"初步可條件排"))</x:f>
      </x:c>
      <x:c r="L23" s="84" t="str">
        <x:f>IF($A23="","",SUMIFS('排班配置輸入'!$L$7:$L$66,'排班配置輸入'!$B$7:$B$66,$A23))</x:f>
      </x:c>
      <x:c r="M23" s="84" t="str">
        <x:f>IF($A23="","",SUMIFS('排班配置輸入'!$F$7:$F$66,'排班配置輸入'!$B$7:$B$66,$A23,'排班配置輸入'!$G$7:$G$66,"是",'排班配置輸入'!$K$7:$K$66,"支援資格通過"))</x:f>
      </x:c>
      <x:c r="N23" s="84" t="str">
        <x:f>IF($A23="","",_xlfn.XLOOKUP($A23,'班次需求輸入'!$A$7:$A$36,'班次需求輸入'!$I$7:$I$36,0,0))</x:f>
      </x:c>
      <x:c r="O23" s="84" t="str">
        <x:f>IF($A23="","",COUNTIFS('排班配置輸入'!$B$7:$B$66,$A23,'排班配置輸入'!$E$7:$E$66,"短時支援"))</x:f>
      </x:c>
      <x:c r="P23" s="84" t="str">
        <x:f>IF($A23="","",SUMIFS('排班配置輸入'!$P$7:$P$66,'排班配置輸入'!$B$7:$B$66,$A23))</x:f>
      </x:c>
      <x:c r="Q23" s="84" t="str">
        <x:f>IF($A23="","",IF($X23="已取消","已取消",IF(OR($X23="範例",$X23="可進入排班"),$Y23,"班次建檔未完成")))</x:f>
      </x:c>
      <x:c r="R23" s="194" t="str">
        <x:f>IF($A23="","",_xlfn.XLOOKUP($A23,'班次需求輸入'!$A$7:$A$36,'班次需求輸入'!$K$7:$K$36,"",0))</x:f>
      </x:c>
      <x:c r="S23" s="189" t="str">
        <x:f>IF($A23="","",_xlfn.XLOOKUP($A23,'班次需求輸入'!$A$7:$A$36,'班次需求輸入'!$X$7:$X$36,"",0))</x:f>
      </x:c>
      <x:c r="T23" s="189" t="str">
        <x:f>IF($A23="","",_xlfn.XLOOKUP($A23,'班次需求輸入'!$A$7:$A$36,'班次需求輸入'!$T$7:$T$36,"",0))</x:f>
      </x:c>
      <x:c r="U23" s="189" t="str">
        <x:f>IF($A23="","",IF($R23="範例","範例，不發布",IF(AND(OR($T23="療程取消",$T23="病患取消"),$S23="確認完成"),"人力已釋出",IF($Q23&lt;&gt;"通過",$Q23,IF($S23&lt;&gt;"確認完成",$S23,"可發布")))))</x:f>
      </x:c>
      <x:c r="V23" s="315" t="str">
        <x:f>IF($A23="","",IF(COUNTIFS('排班例外核定'!$U$7:$U$106,$A23)&gt;0,"例外有效",IF(COUNTIFS('排班例外核定'!$B$7:$B$106,$A23)&gt;0,"例外申請未生效","無例外")))</x:f>
      </x:c>
      <x:c r="W23" s="315" t="str">
        <x:f>IF($A23="","",IF(OR($U23="可發布",$U23="人力已釋出",$U23="範例，不發布"),$U23,IF(AND($V23="例外有效",$Q23="正式資格未完成",$S23="確認完成",$R23&lt;&gt;"範例"),"例外核定可發布",$U23)))</x:f>
      </x:c>
      <x:c r="X23" s="533" t="str">
        <x:f>IF($A23="","",_xlfn.XLOOKUP($A23,'班次需求輸入'!$A$7:$A$36,'班次需求輸入'!$AD$7:$AD$36,"正式建檔未完成",0))</x:f>
      </x:c>
      <x:c r="Y23" s="533" t="str">
        <x:f>IF($A23="","",IF($G23="待確認","療程待確認",IF($I23&lt;$H23,"缺主跟診配置",IF($K23&lt;$H23,"正式資格未完成",IF($O23&lt;$N23,"缺短時支援",IF($M23&lt;$L23,"支援容量不足",IF($P23&gt;0,"人員時段衝突","通過")))))))</x:f>
      </x:c>
    </x:row>
    <x:row r="24">
      <x:c r="A24" s="80" t="str">
        <x:f>IF('班次需求輸入'!$A24="","",'班次需求輸入'!$A24)</x:f>
      </x:c>
      <x:c r="B24" s="85" t="str">
        <x:f>IF($A24="","",_xlfn.XLOOKUP($A24,'班次需求輸入'!$A$7:$A$36,'班次需求輸入'!$B$7:$B$36,"",0))</x:f>
      </x:c>
      <x:c r="C24" s="86" t="str">
        <x:f>IF($A24="","",_xlfn.XLOOKUP($A24,'班次需求輸入'!$A$7:$A$36,'班次需求輸入'!$C$7:$C$36,"",0))</x:f>
      </x:c>
      <x:c r="D24" s="86" t="str">
        <x:f>IF($A24="","",_xlfn.XLOOKUP($A24,'班次需求輸入'!$A$7:$A$36,'班次需求輸入'!$D$7:$D$36,"",0))</x:f>
      </x:c>
      <x:c r="E24" s="84" t="str">
        <x:f>IF($A24="","",_xlfn.XLOOKUP($A24,'班次需求輸入'!$A$7:$A$36,'班次需求輸入'!$F$7:$F$36,"",0))</x:f>
      </x:c>
      <x:c r="F24" s="84" t="str">
        <x:f>IF($E24="","",_xlfn.XLOOKUP($E24,'排班模式清單'!$A$7:$A$169,'排班模式清單'!$C$7:$C$169,"未建立",0))</x:f>
      </x:c>
      <x:c r="G24" s="84" t="str">
        <x:f>IF($A24="","",_xlfn.XLOOKUP($A24,'班次需求輸入'!$A$7:$A$36,'班次需求輸入'!$G$7:$G$36,"",0))</x:f>
      </x:c>
      <x:c r="H24" s="84" t="str">
        <x:f>IF($A24="","",_xlfn.XLOOKUP($A24,'班次需求輸入'!$A$7:$A$36,'班次需求輸入'!$H$7:$H$36,"",0))</x:f>
      </x:c>
      <x:c r="I24" s="84" t="str">
        <x:f>IF($A24="","",COUNTIFS('排班配置輸入'!$B$7:$B$66,$A24,'排班配置輸入'!$E$7:$E$66,"主跟診"))</x:f>
      </x:c>
      <x:c r="J24" s="84" t="str">
        <x:f>IF($A24="","",COUNTIFS('排班配置輸入'!$B$7:$B$66,$A24,'排班配置輸入'!$E$7:$E$66,"主跟診",'排班配置輸入'!$I$7:$I$66,"&lt;&gt;不可正式排"))</x:f>
      </x:c>
      <x:c r="K24" s="84" t="str">
        <x:f>IF($A24="","",COUNTIFS('排班配置輸入'!$B$7:$B$66,$A24,'排班配置輸入'!$E$7:$E$66,"主跟診",'排班配置輸入'!$J$7:$J$66,"初步可獨立")+COUNTIFS('排班配置輸入'!$B$7:$B$66,$A24,'排班配置輸入'!$E$7:$E$66,"主跟診",'排班配置輸入'!$J$7:$J$66,"初步可條件排"))</x:f>
      </x:c>
      <x:c r="L24" s="84" t="str">
        <x:f>IF($A24="","",SUMIFS('排班配置輸入'!$L$7:$L$66,'排班配置輸入'!$B$7:$B$66,$A24))</x:f>
      </x:c>
      <x:c r="M24" s="84" t="str">
        <x:f>IF($A24="","",SUMIFS('排班配置輸入'!$F$7:$F$66,'排班配置輸入'!$B$7:$B$66,$A24,'排班配置輸入'!$G$7:$G$66,"是",'排班配置輸入'!$K$7:$K$66,"支援資格通過"))</x:f>
      </x:c>
      <x:c r="N24" s="84" t="str">
        <x:f>IF($A24="","",_xlfn.XLOOKUP($A24,'班次需求輸入'!$A$7:$A$36,'班次需求輸入'!$I$7:$I$36,0,0))</x:f>
      </x:c>
      <x:c r="O24" s="84" t="str">
        <x:f>IF($A24="","",COUNTIFS('排班配置輸入'!$B$7:$B$66,$A24,'排班配置輸入'!$E$7:$E$66,"短時支援"))</x:f>
      </x:c>
      <x:c r="P24" s="84" t="str">
        <x:f>IF($A24="","",SUMIFS('排班配置輸入'!$P$7:$P$66,'排班配置輸入'!$B$7:$B$66,$A24))</x:f>
      </x:c>
      <x:c r="Q24" s="84" t="str">
        <x:f>IF($A24="","",IF($X24="已取消","已取消",IF(OR($X24="範例",$X24="可進入排班"),$Y24,"班次建檔未完成")))</x:f>
      </x:c>
      <x:c r="R24" s="194" t="str">
        <x:f>IF($A24="","",_xlfn.XLOOKUP($A24,'班次需求輸入'!$A$7:$A$36,'班次需求輸入'!$K$7:$K$36,"",0))</x:f>
      </x:c>
      <x:c r="S24" s="189" t="str">
        <x:f>IF($A24="","",_xlfn.XLOOKUP($A24,'班次需求輸入'!$A$7:$A$36,'班次需求輸入'!$X$7:$X$36,"",0))</x:f>
      </x:c>
      <x:c r="T24" s="189" t="str">
        <x:f>IF($A24="","",_xlfn.XLOOKUP($A24,'班次需求輸入'!$A$7:$A$36,'班次需求輸入'!$T$7:$T$36,"",0))</x:f>
      </x:c>
      <x:c r="U24" s="189" t="str">
        <x:f>IF($A24="","",IF($R24="範例","範例，不發布",IF(AND(OR($T24="療程取消",$T24="病患取消"),$S24="確認完成"),"人力已釋出",IF($Q24&lt;&gt;"通過",$Q24,IF($S24&lt;&gt;"確認完成",$S24,"可發布")))))</x:f>
      </x:c>
      <x:c r="V24" s="315" t="str">
        <x:f>IF($A24="","",IF(COUNTIFS('排班例外核定'!$U$7:$U$106,$A24)&gt;0,"例外有效",IF(COUNTIFS('排班例外核定'!$B$7:$B$106,$A24)&gt;0,"例外申請未生效","無例外")))</x:f>
      </x:c>
      <x:c r="W24" s="315" t="str">
        <x:f>IF($A24="","",IF(OR($U24="可發布",$U24="人力已釋出",$U24="範例，不發布"),$U24,IF(AND($V24="例外有效",$Q24="正式資格未完成",$S24="確認完成",$R24&lt;&gt;"範例"),"例外核定可發布",$U24)))</x:f>
      </x:c>
      <x:c r="X24" s="533" t="str">
        <x:f>IF($A24="","",_xlfn.XLOOKUP($A24,'班次需求輸入'!$A$7:$A$36,'班次需求輸入'!$AD$7:$AD$36,"正式建檔未完成",0))</x:f>
      </x:c>
      <x:c r="Y24" s="533" t="str">
        <x:f>IF($A24="","",IF($G24="待確認","療程待確認",IF($I24&lt;$H24,"缺主跟診配置",IF($K24&lt;$H24,"正式資格未完成",IF($O24&lt;$N24,"缺短時支援",IF($M24&lt;$L24,"支援容量不足",IF($P24&gt;0,"人員時段衝突","通過")))))))</x:f>
      </x:c>
    </x:row>
    <x:row r="25">
      <x:c r="A25" s="80" t="str">
        <x:f>IF('班次需求輸入'!$A25="","",'班次需求輸入'!$A25)</x:f>
      </x:c>
      <x:c r="B25" s="85" t="str">
        <x:f>IF($A25="","",_xlfn.XLOOKUP($A25,'班次需求輸入'!$A$7:$A$36,'班次需求輸入'!$B$7:$B$36,"",0))</x:f>
      </x:c>
      <x:c r="C25" s="86" t="str">
        <x:f>IF($A25="","",_xlfn.XLOOKUP($A25,'班次需求輸入'!$A$7:$A$36,'班次需求輸入'!$C$7:$C$36,"",0))</x:f>
      </x:c>
      <x:c r="D25" s="86" t="str">
        <x:f>IF($A25="","",_xlfn.XLOOKUP($A25,'班次需求輸入'!$A$7:$A$36,'班次需求輸入'!$D$7:$D$36,"",0))</x:f>
      </x:c>
      <x:c r="E25" s="84" t="str">
        <x:f>IF($A25="","",_xlfn.XLOOKUP($A25,'班次需求輸入'!$A$7:$A$36,'班次需求輸入'!$F$7:$F$36,"",0))</x:f>
      </x:c>
      <x:c r="F25" s="84" t="str">
        <x:f>IF($E25="","",_xlfn.XLOOKUP($E25,'排班模式清單'!$A$7:$A$169,'排班模式清單'!$C$7:$C$169,"未建立",0))</x:f>
      </x:c>
      <x:c r="G25" s="84" t="str">
        <x:f>IF($A25="","",_xlfn.XLOOKUP($A25,'班次需求輸入'!$A$7:$A$36,'班次需求輸入'!$G$7:$G$36,"",0))</x:f>
      </x:c>
      <x:c r="H25" s="84" t="str">
        <x:f>IF($A25="","",_xlfn.XLOOKUP($A25,'班次需求輸入'!$A$7:$A$36,'班次需求輸入'!$H$7:$H$36,"",0))</x:f>
      </x:c>
      <x:c r="I25" s="84" t="str">
        <x:f>IF($A25="","",COUNTIFS('排班配置輸入'!$B$7:$B$66,$A25,'排班配置輸入'!$E$7:$E$66,"主跟診"))</x:f>
      </x:c>
      <x:c r="J25" s="84" t="str">
        <x:f>IF($A25="","",COUNTIFS('排班配置輸入'!$B$7:$B$66,$A25,'排班配置輸入'!$E$7:$E$66,"主跟診",'排班配置輸入'!$I$7:$I$66,"&lt;&gt;不可正式排"))</x:f>
      </x:c>
      <x:c r="K25" s="84" t="str">
        <x:f>IF($A25="","",COUNTIFS('排班配置輸入'!$B$7:$B$66,$A25,'排班配置輸入'!$E$7:$E$66,"主跟診",'排班配置輸入'!$J$7:$J$66,"初步可獨立")+COUNTIFS('排班配置輸入'!$B$7:$B$66,$A25,'排班配置輸入'!$E$7:$E$66,"主跟診",'排班配置輸入'!$J$7:$J$66,"初步可條件排"))</x:f>
      </x:c>
      <x:c r="L25" s="84" t="str">
        <x:f>IF($A25="","",SUMIFS('排班配置輸入'!$L$7:$L$66,'排班配置輸入'!$B$7:$B$66,$A25))</x:f>
      </x:c>
      <x:c r="M25" s="84" t="str">
        <x:f>IF($A25="","",SUMIFS('排班配置輸入'!$F$7:$F$66,'排班配置輸入'!$B$7:$B$66,$A25,'排班配置輸入'!$G$7:$G$66,"是",'排班配置輸入'!$K$7:$K$66,"支援資格通過"))</x:f>
      </x:c>
      <x:c r="N25" s="84" t="str">
        <x:f>IF($A25="","",_xlfn.XLOOKUP($A25,'班次需求輸入'!$A$7:$A$36,'班次需求輸入'!$I$7:$I$36,0,0))</x:f>
      </x:c>
      <x:c r="O25" s="84" t="str">
        <x:f>IF($A25="","",COUNTIFS('排班配置輸入'!$B$7:$B$66,$A25,'排班配置輸入'!$E$7:$E$66,"短時支援"))</x:f>
      </x:c>
      <x:c r="P25" s="84" t="str">
        <x:f>IF($A25="","",SUMIFS('排班配置輸入'!$P$7:$P$66,'排班配置輸入'!$B$7:$B$66,$A25))</x:f>
      </x:c>
      <x:c r="Q25" s="84" t="str">
        <x:f>IF($A25="","",IF($X25="已取消","已取消",IF(OR($X25="範例",$X25="可進入排班"),$Y25,"班次建檔未完成")))</x:f>
      </x:c>
      <x:c r="R25" s="194" t="str">
        <x:f>IF($A25="","",_xlfn.XLOOKUP($A25,'班次需求輸入'!$A$7:$A$36,'班次需求輸入'!$K$7:$K$36,"",0))</x:f>
      </x:c>
      <x:c r="S25" s="189" t="str">
        <x:f>IF($A25="","",_xlfn.XLOOKUP($A25,'班次需求輸入'!$A$7:$A$36,'班次需求輸入'!$X$7:$X$36,"",0))</x:f>
      </x:c>
      <x:c r="T25" s="189" t="str">
        <x:f>IF($A25="","",_xlfn.XLOOKUP($A25,'班次需求輸入'!$A$7:$A$36,'班次需求輸入'!$T$7:$T$36,"",0))</x:f>
      </x:c>
      <x:c r="U25" s="189" t="str">
        <x:f>IF($A25="","",IF($R25="範例","範例，不發布",IF(AND(OR($T25="療程取消",$T25="病患取消"),$S25="確認完成"),"人力已釋出",IF($Q25&lt;&gt;"通過",$Q25,IF($S25&lt;&gt;"確認完成",$S25,"可發布")))))</x:f>
      </x:c>
      <x:c r="V25" s="315" t="str">
        <x:f>IF($A25="","",IF(COUNTIFS('排班例外核定'!$U$7:$U$106,$A25)&gt;0,"例外有效",IF(COUNTIFS('排班例外核定'!$B$7:$B$106,$A25)&gt;0,"例外申請未生效","無例外")))</x:f>
      </x:c>
      <x:c r="W25" s="315" t="str">
        <x:f>IF($A25="","",IF(OR($U25="可發布",$U25="人力已釋出",$U25="範例，不發布"),$U25,IF(AND($V25="例外有效",$Q25="正式資格未完成",$S25="確認完成",$R25&lt;&gt;"範例"),"例外核定可發布",$U25)))</x:f>
      </x:c>
      <x:c r="X25" s="533" t="str">
        <x:f>IF($A25="","",_xlfn.XLOOKUP($A25,'班次需求輸入'!$A$7:$A$36,'班次需求輸入'!$AD$7:$AD$36,"正式建檔未完成",0))</x:f>
      </x:c>
      <x:c r="Y25" s="533" t="str">
        <x:f>IF($A25="","",IF($G25="待確認","療程待確認",IF($I25&lt;$H25,"缺主跟診配置",IF($K25&lt;$H25,"正式資格未完成",IF($O25&lt;$N25,"缺短時支援",IF($M25&lt;$L25,"支援容量不足",IF($P25&gt;0,"人員時段衝突","通過")))))))</x:f>
      </x:c>
    </x:row>
    <x:row r="26">
      <x:c r="A26" s="80" t="str">
        <x:f>IF('班次需求輸入'!$A26="","",'班次需求輸入'!$A26)</x:f>
      </x:c>
      <x:c r="B26" s="85" t="str">
        <x:f>IF($A26="","",_xlfn.XLOOKUP($A26,'班次需求輸入'!$A$7:$A$36,'班次需求輸入'!$B$7:$B$36,"",0))</x:f>
      </x:c>
      <x:c r="C26" s="86" t="str">
        <x:f>IF($A26="","",_xlfn.XLOOKUP($A26,'班次需求輸入'!$A$7:$A$36,'班次需求輸入'!$C$7:$C$36,"",0))</x:f>
      </x:c>
      <x:c r="D26" s="86" t="str">
        <x:f>IF($A26="","",_xlfn.XLOOKUP($A26,'班次需求輸入'!$A$7:$A$36,'班次需求輸入'!$D$7:$D$36,"",0))</x:f>
      </x:c>
      <x:c r="E26" s="84" t="str">
        <x:f>IF($A26="","",_xlfn.XLOOKUP($A26,'班次需求輸入'!$A$7:$A$36,'班次需求輸入'!$F$7:$F$36,"",0))</x:f>
      </x:c>
      <x:c r="F26" s="84" t="str">
        <x:f>IF($E26="","",_xlfn.XLOOKUP($E26,'排班模式清單'!$A$7:$A$169,'排班模式清單'!$C$7:$C$169,"未建立",0))</x:f>
      </x:c>
      <x:c r="G26" s="84" t="str">
        <x:f>IF($A26="","",_xlfn.XLOOKUP($A26,'班次需求輸入'!$A$7:$A$36,'班次需求輸入'!$G$7:$G$36,"",0))</x:f>
      </x:c>
      <x:c r="H26" s="84" t="str">
        <x:f>IF($A26="","",_xlfn.XLOOKUP($A26,'班次需求輸入'!$A$7:$A$36,'班次需求輸入'!$H$7:$H$36,"",0))</x:f>
      </x:c>
      <x:c r="I26" s="84" t="str">
        <x:f>IF($A26="","",COUNTIFS('排班配置輸入'!$B$7:$B$66,$A26,'排班配置輸入'!$E$7:$E$66,"主跟診"))</x:f>
      </x:c>
      <x:c r="J26" s="84" t="str">
        <x:f>IF($A26="","",COUNTIFS('排班配置輸入'!$B$7:$B$66,$A26,'排班配置輸入'!$E$7:$E$66,"主跟診",'排班配置輸入'!$I$7:$I$66,"&lt;&gt;不可正式排"))</x:f>
      </x:c>
      <x:c r="K26" s="84" t="str">
        <x:f>IF($A26="","",COUNTIFS('排班配置輸入'!$B$7:$B$66,$A26,'排班配置輸入'!$E$7:$E$66,"主跟診",'排班配置輸入'!$J$7:$J$66,"初步可獨立")+COUNTIFS('排班配置輸入'!$B$7:$B$66,$A26,'排班配置輸入'!$E$7:$E$66,"主跟診",'排班配置輸入'!$J$7:$J$66,"初步可條件排"))</x:f>
      </x:c>
      <x:c r="L26" s="84" t="str">
        <x:f>IF($A26="","",SUMIFS('排班配置輸入'!$L$7:$L$66,'排班配置輸入'!$B$7:$B$66,$A26))</x:f>
      </x:c>
      <x:c r="M26" s="84" t="str">
        <x:f>IF($A26="","",SUMIFS('排班配置輸入'!$F$7:$F$66,'排班配置輸入'!$B$7:$B$66,$A26,'排班配置輸入'!$G$7:$G$66,"是",'排班配置輸入'!$K$7:$K$66,"支援資格通過"))</x:f>
      </x:c>
      <x:c r="N26" s="84" t="str">
        <x:f>IF($A26="","",_xlfn.XLOOKUP($A26,'班次需求輸入'!$A$7:$A$36,'班次需求輸入'!$I$7:$I$36,0,0))</x:f>
      </x:c>
      <x:c r="O26" s="84" t="str">
        <x:f>IF($A26="","",COUNTIFS('排班配置輸入'!$B$7:$B$66,$A26,'排班配置輸入'!$E$7:$E$66,"短時支援"))</x:f>
      </x:c>
      <x:c r="P26" s="84" t="str">
        <x:f>IF($A26="","",SUMIFS('排班配置輸入'!$P$7:$P$66,'排班配置輸入'!$B$7:$B$66,$A26))</x:f>
      </x:c>
      <x:c r="Q26" s="84" t="str">
        <x:f>IF($A26="","",IF($X26="已取消","已取消",IF(OR($X26="範例",$X26="可進入排班"),$Y26,"班次建檔未完成")))</x:f>
      </x:c>
      <x:c r="R26" s="194" t="str">
        <x:f>IF($A26="","",_xlfn.XLOOKUP($A26,'班次需求輸入'!$A$7:$A$36,'班次需求輸入'!$K$7:$K$36,"",0))</x:f>
      </x:c>
      <x:c r="S26" s="189" t="str">
        <x:f>IF($A26="","",_xlfn.XLOOKUP($A26,'班次需求輸入'!$A$7:$A$36,'班次需求輸入'!$X$7:$X$36,"",0))</x:f>
      </x:c>
      <x:c r="T26" s="189" t="str">
        <x:f>IF($A26="","",_xlfn.XLOOKUP($A26,'班次需求輸入'!$A$7:$A$36,'班次需求輸入'!$T$7:$T$36,"",0))</x:f>
      </x:c>
      <x:c r="U26" s="189" t="str">
        <x:f>IF($A26="","",IF($R26="範例","範例，不發布",IF(AND(OR($T26="療程取消",$T26="病患取消"),$S26="確認完成"),"人力已釋出",IF($Q26&lt;&gt;"通過",$Q26,IF($S26&lt;&gt;"確認完成",$S26,"可發布")))))</x:f>
      </x:c>
      <x:c r="V26" s="315" t="str">
        <x:f>IF($A26="","",IF(COUNTIFS('排班例外核定'!$U$7:$U$106,$A26)&gt;0,"例外有效",IF(COUNTIFS('排班例外核定'!$B$7:$B$106,$A26)&gt;0,"例外申請未生效","無例外")))</x:f>
      </x:c>
      <x:c r="W26" s="315" t="str">
        <x:f>IF($A26="","",IF(OR($U26="可發布",$U26="人力已釋出",$U26="範例，不發布"),$U26,IF(AND($V26="例外有效",$Q26="正式資格未完成",$S26="確認完成",$R26&lt;&gt;"範例"),"例外核定可發布",$U26)))</x:f>
      </x:c>
      <x:c r="X26" s="533" t="str">
        <x:f>IF($A26="","",_xlfn.XLOOKUP($A26,'班次需求輸入'!$A$7:$A$36,'班次需求輸入'!$AD$7:$AD$36,"正式建檔未完成",0))</x:f>
      </x:c>
      <x:c r="Y26" s="533" t="str">
        <x:f>IF($A26="","",IF($G26="待確認","療程待確認",IF($I26&lt;$H26,"缺主跟診配置",IF($K26&lt;$H26,"正式資格未完成",IF($O26&lt;$N26,"缺短時支援",IF($M26&lt;$L26,"支援容量不足",IF($P26&gt;0,"人員時段衝突","通過")))))))</x:f>
      </x:c>
    </x:row>
    <x:row r="27">
      <x:c r="A27" s="80" t="str">
        <x:f>IF('班次需求輸入'!$A27="","",'班次需求輸入'!$A27)</x:f>
      </x:c>
      <x:c r="B27" s="85" t="str">
        <x:f>IF($A27="","",_xlfn.XLOOKUP($A27,'班次需求輸入'!$A$7:$A$36,'班次需求輸入'!$B$7:$B$36,"",0))</x:f>
      </x:c>
      <x:c r="C27" s="86" t="str">
        <x:f>IF($A27="","",_xlfn.XLOOKUP($A27,'班次需求輸入'!$A$7:$A$36,'班次需求輸入'!$C$7:$C$36,"",0))</x:f>
      </x:c>
      <x:c r="D27" s="86" t="str">
        <x:f>IF($A27="","",_xlfn.XLOOKUP($A27,'班次需求輸入'!$A$7:$A$36,'班次需求輸入'!$D$7:$D$36,"",0))</x:f>
      </x:c>
      <x:c r="E27" s="84" t="str">
        <x:f>IF($A27="","",_xlfn.XLOOKUP($A27,'班次需求輸入'!$A$7:$A$36,'班次需求輸入'!$F$7:$F$36,"",0))</x:f>
      </x:c>
      <x:c r="F27" s="84" t="str">
        <x:f>IF($E27="","",_xlfn.XLOOKUP($E27,'排班模式清單'!$A$7:$A$169,'排班模式清單'!$C$7:$C$169,"未建立",0))</x:f>
      </x:c>
      <x:c r="G27" s="84" t="str">
        <x:f>IF($A27="","",_xlfn.XLOOKUP($A27,'班次需求輸入'!$A$7:$A$36,'班次需求輸入'!$G$7:$G$36,"",0))</x:f>
      </x:c>
      <x:c r="H27" s="84" t="str">
        <x:f>IF($A27="","",_xlfn.XLOOKUP($A27,'班次需求輸入'!$A$7:$A$36,'班次需求輸入'!$H$7:$H$36,"",0))</x:f>
      </x:c>
      <x:c r="I27" s="84" t="str">
        <x:f>IF($A27="","",COUNTIFS('排班配置輸入'!$B$7:$B$66,$A27,'排班配置輸入'!$E$7:$E$66,"主跟診"))</x:f>
      </x:c>
      <x:c r="J27" s="84" t="str">
        <x:f>IF($A27="","",COUNTIFS('排班配置輸入'!$B$7:$B$66,$A27,'排班配置輸入'!$E$7:$E$66,"主跟診",'排班配置輸入'!$I$7:$I$66,"&lt;&gt;不可正式排"))</x:f>
      </x:c>
      <x:c r="K27" s="84" t="str">
        <x:f>IF($A27="","",COUNTIFS('排班配置輸入'!$B$7:$B$66,$A27,'排班配置輸入'!$E$7:$E$66,"主跟診",'排班配置輸入'!$J$7:$J$66,"初步可獨立")+COUNTIFS('排班配置輸入'!$B$7:$B$66,$A27,'排班配置輸入'!$E$7:$E$66,"主跟診",'排班配置輸入'!$J$7:$J$66,"初步可條件排"))</x:f>
      </x:c>
      <x:c r="L27" s="84" t="str">
        <x:f>IF($A27="","",SUMIFS('排班配置輸入'!$L$7:$L$66,'排班配置輸入'!$B$7:$B$66,$A27))</x:f>
      </x:c>
      <x:c r="M27" s="84" t="str">
        <x:f>IF($A27="","",SUMIFS('排班配置輸入'!$F$7:$F$66,'排班配置輸入'!$B$7:$B$66,$A27,'排班配置輸入'!$G$7:$G$66,"是",'排班配置輸入'!$K$7:$K$66,"支援資格通過"))</x:f>
      </x:c>
      <x:c r="N27" s="84" t="str">
        <x:f>IF($A27="","",_xlfn.XLOOKUP($A27,'班次需求輸入'!$A$7:$A$36,'班次需求輸入'!$I$7:$I$36,0,0))</x:f>
      </x:c>
      <x:c r="O27" s="84" t="str">
        <x:f>IF($A27="","",COUNTIFS('排班配置輸入'!$B$7:$B$66,$A27,'排班配置輸入'!$E$7:$E$66,"短時支援"))</x:f>
      </x:c>
      <x:c r="P27" s="84" t="str">
        <x:f>IF($A27="","",SUMIFS('排班配置輸入'!$P$7:$P$66,'排班配置輸入'!$B$7:$B$66,$A27))</x:f>
      </x:c>
      <x:c r="Q27" s="84" t="str">
        <x:f>IF($A27="","",IF($X27="已取消","已取消",IF(OR($X27="範例",$X27="可進入排班"),$Y27,"班次建檔未完成")))</x:f>
      </x:c>
      <x:c r="R27" s="194" t="str">
        <x:f>IF($A27="","",_xlfn.XLOOKUP($A27,'班次需求輸入'!$A$7:$A$36,'班次需求輸入'!$K$7:$K$36,"",0))</x:f>
      </x:c>
      <x:c r="S27" s="189" t="str">
        <x:f>IF($A27="","",_xlfn.XLOOKUP($A27,'班次需求輸入'!$A$7:$A$36,'班次需求輸入'!$X$7:$X$36,"",0))</x:f>
      </x:c>
      <x:c r="T27" s="189" t="str">
        <x:f>IF($A27="","",_xlfn.XLOOKUP($A27,'班次需求輸入'!$A$7:$A$36,'班次需求輸入'!$T$7:$T$36,"",0))</x:f>
      </x:c>
      <x:c r="U27" s="189" t="str">
        <x:f>IF($A27="","",IF($R27="範例","範例，不發布",IF(AND(OR($T27="療程取消",$T27="病患取消"),$S27="確認完成"),"人力已釋出",IF($Q27&lt;&gt;"通過",$Q27,IF($S27&lt;&gt;"確認完成",$S27,"可發布")))))</x:f>
      </x:c>
      <x:c r="V27" s="315" t="str">
        <x:f>IF($A27="","",IF(COUNTIFS('排班例外核定'!$U$7:$U$106,$A27)&gt;0,"例外有效",IF(COUNTIFS('排班例外核定'!$B$7:$B$106,$A27)&gt;0,"例外申請未生效","無例外")))</x:f>
      </x:c>
      <x:c r="W27" s="315" t="str">
        <x:f>IF($A27="","",IF(OR($U27="可發布",$U27="人力已釋出",$U27="範例，不發布"),$U27,IF(AND($V27="例外有效",$Q27="正式資格未完成",$S27="確認完成",$R27&lt;&gt;"範例"),"例外核定可發布",$U27)))</x:f>
      </x:c>
      <x:c r="X27" s="533" t="str">
        <x:f>IF($A27="","",_xlfn.XLOOKUP($A27,'班次需求輸入'!$A$7:$A$36,'班次需求輸入'!$AD$7:$AD$36,"正式建檔未完成",0))</x:f>
      </x:c>
      <x:c r="Y27" s="533" t="str">
        <x:f>IF($A27="","",IF($G27="待確認","療程待確認",IF($I27&lt;$H27,"缺主跟診配置",IF($K27&lt;$H27,"正式資格未完成",IF($O27&lt;$N27,"缺短時支援",IF($M27&lt;$L27,"支援容量不足",IF($P27&gt;0,"人員時段衝突","通過")))))))</x:f>
      </x:c>
    </x:row>
    <x:row r="28">
      <x:c r="A28" s="80" t="str">
        <x:f>IF('班次需求輸入'!$A28="","",'班次需求輸入'!$A28)</x:f>
      </x:c>
      <x:c r="B28" s="85" t="str">
        <x:f>IF($A28="","",_xlfn.XLOOKUP($A28,'班次需求輸入'!$A$7:$A$36,'班次需求輸入'!$B$7:$B$36,"",0))</x:f>
      </x:c>
      <x:c r="C28" s="86" t="str">
        <x:f>IF($A28="","",_xlfn.XLOOKUP($A28,'班次需求輸入'!$A$7:$A$36,'班次需求輸入'!$C$7:$C$36,"",0))</x:f>
      </x:c>
      <x:c r="D28" s="86" t="str">
        <x:f>IF($A28="","",_xlfn.XLOOKUP($A28,'班次需求輸入'!$A$7:$A$36,'班次需求輸入'!$D$7:$D$36,"",0))</x:f>
      </x:c>
      <x:c r="E28" s="84" t="str">
        <x:f>IF($A28="","",_xlfn.XLOOKUP($A28,'班次需求輸入'!$A$7:$A$36,'班次需求輸入'!$F$7:$F$36,"",0))</x:f>
      </x:c>
      <x:c r="F28" s="84" t="str">
        <x:f>IF($E28="","",_xlfn.XLOOKUP($E28,'排班模式清單'!$A$7:$A$169,'排班模式清單'!$C$7:$C$169,"未建立",0))</x:f>
      </x:c>
      <x:c r="G28" s="84" t="str">
        <x:f>IF($A28="","",_xlfn.XLOOKUP($A28,'班次需求輸入'!$A$7:$A$36,'班次需求輸入'!$G$7:$G$36,"",0))</x:f>
      </x:c>
      <x:c r="H28" s="84" t="str">
        <x:f>IF($A28="","",_xlfn.XLOOKUP($A28,'班次需求輸入'!$A$7:$A$36,'班次需求輸入'!$H$7:$H$36,"",0))</x:f>
      </x:c>
      <x:c r="I28" s="84" t="str">
        <x:f>IF($A28="","",COUNTIFS('排班配置輸入'!$B$7:$B$66,$A28,'排班配置輸入'!$E$7:$E$66,"主跟診"))</x:f>
      </x:c>
      <x:c r="J28" s="84" t="str">
        <x:f>IF($A28="","",COUNTIFS('排班配置輸入'!$B$7:$B$66,$A28,'排班配置輸入'!$E$7:$E$66,"主跟診",'排班配置輸入'!$I$7:$I$66,"&lt;&gt;不可正式排"))</x:f>
      </x:c>
      <x:c r="K28" s="84" t="str">
        <x:f>IF($A28="","",COUNTIFS('排班配置輸入'!$B$7:$B$66,$A28,'排班配置輸入'!$E$7:$E$66,"主跟診",'排班配置輸入'!$J$7:$J$66,"初步可獨立")+COUNTIFS('排班配置輸入'!$B$7:$B$66,$A28,'排班配置輸入'!$E$7:$E$66,"主跟診",'排班配置輸入'!$J$7:$J$66,"初步可條件排"))</x:f>
      </x:c>
      <x:c r="L28" s="84" t="str">
        <x:f>IF($A28="","",SUMIFS('排班配置輸入'!$L$7:$L$66,'排班配置輸入'!$B$7:$B$66,$A28))</x:f>
      </x:c>
      <x:c r="M28" s="84" t="str">
        <x:f>IF($A28="","",SUMIFS('排班配置輸入'!$F$7:$F$66,'排班配置輸入'!$B$7:$B$66,$A28,'排班配置輸入'!$G$7:$G$66,"是",'排班配置輸入'!$K$7:$K$66,"支援資格通過"))</x:f>
      </x:c>
      <x:c r="N28" s="84" t="str">
        <x:f>IF($A28="","",_xlfn.XLOOKUP($A28,'班次需求輸入'!$A$7:$A$36,'班次需求輸入'!$I$7:$I$36,0,0))</x:f>
      </x:c>
      <x:c r="O28" s="84" t="str">
        <x:f>IF($A28="","",COUNTIFS('排班配置輸入'!$B$7:$B$66,$A28,'排班配置輸入'!$E$7:$E$66,"短時支援"))</x:f>
      </x:c>
      <x:c r="P28" s="84" t="str">
        <x:f>IF($A28="","",SUMIFS('排班配置輸入'!$P$7:$P$66,'排班配置輸入'!$B$7:$B$66,$A28))</x:f>
      </x:c>
      <x:c r="Q28" s="84" t="str">
        <x:f>IF($A28="","",IF($X28="已取消","已取消",IF(OR($X28="範例",$X28="可進入排班"),$Y28,"班次建檔未完成")))</x:f>
      </x:c>
      <x:c r="R28" s="194" t="str">
        <x:f>IF($A28="","",_xlfn.XLOOKUP($A28,'班次需求輸入'!$A$7:$A$36,'班次需求輸入'!$K$7:$K$36,"",0))</x:f>
      </x:c>
      <x:c r="S28" s="189" t="str">
        <x:f>IF($A28="","",_xlfn.XLOOKUP($A28,'班次需求輸入'!$A$7:$A$36,'班次需求輸入'!$X$7:$X$36,"",0))</x:f>
      </x:c>
      <x:c r="T28" s="189" t="str">
        <x:f>IF($A28="","",_xlfn.XLOOKUP($A28,'班次需求輸入'!$A$7:$A$36,'班次需求輸入'!$T$7:$T$36,"",0))</x:f>
      </x:c>
      <x:c r="U28" s="189" t="str">
        <x:f>IF($A28="","",IF($R28="範例","範例，不發布",IF(AND(OR($T28="療程取消",$T28="病患取消"),$S28="確認完成"),"人力已釋出",IF($Q28&lt;&gt;"通過",$Q28,IF($S28&lt;&gt;"確認完成",$S28,"可發布")))))</x:f>
      </x:c>
      <x:c r="V28" s="315" t="str">
        <x:f>IF($A28="","",IF(COUNTIFS('排班例外核定'!$U$7:$U$106,$A28)&gt;0,"例外有效",IF(COUNTIFS('排班例外核定'!$B$7:$B$106,$A28)&gt;0,"例外申請未生效","無例外")))</x:f>
      </x:c>
      <x:c r="W28" s="315" t="str">
        <x:f>IF($A28="","",IF(OR($U28="可發布",$U28="人力已釋出",$U28="範例，不發布"),$U28,IF(AND($V28="例外有效",$Q28="正式資格未完成",$S28="確認完成",$R28&lt;&gt;"範例"),"例外核定可發布",$U28)))</x:f>
      </x:c>
      <x:c r="X28" s="533" t="str">
        <x:f>IF($A28="","",_xlfn.XLOOKUP($A28,'班次需求輸入'!$A$7:$A$36,'班次需求輸入'!$AD$7:$AD$36,"正式建檔未完成",0))</x:f>
      </x:c>
      <x:c r="Y28" s="533" t="str">
        <x:f>IF($A28="","",IF($G28="待確認","療程待確認",IF($I28&lt;$H28,"缺主跟診配置",IF($K28&lt;$H28,"正式資格未完成",IF($O28&lt;$N28,"缺短時支援",IF($M28&lt;$L28,"支援容量不足",IF($P28&gt;0,"人員時段衝突","通過")))))))</x:f>
      </x:c>
    </x:row>
    <x:row r="29">
      <x:c r="A29" s="80" t="str">
        <x:f>IF('班次需求輸入'!$A29="","",'班次需求輸入'!$A29)</x:f>
      </x:c>
      <x:c r="B29" s="85" t="str">
        <x:f>IF($A29="","",_xlfn.XLOOKUP($A29,'班次需求輸入'!$A$7:$A$36,'班次需求輸入'!$B$7:$B$36,"",0))</x:f>
      </x:c>
      <x:c r="C29" s="86" t="str">
        <x:f>IF($A29="","",_xlfn.XLOOKUP($A29,'班次需求輸入'!$A$7:$A$36,'班次需求輸入'!$C$7:$C$36,"",0))</x:f>
      </x:c>
      <x:c r="D29" s="86" t="str">
        <x:f>IF($A29="","",_xlfn.XLOOKUP($A29,'班次需求輸入'!$A$7:$A$36,'班次需求輸入'!$D$7:$D$36,"",0))</x:f>
      </x:c>
      <x:c r="E29" s="84" t="str">
        <x:f>IF($A29="","",_xlfn.XLOOKUP($A29,'班次需求輸入'!$A$7:$A$36,'班次需求輸入'!$F$7:$F$36,"",0))</x:f>
      </x:c>
      <x:c r="F29" s="84" t="str">
        <x:f>IF($E29="","",_xlfn.XLOOKUP($E29,'排班模式清單'!$A$7:$A$169,'排班模式清單'!$C$7:$C$169,"未建立",0))</x:f>
      </x:c>
      <x:c r="G29" s="84" t="str">
        <x:f>IF($A29="","",_xlfn.XLOOKUP($A29,'班次需求輸入'!$A$7:$A$36,'班次需求輸入'!$G$7:$G$36,"",0))</x:f>
      </x:c>
      <x:c r="H29" s="84" t="str">
        <x:f>IF($A29="","",_xlfn.XLOOKUP($A29,'班次需求輸入'!$A$7:$A$36,'班次需求輸入'!$H$7:$H$36,"",0))</x:f>
      </x:c>
      <x:c r="I29" s="84" t="str">
        <x:f>IF($A29="","",COUNTIFS('排班配置輸入'!$B$7:$B$66,$A29,'排班配置輸入'!$E$7:$E$66,"主跟診"))</x:f>
      </x:c>
      <x:c r="J29" s="84" t="str">
        <x:f>IF($A29="","",COUNTIFS('排班配置輸入'!$B$7:$B$66,$A29,'排班配置輸入'!$E$7:$E$66,"主跟診",'排班配置輸入'!$I$7:$I$66,"&lt;&gt;不可正式排"))</x:f>
      </x:c>
      <x:c r="K29" s="84" t="str">
        <x:f>IF($A29="","",COUNTIFS('排班配置輸入'!$B$7:$B$66,$A29,'排班配置輸入'!$E$7:$E$66,"主跟診",'排班配置輸入'!$J$7:$J$66,"初步可獨立")+COUNTIFS('排班配置輸入'!$B$7:$B$66,$A29,'排班配置輸入'!$E$7:$E$66,"主跟診",'排班配置輸入'!$J$7:$J$66,"初步可條件排"))</x:f>
      </x:c>
      <x:c r="L29" s="84" t="str">
        <x:f>IF($A29="","",SUMIFS('排班配置輸入'!$L$7:$L$66,'排班配置輸入'!$B$7:$B$66,$A29))</x:f>
      </x:c>
      <x:c r="M29" s="84" t="str">
        <x:f>IF($A29="","",SUMIFS('排班配置輸入'!$F$7:$F$66,'排班配置輸入'!$B$7:$B$66,$A29,'排班配置輸入'!$G$7:$G$66,"是",'排班配置輸入'!$K$7:$K$66,"支援資格通過"))</x:f>
      </x:c>
      <x:c r="N29" s="84" t="str">
        <x:f>IF($A29="","",_xlfn.XLOOKUP($A29,'班次需求輸入'!$A$7:$A$36,'班次需求輸入'!$I$7:$I$36,0,0))</x:f>
      </x:c>
      <x:c r="O29" s="84" t="str">
        <x:f>IF($A29="","",COUNTIFS('排班配置輸入'!$B$7:$B$66,$A29,'排班配置輸入'!$E$7:$E$66,"短時支援"))</x:f>
      </x:c>
      <x:c r="P29" s="84" t="str">
        <x:f>IF($A29="","",SUMIFS('排班配置輸入'!$P$7:$P$66,'排班配置輸入'!$B$7:$B$66,$A29))</x:f>
      </x:c>
      <x:c r="Q29" s="84" t="str">
        <x:f>IF($A29="","",IF($X29="已取消","已取消",IF(OR($X29="範例",$X29="可進入排班"),$Y29,"班次建檔未完成")))</x:f>
      </x:c>
      <x:c r="R29" s="194" t="str">
        <x:f>IF($A29="","",_xlfn.XLOOKUP($A29,'班次需求輸入'!$A$7:$A$36,'班次需求輸入'!$K$7:$K$36,"",0))</x:f>
      </x:c>
      <x:c r="S29" s="189" t="str">
        <x:f>IF($A29="","",_xlfn.XLOOKUP($A29,'班次需求輸入'!$A$7:$A$36,'班次需求輸入'!$X$7:$X$36,"",0))</x:f>
      </x:c>
      <x:c r="T29" s="189" t="str">
        <x:f>IF($A29="","",_xlfn.XLOOKUP($A29,'班次需求輸入'!$A$7:$A$36,'班次需求輸入'!$T$7:$T$36,"",0))</x:f>
      </x:c>
      <x:c r="U29" s="189" t="str">
        <x:f>IF($A29="","",IF($R29="範例","範例，不發布",IF(AND(OR($T29="療程取消",$T29="病患取消"),$S29="確認完成"),"人力已釋出",IF($Q29&lt;&gt;"通過",$Q29,IF($S29&lt;&gt;"確認完成",$S29,"可發布")))))</x:f>
      </x:c>
      <x:c r="V29" s="315" t="str">
        <x:f>IF($A29="","",IF(COUNTIFS('排班例外核定'!$U$7:$U$106,$A29)&gt;0,"例外有效",IF(COUNTIFS('排班例外核定'!$B$7:$B$106,$A29)&gt;0,"例外申請未生效","無例外")))</x:f>
      </x:c>
      <x:c r="W29" s="315" t="str">
        <x:f>IF($A29="","",IF(OR($U29="可發布",$U29="人力已釋出",$U29="範例，不發布"),$U29,IF(AND($V29="例外有效",$Q29="正式資格未完成",$S29="確認完成",$R29&lt;&gt;"範例"),"例外核定可發布",$U29)))</x:f>
      </x:c>
      <x:c r="X29" s="533" t="str">
        <x:f>IF($A29="","",_xlfn.XLOOKUP($A29,'班次需求輸入'!$A$7:$A$36,'班次需求輸入'!$AD$7:$AD$36,"正式建檔未完成",0))</x:f>
      </x:c>
      <x:c r="Y29" s="533" t="str">
        <x:f>IF($A29="","",IF($G29="待確認","療程待確認",IF($I29&lt;$H29,"缺主跟診配置",IF($K29&lt;$H29,"正式資格未完成",IF($O29&lt;$N29,"缺短時支援",IF($M29&lt;$L29,"支援容量不足",IF($P29&gt;0,"人員時段衝突","通過")))))))</x:f>
      </x:c>
    </x:row>
    <x:row r="30">
      <x:c r="A30" s="80" t="str">
        <x:f>IF('班次需求輸入'!$A30="","",'班次需求輸入'!$A30)</x:f>
      </x:c>
      <x:c r="B30" s="85" t="str">
        <x:f>IF($A30="","",_xlfn.XLOOKUP($A30,'班次需求輸入'!$A$7:$A$36,'班次需求輸入'!$B$7:$B$36,"",0))</x:f>
      </x:c>
      <x:c r="C30" s="86" t="str">
        <x:f>IF($A30="","",_xlfn.XLOOKUP($A30,'班次需求輸入'!$A$7:$A$36,'班次需求輸入'!$C$7:$C$36,"",0))</x:f>
      </x:c>
      <x:c r="D30" s="86" t="str">
        <x:f>IF($A30="","",_xlfn.XLOOKUP($A30,'班次需求輸入'!$A$7:$A$36,'班次需求輸入'!$D$7:$D$36,"",0))</x:f>
      </x:c>
      <x:c r="E30" s="84" t="str">
        <x:f>IF($A30="","",_xlfn.XLOOKUP($A30,'班次需求輸入'!$A$7:$A$36,'班次需求輸入'!$F$7:$F$36,"",0))</x:f>
      </x:c>
      <x:c r="F30" s="84" t="str">
        <x:f>IF($E30="","",_xlfn.XLOOKUP($E30,'排班模式清單'!$A$7:$A$169,'排班模式清單'!$C$7:$C$169,"未建立",0))</x:f>
      </x:c>
      <x:c r="G30" s="84" t="str">
        <x:f>IF($A30="","",_xlfn.XLOOKUP($A30,'班次需求輸入'!$A$7:$A$36,'班次需求輸入'!$G$7:$G$36,"",0))</x:f>
      </x:c>
      <x:c r="H30" s="84" t="str">
        <x:f>IF($A30="","",_xlfn.XLOOKUP($A30,'班次需求輸入'!$A$7:$A$36,'班次需求輸入'!$H$7:$H$36,"",0))</x:f>
      </x:c>
      <x:c r="I30" s="84" t="str">
        <x:f>IF($A30="","",COUNTIFS('排班配置輸入'!$B$7:$B$66,$A30,'排班配置輸入'!$E$7:$E$66,"主跟診"))</x:f>
      </x:c>
      <x:c r="J30" s="84" t="str">
        <x:f>IF($A30="","",COUNTIFS('排班配置輸入'!$B$7:$B$66,$A30,'排班配置輸入'!$E$7:$E$66,"主跟診",'排班配置輸入'!$I$7:$I$66,"&lt;&gt;不可正式排"))</x:f>
      </x:c>
      <x:c r="K30" s="84" t="str">
        <x:f>IF($A30="","",COUNTIFS('排班配置輸入'!$B$7:$B$66,$A30,'排班配置輸入'!$E$7:$E$66,"主跟診",'排班配置輸入'!$J$7:$J$66,"初步可獨立")+COUNTIFS('排班配置輸入'!$B$7:$B$66,$A30,'排班配置輸入'!$E$7:$E$66,"主跟診",'排班配置輸入'!$J$7:$J$66,"初步可條件排"))</x:f>
      </x:c>
      <x:c r="L30" s="84" t="str">
        <x:f>IF($A30="","",SUMIFS('排班配置輸入'!$L$7:$L$66,'排班配置輸入'!$B$7:$B$66,$A30))</x:f>
      </x:c>
      <x:c r="M30" s="84" t="str">
        <x:f>IF($A30="","",SUMIFS('排班配置輸入'!$F$7:$F$66,'排班配置輸入'!$B$7:$B$66,$A30,'排班配置輸入'!$G$7:$G$66,"是",'排班配置輸入'!$K$7:$K$66,"支援資格通過"))</x:f>
      </x:c>
      <x:c r="N30" s="84" t="str">
        <x:f>IF($A30="","",_xlfn.XLOOKUP($A30,'班次需求輸入'!$A$7:$A$36,'班次需求輸入'!$I$7:$I$36,0,0))</x:f>
      </x:c>
      <x:c r="O30" s="84" t="str">
        <x:f>IF($A30="","",COUNTIFS('排班配置輸入'!$B$7:$B$66,$A30,'排班配置輸入'!$E$7:$E$66,"短時支援"))</x:f>
      </x:c>
      <x:c r="P30" s="84" t="str">
        <x:f>IF($A30="","",SUMIFS('排班配置輸入'!$P$7:$P$66,'排班配置輸入'!$B$7:$B$66,$A30))</x:f>
      </x:c>
      <x:c r="Q30" s="84" t="str">
        <x:f>IF($A30="","",IF($X30="已取消","已取消",IF(OR($X30="範例",$X30="可進入排班"),$Y30,"班次建檔未完成")))</x:f>
      </x:c>
      <x:c r="R30" s="194" t="str">
        <x:f>IF($A30="","",_xlfn.XLOOKUP($A30,'班次需求輸入'!$A$7:$A$36,'班次需求輸入'!$K$7:$K$36,"",0))</x:f>
      </x:c>
      <x:c r="S30" s="189" t="str">
        <x:f>IF($A30="","",_xlfn.XLOOKUP($A30,'班次需求輸入'!$A$7:$A$36,'班次需求輸入'!$X$7:$X$36,"",0))</x:f>
      </x:c>
      <x:c r="T30" s="189" t="str">
        <x:f>IF($A30="","",_xlfn.XLOOKUP($A30,'班次需求輸入'!$A$7:$A$36,'班次需求輸入'!$T$7:$T$36,"",0))</x:f>
      </x:c>
      <x:c r="U30" s="189" t="str">
        <x:f>IF($A30="","",IF($R30="範例","範例，不發布",IF(AND(OR($T30="療程取消",$T30="病患取消"),$S30="確認完成"),"人力已釋出",IF($Q30&lt;&gt;"通過",$Q30,IF($S30&lt;&gt;"確認完成",$S30,"可發布")))))</x:f>
      </x:c>
      <x:c r="V30" s="315" t="str">
        <x:f>IF($A30="","",IF(COUNTIFS('排班例外核定'!$U$7:$U$106,$A30)&gt;0,"例外有效",IF(COUNTIFS('排班例外核定'!$B$7:$B$106,$A30)&gt;0,"例外申請未生效","無例外")))</x:f>
      </x:c>
      <x:c r="W30" s="315" t="str">
        <x:f>IF($A30="","",IF(OR($U30="可發布",$U30="人力已釋出",$U30="範例，不發布"),$U30,IF(AND($V30="例外有效",$Q30="正式資格未完成",$S30="確認完成",$R30&lt;&gt;"範例"),"例外核定可發布",$U30)))</x:f>
      </x:c>
      <x:c r="X30" s="533" t="str">
        <x:f>IF($A30="","",_xlfn.XLOOKUP($A30,'班次需求輸入'!$A$7:$A$36,'班次需求輸入'!$AD$7:$AD$36,"正式建檔未完成",0))</x:f>
      </x:c>
      <x:c r="Y30" s="533" t="str">
        <x:f>IF($A30="","",IF($G30="待確認","療程待確認",IF($I30&lt;$H30,"缺主跟診配置",IF($K30&lt;$H30,"正式資格未完成",IF($O30&lt;$N30,"缺短時支援",IF($M30&lt;$L30,"支援容量不足",IF($P30&gt;0,"人員時段衝突","通過")))))))</x:f>
      </x:c>
    </x:row>
    <x:row r="31">
      <x:c r="A31" s="80" t="str">
        <x:f>IF('班次需求輸入'!$A31="","",'班次需求輸入'!$A31)</x:f>
      </x:c>
      <x:c r="B31" s="85" t="str">
        <x:f>IF($A31="","",_xlfn.XLOOKUP($A31,'班次需求輸入'!$A$7:$A$36,'班次需求輸入'!$B$7:$B$36,"",0))</x:f>
      </x:c>
      <x:c r="C31" s="86" t="str">
        <x:f>IF($A31="","",_xlfn.XLOOKUP($A31,'班次需求輸入'!$A$7:$A$36,'班次需求輸入'!$C$7:$C$36,"",0))</x:f>
      </x:c>
      <x:c r="D31" s="86" t="str">
        <x:f>IF($A31="","",_xlfn.XLOOKUP($A31,'班次需求輸入'!$A$7:$A$36,'班次需求輸入'!$D$7:$D$36,"",0))</x:f>
      </x:c>
      <x:c r="E31" s="84" t="str">
        <x:f>IF($A31="","",_xlfn.XLOOKUP($A31,'班次需求輸入'!$A$7:$A$36,'班次需求輸入'!$F$7:$F$36,"",0))</x:f>
      </x:c>
      <x:c r="F31" s="84" t="str">
        <x:f>IF($E31="","",_xlfn.XLOOKUP($E31,'排班模式清單'!$A$7:$A$169,'排班模式清單'!$C$7:$C$169,"未建立",0))</x:f>
      </x:c>
      <x:c r="G31" s="84" t="str">
        <x:f>IF($A31="","",_xlfn.XLOOKUP($A31,'班次需求輸入'!$A$7:$A$36,'班次需求輸入'!$G$7:$G$36,"",0))</x:f>
      </x:c>
      <x:c r="H31" s="84" t="str">
        <x:f>IF($A31="","",_xlfn.XLOOKUP($A31,'班次需求輸入'!$A$7:$A$36,'班次需求輸入'!$H$7:$H$36,"",0))</x:f>
      </x:c>
      <x:c r="I31" s="84" t="str">
        <x:f>IF($A31="","",COUNTIFS('排班配置輸入'!$B$7:$B$66,$A31,'排班配置輸入'!$E$7:$E$66,"主跟診"))</x:f>
      </x:c>
      <x:c r="J31" s="84" t="str">
        <x:f>IF($A31="","",COUNTIFS('排班配置輸入'!$B$7:$B$66,$A31,'排班配置輸入'!$E$7:$E$66,"主跟診",'排班配置輸入'!$I$7:$I$66,"&lt;&gt;不可正式排"))</x:f>
      </x:c>
      <x:c r="K31" s="84" t="str">
        <x:f>IF($A31="","",COUNTIFS('排班配置輸入'!$B$7:$B$66,$A31,'排班配置輸入'!$E$7:$E$66,"主跟診",'排班配置輸入'!$J$7:$J$66,"初步可獨立")+COUNTIFS('排班配置輸入'!$B$7:$B$66,$A31,'排班配置輸入'!$E$7:$E$66,"主跟診",'排班配置輸入'!$J$7:$J$66,"初步可條件排"))</x:f>
      </x:c>
      <x:c r="L31" s="84" t="str">
        <x:f>IF($A31="","",SUMIFS('排班配置輸入'!$L$7:$L$66,'排班配置輸入'!$B$7:$B$66,$A31))</x:f>
      </x:c>
      <x:c r="M31" s="84" t="str">
        <x:f>IF($A31="","",SUMIFS('排班配置輸入'!$F$7:$F$66,'排班配置輸入'!$B$7:$B$66,$A31,'排班配置輸入'!$G$7:$G$66,"是",'排班配置輸入'!$K$7:$K$66,"支援資格通過"))</x:f>
      </x:c>
      <x:c r="N31" s="84" t="str">
        <x:f>IF($A31="","",_xlfn.XLOOKUP($A31,'班次需求輸入'!$A$7:$A$36,'班次需求輸入'!$I$7:$I$36,0,0))</x:f>
      </x:c>
      <x:c r="O31" s="84" t="str">
        <x:f>IF($A31="","",COUNTIFS('排班配置輸入'!$B$7:$B$66,$A31,'排班配置輸入'!$E$7:$E$66,"短時支援"))</x:f>
      </x:c>
      <x:c r="P31" s="84" t="str">
        <x:f>IF($A31="","",SUMIFS('排班配置輸入'!$P$7:$P$66,'排班配置輸入'!$B$7:$B$66,$A31))</x:f>
      </x:c>
      <x:c r="Q31" s="84" t="str">
        <x:f>IF($A31="","",IF($X31="已取消","已取消",IF(OR($X31="範例",$X31="可進入排班"),$Y31,"班次建檔未完成")))</x:f>
      </x:c>
      <x:c r="R31" s="194" t="str">
        <x:f>IF($A31="","",_xlfn.XLOOKUP($A31,'班次需求輸入'!$A$7:$A$36,'班次需求輸入'!$K$7:$K$36,"",0))</x:f>
      </x:c>
      <x:c r="S31" s="189" t="str">
        <x:f>IF($A31="","",_xlfn.XLOOKUP($A31,'班次需求輸入'!$A$7:$A$36,'班次需求輸入'!$X$7:$X$36,"",0))</x:f>
      </x:c>
      <x:c r="T31" s="189" t="str">
        <x:f>IF($A31="","",_xlfn.XLOOKUP($A31,'班次需求輸入'!$A$7:$A$36,'班次需求輸入'!$T$7:$T$36,"",0))</x:f>
      </x:c>
      <x:c r="U31" s="189" t="str">
        <x:f>IF($A31="","",IF($R31="範例","範例，不發布",IF(AND(OR($T31="療程取消",$T31="病患取消"),$S31="確認完成"),"人力已釋出",IF($Q31&lt;&gt;"通過",$Q31,IF($S31&lt;&gt;"確認完成",$S31,"可發布")))))</x:f>
      </x:c>
      <x:c r="V31" s="315" t="str">
        <x:f>IF($A31="","",IF(COUNTIFS('排班例外核定'!$U$7:$U$106,$A31)&gt;0,"例外有效",IF(COUNTIFS('排班例外核定'!$B$7:$B$106,$A31)&gt;0,"例外申請未生效","無例外")))</x:f>
      </x:c>
      <x:c r="W31" s="315" t="str">
        <x:f>IF($A31="","",IF(OR($U31="可發布",$U31="人力已釋出",$U31="範例，不發布"),$U31,IF(AND($V31="例外有效",$Q31="正式資格未完成",$S31="確認完成",$R31&lt;&gt;"範例"),"例外核定可發布",$U31)))</x:f>
      </x:c>
      <x:c r="X31" s="533" t="str">
        <x:f>IF($A31="","",_xlfn.XLOOKUP($A31,'班次需求輸入'!$A$7:$A$36,'班次需求輸入'!$AD$7:$AD$36,"正式建檔未完成",0))</x:f>
      </x:c>
      <x:c r="Y31" s="533" t="str">
        <x:f>IF($A31="","",IF($G31="待確認","療程待確認",IF($I31&lt;$H31,"缺主跟診配置",IF($K31&lt;$H31,"正式資格未完成",IF($O31&lt;$N31,"缺短時支援",IF($M31&lt;$L31,"支援容量不足",IF($P31&gt;0,"人員時段衝突","通過")))))))</x:f>
      </x:c>
    </x:row>
    <x:row r="32">
      <x:c r="A32" s="80" t="str">
        <x:f>IF('班次需求輸入'!$A32="","",'班次需求輸入'!$A32)</x:f>
      </x:c>
      <x:c r="B32" s="85" t="str">
        <x:f>IF($A32="","",_xlfn.XLOOKUP($A32,'班次需求輸入'!$A$7:$A$36,'班次需求輸入'!$B$7:$B$36,"",0))</x:f>
      </x:c>
      <x:c r="C32" s="86" t="str">
        <x:f>IF($A32="","",_xlfn.XLOOKUP($A32,'班次需求輸入'!$A$7:$A$36,'班次需求輸入'!$C$7:$C$36,"",0))</x:f>
      </x:c>
      <x:c r="D32" s="86" t="str">
        <x:f>IF($A32="","",_xlfn.XLOOKUP($A32,'班次需求輸入'!$A$7:$A$36,'班次需求輸入'!$D$7:$D$36,"",0))</x:f>
      </x:c>
      <x:c r="E32" s="84" t="str">
        <x:f>IF($A32="","",_xlfn.XLOOKUP($A32,'班次需求輸入'!$A$7:$A$36,'班次需求輸入'!$F$7:$F$36,"",0))</x:f>
      </x:c>
      <x:c r="F32" s="84" t="str">
        <x:f>IF($E32="","",_xlfn.XLOOKUP($E32,'排班模式清單'!$A$7:$A$169,'排班模式清單'!$C$7:$C$169,"未建立",0))</x:f>
      </x:c>
      <x:c r="G32" s="84" t="str">
        <x:f>IF($A32="","",_xlfn.XLOOKUP($A32,'班次需求輸入'!$A$7:$A$36,'班次需求輸入'!$G$7:$G$36,"",0))</x:f>
      </x:c>
      <x:c r="H32" s="84" t="str">
        <x:f>IF($A32="","",_xlfn.XLOOKUP($A32,'班次需求輸入'!$A$7:$A$36,'班次需求輸入'!$H$7:$H$36,"",0))</x:f>
      </x:c>
      <x:c r="I32" s="84" t="str">
        <x:f>IF($A32="","",COUNTIFS('排班配置輸入'!$B$7:$B$66,$A32,'排班配置輸入'!$E$7:$E$66,"主跟診"))</x:f>
      </x:c>
      <x:c r="J32" s="84" t="str">
        <x:f>IF($A32="","",COUNTIFS('排班配置輸入'!$B$7:$B$66,$A32,'排班配置輸入'!$E$7:$E$66,"主跟診",'排班配置輸入'!$I$7:$I$66,"&lt;&gt;不可正式排"))</x:f>
      </x:c>
      <x:c r="K32" s="84" t="str">
        <x:f>IF($A32="","",COUNTIFS('排班配置輸入'!$B$7:$B$66,$A32,'排班配置輸入'!$E$7:$E$66,"主跟診",'排班配置輸入'!$J$7:$J$66,"初步可獨立")+COUNTIFS('排班配置輸入'!$B$7:$B$66,$A32,'排班配置輸入'!$E$7:$E$66,"主跟診",'排班配置輸入'!$J$7:$J$66,"初步可條件排"))</x:f>
      </x:c>
      <x:c r="L32" s="84" t="str">
        <x:f>IF($A32="","",SUMIFS('排班配置輸入'!$L$7:$L$66,'排班配置輸入'!$B$7:$B$66,$A32))</x:f>
      </x:c>
      <x:c r="M32" s="84" t="str">
        <x:f>IF($A32="","",SUMIFS('排班配置輸入'!$F$7:$F$66,'排班配置輸入'!$B$7:$B$66,$A32,'排班配置輸入'!$G$7:$G$66,"是",'排班配置輸入'!$K$7:$K$66,"支援資格通過"))</x:f>
      </x:c>
      <x:c r="N32" s="84" t="str">
        <x:f>IF($A32="","",_xlfn.XLOOKUP($A32,'班次需求輸入'!$A$7:$A$36,'班次需求輸入'!$I$7:$I$36,0,0))</x:f>
      </x:c>
      <x:c r="O32" s="84" t="str">
        <x:f>IF($A32="","",COUNTIFS('排班配置輸入'!$B$7:$B$66,$A32,'排班配置輸入'!$E$7:$E$66,"短時支援"))</x:f>
      </x:c>
      <x:c r="P32" s="84" t="str">
        <x:f>IF($A32="","",SUMIFS('排班配置輸入'!$P$7:$P$66,'排班配置輸入'!$B$7:$B$66,$A32))</x:f>
      </x:c>
      <x:c r="Q32" s="84" t="str">
        <x:f>IF($A32="","",IF($X32="已取消","已取消",IF(OR($X32="範例",$X32="可進入排班"),$Y32,"班次建檔未完成")))</x:f>
      </x:c>
      <x:c r="R32" s="194" t="str">
        <x:f>IF($A32="","",_xlfn.XLOOKUP($A32,'班次需求輸入'!$A$7:$A$36,'班次需求輸入'!$K$7:$K$36,"",0))</x:f>
      </x:c>
      <x:c r="S32" s="189" t="str">
        <x:f>IF($A32="","",_xlfn.XLOOKUP($A32,'班次需求輸入'!$A$7:$A$36,'班次需求輸入'!$X$7:$X$36,"",0))</x:f>
      </x:c>
      <x:c r="T32" s="189" t="str">
        <x:f>IF($A32="","",_xlfn.XLOOKUP($A32,'班次需求輸入'!$A$7:$A$36,'班次需求輸入'!$T$7:$T$36,"",0))</x:f>
      </x:c>
      <x:c r="U32" s="189" t="str">
        <x:f>IF($A32="","",IF($R32="範例","範例，不發布",IF(AND(OR($T32="療程取消",$T32="病患取消"),$S32="確認完成"),"人力已釋出",IF($Q32&lt;&gt;"通過",$Q32,IF($S32&lt;&gt;"確認完成",$S32,"可發布")))))</x:f>
      </x:c>
      <x:c r="V32" s="315" t="str">
        <x:f>IF($A32="","",IF(COUNTIFS('排班例外核定'!$U$7:$U$106,$A32)&gt;0,"例外有效",IF(COUNTIFS('排班例外核定'!$B$7:$B$106,$A32)&gt;0,"例外申請未生效","無例外")))</x:f>
      </x:c>
      <x:c r="W32" s="315" t="str">
        <x:f>IF($A32="","",IF(OR($U32="可發布",$U32="人力已釋出",$U32="範例，不發布"),$U32,IF(AND($V32="例外有效",$Q32="正式資格未完成",$S32="確認完成",$R32&lt;&gt;"範例"),"例外核定可發布",$U32)))</x:f>
      </x:c>
      <x:c r="X32" s="533" t="str">
        <x:f>IF($A32="","",_xlfn.XLOOKUP($A32,'班次需求輸入'!$A$7:$A$36,'班次需求輸入'!$AD$7:$AD$36,"正式建檔未完成",0))</x:f>
      </x:c>
      <x:c r="Y32" s="533" t="str">
        <x:f>IF($A32="","",IF($G32="待確認","療程待確認",IF($I32&lt;$H32,"缺主跟診配置",IF($K32&lt;$H32,"正式資格未完成",IF($O32&lt;$N32,"缺短時支援",IF($M32&lt;$L32,"支援容量不足",IF($P32&gt;0,"人員時段衝突","通過")))))))</x:f>
      </x:c>
    </x:row>
    <x:row r="33">
      <x:c r="A33" s="80" t="str">
        <x:f>IF('班次需求輸入'!$A33="","",'班次需求輸入'!$A33)</x:f>
      </x:c>
      <x:c r="B33" s="85" t="str">
        <x:f>IF($A33="","",_xlfn.XLOOKUP($A33,'班次需求輸入'!$A$7:$A$36,'班次需求輸入'!$B$7:$B$36,"",0))</x:f>
      </x:c>
      <x:c r="C33" s="86" t="str">
        <x:f>IF($A33="","",_xlfn.XLOOKUP($A33,'班次需求輸入'!$A$7:$A$36,'班次需求輸入'!$C$7:$C$36,"",0))</x:f>
      </x:c>
      <x:c r="D33" s="86" t="str">
        <x:f>IF($A33="","",_xlfn.XLOOKUP($A33,'班次需求輸入'!$A$7:$A$36,'班次需求輸入'!$D$7:$D$36,"",0))</x:f>
      </x:c>
      <x:c r="E33" s="84" t="str">
        <x:f>IF($A33="","",_xlfn.XLOOKUP($A33,'班次需求輸入'!$A$7:$A$36,'班次需求輸入'!$F$7:$F$36,"",0))</x:f>
      </x:c>
      <x:c r="F33" s="84" t="str">
        <x:f>IF($E33="","",_xlfn.XLOOKUP($E33,'排班模式清單'!$A$7:$A$169,'排班模式清單'!$C$7:$C$169,"未建立",0))</x:f>
      </x:c>
      <x:c r="G33" s="84" t="str">
        <x:f>IF($A33="","",_xlfn.XLOOKUP($A33,'班次需求輸入'!$A$7:$A$36,'班次需求輸入'!$G$7:$G$36,"",0))</x:f>
      </x:c>
      <x:c r="H33" s="84" t="str">
        <x:f>IF($A33="","",_xlfn.XLOOKUP($A33,'班次需求輸入'!$A$7:$A$36,'班次需求輸入'!$H$7:$H$36,"",0))</x:f>
      </x:c>
      <x:c r="I33" s="84" t="str">
        <x:f>IF($A33="","",COUNTIFS('排班配置輸入'!$B$7:$B$66,$A33,'排班配置輸入'!$E$7:$E$66,"主跟診"))</x:f>
      </x:c>
      <x:c r="J33" s="84" t="str">
        <x:f>IF($A33="","",COUNTIFS('排班配置輸入'!$B$7:$B$66,$A33,'排班配置輸入'!$E$7:$E$66,"主跟診",'排班配置輸入'!$I$7:$I$66,"&lt;&gt;不可正式排"))</x:f>
      </x:c>
      <x:c r="K33" s="84" t="str">
        <x:f>IF($A33="","",COUNTIFS('排班配置輸入'!$B$7:$B$66,$A33,'排班配置輸入'!$E$7:$E$66,"主跟診",'排班配置輸入'!$J$7:$J$66,"初步可獨立")+COUNTIFS('排班配置輸入'!$B$7:$B$66,$A33,'排班配置輸入'!$E$7:$E$66,"主跟診",'排班配置輸入'!$J$7:$J$66,"初步可條件排"))</x:f>
      </x:c>
      <x:c r="L33" s="84" t="str">
        <x:f>IF($A33="","",SUMIFS('排班配置輸入'!$L$7:$L$66,'排班配置輸入'!$B$7:$B$66,$A33))</x:f>
      </x:c>
      <x:c r="M33" s="84" t="str">
        <x:f>IF($A33="","",SUMIFS('排班配置輸入'!$F$7:$F$66,'排班配置輸入'!$B$7:$B$66,$A33,'排班配置輸入'!$G$7:$G$66,"是",'排班配置輸入'!$K$7:$K$66,"支援資格通過"))</x:f>
      </x:c>
      <x:c r="N33" s="84" t="str">
        <x:f>IF($A33="","",_xlfn.XLOOKUP($A33,'班次需求輸入'!$A$7:$A$36,'班次需求輸入'!$I$7:$I$36,0,0))</x:f>
      </x:c>
      <x:c r="O33" s="84" t="str">
        <x:f>IF($A33="","",COUNTIFS('排班配置輸入'!$B$7:$B$66,$A33,'排班配置輸入'!$E$7:$E$66,"短時支援"))</x:f>
      </x:c>
      <x:c r="P33" s="84" t="str">
        <x:f>IF($A33="","",SUMIFS('排班配置輸入'!$P$7:$P$66,'排班配置輸入'!$B$7:$B$66,$A33))</x:f>
      </x:c>
      <x:c r="Q33" s="84" t="str">
        <x:f>IF($A33="","",IF($X33="已取消","已取消",IF(OR($X33="範例",$X33="可進入排班"),$Y33,"班次建檔未完成")))</x:f>
      </x:c>
      <x:c r="R33" s="194" t="str">
        <x:f>IF($A33="","",_xlfn.XLOOKUP($A33,'班次需求輸入'!$A$7:$A$36,'班次需求輸入'!$K$7:$K$36,"",0))</x:f>
      </x:c>
      <x:c r="S33" s="189" t="str">
        <x:f>IF($A33="","",_xlfn.XLOOKUP($A33,'班次需求輸入'!$A$7:$A$36,'班次需求輸入'!$X$7:$X$36,"",0))</x:f>
      </x:c>
      <x:c r="T33" s="189" t="str">
        <x:f>IF($A33="","",_xlfn.XLOOKUP($A33,'班次需求輸入'!$A$7:$A$36,'班次需求輸入'!$T$7:$T$36,"",0))</x:f>
      </x:c>
      <x:c r="U33" s="189" t="str">
        <x:f>IF($A33="","",IF($R33="範例","範例，不發布",IF(AND(OR($T33="療程取消",$T33="病患取消"),$S33="確認完成"),"人力已釋出",IF($Q33&lt;&gt;"通過",$Q33,IF($S33&lt;&gt;"確認完成",$S33,"可發布")))))</x:f>
      </x:c>
      <x:c r="V33" s="315" t="str">
        <x:f>IF($A33="","",IF(COUNTIFS('排班例外核定'!$U$7:$U$106,$A33)&gt;0,"例外有效",IF(COUNTIFS('排班例外核定'!$B$7:$B$106,$A33)&gt;0,"例外申請未生效","無例外")))</x:f>
      </x:c>
      <x:c r="W33" s="315" t="str">
        <x:f>IF($A33="","",IF(OR($U33="可發布",$U33="人力已釋出",$U33="範例，不發布"),$U33,IF(AND($V33="例外有效",$Q33="正式資格未完成",$S33="確認完成",$R33&lt;&gt;"範例"),"例外核定可發布",$U33)))</x:f>
      </x:c>
      <x:c r="X33" s="533" t="str">
        <x:f>IF($A33="","",_xlfn.XLOOKUP($A33,'班次需求輸入'!$A$7:$A$36,'班次需求輸入'!$AD$7:$AD$36,"正式建檔未完成",0))</x:f>
      </x:c>
      <x:c r="Y33" s="533" t="str">
        <x:f>IF($A33="","",IF($G33="待確認","療程待確認",IF($I33&lt;$H33,"缺主跟診配置",IF($K33&lt;$H33,"正式資格未完成",IF($O33&lt;$N33,"缺短時支援",IF($M33&lt;$L33,"支援容量不足",IF($P33&gt;0,"人員時段衝突","通過")))))))</x:f>
      </x:c>
    </x:row>
    <x:row r="34">
      <x:c r="A34" s="80" t="str">
        <x:f>IF('班次需求輸入'!$A34="","",'班次需求輸入'!$A34)</x:f>
      </x:c>
      <x:c r="B34" s="85" t="str">
        <x:f>IF($A34="","",_xlfn.XLOOKUP($A34,'班次需求輸入'!$A$7:$A$36,'班次需求輸入'!$B$7:$B$36,"",0))</x:f>
      </x:c>
      <x:c r="C34" s="86" t="str">
        <x:f>IF($A34="","",_xlfn.XLOOKUP($A34,'班次需求輸入'!$A$7:$A$36,'班次需求輸入'!$C$7:$C$36,"",0))</x:f>
      </x:c>
      <x:c r="D34" s="86" t="str">
        <x:f>IF($A34="","",_xlfn.XLOOKUP($A34,'班次需求輸入'!$A$7:$A$36,'班次需求輸入'!$D$7:$D$36,"",0))</x:f>
      </x:c>
      <x:c r="E34" s="84" t="str">
        <x:f>IF($A34="","",_xlfn.XLOOKUP($A34,'班次需求輸入'!$A$7:$A$36,'班次需求輸入'!$F$7:$F$36,"",0))</x:f>
      </x:c>
      <x:c r="F34" s="84" t="str">
        <x:f>IF($E34="","",_xlfn.XLOOKUP($E34,'排班模式清單'!$A$7:$A$169,'排班模式清單'!$C$7:$C$169,"未建立",0))</x:f>
      </x:c>
      <x:c r="G34" s="84" t="str">
        <x:f>IF($A34="","",_xlfn.XLOOKUP($A34,'班次需求輸入'!$A$7:$A$36,'班次需求輸入'!$G$7:$G$36,"",0))</x:f>
      </x:c>
      <x:c r="H34" s="84" t="str">
        <x:f>IF($A34="","",_xlfn.XLOOKUP($A34,'班次需求輸入'!$A$7:$A$36,'班次需求輸入'!$H$7:$H$36,"",0))</x:f>
      </x:c>
      <x:c r="I34" s="84" t="str">
        <x:f>IF($A34="","",COUNTIFS('排班配置輸入'!$B$7:$B$66,$A34,'排班配置輸入'!$E$7:$E$66,"主跟診"))</x:f>
      </x:c>
      <x:c r="J34" s="84" t="str">
        <x:f>IF($A34="","",COUNTIFS('排班配置輸入'!$B$7:$B$66,$A34,'排班配置輸入'!$E$7:$E$66,"主跟診",'排班配置輸入'!$I$7:$I$66,"&lt;&gt;不可正式排"))</x:f>
      </x:c>
      <x:c r="K34" s="84" t="str">
        <x:f>IF($A34="","",COUNTIFS('排班配置輸入'!$B$7:$B$66,$A34,'排班配置輸入'!$E$7:$E$66,"主跟診",'排班配置輸入'!$J$7:$J$66,"初步可獨立")+COUNTIFS('排班配置輸入'!$B$7:$B$66,$A34,'排班配置輸入'!$E$7:$E$66,"主跟診",'排班配置輸入'!$J$7:$J$66,"初步可條件排"))</x:f>
      </x:c>
      <x:c r="L34" s="84" t="str">
        <x:f>IF($A34="","",SUMIFS('排班配置輸入'!$L$7:$L$66,'排班配置輸入'!$B$7:$B$66,$A34))</x:f>
      </x:c>
      <x:c r="M34" s="84" t="str">
        <x:f>IF($A34="","",SUMIFS('排班配置輸入'!$F$7:$F$66,'排班配置輸入'!$B$7:$B$66,$A34,'排班配置輸入'!$G$7:$G$66,"是",'排班配置輸入'!$K$7:$K$66,"支援資格通過"))</x:f>
      </x:c>
      <x:c r="N34" s="84" t="str">
        <x:f>IF($A34="","",_xlfn.XLOOKUP($A34,'班次需求輸入'!$A$7:$A$36,'班次需求輸入'!$I$7:$I$36,0,0))</x:f>
      </x:c>
      <x:c r="O34" s="84" t="str">
        <x:f>IF($A34="","",COUNTIFS('排班配置輸入'!$B$7:$B$66,$A34,'排班配置輸入'!$E$7:$E$66,"短時支援"))</x:f>
      </x:c>
      <x:c r="P34" s="84" t="str">
        <x:f>IF($A34="","",SUMIFS('排班配置輸入'!$P$7:$P$66,'排班配置輸入'!$B$7:$B$66,$A34))</x:f>
      </x:c>
      <x:c r="Q34" s="84" t="str">
        <x:f>IF($A34="","",IF($X34="已取消","已取消",IF(OR($X34="範例",$X34="可進入排班"),$Y34,"班次建檔未完成")))</x:f>
      </x:c>
      <x:c r="R34" s="194" t="str">
        <x:f>IF($A34="","",_xlfn.XLOOKUP($A34,'班次需求輸入'!$A$7:$A$36,'班次需求輸入'!$K$7:$K$36,"",0))</x:f>
      </x:c>
      <x:c r="S34" s="189" t="str">
        <x:f>IF($A34="","",_xlfn.XLOOKUP($A34,'班次需求輸入'!$A$7:$A$36,'班次需求輸入'!$X$7:$X$36,"",0))</x:f>
      </x:c>
      <x:c r="T34" s="189" t="str">
        <x:f>IF($A34="","",_xlfn.XLOOKUP($A34,'班次需求輸入'!$A$7:$A$36,'班次需求輸入'!$T$7:$T$36,"",0))</x:f>
      </x:c>
      <x:c r="U34" s="189" t="str">
        <x:f>IF($A34="","",IF($R34="範例","範例，不發布",IF(AND(OR($T34="療程取消",$T34="病患取消"),$S34="確認完成"),"人力已釋出",IF($Q34&lt;&gt;"通過",$Q34,IF($S34&lt;&gt;"確認完成",$S34,"可發布")))))</x:f>
      </x:c>
      <x:c r="V34" s="315" t="str">
        <x:f>IF($A34="","",IF(COUNTIFS('排班例外核定'!$U$7:$U$106,$A34)&gt;0,"例外有效",IF(COUNTIFS('排班例外核定'!$B$7:$B$106,$A34)&gt;0,"例外申請未生效","無例外")))</x:f>
      </x:c>
      <x:c r="W34" s="315" t="str">
        <x:f>IF($A34="","",IF(OR($U34="可發布",$U34="人力已釋出",$U34="範例，不發布"),$U34,IF(AND($V34="例外有效",$Q34="正式資格未完成",$S34="確認完成",$R34&lt;&gt;"範例"),"例外核定可發布",$U34)))</x:f>
      </x:c>
      <x:c r="X34" s="533" t="str">
        <x:f>IF($A34="","",_xlfn.XLOOKUP($A34,'班次需求輸入'!$A$7:$A$36,'班次需求輸入'!$AD$7:$AD$36,"正式建檔未完成",0))</x:f>
      </x:c>
      <x:c r="Y34" s="533" t="str">
        <x:f>IF($A34="","",IF($G34="待確認","療程待確認",IF($I34&lt;$H34,"缺主跟診配置",IF($K34&lt;$H34,"正式資格未完成",IF($O34&lt;$N34,"缺短時支援",IF($M34&lt;$L34,"支援容量不足",IF($P34&gt;0,"人員時段衝突","通過")))))))</x:f>
      </x:c>
    </x:row>
    <x:row r="35">
      <x:c r="A35" s="80" t="str">
        <x:f>IF('班次需求輸入'!$A35="","",'班次需求輸入'!$A35)</x:f>
      </x:c>
      <x:c r="B35" s="85" t="str">
        <x:f>IF($A35="","",_xlfn.XLOOKUP($A35,'班次需求輸入'!$A$7:$A$36,'班次需求輸入'!$B$7:$B$36,"",0))</x:f>
      </x:c>
      <x:c r="C35" s="86" t="str">
        <x:f>IF($A35="","",_xlfn.XLOOKUP($A35,'班次需求輸入'!$A$7:$A$36,'班次需求輸入'!$C$7:$C$36,"",0))</x:f>
      </x:c>
      <x:c r="D35" s="86" t="str">
        <x:f>IF($A35="","",_xlfn.XLOOKUP($A35,'班次需求輸入'!$A$7:$A$36,'班次需求輸入'!$D$7:$D$36,"",0))</x:f>
      </x:c>
      <x:c r="E35" s="84" t="str">
        <x:f>IF($A35="","",_xlfn.XLOOKUP($A35,'班次需求輸入'!$A$7:$A$36,'班次需求輸入'!$F$7:$F$36,"",0))</x:f>
      </x:c>
      <x:c r="F35" s="84" t="str">
        <x:f>IF($E35="","",_xlfn.XLOOKUP($E35,'排班模式清單'!$A$7:$A$169,'排班模式清單'!$C$7:$C$169,"未建立",0))</x:f>
      </x:c>
      <x:c r="G35" s="84" t="str">
        <x:f>IF($A35="","",_xlfn.XLOOKUP($A35,'班次需求輸入'!$A$7:$A$36,'班次需求輸入'!$G$7:$G$36,"",0))</x:f>
      </x:c>
      <x:c r="H35" s="84" t="str">
        <x:f>IF($A35="","",_xlfn.XLOOKUP($A35,'班次需求輸入'!$A$7:$A$36,'班次需求輸入'!$H$7:$H$36,"",0))</x:f>
      </x:c>
      <x:c r="I35" s="84" t="str">
        <x:f>IF($A35="","",COUNTIFS('排班配置輸入'!$B$7:$B$66,$A35,'排班配置輸入'!$E$7:$E$66,"主跟診"))</x:f>
      </x:c>
      <x:c r="J35" s="84" t="str">
        <x:f>IF($A35="","",COUNTIFS('排班配置輸入'!$B$7:$B$66,$A35,'排班配置輸入'!$E$7:$E$66,"主跟診",'排班配置輸入'!$I$7:$I$66,"&lt;&gt;不可正式排"))</x:f>
      </x:c>
      <x:c r="K35" s="84" t="str">
        <x:f>IF($A35="","",COUNTIFS('排班配置輸入'!$B$7:$B$66,$A35,'排班配置輸入'!$E$7:$E$66,"主跟診",'排班配置輸入'!$J$7:$J$66,"初步可獨立")+COUNTIFS('排班配置輸入'!$B$7:$B$66,$A35,'排班配置輸入'!$E$7:$E$66,"主跟診",'排班配置輸入'!$J$7:$J$66,"初步可條件排"))</x:f>
      </x:c>
      <x:c r="L35" s="84" t="str">
        <x:f>IF($A35="","",SUMIFS('排班配置輸入'!$L$7:$L$66,'排班配置輸入'!$B$7:$B$66,$A35))</x:f>
      </x:c>
      <x:c r="M35" s="84" t="str">
        <x:f>IF($A35="","",SUMIFS('排班配置輸入'!$F$7:$F$66,'排班配置輸入'!$B$7:$B$66,$A35,'排班配置輸入'!$G$7:$G$66,"是",'排班配置輸入'!$K$7:$K$66,"支援資格通過"))</x:f>
      </x:c>
      <x:c r="N35" s="84" t="str">
        <x:f>IF($A35="","",_xlfn.XLOOKUP($A35,'班次需求輸入'!$A$7:$A$36,'班次需求輸入'!$I$7:$I$36,0,0))</x:f>
      </x:c>
      <x:c r="O35" s="84" t="str">
        <x:f>IF($A35="","",COUNTIFS('排班配置輸入'!$B$7:$B$66,$A35,'排班配置輸入'!$E$7:$E$66,"短時支援"))</x:f>
      </x:c>
      <x:c r="P35" s="84" t="str">
        <x:f>IF($A35="","",SUMIFS('排班配置輸入'!$P$7:$P$66,'排班配置輸入'!$B$7:$B$66,$A35))</x:f>
      </x:c>
      <x:c r="Q35" s="84" t="str">
        <x:f>IF($A35="","",IF($X35="已取消","已取消",IF(OR($X35="範例",$X35="可進入排班"),$Y35,"班次建檔未完成")))</x:f>
      </x:c>
      <x:c r="R35" s="194" t="str">
        <x:f>IF($A35="","",_xlfn.XLOOKUP($A35,'班次需求輸入'!$A$7:$A$36,'班次需求輸入'!$K$7:$K$36,"",0))</x:f>
      </x:c>
      <x:c r="S35" s="189" t="str">
        <x:f>IF($A35="","",_xlfn.XLOOKUP($A35,'班次需求輸入'!$A$7:$A$36,'班次需求輸入'!$X$7:$X$36,"",0))</x:f>
      </x:c>
      <x:c r="T35" s="189" t="str">
        <x:f>IF($A35="","",_xlfn.XLOOKUP($A35,'班次需求輸入'!$A$7:$A$36,'班次需求輸入'!$T$7:$T$36,"",0))</x:f>
      </x:c>
      <x:c r="U35" s="189" t="str">
        <x:f>IF($A35="","",IF($R35="範例","範例，不發布",IF(AND(OR($T35="療程取消",$T35="病患取消"),$S35="確認完成"),"人力已釋出",IF($Q35&lt;&gt;"通過",$Q35,IF($S35&lt;&gt;"確認完成",$S35,"可發布")))))</x:f>
      </x:c>
      <x:c r="V35" s="315" t="str">
        <x:f>IF($A35="","",IF(COUNTIFS('排班例外核定'!$U$7:$U$106,$A35)&gt;0,"例外有效",IF(COUNTIFS('排班例外核定'!$B$7:$B$106,$A35)&gt;0,"例外申請未生效","無例外")))</x:f>
      </x:c>
      <x:c r="W35" s="315" t="str">
        <x:f>IF($A35="","",IF(OR($U35="可發布",$U35="人力已釋出",$U35="範例，不發布"),$U35,IF(AND($V35="例外有效",$Q35="正式資格未完成",$S35="確認完成",$R35&lt;&gt;"範例"),"例外核定可發布",$U35)))</x:f>
      </x:c>
      <x:c r="X35" s="533" t="str">
        <x:f>IF($A35="","",_xlfn.XLOOKUP($A35,'班次需求輸入'!$A$7:$A$36,'班次需求輸入'!$AD$7:$AD$36,"正式建檔未完成",0))</x:f>
      </x:c>
      <x:c r="Y35" s="533" t="str">
        <x:f>IF($A35="","",IF($G35="待確認","療程待確認",IF($I35&lt;$H35,"缺主跟診配置",IF($K35&lt;$H35,"正式資格未完成",IF($O35&lt;$N35,"缺短時支援",IF($M35&lt;$L35,"支援容量不足",IF($P35&gt;0,"人員時段衝突","通過")))))))</x:f>
      </x:c>
    </x:row>
    <x:row r="36">
      <x:c r="A36" s="80" t="str">
        <x:f>IF('班次需求輸入'!$A36="","",'班次需求輸入'!$A36)</x:f>
      </x:c>
      <x:c r="B36" s="85" t="str">
        <x:f>IF($A36="","",_xlfn.XLOOKUP($A36,'班次需求輸入'!$A$7:$A$36,'班次需求輸入'!$B$7:$B$36,"",0))</x:f>
      </x:c>
      <x:c r="C36" s="86" t="str">
        <x:f>IF($A36="","",_xlfn.XLOOKUP($A36,'班次需求輸入'!$A$7:$A$36,'班次需求輸入'!$C$7:$C$36,"",0))</x:f>
      </x:c>
      <x:c r="D36" s="86" t="str">
        <x:f>IF($A36="","",_xlfn.XLOOKUP($A36,'班次需求輸入'!$A$7:$A$36,'班次需求輸入'!$D$7:$D$36,"",0))</x:f>
      </x:c>
      <x:c r="E36" s="84" t="str">
        <x:f>IF($A36="","",_xlfn.XLOOKUP($A36,'班次需求輸入'!$A$7:$A$36,'班次需求輸入'!$F$7:$F$36,"",0))</x:f>
      </x:c>
      <x:c r="F36" s="84" t="str">
        <x:f>IF($E36="","",_xlfn.XLOOKUP($E36,'排班模式清單'!$A$7:$A$169,'排班模式清單'!$C$7:$C$169,"未建立",0))</x:f>
      </x:c>
      <x:c r="G36" s="84" t="str">
        <x:f>IF($A36="","",_xlfn.XLOOKUP($A36,'班次需求輸入'!$A$7:$A$36,'班次需求輸入'!$G$7:$G$36,"",0))</x:f>
      </x:c>
      <x:c r="H36" s="84" t="str">
        <x:f>IF($A36="","",_xlfn.XLOOKUP($A36,'班次需求輸入'!$A$7:$A$36,'班次需求輸入'!$H$7:$H$36,"",0))</x:f>
      </x:c>
      <x:c r="I36" s="84" t="str">
        <x:f>IF($A36="","",COUNTIFS('排班配置輸入'!$B$7:$B$66,$A36,'排班配置輸入'!$E$7:$E$66,"主跟診"))</x:f>
      </x:c>
      <x:c r="J36" s="84" t="str">
        <x:f>IF($A36="","",COUNTIFS('排班配置輸入'!$B$7:$B$66,$A36,'排班配置輸入'!$E$7:$E$66,"主跟診",'排班配置輸入'!$I$7:$I$66,"&lt;&gt;不可正式排"))</x:f>
      </x:c>
      <x:c r="K36" s="84" t="str">
        <x:f>IF($A36="","",COUNTIFS('排班配置輸入'!$B$7:$B$66,$A36,'排班配置輸入'!$E$7:$E$66,"主跟診",'排班配置輸入'!$J$7:$J$66,"初步可獨立")+COUNTIFS('排班配置輸入'!$B$7:$B$66,$A36,'排班配置輸入'!$E$7:$E$66,"主跟診",'排班配置輸入'!$J$7:$J$66,"初步可條件排"))</x:f>
      </x:c>
      <x:c r="L36" s="84" t="str">
        <x:f>IF($A36="","",SUMIFS('排班配置輸入'!$L$7:$L$66,'排班配置輸入'!$B$7:$B$66,$A36))</x:f>
      </x:c>
      <x:c r="M36" s="84" t="str">
        <x:f>IF($A36="","",SUMIFS('排班配置輸入'!$F$7:$F$66,'排班配置輸入'!$B$7:$B$66,$A36,'排班配置輸入'!$G$7:$G$66,"是",'排班配置輸入'!$K$7:$K$66,"支援資格通過"))</x:f>
      </x:c>
      <x:c r="N36" s="84" t="str">
        <x:f>IF($A36="","",_xlfn.XLOOKUP($A36,'班次需求輸入'!$A$7:$A$36,'班次需求輸入'!$I$7:$I$36,0,0))</x:f>
      </x:c>
      <x:c r="O36" s="84" t="str">
        <x:f>IF($A36="","",COUNTIFS('排班配置輸入'!$B$7:$B$66,$A36,'排班配置輸入'!$E$7:$E$66,"短時支援"))</x:f>
      </x:c>
      <x:c r="P36" s="84" t="str">
        <x:f>IF($A36="","",SUMIFS('排班配置輸入'!$P$7:$P$66,'排班配置輸入'!$B$7:$B$66,$A36))</x:f>
      </x:c>
      <x:c r="Q36" s="84" t="str">
        <x:f>IF($A36="","",IF($X36="已取消","已取消",IF(OR($X36="範例",$X36="可進入排班"),$Y36,"班次建檔未完成")))</x:f>
      </x:c>
      <x:c r="R36" s="194" t="str">
        <x:f>IF($A36="","",_xlfn.XLOOKUP($A36,'班次需求輸入'!$A$7:$A$36,'班次需求輸入'!$K$7:$K$36,"",0))</x:f>
      </x:c>
      <x:c r="S36" s="189" t="str">
        <x:f>IF($A36="","",_xlfn.XLOOKUP($A36,'班次需求輸入'!$A$7:$A$36,'班次需求輸入'!$X$7:$X$36,"",0))</x:f>
      </x:c>
      <x:c r="T36" s="189" t="str">
        <x:f>IF($A36="","",_xlfn.XLOOKUP($A36,'班次需求輸入'!$A$7:$A$36,'班次需求輸入'!$T$7:$T$36,"",0))</x:f>
      </x:c>
      <x:c r="U36" s="189" t="str">
        <x:f>IF($A36="","",IF($R36="範例","範例，不發布",IF(AND(OR($T36="療程取消",$T36="病患取消"),$S36="確認完成"),"人力已釋出",IF($Q36&lt;&gt;"通過",$Q36,IF($S36&lt;&gt;"確認完成",$S36,"可發布")))))</x:f>
      </x:c>
      <x:c r="V36" s="315" t="str">
        <x:f>IF($A36="","",IF(COUNTIFS('排班例外核定'!$U$7:$U$106,$A36)&gt;0,"例外有效",IF(COUNTIFS('排班例外核定'!$B$7:$B$106,$A36)&gt;0,"例外申請未生效","無例外")))</x:f>
      </x:c>
      <x:c r="W36" s="315" t="str">
        <x:f>IF($A36="","",IF(OR($U36="可發布",$U36="人力已釋出",$U36="範例，不發布"),$U36,IF(AND($V36="例外有效",$Q36="正式資格未完成",$S36="確認完成",$R36&lt;&gt;"範例"),"例外核定可發布",$U36)))</x:f>
      </x:c>
      <x:c r="X36" s="533" t="str">
        <x:f>IF($A36="","",_xlfn.XLOOKUP($A36,'班次需求輸入'!$A$7:$A$36,'班次需求輸入'!$AD$7:$AD$36,"正式建檔未完成",0))</x:f>
      </x:c>
      <x:c r="Y36" s="533" t="str">
        <x:f>IF($A36="","",IF($G36="待確認","療程待確認",IF($I36&lt;$H36,"缺主跟診配置",IF($K36&lt;$H36,"正式資格未完成",IF($O36&lt;$N36,"缺短時支援",IF($M36&lt;$L36,"支援容量不足",IF($P36&gt;0,"人員時段衝突","通過")))))))</x:f>
      </x:c>
    </x:row>
  </x:sheetData>
  <x:conditionalFormatting sqref="Q7:Q36">
    <x:cfRule type="containsText" dxfId="12" priority="1" operator="containsText" text="通過"/>
    <x:cfRule type="containsText" dxfId="13" priority="2" operator="containsText" text="缺"/>
    <x:cfRule type="containsText" dxfId="14" priority="3" operator="containsText" text="未完成"/>
    <x:cfRule type="containsText" dxfId="141" priority="8" operator="containsText" text="建檔"/>
    <x:cfRule type="containsText" dxfId="148" priority="9" operator="containsText" text="建檔"/>
    <x:cfRule type="containsText" dxfId="155" priority="10" operator="containsText" text="建檔"/>
    <x:cfRule type="containsText" dxfId="162" priority="11" operator="containsText" text="建檔"/>
    <x:cfRule type="containsText" dxfId="169" priority="12" operator="containsText" text="建檔"/>
  </x:conditionalFormatting>
  <x:conditionalFormatting sqref="U7:U36">
    <x:cfRule type="containsText" dxfId="34" priority="4" operator="containsText" text="待"/>
    <x:cfRule type="containsText" dxfId="35" priority="5" operator="containsText" text="缺"/>
    <x:cfRule type="containsText" dxfId="36" priority="6" operator="containsText" text="衝突"/>
  </x:conditionalFormatting>
  <x:conditionalFormatting sqref="W7:W36">
    <x:cfRule type="containsText" dxfId="81" priority="7" operator="containsText" text="可發布"/>
  </x:conditionalFormatting>
  <x:pageMargins left="0.7" right="0.7" top="0.75" bottom="0.75" header="0.3" footer="0.3"/>
  <x:tableParts count="2">
    <x:tablePart xmlns:r="http://schemas.openxmlformats.org/officeDocument/2006/relationships" r:id="R5afb317593a74e25"/>
    <x:tablePart xmlns:r="http://schemas.openxmlformats.org/officeDocument/2006/relationships" r:id="R9f39f46ef5a244fc"/>
  </x:tableParts>
</x:worksheet>
</file>

<file path=xl/worksheets/sheet20.xml><?xml version="1.0" encoding="utf-8"?>
<x:worksheet xmlns:x="http://schemas.openxmlformats.org/spreadsheetml/2006/main">
  <x:sheetPr>
    <x:tabColor rgb="FF1F5E78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20" hidden="0" customWidth="1"/>
    <x:col min="7" max="7" width="16" hidden="0" customWidth="1"/>
    <x:col min="8" max="8" width="14" hidden="0" customWidth="1"/>
    <x:col min="9" max="9" width="16" hidden="0" customWidth="1"/>
    <x:col min="10" max="10" width="42" hidden="0" customWidth="1"/>
    <x:col min="11" max="11" width="18" hidden="0" customWidth="1"/>
  </x:cols>
  <x:sheetData>
    <x:row r="2">
      <x:c r="A2" s="74" t="str">
        <x:v>主管核定中心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>
      <x:c r="A4" s="75" t="str">
        <x:v>逐筆核定能力、跟診熟悉度、共通技能要求與資格。黃色欄位由主管填寫；核定後會回寫排班適配與班次檢核。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</x:row>
    <x:row r="6">
      <x:c r="A6" s="89" t="str">
        <x:v>待核定總數</x:v>
      </x:c>
      <x:c r="B6" s="89" t="str">
        <x:v>能力評等</x:v>
      </x:c>
      <x:c r="C6" s="89" t="str">
        <x:v>跟診熟悉度</x:v>
      </x:c>
      <x:c r="D6" s="89" t="str">
        <x:v>共通技能要求</x:v>
      </x:c>
      <x:c r="E6" s="89" t="str">
        <x:v>資格有效性</x:v>
      </x:c>
      <x:c r="F6" s="89" t="str">
        <x:v>已核定</x:v>
      </x:c>
      <x:c r="G6" s="89" t="str">
        <x:v>退回／暫停</x:v>
      </x:c>
      <x:c r="H6" s="89" t="str">
        <x:v>完成率</x:v>
      </x:c>
    </x:row>
    <x:row r="7">
      <x:c r="A7" s="92" t="n">
        <x:f>COUNTIFS($G$12:$G$372,"待核定")</x:f>
        <x:v>361</x:v>
      </x:c>
      <x:c r="B7" s="92" t="n">
        <x:f>COUNTIFS($B$12:$B$372,"能力評等",$G$12:$G$372,"待核定")</x:f>
        <x:v>252</x:v>
      </x:c>
      <x:c r="C7" s="92" t="n">
        <x:f>COUNTIFS($B$12:$B$372,"跟診熟悉度",$G$12:$G$372,"待核定")</x:f>
        <x:v>14</x:v>
      </x:c>
      <x:c r="D7" s="92" t="n">
        <x:f>COUNTIFS($B$12:$B$372,"共通技能要求",$G$12:$G$372,"待核定")</x:f>
        <x:v>39</x:v>
      </x:c>
      <x:c r="E7" s="92" t="n">
        <x:f>COUNTIFS($B$12:$B$372,"資格有效性",$G$12:$G$372,"待核定")</x:f>
        <x:v>56</x:v>
      </x:c>
      <x:c r="F7" s="92" t="n">
        <x:f>COUNTIFS($G$12:$G$372,"核定通過")</x:f>
        <x:v>0</x:v>
      </x:c>
      <x:c r="G7" s="92" t="n">
        <x:f>COUNTIFS($G$12:$G$372,"退回補件")+COUNTIFS($G$12:$G$372,"暫停")</x:f>
        <x:v>0</x:v>
      </x:c>
      <x:c r="H7" s="93" t="n">
        <x:f>IF(COUNTA($A$12:$A$372)=0,0,1-A7/COUNTA($A$12:$A$372))</x:f>
        <x:v>0</x:v>
      </x:c>
    </x:row>
    <x:row r="11">
      <x:c r="A11" s="96" t="str">
        <x:v>核定鍵</x:v>
      </x:c>
      <x:c r="B11" s="96" t="str">
        <x:v>核定類型</x:v>
      </x:c>
      <x:c r="C11" s="96" t="str">
        <x:v>員工／治療</x:v>
      </x:c>
      <x:c r="D11" s="96" t="str">
        <x:v>核定對象</x:v>
      </x:c>
      <x:c r="E11" s="96" t="str">
        <x:v>目前狀態</x:v>
      </x:c>
      <x:c r="F11" s="96" t="str">
        <x:v>建議內容</x:v>
      </x:c>
      <x:c r="G11" s="96" t="str">
        <x:v>主管決定</x:v>
      </x:c>
      <x:c r="H11" s="96" t="str">
        <x:v>生效日</x:v>
      </x:c>
      <x:c r="I11" s="96" t="str">
        <x:v>核定人</x:v>
      </x:c>
      <x:c r="J11" s="96" t="str">
        <x:v>核定備註</x:v>
      </x:c>
      <x:c r="K11" s="96" t="str">
        <x:v>核定結果</x:v>
      </x:c>
    </x:row>
    <x:row r="12">
      <x:c r="A12" s="79" t="str">
        <x:v>ABIL|1001|LJT-PREP-SCALING</x:v>
      </x:c>
      <x:c r="B12" s="79" t="str">
        <x:v>能力評等</x:v>
      </x:c>
      <x:c r="C12" s="79" t="str"/>
      <x:c r="D12" s="79" t="str">
        <x:v>LJT-PREP-SCALING</x:v>
      </x:c>
      <x:c r="E12" s="79" t="str">
        <x:v>◎</x:v>
      </x:c>
      <x:c r="F12" s="79" t="str">
        <x:v>◎</x:v>
      </x:c>
      <x:c r="G12" s="97" t="str">
        <x:v>待核定</x:v>
      </x:c>
      <x:c r="H12" s="99"/>
      <x:c r="I12" s="97"/>
      <x:c r="J12" s="97"/>
      <x:c r="K12" s="98" t="str">
        <x:f>IF($G12="核定通過","已核定",IF($G12="不納入","不納入",IF($G12="退回補件","退回補件",IF($G12="暫停","資格暫停","待主管核定"))))</x:f>
        <x:v>待主管核定</x:v>
      </x:c>
    </x:row>
    <x:row r="13">
      <x:c r="A13" s="79" t="str">
        <x:v>ABIL|1001|LJT-PREP-FILLING</x:v>
      </x:c>
      <x:c r="B13" s="79" t="str">
        <x:v>能力評等</x:v>
      </x:c>
      <x:c r="C13" s="79" t="str"/>
      <x:c r="D13" s="79" t="str">
        <x:v>LJT-PREP-FILLING</x:v>
      </x:c>
      <x:c r="E13" s="79" t="str">
        <x:v>◎</x:v>
      </x:c>
      <x:c r="F13" s="79" t="str">
        <x:v>◎</x:v>
      </x:c>
      <x:c r="G13" s="97" t="str">
        <x:v>待核定</x:v>
      </x:c>
      <x:c r="H13" s="99"/>
      <x:c r="I13" s="97"/>
      <x:c r="J13" s="97"/>
      <x:c r="K13" s="98" t="str">
        <x:f>IF($G13="核定通過","已核定",IF($G13="不納入","不納入",IF($G13="退回補件","退回補件",IF($G13="暫停","資格暫停","待主管核定"))))</x:f>
        <x:v>待主管核定</x:v>
      </x:c>
    </x:row>
    <x:row r="14">
      <x:c r="A14" s="79" t="str">
        <x:v>ABIL|1001|LJT-PREP-PERIO</x:v>
      </x:c>
      <x:c r="B14" s="79" t="str">
        <x:v>能力評等</x:v>
      </x:c>
      <x:c r="C14" s="79" t="str"/>
      <x:c r="D14" s="79" t="str">
        <x:v>LJT-PREP-PERIO</x:v>
      </x:c>
      <x:c r="E14" s="79" t="str">
        <x:v>◎</x:v>
      </x:c>
      <x:c r="F14" s="79" t="str">
        <x:v>◎</x:v>
      </x:c>
      <x:c r="G14" s="97" t="str">
        <x:v>待核定</x:v>
      </x:c>
      <x:c r="H14" s="99"/>
      <x:c r="I14" s="97"/>
      <x:c r="J14" s="97"/>
      <x:c r="K14" s="98" t="str">
        <x:f>IF($G14="核定通過","已核定",IF($G14="不納入","不納入",IF($G14="退回補件","退回補件",IF($G14="暫停","資格暫停","待主管核定"))))</x:f>
        <x:v>待主管核定</x:v>
      </x:c>
    </x:row>
    <x:row r="15">
      <x:c r="A15" s="79" t="str">
        <x:v>ABIL|1001|LJT-PREP-RCT</x:v>
      </x:c>
      <x:c r="B15" s="79" t="str">
        <x:v>能力評等</x:v>
      </x:c>
      <x:c r="C15" s="79" t="str"/>
      <x:c r="D15" s="79" t="str">
        <x:v>LJT-PREP-RCT</x:v>
      </x:c>
      <x:c r="E15" s="79" t="str">
        <x:v>◎</x:v>
      </x:c>
      <x:c r="F15" s="79" t="str">
        <x:v>◎</x:v>
      </x:c>
      <x:c r="G15" s="97" t="str">
        <x:v>待核定</x:v>
      </x:c>
      <x:c r="H15" s="99"/>
      <x:c r="I15" s="97"/>
      <x:c r="J15" s="97"/>
      <x:c r="K15" s="98" t="str">
        <x:f>IF($G15="核定通過","已核定",IF($G15="不納入","不納入",IF($G15="退回補件","退回補件",IF($G15="暫停","資格暫停","待主管核定"))))</x:f>
        <x:v>待主管核定</x:v>
      </x:c>
    </x:row>
    <x:row r="16">
      <x:c r="A16" s="79" t="str">
        <x:v>ABIL|1001|LJT-PREP-EXTRACTION</x:v>
      </x:c>
      <x:c r="B16" s="79" t="str">
        <x:v>能力評等</x:v>
      </x:c>
      <x:c r="C16" s="79" t="str"/>
      <x:c r="D16" s="79" t="str">
        <x:v>LJT-PREP-EXTRACTION</x:v>
      </x:c>
      <x:c r="E16" s="79" t="str">
        <x:v>◎</x:v>
      </x:c>
      <x:c r="F16" s="79" t="str">
        <x:v>◎</x:v>
      </x:c>
      <x:c r="G16" s="97" t="str">
        <x:v>待核定</x:v>
      </x:c>
      <x:c r="H16" s="99"/>
      <x:c r="I16" s="97"/>
      <x:c r="J16" s="97"/>
      <x:c r="K16" s="98" t="str">
        <x:f>IF($G16="核定通過","已核定",IF($G16="不納入","不納入",IF($G16="退回補件","退回補件",IF($G16="暫停","資格暫停","待主管核定"))))</x:f>
        <x:v>待主管核定</x:v>
      </x:c>
    </x:row>
    <x:row r="17">
      <x:c r="A17" s="79" t="str">
        <x:v>ABIL|1001|LJT-PREP-CROWNPOST</x:v>
      </x:c>
      <x:c r="B17" s="79" t="str">
        <x:v>能力評等</x:v>
      </x:c>
      <x:c r="C17" s="79" t="str"/>
      <x:c r="D17" s="79" t="str">
        <x:v>LJT-PREP-CROWNPOST</x:v>
      </x:c>
      <x:c r="E17" s="79" t="str">
        <x:v>◎</x:v>
      </x:c>
      <x:c r="F17" s="79" t="str">
        <x:v>◎</x:v>
      </x:c>
      <x:c r="G17" s="97" t="str">
        <x:v>待核定</x:v>
      </x:c>
      <x:c r="H17" s="99"/>
      <x:c r="I17" s="97"/>
      <x:c r="J17" s="97"/>
      <x:c r="K17" s="98" t="str">
        <x:f>IF($G17="核定通過","已核定",IF($G17="不納入","不納入",IF($G17="退回補件","退回補件",IF($G17="暫停","資格暫停","待主管核定"))))</x:f>
        <x:v>待主管核定</x:v>
      </x:c>
    </x:row>
    <x:row r="18">
      <x:c r="A18" s="79" t="str">
        <x:v>ABIL|1001|LJT-PREP-CROWN</x:v>
      </x:c>
      <x:c r="B18" s="79" t="str">
        <x:v>能力評等</x:v>
      </x:c>
      <x:c r="C18" s="79" t="str"/>
      <x:c r="D18" s="79" t="str">
        <x:v>LJT-PREP-CROWN</x:v>
      </x:c>
      <x:c r="E18" s="79" t="str">
        <x:v>◎</x:v>
      </x:c>
      <x:c r="F18" s="79" t="str">
        <x:v>◎</x:v>
      </x:c>
      <x:c r="G18" s="97" t="str">
        <x:v>待核定</x:v>
      </x:c>
      <x:c r="H18" s="99"/>
      <x:c r="I18" s="97"/>
      <x:c r="J18" s="97"/>
      <x:c r="K18" s="98" t="str">
        <x:f>IF($G18="核定通過","已核定",IF($G18="不納入","不納入",IF($G18="退回補件","退回補件",IF($G18="暫停","資格暫停","待主管核定"))))</x:f>
        <x:v>待主管核定</x:v>
      </x:c>
    </x:row>
    <x:row r="19">
      <x:c r="A19" s="79" t="str">
        <x:v>ABIL|1001|LJT-PREP-RPD</x:v>
      </x:c>
      <x:c r="B19" s="79" t="str">
        <x:v>能力評等</x:v>
      </x:c>
      <x:c r="C19" s="79" t="str"/>
      <x:c r="D19" s="79" t="str">
        <x:v>LJT-PREP-RPD</x:v>
      </x:c>
      <x:c r="E19" s="79" t="str">
        <x:v>◎</x:v>
      </x:c>
      <x:c r="F19" s="79" t="str">
        <x:v>◎</x:v>
      </x:c>
      <x:c r="G19" s="97" t="str">
        <x:v>待核定</x:v>
      </x:c>
      <x:c r="H19" s="99"/>
      <x:c r="I19" s="97"/>
      <x:c r="J19" s="97"/>
      <x:c r="K19" s="98" t="str">
        <x:f>IF($G19="核定通過","已核定",IF($G19="不納入","不納入",IF($G19="退回補件","退回補件",IF($G19="暫停","資格暫停","待主管核定"))))</x:f>
        <x:v>待主管核定</x:v>
      </x:c>
    </x:row>
    <x:row r="20">
      <x:c r="A20" s="79" t="str">
        <x:v>ABIL|1001|LJT-PREP-AIRPOLISH</x:v>
      </x:c>
      <x:c r="B20" s="79" t="str">
        <x:v>能力評等</x:v>
      </x:c>
      <x:c r="C20" s="79" t="str"/>
      <x:c r="D20" s="79" t="str">
        <x:v>LJT-PREP-AIRPOLISH</x:v>
      </x:c>
      <x:c r="E20" s="79" t="str">
        <x:v>◎</x:v>
      </x:c>
      <x:c r="F20" s="79" t="str">
        <x:v>◎</x:v>
      </x:c>
      <x:c r="G20" s="97" t="str">
        <x:v>待核定</x:v>
      </x:c>
      <x:c r="H20" s="99"/>
      <x:c r="I20" s="97"/>
      <x:c r="J20" s="97"/>
      <x:c r="K20" s="98" t="str">
        <x:f>IF($G20="核定通過","已核定",IF($G20="不納入","不納入",IF($G20="退回補件","退回補件",IF($G20="暫停","資格暫停","待主管核定"))))</x:f>
        <x:v>待主管核定</x:v>
      </x:c>
    </x:row>
    <x:row r="21">
      <x:c r="A21" s="79" t="str">
        <x:v>ABIL|1001|LJT-PREP-PERIOSURG</x:v>
      </x:c>
      <x:c r="B21" s="79" t="str">
        <x:v>能力評等</x:v>
      </x:c>
      <x:c r="C21" s="79" t="str"/>
      <x:c r="D21" s="79" t="str">
        <x:v>LJT-PREP-PERIOSURG</x:v>
      </x:c>
      <x:c r="E21" s="79" t="str">
        <x:v>◎</x:v>
      </x:c>
      <x:c r="F21" s="79" t="str">
        <x:v>◎</x:v>
      </x:c>
      <x:c r="G21" s="97" t="str">
        <x:v>待核定</x:v>
      </x:c>
      <x:c r="H21" s="99"/>
      <x:c r="I21" s="97"/>
      <x:c r="J21" s="97"/>
      <x:c r="K21" s="98" t="str">
        <x:f>IF($G21="核定通過","已核定",IF($G21="不納入","不納入",IF($G21="退回補件","退回補件",IF($G21="暫停","資格暫停","待主管核定"))))</x:f>
        <x:v>待主管核定</x:v>
      </x:c>
    </x:row>
    <x:row r="22">
      <x:c r="A22" s="79" t="str">
        <x:v>ABIL|1001|LJT-PREP-MICROENDO</x:v>
      </x:c>
      <x:c r="B22" s="79" t="str">
        <x:v>能力評等</x:v>
      </x:c>
      <x:c r="C22" s="79" t="str"/>
      <x:c r="D22" s="79" t="str">
        <x:v>LJT-PREP-MICROENDO</x:v>
      </x:c>
      <x:c r="E22" s="79" t="str">
        <x:v>◎</x:v>
      </x:c>
      <x:c r="F22" s="79" t="str">
        <x:v>◎</x:v>
      </x:c>
      <x:c r="G22" s="97" t="str">
        <x:v>待核定</x:v>
      </x:c>
      <x:c r="H22" s="99"/>
      <x:c r="I22" s="97"/>
      <x:c r="J22" s="97"/>
      <x:c r="K22" s="98" t="str">
        <x:f>IF($G22="核定通過","已核定",IF($G22="不納入","不納入",IF($G22="退回補件","退回補件",IF($G22="暫停","資格暫停","待主管核定"))))</x:f>
        <x:v>待主管核定</x:v>
      </x:c>
    </x:row>
    <x:row r="23">
      <x:c r="A23" s="79" t="str">
        <x:v>ABIL|1001|LJT-PREP-IMPLANT</x:v>
      </x:c>
      <x:c r="B23" s="79" t="str">
        <x:v>能力評等</x:v>
      </x:c>
      <x:c r="C23" s="79" t="str"/>
      <x:c r="D23" s="79" t="str">
        <x:v>LJT-PREP-IMPLANT</x:v>
      </x:c>
      <x:c r="E23" s="79" t="str">
        <x:v>◎</x:v>
      </x:c>
      <x:c r="F23" s="79" t="str">
        <x:v>◎</x:v>
      </x:c>
      <x:c r="G23" s="97" t="str">
        <x:v>待核定</x:v>
      </x:c>
      <x:c r="H23" s="99"/>
      <x:c r="I23" s="97"/>
      <x:c r="J23" s="97"/>
      <x:c r="K23" s="98" t="str">
        <x:f>IF($G23="核定通過","已核定",IF($G23="不納入","不納入",IF($G23="退回補件","退回補件",IF($G23="暫停","資格暫停","待主管核定"))))</x:f>
        <x:v>待主管核定</x:v>
      </x:c>
    </x:row>
    <x:row r="24">
      <x:c r="A24" s="79" t="str">
        <x:v>ABIL|1001|COMMON-RECORD</x:v>
      </x:c>
      <x:c r="B24" s="79" t="str">
        <x:v>能力評等</x:v>
      </x:c>
      <x:c r="C24" s="79" t="str"/>
      <x:c r="D24" s="79" t="str">
        <x:v>COMMON-RECORD</x:v>
      </x:c>
      <x:c r="E24" s="79" t="str">
        <x:v>◎</x:v>
      </x:c>
      <x:c r="F24" s="79" t="str">
        <x:v>◎</x:v>
      </x:c>
      <x:c r="G24" s="97" t="str">
        <x:v>待核定</x:v>
      </x:c>
      <x:c r="H24" s="99"/>
      <x:c r="I24" s="97"/>
      <x:c r="J24" s="97"/>
      <x:c r="K24" s="98" t="str">
        <x:f>IF($G24="核定通過","已核定",IF($G24="不納入","不納入",IF($G24="退回補件","退回補件",IF($G24="暫停","資格暫停","待主管核定"))))</x:f>
        <x:v>待主管核定</x:v>
      </x:c>
    </x:row>
    <x:row r="25">
      <x:c r="A25" s="79" t="str">
        <x:v>ABIL|1001|COMMON-INSURANCE</x:v>
      </x:c>
      <x:c r="B25" s="79" t="str">
        <x:v>能力評等</x:v>
      </x:c>
      <x:c r="C25" s="79" t="str"/>
      <x:c r="D25" s="79" t="str">
        <x:v>COMMON-INSURANCE</x:v>
      </x:c>
      <x:c r="E25" s="79" t="str">
        <x:v>◎</x:v>
      </x:c>
      <x:c r="F25" s="79" t="str">
        <x:v>◎</x:v>
      </x:c>
      <x:c r="G25" s="97" t="str">
        <x:v>待核定</x:v>
      </x:c>
      <x:c r="H25" s="99"/>
      <x:c r="I25" s="97"/>
      <x:c r="J25" s="97"/>
      <x:c r="K25" s="98" t="str">
        <x:f>IF($G25="核定通過","已核定",IF($G25="不納入","不納入",IF($G25="退回補件","退回補件",IF($G25="暫停","資格暫停","待主管核定"))))</x:f>
        <x:v>待主管核定</x:v>
      </x:c>
    </x:row>
    <x:row r="26">
      <x:c r="A26" s="79" t="str">
        <x:v>ABIL|1001|COMMON-XRAY-RECORD</x:v>
      </x:c>
      <x:c r="B26" s="79" t="str">
        <x:v>能力評等</x:v>
      </x:c>
      <x:c r="C26" s="79" t="str"/>
      <x:c r="D26" s="79" t="str">
        <x:v>COMMON-XRAY-RECORD</x:v>
      </x:c>
      <x:c r="E26" s="79" t="str">
        <x:v>◎</x:v>
      </x:c>
      <x:c r="F26" s="79" t="str">
        <x:v>◎</x:v>
      </x:c>
      <x:c r="G26" s="97" t="str">
        <x:v>待核定</x:v>
      </x:c>
      <x:c r="H26" s="99"/>
      <x:c r="I26" s="97"/>
      <x:c r="J26" s="97"/>
      <x:c r="K26" s="98" t="str">
        <x:f>IF($G26="核定通過","已核定",IF($G26="不納入","不納入",IF($G26="退回補件","退回補件",IF($G26="暫停","資格暫停","待主管核定"))))</x:f>
        <x:v>待主管核定</x:v>
      </x:c>
    </x:row>
    <x:row r="27">
      <x:c r="A27" s="79" t="str">
        <x:v>ABIL|1001|COMMON-PA</x:v>
      </x:c>
      <x:c r="B27" s="79" t="str">
        <x:v>能力評等</x:v>
      </x:c>
      <x:c r="C27" s="79" t="str"/>
      <x:c r="D27" s="79" t="str">
        <x:v>COMMON-PA</x:v>
      </x:c>
      <x:c r="E27" s="79" t="str">
        <x:v>◎</x:v>
      </x:c>
      <x:c r="F27" s="79" t="str">
        <x:v>◎</x:v>
      </x:c>
      <x:c r="G27" s="97" t="str">
        <x:v>待核定</x:v>
      </x:c>
      <x:c r="H27" s="99"/>
      <x:c r="I27" s="97"/>
      <x:c r="J27" s="97"/>
      <x:c r="K27" s="98" t="str">
        <x:f>IF($G27="核定通過","已核定",IF($G27="不納入","不納入",IF($G27="退回補件","退回補件",IF($G27="暫停","資格暫停","待主管核定"))))</x:f>
        <x:v>待主管核定</x:v>
      </x:c>
    </x:row>
    <x:row r="28">
      <x:c r="A28" s="79" t="str">
        <x:v>ABIL|1001|COMMON-IOS</x:v>
      </x:c>
      <x:c r="B28" s="79" t="str">
        <x:v>能力評等</x:v>
      </x:c>
      <x:c r="C28" s="79" t="str"/>
      <x:c r="D28" s="79" t="str">
        <x:v>COMMON-IOS</x:v>
      </x:c>
      <x:c r="E28" s="79" t="str">
        <x:v>◎</x:v>
      </x:c>
      <x:c r="F28" s="79" t="str">
        <x:v>◎</x:v>
      </x:c>
      <x:c r="G28" s="97" t="str">
        <x:v>待核定</x:v>
      </x:c>
      <x:c r="H28" s="99"/>
      <x:c r="I28" s="97"/>
      <x:c r="J28" s="97"/>
      <x:c r="K28" s="98" t="str">
        <x:f>IF($G28="核定通過","已核定",IF($G28="不納入","不納入",IF($G28="退回補件","退回補件",IF($G28="暫停","資格暫停","待主管核定"))))</x:f>
        <x:v>待主管核定</x:v>
      </x:c>
    </x:row>
    <x:row r="29">
      <x:c r="A29" s="79" t="str">
        <x:v>ABIL|1004|LJT-PREP-SCALING</x:v>
      </x:c>
      <x:c r="B29" s="79" t="str">
        <x:v>能力評等</x:v>
      </x:c>
      <x:c r="C29" s="79" t="str"/>
      <x:c r="D29" s="79" t="str">
        <x:v>LJT-PREP-SCALING</x:v>
      </x:c>
      <x:c r="E29" s="79" t="str">
        <x:v>◎</x:v>
      </x:c>
      <x:c r="F29" s="79" t="str">
        <x:v>◎</x:v>
      </x:c>
      <x:c r="G29" s="97" t="str">
        <x:v>待核定</x:v>
      </x:c>
      <x:c r="H29" s="99"/>
      <x:c r="I29" s="97"/>
      <x:c r="J29" s="97"/>
      <x:c r="K29" s="98" t="str">
        <x:f>IF($G29="核定通過","已核定",IF($G29="不納入","不納入",IF($G29="退回補件","退回補件",IF($G29="暫停","資格暫停","待主管核定"))))</x:f>
        <x:v>待主管核定</x:v>
      </x:c>
    </x:row>
    <x:row r="30">
      <x:c r="A30" s="79" t="str">
        <x:v>ABIL|1004|LJT-PREP-FILLING</x:v>
      </x:c>
      <x:c r="B30" s="79" t="str">
        <x:v>能力評等</x:v>
      </x:c>
      <x:c r="C30" s="79" t="str"/>
      <x:c r="D30" s="79" t="str">
        <x:v>LJT-PREP-FILLING</x:v>
      </x:c>
      <x:c r="E30" s="79" t="str">
        <x:v>◎</x:v>
      </x:c>
      <x:c r="F30" s="79" t="str">
        <x:v>◎</x:v>
      </x:c>
      <x:c r="G30" s="97" t="str">
        <x:v>待核定</x:v>
      </x:c>
      <x:c r="H30" s="99"/>
      <x:c r="I30" s="97"/>
      <x:c r="J30" s="97"/>
      <x:c r="K30" s="98" t="str">
        <x:f>IF($G30="核定通過","已核定",IF($G30="不納入","不納入",IF($G30="退回補件","退回補件",IF($G30="暫停","資格暫停","待主管核定"))))</x:f>
        <x:v>待主管核定</x:v>
      </x:c>
    </x:row>
    <x:row r="31">
      <x:c r="A31" s="79" t="str">
        <x:v>ABIL|1004|LJT-PREP-PERIO</x:v>
      </x:c>
      <x:c r="B31" s="79" t="str">
        <x:v>能力評等</x:v>
      </x:c>
      <x:c r="C31" s="79" t="str"/>
      <x:c r="D31" s="79" t="str">
        <x:v>LJT-PREP-PERIO</x:v>
      </x:c>
      <x:c r="E31" s="79" t="str">
        <x:v>◎</x:v>
      </x:c>
      <x:c r="F31" s="79" t="str">
        <x:v>◎</x:v>
      </x:c>
      <x:c r="G31" s="97" t="str">
        <x:v>待核定</x:v>
      </x:c>
      <x:c r="H31" s="99"/>
      <x:c r="I31" s="97"/>
      <x:c r="J31" s="97"/>
      <x:c r="K31" s="98" t="str">
        <x:f>IF($G31="核定通過","已核定",IF($G31="不納入","不納入",IF($G31="退回補件","退回補件",IF($G31="暫停","資格暫停","待主管核定"))))</x:f>
        <x:v>待主管核定</x:v>
      </x:c>
    </x:row>
    <x:row r="32">
      <x:c r="A32" s="79" t="str">
        <x:v>ABIL|1004|LJT-PREP-RCT</x:v>
      </x:c>
      <x:c r="B32" s="79" t="str">
        <x:v>能力評等</x:v>
      </x:c>
      <x:c r="C32" s="79" t="str"/>
      <x:c r="D32" s="79" t="str">
        <x:v>LJT-PREP-RCT</x:v>
      </x:c>
      <x:c r="E32" s="79" t="str">
        <x:v>◎</x:v>
      </x:c>
      <x:c r="F32" s="79" t="str">
        <x:v>◎</x:v>
      </x:c>
      <x:c r="G32" s="97" t="str">
        <x:v>待核定</x:v>
      </x:c>
      <x:c r="H32" s="99"/>
      <x:c r="I32" s="97"/>
      <x:c r="J32" s="97"/>
      <x:c r="K32" s="98" t="str">
        <x:f>IF($G32="核定通過","已核定",IF($G32="不納入","不納入",IF($G32="退回補件","退回補件",IF($G32="暫停","資格暫停","待主管核定"))))</x:f>
        <x:v>待主管核定</x:v>
      </x:c>
    </x:row>
    <x:row r="33">
      <x:c r="A33" s="79" t="str">
        <x:v>ABIL|1004|LJT-PREP-EXTRACTION</x:v>
      </x:c>
      <x:c r="B33" s="79" t="str">
        <x:v>能力評等</x:v>
      </x:c>
      <x:c r="C33" s="79" t="str"/>
      <x:c r="D33" s="79" t="str">
        <x:v>LJT-PREP-EXTRACTION</x:v>
      </x:c>
      <x:c r="E33" s="79" t="str">
        <x:v>◎</x:v>
      </x:c>
      <x:c r="F33" s="79" t="str">
        <x:v>◎</x:v>
      </x:c>
      <x:c r="G33" s="97" t="str">
        <x:v>待核定</x:v>
      </x:c>
      <x:c r="H33" s="99"/>
      <x:c r="I33" s="97"/>
      <x:c r="J33" s="97"/>
      <x:c r="K33" s="98" t="str">
        <x:f>IF($G33="核定通過","已核定",IF($G33="不納入","不納入",IF($G33="退回補件","退回補件",IF($G33="暫停","資格暫停","待主管核定"))))</x:f>
        <x:v>待主管核定</x:v>
      </x:c>
    </x:row>
    <x:row r="34">
      <x:c r="A34" s="79" t="str">
        <x:v>ABIL|1004|LJT-PREP-CROWNPOST</x:v>
      </x:c>
      <x:c r="B34" s="79" t="str">
        <x:v>能力評等</x:v>
      </x:c>
      <x:c r="C34" s="79" t="str"/>
      <x:c r="D34" s="79" t="str">
        <x:v>LJT-PREP-CROWNPOST</x:v>
      </x:c>
      <x:c r="E34" s="79" t="str">
        <x:v>◎</x:v>
      </x:c>
      <x:c r="F34" s="79" t="str">
        <x:v>◎</x:v>
      </x:c>
      <x:c r="G34" s="97" t="str">
        <x:v>待核定</x:v>
      </x:c>
      <x:c r="H34" s="99"/>
      <x:c r="I34" s="97"/>
      <x:c r="J34" s="97"/>
      <x:c r="K34" s="98" t="str">
        <x:f>IF($G34="核定通過","已核定",IF($G34="不納入","不納入",IF($G34="退回補件","退回補件",IF($G34="暫停","資格暫停","待主管核定"))))</x:f>
        <x:v>待主管核定</x:v>
      </x:c>
    </x:row>
    <x:row r="35">
      <x:c r="A35" s="79" t="str">
        <x:v>ABIL|1004|LJT-PREP-CROWN</x:v>
      </x:c>
      <x:c r="B35" s="79" t="str">
        <x:v>能力評等</x:v>
      </x:c>
      <x:c r="C35" s="79" t="str"/>
      <x:c r="D35" s="79" t="str">
        <x:v>LJT-PREP-CROWN</x:v>
      </x:c>
      <x:c r="E35" s="79" t="str">
        <x:v>◎</x:v>
      </x:c>
      <x:c r="F35" s="79" t="str">
        <x:v>◎</x:v>
      </x:c>
      <x:c r="G35" s="97" t="str">
        <x:v>待核定</x:v>
      </x:c>
      <x:c r="H35" s="99"/>
      <x:c r="I35" s="97"/>
      <x:c r="J35" s="97"/>
      <x:c r="K35" s="98" t="str">
        <x:f>IF($G35="核定通過","已核定",IF($G35="不納入","不納入",IF($G35="退回補件","退回補件",IF($G35="暫停","資格暫停","待主管核定"))))</x:f>
        <x:v>待主管核定</x:v>
      </x:c>
    </x:row>
    <x:row r="36">
      <x:c r="A36" s="79" t="str">
        <x:v>ABIL|1004|LJT-PREP-RPD</x:v>
      </x:c>
      <x:c r="B36" s="79" t="str">
        <x:v>能力評等</x:v>
      </x:c>
      <x:c r="C36" s="79" t="str"/>
      <x:c r="D36" s="79" t="str">
        <x:v>LJT-PREP-RPD</x:v>
      </x:c>
      <x:c r="E36" s="79" t="str">
        <x:v>◎</x:v>
      </x:c>
      <x:c r="F36" s="79" t="str">
        <x:v>◎</x:v>
      </x:c>
      <x:c r="G36" s="97" t="str">
        <x:v>待核定</x:v>
      </x:c>
      <x:c r="H36" s="99"/>
      <x:c r="I36" s="97"/>
      <x:c r="J36" s="97"/>
      <x:c r="K36" s="98" t="str">
        <x:f>IF($G36="核定通過","已核定",IF($G36="不納入","不納入",IF($G36="退回補件","退回補件",IF($G36="暫停","資格暫停","待主管核定"))))</x:f>
        <x:v>待主管核定</x:v>
      </x:c>
    </x:row>
    <x:row r="37">
      <x:c r="A37" s="79" t="str">
        <x:v>ABIL|1004|LJT-PREP-AIRPOLISH</x:v>
      </x:c>
      <x:c r="B37" s="79" t="str">
        <x:v>能力評等</x:v>
      </x:c>
      <x:c r="C37" s="79" t="str"/>
      <x:c r="D37" s="79" t="str">
        <x:v>LJT-PREP-AIRPOLISH</x:v>
      </x:c>
      <x:c r="E37" s="79" t="str">
        <x:v>◎</x:v>
      </x:c>
      <x:c r="F37" s="79" t="str">
        <x:v>◎</x:v>
      </x:c>
      <x:c r="G37" s="97" t="str">
        <x:v>待核定</x:v>
      </x:c>
      <x:c r="H37" s="99"/>
      <x:c r="I37" s="97"/>
      <x:c r="J37" s="97"/>
      <x:c r="K37" s="98" t="str">
        <x:f>IF($G37="核定通過","已核定",IF($G37="不納入","不納入",IF($G37="退回補件","退回補件",IF($G37="暫停","資格暫停","待主管核定"))))</x:f>
        <x:v>待主管核定</x:v>
      </x:c>
    </x:row>
    <x:row r="38">
      <x:c r="A38" s="79" t="str">
        <x:v>ABIL|1004|LJT-PREP-PERIOSURG</x:v>
      </x:c>
      <x:c r="B38" s="79" t="str">
        <x:v>能力評等</x:v>
      </x:c>
      <x:c r="C38" s="79" t="str"/>
      <x:c r="D38" s="79" t="str">
        <x:v>LJT-PREP-PERIOSURG</x:v>
      </x:c>
      <x:c r="E38" s="79" t="str">
        <x:v>◎</x:v>
      </x:c>
      <x:c r="F38" s="79" t="str">
        <x:v>◎</x:v>
      </x:c>
      <x:c r="G38" s="97" t="str">
        <x:v>待核定</x:v>
      </x:c>
      <x:c r="H38" s="99"/>
      <x:c r="I38" s="97"/>
      <x:c r="J38" s="97"/>
      <x:c r="K38" s="98" t="str">
        <x:f>IF($G38="核定通過","已核定",IF($G38="不納入","不納入",IF($G38="退回補件","退回補件",IF($G38="暫停","資格暫停","待主管核定"))))</x:f>
        <x:v>待主管核定</x:v>
      </x:c>
    </x:row>
    <x:row r="39">
      <x:c r="A39" s="79" t="str">
        <x:v>ABIL|1004|LJT-PREP-MICROENDO</x:v>
      </x:c>
      <x:c r="B39" s="79" t="str">
        <x:v>能力評等</x:v>
      </x:c>
      <x:c r="C39" s="79" t="str"/>
      <x:c r="D39" s="79" t="str">
        <x:v>LJT-PREP-MICROENDO</x:v>
      </x:c>
      <x:c r="E39" s="79" t="str">
        <x:v>◎</x:v>
      </x:c>
      <x:c r="F39" s="79" t="str">
        <x:v>◎</x:v>
      </x:c>
      <x:c r="G39" s="97" t="str">
        <x:v>待核定</x:v>
      </x:c>
      <x:c r="H39" s="99"/>
      <x:c r="I39" s="97"/>
      <x:c r="J39" s="97"/>
      <x:c r="K39" s="98" t="str">
        <x:f>IF($G39="核定通過","已核定",IF($G39="不納入","不納入",IF($G39="退回補件","退回補件",IF($G39="暫停","資格暫停","待主管核定"))))</x:f>
        <x:v>待主管核定</x:v>
      </x:c>
    </x:row>
    <x:row r="40">
      <x:c r="A40" s="79" t="str">
        <x:v>ABIL|1004|LJT-PREP-IMPLANT</x:v>
      </x:c>
      <x:c r="B40" s="79" t="str">
        <x:v>能力評等</x:v>
      </x:c>
      <x:c r="C40" s="79" t="str"/>
      <x:c r="D40" s="79" t="str">
        <x:v>LJT-PREP-IMPLANT</x:v>
      </x:c>
      <x:c r="E40" s="79" t="str">
        <x:v>◎</x:v>
      </x:c>
      <x:c r="F40" s="79" t="str">
        <x:v>◎</x:v>
      </x:c>
      <x:c r="G40" s="97" t="str">
        <x:v>待核定</x:v>
      </x:c>
      <x:c r="H40" s="99"/>
      <x:c r="I40" s="97"/>
      <x:c r="J40" s="97"/>
      <x:c r="K40" s="98" t="str">
        <x:f>IF($G40="核定通過","已核定",IF($G40="不納入","不納入",IF($G40="退回補件","退回補件",IF($G40="暫停","資格暫停","待主管核定"))))</x:f>
        <x:v>待主管核定</x:v>
      </x:c>
    </x:row>
    <x:row r="41">
      <x:c r="A41" s="79" t="str">
        <x:v>ABIL|1004|COMMON-RECORD</x:v>
      </x:c>
      <x:c r="B41" s="79" t="str">
        <x:v>能力評等</x:v>
      </x:c>
      <x:c r="C41" s="79" t="str"/>
      <x:c r="D41" s="79" t="str">
        <x:v>COMMON-RECORD</x:v>
      </x:c>
      <x:c r="E41" s="79" t="str">
        <x:v>◎</x:v>
      </x:c>
      <x:c r="F41" s="79" t="str">
        <x:v>◎</x:v>
      </x:c>
      <x:c r="G41" s="97" t="str">
        <x:v>待核定</x:v>
      </x:c>
      <x:c r="H41" s="99"/>
      <x:c r="I41" s="97"/>
      <x:c r="J41" s="97"/>
      <x:c r="K41" s="98" t="str">
        <x:f>IF($G41="核定通過","已核定",IF($G41="不納入","不納入",IF($G41="退回補件","退回補件",IF($G41="暫停","資格暫停","待主管核定"))))</x:f>
        <x:v>待主管核定</x:v>
      </x:c>
    </x:row>
    <x:row r="42">
      <x:c r="A42" s="79" t="str">
        <x:v>ABIL|1004|COMMON-INSURANCE</x:v>
      </x:c>
      <x:c r="B42" s="79" t="str">
        <x:v>能力評等</x:v>
      </x:c>
      <x:c r="C42" s="79" t="str"/>
      <x:c r="D42" s="79" t="str">
        <x:v>COMMON-INSURANCE</x:v>
      </x:c>
      <x:c r="E42" s="79" t="str">
        <x:v>◎</x:v>
      </x:c>
      <x:c r="F42" s="79" t="str">
        <x:v>◎</x:v>
      </x:c>
      <x:c r="G42" s="97" t="str">
        <x:v>待核定</x:v>
      </x:c>
      <x:c r="H42" s="99"/>
      <x:c r="I42" s="97"/>
      <x:c r="J42" s="97"/>
      <x:c r="K42" s="98" t="str">
        <x:f>IF($G42="核定通過","已核定",IF($G42="不納入","不納入",IF($G42="退回補件","退回補件",IF($G42="暫停","資格暫停","待主管核定"))))</x:f>
        <x:v>待主管核定</x:v>
      </x:c>
    </x:row>
    <x:row r="43">
      <x:c r="A43" s="79" t="str">
        <x:v>ABIL|1004|COMMON-XRAY-RECORD</x:v>
      </x:c>
      <x:c r="B43" s="79" t="str">
        <x:v>能力評等</x:v>
      </x:c>
      <x:c r="C43" s="79" t="str"/>
      <x:c r="D43" s="79" t="str">
        <x:v>COMMON-XRAY-RECORD</x:v>
      </x:c>
      <x:c r="E43" s="79" t="str">
        <x:v>◎</x:v>
      </x:c>
      <x:c r="F43" s="79" t="str">
        <x:v>◎</x:v>
      </x:c>
      <x:c r="G43" s="97" t="str">
        <x:v>待核定</x:v>
      </x:c>
      <x:c r="H43" s="99"/>
      <x:c r="I43" s="97"/>
      <x:c r="J43" s="97"/>
      <x:c r="K43" s="98" t="str">
        <x:f>IF($G43="核定通過","已核定",IF($G43="不納入","不納入",IF($G43="退回補件","退回補件",IF($G43="暫停","資格暫停","待主管核定"))))</x:f>
        <x:v>待主管核定</x:v>
      </x:c>
    </x:row>
    <x:row r="44">
      <x:c r="A44" s="79" t="str">
        <x:v>ABIL|1004|COMMON-PA</x:v>
      </x:c>
      <x:c r="B44" s="79" t="str">
        <x:v>能力評等</x:v>
      </x:c>
      <x:c r="C44" s="79" t="str"/>
      <x:c r="D44" s="79" t="str">
        <x:v>COMMON-PA</x:v>
      </x:c>
      <x:c r="E44" s="79" t="str">
        <x:v>◎</x:v>
      </x:c>
      <x:c r="F44" s="79" t="str">
        <x:v>◎</x:v>
      </x:c>
      <x:c r="G44" s="97" t="str">
        <x:v>待核定</x:v>
      </x:c>
      <x:c r="H44" s="99"/>
      <x:c r="I44" s="97"/>
      <x:c r="J44" s="97"/>
      <x:c r="K44" s="98" t="str">
        <x:f>IF($G44="核定通過","已核定",IF($G44="不納入","不納入",IF($G44="退回補件","退回補件",IF($G44="暫停","資格暫停","待主管核定"))))</x:f>
        <x:v>待主管核定</x:v>
      </x:c>
    </x:row>
    <x:row r="45">
      <x:c r="A45" s="79" t="str">
        <x:v>ABIL|1004|COMMON-IOS</x:v>
      </x:c>
      <x:c r="B45" s="79" t="str">
        <x:v>能力評等</x:v>
      </x:c>
      <x:c r="C45" s="79" t="str"/>
      <x:c r="D45" s="79" t="str">
        <x:v>COMMON-IOS</x:v>
      </x:c>
      <x:c r="E45" s="79" t="str">
        <x:v>◎</x:v>
      </x:c>
      <x:c r="F45" s="79" t="str">
        <x:v>◎</x:v>
      </x:c>
      <x:c r="G45" s="97" t="str">
        <x:v>待核定</x:v>
      </x:c>
      <x:c r="H45" s="99"/>
      <x:c r="I45" s="97"/>
      <x:c r="J45" s="97"/>
      <x:c r="K45" s="98" t="str">
        <x:f>IF($G45="核定通過","已核定",IF($G45="不納入","不納入",IF($G45="退回補件","退回補件",IF($G45="暫停","資格暫停","待主管核定"))))</x:f>
        <x:v>待主管核定</x:v>
      </x:c>
    </x:row>
    <x:row r="46">
      <x:c r="A46" s="79" t="str">
        <x:v>ABIL|1013|LJT-PREP-SCALING</x:v>
      </x:c>
      <x:c r="B46" s="79" t="str">
        <x:v>能力評等</x:v>
      </x:c>
      <x:c r="C46" s="79" t="str"/>
      <x:c r="D46" s="79" t="str">
        <x:v>LJT-PREP-SCALING</x:v>
      </x:c>
      <x:c r="E46" s="79" t="str">
        <x:v>◎</x:v>
      </x:c>
      <x:c r="F46" s="79" t="str">
        <x:v>◎</x:v>
      </x:c>
      <x:c r="G46" s="97" t="str">
        <x:v>待核定</x:v>
      </x:c>
      <x:c r="H46" s="99"/>
      <x:c r="I46" s="97"/>
      <x:c r="J46" s="97"/>
      <x:c r="K46" s="98" t="str">
        <x:f>IF($G46="核定通過","已核定",IF($G46="不納入","不納入",IF($G46="退回補件","退回補件",IF($G46="暫停","資格暫停","待主管核定"))))</x:f>
        <x:v>待主管核定</x:v>
      </x:c>
    </x:row>
    <x:row r="47">
      <x:c r="A47" s="79" t="str">
        <x:v>ABIL|1013|LJT-PREP-FILLING</x:v>
      </x:c>
      <x:c r="B47" s="79" t="str">
        <x:v>能力評等</x:v>
      </x:c>
      <x:c r="C47" s="79" t="str"/>
      <x:c r="D47" s="79" t="str">
        <x:v>LJT-PREP-FILLING</x:v>
      </x:c>
      <x:c r="E47" s="79" t="str">
        <x:v>◎</x:v>
      </x:c>
      <x:c r="F47" s="79" t="str">
        <x:v>◎</x:v>
      </x:c>
      <x:c r="G47" s="97" t="str">
        <x:v>待核定</x:v>
      </x:c>
      <x:c r="H47" s="99"/>
      <x:c r="I47" s="97"/>
      <x:c r="J47" s="97"/>
      <x:c r="K47" s="98" t="str">
        <x:f>IF($G47="核定通過","已核定",IF($G47="不納入","不納入",IF($G47="退回補件","退回補件",IF($G47="暫停","資格暫停","待主管核定"))))</x:f>
        <x:v>待主管核定</x:v>
      </x:c>
    </x:row>
    <x:row r="48">
      <x:c r="A48" s="79" t="str">
        <x:v>ABIL|1013|LJT-PREP-PERIO</x:v>
      </x:c>
      <x:c r="B48" s="79" t="str">
        <x:v>能力評等</x:v>
      </x:c>
      <x:c r="C48" s="79" t="str"/>
      <x:c r="D48" s="79" t="str">
        <x:v>LJT-PREP-PERIO</x:v>
      </x:c>
      <x:c r="E48" s="79" t="str">
        <x:v>◎</x:v>
      </x:c>
      <x:c r="F48" s="79" t="str">
        <x:v>◎</x:v>
      </x:c>
      <x:c r="G48" s="97" t="str">
        <x:v>待核定</x:v>
      </x:c>
      <x:c r="H48" s="99"/>
      <x:c r="I48" s="97"/>
      <x:c r="J48" s="97"/>
      <x:c r="K48" s="98" t="str">
        <x:f>IF($G48="核定通過","已核定",IF($G48="不納入","不納入",IF($G48="退回補件","退回補件",IF($G48="暫停","資格暫停","待主管核定"))))</x:f>
        <x:v>待主管核定</x:v>
      </x:c>
    </x:row>
    <x:row r="49">
      <x:c r="A49" s="79" t="str">
        <x:v>ABIL|1013|LJT-PREP-RCT</x:v>
      </x:c>
      <x:c r="B49" s="79" t="str">
        <x:v>能力評等</x:v>
      </x:c>
      <x:c r="C49" s="79" t="str"/>
      <x:c r="D49" s="79" t="str">
        <x:v>LJT-PREP-RCT</x:v>
      </x:c>
      <x:c r="E49" s="79" t="str">
        <x:v>◎</x:v>
      </x:c>
      <x:c r="F49" s="79" t="str">
        <x:v>◎</x:v>
      </x:c>
      <x:c r="G49" s="97" t="str">
        <x:v>待核定</x:v>
      </x:c>
      <x:c r="H49" s="99"/>
      <x:c r="I49" s="97"/>
      <x:c r="J49" s="97"/>
      <x:c r="K49" s="98" t="str">
        <x:f>IF($G49="核定通過","已核定",IF($G49="不納入","不納入",IF($G49="退回補件","退回補件",IF($G49="暫停","資格暫停","待主管核定"))))</x:f>
        <x:v>待主管核定</x:v>
      </x:c>
    </x:row>
    <x:row r="50">
      <x:c r="A50" s="79" t="str">
        <x:v>ABIL|1013|LJT-PREP-EXTRACTION</x:v>
      </x:c>
      <x:c r="B50" s="79" t="str">
        <x:v>能力評等</x:v>
      </x:c>
      <x:c r="C50" s="79" t="str"/>
      <x:c r="D50" s="79" t="str">
        <x:v>LJT-PREP-EXTRACTION</x:v>
      </x:c>
      <x:c r="E50" s="79" t="str">
        <x:v>◎</x:v>
      </x:c>
      <x:c r="F50" s="79" t="str">
        <x:v>◎</x:v>
      </x:c>
      <x:c r="G50" s="97" t="str">
        <x:v>待核定</x:v>
      </x:c>
      <x:c r="H50" s="99"/>
      <x:c r="I50" s="97"/>
      <x:c r="J50" s="97"/>
      <x:c r="K50" s="98" t="str">
        <x:f>IF($G50="核定通過","已核定",IF($G50="不納入","不納入",IF($G50="退回補件","退回補件",IF($G50="暫停","資格暫停","待主管核定"))))</x:f>
        <x:v>待主管核定</x:v>
      </x:c>
    </x:row>
    <x:row r="51">
      <x:c r="A51" s="79" t="str">
        <x:v>ABIL|1013|LJT-PREP-CROWNPOST</x:v>
      </x:c>
      <x:c r="B51" s="79" t="str">
        <x:v>能力評等</x:v>
      </x:c>
      <x:c r="C51" s="79" t="str"/>
      <x:c r="D51" s="79" t="str">
        <x:v>LJT-PREP-CROWNPOST</x:v>
      </x:c>
      <x:c r="E51" s="79" t="str">
        <x:v>◎</x:v>
      </x:c>
      <x:c r="F51" s="79" t="str">
        <x:v>◎</x:v>
      </x:c>
      <x:c r="G51" s="97" t="str">
        <x:v>待核定</x:v>
      </x:c>
      <x:c r="H51" s="99"/>
      <x:c r="I51" s="97"/>
      <x:c r="J51" s="97"/>
      <x:c r="K51" s="98" t="str">
        <x:f>IF($G51="核定通過","已核定",IF($G51="不納入","不納入",IF($G51="退回補件","退回補件",IF($G51="暫停","資格暫停","待主管核定"))))</x:f>
        <x:v>待主管核定</x:v>
      </x:c>
    </x:row>
    <x:row r="52">
      <x:c r="A52" s="79" t="str">
        <x:v>ABIL|1013|LJT-PREP-CROWN</x:v>
      </x:c>
      <x:c r="B52" s="79" t="str">
        <x:v>能力評等</x:v>
      </x:c>
      <x:c r="C52" s="79" t="str"/>
      <x:c r="D52" s="79" t="str">
        <x:v>LJT-PREP-CROWN</x:v>
      </x:c>
      <x:c r="E52" s="79" t="str">
        <x:v>◎</x:v>
      </x:c>
      <x:c r="F52" s="79" t="str">
        <x:v>◎</x:v>
      </x:c>
      <x:c r="G52" s="97" t="str">
        <x:v>待核定</x:v>
      </x:c>
      <x:c r="H52" s="99"/>
      <x:c r="I52" s="97"/>
      <x:c r="J52" s="97"/>
      <x:c r="K52" s="98" t="str">
        <x:f>IF($G52="核定通過","已核定",IF($G52="不納入","不納入",IF($G52="退回補件","退回補件",IF($G52="暫停","資格暫停","待主管核定"))))</x:f>
        <x:v>待主管核定</x:v>
      </x:c>
    </x:row>
    <x:row r="53">
      <x:c r="A53" s="79" t="str">
        <x:v>ABIL|1013|LJT-PREP-RPD</x:v>
      </x:c>
      <x:c r="B53" s="79" t="str">
        <x:v>能力評等</x:v>
      </x:c>
      <x:c r="C53" s="79" t="str"/>
      <x:c r="D53" s="79" t="str">
        <x:v>LJT-PREP-RPD</x:v>
      </x:c>
      <x:c r="E53" s="79" t="str">
        <x:v>◎</x:v>
      </x:c>
      <x:c r="F53" s="79" t="str">
        <x:v>◎</x:v>
      </x:c>
      <x:c r="G53" s="97" t="str">
        <x:v>待核定</x:v>
      </x:c>
      <x:c r="H53" s="99"/>
      <x:c r="I53" s="97"/>
      <x:c r="J53" s="97"/>
      <x:c r="K53" s="98" t="str">
        <x:f>IF($G53="核定通過","已核定",IF($G53="不納入","不納入",IF($G53="退回補件","退回補件",IF($G53="暫停","資格暫停","待主管核定"))))</x:f>
        <x:v>待主管核定</x:v>
      </x:c>
    </x:row>
    <x:row r="54">
      <x:c r="A54" s="79" t="str">
        <x:v>ABIL|1013|LJT-PREP-AIRPOLISH</x:v>
      </x:c>
      <x:c r="B54" s="79" t="str">
        <x:v>能力評等</x:v>
      </x:c>
      <x:c r="C54" s="79" t="str"/>
      <x:c r="D54" s="79" t="str">
        <x:v>LJT-PREP-AIRPOLISH</x:v>
      </x:c>
      <x:c r="E54" s="79" t="str">
        <x:v>◎</x:v>
      </x:c>
      <x:c r="F54" s="79" t="str">
        <x:v>◎</x:v>
      </x:c>
      <x:c r="G54" s="97" t="str">
        <x:v>待核定</x:v>
      </x:c>
      <x:c r="H54" s="99"/>
      <x:c r="I54" s="97"/>
      <x:c r="J54" s="97"/>
      <x:c r="K54" s="98" t="str">
        <x:f>IF($G54="核定通過","已核定",IF($G54="不納入","不納入",IF($G54="退回補件","退回補件",IF($G54="暫停","資格暫停","待主管核定"))))</x:f>
        <x:v>待主管核定</x:v>
      </x:c>
    </x:row>
    <x:row r="55">
      <x:c r="A55" s="79" t="str">
        <x:v>ABIL|1013|LJT-PREP-PERIOSURG</x:v>
      </x:c>
      <x:c r="B55" s="79" t="str">
        <x:v>能力評等</x:v>
      </x:c>
      <x:c r="C55" s="79" t="str"/>
      <x:c r="D55" s="79" t="str">
        <x:v>LJT-PREP-PERIOSURG</x:v>
      </x:c>
      <x:c r="E55" s="79" t="str">
        <x:v>◎</x:v>
      </x:c>
      <x:c r="F55" s="79" t="str">
        <x:v>◎</x:v>
      </x:c>
      <x:c r="G55" s="97" t="str">
        <x:v>待核定</x:v>
      </x:c>
      <x:c r="H55" s="99"/>
      <x:c r="I55" s="97"/>
      <x:c r="J55" s="97"/>
      <x:c r="K55" s="98" t="str">
        <x:f>IF($G55="核定通過","已核定",IF($G55="不納入","不納入",IF($G55="退回補件","退回補件",IF($G55="暫停","資格暫停","待主管核定"))))</x:f>
        <x:v>待主管核定</x:v>
      </x:c>
    </x:row>
    <x:row r="56">
      <x:c r="A56" s="79" t="str">
        <x:v>ABIL|1013|LJT-PREP-MICROENDO</x:v>
      </x:c>
      <x:c r="B56" s="79" t="str">
        <x:v>能力評等</x:v>
      </x:c>
      <x:c r="C56" s="79" t="str"/>
      <x:c r="D56" s="79" t="str">
        <x:v>LJT-PREP-MICROENDO</x:v>
      </x:c>
      <x:c r="E56" s="79" t="str">
        <x:v>◎</x:v>
      </x:c>
      <x:c r="F56" s="79" t="str">
        <x:v>◎</x:v>
      </x:c>
      <x:c r="G56" s="97" t="str">
        <x:v>待核定</x:v>
      </x:c>
      <x:c r="H56" s="99"/>
      <x:c r="I56" s="97"/>
      <x:c r="J56" s="97"/>
      <x:c r="K56" s="98" t="str">
        <x:f>IF($G56="核定通過","已核定",IF($G56="不納入","不納入",IF($G56="退回補件","退回補件",IF($G56="暫停","資格暫停","待主管核定"))))</x:f>
        <x:v>待主管核定</x:v>
      </x:c>
    </x:row>
    <x:row r="57">
      <x:c r="A57" s="79" t="str">
        <x:v>ABIL|1013|LJT-PREP-IMPLANT</x:v>
      </x:c>
      <x:c r="B57" s="79" t="str">
        <x:v>能力評等</x:v>
      </x:c>
      <x:c r="C57" s="79" t="str"/>
      <x:c r="D57" s="79" t="str">
        <x:v>LJT-PREP-IMPLANT</x:v>
      </x:c>
      <x:c r="E57" s="79" t="str">
        <x:v>◎</x:v>
      </x:c>
      <x:c r="F57" s="79" t="str">
        <x:v>◎</x:v>
      </x:c>
      <x:c r="G57" s="97" t="str">
        <x:v>待核定</x:v>
      </x:c>
      <x:c r="H57" s="99"/>
      <x:c r="I57" s="97"/>
      <x:c r="J57" s="97"/>
      <x:c r="K57" s="98" t="str">
        <x:f>IF($G57="核定通過","已核定",IF($G57="不納入","不納入",IF($G57="退回補件","退回補件",IF($G57="暫停","資格暫停","待主管核定"))))</x:f>
        <x:v>待主管核定</x:v>
      </x:c>
    </x:row>
    <x:row r="58">
      <x:c r="A58" s="79" t="str">
        <x:v>ABIL|1013|COMMON-RECORD</x:v>
      </x:c>
      <x:c r="B58" s="79" t="str">
        <x:v>能力評等</x:v>
      </x:c>
      <x:c r="C58" s="79" t="str"/>
      <x:c r="D58" s="79" t="str">
        <x:v>COMMON-RECORD</x:v>
      </x:c>
      <x:c r="E58" s="79" t="str">
        <x:v>◎</x:v>
      </x:c>
      <x:c r="F58" s="79" t="str">
        <x:v>◎</x:v>
      </x:c>
      <x:c r="G58" s="97" t="str">
        <x:v>待核定</x:v>
      </x:c>
      <x:c r="H58" s="99"/>
      <x:c r="I58" s="97"/>
      <x:c r="J58" s="97"/>
      <x:c r="K58" s="98" t="str">
        <x:f>IF($G58="核定通過","已核定",IF($G58="不納入","不納入",IF($G58="退回補件","退回補件",IF($G58="暫停","資格暫停","待主管核定"))))</x:f>
        <x:v>待主管核定</x:v>
      </x:c>
    </x:row>
    <x:row r="59">
      <x:c r="A59" s="79" t="str">
        <x:v>ABIL|1013|COMMON-INSURANCE</x:v>
      </x:c>
      <x:c r="B59" s="79" t="str">
        <x:v>能力評等</x:v>
      </x:c>
      <x:c r="C59" s="79" t="str"/>
      <x:c r="D59" s="79" t="str">
        <x:v>COMMON-INSURANCE</x:v>
      </x:c>
      <x:c r="E59" s="79" t="str">
        <x:v>◎</x:v>
      </x:c>
      <x:c r="F59" s="79" t="str">
        <x:v>◎</x:v>
      </x:c>
      <x:c r="G59" s="97" t="str">
        <x:v>待核定</x:v>
      </x:c>
      <x:c r="H59" s="99"/>
      <x:c r="I59" s="97"/>
      <x:c r="J59" s="97"/>
      <x:c r="K59" s="98" t="str">
        <x:f>IF($G59="核定通過","已核定",IF($G59="不納入","不納入",IF($G59="退回補件","退回補件",IF($G59="暫停","資格暫停","待主管核定"))))</x:f>
        <x:v>待主管核定</x:v>
      </x:c>
    </x:row>
    <x:row r="60">
      <x:c r="A60" s="79" t="str">
        <x:v>ABIL|1013|COMMON-XRAY-RECORD</x:v>
      </x:c>
      <x:c r="B60" s="79" t="str">
        <x:v>能力評等</x:v>
      </x:c>
      <x:c r="C60" s="79" t="str"/>
      <x:c r="D60" s="79" t="str">
        <x:v>COMMON-XRAY-RECORD</x:v>
      </x:c>
      <x:c r="E60" s="79" t="str">
        <x:v>◎</x:v>
      </x:c>
      <x:c r="F60" s="79" t="str">
        <x:v>◎</x:v>
      </x:c>
      <x:c r="G60" s="97" t="str">
        <x:v>待核定</x:v>
      </x:c>
      <x:c r="H60" s="99"/>
      <x:c r="I60" s="97"/>
      <x:c r="J60" s="97"/>
      <x:c r="K60" s="98" t="str">
        <x:f>IF($G60="核定通過","已核定",IF($G60="不納入","不納入",IF($G60="退回補件","退回補件",IF($G60="暫停","資格暫停","待主管核定"))))</x:f>
        <x:v>待主管核定</x:v>
      </x:c>
    </x:row>
    <x:row r="61">
      <x:c r="A61" s="79" t="str">
        <x:v>ABIL|1013|COMMON-PA</x:v>
      </x:c>
      <x:c r="B61" s="79" t="str">
        <x:v>能力評等</x:v>
      </x:c>
      <x:c r="C61" s="79" t="str"/>
      <x:c r="D61" s="79" t="str">
        <x:v>COMMON-PA</x:v>
      </x:c>
      <x:c r="E61" s="79" t="str">
        <x:v>◎</x:v>
      </x:c>
      <x:c r="F61" s="79" t="str">
        <x:v>◎</x:v>
      </x:c>
      <x:c r="G61" s="97" t="str">
        <x:v>待核定</x:v>
      </x:c>
      <x:c r="H61" s="99"/>
      <x:c r="I61" s="97"/>
      <x:c r="J61" s="97"/>
      <x:c r="K61" s="98" t="str">
        <x:f>IF($G61="核定通過","已核定",IF($G61="不納入","不納入",IF($G61="退回補件","退回補件",IF($G61="暫停","資格暫停","待主管核定"))))</x:f>
        <x:v>待主管核定</x:v>
      </x:c>
    </x:row>
    <x:row r="62">
      <x:c r="A62" s="79" t="str">
        <x:v>ABIL|1013|COMMON-IOS</x:v>
      </x:c>
      <x:c r="B62" s="79" t="str">
        <x:v>能力評等</x:v>
      </x:c>
      <x:c r="C62" s="79" t="str"/>
      <x:c r="D62" s="79" t="str">
        <x:v>COMMON-IOS</x:v>
      </x:c>
      <x:c r="E62" s="79" t="str">
        <x:v>◎</x:v>
      </x:c>
      <x:c r="F62" s="79" t="str">
        <x:v>◎</x:v>
      </x:c>
      <x:c r="G62" s="97" t="str">
        <x:v>待核定</x:v>
      </x:c>
      <x:c r="H62" s="99"/>
      <x:c r="I62" s="97"/>
      <x:c r="J62" s="97"/>
      <x:c r="K62" s="98" t="str">
        <x:f>IF($G62="核定通過","已核定",IF($G62="不納入","不納入",IF($G62="退回補件","退回補件",IF($G62="暫停","資格暫停","待主管核定"))))</x:f>
        <x:v>待主管核定</x:v>
      </x:c>
    </x:row>
    <x:row r="63">
      <x:c r="A63" s="79" t="str">
        <x:v>ABIL|1019|LJT-PREP-SCALING</x:v>
      </x:c>
      <x:c r="B63" s="79" t="str">
        <x:v>能力評等</x:v>
      </x:c>
      <x:c r="C63" s="79" t="str"/>
      <x:c r="D63" s="79" t="str">
        <x:v>LJT-PREP-SCALING</x:v>
      </x:c>
      <x:c r="E63" s="79" t="str">
        <x:v>◎</x:v>
      </x:c>
      <x:c r="F63" s="79" t="str">
        <x:v>◎</x:v>
      </x:c>
      <x:c r="G63" s="97" t="str">
        <x:v>待核定</x:v>
      </x:c>
      <x:c r="H63" s="99"/>
      <x:c r="I63" s="97"/>
      <x:c r="J63" s="97"/>
      <x:c r="K63" s="98" t="str">
        <x:f>IF($G63="核定通過","已核定",IF($G63="不納入","不納入",IF($G63="退回補件","退回補件",IF($G63="暫停","資格暫停","待主管核定"))))</x:f>
        <x:v>待主管核定</x:v>
      </x:c>
    </x:row>
    <x:row r="64">
      <x:c r="A64" s="79" t="str">
        <x:v>ABIL|1019|LJT-PREP-FILLING</x:v>
      </x:c>
      <x:c r="B64" s="79" t="str">
        <x:v>能力評等</x:v>
      </x:c>
      <x:c r="C64" s="79" t="str"/>
      <x:c r="D64" s="79" t="str">
        <x:v>LJT-PREP-FILLING</x:v>
      </x:c>
      <x:c r="E64" s="79" t="str">
        <x:v>◎</x:v>
      </x:c>
      <x:c r="F64" s="79" t="str">
        <x:v>◎</x:v>
      </x:c>
      <x:c r="G64" s="97" t="str">
        <x:v>待核定</x:v>
      </x:c>
      <x:c r="H64" s="99"/>
      <x:c r="I64" s="97"/>
      <x:c r="J64" s="97"/>
      <x:c r="K64" s="98" t="str">
        <x:f>IF($G64="核定通過","已核定",IF($G64="不納入","不納入",IF($G64="退回補件","退回補件",IF($G64="暫停","資格暫停","待主管核定"))))</x:f>
        <x:v>待主管核定</x:v>
      </x:c>
    </x:row>
    <x:row r="65">
      <x:c r="A65" s="79" t="str">
        <x:v>ABIL|1019|LJT-PREP-PERIO</x:v>
      </x:c>
      <x:c r="B65" s="79" t="str">
        <x:v>能力評等</x:v>
      </x:c>
      <x:c r="C65" s="79" t="str"/>
      <x:c r="D65" s="79" t="str">
        <x:v>LJT-PREP-PERIO</x:v>
      </x:c>
      <x:c r="E65" s="79" t="str">
        <x:v>◎</x:v>
      </x:c>
      <x:c r="F65" s="79" t="str">
        <x:v>◎</x:v>
      </x:c>
      <x:c r="G65" s="97" t="str">
        <x:v>待核定</x:v>
      </x:c>
      <x:c r="H65" s="99"/>
      <x:c r="I65" s="97"/>
      <x:c r="J65" s="97"/>
      <x:c r="K65" s="98" t="str">
        <x:f>IF($G65="核定通過","已核定",IF($G65="不納入","不納入",IF($G65="退回補件","退回補件",IF($G65="暫停","資格暫停","待主管核定"))))</x:f>
        <x:v>待主管核定</x:v>
      </x:c>
    </x:row>
    <x:row r="66">
      <x:c r="A66" s="79" t="str">
        <x:v>ABIL|1019|LJT-PREP-RCT</x:v>
      </x:c>
      <x:c r="B66" s="79" t="str">
        <x:v>能力評等</x:v>
      </x:c>
      <x:c r="C66" s="79" t="str"/>
      <x:c r="D66" s="79" t="str">
        <x:v>LJT-PREP-RCT</x:v>
      </x:c>
      <x:c r="E66" s="79" t="str">
        <x:v>◎</x:v>
      </x:c>
      <x:c r="F66" s="79" t="str">
        <x:v>◎</x:v>
      </x:c>
      <x:c r="G66" s="97" t="str">
        <x:v>待核定</x:v>
      </x:c>
      <x:c r="H66" s="99"/>
      <x:c r="I66" s="97"/>
      <x:c r="J66" s="97"/>
      <x:c r="K66" s="98" t="str">
        <x:f>IF($G66="核定通過","已核定",IF($G66="不納入","不納入",IF($G66="退回補件","退回補件",IF($G66="暫停","資格暫停","待主管核定"))))</x:f>
        <x:v>待主管核定</x:v>
      </x:c>
    </x:row>
    <x:row r="67">
      <x:c r="A67" s="79" t="str">
        <x:v>ABIL|1019|LJT-PREP-EXTRACTION</x:v>
      </x:c>
      <x:c r="B67" s="79" t="str">
        <x:v>能力評等</x:v>
      </x:c>
      <x:c r="C67" s="79" t="str"/>
      <x:c r="D67" s="79" t="str">
        <x:v>LJT-PREP-EXTRACTION</x:v>
      </x:c>
      <x:c r="E67" s="79" t="str">
        <x:v>◎</x:v>
      </x:c>
      <x:c r="F67" s="79" t="str">
        <x:v>◎</x:v>
      </x:c>
      <x:c r="G67" s="97" t="str">
        <x:v>待核定</x:v>
      </x:c>
      <x:c r="H67" s="99"/>
      <x:c r="I67" s="97"/>
      <x:c r="J67" s="97"/>
      <x:c r="K67" s="98" t="str">
        <x:f>IF($G67="核定通過","已核定",IF($G67="不納入","不納入",IF($G67="退回補件","退回補件",IF($G67="暫停","資格暫停","待主管核定"))))</x:f>
        <x:v>待主管核定</x:v>
      </x:c>
    </x:row>
    <x:row r="68">
      <x:c r="A68" s="79" t="str">
        <x:v>ABIL|1019|LJT-PREP-CROWNPOST</x:v>
      </x:c>
      <x:c r="B68" s="79" t="str">
        <x:v>能力評等</x:v>
      </x:c>
      <x:c r="C68" s="79" t="str"/>
      <x:c r="D68" s="79" t="str">
        <x:v>LJT-PREP-CROWNPOST</x:v>
      </x:c>
      <x:c r="E68" s="79" t="str">
        <x:v>◎</x:v>
      </x:c>
      <x:c r="F68" s="79" t="str">
        <x:v>◎</x:v>
      </x:c>
      <x:c r="G68" s="97" t="str">
        <x:v>待核定</x:v>
      </x:c>
      <x:c r="H68" s="99"/>
      <x:c r="I68" s="97"/>
      <x:c r="J68" s="97"/>
      <x:c r="K68" s="98" t="str">
        <x:f>IF($G68="核定通過","已核定",IF($G68="不納入","不納入",IF($G68="退回補件","退回補件",IF($G68="暫停","資格暫停","待主管核定"))))</x:f>
        <x:v>待主管核定</x:v>
      </x:c>
    </x:row>
    <x:row r="69">
      <x:c r="A69" s="79" t="str">
        <x:v>ABIL|1019|LJT-PREP-CROWN</x:v>
      </x:c>
      <x:c r="B69" s="79" t="str">
        <x:v>能力評等</x:v>
      </x:c>
      <x:c r="C69" s="79" t="str"/>
      <x:c r="D69" s="79" t="str">
        <x:v>LJT-PREP-CROWN</x:v>
      </x:c>
      <x:c r="E69" s="79" t="str">
        <x:v>◎</x:v>
      </x:c>
      <x:c r="F69" s="79" t="str">
        <x:v>◎</x:v>
      </x:c>
      <x:c r="G69" s="97" t="str">
        <x:v>待核定</x:v>
      </x:c>
      <x:c r="H69" s="99"/>
      <x:c r="I69" s="97"/>
      <x:c r="J69" s="97"/>
      <x:c r="K69" s="98" t="str">
        <x:f>IF($G69="核定通過","已核定",IF($G69="不納入","不納入",IF($G69="退回補件","退回補件",IF($G69="暫停","資格暫停","待主管核定"))))</x:f>
        <x:v>待主管核定</x:v>
      </x:c>
    </x:row>
    <x:row r="70">
      <x:c r="A70" s="79" t="str">
        <x:v>ABIL|1019|LJT-PREP-RPD</x:v>
      </x:c>
      <x:c r="B70" s="79" t="str">
        <x:v>能力評等</x:v>
      </x:c>
      <x:c r="C70" s="79" t="str"/>
      <x:c r="D70" s="79" t="str">
        <x:v>LJT-PREP-RPD</x:v>
      </x:c>
      <x:c r="E70" s="79" t="str">
        <x:v>◎</x:v>
      </x:c>
      <x:c r="F70" s="79" t="str">
        <x:v>◎</x:v>
      </x:c>
      <x:c r="G70" s="97" t="str">
        <x:v>待核定</x:v>
      </x:c>
      <x:c r="H70" s="99"/>
      <x:c r="I70" s="97"/>
      <x:c r="J70" s="97"/>
      <x:c r="K70" s="98" t="str">
        <x:f>IF($G70="核定通過","已核定",IF($G70="不納入","不納入",IF($G70="退回補件","退回補件",IF($G70="暫停","資格暫停","待主管核定"))))</x:f>
        <x:v>待主管核定</x:v>
      </x:c>
    </x:row>
    <x:row r="71">
      <x:c r="A71" s="79" t="str">
        <x:v>ABIL|1019|LJT-PREP-AIRPOLISH</x:v>
      </x:c>
      <x:c r="B71" s="79" t="str">
        <x:v>能力評等</x:v>
      </x:c>
      <x:c r="C71" s="79" t="str"/>
      <x:c r="D71" s="79" t="str">
        <x:v>LJT-PREP-AIRPOLISH</x:v>
      </x:c>
      <x:c r="E71" s="79" t="str">
        <x:v>◎</x:v>
      </x:c>
      <x:c r="F71" s="79" t="str">
        <x:v>◎</x:v>
      </x:c>
      <x:c r="G71" s="97" t="str">
        <x:v>待核定</x:v>
      </x:c>
      <x:c r="H71" s="99"/>
      <x:c r="I71" s="97"/>
      <x:c r="J71" s="97"/>
      <x:c r="K71" s="98" t="str">
        <x:f>IF($G71="核定通過","已核定",IF($G71="不納入","不納入",IF($G71="退回補件","退回補件",IF($G71="暫停","資格暫停","待主管核定"))))</x:f>
        <x:v>待主管核定</x:v>
      </x:c>
    </x:row>
    <x:row r="72">
      <x:c r="A72" s="79" t="str">
        <x:v>ABIL|1019|LJT-PREP-PERIOSURG</x:v>
      </x:c>
      <x:c r="B72" s="79" t="str">
        <x:v>能力評等</x:v>
      </x:c>
      <x:c r="C72" s="79" t="str"/>
      <x:c r="D72" s="79" t="str">
        <x:v>LJT-PREP-PERIOSURG</x:v>
      </x:c>
      <x:c r="E72" s="79" t="str">
        <x:v>◎</x:v>
      </x:c>
      <x:c r="F72" s="79" t="str">
        <x:v>◎</x:v>
      </x:c>
      <x:c r="G72" s="97" t="str">
        <x:v>待核定</x:v>
      </x:c>
      <x:c r="H72" s="99"/>
      <x:c r="I72" s="97"/>
      <x:c r="J72" s="97"/>
      <x:c r="K72" s="98" t="str">
        <x:f>IF($G72="核定通過","已核定",IF($G72="不納入","不納入",IF($G72="退回補件","退回補件",IF($G72="暫停","資格暫停","待主管核定"))))</x:f>
        <x:v>待主管核定</x:v>
      </x:c>
    </x:row>
    <x:row r="73">
      <x:c r="A73" s="79" t="str">
        <x:v>ABIL|1019|LJT-PREP-MICROENDO</x:v>
      </x:c>
      <x:c r="B73" s="79" t="str">
        <x:v>能力評等</x:v>
      </x:c>
      <x:c r="C73" s="79" t="str"/>
      <x:c r="D73" s="79" t="str">
        <x:v>LJT-PREP-MICROENDO</x:v>
      </x:c>
      <x:c r="E73" s="79" t="str">
        <x:v>◎</x:v>
      </x:c>
      <x:c r="F73" s="79" t="str">
        <x:v>◎</x:v>
      </x:c>
      <x:c r="G73" s="97" t="str">
        <x:v>待核定</x:v>
      </x:c>
      <x:c r="H73" s="99"/>
      <x:c r="I73" s="97"/>
      <x:c r="J73" s="97"/>
      <x:c r="K73" s="98" t="str">
        <x:f>IF($G73="核定通過","已核定",IF($G73="不納入","不納入",IF($G73="退回補件","退回補件",IF($G73="暫停","資格暫停","待主管核定"))))</x:f>
        <x:v>待主管核定</x:v>
      </x:c>
    </x:row>
    <x:row r="74">
      <x:c r="A74" s="79" t="str">
        <x:v>ABIL|1019|LJT-PREP-IMPLANT</x:v>
      </x:c>
      <x:c r="B74" s="79" t="str">
        <x:v>能力評等</x:v>
      </x:c>
      <x:c r="C74" s="79" t="str"/>
      <x:c r="D74" s="79" t="str">
        <x:v>LJT-PREP-IMPLANT</x:v>
      </x:c>
      <x:c r="E74" s="79" t="str">
        <x:v>◎</x:v>
      </x:c>
      <x:c r="F74" s="79" t="str">
        <x:v>◎</x:v>
      </x:c>
      <x:c r="G74" s="97" t="str">
        <x:v>待核定</x:v>
      </x:c>
      <x:c r="H74" s="99"/>
      <x:c r="I74" s="97"/>
      <x:c r="J74" s="97"/>
      <x:c r="K74" s="98" t="str">
        <x:f>IF($G74="核定通過","已核定",IF($G74="不納入","不納入",IF($G74="退回補件","退回補件",IF($G74="暫停","資格暫停","待主管核定"))))</x:f>
        <x:v>待主管核定</x:v>
      </x:c>
    </x:row>
    <x:row r="75">
      <x:c r="A75" s="79" t="str">
        <x:v>ABIL|1019|COMMON-RECORD</x:v>
      </x:c>
      <x:c r="B75" s="79" t="str">
        <x:v>能力評等</x:v>
      </x:c>
      <x:c r="C75" s="79" t="str"/>
      <x:c r="D75" s="79" t="str">
        <x:v>COMMON-RECORD</x:v>
      </x:c>
      <x:c r="E75" s="79" t="str">
        <x:v>◎</x:v>
      </x:c>
      <x:c r="F75" s="79" t="str">
        <x:v>◎</x:v>
      </x:c>
      <x:c r="G75" s="97" t="str">
        <x:v>待核定</x:v>
      </x:c>
      <x:c r="H75" s="99"/>
      <x:c r="I75" s="97"/>
      <x:c r="J75" s="97"/>
      <x:c r="K75" s="98" t="str">
        <x:f>IF($G75="核定通過","已核定",IF($G75="不納入","不納入",IF($G75="退回補件","退回補件",IF($G75="暫停","資格暫停","待主管核定"))))</x:f>
        <x:v>待主管核定</x:v>
      </x:c>
    </x:row>
    <x:row r="76">
      <x:c r="A76" s="79" t="str">
        <x:v>ABIL|1019|COMMON-INSURANCE</x:v>
      </x:c>
      <x:c r="B76" s="79" t="str">
        <x:v>能力評等</x:v>
      </x:c>
      <x:c r="C76" s="79" t="str"/>
      <x:c r="D76" s="79" t="str">
        <x:v>COMMON-INSURANCE</x:v>
      </x:c>
      <x:c r="E76" s="79" t="str">
        <x:v>◎</x:v>
      </x:c>
      <x:c r="F76" s="79" t="str">
        <x:v>◎</x:v>
      </x:c>
      <x:c r="G76" s="97" t="str">
        <x:v>待核定</x:v>
      </x:c>
      <x:c r="H76" s="99"/>
      <x:c r="I76" s="97"/>
      <x:c r="J76" s="97"/>
      <x:c r="K76" s="98" t="str">
        <x:f>IF($G76="核定通過","已核定",IF($G76="不納入","不納入",IF($G76="退回補件","退回補件",IF($G76="暫停","資格暫停","待主管核定"))))</x:f>
        <x:v>待主管核定</x:v>
      </x:c>
    </x:row>
    <x:row r="77">
      <x:c r="A77" s="79" t="str">
        <x:v>ABIL|1019|COMMON-XRAY-RECORD</x:v>
      </x:c>
      <x:c r="B77" s="79" t="str">
        <x:v>能力評等</x:v>
      </x:c>
      <x:c r="C77" s="79" t="str"/>
      <x:c r="D77" s="79" t="str">
        <x:v>COMMON-XRAY-RECORD</x:v>
      </x:c>
      <x:c r="E77" s="79" t="str">
        <x:v>◎</x:v>
      </x:c>
      <x:c r="F77" s="79" t="str">
        <x:v>◎</x:v>
      </x:c>
      <x:c r="G77" s="97" t="str">
        <x:v>待核定</x:v>
      </x:c>
      <x:c r="H77" s="99"/>
      <x:c r="I77" s="97"/>
      <x:c r="J77" s="97"/>
      <x:c r="K77" s="98" t="str">
        <x:f>IF($G77="核定通過","已核定",IF($G77="不納入","不納入",IF($G77="退回補件","退回補件",IF($G77="暫停","資格暫停","待主管核定"))))</x:f>
        <x:v>待主管核定</x:v>
      </x:c>
    </x:row>
    <x:row r="78">
      <x:c r="A78" s="79" t="str">
        <x:v>ABIL|1019|COMMON-PA</x:v>
      </x:c>
      <x:c r="B78" s="79" t="str">
        <x:v>能力評等</x:v>
      </x:c>
      <x:c r="C78" s="79" t="str"/>
      <x:c r="D78" s="79" t="str">
        <x:v>COMMON-PA</x:v>
      </x:c>
      <x:c r="E78" s="79" t="str">
        <x:v>◎</x:v>
      </x:c>
      <x:c r="F78" s="79" t="str">
        <x:v>◎</x:v>
      </x:c>
      <x:c r="G78" s="97" t="str">
        <x:v>待核定</x:v>
      </x:c>
      <x:c r="H78" s="99"/>
      <x:c r="I78" s="97"/>
      <x:c r="J78" s="97"/>
      <x:c r="K78" s="98" t="str">
        <x:f>IF($G78="核定通過","已核定",IF($G78="不納入","不納入",IF($G78="退回補件","退回補件",IF($G78="暫停","資格暫停","待主管核定"))))</x:f>
        <x:v>待主管核定</x:v>
      </x:c>
    </x:row>
    <x:row r="79">
      <x:c r="A79" s="79" t="str">
        <x:v>ABIL|1019|COMMON-IOS</x:v>
      </x:c>
      <x:c r="B79" s="79" t="str">
        <x:v>能力評等</x:v>
      </x:c>
      <x:c r="C79" s="79" t="str"/>
      <x:c r="D79" s="79" t="str">
        <x:v>COMMON-IOS</x:v>
      </x:c>
      <x:c r="E79" s="79" t="str">
        <x:v>◎</x:v>
      </x:c>
      <x:c r="F79" s="79" t="str">
        <x:v>◎</x:v>
      </x:c>
      <x:c r="G79" s="97" t="str">
        <x:v>待核定</x:v>
      </x:c>
      <x:c r="H79" s="99"/>
      <x:c r="I79" s="97"/>
      <x:c r="J79" s="97"/>
      <x:c r="K79" s="98" t="str">
        <x:f>IF($G79="核定通過","已核定",IF($G79="不納入","不納入",IF($G79="退回補件","退回補件",IF($G79="暫停","資格暫停","待主管核定"))))</x:f>
        <x:v>待主管核定</x:v>
      </x:c>
    </x:row>
    <x:row r="80">
      <x:c r="A80" s="79" t="str">
        <x:v>ABIL|1020|LJT-PREP-SCALING</x:v>
      </x:c>
      <x:c r="B80" s="79" t="str">
        <x:v>能力評等</x:v>
      </x:c>
      <x:c r="C80" s="79" t="str"/>
      <x:c r="D80" s="79" t="str">
        <x:v>LJT-PREP-SCALING</x:v>
      </x:c>
      <x:c r="E80" s="79" t="str">
        <x:v>◎</x:v>
      </x:c>
      <x:c r="F80" s="79" t="str">
        <x:v>◎</x:v>
      </x:c>
      <x:c r="G80" s="97" t="str">
        <x:v>待核定</x:v>
      </x:c>
      <x:c r="H80" s="99"/>
      <x:c r="I80" s="97"/>
      <x:c r="J80" s="97"/>
      <x:c r="K80" s="98" t="str">
        <x:f>IF($G80="核定通過","已核定",IF($G80="不納入","不納入",IF($G80="退回補件","退回補件",IF($G80="暫停","資格暫停","待主管核定"))))</x:f>
        <x:v>待主管核定</x:v>
      </x:c>
    </x:row>
    <x:row r="81">
      <x:c r="A81" s="79" t="str">
        <x:v>ABIL|1020|LJT-PREP-FILLING</x:v>
      </x:c>
      <x:c r="B81" s="79" t="str">
        <x:v>能力評等</x:v>
      </x:c>
      <x:c r="C81" s="79" t="str"/>
      <x:c r="D81" s="79" t="str">
        <x:v>LJT-PREP-FILLING</x:v>
      </x:c>
      <x:c r="E81" s="79" t="str">
        <x:v>◎</x:v>
      </x:c>
      <x:c r="F81" s="79" t="str">
        <x:v>◎</x:v>
      </x:c>
      <x:c r="G81" s="97" t="str">
        <x:v>待核定</x:v>
      </x:c>
      <x:c r="H81" s="99"/>
      <x:c r="I81" s="97"/>
      <x:c r="J81" s="97"/>
      <x:c r="K81" s="98" t="str">
        <x:f>IF($G81="核定通過","已核定",IF($G81="不納入","不納入",IF($G81="退回補件","退回補件",IF($G81="暫停","資格暫停","待主管核定"))))</x:f>
        <x:v>待主管核定</x:v>
      </x:c>
    </x:row>
    <x:row r="82">
      <x:c r="A82" s="79" t="str">
        <x:v>ABIL|1020|LJT-PREP-PERIO</x:v>
      </x:c>
      <x:c r="B82" s="79" t="str">
        <x:v>能力評等</x:v>
      </x:c>
      <x:c r="C82" s="79" t="str"/>
      <x:c r="D82" s="79" t="str">
        <x:v>LJT-PREP-PERIO</x:v>
      </x:c>
      <x:c r="E82" s="79" t="str">
        <x:v>◎</x:v>
      </x:c>
      <x:c r="F82" s="79" t="str">
        <x:v>◎</x:v>
      </x:c>
      <x:c r="G82" s="97" t="str">
        <x:v>待核定</x:v>
      </x:c>
      <x:c r="H82" s="99"/>
      <x:c r="I82" s="97"/>
      <x:c r="J82" s="97"/>
      <x:c r="K82" s="98" t="str">
        <x:f>IF($G82="核定通過","已核定",IF($G82="不納入","不納入",IF($G82="退回補件","退回補件",IF($G82="暫停","資格暫停","待主管核定"))))</x:f>
        <x:v>待主管核定</x:v>
      </x:c>
    </x:row>
    <x:row r="83">
      <x:c r="A83" s="79" t="str">
        <x:v>ABIL|1020|LJT-PREP-RCT</x:v>
      </x:c>
      <x:c r="B83" s="79" t="str">
        <x:v>能力評等</x:v>
      </x:c>
      <x:c r="C83" s="79" t="str"/>
      <x:c r="D83" s="79" t="str">
        <x:v>LJT-PREP-RCT</x:v>
      </x:c>
      <x:c r="E83" s="79" t="str">
        <x:v>◎</x:v>
      </x:c>
      <x:c r="F83" s="79" t="str">
        <x:v>◎</x:v>
      </x:c>
      <x:c r="G83" s="97" t="str">
        <x:v>待核定</x:v>
      </x:c>
      <x:c r="H83" s="99"/>
      <x:c r="I83" s="97"/>
      <x:c r="J83" s="97"/>
      <x:c r="K83" s="98" t="str">
        <x:f>IF($G83="核定通過","已核定",IF($G83="不納入","不納入",IF($G83="退回補件","退回補件",IF($G83="暫停","資格暫停","待主管核定"))))</x:f>
        <x:v>待主管核定</x:v>
      </x:c>
    </x:row>
    <x:row r="84">
      <x:c r="A84" s="79" t="str">
        <x:v>ABIL|1020|LJT-PREP-EXTRACTION</x:v>
      </x:c>
      <x:c r="B84" s="79" t="str">
        <x:v>能力評等</x:v>
      </x:c>
      <x:c r="C84" s="79" t="str"/>
      <x:c r="D84" s="79" t="str">
        <x:v>LJT-PREP-EXTRACTION</x:v>
      </x:c>
      <x:c r="E84" s="79" t="str">
        <x:v>◎</x:v>
      </x:c>
      <x:c r="F84" s="79" t="str">
        <x:v>◎</x:v>
      </x:c>
      <x:c r="G84" s="97" t="str">
        <x:v>待核定</x:v>
      </x:c>
      <x:c r="H84" s="99"/>
      <x:c r="I84" s="97"/>
      <x:c r="J84" s="97"/>
      <x:c r="K84" s="98" t="str">
        <x:f>IF($G84="核定通過","已核定",IF($G84="不納入","不納入",IF($G84="退回補件","退回補件",IF($G84="暫停","資格暫停","待主管核定"))))</x:f>
        <x:v>待主管核定</x:v>
      </x:c>
    </x:row>
    <x:row r="85">
      <x:c r="A85" s="79" t="str">
        <x:v>ABIL|1020|LJT-PREP-CROWNPOST</x:v>
      </x:c>
      <x:c r="B85" s="79" t="str">
        <x:v>能力評等</x:v>
      </x:c>
      <x:c r="C85" s="79" t="str"/>
      <x:c r="D85" s="79" t="str">
        <x:v>LJT-PREP-CROWNPOST</x:v>
      </x:c>
      <x:c r="E85" s="79" t="str">
        <x:v>◎</x:v>
      </x:c>
      <x:c r="F85" s="79" t="str">
        <x:v>◎</x:v>
      </x:c>
      <x:c r="G85" s="97" t="str">
        <x:v>待核定</x:v>
      </x:c>
      <x:c r="H85" s="99"/>
      <x:c r="I85" s="97"/>
      <x:c r="J85" s="97"/>
      <x:c r="K85" s="98" t="str">
        <x:f>IF($G85="核定通過","已核定",IF($G85="不納入","不納入",IF($G85="退回補件","退回補件",IF($G85="暫停","資格暫停","待主管核定"))))</x:f>
        <x:v>待主管核定</x:v>
      </x:c>
    </x:row>
    <x:row r="86">
      <x:c r="A86" s="79" t="str">
        <x:v>ABIL|1020|LJT-PREP-CROWN</x:v>
      </x:c>
      <x:c r="B86" s="79" t="str">
        <x:v>能力評等</x:v>
      </x:c>
      <x:c r="C86" s="79" t="str"/>
      <x:c r="D86" s="79" t="str">
        <x:v>LJT-PREP-CROWN</x:v>
      </x:c>
      <x:c r="E86" s="79" t="str">
        <x:v>◎</x:v>
      </x:c>
      <x:c r="F86" s="79" t="str">
        <x:v>◎</x:v>
      </x:c>
      <x:c r="G86" s="97" t="str">
        <x:v>待核定</x:v>
      </x:c>
      <x:c r="H86" s="99"/>
      <x:c r="I86" s="97"/>
      <x:c r="J86" s="97"/>
      <x:c r="K86" s="98" t="str">
        <x:f>IF($G86="核定通過","已核定",IF($G86="不納入","不納入",IF($G86="退回補件","退回補件",IF($G86="暫停","資格暫停","待主管核定"))))</x:f>
        <x:v>待主管核定</x:v>
      </x:c>
    </x:row>
    <x:row r="87">
      <x:c r="A87" s="79" t="str">
        <x:v>ABIL|1020|LJT-PREP-RPD</x:v>
      </x:c>
      <x:c r="B87" s="79" t="str">
        <x:v>能力評等</x:v>
      </x:c>
      <x:c r="C87" s="79" t="str"/>
      <x:c r="D87" s="79" t="str">
        <x:v>LJT-PREP-RPD</x:v>
      </x:c>
      <x:c r="E87" s="79" t="str">
        <x:v>◎</x:v>
      </x:c>
      <x:c r="F87" s="79" t="str">
        <x:v>◎</x:v>
      </x:c>
      <x:c r="G87" s="97" t="str">
        <x:v>待核定</x:v>
      </x:c>
      <x:c r="H87" s="99"/>
      <x:c r="I87" s="97"/>
      <x:c r="J87" s="97"/>
      <x:c r="K87" s="98" t="str">
        <x:f>IF($G87="核定通過","已核定",IF($G87="不納入","不納入",IF($G87="退回補件","退回補件",IF($G87="暫停","資格暫停","待主管核定"))))</x:f>
        <x:v>待主管核定</x:v>
      </x:c>
    </x:row>
    <x:row r="88">
      <x:c r="A88" s="79" t="str">
        <x:v>ABIL|1020|LJT-PREP-AIRPOLISH</x:v>
      </x:c>
      <x:c r="B88" s="79" t="str">
        <x:v>能力評等</x:v>
      </x:c>
      <x:c r="C88" s="79" t="str"/>
      <x:c r="D88" s="79" t="str">
        <x:v>LJT-PREP-AIRPOLISH</x:v>
      </x:c>
      <x:c r="E88" s="79" t="str">
        <x:v>◎</x:v>
      </x:c>
      <x:c r="F88" s="79" t="str">
        <x:v>◎</x:v>
      </x:c>
      <x:c r="G88" s="97" t="str">
        <x:v>待核定</x:v>
      </x:c>
      <x:c r="H88" s="99"/>
      <x:c r="I88" s="97"/>
      <x:c r="J88" s="97"/>
      <x:c r="K88" s="98" t="str">
        <x:f>IF($G88="核定通過","已核定",IF($G88="不納入","不納入",IF($G88="退回補件","退回補件",IF($G88="暫停","資格暫停","待主管核定"))))</x:f>
        <x:v>待主管核定</x:v>
      </x:c>
    </x:row>
    <x:row r="89">
      <x:c r="A89" s="79" t="str">
        <x:v>ABIL|1020|LJT-PREP-PERIOSURG</x:v>
      </x:c>
      <x:c r="B89" s="79" t="str">
        <x:v>能力評等</x:v>
      </x:c>
      <x:c r="C89" s="79" t="str"/>
      <x:c r="D89" s="79" t="str">
        <x:v>LJT-PREP-PERIOSURG</x:v>
      </x:c>
      <x:c r="E89" s="79" t="str">
        <x:v>◎</x:v>
      </x:c>
      <x:c r="F89" s="79" t="str">
        <x:v>◎</x:v>
      </x:c>
      <x:c r="G89" s="97" t="str">
        <x:v>待核定</x:v>
      </x:c>
      <x:c r="H89" s="99"/>
      <x:c r="I89" s="97"/>
      <x:c r="J89" s="97"/>
      <x:c r="K89" s="98" t="str">
        <x:f>IF($G89="核定通過","已核定",IF($G89="不納入","不納入",IF($G89="退回補件","退回補件",IF($G89="暫停","資格暫停","待主管核定"))))</x:f>
        <x:v>待主管核定</x:v>
      </x:c>
    </x:row>
    <x:row r="90">
      <x:c r="A90" s="79" t="str">
        <x:v>ABIL|1020|LJT-PREP-MICROENDO</x:v>
      </x:c>
      <x:c r="B90" s="79" t="str">
        <x:v>能力評等</x:v>
      </x:c>
      <x:c r="C90" s="79" t="str"/>
      <x:c r="D90" s="79" t="str">
        <x:v>LJT-PREP-MICROENDO</x:v>
      </x:c>
      <x:c r="E90" s="79" t="str">
        <x:v>◎</x:v>
      </x:c>
      <x:c r="F90" s="79" t="str">
        <x:v>◎</x:v>
      </x:c>
      <x:c r="G90" s="97" t="str">
        <x:v>待核定</x:v>
      </x:c>
      <x:c r="H90" s="99"/>
      <x:c r="I90" s="97"/>
      <x:c r="J90" s="97"/>
      <x:c r="K90" s="98" t="str">
        <x:f>IF($G90="核定通過","已核定",IF($G90="不納入","不納入",IF($G90="退回補件","退回補件",IF($G90="暫停","資格暫停","待主管核定"))))</x:f>
        <x:v>待主管核定</x:v>
      </x:c>
    </x:row>
    <x:row r="91">
      <x:c r="A91" s="79" t="str">
        <x:v>ABIL|1020|LJT-PREP-IMPLANT</x:v>
      </x:c>
      <x:c r="B91" s="79" t="str">
        <x:v>能力評等</x:v>
      </x:c>
      <x:c r="C91" s="79" t="str"/>
      <x:c r="D91" s="79" t="str">
        <x:v>LJT-PREP-IMPLANT</x:v>
      </x:c>
      <x:c r="E91" s="79" t="str">
        <x:v>◎</x:v>
      </x:c>
      <x:c r="F91" s="79" t="str">
        <x:v>◎</x:v>
      </x:c>
      <x:c r="G91" s="97" t="str">
        <x:v>待核定</x:v>
      </x:c>
      <x:c r="H91" s="99"/>
      <x:c r="I91" s="97"/>
      <x:c r="J91" s="97"/>
      <x:c r="K91" s="98" t="str">
        <x:f>IF($G91="核定通過","已核定",IF($G91="不納入","不納入",IF($G91="退回補件","退回補件",IF($G91="暫停","資格暫停","待主管核定"))))</x:f>
        <x:v>待主管核定</x:v>
      </x:c>
    </x:row>
    <x:row r="92">
      <x:c r="A92" s="79" t="str">
        <x:v>ABIL|1020|COMMON-RECORD</x:v>
      </x:c>
      <x:c r="B92" s="79" t="str">
        <x:v>能力評等</x:v>
      </x:c>
      <x:c r="C92" s="79" t="str"/>
      <x:c r="D92" s="79" t="str">
        <x:v>COMMON-RECORD</x:v>
      </x:c>
      <x:c r="E92" s="79" t="str">
        <x:v>◎</x:v>
      </x:c>
      <x:c r="F92" s="79" t="str">
        <x:v>◎</x:v>
      </x:c>
      <x:c r="G92" s="97" t="str">
        <x:v>待核定</x:v>
      </x:c>
      <x:c r="H92" s="99"/>
      <x:c r="I92" s="97"/>
      <x:c r="J92" s="97"/>
      <x:c r="K92" s="98" t="str">
        <x:f>IF($G92="核定通過","已核定",IF($G92="不納入","不納入",IF($G92="退回補件","退回補件",IF($G92="暫停","資格暫停","待主管核定"))))</x:f>
        <x:v>待主管核定</x:v>
      </x:c>
    </x:row>
    <x:row r="93">
      <x:c r="A93" s="79" t="str">
        <x:v>ABIL|1020|COMMON-INSURANCE</x:v>
      </x:c>
      <x:c r="B93" s="79" t="str">
        <x:v>能力評等</x:v>
      </x:c>
      <x:c r="C93" s="79" t="str"/>
      <x:c r="D93" s="79" t="str">
        <x:v>COMMON-INSURANCE</x:v>
      </x:c>
      <x:c r="E93" s="79" t="str">
        <x:v>◎</x:v>
      </x:c>
      <x:c r="F93" s="79" t="str">
        <x:v>◎</x:v>
      </x:c>
      <x:c r="G93" s="97" t="str">
        <x:v>待核定</x:v>
      </x:c>
      <x:c r="H93" s="99"/>
      <x:c r="I93" s="97"/>
      <x:c r="J93" s="97"/>
      <x:c r="K93" s="98" t="str">
        <x:f>IF($G93="核定通過","已核定",IF($G93="不納入","不納入",IF($G93="退回補件","退回補件",IF($G93="暫停","資格暫停","待主管核定"))))</x:f>
        <x:v>待主管核定</x:v>
      </x:c>
    </x:row>
    <x:row r="94">
      <x:c r="A94" s="79" t="str">
        <x:v>ABIL|1020|COMMON-XRAY-RECORD</x:v>
      </x:c>
      <x:c r="B94" s="79" t="str">
        <x:v>能力評等</x:v>
      </x:c>
      <x:c r="C94" s="79" t="str"/>
      <x:c r="D94" s="79" t="str">
        <x:v>COMMON-XRAY-RECORD</x:v>
      </x:c>
      <x:c r="E94" s="79" t="str">
        <x:v>◎</x:v>
      </x:c>
      <x:c r="F94" s="79" t="str">
        <x:v>◎</x:v>
      </x:c>
      <x:c r="G94" s="97" t="str">
        <x:v>待核定</x:v>
      </x:c>
      <x:c r="H94" s="99"/>
      <x:c r="I94" s="97"/>
      <x:c r="J94" s="97"/>
      <x:c r="K94" s="98" t="str">
        <x:f>IF($G94="核定通過","已核定",IF($G94="不納入","不納入",IF($G94="退回補件","退回補件",IF($G94="暫停","資格暫停","待主管核定"))))</x:f>
        <x:v>待主管核定</x:v>
      </x:c>
    </x:row>
    <x:row r="95">
      <x:c r="A95" s="79" t="str">
        <x:v>ABIL|1020|COMMON-PA</x:v>
      </x:c>
      <x:c r="B95" s="79" t="str">
        <x:v>能力評等</x:v>
      </x:c>
      <x:c r="C95" s="79" t="str"/>
      <x:c r="D95" s="79" t="str">
        <x:v>COMMON-PA</x:v>
      </x:c>
      <x:c r="E95" s="79" t="str">
        <x:v>◎</x:v>
      </x:c>
      <x:c r="F95" s="79" t="str">
        <x:v>◎</x:v>
      </x:c>
      <x:c r="G95" s="97" t="str">
        <x:v>待核定</x:v>
      </x:c>
      <x:c r="H95" s="99"/>
      <x:c r="I95" s="97"/>
      <x:c r="J95" s="97"/>
      <x:c r="K95" s="98" t="str">
        <x:f>IF($G95="核定通過","已核定",IF($G95="不納入","不納入",IF($G95="退回補件","退回補件",IF($G95="暫停","資格暫停","待主管核定"))))</x:f>
        <x:v>待主管核定</x:v>
      </x:c>
    </x:row>
    <x:row r="96">
      <x:c r="A96" s="79" t="str">
        <x:v>ABIL|1020|COMMON-IOS</x:v>
      </x:c>
      <x:c r="B96" s="79" t="str">
        <x:v>能力評等</x:v>
      </x:c>
      <x:c r="C96" s="79" t="str"/>
      <x:c r="D96" s="79" t="str">
        <x:v>COMMON-IOS</x:v>
      </x:c>
      <x:c r="E96" s="79" t="str">
        <x:v>◎</x:v>
      </x:c>
      <x:c r="F96" s="79" t="str">
        <x:v>◎</x:v>
      </x:c>
      <x:c r="G96" s="97" t="str">
        <x:v>待核定</x:v>
      </x:c>
      <x:c r="H96" s="99"/>
      <x:c r="I96" s="97"/>
      <x:c r="J96" s="97"/>
      <x:c r="K96" s="98" t="str">
        <x:f>IF($G96="核定通過","已核定",IF($G96="不納入","不納入",IF($G96="退回補件","退回補件",IF($G96="暫停","資格暫停","待主管核定"))))</x:f>
        <x:v>待主管核定</x:v>
      </x:c>
    </x:row>
    <x:row r="97">
      <x:c r="A97" s="79" t="str">
        <x:v>ABIL|1025|LJT-PREP-SCALING</x:v>
      </x:c>
      <x:c r="B97" s="79" t="str">
        <x:v>能力評等</x:v>
      </x:c>
      <x:c r="C97" s="79" t="str"/>
      <x:c r="D97" s="79" t="str">
        <x:v>LJT-PREP-SCALING</x:v>
      </x:c>
      <x:c r="E97" s="79" t="str">
        <x:v>Ø</x:v>
      </x:c>
      <x:c r="F97" s="79" t="str">
        <x:v>Ø</x:v>
      </x:c>
      <x:c r="G97" s="97" t="str">
        <x:v>待核定</x:v>
      </x:c>
      <x:c r="H97" s="99"/>
      <x:c r="I97" s="97"/>
      <x:c r="J97" s="97"/>
      <x:c r="K97" s="98" t="str">
        <x:f>IF($G97="核定通過","已核定",IF($G97="不納入","不納入",IF($G97="退回補件","退回補件",IF($G97="暫停","資格暫停","待主管核定"))))</x:f>
        <x:v>待主管核定</x:v>
      </x:c>
    </x:row>
    <x:row r="98">
      <x:c r="A98" s="79" t="str">
        <x:v>ABIL|1025|LJT-PREP-FILLING</x:v>
      </x:c>
      <x:c r="B98" s="79" t="str">
        <x:v>能力評等</x:v>
      </x:c>
      <x:c r="C98" s="79" t="str"/>
      <x:c r="D98" s="79" t="str">
        <x:v>LJT-PREP-FILLING</x:v>
      </x:c>
      <x:c r="E98" s="79" t="str">
        <x:v>Ø</x:v>
      </x:c>
      <x:c r="F98" s="79" t="str">
        <x:v>Ø</x:v>
      </x:c>
      <x:c r="G98" s="97" t="str">
        <x:v>待核定</x:v>
      </x:c>
      <x:c r="H98" s="99"/>
      <x:c r="I98" s="97"/>
      <x:c r="J98" s="97"/>
      <x:c r="K98" s="98" t="str">
        <x:f>IF($G98="核定通過","已核定",IF($G98="不納入","不納入",IF($G98="退回補件","退回補件",IF($G98="暫停","資格暫停","待主管核定"))))</x:f>
        <x:v>待主管核定</x:v>
      </x:c>
    </x:row>
    <x:row r="99">
      <x:c r="A99" s="79" t="str">
        <x:v>ABIL|1025|LJT-PREP-PERIO</x:v>
      </x:c>
      <x:c r="B99" s="79" t="str">
        <x:v>能力評等</x:v>
      </x:c>
      <x:c r="C99" s="79" t="str"/>
      <x:c r="D99" s="79" t="str">
        <x:v>LJT-PREP-PERIO</x:v>
      </x:c>
      <x:c r="E99" s="79" t="str">
        <x:v>Ø</x:v>
      </x:c>
      <x:c r="F99" s="79" t="str">
        <x:v>Ø</x:v>
      </x:c>
      <x:c r="G99" s="97" t="str">
        <x:v>待核定</x:v>
      </x:c>
      <x:c r="H99" s="99"/>
      <x:c r="I99" s="97"/>
      <x:c r="J99" s="97"/>
      <x:c r="K99" s="98" t="str">
        <x:f>IF($G99="核定通過","已核定",IF($G99="不納入","不納入",IF($G99="退回補件","退回補件",IF($G99="暫停","資格暫停","待主管核定"))))</x:f>
        <x:v>待主管核定</x:v>
      </x:c>
    </x:row>
    <x:row r="100">
      <x:c r="A100" s="79" t="str">
        <x:v>ABIL|1025|LJT-PREP-RCT</x:v>
      </x:c>
      <x:c r="B100" s="79" t="str">
        <x:v>能力評等</x:v>
      </x:c>
      <x:c r="C100" s="79" t="str"/>
      <x:c r="D100" s="79" t="str">
        <x:v>LJT-PREP-RCT</x:v>
      </x:c>
      <x:c r="E100" s="79" t="str">
        <x:v>Ø</x:v>
      </x:c>
      <x:c r="F100" s="79" t="str">
        <x:v>Ø</x:v>
      </x:c>
      <x:c r="G100" s="97" t="str">
        <x:v>待核定</x:v>
      </x:c>
      <x:c r="H100" s="99"/>
      <x:c r="I100" s="97"/>
      <x:c r="J100" s="97"/>
      <x:c r="K100" s="98" t="str">
        <x:f>IF($G100="核定通過","已核定",IF($G100="不納入","不納入",IF($G100="退回補件","退回補件",IF($G100="暫停","資格暫停","待主管核定"))))</x:f>
        <x:v>待主管核定</x:v>
      </x:c>
    </x:row>
    <x:row r="101">
      <x:c r="A101" s="79" t="str">
        <x:v>ABIL|1025|LJT-PREP-EXTRACTION</x:v>
      </x:c>
      <x:c r="B101" s="79" t="str">
        <x:v>能力評等</x:v>
      </x:c>
      <x:c r="C101" s="79" t="str"/>
      <x:c r="D101" s="79" t="str">
        <x:v>LJT-PREP-EXTRACTION</x:v>
      </x:c>
      <x:c r="E101" s="79" t="str">
        <x:v>Ø</x:v>
      </x:c>
      <x:c r="F101" s="79" t="str">
        <x:v>Ø</x:v>
      </x:c>
      <x:c r="G101" s="97" t="str">
        <x:v>待核定</x:v>
      </x:c>
      <x:c r="H101" s="99"/>
      <x:c r="I101" s="97"/>
      <x:c r="J101" s="97"/>
      <x:c r="K101" s="98" t="str">
        <x:f>IF($G101="核定通過","已核定",IF($G101="不納入","不納入",IF($G101="退回補件","退回補件",IF($G101="暫停","資格暫停","待主管核定"))))</x:f>
        <x:v>待主管核定</x:v>
      </x:c>
    </x:row>
    <x:row r="102">
      <x:c r="A102" s="79" t="str">
        <x:v>ABIL|1025|LJT-PREP-CROWNPOST</x:v>
      </x:c>
      <x:c r="B102" s="79" t="str">
        <x:v>能力評等</x:v>
      </x:c>
      <x:c r="C102" s="79" t="str"/>
      <x:c r="D102" s="79" t="str">
        <x:v>LJT-PREP-CROWNPOST</x:v>
      </x:c>
      <x:c r="E102" s="79" t="str">
        <x:v>Ø</x:v>
      </x:c>
      <x:c r="F102" s="79" t="str">
        <x:v>Ø</x:v>
      </x:c>
      <x:c r="G102" s="97" t="str">
        <x:v>待核定</x:v>
      </x:c>
      <x:c r="H102" s="99"/>
      <x:c r="I102" s="97"/>
      <x:c r="J102" s="97"/>
      <x:c r="K102" s="98" t="str">
        <x:f>IF($G102="核定通過","已核定",IF($G102="不納入","不納入",IF($G102="退回補件","退回補件",IF($G102="暫停","資格暫停","待主管核定"))))</x:f>
        <x:v>待主管核定</x:v>
      </x:c>
    </x:row>
    <x:row r="103">
      <x:c r="A103" s="79" t="str">
        <x:v>ABIL|1025|LJT-PREP-CROWN</x:v>
      </x:c>
      <x:c r="B103" s="79" t="str">
        <x:v>能力評等</x:v>
      </x:c>
      <x:c r="C103" s="79" t="str"/>
      <x:c r="D103" s="79" t="str">
        <x:v>LJT-PREP-CROWN</x:v>
      </x:c>
      <x:c r="E103" s="79" t="str">
        <x:v>Ø</x:v>
      </x:c>
      <x:c r="F103" s="79" t="str">
        <x:v>Ø</x:v>
      </x:c>
      <x:c r="G103" s="97" t="str">
        <x:v>待核定</x:v>
      </x:c>
      <x:c r="H103" s="99"/>
      <x:c r="I103" s="97"/>
      <x:c r="J103" s="97"/>
      <x:c r="K103" s="98" t="str">
        <x:f>IF($G103="核定通過","已核定",IF($G103="不納入","不納入",IF($G103="退回補件","退回補件",IF($G103="暫停","資格暫停","待主管核定"))))</x:f>
        <x:v>待主管核定</x:v>
      </x:c>
    </x:row>
    <x:row r="104">
      <x:c r="A104" s="79" t="str">
        <x:v>ABIL|1025|LJT-PREP-RPD</x:v>
      </x:c>
      <x:c r="B104" s="79" t="str">
        <x:v>能力評等</x:v>
      </x:c>
      <x:c r="C104" s="79" t="str"/>
      <x:c r="D104" s="79" t="str">
        <x:v>LJT-PREP-RPD</x:v>
      </x:c>
      <x:c r="E104" s="79" t="str">
        <x:v>Ø</x:v>
      </x:c>
      <x:c r="F104" s="79" t="str">
        <x:v>Ø</x:v>
      </x:c>
      <x:c r="G104" s="97" t="str">
        <x:v>待核定</x:v>
      </x:c>
      <x:c r="H104" s="99"/>
      <x:c r="I104" s="97"/>
      <x:c r="J104" s="97"/>
      <x:c r="K104" s="98" t="str">
        <x:f>IF($G104="核定通過","已核定",IF($G104="不納入","不納入",IF($G104="退回補件","退回補件",IF($G104="暫停","資格暫停","待主管核定"))))</x:f>
        <x:v>待主管核定</x:v>
      </x:c>
    </x:row>
    <x:row r="105">
      <x:c r="A105" s="79" t="str">
        <x:v>ABIL|1025|LJT-PREP-AIRPOLISH</x:v>
      </x:c>
      <x:c r="B105" s="79" t="str">
        <x:v>能力評等</x:v>
      </x:c>
      <x:c r="C105" s="79" t="str"/>
      <x:c r="D105" s="79" t="str">
        <x:v>LJT-PREP-AIRPOLISH</x:v>
      </x:c>
      <x:c r="E105" s="79" t="str">
        <x:v>※</x:v>
      </x:c>
      <x:c r="F105" s="79" t="str">
        <x:v>※</x:v>
      </x:c>
      <x:c r="G105" s="97" t="str">
        <x:v>待核定</x:v>
      </x:c>
      <x:c r="H105" s="99"/>
      <x:c r="I105" s="97"/>
      <x:c r="J105" s="97"/>
      <x:c r="K105" s="98" t="str">
        <x:f>IF($G105="核定通過","已核定",IF($G105="不納入","不納入",IF($G105="退回補件","退回補件",IF($G105="暫停","資格暫停","待主管核定"))))</x:f>
        <x:v>待主管核定</x:v>
      </x:c>
    </x:row>
    <x:row r="106">
      <x:c r="A106" s="79" t="str">
        <x:v>ABIL|1025|LJT-PREP-PERIOSURG</x:v>
      </x:c>
      <x:c r="B106" s="79" t="str">
        <x:v>能力評等</x:v>
      </x:c>
      <x:c r="C106" s="79" t="str"/>
      <x:c r="D106" s="79" t="str">
        <x:v>LJT-PREP-PERIOSURG</x:v>
      </x:c>
      <x:c r="E106" s="79" t="str">
        <x:v>Ø</x:v>
      </x:c>
      <x:c r="F106" s="79" t="str">
        <x:v>Ø</x:v>
      </x:c>
      <x:c r="G106" s="97" t="str">
        <x:v>待核定</x:v>
      </x:c>
      <x:c r="H106" s="99"/>
      <x:c r="I106" s="97"/>
      <x:c r="J106" s="97"/>
      <x:c r="K106" s="98" t="str">
        <x:f>IF($G106="核定通過","已核定",IF($G106="不納入","不納入",IF($G106="退回補件","退回補件",IF($G106="暫停","資格暫停","待主管核定"))))</x:f>
        <x:v>待主管核定</x:v>
      </x:c>
    </x:row>
    <x:row r="107">
      <x:c r="A107" s="79" t="str">
        <x:v>ABIL|1025|LJT-PREP-MICROENDO</x:v>
      </x:c>
      <x:c r="B107" s="79" t="str">
        <x:v>能力評等</x:v>
      </x:c>
      <x:c r="C107" s="79" t="str"/>
      <x:c r="D107" s="79" t="str">
        <x:v>LJT-PREP-MICROENDO</x:v>
      </x:c>
      <x:c r="E107" s="79" t="str">
        <x:v>※</x:v>
      </x:c>
      <x:c r="F107" s="79" t="str">
        <x:v>※</x:v>
      </x:c>
      <x:c r="G107" s="97" t="str">
        <x:v>待核定</x:v>
      </x:c>
      <x:c r="H107" s="99"/>
      <x:c r="I107" s="97"/>
      <x:c r="J107" s="97"/>
      <x:c r="K107" s="98" t="str">
        <x:f>IF($G107="核定通過","已核定",IF($G107="不納入","不納入",IF($G107="退回補件","退回補件",IF($G107="暫停","資格暫停","待主管核定"))))</x:f>
        <x:v>待主管核定</x:v>
      </x:c>
    </x:row>
    <x:row r="108">
      <x:c r="A108" s="79" t="str">
        <x:v>ABIL|1025|LJT-PREP-IMPLANT</x:v>
      </x:c>
      <x:c r="B108" s="79" t="str">
        <x:v>能力評等</x:v>
      </x:c>
      <x:c r="C108" s="79" t="str"/>
      <x:c r="D108" s="79" t="str">
        <x:v>LJT-PREP-IMPLANT</x:v>
      </x:c>
      <x:c r="E108" s="79" t="str">
        <x:v>Ø</x:v>
      </x:c>
      <x:c r="F108" s="79" t="str">
        <x:v>Ø</x:v>
      </x:c>
      <x:c r="G108" s="97" t="str">
        <x:v>待核定</x:v>
      </x:c>
      <x:c r="H108" s="99"/>
      <x:c r="I108" s="97"/>
      <x:c r="J108" s="97"/>
      <x:c r="K108" s="98" t="str">
        <x:f>IF($G108="核定通過","已核定",IF($G108="不納入","不納入",IF($G108="退回補件","退回補件",IF($G108="暫停","資格暫停","待主管核定"))))</x:f>
        <x:v>待主管核定</x:v>
      </x:c>
    </x:row>
    <x:row r="109">
      <x:c r="A109" s="79" t="str">
        <x:v>ABIL|1025|COMMON-RECORD</x:v>
      </x:c>
      <x:c r="B109" s="79" t="str">
        <x:v>能力評等</x:v>
      </x:c>
      <x:c r="C109" s="79" t="str"/>
      <x:c r="D109" s="79" t="str">
        <x:v>COMMON-RECORD</x:v>
      </x:c>
      <x:c r="E109" s="79" t="str">
        <x:v>Ø</x:v>
      </x:c>
      <x:c r="F109" s="79" t="str">
        <x:v>Ø</x:v>
      </x:c>
      <x:c r="G109" s="97" t="str">
        <x:v>待核定</x:v>
      </x:c>
      <x:c r="H109" s="99"/>
      <x:c r="I109" s="97"/>
      <x:c r="J109" s="97"/>
      <x:c r="K109" s="98" t="str">
        <x:f>IF($G109="核定通過","已核定",IF($G109="不納入","不納入",IF($G109="退回補件","退回補件",IF($G109="暫停","資格暫停","待主管核定"))))</x:f>
        <x:v>待主管核定</x:v>
      </x:c>
    </x:row>
    <x:row r="110">
      <x:c r="A110" s="79" t="str">
        <x:v>ABIL|1025|COMMON-INSURANCE</x:v>
      </x:c>
      <x:c r="B110" s="79" t="str">
        <x:v>能力評等</x:v>
      </x:c>
      <x:c r="C110" s="79" t="str"/>
      <x:c r="D110" s="79" t="str">
        <x:v>COMMON-INSURANCE</x:v>
      </x:c>
      <x:c r="E110" s="79" t="str">
        <x:v>Ø</x:v>
      </x:c>
      <x:c r="F110" s="79" t="str">
        <x:v>Ø</x:v>
      </x:c>
      <x:c r="G110" s="97" t="str">
        <x:v>待核定</x:v>
      </x:c>
      <x:c r="H110" s="99"/>
      <x:c r="I110" s="97"/>
      <x:c r="J110" s="97"/>
      <x:c r="K110" s="98" t="str">
        <x:f>IF($G110="核定通過","已核定",IF($G110="不納入","不納入",IF($G110="退回補件","退回補件",IF($G110="暫停","資格暫停","待主管核定"))))</x:f>
        <x:v>待主管核定</x:v>
      </x:c>
    </x:row>
    <x:row r="111">
      <x:c r="A111" s="79" t="str">
        <x:v>ABIL|1025|COMMON-XRAY-RECORD</x:v>
      </x:c>
      <x:c r="B111" s="79" t="str">
        <x:v>能力評等</x:v>
      </x:c>
      <x:c r="C111" s="79" t="str"/>
      <x:c r="D111" s="79" t="str">
        <x:v>COMMON-XRAY-RECORD</x:v>
      </x:c>
      <x:c r="E111" s="79" t="str">
        <x:v>Ø</x:v>
      </x:c>
      <x:c r="F111" s="79" t="str">
        <x:v>Ø</x:v>
      </x:c>
      <x:c r="G111" s="97" t="str">
        <x:v>待核定</x:v>
      </x:c>
      <x:c r="H111" s="99"/>
      <x:c r="I111" s="97"/>
      <x:c r="J111" s="97"/>
      <x:c r="K111" s="98" t="str">
        <x:f>IF($G111="核定通過","已核定",IF($G111="不納入","不納入",IF($G111="退回補件","退回補件",IF($G111="暫停","資格暫停","待主管核定"))))</x:f>
        <x:v>待主管核定</x:v>
      </x:c>
    </x:row>
    <x:row r="112">
      <x:c r="A112" s="79" t="str">
        <x:v>ABIL|1025|COMMON-PA</x:v>
      </x:c>
      <x:c r="B112" s="79" t="str">
        <x:v>能力評等</x:v>
      </x:c>
      <x:c r="C112" s="79" t="str"/>
      <x:c r="D112" s="79" t="str">
        <x:v>COMMON-PA</x:v>
      </x:c>
      <x:c r="E112" s="79" t="str">
        <x:v>Ø</x:v>
      </x:c>
      <x:c r="F112" s="79" t="str">
        <x:v>Ø</x:v>
      </x:c>
      <x:c r="G112" s="97" t="str">
        <x:v>待核定</x:v>
      </x:c>
      <x:c r="H112" s="99"/>
      <x:c r="I112" s="97"/>
      <x:c r="J112" s="97"/>
      <x:c r="K112" s="98" t="str">
        <x:f>IF($G112="核定通過","已核定",IF($G112="不納入","不納入",IF($G112="退回補件","退回補件",IF($G112="暫停","資格暫停","待主管核定"))))</x:f>
        <x:v>待主管核定</x:v>
      </x:c>
    </x:row>
    <x:row r="113">
      <x:c r="A113" s="79" t="str">
        <x:v>ABIL|1025|COMMON-IOS</x:v>
      </x:c>
      <x:c r="B113" s="79" t="str">
        <x:v>能力評等</x:v>
      </x:c>
      <x:c r="C113" s="79" t="str"/>
      <x:c r="D113" s="79" t="str">
        <x:v>COMMON-IOS</x:v>
      </x:c>
      <x:c r="E113" s="79" t="str">
        <x:v>Ø</x:v>
      </x:c>
      <x:c r="F113" s="79" t="str">
        <x:v>Ø</x:v>
      </x:c>
      <x:c r="G113" s="97" t="str">
        <x:v>待核定</x:v>
      </x:c>
      <x:c r="H113" s="99"/>
      <x:c r="I113" s="97"/>
      <x:c r="J113" s="97"/>
      <x:c r="K113" s="98" t="str">
        <x:f>IF($G113="核定通過","已核定",IF($G113="不納入","不納入",IF($G113="退回補件","退回補件",IF($G113="暫停","資格暫停","待主管核定"))))</x:f>
        <x:v>待主管核定</x:v>
      </x:c>
    </x:row>
    <x:row r="114">
      <x:c r="A114" s="79" t="str">
        <x:v>ABIL|1026|LJT-PREP-SCALING</x:v>
      </x:c>
      <x:c r="B114" s="79" t="str">
        <x:v>能力評等</x:v>
      </x:c>
      <x:c r="C114" s="79" t="str"/>
      <x:c r="D114" s="79" t="str">
        <x:v>LJT-PREP-SCALING</x:v>
      </x:c>
      <x:c r="E114" s="79" t="str">
        <x:v>◎</x:v>
      </x:c>
      <x:c r="F114" s="79" t="str">
        <x:v>◎</x:v>
      </x:c>
      <x:c r="G114" s="97" t="str">
        <x:v>待核定</x:v>
      </x:c>
      <x:c r="H114" s="99"/>
      <x:c r="I114" s="97"/>
      <x:c r="J114" s="97"/>
      <x:c r="K114" s="98" t="str">
        <x:f>IF($G114="核定通過","已核定",IF($G114="不納入","不納入",IF($G114="退回補件","退回補件",IF($G114="暫停","資格暫停","待主管核定"))))</x:f>
        <x:v>待主管核定</x:v>
      </x:c>
    </x:row>
    <x:row r="115">
      <x:c r="A115" s="79" t="str">
        <x:v>ABIL|1026|LJT-PREP-FILLING</x:v>
      </x:c>
      <x:c r="B115" s="79" t="str">
        <x:v>能力評等</x:v>
      </x:c>
      <x:c r="C115" s="79" t="str"/>
      <x:c r="D115" s="79" t="str">
        <x:v>LJT-PREP-FILLING</x:v>
      </x:c>
      <x:c r="E115" s="79" t="str">
        <x:v>◎</x:v>
      </x:c>
      <x:c r="F115" s="79" t="str">
        <x:v>◎</x:v>
      </x:c>
      <x:c r="G115" s="97" t="str">
        <x:v>待核定</x:v>
      </x:c>
      <x:c r="H115" s="99"/>
      <x:c r="I115" s="97"/>
      <x:c r="J115" s="97"/>
      <x:c r="K115" s="98" t="str">
        <x:f>IF($G115="核定通過","已核定",IF($G115="不納入","不納入",IF($G115="退回補件","退回補件",IF($G115="暫停","資格暫停","待主管核定"))))</x:f>
        <x:v>待主管核定</x:v>
      </x:c>
    </x:row>
    <x:row r="116">
      <x:c r="A116" s="79" t="str">
        <x:v>ABIL|1026|LJT-PREP-PERIO</x:v>
      </x:c>
      <x:c r="B116" s="79" t="str">
        <x:v>能力評等</x:v>
      </x:c>
      <x:c r="C116" s="79" t="str"/>
      <x:c r="D116" s="79" t="str">
        <x:v>LJT-PREP-PERIO</x:v>
      </x:c>
      <x:c r="E116" s="79" t="str">
        <x:v>◎</x:v>
      </x:c>
      <x:c r="F116" s="79" t="str">
        <x:v>◎</x:v>
      </x:c>
      <x:c r="G116" s="97" t="str">
        <x:v>待核定</x:v>
      </x:c>
      <x:c r="H116" s="99"/>
      <x:c r="I116" s="97"/>
      <x:c r="J116" s="97"/>
      <x:c r="K116" s="98" t="str">
        <x:f>IF($G116="核定通過","已核定",IF($G116="不納入","不納入",IF($G116="退回補件","退回補件",IF($G116="暫停","資格暫停","待主管核定"))))</x:f>
        <x:v>待主管核定</x:v>
      </x:c>
    </x:row>
    <x:row r="117">
      <x:c r="A117" s="79" t="str">
        <x:v>ABIL|1026|LJT-PREP-RCT</x:v>
      </x:c>
      <x:c r="B117" s="79" t="str">
        <x:v>能力評等</x:v>
      </x:c>
      <x:c r="C117" s="79" t="str"/>
      <x:c r="D117" s="79" t="str">
        <x:v>LJT-PREP-RCT</x:v>
      </x:c>
      <x:c r="E117" s="79" t="str">
        <x:v>◎</x:v>
      </x:c>
      <x:c r="F117" s="79" t="str">
        <x:v>◎</x:v>
      </x:c>
      <x:c r="G117" s="97" t="str">
        <x:v>待核定</x:v>
      </x:c>
      <x:c r="H117" s="99"/>
      <x:c r="I117" s="97"/>
      <x:c r="J117" s="97"/>
      <x:c r="K117" s="98" t="str">
        <x:f>IF($G117="核定通過","已核定",IF($G117="不納入","不納入",IF($G117="退回補件","退回補件",IF($G117="暫停","資格暫停","待主管核定"))))</x:f>
        <x:v>待主管核定</x:v>
      </x:c>
    </x:row>
    <x:row r="118">
      <x:c r="A118" s="79" t="str">
        <x:v>ABIL|1026|LJT-PREP-EXTRACTION</x:v>
      </x:c>
      <x:c r="B118" s="79" t="str">
        <x:v>能力評等</x:v>
      </x:c>
      <x:c r="C118" s="79" t="str"/>
      <x:c r="D118" s="79" t="str">
        <x:v>LJT-PREP-EXTRACTION</x:v>
      </x:c>
      <x:c r="E118" s="79" t="str">
        <x:v>Ø</x:v>
      </x:c>
      <x:c r="F118" s="79" t="str">
        <x:v>Ø</x:v>
      </x:c>
      <x:c r="G118" s="97" t="str">
        <x:v>待核定</x:v>
      </x:c>
      <x:c r="H118" s="99"/>
      <x:c r="I118" s="97"/>
      <x:c r="J118" s="97"/>
      <x:c r="K118" s="98" t="str">
        <x:f>IF($G118="核定通過","已核定",IF($G118="不納入","不納入",IF($G118="退回補件","退回補件",IF($G118="暫停","資格暫停","待主管核定"))))</x:f>
        <x:v>待主管核定</x:v>
      </x:c>
    </x:row>
    <x:row r="119">
      <x:c r="A119" s="79" t="str">
        <x:v>ABIL|1026|LJT-PREP-CROWNPOST</x:v>
      </x:c>
      <x:c r="B119" s="79" t="str">
        <x:v>能力評等</x:v>
      </x:c>
      <x:c r="C119" s="79" t="str"/>
      <x:c r="D119" s="79" t="str">
        <x:v>LJT-PREP-CROWNPOST</x:v>
      </x:c>
      <x:c r="E119" s="79" t="str">
        <x:v>◎</x:v>
      </x:c>
      <x:c r="F119" s="79" t="str">
        <x:v>◎</x:v>
      </x:c>
      <x:c r="G119" s="97" t="str">
        <x:v>待核定</x:v>
      </x:c>
      <x:c r="H119" s="99"/>
      <x:c r="I119" s="97"/>
      <x:c r="J119" s="97"/>
      <x:c r="K119" s="98" t="str">
        <x:f>IF($G119="核定通過","已核定",IF($G119="不納入","不納入",IF($G119="退回補件","退回補件",IF($G119="暫停","資格暫停","待主管核定"))))</x:f>
        <x:v>待主管核定</x:v>
      </x:c>
    </x:row>
    <x:row r="120">
      <x:c r="A120" s="79" t="str">
        <x:v>ABIL|1026|LJT-PREP-CROWN</x:v>
      </x:c>
      <x:c r="B120" s="79" t="str">
        <x:v>能力評等</x:v>
      </x:c>
      <x:c r="C120" s="79" t="str"/>
      <x:c r="D120" s="79" t="str">
        <x:v>LJT-PREP-CROWN</x:v>
      </x:c>
      <x:c r="E120" s="79" t="str">
        <x:v>◎</x:v>
      </x:c>
      <x:c r="F120" s="79" t="str">
        <x:v>◎</x:v>
      </x:c>
      <x:c r="G120" s="97" t="str">
        <x:v>待核定</x:v>
      </x:c>
      <x:c r="H120" s="99"/>
      <x:c r="I120" s="97"/>
      <x:c r="J120" s="97"/>
      <x:c r="K120" s="98" t="str">
        <x:f>IF($G120="核定通過","已核定",IF($G120="不納入","不納入",IF($G120="退回補件","退回補件",IF($G120="暫停","資格暫停","待主管核定"))))</x:f>
        <x:v>待主管核定</x:v>
      </x:c>
    </x:row>
    <x:row r="121">
      <x:c r="A121" s="79" t="str">
        <x:v>ABIL|1026|LJT-PREP-RPD</x:v>
      </x:c>
      <x:c r="B121" s="79" t="str">
        <x:v>能力評等</x:v>
      </x:c>
      <x:c r="C121" s="79" t="str"/>
      <x:c r="D121" s="79" t="str">
        <x:v>LJT-PREP-RPD</x:v>
      </x:c>
      <x:c r="E121" s="79" t="str">
        <x:v>※</x:v>
      </x:c>
      <x:c r="F121" s="79" t="str">
        <x:v>※</x:v>
      </x:c>
      <x:c r="G121" s="97" t="str">
        <x:v>待核定</x:v>
      </x:c>
      <x:c r="H121" s="99"/>
      <x:c r="I121" s="97"/>
      <x:c r="J121" s="97"/>
      <x:c r="K121" s="98" t="str">
        <x:f>IF($G121="核定通過","已核定",IF($G121="不納入","不納入",IF($G121="退回補件","退回補件",IF($G121="暫停","資格暫停","待主管核定"))))</x:f>
        <x:v>待主管核定</x:v>
      </x:c>
    </x:row>
    <x:row r="122">
      <x:c r="A122" s="79" t="str">
        <x:v>ABIL|1026|LJT-PREP-AIRPOLISH</x:v>
      </x:c>
      <x:c r="B122" s="79" t="str">
        <x:v>能力評等</x:v>
      </x:c>
      <x:c r="C122" s="79" t="str"/>
      <x:c r="D122" s="79" t="str">
        <x:v>LJT-PREP-AIRPOLISH</x:v>
      </x:c>
      <x:c r="E122" s="79" t="str">
        <x:v>※</x:v>
      </x:c>
      <x:c r="F122" s="79" t="str">
        <x:v>※</x:v>
      </x:c>
      <x:c r="G122" s="97" t="str">
        <x:v>待核定</x:v>
      </x:c>
      <x:c r="H122" s="99"/>
      <x:c r="I122" s="97"/>
      <x:c r="J122" s="97"/>
      <x:c r="K122" s="98" t="str">
        <x:f>IF($G122="核定通過","已核定",IF($G122="不納入","不納入",IF($G122="退回補件","退回補件",IF($G122="暫停","資格暫停","待主管核定"))))</x:f>
        <x:v>待主管核定</x:v>
      </x:c>
    </x:row>
    <x:row r="123">
      <x:c r="A123" s="79" t="str">
        <x:v>ABIL|1026|LJT-PREP-PERIOSURG</x:v>
      </x:c>
      <x:c r="B123" s="79" t="str">
        <x:v>能力評等</x:v>
      </x:c>
      <x:c r="C123" s="79" t="str"/>
      <x:c r="D123" s="79" t="str">
        <x:v>LJT-PREP-PERIOSURG</x:v>
      </x:c>
      <x:c r="E123" s="79" t="str">
        <x:v>※</x:v>
      </x:c>
      <x:c r="F123" s="79" t="str">
        <x:v>※</x:v>
      </x:c>
      <x:c r="G123" s="97" t="str">
        <x:v>待核定</x:v>
      </x:c>
      <x:c r="H123" s="99"/>
      <x:c r="I123" s="97"/>
      <x:c r="J123" s="97"/>
      <x:c r="K123" s="98" t="str">
        <x:f>IF($G123="核定通過","已核定",IF($G123="不納入","不納入",IF($G123="退回補件","退回補件",IF($G123="暫停","資格暫停","待主管核定"))))</x:f>
        <x:v>待主管核定</x:v>
      </x:c>
    </x:row>
    <x:row r="124">
      <x:c r="A124" s="79" t="str">
        <x:v>ABIL|1026|LJT-PREP-MICROENDO</x:v>
      </x:c>
      <x:c r="B124" s="79" t="str">
        <x:v>能力評等</x:v>
      </x:c>
      <x:c r="C124" s="79" t="str"/>
      <x:c r="D124" s="79" t="str">
        <x:v>LJT-PREP-MICROENDO</x:v>
      </x:c>
      <x:c r="E124" s="79" t="str">
        <x:v>※</x:v>
      </x:c>
      <x:c r="F124" s="79" t="str">
        <x:v>※</x:v>
      </x:c>
      <x:c r="G124" s="97" t="str">
        <x:v>待核定</x:v>
      </x:c>
      <x:c r="H124" s="99"/>
      <x:c r="I124" s="97"/>
      <x:c r="J124" s="97"/>
      <x:c r="K124" s="98" t="str">
        <x:f>IF($G124="核定通過","已核定",IF($G124="不納入","不納入",IF($G124="退回補件","退回補件",IF($G124="暫停","資格暫停","待主管核定"))))</x:f>
        <x:v>待主管核定</x:v>
      </x:c>
    </x:row>
    <x:row r="125">
      <x:c r="A125" s="79" t="str">
        <x:v>ABIL|1026|LJT-PREP-IMPLANT</x:v>
      </x:c>
      <x:c r="B125" s="79" t="str">
        <x:v>能力評等</x:v>
      </x:c>
      <x:c r="C125" s="79" t="str"/>
      <x:c r="D125" s="79" t="str">
        <x:v>LJT-PREP-IMPLANT</x:v>
      </x:c>
      <x:c r="E125" s="79" t="str">
        <x:v>◎</x:v>
      </x:c>
      <x:c r="F125" s="79" t="str">
        <x:v>◎</x:v>
      </x:c>
      <x:c r="G125" s="97" t="str">
        <x:v>待核定</x:v>
      </x:c>
      <x:c r="H125" s="99"/>
      <x:c r="I125" s="97"/>
      <x:c r="J125" s="97"/>
      <x:c r="K125" s="98" t="str">
        <x:f>IF($G125="核定通過","已核定",IF($G125="不納入","不納入",IF($G125="退回補件","退回補件",IF($G125="暫停","資格暫停","待主管核定"))))</x:f>
        <x:v>待主管核定</x:v>
      </x:c>
    </x:row>
    <x:row r="126">
      <x:c r="A126" s="79" t="str">
        <x:v>ABIL|1026|COMMON-RECORD</x:v>
      </x:c>
      <x:c r="B126" s="79" t="str">
        <x:v>能力評等</x:v>
      </x:c>
      <x:c r="C126" s="79" t="str"/>
      <x:c r="D126" s="79" t="str">
        <x:v>COMMON-RECORD</x:v>
      </x:c>
      <x:c r="E126" s="79" t="str">
        <x:v>△</x:v>
      </x:c>
      <x:c r="F126" s="79" t="str">
        <x:v>△</x:v>
      </x:c>
      <x:c r="G126" s="97" t="str">
        <x:v>待核定</x:v>
      </x:c>
      <x:c r="H126" s="99"/>
      <x:c r="I126" s="97"/>
      <x:c r="J126" s="97"/>
      <x:c r="K126" s="98" t="str">
        <x:f>IF($G126="核定通過","已核定",IF($G126="不納入","不納入",IF($G126="退回補件","退回補件",IF($G126="暫停","資格暫停","待主管核定"))))</x:f>
        <x:v>待主管核定</x:v>
      </x:c>
    </x:row>
    <x:row r="127">
      <x:c r="A127" s="79" t="str">
        <x:v>ABIL|1026|COMMON-INSURANCE</x:v>
      </x:c>
      <x:c r="B127" s="79" t="str">
        <x:v>能力評等</x:v>
      </x:c>
      <x:c r="C127" s="79" t="str"/>
      <x:c r="D127" s="79" t="str">
        <x:v>COMMON-INSURANCE</x:v>
      </x:c>
      <x:c r="E127" s="79" t="str">
        <x:v>△</x:v>
      </x:c>
      <x:c r="F127" s="79" t="str">
        <x:v>△</x:v>
      </x:c>
      <x:c r="G127" s="97" t="str">
        <x:v>待核定</x:v>
      </x:c>
      <x:c r="H127" s="99"/>
      <x:c r="I127" s="97"/>
      <x:c r="J127" s="97"/>
      <x:c r="K127" s="98" t="str">
        <x:f>IF($G127="核定通過","已核定",IF($G127="不納入","不納入",IF($G127="退回補件","退回補件",IF($G127="暫停","資格暫停","待主管核定"))))</x:f>
        <x:v>待主管核定</x:v>
      </x:c>
    </x:row>
    <x:row r="128">
      <x:c r="A128" s="79" t="str">
        <x:v>ABIL|1026|COMMON-XRAY-RECORD</x:v>
      </x:c>
      <x:c r="B128" s="79" t="str">
        <x:v>能力評等</x:v>
      </x:c>
      <x:c r="C128" s="79" t="str"/>
      <x:c r="D128" s="79" t="str">
        <x:v>COMMON-XRAY-RECORD</x:v>
      </x:c>
      <x:c r="E128" s="79" t="str">
        <x:v>△</x:v>
      </x:c>
      <x:c r="F128" s="79" t="str">
        <x:v>△</x:v>
      </x:c>
      <x:c r="G128" s="97" t="str">
        <x:v>待核定</x:v>
      </x:c>
      <x:c r="H128" s="99"/>
      <x:c r="I128" s="97"/>
      <x:c r="J128" s="97"/>
      <x:c r="K128" s="98" t="str">
        <x:f>IF($G128="核定通過","已核定",IF($G128="不納入","不納入",IF($G128="退回補件","退回補件",IF($G128="暫停","資格暫停","待主管核定"))))</x:f>
        <x:v>待主管核定</x:v>
      </x:c>
    </x:row>
    <x:row r="129">
      <x:c r="A129" s="79" t="str">
        <x:v>ABIL|1026|COMMON-PA</x:v>
      </x:c>
      <x:c r="B129" s="79" t="str">
        <x:v>能力評等</x:v>
      </x:c>
      <x:c r="C129" s="79" t="str"/>
      <x:c r="D129" s="79" t="str">
        <x:v>COMMON-PA</x:v>
      </x:c>
      <x:c r="E129" s="79" t="str">
        <x:v>◎</x:v>
      </x:c>
      <x:c r="F129" s="79" t="str">
        <x:v>◎</x:v>
      </x:c>
      <x:c r="G129" s="97" t="str">
        <x:v>待核定</x:v>
      </x:c>
      <x:c r="H129" s="99"/>
      <x:c r="I129" s="97"/>
      <x:c r="J129" s="97"/>
      <x:c r="K129" s="98" t="str">
        <x:f>IF($G129="核定通過","已核定",IF($G129="不納入","不納入",IF($G129="退回補件","退回補件",IF($G129="暫停","資格暫停","待主管核定"))))</x:f>
        <x:v>待主管核定</x:v>
      </x:c>
    </x:row>
    <x:row r="130">
      <x:c r="A130" s="79" t="str">
        <x:v>ABIL|1026|COMMON-IOS</x:v>
      </x:c>
      <x:c r="B130" s="79" t="str">
        <x:v>能力評等</x:v>
      </x:c>
      <x:c r="C130" s="79" t="str"/>
      <x:c r="D130" s="79" t="str">
        <x:v>COMMON-IOS</x:v>
      </x:c>
      <x:c r="E130" s="79" t="str">
        <x:v>◎</x:v>
      </x:c>
      <x:c r="F130" s="79" t="str">
        <x:v>◎</x:v>
      </x:c>
      <x:c r="G130" s="97" t="str">
        <x:v>待核定</x:v>
      </x:c>
      <x:c r="H130" s="99"/>
      <x:c r="I130" s="97"/>
      <x:c r="J130" s="97"/>
      <x:c r="K130" s="98" t="str">
        <x:f>IF($G130="核定通過","已核定",IF($G130="不納入","不納入",IF($G130="退回補件","退回補件",IF($G130="暫停","資格暫停","待主管核定"))))</x:f>
        <x:v>待主管核定</x:v>
      </x:c>
    </x:row>
    <x:row r="131">
      <x:c r="A131" s="79" t="str">
        <x:v>ABIL|1027|LJT-PREP-SCALING</x:v>
      </x:c>
      <x:c r="B131" s="79" t="str">
        <x:v>能力評等</x:v>
      </x:c>
      <x:c r="C131" s="79" t="str"/>
      <x:c r="D131" s="79" t="str">
        <x:v>LJT-PREP-SCALING</x:v>
      </x:c>
      <x:c r="E131" s="79" t="str">
        <x:v>◎</x:v>
      </x:c>
      <x:c r="F131" s="79" t="str">
        <x:v>◎</x:v>
      </x:c>
      <x:c r="G131" s="97" t="str">
        <x:v>待核定</x:v>
      </x:c>
      <x:c r="H131" s="99"/>
      <x:c r="I131" s="97"/>
      <x:c r="J131" s="97"/>
      <x:c r="K131" s="98" t="str">
        <x:f>IF($G131="核定通過","已核定",IF($G131="不納入","不納入",IF($G131="退回補件","退回補件",IF($G131="暫停","資格暫停","待主管核定"))))</x:f>
        <x:v>待主管核定</x:v>
      </x:c>
    </x:row>
    <x:row r="132">
      <x:c r="A132" s="79" t="str">
        <x:v>ABIL|1027|LJT-PREP-FILLING</x:v>
      </x:c>
      <x:c r="B132" s="79" t="str">
        <x:v>能力評等</x:v>
      </x:c>
      <x:c r="C132" s="79" t="str"/>
      <x:c r="D132" s="79" t="str">
        <x:v>LJT-PREP-FILLING</x:v>
      </x:c>
      <x:c r="E132" s="79" t="str">
        <x:v>◎</x:v>
      </x:c>
      <x:c r="F132" s="79" t="str">
        <x:v>◎</x:v>
      </x:c>
      <x:c r="G132" s="97" t="str">
        <x:v>待核定</x:v>
      </x:c>
      <x:c r="H132" s="99"/>
      <x:c r="I132" s="97"/>
      <x:c r="J132" s="97"/>
      <x:c r="K132" s="98" t="str">
        <x:f>IF($G132="核定通過","已核定",IF($G132="不納入","不納入",IF($G132="退回補件","退回補件",IF($G132="暫停","資格暫停","待主管核定"))))</x:f>
        <x:v>待主管核定</x:v>
      </x:c>
    </x:row>
    <x:row r="133">
      <x:c r="A133" s="79" t="str">
        <x:v>ABIL|1027|LJT-PREP-PERIO</x:v>
      </x:c>
      <x:c r="B133" s="79" t="str">
        <x:v>能力評等</x:v>
      </x:c>
      <x:c r="C133" s="79" t="str"/>
      <x:c r="D133" s="79" t="str">
        <x:v>LJT-PREP-PERIO</x:v>
      </x:c>
      <x:c r="E133" s="79" t="str">
        <x:v>◎</x:v>
      </x:c>
      <x:c r="F133" s="79" t="str">
        <x:v>◎</x:v>
      </x:c>
      <x:c r="G133" s="97" t="str">
        <x:v>待核定</x:v>
      </x:c>
      <x:c r="H133" s="99"/>
      <x:c r="I133" s="97"/>
      <x:c r="J133" s="97"/>
      <x:c r="K133" s="98" t="str">
        <x:f>IF($G133="核定通過","已核定",IF($G133="不納入","不納入",IF($G133="退回補件","退回補件",IF($G133="暫停","資格暫停","待主管核定"))))</x:f>
        <x:v>待主管核定</x:v>
      </x:c>
    </x:row>
    <x:row r="134">
      <x:c r="A134" s="79" t="str">
        <x:v>ABIL|1027|LJT-PREP-RCT</x:v>
      </x:c>
      <x:c r="B134" s="79" t="str">
        <x:v>能力評等</x:v>
      </x:c>
      <x:c r="C134" s="79" t="str"/>
      <x:c r="D134" s="79" t="str">
        <x:v>LJT-PREP-RCT</x:v>
      </x:c>
      <x:c r="E134" s="79" t="str">
        <x:v>◎</x:v>
      </x:c>
      <x:c r="F134" s="79" t="str">
        <x:v>◎</x:v>
      </x:c>
      <x:c r="G134" s="97" t="str">
        <x:v>待核定</x:v>
      </x:c>
      <x:c r="H134" s="99"/>
      <x:c r="I134" s="97"/>
      <x:c r="J134" s="97"/>
      <x:c r="K134" s="98" t="str">
        <x:f>IF($G134="核定通過","已核定",IF($G134="不納入","不納入",IF($G134="退回補件","退回補件",IF($G134="暫停","資格暫停","待主管核定"))))</x:f>
        <x:v>待主管核定</x:v>
      </x:c>
    </x:row>
    <x:row r="135">
      <x:c r="A135" s="79" t="str">
        <x:v>ABIL|1027|LJT-PREP-EXTRACTION</x:v>
      </x:c>
      <x:c r="B135" s="79" t="str">
        <x:v>能力評等</x:v>
      </x:c>
      <x:c r="C135" s="79" t="str"/>
      <x:c r="D135" s="79" t="str">
        <x:v>LJT-PREP-EXTRACTION</x:v>
      </x:c>
      <x:c r="E135" s="79" t="str">
        <x:v>Ø</x:v>
      </x:c>
      <x:c r="F135" s="79" t="str">
        <x:v>Ø</x:v>
      </x:c>
      <x:c r="G135" s="97" t="str">
        <x:v>待核定</x:v>
      </x:c>
      <x:c r="H135" s="99"/>
      <x:c r="I135" s="97"/>
      <x:c r="J135" s="97"/>
      <x:c r="K135" s="98" t="str">
        <x:f>IF($G135="核定通過","已核定",IF($G135="不納入","不納入",IF($G135="退回補件","退回補件",IF($G135="暫停","資格暫停","待主管核定"))))</x:f>
        <x:v>待主管核定</x:v>
      </x:c>
    </x:row>
    <x:row r="136">
      <x:c r="A136" s="79" t="str">
        <x:v>ABIL|1027|LJT-PREP-CROWNPOST</x:v>
      </x:c>
      <x:c r="B136" s="79" t="str">
        <x:v>能力評等</x:v>
      </x:c>
      <x:c r="C136" s="79" t="str"/>
      <x:c r="D136" s="79" t="str">
        <x:v>LJT-PREP-CROWNPOST</x:v>
      </x:c>
      <x:c r="E136" s="79" t="str">
        <x:v>◎</x:v>
      </x:c>
      <x:c r="F136" s="79" t="str">
        <x:v>◎</x:v>
      </x:c>
      <x:c r="G136" s="97" t="str">
        <x:v>待核定</x:v>
      </x:c>
      <x:c r="H136" s="99"/>
      <x:c r="I136" s="97"/>
      <x:c r="J136" s="97"/>
      <x:c r="K136" s="98" t="str">
        <x:f>IF($G136="核定通過","已核定",IF($G136="不納入","不納入",IF($G136="退回補件","退回補件",IF($G136="暫停","資格暫停","待主管核定"))))</x:f>
        <x:v>待主管核定</x:v>
      </x:c>
    </x:row>
    <x:row r="137">
      <x:c r="A137" s="79" t="str">
        <x:v>ABIL|1027|LJT-PREP-CROWN</x:v>
      </x:c>
      <x:c r="B137" s="79" t="str">
        <x:v>能力評等</x:v>
      </x:c>
      <x:c r="C137" s="79" t="str"/>
      <x:c r="D137" s="79" t="str">
        <x:v>LJT-PREP-CROWN</x:v>
      </x:c>
      <x:c r="E137" s="79" t="str">
        <x:v>◎</x:v>
      </x:c>
      <x:c r="F137" s="79" t="str">
        <x:v>◎</x:v>
      </x:c>
      <x:c r="G137" s="97" t="str">
        <x:v>待核定</x:v>
      </x:c>
      <x:c r="H137" s="99"/>
      <x:c r="I137" s="97"/>
      <x:c r="J137" s="97"/>
      <x:c r="K137" s="98" t="str">
        <x:f>IF($G137="核定通過","已核定",IF($G137="不納入","不納入",IF($G137="退回補件","退回補件",IF($G137="暫停","資格暫停","待主管核定"))))</x:f>
        <x:v>待主管核定</x:v>
      </x:c>
    </x:row>
    <x:row r="138">
      <x:c r="A138" s="79" t="str">
        <x:v>ABIL|1027|LJT-PREP-RPD</x:v>
      </x:c>
      <x:c r="B138" s="79" t="str">
        <x:v>能力評等</x:v>
      </x:c>
      <x:c r="C138" s="79" t="str"/>
      <x:c r="D138" s="79" t="str">
        <x:v>LJT-PREP-RPD</x:v>
      </x:c>
      <x:c r="E138" s="79" t="str">
        <x:v>Ø</x:v>
      </x:c>
      <x:c r="F138" s="79" t="str">
        <x:v>Ø</x:v>
      </x:c>
      <x:c r="G138" s="97" t="str">
        <x:v>待核定</x:v>
      </x:c>
      <x:c r="H138" s="99"/>
      <x:c r="I138" s="97"/>
      <x:c r="J138" s="97"/>
      <x:c r="K138" s="98" t="str">
        <x:f>IF($G138="核定通過","已核定",IF($G138="不納入","不納入",IF($G138="退回補件","退回補件",IF($G138="暫停","資格暫停","待主管核定"))))</x:f>
        <x:v>待主管核定</x:v>
      </x:c>
    </x:row>
    <x:row r="139">
      <x:c r="A139" s="79" t="str">
        <x:v>ABIL|1027|LJT-PREP-AIRPOLISH</x:v>
      </x:c>
      <x:c r="B139" s="79" t="str">
        <x:v>能力評等</x:v>
      </x:c>
      <x:c r="C139" s="79" t="str"/>
      <x:c r="D139" s="79" t="str">
        <x:v>LJT-PREP-AIRPOLISH</x:v>
      </x:c>
      <x:c r="E139" s="79" t="str">
        <x:v>※</x:v>
      </x:c>
      <x:c r="F139" s="79" t="str">
        <x:v>※</x:v>
      </x:c>
      <x:c r="G139" s="97" t="str">
        <x:v>待核定</x:v>
      </x:c>
      <x:c r="H139" s="99"/>
      <x:c r="I139" s="97"/>
      <x:c r="J139" s="97"/>
      <x:c r="K139" s="98" t="str">
        <x:f>IF($G139="核定通過","已核定",IF($G139="不納入","不納入",IF($G139="退回補件","退回補件",IF($G139="暫停","資格暫停","待主管核定"))))</x:f>
        <x:v>待主管核定</x:v>
      </x:c>
    </x:row>
    <x:row r="140">
      <x:c r="A140" s="79" t="str">
        <x:v>ABIL|1027|LJT-PREP-PERIOSURG</x:v>
      </x:c>
      <x:c r="B140" s="79" t="str">
        <x:v>能力評等</x:v>
      </x:c>
      <x:c r="C140" s="79" t="str"/>
      <x:c r="D140" s="79" t="str">
        <x:v>LJT-PREP-PERIOSURG</x:v>
      </x:c>
      <x:c r="E140" s="79" t="str">
        <x:v>Ø</x:v>
      </x:c>
      <x:c r="F140" s="79" t="str">
        <x:v>Ø</x:v>
      </x:c>
      <x:c r="G140" s="97" t="str">
        <x:v>待核定</x:v>
      </x:c>
      <x:c r="H140" s="99"/>
      <x:c r="I140" s="97"/>
      <x:c r="J140" s="97"/>
      <x:c r="K140" s="98" t="str">
        <x:f>IF($G140="核定通過","已核定",IF($G140="不納入","不納入",IF($G140="退回補件","退回補件",IF($G140="暫停","資格暫停","待主管核定"))))</x:f>
        <x:v>待主管核定</x:v>
      </x:c>
    </x:row>
    <x:row r="141">
      <x:c r="A141" s="79" t="str">
        <x:v>ABIL|1027|LJT-PREP-MICROENDO</x:v>
      </x:c>
      <x:c r="B141" s="79" t="str">
        <x:v>能力評等</x:v>
      </x:c>
      <x:c r="C141" s="79" t="str"/>
      <x:c r="D141" s="79" t="str">
        <x:v>LJT-PREP-MICROENDO</x:v>
      </x:c>
      <x:c r="E141" s="79" t="str">
        <x:v>※</x:v>
      </x:c>
      <x:c r="F141" s="79" t="str">
        <x:v>※</x:v>
      </x:c>
      <x:c r="G141" s="97" t="str">
        <x:v>待核定</x:v>
      </x:c>
      <x:c r="H141" s="99"/>
      <x:c r="I141" s="97"/>
      <x:c r="J141" s="97"/>
      <x:c r="K141" s="98" t="str">
        <x:f>IF($G141="核定通過","已核定",IF($G141="不納入","不納入",IF($G141="退回補件","退回補件",IF($G141="暫停","資格暫停","待主管核定"))))</x:f>
        <x:v>待主管核定</x:v>
      </x:c>
    </x:row>
    <x:row r="142">
      <x:c r="A142" s="79" t="str">
        <x:v>ABIL|1027|LJT-PREP-IMPLANT</x:v>
      </x:c>
      <x:c r="B142" s="79" t="str">
        <x:v>能力評等</x:v>
      </x:c>
      <x:c r="C142" s="79" t="str"/>
      <x:c r="D142" s="79" t="str">
        <x:v>LJT-PREP-IMPLANT</x:v>
      </x:c>
      <x:c r="E142" s="79" t="str">
        <x:v>Ø</x:v>
      </x:c>
      <x:c r="F142" s="79" t="str">
        <x:v>Ø</x:v>
      </x:c>
      <x:c r="G142" s="97" t="str">
        <x:v>待核定</x:v>
      </x:c>
      <x:c r="H142" s="99"/>
      <x:c r="I142" s="97"/>
      <x:c r="J142" s="97"/>
      <x:c r="K142" s="98" t="str">
        <x:f>IF($G142="核定通過","已核定",IF($G142="不納入","不納入",IF($G142="退回補件","退回補件",IF($G142="暫停","資格暫停","待主管核定"))))</x:f>
        <x:v>待主管核定</x:v>
      </x:c>
    </x:row>
    <x:row r="143">
      <x:c r="A143" s="79" t="str">
        <x:v>ABIL|1027|COMMON-RECORD</x:v>
      </x:c>
      <x:c r="B143" s="79" t="str">
        <x:v>能力評等</x:v>
      </x:c>
      <x:c r="C143" s="79" t="str"/>
      <x:c r="D143" s="79" t="str">
        <x:v>COMMON-RECORD</x:v>
      </x:c>
      <x:c r="E143" s="79" t="str">
        <x:v>◎</x:v>
      </x:c>
      <x:c r="F143" s="79" t="str">
        <x:v>◎</x:v>
      </x:c>
      <x:c r="G143" s="97" t="str">
        <x:v>待核定</x:v>
      </x:c>
      <x:c r="H143" s="99"/>
      <x:c r="I143" s="97"/>
      <x:c r="J143" s="97"/>
      <x:c r="K143" s="98" t="str">
        <x:f>IF($G143="核定通過","已核定",IF($G143="不納入","不納入",IF($G143="退回補件","退回補件",IF($G143="暫停","資格暫停","待主管核定"))))</x:f>
        <x:v>待主管核定</x:v>
      </x:c>
    </x:row>
    <x:row r="144">
      <x:c r="A144" s="79" t="str">
        <x:v>ABIL|1027|COMMON-INSURANCE</x:v>
      </x:c>
      <x:c r="B144" s="79" t="str">
        <x:v>能力評等</x:v>
      </x:c>
      <x:c r="C144" s="79" t="str"/>
      <x:c r="D144" s="79" t="str">
        <x:v>COMMON-INSURANCE</x:v>
      </x:c>
      <x:c r="E144" s="79" t="str">
        <x:v>Ø</x:v>
      </x:c>
      <x:c r="F144" s="79" t="str">
        <x:v>Ø</x:v>
      </x:c>
      <x:c r="G144" s="97" t="str">
        <x:v>待核定</x:v>
      </x:c>
      <x:c r="H144" s="99"/>
      <x:c r="I144" s="97"/>
      <x:c r="J144" s="97"/>
      <x:c r="K144" s="98" t="str">
        <x:f>IF($G144="核定通過","已核定",IF($G144="不納入","不納入",IF($G144="退回補件","退回補件",IF($G144="暫停","資格暫停","待主管核定"))))</x:f>
        <x:v>待主管核定</x:v>
      </x:c>
    </x:row>
    <x:row r="145">
      <x:c r="A145" s="79" t="str">
        <x:v>ABIL|1027|COMMON-XRAY-RECORD</x:v>
      </x:c>
      <x:c r="B145" s="79" t="str">
        <x:v>能力評等</x:v>
      </x:c>
      <x:c r="C145" s="79" t="str"/>
      <x:c r="D145" s="79" t="str">
        <x:v>COMMON-XRAY-RECORD</x:v>
      </x:c>
      <x:c r="E145" s="79" t="str">
        <x:v>◎</x:v>
      </x:c>
      <x:c r="F145" s="79" t="str">
        <x:v>◎</x:v>
      </x:c>
      <x:c r="G145" s="97" t="str">
        <x:v>待核定</x:v>
      </x:c>
      <x:c r="H145" s="99"/>
      <x:c r="I145" s="97"/>
      <x:c r="J145" s="97"/>
      <x:c r="K145" s="98" t="str">
        <x:f>IF($G145="核定通過","已核定",IF($G145="不納入","不納入",IF($G145="退回補件","退回補件",IF($G145="暫停","資格暫停","待主管核定"))))</x:f>
        <x:v>待主管核定</x:v>
      </x:c>
    </x:row>
    <x:row r="146">
      <x:c r="A146" s="79" t="str">
        <x:v>ABIL|1027|COMMON-PA</x:v>
      </x:c>
      <x:c r="B146" s="79" t="str">
        <x:v>能力評等</x:v>
      </x:c>
      <x:c r="C146" s="79" t="str"/>
      <x:c r="D146" s="79" t="str">
        <x:v>COMMON-PA</x:v>
      </x:c>
      <x:c r="E146" s="79" t="str">
        <x:v>◎</x:v>
      </x:c>
      <x:c r="F146" s="79" t="str">
        <x:v>◎</x:v>
      </x:c>
      <x:c r="G146" s="97" t="str">
        <x:v>待核定</x:v>
      </x:c>
      <x:c r="H146" s="99"/>
      <x:c r="I146" s="97"/>
      <x:c r="J146" s="97"/>
      <x:c r="K146" s="98" t="str">
        <x:f>IF($G146="核定通過","已核定",IF($G146="不納入","不納入",IF($G146="退回補件","退回補件",IF($G146="暫停","資格暫停","待主管核定"))))</x:f>
        <x:v>待主管核定</x:v>
      </x:c>
    </x:row>
    <x:row r="147">
      <x:c r="A147" s="79" t="str">
        <x:v>ABIL|1027|COMMON-IOS</x:v>
      </x:c>
      <x:c r="B147" s="79" t="str">
        <x:v>能力評等</x:v>
      </x:c>
      <x:c r="C147" s="79" t="str"/>
      <x:c r="D147" s="79" t="str">
        <x:v>COMMON-IOS</x:v>
      </x:c>
      <x:c r="E147" s="79" t="str">
        <x:v>◎</x:v>
      </x:c>
      <x:c r="F147" s="79" t="str">
        <x:v>◎</x:v>
      </x:c>
      <x:c r="G147" s="97" t="str">
        <x:v>待核定</x:v>
      </x:c>
      <x:c r="H147" s="99"/>
      <x:c r="I147" s="97"/>
      <x:c r="J147" s="97"/>
      <x:c r="K147" s="98" t="str">
        <x:f>IF($G147="核定通過","已核定",IF($G147="不納入","不納入",IF($G147="退回補件","退回補件",IF($G147="暫停","資格暫停","待主管核定"))))</x:f>
        <x:v>待主管核定</x:v>
      </x:c>
    </x:row>
    <x:row r="148">
      <x:c r="A148" s="79" t="str">
        <x:v>ABIL|1028|LJT-PREP-SCALING</x:v>
      </x:c>
      <x:c r="B148" s="79" t="str">
        <x:v>能力評等</x:v>
      </x:c>
      <x:c r="C148" s="79" t="str"/>
      <x:c r="D148" s="79" t="str">
        <x:v>LJT-PREP-SCALING</x:v>
      </x:c>
      <x:c r="E148" s="79" t="str">
        <x:v>※</x:v>
      </x:c>
      <x:c r="F148" s="79" t="str">
        <x:v>※</x:v>
      </x:c>
      <x:c r="G148" s="97" t="str">
        <x:v>待核定</x:v>
      </x:c>
      <x:c r="H148" s="99"/>
      <x:c r="I148" s="97"/>
      <x:c r="J148" s="97"/>
      <x:c r="K148" s="98" t="str">
        <x:f>IF($G148="核定通過","已核定",IF($G148="不納入","不納入",IF($G148="退回補件","退回補件",IF($G148="暫停","資格暫停","待主管核定"))))</x:f>
        <x:v>待主管核定</x:v>
      </x:c>
    </x:row>
    <x:row r="149">
      <x:c r="A149" s="79" t="str">
        <x:v>ABIL|1028|LJT-PREP-FILLING</x:v>
      </x:c>
      <x:c r="B149" s="79" t="str">
        <x:v>能力評等</x:v>
      </x:c>
      <x:c r="C149" s="79" t="str"/>
      <x:c r="D149" s="79" t="str">
        <x:v>LJT-PREP-FILLING</x:v>
      </x:c>
      <x:c r="E149" s="79" t="str">
        <x:v>※</x:v>
      </x:c>
      <x:c r="F149" s="79" t="str">
        <x:v>※</x:v>
      </x:c>
      <x:c r="G149" s="97" t="str">
        <x:v>待核定</x:v>
      </x:c>
      <x:c r="H149" s="99"/>
      <x:c r="I149" s="97"/>
      <x:c r="J149" s="97"/>
      <x:c r="K149" s="98" t="str">
        <x:f>IF($G149="核定通過","已核定",IF($G149="不納入","不納入",IF($G149="退回補件","退回補件",IF($G149="暫停","資格暫停","待主管核定"))))</x:f>
        <x:v>待主管核定</x:v>
      </x:c>
    </x:row>
    <x:row r="150">
      <x:c r="A150" s="79" t="str">
        <x:v>ABIL|1028|LJT-PREP-PERIO</x:v>
      </x:c>
      <x:c r="B150" s="79" t="str">
        <x:v>能力評等</x:v>
      </x:c>
      <x:c r="C150" s="79" t="str"/>
      <x:c r="D150" s="79" t="str">
        <x:v>LJT-PREP-PERIO</x:v>
      </x:c>
      <x:c r="E150" s="79" t="str">
        <x:v>※</x:v>
      </x:c>
      <x:c r="F150" s="79" t="str">
        <x:v>※</x:v>
      </x:c>
      <x:c r="G150" s="97" t="str">
        <x:v>待核定</x:v>
      </x:c>
      <x:c r="H150" s="99"/>
      <x:c r="I150" s="97"/>
      <x:c r="J150" s="97"/>
      <x:c r="K150" s="98" t="str">
        <x:f>IF($G150="核定通過","已核定",IF($G150="不納入","不納入",IF($G150="退回補件","退回補件",IF($G150="暫停","資格暫停","待主管核定"))))</x:f>
        <x:v>待主管核定</x:v>
      </x:c>
    </x:row>
    <x:row r="151">
      <x:c r="A151" s="79" t="str">
        <x:v>ABIL|1028|LJT-PREP-RCT</x:v>
      </x:c>
      <x:c r="B151" s="79" t="str">
        <x:v>能力評等</x:v>
      </x:c>
      <x:c r="C151" s="79" t="str"/>
      <x:c r="D151" s="79" t="str">
        <x:v>LJT-PREP-RCT</x:v>
      </x:c>
      <x:c r="E151" s="79" t="str">
        <x:v>※</x:v>
      </x:c>
      <x:c r="F151" s="79" t="str">
        <x:v>※</x:v>
      </x:c>
      <x:c r="G151" s="97" t="str">
        <x:v>待核定</x:v>
      </x:c>
      <x:c r="H151" s="99"/>
      <x:c r="I151" s="97"/>
      <x:c r="J151" s="97"/>
      <x:c r="K151" s="98" t="str">
        <x:f>IF($G151="核定通過","已核定",IF($G151="不納入","不納入",IF($G151="退回補件","退回補件",IF($G151="暫停","資格暫停","待主管核定"))))</x:f>
        <x:v>待主管核定</x:v>
      </x:c>
    </x:row>
    <x:row r="152">
      <x:c r="A152" s="79" t="str">
        <x:v>ABIL|1028|LJT-PREP-EXTRACTION</x:v>
      </x:c>
      <x:c r="B152" s="79" t="str">
        <x:v>能力評等</x:v>
      </x:c>
      <x:c r="C152" s="79" t="str"/>
      <x:c r="D152" s="79" t="str">
        <x:v>LJT-PREP-EXTRACTION</x:v>
      </x:c>
      <x:c r="E152" s="79" t="str">
        <x:v>※</x:v>
      </x:c>
      <x:c r="F152" s="79" t="str">
        <x:v>※</x:v>
      </x:c>
      <x:c r="G152" s="97" t="str">
        <x:v>待核定</x:v>
      </x:c>
      <x:c r="H152" s="99"/>
      <x:c r="I152" s="97"/>
      <x:c r="J152" s="97"/>
      <x:c r="K152" s="98" t="str">
        <x:f>IF($G152="核定通過","已核定",IF($G152="不納入","不納入",IF($G152="退回補件","退回補件",IF($G152="暫停","資格暫停","待主管核定"))))</x:f>
        <x:v>待主管核定</x:v>
      </x:c>
    </x:row>
    <x:row r="153">
      <x:c r="A153" s="79" t="str">
        <x:v>ABIL|1028|LJT-PREP-CROWNPOST</x:v>
      </x:c>
      <x:c r="B153" s="79" t="str">
        <x:v>能力評等</x:v>
      </x:c>
      <x:c r="C153" s="79" t="str"/>
      <x:c r="D153" s="79" t="str">
        <x:v>LJT-PREP-CROWNPOST</x:v>
      </x:c>
      <x:c r="E153" s="79" t="str">
        <x:v>※</x:v>
      </x:c>
      <x:c r="F153" s="79" t="str">
        <x:v>※</x:v>
      </x:c>
      <x:c r="G153" s="97" t="str">
        <x:v>待核定</x:v>
      </x:c>
      <x:c r="H153" s="99"/>
      <x:c r="I153" s="97"/>
      <x:c r="J153" s="97"/>
      <x:c r="K153" s="98" t="str">
        <x:f>IF($G153="核定通過","已核定",IF($G153="不納入","不納入",IF($G153="退回補件","退回補件",IF($G153="暫停","資格暫停","待主管核定"))))</x:f>
        <x:v>待主管核定</x:v>
      </x:c>
    </x:row>
    <x:row r="154">
      <x:c r="A154" s="79" t="str">
        <x:v>ABIL|1028|LJT-PREP-CROWN</x:v>
      </x:c>
      <x:c r="B154" s="79" t="str">
        <x:v>能力評等</x:v>
      </x:c>
      <x:c r="C154" s="79" t="str"/>
      <x:c r="D154" s="79" t="str">
        <x:v>LJT-PREP-CROWN</x:v>
      </x:c>
      <x:c r="E154" s="79" t="str">
        <x:v>※</x:v>
      </x:c>
      <x:c r="F154" s="79" t="str">
        <x:v>※</x:v>
      </x:c>
      <x:c r="G154" s="97" t="str">
        <x:v>待核定</x:v>
      </x:c>
      <x:c r="H154" s="99"/>
      <x:c r="I154" s="97"/>
      <x:c r="J154" s="97"/>
      <x:c r="K154" s="98" t="str">
        <x:f>IF($G154="核定通過","已核定",IF($G154="不納入","不納入",IF($G154="退回補件","退回補件",IF($G154="暫停","資格暫停","待主管核定"))))</x:f>
        <x:v>待主管核定</x:v>
      </x:c>
    </x:row>
    <x:row r="155">
      <x:c r="A155" s="79" t="str">
        <x:v>ABIL|1028|LJT-PREP-RPD</x:v>
      </x:c>
      <x:c r="B155" s="79" t="str">
        <x:v>能力評等</x:v>
      </x:c>
      <x:c r="C155" s="79" t="str"/>
      <x:c r="D155" s="79" t="str">
        <x:v>LJT-PREP-RPD</x:v>
      </x:c>
      <x:c r="E155" s="79" t="str">
        <x:v>※</x:v>
      </x:c>
      <x:c r="F155" s="79" t="str">
        <x:v>※</x:v>
      </x:c>
      <x:c r="G155" s="97" t="str">
        <x:v>待核定</x:v>
      </x:c>
      <x:c r="H155" s="99"/>
      <x:c r="I155" s="97"/>
      <x:c r="J155" s="97"/>
      <x:c r="K155" s="98" t="str">
        <x:f>IF($G155="核定通過","已核定",IF($G155="不納入","不納入",IF($G155="退回補件","退回補件",IF($G155="暫停","資格暫停","待主管核定"))))</x:f>
        <x:v>待主管核定</x:v>
      </x:c>
    </x:row>
    <x:row r="156">
      <x:c r="A156" s="79" t="str">
        <x:v>ABIL|1028|LJT-PREP-AIRPOLISH</x:v>
      </x:c>
      <x:c r="B156" s="79" t="str">
        <x:v>能力評等</x:v>
      </x:c>
      <x:c r="C156" s="79" t="str"/>
      <x:c r="D156" s="79" t="str">
        <x:v>LJT-PREP-AIRPOLISH</x:v>
      </x:c>
      <x:c r="E156" s="79" t="str">
        <x:v>※</x:v>
      </x:c>
      <x:c r="F156" s="79" t="str">
        <x:v>※</x:v>
      </x:c>
      <x:c r="G156" s="97" t="str">
        <x:v>待核定</x:v>
      </x:c>
      <x:c r="H156" s="99"/>
      <x:c r="I156" s="97"/>
      <x:c r="J156" s="97"/>
      <x:c r="K156" s="98" t="str">
        <x:f>IF($G156="核定通過","已核定",IF($G156="不納入","不納入",IF($G156="退回補件","退回補件",IF($G156="暫停","資格暫停","待主管核定"))))</x:f>
        <x:v>待主管核定</x:v>
      </x:c>
    </x:row>
    <x:row r="157">
      <x:c r="A157" s="79" t="str">
        <x:v>ABIL|1028|LJT-PREP-PERIOSURG</x:v>
      </x:c>
      <x:c r="B157" s="79" t="str">
        <x:v>能力評等</x:v>
      </x:c>
      <x:c r="C157" s="79" t="str"/>
      <x:c r="D157" s="79" t="str">
        <x:v>LJT-PREP-PERIOSURG</x:v>
      </x:c>
      <x:c r="E157" s="79" t="str">
        <x:v>※</x:v>
      </x:c>
      <x:c r="F157" s="79" t="str">
        <x:v>※</x:v>
      </x:c>
      <x:c r="G157" s="97" t="str">
        <x:v>待核定</x:v>
      </x:c>
      <x:c r="H157" s="99"/>
      <x:c r="I157" s="97"/>
      <x:c r="J157" s="97"/>
      <x:c r="K157" s="98" t="str">
        <x:f>IF($G157="核定通過","已核定",IF($G157="不納入","不納入",IF($G157="退回補件","退回補件",IF($G157="暫停","資格暫停","待主管核定"))))</x:f>
        <x:v>待主管核定</x:v>
      </x:c>
    </x:row>
    <x:row r="158">
      <x:c r="A158" s="79" t="str">
        <x:v>ABIL|1028|LJT-PREP-MICROENDO</x:v>
      </x:c>
      <x:c r="B158" s="79" t="str">
        <x:v>能力評等</x:v>
      </x:c>
      <x:c r="C158" s="79" t="str"/>
      <x:c r="D158" s="79" t="str">
        <x:v>LJT-PREP-MICROENDO</x:v>
      </x:c>
      <x:c r="E158" s="79" t="str">
        <x:v>※</x:v>
      </x:c>
      <x:c r="F158" s="79" t="str">
        <x:v>※</x:v>
      </x:c>
      <x:c r="G158" s="97" t="str">
        <x:v>待核定</x:v>
      </x:c>
      <x:c r="H158" s="99"/>
      <x:c r="I158" s="97"/>
      <x:c r="J158" s="97"/>
      <x:c r="K158" s="98" t="str">
        <x:f>IF($G158="核定通過","已核定",IF($G158="不納入","不納入",IF($G158="退回補件","退回補件",IF($G158="暫停","資格暫停","待主管核定"))))</x:f>
        <x:v>待主管核定</x:v>
      </x:c>
    </x:row>
    <x:row r="159">
      <x:c r="A159" s="79" t="str">
        <x:v>ABIL|1028|LJT-PREP-IMPLANT</x:v>
      </x:c>
      <x:c r="B159" s="79" t="str">
        <x:v>能力評等</x:v>
      </x:c>
      <x:c r="C159" s="79" t="str"/>
      <x:c r="D159" s="79" t="str">
        <x:v>LJT-PREP-IMPLANT</x:v>
      </x:c>
      <x:c r="E159" s="79" t="str">
        <x:v>※</x:v>
      </x:c>
      <x:c r="F159" s="79" t="str">
        <x:v>※</x:v>
      </x:c>
      <x:c r="G159" s="97" t="str">
        <x:v>待核定</x:v>
      </x:c>
      <x:c r="H159" s="99"/>
      <x:c r="I159" s="97"/>
      <x:c r="J159" s="97"/>
      <x:c r="K159" s="98" t="str">
        <x:f>IF($G159="核定通過","已核定",IF($G159="不納入","不納入",IF($G159="退回補件","退回補件",IF($G159="暫停","資格暫停","待主管核定"))))</x:f>
        <x:v>待主管核定</x:v>
      </x:c>
    </x:row>
    <x:row r="160">
      <x:c r="A160" s="79" t="str">
        <x:v>ABIL|1028|COMMON-RECORD</x:v>
      </x:c>
      <x:c r="B160" s="79" t="str">
        <x:v>能力評等</x:v>
      </x:c>
      <x:c r="C160" s="79" t="str"/>
      <x:c r="D160" s="79" t="str">
        <x:v>COMMON-RECORD</x:v>
      </x:c>
      <x:c r="E160" s="79" t="str">
        <x:v>※</x:v>
      </x:c>
      <x:c r="F160" s="79" t="str">
        <x:v>※</x:v>
      </x:c>
      <x:c r="G160" s="97" t="str">
        <x:v>待核定</x:v>
      </x:c>
      <x:c r="H160" s="99"/>
      <x:c r="I160" s="97"/>
      <x:c r="J160" s="97"/>
      <x:c r="K160" s="98" t="str">
        <x:f>IF($G160="核定通過","已核定",IF($G160="不納入","不納入",IF($G160="退回補件","退回補件",IF($G160="暫停","資格暫停","待主管核定"))))</x:f>
        <x:v>待主管核定</x:v>
      </x:c>
    </x:row>
    <x:row r="161">
      <x:c r="A161" s="79" t="str">
        <x:v>ABIL|1028|COMMON-INSURANCE</x:v>
      </x:c>
      <x:c r="B161" s="79" t="str">
        <x:v>能力評等</x:v>
      </x:c>
      <x:c r="C161" s="79" t="str"/>
      <x:c r="D161" s="79" t="str">
        <x:v>COMMON-INSURANCE</x:v>
      </x:c>
      <x:c r="E161" s="79" t="str">
        <x:v>※</x:v>
      </x:c>
      <x:c r="F161" s="79" t="str">
        <x:v>※</x:v>
      </x:c>
      <x:c r="G161" s="97" t="str">
        <x:v>待核定</x:v>
      </x:c>
      <x:c r="H161" s="99"/>
      <x:c r="I161" s="97"/>
      <x:c r="J161" s="97"/>
      <x:c r="K161" s="98" t="str">
        <x:f>IF($G161="核定通過","已核定",IF($G161="不納入","不納入",IF($G161="退回補件","退回補件",IF($G161="暫停","資格暫停","待主管核定"))))</x:f>
        <x:v>待主管核定</x:v>
      </x:c>
    </x:row>
    <x:row r="162">
      <x:c r="A162" s="79" t="str">
        <x:v>ABIL|1028|COMMON-XRAY-RECORD</x:v>
      </x:c>
      <x:c r="B162" s="79" t="str">
        <x:v>能力評等</x:v>
      </x:c>
      <x:c r="C162" s="79" t="str"/>
      <x:c r="D162" s="79" t="str">
        <x:v>COMMON-XRAY-RECORD</x:v>
      </x:c>
      <x:c r="E162" s="79" t="str">
        <x:v>※</x:v>
      </x:c>
      <x:c r="F162" s="79" t="str">
        <x:v>※</x:v>
      </x:c>
      <x:c r="G162" s="97" t="str">
        <x:v>待核定</x:v>
      </x:c>
      <x:c r="H162" s="99"/>
      <x:c r="I162" s="97"/>
      <x:c r="J162" s="97"/>
      <x:c r="K162" s="98" t="str">
        <x:f>IF($G162="核定通過","已核定",IF($G162="不納入","不納入",IF($G162="退回補件","退回補件",IF($G162="暫停","資格暫停","待主管核定"))))</x:f>
        <x:v>待主管核定</x:v>
      </x:c>
    </x:row>
    <x:row r="163">
      <x:c r="A163" s="79" t="str">
        <x:v>ABIL|1028|COMMON-PA</x:v>
      </x:c>
      <x:c r="B163" s="79" t="str">
        <x:v>能力評等</x:v>
      </x:c>
      <x:c r="C163" s="79" t="str"/>
      <x:c r="D163" s="79" t="str">
        <x:v>COMMON-PA</x:v>
      </x:c>
      <x:c r="E163" s="79" t="str">
        <x:v>※</x:v>
      </x:c>
      <x:c r="F163" s="79" t="str">
        <x:v>※</x:v>
      </x:c>
      <x:c r="G163" s="97" t="str">
        <x:v>待核定</x:v>
      </x:c>
      <x:c r="H163" s="99"/>
      <x:c r="I163" s="97"/>
      <x:c r="J163" s="97"/>
      <x:c r="K163" s="98" t="str">
        <x:f>IF($G163="核定通過","已核定",IF($G163="不納入","不納入",IF($G163="退回補件","退回補件",IF($G163="暫停","資格暫停","待主管核定"))))</x:f>
        <x:v>待主管核定</x:v>
      </x:c>
    </x:row>
    <x:row r="164">
      <x:c r="A164" s="79" t="str">
        <x:v>ABIL|1028|COMMON-IOS</x:v>
      </x:c>
      <x:c r="B164" s="79" t="str">
        <x:v>能力評等</x:v>
      </x:c>
      <x:c r="C164" s="79" t="str"/>
      <x:c r="D164" s="79" t="str">
        <x:v>COMMON-IOS</x:v>
      </x:c>
      <x:c r="E164" s="79" t="str">
        <x:v>※</x:v>
      </x:c>
      <x:c r="F164" s="79" t="str">
        <x:v>※</x:v>
      </x:c>
      <x:c r="G164" s="97" t="str">
        <x:v>待核定</x:v>
      </x:c>
      <x:c r="H164" s="99"/>
      <x:c r="I164" s="97"/>
      <x:c r="J164" s="97"/>
      <x:c r="K164" s="98" t="str">
        <x:f>IF($G164="核定通過","已核定",IF($G164="不納入","不納入",IF($G164="退回補件","退回補件",IF($G164="暫停","資格暫停","待主管核定"))))</x:f>
        <x:v>待主管核定</x:v>
      </x:c>
    </x:row>
    <x:row r="165">
      <x:c r="A165" s="79" t="str">
        <x:v>ABIL|1029|LJT-PREP-SCALING</x:v>
      </x:c>
      <x:c r="B165" s="79" t="str">
        <x:v>能力評等</x:v>
      </x:c>
      <x:c r="C165" s="79" t="str"/>
      <x:c r="D165" s="79" t="str">
        <x:v>LJT-PREP-SCALING</x:v>
      </x:c>
      <x:c r="E165" s="79" t="str">
        <x:v>未評估</x:v>
      </x:c>
      <x:c r="F165" s="79" t="str">
        <x:v>未評估</x:v>
      </x:c>
      <x:c r="G165" s="97" t="str">
        <x:v>待核定</x:v>
      </x:c>
      <x:c r="H165" s="99"/>
      <x:c r="I165" s="97"/>
      <x:c r="J165" s="97"/>
      <x:c r="K165" s="98" t="str">
        <x:f>IF($G165="核定通過","已核定",IF($G165="不納入","不納入",IF($G165="退回補件","退回補件",IF($G165="暫停","資格暫停","待主管核定"))))</x:f>
        <x:v>待主管核定</x:v>
      </x:c>
    </x:row>
    <x:row r="166">
      <x:c r="A166" s="79" t="str">
        <x:v>ABIL|1029|LJT-PREP-FILLING</x:v>
      </x:c>
      <x:c r="B166" s="79" t="str">
        <x:v>能力評等</x:v>
      </x:c>
      <x:c r="C166" s="79" t="str"/>
      <x:c r="D166" s="79" t="str">
        <x:v>LJT-PREP-FILLING</x:v>
      </x:c>
      <x:c r="E166" s="79" t="str">
        <x:v>未評估</x:v>
      </x:c>
      <x:c r="F166" s="79" t="str">
        <x:v>未評估</x:v>
      </x:c>
      <x:c r="G166" s="97" t="str">
        <x:v>待核定</x:v>
      </x:c>
      <x:c r="H166" s="99"/>
      <x:c r="I166" s="97"/>
      <x:c r="J166" s="97"/>
      <x:c r="K166" s="98" t="str">
        <x:f>IF($G166="核定通過","已核定",IF($G166="不納入","不納入",IF($G166="退回補件","退回補件",IF($G166="暫停","資格暫停","待主管核定"))))</x:f>
        <x:v>待主管核定</x:v>
      </x:c>
    </x:row>
    <x:row r="167">
      <x:c r="A167" s="79" t="str">
        <x:v>ABIL|1029|LJT-PREP-PERIO</x:v>
      </x:c>
      <x:c r="B167" s="79" t="str">
        <x:v>能力評等</x:v>
      </x:c>
      <x:c r="C167" s="79" t="str"/>
      <x:c r="D167" s="79" t="str">
        <x:v>LJT-PREP-PERIO</x:v>
      </x:c>
      <x:c r="E167" s="79" t="str">
        <x:v>未評估</x:v>
      </x:c>
      <x:c r="F167" s="79" t="str">
        <x:v>未評估</x:v>
      </x:c>
      <x:c r="G167" s="97" t="str">
        <x:v>待核定</x:v>
      </x:c>
      <x:c r="H167" s="99"/>
      <x:c r="I167" s="97"/>
      <x:c r="J167" s="97"/>
      <x:c r="K167" s="98" t="str">
        <x:f>IF($G167="核定通過","已核定",IF($G167="不納入","不納入",IF($G167="退回補件","退回補件",IF($G167="暫停","資格暫停","待主管核定"))))</x:f>
        <x:v>待主管核定</x:v>
      </x:c>
    </x:row>
    <x:row r="168">
      <x:c r="A168" s="79" t="str">
        <x:v>ABIL|1029|LJT-PREP-RCT</x:v>
      </x:c>
      <x:c r="B168" s="79" t="str">
        <x:v>能力評等</x:v>
      </x:c>
      <x:c r="C168" s="79" t="str"/>
      <x:c r="D168" s="79" t="str">
        <x:v>LJT-PREP-RCT</x:v>
      </x:c>
      <x:c r="E168" s="79" t="str">
        <x:v>未評估</x:v>
      </x:c>
      <x:c r="F168" s="79" t="str">
        <x:v>未評估</x:v>
      </x:c>
      <x:c r="G168" s="97" t="str">
        <x:v>待核定</x:v>
      </x:c>
      <x:c r="H168" s="99"/>
      <x:c r="I168" s="97"/>
      <x:c r="J168" s="97"/>
      <x:c r="K168" s="98" t="str">
        <x:f>IF($G168="核定通過","已核定",IF($G168="不納入","不納入",IF($G168="退回補件","退回補件",IF($G168="暫停","資格暫停","待主管核定"))))</x:f>
        <x:v>待主管核定</x:v>
      </x:c>
    </x:row>
    <x:row r="169">
      <x:c r="A169" s="79" t="str">
        <x:v>ABIL|1029|LJT-PREP-EXTRACTION</x:v>
      </x:c>
      <x:c r="B169" s="79" t="str">
        <x:v>能力評等</x:v>
      </x:c>
      <x:c r="C169" s="79" t="str"/>
      <x:c r="D169" s="79" t="str">
        <x:v>LJT-PREP-EXTRACTION</x:v>
      </x:c>
      <x:c r="E169" s="79" t="str">
        <x:v>未評估</x:v>
      </x:c>
      <x:c r="F169" s="79" t="str">
        <x:v>未評估</x:v>
      </x:c>
      <x:c r="G169" s="97" t="str">
        <x:v>待核定</x:v>
      </x:c>
      <x:c r="H169" s="99"/>
      <x:c r="I169" s="97"/>
      <x:c r="J169" s="97"/>
      <x:c r="K169" s="98" t="str">
        <x:f>IF($G169="核定通過","已核定",IF($G169="不納入","不納入",IF($G169="退回補件","退回補件",IF($G169="暫停","資格暫停","待主管核定"))))</x:f>
        <x:v>待主管核定</x:v>
      </x:c>
    </x:row>
    <x:row r="170">
      <x:c r="A170" s="79" t="str">
        <x:v>ABIL|1029|LJT-PREP-CROWNPOST</x:v>
      </x:c>
      <x:c r="B170" s="79" t="str">
        <x:v>能力評等</x:v>
      </x:c>
      <x:c r="C170" s="79" t="str"/>
      <x:c r="D170" s="79" t="str">
        <x:v>LJT-PREP-CROWNPOST</x:v>
      </x:c>
      <x:c r="E170" s="79" t="str">
        <x:v>未評估</x:v>
      </x:c>
      <x:c r="F170" s="79" t="str">
        <x:v>未評估</x:v>
      </x:c>
      <x:c r="G170" s="97" t="str">
        <x:v>待核定</x:v>
      </x:c>
      <x:c r="H170" s="99"/>
      <x:c r="I170" s="97"/>
      <x:c r="J170" s="97"/>
      <x:c r="K170" s="98" t="str">
        <x:f>IF($G170="核定通過","已核定",IF($G170="不納入","不納入",IF($G170="退回補件","退回補件",IF($G170="暫停","資格暫停","待主管核定"))))</x:f>
        <x:v>待主管核定</x:v>
      </x:c>
    </x:row>
    <x:row r="171">
      <x:c r="A171" s="79" t="str">
        <x:v>ABIL|1029|LJT-PREP-CROWN</x:v>
      </x:c>
      <x:c r="B171" s="79" t="str">
        <x:v>能力評等</x:v>
      </x:c>
      <x:c r="C171" s="79" t="str"/>
      <x:c r="D171" s="79" t="str">
        <x:v>LJT-PREP-CROWN</x:v>
      </x:c>
      <x:c r="E171" s="79" t="str">
        <x:v>未評估</x:v>
      </x:c>
      <x:c r="F171" s="79" t="str">
        <x:v>未評估</x:v>
      </x:c>
      <x:c r="G171" s="97" t="str">
        <x:v>待核定</x:v>
      </x:c>
      <x:c r="H171" s="99"/>
      <x:c r="I171" s="97"/>
      <x:c r="J171" s="97"/>
      <x:c r="K171" s="98" t="str">
        <x:f>IF($G171="核定通過","已核定",IF($G171="不納入","不納入",IF($G171="退回補件","退回補件",IF($G171="暫停","資格暫停","待主管核定"))))</x:f>
        <x:v>待主管核定</x:v>
      </x:c>
    </x:row>
    <x:row r="172">
      <x:c r="A172" s="79" t="str">
        <x:v>ABIL|1029|LJT-PREP-RPD</x:v>
      </x:c>
      <x:c r="B172" s="79" t="str">
        <x:v>能力評等</x:v>
      </x:c>
      <x:c r="C172" s="79" t="str"/>
      <x:c r="D172" s="79" t="str">
        <x:v>LJT-PREP-RPD</x:v>
      </x:c>
      <x:c r="E172" s="79" t="str">
        <x:v>未評估</x:v>
      </x:c>
      <x:c r="F172" s="79" t="str">
        <x:v>未評估</x:v>
      </x:c>
      <x:c r="G172" s="97" t="str">
        <x:v>待核定</x:v>
      </x:c>
      <x:c r="H172" s="99"/>
      <x:c r="I172" s="97"/>
      <x:c r="J172" s="97"/>
      <x:c r="K172" s="98" t="str">
        <x:f>IF($G172="核定通過","已核定",IF($G172="不納入","不納入",IF($G172="退回補件","退回補件",IF($G172="暫停","資格暫停","待主管核定"))))</x:f>
        <x:v>待主管核定</x:v>
      </x:c>
    </x:row>
    <x:row r="173">
      <x:c r="A173" s="79" t="str">
        <x:v>ABIL|1029|LJT-PREP-AIRPOLISH</x:v>
      </x:c>
      <x:c r="B173" s="79" t="str">
        <x:v>能力評等</x:v>
      </x:c>
      <x:c r="C173" s="79" t="str"/>
      <x:c r="D173" s="79" t="str">
        <x:v>LJT-PREP-AIRPOLISH</x:v>
      </x:c>
      <x:c r="E173" s="79" t="str">
        <x:v>未評估</x:v>
      </x:c>
      <x:c r="F173" s="79" t="str">
        <x:v>未評估</x:v>
      </x:c>
      <x:c r="G173" s="97" t="str">
        <x:v>待核定</x:v>
      </x:c>
      <x:c r="H173" s="99"/>
      <x:c r="I173" s="97"/>
      <x:c r="J173" s="97"/>
      <x:c r="K173" s="98" t="str">
        <x:f>IF($G173="核定通過","已核定",IF($G173="不納入","不納入",IF($G173="退回補件","退回補件",IF($G173="暫停","資格暫停","待主管核定"))))</x:f>
        <x:v>待主管核定</x:v>
      </x:c>
    </x:row>
    <x:row r="174">
      <x:c r="A174" s="79" t="str">
        <x:v>ABIL|1029|LJT-PREP-PERIOSURG</x:v>
      </x:c>
      <x:c r="B174" s="79" t="str">
        <x:v>能力評等</x:v>
      </x:c>
      <x:c r="C174" s="79" t="str"/>
      <x:c r="D174" s="79" t="str">
        <x:v>LJT-PREP-PERIOSURG</x:v>
      </x:c>
      <x:c r="E174" s="79" t="str">
        <x:v>未評估</x:v>
      </x:c>
      <x:c r="F174" s="79" t="str">
        <x:v>未評估</x:v>
      </x:c>
      <x:c r="G174" s="97" t="str">
        <x:v>待核定</x:v>
      </x:c>
      <x:c r="H174" s="99"/>
      <x:c r="I174" s="97"/>
      <x:c r="J174" s="97"/>
      <x:c r="K174" s="98" t="str">
        <x:f>IF($G174="核定通過","已核定",IF($G174="不納入","不納入",IF($G174="退回補件","退回補件",IF($G174="暫停","資格暫停","待主管核定"))))</x:f>
        <x:v>待主管核定</x:v>
      </x:c>
    </x:row>
    <x:row r="175">
      <x:c r="A175" s="79" t="str">
        <x:v>ABIL|1029|LJT-PREP-MICROENDO</x:v>
      </x:c>
      <x:c r="B175" s="79" t="str">
        <x:v>能力評等</x:v>
      </x:c>
      <x:c r="C175" s="79" t="str"/>
      <x:c r="D175" s="79" t="str">
        <x:v>LJT-PREP-MICROENDO</x:v>
      </x:c>
      <x:c r="E175" s="79" t="str">
        <x:v>未評估</x:v>
      </x:c>
      <x:c r="F175" s="79" t="str">
        <x:v>未評估</x:v>
      </x:c>
      <x:c r="G175" s="97" t="str">
        <x:v>待核定</x:v>
      </x:c>
      <x:c r="H175" s="99"/>
      <x:c r="I175" s="97"/>
      <x:c r="J175" s="97"/>
      <x:c r="K175" s="98" t="str">
        <x:f>IF($G175="核定通過","已核定",IF($G175="不納入","不納入",IF($G175="退回補件","退回補件",IF($G175="暫停","資格暫停","待主管核定"))))</x:f>
        <x:v>待主管核定</x:v>
      </x:c>
    </x:row>
    <x:row r="176">
      <x:c r="A176" s="79" t="str">
        <x:v>ABIL|1029|LJT-PREP-IMPLANT</x:v>
      </x:c>
      <x:c r="B176" s="79" t="str">
        <x:v>能力評等</x:v>
      </x:c>
      <x:c r="C176" s="79" t="str"/>
      <x:c r="D176" s="79" t="str">
        <x:v>LJT-PREP-IMPLANT</x:v>
      </x:c>
      <x:c r="E176" s="79" t="str">
        <x:v>未評估</x:v>
      </x:c>
      <x:c r="F176" s="79" t="str">
        <x:v>未評估</x:v>
      </x:c>
      <x:c r="G176" s="97" t="str">
        <x:v>待核定</x:v>
      </x:c>
      <x:c r="H176" s="99"/>
      <x:c r="I176" s="97"/>
      <x:c r="J176" s="97"/>
      <x:c r="K176" s="98" t="str">
        <x:f>IF($G176="核定通過","已核定",IF($G176="不納入","不納入",IF($G176="退回補件","退回補件",IF($G176="暫停","資格暫停","待主管核定"))))</x:f>
        <x:v>待主管核定</x:v>
      </x:c>
    </x:row>
    <x:row r="177">
      <x:c r="A177" s="79" t="str">
        <x:v>ABIL|1029|COMMON-RECORD</x:v>
      </x:c>
      <x:c r="B177" s="79" t="str">
        <x:v>能力評等</x:v>
      </x:c>
      <x:c r="C177" s="79" t="str"/>
      <x:c r="D177" s="79" t="str">
        <x:v>COMMON-RECORD</x:v>
      </x:c>
      <x:c r="E177" s="79" t="str">
        <x:v>未評估</x:v>
      </x:c>
      <x:c r="F177" s="79" t="str">
        <x:v>未評估</x:v>
      </x:c>
      <x:c r="G177" s="97" t="str">
        <x:v>待核定</x:v>
      </x:c>
      <x:c r="H177" s="99"/>
      <x:c r="I177" s="97"/>
      <x:c r="J177" s="97"/>
      <x:c r="K177" s="98" t="str">
        <x:f>IF($G177="核定通過","已核定",IF($G177="不納入","不納入",IF($G177="退回補件","退回補件",IF($G177="暫停","資格暫停","待主管核定"))))</x:f>
        <x:v>待主管核定</x:v>
      </x:c>
    </x:row>
    <x:row r="178">
      <x:c r="A178" s="79" t="str">
        <x:v>ABIL|1029|COMMON-INSURANCE</x:v>
      </x:c>
      <x:c r="B178" s="79" t="str">
        <x:v>能力評等</x:v>
      </x:c>
      <x:c r="C178" s="79" t="str"/>
      <x:c r="D178" s="79" t="str">
        <x:v>COMMON-INSURANCE</x:v>
      </x:c>
      <x:c r="E178" s="79" t="str">
        <x:v>未評估</x:v>
      </x:c>
      <x:c r="F178" s="79" t="str">
        <x:v>未評估</x:v>
      </x:c>
      <x:c r="G178" s="97" t="str">
        <x:v>待核定</x:v>
      </x:c>
      <x:c r="H178" s="99"/>
      <x:c r="I178" s="97"/>
      <x:c r="J178" s="97"/>
      <x:c r="K178" s="98" t="str">
        <x:f>IF($G178="核定通過","已核定",IF($G178="不納入","不納入",IF($G178="退回補件","退回補件",IF($G178="暫停","資格暫停","待主管核定"))))</x:f>
        <x:v>待主管核定</x:v>
      </x:c>
    </x:row>
    <x:row r="179">
      <x:c r="A179" s="79" t="str">
        <x:v>ABIL|1029|COMMON-XRAY-RECORD</x:v>
      </x:c>
      <x:c r="B179" s="79" t="str">
        <x:v>能力評等</x:v>
      </x:c>
      <x:c r="C179" s="79" t="str"/>
      <x:c r="D179" s="79" t="str">
        <x:v>COMMON-XRAY-RECORD</x:v>
      </x:c>
      <x:c r="E179" s="79" t="str">
        <x:v>未評估</x:v>
      </x:c>
      <x:c r="F179" s="79" t="str">
        <x:v>未評估</x:v>
      </x:c>
      <x:c r="G179" s="97" t="str">
        <x:v>待核定</x:v>
      </x:c>
      <x:c r="H179" s="99"/>
      <x:c r="I179" s="97"/>
      <x:c r="J179" s="97"/>
      <x:c r="K179" s="98" t="str">
        <x:f>IF($G179="核定通過","已核定",IF($G179="不納入","不納入",IF($G179="退回補件","退回補件",IF($G179="暫停","資格暫停","待主管核定"))))</x:f>
        <x:v>待主管核定</x:v>
      </x:c>
    </x:row>
    <x:row r="180">
      <x:c r="A180" s="79" t="str">
        <x:v>ABIL|1029|COMMON-PA</x:v>
      </x:c>
      <x:c r="B180" s="79" t="str">
        <x:v>能力評等</x:v>
      </x:c>
      <x:c r="C180" s="79" t="str"/>
      <x:c r="D180" s="79" t="str">
        <x:v>COMMON-PA</x:v>
      </x:c>
      <x:c r="E180" s="79" t="str">
        <x:v>未評估</x:v>
      </x:c>
      <x:c r="F180" s="79" t="str">
        <x:v>未評估</x:v>
      </x:c>
      <x:c r="G180" s="97" t="str">
        <x:v>待核定</x:v>
      </x:c>
      <x:c r="H180" s="99"/>
      <x:c r="I180" s="97"/>
      <x:c r="J180" s="97"/>
      <x:c r="K180" s="98" t="str">
        <x:f>IF($G180="核定通過","已核定",IF($G180="不納入","不納入",IF($G180="退回補件","退回補件",IF($G180="暫停","資格暫停","待主管核定"))))</x:f>
        <x:v>待主管核定</x:v>
      </x:c>
    </x:row>
    <x:row r="181">
      <x:c r="A181" s="79" t="str">
        <x:v>ABIL|1029|COMMON-IOS</x:v>
      </x:c>
      <x:c r="B181" s="79" t="str">
        <x:v>能力評等</x:v>
      </x:c>
      <x:c r="C181" s="79" t="str"/>
      <x:c r="D181" s="79" t="str">
        <x:v>COMMON-IOS</x:v>
      </x:c>
      <x:c r="E181" s="79" t="str">
        <x:v>未評估</x:v>
      </x:c>
      <x:c r="F181" s="79" t="str">
        <x:v>未評估</x:v>
      </x:c>
      <x:c r="G181" s="97" t="str">
        <x:v>待核定</x:v>
      </x:c>
      <x:c r="H181" s="99"/>
      <x:c r="I181" s="97"/>
      <x:c r="J181" s="97"/>
      <x:c r="K181" s="98" t="str">
        <x:f>IF($G181="核定通過","已核定",IF($G181="不納入","不納入",IF($G181="退回補件","退回補件",IF($G181="暫停","資格暫停","待主管核定"))))</x:f>
        <x:v>待主管核定</x:v>
      </x:c>
    </x:row>
    <x:row r="182">
      <x:c r="A182" s="79" t="str">
        <x:v>ABIL|1030|LJT-PREP-SCALING</x:v>
      </x:c>
      <x:c r="B182" s="79" t="str">
        <x:v>能力評等</x:v>
      </x:c>
      <x:c r="C182" s="79" t="str"/>
      <x:c r="D182" s="79" t="str">
        <x:v>LJT-PREP-SCALING</x:v>
      </x:c>
      <x:c r="E182" s="79" t="str">
        <x:v>未評估</x:v>
      </x:c>
      <x:c r="F182" s="79" t="str">
        <x:v>未評估</x:v>
      </x:c>
      <x:c r="G182" s="97" t="str">
        <x:v>待核定</x:v>
      </x:c>
      <x:c r="H182" s="99"/>
      <x:c r="I182" s="97"/>
      <x:c r="J182" s="97"/>
      <x:c r="K182" s="98" t="str">
        <x:f>IF($G182="核定通過","已核定",IF($G182="不納入","不納入",IF($G182="退回補件","退回補件",IF($G182="暫停","資格暫停","待主管核定"))))</x:f>
        <x:v>待主管核定</x:v>
      </x:c>
    </x:row>
    <x:row r="183">
      <x:c r="A183" s="79" t="str">
        <x:v>ABIL|1030|LJT-PREP-FILLING</x:v>
      </x:c>
      <x:c r="B183" s="79" t="str">
        <x:v>能力評等</x:v>
      </x:c>
      <x:c r="C183" s="79" t="str"/>
      <x:c r="D183" s="79" t="str">
        <x:v>LJT-PREP-FILLING</x:v>
      </x:c>
      <x:c r="E183" s="79" t="str">
        <x:v>未評估</x:v>
      </x:c>
      <x:c r="F183" s="79" t="str">
        <x:v>未評估</x:v>
      </x:c>
      <x:c r="G183" s="97" t="str">
        <x:v>待核定</x:v>
      </x:c>
      <x:c r="H183" s="99"/>
      <x:c r="I183" s="97"/>
      <x:c r="J183" s="97"/>
      <x:c r="K183" s="98" t="str">
        <x:f>IF($G183="核定通過","已核定",IF($G183="不納入","不納入",IF($G183="退回補件","退回補件",IF($G183="暫停","資格暫停","待主管核定"))))</x:f>
        <x:v>待主管核定</x:v>
      </x:c>
    </x:row>
    <x:row r="184">
      <x:c r="A184" s="79" t="str">
        <x:v>ABIL|1030|LJT-PREP-PERIO</x:v>
      </x:c>
      <x:c r="B184" s="79" t="str">
        <x:v>能力評等</x:v>
      </x:c>
      <x:c r="C184" s="79" t="str"/>
      <x:c r="D184" s="79" t="str">
        <x:v>LJT-PREP-PERIO</x:v>
      </x:c>
      <x:c r="E184" s="79" t="str">
        <x:v>未評估</x:v>
      </x:c>
      <x:c r="F184" s="79" t="str">
        <x:v>未評估</x:v>
      </x:c>
      <x:c r="G184" s="97" t="str">
        <x:v>待核定</x:v>
      </x:c>
      <x:c r="H184" s="99"/>
      <x:c r="I184" s="97"/>
      <x:c r="J184" s="97"/>
      <x:c r="K184" s="98" t="str">
        <x:f>IF($G184="核定通過","已核定",IF($G184="不納入","不納入",IF($G184="退回補件","退回補件",IF($G184="暫停","資格暫停","待主管核定"))))</x:f>
        <x:v>待主管核定</x:v>
      </x:c>
    </x:row>
    <x:row r="185">
      <x:c r="A185" s="79" t="str">
        <x:v>ABIL|1030|LJT-PREP-RCT</x:v>
      </x:c>
      <x:c r="B185" s="79" t="str">
        <x:v>能力評等</x:v>
      </x:c>
      <x:c r="C185" s="79" t="str"/>
      <x:c r="D185" s="79" t="str">
        <x:v>LJT-PREP-RCT</x:v>
      </x:c>
      <x:c r="E185" s="79" t="str">
        <x:v>未評估</x:v>
      </x:c>
      <x:c r="F185" s="79" t="str">
        <x:v>未評估</x:v>
      </x:c>
      <x:c r="G185" s="97" t="str">
        <x:v>待核定</x:v>
      </x:c>
      <x:c r="H185" s="99"/>
      <x:c r="I185" s="97"/>
      <x:c r="J185" s="97"/>
      <x:c r="K185" s="98" t="str">
        <x:f>IF($G185="核定通過","已核定",IF($G185="不納入","不納入",IF($G185="退回補件","退回補件",IF($G185="暫停","資格暫停","待主管核定"))))</x:f>
        <x:v>待主管核定</x:v>
      </x:c>
    </x:row>
    <x:row r="186">
      <x:c r="A186" s="79" t="str">
        <x:v>ABIL|1030|LJT-PREP-EXTRACTION</x:v>
      </x:c>
      <x:c r="B186" s="79" t="str">
        <x:v>能力評等</x:v>
      </x:c>
      <x:c r="C186" s="79" t="str"/>
      <x:c r="D186" s="79" t="str">
        <x:v>LJT-PREP-EXTRACTION</x:v>
      </x:c>
      <x:c r="E186" s="79" t="str">
        <x:v>未評估</x:v>
      </x:c>
      <x:c r="F186" s="79" t="str">
        <x:v>未評估</x:v>
      </x:c>
      <x:c r="G186" s="97" t="str">
        <x:v>待核定</x:v>
      </x:c>
      <x:c r="H186" s="99"/>
      <x:c r="I186" s="97"/>
      <x:c r="J186" s="97"/>
      <x:c r="K186" s="98" t="str">
        <x:f>IF($G186="核定通過","已核定",IF($G186="不納入","不納入",IF($G186="退回補件","退回補件",IF($G186="暫停","資格暫停","待主管核定"))))</x:f>
        <x:v>待主管核定</x:v>
      </x:c>
    </x:row>
    <x:row r="187">
      <x:c r="A187" s="79" t="str">
        <x:v>ABIL|1030|LJT-PREP-CROWNPOST</x:v>
      </x:c>
      <x:c r="B187" s="79" t="str">
        <x:v>能力評等</x:v>
      </x:c>
      <x:c r="C187" s="79" t="str"/>
      <x:c r="D187" s="79" t="str">
        <x:v>LJT-PREP-CROWNPOST</x:v>
      </x:c>
      <x:c r="E187" s="79" t="str">
        <x:v>未評估</x:v>
      </x:c>
      <x:c r="F187" s="79" t="str">
        <x:v>未評估</x:v>
      </x:c>
      <x:c r="G187" s="97" t="str">
        <x:v>待核定</x:v>
      </x:c>
      <x:c r="H187" s="99"/>
      <x:c r="I187" s="97"/>
      <x:c r="J187" s="97"/>
      <x:c r="K187" s="98" t="str">
        <x:f>IF($G187="核定通過","已核定",IF($G187="不納入","不納入",IF($G187="退回補件","退回補件",IF($G187="暫停","資格暫停","待主管核定"))))</x:f>
        <x:v>待主管核定</x:v>
      </x:c>
    </x:row>
    <x:row r="188">
      <x:c r="A188" s="79" t="str">
        <x:v>ABIL|1030|LJT-PREP-CROWN</x:v>
      </x:c>
      <x:c r="B188" s="79" t="str">
        <x:v>能力評等</x:v>
      </x:c>
      <x:c r="C188" s="79" t="str"/>
      <x:c r="D188" s="79" t="str">
        <x:v>LJT-PREP-CROWN</x:v>
      </x:c>
      <x:c r="E188" s="79" t="str">
        <x:v>未評估</x:v>
      </x:c>
      <x:c r="F188" s="79" t="str">
        <x:v>未評估</x:v>
      </x:c>
      <x:c r="G188" s="97" t="str">
        <x:v>待核定</x:v>
      </x:c>
      <x:c r="H188" s="99"/>
      <x:c r="I188" s="97"/>
      <x:c r="J188" s="97"/>
      <x:c r="K188" s="98" t="str">
        <x:f>IF($G188="核定通過","已核定",IF($G188="不納入","不納入",IF($G188="退回補件","退回補件",IF($G188="暫停","資格暫停","待主管核定"))))</x:f>
        <x:v>待主管核定</x:v>
      </x:c>
    </x:row>
    <x:row r="189">
      <x:c r="A189" s="79" t="str">
        <x:v>ABIL|1030|LJT-PREP-RPD</x:v>
      </x:c>
      <x:c r="B189" s="79" t="str">
        <x:v>能力評等</x:v>
      </x:c>
      <x:c r="C189" s="79" t="str"/>
      <x:c r="D189" s="79" t="str">
        <x:v>LJT-PREP-RPD</x:v>
      </x:c>
      <x:c r="E189" s="79" t="str">
        <x:v>未評估</x:v>
      </x:c>
      <x:c r="F189" s="79" t="str">
        <x:v>未評估</x:v>
      </x:c>
      <x:c r="G189" s="97" t="str">
        <x:v>待核定</x:v>
      </x:c>
      <x:c r="H189" s="99"/>
      <x:c r="I189" s="97"/>
      <x:c r="J189" s="97"/>
      <x:c r="K189" s="98" t="str">
        <x:f>IF($G189="核定通過","已核定",IF($G189="不納入","不納入",IF($G189="退回補件","退回補件",IF($G189="暫停","資格暫停","待主管核定"))))</x:f>
        <x:v>待主管核定</x:v>
      </x:c>
    </x:row>
    <x:row r="190">
      <x:c r="A190" s="79" t="str">
        <x:v>ABIL|1030|LJT-PREP-AIRPOLISH</x:v>
      </x:c>
      <x:c r="B190" s="79" t="str">
        <x:v>能力評等</x:v>
      </x:c>
      <x:c r="C190" s="79" t="str"/>
      <x:c r="D190" s="79" t="str">
        <x:v>LJT-PREP-AIRPOLISH</x:v>
      </x:c>
      <x:c r="E190" s="79" t="str">
        <x:v>未評估</x:v>
      </x:c>
      <x:c r="F190" s="79" t="str">
        <x:v>未評估</x:v>
      </x:c>
      <x:c r="G190" s="97" t="str">
        <x:v>待核定</x:v>
      </x:c>
      <x:c r="H190" s="99"/>
      <x:c r="I190" s="97"/>
      <x:c r="J190" s="97"/>
      <x:c r="K190" s="98" t="str">
        <x:f>IF($G190="核定通過","已核定",IF($G190="不納入","不納入",IF($G190="退回補件","退回補件",IF($G190="暫停","資格暫停","待主管核定"))))</x:f>
        <x:v>待主管核定</x:v>
      </x:c>
    </x:row>
    <x:row r="191">
      <x:c r="A191" s="79" t="str">
        <x:v>ABIL|1030|LJT-PREP-PERIOSURG</x:v>
      </x:c>
      <x:c r="B191" s="79" t="str">
        <x:v>能力評等</x:v>
      </x:c>
      <x:c r="C191" s="79" t="str"/>
      <x:c r="D191" s="79" t="str">
        <x:v>LJT-PREP-PERIOSURG</x:v>
      </x:c>
      <x:c r="E191" s="79" t="str">
        <x:v>未評估</x:v>
      </x:c>
      <x:c r="F191" s="79" t="str">
        <x:v>未評估</x:v>
      </x:c>
      <x:c r="G191" s="97" t="str">
        <x:v>待核定</x:v>
      </x:c>
      <x:c r="H191" s="99"/>
      <x:c r="I191" s="97"/>
      <x:c r="J191" s="97"/>
      <x:c r="K191" s="98" t="str">
        <x:f>IF($G191="核定通過","已核定",IF($G191="不納入","不納入",IF($G191="退回補件","退回補件",IF($G191="暫停","資格暫停","待主管核定"))))</x:f>
        <x:v>待主管核定</x:v>
      </x:c>
    </x:row>
    <x:row r="192">
      <x:c r="A192" s="79" t="str">
        <x:v>ABIL|1030|LJT-PREP-MICROENDO</x:v>
      </x:c>
      <x:c r="B192" s="79" t="str">
        <x:v>能力評等</x:v>
      </x:c>
      <x:c r="C192" s="79" t="str"/>
      <x:c r="D192" s="79" t="str">
        <x:v>LJT-PREP-MICROENDO</x:v>
      </x:c>
      <x:c r="E192" s="79" t="str">
        <x:v>未評估</x:v>
      </x:c>
      <x:c r="F192" s="79" t="str">
        <x:v>未評估</x:v>
      </x:c>
      <x:c r="G192" s="97" t="str">
        <x:v>待核定</x:v>
      </x:c>
      <x:c r="H192" s="99"/>
      <x:c r="I192" s="97"/>
      <x:c r="J192" s="97"/>
      <x:c r="K192" s="98" t="str">
        <x:f>IF($G192="核定通過","已核定",IF($G192="不納入","不納入",IF($G192="退回補件","退回補件",IF($G192="暫停","資格暫停","待主管核定"))))</x:f>
        <x:v>待主管核定</x:v>
      </x:c>
    </x:row>
    <x:row r="193">
      <x:c r="A193" s="79" t="str">
        <x:v>ABIL|1030|LJT-PREP-IMPLANT</x:v>
      </x:c>
      <x:c r="B193" s="79" t="str">
        <x:v>能力評等</x:v>
      </x:c>
      <x:c r="C193" s="79" t="str"/>
      <x:c r="D193" s="79" t="str">
        <x:v>LJT-PREP-IMPLANT</x:v>
      </x:c>
      <x:c r="E193" s="79" t="str">
        <x:v>未評估</x:v>
      </x:c>
      <x:c r="F193" s="79" t="str">
        <x:v>未評估</x:v>
      </x:c>
      <x:c r="G193" s="97" t="str">
        <x:v>待核定</x:v>
      </x:c>
      <x:c r="H193" s="99"/>
      <x:c r="I193" s="97"/>
      <x:c r="J193" s="97"/>
      <x:c r="K193" s="98" t="str">
        <x:f>IF($G193="核定通過","已核定",IF($G193="不納入","不納入",IF($G193="退回補件","退回補件",IF($G193="暫停","資格暫停","待主管核定"))))</x:f>
        <x:v>待主管核定</x:v>
      </x:c>
    </x:row>
    <x:row r="194">
      <x:c r="A194" s="79" t="str">
        <x:v>ABIL|1030|COMMON-RECORD</x:v>
      </x:c>
      <x:c r="B194" s="79" t="str">
        <x:v>能力評等</x:v>
      </x:c>
      <x:c r="C194" s="79" t="str"/>
      <x:c r="D194" s="79" t="str">
        <x:v>COMMON-RECORD</x:v>
      </x:c>
      <x:c r="E194" s="79" t="str">
        <x:v>未評估</x:v>
      </x:c>
      <x:c r="F194" s="79" t="str">
        <x:v>未評估</x:v>
      </x:c>
      <x:c r="G194" s="97" t="str">
        <x:v>待核定</x:v>
      </x:c>
      <x:c r="H194" s="99"/>
      <x:c r="I194" s="97"/>
      <x:c r="J194" s="97"/>
      <x:c r="K194" s="98" t="str">
        <x:f>IF($G194="核定通過","已核定",IF($G194="不納入","不納入",IF($G194="退回補件","退回補件",IF($G194="暫停","資格暫停","待主管核定"))))</x:f>
        <x:v>待主管核定</x:v>
      </x:c>
    </x:row>
    <x:row r="195">
      <x:c r="A195" s="79" t="str">
        <x:v>ABIL|1030|COMMON-INSURANCE</x:v>
      </x:c>
      <x:c r="B195" s="79" t="str">
        <x:v>能力評等</x:v>
      </x:c>
      <x:c r="C195" s="79" t="str"/>
      <x:c r="D195" s="79" t="str">
        <x:v>COMMON-INSURANCE</x:v>
      </x:c>
      <x:c r="E195" s="79" t="str">
        <x:v>未評估</x:v>
      </x:c>
      <x:c r="F195" s="79" t="str">
        <x:v>未評估</x:v>
      </x:c>
      <x:c r="G195" s="97" t="str">
        <x:v>待核定</x:v>
      </x:c>
      <x:c r="H195" s="99"/>
      <x:c r="I195" s="97"/>
      <x:c r="J195" s="97"/>
      <x:c r="K195" s="98" t="str">
        <x:f>IF($G195="核定通過","已核定",IF($G195="不納入","不納入",IF($G195="退回補件","退回補件",IF($G195="暫停","資格暫停","待主管核定"))))</x:f>
        <x:v>待主管核定</x:v>
      </x:c>
    </x:row>
    <x:row r="196">
      <x:c r="A196" s="79" t="str">
        <x:v>ABIL|1030|COMMON-XRAY-RECORD</x:v>
      </x:c>
      <x:c r="B196" s="79" t="str">
        <x:v>能力評等</x:v>
      </x:c>
      <x:c r="C196" s="79" t="str"/>
      <x:c r="D196" s="79" t="str">
        <x:v>COMMON-XRAY-RECORD</x:v>
      </x:c>
      <x:c r="E196" s="79" t="str">
        <x:v>未評估</x:v>
      </x:c>
      <x:c r="F196" s="79" t="str">
        <x:v>未評估</x:v>
      </x:c>
      <x:c r="G196" s="97" t="str">
        <x:v>待核定</x:v>
      </x:c>
      <x:c r="H196" s="99"/>
      <x:c r="I196" s="97"/>
      <x:c r="J196" s="97"/>
      <x:c r="K196" s="98" t="str">
        <x:f>IF($G196="核定通過","已核定",IF($G196="不納入","不納入",IF($G196="退回補件","退回補件",IF($G196="暫停","資格暫停","待主管核定"))))</x:f>
        <x:v>待主管核定</x:v>
      </x:c>
    </x:row>
    <x:row r="197">
      <x:c r="A197" s="79" t="str">
        <x:v>ABIL|1030|COMMON-PA</x:v>
      </x:c>
      <x:c r="B197" s="79" t="str">
        <x:v>能力評等</x:v>
      </x:c>
      <x:c r="C197" s="79" t="str"/>
      <x:c r="D197" s="79" t="str">
        <x:v>COMMON-PA</x:v>
      </x:c>
      <x:c r="E197" s="79" t="str">
        <x:v>未評估</x:v>
      </x:c>
      <x:c r="F197" s="79" t="str">
        <x:v>未評估</x:v>
      </x:c>
      <x:c r="G197" s="97" t="str">
        <x:v>待核定</x:v>
      </x:c>
      <x:c r="H197" s="99"/>
      <x:c r="I197" s="97"/>
      <x:c r="J197" s="97"/>
      <x:c r="K197" s="98" t="str">
        <x:f>IF($G197="核定通過","已核定",IF($G197="不納入","不納入",IF($G197="退回補件","退回補件",IF($G197="暫停","資格暫停","待主管核定"))))</x:f>
        <x:v>待主管核定</x:v>
      </x:c>
    </x:row>
    <x:row r="198">
      <x:c r="A198" s="79" t="str">
        <x:v>ABIL|1030|COMMON-IOS</x:v>
      </x:c>
      <x:c r="B198" s="79" t="str">
        <x:v>能力評等</x:v>
      </x:c>
      <x:c r="C198" s="79" t="str"/>
      <x:c r="D198" s="79" t="str">
        <x:v>COMMON-IOS</x:v>
      </x:c>
      <x:c r="E198" s="79" t="str">
        <x:v>未評估</x:v>
      </x:c>
      <x:c r="F198" s="79" t="str">
        <x:v>未評估</x:v>
      </x:c>
      <x:c r="G198" s="97" t="str">
        <x:v>待核定</x:v>
      </x:c>
      <x:c r="H198" s="99"/>
      <x:c r="I198" s="97"/>
      <x:c r="J198" s="97"/>
      <x:c r="K198" s="98" t="str">
        <x:f>IF($G198="核定通過","已核定",IF($G198="不納入","不納入",IF($G198="退回補件","退回補件",IF($G198="暫停","資格暫停","待主管核定"))))</x:f>
        <x:v>待主管核定</x:v>
      </x:c>
    </x:row>
    <x:row r="199">
      <x:c r="A199" s="79" t="str">
        <x:v>ABIL|1031|LJT-PREP-SCALING</x:v>
      </x:c>
      <x:c r="B199" s="79" t="str">
        <x:v>能力評等</x:v>
      </x:c>
      <x:c r="C199" s="79" t="str"/>
      <x:c r="D199" s="79" t="str">
        <x:v>LJT-PREP-SCALING</x:v>
      </x:c>
      <x:c r="E199" s="79" t="str">
        <x:v>未評估</x:v>
      </x:c>
      <x:c r="F199" s="79" t="str">
        <x:v>未評估</x:v>
      </x:c>
      <x:c r="G199" s="97" t="str">
        <x:v>待核定</x:v>
      </x:c>
      <x:c r="H199" s="99"/>
      <x:c r="I199" s="97"/>
      <x:c r="J199" s="97"/>
      <x:c r="K199" s="98" t="str">
        <x:f>IF($G199="核定通過","已核定",IF($G199="不納入","不納入",IF($G199="退回補件","退回補件",IF($G199="暫停","資格暫停","待主管核定"))))</x:f>
        <x:v>待主管核定</x:v>
      </x:c>
    </x:row>
    <x:row r="200">
      <x:c r="A200" s="79" t="str">
        <x:v>ABIL|1031|LJT-PREP-FILLING</x:v>
      </x:c>
      <x:c r="B200" s="79" t="str">
        <x:v>能力評等</x:v>
      </x:c>
      <x:c r="C200" s="79" t="str"/>
      <x:c r="D200" s="79" t="str">
        <x:v>LJT-PREP-FILLING</x:v>
      </x:c>
      <x:c r="E200" s="79" t="str">
        <x:v>未評估</x:v>
      </x:c>
      <x:c r="F200" s="79" t="str">
        <x:v>未評估</x:v>
      </x:c>
      <x:c r="G200" s="97" t="str">
        <x:v>待核定</x:v>
      </x:c>
      <x:c r="H200" s="99"/>
      <x:c r="I200" s="97"/>
      <x:c r="J200" s="97"/>
      <x:c r="K200" s="98" t="str">
        <x:f>IF($G200="核定通過","已核定",IF($G200="不納入","不納入",IF($G200="退回補件","退回補件",IF($G200="暫停","資格暫停","待主管核定"))))</x:f>
        <x:v>待主管核定</x:v>
      </x:c>
    </x:row>
    <x:row r="201">
      <x:c r="A201" s="79" t="str">
        <x:v>ABIL|1031|LJT-PREP-PERIO</x:v>
      </x:c>
      <x:c r="B201" s="79" t="str">
        <x:v>能力評等</x:v>
      </x:c>
      <x:c r="C201" s="79" t="str"/>
      <x:c r="D201" s="79" t="str">
        <x:v>LJT-PREP-PERIO</x:v>
      </x:c>
      <x:c r="E201" s="79" t="str">
        <x:v>未評估</x:v>
      </x:c>
      <x:c r="F201" s="79" t="str">
        <x:v>未評估</x:v>
      </x:c>
      <x:c r="G201" s="97" t="str">
        <x:v>待核定</x:v>
      </x:c>
      <x:c r="H201" s="99"/>
      <x:c r="I201" s="97"/>
      <x:c r="J201" s="97"/>
      <x:c r="K201" s="98" t="str">
        <x:f>IF($G201="核定通過","已核定",IF($G201="不納入","不納入",IF($G201="退回補件","退回補件",IF($G201="暫停","資格暫停","待主管核定"))))</x:f>
        <x:v>待主管核定</x:v>
      </x:c>
    </x:row>
    <x:row r="202">
      <x:c r="A202" s="79" t="str">
        <x:v>ABIL|1031|LJT-PREP-RCT</x:v>
      </x:c>
      <x:c r="B202" s="79" t="str">
        <x:v>能力評等</x:v>
      </x:c>
      <x:c r="C202" s="79" t="str"/>
      <x:c r="D202" s="79" t="str">
        <x:v>LJT-PREP-RCT</x:v>
      </x:c>
      <x:c r="E202" s="79" t="str">
        <x:v>未評估</x:v>
      </x:c>
      <x:c r="F202" s="79" t="str">
        <x:v>未評估</x:v>
      </x:c>
      <x:c r="G202" s="97" t="str">
        <x:v>待核定</x:v>
      </x:c>
      <x:c r="H202" s="99"/>
      <x:c r="I202" s="97"/>
      <x:c r="J202" s="97"/>
      <x:c r="K202" s="98" t="str">
        <x:f>IF($G202="核定通過","已核定",IF($G202="不納入","不納入",IF($G202="退回補件","退回補件",IF($G202="暫停","資格暫停","待主管核定"))))</x:f>
        <x:v>待主管核定</x:v>
      </x:c>
    </x:row>
    <x:row r="203">
      <x:c r="A203" s="79" t="str">
        <x:v>ABIL|1031|LJT-PREP-EXTRACTION</x:v>
      </x:c>
      <x:c r="B203" s="79" t="str">
        <x:v>能力評等</x:v>
      </x:c>
      <x:c r="C203" s="79" t="str"/>
      <x:c r="D203" s="79" t="str">
        <x:v>LJT-PREP-EXTRACTION</x:v>
      </x:c>
      <x:c r="E203" s="79" t="str">
        <x:v>未評估</x:v>
      </x:c>
      <x:c r="F203" s="79" t="str">
        <x:v>未評估</x:v>
      </x:c>
      <x:c r="G203" s="97" t="str">
        <x:v>待核定</x:v>
      </x:c>
      <x:c r="H203" s="99"/>
      <x:c r="I203" s="97"/>
      <x:c r="J203" s="97"/>
      <x:c r="K203" s="98" t="str">
        <x:f>IF($G203="核定通過","已核定",IF($G203="不納入","不納入",IF($G203="退回補件","退回補件",IF($G203="暫停","資格暫停","待主管核定"))))</x:f>
        <x:v>待主管核定</x:v>
      </x:c>
    </x:row>
    <x:row r="204">
      <x:c r="A204" s="79" t="str">
        <x:v>ABIL|1031|LJT-PREP-CROWNPOST</x:v>
      </x:c>
      <x:c r="B204" s="79" t="str">
        <x:v>能力評等</x:v>
      </x:c>
      <x:c r="C204" s="79" t="str"/>
      <x:c r="D204" s="79" t="str">
        <x:v>LJT-PREP-CROWNPOST</x:v>
      </x:c>
      <x:c r="E204" s="79" t="str">
        <x:v>未評估</x:v>
      </x:c>
      <x:c r="F204" s="79" t="str">
        <x:v>未評估</x:v>
      </x:c>
      <x:c r="G204" s="97" t="str">
        <x:v>待核定</x:v>
      </x:c>
      <x:c r="H204" s="99"/>
      <x:c r="I204" s="97"/>
      <x:c r="J204" s="97"/>
      <x:c r="K204" s="98" t="str">
        <x:f>IF($G204="核定通過","已核定",IF($G204="不納入","不納入",IF($G204="退回補件","退回補件",IF($G204="暫停","資格暫停","待主管核定"))))</x:f>
        <x:v>待主管核定</x:v>
      </x:c>
    </x:row>
    <x:row r="205">
      <x:c r="A205" s="79" t="str">
        <x:v>ABIL|1031|LJT-PREP-CROWN</x:v>
      </x:c>
      <x:c r="B205" s="79" t="str">
        <x:v>能力評等</x:v>
      </x:c>
      <x:c r="C205" s="79" t="str"/>
      <x:c r="D205" s="79" t="str">
        <x:v>LJT-PREP-CROWN</x:v>
      </x:c>
      <x:c r="E205" s="79" t="str">
        <x:v>未評估</x:v>
      </x:c>
      <x:c r="F205" s="79" t="str">
        <x:v>未評估</x:v>
      </x:c>
      <x:c r="G205" s="97" t="str">
        <x:v>待核定</x:v>
      </x:c>
      <x:c r="H205" s="99"/>
      <x:c r="I205" s="97"/>
      <x:c r="J205" s="97"/>
      <x:c r="K205" s="98" t="str">
        <x:f>IF($G205="核定通過","已核定",IF($G205="不納入","不納入",IF($G205="退回補件","退回補件",IF($G205="暫停","資格暫停","待主管核定"))))</x:f>
        <x:v>待主管核定</x:v>
      </x:c>
    </x:row>
    <x:row r="206">
      <x:c r="A206" s="79" t="str">
        <x:v>ABIL|1031|LJT-PREP-RPD</x:v>
      </x:c>
      <x:c r="B206" s="79" t="str">
        <x:v>能力評等</x:v>
      </x:c>
      <x:c r="C206" s="79" t="str"/>
      <x:c r="D206" s="79" t="str">
        <x:v>LJT-PREP-RPD</x:v>
      </x:c>
      <x:c r="E206" s="79" t="str">
        <x:v>未評估</x:v>
      </x:c>
      <x:c r="F206" s="79" t="str">
        <x:v>未評估</x:v>
      </x:c>
      <x:c r="G206" s="97" t="str">
        <x:v>待核定</x:v>
      </x:c>
      <x:c r="H206" s="99"/>
      <x:c r="I206" s="97"/>
      <x:c r="J206" s="97"/>
      <x:c r="K206" s="98" t="str">
        <x:f>IF($G206="核定通過","已核定",IF($G206="不納入","不納入",IF($G206="退回補件","退回補件",IF($G206="暫停","資格暫停","待主管核定"))))</x:f>
        <x:v>待主管核定</x:v>
      </x:c>
    </x:row>
    <x:row r="207">
      <x:c r="A207" s="79" t="str">
        <x:v>ABIL|1031|LJT-PREP-AIRPOLISH</x:v>
      </x:c>
      <x:c r="B207" s="79" t="str">
        <x:v>能力評等</x:v>
      </x:c>
      <x:c r="C207" s="79" t="str"/>
      <x:c r="D207" s="79" t="str">
        <x:v>LJT-PREP-AIRPOLISH</x:v>
      </x:c>
      <x:c r="E207" s="79" t="str">
        <x:v>未評估</x:v>
      </x:c>
      <x:c r="F207" s="79" t="str">
        <x:v>未評估</x:v>
      </x:c>
      <x:c r="G207" s="97" t="str">
        <x:v>待核定</x:v>
      </x:c>
      <x:c r="H207" s="99"/>
      <x:c r="I207" s="97"/>
      <x:c r="J207" s="97"/>
      <x:c r="K207" s="98" t="str">
        <x:f>IF($G207="核定通過","已核定",IF($G207="不納入","不納入",IF($G207="退回補件","退回補件",IF($G207="暫停","資格暫停","待主管核定"))))</x:f>
        <x:v>待主管核定</x:v>
      </x:c>
    </x:row>
    <x:row r="208">
      <x:c r="A208" s="79" t="str">
        <x:v>ABIL|1031|LJT-PREP-PERIOSURG</x:v>
      </x:c>
      <x:c r="B208" s="79" t="str">
        <x:v>能力評等</x:v>
      </x:c>
      <x:c r="C208" s="79" t="str"/>
      <x:c r="D208" s="79" t="str">
        <x:v>LJT-PREP-PERIOSURG</x:v>
      </x:c>
      <x:c r="E208" s="79" t="str">
        <x:v>未評估</x:v>
      </x:c>
      <x:c r="F208" s="79" t="str">
        <x:v>未評估</x:v>
      </x:c>
      <x:c r="G208" s="97" t="str">
        <x:v>待核定</x:v>
      </x:c>
      <x:c r="H208" s="99"/>
      <x:c r="I208" s="97"/>
      <x:c r="J208" s="97"/>
      <x:c r="K208" s="98" t="str">
        <x:f>IF($G208="核定通過","已核定",IF($G208="不納入","不納入",IF($G208="退回補件","退回補件",IF($G208="暫停","資格暫停","待主管核定"))))</x:f>
        <x:v>待主管核定</x:v>
      </x:c>
    </x:row>
    <x:row r="209">
      <x:c r="A209" s="79" t="str">
        <x:v>ABIL|1031|LJT-PREP-MICROENDO</x:v>
      </x:c>
      <x:c r="B209" s="79" t="str">
        <x:v>能力評等</x:v>
      </x:c>
      <x:c r="C209" s="79" t="str"/>
      <x:c r="D209" s="79" t="str">
        <x:v>LJT-PREP-MICROENDO</x:v>
      </x:c>
      <x:c r="E209" s="79" t="str">
        <x:v>未評估</x:v>
      </x:c>
      <x:c r="F209" s="79" t="str">
        <x:v>未評估</x:v>
      </x:c>
      <x:c r="G209" s="97" t="str">
        <x:v>待核定</x:v>
      </x:c>
      <x:c r="H209" s="99"/>
      <x:c r="I209" s="97"/>
      <x:c r="J209" s="97"/>
      <x:c r="K209" s="98" t="str">
        <x:f>IF($G209="核定通過","已核定",IF($G209="不納入","不納入",IF($G209="退回補件","退回補件",IF($G209="暫停","資格暫停","待主管核定"))))</x:f>
        <x:v>待主管核定</x:v>
      </x:c>
    </x:row>
    <x:row r="210">
      <x:c r="A210" s="79" t="str">
        <x:v>ABIL|1031|LJT-PREP-IMPLANT</x:v>
      </x:c>
      <x:c r="B210" s="79" t="str">
        <x:v>能力評等</x:v>
      </x:c>
      <x:c r="C210" s="79" t="str"/>
      <x:c r="D210" s="79" t="str">
        <x:v>LJT-PREP-IMPLANT</x:v>
      </x:c>
      <x:c r="E210" s="79" t="str">
        <x:v>未評估</x:v>
      </x:c>
      <x:c r="F210" s="79" t="str">
        <x:v>未評估</x:v>
      </x:c>
      <x:c r="G210" s="97" t="str">
        <x:v>待核定</x:v>
      </x:c>
      <x:c r="H210" s="99"/>
      <x:c r="I210" s="97"/>
      <x:c r="J210" s="97"/>
      <x:c r="K210" s="98" t="str">
        <x:f>IF($G210="核定通過","已核定",IF($G210="不納入","不納入",IF($G210="退回補件","退回補件",IF($G210="暫停","資格暫停","待主管核定"))))</x:f>
        <x:v>待主管核定</x:v>
      </x:c>
    </x:row>
    <x:row r="211">
      <x:c r="A211" s="79" t="str">
        <x:v>ABIL|1031|COMMON-RECORD</x:v>
      </x:c>
      <x:c r="B211" s="79" t="str">
        <x:v>能力評等</x:v>
      </x:c>
      <x:c r="C211" s="79" t="str"/>
      <x:c r="D211" s="79" t="str">
        <x:v>COMMON-RECORD</x:v>
      </x:c>
      <x:c r="E211" s="79" t="str">
        <x:v>未評估</x:v>
      </x:c>
      <x:c r="F211" s="79" t="str">
        <x:v>未評估</x:v>
      </x:c>
      <x:c r="G211" s="97" t="str">
        <x:v>待核定</x:v>
      </x:c>
      <x:c r="H211" s="99"/>
      <x:c r="I211" s="97"/>
      <x:c r="J211" s="97"/>
      <x:c r="K211" s="98" t="str">
        <x:f>IF($G211="核定通過","已核定",IF($G211="不納入","不納入",IF($G211="退回補件","退回補件",IF($G211="暫停","資格暫停","待主管核定"))))</x:f>
        <x:v>待主管核定</x:v>
      </x:c>
    </x:row>
    <x:row r="212">
      <x:c r="A212" s="79" t="str">
        <x:v>ABIL|1031|COMMON-INSURANCE</x:v>
      </x:c>
      <x:c r="B212" s="79" t="str">
        <x:v>能力評等</x:v>
      </x:c>
      <x:c r="C212" s="79" t="str"/>
      <x:c r="D212" s="79" t="str">
        <x:v>COMMON-INSURANCE</x:v>
      </x:c>
      <x:c r="E212" s="79" t="str">
        <x:v>未評估</x:v>
      </x:c>
      <x:c r="F212" s="79" t="str">
        <x:v>未評估</x:v>
      </x:c>
      <x:c r="G212" s="97" t="str">
        <x:v>待核定</x:v>
      </x:c>
      <x:c r="H212" s="99"/>
      <x:c r="I212" s="97"/>
      <x:c r="J212" s="97"/>
      <x:c r="K212" s="98" t="str">
        <x:f>IF($G212="核定通過","已核定",IF($G212="不納入","不納入",IF($G212="退回補件","退回補件",IF($G212="暫停","資格暫停","待主管核定"))))</x:f>
        <x:v>待主管核定</x:v>
      </x:c>
    </x:row>
    <x:row r="213">
      <x:c r="A213" s="79" t="str">
        <x:v>ABIL|1031|COMMON-XRAY-RECORD</x:v>
      </x:c>
      <x:c r="B213" s="79" t="str">
        <x:v>能力評等</x:v>
      </x:c>
      <x:c r="C213" s="79" t="str"/>
      <x:c r="D213" s="79" t="str">
        <x:v>COMMON-XRAY-RECORD</x:v>
      </x:c>
      <x:c r="E213" s="79" t="str">
        <x:v>未評估</x:v>
      </x:c>
      <x:c r="F213" s="79" t="str">
        <x:v>未評估</x:v>
      </x:c>
      <x:c r="G213" s="97" t="str">
        <x:v>待核定</x:v>
      </x:c>
      <x:c r="H213" s="99"/>
      <x:c r="I213" s="97"/>
      <x:c r="J213" s="97"/>
      <x:c r="K213" s="98" t="str">
        <x:f>IF($G213="核定通過","已核定",IF($G213="不納入","不納入",IF($G213="退回補件","退回補件",IF($G213="暫停","資格暫停","待主管核定"))))</x:f>
        <x:v>待主管核定</x:v>
      </x:c>
    </x:row>
    <x:row r="214">
      <x:c r="A214" s="79" t="str">
        <x:v>ABIL|1031|COMMON-PA</x:v>
      </x:c>
      <x:c r="B214" s="79" t="str">
        <x:v>能力評等</x:v>
      </x:c>
      <x:c r="C214" s="79" t="str"/>
      <x:c r="D214" s="79" t="str">
        <x:v>COMMON-PA</x:v>
      </x:c>
      <x:c r="E214" s="79" t="str">
        <x:v>未評估</x:v>
      </x:c>
      <x:c r="F214" s="79" t="str">
        <x:v>未評估</x:v>
      </x:c>
      <x:c r="G214" s="97" t="str">
        <x:v>待核定</x:v>
      </x:c>
      <x:c r="H214" s="99"/>
      <x:c r="I214" s="97"/>
      <x:c r="J214" s="97"/>
      <x:c r="K214" s="98" t="str">
        <x:f>IF($G214="核定通過","已核定",IF($G214="不納入","不納入",IF($G214="退回補件","退回補件",IF($G214="暫停","資格暫停","待主管核定"))))</x:f>
        <x:v>待主管核定</x:v>
      </x:c>
    </x:row>
    <x:row r="215">
      <x:c r="A215" s="79" t="str">
        <x:v>ABIL|1031|COMMON-IOS</x:v>
      </x:c>
      <x:c r="B215" s="79" t="str">
        <x:v>能力評等</x:v>
      </x:c>
      <x:c r="C215" s="79" t="str"/>
      <x:c r="D215" s="79" t="str">
        <x:v>COMMON-IOS</x:v>
      </x:c>
      <x:c r="E215" s="79" t="str">
        <x:v>未評估</x:v>
      </x:c>
      <x:c r="F215" s="79" t="str">
        <x:v>未評估</x:v>
      </x:c>
      <x:c r="G215" s="97" t="str">
        <x:v>待核定</x:v>
      </x:c>
      <x:c r="H215" s="99"/>
      <x:c r="I215" s="97"/>
      <x:c r="J215" s="97"/>
      <x:c r="K215" s="98" t="str">
        <x:f>IF($G215="核定通過","已核定",IF($G215="不納入","不納入",IF($G215="退回補件","退回補件",IF($G215="暫停","資格暫停","待主管核定"))))</x:f>
        <x:v>待主管核定</x:v>
      </x:c>
    </x:row>
    <x:row r="216">
      <x:c r="A216" s="79" t="str">
        <x:v>ABIL|2006|LJT-PREP-SCALING</x:v>
      </x:c>
      <x:c r="B216" s="79" t="str">
        <x:v>能力評等</x:v>
      </x:c>
      <x:c r="C216" s="79" t="str"/>
      <x:c r="D216" s="79" t="str">
        <x:v>LJT-PREP-SCALING</x:v>
      </x:c>
      <x:c r="E216" s="79" t="str">
        <x:v>未評估</x:v>
      </x:c>
      <x:c r="F216" s="79" t="str">
        <x:v>未評估</x:v>
      </x:c>
      <x:c r="G216" s="97" t="str">
        <x:v>待核定</x:v>
      </x:c>
      <x:c r="H216" s="99"/>
      <x:c r="I216" s="97"/>
      <x:c r="J216" s="97"/>
      <x:c r="K216" s="98" t="str">
        <x:f>IF($G216="核定通過","已核定",IF($G216="不納入","不納入",IF($G216="退回補件","退回補件",IF($G216="暫停","資格暫停","待主管核定"))))</x:f>
        <x:v>待主管核定</x:v>
      </x:c>
    </x:row>
    <x:row r="217">
      <x:c r="A217" s="79" t="str">
        <x:v>ABIL|2006|LJT-PREP-FILLING</x:v>
      </x:c>
      <x:c r="B217" s="79" t="str">
        <x:v>能力評等</x:v>
      </x:c>
      <x:c r="C217" s="79" t="str"/>
      <x:c r="D217" s="79" t="str">
        <x:v>LJT-PREP-FILLING</x:v>
      </x:c>
      <x:c r="E217" s="79" t="str">
        <x:v>未評估</x:v>
      </x:c>
      <x:c r="F217" s="79" t="str">
        <x:v>未評估</x:v>
      </x:c>
      <x:c r="G217" s="97" t="str">
        <x:v>待核定</x:v>
      </x:c>
      <x:c r="H217" s="99"/>
      <x:c r="I217" s="97"/>
      <x:c r="J217" s="97"/>
      <x:c r="K217" s="98" t="str">
        <x:f>IF($G217="核定通過","已核定",IF($G217="不納入","不納入",IF($G217="退回補件","退回補件",IF($G217="暫停","資格暫停","待主管核定"))))</x:f>
        <x:v>待主管核定</x:v>
      </x:c>
    </x:row>
    <x:row r="218">
      <x:c r="A218" s="79" t="str">
        <x:v>ABIL|2006|LJT-PREP-PERIO</x:v>
      </x:c>
      <x:c r="B218" s="79" t="str">
        <x:v>能力評等</x:v>
      </x:c>
      <x:c r="C218" s="79" t="str"/>
      <x:c r="D218" s="79" t="str">
        <x:v>LJT-PREP-PERIO</x:v>
      </x:c>
      <x:c r="E218" s="79" t="str">
        <x:v>未評估</x:v>
      </x:c>
      <x:c r="F218" s="79" t="str">
        <x:v>未評估</x:v>
      </x:c>
      <x:c r="G218" s="97" t="str">
        <x:v>待核定</x:v>
      </x:c>
      <x:c r="H218" s="99"/>
      <x:c r="I218" s="97"/>
      <x:c r="J218" s="97"/>
      <x:c r="K218" s="98" t="str">
        <x:f>IF($G218="核定通過","已核定",IF($G218="不納入","不納入",IF($G218="退回補件","退回補件",IF($G218="暫停","資格暫停","待主管核定"))))</x:f>
        <x:v>待主管核定</x:v>
      </x:c>
    </x:row>
    <x:row r="219">
      <x:c r="A219" s="79" t="str">
        <x:v>ABIL|2006|LJT-PREP-RCT</x:v>
      </x:c>
      <x:c r="B219" s="79" t="str">
        <x:v>能力評等</x:v>
      </x:c>
      <x:c r="C219" s="79" t="str"/>
      <x:c r="D219" s="79" t="str">
        <x:v>LJT-PREP-RCT</x:v>
      </x:c>
      <x:c r="E219" s="79" t="str">
        <x:v>未評估</x:v>
      </x:c>
      <x:c r="F219" s="79" t="str">
        <x:v>未評估</x:v>
      </x:c>
      <x:c r="G219" s="97" t="str">
        <x:v>待核定</x:v>
      </x:c>
      <x:c r="H219" s="99"/>
      <x:c r="I219" s="97"/>
      <x:c r="J219" s="97"/>
      <x:c r="K219" s="98" t="str">
        <x:f>IF($G219="核定通過","已核定",IF($G219="不納入","不納入",IF($G219="退回補件","退回補件",IF($G219="暫停","資格暫停","待主管核定"))))</x:f>
        <x:v>待主管核定</x:v>
      </x:c>
    </x:row>
    <x:row r="220">
      <x:c r="A220" s="79" t="str">
        <x:v>ABIL|2006|LJT-PREP-EXTRACTION</x:v>
      </x:c>
      <x:c r="B220" s="79" t="str">
        <x:v>能力評等</x:v>
      </x:c>
      <x:c r="C220" s="79" t="str"/>
      <x:c r="D220" s="79" t="str">
        <x:v>LJT-PREP-EXTRACTION</x:v>
      </x:c>
      <x:c r="E220" s="79" t="str">
        <x:v>未評估</x:v>
      </x:c>
      <x:c r="F220" s="79" t="str">
        <x:v>未評估</x:v>
      </x:c>
      <x:c r="G220" s="97" t="str">
        <x:v>待核定</x:v>
      </x:c>
      <x:c r="H220" s="99"/>
      <x:c r="I220" s="97"/>
      <x:c r="J220" s="97"/>
      <x:c r="K220" s="98" t="str">
        <x:f>IF($G220="核定通過","已核定",IF($G220="不納入","不納入",IF($G220="退回補件","退回補件",IF($G220="暫停","資格暫停","待主管核定"))))</x:f>
        <x:v>待主管核定</x:v>
      </x:c>
    </x:row>
    <x:row r="221">
      <x:c r="A221" s="79" t="str">
        <x:v>ABIL|2006|LJT-PREP-CROWNPOST</x:v>
      </x:c>
      <x:c r="B221" s="79" t="str">
        <x:v>能力評等</x:v>
      </x:c>
      <x:c r="C221" s="79" t="str"/>
      <x:c r="D221" s="79" t="str">
        <x:v>LJT-PREP-CROWNPOST</x:v>
      </x:c>
      <x:c r="E221" s="79" t="str">
        <x:v>未評估</x:v>
      </x:c>
      <x:c r="F221" s="79" t="str">
        <x:v>未評估</x:v>
      </x:c>
      <x:c r="G221" s="97" t="str">
        <x:v>待核定</x:v>
      </x:c>
      <x:c r="H221" s="99"/>
      <x:c r="I221" s="97"/>
      <x:c r="J221" s="97"/>
      <x:c r="K221" s="98" t="str">
        <x:f>IF($G221="核定通過","已核定",IF($G221="不納入","不納入",IF($G221="退回補件","退回補件",IF($G221="暫停","資格暫停","待主管核定"))))</x:f>
        <x:v>待主管核定</x:v>
      </x:c>
    </x:row>
    <x:row r="222">
      <x:c r="A222" s="79" t="str">
        <x:v>ABIL|2006|LJT-PREP-CROWN</x:v>
      </x:c>
      <x:c r="B222" s="79" t="str">
        <x:v>能力評等</x:v>
      </x:c>
      <x:c r="C222" s="79" t="str"/>
      <x:c r="D222" s="79" t="str">
        <x:v>LJT-PREP-CROWN</x:v>
      </x:c>
      <x:c r="E222" s="79" t="str">
        <x:v>未評估</x:v>
      </x:c>
      <x:c r="F222" s="79" t="str">
        <x:v>未評估</x:v>
      </x:c>
      <x:c r="G222" s="97" t="str">
        <x:v>待核定</x:v>
      </x:c>
      <x:c r="H222" s="99"/>
      <x:c r="I222" s="97"/>
      <x:c r="J222" s="97"/>
      <x:c r="K222" s="98" t="str">
        <x:f>IF($G222="核定通過","已核定",IF($G222="不納入","不納入",IF($G222="退回補件","退回補件",IF($G222="暫停","資格暫停","待主管核定"))))</x:f>
        <x:v>待主管核定</x:v>
      </x:c>
    </x:row>
    <x:row r="223">
      <x:c r="A223" s="79" t="str">
        <x:v>ABIL|2006|LJT-PREP-RPD</x:v>
      </x:c>
      <x:c r="B223" s="79" t="str">
        <x:v>能力評等</x:v>
      </x:c>
      <x:c r="C223" s="79" t="str"/>
      <x:c r="D223" s="79" t="str">
        <x:v>LJT-PREP-RPD</x:v>
      </x:c>
      <x:c r="E223" s="79" t="str">
        <x:v>未評估</x:v>
      </x:c>
      <x:c r="F223" s="79" t="str">
        <x:v>未評估</x:v>
      </x:c>
      <x:c r="G223" s="97" t="str">
        <x:v>待核定</x:v>
      </x:c>
      <x:c r="H223" s="99"/>
      <x:c r="I223" s="97"/>
      <x:c r="J223" s="97"/>
      <x:c r="K223" s="98" t="str">
        <x:f>IF($G223="核定通過","已核定",IF($G223="不納入","不納入",IF($G223="退回補件","退回補件",IF($G223="暫停","資格暫停","待主管核定"))))</x:f>
        <x:v>待主管核定</x:v>
      </x:c>
    </x:row>
    <x:row r="224">
      <x:c r="A224" s="79" t="str">
        <x:v>ABIL|2006|LJT-PREP-AIRPOLISH</x:v>
      </x:c>
      <x:c r="B224" s="79" t="str">
        <x:v>能力評等</x:v>
      </x:c>
      <x:c r="C224" s="79" t="str"/>
      <x:c r="D224" s="79" t="str">
        <x:v>LJT-PREP-AIRPOLISH</x:v>
      </x:c>
      <x:c r="E224" s="79" t="str">
        <x:v>未評估</x:v>
      </x:c>
      <x:c r="F224" s="79" t="str">
        <x:v>未評估</x:v>
      </x:c>
      <x:c r="G224" s="97" t="str">
        <x:v>待核定</x:v>
      </x:c>
      <x:c r="H224" s="99"/>
      <x:c r="I224" s="97"/>
      <x:c r="J224" s="97"/>
      <x:c r="K224" s="98" t="str">
        <x:f>IF($G224="核定通過","已核定",IF($G224="不納入","不納入",IF($G224="退回補件","退回補件",IF($G224="暫停","資格暫停","待主管核定"))))</x:f>
        <x:v>待主管核定</x:v>
      </x:c>
    </x:row>
    <x:row r="225">
      <x:c r="A225" s="79" t="str">
        <x:v>ABIL|2006|LJT-PREP-PERIOSURG</x:v>
      </x:c>
      <x:c r="B225" s="79" t="str">
        <x:v>能力評等</x:v>
      </x:c>
      <x:c r="C225" s="79" t="str"/>
      <x:c r="D225" s="79" t="str">
        <x:v>LJT-PREP-PERIOSURG</x:v>
      </x:c>
      <x:c r="E225" s="79" t="str">
        <x:v>未評估</x:v>
      </x:c>
      <x:c r="F225" s="79" t="str">
        <x:v>未評估</x:v>
      </x:c>
      <x:c r="G225" s="97" t="str">
        <x:v>待核定</x:v>
      </x:c>
      <x:c r="H225" s="99"/>
      <x:c r="I225" s="97"/>
      <x:c r="J225" s="97"/>
      <x:c r="K225" s="98" t="str">
        <x:f>IF($G225="核定通過","已核定",IF($G225="不納入","不納入",IF($G225="退回補件","退回補件",IF($G225="暫停","資格暫停","待主管核定"))))</x:f>
        <x:v>待主管核定</x:v>
      </x:c>
    </x:row>
    <x:row r="226">
      <x:c r="A226" s="79" t="str">
        <x:v>ABIL|2006|LJT-PREP-MICROENDO</x:v>
      </x:c>
      <x:c r="B226" s="79" t="str">
        <x:v>能力評等</x:v>
      </x:c>
      <x:c r="C226" s="79" t="str"/>
      <x:c r="D226" s="79" t="str">
        <x:v>LJT-PREP-MICROENDO</x:v>
      </x:c>
      <x:c r="E226" s="79" t="str">
        <x:v>未評估</x:v>
      </x:c>
      <x:c r="F226" s="79" t="str">
        <x:v>未評估</x:v>
      </x:c>
      <x:c r="G226" s="97" t="str">
        <x:v>待核定</x:v>
      </x:c>
      <x:c r="H226" s="99"/>
      <x:c r="I226" s="97"/>
      <x:c r="J226" s="97"/>
      <x:c r="K226" s="98" t="str">
        <x:f>IF($G226="核定通過","已核定",IF($G226="不納入","不納入",IF($G226="退回補件","退回補件",IF($G226="暫停","資格暫停","待主管核定"))))</x:f>
        <x:v>待主管核定</x:v>
      </x:c>
    </x:row>
    <x:row r="227">
      <x:c r="A227" s="79" t="str">
        <x:v>ABIL|2006|LJT-PREP-IMPLANT</x:v>
      </x:c>
      <x:c r="B227" s="79" t="str">
        <x:v>能力評等</x:v>
      </x:c>
      <x:c r="C227" s="79" t="str"/>
      <x:c r="D227" s="79" t="str">
        <x:v>LJT-PREP-IMPLANT</x:v>
      </x:c>
      <x:c r="E227" s="79" t="str">
        <x:v>未評估</x:v>
      </x:c>
      <x:c r="F227" s="79" t="str">
        <x:v>未評估</x:v>
      </x:c>
      <x:c r="G227" s="97" t="str">
        <x:v>待核定</x:v>
      </x:c>
      <x:c r="H227" s="99"/>
      <x:c r="I227" s="97"/>
      <x:c r="J227" s="97"/>
      <x:c r="K227" s="98" t="str">
        <x:f>IF($G227="核定通過","已核定",IF($G227="不納入","不納入",IF($G227="退回補件","退回補件",IF($G227="暫停","資格暫停","待主管核定"))))</x:f>
        <x:v>待主管核定</x:v>
      </x:c>
    </x:row>
    <x:row r="228">
      <x:c r="A228" s="79" t="str">
        <x:v>ABIL|2006|COMMON-RECORD</x:v>
      </x:c>
      <x:c r="B228" s="79" t="str">
        <x:v>能力評等</x:v>
      </x:c>
      <x:c r="C228" s="79" t="str"/>
      <x:c r="D228" s="79" t="str">
        <x:v>COMMON-RECORD</x:v>
      </x:c>
      <x:c r="E228" s="79" t="str">
        <x:v>未評估</x:v>
      </x:c>
      <x:c r="F228" s="79" t="str">
        <x:v>未評估</x:v>
      </x:c>
      <x:c r="G228" s="97" t="str">
        <x:v>待核定</x:v>
      </x:c>
      <x:c r="H228" s="99"/>
      <x:c r="I228" s="97"/>
      <x:c r="J228" s="97"/>
      <x:c r="K228" s="98" t="str">
        <x:f>IF($G228="核定通過","已核定",IF($G228="不納入","不納入",IF($G228="退回補件","退回補件",IF($G228="暫停","資格暫停","待主管核定"))))</x:f>
        <x:v>待主管核定</x:v>
      </x:c>
    </x:row>
    <x:row r="229">
      <x:c r="A229" s="79" t="str">
        <x:v>ABIL|2006|COMMON-INSURANCE</x:v>
      </x:c>
      <x:c r="B229" s="79" t="str">
        <x:v>能力評等</x:v>
      </x:c>
      <x:c r="C229" s="79" t="str"/>
      <x:c r="D229" s="79" t="str">
        <x:v>COMMON-INSURANCE</x:v>
      </x:c>
      <x:c r="E229" s="79" t="str">
        <x:v>未評估</x:v>
      </x:c>
      <x:c r="F229" s="79" t="str">
        <x:v>未評估</x:v>
      </x:c>
      <x:c r="G229" s="97" t="str">
        <x:v>待核定</x:v>
      </x:c>
      <x:c r="H229" s="99"/>
      <x:c r="I229" s="97"/>
      <x:c r="J229" s="97"/>
      <x:c r="K229" s="98" t="str">
        <x:f>IF($G229="核定通過","已核定",IF($G229="不納入","不納入",IF($G229="退回補件","退回補件",IF($G229="暫停","資格暫停","待主管核定"))))</x:f>
        <x:v>待主管核定</x:v>
      </x:c>
    </x:row>
    <x:row r="230">
      <x:c r="A230" s="79" t="str">
        <x:v>ABIL|2006|COMMON-XRAY-RECORD</x:v>
      </x:c>
      <x:c r="B230" s="79" t="str">
        <x:v>能力評等</x:v>
      </x:c>
      <x:c r="C230" s="79" t="str"/>
      <x:c r="D230" s="79" t="str">
        <x:v>COMMON-XRAY-RECORD</x:v>
      </x:c>
      <x:c r="E230" s="79" t="str">
        <x:v>未評估</x:v>
      </x:c>
      <x:c r="F230" s="79" t="str">
        <x:v>未評估</x:v>
      </x:c>
      <x:c r="G230" s="97" t="str">
        <x:v>待核定</x:v>
      </x:c>
      <x:c r="H230" s="99"/>
      <x:c r="I230" s="97"/>
      <x:c r="J230" s="97"/>
      <x:c r="K230" s="98" t="str">
        <x:f>IF($G230="核定通過","已核定",IF($G230="不納入","不納入",IF($G230="退回補件","退回補件",IF($G230="暫停","資格暫停","待主管核定"))))</x:f>
        <x:v>待主管核定</x:v>
      </x:c>
    </x:row>
    <x:row r="231">
      <x:c r="A231" s="79" t="str">
        <x:v>ABIL|2006|COMMON-PA</x:v>
      </x:c>
      <x:c r="B231" s="79" t="str">
        <x:v>能力評等</x:v>
      </x:c>
      <x:c r="C231" s="79" t="str"/>
      <x:c r="D231" s="79" t="str">
        <x:v>COMMON-PA</x:v>
      </x:c>
      <x:c r="E231" s="79" t="str">
        <x:v>未評估</x:v>
      </x:c>
      <x:c r="F231" s="79" t="str">
        <x:v>未評估</x:v>
      </x:c>
      <x:c r="G231" s="97" t="str">
        <x:v>待核定</x:v>
      </x:c>
      <x:c r="H231" s="99"/>
      <x:c r="I231" s="97"/>
      <x:c r="J231" s="97"/>
      <x:c r="K231" s="98" t="str">
        <x:f>IF($G231="核定通過","已核定",IF($G231="不納入","不納入",IF($G231="退回補件","退回補件",IF($G231="暫停","資格暫停","待主管核定"))))</x:f>
        <x:v>待主管核定</x:v>
      </x:c>
    </x:row>
    <x:row r="232">
      <x:c r="A232" s="79" t="str">
        <x:v>ABIL|2006|COMMON-IOS</x:v>
      </x:c>
      <x:c r="B232" s="79" t="str">
        <x:v>能力評等</x:v>
      </x:c>
      <x:c r="C232" s="79" t="str"/>
      <x:c r="D232" s="79" t="str">
        <x:v>COMMON-IOS</x:v>
      </x:c>
      <x:c r="E232" s="79" t="str">
        <x:v>未評估</x:v>
      </x:c>
      <x:c r="F232" s="79" t="str">
        <x:v>未評估</x:v>
      </x:c>
      <x:c r="G232" s="97" t="str">
        <x:v>待核定</x:v>
      </x:c>
      <x:c r="H232" s="99"/>
      <x:c r="I232" s="97"/>
      <x:c r="J232" s="97"/>
      <x:c r="K232" s="98" t="str">
        <x:f>IF($G232="核定通過","已核定",IF($G232="不納入","不納入",IF($G232="退回補件","退回補件",IF($G232="暫停","資格暫停","待主管核定"))))</x:f>
        <x:v>待主管核定</x:v>
      </x:c>
    </x:row>
    <x:row r="233">
      <x:c r="A233" s="79" t="str">
        <x:v>ABIL|2007|LJT-PREP-SCALING</x:v>
      </x:c>
      <x:c r="B233" s="79" t="str">
        <x:v>能力評等</x:v>
      </x:c>
      <x:c r="C233" s="79" t="str"/>
      <x:c r="D233" s="79" t="str">
        <x:v>LJT-PREP-SCALING</x:v>
      </x:c>
      <x:c r="E233" s="79" t="str">
        <x:v>未評估</x:v>
      </x:c>
      <x:c r="F233" s="79" t="str">
        <x:v>未評估</x:v>
      </x:c>
      <x:c r="G233" s="97" t="str">
        <x:v>待核定</x:v>
      </x:c>
      <x:c r="H233" s="99"/>
      <x:c r="I233" s="97"/>
      <x:c r="J233" s="97"/>
      <x:c r="K233" s="98" t="str">
        <x:f>IF($G233="核定通過","已核定",IF($G233="不納入","不納入",IF($G233="退回補件","退回補件",IF($G233="暫停","資格暫停","待主管核定"))))</x:f>
        <x:v>待主管核定</x:v>
      </x:c>
    </x:row>
    <x:row r="234">
      <x:c r="A234" s="79" t="str">
        <x:v>ABIL|2007|LJT-PREP-FILLING</x:v>
      </x:c>
      <x:c r="B234" s="79" t="str">
        <x:v>能力評等</x:v>
      </x:c>
      <x:c r="C234" s="79" t="str"/>
      <x:c r="D234" s="79" t="str">
        <x:v>LJT-PREP-FILLING</x:v>
      </x:c>
      <x:c r="E234" s="79" t="str">
        <x:v>未評估</x:v>
      </x:c>
      <x:c r="F234" s="79" t="str">
        <x:v>未評估</x:v>
      </x:c>
      <x:c r="G234" s="97" t="str">
        <x:v>待核定</x:v>
      </x:c>
      <x:c r="H234" s="99"/>
      <x:c r="I234" s="97"/>
      <x:c r="J234" s="97"/>
      <x:c r="K234" s="98" t="str">
        <x:f>IF($G234="核定通過","已核定",IF($G234="不納入","不納入",IF($G234="退回補件","退回補件",IF($G234="暫停","資格暫停","待主管核定"))))</x:f>
        <x:v>待主管核定</x:v>
      </x:c>
    </x:row>
    <x:row r="235">
      <x:c r="A235" s="79" t="str">
        <x:v>ABIL|2007|LJT-PREP-PERIO</x:v>
      </x:c>
      <x:c r="B235" s="79" t="str">
        <x:v>能力評等</x:v>
      </x:c>
      <x:c r="C235" s="79" t="str"/>
      <x:c r="D235" s="79" t="str">
        <x:v>LJT-PREP-PERIO</x:v>
      </x:c>
      <x:c r="E235" s="79" t="str">
        <x:v>未評估</x:v>
      </x:c>
      <x:c r="F235" s="79" t="str">
        <x:v>未評估</x:v>
      </x:c>
      <x:c r="G235" s="97" t="str">
        <x:v>待核定</x:v>
      </x:c>
      <x:c r="H235" s="99"/>
      <x:c r="I235" s="97"/>
      <x:c r="J235" s="97"/>
      <x:c r="K235" s="98" t="str">
        <x:f>IF($G235="核定通過","已核定",IF($G235="不納入","不納入",IF($G235="退回補件","退回補件",IF($G235="暫停","資格暫停","待主管核定"))))</x:f>
        <x:v>待主管核定</x:v>
      </x:c>
    </x:row>
    <x:row r="236">
      <x:c r="A236" s="79" t="str">
        <x:v>ABIL|2007|LJT-PREP-RCT</x:v>
      </x:c>
      <x:c r="B236" s="79" t="str">
        <x:v>能力評等</x:v>
      </x:c>
      <x:c r="C236" s="79" t="str"/>
      <x:c r="D236" s="79" t="str">
        <x:v>LJT-PREP-RCT</x:v>
      </x:c>
      <x:c r="E236" s="79" t="str">
        <x:v>未評估</x:v>
      </x:c>
      <x:c r="F236" s="79" t="str">
        <x:v>未評估</x:v>
      </x:c>
      <x:c r="G236" s="97" t="str">
        <x:v>待核定</x:v>
      </x:c>
      <x:c r="H236" s="99"/>
      <x:c r="I236" s="97"/>
      <x:c r="J236" s="97"/>
      <x:c r="K236" s="98" t="str">
        <x:f>IF($G236="核定通過","已核定",IF($G236="不納入","不納入",IF($G236="退回補件","退回補件",IF($G236="暫停","資格暫停","待主管核定"))))</x:f>
        <x:v>待主管核定</x:v>
      </x:c>
    </x:row>
    <x:row r="237">
      <x:c r="A237" s="79" t="str">
        <x:v>ABIL|2007|LJT-PREP-EXTRACTION</x:v>
      </x:c>
      <x:c r="B237" s="79" t="str">
        <x:v>能力評等</x:v>
      </x:c>
      <x:c r="C237" s="79" t="str"/>
      <x:c r="D237" s="79" t="str">
        <x:v>LJT-PREP-EXTRACTION</x:v>
      </x:c>
      <x:c r="E237" s="79" t="str">
        <x:v>未評估</x:v>
      </x:c>
      <x:c r="F237" s="79" t="str">
        <x:v>未評估</x:v>
      </x:c>
      <x:c r="G237" s="97" t="str">
        <x:v>待核定</x:v>
      </x:c>
      <x:c r="H237" s="99"/>
      <x:c r="I237" s="97"/>
      <x:c r="J237" s="97"/>
      <x:c r="K237" s="98" t="str">
        <x:f>IF($G237="核定通過","已核定",IF($G237="不納入","不納入",IF($G237="退回補件","退回補件",IF($G237="暫停","資格暫停","待主管核定"))))</x:f>
        <x:v>待主管核定</x:v>
      </x:c>
    </x:row>
    <x:row r="238">
      <x:c r="A238" s="79" t="str">
        <x:v>ABIL|2007|LJT-PREP-CROWNPOST</x:v>
      </x:c>
      <x:c r="B238" s="79" t="str">
        <x:v>能力評等</x:v>
      </x:c>
      <x:c r="C238" s="79" t="str"/>
      <x:c r="D238" s="79" t="str">
        <x:v>LJT-PREP-CROWNPOST</x:v>
      </x:c>
      <x:c r="E238" s="79" t="str">
        <x:v>未評估</x:v>
      </x:c>
      <x:c r="F238" s="79" t="str">
        <x:v>未評估</x:v>
      </x:c>
      <x:c r="G238" s="97" t="str">
        <x:v>待核定</x:v>
      </x:c>
      <x:c r="H238" s="99"/>
      <x:c r="I238" s="97"/>
      <x:c r="J238" s="97"/>
      <x:c r="K238" s="98" t="str">
        <x:f>IF($G238="核定通過","已核定",IF($G238="不納入","不納入",IF($G238="退回補件","退回補件",IF($G238="暫停","資格暫停","待主管核定"))))</x:f>
        <x:v>待主管核定</x:v>
      </x:c>
    </x:row>
    <x:row r="239">
      <x:c r="A239" s="79" t="str">
        <x:v>ABIL|2007|LJT-PREP-CROWN</x:v>
      </x:c>
      <x:c r="B239" s="79" t="str">
        <x:v>能力評等</x:v>
      </x:c>
      <x:c r="C239" s="79" t="str"/>
      <x:c r="D239" s="79" t="str">
        <x:v>LJT-PREP-CROWN</x:v>
      </x:c>
      <x:c r="E239" s="79" t="str">
        <x:v>未評估</x:v>
      </x:c>
      <x:c r="F239" s="79" t="str">
        <x:v>未評估</x:v>
      </x:c>
      <x:c r="G239" s="97" t="str">
        <x:v>待核定</x:v>
      </x:c>
      <x:c r="H239" s="99"/>
      <x:c r="I239" s="97"/>
      <x:c r="J239" s="97"/>
      <x:c r="K239" s="98" t="str">
        <x:f>IF($G239="核定通過","已核定",IF($G239="不納入","不納入",IF($G239="退回補件","退回補件",IF($G239="暫停","資格暫停","待主管核定"))))</x:f>
        <x:v>待主管核定</x:v>
      </x:c>
    </x:row>
    <x:row r="240">
      <x:c r="A240" s="79" t="str">
        <x:v>ABIL|2007|LJT-PREP-RPD</x:v>
      </x:c>
      <x:c r="B240" s="79" t="str">
        <x:v>能力評等</x:v>
      </x:c>
      <x:c r="C240" s="79" t="str"/>
      <x:c r="D240" s="79" t="str">
        <x:v>LJT-PREP-RPD</x:v>
      </x:c>
      <x:c r="E240" s="79" t="str">
        <x:v>未評估</x:v>
      </x:c>
      <x:c r="F240" s="79" t="str">
        <x:v>未評估</x:v>
      </x:c>
      <x:c r="G240" s="97" t="str">
        <x:v>待核定</x:v>
      </x:c>
      <x:c r="H240" s="99"/>
      <x:c r="I240" s="97"/>
      <x:c r="J240" s="97"/>
      <x:c r="K240" s="98" t="str">
        <x:f>IF($G240="核定通過","已核定",IF($G240="不納入","不納入",IF($G240="退回補件","退回補件",IF($G240="暫停","資格暫停","待主管核定"))))</x:f>
        <x:v>待主管核定</x:v>
      </x:c>
    </x:row>
    <x:row r="241">
      <x:c r="A241" s="79" t="str">
        <x:v>ABIL|2007|LJT-PREP-AIRPOLISH</x:v>
      </x:c>
      <x:c r="B241" s="79" t="str">
        <x:v>能力評等</x:v>
      </x:c>
      <x:c r="C241" s="79" t="str"/>
      <x:c r="D241" s="79" t="str">
        <x:v>LJT-PREP-AIRPOLISH</x:v>
      </x:c>
      <x:c r="E241" s="79" t="str">
        <x:v>未評估</x:v>
      </x:c>
      <x:c r="F241" s="79" t="str">
        <x:v>未評估</x:v>
      </x:c>
      <x:c r="G241" s="97" t="str">
        <x:v>待核定</x:v>
      </x:c>
      <x:c r="H241" s="99"/>
      <x:c r="I241" s="97"/>
      <x:c r="J241" s="97"/>
      <x:c r="K241" s="98" t="str">
        <x:f>IF($G241="核定通過","已核定",IF($G241="不納入","不納入",IF($G241="退回補件","退回補件",IF($G241="暫停","資格暫停","待主管核定"))))</x:f>
        <x:v>待主管核定</x:v>
      </x:c>
    </x:row>
    <x:row r="242">
      <x:c r="A242" s="79" t="str">
        <x:v>ABIL|2007|LJT-PREP-PERIOSURG</x:v>
      </x:c>
      <x:c r="B242" s="79" t="str">
        <x:v>能力評等</x:v>
      </x:c>
      <x:c r="C242" s="79" t="str"/>
      <x:c r="D242" s="79" t="str">
        <x:v>LJT-PREP-PERIOSURG</x:v>
      </x:c>
      <x:c r="E242" s="79" t="str">
        <x:v>未評估</x:v>
      </x:c>
      <x:c r="F242" s="79" t="str">
        <x:v>未評估</x:v>
      </x:c>
      <x:c r="G242" s="97" t="str">
        <x:v>待核定</x:v>
      </x:c>
      <x:c r="H242" s="99"/>
      <x:c r="I242" s="97"/>
      <x:c r="J242" s="97"/>
      <x:c r="K242" s="98" t="str">
        <x:f>IF($G242="核定通過","已核定",IF($G242="不納入","不納入",IF($G242="退回補件","退回補件",IF($G242="暫停","資格暫停","待主管核定"))))</x:f>
        <x:v>待主管核定</x:v>
      </x:c>
    </x:row>
    <x:row r="243">
      <x:c r="A243" s="79" t="str">
        <x:v>ABIL|2007|LJT-PREP-MICROENDO</x:v>
      </x:c>
      <x:c r="B243" s="79" t="str">
        <x:v>能力評等</x:v>
      </x:c>
      <x:c r="C243" s="79" t="str"/>
      <x:c r="D243" s="79" t="str">
        <x:v>LJT-PREP-MICROENDO</x:v>
      </x:c>
      <x:c r="E243" s="79" t="str">
        <x:v>未評估</x:v>
      </x:c>
      <x:c r="F243" s="79" t="str">
        <x:v>未評估</x:v>
      </x:c>
      <x:c r="G243" s="97" t="str">
        <x:v>待核定</x:v>
      </x:c>
      <x:c r="H243" s="99"/>
      <x:c r="I243" s="97"/>
      <x:c r="J243" s="97"/>
      <x:c r="K243" s="98" t="str">
        <x:f>IF($G243="核定通過","已核定",IF($G243="不納入","不納入",IF($G243="退回補件","退回補件",IF($G243="暫停","資格暫停","待主管核定"))))</x:f>
        <x:v>待主管核定</x:v>
      </x:c>
    </x:row>
    <x:row r="244">
      <x:c r="A244" s="79" t="str">
        <x:v>ABIL|2007|LJT-PREP-IMPLANT</x:v>
      </x:c>
      <x:c r="B244" s="79" t="str">
        <x:v>能力評等</x:v>
      </x:c>
      <x:c r="C244" s="79" t="str"/>
      <x:c r="D244" s="79" t="str">
        <x:v>LJT-PREP-IMPLANT</x:v>
      </x:c>
      <x:c r="E244" s="79" t="str">
        <x:v>未評估</x:v>
      </x:c>
      <x:c r="F244" s="79" t="str">
        <x:v>未評估</x:v>
      </x:c>
      <x:c r="G244" s="97" t="str">
        <x:v>待核定</x:v>
      </x:c>
      <x:c r="H244" s="99"/>
      <x:c r="I244" s="97"/>
      <x:c r="J244" s="97"/>
      <x:c r="K244" s="98" t="str">
        <x:f>IF($G244="核定通過","已核定",IF($G244="不納入","不納入",IF($G244="退回補件","退回補件",IF($G244="暫停","資格暫停","待主管核定"))))</x:f>
        <x:v>待主管核定</x:v>
      </x:c>
    </x:row>
    <x:row r="245">
      <x:c r="A245" s="79" t="str">
        <x:v>ABIL|2007|COMMON-RECORD</x:v>
      </x:c>
      <x:c r="B245" s="79" t="str">
        <x:v>能力評等</x:v>
      </x:c>
      <x:c r="C245" s="79" t="str"/>
      <x:c r="D245" s="79" t="str">
        <x:v>COMMON-RECORD</x:v>
      </x:c>
      <x:c r="E245" s="79" t="str">
        <x:v>未評估</x:v>
      </x:c>
      <x:c r="F245" s="79" t="str">
        <x:v>未評估</x:v>
      </x:c>
      <x:c r="G245" s="97" t="str">
        <x:v>待核定</x:v>
      </x:c>
      <x:c r="H245" s="99"/>
      <x:c r="I245" s="97"/>
      <x:c r="J245" s="97"/>
      <x:c r="K245" s="98" t="str">
        <x:f>IF($G245="核定通過","已核定",IF($G245="不納入","不納入",IF($G245="退回補件","退回補件",IF($G245="暫停","資格暫停","待主管核定"))))</x:f>
        <x:v>待主管核定</x:v>
      </x:c>
    </x:row>
    <x:row r="246">
      <x:c r="A246" s="79" t="str">
        <x:v>ABIL|2007|COMMON-INSURANCE</x:v>
      </x:c>
      <x:c r="B246" s="79" t="str">
        <x:v>能力評等</x:v>
      </x:c>
      <x:c r="C246" s="79" t="str"/>
      <x:c r="D246" s="79" t="str">
        <x:v>COMMON-INSURANCE</x:v>
      </x:c>
      <x:c r="E246" s="79" t="str">
        <x:v>未評估</x:v>
      </x:c>
      <x:c r="F246" s="79" t="str">
        <x:v>未評估</x:v>
      </x:c>
      <x:c r="G246" s="97" t="str">
        <x:v>待核定</x:v>
      </x:c>
      <x:c r="H246" s="99"/>
      <x:c r="I246" s="97"/>
      <x:c r="J246" s="97"/>
      <x:c r="K246" s="98" t="str">
        <x:f>IF($G246="核定通過","已核定",IF($G246="不納入","不納入",IF($G246="退回補件","退回補件",IF($G246="暫停","資格暫停","待主管核定"))))</x:f>
        <x:v>待主管核定</x:v>
      </x:c>
    </x:row>
    <x:row r="247">
      <x:c r="A247" s="79" t="str">
        <x:v>ABIL|2007|COMMON-XRAY-RECORD</x:v>
      </x:c>
      <x:c r="B247" s="79" t="str">
        <x:v>能力評等</x:v>
      </x:c>
      <x:c r="C247" s="79" t="str"/>
      <x:c r="D247" s="79" t="str">
        <x:v>COMMON-XRAY-RECORD</x:v>
      </x:c>
      <x:c r="E247" s="79" t="str">
        <x:v>未評估</x:v>
      </x:c>
      <x:c r="F247" s="79" t="str">
        <x:v>未評估</x:v>
      </x:c>
      <x:c r="G247" s="97" t="str">
        <x:v>待核定</x:v>
      </x:c>
      <x:c r="H247" s="99"/>
      <x:c r="I247" s="97"/>
      <x:c r="J247" s="97"/>
      <x:c r="K247" s="98" t="str">
        <x:f>IF($G247="核定通過","已核定",IF($G247="不納入","不納入",IF($G247="退回補件","退回補件",IF($G247="暫停","資格暫停","待主管核定"))))</x:f>
        <x:v>待主管核定</x:v>
      </x:c>
    </x:row>
    <x:row r="248">
      <x:c r="A248" s="79" t="str">
        <x:v>ABIL|2007|COMMON-PA</x:v>
      </x:c>
      <x:c r="B248" s="79" t="str">
        <x:v>能力評等</x:v>
      </x:c>
      <x:c r="C248" s="79" t="str"/>
      <x:c r="D248" s="79" t="str">
        <x:v>COMMON-PA</x:v>
      </x:c>
      <x:c r="E248" s="79" t="str">
        <x:v>未評估</x:v>
      </x:c>
      <x:c r="F248" s="79" t="str">
        <x:v>未評估</x:v>
      </x:c>
      <x:c r="G248" s="97" t="str">
        <x:v>待核定</x:v>
      </x:c>
      <x:c r="H248" s="99"/>
      <x:c r="I248" s="97"/>
      <x:c r="J248" s="97"/>
      <x:c r="K248" s="98" t="str">
        <x:f>IF($G248="核定通過","已核定",IF($G248="不納入","不納入",IF($G248="退回補件","退回補件",IF($G248="暫停","資格暫停","待主管核定"))))</x:f>
        <x:v>待主管核定</x:v>
      </x:c>
    </x:row>
    <x:row r="249">
      <x:c r="A249" s="79" t="str">
        <x:v>ABIL|2007|COMMON-IOS</x:v>
      </x:c>
      <x:c r="B249" s="79" t="str">
        <x:v>能力評等</x:v>
      </x:c>
      <x:c r="C249" s="79" t="str"/>
      <x:c r="D249" s="79" t="str">
        <x:v>COMMON-IOS</x:v>
      </x:c>
      <x:c r="E249" s="79" t="str">
        <x:v>未評估</x:v>
      </x:c>
      <x:c r="F249" s="79" t="str">
        <x:v>未評估</x:v>
      </x:c>
      <x:c r="G249" s="97" t="str">
        <x:v>待核定</x:v>
      </x:c>
      <x:c r="H249" s="99"/>
      <x:c r="I249" s="97"/>
      <x:c r="J249" s="97"/>
      <x:c r="K249" s="98" t="str">
        <x:f>IF($G249="核定通過","已核定",IF($G249="不納入","不納入",IF($G249="退回補件","退回補件",IF($G249="暫停","資格暫停","待主管核定"))))</x:f>
        <x:v>待主管核定</x:v>
      </x:c>
    </x:row>
    <x:row r="250">
      <x:c r="A250" s="79" t="str">
        <x:v>ABIL|1001|LJT-RPD-FINAL</x:v>
      </x:c>
      <x:c r="B250" s="79" t="str">
        <x:v>能力評等</x:v>
      </x:c>
      <x:c r="C250" s="79" t="str"/>
      <x:c r="D250" s="79" t="str">
        <x:v>LJT-RPD-FINAL</x:v>
      </x:c>
      <x:c r="E250" s="79" t="str">
        <x:v>未評估</x:v>
      </x:c>
      <x:c r="F250" s="79" t="str">
        <x:v>未評估</x:v>
      </x:c>
      <x:c r="G250" s="97" t="str">
        <x:v>待核定</x:v>
      </x:c>
      <x:c r="H250" s="99"/>
      <x:c r="I250" s="97"/>
      <x:c r="J250" s="97"/>
      <x:c r="K250" s="98" t="str">
        <x:f>IF($G250="核定通過","已核定",IF($G250="不納入","不納入",IF($G250="退回補件","退回補件",IF($G250="暫停","資格暫停","待主管核定"))))</x:f>
        <x:v>待主管核定</x:v>
      </x:c>
    </x:row>
    <x:row r="251">
      <x:c r="A251" s="79" t="str">
        <x:v>ABIL|1004|LJT-RPD-FINAL</x:v>
      </x:c>
      <x:c r="B251" s="79" t="str">
        <x:v>能力評等</x:v>
      </x:c>
      <x:c r="C251" s="79" t="str"/>
      <x:c r="D251" s="79" t="str">
        <x:v>LJT-RPD-FINAL</x:v>
      </x:c>
      <x:c r="E251" s="79" t="str">
        <x:v>未評估</x:v>
      </x:c>
      <x:c r="F251" s="79" t="str">
        <x:v>未評估</x:v>
      </x:c>
      <x:c r="G251" s="97" t="str">
        <x:v>待核定</x:v>
      </x:c>
      <x:c r="H251" s="99"/>
      <x:c r="I251" s="97"/>
      <x:c r="J251" s="97"/>
      <x:c r="K251" s="98" t="str">
        <x:f>IF($G251="核定通過","已核定",IF($G251="不納入","不納入",IF($G251="退回補件","退回補件",IF($G251="暫停","資格暫停","待主管核定"))))</x:f>
        <x:v>待主管核定</x:v>
      </x:c>
    </x:row>
    <x:row r="252">
      <x:c r="A252" s="79" t="str">
        <x:v>ABIL|1013|LJT-RPD-FINAL</x:v>
      </x:c>
      <x:c r="B252" s="79" t="str">
        <x:v>能力評等</x:v>
      </x:c>
      <x:c r="C252" s="79" t="str"/>
      <x:c r="D252" s="79" t="str">
        <x:v>LJT-RPD-FINAL</x:v>
      </x:c>
      <x:c r="E252" s="79" t="str">
        <x:v>未評估</x:v>
      </x:c>
      <x:c r="F252" s="79" t="str">
        <x:v>未評估</x:v>
      </x:c>
      <x:c r="G252" s="97" t="str">
        <x:v>待核定</x:v>
      </x:c>
      <x:c r="H252" s="99"/>
      <x:c r="I252" s="97"/>
      <x:c r="J252" s="97"/>
      <x:c r="K252" s="98" t="str">
        <x:f>IF($G252="核定通過","已核定",IF($G252="不納入","不納入",IF($G252="退回補件","退回補件",IF($G252="暫停","資格暫停","待主管核定"))))</x:f>
        <x:v>待主管核定</x:v>
      </x:c>
    </x:row>
    <x:row r="253">
      <x:c r="A253" s="79" t="str">
        <x:v>ABIL|1019|LJT-RPD-FINAL</x:v>
      </x:c>
      <x:c r="B253" s="79" t="str">
        <x:v>能力評等</x:v>
      </x:c>
      <x:c r="C253" s="79" t="str"/>
      <x:c r="D253" s="79" t="str">
        <x:v>LJT-RPD-FINAL</x:v>
      </x:c>
      <x:c r="E253" s="79" t="str">
        <x:v>未評估</x:v>
      </x:c>
      <x:c r="F253" s="79" t="str">
        <x:v>未評估</x:v>
      </x:c>
      <x:c r="G253" s="97" t="str">
        <x:v>待核定</x:v>
      </x:c>
      <x:c r="H253" s="99"/>
      <x:c r="I253" s="97"/>
      <x:c r="J253" s="97"/>
      <x:c r="K253" s="98" t="str">
        <x:f>IF($G253="核定通過","已核定",IF($G253="不納入","不納入",IF($G253="退回補件","退回補件",IF($G253="暫停","資格暫停","待主管核定"))))</x:f>
        <x:v>待主管核定</x:v>
      </x:c>
    </x:row>
    <x:row r="254">
      <x:c r="A254" s="79" t="str">
        <x:v>ABIL|1020|LJT-RPD-FINAL</x:v>
      </x:c>
      <x:c r="B254" s="79" t="str">
        <x:v>能力評等</x:v>
      </x:c>
      <x:c r="C254" s="79" t="str"/>
      <x:c r="D254" s="79" t="str">
        <x:v>LJT-RPD-FINAL</x:v>
      </x:c>
      <x:c r="E254" s="79" t="str">
        <x:v>未評估</x:v>
      </x:c>
      <x:c r="F254" s="79" t="str">
        <x:v>未評估</x:v>
      </x:c>
      <x:c r="G254" s="97" t="str">
        <x:v>待核定</x:v>
      </x:c>
      <x:c r="H254" s="99"/>
      <x:c r="I254" s="97"/>
      <x:c r="J254" s="97"/>
      <x:c r="K254" s="98" t="str">
        <x:f>IF($G254="核定通過","已核定",IF($G254="不納入","不納入",IF($G254="退回補件","退回補件",IF($G254="暫停","資格暫停","待主管核定"))))</x:f>
        <x:v>待主管核定</x:v>
      </x:c>
    </x:row>
    <x:row r="255">
      <x:c r="A255" s="79" t="str">
        <x:v>ABIL|1025|LJT-RPD-FINAL</x:v>
      </x:c>
      <x:c r="B255" s="79" t="str">
        <x:v>能力評等</x:v>
      </x:c>
      <x:c r="C255" s="79" t="str"/>
      <x:c r="D255" s="79" t="str">
        <x:v>LJT-RPD-FINAL</x:v>
      </x:c>
      <x:c r="E255" s="79" t="str">
        <x:v>未評估</x:v>
      </x:c>
      <x:c r="F255" s="79" t="str">
        <x:v>未評估</x:v>
      </x:c>
      <x:c r="G255" s="97" t="str">
        <x:v>待核定</x:v>
      </x:c>
      <x:c r="H255" s="99"/>
      <x:c r="I255" s="97"/>
      <x:c r="J255" s="97"/>
      <x:c r="K255" s="98" t="str">
        <x:f>IF($G255="核定通過","已核定",IF($G255="不納入","不納入",IF($G255="退回補件","退回補件",IF($G255="暫停","資格暫停","待主管核定"))))</x:f>
        <x:v>待主管核定</x:v>
      </x:c>
    </x:row>
    <x:row r="256">
      <x:c r="A256" s="79" t="str">
        <x:v>ABIL|1026|LJT-RPD-FINAL</x:v>
      </x:c>
      <x:c r="B256" s="79" t="str">
        <x:v>能力評等</x:v>
      </x:c>
      <x:c r="C256" s="79" t="str"/>
      <x:c r="D256" s="79" t="str">
        <x:v>LJT-RPD-FINAL</x:v>
      </x:c>
      <x:c r="E256" s="79" t="str">
        <x:v>未評估</x:v>
      </x:c>
      <x:c r="F256" s="79" t="str">
        <x:v>未評估</x:v>
      </x:c>
      <x:c r="G256" s="97" t="str">
        <x:v>待核定</x:v>
      </x:c>
      <x:c r="H256" s="99"/>
      <x:c r="I256" s="97"/>
      <x:c r="J256" s="97"/>
      <x:c r="K256" s="98" t="str">
        <x:f>IF($G256="核定通過","已核定",IF($G256="不納入","不納入",IF($G256="退回補件","退回補件",IF($G256="暫停","資格暫停","待主管核定"))))</x:f>
        <x:v>待主管核定</x:v>
      </x:c>
    </x:row>
    <x:row r="257">
      <x:c r="A257" s="79" t="str">
        <x:v>ABIL|1027|LJT-RPD-FINAL</x:v>
      </x:c>
      <x:c r="B257" s="79" t="str">
        <x:v>能力評等</x:v>
      </x:c>
      <x:c r="C257" s="79" t="str"/>
      <x:c r="D257" s="79" t="str">
        <x:v>LJT-RPD-FINAL</x:v>
      </x:c>
      <x:c r="E257" s="79" t="str">
        <x:v>未評估</x:v>
      </x:c>
      <x:c r="F257" s="79" t="str">
        <x:v>未評估</x:v>
      </x:c>
      <x:c r="G257" s="97" t="str">
        <x:v>待核定</x:v>
      </x:c>
      <x:c r="H257" s="99"/>
      <x:c r="I257" s="97"/>
      <x:c r="J257" s="97"/>
      <x:c r="K257" s="98" t="str">
        <x:f>IF($G257="核定通過","已核定",IF($G257="不納入","不納入",IF($G257="退回補件","退回補件",IF($G257="暫停","資格暫停","待主管核定"))))</x:f>
        <x:v>待主管核定</x:v>
      </x:c>
    </x:row>
    <x:row r="258">
      <x:c r="A258" s="79" t="str">
        <x:v>ABIL|1028|LJT-RPD-FINAL</x:v>
      </x:c>
      <x:c r="B258" s="79" t="str">
        <x:v>能力評等</x:v>
      </x:c>
      <x:c r="C258" s="79" t="str"/>
      <x:c r="D258" s="79" t="str">
        <x:v>LJT-RPD-FINAL</x:v>
      </x:c>
      <x:c r="E258" s="79" t="str">
        <x:v>未評估</x:v>
      </x:c>
      <x:c r="F258" s="79" t="str">
        <x:v>未評估</x:v>
      </x:c>
      <x:c r="G258" s="97" t="str">
        <x:v>待核定</x:v>
      </x:c>
      <x:c r="H258" s="99"/>
      <x:c r="I258" s="97"/>
      <x:c r="J258" s="97"/>
      <x:c r="K258" s="98" t="str">
        <x:f>IF($G258="核定通過","已核定",IF($G258="不納入","不納入",IF($G258="退回補件","退回補件",IF($G258="暫停","資格暫停","待主管核定"))))</x:f>
        <x:v>待主管核定</x:v>
      </x:c>
    </x:row>
    <x:row r="259">
      <x:c r="A259" s="79" t="str">
        <x:v>ABIL|1029|LJT-RPD-FINAL</x:v>
      </x:c>
      <x:c r="B259" s="79" t="str">
        <x:v>能力評等</x:v>
      </x:c>
      <x:c r="C259" s="79" t="str"/>
      <x:c r="D259" s="79" t="str">
        <x:v>LJT-RPD-FINAL</x:v>
      </x:c>
      <x:c r="E259" s="79" t="str">
        <x:v>未評估</x:v>
      </x:c>
      <x:c r="F259" s="79" t="str">
        <x:v>未評估</x:v>
      </x:c>
      <x:c r="G259" s="97" t="str">
        <x:v>待核定</x:v>
      </x:c>
      <x:c r="H259" s="99"/>
      <x:c r="I259" s="97"/>
      <x:c r="J259" s="97"/>
      <x:c r="K259" s="98" t="str">
        <x:f>IF($G259="核定通過","已核定",IF($G259="不納入","不納入",IF($G259="退回補件","退回補件",IF($G259="暫停","資格暫停","待主管核定"))))</x:f>
        <x:v>待主管核定</x:v>
      </x:c>
    </x:row>
    <x:row r="260">
      <x:c r="A260" s="79" t="str">
        <x:v>ABIL|1030|LJT-RPD-FINAL</x:v>
      </x:c>
      <x:c r="B260" s="79" t="str">
        <x:v>能力評等</x:v>
      </x:c>
      <x:c r="C260" s="79" t="str"/>
      <x:c r="D260" s="79" t="str">
        <x:v>LJT-RPD-FINAL</x:v>
      </x:c>
      <x:c r="E260" s="79" t="str">
        <x:v>未評估</x:v>
      </x:c>
      <x:c r="F260" s="79" t="str">
        <x:v>未評估</x:v>
      </x:c>
      <x:c r="G260" s="97" t="str">
        <x:v>待核定</x:v>
      </x:c>
      <x:c r="H260" s="99"/>
      <x:c r="I260" s="97"/>
      <x:c r="J260" s="97"/>
      <x:c r="K260" s="98" t="str">
        <x:f>IF($G260="核定通過","已核定",IF($G260="不納入","不納入",IF($G260="退回補件","退回補件",IF($G260="暫停","資格暫停","待主管核定"))))</x:f>
        <x:v>待主管核定</x:v>
      </x:c>
    </x:row>
    <x:row r="261">
      <x:c r="A261" s="79" t="str">
        <x:v>ABIL|1031|LJT-RPD-FINAL</x:v>
      </x:c>
      <x:c r="B261" s="79" t="str">
        <x:v>能力評等</x:v>
      </x:c>
      <x:c r="C261" s="79" t="str"/>
      <x:c r="D261" s="79" t="str">
        <x:v>LJT-RPD-FINAL</x:v>
      </x:c>
      <x:c r="E261" s="79" t="str">
        <x:v>未評估</x:v>
      </x:c>
      <x:c r="F261" s="79" t="str">
        <x:v>未評估</x:v>
      </x:c>
      <x:c r="G261" s="97" t="str">
        <x:v>待核定</x:v>
      </x:c>
      <x:c r="H261" s="99"/>
      <x:c r="I261" s="97"/>
      <x:c r="J261" s="97"/>
      <x:c r="K261" s="98" t="str">
        <x:f>IF($G261="核定通過","已核定",IF($G261="不納入","不納入",IF($G261="退回補件","退回補件",IF($G261="暫停","資格暫停","待主管核定"))))</x:f>
        <x:v>待主管核定</x:v>
      </x:c>
    </x:row>
    <x:row r="262">
      <x:c r="A262" s="79" t="str">
        <x:v>ABIL|2006|LJT-RPD-FINAL</x:v>
      </x:c>
      <x:c r="B262" s="79" t="str">
        <x:v>能力評等</x:v>
      </x:c>
      <x:c r="C262" s="79" t="str"/>
      <x:c r="D262" s="79" t="str">
        <x:v>LJT-RPD-FINAL</x:v>
      </x:c>
      <x:c r="E262" s="79" t="str">
        <x:v>未評估</x:v>
      </x:c>
      <x:c r="F262" s="79" t="str">
        <x:v>未評估</x:v>
      </x:c>
      <x:c r="G262" s="97" t="str">
        <x:v>待核定</x:v>
      </x:c>
      <x:c r="H262" s="99"/>
      <x:c r="I262" s="97"/>
      <x:c r="J262" s="97"/>
      <x:c r="K262" s="98" t="str">
        <x:f>IF($G262="核定通過","已核定",IF($G262="不納入","不納入",IF($G262="退回補件","退回補件",IF($G262="暫停","資格暫停","待主管核定"))))</x:f>
        <x:v>待主管核定</x:v>
      </x:c>
    </x:row>
    <x:row r="263">
      <x:c r="A263" s="79" t="str">
        <x:v>ABIL|2007|LJT-RPD-FINAL</x:v>
      </x:c>
      <x:c r="B263" s="79" t="str">
        <x:v>能力評等</x:v>
      </x:c>
      <x:c r="C263" s="79" t="str"/>
      <x:c r="D263" s="79" t="str">
        <x:v>LJT-RPD-FINAL</x:v>
      </x:c>
      <x:c r="E263" s="79" t="str">
        <x:v>未評估</x:v>
      </x:c>
      <x:c r="F263" s="79" t="str">
        <x:v>未評估</x:v>
      </x:c>
      <x:c r="G263" s="97" t="str">
        <x:v>待核定</x:v>
      </x:c>
      <x:c r="H263" s="99"/>
      <x:c r="I263" s="97"/>
      <x:c r="J263" s="97"/>
      <x:c r="K263" s="98" t="str">
        <x:f>IF($G263="核定通過","已核定",IF($G263="不納入","不納入",IF($G263="退回補件","退回補件",IF($G263="暫停","資格暫停","待主管核定"))))</x:f>
        <x:v>待主管核定</x:v>
      </x:c>
    </x:row>
    <x:row r="264">
      <x:c r="A264" s="79" t="str">
        <x:v>FAM|1001|李侑津醫師</x:v>
      </x:c>
      <x:c r="B264" s="79" t="str">
        <x:v>跟診熟悉度</x:v>
      </x:c>
      <x:c r="C264" s="79" t="str"/>
      <x:c r="D264" s="79" t="str">
        <x:v>李侑津醫師</x:v>
      </x:c>
      <x:c r="E264" s="79" t="str">
        <x:v>可獨立配合</x:v>
      </x:c>
      <x:c r="F264" s="79" t="str">
        <x:v>可獨立配合</x:v>
      </x:c>
      <x:c r="G264" s="97" t="str">
        <x:v>待核定</x:v>
      </x:c>
      <x:c r="H264" s="99"/>
      <x:c r="I264" s="97"/>
      <x:c r="J264" s="97"/>
      <x:c r="K264" s="98" t="str">
        <x:f>IF($G264="核定通過","已核定",IF($G264="不納入","不納入",IF($G264="退回補件","退回補件",IF($G264="暫停","資格暫停","待主管核定"))))</x:f>
        <x:v>待主管核定</x:v>
      </x:c>
    </x:row>
    <x:row r="265">
      <x:c r="A265" s="79" t="str">
        <x:v>FAM|1004|李侑津醫師</x:v>
      </x:c>
      <x:c r="B265" s="79" t="str">
        <x:v>跟診熟悉度</x:v>
      </x:c>
      <x:c r="C265" s="79" t="str"/>
      <x:c r="D265" s="79" t="str">
        <x:v>李侑津醫師</x:v>
      </x:c>
      <x:c r="E265" s="79" t="str">
        <x:v>可獨立配合</x:v>
      </x:c>
      <x:c r="F265" s="79" t="str">
        <x:v>可獨立配合</x:v>
      </x:c>
      <x:c r="G265" s="97" t="str">
        <x:v>待核定</x:v>
      </x:c>
      <x:c r="H265" s="99"/>
      <x:c r="I265" s="97"/>
      <x:c r="J265" s="97"/>
      <x:c r="K265" s="98" t="str">
        <x:f>IF($G265="核定通過","已核定",IF($G265="不納入","不納入",IF($G265="退回補件","退回補件",IF($G265="暫停","資格暫停","待主管核定"))))</x:f>
        <x:v>待主管核定</x:v>
      </x:c>
    </x:row>
    <x:row r="266">
      <x:c r="A266" s="79" t="str">
        <x:v>FAM|1013|李侑津醫師</x:v>
      </x:c>
      <x:c r="B266" s="79" t="str">
        <x:v>跟診熟悉度</x:v>
      </x:c>
      <x:c r="C266" s="79" t="str"/>
      <x:c r="D266" s="79" t="str">
        <x:v>李侑津醫師</x:v>
      </x:c>
      <x:c r="E266" s="79" t="str">
        <x:v>可獨立配合</x:v>
      </x:c>
      <x:c r="F266" s="79" t="str">
        <x:v>可獨立配合</x:v>
      </x:c>
      <x:c r="G266" s="97" t="str">
        <x:v>待核定</x:v>
      </x:c>
      <x:c r="H266" s="99"/>
      <x:c r="I266" s="97"/>
      <x:c r="J266" s="97"/>
      <x:c r="K266" s="98" t="str">
        <x:f>IF($G266="核定通過","已核定",IF($G266="不納入","不納入",IF($G266="退回補件","退回補件",IF($G266="暫停","資格暫停","待主管核定"))))</x:f>
        <x:v>待主管核定</x:v>
      </x:c>
    </x:row>
    <x:row r="267">
      <x:c r="A267" s="79" t="str">
        <x:v>FAM|1019|李侑津醫師</x:v>
      </x:c>
      <x:c r="B267" s="79" t="str">
        <x:v>跟診熟悉度</x:v>
      </x:c>
      <x:c r="C267" s="79" t="str"/>
      <x:c r="D267" s="79" t="str">
        <x:v>李侑津醫師</x:v>
      </x:c>
      <x:c r="E267" s="79" t="str">
        <x:v>可獨立配合</x:v>
      </x:c>
      <x:c r="F267" s="79" t="str">
        <x:v>可獨立配合</x:v>
      </x:c>
      <x:c r="G267" s="97" t="str">
        <x:v>待核定</x:v>
      </x:c>
      <x:c r="H267" s="99"/>
      <x:c r="I267" s="97"/>
      <x:c r="J267" s="97"/>
      <x:c r="K267" s="98" t="str">
        <x:f>IF($G267="核定通過","已核定",IF($G267="不納入","不納入",IF($G267="退回補件","退回補件",IF($G267="暫停","資格暫停","待主管核定"))))</x:f>
        <x:v>待主管核定</x:v>
      </x:c>
    </x:row>
    <x:row r="268">
      <x:c r="A268" s="79" t="str">
        <x:v>FAM|1020|李侑津醫師</x:v>
      </x:c>
      <x:c r="B268" s="79" t="str">
        <x:v>跟診熟悉度</x:v>
      </x:c>
      <x:c r="C268" s="79" t="str"/>
      <x:c r="D268" s="79" t="str">
        <x:v>李侑津醫師</x:v>
      </x:c>
      <x:c r="E268" s="79" t="str">
        <x:v>可獨立配合</x:v>
      </x:c>
      <x:c r="F268" s="79" t="str">
        <x:v>可獨立配合</x:v>
      </x:c>
      <x:c r="G268" s="97" t="str">
        <x:v>待核定</x:v>
      </x:c>
      <x:c r="H268" s="99"/>
      <x:c r="I268" s="97"/>
      <x:c r="J268" s="97"/>
      <x:c r="K268" s="98" t="str">
        <x:f>IF($G268="核定通過","已核定",IF($G268="不納入","不納入",IF($G268="退回補件","退回補件",IF($G268="暫停","資格暫停","待主管核定"))))</x:f>
        <x:v>待主管核定</x:v>
      </x:c>
    </x:row>
    <x:row r="269">
      <x:c r="A269" s="79" t="str">
        <x:v>FAM|1025|李侑津醫師</x:v>
      </x:c>
      <x:c r="B269" s="79" t="str">
        <x:v>跟診熟悉度</x:v>
      </x:c>
      <x:c r="C269" s="79" t="str"/>
      <x:c r="D269" s="79" t="str">
        <x:v>李侑津醫師</x:v>
      </x:c>
      <x:c r="E269" s="79" t="str">
        <x:v>可配合但需支援</x:v>
      </x:c>
      <x:c r="F269" s="79" t="str">
        <x:v>可配合但需支援</x:v>
      </x:c>
      <x:c r="G269" s="97" t="str">
        <x:v>待核定</x:v>
      </x:c>
      <x:c r="H269" s="99"/>
      <x:c r="I269" s="97"/>
      <x:c r="J269" s="97"/>
      <x:c r="K269" s="98" t="str">
        <x:f>IF($G269="核定通過","已核定",IF($G269="不納入","不納入",IF($G269="退回補件","退回補件",IF($G269="暫停","資格暫停","待主管核定"))))</x:f>
        <x:v>待主管核定</x:v>
      </x:c>
    </x:row>
    <x:row r="270">
      <x:c r="A270" s="79" t="str">
        <x:v>FAM|1026|李侑津醫師</x:v>
      </x:c>
      <x:c r="B270" s="79" t="str">
        <x:v>跟診熟悉度</x:v>
      </x:c>
      <x:c r="C270" s="79" t="str"/>
      <x:c r="D270" s="79" t="str">
        <x:v>李侑津醫師</x:v>
      </x:c>
      <x:c r="E270" s="79" t="str">
        <x:v>可獨立配合</x:v>
      </x:c>
      <x:c r="F270" s="79" t="str">
        <x:v>可獨立配合</x:v>
      </x:c>
      <x:c r="G270" s="97" t="str">
        <x:v>待核定</x:v>
      </x:c>
      <x:c r="H270" s="99"/>
      <x:c r="I270" s="97"/>
      <x:c r="J270" s="97"/>
      <x:c r="K270" s="98" t="str">
        <x:f>IF($G270="核定通過","已核定",IF($G270="不納入","不納入",IF($G270="退回補件","退回補件",IF($G270="暫停","資格暫停","待主管核定"))))</x:f>
        <x:v>待主管核定</x:v>
      </x:c>
    </x:row>
    <x:row r="271">
      <x:c r="A271" s="79" t="str">
        <x:v>FAM|1027|李侑津醫師</x:v>
      </x:c>
      <x:c r="B271" s="79" t="str">
        <x:v>跟診熟悉度</x:v>
      </x:c>
      <x:c r="C271" s="79" t="str"/>
      <x:c r="D271" s="79" t="str">
        <x:v>李侑津醫師</x:v>
      </x:c>
      <x:c r="E271" s="79" t="str">
        <x:v>可配合但需支援</x:v>
      </x:c>
      <x:c r="F271" s="79" t="str">
        <x:v>可配合但需支援</x:v>
      </x:c>
      <x:c r="G271" s="97" t="str">
        <x:v>待核定</x:v>
      </x:c>
      <x:c r="H271" s="99"/>
      <x:c r="I271" s="97"/>
      <x:c r="J271" s="97"/>
      <x:c r="K271" s="98" t="str">
        <x:f>IF($G271="核定通過","已核定",IF($G271="不納入","不納入",IF($G271="退回補件","退回補件",IF($G271="暫停","資格暫停","待主管核定"))))</x:f>
        <x:v>待主管核定</x:v>
      </x:c>
    </x:row>
    <x:row r="272">
      <x:c r="A272" s="79" t="str">
        <x:v>FAM|1028|李侑津醫師</x:v>
      </x:c>
      <x:c r="B272" s="79" t="str">
        <x:v>跟診熟悉度</x:v>
      </x:c>
      <x:c r="C272" s="79" t="str"/>
      <x:c r="D272" s="79" t="str">
        <x:v>李侑津醫師</x:v>
      </x:c>
      <x:c r="E272" s="79" t="str">
        <x:v>學習中</x:v>
      </x:c>
      <x:c r="F272" s="79" t="str">
        <x:v>學習中</x:v>
      </x:c>
      <x:c r="G272" s="97" t="str">
        <x:v>待核定</x:v>
      </x:c>
      <x:c r="H272" s="99"/>
      <x:c r="I272" s="97"/>
      <x:c r="J272" s="97"/>
      <x:c r="K272" s="98" t="str">
        <x:f>IF($G272="核定通過","已核定",IF($G272="不納入","不納入",IF($G272="退回補件","退回補件",IF($G272="暫停","資格暫停","待主管核定"))))</x:f>
        <x:v>待主管核定</x:v>
      </x:c>
    </x:row>
    <x:row r="273">
      <x:c r="A273" s="79" t="str">
        <x:v>FAM|1029|李侑津醫師</x:v>
      </x:c>
      <x:c r="B273" s="79" t="str">
        <x:v>跟診熟悉度</x:v>
      </x:c>
      <x:c r="C273" s="79" t="str"/>
      <x:c r="D273" s="79" t="str">
        <x:v>李侑津醫師</x:v>
      </x:c>
      <x:c r="E273" s="79" t="str">
        <x:v>未評估</x:v>
      </x:c>
      <x:c r="F273" s="79" t="str">
        <x:v>未評估</x:v>
      </x:c>
      <x:c r="G273" s="97" t="str">
        <x:v>待核定</x:v>
      </x:c>
      <x:c r="H273" s="99"/>
      <x:c r="I273" s="97"/>
      <x:c r="J273" s="97"/>
      <x:c r="K273" s="98" t="str">
        <x:f>IF($G273="核定通過","已核定",IF($G273="不納入","不納入",IF($G273="退回補件","退回補件",IF($G273="暫停","資格暫停","待主管核定"))))</x:f>
        <x:v>待主管核定</x:v>
      </x:c>
    </x:row>
    <x:row r="274">
      <x:c r="A274" s="79" t="str">
        <x:v>FAM|1030|李侑津醫師</x:v>
      </x:c>
      <x:c r="B274" s="79" t="str">
        <x:v>跟診熟悉度</x:v>
      </x:c>
      <x:c r="C274" s="79" t="str"/>
      <x:c r="D274" s="79" t="str">
        <x:v>李侑津醫師</x:v>
      </x:c>
      <x:c r="E274" s="79" t="str">
        <x:v>未評估</x:v>
      </x:c>
      <x:c r="F274" s="79" t="str">
        <x:v>未評估</x:v>
      </x:c>
      <x:c r="G274" s="97" t="str">
        <x:v>待核定</x:v>
      </x:c>
      <x:c r="H274" s="99"/>
      <x:c r="I274" s="97"/>
      <x:c r="J274" s="97"/>
      <x:c r="K274" s="98" t="str">
        <x:f>IF($G274="核定通過","已核定",IF($G274="不納入","不納入",IF($G274="退回補件","退回補件",IF($G274="暫停","資格暫停","待主管核定"))))</x:f>
        <x:v>待主管核定</x:v>
      </x:c>
    </x:row>
    <x:row r="275">
      <x:c r="A275" s="79" t="str">
        <x:v>FAM|1031|李侑津醫師</x:v>
      </x:c>
      <x:c r="B275" s="79" t="str">
        <x:v>跟診熟悉度</x:v>
      </x:c>
      <x:c r="C275" s="79" t="str"/>
      <x:c r="D275" s="79" t="str">
        <x:v>李侑津醫師</x:v>
      </x:c>
      <x:c r="E275" s="79" t="str">
        <x:v>未評估</x:v>
      </x:c>
      <x:c r="F275" s="79" t="str">
        <x:v>未評估</x:v>
      </x:c>
      <x:c r="G275" s="97" t="str">
        <x:v>待核定</x:v>
      </x:c>
      <x:c r="H275" s="99"/>
      <x:c r="I275" s="97"/>
      <x:c r="J275" s="97"/>
      <x:c r="K275" s="98" t="str">
        <x:f>IF($G275="核定通過","已核定",IF($G275="不納入","不納入",IF($G275="退回補件","退回補件",IF($G275="暫停","資格暫停","待主管核定"))))</x:f>
        <x:v>待主管核定</x:v>
      </x:c>
    </x:row>
    <x:row r="276">
      <x:c r="A276" s="79" t="str">
        <x:v>FAM|2006|李侑津醫師</x:v>
      </x:c>
      <x:c r="B276" s="79" t="str">
        <x:v>跟診熟悉度</x:v>
      </x:c>
      <x:c r="C276" s="79" t="str"/>
      <x:c r="D276" s="79" t="str">
        <x:v>李侑津醫師</x:v>
      </x:c>
      <x:c r="E276" s="79" t="str">
        <x:v>未評估</x:v>
      </x:c>
      <x:c r="F276" s="79" t="str">
        <x:v>未評估</x:v>
      </x:c>
      <x:c r="G276" s="97" t="str">
        <x:v>待核定</x:v>
      </x:c>
      <x:c r="H276" s="99"/>
      <x:c r="I276" s="97"/>
      <x:c r="J276" s="97"/>
      <x:c r="K276" s="98" t="str">
        <x:f>IF($G276="核定通過","已核定",IF($G276="不納入","不納入",IF($G276="退回補件","退回補件",IF($G276="暫停","資格暫停","待主管核定"))))</x:f>
        <x:v>待主管核定</x:v>
      </x:c>
    </x:row>
    <x:row r="277">
      <x:c r="A277" s="79" t="str">
        <x:v>FAM|2007|李侑津醫師</x:v>
      </x:c>
      <x:c r="B277" s="79" t="str">
        <x:v>跟診熟悉度</x:v>
      </x:c>
      <x:c r="C277" s="79" t="str"/>
      <x:c r="D277" s="79" t="str">
        <x:v>李侑津醫師</x:v>
      </x:c>
      <x:c r="E277" s="79" t="str">
        <x:v>未評估</x:v>
      </x:c>
      <x:c r="F277" s="79" t="str">
        <x:v>未評估</x:v>
      </x:c>
      <x:c r="G277" s="97" t="str">
        <x:v>待核定</x:v>
      </x:c>
      <x:c r="H277" s="99"/>
      <x:c r="I277" s="97"/>
      <x:c r="J277" s="97"/>
      <x:c r="K277" s="98" t="str">
        <x:f>IF($G277="核定通過","已核定",IF($G277="不納入","不納入",IF($G277="退回補件","退回補件",IF($G277="暫停","資格暫停","待主管核定"))))</x:f>
        <x:v>待主管核定</x:v>
      </x:c>
    </x:row>
    <x:row r="278">
      <x:c r="A278" s="79" t="str">
        <x:v>REQ|LJT-SCALING|COMMON-RECORD</x:v>
      </x:c>
      <x:c r="B278" s="79" t="str">
        <x:v>共通技能要求</x:v>
      </x:c>
      <x:c r="C278" s="79" t="str">
        <x:v>洗牙</x:v>
      </x:c>
      <x:c r="D278" s="79" t="str">
        <x:v>LJT-SCALING／COMMON-RECORD</x:v>
      </x:c>
      <x:c r="E278" s="79" t="str">
        <x:v>待確認</x:v>
      </x:c>
      <x:c r="F278" s="79" t="str">
        <x:v>納入必備</x:v>
      </x:c>
      <x:c r="G278" s="97" t="str">
        <x:v>待核定</x:v>
      </x:c>
      <x:c r="H278" s="99"/>
      <x:c r="I278" s="97"/>
      <x:c r="J278" s="97"/>
      <x:c r="K278" s="98" t="str">
        <x:f>IF($G278="核定通過","已核定",IF($G278="不納入","不納入",IF($G278="退回補件","退回補件",IF($G278="暫停","資格暫停","待主管核定"))))</x:f>
        <x:v>待主管核定</x:v>
      </x:c>
    </x:row>
    <x:row r="279">
      <x:c r="A279" s="79" t="str">
        <x:v>REQ|LJT-SCALING|COMMON-INSURANCE</x:v>
      </x:c>
      <x:c r="B279" s="79" t="str">
        <x:v>共通技能要求</x:v>
      </x:c>
      <x:c r="C279" s="79" t="str">
        <x:v>洗牙</x:v>
      </x:c>
      <x:c r="D279" s="79" t="str">
        <x:v>LJT-SCALING／COMMON-INSURANCE</x:v>
      </x:c>
      <x:c r="E279" s="79" t="str">
        <x:v>待確認</x:v>
      </x:c>
      <x:c r="F279" s="79" t="str">
        <x:v>納入必備</x:v>
      </x:c>
      <x:c r="G279" s="97" t="str">
        <x:v>待核定</x:v>
      </x:c>
      <x:c r="H279" s="99"/>
      <x:c r="I279" s="97"/>
      <x:c r="J279" s="97"/>
      <x:c r="K279" s="98" t="str">
        <x:f>IF($G279="核定通過","已核定",IF($G279="不納入","不納入",IF($G279="退回補件","退回補件",IF($G279="暫停","資格暫停","待主管核定"))))</x:f>
        <x:v>待主管核定</x:v>
      </x:c>
    </x:row>
    <x:row r="280">
      <x:c r="A280" s="79" t="str">
        <x:v>REQ|LJT-SCALING|COMMON-XRAY-RECORD</x:v>
      </x:c>
      <x:c r="B280" s="79" t="str">
        <x:v>共通技能要求</x:v>
      </x:c>
      <x:c r="C280" s="79" t="str">
        <x:v>洗牙</x:v>
      </x:c>
      <x:c r="D280" s="79" t="str">
        <x:v>LJT-SCALING／COMMON-XRAY-RECORD</x:v>
      </x:c>
      <x:c r="E280" s="79" t="str">
        <x:v>待確認</x:v>
      </x:c>
      <x:c r="F280" s="79" t="str">
        <x:v>納入必備</x:v>
      </x:c>
      <x:c r="G280" s="97" t="str">
        <x:v>待核定</x:v>
      </x:c>
      <x:c r="H280" s="99"/>
      <x:c r="I280" s="97"/>
      <x:c r="J280" s="97"/>
      <x:c r="K280" s="98" t="str">
        <x:f>IF($G280="核定通過","已核定",IF($G280="不納入","不納入",IF($G280="退回補件","退回補件",IF($G280="暫停","資格暫停","待主管核定"))))</x:f>
        <x:v>待主管核定</x:v>
      </x:c>
    </x:row>
    <x:row r="281">
      <x:c r="A281" s="79" t="str">
        <x:v>REQ|LJT-FILLING|COMMON-RECORD</x:v>
      </x:c>
      <x:c r="B281" s="79" t="str">
        <x:v>共通技能要求</x:v>
      </x:c>
      <x:c r="C281" s="79" t="str">
        <x:v>補牙</x:v>
      </x:c>
      <x:c r="D281" s="79" t="str">
        <x:v>LJT-FILLING／COMMON-RECORD</x:v>
      </x:c>
      <x:c r="E281" s="79" t="str">
        <x:v>待確認</x:v>
      </x:c>
      <x:c r="F281" s="79" t="str">
        <x:v>納入必備</x:v>
      </x:c>
      <x:c r="G281" s="97" t="str">
        <x:v>待核定</x:v>
      </x:c>
      <x:c r="H281" s="99"/>
      <x:c r="I281" s="97"/>
      <x:c r="J281" s="97"/>
      <x:c r="K281" s="98" t="str">
        <x:f>IF($G281="核定通過","已核定",IF($G281="不納入","不納入",IF($G281="退回補件","退回補件",IF($G281="暫停","資格暫停","待主管核定"))))</x:f>
        <x:v>待主管核定</x:v>
      </x:c>
    </x:row>
    <x:row r="282">
      <x:c r="A282" s="79" t="str">
        <x:v>REQ|LJT-FILLING|COMMON-INSURANCE</x:v>
      </x:c>
      <x:c r="B282" s="79" t="str">
        <x:v>共通技能要求</x:v>
      </x:c>
      <x:c r="C282" s="79" t="str">
        <x:v>補牙</x:v>
      </x:c>
      <x:c r="D282" s="79" t="str">
        <x:v>LJT-FILLING／COMMON-INSURANCE</x:v>
      </x:c>
      <x:c r="E282" s="79" t="str">
        <x:v>待確認</x:v>
      </x:c>
      <x:c r="F282" s="79" t="str">
        <x:v>納入必備</x:v>
      </x:c>
      <x:c r="G282" s="97" t="str">
        <x:v>待核定</x:v>
      </x:c>
      <x:c r="H282" s="99"/>
      <x:c r="I282" s="97"/>
      <x:c r="J282" s="97"/>
      <x:c r="K282" s="98" t="str">
        <x:f>IF($G282="核定通過","已核定",IF($G282="不納入","不納入",IF($G282="退回補件","退回補件",IF($G282="暫停","資格暫停","待主管核定"))))</x:f>
        <x:v>待主管核定</x:v>
      </x:c>
    </x:row>
    <x:row r="283">
      <x:c r="A283" s="79" t="str">
        <x:v>REQ|LJT-FILLING|COMMON-XRAY-RECORD</x:v>
      </x:c>
      <x:c r="B283" s="79" t="str">
        <x:v>共通技能要求</x:v>
      </x:c>
      <x:c r="C283" s="79" t="str">
        <x:v>補牙</x:v>
      </x:c>
      <x:c r="D283" s="79" t="str">
        <x:v>LJT-FILLING／COMMON-XRAY-RECORD</x:v>
      </x:c>
      <x:c r="E283" s="79" t="str">
        <x:v>待確認</x:v>
      </x:c>
      <x:c r="F283" s="79" t="str">
        <x:v>納入必備</x:v>
      </x:c>
      <x:c r="G283" s="97" t="str">
        <x:v>待核定</x:v>
      </x:c>
      <x:c r="H283" s="99"/>
      <x:c r="I283" s="97"/>
      <x:c r="J283" s="97"/>
      <x:c r="K283" s="98" t="str">
        <x:f>IF($G283="核定通過","已核定",IF($G283="不納入","不納入",IF($G283="退回補件","退回補件",IF($G283="暫停","資格暫停","待主管核定"))))</x:f>
        <x:v>待主管核定</x:v>
      </x:c>
    </x:row>
    <x:row r="284">
      <x:c r="A284" s="79" t="str">
        <x:v>REQ|LJT-PERIO|COMMON-RECORD</x:v>
      </x:c>
      <x:c r="B284" s="79" t="str">
        <x:v>共通技能要求</x:v>
      </x:c>
      <x:c r="C284" s="79" t="str">
        <x:v>牙周統合</x:v>
      </x:c>
      <x:c r="D284" s="79" t="str">
        <x:v>LJT-PERIO／COMMON-RECORD</x:v>
      </x:c>
      <x:c r="E284" s="79" t="str">
        <x:v>待確認</x:v>
      </x:c>
      <x:c r="F284" s="79" t="str">
        <x:v>納入必備</x:v>
      </x:c>
      <x:c r="G284" s="97" t="str">
        <x:v>待核定</x:v>
      </x:c>
      <x:c r="H284" s="99"/>
      <x:c r="I284" s="97"/>
      <x:c r="J284" s="97"/>
      <x:c r="K284" s="98" t="str">
        <x:f>IF($G284="核定通過","已核定",IF($G284="不納入","不納入",IF($G284="退回補件","退回補件",IF($G284="暫停","資格暫停","待主管核定"))))</x:f>
        <x:v>待主管核定</x:v>
      </x:c>
    </x:row>
    <x:row r="285">
      <x:c r="A285" s="79" t="str">
        <x:v>REQ|LJT-PERIO|COMMON-INSURANCE</x:v>
      </x:c>
      <x:c r="B285" s="79" t="str">
        <x:v>共通技能要求</x:v>
      </x:c>
      <x:c r="C285" s="79" t="str">
        <x:v>牙周統合</x:v>
      </x:c>
      <x:c r="D285" s="79" t="str">
        <x:v>LJT-PERIO／COMMON-INSURANCE</x:v>
      </x:c>
      <x:c r="E285" s="79" t="str">
        <x:v>待確認</x:v>
      </x:c>
      <x:c r="F285" s="79" t="str">
        <x:v>納入必備</x:v>
      </x:c>
      <x:c r="G285" s="97" t="str">
        <x:v>待核定</x:v>
      </x:c>
      <x:c r="H285" s="99"/>
      <x:c r="I285" s="97"/>
      <x:c r="J285" s="97"/>
      <x:c r="K285" s="98" t="str">
        <x:f>IF($G285="核定通過","已核定",IF($G285="不納入","不納入",IF($G285="退回補件","退回補件",IF($G285="暫停","資格暫停","待主管核定"))))</x:f>
        <x:v>待主管核定</x:v>
      </x:c>
    </x:row>
    <x:row r="286">
      <x:c r="A286" s="79" t="str">
        <x:v>REQ|LJT-PERIO|COMMON-XRAY-RECORD</x:v>
      </x:c>
      <x:c r="B286" s="79" t="str">
        <x:v>共通技能要求</x:v>
      </x:c>
      <x:c r="C286" s="79" t="str">
        <x:v>牙周統合</x:v>
      </x:c>
      <x:c r="D286" s="79" t="str">
        <x:v>LJT-PERIO／COMMON-XRAY-RECORD</x:v>
      </x:c>
      <x:c r="E286" s="79" t="str">
        <x:v>待確認</x:v>
      </x:c>
      <x:c r="F286" s="79" t="str">
        <x:v>納入必備</x:v>
      </x:c>
      <x:c r="G286" s="97" t="str">
        <x:v>待核定</x:v>
      </x:c>
      <x:c r="H286" s="99"/>
      <x:c r="I286" s="97"/>
      <x:c r="J286" s="97"/>
      <x:c r="K286" s="98" t="str">
        <x:f>IF($G286="核定通過","已核定",IF($G286="不納入","不納入",IF($G286="退回補件","退回補件",IF($G286="暫停","資格暫停","待主管核定"))))</x:f>
        <x:v>待主管核定</x:v>
      </x:c>
    </x:row>
    <x:row r="287">
      <x:c r="A287" s="79" t="str">
        <x:v>REQ|LJT-RCT|COMMON-RECORD</x:v>
      </x:c>
      <x:c r="B287" s="79" t="str">
        <x:v>共通技能要求</x:v>
      </x:c>
      <x:c r="C287" s="79" t="str">
        <x:v>一般根管治療</x:v>
      </x:c>
      <x:c r="D287" s="79" t="str">
        <x:v>LJT-RCT／COMMON-RECORD</x:v>
      </x:c>
      <x:c r="E287" s="79" t="str">
        <x:v>待確認</x:v>
      </x:c>
      <x:c r="F287" s="79" t="str">
        <x:v>納入必備</x:v>
      </x:c>
      <x:c r="G287" s="97" t="str">
        <x:v>待核定</x:v>
      </x:c>
      <x:c r="H287" s="99"/>
      <x:c r="I287" s="97"/>
      <x:c r="J287" s="97"/>
      <x:c r="K287" s="98" t="str">
        <x:f>IF($G287="核定通過","已核定",IF($G287="不納入","不納入",IF($G287="退回補件","退回補件",IF($G287="暫停","資格暫停","待主管核定"))))</x:f>
        <x:v>待主管核定</x:v>
      </x:c>
    </x:row>
    <x:row r="288">
      <x:c r="A288" s="79" t="str">
        <x:v>REQ|LJT-RCT|COMMON-INSURANCE</x:v>
      </x:c>
      <x:c r="B288" s="79" t="str">
        <x:v>共通技能要求</x:v>
      </x:c>
      <x:c r="C288" s="79" t="str">
        <x:v>一般根管治療</x:v>
      </x:c>
      <x:c r="D288" s="79" t="str">
        <x:v>LJT-RCT／COMMON-INSURANCE</x:v>
      </x:c>
      <x:c r="E288" s="79" t="str">
        <x:v>待確認</x:v>
      </x:c>
      <x:c r="F288" s="79" t="str">
        <x:v>納入必備</x:v>
      </x:c>
      <x:c r="G288" s="97" t="str">
        <x:v>待核定</x:v>
      </x:c>
      <x:c r="H288" s="99"/>
      <x:c r="I288" s="97"/>
      <x:c r="J288" s="97"/>
      <x:c r="K288" s="98" t="str">
        <x:f>IF($G288="核定通過","已核定",IF($G288="不納入","不納入",IF($G288="退回補件","退回補件",IF($G288="暫停","資格暫停","待主管核定"))))</x:f>
        <x:v>待主管核定</x:v>
      </x:c>
    </x:row>
    <x:row r="289">
      <x:c r="A289" s="79" t="str">
        <x:v>REQ|LJT-RCT|COMMON-XRAY-RECORD</x:v>
      </x:c>
      <x:c r="B289" s="79" t="str">
        <x:v>共通技能要求</x:v>
      </x:c>
      <x:c r="C289" s="79" t="str">
        <x:v>一般根管治療</x:v>
      </x:c>
      <x:c r="D289" s="79" t="str">
        <x:v>LJT-RCT／COMMON-XRAY-RECORD</x:v>
      </x:c>
      <x:c r="E289" s="79" t="str">
        <x:v>待確認</x:v>
      </x:c>
      <x:c r="F289" s="79" t="str">
        <x:v>納入必備</x:v>
      </x:c>
      <x:c r="G289" s="97" t="str">
        <x:v>待核定</x:v>
      </x:c>
      <x:c r="H289" s="99"/>
      <x:c r="I289" s="97"/>
      <x:c r="J289" s="97"/>
      <x:c r="K289" s="98" t="str">
        <x:f>IF($G289="核定通過","已核定",IF($G289="不納入","不納入",IF($G289="退回補件","退回補件",IF($G289="暫停","資格暫停","待主管核定"))))</x:f>
        <x:v>待主管核定</x:v>
      </x:c>
    </x:row>
    <x:row r="290">
      <x:c r="A290" s="79" t="str">
        <x:v>REQ|LJT-EXTRACTION|COMMON-RECORD</x:v>
      </x:c>
      <x:c r="B290" s="79" t="str">
        <x:v>共通技能要求</x:v>
      </x:c>
      <x:c r="C290" s="79" t="str">
        <x:v>拔牙</x:v>
      </x:c>
      <x:c r="D290" s="79" t="str">
        <x:v>LJT-EXTRACTION／COMMON-RECORD</x:v>
      </x:c>
      <x:c r="E290" s="79" t="str">
        <x:v>待確認</x:v>
      </x:c>
      <x:c r="F290" s="79" t="str">
        <x:v>納入必備</x:v>
      </x:c>
      <x:c r="G290" s="97" t="str">
        <x:v>待核定</x:v>
      </x:c>
      <x:c r="H290" s="99"/>
      <x:c r="I290" s="97"/>
      <x:c r="J290" s="97"/>
      <x:c r="K290" s="98" t="str">
        <x:f>IF($G290="核定通過","已核定",IF($G290="不納入","不納入",IF($G290="退回補件","退回補件",IF($G290="暫停","資格暫停","待主管核定"))))</x:f>
        <x:v>待主管核定</x:v>
      </x:c>
    </x:row>
    <x:row r="291">
      <x:c r="A291" s="79" t="str">
        <x:v>REQ|LJT-EXTRACTION|COMMON-INSURANCE</x:v>
      </x:c>
      <x:c r="B291" s="79" t="str">
        <x:v>共通技能要求</x:v>
      </x:c>
      <x:c r="C291" s="79" t="str">
        <x:v>拔牙</x:v>
      </x:c>
      <x:c r="D291" s="79" t="str">
        <x:v>LJT-EXTRACTION／COMMON-INSURANCE</x:v>
      </x:c>
      <x:c r="E291" s="79" t="str">
        <x:v>待確認</x:v>
      </x:c>
      <x:c r="F291" s="79" t="str">
        <x:v>納入必備</x:v>
      </x:c>
      <x:c r="G291" s="97" t="str">
        <x:v>待核定</x:v>
      </x:c>
      <x:c r="H291" s="99"/>
      <x:c r="I291" s="97"/>
      <x:c r="J291" s="97"/>
      <x:c r="K291" s="98" t="str">
        <x:f>IF($G291="核定通過","已核定",IF($G291="不納入","不納入",IF($G291="退回補件","退回補件",IF($G291="暫停","資格暫停","待主管核定"))))</x:f>
        <x:v>待主管核定</x:v>
      </x:c>
    </x:row>
    <x:row r="292">
      <x:c r="A292" s="79" t="str">
        <x:v>REQ|LJT-EXTRACTION|COMMON-XRAY-RECORD</x:v>
      </x:c>
      <x:c r="B292" s="79" t="str">
        <x:v>共通技能要求</x:v>
      </x:c>
      <x:c r="C292" s="79" t="str">
        <x:v>拔牙</x:v>
      </x:c>
      <x:c r="D292" s="79" t="str">
        <x:v>LJT-EXTRACTION／COMMON-XRAY-RECORD</x:v>
      </x:c>
      <x:c r="E292" s="79" t="str">
        <x:v>待確認</x:v>
      </x:c>
      <x:c r="F292" s="79" t="str">
        <x:v>納入必備</x:v>
      </x:c>
      <x:c r="G292" s="97" t="str">
        <x:v>待核定</x:v>
      </x:c>
      <x:c r="H292" s="99"/>
      <x:c r="I292" s="97"/>
      <x:c r="J292" s="97"/>
      <x:c r="K292" s="98" t="str">
        <x:f>IF($G292="核定通過","已核定",IF($G292="不納入","不納入",IF($G292="退回補件","退回補件",IF($G292="暫停","資格暫停","待主管核定"))))</x:f>
        <x:v>待主管核定</x:v>
      </x:c>
    </x:row>
    <x:row r="293">
      <x:c r="A293" s="79" t="str">
        <x:v>REQ|LJT-CROWNPOST|COMMON-RECORD</x:v>
      </x:c>
      <x:c r="B293" s="79" t="str">
        <x:v>共通技能要求</x:v>
      </x:c>
      <x:c r="C293" s="79" t="str">
        <x:v>拆 crown/post</x:v>
      </x:c>
      <x:c r="D293" s="79" t="str">
        <x:v>LJT-CROWNPOST／COMMON-RECORD</x:v>
      </x:c>
      <x:c r="E293" s="79" t="str">
        <x:v>待確認</x:v>
      </x:c>
      <x:c r="F293" s="79" t="str">
        <x:v>納入必備</x:v>
      </x:c>
      <x:c r="G293" s="97" t="str">
        <x:v>待核定</x:v>
      </x:c>
      <x:c r="H293" s="99"/>
      <x:c r="I293" s="97"/>
      <x:c r="J293" s="97"/>
      <x:c r="K293" s="98" t="str">
        <x:f>IF($G293="核定通過","已核定",IF($G293="不納入","不納入",IF($G293="退回補件","退回補件",IF($G293="暫停","資格暫停","待主管核定"))))</x:f>
        <x:v>待主管核定</x:v>
      </x:c>
    </x:row>
    <x:row r="294">
      <x:c r="A294" s="79" t="str">
        <x:v>REQ|LJT-CROWNPOST|COMMON-INSURANCE</x:v>
      </x:c>
      <x:c r="B294" s="79" t="str">
        <x:v>共通技能要求</x:v>
      </x:c>
      <x:c r="C294" s="79" t="str">
        <x:v>拆 crown/post</x:v>
      </x:c>
      <x:c r="D294" s="79" t="str">
        <x:v>LJT-CROWNPOST／COMMON-INSURANCE</x:v>
      </x:c>
      <x:c r="E294" s="79" t="str">
        <x:v>待確認</x:v>
      </x:c>
      <x:c r="F294" s="79" t="str">
        <x:v>納入必備</x:v>
      </x:c>
      <x:c r="G294" s="97" t="str">
        <x:v>待核定</x:v>
      </x:c>
      <x:c r="H294" s="99"/>
      <x:c r="I294" s="97"/>
      <x:c r="J294" s="97"/>
      <x:c r="K294" s="98" t="str">
        <x:f>IF($G294="核定通過","已核定",IF($G294="不納入","不納入",IF($G294="退回補件","退回補件",IF($G294="暫停","資格暫停","待主管核定"))))</x:f>
        <x:v>待主管核定</x:v>
      </x:c>
    </x:row>
    <x:row r="295">
      <x:c r="A295" s="79" t="str">
        <x:v>REQ|LJT-CROWNPOST|COMMON-XRAY-RECORD</x:v>
      </x:c>
      <x:c r="B295" s="79" t="str">
        <x:v>共通技能要求</x:v>
      </x:c>
      <x:c r="C295" s="79" t="str">
        <x:v>拆 crown/post</x:v>
      </x:c>
      <x:c r="D295" s="79" t="str">
        <x:v>LJT-CROWNPOST／COMMON-XRAY-RECORD</x:v>
      </x:c>
      <x:c r="E295" s="79" t="str">
        <x:v>待確認</x:v>
      </x:c>
      <x:c r="F295" s="79" t="str">
        <x:v>納入必備</x:v>
      </x:c>
      <x:c r="G295" s="97" t="str">
        <x:v>待核定</x:v>
      </x:c>
      <x:c r="H295" s="99"/>
      <x:c r="I295" s="97"/>
      <x:c r="J295" s="97"/>
      <x:c r="K295" s="98" t="str">
        <x:f>IF($G295="核定通過","已核定",IF($G295="不納入","不納入",IF($G295="退回補件","退回補件",IF($G295="暫停","資格暫停","待主管核定"))))</x:f>
        <x:v>待主管核定</x:v>
      </x:c>
    </x:row>
    <x:row r="296">
      <x:c r="A296" s="79" t="str">
        <x:v>REQ|LJT-CROWN|COMMON-RECORD</x:v>
      </x:c>
      <x:c r="B296" s="79" t="str">
        <x:v>共通技能要求</x:v>
      </x:c>
      <x:c r="C296" s="79" t="str">
        <x:v>固定假牙</x:v>
      </x:c>
      <x:c r="D296" s="79" t="str">
        <x:v>LJT-CROWN／COMMON-RECORD</x:v>
      </x:c>
      <x:c r="E296" s="79" t="str">
        <x:v>待確認</x:v>
      </x:c>
      <x:c r="F296" s="79" t="str">
        <x:v>納入必備</x:v>
      </x:c>
      <x:c r="G296" s="97" t="str">
        <x:v>待核定</x:v>
      </x:c>
      <x:c r="H296" s="99"/>
      <x:c r="I296" s="97"/>
      <x:c r="J296" s="97"/>
      <x:c r="K296" s="98" t="str">
        <x:f>IF($G296="核定通過","已核定",IF($G296="不納入","不納入",IF($G296="退回補件","退回補件",IF($G296="暫停","資格暫停","待主管核定"))))</x:f>
        <x:v>待主管核定</x:v>
      </x:c>
    </x:row>
    <x:row r="297">
      <x:c r="A297" s="79" t="str">
        <x:v>REQ|LJT-CROWN|COMMON-INSURANCE</x:v>
      </x:c>
      <x:c r="B297" s="79" t="str">
        <x:v>共通技能要求</x:v>
      </x:c>
      <x:c r="C297" s="79" t="str">
        <x:v>固定假牙</x:v>
      </x:c>
      <x:c r="D297" s="79" t="str">
        <x:v>LJT-CROWN／COMMON-INSURANCE</x:v>
      </x:c>
      <x:c r="E297" s="79" t="str">
        <x:v>待確認</x:v>
      </x:c>
      <x:c r="F297" s="79" t="str">
        <x:v>納入必備</x:v>
      </x:c>
      <x:c r="G297" s="97" t="str">
        <x:v>待核定</x:v>
      </x:c>
      <x:c r="H297" s="99"/>
      <x:c r="I297" s="97"/>
      <x:c r="J297" s="97"/>
      <x:c r="K297" s="98" t="str">
        <x:f>IF($G297="核定通過","已核定",IF($G297="不納入","不納入",IF($G297="退回補件","退回補件",IF($G297="暫停","資格暫停","待主管核定"))))</x:f>
        <x:v>待主管核定</x:v>
      </x:c>
    </x:row>
    <x:row r="298">
      <x:c r="A298" s="79" t="str">
        <x:v>REQ|LJT-CROWN|COMMON-XRAY-RECORD</x:v>
      </x:c>
      <x:c r="B298" s="79" t="str">
        <x:v>共通技能要求</x:v>
      </x:c>
      <x:c r="C298" s="79" t="str">
        <x:v>固定假牙</x:v>
      </x:c>
      <x:c r="D298" s="79" t="str">
        <x:v>LJT-CROWN／COMMON-XRAY-RECORD</x:v>
      </x:c>
      <x:c r="E298" s="79" t="str">
        <x:v>待確認</x:v>
      </x:c>
      <x:c r="F298" s="79" t="str">
        <x:v>納入必備</x:v>
      </x:c>
      <x:c r="G298" s="97" t="str">
        <x:v>待核定</x:v>
      </x:c>
      <x:c r="H298" s="99"/>
      <x:c r="I298" s="97"/>
      <x:c r="J298" s="97"/>
      <x:c r="K298" s="98" t="str">
        <x:f>IF($G298="核定通過","已核定",IF($G298="不納入","不納入",IF($G298="退回補件","退回補件",IF($G298="暫停","資格暫停","待主管核定"))))</x:f>
        <x:v>待主管核定</x:v>
      </x:c>
    </x:row>
    <x:row r="299">
      <x:c r="A299" s="79" t="str">
        <x:v>REQ|LJT-RPD|COMMON-RECORD</x:v>
      </x:c>
      <x:c r="B299" s="79" t="str">
        <x:v>共通技能要求</x:v>
      </x:c>
      <x:c r="C299" s="79" t="str">
        <x:v>RPD</x:v>
      </x:c>
      <x:c r="D299" s="79" t="str">
        <x:v>LJT-RPD／COMMON-RECORD</x:v>
      </x:c>
      <x:c r="E299" s="79" t="str">
        <x:v>待確認</x:v>
      </x:c>
      <x:c r="F299" s="79" t="str">
        <x:v>納入必備</x:v>
      </x:c>
      <x:c r="G299" s="97" t="str">
        <x:v>待核定</x:v>
      </x:c>
      <x:c r="H299" s="99"/>
      <x:c r="I299" s="97"/>
      <x:c r="J299" s="97"/>
      <x:c r="K299" s="98" t="str">
        <x:f>IF($G299="核定通過","已核定",IF($G299="不納入","不納入",IF($G299="退回補件","退回補件",IF($G299="暫停","資格暫停","待主管核定"))))</x:f>
        <x:v>待主管核定</x:v>
      </x:c>
    </x:row>
    <x:row r="300">
      <x:c r="A300" s="79" t="str">
        <x:v>REQ|LJT-RPD|COMMON-INSURANCE</x:v>
      </x:c>
      <x:c r="B300" s="79" t="str">
        <x:v>共通技能要求</x:v>
      </x:c>
      <x:c r="C300" s="79" t="str">
        <x:v>RPD</x:v>
      </x:c>
      <x:c r="D300" s="79" t="str">
        <x:v>LJT-RPD／COMMON-INSURANCE</x:v>
      </x:c>
      <x:c r="E300" s="79" t="str">
        <x:v>待確認</x:v>
      </x:c>
      <x:c r="F300" s="79" t="str">
        <x:v>納入必備</x:v>
      </x:c>
      <x:c r="G300" s="97" t="str">
        <x:v>待核定</x:v>
      </x:c>
      <x:c r="H300" s="99"/>
      <x:c r="I300" s="97"/>
      <x:c r="J300" s="97"/>
      <x:c r="K300" s="98" t="str">
        <x:f>IF($G300="核定通過","已核定",IF($G300="不納入","不納入",IF($G300="退回補件","退回補件",IF($G300="暫停","資格暫停","待主管核定"))))</x:f>
        <x:v>待主管核定</x:v>
      </x:c>
    </x:row>
    <x:row r="301">
      <x:c r="A301" s="79" t="str">
        <x:v>REQ|LJT-RPD|COMMON-XRAY-RECORD</x:v>
      </x:c>
      <x:c r="B301" s="79" t="str">
        <x:v>共通技能要求</x:v>
      </x:c>
      <x:c r="C301" s="79" t="str">
        <x:v>RPD</x:v>
      </x:c>
      <x:c r="D301" s="79" t="str">
        <x:v>LJT-RPD／COMMON-XRAY-RECORD</x:v>
      </x:c>
      <x:c r="E301" s="79" t="str">
        <x:v>待確認</x:v>
      </x:c>
      <x:c r="F301" s="79" t="str">
        <x:v>納入必備</x:v>
      </x:c>
      <x:c r="G301" s="97" t="str">
        <x:v>待核定</x:v>
      </x:c>
      <x:c r="H301" s="99"/>
      <x:c r="I301" s="97"/>
      <x:c r="J301" s="97"/>
      <x:c r="K301" s="98" t="str">
        <x:f>IF($G301="核定通過","已核定",IF($G301="不納入","不納入",IF($G301="退回補件","退回補件",IF($G301="暫停","資格暫停","待主管核定"))))</x:f>
        <x:v>待主管核定</x:v>
      </x:c>
    </x:row>
    <x:row r="302">
      <x:c r="A302" s="79" t="str">
        <x:v>REQ|LJT-RPD-FINAL|COMMON-RECORD</x:v>
      </x:c>
      <x:c r="B302" s="79" t="str">
        <x:v>共通技能要求</x:v>
      </x:c>
      <x:c r="C302" s="79" t="str">
        <x:v>RPD</x:v>
      </x:c>
      <x:c r="D302" s="79" t="str">
        <x:v>LJT-RPD-FINAL／COMMON-RECORD</x:v>
      </x:c>
      <x:c r="E302" s="79" t="str">
        <x:v>待確認</x:v>
      </x:c>
      <x:c r="F302" s="79" t="str">
        <x:v>納入必備</x:v>
      </x:c>
      <x:c r="G302" s="97" t="str">
        <x:v>待核定</x:v>
      </x:c>
      <x:c r="H302" s="99"/>
      <x:c r="I302" s="97"/>
      <x:c r="J302" s="97"/>
      <x:c r="K302" s="98" t="str">
        <x:f>IF($G302="核定通過","已核定",IF($G302="不納入","不納入",IF($G302="退回補件","退回補件",IF($G302="暫停","資格暫停","待主管核定"))))</x:f>
        <x:v>待主管核定</x:v>
      </x:c>
    </x:row>
    <x:row r="303">
      <x:c r="A303" s="79" t="str">
        <x:v>REQ|LJT-RPD-FINAL|COMMON-INSURANCE</x:v>
      </x:c>
      <x:c r="B303" s="79" t="str">
        <x:v>共通技能要求</x:v>
      </x:c>
      <x:c r="C303" s="79" t="str">
        <x:v>RPD</x:v>
      </x:c>
      <x:c r="D303" s="79" t="str">
        <x:v>LJT-RPD-FINAL／COMMON-INSURANCE</x:v>
      </x:c>
      <x:c r="E303" s="79" t="str">
        <x:v>待確認</x:v>
      </x:c>
      <x:c r="F303" s="79" t="str">
        <x:v>納入必備</x:v>
      </x:c>
      <x:c r="G303" s="97" t="str">
        <x:v>待核定</x:v>
      </x:c>
      <x:c r="H303" s="99"/>
      <x:c r="I303" s="97"/>
      <x:c r="J303" s="97"/>
      <x:c r="K303" s="98" t="str">
        <x:f>IF($G303="核定通過","已核定",IF($G303="不納入","不納入",IF($G303="退回補件","退回補件",IF($G303="暫停","資格暫停","待主管核定"))))</x:f>
        <x:v>待主管核定</x:v>
      </x:c>
    </x:row>
    <x:row r="304">
      <x:c r="A304" s="79" t="str">
        <x:v>REQ|LJT-RPD-FINAL|COMMON-XRAY-RECORD</x:v>
      </x:c>
      <x:c r="B304" s="79" t="str">
        <x:v>共通技能要求</x:v>
      </x:c>
      <x:c r="C304" s="79" t="str">
        <x:v>RPD</x:v>
      </x:c>
      <x:c r="D304" s="79" t="str">
        <x:v>LJT-RPD-FINAL／COMMON-XRAY-RECORD</x:v>
      </x:c>
      <x:c r="E304" s="79" t="str">
        <x:v>待確認</x:v>
      </x:c>
      <x:c r="F304" s="79" t="str">
        <x:v>納入必備</x:v>
      </x:c>
      <x:c r="G304" s="97" t="str">
        <x:v>待核定</x:v>
      </x:c>
      <x:c r="H304" s="99"/>
      <x:c r="I304" s="97"/>
      <x:c r="J304" s="97"/>
      <x:c r="K304" s="98" t="str">
        <x:f>IF($G304="核定通過","已核定",IF($G304="不納入","不納入",IF($G304="退回補件","退回補件",IF($G304="暫停","資格暫停","待主管核定"))))</x:f>
        <x:v>待主管核定</x:v>
      </x:c>
    </x:row>
    <x:row r="305">
      <x:c r="A305" s="79" t="str">
        <x:v>REQ|LJT-AIRPOLISH|COMMON-RECORD</x:v>
      </x:c>
      <x:c r="B305" s="79" t="str">
        <x:v>共通技能要求</x:v>
      </x:c>
      <x:c r="C305" s="79" t="str">
        <x:v>噴砂美白</x:v>
      </x:c>
      <x:c r="D305" s="79" t="str">
        <x:v>LJT-AIRPOLISH／COMMON-RECORD</x:v>
      </x:c>
      <x:c r="E305" s="79" t="str">
        <x:v>待確認</x:v>
      </x:c>
      <x:c r="F305" s="79" t="str">
        <x:v>納入必備</x:v>
      </x:c>
      <x:c r="G305" s="97" t="str">
        <x:v>待核定</x:v>
      </x:c>
      <x:c r="H305" s="99"/>
      <x:c r="I305" s="97"/>
      <x:c r="J305" s="97"/>
      <x:c r="K305" s="98" t="str">
        <x:f>IF($G305="核定通過","已核定",IF($G305="不納入","不納入",IF($G305="退回補件","退回補件",IF($G305="暫停","資格暫停","待主管核定"))))</x:f>
        <x:v>待主管核定</x:v>
      </x:c>
    </x:row>
    <x:row r="306">
      <x:c r="A306" s="79" t="str">
        <x:v>REQ|LJT-AIRPOLISH|COMMON-INSURANCE</x:v>
      </x:c>
      <x:c r="B306" s="79" t="str">
        <x:v>共通技能要求</x:v>
      </x:c>
      <x:c r="C306" s="79" t="str">
        <x:v>噴砂美白</x:v>
      </x:c>
      <x:c r="D306" s="79" t="str">
        <x:v>LJT-AIRPOLISH／COMMON-INSURANCE</x:v>
      </x:c>
      <x:c r="E306" s="79" t="str">
        <x:v>待確認</x:v>
      </x:c>
      <x:c r="F306" s="79" t="str">
        <x:v>納入必備</x:v>
      </x:c>
      <x:c r="G306" s="97" t="str">
        <x:v>待核定</x:v>
      </x:c>
      <x:c r="H306" s="99"/>
      <x:c r="I306" s="97"/>
      <x:c r="J306" s="97"/>
      <x:c r="K306" s="98" t="str">
        <x:f>IF($G306="核定通過","已核定",IF($G306="不納入","不納入",IF($G306="退回補件","退回補件",IF($G306="暫停","資格暫停","待主管核定"))))</x:f>
        <x:v>待主管核定</x:v>
      </x:c>
    </x:row>
    <x:row r="307">
      <x:c r="A307" s="79" t="str">
        <x:v>REQ|LJT-AIRPOLISH|COMMON-XRAY-RECORD</x:v>
      </x:c>
      <x:c r="B307" s="79" t="str">
        <x:v>共通技能要求</x:v>
      </x:c>
      <x:c r="C307" s="79" t="str">
        <x:v>噴砂美白</x:v>
      </x:c>
      <x:c r="D307" s="79" t="str">
        <x:v>LJT-AIRPOLISH／COMMON-XRAY-RECORD</x:v>
      </x:c>
      <x:c r="E307" s="79" t="str">
        <x:v>待確認</x:v>
      </x:c>
      <x:c r="F307" s="79" t="str">
        <x:v>納入必備</x:v>
      </x:c>
      <x:c r="G307" s="97" t="str">
        <x:v>待核定</x:v>
      </x:c>
      <x:c r="H307" s="99"/>
      <x:c r="I307" s="97"/>
      <x:c r="J307" s="97"/>
      <x:c r="K307" s="98" t="str">
        <x:f>IF($G307="核定通過","已核定",IF($G307="不納入","不納入",IF($G307="退回補件","退回補件",IF($G307="暫停","資格暫停","待主管核定"))))</x:f>
        <x:v>待主管核定</x:v>
      </x:c>
    </x:row>
    <x:row r="308">
      <x:c r="A308" s="79" t="str">
        <x:v>REQ|LJT-PERIOSURG|COMMON-RECORD</x:v>
      </x:c>
      <x:c r="B308" s="79" t="str">
        <x:v>共通技能要求</x:v>
      </x:c>
      <x:c r="C308" s="79" t="str">
        <x:v>牙周手術</x:v>
      </x:c>
      <x:c r="D308" s="79" t="str">
        <x:v>LJT-PERIOSURG／COMMON-RECORD</x:v>
      </x:c>
      <x:c r="E308" s="79" t="str">
        <x:v>待確認</x:v>
      </x:c>
      <x:c r="F308" s="79" t="str">
        <x:v>納入必備</x:v>
      </x:c>
      <x:c r="G308" s="97" t="str">
        <x:v>待核定</x:v>
      </x:c>
      <x:c r="H308" s="99"/>
      <x:c r="I308" s="97"/>
      <x:c r="J308" s="97"/>
      <x:c r="K308" s="98" t="str">
        <x:f>IF($G308="核定通過","已核定",IF($G308="不納入","不納入",IF($G308="退回補件","退回補件",IF($G308="暫停","資格暫停","待主管核定"))))</x:f>
        <x:v>待主管核定</x:v>
      </x:c>
    </x:row>
    <x:row r="309">
      <x:c r="A309" s="79" t="str">
        <x:v>REQ|LJT-PERIOSURG|COMMON-INSURANCE</x:v>
      </x:c>
      <x:c r="B309" s="79" t="str">
        <x:v>共通技能要求</x:v>
      </x:c>
      <x:c r="C309" s="79" t="str">
        <x:v>牙周手術</x:v>
      </x:c>
      <x:c r="D309" s="79" t="str">
        <x:v>LJT-PERIOSURG／COMMON-INSURANCE</x:v>
      </x:c>
      <x:c r="E309" s="79" t="str">
        <x:v>待確認</x:v>
      </x:c>
      <x:c r="F309" s="79" t="str">
        <x:v>納入必備</x:v>
      </x:c>
      <x:c r="G309" s="97" t="str">
        <x:v>待核定</x:v>
      </x:c>
      <x:c r="H309" s="99"/>
      <x:c r="I309" s="97"/>
      <x:c r="J309" s="97"/>
      <x:c r="K309" s="98" t="str">
        <x:f>IF($G309="核定通過","已核定",IF($G309="不納入","不納入",IF($G309="退回補件","退回補件",IF($G309="暫停","資格暫停","待主管核定"))))</x:f>
        <x:v>待主管核定</x:v>
      </x:c>
    </x:row>
    <x:row r="310">
      <x:c r="A310" s="79" t="str">
        <x:v>REQ|LJT-PERIOSURG|COMMON-XRAY-RECORD</x:v>
      </x:c>
      <x:c r="B310" s="79" t="str">
        <x:v>共通技能要求</x:v>
      </x:c>
      <x:c r="C310" s="79" t="str">
        <x:v>牙周手術</x:v>
      </x:c>
      <x:c r="D310" s="79" t="str">
        <x:v>LJT-PERIOSURG／COMMON-XRAY-RECORD</x:v>
      </x:c>
      <x:c r="E310" s="79" t="str">
        <x:v>待確認</x:v>
      </x:c>
      <x:c r="F310" s="79" t="str">
        <x:v>納入必備</x:v>
      </x:c>
      <x:c r="G310" s="97" t="str">
        <x:v>待核定</x:v>
      </x:c>
      <x:c r="H310" s="99"/>
      <x:c r="I310" s="97"/>
      <x:c r="J310" s="97"/>
      <x:c r="K310" s="98" t="str">
        <x:f>IF($G310="核定通過","已核定",IF($G310="不納入","不納入",IF($G310="退回補件","退回補件",IF($G310="暫停","資格暫停","待主管核定"))))</x:f>
        <x:v>待主管核定</x:v>
      </x:c>
    </x:row>
    <x:row r="311">
      <x:c r="A311" s="79" t="str">
        <x:v>REQ|LJT-MICROENDO|COMMON-RECORD</x:v>
      </x:c>
      <x:c r="B311" s="79" t="str">
        <x:v>共通技能要求</x:v>
      </x:c>
      <x:c r="C311" s="79" t="str">
        <x:v>顯微根管</x:v>
      </x:c>
      <x:c r="D311" s="79" t="str">
        <x:v>LJT-MICROENDO／COMMON-RECORD</x:v>
      </x:c>
      <x:c r="E311" s="79" t="str">
        <x:v>待確認</x:v>
      </x:c>
      <x:c r="F311" s="79" t="str">
        <x:v>納入必備</x:v>
      </x:c>
      <x:c r="G311" s="97" t="str">
        <x:v>待核定</x:v>
      </x:c>
      <x:c r="H311" s="99"/>
      <x:c r="I311" s="97"/>
      <x:c r="J311" s="97"/>
      <x:c r="K311" s="98" t="str">
        <x:f>IF($G311="核定通過","已核定",IF($G311="不納入","不納入",IF($G311="退回補件","退回補件",IF($G311="暫停","資格暫停","待主管核定"))))</x:f>
        <x:v>待主管核定</x:v>
      </x:c>
    </x:row>
    <x:row r="312">
      <x:c r="A312" s="79" t="str">
        <x:v>REQ|LJT-MICROENDO|COMMON-INSURANCE</x:v>
      </x:c>
      <x:c r="B312" s="79" t="str">
        <x:v>共通技能要求</x:v>
      </x:c>
      <x:c r="C312" s="79" t="str">
        <x:v>顯微根管</x:v>
      </x:c>
      <x:c r="D312" s="79" t="str">
        <x:v>LJT-MICROENDO／COMMON-INSURANCE</x:v>
      </x:c>
      <x:c r="E312" s="79" t="str">
        <x:v>待確認</x:v>
      </x:c>
      <x:c r="F312" s="79" t="str">
        <x:v>納入必備</x:v>
      </x:c>
      <x:c r="G312" s="97" t="str">
        <x:v>待核定</x:v>
      </x:c>
      <x:c r="H312" s="99"/>
      <x:c r="I312" s="97"/>
      <x:c r="J312" s="97"/>
      <x:c r="K312" s="98" t="str">
        <x:f>IF($G312="核定通過","已核定",IF($G312="不納入","不納入",IF($G312="退回補件","退回補件",IF($G312="暫停","資格暫停","待主管核定"))))</x:f>
        <x:v>待主管核定</x:v>
      </x:c>
    </x:row>
    <x:row r="313">
      <x:c r="A313" s="79" t="str">
        <x:v>REQ|LJT-MICROENDO|COMMON-XRAY-RECORD</x:v>
      </x:c>
      <x:c r="B313" s="79" t="str">
        <x:v>共通技能要求</x:v>
      </x:c>
      <x:c r="C313" s="79" t="str">
        <x:v>顯微根管</x:v>
      </x:c>
      <x:c r="D313" s="79" t="str">
        <x:v>LJT-MICROENDO／COMMON-XRAY-RECORD</x:v>
      </x:c>
      <x:c r="E313" s="79" t="str">
        <x:v>待確認</x:v>
      </x:c>
      <x:c r="F313" s="79" t="str">
        <x:v>納入必備</x:v>
      </x:c>
      <x:c r="G313" s="97" t="str">
        <x:v>待核定</x:v>
      </x:c>
      <x:c r="H313" s="99"/>
      <x:c r="I313" s="97"/>
      <x:c r="J313" s="97"/>
      <x:c r="K313" s="98" t="str">
        <x:f>IF($G313="核定通過","已核定",IF($G313="不納入","不納入",IF($G313="退回補件","退回補件",IF($G313="暫停","資格暫停","待主管核定"))))</x:f>
        <x:v>待主管核定</x:v>
      </x:c>
    </x:row>
    <x:row r="314">
      <x:c r="A314" s="79" t="str">
        <x:v>REQ|LJT-IMPLANT|COMMON-RECORD</x:v>
      </x:c>
      <x:c r="B314" s="79" t="str">
        <x:v>共通技能要求</x:v>
      </x:c>
      <x:c r="C314" s="79" t="str">
        <x:v>植牙</x:v>
      </x:c>
      <x:c r="D314" s="79" t="str">
        <x:v>LJT-IMPLANT／COMMON-RECORD</x:v>
      </x:c>
      <x:c r="E314" s="79" t="str">
        <x:v>待確認</x:v>
      </x:c>
      <x:c r="F314" s="79" t="str">
        <x:v>納入必備</x:v>
      </x:c>
      <x:c r="G314" s="97" t="str">
        <x:v>待核定</x:v>
      </x:c>
      <x:c r="H314" s="99"/>
      <x:c r="I314" s="97"/>
      <x:c r="J314" s="97"/>
      <x:c r="K314" s="98" t="str">
        <x:f>IF($G314="核定通過","已核定",IF($G314="不納入","不納入",IF($G314="退回補件","退回補件",IF($G314="暫停","資格暫停","待主管核定"))))</x:f>
        <x:v>待主管核定</x:v>
      </x:c>
    </x:row>
    <x:row r="315">
      <x:c r="A315" s="79" t="str">
        <x:v>REQ|LJT-IMPLANT|COMMON-INSURANCE</x:v>
      </x:c>
      <x:c r="B315" s="79" t="str">
        <x:v>共通技能要求</x:v>
      </x:c>
      <x:c r="C315" s="79" t="str">
        <x:v>植牙</x:v>
      </x:c>
      <x:c r="D315" s="79" t="str">
        <x:v>LJT-IMPLANT／COMMON-INSURANCE</x:v>
      </x:c>
      <x:c r="E315" s="79" t="str">
        <x:v>待確認</x:v>
      </x:c>
      <x:c r="F315" s="79" t="str">
        <x:v>納入必備</x:v>
      </x:c>
      <x:c r="G315" s="97" t="str">
        <x:v>待核定</x:v>
      </x:c>
      <x:c r="H315" s="99"/>
      <x:c r="I315" s="97"/>
      <x:c r="J315" s="97"/>
      <x:c r="K315" s="98" t="str">
        <x:f>IF($G315="核定通過","已核定",IF($G315="不納入","不納入",IF($G315="退回補件","退回補件",IF($G315="暫停","資格暫停","待主管核定"))))</x:f>
        <x:v>待主管核定</x:v>
      </x:c>
    </x:row>
    <x:row r="316">
      <x:c r="A316" s="79" t="str">
        <x:v>REQ|LJT-IMPLANT|COMMON-XRAY-RECORD</x:v>
      </x:c>
      <x:c r="B316" s="79" t="str">
        <x:v>共通技能要求</x:v>
      </x:c>
      <x:c r="C316" s="79" t="str">
        <x:v>植牙</x:v>
      </x:c>
      <x:c r="D316" s="79" t="str">
        <x:v>LJT-IMPLANT／COMMON-XRAY-RECORD</x:v>
      </x:c>
      <x:c r="E316" s="79" t="str">
        <x:v>待確認</x:v>
      </x:c>
      <x:c r="F316" s="79" t="str">
        <x:v>納入必備</x:v>
      </x:c>
      <x:c r="G316" s="97" t="str">
        <x:v>待核定</x:v>
      </x:c>
      <x:c r="H316" s="99"/>
      <x:c r="I316" s="97"/>
      <x:c r="J316" s="97"/>
      <x:c r="K316" s="98" t="str">
        <x:f>IF($G316="核定通過","已核定",IF($G316="不納入","不納入",IF($G316="退回補件","退回補件",IF($G316="暫停","資格暫停","待主管核定"))))</x:f>
        <x:v>待主管核定</x:v>
      </x:c>
    </x:row>
    <x:row r="317">
      <x:c r="A317" s="79" t="str">
        <x:v>QUAL|1001|LJT-PREP-PERIOSURG</x:v>
      </x:c>
      <x:c r="B317" s="79" t="str">
        <x:v>資格有效性</x:v>
      </x:c>
      <x:c r="C317" s="79" t="str"/>
      <x:c r="D317" s="79" t="str">
        <x:v>LJT-PREP-PERIOSURG</x:v>
      </x:c>
      <x:c r="E317" s="79" t="str">
        <x:v>待主管核定</x:v>
      </x:c>
      <x:c r="F317" s="79" t="str">
        <x:v>◎</x:v>
      </x:c>
      <x:c r="G317" s="97" t="str">
        <x:v>待核定</x:v>
      </x:c>
      <x:c r="H317" s="99"/>
      <x:c r="I317" s="97"/>
      <x:c r="J317" s="97"/>
      <x:c r="K317" s="98" t="str">
        <x:f>IF($G317="核定通過","已核定",IF($G317="不納入","不納入",IF($G317="退回補件","退回補件",IF($G317="暫停","資格暫停","待主管核定"))))</x:f>
        <x:v>待主管核定</x:v>
      </x:c>
    </x:row>
    <x:row r="318">
      <x:c r="A318" s="79" t="str">
        <x:v>QUAL|1001|LJT-PREP-MICROENDO</x:v>
      </x:c>
      <x:c r="B318" s="79" t="str">
        <x:v>資格有效性</x:v>
      </x:c>
      <x:c r="C318" s="79" t="str"/>
      <x:c r="D318" s="79" t="str">
        <x:v>LJT-PREP-MICROENDO</x:v>
      </x:c>
      <x:c r="E318" s="79" t="str">
        <x:v>待主管核定</x:v>
      </x:c>
      <x:c r="F318" s="79" t="str">
        <x:v>◎</x:v>
      </x:c>
      <x:c r="G318" s="97" t="str">
        <x:v>待核定</x:v>
      </x:c>
      <x:c r="H318" s="99"/>
      <x:c r="I318" s="97"/>
      <x:c r="J318" s="97"/>
      <x:c r="K318" s="98" t="str">
        <x:f>IF($G318="核定通過","已核定",IF($G318="不納入","不納入",IF($G318="退回補件","退回補件",IF($G318="暫停","資格暫停","待主管核定"))))</x:f>
        <x:v>待主管核定</x:v>
      </x:c>
    </x:row>
    <x:row r="319">
      <x:c r="A319" s="79" t="str">
        <x:v>QUAL|1001|LJT-PREP-IMPLANT</x:v>
      </x:c>
      <x:c r="B319" s="79" t="str">
        <x:v>資格有效性</x:v>
      </x:c>
      <x:c r="C319" s="79" t="str"/>
      <x:c r="D319" s="79" t="str">
        <x:v>LJT-PREP-IMPLANT</x:v>
      </x:c>
      <x:c r="E319" s="79" t="str">
        <x:v>待主管核定</x:v>
      </x:c>
      <x:c r="F319" s="79" t="str">
        <x:v>◎</x:v>
      </x:c>
      <x:c r="G319" s="97" t="str">
        <x:v>待核定</x:v>
      </x:c>
      <x:c r="H319" s="99"/>
      <x:c r="I319" s="97"/>
      <x:c r="J319" s="97"/>
      <x:c r="K319" s="98" t="str">
        <x:f>IF($G319="核定通過","已核定",IF($G319="不納入","不納入",IF($G319="退回補件","退回補件",IF($G319="暫停","資格暫停","待主管核定"))))</x:f>
        <x:v>待主管核定</x:v>
      </x:c>
    </x:row>
    <x:row r="320">
      <x:c r="A320" s="79" t="str">
        <x:v>QUAL|1001|LJT-RPD-FINAL</x:v>
      </x:c>
      <x:c r="B320" s="79" t="str">
        <x:v>資格有效性</x:v>
      </x:c>
      <x:c r="C320" s="79" t="str"/>
      <x:c r="D320" s="79" t="str">
        <x:v>LJT-RPD-FINAL</x:v>
      </x:c>
      <x:c r="E320" s="79" t="str">
        <x:v>未建立</x:v>
      </x:c>
      <x:c r="F320" s="79" t="str">
        <x:v>未評估</x:v>
      </x:c>
      <x:c r="G320" s="97" t="str">
        <x:v>待核定</x:v>
      </x:c>
      <x:c r="H320" s="99"/>
      <x:c r="I320" s="97"/>
      <x:c r="J320" s="97"/>
      <x:c r="K320" s="98" t="str">
        <x:f>IF($G320="核定通過","已核定",IF($G320="不納入","不納入",IF($G320="退回補件","退回補件",IF($G320="暫停","資格暫停","待主管核定"))))</x:f>
        <x:v>待主管核定</x:v>
      </x:c>
    </x:row>
    <x:row r="321">
      <x:c r="A321" s="79" t="str">
        <x:v>QUAL|1004|LJT-PREP-PERIOSURG</x:v>
      </x:c>
      <x:c r="B321" s="79" t="str">
        <x:v>資格有效性</x:v>
      </x:c>
      <x:c r="C321" s="79" t="str"/>
      <x:c r="D321" s="79" t="str">
        <x:v>LJT-PREP-PERIOSURG</x:v>
      </x:c>
      <x:c r="E321" s="79" t="str">
        <x:v>待主管核定</x:v>
      </x:c>
      <x:c r="F321" s="79" t="str">
        <x:v>◎</x:v>
      </x:c>
      <x:c r="G321" s="97" t="str">
        <x:v>待核定</x:v>
      </x:c>
      <x:c r="H321" s="99"/>
      <x:c r="I321" s="97"/>
      <x:c r="J321" s="97"/>
      <x:c r="K321" s="98" t="str">
        <x:f>IF($G321="核定通過","已核定",IF($G321="不納入","不納入",IF($G321="退回補件","退回補件",IF($G321="暫停","資格暫停","待主管核定"))))</x:f>
        <x:v>待主管核定</x:v>
      </x:c>
    </x:row>
    <x:row r="322">
      <x:c r="A322" s="79" t="str">
        <x:v>QUAL|1004|LJT-PREP-MICROENDO</x:v>
      </x:c>
      <x:c r="B322" s="79" t="str">
        <x:v>資格有效性</x:v>
      </x:c>
      <x:c r="C322" s="79" t="str"/>
      <x:c r="D322" s="79" t="str">
        <x:v>LJT-PREP-MICROENDO</x:v>
      </x:c>
      <x:c r="E322" s="79" t="str">
        <x:v>待主管核定</x:v>
      </x:c>
      <x:c r="F322" s="79" t="str">
        <x:v>◎</x:v>
      </x:c>
      <x:c r="G322" s="97" t="str">
        <x:v>待核定</x:v>
      </x:c>
      <x:c r="H322" s="99"/>
      <x:c r="I322" s="97"/>
      <x:c r="J322" s="97"/>
      <x:c r="K322" s="98" t="str">
        <x:f>IF($G322="核定通過","已核定",IF($G322="不納入","不納入",IF($G322="退回補件","退回補件",IF($G322="暫停","資格暫停","待主管核定"))))</x:f>
        <x:v>待主管核定</x:v>
      </x:c>
    </x:row>
    <x:row r="323">
      <x:c r="A323" s="79" t="str">
        <x:v>QUAL|1004|LJT-PREP-IMPLANT</x:v>
      </x:c>
      <x:c r="B323" s="79" t="str">
        <x:v>資格有效性</x:v>
      </x:c>
      <x:c r="C323" s="79" t="str"/>
      <x:c r="D323" s="79" t="str">
        <x:v>LJT-PREP-IMPLANT</x:v>
      </x:c>
      <x:c r="E323" s="79" t="str">
        <x:v>待主管核定</x:v>
      </x:c>
      <x:c r="F323" s="79" t="str">
        <x:v>◎</x:v>
      </x:c>
      <x:c r="G323" s="97" t="str">
        <x:v>待核定</x:v>
      </x:c>
      <x:c r="H323" s="99"/>
      <x:c r="I323" s="97"/>
      <x:c r="J323" s="97"/>
      <x:c r="K323" s="98" t="str">
        <x:f>IF($G323="核定通過","已核定",IF($G323="不納入","不納入",IF($G323="退回補件","退回補件",IF($G323="暫停","資格暫停","待主管核定"))))</x:f>
        <x:v>待主管核定</x:v>
      </x:c>
    </x:row>
    <x:row r="324">
      <x:c r="A324" s="79" t="str">
        <x:v>QUAL|1004|LJT-RPD-FINAL</x:v>
      </x:c>
      <x:c r="B324" s="79" t="str">
        <x:v>資格有效性</x:v>
      </x:c>
      <x:c r="C324" s="79" t="str"/>
      <x:c r="D324" s="79" t="str">
        <x:v>LJT-RPD-FINAL</x:v>
      </x:c>
      <x:c r="E324" s="79" t="str">
        <x:v>未建立</x:v>
      </x:c>
      <x:c r="F324" s="79" t="str">
        <x:v>未評估</x:v>
      </x:c>
      <x:c r="G324" s="97" t="str">
        <x:v>待核定</x:v>
      </x:c>
      <x:c r="H324" s="99"/>
      <x:c r="I324" s="97"/>
      <x:c r="J324" s="97"/>
      <x:c r="K324" s="98" t="str">
        <x:f>IF($G324="核定通過","已核定",IF($G324="不納入","不納入",IF($G324="退回補件","退回補件",IF($G324="暫停","資格暫停","待主管核定"))))</x:f>
        <x:v>待主管核定</x:v>
      </x:c>
    </x:row>
    <x:row r="325">
      <x:c r="A325" s="79" t="str">
        <x:v>QUAL|1013|LJT-PREP-PERIOSURG</x:v>
      </x:c>
      <x:c r="B325" s="79" t="str">
        <x:v>資格有效性</x:v>
      </x:c>
      <x:c r="C325" s="79" t="str"/>
      <x:c r="D325" s="79" t="str">
        <x:v>LJT-PREP-PERIOSURG</x:v>
      </x:c>
      <x:c r="E325" s="79" t="str">
        <x:v>待主管核定</x:v>
      </x:c>
      <x:c r="F325" s="79" t="str">
        <x:v>◎</x:v>
      </x:c>
      <x:c r="G325" s="97" t="str">
        <x:v>待核定</x:v>
      </x:c>
      <x:c r="H325" s="99"/>
      <x:c r="I325" s="97"/>
      <x:c r="J325" s="97"/>
      <x:c r="K325" s="98" t="str">
        <x:f>IF($G325="核定通過","已核定",IF($G325="不納入","不納入",IF($G325="退回補件","退回補件",IF($G325="暫停","資格暫停","待主管核定"))))</x:f>
        <x:v>待主管核定</x:v>
      </x:c>
    </x:row>
    <x:row r="326">
      <x:c r="A326" s="79" t="str">
        <x:v>QUAL|1013|LJT-PREP-MICROENDO</x:v>
      </x:c>
      <x:c r="B326" s="79" t="str">
        <x:v>資格有效性</x:v>
      </x:c>
      <x:c r="C326" s="79" t="str"/>
      <x:c r="D326" s="79" t="str">
        <x:v>LJT-PREP-MICROENDO</x:v>
      </x:c>
      <x:c r="E326" s="79" t="str">
        <x:v>待主管核定</x:v>
      </x:c>
      <x:c r="F326" s="79" t="str">
        <x:v>◎</x:v>
      </x:c>
      <x:c r="G326" s="97" t="str">
        <x:v>待核定</x:v>
      </x:c>
      <x:c r="H326" s="99"/>
      <x:c r="I326" s="97"/>
      <x:c r="J326" s="97"/>
      <x:c r="K326" s="98" t="str">
        <x:f>IF($G326="核定通過","已核定",IF($G326="不納入","不納入",IF($G326="退回補件","退回補件",IF($G326="暫停","資格暫停","待主管核定"))))</x:f>
        <x:v>待主管核定</x:v>
      </x:c>
    </x:row>
    <x:row r="327">
      <x:c r="A327" s="79" t="str">
        <x:v>QUAL|1013|LJT-PREP-IMPLANT</x:v>
      </x:c>
      <x:c r="B327" s="79" t="str">
        <x:v>資格有效性</x:v>
      </x:c>
      <x:c r="C327" s="79" t="str"/>
      <x:c r="D327" s="79" t="str">
        <x:v>LJT-PREP-IMPLANT</x:v>
      </x:c>
      <x:c r="E327" s="79" t="str">
        <x:v>待主管核定</x:v>
      </x:c>
      <x:c r="F327" s="79" t="str">
        <x:v>◎</x:v>
      </x:c>
      <x:c r="G327" s="97" t="str">
        <x:v>待核定</x:v>
      </x:c>
      <x:c r="H327" s="99"/>
      <x:c r="I327" s="97"/>
      <x:c r="J327" s="97"/>
      <x:c r="K327" s="98" t="str">
        <x:f>IF($G327="核定通過","已核定",IF($G327="不納入","不納入",IF($G327="退回補件","退回補件",IF($G327="暫停","資格暫停","待主管核定"))))</x:f>
        <x:v>待主管核定</x:v>
      </x:c>
    </x:row>
    <x:row r="328">
      <x:c r="A328" s="79" t="str">
        <x:v>QUAL|1013|LJT-RPD-FINAL</x:v>
      </x:c>
      <x:c r="B328" s="79" t="str">
        <x:v>資格有效性</x:v>
      </x:c>
      <x:c r="C328" s="79" t="str"/>
      <x:c r="D328" s="79" t="str">
        <x:v>LJT-RPD-FINAL</x:v>
      </x:c>
      <x:c r="E328" s="79" t="str">
        <x:v>未建立</x:v>
      </x:c>
      <x:c r="F328" s="79" t="str">
        <x:v>未評估</x:v>
      </x:c>
      <x:c r="G328" s="97" t="str">
        <x:v>待核定</x:v>
      </x:c>
      <x:c r="H328" s="99"/>
      <x:c r="I328" s="97"/>
      <x:c r="J328" s="97"/>
      <x:c r="K328" s="98" t="str">
        <x:f>IF($G328="核定通過","已核定",IF($G328="不納入","不納入",IF($G328="退回補件","退回補件",IF($G328="暫停","資格暫停","待主管核定"))))</x:f>
        <x:v>待主管核定</x:v>
      </x:c>
    </x:row>
    <x:row r="329">
      <x:c r="A329" s="79" t="str">
        <x:v>QUAL|1019|LJT-PREP-PERIOSURG</x:v>
      </x:c>
      <x:c r="B329" s="79" t="str">
        <x:v>資格有效性</x:v>
      </x:c>
      <x:c r="C329" s="79" t="str"/>
      <x:c r="D329" s="79" t="str">
        <x:v>LJT-PREP-PERIOSURG</x:v>
      </x:c>
      <x:c r="E329" s="79" t="str">
        <x:v>待主管核定</x:v>
      </x:c>
      <x:c r="F329" s="79" t="str">
        <x:v>◎</x:v>
      </x:c>
      <x:c r="G329" s="97" t="str">
        <x:v>待核定</x:v>
      </x:c>
      <x:c r="H329" s="99"/>
      <x:c r="I329" s="97"/>
      <x:c r="J329" s="97"/>
      <x:c r="K329" s="98" t="str">
        <x:f>IF($G329="核定通過","已核定",IF($G329="不納入","不納入",IF($G329="退回補件","退回補件",IF($G329="暫停","資格暫停","待主管核定"))))</x:f>
        <x:v>待主管核定</x:v>
      </x:c>
    </x:row>
    <x:row r="330">
      <x:c r="A330" s="79" t="str">
        <x:v>QUAL|1019|LJT-PREP-MICROENDO</x:v>
      </x:c>
      <x:c r="B330" s="79" t="str">
        <x:v>資格有效性</x:v>
      </x:c>
      <x:c r="C330" s="79" t="str"/>
      <x:c r="D330" s="79" t="str">
        <x:v>LJT-PREP-MICROENDO</x:v>
      </x:c>
      <x:c r="E330" s="79" t="str">
        <x:v>待主管核定</x:v>
      </x:c>
      <x:c r="F330" s="79" t="str">
        <x:v>◎</x:v>
      </x:c>
      <x:c r="G330" s="97" t="str">
        <x:v>待核定</x:v>
      </x:c>
      <x:c r="H330" s="99"/>
      <x:c r="I330" s="97"/>
      <x:c r="J330" s="97"/>
      <x:c r="K330" s="98" t="str">
        <x:f>IF($G330="核定通過","已核定",IF($G330="不納入","不納入",IF($G330="退回補件","退回補件",IF($G330="暫停","資格暫停","待主管核定"))))</x:f>
        <x:v>待主管核定</x:v>
      </x:c>
    </x:row>
    <x:row r="331">
      <x:c r="A331" s="79" t="str">
        <x:v>QUAL|1019|LJT-PREP-IMPLANT</x:v>
      </x:c>
      <x:c r="B331" s="79" t="str">
        <x:v>資格有效性</x:v>
      </x:c>
      <x:c r="C331" s="79" t="str"/>
      <x:c r="D331" s="79" t="str">
        <x:v>LJT-PREP-IMPLANT</x:v>
      </x:c>
      <x:c r="E331" s="79" t="str">
        <x:v>待主管核定</x:v>
      </x:c>
      <x:c r="F331" s="79" t="str">
        <x:v>◎</x:v>
      </x:c>
      <x:c r="G331" s="97" t="str">
        <x:v>待核定</x:v>
      </x:c>
      <x:c r="H331" s="99"/>
      <x:c r="I331" s="97"/>
      <x:c r="J331" s="97"/>
      <x:c r="K331" s="98" t="str">
        <x:f>IF($G331="核定通過","已核定",IF($G331="不納入","不納入",IF($G331="退回補件","退回補件",IF($G331="暫停","資格暫停","待主管核定"))))</x:f>
        <x:v>待主管核定</x:v>
      </x:c>
    </x:row>
    <x:row r="332">
      <x:c r="A332" s="79" t="str">
        <x:v>QUAL|1019|LJT-RPD-FINAL</x:v>
      </x:c>
      <x:c r="B332" s="79" t="str">
        <x:v>資格有效性</x:v>
      </x:c>
      <x:c r="C332" s="79" t="str"/>
      <x:c r="D332" s="79" t="str">
        <x:v>LJT-RPD-FINAL</x:v>
      </x:c>
      <x:c r="E332" s="79" t="str">
        <x:v>未建立</x:v>
      </x:c>
      <x:c r="F332" s="79" t="str">
        <x:v>未評估</x:v>
      </x:c>
      <x:c r="G332" s="97" t="str">
        <x:v>待核定</x:v>
      </x:c>
      <x:c r="H332" s="99"/>
      <x:c r="I332" s="97"/>
      <x:c r="J332" s="97"/>
      <x:c r="K332" s="98" t="str">
        <x:f>IF($G332="核定通過","已核定",IF($G332="不納入","不納入",IF($G332="退回補件","退回補件",IF($G332="暫停","資格暫停","待主管核定"))))</x:f>
        <x:v>待主管核定</x:v>
      </x:c>
    </x:row>
    <x:row r="333">
      <x:c r="A333" s="79" t="str">
        <x:v>QUAL|1020|LJT-PREP-PERIOSURG</x:v>
      </x:c>
      <x:c r="B333" s="79" t="str">
        <x:v>資格有效性</x:v>
      </x:c>
      <x:c r="C333" s="79" t="str"/>
      <x:c r="D333" s="79" t="str">
        <x:v>LJT-PREP-PERIOSURG</x:v>
      </x:c>
      <x:c r="E333" s="79" t="str">
        <x:v>待主管核定</x:v>
      </x:c>
      <x:c r="F333" s="79" t="str">
        <x:v>◎</x:v>
      </x:c>
      <x:c r="G333" s="97" t="str">
        <x:v>待核定</x:v>
      </x:c>
      <x:c r="H333" s="99"/>
      <x:c r="I333" s="97"/>
      <x:c r="J333" s="97"/>
      <x:c r="K333" s="98" t="str">
        <x:f>IF($G333="核定通過","已核定",IF($G333="不納入","不納入",IF($G333="退回補件","退回補件",IF($G333="暫停","資格暫停","待主管核定"))))</x:f>
        <x:v>待主管核定</x:v>
      </x:c>
    </x:row>
    <x:row r="334">
      <x:c r="A334" s="79" t="str">
        <x:v>QUAL|1020|LJT-PREP-MICROENDO</x:v>
      </x:c>
      <x:c r="B334" s="79" t="str">
        <x:v>資格有效性</x:v>
      </x:c>
      <x:c r="C334" s="79" t="str"/>
      <x:c r="D334" s="79" t="str">
        <x:v>LJT-PREP-MICROENDO</x:v>
      </x:c>
      <x:c r="E334" s="79" t="str">
        <x:v>待主管核定</x:v>
      </x:c>
      <x:c r="F334" s="79" t="str">
        <x:v>◎</x:v>
      </x:c>
      <x:c r="G334" s="97" t="str">
        <x:v>待核定</x:v>
      </x:c>
      <x:c r="H334" s="99"/>
      <x:c r="I334" s="97"/>
      <x:c r="J334" s="97"/>
      <x:c r="K334" s="98" t="str">
        <x:f>IF($G334="核定通過","已核定",IF($G334="不納入","不納入",IF($G334="退回補件","退回補件",IF($G334="暫停","資格暫停","待主管核定"))))</x:f>
        <x:v>待主管核定</x:v>
      </x:c>
    </x:row>
    <x:row r="335">
      <x:c r="A335" s="79" t="str">
        <x:v>QUAL|1020|LJT-PREP-IMPLANT</x:v>
      </x:c>
      <x:c r="B335" s="79" t="str">
        <x:v>資格有效性</x:v>
      </x:c>
      <x:c r="C335" s="79" t="str"/>
      <x:c r="D335" s="79" t="str">
        <x:v>LJT-PREP-IMPLANT</x:v>
      </x:c>
      <x:c r="E335" s="79" t="str">
        <x:v>待主管核定</x:v>
      </x:c>
      <x:c r="F335" s="79" t="str">
        <x:v>◎</x:v>
      </x:c>
      <x:c r="G335" s="97" t="str">
        <x:v>待核定</x:v>
      </x:c>
      <x:c r="H335" s="99"/>
      <x:c r="I335" s="97"/>
      <x:c r="J335" s="97"/>
      <x:c r="K335" s="98" t="str">
        <x:f>IF($G335="核定通過","已核定",IF($G335="不納入","不納入",IF($G335="退回補件","退回補件",IF($G335="暫停","資格暫停","待主管核定"))))</x:f>
        <x:v>待主管核定</x:v>
      </x:c>
    </x:row>
    <x:row r="336">
      <x:c r="A336" s="79" t="str">
        <x:v>QUAL|1020|LJT-RPD-FINAL</x:v>
      </x:c>
      <x:c r="B336" s="79" t="str">
        <x:v>資格有效性</x:v>
      </x:c>
      <x:c r="C336" s="79" t="str"/>
      <x:c r="D336" s="79" t="str">
        <x:v>LJT-RPD-FINAL</x:v>
      </x:c>
      <x:c r="E336" s="79" t="str">
        <x:v>未建立</x:v>
      </x:c>
      <x:c r="F336" s="79" t="str">
        <x:v>未評估</x:v>
      </x:c>
      <x:c r="G336" s="97" t="str">
        <x:v>待核定</x:v>
      </x:c>
      <x:c r="H336" s="99"/>
      <x:c r="I336" s="97"/>
      <x:c r="J336" s="97"/>
      <x:c r="K336" s="98" t="str">
        <x:f>IF($G336="核定通過","已核定",IF($G336="不納入","不納入",IF($G336="退回補件","退回補件",IF($G336="暫停","資格暫停","待主管核定"))))</x:f>
        <x:v>待主管核定</x:v>
      </x:c>
    </x:row>
    <x:row r="337">
      <x:c r="A337" s="79" t="str">
        <x:v>QUAL|1025|LJT-PREP-PERIOSURG</x:v>
      </x:c>
      <x:c r="B337" s="79" t="str">
        <x:v>資格有效性</x:v>
      </x:c>
      <x:c r="C337" s="79" t="str"/>
      <x:c r="D337" s="79" t="str">
        <x:v>LJT-PREP-PERIOSURG</x:v>
      </x:c>
      <x:c r="E337" s="79" t="str">
        <x:v>待主管核定</x:v>
      </x:c>
      <x:c r="F337" s="79" t="str">
        <x:v>Ø</x:v>
      </x:c>
      <x:c r="G337" s="97" t="str">
        <x:v>待核定</x:v>
      </x:c>
      <x:c r="H337" s="99"/>
      <x:c r="I337" s="97"/>
      <x:c r="J337" s="97"/>
      <x:c r="K337" s="98" t="str">
        <x:f>IF($G337="核定通過","已核定",IF($G337="不納入","不納入",IF($G337="退回補件","退回補件",IF($G337="暫停","資格暫停","待主管核定"))))</x:f>
        <x:v>待主管核定</x:v>
      </x:c>
    </x:row>
    <x:row r="338">
      <x:c r="A338" s="79" t="str">
        <x:v>QUAL|1025|LJT-PREP-MICROENDO</x:v>
      </x:c>
      <x:c r="B338" s="79" t="str">
        <x:v>資格有效性</x:v>
      </x:c>
      <x:c r="C338" s="79" t="str"/>
      <x:c r="D338" s="79" t="str">
        <x:v>LJT-PREP-MICROENDO</x:v>
      </x:c>
      <x:c r="E338" s="79" t="str">
        <x:v>待主管核定</x:v>
      </x:c>
      <x:c r="F338" s="79" t="str">
        <x:v>※</x:v>
      </x:c>
      <x:c r="G338" s="97" t="str">
        <x:v>待核定</x:v>
      </x:c>
      <x:c r="H338" s="99"/>
      <x:c r="I338" s="97"/>
      <x:c r="J338" s="97"/>
      <x:c r="K338" s="98" t="str">
        <x:f>IF($G338="核定通過","已核定",IF($G338="不納入","不納入",IF($G338="退回補件","退回補件",IF($G338="暫停","資格暫停","待主管核定"))))</x:f>
        <x:v>待主管核定</x:v>
      </x:c>
    </x:row>
    <x:row r="339">
      <x:c r="A339" s="79" t="str">
        <x:v>QUAL|1025|LJT-PREP-IMPLANT</x:v>
      </x:c>
      <x:c r="B339" s="79" t="str">
        <x:v>資格有效性</x:v>
      </x:c>
      <x:c r="C339" s="79" t="str"/>
      <x:c r="D339" s="79" t="str">
        <x:v>LJT-PREP-IMPLANT</x:v>
      </x:c>
      <x:c r="E339" s="79" t="str">
        <x:v>待主管核定</x:v>
      </x:c>
      <x:c r="F339" s="79" t="str">
        <x:v>Ø</x:v>
      </x:c>
      <x:c r="G339" s="97" t="str">
        <x:v>待核定</x:v>
      </x:c>
      <x:c r="H339" s="99"/>
      <x:c r="I339" s="97"/>
      <x:c r="J339" s="97"/>
      <x:c r="K339" s="98" t="str">
        <x:f>IF($G339="核定通過","已核定",IF($G339="不納入","不納入",IF($G339="退回補件","退回補件",IF($G339="暫停","資格暫停","待主管核定"))))</x:f>
        <x:v>待主管核定</x:v>
      </x:c>
    </x:row>
    <x:row r="340">
      <x:c r="A340" s="79" t="str">
        <x:v>QUAL|1025|LJT-RPD-FINAL</x:v>
      </x:c>
      <x:c r="B340" s="79" t="str">
        <x:v>資格有效性</x:v>
      </x:c>
      <x:c r="C340" s="79" t="str"/>
      <x:c r="D340" s="79" t="str">
        <x:v>LJT-RPD-FINAL</x:v>
      </x:c>
      <x:c r="E340" s="79" t="str">
        <x:v>未建立</x:v>
      </x:c>
      <x:c r="F340" s="79" t="str">
        <x:v>未評估</x:v>
      </x:c>
      <x:c r="G340" s="97" t="str">
        <x:v>待核定</x:v>
      </x:c>
      <x:c r="H340" s="99"/>
      <x:c r="I340" s="97"/>
      <x:c r="J340" s="97"/>
      <x:c r="K340" s="98" t="str">
        <x:f>IF($G340="核定通過","已核定",IF($G340="不納入","不納入",IF($G340="退回補件","退回補件",IF($G340="暫停","資格暫停","待主管核定"))))</x:f>
        <x:v>待主管核定</x:v>
      </x:c>
    </x:row>
    <x:row r="341">
      <x:c r="A341" s="79" t="str">
        <x:v>QUAL|1026|LJT-PREP-PERIOSURG</x:v>
      </x:c>
      <x:c r="B341" s="79" t="str">
        <x:v>資格有效性</x:v>
      </x:c>
      <x:c r="C341" s="79" t="str"/>
      <x:c r="D341" s="79" t="str">
        <x:v>LJT-PREP-PERIOSURG</x:v>
      </x:c>
      <x:c r="E341" s="79" t="str">
        <x:v>待主管核定</x:v>
      </x:c>
      <x:c r="F341" s="79" t="str">
        <x:v>※</x:v>
      </x:c>
      <x:c r="G341" s="97" t="str">
        <x:v>待核定</x:v>
      </x:c>
      <x:c r="H341" s="99"/>
      <x:c r="I341" s="97"/>
      <x:c r="J341" s="97"/>
      <x:c r="K341" s="98" t="str">
        <x:f>IF($G341="核定通過","已核定",IF($G341="不納入","不納入",IF($G341="退回補件","退回補件",IF($G341="暫停","資格暫停","待主管核定"))))</x:f>
        <x:v>待主管核定</x:v>
      </x:c>
    </x:row>
    <x:row r="342">
      <x:c r="A342" s="79" t="str">
        <x:v>QUAL|1026|LJT-PREP-MICROENDO</x:v>
      </x:c>
      <x:c r="B342" s="79" t="str">
        <x:v>資格有效性</x:v>
      </x:c>
      <x:c r="C342" s="79" t="str"/>
      <x:c r="D342" s="79" t="str">
        <x:v>LJT-PREP-MICROENDO</x:v>
      </x:c>
      <x:c r="E342" s="79" t="str">
        <x:v>待主管核定</x:v>
      </x:c>
      <x:c r="F342" s="79" t="str">
        <x:v>※</x:v>
      </x:c>
      <x:c r="G342" s="97" t="str">
        <x:v>待核定</x:v>
      </x:c>
      <x:c r="H342" s="99"/>
      <x:c r="I342" s="97"/>
      <x:c r="J342" s="97"/>
      <x:c r="K342" s="98" t="str">
        <x:f>IF($G342="核定通過","已核定",IF($G342="不納入","不納入",IF($G342="退回補件","退回補件",IF($G342="暫停","資格暫停","待主管核定"))))</x:f>
        <x:v>待主管核定</x:v>
      </x:c>
    </x:row>
    <x:row r="343">
      <x:c r="A343" s="79" t="str">
        <x:v>QUAL|1026|LJT-PREP-IMPLANT</x:v>
      </x:c>
      <x:c r="B343" s="79" t="str">
        <x:v>資格有效性</x:v>
      </x:c>
      <x:c r="C343" s="79" t="str"/>
      <x:c r="D343" s="79" t="str">
        <x:v>LJT-PREP-IMPLANT</x:v>
      </x:c>
      <x:c r="E343" s="79" t="str">
        <x:v>待主管核定</x:v>
      </x:c>
      <x:c r="F343" s="79" t="str">
        <x:v>◎</x:v>
      </x:c>
      <x:c r="G343" s="97" t="str">
        <x:v>待核定</x:v>
      </x:c>
      <x:c r="H343" s="99"/>
      <x:c r="I343" s="97"/>
      <x:c r="J343" s="97"/>
      <x:c r="K343" s="98" t="str">
        <x:f>IF($G343="核定通過","已核定",IF($G343="不納入","不納入",IF($G343="退回補件","退回補件",IF($G343="暫停","資格暫停","待主管核定"))))</x:f>
        <x:v>待主管核定</x:v>
      </x:c>
    </x:row>
    <x:row r="344">
      <x:c r="A344" s="79" t="str">
        <x:v>QUAL|1026|LJT-RPD-FINAL</x:v>
      </x:c>
      <x:c r="B344" s="79" t="str">
        <x:v>資格有效性</x:v>
      </x:c>
      <x:c r="C344" s="79" t="str"/>
      <x:c r="D344" s="79" t="str">
        <x:v>LJT-RPD-FINAL</x:v>
      </x:c>
      <x:c r="E344" s="79" t="str">
        <x:v>未建立</x:v>
      </x:c>
      <x:c r="F344" s="79" t="str">
        <x:v>未評估</x:v>
      </x:c>
      <x:c r="G344" s="97" t="str">
        <x:v>待核定</x:v>
      </x:c>
      <x:c r="H344" s="99"/>
      <x:c r="I344" s="97"/>
      <x:c r="J344" s="97"/>
      <x:c r="K344" s="98" t="str">
        <x:f>IF($G344="核定通過","已核定",IF($G344="不納入","不納入",IF($G344="退回補件","退回補件",IF($G344="暫停","資格暫停","待主管核定"))))</x:f>
        <x:v>待主管核定</x:v>
      </x:c>
    </x:row>
    <x:row r="345">
      <x:c r="A345" s="79" t="str">
        <x:v>QUAL|1027|LJT-PREP-PERIOSURG</x:v>
      </x:c>
      <x:c r="B345" s="79" t="str">
        <x:v>資格有效性</x:v>
      </x:c>
      <x:c r="C345" s="79" t="str"/>
      <x:c r="D345" s="79" t="str">
        <x:v>LJT-PREP-PERIOSURG</x:v>
      </x:c>
      <x:c r="E345" s="79" t="str">
        <x:v>待主管核定</x:v>
      </x:c>
      <x:c r="F345" s="79" t="str">
        <x:v>Ø</x:v>
      </x:c>
      <x:c r="G345" s="97" t="str">
        <x:v>待核定</x:v>
      </x:c>
      <x:c r="H345" s="99"/>
      <x:c r="I345" s="97"/>
      <x:c r="J345" s="97"/>
      <x:c r="K345" s="98" t="str">
        <x:f>IF($G345="核定通過","已核定",IF($G345="不納入","不納入",IF($G345="退回補件","退回補件",IF($G345="暫停","資格暫停","待主管核定"))))</x:f>
        <x:v>待主管核定</x:v>
      </x:c>
    </x:row>
    <x:row r="346">
      <x:c r="A346" s="79" t="str">
        <x:v>QUAL|1027|LJT-PREP-MICROENDO</x:v>
      </x:c>
      <x:c r="B346" s="79" t="str">
        <x:v>資格有效性</x:v>
      </x:c>
      <x:c r="C346" s="79" t="str"/>
      <x:c r="D346" s="79" t="str">
        <x:v>LJT-PREP-MICROENDO</x:v>
      </x:c>
      <x:c r="E346" s="79" t="str">
        <x:v>待主管核定</x:v>
      </x:c>
      <x:c r="F346" s="79" t="str">
        <x:v>※</x:v>
      </x:c>
      <x:c r="G346" s="97" t="str">
        <x:v>待核定</x:v>
      </x:c>
      <x:c r="H346" s="99"/>
      <x:c r="I346" s="97"/>
      <x:c r="J346" s="97"/>
      <x:c r="K346" s="98" t="str">
        <x:f>IF($G346="核定通過","已核定",IF($G346="不納入","不納入",IF($G346="退回補件","退回補件",IF($G346="暫停","資格暫停","待主管核定"))))</x:f>
        <x:v>待主管核定</x:v>
      </x:c>
    </x:row>
    <x:row r="347">
      <x:c r="A347" s="79" t="str">
        <x:v>QUAL|1027|LJT-PREP-IMPLANT</x:v>
      </x:c>
      <x:c r="B347" s="79" t="str">
        <x:v>資格有效性</x:v>
      </x:c>
      <x:c r="C347" s="79" t="str"/>
      <x:c r="D347" s="79" t="str">
        <x:v>LJT-PREP-IMPLANT</x:v>
      </x:c>
      <x:c r="E347" s="79" t="str">
        <x:v>待主管核定</x:v>
      </x:c>
      <x:c r="F347" s="79" t="str">
        <x:v>Ø</x:v>
      </x:c>
      <x:c r="G347" s="97" t="str">
        <x:v>待核定</x:v>
      </x:c>
      <x:c r="H347" s="99"/>
      <x:c r="I347" s="97"/>
      <x:c r="J347" s="97"/>
      <x:c r="K347" s="98" t="str">
        <x:f>IF($G347="核定通過","已核定",IF($G347="不納入","不納入",IF($G347="退回補件","退回補件",IF($G347="暫停","資格暫停","待主管核定"))))</x:f>
        <x:v>待主管核定</x:v>
      </x:c>
    </x:row>
    <x:row r="348">
      <x:c r="A348" s="79" t="str">
        <x:v>QUAL|1027|LJT-RPD-FINAL</x:v>
      </x:c>
      <x:c r="B348" s="79" t="str">
        <x:v>資格有效性</x:v>
      </x:c>
      <x:c r="C348" s="79" t="str"/>
      <x:c r="D348" s="79" t="str">
        <x:v>LJT-RPD-FINAL</x:v>
      </x:c>
      <x:c r="E348" s="79" t="str">
        <x:v>未建立</x:v>
      </x:c>
      <x:c r="F348" s="79" t="str">
        <x:v>未評估</x:v>
      </x:c>
      <x:c r="G348" s="97" t="str">
        <x:v>待核定</x:v>
      </x:c>
      <x:c r="H348" s="99"/>
      <x:c r="I348" s="97"/>
      <x:c r="J348" s="97"/>
      <x:c r="K348" s="98" t="str">
        <x:f>IF($G348="核定通過","已核定",IF($G348="不納入","不納入",IF($G348="退回補件","退回補件",IF($G348="暫停","資格暫停","待主管核定"))))</x:f>
        <x:v>待主管核定</x:v>
      </x:c>
    </x:row>
    <x:row r="349">
      <x:c r="A349" s="79" t="str">
        <x:v>QUAL|1028|LJT-PREP-PERIOSURG</x:v>
      </x:c>
      <x:c r="B349" s="79" t="str">
        <x:v>資格有效性</x:v>
      </x:c>
      <x:c r="C349" s="79" t="str"/>
      <x:c r="D349" s="79" t="str">
        <x:v>LJT-PREP-PERIOSURG</x:v>
      </x:c>
      <x:c r="E349" s="79" t="str">
        <x:v>待主管核定</x:v>
      </x:c>
      <x:c r="F349" s="79" t="str">
        <x:v>※</x:v>
      </x:c>
      <x:c r="G349" s="97" t="str">
        <x:v>待核定</x:v>
      </x:c>
      <x:c r="H349" s="99"/>
      <x:c r="I349" s="97"/>
      <x:c r="J349" s="97"/>
      <x:c r="K349" s="98" t="str">
        <x:f>IF($G349="核定通過","已核定",IF($G349="不納入","不納入",IF($G349="退回補件","退回補件",IF($G349="暫停","資格暫停","待主管核定"))))</x:f>
        <x:v>待主管核定</x:v>
      </x:c>
    </x:row>
    <x:row r="350">
      <x:c r="A350" s="79" t="str">
        <x:v>QUAL|1028|LJT-PREP-MICROENDO</x:v>
      </x:c>
      <x:c r="B350" s="79" t="str">
        <x:v>資格有效性</x:v>
      </x:c>
      <x:c r="C350" s="79" t="str"/>
      <x:c r="D350" s="79" t="str">
        <x:v>LJT-PREP-MICROENDO</x:v>
      </x:c>
      <x:c r="E350" s="79" t="str">
        <x:v>待主管核定</x:v>
      </x:c>
      <x:c r="F350" s="79" t="str">
        <x:v>※</x:v>
      </x:c>
      <x:c r="G350" s="97" t="str">
        <x:v>待核定</x:v>
      </x:c>
      <x:c r="H350" s="99"/>
      <x:c r="I350" s="97"/>
      <x:c r="J350" s="97"/>
      <x:c r="K350" s="98" t="str">
        <x:f>IF($G350="核定通過","已核定",IF($G350="不納入","不納入",IF($G350="退回補件","退回補件",IF($G350="暫停","資格暫停","待主管核定"))))</x:f>
        <x:v>待主管核定</x:v>
      </x:c>
    </x:row>
    <x:row r="351">
      <x:c r="A351" s="79" t="str">
        <x:v>QUAL|1028|LJT-PREP-IMPLANT</x:v>
      </x:c>
      <x:c r="B351" s="79" t="str">
        <x:v>資格有效性</x:v>
      </x:c>
      <x:c r="C351" s="79" t="str"/>
      <x:c r="D351" s="79" t="str">
        <x:v>LJT-PREP-IMPLANT</x:v>
      </x:c>
      <x:c r="E351" s="79" t="str">
        <x:v>待主管核定</x:v>
      </x:c>
      <x:c r="F351" s="79" t="str">
        <x:v>※</x:v>
      </x:c>
      <x:c r="G351" s="97" t="str">
        <x:v>待核定</x:v>
      </x:c>
      <x:c r="H351" s="99"/>
      <x:c r="I351" s="97"/>
      <x:c r="J351" s="97"/>
      <x:c r="K351" s="98" t="str">
        <x:f>IF($G351="核定通過","已核定",IF($G351="不納入","不納入",IF($G351="退回補件","退回補件",IF($G351="暫停","資格暫停","待主管核定"))))</x:f>
        <x:v>待主管核定</x:v>
      </x:c>
    </x:row>
    <x:row r="352">
      <x:c r="A352" s="79" t="str">
        <x:v>QUAL|1028|LJT-RPD-FINAL</x:v>
      </x:c>
      <x:c r="B352" s="79" t="str">
        <x:v>資格有效性</x:v>
      </x:c>
      <x:c r="C352" s="79" t="str"/>
      <x:c r="D352" s="79" t="str">
        <x:v>LJT-RPD-FINAL</x:v>
      </x:c>
      <x:c r="E352" s="79" t="str">
        <x:v>未建立</x:v>
      </x:c>
      <x:c r="F352" s="79" t="str">
        <x:v>未評估</x:v>
      </x:c>
      <x:c r="G352" s="97" t="str">
        <x:v>待核定</x:v>
      </x:c>
      <x:c r="H352" s="99"/>
      <x:c r="I352" s="97"/>
      <x:c r="J352" s="97"/>
      <x:c r="K352" s="98" t="str">
        <x:f>IF($G352="核定通過","已核定",IF($G352="不納入","不納入",IF($G352="退回補件","退回補件",IF($G352="暫停","資格暫停","待主管核定"))))</x:f>
        <x:v>待主管核定</x:v>
      </x:c>
    </x:row>
    <x:row r="353">
      <x:c r="A353" s="79" t="str">
        <x:v>QUAL|1029|LJT-PREP-PERIOSURG</x:v>
      </x:c>
      <x:c r="B353" s="79" t="str">
        <x:v>資格有效性</x:v>
      </x:c>
      <x:c r="C353" s="79" t="str"/>
      <x:c r="D353" s="79" t="str">
        <x:v>LJT-PREP-PERIOSURG</x:v>
      </x:c>
      <x:c r="E353" s="79" t="str">
        <x:v>待主管核定</x:v>
      </x:c>
      <x:c r="F353" s="79" t="str">
        <x:v>未評估</x:v>
      </x:c>
      <x:c r="G353" s="97" t="str">
        <x:v>待核定</x:v>
      </x:c>
      <x:c r="H353" s="99"/>
      <x:c r="I353" s="97"/>
      <x:c r="J353" s="97"/>
      <x:c r="K353" s="98" t="str">
        <x:f>IF($G353="核定通過","已核定",IF($G353="不納入","不納入",IF($G353="退回補件","退回補件",IF($G353="暫停","資格暫停","待主管核定"))))</x:f>
        <x:v>待主管核定</x:v>
      </x:c>
    </x:row>
    <x:row r="354">
      <x:c r="A354" s="79" t="str">
        <x:v>QUAL|1029|LJT-PREP-MICROENDO</x:v>
      </x:c>
      <x:c r="B354" s="79" t="str">
        <x:v>資格有效性</x:v>
      </x:c>
      <x:c r="C354" s="79" t="str"/>
      <x:c r="D354" s="79" t="str">
        <x:v>LJT-PREP-MICROENDO</x:v>
      </x:c>
      <x:c r="E354" s="79" t="str">
        <x:v>待主管核定</x:v>
      </x:c>
      <x:c r="F354" s="79" t="str">
        <x:v>未評估</x:v>
      </x:c>
      <x:c r="G354" s="97" t="str">
        <x:v>待核定</x:v>
      </x:c>
      <x:c r="H354" s="99"/>
      <x:c r="I354" s="97"/>
      <x:c r="J354" s="97"/>
      <x:c r="K354" s="98" t="str">
        <x:f>IF($G354="核定通過","已核定",IF($G354="不納入","不納入",IF($G354="退回補件","退回補件",IF($G354="暫停","資格暫停","待主管核定"))))</x:f>
        <x:v>待主管核定</x:v>
      </x:c>
    </x:row>
    <x:row r="355">
      <x:c r="A355" s="79" t="str">
        <x:v>QUAL|1029|LJT-PREP-IMPLANT</x:v>
      </x:c>
      <x:c r="B355" s="79" t="str">
        <x:v>資格有效性</x:v>
      </x:c>
      <x:c r="C355" s="79" t="str"/>
      <x:c r="D355" s="79" t="str">
        <x:v>LJT-PREP-IMPLANT</x:v>
      </x:c>
      <x:c r="E355" s="79" t="str">
        <x:v>待主管核定</x:v>
      </x:c>
      <x:c r="F355" s="79" t="str">
        <x:v>未評估</x:v>
      </x:c>
      <x:c r="G355" s="97" t="str">
        <x:v>待核定</x:v>
      </x:c>
      <x:c r="H355" s="99"/>
      <x:c r="I355" s="97"/>
      <x:c r="J355" s="97"/>
      <x:c r="K355" s="98" t="str">
        <x:f>IF($G355="核定通過","已核定",IF($G355="不納入","不納入",IF($G355="退回補件","退回補件",IF($G355="暫停","資格暫停","待主管核定"))))</x:f>
        <x:v>待主管核定</x:v>
      </x:c>
    </x:row>
    <x:row r="356">
      <x:c r="A356" s="79" t="str">
        <x:v>QUAL|1029|LJT-RPD-FINAL</x:v>
      </x:c>
      <x:c r="B356" s="79" t="str">
        <x:v>資格有效性</x:v>
      </x:c>
      <x:c r="C356" s="79" t="str"/>
      <x:c r="D356" s="79" t="str">
        <x:v>LJT-RPD-FINAL</x:v>
      </x:c>
      <x:c r="E356" s="79" t="str">
        <x:v>未建立</x:v>
      </x:c>
      <x:c r="F356" s="79" t="str">
        <x:v>未評估</x:v>
      </x:c>
      <x:c r="G356" s="97" t="str">
        <x:v>待核定</x:v>
      </x:c>
      <x:c r="H356" s="99"/>
      <x:c r="I356" s="97"/>
      <x:c r="J356" s="97"/>
      <x:c r="K356" s="98" t="str">
        <x:f>IF($G356="核定通過","已核定",IF($G356="不納入","不納入",IF($G356="退回補件","退回補件",IF($G356="暫停","資格暫停","待主管核定"))))</x:f>
        <x:v>待主管核定</x:v>
      </x:c>
    </x:row>
    <x:row r="357">
      <x:c r="A357" s="79" t="str">
        <x:v>QUAL|1030|LJT-PREP-PERIOSURG</x:v>
      </x:c>
      <x:c r="B357" s="79" t="str">
        <x:v>資格有效性</x:v>
      </x:c>
      <x:c r="C357" s="79" t="str"/>
      <x:c r="D357" s="79" t="str">
        <x:v>LJT-PREP-PERIOSURG</x:v>
      </x:c>
      <x:c r="E357" s="79" t="str">
        <x:v>待主管核定</x:v>
      </x:c>
      <x:c r="F357" s="79" t="str">
        <x:v>未評估</x:v>
      </x:c>
      <x:c r="G357" s="97" t="str">
        <x:v>待核定</x:v>
      </x:c>
      <x:c r="H357" s="99"/>
      <x:c r="I357" s="97"/>
      <x:c r="J357" s="97"/>
      <x:c r="K357" s="98" t="str">
        <x:f>IF($G357="核定通過","已核定",IF($G357="不納入","不納入",IF($G357="退回補件","退回補件",IF($G357="暫停","資格暫停","待主管核定"))))</x:f>
        <x:v>待主管核定</x:v>
      </x:c>
    </x:row>
    <x:row r="358">
      <x:c r="A358" s="79" t="str">
        <x:v>QUAL|1030|LJT-PREP-MICROENDO</x:v>
      </x:c>
      <x:c r="B358" s="79" t="str">
        <x:v>資格有效性</x:v>
      </x:c>
      <x:c r="C358" s="79" t="str"/>
      <x:c r="D358" s="79" t="str">
        <x:v>LJT-PREP-MICROENDO</x:v>
      </x:c>
      <x:c r="E358" s="79" t="str">
        <x:v>待主管核定</x:v>
      </x:c>
      <x:c r="F358" s="79" t="str">
        <x:v>未評估</x:v>
      </x:c>
      <x:c r="G358" s="97" t="str">
        <x:v>待核定</x:v>
      </x:c>
      <x:c r="H358" s="99"/>
      <x:c r="I358" s="97"/>
      <x:c r="J358" s="97"/>
      <x:c r="K358" s="98" t="str">
        <x:f>IF($G358="核定通過","已核定",IF($G358="不納入","不納入",IF($G358="退回補件","退回補件",IF($G358="暫停","資格暫停","待主管核定"))))</x:f>
        <x:v>待主管核定</x:v>
      </x:c>
    </x:row>
    <x:row r="359">
      <x:c r="A359" s="79" t="str">
        <x:v>QUAL|1030|LJT-PREP-IMPLANT</x:v>
      </x:c>
      <x:c r="B359" s="79" t="str">
        <x:v>資格有效性</x:v>
      </x:c>
      <x:c r="C359" s="79" t="str"/>
      <x:c r="D359" s="79" t="str">
        <x:v>LJT-PREP-IMPLANT</x:v>
      </x:c>
      <x:c r="E359" s="79" t="str">
        <x:v>待主管核定</x:v>
      </x:c>
      <x:c r="F359" s="79" t="str">
        <x:v>未評估</x:v>
      </x:c>
      <x:c r="G359" s="97" t="str">
        <x:v>待核定</x:v>
      </x:c>
      <x:c r="H359" s="99"/>
      <x:c r="I359" s="97"/>
      <x:c r="J359" s="97"/>
      <x:c r="K359" s="98" t="str">
        <x:f>IF($G359="核定通過","已核定",IF($G359="不納入","不納入",IF($G359="退回補件","退回補件",IF($G359="暫停","資格暫停","待主管核定"))))</x:f>
        <x:v>待主管核定</x:v>
      </x:c>
    </x:row>
    <x:row r="360">
      <x:c r="A360" s="79" t="str">
        <x:v>QUAL|1030|LJT-RPD-FINAL</x:v>
      </x:c>
      <x:c r="B360" s="79" t="str">
        <x:v>資格有效性</x:v>
      </x:c>
      <x:c r="C360" s="79" t="str"/>
      <x:c r="D360" s="79" t="str">
        <x:v>LJT-RPD-FINAL</x:v>
      </x:c>
      <x:c r="E360" s="79" t="str">
        <x:v>未建立</x:v>
      </x:c>
      <x:c r="F360" s="79" t="str">
        <x:v>未評估</x:v>
      </x:c>
      <x:c r="G360" s="97" t="str">
        <x:v>待核定</x:v>
      </x:c>
      <x:c r="H360" s="99"/>
      <x:c r="I360" s="97"/>
      <x:c r="J360" s="97"/>
      <x:c r="K360" s="98" t="str">
        <x:f>IF($G360="核定通過","已核定",IF($G360="不納入","不納入",IF($G360="退回補件","退回補件",IF($G360="暫停","資格暫停","待主管核定"))))</x:f>
        <x:v>待主管核定</x:v>
      </x:c>
    </x:row>
    <x:row r="361">
      <x:c r="A361" s="79" t="str">
        <x:v>QUAL|1031|LJT-PREP-PERIOSURG</x:v>
      </x:c>
      <x:c r="B361" s="79" t="str">
        <x:v>資格有效性</x:v>
      </x:c>
      <x:c r="C361" s="79" t="str"/>
      <x:c r="D361" s="79" t="str">
        <x:v>LJT-PREP-PERIOSURG</x:v>
      </x:c>
      <x:c r="E361" s="79" t="str">
        <x:v>待主管核定</x:v>
      </x:c>
      <x:c r="F361" s="79" t="str">
        <x:v>未評估</x:v>
      </x:c>
      <x:c r="G361" s="97" t="str">
        <x:v>待核定</x:v>
      </x:c>
      <x:c r="H361" s="99"/>
      <x:c r="I361" s="97"/>
      <x:c r="J361" s="97"/>
      <x:c r="K361" s="98" t="str">
        <x:f>IF($G361="核定通過","已核定",IF($G361="不納入","不納入",IF($G361="退回補件","退回補件",IF($G361="暫停","資格暫停","待主管核定"))))</x:f>
        <x:v>待主管核定</x:v>
      </x:c>
    </x:row>
    <x:row r="362">
      <x:c r="A362" s="79" t="str">
        <x:v>QUAL|1031|LJT-PREP-MICROENDO</x:v>
      </x:c>
      <x:c r="B362" s="79" t="str">
        <x:v>資格有效性</x:v>
      </x:c>
      <x:c r="C362" s="79" t="str"/>
      <x:c r="D362" s="79" t="str">
        <x:v>LJT-PREP-MICROENDO</x:v>
      </x:c>
      <x:c r="E362" s="79" t="str">
        <x:v>待主管核定</x:v>
      </x:c>
      <x:c r="F362" s="79" t="str">
        <x:v>未評估</x:v>
      </x:c>
      <x:c r="G362" s="97" t="str">
        <x:v>待核定</x:v>
      </x:c>
      <x:c r="H362" s="99"/>
      <x:c r="I362" s="97"/>
      <x:c r="J362" s="97"/>
      <x:c r="K362" s="98" t="str">
        <x:f>IF($G362="核定通過","已核定",IF($G362="不納入","不納入",IF($G362="退回補件","退回補件",IF($G362="暫停","資格暫停","待主管核定"))))</x:f>
        <x:v>待主管核定</x:v>
      </x:c>
    </x:row>
    <x:row r="363">
      <x:c r="A363" s="79" t="str">
        <x:v>QUAL|1031|LJT-PREP-IMPLANT</x:v>
      </x:c>
      <x:c r="B363" s="79" t="str">
        <x:v>資格有效性</x:v>
      </x:c>
      <x:c r="C363" s="79" t="str"/>
      <x:c r="D363" s="79" t="str">
        <x:v>LJT-PREP-IMPLANT</x:v>
      </x:c>
      <x:c r="E363" s="79" t="str">
        <x:v>待主管核定</x:v>
      </x:c>
      <x:c r="F363" s="79" t="str">
        <x:v>未評估</x:v>
      </x:c>
      <x:c r="G363" s="97" t="str">
        <x:v>待核定</x:v>
      </x:c>
      <x:c r="H363" s="99"/>
      <x:c r="I363" s="97"/>
      <x:c r="J363" s="97"/>
      <x:c r="K363" s="98" t="str">
        <x:f>IF($G363="核定通過","已核定",IF($G363="不納入","不納入",IF($G363="退回補件","退回補件",IF($G363="暫停","資格暫停","待主管核定"))))</x:f>
        <x:v>待主管核定</x:v>
      </x:c>
    </x:row>
    <x:row r="364">
      <x:c r="A364" s="79" t="str">
        <x:v>QUAL|1031|LJT-RPD-FINAL</x:v>
      </x:c>
      <x:c r="B364" s="79" t="str">
        <x:v>資格有效性</x:v>
      </x:c>
      <x:c r="C364" s="79" t="str"/>
      <x:c r="D364" s="79" t="str">
        <x:v>LJT-RPD-FINAL</x:v>
      </x:c>
      <x:c r="E364" s="79" t="str">
        <x:v>未建立</x:v>
      </x:c>
      <x:c r="F364" s="79" t="str">
        <x:v>未評估</x:v>
      </x:c>
      <x:c r="G364" s="97" t="str">
        <x:v>待核定</x:v>
      </x:c>
      <x:c r="H364" s="99"/>
      <x:c r="I364" s="97"/>
      <x:c r="J364" s="97"/>
      <x:c r="K364" s="98" t="str">
        <x:f>IF($G364="核定通過","已核定",IF($G364="不納入","不納入",IF($G364="退回補件","退回補件",IF($G364="暫停","資格暫停","待主管核定"))))</x:f>
        <x:v>待主管核定</x:v>
      </x:c>
    </x:row>
    <x:row r="365">
      <x:c r="A365" s="79" t="str">
        <x:v>QUAL|2006|LJT-PREP-PERIOSURG</x:v>
      </x:c>
      <x:c r="B365" s="79" t="str">
        <x:v>資格有效性</x:v>
      </x:c>
      <x:c r="C365" s="79" t="str"/>
      <x:c r="D365" s="79" t="str">
        <x:v>LJT-PREP-PERIOSURG</x:v>
      </x:c>
      <x:c r="E365" s="79" t="str">
        <x:v>待主管核定</x:v>
      </x:c>
      <x:c r="F365" s="79" t="str">
        <x:v>未評估</x:v>
      </x:c>
      <x:c r="G365" s="97" t="str">
        <x:v>待核定</x:v>
      </x:c>
      <x:c r="H365" s="99"/>
      <x:c r="I365" s="97"/>
      <x:c r="J365" s="97"/>
      <x:c r="K365" s="98" t="str">
        <x:f>IF($G365="核定通過","已核定",IF($G365="不納入","不納入",IF($G365="退回補件","退回補件",IF($G365="暫停","資格暫停","待主管核定"))))</x:f>
        <x:v>待主管核定</x:v>
      </x:c>
    </x:row>
    <x:row r="366">
      <x:c r="A366" s="79" t="str">
        <x:v>QUAL|2006|LJT-PREP-MICROENDO</x:v>
      </x:c>
      <x:c r="B366" s="79" t="str">
        <x:v>資格有效性</x:v>
      </x:c>
      <x:c r="C366" s="79" t="str"/>
      <x:c r="D366" s="79" t="str">
        <x:v>LJT-PREP-MICROENDO</x:v>
      </x:c>
      <x:c r="E366" s="79" t="str">
        <x:v>待主管核定</x:v>
      </x:c>
      <x:c r="F366" s="79" t="str">
        <x:v>未評估</x:v>
      </x:c>
      <x:c r="G366" s="97" t="str">
        <x:v>待核定</x:v>
      </x:c>
      <x:c r="H366" s="99"/>
      <x:c r="I366" s="97"/>
      <x:c r="J366" s="97"/>
      <x:c r="K366" s="98" t="str">
        <x:f>IF($G366="核定通過","已核定",IF($G366="不納入","不納入",IF($G366="退回補件","退回補件",IF($G366="暫停","資格暫停","待主管核定"))))</x:f>
        <x:v>待主管核定</x:v>
      </x:c>
    </x:row>
    <x:row r="367">
      <x:c r="A367" s="79" t="str">
        <x:v>QUAL|2006|LJT-PREP-IMPLANT</x:v>
      </x:c>
      <x:c r="B367" s="79" t="str">
        <x:v>資格有效性</x:v>
      </x:c>
      <x:c r="C367" s="79" t="str"/>
      <x:c r="D367" s="79" t="str">
        <x:v>LJT-PREP-IMPLANT</x:v>
      </x:c>
      <x:c r="E367" s="79" t="str">
        <x:v>待主管核定</x:v>
      </x:c>
      <x:c r="F367" s="79" t="str">
        <x:v>未評估</x:v>
      </x:c>
      <x:c r="G367" s="97" t="str">
        <x:v>待核定</x:v>
      </x:c>
      <x:c r="H367" s="99"/>
      <x:c r="I367" s="97"/>
      <x:c r="J367" s="97"/>
      <x:c r="K367" s="98" t="str">
        <x:f>IF($G367="核定通過","已核定",IF($G367="不納入","不納入",IF($G367="退回補件","退回補件",IF($G367="暫停","資格暫停","待主管核定"))))</x:f>
        <x:v>待主管核定</x:v>
      </x:c>
    </x:row>
    <x:row r="368">
      <x:c r="A368" s="79" t="str">
        <x:v>QUAL|2006|LJT-RPD-FINAL</x:v>
      </x:c>
      <x:c r="B368" s="79" t="str">
        <x:v>資格有效性</x:v>
      </x:c>
      <x:c r="C368" s="79" t="str"/>
      <x:c r="D368" s="79" t="str">
        <x:v>LJT-RPD-FINAL</x:v>
      </x:c>
      <x:c r="E368" s="79" t="str">
        <x:v>未建立</x:v>
      </x:c>
      <x:c r="F368" s="79" t="str">
        <x:v>未評估</x:v>
      </x:c>
      <x:c r="G368" s="97" t="str">
        <x:v>待核定</x:v>
      </x:c>
      <x:c r="H368" s="99"/>
      <x:c r="I368" s="97"/>
      <x:c r="J368" s="97"/>
      <x:c r="K368" s="98" t="str">
        <x:f>IF($G368="核定通過","已核定",IF($G368="不納入","不納入",IF($G368="退回補件","退回補件",IF($G368="暫停","資格暫停","待主管核定"))))</x:f>
        <x:v>待主管核定</x:v>
      </x:c>
    </x:row>
    <x:row r="369">
      <x:c r="A369" s="79" t="str">
        <x:v>QUAL|2007|LJT-PREP-PERIOSURG</x:v>
      </x:c>
      <x:c r="B369" s="79" t="str">
        <x:v>資格有效性</x:v>
      </x:c>
      <x:c r="C369" s="79" t="str"/>
      <x:c r="D369" s="79" t="str">
        <x:v>LJT-PREP-PERIOSURG</x:v>
      </x:c>
      <x:c r="E369" s="79" t="str">
        <x:v>待主管核定</x:v>
      </x:c>
      <x:c r="F369" s="79" t="str">
        <x:v>未評估</x:v>
      </x:c>
      <x:c r="G369" s="97" t="str">
        <x:v>待核定</x:v>
      </x:c>
      <x:c r="H369" s="99"/>
      <x:c r="I369" s="97"/>
      <x:c r="J369" s="97"/>
      <x:c r="K369" s="98" t="str">
        <x:f>IF($G369="核定通過","已核定",IF($G369="不納入","不納入",IF($G369="退回補件","退回補件",IF($G369="暫停","資格暫停","待主管核定"))))</x:f>
        <x:v>待主管核定</x:v>
      </x:c>
    </x:row>
    <x:row r="370">
      <x:c r="A370" s="79" t="str">
        <x:v>QUAL|2007|LJT-PREP-MICROENDO</x:v>
      </x:c>
      <x:c r="B370" s="79" t="str">
        <x:v>資格有效性</x:v>
      </x:c>
      <x:c r="C370" s="79" t="str"/>
      <x:c r="D370" s="79" t="str">
        <x:v>LJT-PREP-MICROENDO</x:v>
      </x:c>
      <x:c r="E370" s="79" t="str">
        <x:v>待主管核定</x:v>
      </x:c>
      <x:c r="F370" s="79" t="str">
        <x:v>未評估</x:v>
      </x:c>
      <x:c r="G370" s="97" t="str">
        <x:v>待核定</x:v>
      </x:c>
      <x:c r="H370" s="99"/>
      <x:c r="I370" s="97"/>
      <x:c r="J370" s="97"/>
      <x:c r="K370" s="98" t="str">
        <x:f>IF($G370="核定通過","已核定",IF($G370="不納入","不納入",IF($G370="退回補件","退回補件",IF($G370="暫停","資格暫停","待主管核定"))))</x:f>
        <x:v>待主管核定</x:v>
      </x:c>
    </x:row>
    <x:row r="371">
      <x:c r="A371" s="79" t="str">
        <x:v>QUAL|2007|LJT-PREP-IMPLANT</x:v>
      </x:c>
      <x:c r="B371" s="79" t="str">
        <x:v>資格有效性</x:v>
      </x:c>
      <x:c r="C371" s="79" t="str"/>
      <x:c r="D371" s="79" t="str">
        <x:v>LJT-PREP-IMPLANT</x:v>
      </x:c>
      <x:c r="E371" s="79" t="str">
        <x:v>待主管核定</x:v>
      </x:c>
      <x:c r="F371" s="79" t="str">
        <x:v>未評估</x:v>
      </x:c>
      <x:c r="G371" s="97" t="str">
        <x:v>待核定</x:v>
      </x:c>
      <x:c r="H371" s="99"/>
      <x:c r="I371" s="97"/>
      <x:c r="J371" s="97"/>
      <x:c r="K371" s="98" t="str">
        <x:f>IF($G371="核定通過","已核定",IF($G371="不納入","不納入",IF($G371="退回補件","退回補件",IF($G371="暫停","資格暫停","待主管核定"))))</x:f>
        <x:v>待主管核定</x:v>
      </x:c>
    </x:row>
    <x:row r="372">
      <x:c r="A372" s="79" t="str">
        <x:v>QUAL|2007|LJT-RPD-FINAL</x:v>
      </x:c>
      <x:c r="B372" s="79" t="str">
        <x:v>資格有效性</x:v>
      </x:c>
      <x:c r="C372" s="79" t="str"/>
      <x:c r="D372" s="79" t="str">
        <x:v>LJT-RPD-FINAL</x:v>
      </x:c>
      <x:c r="E372" s="79" t="str">
        <x:v>未建立</x:v>
      </x:c>
      <x:c r="F372" s="79" t="str">
        <x:v>未評估</x:v>
      </x:c>
      <x:c r="G372" s="97" t="str">
        <x:v>待核定</x:v>
      </x:c>
      <x:c r="H372" s="99"/>
      <x:c r="I372" s="97"/>
      <x:c r="J372" s="97"/>
      <x:c r="K372" s="98" t="str">
        <x:f>IF($G372="核定通過","已核定",IF($G372="不納入","不納入",IF($G372="退回補件","退回補件",IF($G372="暫停","資格暫停","待主管核定"))))</x:f>
        <x:v>待主管核定</x:v>
      </x:c>
    </x:row>
  </x:sheetData>
  <x:dataValidations count="1">
    <x:dataValidation type="list" sqref="G12:G372">
      <x:formula1>"待核定,核定通過,退回補件,暫停,不納入"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32cb9773bc42e6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8" hidden="0" customWidth="1"/>
    <x:col min="6" max="6" width="34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6" hidden="0" customWidth="1"/>
    <x:col min="14" max="14" width="14" hidden="0" customWidth="1"/>
    <x:col min="15" max="15" width="30" hidden="0" customWidth="1"/>
    <x:col min="16" max="16" width="24" hidden="0" customWidth="1"/>
    <x:col min="17" max="17" width="22" hidden="0" customWidth="1"/>
    <x:col min="18" max="18" width="28" hidden="0" customWidth="1"/>
  </x:cols>
  <x:sheetData>
    <x:row r="2">
      <x:c r="A2" s="74" t="str">
        <x:v>半年複評檢核表版本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>
      <x:c r="A4" s="75" t="str">
        <x:v>七類檢核表採版本管理。實際操作項目、通過標準與證據方式須由助理主管填寫並核定；沒有已發布版本時，不可作為正式考核依據。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</x:row>
    <x:row r="6">
      <x:c r="A6" s="271" t="str">
        <x:v>檢核表代碼</x:v>
      </x:c>
      <x:c r="B6" s="271" t="str">
        <x:v>適用技能／類別</x:v>
      </x:c>
      <x:c r="C6" s="271" t="str">
        <x:v>版本</x:v>
      </x:c>
      <x:c r="D6" s="271" t="str">
        <x:v>建立日</x:v>
      </x:c>
      <x:c r="E6" s="271" t="str">
        <x:v>主管決定</x:v>
      </x:c>
      <x:c r="F6" s="271" t="str">
        <x:v>項目結構</x:v>
      </x:c>
      <x:c r="G6" s="271" t="str">
        <x:v>啟用項目數</x:v>
      </x:c>
      <x:c r="H6" s="271" t="str">
        <x:v>未完成項目數</x:v>
      </x:c>
      <x:c r="I6" s="271" t="str">
        <x:v>關鍵必要數</x:v>
      </x:c>
      <x:c r="J6" s="271" t="str">
        <x:v>一般必要數</x:v>
      </x:c>
      <x:c r="K6" s="271" t="str">
        <x:v>觀察項目數</x:v>
      </x:c>
      <x:c r="L6" s="271" t="str">
        <x:v>生效日</x:v>
      </x:c>
      <x:c r="M6" s="271" t="str">
        <x:v>核定人</x:v>
      </x:c>
      <x:c r="N6" s="271" t="str">
        <x:v>核定日</x:v>
      </x:c>
      <x:c r="O6" s="271" t="str">
        <x:v>備註</x:v>
      </x:c>
      <x:c r="P6" s="271" t="str">
        <x:v>收件檢核</x:v>
      </x:c>
      <x:c r="Q6" s="271" t="str">
        <x:v>發布狀態</x:v>
      </x:c>
      <x:c r="R6" s="271" t="str">
        <x:v>已發布版本鍵</x:v>
      </x:c>
    </x:row>
    <x:row r="7">
      <x:c r="A7" s="281" t="str">
        <x:v>CHK-STERIL-01</x:v>
      </x:c>
      <x:c r="B7" s="281" t="str">
        <x:v>器械清消流程</x:v>
      </x:c>
      <x:c r="C7" s="281" t="str">
        <x:v>V1 草案</x:v>
      </x:c>
      <x:c r="D7" s="282" t="n">
        <x:v>46282</x:v>
      </x:c>
      <x:c r="E7" s="281" t="str">
        <x:v>待內容確認</x:v>
      </x:c>
      <x:c r="F7" s="281" t="str">
        <x:v>關鍵必要／一般必要／觀察項目</x:v>
      </x:c>
      <x:c r="G7" s="283" t="n">
        <x:f>COUNTIFS('檢核表項目輸入'!$B$7:$B$106,$A7,'檢核表項目輸入'!$K$7:$K$106,"是")</x:f>
        <x:v>1</x:v>
      </x:c>
      <x:c r="H7" s="283" t="n">
        <x:f>COUNTIFS('檢核表項目輸入'!$B$7:$B$106,$A7,'檢核表項目輸入'!$K$7:$K$106,"是",'檢核表項目輸入'!$P$7:$P$106,"&lt;&gt;可發布")</x:f>
        <x:v>1</x:v>
      </x:c>
      <x:c r="I7" s="283" t="n">
        <x:f>COUNTIFS('檢核表項目輸入'!$B$7:$B$106,$A7,'檢核表項目輸入'!$G$7:$G$106,"關鍵必要",'檢核表項目輸入'!$P$7:$P$106,"可發布")</x:f>
        <x:v>0</x:v>
      </x:c>
      <x:c r="J7" s="283" t="n">
        <x:f>COUNTIFS('檢核表項目輸入'!$B$7:$B$106,$A7,'檢核表項目輸入'!$G$7:$G$106,"一般必要",'檢核表項目輸入'!$P$7:$P$106,"可發布")</x:f>
        <x:v>0</x:v>
      </x:c>
      <x:c r="K7" s="283" t="n">
        <x:f>COUNTIFS('檢核表項目輸入'!$B$7:$B$106,$A7,'檢核表項目輸入'!$G$7:$G$106,"觀察項目",'檢核表項目輸入'!$P$7:$P$106,"可發布")</x:f>
        <x:v>0</x:v>
      </x:c>
      <x:c r="L7" s="282"/>
      <x:c r="M7" s="281"/>
      <x:c r="N7" s="282"/>
      <x:c r="O7" s="281"/>
      <x:c r="P7" s="283" t="str">
        <x:f>IF($A7="","",IF($E7="停用","停用",IF($E7&lt;&gt;"已核定","待主管核定",IF(OR($A7="",$B7="",$C7="",$D7="",$L7="",$M7="",$N7=""),"待補版本核定資料",IF($G7=0,"尚無檢核項目",IF($H7&gt;0,"仍有 "&amp;$H7&amp;" 項未完成","可發布"))))))</x:f>
        <x:v>待主管核定</x:v>
      </x:c>
      <x:c r="Q7" s="283" t="str">
        <x:f>IF($A7="","",IF($P7="可發布","已發布",$P7))</x:f>
        <x:v>待主管核定</x:v>
      </x:c>
      <x:c r="R7" s="283" t="str">
        <x:f>IF($Q7="已發布",$A7&amp;"|"&amp;$C7,"")</x:f>
      </x:c>
    </x:row>
    <x:row r="8">
      <x:c r="A8" s="281" t="str">
        <x:v>CHK-IMAGE-01</x:v>
      </x:c>
      <x:c r="B8" s="281" t="str">
        <x:v>影像操作（分項）</x:v>
      </x:c>
      <x:c r="C8" s="281" t="str">
        <x:v>V1 草案</x:v>
      </x:c>
      <x:c r="D8" s="282" t="n">
        <x:v>46282</x:v>
      </x:c>
      <x:c r="E8" s="281" t="str">
        <x:v>待內容確認</x:v>
      </x:c>
      <x:c r="F8" s="281" t="str">
        <x:v>PA、PANO、CT、側頭顱、手持 X 光機分項</x:v>
      </x:c>
      <x:c r="G8" s="283" t="n">
        <x:f>COUNTIFS('檢核表項目輸入'!$B$7:$B$106,$A8,'檢核表項目輸入'!$K$7:$K$106,"是")</x:f>
        <x:v>5</x:v>
      </x:c>
      <x:c r="H8" s="283" t="n">
        <x:f>COUNTIFS('檢核表項目輸入'!$B$7:$B$106,$A8,'檢核表項目輸入'!$K$7:$K$106,"是",'檢核表項目輸入'!$P$7:$P$106,"&lt;&gt;可發布")</x:f>
        <x:v>5</x:v>
      </x:c>
      <x:c r="I8" s="283" t="n">
        <x:f>COUNTIFS('檢核表項目輸入'!$B$7:$B$106,$A8,'檢核表項目輸入'!$G$7:$G$106,"關鍵必要",'檢核表項目輸入'!$P$7:$P$106,"可發布")</x:f>
        <x:v>0</x:v>
      </x:c>
      <x:c r="J8" s="283" t="n">
        <x:f>COUNTIFS('檢核表項目輸入'!$B$7:$B$106,$A8,'檢核表項目輸入'!$G$7:$G$106,"一般必要",'檢核表項目輸入'!$P$7:$P$106,"可發布")</x:f>
        <x:v>0</x:v>
      </x:c>
      <x:c r="K8" s="283" t="n">
        <x:f>COUNTIFS('檢核表項目輸入'!$B$7:$B$106,$A8,'檢核表項目輸入'!$G$7:$G$106,"觀察項目",'檢核表項目輸入'!$P$7:$P$106,"可發布")</x:f>
        <x:v>0</x:v>
      </x:c>
      <x:c r="L8" s="282"/>
      <x:c r="M8" s="281"/>
      <x:c r="N8" s="282"/>
      <x:c r="O8" s="281"/>
      <x:c r="P8" s="283" t="str">
        <x:f>IF($A8="","",IF($E8="停用","停用",IF($E8&lt;&gt;"已核定","待主管核定",IF(OR($A8="",$B8="",$C8="",$D8="",$L8="",$M8="",$N8=""),"待補版本核定資料",IF($G8=0,"尚無檢核項目",IF($H8&gt;0,"仍有 "&amp;$H8&amp;" 項未完成","可發布"))))))</x:f>
        <x:v>待主管核定</x:v>
      </x:c>
      <x:c r="Q8" s="283" t="str">
        <x:f>IF($A8="","",IF($P8="可發布","已發布",$P8))</x:f>
        <x:v>待主管核定</x:v>
      </x:c>
      <x:c r="R8" s="283" t="str">
        <x:f>IF($Q8="已發布",$A8&amp;"|"&amp;$C8,"")</x:f>
      </x:c>
    </x:row>
    <x:row r="9">
      <x:c r="A9" s="281" t="str">
        <x:v>CHK-IMPLANT-01</x:v>
      </x:c>
      <x:c r="B9" s="281" t="str">
        <x:v>植牙相關準備</x:v>
      </x:c>
      <x:c r="C9" s="281" t="str">
        <x:v>V1 草案</x:v>
      </x:c>
      <x:c r="D9" s="282" t="n">
        <x:v>46282</x:v>
      </x:c>
      <x:c r="E9" s="281" t="str">
        <x:v>待內容確認</x:v>
      </x:c>
      <x:c r="F9" s="281" t="str">
        <x:v>低頻高風險</x:v>
      </x:c>
      <x:c r="G9" s="283" t="n">
        <x:f>COUNTIFS('檢核表項目輸入'!$B$7:$B$106,$A9,'檢核表項目輸入'!$K$7:$K$106,"是")</x:f>
        <x:v>1</x:v>
      </x:c>
      <x:c r="H9" s="283" t="n">
        <x:f>COUNTIFS('檢核表項目輸入'!$B$7:$B$106,$A9,'檢核表項目輸入'!$K$7:$K$106,"是",'檢核表項目輸入'!$P$7:$P$106,"&lt;&gt;可發布")</x:f>
        <x:v>1</x:v>
      </x:c>
      <x:c r="I9" s="283" t="n">
        <x:f>COUNTIFS('檢核表項目輸入'!$B$7:$B$106,$A9,'檢核表項目輸入'!$G$7:$G$106,"關鍵必要",'檢核表項目輸入'!$P$7:$P$106,"可發布")</x:f>
        <x:v>0</x:v>
      </x:c>
      <x:c r="J9" s="283" t="n">
        <x:f>COUNTIFS('檢核表項目輸入'!$B$7:$B$106,$A9,'檢核表項目輸入'!$G$7:$G$106,"一般必要",'檢核表項目輸入'!$P$7:$P$106,"可發布")</x:f>
        <x:v>0</x:v>
      </x:c>
      <x:c r="K9" s="283" t="n">
        <x:f>COUNTIFS('檢核表項目輸入'!$B$7:$B$106,$A9,'檢核表項目輸入'!$G$7:$G$106,"觀察項目",'檢核表項目輸入'!$P$7:$P$106,"可發布")</x:f>
        <x:v>0</x:v>
      </x:c>
      <x:c r="L9" s="282"/>
      <x:c r="M9" s="281"/>
      <x:c r="N9" s="282"/>
      <x:c r="O9" s="281"/>
      <x:c r="P9" s="283" t="str">
        <x:f>IF($A9="","",IF($E9="停用","停用",IF($E9&lt;&gt;"已核定","待主管核定",IF(OR($A9="",$B9="",$C9="",$D9="",$L9="",$M9="",$N9=""),"待補版本核定資料",IF($G9=0,"尚無檢核項目",IF($H9&gt;0,"仍有 "&amp;$H9&amp;" 項未完成","可發布"))))))</x:f>
        <x:v>待主管核定</x:v>
      </x:c>
      <x:c r="Q9" s="283" t="str">
        <x:f>IF($A9="","",IF($P9="可發布","已發布",$P9))</x:f>
        <x:v>待主管核定</x:v>
      </x:c>
      <x:c r="R9" s="283" t="str">
        <x:f>IF($Q9="已發布",$A9&amp;"|"&amp;$C9,"")</x:f>
      </x:c>
    </x:row>
    <x:row r="10">
      <x:c r="A10" s="281" t="str">
        <x:v>CHK-PERIOSURG-01</x:v>
      </x:c>
      <x:c r="B10" s="281" t="str">
        <x:v>牙周手術相關準備</x:v>
      </x:c>
      <x:c r="C10" s="281" t="str">
        <x:v>V1 草案</x:v>
      </x:c>
      <x:c r="D10" s="282" t="n">
        <x:v>46282</x:v>
      </x:c>
      <x:c r="E10" s="281" t="str">
        <x:v>待內容確認</x:v>
      </x:c>
      <x:c r="F10" s="281" t="str">
        <x:v>低頻高風險</x:v>
      </x:c>
      <x:c r="G10" s="283" t="n">
        <x:f>COUNTIFS('檢核表項目輸入'!$B$7:$B$106,$A10,'檢核表項目輸入'!$K$7:$K$106,"是")</x:f>
        <x:v>1</x:v>
      </x:c>
      <x:c r="H10" s="283" t="n">
        <x:f>COUNTIFS('檢核表項目輸入'!$B$7:$B$106,$A10,'檢核表項目輸入'!$K$7:$K$106,"是",'檢核表項目輸入'!$P$7:$P$106,"&lt;&gt;可發布")</x:f>
        <x:v>1</x:v>
      </x:c>
      <x:c r="I10" s="283" t="n">
        <x:f>COUNTIFS('檢核表項目輸入'!$B$7:$B$106,$A10,'檢核表項目輸入'!$G$7:$G$106,"關鍵必要",'檢核表項目輸入'!$P$7:$P$106,"可發布")</x:f>
        <x:v>0</x:v>
      </x:c>
      <x:c r="J10" s="283" t="n">
        <x:f>COUNTIFS('檢核表項目輸入'!$B$7:$B$106,$A10,'檢核表項目輸入'!$G$7:$G$106,"一般必要",'檢核表項目輸入'!$P$7:$P$106,"可發布")</x:f>
        <x:v>0</x:v>
      </x:c>
      <x:c r="K10" s="283" t="n">
        <x:f>COUNTIFS('檢核表項目輸入'!$B$7:$B$106,$A10,'檢核表項目輸入'!$G$7:$G$106,"觀察項目",'檢核表項目輸入'!$P$7:$P$106,"可發布")</x:f>
        <x:v>0</x:v>
      </x:c>
      <x:c r="L10" s="282"/>
      <x:c r="M10" s="281"/>
      <x:c r="N10" s="282"/>
      <x:c r="O10" s="281"/>
      <x:c r="P10" s="283" t="str">
        <x:f>IF($A10="","",IF($E10="停用","停用",IF($E10&lt;&gt;"已核定","待主管核定",IF(OR($A10="",$B10="",$C10="",$D10="",$L10="",$M10="",$N10=""),"待補版本核定資料",IF($G10=0,"尚無檢核項目",IF($H10&gt;0,"仍有 "&amp;$H10&amp;" 項未完成","可發布"))))))</x:f>
        <x:v>待主管核定</x:v>
      </x:c>
      <x:c r="Q10" s="283" t="str">
        <x:f>IF($A10="","",IF($P10="可發布","已發布",$P10))</x:f>
        <x:v>待主管核定</x:v>
      </x:c>
      <x:c r="R10" s="283" t="str">
        <x:f>IF($Q10="已發布",$A10&amp;"|"&amp;$C10,"")</x:f>
      </x:c>
    </x:row>
    <x:row r="11">
      <x:c r="A11" s="281" t="str">
        <x:v>CHK-MICROENDO-01</x:v>
      </x:c>
      <x:c r="B11" s="281" t="str">
        <x:v>顯微根管相關準備</x:v>
      </x:c>
      <x:c r="C11" s="281" t="str">
        <x:v>V1 草案</x:v>
      </x:c>
      <x:c r="D11" s="282" t="n">
        <x:v>46282</x:v>
      </x:c>
      <x:c r="E11" s="281" t="str">
        <x:v>待內容確認</x:v>
      </x:c>
      <x:c r="F11" s="281" t="str">
        <x:v>低頻高風險</x:v>
      </x:c>
      <x:c r="G11" s="283" t="n">
        <x:f>COUNTIFS('檢核表項目輸入'!$B$7:$B$106,$A11,'檢核表項目輸入'!$K$7:$K$106,"是")</x:f>
        <x:v>1</x:v>
      </x:c>
      <x:c r="H11" s="283" t="n">
        <x:f>COUNTIFS('檢核表項目輸入'!$B$7:$B$106,$A11,'檢核表項目輸入'!$K$7:$K$106,"是",'檢核表項目輸入'!$P$7:$P$106,"&lt;&gt;可發布")</x:f>
        <x:v>1</x:v>
      </x:c>
      <x:c r="I11" s="283" t="n">
        <x:f>COUNTIFS('檢核表項目輸入'!$B$7:$B$106,$A11,'檢核表項目輸入'!$G$7:$G$106,"關鍵必要",'檢核表項目輸入'!$P$7:$P$106,"可發布")</x:f>
        <x:v>0</x:v>
      </x:c>
      <x:c r="J11" s="283" t="n">
        <x:f>COUNTIFS('檢核表項目輸入'!$B$7:$B$106,$A11,'檢核表項目輸入'!$G$7:$G$106,"一般必要",'檢核表項目輸入'!$P$7:$P$106,"可發布")</x:f>
        <x:v>0</x:v>
      </x:c>
      <x:c r="K11" s="283" t="n">
        <x:f>COUNTIFS('檢核表項目輸入'!$B$7:$B$106,$A11,'檢核表項目輸入'!$G$7:$G$106,"觀察項目",'檢核表項目輸入'!$P$7:$P$106,"可發布")</x:f>
        <x:v>0</x:v>
      </x:c>
      <x:c r="L11" s="282"/>
      <x:c r="M11" s="281"/>
      <x:c r="N11" s="282"/>
      <x:c r="O11" s="281"/>
      <x:c r="P11" s="283" t="str">
        <x:f>IF($A11="","",IF($E11="停用","停用",IF($E11&lt;&gt;"已核定","待主管核定",IF(OR($A11="",$B11="",$C11="",$D11="",$L11="",$M11="",$N11=""),"待補版本核定資料",IF($G11=0,"尚無檢核項目",IF($H11&gt;0,"仍有 "&amp;$H11&amp;" 項未完成","可發布"))))))</x:f>
        <x:v>待主管核定</x:v>
      </x:c>
      <x:c r="Q11" s="283" t="str">
        <x:f>IF($A11="","",IF($P11="可發布","已發布",$P11))</x:f>
        <x:v>待主管核定</x:v>
      </x:c>
      <x:c r="R11" s="283" t="str">
        <x:f>IF($Q11="已發布",$A11&amp;"|"&amp;$C11,"")</x:f>
      </x:c>
    </x:row>
    <x:row r="12">
      <x:c r="A12" s="281" t="str">
        <x:v>CHK-SEDATION-01</x:v>
      </x:c>
      <x:c r="B12" s="281" t="str">
        <x:v>舒眠手術相關準備</x:v>
      </x:c>
      <x:c r="C12" s="281" t="str">
        <x:v>V1 草案</x:v>
      </x:c>
      <x:c r="D12" s="282" t="n">
        <x:v>46282</x:v>
      </x:c>
      <x:c r="E12" s="281" t="str">
        <x:v>待內容確認</x:v>
      </x:c>
      <x:c r="F12" s="281" t="str">
        <x:v>低頻高風險</x:v>
      </x:c>
      <x:c r="G12" s="283" t="n">
        <x:f>COUNTIFS('檢核表項目輸入'!$B$7:$B$106,$A12,'檢核表項目輸入'!$K$7:$K$106,"是")</x:f>
        <x:v>1</x:v>
      </x:c>
      <x:c r="H12" s="283" t="n">
        <x:f>COUNTIFS('檢核表項目輸入'!$B$7:$B$106,$A12,'檢核表項目輸入'!$K$7:$K$106,"是",'檢核表項目輸入'!$P$7:$P$106,"&lt;&gt;可發布")</x:f>
        <x:v>1</x:v>
      </x:c>
      <x:c r="I12" s="283" t="n">
        <x:f>COUNTIFS('檢核表項目輸入'!$B$7:$B$106,$A12,'檢核表項目輸入'!$G$7:$G$106,"關鍵必要",'檢核表項目輸入'!$P$7:$P$106,"可發布")</x:f>
        <x:v>0</x:v>
      </x:c>
      <x:c r="J12" s="283" t="n">
        <x:f>COUNTIFS('檢核表項目輸入'!$B$7:$B$106,$A12,'檢核表項目輸入'!$G$7:$G$106,"一般必要",'檢核表項目輸入'!$P$7:$P$106,"可發布")</x:f>
        <x:v>0</x:v>
      </x:c>
      <x:c r="K12" s="283" t="n">
        <x:f>COUNTIFS('檢核表項目輸入'!$B$7:$B$106,$A12,'檢核表項目輸入'!$G$7:$G$106,"觀察項目",'檢核表項目輸入'!$P$7:$P$106,"可發布")</x:f>
        <x:v>0</x:v>
      </x:c>
      <x:c r="L12" s="282"/>
      <x:c r="M12" s="281"/>
      <x:c r="N12" s="282"/>
      <x:c r="O12" s="281"/>
      <x:c r="P12" s="283" t="str">
        <x:f>IF($A12="","",IF($E12="停用","停用",IF($E12&lt;&gt;"已核定","待主管核定",IF(OR($A12="",$B12="",$C12="",$D12="",$L12="",$M12="",$N12=""),"待補版本核定資料",IF($G12=0,"尚無檢核項目",IF($H12&gt;0,"仍有 "&amp;$H12&amp;" 項未完成","可發布"))))))</x:f>
        <x:v>待主管核定</x:v>
      </x:c>
      <x:c r="Q12" s="283" t="str">
        <x:f>IF($A12="","",IF($P12="可發布","已發布",$P12))</x:f>
        <x:v>待主管核定</x:v>
      </x:c>
      <x:c r="R12" s="283" t="str">
        <x:f>IF($Q12="已發布",$A12&amp;"|"&amp;$C12,"")</x:f>
      </x:c>
    </x:row>
    <x:row r="13">
      <x:c r="A13" s="281" t="str">
        <x:v>CHK-RPD-FINAL-01</x:v>
      </x:c>
      <x:c r="B13" s="281" t="str">
        <x:v>RPD 印最終模</x:v>
      </x:c>
      <x:c r="C13" s="281" t="str">
        <x:v>V1 草案</x:v>
      </x:c>
      <x:c r="D13" s="282" t="n">
        <x:v>46282</x:v>
      </x:c>
      <x:c r="E13" s="281" t="str">
        <x:v>待內容確認</x:v>
      </x:c>
      <x:c r="F13" s="281" t="str">
        <x:v>低頻高風險</x:v>
      </x:c>
      <x:c r="G13" s="283" t="n">
        <x:f>COUNTIFS('檢核表項目輸入'!$B$7:$B$106,$A13,'檢核表項目輸入'!$K$7:$K$106,"是")</x:f>
        <x:v>1</x:v>
      </x:c>
      <x:c r="H13" s="283" t="n">
        <x:f>COUNTIFS('檢核表項目輸入'!$B$7:$B$106,$A13,'檢核表項目輸入'!$K$7:$K$106,"是",'檢核表項目輸入'!$P$7:$P$106,"&lt;&gt;可發布")</x:f>
        <x:v>1</x:v>
      </x:c>
      <x:c r="I13" s="283" t="n">
        <x:f>COUNTIFS('檢核表項目輸入'!$B$7:$B$106,$A13,'檢核表項目輸入'!$G$7:$G$106,"關鍵必要",'檢核表項目輸入'!$P$7:$P$106,"可發布")</x:f>
        <x:v>0</x:v>
      </x:c>
      <x:c r="J13" s="283" t="n">
        <x:f>COUNTIFS('檢核表項目輸入'!$B$7:$B$106,$A13,'檢核表項目輸入'!$G$7:$G$106,"一般必要",'檢核表項目輸入'!$P$7:$P$106,"可發布")</x:f>
        <x:v>0</x:v>
      </x:c>
      <x:c r="K13" s="283" t="n">
        <x:f>COUNTIFS('檢核表項目輸入'!$B$7:$B$106,$A13,'檢核表項目輸入'!$G$7:$G$106,"觀察項目",'檢核表項目輸入'!$P$7:$P$106,"可發布")</x:f>
        <x:v>0</x:v>
      </x:c>
      <x:c r="L13" s="282"/>
      <x:c r="M13" s="281"/>
      <x:c r="N13" s="282"/>
      <x:c r="O13" s="281"/>
      <x:c r="P13" s="283" t="str">
        <x:f>IF($A13="","",IF($E13="停用","停用",IF($E13&lt;&gt;"已核定","待主管核定",IF(OR($A13="",$B13="",$C13="",$D13="",$L13="",$M13="",$N13=""),"待補版本核定資料",IF($G13=0,"尚無檢核項目",IF($H13&gt;0,"仍有 "&amp;$H13&amp;" 項未完成","可發布"))))))</x:f>
        <x:v>待主管核定</x:v>
      </x:c>
      <x:c r="Q13" s="283" t="str">
        <x:f>IF($A13="","",IF($P13="可發布","已發布",$P13))</x:f>
        <x:v>待主管核定</x:v>
      </x:c>
      <x:c r="R13" s="283" t="str">
        <x:f>IF($Q13="已發布",$A13&amp;"|"&amp;$C13,"")</x:f>
      </x:c>
    </x:row>
  </x:sheetData>
  <x:mergeCells>
    <x:mergeCell ref="A2:R2"/>
    <x:mergeCell ref="A4:R4"/>
  </x:mergeCells>
  <x:conditionalFormatting sqref="P7:P13">
    <x:cfRule type="containsText" dxfId="71" priority="1" operator="containsText" text="可發布"/>
  </x:conditionalFormatting>
  <x:conditionalFormatting sqref="P7:Q13">
    <x:cfRule type="containsText" dxfId="72" priority="2" operator="containsText" text="仍有"/>
  </x:conditionalFormatting>
  <x:conditionalFormatting sqref="Q7:Q13">
    <x:cfRule type="containsText" dxfId="73" priority="3" operator="containsText" text="已發布"/>
  </x:conditionalFormatting>
  <x:dataValidations count="1">
    <x:dataValidation type="list" sqref="E7:E13">
      <x:formula1>"待內容確認,送審,已核定,退回補件,停用"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8b3fed893e4761"/>
  </x:tableParts>
</x:worksheet>
</file>

<file path=xl/worksheets/sheet22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28" hidden="0" customWidth="1"/>
    <x:col min="6" max="6" width="24" hidden="0" customWidth="1"/>
    <x:col min="7" max="7" width="16" hidden="0" customWidth="1"/>
    <x:col min="8" max="8" width="16" hidden="0" customWidth="1"/>
    <x:col min="9" max="9" width="20" hidden="0" customWidth="1"/>
    <x:col min="10" max="10" width="20" hidden="0" customWidth="1"/>
    <x:col min="11" max="11" width="20" hidden="0" customWidth="1"/>
    <x:col min="12" max="12" width="16" hidden="0" customWidth="1"/>
    <x:col min="13" max="13" width="14" hidden="0" customWidth="1"/>
    <x:col min="14" max="14" width="40" hidden="0" customWidth="1"/>
    <x:col min="15" max="15" width="16" hidden="0" customWidth="1"/>
    <x:col min="16" max="16" width="14" hidden="0" customWidth="1"/>
    <x:col min="17" max="17" width="18" hidden="0" customWidth="1"/>
    <x:col min="18" max="18" width="20" hidden="0" customWidth="1"/>
    <x:col min="19" max="19" width="28" hidden="0" customWidth="1"/>
    <x:col min="20" max="20" width="24" hidden="0" customWidth="1"/>
    <x:col min="21" max="21" width="24" hidden="0" customWidth="1"/>
  </x:cols>
  <x:sheetData>
    <x:row r="2">
      <x:c r="A2" s="74" t="str">
        <x:v>正式考核紀錄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</x:row>
    <x:row r="4">
      <x:c r="A4" s="75" t="str">
        <x:v>必要步驟若需提醒即未通過。通過後建議評等為 Ø；最終能力仍須進入主管核定中心。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</x:row>
    <x:row r="6">
      <x:c r="A6" s="104" t="str">
        <x:v>考核編號</x:v>
      </x:c>
      <x:c r="B6" s="104" t="str">
        <x:v>考核日</x:v>
      </x:c>
      <x:c r="C6" s="104" t="str">
        <x:v>員工編號</x:v>
      </x:c>
      <x:c r="D6" s="104" t="str">
        <x:v>姓名</x:v>
      </x:c>
      <x:c r="E6" s="104" t="str">
        <x:v>技能代碼</x:v>
      </x:c>
      <x:c r="F6" s="104" t="str">
        <x:v>檢核表代碼</x:v>
      </x:c>
      <x:c r="G6" s="104" t="str">
        <x:v>檢核表版本</x:v>
      </x:c>
      <x:c r="H6" s="104" t="str">
        <x:v>考核人</x:v>
      </x:c>
      <x:c r="I6" s="104" t="str">
        <x:v>關鍵必要未通過數</x:v>
      </x:c>
      <x:c r="J6" s="104" t="str">
        <x:v>一般必要需提醒數</x:v>
      </x:c>
      <x:c r="K6" s="104" t="str">
        <x:v>觀察項目問題</x:v>
      </x:c>
      <x:c r="L6" s="104" t="str">
        <x:v>整體結果</x:v>
      </x:c>
      <x:c r="M6" s="104" t="str">
        <x:v>建議評等</x:v>
      </x:c>
      <x:c r="N6" s="104" t="str">
        <x:v>改善事項</x:v>
      </x:c>
      <x:c r="O6" s="104" t="str">
        <x:v>助理已知悉</x:v>
      </x:c>
      <x:c r="P6" s="104" t="str">
        <x:v>知悉日</x:v>
      </x:c>
      <x:c r="Q6" s="104" t="str">
        <x:v>異議狀態</x:v>
      </x:c>
      <x:c r="R6" s="271" t="str">
        <x:v>檢核表版本狀態</x:v>
      </x:c>
      <x:c r="S6" s="271" t="str">
        <x:v>考核收件檢核</x:v>
      </x:c>
      <x:c r="T6" s="271" t="str">
        <x:v>正式採用狀態</x:v>
      </x:c>
      <x:c r="U6" s="271" t="str">
        <x:v>主管處理提示</x:v>
      </x:c>
    </x:row>
    <x:row r="7">
      <x:c r="A7" s="106"/>
      <x:c r="B7" s="284"/>
      <x:c r="C7" s="106"/>
      <x:c r="D7" s="107" t="str">
        <x:f>IF($C7="","",_xlfn.XLOOKUP($C7,'試行員工主檔'!$A$7:$A$20,'試行員工主檔'!$B$7:$B$20,"員工未建立",0))</x:f>
      </x:c>
      <x:c r="E7" s="106"/>
      <x:c r="F7" s="106"/>
      <x:c r="G7" s="106"/>
      <x:c r="H7" s="106"/>
      <x:c r="I7" s="106"/>
      <x:c r="J7" s="106"/>
      <x:c r="K7" s="106"/>
      <x:c r="L7" s="107" t="str">
        <x:f>IF($A7="","",IF(OR($B7="",$C7="",$E7="",$F7="",$G7="",$H7=""),"資料未完整",IF(OR($I7&gt;0,$J7&gt;0),"未通過","通過")))</x:f>
      </x:c>
      <x:c r="M7" s="107" t="str">
        <x:f>IF($L7="通過","Ø",IF($L7="未通過","△",""))</x:f>
      </x:c>
      <x:c r="N7" s="106"/>
      <x:c r="O7" s="106"/>
      <x:c r="P7" s="284"/>
      <x:c r="Q7" s="106"/>
      <x:c r="R7" s="280" t="str">
        <x:f>IF($A7="","",_xlfn.XLOOKUP($F7&amp;"|"&amp;$G7,'檢核表版本'!$R$7:$R$13,'檢核表版本'!$Q$7:$Q$13,"未發布版本",0))</x:f>
      </x:c>
      <x:c r="S7" s="280" t="str">
        <x:f>IF($A7="","",IF(OR(LEN($B7)=0,LEN($C7)=0,LEN($E7)=0,LEN($F7)=0,LEN($G7)=0,LEN($H7)=0,LEN($I7)=0,LEN($J7)=0,LEN($L7)=0,LEN($M7)=0,LEN($O7)=0),"待補欄位",IF($R7&lt;&gt;"已發布","檢核表版本未發布",IF(AND($L7="通過",OR($I7&gt;0,$J7&gt;0)),"結果與必要項目矛盾",IF(AND($L7="通過",$M7&lt;&gt;"Ø"),"通過後建議評等應為 Ø",IF($O7&lt;&gt;"已知悉","待助理知悉",IF($P7="","待補知悉日",IF(OR($Q7="有異議",$Q7="複核中"),"異議處理中","可送主管核定"))))))))</x:f>
      </x:c>
      <x:c r="T7" s="280" t="str">
        <x:f>IF($A7="","",IF($S7="可送主管核定","可進入主管核定",$S7))</x:f>
      </x:c>
      <x:c r="U7" s="280" t="str">
        <x:f>IF($A7="","",IF($R7&lt;&gt;"已發布","先發布檢核表版本",IF($S7="可送主管核定","送主管核定中心",IF($S7="異議處理中","先完成異議複核","補齊或更正考核資料"))))</x:f>
      </x:c>
    </x:row>
    <x:row r="8">
      <x:c r="A8" s="106"/>
      <x:c r="B8" s="284"/>
      <x:c r="C8" s="106"/>
      <x:c r="D8" s="107" t="str">
        <x:f>IF($C8="","",_xlfn.XLOOKUP($C8,'試行員工主檔'!$A$7:$A$20,'試行員工主檔'!$B$7:$B$20,"員工未建立",0))</x:f>
      </x:c>
      <x:c r="E8" s="106"/>
      <x:c r="F8" s="106"/>
      <x:c r="G8" s="106"/>
      <x:c r="H8" s="106"/>
      <x:c r="I8" s="106"/>
      <x:c r="J8" s="106"/>
      <x:c r="K8" s="106"/>
      <x:c r="L8" s="107" t="str">
        <x:f>IF($A8="","",IF(OR($B8="",$C8="",$E8="",$F8="",$G8="",$H8=""),"資料未完整",IF(OR($I8&gt;0,$J8&gt;0),"未通過","通過")))</x:f>
      </x:c>
      <x:c r="M8" s="107" t="str">
        <x:f>IF($L8="通過","Ø",IF($L8="未通過","△",""))</x:f>
      </x:c>
      <x:c r="N8" s="106"/>
      <x:c r="O8" s="106"/>
      <x:c r="P8" s="284"/>
      <x:c r="Q8" s="106"/>
      <x:c r="R8" s="280" t="str">
        <x:f>IF($A8="","",_xlfn.XLOOKUP($F8&amp;"|"&amp;$G8,'檢核表版本'!$R$7:$R$13,'檢核表版本'!$Q$7:$Q$13,"未發布版本",0))</x:f>
      </x:c>
      <x:c r="S8" s="280" t="str">
        <x:f>IF($A8="","",IF(OR(LEN($B8)=0,LEN($C8)=0,LEN($E8)=0,LEN($F8)=0,LEN($G8)=0,LEN($H8)=0,LEN($I8)=0,LEN($J8)=0,LEN($L8)=0,LEN($M8)=0,LEN($O8)=0),"待補欄位",IF($R8&lt;&gt;"已發布","檢核表版本未發布",IF(AND($L8="通過",OR($I8&gt;0,$J8&gt;0)),"結果與必要項目矛盾",IF(AND($L8="通過",$M8&lt;&gt;"Ø"),"通過後建議評等應為 Ø",IF($O8&lt;&gt;"已知悉","待助理知悉",IF($P8="","待補知悉日",IF(OR($Q8="有異議",$Q8="複核中"),"異議處理中","可送主管核定"))))))))</x:f>
      </x:c>
      <x:c r="T8" s="280" t="str">
        <x:f>IF($A8="","",IF($S8="可送主管核定","可進入主管核定",$S8))</x:f>
      </x:c>
      <x:c r="U8" s="280" t="str">
        <x:f>IF($A8="","",IF($R8&lt;&gt;"已發布","先發布檢核表版本",IF($S8="可送主管核定","送主管核定中心",IF($S8="異議處理中","先完成異議複核","補齊或更正考核資料"))))</x:f>
      </x:c>
    </x:row>
    <x:row r="9">
      <x:c r="A9" s="106"/>
      <x:c r="B9" s="284"/>
      <x:c r="C9" s="106"/>
      <x:c r="D9" s="107" t="str">
        <x:f>IF($C9="","",_xlfn.XLOOKUP($C9,'試行員工主檔'!$A$7:$A$20,'試行員工主檔'!$B$7:$B$20,"員工未建立",0))</x:f>
      </x:c>
      <x:c r="E9" s="106"/>
      <x:c r="F9" s="106"/>
      <x:c r="G9" s="106"/>
      <x:c r="H9" s="106"/>
      <x:c r="I9" s="106"/>
      <x:c r="J9" s="106"/>
      <x:c r="K9" s="106"/>
      <x:c r="L9" s="107" t="str">
        <x:f>IF($A9="","",IF(OR($B9="",$C9="",$E9="",$F9="",$G9="",$H9=""),"資料未完整",IF(OR($I9&gt;0,$J9&gt;0),"未通過","通過")))</x:f>
      </x:c>
      <x:c r="M9" s="107" t="str">
        <x:f>IF($L9="通過","Ø",IF($L9="未通過","△",""))</x:f>
      </x:c>
      <x:c r="N9" s="106"/>
      <x:c r="O9" s="106"/>
      <x:c r="P9" s="284"/>
      <x:c r="Q9" s="106"/>
      <x:c r="R9" s="280" t="str">
        <x:f>IF($A9="","",_xlfn.XLOOKUP($F9&amp;"|"&amp;$G9,'檢核表版本'!$R$7:$R$13,'檢核表版本'!$Q$7:$Q$13,"未發布版本",0))</x:f>
      </x:c>
      <x:c r="S9" s="280" t="str">
        <x:f>IF($A9="","",IF(OR(LEN($B9)=0,LEN($C9)=0,LEN($E9)=0,LEN($F9)=0,LEN($G9)=0,LEN($H9)=0,LEN($I9)=0,LEN($J9)=0,LEN($L9)=0,LEN($M9)=0,LEN($O9)=0),"待補欄位",IF($R9&lt;&gt;"已發布","檢核表版本未發布",IF(AND($L9="通過",OR($I9&gt;0,$J9&gt;0)),"結果與必要項目矛盾",IF(AND($L9="通過",$M9&lt;&gt;"Ø"),"通過後建議評等應為 Ø",IF($O9&lt;&gt;"已知悉","待助理知悉",IF($P9="","待補知悉日",IF(OR($Q9="有異議",$Q9="複核中"),"異議處理中","可送主管核定"))))))))</x:f>
      </x:c>
      <x:c r="T9" s="280" t="str">
        <x:f>IF($A9="","",IF($S9="可送主管核定","可進入主管核定",$S9))</x:f>
      </x:c>
      <x:c r="U9" s="280" t="str">
        <x:f>IF($A9="","",IF($R9&lt;&gt;"已發布","先發布檢核表版本",IF($S9="可送主管核定","送主管核定中心",IF($S9="異議處理中","先完成異議複核","補齊或更正考核資料"))))</x:f>
      </x:c>
    </x:row>
    <x:row r="10">
      <x:c r="A10" s="106"/>
      <x:c r="B10" s="284"/>
      <x:c r="C10" s="106"/>
      <x:c r="D10" s="107" t="str">
        <x:f>IF($C10="","",_xlfn.XLOOKUP($C10,'試行員工主檔'!$A$7:$A$20,'試行員工主檔'!$B$7:$B$20,"員工未建立",0))</x:f>
      </x:c>
      <x:c r="E10" s="106"/>
      <x:c r="F10" s="106"/>
      <x:c r="G10" s="106"/>
      <x:c r="H10" s="106"/>
      <x:c r="I10" s="106"/>
      <x:c r="J10" s="106"/>
      <x:c r="K10" s="106"/>
      <x:c r="L10" s="107" t="str">
        <x:f>IF($A10="","",IF(OR($B10="",$C10="",$E10="",$F10="",$G10="",$H10=""),"資料未完整",IF(OR($I10&gt;0,$J10&gt;0),"未通過","通過")))</x:f>
      </x:c>
      <x:c r="M10" s="107" t="str">
        <x:f>IF($L10="通過","Ø",IF($L10="未通過","△",""))</x:f>
      </x:c>
      <x:c r="N10" s="106"/>
      <x:c r="O10" s="106"/>
      <x:c r="P10" s="284"/>
      <x:c r="Q10" s="106"/>
      <x:c r="R10" s="280" t="str">
        <x:f>IF($A10="","",_xlfn.XLOOKUP($F10&amp;"|"&amp;$G10,'檢核表版本'!$R$7:$R$13,'檢核表版本'!$Q$7:$Q$13,"未發布版本",0))</x:f>
      </x:c>
      <x:c r="S10" s="280" t="str">
        <x:f>IF($A10="","",IF(OR(LEN($B10)=0,LEN($C10)=0,LEN($E10)=0,LEN($F10)=0,LEN($G10)=0,LEN($H10)=0,LEN($I10)=0,LEN($J10)=0,LEN($L10)=0,LEN($M10)=0,LEN($O10)=0),"待補欄位",IF($R10&lt;&gt;"已發布","檢核表版本未發布",IF(AND($L10="通過",OR($I10&gt;0,$J10&gt;0)),"結果與必要項目矛盾",IF(AND($L10="通過",$M10&lt;&gt;"Ø"),"通過後建議評等應為 Ø",IF($O10&lt;&gt;"已知悉","待助理知悉",IF($P10="","待補知悉日",IF(OR($Q10="有異議",$Q10="複核中"),"異議處理中","可送主管核定"))))))))</x:f>
      </x:c>
      <x:c r="T10" s="280" t="str">
        <x:f>IF($A10="","",IF($S10="可送主管核定","可進入主管核定",$S10))</x:f>
      </x:c>
      <x:c r="U10" s="280" t="str">
        <x:f>IF($A10="","",IF($R10&lt;&gt;"已發布","先發布檢核表版本",IF($S10="可送主管核定","送主管核定中心",IF($S10="異議處理中","先完成異議複核","補齊或更正考核資料"))))</x:f>
      </x:c>
    </x:row>
    <x:row r="11">
      <x:c r="A11" s="106"/>
      <x:c r="B11" s="284"/>
      <x:c r="C11" s="106"/>
      <x:c r="D11" s="107" t="str">
        <x:f>IF($C11="","",_xlfn.XLOOKUP($C11,'試行員工主檔'!$A$7:$A$20,'試行員工主檔'!$B$7:$B$20,"員工未建立",0))</x:f>
      </x:c>
      <x:c r="E11" s="106"/>
      <x:c r="F11" s="106"/>
      <x:c r="G11" s="106"/>
      <x:c r="H11" s="106"/>
      <x:c r="I11" s="106"/>
      <x:c r="J11" s="106"/>
      <x:c r="K11" s="106"/>
      <x:c r="L11" s="107" t="str">
        <x:f>IF($A11="","",IF(OR($B11="",$C11="",$E11="",$F11="",$G11="",$H11=""),"資料未完整",IF(OR($I11&gt;0,$J11&gt;0),"未通過","通過")))</x:f>
      </x:c>
      <x:c r="M11" s="107" t="str">
        <x:f>IF($L11="通過","Ø",IF($L11="未通過","△",""))</x:f>
      </x:c>
      <x:c r="N11" s="106"/>
      <x:c r="O11" s="106"/>
      <x:c r="P11" s="284"/>
      <x:c r="Q11" s="106"/>
      <x:c r="R11" s="280" t="str">
        <x:f>IF($A11="","",_xlfn.XLOOKUP($F11&amp;"|"&amp;$G11,'檢核表版本'!$R$7:$R$13,'檢核表版本'!$Q$7:$Q$13,"未發布版本",0))</x:f>
      </x:c>
      <x:c r="S11" s="280" t="str">
        <x:f>IF($A11="","",IF(OR(LEN($B11)=0,LEN($C11)=0,LEN($E11)=0,LEN($F11)=0,LEN($G11)=0,LEN($H11)=0,LEN($I11)=0,LEN($J11)=0,LEN($L11)=0,LEN($M11)=0,LEN($O11)=0),"待補欄位",IF($R11&lt;&gt;"已發布","檢核表版本未發布",IF(AND($L11="通過",OR($I11&gt;0,$J11&gt;0)),"結果與必要項目矛盾",IF(AND($L11="通過",$M11&lt;&gt;"Ø"),"通過後建議評等應為 Ø",IF($O11&lt;&gt;"已知悉","待助理知悉",IF($P11="","待補知悉日",IF(OR($Q11="有異議",$Q11="複核中"),"異議處理中","可送主管核定"))))))))</x:f>
      </x:c>
      <x:c r="T11" s="280" t="str">
        <x:f>IF($A11="","",IF($S11="可送主管核定","可進入主管核定",$S11))</x:f>
      </x:c>
      <x:c r="U11" s="280" t="str">
        <x:f>IF($A11="","",IF($R11&lt;&gt;"已發布","先發布檢核表版本",IF($S11="可送主管核定","送主管核定中心",IF($S11="異議處理中","先完成異議複核","補齊或更正考核資料"))))</x:f>
      </x:c>
    </x:row>
    <x:row r="12">
      <x:c r="A12" s="106"/>
      <x:c r="B12" s="284"/>
      <x:c r="C12" s="106"/>
      <x:c r="D12" s="107" t="str">
        <x:f>IF($C12="","",_xlfn.XLOOKUP($C12,'試行員工主檔'!$A$7:$A$20,'試行員工主檔'!$B$7:$B$20,"員工未建立",0))</x:f>
      </x:c>
      <x:c r="E12" s="106"/>
      <x:c r="F12" s="106"/>
      <x:c r="G12" s="106"/>
      <x:c r="H12" s="106"/>
      <x:c r="I12" s="106"/>
      <x:c r="J12" s="106"/>
      <x:c r="K12" s="106"/>
      <x:c r="L12" s="107" t="str">
        <x:f>IF($A12="","",IF(OR($B12="",$C12="",$E12="",$F12="",$G12="",$H12=""),"資料未完整",IF(OR($I12&gt;0,$J12&gt;0),"未通過","通過")))</x:f>
      </x:c>
      <x:c r="M12" s="107" t="str">
        <x:f>IF($L12="通過","Ø",IF($L12="未通過","△",""))</x:f>
      </x:c>
      <x:c r="N12" s="106"/>
      <x:c r="O12" s="106"/>
      <x:c r="P12" s="284"/>
      <x:c r="Q12" s="106"/>
      <x:c r="R12" s="280" t="str">
        <x:f>IF($A12="","",_xlfn.XLOOKUP($F12&amp;"|"&amp;$G12,'檢核表版本'!$R$7:$R$13,'檢核表版本'!$Q$7:$Q$13,"未發布版本",0))</x:f>
      </x:c>
      <x:c r="S12" s="280" t="str">
        <x:f>IF($A12="","",IF(OR(LEN($B12)=0,LEN($C12)=0,LEN($E12)=0,LEN($F12)=0,LEN($G12)=0,LEN($H12)=0,LEN($I12)=0,LEN($J12)=0,LEN($L12)=0,LEN($M12)=0,LEN($O12)=0),"待補欄位",IF($R12&lt;&gt;"已發布","檢核表版本未發布",IF(AND($L12="通過",OR($I12&gt;0,$J12&gt;0)),"結果與必要項目矛盾",IF(AND($L12="通過",$M12&lt;&gt;"Ø"),"通過後建議評等應為 Ø",IF($O12&lt;&gt;"已知悉","待助理知悉",IF($P12="","待補知悉日",IF(OR($Q12="有異議",$Q12="複核中"),"異議處理中","可送主管核定"))))))))</x:f>
      </x:c>
      <x:c r="T12" s="280" t="str">
        <x:f>IF($A12="","",IF($S12="可送主管核定","可進入主管核定",$S12))</x:f>
      </x:c>
      <x:c r="U12" s="280" t="str">
        <x:f>IF($A12="","",IF($R12&lt;&gt;"已發布","先發布檢核表版本",IF($S12="可送主管核定","送主管核定中心",IF($S12="異議處理中","先完成異議複核","補齊或更正考核資料"))))</x:f>
      </x:c>
    </x:row>
    <x:row r="13">
      <x:c r="A13" s="106"/>
      <x:c r="B13" s="284"/>
      <x:c r="C13" s="106"/>
      <x:c r="D13" s="107" t="str">
        <x:f>IF($C13="","",_xlfn.XLOOKUP($C13,'試行員工主檔'!$A$7:$A$20,'試行員工主檔'!$B$7:$B$20,"員工未建立",0))</x:f>
      </x:c>
      <x:c r="E13" s="106"/>
      <x:c r="F13" s="106"/>
      <x:c r="G13" s="106"/>
      <x:c r="H13" s="106"/>
      <x:c r="I13" s="106"/>
      <x:c r="J13" s="106"/>
      <x:c r="K13" s="106"/>
      <x:c r="L13" s="107" t="str">
        <x:f>IF($A13="","",IF(OR($B13="",$C13="",$E13="",$F13="",$G13="",$H13=""),"資料未完整",IF(OR($I13&gt;0,$J13&gt;0),"未通過","通過")))</x:f>
      </x:c>
      <x:c r="M13" s="107" t="str">
        <x:f>IF($L13="通過","Ø",IF($L13="未通過","△",""))</x:f>
      </x:c>
      <x:c r="N13" s="106"/>
      <x:c r="O13" s="106"/>
      <x:c r="P13" s="284"/>
      <x:c r="Q13" s="106"/>
      <x:c r="R13" s="280" t="str">
        <x:f>IF($A13="","",_xlfn.XLOOKUP($F13&amp;"|"&amp;$G13,'檢核表版本'!$R$7:$R$13,'檢核表版本'!$Q$7:$Q$13,"未發布版本",0))</x:f>
      </x:c>
      <x:c r="S13" s="280" t="str">
        <x:f>IF($A13="","",IF(OR(LEN($B13)=0,LEN($C13)=0,LEN($E13)=0,LEN($F13)=0,LEN($G13)=0,LEN($H13)=0,LEN($I13)=0,LEN($J13)=0,LEN($L13)=0,LEN($M13)=0,LEN($O13)=0),"待補欄位",IF($R13&lt;&gt;"已發布","檢核表版本未發布",IF(AND($L13="通過",OR($I13&gt;0,$J13&gt;0)),"結果與必要項目矛盾",IF(AND($L13="通過",$M13&lt;&gt;"Ø"),"通過後建議評等應為 Ø",IF($O13&lt;&gt;"已知悉","待助理知悉",IF($P13="","待補知悉日",IF(OR($Q13="有異議",$Q13="複核中"),"異議處理中","可送主管核定"))))))))</x:f>
      </x:c>
      <x:c r="T13" s="280" t="str">
        <x:f>IF($A13="","",IF($S13="可送主管核定","可進入主管核定",$S13))</x:f>
      </x:c>
      <x:c r="U13" s="280" t="str">
        <x:f>IF($A13="","",IF($R13&lt;&gt;"已發布","先發布檢核表版本",IF($S13="可送主管核定","送主管核定中心",IF($S13="異議處理中","先完成異議複核","補齊或更正考核資料"))))</x:f>
      </x:c>
    </x:row>
    <x:row r="14">
      <x:c r="A14" s="106"/>
      <x:c r="B14" s="284"/>
      <x:c r="C14" s="106"/>
      <x:c r="D14" s="107" t="str">
        <x:f>IF($C14="","",_xlfn.XLOOKUP($C14,'試行員工主檔'!$A$7:$A$20,'試行員工主檔'!$B$7:$B$20,"員工未建立",0))</x:f>
      </x:c>
      <x:c r="E14" s="106"/>
      <x:c r="F14" s="106"/>
      <x:c r="G14" s="106"/>
      <x:c r="H14" s="106"/>
      <x:c r="I14" s="106"/>
      <x:c r="J14" s="106"/>
      <x:c r="K14" s="106"/>
      <x:c r="L14" s="107" t="str">
        <x:f>IF($A14="","",IF(OR($B14="",$C14="",$E14="",$F14="",$G14="",$H14=""),"資料未完整",IF(OR($I14&gt;0,$J14&gt;0),"未通過","通過")))</x:f>
      </x:c>
      <x:c r="M14" s="107" t="str">
        <x:f>IF($L14="通過","Ø",IF($L14="未通過","△",""))</x:f>
      </x:c>
      <x:c r="N14" s="106"/>
      <x:c r="O14" s="106"/>
      <x:c r="P14" s="284"/>
      <x:c r="Q14" s="106"/>
      <x:c r="R14" s="280" t="str">
        <x:f>IF($A14="","",_xlfn.XLOOKUP($F14&amp;"|"&amp;$G14,'檢核表版本'!$R$7:$R$13,'檢核表版本'!$Q$7:$Q$13,"未發布版本",0))</x:f>
      </x:c>
      <x:c r="S14" s="280" t="str">
        <x:f>IF($A14="","",IF(OR(LEN($B14)=0,LEN($C14)=0,LEN($E14)=0,LEN($F14)=0,LEN($G14)=0,LEN($H14)=0,LEN($I14)=0,LEN($J14)=0,LEN($L14)=0,LEN($M14)=0,LEN($O14)=0),"待補欄位",IF($R14&lt;&gt;"已發布","檢核表版本未發布",IF(AND($L14="通過",OR($I14&gt;0,$J14&gt;0)),"結果與必要項目矛盾",IF(AND($L14="通過",$M14&lt;&gt;"Ø"),"通過後建議評等應為 Ø",IF($O14&lt;&gt;"已知悉","待助理知悉",IF($P14="","待補知悉日",IF(OR($Q14="有異議",$Q14="複核中"),"異議處理中","可送主管核定"))))))))</x:f>
      </x:c>
      <x:c r="T14" s="280" t="str">
        <x:f>IF($A14="","",IF($S14="可送主管核定","可進入主管核定",$S14))</x:f>
      </x:c>
      <x:c r="U14" s="280" t="str">
        <x:f>IF($A14="","",IF($R14&lt;&gt;"已發布","先發布檢核表版本",IF($S14="可送主管核定","送主管核定中心",IF($S14="異議處理中","先完成異議複核","補齊或更正考核資料"))))</x:f>
      </x:c>
    </x:row>
    <x:row r="15">
      <x:c r="A15" s="106"/>
      <x:c r="B15" s="284"/>
      <x:c r="C15" s="106"/>
      <x:c r="D15" s="107" t="str">
        <x:f>IF($C15="","",_xlfn.XLOOKUP($C15,'試行員工主檔'!$A$7:$A$20,'試行員工主檔'!$B$7:$B$20,"員工未建立",0))</x:f>
      </x:c>
      <x:c r="E15" s="106"/>
      <x:c r="F15" s="106"/>
      <x:c r="G15" s="106"/>
      <x:c r="H15" s="106"/>
      <x:c r="I15" s="106"/>
      <x:c r="J15" s="106"/>
      <x:c r="K15" s="106"/>
      <x:c r="L15" s="107" t="str">
        <x:f>IF($A15="","",IF(OR($B15="",$C15="",$E15="",$F15="",$G15="",$H15=""),"資料未完整",IF(OR($I15&gt;0,$J15&gt;0),"未通過","通過")))</x:f>
      </x:c>
      <x:c r="M15" s="107" t="str">
        <x:f>IF($L15="通過","Ø",IF($L15="未通過","△",""))</x:f>
      </x:c>
      <x:c r="N15" s="106"/>
      <x:c r="O15" s="106"/>
      <x:c r="P15" s="284"/>
      <x:c r="Q15" s="106"/>
      <x:c r="R15" s="280" t="str">
        <x:f>IF($A15="","",_xlfn.XLOOKUP($F15&amp;"|"&amp;$G15,'檢核表版本'!$R$7:$R$13,'檢核表版本'!$Q$7:$Q$13,"未發布版本",0))</x:f>
      </x:c>
      <x:c r="S15" s="280" t="str">
        <x:f>IF($A15="","",IF(OR(LEN($B15)=0,LEN($C15)=0,LEN($E15)=0,LEN($F15)=0,LEN($G15)=0,LEN($H15)=0,LEN($I15)=0,LEN($J15)=0,LEN($L15)=0,LEN($M15)=0,LEN($O15)=0),"待補欄位",IF($R15&lt;&gt;"已發布","檢核表版本未發布",IF(AND($L15="通過",OR($I15&gt;0,$J15&gt;0)),"結果與必要項目矛盾",IF(AND($L15="通過",$M15&lt;&gt;"Ø"),"通過後建議評等應為 Ø",IF($O15&lt;&gt;"已知悉","待助理知悉",IF($P15="","待補知悉日",IF(OR($Q15="有異議",$Q15="複核中"),"異議處理中","可送主管核定"))))))))</x:f>
      </x:c>
      <x:c r="T15" s="280" t="str">
        <x:f>IF($A15="","",IF($S15="可送主管核定","可進入主管核定",$S15))</x:f>
      </x:c>
      <x:c r="U15" s="280" t="str">
        <x:f>IF($A15="","",IF($R15&lt;&gt;"已發布","先發布檢核表版本",IF($S15="可送主管核定","送主管核定中心",IF($S15="異議處理中","先完成異議複核","補齊或更正考核資料"))))</x:f>
      </x:c>
    </x:row>
    <x:row r="16">
      <x:c r="A16" s="106"/>
      <x:c r="B16" s="284"/>
      <x:c r="C16" s="106"/>
      <x:c r="D16" s="107" t="str">
        <x:f>IF($C16="","",_xlfn.XLOOKUP($C16,'試行員工主檔'!$A$7:$A$20,'試行員工主檔'!$B$7:$B$20,"員工未建立",0))</x:f>
      </x:c>
      <x:c r="E16" s="106"/>
      <x:c r="F16" s="106"/>
      <x:c r="G16" s="106"/>
      <x:c r="H16" s="106"/>
      <x:c r="I16" s="106"/>
      <x:c r="J16" s="106"/>
      <x:c r="K16" s="106"/>
      <x:c r="L16" s="107" t="str">
        <x:f>IF($A16="","",IF(OR($B16="",$C16="",$E16="",$F16="",$G16="",$H16=""),"資料未完整",IF(OR($I16&gt;0,$J16&gt;0),"未通過","通過")))</x:f>
      </x:c>
      <x:c r="M16" s="107" t="str">
        <x:f>IF($L16="通過","Ø",IF($L16="未通過","△",""))</x:f>
      </x:c>
      <x:c r="N16" s="106"/>
      <x:c r="O16" s="106"/>
      <x:c r="P16" s="284"/>
      <x:c r="Q16" s="106"/>
      <x:c r="R16" s="280" t="str">
        <x:f>IF($A16="","",_xlfn.XLOOKUP($F16&amp;"|"&amp;$G16,'檢核表版本'!$R$7:$R$13,'檢核表版本'!$Q$7:$Q$13,"未發布版本",0))</x:f>
      </x:c>
      <x:c r="S16" s="280" t="str">
        <x:f>IF($A16="","",IF(OR(LEN($B16)=0,LEN($C16)=0,LEN($E16)=0,LEN($F16)=0,LEN($G16)=0,LEN($H16)=0,LEN($I16)=0,LEN($J16)=0,LEN($L16)=0,LEN($M16)=0,LEN($O16)=0),"待補欄位",IF($R16&lt;&gt;"已發布","檢核表版本未發布",IF(AND($L16="通過",OR($I16&gt;0,$J16&gt;0)),"結果與必要項目矛盾",IF(AND($L16="通過",$M16&lt;&gt;"Ø"),"通過後建議評等應為 Ø",IF($O16&lt;&gt;"已知悉","待助理知悉",IF($P16="","待補知悉日",IF(OR($Q16="有異議",$Q16="複核中"),"異議處理中","可送主管核定"))))))))</x:f>
      </x:c>
      <x:c r="T16" s="280" t="str">
        <x:f>IF($A16="","",IF($S16="可送主管核定","可進入主管核定",$S16))</x:f>
      </x:c>
      <x:c r="U16" s="280" t="str">
        <x:f>IF($A16="","",IF($R16&lt;&gt;"已發布","先發布檢核表版本",IF($S16="可送主管核定","送主管核定中心",IF($S16="異議處理中","先完成異議複核","補齊或更正考核資料"))))</x:f>
      </x:c>
    </x:row>
    <x:row r="17">
      <x:c r="A17" s="106"/>
      <x:c r="B17" s="284"/>
      <x:c r="C17" s="106"/>
      <x:c r="D17" s="107" t="str">
        <x:f>IF($C17="","",_xlfn.XLOOKUP($C17,'試行員工主檔'!$A$7:$A$20,'試行員工主檔'!$B$7:$B$20,"員工未建立",0))</x:f>
      </x:c>
      <x:c r="E17" s="106"/>
      <x:c r="F17" s="106"/>
      <x:c r="G17" s="106"/>
      <x:c r="H17" s="106"/>
      <x:c r="I17" s="106"/>
      <x:c r="J17" s="106"/>
      <x:c r="K17" s="106"/>
      <x:c r="L17" s="107" t="str">
        <x:f>IF($A17="","",IF(OR($B17="",$C17="",$E17="",$F17="",$G17="",$H17=""),"資料未完整",IF(OR($I17&gt;0,$J17&gt;0),"未通過","通過")))</x:f>
      </x:c>
      <x:c r="M17" s="107" t="str">
        <x:f>IF($L17="通過","Ø",IF($L17="未通過","△",""))</x:f>
      </x:c>
      <x:c r="N17" s="106"/>
      <x:c r="O17" s="106"/>
      <x:c r="P17" s="284"/>
      <x:c r="Q17" s="106"/>
      <x:c r="R17" s="280" t="str">
        <x:f>IF($A17="","",_xlfn.XLOOKUP($F17&amp;"|"&amp;$G17,'檢核表版本'!$R$7:$R$13,'檢核表版本'!$Q$7:$Q$13,"未發布版本",0))</x:f>
      </x:c>
      <x:c r="S17" s="280" t="str">
        <x:f>IF($A17="","",IF(OR(LEN($B17)=0,LEN($C17)=0,LEN($E17)=0,LEN($F17)=0,LEN($G17)=0,LEN($H17)=0,LEN($I17)=0,LEN($J17)=0,LEN($L17)=0,LEN($M17)=0,LEN($O17)=0),"待補欄位",IF($R17&lt;&gt;"已發布","檢核表版本未發布",IF(AND($L17="通過",OR($I17&gt;0,$J17&gt;0)),"結果與必要項目矛盾",IF(AND($L17="通過",$M17&lt;&gt;"Ø"),"通過後建議評等應為 Ø",IF($O17&lt;&gt;"已知悉","待助理知悉",IF($P17="","待補知悉日",IF(OR($Q17="有異議",$Q17="複核中"),"異議處理中","可送主管核定"))))))))</x:f>
      </x:c>
      <x:c r="T17" s="280" t="str">
        <x:f>IF($A17="","",IF($S17="可送主管核定","可進入主管核定",$S17))</x:f>
      </x:c>
      <x:c r="U17" s="280" t="str">
        <x:f>IF($A17="","",IF($R17&lt;&gt;"已發布","先發布檢核表版本",IF($S17="可送主管核定","送主管核定中心",IF($S17="異議處理中","先完成異議複核","補齊或更正考核資料"))))</x:f>
      </x:c>
    </x:row>
    <x:row r="18">
      <x:c r="A18" s="106"/>
      <x:c r="B18" s="284"/>
      <x:c r="C18" s="106"/>
      <x:c r="D18" s="107" t="str">
        <x:f>IF($C18="","",_xlfn.XLOOKUP($C18,'試行員工主檔'!$A$7:$A$20,'試行員工主檔'!$B$7:$B$20,"員工未建立",0))</x:f>
      </x:c>
      <x:c r="E18" s="106"/>
      <x:c r="F18" s="106"/>
      <x:c r="G18" s="106"/>
      <x:c r="H18" s="106"/>
      <x:c r="I18" s="106"/>
      <x:c r="J18" s="106"/>
      <x:c r="K18" s="106"/>
      <x:c r="L18" s="107" t="str">
        <x:f>IF($A18="","",IF(OR($B18="",$C18="",$E18="",$F18="",$G18="",$H18=""),"資料未完整",IF(OR($I18&gt;0,$J18&gt;0),"未通過","通過")))</x:f>
      </x:c>
      <x:c r="M18" s="107" t="str">
        <x:f>IF($L18="通過","Ø",IF($L18="未通過","△",""))</x:f>
      </x:c>
      <x:c r="N18" s="106"/>
      <x:c r="O18" s="106"/>
      <x:c r="P18" s="284"/>
      <x:c r="Q18" s="106"/>
      <x:c r="R18" s="280" t="str">
        <x:f>IF($A18="","",_xlfn.XLOOKUP($F18&amp;"|"&amp;$G18,'檢核表版本'!$R$7:$R$13,'檢核表版本'!$Q$7:$Q$13,"未發布版本",0))</x:f>
      </x:c>
      <x:c r="S18" s="280" t="str">
        <x:f>IF($A18="","",IF(OR(LEN($B18)=0,LEN($C18)=0,LEN($E18)=0,LEN($F18)=0,LEN($G18)=0,LEN($H18)=0,LEN($I18)=0,LEN($J18)=0,LEN($L18)=0,LEN($M18)=0,LEN($O18)=0),"待補欄位",IF($R18&lt;&gt;"已發布","檢核表版本未發布",IF(AND($L18="通過",OR($I18&gt;0,$J18&gt;0)),"結果與必要項目矛盾",IF(AND($L18="通過",$M18&lt;&gt;"Ø"),"通過後建議評等應為 Ø",IF($O18&lt;&gt;"已知悉","待助理知悉",IF($P18="","待補知悉日",IF(OR($Q18="有異議",$Q18="複核中"),"異議處理中","可送主管核定"))))))))</x:f>
      </x:c>
      <x:c r="T18" s="280" t="str">
        <x:f>IF($A18="","",IF($S18="可送主管核定","可進入主管核定",$S18))</x:f>
      </x:c>
      <x:c r="U18" s="280" t="str">
        <x:f>IF($A18="","",IF($R18&lt;&gt;"已發布","先發布檢核表版本",IF($S18="可送主管核定","送主管核定中心",IF($S18="異議處理中","先完成異議複核","補齊或更正考核資料"))))</x:f>
      </x:c>
    </x:row>
    <x:row r="19">
      <x:c r="A19" s="106"/>
      <x:c r="B19" s="284"/>
      <x:c r="C19" s="106"/>
      <x:c r="D19" s="107" t="str">
        <x:f>IF($C19="","",_xlfn.XLOOKUP($C19,'試行員工主檔'!$A$7:$A$20,'試行員工主檔'!$B$7:$B$20,"員工未建立",0))</x:f>
      </x:c>
      <x:c r="E19" s="106"/>
      <x:c r="F19" s="106"/>
      <x:c r="G19" s="106"/>
      <x:c r="H19" s="106"/>
      <x:c r="I19" s="106"/>
      <x:c r="J19" s="106"/>
      <x:c r="K19" s="106"/>
      <x:c r="L19" s="107" t="str">
        <x:f>IF($A19="","",IF(OR($B19="",$C19="",$E19="",$F19="",$G19="",$H19=""),"資料未完整",IF(OR($I19&gt;0,$J19&gt;0),"未通過","通過")))</x:f>
      </x:c>
      <x:c r="M19" s="107" t="str">
        <x:f>IF($L19="通過","Ø",IF($L19="未通過","△",""))</x:f>
      </x:c>
      <x:c r="N19" s="106"/>
      <x:c r="O19" s="106"/>
      <x:c r="P19" s="284"/>
      <x:c r="Q19" s="106"/>
      <x:c r="R19" s="280" t="str">
        <x:f>IF($A19="","",_xlfn.XLOOKUP($F19&amp;"|"&amp;$G19,'檢核表版本'!$R$7:$R$13,'檢核表版本'!$Q$7:$Q$13,"未發布版本",0))</x:f>
      </x:c>
      <x:c r="S19" s="280" t="str">
        <x:f>IF($A19="","",IF(OR(LEN($B19)=0,LEN($C19)=0,LEN($E19)=0,LEN($F19)=0,LEN($G19)=0,LEN($H19)=0,LEN($I19)=0,LEN($J19)=0,LEN($L19)=0,LEN($M19)=0,LEN($O19)=0),"待補欄位",IF($R19&lt;&gt;"已發布","檢核表版本未發布",IF(AND($L19="通過",OR($I19&gt;0,$J19&gt;0)),"結果與必要項目矛盾",IF(AND($L19="通過",$M19&lt;&gt;"Ø"),"通過後建議評等應為 Ø",IF($O19&lt;&gt;"已知悉","待助理知悉",IF($P19="","待補知悉日",IF(OR($Q19="有異議",$Q19="複核中"),"異議處理中","可送主管核定"))))))))</x:f>
      </x:c>
      <x:c r="T19" s="280" t="str">
        <x:f>IF($A19="","",IF($S19="可送主管核定","可進入主管核定",$S19))</x:f>
      </x:c>
      <x:c r="U19" s="280" t="str">
        <x:f>IF($A19="","",IF($R19&lt;&gt;"已發布","先發布檢核表版本",IF($S19="可送主管核定","送主管核定中心",IF($S19="異議處理中","先完成異議複核","補齊或更正考核資料"))))</x:f>
      </x:c>
    </x:row>
    <x:row r="20">
      <x:c r="A20" s="106"/>
      <x:c r="B20" s="284"/>
      <x:c r="C20" s="106"/>
      <x:c r="D20" s="107" t="str">
        <x:f>IF($C20="","",_xlfn.XLOOKUP($C20,'試行員工主檔'!$A$7:$A$20,'試行員工主檔'!$B$7:$B$20,"員工未建立",0))</x:f>
      </x:c>
      <x:c r="E20" s="106"/>
      <x:c r="F20" s="106"/>
      <x:c r="G20" s="106"/>
      <x:c r="H20" s="106"/>
      <x:c r="I20" s="106"/>
      <x:c r="J20" s="106"/>
      <x:c r="K20" s="106"/>
      <x:c r="L20" s="107" t="str">
        <x:f>IF($A20="","",IF(OR($B20="",$C20="",$E20="",$F20="",$G20="",$H20=""),"資料未完整",IF(OR($I20&gt;0,$J20&gt;0),"未通過","通過")))</x:f>
      </x:c>
      <x:c r="M20" s="107" t="str">
        <x:f>IF($L20="通過","Ø",IF($L20="未通過","△",""))</x:f>
      </x:c>
      <x:c r="N20" s="106"/>
      <x:c r="O20" s="106"/>
      <x:c r="P20" s="284"/>
      <x:c r="Q20" s="106"/>
      <x:c r="R20" s="280" t="str">
        <x:f>IF($A20="","",_xlfn.XLOOKUP($F20&amp;"|"&amp;$G20,'檢核表版本'!$R$7:$R$13,'檢核表版本'!$Q$7:$Q$13,"未發布版本",0))</x:f>
      </x:c>
      <x:c r="S20" s="280" t="str">
        <x:f>IF($A20="","",IF(OR(LEN($B20)=0,LEN($C20)=0,LEN($E20)=0,LEN($F20)=0,LEN($G20)=0,LEN($H20)=0,LEN($I20)=0,LEN($J20)=0,LEN($L20)=0,LEN($M20)=0,LEN($O20)=0),"待補欄位",IF($R20&lt;&gt;"已發布","檢核表版本未發布",IF(AND($L20="通過",OR($I20&gt;0,$J20&gt;0)),"結果與必要項目矛盾",IF(AND($L20="通過",$M20&lt;&gt;"Ø"),"通過後建議評等應為 Ø",IF($O20&lt;&gt;"已知悉","待助理知悉",IF($P20="","待補知悉日",IF(OR($Q20="有異議",$Q20="複核中"),"異議處理中","可送主管核定"))))))))</x:f>
      </x:c>
      <x:c r="T20" s="280" t="str">
        <x:f>IF($A20="","",IF($S20="可送主管核定","可進入主管核定",$S20))</x:f>
      </x:c>
      <x:c r="U20" s="280" t="str">
        <x:f>IF($A20="","",IF($R20&lt;&gt;"已發布","先發布檢核表版本",IF($S20="可送主管核定","送主管核定中心",IF($S20="異議處理中","先完成異議複核","補齊或更正考核資料"))))</x:f>
      </x:c>
    </x:row>
    <x:row r="21">
      <x:c r="A21" s="106"/>
      <x:c r="B21" s="284"/>
      <x:c r="C21" s="106"/>
      <x:c r="D21" s="107" t="str">
        <x:f>IF($C21="","",_xlfn.XLOOKUP($C21,'試行員工主檔'!$A$7:$A$20,'試行員工主檔'!$B$7:$B$20,"員工未建立",0))</x:f>
      </x:c>
      <x:c r="E21" s="106"/>
      <x:c r="F21" s="106"/>
      <x:c r="G21" s="106"/>
      <x:c r="H21" s="106"/>
      <x:c r="I21" s="106"/>
      <x:c r="J21" s="106"/>
      <x:c r="K21" s="106"/>
      <x:c r="L21" s="107" t="str">
        <x:f>IF($A21="","",IF(OR($B21="",$C21="",$E21="",$F21="",$G21="",$H21=""),"資料未完整",IF(OR($I21&gt;0,$J21&gt;0),"未通過","通過")))</x:f>
      </x:c>
      <x:c r="M21" s="107" t="str">
        <x:f>IF($L21="通過","Ø",IF($L21="未通過","△",""))</x:f>
      </x:c>
      <x:c r="N21" s="106"/>
      <x:c r="O21" s="106"/>
      <x:c r="P21" s="284"/>
      <x:c r="Q21" s="106"/>
      <x:c r="R21" s="280" t="str">
        <x:f>IF($A21="","",_xlfn.XLOOKUP($F21&amp;"|"&amp;$G21,'檢核表版本'!$R$7:$R$13,'檢核表版本'!$Q$7:$Q$13,"未發布版本",0))</x:f>
      </x:c>
      <x:c r="S21" s="280" t="str">
        <x:f>IF($A21="","",IF(OR(LEN($B21)=0,LEN($C21)=0,LEN($E21)=0,LEN($F21)=0,LEN($G21)=0,LEN($H21)=0,LEN($I21)=0,LEN($J21)=0,LEN($L21)=0,LEN($M21)=0,LEN($O21)=0),"待補欄位",IF($R21&lt;&gt;"已發布","檢核表版本未發布",IF(AND($L21="通過",OR($I21&gt;0,$J21&gt;0)),"結果與必要項目矛盾",IF(AND($L21="通過",$M21&lt;&gt;"Ø"),"通過後建議評等應為 Ø",IF($O21&lt;&gt;"已知悉","待助理知悉",IF($P21="","待補知悉日",IF(OR($Q21="有異議",$Q21="複核中"),"異議處理中","可送主管核定"))))))))</x:f>
      </x:c>
      <x:c r="T21" s="280" t="str">
        <x:f>IF($A21="","",IF($S21="可送主管核定","可進入主管核定",$S21))</x:f>
      </x:c>
      <x:c r="U21" s="280" t="str">
        <x:f>IF($A21="","",IF($R21&lt;&gt;"已發布","先發布檢核表版本",IF($S21="可送主管核定","送主管核定中心",IF($S21="異議處理中","先完成異議複核","補齊或更正考核資料"))))</x:f>
      </x:c>
    </x:row>
    <x:row r="22">
      <x:c r="A22" s="106"/>
      <x:c r="B22" s="284"/>
      <x:c r="C22" s="106"/>
      <x:c r="D22" s="107" t="str">
        <x:f>IF($C22="","",_xlfn.XLOOKUP($C22,'試行員工主檔'!$A$7:$A$20,'試行員工主檔'!$B$7:$B$20,"員工未建立",0))</x:f>
      </x:c>
      <x:c r="E22" s="106"/>
      <x:c r="F22" s="106"/>
      <x:c r="G22" s="106"/>
      <x:c r="H22" s="106"/>
      <x:c r="I22" s="106"/>
      <x:c r="J22" s="106"/>
      <x:c r="K22" s="106"/>
      <x:c r="L22" s="107" t="str">
        <x:f>IF($A22="","",IF(OR($B22="",$C22="",$E22="",$F22="",$G22="",$H22=""),"資料未完整",IF(OR($I22&gt;0,$J22&gt;0),"未通過","通過")))</x:f>
      </x:c>
      <x:c r="M22" s="107" t="str">
        <x:f>IF($L22="通過","Ø",IF($L22="未通過","△",""))</x:f>
      </x:c>
      <x:c r="N22" s="106"/>
      <x:c r="O22" s="106"/>
      <x:c r="P22" s="284"/>
      <x:c r="Q22" s="106"/>
      <x:c r="R22" s="280" t="str">
        <x:f>IF($A22="","",_xlfn.XLOOKUP($F22&amp;"|"&amp;$G22,'檢核表版本'!$R$7:$R$13,'檢核表版本'!$Q$7:$Q$13,"未發布版本",0))</x:f>
      </x:c>
      <x:c r="S22" s="280" t="str">
        <x:f>IF($A22="","",IF(OR(LEN($B22)=0,LEN($C22)=0,LEN($E22)=0,LEN($F22)=0,LEN($G22)=0,LEN($H22)=0,LEN($I22)=0,LEN($J22)=0,LEN($L22)=0,LEN($M22)=0,LEN($O22)=0),"待補欄位",IF($R22&lt;&gt;"已發布","檢核表版本未發布",IF(AND($L22="通過",OR($I22&gt;0,$J22&gt;0)),"結果與必要項目矛盾",IF(AND($L22="通過",$M22&lt;&gt;"Ø"),"通過後建議評等應為 Ø",IF($O22&lt;&gt;"已知悉","待助理知悉",IF($P22="","待補知悉日",IF(OR($Q22="有異議",$Q22="複核中"),"異議處理中","可送主管核定"))))))))</x:f>
      </x:c>
      <x:c r="T22" s="280" t="str">
        <x:f>IF($A22="","",IF($S22="可送主管核定","可進入主管核定",$S22))</x:f>
      </x:c>
      <x:c r="U22" s="280" t="str">
        <x:f>IF($A22="","",IF($R22&lt;&gt;"已發布","先發布檢核表版本",IF($S22="可送主管核定","送主管核定中心",IF($S22="異議處理中","先完成異議複核","補齊或更正考核資料"))))</x:f>
      </x:c>
    </x:row>
    <x:row r="23">
      <x:c r="A23" s="106"/>
      <x:c r="B23" s="284"/>
      <x:c r="C23" s="106"/>
      <x:c r="D23" s="107" t="str">
        <x:f>IF($C23="","",_xlfn.XLOOKUP($C23,'試行員工主檔'!$A$7:$A$20,'試行員工主檔'!$B$7:$B$20,"員工未建立",0))</x:f>
      </x:c>
      <x:c r="E23" s="106"/>
      <x:c r="F23" s="106"/>
      <x:c r="G23" s="106"/>
      <x:c r="H23" s="106"/>
      <x:c r="I23" s="106"/>
      <x:c r="J23" s="106"/>
      <x:c r="K23" s="106"/>
      <x:c r="L23" s="107" t="str">
        <x:f>IF($A23="","",IF(OR($B23="",$C23="",$E23="",$F23="",$G23="",$H23=""),"資料未完整",IF(OR($I23&gt;0,$J23&gt;0),"未通過","通過")))</x:f>
      </x:c>
      <x:c r="M23" s="107" t="str">
        <x:f>IF($L23="通過","Ø",IF($L23="未通過","△",""))</x:f>
      </x:c>
      <x:c r="N23" s="106"/>
      <x:c r="O23" s="106"/>
      <x:c r="P23" s="284"/>
      <x:c r="Q23" s="106"/>
      <x:c r="R23" s="280" t="str">
        <x:f>IF($A23="","",_xlfn.XLOOKUP($F23&amp;"|"&amp;$G23,'檢核表版本'!$R$7:$R$13,'檢核表版本'!$Q$7:$Q$13,"未發布版本",0))</x:f>
      </x:c>
      <x:c r="S23" s="280" t="str">
        <x:f>IF($A23="","",IF(OR(LEN($B23)=0,LEN($C23)=0,LEN($E23)=0,LEN($F23)=0,LEN($G23)=0,LEN($H23)=0,LEN($I23)=0,LEN($J23)=0,LEN($L23)=0,LEN($M23)=0,LEN($O23)=0),"待補欄位",IF($R23&lt;&gt;"已發布","檢核表版本未發布",IF(AND($L23="通過",OR($I23&gt;0,$J23&gt;0)),"結果與必要項目矛盾",IF(AND($L23="通過",$M23&lt;&gt;"Ø"),"通過後建議評等應為 Ø",IF($O23&lt;&gt;"已知悉","待助理知悉",IF($P23="","待補知悉日",IF(OR($Q23="有異議",$Q23="複核中"),"異議處理中","可送主管核定"))))))))</x:f>
      </x:c>
      <x:c r="T23" s="280" t="str">
        <x:f>IF($A23="","",IF($S23="可送主管核定","可進入主管核定",$S23))</x:f>
      </x:c>
      <x:c r="U23" s="280" t="str">
        <x:f>IF($A23="","",IF($R23&lt;&gt;"已發布","先發布檢核表版本",IF($S23="可送主管核定","送主管核定中心",IF($S23="異議處理中","先完成異議複核","補齊或更正考核資料"))))</x:f>
      </x:c>
    </x:row>
    <x:row r="24">
      <x:c r="A24" s="106"/>
      <x:c r="B24" s="284"/>
      <x:c r="C24" s="106"/>
      <x:c r="D24" s="107" t="str">
        <x:f>IF($C24="","",_xlfn.XLOOKUP($C24,'試行員工主檔'!$A$7:$A$20,'試行員工主檔'!$B$7:$B$20,"員工未建立",0))</x:f>
      </x:c>
      <x:c r="E24" s="106"/>
      <x:c r="F24" s="106"/>
      <x:c r="G24" s="106"/>
      <x:c r="H24" s="106"/>
      <x:c r="I24" s="106"/>
      <x:c r="J24" s="106"/>
      <x:c r="K24" s="106"/>
      <x:c r="L24" s="107" t="str">
        <x:f>IF($A24="","",IF(OR($B24="",$C24="",$E24="",$F24="",$G24="",$H24=""),"資料未完整",IF(OR($I24&gt;0,$J24&gt;0),"未通過","通過")))</x:f>
      </x:c>
      <x:c r="M24" s="107" t="str">
        <x:f>IF($L24="通過","Ø",IF($L24="未通過","△",""))</x:f>
      </x:c>
      <x:c r="N24" s="106"/>
      <x:c r="O24" s="106"/>
      <x:c r="P24" s="284"/>
      <x:c r="Q24" s="106"/>
      <x:c r="R24" s="280" t="str">
        <x:f>IF($A24="","",_xlfn.XLOOKUP($F24&amp;"|"&amp;$G24,'檢核表版本'!$R$7:$R$13,'檢核表版本'!$Q$7:$Q$13,"未發布版本",0))</x:f>
      </x:c>
      <x:c r="S24" s="280" t="str">
        <x:f>IF($A24="","",IF(OR(LEN($B24)=0,LEN($C24)=0,LEN($E24)=0,LEN($F24)=0,LEN($G24)=0,LEN($H24)=0,LEN($I24)=0,LEN($J24)=0,LEN($L24)=0,LEN($M24)=0,LEN($O24)=0),"待補欄位",IF($R24&lt;&gt;"已發布","檢核表版本未發布",IF(AND($L24="通過",OR($I24&gt;0,$J24&gt;0)),"結果與必要項目矛盾",IF(AND($L24="通過",$M24&lt;&gt;"Ø"),"通過後建議評等應為 Ø",IF($O24&lt;&gt;"已知悉","待助理知悉",IF($P24="","待補知悉日",IF(OR($Q24="有異議",$Q24="複核中"),"異議處理中","可送主管核定"))))))))</x:f>
      </x:c>
      <x:c r="T24" s="280" t="str">
        <x:f>IF($A24="","",IF($S24="可送主管核定","可進入主管核定",$S24))</x:f>
      </x:c>
      <x:c r="U24" s="280" t="str">
        <x:f>IF($A24="","",IF($R24&lt;&gt;"已發布","先發布檢核表版本",IF($S24="可送主管核定","送主管核定中心",IF($S24="異議處理中","先完成異議複核","補齊或更正考核資料"))))</x:f>
      </x:c>
    </x:row>
    <x:row r="25">
      <x:c r="A25" s="106"/>
      <x:c r="B25" s="284"/>
      <x:c r="C25" s="106"/>
      <x:c r="D25" s="107" t="str">
        <x:f>IF($C25="","",_xlfn.XLOOKUP($C25,'試行員工主檔'!$A$7:$A$20,'試行員工主檔'!$B$7:$B$20,"員工未建立",0))</x:f>
      </x:c>
      <x:c r="E25" s="106"/>
      <x:c r="F25" s="106"/>
      <x:c r="G25" s="106"/>
      <x:c r="H25" s="106"/>
      <x:c r="I25" s="106"/>
      <x:c r="J25" s="106"/>
      <x:c r="K25" s="106"/>
      <x:c r="L25" s="107" t="str">
        <x:f>IF($A25="","",IF(OR($B25="",$C25="",$E25="",$F25="",$G25="",$H25=""),"資料未完整",IF(OR($I25&gt;0,$J25&gt;0),"未通過","通過")))</x:f>
      </x:c>
      <x:c r="M25" s="107" t="str">
        <x:f>IF($L25="通過","Ø",IF($L25="未通過","△",""))</x:f>
      </x:c>
      <x:c r="N25" s="106"/>
      <x:c r="O25" s="106"/>
      <x:c r="P25" s="284"/>
      <x:c r="Q25" s="106"/>
      <x:c r="R25" s="280" t="str">
        <x:f>IF($A25="","",_xlfn.XLOOKUP($F25&amp;"|"&amp;$G25,'檢核表版本'!$R$7:$R$13,'檢核表版本'!$Q$7:$Q$13,"未發布版本",0))</x:f>
      </x:c>
      <x:c r="S25" s="280" t="str">
        <x:f>IF($A25="","",IF(OR(LEN($B25)=0,LEN($C25)=0,LEN($E25)=0,LEN($F25)=0,LEN($G25)=0,LEN($H25)=0,LEN($I25)=0,LEN($J25)=0,LEN($L25)=0,LEN($M25)=0,LEN($O25)=0),"待補欄位",IF($R25&lt;&gt;"已發布","檢核表版本未發布",IF(AND($L25="通過",OR($I25&gt;0,$J25&gt;0)),"結果與必要項目矛盾",IF(AND($L25="通過",$M25&lt;&gt;"Ø"),"通過後建議評等應為 Ø",IF($O25&lt;&gt;"已知悉","待助理知悉",IF($P25="","待補知悉日",IF(OR($Q25="有異議",$Q25="複核中"),"異議處理中","可送主管核定"))))))))</x:f>
      </x:c>
      <x:c r="T25" s="280" t="str">
        <x:f>IF($A25="","",IF($S25="可送主管核定","可進入主管核定",$S25))</x:f>
      </x:c>
      <x:c r="U25" s="280" t="str">
        <x:f>IF($A25="","",IF($R25&lt;&gt;"已發布","先發布檢核表版本",IF($S25="可送主管核定","送主管核定中心",IF($S25="異議處理中","先完成異議複核","補齊或更正考核資料"))))</x:f>
      </x:c>
    </x:row>
    <x:row r="26">
      <x:c r="A26" s="106"/>
      <x:c r="B26" s="284"/>
      <x:c r="C26" s="106"/>
      <x:c r="D26" s="107" t="str">
        <x:f>IF($C26="","",_xlfn.XLOOKUP($C26,'試行員工主檔'!$A$7:$A$20,'試行員工主檔'!$B$7:$B$20,"員工未建立",0))</x:f>
      </x:c>
      <x:c r="E26" s="106"/>
      <x:c r="F26" s="106"/>
      <x:c r="G26" s="106"/>
      <x:c r="H26" s="106"/>
      <x:c r="I26" s="106"/>
      <x:c r="J26" s="106"/>
      <x:c r="K26" s="106"/>
      <x:c r="L26" s="107" t="str">
        <x:f>IF($A26="","",IF(OR($B26="",$C26="",$E26="",$F26="",$G26="",$H26=""),"資料未完整",IF(OR($I26&gt;0,$J26&gt;0),"未通過","通過")))</x:f>
      </x:c>
      <x:c r="M26" s="107" t="str">
        <x:f>IF($L26="通過","Ø",IF($L26="未通過","△",""))</x:f>
      </x:c>
      <x:c r="N26" s="106"/>
      <x:c r="O26" s="106"/>
      <x:c r="P26" s="284"/>
      <x:c r="Q26" s="106"/>
      <x:c r="R26" s="280" t="str">
        <x:f>IF($A26="","",_xlfn.XLOOKUP($F26&amp;"|"&amp;$G26,'檢核表版本'!$R$7:$R$13,'檢核表版本'!$Q$7:$Q$13,"未發布版本",0))</x:f>
      </x:c>
      <x:c r="S26" s="280" t="str">
        <x:f>IF($A26="","",IF(OR(LEN($B26)=0,LEN($C26)=0,LEN($E26)=0,LEN($F26)=0,LEN($G26)=0,LEN($H26)=0,LEN($I26)=0,LEN($J26)=0,LEN($L26)=0,LEN($M26)=0,LEN($O26)=0),"待補欄位",IF($R26&lt;&gt;"已發布","檢核表版本未發布",IF(AND($L26="通過",OR($I26&gt;0,$J26&gt;0)),"結果與必要項目矛盾",IF(AND($L26="通過",$M26&lt;&gt;"Ø"),"通過後建議評等應為 Ø",IF($O26&lt;&gt;"已知悉","待助理知悉",IF($P26="","待補知悉日",IF(OR($Q26="有異議",$Q26="複核中"),"異議處理中","可送主管核定"))))))))</x:f>
      </x:c>
      <x:c r="T26" s="280" t="str">
        <x:f>IF($A26="","",IF($S26="可送主管核定","可進入主管核定",$S26))</x:f>
      </x:c>
      <x:c r="U26" s="280" t="str">
        <x:f>IF($A26="","",IF($R26&lt;&gt;"已發布","先發布檢核表版本",IF($S26="可送主管核定","送主管核定中心",IF($S26="異議處理中","先完成異議複核","補齊或更正考核資料"))))</x:f>
      </x:c>
    </x:row>
    <x:row r="27">
      <x:c r="A27" s="106"/>
      <x:c r="B27" s="284"/>
      <x:c r="C27" s="106"/>
      <x:c r="D27" s="107" t="str">
        <x:f>IF($C27="","",_xlfn.XLOOKUP($C27,'試行員工主檔'!$A$7:$A$20,'試行員工主檔'!$B$7:$B$20,"員工未建立",0))</x:f>
      </x:c>
      <x:c r="E27" s="106"/>
      <x:c r="F27" s="106"/>
      <x:c r="G27" s="106"/>
      <x:c r="H27" s="106"/>
      <x:c r="I27" s="106"/>
      <x:c r="J27" s="106"/>
      <x:c r="K27" s="106"/>
      <x:c r="L27" s="107" t="str">
        <x:f>IF($A27="","",IF(OR($B27="",$C27="",$E27="",$F27="",$G27="",$H27=""),"資料未完整",IF(OR($I27&gt;0,$J27&gt;0),"未通過","通過")))</x:f>
      </x:c>
      <x:c r="M27" s="107" t="str">
        <x:f>IF($L27="通過","Ø",IF($L27="未通過","△",""))</x:f>
      </x:c>
      <x:c r="N27" s="106"/>
      <x:c r="O27" s="106"/>
      <x:c r="P27" s="284"/>
      <x:c r="Q27" s="106"/>
      <x:c r="R27" s="280" t="str">
        <x:f>IF($A27="","",_xlfn.XLOOKUP($F27&amp;"|"&amp;$G27,'檢核表版本'!$R$7:$R$13,'檢核表版本'!$Q$7:$Q$13,"未發布版本",0))</x:f>
      </x:c>
      <x:c r="S27" s="280" t="str">
        <x:f>IF($A27="","",IF(OR(LEN($B27)=0,LEN($C27)=0,LEN($E27)=0,LEN($F27)=0,LEN($G27)=0,LEN($H27)=0,LEN($I27)=0,LEN($J27)=0,LEN($L27)=0,LEN($M27)=0,LEN($O27)=0),"待補欄位",IF($R27&lt;&gt;"已發布","檢核表版本未發布",IF(AND($L27="通過",OR($I27&gt;0,$J27&gt;0)),"結果與必要項目矛盾",IF(AND($L27="通過",$M27&lt;&gt;"Ø"),"通過後建議評等應為 Ø",IF($O27&lt;&gt;"已知悉","待助理知悉",IF($P27="","待補知悉日",IF(OR($Q27="有異議",$Q27="複核中"),"異議處理中","可送主管核定"))))))))</x:f>
      </x:c>
      <x:c r="T27" s="280" t="str">
        <x:f>IF($A27="","",IF($S27="可送主管核定","可進入主管核定",$S27))</x:f>
      </x:c>
      <x:c r="U27" s="280" t="str">
        <x:f>IF($A27="","",IF($R27&lt;&gt;"已發布","先發布檢核表版本",IF($S27="可送主管核定","送主管核定中心",IF($S27="異議處理中","先完成異議複核","補齊或更正考核資料"))))</x:f>
      </x:c>
    </x:row>
    <x:row r="28">
      <x:c r="A28" s="106"/>
      <x:c r="B28" s="284"/>
      <x:c r="C28" s="106"/>
      <x:c r="D28" s="107" t="str">
        <x:f>IF($C28="","",_xlfn.XLOOKUP($C28,'試行員工主檔'!$A$7:$A$20,'試行員工主檔'!$B$7:$B$20,"員工未建立",0))</x:f>
      </x:c>
      <x:c r="E28" s="106"/>
      <x:c r="F28" s="106"/>
      <x:c r="G28" s="106"/>
      <x:c r="H28" s="106"/>
      <x:c r="I28" s="106"/>
      <x:c r="J28" s="106"/>
      <x:c r="K28" s="106"/>
      <x:c r="L28" s="107" t="str">
        <x:f>IF($A28="","",IF(OR($B28="",$C28="",$E28="",$F28="",$G28="",$H28=""),"資料未完整",IF(OR($I28&gt;0,$J28&gt;0),"未通過","通過")))</x:f>
      </x:c>
      <x:c r="M28" s="107" t="str">
        <x:f>IF($L28="通過","Ø",IF($L28="未通過","△",""))</x:f>
      </x:c>
      <x:c r="N28" s="106"/>
      <x:c r="O28" s="106"/>
      <x:c r="P28" s="284"/>
      <x:c r="Q28" s="106"/>
      <x:c r="R28" s="280" t="str">
        <x:f>IF($A28="","",_xlfn.XLOOKUP($F28&amp;"|"&amp;$G28,'檢核表版本'!$R$7:$R$13,'檢核表版本'!$Q$7:$Q$13,"未發布版本",0))</x:f>
      </x:c>
      <x:c r="S28" s="280" t="str">
        <x:f>IF($A28="","",IF(OR(LEN($B28)=0,LEN($C28)=0,LEN($E28)=0,LEN($F28)=0,LEN($G28)=0,LEN($H28)=0,LEN($I28)=0,LEN($J28)=0,LEN($L28)=0,LEN($M28)=0,LEN($O28)=0),"待補欄位",IF($R28&lt;&gt;"已發布","檢核表版本未發布",IF(AND($L28="通過",OR($I28&gt;0,$J28&gt;0)),"結果與必要項目矛盾",IF(AND($L28="通過",$M28&lt;&gt;"Ø"),"通過後建議評等應為 Ø",IF($O28&lt;&gt;"已知悉","待助理知悉",IF($P28="","待補知悉日",IF(OR($Q28="有異議",$Q28="複核中"),"異議處理中","可送主管核定"))))))))</x:f>
      </x:c>
      <x:c r="T28" s="280" t="str">
        <x:f>IF($A28="","",IF($S28="可送主管核定","可進入主管核定",$S28))</x:f>
      </x:c>
      <x:c r="U28" s="280" t="str">
        <x:f>IF($A28="","",IF($R28&lt;&gt;"已發布","先發布檢核表版本",IF($S28="可送主管核定","送主管核定中心",IF($S28="異議處理中","先完成異議複核","補齊或更正考核資料"))))</x:f>
      </x:c>
    </x:row>
    <x:row r="29">
      <x:c r="A29" s="106"/>
      <x:c r="B29" s="284"/>
      <x:c r="C29" s="106"/>
      <x:c r="D29" s="107" t="str">
        <x:f>IF($C29="","",_xlfn.XLOOKUP($C29,'試行員工主檔'!$A$7:$A$20,'試行員工主檔'!$B$7:$B$20,"員工未建立",0))</x:f>
      </x:c>
      <x:c r="E29" s="106"/>
      <x:c r="F29" s="106"/>
      <x:c r="G29" s="106"/>
      <x:c r="H29" s="106"/>
      <x:c r="I29" s="106"/>
      <x:c r="J29" s="106"/>
      <x:c r="K29" s="106"/>
      <x:c r="L29" s="107" t="str">
        <x:f>IF($A29="","",IF(OR($B29="",$C29="",$E29="",$F29="",$G29="",$H29=""),"資料未完整",IF(OR($I29&gt;0,$J29&gt;0),"未通過","通過")))</x:f>
      </x:c>
      <x:c r="M29" s="107" t="str">
        <x:f>IF($L29="通過","Ø",IF($L29="未通過","△",""))</x:f>
      </x:c>
      <x:c r="N29" s="106"/>
      <x:c r="O29" s="106"/>
      <x:c r="P29" s="284"/>
      <x:c r="Q29" s="106"/>
      <x:c r="R29" s="280" t="str">
        <x:f>IF($A29="","",_xlfn.XLOOKUP($F29&amp;"|"&amp;$G29,'檢核表版本'!$R$7:$R$13,'檢核表版本'!$Q$7:$Q$13,"未發布版本",0))</x:f>
      </x:c>
      <x:c r="S29" s="280" t="str">
        <x:f>IF($A29="","",IF(OR(LEN($B29)=0,LEN($C29)=0,LEN($E29)=0,LEN($F29)=0,LEN($G29)=0,LEN($H29)=0,LEN($I29)=0,LEN($J29)=0,LEN($L29)=0,LEN($M29)=0,LEN($O29)=0),"待補欄位",IF($R29&lt;&gt;"已發布","檢核表版本未發布",IF(AND($L29="通過",OR($I29&gt;0,$J29&gt;0)),"結果與必要項目矛盾",IF(AND($L29="通過",$M29&lt;&gt;"Ø"),"通過後建議評等應為 Ø",IF($O29&lt;&gt;"已知悉","待助理知悉",IF($P29="","待補知悉日",IF(OR($Q29="有異議",$Q29="複核中"),"異議處理中","可送主管核定"))))))))</x:f>
      </x:c>
      <x:c r="T29" s="280" t="str">
        <x:f>IF($A29="","",IF($S29="可送主管核定","可進入主管核定",$S29))</x:f>
      </x:c>
      <x:c r="U29" s="280" t="str">
        <x:f>IF($A29="","",IF($R29&lt;&gt;"已發布","先發布檢核表版本",IF($S29="可送主管核定","送主管核定中心",IF($S29="異議處理中","先完成異議複核","補齊或更正考核資料"))))</x:f>
      </x:c>
    </x:row>
    <x:row r="30">
      <x:c r="A30" s="106"/>
      <x:c r="B30" s="284"/>
      <x:c r="C30" s="106"/>
      <x:c r="D30" s="107" t="str">
        <x:f>IF($C30="","",_xlfn.XLOOKUP($C30,'試行員工主檔'!$A$7:$A$20,'試行員工主檔'!$B$7:$B$20,"員工未建立",0))</x:f>
      </x:c>
      <x:c r="E30" s="106"/>
      <x:c r="F30" s="106"/>
      <x:c r="G30" s="106"/>
      <x:c r="H30" s="106"/>
      <x:c r="I30" s="106"/>
      <x:c r="J30" s="106"/>
      <x:c r="K30" s="106"/>
      <x:c r="L30" s="107" t="str">
        <x:f>IF($A30="","",IF(OR($B30="",$C30="",$E30="",$F30="",$G30="",$H30=""),"資料未完整",IF(OR($I30&gt;0,$J30&gt;0),"未通過","通過")))</x:f>
      </x:c>
      <x:c r="M30" s="107" t="str">
        <x:f>IF($L30="通過","Ø",IF($L30="未通過","△",""))</x:f>
      </x:c>
      <x:c r="N30" s="106"/>
      <x:c r="O30" s="106"/>
      <x:c r="P30" s="284"/>
      <x:c r="Q30" s="106"/>
      <x:c r="R30" s="280" t="str">
        <x:f>IF($A30="","",_xlfn.XLOOKUP($F30&amp;"|"&amp;$G30,'檢核表版本'!$R$7:$R$13,'檢核表版本'!$Q$7:$Q$13,"未發布版本",0))</x:f>
      </x:c>
      <x:c r="S30" s="280" t="str">
        <x:f>IF($A30="","",IF(OR(LEN($B30)=0,LEN($C30)=0,LEN($E30)=0,LEN($F30)=0,LEN($G30)=0,LEN($H30)=0,LEN($I30)=0,LEN($J30)=0,LEN($L30)=0,LEN($M30)=0,LEN($O30)=0),"待補欄位",IF($R30&lt;&gt;"已發布","檢核表版本未發布",IF(AND($L30="通過",OR($I30&gt;0,$J30&gt;0)),"結果與必要項目矛盾",IF(AND($L30="通過",$M30&lt;&gt;"Ø"),"通過後建議評等應為 Ø",IF($O30&lt;&gt;"已知悉","待助理知悉",IF($P30="","待補知悉日",IF(OR($Q30="有異議",$Q30="複核中"),"異議處理中","可送主管核定"))))))))</x:f>
      </x:c>
      <x:c r="T30" s="280" t="str">
        <x:f>IF($A30="","",IF($S30="可送主管核定","可進入主管核定",$S30))</x:f>
      </x:c>
      <x:c r="U30" s="280" t="str">
        <x:f>IF($A30="","",IF($R30&lt;&gt;"已發布","先發布檢核表版本",IF($S30="可送主管核定","送主管核定中心",IF($S30="異議處理中","先完成異議複核","補齊或更正考核資料"))))</x:f>
      </x:c>
    </x:row>
    <x:row r="31">
      <x:c r="A31" s="106"/>
      <x:c r="B31" s="284"/>
      <x:c r="C31" s="106"/>
      <x:c r="D31" s="107" t="str">
        <x:f>IF($C31="","",_xlfn.XLOOKUP($C31,'試行員工主檔'!$A$7:$A$20,'試行員工主檔'!$B$7:$B$20,"員工未建立",0))</x:f>
      </x:c>
      <x:c r="E31" s="106"/>
      <x:c r="F31" s="106"/>
      <x:c r="G31" s="106"/>
      <x:c r="H31" s="106"/>
      <x:c r="I31" s="106"/>
      <x:c r="J31" s="106"/>
      <x:c r="K31" s="106"/>
      <x:c r="L31" s="107" t="str">
        <x:f>IF($A31="","",IF(OR($B31="",$C31="",$E31="",$F31="",$G31="",$H31=""),"資料未完整",IF(OR($I31&gt;0,$J31&gt;0),"未通過","通過")))</x:f>
      </x:c>
      <x:c r="M31" s="107" t="str">
        <x:f>IF($L31="通過","Ø",IF($L31="未通過","△",""))</x:f>
      </x:c>
      <x:c r="N31" s="106"/>
      <x:c r="O31" s="106"/>
      <x:c r="P31" s="284"/>
      <x:c r="Q31" s="106"/>
      <x:c r="R31" s="280" t="str">
        <x:f>IF($A31="","",_xlfn.XLOOKUP($F31&amp;"|"&amp;$G31,'檢核表版本'!$R$7:$R$13,'檢核表版本'!$Q$7:$Q$13,"未發布版本",0))</x:f>
      </x:c>
      <x:c r="S31" s="280" t="str">
        <x:f>IF($A31="","",IF(OR(LEN($B31)=0,LEN($C31)=0,LEN($E31)=0,LEN($F31)=0,LEN($G31)=0,LEN($H31)=0,LEN($I31)=0,LEN($J31)=0,LEN($L31)=0,LEN($M31)=0,LEN($O31)=0),"待補欄位",IF($R31&lt;&gt;"已發布","檢核表版本未發布",IF(AND($L31="通過",OR($I31&gt;0,$J31&gt;0)),"結果與必要項目矛盾",IF(AND($L31="通過",$M31&lt;&gt;"Ø"),"通過後建議評等應為 Ø",IF($O31&lt;&gt;"已知悉","待助理知悉",IF($P31="","待補知悉日",IF(OR($Q31="有異議",$Q31="複核中"),"異議處理中","可送主管核定"))))))))</x:f>
      </x:c>
      <x:c r="T31" s="280" t="str">
        <x:f>IF($A31="","",IF($S31="可送主管核定","可進入主管核定",$S31))</x:f>
      </x:c>
      <x:c r="U31" s="280" t="str">
        <x:f>IF($A31="","",IF($R31&lt;&gt;"已發布","先發布檢核表版本",IF($S31="可送主管核定","送主管核定中心",IF($S31="異議處理中","先完成異議複核","補齊或更正考核資料"))))</x:f>
      </x:c>
    </x:row>
    <x:row r="32">
      <x:c r="A32" s="106"/>
      <x:c r="B32" s="284"/>
      <x:c r="C32" s="106"/>
      <x:c r="D32" s="107" t="str">
        <x:f>IF($C32="","",_xlfn.XLOOKUP($C32,'試行員工主檔'!$A$7:$A$20,'試行員工主檔'!$B$7:$B$20,"員工未建立",0))</x:f>
      </x:c>
      <x:c r="E32" s="106"/>
      <x:c r="F32" s="106"/>
      <x:c r="G32" s="106"/>
      <x:c r="H32" s="106"/>
      <x:c r="I32" s="106"/>
      <x:c r="J32" s="106"/>
      <x:c r="K32" s="106"/>
      <x:c r="L32" s="107" t="str">
        <x:f>IF($A32="","",IF(OR($B32="",$C32="",$E32="",$F32="",$G32="",$H32=""),"資料未完整",IF(OR($I32&gt;0,$J32&gt;0),"未通過","通過")))</x:f>
      </x:c>
      <x:c r="M32" s="107" t="str">
        <x:f>IF($L32="通過","Ø",IF($L32="未通過","△",""))</x:f>
      </x:c>
      <x:c r="N32" s="106"/>
      <x:c r="O32" s="106"/>
      <x:c r="P32" s="284"/>
      <x:c r="Q32" s="106"/>
      <x:c r="R32" s="280" t="str">
        <x:f>IF($A32="","",_xlfn.XLOOKUP($F32&amp;"|"&amp;$G32,'檢核表版本'!$R$7:$R$13,'檢核表版本'!$Q$7:$Q$13,"未發布版本",0))</x:f>
      </x:c>
      <x:c r="S32" s="280" t="str">
        <x:f>IF($A32="","",IF(OR(LEN($B32)=0,LEN($C32)=0,LEN($E32)=0,LEN($F32)=0,LEN($G32)=0,LEN($H32)=0,LEN($I32)=0,LEN($J32)=0,LEN($L32)=0,LEN($M32)=0,LEN($O32)=0),"待補欄位",IF($R32&lt;&gt;"已發布","檢核表版本未發布",IF(AND($L32="通過",OR($I32&gt;0,$J32&gt;0)),"結果與必要項目矛盾",IF(AND($L32="通過",$M32&lt;&gt;"Ø"),"通過後建議評等應為 Ø",IF($O32&lt;&gt;"已知悉","待助理知悉",IF($P32="","待補知悉日",IF(OR($Q32="有異議",$Q32="複核中"),"異議處理中","可送主管核定"))))))))</x:f>
      </x:c>
      <x:c r="T32" s="280" t="str">
        <x:f>IF($A32="","",IF($S32="可送主管核定","可進入主管核定",$S32))</x:f>
      </x:c>
      <x:c r="U32" s="280" t="str">
        <x:f>IF($A32="","",IF($R32&lt;&gt;"已發布","先發布檢核表版本",IF($S32="可送主管核定","送主管核定中心",IF($S32="異議處理中","先完成異議複核","補齊或更正考核資料"))))</x:f>
      </x:c>
    </x:row>
    <x:row r="33">
      <x:c r="A33" s="106"/>
      <x:c r="B33" s="284"/>
      <x:c r="C33" s="106"/>
      <x:c r="D33" s="107" t="str">
        <x:f>IF($C33="","",_xlfn.XLOOKUP($C33,'試行員工主檔'!$A$7:$A$20,'試行員工主檔'!$B$7:$B$20,"員工未建立",0))</x:f>
      </x:c>
      <x:c r="E33" s="106"/>
      <x:c r="F33" s="106"/>
      <x:c r="G33" s="106"/>
      <x:c r="H33" s="106"/>
      <x:c r="I33" s="106"/>
      <x:c r="J33" s="106"/>
      <x:c r="K33" s="106"/>
      <x:c r="L33" s="107" t="str">
        <x:f>IF($A33="","",IF(OR($B33="",$C33="",$E33="",$F33="",$G33="",$H33=""),"資料未完整",IF(OR($I33&gt;0,$J33&gt;0),"未通過","通過")))</x:f>
      </x:c>
      <x:c r="M33" s="107" t="str">
        <x:f>IF($L33="通過","Ø",IF($L33="未通過","△",""))</x:f>
      </x:c>
      <x:c r="N33" s="106"/>
      <x:c r="O33" s="106"/>
      <x:c r="P33" s="284"/>
      <x:c r="Q33" s="106"/>
      <x:c r="R33" s="280" t="str">
        <x:f>IF($A33="","",_xlfn.XLOOKUP($F33&amp;"|"&amp;$G33,'檢核表版本'!$R$7:$R$13,'檢核表版本'!$Q$7:$Q$13,"未發布版本",0))</x:f>
      </x:c>
      <x:c r="S33" s="280" t="str">
        <x:f>IF($A33="","",IF(OR(LEN($B33)=0,LEN($C33)=0,LEN($E33)=0,LEN($F33)=0,LEN($G33)=0,LEN($H33)=0,LEN($I33)=0,LEN($J33)=0,LEN($L33)=0,LEN($M33)=0,LEN($O33)=0),"待補欄位",IF($R33&lt;&gt;"已發布","檢核表版本未發布",IF(AND($L33="通過",OR($I33&gt;0,$J33&gt;0)),"結果與必要項目矛盾",IF(AND($L33="通過",$M33&lt;&gt;"Ø"),"通過後建議評等應為 Ø",IF($O33&lt;&gt;"已知悉","待助理知悉",IF($P33="","待補知悉日",IF(OR($Q33="有異議",$Q33="複核中"),"異議處理中","可送主管核定"))))))))</x:f>
      </x:c>
      <x:c r="T33" s="280" t="str">
        <x:f>IF($A33="","",IF($S33="可送主管核定","可進入主管核定",$S33))</x:f>
      </x:c>
      <x:c r="U33" s="280" t="str">
        <x:f>IF($A33="","",IF($R33&lt;&gt;"已發布","先發布檢核表版本",IF($S33="可送主管核定","送主管核定中心",IF($S33="異議處理中","先完成異議複核","補齊或更正考核資料"))))</x:f>
      </x:c>
    </x:row>
    <x:row r="34">
      <x:c r="A34" s="106"/>
      <x:c r="B34" s="284"/>
      <x:c r="C34" s="106"/>
      <x:c r="D34" s="107" t="str">
        <x:f>IF($C34="","",_xlfn.XLOOKUP($C34,'試行員工主檔'!$A$7:$A$20,'試行員工主檔'!$B$7:$B$20,"員工未建立",0))</x:f>
      </x:c>
      <x:c r="E34" s="106"/>
      <x:c r="F34" s="106"/>
      <x:c r="G34" s="106"/>
      <x:c r="H34" s="106"/>
      <x:c r="I34" s="106"/>
      <x:c r="J34" s="106"/>
      <x:c r="K34" s="106"/>
      <x:c r="L34" s="107" t="str">
        <x:f>IF($A34="","",IF(OR($B34="",$C34="",$E34="",$F34="",$G34="",$H34=""),"資料未完整",IF(OR($I34&gt;0,$J34&gt;0),"未通過","通過")))</x:f>
      </x:c>
      <x:c r="M34" s="107" t="str">
        <x:f>IF($L34="通過","Ø",IF($L34="未通過","△",""))</x:f>
      </x:c>
      <x:c r="N34" s="106"/>
      <x:c r="O34" s="106"/>
      <x:c r="P34" s="284"/>
      <x:c r="Q34" s="106"/>
      <x:c r="R34" s="280" t="str">
        <x:f>IF($A34="","",_xlfn.XLOOKUP($F34&amp;"|"&amp;$G34,'檢核表版本'!$R$7:$R$13,'檢核表版本'!$Q$7:$Q$13,"未發布版本",0))</x:f>
      </x:c>
      <x:c r="S34" s="280" t="str">
        <x:f>IF($A34="","",IF(OR(LEN($B34)=0,LEN($C34)=0,LEN($E34)=0,LEN($F34)=0,LEN($G34)=0,LEN($H34)=0,LEN($I34)=0,LEN($J34)=0,LEN($L34)=0,LEN($M34)=0,LEN($O34)=0),"待補欄位",IF($R34&lt;&gt;"已發布","檢核表版本未發布",IF(AND($L34="通過",OR($I34&gt;0,$J34&gt;0)),"結果與必要項目矛盾",IF(AND($L34="通過",$M34&lt;&gt;"Ø"),"通過後建議評等應為 Ø",IF($O34&lt;&gt;"已知悉","待助理知悉",IF($P34="","待補知悉日",IF(OR($Q34="有異議",$Q34="複核中"),"異議處理中","可送主管核定"))))))))</x:f>
      </x:c>
      <x:c r="T34" s="280" t="str">
        <x:f>IF($A34="","",IF($S34="可送主管核定","可進入主管核定",$S34))</x:f>
      </x:c>
      <x:c r="U34" s="280" t="str">
        <x:f>IF($A34="","",IF($R34&lt;&gt;"已發布","先發布檢核表版本",IF($S34="可送主管核定","送主管核定中心",IF($S34="異議處理中","先完成異議複核","補齊或更正考核資料"))))</x:f>
      </x:c>
    </x:row>
    <x:row r="35">
      <x:c r="A35" s="106"/>
      <x:c r="B35" s="284"/>
      <x:c r="C35" s="106"/>
      <x:c r="D35" s="107" t="str">
        <x:f>IF($C35="","",_xlfn.XLOOKUP($C35,'試行員工主檔'!$A$7:$A$20,'試行員工主檔'!$B$7:$B$20,"員工未建立",0))</x:f>
      </x:c>
      <x:c r="E35" s="106"/>
      <x:c r="F35" s="106"/>
      <x:c r="G35" s="106"/>
      <x:c r="H35" s="106"/>
      <x:c r="I35" s="106"/>
      <x:c r="J35" s="106"/>
      <x:c r="K35" s="106"/>
      <x:c r="L35" s="107" t="str">
        <x:f>IF($A35="","",IF(OR($B35="",$C35="",$E35="",$F35="",$G35="",$H35=""),"資料未完整",IF(OR($I35&gt;0,$J35&gt;0),"未通過","通過")))</x:f>
      </x:c>
      <x:c r="M35" s="107" t="str">
        <x:f>IF($L35="通過","Ø",IF($L35="未通過","△",""))</x:f>
      </x:c>
      <x:c r="N35" s="106"/>
      <x:c r="O35" s="106"/>
      <x:c r="P35" s="284"/>
      <x:c r="Q35" s="106"/>
      <x:c r="R35" s="280" t="str">
        <x:f>IF($A35="","",_xlfn.XLOOKUP($F35&amp;"|"&amp;$G35,'檢核表版本'!$R$7:$R$13,'檢核表版本'!$Q$7:$Q$13,"未發布版本",0))</x:f>
      </x:c>
      <x:c r="S35" s="280" t="str">
        <x:f>IF($A35="","",IF(OR(LEN($B35)=0,LEN($C35)=0,LEN($E35)=0,LEN($F35)=0,LEN($G35)=0,LEN($H35)=0,LEN($I35)=0,LEN($J35)=0,LEN($L35)=0,LEN($M35)=0,LEN($O35)=0),"待補欄位",IF($R35&lt;&gt;"已發布","檢核表版本未發布",IF(AND($L35="通過",OR($I35&gt;0,$J35&gt;0)),"結果與必要項目矛盾",IF(AND($L35="通過",$M35&lt;&gt;"Ø"),"通過後建議評等應為 Ø",IF($O35&lt;&gt;"已知悉","待助理知悉",IF($P35="","待補知悉日",IF(OR($Q35="有異議",$Q35="複核中"),"異議處理中","可送主管核定"))))))))</x:f>
      </x:c>
      <x:c r="T35" s="280" t="str">
        <x:f>IF($A35="","",IF($S35="可送主管核定","可進入主管核定",$S35))</x:f>
      </x:c>
      <x:c r="U35" s="280" t="str">
        <x:f>IF($A35="","",IF($R35&lt;&gt;"已發布","先發布檢核表版本",IF($S35="可送主管核定","送主管核定中心",IF($S35="異議處理中","先完成異議複核","補齊或更正考核資料"))))</x:f>
      </x:c>
    </x:row>
    <x:row r="36">
      <x:c r="A36" s="106"/>
      <x:c r="B36" s="284"/>
      <x:c r="C36" s="106"/>
      <x:c r="D36" s="107" t="str">
        <x:f>IF($C36="","",_xlfn.XLOOKUP($C36,'試行員工主檔'!$A$7:$A$20,'試行員工主檔'!$B$7:$B$20,"員工未建立",0))</x:f>
      </x:c>
      <x:c r="E36" s="106"/>
      <x:c r="F36" s="106"/>
      <x:c r="G36" s="106"/>
      <x:c r="H36" s="106"/>
      <x:c r="I36" s="106"/>
      <x:c r="J36" s="106"/>
      <x:c r="K36" s="106"/>
      <x:c r="L36" s="107" t="str">
        <x:f>IF($A36="","",IF(OR($B36="",$C36="",$E36="",$F36="",$G36="",$H36=""),"資料未完整",IF(OR($I36&gt;0,$J36&gt;0),"未通過","通過")))</x:f>
      </x:c>
      <x:c r="M36" s="107" t="str">
        <x:f>IF($L36="通過","Ø",IF($L36="未通過","△",""))</x:f>
      </x:c>
      <x:c r="N36" s="106"/>
      <x:c r="O36" s="106"/>
      <x:c r="P36" s="284"/>
      <x:c r="Q36" s="106"/>
      <x:c r="R36" s="280" t="str">
        <x:f>IF($A36="","",_xlfn.XLOOKUP($F36&amp;"|"&amp;$G36,'檢核表版本'!$R$7:$R$13,'檢核表版本'!$Q$7:$Q$13,"未發布版本",0))</x:f>
      </x:c>
      <x:c r="S36" s="280" t="str">
        <x:f>IF($A36="","",IF(OR(LEN($B36)=0,LEN($C36)=0,LEN($E36)=0,LEN($F36)=0,LEN($G36)=0,LEN($H36)=0,LEN($I36)=0,LEN($J36)=0,LEN($L36)=0,LEN($M36)=0,LEN($O36)=0),"待補欄位",IF($R36&lt;&gt;"已發布","檢核表版本未發布",IF(AND($L36="通過",OR($I36&gt;0,$J36&gt;0)),"結果與必要項目矛盾",IF(AND($L36="通過",$M36&lt;&gt;"Ø"),"通過後建議評等應為 Ø",IF($O36&lt;&gt;"已知悉","待助理知悉",IF($P36="","待補知悉日",IF(OR($Q36="有異議",$Q36="複核中"),"異議處理中","可送主管核定"))))))))</x:f>
      </x:c>
      <x:c r="T36" s="280" t="str">
        <x:f>IF($A36="","",IF($S36="可送主管核定","可進入主管核定",$S36))</x:f>
      </x:c>
      <x:c r="U36" s="280" t="str">
        <x:f>IF($A36="","",IF($R36&lt;&gt;"已發布","先發布檢核表版本",IF($S36="可送主管核定","送主管核定中心",IF($S36="異議處理中","先完成異議複核","補齊或更正考核資料"))))</x:f>
      </x:c>
    </x:row>
    <x:row r="37">
      <x:c r="A37" s="106"/>
      <x:c r="B37" s="284"/>
      <x:c r="C37" s="106"/>
      <x:c r="D37" s="107" t="str">
        <x:f>IF($C37="","",_xlfn.XLOOKUP($C37,'試行員工主檔'!$A$7:$A$20,'試行員工主檔'!$B$7:$B$20,"員工未建立",0))</x:f>
      </x:c>
      <x:c r="E37" s="106"/>
      <x:c r="F37" s="106"/>
      <x:c r="G37" s="106"/>
      <x:c r="H37" s="106"/>
      <x:c r="I37" s="106"/>
      <x:c r="J37" s="106"/>
      <x:c r="K37" s="106"/>
      <x:c r="L37" s="107" t="str">
        <x:f>IF($A37="","",IF(OR($B37="",$C37="",$E37="",$F37="",$G37="",$H37=""),"資料未完整",IF(OR($I37&gt;0,$J37&gt;0),"未通過","通過")))</x:f>
      </x:c>
      <x:c r="M37" s="107" t="str">
        <x:f>IF($L37="通過","Ø",IF($L37="未通過","△",""))</x:f>
      </x:c>
      <x:c r="N37" s="106"/>
      <x:c r="O37" s="106"/>
      <x:c r="P37" s="284"/>
      <x:c r="Q37" s="106"/>
      <x:c r="R37" s="280" t="str">
        <x:f>IF($A37="","",_xlfn.XLOOKUP($F37&amp;"|"&amp;$G37,'檢核表版本'!$R$7:$R$13,'檢核表版本'!$Q$7:$Q$13,"未發布版本",0))</x:f>
      </x:c>
      <x:c r="S37" s="280" t="str">
        <x:f>IF($A37="","",IF(OR(LEN($B37)=0,LEN($C37)=0,LEN($E37)=0,LEN($F37)=0,LEN($G37)=0,LEN($H37)=0,LEN($I37)=0,LEN($J37)=0,LEN($L37)=0,LEN($M37)=0,LEN($O37)=0),"待補欄位",IF($R37&lt;&gt;"已發布","檢核表版本未發布",IF(AND($L37="通過",OR($I37&gt;0,$J37&gt;0)),"結果與必要項目矛盾",IF(AND($L37="通過",$M37&lt;&gt;"Ø"),"通過後建議評等應為 Ø",IF($O37&lt;&gt;"已知悉","待助理知悉",IF($P37="","待補知悉日",IF(OR($Q37="有異議",$Q37="複核中"),"異議處理中","可送主管核定"))))))))</x:f>
      </x:c>
      <x:c r="T37" s="280" t="str">
        <x:f>IF($A37="","",IF($S37="可送主管核定","可進入主管核定",$S37))</x:f>
      </x:c>
      <x:c r="U37" s="280" t="str">
        <x:f>IF($A37="","",IF($R37&lt;&gt;"已發布","先發布檢核表版本",IF($S37="可送主管核定","送主管核定中心",IF($S37="異議處理中","先完成異議複核","補齊或更正考核資料"))))</x:f>
      </x:c>
    </x:row>
    <x:row r="38">
      <x:c r="A38" s="106"/>
      <x:c r="B38" s="284"/>
      <x:c r="C38" s="106"/>
      <x:c r="D38" s="107" t="str">
        <x:f>IF($C38="","",_xlfn.XLOOKUP($C38,'試行員工主檔'!$A$7:$A$20,'試行員工主檔'!$B$7:$B$20,"員工未建立",0))</x:f>
      </x:c>
      <x:c r="E38" s="106"/>
      <x:c r="F38" s="106"/>
      <x:c r="G38" s="106"/>
      <x:c r="H38" s="106"/>
      <x:c r="I38" s="106"/>
      <x:c r="J38" s="106"/>
      <x:c r="K38" s="106"/>
      <x:c r="L38" s="107" t="str">
        <x:f>IF($A38="","",IF(OR($B38="",$C38="",$E38="",$F38="",$G38="",$H38=""),"資料未完整",IF(OR($I38&gt;0,$J38&gt;0),"未通過","通過")))</x:f>
      </x:c>
      <x:c r="M38" s="107" t="str">
        <x:f>IF($L38="通過","Ø",IF($L38="未通過","△",""))</x:f>
      </x:c>
      <x:c r="N38" s="106"/>
      <x:c r="O38" s="106"/>
      <x:c r="P38" s="284"/>
      <x:c r="Q38" s="106"/>
      <x:c r="R38" s="280" t="str">
        <x:f>IF($A38="","",_xlfn.XLOOKUP($F38&amp;"|"&amp;$G38,'檢核表版本'!$R$7:$R$13,'檢核表版本'!$Q$7:$Q$13,"未發布版本",0))</x:f>
      </x:c>
      <x:c r="S38" s="280" t="str">
        <x:f>IF($A38="","",IF(OR(LEN($B38)=0,LEN($C38)=0,LEN($E38)=0,LEN($F38)=0,LEN($G38)=0,LEN($H38)=0,LEN($I38)=0,LEN($J38)=0,LEN($L38)=0,LEN($M38)=0,LEN($O38)=0),"待補欄位",IF($R38&lt;&gt;"已發布","檢核表版本未發布",IF(AND($L38="通過",OR($I38&gt;0,$J38&gt;0)),"結果與必要項目矛盾",IF(AND($L38="通過",$M38&lt;&gt;"Ø"),"通過後建議評等應為 Ø",IF($O38&lt;&gt;"已知悉","待助理知悉",IF($P38="","待補知悉日",IF(OR($Q38="有異議",$Q38="複核中"),"異議處理中","可送主管核定"))))))))</x:f>
      </x:c>
      <x:c r="T38" s="280" t="str">
        <x:f>IF($A38="","",IF($S38="可送主管核定","可進入主管核定",$S38))</x:f>
      </x:c>
      <x:c r="U38" s="280" t="str">
        <x:f>IF($A38="","",IF($R38&lt;&gt;"已發布","先發布檢核表版本",IF($S38="可送主管核定","送主管核定中心",IF($S38="異議處理中","先完成異議複核","補齊或更正考核資料"))))</x:f>
      </x:c>
    </x:row>
    <x:row r="39">
      <x:c r="A39" s="106"/>
      <x:c r="B39" s="284"/>
      <x:c r="C39" s="106"/>
      <x:c r="D39" s="107" t="str">
        <x:f>IF($C39="","",_xlfn.XLOOKUP($C39,'試行員工主檔'!$A$7:$A$20,'試行員工主檔'!$B$7:$B$20,"員工未建立",0))</x:f>
      </x:c>
      <x:c r="E39" s="106"/>
      <x:c r="F39" s="106"/>
      <x:c r="G39" s="106"/>
      <x:c r="H39" s="106"/>
      <x:c r="I39" s="106"/>
      <x:c r="J39" s="106"/>
      <x:c r="K39" s="106"/>
      <x:c r="L39" s="107" t="str">
        <x:f>IF($A39="","",IF(OR($B39="",$C39="",$E39="",$F39="",$G39="",$H39=""),"資料未完整",IF(OR($I39&gt;0,$J39&gt;0),"未通過","通過")))</x:f>
      </x:c>
      <x:c r="M39" s="107" t="str">
        <x:f>IF($L39="通過","Ø",IF($L39="未通過","△",""))</x:f>
      </x:c>
      <x:c r="N39" s="106"/>
      <x:c r="O39" s="106"/>
      <x:c r="P39" s="284"/>
      <x:c r="Q39" s="106"/>
      <x:c r="R39" s="280" t="str">
        <x:f>IF($A39="","",_xlfn.XLOOKUP($F39&amp;"|"&amp;$G39,'檢核表版本'!$R$7:$R$13,'檢核表版本'!$Q$7:$Q$13,"未發布版本",0))</x:f>
      </x:c>
      <x:c r="S39" s="280" t="str">
        <x:f>IF($A39="","",IF(OR(LEN($B39)=0,LEN($C39)=0,LEN($E39)=0,LEN($F39)=0,LEN($G39)=0,LEN($H39)=0,LEN($I39)=0,LEN($J39)=0,LEN($L39)=0,LEN($M39)=0,LEN($O39)=0),"待補欄位",IF($R39&lt;&gt;"已發布","檢核表版本未發布",IF(AND($L39="通過",OR($I39&gt;0,$J39&gt;0)),"結果與必要項目矛盾",IF(AND($L39="通過",$M39&lt;&gt;"Ø"),"通過後建議評等應為 Ø",IF($O39&lt;&gt;"已知悉","待助理知悉",IF($P39="","待補知悉日",IF(OR($Q39="有異議",$Q39="複核中"),"異議處理中","可送主管核定"))))))))</x:f>
      </x:c>
      <x:c r="T39" s="280" t="str">
        <x:f>IF($A39="","",IF($S39="可送主管核定","可進入主管核定",$S39))</x:f>
      </x:c>
      <x:c r="U39" s="280" t="str">
        <x:f>IF($A39="","",IF($R39&lt;&gt;"已發布","先發布檢核表版本",IF($S39="可送主管核定","送主管核定中心",IF($S39="異議處理中","先完成異議複核","補齊或更正考核資料"))))</x:f>
      </x:c>
    </x:row>
    <x:row r="40">
      <x:c r="A40" s="106"/>
      <x:c r="B40" s="284"/>
      <x:c r="C40" s="106"/>
      <x:c r="D40" s="107" t="str">
        <x:f>IF($C40="","",_xlfn.XLOOKUP($C40,'試行員工主檔'!$A$7:$A$20,'試行員工主檔'!$B$7:$B$20,"員工未建立",0))</x:f>
      </x:c>
      <x:c r="E40" s="106"/>
      <x:c r="F40" s="106"/>
      <x:c r="G40" s="106"/>
      <x:c r="H40" s="106"/>
      <x:c r="I40" s="106"/>
      <x:c r="J40" s="106"/>
      <x:c r="K40" s="106"/>
      <x:c r="L40" s="107" t="str">
        <x:f>IF($A40="","",IF(OR($B40="",$C40="",$E40="",$F40="",$G40="",$H40=""),"資料未完整",IF(OR($I40&gt;0,$J40&gt;0),"未通過","通過")))</x:f>
      </x:c>
      <x:c r="M40" s="107" t="str">
        <x:f>IF($L40="通過","Ø",IF($L40="未通過","△",""))</x:f>
      </x:c>
      <x:c r="N40" s="106"/>
      <x:c r="O40" s="106"/>
      <x:c r="P40" s="284"/>
      <x:c r="Q40" s="106"/>
      <x:c r="R40" s="280" t="str">
        <x:f>IF($A40="","",_xlfn.XLOOKUP($F40&amp;"|"&amp;$G40,'檢核表版本'!$R$7:$R$13,'檢核表版本'!$Q$7:$Q$13,"未發布版本",0))</x:f>
      </x:c>
      <x:c r="S40" s="280" t="str">
        <x:f>IF($A40="","",IF(OR(LEN($B40)=0,LEN($C40)=0,LEN($E40)=0,LEN($F40)=0,LEN($G40)=0,LEN($H40)=0,LEN($I40)=0,LEN($J40)=0,LEN($L40)=0,LEN($M40)=0,LEN($O40)=0),"待補欄位",IF($R40&lt;&gt;"已發布","檢核表版本未發布",IF(AND($L40="通過",OR($I40&gt;0,$J40&gt;0)),"結果與必要項目矛盾",IF(AND($L40="通過",$M40&lt;&gt;"Ø"),"通過後建議評等應為 Ø",IF($O40&lt;&gt;"已知悉","待助理知悉",IF($P40="","待補知悉日",IF(OR($Q40="有異議",$Q40="複核中"),"異議處理中","可送主管核定"))))))))</x:f>
      </x:c>
      <x:c r="T40" s="280" t="str">
        <x:f>IF($A40="","",IF($S40="可送主管核定","可進入主管核定",$S40))</x:f>
      </x:c>
      <x:c r="U40" s="280" t="str">
        <x:f>IF($A40="","",IF($R40&lt;&gt;"已發布","先發布檢核表版本",IF($S40="可送主管核定","送主管核定中心",IF($S40="異議處理中","先完成異議複核","補齊或更正考核資料"))))</x:f>
      </x:c>
    </x:row>
    <x:row r="41">
      <x:c r="A41" s="106"/>
      <x:c r="B41" s="284"/>
      <x:c r="C41" s="106"/>
      <x:c r="D41" s="107" t="str">
        <x:f>IF($C41="","",_xlfn.XLOOKUP($C41,'試行員工主檔'!$A$7:$A$20,'試行員工主檔'!$B$7:$B$20,"員工未建立",0))</x:f>
      </x:c>
      <x:c r="E41" s="106"/>
      <x:c r="F41" s="106"/>
      <x:c r="G41" s="106"/>
      <x:c r="H41" s="106"/>
      <x:c r="I41" s="106"/>
      <x:c r="J41" s="106"/>
      <x:c r="K41" s="106"/>
      <x:c r="L41" s="107" t="str">
        <x:f>IF($A41="","",IF(OR($B41="",$C41="",$E41="",$F41="",$G41="",$H41=""),"資料未完整",IF(OR($I41&gt;0,$J41&gt;0),"未通過","通過")))</x:f>
      </x:c>
      <x:c r="M41" s="107" t="str">
        <x:f>IF($L41="通過","Ø",IF($L41="未通過","△",""))</x:f>
      </x:c>
      <x:c r="N41" s="106"/>
      <x:c r="O41" s="106"/>
      <x:c r="P41" s="284"/>
      <x:c r="Q41" s="106"/>
      <x:c r="R41" s="280" t="str">
        <x:f>IF($A41="","",_xlfn.XLOOKUP($F41&amp;"|"&amp;$G41,'檢核表版本'!$R$7:$R$13,'檢核表版本'!$Q$7:$Q$13,"未發布版本",0))</x:f>
      </x:c>
      <x:c r="S41" s="280" t="str">
        <x:f>IF($A41="","",IF(OR(LEN($B41)=0,LEN($C41)=0,LEN($E41)=0,LEN($F41)=0,LEN($G41)=0,LEN($H41)=0,LEN($I41)=0,LEN($J41)=0,LEN($L41)=0,LEN($M41)=0,LEN($O41)=0),"待補欄位",IF($R41&lt;&gt;"已發布","檢核表版本未發布",IF(AND($L41="通過",OR($I41&gt;0,$J41&gt;0)),"結果與必要項目矛盾",IF(AND($L41="通過",$M41&lt;&gt;"Ø"),"通過後建議評等應為 Ø",IF($O41&lt;&gt;"已知悉","待助理知悉",IF($P41="","待補知悉日",IF(OR($Q41="有異議",$Q41="複核中"),"異議處理中","可送主管核定"))))))))</x:f>
      </x:c>
      <x:c r="T41" s="280" t="str">
        <x:f>IF($A41="","",IF($S41="可送主管核定","可進入主管核定",$S41))</x:f>
      </x:c>
      <x:c r="U41" s="280" t="str">
        <x:f>IF($A41="","",IF($R41&lt;&gt;"已發布","先發布檢核表版本",IF($S41="可送主管核定","送主管核定中心",IF($S41="異議處理中","先完成異議複核","補齊或更正考核資料"))))</x:f>
      </x:c>
    </x:row>
    <x:row r="42">
      <x:c r="A42" s="106"/>
      <x:c r="B42" s="284"/>
      <x:c r="C42" s="106"/>
      <x:c r="D42" s="107" t="str">
        <x:f>IF($C42="","",_xlfn.XLOOKUP($C42,'試行員工主檔'!$A$7:$A$20,'試行員工主檔'!$B$7:$B$20,"員工未建立",0))</x:f>
      </x:c>
      <x:c r="E42" s="106"/>
      <x:c r="F42" s="106"/>
      <x:c r="G42" s="106"/>
      <x:c r="H42" s="106"/>
      <x:c r="I42" s="106"/>
      <x:c r="J42" s="106"/>
      <x:c r="K42" s="106"/>
      <x:c r="L42" s="107" t="str">
        <x:f>IF($A42="","",IF(OR($B42="",$C42="",$E42="",$F42="",$G42="",$H42=""),"資料未完整",IF(OR($I42&gt;0,$J42&gt;0),"未通過","通過")))</x:f>
      </x:c>
      <x:c r="M42" s="107" t="str">
        <x:f>IF($L42="通過","Ø",IF($L42="未通過","△",""))</x:f>
      </x:c>
      <x:c r="N42" s="106"/>
      <x:c r="O42" s="106"/>
      <x:c r="P42" s="284"/>
      <x:c r="Q42" s="106"/>
      <x:c r="R42" s="280" t="str">
        <x:f>IF($A42="","",_xlfn.XLOOKUP($F42&amp;"|"&amp;$G42,'檢核表版本'!$R$7:$R$13,'檢核表版本'!$Q$7:$Q$13,"未發布版本",0))</x:f>
      </x:c>
      <x:c r="S42" s="280" t="str">
        <x:f>IF($A42="","",IF(OR(LEN($B42)=0,LEN($C42)=0,LEN($E42)=0,LEN($F42)=0,LEN($G42)=0,LEN($H42)=0,LEN($I42)=0,LEN($J42)=0,LEN($L42)=0,LEN($M42)=0,LEN($O42)=0),"待補欄位",IF($R42&lt;&gt;"已發布","檢核表版本未發布",IF(AND($L42="通過",OR($I42&gt;0,$J42&gt;0)),"結果與必要項目矛盾",IF(AND($L42="通過",$M42&lt;&gt;"Ø"),"通過後建議評等應為 Ø",IF($O42&lt;&gt;"已知悉","待助理知悉",IF($P42="","待補知悉日",IF(OR($Q42="有異議",$Q42="複核中"),"異議處理中","可送主管核定"))))))))</x:f>
      </x:c>
      <x:c r="T42" s="280" t="str">
        <x:f>IF($A42="","",IF($S42="可送主管核定","可進入主管核定",$S42))</x:f>
      </x:c>
      <x:c r="U42" s="280" t="str">
        <x:f>IF($A42="","",IF($R42&lt;&gt;"已發布","先發布檢核表版本",IF($S42="可送主管核定","送主管核定中心",IF($S42="異議處理中","先完成異議複核","補齊或更正考核資料"))))</x:f>
      </x:c>
    </x:row>
    <x:row r="43">
      <x:c r="A43" s="106"/>
      <x:c r="B43" s="284"/>
      <x:c r="C43" s="106"/>
      <x:c r="D43" s="107" t="str">
        <x:f>IF($C43="","",_xlfn.XLOOKUP($C43,'試行員工主檔'!$A$7:$A$20,'試行員工主檔'!$B$7:$B$20,"員工未建立",0))</x:f>
      </x:c>
      <x:c r="E43" s="106"/>
      <x:c r="F43" s="106"/>
      <x:c r="G43" s="106"/>
      <x:c r="H43" s="106"/>
      <x:c r="I43" s="106"/>
      <x:c r="J43" s="106"/>
      <x:c r="K43" s="106"/>
      <x:c r="L43" s="107" t="str">
        <x:f>IF($A43="","",IF(OR($B43="",$C43="",$E43="",$F43="",$G43="",$H43=""),"資料未完整",IF(OR($I43&gt;0,$J43&gt;0),"未通過","通過")))</x:f>
      </x:c>
      <x:c r="M43" s="107" t="str">
        <x:f>IF($L43="通過","Ø",IF($L43="未通過","△",""))</x:f>
      </x:c>
      <x:c r="N43" s="106"/>
      <x:c r="O43" s="106"/>
      <x:c r="P43" s="284"/>
      <x:c r="Q43" s="106"/>
      <x:c r="R43" s="280" t="str">
        <x:f>IF($A43="","",_xlfn.XLOOKUP($F43&amp;"|"&amp;$G43,'檢核表版本'!$R$7:$R$13,'檢核表版本'!$Q$7:$Q$13,"未發布版本",0))</x:f>
      </x:c>
      <x:c r="S43" s="280" t="str">
        <x:f>IF($A43="","",IF(OR(LEN($B43)=0,LEN($C43)=0,LEN($E43)=0,LEN($F43)=0,LEN($G43)=0,LEN($H43)=0,LEN($I43)=0,LEN($J43)=0,LEN($L43)=0,LEN($M43)=0,LEN($O43)=0),"待補欄位",IF($R43&lt;&gt;"已發布","檢核表版本未發布",IF(AND($L43="通過",OR($I43&gt;0,$J43&gt;0)),"結果與必要項目矛盾",IF(AND($L43="通過",$M43&lt;&gt;"Ø"),"通過後建議評等應為 Ø",IF($O43&lt;&gt;"已知悉","待助理知悉",IF($P43="","待補知悉日",IF(OR($Q43="有異議",$Q43="複核中"),"異議處理中","可送主管核定"))))))))</x:f>
      </x:c>
      <x:c r="T43" s="280" t="str">
        <x:f>IF($A43="","",IF($S43="可送主管核定","可進入主管核定",$S43))</x:f>
      </x:c>
      <x:c r="U43" s="280" t="str">
        <x:f>IF($A43="","",IF($R43&lt;&gt;"已發布","先發布檢核表版本",IF($S43="可送主管核定","送主管核定中心",IF($S43="異議處理中","先完成異議複核","補齊或更正考核資料"))))</x:f>
      </x:c>
    </x:row>
    <x:row r="44">
      <x:c r="A44" s="106"/>
      <x:c r="B44" s="284"/>
      <x:c r="C44" s="106"/>
      <x:c r="D44" s="107" t="str">
        <x:f>IF($C44="","",_xlfn.XLOOKUP($C44,'試行員工主檔'!$A$7:$A$20,'試行員工主檔'!$B$7:$B$20,"員工未建立",0))</x:f>
      </x:c>
      <x:c r="E44" s="106"/>
      <x:c r="F44" s="106"/>
      <x:c r="G44" s="106"/>
      <x:c r="H44" s="106"/>
      <x:c r="I44" s="106"/>
      <x:c r="J44" s="106"/>
      <x:c r="K44" s="106"/>
      <x:c r="L44" s="107" t="str">
        <x:f>IF($A44="","",IF(OR($B44="",$C44="",$E44="",$F44="",$G44="",$H44=""),"資料未完整",IF(OR($I44&gt;0,$J44&gt;0),"未通過","通過")))</x:f>
      </x:c>
      <x:c r="M44" s="107" t="str">
        <x:f>IF($L44="通過","Ø",IF($L44="未通過","△",""))</x:f>
      </x:c>
      <x:c r="N44" s="106"/>
      <x:c r="O44" s="106"/>
      <x:c r="P44" s="284"/>
      <x:c r="Q44" s="106"/>
      <x:c r="R44" s="280" t="str">
        <x:f>IF($A44="","",_xlfn.XLOOKUP($F44&amp;"|"&amp;$G44,'檢核表版本'!$R$7:$R$13,'檢核表版本'!$Q$7:$Q$13,"未發布版本",0))</x:f>
      </x:c>
      <x:c r="S44" s="280" t="str">
        <x:f>IF($A44="","",IF(OR(LEN($B44)=0,LEN($C44)=0,LEN($E44)=0,LEN($F44)=0,LEN($G44)=0,LEN($H44)=0,LEN($I44)=0,LEN($J44)=0,LEN($L44)=0,LEN($M44)=0,LEN($O44)=0),"待補欄位",IF($R44&lt;&gt;"已發布","檢核表版本未發布",IF(AND($L44="通過",OR($I44&gt;0,$J44&gt;0)),"結果與必要項目矛盾",IF(AND($L44="通過",$M44&lt;&gt;"Ø"),"通過後建議評等應為 Ø",IF($O44&lt;&gt;"已知悉","待助理知悉",IF($P44="","待補知悉日",IF(OR($Q44="有異議",$Q44="複核中"),"異議處理中","可送主管核定"))))))))</x:f>
      </x:c>
      <x:c r="T44" s="280" t="str">
        <x:f>IF($A44="","",IF($S44="可送主管核定","可進入主管核定",$S44))</x:f>
      </x:c>
      <x:c r="U44" s="280" t="str">
        <x:f>IF($A44="","",IF($R44&lt;&gt;"已發布","先發布檢核表版本",IF($S44="可送主管核定","送主管核定中心",IF($S44="異議處理中","先完成異議複核","補齊或更正考核資料"))))</x:f>
      </x:c>
    </x:row>
    <x:row r="45">
      <x:c r="A45" s="106"/>
      <x:c r="B45" s="284"/>
      <x:c r="C45" s="106"/>
      <x:c r="D45" s="107" t="str">
        <x:f>IF($C45="","",_xlfn.XLOOKUP($C45,'試行員工主檔'!$A$7:$A$20,'試行員工主檔'!$B$7:$B$20,"員工未建立",0))</x:f>
      </x:c>
      <x:c r="E45" s="106"/>
      <x:c r="F45" s="106"/>
      <x:c r="G45" s="106"/>
      <x:c r="H45" s="106"/>
      <x:c r="I45" s="106"/>
      <x:c r="J45" s="106"/>
      <x:c r="K45" s="106"/>
      <x:c r="L45" s="107" t="str">
        <x:f>IF($A45="","",IF(OR($B45="",$C45="",$E45="",$F45="",$G45="",$H45=""),"資料未完整",IF(OR($I45&gt;0,$J45&gt;0),"未通過","通過")))</x:f>
      </x:c>
      <x:c r="M45" s="107" t="str">
        <x:f>IF($L45="通過","Ø",IF($L45="未通過","△",""))</x:f>
      </x:c>
      <x:c r="N45" s="106"/>
      <x:c r="O45" s="106"/>
      <x:c r="P45" s="284"/>
      <x:c r="Q45" s="106"/>
      <x:c r="R45" s="280" t="str">
        <x:f>IF($A45="","",_xlfn.XLOOKUP($F45&amp;"|"&amp;$G45,'檢核表版本'!$R$7:$R$13,'檢核表版本'!$Q$7:$Q$13,"未發布版本",0))</x:f>
      </x:c>
      <x:c r="S45" s="280" t="str">
        <x:f>IF($A45="","",IF(OR(LEN($B45)=0,LEN($C45)=0,LEN($E45)=0,LEN($F45)=0,LEN($G45)=0,LEN($H45)=0,LEN($I45)=0,LEN($J45)=0,LEN($L45)=0,LEN($M45)=0,LEN($O45)=0),"待補欄位",IF($R45&lt;&gt;"已發布","檢核表版本未發布",IF(AND($L45="通過",OR($I45&gt;0,$J45&gt;0)),"結果與必要項目矛盾",IF(AND($L45="通過",$M45&lt;&gt;"Ø"),"通過後建議評等應為 Ø",IF($O45&lt;&gt;"已知悉","待助理知悉",IF($P45="","待補知悉日",IF(OR($Q45="有異議",$Q45="複核中"),"異議處理中","可送主管核定"))))))))</x:f>
      </x:c>
      <x:c r="T45" s="280" t="str">
        <x:f>IF($A45="","",IF($S45="可送主管核定","可進入主管核定",$S45))</x:f>
      </x:c>
      <x:c r="U45" s="280" t="str">
        <x:f>IF($A45="","",IF($R45&lt;&gt;"已發布","先發布檢核表版本",IF($S45="可送主管核定","送主管核定中心",IF($S45="異議處理中","先完成異議複核","補齊或更正考核資料"))))</x:f>
      </x:c>
    </x:row>
    <x:row r="46">
      <x:c r="A46" s="106"/>
      <x:c r="B46" s="284"/>
      <x:c r="C46" s="106"/>
      <x:c r="D46" s="107" t="str">
        <x:f>IF($C46="","",_xlfn.XLOOKUP($C46,'試行員工主檔'!$A$7:$A$20,'試行員工主檔'!$B$7:$B$20,"員工未建立",0))</x:f>
      </x:c>
      <x:c r="E46" s="106"/>
      <x:c r="F46" s="106"/>
      <x:c r="G46" s="106"/>
      <x:c r="H46" s="106"/>
      <x:c r="I46" s="106"/>
      <x:c r="J46" s="106"/>
      <x:c r="K46" s="106"/>
      <x:c r="L46" s="107" t="str">
        <x:f>IF($A46="","",IF(OR($B46="",$C46="",$E46="",$F46="",$G46="",$H46=""),"資料未完整",IF(OR($I46&gt;0,$J46&gt;0),"未通過","通過")))</x:f>
      </x:c>
      <x:c r="M46" s="107" t="str">
        <x:f>IF($L46="通過","Ø",IF($L46="未通過","△",""))</x:f>
      </x:c>
      <x:c r="N46" s="106"/>
      <x:c r="O46" s="106"/>
      <x:c r="P46" s="284"/>
      <x:c r="Q46" s="106"/>
      <x:c r="R46" s="280" t="str">
        <x:f>IF($A46="","",_xlfn.XLOOKUP($F46&amp;"|"&amp;$G46,'檢核表版本'!$R$7:$R$13,'檢核表版本'!$Q$7:$Q$13,"未發布版本",0))</x:f>
      </x:c>
      <x:c r="S46" s="280" t="str">
        <x:f>IF($A46="","",IF(OR(LEN($B46)=0,LEN($C46)=0,LEN($E46)=0,LEN($F46)=0,LEN($G46)=0,LEN($H46)=0,LEN($I46)=0,LEN($J46)=0,LEN($L46)=0,LEN($M46)=0,LEN($O46)=0),"待補欄位",IF($R46&lt;&gt;"已發布","檢核表版本未發布",IF(AND($L46="通過",OR($I46&gt;0,$J46&gt;0)),"結果與必要項目矛盾",IF(AND($L46="通過",$M46&lt;&gt;"Ø"),"通過後建議評等應為 Ø",IF($O46&lt;&gt;"已知悉","待助理知悉",IF($P46="","待補知悉日",IF(OR($Q46="有異議",$Q46="複核中"),"異議處理中","可送主管核定"))))))))</x:f>
      </x:c>
      <x:c r="T46" s="280" t="str">
        <x:f>IF($A46="","",IF($S46="可送主管核定","可進入主管核定",$S46))</x:f>
      </x:c>
      <x:c r="U46" s="280" t="str">
        <x:f>IF($A46="","",IF($R46&lt;&gt;"已發布","先發布檢核表版本",IF($S46="可送主管核定","送主管核定中心",IF($S46="異議處理中","先完成異議複核","補齊或更正考核資料"))))</x:f>
      </x:c>
    </x:row>
    <x:row r="47">
      <x:c r="A47" s="106"/>
      <x:c r="B47" s="284"/>
      <x:c r="C47" s="106"/>
      <x:c r="D47" s="107" t="str">
        <x:f>IF($C47="","",_xlfn.XLOOKUP($C47,'試行員工主檔'!$A$7:$A$20,'試行員工主檔'!$B$7:$B$20,"員工未建立",0))</x:f>
      </x:c>
      <x:c r="E47" s="106"/>
      <x:c r="F47" s="106"/>
      <x:c r="G47" s="106"/>
      <x:c r="H47" s="106"/>
      <x:c r="I47" s="106"/>
      <x:c r="J47" s="106"/>
      <x:c r="K47" s="106"/>
      <x:c r="L47" s="107" t="str">
        <x:f>IF($A47="","",IF(OR($B47="",$C47="",$E47="",$F47="",$G47="",$H47=""),"資料未完整",IF(OR($I47&gt;0,$J47&gt;0),"未通過","通過")))</x:f>
      </x:c>
      <x:c r="M47" s="107" t="str">
        <x:f>IF($L47="通過","Ø",IF($L47="未通過","△",""))</x:f>
      </x:c>
      <x:c r="N47" s="106"/>
      <x:c r="O47" s="106"/>
      <x:c r="P47" s="284"/>
      <x:c r="Q47" s="106"/>
      <x:c r="R47" s="280" t="str">
        <x:f>IF($A47="","",_xlfn.XLOOKUP($F47&amp;"|"&amp;$G47,'檢核表版本'!$R$7:$R$13,'檢核表版本'!$Q$7:$Q$13,"未發布版本",0))</x:f>
      </x:c>
      <x:c r="S47" s="280" t="str">
        <x:f>IF($A47="","",IF(OR(LEN($B47)=0,LEN($C47)=0,LEN($E47)=0,LEN($F47)=0,LEN($G47)=0,LEN($H47)=0,LEN($I47)=0,LEN($J47)=0,LEN($L47)=0,LEN($M47)=0,LEN($O47)=0),"待補欄位",IF($R47&lt;&gt;"已發布","檢核表版本未發布",IF(AND($L47="通過",OR($I47&gt;0,$J47&gt;0)),"結果與必要項目矛盾",IF(AND($L47="通過",$M47&lt;&gt;"Ø"),"通過後建議評等應為 Ø",IF($O47&lt;&gt;"已知悉","待助理知悉",IF($P47="","待補知悉日",IF(OR($Q47="有異議",$Q47="複核中"),"異議處理中","可送主管核定"))))))))</x:f>
      </x:c>
      <x:c r="T47" s="280" t="str">
        <x:f>IF($A47="","",IF($S47="可送主管核定","可進入主管核定",$S47))</x:f>
      </x:c>
      <x:c r="U47" s="280" t="str">
        <x:f>IF($A47="","",IF($R47&lt;&gt;"已發布","先發布檢核表版本",IF($S47="可送主管核定","送主管核定中心",IF($S47="異議處理中","先完成異議複核","補齊或更正考核資料"))))</x:f>
      </x:c>
    </x:row>
    <x:row r="48">
      <x:c r="A48" s="106"/>
      <x:c r="B48" s="284"/>
      <x:c r="C48" s="106"/>
      <x:c r="D48" s="107" t="str">
        <x:f>IF($C48="","",_xlfn.XLOOKUP($C48,'試行員工主檔'!$A$7:$A$20,'試行員工主檔'!$B$7:$B$20,"員工未建立",0))</x:f>
      </x:c>
      <x:c r="E48" s="106"/>
      <x:c r="F48" s="106"/>
      <x:c r="G48" s="106"/>
      <x:c r="H48" s="106"/>
      <x:c r="I48" s="106"/>
      <x:c r="J48" s="106"/>
      <x:c r="K48" s="106"/>
      <x:c r="L48" s="107" t="str">
        <x:f>IF($A48="","",IF(OR($B48="",$C48="",$E48="",$F48="",$G48="",$H48=""),"資料未完整",IF(OR($I48&gt;0,$J48&gt;0),"未通過","通過")))</x:f>
      </x:c>
      <x:c r="M48" s="107" t="str">
        <x:f>IF($L48="通過","Ø",IF($L48="未通過","△",""))</x:f>
      </x:c>
      <x:c r="N48" s="106"/>
      <x:c r="O48" s="106"/>
      <x:c r="P48" s="284"/>
      <x:c r="Q48" s="106"/>
      <x:c r="R48" s="280" t="str">
        <x:f>IF($A48="","",_xlfn.XLOOKUP($F48&amp;"|"&amp;$G48,'檢核表版本'!$R$7:$R$13,'檢核表版本'!$Q$7:$Q$13,"未發布版本",0))</x:f>
      </x:c>
      <x:c r="S48" s="280" t="str">
        <x:f>IF($A48="","",IF(OR(LEN($B48)=0,LEN($C48)=0,LEN($E48)=0,LEN($F48)=0,LEN($G48)=0,LEN($H48)=0,LEN($I48)=0,LEN($J48)=0,LEN($L48)=0,LEN($M48)=0,LEN($O48)=0),"待補欄位",IF($R48&lt;&gt;"已發布","檢核表版本未發布",IF(AND($L48="通過",OR($I48&gt;0,$J48&gt;0)),"結果與必要項目矛盾",IF(AND($L48="通過",$M48&lt;&gt;"Ø"),"通過後建議評等應為 Ø",IF($O48&lt;&gt;"已知悉","待助理知悉",IF($P48="","待補知悉日",IF(OR($Q48="有異議",$Q48="複核中"),"異議處理中","可送主管核定"))))))))</x:f>
      </x:c>
      <x:c r="T48" s="280" t="str">
        <x:f>IF($A48="","",IF($S48="可送主管核定","可進入主管核定",$S48))</x:f>
      </x:c>
      <x:c r="U48" s="280" t="str">
        <x:f>IF($A48="","",IF($R48&lt;&gt;"已發布","先發布檢核表版本",IF($S48="可送主管核定","送主管核定中心",IF($S48="異議處理中","先完成異議複核","補齊或更正考核資料"))))</x:f>
      </x:c>
    </x:row>
    <x:row r="49">
      <x:c r="A49" s="106"/>
      <x:c r="B49" s="284"/>
      <x:c r="C49" s="106"/>
      <x:c r="D49" s="107" t="str">
        <x:f>IF($C49="","",_xlfn.XLOOKUP($C49,'試行員工主檔'!$A$7:$A$20,'試行員工主檔'!$B$7:$B$20,"員工未建立",0))</x:f>
      </x:c>
      <x:c r="E49" s="106"/>
      <x:c r="F49" s="106"/>
      <x:c r="G49" s="106"/>
      <x:c r="H49" s="106"/>
      <x:c r="I49" s="106"/>
      <x:c r="J49" s="106"/>
      <x:c r="K49" s="106"/>
      <x:c r="L49" s="107" t="str">
        <x:f>IF($A49="","",IF(OR($B49="",$C49="",$E49="",$F49="",$G49="",$H49=""),"資料未完整",IF(OR($I49&gt;0,$J49&gt;0),"未通過","通過")))</x:f>
      </x:c>
      <x:c r="M49" s="107" t="str">
        <x:f>IF($L49="通過","Ø",IF($L49="未通過","△",""))</x:f>
      </x:c>
      <x:c r="N49" s="106"/>
      <x:c r="O49" s="106"/>
      <x:c r="P49" s="284"/>
      <x:c r="Q49" s="106"/>
      <x:c r="R49" s="280" t="str">
        <x:f>IF($A49="","",_xlfn.XLOOKUP($F49&amp;"|"&amp;$G49,'檢核表版本'!$R$7:$R$13,'檢核表版本'!$Q$7:$Q$13,"未發布版本",0))</x:f>
      </x:c>
      <x:c r="S49" s="280" t="str">
        <x:f>IF($A49="","",IF(OR(LEN($B49)=0,LEN($C49)=0,LEN($E49)=0,LEN($F49)=0,LEN($G49)=0,LEN($H49)=0,LEN($I49)=0,LEN($J49)=0,LEN($L49)=0,LEN($M49)=0,LEN($O49)=0),"待補欄位",IF($R49&lt;&gt;"已發布","檢核表版本未發布",IF(AND($L49="通過",OR($I49&gt;0,$J49&gt;0)),"結果與必要項目矛盾",IF(AND($L49="通過",$M49&lt;&gt;"Ø"),"通過後建議評等應為 Ø",IF($O49&lt;&gt;"已知悉","待助理知悉",IF($P49="","待補知悉日",IF(OR($Q49="有異議",$Q49="複核中"),"異議處理中","可送主管核定"))))))))</x:f>
      </x:c>
      <x:c r="T49" s="280" t="str">
        <x:f>IF($A49="","",IF($S49="可送主管核定","可進入主管核定",$S49))</x:f>
      </x:c>
      <x:c r="U49" s="280" t="str">
        <x:f>IF($A49="","",IF($R49&lt;&gt;"已發布","先發布檢核表版本",IF($S49="可送主管核定","送主管核定中心",IF($S49="異議處理中","先完成異議複核","補齊或更正考核資料"))))</x:f>
      </x:c>
    </x:row>
    <x:row r="50">
      <x:c r="A50" s="106"/>
      <x:c r="B50" s="284"/>
      <x:c r="C50" s="106"/>
      <x:c r="D50" s="107" t="str">
        <x:f>IF($C50="","",_xlfn.XLOOKUP($C50,'試行員工主檔'!$A$7:$A$20,'試行員工主檔'!$B$7:$B$20,"員工未建立",0))</x:f>
      </x:c>
      <x:c r="E50" s="106"/>
      <x:c r="F50" s="106"/>
      <x:c r="G50" s="106"/>
      <x:c r="H50" s="106"/>
      <x:c r="I50" s="106"/>
      <x:c r="J50" s="106"/>
      <x:c r="K50" s="106"/>
      <x:c r="L50" s="107" t="str">
        <x:f>IF($A50="","",IF(OR($B50="",$C50="",$E50="",$F50="",$G50="",$H50=""),"資料未完整",IF(OR($I50&gt;0,$J50&gt;0),"未通過","通過")))</x:f>
      </x:c>
      <x:c r="M50" s="107" t="str">
        <x:f>IF($L50="通過","Ø",IF($L50="未通過","△",""))</x:f>
      </x:c>
      <x:c r="N50" s="106"/>
      <x:c r="O50" s="106"/>
      <x:c r="P50" s="284"/>
      <x:c r="Q50" s="106"/>
      <x:c r="R50" s="280" t="str">
        <x:f>IF($A50="","",_xlfn.XLOOKUP($F50&amp;"|"&amp;$G50,'檢核表版本'!$R$7:$R$13,'檢核表版本'!$Q$7:$Q$13,"未發布版本",0))</x:f>
      </x:c>
      <x:c r="S50" s="280" t="str">
        <x:f>IF($A50="","",IF(OR(LEN($B50)=0,LEN($C50)=0,LEN($E50)=0,LEN($F50)=0,LEN($G50)=0,LEN($H50)=0,LEN($I50)=0,LEN($J50)=0,LEN($L50)=0,LEN($M50)=0,LEN($O50)=0),"待補欄位",IF($R50&lt;&gt;"已發布","檢核表版本未發布",IF(AND($L50="通過",OR($I50&gt;0,$J50&gt;0)),"結果與必要項目矛盾",IF(AND($L50="通過",$M50&lt;&gt;"Ø"),"通過後建議評等應為 Ø",IF($O50&lt;&gt;"已知悉","待助理知悉",IF($P50="","待補知悉日",IF(OR($Q50="有異議",$Q50="複核中"),"異議處理中","可送主管核定"))))))))</x:f>
      </x:c>
      <x:c r="T50" s="280" t="str">
        <x:f>IF($A50="","",IF($S50="可送主管核定","可進入主管核定",$S50))</x:f>
      </x:c>
      <x:c r="U50" s="280" t="str">
        <x:f>IF($A50="","",IF($R50&lt;&gt;"已發布","先發布檢核表版本",IF($S50="可送主管核定","送主管核定中心",IF($S50="異議處理中","先完成異議複核","補齊或更正考核資料"))))</x:f>
      </x:c>
    </x:row>
    <x:row r="51">
      <x:c r="A51" s="106"/>
      <x:c r="B51" s="284"/>
      <x:c r="C51" s="106"/>
      <x:c r="D51" s="107" t="str">
        <x:f>IF($C51="","",_xlfn.XLOOKUP($C51,'試行員工主檔'!$A$7:$A$20,'試行員工主檔'!$B$7:$B$20,"員工未建立",0))</x:f>
      </x:c>
      <x:c r="E51" s="106"/>
      <x:c r="F51" s="106"/>
      <x:c r="G51" s="106"/>
      <x:c r="H51" s="106"/>
      <x:c r="I51" s="106"/>
      <x:c r="J51" s="106"/>
      <x:c r="K51" s="106"/>
      <x:c r="L51" s="107" t="str">
        <x:f>IF($A51="","",IF(OR($B51="",$C51="",$E51="",$F51="",$G51="",$H51=""),"資料未完整",IF(OR($I51&gt;0,$J51&gt;0),"未通過","通過")))</x:f>
      </x:c>
      <x:c r="M51" s="107" t="str">
        <x:f>IF($L51="通過","Ø",IF($L51="未通過","△",""))</x:f>
      </x:c>
      <x:c r="N51" s="106"/>
      <x:c r="O51" s="106"/>
      <x:c r="P51" s="284"/>
      <x:c r="Q51" s="106"/>
      <x:c r="R51" s="280" t="str">
        <x:f>IF($A51="","",_xlfn.XLOOKUP($F51&amp;"|"&amp;$G51,'檢核表版本'!$R$7:$R$13,'檢核表版本'!$Q$7:$Q$13,"未發布版本",0))</x:f>
      </x:c>
      <x:c r="S51" s="280" t="str">
        <x:f>IF($A51="","",IF(OR(LEN($B51)=0,LEN($C51)=0,LEN($E51)=0,LEN($F51)=0,LEN($G51)=0,LEN($H51)=0,LEN($I51)=0,LEN($J51)=0,LEN($L51)=0,LEN($M51)=0,LEN($O51)=0),"待補欄位",IF($R51&lt;&gt;"已發布","檢核表版本未發布",IF(AND($L51="通過",OR($I51&gt;0,$J51&gt;0)),"結果與必要項目矛盾",IF(AND($L51="通過",$M51&lt;&gt;"Ø"),"通過後建議評等應為 Ø",IF($O51&lt;&gt;"已知悉","待助理知悉",IF($P51="","待補知悉日",IF(OR($Q51="有異議",$Q51="複核中"),"異議處理中","可送主管核定"))))))))</x:f>
      </x:c>
      <x:c r="T51" s="280" t="str">
        <x:f>IF($A51="","",IF($S51="可送主管核定","可進入主管核定",$S51))</x:f>
      </x:c>
      <x:c r="U51" s="280" t="str">
        <x:f>IF($A51="","",IF($R51&lt;&gt;"已發布","先發布檢核表版本",IF($S51="可送主管核定","送主管核定中心",IF($S51="異議處理中","先完成異議複核","補齊或更正考核資料"))))</x:f>
      </x:c>
    </x:row>
    <x:row r="52">
      <x:c r="A52" s="106"/>
      <x:c r="B52" s="284"/>
      <x:c r="C52" s="106"/>
      <x:c r="D52" s="107" t="str">
        <x:f>IF($C52="","",_xlfn.XLOOKUP($C52,'試行員工主檔'!$A$7:$A$20,'試行員工主檔'!$B$7:$B$20,"員工未建立",0))</x:f>
      </x:c>
      <x:c r="E52" s="106"/>
      <x:c r="F52" s="106"/>
      <x:c r="G52" s="106"/>
      <x:c r="H52" s="106"/>
      <x:c r="I52" s="106"/>
      <x:c r="J52" s="106"/>
      <x:c r="K52" s="106"/>
      <x:c r="L52" s="107" t="str">
        <x:f>IF($A52="","",IF(OR($B52="",$C52="",$E52="",$F52="",$G52="",$H52=""),"資料未完整",IF(OR($I52&gt;0,$J52&gt;0),"未通過","通過")))</x:f>
      </x:c>
      <x:c r="M52" s="107" t="str">
        <x:f>IF($L52="通過","Ø",IF($L52="未通過","△",""))</x:f>
      </x:c>
      <x:c r="N52" s="106"/>
      <x:c r="O52" s="106"/>
      <x:c r="P52" s="284"/>
      <x:c r="Q52" s="106"/>
      <x:c r="R52" s="280" t="str">
        <x:f>IF($A52="","",_xlfn.XLOOKUP($F52&amp;"|"&amp;$G52,'檢核表版本'!$R$7:$R$13,'檢核表版本'!$Q$7:$Q$13,"未發布版本",0))</x:f>
      </x:c>
      <x:c r="S52" s="280" t="str">
        <x:f>IF($A52="","",IF(OR(LEN($B52)=0,LEN($C52)=0,LEN($E52)=0,LEN($F52)=0,LEN($G52)=0,LEN($H52)=0,LEN($I52)=0,LEN($J52)=0,LEN($L52)=0,LEN($M52)=0,LEN($O52)=0),"待補欄位",IF($R52&lt;&gt;"已發布","檢核表版本未發布",IF(AND($L52="通過",OR($I52&gt;0,$J52&gt;0)),"結果與必要項目矛盾",IF(AND($L52="通過",$M52&lt;&gt;"Ø"),"通過後建議評等應為 Ø",IF($O52&lt;&gt;"已知悉","待助理知悉",IF($P52="","待補知悉日",IF(OR($Q52="有異議",$Q52="複核中"),"異議處理中","可送主管核定"))))))))</x:f>
      </x:c>
      <x:c r="T52" s="280" t="str">
        <x:f>IF($A52="","",IF($S52="可送主管核定","可進入主管核定",$S52))</x:f>
      </x:c>
      <x:c r="U52" s="280" t="str">
        <x:f>IF($A52="","",IF($R52&lt;&gt;"已發布","先發布檢核表版本",IF($S52="可送主管核定","送主管核定中心",IF($S52="異議處理中","先完成異議複核","補齊或更正考核資料"))))</x:f>
      </x:c>
    </x:row>
    <x:row r="53">
      <x:c r="A53" s="106"/>
      <x:c r="B53" s="284"/>
      <x:c r="C53" s="106"/>
      <x:c r="D53" s="107" t="str">
        <x:f>IF($C53="","",_xlfn.XLOOKUP($C53,'試行員工主檔'!$A$7:$A$20,'試行員工主檔'!$B$7:$B$20,"員工未建立",0))</x:f>
      </x:c>
      <x:c r="E53" s="106"/>
      <x:c r="F53" s="106"/>
      <x:c r="G53" s="106"/>
      <x:c r="H53" s="106"/>
      <x:c r="I53" s="106"/>
      <x:c r="J53" s="106"/>
      <x:c r="K53" s="106"/>
      <x:c r="L53" s="107" t="str">
        <x:f>IF($A53="","",IF(OR($B53="",$C53="",$E53="",$F53="",$G53="",$H53=""),"資料未完整",IF(OR($I53&gt;0,$J53&gt;0),"未通過","通過")))</x:f>
      </x:c>
      <x:c r="M53" s="107" t="str">
        <x:f>IF($L53="通過","Ø",IF($L53="未通過","△",""))</x:f>
      </x:c>
      <x:c r="N53" s="106"/>
      <x:c r="O53" s="106"/>
      <x:c r="P53" s="284"/>
      <x:c r="Q53" s="106"/>
      <x:c r="R53" s="280" t="str">
        <x:f>IF($A53="","",_xlfn.XLOOKUP($F53&amp;"|"&amp;$G53,'檢核表版本'!$R$7:$R$13,'檢核表版本'!$Q$7:$Q$13,"未發布版本",0))</x:f>
      </x:c>
      <x:c r="S53" s="280" t="str">
        <x:f>IF($A53="","",IF(OR(LEN($B53)=0,LEN($C53)=0,LEN($E53)=0,LEN($F53)=0,LEN($G53)=0,LEN($H53)=0,LEN($I53)=0,LEN($J53)=0,LEN($L53)=0,LEN($M53)=0,LEN($O53)=0),"待補欄位",IF($R53&lt;&gt;"已發布","檢核表版本未發布",IF(AND($L53="通過",OR($I53&gt;0,$J53&gt;0)),"結果與必要項目矛盾",IF(AND($L53="通過",$M53&lt;&gt;"Ø"),"通過後建議評等應為 Ø",IF($O53&lt;&gt;"已知悉","待助理知悉",IF($P53="","待補知悉日",IF(OR($Q53="有異議",$Q53="複核中"),"異議處理中","可送主管核定"))))))))</x:f>
      </x:c>
      <x:c r="T53" s="280" t="str">
        <x:f>IF($A53="","",IF($S53="可送主管核定","可進入主管核定",$S53))</x:f>
      </x:c>
      <x:c r="U53" s="280" t="str">
        <x:f>IF($A53="","",IF($R53&lt;&gt;"已發布","先發布檢核表版本",IF($S53="可送主管核定","送主管核定中心",IF($S53="異議處理中","先完成異議複核","補齊或更正考核資料"))))</x:f>
      </x:c>
    </x:row>
    <x:row r="54">
      <x:c r="A54" s="106"/>
      <x:c r="B54" s="284"/>
      <x:c r="C54" s="106"/>
      <x:c r="D54" s="107" t="str">
        <x:f>IF($C54="","",_xlfn.XLOOKUP($C54,'試行員工主檔'!$A$7:$A$20,'試行員工主檔'!$B$7:$B$20,"員工未建立",0))</x:f>
      </x:c>
      <x:c r="E54" s="106"/>
      <x:c r="F54" s="106"/>
      <x:c r="G54" s="106"/>
      <x:c r="H54" s="106"/>
      <x:c r="I54" s="106"/>
      <x:c r="J54" s="106"/>
      <x:c r="K54" s="106"/>
      <x:c r="L54" s="107" t="str">
        <x:f>IF($A54="","",IF(OR($B54="",$C54="",$E54="",$F54="",$G54="",$H54=""),"資料未完整",IF(OR($I54&gt;0,$J54&gt;0),"未通過","通過")))</x:f>
      </x:c>
      <x:c r="M54" s="107" t="str">
        <x:f>IF($L54="通過","Ø",IF($L54="未通過","△",""))</x:f>
      </x:c>
      <x:c r="N54" s="106"/>
      <x:c r="O54" s="106"/>
      <x:c r="P54" s="284"/>
      <x:c r="Q54" s="106"/>
      <x:c r="R54" s="280" t="str">
        <x:f>IF($A54="","",_xlfn.XLOOKUP($F54&amp;"|"&amp;$G54,'檢核表版本'!$R$7:$R$13,'檢核表版本'!$Q$7:$Q$13,"未發布版本",0))</x:f>
      </x:c>
      <x:c r="S54" s="280" t="str">
        <x:f>IF($A54="","",IF(OR(LEN($B54)=0,LEN($C54)=0,LEN($E54)=0,LEN($F54)=0,LEN($G54)=0,LEN($H54)=0,LEN($I54)=0,LEN($J54)=0,LEN($L54)=0,LEN($M54)=0,LEN($O54)=0),"待補欄位",IF($R54&lt;&gt;"已發布","檢核表版本未發布",IF(AND($L54="通過",OR($I54&gt;0,$J54&gt;0)),"結果與必要項目矛盾",IF(AND($L54="通過",$M54&lt;&gt;"Ø"),"通過後建議評等應為 Ø",IF($O54&lt;&gt;"已知悉","待助理知悉",IF($P54="","待補知悉日",IF(OR($Q54="有異議",$Q54="複核中"),"異議處理中","可送主管核定"))))))))</x:f>
      </x:c>
      <x:c r="T54" s="280" t="str">
        <x:f>IF($A54="","",IF($S54="可送主管核定","可進入主管核定",$S54))</x:f>
      </x:c>
      <x:c r="U54" s="280" t="str">
        <x:f>IF($A54="","",IF($R54&lt;&gt;"已發布","先發布檢核表版本",IF($S54="可送主管核定","送主管核定中心",IF($S54="異議處理中","先完成異議複核","補齊或更正考核資料"))))</x:f>
      </x:c>
    </x:row>
    <x:row r="55">
      <x:c r="A55" s="106"/>
      <x:c r="B55" s="284"/>
      <x:c r="C55" s="106"/>
      <x:c r="D55" s="107" t="str">
        <x:f>IF($C55="","",_xlfn.XLOOKUP($C55,'試行員工主檔'!$A$7:$A$20,'試行員工主檔'!$B$7:$B$20,"員工未建立",0))</x:f>
      </x:c>
      <x:c r="E55" s="106"/>
      <x:c r="F55" s="106"/>
      <x:c r="G55" s="106"/>
      <x:c r="H55" s="106"/>
      <x:c r="I55" s="106"/>
      <x:c r="J55" s="106"/>
      <x:c r="K55" s="106"/>
      <x:c r="L55" s="107" t="str">
        <x:f>IF($A55="","",IF(OR($B55="",$C55="",$E55="",$F55="",$G55="",$H55=""),"資料未完整",IF(OR($I55&gt;0,$J55&gt;0),"未通過","通過")))</x:f>
      </x:c>
      <x:c r="M55" s="107" t="str">
        <x:f>IF($L55="通過","Ø",IF($L55="未通過","△",""))</x:f>
      </x:c>
      <x:c r="N55" s="106"/>
      <x:c r="O55" s="106"/>
      <x:c r="P55" s="284"/>
      <x:c r="Q55" s="106"/>
      <x:c r="R55" s="280" t="str">
        <x:f>IF($A55="","",_xlfn.XLOOKUP($F55&amp;"|"&amp;$G55,'檢核表版本'!$R$7:$R$13,'檢核表版本'!$Q$7:$Q$13,"未發布版本",0))</x:f>
      </x:c>
      <x:c r="S55" s="280" t="str">
        <x:f>IF($A55="","",IF(OR(LEN($B55)=0,LEN($C55)=0,LEN($E55)=0,LEN($F55)=0,LEN($G55)=0,LEN($H55)=0,LEN($I55)=0,LEN($J55)=0,LEN($L55)=0,LEN($M55)=0,LEN($O55)=0),"待補欄位",IF($R55&lt;&gt;"已發布","檢核表版本未發布",IF(AND($L55="通過",OR($I55&gt;0,$J55&gt;0)),"結果與必要項目矛盾",IF(AND($L55="通過",$M55&lt;&gt;"Ø"),"通過後建議評等應為 Ø",IF($O55&lt;&gt;"已知悉","待助理知悉",IF($P55="","待補知悉日",IF(OR($Q55="有異議",$Q55="複核中"),"異議處理中","可送主管核定"))))))))</x:f>
      </x:c>
      <x:c r="T55" s="280" t="str">
        <x:f>IF($A55="","",IF($S55="可送主管核定","可進入主管核定",$S55))</x:f>
      </x:c>
      <x:c r="U55" s="280" t="str">
        <x:f>IF($A55="","",IF($R55&lt;&gt;"已發布","先發布檢核表版本",IF($S55="可送主管核定","送主管核定中心",IF($S55="異議處理中","先完成異議複核","補齊或更正考核資料"))))</x:f>
      </x:c>
    </x:row>
    <x:row r="56">
      <x:c r="A56" s="106"/>
      <x:c r="B56" s="284"/>
      <x:c r="C56" s="106"/>
      <x:c r="D56" s="107" t="str">
        <x:f>IF($C56="","",_xlfn.XLOOKUP($C56,'試行員工主檔'!$A$7:$A$20,'試行員工主檔'!$B$7:$B$20,"員工未建立",0))</x:f>
      </x:c>
      <x:c r="E56" s="106"/>
      <x:c r="F56" s="106"/>
      <x:c r="G56" s="106"/>
      <x:c r="H56" s="106"/>
      <x:c r="I56" s="106"/>
      <x:c r="J56" s="106"/>
      <x:c r="K56" s="106"/>
      <x:c r="L56" s="107" t="str">
        <x:f>IF($A56="","",IF(OR($B56="",$C56="",$E56="",$F56="",$G56="",$H56=""),"資料未完整",IF(OR($I56&gt;0,$J56&gt;0),"未通過","通過")))</x:f>
      </x:c>
      <x:c r="M56" s="107" t="str">
        <x:f>IF($L56="通過","Ø",IF($L56="未通過","△",""))</x:f>
      </x:c>
      <x:c r="N56" s="106"/>
      <x:c r="O56" s="106"/>
      <x:c r="P56" s="284"/>
      <x:c r="Q56" s="106"/>
      <x:c r="R56" s="280" t="str">
        <x:f>IF($A56="","",_xlfn.XLOOKUP($F56&amp;"|"&amp;$G56,'檢核表版本'!$R$7:$R$13,'檢核表版本'!$Q$7:$Q$13,"未發布版本",0))</x:f>
      </x:c>
      <x:c r="S56" s="280" t="str">
        <x:f>IF($A56="","",IF(OR(LEN($B56)=0,LEN($C56)=0,LEN($E56)=0,LEN($F56)=0,LEN($G56)=0,LEN($H56)=0,LEN($I56)=0,LEN($J56)=0,LEN($L56)=0,LEN($M56)=0,LEN($O56)=0),"待補欄位",IF($R56&lt;&gt;"已發布","檢核表版本未發布",IF(AND($L56="通過",OR($I56&gt;0,$J56&gt;0)),"結果與必要項目矛盾",IF(AND($L56="通過",$M56&lt;&gt;"Ø"),"通過後建議評等應為 Ø",IF($O56&lt;&gt;"已知悉","待助理知悉",IF($P56="","待補知悉日",IF(OR($Q56="有異議",$Q56="複核中"),"異議處理中","可送主管核定"))))))))</x:f>
      </x:c>
      <x:c r="T56" s="280" t="str">
        <x:f>IF($A56="","",IF($S56="可送主管核定","可進入主管核定",$S56))</x:f>
      </x:c>
      <x:c r="U56" s="280" t="str">
        <x:f>IF($A56="","",IF($R56&lt;&gt;"已發布","先發布檢核表版本",IF($S56="可送主管核定","送主管核定中心",IF($S56="異議處理中","先完成異議複核","補齊或更正考核資料"))))</x:f>
      </x:c>
    </x:row>
    <x:row r="57">
      <x:c r="A57" s="106"/>
      <x:c r="B57" s="284"/>
      <x:c r="C57" s="106"/>
      <x:c r="D57" s="107" t="str">
        <x:f>IF($C57="","",_xlfn.XLOOKUP($C57,'試行員工主檔'!$A$7:$A$20,'試行員工主檔'!$B$7:$B$20,"員工未建立",0))</x:f>
      </x:c>
      <x:c r="E57" s="106"/>
      <x:c r="F57" s="106"/>
      <x:c r="G57" s="106"/>
      <x:c r="H57" s="106"/>
      <x:c r="I57" s="106"/>
      <x:c r="J57" s="106"/>
      <x:c r="K57" s="106"/>
      <x:c r="L57" s="107" t="str">
        <x:f>IF($A57="","",IF(OR($B57="",$C57="",$E57="",$F57="",$G57="",$H57=""),"資料未完整",IF(OR($I57&gt;0,$J57&gt;0),"未通過","通過")))</x:f>
      </x:c>
      <x:c r="M57" s="107" t="str">
        <x:f>IF($L57="通過","Ø",IF($L57="未通過","△",""))</x:f>
      </x:c>
      <x:c r="N57" s="106"/>
      <x:c r="O57" s="106"/>
      <x:c r="P57" s="284"/>
      <x:c r="Q57" s="106"/>
      <x:c r="R57" s="280" t="str">
        <x:f>IF($A57="","",_xlfn.XLOOKUP($F57&amp;"|"&amp;$G57,'檢核表版本'!$R$7:$R$13,'檢核表版本'!$Q$7:$Q$13,"未發布版本",0))</x:f>
      </x:c>
      <x:c r="S57" s="280" t="str">
        <x:f>IF($A57="","",IF(OR(LEN($B57)=0,LEN($C57)=0,LEN($E57)=0,LEN($F57)=0,LEN($G57)=0,LEN($H57)=0,LEN($I57)=0,LEN($J57)=0,LEN($L57)=0,LEN($M57)=0,LEN($O57)=0),"待補欄位",IF($R57&lt;&gt;"已發布","檢核表版本未發布",IF(AND($L57="通過",OR($I57&gt;0,$J57&gt;0)),"結果與必要項目矛盾",IF(AND($L57="通過",$M57&lt;&gt;"Ø"),"通過後建議評等應為 Ø",IF($O57&lt;&gt;"已知悉","待助理知悉",IF($P57="","待補知悉日",IF(OR($Q57="有異議",$Q57="複核中"),"異議處理中","可送主管核定"))))))))</x:f>
      </x:c>
      <x:c r="T57" s="280" t="str">
        <x:f>IF($A57="","",IF($S57="可送主管核定","可進入主管核定",$S57))</x:f>
      </x:c>
      <x:c r="U57" s="280" t="str">
        <x:f>IF($A57="","",IF($R57&lt;&gt;"已發布","先發布檢核表版本",IF($S57="可送主管核定","送主管核定中心",IF($S57="異議處理中","先完成異議複核","補齊或更正考核資料"))))</x:f>
      </x:c>
    </x:row>
    <x:row r="58">
      <x:c r="A58" s="106"/>
      <x:c r="B58" s="284"/>
      <x:c r="C58" s="106"/>
      <x:c r="D58" s="107" t="str">
        <x:f>IF($C58="","",_xlfn.XLOOKUP($C58,'試行員工主檔'!$A$7:$A$20,'試行員工主檔'!$B$7:$B$20,"員工未建立",0))</x:f>
      </x:c>
      <x:c r="E58" s="106"/>
      <x:c r="F58" s="106"/>
      <x:c r="G58" s="106"/>
      <x:c r="H58" s="106"/>
      <x:c r="I58" s="106"/>
      <x:c r="J58" s="106"/>
      <x:c r="K58" s="106"/>
      <x:c r="L58" s="107" t="str">
        <x:f>IF($A58="","",IF(OR($B58="",$C58="",$E58="",$F58="",$G58="",$H58=""),"資料未完整",IF(OR($I58&gt;0,$J58&gt;0),"未通過","通過")))</x:f>
      </x:c>
      <x:c r="M58" s="107" t="str">
        <x:f>IF($L58="通過","Ø",IF($L58="未通過","△",""))</x:f>
      </x:c>
      <x:c r="N58" s="106"/>
      <x:c r="O58" s="106"/>
      <x:c r="P58" s="284"/>
      <x:c r="Q58" s="106"/>
      <x:c r="R58" s="280" t="str">
        <x:f>IF($A58="","",_xlfn.XLOOKUP($F58&amp;"|"&amp;$G58,'檢核表版本'!$R$7:$R$13,'檢核表版本'!$Q$7:$Q$13,"未發布版本",0))</x:f>
      </x:c>
      <x:c r="S58" s="280" t="str">
        <x:f>IF($A58="","",IF(OR(LEN($B58)=0,LEN($C58)=0,LEN($E58)=0,LEN($F58)=0,LEN($G58)=0,LEN($H58)=0,LEN($I58)=0,LEN($J58)=0,LEN($L58)=0,LEN($M58)=0,LEN($O58)=0),"待補欄位",IF($R58&lt;&gt;"已發布","檢核表版本未發布",IF(AND($L58="通過",OR($I58&gt;0,$J58&gt;0)),"結果與必要項目矛盾",IF(AND($L58="通過",$M58&lt;&gt;"Ø"),"通過後建議評等應為 Ø",IF($O58&lt;&gt;"已知悉","待助理知悉",IF($P58="","待補知悉日",IF(OR($Q58="有異議",$Q58="複核中"),"異議處理中","可送主管核定"))))))))</x:f>
      </x:c>
      <x:c r="T58" s="280" t="str">
        <x:f>IF($A58="","",IF($S58="可送主管核定","可進入主管核定",$S58))</x:f>
      </x:c>
      <x:c r="U58" s="280" t="str">
        <x:f>IF($A58="","",IF($R58&lt;&gt;"已發布","先發布檢核表版本",IF($S58="可送主管核定","送主管核定中心",IF($S58="異議處理中","先完成異議複核","補齊或更正考核資料"))))</x:f>
      </x:c>
    </x:row>
    <x:row r="59">
      <x:c r="A59" s="106"/>
      <x:c r="B59" s="284"/>
      <x:c r="C59" s="106"/>
      <x:c r="D59" s="107" t="str">
        <x:f>IF($C59="","",_xlfn.XLOOKUP($C59,'試行員工主檔'!$A$7:$A$20,'試行員工主檔'!$B$7:$B$20,"員工未建立",0))</x:f>
      </x:c>
      <x:c r="E59" s="106"/>
      <x:c r="F59" s="106"/>
      <x:c r="G59" s="106"/>
      <x:c r="H59" s="106"/>
      <x:c r="I59" s="106"/>
      <x:c r="J59" s="106"/>
      <x:c r="K59" s="106"/>
      <x:c r="L59" s="107" t="str">
        <x:f>IF($A59="","",IF(OR($B59="",$C59="",$E59="",$F59="",$G59="",$H59=""),"資料未完整",IF(OR($I59&gt;0,$J59&gt;0),"未通過","通過")))</x:f>
      </x:c>
      <x:c r="M59" s="107" t="str">
        <x:f>IF($L59="通過","Ø",IF($L59="未通過","△",""))</x:f>
      </x:c>
      <x:c r="N59" s="106"/>
      <x:c r="O59" s="106"/>
      <x:c r="P59" s="284"/>
      <x:c r="Q59" s="106"/>
      <x:c r="R59" s="280" t="str">
        <x:f>IF($A59="","",_xlfn.XLOOKUP($F59&amp;"|"&amp;$G59,'檢核表版本'!$R$7:$R$13,'檢核表版本'!$Q$7:$Q$13,"未發布版本",0))</x:f>
      </x:c>
      <x:c r="S59" s="280" t="str">
        <x:f>IF($A59="","",IF(OR(LEN($B59)=0,LEN($C59)=0,LEN($E59)=0,LEN($F59)=0,LEN($G59)=0,LEN($H59)=0,LEN($I59)=0,LEN($J59)=0,LEN($L59)=0,LEN($M59)=0,LEN($O59)=0),"待補欄位",IF($R59&lt;&gt;"已發布","檢核表版本未發布",IF(AND($L59="通過",OR($I59&gt;0,$J59&gt;0)),"結果與必要項目矛盾",IF(AND($L59="通過",$M59&lt;&gt;"Ø"),"通過後建議評等應為 Ø",IF($O59&lt;&gt;"已知悉","待助理知悉",IF($P59="","待補知悉日",IF(OR($Q59="有異議",$Q59="複核中"),"異議處理中","可送主管核定"))))))))</x:f>
      </x:c>
      <x:c r="T59" s="280" t="str">
        <x:f>IF($A59="","",IF($S59="可送主管核定","可進入主管核定",$S59))</x:f>
      </x:c>
      <x:c r="U59" s="280" t="str">
        <x:f>IF($A59="","",IF($R59&lt;&gt;"已發布","先發布檢核表版本",IF($S59="可送主管核定","送主管核定中心",IF($S59="異議處理中","先完成異議複核","補齊或更正考核資料"))))</x:f>
      </x:c>
    </x:row>
    <x:row r="60">
      <x:c r="A60" s="106"/>
      <x:c r="B60" s="284"/>
      <x:c r="C60" s="106"/>
      <x:c r="D60" s="107" t="str">
        <x:f>IF($C60="","",_xlfn.XLOOKUP($C60,'試行員工主檔'!$A$7:$A$20,'試行員工主檔'!$B$7:$B$20,"員工未建立",0))</x:f>
      </x:c>
      <x:c r="E60" s="106"/>
      <x:c r="F60" s="106"/>
      <x:c r="G60" s="106"/>
      <x:c r="H60" s="106"/>
      <x:c r="I60" s="106"/>
      <x:c r="J60" s="106"/>
      <x:c r="K60" s="106"/>
      <x:c r="L60" s="107" t="str">
        <x:f>IF($A60="","",IF(OR($B60="",$C60="",$E60="",$F60="",$G60="",$H60=""),"資料未完整",IF(OR($I60&gt;0,$J60&gt;0),"未通過","通過")))</x:f>
      </x:c>
      <x:c r="M60" s="107" t="str">
        <x:f>IF($L60="通過","Ø",IF($L60="未通過","△",""))</x:f>
      </x:c>
      <x:c r="N60" s="106"/>
      <x:c r="O60" s="106"/>
      <x:c r="P60" s="284"/>
      <x:c r="Q60" s="106"/>
      <x:c r="R60" s="280" t="str">
        <x:f>IF($A60="","",_xlfn.XLOOKUP($F60&amp;"|"&amp;$G60,'檢核表版本'!$R$7:$R$13,'檢核表版本'!$Q$7:$Q$13,"未發布版本",0))</x:f>
      </x:c>
      <x:c r="S60" s="280" t="str">
        <x:f>IF($A60="","",IF(OR(LEN($B60)=0,LEN($C60)=0,LEN($E60)=0,LEN($F60)=0,LEN($G60)=0,LEN($H60)=0,LEN($I60)=0,LEN($J60)=0,LEN($L60)=0,LEN($M60)=0,LEN($O60)=0),"待補欄位",IF($R60&lt;&gt;"已發布","檢核表版本未發布",IF(AND($L60="通過",OR($I60&gt;0,$J60&gt;0)),"結果與必要項目矛盾",IF(AND($L60="通過",$M60&lt;&gt;"Ø"),"通過後建議評等應為 Ø",IF($O60&lt;&gt;"已知悉","待助理知悉",IF($P60="","待補知悉日",IF(OR($Q60="有異議",$Q60="複核中"),"異議處理中","可送主管核定"))))))))</x:f>
      </x:c>
      <x:c r="T60" s="280" t="str">
        <x:f>IF($A60="","",IF($S60="可送主管核定","可進入主管核定",$S60))</x:f>
      </x:c>
      <x:c r="U60" s="280" t="str">
        <x:f>IF($A60="","",IF($R60&lt;&gt;"已發布","先發布檢核表版本",IF($S60="可送主管核定","送主管核定中心",IF($S60="異議處理中","先完成異議複核","補齊或更正考核資料"))))</x:f>
      </x:c>
    </x:row>
    <x:row r="61">
      <x:c r="A61" s="106"/>
      <x:c r="B61" s="284"/>
      <x:c r="C61" s="106"/>
      <x:c r="D61" s="107" t="str">
        <x:f>IF($C61="","",_xlfn.XLOOKUP($C61,'試行員工主檔'!$A$7:$A$20,'試行員工主檔'!$B$7:$B$20,"員工未建立",0))</x:f>
      </x:c>
      <x:c r="E61" s="106"/>
      <x:c r="F61" s="106"/>
      <x:c r="G61" s="106"/>
      <x:c r="H61" s="106"/>
      <x:c r="I61" s="106"/>
      <x:c r="J61" s="106"/>
      <x:c r="K61" s="106"/>
      <x:c r="L61" s="107" t="str">
        <x:f>IF($A61="","",IF(OR($B61="",$C61="",$E61="",$F61="",$G61="",$H61=""),"資料未完整",IF(OR($I61&gt;0,$J61&gt;0),"未通過","通過")))</x:f>
      </x:c>
      <x:c r="M61" s="107" t="str">
        <x:f>IF($L61="通過","Ø",IF($L61="未通過","△",""))</x:f>
      </x:c>
      <x:c r="N61" s="106"/>
      <x:c r="O61" s="106"/>
      <x:c r="P61" s="284"/>
      <x:c r="Q61" s="106"/>
      <x:c r="R61" s="280" t="str">
        <x:f>IF($A61="","",_xlfn.XLOOKUP($F61&amp;"|"&amp;$G61,'檢核表版本'!$R$7:$R$13,'檢核表版本'!$Q$7:$Q$13,"未發布版本",0))</x:f>
      </x:c>
      <x:c r="S61" s="280" t="str">
        <x:f>IF($A61="","",IF(OR(LEN($B61)=0,LEN($C61)=0,LEN($E61)=0,LEN($F61)=0,LEN($G61)=0,LEN($H61)=0,LEN($I61)=0,LEN($J61)=0,LEN($L61)=0,LEN($M61)=0,LEN($O61)=0),"待補欄位",IF($R61&lt;&gt;"已發布","檢核表版本未發布",IF(AND($L61="通過",OR($I61&gt;0,$J61&gt;0)),"結果與必要項目矛盾",IF(AND($L61="通過",$M61&lt;&gt;"Ø"),"通過後建議評等應為 Ø",IF($O61&lt;&gt;"已知悉","待助理知悉",IF($P61="","待補知悉日",IF(OR($Q61="有異議",$Q61="複核中"),"異議處理中","可送主管核定"))))))))</x:f>
      </x:c>
      <x:c r="T61" s="280" t="str">
        <x:f>IF($A61="","",IF($S61="可送主管核定","可進入主管核定",$S61))</x:f>
      </x:c>
      <x:c r="U61" s="280" t="str">
        <x:f>IF($A61="","",IF($R61&lt;&gt;"已發布","先發布檢核表版本",IF($S61="可送主管核定","送主管核定中心",IF($S61="異議處理中","先完成異議複核","補齊或更正考核資料"))))</x:f>
      </x:c>
    </x:row>
    <x:row r="62">
      <x:c r="A62" s="106"/>
      <x:c r="B62" s="284"/>
      <x:c r="C62" s="106"/>
      <x:c r="D62" s="107" t="str">
        <x:f>IF($C62="","",_xlfn.XLOOKUP($C62,'試行員工主檔'!$A$7:$A$20,'試行員工主檔'!$B$7:$B$20,"員工未建立",0))</x:f>
      </x:c>
      <x:c r="E62" s="106"/>
      <x:c r="F62" s="106"/>
      <x:c r="G62" s="106"/>
      <x:c r="H62" s="106"/>
      <x:c r="I62" s="106"/>
      <x:c r="J62" s="106"/>
      <x:c r="K62" s="106"/>
      <x:c r="L62" s="107" t="str">
        <x:f>IF($A62="","",IF(OR($B62="",$C62="",$E62="",$F62="",$G62="",$H62=""),"資料未完整",IF(OR($I62&gt;0,$J62&gt;0),"未通過","通過")))</x:f>
      </x:c>
      <x:c r="M62" s="107" t="str">
        <x:f>IF($L62="通過","Ø",IF($L62="未通過","△",""))</x:f>
      </x:c>
      <x:c r="N62" s="106"/>
      <x:c r="O62" s="106"/>
      <x:c r="P62" s="284"/>
      <x:c r="Q62" s="106"/>
      <x:c r="R62" s="280" t="str">
        <x:f>IF($A62="","",_xlfn.XLOOKUP($F62&amp;"|"&amp;$G62,'檢核表版本'!$R$7:$R$13,'檢核表版本'!$Q$7:$Q$13,"未發布版本",0))</x:f>
      </x:c>
      <x:c r="S62" s="280" t="str">
        <x:f>IF($A62="","",IF(OR(LEN($B62)=0,LEN($C62)=0,LEN($E62)=0,LEN($F62)=0,LEN($G62)=0,LEN($H62)=0,LEN($I62)=0,LEN($J62)=0,LEN($L62)=0,LEN($M62)=0,LEN($O62)=0),"待補欄位",IF($R62&lt;&gt;"已發布","檢核表版本未發布",IF(AND($L62="通過",OR($I62&gt;0,$J62&gt;0)),"結果與必要項目矛盾",IF(AND($L62="通過",$M62&lt;&gt;"Ø"),"通過後建議評等應為 Ø",IF($O62&lt;&gt;"已知悉","待助理知悉",IF($P62="","待補知悉日",IF(OR($Q62="有異議",$Q62="複核中"),"異議處理中","可送主管核定"))))))))</x:f>
      </x:c>
      <x:c r="T62" s="280" t="str">
        <x:f>IF($A62="","",IF($S62="可送主管核定","可進入主管核定",$S62))</x:f>
      </x:c>
      <x:c r="U62" s="280" t="str">
        <x:f>IF($A62="","",IF($R62&lt;&gt;"已發布","先發布檢核表版本",IF($S62="可送主管核定","送主管核定中心",IF($S62="異議處理中","先完成異議複核","補齊或更正考核資料"))))</x:f>
      </x:c>
    </x:row>
    <x:row r="63">
      <x:c r="A63" s="106"/>
      <x:c r="B63" s="284"/>
      <x:c r="C63" s="106"/>
      <x:c r="D63" s="107" t="str">
        <x:f>IF($C63="","",_xlfn.XLOOKUP($C63,'試行員工主檔'!$A$7:$A$20,'試行員工主檔'!$B$7:$B$20,"員工未建立",0))</x:f>
      </x:c>
      <x:c r="E63" s="106"/>
      <x:c r="F63" s="106"/>
      <x:c r="G63" s="106"/>
      <x:c r="H63" s="106"/>
      <x:c r="I63" s="106"/>
      <x:c r="J63" s="106"/>
      <x:c r="K63" s="106"/>
      <x:c r="L63" s="107" t="str">
        <x:f>IF($A63="","",IF(OR($B63="",$C63="",$E63="",$F63="",$G63="",$H63=""),"資料未完整",IF(OR($I63&gt;0,$J63&gt;0),"未通過","通過")))</x:f>
      </x:c>
      <x:c r="M63" s="107" t="str">
        <x:f>IF($L63="通過","Ø",IF($L63="未通過","△",""))</x:f>
      </x:c>
      <x:c r="N63" s="106"/>
      <x:c r="O63" s="106"/>
      <x:c r="P63" s="284"/>
      <x:c r="Q63" s="106"/>
      <x:c r="R63" s="280" t="str">
        <x:f>IF($A63="","",_xlfn.XLOOKUP($F63&amp;"|"&amp;$G63,'檢核表版本'!$R$7:$R$13,'檢核表版本'!$Q$7:$Q$13,"未發布版本",0))</x:f>
      </x:c>
      <x:c r="S63" s="280" t="str">
        <x:f>IF($A63="","",IF(OR(LEN($B63)=0,LEN($C63)=0,LEN($E63)=0,LEN($F63)=0,LEN($G63)=0,LEN($H63)=0,LEN($I63)=0,LEN($J63)=0,LEN($L63)=0,LEN($M63)=0,LEN($O63)=0),"待補欄位",IF($R63&lt;&gt;"已發布","檢核表版本未發布",IF(AND($L63="通過",OR($I63&gt;0,$J63&gt;0)),"結果與必要項目矛盾",IF(AND($L63="通過",$M63&lt;&gt;"Ø"),"通過後建議評等應為 Ø",IF($O63&lt;&gt;"已知悉","待助理知悉",IF($P63="","待補知悉日",IF(OR($Q63="有異議",$Q63="複核中"),"異議處理中","可送主管核定"))))))))</x:f>
      </x:c>
      <x:c r="T63" s="280" t="str">
        <x:f>IF($A63="","",IF($S63="可送主管核定","可進入主管核定",$S63))</x:f>
      </x:c>
      <x:c r="U63" s="280" t="str">
        <x:f>IF($A63="","",IF($R63&lt;&gt;"已發布","先發布檢核表版本",IF($S63="可送主管核定","送主管核定中心",IF($S63="異議處理中","先完成異議複核","補齊或更正考核資料"))))</x:f>
      </x:c>
    </x:row>
    <x:row r="64">
      <x:c r="A64" s="106"/>
      <x:c r="B64" s="284"/>
      <x:c r="C64" s="106"/>
      <x:c r="D64" s="107" t="str">
        <x:f>IF($C64="","",_xlfn.XLOOKUP($C64,'試行員工主檔'!$A$7:$A$20,'試行員工主檔'!$B$7:$B$20,"員工未建立",0))</x:f>
      </x:c>
      <x:c r="E64" s="106"/>
      <x:c r="F64" s="106"/>
      <x:c r="G64" s="106"/>
      <x:c r="H64" s="106"/>
      <x:c r="I64" s="106"/>
      <x:c r="J64" s="106"/>
      <x:c r="K64" s="106"/>
      <x:c r="L64" s="107" t="str">
        <x:f>IF($A64="","",IF(OR($B64="",$C64="",$E64="",$F64="",$G64="",$H64=""),"資料未完整",IF(OR($I64&gt;0,$J64&gt;0),"未通過","通過")))</x:f>
      </x:c>
      <x:c r="M64" s="107" t="str">
        <x:f>IF($L64="通過","Ø",IF($L64="未通過","△",""))</x:f>
      </x:c>
      <x:c r="N64" s="106"/>
      <x:c r="O64" s="106"/>
      <x:c r="P64" s="284"/>
      <x:c r="Q64" s="106"/>
      <x:c r="R64" s="280" t="str">
        <x:f>IF($A64="","",_xlfn.XLOOKUP($F64&amp;"|"&amp;$G64,'檢核表版本'!$R$7:$R$13,'檢核表版本'!$Q$7:$Q$13,"未發布版本",0))</x:f>
      </x:c>
      <x:c r="S64" s="280" t="str">
        <x:f>IF($A64="","",IF(OR(LEN($B64)=0,LEN($C64)=0,LEN($E64)=0,LEN($F64)=0,LEN($G64)=0,LEN($H64)=0,LEN($I64)=0,LEN($J64)=0,LEN($L64)=0,LEN($M64)=0,LEN($O64)=0),"待補欄位",IF($R64&lt;&gt;"已發布","檢核表版本未發布",IF(AND($L64="通過",OR($I64&gt;0,$J64&gt;0)),"結果與必要項目矛盾",IF(AND($L64="通過",$M64&lt;&gt;"Ø"),"通過後建議評等應為 Ø",IF($O64&lt;&gt;"已知悉","待助理知悉",IF($P64="","待補知悉日",IF(OR($Q64="有異議",$Q64="複核中"),"異議處理中","可送主管核定"))))))))</x:f>
      </x:c>
      <x:c r="T64" s="280" t="str">
        <x:f>IF($A64="","",IF($S64="可送主管核定","可進入主管核定",$S64))</x:f>
      </x:c>
      <x:c r="U64" s="280" t="str">
        <x:f>IF($A64="","",IF($R64&lt;&gt;"已發布","先發布檢核表版本",IF($S64="可送主管核定","送主管核定中心",IF($S64="異議處理中","先完成異議複核","補齊或更正考核資料"))))</x:f>
      </x:c>
    </x:row>
    <x:row r="65">
      <x:c r="A65" s="106"/>
      <x:c r="B65" s="284"/>
      <x:c r="C65" s="106"/>
      <x:c r="D65" s="107" t="str">
        <x:f>IF($C65="","",_xlfn.XLOOKUP($C65,'試行員工主檔'!$A$7:$A$20,'試行員工主檔'!$B$7:$B$20,"員工未建立",0))</x:f>
      </x:c>
      <x:c r="E65" s="106"/>
      <x:c r="F65" s="106"/>
      <x:c r="G65" s="106"/>
      <x:c r="H65" s="106"/>
      <x:c r="I65" s="106"/>
      <x:c r="J65" s="106"/>
      <x:c r="K65" s="106"/>
      <x:c r="L65" s="107" t="str">
        <x:f>IF($A65="","",IF(OR($B65="",$C65="",$E65="",$F65="",$G65="",$H65=""),"資料未完整",IF(OR($I65&gt;0,$J65&gt;0),"未通過","通過")))</x:f>
      </x:c>
      <x:c r="M65" s="107" t="str">
        <x:f>IF($L65="通過","Ø",IF($L65="未通過","△",""))</x:f>
      </x:c>
      <x:c r="N65" s="106"/>
      <x:c r="O65" s="106"/>
      <x:c r="P65" s="284"/>
      <x:c r="Q65" s="106"/>
      <x:c r="R65" s="280" t="str">
        <x:f>IF($A65="","",_xlfn.XLOOKUP($F65&amp;"|"&amp;$G65,'檢核表版本'!$R$7:$R$13,'檢核表版本'!$Q$7:$Q$13,"未發布版本",0))</x:f>
      </x:c>
      <x:c r="S65" s="280" t="str">
        <x:f>IF($A65="","",IF(OR(LEN($B65)=0,LEN($C65)=0,LEN($E65)=0,LEN($F65)=0,LEN($G65)=0,LEN($H65)=0,LEN($I65)=0,LEN($J65)=0,LEN($L65)=0,LEN($M65)=0,LEN($O65)=0),"待補欄位",IF($R65&lt;&gt;"已發布","檢核表版本未發布",IF(AND($L65="通過",OR($I65&gt;0,$J65&gt;0)),"結果與必要項目矛盾",IF(AND($L65="通過",$M65&lt;&gt;"Ø"),"通過後建議評等應為 Ø",IF($O65&lt;&gt;"已知悉","待助理知悉",IF($P65="","待補知悉日",IF(OR($Q65="有異議",$Q65="複核中"),"異議處理中","可送主管核定"))))))))</x:f>
      </x:c>
      <x:c r="T65" s="280" t="str">
        <x:f>IF($A65="","",IF($S65="可送主管核定","可進入主管核定",$S65))</x:f>
      </x:c>
      <x:c r="U65" s="280" t="str">
        <x:f>IF($A65="","",IF($R65&lt;&gt;"已發布","先發布檢核表版本",IF($S65="可送主管核定","送主管核定中心",IF($S65="異議處理中","先完成異議複核","補齊或更正考核資料"))))</x:f>
      </x:c>
    </x:row>
    <x:row r="66">
      <x:c r="A66" s="106"/>
      <x:c r="B66" s="284"/>
      <x:c r="C66" s="106"/>
      <x:c r="D66" s="107" t="str">
        <x:f>IF($C66="","",_xlfn.XLOOKUP($C66,'試行員工主檔'!$A$7:$A$20,'試行員工主檔'!$B$7:$B$20,"員工未建立",0))</x:f>
      </x:c>
      <x:c r="E66" s="106"/>
      <x:c r="F66" s="106"/>
      <x:c r="G66" s="106"/>
      <x:c r="H66" s="106"/>
      <x:c r="I66" s="106"/>
      <x:c r="J66" s="106"/>
      <x:c r="K66" s="106"/>
      <x:c r="L66" s="107" t="str">
        <x:f>IF($A66="","",IF(OR($B66="",$C66="",$E66="",$F66="",$G66="",$H66=""),"資料未完整",IF(OR($I66&gt;0,$J66&gt;0),"未通過","通過")))</x:f>
      </x:c>
      <x:c r="M66" s="107" t="str">
        <x:f>IF($L66="通過","Ø",IF($L66="未通過","△",""))</x:f>
      </x:c>
      <x:c r="N66" s="106"/>
      <x:c r="O66" s="106"/>
      <x:c r="P66" s="284"/>
      <x:c r="Q66" s="106"/>
      <x:c r="R66" s="280" t="str">
        <x:f>IF($A66="","",_xlfn.XLOOKUP($F66&amp;"|"&amp;$G66,'檢核表版本'!$R$7:$R$13,'檢核表版本'!$Q$7:$Q$13,"未發布版本",0))</x:f>
      </x:c>
      <x:c r="S66" s="280" t="str">
        <x:f>IF($A66="","",IF(OR(LEN($B66)=0,LEN($C66)=0,LEN($E66)=0,LEN($F66)=0,LEN($G66)=0,LEN($H66)=0,LEN($I66)=0,LEN($J66)=0,LEN($L66)=0,LEN($M66)=0,LEN($O66)=0),"待補欄位",IF($R66&lt;&gt;"已發布","檢核表版本未發布",IF(AND($L66="通過",OR($I66&gt;0,$J66&gt;0)),"結果與必要項目矛盾",IF(AND($L66="通過",$M66&lt;&gt;"Ø"),"通過後建議評等應為 Ø",IF($O66&lt;&gt;"已知悉","待助理知悉",IF($P66="","待補知悉日",IF(OR($Q66="有異議",$Q66="複核中"),"異議處理中","可送主管核定"))))))))</x:f>
      </x:c>
      <x:c r="T66" s="280" t="str">
        <x:f>IF($A66="","",IF($S66="可送主管核定","可進入主管核定",$S66))</x:f>
      </x:c>
      <x:c r="U66" s="280" t="str">
        <x:f>IF($A66="","",IF($R66&lt;&gt;"已發布","先發布檢核表版本",IF($S66="可送主管核定","送主管核定中心",IF($S66="異議處理中","先完成異議複核","補齊或更正考核資料"))))</x:f>
      </x:c>
    </x:row>
    <x:row r="67">
      <x:c r="A67" s="106"/>
      <x:c r="B67" s="284"/>
      <x:c r="C67" s="106"/>
      <x:c r="D67" s="107" t="str">
        <x:f>IF($C67="","",_xlfn.XLOOKUP($C67,'試行員工主檔'!$A$7:$A$20,'試行員工主檔'!$B$7:$B$20,"員工未建立",0))</x:f>
      </x:c>
      <x:c r="E67" s="106"/>
      <x:c r="F67" s="106"/>
      <x:c r="G67" s="106"/>
      <x:c r="H67" s="106"/>
      <x:c r="I67" s="106"/>
      <x:c r="J67" s="106"/>
      <x:c r="K67" s="106"/>
      <x:c r="L67" s="107" t="str">
        <x:f>IF($A67="","",IF(OR($B67="",$C67="",$E67="",$F67="",$G67="",$H67=""),"資料未完整",IF(OR($I67&gt;0,$J67&gt;0),"未通過","通過")))</x:f>
      </x:c>
      <x:c r="M67" s="107" t="str">
        <x:f>IF($L67="通過","Ø",IF($L67="未通過","△",""))</x:f>
      </x:c>
      <x:c r="N67" s="106"/>
      <x:c r="O67" s="106"/>
      <x:c r="P67" s="284"/>
      <x:c r="Q67" s="106"/>
      <x:c r="R67" s="280" t="str">
        <x:f>IF($A67="","",_xlfn.XLOOKUP($F67&amp;"|"&amp;$G67,'檢核表版本'!$R$7:$R$13,'檢核表版本'!$Q$7:$Q$13,"未發布版本",0))</x:f>
      </x:c>
      <x:c r="S67" s="280" t="str">
        <x:f>IF($A67="","",IF(OR(LEN($B67)=0,LEN($C67)=0,LEN($E67)=0,LEN($F67)=0,LEN($G67)=0,LEN($H67)=0,LEN($I67)=0,LEN($J67)=0,LEN($L67)=0,LEN($M67)=0,LEN($O67)=0),"待補欄位",IF($R67&lt;&gt;"已發布","檢核表版本未發布",IF(AND($L67="通過",OR($I67&gt;0,$J67&gt;0)),"結果與必要項目矛盾",IF(AND($L67="通過",$M67&lt;&gt;"Ø"),"通過後建議評等應為 Ø",IF($O67&lt;&gt;"已知悉","待助理知悉",IF($P67="","待補知悉日",IF(OR($Q67="有異議",$Q67="複核中"),"異議處理中","可送主管核定"))))))))</x:f>
      </x:c>
      <x:c r="T67" s="280" t="str">
        <x:f>IF($A67="","",IF($S67="可送主管核定","可進入主管核定",$S67))</x:f>
      </x:c>
      <x:c r="U67" s="280" t="str">
        <x:f>IF($A67="","",IF($R67&lt;&gt;"已發布","先發布檢核表版本",IF($S67="可送主管核定","送主管核定中心",IF($S67="異議處理中","先完成異議複核","補齊或更正考核資料"))))</x:f>
      </x:c>
    </x:row>
    <x:row r="68">
      <x:c r="A68" s="106"/>
      <x:c r="B68" s="284"/>
      <x:c r="C68" s="106"/>
      <x:c r="D68" s="107" t="str">
        <x:f>IF($C68="","",_xlfn.XLOOKUP($C68,'試行員工主檔'!$A$7:$A$20,'試行員工主檔'!$B$7:$B$20,"員工未建立",0))</x:f>
      </x:c>
      <x:c r="E68" s="106"/>
      <x:c r="F68" s="106"/>
      <x:c r="G68" s="106"/>
      <x:c r="H68" s="106"/>
      <x:c r="I68" s="106"/>
      <x:c r="J68" s="106"/>
      <x:c r="K68" s="106"/>
      <x:c r="L68" s="107" t="str">
        <x:f>IF($A68="","",IF(OR($B68="",$C68="",$E68="",$F68="",$G68="",$H68=""),"資料未完整",IF(OR($I68&gt;0,$J68&gt;0),"未通過","通過")))</x:f>
      </x:c>
      <x:c r="M68" s="107" t="str">
        <x:f>IF($L68="通過","Ø",IF($L68="未通過","△",""))</x:f>
      </x:c>
      <x:c r="N68" s="106"/>
      <x:c r="O68" s="106"/>
      <x:c r="P68" s="284"/>
      <x:c r="Q68" s="106"/>
      <x:c r="R68" s="280" t="str">
        <x:f>IF($A68="","",_xlfn.XLOOKUP($F68&amp;"|"&amp;$G68,'檢核表版本'!$R$7:$R$13,'檢核表版本'!$Q$7:$Q$13,"未發布版本",0))</x:f>
      </x:c>
      <x:c r="S68" s="280" t="str">
        <x:f>IF($A68="","",IF(OR(LEN($B68)=0,LEN($C68)=0,LEN($E68)=0,LEN($F68)=0,LEN($G68)=0,LEN($H68)=0,LEN($I68)=0,LEN($J68)=0,LEN($L68)=0,LEN($M68)=0,LEN($O68)=0),"待補欄位",IF($R68&lt;&gt;"已發布","檢核表版本未發布",IF(AND($L68="通過",OR($I68&gt;0,$J68&gt;0)),"結果與必要項目矛盾",IF(AND($L68="通過",$M68&lt;&gt;"Ø"),"通過後建議評等應為 Ø",IF($O68&lt;&gt;"已知悉","待助理知悉",IF($P68="","待補知悉日",IF(OR($Q68="有異議",$Q68="複核中"),"異議處理中","可送主管核定"))))))))</x:f>
      </x:c>
      <x:c r="T68" s="280" t="str">
        <x:f>IF($A68="","",IF($S68="可送主管核定","可進入主管核定",$S68))</x:f>
      </x:c>
      <x:c r="U68" s="280" t="str">
        <x:f>IF($A68="","",IF($R68&lt;&gt;"已發布","先發布檢核表版本",IF($S68="可送主管核定","送主管核定中心",IF($S68="異議處理中","先完成異議複核","補齊或更正考核資料"))))</x:f>
      </x:c>
    </x:row>
    <x:row r="69">
      <x:c r="A69" s="106"/>
      <x:c r="B69" s="284"/>
      <x:c r="C69" s="106"/>
      <x:c r="D69" s="107" t="str">
        <x:f>IF($C69="","",_xlfn.XLOOKUP($C69,'試行員工主檔'!$A$7:$A$20,'試行員工主檔'!$B$7:$B$20,"員工未建立",0))</x:f>
      </x:c>
      <x:c r="E69" s="106"/>
      <x:c r="F69" s="106"/>
      <x:c r="G69" s="106"/>
      <x:c r="H69" s="106"/>
      <x:c r="I69" s="106"/>
      <x:c r="J69" s="106"/>
      <x:c r="K69" s="106"/>
      <x:c r="L69" s="107" t="str">
        <x:f>IF($A69="","",IF(OR($B69="",$C69="",$E69="",$F69="",$G69="",$H69=""),"資料未完整",IF(OR($I69&gt;0,$J69&gt;0),"未通過","通過")))</x:f>
      </x:c>
      <x:c r="M69" s="107" t="str">
        <x:f>IF($L69="通過","Ø",IF($L69="未通過","△",""))</x:f>
      </x:c>
      <x:c r="N69" s="106"/>
      <x:c r="O69" s="106"/>
      <x:c r="P69" s="284"/>
      <x:c r="Q69" s="106"/>
      <x:c r="R69" s="280" t="str">
        <x:f>IF($A69="","",_xlfn.XLOOKUP($F69&amp;"|"&amp;$G69,'檢核表版本'!$R$7:$R$13,'檢核表版本'!$Q$7:$Q$13,"未發布版本",0))</x:f>
      </x:c>
      <x:c r="S69" s="280" t="str">
        <x:f>IF($A69="","",IF(OR(LEN($B69)=0,LEN($C69)=0,LEN($E69)=0,LEN($F69)=0,LEN($G69)=0,LEN($H69)=0,LEN($I69)=0,LEN($J69)=0,LEN($L69)=0,LEN($M69)=0,LEN($O69)=0),"待補欄位",IF($R69&lt;&gt;"已發布","檢核表版本未發布",IF(AND($L69="通過",OR($I69&gt;0,$J69&gt;0)),"結果與必要項目矛盾",IF(AND($L69="通過",$M69&lt;&gt;"Ø"),"通過後建議評等應為 Ø",IF($O69&lt;&gt;"已知悉","待助理知悉",IF($P69="","待補知悉日",IF(OR($Q69="有異議",$Q69="複核中"),"異議處理中","可送主管核定"))))))))</x:f>
      </x:c>
      <x:c r="T69" s="280" t="str">
        <x:f>IF($A69="","",IF($S69="可送主管核定","可進入主管核定",$S69))</x:f>
      </x:c>
      <x:c r="U69" s="280" t="str">
        <x:f>IF($A69="","",IF($R69&lt;&gt;"已發布","先發布檢核表版本",IF($S69="可送主管核定","送主管核定中心",IF($S69="異議處理中","先完成異議複核","補齊或更正考核資料"))))</x:f>
      </x:c>
    </x:row>
    <x:row r="70">
      <x:c r="A70" s="106"/>
      <x:c r="B70" s="284"/>
      <x:c r="C70" s="106"/>
      <x:c r="D70" s="107" t="str">
        <x:f>IF($C70="","",_xlfn.XLOOKUP($C70,'試行員工主檔'!$A$7:$A$20,'試行員工主檔'!$B$7:$B$20,"員工未建立",0))</x:f>
      </x:c>
      <x:c r="E70" s="106"/>
      <x:c r="F70" s="106"/>
      <x:c r="G70" s="106"/>
      <x:c r="H70" s="106"/>
      <x:c r="I70" s="106"/>
      <x:c r="J70" s="106"/>
      <x:c r="K70" s="106"/>
      <x:c r="L70" s="107" t="str">
        <x:f>IF($A70="","",IF(OR($B70="",$C70="",$E70="",$F70="",$G70="",$H70=""),"資料未完整",IF(OR($I70&gt;0,$J70&gt;0),"未通過","通過")))</x:f>
      </x:c>
      <x:c r="M70" s="107" t="str">
        <x:f>IF($L70="通過","Ø",IF($L70="未通過","△",""))</x:f>
      </x:c>
      <x:c r="N70" s="106"/>
      <x:c r="O70" s="106"/>
      <x:c r="P70" s="284"/>
      <x:c r="Q70" s="106"/>
      <x:c r="R70" s="280" t="str">
        <x:f>IF($A70="","",_xlfn.XLOOKUP($F70&amp;"|"&amp;$G70,'檢核表版本'!$R$7:$R$13,'檢核表版本'!$Q$7:$Q$13,"未發布版本",0))</x:f>
      </x:c>
      <x:c r="S70" s="280" t="str">
        <x:f>IF($A70="","",IF(OR(LEN($B70)=0,LEN($C70)=0,LEN($E70)=0,LEN($F70)=0,LEN($G70)=0,LEN($H70)=0,LEN($I70)=0,LEN($J70)=0,LEN($L70)=0,LEN($M70)=0,LEN($O70)=0),"待補欄位",IF($R70&lt;&gt;"已發布","檢核表版本未發布",IF(AND($L70="通過",OR($I70&gt;0,$J70&gt;0)),"結果與必要項目矛盾",IF(AND($L70="通過",$M70&lt;&gt;"Ø"),"通過後建議評等應為 Ø",IF($O70&lt;&gt;"已知悉","待助理知悉",IF($P70="","待補知悉日",IF(OR($Q70="有異議",$Q70="複核中"),"異議處理中","可送主管核定"))))))))</x:f>
      </x:c>
      <x:c r="T70" s="280" t="str">
        <x:f>IF($A70="","",IF($S70="可送主管核定","可進入主管核定",$S70))</x:f>
      </x:c>
      <x:c r="U70" s="280" t="str">
        <x:f>IF($A70="","",IF($R70&lt;&gt;"已發布","先發布檢核表版本",IF($S70="可送主管核定","送主管核定中心",IF($S70="異議處理中","先完成異議複核","補齊或更正考核資料"))))</x:f>
      </x:c>
    </x:row>
    <x:row r="71">
      <x:c r="A71" s="106"/>
      <x:c r="B71" s="284"/>
      <x:c r="C71" s="106"/>
      <x:c r="D71" s="107" t="str">
        <x:f>IF($C71="","",_xlfn.XLOOKUP($C71,'試行員工主檔'!$A$7:$A$20,'試行員工主檔'!$B$7:$B$20,"員工未建立",0))</x:f>
      </x:c>
      <x:c r="E71" s="106"/>
      <x:c r="F71" s="106"/>
      <x:c r="G71" s="106"/>
      <x:c r="H71" s="106"/>
      <x:c r="I71" s="106"/>
      <x:c r="J71" s="106"/>
      <x:c r="K71" s="106"/>
      <x:c r="L71" s="107" t="str">
        <x:f>IF($A71="","",IF(OR($B71="",$C71="",$E71="",$F71="",$G71="",$H71=""),"資料未完整",IF(OR($I71&gt;0,$J71&gt;0),"未通過","通過")))</x:f>
      </x:c>
      <x:c r="M71" s="107" t="str">
        <x:f>IF($L71="通過","Ø",IF($L71="未通過","△",""))</x:f>
      </x:c>
      <x:c r="N71" s="106"/>
      <x:c r="O71" s="106"/>
      <x:c r="P71" s="284"/>
      <x:c r="Q71" s="106"/>
      <x:c r="R71" s="280" t="str">
        <x:f>IF($A71="","",_xlfn.XLOOKUP($F71&amp;"|"&amp;$G71,'檢核表版本'!$R$7:$R$13,'檢核表版本'!$Q$7:$Q$13,"未發布版本",0))</x:f>
      </x:c>
      <x:c r="S71" s="280" t="str">
        <x:f>IF($A71="","",IF(OR(LEN($B71)=0,LEN($C71)=0,LEN($E71)=0,LEN($F71)=0,LEN($G71)=0,LEN($H71)=0,LEN($I71)=0,LEN($J71)=0,LEN($L71)=0,LEN($M71)=0,LEN($O71)=0),"待補欄位",IF($R71&lt;&gt;"已發布","檢核表版本未發布",IF(AND($L71="通過",OR($I71&gt;0,$J71&gt;0)),"結果與必要項目矛盾",IF(AND($L71="通過",$M71&lt;&gt;"Ø"),"通過後建議評等應為 Ø",IF($O71&lt;&gt;"已知悉","待助理知悉",IF($P71="","待補知悉日",IF(OR($Q71="有異議",$Q71="複核中"),"異議處理中","可送主管核定"))))))))</x:f>
      </x:c>
      <x:c r="T71" s="280" t="str">
        <x:f>IF($A71="","",IF($S71="可送主管核定","可進入主管核定",$S71))</x:f>
      </x:c>
      <x:c r="U71" s="280" t="str">
        <x:f>IF($A71="","",IF($R71&lt;&gt;"已發布","先發布檢核表版本",IF($S71="可送主管核定","送主管核定中心",IF($S71="異議處理中","先完成異議複核","補齊或更正考核資料"))))</x:f>
      </x:c>
    </x:row>
    <x:row r="72">
      <x:c r="A72" s="106"/>
      <x:c r="B72" s="284"/>
      <x:c r="C72" s="106"/>
      <x:c r="D72" s="107" t="str">
        <x:f>IF($C72="","",_xlfn.XLOOKUP($C72,'試行員工主檔'!$A$7:$A$20,'試行員工主檔'!$B$7:$B$20,"員工未建立",0))</x:f>
      </x:c>
      <x:c r="E72" s="106"/>
      <x:c r="F72" s="106"/>
      <x:c r="G72" s="106"/>
      <x:c r="H72" s="106"/>
      <x:c r="I72" s="106"/>
      <x:c r="J72" s="106"/>
      <x:c r="K72" s="106"/>
      <x:c r="L72" s="107" t="str">
        <x:f>IF($A72="","",IF(OR($B72="",$C72="",$E72="",$F72="",$G72="",$H72=""),"資料未完整",IF(OR($I72&gt;0,$J72&gt;0),"未通過","通過")))</x:f>
      </x:c>
      <x:c r="M72" s="107" t="str">
        <x:f>IF($L72="通過","Ø",IF($L72="未通過","△",""))</x:f>
      </x:c>
      <x:c r="N72" s="106"/>
      <x:c r="O72" s="106"/>
      <x:c r="P72" s="284"/>
      <x:c r="Q72" s="106"/>
      <x:c r="R72" s="280" t="str">
        <x:f>IF($A72="","",_xlfn.XLOOKUP($F72&amp;"|"&amp;$G72,'檢核表版本'!$R$7:$R$13,'檢核表版本'!$Q$7:$Q$13,"未發布版本",0))</x:f>
      </x:c>
      <x:c r="S72" s="280" t="str">
        <x:f>IF($A72="","",IF(OR(LEN($B72)=0,LEN($C72)=0,LEN($E72)=0,LEN($F72)=0,LEN($G72)=0,LEN($H72)=0,LEN($I72)=0,LEN($J72)=0,LEN($L72)=0,LEN($M72)=0,LEN($O72)=0),"待補欄位",IF($R72&lt;&gt;"已發布","檢核表版本未發布",IF(AND($L72="通過",OR($I72&gt;0,$J72&gt;0)),"結果與必要項目矛盾",IF(AND($L72="通過",$M72&lt;&gt;"Ø"),"通過後建議評等應為 Ø",IF($O72&lt;&gt;"已知悉","待助理知悉",IF($P72="","待補知悉日",IF(OR($Q72="有異議",$Q72="複核中"),"異議處理中","可送主管核定"))))))))</x:f>
      </x:c>
      <x:c r="T72" s="280" t="str">
        <x:f>IF($A72="","",IF($S72="可送主管核定","可進入主管核定",$S72))</x:f>
      </x:c>
      <x:c r="U72" s="280" t="str">
        <x:f>IF($A72="","",IF($R72&lt;&gt;"已發布","先發布檢核表版本",IF($S72="可送主管核定","送主管核定中心",IF($S72="異議處理中","先完成異議複核","補齊或更正考核資料"))))</x:f>
      </x:c>
    </x:row>
    <x:row r="73">
      <x:c r="A73" s="106"/>
      <x:c r="B73" s="284"/>
      <x:c r="C73" s="106"/>
      <x:c r="D73" s="107" t="str">
        <x:f>IF($C73="","",_xlfn.XLOOKUP($C73,'試行員工主檔'!$A$7:$A$20,'試行員工主檔'!$B$7:$B$20,"員工未建立",0))</x:f>
      </x:c>
      <x:c r="E73" s="106"/>
      <x:c r="F73" s="106"/>
      <x:c r="G73" s="106"/>
      <x:c r="H73" s="106"/>
      <x:c r="I73" s="106"/>
      <x:c r="J73" s="106"/>
      <x:c r="K73" s="106"/>
      <x:c r="L73" s="107" t="str">
        <x:f>IF($A73="","",IF(OR($B73="",$C73="",$E73="",$F73="",$G73="",$H73=""),"資料未完整",IF(OR($I73&gt;0,$J73&gt;0),"未通過","通過")))</x:f>
      </x:c>
      <x:c r="M73" s="107" t="str">
        <x:f>IF($L73="通過","Ø",IF($L73="未通過","△",""))</x:f>
      </x:c>
      <x:c r="N73" s="106"/>
      <x:c r="O73" s="106"/>
      <x:c r="P73" s="284"/>
      <x:c r="Q73" s="106"/>
      <x:c r="R73" s="280" t="str">
        <x:f>IF($A73="","",_xlfn.XLOOKUP($F73&amp;"|"&amp;$G73,'檢核表版本'!$R$7:$R$13,'檢核表版本'!$Q$7:$Q$13,"未發布版本",0))</x:f>
      </x:c>
      <x:c r="S73" s="280" t="str">
        <x:f>IF($A73="","",IF(OR(LEN($B73)=0,LEN($C73)=0,LEN($E73)=0,LEN($F73)=0,LEN($G73)=0,LEN($H73)=0,LEN($I73)=0,LEN($J73)=0,LEN($L73)=0,LEN($M73)=0,LEN($O73)=0),"待補欄位",IF($R73&lt;&gt;"已發布","檢核表版本未發布",IF(AND($L73="通過",OR($I73&gt;0,$J73&gt;0)),"結果與必要項目矛盾",IF(AND($L73="通過",$M73&lt;&gt;"Ø"),"通過後建議評等應為 Ø",IF($O73&lt;&gt;"已知悉","待助理知悉",IF($P73="","待補知悉日",IF(OR($Q73="有異議",$Q73="複核中"),"異議處理中","可送主管核定"))))))))</x:f>
      </x:c>
      <x:c r="T73" s="280" t="str">
        <x:f>IF($A73="","",IF($S73="可送主管核定","可進入主管核定",$S73))</x:f>
      </x:c>
      <x:c r="U73" s="280" t="str">
        <x:f>IF($A73="","",IF($R73&lt;&gt;"已發布","先發布檢核表版本",IF($S73="可送主管核定","送主管核定中心",IF($S73="異議處理中","先完成異議複核","補齊或更正考核資料"))))</x:f>
      </x:c>
    </x:row>
    <x:row r="74">
      <x:c r="A74" s="106"/>
      <x:c r="B74" s="284"/>
      <x:c r="C74" s="106"/>
      <x:c r="D74" s="107" t="str">
        <x:f>IF($C74="","",_xlfn.XLOOKUP($C74,'試行員工主檔'!$A$7:$A$20,'試行員工主檔'!$B$7:$B$20,"員工未建立",0))</x:f>
      </x:c>
      <x:c r="E74" s="106"/>
      <x:c r="F74" s="106"/>
      <x:c r="G74" s="106"/>
      <x:c r="H74" s="106"/>
      <x:c r="I74" s="106"/>
      <x:c r="J74" s="106"/>
      <x:c r="K74" s="106"/>
      <x:c r="L74" s="107" t="str">
        <x:f>IF($A74="","",IF(OR($B74="",$C74="",$E74="",$F74="",$G74="",$H74=""),"資料未完整",IF(OR($I74&gt;0,$J74&gt;0),"未通過","通過")))</x:f>
      </x:c>
      <x:c r="M74" s="107" t="str">
        <x:f>IF($L74="通過","Ø",IF($L74="未通過","△",""))</x:f>
      </x:c>
      <x:c r="N74" s="106"/>
      <x:c r="O74" s="106"/>
      <x:c r="P74" s="284"/>
      <x:c r="Q74" s="106"/>
      <x:c r="R74" s="280" t="str">
        <x:f>IF($A74="","",_xlfn.XLOOKUP($F74&amp;"|"&amp;$G74,'檢核表版本'!$R$7:$R$13,'檢核表版本'!$Q$7:$Q$13,"未發布版本",0))</x:f>
      </x:c>
      <x:c r="S74" s="280" t="str">
        <x:f>IF($A74="","",IF(OR(LEN($B74)=0,LEN($C74)=0,LEN($E74)=0,LEN($F74)=0,LEN($G74)=0,LEN($H74)=0,LEN($I74)=0,LEN($J74)=0,LEN($L74)=0,LEN($M74)=0,LEN($O74)=0),"待補欄位",IF($R74&lt;&gt;"已發布","檢核表版本未發布",IF(AND($L74="通過",OR($I74&gt;0,$J74&gt;0)),"結果與必要項目矛盾",IF(AND($L74="通過",$M74&lt;&gt;"Ø"),"通過後建議評等應為 Ø",IF($O74&lt;&gt;"已知悉","待助理知悉",IF($P74="","待補知悉日",IF(OR($Q74="有異議",$Q74="複核中"),"異議處理中","可送主管核定"))))))))</x:f>
      </x:c>
      <x:c r="T74" s="280" t="str">
        <x:f>IF($A74="","",IF($S74="可送主管核定","可進入主管核定",$S74))</x:f>
      </x:c>
      <x:c r="U74" s="280" t="str">
        <x:f>IF($A74="","",IF($R74&lt;&gt;"已發布","先發布檢核表版本",IF($S74="可送主管核定","送主管核定中心",IF($S74="異議處理中","先完成異議複核","補齊或更正考核資料"))))</x:f>
      </x:c>
    </x:row>
    <x:row r="75">
      <x:c r="A75" s="106"/>
      <x:c r="B75" s="284"/>
      <x:c r="C75" s="106"/>
      <x:c r="D75" s="107" t="str">
        <x:f>IF($C75="","",_xlfn.XLOOKUP($C75,'試行員工主檔'!$A$7:$A$20,'試行員工主檔'!$B$7:$B$20,"員工未建立",0))</x:f>
      </x:c>
      <x:c r="E75" s="106"/>
      <x:c r="F75" s="106"/>
      <x:c r="G75" s="106"/>
      <x:c r="H75" s="106"/>
      <x:c r="I75" s="106"/>
      <x:c r="J75" s="106"/>
      <x:c r="K75" s="106"/>
      <x:c r="L75" s="107" t="str">
        <x:f>IF($A75="","",IF(OR($B75="",$C75="",$E75="",$F75="",$G75="",$H75=""),"資料未完整",IF(OR($I75&gt;0,$J75&gt;0),"未通過","通過")))</x:f>
      </x:c>
      <x:c r="M75" s="107" t="str">
        <x:f>IF($L75="通過","Ø",IF($L75="未通過","△",""))</x:f>
      </x:c>
      <x:c r="N75" s="106"/>
      <x:c r="O75" s="106"/>
      <x:c r="P75" s="284"/>
      <x:c r="Q75" s="106"/>
      <x:c r="R75" s="280" t="str">
        <x:f>IF($A75="","",_xlfn.XLOOKUP($F75&amp;"|"&amp;$G75,'檢核表版本'!$R$7:$R$13,'檢核表版本'!$Q$7:$Q$13,"未發布版本",0))</x:f>
      </x:c>
      <x:c r="S75" s="280" t="str">
        <x:f>IF($A75="","",IF(OR(LEN($B75)=0,LEN($C75)=0,LEN($E75)=0,LEN($F75)=0,LEN($G75)=0,LEN($H75)=0,LEN($I75)=0,LEN($J75)=0,LEN($L75)=0,LEN($M75)=0,LEN($O75)=0),"待補欄位",IF($R75&lt;&gt;"已發布","檢核表版本未發布",IF(AND($L75="通過",OR($I75&gt;0,$J75&gt;0)),"結果與必要項目矛盾",IF(AND($L75="通過",$M75&lt;&gt;"Ø"),"通過後建議評等應為 Ø",IF($O75&lt;&gt;"已知悉","待助理知悉",IF($P75="","待補知悉日",IF(OR($Q75="有異議",$Q75="複核中"),"異議處理中","可送主管核定"))))))))</x:f>
      </x:c>
      <x:c r="T75" s="280" t="str">
        <x:f>IF($A75="","",IF($S75="可送主管核定","可進入主管核定",$S75))</x:f>
      </x:c>
      <x:c r="U75" s="280" t="str">
        <x:f>IF($A75="","",IF($R75&lt;&gt;"已發布","先發布檢核表版本",IF($S75="可送主管核定","送主管核定中心",IF($S75="異議處理中","先完成異議複核","補齊或更正考核資料"))))</x:f>
      </x:c>
    </x:row>
    <x:row r="76">
      <x:c r="A76" s="106"/>
      <x:c r="B76" s="284"/>
      <x:c r="C76" s="106"/>
      <x:c r="D76" s="107" t="str">
        <x:f>IF($C76="","",_xlfn.XLOOKUP($C76,'試行員工主檔'!$A$7:$A$20,'試行員工主檔'!$B$7:$B$20,"員工未建立",0))</x:f>
      </x:c>
      <x:c r="E76" s="106"/>
      <x:c r="F76" s="106"/>
      <x:c r="G76" s="106"/>
      <x:c r="H76" s="106"/>
      <x:c r="I76" s="106"/>
      <x:c r="J76" s="106"/>
      <x:c r="K76" s="106"/>
      <x:c r="L76" s="107" t="str">
        <x:f>IF($A76="","",IF(OR($B76="",$C76="",$E76="",$F76="",$G76="",$H76=""),"資料未完整",IF(OR($I76&gt;0,$J76&gt;0),"未通過","通過")))</x:f>
      </x:c>
      <x:c r="M76" s="107" t="str">
        <x:f>IF($L76="通過","Ø",IF($L76="未通過","△",""))</x:f>
      </x:c>
      <x:c r="N76" s="106"/>
      <x:c r="O76" s="106"/>
      <x:c r="P76" s="284"/>
      <x:c r="Q76" s="106"/>
      <x:c r="R76" s="280" t="str">
        <x:f>IF($A76="","",_xlfn.XLOOKUP($F76&amp;"|"&amp;$G76,'檢核表版本'!$R$7:$R$13,'檢核表版本'!$Q$7:$Q$13,"未發布版本",0))</x:f>
      </x:c>
      <x:c r="S76" s="280" t="str">
        <x:f>IF($A76="","",IF(OR(LEN($B76)=0,LEN($C76)=0,LEN($E76)=0,LEN($F76)=0,LEN($G76)=0,LEN($H76)=0,LEN($I76)=0,LEN($J76)=0,LEN($L76)=0,LEN($M76)=0,LEN($O76)=0),"待補欄位",IF($R76&lt;&gt;"已發布","檢核表版本未發布",IF(AND($L76="通過",OR($I76&gt;0,$J76&gt;0)),"結果與必要項目矛盾",IF(AND($L76="通過",$M76&lt;&gt;"Ø"),"通過後建議評等應為 Ø",IF($O76&lt;&gt;"已知悉","待助理知悉",IF($P76="","待補知悉日",IF(OR($Q76="有異議",$Q76="複核中"),"異議處理中","可送主管核定"))))))))</x:f>
      </x:c>
      <x:c r="T76" s="280" t="str">
        <x:f>IF($A76="","",IF($S76="可送主管核定","可進入主管核定",$S76))</x:f>
      </x:c>
      <x:c r="U76" s="280" t="str">
        <x:f>IF($A76="","",IF($R76&lt;&gt;"已發布","先發布檢核表版本",IF($S76="可送主管核定","送主管核定中心",IF($S76="異議處理中","先完成異議複核","補齊或更正考核資料"))))</x:f>
      </x:c>
    </x:row>
    <x:row r="77">
      <x:c r="A77" s="106"/>
      <x:c r="B77" s="284"/>
      <x:c r="C77" s="106"/>
      <x:c r="D77" s="107" t="str">
        <x:f>IF($C77="","",_xlfn.XLOOKUP($C77,'試行員工主檔'!$A$7:$A$20,'試行員工主檔'!$B$7:$B$20,"員工未建立",0))</x:f>
      </x:c>
      <x:c r="E77" s="106"/>
      <x:c r="F77" s="106"/>
      <x:c r="G77" s="106"/>
      <x:c r="H77" s="106"/>
      <x:c r="I77" s="106"/>
      <x:c r="J77" s="106"/>
      <x:c r="K77" s="106"/>
      <x:c r="L77" s="107" t="str">
        <x:f>IF($A77="","",IF(OR($B77="",$C77="",$E77="",$F77="",$G77="",$H77=""),"資料未完整",IF(OR($I77&gt;0,$J77&gt;0),"未通過","通過")))</x:f>
      </x:c>
      <x:c r="M77" s="107" t="str">
        <x:f>IF($L77="通過","Ø",IF($L77="未通過","△",""))</x:f>
      </x:c>
      <x:c r="N77" s="106"/>
      <x:c r="O77" s="106"/>
      <x:c r="P77" s="284"/>
      <x:c r="Q77" s="106"/>
      <x:c r="R77" s="280" t="str">
        <x:f>IF($A77="","",_xlfn.XLOOKUP($F77&amp;"|"&amp;$G77,'檢核表版本'!$R$7:$R$13,'檢核表版本'!$Q$7:$Q$13,"未發布版本",0))</x:f>
      </x:c>
      <x:c r="S77" s="280" t="str">
        <x:f>IF($A77="","",IF(OR(LEN($B77)=0,LEN($C77)=0,LEN($E77)=0,LEN($F77)=0,LEN($G77)=0,LEN($H77)=0,LEN($I77)=0,LEN($J77)=0,LEN($L77)=0,LEN($M77)=0,LEN($O77)=0),"待補欄位",IF($R77&lt;&gt;"已發布","檢核表版本未發布",IF(AND($L77="通過",OR($I77&gt;0,$J77&gt;0)),"結果與必要項目矛盾",IF(AND($L77="通過",$M77&lt;&gt;"Ø"),"通過後建議評等應為 Ø",IF($O77&lt;&gt;"已知悉","待助理知悉",IF($P77="","待補知悉日",IF(OR($Q77="有異議",$Q77="複核中"),"異議處理中","可送主管核定"))))))))</x:f>
      </x:c>
      <x:c r="T77" s="280" t="str">
        <x:f>IF($A77="","",IF($S77="可送主管核定","可進入主管核定",$S77))</x:f>
      </x:c>
      <x:c r="U77" s="280" t="str">
        <x:f>IF($A77="","",IF($R77&lt;&gt;"已發布","先發布檢核表版本",IF($S77="可送主管核定","送主管核定中心",IF($S77="異議處理中","先完成異議複核","補齊或更正考核資料"))))</x:f>
      </x:c>
    </x:row>
    <x:row r="78">
      <x:c r="A78" s="106"/>
      <x:c r="B78" s="284"/>
      <x:c r="C78" s="106"/>
      <x:c r="D78" s="107" t="str">
        <x:f>IF($C78="","",_xlfn.XLOOKUP($C78,'試行員工主檔'!$A$7:$A$20,'試行員工主檔'!$B$7:$B$20,"員工未建立",0))</x:f>
      </x:c>
      <x:c r="E78" s="106"/>
      <x:c r="F78" s="106"/>
      <x:c r="G78" s="106"/>
      <x:c r="H78" s="106"/>
      <x:c r="I78" s="106"/>
      <x:c r="J78" s="106"/>
      <x:c r="K78" s="106"/>
      <x:c r="L78" s="107" t="str">
        <x:f>IF($A78="","",IF(OR($B78="",$C78="",$E78="",$F78="",$G78="",$H78=""),"資料未完整",IF(OR($I78&gt;0,$J78&gt;0),"未通過","通過")))</x:f>
      </x:c>
      <x:c r="M78" s="107" t="str">
        <x:f>IF($L78="通過","Ø",IF($L78="未通過","△",""))</x:f>
      </x:c>
      <x:c r="N78" s="106"/>
      <x:c r="O78" s="106"/>
      <x:c r="P78" s="284"/>
      <x:c r="Q78" s="106"/>
      <x:c r="R78" s="280" t="str">
        <x:f>IF($A78="","",_xlfn.XLOOKUP($F78&amp;"|"&amp;$G78,'檢核表版本'!$R$7:$R$13,'檢核表版本'!$Q$7:$Q$13,"未發布版本",0))</x:f>
      </x:c>
      <x:c r="S78" s="280" t="str">
        <x:f>IF($A78="","",IF(OR(LEN($B78)=0,LEN($C78)=0,LEN($E78)=0,LEN($F78)=0,LEN($G78)=0,LEN($H78)=0,LEN($I78)=0,LEN($J78)=0,LEN($L78)=0,LEN($M78)=0,LEN($O78)=0),"待補欄位",IF($R78&lt;&gt;"已發布","檢核表版本未發布",IF(AND($L78="通過",OR($I78&gt;0,$J78&gt;0)),"結果與必要項目矛盾",IF(AND($L78="通過",$M78&lt;&gt;"Ø"),"通過後建議評等應為 Ø",IF($O78&lt;&gt;"已知悉","待助理知悉",IF($P78="","待補知悉日",IF(OR($Q78="有異議",$Q78="複核中"),"異議處理中","可送主管核定"))))))))</x:f>
      </x:c>
      <x:c r="T78" s="280" t="str">
        <x:f>IF($A78="","",IF($S78="可送主管核定","可進入主管核定",$S78))</x:f>
      </x:c>
      <x:c r="U78" s="280" t="str">
        <x:f>IF($A78="","",IF($R78&lt;&gt;"已發布","先發布檢核表版本",IF($S78="可送主管核定","送主管核定中心",IF($S78="異議處理中","先完成異議複核","補齊或更正考核資料"))))</x:f>
      </x:c>
    </x:row>
    <x:row r="79">
      <x:c r="A79" s="106"/>
      <x:c r="B79" s="284"/>
      <x:c r="C79" s="106"/>
      <x:c r="D79" s="107" t="str">
        <x:f>IF($C79="","",_xlfn.XLOOKUP($C79,'試行員工主檔'!$A$7:$A$20,'試行員工主檔'!$B$7:$B$20,"員工未建立",0))</x:f>
      </x:c>
      <x:c r="E79" s="106"/>
      <x:c r="F79" s="106"/>
      <x:c r="G79" s="106"/>
      <x:c r="H79" s="106"/>
      <x:c r="I79" s="106"/>
      <x:c r="J79" s="106"/>
      <x:c r="K79" s="106"/>
      <x:c r="L79" s="107" t="str">
        <x:f>IF($A79="","",IF(OR($B79="",$C79="",$E79="",$F79="",$G79="",$H79=""),"資料未完整",IF(OR($I79&gt;0,$J79&gt;0),"未通過","通過")))</x:f>
      </x:c>
      <x:c r="M79" s="107" t="str">
        <x:f>IF($L79="通過","Ø",IF($L79="未通過","△",""))</x:f>
      </x:c>
      <x:c r="N79" s="106"/>
      <x:c r="O79" s="106"/>
      <x:c r="P79" s="284"/>
      <x:c r="Q79" s="106"/>
      <x:c r="R79" s="280" t="str">
        <x:f>IF($A79="","",_xlfn.XLOOKUP($F79&amp;"|"&amp;$G79,'檢核表版本'!$R$7:$R$13,'檢核表版本'!$Q$7:$Q$13,"未發布版本",0))</x:f>
      </x:c>
      <x:c r="S79" s="280" t="str">
        <x:f>IF($A79="","",IF(OR(LEN($B79)=0,LEN($C79)=0,LEN($E79)=0,LEN($F79)=0,LEN($G79)=0,LEN($H79)=0,LEN($I79)=0,LEN($J79)=0,LEN($L79)=0,LEN($M79)=0,LEN($O79)=0),"待補欄位",IF($R79&lt;&gt;"已發布","檢核表版本未發布",IF(AND($L79="通過",OR($I79&gt;0,$J79&gt;0)),"結果與必要項目矛盾",IF(AND($L79="通過",$M79&lt;&gt;"Ø"),"通過後建議評等應為 Ø",IF($O79&lt;&gt;"已知悉","待助理知悉",IF($P79="","待補知悉日",IF(OR($Q79="有異議",$Q79="複核中"),"異議處理中","可送主管核定"))))))))</x:f>
      </x:c>
      <x:c r="T79" s="280" t="str">
        <x:f>IF($A79="","",IF($S79="可送主管核定","可進入主管核定",$S79))</x:f>
      </x:c>
      <x:c r="U79" s="280" t="str">
        <x:f>IF($A79="","",IF($R79&lt;&gt;"已發布","先發布檢核表版本",IF($S79="可送主管核定","送主管核定中心",IF($S79="異議處理中","先完成異議複核","補齊或更正考核資料"))))</x:f>
      </x:c>
    </x:row>
    <x:row r="80">
      <x:c r="A80" s="106"/>
      <x:c r="B80" s="284"/>
      <x:c r="C80" s="106"/>
      <x:c r="D80" s="107" t="str">
        <x:f>IF($C80="","",_xlfn.XLOOKUP($C80,'試行員工主檔'!$A$7:$A$20,'試行員工主檔'!$B$7:$B$20,"員工未建立",0))</x:f>
      </x:c>
      <x:c r="E80" s="106"/>
      <x:c r="F80" s="106"/>
      <x:c r="G80" s="106"/>
      <x:c r="H80" s="106"/>
      <x:c r="I80" s="106"/>
      <x:c r="J80" s="106"/>
      <x:c r="K80" s="106"/>
      <x:c r="L80" s="107" t="str">
        <x:f>IF($A80="","",IF(OR($B80="",$C80="",$E80="",$F80="",$G80="",$H80=""),"資料未完整",IF(OR($I80&gt;0,$J80&gt;0),"未通過","通過")))</x:f>
      </x:c>
      <x:c r="M80" s="107" t="str">
        <x:f>IF($L80="通過","Ø",IF($L80="未通過","△",""))</x:f>
      </x:c>
      <x:c r="N80" s="106"/>
      <x:c r="O80" s="106"/>
      <x:c r="P80" s="284"/>
      <x:c r="Q80" s="106"/>
      <x:c r="R80" s="280" t="str">
        <x:f>IF($A80="","",_xlfn.XLOOKUP($F80&amp;"|"&amp;$G80,'檢核表版本'!$R$7:$R$13,'檢核表版本'!$Q$7:$Q$13,"未發布版本",0))</x:f>
      </x:c>
      <x:c r="S80" s="280" t="str">
        <x:f>IF($A80="","",IF(OR(LEN($B80)=0,LEN($C80)=0,LEN($E80)=0,LEN($F80)=0,LEN($G80)=0,LEN($H80)=0,LEN($I80)=0,LEN($J80)=0,LEN($L80)=0,LEN($M80)=0,LEN($O80)=0),"待補欄位",IF($R80&lt;&gt;"已發布","檢核表版本未發布",IF(AND($L80="通過",OR($I80&gt;0,$J80&gt;0)),"結果與必要項目矛盾",IF(AND($L80="通過",$M80&lt;&gt;"Ø"),"通過後建議評等應為 Ø",IF($O80&lt;&gt;"已知悉","待助理知悉",IF($P80="","待補知悉日",IF(OR($Q80="有異議",$Q80="複核中"),"異議處理中","可送主管核定"))))))))</x:f>
      </x:c>
      <x:c r="T80" s="280" t="str">
        <x:f>IF($A80="","",IF($S80="可送主管核定","可進入主管核定",$S80))</x:f>
      </x:c>
      <x:c r="U80" s="280" t="str">
        <x:f>IF($A80="","",IF($R80&lt;&gt;"已發布","先發布檢核表版本",IF($S80="可送主管核定","送主管核定中心",IF($S80="異議處理中","先完成異議複核","補齊或更正考核資料"))))</x:f>
      </x:c>
    </x:row>
    <x:row r="81">
      <x:c r="A81" s="106"/>
      <x:c r="B81" s="284"/>
      <x:c r="C81" s="106"/>
      <x:c r="D81" s="107" t="str">
        <x:f>IF($C81="","",_xlfn.XLOOKUP($C81,'試行員工主檔'!$A$7:$A$20,'試行員工主檔'!$B$7:$B$20,"員工未建立",0))</x:f>
      </x:c>
      <x:c r="E81" s="106"/>
      <x:c r="F81" s="106"/>
      <x:c r="G81" s="106"/>
      <x:c r="H81" s="106"/>
      <x:c r="I81" s="106"/>
      <x:c r="J81" s="106"/>
      <x:c r="K81" s="106"/>
      <x:c r="L81" s="107" t="str">
        <x:f>IF($A81="","",IF(OR($B81="",$C81="",$E81="",$F81="",$G81="",$H81=""),"資料未完整",IF(OR($I81&gt;0,$J81&gt;0),"未通過","通過")))</x:f>
      </x:c>
      <x:c r="M81" s="107" t="str">
        <x:f>IF($L81="通過","Ø",IF($L81="未通過","△",""))</x:f>
      </x:c>
      <x:c r="N81" s="106"/>
      <x:c r="O81" s="106"/>
      <x:c r="P81" s="284"/>
      <x:c r="Q81" s="106"/>
      <x:c r="R81" s="280" t="str">
        <x:f>IF($A81="","",_xlfn.XLOOKUP($F81&amp;"|"&amp;$G81,'檢核表版本'!$R$7:$R$13,'檢核表版本'!$Q$7:$Q$13,"未發布版本",0))</x:f>
      </x:c>
      <x:c r="S81" s="280" t="str">
        <x:f>IF($A81="","",IF(OR(LEN($B81)=0,LEN($C81)=0,LEN($E81)=0,LEN($F81)=0,LEN($G81)=0,LEN($H81)=0,LEN($I81)=0,LEN($J81)=0,LEN($L81)=0,LEN($M81)=0,LEN($O81)=0),"待補欄位",IF($R81&lt;&gt;"已發布","檢核表版本未發布",IF(AND($L81="通過",OR($I81&gt;0,$J81&gt;0)),"結果與必要項目矛盾",IF(AND($L81="通過",$M81&lt;&gt;"Ø"),"通過後建議評等應為 Ø",IF($O81&lt;&gt;"已知悉","待助理知悉",IF($P81="","待補知悉日",IF(OR($Q81="有異議",$Q81="複核中"),"異議處理中","可送主管核定"))))))))</x:f>
      </x:c>
      <x:c r="T81" s="280" t="str">
        <x:f>IF($A81="","",IF($S81="可送主管核定","可進入主管核定",$S81))</x:f>
      </x:c>
      <x:c r="U81" s="280" t="str">
        <x:f>IF($A81="","",IF($R81&lt;&gt;"已發布","先發布檢核表版本",IF($S81="可送主管核定","送主管核定中心",IF($S81="異議處理中","先完成異議複核","補齊或更正考核資料"))))</x:f>
      </x:c>
    </x:row>
    <x:row r="82">
      <x:c r="A82" s="106"/>
      <x:c r="B82" s="284"/>
      <x:c r="C82" s="106"/>
      <x:c r="D82" s="107" t="str">
        <x:f>IF($C82="","",_xlfn.XLOOKUP($C82,'試行員工主檔'!$A$7:$A$20,'試行員工主檔'!$B$7:$B$20,"員工未建立",0))</x:f>
      </x:c>
      <x:c r="E82" s="106"/>
      <x:c r="F82" s="106"/>
      <x:c r="G82" s="106"/>
      <x:c r="H82" s="106"/>
      <x:c r="I82" s="106"/>
      <x:c r="J82" s="106"/>
      <x:c r="K82" s="106"/>
      <x:c r="L82" s="107" t="str">
        <x:f>IF($A82="","",IF(OR($B82="",$C82="",$E82="",$F82="",$G82="",$H82=""),"資料未完整",IF(OR($I82&gt;0,$J82&gt;0),"未通過","通過")))</x:f>
      </x:c>
      <x:c r="M82" s="107" t="str">
        <x:f>IF($L82="通過","Ø",IF($L82="未通過","△",""))</x:f>
      </x:c>
      <x:c r="N82" s="106"/>
      <x:c r="O82" s="106"/>
      <x:c r="P82" s="284"/>
      <x:c r="Q82" s="106"/>
      <x:c r="R82" s="280" t="str">
        <x:f>IF($A82="","",_xlfn.XLOOKUP($F82&amp;"|"&amp;$G82,'檢核表版本'!$R$7:$R$13,'檢核表版本'!$Q$7:$Q$13,"未發布版本",0))</x:f>
      </x:c>
      <x:c r="S82" s="280" t="str">
        <x:f>IF($A82="","",IF(OR(LEN($B82)=0,LEN($C82)=0,LEN($E82)=0,LEN($F82)=0,LEN($G82)=0,LEN($H82)=0,LEN($I82)=0,LEN($J82)=0,LEN($L82)=0,LEN($M82)=0,LEN($O82)=0),"待補欄位",IF($R82&lt;&gt;"已發布","檢核表版本未發布",IF(AND($L82="通過",OR($I82&gt;0,$J82&gt;0)),"結果與必要項目矛盾",IF(AND($L82="通過",$M82&lt;&gt;"Ø"),"通過後建議評等應為 Ø",IF($O82&lt;&gt;"已知悉","待助理知悉",IF($P82="","待補知悉日",IF(OR($Q82="有異議",$Q82="複核中"),"異議處理中","可送主管核定"))))))))</x:f>
      </x:c>
      <x:c r="T82" s="280" t="str">
        <x:f>IF($A82="","",IF($S82="可送主管核定","可進入主管核定",$S82))</x:f>
      </x:c>
      <x:c r="U82" s="280" t="str">
        <x:f>IF($A82="","",IF($R82&lt;&gt;"已發布","先發布檢核表版本",IF($S82="可送主管核定","送主管核定中心",IF($S82="異議處理中","先完成異議複核","補齊或更正考核資料"))))</x:f>
      </x:c>
    </x:row>
    <x:row r="83">
      <x:c r="A83" s="106"/>
      <x:c r="B83" s="284"/>
      <x:c r="C83" s="106"/>
      <x:c r="D83" s="107" t="str">
        <x:f>IF($C83="","",_xlfn.XLOOKUP($C83,'試行員工主檔'!$A$7:$A$20,'試行員工主檔'!$B$7:$B$20,"員工未建立",0))</x:f>
      </x:c>
      <x:c r="E83" s="106"/>
      <x:c r="F83" s="106"/>
      <x:c r="G83" s="106"/>
      <x:c r="H83" s="106"/>
      <x:c r="I83" s="106"/>
      <x:c r="J83" s="106"/>
      <x:c r="K83" s="106"/>
      <x:c r="L83" s="107" t="str">
        <x:f>IF($A83="","",IF(OR($B83="",$C83="",$E83="",$F83="",$G83="",$H83=""),"資料未完整",IF(OR($I83&gt;0,$J83&gt;0),"未通過","通過")))</x:f>
      </x:c>
      <x:c r="M83" s="107" t="str">
        <x:f>IF($L83="通過","Ø",IF($L83="未通過","△",""))</x:f>
      </x:c>
      <x:c r="N83" s="106"/>
      <x:c r="O83" s="106"/>
      <x:c r="P83" s="284"/>
      <x:c r="Q83" s="106"/>
      <x:c r="R83" s="280" t="str">
        <x:f>IF($A83="","",_xlfn.XLOOKUP($F83&amp;"|"&amp;$G83,'檢核表版本'!$R$7:$R$13,'檢核表版本'!$Q$7:$Q$13,"未發布版本",0))</x:f>
      </x:c>
      <x:c r="S83" s="280" t="str">
        <x:f>IF($A83="","",IF(OR(LEN($B83)=0,LEN($C83)=0,LEN($E83)=0,LEN($F83)=0,LEN($G83)=0,LEN($H83)=0,LEN($I83)=0,LEN($J83)=0,LEN($L83)=0,LEN($M83)=0,LEN($O83)=0),"待補欄位",IF($R83&lt;&gt;"已發布","檢核表版本未發布",IF(AND($L83="通過",OR($I83&gt;0,$J83&gt;0)),"結果與必要項目矛盾",IF(AND($L83="通過",$M83&lt;&gt;"Ø"),"通過後建議評等應為 Ø",IF($O83&lt;&gt;"已知悉","待助理知悉",IF($P83="","待補知悉日",IF(OR($Q83="有異議",$Q83="複核中"),"異議處理中","可送主管核定"))))))))</x:f>
      </x:c>
      <x:c r="T83" s="280" t="str">
        <x:f>IF($A83="","",IF($S83="可送主管核定","可進入主管核定",$S83))</x:f>
      </x:c>
      <x:c r="U83" s="280" t="str">
        <x:f>IF($A83="","",IF($R83&lt;&gt;"已發布","先發布檢核表版本",IF($S83="可送主管核定","送主管核定中心",IF($S83="異議處理中","先完成異議複核","補齊或更正考核資料"))))</x:f>
      </x:c>
    </x:row>
    <x:row r="84">
      <x:c r="A84" s="106"/>
      <x:c r="B84" s="284"/>
      <x:c r="C84" s="106"/>
      <x:c r="D84" s="107" t="str">
        <x:f>IF($C84="","",_xlfn.XLOOKUP($C84,'試行員工主檔'!$A$7:$A$20,'試行員工主檔'!$B$7:$B$20,"員工未建立",0))</x:f>
      </x:c>
      <x:c r="E84" s="106"/>
      <x:c r="F84" s="106"/>
      <x:c r="G84" s="106"/>
      <x:c r="H84" s="106"/>
      <x:c r="I84" s="106"/>
      <x:c r="J84" s="106"/>
      <x:c r="K84" s="106"/>
      <x:c r="L84" s="107" t="str">
        <x:f>IF($A84="","",IF(OR($B84="",$C84="",$E84="",$F84="",$G84="",$H84=""),"資料未完整",IF(OR($I84&gt;0,$J84&gt;0),"未通過","通過")))</x:f>
      </x:c>
      <x:c r="M84" s="107" t="str">
        <x:f>IF($L84="通過","Ø",IF($L84="未通過","△",""))</x:f>
      </x:c>
      <x:c r="N84" s="106"/>
      <x:c r="O84" s="106"/>
      <x:c r="P84" s="284"/>
      <x:c r="Q84" s="106"/>
      <x:c r="R84" s="280" t="str">
        <x:f>IF($A84="","",_xlfn.XLOOKUP($F84&amp;"|"&amp;$G84,'檢核表版本'!$R$7:$R$13,'檢核表版本'!$Q$7:$Q$13,"未發布版本",0))</x:f>
      </x:c>
      <x:c r="S84" s="280" t="str">
        <x:f>IF($A84="","",IF(OR(LEN($B84)=0,LEN($C84)=0,LEN($E84)=0,LEN($F84)=0,LEN($G84)=0,LEN($H84)=0,LEN($I84)=0,LEN($J84)=0,LEN($L84)=0,LEN($M84)=0,LEN($O84)=0),"待補欄位",IF($R84&lt;&gt;"已發布","檢核表版本未發布",IF(AND($L84="通過",OR($I84&gt;0,$J84&gt;0)),"結果與必要項目矛盾",IF(AND($L84="通過",$M84&lt;&gt;"Ø"),"通過後建議評等應為 Ø",IF($O84&lt;&gt;"已知悉","待助理知悉",IF($P84="","待補知悉日",IF(OR($Q84="有異議",$Q84="複核中"),"異議處理中","可送主管核定"))))))))</x:f>
      </x:c>
      <x:c r="T84" s="280" t="str">
        <x:f>IF($A84="","",IF($S84="可送主管核定","可進入主管核定",$S84))</x:f>
      </x:c>
      <x:c r="U84" s="280" t="str">
        <x:f>IF($A84="","",IF($R84&lt;&gt;"已發布","先發布檢核表版本",IF($S84="可送主管核定","送主管核定中心",IF($S84="異議處理中","先完成異議複核","補齊或更正考核資料"))))</x:f>
      </x:c>
    </x:row>
    <x:row r="85">
      <x:c r="A85" s="106"/>
      <x:c r="B85" s="284"/>
      <x:c r="C85" s="106"/>
      <x:c r="D85" s="107" t="str">
        <x:f>IF($C85="","",_xlfn.XLOOKUP($C85,'試行員工主檔'!$A$7:$A$20,'試行員工主檔'!$B$7:$B$20,"員工未建立",0))</x:f>
      </x:c>
      <x:c r="E85" s="106"/>
      <x:c r="F85" s="106"/>
      <x:c r="G85" s="106"/>
      <x:c r="H85" s="106"/>
      <x:c r="I85" s="106"/>
      <x:c r="J85" s="106"/>
      <x:c r="K85" s="106"/>
      <x:c r="L85" s="107" t="str">
        <x:f>IF($A85="","",IF(OR($B85="",$C85="",$E85="",$F85="",$G85="",$H85=""),"資料未完整",IF(OR($I85&gt;0,$J85&gt;0),"未通過","通過")))</x:f>
      </x:c>
      <x:c r="M85" s="107" t="str">
        <x:f>IF($L85="通過","Ø",IF($L85="未通過","△",""))</x:f>
      </x:c>
      <x:c r="N85" s="106"/>
      <x:c r="O85" s="106"/>
      <x:c r="P85" s="284"/>
      <x:c r="Q85" s="106"/>
      <x:c r="R85" s="280" t="str">
        <x:f>IF($A85="","",_xlfn.XLOOKUP($F85&amp;"|"&amp;$G85,'檢核表版本'!$R$7:$R$13,'檢核表版本'!$Q$7:$Q$13,"未發布版本",0))</x:f>
      </x:c>
      <x:c r="S85" s="280" t="str">
        <x:f>IF($A85="","",IF(OR(LEN($B85)=0,LEN($C85)=0,LEN($E85)=0,LEN($F85)=0,LEN($G85)=0,LEN($H85)=0,LEN($I85)=0,LEN($J85)=0,LEN($L85)=0,LEN($M85)=0,LEN($O85)=0),"待補欄位",IF($R85&lt;&gt;"已發布","檢核表版本未發布",IF(AND($L85="通過",OR($I85&gt;0,$J85&gt;0)),"結果與必要項目矛盾",IF(AND($L85="通過",$M85&lt;&gt;"Ø"),"通過後建議評等應為 Ø",IF($O85&lt;&gt;"已知悉","待助理知悉",IF($P85="","待補知悉日",IF(OR($Q85="有異議",$Q85="複核中"),"異議處理中","可送主管核定"))))))))</x:f>
      </x:c>
      <x:c r="T85" s="280" t="str">
        <x:f>IF($A85="","",IF($S85="可送主管核定","可進入主管核定",$S85))</x:f>
      </x:c>
      <x:c r="U85" s="280" t="str">
        <x:f>IF($A85="","",IF($R85&lt;&gt;"已發布","先發布檢核表版本",IF($S85="可送主管核定","送主管核定中心",IF($S85="異議處理中","先完成異議複核","補齊或更正考核資料"))))</x:f>
      </x:c>
    </x:row>
    <x:row r="86">
      <x:c r="A86" s="106"/>
      <x:c r="B86" s="284"/>
      <x:c r="C86" s="106"/>
      <x:c r="D86" s="107" t="str">
        <x:f>IF($C86="","",_xlfn.XLOOKUP($C86,'試行員工主檔'!$A$7:$A$20,'試行員工主檔'!$B$7:$B$20,"員工未建立",0))</x:f>
      </x:c>
      <x:c r="E86" s="106"/>
      <x:c r="F86" s="106"/>
      <x:c r="G86" s="106"/>
      <x:c r="H86" s="106"/>
      <x:c r="I86" s="106"/>
      <x:c r="J86" s="106"/>
      <x:c r="K86" s="106"/>
      <x:c r="L86" s="107" t="str">
        <x:f>IF($A86="","",IF(OR($B86="",$C86="",$E86="",$F86="",$G86="",$H86=""),"資料未完整",IF(OR($I86&gt;0,$J86&gt;0),"未通過","通過")))</x:f>
      </x:c>
      <x:c r="M86" s="107" t="str">
        <x:f>IF($L86="通過","Ø",IF($L86="未通過","△",""))</x:f>
      </x:c>
      <x:c r="N86" s="106"/>
      <x:c r="O86" s="106"/>
      <x:c r="P86" s="284"/>
      <x:c r="Q86" s="106"/>
      <x:c r="R86" s="280" t="str">
        <x:f>IF($A86="","",_xlfn.XLOOKUP($F86&amp;"|"&amp;$G86,'檢核表版本'!$R$7:$R$13,'檢核表版本'!$Q$7:$Q$13,"未發布版本",0))</x:f>
      </x:c>
      <x:c r="S86" s="280" t="str">
        <x:f>IF($A86="","",IF(OR(LEN($B86)=0,LEN($C86)=0,LEN($E86)=0,LEN($F86)=0,LEN($G86)=0,LEN($H86)=0,LEN($I86)=0,LEN($J86)=0,LEN($L86)=0,LEN($M86)=0,LEN($O86)=0),"待補欄位",IF($R86&lt;&gt;"已發布","檢核表版本未發布",IF(AND($L86="通過",OR($I86&gt;0,$J86&gt;0)),"結果與必要項目矛盾",IF(AND($L86="通過",$M86&lt;&gt;"Ø"),"通過後建議評等應為 Ø",IF($O86&lt;&gt;"已知悉","待助理知悉",IF($P86="","待補知悉日",IF(OR($Q86="有異議",$Q86="複核中"),"異議處理中","可送主管核定"))))))))</x:f>
      </x:c>
      <x:c r="T86" s="280" t="str">
        <x:f>IF($A86="","",IF($S86="可送主管核定","可進入主管核定",$S86))</x:f>
      </x:c>
      <x:c r="U86" s="280" t="str">
        <x:f>IF($A86="","",IF($R86&lt;&gt;"已發布","先發布檢核表版本",IF($S86="可送主管核定","送主管核定中心",IF($S86="異議處理中","先完成異議複核","補齊或更正考核資料"))))</x:f>
      </x:c>
    </x:row>
    <x:row r="87">
      <x:c r="A87" s="106"/>
      <x:c r="B87" s="284"/>
      <x:c r="C87" s="106"/>
      <x:c r="D87" s="107" t="str">
        <x:f>IF($C87="","",_xlfn.XLOOKUP($C87,'試行員工主檔'!$A$7:$A$20,'試行員工主檔'!$B$7:$B$20,"員工未建立",0))</x:f>
      </x:c>
      <x:c r="E87" s="106"/>
      <x:c r="F87" s="106"/>
      <x:c r="G87" s="106"/>
      <x:c r="H87" s="106"/>
      <x:c r="I87" s="106"/>
      <x:c r="J87" s="106"/>
      <x:c r="K87" s="106"/>
      <x:c r="L87" s="107" t="str">
        <x:f>IF($A87="","",IF(OR($B87="",$C87="",$E87="",$F87="",$G87="",$H87=""),"資料未完整",IF(OR($I87&gt;0,$J87&gt;0),"未通過","通過")))</x:f>
      </x:c>
      <x:c r="M87" s="107" t="str">
        <x:f>IF($L87="通過","Ø",IF($L87="未通過","△",""))</x:f>
      </x:c>
      <x:c r="N87" s="106"/>
      <x:c r="O87" s="106"/>
      <x:c r="P87" s="284"/>
      <x:c r="Q87" s="106"/>
      <x:c r="R87" s="280" t="str">
        <x:f>IF($A87="","",_xlfn.XLOOKUP($F87&amp;"|"&amp;$G87,'檢核表版本'!$R$7:$R$13,'檢核表版本'!$Q$7:$Q$13,"未發布版本",0))</x:f>
      </x:c>
      <x:c r="S87" s="280" t="str">
        <x:f>IF($A87="","",IF(OR(LEN($B87)=0,LEN($C87)=0,LEN($E87)=0,LEN($F87)=0,LEN($G87)=0,LEN($H87)=0,LEN($I87)=0,LEN($J87)=0,LEN($L87)=0,LEN($M87)=0,LEN($O87)=0),"待補欄位",IF($R87&lt;&gt;"已發布","檢核表版本未發布",IF(AND($L87="通過",OR($I87&gt;0,$J87&gt;0)),"結果與必要項目矛盾",IF(AND($L87="通過",$M87&lt;&gt;"Ø"),"通過後建議評等應為 Ø",IF($O87&lt;&gt;"已知悉","待助理知悉",IF($P87="","待補知悉日",IF(OR($Q87="有異議",$Q87="複核中"),"異議處理中","可送主管核定"))))))))</x:f>
      </x:c>
      <x:c r="T87" s="280" t="str">
        <x:f>IF($A87="","",IF($S87="可送主管核定","可進入主管核定",$S87))</x:f>
      </x:c>
      <x:c r="U87" s="280" t="str">
        <x:f>IF($A87="","",IF($R87&lt;&gt;"已發布","先發布檢核表版本",IF($S87="可送主管核定","送主管核定中心",IF($S87="異議處理中","先完成異議複核","補齊或更正考核資料"))))</x:f>
      </x:c>
    </x:row>
    <x:row r="88">
      <x:c r="A88" s="106"/>
      <x:c r="B88" s="284"/>
      <x:c r="C88" s="106"/>
      <x:c r="D88" s="107" t="str">
        <x:f>IF($C88="","",_xlfn.XLOOKUP($C88,'試行員工主檔'!$A$7:$A$20,'試行員工主檔'!$B$7:$B$20,"員工未建立",0))</x:f>
      </x:c>
      <x:c r="E88" s="106"/>
      <x:c r="F88" s="106"/>
      <x:c r="G88" s="106"/>
      <x:c r="H88" s="106"/>
      <x:c r="I88" s="106"/>
      <x:c r="J88" s="106"/>
      <x:c r="K88" s="106"/>
      <x:c r="L88" s="107" t="str">
        <x:f>IF($A88="","",IF(OR($B88="",$C88="",$E88="",$F88="",$G88="",$H88=""),"資料未完整",IF(OR($I88&gt;0,$J88&gt;0),"未通過","通過")))</x:f>
      </x:c>
      <x:c r="M88" s="107" t="str">
        <x:f>IF($L88="通過","Ø",IF($L88="未通過","△",""))</x:f>
      </x:c>
      <x:c r="N88" s="106"/>
      <x:c r="O88" s="106"/>
      <x:c r="P88" s="284"/>
      <x:c r="Q88" s="106"/>
      <x:c r="R88" s="280" t="str">
        <x:f>IF($A88="","",_xlfn.XLOOKUP($F88&amp;"|"&amp;$G88,'檢核表版本'!$R$7:$R$13,'檢核表版本'!$Q$7:$Q$13,"未發布版本",0))</x:f>
      </x:c>
      <x:c r="S88" s="280" t="str">
        <x:f>IF($A88="","",IF(OR(LEN($B88)=0,LEN($C88)=0,LEN($E88)=0,LEN($F88)=0,LEN($G88)=0,LEN($H88)=0,LEN($I88)=0,LEN($J88)=0,LEN($L88)=0,LEN($M88)=0,LEN($O88)=0),"待補欄位",IF($R88&lt;&gt;"已發布","檢核表版本未發布",IF(AND($L88="通過",OR($I88&gt;0,$J88&gt;0)),"結果與必要項目矛盾",IF(AND($L88="通過",$M88&lt;&gt;"Ø"),"通過後建議評等應為 Ø",IF($O88&lt;&gt;"已知悉","待助理知悉",IF($P88="","待補知悉日",IF(OR($Q88="有異議",$Q88="複核中"),"異議處理中","可送主管核定"))))))))</x:f>
      </x:c>
      <x:c r="T88" s="280" t="str">
        <x:f>IF($A88="","",IF($S88="可送主管核定","可進入主管核定",$S88))</x:f>
      </x:c>
      <x:c r="U88" s="280" t="str">
        <x:f>IF($A88="","",IF($R88&lt;&gt;"已發布","先發布檢核表版本",IF($S88="可送主管核定","送主管核定中心",IF($S88="異議處理中","先完成異議複核","補齊或更正考核資料"))))</x:f>
      </x:c>
    </x:row>
    <x:row r="89">
      <x:c r="A89" s="106"/>
      <x:c r="B89" s="284"/>
      <x:c r="C89" s="106"/>
      <x:c r="D89" s="107" t="str">
        <x:f>IF($C89="","",_xlfn.XLOOKUP($C89,'試行員工主檔'!$A$7:$A$20,'試行員工主檔'!$B$7:$B$20,"員工未建立",0))</x:f>
      </x:c>
      <x:c r="E89" s="106"/>
      <x:c r="F89" s="106"/>
      <x:c r="G89" s="106"/>
      <x:c r="H89" s="106"/>
      <x:c r="I89" s="106"/>
      <x:c r="J89" s="106"/>
      <x:c r="K89" s="106"/>
      <x:c r="L89" s="107" t="str">
        <x:f>IF($A89="","",IF(OR($B89="",$C89="",$E89="",$F89="",$G89="",$H89=""),"資料未完整",IF(OR($I89&gt;0,$J89&gt;0),"未通過","通過")))</x:f>
      </x:c>
      <x:c r="M89" s="107" t="str">
        <x:f>IF($L89="通過","Ø",IF($L89="未通過","△",""))</x:f>
      </x:c>
      <x:c r="N89" s="106"/>
      <x:c r="O89" s="106"/>
      <x:c r="P89" s="284"/>
      <x:c r="Q89" s="106"/>
      <x:c r="R89" s="280" t="str">
        <x:f>IF($A89="","",_xlfn.XLOOKUP($F89&amp;"|"&amp;$G89,'檢核表版本'!$R$7:$R$13,'檢核表版本'!$Q$7:$Q$13,"未發布版本",0))</x:f>
      </x:c>
      <x:c r="S89" s="280" t="str">
        <x:f>IF($A89="","",IF(OR(LEN($B89)=0,LEN($C89)=0,LEN($E89)=0,LEN($F89)=0,LEN($G89)=0,LEN($H89)=0,LEN($I89)=0,LEN($J89)=0,LEN($L89)=0,LEN($M89)=0,LEN($O89)=0),"待補欄位",IF($R89&lt;&gt;"已發布","檢核表版本未發布",IF(AND($L89="通過",OR($I89&gt;0,$J89&gt;0)),"結果與必要項目矛盾",IF(AND($L89="通過",$M89&lt;&gt;"Ø"),"通過後建議評等應為 Ø",IF($O89&lt;&gt;"已知悉","待助理知悉",IF($P89="","待補知悉日",IF(OR($Q89="有異議",$Q89="複核中"),"異議處理中","可送主管核定"))))))))</x:f>
      </x:c>
      <x:c r="T89" s="280" t="str">
        <x:f>IF($A89="","",IF($S89="可送主管核定","可進入主管核定",$S89))</x:f>
      </x:c>
      <x:c r="U89" s="280" t="str">
        <x:f>IF($A89="","",IF($R89&lt;&gt;"已發布","先發布檢核表版本",IF($S89="可送主管核定","送主管核定中心",IF($S89="異議處理中","先完成異議複核","補齊或更正考核資料"))))</x:f>
      </x:c>
    </x:row>
    <x:row r="90">
      <x:c r="A90" s="106"/>
      <x:c r="B90" s="284"/>
      <x:c r="C90" s="106"/>
      <x:c r="D90" s="107" t="str">
        <x:f>IF($C90="","",_xlfn.XLOOKUP($C90,'試行員工主檔'!$A$7:$A$20,'試行員工主檔'!$B$7:$B$20,"員工未建立",0))</x:f>
      </x:c>
      <x:c r="E90" s="106"/>
      <x:c r="F90" s="106"/>
      <x:c r="G90" s="106"/>
      <x:c r="H90" s="106"/>
      <x:c r="I90" s="106"/>
      <x:c r="J90" s="106"/>
      <x:c r="K90" s="106"/>
      <x:c r="L90" s="107" t="str">
        <x:f>IF($A90="","",IF(OR($B90="",$C90="",$E90="",$F90="",$G90="",$H90=""),"資料未完整",IF(OR($I90&gt;0,$J90&gt;0),"未通過","通過")))</x:f>
      </x:c>
      <x:c r="M90" s="107" t="str">
        <x:f>IF($L90="通過","Ø",IF($L90="未通過","△",""))</x:f>
      </x:c>
      <x:c r="N90" s="106"/>
      <x:c r="O90" s="106"/>
      <x:c r="P90" s="284"/>
      <x:c r="Q90" s="106"/>
      <x:c r="R90" s="280" t="str">
        <x:f>IF($A90="","",_xlfn.XLOOKUP($F90&amp;"|"&amp;$G90,'檢核表版本'!$R$7:$R$13,'檢核表版本'!$Q$7:$Q$13,"未發布版本",0))</x:f>
      </x:c>
      <x:c r="S90" s="280" t="str">
        <x:f>IF($A90="","",IF(OR(LEN($B90)=0,LEN($C90)=0,LEN($E90)=0,LEN($F90)=0,LEN($G90)=0,LEN($H90)=0,LEN($I90)=0,LEN($J90)=0,LEN($L90)=0,LEN($M90)=0,LEN($O90)=0),"待補欄位",IF($R90&lt;&gt;"已發布","檢核表版本未發布",IF(AND($L90="通過",OR($I90&gt;0,$J90&gt;0)),"結果與必要項目矛盾",IF(AND($L90="通過",$M90&lt;&gt;"Ø"),"通過後建議評等應為 Ø",IF($O90&lt;&gt;"已知悉","待助理知悉",IF($P90="","待補知悉日",IF(OR($Q90="有異議",$Q90="複核中"),"異議處理中","可送主管核定"))))))))</x:f>
      </x:c>
      <x:c r="T90" s="280" t="str">
        <x:f>IF($A90="","",IF($S90="可送主管核定","可進入主管核定",$S90))</x:f>
      </x:c>
      <x:c r="U90" s="280" t="str">
        <x:f>IF($A90="","",IF($R90&lt;&gt;"已發布","先發布檢核表版本",IF($S90="可送主管核定","送主管核定中心",IF($S90="異議處理中","先完成異議複核","補齊或更正考核資料"))))</x:f>
      </x:c>
    </x:row>
    <x:row r="91">
      <x:c r="A91" s="106"/>
      <x:c r="B91" s="284"/>
      <x:c r="C91" s="106"/>
      <x:c r="D91" s="107" t="str">
        <x:f>IF($C91="","",_xlfn.XLOOKUP($C91,'試行員工主檔'!$A$7:$A$20,'試行員工主檔'!$B$7:$B$20,"員工未建立",0))</x:f>
      </x:c>
      <x:c r="E91" s="106"/>
      <x:c r="F91" s="106"/>
      <x:c r="G91" s="106"/>
      <x:c r="H91" s="106"/>
      <x:c r="I91" s="106"/>
      <x:c r="J91" s="106"/>
      <x:c r="K91" s="106"/>
      <x:c r="L91" s="107" t="str">
        <x:f>IF($A91="","",IF(OR($B91="",$C91="",$E91="",$F91="",$G91="",$H91=""),"資料未完整",IF(OR($I91&gt;0,$J91&gt;0),"未通過","通過")))</x:f>
      </x:c>
      <x:c r="M91" s="107" t="str">
        <x:f>IF($L91="通過","Ø",IF($L91="未通過","△",""))</x:f>
      </x:c>
      <x:c r="N91" s="106"/>
      <x:c r="O91" s="106"/>
      <x:c r="P91" s="284"/>
      <x:c r="Q91" s="106"/>
      <x:c r="R91" s="280" t="str">
        <x:f>IF($A91="","",_xlfn.XLOOKUP($F91&amp;"|"&amp;$G91,'檢核表版本'!$R$7:$R$13,'檢核表版本'!$Q$7:$Q$13,"未發布版本",0))</x:f>
      </x:c>
      <x:c r="S91" s="280" t="str">
        <x:f>IF($A91="","",IF(OR(LEN($B91)=0,LEN($C91)=0,LEN($E91)=0,LEN($F91)=0,LEN($G91)=0,LEN($H91)=0,LEN($I91)=0,LEN($J91)=0,LEN($L91)=0,LEN($M91)=0,LEN($O91)=0),"待補欄位",IF($R91&lt;&gt;"已發布","檢核表版本未發布",IF(AND($L91="通過",OR($I91&gt;0,$J91&gt;0)),"結果與必要項目矛盾",IF(AND($L91="通過",$M91&lt;&gt;"Ø"),"通過後建議評等應為 Ø",IF($O91&lt;&gt;"已知悉","待助理知悉",IF($P91="","待補知悉日",IF(OR($Q91="有異議",$Q91="複核中"),"異議處理中","可送主管核定"))))))))</x:f>
      </x:c>
      <x:c r="T91" s="280" t="str">
        <x:f>IF($A91="","",IF($S91="可送主管核定","可進入主管核定",$S91))</x:f>
      </x:c>
      <x:c r="U91" s="280" t="str">
        <x:f>IF($A91="","",IF($R91&lt;&gt;"已發布","先發布檢核表版本",IF($S91="可送主管核定","送主管核定中心",IF($S91="異議處理中","先完成異議複核","補齊或更正考核資料"))))</x:f>
      </x:c>
    </x:row>
    <x:row r="92">
      <x:c r="A92" s="106"/>
      <x:c r="B92" s="284"/>
      <x:c r="C92" s="106"/>
      <x:c r="D92" s="107" t="str">
        <x:f>IF($C92="","",_xlfn.XLOOKUP($C92,'試行員工主檔'!$A$7:$A$20,'試行員工主檔'!$B$7:$B$20,"員工未建立",0))</x:f>
      </x:c>
      <x:c r="E92" s="106"/>
      <x:c r="F92" s="106"/>
      <x:c r="G92" s="106"/>
      <x:c r="H92" s="106"/>
      <x:c r="I92" s="106"/>
      <x:c r="J92" s="106"/>
      <x:c r="K92" s="106"/>
      <x:c r="L92" s="107" t="str">
        <x:f>IF($A92="","",IF(OR($B92="",$C92="",$E92="",$F92="",$G92="",$H92=""),"資料未完整",IF(OR($I92&gt;0,$J92&gt;0),"未通過","通過")))</x:f>
      </x:c>
      <x:c r="M92" s="107" t="str">
        <x:f>IF($L92="通過","Ø",IF($L92="未通過","△",""))</x:f>
      </x:c>
      <x:c r="N92" s="106"/>
      <x:c r="O92" s="106"/>
      <x:c r="P92" s="284"/>
      <x:c r="Q92" s="106"/>
      <x:c r="R92" s="280" t="str">
        <x:f>IF($A92="","",_xlfn.XLOOKUP($F92&amp;"|"&amp;$G92,'檢核表版本'!$R$7:$R$13,'檢核表版本'!$Q$7:$Q$13,"未發布版本",0))</x:f>
      </x:c>
      <x:c r="S92" s="280" t="str">
        <x:f>IF($A92="","",IF(OR(LEN($B92)=0,LEN($C92)=0,LEN($E92)=0,LEN($F92)=0,LEN($G92)=0,LEN($H92)=0,LEN($I92)=0,LEN($J92)=0,LEN($L92)=0,LEN($M92)=0,LEN($O92)=0),"待補欄位",IF($R92&lt;&gt;"已發布","檢核表版本未發布",IF(AND($L92="通過",OR($I92&gt;0,$J92&gt;0)),"結果與必要項目矛盾",IF(AND($L92="通過",$M92&lt;&gt;"Ø"),"通過後建議評等應為 Ø",IF($O92&lt;&gt;"已知悉","待助理知悉",IF($P92="","待補知悉日",IF(OR($Q92="有異議",$Q92="複核中"),"異議處理中","可送主管核定"))))))))</x:f>
      </x:c>
      <x:c r="T92" s="280" t="str">
        <x:f>IF($A92="","",IF($S92="可送主管核定","可進入主管核定",$S92))</x:f>
      </x:c>
      <x:c r="U92" s="280" t="str">
        <x:f>IF($A92="","",IF($R92&lt;&gt;"已發布","先發布檢核表版本",IF($S92="可送主管核定","送主管核定中心",IF($S92="異議處理中","先完成異議複核","補齊或更正考核資料"))))</x:f>
      </x:c>
    </x:row>
    <x:row r="93">
      <x:c r="A93" s="106"/>
      <x:c r="B93" s="284"/>
      <x:c r="C93" s="106"/>
      <x:c r="D93" s="107" t="str">
        <x:f>IF($C93="","",_xlfn.XLOOKUP($C93,'試行員工主檔'!$A$7:$A$20,'試行員工主檔'!$B$7:$B$20,"員工未建立",0))</x:f>
      </x:c>
      <x:c r="E93" s="106"/>
      <x:c r="F93" s="106"/>
      <x:c r="G93" s="106"/>
      <x:c r="H93" s="106"/>
      <x:c r="I93" s="106"/>
      <x:c r="J93" s="106"/>
      <x:c r="K93" s="106"/>
      <x:c r="L93" s="107" t="str">
        <x:f>IF($A93="","",IF(OR($B93="",$C93="",$E93="",$F93="",$G93="",$H93=""),"資料未完整",IF(OR($I93&gt;0,$J93&gt;0),"未通過","通過")))</x:f>
      </x:c>
      <x:c r="M93" s="107" t="str">
        <x:f>IF($L93="通過","Ø",IF($L93="未通過","△",""))</x:f>
      </x:c>
      <x:c r="N93" s="106"/>
      <x:c r="O93" s="106"/>
      <x:c r="P93" s="284"/>
      <x:c r="Q93" s="106"/>
      <x:c r="R93" s="280" t="str">
        <x:f>IF($A93="","",_xlfn.XLOOKUP($F93&amp;"|"&amp;$G93,'檢核表版本'!$R$7:$R$13,'檢核表版本'!$Q$7:$Q$13,"未發布版本",0))</x:f>
      </x:c>
      <x:c r="S93" s="280" t="str">
        <x:f>IF($A93="","",IF(OR(LEN($B93)=0,LEN($C93)=0,LEN($E93)=0,LEN($F93)=0,LEN($G93)=0,LEN($H93)=0,LEN($I93)=0,LEN($J93)=0,LEN($L93)=0,LEN($M93)=0,LEN($O93)=0),"待補欄位",IF($R93&lt;&gt;"已發布","檢核表版本未發布",IF(AND($L93="通過",OR($I93&gt;0,$J93&gt;0)),"結果與必要項目矛盾",IF(AND($L93="通過",$M93&lt;&gt;"Ø"),"通過後建議評等應為 Ø",IF($O93&lt;&gt;"已知悉","待助理知悉",IF($P93="","待補知悉日",IF(OR($Q93="有異議",$Q93="複核中"),"異議處理中","可送主管核定"))))))))</x:f>
      </x:c>
      <x:c r="T93" s="280" t="str">
        <x:f>IF($A93="","",IF($S93="可送主管核定","可進入主管核定",$S93))</x:f>
      </x:c>
      <x:c r="U93" s="280" t="str">
        <x:f>IF($A93="","",IF($R93&lt;&gt;"已發布","先發布檢核表版本",IF($S93="可送主管核定","送主管核定中心",IF($S93="異議處理中","先完成異議複核","補齊或更正考核資料"))))</x:f>
      </x:c>
    </x:row>
    <x:row r="94">
      <x:c r="A94" s="106"/>
      <x:c r="B94" s="284"/>
      <x:c r="C94" s="106"/>
      <x:c r="D94" s="107" t="str">
        <x:f>IF($C94="","",_xlfn.XLOOKUP($C94,'試行員工主檔'!$A$7:$A$20,'試行員工主檔'!$B$7:$B$20,"員工未建立",0))</x:f>
      </x:c>
      <x:c r="E94" s="106"/>
      <x:c r="F94" s="106"/>
      <x:c r="G94" s="106"/>
      <x:c r="H94" s="106"/>
      <x:c r="I94" s="106"/>
      <x:c r="J94" s="106"/>
      <x:c r="K94" s="106"/>
      <x:c r="L94" s="107" t="str">
        <x:f>IF($A94="","",IF(OR($B94="",$C94="",$E94="",$F94="",$G94="",$H94=""),"資料未完整",IF(OR($I94&gt;0,$J94&gt;0),"未通過","通過")))</x:f>
      </x:c>
      <x:c r="M94" s="107" t="str">
        <x:f>IF($L94="通過","Ø",IF($L94="未通過","△",""))</x:f>
      </x:c>
      <x:c r="N94" s="106"/>
      <x:c r="O94" s="106"/>
      <x:c r="P94" s="284"/>
      <x:c r="Q94" s="106"/>
      <x:c r="R94" s="280" t="str">
        <x:f>IF($A94="","",_xlfn.XLOOKUP($F94&amp;"|"&amp;$G94,'檢核表版本'!$R$7:$R$13,'檢核表版本'!$Q$7:$Q$13,"未發布版本",0))</x:f>
      </x:c>
      <x:c r="S94" s="280" t="str">
        <x:f>IF($A94="","",IF(OR(LEN($B94)=0,LEN($C94)=0,LEN($E94)=0,LEN($F94)=0,LEN($G94)=0,LEN($H94)=0,LEN($I94)=0,LEN($J94)=0,LEN($L94)=0,LEN($M94)=0,LEN($O94)=0),"待補欄位",IF($R94&lt;&gt;"已發布","檢核表版本未發布",IF(AND($L94="通過",OR($I94&gt;0,$J94&gt;0)),"結果與必要項目矛盾",IF(AND($L94="通過",$M94&lt;&gt;"Ø"),"通過後建議評等應為 Ø",IF($O94&lt;&gt;"已知悉","待助理知悉",IF($P94="","待補知悉日",IF(OR($Q94="有異議",$Q94="複核中"),"異議處理中","可送主管核定"))))))))</x:f>
      </x:c>
      <x:c r="T94" s="280" t="str">
        <x:f>IF($A94="","",IF($S94="可送主管核定","可進入主管核定",$S94))</x:f>
      </x:c>
      <x:c r="U94" s="280" t="str">
        <x:f>IF($A94="","",IF($R94&lt;&gt;"已發布","先發布檢核表版本",IF($S94="可送主管核定","送主管核定中心",IF($S94="異議處理中","先完成異議複核","補齊或更正考核資料"))))</x:f>
      </x:c>
    </x:row>
    <x:row r="95">
      <x:c r="A95" s="106"/>
      <x:c r="B95" s="284"/>
      <x:c r="C95" s="106"/>
      <x:c r="D95" s="107" t="str">
        <x:f>IF($C95="","",_xlfn.XLOOKUP($C95,'試行員工主檔'!$A$7:$A$20,'試行員工主檔'!$B$7:$B$20,"員工未建立",0))</x:f>
      </x:c>
      <x:c r="E95" s="106"/>
      <x:c r="F95" s="106"/>
      <x:c r="G95" s="106"/>
      <x:c r="H95" s="106"/>
      <x:c r="I95" s="106"/>
      <x:c r="J95" s="106"/>
      <x:c r="K95" s="106"/>
      <x:c r="L95" s="107" t="str">
        <x:f>IF($A95="","",IF(OR($B95="",$C95="",$E95="",$F95="",$G95="",$H95=""),"資料未完整",IF(OR($I95&gt;0,$J95&gt;0),"未通過","通過")))</x:f>
      </x:c>
      <x:c r="M95" s="107" t="str">
        <x:f>IF($L95="通過","Ø",IF($L95="未通過","△",""))</x:f>
      </x:c>
      <x:c r="N95" s="106"/>
      <x:c r="O95" s="106"/>
      <x:c r="P95" s="284"/>
      <x:c r="Q95" s="106"/>
      <x:c r="R95" s="280" t="str">
        <x:f>IF($A95="","",_xlfn.XLOOKUP($F95&amp;"|"&amp;$G95,'檢核表版本'!$R$7:$R$13,'檢核表版本'!$Q$7:$Q$13,"未發布版本",0))</x:f>
      </x:c>
      <x:c r="S95" s="280" t="str">
        <x:f>IF($A95="","",IF(OR(LEN($B95)=0,LEN($C95)=0,LEN($E95)=0,LEN($F95)=0,LEN($G95)=0,LEN($H95)=0,LEN($I95)=0,LEN($J95)=0,LEN($L95)=0,LEN($M95)=0,LEN($O95)=0),"待補欄位",IF($R95&lt;&gt;"已發布","檢核表版本未發布",IF(AND($L95="通過",OR($I95&gt;0,$J95&gt;0)),"結果與必要項目矛盾",IF(AND($L95="通過",$M95&lt;&gt;"Ø"),"通過後建議評等應為 Ø",IF($O95&lt;&gt;"已知悉","待助理知悉",IF($P95="","待補知悉日",IF(OR($Q95="有異議",$Q95="複核中"),"異議處理中","可送主管核定"))))))))</x:f>
      </x:c>
      <x:c r="T95" s="280" t="str">
        <x:f>IF($A95="","",IF($S95="可送主管核定","可進入主管核定",$S95))</x:f>
      </x:c>
      <x:c r="U95" s="280" t="str">
        <x:f>IF($A95="","",IF($R95&lt;&gt;"已發布","先發布檢核表版本",IF($S95="可送主管核定","送主管核定中心",IF($S95="異議處理中","先完成異議複核","補齊或更正考核資料"))))</x:f>
      </x:c>
    </x:row>
    <x:row r="96">
      <x:c r="A96" s="106"/>
      <x:c r="B96" s="284"/>
      <x:c r="C96" s="106"/>
      <x:c r="D96" s="107" t="str">
        <x:f>IF($C96="","",_xlfn.XLOOKUP($C96,'試行員工主檔'!$A$7:$A$20,'試行員工主檔'!$B$7:$B$20,"員工未建立",0))</x:f>
      </x:c>
      <x:c r="E96" s="106"/>
      <x:c r="F96" s="106"/>
      <x:c r="G96" s="106"/>
      <x:c r="H96" s="106"/>
      <x:c r="I96" s="106"/>
      <x:c r="J96" s="106"/>
      <x:c r="K96" s="106"/>
      <x:c r="L96" s="107" t="str">
        <x:f>IF($A96="","",IF(OR($B96="",$C96="",$E96="",$F96="",$G96="",$H96=""),"資料未完整",IF(OR($I96&gt;0,$J96&gt;0),"未通過","通過")))</x:f>
      </x:c>
      <x:c r="M96" s="107" t="str">
        <x:f>IF($L96="通過","Ø",IF($L96="未通過","△",""))</x:f>
      </x:c>
      <x:c r="N96" s="106"/>
      <x:c r="O96" s="106"/>
      <x:c r="P96" s="284"/>
      <x:c r="Q96" s="106"/>
      <x:c r="R96" s="280" t="str">
        <x:f>IF($A96="","",_xlfn.XLOOKUP($F96&amp;"|"&amp;$G96,'檢核表版本'!$R$7:$R$13,'檢核表版本'!$Q$7:$Q$13,"未發布版本",0))</x:f>
      </x:c>
      <x:c r="S96" s="280" t="str">
        <x:f>IF($A96="","",IF(OR(LEN($B96)=0,LEN($C96)=0,LEN($E96)=0,LEN($F96)=0,LEN($G96)=0,LEN($H96)=0,LEN($I96)=0,LEN($J96)=0,LEN($L96)=0,LEN($M96)=0,LEN($O96)=0),"待補欄位",IF($R96&lt;&gt;"已發布","檢核表版本未發布",IF(AND($L96="通過",OR($I96&gt;0,$J96&gt;0)),"結果與必要項目矛盾",IF(AND($L96="通過",$M96&lt;&gt;"Ø"),"通過後建議評等應為 Ø",IF($O96&lt;&gt;"已知悉","待助理知悉",IF($P96="","待補知悉日",IF(OR($Q96="有異議",$Q96="複核中"),"異議處理中","可送主管核定"))))))))</x:f>
      </x:c>
      <x:c r="T96" s="280" t="str">
        <x:f>IF($A96="","",IF($S96="可送主管核定","可進入主管核定",$S96))</x:f>
      </x:c>
      <x:c r="U96" s="280" t="str">
        <x:f>IF($A96="","",IF($R96&lt;&gt;"已發布","先發布檢核表版本",IF($S96="可送主管核定","送主管核定中心",IF($S96="異議處理中","先完成異議複核","補齊或更正考核資料"))))</x:f>
      </x:c>
    </x:row>
    <x:row r="97">
      <x:c r="A97" s="106"/>
      <x:c r="B97" s="284"/>
      <x:c r="C97" s="106"/>
      <x:c r="D97" s="107" t="str">
        <x:f>IF($C97="","",_xlfn.XLOOKUP($C97,'試行員工主檔'!$A$7:$A$20,'試行員工主檔'!$B$7:$B$20,"員工未建立",0))</x:f>
      </x:c>
      <x:c r="E97" s="106"/>
      <x:c r="F97" s="106"/>
      <x:c r="G97" s="106"/>
      <x:c r="H97" s="106"/>
      <x:c r="I97" s="106"/>
      <x:c r="J97" s="106"/>
      <x:c r="K97" s="106"/>
      <x:c r="L97" s="107" t="str">
        <x:f>IF($A97="","",IF(OR($B97="",$C97="",$E97="",$F97="",$G97="",$H97=""),"資料未完整",IF(OR($I97&gt;0,$J97&gt;0),"未通過","通過")))</x:f>
      </x:c>
      <x:c r="M97" s="107" t="str">
        <x:f>IF($L97="通過","Ø",IF($L97="未通過","△",""))</x:f>
      </x:c>
      <x:c r="N97" s="106"/>
      <x:c r="O97" s="106"/>
      <x:c r="P97" s="284"/>
      <x:c r="Q97" s="106"/>
      <x:c r="R97" s="280" t="str">
        <x:f>IF($A97="","",_xlfn.XLOOKUP($F97&amp;"|"&amp;$G97,'檢核表版本'!$R$7:$R$13,'檢核表版本'!$Q$7:$Q$13,"未發布版本",0))</x:f>
      </x:c>
      <x:c r="S97" s="280" t="str">
        <x:f>IF($A97="","",IF(OR(LEN($B97)=0,LEN($C97)=0,LEN($E97)=0,LEN($F97)=0,LEN($G97)=0,LEN($H97)=0,LEN($I97)=0,LEN($J97)=0,LEN($L97)=0,LEN($M97)=0,LEN($O97)=0),"待補欄位",IF($R97&lt;&gt;"已發布","檢核表版本未發布",IF(AND($L97="通過",OR($I97&gt;0,$J97&gt;0)),"結果與必要項目矛盾",IF(AND($L97="通過",$M97&lt;&gt;"Ø"),"通過後建議評等應為 Ø",IF($O97&lt;&gt;"已知悉","待助理知悉",IF($P97="","待補知悉日",IF(OR($Q97="有異議",$Q97="複核中"),"異議處理中","可送主管核定"))))))))</x:f>
      </x:c>
      <x:c r="T97" s="280" t="str">
        <x:f>IF($A97="","",IF($S97="可送主管核定","可進入主管核定",$S97))</x:f>
      </x:c>
      <x:c r="U97" s="280" t="str">
        <x:f>IF($A97="","",IF($R97&lt;&gt;"已發布","先發布檢核表版本",IF($S97="可送主管核定","送主管核定中心",IF($S97="異議處理中","先完成異議複核","補齊或更正考核資料"))))</x:f>
      </x:c>
    </x:row>
    <x:row r="98">
      <x:c r="A98" s="106"/>
      <x:c r="B98" s="284"/>
      <x:c r="C98" s="106"/>
      <x:c r="D98" s="107" t="str">
        <x:f>IF($C98="","",_xlfn.XLOOKUP($C98,'試行員工主檔'!$A$7:$A$20,'試行員工主檔'!$B$7:$B$20,"員工未建立",0))</x:f>
      </x:c>
      <x:c r="E98" s="106"/>
      <x:c r="F98" s="106"/>
      <x:c r="G98" s="106"/>
      <x:c r="H98" s="106"/>
      <x:c r="I98" s="106"/>
      <x:c r="J98" s="106"/>
      <x:c r="K98" s="106"/>
      <x:c r="L98" s="107" t="str">
        <x:f>IF($A98="","",IF(OR($B98="",$C98="",$E98="",$F98="",$G98="",$H98=""),"資料未完整",IF(OR($I98&gt;0,$J98&gt;0),"未通過","通過")))</x:f>
      </x:c>
      <x:c r="M98" s="107" t="str">
        <x:f>IF($L98="通過","Ø",IF($L98="未通過","△",""))</x:f>
      </x:c>
      <x:c r="N98" s="106"/>
      <x:c r="O98" s="106"/>
      <x:c r="P98" s="284"/>
      <x:c r="Q98" s="106"/>
      <x:c r="R98" s="280" t="str">
        <x:f>IF($A98="","",_xlfn.XLOOKUP($F98&amp;"|"&amp;$G98,'檢核表版本'!$R$7:$R$13,'檢核表版本'!$Q$7:$Q$13,"未發布版本",0))</x:f>
      </x:c>
      <x:c r="S98" s="280" t="str">
        <x:f>IF($A98="","",IF(OR(LEN($B98)=0,LEN($C98)=0,LEN($E98)=0,LEN($F98)=0,LEN($G98)=0,LEN($H98)=0,LEN($I98)=0,LEN($J98)=0,LEN($L98)=0,LEN($M98)=0,LEN($O98)=0),"待補欄位",IF($R98&lt;&gt;"已發布","檢核表版本未發布",IF(AND($L98="通過",OR($I98&gt;0,$J98&gt;0)),"結果與必要項目矛盾",IF(AND($L98="通過",$M98&lt;&gt;"Ø"),"通過後建議評等應為 Ø",IF($O98&lt;&gt;"已知悉","待助理知悉",IF($P98="","待補知悉日",IF(OR($Q98="有異議",$Q98="複核中"),"異議處理中","可送主管核定"))))))))</x:f>
      </x:c>
      <x:c r="T98" s="280" t="str">
        <x:f>IF($A98="","",IF($S98="可送主管核定","可進入主管核定",$S98))</x:f>
      </x:c>
      <x:c r="U98" s="280" t="str">
        <x:f>IF($A98="","",IF($R98&lt;&gt;"已發布","先發布檢核表版本",IF($S98="可送主管核定","送主管核定中心",IF($S98="異議處理中","先完成異議複核","補齊或更正考核資料"))))</x:f>
      </x:c>
    </x:row>
    <x:row r="99">
      <x:c r="A99" s="106"/>
      <x:c r="B99" s="284"/>
      <x:c r="C99" s="106"/>
      <x:c r="D99" s="107" t="str">
        <x:f>IF($C99="","",_xlfn.XLOOKUP($C99,'試行員工主檔'!$A$7:$A$20,'試行員工主檔'!$B$7:$B$20,"員工未建立",0))</x:f>
      </x:c>
      <x:c r="E99" s="106"/>
      <x:c r="F99" s="106"/>
      <x:c r="G99" s="106"/>
      <x:c r="H99" s="106"/>
      <x:c r="I99" s="106"/>
      <x:c r="J99" s="106"/>
      <x:c r="K99" s="106"/>
      <x:c r="L99" s="107" t="str">
        <x:f>IF($A99="","",IF(OR($B99="",$C99="",$E99="",$F99="",$G99="",$H99=""),"資料未完整",IF(OR($I99&gt;0,$J99&gt;0),"未通過","通過")))</x:f>
      </x:c>
      <x:c r="M99" s="107" t="str">
        <x:f>IF($L99="通過","Ø",IF($L99="未通過","△",""))</x:f>
      </x:c>
      <x:c r="N99" s="106"/>
      <x:c r="O99" s="106"/>
      <x:c r="P99" s="284"/>
      <x:c r="Q99" s="106"/>
      <x:c r="R99" s="280" t="str">
        <x:f>IF($A99="","",_xlfn.XLOOKUP($F99&amp;"|"&amp;$G99,'檢核表版本'!$R$7:$R$13,'檢核表版本'!$Q$7:$Q$13,"未發布版本",0))</x:f>
      </x:c>
      <x:c r="S99" s="280" t="str">
        <x:f>IF($A99="","",IF(OR(LEN($B99)=0,LEN($C99)=0,LEN($E99)=0,LEN($F99)=0,LEN($G99)=0,LEN($H99)=0,LEN($I99)=0,LEN($J99)=0,LEN($L99)=0,LEN($M99)=0,LEN($O99)=0),"待補欄位",IF($R99&lt;&gt;"已發布","檢核表版本未發布",IF(AND($L99="通過",OR($I99&gt;0,$J99&gt;0)),"結果與必要項目矛盾",IF(AND($L99="通過",$M99&lt;&gt;"Ø"),"通過後建議評等應為 Ø",IF($O99&lt;&gt;"已知悉","待助理知悉",IF($P99="","待補知悉日",IF(OR($Q99="有異議",$Q99="複核中"),"異議處理中","可送主管核定"))))))))</x:f>
      </x:c>
      <x:c r="T99" s="280" t="str">
        <x:f>IF($A99="","",IF($S99="可送主管核定","可進入主管核定",$S99))</x:f>
      </x:c>
      <x:c r="U99" s="280" t="str">
        <x:f>IF($A99="","",IF($R99&lt;&gt;"已發布","先發布檢核表版本",IF($S99="可送主管核定","送主管核定中心",IF($S99="異議處理中","先完成異議複核","補齊或更正考核資料"))))</x:f>
      </x:c>
    </x:row>
    <x:row r="100">
      <x:c r="A100" s="106"/>
      <x:c r="B100" s="284"/>
      <x:c r="C100" s="106"/>
      <x:c r="D100" s="107" t="str">
        <x:f>IF($C100="","",_xlfn.XLOOKUP($C100,'試行員工主檔'!$A$7:$A$20,'試行員工主檔'!$B$7:$B$20,"員工未建立",0))</x:f>
      </x:c>
      <x:c r="E100" s="106"/>
      <x:c r="F100" s="106"/>
      <x:c r="G100" s="106"/>
      <x:c r="H100" s="106"/>
      <x:c r="I100" s="106"/>
      <x:c r="J100" s="106"/>
      <x:c r="K100" s="106"/>
      <x:c r="L100" s="107" t="str">
        <x:f>IF($A100="","",IF(OR($B100="",$C100="",$E100="",$F100="",$G100="",$H100=""),"資料未完整",IF(OR($I100&gt;0,$J100&gt;0),"未通過","通過")))</x:f>
      </x:c>
      <x:c r="M100" s="107" t="str">
        <x:f>IF($L100="通過","Ø",IF($L100="未通過","△",""))</x:f>
      </x:c>
      <x:c r="N100" s="106"/>
      <x:c r="O100" s="106"/>
      <x:c r="P100" s="284"/>
      <x:c r="Q100" s="106"/>
      <x:c r="R100" s="280" t="str">
        <x:f>IF($A100="","",_xlfn.XLOOKUP($F100&amp;"|"&amp;$G100,'檢核表版本'!$R$7:$R$13,'檢核表版本'!$Q$7:$Q$13,"未發布版本",0))</x:f>
      </x:c>
      <x:c r="S100" s="280" t="str">
        <x:f>IF($A100="","",IF(OR(LEN($B100)=0,LEN($C100)=0,LEN($E100)=0,LEN($F100)=0,LEN($G100)=0,LEN($H100)=0,LEN($I100)=0,LEN($J100)=0,LEN($L100)=0,LEN($M100)=0,LEN($O100)=0),"待補欄位",IF($R100&lt;&gt;"已發布","檢核表版本未發布",IF(AND($L100="通過",OR($I100&gt;0,$J100&gt;0)),"結果與必要項目矛盾",IF(AND($L100="通過",$M100&lt;&gt;"Ø"),"通過後建議評等應為 Ø",IF($O100&lt;&gt;"已知悉","待助理知悉",IF($P100="","待補知悉日",IF(OR($Q100="有異議",$Q100="複核中"),"異議處理中","可送主管核定"))))))))</x:f>
      </x:c>
      <x:c r="T100" s="280" t="str">
        <x:f>IF($A100="","",IF($S100="可送主管核定","可進入主管核定",$S100))</x:f>
      </x:c>
      <x:c r="U100" s="280" t="str">
        <x:f>IF($A100="","",IF($R100&lt;&gt;"已發布","先發布檢核表版本",IF($S100="可送主管核定","送主管核定中心",IF($S100="異議處理中","先完成異議複核","補齊或更正考核資料"))))</x:f>
      </x:c>
    </x:row>
    <x:row r="101">
      <x:c r="A101" s="106"/>
      <x:c r="B101" s="284"/>
      <x:c r="C101" s="106"/>
      <x:c r="D101" s="107" t="str">
        <x:f>IF($C101="","",_xlfn.XLOOKUP($C101,'試行員工主檔'!$A$7:$A$20,'試行員工主檔'!$B$7:$B$20,"員工未建立",0))</x:f>
      </x:c>
      <x:c r="E101" s="106"/>
      <x:c r="F101" s="106"/>
      <x:c r="G101" s="106"/>
      <x:c r="H101" s="106"/>
      <x:c r="I101" s="106"/>
      <x:c r="J101" s="106"/>
      <x:c r="K101" s="106"/>
      <x:c r="L101" s="107" t="str">
        <x:f>IF($A101="","",IF(OR($B101="",$C101="",$E101="",$F101="",$G101="",$H101=""),"資料未完整",IF(OR($I101&gt;0,$J101&gt;0),"未通過","通過")))</x:f>
      </x:c>
      <x:c r="M101" s="107" t="str">
        <x:f>IF($L101="通過","Ø",IF($L101="未通過","△",""))</x:f>
      </x:c>
      <x:c r="N101" s="106"/>
      <x:c r="O101" s="106"/>
      <x:c r="P101" s="284"/>
      <x:c r="Q101" s="106"/>
      <x:c r="R101" s="280" t="str">
        <x:f>IF($A101="","",_xlfn.XLOOKUP($F101&amp;"|"&amp;$G101,'檢核表版本'!$R$7:$R$13,'檢核表版本'!$Q$7:$Q$13,"未發布版本",0))</x:f>
      </x:c>
      <x:c r="S101" s="280" t="str">
        <x:f>IF($A101="","",IF(OR(LEN($B101)=0,LEN($C101)=0,LEN($E101)=0,LEN($F101)=0,LEN($G101)=0,LEN($H101)=0,LEN($I101)=0,LEN($J101)=0,LEN($L101)=0,LEN($M101)=0,LEN($O101)=0),"待補欄位",IF($R101&lt;&gt;"已發布","檢核表版本未發布",IF(AND($L101="通過",OR($I101&gt;0,$J101&gt;0)),"結果與必要項目矛盾",IF(AND($L101="通過",$M101&lt;&gt;"Ø"),"通過後建議評等應為 Ø",IF($O101&lt;&gt;"已知悉","待助理知悉",IF($P101="","待補知悉日",IF(OR($Q101="有異議",$Q101="複核中"),"異議處理中","可送主管核定"))))))))</x:f>
      </x:c>
      <x:c r="T101" s="280" t="str">
        <x:f>IF($A101="","",IF($S101="可送主管核定","可進入主管核定",$S101))</x:f>
      </x:c>
      <x:c r="U101" s="280" t="str">
        <x:f>IF($A101="","",IF($R101&lt;&gt;"已發布","先發布檢核表版本",IF($S101="可送主管核定","送主管核定中心",IF($S101="異議處理中","先完成異議複核","補齊或更正考核資料"))))</x:f>
      </x:c>
    </x:row>
    <x:row r="102">
      <x:c r="A102" s="106"/>
      <x:c r="B102" s="284"/>
      <x:c r="C102" s="106"/>
      <x:c r="D102" s="107" t="str">
        <x:f>IF($C102="","",_xlfn.XLOOKUP($C102,'試行員工主檔'!$A$7:$A$20,'試行員工主檔'!$B$7:$B$20,"員工未建立",0))</x:f>
      </x:c>
      <x:c r="E102" s="106"/>
      <x:c r="F102" s="106"/>
      <x:c r="G102" s="106"/>
      <x:c r="H102" s="106"/>
      <x:c r="I102" s="106"/>
      <x:c r="J102" s="106"/>
      <x:c r="K102" s="106"/>
      <x:c r="L102" s="107" t="str">
        <x:f>IF($A102="","",IF(OR($B102="",$C102="",$E102="",$F102="",$G102="",$H102=""),"資料未完整",IF(OR($I102&gt;0,$J102&gt;0),"未通過","通過")))</x:f>
      </x:c>
      <x:c r="M102" s="107" t="str">
        <x:f>IF($L102="通過","Ø",IF($L102="未通過","△",""))</x:f>
      </x:c>
      <x:c r="N102" s="106"/>
      <x:c r="O102" s="106"/>
      <x:c r="P102" s="284"/>
      <x:c r="Q102" s="106"/>
      <x:c r="R102" s="280" t="str">
        <x:f>IF($A102="","",_xlfn.XLOOKUP($F102&amp;"|"&amp;$G102,'檢核表版本'!$R$7:$R$13,'檢核表版本'!$Q$7:$Q$13,"未發布版本",0))</x:f>
      </x:c>
      <x:c r="S102" s="280" t="str">
        <x:f>IF($A102="","",IF(OR(LEN($B102)=0,LEN($C102)=0,LEN($E102)=0,LEN($F102)=0,LEN($G102)=0,LEN($H102)=0,LEN($I102)=0,LEN($J102)=0,LEN($L102)=0,LEN($M102)=0,LEN($O102)=0),"待補欄位",IF($R102&lt;&gt;"已發布","檢核表版本未發布",IF(AND($L102="通過",OR($I102&gt;0,$J102&gt;0)),"結果與必要項目矛盾",IF(AND($L102="通過",$M102&lt;&gt;"Ø"),"通過後建議評等應為 Ø",IF($O102&lt;&gt;"已知悉","待助理知悉",IF($P102="","待補知悉日",IF(OR($Q102="有異議",$Q102="複核中"),"異議處理中","可送主管核定"))))))))</x:f>
      </x:c>
      <x:c r="T102" s="280" t="str">
        <x:f>IF($A102="","",IF($S102="可送主管核定","可進入主管核定",$S102))</x:f>
      </x:c>
      <x:c r="U102" s="280" t="str">
        <x:f>IF($A102="","",IF($R102&lt;&gt;"已發布","先發布檢核表版本",IF($S102="可送主管核定","送主管核定中心",IF($S102="異議處理中","先完成異議複核","補齊或更正考核資料"))))</x:f>
      </x:c>
    </x:row>
    <x:row r="103">
      <x:c r="A103" s="106"/>
      <x:c r="B103" s="284"/>
      <x:c r="C103" s="106"/>
      <x:c r="D103" s="107" t="str">
        <x:f>IF($C103="","",_xlfn.XLOOKUP($C103,'試行員工主檔'!$A$7:$A$20,'試行員工主檔'!$B$7:$B$20,"員工未建立",0))</x:f>
      </x:c>
      <x:c r="E103" s="106"/>
      <x:c r="F103" s="106"/>
      <x:c r="G103" s="106"/>
      <x:c r="H103" s="106"/>
      <x:c r="I103" s="106"/>
      <x:c r="J103" s="106"/>
      <x:c r="K103" s="106"/>
      <x:c r="L103" s="107" t="str">
        <x:f>IF($A103="","",IF(OR($B103="",$C103="",$E103="",$F103="",$G103="",$H103=""),"資料未完整",IF(OR($I103&gt;0,$J103&gt;0),"未通過","通過")))</x:f>
      </x:c>
      <x:c r="M103" s="107" t="str">
        <x:f>IF($L103="通過","Ø",IF($L103="未通過","△",""))</x:f>
      </x:c>
      <x:c r="N103" s="106"/>
      <x:c r="O103" s="106"/>
      <x:c r="P103" s="284"/>
      <x:c r="Q103" s="106"/>
      <x:c r="R103" s="280" t="str">
        <x:f>IF($A103="","",_xlfn.XLOOKUP($F103&amp;"|"&amp;$G103,'檢核表版本'!$R$7:$R$13,'檢核表版本'!$Q$7:$Q$13,"未發布版本",0))</x:f>
      </x:c>
      <x:c r="S103" s="280" t="str">
        <x:f>IF($A103="","",IF(OR(LEN($B103)=0,LEN($C103)=0,LEN($E103)=0,LEN($F103)=0,LEN($G103)=0,LEN($H103)=0,LEN($I103)=0,LEN($J103)=0,LEN($L103)=0,LEN($M103)=0,LEN($O103)=0),"待補欄位",IF($R103&lt;&gt;"已發布","檢核表版本未發布",IF(AND($L103="通過",OR($I103&gt;0,$J103&gt;0)),"結果與必要項目矛盾",IF(AND($L103="通過",$M103&lt;&gt;"Ø"),"通過後建議評等應為 Ø",IF($O103&lt;&gt;"已知悉","待助理知悉",IF($P103="","待補知悉日",IF(OR($Q103="有異議",$Q103="複核中"),"異議處理中","可送主管核定"))))))))</x:f>
      </x:c>
      <x:c r="T103" s="280" t="str">
        <x:f>IF($A103="","",IF($S103="可送主管核定","可進入主管核定",$S103))</x:f>
      </x:c>
      <x:c r="U103" s="280" t="str">
        <x:f>IF($A103="","",IF($R103&lt;&gt;"已發布","先發布檢核表版本",IF($S103="可送主管核定","送主管核定中心",IF($S103="異議處理中","先完成異議複核","補齊或更正考核資料"))))</x:f>
      </x:c>
    </x:row>
    <x:row r="104">
      <x:c r="A104" s="106"/>
      <x:c r="B104" s="284"/>
      <x:c r="C104" s="106"/>
      <x:c r="D104" s="107" t="str">
        <x:f>IF($C104="","",_xlfn.XLOOKUP($C104,'試行員工主檔'!$A$7:$A$20,'試行員工主檔'!$B$7:$B$20,"員工未建立",0))</x:f>
      </x:c>
      <x:c r="E104" s="106"/>
      <x:c r="F104" s="106"/>
      <x:c r="G104" s="106"/>
      <x:c r="H104" s="106"/>
      <x:c r="I104" s="106"/>
      <x:c r="J104" s="106"/>
      <x:c r="K104" s="106"/>
      <x:c r="L104" s="107" t="str">
        <x:f>IF($A104="","",IF(OR($B104="",$C104="",$E104="",$F104="",$G104="",$H104=""),"資料未完整",IF(OR($I104&gt;0,$J104&gt;0),"未通過","通過")))</x:f>
      </x:c>
      <x:c r="M104" s="107" t="str">
        <x:f>IF($L104="通過","Ø",IF($L104="未通過","△",""))</x:f>
      </x:c>
      <x:c r="N104" s="106"/>
      <x:c r="O104" s="106"/>
      <x:c r="P104" s="284"/>
      <x:c r="Q104" s="106"/>
      <x:c r="R104" s="280" t="str">
        <x:f>IF($A104="","",_xlfn.XLOOKUP($F104&amp;"|"&amp;$G104,'檢核表版本'!$R$7:$R$13,'檢核表版本'!$Q$7:$Q$13,"未發布版本",0))</x:f>
      </x:c>
      <x:c r="S104" s="280" t="str">
        <x:f>IF($A104="","",IF(OR(LEN($B104)=0,LEN($C104)=0,LEN($E104)=0,LEN($F104)=0,LEN($G104)=0,LEN($H104)=0,LEN($I104)=0,LEN($J104)=0,LEN($L104)=0,LEN($M104)=0,LEN($O104)=0),"待補欄位",IF($R104&lt;&gt;"已發布","檢核表版本未發布",IF(AND($L104="通過",OR($I104&gt;0,$J104&gt;0)),"結果與必要項目矛盾",IF(AND($L104="通過",$M104&lt;&gt;"Ø"),"通過後建議評等應為 Ø",IF($O104&lt;&gt;"已知悉","待助理知悉",IF($P104="","待補知悉日",IF(OR($Q104="有異議",$Q104="複核中"),"異議處理中","可送主管核定"))))))))</x:f>
      </x:c>
      <x:c r="T104" s="280" t="str">
        <x:f>IF($A104="","",IF($S104="可送主管核定","可進入主管核定",$S104))</x:f>
      </x:c>
      <x:c r="U104" s="280" t="str">
        <x:f>IF($A104="","",IF($R104&lt;&gt;"已發布","先發布檢核表版本",IF($S104="可送主管核定","送主管核定中心",IF($S104="異議處理中","先完成異議複核","補齊或更正考核資料"))))</x:f>
      </x:c>
    </x:row>
    <x:row r="105">
      <x:c r="A105" s="106"/>
      <x:c r="B105" s="284"/>
      <x:c r="C105" s="106"/>
      <x:c r="D105" s="107" t="str">
        <x:f>IF($C105="","",_xlfn.XLOOKUP($C105,'試行員工主檔'!$A$7:$A$20,'試行員工主檔'!$B$7:$B$20,"員工未建立",0))</x:f>
      </x:c>
      <x:c r="E105" s="106"/>
      <x:c r="F105" s="106"/>
      <x:c r="G105" s="106"/>
      <x:c r="H105" s="106"/>
      <x:c r="I105" s="106"/>
      <x:c r="J105" s="106"/>
      <x:c r="K105" s="106"/>
      <x:c r="L105" s="107" t="str">
        <x:f>IF($A105="","",IF(OR($B105="",$C105="",$E105="",$F105="",$G105="",$H105=""),"資料未完整",IF(OR($I105&gt;0,$J105&gt;0),"未通過","通過")))</x:f>
      </x:c>
      <x:c r="M105" s="107" t="str">
        <x:f>IF($L105="通過","Ø",IF($L105="未通過","△",""))</x:f>
      </x:c>
      <x:c r="N105" s="106"/>
      <x:c r="O105" s="106"/>
      <x:c r="P105" s="284"/>
      <x:c r="Q105" s="106"/>
      <x:c r="R105" s="280" t="str">
        <x:f>IF($A105="","",_xlfn.XLOOKUP($F105&amp;"|"&amp;$G105,'檢核表版本'!$R$7:$R$13,'檢核表版本'!$Q$7:$Q$13,"未發布版本",0))</x:f>
      </x:c>
      <x:c r="S105" s="280" t="str">
        <x:f>IF($A105="","",IF(OR(LEN($B105)=0,LEN($C105)=0,LEN($E105)=0,LEN($F105)=0,LEN($G105)=0,LEN($H105)=0,LEN($I105)=0,LEN($J105)=0,LEN($L105)=0,LEN($M105)=0,LEN($O105)=0),"待補欄位",IF($R105&lt;&gt;"已發布","檢核表版本未發布",IF(AND($L105="通過",OR($I105&gt;0,$J105&gt;0)),"結果與必要項目矛盾",IF(AND($L105="通過",$M105&lt;&gt;"Ø"),"通過後建議評等應為 Ø",IF($O105&lt;&gt;"已知悉","待助理知悉",IF($P105="","待補知悉日",IF(OR($Q105="有異議",$Q105="複核中"),"異議處理中","可送主管核定"))))))))</x:f>
      </x:c>
      <x:c r="T105" s="280" t="str">
        <x:f>IF($A105="","",IF($S105="可送主管核定","可進入主管核定",$S105))</x:f>
      </x:c>
      <x:c r="U105" s="280" t="str">
        <x:f>IF($A105="","",IF($R105&lt;&gt;"已發布","先發布檢核表版本",IF($S105="可送主管核定","送主管核定中心",IF($S105="異議處理中","先完成異議複核","補齊或更正考核資料"))))</x:f>
      </x:c>
    </x:row>
    <x:row r="106">
      <x:c r="A106" s="106"/>
      <x:c r="B106" s="284"/>
      <x:c r="C106" s="106"/>
      <x:c r="D106" s="107" t="str">
        <x:f>IF($C106="","",_xlfn.XLOOKUP($C106,'試行員工主檔'!$A$7:$A$20,'試行員工主檔'!$B$7:$B$20,"員工未建立",0))</x:f>
      </x:c>
      <x:c r="E106" s="106"/>
      <x:c r="F106" s="106"/>
      <x:c r="G106" s="106"/>
      <x:c r="H106" s="106"/>
      <x:c r="I106" s="106"/>
      <x:c r="J106" s="106"/>
      <x:c r="K106" s="106"/>
      <x:c r="L106" s="107" t="str">
        <x:f>IF($A106="","",IF(OR($B106="",$C106="",$E106="",$F106="",$G106="",$H106=""),"資料未完整",IF(OR($I106&gt;0,$J106&gt;0),"未通過","通過")))</x:f>
      </x:c>
      <x:c r="M106" s="107" t="str">
        <x:f>IF($L106="通過","Ø",IF($L106="未通過","△",""))</x:f>
      </x:c>
      <x:c r="N106" s="106"/>
      <x:c r="O106" s="106"/>
      <x:c r="P106" s="284"/>
      <x:c r="Q106" s="106"/>
      <x:c r="R106" s="280" t="str">
        <x:f>IF($A106="","",_xlfn.XLOOKUP($F106&amp;"|"&amp;$G106,'檢核表版本'!$R$7:$R$13,'檢核表版本'!$Q$7:$Q$13,"未發布版本",0))</x:f>
      </x:c>
      <x:c r="S106" s="280" t="str">
        <x:f>IF($A106="","",IF(OR(LEN($B106)=0,LEN($C106)=0,LEN($E106)=0,LEN($F106)=0,LEN($G106)=0,LEN($H106)=0,LEN($I106)=0,LEN($J106)=0,LEN($L106)=0,LEN($M106)=0,LEN($O106)=0),"待補欄位",IF($R106&lt;&gt;"已發布","檢核表版本未發布",IF(AND($L106="通過",OR($I106&gt;0,$J106&gt;0)),"結果與必要項目矛盾",IF(AND($L106="通過",$M106&lt;&gt;"Ø"),"通過後建議評等應為 Ø",IF($O106&lt;&gt;"已知悉","待助理知悉",IF($P106="","待補知悉日",IF(OR($Q106="有異議",$Q106="複核中"),"異議處理中","可送主管核定"))))))))</x:f>
      </x:c>
      <x:c r="T106" s="280" t="str">
        <x:f>IF($A106="","",IF($S106="可送主管核定","可進入主管核定",$S106))</x:f>
      </x:c>
      <x:c r="U106" s="280" t="str">
        <x:f>IF($A106="","",IF($R106&lt;&gt;"已發布","先發布檢核表版本",IF($S106="可送主管核定","送主管核定中心",IF($S106="異議處理中","先完成異議複核","補齊或更正考核資料"))))</x:f>
      </x:c>
    </x:row>
    <x:row r="107">
      <x:c r="B107" s="285"/>
      <x:c r="P107" s="285"/>
      <x:c r="R107" s="280" t="str">
        <x:f>IF($A107="","",_xlfn.XLOOKUP($F107&amp;"|"&amp;$G107,'檢核表版本'!$R$7:$R$13,'檢核表版本'!$Q$7:$Q$13,"未發布版本",0))</x:f>
      </x:c>
      <x:c r="S107" s="280" t="str">
        <x:f>IF($A107="","",IF(OR(LEN($B107)=0,LEN($C107)=0,LEN($E107)=0,LEN($F107)=0,LEN($G107)=0,LEN($H107)=0,LEN($I107)=0,LEN($J107)=0,LEN($L107)=0,LEN($M107)=0,LEN($O107)=0),"待補欄位",IF($R107&lt;&gt;"已發布","檢核表版本未發布",IF(AND($L107="通過",OR($I107&gt;0,$J107&gt;0)),"結果與必要項目矛盾",IF(AND($L107="通過",$M107&lt;&gt;"Ø"),"通過後建議評等應為 Ø",IF($O107&lt;&gt;"已知悉","待助理知悉",IF($P107="","待補知悉日",IF(OR($Q107="有異議",$Q107="複核中"),"異議處理中","可送主管核定"))))))))</x:f>
      </x:c>
      <x:c r="T107" s="280" t="str">
        <x:f>IF($A107="","",IF($S107="可送主管核定","可進入主管核定",$S107))</x:f>
      </x:c>
      <x:c r="U107" s="280" t="str">
        <x:f>IF($A107="","",IF($R107&lt;&gt;"已發布","先發布檢核表版本",IF($S107="可送主管核定","送主管核定中心",IF($S107="異議處理中","先完成異議複核","補齊或更正考核資料"))))</x:f>
      </x:c>
    </x:row>
    <x:row r="108">
      <x:c r="B108" s="285"/>
      <x:c r="P108" s="285"/>
      <x:c r="R108" s="280" t="str">
        <x:f>IF($A108="","",_xlfn.XLOOKUP($F108&amp;"|"&amp;$G108,'檢核表版本'!$R$7:$R$13,'檢核表版本'!$Q$7:$Q$13,"未發布版本",0))</x:f>
      </x:c>
      <x:c r="S108" s="280" t="str">
        <x:f>IF($A108="","",IF(OR(LEN($B108)=0,LEN($C108)=0,LEN($E108)=0,LEN($F108)=0,LEN($G108)=0,LEN($H108)=0,LEN($I108)=0,LEN($J108)=0,LEN($L108)=0,LEN($M108)=0,LEN($O108)=0),"待補欄位",IF($R108&lt;&gt;"已發布","檢核表版本未發布",IF(AND($L108="通過",OR($I108&gt;0,$J108&gt;0)),"結果與必要項目矛盾",IF(AND($L108="通過",$M108&lt;&gt;"Ø"),"通過後建議評等應為 Ø",IF($O108&lt;&gt;"已知悉","待助理知悉",IF($P108="","待補知悉日",IF(OR($Q108="有異議",$Q108="複核中"),"異議處理中","可送主管核定"))))))))</x:f>
      </x:c>
      <x:c r="T108" s="280" t="str">
        <x:f>IF($A108="","",IF($S108="可送主管核定","可進入主管核定",$S108))</x:f>
      </x:c>
      <x:c r="U108" s="280" t="str">
        <x:f>IF($A108="","",IF($R108&lt;&gt;"已發布","先發布檢核表版本",IF($S108="可送主管核定","送主管核定中心",IF($S108="異議處理中","先完成異議複核","補齊或更正考核資料"))))</x:f>
      </x:c>
    </x:row>
    <x:row r="109">
      <x:c r="B109" s="285"/>
      <x:c r="P109" s="285"/>
      <x:c r="R109" s="280" t="str">
        <x:f>IF($A109="","",_xlfn.XLOOKUP($F109&amp;"|"&amp;$G109,'檢核表版本'!$R$7:$R$13,'檢核表版本'!$Q$7:$Q$13,"未發布版本",0))</x:f>
      </x:c>
      <x:c r="S109" s="280" t="str">
        <x:f>IF($A109="","",IF(OR(LEN($B109)=0,LEN($C109)=0,LEN($E109)=0,LEN($F109)=0,LEN($G109)=0,LEN($H109)=0,LEN($I109)=0,LEN($J109)=0,LEN($L109)=0,LEN($M109)=0,LEN($O109)=0),"待補欄位",IF($R109&lt;&gt;"已發布","檢核表版本未發布",IF(AND($L109="通過",OR($I109&gt;0,$J109&gt;0)),"結果與必要項目矛盾",IF(AND($L109="通過",$M109&lt;&gt;"Ø"),"通過後建議評等應為 Ø",IF($O109&lt;&gt;"已知悉","待助理知悉",IF($P109="","待補知悉日",IF(OR($Q109="有異議",$Q109="複核中"),"異議處理中","可送主管核定"))))))))</x:f>
      </x:c>
      <x:c r="T109" s="280" t="str">
        <x:f>IF($A109="","",IF($S109="可送主管核定","可進入主管核定",$S109))</x:f>
      </x:c>
      <x:c r="U109" s="280" t="str">
        <x:f>IF($A109="","",IF($R109&lt;&gt;"已發布","先發布檢核表版本",IF($S109="可送主管核定","送主管核定中心",IF($S109="異議處理中","先完成異議複核","補齊或更正考核資料"))))</x:f>
      </x:c>
    </x:row>
    <x:row r="110">
      <x:c r="B110" s="285"/>
      <x:c r="P110" s="285"/>
      <x:c r="R110" s="280" t="str">
        <x:f>IF($A110="","",_xlfn.XLOOKUP($F110&amp;"|"&amp;$G110,'檢核表版本'!$R$7:$R$13,'檢核表版本'!$Q$7:$Q$13,"未發布版本",0))</x:f>
      </x:c>
      <x:c r="S110" s="280" t="str">
        <x:f>IF($A110="","",IF(OR(LEN($B110)=0,LEN($C110)=0,LEN($E110)=0,LEN($F110)=0,LEN($G110)=0,LEN($H110)=0,LEN($I110)=0,LEN($J110)=0,LEN($L110)=0,LEN($M110)=0,LEN($O110)=0),"待補欄位",IF($R110&lt;&gt;"已發布","檢核表版本未發布",IF(AND($L110="通過",OR($I110&gt;0,$J110&gt;0)),"結果與必要項目矛盾",IF(AND($L110="通過",$M110&lt;&gt;"Ø"),"通過後建議評等應為 Ø",IF($O110&lt;&gt;"已知悉","待助理知悉",IF($P110="","待補知悉日",IF(OR($Q110="有異議",$Q110="複核中"),"異議處理中","可送主管核定"))))))))</x:f>
      </x:c>
      <x:c r="T110" s="280" t="str">
        <x:f>IF($A110="","",IF($S110="可送主管核定","可進入主管核定",$S110))</x:f>
      </x:c>
      <x:c r="U110" s="280" t="str">
        <x:f>IF($A110="","",IF($R110&lt;&gt;"已發布","先發布檢核表版本",IF($S110="可送主管核定","送主管核定中心",IF($S110="異議處理中","先完成異議複核","補齊或更正考核資料"))))</x:f>
      </x:c>
    </x:row>
    <x:row r="111">
      <x:c r="B111" s="285"/>
      <x:c r="P111" s="285"/>
      <x:c r="R111" s="280" t="str">
        <x:f>IF($A111="","",_xlfn.XLOOKUP($F111&amp;"|"&amp;$G111,'檢核表版本'!$R$7:$R$13,'檢核表版本'!$Q$7:$Q$13,"未發布版本",0))</x:f>
      </x:c>
      <x:c r="S111" s="280" t="str">
        <x:f>IF($A111="","",IF(OR(LEN($B111)=0,LEN($C111)=0,LEN($E111)=0,LEN($F111)=0,LEN($G111)=0,LEN($H111)=0,LEN($I111)=0,LEN($J111)=0,LEN($L111)=0,LEN($M111)=0,LEN($O111)=0),"待補欄位",IF($R111&lt;&gt;"已發布","檢核表版本未發布",IF(AND($L111="通過",OR($I111&gt;0,$J111&gt;0)),"結果與必要項目矛盾",IF(AND($L111="通過",$M111&lt;&gt;"Ø"),"通過後建議評等應為 Ø",IF($O111&lt;&gt;"已知悉","待助理知悉",IF($P111="","待補知悉日",IF(OR($Q111="有異議",$Q111="複核中"),"異議處理中","可送主管核定"))))))))</x:f>
      </x:c>
      <x:c r="T111" s="280" t="str">
        <x:f>IF($A111="","",IF($S111="可送主管核定","可進入主管核定",$S111))</x:f>
      </x:c>
      <x:c r="U111" s="280" t="str">
        <x:f>IF($A111="","",IF($R111&lt;&gt;"已發布","先發布檢核表版本",IF($S111="可送主管核定","送主管核定中心",IF($S111="異議處理中","先完成異議複核","補齊或更正考核資料"))))</x:f>
      </x:c>
    </x:row>
    <x:row r="112">
      <x:c r="B112" s="285"/>
      <x:c r="P112" s="285"/>
      <x:c r="R112" s="280" t="str">
        <x:f>IF($A112="","",_xlfn.XLOOKUP($F112&amp;"|"&amp;$G112,'檢核表版本'!$R$7:$R$13,'檢核表版本'!$Q$7:$Q$13,"未發布版本",0))</x:f>
      </x:c>
      <x:c r="S112" s="280" t="str">
        <x:f>IF($A112="","",IF(OR(LEN($B112)=0,LEN($C112)=0,LEN($E112)=0,LEN($F112)=0,LEN($G112)=0,LEN($H112)=0,LEN($I112)=0,LEN($J112)=0,LEN($L112)=0,LEN($M112)=0,LEN($O112)=0),"待補欄位",IF($R112&lt;&gt;"已發布","檢核表版本未發布",IF(AND($L112="通過",OR($I112&gt;0,$J112&gt;0)),"結果與必要項目矛盾",IF(AND($L112="通過",$M112&lt;&gt;"Ø"),"通過後建議評等應為 Ø",IF($O112&lt;&gt;"已知悉","待助理知悉",IF($P112="","待補知悉日",IF(OR($Q112="有異議",$Q112="複核中"),"異議處理中","可送主管核定"))))))))</x:f>
      </x:c>
      <x:c r="T112" s="280" t="str">
        <x:f>IF($A112="","",IF($S112="可送主管核定","可進入主管核定",$S112))</x:f>
      </x:c>
      <x:c r="U112" s="280" t="str">
        <x:f>IF($A112="","",IF($R112&lt;&gt;"已發布","先發布檢核表版本",IF($S112="可送主管核定","送主管核定中心",IF($S112="異議處理中","先完成異議複核","補齊或更正考核資料"))))</x:f>
      </x:c>
    </x:row>
    <x:row r="113">
      <x:c r="B113" s="285"/>
      <x:c r="P113" s="285"/>
      <x:c r="R113" s="280" t="str">
        <x:f>IF($A113="","",_xlfn.XLOOKUP($F113&amp;"|"&amp;$G113,'檢核表版本'!$R$7:$R$13,'檢核表版本'!$Q$7:$Q$13,"未發布版本",0))</x:f>
      </x:c>
      <x:c r="S113" s="280" t="str">
        <x:f>IF($A113="","",IF(OR(LEN($B113)=0,LEN($C113)=0,LEN($E113)=0,LEN($F113)=0,LEN($G113)=0,LEN($H113)=0,LEN($I113)=0,LEN($J113)=0,LEN($L113)=0,LEN($M113)=0,LEN($O113)=0),"待補欄位",IF($R113&lt;&gt;"已發布","檢核表版本未發布",IF(AND($L113="通過",OR($I113&gt;0,$J113&gt;0)),"結果與必要項目矛盾",IF(AND($L113="通過",$M113&lt;&gt;"Ø"),"通過後建議評等應為 Ø",IF($O113&lt;&gt;"已知悉","待助理知悉",IF($P113="","待補知悉日",IF(OR($Q113="有異議",$Q113="複核中"),"異議處理中","可送主管核定"))))))))</x:f>
      </x:c>
      <x:c r="T113" s="280" t="str">
        <x:f>IF($A113="","",IF($S113="可送主管核定","可進入主管核定",$S113))</x:f>
      </x:c>
      <x:c r="U113" s="280" t="str">
        <x:f>IF($A113="","",IF($R113&lt;&gt;"已發布","先發布檢核表版本",IF($S113="可送主管核定","送主管核定中心",IF($S113="異議處理中","先完成異議複核","補齊或更正考核資料"))))</x:f>
      </x:c>
    </x:row>
    <x:row r="114">
      <x:c r="B114" s="285"/>
      <x:c r="P114" s="285"/>
      <x:c r="R114" s="280" t="str">
        <x:f>IF($A114="","",_xlfn.XLOOKUP($F114&amp;"|"&amp;$G114,'檢核表版本'!$R$7:$R$13,'檢核表版本'!$Q$7:$Q$13,"未發布版本",0))</x:f>
      </x:c>
      <x:c r="S114" s="280" t="str">
        <x:f>IF($A114="","",IF(OR(LEN($B114)=0,LEN($C114)=0,LEN($E114)=0,LEN($F114)=0,LEN($G114)=0,LEN($H114)=0,LEN($I114)=0,LEN($J114)=0,LEN($L114)=0,LEN($M114)=0,LEN($O114)=0),"待補欄位",IF($R114&lt;&gt;"已發布","檢核表版本未發布",IF(AND($L114="通過",OR($I114&gt;0,$J114&gt;0)),"結果與必要項目矛盾",IF(AND($L114="通過",$M114&lt;&gt;"Ø"),"通過後建議評等應為 Ø",IF($O114&lt;&gt;"已知悉","待助理知悉",IF($P114="","待補知悉日",IF(OR($Q114="有異議",$Q114="複核中"),"異議處理中","可送主管核定"))))))))</x:f>
      </x:c>
      <x:c r="T114" s="280" t="str">
        <x:f>IF($A114="","",IF($S114="可送主管核定","可進入主管核定",$S114))</x:f>
      </x:c>
      <x:c r="U114" s="280" t="str">
        <x:f>IF($A114="","",IF($R114&lt;&gt;"已發布","先發布檢核表版本",IF($S114="可送主管核定","送主管核定中心",IF($S114="異議處理中","先完成異議複核","補齊或更正考核資料"))))</x:f>
      </x:c>
    </x:row>
    <x:row r="115">
      <x:c r="B115" s="285"/>
      <x:c r="P115" s="285"/>
      <x:c r="R115" s="280" t="str">
        <x:f>IF($A115="","",_xlfn.XLOOKUP($F115&amp;"|"&amp;$G115,'檢核表版本'!$R$7:$R$13,'檢核表版本'!$Q$7:$Q$13,"未發布版本",0))</x:f>
      </x:c>
      <x:c r="S115" s="280" t="str">
        <x:f>IF($A115="","",IF(OR(LEN($B115)=0,LEN($C115)=0,LEN($E115)=0,LEN($F115)=0,LEN($G115)=0,LEN($H115)=0,LEN($I115)=0,LEN($J115)=0,LEN($L115)=0,LEN($M115)=0,LEN($O115)=0),"待補欄位",IF($R115&lt;&gt;"已發布","檢核表版本未發布",IF(AND($L115="通過",OR($I115&gt;0,$J115&gt;0)),"結果與必要項目矛盾",IF(AND($L115="通過",$M115&lt;&gt;"Ø"),"通過後建議評等應為 Ø",IF($O115&lt;&gt;"已知悉","待助理知悉",IF($P115="","待補知悉日",IF(OR($Q115="有異議",$Q115="複核中"),"異議處理中","可送主管核定"))))))))</x:f>
      </x:c>
      <x:c r="T115" s="280" t="str">
        <x:f>IF($A115="","",IF($S115="可送主管核定","可進入主管核定",$S115))</x:f>
      </x:c>
      <x:c r="U115" s="280" t="str">
        <x:f>IF($A115="","",IF($R115&lt;&gt;"已發布","先發布檢核表版本",IF($S115="可送主管核定","送主管核定中心",IF($S115="異議處理中","先完成異議複核","補齊或更正考核資料"))))</x:f>
      </x:c>
    </x:row>
    <x:row r="116">
      <x:c r="B116" s="285"/>
      <x:c r="P116" s="285"/>
      <x:c r="R116" s="280" t="str">
        <x:f>IF($A116="","",_xlfn.XLOOKUP($F116&amp;"|"&amp;$G116,'檢核表版本'!$R$7:$R$13,'檢核表版本'!$Q$7:$Q$13,"未發布版本",0))</x:f>
      </x:c>
      <x:c r="S116" s="280" t="str">
        <x:f>IF($A116="","",IF(OR(LEN($B116)=0,LEN($C116)=0,LEN($E116)=0,LEN($F116)=0,LEN($G116)=0,LEN($H116)=0,LEN($I116)=0,LEN($J116)=0,LEN($L116)=0,LEN($M116)=0,LEN($O116)=0),"待補欄位",IF($R116&lt;&gt;"已發布","檢核表版本未發布",IF(AND($L116="通過",OR($I116&gt;0,$J116&gt;0)),"結果與必要項目矛盾",IF(AND($L116="通過",$M116&lt;&gt;"Ø"),"通過後建議評等應為 Ø",IF($O116&lt;&gt;"已知悉","待助理知悉",IF($P116="","待補知悉日",IF(OR($Q116="有異議",$Q116="複核中"),"異議處理中","可送主管核定"))))))))</x:f>
      </x:c>
      <x:c r="T116" s="280" t="str">
        <x:f>IF($A116="","",IF($S116="可送主管核定","可進入主管核定",$S116))</x:f>
      </x:c>
      <x:c r="U116" s="280" t="str">
        <x:f>IF($A116="","",IF($R116&lt;&gt;"已發布","先發布檢核表版本",IF($S116="可送主管核定","送主管核定中心",IF($S116="異議處理中","先完成異議複核","補齊或更正考核資料"))))</x:f>
      </x:c>
    </x:row>
    <x:row r="117">
      <x:c r="B117" s="285"/>
      <x:c r="P117" s="285"/>
      <x:c r="R117" s="280" t="str">
        <x:f>IF($A117="","",_xlfn.XLOOKUP($F117&amp;"|"&amp;$G117,'檢核表版本'!$R$7:$R$13,'檢核表版本'!$Q$7:$Q$13,"未發布版本",0))</x:f>
      </x:c>
      <x:c r="S117" s="280" t="str">
        <x:f>IF($A117="","",IF(OR(LEN($B117)=0,LEN($C117)=0,LEN($E117)=0,LEN($F117)=0,LEN($G117)=0,LEN($H117)=0,LEN($I117)=0,LEN($J117)=0,LEN($L117)=0,LEN($M117)=0,LEN($O117)=0),"待補欄位",IF($R117&lt;&gt;"已發布","檢核表版本未發布",IF(AND($L117="通過",OR($I117&gt;0,$J117&gt;0)),"結果與必要項目矛盾",IF(AND($L117="通過",$M117&lt;&gt;"Ø"),"通過後建議評等應為 Ø",IF($O117&lt;&gt;"已知悉","待助理知悉",IF($P117="","待補知悉日",IF(OR($Q117="有異議",$Q117="複核中"),"異議處理中","可送主管核定"))))))))</x:f>
      </x:c>
      <x:c r="T117" s="280" t="str">
        <x:f>IF($A117="","",IF($S117="可送主管核定","可進入主管核定",$S117))</x:f>
      </x:c>
      <x:c r="U117" s="280" t="str">
        <x:f>IF($A117="","",IF($R117&lt;&gt;"已發布","先發布檢核表版本",IF($S117="可送主管核定","送主管核定中心",IF($S117="異議處理中","先完成異議複核","補齊或更正考核資料"))))</x:f>
      </x:c>
    </x:row>
    <x:row r="118">
      <x:c r="B118" s="285"/>
      <x:c r="P118" s="285"/>
      <x:c r="R118" s="280" t="str">
        <x:f>IF($A118="","",_xlfn.XLOOKUP($F118&amp;"|"&amp;$G118,'檢核表版本'!$R$7:$R$13,'檢核表版本'!$Q$7:$Q$13,"未發布版本",0))</x:f>
      </x:c>
      <x:c r="S118" s="280" t="str">
        <x:f>IF($A118="","",IF(OR(LEN($B118)=0,LEN($C118)=0,LEN($E118)=0,LEN($F118)=0,LEN($G118)=0,LEN($H118)=0,LEN($I118)=0,LEN($J118)=0,LEN($L118)=0,LEN($M118)=0,LEN($O118)=0),"待補欄位",IF($R118&lt;&gt;"已發布","檢核表版本未發布",IF(AND($L118="通過",OR($I118&gt;0,$J118&gt;0)),"結果與必要項目矛盾",IF(AND($L118="通過",$M118&lt;&gt;"Ø"),"通過後建議評等應為 Ø",IF($O118&lt;&gt;"已知悉","待助理知悉",IF($P118="","待補知悉日",IF(OR($Q118="有異議",$Q118="複核中"),"異議處理中","可送主管核定"))))))))</x:f>
      </x:c>
      <x:c r="T118" s="280" t="str">
        <x:f>IF($A118="","",IF($S118="可送主管核定","可進入主管核定",$S118))</x:f>
      </x:c>
      <x:c r="U118" s="280" t="str">
        <x:f>IF($A118="","",IF($R118&lt;&gt;"已發布","先發布檢核表版本",IF($S118="可送主管核定","送主管核定中心",IF($S118="異議處理中","先完成異議複核","補齊或更正考核資料"))))</x:f>
      </x:c>
    </x:row>
    <x:row r="119">
      <x:c r="B119" s="285"/>
      <x:c r="P119" s="285"/>
      <x:c r="R119" s="280" t="str">
        <x:f>IF($A119="","",_xlfn.XLOOKUP($F119&amp;"|"&amp;$G119,'檢核表版本'!$R$7:$R$13,'檢核表版本'!$Q$7:$Q$13,"未發布版本",0))</x:f>
      </x:c>
      <x:c r="S119" s="280" t="str">
        <x:f>IF($A119="","",IF(OR(LEN($B119)=0,LEN($C119)=0,LEN($E119)=0,LEN($F119)=0,LEN($G119)=0,LEN($H119)=0,LEN($I119)=0,LEN($J119)=0,LEN($L119)=0,LEN($M119)=0,LEN($O119)=0),"待補欄位",IF($R119&lt;&gt;"已發布","檢核表版本未發布",IF(AND($L119="通過",OR($I119&gt;0,$J119&gt;0)),"結果與必要項目矛盾",IF(AND($L119="通過",$M119&lt;&gt;"Ø"),"通過後建議評等應為 Ø",IF($O119&lt;&gt;"已知悉","待助理知悉",IF($P119="","待補知悉日",IF(OR($Q119="有異議",$Q119="複核中"),"異議處理中","可送主管核定"))))))))</x:f>
      </x:c>
      <x:c r="T119" s="280" t="str">
        <x:f>IF($A119="","",IF($S119="可送主管核定","可進入主管核定",$S119))</x:f>
      </x:c>
      <x:c r="U119" s="280" t="str">
        <x:f>IF($A119="","",IF($R119&lt;&gt;"已發布","先發布檢核表版本",IF($S119="可送主管核定","送主管核定中心",IF($S119="異議處理中","先完成異議複核","補齊或更正考核資料"))))</x:f>
      </x:c>
    </x:row>
    <x:row r="120">
      <x:c r="B120" s="285"/>
      <x:c r="P120" s="285"/>
      <x:c r="R120" s="280" t="str">
        <x:f>IF($A120="","",_xlfn.XLOOKUP($F120&amp;"|"&amp;$G120,'檢核表版本'!$R$7:$R$13,'檢核表版本'!$Q$7:$Q$13,"未發布版本",0))</x:f>
      </x:c>
      <x:c r="S120" s="280" t="str">
        <x:f>IF($A120="","",IF(OR(LEN($B120)=0,LEN($C120)=0,LEN($E120)=0,LEN($F120)=0,LEN($G120)=0,LEN($H120)=0,LEN($I120)=0,LEN($J120)=0,LEN($L120)=0,LEN($M120)=0,LEN($O120)=0),"待補欄位",IF($R120&lt;&gt;"已發布","檢核表版本未發布",IF(AND($L120="通過",OR($I120&gt;0,$J120&gt;0)),"結果與必要項目矛盾",IF(AND($L120="通過",$M120&lt;&gt;"Ø"),"通過後建議評等應為 Ø",IF($O120&lt;&gt;"已知悉","待助理知悉",IF($P120="","待補知悉日",IF(OR($Q120="有異議",$Q120="複核中"),"異議處理中","可送主管核定"))))))))</x:f>
      </x:c>
      <x:c r="T120" s="280" t="str">
        <x:f>IF($A120="","",IF($S120="可送主管核定","可進入主管核定",$S120))</x:f>
      </x:c>
      <x:c r="U120" s="280" t="str">
        <x:f>IF($A120="","",IF($R120&lt;&gt;"已發布","先發布檢核表版本",IF($S120="可送主管核定","送主管核定中心",IF($S120="異議處理中","先完成異議複核","補齊或更正考核資料"))))</x:f>
      </x:c>
    </x:row>
    <x:row r="121">
      <x:c r="B121" s="285"/>
      <x:c r="P121" s="285"/>
      <x:c r="R121" s="280" t="str">
        <x:f>IF($A121="","",_xlfn.XLOOKUP($F121&amp;"|"&amp;$G121,'檢核表版本'!$R$7:$R$13,'檢核表版本'!$Q$7:$Q$13,"未發布版本",0))</x:f>
      </x:c>
      <x:c r="S121" s="280" t="str">
        <x:f>IF($A121="","",IF(OR(LEN($B121)=0,LEN($C121)=0,LEN($E121)=0,LEN($F121)=0,LEN($G121)=0,LEN($H121)=0,LEN($I121)=0,LEN($J121)=0,LEN($L121)=0,LEN($M121)=0,LEN($O121)=0),"待補欄位",IF($R121&lt;&gt;"已發布","檢核表版本未發布",IF(AND($L121="通過",OR($I121&gt;0,$J121&gt;0)),"結果與必要項目矛盾",IF(AND($L121="通過",$M121&lt;&gt;"Ø"),"通過後建議評等應為 Ø",IF($O121&lt;&gt;"已知悉","待助理知悉",IF($P121="","待補知悉日",IF(OR($Q121="有異議",$Q121="複核中"),"異議處理中","可送主管核定"))))))))</x:f>
      </x:c>
      <x:c r="T121" s="280" t="str">
        <x:f>IF($A121="","",IF($S121="可送主管核定","可進入主管核定",$S121))</x:f>
      </x:c>
      <x:c r="U121" s="280" t="str">
        <x:f>IF($A121="","",IF($R121&lt;&gt;"已發布","先發布檢核表版本",IF($S121="可送主管核定","送主管核定中心",IF($S121="異議處理中","先完成異議複核","補齊或更正考核資料"))))</x:f>
      </x:c>
    </x:row>
    <x:row r="122">
      <x:c r="B122" s="285"/>
      <x:c r="P122" s="285"/>
      <x:c r="R122" s="280" t="str">
        <x:f>IF($A122="","",_xlfn.XLOOKUP($F122&amp;"|"&amp;$G122,'檢核表版本'!$R$7:$R$13,'檢核表版本'!$Q$7:$Q$13,"未發布版本",0))</x:f>
      </x:c>
      <x:c r="S122" s="280" t="str">
        <x:f>IF($A122="","",IF(OR(LEN($B122)=0,LEN($C122)=0,LEN($E122)=0,LEN($F122)=0,LEN($G122)=0,LEN($H122)=0,LEN($I122)=0,LEN($J122)=0,LEN($L122)=0,LEN($M122)=0,LEN($O122)=0),"待補欄位",IF($R122&lt;&gt;"已發布","檢核表版本未發布",IF(AND($L122="通過",OR($I122&gt;0,$J122&gt;0)),"結果與必要項目矛盾",IF(AND($L122="通過",$M122&lt;&gt;"Ø"),"通過後建議評等應為 Ø",IF($O122&lt;&gt;"已知悉","待助理知悉",IF($P122="","待補知悉日",IF(OR($Q122="有異議",$Q122="複核中"),"異議處理中","可送主管核定"))))))))</x:f>
      </x:c>
      <x:c r="T122" s="280" t="str">
        <x:f>IF($A122="","",IF($S122="可送主管核定","可進入主管核定",$S122))</x:f>
      </x:c>
      <x:c r="U122" s="280" t="str">
        <x:f>IF($A122="","",IF($R122&lt;&gt;"已發布","先發布檢核表版本",IF($S122="可送主管核定","送主管核定中心",IF($S122="異議處理中","先完成異議複核","補齊或更正考核資料"))))</x:f>
      </x:c>
    </x:row>
    <x:row r="123">
      <x:c r="B123" s="285"/>
      <x:c r="P123" s="285"/>
      <x:c r="R123" s="280" t="str">
        <x:f>IF($A123="","",_xlfn.XLOOKUP($F123&amp;"|"&amp;$G123,'檢核表版本'!$R$7:$R$13,'檢核表版本'!$Q$7:$Q$13,"未發布版本",0))</x:f>
      </x:c>
      <x:c r="S123" s="280" t="str">
        <x:f>IF($A123="","",IF(OR(LEN($B123)=0,LEN($C123)=0,LEN($E123)=0,LEN($F123)=0,LEN($G123)=0,LEN($H123)=0,LEN($I123)=0,LEN($J123)=0,LEN($L123)=0,LEN($M123)=0,LEN($O123)=0),"待補欄位",IF($R123&lt;&gt;"已發布","檢核表版本未發布",IF(AND($L123="通過",OR($I123&gt;0,$J123&gt;0)),"結果與必要項目矛盾",IF(AND($L123="通過",$M123&lt;&gt;"Ø"),"通過後建議評等應為 Ø",IF($O123&lt;&gt;"已知悉","待助理知悉",IF($P123="","待補知悉日",IF(OR($Q123="有異議",$Q123="複核中"),"異議處理中","可送主管核定"))))))))</x:f>
      </x:c>
      <x:c r="T123" s="280" t="str">
        <x:f>IF($A123="","",IF($S123="可送主管核定","可進入主管核定",$S123))</x:f>
      </x:c>
      <x:c r="U123" s="280" t="str">
        <x:f>IF($A123="","",IF($R123&lt;&gt;"已發布","先發布檢核表版本",IF($S123="可送主管核定","送主管核定中心",IF($S123="異議處理中","先完成異議複核","補齊或更正考核資料"))))</x:f>
      </x:c>
    </x:row>
    <x:row r="124">
      <x:c r="B124" s="285"/>
      <x:c r="P124" s="285"/>
      <x:c r="R124" s="280" t="str">
        <x:f>IF($A124="","",_xlfn.XLOOKUP($F124&amp;"|"&amp;$G124,'檢核表版本'!$R$7:$R$13,'檢核表版本'!$Q$7:$Q$13,"未發布版本",0))</x:f>
      </x:c>
      <x:c r="S124" s="280" t="str">
        <x:f>IF($A124="","",IF(OR(LEN($B124)=0,LEN($C124)=0,LEN($E124)=0,LEN($F124)=0,LEN($G124)=0,LEN($H124)=0,LEN($I124)=0,LEN($J124)=0,LEN($L124)=0,LEN($M124)=0,LEN($O124)=0),"待補欄位",IF($R124&lt;&gt;"已發布","檢核表版本未發布",IF(AND($L124="通過",OR($I124&gt;0,$J124&gt;0)),"結果與必要項目矛盾",IF(AND($L124="通過",$M124&lt;&gt;"Ø"),"通過後建議評等應為 Ø",IF($O124&lt;&gt;"已知悉","待助理知悉",IF($P124="","待補知悉日",IF(OR($Q124="有異議",$Q124="複核中"),"異議處理中","可送主管核定"))))))))</x:f>
      </x:c>
      <x:c r="T124" s="280" t="str">
        <x:f>IF($A124="","",IF($S124="可送主管核定","可進入主管核定",$S124))</x:f>
      </x:c>
      <x:c r="U124" s="280" t="str">
        <x:f>IF($A124="","",IF($R124&lt;&gt;"已發布","先發布檢核表版本",IF($S124="可送主管核定","送主管核定中心",IF($S124="異議處理中","先完成異議複核","補齊或更正考核資料"))))</x:f>
      </x:c>
    </x:row>
    <x:row r="125">
      <x:c r="B125" s="285"/>
      <x:c r="P125" s="285"/>
      <x:c r="R125" s="280" t="str">
        <x:f>IF($A125="","",_xlfn.XLOOKUP($F125&amp;"|"&amp;$G125,'檢核表版本'!$R$7:$R$13,'檢核表版本'!$Q$7:$Q$13,"未發布版本",0))</x:f>
      </x:c>
      <x:c r="S125" s="280" t="str">
        <x:f>IF($A125="","",IF(OR(LEN($B125)=0,LEN($C125)=0,LEN($E125)=0,LEN($F125)=0,LEN($G125)=0,LEN($H125)=0,LEN($I125)=0,LEN($J125)=0,LEN($L125)=0,LEN($M125)=0,LEN($O125)=0),"待補欄位",IF($R125&lt;&gt;"已發布","檢核表版本未發布",IF(AND($L125="通過",OR($I125&gt;0,$J125&gt;0)),"結果與必要項目矛盾",IF(AND($L125="通過",$M125&lt;&gt;"Ø"),"通過後建議評等應為 Ø",IF($O125&lt;&gt;"已知悉","待助理知悉",IF($P125="","待補知悉日",IF(OR($Q125="有異議",$Q125="複核中"),"異議處理中","可送主管核定"))))))))</x:f>
      </x:c>
      <x:c r="T125" s="280" t="str">
        <x:f>IF($A125="","",IF($S125="可送主管核定","可進入主管核定",$S125))</x:f>
      </x:c>
      <x:c r="U125" s="280" t="str">
        <x:f>IF($A125="","",IF($R125&lt;&gt;"已發布","先發布檢核表版本",IF($S125="可送主管核定","送主管核定中心",IF($S125="異議處理中","先完成異議複核","補齊或更正考核資料"))))</x:f>
      </x:c>
    </x:row>
    <x:row r="126">
      <x:c r="B126" s="285"/>
      <x:c r="P126" s="285"/>
      <x:c r="R126" s="280" t="str">
        <x:f>IF($A126="","",_xlfn.XLOOKUP($F126&amp;"|"&amp;$G126,'檢核表版本'!$R$7:$R$13,'檢核表版本'!$Q$7:$Q$13,"未發布版本",0))</x:f>
      </x:c>
      <x:c r="S126" s="280" t="str">
        <x:f>IF($A126="","",IF(OR(LEN($B126)=0,LEN($C126)=0,LEN($E126)=0,LEN($F126)=0,LEN($G126)=0,LEN($H126)=0,LEN($I126)=0,LEN($J126)=0,LEN($L126)=0,LEN($M126)=0,LEN($O126)=0),"待補欄位",IF($R126&lt;&gt;"已發布","檢核表版本未發布",IF(AND($L126="通過",OR($I126&gt;0,$J126&gt;0)),"結果與必要項目矛盾",IF(AND($L126="通過",$M126&lt;&gt;"Ø"),"通過後建議評等應為 Ø",IF($O126&lt;&gt;"已知悉","待助理知悉",IF($P126="","待補知悉日",IF(OR($Q126="有異議",$Q126="複核中"),"異議處理中","可送主管核定"))))))))</x:f>
      </x:c>
      <x:c r="T126" s="280" t="str">
        <x:f>IF($A126="","",IF($S126="可送主管核定","可進入主管核定",$S126))</x:f>
      </x:c>
      <x:c r="U126" s="280" t="str">
        <x:f>IF($A126="","",IF($R126&lt;&gt;"已發布","先發布檢核表版本",IF($S126="可送主管核定","送主管核定中心",IF($S126="異議處理中","先完成異議複核","補齊或更正考核資料"))))</x:f>
      </x:c>
    </x:row>
    <x:row r="127">
      <x:c r="B127" s="285"/>
      <x:c r="P127" s="285"/>
      <x:c r="R127" s="280" t="str">
        <x:f>IF($A127="","",_xlfn.XLOOKUP($F127&amp;"|"&amp;$G127,'檢核表版本'!$R$7:$R$13,'檢核表版本'!$Q$7:$Q$13,"未發布版本",0))</x:f>
      </x:c>
      <x:c r="S127" s="280" t="str">
        <x:f>IF($A127="","",IF(OR(LEN($B127)=0,LEN($C127)=0,LEN($E127)=0,LEN($F127)=0,LEN($G127)=0,LEN($H127)=0,LEN($I127)=0,LEN($J127)=0,LEN($L127)=0,LEN($M127)=0,LEN($O127)=0),"待補欄位",IF($R127&lt;&gt;"已發布","檢核表版本未發布",IF(AND($L127="通過",OR($I127&gt;0,$J127&gt;0)),"結果與必要項目矛盾",IF(AND($L127="通過",$M127&lt;&gt;"Ø"),"通過後建議評等應為 Ø",IF($O127&lt;&gt;"已知悉","待助理知悉",IF($P127="","待補知悉日",IF(OR($Q127="有異議",$Q127="複核中"),"異議處理中","可送主管核定"))))))))</x:f>
      </x:c>
      <x:c r="T127" s="280" t="str">
        <x:f>IF($A127="","",IF($S127="可送主管核定","可進入主管核定",$S127))</x:f>
      </x:c>
      <x:c r="U127" s="280" t="str">
        <x:f>IF($A127="","",IF($R127&lt;&gt;"已發布","先發布檢核表版本",IF($S127="可送主管核定","送主管核定中心",IF($S127="異議處理中","先完成異議複核","補齊或更正考核資料"))))</x:f>
      </x:c>
    </x:row>
    <x:row r="128">
      <x:c r="B128" s="285"/>
      <x:c r="P128" s="285"/>
      <x:c r="R128" s="280" t="str">
        <x:f>IF($A128="","",_xlfn.XLOOKUP($F128&amp;"|"&amp;$G128,'檢核表版本'!$R$7:$R$13,'檢核表版本'!$Q$7:$Q$13,"未發布版本",0))</x:f>
      </x:c>
      <x:c r="S128" s="280" t="str">
        <x:f>IF($A128="","",IF(OR(LEN($B128)=0,LEN($C128)=0,LEN($E128)=0,LEN($F128)=0,LEN($G128)=0,LEN($H128)=0,LEN($I128)=0,LEN($J128)=0,LEN($L128)=0,LEN($M128)=0,LEN($O128)=0),"待補欄位",IF($R128&lt;&gt;"已發布","檢核表版本未發布",IF(AND($L128="通過",OR($I128&gt;0,$J128&gt;0)),"結果與必要項目矛盾",IF(AND($L128="通過",$M128&lt;&gt;"Ø"),"通過後建議評等應為 Ø",IF($O128&lt;&gt;"已知悉","待助理知悉",IF($P128="","待補知悉日",IF(OR($Q128="有異議",$Q128="複核中"),"異議處理中","可送主管核定"))))))))</x:f>
      </x:c>
      <x:c r="T128" s="280" t="str">
        <x:f>IF($A128="","",IF($S128="可送主管核定","可進入主管核定",$S128))</x:f>
      </x:c>
      <x:c r="U128" s="280" t="str">
        <x:f>IF($A128="","",IF($R128&lt;&gt;"已發布","先發布檢核表版本",IF($S128="可送主管核定","送主管核定中心",IF($S128="異議處理中","先完成異議複核","補齊或更正考核資料"))))</x:f>
      </x:c>
    </x:row>
    <x:row r="129">
      <x:c r="B129" s="285"/>
      <x:c r="P129" s="285"/>
      <x:c r="R129" s="280" t="str">
        <x:f>IF($A129="","",_xlfn.XLOOKUP($F129&amp;"|"&amp;$G129,'檢核表版本'!$R$7:$R$13,'檢核表版本'!$Q$7:$Q$13,"未發布版本",0))</x:f>
      </x:c>
      <x:c r="S129" s="280" t="str">
        <x:f>IF($A129="","",IF(OR(LEN($B129)=0,LEN($C129)=0,LEN($E129)=0,LEN($F129)=0,LEN($G129)=0,LEN($H129)=0,LEN($I129)=0,LEN($J129)=0,LEN($L129)=0,LEN($M129)=0,LEN($O129)=0),"待補欄位",IF($R129&lt;&gt;"已發布","檢核表版本未發布",IF(AND($L129="通過",OR($I129&gt;0,$J129&gt;0)),"結果與必要項目矛盾",IF(AND($L129="通過",$M129&lt;&gt;"Ø"),"通過後建議評等應為 Ø",IF($O129&lt;&gt;"已知悉","待助理知悉",IF($P129="","待補知悉日",IF(OR($Q129="有異議",$Q129="複核中"),"異議處理中","可送主管核定"))))))))</x:f>
      </x:c>
      <x:c r="T129" s="280" t="str">
        <x:f>IF($A129="","",IF($S129="可送主管核定","可進入主管核定",$S129))</x:f>
      </x:c>
      <x:c r="U129" s="280" t="str">
        <x:f>IF($A129="","",IF($R129&lt;&gt;"已發布","先發布檢核表版本",IF($S129="可送主管核定","送主管核定中心",IF($S129="異議處理中","先完成異議複核","補齊或更正考核資料"))))</x:f>
      </x:c>
    </x:row>
    <x:row r="130">
      <x:c r="B130" s="285"/>
      <x:c r="P130" s="285"/>
      <x:c r="R130" s="280" t="str">
        <x:f>IF($A130="","",_xlfn.XLOOKUP($F130&amp;"|"&amp;$G130,'檢核表版本'!$R$7:$R$13,'檢核表版本'!$Q$7:$Q$13,"未發布版本",0))</x:f>
      </x:c>
      <x:c r="S130" s="280" t="str">
        <x:f>IF($A130="","",IF(OR(LEN($B130)=0,LEN($C130)=0,LEN($E130)=0,LEN($F130)=0,LEN($G130)=0,LEN($H130)=0,LEN($I130)=0,LEN($J130)=0,LEN($L130)=0,LEN($M130)=0,LEN($O130)=0),"待補欄位",IF($R130&lt;&gt;"已發布","檢核表版本未發布",IF(AND($L130="通過",OR($I130&gt;0,$J130&gt;0)),"結果與必要項目矛盾",IF(AND($L130="通過",$M130&lt;&gt;"Ø"),"通過後建議評等應為 Ø",IF($O130&lt;&gt;"已知悉","待助理知悉",IF($P130="","待補知悉日",IF(OR($Q130="有異議",$Q130="複核中"),"異議處理中","可送主管核定"))))))))</x:f>
      </x:c>
      <x:c r="T130" s="280" t="str">
        <x:f>IF($A130="","",IF($S130="可送主管核定","可進入主管核定",$S130))</x:f>
      </x:c>
      <x:c r="U130" s="280" t="str">
        <x:f>IF($A130="","",IF($R130&lt;&gt;"已發布","先發布檢核表版本",IF($S130="可送主管核定","送主管核定中心",IF($S130="異議處理中","先完成異議複核","補齊或更正考核資料"))))</x:f>
      </x:c>
    </x:row>
    <x:row r="131">
      <x:c r="B131" s="285"/>
      <x:c r="P131" s="285"/>
      <x:c r="R131" s="280" t="str">
        <x:f>IF($A131="","",_xlfn.XLOOKUP($F131&amp;"|"&amp;$G131,'檢核表版本'!$R$7:$R$13,'檢核表版本'!$Q$7:$Q$13,"未發布版本",0))</x:f>
      </x:c>
      <x:c r="S131" s="280" t="str">
        <x:f>IF($A131="","",IF(OR(LEN($B131)=0,LEN($C131)=0,LEN($E131)=0,LEN($F131)=0,LEN($G131)=0,LEN($H131)=0,LEN($I131)=0,LEN($J131)=0,LEN($L131)=0,LEN($M131)=0,LEN($O131)=0),"待補欄位",IF($R131&lt;&gt;"已發布","檢核表版本未發布",IF(AND($L131="通過",OR($I131&gt;0,$J131&gt;0)),"結果與必要項目矛盾",IF(AND($L131="通過",$M131&lt;&gt;"Ø"),"通過後建議評等應為 Ø",IF($O131&lt;&gt;"已知悉","待助理知悉",IF($P131="","待補知悉日",IF(OR($Q131="有異議",$Q131="複核中"),"異議處理中","可送主管核定"))))))))</x:f>
      </x:c>
      <x:c r="T131" s="280" t="str">
        <x:f>IF($A131="","",IF($S131="可送主管核定","可進入主管核定",$S131))</x:f>
      </x:c>
      <x:c r="U131" s="280" t="str">
        <x:f>IF($A131="","",IF($R131&lt;&gt;"已發布","先發布檢核表版本",IF($S131="可送主管核定","送主管核定中心",IF($S131="異議處理中","先完成異議複核","補齊或更正考核資料"))))</x:f>
      </x:c>
    </x:row>
    <x:row r="132">
      <x:c r="B132" s="285"/>
      <x:c r="P132" s="285"/>
      <x:c r="R132" s="280" t="str">
        <x:f>IF($A132="","",_xlfn.XLOOKUP($F132&amp;"|"&amp;$G132,'檢核表版本'!$R$7:$R$13,'檢核表版本'!$Q$7:$Q$13,"未發布版本",0))</x:f>
      </x:c>
      <x:c r="S132" s="280" t="str">
        <x:f>IF($A132="","",IF(OR(LEN($B132)=0,LEN($C132)=0,LEN($E132)=0,LEN($F132)=0,LEN($G132)=0,LEN($H132)=0,LEN($I132)=0,LEN($J132)=0,LEN($L132)=0,LEN($M132)=0,LEN($O132)=0),"待補欄位",IF($R132&lt;&gt;"已發布","檢核表版本未發布",IF(AND($L132="通過",OR($I132&gt;0,$J132&gt;0)),"結果與必要項目矛盾",IF(AND($L132="通過",$M132&lt;&gt;"Ø"),"通過後建議評等應為 Ø",IF($O132&lt;&gt;"已知悉","待助理知悉",IF($P132="","待補知悉日",IF(OR($Q132="有異議",$Q132="複核中"),"異議處理中","可送主管核定"))))))))</x:f>
      </x:c>
      <x:c r="T132" s="280" t="str">
        <x:f>IF($A132="","",IF($S132="可送主管核定","可進入主管核定",$S132))</x:f>
      </x:c>
      <x:c r="U132" s="280" t="str">
        <x:f>IF($A132="","",IF($R132&lt;&gt;"已發布","先發布檢核表版本",IF($S132="可送主管核定","送主管核定中心",IF($S132="異議處理中","先完成異議複核","補齊或更正考核資料"))))</x:f>
      </x:c>
    </x:row>
    <x:row r="133">
      <x:c r="B133" s="285"/>
      <x:c r="P133" s="285"/>
      <x:c r="R133" s="280" t="str">
        <x:f>IF($A133="","",_xlfn.XLOOKUP($F133&amp;"|"&amp;$G133,'檢核表版本'!$R$7:$R$13,'檢核表版本'!$Q$7:$Q$13,"未發布版本",0))</x:f>
      </x:c>
      <x:c r="S133" s="280" t="str">
        <x:f>IF($A133="","",IF(OR(LEN($B133)=0,LEN($C133)=0,LEN($E133)=0,LEN($F133)=0,LEN($G133)=0,LEN($H133)=0,LEN($I133)=0,LEN($J133)=0,LEN($L133)=0,LEN($M133)=0,LEN($O133)=0),"待補欄位",IF($R133&lt;&gt;"已發布","檢核表版本未發布",IF(AND($L133="通過",OR($I133&gt;0,$J133&gt;0)),"結果與必要項目矛盾",IF(AND($L133="通過",$M133&lt;&gt;"Ø"),"通過後建議評等應為 Ø",IF($O133&lt;&gt;"已知悉","待助理知悉",IF($P133="","待補知悉日",IF(OR($Q133="有異議",$Q133="複核中"),"異議處理中","可送主管核定"))))))))</x:f>
      </x:c>
      <x:c r="T133" s="280" t="str">
        <x:f>IF($A133="","",IF($S133="可送主管核定","可進入主管核定",$S133))</x:f>
      </x:c>
      <x:c r="U133" s="280" t="str">
        <x:f>IF($A133="","",IF($R133&lt;&gt;"已發布","先發布檢核表版本",IF($S133="可送主管核定","送主管核定中心",IF($S133="異議處理中","先完成異議複核","補齊或更正考核資料"))))</x:f>
      </x:c>
    </x:row>
    <x:row r="134">
      <x:c r="B134" s="285"/>
      <x:c r="P134" s="285"/>
      <x:c r="R134" s="280" t="str">
        <x:f>IF($A134="","",_xlfn.XLOOKUP($F134&amp;"|"&amp;$G134,'檢核表版本'!$R$7:$R$13,'檢核表版本'!$Q$7:$Q$13,"未發布版本",0))</x:f>
      </x:c>
      <x:c r="S134" s="280" t="str">
        <x:f>IF($A134="","",IF(OR(LEN($B134)=0,LEN($C134)=0,LEN($E134)=0,LEN($F134)=0,LEN($G134)=0,LEN($H134)=0,LEN($I134)=0,LEN($J134)=0,LEN($L134)=0,LEN($M134)=0,LEN($O134)=0),"待補欄位",IF($R134&lt;&gt;"已發布","檢核表版本未發布",IF(AND($L134="通過",OR($I134&gt;0,$J134&gt;0)),"結果與必要項目矛盾",IF(AND($L134="通過",$M134&lt;&gt;"Ø"),"通過後建議評等應為 Ø",IF($O134&lt;&gt;"已知悉","待助理知悉",IF($P134="","待補知悉日",IF(OR($Q134="有異議",$Q134="複核中"),"異議處理中","可送主管核定"))))))))</x:f>
      </x:c>
      <x:c r="T134" s="280" t="str">
        <x:f>IF($A134="","",IF($S134="可送主管核定","可進入主管核定",$S134))</x:f>
      </x:c>
      <x:c r="U134" s="280" t="str">
        <x:f>IF($A134="","",IF($R134&lt;&gt;"已發布","先發布檢核表版本",IF($S134="可送主管核定","送主管核定中心",IF($S134="異議處理中","先完成異議複核","補齊或更正考核資料"))))</x:f>
      </x:c>
    </x:row>
    <x:row r="135">
      <x:c r="B135" s="285"/>
      <x:c r="P135" s="285"/>
      <x:c r="R135" s="280" t="str">
        <x:f>IF($A135="","",_xlfn.XLOOKUP($F135&amp;"|"&amp;$G135,'檢核表版本'!$R$7:$R$13,'檢核表版本'!$Q$7:$Q$13,"未發布版本",0))</x:f>
      </x:c>
      <x:c r="S135" s="280" t="str">
        <x:f>IF($A135="","",IF(OR(LEN($B135)=0,LEN($C135)=0,LEN($E135)=0,LEN($F135)=0,LEN($G135)=0,LEN($H135)=0,LEN($I135)=0,LEN($J135)=0,LEN($L135)=0,LEN($M135)=0,LEN($O135)=0),"待補欄位",IF($R135&lt;&gt;"已發布","檢核表版本未發布",IF(AND($L135="通過",OR($I135&gt;0,$J135&gt;0)),"結果與必要項目矛盾",IF(AND($L135="通過",$M135&lt;&gt;"Ø"),"通過後建議評等應為 Ø",IF($O135&lt;&gt;"已知悉","待助理知悉",IF($P135="","待補知悉日",IF(OR($Q135="有異議",$Q135="複核中"),"異議處理中","可送主管核定"))))))))</x:f>
      </x:c>
      <x:c r="T135" s="280" t="str">
        <x:f>IF($A135="","",IF($S135="可送主管核定","可進入主管核定",$S135))</x:f>
      </x:c>
      <x:c r="U135" s="280" t="str">
        <x:f>IF($A135="","",IF($R135&lt;&gt;"已發布","先發布檢核表版本",IF($S135="可送主管核定","送主管核定中心",IF($S135="異議處理中","先完成異議複核","補齊或更正考核資料"))))</x:f>
      </x:c>
    </x:row>
    <x:row r="136">
      <x:c r="B136" s="285"/>
      <x:c r="P136" s="285"/>
      <x:c r="R136" s="280" t="str">
        <x:f>IF($A136="","",_xlfn.XLOOKUP($F136&amp;"|"&amp;$G136,'檢核表版本'!$R$7:$R$13,'檢核表版本'!$Q$7:$Q$13,"未發布版本",0))</x:f>
      </x:c>
      <x:c r="S136" s="280" t="str">
        <x:f>IF($A136="","",IF(OR(LEN($B136)=0,LEN($C136)=0,LEN($E136)=0,LEN($F136)=0,LEN($G136)=0,LEN($H136)=0,LEN($I136)=0,LEN($J136)=0,LEN($L136)=0,LEN($M136)=0,LEN($O136)=0),"待補欄位",IF($R136&lt;&gt;"已發布","檢核表版本未發布",IF(AND($L136="通過",OR($I136&gt;0,$J136&gt;0)),"結果與必要項目矛盾",IF(AND($L136="通過",$M136&lt;&gt;"Ø"),"通過後建議評等應為 Ø",IF($O136&lt;&gt;"已知悉","待助理知悉",IF($P136="","待補知悉日",IF(OR($Q136="有異議",$Q136="複核中"),"異議處理中","可送主管核定"))))))))</x:f>
      </x:c>
      <x:c r="T136" s="280" t="str">
        <x:f>IF($A136="","",IF($S136="可送主管核定","可進入主管核定",$S136))</x:f>
      </x:c>
      <x:c r="U136" s="280" t="str">
        <x:f>IF($A136="","",IF($R136&lt;&gt;"已發布","先發布檢核表版本",IF($S136="可送主管核定","送主管核定中心",IF($S136="異議處理中","先完成異議複核","補齊或更正考核資料"))))</x:f>
      </x:c>
    </x:row>
    <x:row r="137">
      <x:c r="B137" s="285"/>
      <x:c r="P137" s="285"/>
      <x:c r="R137" s="280" t="str">
        <x:f>IF($A137="","",_xlfn.XLOOKUP($F137&amp;"|"&amp;$G137,'檢核表版本'!$R$7:$R$13,'檢核表版本'!$Q$7:$Q$13,"未發布版本",0))</x:f>
      </x:c>
      <x:c r="S137" s="280" t="str">
        <x:f>IF($A137="","",IF(OR(LEN($B137)=0,LEN($C137)=0,LEN($E137)=0,LEN($F137)=0,LEN($G137)=0,LEN($H137)=0,LEN($I137)=0,LEN($J137)=0,LEN($L137)=0,LEN($M137)=0,LEN($O137)=0),"待補欄位",IF($R137&lt;&gt;"已發布","檢核表版本未發布",IF(AND($L137="通過",OR($I137&gt;0,$J137&gt;0)),"結果與必要項目矛盾",IF(AND($L137="通過",$M137&lt;&gt;"Ø"),"通過後建議評等應為 Ø",IF($O137&lt;&gt;"已知悉","待助理知悉",IF($P137="","待補知悉日",IF(OR($Q137="有異議",$Q137="複核中"),"異議處理中","可送主管核定"))))))))</x:f>
      </x:c>
      <x:c r="T137" s="280" t="str">
        <x:f>IF($A137="","",IF($S137="可送主管核定","可進入主管核定",$S137))</x:f>
      </x:c>
      <x:c r="U137" s="280" t="str">
        <x:f>IF($A137="","",IF($R137&lt;&gt;"已發布","先發布檢核表版本",IF($S137="可送主管核定","送主管核定中心",IF($S137="異議處理中","先完成異議複核","補齊或更正考核資料"))))</x:f>
      </x:c>
    </x:row>
    <x:row r="138">
      <x:c r="B138" s="285"/>
      <x:c r="P138" s="285"/>
      <x:c r="R138" s="280" t="str">
        <x:f>IF($A138="","",_xlfn.XLOOKUP($F138&amp;"|"&amp;$G138,'檢核表版本'!$R$7:$R$13,'檢核表版本'!$Q$7:$Q$13,"未發布版本",0))</x:f>
      </x:c>
      <x:c r="S138" s="280" t="str">
        <x:f>IF($A138="","",IF(OR(LEN($B138)=0,LEN($C138)=0,LEN($E138)=0,LEN($F138)=0,LEN($G138)=0,LEN($H138)=0,LEN($I138)=0,LEN($J138)=0,LEN($L138)=0,LEN($M138)=0,LEN($O138)=0),"待補欄位",IF($R138&lt;&gt;"已發布","檢核表版本未發布",IF(AND($L138="通過",OR($I138&gt;0,$J138&gt;0)),"結果與必要項目矛盾",IF(AND($L138="通過",$M138&lt;&gt;"Ø"),"通過後建議評等應為 Ø",IF($O138&lt;&gt;"已知悉","待助理知悉",IF($P138="","待補知悉日",IF(OR($Q138="有異議",$Q138="複核中"),"異議處理中","可送主管核定"))))))))</x:f>
      </x:c>
      <x:c r="T138" s="280" t="str">
        <x:f>IF($A138="","",IF($S138="可送主管核定","可進入主管核定",$S138))</x:f>
      </x:c>
      <x:c r="U138" s="280" t="str">
        <x:f>IF($A138="","",IF($R138&lt;&gt;"已發布","先發布檢核表版本",IF($S138="可送主管核定","送主管核定中心",IF($S138="異議處理中","先完成異議複核","補齊或更正考核資料"))))</x:f>
      </x:c>
    </x:row>
    <x:row r="139">
      <x:c r="B139" s="285"/>
      <x:c r="P139" s="285"/>
      <x:c r="R139" s="280" t="str">
        <x:f>IF($A139="","",_xlfn.XLOOKUP($F139&amp;"|"&amp;$G139,'檢核表版本'!$R$7:$R$13,'檢核表版本'!$Q$7:$Q$13,"未發布版本",0))</x:f>
      </x:c>
      <x:c r="S139" s="280" t="str">
        <x:f>IF($A139="","",IF(OR(LEN($B139)=0,LEN($C139)=0,LEN($E139)=0,LEN($F139)=0,LEN($G139)=0,LEN($H139)=0,LEN($I139)=0,LEN($J139)=0,LEN($L139)=0,LEN($M139)=0,LEN($O139)=0),"待補欄位",IF($R139&lt;&gt;"已發布","檢核表版本未發布",IF(AND($L139="通過",OR($I139&gt;0,$J139&gt;0)),"結果與必要項目矛盾",IF(AND($L139="通過",$M139&lt;&gt;"Ø"),"通過後建議評等應為 Ø",IF($O139&lt;&gt;"已知悉","待助理知悉",IF($P139="","待補知悉日",IF(OR($Q139="有異議",$Q139="複核中"),"異議處理中","可送主管核定"))))))))</x:f>
      </x:c>
      <x:c r="T139" s="280" t="str">
        <x:f>IF($A139="","",IF($S139="可送主管核定","可進入主管核定",$S139))</x:f>
      </x:c>
      <x:c r="U139" s="280" t="str">
        <x:f>IF($A139="","",IF($R139&lt;&gt;"已發布","先發布檢核表版本",IF($S139="可送主管核定","送主管核定中心",IF($S139="異議處理中","先完成異議複核","補齊或更正考核資料"))))</x:f>
      </x:c>
    </x:row>
    <x:row r="140">
      <x:c r="B140" s="285"/>
      <x:c r="P140" s="285"/>
      <x:c r="R140" s="280" t="str">
        <x:f>IF($A140="","",_xlfn.XLOOKUP($F140&amp;"|"&amp;$G140,'檢核表版本'!$R$7:$R$13,'檢核表版本'!$Q$7:$Q$13,"未發布版本",0))</x:f>
      </x:c>
      <x:c r="S140" s="280" t="str">
        <x:f>IF($A140="","",IF(OR(LEN($B140)=0,LEN($C140)=0,LEN($E140)=0,LEN($F140)=0,LEN($G140)=0,LEN($H140)=0,LEN($I140)=0,LEN($J140)=0,LEN($L140)=0,LEN($M140)=0,LEN($O140)=0),"待補欄位",IF($R140&lt;&gt;"已發布","檢核表版本未發布",IF(AND($L140="通過",OR($I140&gt;0,$J140&gt;0)),"結果與必要項目矛盾",IF(AND($L140="通過",$M140&lt;&gt;"Ø"),"通過後建議評等應為 Ø",IF($O140&lt;&gt;"已知悉","待助理知悉",IF($P140="","待補知悉日",IF(OR($Q140="有異議",$Q140="複核中"),"異議處理中","可送主管核定"))))))))</x:f>
      </x:c>
      <x:c r="T140" s="280" t="str">
        <x:f>IF($A140="","",IF($S140="可送主管核定","可進入主管核定",$S140))</x:f>
      </x:c>
      <x:c r="U140" s="280" t="str">
        <x:f>IF($A140="","",IF($R140&lt;&gt;"已發布","先發布檢核表版本",IF($S140="可送主管核定","送主管核定中心",IF($S140="異議處理中","先完成異議複核","補齊或更正考核資料"))))</x:f>
      </x:c>
    </x:row>
    <x:row r="141">
      <x:c r="B141" s="285"/>
      <x:c r="P141" s="285"/>
      <x:c r="R141" s="280" t="str">
        <x:f>IF($A141="","",_xlfn.XLOOKUP($F141&amp;"|"&amp;$G141,'檢核表版本'!$R$7:$R$13,'檢核表版本'!$Q$7:$Q$13,"未發布版本",0))</x:f>
      </x:c>
      <x:c r="S141" s="280" t="str">
        <x:f>IF($A141="","",IF(OR(LEN($B141)=0,LEN($C141)=0,LEN($E141)=0,LEN($F141)=0,LEN($G141)=0,LEN($H141)=0,LEN($I141)=0,LEN($J141)=0,LEN($L141)=0,LEN($M141)=0,LEN($O141)=0),"待補欄位",IF($R141&lt;&gt;"已發布","檢核表版本未發布",IF(AND($L141="通過",OR($I141&gt;0,$J141&gt;0)),"結果與必要項目矛盾",IF(AND($L141="通過",$M141&lt;&gt;"Ø"),"通過後建議評等應為 Ø",IF($O141&lt;&gt;"已知悉","待助理知悉",IF($P141="","待補知悉日",IF(OR($Q141="有異議",$Q141="複核中"),"異議處理中","可送主管核定"))))))))</x:f>
      </x:c>
      <x:c r="T141" s="280" t="str">
        <x:f>IF($A141="","",IF($S141="可送主管核定","可進入主管核定",$S141))</x:f>
      </x:c>
      <x:c r="U141" s="280" t="str">
        <x:f>IF($A141="","",IF($R141&lt;&gt;"已發布","先發布檢核表版本",IF($S141="可送主管核定","送主管核定中心",IF($S141="異議處理中","先完成異議複核","補齊或更正考核資料"))))</x:f>
      </x:c>
    </x:row>
    <x:row r="142">
      <x:c r="B142" s="285"/>
      <x:c r="P142" s="285"/>
      <x:c r="R142" s="280" t="str">
        <x:f>IF($A142="","",_xlfn.XLOOKUP($F142&amp;"|"&amp;$G142,'檢核表版本'!$R$7:$R$13,'檢核表版本'!$Q$7:$Q$13,"未發布版本",0))</x:f>
      </x:c>
      <x:c r="S142" s="280" t="str">
        <x:f>IF($A142="","",IF(OR(LEN($B142)=0,LEN($C142)=0,LEN($E142)=0,LEN($F142)=0,LEN($G142)=0,LEN($H142)=0,LEN($I142)=0,LEN($J142)=0,LEN($L142)=0,LEN($M142)=0,LEN($O142)=0),"待補欄位",IF($R142&lt;&gt;"已發布","檢核表版本未發布",IF(AND($L142="通過",OR($I142&gt;0,$J142&gt;0)),"結果與必要項目矛盾",IF(AND($L142="通過",$M142&lt;&gt;"Ø"),"通過後建議評等應為 Ø",IF($O142&lt;&gt;"已知悉","待助理知悉",IF($P142="","待補知悉日",IF(OR($Q142="有異議",$Q142="複核中"),"異議處理中","可送主管核定"))))))))</x:f>
      </x:c>
      <x:c r="T142" s="280" t="str">
        <x:f>IF($A142="","",IF($S142="可送主管核定","可進入主管核定",$S142))</x:f>
      </x:c>
      <x:c r="U142" s="280" t="str">
        <x:f>IF($A142="","",IF($R142&lt;&gt;"已發布","先發布檢核表版本",IF($S142="可送主管核定","送主管核定中心",IF($S142="異議處理中","先完成異議複核","補齊或更正考核資料"))))</x:f>
      </x:c>
    </x:row>
    <x:row r="143">
      <x:c r="B143" s="285"/>
      <x:c r="P143" s="285"/>
      <x:c r="R143" s="280" t="str">
        <x:f>IF($A143="","",_xlfn.XLOOKUP($F143&amp;"|"&amp;$G143,'檢核表版本'!$R$7:$R$13,'檢核表版本'!$Q$7:$Q$13,"未發布版本",0))</x:f>
      </x:c>
      <x:c r="S143" s="280" t="str">
        <x:f>IF($A143="","",IF(OR(LEN($B143)=0,LEN($C143)=0,LEN($E143)=0,LEN($F143)=0,LEN($G143)=0,LEN($H143)=0,LEN($I143)=0,LEN($J143)=0,LEN($L143)=0,LEN($M143)=0,LEN($O143)=0),"待補欄位",IF($R143&lt;&gt;"已發布","檢核表版本未發布",IF(AND($L143="通過",OR($I143&gt;0,$J143&gt;0)),"結果與必要項目矛盾",IF(AND($L143="通過",$M143&lt;&gt;"Ø"),"通過後建議評等應為 Ø",IF($O143&lt;&gt;"已知悉","待助理知悉",IF($P143="","待補知悉日",IF(OR($Q143="有異議",$Q143="複核中"),"異議處理中","可送主管核定"))))))))</x:f>
      </x:c>
      <x:c r="T143" s="280" t="str">
        <x:f>IF($A143="","",IF($S143="可送主管核定","可進入主管核定",$S143))</x:f>
      </x:c>
      <x:c r="U143" s="280" t="str">
        <x:f>IF($A143="","",IF($R143&lt;&gt;"已發布","先發布檢核表版本",IF($S143="可送主管核定","送主管核定中心",IF($S143="異議處理中","先完成異議複核","補齊或更正考核資料"))))</x:f>
      </x:c>
    </x:row>
    <x:row r="144">
      <x:c r="B144" s="285"/>
      <x:c r="P144" s="285"/>
      <x:c r="R144" s="280" t="str">
        <x:f>IF($A144="","",_xlfn.XLOOKUP($F144&amp;"|"&amp;$G144,'檢核表版本'!$R$7:$R$13,'檢核表版本'!$Q$7:$Q$13,"未發布版本",0))</x:f>
      </x:c>
      <x:c r="S144" s="280" t="str">
        <x:f>IF($A144="","",IF(OR(LEN($B144)=0,LEN($C144)=0,LEN($E144)=0,LEN($F144)=0,LEN($G144)=0,LEN($H144)=0,LEN($I144)=0,LEN($J144)=0,LEN($L144)=0,LEN($M144)=0,LEN($O144)=0),"待補欄位",IF($R144&lt;&gt;"已發布","檢核表版本未發布",IF(AND($L144="通過",OR($I144&gt;0,$J144&gt;0)),"結果與必要項目矛盾",IF(AND($L144="通過",$M144&lt;&gt;"Ø"),"通過後建議評等應為 Ø",IF($O144&lt;&gt;"已知悉","待助理知悉",IF($P144="","待補知悉日",IF(OR($Q144="有異議",$Q144="複核中"),"異議處理中","可送主管核定"))))))))</x:f>
      </x:c>
      <x:c r="T144" s="280" t="str">
        <x:f>IF($A144="","",IF($S144="可送主管核定","可進入主管核定",$S144))</x:f>
      </x:c>
      <x:c r="U144" s="280" t="str">
        <x:f>IF($A144="","",IF($R144&lt;&gt;"已發布","先發布檢核表版本",IF($S144="可送主管核定","送主管核定中心",IF($S144="異議處理中","先完成異議複核","補齊或更正考核資料"))))</x:f>
      </x:c>
    </x:row>
    <x:row r="145">
      <x:c r="B145" s="285"/>
      <x:c r="P145" s="285"/>
      <x:c r="R145" s="280" t="str">
        <x:f>IF($A145="","",_xlfn.XLOOKUP($F145&amp;"|"&amp;$G145,'檢核表版本'!$R$7:$R$13,'檢核表版本'!$Q$7:$Q$13,"未發布版本",0))</x:f>
      </x:c>
      <x:c r="S145" s="280" t="str">
        <x:f>IF($A145="","",IF(OR(LEN($B145)=0,LEN($C145)=0,LEN($E145)=0,LEN($F145)=0,LEN($G145)=0,LEN($H145)=0,LEN($I145)=0,LEN($J145)=0,LEN($L145)=0,LEN($M145)=0,LEN($O145)=0),"待補欄位",IF($R145&lt;&gt;"已發布","檢核表版本未發布",IF(AND($L145="通過",OR($I145&gt;0,$J145&gt;0)),"結果與必要項目矛盾",IF(AND($L145="通過",$M145&lt;&gt;"Ø"),"通過後建議評等應為 Ø",IF($O145&lt;&gt;"已知悉","待助理知悉",IF($P145="","待補知悉日",IF(OR($Q145="有異議",$Q145="複核中"),"異議處理中","可送主管核定"))))))))</x:f>
      </x:c>
      <x:c r="T145" s="280" t="str">
        <x:f>IF($A145="","",IF($S145="可送主管核定","可進入主管核定",$S145))</x:f>
      </x:c>
      <x:c r="U145" s="280" t="str">
        <x:f>IF($A145="","",IF($R145&lt;&gt;"已發布","先發布檢核表版本",IF($S145="可送主管核定","送主管核定中心",IF($S145="異議處理中","先完成異議複核","補齊或更正考核資料"))))</x:f>
      </x:c>
    </x:row>
    <x:row r="146">
      <x:c r="B146" s="285"/>
      <x:c r="P146" s="285"/>
      <x:c r="R146" s="280" t="str">
        <x:f>IF($A146="","",_xlfn.XLOOKUP($F146&amp;"|"&amp;$G146,'檢核表版本'!$R$7:$R$13,'檢核表版本'!$Q$7:$Q$13,"未發布版本",0))</x:f>
      </x:c>
      <x:c r="S146" s="280" t="str">
        <x:f>IF($A146="","",IF(OR(LEN($B146)=0,LEN($C146)=0,LEN($E146)=0,LEN($F146)=0,LEN($G146)=0,LEN($H146)=0,LEN($I146)=0,LEN($J146)=0,LEN($L146)=0,LEN($M146)=0,LEN($O146)=0),"待補欄位",IF($R146&lt;&gt;"已發布","檢核表版本未發布",IF(AND($L146="通過",OR($I146&gt;0,$J146&gt;0)),"結果與必要項目矛盾",IF(AND($L146="通過",$M146&lt;&gt;"Ø"),"通過後建議評等應為 Ø",IF($O146&lt;&gt;"已知悉","待助理知悉",IF($P146="","待補知悉日",IF(OR($Q146="有異議",$Q146="複核中"),"異議處理中","可送主管核定"))))))))</x:f>
      </x:c>
      <x:c r="T146" s="280" t="str">
        <x:f>IF($A146="","",IF($S146="可送主管核定","可進入主管核定",$S146))</x:f>
      </x:c>
      <x:c r="U146" s="280" t="str">
        <x:f>IF($A146="","",IF($R146&lt;&gt;"已發布","先發布檢核表版本",IF($S146="可送主管核定","送主管核定中心",IF($S146="異議處理中","先完成異議複核","補齊或更正考核資料"))))</x:f>
      </x:c>
    </x:row>
    <x:row r="147">
      <x:c r="B147" s="285"/>
      <x:c r="P147" s="285"/>
      <x:c r="R147" s="280" t="str">
        <x:f>IF($A147="","",_xlfn.XLOOKUP($F147&amp;"|"&amp;$G147,'檢核表版本'!$R$7:$R$13,'檢核表版本'!$Q$7:$Q$13,"未發布版本",0))</x:f>
      </x:c>
      <x:c r="S147" s="280" t="str">
        <x:f>IF($A147="","",IF(OR(LEN($B147)=0,LEN($C147)=0,LEN($E147)=0,LEN($F147)=0,LEN($G147)=0,LEN($H147)=0,LEN($I147)=0,LEN($J147)=0,LEN($L147)=0,LEN($M147)=0,LEN($O147)=0),"待補欄位",IF($R147&lt;&gt;"已發布","檢核表版本未發布",IF(AND($L147="通過",OR($I147&gt;0,$J147&gt;0)),"結果與必要項目矛盾",IF(AND($L147="通過",$M147&lt;&gt;"Ø"),"通過後建議評等應為 Ø",IF($O147&lt;&gt;"已知悉","待助理知悉",IF($P147="","待補知悉日",IF(OR($Q147="有異議",$Q147="複核中"),"異議處理中","可送主管核定"))))))))</x:f>
      </x:c>
      <x:c r="T147" s="280" t="str">
        <x:f>IF($A147="","",IF($S147="可送主管核定","可進入主管核定",$S147))</x:f>
      </x:c>
      <x:c r="U147" s="280" t="str">
        <x:f>IF($A147="","",IF($R147&lt;&gt;"已發布","先發布檢核表版本",IF($S147="可送主管核定","送主管核定中心",IF($S147="異議處理中","先完成異議複核","補齊或更正考核資料"))))</x:f>
      </x:c>
    </x:row>
    <x:row r="148">
      <x:c r="B148" s="285"/>
      <x:c r="P148" s="285"/>
      <x:c r="R148" s="280" t="str">
        <x:f>IF($A148="","",_xlfn.XLOOKUP($F148&amp;"|"&amp;$G148,'檢核表版本'!$R$7:$R$13,'檢核表版本'!$Q$7:$Q$13,"未發布版本",0))</x:f>
      </x:c>
      <x:c r="S148" s="280" t="str">
        <x:f>IF($A148="","",IF(OR(LEN($B148)=0,LEN($C148)=0,LEN($E148)=0,LEN($F148)=0,LEN($G148)=0,LEN($H148)=0,LEN($I148)=0,LEN($J148)=0,LEN($L148)=0,LEN($M148)=0,LEN($O148)=0),"待補欄位",IF($R148&lt;&gt;"已發布","檢核表版本未發布",IF(AND($L148="通過",OR($I148&gt;0,$J148&gt;0)),"結果與必要項目矛盾",IF(AND($L148="通過",$M148&lt;&gt;"Ø"),"通過後建議評等應為 Ø",IF($O148&lt;&gt;"已知悉","待助理知悉",IF($P148="","待補知悉日",IF(OR($Q148="有異議",$Q148="複核中"),"異議處理中","可送主管核定"))))))))</x:f>
      </x:c>
      <x:c r="T148" s="280" t="str">
        <x:f>IF($A148="","",IF($S148="可送主管核定","可進入主管核定",$S148))</x:f>
      </x:c>
      <x:c r="U148" s="280" t="str">
        <x:f>IF($A148="","",IF($R148&lt;&gt;"已發布","先發布檢核表版本",IF($S148="可送主管核定","送主管核定中心",IF($S148="異議處理中","先完成異議複核","補齊或更正考核資料"))))</x:f>
      </x:c>
    </x:row>
    <x:row r="149">
      <x:c r="B149" s="285"/>
      <x:c r="P149" s="285"/>
      <x:c r="R149" s="280" t="str">
        <x:f>IF($A149="","",_xlfn.XLOOKUP($F149&amp;"|"&amp;$G149,'檢核表版本'!$R$7:$R$13,'檢核表版本'!$Q$7:$Q$13,"未發布版本",0))</x:f>
      </x:c>
      <x:c r="S149" s="280" t="str">
        <x:f>IF($A149="","",IF(OR(LEN($B149)=0,LEN($C149)=0,LEN($E149)=0,LEN($F149)=0,LEN($G149)=0,LEN($H149)=0,LEN($I149)=0,LEN($J149)=0,LEN($L149)=0,LEN($M149)=0,LEN($O149)=0),"待補欄位",IF($R149&lt;&gt;"已發布","檢核表版本未發布",IF(AND($L149="通過",OR($I149&gt;0,$J149&gt;0)),"結果與必要項目矛盾",IF(AND($L149="通過",$M149&lt;&gt;"Ø"),"通過後建議評等應為 Ø",IF($O149&lt;&gt;"已知悉","待助理知悉",IF($P149="","待補知悉日",IF(OR($Q149="有異議",$Q149="複核中"),"異議處理中","可送主管核定"))))))))</x:f>
      </x:c>
      <x:c r="T149" s="280" t="str">
        <x:f>IF($A149="","",IF($S149="可送主管核定","可進入主管核定",$S149))</x:f>
      </x:c>
      <x:c r="U149" s="280" t="str">
        <x:f>IF($A149="","",IF($R149&lt;&gt;"已發布","先發布檢核表版本",IF($S149="可送主管核定","送主管核定中心",IF($S149="異議處理中","先完成異議複核","補齊或更正考核資料"))))</x:f>
      </x:c>
    </x:row>
    <x:row r="150">
      <x:c r="B150" s="285"/>
      <x:c r="P150" s="285"/>
      <x:c r="R150" s="280" t="str">
        <x:f>IF($A150="","",_xlfn.XLOOKUP($F150&amp;"|"&amp;$G150,'檢核表版本'!$R$7:$R$13,'檢核表版本'!$Q$7:$Q$13,"未發布版本",0))</x:f>
      </x:c>
      <x:c r="S150" s="280" t="str">
        <x:f>IF($A150="","",IF(OR(LEN($B150)=0,LEN($C150)=0,LEN($E150)=0,LEN($F150)=0,LEN($G150)=0,LEN($H150)=0,LEN($I150)=0,LEN($J150)=0,LEN($L150)=0,LEN($M150)=0,LEN($O150)=0),"待補欄位",IF($R150&lt;&gt;"已發布","檢核表版本未發布",IF(AND($L150="通過",OR($I150&gt;0,$J150&gt;0)),"結果與必要項目矛盾",IF(AND($L150="通過",$M150&lt;&gt;"Ø"),"通過後建議評等應為 Ø",IF($O150&lt;&gt;"已知悉","待助理知悉",IF($P150="","待補知悉日",IF(OR($Q150="有異議",$Q150="複核中"),"異議處理中","可送主管核定"))))))))</x:f>
      </x:c>
      <x:c r="T150" s="280" t="str">
        <x:f>IF($A150="","",IF($S150="可送主管核定","可進入主管核定",$S150))</x:f>
      </x:c>
      <x:c r="U150" s="280" t="str">
        <x:f>IF($A150="","",IF($R150&lt;&gt;"已發布","先發布檢核表版本",IF($S150="可送主管核定","送主管核定中心",IF($S150="異議處理中","先完成異議複核","補齊或更正考核資料"))))</x:f>
      </x:c>
    </x:row>
    <x:row r="151">
      <x:c r="B151" s="285"/>
      <x:c r="P151" s="285"/>
      <x:c r="R151" s="280" t="str">
        <x:f>IF($A151="","",_xlfn.XLOOKUP($F151&amp;"|"&amp;$G151,'檢核表版本'!$R$7:$R$13,'檢核表版本'!$Q$7:$Q$13,"未發布版本",0))</x:f>
      </x:c>
      <x:c r="S151" s="280" t="str">
        <x:f>IF($A151="","",IF(OR(LEN($B151)=0,LEN($C151)=0,LEN($E151)=0,LEN($F151)=0,LEN($G151)=0,LEN($H151)=0,LEN($I151)=0,LEN($J151)=0,LEN($L151)=0,LEN($M151)=0,LEN($O151)=0),"待補欄位",IF($R151&lt;&gt;"已發布","檢核表版本未發布",IF(AND($L151="通過",OR($I151&gt;0,$J151&gt;0)),"結果與必要項目矛盾",IF(AND($L151="通過",$M151&lt;&gt;"Ø"),"通過後建議評等應為 Ø",IF($O151&lt;&gt;"已知悉","待助理知悉",IF($P151="","待補知悉日",IF(OR($Q151="有異議",$Q151="複核中"),"異議處理中","可送主管核定"))))))))</x:f>
      </x:c>
      <x:c r="T151" s="280" t="str">
        <x:f>IF($A151="","",IF($S151="可送主管核定","可進入主管核定",$S151))</x:f>
      </x:c>
      <x:c r="U151" s="280" t="str">
        <x:f>IF($A151="","",IF($R151&lt;&gt;"已發布","先發布檢核表版本",IF($S151="可送主管核定","送主管核定中心",IF($S151="異議處理中","先完成異議複核","補齊或更正考核資料"))))</x:f>
      </x:c>
    </x:row>
    <x:row r="152">
      <x:c r="B152" s="285"/>
      <x:c r="P152" s="285"/>
      <x:c r="R152" s="280" t="str">
        <x:f>IF($A152="","",_xlfn.XLOOKUP($F152&amp;"|"&amp;$G152,'檢核表版本'!$R$7:$R$13,'檢核表版本'!$Q$7:$Q$13,"未發布版本",0))</x:f>
      </x:c>
      <x:c r="S152" s="280" t="str">
        <x:f>IF($A152="","",IF(OR(LEN($B152)=0,LEN($C152)=0,LEN($E152)=0,LEN($F152)=0,LEN($G152)=0,LEN($H152)=0,LEN($I152)=0,LEN($J152)=0,LEN($L152)=0,LEN($M152)=0,LEN($O152)=0),"待補欄位",IF($R152&lt;&gt;"已發布","檢核表版本未發布",IF(AND($L152="通過",OR($I152&gt;0,$J152&gt;0)),"結果與必要項目矛盾",IF(AND($L152="通過",$M152&lt;&gt;"Ø"),"通過後建議評等應為 Ø",IF($O152&lt;&gt;"已知悉","待助理知悉",IF($P152="","待補知悉日",IF(OR($Q152="有異議",$Q152="複核中"),"異議處理中","可送主管核定"))))))))</x:f>
      </x:c>
      <x:c r="T152" s="280" t="str">
        <x:f>IF($A152="","",IF($S152="可送主管核定","可進入主管核定",$S152))</x:f>
      </x:c>
      <x:c r="U152" s="280" t="str">
        <x:f>IF($A152="","",IF($R152&lt;&gt;"已發布","先發布檢核表版本",IF($S152="可送主管核定","送主管核定中心",IF($S152="異議處理中","先完成異議複核","補齊或更正考核資料"))))</x:f>
      </x:c>
    </x:row>
    <x:row r="153">
      <x:c r="B153" s="285"/>
      <x:c r="P153" s="285"/>
      <x:c r="R153" s="280" t="str">
        <x:f>IF($A153="","",_xlfn.XLOOKUP($F153&amp;"|"&amp;$G153,'檢核表版本'!$R$7:$R$13,'檢核表版本'!$Q$7:$Q$13,"未發布版本",0))</x:f>
      </x:c>
      <x:c r="S153" s="280" t="str">
        <x:f>IF($A153="","",IF(OR(LEN($B153)=0,LEN($C153)=0,LEN($E153)=0,LEN($F153)=0,LEN($G153)=0,LEN($H153)=0,LEN($I153)=0,LEN($J153)=0,LEN($L153)=0,LEN($M153)=0,LEN($O153)=0),"待補欄位",IF($R153&lt;&gt;"已發布","檢核表版本未發布",IF(AND($L153="通過",OR($I153&gt;0,$J153&gt;0)),"結果與必要項目矛盾",IF(AND($L153="通過",$M153&lt;&gt;"Ø"),"通過後建議評等應為 Ø",IF($O153&lt;&gt;"已知悉","待助理知悉",IF($P153="","待補知悉日",IF(OR($Q153="有異議",$Q153="複核中"),"異議處理中","可送主管核定"))))))))</x:f>
      </x:c>
      <x:c r="T153" s="280" t="str">
        <x:f>IF($A153="","",IF($S153="可送主管核定","可進入主管核定",$S153))</x:f>
      </x:c>
      <x:c r="U153" s="280" t="str">
        <x:f>IF($A153="","",IF($R153&lt;&gt;"已發布","先發布檢核表版本",IF($S153="可送主管核定","送主管核定中心",IF($S153="異議處理中","先完成異議複核","補齊或更正考核資料"))))</x:f>
      </x:c>
    </x:row>
    <x:row r="154">
      <x:c r="B154" s="285"/>
      <x:c r="P154" s="285"/>
      <x:c r="R154" s="280" t="str">
        <x:f>IF($A154="","",_xlfn.XLOOKUP($F154&amp;"|"&amp;$G154,'檢核表版本'!$R$7:$R$13,'檢核表版本'!$Q$7:$Q$13,"未發布版本",0))</x:f>
      </x:c>
      <x:c r="S154" s="280" t="str">
        <x:f>IF($A154="","",IF(OR(LEN($B154)=0,LEN($C154)=0,LEN($E154)=0,LEN($F154)=0,LEN($G154)=0,LEN($H154)=0,LEN($I154)=0,LEN($J154)=0,LEN($L154)=0,LEN($M154)=0,LEN($O154)=0),"待補欄位",IF($R154&lt;&gt;"已發布","檢核表版本未發布",IF(AND($L154="通過",OR($I154&gt;0,$J154&gt;0)),"結果與必要項目矛盾",IF(AND($L154="通過",$M154&lt;&gt;"Ø"),"通過後建議評等應為 Ø",IF($O154&lt;&gt;"已知悉","待助理知悉",IF($P154="","待補知悉日",IF(OR($Q154="有異議",$Q154="複核中"),"異議處理中","可送主管核定"))))))))</x:f>
      </x:c>
      <x:c r="T154" s="280" t="str">
        <x:f>IF($A154="","",IF($S154="可送主管核定","可進入主管核定",$S154))</x:f>
      </x:c>
      <x:c r="U154" s="280" t="str">
        <x:f>IF($A154="","",IF($R154&lt;&gt;"已發布","先發布檢核表版本",IF($S154="可送主管核定","送主管核定中心",IF($S154="異議處理中","先完成異議複核","補齊或更正考核資料"))))</x:f>
      </x:c>
    </x:row>
    <x:row r="155">
      <x:c r="B155" s="285"/>
      <x:c r="P155" s="285"/>
      <x:c r="R155" s="280" t="str">
        <x:f>IF($A155="","",_xlfn.XLOOKUP($F155&amp;"|"&amp;$G155,'檢核表版本'!$R$7:$R$13,'檢核表版本'!$Q$7:$Q$13,"未發布版本",0))</x:f>
      </x:c>
      <x:c r="S155" s="280" t="str">
        <x:f>IF($A155="","",IF(OR(LEN($B155)=0,LEN($C155)=0,LEN($E155)=0,LEN($F155)=0,LEN($G155)=0,LEN($H155)=0,LEN($I155)=0,LEN($J155)=0,LEN($L155)=0,LEN($M155)=0,LEN($O155)=0),"待補欄位",IF($R155&lt;&gt;"已發布","檢核表版本未發布",IF(AND($L155="通過",OR($I155&gt;0,$J155&gt;0)),"結果與必要項目矛盾",IF(AND($L155="通過",$M155&lt;&gt;"Ø"),"通過後建議評等應為 Ø",IF($O155&lt;&gt;"已知悉","待助理知悉",IF($P155="","待補知悉日",IF(OR($Q155="有異議",$Q155="複核中"),"異議處理中","可送主管核定"))))))))</x:f>
      </x:c>
      <x:c r="T155" s="280" t="str">
        <x:f>IF($A155="","",IF($S155="可送主管核定","可進入主管核定",$S155))</x:f>
      </x:c>
      <x:c r="U155" s="280" t="str">
        <x:f>IF($A155="","",IF($R155&lt;&gt;"已發布","先發布檢核表版本",IF($S155="可送主管核定","送主管核定中心",IF($S155="異議處理中","先完成異議複核","補齊或更正考核資料"))))</x:f>
      </x:c>
    </x:row>
    <x:row r="156">
      <x:c r="B156" s="285"/>
      <x:c r="P156" s="285"/>
      <x:c r="R156" s="280" t="str">
        <x:f>IF($A156="","",_xlfn.XLOOKUP($F156&amp;"|"&amp;$G156,'檢核表版本'!$R$7:$R$13,'檢核表版本'!$Q$7:$Q$13,"未發布版本",0))</x:f>
      </x:c>
      <x:c r="S156" s="280" t="str">
        <x:f>IF($A156="","",IF(OR(LEN($B156)=0,LEN($C156)=0,LEN($E156)=0,LEN($F156)=0,LEN($G156)=0,LEN($H156)=0,LEN($I156)=0,LEN($J156)=0,LEN($L156)=0,LEN($M156)=0,LEN($O156)=0),"待補欄位",IF($R156&lt;&gt;"已發布","檢核表版本未發布",IF(AND($L156="通過",OR($I156&gt;0,$J156&gt;0)),"結果與必要項目矛盾",IF(AND($L156="通過",$M156&lt;&gt;"Ø"),"通過後建議評等應為 Ø",IF($O156&lt;&gt;"已知悉","待助理知悉",IF($P156="","待補知悉日",IF(OR($Q156="有異議",$Q156="複核中"),"異議處理中","可送主管核定"))))))))</x:f>
      </x:c>
      <x:c r="T156" s="280" t="str">
        <x:f>IF($A156="","",IF($S156="可送主管核定","可進入主管核定",$S156))</x:f>
      </x:c>
      <x:c r="U156" s="280" t="str">
        <x:f>IF($A156="","",IF($R156&lt;&gt;"已發布","先發布檢核表版本",IF($S156="可送主管核定","送主管核定中心",IF($S156="異議處理中","先完成異議複核","補齊或更正考核資料"))))</x:f>
      </x:c>
    </x:row>
    <x:row r="157">
      <x:c r="B157" s="285"/>
      <x:c r="P157" s="285"/>
      <x:c r="R157" s="280" t="str">
        <x:f>IF($A157="","",_xlfn.XLOOKUP($F157&amp;"|"&amp;$G157,'檢核表版本'!$R$7:$R$13,'檢核表版本'!$Q$7:$Q$13,"未發布版本",0))</x:f>
      </x:c>
      <x:c r="S157" s="280" t="str">
        <x:f>IF($A157="","",IF(OR(LEN($B157)=0,LEN($C157)=0,LEN($E157)=0,LEN($F157)=0,LEN($G157)=0,LEN($H157)=0,LEN($I157)=0,LEN($J157)=0,LEN($L157)=0,LEN($M157)=0,LEN($O157)=0),"待補欄位",IF($R157&lt;&gt;"已發布","檢核表版本未發布",IF(AND($L157="通過",OR($I157&gt;0,$J157&gt;0)),"結果與必要項目矛盾",IF(AND($L157="通過",$M157&lt;&gt;"Ø"),"通過後建議評等應為 Ø",IF($O157&lt;&gt;"已知悉","待助理知悉",IF($P157="","待補知悉日",IF(OR($Q157="有異議",$Q157="複核中"),"異議處理中","可送主管核定"))))))))</x:f>
      </x:c>
      <x:c r="T157" s="280" t="str">
        <x:f>IF($A157="","",IF($S157="可送主管核定","可進入主管核定",$S157))</x:f>
      </x:c>
      <x:c r="U157" s="280" t="str">
        <x:f>IF($A157="","",IF($R157&lt;&gt;"已發布","先發布檢核表版本",IF($S157="可送主管核定","送主管核定中心",IF($S157="異議處理中","先完成異議複核","補齊或更正考核資料"))))</x:f>
      </x:c>
    </x:row>
    <x:row r="158">
      <x:c r="B158" s="285"/>
      <x:c r="P158" s="285"/>
      <x:c r="R158" s="280" t="str">
        <x:f>IF($A158="","",_xlfn.XLOOKUP($F158&amp;"|"&amp;$G158,'檢核表版本'!$R$7:$R$13,'檢核表版本'!$Q$7:$Q$13,"未發布版本",0))</x:f>
      </x:c>
      <x:c r="S158" s="280" t="str">
        <x:f>IF($A158="","",IF(OR(LEN($B158)=0,LEN($C158)=0,LEN($E158)=0,LEN($F158)=0,LEN($G158)=0,LEN($H158)=0,LEN($I158)=0,LEN($J158)=0,LEN($L158)=0,LEN($M158)=0,LEN($O158)=0),"待補欄位",IF($R158&lt;&gt;"已發布","檢核表版本未發布",IF(AND($L158="通過",OR($I158&gt;0,$J158&gt;0)),"結果與必要項目矛盾",IF(AND($L158="通過",$M158&lt;&gt;"Ø"),"通過後建議評等應為 Ø",IF($O158&lt;&gt;"已知悉","待助理知悉",IF($P158="","待補知悉日",IF(OR($Q158="有異議",$Q158="複核中"),"異議處理中","可送主管核定"))))))))</x:f>
      </x:c>
      <x:c r="T158" s="280" t="str">
        <x:f>IF($A158="","",IF($S158="可送主管核定","可進入主管核定",$S158))</x:f>
      </x:c>
      <x:c r="U158" s="280" t="str">
        <x:f>IF($A158="","",IF($R158&lt;&gt;"已發布","先發布檢核表版本",IF($S158="可送主管核定","送主管核定中心",IF($S158="異議處理中","先完成異議複核","補齊或更正考核資料"))))</x:f>
      </x:c>
    </x:row>
    <x:row r="159">
      <x:c r="B159" s="285"/>
      <x:c r="P159" s="285"/>
      <x:c r="R159" s="280" t="str">
        <x:f>IF($A159="","",_xlfn.XLOOKUP($F159&amp;"|"&amp;$G159,'檢核表版本'!$R$7:$R$13,'檢核表版本'!$Q$7:$Q$13,"未發布版本",0))</x:f>
      </x:c>
      <x:c r="S159" s="280" t="str">
        <x:f>IF($A159="","",IF(OR(LEN($B159)=0,LEN($C159)=0,LEN($E159)=0,LEN($F159)=0,LEN($G159)=0,LEN($H159)=0,LEN($I159)=0,LEN($J159)=0,LEN($L159)=0,LEN($M159)=0,LEN($O159)=0),"待補欄位",IF($R159&lt;&gt;"已發布","檢核表版本未發布",IF(AND($L159="通過",OR($I159&gt;0,$J159&gt;0)),"結果與必要項目矛盾",IF(AND($L159="通過",$M159&lt;&gt;"Ø"),"通過後建議評等應為 Ø",IF($O159&lt;&gt;"已知悉","待助理知悉",IF($P159="","待補知悉日",IF(OR($Q159="有異議",$Q159="複核中"),"異議處理中","可送主管核定"))))))))</x:f>
      </x:c>
      <x:c r="T159" s="280" t="str">
        <x:f>IF($A159="","",IF($S159="可送主管核定","可進入主管核定",$S159))</x:f>
      </x:c>
      <x:c r="U159" s="280" t="str">
        <x:f>IF($A159="","",IF($R159&lt;&gt;"已發布","先發布檢核表版本",IF($S159="可送主管核定","送主管核定中心",IF($S159="異議處理中","先完成異議複核","補齊或更正考核資料"))))</x:f>
      </x:c>
    </x:row>
    <x:row r="160">
      <x:c r="B160" s="285"/>
      <x:c r="P160" s="285"/>
      <x:c r="R160" s="280" t="str">
        <x:f>IF($A160="","",_xlfn.XLOOKUP($F160&amp;"|"&amp;$G160,'檢核表版本'!$R$7:$R$13,'檢核表版本'!$Q$7:$Q$13,"未發布版本",0))</x:f>
      </x:c>
      <x:c r="S160" s="280" t="str">
        <x:f>IF($A160="","",IF(OR(LEN($B160)=0,LEN($C160)=0,LEN($E160)=0,LEN($F160)=0,LEN($G160)=0,LEN($H160)=0,LEN($I160)=0,LEN($J160)=0,LEN($L160)=0,LEN($M160)=0,LEN($O160)=0),"待補欄位",IF($R160&lt;&gt;"已發布","檢核表版本未發布",IF(AND($L160="通過",OR($I160&gt;0,$J160&gt;0)),"結果與必要項目矛盾",IF(AND($L160="通過",$M160&lt;&gt;"Ø"),"通過後建議評等應為 Ø",IF($O160&lt;&gt;"已知悉","待助理知悉",IF($P160="","待補知悉日",IF(OR($Q160="有異議",$Q160="複核中"),"異議處理中","可送主管核定"))))))))</x:f>
      </x:c>
      <x:c r="T160" s="280" t="str">
        <x:f>IF($A160="","",IF($S160="可送主管核定","可進入主管核定",$S160))</x:f>
      </x:c>
      <x:c r="U160" s="280" t="str">
        <x:f>IF($A160="","",IF($R160&lt;&gt;"已發布","先發布檢核表版本",IF($S160="可送主管核定","送主管核定中心",IF($S160="異議處理中","先完成異議複核","補齊或更正考核資料"))))</x:f>
      </x:c>
    </x:row>
    <x:row r="161">
      <x:c r="B161" s="285"/>
      <x:c r="P161" s="285"/>
      <x:c r="R161" s="280" t="str">
        <x:f>IF($A161="","",_xlfn.XLOOKUP($F161&amp;"|"&amp;$G161,'檢核表版本'!$R$7:$R$13,'檢核表版本'!$Q$7:$Q$13,"未發布版本",0))</x:f>
      </x:c>
      <x:c r="S161" s="280" t="str">
        <x:f>IF($A161="","",IF(OR(LEN($B161)=0,LEN($C161)=0,LEN($E161)=0,LEN($F161)=0,LEN($G161)=0,LEN($H161)=0,LEN($I161)=0,LEN($J161)=0,LEN($L161)=0,LEN($M161)=0,LEN($O161)=0),"待補欄位",IF($R161&lt;&gt;"已發布","檢核表版本未發布",IF(AND($L161="通過",OR($I161&gt;0,$J161&gt;0)),"結果與必要項目矛盾",IF(AND($L161="通過",$M161&lt;&gt;"Ø"),"通過後建議評等應為 Ø",IF($O161&lt;&gt;"已知悉","待助理知悉",IF($P161="","待補知悉日",IF(OR($Q161="有異議",$Q161="複核中"),"異議處理中","可送主管核定"))))))))</x:f>
      </x:c>
      <x:c r="T161" s="280" t="str">
        <x:f>IF($A161="","",IF($S161="可送主管核定","可進入主管核定",$S161))</x:f>
      </x:c>
      <x:c r="U161" s="280" t="str">
        <x:f>IF($A161="","",IF($R161&lt;&gt;"已發布","先發布檢核表版本",IF($S161="可送主管核定","送主管核定中心",IF($S161="異議處理中","先完成異議複核","補齊或更正考核資料"))))</x:f>
      </x:c>
    </x:row>
    <x:row r="162">
      <x:c r="B162" s="285"/>
      <x:c r="P162" s="285"/>
      <x:c r="R162" s="280" t="str">
        <x:f>IF($A162="","",_xlfn.XLOOKUP($F162&amp;"|"&amp;$G162,'檢核表版本'!$R$7:$R$13,'檢核表版本'!$Q$7:$Q$13,"未發布版本",0))</x:f>
      </x:c>
      <x:c r="S162" s="280" t="str">
        <x:f>IF($A162="","",IF(OR(LEN($B162)=0,LEN($C162)=0,LEN($E162)=0,LEN($F162)=0,LEN($G162)=0,LEN($H162)=0,LEN($I162)=0,LEN($J162)=0,LEN($L162)=0,LEN($M162)=0,LEN($O162)=0),"待補欄位",IF($R162&lt;&gt;"已發布","檢核表版本未發布",IF(AND($L162="通過",OR($I162&gt;0,$J162&gt;0)),"結果與必要項目矛盾",IF(AND($L162="通過",$M162&lt;&gt;"Ø"),"通過後建議評等應為 Ø",IF($O162&lt;&gt;"已知悉","待助理知悉",IF($P162="","待補知悉日",IF(OR($Q162="有異議",$Q162="複核中"),"異議處理中","可送主管核定"))))))))</x:f>
      </x:c>
      <x:c r="T162" s="280" t="str">
        <x:f>IF($A162="","",IF($S162="可送主管核定","可進入主管核定",$S162))</x:f>
      </x:c>
      <x:c r="U162" s="280" t="str">
        <x:f>IF($A162="","",IF($R162&lt;&gt;"已發布","先發布檢核表版本",IF($S162="可送主管核定","送主管核定中心",IF($S162="異議處理中","先完成異議複核","補齊或更正考核資料"))))</x:f>
      </x:c>
    </x:row>
    <x:row r="163">
      <x:c r="B163" s="285"/>
      <x:c r="P163" s="285"/>
      <x:c r="R163" s="280" t="str">
        <x:f>IF($A163="","",_xlfn.XLOOKUP($F163&amp;"|"&amp;$G163,'檢核表版本'!$R$7:$R$13,'檢核表版本'!$Q$7:$Q$13,"未發布版本",0))</x:f>
      </x:c>
      <x:c r="S163" s="280" t="str">
        <x:f>IF($A163="","",IF(OR(LEN($B163)=0,LEN($C163)=0,LEN($E163)=0,LEN($F163)=0,LEN($G163)=0,LEN($H163)=0,LEN($I163)=0,LEN($J163)=0,LEN($L163)=0,LEN($M163)=0,LEN($O163)=0),"待補欄位",IF($R163&lt;&gt;"已發布","檢核表版本未發布",IF(AND($L163="通過",OR($I163&gt;0,$J163&gt;0)),"結果與必要項目矛盾",IF(AND($L163="通過",$M163&lt;&gt;"Ø"),"通過後建議評等應為 Ø",IF($O163&lt;&gt;"已知悉","待助理知悉",IF($P163="","待補知悉日",IF(OR($Q163="有異議",$Q163="複核中"),"異議處理中","可送主管核定"))))))))</x:f>
      </x:c>
      <x:c r="T163" s="280" t="str">
        <x:f>IF($A163="","",IF($S163="可送主管核定","可進入主管核定",$S163))</x:f>
      </x:c>
      <x:c r="U163" s="280" t="str">
        <x:f>IF($A163="","",IF($R163&lt;&gt;"已發布","先發布檢核表版本",IF($S163="可送主管核定","送主管核定中心",IF($S163="異議處理中","先完成異議複核","補齊或更正考核資料"))))</x:f>
      </x:c>
    </x:row>
    <x:row r="164">
      <x:c r="B164" s="285"/>
      <x:c r="P164" s="285"/>
      <x:c r="R164" s="280" t="str">
        <x:f>IF($A164="","",_xlfn.XLOOKUP($F164&amp;"|"&amp;$G164,'檢核表版本'!$R$7:$R$13,'檢核表版本'!$Q$7:$Q$13,"未發布版本",0))</x:f>
      </x:c>
      <x:c r="S164" s="280" t="str">
        <x:f>IF($A164="","",IF(OR(LEN($B164)=0,LEN($C164)=0,LEN($E164)=0,LEN($F164)=0,LEN($G164)=0,LEN($H164)=0,LEN($I164)=0,LEN($J164)=0,LEN($L164)=0,LEN($M164)=0,LEN($O164)=0),"待補欄位",IF($R164&lt;&gt;"已發布","檢核表版本未發布",IF(AND($L164="通過",OR($I164&gt;0,$J164&gt;0)),"結果與必要項目矛盾",IF(AND($L164="通過",$M164&lt;&gt;"Ø"),"通過後建議評等應為 Ø",IF($O164&lt;&gt;"已知悉","待助理知悉",IF($P164="","待補知悉日",IF(OR($Q164="有異議",$Q164="複核中"),"異議處理中","可送主管核定"))))))))</x:f>
      </x:c>
      <x:c r="T164" s="280" t="str">
        <x:f>IF($A164="","",IF($S164="可送主管核定","可進入主管核定",$S164))</x:f>
      </x:c>
      <x:c r="U164" s="280" t="str">
        <x:f>IF($A164="","",IF($R164&lt;&gt;"已發布","先發布檢核表版本",IF($S164="可送主管核定","送主管核定中心",IF($S164="異議處理中","先完成異議複核","補齊或更正考核資料"))))</x:f>
      </x:c>
    </x:row>
    <x:row r="165">
      <x:c r="B165" s="285"/>
      <x:c r="P165" s="285"/>
      <x:c r="R165" s="280" t="str">
        <x:f>IF($A165="","",_xlfn.XLOOKUP($F165&amp;"|"&amp;$G165,'檢核表版本'!$R$7:$R$13,'檢核表版本'!$Q$7:$Q$13,"未發布版本",0))</x:f>
      </x:c>
      <x:c r="S165" s="280" t="str">
        <x:f>IF($A165="","",IF(OR(LEN($B165)=0,LEN($C165)=0,LEN($E165)=0,LEN($F165)=0,LEN($G165)=0,LEN($H165)=0,LEN($I165)=0,LEN($J165)=0,LEN($L165)=0,LEN($M165)=0,LEN($O165)=0),"待補欄位",IF($R165&lt;&gt;"已發布","檢核表版本未發布",IF(AND($L165="通過",OR($I165&gt;0,$J165&gt;0)),"結果與必要項目矛盾",IF(AND($L165="通過",$M165&lt;&gt;"Ø"),"通過後建議評等應為 Ø",IF($O165&lt;&gt;"已知悉","待助理知悉",IF($P165="","待補知悉日",IF(OR($Q165="有異議",$Q165="複核中"),"異議處理中","可送主管核定"))))))))</x:f>
      </x:c>
      <x:c r="T165" s="280" t="str">
        <x:f>IF($A165="","",IF($S165="可送主管核定","可進入主管核定",$S165))</x:f>
      </x:c>
      <x:c r="U165" s="280" t="str">
        <x:f>IF($A165="","",IF($R165&lt;&gt;"已發布","先發布檢核表版本",IF($S165="可送主管核定","送主管核定中心",IF($S165="異議處理中","先完成異議複核","補齊或更正考核資料"))))</x:f>
      </x:c>
    </x:row>
    <x:row r="166">
      <x:c r="B166" s="285"/>
      <x:c r="P166" s="285"/>
      <x:c r="R166" s="280" t="str">
        <x:f>IF($A166="","",_xlfn.XLOOKUP($F166&amp;"|"&amp;$G166,'檢核表版本'!$R$7:$R$13,'檢核表版本'!$Q$7:$Q$13,"未發布版本",0))</x:f>
      </x:c>
      <x:c r="S166" s="280" t="str">
        <x:f>IF($A166="","",IF(OR(LEN($B166)=0,LEN($C166)=0,LEN($E166)=0,LEN($F166)=0,LEN($G166)=0,LEN($H166)=0,LEN($I166)=0,LEN($J166)=0,LEN($L166)=0,LEN($M166)=0,LEN($O166)=0),"待補欄位",IF($R166&lt;&gt;"已發布","檢核表版本未發布",IF(AND($L166="通過",OR($I166&gt;0,$J166&gt;0)),"結果與必要項目矛盾",IF(AND($L166="通過",$M166&lt;&gt;"Ø"),"通過後建議評等應為 Ø",IF($O166&lt;&gt;"已知悉","待助理知悉",IF($P166="","待補知悉日",IF(OR($Q166="有異議",$Q166="複核中"),"異議處理中","可送主管核定"))))))))</x:f>
      </x:c>
      <x:c r="T166" s="280" t="str">
        <x:f>IF($A166="","",IF($S166="可送主管核定","可進入主管核定",$S166))</x:f>
      </x:c>
      <x:c r="U166" s="280" t="str">
        <x:f>IF($A166="","",IF($R166&lt;&gt;"已發布","先發布檢核表版本",IF($S166="可送主管核定","送主管核定中心",IF($S166="異議處理中","先完成異議複核","補齊或更正考核資料"))))</x:f>
      </x:c>
    </x:row>
    <x:row r="167">
      <x:c r="B167" s="285"/>
      <x:c r="P167" s="285"/>
      <x:c r="R167" s="280" t="str">
        <x:f>IF($A167="","",_xlfn.XLOOKUP($F167&amp;"|"&amp;$G167,'檢核表版本'!$R$7:$R$13,'檢核表版本'!$Q$7:$Q$13,"未發布版本",0))</x:f>
      </x:c>
      <x:c r="S167" s="280" t="str">
        <x:f>IF($A167="","",IF(OR(LEN($B167)=0,LEN($C167)=0,LEN($E167)=0,LEN($F167)=0,LEN($G167)=0,LEN($H167)=0,LEN($I167)=0,LEN($J167)=0,LEN($L167)=0,LEN($M167)=0,LEN($O167)=0),"待補欄位",IF($R167&lt;&gt;"已發布","檢核表版本未發布",IF(AND($L167="通過",OR($I167&gt;0,$J167&gt;0)),"結果與必要項目矛盾",IF(AND($L167="通過",$M167&lt;&gt;"Ø"),"通過後建議評等應為 Ø",IF($O167&lt;&gt;"已知悉","待助理知悉",IF($P167="","待補知悉日",IF(OR($Q167="有異議",$Q167="複核中"),"異議處理中","可送主管核定"))))))))</x:f>
      </x:c>
      <x:c r="T167" s="280" t="str">
        <x:f>IF($A167="","",IF($S167="可送主管核定","可進入主管核定",$S167))</x:f>
      </x:c>
      <x:c r="U167" s="280" t="str">
        <x:f>IF($A167="","",IF($R167&lt;&gt;"已發布","先發布檢核表版本",IF($S167="可送主管核定","送主管核定中心",IF($S167="異議處理中","先完成異議複核","補齊或更正考核資料"))))</x:f>
      </x:c>
    </x:row>
    <x:row r="168">
      <x:c r="B168" s="285"/>
      <x:c r="P168" s="285"/>
      <x:c r="R168" s="280" t="str">
        <x:f>IF($A168="","",_xlfn.XLOOKUP($F168&amp;"|"&amp;$G168,'檢核表版本'!$R$7:$R$13,'檢核表版本'!$Q$7:$Q$13,"未發布版本",0))</x:f>
      </x:c>
      <x:c r="S168" s="280" t="str">
        <x:f>IF($A168="","",IF(OR(LEN($B168)=0,LEN($C168)=0,LEN($E168)=0,LEN($F168)=0,LEN($G168)=0,LEN($H168)=0,LEN($I168)=0,LEN($J168)=0,LEN($L168)=0,LEN($M168)=0,LEN($O168)=0),"待補欄位",IF($R168&lt;&gt;"已發布","檢核表版本未發布",IF(AND($L168="通過",OR($I168&gt;0,$J168&gt;0)),"結果與必要項目矛盾",IF(AND($L168="通過",$M168&lt;&gt;"Ø"),"通過後建議評等應為 Ø",IF($O168&lt;&gt;"已知悉","待助理知悉",IF($P168="","待補知悉日",IF(OR($Q168="有異議",$Q168="複核中"),"異議處理中","可送主管核定"))))))))</x:f>
      </x:c>
      <x:c r="T168" s="280" t="str">
        <x:f>IF($A168="","",IF($S168="可送主管核定","可進入主管核定",$S168))</x:f>
      </x:c>
      <x:c r="U168" s="280" t="str">
        <x:f>IF($A168="","",IF($R168&lt;&gt;"已發布","先發布檢核表版本",IF($S168="可送主管核定","送主管核定中心",IF($S168="異議處理中","先完成異議複核","補齊或更正考核資料"))))</x:f>
      </x:c>
    </x:row>
    <x:row r="169">
      <x:c r="B169" s="285"/>
      <x:c r="P169" s="285"/>
      <x:c r="R169" s="280" t="str">
        <x:f>IF($A169="","",_xlfn.XLOOKUP($F169&amp;"|"&amp;$G169,'檢核表版本'!$R$7:$R$13,'檢核表版本'!$Q$7:$Q$13,"未發布版本",0))</x:f>
      </x:c>
      <x:c r="S169" s="280" t="str">
        <x:f>IF($A169="","",IF(OR(LEN($B169)=0,LEN($C169)=0,LEN($E169)=0,LEN($F169)=0,LEN($G169)=0,LEN($H169)=0,LEN($I169)=0,LEN($J169)=0,LEN($L169)=0,LEN($M169)=0,LEN($O169)=0),"待補欄位",IF($R169&lt;&gt;"已發布","檢核表版本未發布",IF(AND($L169="通過",OR($I169&gt;0,$J169&gt;0)),"結果與必要項目矛盾",IF(AND($L169="通過",$M169&lt;&gt;"Ø"),"通過後建議評等應為 Ø",IF($O169&lt;&gt;"已知悉","待助理知悉",IF($P169="","待補知悉日",IF(OR($Q169="有異議",$Q169="複核中"),"異議處理中","可送主管核定"))))))))</x:f>
      </x:c>
      <x:c r="T169" s="280" t="str">
        <x:f>IF($A169="","",IF($S169="可送主管核定","可進入主管核定",$S169))</x:f>
      </x:c>
      <x:c r="U169" s="280" t="str">
        <x:f>IF($A169="","",IF($R169&lt;&gt;"已發布","先發布檢核表版本",IF($S169="可送主管核定","送主管核定中心",IF($S169="異議處理中","先完成異議複核","補齊或更正考核資料"))))</x:f>
      </x:c>
    </x:row>
    <x:row r="170">
      <x:c r="B170" s="285"/>
      <x:c r="P170" s="285"/>
      <x:c r="R170" s="280" t="str">
        <x:f>IF($A170="","",_xlfn.XLOOKUP($F170&amp;"|"&amp;$G170,'檢核表版本'!$R$7:$R$13,'檢核表版本'!$Q$7:$Q$13,"未發布版本",0))</x:f>
      </x:c>
      <x:c r="S170" s="280" t="str">
        <x:f>IF($A170="","",IF(OR(LEN($B170)=0,LEN($C170)=0,LEN($E170)=0,LEN($F170)=0,LEN($G170)=0,LEN($H170)=0,LEN($I170)=0,LEN($J170)=0,LEN($L170)=0,LEN($M170)=0,LEN($O170)=0),"待補欄位",IF($R170&lt;&gt;"已發布","檢核表版本未發布",IF(AND($L170="通過",OR($I170&gt;0,$J170&gt;0)),"結果與必要項目矛盾",IF(AND($L170="通過",$M170&lt;&gt;"Ø"),"通過後建議評等應為 Ø",IF($O170&lt;&gt;"已知悉","待助理知悉",IF($P170="","待補知悉日",IF(OR($Q170="有異議",$Q170="複核中"),"異議處理中","可送主管核定"))))))))</x:f>
      </x:c>
      <x:c r="T170" s="280" t="str">
        <x:f>IF($A170="","",IF($S170="可送主管核定","可進入主管核定",$S170))</x:f>
      </x:c>
      <x:c r="U170" s="280" t="str">
        <x:f>IF($A170="","",IF($R170&lt;&gt;"已發布","先發布檢核表版本",IF($S170="可送主管核定","送主管核定中心",IF($S170="異議處理中","先完成異議複核","補齊或更正考核資料"))))</x:f>
      </x:c>
    </x:row>
    <x:row r="171">
      <x:c r="B171" s="285"/>
      <x:c r="P171" s="285"/>
      <x:c r="R171" s="280" t="str">
        <x:f>IF($A171="","",_xlfn.XLOOKUP($F171&amp;"|"&amp;$G171,'檢核表版本'!$R$7:$R$13,'檢核表版本'!$Q$7:$Q$13,"未發布版本",0))</x:f>
      </x:c>
      <x:c r="S171" s="280" t="str">
        <x:f>IF($A171="","",IF(OR(LEN($B171)=0,LEN($C171)=0,LEN($E171)=0,LEN($F171)=0,LEN($G171)=0,LEN($H171)=0,LEN($I171)=0,LEN($J171)=0,LEN($L171)=0,LEN($M171)=0,LEN($O171)=0),"待補欄位",IF($R171&lt;&gt;"已發布","檢核表版本未發布",IF(AND($L171="通過",OR($I171&gt;0,$J171&gt;0)),"結果與必要項目矛盾",IF(AND($L171="通過",$M171&lt;&gt;"Ø"),"通過後建議評等應為 Ø",IF($O171&lt;&gt;"已知悉","待助理知悉",IF($P171="","待補知悉日",IF(OR($Q171="有異議",$Q171="複核中"),"異議處理中","可送主管核定"))))))))</x:f>
      </x:c>
      <x:c r="T171" s="280" t="str">
        <x:f>IF($A171="","",IF($S171="可送主管核定","可進入主管核定",$S171))</x:f>
      </x:c>
      <x:c r="U171" s="280" t="str">
        <x:f>IF($A171="","",IF($R171&lt;&gt;"已發布","先發布檢核表版本",IF($S171="可送主管核定","送主管核定中心",IF($S171="異議處理中","先完成異議複核","補齊或更正考核資料"))))</x:f>
      </x:c>
    </x:row>
    <x:row r="172">
      <x:c r="B172" s="285"/>
      <x:c r="P172" s="285"/>
      <x:c r="R172" s="280" t="str">
        <x:f>IF($A172="","",_xlfn.XLOOKUP($F172&amp;"|"&amp;$G172,'檢核表版本'!$R$7:$R$13,'檢核表版本'!$Q$7:$Q$13,"未發布版本",0))</x:f>
      </x:c>
      <x:c r="S172" s="280" t="str">
        <x:f>IF($A172="","",IF(OR(LEN($B172)=0,LEN($C172)=0,LEN($E172)=0,LEN($F172)=0,LEN($G172)=0,LEN($H172)=0,LEN($I172)=0,LEN($J172)=0,LEN($L172)=0,LEN($M172)=0,LEN($O172)=0),"待補欄位",IF($R172&lt;&gt;"已發布","檢核表版本未發布",IF(AND($L172="通過",OR($I172&gt;0,$J172&gt;0)),"結果與必要項目矛盾",IF(AND($L172="通過",$M172&lt;&gt;"Ø"),"通過後建議評等應為 Ø",IF($O172&lt;&gt;"已知悉","待助理知悉",IF($P172="","待補知悉日",IF(OR($Q172="有異議",$Q172="複核中"),"異議處理中","可送主管核定"))))))))</x:f>
      </x:c>
      <x:c r="T172" s="280" t="str">
        <x:f>IF($A172="","",IF($S172="可送主管核定","可進入主管核定",$S172))</x:f>
      </x:c>
      <x:c r="U172" s="280" t="str">
        <x:f>IF($A172="","",IF($R172&lt;&gt;"已發布","先發布檢核表版本",IF($S172="可送主管核定","送主管核定中心",IF($S172="異議處理中","先完成異議複核","補齊或更正考核資料"))))</x:f>
      </x:c>
    </x:row>
    <x:row r="173">
      <x:c r="B173" s="285"/>
      <x:c r="P173" s="285"/>
      <x:c r="R173" s="280" t="str">
        <x:f>IF($A173="","",_xlfn.XLOOKUP($F173&amp;"|"&amp;$G173,'檢核表版本'!$R$7:$R$13,'檢核表版本'!$Q$7:$Q$13,"未發布版本",0))</x:f>
      </x:c>
      <x:c r="S173" s="280" t="str">
        <x:f>IF($A173="","",IF(OR(LEN($B173)=0,LEN($C173)=0,LEN($E173)=0,LEN($F173)=0,LEN($G173)=0,LEN($H173)=0,LEN($I173)=0,LEN($J173)=0,LEN($L173)=0,LEN($M173)=0,LEN($O173)=0),"待補欄位",IF($R173&lt;&gt;"已發布","檢核表版本未發布",IF(AND($L173="通過",OR($I173&gt;0,$J173&gt;0)),"結果與必要項目矛盾",IF(AND($L173="通過",$M173&lt;&gt;"Ø"),"通過後建議評等應為 Ø",IF($O173&lt;&gt;"已知悉","待助理知悉",IF($P173="","待補知悉日",IF(OR($Q173="有異議",$Q173="複核中"),"異議處理中","可送主管核定"))))))))</x:f>
      </x:c>
      <x:c r="T173" s="280" t="str">
        <x:f>IF($A173="","",IF($S173="可送主管核定","可進入主管核定",$S173))</x:f>
      </x:c>
      <x:c r="U173" s="280" t="str">
        <x:f>IF($A173="","",IF($R173&lt;&gt;"已發布","先發布檢核表版本",IF($S173="可送主管核定","送主管核定中心",IF($S173="異議處理中","先完成異議複核","補齊或更正考核資料"))))</x:f>
      </x:c>
    </x:row>
    <x:row r="174">
      <x:c r="B174" s="285"/>
      <x:c r="P174" s="285"/>
      <x:c r="R174" s="280" t="str">
        <x:f>IF($A174="","",_xlfn.XLOOKUP($F174&amp;"|"&amp;$G174,'檢核表版本'!$R$7:$R$13,'檢核表版本'!$Q$7:$Q$13,"未發布版本",0))</x:f>
      </x:c>
      <x:c r="S174" s="280" t="str">
        <x:f>IF($A174="","",IF(OR(LEN($B174)=0,LEN($C174)=0,LEN($E174)=0,LEN($F174)=0,LEN($G174)=0,LEN($H174)=0,LEN($I174)=0,LEN($J174)=0,LEN($L174)=0,LEN($M174)=0,LEN($O174)=0),"待補欄位",IF($R174&lt;&gt;"已發布","檢核表版本未發布",IF(AND($L174="通過",OR($I174&gt;0,$J174&gt;0)),"結果與必要項目矛盾",IF(AND($L174="通過",$M174&lt;&gt;"Ø"),"通過後建議評等應為 Ø",IF($O174&lt;&gt;"已知悉","待助理知悉",IF($P174="","待補知悉日",IF(OR($Q174="有異議",$Q174="複核中"),"異議處理中","可送主管核定"))))))))</x:f>
      </x:c>
      <x:c r="T174" s="280" t="str">
        <x:f>IF($A174="","",IF($S174="可送主管核定","可進入主管核定",$S174))</x:f>
      </x:c>
      <x:c r="U174" s="280" t="str">
        <x:f>IF($A174="","",IF($R174&lt;&gt;"已發布","先發布檢核表版本",IF($S174="可送主管核定","送主管核定中心",IF($S174="異議處理中","先完成異議複核","補齊或更正考核資料"))))</x:f>
      </x:c>
    </x:row>
    <x:row r="175">
      <x:c r="B175" s="285"/>
      <x:c r="P175" s="285"/>
      <x:c r="R175" s="280" t="str">
        <x:f>IF($A175="","",_xlfn.XLOOKUP($F175&amp;"|"&amp;$G175,'檢核表版本'!$R$7:$R$13,'檢核表版本'!$Q$7:$Q$13,"未發布版本",0))</x:f>
      </x:c>
      <x:c r="S175" s="280" t="str">
        <x:f>IF($A175="","",IF(OR(LEN($B175)=0,LEN($C175)=0,LEN($E175)=0,LEN($F175)=0,LEN($G175)=0,LEN($H175)=0,LEN($I175)=0,LEN($J175)=0,LEN($L175)=0,LEN($M175)=0,LEN($O175)=0),"待補欄位",IF($R175&lt;&gt;"已發布","檢核表版本未發布",IF(AND($L175="通過",OR($I175&gt;0,$J175&gt;0)),"結果與必要項目矛盾",IF(AND($L175="通過",$M175&lt;&gt;"Ø"),"通過後建議評等應為 Ø",IF($O175&lt;&gt;"已知悉","待助理知悉",IF($P175="","待補知悉日",IF(OR($Q175="有異議",$Q175="複核中"),"異議處理中","可送主管核定"))))))))</x:f>
      </x:c>
      <x:c r="T175" s="280" t="str">
        <x:f>IF($A175="","",IF($S175="可送主管核定","可進入主管核定",$S175))</x:f>
      </x:c>
      <x:c r="U175" s="280" t="str">
        <x:f>IF($A175="","",IF($R175&lt;&gt;"已發布","先發布檢核表版本",IF($S175="可送主管核定","送主管核定中心",IF($S175="異議處理中","先完成異議複核","補齊或更正考核資料"))))</x:f>
      </x:c>
    </x:row>
    <x:row r="176">
      <x:c r="B176" s="285"/>
      <x:c r="P176" s="285"/>
      <x:c r="R176" s="280" t="str">
        <x:f>IF($A176="","",_xlfn.XLOOKUP($F176&amp;"|"&amp;$G176,'檢核表版本'!$R$7:$R$13,'檢核表版本'!$Q$7:$Q$13,"未發布版本",0))</x:f>
      </x:c>
      <x:c r="S176" s="280" t="str">
        <x:f>IF($A176="","",IF(OR(LEN($B176)=0,LEN($C176)=0,LEN($E176)=0,LEN($F176)=0,LEN($G176)=0,LEN($H176)=0,LEN($I176)=0,LEN($J176)=0,LEN($L176)=0,LEN($M176)=0,LEN($O176)=0),"待補欄位",IF($R176&lt;&gt;"已發布","檢核表版本未發布",IF(AND($L176="通過",OR($I176&gt;0,$J176&gt;0)),"結果與必要項目矛盾",IF(AND($L176="通過",$M176&lt;&gt;"Ø"),"通過後建議評等應為 Ø",IF($O176&lt;&gt;"已知悉","待助理知悉",IF($P176="","待補知悉日",IF(OR($Q176="有異議",$Q176="複核中"),"異議處理中","可送主管核定"))))))))</x:f>
      </x:c>
      <x:c r="T176" s="280" t="str">
        <x:f>IF($A176="","",IF($S176="可送主管核定","可進入主管核定",$S176))</x:f>
      </x:c>
      <x:c r="U176" s="280" t="str">
        <x:f>IF($A176="","",IF($R176&lt;&gt;"已發布","先發布檢核表版本",IF($S176="可送主管核定","送主管核定中心",IF($S176="異議處理中","先完成異議複核","補齊或更正考核資料"))))</x:f>
      </x:c>
    </x:row>
    <x:row r="177">
      <x:c r="B177" s="285"/>
      <x:c r="P177" s="285"/>
      <x:c r="R177" s="280" t="str">
        <x:f>IF($A177="","",_xlfn.XLOOKUP($F177&amp;"|"&amp;$G177,'檢核表版本'!$R$7:$R$13,'檢核表版本'!$Q$7:$Q$13,"未發布版本",0))</x:f>
      </x:c>
      <x:c r="S177" s="280" t="str">
        <x:f>IF($A177="","",IF(OR(LEN($B177)=0,LEN($C177)=0,LEN($E177)=0,LEN($F177)=0,LEN($G177)=0,LEN($H177)=0,LEN($I177)=0,LEN($J177)=0,LEN($L177)=0,LEN($M177)=0,LEN($O177)=0),"待補欄位",IF($R177&lt;&gt;"已發布","檢核表版本未發布",IF(AND($L177="通過",OR($I177&gt;0,$J177&gt;0)),"結果與必要項目矛盾",IF(AND($L177="通過",$M177&lt;&gt;"Ø"),"通過後建議評等應為 Ø",IF($O177&lt;&gt;"已知悉","待助理知悉",IF($P177="","待補知悉日",IF(OR($Q177="有異議",$Q177="複核中"),"異議處理中","可送主管核定"))))))))</x:f>
      </x:c>
      <x:c r="T177" s="280" t="str">
        <x:f>IF($A177="","",IF($S177="可送主管核定","可進入主管核定",$S177))</x:f>
      </x:c>
      <x:c r="U177" s="280" t="str">
        <x:f>IF($A177="","",IF($R177&lt;&gt;"已發布","先發布檢核表版本",IF($S177="可送主管核定","送主管核定中心",IF($S177="異議處理中","先完成異議複核","補齊或更正考核資料"))))</x:f>
      </x:c>
    </x:row>
    <x:row r="178">
      <x:c r="B178" s="285"/>
      <x:c r="P178" s="285"/>
      <x:c r="R178" s="280" t="str">
        <x:f>IF($A178="","",_xlfn.XLOOKUP($F178&amp;"|"&amp;$G178,'檢核表版本'!$R$7:$R$13,'檢核表版本'!$Q$7:$Q$13,"未發布版本",0))</x:f>
      </x:c>
      <x:c r="S178" s="280" t="str">
        <x:f>IF($A178="","",IF(OR(LEN($B178)=0,LEN($C178)=0,LEN($E178)=0,LEN($F178)=0,LEN($G178)=0,LEN($H178)=0,LEN($I178)=0,LEN($J178)=0,LEN($L178)=0,LEN($M178)=0,LEN($O178)=0),"待補欄位",IF($R178&lt;&gt;"已發布","檢核表版本未發布",IF(AND($L178="通過",OR($I178&gt;0,$J178&gt;0)),"結果與必要項目矛盾",IF(AND($L178="通過",$M178&lt;&gt;"Ø"),"通過後建議評等應為 Ø",IF($O178&lt;&gt;"已知悉","待助理知悉",IF($P178="","待補知悉日",IF(OR($Q178="有異議",$Q178="複核中"),"異議處理中","可送主管核定"))))))))</x:f>
      </x:c>
      <x:c r="T178" s="280" t="str">
        <x:f>IF($A178="","",IF($S178="可送主管核定","可進入主管核定",$S178))</x:f>
      </x:c>
      <x:c r="U178" s="280" t="str">
        <x:f>IF($A178="","",IF($R178&lt;&gt;"已發布","先發布檢核表版本",IF($S178="可送主管核定","送主管核定中心",IF($S178="異議處理中","先完成異議複核","補齊或更正考核資料"))))</x:f>
      </x:c>
    </x:row>
    <x:row r="179">
      <x:c r="B179" s="285"/>
      <x:c r="P179" s="285"/>
      <x:c r="R179" s="280" t="str">
        <x:f>IF($A179="","",_xlfn.XLOOKUP($F179&amp;"|"&amp;$G179,'檢核表版本'!$R$7:$R$13,'檢核表版本'!$Q$7:$Q$13,"未發布版本",0))</x:f>
      </x:c>
      <x:c r="S179" s="280" t="str">
        <x:f>IF($A179="","",IF(OR(LEN($B179)=0,LEN($C179)=0,LEN($E179)=0,LEN($F179)=0,LEN($G179)=0,LEN($H179)=0,LEN($I179)=0,LEN($J179)=0,LEN($L179)=0,LEN($M179)=0,LEN($O179)=0),"待補欄位",IF($R179&lt;&gt;"已發布","檢核表版本未發布",IF(AND($L179="通過",OR($I179&gt;0,$J179&gt;0)),"結果與必要項目矛盾",IF(AND($L179="通過",$M179&lt;&gt;"Ø"),"通過後建議評等應為 Ø",IF($O179&lt;&gt;"已知悉","待助理知悉",IF($P179="","待補知悉日",IF(OR($Q179="有異議",$Q179="複核中"),"異議處理中","可送主管核定"))))))))</x:f>
      </x:c>
      <x:c r="T179" s="280" t="str">
        <x:f>IF($A179="","",IF($S179="可送主管核定","可進入主管核定",$S179))</x:f>
      </x:c>
      <x:c r="U179" s="280" t="str">
        <x:f>IF($A179="","",IF($R179&lt;&gt;"已發布","先發布檢核表版本",IF($S179="可送主管核定","送主管核定中心",IF($S179="異議處理中","先完成異議複核","補齊或更正考核資料"))))</x:f>
      </x:c>
    </x:row>
    <x:row r="180">
      <x:c r="B180" s="285"/>
      <x:c r="P180" s="285"/>
      <x:c r="R180" s="280" t="str">
        <x:f>IF($A180="","",_xlfn.XLOOKUP($F180&amp;"|"&amp;$G180,'檢核表版本'!$R$7:$R$13,'檢核表版本'!$Q$7:$Q$13,"未發布版本",0))</x:f>
      </x:c>
      <x:c r="S180" s="280" t="str">
        <x:f>IF($A180="","",IF(OR(LEN($B180)=0,LEN($C180)=0,LEN($E180)=0,LEN($F180)=0,LEN($G180)=0,LEN($H180)=0,LEN($I180)=0,LEN($J180)=0,LEN($L180)=0,LEN($M180)=0,LEN($O180)=0),"待補欄位",IF($R180&lt;&gt;"已發布","檢核表版本未發布",IF(AND($L180="通過",OR($I180&gt;0,$J180&gt;0)),"結果與必要項目矛盾",IF(AND($L180="通過",$M180&lt;&gt;"Ø"),"通過後建議評等應為 Ø",IF($O180&lt;&gt;"已知悉","待助理知悉",IF($P180="","待補知悉日",IF(OR($Q180="有異議",$Q180="複核中"),"異議處理中","可送主管核定"))))))))</x:f>
      </x:c>
      <x:c r="T180" s="280" t="str">
        <x:f>IF($A180="","",IF($S180="可送主管核定","可進入主管核定",$S180))</x:f>
      </x:c>
      <x:c r="U180" s="280" t="str">
        <x:f>IF($A180="","",IF($R180&lt;&gt;"已發布","先發布檢核表版本",IF($S180="可送主管核定","送主管核定中心",IF($S180="異議處理中","先完成異議複核","補齊或更正考核資料"))))</x:f>
      </x:c>
    </x:row>
    <x:row r="181">
      <x:c r="B181" s="285"/>
      <x:c r="P181" s="285"/>
      <x:c r="R181" s="280" t="str">
        <x:f>IF($A181="","",_xlfn.XLOOKUP($F181&amp;"|"&amp;$G181,'檢核表版本'!$R$7:$R$13,'檢核表版本'!$Q$7:$Q$13,"未發布版本",0))</x:f>
      </x:c>
      <x:c r="S181" s="280" t="str">
        <x:f>IF($A181="","",IF(OR(LEN($B181)=0,LEN($C181)=0,LEN($E181)=0,LEN($F181)=0,LEN($G181)=0,LEN($H181)=0,LEN($I181)=0,LEN($J181)=0,LEN($L181)=0,LEN($M181)=0,LEN($O181)=0),"待補欄位",IF($R181&lt;&gt;"已發布","檢核表版本未發布",IF(AND($L181="通過",OR($I181&gt;0,$J181&gt;0)),"結果與必要項目矛盾",IF(AND($L181="通過",$M181&lt;&gt;"Ø"),"通過後建議評等應為 Ø",IF($O181&lt;&gt;"已知悉","待助理知悉",IF($P181="","待補知悉日",IF(OR($Q181="有異議",$Q181="複核中"),"異議處理中","可送主管核定"))))))))</x:f>
      </x:c>
      <x:c r="T181" s="280" t="str">
        <x:f>IF($A181="","",IF($S181="可送主管核定","可進入主管核定",$S181))</x:f>
      </x:c>
      <x:c r="U181" s="280" t="str">
        <x:f>IF($A181="","",IF($R181&lt;&gt;"已發布","先發布檢核表版本",IF($S181="可送主管核定","送主管核定中心",IF($S181="異議處理中","先完成異議複核","補齊或更正考核資料"))))</x:f>
      </x:c>
    </x:row>
    <x:row r="182">
      <x:c r="B182" s="285"/>
      <x:c r="P182" s="285"/>
      <x:c r="R182" s="280" t="str">
        <x:f>IF($A182="","",_xlfn.XLOOKUP($F182&amp;"|"&amp;$G182,'檢核表版本'!$R$7:$R$13,'檢核表版本'!$Q$7:$Q$13,"未發布版本",0))</x:f>
      </x:c>
      <x:c r="S182" s="280" t="str">
        <x:f>IF($A182="","",IF(OR(LEN($B182)=0,LEN($C182)=0,LEN($E182)=0,LEN($F182)=0,LEN($G182)=0,LEN($H182)=0,LEN($I182)=0,LEN($J182)=0,LEN($L182)=0,LEN($M182)=0,LEN($O182)=0),"待補欄位",IF($R182&lt;&gt;"已發布","檢核表版本未發布",IF(AND($L182="通過",OR($I182&gt;0,$J182&gt;0)),"結果與必要項目矛盾",IF(AND($L182="通過",$M182&lt;&gt;"Ø"),"通過後建議評等應為 Ø",IF($O182&lt;&gt;"已知悉","待助理知悉",IF($P182="","待補知悉日",IF(OR($Q182="有異議",$Q182="複核中"),"異議處理中","可送主管核定"))))))))</x:f>
      </x:c>
      <x:c r="T182" s="280" t="str">
        <x:f>IF($A182="","",IF($S182="可送主管核定","可進入主管核定",$S182))</x:f>
      </x:c>
      <x:c r="U182" s="280" t="str">
        <x:f>IF($A182="","",IF($R182&lt;&gt;"已發布","先發布檢核表版本",IF($S182="可送主管核定","送主管核定中心",IF($S182="異議處理中","先完成異議複核","補齊或更正考核資料"))))</x:f>
      </x:c>
    </x:row>
    <x:row r="183">
      <x:c r="B183" s="285"/>
      <x:c r="P183" s="285"/>
      <x:c r="R183" s="280" t="str">
        <x:f>IF($A183="","",_xlfn.XLOOKUP($F183&amp;"|"&amp;$G183,'檢核表版本'!$R$7:$R$13,'檢核表版本'!$Q$7:$Q$13,"未發布版本",0))</x:f>
      </x:c>
      <x:c r="S183" s="280" t="str">
        <x:f>IF($A183="","",IF(OR(LEN($B183)=0,LEN($C183)=0,LEN($E183)=0,LEN($F183)=0,LEN($G183)=0,LEN($H183)=0,LEN($I183)=0,LEN($J183)=0,LEN($L183)=0,LEN($M183)=0,LEN($O183)=0),"待補欄位",IF($R183&lt;&gt;"已發布","檢核表版本未發布",IF(AND($L183="通過",OR($I183&gt;0,$J183&gt;0)),"結果與必要項目矛盾",IF(AND($L183="通過",$M183&lt;&gt;"Ø"),"通過後建議評等應為 Ø",IF($O183&lt;&gt;"已知悉","待助理知悉",IF($P183="","待補知悉日",IF(OR($Q183="有異議",$Q183="複核中"),"異議處理中","可送主管核定"))))))))</x:f>
      </x:c>
      <x:c r="T183" s="280" t="str">
        <x:f>IF($A183="","",IF($S183="可送主管核定","可進入主管核定",$S183))</x:f>
      </x:c>
      <x:c r="U183" s="280" t="str">
        <x:f>IF($A183="","",IF($R183&lt;&gt;"已發布","先發布檢核表版本",IF($S183="可送主管核定","送主管核定中心",IF($S183="異議處理中","先完成異議複核","補齊或更正考核資料"))))</x:f>
      </x:c>
    </x:row>
    <x:row r="184">
      <x:c r="B184" s="285"/>
      <x:c r="P184" s="285"/>
      <x:c r="R184" s="280" t="str">
        <x:f>IF($A184="","",_xlfn.XLOOKUP($F184&amp;"|"&amp;$G184,'檢核表版本'!$R$7:$R$13,'檢核表版本'!$Q$7:$Q$13,"未發布版本",0))</x:f>
      </x:c>
      <x:c r="S184" s="280" t="str">
        <x:f>IF($A184="","",IF(OR(LEN($B184)=0,LEN($C184)=0,LEN($E184)=0,LEN($F184)=0,LEN($G184)=0,LEN($H184)=0,LEN($I184)=0,LEN($J184)=0,LEN($L184)=0,LEN($M184)=0,LEN($O184)=0),"待補欄位",IF($R184&lt;&gt;"已發布","檢核表版本未發布",IF(AND($L184="通過",OR($I184&gt;0,$J184&gt;0)),"結果與必要項目矛盾",IF(AND($L184="通過",$M184&lt;&gt;"Ø"),"通過後建議評等應為 Ø",IF($O184&lt;&gt;"已知悉","待助理知悉",IF($P184="","待補知悉日",IF(OR($Q184="有異議",$Q184="複核中"),"異議處理中","可送主管核定"))))))))</x:f>
      </x:c>
      <x:c r="T184" s="280" t="str">
        <x:f>IF($A184="","",IF($S184="可送主管核定","可進入主管核定",$S184))</x:f>
      </x:c>
      <x:c r="U184" s="280" t="str">
        <x:f>IF($A184="","",IF($R184&lt;&gt;"已發布","先發布檢核表版本",IF($S184="可送主管核定","送主管核定中心",IF($S184="異議處理中","先完成異議複核","補齊或更正考核資料"))))</x:f>
      </x:c>
    </x:row>
    <x:row r="185">
      <x:c r="B185" s="285"/>
      <x:c r="P185" s="285"/>
      <x:c r="R185" s="280" t="str">
        <x:f>IF($A185="","",_xlfn.XLOOKUP($F185&amp;"|"&amp;$G185,'檢核表版本'!$R$7:$R$13,'檢核表版本'!$Q$7:$Q$13,"未發布版本",0))</x:f>
      </x:c>
      <x:c r="S185" s="280" t="str">
        <x:f>IF($A185="","",IF(OR(LEN($B185)=0,LEN($C185)=0,LEN($E185)=0,LEN($F185)=0,LEN($G185)=0,LEN($H185)=0,LEN($I185)=0,LEN($J185)=0,LEN($L185)=0,LEN($M185)=0,LEN($O185)=0),"待補欄位",IF($R185&lt;&gt;"已發布","檢核表版本未發布",IF(AND($L185="通過",OR($I185&gt;0,$J185&gt;0)),"結果與必要項目矛盾",IF(AND($L185="通過",$M185&lt;&gt;"Ø"),"通過後建議評等應為 Ø",IF($O185&lt;&gt;"已知悉","待助理知悉",IF($P185="","待補知悉日",IF(OR($Q185="有異議",$Q185="複核中"),"異議處理中","可送主管核定"))))))))</x:f>
      </x:c>
      <x:c r="T185" s="280" t="str">
        <x:f>IF($A185="","",IF($S185="可送主管核定","可進入主管核定",$S185))</x:f>
      </x:c>
      <x:c r="U185" s="280" t="str">
        <x:f>IF($A185="","",IF($R185&lt;&gt;"已發布","先發布檢核表版本",IF($S185="可送主管核定","送主管核定中心",IF($S185="異議處理中","先完成異議複核","補齊或更正考核資料"))))</x:f>
      </x:c>
    </x:row>
    <x:row r="186">
      <x:c r="B186" s="285"/>
      <x:c r="P186" s="285"/>
      <x:c r="R186" s="280" t="str">
        <x:f>IF($A186="","",_xlfn.XLOOKUP($F186&amp;"|"&amp;$G186,'檢核表版本'!$R$7:$R$13,'檢核表版本'!$Q$7:$Q$13,"未發布版本",0))</x:f>
      </x:c>
      <x:c r="S186" s="280" t="str">
        <x:f>IF($A186="","",IF(OR(LEN($B186)=0,LEN($C186)=0,LEN($E186)=0,LEN($F186)=0,LEN($G186)=0,LEN($H186)=0,LEN($I186)=0,LEN($J186)=0,LEN($L186)=0,LEN($M186)=0,LEN($O186)=0),"待補欄位",IF($R186&lt;&gt;"已發布","檢核表版本未發布",IF(AND($L186="通過",OR($I186&gt;0,$J186&gt;0)),"結果與必要項目矛盾",IF(AND($L186="通過",$M186&lt;&gt;"Ø"),"通過後建議評等應為 Ø",IF($O186&lt;&gt;"已知悉","待助理知悉",IF($P186="","待補知悉日",IF(OR($Q186="有異議",$Q186="複核中"),"異議處理中","可送主管核定"))))))))</x:f>
      </x:c>
      <x:c r="T186" s="280" t="str">
        <x:f>IF($A186="","",IF($S186="可送主管核定","可進入主管核定",$S186))</x:f>
      </x:c>
      <x:c r="U186" s="280" t="str">
        <x:f>IF($A186="","",IF($R186&lt;&gt;"已發布","先發布檢核表版本",IF($S186="可送主管核定","送主管核定中心",IF($S186="異議處理中","先完成異議複核","補齊或更正考核資料"))))</x:f>
      </x:c>
    </x:row>
    <x:row r="187">
      <x:c r="B187" s="285"/>
      <x:c r="P187" s="285"/>
      <x:c r="R187" s="280" t="str">
        <x:f>IF($A187="","",_xlfn.XLOOKUP($F187&amp;"|"&amp;$G187,'檢核表版本'!$R$7:$R$13,'檢核表版本'!$Q$7:$Q$13,"未發布版本",0))</x:f>
      </x:c>
      <x:c r="S187" s="280" t="str">
        <x:f>IF($A187="","",IF(OR(LEN($B187)=0,LEN($C187)=0,LEN($E187)=0,LEN($F187)=0,LEN($G187)=0,LEN($H187)=0,LEN($I187)=0,LEN($J187)=0,LEN($L187)=0,LEN($M187)=0,LEN($O187)=0),"待補欄位",IF($R187&lt;&gt;"已發布","檢核表版本未發布",IF(AND($L187="通過",OR($I187&gt;0,$J187&gt;0)),"結果與必要項目矛盾",IF(AND($L187="通過",$M187&lt;&gt;"Ø"),"通過後建議評等應為 Ø",IF($O187&lt;&gt;"已知悉","待助理知悉",IF($P187="","待補知悉日",IF(OR($Q187="有異議",$Q187="複核中"),"異議處理中","可送主管核定"))))))))</x:f>
      </x:c>
      <x:c r="T187" s="280" t="str">
        <x:f>IF($A187="","",IF($S187="可送主管核定","可進入主管核定",$S187))</x:f>
      </x:c>
      <x:c r="U187" s="280" t="str">
        <x:f>IF($A187="","",IF($R187&lt;&gt;"已發布","先發布檢核表版本",IF($S187="可送主管核定","送主管核定中心",IF($S187="異議處理中","先完成異議複核","補齊或更正考核資料"))))</x:f>
      </x:c>
    </x:row>
    <x:row r="188">
      <x:c r="B188" s="285"/>
      <x:c r="P188" s="285"/>
      <x:c r="R188" s="280" t="str">
        <x:f>IF($A188="","",_xlfn.XLOOKUP($F188&amp;"|"&amp;$G188,'檢核表版本'!$R$7:$R$13,'檢核表版本'!$Q$7:$Q$13,"未發布版本",0))</x:f>
      </x:c>
      <x:c r="S188" s="280" t="str">
        <x:f>IF($A188="","",IF(OR(LEN($B188)=0,LEN($C188)=0,LEN($E188)=0,LEN($F188)=0,LEN($G188)=0,LEN($H188)=0,LEN($I188)=0,LEN($J188)=0,LEN($L188)=0,LEN($M188)=0,LEN($O188)=0),"待補欄位",IF($R188&lt;&gt;"已發布","檢核表版本未發布",IF(AND($L188="通過",OR($I188&gt;0,$J188&gt;0)),"結果與必要項目矛盾",IF(AND($L188="通過",$M188&lt;&gt;"Ø"),"通過後建議評等應為 Ø",IF($O188&lt;&gt;"已知悉","待助理知悉",IF($P188="","待補知悉日",IF(OR($Q188="有異議",$Q188="複核中"),"異議處理中","可送主管核定"))))))))</x:f>
      </x:c>
      <x:c r="T188" s="280" t="str">
        <x:f>IF($A188="","",IF($S188="可送主管核定","可進入主管核定",$S188))</x:f>
      </x:c>
      <x:c r="U188" s="280" t="str">
        <x:f>IF($A188="","",IF($R188&lt;&gt;"已發布","先發布檢核表版本",IF($S188="可送主管核定","送主管核定中心",IF($S188="異議處理中","先完成異議複核","補齊或更正考核資料"))))</x:f>
      </x:c>
    </x:row>
    <x:row r="189">
      <x:c r="B189" s="285"/>
      <x:c r="P189" s="285"/>
      <x:c r="R189" s="280" t="str">
        <x:f>IF($A189="","",_xlfn.XLOOKUP($F189&amp;"|"&amp;$G189,'檢核表版本'!$R$7:$R$13,'檢核表版本'!$Q$7:$Q$13,"未發布版本",0))</x:f>
      </x:c>
      <x:c r="S189" s="280" t="str">
        <x:f>IF($A189="","",IF(OR(LEN($B189)=0,LEN($C189)=0,LEN($E189)=0,LEN($F189)=0,LEN($G189)=0,LEN($H189)=0,LEN($I189)=0,LEN($J189)=0,LEN($L189)=0,LEN($M189)=0,LEN($O189)=0),"待補欄位",IF($R189&lt;&gt;"已發布","檢核表版本未發布",IF(AND($L189="通過",OR($I189&gt;0,$J189&gt;0)),"結果與必要項目矛盾",IF(AND($L189="通過",$M189&lt;&gt;"Ø"),"通過後建議評等應為 Ø",IF($O189&lt;&gt;"已知悉","待助理知悉",IF($P189="","待補知悉日",IF(OR($Q189="有異議",$Q189="複核中"),"異議處理中","可送主管核定"))))))))</x:f>
      </x:c>
      <x:c r="T189" s="280" t="str">
        <x:f>IF($A189="","",IF($S189="可送主管核定","可進入主管核定",$S189))</x:f>
      </x:c>
      <x:c r="U189" s="280" t="str">
        <x:f>IF($A189="","",IF($R189&lt;&gt;"已發布","先發布檢核表版本",IF($S189="可送主管核定","送主管核定中心",IF($S189="異議處理中","先完成異議複核","補齊或更正考核資料"))))</x:f>
      </x:c>
    </x:row>
    <x:row r="190">
      <x:c r="B190" s="285"/>
      <x:c r="P190" s="285"/>
      <x:c r="R190" s="280" t="str">
        <x:f>IF($A190="","",_xlfn.XLOOKUP($F190&amp;"|"&amp;$G190,'檢核表版本'!$R$7:$R$13,'檢核表版本'!$Q$7:$Q$13,"未發布版本",0))</x:f>
      </x:c>
      <x:c r="S190" s="280" t="str">
        <x:f>IF($A190="","",IF(OR(LEN($B190)=0,LEN($C190)=0,LEN($E190)=0,LEN($F190)=0,LEN($G190)=0,LEN($H190)=0,LEN($I190)=0,LEN($J190)=0,LEN($L190)=0,LEN($M190)=0,LEN($O190)=0),"待補欄位",IF($R190&lt;&gt;"已發布","檢核表版本未發布",IF(AND($L190="通過",OR($I190&gt;0,$J190&gt;0)),"結果與必要項目矛盾",IF(AND($L190="通過",$M190&lt;&gt;"Ø"),"通過後建議評等應為 Ø",IF($O190&lt;&gt;"已知悉","待助理知悉",IF($P190="","待補知悉日",IF(OR($Q190="有異議",$Q190="複核中"),"異議處理中","可送主管核定"))))))))</x:f>
      </x:c>
      <x:c r="T190" s="280" t="str">
        <x:f>IF($A190="","",IF($S190="可送主管核定","可進入主管核定",$S190))</x:f>
      </x:c>
      <x:c r="U190" s="280" t="str">
        <x:f>IF($A190="","",IF($R190&lt;&gt;"已發布","先發布檢核表版本",IF($S190="可送主管核定","送主管核定中心",IF($S190="異議處理中","先完成異議複核","補齊或更正考核資料"))))</x:f>
      </x:c>
    </x:row>
    <x:row r="191">
      <x:c r="B191" s="285"/>
      <x:c r="P191" s="285"/>
      <x:c r="R191" s="280" t="str">
        <x:f>IF($A191="","",_xlfn.XLOOKUP($F191&amp;"|"&amp;$G191,'檢核表版本'!$R$7:$R$13,'檢核表版本'!$Q$7:$Q$13,"未發布版本",0))</x:f>
      </x:c>
      <x:c r="S191" s="280" t="str">
        <x:f>IF($A191="","",IF(OR(LEN($B191)=0,LEN($C191)=0,LEN($E191)=0,LEN($F191)=0,LEN($G191)=0,LEN($H191)=0,LEN($I191)=0,LEN($J191)=0,LEN($L191)=0,LEN($M191)=0,LEN($O191)=0),"待補欄位",IF($R191&lt;&gt;"已發布","檢核表版本未發布",IF(AND($L191="通過",OR($I191&gt;0,$J191&gt;0)),"結果與必要項目矛盾",IF(AND($L191="通過",$M191&lt;&gt;"Ø"),"通過後建議評等應為 Ø",IF($O191&lt;&gt;"已知悉","待助理知悉",IF($P191="","待補知悉日",IF(OR($Q191="有異議",$Q191="複核中"),"異議處理中","可送主管核定"))))))))</x:f>
      </x:c>
      <x:c r="T191" s="280" t="str">
        <x:f>IF($A191="","",IF($S191="可送主管核定","可進入主管核定",$S191))</x:f>
      </x:c>
      <x:c r="U191" s="280" t="str">
        <x:f>IF($A191="","",IF($R191&lt;&gt;"已發布","先發布檢核表版本",IF($S191="可送主管核定","送主管核定中心",IF($S191="異議處理中","先完成異議複核","補齊或更正考核資料"))))</x:f>
      </x:c>
    </x:row>
    <x:row r="192">
      <x:c r="B192" s="285"/>
      <x:c r="P192" s="285"/>
      <x:c r="R192" s="280" t="str">
        <x:f>IF($A192="","",_xlfn.XLOOKUP($F192&amp;"|"&amp;$G192,'檢核表版本'!$R$7:$R$13,'檢核表版本'!$Q$7:$Q$13,"未發布版本",0))</x:f>
      </x:c>
      <x:c r="S192" s="280" t="str">
        <x:f>IF($A192="","",IF(OR(LEN($B192)=0,LEN($C192)=0,LEN($E192)=0,LEN($F192)=0,LEN($G192)=0,LEN($H192)=0,LEN($I192)=0,LEN($J192)=0,LEN($L192)=0,LEN($M192)=0,LEN($O192)=0),"待補欄位",IF($R192&lt;&gt;"已發布","檢核表版本未發布",IF(AND($L192="通過",OR($I192&gt;0,$J192&gt;0)),"結果與必要項目矛盾",IF(AND($L192="通過",$M192&lt;&gt;"Ø"),"通過後建議評等應為 Ø",IF($O192&lt;&gt;"已知悉","待助理知悉",IF($P192="","待補知悉日",IF(OR($Q192="有異議",$Q192="複核中"),"異議處理中","可送主管核定"))))))))</x:f>
      </x:c>
      <x:c r="T192" s="280" t="str">
        <x:f>IF($A192="","",IF($S192="可送主管核定","可進入主管核定",$S192))</x:f>
      </x:c>
      <x:c r="U192" s="280" t="str">
        <x:f>IF($A192="","",IF($R192&lt;&gt;"已發布","先發布檢核表版本",IF($S192="可送主管核定","送主管核定中心",IF($S192="異議處理中","先完成異議複核","補齊或更正考核資料"))))</x:f>
      </x:c>
    </x:row>
    <x:row r="193">
      <x:c r="B193" s="285"/>
      <x:c r="P193" s="285"/>
      <x:c r="R193" s="280" t="str">
        <x:f>IF($A193="","",_xlfn.XLOOKUP($F193&amp;"|"&amp;$G193,'檢核表版本'!$R$7:$R$13,'檢核表版本'!$Q$7:$Q$13,"未發布版本",0))</x:f>
      </x:c>
      <x:c r="S193" s="280" t="str">
        <x:f>IF($A193="","",IF(OR(LEN($B193)=0,LEN($C193)=0,LEN($E193)=0,LEN($F193)=0,LEN($G193)=0,LEN($H193)=0,LEN($I193)=0,LEN($J193)=0,LEN($L193)=0,LEN($M193)=0,LEN($O193)=0),"待補欄位",IF($R193&lt;&gt;"已發布","檢核表版本未發布",IF(AND($L193="通過",OR($I193&gt;0,$J193&gt;0)),"結果與必要項目矛盾",IF(AND($L193="通過",$M193&lt;&gt;"Ø"),"通過後建議評等應為 Ø",IF($O193&lt;&gt;"已知悉","待助理知悉",IF($P193="","待補知悉日",IF(OR($Q193="有異議",$Q193="複核中"),"異議處理中","可送主管核定"))))))))</x:f>
      </x:c>
      <x:c r="T193" s="280" t="str">
        <x:f>IF($A193="","",IF($S193="可送主管核定","可進入主管核定",$S193))</x:f>
      </x:c>
      <x:c r="U193" s="280" t="str">
        <x:f>IF($A193="","",IF($R193&lt;&gt;"已發布","先發布檢核表版本",IF($S193="可送主管核定","送主管核定中心",IF($S193="異議處理中","先完成異議複核","補齊或更正考核資料"))))</x:f>
      </x:c>
    </x:row>
    <x:row r="194">
      <x:c r="B194" s="285"/>
      <x:c r="P194" s="285"/>
      <x:c r="R194" s="280" t="str">
        <x:f>IF($A194="","",_xlfn.XLOOKUP($F194&amp;"|"&amp;$G194,'檢核表版本'!$R$7:$R$13,'檢核表版本'!$Q$7:$Q$13,"未發布版本",0))</x:f>
      </x:c>
      <x:c r="S194" s="280" t="str">
        <x:f>IF($A194="","",IF(OR(LEN($B194)=0,LEN($C194)=0,LEN($E194)=0,LEN($F194)=0,LEN($G194)=0,LEN($H194)=0,LEN($I194)=0,LEN($J194)=0,LEN($L194)=0,LEN($M194)=0,LEN($O194)=0),"待補欄位",IF($R194&lt;&gt;"已發布","檢核表版本未發布",IF(AND($L194="通過",OR($I194&gt;0,$J194&gt;0)),"結果與必要項目矛盾",IF(AND($L194="通過",$M194&lt;&gt;"Ø"),"通過後建議評等應為 Ø",IF($O194&lt;&gt;"已知悉","待助理知悉",IF($P194="","待補知悉日",IF(OR($Q194="有異議",$Q194="複核中"),"異議處理中","可送主管核定"))))))))</x:f>
      </x:c>
      <x:c r="T194" s="280" t="str">
        <x:f>IF($A194="","",IF($S194="可送主管核定","可進入主管核定",$S194))</x:f>
      </x:c>
      <x:c r="U194" s="280" t="str">
        <x:f>IF($A194="","",IF($R194&lt;&gt;"已發布","先發布檢核表版本",IF($S194="可送主管核定","送主管核定中心",IF($S194="異議處理中","先完成異議複核","補齊或更正考核資料"))))</x:f>
      </x:c>
    </x:row>
    <x:row r="195">
      <x:c r="B195" s="285"/>
      <x:c r="P195" s="285"/>
      <x:c r="R195" s="280" t="str">
        <x:f>IF($A195="","",_xlfn.XLOOKUP($F195&amp;"|"&amp;$G195,'檢核表版本'!$R$7:$R$13,'檢核表版本'!$Q$7:$Q$13,"未發布版本",0))</x:f>
      </x:c>
      <x:c r="S195" s="280" t="str">
        <x:f>IF($A195="","",IF(OR(LEN($B195)=0,LEN($C195)=0,LEN($E195)=0,LEN($F195)=0,LEN($G195)=0,LEN($H195)=0,LEN($I195)=0,LEN($J195)=0,LEN($L195)=0,LEN($M195)=0,LEN($O195)=0),"待補欄位",IF($R195&lt;&gt;"已發布","檢核表版本未發布",IF(AND($L195="通過",OR($I195&gt;0,$J195&gt;0)),"結果與必要項目矛盾",IF(AND($L195="通過",$M195&lt;&gt;"Ø"),"通過後建議評等應為 Ø",IF($O195&lt;&gt;"已知悉","待助理知悉",IF($P195="","待補知悉日",IF(OR($Q195="有異議",$Q195="複核中"),"異議處理中","可送主管核定"))))))))</x:f>
      </x:c>
      <x:c r="T195" s="280" t="str">
        <x:f>IF($A195="","",IF($S195="可送主管核定","可進入主管核定",$S195))</x:f>
      </x:c>
      <x:c r="U195" s="280" t="str">
        <x:f>IF($A195="","",IF($R195&lt;&gt;"已發布","先發布檢核表版本",IF($S195="可送主管核定","送主管核定中心",IF($S195="異議處理中","先完成異議複核","補齊或更正考核資料"))))</x:f>
      </x:c>
    </x:row>
    <x:row r="196">
      <x:c r="B196" s="285"/>
      <x:c r="P196" s="285"/>
      <x:c r="R196" s="280" t="str">
        <x:f>IF($A196="","",_xlfn.XLOOKUP($F196&amp;"|"&amp;$G196,'檢核表版本'!$R$7:$R$13,'檢核表版本'!$Q$7:$Q$13,"未發布版本",0))</x:f>
      </x:c>
      <x:c r="S196" s="280" t="str">
        <x:f>IF($A196="","",IF(OR(LEN($B196)=0,LEN($C196)=0,LEN($E196)=0,LEN($F196)=0,LEN($G196)=0,LEN($H196)=0,LEN($I196)=0,LEN($J196)=0,LEN($L196)=0,LEN($M196)=0,LEN($O196)=0),"待補欄位",IF($R196&lt;&gt;"已發布","檢核表版本未發布",IF(AND($L196="通過",OR($I196&gt;0,$J196&gt;0)),"結果與必要項目矛盾",IF(AND($L196="通過",$M196&lt;&gt;"Ø"),"通過後建議評等應為 Ø",IF($O196&lt;&gt;"已知悉","待助理知悉",IF($P196="","待補知悉日",IF(OR($Q196="有異議",$Q196="複核中"),"異議處理中","可送主管核定"))))))))</x:f>
      </x:c>
      <x:c r="T196" s="280" t="str">
        <x:f>IF($A196="","",IF($S196="可送主管核定","可進入主管核定",$S196))</x:f>
      </x:c>
      <x:c r="U196" s="280" t="str">
        <x:f>IF($A196="","",IF($R196&lt;&gt;"已發布","先發布檢核表版本",IF($S196="可送主管核定","送主管核定中心",IF($S196="異議處理中","先完成異議複核","補齊或更正考核資料"))))</x:f>
      </x:c>
    </x:row>
    <x:row r="197">
      <x:c r="B197" s="285"/>
      <x:c r="P197" s="285"/>
      <x:c r="R197" s="280" t="str">
        <x:f>IF($A197="","",_xlfn.XLOOKUP($F197&amp;"|"&amp;$G197,'檢核表版本'!$R$7:$R$13,'檢核表版本'!$Q$7:$Q$13,"未發布版本",0))</x:f>
      </x:c>
      <x:c r="S197" s="280" t="str">
        <x:f>IF($A197="","",IF(OR(LEN($B197)=0,LEN($C197)=0,LEN($E197)=0,LEN($F197)=0,LEN($G197)=0,LEN($H197)=0,LEN($I197)=0,LEN($J197)=0,LEN($L197)=0,LEN($M197)=0,LEN($O197)=0),"待補欄位",IF($R197&lt;&gt;"已發布","檢核表版本未發布",IF(AND($L197="通過",OR($I197&gt;0,$J197&gt;0)),"結果與必要項目矛盾",IF(AND($L197="通過",$M197&lt;&gt;"Ø"),"通過後建議評等應為 Ø",IF($O197&lt;&gt;"已知悉","待助理知悉",IF($P197="","待補知悉日",IF(OR($Q197="有異議",$Q197="複核中"),"異議處理中","可送主管核定"))))))))</x:f>
      </x:c>
      <x:c r="T197" s="280" t="str">
        <x:f>IF($A197="","",IF($S197="可送主管核定","可進入主管核定",$S197))</x:f>
      </x:c>
      <x:c r="U197" s="280" t="str">
        <x:f>IF($A197="","",IF($R197&lt;&gt;"已發布","先發布檢核表版本",IF($S197="可送主管核定","送主管核定中心",IF($S197="異議處理中","先完成異議複核","補齊或更正考核資料"))))</x:f>
      </x:c>
    </x:row>
    <x:row r="198">
      <x:c r="B198" s="285"/>
      <x:c r="P198" s="285"/>
      <x:c r="R198" s="280" t="str">
        <x:f>IF($A198="","",_xlfn.XLOOKUP($F198&amp;"|"&amp;$G198,'檢核表版本'!$R$7:$R$13,'檢核表版本'!$Q$7:$Q$13,"未發布版本",0))</x:f>
      </x:c>
      <x:c r="S198" s="280" t="str">
        <x:f>IF($A198="","",IF(OR(LEN($B198)=0,LEN($C198)=0,LEN($E198)=0,LEN($F198)=0,LEN($G198)=0,LEN($H198)=0,LEN($I198)=0,LEN($J198)=0,LEN($L198)=0,LEN($M198)=0,LEN($O198)=0),"待補欄位",IF($R198&lt;&gt;"已發布","檢核表版本未發布",IF(AND($L198="通過",OR($I198&gt;0,$J198&gt;0)),"結果與必要項目矛盾",IF(AND($L198="通過",$M198&lt;&gt;"Ø"),"通過後建議評等應為 Ø",IF($O198&lt;&gt;"已知悉","待助理知悉",IF($P198="","待補知悉日",IF(OR($Q198="有異議",$Q198="複核中"),"異議處理中","可送主管核定"))))))))</x:f>
      </x:c>
      <x:c r="T198" s="280" t="str">
        <x:f>IF($A198="","",IF($S198="可送主管核定","可進入主管核定",$S198))</x:f>
      </x:c>
      <x:c r="U198" s="280" t="str">
        <x:f>IF($A198="","",IF($R198&lt;&gt;"已發布","先發布檢核表版本",IF($S198="可送主管核定","送主管核定中心",IF($S198="異議處理中","先完成異議複核","補齊或更正考核資料"))))</x:f>
      </x:c>
    </x:row>
    <x:row r="199">
      <x:c r="B199" s="285"/>
      <x:c r="P199" s="285"/>
      <x:c r="R199" s="280" t="str">
        <x:f>IF($A199="","",_xlfn.XLOOKUP($F199&amp;"|"&amp;$G199,'檢核表版本'!$R$7:$R$13,'檢核表版本'!$Q$7:$Q$13,"未發布版本",0))</x:f>
      </x:c>
      <x:c r="S199" s="280" t="str">
        <x:f>IF($A199="","",IF(OR(LEN($B199)=0,LEN($C199)=0,LEN($E199)=0,LEN($F199)=0,LEN($G199)=0,LEN($H199)=0,LEN($I199)=0,LEN($J199)=0,LEN($L199)=0,LEN($M199)=0,LEN($O199)=0),"待補欄位",IF($R199&lt;&gt;"已發布","檢核表版本未發布",IF(AND($L199="通過",OR($I199&gt;0,$J199&gt;0)),"結果與必要項目矛盾",IF(AND($L199="通過",$M199&lt;&gt;"Ø"),"通過後建議評等應為 Ø",IF($O199&lt;&gt;"已知悉","待助理知悉",IF($P199="","待補知悉日",IF(OR($Q199="有異議",$Q199="複核中"),"異議處理中","可送主管核定"))))))))</x:f>
      </x:c>
      <x:c r="T199" s="280" t="str">
        <x:f>IF($A199="","",IF($S199="可送主管核定","可進入主管核定",$S199))</x:f>
      </x:c>
      <x:c r="U199" s="280" t="str">
        <x:f>IF($A199="","",IF($R199&lt;&gt;"已發布","先發布檢核表版本",IF($S199="可送主管核定","送主管核定中心",IF($S199="異議處理中","先完成異議複核","補齊或更正考核資料"))))</x:f>
      </x:c>
    </x:row>
    <x:row r="200">
      <x:c r="B200" s="285"/>
      <x:c r="P200" s="285"/>
      <x:c r="R200" s="280" t="str">
        <x:f>IF($A200="","",_xlfn.XLOOKUP($F200&amp;"|"&amp;$G200,'檢核表版本'!$R$7:$R$13,'檢核表版本'!$Q$7:$Q$13,"未發布版本",0))</x:f>
      </x:c>
      <x:c r="S200" s="280" t="str">
        <x:f>IF($A200="","",IF(OR(LEN($B200)=0,LEN($C200)=0,LEN($E200)=0,LEN($F200)=0,LEN($G200)=0,LEN($H200)=0,LEN($I200)=0,LEN($J200)=0,LEN($L200)=0,LEN($M200)=0,LEN($O200)=0),"待補欄位",IF($R200&lt;&gt;"已發布","檢核表版本未發布",IF(AND($L200="通過",OR($I200&gt;0,$J200&gt;0)),"結果與必要項目矛盾",IF(AND($L200="通過",$M200&lt;&gt;"Ø"),"通過後建議評等應為 Ø",IF($O200&lt;&gt;"已知悉","待助理知悉",IF($P200="","待補知悉日",IF(OR($Q200="有異議",$Q200="複核中"),"異議處理中","可送主管核定"))))))))</x:f>
      </x:c>
      <x:c r="T200" s="280" t="str">
        <x:f>IF($A200="","",IF($S200="可送主管核定","可進入主管核定",$S200))</x:f>
      </x:c>
      <x:c r="U200" s="280" t="str">
        <x:f>IF($A200="","",IF($R200&lt;&gt;"已發布","先發布檢核表版本",IF($S200="可送主管核定","送主管核定中心",IF($S200="異議處理中","先完成異議複核","補齊或更正考核資料"))))</x:f>
      </x:c>
    </x:row>
    <x:row r="201">
      <x:c r="B201" s="285"/>
      <x:c r="P201" s="285"/>
      <x:c r="R201" s="280" t="str">
        <x:f>IF($A201="","",_xlfn.XLOOKUP($F201&amp;"|"&amp;$G201,'檢核表版本'!$R$7:$R$13,'檢核表版本'!$Q$7:$Q$13,"未發布版本",0))</x:f>
      </x:c>
      <x:c r="S201" s="280" t="str">
        <x:f>IF($A201="","",IF(OR(LEN($B201)=0,LEN($C201)=0,LEN($E201)=0,LEN($F201)=0,LEN($G201)=0,LEN($H201)=0,LEN($I201)=0,LEN($J201)=0,LEN($L201)=0,LEN($M201)=0,LEN($O201)=0),"待補欄位",IF($R201&lt;&gt;"已發布","檢核表版本未發布",IF(AND($L201="通過",OR($I201&gt;0,$J201&gt;0)),"結果與必要項目矛盾",IF(AND($L201="通過",$M201&lt;&gt;"Ø"),"通過後建議評等應為 Ø",IF($O201&lt;&gt;"已知悉","待助理知悉",IF($P201="","待補知悉日",IF(OR($Q201="有異議",$Q201="複核中"),"異議處理中","可送主管核定"))))))))</x:f>
      </x:c>
      <x:c r="T201" s="280" t="str">
        <x:f>IF($A201="","",IF($S201="可送主管核定","可進入主管核定",$S201))</x:f>
      </x:c>
      <x:c r="U201" s="280" t="str">
        <x:f>IF($A201="","",IF($R201&lt;&gt;"已發布","先發布檢核表版本",IF($S201="可送主管核定","送主管核定中心",IF($S201="異議處理中","先完成異議複核","補齊或更正考核資料"))))</x:f>
      </x:c>
    </x:row>
    <x:row r="202">
      <x:c r="B202" s="285"/>
      <x:c r="P202" s="285"/>
      <x:c r="R202" s="280" t="str">
        <x:f>IF($A202="","",_xlfn.XLOOKUP($F202&amp;"|"&amp;$G202,'檢核表版本'!$R$7:$R$13,'檢核表版本'!$Q$7:$Q$13,"未發布版本",0))</x:f>
      </x:c>
      <x:c r="S202" s="280" t="str">
        <x:f>IF($A202="","",IF(OR(LEN($B202)=0,LEN($C202)=0,LEN($E202)=0,LEN($F202)=0,LEN($G202)=0,LEN($H202)=0,LEN($I202)=0,LEN($J202)=0,LEN($L202)=0,LEN($M202)=0,LEN($O202)=0),"待補欄位",IF($R202&lt;&gt;"已發布","檢核表版本未發布",IF(AND($L202="通過",OR($I202&gt;0,$J202&gt;0)),"結果與必要項目矛盾",IF(AND($L202="通過",$M202&lt;&gt;"Ø"),"通過後建議評等應為 Ø",IF($O202&lt;&gt;"已知悉","待助理知悉",IF($P202="","待補知悉日",IF(OR($Q202="有異議",$Q202="複核中"),"異議處理中","可送主管核定"))))))))</x:f>
      </x:c>
      <x:c r="T202" s="280" t="str">
        <x:f>IF($A202="","",IF($S202="可送主管核定","可進入主管核定",$S202))</x:f>
      </x:c>
      <x:c r="U202" s="280" t="str">
        <x:f>IF($A202="","",IF($R202&lt;&gt;"已發布","先發布檢核表版本",IF($S202="可送主管核定","送主管核定中心",IF($S202="異議處理中","先完成異議複核","補齊或更正考核資料"))))</x:f>
      </x:c>
    </x:row>
    <x:row r="203">
      <x:c r="B203" s="285"/>
      <x:c r="P203" s="285"/>
      <x:c r="R203" s="280" t="str">
        <x:f>IF($A203="","",_xlfn.XLOOKUP($F203&amp;"|"&amp;$G203,'檢核表版本'!$R$7:$R$13,'檢核表版本'!$Q$7:$Q$13,"未發布版本",0))</x:f>
      </x:c>
      <x:c r="S203" s="280" t="str">
        <x:f>IF($A203="","",IF(OR(LEN($B203)=0,LEN($C203)=0,LEN($E203)=0,LEN($F203)=0,LEN($G203)=0,LEN($H203)=0,LEN($I203)=0,LEN($J203)=0,LEN($L203)=0,LEN($M203)=0,LEN($O203)=0),"待補欄位",IF($R203&lt;&gt;"已發布","檢核表版本未發布",IF(AND($L203="通過",OR($I203&gt;0,$J203&gt;0)),"結果與必要項目矛盾",IF(AND($L203="通過",$M203&lt;&gt;"Ø"),"通過後建議評等應為 Ø",IF($O203&lt;&gt;"已知悉","待助理知悉",IF($P203="","待補知悉日",IF(OR($Q203="有異議",$Q203="複核中"),"異議處理中","可送主管核定"))))))))</x:f>
      </x:c>
      <x:c r="T203" s="280" t="str">
        <x:f>IF($A203="","",IF($S203="可送主管核定","可進入主管核定",$S203))</x:f>
      </x:c>
      <x:c r="U203" s="280" t="str">
        <x:f>IF($A203="","",IF($R203&lt;&gt;"已發布","先發布檢核表版本",IF($S203="可送主管核定","送主管核定中心",IF($S203="異議處理中","先完成異議複核","補齊或更正考核資料"))))</x:f>
      </x:c>
    </x:row>
    <x:row r="204">
      <x:c r="B204" s="285"/>
      <x:c r="P204" s="285"/>
      <x:c r="R204" s="280" t="str">
        <x:f>IF($A204="","",_xlfn.XLOOKUP($F204&amp;"|"&amp;$G204,'檢核表版本'!$R$7:$R$13,'檢核表版本'!$Q$7:$Q$13,"未發布版本",0))</x:f>
      </x:c>
      <x:c r="S204" s="280" t="str">
        <x:f>IF($A204="","",IF(OR(LEN($B204)=0,LEN($C204)=0,LEN($E204)=0,LEN($F204)=0,LEN($G204)=0,LEN($H204)=0,LEN($I204)=0,LEN($J204)=0,LEN($L204)=0,LEN($M204)=0,LEN($O204)=0),"待補欄位",IF($R204&lt;&gt;"已發布","檢核表版本未發布",IF(AND($L204="通過",OR($I204&gt;0,$J204&gt;0)),"結果與必要項目矛盾",IF(AND($L204="通過",$M204&lt;&gt;"Ø"),"通過後建議評等應為 Ø",IF($O204&lt;&gt;"已知悉","待助理知悉",IF($P204="","待補知悉日",IF(OR($Q204="有異議",$Q204="複核中"),"異議處理中","可送主管核定"))))))))</x:f>
      </x:c>
      <x:c r="T204" s="280" t="str">
        <x:f>IF($A204="","",IF($S204="可送主管核定","可進入主管核定",$S204))</x:f>
      </x:c>
      <x:c r="U204" s="280" t="str">
        <x:f>IF($A204="","",IF($R204&lt;&gt;"已發布","先發布檢核表版本",IF($S204="可送主管核定","送主管核定中心",IF($S204="異議處理中","先完成異議複核","補齊或更正考核資料"))))</x:f>
      </x:c>
    </x:row>
    <x:row r="205">
      <x:c r="B205" s="285"/>
      <x:c r="P205" s="285"/>
      <x:c r="R205" s="280" t="str">
        <x:f>IF($A205="","",_xlfn.XLOOKUP($F205&amp;"|"&amp;$G205,'檢核表版本'!$R$7:$R$13,'檢核表版本'!$Q$7:$Q$13,"未發布版本",0))</x:f>
      </x:c>
      <x:c r="S205" s="280" t="str">
        <x:f>IF($A205="","",IF(OR(LEN($B205)=0,LEN($C205)=0,LEN($E205)=0,LEN($F205)=0,LEN($G205)=0,LEN($H205)=0,LEN($I205)=0,LEN($J205)=0,LEN($L205)=0,LEN($M205)=0,LEN($O205)=0),"待補欄位",IF($R205&lt;&gt;"已發布","檢核表版本未發布",IF(AND($L205="通過",OR($I205&gt;0,$J205&gt;0)),"結果與必要項目矛盾",IF(AND($L205="通過",$M205&lt;&gt;"Ø"),"通過後建議評等應為 Ø",IF($O205&lt;&gt;"已知悉","待助理知悉",IF($P205="","待補知悉日",IF(OR($Q205="有異議",$Q205="複核中"),"異議處理中","可送主管核定"))))))))</x:f>
      </x:c>
      <x:c r="T205" s="280" t="str">
        <x:f>IF($A205="","",IF($S205="可送主管核定","可進入主管核定",$S205))</x:f>
      </x:c>
      <x:c r="U205" s="280" t="str">
        <x:f>IF($A205="","",IF($R205&lt;&gt;"已發布","先發布檢核表版本",IF($S205="可送主管核定","送主管核定中心",IF($S205="異議處理中","先完成異議複核","補齊或更正考核資料"))))</x:f>
      </x:c>
    </x:row>
    <x:row r="206">
      <x:c r="B206" s="285"/>
      <x:c r="P206" s="285"/>
      <x:c r="R206" s="280" t="str">
        <x:f>IF($A206="","",_xlfn.XLOOKUP($F206&amp;"|"&amp;$G206,'檢核表版本'!$R$7:$R$13,'檢核表版本'!$Q$7:$Q$13,"未發布版本",0))</x:f>
      </x:c>
      <x:c r="S206" s="280" t="str">
        <x:f>IF($A206="","",IF(OR(LEN($B206)=0,LEN($C206)=0,LEN($E206)=0,LEN($F206)=0,LEN($G206)=0,LEN($H206)=0,LEN($I206)=0,LEN($J206)=0,LEN($L206)=0,LEN($M206)=0,LEN($O206)=0),"待補欄位",IF($R206&lt;&gt;"已發布","檢核表版本未發布",IF(AND($L206="通過",OR($I206&gt;0,$J206&gt;0)),"結果與必要項目矛盾",IF(AND($L206="通過",$M206&lt;&gt;"Ø"),"通過後建議評等應為 Ø",IF($O206&lt;&gt;"已知悉","待助理知悉",IF($P206="","待補知悉日",IF(OR($Q206="有異議",$Q206="複核中"),"異議處理中","可送主管核定"))))))))</x:f>
      </x:c>
      <x:c r="T206" s="280" t="str">
        <x:f>IF($A206="","",IF($S206="可送主管核定","可進入主管核定",$S206))</x:f>
      </x:c>
      <x:c r="U206" s="280" t="str">
        <x:f>IF($A206="","",IF($R206&lt;&gt;"已發布","先發布檢核表版本",IF($S206="可送主管核定","送主管核定中心",IF($S206="異議處理中","先完成異議複核","補齊或更正考核資料"))))</x:f>
      </x:c>
    </x:row>
  </x:sheetData>
  <x:conditionalFormatting sqref="S7:T206">
    <x:cfRule type="containsText" dxfId="76" priority="1" operator="containsText" text="可送主管核定"/>
    <x:cfRule type="containsText" dxfId="77" priority="2" operator="containsText" text="矛盾"/>
  </x:conditionalFormatting>
  <x:dataValidations count="9">
    <x:dataValidation type="list" sqref="C7:C106">
      <x:formula1>'試行員工主檔'!$A$7:$A$20</x:formula1>
    </x:dataValidation>
    <x:dataValidation type="list" sqref="E7:E106">
      <x:formula1>'技能主檔_V1'!$A$7:$A$24</x:formula1>
    </x:dataValidation>
    <x:dataValidation type="list" sqref="F7:F106">
      <x:formula1>'檢核表版本'!$A$7:$A$13</x:formula1>
    </x:dataValidation>
    <x:dataValidation type="list" sqref="O7:O106">
      <x:formula1>"待確認,已知悉"</x:formula1>
    </x:dataValidation>
    <x:dataValidation type="list" sqref="Q7:Q106">
      <x:formula1>"無異議,提出異議,複核中,已結案"</x:formula1>
    </x:dataValidation>
    <x:dataValidation type="list" sqref="L7:L206">
      <x:formula1>"通過,未通過"</x:formula1>
    </x:dataValidation>
    <x:dataValidation type="list" sqref="M7:M206">
      <x:formula1>"Ø,△,※"</x:formula1>
    </x:dataValidation>
    <x:dataValidation type="list" sqref="O7:O206">
      <x:formula1>"待知悉,已知悉"</x:formula1>
    </x:dataValidation>
    <x:dataValidation type="list" sqref="Q7:Q206">
      <x:formula1>"無異議,有異議,複核中,已結案"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ca26bc511b4893"/>
  </x:tableParts>
</x:worksheet>
</file>

<file path=xl/worksheets/sheet23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22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0" hidden="0" customWidth="1"/>
    <x:col min="13" max="13" width="16" hidden="0" customWidth="1"/>
    <x:col min="14" max="14" width="42" hidden="0" customWidth="1"/>
  </x:cols>
  <x:sheetData>
    <x:row r="2">
      <x:c r="A2" s="74" t="str">
        <x:v>工作觀察紀錄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75" t="str">
        <x:v>成功觀察須獨立完成、未經提醒且沒有關鍵遺漏；Ø 升 ◎ 至少需要三次、跨兩個工作日及面談檢視。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</x:row>
    <x:row r="6">
      <x:c r="A6" s="104" t="str">
        <x:v>觀察編號</x:v>
      </x:c>
      <x:c r="B6" s="104" t="str">
        <x:v>日期</x:v>
      </x:c>
      <x:c r="C6" s="104" t="str">
        <x:v>員工編號</x:v>
      </x:c>
      <x:c r="D6" s="104" t="str">
        <x:v>姓名</x:v>
      </x:c>
      <x:c r="E6" s="104" t="str">
        <x:v>醫師</x:v>
      </x:c>
      <x:c r="F6" s="104" t="str">
        <x:v>模式代碼</x:v>
      </x:c>
      <x:c r="G6" s="104" t="str">
        <x:v>技能代碼</x:v>
      </x:c>
      <x:c r="H6" s="104" t="str">
        <x:v>獨立完成</x:v>
      </x:c>
      <x:c r="I6" s="104" t="str">
        <x:v>需要提醒</x:v>
      </x:c>
      <x:c r="J6" s="104" t="str">
        <x:v>關鍵遺漏</x:v>
      </x:c>
      <x:c r="K6" s="104" t="str">
        <x:v>觀察人</x:v>
      </x:c>
      <x:c r="L6" s="104" t="str">
        <x:v>備註</x:v>
      </x:c>
      <x:c r="M6" s="104" t="str">
        <x:v>成功觀察</x:v>
      </x:c>
      <x:c r="N6" s="104" t="str">
        <x:v>查找鍵</x:v>
      </x:c>
    </x:row>
    <x:row r="7">
      <x:c r="A7" s="106"/>
      <x:c r="B7" s="108"/>
      <x:c r="C7" s="106"/>
      <x:c r="D7" s="107" t="str">
        <x:f>IF($C7="","",_xlfn.XLOOKUP($C7,'試行員工主檔'!$A$7:$A$20,'試行員工主檔'!$B$7:$B$20,"員工未建立",0))</x:f>
      </x:c>
      <x:c r="E7" s="106"/>
      <x:c r="F7" s="106"/>
      <x:c r="G7" s="106"/>
      <x:c r="H7" s="106"/>
      <x:c r="I7" s="106"/>
      <x:c r="J7" s="106"/>
      <x:c r="K7" s="106"/>
      <x:c r="L7" s="106"/>
      <x:c r="M7" s="107" t="str">
        <x:f>IF($A7="","",IF(AND($H7="是",$I7="否",$J7="否"),"是","否"))</x:f>
      </x:c>
      <x:c r="N7" s="107" t="str">
        <x:f>IF(OR($C7="",$G7=""),"",$C7&amp;"|"&amp;$G7)</x:f>
      </x:c>
    </x:row>
    <x:row r="8">
      <x:c r="A8" s="106"/>
      <x:c r="B8" s="108"/>
      <x:c r="C8" s="106"/>
      <x:c r="D8" s="107" t="str">
        <x:f>IF($C8="","",_xlfn.XLOOKUP($C8,'試行員工主檔'!$A$7:$A$20,'試行員工主檔'!$B$7:$B$20,"員工未建立",0))</x:f>
      </x:c>
      <x:c r="E8" s="106"/>
      <x:c r="F8" s="106"/>
      <x:c r="G8" s="106"/>
      <x:c r="H8" s="106"/>
      <x:c r="I8" s="106"/>
      <x:c r="J8" s="106"/>
      <x:c r="K8" s="106"/>
      <x:c r="L8" s="106"/>
      <x:c r="M8" s="107" t="str">
        <x:f>IF($A8="","",IF(AND($H8="是",$I8="否",$J8="否"),"是","否"))</x:f>
      </x:c>
      <x:c r="N8" s="107" t="str">
        <x:f>IF(OR($C8="",$G8=""),"",$C8&amp;"|"&amp;$G8)</x:f>
      </x:c>
    </x:row>
    <x:row r="9">
      <x:c r="A9" s="106"/>
      <x:c r="B9" s="108"/>
      <x:c r="C9" s="106"/>
      <x:c r="D9" s="107" t="str">
        <x:f>IF($C9="","",_xlfn.XLOOKUP($C9,'試行員工主檔'!$A$7:$A$20,'試行員工主檔'!$B$7:$B$20,"員工未建立",0))</x:f>
      </x:c>
      <x:c r="E9" s="106"/>
      <x:c r="F9" s="106"/>
      <x:c r="G9" s="106"/>
      <x:c r="H9" s="106"/>
      <x:c r="I9" s="106"/>
      <x:c r="J9" s="106"/>
      <x:c r="K9" s="106"/>
      <x:c r="L9" s="106"/>
      <x:c r="M9" s="107" t="str">
        <x:f>IF($A9="","",IF(AND($H9="是",$I9="否",$J9="否"),"是","否"))</x:f>
      </x:c>
      <x:c r="N9" s="107" t="str">
        <x:f>IF(OR($C9="",$G9=""),"",$C9&amp;"|"&amp;$G9)</x:f>
      </x:c>
    </x:row>
    <x:row r="10">
      <x:c r="A10" s="106"/>
      <x:c r="B10" s="108"/>
      <x:c r="C10" s="106"/>
      <x:c r="D10" s="107" t="str">
        <x:f>IF($C10="","",_xlfn.XLOOKUP($C10,'試行員工主檔'!$A$7:$A$20,'試行員工主檔'!$B$7:$B$20,"員工未建立",0))</x:f>
      </x:c>
      <x:c r="E10" s="106"/>
      <x:c r="F10" s="106"/>
      <x:c r="G10" s="106"/>
      <x:c r="H10" s="106"/>
      <x:c r="I10" s="106"/>
      <x:c r="J10" s="106"/>
      <x:c r="K10" s="106"/>
      <x:c r="L10" s="106"/>
      <x:c r="M10" s="107" t="str">
        <x:f>IF($A10="","",IF(AND($H10="是",$I10="否",$J10="否"),"是","否"))</x:f>
      </x:c>
      <x:c r="N10" s="107" t="str">
        <x:f>IF(OR($C10="",$G10=""),"",$C10&amp;"|"&amp;$G10)</x:f>
      </x:c>
    </x:row>
    <x:row r="11">
      <x:c r="A11" s="106"/>
      <x:c r="B11" s="108"/>
      <x:c r="C11" s="106"/>
      <x:c r="D11" s="107" t="str">
        <x:f>IF($C11="","",_xlfn.XLOOKUP($C11,'試行員工主檔'!$A$7:$A$20,'試行員工主檔'!$B$7:$B$20,"員工未建立",0))</x:f>
      </x:c>
      <x:c r="E11" s="106"/>
      <x:c r="F11" s="106"/>
      <x:c r="G11" s="106"/>
      <x:c r="H11" s="106"/>
      <x:c r="I11" s="106"/>
      <x:c r="J11" s="106"/>
      <x:c r="K11" s="106"/>
      <x:c r="L11" s="106"/>
      <x:c r="M11" s="107" t="str">
        <x:f>IF($A11="","",IF(AND($H11="是",$I11="否",$J11="否"),"是","否"))</x:f>
      </x:c>
      <x:c r="N11" s="107" t="str">
        <x:f>IF(OR($C11="",$G11=""),"",$C11&amp;"|"&amp;$G11)</x:f>
      </x:c>
    </x:row>
    <x:row r="12">
      <x:c r="A12" s="106"/>
      <x:c r="B12" s="108"/>
      <x:c r="C12" s="106"/>
      <x:c r="D12" s="107" t="str">
        <x:f>IF($C12="","",_xlfn.XLOOKUP($C12,'試行員工主檔'!$A$7:$A$20,'試行員工主檔'!$B$7:$B$20,"員工未建立",0))</x:f>
      </x:c>
      <x:c r="E12" s="106"/>
      <x:c r="F12" s="106"/>
      <x:c r="G12" s="106"/>
      <x:c r="H12" s="106"/>
      <x:c r="I12" s="106"/>
      <x:c r="J12" s="106"/>
      <x:c r="K12" s="106"/>
      <x:c r="L12" s="106"/>
      <x:c r="M12" s="107" t="str">
        <x:f>IF($A12="","",IF(AND($H12="是",$I12="否",$J12="否"),"是","否"))</x:f>
      </x:c>
      <x:c r="N12" s="107" t="str">
        <x:f>IF(OR($C12="",$G12=""),"",$C12&amp;"|"&amp;$G12)</x:f>
      </x:c>
    </x:row>
    <x:row r="13">
      <x:c r="A13" s="106"/>
      <x:c r="B13" s="108"/>
      <x:c r="C13" s="106"/>
      <x:c r="D13" s="107" t="str">
        <x:f>IF($C13="","",_xlfn.XLOOKUP($C13,'試行員工主檔'!$A$7:$A$20,'試行員工主檔'!$B$7:$B$20,"員工未建立",0))</x:f>
      </x:c>
      <x:c r="E13" s="106"/>
      <x:c r="F13" s="106"/>
      <x:c r="G13" s="106"/>
      <x:c r="H13" s="106"/>
      <x:c r="I13" s="106"/>
      <x:c r="J13" s="106"/>
      <x:c r="K13" s="106"/>
      <x:c r="L13" s="106"/>
      <x:c r="M13" s="107" t="str">
        <x:f>IF($A13="","",IF(AND($H13="是",$I13="否",$J13="否"),"是","否"))</x:f>
      </x:c>
      <x:c r="N13" s="107" t="str">
        <x:f>IF(OR($C13="",$G13=""),"",$C13&amp;"|"&amp;$G13)</x:f>
      </x:c>
    </x:row>
    <x:row r="14">
      <x:c r="A14" s="106"/>
      <x:c r="B14" s="108"/>
      <x:c r="C14" s="106"/>
      <x:c r="D14" s="107" t="str">
        <x:f>IF($C14="","",_xlfn.XLOOKUP($C14,'試行員工主檔'!$A$7:$A$20,'試行員工主檔'!$B$7:$B$20,"員工未建立",0))</x:f>
      </x:c>
      <x:c r="E14" s="106"/>
      <x:c r="F14" s="106"/>
      <x:c r="G14" s="106"/>
      <x:c r="H14" s="106"/>
      <x:c r="I14" s="106"/>
      <x:c r="J14" s="106"/>
      <x:c r="K14" s="106"/>
      <x:c r="L14" s="106"/>
      <x:c r="M14" s="107" t="str">
        <x:f>IF($A14="","",IF(AND($H14="是",$I14="否",$J14="否"),"是","否"))</x:f>
      </x:c>
      <x:c r="N14" s="107" t="str">
        <x:f>IF(OR($C14="",$G14=""),"",$C14&amp;"|"&amp;$G14)</x:f>
      </x:c>
    </x:row>
    <x:row r="15">
      <x:c r="A15" s="106"/>
      <x:c r="B15" s="108"/>
      <x:c r="C15" s="106"/>
      <x:c r="D15" s="107" t="str">
        <x:f>IF($C15="","",_xlfn.XLOOKUP($C15,'試行員工主檔'!$A$7:$A$20,'試行員工主檔'!$B$7:$B$20,"員工未建立",0))</x:f>
      </x:c>
      <x:c r="E15" s="106"/>
      <x:c r="F15" s="106"/>
      <x:c r="G15" s="106"/>
      <x:c r="H15" s="106"/>
      <x:c r="I15" s="106"/>
      <x:c r="J15" s="106"/>
      <x:c r="K15" s="106"/>
      <x:c r="L15" s="106"/>
      <x:c r="M15" s="107" t="str">
        <x:f>IF($A15="","",IF(AND($H15="是",$I15="否",$J15="否"),"是","否"))</x:f>
      </x:c>
      <x:c r="N15" s="107" t="str">
        <x:f>IF(OR($C15="",$G15=""),"",$C15&amp;"|"&amp;$G15)</x:f>
      </x:c>
    </x:row>
    <x:row r="16">
      <x:c r="A16" s="106"/>
      <x:c r="B16" s="108"/>
      <x:c r="C16" s="106"/>
      <x:c r="D16" s="107" t="str">
        <x:f>IF($C16="","",_xlfn.XLOOKUP($C16,'試行員工主檔'!$A$7:$A$20,'試行員工主檔'!$B$7:$B$20,"員工未建立",0))</x:f>
      </x:c>
      <x:c r="E16" s="106"/>
      <x:c r="F16" s="106"/>
      <x:c r="G16" s="106"/>
      <x:c r="H16" s="106"/>
      <x:c r="I16" s="106"/>
      <x:c r="J16" s="106"/>
      <x:c r="K16" s="106"/>
      <x:c r="L16" s="106"/>
      <x:c r="M16" s="107" t="str">
        <x:f>IF($A16="","",IF(AND($H16="是",$I16="否",$J16="否"),"是","否"))</x:f>
      </x:c>
      <x:c r="N16" s="107" t="str">
        <x:f>IF(OR($C16="",$G16=""),"",$C16&amp;"|"&amp;$G16)</x:f>
      </x:c>
    </x:row>
    <x:row r="17">
      <x:c r="A17" s="106"/>
      <x:c r="B17" s="108"/>
      <x:c r="C17" s="106"/>
      <x:c r="D17" s="107" t="str">
        <x:f>IF($C17="","",_xlfn.XLOOKUP($C17,'試行員工主檔'!$A$7:$A$20,'試行員工主檔'!$B$7:$B$20,"員工未建立",0))</x:f>
      </x:c>
      <x:c r="E17" s="106"/>
      <x:c r="F17" s="106"/>
      <x:c r="G17" s="106"/>
      <x:c r="H17" s="106"/>
      <x:c r="I17" s="106"/>
      <x:c r="J17" s="106"/>
      <x:c r="K17" s="106"/>
      <x:c r="L17" s="106"/>
      <x:c r="M17" s="107" t="str">
        <x:f>IF($A17="","",IF(AND($H17="是",$I17="否",$J17="否"),"是","否"))</x:f>
      </x:c>
      <x:c r="N17" s="107" t="str">
        <x:f>IF(OR($C17="",$G17=""),"",$C17&amp;"|"&amp;$G17)</x:f>
      </x:c>
    </x:row>
    <x:row r="18">
      <x:c r="A18" s="106"/>
      <x:c r="B18" s="108"/>
      <x:c r="C18" s="106"/>
      <x:c r="D18" s="107" t="str">
        <x:f>IF($C18="","",_xlfn.XLOOKUP($C18,'試行員工主檔'!$A$7:$A$20,'試行員工主檔'!$B$7:$B$20,"員工未建立",0))</x:f>
      </x:c>
      <x:c r="E18" s="106"/>
      <x:c r="F18" s="106"/>
      <x:c r="G18" s="106"/>
      <x:c r="H18" s="106"/>
      <x:c r="I18" s="106"/>
      <x:c r="J18" s="106"/>
      <x:c r="K18" s="106"/>
      <x:c r="L18" s="106"/>
      <x:c r="M18" s="107" t="str">
        <x:f>IF($A18="","",IF(AND($H18="是",$I18="否",$J18="否"),"是","否"))</x:f>
      </x:c>
      <x:c r="N18" s="107" t="str">
        <x:f>IF(OR($C18="",$G18=""),"",$C18&amp;"|"&amp;$G18)</x:f>
      </x:c>
    </x:row>
    <x:row r="19">
      <x:c r="A19" s="106"/>
      <x:c r="B19" s="108"/>
      <x:c r="C19" s="106"/>
      <x:c r="D19" s="107" t="str">
        <x:f>IF($C19="","",_xlfn.XLOOKUP($C19,'試行員工主檔'!$A$7:$A$20,'試行員工主檔'!$B$7:$B$20,"員工未建立",0))</x:f>
      </x:c>
      <x:c r="E19" s="106"/>
      <x:c r="F19" s="106"/>
      <x:c r="G19" s="106"/>
      <x:c r="H19" s="106"/>
      <x:c r="I19" s="106"/>
      <x:c r="J19" s="106"/>
      <x:c r="K19" s="106"/>
      <x:c r="L19" s="106"/>
      <x:c r="M19" s="107" t="str">
        <x:f>IF($A19="","",IF(AND($H19="是",$I19="否",$J19="否"),"是","否"))</x:f>
      </x:c>
      <x:c r="N19" s="107" t="str">
        <x:f>IF(OR($C19="",$G19=""),"",$C19&amp;"|"&amp;$G19)</x:f>
      </x:c>
    </x:row>
    <x:row r="20">
      <x:c r="A20" s="106"/>
      <x:c r="B20" s="108"/>
      <x:c r="C20" s="106"/>
      <x:c r="D20" s="107" t="str">
        <x:f>IF($C20="","",_xlfn.XLOOKUP($C20,'試行員工主檔'!$A$7:$A$20,'試行員工主檔'!$B$7:$B$20,"員工未建立",0))</x:f>
      </x:c>
      <x:c r="E20" s="106"/>
      <x:c r="F20" s="106"/>
      <x:c r="G20" s="106"/>
      <x:c r="H20" s="106"/>
      <x:c r="I20" s="106"/>
      <x:c r="J20" s="106"/>
      <x:c r="K20" s="106"/>
      <x:c r="L20" s="106"/>
      <x:c r="M20" s="107" t="str">
        <x:f>IF($A20="","",IF(AND($H20="是",$I20="否",$J20="否"),"是","否"))</x:f>
      </x:c>
      <x:c r="N20" s="107" t="str">
        <x:f>IF(OR($C20="",$G20=""),"",$C20&amp;"|"&amp;$G20)</x:f>
      </x:c>
    </x:row>
    <x:row r="21">
      <x:c r="A21" s="106"/>
      <x:c r="B21" s="108"/>
      <x:c r="C21" s="106"/>
      <x:c r="D21" s="107" t="str">
        <x:f>IF($C21="","",_xlfn.XLOOKUP($C21,'試行員工主檔'!$A$7:$A$20,'試行員工主檔'!$B$7:$B$20,"員工未建立",0))</x:f>
      </x:c>
      <x:c r="E21" s="106"/>
      <x:c r="F21" s="106"/>
      <x:c r="G21" s="106"/>
      <x:c r="H21" s="106"/>
      <x:c r="I21" s="106"/>
      <x:c r="J21" s="106"/>
      <x:c r="K21" s="106"/>
      <x:c r="L21" s="106"/>
      <x:c r="M21" s="107" t="str">
        <x:f>IF($A21="","",IF(AND($H21="是",$I21="否",$J21="否"),"是","否"))</x:f>
      </x:c>
      <x:c r="N21" s="107" t="str">
        <x:f>IF(OR($C21="",$G21=""),"",$C21&amp;"|"&amp;$G21)</x:f>
      </x:c>
    </x:row>
    <x:row r="22">
      <x:c r="A22" s="106"/>
      <x:c r="B22" s="108"/>
      <x:c r="C22" s="106"/>
      <x:c r="D22" s="107" t="str">
        <x:f>IF($C22="","",_xlfn.XLOOKUP($C22,'試行員工主檔'!$A$7:$A$20,'試行員工主檔'!$B$7:$B$20,"員工未建立",0))</x:f>
      </x:c>
      <x:c r="E22" s="106"/>
      <x:c r="F22" s="106"/>
      <x:c r="G22" s="106"/>
      <x:c r="H22" s="106"/>
      <x:c r="I22" s="106"/>
      <x:c r="J22" s="106"/>
      <x:c r="K22" s="106"/>
      <x:c r="L22" s="106"/>
      <x:c r="M22" s="107" t="str">
        <x:f>IF($A22="","",IF(AND($H22="是",$I22="否",$J22="否"),"是","否"))</x:f>
      </x:c>
      <x:c r="N22" s="107" t="str">
        <x:f>IF(OR($C22="",$G22=""),"",$C22&amp;"|"&amp;$G22)</x:f>
      </x:c>
    </x:row>
    <x:row r="23">
      <x:c r="A23" s="106"/>
      <x:c r="B23" s="108"/>
      <x:c r="C23" s="106"/>
      <x:c r="D23" s="107" t="str">
        <x:f>IF($C23="","",_xlfn.XLOOKUP($C23,'試行員工主檔'!$A$7:$A$20,'試行員工主檔'!$B$7:$B$20,"員工未建立",0))</x:f>
      </x:c>
      <x:c r="E23" s="106"/>
      <x:c r="F23" s="106"/>
      <x:c r="G23" s="106"/>
      <x:c r="H23" s="106"/>
      <x:c r="I23" s="106"/>
      <x:c r="J23" s="106"/>
      <x:c r="K23" s="106"/>
      <x:c r="L23" s="106"/>
      <x:c r="M23" s="107" t="str">
        <x:f>IF($A23="","",IF(AND($H23="是",$I23="否",$J23="否"),"是","否"))</x:f>
      </x:c>
      <x:c r="N23" s="107" t="str">
        <x:f>IF(OR($C23="",$G23=""),"",$C23&amp;"|"&amp;$G23)</x:f>
      </x:c>
    </x:row>
    <x:row r="24">
      <x:c r="A24" s="106"/>
      <x:c r="B24" s="108"/>
      <x:c r="C24" s="106"/>
      <x:c r="D24" s="107" t="str">
        <x:f>IF($C24="","",_xlfn.XLOOKUP($C24,'試行員工主檔'!$A$7:$A$20,'試行員工主檔'!$B$7:$B$20,"員工未建立",0))</x:f>
      </x:c>
      <x:c r="E24" s="106"/>
      <x:c r="F24" s="106"/>
      <x:c r="G24" s="106"/>
      <x:c r="H24" s="106"/>
      <x:c r="I24" s="106"/>
      <x:c r="J24" s="106"/>
      <x:c r="K24" s="106"/>
      <x:c r="L24" s="106"/>
      <x:c r="M24" s="107" t="str">
        <x:f>IF($A24="","",IF(AND($H24="是",$I24="否",$J24="否"),"是","否"))</x:f>
      </x:c>
      <x:c r="N24" s="107" t="str">
        <x:f>IF(OR($C24="",$G24=""),"",$C24&amp;"|"&amp;$G24)</x:f>
      </x:c>
    </x:row>
    <x:row r="25">
      <x:c r="A25" s="106"/>
      <x:c r="B25" s="108"/>
      <x:c r="C25" s="106"/>
      <x:c r="D25" s="107" t="str">
        <x:f>IF($C25="","",_xlfn.XLOOKUP($C25,'試行員工主檔'!$A$7:$A$20,'試行員工主檔'!$B$7:$B$20,"員工未建立",0))</x:f>
      </x:c>
      <x:c r="E25" s="106"/>
      <x:c r="F25" s="106"/>
      <x:c r="G25" s="106"/>
      <x:c r="H25" s="106"/>
      <x:c r="I25" s="106"/>
      <x:c r="J25" s="106"/>
      <x:c r="K25" s="106"/>
      <x:c r="L25" s="106"/>
      <x:c r="M25" s="107" t="str">
        <x:f>IF($A25="","",IF(AND($H25="是",$I25="否",$J25="否"),"是","否"))</x:f>
      </x:c>
      <x:c r="N25" s="107" t="str">
        <x:f>IF(OR($C25="",$G25=""),"",$C25&amp;"|"&amp;$G25)</x:f>
      </x:c>
    </x:row>
    <x:row r="26">
      <x:c r="A26" s="106"/>
      <x:c r="B26" s="108"/>
      <x:c r="C26" s="106"/>
      <x:c r="D26" s="107" t="str">
        <x:f>IF($C26="","",_xlfn.XLOOKUP($C26,'試行員工主檔'!$A$7:$A$20,'試行員工主檔'!$B$7:$B$20,"員工未建立",0))</x:f>
      </x:c>
      <x:c r="E26" s="106"/>
      <x:c r="F26" s="106"/>
      <x:c r="G26" s="106"/>
      <x:c r="H26" s="106"/>
      <x:c r="I26" s="106"/>
      <x:c r="J26" s="106"/>
      <x:c r="K26" s="106"/>
      <x:c r="L26" s="106"/>
      <x:c r="M26" s="107" t="str">
        <x:f>IF($A26="","",IF(AND($H26="是",$I26="否",$J26="否"),"是","否"))</x:f>
      </x:c>
      <x:c r="N26" s="107" t="str">
        <x:f>IF(OR($C26="",$G26=""),"",$C26&amp;"|"&amp;$G26)</x:f>
      </x:c>
    </x:row>
    <x:row r="27">
      <x:c r="A27" s="106"/>
      <x:c r="B27" s="108"/>
      <x:c r="C27" s="106"/>
      <x:c r="D27" s="107" t="str">
        <x:f>IF($C27="","",_xlfn.XLOOKUP($C27,'試行員工主檔'!$A$7:$A$20,'試行員工主檔'!$B$7:$B$20,"員工未建立",0))</x:f>
      </x:c>
      <x:c r="E27" s="106"/>
      <x:c r="F27" s="106"/>
      <x:c r="G27" s="106"/>
      <x:c r="H27" s="106"/>
      <x:c r="I27" s="106"/>
      <x:c r="J27" s="106"/>
      <x:c r="K27" s="106"/>
      <x:c r="L27" s="106"/>
      <x:c r="M27" s="107" t="str">
        <x:f>IF($A27="","",IF(AND($H27="是",$I27="否",$J27="否"),"是","否"))</x:f>
      </x:c>
      <x:c r="N27" s="107" t="str">
        <x:f>IF(OR($C27="",$G27=""),"",$C27&amp;"|"&amp;$G27)</x:f>
      </x:c>
    </x:row>
    <x:row r="28">
      <x:c r="A28" s="106"/>
      <x:c r="B28" s="108"/>
      <x:c r="C28" s="106"/>
      <x:c r="D28" s="107" t="str">
        <x:f>IF($C28="","",_xlfn.XLOOKUP($C28,'試行員工主檔'!$A$7:$A$20,'試行員工主檔'!$B$7:$B$20,"員工未建立",0))</x:f>
      </x:c>
      <x:c r="E28" s="106"/>
      <x:c r="F28" s="106"/>
      <x:c r="G28" s="106"/>
      <x:c r="H28" s="106"/>
      <x:c r="I28" s="106"/>
      <x:c r="J28" s="106"/>
      <x:c r="K28" s="106"/>
      <x:c r="L28" s="106"/>
      <x:c r="M28" s="107" t="str">
        <x:f>IF($A28="","",IF(AND($H28="是",$I28="否",$J28="否"),"是","否"))</x:f>
      </x:c>
      <x:c r="N28" s="107" t="str">
        <x:f>IF(OR($C28="",$G28=""),"",$C28&amp;"|"&amp;$G28)</x:f>
      </x:c>
    </x:row>
    <x:row r="29">
      <x:c r="A29" s="106"/>
      <x:c r="B29" s="108"/>
      <x:c r="C29" s="106"/>
      <x:c r="D29" s="107" t="str">
        <x:f>IF($C29="","",_xlfn.XLOOKUP($C29,'試行員工主檔'!$A$7:$A$20,'試行員工主檔'!$B$7:$B$20,"員工未建立",0))</x:f>
      </x:c>
      <x:c r="E29" s="106"/>
      <x:c r="F29" s="106"/>
      <x:c r="G29" s="106"/>
      <x:c r="H29" s="106"/>
      <x:c r="I29" s="106"/>
      <x:c r="J29" s="106"/>
      <x:c r="K29" s="106"/>
      <x:c r="L29" s="106"/>
      <x:c r="M29" s="107" t="str">
        <x:f>IF($A29="","",IF(AND($H29="是",$I29="否",$J29="否"),"是","否"))</x:f>
      </x:c>
      <x:c r="N29" s="107" t="str">
        <x:f>IF(OR($C29="",$G29=""),"",$C29&amp;"|"&amp;$G29)</x:f>
      </x:c>
    </x:row>
    <x:row r="30">
      <x:c r="A30" s="106"/>
      <x:c r="B30" s="108"/>
      <x:c r="C30" s="106"/>
      <x:c r="D30" s="107" t="str">
        <x:f>IF($C30="","",_xlfn.XLOOKUP($C30,'試行員工主檔'!$A$7:$A$20,'試行員工主檔'!$B$7:$B$20,"員工未建立",0))</x:f>
      </x:c>
      <x:c r="E30" s="106"/>
      <x:c r="F30" s="106"/>
      <x:c r="G30" s="106"/>
      <x:c r="H30" s="106"/>
      <x:c r="I30" s="106"/>
      <x:c r="J30" s="106"/>
      <x:c r="K30" s="106"/>
      <x:c r="L30" s="106"/>
      <x:c r="M30" s="107" t="str">
        <x:f>IF($A30="","",IF(AND($H30="是",$I30="否",$J30="否"),"是","否"))</x:f>
      </x:c>
      <x:c r="N30" s="107" t="str">
        <x:f>IF(OR($C30="",$G30=""),"",$C30&amp;"|"&amp;$G30)</x:f>
      </x:c>
    </x:row>
    <x:row r="31">
      <x:c r="A31" s="106"/>
      <x:c r="B31" s="108"/>
      <x:c r="C31" s="106"/>
      <x:c r="D31" s="107" t="str">
        <x:f>IF($C31="","",_xlfn.XLOOKUP($C31,'試行員工主檔'!$A$7:$A$20,'試行員工主檔'!$B$7:$B$20,"員工未建立",0))</x:f>
      </x:c>
      <x:c r="E31" s="106"/>
      <x:c r="F31" s="106"/>
      <x:c r="G31" s="106"/>
      <x:c r="H31" s="106"/>
      <x:c r="I31" s="106"/>
      <x:c r="J31" s="106"/>
      <x:c r="K31" s="106"/>
      <x:c r="L31" s="106"/>
      <x:c r="M31" s="107" t="str">
        <x:f>IF($A31="","",IF(AND($H31="是",$I31="否",$J31="否"),"是","否"))</x:f>
      </x:c>
      <x:c r="N31" s="107" t="str">
        <x:f>IF(OR($C31="",$G31=""),"",$C31&amp;"|"&amp;$G31)</x:f>
      </x:c>
    </x:row>
    <x:row r="32">
      <x:c r="A32" s="106"/>
      <x:c r="B32" s="108"/>
      <x:c r="C32" s="106"/>
      <x:c r="D32" s="107" t="str">
        <x:f>IF($C32="","",_xlfn.XLOOKUP($C32,'試行員工主檔'!$A$7:$A$20,'試行員工主檔'!$B$7:$B$20,"員工未建立",0))</x:f>
      </x:c>
      <x:c r="E32" s="106"/>
      <x:c r="F32" s="106"/>
      <x:c r="G32" s="106"/>
      <x:c r="H32" s="106"/>
      <x:c r="I32" s="106"/>
      <x:c r="J32" s="106"/>
      <x:c r="K32" s="106"/>
      <x:c r="L32" s="106"/>
      <x:c r="M32" s="107" t="str">
        <x:f>IF($A32="","",IF(AND($H32="是",$I32="否",$J32="否"),"是","否"))</x:f>
      </x:c>
      <x:c r="N32" s="107" t="str">
        <x:f>IF(OR($C32="",$G32=""),"",$C32&amp;"|"&amp;$G32)</x:f>
      </x:c>
    </x:row>
    <x:row r="33">
      <x:c r="A33" s="106"/>
      <x:c r="B33" s="108"/>
      <x:c r="C33" s="106"/>
      <x:c r="D33" s="107" t="str">
        <x:f>IF($C33="","",_xlfn.XLOOKUP($C33,'試行員工主檔'!$A$7:$A$20,'試行員工主檔'!$B$7:$B$20,"員工未建立",0))</x:f>
      </x:c>
      <x:c r="E33" s="106"/>
      <x:c r="F33" s="106"/>
      <x:c r="G33" s="106"/>
      <x:c r="H33" s="106"/>
      <x:c r="I33" s="106"/>
      <x:c r="J33" s="106"/>
      <x:c r="K33" s="106"/>
      <x:c r="L33" s="106"/>
      <x:c r="M33" s="107" t="str">
        <x:f>IF($A33="","",IF(AND($H33="是",$I33="否",$J33="否"),"是","否"))</x:f>
      </x:c>
      <x:c r="N33" s="107" t="str">
        <x:f>IF(OR($C33="",$G33=""),"",$C33&amp;"|"&amp;$G33)</x:f>
      </x:c>
    </x:row>
    <x:row r="34">
      <x:c r="A34" s="106"/>
      <x:c r="B34" s="108"/>
      <x:c r="C34" s="106"/>
      <x:c r="D34" s="107" t="str">
        <x:f>IF($C34="","",_xlfn.XLOOKUP($C34,'試行員工主檔'!$A$7:$A$20,'試行員工主檔'!$B$7:$B$20,"員工未建立",0))</x:f>
      </x:c>
      <x:c r="E34" s="106"/>
      <x:c r="F34" s="106"/>
      <x:c r="G34" s="106"/>
      <x:c r="H34" s="106"/>
      <x:c r="I34" s="106"/>
      <x:c r="J34" s="106"/>
      <x:c r="K34" s="106"/>
      <x:c r="L34" s="106"/>
      <x:c r="M34" s="107" t="str">
        <x:f>IF($A34="","",IF(AND($H34="是",$I34="否",$J34="否"),"是","否"))</x:f>
      </x:c>
      <x:c r="N34" s="107" t="str">
        <x:f>IF(OR($C34="",$G34=""),"",$C34&amp;"|"&amp;$G34)</x:f>
      </x:c>
    </x:row>
    <x:row r="35">
      <x:c r="A35" s="106"/>
      <x:c r="B35" s="108"/>
      <x:c r="C35" s="106"/>
      <x:c r="D35" s="107" t="str">
        <x:f>IF($C35="","",_xlfn.XLOOKUP($C35,'試行員工主檔'!$A$7:$A$20,'試行員工主檔'!$B$7:$B$20,"員工未建立",0))</x:f>
      </x:c>
      <x:c r="E35" s="106"/>
      <x:c r="F35" s="106"/>
      <x:c r="G35" s="106"/>
      <x:c r="H35" s="106"/>
      <x:c r="I35" s="106"/>
      <x:c r="J35" s="106"/>
      <x:c r="K35" s="106"/>
      <x:c r="L35" s="106"/>
      <x:c r="M35" s="107" t="str">
        <x:f>IF($A35="","",IF(AND($H35="是",$I35="否",$J35="否"),"是","否"))</x:f>
      </x:c>
      <x:c r="N35" s="107" t="str">
        <x:f>IF(OR($C35="",$G35=""),"",$C35&amp;"|"&amp;$G35)</x:f>
      </x:c>
    </x:row>
    <x:row r="36">
      <x:c r="A36" s="106"/>
      <x:c r="B36" s="108"/>
      <x:c r="C36" s="106"/>
      <x:c r="D36" s="107" t="str">
        <x:f>IF($C36="","",_xlfn.XLOOKUP($C36,'試行員工主檔'!$A$7:$A$20,'試行員工主檔'!$B$7:$B$20,"員工未建立",0))</x:f>
      </x:c>
      <x:c r="E36" s="106"/>
      <x:c r="F36" s="106"/>
      <x:c r="G36" s="106"/>
      <x:c r="H36" s="106"/>
      <x:c r="I36" s="106"/>
      <x:c r="J36" s="106"/>
      <x:c r="K36" s="106"/>
      <x:c r="L36" s="106"/>
      <x:c r="M36" s="107" t="str">
        <x:f>IF($A36="","",IF(AND($H36="是",$I36="否",$J36="否"),"是","否"))</x:f>
      </x:c>
      <x:c r="N36" s="107" t="str">
        <x:f>IF(OR($C36="",$G36=""),"",$C36&amp;"|"&amp;$G36)</x:f>
      </x:c>
    </x:row>
    <x:row r="37">
      <x:c r="A37" s="106"/>
      <x:c r="B37" s="108"/>
      <x:c r="C37" s="106"/>
      <x:c r="D37" s="107" t="str">
        <x:f>IF($C37="","",_xlfn.XLOOKUP($C37,'試行員工主檔'!$A$7:$A$20,'試行員工主檔'!$B$7:$B$20,"員工未建立",0))</x:f>
      </x:c>
      <x:c r="E37" s="106"/>
      <x:c r="F37" s="106"/>
      <x:c r="G37" s="106"/>
      <x:c r="H37" s="106"/>
      <x:c r="I37" s="106"/>
      <x:c r="J37" s="106"/>
      <x:c r="K37" s="106"/>
      <x:c r="L37" s="106"/>
      <x:c r="M37" s="107" t="str">
        <x:f>IF($A37="","",IF(AND($H37="是",$I37="否",$J37="否"),"是","否"))</x:f>
      </x:c>
      <x:c r="N37" s="107" t="str">
        <x:f>IF(OR($C37="",$G37=""),"",$C37&amp;"|"&amp;$G37)</x:f>
      </x:c>
    </x:row>
    <x:row r="38">
      <x:c r="A38" s="106"/>
      <x:c r="B38" s="108"/>
      <x:c r="C38" s="106"/>
      <x:c r="D38" s="107" t="str">
        <x:f>IF($C38="","",_xlfn.XLOOKUP($C38,'試行員工主檔'!$A$7:$A$20,'試行員工主檔'!$B$7:$B$20,"員工未建立",0))</x:f>
      </x:c>
      <x:c r="E38" s="106"/>
      <x:c r="F38" s="106"/>
      <x:c r="G38" s="106"/>
      <x:c r="H38" s="106"/>
      <x:c r="I38" s="106"/>
      <x:c r="J38" s="106"/>
      <x:c r="K38" s="106"/>
      <x:c r="L38" s="106"/>
      <x:c r="M38" s="107" t="str">
        <x:f>IF($A38="","",IF(AND($H38="是",$I38="否",$J38="否"),"是","否"))</x:f>
      </x:c>
      <x:c r="N38" s="107" t="str">
        <x:f>IF(OR($C38="",$G38=""),"",$C38&amp;"|"&amp;$G38)</x:f>
      </x:c>
    </x:row>
    <x:row r="39">
      <x:c r="A39" s="106"/>
      <x:c r="B39" s="108"/>
      <x:c r="C39" s="106"/>
      <x:c r="D39" s="107" t="str">
        <x:f>IF($C39="","",_xlfn.XLOOKUP($C39,'試行員工主檔'!$A$7:$A$20,'試行員工主檔'!$B$7:$B$20,"員工未建立",0))</x:f>
      </x:c>
      <x:c r="E39" s="106"/>
      <x:c r="F39" s="106"/>
      <x:c r="G39" s="106"/>
      <x:c r="H39" s="106"/>
      <x:c r="I39" s="106"/>
      <x:c r="J39" s="106"/>
      <x:c r="K39" s="106"/>
      <x:c r="L39" s="106"/>
      <x:c r="M39" s="107" t="str">
        <x:f>IF($A39="","",IF(AND($H39="是",$I39="否",$J39="否"),"是","否"))</x:f>
      </x:c>
      <x:c r="N39" s="107" t="str">
        <x:f>IF(OR($C39="",$G39=""),"",$C39&amp;"|"&amp;$G39)</x:f>
      </x:c>
    </x:row>
    <x:row r="40">
      <x:c r="A40" s="106"/>
      <x:c r="B40" s="108"/>
      <x:c r="C40" s="106"/>
      <x:c r="D40" s="107" t="str">
        <x:f>IF($C40="","",_xlfn.XLOOKUP($C40,'試行員工主檔'!$A$7:$A$20,'試行員工主檔'!$B$7:$B$20,"員工未建立",0))</x:f>
      </x:c>
      <x:c r="E40" s="106"/>
      <x:c r="F40" s="106"/>
      <x:c r="G40" s="106"/>
      <x:c r="H40" s="106"/>
      <x:c r="I40" s="106"/>
      <x:c r="J40" s="106"/>
      <x:c r="K40" s="106"/>
      <x:c r="L40" s="106"/>
      <x:c r="M40" s="107" t="str">
        <x:f>IF($A40="","",IF(AND($H40="是",$I40="否",$J40="否"),"是","否"))</x:f>
      </x:c>
      <x:c r="N40" s="107" t="str">
        <x:f>IF(OR($C40="",$G40=""),"",$C40&amp;"|"&amp;$G40)</x:f>
      </x:c>
    </x:row>
    <x:row r="41">
      <x:c r="A41" s="106"/>
      <x:c r="B41" s="108"/>
      <x:c r="C41" s="106"/>
      <x:c r="D41" s="107" t="str">
        <x:f>IF($C41="","",_xlfn.XLOOKUP($C41,'試行員工主檔'!$A$7:$A$20,'試行員工主檔'!$B$7:$B$20,"員工未建立",0))</x:f>
      </x:c>
      <x:c r="E41" s="106"/>
      <x:c r="F41" s="106"/>
      <x:c r="G41" s="106"/>
      <x:c r="H41" s="106"/>
      <x:c r="I41" s="106"/>
      <x:c r="J41" s="106"/>
      <x:c r="K41" s="106"/>
      <x:c r="L41" s="106"/>
      <x:c r="M41" s="107" t="str">
        <x:f>IF($A41="","",IF(AND($H41="是",$I41="否",$J41="否"),"是","否"))</x:f>
      </x:c>
      <x:c r="N41" s="107" t="str">
        <x:f>IF(OR($C41="",$G41=""),"",$C41&amp;"|"&amp;$G41)</x:f>
      </x:c>
    </x:row>
    <x:row r="42">
      <x:c r="A42" s="106"/>
      <x:c r="B42" s="108"/>
      <x:c r="C42" s="106"/>
      <x:c r="D42" s="107" t="str">
        <x:f>IF($C42="","",_xlfn.XLOOKUP($C42,'試行員工主檔'!$A$7:$A$20,'試行員工主檔'!$B$7:$B$20,"員工未建立",0))</x:f>
      </x:c>
      <x:c r="E42" s="106"/>
      <x:c r="F42" s="106"/>
      <x:c r="G42" s="106"/>
      <x:c r="H42" s="106"/>
      <x:c r="I42" s="106"/>
      <x:c r="J42" s="106"/>
      <x:c r="K42" s="106"/>
      <x:c r="L42" s="106"/>
      <x:c r="M42" s="107" t="str">
        <x:f>IF($A42="","",IF(AND($H42="是",$I42="否",$J42="否"),"是","否"))</x:f>
      </x:c>
      <x:c r="N42" s="107" t="str">
        <x:f>IF(OR($C42="",$G42=""),"",$C42&amp;"|"&amp;$G42)</x:f>
      </x:c>
    </x:row>
    <x:row r="43">
      <x:c r="A43" s="106"/>
      <x:c r="B43" s="108"/>
      <x:c r="C43" s="106"/>
      <x:c r="D43" s="107" t="str">
        <x:f>IF($C43="","",_xlfn.XLOOKUP($C43,'試行員工主檔'!$A$7:$A$20,'試行員工主檔'!$B$7:$B$20,"員工未建立",0))</x:f>
      </x:c>
      <x:c r="E43" s="106"/>
      <x:c r="F43" s="106"/>
      <x:c r="G43" s="106"/>
      <x:c r="H43" s="106"/>
      <x:c r="I43" s="106"/>
      <x:c r="J43" s="106"/>
      <x:c r="K43" s="106"/>
      <x:c r="L43" s="106"/>
      <x:c r="M43" s="107" t="str">
        <x:f>IF($A43="","",IF(AND($H43="是",$I43="否",$J43="否"),"是","否"))</x:f>
      </x:c>
      <x:c r="N43" s="107" t="str">
        <x:f>IF(OR($C43="",$G43=""),"",$C43&amp;"|"&amp;$G43)</x:f>
      </x:c>
    </x:row>
    <x:row r="44">
      <x:c r="A44" s="106"/>
      <x:c r="B44" s="108"/>
      <x:c r="C44" s="106"/>
      <x:c r="D44" s="107" t="str">
        <x:f>IF($C44="","",_xlfn.XLOOKUP($C44,'試行員工主檔'!$A$7:$A$20,'試行員工主檔'!$B$7:$B$20,"員工未建立",0))</x:f>
      </x:c>
      <x:c r="E44" s="106"/>
      <x:c r="F44" s="106"/>
      <x:c r="G44" s="106"/>
      <x:c r="H44" s="106"/>
      <x:c r="I44" s="106"/>
      <x:c r="J44" s="106"/>
      <x:c r="K44" s="106"/>
      <x:c r="L44" s="106"/>
      <x:c r="M44" s="107" t="str">
        <x:f>IF($A44="","",IF(AND($H44="是",$I44="否",$J44="否"),"是","否"))</x:f>
      </x:c>
      <x:c r="N44" s="107" t="str">
        <x:f>IF(OR($C44="",$G44=""),"",$C44&amp;"|"&amp;$G44)</x:f>
      </x:c>
    </x:row>
    <x:row r="45">
      <x:c r="A45" s="106"/>
      <x:c r="B45" s="108"/>
      <x:c r="C45" s="106"/>
      <x:c r="D45" s="107" t="str">
        <x:f>IF($C45="","",_xlfn.XLOOKUP($C45,'試行員工主檔'!$A$7:$A$20,'試行員工主檔'!$B$7:$B$20,"員工未建立",0))</x:f>
      </x:c>
      <x:c r="E45" s="106"/>
      <x:c r="F45" s="106"/>
      <x:c r="G45" s="106"/>
      <x:c r="H45" s="106"/>
      <x:c r="I45" s="106"/>
      <x:c r="J45" s="106"/>
      <x:c r="K45" s="106"/>
      <x:c r="L45" s="106"/>
      <x:c r="M45" s="107" t="str">
        <x:f>IF($A45="","",IF(AND($H45="是",$I45="否",$J45="否"),"是","否"))</x:f>
      </x:c>
      <x:c r="N45" s="107" t="str">
        <x:f>IF(OR($C45="",$G45=""),"",$C45&amp;"|"&amp;$G45)</x:f>
      </x:c>
    </x:row>
    <x:row r="46">
      <x:c r="A46" s="106"/>
      <x:c r="B46" s="108"/>
      <x:c r="C46" s="106"/>
      <x:c r="D46" s="107" t="str">
        <x:f>IF($C46="","",_xlfn.XLOOKUP($C46,'試行員工主檔'!$A$7:$A$20,'試行員工主檔'!$B$7:$B$20,"員工未建立",0))</x:f>
      </x:c>
      <x:c r="E46" s="106"/>
      <x:c r="F46" s="106"/>
      <x:c r="G46" s="106"/>
      <x:c r="H46" s="106"/>
      <x:c r="I46" s="106"/>
      <x:c r="J46" s="106"/>
      <x:c r="K46" s="106"/>
      <x:c r="L46" s="106"/>
      <x:c r="M46" s="107" t="str">
        <x:f>IF($A46="","",IF(AND($H46="是",$I46="否",$J46="否"),"是","否"))</x:f>
      </x:c>
      <x:c r="N46" s="107" t="str">
        <x:f>IF(OR($C46="",$G46=""),"",$C46&amp;"|"&amp;$G46)</x:f>
      </x:c>
    </x:row>
    <x:row r="47">
      <x:c r="A47" s="106"/>
      <x:c r="B47" s="108"/>
      <x:c r="C47" s="106"/>
      <x:c r="D47" s="107" t="str">
        <x:f>IF($C47="","",_xlfn.XLOOKUP($C47,'試行員工主檔'!$A$7:$A$20,'試行員工主檔'!$B$7:$B$20,"員工未建立",0))</x:f>
      </x:c>
      <x:c r="E47" s="106"/>
      <x:c r="F47" s="106"/>
      <x:c r="G47" s="106"/>
      <x:c r="H47" s="106"/>
      <x:c r="I47" s="106"/>
      <x:c r="J47" s="106"/>
      <x:c r="K47" s="106"/>
      <x:c r="L47" s="106"/>
      <x:c r="M47" s="107" t="str">
        <x:f>IF($A47="","",IF(AND($H47="是",$I47="否",$J47="否"),"是","否"))</x:f>
      </x:c>
      <x:c r="N47" s="107" t="str">
        <x:f>IF(OR($C47="",$G47=""),"",$C47&amp;"|"&amp;$G47)</x:f>
      </x:c>
    </x:row>
    <x:row r="48">
      <x:c r="A48" s="106"/>
      <x:c r="B48" s="108"/>
      <x:c r="C48" s="106"/>
      <x:c r="D48" s="107" t="str">
        <x:f>IF($C48="","",_xlfn.XLOOKUP($C48,'試行員工主檔'!$A$7:$A$20,'試行員工主檔'!$B$7:$B$20,"員工未建立",0))</x:f>
      </x:c>
      <x:c r="E48" s="106"/>
      <x:c r="F48" s="106"/>
      <x:c r="G48" s="106"/>
      <x:c r="H48" s="106"/>
      <x:c r="I48" s="106"/>
      <x:c r="J48" s="106"/>
      <x:c r="K48" s="106"/>
      <x:c r="L48" s="106"/>
      <x:c r="M48" s="107" t="str">
        <x:f>IF($A48="","",IF(AND($H48="是",$I48="否",$J48="否"),"是","否"))</x:f>
      </x:c>
      <x:c r="N48" s="107" t="str">
        <x:f>IF(OR($C48="",$G48=""),"",$C48&amp;"|"&amp;$G48)</x:f>
      </x:c>
    </x:row>
    <x:row r="49">
      <x:c r="A49" s="106"/>
      <x:c r="B49" s="108"/>
      <x:c r="C49" s="106"/>
      <x:c r="D49" s="107" t="str">
        <x:f>IF($C49="","",_xlfn.XLOOKUP($C49,'試行員工主檔'!$A$7:$A$20,'試行員工主檔'!$B$7:$B$20,"員工未建立",0))</x:f>
      </x:c>
      <x:c r="E49" s="106"/>
      <x:c r="F49" s="106"/>
      <x:c r="G49" s="106"/>
      <x:c r="H49" s="106"/>
      <x:c r="I49" s="106"/>
      <x:c r="J49" s="106"/>
      <x:c r="K49" s="106"/>
      <x:c r="L49" s="106"/>
      <x:c r="M49" s="107" t="str">
        <x:f>IF($A49="","",IF(AND($H49="是",$I49="否",$J49="否"),"是","否"))</x:f>
      </x:c>
      <x:c r="N49" s="107" t="str">
        <x:f>IF(OR($C49="",$G49=""),"",$C49&amp;"|"&amp;$G49)</x:f>
      </x:c>
    </x:row>
    <x:row r="50">
      <x:c r="A50" s="106"/>
      <x:c r="B50" s="108"/>
      <x:c r="C50" s="106"/>
      <x:c r="D50" s="107" t="str">
        <x:f>IF($C50="","",_xlfn.XLOOKUP($C50,'試行員工主檔'!$A$7:$A$20,'試行員工主檔'!$B$7:$B$20,"員工未建立",0))</x:f>
      </x:c>
      <x:c r="E50" s="106"/>
      <x:c r="F50" s="106"/>
      <x:c r="G50" s="106"/>
      <x:c r="H50" s="106"/>
      <x:c r="I50" s="106"/>
      <x:c r="J50" s="106"/>
      <x:c r="K50" s="106"/>
      <x:c r="L50" s="106"/>
      <x:c r="M50" s="107" t="str">
        <x:f>IF($A50="","",IF(AND($H50="是",$I50="否",$J50="否"),"是","否"))</x:f>
      </x:c>
      <x:c r="N50" s="107" t="str">
        <x:f>IF(OR($C50="",$G50=""),"",$C50&amp;"|"&amp;$G50)</x:f>
      </x:c>
    </x:row>
    <x:row r="51">
      <x:c r="A51" s="106"/>
      <x:c r="B51" s="108"/>
      <x:c r="C51" s="106"/>
      <x:c r="D51" s="107" t="str">
        <x:f>IF($C51="","",_xlfn.XLOOKUP($C51,'試行員工主檔'!$A$7:$A$20,'試行員工主檔'!$B$7:$B$20,"員工未建立",0))</x:f>
      </x:c>
      <x:c r="E51" s="106"/>
      <x:c r="F51" s="106"/>
      <x:c r="G51" s="106"/>
      <x:c r="H51" s="106"/>
      <x:c r="I51" s="106"/>
      <x:c r="J51" s="106"/>
      <x:c r="K51" s="106"/>
      <x:c r="L51" s="106"/>
      <x:c r="M51" s="107" t="str">
        <x:f>IF($A51="","",IF(AND($H51="是",$I51="否",$J51="否"),"是","否"))</x:f>
      </x:c>
      <x:c r="N51" s="107" t="str">
        <x:f>IF(OR($C51="",$G51=""),"",$C51&amp;"|"&amp;$G51)</x:f>
      </x:c>
    </x:row>
    <x:row r="52">
      <x:c r="A52" s="106"/>
      <x:c r="B52" s="108"/>
      <x:c r="C52" s="106"/>
      <x:c r="D52" s="107" t="str">
        <x:f>IF($C52="","",_xlfn.XLOOKUP($C52,'試行員工主檔'!$A$7:$A$20,'試行員工主檔'!$B$7:$B$20,"員工未建立",0))</x:f>
      </x:c>
      <x:c r="E52" s="106"/>
      <x:c r="F52" s="106"/>
      <x:c r="G52" s="106"/>
      <x:c r="H52" s="106"/>
      <x:c r="I52" s="106"/>
      <x:c r="J52" s="106"/>
      <x:c r="K52" s="106"/>
      <x:c r="L52" s="106"/>
      <x:c r="M52" s="107" t="str">
        <x:f>IF($A52="","",IF(AND($H52="是",$I52="否",$J52="否"),"是","否"))</x:f>
      </x:c>
      <x:c r="N52" s="107" t="str">
        <x:f>IF(OR($C52="",$G52=""),"",$C52&amp;"|"&amp;$G52)</x:f>
      </x:c>
    </x:row>
    <x:row r="53">
      <x:c r="A53" s="106"/>
      <x:c r="B53" s="108"/>
      <x:c r="C53" s="106"/>
      <x:c r="D53" s="107" t="str">
        <x:f>IF($C53="","",_xlfn.XLOOKUP($C53,'試行員工主檔'!$A$7:$A$20,'試行員工主檔'!$B$7:$B$20,"員工未建立",0))</x:f>
      </x:c>
      <x:c r="E53" s="106"/>
      <x:c r="F53" s="106"/>
      <x:c r="G53" s="106"/>
      <x:c r="H53" s="106"/>
      <x:c r="I53" s="106"/>
      <x:c r="J53" s="106"/>
      <x:c r="K53" s="106"/>
      <x:c r="L53" s="106"/>
      <x:c r="M53" s="107" t="str">
        <x:f>IF($A53="","",IF(AND($H53="是",$I53="否",$J53="否"),"是","否"))</x:f>
      </x:c>
      <x:c r="N53" s="107" t="str">
        <x:f>IF(OR($C53="",$G53=""),"",$C53&amp;"|"&amp;$G53)</x:f>
      </x:c>
    </x:row>
    <x:row r="54">
      <x:c r="A54" s="106"/>
      <x:c r="B54" s="108"/>
      <x:c r="C54" s="106"/>
      <x:c r="D54" s="107" t="str">
        <x:f>IF($C54="","",_xlfn.XLOOKUP($C54,'試行員工主檔'!$A$7:$A$20,'試行員工主檔'!$B$7:$B$20,"員工未建立",0))</x:f>
      </x:c>
      <x:c r="E54" s="106"/>
      <x:c r="F54" s="106"/>
      <x:c r="G54" s="106"/>
      <x:c r="H54" s="106"/>
      <x:c r="I54" s="106"/>
      <x:c r="J54" s="106"/>
      <x:c r="K54" s="106"/>
      <x:c r="L54" s="106"/>
      <x:c r="M54" s="107" t="str">
        <x:f>IF($A54="","",IF(AND($H54="是",$I54="否",$J54="否"),"是","否"))</x:f>
      </x:c>
      <x:c r="N54" s="107" t="str">
        <x:f>IF(OR($C54="",$G54=""),"",$C54&amp;"|"&amp;$G54)</x:f>
      </x:c>
    </x:row>
    <x:row r="55">
      <x:c r="A55" s="106"/>
      <x:c r="B55" s="108"/>
      <x:c r="C55" s="106"/>
      <x:c r="D55" s="107" t="str">
        <x:f>IF($C55="","",_xlfn.XLOOKUP($C55,'試行員工主檔'!$A$7:$A$20,'試行員工主檔'!$B$7:$B$20,"員工未建立",0))</x:f>
      </x:c>
      <x:c r="E55" s="106"/>
      <x:c r="F55" s="106"/>
      <x:c r="G55" s="106"/>
      <x:c r="H55" s="106"/>
      <x:c r="I55" s="106"/>
      <x:c r="J55" s="106"/>
      <x:c r="K55" s="106"/>
      <x:c r="L55" s="106"/>
      <x:c r="M55" s="107" t="str">
        <x:f>IF($A55="","",IF(AND($H55="是",$I55="否",$J55="否"),"是","否"))</x:f>
      </x:c>
      <x:c r="N55" s="107" t="str">
        <x:f>IF(OR($C55="",$G55=""),"",$C55&amp;"|"&amp;$G55)</x:f>
      </x:c>
    </x:row>
    <x:row r="56">
      <x:c r="A56" s="106"/>
      <x:c r="B56" s="108"/>
      <x:c r="C56" s="106"/>
      <x:c r="D56" s="107" t="str">
        <x:f>IF($C56="","",_xlfn.XLOOKUP($C56,'試行員工主檔'!$A$7:$A$20,'試行員工主檔'!$B$7:$B$20,"員工未建立",0))</x:f>
      </x:c>
      <x:c r="E56" s="106"/>
      <x:c r="F56" s="106"/>
      <x:c r="G56" s="106"/>
      <x:c r="H56" s="106"/>
      <x:c r="I56" s="106"/>
      <x:c r="J56" s="106"/>
      <x:c r="K56" s="106"/>
      <x:c r="L56" s="106"/>
      <x:c r="M56" s="107" t="str">
        <x:f>IF($A56="","",IF(AND($H56="是",$I56="否",$J56="否"),"是","否"))</x:f>
      </x:c>
      <x:c r="N56" s="107" t="str">
        <x:f>IF(OR($C56="",$G56=""),"",$C56&amp;"|"&amp;$G56)</x:f>
      </x:c>
    </x:row>
    <x:row r="57">
      <x:c r="A57" s="106"/>
      <x:c r="B57" s="108"/>
      <x:c r="C57" s="106"/>
      <x:c r="D57" s="107" t="str">
        <x:f>IF($C57="","",_xlfn.XLOOKUP($C57,'試行員工主檔'!$A$7:$A$20,'試行員工主檔'!$B$7:$B$20,"員工未建立",0))</x:f>
      </x:c>
      <x:c r="E57" s="106"/>
      <x:c r="F57" s="106"/>
      <x:c r="G57" s="106"/>
      <x:c r="H57" s="106"/>
      <x:c r="I57" s="106"/>
      <x:c r="J57" s="106"/>
      <x:c r="K57" s="106"/>
      <x:c r="L57" s="106"/>
      <x:c r="M57" s="107" t="str">
        <x:f>IF($A57="","",IF(AND($H57="是",$I57="否",$J57="否"),"是","否"))</x:f>
      </x:c>
      <x:c r="N57" s="107" t="str">
        <x:f>IF(OR($C57="",$G57=""),"",$C57&amp;"|"&amp;$G57)</x:f>
      </x:c>
    </x:row>
    <x:row r="58">
      <x:c r="A58" s="106"/>
      <x:c r="B58" s="108"/>
      <x:c r="C58" s="106"/>
      <x:c r="D58" s="107" t="str">
        <x:f>IF($C58="","",_xlfn.XLOOKUP($C58,'試行員工主檔'!$A$7:$A$20,'試行員工主檔'!$B$7:$B$20,"員工未建立",0))</x:f>
      </x:c>
      <x:c r="E58" s="106"/>
      <x:c r="F58" s="106"/>
      <x:c r="G58" s="106"/>
      <x:c r="H58" s="106"/>
      <x:c r="I58" s="106"/>
      <x:c r="J58" s="106"/>
      <x:c r="K58" s="106"/>
      <x:c r="L58" s="106"/>
      <x:c r="M58" s="107" t="str">
        <x:f>IF($A58="","",IF(AND($H58="是",$I58="否",$J58="否"),"是","否"))</x:f>
      </x:c>
      <x:c r="N58" s="107" t="str">
        <x:f>IF(OR($C58="",$G58=""),"",$C58&amp;"|"&amp;$G58)</x:f>
      </x:c>
    </x:row>
    <x:row r="59">
      <x:c r="A59" s="106"/>
      <x:c r="B59" s="108"/>
      <x:c r="C59" s="106"/>
      <x:c r="D59" s="107" t="str">
        <x:f>IF($C59="","",_xlfn.XLOOKUP($C59,'試行員工主檔'!$A$7:$A$20,'試行員工主檔'!$B$7:$B$20,"員工未建立",0))</x:f>
      </x:c>
      <x:c r="E59" s="106"/>
      <x:c r="F59" s="106"/>
      <x:c r="G59" s="106"/>
      <x:c r="H59" s="106"/>
      <x:c r="I59" s="106"/>
      <x:c r="J59" s="106"/>
      <x:c r="K59" s="106"/>
      <x:c r="L59" s="106"/>
      <x:c r="M59" s="107" t="str">
        <x:f>IF($A59="","",IF(AND($H59="是",$I59="否",$J59="否"),"是","否"))</x:f>
      </x:c>
      <x:c r="N59" s="107" t="str">
        <x:f>IF(OR($C59="",$G59=""),"",$C59&amp;"|"&amp;$G59)</x:f>
      </x:c>
    </x:row>
    <x:row r="60">
      <x:c r="A60" s="106"/>
      <x:c r="B60" s="108"/>
      <x:c r="C60" s="106"/>
      <x:c r="D60" s="107" t="str">
        <x:f>IF($C60="","",_xlfn.XLOOKUP($C60,'試行員工主檔'!$A$7:$A$20,'試行員工主檔'!$B$7:$B$20,"員工未建立",0))</x:f>
      </x:c>
      <x:c r="E60" s="106"/>
      <x:c r="F60" s="106"/>
      <x:c r="G60" s="106"/>
      <x:c r="H60" s="106"/>
      <x:c r="I60" s="106"/>
      <x:c r="J60" s="106"/>
      <x:c r="K60" s="106"/>
      <x:c r="L60" s="106"/>
      <x:c r="M60" s="107" t="str">
        <x:f>IF($A60="","",IF(AND($H60="是",$I60="否",$J60="否"),"是","否"))</x:f>
      </x:c>
      <x:c r="N60" s="107" t="str">
        <x:f>IF(OR($C60="",$G60=""),"",$C60&amp;"|"&amp;$G60)</x:f>
      </x:c>
    </x:row>
    <x:row r="61">
      <x:c r="A61" s="106"/>
      <x:c r="B61" s="108"/>
      <x:c r="C61" s="106"/>
      <x:c r="D61" s="107" t="str">
        <x:f>IF($C61="","",_xlfn.XLOOKUP($C61,'試行員工主檔'!$A$7:$A$20,'試行員工主檔'!$B$7:$B$20,"員工未建立",0))</x:f>
      </x:c>
      <x:c r="E61" s="106"/>
      <x:c r="F61" s="106"/>
      <x:c r="G61" s="106"/>
      <x:c r="H61" s="106"/>
      <x:c r="I61" s="106"/>
      <x:c r="J61" s="106"/>
      <x:c r="K61" s="106"/>
      <x:c r="L61" s="106"/>
      <x:c r="M61" s="107" t="str">
        <x:f>IF($A61="","",IF(AND($H61="是",$I61="否",$J61="否"),"是","否"))</x:f>
      </x:c>
      <x:c r="N61" s="107" t="str">
        <x:f>IF(OR($C61="",$G61=""),"",$C61&amp;"|"&amp;$G61)</x:f>
      </x:c>
    </x:row>
    <x:row r="62">
      <x:c r="A62" s="106"/>
      <x:c r="B62" s="108"/>
      <x:c r="C62" s="106"/>
      <x:c r="D62" s="107" t="str">
        <x:f>IF($C62="","",_xlfn.XLOOKUP($C62,'試行員工主檔'!$A$7:$A$20,'試行員工主檔'!$B$7:$B$20,"員工未建立",0))</x:f>
      </x:c>
      <x:c r="E62" s="106"/>
      <x:c r="F62" s="106"/>
      <x:c r="G62" s="106"/>
      <x:c r="H62" s="106"/>
      <x:c r="I62" s="106"/>
      <x:c r="J62" s="106"/>
      <x:c r="K62" s="106"/>
      <x:c r="L62" s="106"/>
      <x:c r="M62" s="107" t="str">
        <x:f>IF($A62="","",IF(AND($H62="是",$I62="否",$J62="否"),"是","否"))</x:f>
      </x:c>
      <x:c r="N62" s="107" t="str">
        <x:f>IF(OR($C62="",$G62=""),"",$C62&amp;"|"&amp;$G62)</x:f>
      </x:c>
    </x:row>
    <x:row r="63">
      <x:c r="A63" s="106"/>
      <x:c r="B63" s="108"/>
      <x:c r="C63" s="106"/>
      <x:c r="D63" s="107" t="str">
        <x:f>IF($C63="","",_xlfn.XLOOKUP($C63,'試行員工主檔'!$A$7:$A$20,'試行員工主檔'!$B$7:$B$20,"員工未建立",0))</x:f>
      </x:c>
      <x:c r="E63" s="106"/>
      <x:c r="F63" s="106"/>
      <x:c r="G63" s="106"/>
      <x:c r="H63" s="106"/>
      <x:c r="I63" s="106"/>
      <x:c r="J63" s="106"/>
      <x:c r="K63" s="106"/>
      <x:c r="L63" s="106"/>
      <x:c r="M63" s="107" t="str">
        <x:f>IF($A63="","",IF(AND($H63="是",$I63="否",$J63="否"),"是","否"))</x:f>
      </x:c>
      <x:c r="N63" s="107" t="str">
        <x:f>IF(OR($C63="",$G63=""),"",$C63&amp;"|"&amp;$G63)</x:f>
      </x:c>
    </x:row>
    <x:row r="64">
      <x:c r="A64" s="106"/>
      <x:c r="B64" s="108"/>
      <x:c r="C64" s="106"/>
      <x:c r="D64" s="107" t="str">
        <x:f>IF($C64="","",_xlfn.XLOOKUP($C64,'試行員工主檔'!$A$7:$A$20,'試行員工主檔'!$B$7:$B$20,"員工未建立",0))</x:f>
      </x:c>
      <x:c r="E64" s="106"/>
      <x:c r="F64" s="106"/>
      <x:c r="G64" s="106"/>
      <x:c r="H64" s="106"/>
      <x:c r="I64" s="106"/>
      <x:c r="J64" s="106"/>
      <x:c r="K64" s="106"/>
      <x:c r="L64" s="106"/>
      <x:c r="M64" s="107" t="str">
        <x:f>IF($A64="","",IF(AND($H64="是",$I64="否",$J64="否"),"是","否"))</x:f>
      </x:c>
      <x:c r="N64" s="107" t="str">
        <x:f>IF(OR($C64="",$G64=""),"",$C64&amp;"|"&amp;$G64)</x:f>
      </x:c>
    </x:row>
    <x:row r="65">
      <x:c r="A65" s="106"/>
      <x:c r="B65" s="108"/>
      <x:c r="C65" s="106"/>
      <x:c r="D65" s="107" t="str">
        <x:f>IF($C65="","",_xlfn.XLOOKUP($C65,'試行員工主檔'!$A$7:$A$20,'試行員工主檔'!$B$7:$B$20,"員工未建立",0))</x:f>
      </x:c>
      <x:c r="E65" s="106"/>
      <x:c r="F65" s="106"/>
      <x:c r="G65" s="106"/>
      <x:c r="H65" s="106"/>
      <x:c r="I65" s="106"/>
      <x:c r="J65" s="106"/>
      <x:c r="K65" s="106"/>
      <x:c r="L65" s="106"/>
      <x:c r="M65" s="107" t="str">
        <x:f>IF($A65="","",IF(AND($H65="是",$I65="否",$J65="否"),"是","否"))</x:f>
      </x:c>
      <x:c r="N65" s="107" t="str">
        <x:f>IF(OR($C65="",$G65=""),"",$C65&amp;"|"&amp;$G65)</x:f>
      </x:c>
    </x:row>
    <x:row r="66">
      <x:c r="A66" s="106"/>
      <x:c r="B66" s="108"/>
      <x:c r="C66" s="106"/>
      <x:c r="D66" s="107" t="str">
        <x:f>IF($C66="","",_xlfn.XLOOKUP($C66,'試行員工主檔'!$A$7:$A$20,'試行員工主檔'!$B$7:$B$20,"員工未建立",0))</x:f>
      </x:c>
      <x:c r="E66" s="106"/>
      <x:c r="F66" s="106"/>
      <x:c r="G66" s="106"/>
      <x:c r="H66" s="106"/>
      <x:c r="I66" s="106"/>
      <x:c r="J66" s="106"/>
      <x:c r="K66" s="106"/>
      <x:c r="L66" s="106"/>
      <x:c r="M66" s="107" t="str">
        <x:f>IF($A66="","",IF(AND($H66="是",$I66="否",$J66="否"),"是","否"))</x:f>
      </x:c>
      <x:c r="N66" s="107" t="str">
        <x:f>IF(OR($C66="",$G66=""),"",$C66&amp;"|"&amp;$G66)</x:f>
      </x:c>
    </x:row>
    <x:row r="67">
      <x:c r="A67" s="106"/>
      <x:c r="B67" s="108"/>
      <x:c r="C67" s="106"/>
      <x:c r="D67" s="107" t="str">
        <x:f>IF($C67="","",_xlfn.XLOOKUP($C67,'試行員工主檔'!$A$7:$A$20,'試行員工主檔'!$B$7:$B$20,"員工未建立",0))</x:f>
      </x:c>
      <x:c r="E67" s="106"/>
      <x:c r="F67" s="106"/>
      <x:c r="G67" s="106"/>
      <x:c r="H67" s="106"/>
      <x:c r="I67" s="106"/>
      <x:c r="J67" s="106"/>
      <x:c r="K67" s="106"/>
      <x:c r="L67" s="106"/>
      <x:c r="M67" s="107" t="str">
        <x:f>IF($A67="","",IF(AND($H67="是",$I67="否",$J67="否"),"是","否"))</x:f>
      </x:c>
      <x:c r="N67" s="107" t="str">
        <x:f>IF(OR($C67="",$G67=""),"",$C67&amp;"|"&amp;$G67)</x:f>
      </x:c>
    </x:row>
    <x:row r="68">
      <x:c r="A68" s="106"/>
      <x:c r="B68" s="108"/>
      <x:c r="C68" s="106"/>
      <x:c r="D68" s="107" t="str">
        <x:f>IF($C68="","",_xlfn.XLOOKUP($C68,'試行員工主檔'!$A$7:$A$20,'試行員工主檔'!$B$7:$B$20,"員工未建立",0))</x:f>
      </x:c>
      <x:c r="E68" s="106"/>
      <x:c r="F68" s="106"/>
      <x:c r="G68" s="106"/>
      <x:c r="H68" s="106"/>
      <x:c r="I68" s="106"/>
      <x:c r="J68" s="106"/>
      <x:c r="K68" s="106"/>
      <x:c r="L68" s="106"/>
      <x:c r="M68" s="107" t="str">
        <x:f>IF($A68="","",IF(AND($H68="是",$I68="否",$J68="否"),"是","否"))</x:f>
      </x:c>
      <x:c r="N68" s="107" t="str">
        <x:f>IF(OR($C68="",$G68=""),"",$C68&amp;"|"&amp;$G68)</x:f>
      </x:c>
    </x:row>
    <x:row r="69">
      <x:c r="A69" s="106"/>
      <x:c r="B69" s="108"/>
      <x:c r="C69" s="106"/>
      <x:c r="D69" s="107" t="str">
        <x:f>IF($C69="","",_xlfn.XLOOKUP($C69,'試行員工主檔'!$A$7:$A$20,'試行員工主檔'!$B$7:$B$20,"員工未建立",0))</x:f>
      </x:c>
      <x:c r="E69" s="106"/>
      <x:c r="F69" s="106"/>
      <x:c r="G69" s="106"/>
      <x:c r="H69" s="106"/>
      <x:c r="I69" s="106"/>
      <x:c r="J69" s="106"/>
      <x:c r="K69" s="106"/>
      <x:c r="L69" s="106"/>
      <x:c r="M69" s="107" t="str">
        <x:f>IF($A69="","",IF(AND($H69="是",$I69="否",$J69="否"),"是","否"))</x:f>
      </x:c>
      <x:c r="N69" s="107" t="str">
        <x:f>IF(OR($C69="",$G69=""),"",$C69&amp;"|"&amp;$G69)</x:f>
      </x:c>
    </x:row>
    <x:row r="70">
      <x:c r="A70" s="106"/>
      <x:c r="B70" s="108"/>
      <x:c r="C70" s="106"/>
      <x:c r="D70" s="107" t="str">
        <x:f>IF($C70="","",_xlfn.XLOOKUP($C70,'試行員工主檔'!$A$7:$A$20,'試行員工主檔'!$B$7:$B$20,"員工未建立",0))</x:f>
      </x:c>
      <x:c r="E70" s="106"/>
      <x:c r="F70" s="106"/>
      <x:c r="G70" s="106"/>
      <x:c r="H70" s="106"/>
      <x:c r="I70" s="106"/>
      <x:c r="J70" s="106"/>
      <x:c r="K70" s="106"/>
      <x:c r="L70" s="106"/>
      <x:c r="M70" s="107" t="str">
        <x:f>IF($A70="","",IF(AND($H70="是",$I70="否",$J70="否"),"是","否"))</x:f>
      </x:c>
      <x:c r="N70" s="107" t="str">
        <x:f>IF(OR($C70="",$G70=""),"",$C70&amp;"|"&amp;$G70)</x:f>
      </x:c>
    </x:row>
    <x:row r="71">
      <x:c r="A71" s="106"/>
      <x:c r="B71" s="108"/>
      <x:c r="C71" s="106"/>
      <x:c r="D71" s="107" t="str">
        <x:f>IF($C71="","",_xlfn.XLOOKUP($C71,'試行員工主檔'!$A$7:$A$20,'試行員工主檔'!$B$7:$B$20,"員工未建立",0))</x:f>
      </x:c>
      <x:c r="E71" s="106"/>
      <x:c r="F71" s="106"/>
      <x:c r="G71" s="106"/>
      <x:c r="H71" s="106"/>
      <x:c r="I71" s="106"/>
      <x:c r="J71" s="106"/>
      <x:c r="K71" s="106"/>
      <x:c r="L71" s="106"/>
      <x:c r="M71" s="107" t="str">
        <x:f>IF($A71="","",IF(AND($H71="是",$I71="否",$J71="否"),"是","否"))</x:f>
      </x:c>
      <x:c r="N71" s="107" t="str">
        <x:f>IF(OR($C71="",$G71=""),"",$C71&amp;"|"&amp;$G71)</x:f>
      </x:c>
    </x:row>
    <x:row r="72">
      <x:c r="A72" s="106"/>
      <x:c r="B72" s="108"/>
      <x:c r="C72" s="106"/>
      <x:c r="D72" s="107" t="str">
        <x:f>IF($C72="","",_xlfn.XLOOKUP($C72,'試行員工主檔'!$A$7:$A$20,'試行員工主檔'!$B$7:$B$20,"員工未建立",0))</x:f>
      </x:c>
      <x:c r="E72" s="106"/>
      <x:c r="F72" s="106"/>
      <x:c r="G72" s="106"/>
      <x:c r="H72" s="106"/>
      <x:c r="I72" s="106"/>
      <x:c r="J72" s="106"/>
      <x:c r="K72" s="106"/>
      <x:c r="L72" s="106"/>
      <x:c r="M72" s="107" t="str">
        <x:f>IF($A72="","",IF(AND($H72="是",$I72="否",$J72="否"),"是","否"))</x:f>
      </x:c>
      <x:c r="N72" s="107" t="str">
        <x:f>IF(OR($C72="",$G72=""),"",$C72&amp;"|"&amp;$G72)</x:f>
      </x:c>
    </x:row>
    <x:row r="73">
      <x:c r="A73" s="106"/>
      <x:c r="B73" s="108"/>
      <x:c r="C73" s="106"/>
      <x:c r="D73" s="107" t="str">
        <x:f>IF($C73="","",_xlfn.XLOOKUP($C73,'試行員工主檔'!$A$7:$A$20,'試行員工主檔'!$B$7:$B$20,"員工未建立",0))</x:f>
      </x:c>
      <x:c r="E73" s="106"/>
      <x:c r="F73" s="106"/>
      <x:c r="G73" s="106"/>
      <x:c r="H73" s="106"/>
      <x:c r="I73" s="106"/>
      <x:c r="J73" s="106"/>
      <x:c r="K73" s="106"/>
      <x:c r="L73" s="106"/>
      <x:c r="M73" s="107" t="str">
        <x:f>IF($A73="","",IF(AND($H73="是",$I73="否",$J73="否"),"是","否"))</x:f>
      </x:c>
      <x:c r="N73" s="107" t="str">
        <x:f>IF(OR($C73="",$G73=""),"",$C73&amp;"|"&amp;$G73)</x:f>
      </x:c>
    </x:row>
    <x:row r="74">
      <x:c r="A74" s="106"/>
      <x:c r="B74" s="108"/>
      <x:c r="C74" s="106"/>
      <x:c r="D74" s="107" t="str">
        <x:f>IF($C74="","",_xlfn.XLOOKUP($C74,'試行員工主檔'!$A$7:$A$20,'試行員工主檔'!$B$7:$B$20,"員工未建立",0))</x:f>
      </x:c>
      <x:c r="E74" s="106"/>
      <x:c r="F74" s="106"/>
      <x:c r="G74" s="106"/>
      <x:c r="H74" s="106"/>
      <x:c r="I74" s="106"/>
      <x:c r="J74" s="106"/>
      <x:c r="K74" s="106"/>
      <x:c r="L74" s="106"/>
      <x:c r="M74" s="107" t="str">
        <x:f>IF($A74="","",IF(AND($H74="是",$I74="否",$J74="否"),"是","否"))</x:f>
      </x:c>
      <x:c r="N74" s="107" t="str">
        <x:f>IF(OR($C74="",$G74=""),"",$C74&amp;"|"&amp;$G74)</x:f>
      </x:c>
    </x:row>
    <x:row r="75">
      <x:c r="A75" s="106"/>
      <x:c r="B75" s="108"/>
      <x:c r="C75" s="106"/>
      <x:c r="D75" s="107" t="str">
        <x:f>IF($C75="","",_xlfn.XLOOKUP($C75,'試行員工主檔'!$A$7:$A$20,'試行員工主檔'!$B$7:$B$20,"員工未建立",0))</x:f>
      </x:c>
      <x:c r="E75" s="106"/>
      <x:c r="F75" s="106"/>
      <x:c r="G75" s="106"/>
      <x:c r="H75" s="106"/>
      <x:c r="I75" s="106"/>
      <x:c r="J75" s="106"/>
      <x:c r="K75" s="106"/>
      <x:c r="L75" s="106"/>
      <x:c r="M75" s="107" t="str">
        <x:f>IF($A75="","",IF(AND($H75="是",$I75="否",$J75="否"),"是","否"))</x:f>
      </x:c>
      <x:c r="N75" s="107" t="str">
        <x:f>IF(OR($C75="",$G75=""),"",$C75&amp;"|"&amp;$G75)</x:f>
      </x:c>
    </x:row>
    <x:row r="76">
      <x:c r="A76" s="106"/>
      <x:c r="B76" s="108"/>
      <x:c r="C76" s="106"/>
      <x:c r="D76" s="107" t="str">
        <x:f>IF($C76="","",_xlfn.XLOOKUP($C76,'試行員工主檔'!$A$7:$A$20,'試行員工主檔'!$B$7:$B$20,"員工未建立",0))</x:f>
      </x:c>
      <x:c r="E76" s="106"/>
      <x:c r="F76" s="106"/>
      <x:c r="G76" s="106"/>
      <x:c r="H76" s="106"/>
      <x:c r="I76" s="106"/>
      <x:c r="J76" s="106"/>
      <x:c r="K76" s="106"/>
      <x:c r="L76" s="106"/>
      <x:c r="M76" s="107" t="str">
        <x:f>IF($A76="","",IF(AND($H76="是",$I76="否",$J76="否"),"是","否"))</x:f>
      </x:c>
      <x:c r="N76" s="107" t="str">
        <x:f>IF(OR($C76="",$G76=""),"",$C76&amp;"|"&amp;$G76)</x:f>
      </x:c>
    </x:row>
    <x:row r="77">
      <x:c r="A77" s="106"/>
      <x:c r="B77" s="108"/>
      <x:c r="C77" s="106"/>
      <x:c r="D77" s="107" t="str">
        <x:f>IF($C77="","",_xlfn.XLOOKUP($C77,'試行員工主檔'!$A$7:$A$20,'試行員工主檔'!$B$7:$B$20,"員工未建立",0))</x:f>
      </x:c>
      <x:c r="E77" s="106"/>
      <x:c r="F77" s="106"/>
      <x:c r="G77" s="106"/>
      <x:c r="H77" s="106"/>
      <x:c r="I77" s="106"/>
      <x:c r="J77" s="106"/>
      <x:c r="K77" s="106"/>
      <x:c r="L77" s="106"/>
      <x:c r="M77" s="107" t="str">
        <x:f>IF($A77="","",IF(AND($H77="是",$I77="否",$J77="否"),"是","否"))</x:f>
      </x:c>
      <x:c r="N77" s="107" t="str">
        <x:f>IF(OR($C77="",$G77=""),"",$C77&amp;"|"&amp;$G77)</x:f>
      </x:c>
    </x:row>
    <x:row r="78">
      <x:c r="A78" s="106"/>
      <x:c r="B78" s="108"/>
      <x:c r="C78" s="106"/>
      <x:c r="D78" s="107" t="str">
        <x:f>IF($C78="","",_xlfn.XLOOKUP($C78,'試行員工主檔'!$A$7:$A$20,'試行員工主檔'!$B$7:$B$20,"員工未建立",0))</x:f>
      </x:c>
      <x:c r="E78" s="106"/>
      <x:c r="F78" s="106"/>
      <x:c r="G78" s="106"/>
      <x:c r="H78" s="106"/>
      <x:c r="I78" s="106"/>
      <x:c r="J78" s="106"/>
      <x:c r="K78" s="106"/>
      <x:c r="L78" s="106"/>
      <x:c r="M78" s="107" t="str">
        <x:f>IF($A78="","",IF(AND($H78="是",$I78="否",$J78="否"),"是","否"))</x:f>
      </x:c>
      <x:c r="N78" s="107" t="str">
        <x:f>IF(OR($C78="",$G78=""),"",$C78&amp;"|"&amp;$G78)</x:f>
      </x:c>
    </x:row>
    <x:row r="79">
      <x:c r="A79" s="106"/>
      <x:c r="B79" s="108"/>
      <x:c r="C79" s="106"/>
      <x:c r="D79" s="107" t="str">
        <x:f>IF($C79="","",_xlfn.XLOOKUP($C79,'試行員工主檔'!$A$7:$A$20,'試行員工主檔'!$B$7:$B$20,"員工未建立",0))</x:f>
      </x:c>
      <x:c r="E79" s="106"/>
      <x:c r="F79" s="106"/>
      <x:c r="G79" s="106"/>
      <x:c r="H79" s="106"/>
      <x:c r="I79" s="106"/>
      <x:c r="J79" s="106"/>
      <x:c r="K79" s="106"/>
      <x:c r="L79" s="106"/>
      <x:c r="M79" s="107" t="str">
        <x:f>IF($A79="","",IF(AND($H79="是",$I79="否",$J79="否"),"是","否"))</x:f>
      </x:c>
      <x:c r="N79" s="107" t="str">
        <x:f>IF(OR($C79="",$G79=""),"",$C79&amp;"|"&amp;$G79)</x:f>
      </x:c>
    </x:row>
    <x:row r="80">
      <x:c r="A80" s="106"/>
      <x:c r="B80" s="108"/>
      <x:c r="C80" s="106"/>
      <x:c r="D80" s="107" t="str">
        <x:f>IF($C80="","",_xlfn.XLOOKUP($C80,'試行員工主檔'!$A$7:$A$20,'試行員工主檔'!$B$7:$B$20,"員工未建立",0))</x:f>
      </x:c>
      <x:c r="E80" s="106"/>
      <x:c r="F80" s="106"/>
      <x:c r="G80" s="106"/>
      <x:c r="H80" s="106"/>
      <x:c r="I80" s="106"/>
      <x:c r="J80" s="106"/>
      <x:c r="K80" s="106"/>
      <x:c r="L80" s="106"/>
      <x:c r="M80" s="107" t="str">
        <x:f>IF($A80="","",IF(AND($H80="是",$I80="否",$J80="否"),"是","否"))</x:f>
      </x:c>
      <x:c r="N80" s="107" t="str">
        <x:f>IF(OR($C80="",$G80=""),"",$C80&amp;"|"&amp;$G80)</x:f>
      </x:c>
    </x:row>
    <x:row r="81">
      <x:c r="A81" s="106"/>
      <x:c r="B81" s="108"/>
      <x:c r="C81" s="106"/>
      <x:c r="D81" s="107" t="str">
        <x:f>IF($C81="","",_xlfn.XLOOKUP($C81,'試行員工主檔'!$A$7:$A$20,'試行員工主檔'!$B$7:$B$20,"員工未建立",0))</x:f>
      </x:c>
      <x:c r="E81" s="106"/>
      <x:c r="F81" s="106"/>
      <x:c r="G81" s="106"/>
      <x:c r="H81" s="106"/>
      <x:c r="I81" s="106"/>
      <x:c r="J81" s="106"/>
      <x:c r="K81" s="106"/>
      <x:c r="L81" s="106"/>
      <x:c r="M81" s="107" t="str">
        <x:f>IF($A81="","",IF(AND($H81="是",$I81="否",$J81="否"),"是","否"))</x:f>
      </x:c>
      <x:c r="N81" s="107" t="str">
        <x:f>IF(OR($C81="",$G81=""),"",$C81&amp;"|"&amp;$G81)</x:f>
      </x:c>
    </x:row>
    <x:row r="82">
      <x:c r="A82" s="106"/>
      <x:c r="B82" s="108"/>
      <x:c r="C82" s="106"/>
      <x:c r="D82" s="107" t="str">
        <x:f>IF($C82="","",_xlfn.XLOOKUP($C82,'試行員工主檔'!$A$7:$A$20,'試行員工主檔'!$B$7:$B$20,"員工未建立",0))</x:f>
      </x:c>
      <x:c r="E82" s="106"/>
      <x:c r="F82" s="106"/>
      <x:c r="G82" s="106"/>
      <x:c r="H82" s="106"/>
      <x:c r="I82" s="106"/>
      <x:c r="J82" s="106"/>
      <x:c r="K82" s="106"/>
      <x:c r="L82" s="106"/>
      <x:c r="M82" s="107" t="str">
        <x:f>IF($A82="","",IF(AND($H82="是",$I82="否",$J82="否"),"是","否"))</x:f>
      </x:c>
      <x:c r="N82" s="107" t="str">
        <x:f>IF(OR($C82="",$G82=""),"",$C82&amp;"|"&amp;$G82)</x:f>
      </x:c>
    </x:row>
    <x:row r="83">
      <x:c r="A83" s="106"/>
      <x:c r="B83" s="108"/>
      <x:c r="C83" s="106"/>
      <x:c r="D83" s="107" t="str">
        <x:f>IF($C83="","",_xlfn.XLOOKUP($C83,'試行員工主檔'!$A$7:$A$20,'試行員工主檔'!$B$7:$B$20,"員工未建立",0))</x:f>
      </x:c>
      <x:c r="E83" s="106"/>
      <x:c r="F83" s="106"/>
      <x:c r="G83" s="106"/>
      <x:c r="H83" s="106"/>
      <x:c r="I83" s="106"/>
      <x:c r="J83" s="106"/>
      <x:c r="K83" s="106"/>
      <x:c r="L83" s="106"/>
      <x:c r="M83" s="107" t="str">
        <x:f>IF($A83="","",IF(AND($H83="是",$I83="否",$J83="否"),"是","否"))</x:f>
      </x:c>
      <x:c r="N83" s="107" t="str">
        <x:f>IF(OR($C83="",$G83=""),"",$C83&amp;"|"&amp;$G83)</x:f>
      </x:c>
    </x:row>
    <x:row r="84">
      <x:c r="A84" s="106"/>
      <x:c r="B84" s="108"/>
      <x:c r="C84" s="106"/>
      <x:c r="D84" s="107" t="str">
        <x:f>IF($C84="","",_xlfn.XLOOKUP($C84,'試行員工主檔'!$A$7:$A$20,'試行員工主檔'!$B$7:$B$20,"員工未建立",0))</x:f>
      </x:c>
      <x:c r="E84" s="106"/>
      <x:c r="F84" s="106"/>
      <x:c r="G84" s="106"/>
      <x:c r="H84" s="106"/>
      <x:c r="I84" s="106"/>
      <x:c r="J84" s="106"/>
      <x:c r="K84" s="106"/>
      <x:c r="L84" s="106"/>
      <x:c r="M84" s="107" t="str">
        <x:f>IF($A84="","",IF(AND($H84="是",$I84="否",$J84="否"),"是","否"))</x:f>
      </x:c>
      <x:c r="N84" s="107" t="str">
        <x:f>IF(OR($C84="",$G84=""),"",$C84&amp;"|"&amp;$G84)</x:f>
      </x:c>
    </x:row>
    <x:row r="85">
      <x:c r="A85" s="106"/>
      <x:c r="B85" s="108"/>
      <x:c r="C85" s="106"/>
      <x:c r="D85" s="107" t="str">
        <x:f>IF($C85="","",_xlfn.XLOOKUP($C85,'試行員工主檔'!$A$7:$A$20,'試行員工主檔'!$B$7:$B$20,"員工未建立",0))</x:f>
      </x:c>
      <x:c r="E85" s="106"/>
      <x:c r="F85" s="106"/>
      <x:c r="G85" s="106"/>
      <x:c r="H85" s="106"/>
      <x:c r="I85" s="106"/>
      <x:c r="J85" s="106"/>
      <x:c r="K85" s="106"/>
      <x:c r="L85" s="106"/>
      <x:c r="M85" s="107" t="str">
        <x:f>IF($A85="","",IF(AND($H85="是",$I85="否",$J85="否"),"是","否"))</x:f>
      </x:c>
      <x:c r="N85" s="107" t="str">
        <x:f>IF(OR($C85="",$G85=""),"",$C85&amp;"|"&amp;$G85)</x:f>
      </x:c>
    </x:row>
    <x:row r="86">
      <x:c r="A86" s="106"/>
      <x:c r="B86" s="108"/>
      <x:c r="C86" s="106"/>
      <x:c r="D86" s="107" t="str">
        <x:f>IF($C86="","",_xlfn.XLOOKUP($C86,'試行員工主檔'!$A$7:$A$20,'試行員工主檔'!$B$7:$B$20,"員工未建立",0))</x:f>
      </x:c>
      <x:c r="E86" s="106"/>
      <x:c r="F86" s="106"/>
      <x:c r="G86" s="106"/>
      <x:c r="H86" s="106"/>
      <x:c r="I86" s="106"/>
      <x:c r="J86" s="106"/>
      <x:c r="K86" s="106"/>
      <x:c r="L86" s="106"/>
      <x:c r="M86" s="107" t="str">
        <x:f>IF($A86="","",IF(AND($H86="是",$I86="否",$J86="否"),"是","否"))</x:f>
      </x:c>
      <x:c r="N86" s="107" t="str">
        <x:f>IF(OR($C86="",$G86=""),"",$C86&amp;"|"&amp;$G86)</x:f>
      </x:c>
    </x:row>
    <x:row r="87">
      <x:c r="A87" s="106"/>
      <x:c r="B87" s="108"/>
      <x:c r="C87" s="106"/>
      <x:c r="D87" s="107" t="str">
        <x:f>IF($C87="","",_xlfn.XLOOKUP($C87,'試行員工主檔'!$A$7:$A$20,'試行員工主檔'!$B$7:$B$20,"員工未建立",0))</x:f>
      </x:c>
      <x:c r="E87" s="106"/>
      <x:c r="F87" s="106"/>
      <x:c r="G87" s="106"/>
      <x:c r="H87" s="106"/>
      <x:c r="I87" s="106"/>
      <x:c r="J87" s="106"/>
      <x:c r="K87" s="106"/>
      <x:c r="L87" s="106"/>
      <x:c r="M87" s="107" t="str">
        <x:f>IF($A87="","",IF(AND($H87="是",$I87="否",$J87="否"),"是","否"))</x:f>
      </x:c>
      <x:c r="N87" s="107" t="str">
        <x:f>IF(OR($C87="",$G87=""),"",$C87&amp;"|"&amp;$G87)</x:f>
      </x:c>
    </x:row>
    <x:row r="88">
      <x:c r="A88" s="106"/>
      <x:c r="B88" s="108"/>
      <x:c r="C88" s="106"/>
      <x:c r="D88" s="107" t="str">
        <x:f>IF($C88="","",_xlfn.XLOOKUP($C88,'試行員工主檔'!$A$7:$A$20,'試行員工主檔'!$B$7:$B$20,"員工未建立",0))</x:f>
      </x:c>
      <x:c r="E88" s="106"/>
      <x:c r="F88" s="106"/>
      <x:c r="G88" s="106"/>
      <x:c r="H88" s="106"/>
      <x:c r="I88" s="106"/>
      <x:c r="J88" s="106"/>
      <x:c r="K88" s="106"/>
      <x:c r="L88" s="106"/>
      <x:c r="M88" s="107" t="str">
        <x:f>IF($A88="","",IF(AND($H88="是",$I88="否",$J88="否"),"是","否"))</x:f>
      </x:c>
      <x:c r="N88" s="107" t="str">
        <x:f>IF(OR($C88="",$G88=""),"",$C88&amp;"|"&amp;$G88)</x:f>
      </x:c>
    </x:row>
    <x:row r="89">
      <x:c r="A89" s="106"/>
      <x:c r="B89" s="108"/>
      <x:c r="C89" s="106"/>
      <x:c r="D89" s="107" t="str">
        <x:f>IF($C89="","",_xlfn.XLOOKUP($C89,'試行員工主檔'!$A$7:$A$20,'試行員工主檔'!$B$7:$B$20,"員工未建立",0))</x:f>
      </x:c>
      <x:c r="E89" s="106"/>
      <x:c r="F89" s="106"/>
      <x:c r="G89" s="106"/>
      <x:c r="H89" s="106"/>
      <x:c r="I89" s="106"/>
      <x:c r="J89" s="106"/>
      <x:c r="K89" s="106"/>
      <x:c r="L89" s="106"/>
      <x:c r="M89" s="107" t="str">
        <x:f>IF($A89="","",IF(AND($H89="是",$I89="否",$J89="否"),"是","否"))</x:f>
      </x:c>
      <x:c r="N89" s="107" t="str">
        <x:f>IF(OR($C89="",$G89=""),"",$C89&amp;"|"&amp;$G89)</x:f>
      </x:c>
    </x:row>
    <x:row r="90">
      <x:c r="A90" s="106"/>
      <x:c r="B90" s="108"/>
      <x:c r="C90" s="106"/>
      <x:c r="D90" s="107" t="str">
        <x:f>IF($C90="","",_xlfn.XLOOKUP($C90,'試行員工主檔'!$A$7:$A$20,'試行員工主檔'!$B$7:$B$20,"員工未建立",0))</x:f>
      </x:c>
      <x:c r="E90" s="106"/>
      <x:c r="F90" s="106"/>
      <x:c r="G90" s="106"/>
      <x:c r="H90" s="106"/>
      <x:c r="I90" s="106"/>
      <x:c r="J90" s="106"/>
      <x:c r="K90" s="106"/>
      <x:c r="L90" s="106"/>
      <x:c r="M90" s="107" t="str">
        <x:f>IF($A90="","",IF(AND($H90="是",$I90="否",$J90="否"),"是","否"))</x:f>
      </x:c>
      <x:c r="N90" s="107" t="str">
        <x:f>IF(OR($C90="",$G90=""),"",$C90&amp;"|"&amp;$G90)</x:f>
      </x:c>
    </x:row>
    <x:row r="91">
      <x:c r="A91" s="106"/>
      <x:c r="B91" s="108"/>
      <x:c r="C91" s="106"/>
      <x:c r="D91" s="107" t="str">
        <x:f>IF($C91="","",_xlfn.XLOOKUP($C91,'試行員工主檔'!$A$7:$A$20,'試行員工主檔'!$B$7:$B$20,"員工未建立",0))</x:f>
      </x:c>
      <x:c r="E91" s="106"/>
      <x:c r="F91" s="106"/>
      <x:c r="G91" s="106"/>
      <x:c r="H91" s="106"/>
      <x:c r="I91" s="106"/>
      <x:c r="J91" s="106"/>
      <x:c r="K91" s="106"/>
      <x:c r="L91" s="106"/>
      <x:c r="M91" s="107" t="str">
        <x:f>IF($A91="","",IF(AND($H91="是",$I91="否",$J91="否"),"是","否"))</x:f>
      </x:c>
      <x:c r="N91" s="107" t="str">
        <x:f>IF(OR($C91="",$G91=""),"",$C91&amp;"|"&amp;$G91)</x:f>
      </x:c>
    </x:row>
    <x:row r="92">
      <x:c r="A92" s="106"/>
      <x:c r="B92" s="108"/>
      <x:c r="C92" s="106"/>
      <x:c r="D92" s="107" t="str">
        <x:f>IF($C92="","",_xlfn.XLOOKUP($C92,'試行員工主檔'!$A$7:$A$20,'試行員工主檔'!$B$7:$B$20,"員工未建立",0))</x:f>
      </x:c>
      <x:c r="E92" s="106"/>
      <x:c r="F92" s="106"/>
      <x:c r="G92" s="106"/>
      <x:c r="H92" s="106"/>
      <x:c r="I92" s="106"/>
      <x:c r="J92" s="106"/>
      <x:c r="K92" s="106"/>
      <x:c r="L92" s="106"/>
      <x:c r="M92" s="107" t="str">
        <x:f>IF($A92="","",IF(AND($H92="是",$I92="否",$J92="否"),"是","否"))</x:f>
      </x:c>
      <x:c r="N92" s="107" t="str">
        <x:f>IF(OR($C92="",$G92=""),"",$C92&amp;"|"&amp;$G92)</x:f>
      </x:c>
    </x:row>
    <x:row r="93">
      <x:c r="A93" s="106"/>
      <x:c r="B93" s="108"/>
      <x:c r="C93" s="106"/>
      <x:c r="D93" s="107" t="str">
        <x:f>IF($C93="","",_xlfn.XLOOKUP($C93,'試行員工主檔'!$A$7:$A$20,'試行員工主檔'!$B$7:$B$20,"員工未建立",0))</x:f>
      </x:c>
      <x:c r="E93" s="106"/>
      <x:c r="F93" s="106"/>
      <x:c r="G93" s="106"/>
      <x:c r="H93" s="106"/>
      <x:c r="I93" s="106"/>
      <x:c r="J93" s="106"/>
      <x:c r="K93" s="106"/>
      <x:c r="L93" s="106"/>
      <x:c r="M93" s="107" t="str">
        <x:f>IF($A93="","",IF(AND($H93="是",$I93="否",$J93="否"),"是","否"))</x:f>
      </x:c>
      <x:c r="N93" s="107" t="str">
        <x:f>IF(OR($C93="",$G93=""),"",$C93&amp;"|"&amp;$G93)</x:f>
      </x:c>
    </x:row>
    <x:row r="94">
      <x:c r="A94" s="106"/>
      <x:c r="B94" s="108"/>
      <x:c r="C94" s="106"/>
      <x:c r="D94" s="107" t="str">
        <x:f>IF($C94="","",_xlfn.XLOOKUP($C94,'試行員工主檔'!$A$7:$A$20,'試行員工主檔'!$B$7:$B$20,"員工未建立",0))</x:f>
      </x:c>
      <x:c r="E94" s="106"/>
      <x:c r="F94" s="106"/>
      <x:c r="G94" s="106"/>
      <x:c r="H94" s="106"/>
      <x:c r="I94" s="106"/>
      <x:c r="J94" s="106"/>
      <x:c r="K94" s="106"/>
      <x:c r="L94" s="106"/>
      <x:c r="M94" s="107" t="str">
        <x:f>IF($A94="","",IF(AND($H94="是",$I94="否",$J94="否"),"是","否"))</x:f>
      </x:c>
      <x:c r="N94" s="107" t="str">
        <x:f>IF(OR($C94="",$G94=""),"",$C94&amp;"|"&amp;$G94)</x:f>
      </x:c>
    </x:row>
    <x:row r="95">
      <x:c r="A95" s="106"/>
      <x:c r="B95" s="108"/>
      <x:c r="C95" s="106"/>
      <x:c r="D95" s="107" t="str">
        <x:f>IF($C95="","",_xlfn.XLOOKUP($C95,'試行員工主檔'!$A$7:$A$20,'試行員工主檔'!$B$7:$B$20,"員工未建立",0))</x:f>
      </x:c>
      <x:c r="E95" s="106"/>
      <x:c r="F95" s="106"/>
      <x:c r="G95" s="106"/>
      <x:c r="H95" s="106"/>
      <x:c r="I95" s="106"/>
      <x:c r="J95" s="106"/>
      <x:c r="K95" s="106"/>
      <x:c r="L95" s="106"/>
      <x:c r="M95" s="107" t="str">
        <x:f>IF($A95="","",IF(AND($H95="是",$I95="否",$J95="否"),"是","否"))</x:f>
      </x:c>
      <x:c r="N95" s="107" t="str">
        <x:f>IF(OR($C95="",$G95=""),"",$C95&amp;"|"&amp;$G95)</x:f>
      </x:c>
    </x:row>
    <x:row r="96">
      <x:c r="A96" s="106"/>
      <x:c r="B96" s="108"/>
      <x:c r="C96" s="106"/>
      <x:c r="D96" s="107" t="str">
        <x:f>IF($C96="","",_xlfn.XLOOKUP($C96,'試行員工主檔'!$A$7:$A$20,'試行員工主檔'!$B$7:$B$20,"員工未建立",0))</x:f>
      </x:c>
      <x:c r="E96" s="106"/>
      <x:c r="F96" s="106"/>
      <x:c r="G96" s="106"/>
      <x:c r="H96" s="106"/>
      <x:c r="I96" s="106"/>
      <x:c r="J96" s="106"/>
      <x:c r="K96" s="106"/>
      <x:c r="L96" s="106"/>
      <x:c r="M96" s="107" t="str">
        <x:f>IF($A96="","",IF(AND($H96="是",$I96="否",$J96="否"),"是","否"))</x:f>
      </x:c>
      <x:c r="N96" s="107" t="str">
        <x:f>IF(OR($C96="",$G96=""),"",$C96&amp;"|"&amp;$G96)</x:f>
      </x:c>
    </x:row>
    <x:row r="97">
      <x:c r="A97" s="106"/>
      <x:c r="B97" s="108"/>
      <x:c r="C97" s="106"/>
      <x:c r="D97" s="107" t="str">
        <x:f>IF($C97="","",_xlfn.XLOOKUP($C97,'試行員工主檔'!$A$7:$A$20,'試行員工主檔'!$B$7:$B$20,"員工未建立",0))</x:f>
      </x:c>
      <x:c r="E97" s="106"/>
      <x:c r="F97" s="106"/>
      <x:c r="G97" s="106"/>
      <x:c r="H97" s="106"/>
      <x:c r="I97" s="106"/>
      <x:c r="J97" s="106"/>
      <x:c r="K97" s="106"/>
      <x:c r="L97" s="106"/>
      <x:c r="M97" s="107" t="str">
        <x:f>IF($A97="","",IF(AND($H97="是",$I97="否",$J97="否"),"是","否"))</x:f>
      </x:c>
      <x:c r="N97" s="107" t="str">
        <x:f>IF(OR($C97="",$G97=""),"",$C97&amp;"|"&amp;$G97)</x:f>
      </x:c>
    </x:row>
    <x:row r="98">
      <x:c r="A98" s="106"/>
      <x:c r="B98" s="108"/>
      <x:c r="C98" s="106"/>
      <x:c r="D98" s="107" t="str">
        <x:f>IF($C98="","",_xlfn.XLOOKUP($C98,'試行員工主檔'!$A$7:$A$20,'試行員工主檔'!$B$7:$B$20,"員工未建立",0))</x:f>
      </x:c>
      <x:c r="E98" s="106"/>
      <x:c r="F98" s="106"/>
      <x:c r="G98" s="106"/>
      <x:c r="H98" s="106"/>
      <x:c r="I98" s="106"/>
      <x:c r="J98" s="106"/>
      <x:c r="K98" s="106"/>
      <x:c r="L98" s="106"/>
      <x:c r="M98" s="107" t="str">
        <x:f>IF($A98="","",IF(AND($H98="是",$I98="否",$J98="否"),"是","否"))</x:f>
      </x:c>
      <x:c r="N98" s="107" t="str">
        <x:f>IF(OR($C98="",$G98=""),"",$C98&amp;"|"&amp;$G98)</x:f>
      </x:c>
    </x:row>
    <x:row r="99">
      <x:c r="A99" s="106"/>
      <x:c r="B99" s="108"/>
      <x:c r="C99" s="106"/>
      <x:c r="D99" s="107" t="str">
        <x:f>IF($C99="","",_xlfn.XLOOKUP($C99,'試行員工主檔'!$A$7:$A$20,'試行員工主檔'!$B$7:$B$20,"員工未建立",0))</x:f>
      </x:c>
      <x:c r="E99" s="106"/>
      <x:c r="F99" s="106"/>
      <x:c r="G99" s="106"/>
      <x:c r="H99" s="106"/>
      <x:c r="I99" s="106"/>
      <x:c r="J99" s="106"/>
      <x:c r="K99" s="106"/>
      <x:c r="L99" s="106"/>
      <x:c r="M99" s="107" t="str">
        <x:f>IF($A99="","",IF(AND($H99="是",$I99="否",$J99="否"),"是","否"))</x:f>
      </x:c>
      <x:c r="N99" s="107" t="str">
        <x:f>IF(OR($C99="",$G99=""),"",$C99&amp;"|"&amp;$G99)</x:f>
      </x:c>
    </x:row>
    <x:row r="100">
      <x:c r="A100" s="106"/>
      <x:c r="B100" s="108"/>
      <x:c r="C100" s="106"/>
      <x:c r="D100" s="107" t="str">
        <x:f>IF($C100="","",_xlfn.XLOOKUP($C100,'試行員工主檔'!$A$7:$A$20,'試行員工主檔'!$B$7:$B$20,"員工未建立",0))</x:f>
      </x:c>
      <x:c r="E100" s="106"/>
      <x:c r="F100" s="106"/>
      <x:c r="G100" s="106"/>
      <x:c r="H100" s="106"/>
      <x:c r="I100" s="106"/>
      <x:c r="J100" s="106"/>
      <x:c r="K100" s="106"/>
      <x:c r="L100" s="106"/>
      <x:c r="M100" s="107" t="str">
        <x:f>IF($A100="","",IF(AND($H100="是",$I100="否",$J100="否"),"是","否"))</x:f>
      </x:c>
      <x:c r="N100" s="107" t="str">
        <x:f>IF(OR($C100="",$G100=""),"",$C100&amp;"|"&amp;$G100)</x:f>
      </x:c>
    </x:row>
    <x:row r="101">
      <x:c r="A101" s="106"/>
      <x:c r="B101" s="108"/>
      <x:c r="C101" s="106"/>
      <x:c r="D101" s="107" t="str">
        <x:f>IF($C101="","",_xlfn.XLOOKUP($C101,'試行員工主檔'!$A$7:$A$20,'試行員工主檔'!$B$7:$B$20,"員工未建立",0))</x:f>
      </x:c>
      <x:c r="E101" s="106"/>
      <x:c r="F101" s="106"/>
      <x:c r="G101" s="106"/>
      <x:c r="H101" s="106"/>
      <x:c r="I101" s="106"/>
      <x:c r="J101" s="106"/>
      <x:c r="K101" s="106"/>
      <x:c r="L101" s="106"/>
      <x:c r="M101" s="107" t="str">
        <x:f>IF($A101="","",IF(AND($H101="是",$I101="否",$J101="否"),"是","否"))</x:f>
      </x:c>
      <x:c r="N101" s="107" t="str">
        <x:f>IF(OR($C101="",$G101=""),"",$C101&amp;"|"&amp;$G101)</x:f>
      </x:c>
    </x:row>
    <x:row r="102">
      <x:c r="A102" s="106"/>
      <x:c r="B102" s="108"/>
      <x:c r="C102" s="106"/>
      <x:c r="D102" s="107" t="str">
        <x:f>IF($C102="","",_xlfn.XLOOKUP($C102,'試行員工主檔'!$A$7:$A$20,'試行員工主檔'!$B$7:$B$20,"員工未建立",0))</x:f>
      </x:c>
      <x:c r="E102" s="106"/>
      <x:c r="F102" s="106"/>
      <x:c r="G102" s="106"/>
      <x:c r="H102" s="106"/>
      <x:c r="I102" s="106"/>
      <x:c r="J102" s="106"/>
      <x:c r="K102" s="106"/>
      <x:c r="L102" s="106"/>
      <x:c r="M102" s="107" t="str">
        <x:f>IF($A102="","",IF(AND($H102="是",$I102="否",$J102="否"),"是","否"))</x:f>
      </x:c>
      <x:c r="N102" s="107" t="str">
        <x:f>IF(OR($C102="",$G102=""),"",$C102&amp;"|"&amp;$G102)</x:f>
      </x:c>
    </x:row>
    <x:row r="103">
      <x:c r="A103" s="106"/>
      <x:c r="B103" s="108"/>
      <x:c r="C103" s="106"/>
      <x:c r="D103" s="107" t="str">
        <x:f>IF($C103="","",_xlfn.XLOOKUP($C103,'試行員工主檔'!$A$7:$A$20,'試行員工主檔'!$B$7:$B$20,"員工未建立",0))</x:f>
      </x:c>
      <x:c r="E103" s="106"/>
      <x:c r="F103" s="106"/>
      <x:c r="G103" s="106"/>
      <x:c r="H103" s="106"/>
      <x:c r="I103" s="106"/>
      <x:c r="J103" s="106"/>
      <x:c r="K103" s="106"/>
      <x:c r="L103" s="106"/>
      <x:c r="M103" s="107" t="str">
        <x:f>IF($A103="","",IF(AND($H103="是",$I103="否",$J103="否"),"是","否"))</x:f>
      </x:c>
      <x:c r="N103" s="107" t="str">
        <x:f>IF(OR($C103="",$G103=""),"",$C103&amp;"|"&amp;$G103)</x:f>
      </x:c>
    </x:row>
    <x:row r="104">
      <x:c r="A104" s="106"/>
      <x:c r="B104" s="108"/>
      <x:c r="C104" s="106"/>
      <x:c r="D104" s="107" t="str">
        <x:f>IF($C104="","",_xlfn.XLOOKUP($C104,'試行員工主檔'!$A$7:$A$20,'試行員工主檔'!$B$7:$B$20,"員工未建立",0))</x:f>
      </x:c>
      <x:c r="E104" s="106"/>
      <x:c r="F104" s="106"/>
      <x:c r="G104" s="106"/>
      <x:c r="H104" s="106"/>
      <x:c r="I104" s="106"/>
      <x:c r="J104" s="106"/>
      <x:c r="K104" s="106"/>
      <x:c r="L104" s="106"/>
      <x:c r="M104" s="107" t="str">
        <x:f>IF($A104="","",IF(AND($H104="是",$I104="否",$J104="否"),"是","否"))</x:f>
      </x:c>
      <x:c r="N104" s="107" t="str">
        <x:f>IF(OR($C104="",$G104=""),"",$C104&amp;"|"&amp;$G104)</x:f>
      </x:c>
    </x:row>
    <x:row r="105">
      <x:c r="A105" s="106"/>
      <x:c r="B105" s="108"/>
      <x:c r="C105" s="106"/>
      <x:c r="D105" s="107" t="str">
        <x:f>IF($C105="","",_xlfn.XLOOKUP($C105,'試行員工主檔'!$A$7:$A$20,'試行員工主檔'!$B$7:$B$20,"員工未建立",0))</x:f>
      </x:c>
      <x:c r="E105" s="106"/>
      <x:c r="F105" s="106"/>
      <x:c r="G105" s="106"/>
      <x:c r="H105" s="106"/>
      <x:c r="I105" s="106"/>
      <x:c r="J105" s="106"/>
      <x:c r="K105" s="106"/>
      <x:c r="L105" s="106"/>
      <x:c r="M105" s="107" t="str">
        <x:f>IF($A105="","",IF(AND($H105="是",$I105="否",$J105="否"),"是","否"))</x:f>
      </x:c>
      <x:c r="N105" s="107" t="str">
        <x:f>IF(OR($C105="",$G105=""),"",$C105&amp;"|"&amp;$G105)</x:f>
      </x:c>
    </x:row>
    <x:row r="106">
      <x:c r="A106" s="106"/>
      <x:c r="B106" s="108"/>
      <x:c r="C106" s="106"/>
      <x:c r="D106" s="107" t="str">
        <x:f>IF($C106="","",_xlfn.XLOOKUP($C106,'試行員工主檔'!$A$7:$A$20,'試行員工主檔'!$B$7:$B$20,"員工未建立",0))</x:f>
      </x:c>
      <x:c r="E106" s="106"/>
      <x:c r="F106" s="106"/>
      <x:c r="G106" s="106"/>
      <x:c r="H106" s="106"/>
      <x:c r="I106" s="106"/>
      <x:c r="J106" s="106"/>
      <x:c r="K106" s="106"/>
      <x:c r="L106" s="106"/>
      <x:c r="M106" s="107" t="str">
        <x:f>IF($A106="","",IF(AND($H106="是",$I106="否",$J106="否"),"是","否"))</x:f>
      </x:c>
      <x:c r="N106" s="107" t="str">
        <x:f>IF(OR($C106="",$G106=""),"",$C106&amp;"|"&amp;$G106)</x:f>
      </x:c>
    </x:row>
    <x:row r="107">
      <x:c r="A107" s="106"/>
      <x:c r="B107" s="108"/>
      <x:c r="C107" s="106"/>
      <x:c r="D107" s="107" t="str">
        <x:f>IF($C107="","",_xlfn.XLOOKUP($C107,'試行員工主檔'!$A$7:$A$20,'試行員工主檔'!$B$7:$B$20,"員工未建立",0))</x:f>
      </x:c>
      <x:c r="E107" s="106"/>
      <x:c r="F107" s="106"/>
      <x:c r="G107" s="106"/>
      <x:c r="H107" s="106"/>
      <x:c r="I107" s="106"/>
      <x:c r="J107" s="106"/>
      <x:c r="K107" s="106"/>
      <x:c r="L107" s="106"/>
      <x:c r="M107" s="107" t="str">
        <x:f>IF($A107="","",IF(AND($H107="是",$I107="否",$J107="否"),"是","否"))</x:f>
      </x:c>
      <x:c r="N107" s="107" t="str">
        <x:f>IF(OR($C107="",$G107=""),"",$C107&amp;"|"&amp;$G107)</x:f>
      </x:c>
    </x:row>
    <x:row r="108">
      <x:c r="A108" s="106"/>
      <x:c r="B108" s="108"/>
      <x:c r="C108" s="106"/>
      <x:c r="D108" s="107" t="str">
        <x:f>IF($C108="","",_xlfn.XLOOKUP($C108,'試行員工主檔'!$A$7:$A$20,'試行員工主檔'!$B$7:$B$20,"員工未建立",0))</x:f>
      </x:c>
      <x:c r="E108" s="106"/>
      <x:c r="F108" s="106"/>
      <x:c r="G108" s="106"/>
      <x:c r="H108" s="106"/>
      <x:c r="I108" s="106"/>
      <x:c r="J108" s="106"/>
      <x:c r="K108" s="106"/>
      <x:c r="L108" s="106"/>
      <x:c r="M108" s="107" t="str">
        <x:f>IF($A108="","",IF(AND($H108="是",$I108="否",$J108="否"),"是","否"))</x:f>
      </x:c>
      <x:c r="N108" s="107" t="str">
        <x:f>IF(OR($C108="",$G108=""),"",$C108&amp;"|"&amp;$G108)</x:f>
      </x:c>
    </x:row>
    <x:row r="109">
      <x:c r="A109" s="106"/>
      <x:c r="B109" s="108"/>
      <x:c r="C109" s="106"/>
      <x:c r="D109" s="107" t="str">
        <x:f>IF($C109="","",_xlfn.XLOOKUP($C109,'試行員工主檔'!$A$7:$A$20,'試行員工主檔'!$B$7:$B$20,"員工未建立",0))</x:f>
      </x:c>
      <x:c r="E109" s="106"/>
      <x:c r="F109" s="106"/>
      <x:c r="G109" s="106"/>
      <x:c r="H109" s="106"/>
      <x:c r="I109" s="106"/>
      <x:c r="J109" s="106"/>
      <x:c r="K109" s="106"/>
      <x:c r="L109" s="106"/>
      <x:c r="M109" s="107" t="str">
        <x:f>IF($A109="","",IF(AND($H109="是",$I109="否",$J109="否"),"是","否"))</x:f>
      </x:c>
      <x:c r="N109" s="107" t="str">
        <x:f>IF(OR($C109="",$G109=""),"",$C109&amp;"|"&amp;$G109)</x:f>
      </x:c>
    </x:row>
    <x:row r="110">
      <x:c r="A110" s="106"/>
      <x:c r="B110" s="108"/>
      <x:c r="C110" s="106"/>
      <x:c r="D110" s="107" t="str">
        <x:f>IF($C110="","",_xlfn.XLOOKUP($C110,'試行員工主檔'!$A$7:$A$20,'試行員工主檔'!$B$7:$B$20,"員工未建立",0))</x:f>
      </x:c>
      <x:c r="E110" s="106"/>
      <x:c r="F110" s="106"/>
      <x:c r="G110" s="106"/>
      <x:c r="H110" s="106"/>
      <x:c r="I110" s="106"/>
      <x:c r="J110" s="106"/>
      <x:c r="K110" s="106"/>
      <x:c r="L110" s="106"/>
      <x:c r="M110" s="107" t="str">
        <x:f>IF($A110="","",IF(AND($H110="是",$I110="否",$J110="否"),"是","否"))</x:f>
      </x:c>
      <x:c r="N110" s="107" t="str">
        <x:f>IF(OR($C110="",$G110=""),"",$C110&amp;"|"&amp;$G110)</x:f>
      </x:c>
    </x:row>
    <x:row r="111">
      <x:c r="A111" s="106"/>
      <x:c r="B111" s="108"/>
      <x:c r="C111" s="106"/>
      <x:c r="D111" s="107" t="str">
        <x:f>IF($C111="","",_xlfn.XLOOKUP($C111,'試行員工主檔'!$A$7:$A$20,'試行員工主檔'!$B$7:$B$20,"員工未建立",0))</x:f>
      </x:c>
      <x:c r="E111" s="106"/>
      <x:c r="F111" s="106"/>
      <x:c r="G111" s="106"/>
      <x:c r="H111" s="106"/>
      <x:c r="I111" s="106"/>
      <x:c r="J111" s="106"/>
      <x:c r="K111" s="106"/>
      <x:c r="L111" s="106"/>
      <x:c r="M111" s="107" t="str">
        <x:f>IF($A111="","",IF(AND($H111="是",$I111="否",$J111="否"),"是","否"))</x:f>
      </x:c>
      <x:c r="N111" s="107" t="str">
        <x:f>IF(OR($C111="",$G111=""),"",$C111&amp;"|"&amp;$G111)</x:f>
      </x:c>
    </x:row>
    <x:row r="112">
      <x:c r="A112" s="106"/>
      <x:c r="B112" s="108"/>
      <x:c r="C112" s="106"/>
      <x:c r="D112" s="107" t="str">
        <x:f>IF($C112="","",_xlfn.XLOOKUP($C112,'試行員工主檔'!$A$7:$A$20,'試行員工主檔'!$B$7:$B$20,"員工未建立",0))</x:f>
      </x:c>
      <x:c r="E112" s="106"/>
      <x:c r="F112" s="106"/>
      <x:c r="G112" s="106"/>
      <x:c r="H112" s="106"/>
      <x:c r="I112" s="106"/>
      <x:c r="J112" s="106"/>
      <x:c r="K112" s="106"/>
      <x:c r="L112" s="106"/>
      <x:c r="M112" s="107" t="str">
        <x:f>IF($A112="","",IF(AND($H112="是",$I112="否",$J112="否"),"是","否"))</x:f>
      </x:c>
      <x:c r="N112" s="107" t="str">
        <x:f>IF(OR($C112="",$G112=""),"",$C112&amp;"|"&amp;$G112)</x:f>
      </x:c>
    </x:row>
    <x:row r="113">
      <x:c r="A113" s="106"/>
      <x:c r="B113" s="108"/>
      <x:c r="C113" s="106"/>
      <x:c r="D113" s="107" t="str">
        <x:f>IF($C113="","",_xlfn.XLOOKUP($C113,'試行員工主檔'!$A$7:$A$20,'試行員工主檔'!$B$7:$B$20,"員工未建立",0))</x:f>
      </x:c>
      <x:c r="E113" s="106"/>
      <x:c r="F113" s="106"/>
      <x:c r="G113" s="106"/>
      <x:c r="H113" s="106"/>
      <x:c r="I113" s="106"/>
      <x:c r="J113" s="106"/>
      <x:c r="K113" s="106"/>
      <x:c r="L113" s="106"/>
      <x:c r="M113" s="107" t="str">
        <x:f>IF($A113="","",IF(AND($H113="是",$I113="否",$J113="否"),"是","否"))</x:f>
      </x:c>
      <x:c r="N113" s="107" t="str">
        <x:f>IF(OR($C113="",$G113=""),"",$C113&amp;"|"&amp;$G113)</x:f>
      </x:c>
    </x:row>
    <x:row r="114">
      <x:c r="A114" s="106"/>
      <x:c r="B114" s="108"/>
      <x:c r="C114" s="106"/>
      <x:c r="D114" s="107" t="str">
        <x:f>IF($C114="","",_xlfn.XLOOKUP($C114,'試行員工主檔'!$A$7:$A$20,'試行員工主檔'!$B$7:$B$20,"員工未建立",0))</x:f>
      </x:c>
      <x:c r="E114" s="106"/>
      <x:c r="F114" s="106"/>
      <x:c r="G114" s="106"/>
      <x:c r="H114" s="106"/>
      <x:c r="I114" s="106"/>
      <x:c r="J114" s="106"/>
      <x:c r="K114" s="106"/>
      <x:c r="L114" s="106"/>
      <x:c r="M114" s="107" t="str">
        <x:f>IF($A114="","",IF(AND($H114="是",$I114="否",$J114="否"),"是","否"))</x:f>
      </x:c>
      <x:c r="N114" s="107" t="str">
        <x:f>IF(OR($C114="",$G114=""),"",$C114&amp;"|"&amp;$G114)</x:f>
      </x:c>
    </x:row>
    <x:row r="115">
      <x:c r="A115" s="106"/>
      <x:c r="B115" s="108"/>
      <x:c r="C115" s="106"/>
      <x:c r="D115" s="107" t="str">
        <x:f>IF($C115="","",_xlfn.XLOOKUP($C115,'試行員工主檔'!$A$7:$A$20,'試行員工主檔'!$B$7:$B$20,"員工未建立",0))</x:f>
      </x:c>
      <x:c r="E115" s="106"/>
      <x:c r="F115" s="106"/>
      <x:c r="G115" s="106"/>
      <x:c r="H115" s="106"/>
      <x:c r="I115" s="106"/>
      <x:c r="J115" s="106"/>
      <x:c r="K115" s="106"/>
      <x:c r="L115" s="106"/>
      <x:c r="M115" s="107" t="str">
        <x:f>IF($A115="","",IF(AND($H115="是",$I115="否",$J115="否"),"是","否"))</x:f>
      </x:c>
      <x:c r="N115" s="107" t="str">
        <x:f>IF(OR($C115="",$G115=""),"",$C115&amp;"|"&amp;$G115)</x:f>
      </x:c>
    </x:row>
    <x:row r="116">
      <x:c r="A116" s="106"/>
      <x:c r="B116" s="108"/>
      <x:c r="C116" s="106"/>
      <x:c r="D116" s="107" t="str">
        <x:f>IF($C116="","",_xlfn.XLOOKUP($C116,'試行員工主檔'!$A$7:$A$20,'試行員工主檔'!$B$7:$B$20,"員工未建立",0))</x:f>
      </x:c>
      <x:c r="E116" s="106"/>
      <x:c r="F116" s="106"/>
      <x:c r="G116" s="106"/>
      <x:c r="H116" s="106"/>
      <x:c r="I116" s="106"/>
      <x:c r="J116" s="106"/>
      <x:c r="K116" s="106"/>
      <x:c r="L116" s="106"/>
      <x:c r="M116" s="107" t="str">
        <x:f>IF($A116="","",IF(AND($H116="是",$I116="否",$J116="否"),"是","否"))</x:f>
      </x:c>
      <x:c r="N116" s="107" t="str">
        <x:f>IF(OR($C116="",$G116=""),"",$C116&amp;"|"&amp;$G116)</x:f>
      </x:c>
    </x:row>
    <x:row r="117">
      <x:c r="A117" s="106"/>
      <x:c r="B117" s="108"/>
      <x:c r="C117" s="106"/>
      <x:c r="D117" s="107" t="str">
        <x:f>IF($C117="","",_xlfn.XLOOKUP($C117,'試行員工主檔'!$A$7:$A$20,'試行員工主檔'!$B$7:$B$20,"員工未建立",0))</x:f>
      </x:c>
      <x:c r="E117" s="106"/>
      <x:c r="F117" s="106"/>
      <x:c r="G117" s="106"/>
      <x:c r="H117" s="106"/>
      <x:c r="I117" s="106"/>
      <x:c r="J117" s="106"/>
      <x:c r="K117" s="106"/>
      <x:c r="L117" s="106"/>
      <x:c r="M117" s="107" t="str">
        <x:f>IF($A117="","",IF(AND($H117="是",$I117="否",$J117="否"),"是","否"))</x:f>
      </x:c>
      <x:c r="N117" s="107" t="str">
        <x:f>IF(OR($C117="",$G117=""),"",$C117&amp;"|"&amp;$G117)</x:f>
      </x:c>
    </x:row>
    <x:row r="118">
      <x:c r="A118" s="106"/>
      <x:c r="B118" s="108"/>
      <x:c r="C118" s="106"/>
      <x:c r="D118" s="107" t="str">
        <x:f>IF($C118="","",_xlfn.XLOOKUP($C118,'試行員工主檔'!$A$7:$A$20,'試行員工主檔'!$B$7:$B$20,"員工未建立",0))</x:f>
      </x:c>
      <x:c r="E118" s="106"/>
      <x:c r="F118" s="106"/>
      <x:c r="G118" s="106"/>
      <x:c r="H118" s="106"/>
      <x:c r="I118" s="106"/>
      <x:c r="J118" s="106"/>
      <x:c r="K118" s="106"/>
      <x:c r="L118" s="106"/>
      <x:c r="M118" s="107" t="str">
        <x:f>IF($A118="","",IF(AND($H118="是",$I118="否",$J118="否"),"是","否"))</x:f>
      </x:c>
      <x:c r="N118" s="107" t="str">
        <x:f>IF(OR($C118="",$G118=""),"",$C118&amp;"|"&amp;$G118)</x:f>
      </x:c>
    </x:row>
    <x:row r="119">
      <x:c r="A119" s="106"/>
      <x:c r="B119" s="108"/>
      <x:c r="C119" s="106"/>
      <x:c r="D119" s="107" t="str">
        <x:f>IF($C119="","",_xlfn.XLOOKUP($C119,'試行員工主檔'!$A$7:$A$20,'試行員工主檔'!$B$7:$B$20,"員工未建立",0))</x:f>
      </x:c>
      <x:c r="E119" s="106"/>
      <x:c r="F119" s="106"/>
      <x:c r="G119" s="106"/>
      <x:c r="H119" s="106"/>
      <x:c r="I119" s="106"/>
      <x:c r="J119" s="106"/>
      <x:c r="K119" s="106"/>
      <x:c r="L119" s="106"/>
      <x:c r="M119" s="107" t="str">
        <x:f>IF($A119="","",IF(AND($H119="是",$I119="否",$J119="否"),"是","否"))</x:f>
      </x:c>
      <x:c r="N119" s="107" t="str">
        <x:f>IF(OR($C119="",$G119=""),"",$C119&amp;"|"&amp;$G119)</x:f>
      </x:c>
    </x:row>
    <x:row r="120">
      <x:c r="A120" s="106"/>
      <x:c r="B120" s="108"/>
      <x:c r="C120" s="106"/>
      <x:c r="D120" s="107" t="str">
        <x:f>IF($C120="","",_xlfn.XLOOKUP($C120,'試行員工主檔'!$A$7:$A$20,'試行員工主檔'!$B$7:$B$20,"員工未建立",0))</x:f>
      </x:c>
      <x:c r="E120" s="106"/>
      <x:c r="F120" s="106"/>
      <x:c r="G120" s="106"/>
      <x:c r="H120" s="106"/>
      <x:c r="I120" s="106"/>
      <x:c r="J120" s="106"/>
      <x:c r="K120" s="106"/>
      <x:c r="L120" s="106"/>
      <x:c r="M120" s="107" t="str">
        <x:f>IF($A120="","",IF(AND($H120="是",$I120="否",$J120="否"),"是","否"))</x:f>
      </x:c>
      <x:c r="N120" s="107" t="str">
        <x:f>IF(OR($C120="",$G120=""),"",$C120&amp;"|"&amp;$G120)</x:f>
      </x:c>
    </x:row>
    <x:row r="121">
      <x:c r="A121" s="106"/>
      <x:c r="B121" s="108"/>
      <x:c r="C121" s="106"/>
      <x:c r="D121" s="107" t="str">
        <x:f>IF($C121="","",_xlfn.XLOOKUP($C121,'試行員工主檔'!$A$7:$A$20,'試行員工主檔'!$B$7:$B$20,"員工未建立",0))</x:f>
      </x:c>
      <x:c r="E121" s="106"/>
      <x:c r="F121" s="106"/>
      <x:c r="G121" s="106"/>
      <x:c r="H121" s="106"/>
      <x:c r="I121" s="106"/>
      <x:c r="J121" s="106"/>
      <x:c r="K121" s="106"/>
      <x:c r="L121" s="106"/>
      <x:c r="M121" s="107" t="str">
        <x:f>IF($A121="","",IF(AND($H121="是",$I121="否",$J121="否"),"是","否"))</x:f>
      </x:c>
      <x:c r="N121" s="107" t="str">
        <x:f>IF(OR($C121="",$G121=""),"",$C121&amp;"|"&amp;$G121)</x:f>
      </x:c>
    </x:row>
    <x:row r="122">
      <x:c r="A122" s="106"/>
      <x:c r="B122" s="108"/>
      <x:c r="C122" s="106"/>
      <x:c r="D122" s="107" t="str">
        <x:f>IF($C122="","",_xlfn.XLOOKUP($C122,'試行員工主檔'!$A$7:$A$20,'試行員工主檔'!$B$7:$B$20,"員工未建立",0))</x:f>
      </x:c>
      <x:c r="E122" s="106"/>
      <x:c r="F122" s="106"/>
      <x:c r="G122" s="106"/>
      <x:c r="H122" s="106"/>
      <x:c r="I122" s="106"/>
      <x:c r="J122" s="106"/>
      <x:c r="K122" s="106"/>
      <x:c r="L122" s="106"/>
      <x:c r="M122" s="107" t="str">
        <x:f>IF($A122="","",IF(AND($H122="是",$I122="否",$J122="否"),"是","否"))</x:f>
      </x:c>
      <x:c r="N122" s="107" t="str">
        <x:f>IF(OR($C122="",$G122=""),"",$C122&amp;"|"&amp;$G122)</x:f>
      </x:c>
    </x:row>
    <x:row r="123">
      <x:c r="A123" s="106"/>
      <x:c r="B123" s="108"/>
      <x:c r="C123" s="106"/>
      <x:c r="D123" s="107" t="str">
        <x:f>IF($C123="","",_xlfn.XLOOKUP($C123,'試行員工主檔'!$A$7:$A$20,'試行員工主檔'!$B$7:$B$20,"員工未建立",0))</x:f>
      </x:c>
      <x:c r="E123" s="106"/>
      <x:c r="F123" s="106"/>
      <x:c r="G123" s="106"/>
      <x:c r="H123" s="106"/>
      <x:c r="I123" s="106"/>
      <x:c r="J123" s="106"/>
      <x:c r="K123" s="106"/>
      <x:c r="L123" s="106"/>
      <x:c r="M123" s="107" t="str">
        <x:f>IF($A123="","",IF(AND($H123="是",$I123="否",$J123="否"),"是","否"))</x:f>
      </x:c>
      <x:c r="N123" s="107" t="str">
        <x:f>IF(OR($C123="",$G123=""),"",$C123&amp;"|"&amp;$G123)</x:f>
      </x:c>
    </x:row>
    <x:row r="124">
      <x:c r="A124" s="106"/>
      <x:c r="B124" s="108"/>
      <x:c r="C124" s="106"/>
      <x:c r="D124" s="107" t="str">
        <x:f>IF($C124="","",_xlfn.XLOOKUP($C124,'試行員工主檔'!$A$7:$A$20,'試行員工主檔'!$B$7:$B$20,"員工未建立",0))</x:f>
      </x:c>
      <x:c r="E124" s="106"/>
      <x:c r="F124" s="106"/>
      <x:c r="G124" s="106"/>
      <x:c r="H124" s="106"/>
      <x:c r="I124" s="106"/>
      <x:c r="J124" s="106"/>
      <x:c r="K124" s="106"/>
      <x:c r="L124" s="106"/>
      <x:c r="M124" s="107" t="str">
        <x:f>IF($A124="","",IF(AND($H124="是",$I124="否",$J124="否"),"是","否"))</x:f>
      </x:c>
      <x:c r="N124" s="107" t="str">
        <x:f>IF(OR($C124="",$G124=""),"",$C124&amp;"|"&amp;$G124)</x:f>
      </x:c>
    </x:row>
    <x:row r="125">
      <x:c r="A125" s="106"/>
      <x:c r="B125" s="108"/>
      <x:c r="C125" s="106"/>
      <x:c r="D125" s="107" t="str">
        <x:f>IF($C125="","",_xlfn.XLOOKUP($C125,'試行員工主檔'!$A$7:$A$20,'試行員工主檔'!$B$7:$B$20,"員工未建立",0))</x:f>
      </x:c>
      <x:c r="E125" s="106"/>
      <x:c r="F125" s="106"/>
      <x:c r="G125" s="106"/>
      <x:c r="H125" s="106"/>
      <x:c r="I125" s="106"/>
      <x:c r="J125" s="106"/>
      <x:c r="K125" s="106"/>
      <x:c r="L125" s="106"/>
      <x:c r="M125" s="107" t="str">
        <x:f>IF($A125="","",IF(AND($H125="是",$I125="否",$J125="否"),"是","否"))</x:f>
      </x:c>
      <x:c r="N125" s="107" t="str">
        <x:f>IF(OR($C125="",$G125=""),"",$C125&amp;"|"&amp;$G125)</x:f>
      </x:c>
    </x:row>
    <x:row r="126">
      <x:c r="A126" s="106"/>
      <x:c r="B126" s="108"/>
      <x:c r="C126" s="106"/>
      <x:c r="D126" s="107" t="str">
        <x:f>IF($C126="","",_xlfn.XLOOKUP($C126,'試行員工主檔'!$A$7:$A$20,'試行員工主檔'!$B$7:$B$20,"員工未建立",0))</x:f>
      </x:c>
      <x:c r="E126" s="106"/>
      <x:c r="F126" s="106"/>
      <x:c r="G126" s="106"/>
      <x:c r="H126" s="106"/>
      <x:c r="I126" s="106"/>
      <x:c r="J126" s="106"/>
      <x:c r="K126" s="106"/>
      <x:c r="L126" s="106"/>
      <x:c r="M126" s="107" t="str">
        <x:f>IF($A126="","",IF(AND($H126="是",$I126="否",$J126="否"),"是","否"))</x:f>
      </x:c>
      <x:c r="N126" s="107" t="str">
        <x:f>IF(OR($C126="",$G126=""),"",$C126&amp;"|"&amp;$G126)</x:f>
      </x:c>
    </x:row>
    <x:row r="127">
      <x:c r="A127" s="106"/>
      <x:c r="B127" s="108"/>
      <x:c r="C127" s="106"/>
      <x:c r="D127" s="107" t="str">
        <x:f>IF($C127="","",_xlfn.XLOOKUP($C127,'試行員工主檔'!$A$7:$A$20,'試行員工主檔'!$B$7:$B$20,"員工未建立",0))</x:f>
      </x:c>
      <x:c r="E127" s="106"/>
      <x:c r="F127" s="106"/>
      <x:c r="G127" s="106"/>
      <x:c r="H127" s="106"/>
      <x:c r="I127" s="106"/>
      <x:c r="J127" s="106"/>
      <x:c r="K127" s="106"/>
      <x:c r="L127" s="106"/>
      <x:c r="M127" s="107" t="str">
        <x:f>IF($A127="","",IF(AND($H127="是",$I127="否",$J127="否"),"是","否"))</x:f>
      </x:c>
      <x:c r="N127" s="107" t="str">
        <x:f>IF(OR($C127="",$G127=""),"",$C127&amp;"|"&amp;$G127)</x:f>
      </x:c>
    </x:row>
    <x:row r="128">
      <x:c r="A128" s="106"/>
      <x:c r="B128" s="108"/>
      <x:c r="C128" s="106"/>
      <x:c r="D128" s="107" t="str">
        <x:f>IF($C128="","",_xlfn.XLOOKUP($C128,'試行員工主檔'!$A$7:$A$20,'試行員工主檔'!$B$7:$B$20,"員工未建立",0))</x:f>
      </x:c>
      <x:c r="E128" s="106"/>
      <x:c r="F128" s="106"/>
      <x:c r="G128" s="106"/>
      <x:c r="H128" s="106"/>
      <x:c r="I128" s="106"/>
      <x:c r="J128" s="106"/>
      <x:c r="K128" s="106"/>
      <x:c r="L128" s="106"/>
      <x:c r="M128" s="107" t="str">
        <x:f>IF($A128="","",IF(AND($H128="是",$I128="否",$J128="否"),"是","否"))</x:f>
      </x:c>
      <x:c r="N128" s="107" t="str">
        <x:f>IF(OR($C128="",$G128=""),"",$C128&amp;"|"&amp;$G128)</x:f>
      </x:c>
    </x:row>
    <x:row r="129">
      <x:c r="A129" s="106"/>
      <x:c r="B129" s="108"/>
      <x:c r="C129" s="106"/>
      <x:c r="D129" s="107" t="str">
        <x:f>IF($C129="","",_xlfn.XLOOKUP($C129,'試行員工主檔'!$A$7:$A$20,'試行員工主檔'!$B$7:$B$20,"員工未建立",0))</x:f>
      </x:c>
      <x:c r="E129" s="106"/>
      <x:c r="F129" s="106"/>
      <x:c r="G129" s="106"/>
      <x:c r="H129" s="106"/>
      <x:c r="I129" s="106"/>
      <x:c r="J129" s="106"/>
      <x:c r="K129" s="106"/>
      <x:c r="L129" s="106"/>
      <x:c r="M129" s="107" t="str">
        <x:f>IF($A129="","",IF(AND($H129="是",$I129="否",$J129="否"),"是","否"))</x:f>
      </x:c>
      <x:c r="N129" s="107" t="str">
        <x:f>IF(OR($C129="",$G129=""),"",$C129&amp;"|"&amp;$G129)</x:f>
      </x:c>
    </x:row>
    <x:row r="130">
      <x:c r="A130" s="106"/>
      <x:c r="B130" s="108"/>
      <x:c r="C130" s="106"/>
      <x:c r="D130" s="107" t="str">
        <x:f>IF($C130="","",_xlfn.XLOOKUP($C130,'試行員工主檔'!$A$7:$A$20,'試行員工主檔'!$B$7:$B$20,"員工未建立",0))</x:f>
      </x:c>
      <x:c r="E130" s="106"/>
      <x:c r="F130" s="106"/>
      <x:c r="G130" s="106"/>
      <x:c r="H130" s="106"/>
      <x:c r="I130" s="106"/>
      <x:c r="J130" s="106"/>
      <x:c r="K130" s="106"/>
      <x:c r="L130" s="106"/>
      <x:c r="M130" s="107" t="str">
        <x:f>IF($A130="","",IF(AND($H130="是",$I130="否",$J130="否"),"是","否"))</x:f>
      </x:c>
      <x:c r="N130" s="107" t="str">
        <x:f>IF(OR($C130="",$G130=""),"",$C130&amp;"|"&amp;$G130)</x:f>
      </x:c>
    </x:row>
    <x:row r="131">
      <x:c r="A131" s="106"/>
      <x:c r="B131" s="108"/>
      <x:c r="C131" s="106"/>
      <x:c r="D131" s="107" t="str">
        <x:f>IF($C131="","",_xlfn.XLOOKUP($C131,'試行員工主檔'!$A$7:$A$20,'試行員工主檔'!$B$7:$B$20,"員工未建立",0))</x:f>
      </x:c>
      <x:c r="E131" s="106"/>
      <x:c r="F131" s="106"/>
      <x:c r="G131" s="106"/>
      <x:c r="H131" s="106"/>
      <x:c r="I131" s="106"/>
      <x:c r="J131" s="106"/>
      <x:c r="K131" s="106"/>
      <x:c r="L131" s="106"/>
      <x:c r="M131" s="107" t="str">
        <x:f>IF($A131="","",IF(AND($H131="是",$I131="否",$J131="否"),"是","否"))</x:f>
      </x:c>
      <x:c r="N131" s="107" t="str">
        <x:f>IF(OR($C131="",$G131=""),"",$C131&amp;"|"&amp;$G131)</x:f>
      </x:c>
    </x:row>
    <x:row r="132">
      <x:c r="A132" s="106"/>
      <x:c r="B132" s="108"/>
      <x:c r="C132" s="106"/>
      <x:c r="D132" s="107" t="str">
        <x:f>IF($C132="","",_xlfn.XLOOKUP($C132,'試行員工主檔'!$A$7:$A$20,'試行員工主檔'!$B$7:$B$20,"員工未建立",0))</x:f>
      </x:c>
      <x:c r="E132" s="106"/>
      <x:c r="F132" s="106"/>
      <x:c r="G132" s="106"/>
      <x:c r="H132" s="106"/>
      <x:c r="I132" s="106"/>
      <x:c r="J132" s="106"/>
      <x:c r="K132" s="106"/>
      <x:c r="L132" s="106"/>
      <x:c r="M132" s="107" t="str">
        <x:f>IF($A132="","",IF(AND($H132="是",$I132="否",$J132="否"),"是","否"))</x:f>
      </x:c>
      <x:c r="N132" s="107" t="str">
        <x:f>IF(OR($C132="",$G132=""),"",$C132&amp;"|"&amp;$G132)</x:f>
      </x:c>
    </x:row>
    <x:row r="133">
      <x:c r="A133" s="106"/>
      <x:c r="B133" s="108"/>
      <x:c r="C133" s="106"/>
      <x:c r="D133" s="107" t="str">
        <x:f>IF($C133="","",_xlfn.XLOOKUP($C133,'試行員工主檔'!$A$7:$A$20,'試行員工主檔'!$B$7:$B$20,"員工未建立",0))</x:f>
      </x:c>
      <x:c r="E133" s="106"/>
      <x:c r="F133" s="106"/>
      <x:c r="G133" s="106"/>
      <x:c r="H133" s="106"/>
      <x:c r="I133" s="106"/>
      <x:c r="J133" s="106"/>
      <x:c r="K133" s="106"/>
      <x:c r="L133" s="106"/>
      <x:c r="M133" s="107" t="str">
        <x:f>IF($A133="","",IF(AND($H133="是",$I133="否",$J133="否"),"是","否"))</x:f>
      </x:c>
      <x:c r="N133" s="107" t="str">
        <x:f>IF(OR($C133="",$G133=""),"",$C133&amp;"|"&amp;$G133)</x:f>
      </x:c>
    </x:row>
    <x:row r="134">
      <x:c r="A134" s="106"/>
      <x:c r="B134" s="108"/>
      <x:c r="C134" s="106"/>
      <x:c r="D134" s="107" t="str">
        <x:f>IF($C134="","",_xlfn.XLOOKUP($C134,'試行員工主檔'!$A$7:$A$20,'試行員工主檔'!$B$7:$B$20,"員工未建立",0))</x:f>
      </x:c>
      <x:c r="E134" s="106"/>
      <x:c r="F134" s="106"/>
      <x:c r="G134" s="106"/>
      <x:c r="H134" s="106"/>
      <x:c r="I134" s="106"/>
      <x:c r="J134" s="106"/>
      <x:c r="K134" s="106"/>
      <x:c r="L134" s="106"/>
      <x:c r="M134" s="107" t="str">
        <x:f>IF($A134="","",IF(AND($H134="是",$I134="否",$J134="否"),"是","否"))</x:f>
      </x:c>
      <x:c r="N134" s="107" t="str">
        <x:f>IF(OR($C134="",$G134=""),"",$C134&amp;"|"&amp;$G134)</x:f>
      </x:c>
    </x:row>
    <x:row r="135">
      <x:c r="A135" s="106"/>
      <x:c r="B135" s="108"/>
      <x:c r="C135" s="106"/>
      <x:c r="D135" s="107" t="str">
        <x:f>IF($C135="","",_xlfn.XLOOKUP($C135,'試行員工主檔'!$A$7:$A$20,'試行員工主檔'!$B$7:$B$20,"員工未建立",0))</x:f>
      </x:c>
      <x:c r="E135" s="106"/>
      <x:c r="F135" s="106"/>
      <x:c r="G135" s="106"/>
      <x:c r="H135" s="106"/>
      <x:c r="I135" s="106"/>
      <x:c r="J135" s="106"/>
      <x:c r="K135" s="106"/>
      <x:c r="L135" s="106"/>
      <x:c r="M135" s="107" t="str">
        <x:f>IF($A135="","",IF(AND($H135="是",$I135="否",$J135="否"),"是","否"))</x:f>
      </x:c>
      <x:c r="N135" s="107" t="str">
        <x:f>IF(OR($C135="",$G135=""),"",$C135&amp;"|"&amp;$G135)</x:f>
      </x:c>
    </x:row>
    <x:row r="136">
      <x:c r="A136" s="106"/>
      <x:c r="B136" s="108"/>
      <x:c r="C136" s="106"/>
      <x:c r="D136" s="107" t="str">
        <x:f>IF($C136="","",_xlfn.XLOOKUP($C136,'試行員工主檔'!$A$7:$A$20,'試行員工主檔'!$B$7:$B$20,"員工未建立",0))</x:f>
      </x:c>
      <x:c r="E136" s="106"/>
      <x:c r="F136" s="106"/>
      <x:c r="G136" s="106"/>
      <x:c r="H136" s="106"/>
      <x:c r="I136" s="106"/>
      <x:c r="J136" s="106"/>
      <x:c r="K136" s="106"/>
      <x:c r="L136" s="106"/>
      <x:c r="M136" s="107" t="str">
        <x:f>IF($A136="","",IF(AND($H136="是",$I136="否",$J136="否"),"是","否"))</x:f>
      </x:c>
      <x:c r="N136" s="107" t="str">
        <x:f>IF(OR($C136="",$G136=""),"",$C136&amp;"|"&amp;$G136)</x:f>
      </x:c>
    </x:row>
    <x:row r="137">
      <x:c r="A137" s="106"/>
      <x:c r="B137" s="108"/>
      <x:c r="C137" s="106"/>
      <x:c r="D137" s="107" t="str">
        <x:f>IF($C137="","",_xlfn.XLOOKUP($C137,'試行員工主檔'!$A$7:$A$20,'試行員工主檔'!$B$7:$B$20,"員工未建立",0))</x:f>
      </x:c>
      <x:c r="E137" s="106"/>
      <x:c r="F137" s="106"/>
      <x:c r="G137" s="106"/>
      <x:c r="H137" s="106"/>
      <x:c r="I137" s="106"/>
      <x:c r="J137" s="106"/>
      <x:c r="K137" s="106"/>
      <x:c r="L137" s="106"/>
      <x:c r="M137" s="107" t="str">
        <x:f>IF($A137="","",IF(AND($H137="是",$I137="否",$J137="否"),"是","否"))</x:f>
      </x:c>
      <x:c r="N137" s="107" t="str">
        <x:f>IF(OR($C137="",$G137=""),"",$C137&amp;"|"&amp;$G137)</x:f>
      </x:c>
    </x:row>
    <x:row r="138">
      <x:c r="A138" s="106"/>
      <x:c r="B138" s="108"/>
      <x:c r="C138" s="106"/>
      <x:c r="D138" s="107" t="str">
        <x:f>IF($C138="","",_xlfn.XLOOKUP($C138,'試行員工主檔'!$A$7:$A$20,'試行員工主檔'!$B$7:$B$20,"員工未建立",0))</x:f>
      </x:c>
      <x:c r="E138" s="106"/>
      <x:c r="F138" s="106"/>
      <x:c r="G138" s="106"/>
      <x:c r="H138" s="106"/>
      <x:c r="I138" s="106"/>
      <x:c r="J138" s="106"/>
      <x:c r="K138" s="106"/>
      <x:c r="L138" s="106"/>
      <x:c r="M138" s="107" t="str">
        <x:f>IF($A138="","",IF(AND($H138="是",$I138="否",$J138="否"),"是","否"))</x:f>
      </x:c>
      <x:c r="N138" s="107" t="str">
        <x:f>IF(OR($C138="",$G138=""),"",$C138&amp;"|"&amp;$G138)</x:f>
      </x:c>
    </x:row>
    <x:row r="139">
      <x:c r="A139" s="106"/>
      <x:c r="B139" s="108"/>
      <x:c r="C139" s="106"/>
      <x:c r="D139" s="107" t="str">
        <x:f>IF($C139="","",_xlfn.XLOOKUP($C139,'試行員工主檔'!$A$7:$A$20,'試行員工主檔'!$B$7:$B$20,"員工未建立",0))</x:f>
      </x:c>
      <x:c r="E139" s="106"/>
      <x:c r="F139" s="106"/>
      <x:c r="G139" s="106"/>
      <x:c r="H139" s="106"/>
      <x:c r="I139" s="106"/>
      <x:c r="J139" s="106"/>
      <x:c r="K139" s="106"/>
      <x:c r="L139" s="106"/>
      <x:c r="M139" s="107" t="str">
        <x:f>IF($A139="","",IF(AND($H139="是",$I139="否",$J139="否"),"是","否"))</x:f>
      </x:c>
      <x:c r="N139" s="107" t="str">
        <x:f>IF(OR($C139="",$G139=""),"",$C139&amp;"|"&amp;$G139)</x:f>
      </x:c>
    </x:row>
    <x:row r="140">
      <x:c r="A140" s="106"/>
      <x:c r="B140" s="108"/>
      <x:c r="C140" s="106"/>
      <x:c r="D140" s="107" t="str">
        <x:f>IF($C140="","",_xlfn.XLOOKUP($C140,'試行員工主檔'!$A$7:$A$20,'試行員工主檔'!$B$7:$B$20,"員工未建立",0))</x:f>
      </x:c>
      <x:c r="E140" s="106"/>
      <x:c r="F140" s="106"/>
      <x:c r="G140" s="106"/>
      <x:c r="H140" s="106"/>
      <x:c r="I140" s="106"/>
      <x:c r="J140" s="106"/>
      <x:c r="K140" s="106"/>
      <x:c r="L140" s="106"/>
      <x:c r="M140" s="107" t="str">
        <x:f>IF($A140="","",IF(AND($H140="是",$I140="否",$J140="否"),"是","否"))</x:f>
      </x:c>
      <x:c r="N140" s="107" t="str">
        <x:f>IF(OR($C140="",$G140=""),"",$C140&amp;"|"&amp;$G140)</x:f>
      </x:c>
    </x:row>
    <x:row r="141">
      <x:c r="A141" s="106"/>
      <x:c r="B141" s="108"/>
      <x:c r="C141" s="106"/>
      <x:c r="D141" s="107" t="str">
        <x:f>IF($C141="","",_xlfn.XLOOKUP($C141,'試行員工主檔'!$A$7:$A$20,'試行員工主檔'!$B$7:$B$20,"員工未建立",0))</x:f>
      </x:c>
      <x:c r="E141" s="106"/>
      <x:c r="F141" s="106"/>
      <x:c r="G141" s="106"/>
      <x:c r="H141" s="106"/>
      <x:c r="I141" s="106"/>
      <x:c r="J141" s="106"/>
      <x:c r="K141" s="106"/>
      <x:c r="L141" s="106"/>
      <x:c r="M141" s="107" t="str">
        <x:f>IF($A141="","",IF(AND($H141="是",$I141="否",$J141="否"),"是","否"))</x:f>
      </x:c>
      <x:c r="N141" s="107" t="str">
        <x:f>IF(OR($C141="",$G141=""),"",$C141&amp;"|"&amp;$G141)</x:f>
      </x:c>
    </x:row>
    <x:row r="142">
      <x:c r="A142" s="106"/>
      <x:c r="B142" s="108"/>
      <x:c r="C142" s="106"/>
      <x:c r="D142" s="107" t="str">
        <x:f>IF($C142="","",_xlfn.XLOOKUP($C142,'試行員工主檔'!$A$7:$A$20,'試行員工主檔'!$B$7:$B$20,"員工未建立",0))</x:f>
      </x:c>
      <x:c r="E142" s="106"/>
      <x:c r="F142" s="106"/>
      <x:c r="G142" s="106"/>
      <x:c r="H142" s="106"/>
      <x:c r="I142" s="106"/>
      <x:c r="J142" s="106"/>
      <x:c r="K142" s="106"/>
      <x:c r="L142" s="106"/>
      <x:c r="M142" s="107" t="str">
        <x:f>IF($A142="","",IF(AND($H142="是",$I142="否",$J142="否"),"是","否"))</x:f>
      </x:c>
      <x:c r="N142" s="107" t="str">
        <x:f>IF(OR($C142="",$G142=""),"",$C142&amp;"|"&amp;$G142)</x:f>
      </x:c>
    </x:row>
    <x:row r="143">
      <x:c r="A143" s="106"/>
      <x:c r="B143" s="108"/>
      <x:c r="C143" s="106"/>
      <x:c r="D143" s="107" t="str">
        <x:f>IF($C143="","",_xlfn.XLOOKUP($C143,'試行員工主檔'!$A$7:$A$20,'試行員工主檔'!$B$7:$B$20,"員工未建立",0))</x:f>
      </x:c>
      <x:c r="E143" s="106"/>
      <x:c r="F143" s="106"/>
      <x:c r="G143" s="106"/>
      <x:c r="H143" s="106"/>
      <x:c r="I143" s="106"/>
      <x:c r="J143" s="106"/>
      <x:c r="K143" s="106"/>
      <x:c r="L143" s="106"/>
      <x:c r="M143" s="107" t="str">
        <x:f>IF($A143="","",IF(AND($H143="是",$I143="否",$J143="否"),"是","否"))</x:f>
      </x:c>
      <x:c r="N143" s="107" t="str">
        <x:f>IF(OR($C143="",$G143=""),"",$C143&amp;"|"&amp;$G143)</x:f>
      </x:c>
    </x:row>
    <x:row r="144">
      <x:c r="A144" s="106"/>
      <x:c r="B144" s="108"/>
      <x:c r="C144" s="106"/>
      <x:c r="D144" s="107" t="str">
        <x:f>IF($C144="","",_xlfn.XLOOKUP($C144,'試行員工主檔'!$A$7:$A$20,'試行員工主檔'!$B$7:$B$20,"員工未建立",0))</x:f>
      </x:c>
      <x:c r="E144" s="106"/>
      <x:c r="F144" s="106"/>
      <x:c r="G144" s="106"/>
      <x:c r="H144" s="106"/>
      <x:c r="I144" s="106"/>
      <x:c r="J144" s="106"/>
      <x:c r="K144" s="106"/>
      <x:c r="L144" s="106"/>
      <x:c r="M144" s="107" t="str">
        <x:f>IF($A144="","",IF(AND($H144="是",$I144="否",$J144="否"),"是","否"))</x:f>
      </x:c>
      <x:c r="N144" s="107" t="str">
        <x:f>IF(OR($C144="",$G144=""),"",$C144&amp;"|"&amp;$G144)</x:f>
      </x:c>
    </x:row>
    <x:row r="145">
      <x:c r="A145" s="106"/>
      <x:c r="B145" s="108"/>
      <x:c r="C145" s="106"/>
      <x:c r="D145" s="107" t="str">
        <x:f>IF($C145="","",_xlfn.XLOOKUP($C145,'試行員工主檔'!$A$7:$A$20,'試行員工主檔'!$B$7:$B$20,"員工未建立",0))</x:f>
      </x:c>
      <x:c r="E145" s="106"/>
      <x:c r="F145" s="106"/>
      <x:c r="G145" s="106"/>
      <x:c r="H145" s="106"/>
      <x:c r="I145" s="106"/>
      <x:c r="J145" s="106"/>
      <x:c r="K145" s="106"/>
      <x:c r="L145" s="106"/>
      <x:c r="M145" s="107" t="str">
        <x:f>IF($A145="","",IF(AND($H145="是",$I145="否",$J145="否"),"是","否"))</x:f>
      </x:c>
      <x:c r="N145" s="107" t="str">
        <x:f>IF(OR($C145="",$G145=""),"",$C145&amp;"|"&amp;$G145)</x:f>
      </x:c>
    </x:row>
    <x:row r="146">
      <x:c r="A146" s="106"/>
      <x:c r="B146" s="108"/>
      <x:c r="C146" s="106"/>
      <x:c r="D146" s="107" t="str">
        <x:f>IF($C146="","",_xlfn.XLOOKUP($C146,'試行員工主檔'!$A$7:$A$20,'試行員工主檔'!$B$7:$B$20,"員工未建立",0))</x:f>
      </x:c>
      <x:c r="E146" s="106"/>
      <x:c r="F146" s="106"/>
      <x:c r="G146" s="106"/>
      <x:c r="H146" s="106"/>
      <x:c r="I146" s="106"/>
      <x:c r="J146" s="106"/>
      <x:c r="K146" s="106"/>
      <x:c r="L146" s="106"/>
      <x:c r="M146" s="107" t="str">
        <x:f>IF($A146="","",IF(AND($H146="是",$I146="否",$J146="否"),"是","否"))</x:f>
      </x:c>
      <x:c r="N146" s="107" t="str">
        <x:f>IF(OR($C146="",$G146=""),"",$C146&amp;"|"&amp;$G146)</x:f>
      </x:c>
    </x:row>
    <x:row r="147">
      <x:c r="A147" s="106"/>
      <x:c r="B147" s="108"/>
      <x:c r="C147" s="106"/>
      <x:c r="D147" s="107" t="str">
        <x:f>IF($C147="","",_xlfn.XLOOKUP($C147,'試行員工主檔'!$A$7:$A$20,'試行員工主檔'!$B$7:$B$20,"員工未建立",0))</x:f>
      </x:c>
      <x:c r="E147" s="106"/>
      <x:c r="F147" s="106"/>
      <x:c r="G147" s="106"/>
      <x:c r="H147" s="106"/>
      <x:c r="I147" s="106"/>
      <x:c r="J147" s="106"/>
      <x:c r="K147" s="106"/>
      <x:c r="L147" s="106"/>
      <x:c r="M147" s="107" t="str">
        <x:f>IF($A147="","",IF(AND($H147="是",$I147="否",$J147="否"),"是","否"))</x:f>
      </x:c>
      <x:c r="N147" s="107" t="str">
        <x:f>IF(OR($C147="",$G147=""),"",$C147&amp;"|"&amp;$G147)</x:f>
      </x:c>
    </x:row>
    <x:row r="148">
      <x:c r="A148" s="106"/>
      <x:c r="B148" s="108"/>
      <x:c r="C148" s="106"/>
      <x:c r="D148" s="107" t="str">
        <x:f>IF($C148="","",_xlfn.XLOOKUP($C148,'試行員工主檔'!$A$7:$A$20,'試行員工主檔'!$B$7:$B$20,"員工未建立",0))</x:f>
      </x:c>
      <x:c r="E148" s="106"/>
      <x:c r="F148" s="106"/>
      <x:c r="G148" s="106"/>
      <x:c r="H148" s="106"/>
      <x:c r="I148" s="106"/>
      <x:c r="J148" s="106"/>
      <x:c r="K148" s="106"/>
      <x:c r="L148" s="106"/>
      <x:c r="M148" s="107" t="str">
        <x:f>IF($A148="","",IF(AND($H148="是",$I148="否",$J148="否"),"是","否"))</x:f>
      </x:c>
      <x:c r="N148" s="107" t="str">
        <x:f>IF(OR($C148="",$G148=""),"",$C148&amp;"|"&amp;$G148)</x:f>
      </x:c>
    </x:row>
    <x:row r="149">
      <x:c r="A149" s="106"/>
      <x:c r="B149" s="108"/>
      <x:c r="C149" s="106"/>
      <x:c r="D149" s="107" t="str">
        <x:f>IF($C149="","",_xlfn.XLOOKUP($C149,'試行員工主檔'!$A$7:$A$20,'試行員工主檔'!$B$7:$B$20,"員工未建立",0))</x:f>
      </x:c>
      <x:c r="E149" s="106"/>
      <x:c r="F149" s="106"/>
      <x:c r="G149" s="106"/>
      <x:c r="H149" s="106"/>
      <x:c r="I149" s="106"/>
      <x:c r="J149" s="106"/>
      <x:c r="K149" s="106"/>
      <x:c r="L149" s="106"/>
      <x:c r="M149" s="107" t="str">
        <x:f>IF($A149="","",IF(AND($H149="是",$I149="否",$J149="否"),"是","否"))</x:f>
      </x:c>
      <x:c r="N149" s="107" t="str">
        <x:f>IF(OR($C149="",$G149=""),"",$C149&amp;"|"&amp;$G149)</x:f>
      </x:c>
    </x:row>
    <x:row r="150">
      <x:c r="A150" s="106"/>
      <x:c r="B150" s="108"/>
      <x:c r="C150" s="106"/>
      <x:c r="D150" s="107" t="str">
        <x:f>IF($C150="","",_xlfn.XLOOKUP($C150,'試行員工主檔'!$A$7:$A$20,'試行員工主檔'!$B$7:$B$20,"員工未建立",0))</x:f>
      </x:c>
      <x:c r="E150" s="106"/>
      <x:c r="F150" s="106"/>
      <x:c r="G150" s="106"/>
      <x:c r="H150" s="106"/>
      <x:c r="I150" s="106"/>
      <x:c r="J150" s="106"/>
      <x:c r="K150" s="106"/>
      <x:c r="L150" s="106"/>
      <x:c r="M150" s="107" t="str">
        <x:f>IF($A150="","",IF(AND($H150="是",$I150="否",$J150="否"),"是","否"))</x:f>
      </x:c>
      <x:c r="N150" s="107" t="str">
        <x:f>IF(OR($C150="",$G150=""),"",$C150&amp;"|"&amp;$G150)</x:f>
      </x:c>
    </x:row>
    <x:row r="151">
      <x:c r="A151" s="106"/>
      <x:c r="B151" s="108"/>
      <x:c r="C151" s="106"/>
      <x:c r="D151" s="107" t="str">
        <x:f>IF($C151="","",_xlfn.XLOOKUP($C151,'試行員工主檔'!$A$7:$A$20,'試行員工主檔'!$B$7:$B$20,"員工未建立",0))</x:f>
      </x:c>
      <x:c r="E151" s="106"/>
      <x:c r="F151" s="106"/>
      <x:c r="G151" s="106"/>
      <x:c r="H151" s="106"/>
      <x:c r="I151" s="106"/>
      <x:c r="J151" s="106"/>
      <x:c r="K151" s="106"/>
      <x:c r="L151" s="106"/>
      <x:c r="M151" s="107" t="str">
        <x:f>IF($A151="","",IF(AND($H151="是",$I151="否",$J151="否"),"是","否"))</x:f>
      </x:c>
      <x:c r="N151" s="107" t="str">
        <x:f>IF(OR($C151="",$G151=""),"",$C151&amp;"|"&amp;$G151)</x:f>
      </x:c>
    </x:row>
    <x:row r="152">
      <x:c r="A152" s="106"/>
      <x:c r="B152" s="108"/>
      <x:c r="C152" s="106"/>
      <x:c r="D152" s="107" t="str">
        <x:f>IF($C152="","",_xlfn.XLOOKUP($C152,'試行員工主檔'!$A$7:$A$20,'試行員工主檔'!$B$7:$B$20,"員工未建立",0))</x:f>
      </x:c>
      <x:c r="E152" s="106"/>
      <x:c r="F152" s="106"/>
      <x:c r="G152" s="106"/>
      <x:c r="H152" s="106"/>
      <x:c r="I152" s="106"/>
      <x:c r="J152" s="106"/>
      <x:c r="K152" s="106"/>
      <x:c r="L152" s="106"/>
      <x:c r="M152" s="107" t="str">
        <x:f>IF($A152="","",IF(AND($H152="是",$I152="否",$J152="否"),"是","否"))</x:f>
      </x:c>
      <x:c r="N152" s="107" t="str">
        <x:f>IF(OR($C152="",$G152=""),"",$C152&amp;"|"&amp;$G152)</x:f>
      </x:c>
    </x:row>
    <x:row r="153">
      <x:c r="A153" s="106"/>
      <x:c r="B153" s="108"/>
      <x:c r="C153" s="106"/>
      <x:c r="D153" s="107" t="str">
        <x:f>IF($C153="","",_xlfn.XLOOKUP($C153,'試行員工主檔'!$A$7:$A$20,'試行員工主檔'!$B$7:$B$20,"員工未建立",0))</x:f>
      </x:c>
      <x:c r="E153" s="106"/>
      <x:c r="F153" s="106"/>
      <x:c r="G153" s="106"/>
      <x:c r="H153" s="106"/>
      <x:c r="I153" s="106"/>
      <x:c r="J153" s="106"/>
      <x:c r="K153" s="106"/>
      <x:c r="L153" s="106"/>
      <x:c r="M153" s="107" t="str">
        <x:f>IF($A153="","",IF(AND($H153="是",$I153="否",$J153="否"),"是","否"))</x:f>
      </x:c>
      <x:c r="N153" s="107" t="str">
        <x:f>IF(OR($C153="",$G153=""),"",$C153&amp;"|"&amp;$G153)</x:f>
      </x:c>
    </x:row>
    <x:row r="154">
      <x:c r="A154" s="106"/>
      <x:c r="B154" s="108"/>
      <x:c r="C154" s="106"/>
      <x:c r="D154" s="107" t="str">
        <x:f>IF($C154="","",_xlfn.XLOOKUP($C154,'試行員工主檔'!$A$7:$A$20,'試行員工主檔'!$B$7:$B$20,"員工未建立",0))</x:f>
      </x:c>
      <x:c r="E154" s="106"/>
      <x:c r="F154" s="106"/>
      <x:c r="G154" s="106"/>
      <x:c r="H154" s="106"/>
      <x:c r="I154" s="106"/>
      <x:c r="J154" s="106"/>
      <x:c r="K154" s="106"/>
      <x:c r="L154" s="106"/>
      <x:c r="M154" s="107" t="str">
        <x:f>IF($A154="","",IF(AND($H154="是",$I154="否",$J154="否"),"是","否"))</x:f>
      </x:c>
      <x:c r="N154" s="107" t="str">
        <x:f>IF(OR($C154="",$G154=""),"",$C154&amp;"|"&amp;$G154)</x:f>
      </x:c>
    </x:row>
    <x:row r="155">
      <x:c r="A155" s="106"/>
      <x:c r="B155" s="108"/>
      <x:c r="C155" s="106"/>
      <x:c r="D155" s="107" t="str">
        <x:f>IF($C155="","",_xlfn.XLOOKUP($C155,'試行員工主檔'!$A$7:$A$20,'試行員工主檔'!$B$7:$B$20,"員工未建立",0))</x:f>
      </x:c>
      <x:c r="E155" s="106"/>
      <x:c r="F155" s="106"/>
      <x:c r="G155" s="106"/>
      <x:c r="H155" s="106"/>
      <x:c r="I155" s="106"/>
      <x:c r="J155" s="106"/>
      <x:c r="K155" s="106"/>
      <x:c r="L155" s="106"/>
      <x:c r="M155" s="107" t="str">
        <x:f>IF($A155="","",IF(AND($H155="是",$I155="否",$J155="否"),"是","否"))</x:f>
      </x:c>
      <x:c r="N155" s="107" t="str">
        <x:f>IF(OR($C155="",$G155=""),"",$C155&amp;"|"&amp;$G155)</x:f>
      </x:c>
    </x:row>
    <x:row r="156">
      <x:c r="A156" s="106"/>
      <x:c r="B156" s="108"/>
      <x:c r="C156" s="106"/>
      <x:c r="D156" s="107" t="str">
        <x:f>IF($C156="","",_xlfn.XLOOKUP($C156,'試行員工主檔'!$A$7:$A$20,'試行員工主檔'!$B$7:$B$20,"員工未建立",0))</x:f>
      </x:c>
      <x:c r="E156" s="106"/>
      <x:c r="F156" s="106"/>
      <x:c r="G156" s="106"/>
      <x:c r="H156" s="106"/>
      <x:c r="I156" s="106"/>
      <x:c r="J156" s="106"/>
      <x:c r="K156" s="106"/>
      <x:c r="L156" s="106"/>
      <x:c r="M156" s="107" t="str">
        <x:f>IF($A156="","",IF(AND($H156="是",$I156="否",$J156="否"),"是","否"))</x:f>
      </x:c>
      <x:c r="N156" s="107" t="str">
        <x:f>IF(OR($C156="",$G156=""),"",$C156&amp;"|"&amp;$G156)</x:f>
      </x:c>
    </x:row>
    <x:row r="157">
      <x:c r="A157" s="106"/>
      <x:c r="B157" s="108"/>
      <x:c r="C157" s="106"/>
      <x:c r="D157" s="107" t="str">
        <x:f>IF($C157="","",_xlfn.XLOOKUP($C157,'試行員工主檔'!$A$7:$A$20,'試行員工主檔'!$B$7:$B$20,"員工未建立",0))</x:f>
      </x:c>
      <x:c r="E157" s="106"/>
      <x:c r="F157" s="106"/>
      <x:c r="G157" s="106"/>
      <x:c r="H157" s="106"/>
      <x:c r="I157" s="106"/>
      <x:c r="J157" s="106"/>
      <x:c r="K157" s="106"/>
      <x:c r="L157" s="106"/>
      <x:c r="M157" s="107" t="str">
        <x:f>IF($A157="","",IF(AND($H157="是",$I157="否",$J157="否"),"是","否"))</x:f>
      </x:c>
      <x:c r="N157" s="107" t="str">
        <x:f>IF(OR($C157="",$G157=""),"",$C157&amp;"|"&amp;$G157)</x:f>
      </x:c>
    </x:row>
    <x:row r="158">
      <x:c r="A158" s="106"/>
      <x:c r="B158" s="108"/>
      <x:c r="C158" s="106"/>
      <x:c r="D158" s="107" t="str">
        <x:f>IF($C158="","",_xlfn.XLOOKUP($C158,'試行員工主檔'!$A$7:$A$20,'試行員工主檔'!$B$7:$B$20,"員工未建立",0))</x:f>
      </x:c>
      <x:c r="E158" s="106"/>
      <x:c r="F158" s="106"/>
      <x:c r="G158" s="106"/>
      <x:c r="H158" s="106"/>
      <x:c r="I158" s="106"/>
      <x:c r="J158" s="106"/>
      <x:c r="K158" s="106"/>
      <x:c r="L158" s="106"/>
      <x:c r="M158" s="107" t="str">
        <x:f>IF($A158="","",IF(AND($H158="是",$I158="否",$J158="否"),"是","否"))</x:f>
      </x:c>
      <x:c r="N158" s="107" t="str">
        <x:f>IF(OR($C158="",$G158=""),"",$C158&amp;"|"&amp;$G158)</x:f>
      </x:c>
    </x:row>
    <x:row r="159">
      <x:c r="A159" s="106"/>
      <x:c r="B159" s="108"/>
      <x:c r="C159" s="106"/>
      <x:c r="D159" s="107" t="str">
        <x:f>IF($C159="","",_xlfn.XLOOKUP($C159,'試行員工主檔'!$A$7:$A$20,'試行員工主檔'!$B$7:$B$20,"員工未建立",0))</x:f>
      </x:c>
      <x:c r="E159" s="106"/>
      <x:c r="F159" s="106"/>
      <x:c r="G159" s="106"/>
      <x:c r="H159" s="106"/>
      <x:c r="I159" s="106"/>
      <x:c r="J159" s="106"/>
      <x:c r="K159" s="106"/>
      <x:c r="L159" s="106"/>
      <x:c r="M159" s="107" t="str">
        <x:f>IF($A159="","",IF(AND($H159="是",$I159="否",$J159="否"),"是","否"))</x:f>
      </x:c>
      <x:c r="N159" s="107" t="str">
        <x:f>IF(OR($C159="",$G159=""),"",$C159&amp;"|"&amp;$G159)</x:f>
      </x:c>
    </x:row>
    <x:row r="160">
      <x:c r="A160" s="106"/>
      <x:c r="B160" s="108"/>
      <x:c r="C160" s="106"/>
      <x:c r="D160" s="107" t="str">
        <x:f>IF($C160="","",_xlfn.XLOOKUP($C160,'試行員工主檔'!$A$7:$A$20,'試行員工主檔'!$B$7:$B$20,"員工未建立",0))</x:f>
      </x:c>
      <x:c r="E160" s="106"/>
      <x:c r="F160" s="106"/>
      <x:c r="G160" s="106"/>
      <x:c r="H160" s="106"/>
      <x:c r="I160" s="106"/>
      <x:c r="J160" s="106"/>
      <x:c r="K160" s="106"/>
      <x:c r="L160" s="106"/>
      <x:c r="M160" s="107" t="str">
        <x:f>IF($A160="","",IF(AND($H160="是",$I160="否",$J160="否"),"是","否"))</x:f>
      </x:c>
      <x:c r="N160" s="107" t="str">
        <x:f>IF(OR($C160="",$G160=""),"",$C160&amp;"|"&amp;$G160)</x:f>
      </x:c>
    </x:row>
    <x:row r="161">
      <x:c r="A161" s="106"/>
      <x:c r="B161" s="108"/>
      <x:c r="C161" s="106"/>
      <x:c r="D161" s="107" t="str">
        <x:f>IF($C161="","",_xlfn.XLOOKUP($C161,'試行員工主檔'!$A$7:$A$20,'試行員工主檔'!$B$7:$B$20,"員工未建立",0))</x:f>
      </x:c>
      <x:c r="E161" s="106"/>
      <x:c r="F161" s="106"/>
      <x:c r="G161" s="106"/>
      <x:c r="H161" s="106"/>
      <x:c r="I161" s="106"/>
      <x:c r="J161" s="106"/>
      <x:c r="K161" s="106"/>
      <x:c r="L161" s="106"/>
      <x:c r="M161" s="107" t="str">
        <x:f>IF($A161="","",IF(AND($H161="是",$I161="否",$J161="否"),"是","否"))</x:f>
      </x:c>
      <x:c r="N161" s="107" t="str">
        <x:f>IF(OR($C161="",$G161=""),"",$C161&amp;"|"&amp;$G161)</x:f>
      </x:c>
    </x:row>
    <x:row r="162">
      <x:c r="A162" s="106"/>
      <x:c r="B162" s="108"/>
      <x:c r="C162" s="106"/>
      <x:c r="D162" s="107" t="str">
        <x:f>IF($C162="","",_xlfn.XLOOKUP($C162,'試行員工主檔'!$A$7:$A$20,'試行員工主檔'!$B$7:$B$20,"員工未建立",0))</x:f>
      </x:c>
      <x:c r="E162" s="106"/>
      <x:c r="F162" s="106"/>
      <x:c r="G162" s="106"/>
      <x:c r="H162" s="106"/>
      <x:c r="I162" s="106"/>
      <x:c r="J162" s="106"/>
      <x:c r="K162" s="106"/>
      <x:c r="L162" s="106"/>
      <x:c r="M162" s="107" t="str">
        <x:f>IF($A162="","",IF(AND($H162="是",$I162="否",$J162="否"),"是","否"))</x:f>
      </x:c>
      <x:c r="N162" s="107" t="str">
        <x:f>IF(OR($C162="",$G162=""),"",$C162&amp;"|"&amp;$G162)</x:f>
      </x:c>
    </x:row>
    <x:row r="163">
      <x:c r="A163" s="106"/>
      <x:c r="B163" s="108"/>
      <x:c r="C163" s="106"/>
      <x:c r="D163" s="107" t="str">
        <x:f>IF($C163="","",_xlfn.XLOOKUP($C163,'試行員工主檔'!$A$7:$A$20,'試行員工主檔'!$B$7:$B$20,"員工未建立",0))</x:f>
      </x:c>
      <x:c r="E163" s="106"/>
      <x:c r="F163" s="106"/>
      <x:c r="G163" s="106"/>
      <x:c r="H163" s="106"/>
      <x:c r="I163" s="106"/>
      <x:c r="J163" s="106"/>
      <x:c r="K163" s="106"/>
      <x:c r="L163" s="106"/>
      <x:c r="M163" s="107" t="str">
        <x:f>IF($A163="","",IF(AND($H163="是",$I163="否",$J163="否"),"是","否"))</x:f>
      </x:c>
      <x:c r="N163" s="107" t="str">
        <x:f>IF(OR($C163="",$G163=""),"",$C163&amp;"|"&amp;$G163)</x:f>
      </x:c>
    </x:row>
    <x:row r="164">
      <x:c r="A164" s="106"/>
      <x:c r="B164" s="108"/>
      <x:c r="C164" s="106"/>
      <x:c r="D164" s="107" t="str">
        <x:f>IF($C164="","",_xlfn.XLOOKUP($C164,'試行員工主檔'!$A$7:$A$20,'試行員工主檔'!$B$7:$B$20,"員工未建立",0))</x:f>
      </x:c>
      <x:c r="E164" s="106"/>
      <x:c r="F164" s="106"/>
      <x:c r="G164" s="106"/>
      <x:c r="H164" s="106"/>
      <x:c r="I164" s="106"/>
      <x:c r="J164" s="106"/>
      <x:c r="K164" s="106"/>
      <x:c r="L164" s="106"/>
      <x:c r="M164" s="107" t="str">
        <x:f>IF($A164="","",IF(AND($H164="是",$I164="否",$J164="否"),"是","否"))</x:f>
      </x:c>
      <x:c r="N164" s="107" t="str">
        <x:f>IF(OR($C164="",$G164=""),"",$C164&amp;"|"&amp;$G164)</x:f>
      </x:c>
    </x:row>
    <x:row r="165">
      <x:c r="A165" s="106"/>
      <x:c r="B165" s="108"/>
      <x:c r="C165" s="106"/>
      <x:c r="D165" s="107" t="str">
        <x:f>IF($C165="","",_xlfn.XLOOKUP($C165,'試行員工主檔'!$A$7:$A$20,'試行員工主檔'!$B$7:$B$20,"員工未建立",0))</x:f>
      </x:c>
      <x:c r="E165" s="106"/>
      <x:c r="F165" s="106"/>
      <x:c r="G165" s="106"/>
      <x:c r="H165" s="106"/>
      <x:c r="I165" s="106"/>
      <x:c r="J165" s="106"/>
      <x:c r="K165" s="106"/>
      <x:c r="L165" s="106"/>
      <x:c r="M165" s="107" t="str">
        <x:f>IF($A165="","",IF(AND($H165="是",$I165="否",$J165="否"),"是","否"))</x:f>
      </x:c>
      <x:c r="N165" s="107" t="str">
        <x:f>IF(OR($C165="",$G165=""),"",$C165&amp;"|"&amp;$G165)</x:f>
      </x:c>
    </x:row>
    <x:row r="166">
      <x:c r="A166" s="106"/>
      <x:c r="B166" s="108"/>
      <x:c r="C166" s="106"/>
      <x:c r="D166" s="107" t="str">
        <x:f>IF($C166="","",_xlfn.XLOOKUP($C166,'試行員工主檔'!$A$7:$A$20,'試行員工主檔'!$B$7:$B$20,"員工未建立",0))</x:f>
      </x:c>
      <x:c r="E166" s="106"/>
      <x:c r="F166" s="106"/>
      <x:c r="G166" s="106"/>
      <x:c r="H166" s="106"/>
      <x:c r="I166" s="106"/>
      <x:c r="J166" s="106"/>
      <x:c r="K166" s="106"/>
      <x:c r="L166" s="106"/>
      <x:c r="M166" s="107" t="str">
        <x:f>IF($A166="","",IF(AND($H166="是",$I166="否",$J166="否"),"是","否"))</x:f>
      </x:c>
      <x:c r="N166" s="107" t="str">
        <x:f>IF(OR($C166="",$G166=""),"",$C166&amp;"|"&amp;$G166)</x:f>
      </x:c>
    </x:row>
    <x:row r="167">
      <x:c r="A167" s="106"/>
      <x:c r="B167" s="108"/>
      <x:c r="C167" s="106"/>
      <x:c r="D167" s="107" t="str">
        <x:f>IF($C167="","",_xlfn.XLOOKUP($C167,'試行員工主檔'!$A$7:$A$20,'試行員工主檔'!$B$7:$B$20,"員工未建立",0))</x:f>
      </x:c>
      <x:c r="E167" s="106"/>
      <x:c r="F167" s="106"/>
      <x:c r="G167" s="106"/>
      <x:c r="H167" s="106"/>
      <x:c r="I167" s="106"/>
      <x:c r="J167" s="106"/>
      <x:c r="K167" s="106"/>
      <x:c r="L167" s="106"/>
      <x:c r="M167" s="107" t="str">
        <x:f>IF($A167="","",IF(AND($H167="是",$I167="否",$J167="否"),"是","否"))</x:f>
      </x:c>
      <x:c r="N167" s="107" t="str">
        <x:f>IF(OR($C167="",$G167=""),"",$C167&amp;"|"&amp;$G167)</x:f>
      </x:c>
    </x:row>
    <x:row r="168">
      <x:c r="A168" s="106"/>
      <x:c r="B168" s="108"/>
      <x:c r="C168" s="106"/>
      <x:c r="D168" s="107" t="str">
        <x:f>IF($C168="","",_xlfn.XLOOKUP($C168,'試行員工主檔'!$A$7:$A$20,'試行員工主檔'!$B$7:$B$20,"員工未建立",0))</x:f>
      </x:c>
      <x:c r="E168" s="106"/>
      <x:c r="F168" s="106"/>
      <x:c r="G168" s="106"/>
      <x:c r="H168" s="106"/>
      <x:c r="I168" s="106"/>
      <x:c r="J168" s="106"/>
      <x:c r="K168" s="106"/>
      <x:c r="L168" s="106"/>
      <x:c r="M168" s="107" t="str">
        <x:f>IF($A168="","",IF(AND($H168="是",$I168="否",$J168="否"),"是","否"))</x:f>
      </x:c>
      <x:c r="N168" s="107" t="str">
        <x:f>IF(OR($C168="",$G168=""),"",$C168&amp;"|"&amp;$G168)</x:f>
      </x:c>
    </x:row>
    <x:row r="169">
      <x:c r="A169" s="106"/>
      <x:c r="B169" s="108"/>
      <x:c r="C169" s="106"/>
      <x:c r="D169" s="107" t="str">
        <x:f>IF($C169="","",_xlfn.XLOOKUP($C169,'試行員工主檔'!$A$7:$A$20,'試行員工主檔'!$B$7:$B$20,"員工未建立",0))</x:f>
      </x:c>
      <x:c r="E169" s="106"/>
      <x:c r="F169" s="106"/>
      <x:c r="G169" s="106"/>
      <x:c r="H169" s="106"/>
      <x:c r="I169" s="106"/>
      <x:c r="J169" s="106"/>
      <x:c r="K169" s="106"/>
      <x:c r="L169" s="106"/>
      <x:c r="M169" s="107" t="str">
        <x:f>IF($A169="","",IF(AND($H169="是",$I169="否",$J169="否"),"是","否"))</x:f>
      </x:c>
      <x:c r="N169" s="107" t="str">
        <x:f>IF(OR($C169="",$G169=""),"",$C169&amp;"|"&amp;$G169)</x:f>
      </x:c>
    </x:row>
    <x:row r="170">
      <x:c r="A170" s="106"/>
      <x:c r="B170" s="108"/>
      <x:c r="C170" s="106"/>
      <x:c r="D170" s="107" t="str">
        <x:f>IF($C170="","",_xlfn.XLOOKUP($C170,'試行員工主檔'!$A$7:$A$20,'試行員工主檔'!$B$7:$B$20,"員工未建立",0))</x:f>
      </x:c>
      <x:c r="E170" s="106"/>
      <x:c r="F170" s="106"/>
      <x:c r="G170" s="106"/>
      <x:c r="H170" s="106"/>
      <x:c r="I170" s="106"/>
      <x:c r="J170" s="106"/>
      <x:c r="K170" s="106"/>
      <x:c r="L170" s="106"/>
      <x:c r="M170" s="107" t="str">
        <x:f>IF($A170="","",IF(AND($H170="是",$I170="否",$J170="否"),"是","否"))</x:f>
      </x:c>
      <x:c r="N170" s="107" t="str">
        <x:f>IF(OR($C170="",$G170=""),"",$C170&amp;"|"&amp;$G170)</x:f>
      </x:c>
    </x:row>
    <x:row r="171">
      <x:c r="A171" s="106"/>
      <x:c r="B171" s="108"/>
      <x:c r="C171" s="106"/>
      <x:c r="D171" s="107" t="str">
        <x:f>IF($C171="","",_xlfn.XLOOKUP($C171,'試行員工主檔'!$A$7:$A$20,'試行員工主檔'!$B$7:$B$20,"員工未建立",0))</x:f>
      </x:c>
      <x:c r="E171" s="106"/>
      <x:c r="F171" s="106"/>
      <x:c r="G171" s="106"/>
      <x:c r="H171" s="106"/>
      <x:c r="I171" s="106"/>
      <x:c r="J171" s="106"/>
      <x:c r="K171" s="106"/>
      <x:c r="L171" s="106"/>
      <x:c r="M171" s="107" t="str">
        <x:f>IF($A171="","",IF(AND($H171="是",$I171="否",$J171="否"),"是","否"))</x:f>
      </x:c>
      <x:c r="N171" s="107" t="str">
        <x:f>IF(OR($C171="",$G171=""),"",$C171&amp;"|"&amp;$G171)</x:f>
      </x:c>
    </x:row>
    <x:row r="172">
      <x:c r="A172" s="106"/>
      <x:c r="B172" s="108"/>
      <x:c r="C172" s="106"/>
      <x:c r="D172" s="107" t="str">
        <x:f>IF($C172="","",_xlfn.XLOOKUP($C172,'試行員工主檔'!$A$7:$A$20,'試行員工主檔'!$B$7:$B$20,"員工未建立",0))</x:f>
      </x:c>
      <x:c r="E172" s="106"/>
      <x:c r="F172" s="106"/>
      <x:c r="G172" s="106"/>
      <x:c r="H172" s="106"/>
      <x:c r="I172" s="106"/>
      <x:c r="J172" s="106"/>
      <x:c r="K172" s="106"/>
      <x:c r="L172" s="106"/>
      <x:c r="M172" s="107" t="str">
        <x:f>IF($A172="","",IF(AND($H172="是",$I172="否",$J172="否"),"是","否"))</x:f>
      </x:c>
      <x:c r="N172" s="107" t="str">
        <x:f>IF(OR($C172="",$G172=""),"",$C172&amp;"|"&amp;$G172)</x:f>
      </x:c>
    </x:row>
    <x:row r="173">
      <x:c r="A173" s="106"/>
      <x:c r="B173" s="108"/>
      <x:c r="C173" s="106"/>
      <x:c r="D173" s="107" t="str">
        <x:f>IF($C173="","",_xlfn.XLOOKUP($C173,'試行員工主檔'!$A$7:$A$20,'試行員工主檔'!$B$7:$B$20,"員工未建立",0))</x:f>
      </x:c>
      <x:c r="E173" s="106"/>
      <x:c r="F173" s="106"/>
      <x:c r="G173" s="106"/>
      <x:c r="H173" s="106"/>
      <x:c r="I173" s="106"/>
      <x:c r="J173" s="106"/>
      <x:c r="K173" s="106"/>
      <x:c r="L173" s="106"/>
      <x:c r="M173" s="107" t="str">
        <x:f>IF($A173="","",IF(AND($H173="是",$I173="否",$J173="否"),"是","否"))</x:f>
      </x:c>
      <x:c r="N173" s="107" t="str">
        <x:f>IF(OR($C173="",$G173=""),"",$C173&amp;"|"&amp;$G173)</x:f>
      </x:c>
    </x:row>
    <x:row r="174">
      <x:c r="A174" s="106"/>
      <x:c r="B174" s="108"/>
      <x:c r="C174" s="106"/>
      <x:c r="D174" s="107" t="str">
        <x:f>IF($C174="","",_xlfn.XLOOKUP($C174,'試行員工主檔'!$A$7:$A$20,'試行員工主檔'!$B$7:$B$20,"員工未建立",0))</x:f>
      </x:c>
      <x:c r="E174" s="106"/>
      <x:c r="F174" s="106"/>
      <x:c r="G174" s="106"/>
      <x:c r="H174" s="106"/>
      <x:c r="I174" s="106"/>
      <x:c r="J174" s="106"/>
      <x:c r="K174" s="106"/>
      <x:c r="L174" s="106"/>
      <x:c r="M174" s="107" t="str">
        <x:f>IF($A174="","",IF(AND($H174="是",$I174="否",$J174="否"),"是","否"))</x:f>
      </x:c>
      <x:c r="N174" s="107" t="str">
        <x:f>IF(OR($C174="",$G174=""),"",$C174&amp;"|"&amp;$G174)</x:f>
      </x:c>
    </x:row>
    <x:row r="175">
      <x:c r="A175" s="106"/>
      <x:c r="B175" s="108"/>
      <x:c r="C175" s="106"/>
      <x:c r="D175" s="107" t="str">
        <x:f>IF($C175="","",_xlfn.XLOOKUP($C175,'試行員工主檔'!$A$7:$A$20,'試行員工主檔'!$B$7:$B$20,"員工未建立",0))</x:f>
      </x:c>
      <x:c r="E175" s="106"/>
      <x:c r="F175" s="106"/>
      <x:c r="G175" s="106"/>
      <x:c r="H175" s="106"/>
      <x:c r="I175" s="106"/>
      <x:c r="J175" s="106"/>
      <x:c r="K175" s="106"/>
      <x:c r="L175" s="106"/>
      <x:c r="M175" s="107" t="str">
        <x:f>IF($A175="","",IF(AND($H175="是",$I175="否",$J175="否"),"是","否"))</x:f>
      </x:c>
      <x:c r="N175" s="107" t="str">
        <x:f>IF(OR($C175="",$G175=""),"",$C175&amp;"|"&amp;$G175)</x:f>
      </x:c>
    </x:row>
    <x:row r="176">
      <x:c r="A176" s="106"/>
      <x:c r="B176" s="108"/>
      <x:c r="C176" s="106"/>
      <x:c r="D176" s="107" t="str">
        <x:f>IF($C176="","",_xlfn.XLOOKUP($C176,'試行員工主檔'!$A$7:$A$20,'試行員工主檔'!$B$7:$B$20,"員工未建立",0))</x:f>
      </x:c>
      <x:c r="E176" s="106"/>
      <x:c r="F176" s="106"/>
      <x:c r="G176" s="106"/>
      <x:c r="H176" s="106"/>
      <x:c r="I176" s="106"/>
      <x:c r="J176" s="106"/>
      <x:c r="K176" s="106"/>
      <x:c r="L176" s="106"/>
      <x:c r="M176" s="107" t="str">
        <x:f>IF($A176="","",IF(AND($H176="是",$I176="否",$J176="否"),"是","否"))</x:f>
      </x:c>
      <x:c r="N176" s="107" t="str">
        <x:f>IF(OR($C176="",$G176=""),"",$C176&amp;"|"&amp;$G176)</x:f>
      </x:c>
    </x:row>
    <x:row r="177">
      <x:c r="A177" s="106"/>
      <x:c r="B177" s="108"/>
      <x:c r="C177" s="106"/>
      <x:c r="D177" s="107" t="str">
        <x:f>IF($C177="","",_xlfn.XLOOKUP($C177,'試行員工主檔'!$A$7:$A$20,'試行員工主檔'!$B$7:$B$20,"員工未建立",0))</x:f>
      </x:c>
      <x:c r="E177" s="106"/>
      <x:c r="F177" s="106"/>
      <x:c r="G177" s="106"/>
      <x:c r="H177" s="106"/>
      <x:c r="I177" s="106"/>
      <x:c r="J177" s="106"/>
      <x:c r="K177" s="106"/>
      <x:c r="L177" s="106"/>
      <x:c r="M177" s="107" t="str">
        <x:f>IF($A177="","",IF(AND($H177="是",$I177="否",$J177="否"),"是","否"))</x:f>
      </x:c>
      <x:c r="N177" s="107" t="str">
        <x:f>IF(OR($C177="",$G177=""),"",$C177&amp;"|"&amp;$G177)</x:f>
      </x:c>
    </x:row>
    <x:row r="178">
      <x:c r="A178" s="106"/>
      <x:c r="B178" s="108"/>
      <x:c r="C178" s="106"/>
      <x:c r="D178" s="107" t="str">
        <x:f>IF($C178="","",_xlfn.XLOOKUP($C178,'試行員工主檔'!$A$7:$A$20,'試行員工主檔'!$B$7:$B$20,"員工未建立",0))</x:f>
      </x:c>
      <x:c r="E178" s="106"/>
      <x:c r="F178" s="106"/>
      <x:c r="G178" s="106"/>
      <x:c r="H178" s="106"/>
      <x:c r="I178" s="106"/>
      <x:c r="J178" s="106"/>
      <x:c r="K178" s="106"/>
      <x:c r="L178" s="106"/>
      <x:c r="M178" s="107" t="str">
        <x:f>IF($A178="","",IF(AND($H178="是",$I178="否",$J178="否"),"是","否"))</x:f>
      </x:c>
      <x:c r="N178" s="107" t="str">
        <x:f>IF(OR($C178="",$G178=""),"",$C178&amp;"|"&amp;$G178)</x:f>
      </x:c>
    </x:row>
    <x:row r="179">
      <x:c r="A179" s="106"/>
      <x:c r="B179" s="108"/>
      <x:c r="C179" s="106"/>
      <x:c r="D179" s="107" t="str">
        <x:f>IF($C179="","",_xlfn.XLOOKUP($C179,'試行員工主檔'!$A$7:$A$20,'試行員工主檔'!$B$7:$B$20,"員工未建立",0))</x:f>
      </x:c>
      <x:c r="E179" s="106"/>
      <x:c r="F179" s="106"/>
      <x:c r="G179" s="106"/>
      <x:c r="H179" s="106"/>
      <x:c r="I179" s="106"/>
      <x:c r="J179" s="106"/>
      <x:c r="K179" s="106"/>
      <x:c r="L179" s="106"/>
      <x:c r="M179" s="107" t="str">
        <x:f>IF($A179="","",IF(AND($H179="是",$I179="否",$J179="否"),"是","否"))</x:f>
      </x:c>
      <x:c r="N179" s="107" t="str">
        <x:f>IF(OR($C179="",$G179=""),"",$C179&amp;"|"&amp;$G179)</x:f>
      </x:c>
    </x:row>
    <x:row r="180">
      <x:c r="A180" s="106"/>
      <x:c r="B180" s="108"/>
      <x:c r="C180" s="106"/>
      <x:c r="D180" s="107" t="str">
        <x:f>IF($C180="","",_xlfn.XLOOKUP($C180,'試行員工主檔'!$A$7:$A$20,'試行員工主檔'!$B$7:$B$20,"員工未建立",0))</x:f>
      </x:c>
      <x:c r="E180" s="106"/>
      <x:c r="F180" s="106"/>
      <x:c r="G180" s="106"/>
      <x:c r="H180" s="106"/>
      <x:c r="I180" s="106"/>
      <x:c r="J180" s="106"/>
      <x:c r="K180" s="106"/>
      <x:c r="L180" s="106"/>
      <x:c r="M180" s="107" t="str">
        <x:f>IF($A180="","",IF(AND($H180="是",$I180="否",$J180="否"),"是","否"))</x:f>
      </x:c>
      <x:c r="N180" s="107" t="str">
        <x:f>IF(OR($C180="",$G180=""),"",$C180&amp;"|"&amp;$G180)</x:f>
      </x:c>
    </x:row>
    <x:row r="181">
      <x:c r="A181" s="106"/>
      <x:c r="B181" s="108"/>
      <x:c r="C181" s="106"/>
      <x:c r="D181" s="107" t="str">
        <x:f>IF($C181="","",_xlfn.XLOOKUP($C181,'試行員工主檔'!$A$7:$A$20,'試行員工主檔'!$B$7:$B$20,"員工未建立",0))</x:f>
      </x:c>
      <x:c r="E181" s="106"/>
      <x:c r="F181" s="106"/>
      <x:c r="G181" s="106"/>
      <x:c r="H181" s="106"/>
      <x:c r="I181" s="106"/>
      <x:c r="J181" s="106"/>
      <x:c r="K181" s="106"/>
      <x:c r="L181" s="106"/>
      <x:c r="M181" s="107" t="str">
        <x:f>IF($A181="","",IF(AND($H181="是",$I181="否",$J181="否"),"是","否"))</x:f>
      </x:c>
      <x:c r="N181" s="107" t="str">
        <x:f>IF(OR($C181="",$G181=""),"",$C181&amp;"|"&amp;$G181)</x:f>
      </x:c>
    </x:row>
    <x:row r="182">
      <x:c r="A182" s="106"/>
      <x:c r="B182" s="108"/>
      <x:c r="C182" s="106"/>
      <x:c r="D182" s="107" t="str">
        <x:f>IF($C182="","",_xlfn.XLOOKUP($C182,'試行員工主檔'!$A$7:$A$20,'試行員工主檔'!$B$7:$B$20,"員工未建立",0))</x:f>
      </x:c>
      <x:c r="E182" s="106"/>
      <x:c r="F182" s="106"/>
      <x:c r="G182" s="106"/>
      <x:c r="H182" s="106"/>
      <x:c r="I182" s="106"/>
      <x:c r="J182" s="106"/>
      <x:c r="K182" s="106"/>
      <x:c r="L182" s="106"/>
      <x:c r="M182" s="107" t="str">
        <x:f>IF($A182="","",IF(AND($H182="是",$I182="否",$J182="否"),"是","否"))</x:f>
      </x:c>
      <x:c r="N182" s="107" t="str">
        <x:f>IF(OR($C182="",$G182=""),"",$C182&amp;"|"&amp;$G182)</x:f>
      </x:c>
    </x:row>
    <x:row r="183">
      <x:c r="A183" s="106"/>
      <x:c r="B183" s="108"/>
      <x:c r="C183" s="106"/>
      <x:c r="D183" s="107" t="str">
        <x:f>IF($C183="","",_xlfn.XLOOKUP($C183,'試行員工主檔'!$A$7:$A$20,'試行員工主檔'!$B$7:$B$20,"員工未建立",0))</x:f>
      </x:c>
      <x:c r="E183" s="106"/>
      <x:c r="F183" s="106"/>
      <x:c r="G183" s="106"/>
      <x:c r="H183" s="106"/>
      <x:c r="I183" s="106"/>
      <x:c r="J183" s="106"/>
      <x:c r="K183" s="106"/>
      <x:c r="L183" s="106"/>
      <x:c r="M183" s="107" t="str">
        <x:f>IF($A183="","",IF(AND($H183="是",$I183="否",$J183="否"),"是","否"))</x:f>
      </x:c>
      <x:c r="N183" s="107" t="str">
        <x:f>IF(OR($C183="",$G183=""),"",$C183&amp;"|"&amp;$G183)</x:f>
      </x:c>
    </x:row>
    <x:row r="184">
      <x:c r="A184" s="106"/>
      <x:c r="B184" s="108"/>
      <x:c r="C184" s="106"/>
      <x:c r="D184" s="107" t="str">
        <x:f>IF($C184="","",_xlfn.XLOOKUP($C184,'試行員工主檔'!$A$7:$A$20,'試行員工主檔'!$B$7:$B$20,"員工未建立",0))</x:f>
      </x:c>
      <x:c r="E184" s="106"/>
      <x:c r="F184" s="106"/>
      <x:c r="G184" s="106"/>
      <x:c r="H184" s="106"/>
      <x:c r="I184" s="106"/>
      <x:c r="J184" s="106"/>
      <x:c r="K184" s="106"/>
      <x:c r="L184" s="106"/>
      <x:c r="M184" s="107" t="str">
        <x:f>IF($A184="","",IF(AND($H184="是",$I184="否",$J184="否"),"是","否"))</x:f>
      </x:c>
      <x:c r="N184" s="107" t="str">
        <x:f>IF(OR($C184="",$G184=""),"",$C184&amp;"|"&amp;$G184)</x:f>
      </x:c>
    </x:row>
    <x:row r="185">
      <x:c r="A185" s="106"/>
      <x:c r="B185" s="108"/>
      <x:c r="C185" s="106"/>
      <x:c r="D185" s="107" t="str">
        <x:f>IF($C185="","",_xlfn.XLOOKUP($C185,'試行員工主檔'!$A$7:$A$20,'試行員工主檔'!$B$7:$B$20,"員工未建立",0))</x:f>
      </x:c>
      <x:c r="E185" s="106"/>
      <x:c r="F185" s="106"/>
      <x:c r="G185" s="106"/>
      <x:c r="H185" s="106"/>
      <x:c r="I185" s="106"/>
      <x:c r="J185" s="106"/>
      <x:c r="K185" s="106"/>
      <x:c r="L185" s="106"/>
      <x:c r="M185" s="107" t="str">
        <x:f>IF($A185="","",IF(AND($H185="是",$I185="否",$J185="否"),"是","否"))</x:f>
      </x:c>
      <x:c r="N185" s="107" t="str">
        <x:f>IF(OR($C185="",$G185=""),"",$C185&amp;"|"&amp;$G185)</x:f>
      </x:c>
    </x:row>
    <x:row r="186">
      <x:c r="A186" s="106"/>
      <x:c r="B186" s="108"/>
      <x:c r="C186" s="106"/>
      <x:c r="D186" s="107" t="str">
        <x:f>IF($C186="","",_xlfn.XLOOKUP($C186,'試行員工主檔'!$A$7:$A$20,'試行員工主檔'!$B$7:$B$20,"員工未建立",0))</x:f>
      </x:c>
      <x:c r="E186" s="106"/>
      <x:c r="F186" s="106"/>
      <x:c r="G186" s="106"/>
      <x:c r="H186" s="106"/>
      <x:c r="I186" s="106"/>
      <x:c r="J186" s="106"/>
      <x:c r="K186" s="106"/>
      <x:c r="L186" s="106"/>
      <x:c r="M186" s="107" t="str">
        <x:f>IF($A186="","",IF(AND($H186="是",$I186="否",$J186="否"),"是","否"))</x:f>
      </x:c>
      <x:c r="N186" s="107" t="str">
        <x:f>IF(OR($C186="",$G186=""),"",$C186&amp;"|"&amp;$G186)</x:f>
      </x:c>
    </x:row>
    <x:row r="187">
      <x:c r="A187" s="106"/>
      <x:c r="B187" s="108"/>
      <x:c r="C187" s="106"/>
      <x:c r="D187" s="107" t="str">
        <x:f>IF($C187="","",_xlfn.XLOOKUP($C187,'試行員工主檔'!$A$7:$A$20,'試行員工主檔'!$B$7:$B$20,"員工未建立",0))</x:f>
      </x:c>
      <x:c r="E187" s="106"/>
      <x:c r="F187" s="106"/>
      <x:c r="G187" s="106"/>
      <x:c r="H187" s="106"/>
      <x:c r="I187" s="106"/>
      <x:c r="J187" s="106"/>
      <x:c r="K187" s="106"/>
      <x:c r="L187" s="106"/>
      <x:c r="M187" s="107" t="str">
        <x:f>IF($A187="","",IF(AND($H187="是",$I187="否",$J187="否"),"是","否"))</x:f>
      </x:c>
      <x:c r="N187" s="107" t="str">
        <x:f>IF(OR($C187="",$G187=""),"",$C187&amp;"|"&amp;$G187)</x:f>
      </x:c>
    </x:row>
    <x:row r="188">
      <x:c r="A188" s="106"/>
      <x:c r="B188" s="108"/>
      <x:c r="C188" s="106"/>
      <x:c r="D188" s="107" t="str">
        <x:f>IF($C188="","",_xlfn.XLOOKUP($C188,'試行員工主檔'!$A$7:$A$20,'試行員工主檔'!$B$7:$B$20,"員工未建立",0))</x:f>
      </x:c>
      <x:c r="E188" s="106"/>
      <x:c r="F188" s="106"/>
      <x:c r="G188" s="106"/>
      <x:c r="H188" s="106"/>
      <x:c r="I188" s="106"/>
      <x:c r="J188" s="106"/>
      <x:c r="K188" s="106"/>
      <x:c r="L188" s="106"/>
      <x:c r="M188" s="107" t="str">
        <x:f>IF($A188="","",IF(AND($H188="是",$I188="否",$J188="否"),"是","否"))</x:f>
      </x:c>
      <x:c r="N188" s="107" t="str">
        <x:f>IF(OR($C188="",$G188=""),"",$C188&amp;"|"&amp;$G188)</x:f>
      </x:c>
    </x:row>
    <x:row r="189">
      <x:c r="A189" s="106"/>
      <x:c r="B189" s="108"/>
      <x:c r="C189" s="106"/>
      <x:c r="D189" s="107" t="str">
        <x:f>IF($C189="","",_xlfn.XLOOKUP($C189,'試行員工主檔'!$A$7:$A$20,'試行員工主檔'!$B$7:$B$20,"員工未建立",0))</x:f>
      </x:c>
      <x:c r="E189" s="106"/>
      <x:c r="F189" s="106"/>
      <x:c r="G189" s="106"/>
      <x:c r="H189" s="106"/>
      <x:c r="I189" s="106"/>
      <x:c r="J189" s="106"/>
      <x:c r="K189" s="106"/>
      <x:c r="L189" s="106"/>
      <x:c r="M189" s="107" t="str">
        <x:f>IF($A189="","",IF(AND($H189="是",$I189="否",$J189="否"),"是","否"))</x:f>
      </x:c>
      <x:c r="N189" s="107" t="str">
        <x:f>IF(OR($C189="",$G189=""),"",$C189&amp;"|"&amp;$G189)</x:f>
      </x:c>
    </x:row>
    <x:row r="190">
      <x:c r="A190" s="106"/>
      <x:c r="B190" s="108"/>
      <x:c r="C190" s="106"/>
      <x:c r="D190" s="107" t="str">
        <x:f>IF($C190="","",_xlfn.XLOOKUP($C190,'試行員工主檔'!$A$7:$A$20,'試行員工主檔'!$B$7:$B$20,"員工未建立",0))</x:f>
      </x:c>
      <x:c r="E190" s="106"/>
      <x:c r="F190" s="106"/>
      <x:c r="G190" s="106"/>
      <x:c r="H190" s="106"/>
      <x:c r="I190" s="106"/>
      <x:c r="J190" s="106"/>
      <x:c r="K190" s="106"/>
      <x:c r="L190" s="106"/>
      <x:c r="M190" s="107" t="str">
        <x:f>IF($A190="","",IF(AND($H190="是",$I190="否",$J190="否"),"是","否"))</x:f>
      </x:c>
      <x:c r="N190" s="107" t="str">
        <x:f>IF(OR($C190="",$G190=""),"",$C190&amp;"|"&amp;$G190)</x:f>
      </x:c>
    </x:row>
    <x:row r="191">
      <x:c r="A191" s="106"/>
      <x:c r="B191" s="108"/>
      <x:c r="C191" s="106"/>
      <x:c r="D191" s="107" t="str">
        <x:f>IF($C191="","",_xlfn.XLOOKUP($C191,'試行員工主檔'!$A$7:$A$20,'試行員工主檔'!$B$7:$B$20,"員工未建立",0))</x:f>
      </x:c>
      <x:c r="E191" s="106"/>
      <x:c r="F191" s="106"/>
      <x:c r="G191" s="106"/>
      <x:c r="H191" s="106"/>
      <x:c r="I191" s="106"/>
      <x:c r="J191" s="106"/>
      <x:c r="K191" s="106"/>
      <x:c r="L191" s="106"/>
      <x:c r="M191" s="107" t="str">
        <x:f>IF($A191="","",IF(AND($H191="是",$I191="否",$J191="否"),"是","否"))</x:f>
      </x:c>
      <x:c r="N191" s="107" t="str">
        <x:f>IF(OR($C191="",$G191=""),"",$C191&amp;"|"&amp;$G191)</x:f>
      </x:c>
    </x:row>
    <x:row r="192">
      <x:c r="A192" s="106"/>
      <x:c r="B192" s="108"/>
      <x:c r="C192" s="106"/>
      <x:c r="D192" s="107" t="str">
        <x:f>IF($C192="","",_xlfn.XLOOKUP($C192,'試行員工主檔'!$A$7:$A$20,'試行員工主檔'!$B$7:$B$20,"員工未建立",0))</x:f>
      </x:c>
      <x:c r="E192" s="106"/>
      <x:c r="F192" s="106"/>
      <x:c r="G192" s="106"/>
      <x:c r="H192" s="106"/>
      <x:c r="I192" s="106"/>
      <x:c r="J192" s="106"/>
      <x:c r="K192" s="106"/>
      <x:c r="L192" s="106"/>
      <x:c r="M192" s="107" t="str">
        <x:f>IF($A192="","",IF(AND($H192="是",$I192="否",$J192="否"),"是","否"))</x:f>
      </x:c>
      <x:c r="N192" s="107" t="str">
        <x:f>IF(OR($C192="",$G192=""),"",$C192&amp;"|"&amp;$G192)</x:f>
      </x:c>
    </x:row>
    <x:row r="193">
      <x:c r="A193" s="106"/>
      <x:c r="B193" s="108"/>
      <x:c r="C193" s="106"/>
      <x:c r="D193" s="107" t="str">
        <x:f>IF($C193="","",_xlfn.XLOOKUP($C193,'試行員工主檔'!$A$7:$A$20,'試行員工主檔'!$B$7:$B$20,"員工未建立",0))</x:f>
      </x:c>
      <x:c r="E193" s="106"/>
      <x:c r="F193" s="106"/>
      <x:c r="G193" s="106"/>
      <x:c r="H193" s="106"/>
      <x:c r="I193" s="106"/>
      <x:c r="J193" s="106"/>
      <x:c r="K193" s="106"/>
      <x:c r="L193" s="106"/>
      <x:c r="M193" s="107" t="str">
        <x:f>IF($A193="","",IF(AND($H193="是",$I193="否",$J193="否"),"是","否"))</x:f>
      </x:c>
      <x:c r="N193" s="107" t="str">
        <x:f>IF(OR($C193="",$G193=""),"",$C193&amp;"|"&amp;$G193)</x:f>
      </x:c>
    </x:row>
    <x:row r="194">
      <x:c r="A194" s="106"/>
      <x:c r="B194" s="108"/>
      <x:c r="C194" s="106"/>
      <x:c r="D194" s="107" t="str">
        <x:f>IF($C194="","",_xlfn.XLOOKUP($C194,'試行員工主檔'!$A$7:$A$20,'試行員工主檔'!$B$7:$B$20,"員工未建立",0))</x:f>
      </x:c>
      <x:c r="E194" s="106"/>
      <x:c r="F194" s="106"/>
      <x:c r="G194" s="106"/>
      <x:c r="H194" s="106"/>
      <x:c r="I194" s="106"/>
      <x:c r="J194" s="106"/>
      <x:c r="K194" s="106"/>
      <x:c r="L194" s="106"/>
      <x:c r="M194" s="107" t="str">
        <x:f>IF($A194="","",IF(AND($H194="是",$I194="否",$J194="否"),"是","否"))</x:f>
      </x:c>
      <x:c r="N194" s="107" t="str">
        <x:f>IF(OR($C194="",$G194=""),"",$C194&amp;"|"&amp;$G194)</x:f>
      </x:c>
    </x:row>
    <x:row r="195">
      <x:c r="A195" s="106"/>
      <x:c r="B195" s="108"/>
      <x:c r="C195" s="106"/>
      <x:c r="D195" s="107" t="str">
        <x:f>IF($C195="","",_xlfn.XLOOKUP($C195,'試行員工主檔'!$A$7:$A$20,'試行員工主檔'!$B$7:$B$20,"員工未建立",0))</x:f>
      </x:c>
      <x:c r="E195" s="106"/>
      <x:c r="F195" s="106"/>
      <x:c r="G195" s="106"/>
      <x:c r="H195" s="106"/>
      <x:c r="I195" s="106"/>
      <x:c r="J195" s="106"/>
      <x:c r="K195" s="106"/>
      <x:c r="L195" s="106"/>
      <x:c r="M195" s="107" t="str">
        <x:f>IF($A195="","",IF(AND($H195="是",$I195="否",$J195="否"),"是","否"))</x:f>
      </x:c>
      <x:c r="N195" s="107" t="str">
        <x:f>IF(OR($C195="",$G195=""),"",$C195&amp;"|"&amp;$G195)</x:f>
      </x:c>
    </x:row>
    <x:row r="196">
      <x:c r="A196" s="106"/>
      <x:c r="B196" s="108"/>
      <x:c r="C196" s="106"/>
      <x:c r="D196" s="107" t="str">
        <x:f>IF($C196="","",_xlfn.XLOOKUP($C196,'試行員工主檔'!$A$7:$A$20,'試行員工主檔'!$B$7:$B$20,"員工未建立",0))</x:f>
      </x:c>
      <x:c r="E196" s="106"/>
      <x:c r="F196" s="106"/>
      <x:c r="G196" s="106"/>
      <x:c r="H196" s="106"/>
      <x:c r="I196" s="106"/>
      <x:c r="J196" s="106"/>
      <x:c r="K196" s="106"/>
      <x:c r="L196" s="106"/>
      <x:c r="M196" s="107" t="str">
        <x:f>IF($A196="","",IF(AND($H196="是",$I196="否",$J196="否"),"是","否"))</x:f>
      </x:c>
      <x:c r="N196" s="107" t="str">
        <x:f>IF(OR($C196="",$G196=""),"",$C196&amp;"|"&amp;$G196)</x:f>
      </x:c>
    </x:row>
    <x:row r="197">
      <x:c r="A197" s="106"/>
      <x:c r="B197" s="108"/>
      <x:c r="C197" s="106"/>
      <x:c r="D197" s="107" t="str">
        <x:f>IF($C197="","",_xlfn.XLOOKUP($C197,'試行員工主檔'!$A$7:$A$20,'試行員工主檔'!$B$7:$B$20,"員工未建立",0))</x:f>
      </x:c>
      <x:c r="E197" s="106"/>
      <x:c r="F197" s="106"/>
      <x:c r="G197" s="106"/>
      <x:c r="H197" s="106"/>
      <x:c r="I197" s="106"/>
      <x:c r="J197" s="106"/>
      <x:c r="K197" s="106"/>
      <x:c r="L197" s="106"/>
      <x:c r="M197" s="107" t="str">
        <x:f>IF($A197="","",IF(AND($H197="是",$I197="否",$J197="否"),"是","否"))</x:f>
      </x:c>
      <x:c r="N197" s="107" t="str">
        <x:f>IF(OR($C197="",$G197=""),"",$C197&amp;"|"&amp;$G197)</x:f>
      </x:c>
    </x:row>
    <x:row r="198">
      <x:c r="A198" s="106"/>
      <x:c r="B198" s="108"/>
      <x:c r="C198" s="106"/>
      <x:c r="D198" s="107" t="str">
        <x:f>IF($C198="","",_xlfn.XLOOKUP($C198,'試行員工主檔'!$A$7:$A$20,'試行員工主檔'!$B$7:$B$20,"員工未建立",0))</x:f>
      </x:c>
      <x:c r="E198" s="106"/>
      <x:c r="F198" s="106"/>
      <x:c r="G198" s="106"/>
      <x:c r="H198" s="106"/>
      <x:c r="I198" s="106"/>
      <x:c r="J198" s="106"/>
      <x:c r="K198" s="106"/>
      <x:c r="L198" s="106"/>
      <x:c r="M198" s="107" t="str">
        <x:f>IF($A198="","",IF(AND($H198="是",$I198="否",$J198="否"),"是","否"))</x:f>
      </x:c>
      <x:c r="N198" s="107" t="str">
        <x:f>IF(OR($C198="",$G198=""),"",$C198&amp;"|"&amp;$G198)</x:f>
      </x:c>
    </x:row>
    <x:row r="199">
      <x:c r="A199" s="106"/>
      <x:c r="B199" s="108"/>
      <x:c r="C199" s="106"/>
      <x:c r="D199" s="107" t="str">
        <x:f>IF($C199="","",_xlfn.XLOOKUP($C199,'試行員工主檔'!$A$7:$A$20,'試行員工主檔'!$B$7:$B$20,"員工未建立",0))</x:f>
      </x:c>
      <x:c r="E199" s="106"/>
      <x:c r="F199" s="106"/>
      <x:c r="G199" s="106"/>
      <x:c r="H199" s="106"/>
      <x:c r="I199" s="106"/>
      <x:c r="J199" s="106"/>
      <x:c r="K199" s="106"/>
      <x:c r="L199" s="106"/>
      <x:c r="M199" s="107" t="str">
        <x:f>IF($A199="","",IF(AND($H199="是",$I199="否",$J199="否"),"是","否"))</x:f>
      </x:c>
      <x:c r="N199" s="107" t="str">
        <x:f>IF(OR($C199="",$G199=""),"",$C199&amp;"|"&amp;$G199)</x:f>
      </x:c>
    </x:row>
    <x:row r="200">
      <x:c r="A200" s="106"/>
      <x:c r="B200" s="108"/>
      <x:c r="C200" s="106"/>
      <x:c r="D200" s="107" t="str">
        <x:f>IF($C200="","",_xlfn.XLOOKUP($C200,'試行員工主檔'!$A$7:$A$20,'試行員工主檔'!$B$7:$B$20,"員工未建立",0))</x:f>
      </x:c>
      <x:c r="E200" s="106"/>
      <x:c r="F200" s="106"/>
      <x:c r="G200" s="106"/>
      <x:c r="H200" s="106"/>
      <x:c r="I200" s="106"/>
      <x:c r="J200" s="106"/>
      <x:c r="K200" s="106"/>
      <x:c r="L200" s="106"/>
      <x:c r="M200" s="107" t="str">
        <x:f>IF($A200="","",IF(AND($H200="是",$I200="否",$J200="否"),"是","否"))</x:f>
      </x:c>
      <x:c r="N200" s="107" t="str">
        <x:f>IF(OR($C200="",$G200=""),"",$C200&amp;"|"&amp;$G200)</x:f>
      </x:c>
    </x:row>
    <x:row r="201">
      <x:c r="A201" s="106"/>
      <x:c r="B201" s="108"/>
      <x:c r="C201" s="106"/>
      <x:c r="D201" s="107" t="str">
        <x:f>IF($C201="","",_xlfn.XLOOKUP($C201,'試行員工主檔'!$A$7:$A$20,'試行員工主檔'!$B$7:$B$20,"員工未建立",0))</x:f>
      </x:c>
      <x:c r="E201" s="106"/>
      <x:c r="F201" s="106"/>
      <x:c r="G201" s="106"/>
      <x:c r="H201" s="106"/>
      <x:c r="I201" s="106"/>
      <x:c r="J201" s="106"/>
      <x:c r="K201" s="106"/>
      <x:c r="L201" s="106"/>
      <x:c r="M201" s="107" t="str">
        <x:f>IF($A201="","",IF(AND($H201="是",$I201="否",$J201="否"),"是","否"))</x:f>
      </x:c>
      <x:c r="N201" s="107" t="str">
        <x:f>IF(OR($C201="",$G201=""),"",$C201&amp;"|"&amp;$G201)</x:f>
      </x:c>
    </x:row>
    <x:row r="202">
      <x:c r="A202" s="106"/>
      <x:c r="B202" s="108"/>
      <x:c r="C202" s="106"/>
      <x:c r="D202" s="107" t="str">
        <x:f>IF($C202="","",_xlfn.XLOOKUP($C202,'試行員工主檔'!$A$7:$A$20,'試行員工主檔'!$B$7:$B$20,"員工未建立",0))</x:f>
      </x:c>
      <x:c r="E202" s="106"/>
      <x:c r="F202" s="106"/>
      <x:c r="G202" s="106"/>
      <x:c r="H202" s="106"/>
      <x:c r="I202" s="106"/>
      <x:c r="J202" s="106"/>
      <x:c r="K202" s="106"/>
      <x:c r="L202" s="106"/>
      <x:c r="M202" s="107" t="str">
        <x:f>IF($A202="","",IF(AND($H202="是",$I202="否",$J202="否"),"是","否"))</x:f>
      </x:c>
      <x:c r="N202" s="107" t="str">
        <x:f>IF(OR($C202="",$G202=""),"",$C202&amp;"|"&amp;$G202)</x:f>
      </x:c>
    </x:row>
    <x:row r="203">
      <x:c r="A203" s="106"/>
      <x:c r="B203" s="108"/>
      <x:c r="C203" s="106"/>
      <x:c r="D203" s="107" t="str">
        <x:f>IF($C203="","",_xlfn.XLOOKUP($C203,'試行員工主檔'!$A$7:$A$20,'試行員工主檔'!$B$7:$B$20,"員工未建立",0))</x:f>
      </x:c>
      <x:c r="E203" s="106"/>
      <x:c r="F203" s="106"/>
      <x:c r="G203" s="106"/>
      <x:c r="H203" s="106"/>
      <x:c r="I203" s="106"/>
      <x:c r="J203" s="106"/>
      <x:c r="K203" s="106"/>
      <x:c r="L203" s="106"/>
      <x:c r="M203" s="107" t="str">
        <x:f>IF($A203="","",IF(AND($H203="是",$I203="否",$J203="否"),"是","否"))</x:f>
      </x:c>
      <x:c r="N203" s="107" t="str">
        <x:f>IF(OR($C203="",$G203=""),"",$C203&amp;"|"&amp;$G203)</x:f>
      </x:c>
    </x:row>
    <x:row r="204">
      <x:c r="A204" s="106"/>
      <x:c r="B204" s="108"/>
      <x:c r="C204" s="106"/>
      <x:c r="D204" s="107" t="str">
        <x:f>IF($C204="","",_xlfn.XLOOKUP($C204,'試行員工主檔'!$A$7:$A$20,'試行員工主檔'!$B$7:$B$20,"員工未建立",0))</x:f>
      </x:c>
      <x:c r="E204" s="106"/>
      <x:c r="F204" s="106"/>
      <x:c r="G204" s="106"/>
      <x:c r="H204" s="106"/>
      <x:c r="I204" s="106"/>
      <x:c r="J204" s="106"/>
      <x:c r="K204" s="106"/>
      <x:c r="L204" s="106"/>
      <x:c r="M204" s="107" t="str">
        <x:f>IF($A204="","",IF(AND($H204="是",$I204="否",$J204="否"),"是","否"))</x:f>
      </x:c>
      <x:c r="N204" s="107" t="str">
        <x:f>IF(OR($C204="",$G204=""),"",$C204&amp;"|"&amp;$G204)</x:f>
      </x:c>
    </x:row>
    <x:row r="205">
      <x:c r="A205" s="106"/>
      <x:c r="B205" s="108"/>
      <x:c r="C205" s="106"/>
      <x:c r="D205" s="107" t="str">
        <x:f>IF($C205="","",_xlfn.XLOOKUP($C205,'試行員工主檔'!$A$7:$A$20,'試行員工主檔'!$B$7:$B$20,"員工未建立",0))</x:f>
      </x:c>
      <x:c r="E205" s="106"/>
      <x:c r="F205" s="106"/>
      <x:c r="G205" s="106"/>
      <x:c r="H205" s="106"/>
      <x:c r="I205" s="106"/>
      <x:c r="J205" s="106"/>
      <x:c r="K205" s="106"/>
      <x:c r="L205" s="106"/>
      <x:c r="M205" s="107" t="str">
        <x:f>IF($A205="","",IF(AND($H205="是",$I205="否",$J205="否"),"是","否"))</x:f>
      </x:c>
      <x:c r="N205" s="107" t="str">
        <x:f>IF(OR($C205="",$G205=""),"",$C205&amp;"|"&amp;$G205)</x:f>
      </x:c>
    </x:row>
    <x:row r="206">
      <x:c r="A206" s="106"/>
      <x:c r="B206" s="108"/>
      <x:c r="C206" s="106"/>
      <x:c r="D206" s="107" t="str">
        <x:f>IF($C206="","",_xlfn.XLOOKUP($C206,'試行員工主檔'!$A$7:$A$20,'試行員工主檔'!$B$7:$B$20,"員工未建立",0))</x:f>
      </x:c>
      <x:c r="E206" s="106"/>
      <x:c r="F206" s="106"/>
      <x:c r="G206" s="106"/>
      <x:c r="H206" s="106"/>
      <x:c r="I206" s="106"/>
      <x:c r="J206" s="106"/>
      <x:c r="K206" s="106"/>
      <x:c r="L206" s="106"/>
      <x:c r="M206" s="107" t="str">
        <x:f>IF($A206="","",IF(AND($H206="是",$I206="否",$J206="否"),"是","否"))</x:f>
      </x:c>
      <x:c r="N206" s="107" t="str">
        <x:f>IF(OR($C206="",$G206=""),"",$C206&amp;"|"&amp;$G206)</x:f>
      </x:c>
    </x:row>
  </x:sheetData>
  <x:dataValidations count="6">
    <x:dataValidation type="list" sqref="C7:C206">
      <x:formula1>'試行員工主檔'!$A$7:$A$20</x:formula1>
    </x:dataValidation>
    <x:dataValidation type="list" sqref="F7:F206">
      <x:formula1>'李醫師治療模式'!$A$7:$A$19</x:formula1>
    </x:dataValidation>
    <x:dataValidation type="list" sqref="G7:G206">
      <x:formula1>'技能主檔_V1'!$A$7:$A$24</x:formula1>
    </x:dataValidation>
    <x:dataValidation type="list" sqref="H7:H206">
      <x:formula1>"是,否"</x:formula1>
    </x:dataValidation>
    <x:dataValidation type="list" sqref="I7:I206">
      <x:formula1>"是,否"</x:formula1>
    </x:dataValidation>
    <x:dataValidation type="list" sqref="J7:J206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dbe6f63a414ea1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8" hidden="0" customWidth="1"/>
    <x:col min="6" max="6" width="28" hidden="0" customWidth="1"/>
    <x:col min="7" max="7" width="40" hidden="0" customWidth="1"/>
    <x:col min="8" max="8" width="16" hidden="0" customWidth="1"/>
    <x:col min="9" max="9" width="18" hidden="0" customWidth="1"/>
    <x:col min="10" max="10" width="16" hidden="0" customWidth="1"/>
    <x:col min="11" max="11" width="24" hidden="0" customWidth="1"/>
    <x:col min="12" max="12" width="40" hidden="0" customWidth="1"/>
  </x:cols>
  <x:sheetData>
    <x:row r="2">
      <x:c r="A2" s="74" t="str">
        <x:v>面談、已知悉與異議複核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75" t="str">
        <x:v>已知悉只代表收到，不代表同意；複核人原則上不得與原考核人相同。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</x:row>
    <x:row r="6">
      <x:c r="A6" s="104" t="str">
        <x:v>紀錄編號</x:v>
      </x:c>
      <x:c r="B6" s="104" t="str">
        <x:v>日期</x:v>
      </x:c>
      <x:c r="C6" s="104" t="str">
        <x:v>員工編號</x:v>
      </x:c>
      <x:c r="D6" s="104" t="str">
        <x:v>姓名</x:v>
      </x:c>
      <x:c r="E6" s="104" t="str">
        <x:v>類型</x:v>
      </x:c>
      <x:c r="F6" s="104" t="str">
        <x:v>關聯技能</x:v>
      </x:c>
      <x:c r="G6" s="104" t="str">
        <x:v>主管結論</x:v>
      </x:c>
      <x:c r="H6" s="104" t="str">
        <x:v>助理已知悉</x:v>
      </x:c>
      <x:c r="I6" s="104" t="str">
        <x:v>異議狀態</x:v>
      </x:c>
      <x:c r="J6" s="104" t="str">
        <x:v>複核人</x:v>
      </x:c>
      <x:c r="K6" s="104" t="str">
        <x:v>最終決定</x:v>
      </x:c>
      <x:c r="L6" s="104" t="str">
        <x:v>備註</x:v>
      </x:c>
    </x:row>
    <x:row r="7">
      <x:c r="A7" s="106"/>
      <x:c r="B7" s="108"/>
      <x:c r="C7" s="106"/>
      <x:c r="D7" s="107" t="str">
        <x:f>IF($C7="","",_xlfn.XLOOKUP($C7,'試行員工主檔'!$A$7:$A$20,'試行員工主檔'!$B$7:$B$20,"員工未建立",0))</x:f>
      </x:c>
      <x:c r="E7" s="106"/>
      <x:c r="F7" s="106"/>
      <x:c r="G7" s="106"/>
      <x:c r="H7" s="106"/>
      <x:c r="I7" s="106"/>
      <x:c r="J7" s="106"/>
      <x:c r="K7" s="106"/>
      <x:c r="L7" s="106"/>
    </x:row>
    <x:row r="8">
      <x:c r="A8" s="106"/>
      <x:c r="B8" s="108"/>
      <x:c r="C8" s="106"/>
      <x:c r="D8" s="107" t="str">
        <x:f>IF($C8="","",_xlfn.XLOOKUP($C8,'試行員工主檔'!$A$7:$A$20,'試行員工主檔'!$B$7:$B$20,"員工未建立",0))</x:f>
      </x:c>
      <x:c r="E8" s="106"/>
      <x:c r="F8" s="106"/>
      <x:c r="G8" s="106"/>
      <x:c r="H8" s="106"/>
      <x:c r="I8" s="106"/>
      <x:c r="J8" s="106"/>
      <x:c r="K8" s="106"/>
      <x:c r="L8" s="106"/>
    </x:row>
    <x:row r="9">
      <x:c r="A9" s="106"/>
      <x:c r="B9" s="108"/>
      <x:c r="C9" s="106"/>
      <x:c r="D9" s="107" t="str">
        <x:f>IF($C9="","",_xlfn.XLOOKUP($C9,'試行員工主檔'!$A$7:$A$20,'試行員工主檔'!$B$7:$B$20,"員工未建立",0))</x:f>
      </x:c>
      <x:c r="E9" s="106"/>
      <x:c r="F9" s="106"/>
      <x:c r="G9" s="106"/>
      <x:c r="H9" s="106"/>
      <x:c r="I9" s="106"/>
      <x:c r="J9" s="106"/>
      <x:c r="K9" s="106"/>
      <x:c r="L9" s="106"/>
    </x:row>
    <x:row r="10">
      <x:c r="A10" s="106"/>
      <x:c r="B10" s="108"/>
      <x:c r="C10" s="106"/>
      <x:c r="D10" s="107" t="str">
        <x:f>IF($C10="","",_xlfn.XLOOKUP($C10,'試行員工主檔'!$A$7:$A$20,'試行員工主檔'!$B$7:$B$20,"員工未建立",0))</x:f>
      </x:c>
      <x:c r="E10" s="106"/>
      <x:c r="F10" s="106"/>
      <x:c r="G10" s="106"/>
      <x:c r="H10" s="106"/>
      <x:c r="I10" s="106"/>
      <x:c r="J10" s="106"/>
      <x:c r="K10" s="106"/>
      <x:c r="L10" s="106"/>
    </x:row>
    <x:row r="11">
      <x:c r="A11" s="106"/>
      <x:c r="B11" s="108"/>
      <x:c r="C11" s="106"/>
      <x:c r="D11" s="107" t="str">
        <x:f>IF($C11="","",_xlfn.XLOOKUP($C11,'試行員工主檔'!$A$7:$A$20,'試行員工主檔'!$B$7:$B$20,"員工未建立",0))</x:f>
      </x:c>
      <x:c r="E11" s="106"/>
      <x:c r="F11" s="106"/>
      <x:c r="G11" s="106"/>
      <x:c r="H11" s="106"/>
      <x:c r="I11" s="106"/>
      <x:c r="J11" s="106"/>
      <x:c r="K11" s="106"/>
      <x:c r="L11" s="106"/>
    </x:row>
    <x:row r="12">
      <x:c r="A12" s="106"/>
      <x:c r="B12" s="108"/>
      <x:c r="C12" s="106"/>
      <x:c r="D12" s="107" t="str">
        <x:f>IF($C12="","",_xlfn.XLOOKUP($C12,'試行員工主檔'!$A$7:$A$20,'試行員工主檔'!$B$7:$B$20,"員工未建立",0))</x:f>
      </x:c>
      <x:c r="E12" s="106"/>
      <x:c r="F12" s="106"/>
      <x:c r="G12" s="106"/>
      <x:c r="H12" s="106"/>
      <x:c r="I12" s="106"/>
      <x:c r="J12" s="106"/>
      <x:c r="K12" s="106"/>
      <x:c r="L12" s="106"/>
    </x:row>
    <x:row r="13">
      <x:c r="A13" s="106"/>
      <x:c r="B13" s="108"/>
      <x:c r="C13" s="106"/>
      <x:c r="D13" s="107" t="str">
        <x:f>IF($C13="","",_xlfn.XLOOKUP($C13,'試行員工主檔'!$A$7:$A$20,'試行員工主檔'!$B$7:$B$20,"員工未建立",0))</x:f>
      </x:c>
      <x:c r="E13" s="106"/>
      <x:c r="F13" s="106"/>
      <x:c r="G13" s="106"/>
      <x:c r="H13" s="106"/>
      <x:c r="I13" s="106"/>
      <x:c r="J13" s="106"/>
      <x:c r="K13" s="106"/>
      <x:c r="L13" s="106"/>
    </x:row>
    <x:row r="14">
      <x:c r="A14" s="106"/>
      <x:c r="B14" s="108"/>
      <x:c r="C14" s="106"/>
      <x:c r="D14" s="107" t="str">
        <x:f>IF($C14="","",_xlfn.XLOOKUP($C14,'試行員工主檔'!$A$7:$A$20,'試行員工主檔'!$B$7:$B$20,"員工未建立",0))</x:f>
      </x:c>
      <x:c r="E14" s="106"/>
      <x:c r="F14" s="106"/>
      <x:c r="G14" s="106"/>
      <x:c r="H14" s="106"/>
      <x:c r="I14" s="106"/>
      <x:c r="J14" s="106"/>
      <x:c r="K14" s="106"/>
      <x:c r="L14" s="106"/>
    </x:row>
    <x:row r="15">
      <x:c r="A15" s="106"/>
      <x:c r="B15" s="108"/>
      <x:c r="C15" s="106"/>
      <x:c r="D15" s="107" t="str">
        <x:f>IF($C15="","",_xlfn.XLOOKUP($C15,'試行員工主檔'!$A$7:$A$20,'試行員工主檔'!$B$7:$B$20,"員工未建立",0))</x:f>
      </x:c>
      <x:c r="E15" s="106"/>
      <x:c r="F15" s="106"/>
      <x:c r="G15" s="106"/>
      <x:c r="H15" s="106"/>
      <x:c r="I15" s="106"/>
      <x:c r="J15" s="106"/>
      <x:c r="K15" s="106"/>
      <x:c r="L15" s="106"/>
    </x:row>
    <x:row r="16">
      <x:c r="A16" s="106"/>
      <x:c r="B16" s="108"/>
      <x:c r="C16" s="106"/>
      <x:c r="D16" s="107" t="str">
        <x:f>IF($C16="","",_xlfn.XLOOKUP($C16,'試行員工主檔'!$A$7:$A$20,'試行員工主檔'!$B$7:$B$20,"員工未建立",0))</x:f>
      </x:c>
      <x:c r="E16" s="106"/>
      <x:c r="F16" s="106"/>
      <x:c r="G16" s="106"/>
      <x:c r="H16" s="106"/>
      <x:c r="I16" s="106"/>
      <x:c r="J16" s="106"/>
      <x:c r="K16" s="106"/>
      <x:c r="L16" s="106"/>
    </x:row>
    <x:row r="17">
      <x:c r="A17" s="106"/>
      <x:c r="B17" s="108"/>
      <x:c r="C17" s="106"/>
      <x:c r="D17" s="107" t="str">
        <x:f>IF($C17="","",_xlfn.XLOOKUP($C17,'試行員工主檔'!$A$7:$A$20,'試行員工主檔'!$B$7:$B$20,"員工未建立",0))</x:f>
      </x:c>
      <x:c r="E17" s="106"/>
      <x:c r="F17" s="106"/>
      <x:c r="G17" s="106"/>
      <x:c r="H17" s="106"/>
      <x:c r="I17" s="106"/>
      <x:c r="J17" s="106"/>
      <x:c r="K17" s="106"/>
      <x:c r="L17" s="106"/>
    </x:row>
    <x:row r="18">
      <x:c r="A18" s="106"/>
      <x:c r="B18" s="108"/>
      <x:c r="C18" s="106"/>
      <x:c r="D18" s="107" t="str">
        <x:f>IF($C18="","",_xlfn.XLOOKUP($C18,'試行員工主檔'!$A$7:$A$20,'試行員工主檔'!$B$7:$B$20,"員工未建立",0))</x:f>
      </x:c>
      <x:c r="E18" s="106"/>
      <x:c r="F18" s="106"/>
      <x:c r="G18" s="106"/>
      <x:c r="H18" s="106"/>
      <x:c r="I18" s="106"/>
      <x:c r="J18" s="106"/>
      <x:c r="K18" s="106"/>
      <x:c r="L18" s="106"/>
    </x:row>
    <x:row r="19">
      <x:c r="A19" s="106"/>
      <x:c r="B19" s="108"/>
      <x:c r="C19" s="106"/>
      <x:c r="D19" s="107" t="str">
        <x:f>IF($C19="","",_xlfn.XLOOKUP($C19,'試行員工主檔'!$A$7:$A$20,'試行員工主檔'!$B$7:$B$20,"員工未建立",0))</x:f>
      </x:c>
      <x:c r="E19" s="106"/>
      <x:c r="F19" s="106"/>
      <x:c r="G19" s="106"/>
      <x:c r="H19" s="106"/>
      <x:c r="I19" s="106"/>
      <x:c r="J19" s="106"/>
      <x:c r="K19" s="106"/>
      <x:c r="L19" s="106"/>
    </x:row>
    <x:row r="20">
      <x:c r="A20" s="106"/>
      <x:c r="B20" s="108"/>
      <x:c r="C20" s="106"/>
      <x:c r="D20" s="107" t="str">
        <x:f>IF($C20="","",_xlfn.XLOOKUP($C20,'試行員工主檔'!$A$7:$A$20,'試行員工主檔'!$B$7:$B$20,"員工未建立",0))</x:f>
      </x:c>
      <x:c r="E20" s="106"/>
      <x:c r="F20" s="106"/>
      <x:c r="G20" s="106"/>
      <x:c r="H20" s="106"/>
      <x:c r="I20" s="106"/>
      <x:c r="J20" s="106"/>
      <x:c r="K20" s="106"/>
      <x:c r="L20" s="106"/>
    </x:row>
    <x:row r="21">
      <x:c r="A21" s="106"/>
      <x:c r="B21" s="108"/>
      <x:c r="C21" s="106"/>
      <x:c r="D21" s="107" t="str">
        <x:f>IF($C21="","",_xlfn.XLOOKUP($C21,'試行員工主檔'!$A$7:$A$20,'試行員工主檔'!$B$7:$B$20,"員工未建立",0))</x:f>
      </x:c>
      <x:c r="E21" s="106"/>
      <x:c r="F21" s="106"/>
      <x:c r="G21" s="106"/>
      <x:c r="H21" s="106"/>
      <x:c r="I21" s="106"/>
      <x:c r="J21" s="106"/>
      <x:c r="K21" s="106"/>
      <x:c r="L21" s="106"/>
    </x:row>
    <x:row r="22">
      <x:c r="A22" s="106"/>
      <x:c r="B22" s="108"/>
      <x:c r="C22" s="106"/>
      <x:c r="D22" s="107" t="str">
        <x:f>IF($C22="","",_xlfn.XLOOKUP($C22,'試行員工主檔'!$A$7:$A$20,'試行員工主檔'!$B$7:$B$20,"員工未建立",0))</x:f>
      </x:c>
      <x:c r="E22" s="106"/>
      <x:c r="F22" s="106"/>
      <x:c r="G22" s="106"/>
      <x:c r="H22" s="106"/>
      <x:c r="I22" s="106"/>
      <x:c r="J22" s="106"/>
      <x:c r="K22" s="106"/>
      <x:c r="L22" s="106"/>
    </x:row>
    <x:row r="23">
      <x:c r="A23" s="106"/>
      <x:c r="B23" s="108"/>
      <x:c r="C23" s="106"/>
      <x:c r="D23" s="107" t="str">
        <x:f>IF($C23="","",_xlfn.XLOOKUP($C23,'試行員工主檔'!$A$7:$A$20,'試行員工主檔'!$B$7:$B$20,"員工未建立",0))</x:f>
      </x:c>
      <x:c r="E23" s="106"/>
      <x:c r="F23" s="106"/>
      <x:c r="G23" s="106"/>
      <x:c r="H23" s="106"/>
      <x:c r="I23" s="106"/>
      <x:c r="J23" s="106"/>
      <x:c r="K23" s="106"/>
      <x:c r="L23" s="106"/>
    </x:row>
    <x:row r="24">
      <x:c r="A24" s="106"/>
      <x:c r="B24" s="108"/>
      <x:c r="C24" s="106"/>
      <x:c r="D24" s="107" t="str">
        <x:f>IF($C24="","",_xlfn.XLOOKUP($C24,'試行員工主檔'!$A$7:$A$20,'試行員工主檔'!$B$7:$B$20,"員工未建立",0))</x:f>
      </x:c>
      <x:c r="E24" s="106"/>
      <x:c r="F24" s="106"/>
      <x:c r="G24" s="106"/>
      <x:c r="H24" s="106"/>
      <x:c r="I24" s="106"/>
      <x:c r="J24" s="106"/>
      <x:c r="K24" s="106"/>
      <x:c r="L24" s="106"/>
    </x:row>
    <x:row r="25">
      <x:c r="A25" s="106"/>
      <x:c r="B25" s="108"/>
      <x:c r="C25" s="106"/>
      <x:c r="D25" s="107" t="str">
        <x:f>IF($C25="","",_xlfn.XLOOKUP($C25,'試行員工主檔'!$A$7:$A$20,'試行員工主檔'!$B$7:$B$20,"員工未建立",0))</x:f>
      </x:c>
      <x:c r="E25" s="106"/>
      <x:c r="F25" s="106"/>
      <x:c r="G25" s="106"/>
      <x:c r="H25" s="106"/>
      <x:c r="I25" s="106"/>
      <x:c r="J25" s="106"/>
      <x:c r="K25" s="106"/>
      <x:c r="L25" s="106"/>
    </x:row>
    <x:row r="26">
      <x:c r="A26" s="106"/>
      <x:c r="B26" s="108"/>
      <x:c r="C26" s="106"/>
      <x:c r="D26" s="107" t="str">
        <x:f>IF($C26="","",_xlfn.XLOOKUP($C26,'試行員工主檔'!$A$7:$A$20,'試行員工主檔'!$B$7:$B$20,"員工未建立",0))</x:f>
      </x:c>
      <x:c r="E26" s="106"/>
      <x:c r="F26" s="106"/>
      <x:c r="G26" s="106"/>
      <x:c r="H26" s="106"/>
      <x:c r="I26" s="106"/>
      <x:c r="J26" s="106"/>
      <x:c r="K26" s="106"/>
      <x:c r="L26" s="106"/>
    </x:row>
    <x:row r="27">
      <x:c r="A27" s="106"/>
      <x:c r="B27" s="108"/>
      <x:c r="C27" s="106"/>
      <x:c r="D27" s="107" t="str">
        <x:f>IF($C27="","",_xlfn.XLOOKUP($C27,'試行員工主檔'!$A$7:$A$20,'試行員工主檔'!$B$7:$B$20,"員工未建立",0))</x:f>
      </x:c>
      <x:c r="E27" s="106"/>
      <x:c r="F27" s="106"/>
      <x:c r="G27" s="106"/>
      <x:c r="H27" s="106"/>
      <x:c r="I27" s="106"/>
      <x:c r="J27" s="106"/>
      <x:c r="K27" s="106"/>
      <x:c r="L27" s="106"/>
    </x:row>
    <x:row r="28">
      <x:c r="A28" s="106"/>
      <x:c r="B28" s="108"/>
      <x:c r="C28" s="106"/>
      <x:c r="D28" s="107" t="str">
        <x:f>IF($C28="","",_xlfn.XLOOKUP($C28,'試行員工主檔'!$A$7:$A$20,'試行員工主檔'!$B$7:$B$20,"員工未建立",0))</x:f>
      </x:c>
      <x:c r="E28" s="106"/>
      <x:c r="F28" s="106"/>
      <x:c r="G28" s="106"/>
      <x:c r="H28" s="106"/>
      <x:c r="I28" s="106"/>
      <x:c r="J28" s="106"/>
      <x:c r="K28" s="106"/>
      <x:c r="L28" s="106"/>
    </x:row>
    <x:row r="29">
      <x:c r="A29" s="106"/>
      <x:c r="B29" s="108"/>
      <x:c r="C29" s="106"/>
      <x:c r="D29" s="107" t="str">
        <x:f>IF($C29="","",_xlfn.XLOOKUP($C29,'試行員工主檔'!$A$7:$A$20,'試行員工主檔'!$B$7:$B$20,"員工未建立",0))</x:f>
      </x:c>
      <x:c r="E29" s="106"/>
      <x:c r="F29" s="106"/>
      <x:c r="G29" s="106"/>
      <x:c r="H29" s="106"/>
      <x:c r="I29" s="106"/>
      <x:c r="J29" s="106"/>
      <x:c r="K29" s="106"/>
      <x:c r="L29" s="106"/>
    </x:row>
    <x:row r="30">
      <x:c r="A30" s="106"/>
      <x:c r="B30" s="108"/>
      <x:c r="C30" s="106"/>
      <x:c r="D30" s="107" t="str">
        <x:f>IF($C30="","",_xlfn.XLOOKUP($C30,'試行員工主檔'!$A$7:$A$20,'試行員工主檔'!$B$7:$B$20,"員工未建立",0))</x:f>
      </x:c>
      <x:c r="E30" s="106"/>
      <x:c r="F30" s="106"/>
      <x:c r="G30" s="106"/>
      <x:c r="H30" s="106"/>
      <x:c r="I30" s="106"/>
      <x:c r="J30" s="106"/>
      <x:c r="K30" s="106"/>
      <x:c r="L30" s="106"/>
    </x:row>
    <x:row r="31">
      <x:c r="A31" s="106"/>
      <x:c r="B31" s="108"/>
      <x:c r="C31" s="106"/>
      <x:c r="D31" s="107" t="str">
        <x:f>IF($C31="","",_xlfn.XLOOKUP($C31,'試行員工主檔'!$A$7:$A$20,'試行員工主檔'!$B$7:$B$20,"員工未建立",0))</x:f>
      </x:c>
      <x:c r="E31" s="106"/>
      <x:c r="F31" s="106"/>
      <x:c r="G31" s="106"/>
      <x:c r="H31" s="106"/>
      <x:c r="I31" s="106"/>
      <x:c r="J31" s="106"/>
      <x:c r="K31" s="106"/>
      <x:c r="L31" s="106"/>
    </x:row>
    <x:row r="32">
      <x:c r="A32" s="106"/>
      <x:c r="B32" s="108"/>
      <x:c r="C32" s="106"/>
      <x:c r="D32" s="107" t="str">
        <x:f>IF($C32="","",_xlfn.XLOOKUP($C32,'試行員工主檔'!$A$7:$A$20,'試行員工主檔'!$B$7:$B$20,"員工未建立",0))</x:f>
      </x:c>
      <x:c r="E32" s="106"/>
      <x:c r="F32" s="106"/>
      <x:c r="G32" s="106"/>
      <x:c r="H32" s="106"/>
      <x:c r="I32" s="106"/>
      <x:c r="J32" s="106"/>
      <x:c r="K32" s="106"/>
      <x:c r="L32" s="106"/>
    </x:row>
    <x:row r="33">
      <x:c r="A33" s="106"/>
      <x:c r="B33" s="108"/>
      <x:c r="C33" s="106"/>
      <x:c r="D33" s="107" t="str">
        <x:f>IF($C33="","",_xlfn.XLOOKUP($C33,'試行員工主檔'!$A$7:$A$20,'試行員工主檔'!$B$7:$B$20,"員工未建立",0))</x:f>
      </x:c>
      <x:c r="E33" s="106"/>
      <x:c r="F33" s="106"/>
      <x:c r="G33" s="106"/>
      <x:c r="H33" s="106"/>
      <x:c r="I33" s="106"/>
      <x:c r="J33" s="106"/>
      <x:c r="K33" s="106"/>
      <x:c r="L33" s="106"/>
    </x:row>
    <x:row r="34">
      <x:c r="A34" s="106"/>
      <x:c r="B34" s="108"/>
      <x:c r="C34" s="106"/>
      <x:c r="D34" s="107" t="str">
        <x:f>IF($C34="","",_xlfn.XLOOKUP($C34,'試行員工主檔'!$A$7:$A$20,'試行員工主檔'!$B$7:$B$20,"員工未建立",0))</x:f>
      </x:c>
      <x:c r="E34" s="106"/>
      <x:c r="F34" s="106"/>
      <x:c r="G34" s="106"/>
      <x:c r="H34" s="106"/>
      <x:c r="I34" s="106"/>
      <x:c r="J34" s="106"/>
      <x:c r="K34" s="106"/>
      <x:c r="L34" s="106"/>
    </x:row>
    <x:row r="35">
      <x:c r="A35" s="106"/>
      <x:c r="B35" s="108"/>
      <x:c r="C35" s="106"/>
      <x:c r="D35" s="107" t="str">
        <x:f>IF($C35="","",_xlfn.XLOOKUP($C35,'試行員工主檔'!$A$7:$A$20,'試行員工主檔'!$B$7:$B$20,"員工未建立",0))</x:f>
      </x:c>
      <x:c r="E35" s="106"/>
      <x:c r="F35" s="106"/>
      <x:c r="G35" s="106"/>
      <x:c r="H35" s="106"/>
      <x:c r="I35" s="106"/>
      <x:c r="J35" s="106"/>
      <x:c r="K35" s="106"/>
      <x:c r="L35" s="106"/>
    </x:row>
    <x:row r="36">
      <x:c r="A36" s="106"/>
      <x:c r="B36" s="108"/>
      <x:c r="C36" s="106"/>
      <x:c r="D36" s="107" t="str">
        <x:f>IF($C36="","",_xlfn.XLOOKUP($C36,'試行員工主檔'!$A$7:$A$20,'試行員工主檔'!$B$7:$B$20,"員工未建立",0))</x:f>
      </x:c>
      <x:c r="E36" s="106"/>
      <x:c r="F36" s="106"/>
      <x:c r="G36" s="106"/>
      <x:c r="H36" s="106"/>
      <x:c r="I36" s="106"/>
      <x:c r="J36" s="106"/>
      <x:c r="K36" s="106"/>
      <x:c r="L36" s="106"/>
    </x:row>
    <x:row r="37">
      <x:c r="A37" s="106"/>
      <x:c r="B37" s="108"/>
      <x:c r="C37" s="106"/>
      <x:c r="D37" s="107" t="str">
        <x:f>IF($C37="","",_xlfn.XLOOKUP($C37,'試行員工主檔'!$A$7:$A$20,'試行員工主檔'!$B$7:$B$20,"員工未建立",0))</x:f>
      </x:c>
      <x:c r="E37" s="106"/>
      <x:c r="F37" s="106"/>
      <x:c r="G37" s="106"/>
      <x:c r="H37" s="106"/>
      <x:c r="I37" s="106"/>
      <x:c r="J37" s="106"/>
      <x:c r="K37" s="106"/>
      <x:c r="L37" s="106"/>
    </x:row>
    <x:row r="38">
      <x:c r="A38" s="106"/>
      <x:c r="B38" s="108"/>
      <x:c r="C38" s="106"/>
      <x:c r="D38" s="107" t="str">
        <x:f>IF($C38="","",_xlfn.XLOOKUP($C38,'試行員工主檔'!$A$7:$A$20,'試行員工主檔'!$B$7:$B$20,"員工未建立",0))</x:f>
      </x:c>
      <x:c r="E38" s="106"/>
      <x:c r="F38" s="106"/>
      <x:c r="G38" s="106"/>
      <x:c r="H38" s="106"/>
      <x:c r="I38" s="106"/>
      <x:c r="J38" s="106"/>
      <x:c r="K38" s="106"/>
      <x:c r="L38" s="106"/>
    </x:row>
    <x:row r="39">
      <x:c r="A39" s="106"/>
      <x:c r="B39" s="108"/>
      <x:c r="C39" s="106"/>
      <x:c r="D39" s="107" t="str">
        <x:f>IF($C39="","",_xlfn.XLOOKUP($C39,'試行員工主檔'!$A$7:$A$20,'試行員工主檔'!$B$7:$B$20,"員工未建立",0))</x:f>
      </x:c>
      <x:c r="E39" s="106"/>
      <x:c r="F39" s="106"/>
      <x:c r="G39" s="106"/>
      <x:c r="H39" s="106"/>
      <x:c r="I39" s="106"/>
      <x:c r="J39" s="106"/>
      <x:c r="K39" s="106"/>
      <x:c r="L39" s="106"/>
    </x:row>
    <x:row r="40">
      <x:c r="A40" s="106"/>
      <x:c r="B40" s="108"/>
      <x:c r="C40" s="106"/>
      <x:c r="D40" s="107" t="str">
        <x:f>IF($C40="","",_xlfn.XLOOKUP($C40,'試行員工主檔'!$A$7:$A$20,'試行員工主檔'!$B$7:$B$20,"員工未建立",0))</x:f>
      </x:c>
      <x:c r="E40" s="106"/>
      <x:c r="F40" s="106"/>
      <x:c r="G40" s="106"/>
      <x:c r="H40" s="106"/>
      <x:c r="I40" s="106"/>
      <x:c r="J40" s="106"/>
      <x:c r="K40" s="106"/>
      <x:c r="L40" s="106"/>
    </x:row>
    <x:row r="41">
      <x:c r="A41" s="106"/>
      <x:c r="B41" s="108"/>
      <x:c r="C41" s="106"/>
      <x:c r="D41" s="107" t="str">
        <x:f>IF($C41="","",_xlfn.XLOOKUP($C41,'試行員工主檔'!$A$7:$A$20,'試行員工主檔'!$B$7:$B$20,"員工未建立",0))</x:f>
      </x:c>
      <x:c r="E41" s="106"/>
      <x:c r="F41" s="106"/>
      <x:c r="G41" s="106"/>
      <x:c r="H41" s="106"/>
      <x:c r="I41" s="106"/>
      <x:c r="J41" s="106"/>
      <x:c r="K41" s="106"/>
      <x:c r="L41" s="106"/>
    </x:row>
    <x:row r="42">
      <x:c r="A42" s="106"/>
      <x:c r="B42" s="108"/>
      <x:c r="C42" s="106"/>
      <x:c r="D42" s="107" t="str">
        <x:f>IF($C42="","",_xlfn.XLOOKUP($C42,'試行員工主檔'!$A$7:$A$20,'試行員工主檔'!$B$7:$B$20,"員工未建立",0))</x:f>
      </x:c>
      <x:c r="E42" s="106"/>
      <x:c r="F42" s="106"/>
      <x:c r="G42" s="106"/>
      <x:c r="H42" s="106"/>
      <x:c r="I42" s="106"/>
      <x:c r="J42" s="106"/>
      <x:c r="K42" s="106"/>
      <x:c r="L42" s="106"/>
    </x:row>
    <x:row r="43">
      <x:c r="A43" s="106"/>
      <x:c r="B43" s="108"/>
      <x:c r="C43" s="106"/>
      <x:c r="D43" s="107" t="str">
        <x:f>IF($C43="","",_xlfn.XLOOKUP($C43,'試行員工主檔'!$A$7:$A$20,'試行員工主檔'!$B$7:$B$20,"員工未建立",0))</x:f>
      </x:c>
      <x:c r="E43" s="106"/>
      <x:c r="F43" s="106"/>
      <x:c r="G43" s="106"/>
      <x:c r="H43" s="106"/>
      <x:c r="I43" s="106"/>
      <x:c r="J43" s="106"/>
      <x:c r="K43" s="106"/>
      <x:c r="L43" s="106"/>
    </x:row>
    <x:row r="44">
      <x:c r="A44" s="106"/>
      <x:c r="B44" s="108"/>
      <x:c r="C44" s="106"/>
      <x:c r="D44" s="107" t="str">
        <x:f>IF($C44="","",_xlfn.XLOOKUP($C44,'試行員工主檔'!$A$7:$A$20,'試行員工主檔'!$B$7:$B$20,"員工未建立",0))</x:f>
      </x:c>
      <x:c r="E44" s="106"/>
      <x:c r="F44" s="106"/>
      <x:c r="G44" s="106"/>
      <x:c r="H44" s="106"/>
      <x:c r="I44" s="106"/>
      <x:c r="J44" s="106"/>
      <x:c r="K44" s="106"/>
      <x:c r="L44" s="106"/>
    </x:row>
    <x:row r="45">
      <x:c r="A45" s="106"/>
      <x:c r="B45" s="108"/>
      <x:c r="C45" s="106"/>
      <x:c r="D45" s="107" t="str">
        <x:f>IF($C45="","",_xlfn.XLOOKUP($C45,'試行員工主檔'!$A$7:$A$20,'試行員工主檔'!$B$7:$B$20,"員工未建立",0))</x:f>
      </x:c>
      <x:c r="E45" s="106"/>
      <x:c r="F45" s="106"/>
      <x:c r="G45" s="106"/>
      <x:c r="H45" s="106"/>
      <x:c r="I45" s="106"/>
      <x:c r="J45" s="106"/>
      <x:c r="K45" s="106"/>
      <x:c r="L45" s="106"/>
    </x:row>
    <x:row r="46">
      <x:c r="A46" s="106"/>
      <x:c r="B46" s="108"/>
      <x:c r="C46" s="106"/>
      <x:c r="D46" s="107" t="str">
        <x:f>IF($C46="","",_xlfn.XLOOKUP($C46,'試行員工主檔'!$A$7:$A$20,'試行員工主檔'!$B$7:$B$20,"員工未建立",0))</x:f>
      </x:c>
      <x:c r="E46" s="106"/>
      <x:c r="F46" s="106"/>
      <x:c r="G46" s="106"/>
      <x:c r="H46" s="106"/>
      <x:c r="I46" s="106"/>
      <x:c r="J46" s="106"/>
      <x:c r="K46" s="106"/>
      <x:c r="L46" s="106"/>
    </x:row>
    <x:row r="47">
      <x:c r="A47" s="106"/>
      <x:c r="B47" s="108"/>
      <x:c r="C47" s="106"/>
      <x:c r="D47" s="107" t="str">
        <x:f>IF($C47="","",_xlfn.XLOOKUP($C47,'試行員工主檔'!$A$7:$A$20,'試行員工主檔'!$B$7:$B$20,"員工未建立",0))</x:f>
      </x:c>
      <x:c r="E47" s="106"/>
      <x:c r="F47" s="106"/>
      <x:c r="G47" s="106"/>
      <x:c r="H47" s="106"/>
      <x:c r="I47" s="106"/>
      <x:c r="J47" s="106"/>
      <x:c r="K47" s="106"/>
      <x:c r="L47" s="106"/>
    </x:row>
    <x:row r="48">
      <x:c r="A48" s="106"/>
      <x:c r="B48" s="108"/>
      <x:c r="C48" s="106"/>
      <x:c r="D48" s="107" t="str">
        <x:f>IF($C48="","",_xlfn.XLOOKUP($C48,'試行員工主檔'!$A$7:$A$20,'試行員工主檔'!$B$7:$B$20,"員工未建立",0))</x:f>
      </x:c>
      <x:c r="E48" s="106"/>
      <x:c r="F48" s="106"/>
      <x:c r="G48" s="106"/>
      <x:c r="H48" s="106"/>
      <x:c r="I48" s="106"/>
      <x:c r="J48" s="106"/>
      <x:c r="K48" s="106"/>
      <x:c r="L48" s="106"/>
    </x:row>
    <x:row r="49">
      <x:c r="A49" s="106"/>
      <x:c r="B49" s="108"/>
      <x:c r="C49" s="106"/>
      <x:c r="D49" s="107" t="str">
        <x:f>IF($C49="","",_xlfn.XLOOKUP($C49,'試行員工主檔'!$A$7:$A$20,'試行員工主檔'!$B$7:$B$20,"員工未建立",0))</x:f>
      </x:c>
      <x:c r="E49" s="106"/>
      <x:c r="F49" s="106"/>
      <x:c r="G49" s="106"/>
      <x:c r="H49" s="106"/>
      <x:c r="I49" s="106"/>
      <x:c r="J49" s="106"/>
      <x:c r="K49" s="106"/>
      <x:c r="L49" s="106"/>
    </x:row>
    <x:row r="50">
      <x:c r="A50" s="106"/>
      <x:c r="B50" s="108"/>
      <x:c r="C50" s="106"/>
      <x:c r="D50" s="107" t="str">
        <x:f>IF($C50="","",_xlfn.XLOOKUP($C50,'試行員工主檔'!$A$7:$A$20,'試行員工主檔'!$B$7:$B$20,"員工未建立",0))</x:f>
      </x:c>
      <x:c r="E50" s="106"/>
      <x:c r="F50" s="106"/>
      <x:c r="G50" s="106"/>
      <x:c r="H50" s="106"/>
      <x:c r="I50" s="106"/>
      <x:c r="J50" s="106"/>
      <x:c r="K50" s="106"/>
      <x:c r="L50" s="106"/>
    </x:row>
    <x:row r="51">
      <x:c r="A51" s="106"/>
      <x:c r="B51" s="108"/>
      <x:c r="C51" s="106"/>
      <x:c r="D51" s="107" t="str">
        <x:f>IF($C51="","",_xlfn.XLOOKUP($C51,'試行員工主檔'!$A$7:$A$20,'試行員工主檔'!$B$7:$B$20,"員工未建立",0))</x:f>
      </x:c>
      <x:c r="E51" s="106"/>
      <x:c r="F51" s="106"/>
      <x:c r="G51" s="106"/>
      <x:c r="H51" s="106"/>
      <x:c r="I51" s="106"/>
      <x:c r="J51" s="106"/>
      <x:c r="K51" s="106"/>
      <x:c r="L51" s="106"/>
    </x:row>
    <x:row r="52">
      <x:c r="A52" s="106"/>
      <x:c r="B52" s="108"/>
      <x:c r="C52" s="106"/>
      <x:c r="D52" s="107" t="str">
        <x:f>IF($C52="","",_xlfn.XLOOKUP($C52,'試行員工主檔'!$A$7:$A$20,'試行員工主檔'!$B$7:$B$20,"員工未建立",0))</x:f>
      </x:c>
      <x:c r="E52" s="106"/>
      <x:c r="F52" s="106"/>
      <x:c r="G52" s="106"/>
      <x:c r="H52" s="106"/>
      <x:c r="I52" s="106"/>
      <x:c r="J52" s="106"/>
      <x:c r="K52" s="106"/>
      <x:c r="L52" s="106"/>
    </x:row>
    <x:row r="53">
      <x:c r="A53" s="106"/>
      <x:c r="B53" s="108"/>
      <x:c r="C53" s="106"/>
      <x:c r="D53" s="107" t="str">
        <x:f>IF($C53="","",_xlfn.XLOOKUP($C53,'試行員工主檔'!$A$7:$A$20,'試行員工主檔'!$B$7:$B$20,"員工未建立",0))</x:f>
      </x:c>
      <x:c r="E53" s="106"/>
      <x:c r="F53" s="106"/>
      <x:c r="G53" s="106"/>
      <x:c r="H53" s="106"/>
      <x:c r="I53" s="106"/>
      <x:c r="J53" s="106"/>
      <x:c r="K53" s="106"/>
      <x:c r="L53" s="106"/>
    </x:row>
    <x:row r="54">
      <x:c r="A54" s="106"/>
      <x:c r="B54" s="108"/>
      <x:c r="C54" s="106"/>
      <x:c r="D54" s="107" t="str">
        <x:f>IF($C54="","",_xlfn.XLOOKUP($C54,'試行員工主檔'!$A$7:$A$20,'試行員工主檔'!$B$7:$B$20,"員工未建立",0))</x:f>
      </x:c>
      <x:c r="E54" s="106"/>
      <x:c r="F54" s="106"/>
      <x:c r="G54" s="106"/>
      <x:c r="H54" s="106"/>
      <x:c r="I54" s="106"/>
      <x:c r="J54" s="106"/>
      <x:c r="K54" s="106"/>
      <x:c r="L54" s="106"/>
    </x:row>
    <x:row r="55">
      <x:c r="A55" s="106"/>
      <x:c r="B55" s="108"/>
      <x:c r="C55" s="106"/>
      <x:c r="D55" s="107" t="str">
        <x:f>IF($C55="","",_xlfn.XLOOKUP($C55,'試行員工主檔'!$A$7:$A$20,'試行員工主檔'!$B$7:$B$20,"員工未建立",0))</x:f>
      </x:c>
      <x:c r="E55" s="106"/>
      <x:c r="F55" s="106"/>
      <x:c r="G55" s="106"/>
      <x:c r="H55" s="106"/>
      <x:c r="I55" s="106"/>
      <x:c r="J55" s="106"/>
      <x:c r="K55" s="106"/>
      <x:c r="L55" s="106"/>
    </x:row>
    <x:row r="56">
      <x:c r="A56" s="106"/>
      <x:c r="B56" s="108"/>
      <x:c r="C56" s="106"/>
      <x:c r="D56" s="107" t="str">
        <x:f>IF($C56="","",_xlfn.XLOOKUP($C56,'試行員工主檔'!$A$7:$A$20,'試行員工主檔'!$B$7:$B$20,"員工未建立",0))</x:f>
      </x:c>
      <x:c r="E56" s="106"/>
      <x:c r="F56" s="106"/>
      <x:c r="G56" s="106"/>
      <x:c r="H56" s="106"/>
      <x:c r="I56" s="106"/>
      <x:c r="J56" s="106"/>
      <x:c r="K56" s="106"/>
      <x:c r="L56" s="106"/>
    </x:row>
    <x:row r="57">
      <x:c r="A57" s="106"/>
      <x:c r="B57" s="108"/>
      <x:c r="C57" s="106"/>
      <x:c r="D57" s="107" t="str">
        <x:f>IF($C57="","",_xlfn.XLOOKUP($C57,'試行員工主檔'!$A$7:$A$20,'試行員工主檔'!$B$7:$B$20,"員工未建立",0))</x:f>
      </x:c>
      <x:c r="E57" s="106"/>
      <x:c r="F57" s="106"/>
      <x:c r="G57" s="106"/>
      <x:c r="H57" s="106"/>
      <x:c r="I57" s="106"/>
      <x:c r="J57" s="106"/>
      <x:c r="K57" s="106"/>
      <x:c r="L57" s="106"/>
    </x:row>
    <x:row r="58">
      <x:c r="A58" s="106"/>
      <x:c r="B58" s="108"/>
      <x:c r="C58" s="106"/>
      <x:c r="D58" s="107" t="str">
        <x:f>IF($C58="","",_xlfn.XLOOKUP($C58,'試行員工主檔'!$A$7:$A$20,'試行員工主檔'!$B$7:$B$20,"員工未建立",0))</x:f>
      </x:c>
      <x:c r="E58" s="106"/>
      <x:c r="F58" s="106"/>
      <x:c r="G58" s="106"/>
      <x:c r="H58" s="106"/>
      <x:c r="I58" s="106"/>
      <x:c r="J58" s="106"/>
      <x:c r="K58" s="106"/>
      <x:c r="L58" s="106"/>
    </x:row>
    <x:row r="59">
      <x:c r="A59" s="106"/>
      <x:c r="B59" s="108"/>
      <x:c r="C59" s="106"/>
      <x:c r="D59" s="107" t="str">
        <x:f>IF($C59="","",_xlfn.XLOOKUP($C59,'試行員工主檔'!$A$7:$A$20,'試行員工主檔'!$B$7:$B$20,"員工未建立",0))</x:f>
      </x:c>
      <x:c r="E59" s="106"/>
      <x:c r="F59" s="106"/>
      <x:c r="G59" s="106"/>
      <x:c r="H59" s="106"/>
      <x:c r="I59" s="106"/>
      <x:c r="J59" s="106"/>
      <x:c r="K59" s="106"/>
      <x:c r="L59" s="106"/>
    </x:row>
    <x:row r="60">
      <x:c r="A60" s="106"/>
      <x:c r="B60" s="108"/>
      <x:c r="C60" s="106"/>
      <x:c r="D60" s="107" t="str">
        <x:f>IF($C60="","",_xlfn.XLOOKUP($C60,'試行員工主檔'!$A$7:$A$20,'試行員工主檔'!$B$7:$B$20,"員工未建立",0))</x:f>
      </x:c>
      <x:c r="E60" s="106"/>
      <x:c r="F60" s="106"/>
      <x:c r="G60" s="106"/>
      <x:c r="H60" s="106"/>
      <x:c r="I60" s="106"/>
      <x:c r="J60" s="106"/>
      <x:c r="K60" s="106"/>
      <x:c r="L60" s="106"/>
    </x:row>
    <x:row r="61">
      <x:c r="A61" s="106"/>
      <x:c r="B61" s="108"/>
      <x:c r="C61" s="106"/>
      <x:c r="D61" s="107" t="str">
        <x:f>IF($C61="","",_xlfn.XLOOKUP($C61,'試行員工主檔'!$A$7:$A$20,'試行員工主檔'!$B$7:$B$20,"員工未建立",0))</x:f>
      </x:c>
      <x:c r="E61" s="106"/>
      <x:c r="F61" s="106"/>
      <x:c r="G61" s="106"/>
      <x:c r="H61" s="106"/>
      <x:c r="I61" s="106"/>
      <x:c r="J61" s="106"/>
      <x:c r="K61" s="106"/>
      <x:c r="L61" s="106"/>
    </x:row>
    <x:row r="62">
      <x:c r="A62" s="106"/>
      <x:c r="B62" s="108"/>
      <x:c r="C62" s="106"/>
      <x:c r="D62" s="107" t="str">
        <x:f>IF($C62="","",_xlfn.XLOOKUP($C62,'試行員工主檔'!$A$7:$A$20,'試行員工主檔'!$B$7:$B$20,"員工未建立",0))</x:f>
      </x:c>
      <x:c r="E62" s="106"/>
      <x:c r="F62" s="106"/>
      <x:c r="G62" s="106"/>
      <x:c r="H62" s="106"/>
      <x:c r="I62" s="106"/>
      <x:c r="J62" s="106"/>
      <x:c r="K62" s="106"/>
      <x:c r="L62" s="106"/>
    </x:row>
    <x:row r="63">
      <x:c r="A63" s="106"/>
      <x:c r="B63" s="108"/>
      <x:c r="C63" s="106"/>
      <x:c r="D63" s="107" t="str">
        <x:f>IF($C63="","",_xlfn.XLOOKUP($C63,'試行員工主檔'!$A$7:$A$20,'試行員工主檔'!$B$7:$B$20,"員工未建立",0))</x:f>
      </x:c>
      <x:c r="E63" s="106"/>
      <x:c r="F63" s="106"/>
      <x:c r="G63" s="106"/>
      <x:c r="H63" s="106"/>
      <x:c r="I63" s="106"/>
      <x:c r="J63" s="106"/>
      <x:c r="K63" s="106"/>
      <x:c r="L63" s="106"/>
    </x:row>
    <x:row r="64">
      <x:c r="A64" s="106"/>
      <x:c r="B64" s="108"/>
      <x:c r="C64" s="106"/>
      <x:c r="D64" s="107" t="str">
        <x:f>IF($C64="","",_xlfn.XLOOKUP($C64,'試行員工主檔'!$A$7:$A$20,'試行員工主檔'!$B$7:$B$20,"員工未建立",0))</x:f>
      </x:c>
      <x:c r="E64" s="106"/>
      <x:c r="F64" s="106"/>
      <x:c r="G64" s="106"/>
      <x:c r="H64" s="106"/>
      <x:c r="I64" s="106"/>
      <x:c r="J64" s="106"/>
      <x:c r="K64" s="106"/>
      <x:c r="L64" s="106"/>
    </x:row>
    <x:row r="65">
      <x:c r="A65" s="106"/>
      <x:c r="B65" s="108"/>
      <x:c r="C65" s="106"/>
      <x:c r="D65" s="107" t="str">
        <x:f>IF($C65="","",_xlfn.XLOOKUP($C65,'試行員工主檔'!$A$7:$A$20,'試行員工主檔'!$B$7:$B$20,"員工未建立",0))</x:f>
      </x:c>
      <x:c r="E65" s="106"/>
      <x:c r="F65" s="106"/>
      <x:c r="G65" s="106"/>
      <x:c r="H65" s="106"/>
      <x:c r="I65" s="106"/>
      <x:c r="J65" s="106"/>
      <x:c r="K65" s="106"/>
      <x:c r="L65" s="106"/>
    </x:row>
    <x:row r="66">
      <x:c r="A66" s="106"/>
      <x:c r="B66" s="108"/>
      <x:c r="C66" s="106"/>
      <x:c r="D66" s="107" t="str">
        <x:f>IF($C66="","",_xlfn.XLOOKUP($C66,'試行員工主檔'!$A$7:$A$20,'試行員工主檔'!$B$7:$B$20,"員工未建立",0))</x:f>
      </x:c>
      <x:c r="E66" s="106"/>
      <x:c r="F66" s="106"/>
      <x:c r="G66" s="106"/>
      <x:c r="H66" s="106"/>
      <x:c r="I66" s="106"/>
      <x:c r="J66" s="106"/>
      <x:c r="K66" s="106"/>
      <x:c r="L66" s="106"/>
    </x:row>
    <x:row r="67">
      <x:c r="A67" s="106"/>
      <x:c r="B67" s="108"/>
      <x:c r="C67" s="106"/>
      <x:c r="D67" s="107" t="str">
        <x:f>IF($C67="","",_xlfn.XLOOKUP($C67,'試行員工主檔'!$A$7:$A$20,'試行員工主檔'!$B$7:$B$20,"員工未建立",0))</x:f>
      </x:c>
      <x:c r="E67" s="106"/>
      <x:c r="F67" s="106"/>
      <x:c r="G67" s="106"/>
      <x:c r="H67" s="106"/>
      <x:c r="I67" s="106"/>
      <x:c r="J67" s="106"/>
      <x:c r="K67" s="106"/>
      <x:c r="L67" s="106"/>
    </x:row>
    <x:row r="68">
      <x:c r="A68" s="106"/>
      <x:c r="B68" s="108"/>
      <x:c r="C68" s="106"/>
      <x:c r="D68" s="107" t="str">
        <x:f>IF($C68="","",_xlfn.XLOOKUP($C68,'試行員工主檔'!$A$7:$A$20,'試行員工主檔'!$B$7:$B$20,"員工未建立",0))</x:f>
      </x:c>
      <x:c r="E68" s="106"/>
      <x:c r="F68" s="106"/>
      <x:c r="G68" s="106"/>
      <x:c r="H68" s="106"/>
      <x:c r="I68" s="106"/>
      <x:c r="J68" s="106"/>
      <x:c r="K68" s="106"/>
      <x:c r="L68" s="106"/>
    </x:row>
    <x:row r="69">
      <x:c r="A69" s="106"/>
      <x:c r="B69" s="108"/>
      <x:c r="C69" s="106"/>
      <x:c r="D69" s="107" t="str">
        <x:f>IF($C69="","",_xlfn.XLOOKUP($C69,'試行員工主檔'!$A$7:$A$20,'試行員工主檔'!$B$7:$B$20,"員工未建立",0))</x:f>
      </x:c>
      <x:c r="E69" s="106"/>
      <x:c r="F69" s="106"/>
      <x:c r="G69" s="106"/>
      <x:c r="H69" s="106"/>
      <x:c r="I69" s="106"/>
      <x:c r="J69" s="106"/>
      <x:c r="K69" s="106"/>
      <x:c r="L69" s="106"/>
    </x:row>
    <x:row r="70">
      <x:c r="A70" s="106"/>
      <x:c r="B70" s="108"/>
      <x:c r="C70" s="106"/>
      <x:c r="D70" s="107" t="str">
        <x:f>IF($C70="","",_xlfn.XLOOKUP($C70,'試行員工主檔'!$A$7:$A$20,'試行員工主檔'!$B$7:$B$20,"員工未建立",0))</x:f>
      </x:c>
      <x:c r="E70" s="106"/>
      <x:c r="F70" s="106"/>
      <x:c r="G70" s="106"/>
      <x:c r="H70" s="106"/>
      <x:c r="I70" s="106"/>
      <x:c r="J70" s="106"/>
      <x:c r="K70" s="106"/>
      <x:c r="L70" s="106"/>
    </x:row>
    <x:row r="71">
      <x:c r="A71" s="106"/>
      <x:c r="B71" s="108"/>
      <x:c r="C71" s="106"/>
      <x:c r="D71" s="107" t="str">
        <x:f>IF($C71="","",_xlfn.XLOOKUP($C71,'試行員工主檔'!$A$7:$A$20,'試行員工主檔'!$B$7:$B$20,"員工未建立",0))</x:f>
      </x:c>
      <x:c r="E71" s="106"/>
      <x:c r="F71" s="106"/>
      <x:c r="G71" s="106"/>
      <x:c r="H71" s="106"/>
      <x:c r="I71" s="106"/>
      <x:c r="J71" s="106"/>
      <x:c r="K71" s="106"/>
      <x:c r="L71" s="106"/>
    </x:row>
    <x:row r="72">
      <x:c r="A72" s="106"/>
      <x:c r="B72" s="108"/>
      <x:c r="C72" s="106"/>
      <x:c r="D72" s="107" t="str">
        <x:f>IF($C72="","",_xlfn.XLOOKUP($C72,'試行員工主檔'!$A$7:$A$20,'試行員工主檔'!$B$7:$B$20,"員工未建立",0))</x:f>
      </x:c>
      <x:c r="E72" s="106"/>
      <x:c r="F72" s="106"/>
      <x:c r="G72" s="106"/>
      <x:c r="H72" s="106"/>
      <x:c r="I72" s="106"/>
      <x:c r="J72" s="106"/>
      <x:c r="K72" s="106"/>
      <x:c r="L72" s="106"/>
    </x:row>
    <x:row r="73">
      <x:c r="A73" s="106"/>
      <x:c r="B73" s="108"/>
      <x:c r="C73" s="106"/>
      <x:c r="D73" s="107" t="str">
        <x:f>IF($C73="","",_xlfn.XLOOKUP($C73,'試行員工主檔'!$A$7:$A$20,'試行員工主檔'!$B$7:$B$20,"員工未建立",0))</x:f>
      </x:c>
      <x:c r="E73" s="106"/>
      <x:c r="F73" s="106"/>
      <x:c r="G73" s="106"/>
      <x:c r="H73" s="106"/>
      <x:c r="I73" s="106"/>
      <x:c r="J73" s="106"/>
      <x:c r="K73" s="106"/>
      <x:c r="L73" s="106"/>
    </x:row>
    <x:row r="74">
      <x:c r="A74" s="106"/>
      <x:c r="B74" s="108"/>
      <x:c r="C74" s="106"/>
      <x:c r="D74" s="107" t="str">
        <x:f>IF($C74="","",_xlfn.XLOOKUP($C74,'試行員工主檔'!$A$7:$A$20,'試行員工主檔'!$B$7:$B$20,"員工未建立",0))</x:f>
      </x:c>
      <x:c r="E74" s="106"/>
      <x:c r="F74" s="106"/>
      <x:c r="G74" s="106"/>
      <x:c r="H74" s="106"/>
      <x:c r="I74" s="106"/>
      <x:c r="J74" s="106"/>
      <x:c r="K74" s="106"/>
      <x:c r="L74" s="106"/>
    </x:row>
    <x:row r="75">
      <x:c r="A75" s="106"/>
      <x:c r="B75" s="108"/>
      <x:c r="C75" s="106"/>
      <x:c r="D75" s="107" t="str">
        <x:f>IF($C75="","",_xlfn.XLOOKUP($C75,'試行員工主檔'!$A$7:$A$20,'試行員工主檔'!$B$7:$B$20,"員工未建立",0))</x:f>
      </x:c>
      <x:c r="E75" s="106"/>
      <x:c r="F75" s="106"/>
      <x:c r="G75" s="106"/>
      <x:c r="H75" s="106"/>
      <x:c r="I75" s="106"/>
      <x:c r="J75" s="106"/>
      <x:c r="K75" s="106"/>
      <x:c r="L75" s="106"/>
    </x:row>
    <x:row r="76">
      <x:c r="A76" s="106"/>
      <x:c r="B76" s="108"/>
      <x:c r="C76" s="106"/>
      <x:c r="D76" s="107" t="str">
        <x:f>IF($C76="","",_xlfn.XLOOKUP($C76,'試行員工主檔'!$A$7:$A$20,'試行員工主檔'!$B$7:$B$20,"員工未建立",0))</x:f>
      </x:c>
      <x:c r="E76" s="106"/>
      <x:c r="F76" s="106"/>
      <x:c r="G76" s="106"/>
      <x:c r="H76" s="106"/>
      <x:c r="I76" s="106"/>
      <x:c r="J76" s="106"/>
      <x:c r="K76" s="106"/>
      <x:c r="L76" s="106"/>
    </x:row>
    <x:row r="77">
      <x:c r="A77" s="106"/>
      <x:c r="B77" s="108"/>
      <x:c r="C77" s="106"/>
      <x:c r="D77" s="107" t="str">
        <x:f>IF($C77="","",_xlfn.XLOOKUP($C77,'試行員工主檔'!$A$7:$A$20,'試行員工主檔'!$B$7:$B$20,"員工未建立",0))</x:f>
      </x:c>
      <x:c r="E77" s="106"/>
      <x:c r="F77" s="106"/>
      <x:c r="G77" s="106"/>
      <x:c r="H77" s="106"/>
      <x:c r="I77" s="106"/>
      <x:c r="J77" s="106"/>
      <x:c r="K77" s="106"/>
      <x:c r="L77" s="106"/>
    </x:row>
    <x:row r="78">
      <x:c r="A78" s="106"/>
      <x:c r="B78" s="108"/>
      <x:c r="C78" s="106"/>
      <x:c r="D78" s="107" t="str">
        <x:f>IF($C78="","",_xlfn.XLOOKUP($C78,'試行員工主檔'!$A$7:$A$20,'試行員工主檔'!$B$7:$B$20,"員工未建立",0))</x:f>
      </x:c>
      <x:c r="E78" s="106"/>
      <x:c r="F78" s="106"/>
      <x:c r="G78" s="106"/>
      <x:c r="H78" s="106"/>
      <x:c r="I78" s="106"/>
      <x:c r="J78" s="106"/>
      <x:c r="K78" s="106"/>
      <x:c r="L78" s="106"/>
    </x:row>
    <x:row r="79">
      <x:c r="A79" s="106"/>
      <x:c r="B79" s="108"/>
      <x:c r="C79" s="106"/>
      <x:c r="D79" s="107" t="str">
        <x:f>IF($C79="","",_xlfn.XLOOKUP($C79,'試行員工主檔'!$A$7:$A$20,'試行員工主檔'!$B$7:$B$20,"員工未建立",0))</x:f>
      </x:c>
      <x:c r="E79" s="106"/>
      <x:c r="F79" s="106"/>
      <x:c r="G79" s="106"/>
      <x:c r="H79" s="106"/>
      <x:c r="I79" s="106"/>
      <x:c r="J79" s="106"/>
      <x:c r="K79" s="106"/>
      <x:c r="L79" s="106"/>
    </x:row>
    <x:row r="80">
      <x:c r="A80" s="106"/>
      <x:c r="B80" s="108"/>
      <x:c r="C80" s="106"/>
      <x:c r="D80" s="107" t="str">
        <x:f>IF($C80="","",_xlfn.XLOOKUP($C80,'試行員工主檔'!$A$7:$A$20,'試行員工主檔'!$B$7:$B$20,"員工未建立",0))</x:f>
      </x:c>
      <x:c r="E80" s="106"/>
      <x:c r="F80" s="106"/>
      <x:c r="G80" s="106"/>
      <x:c r="H80" s="106"/>
      <x:c r="I80" s="106"/>
      <x:c r="J80" s="106"/>
      <x:c r="K80" s="106"/>
      <x:c r="L80" s="106"/>
    </x:row>
    <x:row r="81">
      <x:c r="A81" s="106"/>
      <x:c r="B81" s="108"/>
      <x:c r="C81" s="106"/>
      <x:c r="D81" s="107" t="str">
        <x:f>IF($C81="","",_xlfn.XLOOKUP($C81,'試行員工主檔'!$A$7:$A$20,'試行員工主檔'!$B$7:$B$20,"員工未建立",0))</x:f>
      </x:c>
      <x:c r="E81" s="106"/>
      <x:c r="F81" s="106"/>
      <x:c r="G81" s="106"/>
      <x:c r="H81" s="106"/>
      <x:c r="I81" s="106"/>
      <x:c r="J81" s="106"/>
      <x:c r="K81" s="106"/>
      <x:c r="L81" s="106"/>
    </x:row>
    <x:row r="82">
      <x:c r="A82" s="106"/>
      <x:c r="B82" s="108"/>
      <x:c r="C82" s="106"/>
      <x:c r="D82" s="107" t="str">
        <x:f>IF($C82="","",_xlfn.XLOOKUP($C82,'試行員工主檔'!$A$7:$A$20,'試行員工主檔'!$B$7:$B$20,"員工未建立",0))</x:f>
      </x:c>
      <x:c r="E82" s="106"/>
      <x:c r="F82" s="106"/>
      <x:c r="G82" s="106"/>
      <x:c r="H82" s="106"/>
      <x:c r="I82" s="106"/>
      <x:c r="J82" s="106"/>
      <x:c r="K82" s="106"/>
      <x:c r="L82" s="106"/>
    </x:row>
    <x:row r="83">
      <x:c r="A83" s="106"/>
      <x:c r="B83" s="108"/>
      <x:c r="C83" s="106"/>
      <x:c r="D83" s="107" t="str">
        <x:f>IF($C83="","",_xlfn.XLOOKUP($C83,'試行員工主檔'!$A$7:$A$20,'試行員工主檔'!$B$7:$B$20,"員工未建立",0))</x:f>
      </x:c>
      <x:c r="E83" s="106"/>
      <x:c r="F83" s="106"/>
      <x:c r="G83" s="106"/>
      <x:c r="H83" s="106"/>
      <x:c r="I83" s="106"/>
      <x:c r="J83" s="106"/>
      <x:c r="K83" s="106"/>
      <x:c r="L83" s="106"/>
    </x:row>
    <x:row r="84">
      <x:c r="A84" s="106"/>
      <x:c r="B84" s="108"/>
      <x:c r="C84" s="106"/>
      <x:c r="D84" s="107" t="str">
        <x:f>IF($C84="","",_xlfn.XLOOKUP($C84,'試行員工主檔'!$A$7:$A$20,'試行員工主檔'!$B$7:$B$20,"員工未建立",0))</x:f>
      </x:c>
      <x:c r="E84" s="106"/>
      <x:c r="F84" s="106"/>
      <x:c r="G84" s="106"/>
      <x:c r="H84" s="106"/>
      <x:c r="I84" s="106"/>
      <x:c r="J84" s="106"/>
      <x:c r="K84" s="106"/>
      <x:c r="L84" s="106"/>
    </x:row>
    <x:row r="85">
      <x:c r="A85" s="106"/>
      <x:c r="B85" s="108"/>
      <x:c r="C85" s="106"/>
      <x:c r="D85" s="107" t="str">
        <x:f>IF($C85="","",_xlfn.XLOOKUP($C85,'試行員工主檔'!$A$7:$A$20,'試行員工主檔'!$B$7:$B$20,"員工未建立",0))</x:f>
      </x:c>
      <x:c r="E85" s="106"/>
      <x:c r="F85" s="106"/>
      <x:c r="G85" s="106"/>
      <x:c r="H85" s="106"/>
      <x:c r="I85" s="106"/>
      <x:c r="J85" s="106"/>
      <x:c r="K85" s="106"/>
      <x:c r="L85" s="106"/>
    </x:row>
    <x:row r="86">
      <x:c r="A86" s="106"/>
      <x:c r="B86" s="108"/>
      <x:c r="C86" s="106"/>
      <x:c r="D86" s="107" t="str">
        <x:f>IF($C86="","",_xlfn.XLOOKUP($C86,'試行員工主檔'!$A$7:$A$20,'試行員工主檔'!$B$7:$B$20,"員工未建立",0))</x:f>
      </x:c>
      <x:c r="E86" s="106"/>
      <x:c r="F86" s="106"/>
      <x:c r="G86" s="106"/>
      <x:c r="H86" s="106"/>
      <x:c r="I86" s="106"/>
      <x:c r="J86" s="106"/>
      <x:c r="K86" s="106"/>
      <x:c r="L86" s="106"/>
    </x:row>
    <x:row r="87">
      <x:c r="A87" s="106"/>
      <x:c r="B87" s="108"/>
      <x:c r="C87" s="106"/>
      <x:c r="D87" s="107" t="str">
        <x:f>IF($C87="","",_xlfn.XLOOKUP($C87,'試行員工主檔'!$A$7:$A$20,'試行員工主檔'!$B$7:$B$20,"員工未建立",0))</x:f>
      </x:c>
      <x:c r="E87" s="106"/>
      <x:c r="F87" s="106"/>
      <x:c r="G87" s="106"/>
      <x:c r="H87" s="106"/>
      <x:c r="I87" s="106"/>
      <x:c r="J87" s="106"/>
      <x:c r="K87" s="106"/>
      <x:c r="L87" s="106"/>
    </x:row>
    <x:row r="88">
      <x:c r="A88" s="106"/>
      <x:c r="B88" s="108"/>
      <x:c r="C88" s="106"/>
      <x:c r="D88" s="107" t="str">
        <x:f>IF($C88="","",_xlfn.XLOOKUP($C88,'試行員工主檔'!$A$7:$A$20,'試行員工主檔'!$B$7:$B$20,"員工未建立",0))</x:f>
      </x:c>
      <x:c r="E88" s="106"/>
      <x:c r="F88" s="106"/>
      <x:c r="G88" s="106"/>
      <x:c r="H88" s="106"/>
      <x:c r="I88" s="106"/>
      <x:c r="J88" s="106"/>
      <x:c r="K88" s="106"/>
      <x:c r="L88" s="106"/>
    </x:row>
    <x:row r="89">
      <x:c r="A89" s="106"/>
      <x:c r="B89" s="108"/>
      <x:c r="C89" s="106"/>
      <x:c r="D89" s="107" t="str">
        <x:f>IF($C89="","",_xlfn.XLOOKUP($C89,'試行員工主檔'!$A$7:$A$20,'試行員工主檔'!$B$7:$B$20,"員工未建立",0))</x:f>
      </x:c>
      <x:c r="E89" s="106"/>
      <x:c r="F89" s="106"/>
      <x:c r="G89" s="106"/>
      <x:c r="H89" s="106"/>
      <x:c r="I89" s="106"/>
      <x:c r="J89" s="106"/>
      <x:c r="K89" s="106"/>
      <x:c r="L89" s="106"/>
    </x:row>
    <x:row r="90">
      <x:c r="A90" s="106"/>
      <x:c r="B90" s="108"/>
      <x:c r="C90" s="106"/>
      <x:c r="D90" s="107" t="str">
        <x:f>IF($C90="","",_xlfn.XLOOKUP($C90,'試行員工主檔'!$A$7:$A$20,'試行員工主檔'!$B$7:$B$20,"員工未建立",0))</x:f>
      </x:c>
      <x:c r="E90" s="106"/>
      <x:c r="F90" s="106"/>
      <x:c r="G90" s="106"/>
      <x:c r="H90" s="106"/>
      <x:c r="I90" s="106"/>
      <x:c r="J90" s="106"/>
      <x:c r="K90" s="106"/>
      <x:c r="L90" s="106"/>
    </x:row>
    <x:row r="91">
      <x:c r="A91" s="106"/>
      <x:c r="B91" s="108"/>
      <x:c r="C91" s="106"/>
      <x:c r="D91" s="107" t="str">
        <x:f>IF($C91="","",_xlfn.XLOOKUP($C91,'試行員工主檔'!$A$7:$A$20,'試行員工主檔'!$B$7:$B$20,"員工未建立",0))</x:f>
      </x:c>
      <x:c r="E91" s="106"/>
      <x:c r="F91" s="106"/>
      <x:c r="G91" s="106"/>
      <x:c r="H91" s="106"/>
      <x:c r="I91" s="106"/>
      <x:c r="J91" s="106"/>
      <x:c r="K91" s="106"/>
      <x:c r="L91" s="106"/>
    </x:row>
    <x:row r="92">
      <x:c r="A92" s="106"/>
      <x:c r="B92" s="108"/>
      <x:c r="C92" s="106"/>
      <x:c r="D92" s="107" t="str">
        <x:f>IF($C92="","",_xlfn.XLOOKUP($C92,'試行員工主檔'!$A$7:$A$20,'試行員工主檔'!$B$7:$B$20,"員工未建立",0))</x:f>
      </x:c>
      <x:c r="E92" s="106"/>
      <x:c r="F92" s="106"/>
      <x:c r="G92" s="106"/>
      <x:c r="H92" s="106"/>
      <x:c r="I92" s="106"/>
      <x:c r="J92" s="106"/>
      <x:c r="K92" s="106"/>
      <x:c r="L92" s="106"/>
    </x:row>
    <x:row r="93">
      <x:c r="A93" s="106"/>
      <x:c r="B93" s="108"/>
      <x:c r="C93" s="106"/>
      <x:c r="D93" s="107" t="str">
        <x:f>IF($C93="","",_xlfn.XLOOKUP($C93,'試行員工主檔'!$A$7:$A$20,'試行員工主檔'!$B$7:$B$20,"員工未建立",0))</x:f>
      </x:c>
      <x:c r="E93" s="106"/>
      <x:c r="F93" s="106"/>
      <x:c r="G93" s="106"/>
      <x:c r="H93" s="106"/>
      <x:c r="I93" s="106"/>
      <x:c r="J93" s="106"/>
      <x:c r="K93" s="106"/>
      <x:c r="L93" s="106"/>
    </x:row>
    <x:row r="94">
      <x:c r="A94" s="106"/>
      <x:c r="B94" s="108"/>
      <x:c r="C94" s="106"/>
      <x:c r="D94" s="107" t="str">
        <x:f>IF($C94="","",_xlfn.XLOOKUP($C94,'試行員工主檔'!$A$7:$A$20,'試行員工主檔'!$B$7:$B$20,"員工未建立",0))</x:f>
      </x:c>
      <x:c r="E94" s="106"/>
      <x:c r="F94" s="106"/>
      <x:c r="G94" s="106"/>
      <x:c r="H94" s="106"/>
      <x:c r="I94" s="106"/>
      <x:c r="J94" s="106"/>
      <x:c r="K94" s="106"/>
      <x:c r="L94" s="106"/>
    </x:row>
    <x:row r="95">
      <x:c r="A95" s="106"/>
      <x:c r="B95" s="108"/>
      <x:c r="C95" s="106"/>
      <x:c r="D95" s="107" t="str">
        <x:f>IF($C95="","",_xlfn.XLOOKUP($C95,'試行員工主檔'!$A$7:$A$20,'試行員工主檔'!$B$7:$B$20,"員工未建立",0))</x:f>
      </x:c>
      <x:c r="E95" s="106"/>
      <x:c r="F95" s="106"/>
      <x:c r="G95" s="106"/>
      <x:c r="H95" s="106"/>
      <x:c r="I95" s="106"/>
      <x:c r="J95" s="106"/>
      <x:c r="K95" s="106"/>
      <x:c r="L95" s="106"/>
    </x:row>
    <x:row r="96">
      <x:c r="A96" s="106"/>
      <x:c r="B96" s="108"/>
      <x:c r="C96" s="106"/>
      <x:c r="D96" s="107" t="str">
        <x:f>IF($C96="","",_xlfn.XLOOKUP($C96,'試行員工主檔'!$A$7:$A$20,'試行員工主檔'!$B$7:$B$20,"員工未建立",0))</x:f>
      </x:c>
      <x:c r="E96" s="106"/>
      <x:c r="F96" s="106"/>
      <x:c r="G96" s="106"/>
      <x:c r="H96" s="106"/>
      <x:c r="I96" s="106"/>
      <x:c r="J96" s="106"/>
      <x:c r="K96" s="106"/>
      <x:c r="L96" s="106"/>
    </x:row>
    <x:row r="97">
      <x:c r="A97" s="106"/>
      <x:c r="B97" s="108"/>
      <x:c r="C97" s="106"/>
      <x:c r="D97" s="107" t="str">
        <x:f>IF($C97="","",_xlfn.XLOOKUP($C97,'試行員工主檔'!$A$7:$A$20,'試行員工主檔'!$B$7:$B$20,"員工未建立",0))</x:f>
      </x:c>
      <x:c r="E97" s="106"/>
      <x:c r="F97" s="106"/>
      <x:c r="G97" s="106"/>
      <x:c r="H97" s="106"/>
      <x:c r="I97" s="106"/>
      <x:c r="J97" s="106"/>
      <x:c r="K97" s="106"/>
      <x:c r="L97" s="106"/>
    </x:row>
    <x:row r="98">
      <x:c r="A98" s="106"/>
      <x:c r="B98" s="108"/>
      <x:c r="C98" s="106"/>
      <x:c r="D98" s="107" t="str">
        <x:f>IF($C98="","",_xlfn.XLOOKUP($C98,'試行員工主檔'!$A$7:$A$20,'試行員工主檔'!$B$7:$B$20,"員工未建立",0))</x:f>
      </x:c>
      <x:c r="E98" s="106"/>
      <x:c r="F98" s="106"/>
      <x:c r="G98" s="106"/>
      <x:c r="H98" s="106"/>
      <x:c r="I98" s="106"/>
      <x:c r="J98" s="106"/>
      <x:c r="K98" s="106"/>
      <x:c r="L98" s="106"/>
    </x:row>
    <x:row r="99">
      <x:c r="A99" s="106"/>
      <x:c r="B99" s="108"/>
      <x:c r="C99" s="106"/>
      <x:c r="D99" s="107" t="str">
        <x:f>IF($C99="","",_xlfn.XLOOKUP($C99,'試行員工主檔'!$A$7:$A$20,'試行員工主檔'!$B$7:$B$20,"員工未建立",0))</x:f>
      </x:c>
      <x:c r="E99" s="106"/>
      <x:c r="F99" s="106"/>
      <x:c r="G99" s="106"/>
      <x:c r="H99" s="106"/>
      <x:c r="I99" s="106"/>
      <x:c r="J99" s="106"/>
      <x:c r="K99" s="106"/>
      <x:c r="L99" s="106"/>
    </x:row>
    <x:row r="100">
      <x:c r="A100" s="106"/>
      <x:c r="B100" s="108"/>
      <x:c r="C100" s="106"/>
      <x:c r="D100" s="107" t="str">
        <x:f>IF($C100="","",_xlfn.XLOOKUP($C100,'試行員工主檔'!$A$7:$A$20,'試行員工主檔'!$B$7:$B$20,"員工未建立",0))</x:f>
      </x:c>
      <x:c r="E100" s="106"/>
      <x:c r="F100" s="106"/>
      <x:c r="G100" s="106"/>
      <x:c r="H100" s="106"/>
      <x:c r="I100" s="106"/>
      <x:c r="J100" s="106"/>
      <x:c r="K100" s="106"/>
      <x:c r="L100" s="106"/>
    </x:row>
    <x:row r="101">
      <x:c r="A101" s="106"/>
      <x:c r="B101" s="108"/>
      <x:c r="C101" s="106"/>
      <x:c r="D101" s="107" t="str">
        <x:f>IF($C101="","",_xlfn.XLOOKUP($C101,'試行員工主檔'!$A$7:$A$20,'試行員工主檔'!$B$7:$B$20,"員工未建立",0))</x:f>
      </x:c>
      <x:c r="E101" s="106"/>
      <x:c r="F101" s="106"/>
      <x:c r="G101" s="106"/>
      <x:c r="H101" s="106"/>
      <x:c r="I101" s="106"/>
      <x:c r="J101" s="106"/>
      <x:c r="K101" s="106"/>
      <x:c r="L101" s="106"/>
    </x:row>
    <x:row r="102">
      <x:c r="A102" s="106"/>
      <x:c r="B102" s="108"/>
      <x:c r="C102" s="106"/>
      <x:c r="D102" s="107" t="str">
        <x:f>IF($C102="","",_xlfn.XLOOKUP($C102,'試行員工主檔'!$A$7:$A$20,'試行員工主檔'!$B$7:$B$20,"員工未建立",0))</x:f>
      </x:c>
      <x:c r="E102" s="106"/>
      <x:c r="F102" s="106"/>
      <x:c r="G102" s="106"/>
      <x:c r="H102" s="106"/>
      <x:c r="I102" s="106"/>
      <x:c r="J102" s="106"/>
      <x:c r="K102" s="106"/>
      <x:c r="L102" s="106"/>
    </x:row>
    <x:row r="103">
      <x:c r="A103" s="106"/>
      <x:c r="B103" s="108"/>
      <x:c r="C103" s="106"/>
      <x:c r="D103" s="107" t="str">
        <x:f>IF($C103="","",_xlfn.XLOOKUP($C103,'試行員工主檔'!$A$7:$A$20,'試行員工主檔'!$B$7:$B$20,"員工未建立",0))</x:f>
      </x:c>
      <x:c r="E103" s="106"/>
      <x:c r="F103" s="106"/>
      <x:c r="G103" s="106"/>
      <x:c r="H103" s="106"/>
      <x:c r="I103" s="106"/>
      <x:c r="J103" s="106"/>
      <x:c r="K103" s="106"/>
      <x:c r="L103" s="106"/>
    </x:row>
    <x:row r="104">
      <x:c r="A104" s="106"/>
      <x:c r="B104" s="108"/>
      <x:c r="C104" s="106"/>
      <x:c r="D104" s="107" t="str">
        <x:f>IF($C104="","",_xlfn.XLOOKUP($C104,'試行員工主檔'!$A$7:$A$20,'試行員工主檔'!$B$7:$B$20,"員工未建立",0))</x:f>
      </x:c>
      <x:c r="E104" s="106"/>
      <x:c r="F104" s="106"/>
      <x:c r="G104" s="106"/>
      <x:c r="H104" s="106"/>
      <x:c r="I104" s="106"/>
      <x:c r="J104" s="106"/>
      <x:c r="K104" s="106"/>
      <x:c r="L104" s="106"/>
    </x:row>
    <x:row r="105">
      <x:c r="A105" s="106"/>
      <x:c r="B105" s="108"/>
      <x:c r="C105" s="106"/>
      <x:c r="D105" s="107" t="str">
        <x:f>IF($C105="","",_xlfn.XLOOKUP($C105,'試行員工主檔'!$A$7:$A$20,'試行員工主檔'!$B$7:$B$20,"員工未建立",0))</x:f>
      </x:c>
      <x:c r="E105" s="106"/>
      <x:c r="F105" s="106"/>
      <x:c r="G105" s="106"/>
      <x:c r="H105" s="106"/>
      <x:c r="I105" s="106"/>
      <x:c r="J105" s="106"/>
      <x:c r="K105" s="106"/>
      <x:c r="L105" s="106"/>
    </x:row>
    <x:row r="106">
      <x:c r="A106" s="106"/>
      <x:c r="B106" s="108"/>
      <x:c r="C106" s="106"/>
      <x:c r="D106" s="107" t="str">
        <x:f>IF($C106="","",_xlfn.XLOOKUP($C106,'試行員工主檔'!$A$7:$A$20,'試行員工主檔'!$B$7:$B$20,"員工未建立",0))</x:f>
      </x:c>
      <x:c r="E106" s="106"/>
      <x:c r="F106" s="106"/>
      <x:c r="G106" s="106"/>
      <x:c r="H106" s="106"/>
      <x:c r="I106" s="106"/>
      <x:c r="J106" s="106"/>
      <x:c r="K106" s="106"/>
      <x:c r="L106" s="106"/>
    </x:row>
  </x:sheetData>
  <x:dataValidations count="4">
    <x:dataValidation type="list" sqref="C7:C106">
      <x:formula1>'試行員工主檔'!$A$7:$A$20</x:formula1>
    </x:dataValidation>
    <x:dataValidation type="list" sqref="E7:E106">
      <x:formula1>"兩個月面談,考核結果確認,平時反映,異議複核"</x:formula1>
    </x:dataValidation>
    <x:dataValidation type="list" sqref="H7:H106">
      <x:formula1>"待確認,已知悉"</x:formula1>
    </x:dataValidation>
    <x:dataValidation type="list" sqref="I7:I106">
      <x:formula1>"無異議,提出異議,複核中,已結案"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44d41d42cd45d3"/>
  </x:tableParts>
</x:worksheet>
</file>

<file path=xl/worksheets/sheet25.xml><?xml version="1.0" encoding="utf-8"?>
<x:worksheet xmlns:x="http://schemas.openxmlformats.org/spreadsheetml/2006/main">
  <x:sheetPr>
    <x:tabColor rgb="FF1F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42" hidden="0" customWidth="1"/>
  </x:cols>
  <x:sheetData>
    <x:row r="2">
      <x:c r="A2" s="74" t="str">
        <x:v>半年複評待辦</x:v>
      </x:c>
      <x:c r="B2" s="74"/>
      <x:c r="C2" s="74"/>
      <x:c r="D2" s="74"/>
      <x:c r="E2" s="74"/>
      <x:c r="F2" s="74"/>
      <x:c r="G2" s="74"/>
      <x:c r="H2" s="74"/>
      <x:c r="I2" s="74"/>
      <x:c r="J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>
      <x:c r="A4" s="75" t="str">
        <x:v>低頻高風險技能沒有寬限；其他技能只有在已排定補考日時才可啟用 30 天寬限。</x:v>
      </x:c>
      <x:c r="B4" s="75"/>
      <x:c r="C4" s="75"/>
      <x:c r="D4" s="75"/>
      <x:c r="E4" s="75"/>
      <x:c r="F4" s="75"/>
      <x:c r="G4" s="75"/>
      <x:c r="H4" s="75"/>
      <x:c r="I4" s="75"/>
      <x:c r="J4" s="75"/>
    </x:row>
    <x:row r="6">
      <x:c r="A6" s="104" t="str">
        <x:v>員工編號</x:v>
      </x:c>
      <x:c r="B6" s="104" t="str">
        <x:v>姓名</x:v>
      </x:c>
      <x:c r="C6" s="104" t="str">
        <x:v>技能代碼</x:v>
      </x:c>
      <x:c r="D6" s="104" t="str">
        <x:v>目前評等</x:v>
      </x:c>
      <x:c r="E6" s="104" t="str">
        <x:v>資格狀態</x:v>
      </x:c>
      <x:c r="F6" s="104" t="str">
        <x:v>到期日</x:v>
      </x:c>
      <x:c r="G6" s="104" t="str">
        <x:v>寬限天數</x:v>
      </x:c>
      <x:c r="H6" s="104" t="str">
        <x:v>補考日</x:v>
      </x:c>
      <x:c r="I6" s="104" t="str">
        <x:v>剩餘天數</x:v>
      </x:c>
      <x:c r="J6" s="104" t="str">
        <x:v>處理建議</x:v>
      </x:c>
    </x:row>
    <x:row r="7">
      <x:c r="A7" s="79" t="str">
        <x:v>1001</x:v>
      </x:c>
      <x:c r="B7" s="79" t="str"/>
      <x:c r="C7" s="79" t="str">
        <x:v>LJT-PREP-PERIOSURG</x:v>
      </x:c>
      <x:c r="D7" s="107" t="str">
        <x:f>'資格有效性'!D7</x:f>
        <x:v>◎</x:v>
      </x:c>
      <x:c r="E7" s="107" t="str">
        <x:f>'資格有效性'!E7</x:f>
        <x:v>待主管核定</x:v>
      </x:c>
      <x:c r="F7" s="109" t="n">
        <x:f>IF('資格有效性'!G7="","",'資格有效性'!G7)</x:f>
        <x:v>46447</x:v>
      </x:c>
      <x:c r="G7" s="107" t="n">
        <x:v>0</x:v>
      </x:c>
      <x:c r="H7" s="109" t="str">
        <x:f>IF('資格有效性'!I7="","",'資格有效性'!I7)</x:f>
      </x:c>
      <x:c r="I7" s="292" t="n">
        <x:f>IF($F7="","n.a.",$F7-TODAY())</x:f>
        <x:v>164</x:v>
      </x:c>
      <x:c r="J7" s="107" t="str">
        <x:f>IF($E7="未建立","先完成考核",IF($E7="資格暫停","完成補訓與複評",IF($F7="","設定到期日",IF($I7&lt;0,"立即停止使用資格",IF($I7&lt;=30,"安排複評","尚未到期")))))</x:f>
        <x:v>尚未到期</x:v>
      </x:c>
    </x:row>
    <x:row r="8">
      <x:c r="A8" s="79" t="str">
        <x:v>1001</x:v>
      </x:c>
      <x:c r="B8" s="79" t="str"/>
      <x:c r="C8" s="79" t="str">
        <x:v>LJT-PREP-MICROENDO</x:v>
      </x:c>
      <x:c r="D8" s="107" t="str">
        <x:f>'資格有效性'!D8</x:f>
        <x:v>◎</x:v>
      </x:c>
      <x:c r="E8" s="107" t="str">
        <x:f>'資格有效性'!E8</x:f>
        <x:v>待主管核定</x:v>
      </x:c>
      <x:c r="F8" s="109" t="n">
        <x:f>IF('資格有效性'!G8="","",'資格有效性'!G8)</x:f>
        <x:v>46447</x:v>
      </x:c>
      <x:c r="G8" s="107" t="n">
        <x:v>0</x:v>
      </x:c>
      <x:c r="H8" s="109" t="str">
        <x:f>IF('資格有效性'!I8="","",'資格有效性'!I8)</x:f>
      </x:c>
      <x:c r="I8" s="292" t="n">
        <x:f>IF($F8="","n.a.",$F8-TODAY())</x:f>
        <x:v>164</x:v>
      </x:c>
      <x:c r="J8" s="107" t="str">
        <x:f>IF($E8="未建立","先完成考核",IF($E8="資格暫停","完成補訓與複評",IF($F8="","設定到期日",IF($I8&lt;0,"立即停止使用資格",IF($I8&lt;=30,"安排複評","尚未到期")))))</x:f>
        <x:v>尚未到期</x:v>
      </x:c>
    </x:row>
    <x:row r="9">
      <x:c r="A9" s="79" t="str">
        <x:v>1001</x:v>
      </x:c>
      <x:c r="B9" s="79" t="str"/>
      <x:c r="C9" s="79" t="str">
        <x:v>LJT-PREP-IMPLANT</x:v>
      </x:c>
      <x:c r="D9" s="107" t="str">
        <x:f>'資格有效性'!D9</x:f>
        <x:v>◎</x:v>
      </x:c>
      <x:c r="E9" s="107" t="str">
        <x:f>'資格有效性'!E9</x:f>
        <x:v>待主管核定</x:v>
      </x:c>
      <x:c r="F9" s="109" t="n">
        <x:f>IF('資格有效性'!G9="","",'資格有效性'!G9)</x:f>
        <x:v>46447</x:v>
      </x:c>
      <x:c r="G9" s="107" t="n">
        <x:v>0</x:v>
      </x:c>
      <x:c r="H9" s="109" t="str">
        <x:f>IF('資格有效性'!I9="","",'資格有效性'!I9)</x:f>
      </x:c>
      <x:c r="I9" s="292" t="n">
        <x:f>IF($F9="","n.a.",$F9-TODAY())</x:f>
        <x:v>164</x:v>
      </x:c>
      <x:c r="J9" s="107" t="str">
        <x:f>IF($E9="未建立","先完成考核",IF($E9="資格暫停","完成補訓與複評",IF($F9="","設定到期日",IF($I9&lt;0,"立即停止使用資格",IF($I9&lt;=30,"安排複評","尚未到期")))))</x:f>
        <x:v>尚未到期</x:v>
      </x:c>
    </x:row>
    <x:row r="10">
      <x:c r="A10" s="79" t="str">
        <x:v>1001</x:v>
      </x:c>
      <x:c r="B10" s="79" t="str"/>
      <x:c r="C10" s="79" t="str">
        <x:v>LJT-RPD-FINAL</x:v>
      </x:c>
      <x:c r="D10" s="107" t="str">
        <x:f>'資格有效性'!D10</x:f>
        <x:v>未評估</x:v>
      </x:c>
      <x:c r="E10" s="107" t="str">
        <x:f>'資格有效性'!E10</x:f>
        <x:v>未建立</x:v>
      </x:c>
      <x:c r="F10" s="109" t="str">
        <x:f>IF('資格有效性'!G10="","",'資格有效性'!G10)</x:f>
      </x:c>
      <x:c r="G10" s="107" t="n">
        <x:v>0</x:v>
      </x:c>
      <x:c r="H10" s="109" t="str">
        <x:f>IF('資格有效性'!I10="","",'資格有效性'!I10)</x:f>
      </x:c>
      <x:c r="I10" s="292" t="str">
        <x:f>IF($F10="","n.a.",$F10-TODAY())</x:f>
        <x:v>n.a.</x:v>
      </x:c>
      <x:c r="J10" s="107" t="str">
        <x:f>IF($E10="未建立","先完成考核",IF($E10="資格暫停","完成補訓與複評",IF($F10="","設定到期日",IF($I10&lt;0,"立即停止使用資格",IF($I10&lt;=30,"安排複評","尚未到期")))))</x:f>
        <x:v>先完成考核</x:v>
      </x:c>
    </x:row>
    <x:row r="11">
      <x:c r="A11" s="79" t="str">
        <x:v>1004</x:v>
      </x:c>
      <x:c r="B11" s="79" t="str"/>
      <x:c r="C11" s="79" t="str">
        <x:v>LJT-PREP-PERIOSURG</x:v>
      </x:c>
      <x:c r="D11" s="107" t="str">
        <x:f>'資格有效性'!D11</x:f>
        <x:v>◎</x:v>
      </x:c>
      <x:c r="E11" s="107" t="str">
        <x:f>'資格有效性'!E11</x:f>
        <x:v>待主管核定</x:v>
      </x:c>
      <x:c r="F11" s="109" t="n">
        <x:f>IF('資格有效性'!G11="","",'資格有效性'!G11)</x:f>
        <x:v>46447</x:v>
      </x:c>
      <x:c r="G11" s="107" t="n">
        <x:v>0</x:v>
      </x:c>
      <x:c r="H11" s="109" t="str">
        <x:f>IF('資格有效性'!I11="","",'資格有效性'!I11)</x:f>
      </x:c>
      <x:c r="I11" s="292" t="n">
        <x:f>IF($F11="","n.a.",$F11-TODAY())</x:f>
        <x:v>164</x:v>
      </x:c>
      <x:c r="J11" s="107" t="str">
        <x:f>IF($E11="未建立","先完成考核",IF($E11="資格暫停","完成補訓與複評",IF($F11="","設定到期日",IF($I11&lt;0,"立即停止使用資格",IF($I11&lt;=30,"安排複評","尚未到期")))))</x:f>
        <x:v>尚未到期</x:v>
      </x:c>
    </x:row>
    <x:row r="12">
      <x:c r="A12" s="79" t="str">
        <x:v>1004</x:v>
      </x:c>
      <x:c r="B12" s="79" t="str"/>
      <x:c r="C12" s="79" t="str">
        <x:v>LJT-PREP-MICROENDO</x:v>
      </x:c>
      <x:c r="D12" s="107" t="str">
        <x:f>'資格有效性'!D12</x:f>
        <x:v>◎</x:v>
      </x:c>
      <x:c r="E12" s="107" t="str">
        <x:f>'資格有效性'!E12</x:f>
        <x:v>待主管核定</x:v>
      </x:c>
      <x:c r="F12" s="109" t="n">
        <x:f>IF('資格有效性'!G12="","",'資格有效性'!G12)</x:f>
        <x:v>46447</x:v>
      </x:c>
      <x:c r="G12" s="107" t="n">
        <x:v>0</x:v>
      </x:c>
      <x:c r="H12" s="109" t="str">
        <x:f>IF('資格有效性'!I12="","",'資格有效性'!I12)</x:f>
      </x:c>
      <x:c r="I12" s="292" t="n">
        <x:f>IF($F12="","n.a.",$F12-TODAY())</x:f>
        <x:v>164</x:v>
      </x:c>
      <x:c r="J12" s="107" t="str">
        <x:f>IF($E12="未建立","先完成考核",IF($E12="資格暫停","完成補訓與複評",IF($F12="","設定到期日",IF($I12&lt;0,"立即停止使用資格",IF($I12&lt;=30,"安排複評","尚未到期")))))</x:f>
        <x:v>尚未到期</x:v>
      </x:c>
    </x:row>
    <x:row r="13">
      <x:c r="A13" s="79" t="str">
        <x:v>1004</x:v>
      </x:c>
      <x:c r="B13" s="79" t="str"/>
      <x:c r="C13" s="79" t="str">
        <x:v>LJT-PREP-IMPLANT</x:v>
      </x:c>
      <x:c r="D13" s="107" t="str">
        <x:f>'資格有效性'!D13</x:f>
        <x:v>◎</x:v>
      </x:c>
      <x:c r="E13" s="107" t="str">
        <x:f>'資格有效性'!E13</x:f>
        <x:v>待主管核定</x:v>
      </x:c>
      <x:c r="F13" s="109" t="n">
        <x:f>IF('資格有效性'!G13="","",'資格有效性'!G13)</x:f>
        <x:v>46447</x:v>
      </x:c>
      <x:c r="G13" s="107" t="n">
        <x:v>0</x:v>
      </x:c>
      <x:c r="H13" s="109" t="str">
        <x:f>IF('資格有效性'!I13="","",'資格有效性'!I13)</x:f>
      </x:c>
      <x:c r="I13" s="292" t="n">
        <x:f>IF($F13="","n.a.",$F13-TODAY())</x:f>
        <x:v>164</x:v>
      </x:c>
      <x:c r="J13" s="107" t="str">
        <x:f>IF($E13="未建立","先完成考核",IF($E13="資格暫停","完成補訓與複評",IF($F13="","設定到期日",IF($I13&lt;0,"立即停止使用資格",IF($I13&lt;=30,"安排複評","尚未到期")))))</x:f>
        <x:v>尚未到期</x:v>
      </x:c>
    </x:row>
    <x:row r="14">
      <x:c r="A14" s="79" t="str">
        <x:v>1004</x:v>
      </x:c>
      <x:c r="B14" s="79" t="str"/>
      <x:c r="C14" s="79" t="str">
        <x:v>LJT-RPD-FINAL</x:v>
      </x:c>
      <x:c r="D14" s="107" t="str">
        <x:f>'資格有效性'!D14</x:f>
        <x:v>未評估</x:v>
      </x:c>
      <x:c r="E14" s="107" t="str">
        <x:f>'資格有效性'!E14</x:f>
        <x:v>未建立</x:v>
      </x:c>
      <x:c r="F14" s="109" t="str">
        <x:f>IF('資格有效性'!G14="","",'資格有效性'!G14)</x:f>
      </x:c>
      <x:c r="G14" s="107" t="n">
        <x:v>0</x:v>
      </x:c>
      <x:c r="H14" s="109" t="str">
        <x:f>IF('資格有效性'!I14="","",'資格有效性'!I14)</x:f>
      </x:c>
      <x:c r="I14" s="292" t="str">
        <x:f>IF($F14="","n.a.",$F14-TODAY())</x:f>
        <x:v>n.a.</x:v>
      </x:c>
      <x:c r="J14" s="107" t="str">
        <x:f>IF($E14="未建立","先完成考核",IF($E14="資格暫停","完成補訓與複評",IF($F14="","設定到期日",IF($I14&lt;0,"立即停止使用資格",IF($I14&lt;=30,"安排複評","尚未到期")))))</x:f>
        <x:v>先完成考核</x:v>
      </x:c>
    </x:row>
    <x:row r="15">
      <x:c r="A15" s="79" t="str">
        <x:v>1013</x:v>
      </x:c>
      <x:c r="B15" s="79" t="str"/>
      <x:c r="C15" s="79" t="str">
        <x:v>LJT-PREP-PERIOSURG</x:v>
      </x:c>
      <x:c r="D15" s="107" t="str">
        <x:f>'資格有效性'!D15</x:f>
        <x:v>◎</x:v>
      </x:c>
      <x:c r="E15" s="107" t="str">
        <x:f>'資格有效性'!E15</x:f>
        <x:v>待主管核定</x:v>
      </x:c>
      <x:c r="F15" s="109" t="n">
        <x:f>IF('資格有效性'!G15="","",'資格有效性'!G15)</x:f>
        <x:v>46447</x:v>
      </x:c>
      <x:c r="G15" s="107" t="n">
        <x:v>0</x:v>
      </x:c>
      <x:c r="H15" s="109" t="str">
        <x:f>IF('資格有效性'!I15="","",'資格有效性'!I15)</x:f>
      </x:c>
      <x:c r="I15" s="292" t="n">
        <x:f>IF($F15="","n.a.",$F15-TODAY())</x:f>
        <x:v>164</x:v>
      </x:c>
      <x:c r="J15" s="107" t="str">
        <x:f>IF($E15="未建立","先完成考核",IF($E15="資格暫停","完成補訓與複評",IF($F15="","設定到期日",IF($I15&lt;0,"立即停止使用資格",IF($I15&lt;=30,"安排複評","尚未到期")))))</x:f>
        <x:v>尚未到期</x:v>
      </x:c>
    </x:row>
    <x:row r="16">
      <x:c r="A16" s="79" t="str">
        <x:v>1013</x:v>
      </x:c>
      <x:c r="B16" s="79" t="str"/>
      <x:c r="C16" s="79" t="str">
        <x:v>LJT-PREP-MICROENDO</x:v>
      </x:c>
      <x:c r="D16" s="107" t="str">
        <x:f>'資格有效性'!D16</x:f>
        <x:v>◎</x:v>
      </x:c>
      <x:c r="E16" s="107" t="str">
        <x:f>'資格有效性'!E16</x:f>
        <x:v>待主管核定</x:v>
      </x:c>
      <x:c r="F16" s="109" t="n">
        <x:f>IF('資格有效性'!G16="","",'資格有效性'!G16)</x:f>
        <x:v>46447</x:v>
      </x:c>
      <x:c r="G16" s="107" t="n">
        <x:v>0</x:v>
      </x:c>
      <x:c r="H16" s="109" t="str">
        <x:f>IF('資格有效性'!I16="","",'資格有效性'!I16)</x:f>
      </x:c>
      <x:c r="I16" s="292" t="n">
        <x:f>IF($F16="","n.a.",$F16-TODAY())</x:f>
        <x:v>164</x:v>
      </x:c>
      <x:c r="J16" s="107" t="str">
        <x:f>IF($E16="未建立","先完成考核",IF($E16="資格暫停","完成補訓與複評",IF($F16="","設定到期日",IF($I16&lt;0,"立即停止使用資格",IF($I16&lt;=30,"安排複評","尚未到期")))))</x:f>
        <x:v>尚未到期</x:v>
      </x:c>
    </x:row>
    <x:row r="17">
      <x:c r="A17" s="79" t="str">
        <x:v>1013</x:v>
      </x:c>
      <x:c r="B17" s="79" t="str"/>
      <x:c r="C17" s="79" t="str">
        <x:v>LJT-PREP-IMPLANT</x:v>
      </x:c>
      <x:c r="D17" s="107" t="str">
        <x:f>'資格有效性'!D17</x:f>
        <x:v>◎</x:v>
      </x:c>
      <x:c r="E17" s="107" t="str">
        <x:f>'資格有效性'!E17</x:f>
        <x:v>待主管核定</x:v>
      </x:c>
      <x:c r="F17" s="109" t="n">
        <x:f>IF('資格有效性'!G17="","",'資格有效性'!G17)</x:f>
        <x:v>46447</x:v>
      </x:c>
      <x:c r="G17" s="107" t="n">
        <x:v>0</x:v>
      </x:c>
      <x:c r="H17" s="109" t="str">
        <x:f>IF('資格有效性'!I17="","",'資格有效性'!I17)</x:f>
      </x:c>
      <x:c r="I17" s="292" t="n">
        <x:f>IF($F17="","n.a.",$F17-TODAY())</x:f>
        <x:v>164</x:v>
      </x:c>
      <x:c r="J17" s="107" t="str">
        <x:f>IF($E17="未建立","先完成考核",IF($E17="資格暫停","完成補訓與複評",IF($F17="","設定到期日",IF($I17&lt;0,"立即停止使用資格",IF($I17&lt;=30,"安排複評","尚未到期")))))</x:f>
        <x:v>尚未到期</x:v>
      </x:c>
    </x:row>
    <x:row r="18">
      <x:c r="A18" s="79" t="str">
        <x:v>1013</x:v>
      </x:c>
      <x:c r="B18" s="79" t="str"/>
      <x:c r="C18" s="79" t="str">
        <x:v>LJT-RPD-FINAL</x:v>
      </x:c>
      <x:c r="D18" s="107" t="str">
        <x:f>'資格有效性'!D18</x:f>
        <x:v>未評估</x:v>
      </x:c>
      <x:c r="E18" s="107" t="str">
        <x:f>'資格有效性'!E18</x:f>
        <x:v>未建立</x:v>
      </x:c>
      <x:c r="F18" s="109" t="str">
        <x:f>IF('資格有效性'!G18="","",'資格有效性'!G18)</x:f>
      </x:c>
      <x:c r="G18" s="107" t="n">
        <x:v>0</x:v>
      </x:c>
      <x:c r="H18" s="109" t="str">
        <x:f>IF('資格有效性'!I18="","",'資格有效性'!I18)</x:f>
      </x:c>
      <x:c r="I18" s="292" t="str">
        <x:f>IF($F18="","n.a.",$F18-TODAY())</x:f>
        <x:v>n.a.</x:v>
      </x:c>
      <x:c r="J18" s="107" t="str">
        <x:f>IF($E18="未建立","先完成考核",IF($E18="資格暫停","完成補訓與複評",IF($F18="","設定到期日",IF($I18&lt;0,"立即停止使用資格",IF($I18&lt;=30,"安排複評","尚未到期")))))</x:f>
        <x:v>先完成考核</x:v>
      </x:c>
    </x:row>
    <x:row r="19">
      <x:c r="A19" s="79" t="str">
        <x:v>1019</x:v>
      </x:c>
      <x:c r="B19" s="79" t="str"/>
      <x:c r="C19" s="79" t="str">
        <x:v>LJT-PREP-PERIOSURG</x:v>
      </x:c>
      <x:c r="D19" s="107" t="str">
        <x:f>'資格有效性'!D19</x:f>
        <x:v>◎</x:v>
      </x:c>
      <x:c r="E19" s="107" t="str">
        <x:f>'資格有效性'!E19</x:f>
        <x:v>待主管核定</x:v>
      </x:c>
      <x:c r="F19" s="109" t="n">
        <x:f>IF('資格有效性'!G19="","",'資格有效性'!G19)</x:f>
        <x:v>46447</x:v>
      </x:c>
      <x:c r="G19" s="107" t="n">
        <x:v>0</x:v>
      </x:c>
      <x:c r="H19" s="109" t="str">
        <x:f>IF('資格有效性'!I19="","",'資格有效性'!I19)</x:f>
      </x:c>
      <x:c r="I19" s="292" t="n">
        <x:f>IF($F19="","n.a.",$F19-TODAY())</x:f>
        <x:v>164</x:v>
      </x:c>
      <x:c r="J19" s="107" t="str">
        <x:f>IF($E19="未建立","先完成考核",IF($E19="資格暫停","完成補訓與複評",IF($F19="","設定到期日",IF($I19&lt;0,"立即停止使用資格",IF($I19&lt;=30,"安排複評","尚未到期")))))</x:f>
        <x:v>尚未到期</x:v>
      </x:c>
    </x:row>
    <x:row r="20">
      <x:c r="A20" s="79" t="str">
        <x:v>1019</x:v>
      </x:c>
      <x:c r="B20" s="79" t="str"/>
      <x:c r="C20" s="79" t="str">
        <x:v>LJT-PREP-MICROENDO</x:v>
      </x:c>
      <x:c r="D20" s="107" t="str">
        <x:f>'資格有效性'!D20</x:f>
        <x:v>◎</x:v>
      </x:c>
      <x:c r="E20" s="107" t="str">
        <x:f>'資格有效性'!E20</x:f>
        <x:v>待主管核定</x:v>
      </x:c>
      <x:c r="F20" s="109" t="n">
        <x:f>IF('資格有效性'!G20="","",'資格有效性'!G20)</x:f>
        <x:v>46447</x:v>
      </x:c>
      <x:c r="G20" s="107" t="n">
        <x:v>0</x:v>
      </x:c>
      <x:c r="H20" s="109" t="str">
        <x:f>IF('資格有效性'!I20="","",'資格有效性'!I20)</x:f>
      </x:c>
      <x:c r="I20" s="292" t="n">
        <x:f>IF($F20="","n.a.",$F20-TODAY())</x:f>
        <x:v>164</x:v>
      </x:c>
      <x:c r="J20" s="107" t="str">
        <x:f>IF($E20="未建立","先完成考核",IF($E20="資格暫停","完成補訓與複評",IF($F20="","設定到期日",IF($I20&lt;0,"立即停止使用資格",IF($I20&lt;=30,"安排複評","尚未到期")))))</x:f>
        <x:v>尚未到期</x:v>
      </x:c>
    </x:row>
    <x:row r="21">
      <x:c r="A21" s="79" t="str">
        <x:v>1019</x:v>
      </x:c>
      <x:c r="B21" s="79" t="str"/>
      <x:c r="C21" s="79" t="str">
        <x:v>LJT-PREP-IMPLANT</x:v>
      </x:c>
      <x:c r="D21" s="107" t="str">
        <x:f>'資格有效性'!D21</x:f>
        <x:v>◎</x:v>
      </x:c>
      <x:c r="E21" s="107" t="str">
        <x:f>'資格有效性'!E21</x:f>
        <x:v>待主管核定</x:v>
      </x:c>
      <x:c r="F21" s="109" t="n">
        <x:f>IF('資格有效性'!G21="","",'資格有效性'!G21)</x:f>
        <x:v>46447</x:v>
      </x:c>
      <x:c r="G21" s="107" t="n">
        <x:v>0</x:v>
      </x:c>
      <x:c r="H21" s="109" t="str">
        <x:f>IF('資格有效性'!I21="","",'資格有效性'!I21)</x:f>
      </x:c>
      <x:c r="I21" s="292" t="n">
        <x:f>IF($F21="","n.a.",$F21-TODAY())</x:f>
        <x:v>164</x:v>
      </x:c>
      <x:c r="J21" s="107" t="str">
        <x:f>IF($E21="未建立","先完成考核",IF($E21="資格暫停","完成補訓與複評",IF($F21="","設定到期日",IF($I21&lt;0,"立即停止使用資格",IF($I21&lt;=30,"安排複評","尚未到期")))))</x:f>
        <x:v>尚未到期</x:v>
      </x:c>
    </x:row>
    <x:row r="22">
      <x:c r="A22" s="79" t="str">
        <x:v>1019</x:v>
      </x:c>
      <x:c r="B22" s="79" t="str"/>
      <x:c r="C22" s="79" t="str">
        <x:v>LJT-RPD-FINAL</x:v>
      </x:c>
      <x:c r="D22" s="107" t="str">
        <x:f>'資格有效性'!D22</x:f>
        <x:v>未評估</x:v>
      </x:c>
      <x:c r="E22" s="107" t="str">
        <x:f>'資格有效性'!E22</x:f>
        <x:v>未建立</x:v>
      </x:c>
      <x:c r="F22" s="109" t="str">
        <x:f>IF('資格有效性'!G22="","",'資格有效性'!G22)</x:f>
      </x:c>
      <x:c r="G22" s="107" t="n">
        <x:v>0</x:v>
      </x:c>
      <x:c r="H22" s="109" t="str">
        <x:f>IF('資格有效性'!I22="","",'資格有效性'!I22)</x:f>
      </x:c>
      <x:c r="I22" s="292" t="str">
        <x:f>IF($F22="","n.a.",$F22-TODAY())</x:f>
        <x:v>n.a.</x:v>
      </x:c>
      <x:c r="J22" s="107" t="str">
        <x:f>IF($E22="未建立","先完成考核",IF($E22="資格暫停","完成補訓與複評",IF($F22="","設定到期日",IF($I22&lt;0,"立即停止使用資格",IF($I22&lt;=30,"安排複評","尚未到期")))))</x:f>
        <x:v>先完成考核</x:v>
      </x:c>
    </x:row>
    <x:row r="23">
      <x:c r="A23" s="79" t="str">
        <x:v>1020</x:v>
      </x:c>
      <x:c r="B23" s="79" t="str"/>
      <x:c r="C23" s="79" t="str">
        <x:v>LJT-PREP-PERIOSURG</x:v>
      </x:c>
      <x:c r="D23" s="107" t="str">
        <x:f>'資格有效性'!D23</x:f>
        <x:v>◎</x:v>
      </x:c>
      <x:c r="E23" s="107" t="str">
        <x:f>'資格有效性'!E23</x:f>
        <x:v>待主管核定</x:v>
      </x:c>
      <x:c r="F23" s="109" t="n">
        <x:f>IF('資格有效性'!G23="","",'資格有效性'!G23)</x:f>
        <x:v>46447</x:v>
      </x:c>
      <x:c r="G23" s="107" t="n">
        <x:v>0</x:v>
      </x:c>
      <x:c r="H23" s="109" t="str">
        <x:f>IF('資格有效性'!I23="","",'資格有效性'!I23)</x:f>
      </x:c>
      <x:c r="I23" s="292" t="n">
        <x:f>IF($F23="","n.a.",$F23-TODAY())</x:f>
        <x:v>164</x:v>
      </x:c>
      <x:c r="J23" s="107" t="str">
        <x:f>IF($E23="未建立","先完成考核",IF($E23="資格暫停","完成補訓與複評",IF($F23="","設定到期日",IF($I23&lt;0,"立即停止使用資格",IF($I23&lt;=30,"安排複評","尚未到期")))))</x:f>
        <x:v>尚未到期</x:v>
      </x:c>
    </x:row>
    <x:row r="24">
      <x:c r="A24" s="79" t="str">
        <x:v>1020</x:v>
      </x:c>
      <x:c r="B24" s="79" t="str"/>
      <x:c r="C24" s="79" t="str">
        <x:v>LJT-PREP-MICROENDO</x:v>
      </x:c>
      <x:c r="D24" s="107" t="str">
        <x:f>'資格有效性'!D24</x:f>
        <x:v>◎</x:v>
      </x:c>
      <x:c r="E24" s="107" t="str">
        <x:f>'資格有效性'!E24</x:f>
        <x:v>待主管核定</x:v>
      </x:c>
      <x:c r="F24" s="109" t="n">
        <x:f>IF('資格有效性'!G24="","",'資格有效性'!G24)</x:f>
        <x:v>46447</x:v>
      </x:c>
      <x:c r="G24" s="107" t="n">
        <x:v>0</x:v>
      </x:c>
      <x:c r="H24" s="109" t="str">
        <x:f>IF('資格有效性'!I24="","",'資格有效性'!I24)</x:f>
      </x:c>
      <x:c r="I24" s="292" t="n">
        <x:f>IF($F24="","n.a.",$F24-TODAY())</x:f>
        <x:v>164</x:v>
      </x:c>
      <x:c r="J24" s="107" t="str">
        <x:f>IF($E24="未建立","先完成考核",IF($E24="資格暫停","完成補訓與複評",IF($F24="","設定到期日",IF($I24&lt;0,"立即停止使用資格",IF($I24&lt;=30,"安排複評","尚未到期")))))</x:f>
        <x:v>尚未到期</x:v>
      </x:c>
    </x:row>
    <x:row r="25">
      <x:c r="A25" s="79" t="str">
        <x:v>1020</x:v>
      </x:c>
      <x:c r="B25" s="79" t="str"/>
      <x:c r="C25" s="79" t="str">
        <x:v>LJT-PREP-IMPLANT</x:v>
      </x:c>
      <x:c r="D25" s="107" t="str">
        <x:f>'資格有效性'!D25</x:f>
        <x:v>◎</x:v>
      </x:c>
      <x:c r="E25" s="107" t="str">
        <x:f>'資格有效性'!E25</x:f>
        <x:v>待主管核定</x:v>
      </x:c>
      <x:c r="F25" s="109" t="n">
        <x:f>IF('資格有效性'!G25="","",'資格有效性'!G25)</x:f>
        <x:v>46447</x:v>
      </x:c>
      <x:c r="G25" s="107" t="n">
        <x:v>0</x:v>
      </x:c>
      <x:c r="H25" s="109" t="str">
        <x:f>IF('資格有效性'!I25="","",'資格有效性'!I25)</x:f>
      </x:c>
      <x:c r="I25" s="292" t="n">
        <x:f>IF($F25="","n.a.",$F25-TODAY())</x:f>
        <x:v>164</x:v>
      </x:c>
      <x:c r="J25" s="107" t="str">
        <x:f>IF($E25="未建立","先完成考核",IF($E25="資格暫停","完成補訓與複評",IF($F25="","設定到期日",IF($I25&lt;0,"立即停止使用資格",IF($I25&lt;=30,"安排複評","尚未到期")))))</x:f>
        <x:v>尚未到期</x:v>
      </x:c>
    </x:row>
    <x:row r="26">
      <x:c r="A26" s="79" t="str">
        <x:v>1020</x:v>
      </x:c>
      <x:c r="B26" s="79" t="str"/>
      <x:c r="C26" s="79" t="str">
        <x:v>LJT-RPD-FINAL</x:v>
      </x:c>
      <x:c r="D26" s="107" t="str">
        <x:f>'資格有效性'!D26</x:f>
        <x:v>未評估</x:v>
      </x:c>
      <x:c r="E26" s="107" t="str">
        <x:f>'資格有效性'!E26</x:f>
        <x:v>未建立</x:v>
      </x:c>
      <x:c r="F26" s="109" t="str">
        <x:f>IF('資格有效性'!G26="","",'資格有效性'!G26)</x:f>
      </x:c>
      <x:c r="G26" s="107" t="n">
        <x:v>0</x:v>
      </x:c>
      <x:c r="H26" s="109" t="str">
        <x:f>IF('資格有效性'!I26="","",'資格有效性'!I26)</x:f>
      </x:c>
      <x:c r="I26" s="292" t="str">
        <x:f>IF($F26="","n.a.",$F26-TODAY())</x:f>
        <x:v>n.a.</x:v>
      </x:c>
      <x:c r="J26" s="107" t="str">
        <x:f>IF($E26="未建立","先完成考核",IF($E26="資格暫停","完成補訓與複評",IF($F26="","設定到期日",IF($I26&lt;0,"立即停止使用資格",IF($I26&lt;=30,"安排複評","尚未到期")))))</x:f>
        <x:v>先完成考核</x:v>
      </x:c>
    </x:row>
    <x:row r="27">
      <x:c r="A27" s="79" t="str">
        <x:v>1025</x:v>
      </x:c>
      <x:c r="B27" s="79" t="str"/>
      <x:c r="C27" s="79" t="str">
        <x:v>LJT-PREP-PERIOSURG</x:v>
      </x:c>
      <x:c r="D27" s="107" t="str">
        <x:f>'資格有效性'!D27</x:f>
        <x:v>Ø</x:v>
      </x:c>
      <x:c r="E27" s="107" t="str">
        <x:f>'資格有效性'!E27</x:f>
        <x:v>待主管核定</x:v>
      </x:c>
      <x:c r="F27" s="109" t="n">
        <x:f>IF('資格有效性'!G27="","",'資格有效性'!G27)</x:f>
        <x:v>46447</x:v>
      </x:c>
      <x:c r="G27" s="107" t="n">
        <x:v>0</x:v>
      </x:c>
      <x:c r="H27" s="109" t="str">
        <x:f>IF('資格有效性'!I27="","",'資格有效性'!I27)</x:f>
      </x:c>
      <x:c r="I27" s="292" t="n">
        <x:f>IF($F27="","n.a.",$F27-TODAY())</x:f>
        <x:v>164</x:v>
      </x:c>
      <x:c r="J27" s="107" t="str">
        <x:f>IF($E27="未建立","先完成考核",IF($E27="資格暫停","完成補訓與複評",IF($F27="","設定到期日",IF($I27&lt;0,"立即停止使用資格",IF($I27&lt;=30,"安排複評","尚未到期")))))</x:f>
        <x:v>尚未到期</x:v>
      </x:c>
    </x:row>
    <x:row r="28">
      <x:c r="A28" s="79" t="str">
        <x:v>1025</x:v>
      </x:c>
      <x:c r="B28" s="79" t="str"/>
      <x:c r="C28" s="79" t="str">
        <x:v>LJT-PREP-MICROENDO</x:v>
      </x:c>
      <x:c r="D28" s="107" t="str">
        <x:f>'資格有效性'!D28</x:f>
        <x:v>※</x:v>
      </x:c>
      <x:c r="E28" s="107" t="str">
        <x:f>'資格有效性'!E28</x:f>
        <x:v>待主管核定</x:v>
      </x:c>
      <x:c r="F28" s="109" t="n">
        <x:f>IF('資格有效性'!G28="","",'資格有效性'!G28)</x:f>
        <x:v>46447</x:v>
      </x:c>
      <x:c r="G28" s="107" t="n">
        <x:v>0</x:v>
      </x:c>
      <x:c r="H28" s="109" t="str">
        <x:f>IF('資格有效性'!I28="","",'資格有效性'!I28)</x:f>
      </x:c>
      <x:c r="I28" s="292" t="n">
        <x:f>IF($F28="","n.a.",$F28-TODAY())</x:f>
        <x:v>164</x:v>
      </x:c>
      <x:c r="J28" s="107" t="str">
        <x:f>IF($E28="未建立","先完成考核",IF($E28="資格暫停","完成補訓與複評",IF($F28="","設定到期日",IF($I28&lt;0,"立即停止使用資格",IF($I28&lt;=30,"安排複評","尚未到期")))))</x:f>
        <x:v>尚未到期</x:v>
      </x:c>
    </x:row>
    <x:row r="29">
      <x:c r="A29" s="79" t="str">
        <x:v>1025</x:v>
      </x:c>
      <x:c r="B29" s="79" t="str"/>
      <x:c r="C29" s="79" t="str">
        <x:v>LJT-PREP-IMPLANT</x:v>
      </x:c>
      <x:c r="D29" s="107" t="str">
        <x:f>'資格有效性'!D29</x:f>
        <x:v>Ø</x:v>
      </x:c>
      <x:c r="E29" s="107" t="str">
        <x:f>'資格有效性'!E29</x:f>
        <x:v>待主管核定</x:v>
      </x:c>
      <x:c r="F29" s="109" t="n">
        <x:f>IF('資格有效性'!G29="","",'資格有效性'!G29)</x:f>
        <x:v>46447</x:v>
      </x:c>
      <x:c r="G29" s="107" t="n">
        <x:v>0</x:v>
      </x:c>
      <x:c r="H29" s="109" t="str">
        <x:f>IF('資格有效性'!I29="","",'資格有效性'!I29)</x:f>
      </x:c>
      <x:c r="I29" s="292" t="n">
        <x:f>IF($F29="","n.a.",$F29-TODAY())</x:f>
        <x:v>164</x:v>
      </x:c>
      <x:c r="J29" s="107" t="str">
        <x:f>IF($E29="未建立","先完成考核",IF($E29="資格暫停","完成補訓與複評",IF($F29="","設定到期日",IF($I29&lt;0,"立即停止使用資格",IF($I29&lt;=30,"安排複評","尚未到期")))))</x:f>
        <x:v>尚未到期</x:v>
      </x:c>
    </x:row>
    <x:row r="30">
      <x:c r="A30" s="79" t="str">
        <x:v>1025</x:v>
      </x:c>
      <x:c r="B30" s="79" t="str"/>
      <x:c r="C30" s="79" t="str">
        <x:v>LJT-RPD-FINAL</x:v>
      </x:c>
      <x:c r="D30" s="107" t="str">
        <x:f>'資格有效性'!D30</x:f>
        <x:v>未評估</x:v>
      </x:c>
      <x:c r="E30" s="107" t="str">
        <x:f>'資格有效性'!E30</x:f>
        <x:v>未建立</x:v>
      </x:c>
      <x:c r="F30" s="109" t="str">
        <x:f>IF('資格有效性'!G30="","",'資格有效性'!G30)</x:f>
      </x:c>
      <x:c r="G30" s="107" t="n">
        <x:v>0</x:v>
      </x:c>
      <x:c r="H30" s="109" t="str">
        <x:f>IF('資格有效性'!I30="","",'資格有效性'!I30)</x:f>
      </x:c>
      <x:c r="I30" s="292" t="str">
        <x:f>IF($F30="","n.a.",$F30-TODAY())</x:f>
        <x:v>n.a.</x:v>
      </x:c>
      <x:c r="J30" s="107" t="str">
        <x:f>IF($E30="未建立","先完成考核",IF($E30="資格暫停","完成補訓與複評",IF($F30="","設定到期日",IF($I30&lt;0,"立即停止使用資格",IF($I30&lt;=30,"安排複評","尚未到期")))))</x:f>
        <x:v>先完成考核</x:v>
      </x:c>
    </x:row>
    <x:row r="31">
      <x:c r="A31" s="79" t="str">
        <x:v>1026</x:v>
      </x:c>
      <x:c r="B31" s="79" t="str"/>
      <x:c r="C31" s="79" t="str">
        <x:v>LJT-PREP-PERIOSURG</x:v>
      </x:c>
      <x:c r="D31" s="107" t="str">
        <x:f>'資格有效性'!D31</x:f>
        <x:v>※</x:v>
      </x:c>
      <x:c r="E31" s="107" t="str">
        <x:f>'資格有效性'!E31</x:f>
        <x:v>待主管核定</x:v>
      </x:c>
      <x:c r="F31" s="109" t="n">
        <x:f>IF('資格有效性'!G31="","",'資格有效性'!G31)</x:f>
        <x:v>46447</x:v>
      </x:c>
      <x:c r="G31" s="107" t="n">
        <x:v>0</x:v>
      </x:c>
      <x:c r="H31" s="109" t="str">
        <x:f>IF('資格有效性'!I31="","",'資格有效性'!I31)</x:f>
      </x:c>
      <x:c r="I31" s="292" t="n">
        <x:f>IF($F31="","n.a.",$F31-TODAY())</x:f>
        <x:v>164</x:v>
      </x:c>
      <x:c r="J31" s="107" t="str">
        <x:f>IF($E31="未建立","先完成考核",IF($E31="資格暫停","完成補訓與複評",IF($F31="","設定到期日",IF($I31&lt;0,"立即停止使用資格",IF($I31&lt;=30,"安排複評","尚未到期")))))</x:f>
        <x:v>尚未到期</x:v>
      </x:c>
    </x:row>
    <x:row r="32">
      <x:c r="A32" s="79" t="str">
        <x:v>1026</x:v>
      </x:c>
      <x:c r="B32" s="79" t="str"/>
      <x:c r="C32" s="79" t="str">
        <x:v>LJT-PREP-MICROENDO</x:v>
      </x:c>
      <x:c r="D32" s="107" t="str">
        <x:f>'資格有效性'!D32</x:f>
        <x:v>※</x:v>
      </x:c>
      <x:c r="E32" s="107" t="str">
        <x:f>'資格有效性'!E32</x:f>
        <x:v>待主管核定</x:v>
      </x:c>
      <x:c r="F32" s="109" t="n">
        <x:f>IF('資格有效性'!G32="","",'資格有效性'!G32)</x:f>
        <x:v>46447</x:v>
      </x:c>
      <x:c r="G32" s="107" t="n">
        <x:v>0</x:v>
      </x:c>
      <x:c r="H32" s="109" t="str">
        <x:f>IF('資格有效性'!I32="","",'資格有效性'!I32)</x:f>
      </x:c>
      <x:c r="I32" s="292" t="n">
        <x:f>IF($F32="","n.a.",$F32-TODAY())</x:f>
        <x:v>164</x:v>
      </x:c>
      <x:c r="J32" s="107" t="str">
        <x:f>IF($E32="未建立","先完成考核",IF($E32="資格暫停","完成補訓與複評",IF($F32="","設定到期日",IF($I32&lt;0,"立即停止使用資格",IF($I32&lt;=30,"安排複評","尚未到期")))))</x:f>
        <x:v>尚未到期</x:v>
      </x:c>
    </x:row>
    <x:row r="33">
      <x:c r="A33" s="79" t="str">
        <x:v>1026</x:v>
      </x:c>
      <x:c r="B33" s="79" t="str"/>
      <x:c r="C33" s="79" t="str">
        <x:v>LJT-PREP-IMPLANT</x:v>
      </x:c>
      <x:c r="D33" s="107" t="str">
        <x:f>'資格有效性'!D33</x:f>
        <x:v>◎</x:v>
      </x:c>
      <x:c r="E33" s="107" t="str">
        <x:f>'資格有效性'!E33</x:f>
        <x:v>待主管核定</x:v>
      </x:c>
      <x:c r="F33" s="109" t="n">
        <x:f>IF('資格有效性'!G33="","",'資格有效性'!G33)</x:f>
        <x:v>46447</x:v>
      </x:c>
      <x:c r="G33" s="107" t="n">
        <x:v>0</x:v>
      </x:c>
      <x:c r="H33" s="109" t="str">
        <x:f>IF('資格有效性'!I33="","",'資格有效性'!I33)</x:f>
      </x:c>
      <x:c r="I33" s="292" t="n">
        <x:f>IF($F33="","n.a.",$F33-TODAY())</x:f>
        <x:v>164</x:v>
      </x:c>
      <x:c r="J33" s="107" t="str">
        <x:f>IF($E33="未建立","先完成考核",IF($E33="資格暫停","完成補訓與複評",IF($F33="","設定到期日",IF($I33&lt;0,"立即停止使用資格",IF($I33&lt;=30,"安排複評","尚未到期")))))</x:f>
        <x:v>尚未到期</x:v>
      </x:c>
    </x:row>
    <x:row r="34">
      <x:c r="A34" s="79" t="str">
        <x:v>1026</x:v>
      </x:c>
      <x:c r="B34" s="79" t="str"/>
      <x:c r="C34" s="79" t="str">
        <x:v>LJT-RPD-FINAL</x:v>
      </x:c>
      <x:c r="D34" s="107" t="str">
        <x:f>'資格有效性'!D34</x:f>
        <x:v>未評估</x:v>
      </x:c>
      <x:c r="E34" s="107" t="str">
        <x:f>'資格有效性'!E34</x:f>
        <x:v>未建立</x:v>
      </x:c>
      <x:c r="F34" s="109" t="str">
        <x:f>IF('資格有效性'!G34="","",'資格有效性'!G34)</x:f>
      </x:c>
      <x:c r="G34" s="107" t="n">
        <x:v>0</x:v>
      </x:c>
      <x:c r="H34" s="109" t="str">
        <x:f>IF('資格有效性'!I34="","",'資格有效性'!I34)</x:f>
      </x:c>
      <x:c r="I34" s="292" t="str">
        <x:f>IF($F34="","n.a.",$F34-TODAY())</x:f>
        <x:v>n.a.</x:v>
      </x:c>
      <x:c r="J34" s="107" t="str">
        <x:f>IF($E34="未建立","先完成考核",IF($E34="資格暫停","完成補訓與複評",IF($F34="","設定到期日",IF($I34&lt;0,"立即停止使用資格",IF($I34&lt;=30,"安排複評","尚未到期")))))</x:f>
        <x:v>先完成考核</x:v>
      </x:c>
    </x:row>
    <x:row r="35">
      <x:c r="A35" s="79" t="str">
        <x:v>1027</x:v>
      </x:c>
      <x:c r="B35" s="79" t="str"/>
      <x:c r="C35" s="79" t="str">
        <x:v>LJT-PREP-PERIOSURG</x:v>
      </x:c>
      <x:c r="D35" s="107" t="str">
        <x:f>'資格有效性'!D35</x:f>
        <x:v>Ø</x:v>
      </x:c>
      <x:c r="E35" s="107" t="str">
        <x:f>'資格有效性'!E35</x:f>
        <x:v>待主管核定</x:v>
      </x:c>
      <x:c r="F35" s="109" t="n">
        <x:f>IF('資格有效性'!G35="","",'資格有效性'!G35)</x:f>
        <x:v>46447</x:v>
      </x:c>
      <x:c r="G35" s="107" t="n">
        <x:v>0</x:v>
      </x:c>
      <x:c r="H35" s="109" t="str">
        <x:f>IF('資格有效性'!I35="","",'資格有效性'!I35)</x:f>
      </x:c>
      <x:c r="I35" s="292" t="n">
        <x:f>IF($F35="","n.a.",$F35-TODAY())</x:f>
        <x:v>164</x:v>
      </x:c>
      <x:c r="J35" s="107" t="str">
        <x:f>IF($E35="未建立","先完成考核",IF($E35="資格暫停","完成補訓與複評",IF($F35="","設定到期日",IF($I35&lt;0,"立即停止使用資格",IF($I35&lt;=30,"安排複評","尚未到期")))))</x:f>
        <x:v>尚未到期</x:v>
      </x:c>
    </x:row>
    <x:row r="36">
      <x:c r="A36" s="79" t="str">
        <x:v>1027</x:v>
      </x:c>
      <x:c r="B36" s="79" t="str"/>
      <x:c r="C36" s="79" t="str">
        <x:v>LJT-PREP-MICROENDO</x:v>
      </x:c>
      <x:c r="D36" s="107" t="str">
        <x:f>'資格有效性'!D36</x:f>
        <x:v>※</x:v>
      </x:c>
      <x:c r="E36" s="107" t="str">
        <x:f>'資格有效性'!E36</x:f>
        <x:v>待主管核定</x:v>
      </x:c>
      <x:c r="F36" s="109" t="n">
        <x:f>IF('資格有效性'!G36="","",'資格有效性'!G36)</x:f>
        <x:v>46447</x:v>
      </x:c>
      <x:c r="G36" s="107" t="n">
        <x:v>0</x:v>
      </x:c>
      <x:c r="H36" s="109" t="str">
        <x:f>IF('資格有效性'!I36="","",'資格有效性'!I36)</x:f>
      </x:c>
      <x:c r="I36" s="292" t="n">
        <x:f>IF($F36="","n.a.",$F36-TODAY())</x:f>
        <x:v>164</x:v>
      </x:c>
      <x:c r="J36" s="107" t="str">
        <x:f>IF($E36="未建立","先完成考核",IF($E36="資格暫停","完成補訓與複評",IF($F36="","設定到期日",IF($I36&lt;0,"立即停止使用資格",IF($I36&lt;=30,"安排複評","尚未到期")))))</x:f>
        <x:v>尚未到期</x:v>
      </x:c>
    </x:row>
    <x:row r="37">
      <x:c r="A37" s="79" t="str">
        <x:v>1027</x:v>
      </x:c>
      <x:c r="B37" s="79" t="str"/>
      <x:c r="C37" s="79" t="str">
        <x:v>LJT-PREP-IMPLANT</x:v>
      </x:c>
      <x:c r="D37" s="107" t="str">
        <x:f>'資格有效性'!D37</x:f>
        <x:v>Ø</x:v>
      </x:c>
      <x:c r="E37" s="107" t="str">
        <x:f>'資格有效性'!E37</x:f>
        <x:v>待主管核定</x:v>
      </x:c>
      <x:c r="F37" s="109" t="n">
        <x:f>IF('資格有效性'!G37="","",'資格有效性'!G37)</x:f>
        <x:v>46447</x:v>
      </x:c>
      <x:c r="G37" s="107" t="n">
        <x:v>0</x:v>
      </x:c>
      <x:c r="H37" s="109" t="str">
        <x:f>IF('資格有效性'!I37="","",'資格有效性'!I37)</x:f>
      </x:c>
      <x:c r="I37" s="292" t="n">
        <x:f>IF($F37="","n.a.",$F37-TODAY())</x:f>
        <x:v>164</x:v>
      </x:c>
      <x:c r="J37" s="107" t="str">
        <x:f>IF($E37="未建立","先完成考核",IF($E37="資格暫停","完成補訓與複評",IF($F37="","設定到期日",IF($I37&lt;0,"立即停止使用資格",IF($I37&lt;=30,"安排複評","尚未到期")))))</x:f>
        <x:v>尚未到期</x:v>
      </x:c>
    </x:row>
    <x:row r="38">
      <x:c r="A38" s="79" t="str">
        <x:v>1027</x:v>
      </x:c>
      <x:c r="B38" s="79" t="str"/>
      <x:c r="C38" s="79" t="str">
        <x:v>LJT-RPD-FINAL</x:v>
      </x:c>
      <x:c r="D38" s="107" t="str">
        <x:f>'資格有效性'!D38</x:f>
        <x:v>未評估</x:v>
      </x:c>
      <x:c r="E38" s="107" t="str">
        <x:f>'資格有效性'!E38</x:f>
        <x:v>未建立</x:v>
      </x:c>
      <x:c r="F38" s="109" t="str">
        <x:f>IF('資格有效性'!G38="","",'資格有效性'!G38)</x:f>
      </x:c>
      <x:c r="G38" s="107" t="n">
        <x:v>0</x:v>
      </x:c>
      <x:c r="H38" s="109" t="str">
        <x:f>IF('資格有效性'!I38="","",'資格有效性'!I38)</x:f>
      </x:c>
      <x:c r="I38" s="292" t="str">
        <x:f>IF($F38="","n.a.",$F38-TODAY())</x:f>
        <x:v>n.a.</x:v>
      </x:c>
      <x:c r="J38" s="107" t="str">
        <x:f>IF($E38="未建立","先完成考核",IF($E38="資格暫停","完成補訓與複評",IF($F38="","設定到期日",IF($I38&lt;0,"立即停止使用資格",IF($I38&lt;=30,"安排複評","尚未到期")))))</x:f>
        <x:v>先完成考核</x:v>
      </x:c>
    </x:row>
    <x:row r="39">
      <x:c r="A39" s="79" t="str">
        <x:v>1028</x:v>
      </x:c>
      <x:c r="B39" s="79" t="str"/>
      <x:c r="C39" s="79" t="str">
        <x:v>LJT-PREP-PERIOSURG</x:v>
      </x:c>
      <x:c r="D39" s="107" t="str">
        <x:f>'資格有效性'!D39</x:f>
        <x:v>※</x:v>
      </x:c>
      <x:c r="E39" s="107" t="str">
        <x:f>'資格有效性'!E39</x:f>
        <x:v>待主管核定</x:v>
      </x:c>
      <x:c r="F39" s="109" t="n">
        <x:f>IF('資格有效性'!G39="","",'資格有效性'!G39)</x:f>
        <x:v>46447</x:v>
      </x:c>
      <x:c r="G39" s="107" t="n">
        <x:v>0</x:v>
      </x:c>
      <x:c r="H39" s="109" t="str">
        <x:f>IF('資格有效性'!I39="","",'資格有效性'!I39)</x:f>
      </x:c>
      <x:c r="I39" s="292" t="n">
        <x:f>IF($F39="","n.a.",$F39-TODAY())</x:f>
        <x:v>164</x:v>
      </x:c>
      <x:c r="J39" s="107" t="str">
        <x:f>IF($E39="未建立","先完成考核",IF($E39="資格暫停","完成補訓與複評",IF($F39="","設定到期日",IF($I39&lt;0,"立即停止使用資格",IF($I39&lt;=30,"安排複評","尚未到期")))))</x:f>
        <x:v>尚未到期</x:v>
      </x:c>
    </x:row>
    <x:row r="40">
      <x:c r="A40" s="79" t="str">
        <x:v>1028</x:v>
      </x:c>
      <x:c r="B40" s="79" t="str"/>
      <x:c r="C40" s="79" t="str">
        <x:v>LJT-PREP-MICROENDO</x:v>
      </x:c>
      <x:c r="D40" s="107" t="str">
        <x:f>'資格有效性'!D40</x:f>
        <x:v>※</x:v>
      </x:c>
      <x:c r="E40" s="107" t="str">
        <x:f>'資格有效性'!E40</x:f>
        <x:v>待主管核定</x:v>
      </x:c>
      <x:c r="F40" s="109" t="n">
        <x:f>IF('資格有效性'!G40="","",'資格有效性'!G40)</x:f>
        <x:v>46447</x:v>
      </x:c>
      <x:c r="G40" s="107" t="n">
        <x:v>0</x:v>
      </x:c>
      <x:c r="H40" s="109" t="str">
        <x:f>IF('資格有效性'!I40="","",'資格有效性'!I40)</x:f>
      </x:c>
      <x:c r="I40" s="292" t="n">
        <x:f>IF($F40="","n.a.",$F40-TODAY())</x:f>
        <x:v>164</x:v>
      </x:c>
      <x:c r="J40" s="107" t="str">
        <x:f>IF($E40="未建立","先完成考核",IF($E40="資格暫停","完成補訓與複評",IF($F40="","設定到期日",IF($I40&lt;0,"立即停止使用資格",IF($I40&lt;=30,"安排複評","尚未到期")))))</x:f>
        <x:v>尚未到期</x:v>
      </x:c>
    </x:row>
    <x:row r="41">
      <x:c r="A41" s="79" t="str">
        <x:v>1028</x:v>
      </x:c>
      <x:c r="B41" s="79" t="str"/>
      <x:c r="C41" s="79" t="str">
        <x:v>LJT-PREP-IMPLANT</x:v>
      </x:c>
      <x:c r="D41" s="107" t="str">
        <x:f>'資格有效性'!D41</x:f>
        <x:v>※</x:v>
      </x:c>
      <x:c r="E41" s="107" t="str">
        <x:f>'資格有效性'!E41</x:f>
        <x:v>待主管核定</x:v>
      </x:c>
      <x:c r="F41" s="109" t="n">
        <x:f>IF('資格有效性'!G41="","",'資格有效性'!G41)</x:f>
        <x:v>46447</x:v>
      </x:c>
      <x:c r="G41" s="107" t="n">
        <x:v>0</x:v>
      </x:c>
      <x:c r="H41" s="109" t="str">
        <x:f>IF('資格有效性'!I41="","",'資格有效性'!I41)</x:f>
      </x:c>
      <x:c r="I41" s="292" t="n">
        <x:f>IF($F41="","n.a.",$F41-TODAY())</x:f>
        <x:v>164</x:v>
      </x:c>
      <x:c r="J41" s="107" t="str">
        <x:f>IF($E41="未建立","先完成考核",IF($E41="資格暫停","完成補訓與複評",IF($F41="","設定到期日",IF($I41&lt;0,"立即停止使用資格",IF($I41&lt;=30,"安排複評","尚未到期")))))</x:f>
        <x:v>尚未到期</x:v>
      </x:c>
    </x:row>
    <x:row r="42">
      <x:c r="A42" s="79" t="str">
        <x:v>1028</x:v>
      </x:c>
      <x:c r="B42" s="79" t="str"/>
      <x:c r="C42" s="79" t="str">
        <x:v>LJT-RPD-FINAL</x:v>
      </x:c>
      <x:c r="D42" s="107" t="str">
        <x:f>'資格有效性'!D42</x:f>
        <x:v>未評估</x:v>
      </x:c>
      <x:c r="E42" s="107" t="str">
        <x:f>'資格有效性'!E42</x:f>
        <x:v>未建立</x:v>
      </x:c>
      <x:c r="F42" s="109" t="str">
        <x:f>IF('資格有效性'!G42="","",'資格有效性'!G42)</x:f>
      </x:c>
      <x:c r="G42" s="107" t="n">
        <x:v>0</x:v>
      </x:c>
      <x:c r="H42" s="109" t="str">
        <x:f>IF('資格有效性'!I42="","",'資格有效性'!I42)</x:f>
      </x:c>
      <x:c r="I42" s="292" t="str">
        <x:f>IF($F42="","n.a.",$F42-TODAY())</x:f>
        <x:v>n.a.</x:v>
      </x:c>
      <x:c r="J42" s="107" t="str">
        <x:f>IF($E42="未建立","先完成考核",IF($E42="資格暫停","完成補訓與複評",IF($F42="","設定到期日",IF($I42&lt;0,"立即停止使用資格",IF($I42&lt;=30,"安排複評","尚未到期")))))</x:f>
        <x:v>先完成考核</x:v>
      </x:c>
    </x:row>
    <x:row r="43">
      <x:c r="A43" s="79" t="str">
        <x:v>1029</x:v>
      </x:c>
      <x:c r="B43" s="79" t="str"/>
      <x:c r="C43" s="79" t="str">
        <x:v>LJT-PREP-PERIOSURG</x:v>
      </x:c>
      <x:c r="D43" s="107" t="str">
        <x:f>'資格有效性'!D43</x:f>
        <x:v>未評估</x:v>
      </x:c>
      <x:c r="E43" s="107" t="str">
        <x:f>'資格有效性'!E43</x:f>
        <x:v>未建立</x:v>
      </x:c>
      <x:c r="F43" s="109" t="n">
        <x:f>IF('資格有效性'!G43="","",'資格有效性'!G43)</x:f>
        <x:v>46447</x:v>
      </x:c>
      <x:c r="G43" s="107" t="n">
        <x:v>0</x:v>
      </x:c>
      <x:c r="H43" s="109" t="str">
        <x:f>IF('資格有效性'!I43="","",'資格有效性'!I43)</x:f>
      </x:c>
      <x:c r="I43" s="292" t="n">
        <x:f>IF($F43="","n.a.",$F43-TODAY())</x:f>
        <x:v>164</x:v>
      </x:c>
      <x:c r="J43" s="107" t="str">
        <x:f>IF($E43="未建立","先完成考核",IF($E43="資格暫停","完成補訓與複評",IF($F43="","設定到期日",IF($I43&lt;0,"立即停止使用資格",IF($I43&lt;=30,"安排複評","尚未到期")))))</x:f>
        <x:v>先完成考核</x:v>
      </x:c>
    </x:row>
    <x:row r="44">
      <x:c r="A44" s="79" t="str">
        <x:v>1029</x:v>
      </x:c>
      <x:c r="B44" s="79" t="str"/>
      <x:c r="C44" s="79" t="str">
        <x:v>LJT-PREP-MICROENDO</x:v>
      </x:c>
      <x:c r="D44" s="107" t="str">
        <x:f>'資格有效性'!D44</x:f>
        <x:v>未評估</x:v>
      </x:c>
      <x:c r="E44" s="107" t="str">
        <x:f>'資格有效性'!E44</x:f>
        <x:v>未建立</x:v>
      </x:c>
      <x:c r="F44" s="109" t="n">
        <x:f>IF('資格有效性'!G44="","",'資格有效性'!G44)</x:f>
        <x:v>46447</x:v>
      </x:c>
      <x:c r="G44" s="107" t="n">
        <x:v>0</x:v>
      </x:c>
      <x:c r="H44" s="109" t="str">
        <x:f>IF('資格有效性'!I44="","",'資格有效性'!I44)</x:f>
      </x:c>
      <x:c r="I44" s="292" t="n">
        <x:f>IF($F44="","n.a.",$F44-TODAY())</x:f>
        <x:v>164</x:v>
      </x:c>
      <x:c r="J44" s="107" t="str">
        <x:f>IF($E44="未建立","先完成考核",IF($E44="資格暫停","完成補訓與複評",IF($F44="","設定到期日",IF($I44&lt;0,"立即停止使用資格",IF($I44&lt;=30,"安排複評","尚未到期")))))</x:f>
        <x:v>先完成考核</x:v>
      </x:c>
    </x:row>
    <x:row r="45">
      <x:c r="A45" s="79" t="str">
        <x:v>1029</x:v>
      </x:c>
      <x:c r="B45" s="79" t="str"/>
      <x:c r="C45" s="79" t="str">
        <x:v>LJT-PREP-IMPLANT</x:v>
      </x:c>
      <x:c r="D45" s="107" t="str">
        <x:f>'資格有效性'!D45</x:f>
        <x:v>未評估</x:v>
      </x:c>
      <x:c r="E45" s="107" t="str">
        <x:f>'資格有效性'!E45</x:f>
        <x:v>未建立</x:v>
      </x:c>
      <x:c r="F45" s="109" t="n">
        <x:f>IF('資格有效性'!G45="","",'資格有效性'!G45)</x:f>
        <x:v>46447</x:v>
      </x:c>
      <x:c r="G45" s="107" t="n">
        <x:v>0</x:v>
      </x:c>
      <x:c r="H45" s="109" t="str">
        <x:f>IF('資格有效性'!I45="","",'資格有效性'!I45)</x:f>
      </x:c>
      <x:c r="I45" s="292" t="n">
        <x:f>IF($F45="","n.a.",$F45-TODAY())</x:f>
        <x:v>164</x:v>
      </x:c>
      <x:c r="J45" s="107" t="str">
        <x:f>IF($E45="未建立","先完成考核",IF($E45="資格暫停","完成補訓與複評",IF($F45="","設定到期日",IF($I45&lt;0,"立即停止使用資格",IF($I45&lt;=30,"安排複評","尚未到期")))))</x:f>
        <x:v>先完成考核</x:v>
      </x:c>
    </x:row>
    <x:row r="46">
      <x:c r="A46" s="79" t="str">
        <x:v>1029</x:v>
      </x:c>
      <x:c r="B46" s="79" t="str"/>
      <x:c r="C46" s="79" t="str">
        <x:v>LJT-RPD-FINAL</x:v>
      </x:c>
      <x:c r="D46" s="107" t="str">
        <x:f>'資格有效性'!D46</x:f>
        <x:v>未評估</x:v>
      </x:c>
      <x:c r="E46" s="107" t="str">
        <x:f>'資格有效性'!E46</x:f>
        <x:v>未建立</x:v>
      </x:c>
      <x:c r="F46" s="109" t="str">
        <x:f>IF('資格有效性'!G46="","",'資格有效性'!G46)</x:f>
      </x:c>
      <x:c r="G46" s="107" t="n">
        <x:v>0</x:v>
      </x:c>
      <x:c r="H46" s="109" t="str">
        <x:f>IF('資格有效性'!I46="","",'資格有效性'!I46)</x:f>
      </x:c>
      <x:c r="I46" s="292" t="str">
        <x:f>IF($F46="","n.a.",$F46-TODAY())</x:f>
        <x:v>n.a.</x:v>
      </x:c>
      <x:c r="J46" s="107" t="str">
        <x:f>IF($E46="未建立","先完成考核",IF($E46="資格暫停","完成補訓與複評",IF($F46="","設定到期日",IF($I46&lt;0,"立即停止使用資格",IF($I46&lt;=30,"安排複評","尚未到期")))))</x:f>
        <x:v>先完成考核</x:v>
      </x:c>
    </x:row>
    <x:row r="47">
      <x:c r="A47" s="79" t="str">
        <x:v>1030</x:v>
      </x:c>
      <x:c r="B47" s="79" t="str"/>
      <x:c r="C47" s="79" t="str">
        <x:v>LJT-PREP-PERIOSURG</x:v>
      </x:c>
      <x:c r="D47" s="107" t="str">
        <x:f>'資格有效性'!D47</x:f>
        <x:v>未評估</x:v>
      </x:c>
      <x:c r="E47" s="107" t="str">
        <x:f>'資格有效性'!E47</x:f>
        <x:v>未建立</x:v>
      </x:c>
      <x:c r="F47" s="109" t="n">
        <x:f>IF('資格有效性'!G47="","",'資格有效性'!G47)</x:f>
        <x:v>46447</x:v>
      </x:c>
      <x:c r="G47" s="107" t="n">
        <x:v>0</x:v>
      </x:c>
      <x:c r="H47" s="109" t="str">
        <x:f>IF('資格有效性'!I47="","",'資格有效性'!I47)</x:f>
      </x:c>
      <x:c r="I47" s="292" t="n">
        <x:f>IF($F47="","n.a.",$F47-TODAY())</x:f>
        <x:v>164</x:v>
      </x:c>
      <x:c r="J47" s="107" t="str">
        <x:f>IF($E47="未建立","先完成考核",IF($E47="資格暫停","完成補訓與複評",IF($F47="","設定到期日",IF($I47&lt;0,"立即停止使用資格",IF($I47&lt;=30,"安排複評","尚未到期")))))</x:f>
        <x:v>先完成考核</x:v>
      </x:c>
    </x:row>
    <x:row r="48">
      <x:c r="A48" s="79" t="str">
        <x:v>1030</x:v>
      </x:c>
      <x:c r="B48" s="79" t="str"/>
      <x:c r="C48" s="79" t="str">
        <x:v>LJT-PREP-MICROENDO</x:v>
      </x:c>
      <x:c r="D48" s="107" t="str">
        <x:f>'資格有效性'!D48</x:f>
        <x:v>未評估</x:v>
      </x:c>
      <x:c r="E48" s="107" t="str">
        <x:f>'資格有效性'!E48</x:f>
        <x:v>未建立</x:v>
      </x:c>
      <x:c r="F48" s="109" t="n">
        <x:f>IF('資格有效性'!G48="","",'資格有效性'!G48)</x:f>
        <x:v>46447</x:v>
      </x:c>
      <x:c r="G48" s="107" t="n">
        <x:v>0</x:v>
      </x:c>
      <x:c r="H48" s="109" t="str">
        <x:f>IF('資格有效性'!I48="","",'資格有效性'!I48)</x:f>
      </x:c>
      <x:c r="I48" s="292" t="n">
        <x:f>IF($F48="","n.a.",$F48-TODAY())</x:f>
        <x:v>164</x:v>
      </x:c>
      <x:c r="J48" s="107" t="str">
        <x:f>IF($E48="未建立","先完成考核",IF($E48="資格暫停","完成補訓與複評",IF($F48="","設定到期日",IF($I48&lt;0,"立即停止使用資格",IF($I48&lt;=30,"安排複評","尚未到期")))))</x:f>
        <x:v>先完成考核</x:v>
      </x:c>
    </x:row>
    <x:row r="49">
      <x:c r="A49" s="79" t="str">
        <x:v>1030</x:v>
      </x:c>
      <x:c r="B49" s="79" t="str"/>
      <x:c r="C49" s="79" t="str">
        <x:v>LJT-PREP-IMPLANT</x:v>
      </x:c>
      <x:c r="D49" s="107" t="str">
        <x:f>'資格有效性'!D49</x:f>
        <x:v>未評估</x:v>
      </x:c>
      <x:c r="E49" s="107" t="str">
        <x:f>'資格有效性'!E49</x:f>
        <x:v>未建立</x:v>
      </x:c>
      <x:c r="F49" s="109" t="n">
        <x:f>IF('資格有效性'!G49="","",'資格有效性'!G49)</x:f>
        <x:v>46447</x:v>
      </x:c>
      <x:c r="G49" s="107" t="n">
        <x:v>0</x:v>
      </x:c>
      <x:c r="H49" s="109" t="str">
        <x:f>IF('資格有效性'!I49="","",'資格有效性'!I49)</x:f>
      </x:c>
      <x:c r="I49" s="292" t="n">
        <x:f>IF($F49="","n.a.",$F49-TODAY())</x:f>
        <x:v>164</x:v>
      </x:c>
      <x:c r="J49" s="107" t="str">
        <x:f>IF($E49="未建立","先完成考核",IF($E49="資格暫停","完成補訓與複評",IF($F49="","設定到期日",IF($I49&lt;0,"立即停止使用資格",IF($I49&lt;=30,"安排複評","尚未到期")))))</x:f>
        <x:v>先完成考核</x:v>
      </x:c>
    </x:row>
    <x:row r="50">
      <x:c r="A50" s="79" t="str">
        <x:v>1030</x:v>
      </x:c>
      <x:c r="B50" s="79" t="str"/>
      <x:c r="C50" s="79" t="str">
        <x:v>LJT-RPD-FINAL</x:v>
      </x:c>
      <x:c r="D50" s="107" t="str">
        <x:f>'資格有效性'!D50</x:f>
        <x:v>未評估</x:v>
      </x:c>
      <x:c r="E50" s="107" t="str">
        <x:f>'資格有效性'!E50</x:f>
        <x:v>未建立</x:v>
      </x:c>
      <x:c r="F50" s="109" t="str">
        <x:f>IF('資格有效性'!G50="","",'資格有效性'!G50)</x:f>
      </x:c>
      <x:c r="G50" s="107" t="n">
        <x:v>0</x:v>
      </x:c>
      <x:c r="H50" s="109" t="str">
        <x:f>IF('資格有效性'!I50="","",'資格有效性'!I50)</x:f>
      </x:c>
      <x:c r="I50" s="292" t="str">
        <x:f>IF($F50="","n.a.",$F50-TODAY())</x:f>
        <x:v>n.a.</x:v>
      </x:c>
      <x:c r="J50" s="107" t="str">
        <x:f>IF($E50="未建立","先完成考核",IF($E50="資格暫停","完成補訓與複評",IF($F50="","設定到期日",IF($I50&lt;0,"立即停止使用資格",IF($I50&lt;=30,"安排複評","尚未到期")))))</x:f>
        <x:v>先完成考核</x:v>
      </x:c>
    </x:row>
    <x:row r="51">
      <x:c r="A51" s="79" t="str">
        <x:v>1031</x:v>
      </x:c>
      <x:c r="B51" s="79" t="str"/>
      <x:c r="C51" s="79" t="str">
        <x:v>LJT-PREP-PERIOSURG</x:v>
      </x:c>
      <x:c r="D51" s="107" t="str">
        <x:f>'資格有效性'!D51</x:f>
        <x:v>未評估</x:v>
      </x:c>
      <x:c r="E51" s="107" t="str">
        <x:f>'資格有效性'!E51</x:f>
        <x:v>未建立</x:v>
      </x:c>
      <x:c r="F51" s="109" t="n">
        <x:f>IF('資格有效性'!G51="","",'資格有效性'!G51)</x:f>
        <x:v>46447</x:v>
      </x:c>
      <x:c r="G51" s="107" t="n">
        <x:v>0</x:v>
      </x:c>
      <x:c r="H51" s="109" t="str">
        <x:f>IF('資格有效性'!I51="","",'資格有效性'!I51)</x:f>
      </x:c>
      <x:c r="I51" s="292" t="n">
        <x:f>IF($F51="","n.a.",$F51-TODAY())</x:f>
        <x:v>164</x:v>
      </x:c>
      <x:c r="J51" s="107" t="str">
        <x:f>IF($E51="未建立","先完成考核",IF($E51="資格暫停","完成補訓與複評",IF($F51="","設定到期日",IF($I51&lt;0,"立即停止使用資格",IF($I51&lt;=30,"安排複評","尚未到期")))))</x:f>
        <x:v>先完成考核</x:v>
      </x:c>
    </x:row>
    <x:row r="52">
      <x:c r="A52" s="79" t="str">
        <x:v>1031</x:v>
      </x:c>
      <x:c r="B52" s="79" t="str"/>
      <x:c r="C52" s="79" t="str">
        <x:v>LJT-PREP-MICROENDO</x:v>
      </x:c>
      <x:c r="D52" s="107" t="str">
        <x:f>'資格有效性'!D52</x:f>
        <x:v>未評估</x:v>
      </x:c>
      <x:c r="E52" s="107" t="str">
        <x:f>'資格有效性'!E52</x:f>
        <x:v>未建立</x:v>
      </x:c>
      <x:c r="F52" s="109" t="n">
        <x:f>IF('資格有效性'!G52="","",'資格有效性'!G52)</x:f>
        <x:v>46447</x:v>
      </x:c>
      <x:c r="G52" s="107" t="n">
        <x:v>0</x:v>
      </x:c>
      <x:c r="H52" s="109" t="str">
        <x:f>IF('資格有效性'!I52="","",'資格有效性'!I52)</x:f>
      </x:c>
      <x:c r="I52" s="292" t="n">
        <x:f>IF($F52="","n.a.",$F52-TODAY())</x:f>
        <x:v>164</x:v>
      </x:c>
      <x:c r="J52" s="107" t="str">
        <x:f>IF($E52="未建立","先完成考核",IF($E52="資格暫停","完成補訓與複評",IF($F52="","設定到期日",IF($I52&lt;0,"立即停止使用資格",IF($I52&lt;=30,"安排複評","尚未到期")))))</x:f>
        <x:v>先完成考核</x:v>
      </x:c>
    </x:row>
    <x:row r="53">
      <x:c r="A53" s="79" t="str">
        <x:v>1031</x:v>
      </x:c>
      <x:c r="B53" s="79" t="str"/>
      <x:c r="C53" s="79" t="str">
        <x:v>LJT-PREP-IMPLANT</x:v>
      </x:c>
      <x:c r="D53" s="107" t="str">
        <x:f>'資格有效性'!D53</x:f>
        <x:v>未評估</x:v>
      </x:c>
      <x:c r="E53" s="107" t="str">
        <x:f>'資格有效性'!E53</x:f>
        <x:v>未建立</x:v>
      </x:c>
      <x:c r="F53" s="109" t="n">
        <x:f>IF('資格有效性'!G53="","",'資格有效性'!G53)</x:f>
        <x:v>46447</x:v>
      </x:c>
      <x:c r="G53" s="107" t="n">
        <x:v>0</x:v>
      </x:c>
      <x:c r="H53" s="109" t="str">
        <x:f>IF('資格有效性'!I53="","",'資格有效性'!I53)</x:f>
      </x:c>
      <x:c r="I53" s="292" t="n">
        <x:f>IF($F53="","n.a.",$F53-TODAY())</x:f>
        <x:v>164</x:v>
      </x:c>
      <x:c r="J53" s="107" t="str">
        <x:f>IF($E53="未建立","先完成考核",IF($E53="資格暫停","完成補訓與複評",IF($F53="","設定到期日",IF($I53&lt;0,"立即停止使用資格",IF($I53&lt;=30,"安排複評","尚未到期")))))</x:f>
        <x:v>先完成考核</x:v>
      </x:c>
    </x:row>
    <x:row r="54">
      <x:c r="A54" s="79" t="str">
        <x:v>1031</x:v>
      </x:c>
      <x:c r="B54" s="79" t="str"/>
      <x:c r="C54" s="79" t="str">
        <x:v>LJT-RPD-FINAL</x:v>
      </x:c>
      <x:c r="D54" s="107" t="str">
        <x:f>'資格有效性'!D54</x:f>
        <x:v>未評估</x:v>
      </x:c>
      <x:c r="E54" s="107" t="str">
        <x:f>'資格有效性'!E54</x:f>
        <x:v>未建立</x:v>
      </x:c>
      <x:c r="F54" s="109" t="str">
        <x:f>IF('資格有效性'!G54="","",'資格有效性'!G54)</x:f>
      </x:c>
      <x:c r="G54" s="107" t="n">
        <x:v>0</x:v>
      </x:c>
      <x:c r="H54" s="109" t="str">
        <x:f>IF('資格有效性'!I54="","",'資格有效性'!I54)</x:f>
      </x:c>
      <x:c r="I54" s="292" t="str">
        <x:f>IF($F54="","n.a.",$F54-TODAY())</x:f>
        <x:v>n.a.</x:v>
      </x:c>
      <x:c r="J54" s="107" t="str">
        <x:f>IF($E54="未建立","先完成考核",IF($E54="資格暫停","完成補訓與複評",IF($F54="","設定到期日",IF($I54&lt;0,"立即停止使用資格",IF($I54&lt;=30,"安排複評","尚未到期")))))</x:f>
        <x:v>先完成考核</x:v>
      </x:c>
    </x:row>
    <x:row r="55">
      <x:c r="A55" s="79" t="str">
        <x:v>2006</x:v>
      </x:c>
      <x:c r="B55" s="79" t="str"/>
      <x:c r="C55" s="79" t="str">
        <x:v>LJT-PREP-PERIOSURG</x:v>
      </x:c>
      <x:c r="D55" s="107" t="str">
        <x:f>'資格有效性'!D55</x:f>
        <x:v>未評估</x:v>
      </x:c>
      <x:c r="E55" s="107" t="str">
        <x:f>'資格有效性'!E55</x:f>
        <x:v>未建立</x:v>
      </x:c>
      <x:c r="F55" s="109" t="n">
        <x:f>IF('資格有效性'!G55="","",'資格有效性'!G55)</x:f>
        <x:v>46447</x:v>
      </x:c>
      <x:c r="G55" s="107" t="n">
        <x:v>0</x:v>
      </x:c>
      <x:c r="H55" s="109" t="str">
        <x:f>IF('資格有效性'!I55="","",'資格有效性'!I55)</x:f>
      </x:c>
      <x:c r="I55" s="292" t="n">
        <x:f>IF($F55="","n.a.",$F55-TODAY())</x:f>
        <x:v>164</x:v>
      </x:c>
      <x:c r="J55" s="107" t="str">
        <x:f>IF($E55="未建立","先完成考核",IF($E55="資格暫停","完成補訓與複評",IF($F55="","設定到期日",IF($I55&lt;0,"立即停止使用資格",IF($I55&lt;=30,"安排複評","尚未到期")))))</x:f>
        <x:v>先完成考核</x:v>
      </x:c>
    </x:row>
    <x:row r="56">
      <x:c r="A56" s="79" t="str">
        <x:v>2006</x:v>
      </x:c>
      <x:c r="B56" s="79" t="str"/>
      <x:c r="C56" s="79" t="str">
        <x:v>LJT-PREP-MICROENDO</x:v>
      </x:c>
      <x:c r="D56" s="107" t="str">
        <x:f>'資格有效性'!D56</x:f>
        <x:v>未評估</x:v>
      </x:c>
      <x:c r="E56" s="107" t="str">
        <x:f>'資格有效性'!E56</x:f>
        <x:v>未建立</x:v>
      </x:c>
      <x:c r="F56" s="109" t="n">
        <x:f>IF('資格有效性'!G56="","",'資格有效性'!G56)</x:f>
        <x:v>46447</x:v>
      </x:c>
      <x:c r="G56" s="107" t="n">
        <x:v>0</x:v>
      </x:c>
      <x:c r="H56" s="109" t="str">
        <x:f>IF('資格有效性'!I56="","",'資格有效性'!I56)</x:f>
      </x:c>
      <x:c r="I56" s="292" t="n">
        <x:f>IF($F56="","n.a.",$F56-TODAY())</x:f>
        <x:v>164</x:v>
      </x:c>
      <x:c r="J56" s="107" t="str">
        <x:f>IF($E56="未建立","先完成考核",IF($E56="資格暫停","完成補訓與複評",IF($F56="","設定到期日",IF($I56&lt;0,"立即停止使用資格",IF($I56&lt;=30,"安排複評","尚未到期")))))</x:f>
        <x:v>先完成考核</x:v>
      </x:c>
    </x:row>
    <x:row r="57">
      <x:c r="A57" s="79" t="str">
        <x:v>2006</x:v>
      </x:c>
      <x:c r="B57" s="79" t="str"/>
      <x:c r="C57" s="79" t="str">
        <x:v>LJT-PREP-IMPLANT</x:v>
      </x:c>
      <x:c r="D57" s="107" t="str">
        <x:f>'資格有效性'!D57</x:f>
        <x:v>未評估</x:v>
      </x:c>
      <x:c r="E57" s="107" t="str">
        <x:f>'資格有效性'!E57</x:f>
        <x:v>未建立</x:v>
      </x:c>
      <x:c r="F57" s="109" t="n">
        <x:f>IF('資格有效性'!G57="","",'資格有效性'!G57)</x:f>
        <x:v>46447</x:v>
      </x:c>
      <x:c r="G57" s="107" t="n">
        <x:v>0</x:v>
      </x:c>
      <x:c r="H57" s="109" t="str">
        <x:f>IF('資格有效性'!I57="","",'資格有效性'!I57)</x:f>
      </x:c>
      <x:c r="I57" s="292" t="n">
        <x:f>IF($F57="","n.a.",$F57-TODAY())</x:f>
        <x:v>164</x:v>
      </x:c>
      <x:c r="J57" s="107" t="str">
        <x:f>IF($E57="未建立","先完成考核",IF($E57="資格暫停","完成補訓與複評",IF($F57="","設定到期日",IF($I57&lt;0,"立即停止使用資格",IF($I57&lt;=30,"安排複評","尚未到期")))))</x:f>
        <x:v>先完成考核</x:v>
      </x:c>
    </x:row>
    <x:row r="58">
      <x:c r="A58" s="79" t="str">
        <x:v>2006</x:v>
      </x:c>
      <x:c r="B58" s="79" t="str"/>
      <x:c r="C58" s="79" t="str">
        <x:v>LJT-RPD-FINAL</x:v>
      </x:c>
      <x:c r="D58" s="107" t="str">
        <x:f>'資格有效性'!D58</x:f>
        <x:v>未評估</x:v>
      </x:c>
      <x:c r="E58" s="107" t="str">
        <x:f>'資格有效性'!E58</x:f>
        <x:v>未建立</x:v>
      </x:c>
      <x:c r="F58" s="109" t="str">
        <x:f>IF('資格有效性'!G58="","",'資格有效性'!G58)</x:f>
      </x:c>
      <x:c r="G58" s="107" t="n">
        <x:v>0</x:v>
      </x:c>
      <x:c r="H58" s="109" t="str">
        <x:f>IF('資格有效性'!I58="","",'資格有效性'!I58)</x:f>
      </x:c>
      <x:c r="I58" s="292" t="str">
        <x:f>IF($F58="","n.a.",$F58-TODAY())</x:f>
        <x:v>n.a.</x:v>
      </x:c>
      <x:c r="J58" s="107" t="str">
        <x:f>IF($E58="未建立","先完成考核",IF($E58="資格暫停","完成補訓與複評",IF($F58="","設定到期日",IF($I58&lt;0,"立即停止使用資格",IF($I58&lt;=30,"安排複評","尚未到期")))))</x:f>
        <x:v>先完成考核</x:v>
      </x:c>
    </x:row>
    <x:row r="59">
      <x:c r="A59" s="79" t="str">
        <x:v>2007</x:v>
      </x:c>
      <x:c r="B59" s="79" t="str"/>
      <x:c r="C59" s="79" t="str">
        <x:v>LJT-PREP-PERIOSURG</x:v>
      </x:c>
      <x:c r="D59" s="107" t="str">
        <x:f>'資格有效性'!D59</x:f>
        <x:v>未評估</x:v>
      </x:c>
      <x:c r="E59" s="107" t="str">
        <x:f>'資格有效性'!E59</x:f>
        <x:v>未建立</x:v>
      </x:c>
      <x:c r="F59" s="109" t="n">
        <x:f>IF('資格有效性'!G59="","",'資格有效性'!G59)</x:f>
        <x:v>46447</x:v>
      </x:c>
      <x:c r="G59" s="107" t="n">
        <x:v>0</x:v>
      </x:c>
      <x:c r="H59" s="109" t="str">
        <x:f>IF('資格有效性'!I59="","",'資格有效性'!I59)</x:f>
      </x:c>
      <x:c r="I59" s="292" t="n">
        <x:f>IF($F59="","n.a.",$F59-TODAY())</x:f>
        <x:v>164</x:v>
      </x:c>
      <x:c r="J59" s="107" t="str">
        <x:f>IF($E59="未建立","先完成考核",IF($E59="資格暫停","完成補訓與複評",IF($F59="","設定到期日",IF($I59&lt;0,"立即停止使用資格",IF($I59&lt;=30,"安排複評","尚未到期")))))</x:f>
        <x:v>先完成考核</x:v>
      </x:c>
    </x:row>
    <x:row r="60">
      <x:c r="A60" s="79" t="str">
        <x:v>2007</x:v>
      </x:c>
      <x:c r="B60" s="79" t="str"/>
      <x:c r="C60" s="79" t="str">
        <x:v>LJT-PREP-MICROENDO</x:v>
      </x:c>
      <x:c r="D60" s="107" t="str">
        <x:f>'資格有效性'!D60</x:f>
        <x:v>未評估</x:v>
      </x:c>
      <x:c r="E60" s="107" t="str">
        <x:f>'資格有效性'!E60</x:f>
        <x:v>未建立</x:v>
      </x:c>
      <x:c r="F60" s="109" t="n">
        <x:f>IF('資格有效性'!G60="","",'資格有效性'!G60)</x:f>
        <x:v>46447</x:v>
      </x:c>
      <x:c r="G60" s="107" t="n">
        <x:v>0</x:v>
      </x:c>
      <x:c r="H60" s="109" t="str">
        <x:f>IF('資格有效性'!I60="","",'資格有效性'!I60)</x:f>
      </x:c>
      <x:c r="I60" s="292" t="n">
        <x:f>IF($F60="","n.a.",$F60-TODAY())</x:f>
        <x:v>164</x:v>
      </x:c>
      <x:c r="J60" s="107" t="str">
        <x:f>IF($E60="未建立","先完成考核",IF($E60="資格暫停","完成補訓與複評",IF($F60="","設定到期日",IF($I60&lt;0,"立即停止使用資格",IF($I60&lt;=30,"安排複評","尚未到期")))))</x:f>
        <x:v>先完成考核</x:v>
      </x:c>
    </x:row>
    <x:row r="61">
      <x:c r="A61" s="79" t="str">
        <x:v>2007</x:v>
      </x:c>
      <x:c r="B61" s="79" t="str"/>
      <x:c r="C61" s="79" t="str">
        <x:v>LJT-PREP-IMPLANT</x:v>
      </x:c>
      <x:c r="D61" s="107" t="str">
        <x:f>'資格有效性'!D61</x:f>
        <x:v>未評估</x:v>
      </x:c>
      <x:c r="E61" s="107" t="str">
        <x:f>'資格有效性'!E61</x:f>
        <x:v>未建立</x:v>
      </x:c>
      <x:c r="F61" s="109" t="n">
        <x:f>IF('資格有效性'!G61="","",'資格有效性'!G61)</x:f>
        <x:v>46447</x:v>
      </x:c>
      <x:c r="G61" s="107" t="n">
        <x:v>0</x:v>
      </x:c>
      <x:c r="H61" s="109" t="str">
        <x:f>IF('資格有效性'!I61="","",'資格有效性'!I61)</x:f>
      </x:c>
      <x:c r="I61" s="292" t="n">
        <x:f>IF($F61="","n.a.",$F61-TODAY())</x:f>
        <x:v>164</x:v>
      </x:c>
      <x:c r="J61" s="107" t="str">
        <x:f>IF($E61="未建立","先完成考核",IF($E61="資格暫停","完成補訓與複評",IF($F61="","設定到期日",IF($I61&lt;0,"立即停止使用資格",IF($I61&lt;=30,"安排複評","尚未到期")))))</x:f>
        <x:v>先完成考核</x:v>
      </x:c>
    </x:row>
    <x:row r="62">
      <x:c r="A62" s="79" t="str">
        <x:v>2007</x:v>
      </x:c>
      <x:c r="B62" s="79" t="str"/>
      <x:c r="C62" s="79" t="str">
        <x:v>LJT-RPD-FINAL</x:v>
      </x:c>
      <x:c r="D62" s="107" t="str">
        <x:f>'資格有效性'!D62</x:f>
        <x:v>未評估</x:v>
      </x:c>
      <x:c r="E62" s="107" t="str">
        <x:f>'資格有效性'!E62</x:f>
        <x:v>未建立</x:v>
      </x:c>
      <x:c r="F62" s="109" t="str">
        <x:f>IF('資格有效性'!G62="","",'資格有效性'!G62)</x:f>
      </x:c>
      <x:c r="G62" s="107" t="n">
        <x:v>0</x:v>
      </x:c>
      <x:c r="H62" s="109" t="str">
        <x:f>IF('資格有效性'!I62="","",'資格有效性'!I62)</x:f>
      </x:c>
      <x:c r="I62" s="292" t="str">
        <x:f>IF($F62="","n.a.",$F62-TODAY())</x:f>
        <x:v>n.a.</x:v>
      </x:c>
      <x:c r="J62" s="107" t="str">
        <x:f>IF($E62="未建立","先完成考核",IF($E62="資格暫停","完成補訓與複評",IF($F62="","設定到期日",IF($I62&lt;0,"立即停止使用資格",IF($I62&lt;=30,"安排複評","尚未到期")))))</x:f>
        <x:v>先完成考核</x:v>
      </x:c>
    </x:row>
    <x:row r="63">
      <x:c r="I63" s="293"/>
    </x:row>
    <x:row r="64">
      <x:c r="I64" s="293"/>
    </x:row>
    <x:row r="65">
      <x:c r="I65" s="293"/>
    </x:row>
    <x:row r="66">
      <x:c r="I66" s="293"/>
    </x:row>
    <x:row r="67">
      <x:c r="I67" s="293"/>
    </x:row>
    <x:row r="68">
      <x:c r="I68" s="293"/>
    </x:row>
    <x:row r="69">
      <x:c r="I69" s="293"/>
    </x:row>
    <x:row r="70">
      <x:c r="I70" s="293"/>
    </x:row>
    <x:row r="71">
      <x:c r="I71" s="293"/>
    </x:row>
    <x:row r="72">
      <x:c r="I72" s="293"/>
    </x:row>
    <x:row r="73">
      <x:c r="I73" s="293"/>
    </x:row>
    <x:row r="74">
      <x:c r="I74" s="293"/>
    </x:row>
    <x:row r="75">
      <x:c r="I75" s="293"/>
    </x:row>
    <x:row r="76">
      <x:c r="I76" s="293"/>
    </x:row>
    <x:row r="77">
      <x:c r="I77" s="293"/>
    </x:row>
    <x:row r="78">
      <x:c r="I78" s="293"/>
    </x:row>
    <x:row r="79">
      <x:c r="I79" s="293"/>
    </x:row>
    <x:row r="80">
      <x:c r="I80" s="293"/>
    </x:row>
    <x:row r="81">
      <x:c r="I81" s="293"/>
    </x:row>
    <x:row r="82">
      <x:c r="I82" s="293"/>
    </x:row>
    <x:row r="83">
      <x:c r="I83" s="293"/>
    </x:row>
    <x:row r="84">
      <x:c r="I84" s="293"/>
    </x:row>
    <x:row r="85">
      <x:c r="I85" s="293"/>
    </x:row>
    <x:row r="86">
      <x:c r="I86" s="293"/>
    </x:row>
    <x:row r="87">
      <x:c r="I87" s="293"/>
    </x:row>
    <x:row r="88">
      <x:c r="I88" s="293"/>
    </x:row>
    <x:row r="89">
      <x:c r="I89" s="293"/>
    </x:row>
    <x:row r="90">
      <x:c r="I90" s="293"/>
    </x:row>
    <x:row r="91">
      <x:c r="I91" s="293"/>
    </x:row>
    <x:row r="92">
      <x:c r="I92" s="293"/>
    </x:row>
    <x:row r="93">
      <x:c r="I93" s="293"/>
    </x:row>
    <x:row r="94">
      <x:c r="I94" s="293"/>
    </x:row>
    <x:row r="95">
      <x:c r="I95" s="293"/>
    </x:row>
    <x:row r="96">
      <x:c r="I96" s="293"/>
    </x:row>
    <x:row r="97">
      <x:c r="I97" s="293"/>
    </x:row>
    <x:row r="98">
      <x:c r="I98" s="293"/>
    </x:row>
    <x:row r="99">
      <x:c r="I99" s="293"/>
    </x:row>
    <x:row r="100">
      <x:c r="I100" s="293"/>
    </x:row>
    <x:row r="101">
      <x:c r="I101" s="293"/>
    </x:row>
    <x:row r="102">
      <x:c r="I102" s="293"/>
    </x:row>
    <x:row r="103">
      <x:c r="I103" s="293"/>
    </x:row>
    <x:row r="104">
      <x:c r="I104" s="293"/>
    </x:row>
    <x:row r="105">
      <x:c r="I105" s="293"/>
    </x:row>
    <x:row r="106">
      <x:c r="I106" s="293"/>
    </x:row>
    <x:row r="107">
      <x:c r="I107" s="293"/>
    </x:row>
    <x:row r="108">
      <x:c r="I108" s="293"/>
    </x:row>
    <x:row r="109">
      <x:c r="I109" s="293"/>
    </x:row>
    <x:row r="110">
      <x:c r="I110" s="293"/>
    </x:row>
    <x:row r="111">
      <x:c r="I111" s="293"/>
    </x:row>
    <x:row r="112">
      <x:c r="I112" s="293"/>
    </x:row>
    <x:row r="113">
      <x:c r="I113" s="293"/>
    </x:row>
    <x:row r="114">
      <x:c r="I114" s="293"/>
    </x:row>
    <x:row r="115">
      <x:c r="I115" s="293"/>
    </x:row>
    <x:row r="116">
      <x:c r="I116" s="293"/>
    </x:row>
    <x:row r="117">
      <x:c r="I117" s="293"/>
    </x:row>
    <x:row r="118">
      <x:c r="I118" s="293"/>
    </x:row>
    <x:row r="119">
      <x:c r="I119" s="293"/>
    </x:row>
    <x:row r="120">
      <x:c r="I120" s="293"/>
    </x:row>
    <x:row r="121">
      <x:c r="I121" s="293"/>
    </x:row>
    <x:row r="122">
      <x:c r="I122" s="293"/>
    </x:row>
    <x:row r="123">
      <x:c r="I123" s="293"/>
    </x:row>
    <x:row r="124">
      <x:c r="I124" s="293"/>
    </x:row>
    <x:row r="125">
      <x:c r="I125" s="293"/>
    </x:row>
    <x:row r="126">
      <x:c r="I126" s="293"/>
    </x:row>
    <x:row r="127">
      <x:c r="I127" s="293"/>
    </x:row>
    <x:row r="128">
      <x:c r="I128" s="293"/>
    </x:row>
    <x:row r="129">
      <x:c r="I129" s="293"/>
    </x:row>
    <x:row r="130">
      <x:c r="I130" s="293"/>
    </x:row>
    <x:row r="131">
      <x:c r="I131" s="293"/>
    </x:row>
    <x:row r="132">
      <x:c r="I132" s="293"/>
    </x:row>
    <x:row r="133">
      <x:c r="I133" s="293"/>
    </x:row>
    <x:row r="134">
      <x:c r="I134" s="293"/>
    </x:row>
    <x:row r="135">
      <x:c r="I135" s="293"/>
    </x:row>
    <x:row r="136">
      <x:c r="I136" s="293"/>
    </x:row>
    <x:row r="137">
      <x:c r="I137" s="293"/>
    </x:row>
    <x:row r="138">
      <x:c r="I138" s="293"/>
    </x:row>
    <x:row r="139">
      <x:c r="I139" s="293"/>
    </x:row>
    <x:row r="140">
      <x:c r="I140" s="293"/>
    </x:row>
    <x:row r="141">
      <x:c r="I141" s="293"/>
    </x:row>
    <x:row r="142">
      <x:c r="I142" s="293"/>
    </x:row>
    <x:row r="143">
      <x:c r="I143" s="293"/>
    </x:row>
    <x:row r="144">
      <x:c r="I144" s="293"/>
    </x:row>
    <x:row r="145">
      <x:c r="I145" s="293"/>
    </x:row>
    <x:row r="146">
      <x:c r="I146" s="293"/>
    </x:row>
    <x:row r="147">
      <x:c r="I147" s="293"/>
    </x:row>
    <x:row r="148">
      <x:c r="I148" s="293"/>
    </x:row>
    <x:row r="149">
      <x:c r="I149" s="293"/>
    </x:row>
    <x:row r="150">
      <x:c r="I150" s="293"/>
    </x:row>
    <x:row r="151">
      <x:c r="I151" s="293"/>
    </x:row>
    <x:row r="152">
      <x:c r="I152" s="293"/>
    </x:row>
    <x:row r="153">
      <x:c r="I153" s="293"/>
    </x:row>
    <x:row r="154">
      <x:c r="I154" s="293"/>
    </x:row>
    <x:row r="155">
      <x:c r="I155" s="293"/>
    </x:row>
    <x:row r="156">
      <x:c r="I156" s="293"/>
    </x:row>
    <x:row r="157">
      <x:c r="I157" s="293"/>
    </x:row>
    <x:row r="158">
      <x:c r="I158" s="293"/>
    </x:row>
    <x:row r="159">
      <x:c r="I159" s="293"/>
    </x:row>
    <x:row r="160">
      <x:c r="I160" s="293"/>
    </x:row>
    <x:row r="161">
      <x:c r="I161" s="293"/>
    </x:row>
    <x:row r="162">
      <x:c r="I162" s="293"/>
    </x:row>
    <x:row r="163">
      <x:c r="I163" s="293"/>
    </x:row>
    <x:row r="164">
      <x:c r="I164" s="293"/>
    </x:row>
    <x:row r="165">
      <x:c r="I165" s="293"/>
    </x:row>
    <x:row r="166">
      <x:c r="I166" s="293"/>
    </x:row>
    <x:row r="167">
      <x:c r="I167" s="293"/>
    </x:row>
    <x:row r="168">
      <x:c r="I168" s="293"/>
    </x:row>
    <x:row r="169">
      <x:c r="I169" s="293"/>
    </x:row>
    <x:row r="170">
      <x:c r="I170" s="293"/>
    </x:row>
    <x:row r="171">
      <x:c r="I171" s="293"/>
    </x:row>
    <x:row r="172">
      <x:c r="I172" s="293"/>
    </x:row>
    <x:row r="173">
      <x:c r="I173" s="293"/>
    </x:row>
    <x:row r="174">
      <x:c r="I174" s="293"/>
    </x:row>
    <x:row r="175">
      <x:c r="I175" s="293"/>
    </x:row>
    <x:row r="176">
      <x:c r="I176" s="293"/>
    </x:row>
    <x:row r="177">
      <x:c r="I177" s="293"/>
    </x:row>
    <x:row r="178">
      <x:c r="I178" s="293"/>
    </x:row>
    <x:row r="179">
      <x:c r="I179" s="293"/>
    </x:row>
    <x:row r="180">
      <x:c r="I180" s="293"/>
    </x:row>
    <x:row r="181">
      <x:c r="I181" s="293"/>
    </x:row>
    <x:row r="182">
      <x:c r="I182" s="293"/>
    </x:row>
    <x:row r="183">
      <x:c r="I183" s="293"/>
    </x:row>
    <x:row r="184">
      <x:c r="I184" s="293"/>
    </x:row>
    <x:row r="185">
      <x:c r="I185" s="293"/>
    </x:row>
    <x:row r="186">
      <x:c r="I186" s="293"/>
    </x:row>
    <x:row r="187">
      <x:c r="I187" s="293"/>
    </x:row>
    <x:row r="188">
      <x:c r="I188" s="293"/>
    </x:row>
    <x:row r="189">
      <x:c r="I189" s="293"/>
    </x:row>
    <x:row r="190">
      <x:c r="I190" s="293"/>
    </x:row>
    <x:row r="191">
      <x:c r="I191" s="293"/>
    </x:row>
    <x:row r="192">
      <x:c r="I192" s="293"/>
    </x:row>
    <x:row r="193">
      <x:c r="I193" s="293"/>
    </x:row>
    <x:row r="194">
      <x:c r="I194" s="293"/>
    </x:row>
    <x:row r="195">
      <x:c r="I195" s="293"/>
    </x:row>
    <x:row r="196">
      <x:c r="I196" s="293"/>
    </x:row>
    <x:row r="197">
      <x:c r="I197" s="293"/>
    </x:row>
    <x:row r="198">
      <x:c r="I198" s="293"/>
    </x:row>
    <x:row r="199">
      <x:c r="I199" s="293"/>
    </x:row>
    <x:row r="200">
      <x:c r="I200" s="293"/>
    </x:row>
    <x:row r="201">
      <x:c r="I201" s="293"/>
    </x:row>
    <x:row r="202">
      <x:c r="I202" s="293"/>
    </x:row>
    <x:row r="203">
      <x:c r="I203" s="293"/>
    </x:row>
    <x:row r="204">
      <x:c r="I204" s="293"/>
    </x:row>
    <x:row r="205">
      <x:c r="I205" s="293"/>
    </x:row>
    <x:row r="206">
      <x:c r="I206" s="293"/>
    </x:row>
  </x:sheetData>
  <x:conditionalFormatting sqref="J7:J62">
    <x:cfRule type="containsText" dxfId="15" priority="1" operator="containsText" text="立即"/>
    <x:cfRule type="containsText" dxfId="16" priority="2" operator="containsText" text="安排"/>
  </x:conditionalFormatting>
  <x:pageMargins left="0.7" right="0.7" top="0.75" bottom="0.75" header="0.3" footer="0.3"/>
  <x:tableParts count="1">
    <x:tablePart xmlns:r="http://schemas.openxmlformats.org/officeDocument/2006/relationships" r:id="Rd17f92a28bb14fe9"/>
  </x:tableParts>
</x:worksheet>
</file>

<file path=xl/worksheets/sheet26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6" hidden="0" customWidth="1"/>
    <x:col min="4" max="4" width="28" hidden="0" customWidth="1"/>
    <x:col min="5" max="5" width="14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8" hidden="0" customWidth="1"/>
    <x:col min="13" max="13" width="26" hidden="0" customWidth="1"/>
    <x:col min="14" max="14" width="16" hidden="0" customWidth="1"/>
    <x:col min="15" max="15" width="14" hidden="0" customWidth="1"/>
    <x:col min="16" max="16" width="16" hidden="0" customWidth="1"/>
    <x:col min="17" max="17" width="38" hidden="0" customWidth="1"/>
    <x:col min="18" max="18" width="18" hidden="0" customWidth="1"/>
  </x:cols>
  <x:sheetData>
    <x:row r="2">
      <x:c r="A2" s="74" t="str">
        <x:v>Ø 升 ◎ 證據與主管核定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>
      <x:c r="A4" s="75" t="str">
        <x:v>至少三次成功觀察、跨兩個工作日且完成兩個月面談，才可送主管核定。符合條件不會自動升級。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</x:row>
    <x:row r="6">
      <x:c r="A6" s="114" t="str">
        <x:v>升級鍵</x:v>
      </x:c>
      <x:c r="B6" s="114" t="str">
        <x:v>員工編號</x:v>
      </x:c>
      <x:c r="C6" s="114" t="str">
        <x:v>姓名</x:v>
      </x:c>
      <x:c r="D6" s="114" t="str">
        <x:v>技能代碼</x:v>
      </x:c>
      <x:c r="E6" s="114" t="str">
        <x:v>基準評等</x:v>
      </x:c>
      <x:c r="F6" s="114" t="str">
        <x:v>基準核定狀態</x:v>
      </x:c>
      <x:c r="G6" s="114" t="str">
        <x:v>成功觀察數</x:v>
      </x:c>
      <x:c r="H6" s="114" t="str">
        <x:v>首次成功日</x:v>
      </x:c>
      <x:c r="I6" s="114" t="str">
        <x:v>最近成功日</x:v>
      </x:c>
      <x:c r="J6" s="114" t="str">
        <x:v>觀察日證據</x:v>
      </x:c>
      <x:c r="K6" s="114" t="str">
        <x:v>關鍵遺漏數</x:v>
      </x:c>
      <x:c r="L6" s="114" t="str">
        <x:v>兩個月面談數</x:v>
      </x:c>
      <x:c r="M6" s="114" t="str">
        <x:v>候選狀態</x:v>
      </x:c>
      <x:c r="N6" s="114" t="str">
        <x:v>主管決定</x:v>
      </x:c>
      <x:c r="O6" s="114" t="str">
        <x:v>生效日</x:v>
      </x:c>
      <x:c r="P6" s="114" t="str">
        <x:v>核定人</x:v>
      </x:c>
      <x:c r="Q6" s="114" t="str">
        <x:v>核定備註</x:v>
      </x:c>
      <x:c r="R6" s="114" t="str">
        <x:v>升級結果</x:v>
      </x:c>
    </x:row>
    <x:row r="7">
      <x:c r="A7" s="79" t="str">
        <x:v>UPG|1001|LJT-PREP-SCALING</x:v>
      </x:c>
      <x:c r="B7" s="79" t="str">
        <x:v>1001</x:v>
      </x:c>
      <x:c r="C7" s="79" t="str"/>
      <x:c r="D7" s="79" t="str">
        <x:v>LJT-PREP-SCALING</x:v>
      </x:c>
      <x:c r="E7" s="79" t="str">
        <x:v>◎</x:v>
      </x:c>
      <x:c r="F7" s="115" t="str">
        <x:f>IF($E7="未評估","未建立",_xlfn.XLOOKUP("ABIL|1001|LJT-PREP-SCALING",'主管核定中心'!$A$12:$A$372,'主管核定中心'!$K$12:$K$372,"待主管核定",0))</x:f>
        <x:v>待主管核定</x:v>
      </x:c>
      <x:c r="G7" s="115" t="n">
        <x:f>COUNTIFS('工作觀察輸入'!$C$7:$C$206,$B7,'工作觀察輸入'!$G$7:$G$206,$D7,'工作觀察輸入'!$M$7:$M$206,"是")</x:f>
        <x:v>0</x:v>
      </x:c>
      <x:c r="H7" s="117" t="str">
        <x:f>IF($G7=0,"",_xlfn.MINIFS('工作觀察輸入'!$B$7:$B$206,'工作觀察輸入'!$C$7:$C$206,$B7,'工作觀察輸入'!$G$7:$G$206,$D7,'工作觀察輸入'!$M$7:$M$206,"是"))</x:f>
      </x:c>
      <x:c r="I7" s="117" t="str">
        <x:f>IF($G7=0,"",_xlfn.MAXIFS('工作觀察輸入'!$B$7:$B$206,'工作觀察輸入'!$C$7:$C$206,$B7,'工作觀察輸入'!$G$7:$G$206,$D7,'工作觀察輸入'!$M$7:$M$206,"是"))</x:f>
      </x:c>
      <x:c r="J7" s="115" t="n">
        <x:f>IF($G7=0,0,IF($H7=$I7,1,2))</x:f>
        <x:v>0</x:v>
      </x:c>
      <x:c r="K7" s="115" t="n">
        <x:f>COUNTIFS('工作觀察輸入'!$C$7:$C$206,$B7,'工作觀察輸入'!$G$7:$G$206,$D7,'工作觀察輸入'!$J$7:$J$206,"是")</x:f>
        <x:v>0</x:v>
      </x:c>
      <x:c r="L7" s="115" t="n">
        <x:f>COUNTIFS('面談與異議'!$C$7:$C$106,$B7,'面談與異議'!$F$7:$F$106,$D7,'面談與異議'!$E$7:$E$106,"兩個月面談")</x:f>
        <x:v>0</x:v>
      </x:c>
      <x:c r="M7" s="115" t="str">
        <x:f>IF($E7&lt;&gt;"Ø","不適用",IF(COUNTIFS('事件與限制'!$C$7:$C$106,$B7,'事件與限制'!$E$7:$E$106,$D7,'事件與限制'!$Q$7:$Q$106,"生效中")&gt;0,"資格限制中",IF($F7&lt;&gt;"已核定","先完成基準核定",IF($K7&gt;0,"有關鍵遺漏，先檢討",IF($G7&lt;3,"尚缺成功觀察",IF($J7&lt;2,"觀察日期不足",IF($L7&lt;1,"待兩個月面談","可送主管核定")))))))</x:f>
        <x:v>不適用</x:v>
      </x:c>
      <x:c r="N7" s="116" t="str">
        <x:v>待核定</x:v>
      </x:c>
      <x:c r="O7" s="118"/>
      <x:c r="P7" s="116"/>
      <x:c r="Q7" s="116"/>
      <x:c r="R7" s="115" t="str">
        <x:f>IF($M7&lt;&gt;"可送主管核定","尚未具備條件",IF($N7="不升級","維持原評等",IF($N7="核定升級",IF(OR($O7="",$P7=""),"核定資料未完整","已核定升級"),"待主管核定")))</x:f>
        <x:v>尚未具備條件</x:v>
      </x:c>
    </x:row>
    <x:row r="8">
      <x:c r="A8" s="79" t="str">
        <x:v>UPG|1001|LJT-PREP-FILLING</x:v>
      </x:c>
      <x:c r="B8" s="79" t="str">
        <x:v>1001</x:v>
      </x:c>
      <x:c r="C8" s="79" t="str"/>
      <x:c r="D8" s="79" t="str">
        <x:v>LJT-PREP-FILLING</x:v>
      </x:c>
      <x:c r="E8" s="79" t="str">
        <x:v>◎</x:v>
      </x:c>
      <x:c r="F8" s="115" t="str">
        <x:f>IF($E8="未評估","未建立",_xlfn.XLOOKUP("ABIL|1001|LJT-PREP-FILLING",'主管核定中心'!$A$12:$A$372,'主管核定中心'!$K$12:$K$372,"待主管核定",0))</x:f>
        <x:v>待主管核定</x:v>
      </x:c>
      <x:c r="G8" s="115" t="n">
        <x:f>COUNTIFS('工作觀察輸入'!$C$7:$C$206,$B8,'工作觀察輸入'!$G$7:$G$206,$D8,'工作觀察輸入'!$M$7:$M$206,"是")</x:f>
        <x:v>0</x:v>
      </x:c>
      <x:c r="H8" s="117" t="str">
        <x:f>IF($G8=0,"",_xlfn.MINIFS('工作觀察輸入'!$B$7:$B$206,'工作觀察輸入'!$C$7:$C$206,$B8,'工作觀察輸入'!$G$7:$G$206,$D8,'工作觀察輸入'!$M$7:$M$206,"是"))</x:f>
      </x:c>
      <x:c r="I8" s="117" t="str">
        <x:f>IF($G8=0,"",_xlfn.MAXIFS('工作觀察輸入'!$B$7:$B$206,'工作觀察輸入'!$C$7:$C$206,$B8,'工作觀察輸入'!$G$7:$G$206,$D8,'工作觀察輸入'!$M$7:$M$206,"是"))</x:f>
      </x:c>
      <x:c r="J8" s="115" t="n">
        <x:f>IF($G8=0,0,IF($H8=$I8,1,2))</x:f>
        <x:v>0</x:v>
      </x:c>
      <x:c r="K8" s="115" t="n">
        <x:f>COUNTIFS('工作觀察輸入'!$C$7:$C$206,$B8,'工作觀察輸入'!$G$7:$G$206,$D8,'工作觀察輸入'!$J$7:$J$206,"是")</x:f>
        <x:v>0</x:v>
      </x:c>
      <x:c r="L8" s="115" t="n">
        <x:f>COUNTIFS('面談與異議'!$C$7:$C$106,$B8,'面談與異議'!$F$7:$F$106,$D8,'面談與異議'!$E$7:$E$106,"兩個月面談")</x:f>
        <x:v>0</x:v>
      </x:c>
      <x:c r="M8" s="115" t="str">
        <x:f>IF($E8&lt;&gt;"Ø","不適用",IF(COUNTIFS('事件與限制'!$C$7:$C$106,$B8,'事件與限制'!$E$7:$E$106,$D8,'事件與限制'!$Q$7:$Q$106,"生效中")&gt;0,"資格限制中",IF($F8&lt;&gt;"已核定","先完成基準核定",IF($K8&gt;0,"有關鍵遺漏，先檢討",IF($G8&lt;3,"尚缺成功觀察",IF($J8&lt;2,"觀察日期不足",IF($L8&lt;1,"待兩個月面談","可送主管核定")))))))</x:f>
        <x:v>不適用</x:v>
      </x:c>
      <x:c r="N8" s="116" t="str">
        <x:v>待核定</x:v>
      </x:c>
      <x:c r="O8" s="118"/>
      <x:c r="P8" s="116"/>
      <x:c r="Q8" s="116"/>
      <x:c r="R8" s="115" t="str">
        <x:f>IF($M8&lt;&gt;"可送主管核定","尚未具備條件",IF($N8="不升級","維持原評等",IF($N8="核定升級",IF(OR($O8="",$P8=""),"核定資料未完整","已核定升級"),"待主管核定")))</x:f>
        <x:v>尚未具備條件</x:v>
      </x:c>
    </x:row>
    <x:row r="9">
      <x:c r="A9" s="79" t="str">
        <x:v>UPG|1001|LJT-PREP-PERIO</x:v>
      </x:c>
      <x:c r="B9" s="79" t="str">
        <x:v>1001</x:v>
      </x:c>
      <x:c r="C9" s="79" t="str"/>
      <x:c r="D9" s="79" t="str">
        <x:v>LJT-PREP-PERIO</x:v>
      </x:c>
      <x:c r="E9" s="79" t="str">
        <x:v>◎</x:v>
      </x:c>
      <x:c r="F9" s="115" t="str">
        <x:f>IF($E9="未評估","未建立",_xlfn.XLOOKUP("ABIL|1001|LJT-PREP-PERIO",'主管核定中心'!$A$12:$A$372,'主管核定中心'!$K$12:$K$372,"待主管核定",0))</x:f>
        <x:v>待主管核定</x:v>
      </x:c>
      <x:c r="G9" s="115" t="n">
        <x:f>COUNTIFS('工作觀察輸入'!$C$7:$C$206,$B9,'工作觀察輸入'!$G$7:$G$206,$D9,'工作觀察輸入'!$M$7:$M$206,"是")</x:f>
        <x:v>0</x:v>
      </x:c>
      <x:c r="H9" s="117" t="str">
        <x:f>IF($G9=0,"",_xlfn.MINIFS('工作觀察輸入'!$B$7:$B$206,'工作觀察輸入'!$C$7:$C$206,$B9,'工作觀察輸入'!$G$7:$G$206,$D9,'工作觀察輸入'!$M$7:$M$206,"是"))</x:f>
      </x:c>
      <x:c r="I9" s="117" t="str">
        <x:f>IF($G9=0,"",_xlfn.MAXIFS('工作觀察輸入'!$B$7:$B$206,'工作觀察輸入'!$C$7:$C$206,$B9,'工作觀察輸入'!$G$7:$G$206,$D9,'工作觀察輸入'!$M$7:$M$206,"是"))</x:f>
      </x:c>
      <x:c r="J9" s="115" t="n">
        <x:f>IF($G9=0,0,IF($H9=$I9,1,2))</x:f>
        <x:v>0</x:v>
      </x:c>
      <x:c r="K9" s="115" t="n">
        <x:f>COUNTIFS('工作觀察輸入'!$C$7:$C$206,$B9,'工作觀察輸入'!$G$7:$G$206,$D9,'工作觀察輸入'!$J$7:$J$206,"是")</x:f>
        <x:v>0</x:v>
      </x:c>
      <x:c r="L9" s="115" t="n">
        <x:f>COUNTIFS('面談與異議'!$C$7:$C$106,$B9,'面談與異議'!$F$7:$F$106,$D9,'面談與異議'!$E$7:$E$106,"兩個月面談")</x:f>
        <x:v>0</x:v>
      </x:c>
      <x:c r="M9" s="115" t="str">
        <x:f>IF($E9&lt;&gt;"Ø","不適用",IF(COUNTIFS('事件與限制'!$C$7:$C$106,$B9,'事件與限制'!$E$7:$E$106,$D9,'事件與限制'!$Q$7:$Q$106,"生效中")&gt;0,"資格限制中",IF($F9&lt;&gt;"已核定","先完成基準核定",IF($K9&gt;0,"有關鍵遺漏，先檢討",IF($G9&lt;3,"尚缺成功觀察",IF($J9&lt;2,"觀察日期不足",IF($L9&lt;1,"待兩個月面談","可送主管核定")))))))</x:f>
        <x:v>不適用</x:v>
      </x:c>
      <x:c r="N9" s="116" t="str">
        <x:v>待核定</x:v>
      </x:c>
      <x:c r="O9" s="118"/>
      <x:c r="P9" s="116"/>
      <x:c r="Q9" s="116"/>
      <x:c r="R9" s="115" t="str">
        <x:f>IF($M9&lt;&gt;"可送主管核定","尚未具備條件",IF($N9="不升級","維持原評等",IF($N9="核定升級",IF(OR($O9="",$P9=""),"核定資料未完整","已核定升級"),"待主管核定")))</x:f>
        <x:v>尚未具備條件</x:v>
      </x:c>
    </x:row>
    <x:row r="10">
      <x:c r="A10" s="79" t="str">
        <x:v>UPG|1001|LJT-PREP-RCT</x:v>
      </x:c>
      <x:c r="B10" s="79" t="str">
        <x:v>1001</x:v>
      </x:c>
      <x:c r="C10" s="79" t="str"/>
      <x:c r="D10" s="79" t="str">
        <x:v>LJT-PREP-RCT</x:v>
      </x:c>
      <x:c r="E10" s="79" t="str">
        <x:v>◎</x:v>
      </x:c>
      <x:c r="F10" s="115" t="str">
        <x:f>IF($E10="未評估","未建立",_xlfn.XLOOKUP("ABIL|1001|LJT-PREP-RCT",'主管核定中心'!$A$12:$A$372,'主管核定中心'!$K$12:$K$372,"待主管核定",0))</x:f>
        <x:v>待主管核定</x:v>
      </x:c>
      <x:c r="G10" s="115" t="n">
        <x:f>COUNTIFS('工作觀察輸入'!$C$7:$C$206,$B10,'工作觀察輸入'!$G$7:$G$206,$D10,'工作觀察輸入'!$M$7:$M$206,"是")</x:f>
        <x:v>0</x:v>
      </x:c>
      <x:c r="H10" s="117" t="str">
        <x:f>IF($G10=0,"",_xlfn.MINIFS('工作觀察輸入'!$B$7:$B$206,'工作觀察輸入'!$C$7:$C$206,$B10,'工作觀察輸入'!$G$7:$G$206,$D10,'工作觀察輸入'!$M$7:$M$206,"是"))</x:f>
      </x:c>
      <x:c r="I10" s="117" t="str">
        <x:f>IF($G10=0,"",_xlfn.MAXIFS('工作觀察輸入'!$B$7:$B$206,'工作觀察輸入'!$C$7:$C$206,$B10,'工作觀察輸入'!$G$7:$G$206,$D10,'工作觀察輸入'!$M$7:$M$206,"是"))</x:f>
      </x:c>
      <x:c r="J10" s="115" t="n">
        <x:f>IF($G10=0,0,IF($H10=$I10,1,2))</x:f>
        <x:v>0</x:v>
      </x:c>
      <x:c r="K10" s="115" t="n">
        <x:f>COUNTIFS('工作觀察輸入'!$C$7:$C$206,$B10,'工作觀察輸入'!$G$7:$G$206,$D10,'工作觀察輸入'!$J$7:$J$206,"是")</x:f>
        <x:v>0</x:v>
      </x:c>
      <x:c r="L10" s="115" t="n">
        <x:f>COUNTIFS('面談與異議'!$C$7:$C$106,$B10,'面談與異議'!$F$7:$F$106,$D10,'面談與異議'!$E$7:$E$106,"兩個月面談")</x:f>
        <x:v>0</x:v>
      </x:c>
      <x:c r="M10" s="115" t="str">
        <x:f>IF($E10&lt;&gt;"Ø","不適用",IF(COUNTIFS('事件與限制'!$C$7:$C$106,$B10,'事件與限制'!$E$7:$E$106,$D10,'事件與限制'!$Q$7:$Q$106,"生效中")&gt;0,"資格限制中",IF($F10&lt;&gt;"已核定","先完成基準核定",IF($K10&gt;0,"有關鍵遺漏，先檢討",IF($G10&lt;3,"尚缺成功觀察",IF($J10&lt;2,"觀察日期不足",IF($L10&lt;1,"待兩個月面談","可送主管核定")))))))</x:f>
        <x:v>不適用</x:v>
      </x:c>
      <x:c r="N10" s="116" t="str">
        <x:v>待核定</x:v>
      </x:c>
      <x:c r="O10" s="118"/>
      <x:c r="P10" s="116"/>
      <x:c r="Q10" s="116"/>
      <x:c r="R10" s="115" t="str">
        <x:f>IF($M10&lt;&gt;"可送主管核定","尚未具備條件",IF($N10="不升級","維持原評等",IF($N10="核定升級",IF(OR($O10="",$P10=""),"核定資料未完整","已核定升級"),"待主管核定")))</x:f>
        <x:v>尚未具備條件</x:v>
      </x:c>
    </x:row>
    <x:row r="11">
      <x:c r="A11" s="79" t="str">
        <x:v>UPG|1001|LJT-PREP-EXTRACTION</x:v>
      </x:c>
      <x:c r="B11" s="79" t="str">
        <x:v>1001</x:v>
      </x:c>
      <x:c r="C11" s="79" t="str"/>
      <x:c r="D11" s="79" t="str">
        <x:v>LJT-PREP-EXTRACTION</x:v>
      </x:c>
      <x:c r="E11" s="79" t="str">
        <x:v>◎</x:v>
      </x:c>
      <x:c r="F11" s="115" t="str">
        <x:f>IF($E11="未評估","未建立",_xlfn.XLOOKUP("ABIL|1001|LJT-PREP-EXTRACTION",'主管核定中心'!$A$12:$A$372,'主管核定中心'!$K$12:$K$372,"待主管核定",0))</x:f>
        <x:v>待主管核定</x:v>
      </x:c>
      <x:c r="G11" s="115" t="n">
        <x:f>COUNTIFS('工作觀察輸入'!$C$7:$C$206,$B11,'工作觀察輸入'!$G$7:$G$206,$D11,'工作觀察輸入'!$M$7:$M$206,"是")</x:f>
        <x:v>0</x:v>
      </x:c>
      <x:c r="H11" s="117" t="str">
        <x:f>IF($G11=0,"",_xlfn.MINIFS('工作觀察輸入'!$B$7:$B$206,'工作觀察輸入'!$C$7:$C$206,$B11,'工作觀察輸入'!$G$7:$G$206,$D11,'工作觀察輸入'!$M$7:$M$206,"是"))</x:f>
      </x:c>
      <x:c r="I11" s="117" t="str">
        <x:f>IF($G11=0,"",_xlfn.MAXIFS('工作觀察輸入'!$B$7:$B$206,'工作觀察輸入'!$C$7:$C$206,$B11,'工作觀察輸入'!$G$7:$G$206,$D11,'工作觀察輸入'!$M$7:$M$206,"是"))</x:f>
      </x:c>
      <x:c r="J11" s="115" t="n">
        <x:f>IF($G11=0,0,IF($H11=$I11,1,2))</x:f>
        <x:v>0</x:v>
      </x:c>
      <x:c r="K11" s="115" t="n">
        <x:f>COUNTIFS('工作觀察輸入'!$C$7:$C$206,$B11,'工作觀察輸入'!$G$7:$G$206,$D11,'工作觀察輸入'!$J$7:$J$206,"是")</x:f>
        <x:v>0</x:v>
      </x:c>
      <x:c r="L11" s="115" t="n">
        <x:f>COUNTIFS('面談與異議'!$C$7:$C$106,$B11,'面談與異議'!$F$7:$F$106,$D11,'面談與異議'!$E$7:$E$106,"兩個月面談")</x:f>
        <x:v>0</x:v>
      </x:c>
      <x:c r="M11" s="115" t="str">
        <x:f>IF($E11&lt;&gt;"Ø","不適用",IF(COUNTIFS('事件與限制'!$C$7:$C$106,$B11,'事件與限制'!$E$7:$E$106,$D11,'事件與限制'!$Q$7:$Q$106,"生效中")&gt;0,"資格限制中",IF($F11&lt;&gt;"已核定","先完成基準核定",IF($K11&gt;0,"有關鍵遺漏，先檢討",IF($G11&lt;3,"尚缺成功觀察",IF($J11&lt;2,"觀察日期不足",IF($L11&lt;1,"待兩個月面談","可送主管核定")))))))</x:f>
        <x:v>不適用</x:v>
      </x:c>
      <x:c r="N11" s="116" t="str">
        <x:v>待核定</x:v>
      </x:c>
      <x:c r="O11" s="118"/>
      <x:c r="P11" s="116"/>
      <x:c r="Q11" s="116"/>
      <x:c r="R11" s="115" t="str">
        <x:f>IF($M11&lt;&gt;"可送主管核定","尚未具備條件",IF($N11="不升級","維持原評等",IF($N11="核定升級",IF(OR($O11="",$P11=""),"核定資料未完整","已核定升級"),"待主管核定")))</x:f>
        <x:v>尚未具備條件</x:v>
      </x:c>
    </x:row>
    <x:row r="12">
      <x:c r="A12" s="79" t="str">
        <x:v>UPG|1001|LJT-PREP-CROWNPOST</x:v>
      </x:c>
      <x:c r="B12" s="79" t="str">
        <x:v>1001</x:v>
      </x:c>
      <x:c r="C12" s="79" t="str"/>
      <x:c r="D12" s="79" t="str">
        <x:v>LJT-PREP-CROWNPOST</x:v>
      </x:c>
      <x:c r="E12" s="79" t="str">
        <x:v>◎</x:v>
      </x:c>
      <x:c r="F12" s="115" t="str">
        <x:f>IF($E12="未評估","未建立",_xlfn.XLOOKUP("ABIL|1001|LJT-PREP-CROWNPOST",'主管核定中心'!$A$12:$A$372,'主管核定中心'!$K$12:$K$372,"待主管核定",0))</x:f>
        <x:v>待主管核定</x:v>
      </x:c>
      <x:c r="G12" s="115" t="n">
        <x:f>COUNTIFS('工作觀察輸入'!$C$7:$C$206,$B12,'工作觀察輸入'!$G$7:$G$206,$D12,'工作觀察輸入'!$M$7:$M$206,"是")</x:f>
        <x:v>0</x:v>
      </x:c>
      <x:c r="H12" s="117" t="str">
        <x:f>IF($G12=0,"",_xlfn.MINIFS('工作觀察輸入'!$B$7:$B$206,'工作觀察輸入'!$C$7:$C$206,$B12,'工作觀察輸入'!$G$7:$G$206,$D12,'工作觀察輸入'!$M$7:$M$206,"是"))</x:f>
      </x:c>
      <x:c r="I12" s="117" t="str">
        <x:f>IF($G12=0,"",_xlfn.MAXIFS('工作觀察輸入'!$B$7:$B$206,'工作觀察輸入'!$C$7:$C$206,$B12,'工作觀察輸入'!$G$7:$G$206,$D12,'工作觀察輸入'!$M$7:$M$206,"是"))</x:f>
      </x:c>
      <x:c r="J12" s="115" t="n">
        <x:f>IF($G12=0,0,IF($H12=$I12,1,2))</x:f>
        <x:v>0</x:v>
      </x:c>
      <x:c r="K12" s="115" t="n">
        <x:f>COUNTIFS('工作觀察輸入'!$C$7:$C$206,$B12,'工作觀察輸入'!$G$7:$G$206,$D12,'工作觀察輸入'!$J$7:$J$206,"是")</x:f>
        <x:v>0</x:v>
      </x:c>
      <x:c r="L12" s="115" t="n">
        <x:f>COUNTIFS('面談與異議'!$C$7:$C$106,$B12,'面談與異議'!$F$7:$F$106,$D12,'面談與異議'!$E$7:$E$106,"兩個月面談")</x:f>
        <x:v>0</x:v>
      </x:c>
      <x:c r="M12" s="115" t="str">
        <x:f>IF($E12&lt;&gt;"Ø","不適用",IF(COUNTIFS('事件與限制'!$C$7:$C$106,$B12,'事件與限制'!$E$7:$E$106,$D12,'事件與限制'!$Q$7:$Q$106,"生效中")&gt;0,"資格限制中",IF($F12&lt;&gt;"已核定","先完成基準核定",IF($K12&gt;0,"有關鍵遺漏，先檢討",IF($G12&lt;3,"尚缺成功觀察",IF($J12&lt;2,"觀察日期不足",IF($L12&lt;1,"待兩個月面談","可送主管核定")))))))</x:f>
        <x:v>不適用</x:v>
      </x:c>
      <x:c r="N12" s="116" t="str">
        <x:v>待核定</x:v>
      </x:c>
      <x:c r="O12" s="118"/>
      <x:c r="P12" s="116"/>
      <x:c r="Q12" s="116"/>
      <x:c r="R12" s="115" t="str">
        <x:f>IF($M12&lt;&gt;"可送主管核定","尚未具備條件",IF($N12="不升級","維持原評等",IF($N12="核定升級",IF(OR($O12="",$P12=""),"核定資料未完整","已核定升級"),"待主管核定")))</x:f>
        <x:v>尚未具備條件</x:v>
      </x:c>
    </x:row>
    <x:row r="13">
      <x:c r="A13" s="79" t="str">
        <x:v>UPG|1001|LJT-PREP-CROWN</x:v>
      </x:c>
      <x:c r="B13" s="79" t="str">
        <x:v>1001</x:v>
      </x:c>
      <x:c r="C13" s="79" t="str"/>
      <x:c r="D13" s="79" t="str">
        <x:v>LJT-PREP-CROWN</x:v>
      </x:c>
      <x:c r="E13" s="79" t="str">
        <x:v>◎</x:v>
      </x:c>
      <x:c r="F13" s="115" t="str">
        <x:f>IF($E13="未評估","未建立",_xlfn.XLOOKUP("ABIL|1001|LJT-PREP-CROWN",'主管核定中心'!$A$12:$A$372,'主管核定中心'!$K$12:$K$372,"待主管核定",0))</x:f>
        <x:v>待主管核定</x:v>
      </x:c>
      <x:c r="G13" s="115" t="n">
        <x:f>COUNTIFS('工作觀察輸入'!$C$7:$C$206,$B13,'工作觀察輸入'!$G$7:$G$206,$D13,'工作觀察輸入'!$M$7:$M$206,"是")</x:f>
        <x:v>0</x:v>
      </x:c>
      <x:c r="H13" s="117" t="str">
        <x:f>IF($G13=0,"",_xlfn.MINIFS('工作觀察輸入'!$B$7:$B$206,'工作觀察輸入'!$C$7:$C$206,$B13,'工作觀察輸入'!$G$7:$G$206,$D13,'工作觀察輸入'!$M$7:$M$206,"是"))</x:f>
      </x:c>
      <x:c r="I13" s="117" t="str">
        <x:f>IF($G13=0,"",_xlfn.MAXIFS('工作觀察輸入'!$B$7:$B$206,'工作觀察輸入'!$C$7:$C$206,$B13,'工作觀察輸入'!$G$7:$G$206,$D13,'工作觀察輸入'!$M$7:$M$206,"是"))</x:f>
      </x:c>
      <x:c r="J13" s="115" t="n">
        <x:f>IF($G13=0,0,IF($H13=$I13,1,2))</x:f>
        <x:v>0</x:v>
      </x:c>
      <x:c r="K13" s="115" t="n">
        <x:f>COUNTIFS('工作觀察輸入'!$C$7:$C$206,$B13,'工作觀察輸入'!$G$7:$G$206,$D13,'工作觀察輸入'!$J$7:$J$206,"是")</x:f>
        <x:v>0</x:v>
      </x:c>
      <x:c r="L13" s="115" t="n">
        <x:f>COUNTIFS('面談與異議'!$C$7:$C$106,$B13,'面談與異議'!$F$7:$F$106,$D13,'面談與異議'!$E$7:$E$106,"兩個月面談")</x:f>
        <x:v>0</x:v>
      </x:c>
      <x:c r="M13" s="115" t="str">
        <x:f>IF($E13&lt;&gt;"Ø","不適用",IF(COUNTIFS('事件與限制'!$C$7:$C$106,$B13,'事件與限制'!$E$7:$E$106,$D13,'事件與限制'!$Q$7:$Q$106,"生效中")&gt;0,"資格限制中",IF($F13&lt;&gt;"已核定","先完成基準核定",IF($K13&gt;0,"有關鍵遺漏，先檢討",IF($G13&lt;3,"尚缺成功觀察",IF($J13&lt;2,"觀察日期不足",IF($L13&lt;1,"待兩個月面談","可送主管核定")))))))</x:f>
        <x:v>不適用</x:v>
      </x:c>
      <x:c r="N13" s="116" t="str">
        <x:v>待核定</x:v>
      </x:c>
      <x:c r="O13" s="118"/>
      <x:c r="P13" s="116"/>
      <x:c r="Q13" s="116"/>
      <x:c r="R13" s="115" t="str">
        <x:f>IF($M13&lt;&gt;"可送主管核定","尚未具備條件",IF($N13="不升級","維持原評等",IF($N13="核定升級",IF(OR($O13="",$P13=""),"核定資料未完整","已核定升級"),"待主管核定")))</x:f>
        <x:v>尚未具備條件</x:v>
      </x:c>
    </x:row>
    <x:row r="14">
      <x:c r="A14" s="79" t="str">
        <x:v>UPG|1001|LJT-PREP-RPD</x:v>
      </x:c>
      <x:c r="B14" s="79" t="str">
        <x:v>1001</x:v>
      </x:c>
      <x:c r="C14" s="79" t="str"/>
      <x:c r="D14" s="79" t="str">
        <x:v>LJT-PREP-RPD</x:v>
      </x:c>
      <x:c r="E14" s="79" t="str">
        <x:v>◎</x:v>
      </x:c>
      <x:c r="F14" s="115" t="str">
        <x:f>IF($E14="未評估","未建立",_xlfn.XLOOKUP("ABIL|1001|LJT-PREP-RPD",'主管核定中心'!$A$12:$A$372,'主管核定中心'!$K$12:$K$372,"待主管核定",0))</x:f>
        <x:v>待主管核定</x:v>
      </x:c>
      <x:c r="G14" s="115" t="n">
        <x:f>COUNTIFS('工作觀察輸入'!$C$7:$C$206,$B14,'工作觀察輸入'!$G$7:$G$206,$D14,'工作觀察輸入'!$M$7:$M$206,"是")</x:f>
        <x:v>0</x:v>
      </x:c>
      <x:c r="H14" s="117" t="str">
        <x:f>IF($G14=0,"",_xlfn.MINIFS('工作觀察輸入'!$B$7:$B$206,'工作觀察輸入'!$C$7:$C$206,$B14,'工作觀察輸入'!$G$7:$G$206,$D14,'工作觀察輸入'!$M$7:$M$206,"是"))</x:f>
      </x:c>
      <x:c r="I14" s="117" t="str">
        <x:f>IF($G14=0,"",_xlfn.MAXIFS('工作觀察輸入'!$B$7:$B$206,'工作觀察輸入'!$C$7:$C$206,$B14,'工作觀察輸入'!$G$7:$G$206,$D14,'工作觀察輸入'!$M$7:$M$206,"是"))</x:f>
      </x:c>
      <x:c r="J14" s="115" t="n">
        <x:f>IF($G14=0,0,IF($H14=$I14,1,2))</x:f>
        <x:v>0</x:v>
      </x:c>
      <x:c r="K14" s="115" t="n">
        <x:f>COUNTIFS('工作觀察輸入'!$C$7:$C$206,$B14,'工作觀察輸入'!$G$7:$G$206,$D14,'工作觀察輸入'!$J$7:$J$206,"是")</x:f>
        <x:v>0</x:v>
      </x:c>
      <x:c r="L14" s="115" t="n">
        <x:f>COUNTIFS('面談與異議'!$C$7:$C$106,$B14,'面談與異議'!$F$7:$F$106,$D14,'面談與異議'!$E$7:$E$106,"兩個月面談")</x:f>
        <x:v>0</x:v>
      </x:c>
      <x:c r="M14" s="115" t="str">
        <x:f>IF($E14&lt;&gt;"Ø","不適用",IF(COUNTIFS('事件與限制'!$C$7:$C$106,$B14,'事件與限制'!$E$7:$E$106,$D14,'事件與限制'!$Q$7:$Q$106,"生效中")&gt;0,"資格限制中",IF($F14&lt;&gt;"已核定","先完成基準核定",IF($K14&gt;0,"有關鍵遺漏，先檢討",IF($G14&lt;3,"尚缺成功觀察",IF($J14&lt;2,"觀察日期不足",IF($L14&lt;1,"待兩個月面談","可送主管核定")))))))</x:f>
        <x:v>不適用</x:v>
      </x:c>
      <x:c r="N14" s="116" t="str">
        <x:v>待核定</x:v>
      </x:c>
      <x:c r="O14" s="118"/>
      <x:c r="P14" s="116"/>
      <x:c r="Q14" s="116"/>
      <x:c r="R14" s="115" t="str">
        <x:f>IF($M14&lt;&gt;"可送主管核定","尚未具備條件",IF($N14="不升級","維持原評等",IF($N14="核定升級",IF(OR($O14="",$P14=""),"核定資料未完整","已核定升級"),"待主管核定")))</x:f>
        <x:v>尚未具備條件</x:v>
      </x:c>
    </x:row>
    <x:row r="15">
      <x:c r="A15" s="79" t="str">
        <x:v>UPG|1001|LJT-PREP-AIRPOLISH</x:v>
      </x:c>
      <x:c r="B15" s="79" t="str">
        <x:v>1001</x:v>
      </x:c>
      <x:c r="C15" s="79" t="str"/>
      <x:c r="D15" s="79" t="str">
        <x:v>LJT-PREP-AIRPOLISH</x:v>
      </x:c>
      <x:c r="E15" s="79" t="str">
        <x:v>◎</x:v>
      </x:c>
      <x:c r="F15" s="115" t="str">
        <x:f>IF($E15="未評估","未建立",_xlfn.XLOOKUP("ABIL|1001|LJT-PREP-AIRPOLISH",'主管核定中心'!$A$12:$A$372,'主管核定中心'!$K$12:$K$372,"待主管核定",0))</x:f>
        <x:v>待主管核定</x:v>
      </x:c>
      <x:c r="G15" s="115" t="n">
        <x:f>COUNTIFS('工作觀察輸入'!$C$7:$C$206,$B15,'工作觀察輸入'!$G$7:$G$206,$D15,'工作觀察輸入'!$M$7:$M$206,"是")</x:f>
        <x:v>0</x:v>
      </x:c>
      <x:c r="H15" s="117" t="str">
        <x:f>IF($G15=0,"",_xlfn.MINIFS('工作觀察輸入'!$B$7:$B$206,'工作觀察輸入'!$C$7:$C$206,$B15,'工作觀察輸入'!$G$7:$G$206,$D15,'工作觀察輸入'!$M$7:$M$206,"是"))</x:f>
      </x:c>
      <x:c r="I15" s="117" t="str">
        <x:f>IF($G15=0,"",_xlfn.MAXIFS('工作觀察輸入'!$B$7:$B$206,'工作觀察輸入'!$C$7:$C$206,$B15,'工作觀察輸入'!$G$7:$G$206,$D15,'工作觀察輸入'!$M$7:$M$206,"是"))</x:f>
      </x:c>
      <x:c r="J15" s="115" t="n">
        <x:f>IF($G15=0,0,IF($H15=$I15,1,2))</x:f>
        <x:v>0</x:v>
      </x:c>
      <x:c r="K15" s="115" t="n">
        <x:f>COUNTIFS('工作觀察輸入'!$C$7:$C$206,$B15,'工作觀察輸入'!$G$7:$G$206,$D15,'工作觀察輸入'!$J$7:$J$206,"是")</x:f>
        <x:v>0</x:v>
      </x:c>
      <x:c r="L15" s="115" t="n">
        <x:f>COUNTIFS('面談與異議'!$C$7:$C$106,$B15,'面談與異議'!$F$7:$F$106,$D15,'面談與異議'!$E$7:$E$106,"兩個月面談")</x:f>
        <x:v>0</x:v>
      </x:c>
      <x:c r="M15" s="115" t="str">
        <x:f>IF($E15&lt;&gt;"Ø","不適用",IF(COUNTIFS('事件與限制'!$C$7:$C$106,$B15,'事件與限制'!$E$7:$E$106,$D15,'事件與限制'!$Q$7:$Q$106,"生效中")&gt;0,"資格限制中",IF($F15&lt;&gt;"已核定","先完成基準核定",IF($K15&gt;0,"有關鍵遺漏，先檢討",IF($G15&lt;3,"尚缺成功觀察",IF($J15&lt;2,"觀察日期不足",IF($L15&lt;1,"待兩個月面談","可送主管核定")))))))</x:f>
        <x:v>不適用</x:v>
      </x:c>
      <x:c r="N15" s="116" t="str">
        <x:v>待核定</x:v>
      </x:c>
      <x:c r="O15" s="118"/>
      <x:c r="P15" s="116"/>
      <x:c r="Q15" s="116"/>
      <x:c r="R15" s="115" t="str">
        <x:f>IF($M15&lt;&gt;"可送主管核定","尚未具備條件",IF($N15="不升級","維持原評等",IF($N15="核定升級",IF(OR($O15="",$P15=""),"核定資料未完整","已核定升級"),"待主管核定")))</x:f>
        <x:v>尚未具備條件</x:v>
      </x:c>
    </x:row>
    <x:row r="16">
      <x:c r="A16" s="79" t="str">
        <x:v>UPG|1001|LJT-PREP-PERIOSURG</x:v>
      </x:c>
      <x:c r="B16" s="79" t="str">
        <x:v>1001</x:v>
      </x:c>
      <x:c r="C16" s="79" t="str"/>
      <x:c r="D16" s="79" t="str">
        <x:v>LJT-PREP-PERIOSURG</x:v>
      </x:c>
      <x:c r="E16" s="79" t="str">
        <x:v>◎</x:v>
      </x:c>
      <x:c r="F16" s="115" t="str">
        <x:f>IF($E16="未評估","未建立",_xlfn.XLOOKUP("ABIL|1001|LJT-PREP-PERIOSURG",'主管核定中心'!$A$12:$A$372,'主管核定中心'!$K$12:$K$372,"待主管核定",0))</x:f>
        <x:v>待主管核定</x:v>
      </x:c>
      <x:c r="G16" s="115" t="n">
        <x:f>COUNTIFS('工作觀察輸入'!$C$7:$C$206,$B16,'工作觀察輸入'!$G$7:$G$206,$D16,'工作觀察輸入'!$M$7:$M$206,"是")</x:f>
        <x:v>0</x:v>
      </x:c>
      <x:c r="H16" s="117" t="str">
        <x:f>IF($G16=0,"",_xlfn.MINIFS('工作觀察輸入'!$B$7:$B$206,'工作觀察輸入'!$C$7:$C$206,$B16,'工作觀察輸入'!$G$7:$G$206,$D16,'工作觀察輸入'!$M$7:$M$206,"是"))</x:f>
      </x:c>
      <x:c r="I16" s="117" t="str">
        <x:f>IF($G16=0,"",_xlfn.MAXIFS('工作觀察輸入'!$B$7:$B$206,'工作觀察輸入'!$C$7:$C$206,$B16,'工作觀察輸入'!$G$7:$G$206,$D16,'工作觀察輸入'!$M$7:$M$206,"是"))</x:f>
      </x:c>
      <x:c r="J16" s="115" t="n">
        <x:f>IF($G16=0,0,IF($H16=$I16,1,2))</x:f>
        <x:v>0</x:v>
      </x:c>
      <x:c r="K16" s="115" t="n">
        <x:f>COUNTIFS('工作觀察輸入'!$C$7:$C$206,$B16,'工作觀察輸入'!$G$7:$G$206,$D16,'工作觀察輸入'!$J$7:$J$206,"是")</x:f>
        <x:v>0</x:v>
      </x:c>
      <x:c r="L16" s="115" t="n">
        <x:f>COUNTIFS('面談與異議'!$C$7:$C$106,$B16,'面談與異議'!$F$7:$F$106,$D16,'面談與異議'!$E$7:$E$106,"兩個月面談")</x:f>
        <x:v>0</x:v>
      </x:c>
      <x:c r="M16" s="115" t="str">
        <x:f>IF($E16&lt;&gt;"Ø","不適用",IF(COUNTIFS('事件與限制'!$C$7:$C$106,$B16,'事件與限制'!$E$7:$E$106,$D16,'事件與限制'!$Q$7:$Q$106,"生效中")&gt;0,"資格限制中",IF($F16&lt;&gt;"已核定","先完成基準核定",IF($K16&gt;0,"有關鍵遺漏，先檢討",IF($G16&lt;3,"尚缺成功觀察",IF($J16&lt;2,"觀察日期不足",IF($L16&lt;1,"待兩個月面談","可送主管核定")))))))</x:f>
        <x:v>不適用</x:v>
      </x:c>
      <x:c r="N16" s="116" t="str">
        <x:v>待核定</x:v>
      </x:c>
      <x:c r="O16" s="118"/>
      <x:c r="P16" s="116"/>
      <x:c r="Q16" s="116"/>
      <x:c r="R16" s="115" t="str">
        <x:f>IF($M16&lt;&gt;"可送主管核定","尚未具備條件",IF($N16="不升級","維持原評等",IF($N16="核定升級",IF(OR($O16="",$P16=""),"核定資料未完整","已核定升級"),"待主管核定")))</x:f>
        <x:v>尚未具備條件</x:v>
      </x:c>
    </x:row>
    <x:row r="17">
      <x:c r="A17" s="79" t="str">
        <x:v>UPG|1001|LJT-PREP-MICROENDO</x:v>
      </x:c>
      <x:c r="B17" s="79" t="str">
        <x:v>1001</x:v>
      </x:c>
      <x:c r="C17" s="79" t="str"/>
      <x:c r="D17" s="79" t="str">
        <x:v>LJT-PREP-MICROENDO</x:v>
      </x:c>
      <x:c r="E17" s="79" t="str">
        <x:v>◎</x:v>
      </x:c>
      <x:c r="F17" s="115" t="str">
        <x:f>IF($E17="未評估","未建立",_xlfn.XLOOKUP("ABIL|1001|LJT-PREP-MICROENDO",'主管核定中心'!$A$12:$A$372,'主管核定中心'!$K$12:$K$372,"待主管核定",0))</x:f>
        <x:v>待主管核定</x:v>
      </x:c>
      <x:c r="G17" s="115" t="n">
        <x:f>COUNTIFS('工作觀察輸入'!$C$7:$C$206,$B17,'工作觀察輸入'!$G$7:$G$206,$D17,'工作觀察輸入'!$M$7:$M$206,"是")</x:f>
        <x:v>0</x:v>
      </x:c>
      <x:c r="H17" s="117" t="str">
        <x:f>IF($G17=0,"",_xlfn.MINIFS('工作觀察輸入'!$B$7:$B$206,'工作觀察輸入'!$C$7:$C$206,$B17,'工作觀察輸入'!$G$7:$G$206,$D17,'工作觀察輸入'!$M$7:$M$206,"是"))</x:f>
      </x:c>
      <x:c r="I17" s="117" t="str">
        <x:f>IF($G17=0,"",_xlfn.MAXIFS('工作觀察輸入'!$B$7:$B$206,'工作觀察輸入'!$C$7:$C$206,$B17,'工作觀察輸入'!$G$7:$G$206,$D17,'工作觀察輸入'!$M$7:$M$206,"是"))</x:f>
      </x:c>
      <x:c r="J17" s="115" t="n">
        <x:f>IF($G17=0,0,IF($H17=$I17,1,2))</x:f>
        <x:v>0</x:v>
      </x:c>
      <x:c r="K17" s="115" t="n">
        <x:f>COUNTIFS('工作觀察輸入'!$C$7:$C$206,$B17,'工作觀察輸入'!$G$7:$G$206,$D17,'工作觀察輸入'!$J$7:$J$206,"是")</x:f>
        <x:v>0</x:v>
      </x:c>
      <x:c r="L17" s="115" t="n">
        <x:f>COUNTIFS('面談與異議'!$C$7:$C$106,$B17,'面談與異議'!$F$7:$F$106,$D17,'面談與異議'!$E$7:$E$106,"兩個月面談")</x:f>
        <x:v>0</x:v>
      </x:c>
      <x:c r="M17" s="115" t="str">
        <x:f>IF($E17&lt;&gt;"Ø","不適用",IF(COUNTIFS('事件與限制'!$C$7:$C$106,$B17,'事件與限制'!$E$7:$E$106,$D17,'事件與限制'!$Q$7:$Q$106,"生效中")&gt;0,"資格限制中",IF($F17&lt;&gt;"已核定","先完成基準核定",IF($K17&gt;0,"有關鍵遺漏，先檢討",IF($G17&lt;3,"尚缺成功觀察",IF($J17&lt;2,"觀察日期不足",IF($L17&lt;1,"待兩個月面談","可送主管核定")))))))</x:f>
        <x:v>不適用</x:v>
      </x:c>
      <x:c r="N17" s="116" t="str">
        <x:v>待核定</x:v>
      </x:c>
      <x:c r="O17" s="118"/>
      <x:c r="P17" s="116"/>
      <x:c r="Q17" s="116"/>
      <x:c r="R17" s="115" t="str">
        <x:f>IF($M17&lt;&gt;"可送主管核定","尚未具備條件",IF($N17="不升級","維持原評等",IF($N17="核定升級",IF(OR($O17="",$P17=""),"核定資料未完整","已核定升級"),"待主管核定")))</x:f>
        <x:v>尚未具備條件</x:v>
      </x:c>
    </x:row>
    <x:row r="18">
      <x:c r="A18" s="79" t="str">
        <x:v>UPG|1001|LJT-PREP-IMPLANT</x:v>
      </x:c>
      <x:c r="B18" s="79" t="str">
        <x:v>1001</x:v>
      </x:c>
      <x:c r="C18" s="79" t="str"/>
      <x:c r="D18" s="79" t="str">
        <x:v>LJT-PREP-IMPLANT</x:v>
      </x:c>
      <x:c r="E18" s="79" t="str">
        <x:v>◎</x:v>
      </x:c>
      <x:c r="F18" s="115" t="str">
        <x:f>IF($E18="未評估","未建立",_xlfn.XLOOKUP("ABIL|1001|LJT-PREP-IMPLANT",'主管核定中心'!$A$12:$A$372,'主管核定中心'!$K$12:$K$372,"待主管核定",0))</x:f>
        <x:v>待主管核定</x:v>
      </x:c>
      <x:c r="G18" s="115" t="n">
        <x:f>COUNTIFS('工作觀察輸入'!$C$7:$C$206,$B18,'工作觀察輸入'!$G$7:$G$206,$D18,'工作觀察輸入'!$M$7:$M$206,"是")</x:f>
        <x:v>0</x:v>
      </x:c>
      <x:c r="H18" s="117" t="str">
        <x:f>IF($G18=0,"",_xlfn.MINIFS('工作觀察輸入'!$B$7:$B$206,'工作觀察輸入'!$C$7:$C$206,$B18,'工作觀察輸入'!$G$7:$G$206,$D18,'工作觀察輸入'!$M$7:$M$206,"是"))</x:f>
      </x:c>
      <x:c r="I18" s="117" t="str">
        <x:f>IF($G18=0,"",_xlfn.MAXIFS('工作觀察輸入'!$B$7:$B$206,'工作觀察輸入'!$C$7:$C$206,$B18,'工作觀察輸入'!$G$7:$G$206,$D18,'工作觀察輸入'!$M$7:$M$206,"是"))</x:f>
      </x:c>
      <x:c r="J18" s="115" t="n">
        <x:f>IF($G18=0,0,IF($H18=$I18,1,2))</x:f>
        <x:v>0</x:v>
      </x:c>
      <x:c r="K18" s="115" t="n">
        <x:f>COUNTIFS('工作觀察輸入'!$C$7:$C$206,$B18,'工作觀察輸入'!$G$7:$G$206,$D18,'工作觀察輸入'!$J$7:$J$206,"是")</x:f>
        <x:v>0</x:v>
      </x:c>
      <x:c r="L18" s="115" t="n">
        <x:f>COUNTIFS('面談與異議'!$C$7:$C$106,$B18,'面談與異議'!$F$7:$F$106,$D18,'面談與異議'!$E$7:$E$106,"兩個月面談")</x:f>
        <x:v>0</x:v>
      </x:c>
      <x:c r="M18" s="115" t="str">
        <x:f>IF($E18&lt;&gt;"Ø","不適用",IF(COUNTIFS('事件與限制'!$C$7:$C$106,$B18,'事件與限制'!$E$7:$E$106,$D18,'事件與限制'!$Q$7:$Q$106,"生效中")&gt;0,"資格限制中",IF($F18&lt;&gt;"已核定","先完成基準核定",IF($K18&gt;0,"有關鍵遺漏，先檢討",IF($G18&lt;3,"尚缺成功觀察",IF($J18&lt;2,"觀察日期不足",IF($L18&lt;1,"待兩個月面談","可送主管核定")))))))</x:f>
        <x:v>不適用</x:v>
      </x:c>
      <x:c r="N18" s="116" t="str">
        <x:v>待核定</x:v>
      </x:c>
      <x:c r="O18" s="118"/>
      <x:c r="P18" s="116"/>
      <x:c r="Q18" s="116"/>
      <x:c r="R18" s="115" t="str">
        <x:f>IF($M18&lt;&gt;"可送主管核定","尚未具備條件",IF($N18="不升級","維持原評等",IF($N18="核定升級",IF(OR($O18="",$P18=""),"核定資料未完整","已核定升級"),"待主管核定")))</x:f>
        <x:v>尚未具備條件</x:v>
      </x:c>
    </x:row>
    <x:row r="19">
      <x:c r="A19" s="79" t="str">
        <x:v>UPG|1001|COMMON-RECORD</x:v>
      </x:c>
      <x:c r="B19" s="79" t="str">
        <x:v>1001</x:v>
      </x:c>
      <x:c r="C19" s="79" t="str"/>
      <x:c r="D19" s="79" t="str">
        <x:v>COMMON-RECORD</x:v>
      </x:c>
      <x:c r="E19" s="79" t="str">
        <x:v>◎</x:v>
      </x:c>
      <x:c r="F19" s="115" t="str">
        <x:f>IF($E19="未評估","未建立",_xlfn.XLOOKUP("ABIL|1001|COMMON-RECORD",'主管核定中心'!$A$12:$A$372,'主管核定中心'!$K$12:$K$372,"待主管核定",0))</x:f>
        <x:v>待主管核定</x:v>
      </x:c>
      <x:c r="G19" s="115" t="n">
        <x:f>COUNTIFS('工作觀察輸入'!$C$7:$C$206,$B19,'工作觀察輸入'!$G$7:$G$206,$D19,'工作觀察輸入'!$M$7:$M$206,"是")</x:f>
        <x:v>0</x:v>
      </x:c>
      <x:c r="H19" s="117" t="str">
        <x:f>IF($G19=0,"",_xlfn.MINIFS('工作觀察輸入'!$B$7:$B$206,'工作觀察輸入'!$C$7:$C$206,$B19,'工作觀察輸入'!$G$7:$G$206,$D19,'工作觀察輸入'!$M$7:$M$206,"是"))</x:f>
      </x:c>
      <x:c r="I19" s="117" t="str">
        <x:f>IF($G19=0,"",_xlfn.MAXIFS('工作觀察輸入'!$B$7:$B$206,'工作觀察輸入'!$C$7:$C$206,$B19,'工作觀察輸入'!$G$7:$G$206,$D19,'工作觀察輸入'!$M$7:$M$206,"是"))</x:f>
      </x:c>
      <x:c r="J19" s="115" t="n">
        <x:f>IF($G19=0,0,IF($H19=$I19,1,2))</x:f>
        <x:v>0</x:v>
      </x:c>
      <x:c r="K19" s="115" t="n">
        <x:f>COUNTIFS('工作觀察輸入'!$C$7:$C$206,$B19,'工作觀察輸入'!$G$7:$G$206,$D19,'工作觀察輸入'!$J$7:$J$206,"是")</x:f>
        <x:v>0</x:v>
      </x:c>
      <x:c r="L19" s="115" t="n">
        <x:f>COUNTIFS('面談與異議'!$C$7:$C$106,$B19,'面談與異議'!$F$7:$F$106,$D19,'面談與異議'!$E$7:$E$106,"兩個月面談")</x:f>
        <x:v>0</x:v>
      </x:c>
      <x:c r="M19" s="115" t="str">
        <x:f>IF($E19&lt;&gt;"Ø","不適用",IF(COUNTIFS('事件與限制'!$C$7:$C$106,$B19,'事件與限制'!$E$7:$E$106,$D19,'事件與限制'!$Q$7:$Q$106,"生效中")&gt;0,"資格限制中",IF($F19&lt;&gt;"已核定","先完成基準核定",IF($K19&gt;0,"有關鍵遺漏，先檢討",IF($G19&lt;3,"尚缺成功觀察",IF($J19&lt;2,"觀察日期不足",IF($L19&lt;1,"待兩個月面談","可送主管核定")))))))</x:f>
        <x:v>不適用</x:v>
      </x:c>
      <x:c r="N19" s="116" t="str">
        <x:v>待核定</x:v>
      </x:c>
      <x:c r="O19" s="118"/>
      <x:c r="P19" s="116"/>
      <x:c r="Q19" s="116"/>
      <x:c r="R19" s="115" t="str">
        <x:f>IF($M19&lt;&gt;"可送主管核定","尚未具備條件",IF($N19="不升級","維持原評等",IF($N19="核定升級",IF(OR($O19="",$P19=""),"核定資料未完整","已核定升級"),"待主管核定")))</x:f>
        <x:v>尚未具備條件</x:v>
      </x:c>
    </x:row>
    <x:row r="20">
      <x:c r="A20" s="79" t="str">
        <x:v>UPG|1001|COMMON-INSURANCE</x:v>
      </x:c>
      <x:c r="B20" s="79" t="str">
        <x:v>1001</x:v>
      </x:c>
      <x:c r="C20" s="79" t="str"/>
      <x:c r="D20" s="79" t="str">
        <x:v>COMMON-INSURANCE</x:v>
      </x:c>
      <x:c r="E20" s="79" t="str">
        <x:v>◎</x:v>
      </x:c>
      <x:c r="F20" s="115" t="str">
        <x:f>IF($E20="未評估","未建立",_xlfn.XLOOKUP("ABIL|1001|COMMON-INSURANCE",'主管核定中心'!$A$12:$A$372,'主管核定中心'!$K$12:$K$372,"待主管核定",0))</x:f>
        <x:v>待主管核定</x:v>
      </x:c>
      <x:c r="G20" s="115" t="n">
        <x:f>COUNTIFS('工作觀察輸入'!$C$7:$C$206,$B20,'工作觀察輸入'!$G$7:$G$206,$D20,'工作觀察輸入'!$M$7:$M$206,"是")</x:f>
        <x:v>0</x:v>
      </x:c>
      <x:c r="H20" s="117" t="str">
        <x:f>IF($G20=0,"",_xlfn.MINIFS('工作觀察輸入'!$B$7:$B$206,'工作觀察輸入'!$C$7:$C$206,$B20,'工作觀察輸入'!$G$7:$G$206,$D20,'工作觀察輸入'!$M$7:$M$206,"是"))</x:f>
      </x:c>
      <x:c r="I20" s="117" t="str">
        <x:f>IF($G20=0,"",_xlfn.MAXIFS('工作觀察輸入'!$B$7:$B$206,'工作觀察輸入'!$C$7:$C$206,$B20,'工作觀察輸入'!$G$7:$G$206,$D20,'工作觀察輸入'!$M$7:$M$206,"是"))</x:f>
      </x:c>
      <x:c r="J20" s="115" t="n">
        <x:f>IF($G20=0,0,IF($H20=$I20,1,2))</x:f>
        <x:v>0</x:v>
      </x:c>
      <x:c r="K20" s="115" t="n">
        <x:f>COUNTIFS('工作觀察輸入'!$C$7:$C$206,$B20,'工作觀察輸入'!$G$7:$G$206,$D20,'工作觀察輸入'!$J$7:$J$206,"是")</x:f>
        <x:v>0</x:v>
      </x:c>
      <x:c r="L20" s="115" t="n">
        <x:f>COUNTIFS('面談與異議'!$C$7:$C$106,$B20,'面談與異議'!$F$7:$F$106,$D20,'面談與異議'!$E$7:$E$106,"兩個月面談")</x:f>
        <x:v>0</x:v>
      </x:c>
      <x:c r="M20" s="115" t="str">
        <x:f>IF($E20&lt;&gt;"Ø","不適用",IF(COUNTIFS('事件與限制'!$C$7:$C$106,$B20,'事件與限制'!$E$7:$E$106,$D20,'事件與限制'!$Q$7:$Q$106,"生效中")&gt;0,"資格限制中",IF($F20&lt;&gt;"已核定","先完成基準核定",IF($K20&gt;0,"有關鍵遺漏，先檢討",IF($G20&lt;3,"尚缺成功觀察",IF($J20&lt;2,"觀察日期不足",IF($L20&lt;1,"待兩個月面談","可送主管核定")))))))</x:f>
        <x:v>不適用</x:v>
      </x:c>
      <x:c r="N20" s="116" t="str">
        <x:v>待核定</x:v>
      </x:c>
      <x:c r="O20" s="118"/>
      <x:c r="P20" s="116"/>
      <x:c r="Q20" s="116"/>
      <x:c r="R20" s="115" t="str">
        <x:f>IF($M20&lt;&gt;"可送主管核定","尚未具備條件",IF($N20="不升級","維持原評等",IF($N20="核定升級",IF(OR($O20="",$P20=""),"核定資料未完整","已核定升級"),"待主管核定")))</x:f>
        <x:v>尚未具備條件</x:v>
      </x:c>
    </x:row>
    <x:row r="21">
      <x:c r="A21" s="79" t="str">
        <x:v>UPG|1001|COMMON-XRAY-RECORD</x:v>
      </x:c>
      <x:c r="B21" s="79" t="str">
        <x:v>1001</x:v>
      </x:c>
      <x:c r="C21" s="79" t="str"/>
      <x:c r="D21" s="79" t="str">
        <x:v>COMMON-XRAY-RECORD</x:v>
      </x:c>
      <x:c r="E21" s="79" t="str">
        <x:v>◎</x:v>
      </x:c>
      <x:c r="F21" s="115" t="str">
        <x:f>IF($E21="未評估","未建立",_xlfn.XLOOKUP("ABIL|1001|COMMON-XRAY-RECORD",'主管核定中心'!$A$12:$A$372,'主管核定中心'!$K$12:$K$372,"待主管核定",0))</x:f>
        <x:v>待主管核定</x:v>
      </x:c>
      <x:c r="G21" s="115" t="n">
        <x:f>COUNTIFS('工作觀察輸入'!$C$7:$C$206,$B21,'工作觀察輸入'!$G$7:$G$206,$D21,'工作觀察輸入'!$M$7:$M$206,"是")</x:f>
        <x:v>0</x:v>
      </x:c>
      <x:c r="H21" s="117" t="str">
        <x:f>IF($G21=0,"",_xlfn.MINIFS('工作觀察輸入'!$B$7:$B$206,'工作觀察輸入'!$C$7:$C$206,$B21,'工作觀察輸入'!$G$7:$G$206,$D21,'工作觀察輸入'!$M$7:$M$206,"是"))</x:f>
      </x:c>
      <x:c r="I21" s="117" t="str">
        <x:f>IF($G21=0,"",_xlfn.MAXIFS('工作觀察輸入'!$B$7:$B$206,'工作觀察輸入'!$C$7:$C$206,$B21,'工作觀察輸入'!$G$7:$G$206,$D21,'工作觀察輸入'!$M$7:$M$206,"是"))</x:f>
      </x:c>
      <x:c r="J21" s="115" t="n">
        <x:f>IF($G21=0,0,IF($H21=$I21,1,2))</x:f>
        <x:v>0</x:v>
      </x:c>
      <x:c r="K21" s="115" t="n">
        <x:f>COUNTIFS('工作觀察輸入'!$C$7:$C$206,$B21,'工作觀察輸入'!$G$7:$G$206,$D21,'工作觀察輸入'!$J$7:$J$206,"是")</x:f>
        <x:v>0</x:v>
      </x:c>
      <x:c r="L21" s="115" t="n">
        <x:f>COUNTIFS('面談與異議'!$C$7:$C$106,$B21,'面談與異議'!$F$7:$F$106,$D21,'面談與異議'!$E$7:$E$106,"兩個月面談")</x:f>
        <x:v>0</x:v>
      </x:c>
      <x:c r="M21" s="115" t="str">
        <x:f>IF($E21&lt;&gt;"Ø","不適用",IF(COUNTIFS('事件與限制'!$C$7:$C$106,$B21,'事件與限制'!$E$7:$E$106,$D21,'事件與限制'!$Q$7:$Q$106,"生效中")&gt;0,"資格限制中",IF($F21&lt;&gt;"已核定","先完成基準核定",IF($K21&gt;0,"有關鍵遺漏，先檢討",IF($G21&lt;3,"尚缺成功觀察",IF($J21&lt;2,"觀察日期不足",IF($L21&lt;1,"待兩個月面談","可送主管核定")))))))</x:f>
        <x:v>不適用</x:v>
      </x:c>
      <x:c r="N21" s="116" t="str">
        <x:v>待核定</x:v>
      </x:c>
      <x:c r="O21" s="118"/>
      <x:c r="P21" s="116"/>
      <x:c r="Q21" s="116"/>
      <x:c r="R21" s="115" t="str">
        <x:f>IF($M21&lt;&gt;"可送主管核定","尚未具備條件",IF($N21="不升級","維持原評等",IF($N21="核定升級",IF(OR($O21="",$P21=""),"核定資料未完整","已核定升級"),"待主管核定")))</x:f>
        <x:v>尚未具備條件</x:v>
      </x:c>
    </x:row>
    <x:row r="22">
      <x:c r="A22" s="79" t="str">
        <x:v>UPG|1001|COMMON-PA</x:v>
      </x:c>
      <x:c r="B22" s="79" t="str">
        <x:v>1001</x:v>
      </x:c>
      <x:c r="C22" s="79" t="str"/>
      <x:c r="D22" s="79" t="str">
        <x:v>COMMON-PA</x:v>
      </x:c>
      <x:c r="E22" s="79" t="str">
        <x:v>◎</x:v>
      </x:c>
      <x:c r="F22" s="115" t="str">
        <x:f>IF($E22="未評估","未建立",_xlfn.XLOOKUP("ABIL|1001|COMMON-PA",'主管核定中心'!$A$12:$A$372,'主管核定中心'!$K$12:$K$372,"待主管核定",0))</x:f>
        <x:v>待主管核定</x:v>
      </x:c>
      <x:c r="G22" s="115" t="n">
        <x:f>COUNTIFS('工作觀察輸入'!$C$7:$C$206,$B22,'工作觀察輸入'!$G$7:$G$206,$D22,'工作觀察輸入'!$M$7:$M$206,"是")</x:f>
        <x:v>0</x:v>
      </x:c>
      <x:c r="H22" s="117" t="str">
        <x:f>IF($G22=0,"",_xlfn.MINIFS('工作觀察輸入'!$B$7:$B$206,'工作觀察輸入'!$C$7:$C$206,$B22,'工作觀察輸入'!$G$7:$G$206,$D22,'工作觀察輸入'!$M$7:$M$206,"是"))</x:f>
      </x:c>
      <x:c r="I22" s="117" t="str">
        <x:f>IF($G22=0,"",_xlfn.MAXIFS('工作觀察輸入'!$B$7:$B$206,'工作觀察輸入'!$C$7:$C$206,$B22,'工作觀察輸入'!$G$7:$G$206,$D22,'工作觀察輸入'!$M$7:$M$206,"是"))</x:f>
      </x:c>
      <x:c r="J22" s="115" t="n">
        <x:f>IF($G22=0,0,IF($H22=$I22,1,2))</x:f>
        <x:v>0</x:v>
      </x:c>
      <x:c r="K22" s="115" t="n">
        <x:f>COUNTIFS('工作觀察輸入'!$C$7:$C$206,$B22,'工作觀察輸入'!$G$7:$G$206,$D22,'工作觀察輸入'!$J$7:$J$206,"是")</x:f>
        <x:v>0</x:v>
      </x:c>
      <x:c r="L22" s="115" t="n">
        <x:f>COUNTIFS('面談與異議'!$C$7:$C$106,$B22,'面談與異議'!$F$7:$F$106,$D22,'面談與異議'!$E$7:$E$106,"兩個月面談")</x:f>
        <x:v>0</x:v>
      </x:c>
      <x:c r="M22" s="115" t="str">
        <x:f>IF($E22&lt;&gt;"Ø","不適用",IF(COUNTIFS('事件與限制'!$C$7:$C$106,$B22,'事件與限制'!$E$7:$E$106,$D22,'事件與限制'!$Q$7:$Q$106,"生效中")&gt;0,"資格限制中",IF($F22&lt;&gt;"已核定","先完成基準核定",IF($K22&gt;0,"有關鍵遺漏，先檢討",IF($G22&lt;3,"尚缺成功觀察",IF($J22&lt;2,"觀察日期不足",IF($L22&lt;1,"待兩個月面談","可送主管核定")))))))</x:f>
        <x:v>不適用</x:v>
      </x:c>
      <x:c r="N22" s="116" t="str">
        <x:v>待核定</x:v>
      </x:c>
      <x:c r="O22" s="118"/>
      <x:c r="P22" s="116"/>
      <x:c r="Q22" s="116"/>
      <x:c r="R22" s="115" t="str">
        <x:f>IF($M22&lt;&gt;"可送主管核定","尚未具備條件",IF($N22="不升級","維持原評等",IF($N22="核定升級",IF(OR($O22="",$P22=""),"核定資料未完整","已核定升級"),"待主管核定")))</x:f>
        <x:v>尚未具備條件</x:v>
      </x:c>
    </x:row>
    <x:row r="23">
      <x:c r="A23" s="79" t="str">
        <x:v>UPG|1001|COMMON-IOS</x:v>
      </x:c>
      <x:c r="B23" s="79" t="str">
        <x:v>1001</x:v>
      </x:c>
      <x:c r="C23" s="79" t="str"/>
      <x:c r="D23" s="79" t="str">
        <x:v>COMMON-IOS</x:v>
      </x:c>
      <x:c r="E23" s="79" t="str">
        <x:v>◎</x:v>
      </x:c>
      <x:c r="F23" s="115" t="str">
        <x:f>IF($E23="未評估","未建立",_xlfn.XLOOKUP("ABIL|1001|COMMON-IOS",'主管核定中心'!$A$12:$A$372,'主管核定中心'!$K$12:$K$372,"待主管核定",0))</x:f>
        <x:v>待主管核定</x:v>
      </x:c>
      <x:c r="G23" s="115" t="n">
        <x:f>COUNTIFS('工作觀察輸入'!$C$7:$C$206,$B23,'工作觀察輸入'!$G$7:$G$206,$D23,'工作觀察輸入'!$M$7:$M$206,"是")</x:f>
        <x:v>0</x:v>
      </x:c>
      <x:c r="H23" s="117" t="str">
        <x:f>IF($G23=0,"",_xlfn.MINIFS('工作觀察輸入'!$B$7:$B$206,'工作觀察輸入'!$C$7:$C$206,$B23,'工作觀察輸入'!$G$7:$G$206,$D23,'工作觀察輸入'!$M$7:$M$206,"是"))</x:f>
      </x:c>
      <x:c r="I23" s="117" t="str">
        <x:f>IF($G23=0,"",_xlfn.MAXIFS('工作觀察輸入'!$B$7:$B$206,'工作觀察輸入'!$C$7:$C$206,$B23,'工作觀察輸入'!$G$7:$G$206,$D23,'工作觀察輸入'!$M$7:$M$206,"是"))</x:f>
      </x:c>
      <x:c r="J23" s="115" t="n">
        <x:f>IF($G23=0,0,IF($H23=$I23,1,2))</x:f>
        <x:v>0</x:v>
      </x:c>
      <x:c r="K23" s="115" t="n">
        <x:f>COUNTIFS('工作觀察輸入'!$C$7:$C$206,$B23,'工作觀察輸入'!$G$7:$G$206,$D23,'工作觀察輸入'!$J$7:$J$206,"是")</x:f>
        <x:v>0</x:v>
      </x:c>
      <x:c r="L23" s="115" t="n">
        <x:f>COUNTIFS('面談與異議'!$C$7:$C$106,$B23,'面談與異議'!$F$7:$F$106,$D23,'面談與異議'!$E$7:$E$106,"兩個月面談")</x:f>
        <x:v>0</x:v>
      </x:c>
      <x:c r="M23" s="115" t="str">
        <x:f>IF($E23&lt;&gt;"Ø","不適用",IF(COUNTIFS('事件與限制'!$C$7:$C$106,$B23,'事件與限制'!$E$7:$E$106,$D23,'事件與限制'!$Q$7:$Q$106,"生效中")&gt;0,"資格限制中",IF($F23&lt;&gt;"已核定","先完成基準核定",IF($K23&gt;0,"有關鍵遺漏，先檢討",IF($G23&lt;3,"尚缺成功觀察",IF($J23&lt;2,"觀察日期不足",IF($L23&lt;1,"待兩個月面談","可送主管核定")))))))</x:f>
        <x:v>不適用</x:v>
      </x:c>
      <x:c r="N23" s="116" t="str">
        <x:v>待核定</x:v>
      </x:c>
      <x:c r="O23" s="118"/>
      <x:c r="P23" s="116"/>
      <x:c r="Q23" s="116"/>
      <x:c r="R23" s="115" t="str">
        <x:f>IF($M23&lt;&gt;"可送主管核定","尚未具備條件",IF($N23="不升級","維持原評等",IF($N23="核定升級",IF(OR($O23="",$P23=""),"核定資料未完整","已核定升級"),"待主管核定")))</x:f>
        <x:v>尚未具備條件</x:v>
      </x:c>
    </x:row>
    <x:row r="24">
      <x:c r="A24" s="79" t="str">
        <x:v>UPG|1004|LJT-PREP-SCALING</x:v>
      </x:c>
      <x:c r="B24" s="79" t="str">
        <x:v>1004</x:v>
      </x:c>
      <x:c r="C24" s="79" t="str"/>
      <x:c r="D24" s="79" t="str">
        <x:v>LJT-PREP-SCALING</x:v>
      </x:c>
      <x:c r="E24" s="79" t="str">
        <x:v>◎</x:v>
      </x:c>
      <x:c r="F24" s="115" t="str">
        <x:f>IF($E24="未評估","未建立",_xlfn.XLOOKUP("ABIL|1004|LJT-PREP-SCALING",'主管核定中心'!$A$12:$A$372,'主管核定中心'!$K$12:$K$372,"待主管核定",0))</x:f>
        <x:v>待主管核定</x:v>
      </x:c>
      <x:c r="G24" s="115" t="n">
        <x:f>COUNTIFS('工作觀察輸入'!$C$7:$C$206,$B24,'工作觀察輸入'!$G$7:$G$206,$D24,'工作觀察輸入'!$M$7:$M$206,"是")</x:f>
        <x:v>0</x:v>
      </x:c>
      <x:c r="H24" s="117" t="str">
        <x:f>IF($G24=0,"",_xlfn.MINIFS('工作觀察輸入'!$B$7:$B$206,'工作觀察輸入'!$C$7:$C$206,$B24,'工作觀察輸入'!$G$7:$G$206,$D24,'工作觀察輸入'!$M$7:$M$206,"是"))</x:f>
      </x:c>
      <x:c r="I24" s="117" t="str">
        <x:f>IF($G24=0,"",_xlfn.MAXIFS('工作觀察輸入'!$B$7:$B$206,'工作觀察輸入'!$C$7:$C$206,$B24,'工作觀察輸入'!$G$7:$G$206,$D24,'工作觀察輸入'!$M$7:$M$206,"是"))</x:f>
      </x:c>
      <x:c r="J24" s="115" t="n">
        <x:f>IF($G24=0,0,IF($H24=$I24,1,2))</x:f>
        <x:v>0</x:v>
      </x:c>
      <x:c r="K24" s="115" t="n">
        <x:f>COUNTIFS('工作觀察輸入'!$C$7:$C$206,$B24,'工作觀察輸入'!$G$7:$G$206,$D24,'工作觀察輸入'!$J$7:$J$206,"是")</x:f>
        <x:v>0</x:v>
      </x:c>
      <x:c r="L24" s="115" t="n">
        <x:f>COUNTIFS('面談與異議'!$C$7:$C$106,$B24,'面談與異議'!$F$7:$F$106,$D24,'面談與異議'!$E$7:$E$106,"兩個月面談")</x:f>
        <x:v>0</x:v>
      </x:c>
      <x:c r="M24" s="115" t="str">
        <x:f>IF($E24&lt;&gt;"Ø","不適用",IF(COUNTIFS('事件與限制'!$C$7:$C$106,$B24,'事件與限制'!$E$7:$E$106,$D24,'事件與限制'!$Q$7:$Q$106,"生效中")&gt;0,"資格限制中",IF($F24&lt;&gt;"已核定","先完成基準核定",IF($K24&gt;0,"有關鍵遺漏，先檢討",IF($G24&lt;3,"尚缺成功觀察",IF($J24&lt;2,"觀察日期不足",IF($L24&lt;1,"待兩個月面談","可送主管核定")))))))</x:f>
        <x:v>不適用</x:v>
      </x:c>
      <x:c r="N24" s="116" t="str">
        <x:v>待核定</x:v>
      </x:c>
      <x:c r="O24" s="118"/>
      <x:c r="P24" s="116"/>
      <x:c r="Q24" s="116"/>
      <x:c r="R24" s="115" t="str">
        <x:f>IF($M24&lt;&gt;"可送主管核定","尚未具備條件",IF($N24="不升級","維持原評等",IF($N24="核定升級",IF(OR($O24="",$P24=""),"核定資料未完整","已核定升級"),"待主管核定")))</x:f>
        <x:v>尚未具備條件</x:v>
      </x:c>
    </x:row>
    <x:row r="25">
      <x:c r="A25" s="79" t="str">
        <x:v>UPG|1004|LJT-PREP-FILLING</x:v>
      </x:c>
      <x:c r="B25" s="79" t="str">
        <x:v>1004</x:v>
      </x:c>
      <x:c r="C25" s="79" t="str"/>
      <x:c r="D25" s="79" t="str">
        <x:v>LJT-PREP-FILLING</x:v>
      </x:c>
      <x:c r="E25" s="79" t="str">
        <x:v>◎</x:v>
      </x:c>
      <x:c r="F25" s="115" t="str">
        <x:f>IF($E25="未評估","未建立",_xlfn.XLOOKUP("ABIL|1004|LJT-PREP-FILLING",'主管核定中心'!$A$12:$A$372,'主管核定中心'!$K$12:$K$372,"待主管核定",0))</x:f>
        <x:v>待主管核定</x:v>
      </x:c>
      <x:c r="G25" s="115" t="n">
        <x:f>COUNTIFS('工作觀察輸入'!$C$7:$C$206,$B25,'工作觀察輸入'!$G$7:$G$206,$D25,'工作觀察輸入'!$M$7:$M$206,"是")</x:f>
        <x:v>0</x:v>
      </x:c>
      <x:c r="H25" s="117" t="str">
        <x:f>IF($G25=0,"",_xlfn.MINIFS('工作觀察輸入'!$B$7:$B$206,'工作觀察輸入'!$C$7:$C$206,$B25,'工作觀察輸入'!$G$7:$G$206,$D25,'工作觀察輸入'!$M$7:$M$206,"是"))</x:f>
      </x:c>
      <x:c r="I25" s="117" t="str">
        <x:f>IF($G25=0,"",_xlfn.MAXIFS('工作觀察輸入'!$B$7:$B$206,'工作觀察輸入'!$C$7:$C$206,$B25,'工作觀察輸入'!$G$7:$G$206,$D25,'工作觀察輸入'!$M$7:$M$206,"是"))</x:f>
      </x:c>
      <x:c r="J25" s="115" t="n">
        <x:f>IF($G25=0,0,IF($H25=$I25,1,2))</x:f>
        <x:v>0</x:v>
      </x:c>
      <x:c r="K25" s="115" t="n">
        <x:f>COUNTIFS('工作觀察輸入'!$C$7:$C$206,$B25,'工作觀察輸入'!$G$7:$G$206,$D25,'工作觀察輸入'!$J$7:$J$206,"是")</x:f>
        <x:v>0</x:v>
      </x:c>
      <x:c r="L25" s="115" t="n">
        <x:f>COUNTIFS('面談與異議'!$C$7:$C$106,$B25,'面談與異議'!$F$7:$F$106,$D25,'面談與異議'!$E$7:$E$106,"兩個月面談")</x:f>
        <x:v>0</x:v>
      </x:c>
      <x:c r="M25" s="115" t="str">
        <x:f>IF($E25&lt;&gt;"Ø","不適用",IF(COUNTIFS('事件與限制'!$C$7:$C$106,$B25,'事件與限制'!$E$7:$E$106,$D25,'事件與限制'!$Q$7:$Q$106,"生效中")&gt;0,"資格限制中",IF($F25&lt;&gt;"已核定","先完成基準核定",IF($K25&gt;0,"有關鍵遺漏，先檢討",IF($G25&lt;3,"尚缺成功觀察",IF($J25&lt;2,"觀察日期不足",IF($L25&lt;1,"待兩個月面談","可送主管核定")))))))</x:f>
        <x:v>不適用</x:v>
      </x:c>
      <x:c r="N25" s="116" t="str">
        <x:v>待核定</x:v>
      </x:c>
      <x:c r="O25" s="118"/>
      <x:c r="P25" s="116"/>
      <x:c r="Q25" s="116"/>
      <x:c r="R25" s="115" t="str">
        <x:f>IF($M25&lt;&gt;"可送主管核定","尚未具備條件",IF($N25="不升級","維持原評等",IF($N25="核定升級",IF(OR($O25="",$P25=""),"核定資料未完整","已核定升級"),"待主管核定")))</x:f>
        <x:v>尚未具備條件</x:v>
      </x:c>
    </x:row>
    <x:row r="26">
      <x:c r="A26" s="79" t="str">
        <x:v>UPG|1004|LJT-PREP-PERIO</x:v>
      </x:c>
      <x:c r="B26" s="79" t="str">
        <x:v>1004</x:v>
      </x:c>
      <x:c r="C26" s="79" t="str"/>
      <x:c r="D26" s="79" t="str">
        <x:v>LJT-PREP-PERIO</x:v>
      </x:c>
      <x:c r="E26" s="79" t="str">
        <x:v>◎</x:v>
      </x:c>
      <x:c r="F26" s="115" t="str">
        <x:f>IF($E26="未評估","未建立",_xlfn.XLOOKUP("ABIL|1004|LJT-PREP-PERIO",'主管核定中心'!$A$12:$A$372,'主管核定中心'!$K$12:$K$372,"待主管核定",0))</x:f>
        <x:v>待主管核定</x:v>
      </x:c>
      <x:c r="G26" s="115" t="n">
        <x:f>COUNTIFS('工作觀察輸入'!$C$7:$C$206,$B26,'工作觀察輸入'!$G$7:$G$206,$D26,'工作觀察輸入'!$M$7:$M$206,"是")</x:f>
        <x:v>0</x:v>
      </x:c>
      <x:c r="H26" s="117" t="str">
        <x:f>IF($G26=0,"",_xlfn.MINIFS('工作觀察輸入'!$B$7:$B$206,'工作觀察輸入'!$C$7:$C$206,$B26,'工作觀察輸入'!$G$7:$G$206,$D26,'工作觀察輸入'!$M$7:$M$206,"是"))</x:f>
      </x:c>
      <x:c r="I26" s="117" t="str">
        <x:f>IF($G26=0,"",_xlfn.MAXIFS('工作觀察輸入'!$B$7:$B$206,'工作觀察輸入'!$C$7:$C$206,$B26,'工作觀察輸入'!$G$7:$G$206,$D26,'工作觀察輸入'!$M$7:$M$206,"是"))</x:f>
      </x:c>
      <x:c r="J26" s="115" t="n">
        <x:f>IF($G26=0,0,IF($H26=$I26,1,2))</x:f>
        <x:v>0</x:v>
      </x:c>
      <x:c r="K26" s="115" t="n">
        <x:f>COUNTIFS('工作觀察輸入'!$C$7:$C$206,$B26,'工作觀察輸入'!$G$7:$G$206,$D26,'工作觀察輸入'!$J$7:$J$206,"是")</x:f>
        <x:v>0</x:v>
      </x:c>
      <x:c r="L26" s="115" t="n">
        <x:f>COUNTIFS('面談與異議'!$C$7:$C$106,$B26,'面談與異議'!$F$7:$F$106,$D26,'面談與異議'!$E$7:$E$106,"兩個月面談")</x:f>
        <x:v>0</x:v>
      </x:c>
      <x:c r="M26" s="115" t="str">
        <x:f>IF($E26&lt;&gt;"Ø","不適用",IF(COUNTIFS('事件與限制'!$C$7:$C$106,$B26,'事件與限制'!$E$7:$E$106,$D26,'事件與限制'!$Q$7:$Q$106,"生效中")&gt;0,"資格限制中",IF($F26&lt;&gt;"已核定","先完成基準核定",IF($K26&gt;0,"有關鍵遺漏，先檢討",IF($G26&lt;3,"尚缺成功觀察",IF($J26&lt;2,"觀察日期不足",IF($L26&lt;1,"待兩個月面談","可送主管核定")))))))</x:f>
        <x:v>不適用</x:v>
      </x:c>
      <x:c r="N26" s="116" t="str">
        <x:v>待核定</x:v>
      </x:c>
      <x:c r="O26" s="118"/>
      <x:c r="P26" s="116"/>
      <x:c r="Q26" s="116"/>
      <x:c r="R26" s="115" t="str">
        <x:f>IF($M26&lt;&gt;"可送主管核定","尚未具備條件",IF($N26="不升級","維持原評等",IF($N26="核定升級",IF(OR($O26="",$P26=""),"核定資料未完整","已核定升級"),"待主管核定")))</x:f>
        <x:v>尚未具備條件</x:v>
      </x:c>
    </x:row>
    <x:row r="27">
      <x:c r="A27" s="79" t="str">
        <x:v>UPG|1004|LJT-PREP-RCT</x:v>
      </x:c>
      <x:c r="B27" s="79" t="str">
        <x:v>1004</x:v>
      </x:c>
      <x:c r="C27" s="79" t="str"/>
      <x:c r="D27" s="79" t="str">
        <x:v>LJT-PREP-RCT</x:v>
      </x:c>
      <x:c r="E27" s="79" t="str">
        <x:v>◎</x:v>
      </x:c>
      <x:c r="F27" s="115" t="str">
        <x:f>IF($E27="未評估","未建立",_xlfn.XLOOKUP("ABIL|1004|LJT-PREP-RCT",'主管核定中心'!$A$12:$A$372,'主管核定中心'!$K$12:$K$372,"待主管核定",0))</x:f>
        <x:v>待主管核定</x:v>
      </x:c>
      <x:c r="G27" s="115" t="n">
        <x:f>COUNTIFS('工作觀察輸入'!$C$7:$C$206,$B27,'工作觀察輸入'!$G$7:$G$206,$D27,'工作觀察輸入'!$M$7:$M$206,"是")</x:f>
        <x:v>0</x:v>
      </x:c>
      <x:c r="H27" s="117" t="str">
        <x:f>IF($G27=0,"",_xlfn.MINIFS('工作觀察輸入'!$B$7:$B$206,'工作觀察輸入'!$C$7:$C$206,$B27,'工作觀察輸入'!$G$7:$G$206,$D27,'工作觀察輸入'!$M$7:$M$206,"是"))</x:f>
      </x:c>
      <x:c r="I27" s="117" t="str">
        <x:f>IF($G27=0,"",_xlfn.MAXIFS('工作觀察輸入'!$B$7:$B$206,'工作觀察輸入'!$C$7:$C$206,$B27,'工作觀察輸入'!$G$7:$G$206,$D27,'工作觀察輸入'!$M$7:$M$206,"是"))</x:f>
      </x:c>
      <x:c r="J27" s="115" t="n">
        <x:f>IF($G27=0,0,IF($H27=$I27,1,2))</x:f>
        <x:v>0</x:v>
      </x:c>
      <x:c r="K27" s="115" t="n">
        <x:f>COUNTIFS('工作觀察輸入'!$C$7:$C$206,$B27,'工作觀察輸入'!$G$7:$G$206,$D27,'工作觀察輸入'!$J$7:$J$206,"是")</x:f>
        <x:v>0</x:v>
      </x:c>
      <x:c r="L27" s="115" t="n">
        <x:f>COUNTIFS('面談與異議'!$C$7:$C$106,$B27,'面談與異議'!$F$7:$F$106,$D27,'面談與異議'!$E$7:$E$106,"兩個月面談")</x:f>
        <x:v>0</x:v>
      </x:c>
      <x:c r="M27" s="115" t="str">
        <x:f>IF($E27&lt;&gt;"Ø","不適用",IF(COUNTIFS('事件與限制'!$C$7:$C$106,$B27,'事件與限制'!$E$7:$E$106,$D27,'事件與限制'!$Q$7:$Q$106,"生效中")&gt;0,"資格限制中",IF($F27&lt;&gt;"已核定","先完成基準核定",IF($K27&gt;0,"有關鍵遺漏，先檢討",IF($G27&lt;3,"尚缺成功觀察",IF($J27&lt;2,"觀察日期不足",IF($L27&lt;1,"待兩個月面談","可送主管核定")))))))</x:f>
        <x:v>不適用</x:v>
      </x:c>
      <x:c r="N27" s="116" t="str">
        <x:v>待核定</x:v>
      </x:c>
      <x:c r="O27" s="118"/>
      <x:c r="P27" s="116"/>
      <x:c r="Q27" s="116"/>
      <x:c r="R27" s="115" t="str">
        <x:f>IF($M27&lt;&gt;"可送主管核定","尚未具備條件",IF($N27="不升級","維持原評等",IF($N27="核定升級",IF(OR($O27="",$P27=""),"核定資料未完整","已核定升級"),"待主管核定")))</x:f>
        <x:v>尚未具備條件</x:v>
      </x:c>
    </x:row>
    <x:row r="28">
      <x:c r="A28" s="79" t="str">
        <x:v>UPG|1004|LJT-PREP-EXTRACTION</x:v>
      </x:c>
      <x:c r="B28" s="79" t="str">
        <x:v>1004</x:v>
      </x:c>
      <x:c r="C28" s="79" t="str"/>
      <x:c r="D28" s="79" t="str">
        <x:v>LJT-PREP-EXTRACTION</x:v>
      </x:c>
      <x:c r="E28" s="79" t="str">
        <x:v>◎</x:v>
      </x:c>
      <x:c r="F28" s="115" t="str">
        <x:f>IF($E28="未評估","未建立",_xlfn.XLOOKUP("ABIL|1004|LJT-PREP-EXTRACTION",'主管核定中心'!$A$12:$A$372,'主管核定中心'!$K$12:$K$372,"待主管核定",0))</x:f>
        <x:v>待主管核定</x:v>
      </x:c>
      <x:c r="G28" s="115" t="n">
        <x:f>COUNTIFS('工作觀察輸入'!$C$7:$C$206,$B28,'工作觀察輸入'!$G$7:$G$206,$D28,'工作觀察輸入'!$M$7:$M$206,"是")</x:f>
        <x:v>0</x:v>
      </x:c>
      <x:c r="H28" s="117" t="str">
        <x:f>IF($G28=0,"",_xlfn.MINIFS('工作觀察輸入'!$B$7:$B$206,'工作觀察輸入'!$C$7:$C$206,$B28,'工作觀察輸入'!$G$7:$G$206,$D28,'工作觀察輸入'!$M$7:$M$206,"是"))</x:f>
      </x:c>
      <x:c r="I28" s="117" t="str">
        <x:f>IF($G28=0,"",_xlfn.MAXIFS('工作觀察輸入'!$B$7:$B$206,'工作觀察輸入'!$C$7:$C$206,$B28,'工作觀察輸入'!$G$7:$G$206,$D28,'工作觀察輸入'!$M$7:$M$206,"是"))</x:f>
      </x:c>
      <x:c r="J28" s="115" t="n">
        <x:f>IF($G28=0,0,IF($H28=$I28,1,2))</x:f>
        <x:v>0</x:v>
      </x:c>
      <x:c r="K28" s="115" t="n">
        <x:f>COUNTIFS('工作觀察輸入'!$C$7:$C$206,$B28,'工作觀察輸入'!$G$7:$G$206,$D28,'工作觀察輸入'!$J$7:$J$206,"是")</x:f>
        <x:v>0</x:v>
      </x:c>
      <x:c r="L28" s="115" t="n">
        <x:f>COUNTIFS('面談與異議'!$C$7:$C$106,$B28,'面談與異議'!$F$7:$F$106,$D28,'面談與異議'!$E$7:$E$106,"兩個月面談")</x:f>
        <x:v>0</x:v>
      </x:c>
      <x:c r="M28" s="115" t="str">
        <x:f>IF($E28&lt;&gt;"Ø","不適用",IF(COUNTIFS('事件與限制'!$C$7:$C$106,$B28,'事件與限制'!$E$7:$E$106,$D28,'事件與限制'!$Q$7:$Q$106,"生效中")&gt;0,"資格限制中",IF($F28&lt;&gt;"已核定","先完成基準核定",IF($K28&gt;0,"有關鍵遺漏，先檢討",IF($G28&lt;3,"尚缺成功觀察",IF($J28&lt;2,"觀察日期不足",IF($L28&lt;1,"待兩個月面談","可送主管核定")))))))</x:f>
        <x:v>不適用</x:v>
      </x:c>
      <x:c r="N28" s="116" t="str">
        <x:v>待核定</x:v>
      </x:c>
      <x:c r="O28" s="118"/>
      <x:c r="P28" s="116"/>
      <x:c r="Q28" s="116"/>
      <x:c r="R28" s="115" t="str">
        <x:f>IF($M28&lt;&gt;"可送主管核定","尚未具備條件",IF($N28="不升級","維持原評等",IF($N28="核定升級",IF(OR($O28="",$P28=""),"核定資料未完整","已核定升級"),"待主管核定")))</x:f>
        <x:v>尚未具備條件</x:v>
      </x:c>
    </x:row>
    <x:row r="29">
      <x:c r="A29" s="79" t="str">
        <x:v>UPG|1004|LJT-PREP-CROWNPOST</x:v>
      </x:c>
      <x:c r="B29" s="79" t="str">
        <x:v>1004</x:v>
      </x:c>
      <x:c r="C29" s="79" t="str"/>
      <x:c r="D29" s="79" t="str">
        <x:v>LJT-PREP-CROWNPOST</x:v>
      </x:c>
      <x:c r="E29" s="79" t="str">
        <x:v>◎</x:v>
      </x:c>
      <x:c r="F29" s="115" t="str">
        <x:f>IF($E29="未評估","未建立",_xlfn.XLOOKUP("ABIL|1004|LJT-PREP-CROWNPOST",'主管核定中心'!$A$12:$A$372,'主管核定中心'!$K$12:$K$372,"待主管核定",0))</x:f>
        <x:v>待主管核定</x:v>
      </x:c>
      <x:c r="G29" s="115" t="n">
        <x:f>COUNTIFS('工作觀察輸入'!$C$7:$C$206,$B29,'工作觀察輸入'!$G$7:$G$206,$D29,'工作觀察輸入'!$M$7:$M$206,"是")</x:f>
        <x:v>0</x:v>
      </x:c>
      <x:c r="H29" s="117" t="str">
        <x:f>IF($G29=0,"",_xlfn.MINIFS('工作觀察輸入'!$B$7:$B$206,'工作觀察輸入'!$C$7:$C$206,$B29,'工作觀察輸入'!$G$7:$G$206,$D29,'工作觀察輸入'!$M$7:$M$206,"是"))</x:f>
      </x:c>
      <x:c r="I29" s="117" t="str">
        <x:f>IF($G29=0,"",_xlfn.MAXIFS('工作觀察輸入'!$B$7:$B$206,'工作觀察輸入'!$C$7:$C$206,$B29,'工作觀察輸入'!$G$7:$G$206,$D29,'工作觀察輸入'!$M$7:$M$206,"是"))</x:f>
      </x:c>
      <x:c r="J29" s="115" t="n">
        <x:f>IF($G29=0,0,IF($H29=$I29,1,2))</x:f>
        <x:v>0</x:v>
      </x:c>
      <x:c r="K29" s="115" t="n">
        <x:f>COUNTIFS('工作觀察輸入'!$C$7:$C$206,$B29,'工作觀察輸入'!$G$7:$G$206,$D29,'工作觀察輸入'!$J$7:$J$206,"是")</x:f>
        <x:v>0</x:v>
      </x:c>
      <x:c r="L29" s="115" t="n">
        <x:f>COUNTIFS('面談與異議'!$C$7:$C$106,$B29,'面談與異議'!$F$7:$F$106,$D29,'面談與異議'!$E$7:$E$106,"兩個月面談")</x:f>
        <x:v>0</x:v>
      </x:c>
      <x:c r="M29" s="115" t="str">
        <x:f>IF($E29&lt;&gt;"Ø","不適用",IF(COUNTIFS('事件與限制'!$C$7:$C$106,$B29,'事件與限制'!$E$7:$E$106,$D29,'事件與限制'!$Q$7:$Q$106,"生效中")&gt;0,"資格限制中",IF($F29&lt;&gt;"已核定","先完成基準核定",IF($K29&gt;0,"有關鍵遺漏，先檢討",IF($G29&lt;3,"尚缺成功觀察",IF($J29&lt;2,"觀察日期不足",IF($L29&lt;1,"待兩個月面談","可送主管核定")))))))</x:f>
        <x:v>不適用</x:v>
      </x:c>
      <x:c r="N29" s="116" t="str">
        <x:v>待核定</x:v>
      </x:c>
      <x:c r="O29" s="118"/>
      <x:c r="P29" s="116"/>
      <x:c r="Q29" s="116"/>
      <x:c r="R29" s="115" t="str">
        <x:f>IF($M29&lt;&gt;"可送主管核定","尚未具備條件",IF($N29="不升級","維持原評等",IF($N29="核定升級",IF(OR($O29="",$P29=""),"核定資料未完整","已核定升級"),"待主管核定")))</x:f>
        <x:v>尚未具備條件</x:v>
      </x:c>
    </x:row>
    <x:row r="30">
      <x:c r="A30" s="79" t="str">
        <x:v>UPG|1004|LJT-PREP-CROWN</x:v>
      </x:c>
      <x:c r="B30" s="79" t="str">
        <x:v>1004</x:v>
      </x:c>
      <x:c r="C30" s="79" t="str"/>
      <x:c r="D30" s="79" t="str">
        <x:v>LJT-PREP-CROWN</x:v>
      </x:c>
      <x:c r="E30" s="79" t="str">
        <x:v>◎</x:v>
      </x:c>
      <x:c r="F30" s="115" t="str">
        <x:f>IF($E30="未評估","未建立",_xlfn.XLOOKUP("ABIL|1004|LJT-PREP-CROWN",'主管核定中心'!$A$12:$A$372,'主管核定中心'!$K$12:$K$372,"待主管核定",0))</x:f>
        <x:v>待主管核定</x:v>
      </x:c>
      <x:c r="G30" s="115" t="n">
        <x:f>COUNTIFS('工作觀察輸入'!$C$7:$C$206,$B30,'工作觀察輸入'!$G$7:$G$206,$D30,'工作觀察輸入'!$M$7:$M$206,"是")</x:f>
        <x:v>0</x:v>
      </x:c>
      <x:c r="H30" s="117" t="str">
        <x:f>IF($G30=0,"",_xlfn.MINIFS('工作觀察輸入'!$B$7:$B$206,'工作觀察輸入'!$C$7:$C$206,$B30,'工作觀察輸入'!$G$7:$G$206,$D30,'工作觀察輸入'!$M$7:$M$206,"是"))</x:f>
      </x:c>
      <x:c r="I30" s="117" t="str">
        <x:f>IF($G30=0,"",_xlfn.MAXIFS('工作觀察輸入'!$B$7:$B$206,'工作觀察輸入'!$C$7:$C$206,$B30,'工作觀察輸入'!$G$7:$G$206,$D30,'工作觀察輸入'!$M$7:$M$206,"是"))</x:f>
      </x:c>
      <x:c r="J30" s="115" t="n">
        <x:f>IF($G30=0,0,IF($H30=$I30,1,2))</x:f>
        <x:v>0</x:v>
      </x:c>
      <x:c r="K30" s="115" t="n">
        <x:f>COUNTIFS('工作觀察輸入'!$C$7:$C$206,$B30,'工作觀察輸入'!$G$7:$G$206,$D30,'工作觀察輸入'!$J$7:$J$206,"是")</x:f>
        <x:v>0</x:v>
      </x:c>
      <x:c r="L30" s="115" t="n">
        <x:f>COUNTIFS('面談與異議'!$C$7:$C$106,$B30,'面談與異議'!$F$7:$F$106,$D30,'面談與異議'!$E$7:$E$106,"兩個月面談")</x:f>
        <x:v>0</x:v>
      </x:c>
      <x:c r="M30" s="115" t="str">
        <x:f>IF($E30&lt;&gt;"Ø","不適用",IF(COUNTIFS('事件與限制'!$C$7:$C$106,$B30,'事件與限制'!$E$7:$E$106,$D30,'事件與限制'!$Q$7:$Q$106,"生效中")&gt;0,"資格限制中",IF($F30&lt;&gt;"已核定","先完成基準核定",IF($K30&gt;0,"有關鍵遺漏，先檢討",IF($G30&lt;3,"尚缺成功觀察",IF($J30&lt;2,"觀察日期不足",IF($L30&lt;1,"待兩個月面談","可送主管核定")))))))</x:f>
        <x:v>不適用</x:v>
      </x:c>
      <x:c r="N30" s="116" t="str">
        <x:v>待核定</x:v>
      </x:c>
      <x:c r="O30" s="118"/>
      <x:c r="P30" s="116"/>
      <x:c r="Q30" s="116"/>
      <x:c r="R30" s="115" t="str">
        <x:f>IF($M30&lt;&gt;"可送主管核定","尚未具備條件",IF($N30="不升級","維持原評等",IF($N30="核定升級",IF(OR($O30="",$P30=""),"核定資料未完整","已核定升級"),"待主管核定")))</x:f>
        <x:v>尚未具備條件</x:v>
      </x:c>
    </x:row>
    <x:row r="31">
      <x:c r="A31" s="79" t="str">
        <x:v>UPG|1004|LJT-PREP-RPD</x:v>
      </x:c>
      <x:c r="B31" s="79" t="str">
        <x:v>1004</x:v>
      </x:c>
      <x:c r="C31" s="79" t="str"/>
      <x:c r="D31" s="79" t="str">
        <x:v>LJT-PREP-RPD</x:v>
      </x:c>
      <x:c r="E31" s="79" t="str">
        <x:v>◎</x:v>
      </x:c>
      <x:c r="F31" s="115" t="str">
        <x:f>IF($E31="未評估","未建立",_xlfn.XLOOKUP("ABIL|1004|LJT-PREP-RPD",'主管核定中心'!$A$12:$A$372,'主管核定中心'!$K$12:$K$372,"待主管核定",0))</x:f>
        <x:v>待主管核定</x:v>
      </x:c>
      <x:c r="G31" s="115" t="n">
        <x:f>COUNTIFS('工作觀察輸入'!$C$7:$C$206,$B31,'工作觀察輸入'!$G$7:$G$206,$D31,'工作觀察輸入'!$M$7:$M$206,"是")</x:f>
        <x:v>0</x:v>
      </x:c>
      <x:c r="H31" s="117" t="str">
        <x:f>IF($G31=0,"",_xlfn.MINIFS('工作觀察輸入'!$B$7:$B$206,'工作觀察輸入'!$C$7:$C$206,$B31,'工作觀察輸入'!$G$7:$G$206,$D31,'工作觀察輸入'!$M$7:$M$206,"是"))</x:f>
      </x:c>
      <x:c r="I31" s="117" t="str">
        <x:f>IF($G31=0,"",_xlfn.MAXIFS('工作觀察輸入'!$B$7:$B$206,'工作觀察輸入'!$C$7:$C$206,$B31,'工作觀察輸入'!$G$7:$G$206,$D31,'工作觀察輸入'!$M$7:$M$206,"是"))</x:f>
      </x:c>
      <x:c r="J31" s="115" t="n">
        <x:f>IF($G31=0,0,IF($H31=$I31,1,2))</x:f>
        <x:v>0</x:v>
      </x:c>
      <x:c r="K31" s="115" t="n">
        <x:f>COUNTIFS('工作觀察輸入'!$C$7:$C$206,$B31,'工作觀察輸入'!$G$7:$G$206,$D31,'工作觀察輸入'!$J$7:$J$206,"是")</x:f>
        <x:v>0</x:v>
      </x:c>
      <x:c r="L31" s="115" t="n">
        <x:f>COUNTIFS('面談與異議'!$C$7:$C$106,$B31,'面談與異議'!$F$7:$F$106,$D31,'面談與異議'!$E$7:$E$106,"兩個月面談")</x:f>
        <x:v>0</x:v>
      </x:c>
      <x:c r="M31" s="115" t="str">
        <x:f>IF($E31&lt;&gt;"Ø","不適用",IF(COUNTIFS('事件與限制'!$C$7:$C$106,$B31,'事件與限制'!$E$7:$E$106,$D31,'事件與限制'!$Q$7:$Q$106,"生效中")&gt;0,"資格限制中",IF($F31&lt;&gt;"已核定","先完成基準核定",IF($K31&gt;0,"有關鍵遺漏，先檢討",IF($G31&lt;3,"尚缺成功觀察",IF($J31&lt;2,"觀察日期不足",IF($L31&lt;1,"待兩個月面談","可送主管核定")))))))</x:f>
        <x:v>不適用</x:v>
      </x:c>
      <x:c r="N31" s="116" t="str">
        <x:v>待核定</x:v>
      </x:c>
      <x:c r="O31" s="118"/>
      <x:c r="P31" s="116"/>
      <x:c r="Q31" s="116"/>
      <x:c r="R31" s="115" t="str">
        <x:f>IF($M31&lt;&gt;"可送主管核定","尚未具備條件",IF($N31="不升級","維持原評等",IF($N31="核定升級",IF(OR($O31="",$P31=""),"核定資料未完整","已核定升級"),"待主管核定")))</x:f>
        <x:v>尚未具備條件</x:v>
      </x:c>
    </x:row>
    <x:row r="32">
      <x:c r="A32" s="79" t="str">
        <x:v>UPG|1004|LJT-PREP-AIRPOLISH</x:v>
      </x:c>
      <x:c r="B32" s="79" t="str">
        <x:v>1004</x:v>
      </x:c>
      <x:c r="C32" s="79" t="str"/>
      <x:c r="D32" s="79" t="str">
        <x:v>LJT-PREP-AIRPOLISH</x:v>
      </x:c>
      <x:c r="E32" s="79" t="str">
        <x:v>◎</x:v>
      </x:c>
      <x:c r="F32" s="115" t="str">
        <x:f>IF($E32="未評估","未建立",_xlfn.XLOOKUP("ABIL|1004|LJT-PREP-AIRPOLISH",'主管核定中心'!$A$12:$A$372,'主管核定中心'!$K$12:$K$372,"待主管核定",0))</x:f>
        <x:v>待主管核定</x:v>
      </x:c>
      <x:c r="G32" s="115" t="n">
        <x:f>COUNTIFS('工作觀察輸入'!$C$7:$C$206,$B32,'工作觀察輸入'!$G$7:$G$206,$D32,'工作觀察輸入'!$M$7:$M$206,"是")</x:f>
        <x:v>0</x:v>
      </x:c>
      <x:c r="H32" s="117" t="str">
        <x:f>IF($G32=0,"",_xlfn.MINIFS('工作觀察輸入'!$B$7:$B$206,'工作觀察輸入'!$C$7:$C$206,$B32,'工作觀察輸入'!$G$7:$G$206,$D32,'工作觀察輸入'!$M$7:$M$206,"是"))</x:f>
      </x:c>
      <x:c r="I32" s="117" t="str">
        <x:f>IF($G32=0,"",_xlfn.MAXIFS('工作觀察輸入'!$B$7:$B$206,'工作觀察輸入'!$C$7:$C$206,$B32,'工作觀察輸入'!$G$7:$G$206,$D32,'工作觀察輸入'!$M$7:$M$206,"是"))</x:f>
      </x:c>
      <x:c r="J32" s="115" t="n">
        <x:f>IF($G32=0,0,IF($H32=$I32,1,2))</x:f>
        <x:v>0</x:v>
      </x:c>
      <x:c r="K32" s="115" t="n">
        <x:f>COUNTIFS('工作觀察輸入'!$C$7:$C$206,$B32,'工作觀察輸入'!$G$7:$G$206,$D32,'工作觀察輸入'!$J$7:$J$206,"是")</x:f>
        <x:v>0</x:v>
      </x:c>
      <x:c r="L32" s="115" t="n">
        <x:f>COUNTIFS('面談與異議'!$C$7:$C$106,$B32,'面談與異議'!$F$7:$F$106,$D32,'面談與異議'!$E$7:$E$106,"兩個月面談")</x:f>
        <x:v>0</x:v>
      </x:c>
      <x:c r="M32" s="115" t="str">
        <x:f>IF($E32&lt;&gt;"Ø","不適用",IF(COUNTIFS('事件與限制'!$C$7:$C$106,$B32,'事件與限制'!$E$7:$E$106,$D32,'事件與限制'!$Q$7:$Q$106,"生效中")&gt;0,"資格限制中",IF($F32&lt;&gt;"已核定","先完成基準核定",IF($K32&gt;0,"有關鍵遺漏，先檢討",IF($G32&lt;3,"尚缺成功觀察",IF($J32&lt;2,"觀察日期不足",IF($L32&lt;1,"待兩個月面談","可送主管核定")))))))</x:f>
        <x:v>不適用</x:v>
      </x:c>
      <x:c r="N32" s="116" t="str">
        <x:v>待核定</x:v>
      </x:c>
      <x:c r="O32" s="118"/>
      <x:c r="P32" s="116"/>
      <x:c r="Q32" s="116"/>
      <x:c r="R32" s="115" t="str">
        <x:f>IF($M32&lt;&gt;"可送主管核定","尚未具備條件",IF($N32="不升級","維持原評等",IF($N32="核定升級",IF(OR($O32="",$P32=""),"核定資料未完整","已核定升級"),"待主管核定")))</x:f>
        <x:v>尚未具備條件</x:v>
      </x:c>
    </x:row>
    <x:row r="33">
      <x:c r="A33" s="79" t="str">
        <x:v>UPG|1004|LJT-PREP-PERIOSURG</x:v>
      </x:c>
      <x:c r="B33" s="79" t="str">
        <x:v>1004</x:v>
      </x:c>
      <x:c r="C33" s="79" t="str"/>
      <x:c r="D33" s="79" t="str">
        <x:v>LJT-PREP-PERIOSURG</x:v>
      </x:c>
      <x:c r="E33" s="79" t="str">
        <x:v>◎</x:v>
      </x:c>
      <x:c r="F33" s="115" t="str">
        <x:f>IF($E33="未評估","未建立",_xlfn.XLOOKUP("ABIL|1004|LJT-PREP-PERIOSURG",'主管核定中心'!$A$12:$A$372,'主管核定中心'!$K$12:$K$372,"待主管核定",0))</x:f>
        <x:v>待主管核定</x:v>
      </x:c>
      <x:c r="G33" s="115" t="n">
        <x:f>COUNTIFS('工作觀察輸入'!$C$7:$C$206,$B33,'工作觀察輸入'!$G$7:$G$206,$D33,'工作觀察輸入'!$M$7:$M$206,"是")</x:f>
        <x:v>0</x:v>
      </x:c>
      <x:c r="H33" s="117" t="str">
        <x:f>IF($G33=0,"",_xlfn.MINIFS('工作觀察輸入'!$B$7:$B$206,'工作觀察輸入'!$C$7:$C$206,$B33,'工作觀察輸入'!$G$7:$G$206,$D33,'工作觀察輸入'!$M$7:$M$206,"是"))</x:f>
      </x:c>
      <x:c r="I33" s="117" t="str">
        <x:f>IF($G33=0,"",_xlfn.MAXIFS('工作觀察輸入'!$B$7:$B$206,'工作觀察輸入'!$C$7:$C$206,$B33,'工作觀察輸入'!$G$7:$G$206,$D33,'工作觀察輸入'!$M$7:$M$206,"是"))</x:f>
      </x:c>
      <x:c r="J33" s="115" t="n">
        <x:f>IF($G33=0,0,IF($H33=$I33,1,2))</x:f>
        <x:v>0</x:v>
      </x:c>
      <x:c r="K33" s="115" t="n">
        <x:f>COUNTIFS('工作觀察輸入'!$C$7:$C$206,$B33,'工作觀察輸入'!$G$7:$G$206,$D33,'工作觀察輸入'!$J$7:$J$206,"是")</x:f>
        <x:v>0</x:v>
      </x:c>
      <x:c r="L33" s="115" t="n">
        <x:f>COUNTIFS('面談與異議'!$C$7:$C$106,$B33,'面談與異議'!$F$7:$F$106,$D33,'面談與異議'!$E$7:$E$106,"兩個月面談")</x:f>
        <x:v>0</x:v>
      </x:c>
      <x:c r="M33" s="115" t="str">
        <x:f>IF($E33&lt;&gt;"Ø","不適用",IF(COUNTIFS('事件與限制'!$C$7:$C$106,$B33,'事件與限制'!$E$7:$E$106,$D33,'事件與限制'!$Q$7:$Q$106,"生效中")&gt;0,"資格限制中",IF($F33&lt;&gt;"已核定","先完成基準核定",IF($K33&gt;0,"有關鍵遺漏，先檢討",IF($G33&lt;3,"尚缺成功觀察",IF($J33&lt;2,"觀察日期不足",IF($L33&lt;1,"待兩個月面談","可送主管核定")))))))</x:f>
        <x:v>不適用</x:v>
      </x:c>
      <x:c r="N33" s="116" t="str">
        <x:v>待核定</x:v>
      </x:c>
      <x:c r="O33" s="118"/>
      <x:c r="P33" s="116"/>
      <x:c r="Q33" s="116"/>
      <x:c r="R33" s="115" t="str">
        <x:f>IF($M33&lt;&gt;"可送主管核定","尚未具備條件",IF($N33="不升級","維持原評等",IF($N33="核定升級",IF(OR($O33="",$P33=""),"核定資料未完整","已核定升級"),"待主管核定")))</x:f>
        <x:v>尚未具備條件</x:v>
      </x:c>
    </x:row>
    <x:row r="34">
      <x:c r="A34" s="79" t="str">
        <x:v>UPG|1004|LJT-PREP-MICROENDO</x:v>
      </x:c>
      <x:c r="B34" s="79" t="str">
        <x:v>1004</x:v>
      </x:c>
      <x:c r="C34" s="79" t="str"/>
      <x:c r="D34" s="79" t="str">
        <x:v>LJT-PREP-MICROENDO</x:v>
      </x:c>
      <x:c r="E34" s="79" t="str">
        <x:v>◎</x:v>
      </x:c>
      <x:c r="F34" s="115" t="str">
        <x:f>IF($E34="未評估","未建立",_xlfn.XLOOKUP("ABIL|1004|LJT-PREP-MICROENDO",'主管核定中心'!$A$12:$A$372,'主管核定中心'!$K$12:$K$372,"待主管核定",0))</x:f>
        <x:v>待主管核定</x:v>
      </x:c>
      <x:c r="G34" s="115" t="n">
        <x:f>COUNTIFS('工作觀察輸入'!$C$7:$C$206,$B34,'工作觀察輸入'!$G$7:$G$206,$D34,'工作觀察輸入'!$M$7:$M$206,"是")</x:f>
        <x:v>0</x:v>
      </x:c>
      <x:c r="H34" s="117" t="str">
        <x:f>IF($G34=0,"",_xlfn.MINIFS('工作觀察輸入'!$B$7:$B$206,'工作觀察輸入'!$C$7:$C$206,$B34,'工作觀察輸入'!$G$7:$G$206,$D34,'工作觀察輸入'!$M$7:$M$206,"是"))</x:f>
      </x:c>
      <x:c r="I34" s="117" t="str">
        <x:f>IF($G34=0,"",_xlfn.MAXIFS('工作觀察輸入'!$B$7:$B$206,'工作觀察輸入'!$C$7:$C$206,$B34,'工作觀察輸入'!$G$7:$G$206,$D34,'工作觀察輸入'!$M$7:$M$206,"是"))</x:f>
      </x:c>
      <x:c r="J34" s="115" t="n">
        <x:f>IF($G34=0,0,IF($H34=$I34,1,2))</x:f>
        <x:v>0</x:v>
      </x:c>
      <x:c r="K34" s="115" t="n">
        <x:f>COUNTIFS('工作觀察輸入'!$C$7:$C$206,$B34,'工作觀察輸入'!$G$7:$G$206,$D34,'工作觀察輸入'!$J$7:$J$206,"是")</x:f>
        <x:v>0</x:v>
      </x:c>
      <x:c r="L34" s="115" t="n">
        <x:f>COUNTIFS('面談與異議'!$C$7:$C$106,$B34,'面談與異議'!$F$7:$F$106,$D34,'面談與異議'!$E$7:$E$106,"兩個月面談")</x:f>
        <x:v>0</x:v>
      </x:c>
      <x:c r="M34" s="115" t="str">
        <x:f>IF($E34&lt;&gt;"Ø","不適用",IF(COUNTIFS('事件與限制'!$C$7:$C$106,$B34,'事件與限制'!$E$7:$E$106,$D34,'事件與限制'!$Q$7:$Q$106,"生效中")&gt;0,"資格限制中",IF($F34&lt;&gt;"已核定","先完成基準核定",IF($K34&gt;0,"有關鍵遺漏，先檢討",IF($G34&lt;3,"尚缺成功觀察",IF($J34&lt;2,"觀察日期不足",IF($L34&lt;1,"待兩個月面談","可送主管核定")))))))</x:f>
        <x:v>不適用</x:v>
      </x:c>
      <x:c r="N34" s="116" t="str">
        <x:v>待核定</x:v>
      </x:c>
      <x:c r="O34" s="118"/>
      <x:c r="P34" s="116"/>
      <x:c r="Q34" s="116"/>
      <x:c r="R34" s="115" t="str">
        <x:f>IF($M34&lt;&gt;"可送主管核定","尚未具備條件",IF($N34="不升級","維持原評等",IF($N34="核定升級",IF(OR($O34="",$P34=""),"核定資料未完整","已核定升級"),"待主管核定")))</x:f>
        <x:v>尚未具備條件</x:v>
      </x:c>
    </x:row>
    <x:row r="35">
      <x:c r="A35" s="79" t="str">
        <x:v>UPG|1004|LJT-PREP-IMPLANT</x:v>
      </x:c>
      <x:c r="B35" s="79" t="str">
        <x:v>1004</x:v>
      </x:c>
      <x:c r="C35" s="79" t="str"/>
      <x:c r="D35" s="79" t="str">
        <x:v>LJT-PREP-IMPLANT</x:v>
      </x:c>
      <x:c r="E35" s="79" t="str">
        <x:v>◎</x:v>
      </x:c>
      <x:c r="F35" s="115" t="str">
        <x:f>IF($E35="未評估","未建立",_xlfn.XLOOKUP("ABIL|1004|LJT-PREP-IMPLANT",'主管核定中心'!$A$12:$A$372,'主管核定中心'!$K$12:$K$372,"待主管核定",0))</x:f>
        <x:v>待主管核定</x:v>
      </x:c>
      <x:c r="G35" s="115" t="n">
        <x:f>COUNTIFS('工作觀察輸入'!$C$7:$C$206,$B35,'工作觀察輸入'!$G$7:$G$206,$D35,'工作觀察輸入'!$M$7:$M$206,"是")</x:f>
        <x:v>0</x:v>
      </x:c>
      <x:c r="H35" s="117" t="str">
        <x:f>IF($G35=0,"",_xlfn.MINIFS('工作觀察輸入'!$B$7:$B$206,'工作觀察輸入'!$C$7:$C$206,$B35,'工作觀察輸入'!$G$7:$G$206,$D35,'工作觀察輸入'!$M$7:$M$206,"是"))</x:f>
      </x:c>
      <x:c r="I35" s="117" t="str">
        <x:f>IF($G35=0,"",_xlfn.MAXIFS('工作觀察輸入'!$B$7:$B$206,'工作觀察輸入'!$C$7:$C$206,$B35,'工作觀察輸入'!$G$7:$G$206,$D35,'工作觀察輸入'!$M$7:$M$206,"是"))</x:f>
      </x:c>
      <x:c r="J35" s="115" t="n">
        <x:f>IF($G35=0,0,IF($H35=$I35,1,2))</x:f>
        <x:v>0</x:v>
      </x:c>
      <x:c r="K35" s="115" t="n">
        <x:f>COUNTIFS('工作觀察輸入'!$C$7:$C$206,$B35,'工作觀察輸入'!$G$7:$G$206,$D35,'工作觀察輸入'!$J$7:$J$206,"是")</x:f>
        <x:v>0</x:v>
      </x:c>
      <x:c r="L35" s="115" t="n">
        <x:f>COUNTIFS('面談與異議'!$C$7:$C$106,$B35,'面談與異議'!$F$7:$F$106,$D35,'面談與異議'!$E$7:$E$106,"兩個月面談")</x:f>
        <x:v>0</x:v>
      </x:c>
      <x:c r="M35" s="115" t="str">
        <x:f>IF($E35&lt;&gt;"Ø","不適用",IF(COUNTIFS('事件與限制'!$C$7:$C$106,$B35,'事件與限制'!$E$7:$E$106,$D35,'事件與限制'!$Q$7:$Q$106,"生效中")&gt;0,"資格限制中",IF($F35&lt;&gt;"已核定","先完成基準核定",IF($K35&gt;0,"有關鍵遺漏，先檢討",IF($G35&lt;3,"尚缺成功觀察",IF($J35&lt;2,"觀察日期不足",IF($L35&lt;1,"待兩個月面談","可送主管核定")))))))</x:f>
        <x:v>不適用</x:v>
      </x:c>
      <x:c r="N35" s="116" t="str">
        <x:v>待核定</x:v>
      </x:c>
      <x:c r="O35" s="118"/>
      <x:c r="P35" s="116"/>
      <x:c r="Q35" s="116"/>
      <x:c r="R35" s="115" t="str">
        <x:f>IF($M35&lt;&gt;"可送主管核定","尚未具備條件",IF($N35="不升級","維持原評等",IF($N35="核定升級",IF(OR($O35="",$P35=""),"核定資料未完整","已核定升級"),"待主管核定")))</x:f>
        <x:v>尚未具備條件</x:v>
      </x:c>
    </x:row>
    <x:row r="36">
      <x:c r="A36" s="79" t="str">
        <x:v>UPG|1004|COMMON-RECORD</x:v>
      </x:c>
      <x:c r="B36" s="79" t="str">
        <x:v>1004</x:v>
      </x:c>
      <x:c r="C36" s="79" t="str"/>
      <x:c r="D36" s="79" t="str">
        <x:v>COMMON-RECORD</x:v>
      </x:c>
      <x:c r="E36" s="79" t="str">
        <x:v>◎</x:v>
      </x:c>
      <x:c r="F36" s="115" t="str">
        <x:f>IF($E36="未評估","未建立",_xlfn.XLOOKUP("ABIL|1004|COMMON-RECORD",'主管核定中心'!$A$12:$A$372,'主管核定中心'!$K$12:$K$372,"待主管核定",0))</x:f>
        <x:v>待主管核定</x:v>
      </x:c>
      <x:c r="G36" s="115" t="n">
        <x:f>COUNTIFS('工作觀察輸入'!$C$7:$C$206,$B36,'工作觀察輸入'!$G$7:$G$206,$D36,'工作觀察輸入'!$M$7:$M$206,"是")</x:f>
        <x:v>0</x:v>
      </x:c>
      <x:c r="H36" s="117" t="str">
        <x:f>IF($G36=0,"",_xlfn.MINIFS('工作觀察輸入'!$B$7:$B$206,'工作觀察輸入'!$C$7:$C$206,$B36,'工作觀察輸入'!$G$7:$G$206,$D36,'工作觀察輸入'!$M$7:$M$206,"是"))</x:f>
      </x:c>
      <x:c r="I36" s="117" t="str">
        <x:f>IF($G36=0,"",_xlfn.MAXIFS('工作觀察輸入'!$B$7:$B$206,'工作觀察輸入'!$C$7:$C$206,$B36,'工作觀察輸入'!$G$7:$G$206,$D36,'工作觀察輸入'!$M$7:$M$206,"是"))</x:f>
      </x:c>
      <x:c r="J36" s="115" t="n">
        <x:f>IF($G36=0,0,IF($H36=$I36,1,2))</x:f>
        <x:v>0</x:v>
      </x:c>
      <x:c r="K36" s="115" t="n">
        <x:f>COUNTIFS('工作觀察輸入'!$C$7:$C$206,$B36,'工作觀察輸入'!$G$7:$G$206,$D36,'工作觀察輸入'!$J$7:$J$206,"是")</x:f>
        <x:v>0</x:v>
      </x:c>
      <x:c r="L36" s="115" t="n">
        <x:f>COUNTIFS('面談與異議'!$C$7:$C$106,$B36,'面談與異議'!$F$7:$F$106,$D36,'面談與異議'!$E$7:$E$106,"兩個月面談")</x:f>
        <x:v>0</x:v>
      </x:c>
      <x:c r="M36" s="115" t="str">
        <x:f>IF($E36&lt;&gt;"Ø","不適用",IF(COUNTIFS('事件與限制'!$C$7:$C$106,$B36,'事件與限制'!$E$7:$E$106,$D36,'事件與限制'!$Q$7:$Q$106,"生效中")&gt;0,"資格限制中",IF($F36&lt;&gt;"已核定","先完成基準核定",IF($K36&gt;0,"有關鍵遺漏，先檢討",IF($G36&lt;3,"尚缺成功觀察",IF($J36&lt;2,"觀察日期不足",IF($L36&lt;1,"待兩個月面談","可送主管核定")))))))</x:f>
        <x:v>不適用</x:v>
      </x:c>
      <x:c r="N36" s="116" t="str">
        <x:v>待核定</x:v>
      </x:c>
      <x:c r="O36" s="118"/>
      <x:c r="P36" s="116"/>
      <x:c r="Q36" s="116"/>
      <x:c r="R36" s="115" t="str">
        <x:f>IF($M36&lt;&gt;"可送主管核定","尚未具備條件",IF($N36="不升級","維持原評等",IF($N36="核定升級",IF(OR($O36="",$P36=""),"核定資料未完整","已核定升級"),"待主管核定")))</x:f>
        <x:v>尚未具備條件</x:v>
      </x:c>
    </x:row>
    <x:row r="37">
      <x:c r="A37" s="79" t="str">
        <x:v>UPG|1004|COMMON-INSURANCE</x:v>
      </x:c>
      <x:c r="B37" s="79" t="str">
        <x:v>1004</x:v>
      </x:c>
      <x:c r="C37" s="79" t="str"/>
      <x:c r="D37" s="79" t="str">
        <x:v>COMMON-INSURANCE</x:v>
      </x:c>
      <x:c r="E37" s="79" t="str">
        <x:v>◎</x:v>
      </x:c>
      <x:c r="F37" s="115" t="str">
        <x:f>IF($E37="未評估","未建立",_xlfn.XLOOKUP("ABIL|1004|COMMON-INSURANCE",'主管核定中心'!$A$12:$A$372,'主管核定中心'!$K$12:$K$372,"待主管核定",0))</x:f>
        <x:v>待主管核定</x:v>
      </x:c>
      <x:c r="G37" s="115" t="n">
        <x:f>COUNTIFS('工作觀察輸入'!$C$7:$C$206,$B37,'工作觀察輸入'!$G$7:$G$206,$D37,'工作觀察輸入'!$M$7:$M$206,"是")</x:f>
        <x:v>0</x:v>
      </x:c>
      <x:c r="H37" s="117" t="str">
        <x:f>IF($G37=0,"",_xlfn.MINIFS('工作觀察輸入'!$B$7:$B$206,'工作觀察輸入'!$C$7:$C$206,$B37,'工作觀察輸入'!$G$7:$G$206,$D37,'工作觀察輸入'!$M$7:$M$206,"是"))</x:f>
      </x:c>
      <x:c r="I37" s="117" t="str">
        <x:f>IF($G37=0,"",_xlfn.MAXIFS('工作觀察輸入'!$B$7:$B$206,'工作觀察輸入'!$C$7:$C$206,$B37,'工作觀察輸入'!$G$7:$G$206,$D37,'工作觀察輸入'!$M$7:$M$206,"是"))</x:f>
      </x:c>
      <x:c r="J37" s="115" t="n">
        <x:f>IF($G37=0,0,IF($H37=$I37,1,2))</x:f>
        <x:v>0</x:v>
      </x:c>
      <x:c r="K37" s="115" t="n">
        <x:f>COUNTIFS('工作觀察輸入'!$C$7:$C$206,$B37,'工作觀察輸入'!$G$7:$G$206,$D37,'工作觀察輸入'!$J$7:$J$206,"是")</x:f>
        <x:v>0</x:v>
      </x:c>
      <x:c r="L37" s="115" t="n">
        <x:f>COUNTIFS('面談與異議'!$C$7:$C$106,$B37,'面談與異議'!$F$7:$F$106,$D37,'面談與異議'!$E$7:$E$106,"兩個月面談")</x:f>
        <x:v>0</x:v>
      </x:c>
      <x:c r="M37" s="115" t="str">
        <x:f>IF($E37&lt;&gt;"Ø","不適用",IF(COUNTIFS('事件與限制'!$C$7:$C$106,$B37,'事件與限制'!$E$7:$E$106,$D37,'事件與限制'!$Q$7:$Q$106,"生效中")&gt;0,"資格限制中",IF($F37&lt;&gt;"已核定","先完成基準核定",IF($K37&gt;0,"有關鍵遺漏，先檢討",IF($G37&lt;3,"尚缺成功觀察",IF($J37&lt;2,"觀察日期不足",IF($L37&lt;1,"待兩個月面談","可送主管核定")))))))</x:f>
        <x:v>不適用</x:v>
      </x:c>
      <x:c r="N37" s="116" t="str">
        <x:v>待核定</x:v>
      </x:c>
      <x:c r="O37" s="118"/>
      <x:c r="P37" s="116"/>
      <x:c r="Q37" s="116"/>
      <x:c r="R37" s="115" t="str">
        <x:f>IF($M37&lt;&gt;"可送主管核定","尚未具備條件",IF($N37="不升級","維持原評等",IF($N37="核定升級",IF(OR($O37="",$P37=""),"核定資料未完整","已核定升級"),"待主管核定")))</x:f>
        <x:v>尚未具備條件</x:v>
      </x:c>
    </x:row>
    <x:row r="38">
      <x:c r="A38" s="79" t="str">
        <x:v>UPG|1004|COMMON-XRAY-RECORD</x:v>
      </x:c>
      <x:c r="B38" s="79" t="str">
        <x:v>1004</x:v>
      </x:c>
      <x:c r="C38" s="79" t="str"/>
      <x:c r="D38" s="79" t="str">
        <x:v>COMMON-XRAY-RECORD</x:v>
      </x:c>
      <x:c r="E38" s="79" t="str">
        <x:v>◎</x:v>
      </x:c>
      <x:c r="F38" s="115" t="str">
        <x:f>IF($E38="未評估","未建立",_xlfn.XLOOKUP("ABIL|1004|COMMON-XRAY-RECORD",'主管核定中心'!$A$12:$A$372,'主管核定中心'!$K$12:$K$372,"待主管核定",0))</x:f>
        <x:v>待主管核定</x:v>
      </x:c>
      <x:c r="G38" s="115" t="n">
        <x:f>COUNTIFS('工作觀察輸入'!$C$7:$C$206,$B38,'工作觀察輸入'!$G$7:$G$206,$D38,'工作觀察輸入'!$M$7:$M$206,"是")</x:f>
        <x:v>0</x:v>
      </x:c>
      <x:c r="H38" s="117" t="str">
        <x:f>IF($G38=0,"",_xlfn.MINIFS('工作觀察輸入'!$B$7:$B$206,'工作觀察輸入'!$C$7:$C$206,$B38,'工作觀察輸入'!$G$7:$G$206,$D38,'工作觀察輸入'!$M$7:$M$206,"是"))</x:f>
      </x:c>
      <x:c r="I38" s="117" t="str">
        <x:f>IF($G38=0,"",_xlfn.MAXIFS('工作觀察輸入'!$B$7:$B$206,'工作觀察輸入'!$C$7:$C$206,$B38,'工作觀察輸入'!$G$7:$G$206,$D38,'工作觀察輸入'!$M$7:$M$206,"是"))</x:f>
      </x:c>
      <x:c r="J38" s="115" t="n">
        <x:f>IF($G38=0,0,IF($H38=$I38,1,2))</x:f>
        <x:v>0</x:v>
      </x:c>
      <x:c r="K38" s="115" t="n">
        <x:f>COUNTIFS('工作觀察輸入'!$C$7:$C$206,$B38,'工作觀察輸入'!$G$7:$G$206,$D38,'工作觀察輸入'!$J$7:$J$206,"是")</x:f>
        <x:v>0</x:v>
      </x:c>
      <x:c r="L38" s="115" t="n">
        <x:f>COUNTIFS('面談與異議'!$C$7:$C$106,$B38,'面談與異議'!$F$7:$F$106,$D38,'面談與異議'!$E$7:$E$106,"兩個月面談")</x:f>
        <x:v>0</x:v>
      </x:c>
      <x:c r="M38" s="115" t="str">
        <x:f>IF($E38&lt;&gt;"Ø","不適用",IF(COUNTIFS('事件與限制'!$C$7:$C$106,$B38,'事件與限制'!$E$7:$E$106,$D38,'事件與限制'!$Q$7:$Q$106,"生效中")&gt;0,"資格限制中",IF($F38&lt;&gt;"已核定","先完成基準核定",IF($K38&gt;0,"有關鍵遺漏，先檢討",IF($G38&lt;3,"尚缺成功觀察",IF($J38&lt;2,"觀察日期不足",IF($L38&lt;1,"待兩個月面談","可送主管核定")))))))</x:f>
        <x:v>不適用</x:v>
      </x:c>
      <x:c r="N38" s="116" t="str">
        <x:v>待核定</x:v>
      </x:c>
      <x:c r="O38" s="118"/>
      <x:c r="P38" s="116"/>
      <x:c r="Q38" s="116"/>
      <x:c r="R38" s="115" t="str">
        <x:f>IF($M38&lt;&gt;"可送主管核定","尚未具備條件",IF($N38="不升級","維持原評等",IF($N38="核定升級",IF(OR($O38="",$P38=""),"核定資料未完整","已核定升級"),"待主管核定")))</x:f>
        <x:v>尚未具備條件</x:v>
      </x:c>
    </x:row>
    <x:row r="39">
      <x:c r="A39" s="79" t="str">
        <x:v>UPG|1004|COMMON-PA</x:v>
      </x:c>
      <x:c r="B39" s="79" t="str">
        <x:v>1004</x:v>
      </x:c>
      <x:c r="C39" s="79" t="str"/>
      <x:c r="D39" s="79" t="str">
        <x:v>COMMON-PA</x:v>
      </x:c>
      <x:c r="E39" s="79" t="str">
        <x:v>◎</x:v>
      </x:c>
      <x:c r="F39" s="115" t="str">
        <x:f>IF($E39="未評估","未建立",_xlfn.XLOOKUP("ABIL|1004|COMMON-PA",'主管核定中心'!$A$12:$A$372,'主管核定中心'!$K$12:$K$372,"待主管核定",0))</x:f>
        <x:v>待主管核定</x:v>
      </x:c>
      <x:c r="G39" s="115" t="n">
        <x:f>COUNTIFS('工作觀察輸入'!$C$7:$C$206,$B39,'工作觀察輸入'!$G$7:$G$206,$D39,'工作觀察輸入'!$M$7:$M$206,"是")</x:f>
        <x:v>0</x:v>
      </x:c>
      <x:c r="H39" s="117" t="str">
        <x:f>IF($G39=0,"",_xlfn.MINIFS('工作觀察輸入'!$B$7:$B$206,'工作觀察輸入'!$C$7:$C$206,$B39,'工作觀察輸入'!$G$7:$G$206,$D39,'工作觀察輸入'!$M$7:$M$206,"是"))</x:f>
      </x:c>
      <x:c r="I39" s="117" t="str">
        <x:f>IF($G39=0,"",_xlfn.MAXIFS('工作觀察輸入'!$B$7:$B$206,'工作觀察輸入'!$C$7:$C$206,$B39,'工作觀察輸入'!$G$7:$G$206,$D39,'工作觀察輸入'!$M$7:$M$206,"是"))</x:f>
      </x:c>
      <x:c r="J39" s="115" t="n">
        <x:f>IF($G39=0,0,IF($H39=$I39,1,2))</x:f>
        <x:v>0</x:v>
      </x:c>
      <x:c r="K39" s="115" t="n">
        <x:f>COUNTIFS('工作觀察輸入'!$C$7:$C$206,$B39,'工作觀察輸入'!$G$7:$G$206,$D39,'工作觀察輸入'!$J$7:$J$206,"是")</x:f>
        <x:v>0</x:v>
      </x:c>
      <x:c r="L39" s="115" t="n">
        <x:f>COUNTIFS('面談與異議'!$C$7:$C$106,$B39,'面談與異議'!$F$7:$F$106,$D39,'面談與異議'!$E$7:$E$106,"兩個月面談")</x:f>
        <x:v>0</x:v>
      </x:c>
      <x:c r="M39" s="115" t="str">
        <x:f>IF($E39&lt;&gt;"Ø","不適用",IF(COUNTIFS('事件與限制'!$C$7:$C$106,$B39,'事件與限制'!$E$7:$E$106,$D39,'事件與限制'!$Q$7:$Q$106,"生效中")&gt;0,"資格限制中",IF($F39&lt;&gt;"已核定","先完成基準核定",IF($K39&gt;0,"有關鍵遺漏，先檢討",IF($G39&lt;3,"尚缺成功觀察",IF($J39&lt;2,"觀察日期不足",IF($L39&lt;1,"待兩個月面談","可送主管核定")))))))</x:f>
        <x:v>不適用</x:v>
      </x:c>
      <x:c r="N39" s="116" t="str">
        <x:v>待核定</x:v>
      </x:c>
      <x:c r="O39" s="118"/>
      <x:c r="P39" s="116"/>
      <x:c r="Q39" s="116"/>
      <x:c r="R39" s="115" t="str">
        <x:f>IF($M39&lt;&gt;"可送主管核定","尚未具備條件",IF($N39="不升級","維持原評等",IF($N39="核定升級",IF(OR($O39="",$P39=""),"核定資料未完整","已核定升級"),"待主管核定")))</x:f>
        <x:v>尚未具備條件</x:v>
      </x:c>
    </x:row>
    <x:row r="40">
      <x:c r="A40" s="79" t="str">
        <x:v>UPG|1004|COMMON-IOS</x:v>
      </x:c>
      <x:c r="B40" s="79" t="str">
        <x:v>1004</x:v>
      </x:c>
      <x:c r="C40" s="79" t="str"/>
      <x:c r="D40" s="79" t="str">
        <x:v>COMMON-IOS</x:v>
      </x:c>
      <x:c r="E40" s="79" t="str">
        <x:v>◎</x:v>
      </x:c>
      <x:c r="F40" s="115" t="str">
        <x:f>IF($E40="未評估","未建立",_xlfn.XLOOKUP("ABIL|1004|COMMON-IOS",'主管核定中心'!$A$12:$A$372,'主管核定中心'!$K$12:$K$372,"待主管核定",0))</x:f>
        <x:v>待主管核定</x:v>
      </x:c>
      <x:c r="G40" s="115" t="n">
        <x:f>COUNTIFS('工作觀察輸入'!$C$7:$C$206,$B40,'工作觀察輸入'!$G$7:$G$206,$D40,'工作觀察輸入'!$M$7:$M$206,"是")</x:f>
        <x:v>0</x:v>
      </x:c>
      <x:c r="H40" s="117" t="str">
        <x:f>IF($G40=0,"",_xlfn.MINIFS('工作觀察輸入'!$B$7:$B$206,'工作觀察輸入'!$C$7:$C$206,$B40,'工作觀察輸入'!$G$7:$G$206,$D40,'工作觀察輸入'!$M$7:$M$206,"是"))</x:f>
      </x:c>
      <x:c r="I40" s="117" t="str">
        <x:f>IF($G40=0,"",_xlfn.MAXIFS('工作觀察輸入'!$B$7:$B$206,'工作觀察輸入'!$C$7:$C$206,$B40,'工作觀察輸入'!$G$7:$G$206,$D40,'工作觀察輸入'!$M$7:$M$206,"是"))</x:f>
      </x:c>
      <x:c r="J40" s="115" t="n">
        <x:f>IF($G40=0,0,IF($H40=$I40,1,2))</x:f>
        <x:v>0</x:v>
      </x:c>
      <x:c r="K40" s="115" t="n">
        <x:f>COUNTIFS('工作觀察輸入'!$C$7:$C$206,$B40,'工作觀察輸入'!$G$7:$G$206,$D40,'工作觀察輸入'!$J$7:$J$206,"是")</x:f>
        <x:v>0</x:v>
      </x:c>
      <x:c r="L40" s="115" t="n">
        <x:f>COUNTIFS('面談與異議'!$C$7:$C$106,$B40,'面談與異議'!$F$7:$F$106,$D40,'面談與異議'!$E$7:$E$106,"兩個月面談")</x:f>
        <x:v>0</x:v>
      </x:c>
      <x:c r="M40" s="115" t="str">
        <x:f>IF($E40&lt;&gt;"Ø","不適用",IF(COUNTIFS('事件與限制'!$C$7:$C$106,$B40,'事件與限制'!$E$7:$E$106,$D40,'事件與限制'!$Q$7:$Q$106,"生效中")&gt;0,"資格限制中",IF($F40&lt;&gt;"已核定","先完成基準核定",IF($K40&gt;0,"有關鍵遺漏，先檢討",IF($G40&lt;3,"尚缺成功觀察",IF($J40&lt;2,"觀察日期不足",IF($L40&lt;1,"待兩個月面談","可送主管核定")))))))</x:f>
        <x:v>不適用</x:v>
      </x:c>
      <x:c r="N40" s="116" t="str">
        <x:v>待核定</x:v>
      </x:c>
      <x:c r="O40" s="118"/>
      <x:c r="P40" s="116"/>
      <x:c r="Q40" s="116"/>
      <x:c r="R40" s="115" t="str">
        <x:f>IF($M40&lt;&gt;"可送主管核定","尚未具備條件",IF($N40="不升級","維持原評等",IF($N40="核定升級",IF(OR($O40="",$P40=""),"核定資料未完整","已核定升級"),"待主管核定")))</x:f>
        <x:v>尚未具備條件</x:v>
      </x:c>
    </x:row>
    <x:row r="41">
      <x:c r="A41" s="79" t="str">
        <x:v>UPG|1013|LJT-PREP-SCALING</x:v>
      </x:c>
      <x:c r="B41" s="79" t="str">
        <x:v>1013</x:v>
      </x:c>
      <x:c r="C41" s="79" t="str"/>
      <x:c r="D41" s="79" t="str">
        <x:v>LJT-PREP-SCALING</x:v>
      </x:c>
      <x:c r="E41" s="79" t="str">
        <x:v>◎</x:v>
      </x:c>
      <x:c r="F41" s="115" t="str">
        <x:f>IF($E41="未評估","未建立",_xlfn.XLOOKUP("ABIL|1013|LJT-PREP-SCALING",'主管核定中心'!$A$12:$A$372,'主管核定中心'!$K$12:$K$372,"待主管核定",0))</x:f>
        <x:v>待主管核定</x:v>
      </x:c>
      <x:c r="G41" s="115" t="n">
        <x:f>COUNTIFS('工作觀察輸入'!$C$7:$C$206,$B41,'工作觀察輸入'!$G$7:$G$206,$D41,'工作觀察輸入'!$M$7:$M$206,"是")</x:f>
        <x:v>0</x:v>
      </x:c>
      <x:c r="H41" s="117" t="str">
        <x:f>IF($G41=0,"",_xlfn.MINIFS('工作觀察輸入'!$B$7:$B$206,'工作觀察輸入'!$C$7:$C$206,$B41,'工作觀察輸入'!$G$7:$G$206,$D41,'工作觀察輸入'!$M$7:$M$206,"是"))</x:f>
      </x:c>
      <x:c r="I41" s="117" t="str">
        <x:f>IF($G41=0,"",_xlfn.MAXIFS('工作觀察輸入'!$B$7:$B$206,'工作觀察輸入'!$C$7:$C$206,$B41,'工作觀察輸入'!$G$7:$G$206,$D41,'工作觀察輸入'!$M$7:$M$206,"是"))</x:f>
      </x:c>
      <x:c r="J41" s="115" t="n">
        <x:f>IF($G41=0,0,IF($H41=$I41,1,2))</x:f>
        <x:v>0</x:v>
      </x:c>
      <x:c r="K41" s="115" t="n">
        <x:f>COUNTIFS('工作觀察輸入'!$C$7:$C$206,$B41,'工作觀察輸入'!$G$7:$G$206,$D41,'工作觀察輸入'!$J$7:$J$206,"是")</x:f>
        <x:v>0</x:v>
      </x:c>
      <x:c r="L41" s="115" t="n">
        <x:f>COUNTIFS('面談與異議'!$C$7:$C$106,$B41,'面談與異議'!$F$7:$F$106,$D41,'面談與異議'!$E$7:$E$106,"兩個月面談")</x:f>
        <x:v>0</x:v>
      </x:c>
      <x:c r="M41" s="115" t="str">
        <x:f>IF($E41&lt;&gt;"Ø","不適用",IF(COUNTIFS('事件與限制'!$C$7:$C$106,$B41,'事件與限制'!$E$7:$E$106,$D41,'事件與限制'!$Q$7:$Q$106,"生效中")&gt;0,"資格限制中",IF($F41&lt;&gt;"已核定","先完成基準核定",IF($K41&gt;0,"有關鍵遺漏，先檢討",IF($G41&lt;3,"尚缺成功觀察",IF($J41&lt;2,"觀察日期不足",IF($L41&lt;1,"待兩個月面談","可送主管核定")))))))</x:f>
        <x:v>不適用</x:v>
      </x:c>
      <x:c r="N41" s="116" t="str">
        <x:v>待核定</x:v>
      </x:c>
      <x:c r="O41" s="118"/>
      <x:c r="P41" s="116"/>
      <x:c r="Q41" s="116"/>
      <x:c r="R41" s="115" t="str">
        <x:f>IF($M41&lt;&gt;"可送主管核定","尚未具備條件",IF($N41="不升級","維持原評等",IF($N41="核定升級",IF(OR($O41="",$P41=""),"核定資料未完整","已核定升級"),"待主管核定")))</x:f>
        <x:v>尚未具備條件</x:v>
      </x:c>
    </x:row>
    <x:row r="42">
      <x:c r="A42" s="79" t="str">
        <x:v>UPG|1013|LJT-PREP-FILLING</x:v>
      </x:c>
      <x:c r="B42" s="79" t="str">
        <x:v>1013</x:v>
      </x:c>
      <x:c r="C42" s="79" t="str"/>
      <x:c r="D42" s="79" t="str">
        <x:v>LJT-PREP-FILLING</x:v>
      </x:c>
      <x:c r="E42" s="79" t="str">
        <x:v>◎</x:v>
      </x:c>
      <x:c r="F42" s="115" t="str">
        <x:f>IF($E42="未評估","未建立",_xlfn.XLOOKUP("ABIL|1013|LJT-PREP-FILLING",'主管核定中心'!$A$12:$A$372,'主管核定中心'!$K$12:$K$372,"待主管核定",0))</x:f>
        <x:v>待主管核定</x:v>
      </x:c>
      <x:c r="G42" s="115" t="n">
        <x:f>COUNTIFS('工作觀察輸入'!$C$7:$C$206,$B42,'工作觀察輸入'!$G$7:$G$206,$D42,'工作觀察輸入'!$M$7:$M$206,"是")</x:f>
        <x:v>0</x:v>
      </x:c>
      <x:c r="H42" s="117" t="str">
        <x:f>IF($G42=0,"",_xlfn.MINIFS('工作觀察輸入'!$B$7:$B$206,'工作觀察輸入'!$C$7:$C$206,$B42,'工作觀察輸入'!$G$7:$G$206,$D42,'工作觀察輸入'!$M$7:$M$206,"是"))</x:f>
      </x:c>
      <x:c r="I42" s="117" t="str">
        <x:f>IF($G42=0,"",_xlfn.MAXIFS('工作觀察輸入'!$B$7:$B$206,'工作觀察輸入'!$C$7:$C$206,$B42,'工作觀察輸入'!$G$7:$G$206,$D42,'工作觀察輸入'!$M$7:$M$206,"是"))</x:f>
      </x:c>
      <x:c r="J42" s="115" t="n">
        <x:f>IF($G42=0,0,IF($H42=$I42,1,2))</x:f>
        <x:v>0</x:v>
      </x:c>
      <x:c r="K42" s="115" t="n">
        <x:f>COUNTIFS('工作觀察輸入'!$C$7:$C$206,$B42,'工作觀察輸入'!$G$7:$G$206,$D42,'工作觀察輸入'!$J$7:$J$206,"是")</x:f>
        <x:v>0</x:v>
      </x:c>
      <x:c r="L42" s="115" t="n">
        <x:f>COUNTIFS('面談與異議'!$C$7:$C$106,$B42,'面談與異議'!$F$7:$F$106,$D42,'面談與異議'!$E$7:$E$106,"兩個月面談")</x:f>
        <x:v>0</x:v>
      </x:c>
      <x:c r="M42" s="115" t="str">
        <x:f>IF($E42&lt;&gt;"Ø","不適用",IF(COUNTIFS('事件與限制'!$C$7:$C$106,$B42,'事件與限制'!$E$7:$E$106,$D42,'事件與限制'!$Q$7:$Q$106,"生效中")&gt;0,"資格限制中",IF($F42&lt;&gt;"已核定","先完成基準核定",IF($K42&gt;0,"有關鍵遺漏，先檢討",IF($G42&lt;3,"尚缺成功觀察",IF($J42&lt;2,"觀察日期不足",IF($L42&lt;1,"待兩個月面談","可送主管核定")))))))</x:f>
        <x:v>不適用</x:v>
      </x:c>
      <x:c r="N42" s="116" t="str">
        <x:v>待核定</x:v>
      </x:c>
      <x:c r="O42" s="118"/>
      <x:c r="P42" s="116"/>
      <x:c r="Q42" s="116"/>
      <x:c r="R42" s="115" t="str">
        <x:f>IF($M42&lt;&gt;"可送主管核定","尚未具備條件",IF($N42="不升級","維持原評等",IF($N42="核定升級",IF(OR($O42="",$P42=""),"核定資料未完整","已核定升級"),"待主管核定")))</x:f>
        <x:v>尚未具備條件</x:v>
      </x:c>
    </x:row>
    <x:row r="43">
      <x:c r="A43" s="79" t="str">
        <x:v>UPG|1013|LJT-PREP-PERIO</x:v>
      </x:c>
      <x:c r="B43" s="79" t="str">
        <x:v>1013</x:v>
      </x:c>
      <x:c r="C43" s="79" t="str"/>
      <x:c r="D43" s="79" t="str">
        <x:v>LJT-PREP-PERIO</x:v>
      </x:c>
      <x:c r="E43" s="79" t="str">
        <x:v>◎</x:v>
      </x:c>
      <x:c r="F43" s="115" t="str">
        <x:f>IF($E43="未評估","未建立",_xlfn.XLOOKUP("ABIL|1013|LJT-PREP-PERIO",'主管核定中心'!$A$12:$A$372,'主管核定中心'!$K$12:$K$372,"待主管核定",0))</x:f>
        <x:v>待主管核定</x:v>
      </x:c>
      <x:c r="G43" s="115" t="n">
        <x:f>COUNTIFS('工作觀察輸入'!$C$7:$C$206,$B43,'工作觀察輸入'!$G$7:$G$206,$D43,'工作觀察輸入'!$M$7:$M$206,"是")</x:f>
        <x:v>0</x:v>
      </x:c>
      <x:c r="H43" s="117" t="str">
        <x:f>IF($G43=0,"",_xlfn.MINIFS('工作觀察輸入'!$B$7:$B$206,'工作觀察輸入'!$C$7:$C$206,$B43,'工作觀察輸入'!$G$7:$G$206,$D43,'工作觀察輸入'!$M$7:$M$206,"是"))</x:f>
      </x:c>
      <x:c r="I43" s="117" t="str">
        <x:f>IF($G43=0,"",_xlfn.MAXIFS('工作觀察輸入'!$B$7:$B$206,'工作觀察輸入'!$C$7:$C$206,$B43,'工作觀察輸入'!$G$7:$G$206,$D43,'工作觀察輸入'!$M$7:$M$206,"是"))</x:f>
      </x:c>
      <x:c r="J43" s="115" t="n">
        <x:f>IF($G43=0,0,IF($H43=$I43,1,2))</x:f>
        <x:v>0</x:v>
      </x:c>
      <x:c r="K43" s="115" t="n">
        <x:f>COUNTIFS('工作觀察輸入'!$C$7:$C$206,$B43,'工作觀察輸入'!$G$7:$G$206,$D43,'工作觀察輸入'!$J$7:$J$206,"是")</x:f>
        <x:v>0</x:v>
      </x:c>
      <x:c r="L43" s="115" t="n">
        <x:f>COUNTIFS('面談與異議'!$C$7:$C$106,$B43,'面談與異議'!$F$7:$F$106,$D43,'面談與異議'!$E$7:$E$106,"兩個月面談")</x:f>
        <x:v>0</x:v>
      </x:c>
      <x:c r="M43" s="115" t="str">
        <x:f>IF($E43&lt;&gt;"Ø","不適用",IF(COUNTIFS('事件與限制'!$C$7:$C$106,$B43,'事件與限制'!$E$7:$E$106,$D43,'事件與限制'!$Q$7:$Q$106,"生效中")&gt;0,"資格限制中",IF($F43&lt;&gt;"已核定","先完成基準核定",IF($K43&gt;0,"有關鍵遺漏，先檢討",IF($G43&lt;3,"尚缺成功觀察",IF($J43&lt;2,"觀察日期不足",IF($L43&lt;1,"待兩個月面談","可送主管核定")))))))</x:f>
        <x:v>不適用</x:v>
      </x:c>
      <x:c r="N43" s="116" t="str">
        <x:v>待核定</x:v>
      </x:c>
      <x:c r="O43" s="118"/>
      <x:c r="P43" s="116"/>
      <x:c r="Q43" s="116"/>
      <x:c r="R43" s="115" t="str">
        <x:f>IF($M43&lt;&gt;"可送主管核定","尚未具備條件",IF($N43="不升級","維持原評等",IF($N43="核定升級",IF(OR($O43="",$P43=""),"核定資料未完整","已核定升級"),"待主管核定")))</x:f>
        <x:v>尚未具備條件</x:v>
      </x:c>
    </x:row>
    <x:row r="44">
      <x:c r="A44" s="79" t="str">
        <x:v>UPG|1013|LJT-PREP-RCT</x:v>
      </x:c>
      <x:c r="B44" s="79" t="str">
        <x:v>1013</x:v>
      </x:c>
      <x:c r="C44" s="79" t="str"/>
      <x:c r="D44" s="79" t="str">
        <x:v>LJT-PREP-RCT</x:v>
      </x:c>
      <x:c r="E44" s="79" t="str">
        <x:v>◎</x:v>
      </x:c>
      <x:c r="F44" s="115" t="str">
        <x:f>IF($E44="未評估","未建立",_xlfn.XLOOKUP("ABIL|1013|LJT-PREP-RCT",'主管核定中心'!$A$12:$A$372,'主管核定中心'!$K$12:$K$372,"待主管核定",0))</x:f>
        <x:v>待主管核定</x:v>
      </x:c>
      <x:c r="G44" s="115" t="n">
        <x:f>COUNTIFS('工作觀察輸入'!$C$7:$C$206,$B44,'工作觀察輸入'!$G$7:$G$206,$D44,'工作觀察輸入'!$M$7:$M$206,"是")</x:f>
        <x:v>0</x:v>
      </x:c>
      <x:c r="H44" s="117" t="str">
        <x:f>IF($G44=0,"",_xlfn.MINIFS('工作觀察輸入'!$B$7:$B$206,'工作觀察輸入'!$C$7:$C$206,$B44,'工作觀察輸入'!$G$7:$G$206,$D44,'工作觀察輸入'!$M$7:$M$206,"是"))</x:f>
      </x:c>
      <x:c r="I44" s="117" t="str">
        <x:f>IF($G44=0,"",_xlfn.MAXIFS('工作觀察輸入'!$B$7:$B$206,'工作觀察輸入'!$C$7:$C$206,$B44,'工作觀察輸入'!$G$7:$G$206,$D44,'工作觀察輸入'!$M$7:$M$206,"是"))</x:f>
      </x:c>
      <x:c r="J44" s="115" t="n">
        <x:f>IF($G44=0,0,IF($H44=$I44,1,2))</x:f>
        <x:v>0</x:v>
      </x:c>
      <x:c r="K44" s="115" t="n">
        <x:f>COUNTIFS('工作觀察輸入'!$C$7:$C$206,$B44,'工作觀察輸入'!$G$7:$G$206,$D44,'工作觀察輸入'!$J$7:$J$206,"是")</x:f>
        <x:v>0</x:v>
      </x:c>
      <x:c r="L44" s="115" t="n">
        <x:f>COUNTIFS('面談與異議'!$C$7:$C$106,$B44,'面談與異議'!$F$7:$F$106,$D44,'面談與異議'!$E$7:$E$106,"兩個月面談")</x:f>
        <x:v>0</x:v>
      </x:c>
      <x:c r="M44" s="115" t="str">
        <x:f>IF($E44&lt;&gt;"Ø","不適用",IF(COUNTIFS('事件與限制'!$C$7:$C$106,$B44,'事件與限制'!$E$7:$E$106,$D44,'事件與限制'!$Q$7:$Q$106,"生效中")&gt;0,"資格限制中",IF($F44&lt;&gt;"已核定","先完成基準核定",IF($K44&gt;0,"有關鍵遺漏，先檢討",IF($G44&lt;3,"尚缺成功觀察",IF($J44&lt;2,"觀察日期不足",IF($L44&lt;1,"待兩個月面談","可送主管核定")))))))</x:f>
        <x:v>不適用</x:v>
      </x:c>
      <x:c r="N44" s="116" t="str">
        <x:v>待核定</x:v>
      </x:c>
      <x:c r="O44" s="118"/>
      <x:c r="P44" s="116"/>
      <x:c r="Q44" s="116"/>
      <x:c r="R44" s="115" t="str">
        <x:f>IF($M44&lt;&gt;"可送主管核定","尚未具備條件",IF($N44="不升級","維持原評等",IF($N44="核定升級",IF(OR($O44="",$P44=""),"核定資料未完整","已核定升級"),"待主管核定")))</x:f>
        <x:v>尚未具備條件</x:v>
      </x:c>
    </x:row>
    <x:row r="45">
      <x:c r="A45" s="79" t="str">
        <x:v>UPG|1013|LJT-PREP-EXTRACTION</x:v>
      </x:c>
      <x:c r="B45" s="79" t="str">
        <x:v>1013</x:v>
      </x:c>
      <x:c r="C45" s="79" t="str"/>
      <x:c r="D45" s="79" t="str">
        <x:v>LJT-PREP-EXTRACTION</x:v>
      </x:c>
      <x:c r="E45" s="79" t="str">
        <x:v>◎</x:v>
      </x:c>
      <x:c r="F45" s="115" t="str">
        <x:f>IF($E45="未評估","未建立",_xlfn.XLOOKUP("ABIL|1013|LJT-PREP-EXTRACTION",'主管核定中心'!$A$12:$A$372,'主管核定中心'!$K$12:$K$372,"待主管核定",0))</x:f>
        <x:v>待主管核定</x:v>
      </x:c>
      <x:c r="G45" s="115" t="n">
        <x:f>COUNTIFS('工作觀察輸入'!$C$7:$C$206,$B45,'工作觀察輸入'!$G$7:$G$206,$D45,'工作觀察輸入'!$M$7:$M$206,"是")</x:f>
        <x:v>0</x:v>
      </x:c>
      <x:c r="H45" s="117" t="str">
        <x:f>IF($G45=0,"",_xlfn.MINIFS('工作觀察輸入'!$B$7:$B$206,'工作觀察輸入'!$C$7:$C$206,$B45,'工作觀察輸入'!$G$7:$G$206,$D45,'工作觀察輸入'!$M$7:$M$206,"是"))</x:f>
      </x:c>
      <x:c r="I45" s="117" t="str">
        <x:f>IF($G45=0,"",_xlfn.MAXIFS('工作觀察輸入'!$B$7:$B$206,'工作觀察輸入'!$C$7:$C$206,$B45,'工作觀察輸入'!$G$7:$G$206,$D45,'工作觀察輸入'!$M$7:$M$206,"是"))</x:f>
      </x:c>
      <x:c r="J45" s="115" t="n">
        <x:f>IF($G45=0,0,IF($H45=$I45,1,2))</x:f>
        <x:v>0</x:v>
      </x:c>
      <x:c r="K45" s="115" t="n">
        <x:f>COUNTIFS('工作觀察輸入'!$C$7:$C$206,$B45,'工作觀察輸入'!$G$7:$G$206,$D45,'工作觀察輸入'!$J$7:$J$206,"是")</x:f>
        <x:v>0</x:v>
      </x:c>
      <x:c r="L45" s="115" t="n">
        <x:f>COUNTIFS('面談與異議'!$C$7:$C$106,$B45,'面談與異議'!$F$7:$F$106,$D45,'面談與異議'!$E$7:$E$106,"兩個月面談")</x:f>
        <x:v>0</x:v>
      </x:c>
      <x:c r="M45" s="115" t="str">
        <x:f>IF($E45&lt;&gt;"Ø","不適用",IF(COUNTIFS('事件與限制'!$C$7:$C$106,$B45,'事件與限制'!$E$7:$E$106,$D45,'事件與限制'!$Q$7:$Q$106,"生效中")&gt;0,"資格限制中",IF($F45&lt;&gt;"已核定","先完成基準核定",IF($K45&gt;0,"有關鍵遺漏，先檢討",IF($G45&lt;3,"尚缺成功觀察",IF($J45&lt;2,"觀察日期不足",IF($L45&lt;1,"待兩個月面談","可送主管核定")))))))</x:f>
        <x:v>不適用</x:v>
      </x:c>
      <x:c r="N45" s="116" t="str">
        <x:v>待核定</x:v>
      </x:c>
      <x:c r="O45" s="118"/>
      <x:c r="P45" s="116"/>
      <x:c r="Q45" s="116"/>
      <x:c r="R45" s="115" t="str">
        <x:f>IF($M45&lt;&gt;"可送主管核定","尚未具備條件",IF($N45="不升級","維持原評等",IF($N45="核定升級",IF(OR($O45="",$P45=""),"核定資料未完整","已核定升級"),"待主管核定")))</x:f>
        <x:v>尚未具備條件</x:v>
      </x:c>
    </x:row>
    <x:row r="46">
      <x:c r="A46" s="79" t="str">
        <x:v>UPG|1013|LJT-PREP-CROWNPOST</x:v>
      </x:c>
      <x:c r="B46" s="79" t="str">
        <x:v>1013</x:v>
      </x:c>
      <x:c r="C46" s="79" t="str"/>
      <x:c r="D46" s="79" t="str">
        <x:v>LJT-PREP-CROWNPOST</x:v>
      </x:c>
      <x:c r="E46" s="79" t="str">
        <x:v>◎</x:v>
      </x:c>
      <x:c r="F46" s="115" t="str">
        <x:f>IF($E46="未評估","未建立",_xlfn.XLOOKUP("ABIL|1013|LJT-PREP-CROWNPOST",'主管核定中心'!$A$12:$A$372,'主管核定中心'!$K$12:$K$372,"待主管核定",0))</x:f>
        <x:v>待主管核定</x:v>
      </x:c>
      <x:c r="G46" s="115" t="n">
        <x:f>COUNTIFS('工作觀察輸入'!$C$7:$C$206,$B46,'工作觀察輸入'!$G$7:$G$206,$D46,'工作觀察輸入'!$M$7:$M$206,"是")</x:f>
        <x:v>0</x:v>
      </x:c>
      <x:c r="H46" s="117" t="str">
        <x:f>IF($G46=0,"",_xlfn.MINIFS('工作觀察輸入'!$B$7:$B$206,'工作觀察輸入'!$C$7:$C$206,$B46,'工作觀察輸入'!$G$7:$G$206,$D46,'工作觀察輸入'!$M$7:$M$206,"是"))</x:f>
      </x:c>
      <x:c r="I46" s="117" t="str">
        <x:f>IF($G46=0,"",_xlfn.MAXIFS('工作觀察輸入'!$B$7:$B$206,'工作觀察輸入'!$C$7:$C$206,$B46,'工作觀察輸入'!$G$7:$G$206,$D46,'工作觀察輸入'!$M$7:$M$206,"是"))</x:f>
      </x:c>
      <x:c r="J46" s="115" t="n">
        <x:f>IF($G46=0,0,IF($H46=$I46,1,2))</x:f>
        <x:v>0</x:v>
      </x:c>
      <x:c r="K46" s="115" t="n">
        <x:f>COUNTIFS('工作觀察輸入'!$C$7:$C$206,$B46,'工作觀察輸入'!$G$7:$G$206,$D46,'工作觀察輸入'!$J$7:$J$206,"是")</x:f>
        <x:v>0</x:v>
      </x:c>
      <x:c r="L46" s="115" t="n">
        <x:f>COUNTIFS('面談與異議'!$C$7:$C$106,$B46,'面談與異議'!$F$7:$F$106,$D46,'面談與異議'!$E$7:$E$106,"兩個月面談")</x:f>
        <x:v>0</x:v>
      </x:c>
      <x:c r="M46" s="115" t="str">
        <x:f>IF($E46&lt;&gt;"Ø","不適用",IF(COUNTIFS('事件與限制'!$C$7:$C$106,$B46,'事件與限制'!$E$7:$E$106,$D46,'事件與限制'!$Q$7:$Q$106,"生效中")&gt;0,"資格限制中",IF($F46&lt;&gt;"已核定","先完成基準核定",IF($K46&gt;0,"有關鍵遺漏，先檢討",IF($G46&lt;3,"尚缺成功觀察",IF($J46&lt;2,"觀察日期不足",IF($L46&lt;1,"待兩個月面談","可送主管核定")))))))</x:f>
        <x:v>不適用</x:v>
      </x:c>
      <x:c r="N46" s="116" t="str">
        <x:v>待核定</x:v>
      </x:c>
      <x:c r="O46" s="118"/>
      <x:c r="P46" s="116"/>
      <x:c r="Q46" s="116"/>
      <x:c r="R46" s="115" t="str">
        <x:f>IF($M46&lt;&gt;"可送主管核定","尚未具備條件",IF($N46="不升級","維持原評等",IF($N46="核定升級",IF(OR($O46="",$P46=""),"核定資料未完整","已核定升級"),"待主管核定")))</x:f>
        <x:v>尚未具備條件</x:v>
      </x:c>
    </x:row>
    <x:row r="47">
      <x:c r="A47" s="79" t="str">
        <x:v>UPG|1013|LJT-PREP-CROWN</x:v>
      </x:c>
      <x:c r="B47" s="79" t="str">
        <x:v>1013</x:v>
      </x:c>
      <x:c r="C47" s="79" t="str"/>
      <x:c r="D47" s="79" t="str">
        <x:v>LJT-PREP-CROWN</x:v>
      </x:c>
      <x:c r="E47" s="79" t="str">
        <x:v>◎</x:v>
      </x:c>
      <x:c r="F47" s="115" t="str">
        <x:f>IF($E47="未評估","未建立",_xlfn.XLOOKUP("ABIL|1013|LJT-PREP-CROWN",'主管核定中心'!$A$12:$A$372,'主管核定中心'!$K$12:$K$372,"待主管核定",0))</x:f>
        <x:v>待主管核定</x:v>
      </x:c>
      <x:c r="G47" s="115" t="n">
        <x:f>COUNTIFS('工作觀察輸入'!$C$7:$C$206,$B47,'工作觀察輸入'!$G$7:$G$206,$D47,'工作觀察輸入'!$M$7:$M$206,"是")</x:f>
        <x:v>0</x:v>
      </x:c>
      <x:c r="H47" s="117" t="str">
        <x:f>IF($G47=0,"",_xlfn.MINIFS('工作觀察輸入'!$B$7:$B$206,'工作觀察輸入'!$C$7:$C$206,$B47,'工作觀察輸入'!$G$7:$G$206,$D47,'工作觀察輸入'!$M$7:$M$206,"是"))</x:f>
      </x:c>
      <x:c r="I47" s="117" t="str">
        <x:f>IF($G47=0,"",_xlfn.MAXIFS('工作觀察輸入'!$B$7:$B$206,'工作觀察輸入'!$C$7:$C$206,$B47,'工作觀察輸入'!$G$7:$G$206,$D47,'工作觀察輸入'!$M$7:$M$206,"是"))</x:f>
      </x:c>
      <x:c r="J47" s="115" t="n">
        <x:f>IF($G47=0,0,IF($H47=$I47,1,2))</x:f>
        <x:v>0</x:v>
      </x:c>
      <x:c r="K47" s="115" t="n">
        <x:f>COUNTIFS('工作觀察輸入'!$C$7:$C$206,$B47,'工作觀察輸入'!$G$7:$G$206,$D47,'工作觀察輸入'!$J$7:$J$206,"是")</x:f>
        <x:v>0</x:v>
      </x:c>
      <x:c r="L47" s="115" t="n">
        <x:f>COUNTIFS('面談與異議'!$C$7:$C$106,$B47,'面談與異議'!$F$7:$F$106,$D47,'面談與異議'!$E$7:$E$106,"兩個月面談")</x:f>
        <x:v>0</x:v>
      </x:c>
      <x:c r="M47" s="115" t="str">
        <x:f>IF($E47&lt;&gt;"Ø","不適用",IF(COUNTIFS('事件與限制'!$C$7:$C$106,$B47,'事件與限制'!$E$7:$E$106,$D47,'事件與限制'!$Q$7:$Q$106,"生效中")&gt;0,"資格限制中",IF($F47&lt;&gt;"已核定","先完成基準核定",IF($K47&gt;0,"有關鍵遺漏，先檢討",IF($G47&lt;3,"尚缺成功觀察",IF($J47&lt;2,"觀察日期不足",IF($L47&lt;1,"待兩個月面談","可送主管核定")))))))</x:f>
        <x:v>不適用</x:v>
      </x:c>
      <x:c r="N47" s="116" t="str">
        <x:v>待核定</x:v>
      </x:c>
      <x:c r="O47" s="118"/>
      <x:c r="P47" s="116"/>
      <x:c r="Q47" s="116"/>
      <x:c r="R47" s="115" t="str">
        <x:f>IF($M47&lt;&gt;"可送主管核定","尚未具備條件",IF($N47="不升級","維持原評等",IF($N47="核定升級",IF(OR($O47="",$P47=""),"核定資料未完整","已核定升級"),"待主管核定")))</x:f>
        <x:v>尚未具備條件</x:v>
      </x:c>
    </x:row>
    <x:row r="48">
      <x:c r="A48" s="79" t="str">
        <x:v>UPG|1013|LJT-PREP-RPD</x:v>
      </x:c>
      <x:c r="B48" s="79" t="str">
        <x:v>1013</x:v>
      </x:c>
      <x:c r="C48" s="79" t="str"/>
      <x:c r="D48" s="79" t="str">
        <x:v>LJT-PREP-RPD</x:v>
      </x:c>
      <x:c r="E48" s="79" t="str">
        <x:v>◎</x:v>
      </x:c>
      <x:c r="F48" s="115" t="str">
        <x:f>IF($E48="未評估","未建立",_xlfn.XLOOKUP("ABIL|1013|LJT-PREP-RPD",'主管核定中心'!$A$12:$A$372,'主管核定中心'!$K$12:$K$372,"待主管核定",0))</x:f>
        <x:v>待主管核定</x:v>
      </x:c>
      <x:c r="G48" s="115" t="n">
        <x:f>COUNTIFS('工作觀察輸入'!$C$7:$C$206,$B48,'工作觀察輸入'!$G$7:$G$206,$D48,'工作觀察輸入'!$M$7:$M$206,"是")</x:f>
        <x:v>0</x:v>
      </x:c>
      <x:c r="H48" s="117" t="str">
        <x:f>IF($G48=0,"",_xlfn.MINIFS('工作觀察輸入'!$B$7:$B$206,'工作觀察輸入'!$C$7:$C$206,$B48,'工作觀察輸入'!$G$7:$G$206,$D48,'工作觀察輸入'!$M$7:$M$206,"是"))</x:f>
      </x:c>
      <x:c r="I48" s="117" t="str">
        <x:f>IF($G48=0,"",_xlfn.MAXIFS('工作觀察輸入'!$B$7:$B$206,'工作觀察輸入'!$C$7:$C$206,$B48,'工作觀察輸入'!$G$7:$G$206,$D48,'工作觀察輸入'!$M$7:$M$206,"是"))</x:f>
      </x:c>
      <x:c r="J48" s="115" t="n">
        <x:f>IF($G48=0,0,IF($H48=$I48,1,2))</x:f>
        <x:v>0</x:v>
      </x:c>
      <x:c r="K48" s="115" t="n">
        <x:f>COUNTIFS('工作觀察輸入'!$C$7:$C$206,$B48,'工作觀察輸入'!$G$7:$G$206,$D48,'工作觀察輸入'!$J$7:$J$206,"是")</x:f>
        <x:v>0</x:v>
      </x:c>
      <x:c r="L48" s="115" t="n">
        <x:f>COUNTIFS('面談與異議'!$C$7:$C$106,$B48,'面談與異議'!$F$7:$F$106,$D48,'面談與異議'!$E$7:$E$106,"兩個月面談")</x:f>
        <x:v>0</x:v>
      </x:c>
      <x:c r="M48" s="115" t="str">
        <x:f>IF($E48&lt;&gt;"Ø","不適用",IF(COUNTIFS('事件與限制'!$C$7:$C$106,$B48,'事件與限制'!$E$7:$E$106,$D48,'事件與限制'!$Q$7:$Q$106,"生效中")&gt;0,"資格限制中",IF($F48&lt;&gt;"已核定","先完成基準核定",IF($K48&gt;0,"有關鍵遺漏，先檢討",IF($G48&lt;3,"尚缺成功觀察",IF($J48&lt;2,"觀察日期不足",IF($L48&lt;1,"待兩個月面談","可送主管核定")))))))</x:f>
        <x:v>不適用</x:v>
      </x:c>
      <x:c r="N48" s="116" t="str">
        <x:v>待核定</x:v>
      </x:c>
      <x:c r="O48" s="118"/>
      <x:c r="P48" s="116"/>
      <x:c r="Q48" s="116"/>
      <x:c r="R48" s="115" t="str">
        <x:f>IF($M48&lt;&gt;"可送主管核定","尚未具備條件",IF($N48="不升級","維持原評等",IF($N48="核定升級",IF(OR($O48="",$P48=""),"核定資料未完整","已核定升級"),"待主管核定")))</x:f>
        <x:v>尚未具備條件</x:v>
      </x:c>
    </x:row>
    <x:row r="49">
      <x:c r="A49" s="79" t="str">
        <x:v>UPG|1013|LJT-PREP-AIRPOLISH</x:v>
      </x:c>
      <x:c r="B49" s="79" t="str">
        <x:v>1013</x:v>
      </x:c>
      <x:c r="C49" s="79" t="str"/>
      <x:c r="D49" s="79" t="str">
        <x:v>LJT-PREP-AIRPOLISH</x:v>
      </x:c>
      <x:c r="E49" s="79" t="str">
        <x:v>◎</x:v>
      </x:c>
      <x:c r="F49" s="115" t="str">
        <x:f>IF($E49="未評估","未建立",_xlfn.XLOOKUP("ABIL|1013|LJT-PREP-AIRPOLISH",'主管核定中心'!$A$12:$A$372,'主管核定中心'!$K$12:$K$372,"待主管核定",0))</x:f>
        <x:v>待主管核定</x:v>
      </x:c>
      <x:c r="G49" s="115" t="n">
        <x:f>COUNTIFS('工作觀察輸入'!$C$7:$C$206,$B49,'工作觀察輸入'!$G$7:$G$206,$D49,'工作觀察輸入'!$M$7:$M$206,"是")</x:f>
        <x:v>0</x:v>
      </x:c>
      <x:c r="H49" s="117" t="str">
        <x:f>IF($G49=0,"",_xlfn.MINIFS('工作觀察輸入'!$B$7:$B$206,'工作觀察輸入'!$C$7:$C$206,$B49,'工作觀察輸入'!$G$7:$G$206,$D49,'工作觀察輸入'!$M$7:$M$206,"是"))</x:f>
      </x:c>
      <x:c r="I49" s="117" t="str">
        <x:f>IF($G49=0,"",_xlfn.MAXIFS('工作觀察輸入'!$B$7:$B$206,'工作觀察輸入'!$C$7:$C$206,$B49,'工作觀察輸入'!$G$7:$G$206,$D49,'工作觀察輸入'!$M$7:$M$206,"是"))</x:f>
      </x:c>
      <x:c r="J49" s="115" t="n">
        <x:f>IF($G49=0,0,IF($H49=$I49,1,2))</x:f>
        <x:v>0</x:v>
      </x:c>
      <x:c r="K49" s="115" t="n">
        <x:f>COUNTIFS('工作觀察輸入'!$C$7:$C$206,$B49,'工作觀察輸入'!$G$7:$G$206,$D49,'工作觀察輸入'!$J$7:$J$206,"是")</x:f>
        <x:v>0</x:v>
      </x:c>
      <x:c r="L49" s="115" t="n">
        <x:f>COUNTIFS('面談與異議'!$C$7:$C$106,$B49,'面談與異議'!$F$7:$F$106,$D49,'面談與異議'!$E$7:$E$106,"兩個月面談")</x:f>
        <x:v>0</x:v>
      </x:c>
      <x:c r="M49" s="115" t="str">
        <x:f>IF($E49&lt;&gt;"Ø","不適用",IF(COUNTIFS('事件與限制'!$C$7:$C$106,$B49,'事件與限制'!$E$7:$E$106,$D49,'事件與限制'!$Q$7:$Q$106,"生效中")&gt;0,"資格限制中",IF($F49&lt;&gt;"已核定","先完成基準核定",IF($K49&gt;0,"有關鍵遺漏，先檢討",IF($G49&lt;3,"尚缺成功觀察",IF($J49&lt;2,"觀察日期不足",IF($L49&lt;1,"待兩個月面談","可送主管核定")))))))</x:f>
        <x:v>不適用</x:v>
      </x:c>
      <x:c r="N49" s="116" t="str">
        <x:v>待核定</x:v>
      </x:c>
      <x:c r="O49" s="118"/>
      <x:c r="P49" s="116"/>
      <x:c r="Q49" s="116"/>
      <x:c r="R49" s="115" t="str">
        <x:f>IF($M49&lt;&gt;"可送主管核定","尚未具備條件",IF($N49="不升級","維持原評等",IF($N49="核定升級",IF(OR($O49="",$P49=""),"核定資料未完整","已核定升級"),"待主管核定")))</x:f>
        <x:v>尚未具備條件</x:v>
      </x:c>
    </x:row>
    <x:row r="50">
      <x:c r="A50" s="79" t="str">
        <x:v>UPG|1013|LJT-PREP-PERIOSURG</x:v>
      </x:c>
      <x:c r="B50" s="79" t="str">
        <x:v>1013</x:v>
      </x:c>
      <x:c r="C50" s="79" t="str"/>
      <x:c r="D50" s="79" t="str">
        <x:v>LJT-PREP-PERIOSURG</x:v>
      </x:c>
      <x:c r="E50" s="79" t="str">
        <x:v>◎</x:v>
      </x:c>
      <x:c r="F50" s="115" t="str">
        <x:f>IF($E50="未評估","未建立",_xlfn.XLOOKUP("ABIL|1013|LJT-PREP-PERIOSURG",'主管核定中心'!$A$12:$A$372,'主管核定中心'!$K$12:$K$372,"待主管核定",0))</x:f>
        <x:v>待主管核定</x:v>
      </x:c>
      <x:c r="G50" s="115" t="n">
        <x:f>COUNTIFS('工作觀察輸入'!$C$7:$C$206,$B50,'工作觀察輸入'!$G$7:$G$206,$D50,'工作觀察輸入'!$M$7:$M$206,"是")</x:f>
        <x:v>0</x:v>
      </x:c>
      <x:c r="H50" s="117" t="str">
        <x:f>IF($G50=0,"",_xlfn.MINIFS('工作觀察輸入'!$B$7:$B$206,'工作觀察輸入'!$C$7:$C$206,$B50,'工作觀察輸入'!$G$7:$G$206,$D50,'工作觀察輸入'!$M$7:$M$206,"是"))</x:f>
      </x:c>
      <x:c r="I50" s="117" t="str">
        <x:f>IF($G50=0,"",_xlfn.MAXIFS('工作觀察輸入'!$B$7:$B$206,'工作觀察輸入'!$C$7:$C$206,$B50,'工作觀察輸入'!$G$7:$G$206,$D50,'工作觀察輸入'!$M$7:$M$206,"是"))</x:f>
      </x:c>
      <x:c r="J50" s="115" t="n">
        <x:f>IF($G50=0,0,IF($H50=$I50,1,2))</x:f>
        <x:v>0</x:v>
      </x:c>
      <x:c r="K50" s="115" t="n">
        <x:f>COUNTIFS('工作觀察輸入'!$C$7:$C$206,$B50,'工作觀察輸入'!$G$7:$G$206,$D50,'工作觀察輸入'!$J$7:$J$206,"是")</x:f>
        <x:v>0</x:v>
      </x:c>
      <x:c r="L50" s="115" t="n">
        <x:f>COUNTIFS('面談與異議'!$C$7:$C$106,$B50,'面談與異議'!$F$7:$F$106,$D50,'面談與異議'!$E$7:$E$106,"兩個月面談")</x:f>
        <x:v>0</x:v>
      </x:c>
      <x:c r="M50" s="115" t="str">
        <x:f>IF($E50&lt;&gt;"Ø","不適用",IF(COUNTIFS('事件與限制'!$C$7:$C$106,$B50,'事件與限制'!$E$7:$E$106,$D50,'事件與限制'!$Q$7:$Q$106,"生效中")&gt;0,"資格限制中",IF($F50&lt;&gt;"已核定","先完成基準核定",IF($K50&gt;0,"有關鍵遺漏，先檢討",IF($G50&lt;3,"尚缺成功觀察",IF($J50&lt;2,"觀察日期不足",IF($L50&lt;1,"待兩個月面談","可送主管核定")))))))</x:f>
        <x:v>不適用</x:v>
      </x:c>
      <x:c r="N50" s="116" t="str">
        <x:v>待核定</x:v>
      </x:c>
      <x:c r="O50" s="118"/>
      <x:c r="P50" s="116"/>
      <x:c r="Q50" s="116"/>
      <x:c r="R50" s="115" t="str">
        <x:f>IF($M50&lt;&gt;"可送主管核定","尚未具備條件",IF($N50="不升級","維持原評等",IF($N50="核定升級",IF(OR($O50="",$P50=""),"核定資料未完整","已核定升級"),"待主管核定")))</x:f>
        <x:v>尚未具備條件</x:v>
      </x:c>
    </x:row>
    <x:row r="51">
      <x:c r="A51" s="79" t="str">
        <x:v>UPG|1013|LJT-PREP-MICROENDO</x:v>
      </x:c>
      <x:c r="B51" s="79" t="str">
        <x:v>1013</x:v>
      </x:c>
      <x:c r="C51" s="79" t="str"/>
      <x:c r="D51" s="79" t="str">
        <x:v>LJT-PREP-MICROENDO</x:v>
      </x:c>
      <x:c r="E51" s="79" t="str">
        <x:v>◎</x:v>
      </x:c>
      <x:c r="F51" s="115" t="str">
        <x:f>IF($E51="未評估","未建立",_xlfn.XLOOKUP("ABIL|1013|LJT-PREP-MICROENDO",'主管核定中心'!$A$12:$A$372,'主管核定中心'!$K$12:$K$372,"待主管核定",0))</x:f>
        <x:v>待主管核定</x:v>
      </x:c>
      <x:c r="G51" s="115" t="n">
        <x:f>COUNTIFS('工作觀察輸入'!$C$7:$C$206,$B51,'工作觀察輸入'!$G$7:$G$206,$D51,'工作觀察輸入'!$M$7:$M$206,"是")</x:f>
        <x:v>0</x:v>
      </x:c>
      <x:c r="H51" s="117" t="str">
        <x:f>IF($G51=0,"",_xlfn.MINIFS('工作觀察輸入'!$B$7:$B$206,'工作觀察輸入'!$C$7:$C$206,$B51,'工作觀察輸入'!$G$7:$G$206,$D51,'工作觀察輸入'!$M$7:$M$206,"是"))</x:f>
      </x:c>
      <x:c r="I51" s="117" t="str">
        <x:f>IF($G51=0,"",_xlfn.MAXIFS('工作觀察輸入'!$B$7:$B$206,'工作觀察輸入'!$C$7:$C$206,$B51,'工作觀察輸入'!$G$7:$G$206,$D51,'工作觀察輸入'!$M$7:$M$206,"是"))</x:f>
      </x:c>
      <x:c r="J51" s="115" t="n">
        <x:f>IF($G51=0,0,IF($H51=$I51,1,2))</x:f>
        <x:v>0</x:v>
      </x:c>
      <x:c r="K51" s="115" t="n">
        <x:f>COUNTIFS('工作觀察輸入'!$C$7:$C$206,$B51,'工作觀察輸入'!$G$7:$G$206,$D51,'工作觀察輸入'!$J$7:$J$206,"是")</x:f>
        <x:v>0</x:v>
      </x:c>
      <x:c r="L51" s="115" t="n">
        <x:f>COUNTIFS('面談與異議'!$C$7:$C$106,$B51,'面談與異議'!$F$7:$F$106,$D51,'面談與異議'!$E$7:$E$106,"兩個月面談")</x:f>
        <x:v>0</x:v>
      </x:c>
      <x:c r="M51" s="115" t="str">
        <x:f>IF($E51&lt;&gt;"Ø","不適用",IF(COUNTIFS('事件與限制'!$C$7:$C$106,$B51,'事件與限制'!$E$7:$E$106,$D51,'事件與限制'!$Q$7:$Q$106,"生效中")&gt;0,"資格限制中",IF($F51&lt;&gt;"已核定","先完成基準核定",IF($K51&gt;0,"有關鍵遺漏，先檢討",IF($G51&lt;3,"尚缺成功觀察",IF($J51&lt;2,"觀察日期不足",IF($L51&lt;1,"待兩個月面談","可送主管核定")))))))</x:f>
        <x:v>不適用</x:v>
      </x:c>
      <x:c r="N51" s="116" t="str">
        <x:v>待核定</x:v>
      </x:c>
      <x:c r="O51" s="118"/>
      <x:c r="P51" s="116"/>
      <x:c r="Q51" s="116"/>
      <x:c r="R51" s="115" t="str">
        <x:f>IF($M51&lt;&gt;"可送主管核定","尚未具備條件",IF($N51="不升級","維持原評等",IF($N51="核定升級",IF(OR($O51="",$P51=""),"核定資料未完整","已核定升級"),"待主管核定")))</x:f>
        <x:v>尚未具備條件</x:v>
      </x:c>
    </x:row>
    <x:row r="52">
      <x:c r="A52" s="79" t="str">
        <x:v>UPG|1013|LJT-PREP-IMPLANT</x:v>
      </x:c>
      <x:c r="B52" s="79" t="str">
        <x:v>1013</x:v>
      </x:c>
      <x:c r="C52" s="79" t="str"/>
      <x:c r="D52" s="79" t="str">
        <x:v>LJT-PREP-IMPLANT</x:v>
      </x:c>
      <x:c r="E52" s="79" t="str">
        <x:v>◎</x:v>
      </x:c>
      <x:c r="F52" s="115" t="str">
        <x:f>IF($E52="未評估","未建立",_xlfn.XLOOKUP("ABIL|1013|LJT-PREP-IMPLANT",'主管核定中心'!$A$12:$A$372,'主管核定中心'!$K$12:$K$372,"待主管核定",0))</x:f>
        <x:v>待主管核定</x:v>
      </x:c>
      <x:c r="G52" s="115" t="n">
        <x:f>COUNTIFS('工作觀察輸入'!$C$7:$C$206,$B52,'工作觀察輸入'!$G$7:$G$206,$D52,'工作觀察輸入'!$M$7:$M$206,"是")</x:f>
        <x:v>0</x:v>
      </x:c>
      <x:c r="H52" s="117" t="str">
        <x:f>IF($G52=0,"",_xlfn.MINIFS('工作觀察輸入'!$B$7:$B$206,'工作觀察輸入'!$C$7:$C$206,$B52,'工作觀察輸入'!$G$7:$G$206,$D52,'工作觀察輸入'!$M$7:$M$206,"是"))</x:f>
      </x:c>
      <x:c r="I52" s="117" t="str">
        <x:f>IF($G52=0,"",_xlfn.MAXIFS('工作觀察輸入'!$B$7:$B$206,'工作觀察輸入'!$C$7:$C$206,$B52,'工作觀察輸入'!$G$7:$G$206,$D52,'工作觀察輸入'!$M$7:$M$206,"是"))</x:f>
      </x:c>
      <x:c r="J52" s="115" t="n">
        <x:f>IF($G52=0,0,IF($H52=$I52,1,2))</x:f>
        <x:v>0</x:v>
      </x:c>
      <x:c r="K52" s="115" t="n">
        <x:f>COUNTIFS('工作觀察輸入'!$C$7:$C$206,$B52,'工作觀察輸入'!$G$7:$G$206,$D52,'工作觀察輸入'!$J$7:$J$206,"是")</x:f>
        <x:v>0</x:v>
      </x:c>
      <x:c r="L52" s="115" t="n">
        <x:f>COUNTIFS('面談與異議'!$C$7:$C$106,$B52,'面談與異議'!$F$7:$F$106,$D52,'面談與異議'!$E$7:$E$106,"兩個月面談")</x:f>
        <x:v>0</x:v>
      </x:c>
      <x:c r="M52" s="115" t="str">
        <x:f>IF($E52&lt;&gt;"Ø","不適用",IF(COUNTIFS('事件與限制'!$C$7:$C$106,$B52,'事件與限制'!$E$7:$E$106,$D52,'事件與限制'!$Q$7:$Q$106,"生效中")&gt;0,"資格限制中",IF($F52&lt;&gt;"已核定","先完成基準核定",IF($K52&gt;0,"有關鍵遺漏，先檢討",IF($G52&lt;3,"尚缺成功觀察",IF($J52&lt;2,"觀察日期不足",IF($L52&lt;1,"待兩個月面談","可送主管核定")))))))</x:f>
        <x:v>不適用</x:v>
      </x:c>
      <x:c r="N52" s="116" t="str">
        <x:v>待核定</x:v>
      </x:c>
      <x:c r="O52" s="118"/>
      <x:c r="P52" s="116"/>
      <x:c r="Q52" s="116"/>
      <x:c r="R52" s="115" t="str">
        <x:f>IF($M52&lt;&gt;"可送主管核定","尚未具備條件",IF($N52="不升級","維持原評等",IF($N52="核定升級",IF(OR($O52="",$P52=""),"核定資料未完整","已核定升級"),"待主管核定")))</x:f>
        <x:v>尚未具備條件</x:v>
      </x:c>
    </x:row>
    <x:row r="53">
      <x:c r="A53" s="79" t="str">
        <x:v>UPG|1013|COMMON-RECORD</x:v>
      </x:c>
      <x:c r="B53" s="79" t="str">
        <x:v>1013</x:v>
      </x:c>
      <x:c r="C53" s="79" t="str"/>
      <x:c r="D53" s="79" t="str">
        <x:v>COMMON-RECORD</x:v>
      </x:c>
      <x:c r="E53" s="79" t="str">
        <x:v>◎</x:v>
      </x:c>
      <x:c r="F53" s="115" t="str">
        <x:f>IF($E53="未評估","未建立",_xlfn.XLOOKUP("ABIL|1013|COMMON-RECORD",'主管核定中心'!$A$12:$A$372,'主管核定中心'!$K$12:$K$372,"待主管核定",0))</x:f>
        <x:v>待主管核定</x:v>
      </x:c>
      <x:c r="G53" s="115" t="n">
        <x:f>COUNTIFS('工作觀察輸入'!$C$7:$C$206,$B53,'工作觀察輸入'!$G$7:$G$206,$D53,'工作觀察輸入'!$M$7:$M$206,"是")</x:f>
        <x:v>0</x:v>
      </x:c>
      <x:c r="H53" s="117" t="str">
        <x:f>IF($G53=0,"",_xlfn.MINIFS('工作觀察輸入'!$B$7:$B$206,'工作觀察輸入'!$C$7:$C$206,$B53,'工作觀察輸入'!$G$7:$G$206,$D53,'工作觀察輸入'!$M$7:$M$206,"是"))</x:f>
      </x:c>
      <x:c r="I53" s="117" t="str">
        <x:f>IF($G53=0,"",_xlfn.MAXIFS('工作觀察輸入'!$B$7:$B$206,'工作觀察輸入'!$C$7:$C$206,$B53,'工作觀察輸入'!$G$7:$G$206,$D53,'工作觀察輸入'!$M$7:$M$206,"是"))</x:f>
      </x:c>
      <x:c r="J53" s="115" t="n">
        <x:f>IF($G53=0,0,IF($H53=$I53,1,2))</x:f>
        <x:v>0</x:v>
      </x:c>
      <x:c r="K53" s="115" t="n">
        <x:f>COUNTIFS('工作觀察輸入'!$C$7:$C$206,$B53,'工作觀察輸入'!$G$7:$G$206,$D53,'工作觀察輸入'!$J$7:$J$206,"是")</x:f>
        <x:v>0</x:v>
      </x:c>
      <x:c r="L53" s="115" t="n">
        <x:f>COUNTIFS('面談與異議'!$C$7:$C$106,$B53,'面談與異議'!$F$7:$F$106,$D53,'面談與異議'!$E$7:$E$106,"兩個月面談")</x:f>
        <x:v>0</x:v>
      </x:c>
      <x:c r="M53" s="115" t="str">
        <x:f>IF($E53&lt;&gt;"Ø","不適用",IF(COUNTIFS('事件與限制'!$C$7:$C$106,$B53,'事件與限制'!$E$7:$E$106,$D53,'事件與限制'!$Q$7:$Q$106,"生效中")&gt;0,"資格限制中",IF($F53&lt;&gt;"已核定","先完成基準核定",IF($K53&gt;0,"有關鍵遺漏，先檢討",IF($G53&lt;3,"尚缺成功觀察",IF($J53&lt;2,"觀察日期不足",IF($L53&lt;1,"待兩個月面談","可送主管核定")))))))</x:f>
        <x:v>不適用</x:v>
      </x:c>
      <x:c r="N53" s="116" t="str">
        <x:v>待核定</x:v>
      </x:c>
      <x:c r="O53" s="118"/>
      <x:c r="P53" s="116"/>
      <x:c r="Q53" s="116"/>
      <x:c r="R53" s="115" t="str">
        <x:f>IF($M53&lt;&gt;"可送主管核定","尚未具備條件",IF($N53="不升級","維持原評等",IF($N53="核定升級",IF(OR($O53="",$P53=""),"核定資料未完整","已核定升級"),"待主管核定")))</x:f>
        <x:v>尚未具備條件</x:v>
      </x:c>
    </x:row>
    <x:row r="54">
      <x:c r="A54" s="79" t="str">
        <x:v>UPG|1013|COMMON-INSURANCE</x:v>
      </x:c>
      <x:c r="B54" s="79" t="str">
        <x:v>1013</x:v>
      </x:c>
      <x:c r="C54" s="79" t="str"/>
      <x:c r="D54" s="79" t="str">
        <x:v>COMMON-INSURANCE</x:v>
      </x:c>
      <x:c r="E54" s="79" t="str">
        <x:v>◎</x:v>
      </x:c>
      <x:c r="F54" s="115" t="str">
        <x:f>IF($E54="未評估","未建立",_xlfn.XLOOKUP("ABIL|1013|COMMON-INSURANCE",'主管核定中心'!$A$12:$A$372,'主管核定中心'!$K$12:$K$372,"待主管核定",0))</x:f>
        <x:v>待主管核定</x:v>
      </x:c>
      <x:c r="G54" s="115" t="n">
        <x:f>COUNTIFS('工作觀察輸入'!$C$7:$C$206,$B54,'工作觀察輸入'!$G$7:$G$206,$D54,'工作觀察輸入'!$M$7:$M$206,"是")</x:f>
        <x:v>0</x:v>
      </x:c>
      <x:c r="H54" s="117" t="str">
        <x:f>IF($G54=0,"",_xlfn.MINIFS('工作觀察輸入'!$B$7:$B$206,'工作觀察輸入'!$C$7:$C$206,$B54,'工作觀察輸入'!$G$7:$G$206,$D54,'工作觀察輸入'!$M$7:$M$206,"是"))</x:f>
      </x:c>
      <x:c r="I54" s="117" t="str">
        <x:f>IF($G54=0,"",_xlfn.MAXIFS('工作觀察輸入'!$B$7:$B$206,'工作觀察輸入'!$C$7:$C$206,$B54,'工作觀察輸入'!$G$7:$G$206,$D54,'工作觀察輸入'!$M$7:$M$206,"是"))</x:f>
      </x:c>
      <x:c r="J54" s="115" t="n">
        <x:f>IF($G54=0,0,IF($H54=$I54,1,2))</x:f>
        <x:v>0</x:v>
      </x:c>
      <x:c r="K54" s="115" t="n">
        <x:f>COUNTIFS('工作觀察輸入'!$C$7:$C$206,$B54,'工作觀察輸入'!$G$7:$G$206,$D54,'工作觀察輸入'!$J$7:$J$206,"是")</x:f>
        <x:v>0</x:v>
      </x:c>
      <x:c r="L54" s="115" t="n">
        <x:f>COUNTIFS('面談與異議'!$C$7:$C$106,$B54,'面談與異議'!$F$7:$F$106,$D54,'面談與異議'!$E$7:$E$106,"兩個月面談")</x:f>
        <x:v>0</x:v>
      </x:c>
      <x:c r="M54" s="115" t="str">
        <x:f>IF($E54&lt;&gt;"Ø","不適用",IF(COUNTIFS('事件與限制'!$C$7:$C$106,$B54,'事件與限制'!$E$7:$E$106,$D54,'事件與限制'!$Q$7:$Q$106,"生效中")&gt;0,"資格限制中",IF($F54&lt;&gt;"已核定","先完成基準核定",IF($K54&gt;0,"有關鍵遺漏，先檢討",IF($G54&lt;3,"尚缺成功觀察",IF($J54&lt;2,"觀察日期不足",IF($L54&lt;1,"待兩個月面談","可送主管核定")))))))</x:f>
        <x:v>不適用</x:v>
      </x:c>
      <x:c r="N54" s="116" t="str">
        <x:v>待核定</x:v>
      </x:c>
      <x:c r="O54" s="118"/>
      <x:c r="P54" s="116"/>
      <x:c r="Q54" s="116"/>
      <x:c r="R54" s="115" t="str">
        <x:f>IF($M54&lt;&gt;"可送主管核定","尚未具備條件",IF($N54="不升級","維持原評等",IF($N54="核定升級",IF(OR($O54="",$P54=""),"核定資料未完整","已核定升級"),"待主管核定")))</x:f>
        <x:v>尚未具備條件</x:v>
      </x:c>
    </x:row>
    <x:row r="55">
      <x:c r="A55" s="79" t="str">
        <x:v>UPG|1013|COMMON-XRAY-RECORD</x:v>
      </x:c>
      <x:c r="B55" s="79" t="str">
        <x:v>1013</x:v>
      </x:c>
      <x:c r="C55" s="79" t="str"/>
      <x:c r="D55" s="79" t="str">
        <x:v>COMMON-XRAY-RECORD</x:v>
      </x:c>
      <x:c r="E55" s="79" t="str">
        <x:v>◎</x:v>
      </x:c>
      <x:c r="F55" s="115" t="str">
        <x:f>IF($E55="未評估","未建立",_xlfn.XLOOKUP("ABIL|1013|COMMON-XRAY-RECORD",'主管核定中心'!$A$12:$A$372,'主管核定中心'!$K$12:$K$372,"待主管核定",0))</x:f>
        <x:v>待主管核定</x:v>
      </x:c>
      <x:c r="G55" s="115" t="n">
        <x:f>COUNTIFS('工作觀察輸入'!$C$7:$C$206,$B55,'工作觀察輸入'!$G$7:$G$206,$D55,'工作觀察輸入'!$M$7:$M$206,"是")</x:f>
        <x:v>0</x:v>
      </x:c>
      <x:c r="H55" s="117" t="str">
        <x:f>IF($G55=0,"",_xlfn.MINIFS('工作觀察輸入'!$B$7:$B$206,'工作觀察輸入'!$C$7:$C$206,$B55,'工作觀察輸入'!$G$7:$G$206,$D55,'工作觀察輸入'!$M$7:$M$206,"是"))</x:f>
      </x:c>
      <x:c r="I55" s="117" t="str">
        <x:f>IF($G55=0,"",_xlfn.MAXIFS('工作觀察輸入'!$B$7:$B$206,'工作觀察輸入'!$C$7:$C$206,$B55,'工作觀察輸入'!$G$7:$G$206,$D55,'工作觀察輸入'!$M$7:$M$206,"是"))</x:f>
      </x:c>
      <x:c r="J55" s="115" t="n">
        <x:f>IF($G55=0,0,IF($H55=$I55,1,2))</x:f>
        <x:v>0</x:v>
      </x:c>
      <x:c r="K55" s="115" t="n">
        <x:f>COUNTIFS('工作觀察輸入'!$C$7:$C$206,$B55,'工作觀察輸入'!$G$7:$G$206,$D55,'工作觀察輸入'!$J$7:$J$206,"是")</x:f>
        <x:v>0</x:v>
      </x:c>
      <x:c r="L55" s="115" t="n">
        <x:f>COUNTIFS('面談與異議'!$C$7:$C$106,$B55,'面談與異議'!$F$7:$F$106,$D55,'面談與異議'!$E$7:$E$106,"兩個月面談")</x:f>
        <x:v>0</x:v>
      </x:c>
      <x:c r="M55" s="115" t="str">
        <x:f>IF($E55&lt;&gt;"Ø","不適用",IF(COUNTIFS('事件與限制'!$C$7:$C$106,$B55,'事件與限制'!$E$7:$E$106,$D55,'事件與限制'!$Q$7:$Q$106,"生效中")&gt;0,"資格限制中",IF($F55&lt;&gt;"已核定","先完成基準核定",IF($K55&gt;0,"有關鍵遺漏，先檢討",IF($G55&lt;3,"尚缺成功觀察",IF($J55&lt;2,"觀察日期不足",IF($L55&lt;1,"待兩個月面談","可送主管核定")))))))</x:f>
        <x:v>不適用</x:v>
      </x:c>
      <x:c r="N55" s="116" t="str">
        <x:v>待核定</x:v>
      </x:c>
      <x:c r="O55" s="118"/>
      <x:c r="P55" s="116"/>
      <x:c r="Q55" s="116"/>
      <x:c r="R55" s="115" t="str">
        <x:f>IF($M55&lt;&gt;"可送主管核定","尚未具備條件",IF($N55="不升級","維持原評等",IF($N55="核定升級",IF(OR($O55="",$P55=""),"核定資料未完整","已核定升級"),"待主管核定")))</x:f>
        <x:v>尚未具備條件</x:v>
      </x:c>
    </x:row>
    <x:row r="56">
      <x:c r="A56" s="79" t="str">
        <x:v>UPG|1013|COMMON-PA</x:v>
      </x:c>
      <x:c r="B56" s="79" t="str">
        <x:v>1013</x:v>
      </x:c>
      <x:c r="C56" s="79" t="str"/>
      <x:c r="D56" s="79" t="str">
        <x:v>COMMON-PA</x:v>
      </x:c>
      <x:c r="E56" s="79" t="str">
        <x:v>◎</x:v>
      </x:c>
      <x:c r="F56" s="115" t="str">
        <x:f>IF($E56="未評估","未建立",_xlfn.XLOOKUP("ABIL|1013|COMMON-PA",'主管核定中心'!$A$12:$A$372,'主管核定中心'!$K$12:$K$372,"待主管核定",0))</x:f>
        <x:v>待主管核定</x:v>
      </x:c>
      <x:c r="G56" s="115" t="n">
        <x:f>COUNTIFS('工作觀察輸入'!$C$7:$C$206,$B56,'工作觀察輸入'!$G$7:$G$206,$D56,'工作觀察輸入'!$M$7:$M$206,"是")</x:f>
        <x:v>0</x:v>
      </x:c>
      <x:c r="H56" s="117" t="str">
        <x:f>IF($G56=0,"",_xlfn.MINIFS('工作觀察輸入'!$B$7:$B$206,'工作觀察輸入'!$C$7:$C$206,$B56,'工作觀察輸入'!$G$7:$G$206,$D56,'工作觀察輸入'!$M$7:$M$206,"是"))</x:f>
      </x:c>
      <x:c r="I56" s="117" t="str">
        <x:f>IF($G56=0,"",_xlfn.MAXIFS('工作觀察輸入'!$B$7:$B$206,'工作觀察輸入'!$C$7:$C$206,$B56,'工作觀察輸入'!$G$7:$G$206,$D56,'工作觀察輸入'!$M$7:$M$206,"是"))</x:f>
      </x:c>
      <x:c r="J56" s="115" t="n">
        <x:f>IF($G56=0,0,IF($H56=$I56,1,2))</x:f>
        <x:v>0</x:v>
      </x:c>
      <x:c r="K56" s="115" t="n">
        <x:f>COUNTIFS('工作觀察輸入'!$C$7:$C$206,$B56,'工作觀察輸入'!$G$7:$G$206,$D56,'工作觀察輸入'!$J$7:$J$206,"是")</x:f>
        <x:v>0</x:v>
      </x:c>
      <x:c r="L56" s="115" t="n">
        <x:f>COUNTIFS('面談與異議'!$C$7:$C$106,$B56,'面談與異議'!$F$7:$F$106,$D56,'面談與異議'!$E$7:$E$106,"兩個月面談")</x:f>
        <x:v>0</x:v>
      </x:c>
      <x:c r="M56" s="115" t="str">
        <x:f>IF($E56&lt;&gt;"Ø","不適用",IF(COUNTIFS('事件與限制'!$C$7:$C$106,$B56,'事件與限制'!$E$7:$E$106,$D56,'事件與限制'!$Q$7:$Q$106,"生效中")&gt;0,"資格限制中",IF($F56&lt;&gt;"已核定","先完成基準核定",IF($K56&gt;0,"有關鍵遺漏，先檢討",IF($G56&lt;3,"尚缺成功觀察",IF($J56&lt;2,"觀察日期不足",IF($L56&lt;1,"待兩個月面談","可送主管核定")))))))</x:f>
        <x:v>不適用</x:v>
      </x:c>
      <x:c r="N56" s="116" t="str">
        <x:v>待核定</x:v>
      </x:c>
      <x:c r="O56" s="118"/>
      <x:c r="P56" s="116"/>
      <x:c r="Q56" s="116"/>
      <x:c r="R56" s="115" t="str">
        <x:f>IF($M56&lt;&gt;"可送主管核定","尚未具備條件",IF($N56="不升級","維持原評等",IF($N56="核定升級",IF(OR($O56="",$P56=""),"核定資料未完整","已核定升級"),"待主管核定")))</x:f>
        <x:v>尚未具備條件</x:v>
      </x:c>
    </x:row>
    <x:row r="57">
      <x:c r="A57" s="79" t="str">
        <x:v>UPG|1013|COMMON-IOS</x:v>
      </x:c>
      <x:c r="B57" s="79" t="str">
        <x:v>1013</x:v>
      </x:c>
      <x:c r="C57" s="79" t="str"/>
      <x:c r="D57" s="79" t="str">
        <x:v>COMMON-IOS</x:v>
      </x:c>
      <x:c r="E57" s="79" t="str">
        <x:v>◎</x:v>
      </x:c>
      <x:c r="F57" s="115" t="str">
        <x:f>IF($E57="未評估","未建立",_xlfn.XLOOKUP("ABIL|1013|COMMON-IOS",'主管核定中心'!$A$12:$A$372,'主管核定中心'!$K$12:$K$372,"待主管核定",0))</x:f>
        <x:v>待主管核定</x:v>
      </x:c>
      <x:c r="G57" s="115" t="n">
        <x:f>COUNTIFS('工作觀察輸入'!$C$7:$C$206,$B57,'工作觀察輸入'!$G$7:$G$206,$D57,'工作觀察輸入'!$M$7:$M$206,"是")</x:f>
        <x:v>0</x:v>
      </x:c>
      <x:c r="H57" s="117" t="str">
        <x:f>IF($G57=0,"",_xlfn.MINIFS('工作觀察輸入'!$B$7:$B$206,'工作觀察輸入'!$C$7:$C$206,$B57,'工作觀察輸入'!$G$7:$G$206,$D57,'工作觀察輸入'!$M$7:$M$206,"是"))</x:f>
      </x:c>
      <x:c r="I57" s="117" t="str">
        <x:f>IF($G57=0,"",_xlfn.MAXIFS('工作觀察輸入'!$B$7:$B$206,'工作觀察輸入'!$C$7:$C$206,$B57,'工作觀察輸入'!$G$7:$G$206,$D57,'工作觀察輸入'!$M$7:$M$206,"是"))</x:f>
      </x:c>
      <x:c r="J57" s="115" t="n">
        <x:f>IF($G57=0,0,IF($H57=$I57,1,2))</x:f>
        <x:v>0</x:v>
      </x:c>
      <x:c r="K57" s="115" t="n">
        <x:f>COUNTIFS('工作觀察輸入'!$C$7:$C$206,$B57,'工作觀察輸入'!$G$7:$G$206,$D57,'工作觀察輸入'!$J$7:$J$206,"是")</x:f>
        <x:v>0</x:v>
      </x:c>
      <x:c r="L57" s="115" t="n">
        <x:f>COUNTIFS('面談與異議'!$C$7:$C$106,$B57,'面談與異議'!$F$7:$F$106,$D57,'面談與異議'!$E$7:$E$106,"兩個月面談")</x:f>
        <x:v>0</x:v>
      </x:c>
      <x:c r="M57" s="115" t="str">
        <x:f>IF($E57&lt;&gt;"Ø","不適用",IF(COUNTIFS('事件與限制'!$C$7:$C$106,$B57,'事件與限制'!$E$7:$E$106,$D57,'事件與限制'!$Q$7:$Q$106,"生效中")&gt;0,"資格限制中",IF($F57&lt;&gt;"已核定","先完成基準核定",IF($K57&gt;0,"有關鍵遺漏，先檢討",IF($G57&lt;3,"尚缺成功觀察",IF($J57&lt;2,"觀察日期不足",IF($L57&lt;1,"待兩個月面談","可送主管核定")))))))</x:f>
        <x:v>不適用</x:v>
      </x:c>
      <x:c r="N57" s="116" t="str">
        <x:v>待核定</x:v>
      </x:c>
      <x:c r="O57" s="118"/>
      <x:c r="P57" s="116"/>
      <x:c r="Q57" s="116"/>
      <x:c r="R57" s="115" t="str">
        <x:f>IF($M57&lt;&gt;"可送主管核定","尚未具備條件",IF($N57="不升級","維持原評等",IF($N57="核定升級",IF(OR($O57="",$P57=""),"核定資料未完整","已核定升級"),"待主管核定")))</x:f>
        <x:v>尚未具備條件</x:v>
      </x:c>
    </x:row>
    <x:row r="58">
      <x:c r="A58" s="79" t="str">
        <x:v>UPG|1019|LJT-PREP-SCALING</x:v>
      </x:c>
      <x:c r="B58" s="79" t="str">
        <x:v>1019</x:v>
      </x:c>
      <x:c r="C58" s="79" t="str"/>
      <x:c r="D58" s="79" t="str">
        <x:v>LJT-PREP-SCALING</x:v>
      </x:c>
      <x:c r="E58" s="79" t="str">
        <x:v>◎</x:v>
      </x:c>
      <x:c r="F58" s="115" t="str">
        <x:f>IF($E58="未評估","未建立",_xlfn.XLOOKUP("ABIL|1019|LJT-PREP-SCALING",'主管核定中心'!$A$12:$A$372,'主管核定中心'!$K$12:$K$372,"待主管核定",0))</x:f>
        <x:v>待主管核定</x:v>
      </x:c>
      <x:c r="G58" s="115" t="n">
        <x:f>COUNTIFS('工作觀察輸入'!$C$7:$C$206,$B58,'工作觀察輸入'!$G$7:$G$206,$D58,'工作觀察輸入'!$M$7:$M$206,"是")</x:f>
        <x:v>0</x:v>
      </x:c>
      <x:c r="H58" s="117" t="str">
        <x:f>IF($G58=0,"",_xlfn.MINIFS('工作觀察輸入'!$B$7:$B$206,'工作觀察輸入'!$C$7:$C$206,$B58,'工作觀察輸入'!$G$7:$G$206,$D58,'工作觀察輸入'!$M$7:$M$206,"是"))</x:f>
      </x:c>
      <x:c r="I58" s="117" t="str">
        <x:f>IF($G58=0,"",_xlfn.MAXIFS('工作觀察輸入'!$B$7:$B$206,'工作觀察輸入'!$C$7:$C$206,$B58,'工作觀察輸入'!$G$7:$G$206,$D58,'工作觀察輸入'!$M$7:$M$206,"是"))</x:f>
      </x:c>
      <x:c r="J58" s="115" t="n">
        <x:f>IF($G58=0,0,IF($H58=$I58,1,2))</x:f>
        <x:v>0</x:v>
      </x:c>
      <x:c r="K58" s="115" t="n">
        <x:f>COUNTIFS('工作觀察輸入'!$C$7:$C$206,$B58,'工作觀察輸入'!$G$7:$G$206,$D58,'工作觀察輸入'!$J$7:$J$206,"是")</x:f>
        <x:v>0</x:v>
      </x:c>
      <x:c r="L58" s="115" t="n">
        <x:f>COUNTIFS('面談與異議'!$C$7:$C$106,$B58,'面談與異議'!$F$7:$F$106,$D58,'面談與異議'!$E$7:$E$106,"兩個月面談")</x:f>
        <x:v>0</x:v>
      </x:c>
      <x:c r="M58" s="115" t="str">
        <x:f>IF($E58&lt;&gt;"Ø","不適用",IF(COUNTIFS('事件與限制'!$C$7:$C$106,$B58,'事件與限制'!$E$7:$E$106,$D58,'事件與限制'!$Q$7:$Q$106,"生效中")&gt;0,"資格限制中",IF($F58&lt;&gt;"已核定","先完成基準核定",IF($K58&gt;0,"有關鍵遺漏，先檢討",IF($G58&lt;3,"尚缺成功觀察",IF($J58&lt;2,"觀察日期不足",IF($L58&lt;1,"待兩個月面談","可送主管核定")))))))</x:f>
        <x:v>不適用</x:v>
      </x:c>
      <x:c r="N58" s="116" t="str">
        <x:v>待核定</x:v>
      </x:c>
      <x:c r="O58" s="118"/>
      <x:c r="P58" s="116"/>
      <x:c r="Q58" s="116"/>
      <x:c r="R58" s="115" t="str">
        <x:f>IF($M58&lt;&gt;"可送主管核定","尚未具備條件",IF($N58="不升級","維持原評等",IF($N58="核定升級",IF(OR($O58="",$P58=""),"核定資料未完整","已核定升級"),"待主管核定")))</x:f>
        <x:v>尚未具備條件</x:v>
      </x:c>
    </x:row>
    <x:row r="59">
      <x:c r="A59" s="79" t="str">
        <x:v>UPG|1019|LJT-PREP-FILLING</x:v>
      </x:c>
      <x:c r="B59" s="79" t="str">
        <x:v>1019</x:v>
      </x:c>
      <x:c r="C59" s="79" t="str"/>
      <x:c r="D59" s="79" t="str">
        <x:v>LJT-PREP-FILLING</x:v>
      </x:c>
      <x:c r="E59" s="79" t="str">
        <x:v>◎</x:v>
      </x:c>
      <x:c r="F59" s="115" t="str">
        <x:f>IF($E59="未評估","未建立",_xlfn.XLOOKUP("ABIL|1019|LJT-PREP-FILLING",'主管核定中心'!$A$12:$A$372,'主管核定中心'!$K$12:$K$372,"待主管核定",0))</x:f>
        <x:v>待主管核定</x:v>
      </x:c>
      <x:c r="G59" s="115" t="n">
        <x:f>COUNTIFS('工作觀察輸入'!$C$7:$C$206,$B59,'工作觀察輸入'!$G$7:$G$206,$D59,'工作觀察輸入'!$M$7:$M$206,"是")</x:f>
        <x:v>0</x:v>
      </x:c>
      <x:c r="H59" s="117" t="str">
        <x:f>IF($G59=0,"",_xlfn.MINIFS('工作觀察輸入'!$B$7:$B$206,'工作觀察輸入'!$C$7:$C$206,$B59,'工作觀察輸入'!$G$7:$G$206,$D59,'工作觀察輸入'!$M$7:$M$206,"是"))</x:f>
      </x:c>
      <x:c r="I59" s="117" t="str">
        <x:f>IF($G59=0,"",_xlfn.MAXIFS('工作觀察輸入'!$B$7:$B$206,'工作觀察輸入'!$C$7:$C$206,$B59,'工作觀察輸入'!$G$7:$G$206,$D59,'工作觀察輸入'!$M$7:$M$206,"是"))</x:f>
      </x:c>
      <x:c r="J59" s="115" t="n">
        <x:f>IF($G59=0,0,IF($H59=$I59,1,2))</x:f>
        <x:v>0</x:v>
      </x:c>
      <x:c r="K59" s="115" t="n">
        <x:f>COUNTIFS('工作觀察輸入'!$C$7:$C$206,$B59,'工作觀察輸入'!$G$7:$G$206,$D59,'工作觀察輸入'!$J$7:$J$206,"是")</x:f>
        <x:v>0</x:v>
      </x:c>
      <x:c r="L59" s="115" t="n">
        <x:f>COUNTIFS('面談與異議'!$C$7:$C$106,$B59,'面談與異議'!$F$7:$F$106,$D59,'面談與異議'!$E$7:$E$106,"兩個月面談")</x:f>
        <x:v>0</x:v>
      </x:c>
      <x:c r="M59" s="115" t="str">
        <x:f>IF($E59&lt;&gt;"Ø","不適用",IF(COUNTIFS('事件與限制'!$C$7:$C$106,$B59,'事件與限制'!$E$7:$E$106,$D59,'事件與限制'!$Q$7:$Q$106,"生效中")&gt;0,"資格限制中",IF($F59&lt;&gt;"已核定","先完成基準核定",IF($K59&gt;0,"有關鍵遺漏，先檢討",IF($G59&lt;3,"尚缺成功觀察",IF($J59&lt;2,"觀察日期不足",IF($L59&lt;1,"待兩個月面談","可送主管核定")))))))</x:f>
        <x:v>不適用</x:v>
      </x:c>
      <x:c r="N59" s="116" t="str">
        <x:v>待核定</x:v>
      </x:c>
      <x:c r="O59" s="118"/>
      <x:c r="P59" s="116"/>
      <x:c r="Q59" s="116"/>
      <x:c r="R59" s="115" t="str">
        <x:f>IF($M59&lt;&gt;"可送主管核定","尚未具備條件",IF($N59="不升級","維持原評等",IF($N59="核定升級",IF(OR($O59="",$P59=""),"核定資料未完整","已核定升級"),"待主管核定")))</x:f>
        <x:v>尚未具備條件</x:v>
      </x:c>
    </x:row>
    <x:row r="60">
      <x:c r="A60" s="79" t="str">
        <x:v>UPG|1019|LJT-PREP-PERIO</x:v>
      </x:c>
      <x:c r="B60" s="79" t="str">
        <x:v>1019</x:v>
      </x:c>
      <x:c r="C60" s="79" t="str"/>
      <x:c r="D60" s="79" t="str">
        <x:v>LJT-PREP-PERIO</x:v>
      </x:c>
      <x:c r="E60" s="79" t="str">
        <x:v>◎</x:v>
      </x:c>
      <x:c r="F60" s="115" t="str">
        <x:f>IF($E60="未評估","未建立",_xlfn.XLOOKUP("ABIL|1019|LJT-PREP-PERIO",'主管核定中心'!$A$12:$A$372,'主管核定中心'!$K$12:$K$372,"待主管核定",0))</x:f>
        <x:v>待主管核定</x:v>
      </x:c>
      <x:c r="G60" s="115" t="n">
        <x:f>COUNTIFS('工作觀察輸入'!$C$7:$C$206,$B60,'工作觀察輸入'!$G$7:$G$206,$D60,'工作觀察輸入'!$M$7:$M$206,"是")</x:f>
        <x:v>0</x:v>
      </x:c>
      <x:c r="H60" s="117" t="str">
        <x:f>IF($G60=0,"",_xlfn.MINIFS('工作觀察輸入'!$B$7:$B$206,'工作觀察輸入'!$C$7:$C$206,$B60,'工作觀察輸入'!$G$7:$G$206,$D60,'工作觀察輸入'!$M$7:$M$206,"是"))</x:f>
      </x:c>
      <x:c r="I60" s="117" t="str">
        <x:f>IF($G60=0,"",_xlfn.MAXIFS('工作觀察輸入'!$B$7:$B$206,'工作觀察輸入'!$C$7:$C$206,$B60,'工作觀察輸入'!$G$7:$G$206,$D60,'工作觀察輸入'!$M$7:$M$206,"是"))</x:f>
      </x:c>
      <x:c r="J60" s="115" t="n">
        <x:f>IF($G60=0,0,IF($H60=$I60,1,2))</x:f>
        <x:v>0</x:v>
      </x:c>
      <x:c r="K60" s="115" t="n">
        <x:f>COUNTIFS('工作觀察輸入'!$C$7:$C$206,$B60,'工作觀察輸入'!$G$7:$G$206,$D60,'工作觀察輸入'!$J$7:$J$206,"是")</x:f>
        <x:v>0</x:v>
      </x:c>
      <x:c r="L60" s="115" t="n">
        <x:f>COUNTIFS('面談與異議'!$C$7:$C$106,$B60,'面談與異議'!$F$7:$F$106,$D60,'面談與異議'!$E$7:$E$106,"兩個月面談")</x:f>
        <x:v>0</x:v>
      </x:c>
      <x:c r="M60" s="115" t="str">
        <x:f>IF($E60&lt;&gt;"Ø","不適用",IF(COUNTIFS('事件與限制'!$C$7:$C$106,$B60,'事件與限制'!$E$7:$E$106,$D60,'事件與限制'!$Q$7:$Q$106,"生效中")&gt;0,"資格限制中",IF($F60&lt;&gt;"已核定","先完成基準核定",IF($K60&gt;0,"有關鍵遺漏，先檢討",IF($G60&lt;3,"尚缺成功觀察",IF($J60&lt;2,"觀察日期不足",IF($L60&lt;1,"待兩個月面談","可送主管核定")))))))</x:f>
        <x:v>不適用</x:v>
      </x:c>
      <x:c r="N60" s="116" t="str">
        <x:v>待核定</x:v>
      </x:c>
      <x:c r="O60" s="118"/>
      <x:c r="P60" s="116"/>
      <x:c r="Q60" s="116"/>
      <x:c r="R60" s="115" t="str">
        <x:f>IF($M60&lt;&gt;"可送主管核定","尚未具備條件",IF($N60="不升級","維持原評等",IF($N60="核定升級",IF(OR($O60="",$P60=""),"核定資料未完整","已核定升級"),"待主管核定")))</x:f>
        <x:v>尚未具備條件</x:v>
      </x:c>
    </x:row>
    <x:row r="61">
      <x:c r="A61" s="79" t="str">
        <x:v>UPG|1019|LJT-PREP-RCT</x:v>
      </x:c>
      <x:c r="B61" s="79" t="str">
        <x:v>1019</x:v>
      </x:c>
      <x:c r="C61" s="79" t="str"/>
      <x:c r="D61" s="79" t="str">
        <x:v>LJT-PREP-RCT</x:v>
      </x:c>
      <x:c r="E61" s="79" t="str">
        <x:v>◎</x:v>
      </x:c>
      <x:c r="F61" s="115" t="str">
        <x:f>IF($E61="未評估","未建立",_xlfn.XLOOKUP("ABIL|1019|LJT-PREP-RCT",'主管核定中心'!$A$12:$A$372,'主管核定中心'!$K$12:$K$372,"待主管核定",0))</x:f>
        <x:v>待主管核定</x:v>
      </x:c>
      <x:c r="G61" s="115" t="n">
        <x:f>COUNTIFS('工作觀察輸入'!$C$7:$C$206,$B61,'工作觀察輸入'!$G$7:$G$206,$D61,'工作觀察輸入'!$M$7:$M$206,"是")</x:f>
        <x:v>0</x:v>
      </x:c>
      <x:c r="H61" s="117" t="str">
        <x:f>IF($G61=0,"",_xlfn.MINIFS('工作觀察輸入'!$B$7:$B$206,'工作觀察輸入'!$C$7:$C$206,$B61,'工作觀察輸入'!$G$7:$G$206,$D61,'工作觀察輸入'!$M$7:$M$206,"是"))</x:f>
      </x:c>
      <x:c r="I61" s="117" t="str">
        <x:f>IF($G61=0,"",_xlfn.MAXIFS('工作觀察輸入'!$B$7:$B$206,'工作觀察輸入'!$C$7:$C$206,$B61,'工作觀察輸入'!$G$7:$G$206,$D61,'工作觀察輸入'!$M$7:$M$206,"是"))</x:f>
      </x:c>
      <x:c r="J61" s="115" t="n">
        <x:f>IF($G61=0,0,IF($H61=$I61,1,2))</x:f>
        <x:v>0</x:v>
      </x:c>
      <x:c r="K61" s="115" t="n">
        <x:f>COUNTIFS('工作觀察輸入'!$C$7:$C$206,$B61,'工作觀察輸入'!$G$7:$G$206,$D61,'工作觀察輸入'!$J$7:$J$206,"是")</x:f>
        <x:v>0</x:v>
      </x:c>
      <x:c r="L61" s="115" t="n">
        <x:f>COUNTIFS('面談與異議'!$C$7:$C$106,$B61,'面談與異議'!$F$7:$F$106,$D61,'面談與異議'!$E$7:$E$106,"兩個月面談")</x:f>
        <x:v>0</x:v>
      </x:c>
      <x:c r="M61" s="115" t="str">
        <x:f>IF($E61&lt;&gt;"Ø","不適用",IF(COUNTIFS('事件與限制'!$C$7:$C$106,$B61,'事件與限制'!$E$7:$E$106,$D61,'事件與限制'!$Q$7:$Q$106,"生效中")&gt;0,"資格限制中",IF($F61&lt;&gt;"已核定","先完成基準核定",IF($K61&gt;0,"有關鍵遺漏，先檢討",IF($G61&lt;3,"尚缺成功觀察",IF($J61&lt;2,"觀察日期不足",IF($L61&lt;1,"待兩個月面談","可送主管核定")))))))</x:f>
        <x:v>不適用</x:v>
      </x:c>
      <x:c r="N61" s="116" t="str">
        <x:v>待核定</x:v>
      </x:c>
      <x:c r="O61" s="118"/>
      <x:c r="P61" s="116"/>
      <x:c r="Q61" s="116"/>
      <x:c r="R61" s="115" t="str">
        <x:f>IF($M61&lt;&gt;"可送主管核定","尚未具備條件",IF($N61="不升級","維持原評等",IF($N61="核定升級",IF(OR($O61="",$P61=""),"核定資料未完整","已核定升級"),"待主管核定")))</x:f>
        <x:v>尚未具備條件</x:v>
      </x:c>
    </x:row>
    <x:row r="62">
      <x:c r="A62" s="79" t="str">
        <x:v>UPG|1019|LJT-PREP-EXTRACTION</x:v>
      </x:c>
      <x:c r="B62" s="79" t="str">
        <x:v>1019</x:v>
      </x:c>
      <x:c r="C62" s="79" t="str"/>
      <x:c r="D62" s="79" t="str">
        <x:v>LJT-PREP-EXTRACTION</x:v>
      </x:c>
      <x:c r="E62" s="79" t="str">
        <x:v>◎</x:v>
      </x:c>
      <x:c r="F62" s="115" t="str">
        <x:f>IF($E62="未評估","未建立",_xlfn.XLOOKUP("ABIL|1019|LJT-PREP-EXTRACTION",'主管核定中心'!$A$12:$A$372,'主管核定中心'!$K$12:$K$372,"待主管核定",0))</x:f>
        <x:v>待主管核定</x:v>
      </x:c>
      <x:c r="G62" s="115" t="n">
        <x:f>COUNTIFS('工作觀察輸入'!$C$7:$C$206,$B62,'工作觀察輸入'!$G$7:$G$206,$D62,'工作觀察輸入'!$M$7:$M$206,"是")</x:f>
        <x:v>0</x:v>
      </x:c>
      <x:c r="H62" s="117" t="str">
        <x:f>IF($G62=0,"",_xlfn.MINIFS('工作觀察輸入'!$B$7:$B$206,'工作觀察輸入'!$C$7:$C$206,$B62,'工作觀察輸入'!$G$7:$G$206,$D62,'工作觀察輸入'!$M$7:$M$206,"是"))</x:f>
      </x:c>
      <x:c r="I62" s="117" t="str">
        <x:f>IF($G62=0,"",_xlfn.MAXIFS('工作觀察輸入'!$B$7:$B$206,'工作觀察輸入'!$C$7:$C$206,$B62,'工作觀察輸入'!$G$7:$G$206,$D62,'工作觀察輸入'!$M$7:$M$206,"是"))</x:f>
      </x:c>
      <x:c r="J62" s="115" t="n">
        <x:f>IF($G62=0,0,IF($H62=$I62,1,2))</x:f>
        <x:v>0</x:v>
      </x:c>
      <x:c r="K62" s="115" t="n">
        <x:f>COUNTIFS('工作觀察輸入'!$C$7:$C$206,$B62,'工作觀察輸入'!$G$7:$G$206,$D62,'工作觀察輸入'!$J$7:$J$206,"是")</x:f>
        <x:v>0</x:v>
      </x:c>
      <x:c r="L62" s="115" t="n">
        <x:f>COUNTIFS('面談與異議'!$C$7:$C$106,$B62,'面談與異議'!$F$7:$F$106,$D62,'面談與異議'!$E$7:$E$106,"兩個月面談")</x:f>
        <x:v>0</x:v>
      </x:c>
      <x:c r="M62" s="115" t="str">
        <x:f>IF($E62&lt;&gt;"Ø","不適用",IF(COUNTIFS('事件與限制'!$C$7:$C$106,$B62,'事件與限制'!$E$7:$E$106,$D62,'事件與限制'!$Q$7:$Q$106,"生效中")&gt;0,"資格限制中",IF($F62&lt;&gt;"已核定","先完成基準核定",IF($K62&gt;0,"有關鍵遺漏，先檢討",IF($G62&lt;3,"尚缺成功觀察",IF($J62&lt;2,"觀察日期不足",IF($L62&lt;1,"待兩個月面談","可送主管核定")))))))</x:f>
        <x:v>不適用</x:v>
      </x:c>
      <x:c r="N62" s="116" t="str">
        <x:v>待核定</x:v>
      </x:c>
      <x:c r="O62" s="118"/>
      <x:c r="P62" s="116"/>
      <x:c r="Q62" s="116"/>
      <x:c r="R62" s="115" t="str">
        <x:f>IF($M62&lt;&gt;"可送主管核定","尚未具備條件",IF($N62="不升級","維持原評等",IF($N62="核定升級",IF(OR($O62="",$P62=""),"核定資料未完整","已核定升級"),"待主管核定")))</x:f>
        <x:v>尚未具備條件</x:v>
      </x:c>
    </x:row>
    <x:row r="63">
      <x:c r="A63" s="79" t="str">
        <x:v>UPG|1019|LJT-PREP-CROWNPOST</x:v>
      </x:c>
      <x:c r="B63" s="79" t="str">
        <x:v>1019</x:v>
      </x:c>
      <x:c r="C63" s="79" t="str"/>
      <x:c r="D63" s="79" t="str">
        <x:v>LJT-PREP-CROWNPOST</x:v>
      </x:c>
      <x:c r="E63" s="79" t="str">
        <x:v>◎</x:v>
      </x:c>
      <x:c r="F63" s="115" t="str">
        <x:f>IF($E63="未評估","未建立",_xlfn.XLOOKUP("ABIL|1019|LJT-PREP-CROWNPOST",'主管核定中心'!$A$12:$A$372,'主管核定中心'!$K$12:$K$372,"待主管核定",0))</x:f>
        <x:v>待主管核定</x:v>
      </x:c>
      <x:c r="G63" s="115" t="n">
        <x:f>COUNTIFS('工作觀察輸入'!$C$7:$C$206,$B63,'工作觀察輸入'!$G$7:$G$206,$D63,'工作觀察輸入'!$M$7:$M$206,"是")</x:f>
        <x:v>0</x:v>
      </x:c>
      <x:c r="H63" s="117" t="str">
        <x:f>IF($G63=0,"",_xlfn.MINIFS('工作觀察輸入'!$B$7:$B$206,'工作觀察輸入'!$C$7:$C$206,$B63,'工作觀察輸入'!$G$7:$G$206,$D63,'工作觀察輸入'!$M$7:$M$206,"是"))</x:f>
      </x:c>
      <x:c r="I63" s="117" t="str">
        <x:f>IF($G63=0,"",_xlfn.MAXIFS('工作觀察輸入'!$B$7:$B$206,'工作觀察輸入'!$C$7:$C$206,$B63,'工作觀察輸入'!$G$7:$G$206,$D63,'工作觀察輸入'!$M$7:$M$206,"是"))</x:f>
      </x:c>
      <x:c r="J63" s="115" t="n">
        <x:f>IF($G63=0,0,IF($H63=$I63,1,2))</x:f>
        <x:v>0</x:v>
      </x:c>
      <x:c r="K63" s="115" t="n">
        <x:f>COUNTIFS('工作觀察輸入'!$C$7:$C$206,$B63,'工作觀察輸入'!$G$7:$G$206,$D63,'工作觀察輸入'!$J$7:$J$206,"是")</x:f>
        <x:v>0</x:v>
      </x:c>
      <x:c r="L63" s="115" t="n">
        <x:f>COUNTIFS('面談與異議'!$C$7:$C$106,$B63,'面談與異議'!$F$7:$F$106,$D63,'面談與異議'!$E$7:$E$106,"兩個月面談")</x:f>
        <x:v>0</x:v>
      </x:c>
      <x:c r="M63" s="115" t="str">
        <x:f>IF($E63&lt;&gt;"Ø","不適用",IF(COUNTIFS('事件與限制'!$C$7:$C$106,$B63,'事件與限制'!$E$7:$E$106,$D63,'事件與限制'!$Q$7:$Q$106,"生效中")&gt;0,"資格限制中",IF($F63&lt;&gt;"已核定","先完成基準核定",IF($K63&gt;0,"有關鍵遺漏，先檢討",IF($G63&lt;3,"尚缺成功觀察",IF($J63&lt;2,"觀察日期不足",IF($L63&lt;1,"待兩個月面談","可送主管核定")))))))</x:f>
        <x:v>不適用</x:v>
      </x:c>
      <x:c r="N63" s="116" t="str">
        <x:v>待核定</x:v>
      </x:c>
      <x:c r="O63" s="118"/>
      <x:c r="P63" s="116"/>
      <x:c r="Q63" s="116"/>
      <x:c r="R63" s="115" t="str">
        <x:f>IF($M63&lt;&gt;"可送主管核定","尚未具備條件",IF($N63="不升級","維持原評等",IF($N63="核定升級",IF(OR($O63="",$P63=""),"核定資料未完整","已核定升級"),"待主管核定")))</x:f>
        <x:v>尚未具備條件</x:v>
      </x:c>
    </x:row>
    <x:row r="64">
      <x:c r="A64" s="79" t="str">
        <x:v>UPG|1019|LJT-PREP-CROWN</x:v>
      </x:c>
      <x:c r="B64" s="79" t="str">
        <x:v>1019</x:v>
      </x:c>
      <x:c r="C64" s="79" t="str"/>
      <x:c r="D64" s="79" t="str">
        <x:v>LJT-PREP-CROWN</x:v>
      </x:c>
      <x:c r="E64" s="79" t="str">
        <x:v>◎</x:v>
      </x:c>
      <x:c r="F64" s="115" t="str">
        <x:f>IF($E64="未評估","未建立",_xlfn.XLOOKUP("ABIL|1019|LJT-PREP-CROWN",'主管核定中心'!$A$12:$A$372,'主管核定中心'!$K$12:$K$372,"待主管核定",0))</x:f>
        <x:v>待主管核定</x:v>
      </x:c>
      <x:c r="G64" s="115" t="n">
        <x:f>COUNTIFS('工作觀察輸入'!$C$7:$C$206,$B64,'工作觀察輸入'!$G$7:$G$206,$D64,'工作觀察輸入'!$M$7:$M$206,"是")</x:f>
        <x:v>0</x:v>
      </x:c>
      <x:c r="H64" s="117" t="str">
        <x:f>IF($G64=0,"",_xlfn.MINIFS('工作觀察輸入'!$B$7:$B$206,'工作觀察輸入'!$C$7:$C$206,$B64,'工作觀察輸入'!$G$7:$G$206,$D64,'工作觀察輸入'!$M$7:$M$206,"是"))</x:f>
      </x:c>
      <x:c r="I64" s="117" t="str">
        <x:f>IF($G64=0,"",_xlfn.MAXIFS('工作觀察輸入'!$B$7:$B$206,'工作觀察輸入'!$C$7:$C$206,$B64,'工作觀察輸入'!$G$7:$G$206,$D64,'工作觀察輸入'!$M$7:$M$206,"是"))</x:f>
      </x:c>
      <x:c r="J64" s="115" t="n">
        <x:f>IF($G64=0,0,IF($H64=$I64,1,2))</x:f>
        <x:v>0</x:v>
      </x:c>
      <x:c r="K64" s="115" t="n">
        <x:f>COUNTIFS('工作觀察輸入'!$C$7:$C$206,$B64,'工作觀察輸入'!$G$7:$G$206,$D64,'工作觀察輸入'!$J$7:$J$206,"是")</x:f>
        <x:v>0</x:v>
      </x:c>
      <x:c r="L64" s="115" t="n">
        <x:f>COUNTIFS('面談與異議'!$C$7:$C$106,$B64,'面談與異議'!$F$7:$F$106,$D64,'面談與異議'!$E$7:$E$106,"兩個月面談")</x:f>
        <x:v>0</x:v>
      </x:c>
      <x:c r="M64" s="115" t="str">
        <x:f>IF($E64&lt;&gt;"Ø","不適用",IF(COUNTIFS('事件與限制'!$C$7:$C$106,$B64,'事件與限制'!$E$7:$E$106,$D64,'事件與限制'!$Q$7:$Q$106,"生效中")&gt;0,"資格限制中",IF($F64&lt;&gt;"已核定","先完成基準核定",IF($K64&gt;0,"有關鍵遺漏，先檢討",IF($G64&lt;3,"尚缺成功觀察",IF($J64&lt;2,"觀察日期不足",IF($L64&lt;1,"待兩個月面談","可送主管核定")))))))</x:f>
        <x:v>不適用</x:v>
      </x:c>
      <x:c r="N64" s="116" t="str">
        <x:v>待核定</x:v>
      </x:c>
      <x:c r="O64" s="118"/>
      <x:c r="P64" s="116"/>
      <x:c r="Q64" s="116"/>
      <x:c r="R64" s="115" t="str">
        <x:f>IF($M64&lt;&gt;"可送主管核定","尚未具備條件",IF($N64="不升級","維持原評等",IF($N64="核定升級",IF(OR($O64="",$P64=""),"核定資料未完整","已核定升級"),"待主管核定")))</x:f>
        <x:v>尚未具備條件</x:v>
      </x:c>
    </x:row>
    <x:row r="65">
      <x:c r="A65" s="79" t="str">
        <x:v>UPG|1019|LJT-PREP-RPD</x:v>
      </x:c>
      <x:c r="B65" s="79" t="str">
        <x:v>1019</x:v>
      </x:c>
      <x:c r="C65" s="79" t="str"/>
      <x:c r="D65" s="79" t="str">
        <x:v>LJT-PREP-RPD</x:v>
      </x:c>
      <x:c r="E65" s="79" t="str">
        <x:v>◎</x:v>
      </x:c>
      <x:c r="F65" s="115" t="str">
        <x:f>IF($E65="未評估","未建立",_xlfn.XLOOKUP("ABIL|1019|LJT-PREP-RPD",'主管核定中心'!$A$12:$A$372,'主管核定中心'!$K$12:$K$372,"待主管核定",0))</x:f>
        <x:v>待主管核定</x:v>
      </x:c>
      <x:c r="G65" s="115" t="n">
        <x:f>COUNTIFS('工作觀察輸入'!$C$7:$C$206,$B65,'工作觀察輸入'!$G$7:$G$206,$D65,'工作觀察輸入'!$M$7:$M$206,"是")</x:f>
        <x:v>0</x:v>
      </x:c>
      <x:c r="H65" s="117" t="str">
        <x:f>IF($G65=0,"",_xlfn.MINIFS('工作觀察輸入'!$B$7:$B$206,'工作觀察輸入'!$C$7:$C$206,$B65,'工作觀察輸入'!$G$7:$G$206,$D65,'工作觀察輸入'!$M$7:$M$206,"是"))</x:f>
      </x:c>
      <x:c r="I65" s="117" t="str">
        <x:f>IF($G65=0,"",_xlfn.MAXIFS('工作觀察輸入'!$B$7:$B$206,'工作觀察輸入'!$C$7:$C$206,$B65,'工作觀察輸入'!$G$7:$G$206,$D65,'工作觀察輸入'!$M$7:$M$206,"是"))</x:f>
      </x:c>
      <x:c r="J65" s="115" t="n">
        <x:f>IF($G65=0,0,IF($H65=$I65,1,2))</x:f>
        <x:v>0</x:v>
      </x:c>
      <x:c r="K65" s="115" t="n">
        <x:f>COUNTIFS('工作觀察輸入'!$C$7:$C$206,$B65,'工作觀察輸入'!$G$7:$G$206,$D65,'工作觀察輸入'!$J$7:$J$206,"是")</x:f>
        <x:v>0</x:v>
      </x:c>
      <x:c r="L65" s="115" t="n">
        <x:f>COUNTIFS('面談與異議'!$C$7:$C$106,$B65,'面談與異議'!$F$7:$F$106,$D65,'面談與異議'!$E$7:$E$106,"兩個月面談")</x:f>
        <x:v>0</x:v>
      </x:c>
      <x:c r="M65" s="115" t="str">
        <x:f>IF($E65&lt;&gt;"Ø","不適用",IF(COUNTIFS('事件與限制'!$C$7:$C$106,$B65,'事件與限制'!$E$7:$E$106,$D65,'事件與限制'!$Q$7:$Q$106,"生效中")&gt;0,"資格限制中",IF($F65&lt;&gt;"已核定","先完成基準核定",IF($K65&gt;0,"有關鍵遺漏，先檢討",IF($G65&lt;3,"尚缺成功觀察",IF($J65&lt;2,"觀察日期不足",IF($L65&lt;1,"待兩個月面談","可送主管核定")))))))</x:f>
        <x:v>不適用</x:v>
      </x:c>
      <x:c r="N65" s="116" t="str">
        <x:v>待核定</x:v>
      </x:c>
      <x:c r="O65" s="118"/>
      <x:c r="P65" s="116"/>
      <x:c r="Q65" s="116"/>
      <x:c r="R65" s="115" t="str">
        <x:f>IF($M65&lt;&gt;"可送主管核定","尚未具備條件",IF($N65="不升級","維持原評等",IF($N65="核定升級",IF(OR($O65="",$P65=""),"核定資料未完整","已核定升級"),"待主管核定")))</x:f>
        <x:v>尚未具備條件</x:v>
      </x:c>
    </x:row>
    <x:row r="66">
      <x:c r="A66" s="79" t="str">
        <x:v>UPG|1019|LJT-PREP-AIRPOLISH</x:v>
      </x:c>
      <x:c r="B66" s="79" t="str">
        <x:v>1019</x:v>
      </x:c>
      <x:c r="C66" s="79" t="str"/>
      <x:c r="D66" s="79" t="str">
        <x:v>LJT-PREP-AIRPOLISH</x:v>
      </x:c>
      <x:c r="E66" s="79" t="str">
        <x:v>◎</x:v>
      </x:c>
      <x:c r="F66" s="115" t="str">
        <x:f>IF($E66="未評估","未建立",_xlfn.XLOOKUP("ABIL|1019|LJT-PREP-AIRPOLISH",'主管核定中心'!$A$12:$A$372,'主管核定中心'!$K$12:$K$372,"待主管核定",0))</x:f>
        <x:v>待主管核定</x:v>
      </x:c>
      <x:c r="G66" s="115" t="n">
        <x:f>COUNTIFS('工作觀察輸入'!$C$7:$C$206,$B66,'工作觀察輸入'!$G$7:$G$206,$D66,'工作觀察輸入'!$M$7:$M$206,"是")</x:f>
        <x:v>0</x:v>
      </x:c>
      <x:c r="H66" s="117" t="str">
        <x:f>IF($G66=0,"",_xlfn.MINIFS('工作觀察輸入'!$B$7:$B$206,'工作觀察輸入'!$C$7:$C$206,$B66,'工作觀察輸入'!$G$7:$G$206,$D66,'工作觀察輸入'!$M$7:$M$206,"是"))</x:f>
      </x:c>
      <x:c r="I66" s="117" t="str">
        <x:f>IF($G66=0,"",_xlfn.MAXIFS('工作觀察輸入'!$B$7:$B$206,'工作觀察輸入'!$C$7:$C$206,$B66,'工作觀察輸入'!$G$7:$G$206,$D66,'工作觀察輸入'!$M$7:$M$206,"是"))</x:f>
      </x:c>
      <x:c r="J66" s="115" t="n">
        <x:f>IF($G66=0,0,IF($H66=$I66,1,2))</x:f>
        <x:v>0</x:v>
      </x:c>
      <x:c r="K66" s="115" t="n">
        <x:f>COUNTIFS('工作觀察輸入'!$C$7:$C$206,$B66,'工作觀察輸入'!$G$7:$G$206,$D66,'工作觀察輸入'!$J$7:$J$206,"是")</x:f>
        <x:v>0</x:v>
      </x:c>
      <x:c r="L66" s="115" t="n">
        <x:f>COUNTIFS('面談與異議'!$C$7:$C$106,$B66,'面談與異議'!$F$7:$F$106,$D66,'面談與異議'!$E$7:$E$106,"兩個月面談")</x:f>
        <x:v>0</x:v>
      </x:c>
      <x:c r="M66" s="115" t="str">
        <x:f>IF($E66&lt;&gt;"Ø","不適用",IF(COUNTIFS('事件與限制'!$C$7:$C$106,$B66,'事件與限制'!$E$7:$E$106,$D66,'事件與限制'!$Q$7:$Q$106,"生效中")&gt;0,"資格限制中",IF($F66&lt;&gt;"已核定","先完成基準核定",IF($K66&gt;0,"有關鍵遺漏，先檢討",IF($G66&lt;3,"尚缺成功觀察",IF($J66&lt;2,"觀察日期不足",IF($L66&lt;1,"待兩個月面談","可送主管核定")))))))</x:f>
        <x:v>不適用</x:v>
      </x:c>
      <x:c r="N66" s="116" t="str">
        <x:v>待核定</x:v>
      </x:c>
      <x:c r="O66" s="118"/>
      <x:c r="P66" s="116"/>
      <x:c r="Q66" s="116"/>
      <x:c r="R66" s="115" t="str">
        <x:f>IF($M66&lt;&gt;"可送主管核定","尚未具備條件",IF($N66="不升級","維持原評等",IF($N66="核定升級",IF(OR($O66="",$P66=""),"核定資料未完整","已核定升級"),"待主管核定")))</x:f>
        <x:v>尚未具備條件</x:v>
      </x:c>
    </x:row>
    <x:row r="67">
      <x:c r="A67" s="79" t="str">
        <x:v>UPG|1019|LJT-PREP-PERIOSURG</x:v>
      </x:c>
      <x:c r="B67" s="79" t="str">
        <x:v>1019</x:v>
      </x:c>
      <x:c r="C67" s="79" t="str"/>
      <x:c r="D67" s="79" t="str">
        <x:v>LJT-PREP-PERIOSURG</x:v>
      </x:c>
      <x:c r="E67" s="79" t="str">
        <x:v>◎</x:v>
      </x:c>
      <x:c r="F67" s="115" t="str">
        <x:f>IF($E67="未評估","未建立",_xlfn.XLOOKUP("ABIL|1019|LJT-PREP-PERIOSURG",'主管核定中心'!$A$12:$A$372,'主管核定中心'!$K$12:$K$372,"待主管核定",0))</x:f>
        <x:v>待主管核定</x:v>
      </x:c>
      <x:c r="G67" s="115" t="n">
        <x:f>COUNTIFS('工作觀察輸入'!$C$7:$C$206,$B67,'工作觀察輸入'!$G$7:$G$206,$D67,'工作觀察輸入'!$M$7:$M$206,"是")</x:f>
        <x:v>0</x:v>
      </x:c>
      <x:c r="H67" s="117" t="str">
        <x:f>IF($G67=0,"",_xlfn.MINIFS('工作觀察輸入'!$B$7:$B$206,'工作觀察輸入'!$C$7:$C$206,$B67,'工作觀察輸入'!$G$7:$G$206,$D67,'工作觀察輸入'!$M$7:$M$206,"是"))</x:f>
      </x:c>
      <x:c r="I67" s="117" t="str">
        <x:f>IF($G67=0,"",_xlfn.MAXIFS('工作觀察輸入'!$B$7:$B$206,'工作觀察輸入'!$C$7:$C$206,$B67,'工作觀察輸入'!$G$7:$G$206,$D67,'工作觀察輸入'!$M$7:$M$206,"是"))</x:f>
      </x:c>
      <x:c r="J67" s="115" t="n">
        <x:f>IF($G67=0,0,IF($H67=$I67,1,2))</x:f>
        <x:v>0</x:v>
      </x:c>
      <x:c r="K67" s="115" t="n">
        <x:f>COUNTIFS('工作觀察輸入'!$C$7:$C$206,$B67,'工作觀察輸入'!$G$7:$G$206,$D67,'工作觀察輸入'!$J$7:$J$206,"是")</x:f>
        <x:v>0</x:v>
      </x:c>
      <x:c r="L67" s="115" t="n">
        <x:f>COUNTIFS('面談與異議'!$C$7:$C$106,$B67,'面談與異議'!$F$7:$F$106,$D67,'面談與異議'!$E$7:$E$106,"兩個月面談")</x:f>
        <x:v>0</x:v>
      </x:c>
      <x:c r="M67" s="115" t="str">
        <x:f>IF($E67&lt;&gt;"Ø","不適用",IF(COUNTIFS('事件與限制'!$C$7:$C$106,$B67,'事件與限制'!$E$7:$E$106,$D67,'事件與限制'!$Q$7:$Q$106,"生效中")&gt;0,"資格限制中",IF($F67&lt;&gt;"已核定","先完成基準核定",IF($K67&gt;0,"有關鍵遺漏，先檢討",IF($G67&lt;3,"尚缺成功觀察",IF($J67&lt;2,"觀察日期不足",IF($L67&lt;1,"待兩個月面談","可送主管核定")))))))</x:f>
        <x:v>不適用</x:v>
      </x:c>
      <x:c r="N67" s="116" t="str">
        <x:v>待核定</x:v>
      </x:c>
      <x:c r="O67" s="118"/>
      <x:c r="P67" s="116"/>
      <x:c r="Q67" s="116"/>
      <x:c r="R67" s="115" t="str">
        <x:f>IF($M67&lt;&gt;"可送主管核定","尚未具備條件",IF($N67="不升級","維持原評等",IF($N67="核定升級",IF(OR($O67="",$P67=""),"核定資料未完整","已核定升級"),"待主管核定")))</x:f>
        <x:v>尚未具備條件</x:v>
      </x:c>
    </x:row>
    <x:row r="68">
      <x:c r="A68" s="79" t="str">
        <x:v>UPG|1019|LJT-PREP-MICROENDO</x:v>
      </x:c>
      <x:c r="B68" s="79" t="str">
        <x:v>1019</x:v>
      </x:c>
      <x:c r="C68" s="79" t="str"/>
      <x:c r="D68" s="79" t="str">
        <x:v>LJT-PREP-MICROENDO</x:v>
      </x:c>
      <x:c r="E68" s="79" t="str">
        <x:v>◎</x:v>
      </x:c>
      <x:c r="F68" s="115" t="str">
        <x:f>IF($E68="未評估","未建立",_xlfn.XLOOKUP("ABIL|1019|LJT-PREP-MICROENDO",'主管核定中心'!$A$12:$A$372,'主管核定中心'!$K$12:$K$372,"待主管核定",0))</x:f>
        <x:v>待主管核定</x:v>
      </x:c>
      <x:c r="G68" s="115" t="n">
        <x:f>COUNTIFS('工作觀察輸入'!$C$7:$C$206,$B68,'工作觀察輸入'!$G$7:$G$206,$D68,'工作觀察輸入'!$M$7:$M$206,"是")</x:f>
        <x:v>0</x:v>
      </x:c>
      <x:c r="H68" s="117" t="str">
        <x:f>IF($G68=0,"",_xlfn.MINIFS('工作觀察輸入'!$B$7:$B$206,'工作觀察輸入'!$C$7:$C$206,$B68,'工作觀察輸入'!$G$7:$G$206,$D68,'工作觀察輸入'!$M$7:$M$206,"是"))</x:f>
      </x:c>
      <x:c r="I68" s="117" t="str">
        <x:f>IF($G68=0,"",_xlfn.MAXIFS('工作觀察輸入'!$B$7:$B$206,'工作觀察輸入'!$C$7:$C$206,$B68,'工作觀察輸入'!$G$7:$G$206,$D68,'工作觀察輸入'!$M$7:$M$206,"是"))</x:f>
      </x:c>
      <x:c r="J68" s="115" t="n">
        <x:f>IF($G68=0,0,IF($H68=$I68,1,2))</x:f>
        <x:v>0</x:v>
      </x:c>
      <x:c r="K68" s="115" t="n">
        <x:f>COUNTIFS('工作觀察輸入'!$C$7:$C$206,$B68,'工作觀察輸入'!$G$7:$G$206,$D68,'工作觀察輸入'!$J$7:$J$206,"是")</x:f>
        <x:v>0</x:v>
      </x:c>
      <x:c r="L68" s="115" t="n">
        <x:f>COUNTIFS('面談與異議'!$C$7:$C$106,$B68,'面談與異議'!$F$7:$F$106,$D68,'面談與異議'!$E$7:$E$106,"兩個月面談")</x:f>
        <x:v>0</x:v>
      </x:c>
      <x:c r="M68" s="115" t="str">
        <x:f>IF($E68&lt;&gt;"Ø","不適用",IF(COUNTIFS('事件與限制'!$C$7:$C$106,$B68,'事件與限制'!$E$7:$E$106,$D68,'事件與限制'!$Q$7:$Q$106,"生效中")&gt;0,"資格限制中",IF($F68&lt;&gt;"已核定","先完成基準核定",IF($K68&gt;0,"有關鍵遺漏，先檢討",IF($G68&lt;3,"尚缺成功觀察",IF($J68&lt;2,"觀察日期不足",IF($L68&lt;1,"待兩個月面談","可送主管核定")))))))</x:f>
        <x:v>不適用</x:v>
      </x:c>
      <x:c r="N68" s="116" t="str">
        <x:v>待核定</x:v>
      </x:c>
      <x:c r="O68" s="118"/>
      <x:c r="P68" s="116"/>
      <x:c r="Q68" s="116"/>
      <x:c r="R68" s="115" t="str">
        <x:f>IF($M68&lt;&gt;"可送主管核定","尚未具備條件",IF($N68="不升級","維持原評等",IF($N68="核定升級",IF(OR($O68="",$P68=""),"核定資料未完整","已核定升級"),"待主管核定")))</x:f>
        <x:v>尚未具備條件</x:v>
      </x:c>
    </x:row>
    <x:row r="69">
      <x:c r="A69" s="79" t="str">
        <x:v>UPG|1019|LJT-PREP-IMPLANT</x:v>
      </x:c>
      <x:c r="B69" s="79" t="str">
        <x:v>1019</x:v>
      </x:c>
      <x:c r="C69" s="79" t="str"/>
      <x:c r="D69" s="79" t="str">
        <x:v>LJT-PREP-IMPLANT</x:v>
      </x:c>
      <x:c r="E69" s="79" t="str">
        <x:v>◎</x:v>
      </x:c>
      <x:c r="F69" s="115" t="str">
        <x:f>IF($E69="未評估","未建立",_xlfn.XLOOKUP("ABIL|1019|LJT-PREP-IMPLANT",'主管核定中心'!$A$12:$A$372,'主管核定中心'!$K$12:$K$372,"待主管核定",0))</x:f>
        <x:v>待主管核定</x:v>
      </x:c>
      <x:c r="G69" s="115" t="n">
        <x:f>COUNTIFS('工作觀察輸入'!$C$7:$C$206,$B69,'工作觀察輸入'!$G$7:$G$206,$D69,'工作觀察輸入'!$M$7:$M$206,"是")</x:f>
        <x:v>0</x:v>
      </x:c>
      <x:c r="H69" s="117" t="str">
        <x:f>IF($G69=0,"",_xlfn.MINIFS('工作觀察輸入'!$B$7:$B$206,'工作觀察輸入'!$C$7:$C$206,$B69,'工作觀察輸入'!$G$7:$G$206,$D69,'工作觀察輸入'!$M$7:$M$206,"是"))</x:f>
      </x:c>
      <x:c r="I69" s="117" t="str">
        <x:f>IF($G69=0,"",_xlfn.MAXIFS('工作觀察輸入'!$B$7:$B$206,'工作觀察輸入'!$C$7:$C$206,$B69,'工作觀察輸入'!$G$7:$G$206,$D69,'工作觀察輸入'!$M$7:$M$206,"是"))</x:f>
      </x:c>
      <x:c r="J69" s="115" t="n">
        <x:f>IF($G69=0,0,IF($H69=$I69,1,2))</x:f>
        <x:v>0</x:v>
      </x:c>
      <x:c r="K69" s="115" t="n">
        <x:f>COUNTIFS('工作觀察輸入'!$C$7:$C$206,$B69,'工作觀察輸入'!$G$7:$G$206,$D69,'工作觀察輸入'!$J$7:$J$206,"是")</x:f>
        <x:v>0</x:v>
      </x:c>
      <x:c r="L69" s="115" t="n">
        <x:f>COUNTIFS('面談與異議'!$C$7:$C$106,$B69,'面談與異議'!$F$7:$F$106,$D69,'面談與異議'!$E$7:$E$106,"兩個月面談")</x:f>
        <x:v>0</x:v>
      </x:c>
      <x:c r="M69" s="115" t="str">
        <x:f>IF($E69&lt;&gt;"Ø","不適用",IF(COUNTIFS('事件與限制'!$C$7:$C$106,$B69,'事件與限制'!$E$7:$E$106,$D69,'事件與限制'!$Q$7:$Q$106,"生效中")&gt;0,"資格限制中",IF($F69&lt;&gt;"已核定","先完成基準核定",IF($K69&gt;0,"有關鍵遺漏，先檢討",IF($G69&lt;3,"尚缺成功觀察",IF($J69&lt;2,"觀察日期不足",IF($L69&lt;1,"待兩個月面談","可送主管核定")))))))</x:f>
        <x:v>不適用</x:v>
      </x:c>
      <x:c r="N69" s="116" t="str">
        <x:v>待核定</x:v>
      </x:c>
      <x:c r="O69" s="118"/>
      <x:c r="P69" s="116"/>
      <x:c r="Q69" s="116"/>
      <x:c r="R69" s="115" t="str">
        <x:f>IF($M69&lt;&gt;"可送主管核定","尚未具備條件",IF($N69="不升級","維持原評等",IF($N69="核定升級",IF(OR($O69="",$P69=""),"核定資料未完整","已核定升級"),"待主管核定")))</x:f>
        <x:v>尚未具備條件</x:v>
      </x:c>
    </x:row>
    <x:row r="70">
      <x:c r="A70" s="79" t="str">
        <x:v>UPG|1019|COMMON-RECORD</x:v>
      </x:c>
      <x:c r="B70" s="79" t="str">
        <x:v>1019</x:v>
      </x:c>
      <x:c r="C70" s="79" t="str"/>
      <x:c r="D70" s="79" t="str">
        <x:v>COMMON-RECORD</x:v>
      </x:c>
      <x:c r="E70" s="79" t="str">
        <x:v>◎</x:v>
      </x:c>
      <x:c r="F70" s="115" t="str">
        <x:f>IF($E70="未評估","未建立",_xlfn.XLOOKUP("ABIL|1019|COMMON-RECORD",'主管核定中心'!$A$12:$A$372,'主管核定中心'!$K$12:$K$372,"待主管核定",0))</x:f>
        <x:v>待主管核定</x:v>
      </x:c>
      <x:c r="G70" s="115" t="n">
        <x:f>COUNTIFS('工作觀察輸入'!$C$7:$C$206,$B70,'工作觀察輸入'!$G$7:$G$206,$D70,'工作觀察輸入'!$M$7:$M$206,"是")</x:f>
        <x:v>0</x:v>
      </x:c>
      <x:c r="H70" s="117" t="str">
        <x:f>IF($G70=0,"",_xlfn.MINIFS('工作觀察輸入'!$B$7:$B$206,'工作觀察輸入'!$C$7:$C$206,$B70,'工作觀察輸入'!$G$7:$G$206,$D70,'工作觀察輸入'!$M$7:$M$206,"是"))</x:f>
      </x:c>
      <x:c r="I70" s="117" t="str">
        <x:f>IF($G70=0,"",_xlfn.MAXIFS('工作觀察輸入'!$B$7:$B$206,'工作觀察輸入'!$C$7:$C$206,$B70,'工作觀察輸入'!$G$7:$G$206,$D70,'工作觀察輸入'!$M$7:$M$206,"是"))</x:f>
      </x:c>
      <x:c r="J70" s="115" t="n">
        <x:f>IF($G70=0,0,IF($H70=$I70,1,2))</x:f>
        <x:v>0</x:v>
      </x:c>
      <x:c r="K70" s="115" t="n">
        <x:f>COUNTIFS('工作觀察輸入'!$C$7:$C$206,$B70,'工作觀察輸入'!$G$7:$G$206,$D70,'工作觀察輸入'!$J$7:$J$206,"是")</x:f>
        <x:v>0</x:v>
      </x:c>
      <x:c r="L70" s="115" t="n">
        <x:f>COUNTIFS('面談與異議'!$C$7:$C$106,$B70,'面談與異議'!$F$7:$F$106,$D70,'面談與異議'!$E$7:$E$106,"兩個月面談")</x:f>
        <x:v>0</x:v>
      </x:c>
      <x:c r="M70" s="115" t="str">
        <x:f>IF($E70&lt;&gt;"Ø","不適用",IF(COUNTIFS('事件與限制'!$C$7:$C$106,$B70,'事件與限制'!$E$7:$E$106,$D70,'事件與限制'!$Q$7:$Q$106,"生效中")&gt;0,"資格限制中",IF($F70&lt;&gt;"已核定","先完成基準核定",IF($K70&gt;0,"有關鍵遺漏，先檢討",IF($G70&lt;3,"尚缺成功觀察",IF($J70&lt;2,"觀察日期不足",IF($L70&lt;1,"待兩個月面談","可送主管核定")))))))</x:f>
        <x:v>不適用</x:v>
      </x:c>
      <x:c r="N70" s="116" t="str">
        <x:v>待核定</x:v>
      </x:c>
      <x:c r="O70" s="118"/>
      <x:c r="P70" s="116"/>
      <x:c r="Q70" s="116"/>
      <x:c r="R70" s="115" t="str">
        <x:f>IF($M70&lt;&gt;"可送主管核定","尚未具備條件",IF($N70="不升級","維持原評等",IF($N70="核定升級",IF(OR($O70="",$P70=""),"核定資料未完整","已核定升級"),"待主管核定")))</x:f>
        <x:v>尚未具備條件</x:v>
      </x:c>
    </x:row>
    <x:row r="71">
      <x:c r="A71" s="79" t="str">
        <x:v>UPG|1019|COMMON-INSURANCE</x:v>
      </x:c>
      <x:c r="B71" s="79" t="str">
        <x:v>1019</x:v>
      </x:c>
      <x:c r="C71" s="79" t="str"/>
      <x:c r="D71" s="79" t="str">
        <x:v>COMMON-INSURANCE</x:v>
      </x:c>
      <x:c r="E71" s="79" t="str">
        <x:v>◎</x:v>
      </x:c>
      <x:c r="F71" s="115" t="str">
        <x:f>IF($E71="未評估","未建立",_xlfn.XLOOKUP("ABIL|1019|COMMON-INSURANCE",'主管核定中心'!$A$12:$A$372,'主管核定中心'!$K$12:$K$372,"待主管核定",0))</x:f>
        <x:v>待主管核定</x:v>
      </x:c>
      <x:c r="G71" s="115" t="n">
        <x:f>COUNTIFS('工作觀察輸入'!$C$7:$C$206,$B71,'工作觀察輸入'!$G$7:$G$206,$D71,'工作觀察輸入'!$M$7:$M$206,"是")</x:f>
        <x:v>0</x:v>
      </x:c>
      <x:c r="H71" s="117" t="str">
        <x:f>IF($G71=0,"",_xlfn.MINIFS('工作觀察輸入'!$B$7:$B$206,'工作觀察輸入'!$C$7:$C$206,$B71,'工作觀察輸入'!$G$7:$G$206,$D71,'工作觀察輸入'!$M$7:$M$206,"是"))</x:f>
      </x:c>
      <x:c r="I71" s="117" t="str">
        <x:f>IF($G71=0,"",_xlfn.MAXIFS('工作觀察輸入'!$B$7:$B$206,'工作觀察輸入'!$C$7:$C$206,$B71,'工作觀察輸入'!$G$7:$G$206,$D71,'工作觀察輸入'!$M$7:$M$206,"是"))</x:f>
      </x:c>
      <x:c r="J71" s="115" t="n">
        <x:f>IF($G71=0,0,IF($H71=$I71,1,2))</x:f>
        <x:v>0</x:v>
      </x:c>
      <x:c r="K71" s="115" t="n">
        <x:f>COUNTIFS('工作觀察輸入'!$C$7:$C$206,$B71,'工作觀察輸入'!$G$7:$G$206,$D71,'工作觀察輸入'!$J$7:$J$206,"是")</x:f>
        <x:v>0</x:v>
      </x:c>
      <x:c r="L71" s="115" t="n">
        <x:f>COUNTIFS('面談與異議'!$C$7:$C$106,$B71,'面談與異議'!$F$7:$F$106,$D71,'面談與異議'!$E$7:$E$106,"兩個月面談")</x:f>
        <x:v>0</x:v>
      </x:c>
      <x:c r="M71" s="115" t="str">
        <x:f>IF($E71&lt;&gt;"Ø","不適用",IF(COUNTIFS('事件與限制'!$C$7:$C$106,$B71,'事件與限制'!$E$7:$E$106,$D71,'事件與限制'!$Q$7:$Q$106,"生效中")&gt;0,"資格限制中",IF($F71&lt;&gt;"已核定","先完成基準核定",IF($K71&gt;0,"有關鍵遺漏，先檢討",IF($G71&lt;3,"尚缺成功觀察",IF($J71&lt;2,"觀察日期不足",IF($L71&lt;1,"待兩個月面談","可送主管核定")))))))</x:f>
        <x:v>不適用</x:v>
      </x:c>
      <x:c r="N71" s="116" t="str">
        <x:v>待核定</x:v>
      </x:c>
      <x:c r="O71" s="118"/>
      <x:c r="P71" s="116"/>
      <x:c r="Q71" s="116"/>
      <x:c r="R71" s="115" t="str">
        <x:f>IF($M71&lt;&gt;"可送主管核定","尚未具備條件",IF($N71="不升級","維持原評等",IF($N71="核定升級",IF(OR($O71="",$P71=""),"核定資料未完整","已核定升級"),"待主管核定")))</x:f>
        <x:v>尚未具備條件</x:v>
      </x:c>
    </x:row>
    <x:row r="72">
      <x:c r="A72" s="79" t="str">
        <x:v>UPG|1019|COMMON-XRAY-RECORD</x:v>
      </x:c>
      <x:c r="B72" s="79" t="str">
        <x:v>1019</x:v>
      </x:c>
      <x:c r="C72" s="79" t="str"/>
      <x:c r="D72" s="79" t="str">
        <x:v>COMMON-XRAY-RECORD</x:v>
      </x:c>
      <x:c r="E72" s="79" t="str">
        <x:v>◎</x:v>
      </x:c>
      <x:c r="F72" s="115" t="str">
        <x:f>IF($E72="未評估","未建立",_xlfn.XLOOKUP("ABIL|1019|COMMON-XRAY-RECORD",'主管核定中心'!$A$12:$A$372,'主管核定中心'!$K$12:$K$372,"待主管核定",0))</x:f>
        <x:v>待主管核定</x:v>
      </x:c>
      <x:c r="G72" s="115" t="n">
        <x:f>COUNTIFS('工作觀察輸入'!$C$7:$C$206,$B72,'工作觀察輸入'!$G$7:$G$206,$D72,'工作觀察輸入'!$M$7:$M$206,"是")</x:f>
        <x:v>0</x:v>
      </x:c>
      <x:c r="H72" s="117" t="str">
        <x:f>IF($G72=0,"",_xlfn.MINIFS('工作觀察輸入'!$B$7:$B$206,'工作觀察輸入'!$C$7:$C$206,$B72,'工作觀察輸入'!$G$7:$G$206,$D72,'工作觀察輸入'!$M$7:$M$206,"是"))</x:f>
      </x:c>
      <x:c r="I72" s="117" t="str">
        <x:f>IF($G72=0,"",_xlfn.MAXIFS('工作觀察輸入'!$B$7:$B$206,'工作觀察輸入'!$C$7:$C$206,$B72,'工作觀察輸入'!$G$7:$G$206,$D72,'工作觀察輸入'!$M$7:$M$206,"是"))</x:f>
      </x:c>
      <x:c r="J72" s="115" t="n">
        <x:f>IF($G72=0,0,IF($H72=$I72,1,2))</x:f>
        <x:v>0</x:v>
      </x:c>
      <x:c r="K72" s="115" t="n">
        <x:f>COUNTIFS('工作觀察輸入'!$C$7:$C$206,$B72,'工作觀察輸入'!$G$7:$G$206,$D72,'工作觀察輸入'!$J$7:$J$206,"是")</x:f>
        <x:v>0</x:v>
      </x:c>
      <x:c r="L72" s="115" t="n">
        <x:f>COUNTIFS('面談與異議'!$C$7:$C$106,$B72,'面談與異議'!$F$7:$F$106,$D72,'面談與異議'!$E$7:$E$106,"兩個月面談")</x:f>
        <x:v>0</x:v>
      </x:c>
      <x:c r="M72" s="115" t="str">
        <x:f>IF($E72&lt;&gt;"Ø","不適用",IF(COUNTIFS('事件與限制'!$C$7:$C$106,$B72,'事件與限制'!$E$7:$E$106,$D72,'事件與限制'!$Q$7:$Q$106,"生效中")&gt;0,"資格限制中",IF($F72&lt;&gt;"已核定","先完成基準核定",IF($K72&gt;0,"有關鍵遺漏，先檢討",IF($G72&lt;3,"尚缺成功觀察",IF($J72&lt;2,"觀察日期不足",IF($L72&lt;1,"待兩個月面談","可送主管核定")))))))</x:f>
        <x:v>不適用</x:v>
      </x:c>
      <x:c r="N72" s="116" t="str">
        <x:v>待核定</x:v>
      </x:c>
      <x:c r="O72" s="118"/>
      <x:c r="P72" s="116"/>
      <x:c r="Q72" s="116"/>
      <x:c r="R72" s="115" t="str">
        <x:f>IF($M72&lt;&gt;"可送主管核定","尚未具備條件",IF($N72="不升級","維持原評等",IF($N72="核定升級",IF(OR($O72="",$P72=""),"核定資料未完整","已核定升級"),"待主管核定")))</x:f>
        <x:v>尚未具備條件</x:v>
      </x:c>
    </x:row>
    <x:row r="73">
      <x:c r="A73" s="79" t="str">
        <x:v>UPG|1019|COMMON-PA</x:v>
      </x:c>
      <x:c r="B73" s="79" t="str">
        <x:v>1019</x:v>
      </x:c>
      <x:c r="C73" s="79" t="str"/>
      <x:c r="D73" s="79" t="str">
        <x:v>COMMON-PA</x:v>
      </x:c>
      <x:c r="E73" s="79" t="str">
        <x:v>◎</x:v>
      </x:c>
      <x:c r="F73" s="115" t="str">
        <x:f>IF($E73="未評估","未建立",_xlfn.XLOOKUP("ABIL|1019|COMMON-PA",'主管核定中心'!$A$12:$A$372,'主管核定中心'!$K$12:$K$372,"待主管核定",0))</x:f>
        <x:v>待主管核定</x:v>
      </x:c>
      <x:c r="G73" s="115" t="n">
        <x:f>COUNTIFS('工作觀察輸入'!$C$7:$C$206,$B73,'工作觀察輸入'!$G$7:$G$206,$D73,'工作觀察輸入'!$M$7:$M$206,"是")</x:f>
        <x:v>0</x:v>
      </x:c>
      <x:c r="H73" s="117" t="str">
        <x:f>IF($G73=0,"",_xlfn.MINIFS('工作觀察輸入'!$B$7:$B$206,'工作觀察輸入'!$C$7:$C$206,$B73,'工作觀察輸入'!$G$7:$G$206,$D73,'工作觀察輸入'!$M$7:$M$206,"是"))</x:f>
      </x:c>
      <x:c r="I73" s="117" t="str">
        <x:f>IF($G73=0,"",_xlfn.MAXIFS('工作觀察輸入'!$B$7:$B$206,'工作觀察輸入'!$C$7:$C$206,$B73,'工作觀察輸入'!$G$7:$G$206,$D73,'工作觀察輸入'!$M$7:$M$206,"是"))</x:f>
      </x:c>
      <x:c r="J73" s="115" t="n">
        <x:f>IF($G73=0,0,IF($H73=$I73,1,2))</x:f>
        <x:v>0</x:v>
      </x:c>
      <x:c r="K73" s="115" t="n">
        <x:f>COUNTIFS('工作觀察輸入'!$C$7:$C$206,$B73,'工作觀察輸入'!$G$7:$G$206,$D73,'工作觀察輸入'!$J$7:$J$206,"是")</x:f>
        <x:v>0</x:v>
      </x:c>
      <x:c r="L73" s="115" t="n">
        <x:f>COUNTIFS('面談與異議'!$C$7:$C$106,$B73,'面談與異議'!$F$7:$F$106,$D73,'面談與異議'!$E$7:$E$106,"兩個月面談")</x:f>
        <x:v>0</x:v>
      </x:c>
      <x:c r="M73" s="115" t="str">
        <x:f>IF($E73&lt;&gt;"Ø","不適用",IF(COUNTIFS('事件與限制'!$C$7:$C$106,$B73,'事件與限制'!$E$7:$E$106,$D73,'事件與限制'!$Q$7:$Q$106,"生效中")&gt;0,"資格限制中",IF($F73&lt;&gt;"已核定","先完成基準核定",IF($K73&gt;0,"有關鍵遺漏，先檢討",IF($G73&lt;3,"尚缺成功觀察",IF($J73&lt;2,"觀察日期不足",IF($L73&lt;1,"待兩個月面談","可送主管核定")))))))</x:f>
        <x:v>不適用</x:v>
      </x:c>
      <x:c r="N73" s="116" t="str">
        <x:v>待核定</x:v>
      </x:c>
      <x:c r="O73" s="118"/>
      <x:c r="P73" s="116"/>
      <x:c r="Q73" s="116"/>
      <x:c r="R73" s="115" t="str">
        <x:f>IF($M73&lt;&gt;"可送主管核定","尚未具備條件",IF($N73="不升級","維持原評等",IF($N73="核定升級",IF(OR($O73="",$P73=""),"核定資料未完整","已核定升級"),"待主管核定")))</x:f>
        <x:v>尚未具備條件</x:v>
      </x:c>
    </x:row>
    <x:row r="74">
      <x:c r="A74" s="79" t="str">
        <x:v>UPG|1019|COMMON-IOS</x:v>
      </x:c>
      <x:c r="B74" s="79" t="str">
        <x:v>1019</x:v>
      </x:c>
      <x:c r="C74" s="79" t="str"/>
      <x:c r="D74" s="79" t="str">
        <x:v>COMMON-IOS</x:v>
      </x:c>
      <x:c r="E74" s="79" t="str">
        <x:v>◎</x:v>
      </x:c>
      <x:c r="F74" s="115" t="str">
        <x:f>IF($E74="未評估","未建立",_xlfn.XLOOKUP("ABIL|1019|COMMON-IOS",'主管核定中心'!$A$12:$A$372,'主管核定中心'!$K$12:$K$372,"待主管核定",0))</x:f>
        <x:v>待主管核定</x:v>
      </x:c>
      <x:c r="G74" s="115" t="n">
        <x:f>COUNTIFS('工作觀察輸入'!$C$7:$C$206,$B74,'工作觀察輸入'!$G$7:$G$206,$D74,'工作觀察輸入'!$M$7:$M$206,"是")</x:f>
        <x:v>0</x:v>
      </x:c>
      <x:c r="H74" s="117" t="str">
        <x:f>IF($G74=0,"",_xlfn.MINIFS('工作觀察輸入'!$B$7:$B$206,'工作觀察輸入'!$C$7:$C$206,$B74,'工作觀察輸入'!$G$7:$G$206,$D74,'工作觀察輸入'!$M$7:$M$206,"是"))</x:f>
      </x:c>
      <x:c r="I74" s="117" t="str">
        <x:f>IF($G74=0,"",_xlfn.MAXIFS('工作觀察輸入'!$B$7:$B$206,'工作觀察輸入'!$C$7:$C$206,$B74,'工作觀察輸入'!$G$7:$G$206,$D74,'工作觀察輸入'!$M$7:$M$206,"是"))</x:f>
      </x:c>
      <x:c r="J74" s="115" t="n">
        <x:f>IF($G74=0,0,IF($H74=$I74,1,2))</x:f>
        <x:v>0</x:v>
      </x:c>
      <x:c r="K74" s="115" t="n">
        <x:f>COUNTIFS('工作觀察輸入'!$C$7:$C$206,$B74,'工作觀察輸入'!$G$7:$G$206,$D74,'工作觀察輸入'!$J$7:$J$206,"是")</x:f>
        <x:v>0</x:v>
      </x:c>
      <x:c r="L74" s="115" t="n">
        <x:f>COUNTIFS('面談與異議'!$C$7:$C$106,$B74,'面談與異議'!$F$7:$F$106,$D74,'面談與異議'!$E$7:$E$106,"兩個月面談")</x:f>
        <x:v>0</x:v>
      </x:c>
      <x:c r="M74" s="115" t="str">
        <x:f>IF($E74&lt;&gt;"Ø","不適用",IF(COUNTIFS('事件與限制'!$C$7:$C$106,$B74,'事件與限制'!$E$7:$E$106,$D74,'事件與限制'!$Q$7:$Q$106,"生效中")&gt;0,"資格限制中",IF($F74&lt;&gt;"已核定","先完成基準核定",IF($K74&gt;0,"有關鍵遺漏，先檢討",IF($G74&lt;3,"尚缺成功觀察",IF($J74&lt;2,"觀察日期不足",IF($L74&lt;1,"待兩個月面談","可送主管核定")))))))</x:f>
        <x:v>不適用</x:v>
      </x:c>
      <x:c r="N74" s="116" t="str">
        <x:v>待核定</x:v>
      </x:c>
      <x:c r="O74" s="118"/>
      <x:c r="P74" s="116"/>
      <x:c r="Q74" s="116"/>
      <x:c r="R74" s="115" t="str">
        <x:f>IF($M74&lt;&gt;"可送主管核定","尚未具備條件",IF($N74="不升級","維持原評等",IF($N74="核定升級",IF(OR($O74="",$P74=""),"核定資料未完整","已核定升級"),"待主管核定")))</x:f>
        <x:v>尚未具備條件</x:v>
      </x:c>
    </x:row>
    <x:row r="75">
      <x:c r="A75" s="79" t="str">
        <x:v>UPG|1020|LJT-PREP-SCALING</x:v>
      </x:c>
      <x:c r="B75" s="79" t="str">
        <x:v>1020</x:v>
      </x:c>
      <x:c r="C75" s="79" t="str"/>
      <x:c r="D75" s="79" t="str">
        <x:v>LJT-PREP-SCALING</x:v>
      </x:c>
      <x:c r="E75" s="79" t="str">
        <x:v>◎</x:v>
      </x:c>
      <x:c r="F75" s="115" t="str">
        <x:f>IF($E75="未評估","未建立",_xlfn.XLOOKUP("ABIL|1020|LJT-PREP-SCALING",'主管核定中心'!$A$12:$A$372,'主管核定中心'!$K$12:$K$372,"待主管核定",0))</x:f>
        <x:v>待主管核定</x:v>
      </x:c>
      <x:c r="G75" s="115" t="n">
        <x:f>COUNTIFS('工作觀察輸入'!$C$7:$C$206,$B75,'工作觀察輸入'!$G$7:$G$206,$D75,'工作觀察輸入'!$M$7:$M$206,"是")</x:f>
        <x:v>0</x:v>
      </x:c>
      <x:c r="H75" s="117" t="str">
        <x:f>IF($G75=0,"",_xlfn.MINIFS('工作觀察輸入'!$B$7:$B$206,'工作觀察輸入'!$C$7:$C$206,$B75,'工作觀察輸入'!$G$7:$G$206,$D75,'工作觀察輸入'!$M$7:$M$206,"是"))</x:f>
      </x:c>
      <x:c r="I75" s="117" t="str">
        <x:f>IF($G75=0,"",_xlfn.MAXIFS('工作觀察輸入'!$B$7:$B$206,'工作觀察輸入'!$C$7:$C$206,$B75,'工作觀察輸入'!$G$7:$G$206,$D75,'工作觀察輸入'!$M$7:$M$206,"是"))</x:f>
      </x:c>
      <x:c r="J75" s="115" t="n">
        <x:f>IF($G75=0,0,IF($H75=$I75,1,2))</x:f>
        <x:v>0</x:v>
      </x:c>
      <x:c r="K75" s="115" t="n">
        <x:f>COUNTIFS('工作觀察輸入'!$C$7:$C$206,$B75,'工作觀察輸入'!$G$7:$G$206,$D75,'工作觀察輸入'!$J$7:$J$206,"是")</x:f>
        <x:v>0</x:v>
      </x:c>
      <x:c r="L75" s="115" t="n">
        <x:f>COUNTIFS('面談與異議'!$C$7:$C$106,$B75,'面談與異議'!$F$7:$F$106,$D75,'面談與異議'!$E$7:$E$106,"兩個月面談")</x:f>
        <x:v>0</x:v>
      </x:c>
      <x:c r="M75" s="115" t="str">
        <x:f>IF($E75&lt;&gt;"Ø","不適用",IF(COUNTIFS('事件與限制'!$C$7:$C$106,$B75,'事件與限制'!$E$7:$E$106,$D75,'事件與限制'!$Q$7:$Q$106,"生效中")&gt;0,"資格限制中",IF($F75&lt;&gt;"已核定","先完成基準核定",IF($K75&gt;0,"有關鍵遺漏，先檢討",IF($G75&lt;3,"尚缺成功觀察",IF($J75&lt;2,"觀察日期不足",IF($L75&lt;1,"待兩個月面談","可送主管核定")))))))</x:f>
        <x:v>不適用</x:v>
      </x:c>
      <x:c r="N75" s="116" t="str">
        <x:v>待核定</x:v>
      </x:c>
      <x:c r="O75" s="118"/>
      <x:c r="P75" s="116"/>
      <x:c r="Q75" s="116"/>
      <x:c r="R75" s="115" t="str">
        <x:f>IF($M75&lt;&gt;"可送主管核定","尚未具備條件",IF($N75="不升級","維持原評等",IF($N75="核定升級",IF(OR($O75="",$P75=""),"核定資料未完整","已核定升級"),"待主管核定")))</x:f>
        <x:v>尚未具備條件</x:v>
      </x:c>
    </x:row>
    <x:row r="76">
      <x:c r="A76" s="79" t="str">
        <x:v>UPG|1020|LJT-PREP-FILLING</x:v>
      </x:c>
      <x:c r="B76" s="79" t="str">
        <x:v>1020</x:v>
      </x:c>
      <x:c r="C76" s="79" t="str"/>
      <x:c r="D76" s="79" t="str">
        <x:v>LJT-PREP-FILLING</x:v>
      </x:c>
      <x:c r="E76" s="79" t="str">
        <x:v>◎</x:v>
      </x:c>
      <x:c r="F76" s="115" t="str">
        <x:f>IF($E76="未評估","未建立",_xlfn.XLOOKUP("ABIL|1020|LJT-PREP-FILLING",'主管核定中心'!$A$12:$A$372,'主管核定中心'!$K$12:$K$372,"待主管核定",0))</x:f>
        <x:v>待主管核定</x:v>
      </x:c>
      <x:c r="G76" s="115" t="n">
        <x:f>COUNTIFS('工作觀察輸入'!$C$7:$C$206,$B76,'工作觀察輸入'!$G$7:$G$206,$D76,'工作觀察輸入'!$M$7:$M$206,"是")</x:f>
        <x:v>0</x:v>
      </x:c>
      <x:c r="H76" s="117" t="str">
        <x:f>IF($G76=0,"",_xlfn.MINIFS('工作觀察輸入'!$B$7:$B$206,'工作觀察輸入'!$C$7:$C$206,$B76,'工作觀察輸入'!$G$7:$G$206,$D76,'工作觀察輸入'!$M$7:$M$206,"是"))</x:f>
      </x:c>
      <x:c r="I76" s="117" t="str">
        <x:f>IF($G76=0,"",_xlfn.MAXIFS('工作觀察輸入'!$B$7:$B$206,'工作觀察輸入'!$C$7:$C$206,$B76,'工作觀察輸入'!$G$7:$G$206,$D76,'工作觀察輸入'!$M$7:$M$206,"是"))</x:f>
      </x:c>
      <x:c r="J76" s="115" t="n">
        <x:f>IF($G76=0,0,IF($H76=$I76,1,2))</x:f>
        <x:v>0</x:v>
      </x:c>
      <x:c r="K76" s="115" t="n">
        <x:f>COUNTIFS('工作觀察輸入'!$C$7:$C$206,$B76,'工作觀察輸入'!$G$7:$G$206,$D76,'工作觀察輸入'!$J$7:$J$206,"是")</x:f>
        <x:v>0</x:v>
      </x:c>
      <x:c r="L76" s="115" t="n">
        <x:f>COUNTIFS('面談與異議'!$C$7:$C$106,$B76,'面談與異議'!$F$7:$F$106,$D76,'面談與異議'!$E$7:$E$106,"兩個月面談")</x:f>
        <x:v>0</x:v>
      </x:c>
      <x:c r="M76" s="115" t="str">
        <x:f>IF($E76&lt;&gt;"Ø","不適用",IF(COUNTIFS('事件與限制'!$C$7:$C$106,$B76,'事件與限制'!$E$7:$E$106,$D76,'事件與限制'!$Q$7:$Q$106,"生效中")&gt;0,"資格限制中",IF($F76&lt;&gt;"已核定","先完成基準核定",IF($K76&gt;0,"有關鍵遺漏，先檢討",IF($G76&lt;3,"尚缺成功觀察",IF($J76&lt;2,"觀察日期不足",IF($L76&lt;1,"待兩個月面談","可送主管核定")))))))</x:f>
        <x:v>不適用</x:v>
      </x:c>
      <x:c r="N76" s="116" t="str">
        <x:v>待核定</x:v>
      </x:c>
      <x:c r="O76" s="118"/>
      <x:c r="P76" s="116"/>
      <x:c r="Q76" s="116"/>
      <x:c r="R76" s="115" t="str">
        <x:f>IF($M76&lt;&gt;"可送主管核定","尚未具備條件",IF($N76="不升級","維持原評等",IF($N76="核定升級",IF(OR($O76="",$P76=""),"核定資料未完整","已核定升級"),"待主管核定")))</x:f>
        <x:v>尚未具備條件</x:v>
      </x:c>
    </x:row>
    <x:row r="77">
      <x:c r="A77" s="79" t="str">
        <x:v>UPG|1020|LJT-PREP-PERIO</x:v>
      </x:c>
      <x:c r="B77" s="79" t="str">
        <x:v>1020</x:v>
      </x:c>
      <x:c r="C77" s="79" t="str"/>
      <x:c r="D77" s="79" t="str">
        <x:v>LJT-PREP-PERIO</x:v>
      </x:c>
      <x:c r="E77" s="79" t="str">
        <x:v>◎</x:v>
      </x:c>
      <x:c r="F77" s="115" t="str">
        <x:f>IF($E77="未評估","未建立",_xlfn.XLOOKUP("ABIL|1020|LJT-PREP-PERIO",'主管核定中心'!$A$12:$A$372,'主管核定中心'!$K$12:$K$372,"待主管核定",0))</x:f>
        <x:v>待主管核定</x:v>
      </x:c>
      <x:c r="G77" s="115" t="n">
        <x:f>COUNTIFS('工作觀察輸入'!$C$7:$C$206,$B77,'工作觀察輸入'!$G$7:$G$206,$D77,'工作觀察輸入'!$M$7:$M$206,"是")</x:f>
        <x:v>0</x:v>
      </x:c>
      <x:c r="H77" s="117" t="str">
        <x:f>IF($G77=0,"",_xlfn.MINIFS('工作觀察輸入'!$B$7:$B$206,'工作觀察輸入'!$C$7:$C$206,$B77,'工作觀察輸入'!$G$7:$G$206,$D77,'工作觀察輸入'!$M$7:$M$206,"是"))</x:f>
      </x:c>
      <x:c r="I77" s="117" t="str">
        <x:f>IF($G77=0,"",_xlfn.MAXIFS('工作觀察輸入'!$B$7:$B$206,'工作觀察輸入'!$C$7:$C$206,$B77,'工作觀察輸入'!$G$7:$G$206,$D77,'工作觀察輸入'!$M$7:$M$206,"是"))</x:f>
      </x:c>
      <x:c r="J77" s="115" t="n">
        <x:f>IF($G77=0,0,IF($H77=$I77,1,2))</x:f>
        <x:v>0</x:v>
      </x:c>
      <x:c r="K77" s="115" t="n">
        <x:f>COUNTIFS('工作觀察輸入'!$C$7:$C$206,$B77,'工作觀察輸入'!$G$7:$G$206,$D77,'工作觀察輸入'!$J$7:$J$206,"是")</x:f>
        <x:v>0</x:v>
      </x:c>
      <x:c r="L77" s="115" t="n">
        <x:f>COUNTIFS('面談與異議'!$C$7:$C$106,$B77,'面談與異議'!$F$7:$F$106,$D77,'面談與異議'!$E$7:$E$106,"兩個月面談")</x:f>
        <x:v>0</x:v>
      </x:c>
      <x:c r="M77" s="115" t="str">
        <x:f>IF($E77&lt;&gt;"Ø","不適用",IF(COUNTIFS('事件與限制'!$C$7:$C$106,$B77,'事件與限制'!$E$7:$E$106,$D77,'事件與限制'!$Q$7:$Q$106,"生效中")&gt;0,"資格限制中",IF($F77&lt;&gt;"已核定","先完成基準核定",IF($K77&gt;0,"有關鍵遺漏，先檢討",IF($G77&lt;3,"尚缺成功觀察",IF($J77&lt;2,"觀察日期不足",IF($L77&lt;1,"待兩個月面談","可送主管核定")))))))</x:f>
        <x:v>不適用</x:v>
      </x:c>
      <x:c r="N77" s="116" t="str">
        <x:v>待核定</x:v>
      </x:c>
      <x:c r="O77" s="118"/>
      <x:c r="P77" s="116"/>
      <x:c r="Q77" s="116"/>
      <x:c r="R77" s="115" t="str">
        <x:f>IF($M77&lt;&gt;"可送主管核定","尚未具備條件",IF($N77="不升級","維持原評等",IF($N77="核定升級",IF(OR($O77="",$P77=""),"核定資料未完整","已核定升級"),"待主管核定")))</x:f>
        <x:v>尚未具備條件</x:v>
      </x:c>
    </x:row>
    <x:row r="78">
      <x:c r="A78" s="79" t="str">
        <x:v>UPG|1020|LJT-PREP-RCT</x:v>
      </x:c>
      <x:c r="B78" s="79" t="str">
        <x:v>1020</x:v>
      </x:c>
      <x:c r="C78" s="79" t="str"/>
      <x:c r="D78" s="79" t="str">
        <x:v>LJT-PREP-RCT</x:v>
      </x:c>
      <x:c r="E78" s="79" t="str">
        <x:v>◎</x:v>
      </x:c>
      <x:c r="F78" s="115" t="str">
        <x:f>IF($E78="未評估","未建立",_xlfn.XLOOKUP("ABIL|1020|LJT-PREP-RCT",'主管核定中心'!$A$12:$A$372,'主管核定中心'!$K$12:$K$372,"待主管核定",0))</x:f>
        <x:v>待主管核定</x:v>
      </x:c>
      <x:c r="G78" s="115" t="n">
        <x:f>COUNTIFS('工作觀察輸入'!$C$7:$C$206,$B78,'工作觀察輸入'!$G$7:$G$206,$D78,'工作觀察輸入'!$M$7:$M$206,"是")</x:f>
        <x:v>0</x:v>
      </x:c>
      <x:c r="H78" s="117" t="str">
        <x:f>IF($G78=0,"",_xlfn.MINIFS('工作觀察輸入'!$B$7:$B$206,'工作觀察輸入'!$C$7:$C$206,$B78,'工作觀察輸入'!$G$7:$G$206,$D78,'工作觀察輸入'!$M$7:$M$206,"是"))</x:f>
      </x:c>
      <x:c r="I78" s="117" t="str">
        <x:f>IF($G78=0,"",_xlfn.MAXIFS('工作觀察輸入'!$B$7:$B$206,'工作觀察輸入'!$C$7:$C$206,$B78,'工作觀察輸入'!$G$7:$G$206,$D78,'工作觀察輸入'!$M$7:$M$206,"是"))</x:f>
      </x:c>
      <x:c r="J78" s="115" t="n">
        <x:f>IF($G78=0,0,IF($H78=$I78,1,2))</x:f>
        <x:v>0</x:v>
      </x:c>
      <x:c r="K78" s="115" t="n">
        <x:f>COUNTIFS('工作觀察輸入'!$C$7:$C$206,$B78,'工作觀察輸入'!$G$7:$G$206,$D78,'工作觀察輸入'!$J$7:$J$206,"是")</x:f>
        <x:v>0</x:v>
      </x:c>
      <x:c r="L78" s="115" t="n">
        <x:f>COUNTIFS('面談與異議'!$C$7:$C$106,$B78,'面談與異議'!$F$7:$F$106,$D78,'面談與異議'!$E$7:$E$106,"兩個月面談")</x:f>
        <x:v>0</x:v>
      </x:c>
      <x:c r="M78" s="115" t="str">
        <x:f>IF($E78&lt;&gt;"Ø","不適用",IF(COUNTIFS('事件與限制'!$C$7:$C$106,$B78,'事件與限制'!$E$7:$E$106,$D78,'事件與限制'!$Q$7:$Q$106,"生效中")&gt;0,"資格限制中",IF($F78&lt;&gt;"已核定","先完成基準核定",IF($K78&gt;0,"有關鍵遺漏，先檢討",IF($G78&lt;3,"尚缺成功觀察",IF($J78&lt;2,"觀察日期不足",IF($L78&lt;1,"待兩個月面談","可送主管核定")))))))</x:f>
        <x:v>不適用</x:v>
      </x:c>
      <x:c r="N78" s="116" t="str">
        <x:v>待核定</x:v>
      </x:c>
      <x:c r="O78" s="118"/>
      <x:c r="P78" s="116"/>
      <x:c r="Q78" s="116"/>
      <x:c r="R78" s="115" t="str">
        <x:f>IF($M78&lt;&gt;"可送主管核定","尚未具備條件",IF($N78="不升級","維持原評等",IF($N78="核定升級",IF(OR($O78="",$P78=""),"核定資料未完整","已核定升級"),"待主管核定")))</x:f>
        <x:v>尚未具備條件</x:v>
      </x:c>
    </x:row>
    <x:row r="79">
      <x:c r="A79" s="79" t="str">
        <x:v>UPG|1020|LJT-PREP-EXTRACTION</x:v>
      </x:c>
      <x:c r="B79" s="79" t="str">
        <x:v>1020</x:v>
      </x:c>
      <x:c r="C79" s="79" t="str"/>
      <x:c r="D79" s="79" t="str">
        <x:v>LJT-PREP-EXTRACTION</x:v>
      </x:c>
      <x:c r="E79" s="79" t="str">
        <x:v>◎</x:v>
      </x:c>
      <x:c r="F79" s="115" t="str">
        <x:f>IF($E79="未評估","未建立",_xlfn.XLOOKUP("ABIL|1020|LJT-PREP-EXTRACTION",'主管核定中心'!$A$12:$A$372,'主管核定中心'!$K$12:$K$372,"待主管核定",0))</x:f>
        <x:v>待主管核定</x:v>
      </x:c>
      <x:c r="G79" s="115" t="n">
        <x:f>COUNTIFS('工作觀察輸入'!$C$7:$C$206,$B79,'工作觀察輸入'!$G$7:$G$206,$D79,'工作觀察輸入'!$M$7:$M$206,"是")</x:f>
        <x:v>0</x:v>
      </x:c>
      <x:c r="H79" s="117" t="str">
        <x:f>IF($G79=0,"",_xlfn.MINIFS('工作觀察輸入'!$B$7:$B$206,'工作觀察輸入'!$C$7:$C$206,$B79,'工作觀察輸入'!$G$7:$G$206,$D79,'工作觀察輸入'!$M$7:$M$206,"是"))</x:f>
      </x:c>
      <x:c r="I79" s="117" t="str">
        <x:f>IF($G79=0,"",_xlfn.MAXIFS('工作觀察輸入'!$B$7:$B$206,'工作觀察輸入'!$C$7:$C$206,$B79,'工作觀察輸入'!$G$7:$G$206,$D79,'工作觀察輸入'!$M$7:$M$206,"是"))</x:f>
      </x:c>
      <x:c r="J79" s="115" t="n">
        <x:f>IF($G79=0,0,IF($H79=$I79,1,2))</x:f>
        <x:v>0</x:v>
      </x:c>
      <x:c r="K79" s="115" t="n">
        <x:f>COUNTIFS('工作觀察輸入'!$C$7:$C$206,$B79,'工作觀察輸入'!$G$7:$G$206,$D79,'工作觀察輸入'!$J$7:$J$206,"是")</x:f>
        <x:v>0</x:v>
      </x:c>
      <x:c r="L79" s="115" t="n">
        <x:f>COUNTIFS('面談與異議'!$C$7:$C$106,$B79,'面談與異議'!$F$7:$F$106,$D79,'面談與異議'!$E$7:$E$106,"兩個月面談")</x:f>
        <x:v>0</x:v>
      </x:c>
      <x:c r="M79" s="115" t="str">
        <x:f>IF($E79&lt;&gt;"Ø","不適用",IF(COUNTIFS('事件與限制'!$C$7:$C$106,$B79,'事件與限制'!$E$7:$E$106,$D79,'事件與限制'!$Q$7:$Q$106,"生效中")&gt;0,"資格限制中",IF($F79&lt;&gt;"已核定","先完成基準核定",IF($K79&gt;0,"有關鍵遺漏，先檢討",IF($G79&lt;3,"尚缺成功觀察",IF($J79&lt;2,"觀察日期不足",IF($L79&lt;1,"待兩個月面談","可送主管核定")))))))</x:f>
        <x:v>不適用</x:v>
      </x:c>
      <x:c r="N79" s="116" t="str">
        <x:v>待核定</x:v>
      </x:c>
      <x:c r="O79" s="118"/>
      <x:c r="P79" s="116"/>
      <x:c r="Q79" s="116"/>
      <x:c r="R79" s="115" t="str">
        <x:f>IF($M79&lt;&gt;"可送主管核定","尚未具備條件",IF($N79="不升級","維持原評等",IF($N79="核定升級",IF(OR($O79="",$P79=""),"核定資料未完整","已核定升級"),"待主管核定")))</x:f>
        <x:v>尚未具備條件</x:v>
      </x:c>
    </x:row>
    <x:row r="80">
      <x:c r="A80" s="79" t="str">
        <x:v>UPG|1020|LJT-PREP-CROWNPOST</x:v>
      </x:c>
      <x:c r="B80" s="79" t="str">
        <x:v>1020</x:v>
      </x:c>
      <x:c r="C80" s="79" t="str"/>
      <x:c r="D80" s="79" t="str">
        <x:v>LJT-PREP-CROWNPOST</x:v>
      </x:c>
      <x:c r="E80" s="79" t="str">
        <x:v>◎</x:v>
      </x:c>
      <x:c r="F80" s="115" t="str">
        <x:f>IF($E80="未評估","未建立",_xlfn.XLOOKUP("ABIL|1020|LJT-PREP-CROWNPOST",'主管核定中心'!$A$12:$A$372,'主管核定中心'!$K$12:$K$372,"待主管核定",0))</x:f>
        <x:v>待主管核定</x:v>
      </x:c>
      <x:c r="G80" s="115" t="n">
        <x:f>COUNTIFS('工作觀察輸入'!$C$7:$C$206,$B80,'工作觀察輸入'!$G$7:$G$206,$D80,'工作觀察輸入'!$M$7:$M$206,"是")</x:f>
        <x:v>0</x:v>
      </x:c>
      <x:c r="H80" s="117" t="str">
        <x:f>IF($G80=0,"",_xlfn.MINIFS('工作觀察輸入'!$B$7:$B$206,'工作觀察輸入'!$C$7:$C$206,$B80,'工作觀察輸入'!$G$7:$G$206,$D80,'工作觀察輸入'!$M$7:$M$206,"是"))</x:f>
      </x:c>
      <x:c r="I80" s="117" t="str">
        <x:f>IF($G80=0,"",_xlfn.MAXIFS('工作觀察輸入'!$B$7:$B$206,'工作觀察輸入'!$C$7:$C$206,$B80,'工作觀察輸入'!$G$7:$G$206,$D80,'工作觀察輸入'!$M$7:$M$206,"是"))</x:f>
      </x:c>
      <x:c r="J80" s="115" t="n">
        <x:f>IF($G80=0,0,IF($H80=$I80,1,2))</x:f>
        <x:v>0</x:v>
      </x:c>
      <x:c r="K80" s="115" t="n">
        <x:f>COUNTIFS('工作觀察輸入'!$C$7:$C$206,$B80,'工作觀察輸入'!$G$7:$G$206,$D80,'工作觀察輸入'!$J$7:$J$206,"是")</x:f>
        <x:v>0</x:v>
      </x:c>
      <x:c r="L80" s="115" t="n">
        <x:f>COUNTIFS('面談與異議'!$C$7:$C$106,$B80,'面談與異議'!$F$7:$F$106,$D80,'面談與異議'!$E$7:$E$106,"兩個月面談")</x:f>
        <x:v>0</x:v>
      </x:c>
      <x:c r="M80" s="115" t="str">
        <x:f>IF($E80&lt;&gt;"Ø","不適用",IF(COUNTIFS('事件與限制'!$C$7:$C$106,$B80,'事件與限制'!$E$7:$E$106,$D80,'事件與限制'!$Q$7:$Q$106,"生效中")&gt;0,"資格限制中",IF($F80&lt;&gt;"已核定","先完成基準核定",IF($K80&gt;0,"有關鍵遺漏，先檢討",IF($G80&lt;3,"尚缺成功觀察",IF($J80&lt;2,"觀察日期不足",IF($L80&lt;1,"待兩個月面談","可送主管核定")))))))</x:f>
        <x:v>不適用</x:v>
      </x:c>
      <x:c r="N80" s="116" t="str">
        <x:v>待核定</x:v>
      </x:c>
      <x:c r="O80" s="118"/>
      <x:c r="P80" s="116"/>
      <x:c r="Q80" s="116"/>
      <x:c r="R80" s="115" t="str">
        <x:f>IF($M80&lt;&gt;"可送主管核定","尚未具備條件",IF($N80="不升級","維持原評等",IF($N80="核定升級",IF(OR($O80="",$P80=""),"核定資料未完整","已核定升級"),"待主管核定")))</x:f>
        <x:v>尚未具備條件</x:v>
      </x:c>
    </x:row>
    <x:row r="81">
      <x:c r="A81" s="79" t="str">
        <x:v>UPG|1020|LJT-PREP-CROWN</x:v>
      </x:c>
      <x:c r="B81" s="79" t="str">
        <x:v>1020</x:v>
      </x:c>
      <x:c r="C81" s="79" t="str"/>
      <x:c r="D81" s="79" t="str">
        <x:v>LJT-PREP-CROWN</x:v>
      </x:c>
      <x:c r="E81" s="79" t="str">
        <x:v>◎</x:v>
      </x:c>
      <x:c r="F81" s="115" t="str">
        <x:f>IF($E81="未評估","未建立",_xlfn.XLOOKUP("ABIL|1020|LJT-PREP-CROWN",'主管核定中心'!$A$12:$A$372,'主管核定中心'!$K$12:$K$372,"待主管核定",0))</x:f>
        <x:v>待主管核定</x:v>
      </x:c>
      <x:c r="G81" s="115" t="n">
        <x:f>COUNTIFS('工作觀察輸入'!$C$7:$C$206,$B81,'工作觀察輸入'!$G$7:$G$206,$D81,'工作觀察輸入'!$M$7:$M$206,"是")</x:f>
        <x:v>0</x:v>
      </x:c>
      <x:c r="H81" s="117" t="str">
        <x:f>IF($G81=0,"",_xlfn.MINIFS('工作觀察輸入'!$B$7:$B$206,'工作觀察輸入'!$C$7:$C$206,$B81,'工作觀察輸入'!$G$7:$G$206,$D81,'工作觀察輸入'!$M$7:$M$206,"是"))</x:f>
      </x:c>
      <x:c r="I81" s="117" t="str">
        <x:f>IF($G81=0,"",_xlfn.MAXIFS('工作觀察輸入'!$B$7:$B$206,'工作觀察輸入'!$C$7:$C$206,$B81,'工作觀察輸入'!$G$7:$G$206,$D81,'工作觀察輸入'!$M$7:$M$206,"是"))</x:f>
      </x:c>
      <x:c r="J81" s="115" t="n">
        <x:f>IF($G81=0,0,IF($H81=$I81,1,2))</x:f>
        <x:v>0</x:v>
      </x:c>
      <x:c r="K81" s="115" t="n">
        <x:f>COUNTIFS('工作觀察輸入'!$C$7:$C$206,$B81,'工作觀察輸入'!$G$7:$G$206,$D81,'工作觀察輸入'!$J$7:$J$206,"是")</x:f>
        <x:v>0</x:v>
      </x:c>
      <x:c r="L81" s="115" t="n">
        <x:f>COUNTIFS('面談與異議'!$C$7:$C$106,$B81,'面談與異議'!$F$7:$F$106,$D81,'面談與異議'!$E$7:$E$106,"兩個月面談")</x:f>
        <x:v>0</x:v>
      </x:c>
      <x:c r="M81" s="115" t="str">
        <x:f>IF($E81&lt;&gt;"Ø","不適用",IF(COUNTIFS('事件與限制'!$C$7:$C$106,$B81,'事件與限制'!$E$7:$E$106,$D81,'事件與限制'!$Q$7:$Q$106,"生效中")&gt;0,"資格限制中",IF($F81&lt;&gt;"已核定","先完成基準核定",IF($K81&gt;0,"有關鍵遺漏，先檢討",IF($G81&lt;3,"尚缺成功觀察",IF($J81&lt;2,"觀察日期不足",IF($L81&lt;1,"待兩個月面談","可送主管核定")))))))</x:f>
        <x:v>不適用</x:v>
      </x:c>
      <x:c r="N81" s="116" t="str">
        <x:v>待核定</x:v>
      </x:c>
      <x:c r="O81" s="118"/>
      <x:c r="P81" s="116"/>
      <x:c r="Q81" s="116"/>
      <x:c r="R81" s="115" t="str">
        <x:f>IF($M81&lt;&gt;"可送主管核定","尚未具備條件",IF($N81="不升級","維持原評等",IF($N81="核定升級",IF(OR($O81="",$P81=""),"核定資料未完整","已核定升級"),"待主管核定")))</x:f>
        <x:v>尚未具備條件</x:v>
      </x:c>
    </x:row>
    <x:row r="82">
      <x:c r="A82" s="79" t="str">
        <x:v>UPG|1020|LJT-PREP-RPD</x:v>
      </x:c>
      <x:c r="B82" s="79" t="str">
        <x:v>1020</x:v>
      </x:c>
      <x:c r="C82" s="79" t="str"/>
      <x:c r="D82" s="79" t="str">
        <x:v>LJT-PREP-RPD</x:v>
      </x:c>
      <x:c r="E82" s="79" t="str">
        <x:v>◎</x:v>
      </x:c>
      <x:c r="F82" s="115" t="str">
        <x:f>IF($E82="未評估","未建立",_xlfn.XLOOKUP("ABIL|1020|LJT-PREP-RPD",'主管核定中心'!$A$12:$A$372,'主管核定中心'!$K$12:$K$372,"待主管核定",0))</x:f>
        <x:v>待主管核定</x:v>
      </x:c>
      <x:c r="G82" s="115" t="n">
        <x:f>COUNTIFS('工作觀察輸入'!$C$7:$C$206,$B82,'工作觀察輸入'!$G$7:$G$206,$D82,'工作觀察輸入'!$M$7:$M$206,"是")</x:f>
        <x:v>0</x:v>
      </x:c>
      <x:c r="H82" s="117" t="str">
        <x:f>IF($G82=0,"",_xlfn.MINIFS('工作觀察輸入'!$B$7:$B$206,'工作觀察輸入'!$C$7:$C$206,$B82,'工作觀察輸入'!$G$7:$G$206,$D82,'工作觀察輸入'!$M$7:$M$206,"是"))</x:f>
      </x:c>
      <x:c r="I82" s="117" t="str">
        <x:f>IF($G82=0,"",_xlfn.MAXIFS('工作觀察輸入'!$B$7:$B$206,'工作觀察輸入'!$C$7:$C$206,$B82,'工作觀察輸入'!$G$7:$G$206,$D82,'工作觀察輸入'!$M$7:$M$206,"是"))</x:f>
      </x:c>
      <x:c r="J82" s="115" t="n">
        <x:f>IF($G82=0,0,IF($H82=$I82,1,2))</x:f>
        <x:v>0</x:v>
      </x:c>
      <x:c r="K82" s="115" t="n">
        <x:f>COUNTIFS('工作觀察輸入'!$C$7:$C$206,$B82,'工作觀察輸入'!$G$7:$G$206,$D82,'工作觀察輸入'!$J$7:$J$206,"是")</x:f>
        <x:v>0</x:v>
      </x:c>
      <x:c r="L82" s="115" t="n">
        <x:f>COUNTIFS('面談與異議'!$C$7:$C$106,$B82,'面談與異議'!$F$7:$F$106,$D82,'面談與異議'!$E$7:$E$106,"兩個月面談")</x:f>
        <x:v>0</x:v>
      </x:c>
      <x:c r="M82" s="115" t="str">
        <x:f>IF($E82&lt;&gt;"Ø","不適用",IF(COUNTIFS('事件與限制'!$C$7:$C$106,$B82,'事件與限制'!$E$7:$E$106,$D82,'事件與限制'!$Q$7:$Q$106,"生效中")&gt;0,"資格限制中",IF($F82&lt;&gt;"已核定","先完成基準核定",IF($K82&gt;0,"有關鍵遺漏，先檢討",IF($G82&lt;3,"尚缺成功觀察",IF($J82&lt;2,"觀察日期不足",IF($L82&lt;1,"待兩個月面談","可送主管核定")))))))</x:f>
        <x:v>不適用</x:v>
      </x:c>
      <x:c r="N82" s="116" t="str">
        <x:v>待核定</x:v>
      </x:c>
      <x:c r="O82" s="118"/>
      <x:c r="P82" s="116"/>
      <x:c r="Q82" s="116"/>
      <x:c r="R82" s="115" t="str">
        <x:f>IF($M82&lt;&gt;"可送主管核定","尚未具備條件",IF($N82="不升級","維持原評等",IF($N82="核定升級",IF(OR($O82="",$P82=""),"核定資料未完整","已核定升級"),"待主管核定")))</x:f>
        <x:v>尚未具備條件</x:v>
      </x:c>
    </x:row>
    <x:row r="83">
      <x:c r="A83" s="79" t="str">
        <x:v>UPG|1020|LJT-PREP-AIRPOLISH</x:v>
      </x:c>
      <x:c r="B83" s="79" t="str">
        <x:v>1020</x:v>
      </x:c>
      <x:c r="C83" s="79" t="str"/>
      <x:c r="D83" s="79" t="str">
        <x:v>LJT-PREP-AIRPOLISH</x:v>
      </x:c>
      <x:c r="E83" s="79" t="str">
        <x:v>◎</x:v>
      </x:c>
      <x:c r="F83" s="115" t="str">
        <x:f>IF($E83="未評估","未建立",_xlfn.XLOOKUP("ABIL|1020|LJT-PREP-AIRPOLISH",'主管核定中心'!$A$12:$A$372,'主管核定中心'!$K$12:$K$372,"待主管核定",0))</x:f>
        <x:v>待主管核定</x:v>
      </x:c>
      <x:c r="G83" s="115" t="n">
        <x:f>COUNTIFS('工作觀察輸入'!$C$7:$C$206,$B83,'工作觀察輸入'!$G$7:$G$206,$D83,'工作觀察輸入'!$M$7:$M$206,"是")</x:f>
        <x:v>0</x:v>
      </x:c>
      <x:c r="H83" s="117" t="str">
        <x:f>IF($G83=0,"",_xlfn.MINIFS('工作觀察輸入'!$B$7:$B$206,'工作觀察輸入'!$C$7:$C$206,$B83,'工作觀察輸入'!$G$7:$G$206,$D83,'工作觀察輸入'!$M$7:$M$206,"是"))</x:f>
      </x:c>
      <x:c r="I83" s="117" t="str">
        <x:f>IF($G83=0,"",_xlfn.MAXIFS('工作觀察輸入'!$B$7:$B$206,'工作觀察輸入'!$C$7:$C$206,$B83,'工作觀察輸入'!$G$7:$G$206,$D83,'工作觀察輸入'!$M$7:$M$206,"是"))</x:f>
      </x:c>
      <x:c r="J83" s="115" t="n">
        <x:f>IF($G83=0,0,IF($H83=$I83,1,2))</x:f>
        <x:v>0</x:v>
      </x:c>
      <x:c r="K83" s="115" t="n">
        <x:f>COUNTIFS('工作觀察輸入'!$C$7:$C$206,$B83,'工作觀察輸入'!$G$7:$G$206,$D83,'工作觀察輸入'!$J$7:$J$206,"是")</x:f>
        <x:v>0</x:v>
      </x:c>
      <x:c r="L83" s="115" t="n">
        <x:f>COUNTIFS('面談與異議'!$C$7:$C$106,$B83,'面談與異議'!$F$7:$F$106,$D83,'面談與異議'!$E$7:$E$106,"兩個月面談")</x:f>
        <x:v>0</x:v>
      </x:c>
      <x:c r="M83" s="115" t="str">
        <x:f>IF($E83&lt;&gt;"Ø","不適用",IF(COUNTIFS('事件與限制'!$C$7:$C$106,$B83,'事件與限制'!$E$7:$E$106,$D83,'事件與限制'!$Q$7:$Q$106,"生效中")&gt;0,"資格限制中",IF($F83&lt;&gt;"已核定","先完成基準核定",IF($K83&gt;0,"有關鍵遺漏，先檢討",IF($G83&lt;3,"尚缺成功觀察",IF($J83&lt;2,"觀察日期不足",IF($L83&lt;1,"待兩個月面談","可送主管核定")))))))</x:f>
        <x:v>不適用</x:v>
      </x:c>
      <x:c r="N83" s="116" t="str">
        <x:v>待核定</x:v>
      </x:c>
      <x:c r="O83" s="118"/>
      <x:c r="P83" s="116"/>
      <x:c r="Q83" s="116"/>
      <x:c r="R83" s="115" t="str">
        <x:f>IF($M83&lt;&gt;"可送主管核定","尚未具備條件",IF($N83="不升級","維持原評等",IF($N83="核定升級",IF(OR($O83="",$P83=""),"核定資料未完整","已核定升級"),"待主管核定")))</x:f>
        <x:v>尚未具備條件</x:v>
      </x:c>
    </x:row>
    <x:row r="84">
      <x:c r="A84" s="79" t="str">
        <x:v>UPG|1020|LJT-PREP-PERIOSURG</x:v>
      </x:c>
      <x:c r="B84" s="79" t="str">
        <x:v>1020</x:v>
      </x:c>
      <x:c r="C84" s="79" t="str"/>
      <x:c r="D84" s="79" t="str">
        <x:v>LJT-PREP-PERIOSURG</x:v>
      </x:c>
      <x:c r="E84" s="79" t="str">
        <x:v>◎</x:v>
      </x:c>
      <x:c r="F84" s="115" t="str">
        <x:f>IF($E84="未評估","未建立",_xlfn.XLOOKUP("ABIL|1020|LJT-PREP-PERIOSURG",'主管核定中心'!$A$12:$A$372,'主管核定中心'!$K$12:$K$372,"待主管核定",0))</x:f>
        <x:v>待主管核定</x:v>
      </x:c>
      <x:c r="G84" s="115" t="n">
        <x:f>COUNTIFS('工作觀察輸入'!$C$7:$C$206,$B84,'工作觀察輸入'!$G$7:$G$206,$D84,'工作觀察輸入'!$M$7:$M$206,"是")</x:f>
        <x:v>0</x:v>
      </x:c>
      <x:c r="H84" s="117" t="str">
        <x:f>IF($G84=0,"",_xlfn.MINIFS('工作觀察輸入'!$B$7:$B$206,'工作觀察輸入'!$C$7:$C$206,$B84,'工作觀察輸入'!$G$7:$G$206,$D84,'工作觀察輸入'!$M$7:$M$206,"是"))</x:f>
      </x:c>
      <x:c r="I84" s="117" t="str">
        <x:f>IF($G84=0,"",_xlfn.MAXIFS('工作觀察輸入'!$B$7:$B$206,'工作觀察輸入'!$C$7:$C$206,$B84,'工作觀察輸入'!$G$7:$G$206,$D84,'工作觀察輸入'!$M$7:$M$206,"是"))</x:f>
      </x:c>
      <x:c r="J84" s="115" t="n">
        <x:f>IF($G84=0,0,IF($H84=$I84,1,2))</x:f>
        <x:v>0</x:v>
      </x:c>
      <x:c r="K84" s="115" t="n">
        <x:f>COUNTIFS('工作觀察輸入'!$C$7:$C$206,$B84,'工作觀察輸入'!$G$7:$G$206,$D84,'工作觀察輸入'!$J$7:$J$206,"是")</x:f>
        <x:v>0</x:v>
      </x:c>
      <x:c r="L84" s="115" t="n">
        <x:f>COUNTIFS('面談與異議'!$C$7:$C$106,$B84,'面談與異議'!$F$7:$F$106,$D84,'面談與異議'!$E$7:$E$106,"兩個月面談")</x:f>
        <x:v>0</x:v>
      </x:c>
      <x:c r="M84" s="115" t="str">
        <x:f>IF($E84&lt;&gt;"Ø","不適用",IF(COUNTIFS('事件與限制'!$C$7:$C$106,$B84,'事件與限制'!$E$7:$E$106,$D84,'事件與限制'!$Q$7:$Q$106,"生效中")&gt;0,"資格限制中",IF($F84&lt;&gt;"已核定","先完成基準核定",IF($K84&gt;0,"有關鍵遺漏，先檢討",IF($G84&lt;3,"尚缺成功觀察",IF($J84&lt;2,"觀察日期不足",IF($L84&lt;1,"待兩個月面談","可送主管核定")))))))</x:f>
        <x:v>不適用</x:v>
      </x:c>
      <x:c r="N84" s="116" t="str">
        <x:v>待核定</x:v>
      </x:c>
      <x:c r="O84" s="118"/>
      <x:c r="P84" s="116"/>
      <x:c r="Q84" s="116"/>
      <x:c r="R84" s="115" t="str">
        <x:f>IF($M84&lt;&gt;"可送主管核定","尚未具備條件",IF($N84="不升級","維持原評等",IF($N84="核定升級",IF(OR($O84="",$P84=""),"核定資料未完整","已核定升級"),"待主管核定")))</x:f>
        <x:v>尚未具備條件</x:v>
      </x:c>
    </x:row>
    <x:row r="85">
      <x:c r="A85" s="79" t="str">
        <x:v>UPG|1020|LJT-PREP-MICROENDO</x:v>
      </x:c>
      <x:c r="B85" s="79" t="str">
        <x:v>1020</x:v>
      </x:c>
      <x:c r="C85" s="79" t="str"/>
      <x:c r="D85" s="79" t="str">
        <x:v>LJT-PREP-MICROENDO</x:v>
      </x:c>
      <x:c r="E85" s="79" t="str">
        <x:v>◎</x:v>
      </x:c>
      <x:c r="F85" s="115" t="str">
        <x:f>IF($E85="未評估","未建立",_xlfn.XLOOKUP("ABIL|1020|LJT-PREP-MICROENDO",'主管核定中心'!$A$12:$A$372,'主管核定中心'!$K$12:$K$372,"待主管核定",0))</x:f>
        <x:v>待主管核定</x:v>
      </x:c>
      <x:c r="G85" s="115" t="n">
        <x:f>COUNTIFS('工作觀察輸入'!$C$7:$C$206,$B85,'工作觀察輸入'!$G$7:$G$206,$D85,'工作觀察輸入'!$M$7:$M$206,"是")</x:f>
        <x:v>0</x:v>
      </x:c>
      <x:c r="H85" s="117" t="str">
        <x:f>IF($G85=0,"",_xlfn.MINIFS('工作觀察輸入'!$B$7:$B$206,'工作觀察輸入'!$C$7:$C$206,$B85,'工作觀察輸入'!$G$7:$G$206,$D85,'工作觀察輸入'!$M$7:$M$206,"是"))</x:f>
      </x:c>
      <x:c r="I85" s="117" t="str">
        <x:f>IF($G85=0,"",_xlfn.MAXIFS('工作觀察輸入'!$B$7:$B$206,'工作觀察輸入'!$C$7:$C$206,$B85,'工作觀察輸入'!$G$7:$G$206,$D85,'工作觀察輸入'!$M$7:$M$206,"是"))</x:f>
      </x:c>
      <x:c r="J85" s="115" t="n">
        <x:f>IF($G85=0,0,IF($H85=$I85,1,2))</x:f>
        <x:v>0</x:v>
      </x:c>
      <x:c r="K85" s="115" t="n">
        <x:f>COUNTIFS('工作觀察輸入'!$C$7:$C$206,$B85,'工作觀察輸入'!$G$7:$G$206,$D85,'工作觀察輸入'!$J$7:$J$206,"是")</x:f>
        <x:v>0</x:v>
      </x:c>
      <x:c r="L85" s="115" t="n">
        <x:f>COUNTIFS('面談與異議'!$C$7:$C$106,$B85,'面談與異議'!$F$7:$F$106,$D85,'面談與異議'!$E$7:$E$106,"兩個月面談")</x:f>
        <x:v>0</x:v>
      </x:c>
      <x:c r="M85" s="115" t="str">
        <x:f>IF($E85&lt;&gt;"Ø","不適用",IF(COUNTIFS('事件與限制'!$C$7:$C$106,$B85,'事件與限制'!$E$7:$E$106,$D85,'事件與限制'!$Q$7:$Q$106,"生效中")&gt;0,"資格限制中",IF($F85&lt;&gt;"已核定","先完成基準核定",IF($K85&gt;0,"有關鍵遺漏，先檢討",IF($G85&lt;3,"尚缺成功觀察",IF($J85&lt;2,"觀察日期不足",IF($L85&lt;1,"待兩個月面談","可送主管核定")))))))</x:f>
        <x:v>不適用</x:v>
      </x:c>
      <x:c r="N85" s="116" t="str">
        <x:v>待核定</x:v>
      </x:c>
      <x:c r="O85" s="118"/>
      <x:c r="P85" s="116"/>
      <x:c r="Q85" s="116"/>
      <x:c r="R85" s="115" t="str">
        <x:f>IF($M85&lt;&gt;"可送主管核定","尚未具備條件",IF($N85="不升級","維持原評等",IF($N85="核定升級",IF(OR($O85="",$P85=""),"核定資料未完整","已核定升級"),"待主管核定")))</x:f>
        <x:v>尚未具備條件</x:v>
      </x:c>
    </x:row>
    <x:row r="86">
      <x:c r="A86" s="79" t="str">
        <x:v>UPG|1020|LJT-PREP-IMPLANT</x:v>
      </x:c>
      <x:c r="B86" s="79" t="str">
        <x:v>1020</x:v>
      </x:c>
      <x:c r="C86" s="79" t="str"/>
      <x:c r="D86" s="79" t="str">
        <x:v>LJT-PREP-IMPLANT</x:v>
      </x:c>
      <x:c r="E86" s="79" t="str">
        <x:v>◎</x:v>
      </x:c>
      <x:c r="F86" s="115" t="str">
        <x:f>IF($E86="未評估","未建立",_xlfn.XLOOKUP("ABIL|1020|LJT-PREP-IMPLANT",'主管核定中心'!$A$12:$A$372,'主管核定中心'!$K$12:$K$372,"待主管核定",0))</x:f>
        <x:v>待主管核定</x:v>
      </x:c>
      <x:c r="G86" s="115" t="n">
        <x:f>COUNTIFS('工作觀察輸入'!$C$7:$C$206,$B86,'工作觀察輸入'!$G$7:$G$206,$D86,'工作觀察輸入'!$M$7:$M$206,"是")</x:f>
        <x:v>0</x:v>
      </x:c>
      <x:c r="H86" s="117" t="str">
        <x:f>IF($G86=0,"",_xlfn.MINIFS('工作觀察輸入'!$B$7:$B$206,'工作觀察輸入'!$C$7:$C$206,$B86,'工作觀察輸入'!$G$7:$G$206,$D86,'工作觀察輸入'!$M$7:$M$206,"是"))</x:f>
      </x:c>
      <x:c r="I86" s="117" t="str">
        <x:f>IF($G86=0,"",_xlfn.MAXIFS('工作觀察輸入'!$B$7:$B$206,'工作觀察輸入'!$C$7:$C$206,$B86,'工作觀察輸入'!$G$7:$G$206,$D86,'工作觀察輸入'!$M$7:$M$206,"是"))</x:f>
      </x:c>
      <x:c r="J86" s="115" t="n">
        <x:f>IF($G86=0,0,IF($H86=$I86,1,2))</x:f>
        <x:v>0</x:v>
      </x:c>
      <x:c r="K86" s="115" t="n">
        <x:f>COUNTIFS('工作觀察輸入'!$C$7:$C$206,$B86,'工作觀察輸入'!$G$7:$G$206,$D86,'工作觀察輸入'!$J$7:$J$206,"是")</x:f>
        <x:v>0</x:v>
      </x:c>
      <x:c r="L86" s="115" t="n">
        <x:f>COUNTIFS('面談與異議'!$C$7:$C$106,$B86,'面談與異議'!$F$7:$F$106,$D86,'面談與異議'!$E$7:$E$106,"兩個月面談")</x:f>
        <x:v>0</x:v>
      </x:c>
      <x:c r="M86" s="115" t="str">
        <x:f>IF($E86&lt;&gt;"Ø","不適用",IF(COUNTIFS('事件與限制'!$C$7:$C$106,$B86,'事件與限制'!$E$7:$E$106,$D86,'事件與限制'!$Q$7:$Q$106,"生效中")&gt;0,"資格限制中",IF($F86&lt;&gt;"已核定","先完成基準核定",IF($K86&gt;0,"有關鍵遺漏，先檢討",IF($G86&lt;3,"尚缺成功觀察",IF($J86&lt;2,"觀察日期不足",IF($L86&lt;1,"待兩個月面談","可送主管核定")))))))</x:f>
        <x:v>不適用</x:v>
      </x:c>
      <x:c r="N86" s="116" t="str">
        <x:v>待核定</x:v>
      </x:c>
      <x:c r="O86" s="118"/>
      <x:c r="P86" s="116"/>
      <x:c r="Q86" s="116"/>
      <x:c r="R86" s="115" t="str">
        <x:f>IF($M86&lt;&gt;"可送主管核定","尚未具備條件",IF($N86="不升級","維持原評等",IF($N86="核定升級",IF(OR($O86="",$P86=""),"核定資料未完整","已核定升級"),"待主管核定")))</x:f>
        <x:v>尚未具備條件</x:v>
      </x:c>
    </x:row>
    <x:row r="87">
      <x:c r="A87" s="79" t="str">
        <x:v>UPG|1020|COMMON-RECORD</x:v>
      </x:c>
      <x:c r="B87" s="79" t="str">
        <x:v>1020</x:v>
      </x:c>
      <x:c r="C87" s="79" t="str"/>
      <x:c r="D87" s="79" t="str">
        <x:v>COMMON-RECORD</x:v>
      </x:c>
      <x:c r="E87" s="79" t="str">
        <x:v>◎</x:v>
      </x:c>
      <x:c r="F87" s="115" t="str">
        <x:f>IF($E87="未評估","未建立",_xlfn.XLOOKUP("ABIL|1020|COMMON-RECORD",'主管核定中心'!$A$12:$A$372,'主管核定中心'!$K$12:$K$372,"待主管核定",0))</x:f>
        <x:v>待主管核定</x:v>
      </x:c>
      <x:c r="G87" s="115" t="n">
        <x:f>COUNTIFS('工作觀察輸入'!$C$7:$C$206,$B87,'工作觀察輸入'!$G$7:$G$206,$D87,'工作觀察輸入'!$M$7:$M$206,"是")</x:f>
        <x:v>0</x:v>
      </x:c>
      <x:c r="H87" s="117" t="str">
        <x:f>IF($G87=0,"",_xlfn.MINIFS('工作觀察輸入'!$B$7:$B$206,'工作觀察輸入'!$C$7:$C$206,$B87,'工作觀察輸入'!$G$7:$G$206,$D87,'工作觀察輸入'!$M$7:$M$206,"是"))</x:f>
      </x:c>
      <x:c r="I87" s="117" t="str">
        <x:f>IF($G87=0,"",_xlfn.MAXIFS('工作觀察輸入'!$B$7:$B$206,'工作觀察輸入'!$C$7:$C$206,$B87,'工作觀察輸入'!$G$7:$G$206,$D87,'工作觀察輸入'!$M$7:$M$206,"是"))</x:f>
      </x:c>
      <x:c r="J87" s="115" t="n">
        <x:f>IF($G87=0,0,IF($H87=$I87,1,2))</x:f>
        <x:v>0</x:v>
      </x:c>
      <x:c r="K87" s="115" t="n">
        <x:f>COUNTIFS('工作觀察輸入'!$C$7:$C$206,$B87,'工作觀察輸入'!$G$7:$G$206,$D87,'工作觀察輸入'!$J$7:$J$206,"是")</x:f>
        <x:v>0</x:v>
      </x:c>
      <x:c r="L87" s="115" t="n">
        <x:f>COUNTIFS('面談與異議'!$C$7:$C$106,$B87,'面談與異議'!$F$7:$F$106,$D87,'面談與異議'!$E$7:$E$106,"兩個月面談")</x:f>
        <x:v>0</x:v>
      </x:c>
      <x:c r="M87" s="115" t="str">
        <x:f>IF($E87&lt;&gt;"Ø","不適用",IF(COUNTIFS('事件與限制'!$C$7:$C$106,$B87,'事件與限制'!$E$7:$E$106,$D87,'事件與限制'!$Q$7:$Q$106,"生效中")&gt;0,"資格限制中",IF($F87&lt;&gt;"已核定","先完成基準核定",IF($K87&gt;0,"有關鍵遺漏，先檢討",IF($G87&lt;3,"尚缺成功觀察",IF($J87&lt;2,"觀察日期不足",IF($L87&lt;1,"待兩個月面談","可送主管核定")))))))</x:f>
        <x:v>不適用</x:v>
      </x:c>
      <x:c r="N87" s="116" t="str">
        <x:v>待核定</x:v>
      </x:c>
      <x:c r="O87" s="118"/>
      <x:c r="P87" s="116"/>
      <x:c r="Q87" s="116"/>
      <x:c r="R87" s="115" t="str">
        <x:f>IF($M87&lt;&gt;"可送主管核定","尚未具備條件",IF($N87="不升級","維持原評等",IF($N87="核定升級",IF(OR($O87="",$P87=""),"核定資料未完整","已核定升級"),"待主管核定")))</x:f>
        <x:v>尚未具備條件</x:v>
      </x:c>
    </x:row>
    <x:row r="88">
      <x:c r="A88" s="79" t="str">
        <x:v>UPG|1020|COMMON-INSURANCE</x:v>
      </x:c>
      <x:c r="B88" s="79" t="str">
        <x:v>1020</x:v>
      </x:c>
      <x:c r="C88" s="79" t="str"/>
      <x:c r="D88" s="79" t="str">
        <x:v>COMMON-INSURANCE</x:v>
      </x:c>
      <x:c r="E88" s="79" t="str">
        <x:v>◎</x:v>
      </x:c>
      <x:c r="F88" s="115" t="str">
        <x:f>IF($E88="未評估","未建立",_xlfn.XLOOKUP("ABIL|1020|COMMON-INSURANCE",'主管核定中心'!$A$12:$A$372,'主管核定中心'!$K$12:$K$372,"待主管核定",0))</x:f>
        <x:v>待主管核定</x:v>
      </x:c>
      <x:c r="G88" s="115" t="n">
        <x:f>COUNTIFS('工作觀察輸入'!$C$7:$C$206,$B88,'工作觀察輸入'!$G$7:$G$206,$D88,'工作觀察輸入'!$M$7:$M$206,"是")</x:f>
        <x:v>0</x:v>
      </x:c>
      <x:c r="H88" s="117" t="str">
        <x:f>IF($G88=0,"",_xlfn.MINIFS('工作觀察輸入'!$B$7:$B$206,'工作觀察輸入'!$C$7:$C$206,$B88,'工作觀察輸入'!$G$7:$G$206,$D88,'工作觀察輸入'!$M$7:$M$206,"是"))</x:f>
      </x:c>
      <x:c r="I88" s="117" t="str">
        <x:f>IF($G88=0,"",_xlfn.MAXIFS('工作觀察輸入'!$B$7:$B$206,'工作觀察輸入'!$C$7:$C$206,$B88,'工作觀察輸入'!$G$7:$G$206,$D88,'工作觀察輸入'!$M$7:$M$206,"是"))</x:f>
      </x:c>
      <x:c r="J88" s="115" t="n">
        <x:f>IF($G88=0,0,IF($H88=$I88,1,2))</x:f>
        <x:v>0</x:v>
      </x:c>
      <x:c r="K88" s="115" t="n">
        <x:f>COUNTIFS('工作觀察輸入'!$C$7:$C$206,$B88,'工作觀察輸入'!$G$7:$G$206,$D88,'工作觀察輸入'!$J$7:$J$206,"是")</x:f>
        <x:v>0</x:v>
      </x:c>
      <x:c r="L88" s="115" t="n">
        <x:f>COUNTIFS('面談與異議'!$C$7:$C$106,$B88,'面談與異議'!$F$7:$F$106,$D88,'面談與異議'!$E$7:$E$106,"兩個月面談")</x:f>
        <x:v>0</x:v>
      </x:c>
      <x:c r="M88" s="115" t="str">
        <x:f>IF($E88&lt;&gt;"Ø","不適用",IF(COUNTIFS('事件與限制'!$C$7:$C$106,$B88,'事件與限制'!$E$7:$E$106,$D88,'事件與限制'!$Q$7:$Q$106,"生效中")&gt;0,"資格限制中",IF($F88&lt;&gt;"已核定","先完成基準核定",IF($K88&gt;0,"有關鍵遺漏，先檢討",IF($G88&lt;3,"尚缺成功觀察",IF($J88&lt;2,"觀察日期不足",IF($L88&lt;1,"待兩個月面談","可送主管核定")))))))</x:f>
        <x:v>不適用</x:v>
      </x:c>
      <x:c r="N88" s="116" t="str">
        <x:v>待核定</x:v>
      </x:c>
      <x:c r="O88" s="118"/>
      <x:c r="P88" s="116"/>
      <x:c r="Q88" s="116"/>
      <x:c r="R88" s="115" t="str">
        <x:f>IF($M88&lt;&gt;"可送主管核定","尚未具備條件",IF($N88="不升級","維持原評等",IF($N88="核定升級",IF(OR($O88="",$P88=""),"核定資料未完整","已核定升級"),"待主管核定")))</x:f>
        <x:v>尚未具備條件</x:v>
      </x:c>
    </x:row>
    <x:row r="89">
      <x:c r="A89" s="79" t="str">
        <x:v>UPG|1020|COMMON-XRAY-RECORD</x:v>
      </x:c>
      <x:c r="B89" s="79" t="str">
        <x:v>1020</x:v>
      </x:c>
      <x:c r="C89" s="79" t="str"/>
      <x:c r="D89" s="79" t="str">
        <x:v>COMMON-XRAY-RECORD</x:v>
      </x:c>
      <x:c r="E89" s="79" t="str">
        <x:v>◎</x:v>
      </x:c>
      <x:c r="F89" s="115" t="str">
        <x:f>IF($E89="未評估","未建立",_xlfn.XLOOKUP("ABIL|1020|COMMON-XRAY-RECORD",'主管核定中心'!$A$12:$A$372,'主管核定中心'!$K$12:$K$372,"待主管核定",0))</x:f>
        <x:v>待主管核定</x:v>
      </x:c>
      <x:c r="G89" s="115" t="n">
        <x:f>COUNTIFS('工作觀察輸入'!$C$7:$C$206,$B89,'工作觀察輸入'!$G$7:$G$206,$D89,'工作觀察輸入'!$M$7:$M$206,"是")</x:f>
        <x:v>0</x:v>
      </x:c>
      <x:c r="H89" s="117" t="str">
        <x:f>IF($G89=0,"",_xlfn.MINIFS('工作觀察輸入'!$B$7:$B$206,'工作觀察輸入'!$C$7:$C$206,$B89,'工作觀察輸入'!$G$7:$G$206,$D89,'工作觀察輸入'!$M$7:$M$206,"是"))</x:f>
      </x:c>
      <x:c r="I89" s="117" t="str">
        <x:f>IF($G89=0,"",_xlfn.MAXIFS('工作觀察輸入'!$B$7:$B$206,'工作觀察輸入'!$C$7:$C$206,$B89,'工作觀察輸入'!$G$7:$G$206,$D89,'工作觀察輸入'!$M$7:$M$206,"是"))</x:f>
      </x:c>
      <x:c r="J89" s="115" t="n">
        <x:f>IF($G89=0,0,IF($H89=$I89,1,2))</x:f>
        <x:v>0</x:v>
      </x:c>
      <x:c r="K89" s="115" t="n">
        <x:f>COUNTIFS('工作觀察輸入'!$C$7:$C$206,$B89,'工作觀察輸入'!$G$7:$G$206,$D89,'工作觀察輸入'!$J$7:$J$206,"是")</x:f>
        <x:v>0</x:v>
      </x:c>
      <x:c r="L89" s="115" t="n">
        <x:f>COUNTIFS('面談與異議'!$C$7:$C$106,$B89,'面談與異議'!$F$7:$F$106,$D89,'面談與異議'!$E$7:$E$106,"兩個月面談")</x:f>
        <x:v>0</x:v>
      </x:c>
      <x:c r="M89" s="115" t="str">
        <x:f>IF($E89&lt;&gt;"Ø","不適用",IF(COUNTIFS('事件與限制'!$C$7:$C$106,$B89,'事件與限制'!$E$7:$E$106,$D89,'事件與限制'!$Q$7:$Q$106,"生效中")&gt;0,"資格限制中",IF($F89&lt;&gt;"已核定","先完成基準核定",IF($K89&gt;0,"有關鍵遺漏，先檢討",IF($G89&lt;3,"尚缺成功觀察",IF($J89&lt;2,"觀察日期不足",IF($L89&lt;1,"待兩個月面談","可送主管核定")))))))</x:f>
        <x:v>不適用</x:v>
      </x:c>
      <x:c r="N89" s="116" t="str">
        <x:v>待核定</x:v>
      </x:c>
      <x:c r="O89" s="118"/>
      <x:c r="P89" s="116"/>
      <x:c r="Q89" s="116"/>
      <x:c r="R89" s="115" t="str">
        <x:f>IF($M89&lt;&gt;"可送主管核定","尚未具備條件",IF($N89="不升級","維持原評等",IF($N89="核定升級",IF(OR($O89="",$P89=""),"核定資料未完整","已核定升級"),"待主管核定")))</x:f>
        <x:v>尚未具備條件</x:v>
      </x:c>
    </x:row>
    <x:row r="90">
      <x:c r="A90" s="79" t="str">
        <x:v>UPG|1020|COMMON-PA</x:v>
      </x:c>
      <x:c r="B90" s="79" t="str">
        <x:v>1020</x:v>
      </x:c>
      <x:c r="C90" s="79" t="str"/>
      <x:c r="D90" s="79" t="str">
        <x:v>COMMON-PA</x:v>
      </x:c>
      <x:c r="E90" s="79" t="str">
        <x:v>◎</x:v>
      </x:c>
      <x:c r="F90" s="115" t="str">
        <x:f>IF($E90="未評估","未建立",_xlfn.XLOOKUP("ABIL|1020|COMMON-PA",'主管核定中心'!$A$12:$A$372,'主管核定中心'!$K$12:$K$372,"待主管核定",0))</x:f>
        <x:v>待主管核定</x:v>
      </x:c>
      <x:c r="G90" s="115" t="n">
        <x:f>COUNTIFS('工作觀察輸入'!$C$7:$C$206,$B90,'工作觀察輸入'!$G$7:$G$206,$D90,'工作觀察輸入'!$M$7:$M$206,"是")</x:f>
        <x:v>0</x:v>
      </x:c>
      <x:c r="H90" s="117" t="str">
        <x:f>IF($G90=0,"",_xlfn.MINIFS('工作觀察輸入'!$B$7:$B$206,'工作觀察輸入'!$C$7:$C$206,$B90,'工作觀察輸入'!$G$7:$G$206,$D90,'工作觀察輸入'!$M$7:$M$206,"是"))</x:f>
      </x:c>
      <x:c r="I90" s="117" t="str">
        <x:f>IF($G90=0,"",_xlfn.MAXIFS('工作觀察輸入'!$B$7:$B$206,'工作觀察輸入'!$C$7:$C$206,$B90,'工作觀察輸入'!$G$7:$G$206,$D90,'工作觀察輸入'!$M$7:$M$206,"是"))</x:f>
      </x:c>
      <x:c r="J90" s="115" t="n">
        <x:f>IF($G90=0,0,IF($H90=$I90,1,2))</x:f>
        <x:v>0</x:v>
      </x:c>
      <x:c r="K90" s="115" t="n">
        <x:f>COUNTIFS('工作觀察輸入'!$C$7:$C$206,$B90,'工作觀察輸入'!$G$7:$G$206,$D90,'工作觀察輸入'!$J$7:$J$206,"是")</x:f>
        <x:v>0</x:v>
      </x:c>
      <x:c r="L90" s="115" t="n">
        <x:f>COUNTIFS('面談與異議'!$C$7:$C$106,$B90,'面談與異議'!$F$7:$F$106,$D90,'面談與異議'!$E$7:$E$106,"兩個月面談")</x:f>
        <x:v>0</x:v>
      </x:c>
      <x:c r="M90" s="115" t="str">
        <x:f>IF($E90&lt;&gt;"Ø","不適用",IF(COUNTIFS('事件與限制'!$C$7:$C$106,$B90,'事件與限制'!$E$7:$E$106,$D90,'事件與限制'!$Q$7:$Q$106,"生效中")&gt;0,"資格限制中",IF($F90&lt;&gt;"已核定","先完成基準核定",IF($K90&gt;0,"有關鍵遺漏，先檢討",IF($G90&lt;3,"尚缺成功觀察",IF($J90&lt;2,"觀察日期不足",IF($L90&lt;1,"待兩個月面談","可送主管核定")))))))</x:f>
        <x:v>不適用</x:v>
      </x:c>
      <x:c r="N90" s="116" t="str">
        <x:v>待核定</x:v>
      </x:c>
      <x:c r="O90" s="118"/>
      <x:c r="P90" s="116"/>
      <x:c r="Q90" s="116"/>
      <x:c r="R90" s="115" t="str">
        <x:f>IF($M90&lt;&gt;"可送主管核定","尚未具備條件",IF($N90="不升級","維持原評等",IF($N90="核定升級",IF(OR($O90="",$P90=""),"核定資料未完整","已核定升級"),"待主管核定")))</x:f>
        <x:v>尚未具備條件</x:v>
      </x:c>
    </x:row>
    <x:row r="91">
      <x:c r="A91" s="79" t="str">
        <x:v>UPG|1020|COMMON-IOS</x:v>
      </x:c>
      <x:c r="B91" s="79" t="str">
        <x:v>1020</x:v>
      </x:c>
      <x:c r="C91" s="79" t="str"/>
      <x:c r="D91" s="79" t="str">
        <x:v>COMMON-IOS</x:v>
      </x:c>
      <x:c r="E91" s="79" t="str">
        <x:v>◎</x:v>
      </x:c>
      <x:c r="F91" s="115" t="str">
        <x:f>IF($E91="未評估","未建立",_xlfn.XLOOKUP("ABIL|1020|COMMON-IOS",'主管核定中心'!$A$12:$A$372,'主管核定中心'!$K$12:$K$372,"待主管核定",0))</x:f>
        <x:v>待主管核定</x:v>
      </x:c>
      <x:c r="G91" s="115" t="n">
        <x:f>COUNTIFS('工作觀察輸入'!$C$7:$C$206,$B91,'工作觀察輸入'!$G$7:$G$206,$D91,'工作觀察輸入'!$M$7:$M$206,"是")</x:f>
        <x:v>0</x:v>
      </x:c>
      <x:c r="H91" s="117" t="str">
        <x:f>IF($G91=0,"",_xlfn.MINIFS('工作觀察輸入'!$B$7:$B$206,'工作觀察輸入'!$C$7:$C$206,$B91,'工作觀察輸入'!$G$7:$G$206,$D91,'工作觀察輸入'!$M$7:$M$206,"是"))</x:f>
      </x:c>
      <x:c r="I91" s="117" t="str">
        <x:f>IF($G91=0,"",_xlfn.MAXIFS('工作觀察輸入'!$B$7:$B$206,'工作觀察輸入'!$C$7:$C$206,$B91,'工作觀察輸入'!$G$7:$G$206,$D91,'工作觀察輸入'!$M$7:$M$206,"是"))</x:f>
      </x:c>
      <x:c r="J91" s="115" t="n">
        <x:f>IF($G91=0,0,IF($H91=$I91,1,2))</x:f>
        <x:v>0</x:v>
      </x:c>
      <x:c r="K91" s="115" t="n">
        <x:f>COUNTIFS('工作觀察輸入'!$C$7:$C$206,$B91,'工作觀察輸入'!$G$7:$G$206,$D91,'工作觀察輸入'!$J$7:$J$206,"是")</x:f>
        <x:v>0</x:v>
      </x:c>
      <x:c r="L91" s="115" t="n">
        <x:f>COUNTIFS('面談與異議'!$C$7:$C$106,$B91,'面談與異議'!$F$7:$F$106,$D91,'面談與異議'!$E$7:$E$106,"兩個月面談")</x:f>
        <x:v>0</x:v>
      </x:c>
      <x:c r="M91" s="115" t="str">
        <x:f>IF($E91&lt;&gt;"Ø","不適用",IF(COUNTIFS('事件與限制'!$C$7:$C$106,$B91,'事件與限制'!$E$7:$E$106,$D91,'事件與限制'!$Q$7:$Q$106,"生效中")&gt;0,"資格限制中",IF($F91&lt;&gt;"已核定","先完成基準核定",IF($K91&gt;0,"有關鍵遺漏，先檢討",IF($G91&lt;3,"尚缺成功觀察",IF($J91&lt;2,"觀察日期不足",IF($L91&lt;1,"待兩個月面談","可送主管核定")))))))</x:f>
        <x:v>不適用</x:v>
      </x:c>
      <x:c r="N91" s="116" t="str">
        <x:v>待核定</x:v>
      </x:c>
      <x:c r="O91" s="118"/>
      <x:c r="P91" s="116"/>
      <x:c r="Q91" s="116"/>
      <x:c r="R91" s="115" t="str">
        <x:f>IF($M91&lt;&gt;"可送主管核定","尚未具備條件",IF($N91="不升級","維持原評等",IF($N91="核定升級",IF(OR($O91="",$P91=""),"核定資料未完整","已核定升級"),"待主管核定")))</x:f>
        <x:v>尚未具備條件</x:v>
      </x:c>
    </x:row>
    <x:row r="92">
      <x:c r="A92" s="79" t="str">
        <x:v>UPG|1025|LJT-PREP-SCALING</x:v>
      </x:c>
      <x:c r="B92" s="79" t="str">
        <x:v>1025</x:v>
      </x:c>
      <x:c r="C92" s="79" t="str"/>
      <x:c r="D92" s="79" t="str">
        <x:v>LJT-PREP-SCALING</x:v>
      </x:c>
      <x:c r="E92" s="79" t="str">
        <x:v>Ø</x:v>
      </x:c>
      <x:c r="F92" s="115" t="str">
        <x:f>IF($E92="未評估","未建立",_xlfn.XLOOKUP("ABIL|1025|LJT-PREP-SCALING",'主管核定中心'!$A$12:$A$372,'主管核定中心'!$K$12:$K$372,"待主管核定",0))</x:f>
        <x:v>待主管核定</x:v>
      </x:c>
      <x:c r="G92" s="115" t="n">
        <x:f>COUNTIFS('工作觀察輸入'!$C$7:$C$206,$B92,'工作觀察輸入'!$G$7:$G$206,$D92,'工作觀察輸入'!$M$7:$M$206,"是")</x:f>
        <x:v>0</x:v>
      </x:c>
      <x:c r="H92" s="117" t="str">
        <x:f>IF($G92=0,"",_xlfn.MINIFS('工作觀察輸入'!$B$7:$B$206,'工作觀察輸入'!$C$7:$C$206,$B92,'工作觀察輸入'!$G$7:$G$206,$D92,'工作觀察輸入'!$M$7:$M$206,"是"))</x:f>
      </x:c>
      <x:c r="I92" s="117" t="str">
        <x:f>IF($G92=0,"",_xlfn.MAXIFS('工作觀察輸入'!$B$7:$B$206,'工作觀察輸入'!$C$7:$C$206,$B92,'工作觀察輸入'!$G$7:$G$206,$D92,'工作觀察輸入'!$M$7:$M$206,"是"))</x:f>
      </x:c>
      <x:c r="J92" s="115" t="n">
        <x:f>IF($G92=0,0,IF($H92=$I92,1,2))</x:f>
        <x:v>0</x:v>
      </x:c>
      <x:c r="K92" s="115" t="n">
        <x:f>COUNTIFS('工作觀察輸入'!$C$7:$C$206,$B92,'工作觀察輸入'!$G$7:$G$206,$D92,'工作觀察輸入'!$J$7:$J$206,"是")</x:f>
        <x:v>0</x:v>
      </x:c>
      <x:c r="L92" s="115" t="n">
        <x:f>COUNTIFS('面談與異議'!$C$7:$C$106,$B92,'面談與異議'!$F$7:$F$106,$D92,'面談與異議'!$E$7:$E$106,"兩個月面談")</x:f>
        <x:v>0</x:v>
      </x:c>
      <x:c r="M92" s="115" t="str">
        <x:f>IF($E92&lt;&gt;"Ø","不適用",IF(COUNTIFS('事件與限制'!$C$7:$C$106,$B92,'事件與限制'!$E$7:$E$106,$D92,'事件與限制'!$Q$7:$Q$106,"生效中")&gt;0,"資格限制中",IF($F92&lt;&gt;"已核定","先完成基準核定",IF($K92&gt;0,"有關鍵遺漏，先檢討",IF($G92&lt;3,"尚缺成功觀察",IF($J92&lt;2,"觀察日期不足",IF($L92&lt;1,"待兩個月面談","可送主管核定")))))))</x:f>
        <x:v>先完成基準核定</x:v>
      </x:c>
      <x:c r="N92" s="116" t="str">
        <x:v>待核定</x:v>
      </x:c>
      <x:c r="O92" s="118"/>
      <x:c r="P92" s="116"/>
      <x:c r="Q92" s="116"/>
      <x:c r="R92" s="115" t="str">
        <x:f>IF($M92&lt;&gt;"可送主管核定","尚未具備條件",IF($N92="不升級","維持原評等",IF($N92="核定升級",IF(OR($O92="",$P92=""),"核定資料未完整","已核定升級"),"待主管核定")))</x:f>
        <x:v>尚未具備條件</x:v>
      </x:c>
    </x:row>
    <x:row r="93">
      <x:c r="A93" s="79" t="str">
        <x:v>UPG|1025|LJT-PREP-FILLING</x:v>
      </x:c>
      <x:c r="B93" s="79" t="str">
        <x:v>1025</x:v>
      </x:c>
      <x:c r="C93" s="79" t="str"/>
      <x:c r="D93" s="79" t="str">
        <x:v>LJT-PREP-FILLING</x:v>
      </x:c>
      <x:c r="E93" s="79" t="str">
        <x:v>Ø</x:v>
      </x:c>
      <x:c r="F93" s="115" t="str">
        <x:f>IF($E93="未評估","未建立",_xlfn.XLOOKUP("ABIL|1025|LJT-PREP-FILLING",'主管核定中心'!$A$12:$A$372,'主管核定中心'!$K$12:$K$372,"待主管核定",0))</x:f>
        <x:v>待主管核定</x:v>
      </x:c>
      <x:c r="G93" s="115" t="n">
        <x:f>COUNTIFS('工作觀察輸入'!$C$7:$C$206,$B93,'工作觀察輸入'!$G$7:$G$206,$D93,'工作觀察輸入'!$M$7:$M$206,"是")</x:f>
        <x:v>0</x:v>
      </x:c>
      <x:c r="H93" s="117" t="str">
        <x:f>IF($G93=0,"",_xlfn.MINIFS('工作觀察輸入'!$B$7:$B$206,'工作觀察輸入'!$C$7:$C$206,$B93,'工作觀察輸入'!$G$7:$G$206,$D93,'工作觀察輸入'!$M$7:$M$206,"是"))</x:f>
      </x:c>
      <x:c r="I93" s="117" t="str">
        <x:f>IF($G93=0,"",_xlfn.MAXIFS('工作觀察輸入'!$B$7:$B$206,'工作觀察輸入'!$C$7:$C$206,$B93,'工作觀察輸入'!$G$7:$G$206,$D93,'工作觀察輸入'!$M$7:$M$206,"是"))</x:f>
      </x:c>
      <x:c r="J93" s="115" t="n">
        <x:f>IF($G93=0,0,IF($H93=$I93,1,2))</x:f>
        <x:v>0</x:v>
      </x:c>
      <x:c r="K93" s="115" t="n">
        <x:f>COUNTIFS('工作觀察輸入'!$C$7:$C$206,$B93,'工作觀察輸入'!$G$7:$G$206,$D93,'工作觀察輸入'!$J$7:$J$206,"是")</x:f>
        <x:v>0</x:v>
      </x:c>
      <x:c r="L93" s="115" t="n">
        <x:f>COUNTIFS('面談與異議'!$C$7:$C$106,$B93,'面談與異議'!$F$7:$F$106,$D93,'面談與異議'!$E$7:$E$106,"兩個月面談")</x:f>
        <x:v>0</x:v>
      </x:c>
      <x:c r="M93" s="115" t="str">
        <x:f>IF($E93&lt;&gt;"Ø","不適用",IF(COUNTIFS('事件與限制'!$C$7:$C$106,$B93,'事件與限制'!$E$7:$E$106,$D93,'事件與限制'!$Q$7:$Q$106,"生效中")&gt;0,"資格限制中",IF($F93&lt;&gt;"已核定","先完成基準核定",IF($K93&gt;0,"有關鍵遺漏，先檢討",IF($G93&lt;3,"尚缺成功觀察",IF($J93&lt;2,"觀察日期不足",IF($L93&lt;1,"待兩個月面談","可送主管核定")))))))</x:f>
        <x:v>先完成基準核定</x:v>
      </x:c>
      <x:c r="N93" s="116" t="str">
        <x:v>待核定</x:v>
      </x:c>
      <x:c r="O93" s="118"/>
      <x:c r="P93" s="116"/>
      <x:c r="Q93" s="116"/>
      <x:c r="R93" s="115" t="str">
        <x:f>IF($M93&lt;&gt;"可送主管核定","尚未具備條件",IF($N93="不升級","維持原評等",IF($N93="核定升級",IF(OR($O93="",$P93=""),"核定資料未完整","已核定升級"),"待主管核定")))</x:f>
        <x:v>尚未具備條件</x:v>
      </x:c>
    </x:row>
    <x:row r="94">
      <x:c r="A94" s="79" t="str">
        <x:v>UPG|1025|LJT-PREP-PERIO</x:v>
      </x:c>
      <x:c r="B94" s="79" t="str">
        <x:v>1025</x:v>
      </x:c>
      <x:c r="C94" s="79" t="str"/>
      <x:c r="D94" s="79" t="str">
        <x:v>LJT-PREP-PERIO</x:v>
      </x:c>
      <x:c r="E94" s="79" t="str">
        <x:v>Ø</x:v>
      </x:c>
      <x:c r="F94" s="115" t="str">
        <x:f>IF($E94="未評估","未建立",_xlfn.XLOOKUP("ABIL|1025|LJT-PREP-PERIO",'主管核定中心'!$A$12:$A$372,'主管核定中心'!$K$12:$K$372,"待主管核定",0))</x:f>
        <x:v>待主管核定</x:v>
      </x:c>
      <x:c r="G94" s="115" t="n">
        <x:f>COUNTIFS('工作觀察輸入'!$C$7:$C$206,$B94,'工作觀察輸入'!$G$7:$G$206,$D94,'工作觀察輸入'!$M$7:$M$206,"是")</x:f>
        <x:v>0</x:v>
      </x:c>
      <x:c r="H94" s="117" t="str">
        <x:f>IF($G94=0,"",_xlfn.MINIFS('工作觀察輸入'!$B$7:$B$206,'工作觀察輸入'!$C$7:$C$206,$B94,'工作觀察輸入'!$G$7:$G$206,$D94,'工作觀察輸入'!$M$7:$M$206,"是"))</x:f>
      </x:c>
      <x:c r="I94" s="117" t="str">
        <x:f>IF($G94=0,"",_xlfn.MAXIFS('工作觀察輸入'!$B$7:$B$206,'工作觀察輸入'!$C$7:$C$206,$B94,'工作觀察輸入'!$G$7:$G$206,$D94,'工作觀察輸入'!$M$7:$M$206,"是"))</x:f>
      </x:c>
      <x:c r="J94" s="115" t="n">
        <x:f>IF($G94=0,0,IF($H94=$I94,1,2))</x:f>
        <x:v>0</x:v>
      </x:c>
      <x:c r="K94" s="115" t="n">
        <x:f>COUNTIFS('工作觀察輸入'!$C$7:$C$206,$B94,'工作觀察輸入'!$G$7:$G$206,$D94,'工作觀察輸入'!$J$7:$J$206,"是")</x:f>
        <x:v>0</x:v>
      </x:c>
      <x:c r="L94" s="115" t="n">
        <x:f>COUNTIFS('面談與異議'!$C$7:$C$106,$B94,'面談與異議'!$F$7:$F$106,$D94,'面談與異議'!$E$7:$E$106,"兩個月面談")</x:f>
        <x:v>0</x:v>
      </x:c>
      <x:c r="M94" s="115" t="str">
        <x:f>IF($E94&lt;&gt;"Ø","不適用",IF(COUNTIFS('事件與限制'!$C$7:$C$106,$B94,'事件與限制'!$E$7:$E$106,$D94,'事件與限制'!$Q$7:$Q$106,"生效中")&gt;0,"資格限制中",IF($F94&lt;&gt;"已核定","先完成基準核定",IF($K94&gt;0,"有關鍵遺漏，先檢討",IF($G94&lt;3,"尚缺成功觀察",IF($J94&lt;2,"觀察日期不足",IF($L94&lt;1,"待兩個月面談","可送主管核定")))))))</x:f>
        <x:v>先完成基準核定</x:v>
      </x:c>
      <x:c r="N94" s="116" t="str">
        <x:v>待核定</x:v>
      </x:c>
      <x:c r="O94" s="118"/>
      <x:c r="P94" s="116"/>
      <x:c r="Q94" s="116"/>
      <x:c r="R94" s="115" t="str">
        <x:f>IF($M94&lt;&gt;"可送主管核定","尚未具備條件",IF($N94="不升級","維持原評等",IF($N94="核定升級",IF(OR($O94="",$P94=""),"核定資料未完整","已核定升級"),"待主管核定")))</x:f>
        <x:v>尚未具備條件</x:v>
      </x:c>
    </x:row>
    <x:row r="95">
      <x:c r="A95" s="79" t="str">
        <x:v>UPG|1025|LJT-PREP-RCT</x:v>
      </x:c>
      <x:c r="B95" s="79" t="str">
        <x:v>1025</x:v>
      </x:c>
      <x:c r="C95" s="79" t="str"/>
      <x:c r="D95" s="79" t="str">
        <x:v>LJT-PREP-RCT</x:v>
      </x:c>
      <x:c r="E95" s="79" t="str">
        <x:v>Ø</x:v>
      </x:c>
      <x:c r="F95" s="115" t="str">
        <x:f>IF($E95="未評估","未建立",_xlfn.XLOOKUP("ABIL|1025|LJT-PREP-RCT",'主管核定中心'!$A$12:$A$372,'主管核定中心'!$K$12:$K$372,"待主管核定",0))</x:f>
        <x:v>待主管核定</x:v>
      </x:c>
      <x:c r="G95" s="115" t="n">
        <x:f>COUNTIFS('工作觀察輸入'!$C$7:$C$206,$B95,'工作觀察輸入'!$G$7:$G$206,$D95,'工作觀察輸入'!$M$7:$M$206,"是")</x:f>
        <x:v>0</x:v>
      </x:c>
      <x:c r="H95" s="117" t="str">
        <x:f>IF($G95=0,"",_xlfn.MINIFS('工作觀察輸入'!$B$7:$B$206,'工作觀察輸入'!$C$7:$C$206,$B95,'工作觀察輸入'!$G$7:$G$206,$D95,'工作觀察輸入'!$M$7:$M$206,"是"))</x:f>
      </x:c>
      <x:c r="I95" s="117" t="str">
        <x:f>IF($G95=0,"",_xlfn.MAXIFS('工作觀察輸入'!$B$7:$B$206,'工作觀察輸入'!$C$7:$C$206,$B95,'工作觀察輸入'!$G$7:$G$206,$D95,'工作觀察輸入'!$M$7:$M$206,"是"))</x:f>
      </x:c>
      <x:c r="J95" s="115" t="n">
        <x:f>IF($G95=0,0,IF($H95=$I95,1,2))</x:f>
        <x:v>0</x:v>
      </x:c>
      <x:c r="K95" s="115" t="n">
        <x:f>COUNTIFS('工作觀察輸入'!$C$7:$C$206,$B95,'工作觀察輸入'!$G$7:$G$206,$D95,'工作觀察輸入'!$J$7:$J$206,"是")</x:f>
        <x:v>0</x:v>
      </x:c>
      <x:c r="L95" s="115" t="n">
        <x:f>COUNTIFS('面談與異議'!$C$7:$C$106,$B95,'面談與異議'!$F$7:$F$106,$D95,'面談與異議'!$E$7:$E$106,"兩個月面談")</x:f>
        <x:v>0</x:v>
      </x:c>
      <x:c r="M95" s="115" t="str">
        <x:f>IF($E95&lt;&gt;"Ø","不適用",IF(COUNTIFS('事件與限制'!$C$7:$C$106,$B95,'事件與限制'!$E$7:$E$106,$D95,'事件與限制'!$Q$7:$Q$106,"生效中")&gt;0,"資格限制中",IF($F95&lt;&gt;"已核定","先完成基準核定",IF($K95&gt;0,"有關鍵遺漏，先檢討",IF($G95&lt;3,"尚缺成功觀察",IF($J95&lt;2,"觀察日期不足",IF($L95&lt;1,"待兩個月面談","可送主管核定")))))))</x:f>
        <x:v>先完成基準核定</x:v>
      </x:c>
      <x:c r="N95" s="116" t="str">
        <x:v>待核定</x:v>
      </x:c>
      <x:c r="O95" s="118"/>
      <x:c r="P95" s="116"/>
      <x:c r="Q95" s="116"/>
      <x:c r="R95" s="115" t="str">
        <x:f>IF($M95&lt;&gt;"可送主管核定","尚未具備條件",IF($N95="不升級","維持原評等",IF($N95="核定升級",IF(OR($O95="",$P95=""),"核定資料未完整","已核定升級"),"待主管核定")))</x:f>
        <x:v>尚未具備條件</x:v>
      </x:c>
    </x:row>
    <x:row r="96">
      <x:c r="A96" s="79" t="str">
        <x:v>UPG|1025|LJT-PREP-EXTRACTION</x:v>
      </x:c>
      <x:c r="B96" s="79" t="str">
        <x:v>1025</x:v>
      </x:c>
      <x:c r="C96" s="79" t="str"/>
      <x:c r="D96" s="79" t="str">
        <x:v>LJT-PREP-EXTRACTION</x:v>
      </x:c>
      <x:c r="E96" s="79" t="str">
        <x:v>Ø</x:v>
      </x:c>
      <x:c r="F96" s="115" t="str">
        <x:f>IF($E96="未評估","未建立",_xlfn.XLOOKUP("ABIL|1025|LJT-PREP-EXTRACTION",'主管核定中心'!$A$12:$A$372,'主管核定中心'!$K$12:$K$372,"待主管核定",0))</x:f>
        <x:v>待主管核定</x:v>
      </x:c>
      <x:c r="G96" s="115" t="n">
        <x:f>COUNTIFS('工作觀察輸入'!$C$7:$C$206,$B96,'工作觀察輸入'!$G$7:$G$206,$D96,'工作觀察輸入'!$M$7:$M$206,"是")</x:f>
        <x:v>0</x:v>
      </x:c>
      <x:c r="H96" s="117" t="str">
        <x:f>IF($G96=0,"",_xlfn.MINIFS('工作觀察輸入'!$B$7:$B$206,'工作觀察輸入'!$C$7:$C$206,$B96,'工作觀察輸入'!$G$7:$G$206,$D96,'工作觀察輸入'!$M$7:$M$206,"是"))</x:f>
      </x:c>
      <x:c r="I96" s="117" t="str">
        <x:f>IF($G96=0,"",_xlfn.MAXIFS('工作觀察輸入'!$B$7:$B$206,'工作觀察輸入'!$C$7:$C$206,$B96,'工作觀察輸入'!$G$7:$G$206,$D96,'工作觀察輸入'!$M$7:$M$206,"是"))</x:f>
      </x:c>
      <x:c r="J96" s="115" t="n">
        <x:f>IF($G96=0,0,IF($H96=$I96,1,2))</x:f>
        <x:v>0</x:v>
      </x:c>
      <x:c r="K96" s="115" t="n">
        <x:f>COUNTIFS('工作觀察輸入'!$C$7:$C$206,$B96,'工作觀察輸入'!$G$7:$G$206,$D96,'工作觀察輸入'!$J$7:$J$206,"是")</x:f>
        <x:v>0</x:v>
      </x:c>
      <x:c r="L96" s="115" t="n">
        <x:f>COUNTIFS('面談與異議'!$C$7:$C$106,$B96,'面談與異議'!$F$7:$F$106,$D96,'面談與異議'!$E$7:$E$106,"兩個月面談")</x:f>
        <x:v>0</x:v>
      </x:c>
      <x:c r="M96" s="115" t="str">
        <x:f>IF($E96&lt;&gt;"Ø","不適用",IF(COUNTIFS('事件與限制'!$C$7:$C$106,$B96,'事件與限制'!$E$7:$E$106,$D96,'事件與限制'!$Q$7:$Q$106,"生效中")&gt;0,"資格限制中",IF($F96&lt;&gt;"已核定","先完成基準核定",IF($K96&gt;0,"有關鍵遺漏，先檢討",IF($G96&lt;3,"尚缺成功觀察",IF($J96&lt;2,"觀察日期不足",IF($L96&lt;1,"待兩個月面談","可送主管核定")))))))</x:f>
        <x:v>先完成基準核定</x:v>
      </x:c>
      <x:c r="N96" s="116" t="str">
        <x:v>待核定</x:v>
      </x:c>
      <x:c r="O96" s="118"/>
      <x:c r="P96" s="116"/>
      <x:c r="Q96" s="116"/>
      <x:c r="R96" s="115" t="str">
        <x:f>IF($M96&lt;&gt;"可送主管核定","尚未具備條件",IF($N96="不升級","維持原評等",IF($N96="核定升級",IF(OR($O96="",$P96=""),"核定資料未完整","已核定升級"),"待主管核定")))</x:f>
        <x:v>尚未具備條件</x:v>
      </x:c>
    </x:row>
    <x:row r="97">
      <x:c r="A97" s="79" t="str">
        <x:v>UPG|1025|LJT-PREP-CROWNPOST</x:v>
      </x:c>
      <x:c r="B97" s="79" t="str">
        <x:v>1025</x:v>
      </x:c>
      <x:c r="C97" s="79" t="str"/>
      <x:c r="D97" s="79" t="str">
        <x:v>LJT-PREP-CROWNPOST</x:v>
      </x:c>
      <x:c r="E97" s="79" t="str">
        <x:v>Ø</x:v>
      </x:c>
      <x:c r="F97" s="115" t="str">
        <x:f>IF($E97="未評估","未建立",_xlfn.XLOOKUP("ABIL|1025|LJT-PREP-CROWNPOST",'主管核定中心'!$A$12:$A$372,'主管核定中心'!$K$12:$K$372,"待主管核定",0))</x:f>
        <x:v>待主管核定</x:v>
      </x:c>
      <x:c r="G97" s="115" t="n">
        <x:f>COUNTIFS('工作觀察輸入'!$C$7:$C$206,$B97,'工作觀察輸入'!$G$7:$G$206,$D97,'工作觀察輸入'!$M$7:$M$206,"是")</x:f>
        <x:v>0</x:v>
      </x:c>
      <x:c r="H97" s="117" t="str">
        <x:f>IF($G97=0,"",_xlfn.MINIFS('工作觀察輸入'!$B$7:$B$206,'工作觀察輸入'!$C$7:$C$206,$B97,'工作觀察輸入'!$G$7:$G$206,$D97,'工作觀察輸入'!$M$7:$M$206,"是"))</x:f>
      </x:c>
      <x:c r="I97" s="117" t="str">
        <x:f>IF($G97=0,"",_xlfn.MAXIFS('工作觀察輸入'!$B$7:$B$206,'工作觀察輸入'!$C$7:$C$206,$B97,'工作觀察輸入'!$G$7:$G$206,$D97,'工作觀察輸入'!$M$7:$M$206,"是"))</x:f>
      </x:c>
      <x:c r="J97" s="115" t="n">
        <x:f>IF($G97=0,0,IF($H97=$I97,1,2))</x:f>
        <x:v>0</x:v>
      </x:c>
      <x:c r="K97" s="115" t="n">
        <x:f>COUNTIFS('工作觀察輸入'!$C$7:$C$206,$B97,'工作觀察輸入'!$G$7:$G$206,$D97,'工作觀察輸入'!$J$7:$J$206,"是")</x:f>
        <x:v>0</x:v>
      </x:c>
      <x:c r="L97" s="115" t="n">
        <x:f>COUNTIFS('面談與異議'!$C$7:$C$106,$B97,'面談與異議'!$F$7:$F$106,$D97,'面談與異議'!$E$7:$E$106,"兩個月面談")</x:f>
        <x:v>0</x:v>
      </x:c>
      <x:c r="M97" s="115" t="str">
        <x:f>IF($E97&lt;&gt;"Ø","不適用",IF(COUNTIFS('事件與限制'!$C$7:$C$106,$B97,'事件與限制'!$E$7:$E$106,$D97,'事件與限制'!$Q$7:$Q$106,"生效中")&gt;0,"資格限制中",IF($F97&lt;&gt;"已核定","先完成基準核定",IF($K97&gt;0,"有關鍵遺漏，先檢討",IF($G97&lt;3,"尚缺成功觀察",IF($J97&lt;2,"觀察日期不足",IF($L97&lt;1,"待兩個月面談","可送主管核定")))))))</x:f>
        <x:v>先完成基準核定</x:v>
      </x:c>
      <x:c r="N97" s="116" t="str">
        <x:v>待核定</x:v>
      </x:c>
      <x:c r="O97" s="118"/>
      <x:c r="P97" s="116"/>
      <x:c r="Q97" s="116"/>
      <x:c r="R97" s="115" t="str">
        <x:f>IF($M97&lt;&gt;"可送主管核定","尚未具備條件",IF($N97="不升級","維持原評等",IF($N97="核定升級",IF(OR($O97="",$P97=""),"核定資料未完整","已核定升級"),"待主管核定")))</x:f>
        <x:v>尚未具備條件</x:v>
      </x:c>
    </x:row>
    <x:row r="98">
      <x:c r="A98" s="79" t="str">
        <x:v>UPG|1025|LJT-PREP-CROWN</x:v>
      </x:c>
      <x:c r="B98" s="79" t="str">
        <x:v>1025</x:v>
      </x:c>
      <x:c r="C98" s="79" t="str"/>
      <x:c r="D98" s="79" t="str">
        <x:v>LJT-PREP-CROWN</x:v>
      </x:c>
      <x:c r="E98" s="79" t="str">
        <x:v>Ø</x:v>
      </x:c>
      <x:c r="F98" s="115" t="str">
        <x:f>IF($E98="未評估","未建立",_xlfn.XLOOKUP("ABIL|1025|LJT-PREP-CROWN",'主管核定中心'!$A$12:$A$372,'主管核定中心'!$K$12:$K$372,"待主管核定",0))</x:f>
        <x:v>待主管核定</x:v>
      </x:c>
      <x:c r="G98" s="115" t="n">
        <x:f>COUNTIFS('工作觀察輸入'!$C$7:$C$206,$B98,'工作觀察輸入'!$G$7:$G$206,$D98,'工作觀察輸入'!$M$7:$M$206,"是")</x:f>
        <x:v>0</x:v>
      </x:c>
      <x:c r="H98" s="117" t="str">
        <x:f>IF($G98=0,"",_xlfn.MINIFS('工作觀察輸入'!$B$7:$B$206,'工作觀察輸入'!$C$7:$C$206,$B98,'工作觀察輸入'!$G$7:$G$206,$D98,'工作觀察輸入'!$M$7:$M$206,"是"))</x:f>
      </x:c>
      <x:c r="I98" s="117" t="str">
        <x:f>IF($G98=0,"",_xlfn.MAXIFS('工作觀察輸入'!$B$7:$B$206,'工作觀察輸入'!$C$7:$C$206,$B98,'工作觀察輸入'!$G$7:$G$206,$D98,'工作觀察輸入'!$M$7:$M$206,"是"))</x:f>
      </x:c>
      <x:c r="J98" s="115" t="n">
        <x:f>IF($G98=0,0,IF($H98=$I98,1,2))</x:f>
        <x:v>0</x:v>
      </x:c>
      <x:c r="K98" s="115" t="n">
        <x:f>COUNTIFS('工作觀察輸入'!$C$7:$C$206,$B98,'工作觀察輸入'!$G$7:$G$206,$D98,'工作觀察輸入'!$J$7:$J$206,"是")</x:f>
        <x:v>0</x:v>
      </x:c>
      <x:c r="L98" s="115" t="n">
        <x:f>COUNTIFS('面談與異議'!$C$7:$C$106,$B98,'面談與異議'!$F$7:$F$106,$D98,'面談與異議'!$E$7:$E$106,"兩個月面談")</x:f>
        <x:v>0</x:v>
      </x:c>
      <x:c r="M98" s="115" t="str">
        <x:f>IF($E98&lt;&gt;"Ø","不適用",IF(COUNTIFS('事件與限制'!$C$7:$C$106,$B98,'事件與限制'!$E$7:$E$106,$D98,'事件與限制'!$Q$7:$Q$106,"生效中")&gt;0,"資格限制中",IF($F98&lt;&gt;"已核定","先完成基準核定",IF($K98&gt;0,"有關鍵遺漏，先檢討",IF($G98&lt;3,"尚缺成功觀察",IF($J98&lt;2,"觀察日期不足",IF($L98&lt;1,"待兩個月面談","可送主管核定")))))))</x:f>
        <x:v>先完成基準核定</x:v>
      </x:c>
      <x:c r="N98" s="116" t="str">
        <x:v>待核定</x:v>
      </x:c>
      <x:c r="O98" s="118"/>
      <x:c r="P98" s="116"/>
      <x:c r="Q98" s="116"/>
      <x:c r="R98" s="115" t="str">
        <x:f>IF($M98&lt;&gt;"可送主管核定","尚未具備條件",IF($N98="不升級","維持原評等",IF($N98="核定升級",IF(OR($O98="",$P98=""),"核定資料未完整","已核定升級"),"待主管核定")))</x:f>
        <x:v>尚未具備條件</x:v>
      </x:c>
    </x:row>
    <x:row r="99">
      <x:c r="A99" s="79" t="str">
        <x:v>UPG|1025|LJT-PREP-RPD</x:v>
      </x:c>
      <x:c r="B99" s="79" t="str">
        <x:v>1025</x:v>
      </x:c>
      <x:c r="C99" s="79" t="str"/>
      <x:c r="D99" s="79" t="str">
        <x:v>LJT-PREP-RPD</x:v>
      </x:c>
      <x:c r="E99" s="79" t="str">
        <x:v>Ø</x:v>
      </x:c>
      <x:c r="F99" s="115" t="str">
        <x:f>IF($E99="未評估","未建立",_xlfn.XLOOKUP("ABIL|1025|LJT-PREP-RPD",'主管核定中心'!$A$12:$A$372,'主管核定中心'!$K$12:$K$372,"待主管核定",0))</x:f>
        <x:v>待主管核定</x:v>
      </x:c>
      <x:c r="G99" s="115" t="n">
        <x:f>COUNTIFS('工作觀察輸入'!$C$7:$C$206,$B99,'工作觀察輸入'!$G$7:$G$206,$D99,'工作觀察輸入'!$M$7:$M$206,"是")</x:f>
        <x:v>0</x:v>
      </x:c>
      <x:c r="H99" s="117" t="str">
        <x:f>IF($G99=0,"",_xlfn.MINIFS('工作觀察輸入'!$B$7:$B$206,'工作觀察輸入'!$C$7:$C$206,$B99,'工作觀察輸入'!$G$7:$G$206,$D99,'工作觀察輸入'!$M$7:$M$206,"是"))</x:f>
      </x:c>
      <x:c r="I99" s="117" t="str">
        <x:f>IF($G99=0,"",_xlfn.MAXIFS('工作觀察輸入'!$B$7:$B$206,'工作觀察輸入'!$C$7:$C$206,$B99,'工作觀察輸入'!$G$7:$G$206,$D99,'工作觀察輸入'!$M$7:$M$206,"是"))</x:f>
      </x:c>
      <x:c r="J99" s="115" t="n">
        <x:f>IF($G99=0,0,IF($H99=$I99,1,2))</x:f>
        <x:v>0</x:v>
      </x:c>
      <x:c r="K99" s="115" t="n">
        <x:f>COUNTIFS('工作觀察輸入'!$C$7:$C$206,$B99,'工作觀察輸入'!$G$7:$G$206,$D99,'工作觀察輸入'!$J$7:$J$206,"是")</x:f>
        <x:v>0</x:v>
      </x:c>
      <x:c r="L99" s="115" t="n">
        <x:f>COUNTIFS('面談與異議'!$C$7:$C$106,$B99,'面談與異議'!$F$7:$F$106,$D99,'面談與異議'!$E$7:$E$106,"兩個月面談")</x:f>
        <x:v>0</x:v>
      </x:c>
      <x:c r="M99" s="115" t="str">
        <x:f>IF($E99&lt;&gt;"Ø","不適用",IF(COUNTIFS('事件與限制'!$C$7:$C$106,$B99,'事件與限制'!$E$7:$E$106,$D99,'事件與限制'!$Q$7:$Q$106,"生效中")&gt;0,"資格限制中",IF($F99&lt;&gt;"已核定","先完成基準核定",IF($K99&gt;0,"有關鍵遺漏，先檢討",IF($G99&lt;3,"尚缺成功觀察",IF($J99&lt;2,"觀察日期不足",IF($L99&lt;1,"待兩個月面談","可送主管核定")))))))</x:f>
        <x:v>先完成基準核定</x:v>
      </x:c>
      <x:c r="N99" s="116" t="str">
        <x:v>待核定</x:v>
      </x:c>
      <x:c r="O99" s="118"/>
      <x:c r="P99" s="116"/>
      <x:c r="Q99" s="116"/>
      <x:c r="R99" s="115" t="str">
        <x:f>IF($M99&lt;&gt;"可送主管核定","尚未具備條件",IF($N99="不升級","維持原評等",IF($N99="核定升級",IF(OR($O99="",$P99=""),"核定資料未完整","已核定升級"),"待主管核定")))</x:f>
        <x:v>尚未具備條件</x:v>
      </x:c>
    </x:row>
    <x:row r="100">
      <x:c r="A100" s="79" t="str">
        <x:v>UPG|1025|LJT-PREP-AIRPOLISH</x:v>
      </x:c>
      <x:c r="B100" s="79" t="str">
        <x:v>1025</x:v>
      </x:c>
      <x:c r="C100" s="79" t="str"/>
      <x:c r="D100" s="79" t="str">
        <x:v>LJT-PREP-AIRPOLISH</x:v>
      </x:c>
      <x:c r="E100" s="79" t="str">
        <x:v>※</x:v>
      </x:c>
      <x:c r="F100" s="115" t="str">
        <x:f>IF($E100="未評估","未建立",_xlfn.XLOOKUP("ABIL|1025|LJT-PREP-AIRPOLISH",'主管核定中心'!$A$12:$A$372,'主管核定中心'!$K$12:$K$372,"待主管核定",0))</x:f>
        <x:v>待主管核定</x:v>
      </x:c>
      <x:c r="G100" s="115" t="n">
        <x:f>COUNTIFS('工作觀察輸入'!$C$7:$C$206,$B100,'工作觀察輸入'!$G$7:$G$206,$D100,'工作觀察輸入'!$M$7:$M$206,"是")</x:f>
        <x:v>0</x:v>
      </x:c>
      <x:c r="H100" s="117" t="str">
        <x:f>IF($G100=0,"",_xlfn.MINIFS('工作觀察輸入'!$B$7:$B$206,'工作觀察輸入'!$C$7:$C$206,$B100,'工作觀察輸入'!$G$7:$G$206,$D100,'工作觀察輸入'!$M$7:$M$206,"是"))</x:f>
      </x:c>
      <x:c r="I100" s="117" t="str">
        <x:f>IF($G100=0,"",_xlfn.MAXIFS('工作觀察輸入'!$B$7:$B$206,'工作觀察輸入'!$C$7:$C$206,$B100,'工作觀察輸入'!$G$7:$G$206,$D100,'工作觀察輸入'!$M$7:$M$206,"是"))</x:f>
      </x:c>
      <x:c r="J100" s="115" t="n">
        <x:f>IF($G100=0,0,IF($H100=$I100,1,2))</x:f>
        <x:v>0</x:v>
      </x:c>
      <x:c r="K100" s="115" t="n">
        <x:f>COUNTIFS('工作觀察輸入'!$C$7:$C$206,$B100,'工作觀察輸入'!$G$7:$G$206,$D100,'工作觀察輸入'!$J$7:$J$206,"是")</x:f>
        <x:v>0</x:v>
      </x:c>
      <x:c r="L100" s="115" t="n">
        <x:f>COUNTIFS('面談與異議'!$C$7:$C$106,$B100,'面談與異議'!$F$7:$F$106,$D100,'面談與異議'!$E$7:$E$106,"兩個月面談")</x:f>
        <x:v>0</x:v>
      </x:c>
      <x:c r="M100" s="115" t="str">
        <x:f>IF($E100&lt;&gt;"Ø","不適用",IF(COUNTIFS('事件與限制'!$C$7:$C$106,$B100,'事件與限制'!$E$7:$E$106,$D100,'事件與限制'!$Q$7:$Q$106,"生效中")&gt;0,"資格限制中",IF($F100&lt;&gt;"已核定","先完成基準核定",IF($K100&gt;0,"有關鍵遺漏，先檢討",IF($G100&lt;3,"尚缺成功觀察",IF($J100&lt;2,"觀察日期不足",IF($L100&lt;1,"待兩個月面談","可送主管核定")))))))</x:f>
        <x:v>不適用</x:v>
      </x:c>
      <x:c r="N100" s="116" t="str">
        <x:v>待核定</x:v>
      </x:c>
      <x:c r="O100" s="118"/>
      <x:c r="P100" s="116"/>
      <x:c r="Q100" s="116"/>
      <x:c r="R100" s="115" t="str">
        <x:f>IF($M100&lt;&gt;"可送主管核定","尚未具備條件",IF($N100="不升級","維持原評等",IF($N100="核定升級",IF(OR($O100="",$P100=""),"核定資料未完整","已核定升級"),"待主管核定")))</x:f>
        <x:v>尚未具備條件</x:v>
      </x:c>
    </x:row>
    <x:row r="101">
      <x:c r="A101" s="79" t="str">
        <x:v>UPG|1025|LJT-PREP-PERIOSURG</x:v>
      </x:c>
      <x:c r="B101" s="79" t="str">
        <x:v>1025</x:v>
      </x:c>
      <x:c r="C101" s="79" t="str"/>
      <x:c r="D101" s="79" t="str">
        <x:v>LJT-PREP-PERIOSURG</x:v>
      </x:c>
      <x:c r="E101" s="79" t="str">
        <x:v>Ø</x:v>
      </x:c>
      <x:c r="F101" s="115" t="str">
        <x:f>IF($E101="未評估","未建立",_xlfn.XLOOKUP("ABIL|1025|LJT-PREP-PERIOSURG",'主管核定中心'!$A$12:$A$372,'主管核定中心'!$K$12:$K$372,"待主管核定",0))</x:f>
        <x:v>待主管核定</x:v>
      </x:c>
      <x:c r="G101" s="115" t="n">
        <x:f>COUNTIFS('工作觀察輸入'!$C$7:$C$206,$B101,'工作觀察輸入'!$G$7:$G$206,$D101,'工作觀察輸入'!$M$7:$M$206,"是")</x:f>
        <x:v>0</x:v>
      </x:c>
      <x:c r="H101" s="117" t="str">
        <x:f>IF($G101=0,"",_xlfn.MINIFS('工作觀察輸入'!$B$7:$B$206,'工作觀察輸入'!$C$7:$C$206,$B101,'工作觀察輸入'!$G$7:$G$206,$D101,'工作觀察輸入'!$M$7:$M$206,"是"))</x:f>
      </x:c>
      <x:c r="I101" s="117" t="str">
        <x:f>IF($G101=0,"",_xlfn.MAXIFS('工作觀察輸入'!$B$7:$B$206,'工作觀察輸入'!$C$7:$C$206,$B101,'工作觀察輸入'!$G$7:$G$206,$D101,'工作觀察輸入'!$M$7:$M$206,"是"))</x:f>
      </x:c>
      <x:c r="J101" s="115" t="n">
        <x:f>IF($G101=0,0,IF($H101=$I101,1,2))</x:f>
        <x:v>0</x:v>
      </x:c>
      <x:c r="K101" s="115" t="n">
        <x:f>COUNTIFS('工作觀察輸入'!$C$7:$C$206,$B101,'工作觀察輸入'!$G$7:$G$206,$D101,'工作觀察輸入'!$J$7:$J$206,"是")</x:f>
        <x:v>0</x:v>
      </x:c>
      <x:c r="L101" s="115" t="n">
        <x:f>COUNTIFS('面談與異議'!$C$7:$C$106,$B101,'面談與異議'!$F$7:$F$106,$D101,'面談與異議'!$E$7:$E$106,"兩個月面談")</x:f>
        <x:v>0</x:v>
      </x:c>
      <x:c r="M101" s="115" t="str">
        <x:f>IF($E101&lt;&gt;"Ø","不適用",IF(COUNTIFS('事件與限制'!$C$7:$C$106,$B101,'事件與限制'!$E$7:$E$106,$D101,'事件與限制'!$Q$7:$Q$106,"生效中")&gt;0,"資格限制中",IF($F101&lt;&gt;"已核定","先完成基準核定",IF($K101&gt;0,"有關鍵遺漏，先檢討",IF($G101&lt;3,"尚缺成功觀察",IF($J101&lt;2,"觀察日期不足",IF($L101&lt;1,"待兩個月面談","可送主管核定")))))))</x:f>
        <x:v>先完成基準核定</x:v>
      </x:c>
      <x:c r="N101" s="116" t="str">
        <x:v>待核定</x:v>
      </x:c>
      <x:c r="O101" s="118"/>
      <x:c r="P101" s="116"/>
      <x:c r="Q101" s="116"/>
      <x:c r="R101" s="115" t="str">
        <x:f>IF($M101&lt;&gt;"可送主管核定","尚未具備條件",IF($N101="不升級","維持原評等",IF($N101="核定升級",IF(OR($O101="",$P101=""),"核定資料未完整","已核定升級"),"待主管核定")))</x:f>
        <x:v>尚未具備條件</x:v>
      </x:c>
    </x:row>
    <x:row r="102">
      <x:c r="A102" s="79" t="str">
        <x:v>UPG|1025|LJT-PREP-MICROENDO</x:v>
      </x:c>
      <x:c r="B102" s="79" t="str">
        <x:v>1025</x:v>
      </x:c>
      <x:c r="C102" s="79" t="str"/>
      <x:c r="D102" s="79" t="str">
        <x:v>LJT-PREP-MICROENDO</x:v>
      </x:c>
      <x:c r="E102" s="79" t="str">
        <x:v>※</x:v>
      </x:c>
      <x:c r="F102" s="115" t="str">
        <x:f>IF($E102="未評估","未建立",_xlfn.XLOOKUP("ABIL|1025|LJT-PREP-MICROENDO",'主管核定中心'!$A$12:$A$372,'主管核定中心'!$K$12:$K$372,"待主管核定",0))</x:f>
        <x:v>待主管核定</x:v>
      </x:c>
      <x:c r="G102" s="115" t="n">
        <x:f>COUNTIFS('工作觀察輸入'!$C$7:$C$206,$B102,'工作觀察輸入'!$G$7:$G$206,$D102,'工作觀察輸入'!$M$7:$M$206,"是")</x:f>
        <x:v>0</x:v>
      </x:c>
      <x:c r="H102" s="117" t="str">
        <x:f>IF($G102=0,"",_xlfn.MINIFS('工作觀察輸入'!$B$7:$B$206,'工作觀察輸入'!$C$7:$C$206,$B102,'工作觀察輸入'!$G$7:$G$206,$D102,'工作觀察輸入'!$M$7:$M$206,"是"))</x:f>
      </x:c>
      <x:c r="I102" s="117" t="str">
        <x:f>IF($G102=0,"",_xlfn.MAXIFS('工作觀察輸入'!$B$7:$B$206,'工作觀察輸入'!$C$7:$C$206,$B102,'工作觀察輸入'!$G$7:$G$206,$D102,'工作觀察輸入'!$M$7:$M$206,"是"))</x:f>
      </x:c>
      <x:c r="J102" s="115" t="n">
        <x:f>IF($G102=0,0,IF($H102=$I102,1,2))</x:f>
        <x:v>0</x:v>
      </x:c>
      <x:c r="K102" s="115" t="n">
        <x:f>COUNTIFS('工作觀察輸入'!$C$7:$C$206,$B102,'工作觀察輸入'!$G$7:$G$206,$D102,'工作觀察輸入'!$J$7:$J$206,"是")</x:f>
        <x:v>0</x:v>
      </x:c>
      <x:c r="L102" s="115" t="n">
        <x:f>COUNTIFS('面談與異議'!$C$7:$C$106,$B102,'面談與異議'!$F$7:$F$106,$D102,'面談與異議'!$E$7:$E$106,"兩個月面談")</x:f>
        <x:v>0</x:v>
      </x:c>
      <x:c r="M102" s="115" t="str">
        <x:f>IF($E102&lt;&gt;"Ø","不適用",IF(COUNTIFS('事件與限制'!$C$7:$C$106,$B102,'事件與限制'!$E$7:$E$106,$D102,'事件與限制'!$Q$7:$Q$106,"生效中")&gt;0,"資格限制中",IF($F102&lt;&gt;"已核定","先完成基準核定",IF($K102&gt;0,"有關鍵遺漏，先檢討",IF($G102&lt;3,"尚缺成功觀察",IF($J102&lt;2,"觀察日期不足",IF($L102&lt;1,"待兩個月面談","可送主管核定")))))))</x:f>
        <x:v>不適用</x:v>
      </x:c>
      <x:c r="N102" s="116" t="str">
        <x:v>待核定</x:v>
      </x:c>
      <x:c r="O102" s="118"/>
      <x:c r="P102" s="116"/>
      <x:c r="Q102" s="116"/>
      <x:c r="R102" s="115" t="str">
        <x:f>IF($M102&lt;&gt;"可送主管核定","尚未具備條件",IF($N102="不升級","維持原評等",IF($N102="核定升級",IF(OR($O102="",$P102=""),"核定資料未完整","已核定升級"),"待主管核定")))</x:f>
        <x:v>尚未具備條件</x:v>
      </x:c>
    </x:row>
    <x:row r="103">
      <x:c r="A103" s="79" t="str">
        <x:v>UPG|1025|LJT-PREP-IMPLANT</x:v>
      </x:c>
      <x:c r="B103" s="79" t="str">
        <x:v>1025</x:v>
      </x:c>
      <x:c r="C103" s="79" t="str"/>
      <x:c r="D103" s="79" t="str">
        <x:v>LJT-PREP-IMPLANT</x:v>
      </x:c>
      <x:c r="E103" s="79" t="str">
        <x:v>Ø</x:v>
      </x:c>
      <x:c r="F103" s="115" t="str">
        <x:f>IF($E103="未評估","未建立",_xlfn.XLOOKUP("ABIL|1025|LJT-PREP-IMPLANT",'主管核定中心'!$A$12:$A$372,'主管核定中心'!$K$12:$K$372,"待主管核定",0))</x:f>
        <x:v>待主管核定</x:v>
      </x:c>
      <x:c r="G103" s="115" t="n">
        <x:f>COUNTIFS('工作觀察輸入'!$C$7:$C$206,$B103,'工作觀察輸入'!$G$7:$G$206,$D103,'工作觀察輸入'!$M$7:$M$206,"是")</x:f>
        <x:v>0</x:v>
      </x:c>
      <x:c r="H103" s="117" t="str">
        <x:f>IF($G103=0,"",_xlfn.MINIFS('工作觀察輸入'!$B$7:$B$206,'工作觀察輸入'!$C$7:$C$206,$B103,'工作觀察輸入'!$G$7:$G$206,$D103,'工作觀察輸入'!$M$7:$M$206,"是"))</x:f>
      </x:c>
      <x:c r="I103" s="117" t="str">
        <x:f>IF($G103=0,"",_xlfn.MAXIFS('工作觀察輸入'!$B$7:$B$206,'工作觀察輸入'!$C$7:$C$206,$B103,'工作觀察輸入'!$G$7:$G$206,$D103,'工作觀察輸入'!$M$7:$M$206,"是"))</x:f>
      </x:c>
      <x:c r="J103" s="115" t="n">
        <x:f>IF($G103=0,0,IF($H103=$I103,1,2))</x:f>
        <x:v>0</x:v>
      </x:c>
      <x:c r="K103" s="115" t="n">
        <x:f>COUNTIFS('工作觀察輸入'!$C$7:$C$206,$B103,'工作觀察輸入'!$G$7:$G$206,$D103,'工作觀察輸入'!$J$7:$J$206,"是")</x:f>
        <x:v>0</x:v>
      </x:c>
      <x:c r="L103" s="115" t="n">
        <x:f>COUNTIFS('面談與異議'!$C$7:$C$106,$B103,'面談與異議'!$F$7:$F$106,$D103,'面談與異議'!$E$7:$E$106,"兩個月面談")</x:f>
        <x:v>0</x:v>
      </x:c>
      <x:c r="M103" s="115" t="str">
        <x:f>IF($E103&lt;&gt;"Ø","不適用",IF(COUNTIFS('事件與限制'!$C$7:$C$106,$B103,'事件與限制'!$E$7:$E$106,$D103,'事件與限制'!$Q$7:$Q$106,"生效中")&gt;0,"資格限制中",IF($F103&lt;&gt;"已核定","先完成基準核定",IF($K103&gt;0,"有關鍵遺漏，先檢討",IF($G103&lt;3,"尚缺成功觀察",IF($J103&lt;2,"觀察日期不足",IF($L103&lt;1,"待兩個月面談","可送主管核定")))))))</x:f>
        <x:v>先完成基準核定</x:v>
      </x:c>
      <x:c r="N103" s="116" t="str">
        <x:v>待核定</x:v>
      </x:c>
      <x:c r="O103" s="118"/>
      <x:c r="P103" s="116"/>
      <x:c r="Q103" s="116"/>
      <x:c r="R103" s="115" t="str">
        <x:f>IF($M103&lt;&gt;"可送主管核定","尚未具備條件",IF($N103="不升級","維持原評等",IF($N103="核定升級",IF(OR($O103="",$P103=""),"核定資料未完整","已核定升級"),"待主管核定")))</x:f>
        <x:v>尚未具備條件</x:v>
      </x:c>
    </x:row>
    <x:row r="104">
      <x:c r="A104" s="79" t="str">
        <x:v>UPG|1025|COMMON-RECORD</x:v>
      </x:c>
      <x:c r="B104" s="79" t="str">
        <x:v>1025</x:v>
      </x:c>
      <x:c r="C104" s="79" t="str"/>
      <x:c r="D104" s="79" t="str">
        <x:v>COMMON-RECORD</x:v>
      </x:c>
      <x:c r="E104" s="79" t="str">
        <x:v>Ø</x:v>
      </x:c>
      <x:c r="F104" s="115" t="str">
        <x:f>IF($E104="未評估","未建立",_xlfn.XLOOKUP("ABIL|1025|COMMON-RECORD",'主管核定中心'!$A$12:$A$372,'主管核定中心'!$K$12:$K$372,"待主管核定",0))</x:f>
        <x:v>待主管核定</x:v>
      </x:c>
      <x:c r="G104" s="115" t="n">
        <x:f>COUNTIFS('工作觀察輸入'!$C$7:$C$206,$B104,'工作觀察輸入'!$G$7:$G$206,$D104,'工作觀察輸入'!$M$7:$M$206,"是")</x:f>
        <x:v>0</x:v>
      </x:c>
      <x:c r="H104" s="117" t="str">
        <x:f>IF($G104=0,"",_xlfn.MINIFS('工作觀察輸入'!$B$7:$B$206,'工作觀察輸入'!$C$7:$C$206,$B104,'工作觀察輸入'!$G$7:$G$206,$D104,'工作觀察輸入'!$M$7:$M$206,"是"))</x:f>
      </x:c>
      <x:c r="I104" s="117" t="str">
        <x:f>IF($G104=0,"",_xlfn.MAXIFS('工作觀察輸入'!$B$7:$B$206,'工作觀察輸入'!$C$7:$C$206,$B104,'工作觀察輸入'!$G$7:$G$206,$D104,'工作觀察輸入'!$M$7:$M$206,"是"))</x:f>
      </x:c>
      <x:c r="J104" s="115" t="n">
        <x:f>IF($G104=0,0,IF($H104=$I104,1,2))</x:f>
        <x:v>0</x:v>
      </x:c>
      <x:c r="K104" s="115" t="n">
        <x:f>COUNTIFS('工作觀察輸入'!$C$7:$C$206,$B104,'工作觀察輸入'!$G$7:$G$206,$D104,'工作觀察輸入'!$J$7:$J$206,"是")</x:f>
        <x:v>0</x:v>
      </x:c>
      <x:c r="L104" s="115" t="n">
        <x:f>COUNTIFS('面談與異議'!$C$7:$C$106,$B104,'面談與異議'!$F$7:$F$106,$D104,'面談與異議'!$E$7:$E$106,"兩個月面談")</x:f>
        <x:v>0</x:v>
      </x:c>
      <x:c r="M104" s="115" t="str">
        <x:f>IF($E104&lt;&gt;"Ø","不適用",IF(COUNTIFS('事件與限制'!$C$7:$C$106,$B104,'事件與限制'!$E$7:$E$106,$D104,'事件與限制'!$Q$7:$Q$106,"生效中")&gt;0,"資格限制中",IF($F104&lt;&gt;"已核定","先完成基準核定",IF($K104&gt;0,"有關鍵遺漏，先檢討",IF($G104&lt;3,"尚缺成功觀察",IF($J104&lt;2,"觀察日期不足",IF($L104&lt;1,"待兩個月面談","可送主管核定")))))))</x:f>
        <x:v>先完成基準核定</x:v>
      </x:c>
      <x:c r="N104" s="116" t="str">
        <x:v>待核定</x:v>
      </x:c>
      <x:c r="O104" s="118"/>
      <x:c r="P104" s="116"/>
      <x:c r="Q104" s="116"/>
      <x:c r="R104" s="115" t="str">
        <x:f>IF($M104&lt;&gt;"可送主管核定","尚未具備條件",IF($N104="不升級","維持原評等",IF($N104="核定升級",IF(OR($O104="",$P104=""),"核定資料未完整","已核定升級"),"待主管核定")))</x:f>
        <x:v>尚未具備條件</x:v>
      </x:c>
    </x:row>
    <x:row r="105">
      <x:c r="A105" s="79" t="str">
        <x:v>UPG|1025|COMMON-INSURANCE</x:v>
      </x:c>
      <x:c r="B105" s="79" t="str">
        <x:v>1025</x:v>
      </x:c>
      <x:c r="C105" s="79" t="str"/>
      <x:c r="D105" s="79" t="str">
        <x:v>COMMON-INSURANCE</x:v>
      </x:c>
      <x:c r="E105" s="79" t="str">
        <x:v>Ø</x:v>
      </x:c>
      <x:c r="F105" s="115" t="str">
        <x:f>IF($E105="未評估","未建立",_xlfn.XLOOKUP("ABIL|1025|COMMON-INSURANCE",'主管核定中心'!$A$12:$A$372,'主管核定中心'!$K$12:$K$372,"待主管核定",0))</x:f>
        <x:v>待主管核定</x:v>
      </x:c>
      <x:c r="G105" s="115" t="n">
        <x:f>COUNTIFS('工作觀察輸入'!$C$7:$C$206,$B105,'工作觀察輸入'!$G$7:$G$206,$D105,'工作觀察輸入'!$M$7:$M$206,"是")</x:f>
        <x:v>0</x:v>
      </x:c>
      <x:c r="H105" s="117" t="str">
        <x:f>IF($G105=0,"",_xlfn.MINIFS('工作觀察輸入'!$B$7:$B$206,'工作觀察輸入'!$C$7:$C$206,$B105,'工作觀察輸入'!$G$7:$G$206,$D105,'工作觀察輸入'!$M$7:$M$206,"是"))</x:f>
      </x:c>
      <x:c r="I105" s="117" t="str">
        <x:f>IF($G105=0,"",_xlfn.MAXIFS('工作觀察輸入'!$B$7:$B$206,'工作觀察輸入'!$C$7:$C$206,$B105,'工作觀察輸入'!$G$7:$G$206,$D105,'工作觀察輸入'!$M$7:$M$206,"是"))</x:f>
      </x:c>
      <x:c r="J105" s="115" t="n">
        <x:f>IF($G105=0,0,IF($H105=$I105,1,2))</x:f>
        <x:v>0</x:v>
      </x:c>
      <x:c r="K105" s="115" t="n">
        <x:f>COUNTIFS('工作觀察輸入'!$C$7:$C$206,$B105,'工作觀察輸入'!$G$7:$G$206,$D105,'工作觀察輸入'!$J$7:$J$206,"是")</x:f>
        <x:v>0</x:v>
      </x:c>
      <x:c r="L105" s="115" t="n">
        <x:f>COUNTIFS('面談與異議'!$C$7:$C$106,$B105,'面談與異議'!$F$7:$F$106,$D105,'面談與異議'!$E$7:$E$106,"兩個月面談")</x:f>
        <x:v>0</x:v>
      </x:c>
      <x:c r="M105" s="115" t="str">
        <x:f>IF($E105&lt;&gt;"Ø","不適用",IF(COUNTIFS('事件與限制'!$C$7:$C$106,$B105,'事件與限制'!$E$7:$E$106,$D105,'事件與限制'!$Q$7:$Q$106,"生效中")&gt;0,"資格限制中",IF($F105&lt;&gt;"已核定","先完成基準核定",IF($K105&gt;0,"有關鍵遺漏，先檢討",IF($G105&lt;3,"尚缺成功觀察",IF($J105&lt;2,"觀察日期不足",IF($L105&lt;1,"待兩個月面談","可送主管核定")))))))</x:f>
        <x:v>先完成基準核定</x:v>
      </x:c>
      <x:c r="N105" s="116" t="str">
        <x:v>待核定</x:v>
      </x:c>
      <x:c r="O105" s="118"/>
      <x:c r="P105" s="116"/>
      <x:c r="Q105" s="116"/>
      <x:c r="R105" s="115" t="str">
        <x:f>IF($M105&lt;&gt;"可送主管核定","尚未具備條件",IF($N105="不升級","維持原評等",IF($N105="核定升級",IF(OR($O105="",$P105=""),"核定資料未完整","已核定升級"),"待主管核定")))</x:f>
        <x:v>尚未具備條件</x:v>
      </x:c>
    </x:row>
    <x:row r="106">
      <x:c r="A106" s="79" t="str">
        <x:v>UPG|1025|COMMON-XRAY-RECORD</x:v>
      </x:c>
      <x:c r="B106" s="79" t="str">
        <x:v>1025</x:v>
      </x:c>
      <x:c r="C106" s="79" t="str"/>
      <x:c r="D106" s="79" t="str">
        <x:v>COMMON-XRAY-RECORD</x:v>
      </x:c>
      <x:c r="E106" s="79" t="str">
        <x:v>Ø</x:v>
      </x:c>
      <x:c r="F106" s="115" t="str">
        <x:f>IF($E106="未評估","未建立",_xlfn.XLOOKUP("ABIL|1025|COMMON-XRAY-RECORD",'主管核定中心'!$A$12:$A$372,'主管核定中心'!$K$12:$K$372,"待主管核定",0))</x:f>
        <x:v>待主管核定</x:v>
      </x:c>
      <x:c r="G106" s="115" t="n">
        <x:f>COUNTIFS('工作觀察輸入'!$C$7:$C$206,$B106,'工作觀察輸入'!$G$7:$G$206,$D106,'工作觀察輸入'!$M$7:$M$206,"是")</x:f>
        <x:v>0</x:v>
      </x:c>
      <x:c r="H106" s="117" t="str">
        <x:f>IF($G106=0,"",_xlfn.MINIFS('工作觀察輸入'!$B$7:$B$206,'工作觀察輸入'!$C$7:$C$206,$B106,'工作觀察輸入'!$G$7:$G$206,$D106,'工作觀察輸入'!$M$7:$M$206,"是"))</x:f>
      </x:c>
      <x:c r="I106" s="117" t="str">
        <x:f>IF($G106=0,"",_xlfn.MAXIFS('工作觀察輸入'!$B$7:$B$206,'工作觀察輸入'!$C$7:$C$206,$B106,'工作觀察輸入'!$G$7:$G$206,$D106,'工作觀察輸入'!$M$7:$M$206,"是"))</x:f>
      </x:c>
      <x:c r="J106" s="115" t="n">
        <x:f>IF($G106=0,0,IF($H106=$I106,1,2))</x:f>
        <x:v>0</x:v>
      </x:c>
      <x:c r="K106" s="115" t="n">
        <x:f>COUNTIFS('工作觀察輸入'!$C$7:$C$206,$B106,'工作觀察輸入'!$G$7:$G$206,$D106,'工作觀察輸入'!$J$7:$J$206,"是")</x:f>
        <x:v>0</x:v>
      </x:c>
      <x:c r="L106" s="115" t="n">
        <x:f>COUNTIFS('面談與異議'!$C$7:$C$106,$B106,'面談與異議'!$F$7:$F$106,$D106,'面談與異議'!$E$7:$E$106,"兩個月面談")</x:f>
        <x:v>0</x:v>
      </x:c>
      <x:c r="M106" s="115" t="str">
        <x:f>IF($E106&lt;&gt;"Ø","不適用",IF(COUNTIFS('事件與限制'!$C$7:$C$106,$B106,'事件與限制'!$E$7:$E$106,$D106,'事件與限制'!$Q$7:$Q$106,"生效中")&gt;0,"資格限制中",IF($F106&lt;&gt;"已核定","先完成基準核定",IF($K106&gt;0,"有關鍵遺漏，先檢討",IF($G106&lt;3,"尚缺成功觀察",IF($J106&lt;2,"觀察日期不足",IF($L106&lt;1,"待兩個月面談","可送主管核定")))))))</x:f>
        <x:v>先完成基準核定</x:v>
      </x:c>
      <x:c r="N106" s="116" t="str">
        <x:v>待核定</x:v>
      </x:c>
      <x:c r="O106" s="118"/>
      <x:c r="P106" s="116"/>
      <x:c r="Q106" s="116"/>
      <x:c r="R106" s="115" t="str">
        <x:f>IF($M106&lt;&gt;"可送主管核定","尚未具備條件",IF($N106="不升級","維持原評等",IF($N106="核定升級",IF(OR($O106="",$P106=""),"核定資料未完整","已核定升級"),"待主管核定")))</x:f>
        <x:v>尚未具備條件</x:v>
      </x:c>
    </x:row>
    <x:row r="107">
      <x:c r="A107" s="79" t="str">
        <x:v>UPG|1025|COMMON-PA</x:v>
      </x:c>
      <x:c r="B107" s="79" t="str">
        <x:v>1025</x:v>
      </x:c>
      <x:c r="C107" s="79" t="str"/>
      <x:c r="D107" s="79" t="str">
        <x:v>COMMON-PA</x:v>
      </x:c>
      <x:c r="E107" s="79" t="str">
        <x:v>Ø</x:v>
      </x:c>
      <x:c r="F107" s="115" t="str">
        <x:f>IF($E107="未評估","未建立",_xlfn.XLOOKUP("ABIL|1025|COMMON-PA",'主管核定中心'!$A$12:$A$372,'主管核定中心'!$K$12:$K$372,"待主管核定",0))</x:f>
        <x:v>待主管核定</x:v>
      </x:c>
      <x:c r="G107" s="115" t="n">
        <x:f>COUNTIFS('工作觀察輸入'!$C$7:$C$206,$B107,'工作觀察輸入'!$G$7:$G$206,$D107,'工作觀察輸入'!$M$7:$M$206,"是")</x:f>
        <x:v>0</x:v>
      </x:c>
      <x:c r="H107" s="117" t="str">
        <x:f>IF($G107=0,"",_xlfn.MINIFS('工作觀察輸入'!$B$7:$B$206,'工作觀察輸入'!$C$7:$C$206,$B107,'工作觀察輸入'!$G$7:$G$206,$D107,'工作觀察輸入'!$M$7:$M$206,"是"))</x:f>
      </x:c>
      <x:c r="I107" s="117" t="str">
        <x:f>IF($G107=0,"",_xlfn.MAXIFS('工作觀察輸入'!$B$7:$B$206,'工作觀察輸入'!$C$7:$C$206,$B107,'工作觀察輸入'!$G$7:$G$206,$D107,'工作觀察輸入'!$M$7:$M$206,"是"))</x:f>
      </x:c>
      <x:c r="J107" s="115" t="n">
        <x:f>IF($G107=0,0,IF($H107=$I107,1,2))</x:f>
        <x:v>0</x:v>
      </x:c>
      <x:c r="K107" s="115" t="n">
        <x:f>COUNTIFS('工作觀察輸入'!$C$7:$C$206,$B107,'工作觀察輸入'!$G$7:$G$206,$D107,'工作觀察輸入'!$J$7:$J$206,"是")</x:f>
        <x:v>0</x:v>
      </x:c>
      <x:c r="L107" s="115" t="n">
        <x:f>COUNTIFS('面談與異議'!$C$7:$C$106,$B107,'面談與異議'!$F$7:$F$106,$D107,'面談與異議'!$E$7:$E$106,"兩個月面談")</x:f>
        <x:v>0</x:v>
      </x:c>
      <x:c r="M107" s="115" t="str">
        <x:f>IF($E107&lt;&gt;"Ø","不適用",IF(COUNTIFS('事件與限制'!$C$7:$C$106,$B107,'事件與限制'!$E$7:$E$106,$D107,'事件與限制'!$Q$7:$Q$106,"生效中")&gt;0,"資格限制中",IF($F107&lt;&gt;"已核定","先完成基準核定",IF($K107&gt;0,"有關鍵遺漏，先檢討",IF($G107&lt;3,"尚缺成功觀察",IF($J107&lt;2,"觀察日期不足",IF($L107&lt;1,"待兩個月面談","可送主管核定")))))))</x:f>
        <x:v>先完成基準核定</x:v>
      </x:c>
      <x:c r="N107" s="116" t="str">
        <x:v>待核定</x:v>
      </x:c>
      <x:c r="O107" s="118"/>
      <x:c r="P107" s="116"/>
      <x:c r="Q107" s="116"/>
      <x:c r="R107" s="115" t="str">
        <x:f>IF($M107&lt;&gt;"可送主管核定","尚未具備條件",IF($N107="不升級","維持原評等",IF($N107="核定升級",IF(OR($O107="",$P107=""),"核定資料未完整","已核定升級"),"待主管核定")))</x:f>
        <x:v>尚未具備條件</x:v>
      </x:c>
    </x:row>
    <x:row r="108">
      <x:c r="A108" s="79" t="str">
        <x:v>UPG|1025|COMMON-IOS</x:v>
      </x:c>
      <x:c r="B108" s="79" t="str">
        <x:v>1025</x:v>
      </x:c>
      <x:c r="C108" s="79" t="str"/>
      <x:c r="D108" s="79" t="str">
        <x:v>COMMON-IOS</x:v>
      </x:c>
      <x:c r="E108" s="79" t="str">
        <x:v>Ø</x:v>
      </x:c>
      <x:c r="F108" s="115" t="str">
        <x:f>IF($E108="未評估","未建立",_xlfn.XLOOKUP("ABIL|1025|COMMON-IOS",'主管核定中心'!$A$12:$A$372,'主管核定中心'!$K$12:$K$372,"待主管核定",0))</x:f>
        <x:v>待主管核定</x:v>
      </x:c>
      <x:c r="G108" s="115" t="n">
        <x:f>COUNTIFS('工作觀察輸入'!$C$7:$C$206,$B108,'工作觀察輸入'!$G$7:$G$206,$D108,'工作觀察輸入'!$M$7:$M$206,"是")</x:f>
        <x:v>0</x:v>
      </x:c>
      <x:c r="H108" s="117" t="str">
        <x:f>IF($G108=0,"",_xlfn.MINIFS('工作觀察輸入'!$B$7:$B$206,'工作觀察輸入'!$C$7:$C$206,$B108,'工作觀察輸入'!$G$7:$G$206,$D108,'工作觀察輸入'!$M$7:$M$206,"是"))</x:f>
      </x:c>
      <x:c r="I108" s="117" t="str">
        <x:f>IF($G108=0,"",_xlfn.MAXIFS('工作觀察輸入'!$B$7:$B$206,'工作觀察輸入'!$C$7:$C$206,$B108,'工作觀察輸入'!$G$7:$G$206,$D108,'工作觀察輸入'!$M$7:$M$206,"是"))</x:f>
      </x:c>
      <x:c r="J108" s="115" t="n">
        <x:f>IF($G108=0,0,IF($H108=$I108,1,2))</x:f>
        <x:v>0</x:v>
      </x:c>
      <x:c r="K108" s="115" t="n">
        <x:f>COUNTIFS('工作觀察輸入'!$C$7:$C$206,$B108,'工作觀察輸入'!$G$7:$G$206,$D108,'工作觀察輸入'!$J$7:$J$206,"是")</x:f>
        <x:v>0</x:v>
      </x:c>
      <x:c r="L108" s="115" t="n">
        <x:f>COUNTIFS('面談與異議'!$C$7:$C$106,$B108,'面談與異議'!$F$7:$F$106,$D108,'面談與異議'!$E$7:$E$106,"兩個月面談")</x:f>
        <x:v>0</x:v>
      </x:c>
      <x:c r="M108" s="115" t="str">
        <x:f>IF($E108&lt;&gt;"Ø","不適用",IF(COUNTIFS('事件與限制'!$C$7:$C$106,$B108,'事件與限制'!$E$7:$E$106,$D108,'事件與限制'!$Q$7:$Q$106,"生效中")&gt;0,"資格限制中",IF($F108&lt;&gt;"已核定","先完成基準核定",IF($K108&gt;0,"有關鍵遺漏，先檢討",IF($G108&lt;3,"尚缺成功觀察",IF($J108&lt;2,"觀察日期不足",IF($L108&lt;1,"待兩個月面談","可送主管核定")))))))</x:f>
        <x:v>先完成基準核定</x:v>
      </x:c>
      <x:c r="N108" s="116" t="str">
        <x:v>待核定</x:v>
      </x:c>
      <x:c r="O108" s="118"/>
      <x:c r="P108" s="116"/>
      <x:c r="Q108" s="116"/>
      <x:c r="R108" s="115" t="str">
        <x:f>IF($M108&lt;&gt;"可送主管核定","尚未具備條件",IF($N108="不升級","維持原評等",IF($N108="核定升級",IF(OR($O108="",$P108=""),"核定資料未完整","已核定升級"),"待主管核定")))</x:f>
        <x:v>尚未具備條件</x:v>
      </x:c>
    </x:row>
    <x:row r="109">
      <x:c r="A109" s="79" t="str">
        <x:v>UPG|1026|LJT-PREP-SCALING</x:v>
      </x:c>
      <x:c r="B109" s="79" t="str">
        <x:v>1026</x:v>
      </x:c>
      <x:c r="C109" s="79" t="str"/>
      <x:c r="D109" s="79" t="str">
        <x:v>LJT-PREP-SCALING</x:v>
      </x:c>
      <x:c r="E109" s="79" t="str">
        <x:v>◎</x:v>
      </x:c>
      <x:c r="F109" s="115" t="str">
        <x:f>IF($E109="未評估","未建立",_xlfn.XLOOKUP("ABIL|1026|LJT-PREP-SCALING",'主管核定中心'!$A$12:$A$372,'主管核定中心'!$K$12:$K$372,"待主管核定",0))</x:f>
        <x:v>待主管核定</x:v>
      </x:c>
      <x:c r="G109" s="115" t="n">
        <x:f>COUNTIFS('工作觀察輸入'!$C$7:$C$206,$B109,'工作觀察輸入'!$G$7:$G$206,$D109,'工作觀察輸入'!$M$7:$M$206,"是")</x:f>
        <x:v>0</x:v>
      </x:c>
      <x:c r="H109" s="117" t="str">
        <x:f>IF($G109=0,"",_xlfn.MINIFS('工作觀察輸入'!$B$7:$B$206,'工作觀察輸入'!$C$7:$C$206,$B109,'工作觀察輸入'!$G$7:$G$206,$D109,'工作觀察輸入'!$M$7:$M$206,"是"))</x:f>
      </x:c>
      <x:c r="I109" s="117" t="str">
        <x:f>IF($G109=0,"",_xlfn.MAXIFS('工作觀察輸入'!$B$7:$B$206,'工作觀察輸入'!$C$7:$C$206,$B109,'工作觀察輸入'!$G$7:$G$206,$D109,'工作觀察輸入'!$M$7:$M$206,"是"))</x:f>
      </x:c>
      <x:c r="J109" s="115" t="n">
        <x:f>IF($G109=0,0,IF($H109=$I109,1,2))</x:f>
        <x:v>0</x:v>
      </x:c>
      <x:c r="K109" s="115" t="n">
        <x:f>COUNTIFS('工作觀察輸入'!$C$7:$C$206,$B109,'工作觀察輸入'!$G$7:$G$206,$D109,'工作觀察輸入'!$J$7:$J$206,"是")</x:f>
        <x:v>0</x:v>
      </x:c>
      <x:c r="L109" s="115" t="n">
        <x:f>COUNTIFS('面談與異議'!$C$7:$C$106,$B109,'面談與異議'!$F$7:$F$106,$D109,'面談與異議'!$E$7:$E$106,"兩個月面談")</x:f>
        <x:v>0</x:v>
      </x:c>
      <x:c r="M109" s="115" t="str">
        <x:f>IF($E109&lt;&gt;"Ø","不適用",IF(COUNTIFS('事件與限制'!$C$7:$C$106,$B109,'事件與限制'!$E$7:$E$106,$D109,'事件與限制'!$Q$7:$Q$106,"生效中")&gt;0,"資格限制中",IF($F109&lt;&gt;"已核定","先完成基準核定",IF($K109&gt;0,"有關鍵遺漏，先檢討",IF($G109&lt;3,"尚缺成功觀察",IF($J109&lt;2,"觀察日期不足",IF($L109&lt;1,"待兩個月面談","可送主管核定")))))))</x:f>
        <x:v>不適用</x:v>
      </x:c>
      <x:c r="N109" s="116" t="str">
        <x:v>待核定</x:v>
      </x:c>
      <x:c r="O109" s="118"/>
      <x:c r="P109" s="116"/>
      <x:c r="Q109" s="116"/>
      <x:c r="R109" s="115" t="str">
        <x:f>IF($M109&lt;&gt;"可送主管核定","尚未具備條件",IF($N109="不升級","維持原評等",IF($N109="核定升級",IF(OR($O109="",$P109=""),"核定資料未完整","已核定升級"),"待主管核定")))</x:f>
        <x:v>尚未具備條件</x:v>
      </x:c>
    </x:row>
    <x:row r="110">
      <x:c r="A110" s="79" t="str">
        <x:v>UPG|1026|LJT-PREP-FILLING</x:v>
      </x:c>
      <x:c r="B110" s="79" t="str">
        <x:v>1026</x:v>
      </x:c>
      <x:c r="C110" s="79" t="str"/>
      <x:c r="D110" s="79" t="str">
        <x:v>LJT-PREP-FILLING</x:v>
      </x:c>
      <x:c r="E110" s="79" t="str">
        <x:v>◎</x:v>
      </x:c>
      <x:c r="F110" s="115" t="str">
        <x:f>IF($E110="未評估","未建立",_xlfn.XLOOKUP("ABIL|1026|LJT-PREP-FILLING",'主管核定中心'!$A$12:$A$372,'主管核定中心'!$K$12:$K$372,"待主管核定",0))</x:f>
        <x:v>待主管核定</x:v>
      </x:c>
      <x:c r="G110" s="115" t="n">
        <x:f>COUNTIFS('工作觀察輸入'!$C$7:$C$206,$B110,'工作觀察輸入'!$G$7:$G$206,$D110,'工作觀察輸入'!$M$7:$M$206,"是")</x:f>
        <x:v>0</x:v>
      </x:c>
      <x:c r="H110" s="117" t="str">
        <x:f>IF($G110=0,"",_xlfn.MINIFS('工作觀察輸入'!$B$7:$B$206,'工作觀察輸入'!$C$7:$C$206,$B110,'工作觀察輸入'!$G$7:$G$206,$D110,'工作觀察輸入'!$M$7:$M$206,"是"))</x:f>
      </x:c>
      <x:c r="I110" s="117" t="str">
        <x:f>IF($G110=0,"",_xlfn.MAXIFS('工作觀察輸入'!$B$7:$B$206,'工作觀察輸入'!$C$7:$C$206,$B110,'工作觀察輸入'!$G$7:$G$206,$D110,'工作觀察輸入'!$M$7:$M$206,"是"))</x:f>
      </x:c>
      <x:c r="J110" s="115" t="n">
        <x:f>IF($G110=0,0,IF($H110=$I110,1,2))</x:f>
        <x:v>0</x:v>
      </x:c>
      <x:c r="K110" s="115" t="n">
        <x:f>COUNTIFS('工作觀察輸入'!$C$7:$C$206,$B110,'工作觀察輸入'!$G$7:$G$206,$D110,'工作觀察輸入'!$J$7:$J$206,"是")</x:f>
        <x:v>0</x:v>
      </x:c>
      <x:c r="L110" s="115" t="n">
        <x:f>COUNTIFS('面談與異議'!$C$7:$C$106,$B110,'面談與異議'!$F$7:$F$106,$D110,'面談與異議'!$E$7:$E$106,"兩個月面談")</x:f>
        <x:v>0</x:v>
      </x:c>
      <x:c r="M110" s="115" t="str">
        <x:f>IF($E110&lt;&gt;"Ø","不適用",IF(COUNTIFS('事件與限制'!$C$7:$C$106,$B110,'事件與限制'!$E$7:$E$106,$D110,'事件與限制'!$Q$7:$Q$106,"生效中")&gt;0,"資格限制中",IF($F110&lt;&gt;"已核定","先完成基準核定",IF($K110&gt;0,"有關鍵遺漏，先檢討",IF($G110&lt;3,"尚缺成功觀察",IF($J110&lt;2,"觀察日期不足",IF($L110&lt;1,"待兩個月面談","可送主管核定")))))))</x:f>
        <x:v>不適用</x:v>
      </x:c>
      <x:c r="N110" s="116" t="str">
        <x:v>待核定</x:v>
      </x:c>
      <x:c r="O110" s="118"/>
      <x:c r="P110" s="116"/>
      <x:c r="Q110" s="116"/>
      <x:c r="R110" s="115" t="str">
        <x:f>IF($M110&lt;&gt;"可送主管核定","尚未具備條件",IF($N110="不升級","維持原評等",IF($N110="核定升級",IF(OR($O110="",$P110=""),"核定資料未完整","已核定升級"),"待主管核定")))</x:f>
        <x:v>尚未具備條件</x:v>
      </x:c>
    </x:row>
    <x:row r="111">
      <x:c r="A111" s="79" t="str">
        <x:v>UPG|1026|LJT-PREP-PERIO</x:v>
      </x:c>
      <x:c r="B111" s="79" t="str">
        <x:v>1026</x:v>
      </x:c>
      <x:c r="C111" s="79" t="str"/>
      <x:c r="D111" s="79" t="str">
        <x:v>LJT-PREP-PERIO</x:v>
      </x:c>
      <x:c r="E111" s="79" t="str">
        <x:v>◎</x:v>
      </x:c>
      <x:c r="F111" s="115" t="str">
        <x:f>IF($E111="未評估","未建立",_xlfn.XLOOKUP("ABIL|1026|LJT-PREP-PERIO",'主管核定中心'!$A$12:$A$372,'主管核定中心'!$K$12:$K$372,"待主管核定",0))</x:f>
        <x:v>待主管核定</x:v>
      </x:c>
      <x:c r="G111" s="115" t="n">
        <x:f>COUNTIFS('工作觀察輸入'!$C$7:$C$206,$B111,'工作觀察輸入'!$G$7:$G$206,$D111,'工作觀察輸入'!$M$7:$M$206,"是")</x:f>
        <x:v>0</x:v>
      </x:c>
      <x:c r="H111" s="117" t="str">
        <x:f>IF($G111=0,"",_xlfn.MINIFS('工作觀察輸入'!$B$7:$B$206,'工作觀察輸入'!$C$7:$C$206,$B111,'工作觀察輸入'!$G$7:$G$206,$D111,'工作觀察輸入'!$M$7:$M$206,"是"))</x:f>
      </x:c>
      <x:c r="I111" s="117" t="str">
        <x:f>IF($G111=0,"",_xlfn.MAXIFS('工作觀察輸入'!$B$7:$B$206,'工作觀察輸入'!$C$7:$C$206,$B111,'工作觀察輸入'!$G$7:$G$206,$D111,'工作觀察輸入'!$M$7:$M$206,"是"))</x:f>
      </x:c>
      <x:c r="J111" s="115" t="n">
        <x:f>IF($G111=0,0,IF($H111=$I111,1,2))</x:f>
        <x:v>0</x:v>
      </x:c>
      <x:c r="K111" s="115" t="n">
        <x:f>COUNTIFS('工作觀察輸入'!$C$7:$C$206,$B111,'工作觀察輸入'!$G$7:$G$206,$D111,'工作觀察輸入'!$J$7:$J$206,"是")</x:f>
        <x:v>0</x:v>
      </x:c>
      <x:c r="L111" s="115" t="n">
        <x:f>COUNTIFS('面談與異議'!$C$7:$C$106,$B111,'面談與異議'!$F$7:$F$106,$D111,'面談與異議'!$E$7:$E$106,"兩個月面談")</x:f>
        <x:v>0</x:v>
      </x:c>
      <x:c r="M111" s="115" t="str">
        <x:f>IF($E111&lt;&gt;"Ø","不適用",IF(COUNTIFS('事件與限制'!$C$7:$C$106,$B111,'事件與限制'!$E$7:$E$106,$D111,'事件與限制'!$Q$7:$Q$106,"生效中")&gt;0,"資格限制中",IF($F111&lt;&gt;"已核定","先完成基準核定",IF($K111&gt;0,"有關鍵遺漏，先檢討",IF($G111&lt;3,"尚缺成功觀察",IF($J111&lt;2,"觀察日期不足",IF($L111&lt;1,"待兩個月面談","可送主管核定")))))))</x:f>
        <x:v>不適用</x:v>
      </x:c>
      <x:c r="N111" s="116" t="str">
        <x:v>待核定</x:v>
      </x:c>
      <x:c r="O111" s="118"/>
      <x:c r="P111" s="116"/>
      <x:c r="Q111" s="116"/>
      <x:c r="R111" s="115" t="str">
        <x:f>IF($M111&lt;&gt;"可送主管核定","尚未具備條件",IF($N111="不升級","維持原評等",IF($N111="核定升級",IF(OR($O111="",$P111=""),"核定資料未完整","已核定升級"),"待主管核定")))</x:f>
        <x:v>尚未具備條件</x:v>
      </x:c>
    </x:row>
    <x:row r="112">
      <x:c r="A112" s="79" t="str">
        <x:v>UPG|1026|LJT-PREP-RCT</x:v>
      </x:c>
      <x:c r="B112" s="79" t="str">
        <x:v>1026</x:v>
      </x:c>
      <x:c r="C112" s="79" t="str"/>
      <x:c r="D112" s="79" t="str">
        <x:v>LJT-PREP-RCT</x:v>
      </x:c>
      <x:c r="E112" s="79" t="str">
        <x:v>◎</x:v>
      </x:c>
      <x:c r="F112" s="115" t="str">
        <x:f>IF($E112="未評估","未建立",_xlfn.XLOOKUP("ABIL|1026|LJT-PREP-RCT",'主管核定中心'!$A$12:$A$372,'主管核定中心'!$K$12:$K$372,"待主管核定",0))</x:f>
        <x:v>待主管核定</x:v>
      </x:c>
      <x:c r="G112" s="115" t="n">
        <x:f>COUNTIFS('工作觀察輸入'!$C$7:$C$206,$B112,'工作觀察輸入'!$G$7:$G$206,$D112,'工作觀察輸入'!$M$7:$M$206,"是")</x:f>
        <x:v>0</x:v>
      </x:c>
      <x:c r="H112" s="117" t="str">
        <x:f>IF($G112=0,"",_xlfn.MINIFS('工作觀察輸入'!$B$7:$B$206,'工作觀察輸入'!$C$7:$C$206,$B112,'工作觀察輸入'!$G$7:$G$206,$D112,'工作觀察輸入'!$M$7:$M$206,"是"))</x:f>
      </x:c>
      <x:c r="I112" s="117" t="str">
        <x:f>IF($G112=0,"",_xlfn.MAXIFS('工作觀察輸入'!$B$7:$B$206,'工作觀察輸入'!$C$7:$C$206,$B112,'工作觀察輸入'!$G$7:$G$206,$D112,'工作觀察輸入'!$M$7:$M$206,"是"))</x:f>
      </x:c>
      <x:c r="J112" s="115" t="n">
        <x:f>IF($G112=0,0,IF($H112=$I112,1,2))</x:f>
        <x:v>0</x:v>
      </x:c>
      <x:c r="K112" s="115" t="n">
        <x:f>COUNTIFS('工作觀察輸入'!$C$7:$C$206,$B112,'工作觀察輸入'!$G$7:$G$206,$D112,'工作觀察輸入'!$J$7:$J$206,"是")</x:f>
        <x:v>0</x:v>
      </x:c>
      <x:c r="L112" s="115" t="n">
        <x:f>COUNTIFS('面談與異議'!$C$7:$C$106,$B112,'面談與異議'!$F$7:$F$106,$D112,'面談與異議'!$E$7:$E$106,"兩個月面談")</x:f>
        <x:v>0</x:v>
      </x:c>
      <x:c r="M112" s="115" t="str">
        <x:f>IF($E112&lt;&gt;"Ø","不適用",IF(COUNTIFS('事件與限制'!$C$7:$C$106,$B112,'事件與限制'!$E$7:$E$106,$D112,'事件與限制'!$Q$7:$Q$106,"生效中")&gt;0,"資格限制中",IF($F112&lt;&gt;"已核定","先完成基準核定",IF($K112&gt;0,"有關鍵遺漏，先檢討",IF($G112&lt;3,"尚缺成功觀察",IF($J112&lt;2,"觀察日期不足",IF($L112&lt;1,"待兩個月面談","可送主管核定")))))))</x:f>
        <x:v>不適用</x:v>
      </x:c>
      <x:c r="N112" s="116" t="str">
        <x:v>待核定</x:v>
      </x:c>
      <x:c r="O112" s="118"/>
      <x:c r="P112" s="116"/>
      <x:c r="Q112" s="116"/>
      <x:c r="R112" s="115" t="str">
        <x:f>IF($M112&lt;&gt;"可送主管核定","尚未具備條件",IF($N112="不升級","維持原評等",IF($N112="核定升級",IF(OR($O112="",$P112=""),"核定資料未完整","已核定升級"),"待主管核定")))</x:f>
        <x:v>尚未具備條件</x:v>
      </x:c>
    </x:row>
    <x:row r="113">
      <x:c r="A113" s="79" t="str">
        <x:v>UPG|1026|LJT-PREP-EXTRACTION</x:v>
      </x:c>
      <x:c r="B113" s="79" t="str">
        <x:v>1026</x:v>
      </x:c>
      <x:c r="C113" s="79" t="str"/>
      <x:c r="D113" s="79" t="str">
        <x:v>LJT-PREP-EXTRACTION</x:v>
      </x:c>
      <x:c r="E113" s="79" t="str">
        <x:v>Ø</x:v>
      </x:c>
      <x:c r="F113" s="115" t="str">
        <x:f>IF($E113="未評估","未建立",_xlfn.XLOOKUP("ABIL|1026|LJT-PREP-EXTRACTION",'主管核定中心'!$A$12:$A$372,'主管核定中心'!$K$12:$K$372,"待主管核定",0))</x:f>
        <x:v>待主管核定</x:v>
      </x:c>
      <x:c r="G113" s="115" t="n">
        <x:f>COUNTIFS('工作觀察輸入'!$C$7:$C$206,$B113,'工作觀察輸入'!$G$7:$G$206,$D113,'工作觀察輸入'!$M$7:$M$206,"是")</x:f>
        <x:v>0</x:v>
      </x:c>
      <x:c r="H113" s="117" t="str">
        <x:f>IF($G113=0,"",_xlfn.MINIFS('工作觀察輸入'!$B$7:$B$206,'工作觀察輸入'!$C$7:$C$206,$B113,'工作觀察輸入'!$G$7:$G$206,$D113,'工作觀察輸入'!$M$7:$M$206,"是"))</x:f>
      </x:c>
      <x:c r="I113" s="117" t="str">
        <x:f>IF($G113=0,"",_xlfn.MAXIFS('工作觀察輸入'!$B$7:$B$206,'工作觀察輸入'!$C$7:$C$206,$B113,'工作觀察輸入'!$G$7:$G$206,$D113,'工作觀察輸入'!$M$7:$M$206,"是"))</x:f>
      </x:c>
      <x:c r="J113" s="115" t="n">
        <x:f>IF($G113=0,0,IF($H113=$I113,1,2))</x:f>
        <x:v>0</x:v>
      </x:c>
      <x:c r="K113" s="115" t="n">
        <x:f>COUNTIFS('工作觀察輸入'!$C$7:$C$206,$B113,'工作觀察輸入'!$G$7:$G$206,$D113,'工作觀察輸入'!$J$7:$J$206,"是")</x:f>
        <x:v>0</x:v>
      </x:c>
      <x:c r="L113" s="115" t="n">
        <x:f>COUNTIFS('面談與異議'!$C$7:$C$106,$B113,'面談與異議'!$F$7:$F$106,$D113,'面談與異議'!$E$7:$E$106,"兩個月面談")</x:f>
        <x:v>0</x:v>
      </x:c>
      <x:c r="M113" s="115" t="str">
        <x:f>IF($E113&lt;&gt;"Ø","不適用",IF(COUNTIFS('事件與限制'!$C$7:$C$106,$B113,'事件與限制'!$E$7:$E$106,$D113,'事件與限制'!$Q$7:$Q$106,"生效中")&gt;0,"資格限制中",IF($F113&lt;&gt;"已核定","先完成基準核定",IF($K113&gt;0,"有關鍵遺漏，先檢討",IF($G113&lt;3,"尚缺成功觀察",IF($J113&lt;2,"觀察日期不足",IF($L113&lt;1,"待兩個月面談","可送主管核定")))))))</x:f>
        <x:v>先完成基準核定</x:v>
      </x:c>
      <x:c r="N113" s="116" t="str">
        <x:v>待核定</x:v>
      </x:c>
      <x:c r="O113" s="118"/>
      <x:c r="P113" s="116"/>
      <x:c r="Q113" s="116"/>
      <x:c r="R113" s="115" t="str">
        <x:f>IF($M113&lt;&gt;"可送主管核定","尚未具備條件",IF($N113="不升級","維持原評等",IF($N113="核定升級",IF(OR($O113="",$P113=""),"核定資料未完整","已核定升級"),"待主管核定")))</x:f>
        <x:v>尚未具備條件</x:v>
      </x:c>
    </x:row>
    <x:row r="114">
      <x:c r="A114" s="79" t="str">
        <x:v>UPG|1026|LJT-PREP-CROWNPOST</x:v>
      </x:c>
      <x:c r="B114" s="79" t="str">
        <x:v>1026</x:v>
      </x:c>
      <x:c r="C114" s="79" t="str"/>
      <x:c r="D114" s="79" t="str">
        <x:v>LJT-PREP-CROWNPOST</x:v>
      </x:c>
      <x:c r="E114" s="79" t="str">
        <x:v>◎</x:v>
      </x:c>
      <x:c r="F114" s="115" t="str">
        <x:f>IF($E114="未評估","未建立",_xlfn.XLOOKUP("ABIL|1026|LJT-PREP-CROWNPOST",'主管核定中心'!$A$12:$A$372,'主管核定中心'!$K$12:$K$372,"待主管核定",0))</x:f>
        <x:v>待主管核定</x:v>
      </x:c>
      <x:c r="G114" s="115" t="n">
        <x:f>COUNTIFS('工作觀察輸入'!$C$7:$C$206,$B114,'工作觀察輸入'!$G$7:$G$206,$D114,'工作觀察輸入'!$M$7:$M$206,"是")</x:f>
        <x:v>0</x:v>
      </x:c>
      <x:c r="H114" s="117" t="str">
        <x:f>IF($G114=0,"",_xlfn.MINIFS('工作觀察輸入'!$B$7:$B$206,'工作觀察輸入'!$C$7:$C$206,$B114,'工作觀察輸入'!$G$7:$G$206,$D114,'工作觀察輸入'!$M$7:$M$206,"是"))</x:f>
      </x:c>
      <x:c r="I114" s="117" t="str">
        <x:f>IF($G114=0,"",_xlfn.MAXIFS('工作觀察輸入'!$B$7:$B$206,'工作觀察輸入'!$C$7:$C$206,$B114,'工作觀察輸入'!$G$7:$G$206,$D114,'工作觀察輸入'!$M$7:$M$206,"是"))</x:f>
      </x:c>
      <x:c r="J114" s="115" t="n">
        <x:f>IF($G114=0,0,IF($H114=$I114,1,2))</x:f>
        <x:v>0</x:v>
      </x:c>
      <x:c r="K114" s="115" t="n">
        <x:f>COUNTIFS('工作觀察輸入'!$C$7:$C$206,$B114,'工作觀察輸入'!$G$7:$G$206,$D114,'工作觀察輸入'!$J$7:$J$206,"是")</x:f>
        <x:v>0</x:v>
      </x:c>
      <x:c r="L114" s="115" t="n">
        <x:f>COUNTIFS('面談與異議'!$C$7:$C$106,$B114,'面談與異議'!$F$7:$F$106,$D114,'面談與異議'!$E$7:$E$106,"兩個月面談")</x:f>
        <x:v>0</x:v>
      </x:c>
      <x:c r="M114" s="115" t="str">
        <x:f>IF($E114&lt;&gt;"Ø","不適用",IF(COUNTIFS('事件與限制'!$C$7:$C$106,$B114,'事件與限制'!$E$7:$E$106,$D114,'事件與限制'!$Q$7:$Q$106,"生效中")&gt;0,"資格限制中",IF($F114&lt;&gt;"已核定","先完成基準核定",IF($K114&gt;0,"有關鍵遺漏，先檢討",IF($G114&lt;3,"尚缺成功觀察",IF($J114&lt;2,"觀察日期不足",IF($L114&lt;1,"待兩個月面談","可送主管核定")))))))</x:f>
        <x:v>不適用</x:v>
      </x:c>
      <x:c r="N114" s="116" t="str">
        <x:v>待核定</x:v>
      </x:c>
      <x:c r="O114" s="118"/>
      <x:c r="P114" s="116"/>
      <x:c r="Q114" s="116"/>
      <x:c r="R114" s="115" t="str">
        <x:f>IF($M114&lt;&gt;"可送主管核定","尚未具備條件",IF($N114="不升級","維持原評等",IF($N114="核定升級",IF(OR($O114="",$P114=""),"核定資料未完整","已核定升級"),"待主管核定")))</x:f>
        <x:v>尚未具備條件</x:v>
      </x:c>
    </x:row>
    <x:row r="115">
      <x:c r="A115" s="79" t="str">
        <x:v>UPG|1026|LJT-PREP-CROWN</x:v>
      </x:c>
      <x:c r="B115" s="79" t="str">
        <x:v>1026</x:v>
      </x:c>
      <x:c r="C115" s="79" t="str"/>
      <x:c r="D115" s="79" t="str">
        <x:v>LJT-PREP-CROWN</x:v>
      </x:c>
      <x:c r="E115" s="79" t="str">
        <x:v>◎</x:v>
      </x:c>
      <x:c r="F115" s="115" t="str">
        <x:f>IF($E115="未評估","未建立",_xlfn.XLOOKUP("ABIL|1026|LJT-PREP-CROWN",'主管核定中心'!$A$12:$A$372,'主管核定中心'!$K$12:$K$372,"待主管核定",0))</x:f>
        <x:v>待主管核定</x:v>
      </x:c>
      <x:c r="G115" s="115" t="n">
        <x:f>COUNTIFS('工作觀察輸入'!$C$7:$C$206,$B115,'工作觀察輸入'!$G$7:$G$206,$D115,'工作觀察輸入'!$M$7:$M$206,"是")</x:f>
        <x:v>0</x:v>
      </x:c>
      <x:c r="H115" s="117" t="str">
        <x:f>IF($G115=0,"",_xlfn.MINIFS('工作觀察輸入'!$B$7:$B$206,'工作觀察輸入'!$C$7:$C$206,$B115,'工作觀察輸入'!$G$7:$G$206,$D115,'工作觀察輸入'!$M$7:$M$206,"是"))</x:f>
      </x:c>
      <x:c r="I115" s="117" t="str">
        <x:f>IF($G115=0,"",_xlfn.MAXIFS('工作觀察輸入'!$B$7:$B$206,'工作觀察輸入'!$C$7:$C$206,$B115,'工作觀察輸入'!$G$7:$G$206,$D115,'工作觀察輸入'!$M$7:$M$206,"是"))</x:f>
      </x:c>
      <x:c r="J115" s="115" t="n">
        <x:f>IF($G115=0,0,IF($H115=$I115,1,2))</x:f>
        <x:v>0</x:v>
      </x:c>
      <x:c r="K115" s="115" t="n">
        <x:f>COUNTIFS('工作觀察輸入'!$C$7:$C$206,$B115,'工作觀察輸入'!$G$7:$G$206,$D115,'工作觀察輸入'!$J$7:$J$206,"是")</x:f>
        <x:v>0</x:v>
      </x:c>
      <x:c r="L115" s="115" t="n">
        <x:f>COUNTIFS('面談與異議'!$C$7:$C$106,$B115,'面談與異議'!$F$7:$F$106,$D115,'面談與異議'!$E$7:$E$106,"兩個月面談")</x:f>
        <x:v>0</x:v>
      </x:c>
      <x:c r="M115" s="115" t="str">
        <x:f>IF($E115&lt;&gt;"Ø","不適用",IF(COUNTIFS('事件與限制'!$C$7:$C$106,$B115,'事件與限制'!$E$7:$E$106,$D115,'事件與限制'!$Q$7:$Q$106,"生效中")&gt;0,"資格限制中",IF($F115&lt;&gt;"已核定","先完成基準核定",IF($K115&gt;0,"有關鍵遺漏，先檢討",IF($G115&lt;3,"尚缺成功觀察",IF($J115&lt;2,"觀察日期不足",IF($L115&lt;1,"待兩個月面談","可送主管核定")))))))</x:f>
        <x:v>不適用</x:v>
      </x:c>
      <x:c r="N115" s="116" t="str">
        <x:v>待核定</x:v>
      </x:c>
      <x:c r="O115" s="118"/>
      <x:c r="P115" s="116"/>
      <x:c r="Q115" s="116"/>
      <x:c r="R115" s="115" t="str">
        <x:f>IF($M115&lt;&gt;"可送主管核定","尚未具備條件",IF($N115="不升級","維持原評等",IF($N115="核定升級",IF(OR($O115="",$P115=""),"核定資料未完整","已核定升級"),"待主管核定")))</x:f>
        <x:v>尚未具備條件</x:v>
      </x:c>
    </x:row>
    <x:row r="116">
      <x:c r="A116" s="79" t="str">
        <x:v>UPG|1026|LJT-PREP-RPD</x:v>
      </x:c>
      <x:c r="B116" s="79" t="str">
        <x:v>1026</x:v>
      </x:c>
      <x:c r="C116" s="79" t="str"/>
      <x:c r="D116" s="79" t="str">
        <x:v>LJT-PREP-RPD</x:v>
      </x:c>
      <x:c r="E116" s="79" t="str">
        <x:v>※</x:v>
      </x:c>
      <x:c r="F116" s="115" t="str">
        <x:f>IF($E116="未評估","未建立",_xlfn.XLOOKUP("ABIL|1026|LJT-PREP-RPD",'主管核定中心'!$A$12:$A$372,'主管核定中心'!$K$12:$K$372,"待主管核定",0))</x:f>
        <x:v>待主管核定</x:v>
      </x:c>
      <x:c r="G116" s="115" t="n">
        <x:f>COUNTIFS('工作觀察輸入'!$C$7:$C$206,$B116,'工作觀察輸入'!$G$7:$G$206,$D116,'工作觀察輸入'!$M$7:$M$206,"是")</x:f>
        <x:v>0</x:v>
      </x:c>
      <x:c r="H116" s="117" t="str">
        <x:f>IF($G116=0,"",_xlfn.MINIFS('工作觀察輸入'!$B$7:$B$206,'工作觀察輸入'!$C$7:$C$206,$B116,'工作觀察輸入'!$G$7:$G$206,$D116,'工作觀察輸入'!$M$7:$M$206,"是"))</x:f>
      </x:c>
      <x:c r="I116" s="117" t="str">
        <x:f>IF($G116=0,"",_xlfn.MAXIFS('工作觀察輸入'!$B$7:$B$206,'工作觀察輸入'!$C$7:$C$206,$B116,'工作觀察輸入'!$G$7:$G$206,$D116,'工作觀察輸入'!$M$7:$M$206,"是"))</x:f>
      </x:c>
      <x:c r="J116" s="115" t="n">
        <x:f>IF($G116=0,0,IF($H116=$I116,1,2))</x:f>
        <x:v>0</x:v>
      </x:c>
      <x:c r="K116" s="115" t="n">
        <x:f>COUNTIFS('工作觀察輸入'!$C$7:$C$206,$B116,'工作觀察輸入'!$G$7:$G$206,$D116,'工作觀察輸入'!$J$7:$J$206,"是")</x:f>
        <x:v>0</x:v>
      </x:c>
      <x:c r="L116" s="115" t="n">
        <x:f>COUNTIFS('面談與異議'!$C$7:$C$106,$B116,'面談與異議'!$F$7:$F$106,$D116,'面談與異議'!$E$7:$E$106,"兩個月面談")</x:f>
        <x:v>0</x:v>
      </x:c>
      <x:c r="M116" s="115" t="str">
        <x:f>IF($E116&lt;&gt;"Ø","不適用",IF(COUNTIFS('事件與限制'!$C$7:$C$106,$B116,'事件與限制'!$E$7:$E$106,$D116,'事件與限制'!$Q$7:$Q$106,"生效中")&gt;0,"資格限制中",IF($F116&lt;&gt;"已核定","先完成基準核定",IF($K116&gt;0,"有關鍵遺漏，先檢討",IF($G116&lt;3,"尚缺成功觀察",IF($J116&lt;2,"觀察日期不足",IF($L116&lt;1,"待兩個月面談","可送主管核定")))))))</x:f>
        <x:v>不適用</x:v>
      </x:c>
      <x:c r="N116" s="116" t="str">
        <x:v>待核定</x:v>
      </x:c>
      <x:c r="O116" s="118"/>
      <x:c r="P116" s="116"/>
      <x:c r="Q116" s="116"/>
      <x:c r="R116" s="115" t="str">
        <x:f>IF($M116&lt;&gt;"可送主管核定","尚未具備條件",IF($N116="不升級","維持原評等",IF($N116="核定升級",IF(OR($O116="",$P116=""),"核定資料未完整","已核定升級"),"待主管核定")))</x:f>
        <x:v>尚未具備條件</x:v>
      </x:c>
    </x:row>
    <x:row r="117">
      <x:c r="A117" s="79" t="str">
        <x:v>UPG|1026|LJT-PREP-AIRPOLISH</x:v>
      </x:c>
      <x:c r="B117" s="79" t="str">
        <x:v>1026</x:v>
      </x:c>
      <x:c r="C117" s="79" t="str"/>
      <x:c r="D117" s="79" t="str">
        <x:v>LJT-PREP-AIRPOLISH</x:v>
      </x:c>
      <x:c r="E117" s="79" t="str">
        <x:v>※</x:v>
      </x:c>
      <x:c r="F117" s="115" t="str">
        <x:f>IF($E117="未評估","未建立",_xlfn.XLOOKUP("ABIL|1026|LJT-PREP-AIRPOLISH",'主管核定中心'!$A$12:$A$372,'主管核定中心'!$K$12:$K$372,"待主管核定",0))</x:f>
        <x:v>待主管核定</x:v>
      </x:c>
      <x:c r="G117" s="115" t="n">
        <x:f>COUNTIFS('工作觀察輸入'!$C$7:$C$206,$B117,'工作觀察輸入'!$G$7:$G$206,$D117,'工作觀察輸入'!$M$7:$M$206,"是")</x:f>
        <x:v>0</x:v>
      </x:c>
      <x:c r="H117" s="117" t="str">
        <x:f>IF($G117=0,"",_xlfn.MINIFS('工作觀察輸入'!$B$7:$B$206,'工作觀察輸入'!$C$7:$C$206,$B117,'工作觀察輸入'!$G$7:$G$206,$D117,'工作觀察輸入'!$M$7:$M$206,"是"))</x:f>
      </x:c>
      <x:c r="I117" s="117" t="str">
        <x:f>IF($G117=0,"",_xlfn.MAXIFS('工作觀察輸入'!$B$7:$B$206,'工作觀察輸入'!$C$7:$C$206,$B117,'工作觀察輸入'!$G$7:$G$206,$D117,'工作觀察輸入'!$M$7:$M$206,"是"))</x:f>
      </x:c>
      <x:c r="J117" s="115" t="n">
        <x:f>IF($G117=0,0,IF($H117=$I117,1,2))</x:f>
        <x:v>0</x:v>
      </x:c>
      <x:c r="K117" s="115" t="n">
        <x:f>COUNTIFS('工作觀察輸入'!$C$7:$C$206,$B117,'工作觀察輸入'!$G$7:$G$206,$D117,'工作觀察輸入'!$J$7:$J$206,"是")</x:f>
        <x:v>0</x:v>
      </x:c>
      <x:c r="L117" s="115" t="n">
        <x:f>COUNTIFS('面談與異議'!$C$7:$C$106,$B117,'面談與異議'!$F$7:$F$106,$D117,'面談與異議'!$E$7:$E$106,"兩個月面談")</x:f>
        <x:v>0</x:v>
      </x:c>
      <x:c r="M117" s="115" t="str">
        <x:f>IF($E117&lt;&gt;"Ø","不適用",IF(COUNTIFS('事件與限制'!$C$7:$C$106,$B117,'事件與限制'!$E$7:$E$106,$D117,'事件與限制'!$Q$7:$Q$106,"生效中")&gt;0,"資格限制中",IF($F117&lt;&gt;"已核定","先完成基準核定",IF($K117&gt;0,"有關鍵遺漏，先檢討",IF($G117&lt;3,"尚缺成功觀察",IF($J117&lt;2,"觀察日期不足",IF($L117&lt;1,"待兩個月面談","可送主管核定")))))))</x:f>
        <x:v>不適用</x:v>
      </x:c>
      <x:c r="N117" s="116" t="str">
        <x:v>待核定</x:v>
      </x:c>
      <x:c r="O117" s="118"/>
      <x:c r="P117" s="116"/>
      <x:c r="Q117" s="116"/>
      <x:c r="R117" s="115" t="str">
        <x:f>IF($M117&lt;&gt;"可送主管核定","尚未具備條件",IF($N117="不升級","維持原評等",IF($N117="核定升級",IF(OR($O117="",$P117=""),"核定資料未完整","已核定升級"),"待主管核定")))</x:f>
        <x:v>尚未具備條件</x:v>
      </x:c>
    </x:row>
    <x:row r="118">
      <x:c r="A118" s="79" t="str">
        <x:v>UPG|1026|LJT-PREP-PERIOSURG</x:v>
      </x:c>
      <x:c r="B118" s="79" t="str">
        <x:v>1026</x:v>
      </x:c>
      <x:c r="C118" s="79" t="str"/>
      <x:c r="D118" s="79" t="str">
        <x:v>LJT-PREP-PERIOSURG</x:v>
      </x:c>
      <x:c r="E118" s="79" t="str">
        <x:v>※</x:v>
      </x:c>
      <x:c r="F118" s="115" t="str">
        <x:f>IF($E118="未評估","未建立",_xlfn.XLOOKUP("ABIL|1026|LJT-PREP-PERIOSURG",'主管核定中心'!$A$12:$A$372,'主管核定中心'!$K$12:$K$372,"待主管核定",0))</x:f>
        <x:v>待主管核定</x:v>
      </x:c>
      <x:c r="G118" s="115" t="n">
        <x:f>COUNTIFS('工作觀察輸入'!$C$7:$C$206,$B118,'工作觀察輸入'!$G$7:$G$206,$D118,'工作觀察輸入'!$M$7:$M$206,"是")</x:f>
        <x:v>0</x:v>
      </x:c>
      <x:c r="H118" s="117" t="str">
        <x:f>IF($G118=0,"",_xlfn.MINIFS('工作觀察輸入'!$B$7:$B$206,'工作觀察輸入'!$C$7:$C$206,$B118,'工作觀察輸入'!$G$7:$G$206,$D118,'工作觀察輸入'!$M$7:$M$206,"是"))</x:f>
      </x:c>
      <x:c r="I118" s="117" t="str">
        <x:f>IF($G118=0,"",_xlfn.MAXIFS('工作觀察輸入'!$B$7:$B$206,'工作觀察輸入'!$C$7:$C$206,$B118,'工作觀察輸入'!$G$7:$G$206,$D118,'工作觀察輸入'!$M$7:$M$206,"是"))</x:f>
      </x:c>
      <x:c r="J118" s="115" t="n">
        <x:f>IF($G118=0,0,IF($H118=$I118,1,2))</x:f>
        <x:v>0</x:v>
      </x:c>
      <x:c r="K118" s="115" t="n">
        <x:f>COUNTIFS('工作觀察輸入'!$C$7:$C$206,$B118,'工作觀察輸入'!$G$7:$G$206,$D118,'工作觀察輸入'!$J$7:$J$206,"是")</x:f>
        <x:v>0</x:v>
      </x:c>
      <x:c r="L118" s="115" t="n">
        <x:f>COUNTIFS('面談與異議'!$C$7:$C$106,$B118,'面談與異議'!$F$7:$F$106,$D118,'面談與異議'!$E$7:$E$106,"兩個月面談")</x:f>
        <x:v>0</x:v>
      </x:c>
      <x:c r="M118" s="115" t="str">
        <x:f>IF($E118&lt;&gt;"Ø","不適用",IF(COUNTIFS('事件與限制'!$C$7:$C$106,$B118,'事件與限制'!$E$7:$E$106,$D118,'事件與限制'!$Q$7:$Q$106,"生效中")&gt;0,"資格限制中",IF($F118&lt;&gt;"已核定","先完成基準核定",IF($K118&gt;0,"有關鍵遺漏，先檢討",IF($G118&lt;3,"尚缺成功觀察",IF($J118&lt;2,"觀察日期不足",IF($L118&lt;1,"待兩個月面談","可送主管核定")))))))</x:f>
        <x:v>不適用</x:v>
      </x:c>
      <x:c r="N118" s="116" t="str">
        <x:v>待核定</x:v>
      </x:c>
      <x:c r="O118" s="118"/>
      <x:c r="P118" s="116"/>
      <x:c r="Q118" s="116"/>
      <x:c r="R118" s="115" t="str">
        <x:f>IF($M118&lt;&gt;"可送主管核定","尚未具備條件",IF($N118="不升級","維持原評等",IF($N118="核定升級",IF(OR($O118="",$P118=""),"核定資料未完整","已核定升級"),"待主管核定")))</x:f>
        <x:v>尚未具備條件</x:v>
      </x:c>
    </x:row>
    <x:row r="119">
      <x:c r="A119" s="79" t="str">
        <x:v>UPG|1026|LJT-PREP-MICROENDO</x:v>
      </x:c>
      <x:c r="B119" s="79" t="str">
        <x:v>1026</x:v>
      </x:c>
      <x:c r="C119" s="79" t="str"/>
      <x:c r="D119" s="79" t="str">
        <x:v>LJT-PREP-MICROENDO</x:v>
      </x:c>
      <x:c r="E119" s="79" t="str">
        <x:v>※</x:v>
      </x:c>
      <x:c r="F119" s="115" t="str">
        <x:f>IF($E119="未評估","未建立",_xlfn.XLOOKUP("ABIL|1026|LJT-PREP-MICROENDO",'主管核定中心'!$A$12:$A$372,'主管核定中心'!$K$12:$K$372,"待主管核定",0))</x:f>
        <x:v>待主管核定</x:v>
      </x:c>
      <x:c r="G119" s="115" t="n">
        <x:f>COUNTIFS('工作觀察輸入'!$C$7:$C$206,$B119,'工作觀察輸入'!$G$7:$G$206,$D119,'工作觀察輸入'!$M$7:$M$206,"是")</x:f>
        <x:v>0</x:v>
      </x:c>
      <x:c r="H119" s="117" t="str">
        <x:f>IF($G119=0,"",_xlfn.MINIFS('工作觀察輸入'!$B$7:$B$206,'工作觀察輸入'!$C$7:$C$206,$B119,'工作觀察輸入'!$G$7:$G$206,$D119,'工作觀察輸入'!$M$7:$M$206,"是"))</x:f>
      </x:c>
      <x:c r="I119" s="117" t="str">
        <x:f>IF($G119=0,"",_xlfn.MAXIFS('工作觀察輸入'!$B$7:$B$206,'工作觀察輸入'!$C$7:$C$206,$B119,'工作觀察輸入'!$G$7:$G$206,$D119,'工作觀察輸入'!$M$7:$M$206,"是"))</x:f>
      </x:c>
      <x:c r="J119" s="115" t="n">
        <x:f>IF($G119=0,0,IF($H119=$I119,1,2))</x:f>
        <x:v>0</x:v>
      </x:c>
      <x:c r="K119" s="115" t="n">
        <x:f>COUNTIFS('工作觀察輸入'!$C$7:$C$206,$B119,'工作觀察輸入'!$G$7:$G$206,$D119,'工作觀察輸入'!$J$7:$J$206,"是")</x:f>
        <x:v>0</x:v>
      </x:c>
      <x:c r="L119" s="115" t="n">
        <x:f>COUNTIFS('面談與異議'!$C$7:$C$106,$B119,'面談與異議'!$F$7:$F$106,$D119,'面談與異議'!$E$7:$E$106,"兩個月面談")</x:f>
        <x:v>0</x:v>
      </x:c>
      <x:c r="M119" s="115" t="str">
        <x:f>IF($E119&lt;&gt;"Ø","不適用",IF(COUNTIFS('事件與限制'!$C$7:$C$106,$B119,'事件與限制'!$E$7:$E$106,$D119,'事件與限制'!$Q$7:$Q$106,"生效中")&gt;0,"資格限制中",IF($F119&lt;&gt;"已核定","先完成基準核定",IF($K119&gt;0,"有關鍵遺漏，先檢討",IF($G119&lt;3,"尚缺成功觀察",IF($J119&lt;2,"觀察日期不足",IF($L119&lt;1,"待兩個月面談","可送主管核定")))))))</x:f>
        <x:v>不適用</x:v>
      </x:c>
      <x:c r="N119" s="116" t="str">
        <x:v>待核定</x:v>
      </x:c>
      <x:c r="O119" s="118"/>
      <x:c r="P119" s="116"/>
      <x:c r="Q119" s="116"/>
      <x:c r="R119" s="115" t="str">
        <x:f>IF($M119&lt;&gt;"可送主管核定","尚未具備條件",IF($N119="不升級","維持原評等",IF($N119="核定升級",IF(OR($O119="",$P119=""),"核定資料未完整","已核定升級"),"待主管核定")))</x:f>
        <x:v>尚未具備條件</x:v>
      </x:c>
    </x:row>
    <x:row r="120">
      <x:c r="A120" s="79" t="str">
        <x:v>UPG|1026|LJT-PREP-IMPLANT</x:v>
      </x:c>
      <x:c r="B120" s="79" t="str">
        <x:v>1026</x:v>
      </x:c>
      <x:c r="C120" s="79" t="str"/>
      <x:c r="D120" s="79" t="str">
        <x:v>LJT-PREP-IMPLANT</x:v>
      </x:c>
      <x:c r="E120" s="79" t="str">
        <x:v>◎</x:v>
      </x:c>
      <x:c r="F120" s="115" t="str">
        <x:f>IF($E120="未評估","未建立",_xlfn.XLOOKUP("ABIL|1026|LJT-PREP-IMPLANT",'主管核定中心'!$A$12:$A$372,'主管核定中心'!$K$12:$K$372,"待主管核定",0))</x:f>
        <x:v>待主管核定</x:v>
      </x:c>
      <x:c r="G120" s="115" t="n">
        <x:f>COUNTIFS('工作觀察輸入'!$C$7:$C$206,$B120,'工作觀察輸入'!$G$7:$G$206,$D120,'工作觀察輸入'!$M$7:$M$206,"是")</x:f>
        <x:v>0</x:v>
      </x:c>
      <x:c r="H120" s="117" t="str">
        <x:f>IF($G120=0,"",_xlfn.MINIFS('工作觀察輸入'!$B$7:$B$206,'工作觀察輸入'!$C$7:$C$206,$B120,'工作觀察輸入'!$G$7:$G$206,$D120,'工作觀察輸入'!$M$7:$M$206,"是"))</x:f>
      </x:c>
      <x:c r="I120" s="117" t="str">
        <x:f>IF($G120=0,"",_xlfn.MAXIFS('工作觀察輸入'!$B$7:$B$206,'工作觀察輸入'!$C$7:$C$206,$B120,'工作觀察輸入'!$G$7:$G$206,$D120,'工作觀察輸入'!$M$7:$M$206,"是"))</x:f>
      </x:c>
      <x:c r="J120" s="115" t="n">
        <x:f>IF($G120=0,0,IF($H120=$I120,1,2))</x:f>
        <x:v>0</x:v>
      </x:c>
      <x:c r="K120" s="115" t="n">
        <x:f>COUNTIFS('工作觀察輸入'!$C$7:$C$206,$B120,'工作觀察輸入'!$G$7:$G$206,$D120,'工作觀察輸入'!$J$7:$J$206,"是")</x:f>
        <x:v>0</x:v>
      </x:c>
      <x:c r="L120" s="115" t="n">
        <x:f>COUNTIFS('面談與異議'!$C$7:$C$106,$B120,'面談與異議'!$F$7:$F$106,$D120,'面談與異議'!$E$7:$E$106,"兩個月面談")</x:f>
        <x:v>0</x:v>
      </x:c>
      <x:c r="M120" s="115" t="str">
        <x:f>IF($E120&lt;&gt;"Ø","不適用",IF(COUNTIFS('事件與限制'!$C$7:$C$106,$B120,'事件與限制'!$E$7:$E$106,$D120,'事件與限制'!$Q$7:$Q$106,"生效中")&gt;0,"資格限制中",IF($F120&lt;&gt;"已核定","先完成基準核定",IF($K120&gt;0,"有關鍵遺漏，先檢討",IF($G120&lt;3,"尚缺成功觀察",IF($J120&lt;2,"觀察日期不足",IF($L120&lt;1,"待兩個月面談","可送主管核定")))))))</x:f>
        <x:v>不適用</x:v>
      </x:c>
      <x:c r="N120" s="116" t="str">
        <x:v>待核定</x:v>
      </x:c>
      <x:c r="O120" s="118"/>
      <x:c r="P120" s="116"/>
      <x:c r="Q120" s="116"/>
      <x:c r="R120" s="115" t="str">
        <x:f>IF($M120&lt;&gt;"可送主管核定","尚未具備條件",IF($N120="不升級","維持原評等",IF($N120="核定升級",IF(OR($O120="",$P120=""),"核定資料未完整","已核定升級"),"待主管核定")))</x:f>
        <x:v>尚未具備條件</x:v>
      </x:c>
    </x:row>
    <x:row r="121">
      <x:c r="A121" s="79" t="str">
        <x:v>UPG|1026|COMMON-RECORD</x:v>
      </x:c>
      <x:c r="B121" s="79" t="str">
        <x:v>1026</x:v>
      </x:c>
      <x:c r="C121" s="79" t="str"/>
      <x:c r="D121" s="79" t="str">
        <x:v>COMMON-RECORD</x:v>
      </x:c>
      <x:c r="E121" s="79" t="str">
        <x:v>△</x:v>
      </x:c>
      <x:c r="F121" s="115" t="str">
        <x:f>IF($E121="未評估","未建立",_xlfn.XLOOKUP("ABIL|1026|COMMON-RECORD",'主管核定中心'!$A$12:$A$372,'主管核定中心'!$K$12:$K$372,"待主管核定",0))</x:f>
        <x:v>待主管核定</x:v>
      </x:c>
      <x:c r="G121" s="115" t="n">
        <x:f>COUNTIFS('工作觀察輸入'!$C$7:$C$206,$B121,'工作觀察輸入'!$G$7:$G$206,$D121,'工作觀察輸入'!$M$7:$M$206,"是")</x:f>
        <x:v>0</x:v>
      </x:c>
      <x:c r="H121" s="117" t="str">
        <x:f>IF($G121=0,"",_xlfn.MINIFS('工作觀察輸入'!$B$7:$B$206,'工作觀察輸入'!$C$7:$C$206,$B121,'工作觀察輸入'!$G$7:$G$206,$D121,'工作觀察輸入'!$M$7:$M$206,"是"))</x:f>
      </x:c>
      <x:c r="I121" s="117" t="str">
        <x:f>IF($G121=0,"",_xlfn.MAXIFS('工作觀察輸入'!$B$7:$B$206,'工作觀察輸入'!$C$7:$C$206,$B121,'工作觀察輸入'!$G$7:$G$206,$D121,'工作觀察輸入'!$M$7:$M$206,"是"))</x:f>
      </x:c>
      <x:c r="J121" s="115" t="n">
        <x:f>IF($G121=0,0,IF($H121=$I121,1,2))</x:f>
        <x:v>0</x:v>
      </x:c>
      <x:c r="K121" s="115" t="n">
        <x:f>COUNTIFS('工作觀察輸入'!$C$7:$C$206,$B121,'工作觀察輸入'!$G$7:$G$206,$D121,'工作觀察輸入'!$J$7:$J$206,"是")</x:f>
        <x:v>0</x:v>
      </x:c>
      <x:c r="L121" s="115" t="n">
        <x:f>COUNTIFS('面談與異議'!$C$7:$C$106,$B121,'面談與異議'!$F$7:$F$106,$D121,'面談與異議'!$E$7:$E$106,"兩個月面談")</x:f>
        <x:v>0</x:v>
      </x:c>
      <x:c r="M121" s="115" t="str">
        <x:f>IF($E121&lt;&gt;"Ø","不適用",IF(COUNTIFS('事件與限制'!$C$7:$C$106,$B121,'事件與限制'!$E$7:$E$106,$D121,'事件與限制'!$Q$7:$Q$106,"生效中")&gt;0,"資格限制中",IF($F121&lt;&gt;"已核定","先完成基準核定",IF($K121&gt;0,"有關鍵遺漏，先檢討",IF($G121&lt;3,"尚缺成功觀察",IF($J121&lt;2,"觀察日期不足",IF($L121&lt;1,"待兩個月面談","可送主管核定")))))))</x:f>
        <x:v>不適用</x:v>
      </x:c>
      <x:c r="N121" s="116" t="str">
        <x:v>待核定</x:v>
      </x:c>
      <x:c r="O121" s="118"/>
      <x:c r="P121" s="116"/>
      <x:c r="Q121" s="116"/>
      <x:c r="R121" s="115" t="str">
        <x:f>IF($M121&lt;&gt;"可送主管核定","尚未具備條件",IF($N121="不升級","維持原評等",IF($N121="核定升級",IF(OR($O121="",$P121=""),"核定資料未完整","已核定升級"),"待主管核定")))</x:f>
        <x:v>尚未具備條件</x:v>
      </x:c>
    </x:row>
    <x:row r="122">
      <x:c r="A122" s="79" t="str">
        <x:v>UPG|1026|COMMON-INSURANCE</x:v>
      </x:c>
      <x:c r="B122" s="79" t="str">
        <x:v>1026</x:v>
      </x:c>
      <x:c r="C122" s="79" t="str"/>
      <x:c r="D122" s="79" t="str">
        <x:v>COMMON-INSURANCE</x:v>
      </x:c>
      <x:c r="E122" s="79" t="str">
        <x:v>△</x:v>
      </x:c>
      <x:c r="F122" s="115" t="str">
        <x:f>IF($E122="未評估","未建立",_xlfn.XLOOKUP("ABIL|1026|COMMON-INSURANCE",'主管核定中心'!$A$12:$A$372,'主管核定中心'!$K$12:$K$372,"待主管核定",0))</x:f>
        <x:v>待主管核定</x:v>
      </x:c>
      <x:c r="G122" s="115" t="n">
        <x:f>COUNTIFS('工作觀察輸入'!$C$7:$C$206,$B122,'工作觀察輸入'!$G$7:$G$206,$D122,'工作觀察輸入'!$M$7:$M$206,"是")</x:f>
        <x:v>0</x:v>
      </x:c>
      <x:c r="H122" s="117" t="str">
        <x:f>IF($G122=0,"",_xlfn.MINIFS('工作觀察輸入'!$B$7:$B$206,'工作觀察輸入'!$C$7:$C$206,$B122,'工作觀察輸入'!$G$7:$G$206,$D122,'工作觀察輸入'!$M$7:$M$206,"是"))</x:f>
      </x:c>
      <x:c r="I122" s="117" t="str">
        <x:f>IF($G122=0,"",_xlfn.MAXIFS('工作觀察輸入'!$B$7:$B$206,'工作觀察輸入'!$C$7:$C$206,$B122,'工作觀察輸入'!$G$7:$G$206,$D122,'工作觀察輸入'!$M$7:$M$206,"是"))</x:f>
      </x:c>
      <x:c r="J122" s="115" t="n">
        <x:f>IF($G122=0,0,IF($H122=$I122,1,2))</x:f>
        <x:v>0</x:v>
      </x:c>
      <x:c r="K122" s="115" t="n">
        <x:f>COUNTIFS('工作觀察輸入'!$C$7:$C$206,$B122,'工作觀察輸入'!$G$7:$G$206,$D122,'工作觀察輸入'!$J$7:$J$206,"是")</x:f>
        <x:v>0</x:v>
      </x:c>
      <x:c r="L122" s="115" t="n">
        <x:f>COUNTIFS('面談與異議'!$C$7:$C$106,$B122,'面談與異議'!$F$7:$F$106,$D122,'面談與異議'!$E$7:$E$106,"兩個月面談")</x:f>
        <x:v>0</x:v>
      </x:c>
      <x:c r="M122" s="115" t="str">
        <x:f>IF($E122&lt;&gt;"Ø","不適用",IF(COUNTIFS('事件與限制'!$C$7:$C$106,$B122,'事件與限制'!$E$7:$E$106,$D122,'事件與限制'!$Q$7:$Q$106,"生效中")&gt;0,"資格限制中",IF($F122&lt;&gt;"已核定","先完成基準核定",IF($K122&gt;0,"有關鍵遺漏，先檢討",IF($G122&lt;3,"尚缺成功觀察",IF($J122&lt;2,"觀察日期不足",IF($L122&lt;1,"待兩個月面談","可送主管核定")))))))</x:f>
        <x:v>不適用</x:v>
      </x:c>
      <x:c r="N122" s="116" t="str">
        <x:v>待核定</x:v>
      </x:c>
      <x:c r="O122" s="118"/>
      <x:c r="P122" s="116"/>
      <x:c r="Q122" s="116"/>
      <x:c r="R122" s="115" t="str">
        <x:f>IF($M122&lt;&gt;"可送主管核定","尚未具備條件",IF($N122="不升級","維持原評等",IF($N122="核定升級",IF(OR($O122="",$P122=""),"核定資料未完整","已核定升級"),"待主管核定")))</x:f>
        <x:v>尚未具備條件</x:v>
      </x:c>
    </x:row>
    <x:row r="123">
      <x:c r="A123" s="79" t="str">
        <x:v>UPG|1026|COMMON-XRAY-RECORD</x:v>
      </x:c>
      <x:c r="B123" s="79" t="str">
        <x:v>1026</x:v>
      </x:c>
      <x:c r="C123" s="79" t="str"/>
      <x:c r="D123" s="79" t="str">
        <x:v>COMMON-XRAY-RECORD</x:v>
      </x:c>
      <x:c r="E123" s="79" t="str">
        <x:v>△</x:v>
      </x:c>
      <x:c r="F123" s="115" t="str">
        <x:f>IF($E123="未評估","未建立",_xlfn.XLOOKUP("ABIL|1026|COMMON-XRAY-RECORD",'主管核定中心'!$A$12:$A$372,'主管核定中心'!$K$12:$K$372,"待主管核定",0))</x:f>
        <x:v>待主管核定</x:v>
      </x:c>
      <x:c r="G123" s="115" t="n">
        <x:f>COUNTIFS('工作觀察輸入'!$C$7:$C$206,$B123,'工作觀察輸入'!$G$7:$G$206,$D123,'工作觀察輸入'!$M$7:$M$206,"是")</x:f>
        <x:v>0</x:v>
      </x:c>
      <x:c r="H123" s="117" t="str">
        <x:f>IF($G123=0,"",_xlfn.MINIFS('工作觀察輸入'!$B$7:$B$206,'工作觀察輸入'!$C$7:$C$206,$B123,'工作觀察輸入'!$G$7:$G$206,$D123,'工作觀察輸入'!$M$7:$M$206,"是"))</x:f>
      </x:c>
      <x:c r="I123" s="117" t="str">
        <x:f>IF($G123=0,"",_xlfn.MAXIFS('工作觀察輸入'!$B$7:$B$206,'工作觀察輸入'!$C$7:$C$206,$B123,'工作觀察輸入'!$G$7:$G$206,$D123,'工作觀察輸入'!$M$7:$M$206,"是"))</x:f>
      </x:c>
      <x:c r="J123" s="115" t="n">
        <x:f>IF($G123=0,0,IF($H123=$I123,1,2))</x:f>
        <x:v>0</x:v>
      </x:c>
      <x:c r="K123" s="115" t="n">
        <x:f>COUNTIFS('工作觀察輸入'!$C$7:$C$206,$B123,'工作觀察輸入'!$G$7:$G$206,$D123,'工作觀察輸入'!$J$7:$J$206,"是")</x:f>
        <x:v>0</x:v>
      </x:c>
      <x:c r="L123" s="115" t="n">
        <x:f>COUNTIFS('面談與異議'!$C$7:$C$106,$B123,'面談與異議'!$F$7:$F$106,$D123,'面談與異議'!$E$7:$E$106,"兩個月面談")</x:f>
        <x:v>0</x:v>
      </x:c>
      <x:c r="M123" s="115" t="str">
        <x:f>IF($E123&lt;&gt;"Ø","不適用",IF(COUNTIFS('事件與限制'!$C$7:$C$106,$B123,'事件與限制'!$E$7:$E$106,$D123,'事件與限制'!$Q$7:$Q$106,"生效中")&gt;0,"資格限制中",IF($F123&lt;&gt;"已核定","先完成基準核定",IF($K123&gt;0,"有關鍵遺漏，先檢討",IF($G123&lt;3,"尚缺成功觀察",IF($J123&lt;2,"觀察日期不足",IF($L123&lt;1,"待兩個月面談","可送主管核定")))))))</x:f>
        <x:v>不適用</x:v>
      </x:c>
      <x:c r="N123" s="116" t="str">
        <x:v>待核定</x:v>
      </x:c>
      <x:c r="O123" s="118"/>
      <x:c r="P123" s="116"/>
      <x:c r="Q123" s="116"/>
      <x:c r="R123" s="115" t="str">
        <x:f>IF($M123&lt;&gt;"可送主管核定","尚未具備條件",IF($N123="不升級","維持原評等",IF($N123="核定升級",IF(OR($O123="",$P123=""),"核定資料未完整","已核定升級"),"待主管核定")))</x:f>
        <x:v>尚未具備條件</x:v>
      </x:c>
    </x:row>
    <x:row r="124">
      <x:c r="A124" s="79" t="str">
        <x:v>UPG|1026|COMMON-PA</x:v>
      </x:c>
      <x:c r="B124" s="79" t="str">
        <x:v>1026</x:v>
      </x:c>
      <x:c r="C124" s="79" t="str"/>
      <x:c r="D124" s="79" t="str">
        <x:v>COMMON-PA</x:v>
      </x:c>
      <x:c r="E124" s="79" t="str">
        <x:v>◎</x:v>
      </x:c>
      <x:c r="F124" s="115" t="str">
        <x:f>IF($E124="未評估","未建立",_xlfn.XLOOKUP("ABIL|1026|COMMON-PA",'主管核定中心'!$A$12:$A$372,'主管核定中心'!$K$12:$K$372,"待主管核定",0))</x:f>
        <x:v>待主管核定</x:v>
      </x:c>
      <x:c r="G124" s="115" t="n">
        <x:f>COUNTIFS('工作觀察輸入'!$C$7:$C$206,$B124,'工作觀察輸入'!$G$7:$G$206,$D124,'工作觀察輸入'!$M$7:$M$206,"是")</x:f>
        <x:v>0</x:v>
      </x:c>
      <x:c r="H124" s="117" t="str">
        <x:f>IF($G124=0,"",_xlfn.MINIFS('工作觀察輸入'!$B$7:$B$206,'工作觀察輸入'!$C$7:$C$206,$B124,'工作觀察輸入'!$G$7:$G$206,$D124,'工作觀察輸入'!$M$7:$M$206,"是"))</x:f>
      </x:c>
      <x:c r="I124" s="117" t="str">
        <x:f>IF($G124=0,"",_xlfn.MAXIFS('工作觀察輸入'!$B$7:$B$206,'工作觀察輸入'!$C$7:$C$206,$B124,'工作觀察輸入'!$G$7:$G$206,$D124,'工作觀察輸入'!$M$7:$M$206,"是"))</x:f>
      </x:c>
      <x:c r="J124" s="115" t="n">
        <x:f>IF($G124=0,0,IF($H124=$I124,1,2))</x:f>
        <x:v>0</x:v>
      </x:c>
      <x:c r="K124" s="115" t="n">
        <x:f>COUNTIFS('工作觀察輸入'!$C$7:$C$206,$B124,'工作觀察輸入'!$G$7:$G$206,$D124,'工作觀察輸入'!$J$7:$J$206,"是")</x:f>
        <x:v>0</x:v>
      </x:c>
      <x:c r="L124" s="115" t="n">
        <x:f>COUNTIFS('面談與異議'!$C$7:$C$106,$B124,'面談與異議'!$F$7:$F$106,$D124,'面談與異議'!$E$7:$E$106,"兩個月面談")</x:f>
        <x:v>0</x:v>
      </x:c>
      <x:c r="M124" s="115" t="str">
        <x:f>IF($E124&lt;&gt;"Ø","不適用",IF(COUNTIFS('事件與限制'!$C$7:$C$106,$B124,'事件與限制'!$E$7:$E$106,$D124,'事件與限制'!$Q$7:$Q$106,"生效中")&gt;0,"資格限制中",IF($F124&lt;&gt;"已核定","先完成基準核定",IF($K124&gt;0,"有關鍵遺漏，先檢討",IF($G124&lt;3,"尚缺成功觀察",IF($J124&lt;2,"觀察日期不足",IF($L124&lt;1,"待兩個月面談","可送主管核定")))))))</x:f>
        <x:v>不適用</x:v>
      </x:c>
      <x:c r="N124" s="116" t="str">
        <x:v>待核定</x:v>
      </x:c>
      <x:c r="O124" s="118"/>
      <x:c r="P124" s="116"/>
      <x:c r="Q124" s="116"/>
      <x:c r="R124" s="115" t="str">
        <x:f>IF($M124&lt;&gt;"可送主管核定","尚未具備條件",IF($N124="不升級","維持原評等",IF($N124="核定升級",IF(OR($O124="",$P124=""),"核定資料未完整","已核定升級"),"待主管核定")))</x:f>
        <x:v>尚未具備條件</x:v>
      </x:c>
    </x:row>
    <x:row r="125">
      <x:c r="A125" s="79" t="str">
        <x:v>UPG|1026|COMMON-IOS</x:v>
      </x:c>
      <x:c r="B125" s="79" t="str">
        <x:v>1026</x:v>
      </x:c>
      <x:c r="C125" s="79" t="str"/>
      <x:c r="D125" s="79" t="str">
        <x:v>COMMON-IOS</x:v>
      </x:c>
      <x:c r="E125" s="79" t="str">
        <x:v>◎</x:v>
      </x:c>
      <x:c r="F125" s="115" t="str">
        <x:f>IF($E125="未評估","未建立",_xlfn.XLOOKUP("ABIL|1026|COMMON-IOS",'主管核定中心'!$A$12:$A$372,'主管核定中心'!$K$12:$K$372,"待主管核定",0))</x:f>
        <x:v>待主管核定</x:v>
      </x:c>
      <x:c r="G125" s="115" t="n">
        <x:f>COUNTIFS('工作觀察輸入'!$C$7:$C$206,$B125,'工作觀察輸入'!$G$7:$G$206,$D125,'工作觀察輸入'!$M$7:$M$206,"是")</x:f>
        <x:v>0</x:v>
      </x:c>
      <x:c r="H125" s="117" t="str">
        <x:f>IF($G125=0,"",_xlfn.MINIFS('工作觀察輸入'!$B$7:$B$206,'工作觀察輸入'!$C$7:$C$206,$B125,'工作觀察輸入'!$G$7:$G$206,$D125,'工作觀察輸入'!$M$7:$M$206,"是"))</x:f>
      </x:c>
      <x:c r="I125" s="117" t="str">
        <x:f>IF($G125=0,"",_xlfn.MAXIFS('工作觀察輸入'!$B$7:$B$206,'工作觀察輸入'!$C$7:$C$206,$B125,'工作觀察輸入'!$G$7:$G$206,$D125,'工作觀察輸入'!$M$7:$M$206,"是"))</x:f>
      </x:c>
      <x:c r="J125" s="115" t="n">
        <x:f>IF($G125=0,0,IF($H125=$I125,1,2))</x:f>
        <x:v>0</x:v>
      </x:c>
      <x:c r="K125" s="115" t="n">
        <x:f>COUNTIFS('工作觀察輸入'!$C$7:$C$206,$B125,'工作觀察輸入'!$G$7:$G$206,$D125,'工作觀察輸入'!$J$7:$J$206,"是")</x:f>
        <x:v>0</x:v>
      </x:c>
      <x:c r="L125" s="115" t="n">
        <x:f>COUNTIFS('面談與異議'!$C$7:$C$106,$B125,'面談與異議'!$F$7:$F$106,$D125,'面談與異議'!$E$7:$E$106,"兩個月面談")</x:f>
        <x:v>0</x:v>
      </x:c>
      <x:c r="M125" s="115" t="str">
        <x:f>IF($E125&lt;&gt;"Ø","不適用",IF(COUNTIFS('事件與限制'!$C$7:$C$106,$B125,'事件與限制'!$E$7:$E$106,$D125,'事件與限制'!$Q$7:$Q$106,"生效中")&gt;0,"資格限制中",IF($F125&lt;&gt;"已核定","先完成基準核定",IF($K125&gt;0,"有關鍵遺漏，先檢討",IF($G125&lt;3,"尚缺成功觀察",IF($J125&lt;2,"觀察日期不足",IF($L125&lt;1,"待兩個月面談","可送主管核定")))))))</x:f>
        <x:v>不適用</x:v>
      </x:c>
      <x:c r="N125" s="116" t="str">
        <x:v>待核定</x:v>
      </x:c>
      <x:c r="O125" s="118"/>
      <x:c r="P125" s="116"/>
      <x:c r="Q125" s="116"/>
      <x:c r="R125" s="115" t="str">
        <x:f>IF($M125&lt;&gt;"可送主管核定","尚未具備條件",IF($N125="不升級","維持原評等",IF($N125="核定升級",IF(OR($O125="",$P125=""),"核定資料未完整","已核定升級"),"待主管核定")))</x:f>
        <x:v>尚未具備條件</x:v>
      </x:c>
    </x:row>
    <x:row r="126">
      <x:c r="A126" s="79" t="str">
        <x:v>UPG|1027|LJT-PREP-SCALING</x:v>
      </x:c>
      <x:c r="B126" s="79" t="str">
        <x:v>1027</x:v>
      </x:c>
      <x:c r="C126" s="79" t="str"/>
      <x:c r="D126" s="79" t="str">
        <x:v>LJT-PREP-SCALING</x:v>
      </x:c>
      <x:c r="E126" s="79" t="str">
        <x:v>◎</x:v>
      </x:c>
      <x:c r="F126" s="115" t="str">
        <x:f>IF($E126="未評估","未建立",_xlfn.XLOOKUP("ABIL|1027|LJT-PREP-SCALING",'主管核定中心'!$A$12:$A$372,'主管核定中心'!$K$12:$K$372,"待主管核定",0))</x:f>
        <x:v>待主管核定</x:v>
      </x:c>
      <x:c r="G126" s="115" t="n">
        <x:f>COUNTIFS('工作觀察輸入'!$C$7:$C$206,$B126,'工作觀察輸入'!$G$7:$G$206,$D126,'工作觀察輸入'!$M$7:$M$206,"是")</x:f>
        <x:v>0</x:v>
      </x:c>
      <x:c r="H126" s="117" t="str">
        <x:f>IF($G126=0,"",_xlfn.MINIFS('工作觀察輸入'!$B$7:$B$206,'工作觀察輸入'!$C$7:$C$206,$B126,'工作觀察輸入'!$G$7:$G$206,$D126,'工作觀察輸入'!$M$7:$M$206,"是"))</x:f>
      </x:c>
      <x:c r="I126" s="117" t="str">
        <x:f>IF($G126=0,"",_xlfn.MAXIFS('工作觀察輸入'!$B$7:$B$206,'工作觀察輸入'!$C$7:$C$206,$B126,'工作觀察輸入'!$G$7:$G$206,$D126,'工作觀察輸入'!$M$7:$M$206,"是"))</x:f>
      </x:c>
      <x:c r="J126" s="115" t="n">
        <x:f>IF($G126=0,0,IF($H126=$I126,1,2))</x:f>
        <x:v>0</x:v>
      </x:c>
      <x:c r="K126" s="115" t="n">
        <x:f>COUNTIFS('工作觀察輸入'!$C$7:$C$206,$B126,'工作觀察輸入'!$G$7:$G$206,$D126,'工作觀察輸入'!$J$7:$J$206,"是")</x:f>
        <x:v>0</x:v>
      </x:c>
      <x:c r="L126" s="115" t="n">
        <x:f>COUNTIFS('面談與異議'!$C$7:$C$106,$B126,'面談與異議'!$F$7:$F$106,$D126,'面談與異議'!$E$7:$E$106,"兩個月面談")</x:f>
        <x:v>0</x:v>
      </x:c>
      <x:c r="M126" s="115" t="str">
        <x:f>IF($E126&lt;&gt;"Ø","不適用",IF(COUNTIFS('事件與限制'!$C$7:$C$106,$B126,'事件與限制'!$E$7:$E$106,$D126,'事件與限制'!$Q$7:$Q$106,"生效中")&gt;0,"資格限制中",IF($F126&lt;&gt;"已核定","先完成基準核定",IF($K126&gt;0,"有關鍵遺漏，先檢討",IF($G126&lt;3,"尚缺成功觀察",IF($J126&lt;2,"觀察日期不足",IF($L126&lt;1,"待兩個月面談","可送主管核定")))))))</x:f>
        <x:v>不適用</x:v>
      </x:c>
      <x:c r="N126" s="116" t="str">
        <x:v>待核定</x:v>
      </x:c>
      <x:c r="O126" s="118"/>
      <x:c r="P126" s="116"/>
      <x:c r="Q126" s="116"/>
      <x:c r="R126" s="115" t="str">
        <x:f>IF($M126&lt;&gt;"可送主管核定","尚未具備條件",IF($N126="不升級","維持原評等",IF($N126="核定升級",IF(OR($O126="",$P126=""),"核定資料未完整","已核定升級"),"待主管核定")))</x:f>
        <x:v>尚未具備條件</x:v>
      </x:c>
    </x:row>
    <x:row r="127">
      <x:c r="A127" s="79" t="str">
        <x:v>UPG|1027|LJT-PREP-FILLING</x:v>
      </x:c>
      <x:c r="B127" s="79" t="str">
        <x:v>1027</x:v>
      </x:c>
      <x:c r="C127" s="79" t="str"/>
      <x:c r="D127" s="79" t="str">
        <x:v>LJT-PREP-FILLING</x:v>
      </x:c>
      <x:c r="E127" s="79" t="str">
        <x:v>◎</x:v>
      </x:c>
      <x:c r="F127" s="115" t="str">
        <x:f>IF($E127="未評估","未建立",_xlfn.XLOOKUP("ABIL|1027|LJT-PREP-FILLING",'主管核定中心'!$A$12:$A$372,'主管核定中心'!$K$12:$K$372,"待主管核定",0))</x:f>
        <x:v>待主管核定</x:v>
      </x:c>
      <x:c r="G127" s="115" t="n">
        <x:f>COUNTIFS('工作觀察輸入'!$C$7:$C$206,$B127,'工作觀察輸入'!$G$7:$G$206,$D127,'工作觀察輸入'!$M$7:$M$206,"是")</x:f>
        <x:v>0</x:v>
      </x:c>
      <x:c r="H127" s="117" t="str">
        <x:f>IF($G127=0,"",_xlfn.MINIFS('工作觀察輸入'!$B$7:$B$206,'工作觀察輸入'!$C$7:$C$206,$B127,'工作觀察輸入'!$G$7:$G$206,$D127,'工作觀察輸入'!$M$7:$M$206,"是"))</x:f>
      </x:c>
      <x:c r="I127" s="117" t="str">
        <x:f>IF($G127=0,"",_xlfn.MAXIFS('工作觀察輸入'!$B$7:$B$206,'工作觀察輸入'!$C$7:$C$206,$B127,'工作觀察輸入'!$G$7:$G$206,$D127,'工作觀察輸入'!$M$7:$M$206,"是"))</x:f>
      </x:c>
      <x:c r="J127" s="115" t="n">
        <x:f>IF($G127=0,0,IF($H127=$I127,1,2))</x:f>
        <x:v>0</x:v>
      </x:c>
      <x:c r="K127" s="115" t="n">
        <x:f>COUNTIFS('工作觀察輸入'!$C$7:$C$206,$B127,'工作觀察輸入'!$G$7:$G$206,$D127,'工作觀察輸入'!$J$7:$J$206,"是")</x:f>
        <x:v>0</x:v>
      </x:c>
      <x:c r="L127" s="115" t="n">
        <x:f>COUNTIFS('面談與異議'!$C$7:$C$106,$B127,'面談與異議'!$F$7:$F$106,$D127,'面談與異議'!$E$7:$E$106,"兩個月面談")</x:f>
        <x:v>0</x:v>
      </x:c>
      <x:c r="M127" s="115" t="str">
        <x:f>IF($E127&lt;&gt;"Ø","不適用",IF(COUNTIFS('事件與限制'!$C$7:$C$106,$B127,'事件與限制'!$E$7:$E$106,$D127,'事件與限制'!$Q$7:$Q$106,"生效中")&gt;0,"資格限制中",IF($F127&lt;&gt;"已核定","先完成基準核定",IF($K127&gt;0,"有關鍵遺漏，先檢討",IF($G127&lt;3,"尚缺成功觀察",IF($J127&lt;2,"觀察日期不足",IF($L127&lt;1,"待兩個月面談","可送主管核定")))))))</x:f>
        <x:v>不適用</x:v>
      </x:c>
      <x:c r="N127" s="116" t="str">
        <x:v>待核定</x:v>
      </x:c>
      <x:c r="O127" s="118"/>
      <x:c r="P127" s="116"/>
      <x:c r="Q127" s="116"/>
      <x:c r="R127" s="115" t="str">
        <x:f>IF($M127&lt;&gt;"可送主管核定","尚未具備條件",IF($N127="不升級","維持原評等",IF($N127="核定升級",IF(OR($O127="",$P127=""),"核定資料未完整","已核定升級"),"待主管核定")))</x:f>
        <x:v>尚未具備條件</x:v>
      </x:c>
    </x:row>
    <x:row r="128">
      <x:c r="A128" s="79" t="str">
        <x:v>UPG|1027|LJT-PREP-PERIO</x:v>
      </x:c>
      <x:c r="B128" s="79" t="str">
        <x:v>1027</x:v>
      </x:c>
      <x:c r="C128" s="79" t="str"/>
      <x:c r="D128" s="79" t="str">
        <x:v>LJT-PREP-PERIO</x:v>
      </x:c>
      <x:c r="E128" s="79" t="str">
        <x:v>◎</x:v>
      </x:c>
      <x:c r="F128" s="115" t="str">
        <x:f>IF($E128="未評估","未建立",_xlfn.XLOOKUP("ABIL|1027|LJT-PREP-PERIO",'主管核定中心'!$A$12:$A$372,'主管核定中心'!$K$12:$K$372,"待主管核定",0))</x:f>
        <x:v>待主管核定</x:v>
      </x:c>
      <x:c r="G128" s="115" t="n">
        <x:f>COUNTIFS('工作觀察輸入'!$C$7:$C$206,$B128,'工作觀察輸入'!$G$7:$G$206,$D128,'工作觀察輸入'!$M$7:$M$206,"是")</x:f>
        <x:v>0</x:v>
      </x:c>
      <x:c r="H128" s="117" t="str">
        <x:f>IF($G128=0,"",_xlfn.MINIFS('工作觀察輸入'!$B$7:$B$206,'工作觀察輸入'!$C$7:$C$206,$B128,'工作觀察輸入'!$G$7:$G$206,$D128,'工作觀察輸入'!$M$7:$M$206,"是"))</x:f>
      </x:c>
      <x:c r="I128" s="117" t="str">
        <x:f>IF($G128=0,"",_xlfn.MAXIFS('工作觀察輸入'!$B$7:$B$206,'工作觀察輸入'!$C$7:$C$206,$B128,'工作觀察輸入'!$G$7:$G$206,$D128,'工作觀察輸入'!$M$7:$M$206,"是"))</x:f>
      </x:c>
      <x:c r="J128" s="115" t="n">
        <x:f>IF($G128=0,0,IF($H128=$I128,1,2))</x:f>
        <x:v>0</x:v>
      </x:c>
      <x:c r="K128" s="115" t="n">
        <x:f>COUNTIFS('工作觀察輸入'!$C$7:$C$206,$B128,'工作觀察輸入'!$G$7:$G$206,$D128,'工作觀察輸入'!$J$7:$J$206,"是")</x:f>
        <x:v>0</x:v>
      </x:c>
      <x:c r="L128" s="115" t="n">
        <x:f>COUNTIFS('面談與異議'!$C$7:$C$106,$B128,'面談與異議'!$F$7:$F$106,$D128,'面談與異議'!$E$7:$E$106,"兩個月面談")</x:f>
        <x:v>0</x:v>
      </x:c>
      <x:c r="M128" s="115" t="str">
        <x:f>IF($E128&lt;&gt;"Ø","不適用",IF(COUNTIFS('事件與限制'!$C$7:$C$106,$B128,'事件與限制'!$E$7:$E$106,$D128,'事件與限制'!$Q$7:$Q$106,"生效中")&gt;0,"資格限制中",IF($F128&lt;&gt;"已核定","先完成基準核定",IF($K128&gt;0,"有關鍵遺漏，先檢討",IF($G128&lt;3,"尚缺成功觀察",IF($J128&lt;2,"觀察日期不足",IF($L128&lt;1,"待兩個月面談","可送主管核定")))))))</x:f>
        <x:v>不適用</x:v>
      </x:c>
      <x:c r="N128" s="116" t="str">
        <x:v>待核定</x:v>
      </x:c>
      <x:c r="O128" s="118"/>
      <x:c r="P128" s="116"/>
      <x:c r="Q128" s="116"/>
      <x:c r="R128" s="115" t="str">
        <x:f>IF($M128&lt;&gt;"可送主管核定","尚未具備條件",IF($N128="不升級","維持原評等",IF($N128="核定升級",IF(OR($O128="",$P128=""),"核定資料未完整","已核定升級"),"待主管核定")))</x:f>
        <x:v>尚未具備條件</x:v>
      </x:c>
    </x:row>
    <x:row r="129">
      <x:c r="A129" s="79" t="str">
        <x:v>UPG|1027|LJT-PREP-RCT</x:v>
      </x:c>
      <x:c r="B129" s="79" t="str">
        <x:v>1027</x:v>
      </x:c>
      <x:c r="C129" s="79" t="str"/>
      <x:c r="D129" s="79" t="str">
        <x:v>LJT-PREP-RCT</x:v>
      </x:c>
      <x:c r="E129" s="79" t="str">
        <x:v>◎</x:v>
      </x:c>
      <x:c r="F129" s="115" t="str">
        <x:f>IF($E129="未評估","未建立",_xlfn.XLOOKUP("ABIL|1027|LJT-PREP-RCT",'主管核定中心'!$A$12:$A$372,'主管核定中心'!$K$12:$K$372,"待主管核定",0))</x:f>
        <x:v>待主管核定</x:v>
      </x:c>
      <x:c r="G129" s="115" t="n">
        <x:f>COUNTIFS('工作觀察輸入'!$C$7:$C$206,$B129,'工作觀察輸入'!$G$7:$G$206,$D129,'工作觀察輸入'!$M$7:$M$206,"是")</x:f>
        <x:v>0</x:v>
      </x:c>
      <x:c r="H129" s="117" t="str">
        <x:f>IF($G129=0,"",_xlfn.MINIFS('工作觀察輸入'!$B$7:$B$206,'工作觀察輸入'!$C$7:$C$206,$B129,'工作觀察輸入'!$G$7:$G$206,$D129,'工作觀察輸入'!$M$7:$M$206,"是"))</x:f>
      </x:c>
      <x:c r="I129" s="117" t="str">
        <x:f>IF($G129=0,"",_xlfn.MAXIFS('工作觀察輸入'!$B$7:$B$206,'工作觀察輸入'!$C$7:$C$206,$B129,'工作觀察輸入'!$G$7:$G$206,$D129,'工作觀察輸入'!$M$7:$M$206,"是"))</x:f>
      </x:c>
      <x:c r="J129" s="115" t="n">
        <x:f>IF($G129=0,0,IF($H129=$I129,1,2))</x:f>
        <x:v>0</x:v>
      </x:c>
      <x:c r="K129" s="115" t="n">
        <x:f>COUNTIFS('工作觀察輸入'!$C$7:$C$206,$B129,'工作觀察輸入'!$G$7:$G$206,$D129,'工作觀察輸入'!$J$7:$J$206,"是")</x:f>
        <x:v>0</x:v>
      </x:c>
      <x:c r="L129" s="115" t="n">
        <x:f>COUNTIFS('面談與異議'!$C$7:$C$106,$B129,'面談與異議'!$F$7:$F$106,$D129,'面談與異議'!$E$7:$E$106,"兩個月面談")</x:f>
        <x:v>0</x:v>
      </x:c>
      <x:c r="M129" s="115" t="str">
        <x:f>IF($E129&lt;&gt;"Ø","不適用",IF(COUNTIFS('事件與限制'!$C$7:$C$106,$B129,'事件與限制'!$E$7:$E$106,$D129,'事件與限制'!$Q$7:$Q$106,"生效中")&gt;0,"資格限制中",IF($F129&lt;&gt;"已核定","先完成基準核定",IF($K129&gt;0,"有關鍵遺漏，先檢討",IF($G129&lt;3,"尚缺成功觀察",IF($J129&lt;2,"觀察日期不足",IF($L129&lt;1,"待兩個月面談","可送主管核定")))))))</x:f>
        <x:v>不適用</x:v>
      </x:c>
      <x:c r="N129" s="116" t="str">
        <x:v>待核定</x:v>
      </x:c>
      <x:c r="O129" s="118"/>
      <x:c r="P129" s="116"/>
      <x:c r="Q129" s="116"/>
      <x:c r="R129" s="115" t="str">
        <x:f>IF($M129&lt;&gt;"可送主管核定","尚未具備條件",IF($N129="不升級","維持原評等",IF($N129="核定升級",IF(OR($O129="",$P129=""),"核定資料未完整","已核定升級"),"待主管核定")))</x:f>
        <x:v>尚未具備條件</x:v>
      </x:c>
    </x:row>
    <x:row r="130">
      <x:c r="A130" s="79" t="str">
        <x:v>UPG|1027|LJT-PREP-EXTRACTION</x:v>
      </x:c>
      <x:c r="B130" s="79" t="str">
        <x:v>1027</x:v>
      </x:c>
      <x:c r="C130" s="79" t="str"/>
      <x:c r="D130" s="79" t="str">
        <x:v>LJT-PREP-EXTRACTION</x:v>
      </x:c>
      <x:c r="E130" s="79" t="str">
        <x:v>Ø</x:v>
      </x:c>
      <x:c r="F130" s="115" t="str">
        <x:f>IF($E130="未評估","未建立",_xlfn.XLOOKUP("ABIL|1027|LJT-PREP-EXTRACTION",'主管核定中心'!$A$12:$A$372,'主管核定中心'!$K$12:$K$372,"待主管核定",0))</x:f>
        <x:v>待主管核定</x:v>
      </x:c>
      <x:c r="G130" s="115" t="n">
        <x:f>COUNTIFS('工作觀察輸入'!$C$7:$C$206,$B130,'工作觀察輸入'!$G$7:$G$206,$D130,'工作觀察輸入'!$M$7:$M$206,"是")</x:f>
        <x:v>0</x:v>
      </x:c>
      <x:c r="H130" s="117" t="str">
        <x:f>IF($G130=0,"",_xlfn.MINIFS('工作觀察輸入'!$B$7:$B$206,'工作觀察輸入'!$C$7:$C$206,$B130,'工作觀察輸入'!$G$7:$G$206,$D130,'工作觀察輸入'!$M$7:$M$206,"是"))</x:f>
      </x:c>
      <x:c r="I130" s="117" t="str">
        <x:f>IF($G130=0,"",_xlfn.MAXIFS('工作觀察輸入'!$B$7:$B$206,'工作觀察輸入'!$C$7:$C$206,$B130,'工作觀察輸入'!$G$7:$G$206,$D130,'工作觀察輸入'!$M$7:$M$206,"是"))</x:f>
      </x:c>
      <x:c r="J130" s="115" t="n">
        <x:f>IF($G130=0,0,IF($H130=$I130,1,2))</x:f>
        <x:v>0</x:v>
      </x:c>
      <x:c r="K130" s="115" t="n">
        <x:f>COUNTIFS('工作觀察輸入'!$C$7:$C$206,$B130,'工作觀察輸入'!$G$7:$G$206,$D130,'工作觀察輸入'!$J$7:$J$206,"是")</x:f>
        <x:v>0</x:v>
      </x:c>
      <x:c r="L130" s="115" t="n">
        <x:f>COUNTIFS('面談與異議'!$C$7:$C$106,$B130,'面談與異議'!$F$7:$F$106,$D130,'面談與異議'!$E$7:$E$106,"兩個月面談")</x:f>
        <x:v>0</x:v>
      </x:c>
      <x:c r="M130" s="115" t="str">
        <x:f>IF($E130&lt;&gt;"Ø","不適用",IF(COUNTIFS('事件與限制'!$C$7:$C$106,$B130,'事件與限制'!$E$7:$E$106,$D130,'事件與限制'!$Q$7:$Q$106,"生效中")&gt;0,"資格限制中",IF($F130&lt;&gt;"已核定","先完成基準核定",IF($K130&gt;0,"有關鍵遺漏，先檢討",IF($G130&lt;3,"尚缺成功觀察",IF($J130&lt;2,"觀察日期不足",IF($L130&lt;1,"待兩個月面談","可送主管核定")))))))</x:f>
        <x:v>先完成基準核定</x:v>
      </x:c>
      <x:c r="N130" s="116" t="str">
        <x:v>待核定</x:v>
      </x:c>
      <x:c r="O130" s="118"/>
      <x:c r="P130" s="116"/>
      <x:c r="Q130" s="116"/>
      <x:c r="R130" s="115" t="str">
        <x:f>IF($M130&lt;&gt;"可送主管核定","尚未具備條件",IF($N130="不升級","維持原評等",IF($N130="核定升級",IF(OR($O130="",$P130=""),"核定資料未完整","已核定升級"),"待主管核定")))</x:f>
        <x:v>尚未具備條件</x:v>
      </x:c>
    </x:row>
    <x:row r="131">
      <x:c r="A131" s="79" t="str">
        <x:v>UPG|1027|LJT-PREP-CROWNPOST</x:v>
      </x:c>
      <x:c r="B131" s="79" t="str">
        <x:v>1027</x:v>
      </x:c>
      <x:c r="C131" s="79" t="str"/>
      <x:c r="D131" s="79" t="str">
        <x:v>LJT-PREP-CROWNPOST</x:v>
      </x:c>
      <x:c r="E131" s="79" t="str">
        <x:v>◎</x:v>
      </x:c>
      <x:c r="F131" s="115" t="str">
        <x:f>IF($E131="未評估","未建立",_xlfn.XLOOKUP("ABIL|1027|LJT-PREP-CROWNPOST",'主管核定中心'!$A$12:$A$372,'主管核定中心'!$K$12:$K$372,"待主管核定",0))</x:f>
        <x:v>待主管核定</x:v>
      </x:c>
      <x:c r="G131" s="115" t="n">
        <x:f>COUNTIFS('工作觀察輸入'!$C$7:$C$206,$B131,'工作觀察輸入'!$G$7:$G$206,$D131,'工作觀察輸入'!$M$7:$M$206,"是")</x:f>
        <x:v>0</x:v>
      </x:c>
      <x:c r="H131" s="117" t="str">
        <x:f>IF($G131=0,"",_xlfn.MINIFS('工作觀察輸入'!$B$7:$B$206,'工作觀察輸入'!$C$7:$C$206,$B131,'工作觀察輸入'!$G$7:$G$206,$D131,'工作觀察輸入'!$M$7:$M$206,"是"))</x:f>
      </x:c>
      <x:c r="I131" s="117" t="str">
        <x:f>IF($G131=0,"",_xlfn.MAXIFS('工作觀察輸入'!$B$7:$B$206,'工作觀察輸入'!$C$7:$C$206,$B131,'工作觀察輸入'!$G$7:$G$206,$D131,'工作觀察輸入'!$M$7:$M$206,"是"))</x:f>
      </x:c>
      <x:c r="J131" s="115" t="n">
        <x:f>IF($G131=0,0,IF($H131=$I131,1,2))</x:f>
        <x:v>0</x:v>
      </x:c>
      <x:c r="K131" s="115" t="n">
        <x:f>COUNTIFS('工作觀察輸入'!$C$7:$C$206,$B131,'工作觀察輸入'!$G$7:$G$206,$D131,'工作觀察輸入'!$J$7:$J$206,"是")</x:f>
        <x:v>0</x:v>
      </x:c>
      <x:c r="L131" s="115" t="n">
        <x:f>COUNTIFS('面談與異議'!$C$7:$C$106,$B131,'面談與異議'!$F$7:$F$106,$D131,'面談與異議'!$E$7:$E$106,"兩個月面談")</x:f>
        <x:v>0</x:v>
      </x:c>
      <x:c r="M131" s="115" t="str">
        <x:f>IF($E131&lt;&gt;"Ø","不適用",IF(COUNTIFS('事件與限制'!$C$7:$C$106,$B131,'事件與限制'!$E$7:$E$106,$D131,'事件與限制'!$Q$7:$Q$106,"生效中")&gt;0,"資格限制中",IF($F131&lt;&gt;"已核定","先完成基準核定",IF($K131&gt;0,"有關鍵遺漏，先檢討",IF($G131&lt;3,"尚缺成功觀察",IF($J131&lt;2,"觀察日期不足",IF($L131&lt;1,"待兩個月面談","可送主管核定")))))))</x:f>
        <x:v>不適用</x:v>
      </x:c>
      <x:c r="N131" s="116" t="str">
        <x:v>待核定</x:v>
      </x:c>
      <x:c r="O131" s="118"/>
      <x:c r="P131" s="116"/>
      <x:c r="Q131" s="116"/>
      <x:c r="R131" s="115" t="str">
        <x:f>IF($M131&lt;&gt;"可送主管核定","尚未具備條件",IF($N131="不升級","維持原評等",IF($N131="核定升級",IF(OR($O131="",$P131=""),"核定資料未完整","已核定升級"),"待主管核定")))</x:f>
        <x:v>尚未具備條件</x:v>
      </x:c>
    </x:row>
    <x:row r="132">
      <x:c r="A132" s="79" t="str">
        <x:v>UPG|1027|LJT-PREP-CROWN</x:v>
      </x:c>
      <x:c r="B132" s="79" t="str">
        <x:v>1027</x:v>
      </x:c>
      <x:c r="C132" s="79" t="str"/>
      <x:c r="D132" s="79" t="str">
        <x:v>LJT-PREP-CROWN</x:v>
      </x:c>
      <x:c r="E132" s="79" t="str">
        <x:v>◎</x:v>
      </x:c>
      <x:c r="F132" s="115" t="str">
        <x:f>IF($E132="未評估","未建立",_xlfn.XLOOKUP("ABIL|1027|LJT-PREP-CROWN",'主管核定中心'!$A$12:$A$372,'主管核定中心'!$K$12:$K$372,"待主管核定",0))</x:f>
        <x:v>待主管核定</x:v>
      </x:c>
      <x:c r="G132" s="115" t="n">
        <x:f>COUNTIFS('工作觀察輸入'!$C$7:$C$206,$B132,'工作觀察輸入'!$G$7:$G$206,$D132,'工作觀察輸入'!$M$7:$M$206,"是")</x:f>
        <x:v>0</x:v>
      </x:c>
      <x:c r="H132" s="117" t="str">
        <x:f>IF($G132=0,"",_xlfn.MINIFS('工作觀察輸入'!$B$7:$B$206,'工作觀察輸入'!$C$7:$C$206,$B132,'工作觀察輸入'!$G$7:$G$206,$D132,'工作觀察輸入'!$M$7:$M$206,"是"))</x:f>
      </x:c>
      <x:c r="I132" s="117" t="str">
        <x:f>IF($G132=0,"",_xlfn.MAXIFS('工作觀察輸入'!$B$7:$B$206,'工作觀察輸入'!$C$7:$C$206,$B132,'工作觀察輸入'!$G$7:$G$206,$D132,'工作觀察輸入'!$M$7:$M$206,"是"))</x:f>
      </x:c>
      <x:c r="J132" s="115" t="n">
        <x:f>IF($G132=0,0,IF($H132=$I132,1,2))</x:f>
        <x:v>0</x:v>
      </x:c>
      <x:c r="K132" s="115" t="n">
        <x:f>COUNTIFS('工作觀察輸入'!$C$7:$C$206,$B132,'工作觀察輸入'!$G$7:$G$206,$D132,'工作觀察輸入'!$J$7:$J$206,"是")</x:f>
        <x:v>0</x:v>
      </x:c>
      <x:c r="L132" s="115" t="n">
        <x:f>COUNTIFS('面談與異議'!$C$7:$C$106,$B132,'面談與異議'!$F$7:$F$106,$D132,'面談與異議'!$E$7:$E$106,"兩個月面談")</x:f>
        <x:v>0</x:v>
      </x:c>
      <x:c r="M132" s="115" t="str">
        <x:f>IF($E132&lt;&gt;"Ø","不適用",IF(COUNTIFS('事件與限制'!$C$7:$C$106,$B132,'事件與限制'!$E$7:$E$106,$D132,'事件與限制'!$Q$7:$Q$106,"生效中")&gt;0,"資格限制中",IF($F132&lt;&gt;"已核定","先完成基準核定",IF($K132&gt;0,"有關鍵遺漏，先檢討",IF($G132&lt;3,"尚缺成功觀察",IF($J132&lt;2,"觀察日期不足",IF($L132&lt;1,"待兩個月面談","可送主管核定")))))))</x:f>
        <x:v>不適用</x:v>
      </x:c>
      <x:c r="N132" s="116" t="str">
        <x:v>待核定</x:v>
      </x:c>
      <x:c r="O132" s="118"/>
      <x:c r="P132" s="116"/>
      <x:c r="Q132" s="116"/>
      <x:c r="R132" s="115" t="str">
        <x:f>IF($M132&lt;&gt;"可送主管核定","尚未具備條件",IF($N132="不升級","維持原評等",IF($N132="核定升級",IF(OR($O132="",$P132=""),"核定資料未完整","已核定升級"),"待主管核定")))</x:f>
        <x:v>尚未具備條件</x:v>
      </x:c>
    </x:row>
    <x:row r="133">
      <x:c r="A133" s="79" t="str">
        <x:v>UPG|1027|LJT-PREP-RPD</x:v>
      </x:c>
      <x:c r="B133" s="79" t="str">
        <x:v>1027</x:v>
      </x:c>
      <x:c r="C133" s="79" t="str"/>
      <x:c r="D133" s="79" t="str">
        <x:v>LJT-PREP-RPD</x:v>
      </x:c>
      <x:c r="E133" s="79" t="str">
        <x:v>Ø</x:v>
      </x:c>
      <x:c r="F133" s="115" t="str">
        <x:f>IF($E133="未評估","未建立",_xlfn.XLOOKUP("ABIL|1027|LJT-PREP-RPD",'主管核定中心'!$A$12:$A$372,'主管核定中心'!$K$12:$K$372,"待主管核定",0))</x:f>
        <x:v>待主管核定</x:v>
      </x:c>
      <x:c r="G133" s="115" t="n">
        <x:f>COUNTIFS('工作觀察輸入'!$C$7:$C$206,$B133,'工作觀察輸入'!$G$7:$G$206,$D133,'工作觀察輸入'!$M$7:$M$206,"是")</x:f>
        <x:v>0</x:v>
      </x:c>
      <x:c r="H133" s="117" t="str">
        <x:f>IF($G133=0,"",_xlfn.MINIFS('工作觀察輸入'!$B$7:$B$206,'工作觀察輸入'!$C$7:$C$206,$B133,'工作觀察輸入'!$G$7:$G$206,$D133,'工作觀察輸入'!$M$7:$M$206,"是"))</x:f>
      </x:c>
      <x:c r="I133" s="117" t="str">
        <x:f>IF($G133=0,"",_xlfn.MAXIFS('工作觀察輸入'!$B$7:$B$206,'工作觀察輸入'!$C$7:$C$206,$B133,'工作觀察輸入'!$G$7:$G$206,$D133,'工作觀察輸入'!$M$7:$M$206,"是"))</x:f>
      </x:c>
      <x:c r="J133" s="115" t="n">
        <x:f>IF($G133=0,0,IF($H133=$I133,1,2))</x:f>
        <x:v>0</x:v>
      </x:c>
      <x:c r="K133" s="115" t="n">
        <x:f>COUNTIFS('工作觀察輸入'!$C$7:$C$206,$B133,'工作觀察輸入'!$G$7:$G$206,$D133,'工作觀察輸入'!$J$7:$J$206,"是")</x:f>
        <x:v>0</x:v>
      </x:c>
      <x:c r="L133" s="115" t="n">
        <x:f>COUNTIFS('面談與異議'!$C$7:$C$106,$B133,'面談與異議'!$F$7:$F$106,$D133,'面談與異議'!$E$7:$E$106,"兩個月面談")</x:f>
        <x:v>0</x:v>
      </x:c>
      <x:c r="M133" s="115" t="str">
        <x:f>IF($E133&lt;&gt;"Ø","不適用",IF(COUNTIFS('事件與限制'!$C$7:$C$106,$B133,'事件與限制'!$E$7:$E$106,$D133,'事件與限制'!$Q$7:$Q$106,"生效中")&gt;0,"資格限制中",IF($F133&lt;&gt;"已核定","先完成基準核定",IF($K133&gt;0,"有關鍵遺漏，先檢討",IF($G133&lt;3,"尚缺成功觀察",IF($J133&lt;2,"觀察日期不足",IF($L133&lt;1,"待兩個月面談","可送主管核定")))))))</x:f>
        <x:v>先完成基準核定</x:v>
      </x:c>
      <x:c r="N133" s="116" t="str">
        <x:v>待核定</x:v>
      </x:c>
      <x:c r="O133" s="118"/>
      <x:c r="P133" s="116"/>
      <x:c r="Q133" s="116"/>
      <x:c r="R133" s="115" t="str">
        <x:f>IF($M133&lt;&gt;"可送主管核定","尚未具備條件",IF($N133="不升級","維持原評等",IF($N133="核定升級",IF(OR($O133="",$P133=""),"核定資料未完整","已核定升級"),"待主管核定")))</x:f>
        <x:v>尚未具備條件</x:v>
      </x:c>
    </x:row>
    <x:row r="134">
      <x:c r="A134" s="79" t="str">
        <x:v>UPG|1027|LJT-PREP-AIRPOLISH</x:v>
      </x:c>
      <x:c r="B134" s="79" t="str">
        <x:v>1027</x:v>
      </x:c>
      <x:c r="C134" s="79" t="str"/>
      <x:c r="D134" s="79" t="str">
        <x:v>LJT-PREP-AIRPOLISH</x:v>
      </x:c>
      <x:c r="E134" s="79" t="str">
        <x:v>※</x:v>
      </x:c>
      <x:c r="F134" s="115" t="str">
        <x:f>IF($E134="未評估","未建立",_xlfn.XLOOKUP("ABIL|1027|LJT-PREP-AIRPOLISH",'主管核定中心'!$A$12:$A$372,'主管核定中心'!$K$12:$K$372,"待主管核定",0))</x:f>
        <x:v>待主管核定</x:v>
      </x:c>
      <x:c r="G134" s="115" t="n">
        <x:f>COUNTIFS('工作觀察輸入'!$C$7:$C$206,$B134,'工作觀察輸入'!$G$7:$G$206,$D134,'工作觀察輸入'!$M$7:$M$206,"是")</x:f>
        <x:v>0</x:v>
      </x:c>
      <x:c r="H134" s="117" t="str">
        <x:f>IF($G134=0,"",_xlfn.MINIFS('工作觀察輸入'!$B$7:$B$206,'工作觀察輸入'!$C$7:$C$206,$B134,'工作觀察輸入'!$G$7:$G$206,$D134,'工作觀察輸入'!$M$7:$M$206,"是"))</x:f>
      </x:c>
      <x:c r="I134" s="117" t="str">
        <x:f>IF($G134=0,"",_xlfn.MAXIFS('工作觀察輸入'!$B$7:$B$206,'工作觀察輸入'!$C$7:$C$206,$B134,'工作觀察輸入'!$G$7:$G$206,$D134,'工作觀察輸入'!$M$7:$M$206,"是"))</x:f>
      </x:c>
      <x:c r="J134" s="115" t="n">
        <x:f>IF($G134=0,0,IF($H134=$I134,1,2))</x:f>
        <x:v>0</x:v>
      </x:c>
      <x:c r="K134" s="115" t="n">
        <x:f>COUNTIFS('工作觀察輸入'!$C$7:$C$206,$B134,'工作觀察輸入'!$G$7:$G$206,$D134,'工作觀察輸入'!$J$7:$J$206,"是")</x:f>
        <x:v>0</x:v>
      </x:c>
      <x:c r="L134" s="115" t="n">
        <x:f>COUNTIFS('面談與異議'!$C$7:$C$106,$B134,'面談與異議'!$F$7:$F$106,$D134,'面談與異議'!$E$7:$E$106,"兩個月面談")</x:f>
        <x:v>0</x:v>
      </x:c>
      <x:c r="M134" s="115" t="str">
        <x:f>IF($E134&lt;&gt;"Ø","不適用",IF(COUNTIFS('事件與限制'!$C$7:$C$106,$B134,'事件與限制'!$E$7:$E$106,$D134,'事件與限制'!$Q$7:$Q$106,"生效中")&gt;0,"資格限制中",IF($F134&lt;&gt;"已核定","先完成基準核定",IF($K134&gt;0,"有關鍵遺漏，先檢討",IF($G134&lt;3,"尚缺成功觀察",IF($J134&lt;2,"觀察日期不足",IF($L134&lt;1,"待兩個月面談","可送主管核定")))))))</x:f>
        <x:v>不適用</x:v>
      </x:c>
      <x:c r="N134" s="116" t="str">
        <x:v>待核定</x:v>
      </x:c>
      <x:c r="O134" s="118"/>
      <x:c r="P134" s="116"/>
      <x:c r="Q134" s="116"/>
      <x:c r="R134" s="115" t="str">
        <x:f>IF($M134&lt;&gt;"可送主管核定","尚未具備條件",IF($N134="不升級","維持原評等",IF($N134="核定升級",IF(OR($O134="",$P134=""),"核定資料未完整","已核定升級"),"待主管核定")))</x:f>
        <x:v>尚未具備條件</x:v>
      </x:c>
    </x:row>
    <x:row r="135">
      <x:c r="A135" s="79" t="str">
        <x:v>UPG|1027|LJT-PREP-PERIOSURG</x:v>
      </x:c>
      <x:c r="B135" s="79" t="str">
        <x:v>1027</x:v>
      </x:c>
      <x:c r="C135" s="79" t="str"/>
      <x:c r="D135" s="79" t="str">
        <x:v>LJT-PREP-PERIOSURG</x:v>
      </x:c>
      <x:c r="E135" s="79" t="str">
        <x:v>Ø</x:v>
      </x:c>
      <x:c r="F135" s="115" t="str">
        <x:f>IF($E135="未評估","未建立",_xlfn.XLOOKUP("ABIL|1027|LJT-PREP-PERIOSURG",'主管核定中心'!$A$12:$A$372,'主管核定中心'!$K$12:$K$372,"待主管核定",0))</x:f>
        <x:v>待主管核定</x:v>
      </x:c>
      <x:c r="G135" s="115" t="n">
        <x:f>COUNTIFS('工作觀察輸入'!$C$7:$C$206,$B135,'工作觀察輸入'!$G$7:$G$206,$D135,'工作觀察輸入'!$M$7:$M$206,"是")</x:f>
        <x:v>0</x:v>
      </x:c>
      <x:c r="H135" s="117" t="str">
        <x:f>IF($G135=0,"",_xlfn.MINIFS('工作觀察輸入'!$B$7:$B$206,'工作觀察輸入'!$C$7:$C$206,$B135,'工作觀察輸入'!$G$7:$G$206,$D135,'工作觀察輸入'!$M$7:$M$206,"是"))</x:f>
      </x:c>
      <x:c r="I135" s="117" t="str">
        <x:f>IF($G135=0,"",_xlfn.MAXIFS('工作觀察輸入'!$B$7:$B$206,'工作觀察輸入'!$C$7:$C$206,$B135,'工作觀察輸入'!$G$7:$G$206,$D135,'工作觀察輸入'!$M$7:$M$206,"是"))</x:f>
      </x:c>
      <x:c r="J135" s="115" t="n">
        <x:f>IF($G135=0,0,IF($H135=$I135,1,2))</x:f>
        <x:v>0</x:v>
      </x:c>
      <x:c r="K135" s="115" t="n">
        <x:f>COUNTIFS('工作觀察輸入'!$C$7:$C$206,$B135,'工作觀察輸入'!$G$7:$G$206,$D135,'工作觀察輸入'!$J$7:$J$206,"是")</x:f>
        <x:v>0</x:v>
      </x:c>
      <x:c r="L135" s="115" t="n">
        <x:f>COUNTIFS('面談與異議'!$C$7:$C$106,$B135,'面談與異議'!$F$7:$F$106,$D135,'面談與異議'!$E$7:$E$106,"兩個月面談")</x:f>
        <x:v>0</x:v>
      </x:c>
      <x:c r="M135" s="115" t="str">
        <x:f>IF($E135&lt;&gt;"Ø","不適用",IF(COUNTIFS('事件與限制'!$C$7:$C$106,$B135,'事件與限制'!$E$7:$E$106,$D135,'事件與限制'!$Q$7:$Q$106,"生效中")&gt;0,"資格限制中",IF($F135&lt;&gt;"已核定","先完成基準核定",IF($K135&gt;0,"有關鍵遺漏，先檢討",IF($G135&lt;3,"尚缺成功觀察",IF($J135&lt;2,"觀察日期不足",IF($L135&lt;1,"待兩個月面談","可送主管核定")))))))</x:f>
        <x:v>先完成基準核定</x:v>
      </x:c>
      <x:c r="N135" s="116" t="str">
        <x:v>待核定</x:v>
      </x:c>
      <x:c r="O135" s="118"/>
      <x:c r="P135" s="116"/>
      <x:c r="Q135" s="116"/>
      <x:c r="R135" s="115" t="str">
        <x:f>IF($M135&lt;&gt;"可送主管核定","尚未具備條件",IF($N135="不升級","維持原評等",IF($N135="核定升級",IF(OR($O135="",$P135=""),"核定資料未完整","已核定升級"),"待主管核定")))</x:f>
        <x:v>尚未具備條件</x:v>
      </x:c>
    </x:row>
    <x:row r="136">
      <x:c r="A136" s="79" t="str">
        <x:v>UPG|1027|LJT-PREP-MICROENDO</x:v>
      </x:c>
      <x:c r="B136" s="79" t="str">
        <x:v>1027</x:v>
      </x:c>
      <x:c r="C136" s="79" t="str"/>
      <x:c r="D136" s="79" t="str">
        <x:v>LJT-PREP-MICROENDO</x:v>
      </x:c>
      <x:c r="E136" s="79" t="str">
        <x:v>※</x:v>
      </x:c>
      <x:c r="F136" s="115" t="str">
        <x:f>IF($E136="未評估","未建立",_xlfn.XLOOKUP("ABIL|1027|LJT-PREP-MICROENDO",'主管核定中心'!$A$12:$A$372,'主管核定中心'!$K$12:$K$372,"待主管核定",0))</x:f>
        <x:v>待主管核定</x:v>
      </x:c>
      <x:c r="G136" s="115" t="n">
        <x:f>COUNTIFS('工作觀察輸入'!$C$7:$C$206,$B136,'工作觀察輸入'!$G$7:$G$206,$D136,'工作觀察輸入'!$M$7:$M$206,"是")</x:f>
        <x:v>0</x:v>
      </x:c>
      <x:c r="H136" s="117" t="str">
        <x:f>IF($G136=0,"",_xlfn.MINIFS('工作觀察輸入'!$B$7:$B$206,'工作觀察輸入'!$C$7:$C$206,$B136,'工作觀察輸入'!$G$7:$G$206,$D136,'工作觀察輸入'!$M$7:$M$206,"是"))</x:f>
      </x:c>
      <x:c r="I136" s="117" t="str">
        <x:f>IF($G136=0,"",_xlfn.MAXIFS('工作觀察輸入'!$B$7:$B$206,'工作觀察輸入'!$C$7:$C$206,$B136,'工作觀察輸入'!$G$7:$G$206,$D136,'工作觀察輸入'!$M$7:$M$206,"是"))</x:f>
      </x:c>
      <x:c r="J136" s="115" t="n">
        <x:f>IF($G136=0,0,IF($H136=$I136,1,2))</x:f>
        <x:v>0</x:v>
      </x:c>
      <x:c r="K136" s="115" t="n">
        <x:f>COUNTIFS('工作觀察輸入'!$C$7:$C$206,$B136,'工作觀察輸入'!$G$7:$G$206,$D136,'工作觀察輸入'!$J$7:$J$206,"是")</x:f>
        <x:v>0</x:v>
      </x:c>
      <x:c r="L136" s="115" t="n">
        <x:f>COUNTIFS('面談與異議'!$C$7:$C$106,$B136,'面談與異議'!$F$7:$F$106,$D136,'面談與異議'!$E$7:$E$106,"兩個月面談")</x:f>
        <x:v>0</x:v>
      </x:c>
      <x:c r="M136" s="115" t="str">
        <x:f>IF($E136&lt;&gt;"Ø","不適用",IF(COUNTIFS('事件與限制'!$C$7:$C$106,$B136,'事件與限制'!$E$7:$E$106,$D136,'事件與限制'!$Q$7:$Q$106,"生效中")&gt;0,"資格限制中",IF($F136&lt;&gt;"已核定","先完成基準核定",IF($K136&gt;0,"有關鍵遺漏，先檢討",IF($G136&lt;3,"尚缺成功觀察",IF($J136&lt;2,"觀察日期不足",IF($L136&lt;1,"待兩個月面談","可送主管核定")))))))</x:f>
        <x:v>不適用</x:v>
      </x:c>
      <x:c r="N136" s="116" t="str">
        <x:v>待核定</x:v>
      </x:c>
      <x:c r="O136" s="118"/>
      <x:c r="P136" s="116"/>
      <x:c r="Q136" s="116"/>
      <x:c r="R136" s="115" t="str">
        <x:f>IF($M136&lt;&gt;"可送主管核定","尚未具備條件",IF($N136="不升級","維持原評等",IF($N136="核定升級",IF(OR($O136="",$P136=""),"核定資料未完整","已核定升級"),"待主管核定")))</x:f>
        <x:v>尚未具備條件</x:v>
      </x:c>
    </x:row>
    <x:row r="137">
      <x:c r="A137" s="79" t="str">
        <x:v>UPG|1027|LJT-PREP-IMPLANT</x:v>
      </x:c>
      <x:c r="B137" s="79" t="str">
        <x:v>1027</x:v>
      </x:c>
      <x:c r="C137" s="79" t="str"/>
      <x:c r="D137" s="79" t="str">
        <x:v>LJT-PREP-IMPLANT</x:v>
      </x:c>
      <x:c r="E137" s="79" t="str">
        <x:v>Ø</x:v>
      </x:c>
      <x:c r="F137" s="115" t="str">
        <x:f>IF($E137="未評估","未建立",_xlfn.XLOOKUP("ABIL|1027|LJT-PREP-IMPLANT",'主管核定中心'!$A$12:$A$372,'主管核定中心'!$K$12:$K$372,"待主管核定",0))</x:f>
        <x:v>待主管核定</x:v>
      </x:c>
      <x:c r="G137" s="115" t="n">
        <x:f>COUNTIFS('工作觀察輸入'!$C$7:$C$206,$B137,'工作觀察輸入'!$G$7:$G$206,$D137,'工作觀察輸入'!$M$7:$M$206,"是")</x:f>
        <x:v>0</x:v>
      </x:c>
      <x:c r="H137" s="117" t="str">
        <x:f>IF($G137=0,"",_xlfn.MINIFS('工作觀察輸入'!$B$7:$B$206,'工作觀察輸入'!$C$7:$C$206,$B137,'工作觀察輸入'!$G$7:$G$206,$D137,'工作觀察輸入'!$M$7:$M$206,"是"))</x:f>
      </x:c>
      <x:c r="I137" s="117" t="str">
        <x:f>IF($G137=0,"",_xlfn.MAXIFS('工作觀察輸入'!$B$7:$B$206,'工作觀察輸入'!$C$7:$C$206,$B137,'工作觀察輸入'!$G$7:$G$206,$D137,'工作觀察輸入'!$M$7:$M$206,"是"))</x:f>
      </x:c>
      <x:c r="J137" s="115" t="n">
        <x:f>IF($G137=0,0,IF($H137=$I137,1,2))</x:f>
        <x:v>0</x:v>
      </x:c>
      <x:c r="K137" s="115" t="n">
        <x:f>COUNTIFS('工作觀察輸入'!$C$7:$C$206,$B137,'工作觀察輸入'!$G$7:$G$206,$D137,'工作觀察輸入'!$J$7:$J$206,"是")</x:f>
        <x:v>0</x:v>
      </x:c>
      <x:c r="L137" s="115" t="n">
        <x:f>COUNTIFS('面談與異議'!$C$7:$C$106,$B137,'面談與異議'!$F$7:$F$106,$D137,'面談與異議'!$E$7:$E$106,"兩個月面談")</x:f>
        <x:v>0</x:v>
      </x:c>
      <x:c r="M137" s="115" t="str">
        <x:f>IF($E137&lt;&gt;"Ø","不適用",IF(COUNTIFS('事件與限制'!$C$7:$C$106,$B137,'事件與限制'!$E$7:$E$106,$D137,'事件與限制'!$Q$7:$Q$106,"生效中")&gt;0,"資格限制中",IF($F137&lt;&gt;"已核定","先完成基準核定",IF($K137&gt;0,"有關鍵遺漏，先檢討",IF($G137&lt;3,"尚缺成功觀察",IF($J137&lt;2,"觀察日期不足",IF($L137&lt;1,"待兩個月面談","可送主管核定")))))))</x:f>
        <x:v>先完成基準核定</x:v>
      </x:c>
      <x:c r="N137" s="116" t="str">
        <x:v>待核定</x:v>
      </x:c>
      <x:c r="O137" s="118"/>
      <x:c r="P137" s="116"/>
      <x:c r="Q137" s="116"/>
      <x:c r="R137" s="115" t="str">
        <x:f>IF($M137&lt;&gt;"可送主管核定","尚未具備條件",IF($N137="不升級","維持原評等",IF($N137="核定升級",IF(OR($O137="",$P137=""),"核定資料未完整","已核定升級"),"待主管核定")))</x:f>
        <x:v>尚未具備條件</x:v>
      </x:c>
    </x:row>
    <x:row r="138">
      <x:c r="A138" s="79" t="str">
        <x:v>UPG|1027|COMMON-RECORD</x:v>
      </x:c>
      <x:c r="B138" s="79" t="str">
        <x:v>1027</x:v>
      </x:c>
      <x:c r="C138" s="79" t="str"/>
      <x:c r="D138" s="79" t="str">
        <x:v>COMMON-RECORD</x:v>
      </x:c>
      <x:c r="E138" s="79" t="str">
        <x:v>◎</x:v>
      </x:c>
      <x:c r="F138" s="115" t="str">
        <x:f>IF($E138="未評估","未建立",_xlfn.XLOOKUP("ABIL|1027|COMMON-RECORD",'主管核定中心'!$A$12:$A$372,'主管核定中心'!$K$12:$K$372,"待主管核定",0))</x:f>
        <x:v>待主管核定</x:v>
      </x:c>
      <x:c r="G138" s="115" t="n">
        <x:f>COUNTIFS('工作觀察輸入'!$C$7:$C$206,$B138,'工作觀察輸入'!$G$7:$G$206,$D138,'工作觀察輸入'!$M$7:$M$206,"是")</x:f>
        <x:v>0</x:v>
      </x:c>
      <x:c r="H138" s="117" t="str">
        <x:f>IF($G138=0,"",_xlfn.MINIFS('工作觀察輸入'!$B$7:$B$206,'工作觀察輸入'!$C$7:$C$206,$B138,'工作觀察輸入'!$G$7:$G$206,$D138,'工作觀察輸入'!$M$7:$M$206,"是"))</x:f>
      </x:c>
      <x:c r="I138" s="117" t="str">
        <x:f>IF($G138=0,"",_xlfn.MAXIFS('工作觀察輸入'!$B$7:$B$206,'工作觀察輸入'!$C$7:$C$206,$B138,'工作觀察輸入'!$G$7:$G$206,$D138,'工作觀察輸入'!$M$7:$M$206,"是"))</x:f>
      </x:c>
      <x:c r="J138" s="115" t="n">
        <x:f>IF($G138=0,0,IF($H138=$I138,1,2))</x:f>
        <x:v>0</x:v>
      </x:c>
      <x:c r="K138" s="115" t="n">
        <x:f>COUNTIFS('工作觀察輸入'!$C$7:$C$206,$B138,'工作觀察輸入'!$G$7:$G$206,$D138,'工作觀察輸入'!$J$7:$J$206,"是")</x:f>
        <x:v>0</x:v>
      </x:c>
      <x:c r="L138" s="115" t="n">
        <x:f>COUNTIFS('面談與異議'!$C$7:$C$106,$B138,'面談與異議'!$F$7:$F$106,$D138,'面談與異議'!$E$7:$E$106,"兩個月面談")</x:f>
        <x:v>0</x:v>
      </x:c>
      <x:c r="M138" s="115" t="str">
        <x:f>IF($E138&lt;&gt;"Ø","不適用",IF(COUNTIFS('事件與限制'!$C$7:$C$106,$B138,'事件與限制'!$E$7:$E$106,$D138,'事件與限制'!$Q$7:$Q$106,"生效中")&gt;0,"資格限制中",IF($F138&lt;&gt;"已核定","先完成基準核定",IF($K138&gt;0,"有關鍵遺漏，先檢討",IF($G138&lt;3,"尚缺成功觀察",IF($J138&lt;2,"觀察日期不足",IF($L138&lt;1,"待兩個月面談","可送主管核定")))))))</x:f>
        <x:v>不適用</x:v>
      </x:c>
      <x:c r="N138" s="116" t="str">
        <x:v>待核定</x:v>
      </x:c>
      <x:c r="O138" s="118"/>
      <x:c r="P138" s="116"/>
      <x:c r="Q138" s="116"/>
      <x:c r="R138" s="115" t="str">
        <x:f>IF($M138&lt;&gt;"可送主管核定","尚未具備條件",IF($N138="不升級","維持原評等",IF($N138="核定升級",IF(OR($O138="",$P138=""),"核定資料未完整","已核定升級"),"待主管核定")))</x:f>
        <x:v>尚未具備條件</x:v>
      </x:c>
    </x:row>
    <x:row r="139">
      <x:c r="A139" s="79" t="str">
        <x:v>UPG|1027|COMMON-INSURANCE</x:v>
      </x:c>
      <x:c r="B139" s="79" t="str">
        <x:v>1027</x:v>
      </x:c>
      <x:c r="C139" s="79" t="str"/>
      <x:c r="D139" s="79" t="str">
        <x:v>COMMON-INSURANCE</x:v>
      </x:c>
      <x:c r="E139" s="79" t="str">
        <x:v>Ø</x:v>
      </x:c>
      <x:c r="F139" s="115" t="str">
        <x:f>IF($E139="未評估","未建立",_xlfn.XLOOKUP("ABIL|1027|COMMON-INSURANCE",'主管核定中心'!$A$12:$A$372,'主管核定中心'!$K$12:$K$372,"待主管核定",0))</x:f>
        <x:v>待主管核定</x:v>
      </x:c>
      <x:c r="G139" s="115" t="n">
        <x:f>COUNTIFS('工作觀察輸入'!$C$7:$C$206,$B139,'工作觀察輸入'!$G$7:$G$206,$D139,'工作觀察輸入'!$M$7:$M$206,"是")</x:f>
        <x:v>0</x:v>
      </x:c>
      <x:c r="H139" s="117" t="str">
        <x:f>IF($G139=0,"",_xlfn.MINIFS('工作觀察輸入'!$B$7:$B$206,'工作觀察輸入'!$C$7:$C$206,$B139,'工作觀察輸入'!$G$7:$G$206,$D139,'工作觀察輸入'!$M$7:$M$206,"是"))</x:f>
      </x:c>
      <x:c r="I139" s="117" t="str">
        <x:f>IF($G139=0,"",_xlfn.MAXIFS('工作觀察輸入'!$B$7:$B$206,'工作觀察輸入'!$C$7:$C$206,$B139,'工作觀察輸入'!$G$7:$G$206,$D139,'工作觀察輸入'!$M$7:$M$206,"是"))</x:f>
      </x:c>
      <x:c r="J139" s="115" t="n">
        <x:f>IF($G139=0,0,IF($H139=$I139,1,2))</x:f>
        <x:v>0</x:v>
      </x:c>
      <x:c r="K139" s="115" t="n">
        <x:f>COUNTIFS('工作觀察輸入'!$C$7:$C$206,$B139,'工作觀察輸入'!$G$7:$G$206,$D139,'工作觀察輸入'!$J$7:$J$206,"是")</x:f>
        <x:v>0</x:v>
      </x:c>
      <x:c r="L139" s="115" t="n">
        <x:f>COUNTIFS('面談與異議'!$C$7:$C$106,$B139,'面談與異議'!$F$7:$F$106,$D139,'面談與異議'!$E$7:$E$106,"兩個月面談")</x:f>
        <x:v>0</x:v>
      </x:c>
      <x:c r="M139" s="115" t="str">
        <x:f>IF($E139&lt;&gt;"Ø","不適用",IF(COUNTIFS('事件與限制'!$C$7:$C$106,$B139,'事件與限制'!$E$7:$E$106,$D139,'事件與限制'!$Q$7:$Q$106,"生效中")&gt;0,"資格限制中",IF($F139&lt;&gt;"已核定","先完成基準核定",IF($K139&gt;0,"有關鍵遺漏，先檢討",IF($G139&lt;3,"尚缺成功觀察",IF($J139&lt;2,"觀察日期不足",IF($L139&lt;1,"待兩個月面談","可送主管核定")))))))</x:f>
        <x:v>先完成基準核定</x:v>
      </x:c>
      <x:c r="N139" s="116" t="str">
        <x:v>待核定</x:v>
      </x:c>
      <x:c r="O139" s="118"/>
      <x:c r="P139" s="116"/>
      <x:c r="Q139" s="116"/>
      <x:c r="R139" s="115" t="str">
        <x:f>IF($M139&lt;&gt;"可送主管核定","尚未具備條件",IF($N139="不升級","維持原評等",IF($N139="核定升級",IF(OR($O139="",$P139=""),"核定資料未完整","已核定升級"),"待主管核定")))</x:f>
        <x:v>尚未具備條件</x:v>
      </x:c>
    </x:row>
    <x:row r="140">
      <x:c r="A140" s="79" t="str">
        <x:v>UPG|1027|COMMON-XRAY-RECORD</x:v>
      </x:c>
      <x:c r="B140" s="79" t="str">
        <x:v>1027</x:v>
      </x:c>
      <x:c r="C140" s="79" t="str"/>
      <x:c r="D140" s="79" t="str">
        <x:v>COMMON-XRAY-RECORD</x:v>
      </x:c>
      <x:c r="E140" s="79" t="str">
        <x:v>◎</x:v>
      </x:c>
      <x:c r="F140" s="115" t="str">
        <x:f>IF($E140="未評估","未建立",_xlfn.XLOOKUP("ABIL|1027|COMMON-XRAY-RECORD",'主管核定中心'!$A$12:$A$372,'主管核定中心'!$K$12:$K$372,"待主管核定",0))</x:f>
        <x:v>待主管核定</x:v>
      </x:c>
      <x:c r="G140" s="115" t="n">
        <x:f>COUNTIFS('工作觀察輸入'!$C$7:$C$206,$B140,'工作觀察輸入'!$G$7:$G$206,$D140,'工作觀察輸入'!$M$7:$M$206,"是")</x:f>
        <x:v>0</x:v>
      </x:c>
      <x:c r="H140" s="117" t="str">
        <x:f>IF($G140=0,"",_xlfn.MINIFS('工作觀察輸入'!$B$7:$B$206,'工作觀察輸入'!$C$7:$C$206,$B140,'工作觀察輸入'!$G$7:$G$206,$D140,'工作觀察輸入'!$M$7:$M$206,"是"))</x:f>
      </x:c>
      <x:c r="I140" s="117" t="str">
        <x:f>IF($G140=0,"",_xlfn.MAXIFS('工作觀察輸入'!$B$7:$B$206,'工作觀察輸入'!$C$7:$C$206,$B140,'工作觀察輸入'!$G$7:$G$206,$D140,'工作觀察輸入'!$M$7:$M$206,"是"))</x:f>
      </x:c>
      <x:c r="J140" s="115" t="n">
        <x:f>IF($G140=0,0,IF($H140=$I140,1,2))</x:f>
        <x:v>0</x:v>
      </x:c>
      <x:c r="K140" s="115" t="n">
        <x:f>COUNTIFS('工作觀察輸入'!$C$7:$C$206,$B140,'工作觀察輸入'!$G$7:$G$206,$D140,'工作觀察輸入'!$J$7:$J$206,"是")</x:f>
        <x:v>0</x:v>
      </x:c>
      <x:c r="L140" s="115" t="n">
        <x:f>COUNTIFS('面談與異議'!$C$7:$C$106,$B140,'面談與異議'!$F$7:$F$106,$D140,'面談與異議'!$E$7:$E$106,"兩個月面談")</x:f>
        <x:v>0</x:v>
      </x:c>
      <x:c r="M140" s="115" t="str">
        <x:f>IF($E140&lt;&gt;"Ø","不適用",IF(COUNTIFS('事件與限制'!$C$7:$C$106,$B140,'事件與限制'!$E$7:$E$106,$D140,'事件與限制'!$Q$7:$Q$106,"生效中")&gt;0,"資格限制中",IF($F140&lt;&gt;"已核定","先完成基準核定",IF($K140&gt;0,"有關鍵遺漏，先檢討",IF($G140&lt;3,"尚缺成功觀察",IF($J140&lt;2,"觀察日期不足",IF($L140&lt;1,"待兩個月面談","可送主管核定")))))))</x:f>
        <x:v>不適用</x:v>
      </x:c>
      <x:c r="N140" s="116" t="str">
        <x:v>待核定</x:v>
      </x:c>
      <x:c r="O140" s="118"/>
      <x:c r="P140" s="116"/>
      <x:c r="Q140" s="116"/>
      <x:c r="R140" s="115" t="str">
        <x:f>IF($M140&lt;&gt;"可送主管核定","尚未具備條件",IF($N140="不升級","維持原評等",IF($N140="核定升級",IF(OR($O140="",$P140=""),"核定資料未完整","已核定升級"),"待主管核定")))</x:f>
        <x:v>尚未具備條件</x:v>
      </x:c>
    </x:row>
    <x:row r="141">
      <x:c r="A141" s="79" t="str">
        <x:v>UPG|1027|COMMON-PA</x:v>
      </x:c>
      <x:c r="B141" s="79" t="str">
        <x:v>1027</x:v>
      </x:c>
      <x:c r="C141" s="79" t="str"/>
      <x:c r="D141" s="79" t="str">
        <x:v>COMMON-PA</x:v>
      </x:c>
      <x:c r="E141" s="79" t="str">
        <x:v>◎</x:v>
      </x:c>
      <x:c r="F141" s="115" t="str">
        <x:f>IF($E141="未評估","未建立",_xlfn.XLOOKUP("ABIL|1027|COMMON-PA",'主管核定中心'!$A$12:$A$372,'主管核定中心'!$K$12:$K$372,"待主管核定",0))</x:f>
        <x:v>待主管核定</x:v>
      </x:c>
      <x:c r="G141" s="115" t="n">
        <x:f>COUNTIFS('工作觀察輸入'!$C$7:$C$206,$B141,'工作觀察輸入'!$G$7:$G$206,$D141,'工作觀察輸入'!$M$7:$M$206,"是")</x:f>
        <x:v>0</x:v>
      </x:c>
      <x:c r="H141" s="117" t="str">
        <x:f>IF($G141=0,"",_xlfn.MINIFS('工作觀察輸入'!$B$7:$B$206,'工作觀察輸入'!$C$7:$C$206,$B141,'工作觀察輸入'!$G$7:$G$206,$D141,'工作觀察輸入'!$M$7:$M$206,"是"))</x:f>
      </x:c>
      <x:c r="I141" s="117" t="str">
        <x:f>IF($G141=0,"",_xlfn.MAXIFS('工作觀察輸入'!$B$7:$B$206,'工作觀察輸入'!$C$7:$C$206,$B141,'工作觀察輸入'!$G$7:$G$206,$D141,'工作觀察輸入'!$M$7:$M$206,"是"))</x:f>
      </x:c>
      <x:c r="J141" s="115" t="n">
        <x:f>IF($G141=0,0,IF($H141=$I141,1,2))</x:f>
        <x:v>0</x:v>
      </x:c>
      <x:c r="K141" s="115" t="n">
        <x:f>COUNTIFS('工作觀察輸入'!$C$7:$C$206,$B141,'工作觀察輸入'!$G$7:$G$206,$D141,'工作觀察輸入'!$J$7:$J$206,"是")</x:f>
        <x:v>0</x:v>
      </x:c>
      <x:c r="L141" s="115" t="n">
        <x:f>COUNTIFS('面談與異議'!$C$7:$C$106,$B141,'面談與異議'!$F$7:$F$106,$D141,'面談與異議'!$E$7:$E$106,"兩個月面談")</x:f>
        <x:v>0</x:v>
      </x:c>
      <x:c r="M141" s="115" t="str">
        <x:f>IF($E141&lt;&gt;"Ø","不適用",IF(COUNTIFS('事件與限制'!$C$7:$C$106,$B141,'事件與限制'!$E$7:$E$106,$D141,'事件與限制'!$Q$7:$Q$106,"生效中")&gt;0,"資格限制中",IF($F141&lt;&gt;"已核定","先完成基準核定",IF($K141&gt;0,"有關鍵遺漏，先檢討",IF($G141&lt;3,"尚缺成功觀察",IF($J141&lt;2,"觀察日期不足",IF($L141&lt;1,"待兩個月面談","可送主管核定")))))))</x:f>
        <x:v>不適用</x:v>
      </x:c>
      <x:c r="N141" s="116" t="str">
        <x:v>待核定</x:v>
      </x:c>
      <x:c r="O141" s="118"/>
      <x:c r="P141" s="116"/>
      <x:c r="Q141" s="116"/>
      <x:c r="R141" s="115" t="str">
        <x:f>IF($M141&lt;&gt;"可送主管核定","尚未具備條件",IF($N141="不升級","維持原評等",IF($N141="核定升級",IF(OR($O141="",$P141=""),"核定資料未完整","已核定升級"),"待主管核定")))</x:f>
        <x:v>尚未具備條件</x:v>
      </x:c>
    </x:row>
    <x:row r="142">
      <x:c r="A142" s="79" t="str">
        <x:v>UPG|1027|COMMON-IOS</x:v>
      </x:c>
      <x:c r="B142" s="79" t="str">
        <x:v>1027</x:v>
      </x:c>
      <x:c r="C142" s="79" t="str"/>
      <x:c r="D142" s="79" t="str">
        <x:v>COMMON-IOS</x:v>
      </x:c>
      <x:c r="E142" s="79" t="str">
        <x:v>◎</x:v>
      </x:c>
      <x:c r="F142" s="115" t="str">
        <x:f>IF($E142="未評估","未建立",_xlfn.XLOOKUP("ABIL|1027|COMMON-IOS",'主管核定中心'!$A$12:$A$372,'主管核定中心'!$K$12:$K$372,"待主管核定",0))</x:f>
        <x:v>待主管核定</x:v>
      </x:c>
      <x:c r="G142" s="115" t="n">
        <x:f>COUNTIFS('工作觀察輸入'!$C$7:$C$206,$B142,'工作觀察輸入'!$G$7:$G$206,$D142,'工作觀察輸入'!$M$7:$M$206,"是")</x:f>
        <x:v>0</x:v>
      </x:c>
      <x:c r="H142" s="117" t="str">
        <x:f>IF($G142=0,"",_xlfn.MINIFS('工作觀察輸入'!$B$7:$B$206,'工作觀察輸入'!$C$7:$C$206,$B142,'工作觀察輸入'!$G$7:$G$206,$D142,'工作觀察輸入'!$M$7:$M$206,"是"))</x:f>
      </x:c>
      <x:c r="I142" s="117" t="str">
        <x:f>IF($G142=0,"",_xlfn.MAXIFS('工作觀察輸入'!$B$7:$B$206,'工作觀察輸入'!$C$7:$C$206,$B142,'工作觀察輸入'!$G$7:$G$206,$D142,'工作觀察輸入'!$M$7:$M$206,"是"))</x:f>
      </x:c>
      <x:c r="J142" s="115" t="n">
        <x:f>IF($G142=0,0,IF($H142=$I142,1,2))</x:f>
        <x:v>0</x:v>
      </x:c>
      <x:c r="K142" s="115" t="n">
        <x:f>COUNTIFS('工作觀察輸入'!$C$7:$C$206,$B142,'工作觀察輸入'!$G$7:$G$206,$D142,'工作觀察輸入'!$J$7:$J$206,"是")</x:f>
        <x:v>0</x:v>
      </x:c>
      <x:c r="L142" s="115" t="n">
        <x:f>COUNTIFS('面談與異議'!$C$7:$C$106,$B142,'面談與異議'!$F$7:$F$106,$D142,'面談與異議'!$E$7:$E$106,"兩個月面談")</x:f>
        <x:v>0</x:v>
      </x:c>
      <x:c r="M142" s="115" t="str">
        <x:f>IF($E142&lt;&gt;"Ø","不適用",IF(COUNTIFS('事件與限制'!$C$7:$C$106,$B142,'事件與限制'!$E$7:$E$106,$D142,'事件與限制'!$Q$7:$Q$106,"生效中")&gt;0,"資格限制中",IF($F142&lt;&gt;"已核定","先完成基準核定",IF($K142&gt;0,"有關鍵遺漏，先檢討",IF($G142&lt;3,"尚缺成功觀察",IF($J142&lt;2,"觀察日期不足",IF($L142&lt;1,"待兩個月面談","可送主管核定")))))))</x:f>
        <x:v>不適用</x:v>
      </x:c>
      <x:c r="N142" s="116" t="str">
        <x:v>待核定</x:v>
      </x:c>
      <x:c r="O142" s="118"/>
      <x:c r="P142" s="116"/>
      <x:c r="Q142" s="116"/>
      <x:c r="R142" s="115" t="str">
        <x:f>IF($M142&lt;&gt;"可送主管核定","尚未具備條件",IF($N142="不升級","維持原評等",IF($N142="核定升級",IF(OR($O142="",$P142=""),"核定資料未完整","已核定升級"),"待主管核定")))</x:f>
        <x:v>尚未具備條件</x:v>
      </x:c>
    </x:row>
    <x:row r="143">
      <x:c r="A143" s="79" t="str">
        <x:v>UPG|1028|LJT-PREP-SCALING</x:v>
      </x:c>
      <x:c r="B143" s="79" t="str">
        <x:v>1028</x:v>
      </x:c>
      <x:c r="C143" s="79" t="str"/>
      <x:c r="D143" s="79" t="str">
        <x:v>LJT-PREP-SCALING</x:v>
      </x:c>
      <x:c r="E143" s="79" t="str">
        <x:v>※</x:v>
      </x:c>
      <x:c r="F143" s="115" t="str">
        <x:f>IF($E143="未評估","未建立",_xlfn.XLOOKUP("ABIL|1028|LJT-PREP-SCALING",'主管核定中心'!$A$12:$A$372,'主管核定中心'!$K$12:$K$372,"待主管核定",0))</x:f>
        <x:v>待主管核定</x:v>
      </x:c>
      <x:c r="G143" s="115" t="n">
        <x:f>COUNTIFS('工作觀察輸入'!$C$7:$C$206,$B143,'工作觀察輸入'!$G$7:$G$206,$D143,'工作觀察輸入'!$M$7:$M$206,"是")</x:f>
        <x:v>0</x:v>
      </x:c>
      <x:c r="H143" s="117" t="str">
        <x:f>IF($G143=0,"",_xlfn.MINIFS('工作觀察輸入'!$B$7:$B$206,'工作觀察輸入'!$C$7:$C$206,$B143,'工作觀察輸入'!$G$7:$G$206,$D143,'工作觀察輸入'!$M$7:$M$206,"是"))</x:f>
      </x:c>
      <x:c r="I143" s="117" t="str">
        <x:f>IF($G143=0,"",_xlfn.MAXIFS('工作觀察輸入'!$B$7:$B$206,'工作觀察輸入'!$C$7:$C$206,$B143,'工作觀察輸入'!$G$7:$G$206,$D143,'工作觀察輸入'!$M$7:$M$206,"是"))</x:f>
      </x:c>
      <x:c r="J143" s="115" t="n">
        <x:f>IF($G143=0,0,IF($H143=$I143,1,2))</x:f>
        <x:v>0</x:v>
      </x:c>
      <x:c r="K143" s="115" t="n">
        <x:f>COUNTIFS('工作觀察輸入'!$C$7:$C$206,$B143,'工作觀察輸入'!$G$7:$G$206,$D143,'工作觀察輸入'!$J$7:$J$206,"是")</x:f>
        <x:v>0</x:v>
      </x:c>
      <x:c r="L143" s="115" t="n">
        <x:f>COUNTIFS('面談與異議'!$C$7:$C$106,$B143,'面談與異議'!$F$7:$F$106,$D143,'面談與異議'!$E$7:$E$106,"兩個月面談")</x:f>
        <x:v>0</x:v>
      </x:c>
      <x:c r="M143" s="115" t="str">
        <x:f>IF($E143&lt;&gt;"Ø","不適用",IF(COUNTIFS('事件與限制'!$C$7:$C$106,$B143,'事件與限制'!$E$7:$E$106,$D143,'事件與限制'!$Q$7:$Q$106,"生效中")&gt;0,"資格限制中",IF($F143&lt;&gt;"已核定","先完成基準核定",IF($K143&gt;0,"有關鍵遺漏，先檢討",IF($G143&lt;3,"尚缺成功觀察",IF($J143&lt;2,"觀察日期不足",IF($L143&lt;1,"待兩個月面談","可送主管核定")))))))</x:f>
        <x:v>不適用</x:v>
      </x:c>
      <x:c r="N143" s="116" t="str">
        <x:v>待核定</x:v>
      </x:c>
      <x:c r="O143" s="118"/>
      <x:c r="P143" s="116"/>
      <x:c r="Q143" s="116"/>
      <x:c r="R143" s="115" t="str">
        <x:f>IF($M143&lt;&gt;"可送主管核定","尚未具備條件",IF($N143="不升級","維持原評等",IF($N143="核定升級",IF(OR($O143="",$P143=""),"核定資料未完整","已核定升級"),"待主管核定")))</x:f>
        <x:v>尚未具備條件</x:v>
      </x:c>
    </x:row>
    <x:row r="144">
      <x:c r="A144" s="79" t="str">
        <x:v>UPG|1028|LJT-PREP-FILLING</x:v>
      </x:c>
      <x:c r="B144" s="79" t="str">
        <x:v>1028</x:v>
      </x:c>
      <x:c r="C144" s="79" t="str"/>
      <x:c r="D144" s="79" t="str">
        <x:v>LJT-PREP-FILLING</x:v>
      </x:c>
      <x:c r="E144" s="79" t="str">
        <x:v>※</x:v>
      </x:c>
      <x:c r="F144" s="115" t="str">
        <x:f>IF($E144="未評估","未建立",_xlfn.XLOOKUP("ABIL|1028|LJT-PREP-FILLING",'主管核定中心'!$A$12:$A$372,'主管核定中心'!$K$12:$K$372,"待主管核定",0))</x:f>
        <x:v>待主管核定</x:v>
      </x:c>
      <x:c r="G144" s="115" t="n">
        <x:f>COUNTIFS('工作觀察輸入'!$C$7:$C$206,$B144,'工作觀察輸入'!$G$7:$G$206,$D144,'工作觀察輸入'!$M$7:$M$206,"是")</x:f>
        <x:v>0</x:v>
      </x:c>
      <x:c r="H144" s="117" t="str">
        <x:f>IF($G144=0,"",_xlfn.MINIFS('工作觀察輸入'!$B$7:$B$206,'工作觀察輸入'!$C$7:$C$206,$B144,'工作觀察輸入'!$G$7:$G$206,$D144,'工作觀察輸入'!$M$7:$M$206,"是"))</x:f>
      </x:c>
      <x:c r="I144" s="117" t="str">
        <x:f>IF($G144=0,"",_xlfn.MAXIFS('工作觀察輸入'!$B$7:$B$206,'工作觀察輸入'!$C$7:$C$206,$B144,'工作觀察輸入'!$G$7:$G$206,$D144,'工作觀察輸入'!$M$7:$M$206,"是"))</x:f>
      </x:c>
      <x:c r="J144" s="115" t="n">
        <x:f>IF($G144=0,0,IF($H144=$I144,1,2))</x:f>
        <x:v>0</x:v>
      </x:c>
      <x:c r="K144" s="115" t="n">
        <x:f>COUNTIFS('工作觀察輸入'!$C$7:$C$206,$B144,'工作觀察輸入'!$G$7:$G$206,$D144,'工作觀察輸入'!$J$7:$J$206,"是")</x:f>
        <x:v>0</x:v>
      </x:c>
      <x:c r="L144" s="115" t="n">
        <x:f>COUNTIFS('面談與異議'!$C$7:$C$106,$B144,'面談與異議'!$F$7:$F$106,$D144,'面談與異議'!$E$7:$E$106,"兩個月面談")</x:f>
        <x:v>0</x:v>
      </x:c>
      <x:c r="M144" s="115" t="str">
        <x:f>IF($E144&lt;&gt;"Ø","不適用",IF(COUNTIFS('事件與限制'!$C$7:$C$106,$B144,'事件與限制'!$E$7:$E$106,$D144,'事件與限制'!$Q$7:$Q$106,"生效中")&gt;0,"資格限制中",IF($F144&lt;&gt;"已核定","先完成基準核定",IF($K144&gt;0,"有關鍵遺漏，先檢討",IF($G144&lt;3,"尚缺成功觀察",IF($J144&lt;2,"觀察日期不足",IF($L144&lt;1,"待兩個月面談","可送主管核定")))))))</x:f>
        <x:v>不適用</x:v>
      </x:c>
      <x:c r="N144" s="116" t="str">
        <x:v>待核定</x:v>
      </x:c>
      <x:c r="O144" s="118"/>
      <x:c r="P144" s="116"/>
      <x:c r="Q144" s="116"/>
      <x:c r="R144" s="115" t="str">
        <x:f>IF($M144&lt;&gt;"可送主管核定","尚未具備條件",IF($N144="不升級","維持原評等",IF($N144="核定升級",IF(OR($O144="",$P144=""),"核定資料未完整","已核定升級"),"待主管核定")))</x:f>
        <x:v>尚未具備條件</x:v>
      </x:c>
    </x:row>
    <x:row r="145">
      <x:c r="A145" s="79" t="str">
        <x:v>UPG|1028|LJT-PREP-PERIO</x:v>
      </x:c>
      <x:c r="B145" s="79" t="str">
        <x:v>1028</x:v>
      </x:c>
      <x:c r="C145" s="79" t="str"/>
      <x:c r="D145" s="79" t="str">
        <x:v>LJT-PREP-PERIO</x:v>
      </x:c>
      <x:c r="E145" s="79" t="str">
        <x:v>※</x:v>
      </x:c>
      <x:c r="F145" s="115" t="str">
        <x:f>IF($E145="未評估","未建立",_xlfn.XLOOKUP("ABIL|1028|LJT-PREP-PERIO",'主管核定中心'!$A$12:$A$372,'主管核定中心'!$K$12:$K$372,"待主管核定",0))</x:f>
        <x:v>待主管核定</x:v>
      </x:c>
      <x:c r="G145" s="115" t="n">
        <x:f>COUNTIFS('工作觀察輸入'!$C$7:$C$206,$B145,'工作觀察輸入'!$G$7:$G$206,$D145,'工作觀察輸入'!$M$7:$M$206,"是")</x:f>
        <x:v>0</x:v>
      </x:c>
      <x:c r="H145" s="117" t="str">
        <x:f>IF($G145=0,"",_xlfn.MINIFS('工作觀察輸入'!$B$7:$B$206,'工作觀察輸入'!$C$7:$C$206,$B145,'工作觀察輸入'!$G$7:$G$206,$D145,'工作觀察輸入'!$M$7:$M$206,"是"))</x:f>
      </x:c>
      <x:c r="I145" s="117" t="str">
        <x:f>IF($G145=0,"",_xlfn.MAXIFS('工作觀察輸入'!$B$7:$B$206,'工作觀察輸入'!$C$7:$C$206,$B145,'工作觀察輸入'!$G$7:$G$206,$D145,'工作觀察輸入'!$M$7:$M$206,"是"))</x:f>
      </x:c>
      <x:c r="J145" s="115" t="n">
        <x:f>IF($G145=0,0,IF($H145=$I145,1,2))</x:f>
        <x:v>0</x:v>
      </x:c>
      <x:c r="K145" s="115" t="n">
        <x:f>COUNTIFS('工作觀察輸入'!$C$7:$C$206,$B145,'工作觀察輸入'!$G$7:$G$206,$D145,'工作觀察輸入'!$J$7:$J$206,"是")</x:f>
        <x:v>0</x:v>
      </x:c>
      <x:c r="L145" s="115" t="n">
        <x:f>COUNTIFS('面談與異議'!$C$7:$C$106,$B145,'面談與異議'!$F$7:$F$106,$D145,'面談與異議'!$E$7:$E$106,"兩個月面談")</x:f>
        <x:v>0</x:v>
      </x:c>
      <x:c r="M145" s="115" t="str">
        <x:f>IF($E145&lt;&gt;"Ø","不適用",IF(COUNTIFS('事件與限制'!$C$7:$C$106,$B145,'事件與限制'!$E$7:$E$106,$D145,'事件與限制'!$Q$7:$Q$106,"生效中")&gt;0,"資格限制中",IF($F145&lt;&gt;"已核定","先完成基準核定",IF($K145&gt;0,"有關鍵遺漏，先檢討",IF($G145&lt;3,"尚缺成功觀察",IF($J145&lt;2,"觀察日期不足",IF($L145&lt;1,"待兩個月面談","可送主管核定")))))))</x:f>
        <x:v>不適用</x:v>
      </x:c>
      <x:c r="N145" s="116" t="str">
        <x:v>待核定</x:v>
      </x:c>
      <x:c r="O145" s="118"/>
      <x:c r="P145" s="116"/>
      <x:c r="Q145" s="116"/>
      <x:c r="R145" s="115" t="str">
        <x:f>IF($M145&lt;&gt;"可送主管核定","尚未具備條件",IF($N145="不升級","維持原評等",IF($N145="核定升級",IF(OR($O145="",$P145=""),"核定資料未完整","已核定升級"),"待主管核定")))</x:f>
        <x:v>尚未具備條件</x:v>
      </x:c>
    </x:row>
    <x:row r="146">
      <x:c r="A146" s="79" t="str">
        <x:v>UPG|1028|LJT-PREP-RCT</x:v>
      </x:c>
      <x:c r="B146" s="79" t="str">
        <x:v>1028</x:v>
      </x:c>
      <x:c r="C146" s="79" t="str"/>
      <x:c r="D146" s="79" t="str">
        <x:v>LJT-PREP-RCT</x:v>
      </x:c>
      <x:c r="E146" s="79" t="str">
        <x:v>※</x:v>
      </x:c>
      <x:c r="F146" s="115" t="str">
        <x:f>IF($E146="未評估","未建立",_xlfn.XLOOKUP("ABIL|1028|LJT-PREP-RCT",'主管核定中心'!$A$12:$A$372,'主管核定中心'!$K$12:$K$372,"待主管核定",0))</x:f>
        <x:v>待主管核定</x:v>
      </x:c>
      <x:c r="G146" s="115" t="n">
        <x:f>COUNTIFS('工作觀察輸入'!$C$7:$C$206,$B146,'工作觀察輸入'!$G$7:$G$206,$D146,'工作觀察輸入'!$M$7:$M$206,"是")</x:f>
        <x:v>0</x:v>
      </x:c>
      <x:c r="H146" s="117" t="str">
        <x:f>IF($G146=0,"",_xlfn.MINIFS('工作觀察輸入'!$B$7:$B$206,'工作觀察輸入'!$C$7:$C$206,$B146,'工作觀察輸入'!$G$7:$G$206,$D146,'工作觀察輸入'!$M$7:$M$206,"是"))</x:f>
      </x:c>
      <x:c r="I146" s="117" t="str">
        <x:f>IF($G146=0,"",_xlfn.MAXIFS('工作觀察輸入'!$B$7:$B$206,'工作觀察輸入'!$C$7:$C$206,$B146,'工作觀察輸入'!$G$7:$G$206,$D146,'工作觀察輸入'!$M$7:$M$206,"是"))</x:f>
      </x:c>
      <x:c r="J146" s="115" t="n">
        <x:f>IF($G146=0,0,IF($H146=$I146,1,2))</x:f>
        <x:v>0</x:v>
      </x:c>
      <x:c r="K146" s="115" t="n">
        <x:f>COUNTIFS('工作觀察輸入'!$C$7:$C$206,$B146,'工作觀察輸入'!$G$7:$G$206,$D146,'工作觀察輸入'!$J$7:$J$206,"是")</x:f>
        <x:v>0</x:v>
      </x:c>
      <x:c r="L146" s="115" t="n">
        <x:f>COUNTIFS('面談與異議'!$C$7:$C$106,$B146,'面談與異議'!$F$7:$F$106,$D146,'面談與異議'!$E$7:$E$106,"兩個月面談")</x:f>
        <x:v>0</x:v>
      </x:c>
      <x:c r="M146" s="115" t="str">
        <x:f>IF($E146&lt;&gt;"Ø","不適用",IF(COUNTIFS('事件與限制'!$C$7:$C$106,$B146,'事件與限制'!$E$7:$E$106,$D146,'事件與限制'!$Q$7:$Q$106,"生效中")&gt;0,"資格限制中",IF($F146&lt;&gt;"已核定","先完成基準核定",IF($K146&gt;0,"有關鍵遺漏，先檢討",IF($G146&lt;3,"尚缺成功觀察",IF($J146&lt;2,"觀察日期不足",IF($L146&lt;1,"待兩個月面談","可送主管核定")))))))</x:f>
        <x:v>不適用</x:v>
      </x:c>
      <x:c r="N146" s="116" t="str">
        <x:v>待核定</x:v>
      </x:c>
      <x:c r="O146" s="118"/>
      <x:c r="P146" s="116"/>
      <x:c r="Q146" s="116"/>
      <x:c r="R146" s="115" t="str">
        <x:f>IF($M146&lt;&gt;"可送主管核定","尚未具備條件",IF($N146="不升級","維持原評等",IF($N146="核定升級",IF(OR($O146="",$P146=""),"核定資料未完整","已核定升級"),"待主管核定")))</x:f>
        <x:v>尚未具備條件</x:v>
      </x:c>
    </x:row>
    <x:row r="147">
      <x:c r="A147" s="79" t="str">
        <x:v>UPG|1028|LJT-PREP-EXTRACTION</x:v>
      </x:c>
      <x:c r="B147" s="79" t="str">
        <x:v>1028</x:v>
      </x:c>
      <x:c r="C147" s="79" t="str"/>
      <x:c r="D147" s="79" t="str">
        <x:v>LJT-PREP-EXTRACTION</x:v>
      </x:c>
      <x:c r="E147" s="79" t="str">
        <x:v>※</x:v>
      </x:c>
      <x:c r="F147" s="115" t="str">
        <x:f>IF($E147="未評估","未建立",_xlfn.XLOOKUP("ABIL|1028|LJT-PREP-EXTRACTION",'主管核定中心'!$A$12:$A$372,'主管核定中心'!$K$12:$K$372,"待主管核定",0))</x:f>
        <x:v>待主管核定</x:v>
      </x:c>
      <x:c r="G147" s="115" t="n">
        <x:f>COUNTIFS('工作觀察輸入'!$C$7:$C$206,$B147,'工作觀察輸入'!$G$7:$G$206,$D147,'工作觀察輸入'!$M$7:$M$206,"是")</x:f>
        <x:v>0</x:v>
      </x:c>
      <x:c r="H147" s="117" t="str">
        <x:f>IF($G147=0,"",_xlfn.MINIFS('工作觀察輸入'!$B$7:$B$206,'工作觀察輸入'!$C$7:$C$206,$B147,'工作觀察輸入'!$G$7:$G$206,$D147,'工作觀察輸入'!$M$7:$M$206,"是"))</x:f>
      </x:c>
      <x:c r="I147" s="117" t="str">
        <x:f>IF($G147=0,"",_xlfn.MAXIFS('工作觀察輸入'!$B$7:$B$206,'工作觀察輸入'!$C$7:$C$206,$B147,'工作觀察輸入'!$G$7:$G$206,$D147,'工作觀察輸入'!$M$7:$M$206,"是"))</x:f>
      </x:c>
      <x:c r="J147" s="115" t="n">
        <x:f>IF($G147=0,0,IF($H147=$I147,1,2))</x:f>
        <x:v>0</x:v>
      </x:c>
      <x:c r="K147" s="115" t="n">
        <x:f>COUNTIFS('工作觀察輸入'!$C$7:$C$206,$B147,'工作觀察輸入'!$G$7:$G$206,$D147,'工作觀察輸入'!$J$7:$J$206,"是")</x:f>
        <x:v>0</x:v>
      </x:c>
      <x:c r="L147" s="115" t="n">
        <x:f>COUNTIFS('面談與異議'!$C$7:$C$106,$B147,'面談與異議'!$F$7:$F$106,$D147,'面談與異議'!$E$7:$E$106,"兩個月面談")</x:f>
        <x:v>0</x:v>
      </x:c>
      <x:c r="M147" s="115" t="str">
        <x:f>IF($E147&lt;&gt;"Ø","不適用",IF(COUNTIFS('事件與限制'!$C$7:$C$106,$B147,'事件與限制'!$E$7:$E$106,$D147,'事件與限制'!$Q$7:$Q$106,"生效中")&gt;0,"資格限制中",IF($F147&lt;&gt;"已核定","先完成基準核定",IF($K147&gt;0,"有關鍵遺漏，先檢討",IF($G147&lt;3,"尚缺成功觀察",IF($J147&lt;2,"觀察日期不足",IF($L147&lt;1,"待兩個月面談","可送主管核定")))))))</x:f>
        <x:v>不適用</x:v>
      </x:c>
      <x:c r="N147" s="116" t="str">
        <x:v>待核定</x:v>
      </x:c>
      <x:c r="O147" s="118"/>
      <x:c r="P147" s="116"/>
      <x:c r="Q147" s="116"/>
      <x:c r="R147" s="115" t="str">
        <x:f>IF($M147&lt;&gt;"可送主管核定","尚未具備條件",IF($N147="不升級","維持原評等",IF($N147="核定升級",IF(OR($O147="",$P147=""),"核定資料未完整","已核定升級"),"待主管核定")))</x:f>
        <x:v>尚未具備條件</x:v>
      </x:c>
    </x:row>
    <x:row r="148">
      <x:c r="A148" s="79" t="str">
        <x:v>UPG|1028|LJT-PREP-CROWNPOST</x:v>
      </x:c>
      <x:c r="B148" s="79" t="str">
        <x:v>1028</x:v>
      </x:c>
      <x:c r="C148" s="79" t="str"/>
      <x:c r="D148" s="79" t="str">
        <x:v>LJT-PREP-CROWNPOST</x:v>
      </x:c>
      <x:c r="E148" s="79" t="str">
        <x:v>※</x:v>
      </x:c>
      <x:c r="F148" s="115" t="str">
        <x:f>IF($E148="未評估","未建立",_xlfn.XLOOKUP("ABIL|1028|LJT-PREP-CROWNPOST",'主管核定中心'!$A$12:$A$372,'主管核定中心'!$K$12:$K$372,"待主管核定",0))</x:f>
        <x:v>待主管核定</x:v>
      </x:c>
      <x:c r="G148" s="115" t="n">
        <x:f>COUNTIFS('工作觀察輸入'!$C$7:$C$206,$B148,'工作觀察輸入'!$G$7:$G$206,$D148,'工作觀察輸入'!$M$7:$M$206,"是")</x:f>
        <x:v>0</x:v>
      </x:c>
      <x:c r="H148" s="117" t="str">
        <x:f>IF($G148=0,"",_xlfn.MINIFS('工作觀察輸入'!$B$7:$B$206,'工作觀察輸入'!$C$7:$C$206,$B148,'工作觀察輸入'!$G$7:$G$206,$D148,'工作觀察輸入'!$M$7:$M$206,"是"))</x:f>
      </x:c>
      <x:c r="I148" s="117" t="str">
        <x:f>IF($G148=0,"",_xlfn.MAXIFS('工作觀察輸入'!$B$7:$B$206,'工作觀察輸入'!$C$7:$C$206,$B148,'工作觀察輸入'!$G$7:$G$206,$D148,'工作觀察輸入'!$M$7:$M$206,"是"))</x:f>
      </x:c>
      <x:c r="J148" s="115" t="n">
        <x:f>IF($G148=0,0,IF($H148=$I148,1,2))</x:f>
        <x:v>0</x:v>
      </x:c>
      <x:c r="K148" s="115" t="n">
        <x:f>COUNTIFS('工作觀察輸入'!$C$7:$C$206,$B148,'工作觀察輸入'!$G$7:$G$206,$D148,'工作觀察輸入'!$J$7:$J$206,"是")</x:f>
        <x:v>0</x:v>
      </x:c>
      <x:c r="L148" s="115" t="n">
        <x:f>COUNTIFS('面談與異議'!$C$7:$C$106,$B148,'面談與異議'!$F$7:$F$106,$D148,'面談與異議'!$E$7:$E$106,"兩個月面談")</x:f>
        <x:v>0</x:v>
      </x:c>
      <x:c r="M148" s="115" t="str">
        <x:f>IF($E148&lt;&gt;"Ø","不適用",IF(COUNTIFS('事件與限制'!$C$7:$C$106,$B148,'事件與限制'!$E$7:$E$106,$D148,'事件與限制'!$Q$7:$Q$106,"生效中")&gt;0,"資格限制中",IF($F148&lt;&gt;"已核定","先完成基準核定",IF($K148&gt;0,"有關鍵遺漏，先檢討",IF($G148&lt;3,"尚缺成功觀察",IF($J148&lt;2,"觀察日期不足",IF($L148&lt;1,"待兩個月面談","可送主管核定")))))))</x:f>
        <x:v>不適用</x:v>
      </x:c>
      <x:c r="N148" s="116" t="str">
        <x:v>待核定</x:v>
      </x:c>
      <x:c r="O148" s="118"/>
      <x:c r="P148" s="116"/>
      <x:c r="Q148" s="116"/>
      <x:c r="R148" s="115" t="str">
        <x:f>IF($M148&lt;&gt;"可送主管核定","尚未具備條件",IF($N148="不升級","維持原評等",IF($N148="核定升級",IF(OR($O148="",$P148=""),"核定資料未完整","已核定升級"),"待主管核定")))</x:f>
        <x:v>尚未具備條件</x:v>
      </x:c>
    </x:row>
    <x:row r="149">
      <x:c r="A149" s="79" t="str">
        <x:v>UPG|1028|LJT-PREP-CROWN</x:v>
      </x:c>
      <x:c r="B149" s="79" t="str">
        <x:v>1028</x:v>
      </x:c>
      <x:c r="C149" s="79" t="str"/>
      <x:c r="D149" s="79" t="str">
        <x:v>LJT-PREP-CROWN</x:v>
      </x:c>
      <x:c r="E149" s="79" t="str">
        <x:v>※</x:v>
      </x:c>
      <x:c r="F149" s="115" t="str">
        <x:f>IF($E149="未評估","未建立",_xlfn.XLOOKUP("ABIL|1028|LJT-PREP-CROWN",'主管核定中心'!$A$12:$A$372,'主管核定中心'!$K$12:$K$372,"待主管核定",0))</x:f>
        <x:v>待主管核定</x:v>
      </x:c>
      <x:c r="G149" s="115" t="n">
        <x:f>COUNTIFS('工作觀察輸入'!$C$7:$C$206,$B149,'工作觀察輸入'!$G$7:$G$206,$D149,'工作觀察輸入'!$M$7:$M$206,"是")</x:f>
        <x:v>0</x:v>
      </x:c>
      <x:c r="H149" s="117" t="str">
        <x:f>IF($G149=0,"",_xlfn.MINIFS('工作觀察輸入'!$B$7:$B$206,'工作觀察輸入'!$C$7:$C$206,$B149,'工作觀察輸入'!$G$7:$G$206,$D149,'工作觀察輸入'!$M$7:$M$206,"是"))</x:f>
      </x:c>
      <x:c r="I149" s="117" t="str">
        <x:f>IF($G149=0,"",_xlfn.MAXIFS('工作觀察輸入'!$B$7:$B$206,'工作觀察輸入'!$C$7:$C$206,$B149,'工作觀察輸入'!$G$7:$G$206,$D149,'工作觀察輸入'!$M$7:$M$206,"是"))</x:f>
      </x:c>
      <x:c r="J149" s="115" t="n">
        <x:f>IF($G149=0,0,IF($H149=$I149,1,2))</x:f>
        <x:v>0</x:v>
      </x:c>
      <x:c r="K149" s="115" t="n">
        <x:f>COUNTIFS('工作觀察輸入'!$C$7:$C$206,$B149,'工作觀察輸入'!$G$7:$G$206,$D149,'工作觀察輸入'!$J$7:$J$206,"是")</x:f>
        <x:v>0</x:v>
      </x:c>
      <x:c r="L149" s="115" t="n">
        <x:f>COUNTIFS('面談與異議'!$C$7:$C$106,$B149,'面談與異議'!$F$7:$F$106,$D149,'面談與異議'!$E$7:$E$106,"兩個月面談")</x:f>
        <x:v>0</x:v>
      </x:c>
      <x:c r="M149" s="115" t="str">
        <x:f>IF($E149&lt;&gt;"Ø","不適用",IF(COUNTIFS('事件與限制'!$C$7:$C$106,$B149,'事件與限制'!$E$7:$E$106,$D149,'事件與限制'!$Q$7:$Q$106,"生效中")&gt;0,"資格限制中",IF($F149&lt;&gt;"已核定","先完成基準核定",IF($K149&gt;0,"有關鍵遺漏，先檢討",IF($G149&lt;3,"尚缺成功觀察",IF($J149&lt;2,"觀察日期不足",IF($L149&lt;1,"待兩個月面談","可送主管核定")))))))</x:f>
        <x:v>不適用</x:v>
      </x:c>
      <x:c r="N149" s="116" t="str">
        <x:v>待核定</x:v>
      </x:c>
      <x:c r="O149" s="118"/>
      <x:c r="P149" s="116"/>
      <x:c r="Q149" s="116"/>
      <x:c r="R149" s="115" t="str">
        <x:f>IF($M149&lt;&gt;"可送主管核定","尚未具備條件",IF($N149="不升級","維持原評等",IF($N149="核定升級",IF(OR($O149="",$P149=""),"核定資料未完整","已核定升級"),"待主管核定")))</x:f>
        <x:v>尚未具備條件</x:v>
      </x:c>
    </x:row>
    <x:row r="150">
      <x:c r="A150" s="79" t="str">
        <x:v>UPG|1028|LJT-PREP-RPD</x:v>
      </x:c>
      <x:c r="B150" s="79" t="str">
        <x:v>1028</x:v>
      </x:c>
      <x:c r="C150" s="79" t="str"/>
      <x:c r="D150" s="79" t="str">
        <x:v>LJT-PREP-RPD</x:v>
      </x:c>
      <x:c r="E150" s="79" t="str">
        <x:v>※</x:v>
      </x:c>
      <x:c r="F150" s="115" t="str">
        <x:f>IF($E150="未評估","未建立",_xlfn.XLOOKUP("ABIL|1028|LJT-PREP-RPD",'主管核定中心'!$A$12:$A$372,'主管核定中心'!$K$12:$K$372,"待主管核定",0))</x:f>
        <x:v>待主管核定</x:v>
      </x:c>
      <x:c r="G150" s="115" t="n">
        <x:f>COUNTIFS('工作觀察輸入'!$C$7:$C$206,$B150,'工作觀察輸入'!$G$7:$G$206,$D150,'工作觀察輸入'!$M$7:$M$206,"是")</x:f>
        <x:v>0</x:v>
      </x:c>
      <x:c r="H150" s="117" t="str">
        <x:f>IF($G150=0,"",_xlfn.MINIFS('工作觀察輸入'!$B$7:$B$206,'工作觀察輸入'!$C$7:$C$206,$B150,'工作觀察輸入'!$G$7:$G$206,$D150,'工作觀察輸入'!$M$7:$M$206,"是"))</x:f>
      </x:c>
      <x:c r="I150" s="117" t="str">
        <x:f>IF($G150=0,"",_xlfn.MAXIFS('工作觀察輸入'!$B$7:$B$206,'工作觀察輸入'!$C$7:$C$206,$B150,'工作觀察輸入'!$G$7:$G$206,$D150,'工作觀察輸入'!$M$7:$M$206,"是"))</x:f>
      </x:c>
      <x:c r="J150" s="115" t="n">
        <x:f>IF($G150=0,0,IF($H150=$I150,1,2))</x:f>
        <x:v>0</x:v>
      </x:c>
      <x:c r="K150" s="115" t="n">
        <x:f>COUNTIFS('工作觀察輸入'!$C$7:$C$206,$B150,'工作觀察輸入'!$G$7:$G$206,$D150,'工作觀察輸入'!$J$7:$J$206,"是")</x:f>
        <x:v>0</x:v>
      </x:c>
      <x:c r="L150" s="115" t="n">
        <x:f>COUNTIFS('面談與異議'!$C$7:$C$106,$B150,'面談與異議'!$F$7:$F$106,$D150,'面談與異議'!$E$7:$E$106,"兩個月面談")</x:f>
        <x:v>0</x:v>
      </x:c>
      <x:c r="M150" s="115" t="str">
        <x:f>IF($E150&lt;&gt;"Ø","不適用",IF(COUNTIFS('事件與限制'!$C$7:$C$106,$B150,'事件與限制'!$E$7:$E$106,$D150,'事件與限制'!$Q$7:$Q$106,"生效中")&gt;0,"資格限制中",IF($F150&lt;&gt;"已核定","先完成基準核定",IF($K150&gt;0,"有關鍵遺漏，先檢討",IF($G150&lt;3,"尚缺成功觀察",IF($J150&lt;2,"觀察日期不足",IF($L150&lt;1,"待兩個月面談","可送主管核定")))))))</x:f>
        <x:v>不適用</x:v>
      </x:c>
      <x:c r="N150" s="116" t="str">
        <x:v>待核定</x:v>
      </x:c>
      <x:c r="O150" s="118"/>
      <x:c r="P150" s="116"/>
      <x:c r="Q150" s="116"/>
      <x:c r="R150" s="115" t="str">
        <x:f>IF($M150&lt;&gt;"可送主管核定","尚未具備條件",IF($N150="不升級","維持原評等",IF($N150="核定升級",IF(OR($O150="",$P150=""),"核定資料未完整","已核定升級"),"待主管核定")))</x:f>
        <x:v>尚未具備條件</x:v>
      </x:c>
    </x:row>
    <x:row r="151">
      <x:c r="A151" s="79" t="str">
        <x:v>UPG|1028|LJT-PREP-AIRPOLISH</x:v>
      </x:c>
      <x:c r="B151" s="79" t="str">
        <x:v>1028</x:v>
      </x:c>
      <x:c r="C151" s="79" t="str"/>
      <x:c r="D151" s="79" t="str">
        <x:v>LJT-PREP-AIRPOLISH</x:v>
      </x:c>
      <x:c r="E151" s="79" t="str">
        <x:v>※</x:v>
      </x:c>
      <x:c r="F151" s="115" t="str">
        <x:f>IF($E151="未評估","未建立",_xlfn.XLOOKUP("ABIL|1028|LJT-PREP-AIRPOLISH",'主管核定中心'!$A$12:$A$372,'主管核定中心'!$K$12:$K$372,"待主管核定",0))</x:f>
        <x:v>待主管核定</x:v>
      </x:c>
      <x:c r="G151" s="115" t="n">
        <x:f>COUNTIFS('工作觀察輸入'!$C$7:$C$206,$B151,'工作觀察輸入'!$G$7:$G$206,$D151,'工作觀察輸入'!$M$7:$M$206,"是")</x:f>
        <x:v>0</x:v>
      </x:c>
      <x:c r="H151" s="117" t="str">
        <x:f>IF($G151=0,"",_xlfn.MINIFS('工作觀察輸入'!$B$7:$B$206,'工作觀察輸入'!$C$7:$C$206,$B151,'工作觀察輸入'!$G$7:$G$206,$D151,'工作觀察輸入'!$M$7:$M$206,"是"))</x:f>
      </x:c>
      <x:c r="I151" s="117" t="str">
        <x:f>IF($G151=0,"",_xlfn.MAXIFS('工作觀察輸入'!$B$7:$B$206,'工作觀察輸入'!$C$7:$C$206,$B151,'工作觀察輸入'!$G$7:$G$206,$D151,'工作觀察輸入'!$M$7:$M$206,"是"))</x:f>
      </x:c>
      <x:c r="J151" s="115" t="n">
        <x:f>IF($G151=0,0,IF($H151=$I151,1,2))</x:f>
        <x:v>0</x:v>
      </x:c>
      <x:c r="K151" s="115" t="n">
        <x:f>COUNTIFS('工作觀察輸入'!$C$7:$C$206,$B151,'工作觀察輸入'!$G$7:$G$206,$D151,'工作觀察輸入'!$J$7:$J$206,"是")</x:f>
        <x:v>0</x:v>
      </x:c>
      <x:c r="L151" s="115" t="n">
        <x:f>COUNTIFS('面談與異議'!$C$7:$C$106,$B151,'面談與異議'!$F$7:$F$106,$D151,'面談與異議'!$E$7:$E$106,"兩個月面談")</x:f>
        <x:v>0</x:v>
      </x:c>
      <x:c r="M151" s="115" t="str">
        <x:f>IF($E151&lt;&gt;"Ø","不適用",IF(COUNTIFS('事件與限制'!$C$7:$C$106,$B151,'事件與限制'!$E$7:$E$106,$D151,'事件與限制'!$Q$7:$Q$106,"生效中")&gt;0,"資格限制中",IF($F151&lt;&gt;"已核定","先完成基準核定",IF($K151&gt;0,"有關鍵遺漏，先檢討",IF($G151&lt;3,"尚缺成功觀察",IF($J151&lt;2,"觀察日期不足",IF($L151&lt;1,"待兩個月面談","可送主管核定")))))))</x:f>
        <x:v>不適用</x:v>
      </x:c>
      <x:c r="N151" s="116" t="str">
        <x:v>待核定</x:v>
      </x:c>
      <x:c r="O151" s="118"/>
      <x:c r="P151" s="116"/>
      <x:c r="Q151" s="116"/>
      <x:c r="R151" s="115" t="str">
        <x:f>IF($M151&lt;&gt;"可送主管核定","尚未具備條件",IF($N151="不升級","維持原評等",IF($N151="核定升級",IF(OR($O151="",$P151=""),"核定資料未完整","已核定升級"),"待主管核定")))</x:f>
        <x:v>尚未具備條件</x:v>
      </x:c>
    </x:row>
    <x:row r="152">
      <x:c r="A152" s="79" t="str">
        <x:v>UPG|1028|LJT-PREP-PERIOSURG</x:v>
      </x:c>
      <x:c r="B152" s="79" t="str">
        <x:v>1028</x:v>
      </x:c>
      <x:c r="C152" s="79" t="str"/>
      <x:c r="D152" s="79" t="str">
        <x:v>LJT-PREP-PERIOSURG</x:v>
      </x:c>
      <x:c r="E152" s="79" t="str">
        <x:v>※</x:v>
      </x:c>
      <x:c r="F152" s="115" t="str">
        <x:f>IF($E152="未評估","未建立",_xlfn.XLOOKUP("ABIL|1028|LJT-PREP-PERIOSURG",'主管核定中心'!$A$12:$A$372,'主管核定中心'!$K$12:$K$372,"待主管核定",0))</x:f>
        <x:v>待主管核定</x:v>
      </x:c>
      <x:c r="G152" s="115" t="n">
        <x:f>COUNTIFS('工作觀察輸入'!$C$7:$C$206,$B152,'工作觀察輸入'!$G$7:$G$206,$D152,'工作觀察輸入'!$M$7:$M$206,"是")</x:f>
        <x:v>0</x:v>
      </x:c>
      <x:c r="H152" s="117" t="str">
        <x:f>IF($G152=0,"",_xlfn.MINIFS('工作觀察輸入'!$B$7:$B$206,'工作觀察輸入'!$C$7:$C$206,$B152,'工作觀察輸入'!$G$7:$G$206,$D152,'工作觀察輸入'!$M$7:$M$206,"是"))</x:f>
      </x:c>
      <x:c r="I152" s="117" t="str">
        <x:f>IF($G152=0,"",_xlfn.MAXIFS('工作觀察輸入'!$B$7:$B$206,'工作觀察輸入'!$C$7:$C$206,$B152,'工作觀察輸入'!$G$7:$G$206,$D152,'工作觀察輸入'!$M$7:$M$206,"是"))</x:f>
      </x:c>
      <x:c r="J152" s="115" t="n">
        <x:f>IF($G152=0,0,IF($H152=$I152,1,2))</x:f>
        <x:v>0</x:v>
      </x:c>
      <x:c r="K152" s="115" t="n">
        <x:f>COUNTIFS('工作觀察輸入'!$C$7:$C$206,$B152,'工作觀察輸入'!$G$7:$G$206,$D152,'工作觀察輸入'!$J$7:$J$206,"是")</x:f>
        <x:v>0</x:v>
      </x:c>
      <x:c r="L152" s="115" t="n">
        <x:f>COUNTIFS('面談與異議'!$C$7:$C$106,$B152,'面談與異議'!$F$7:$F$106,$D152,'面談與異議'!$E$7:$E$106,"兩個月面談")</x:f>
        <x:v>0</x:v>
      </x:c>
      <x:c r="M152" s="115" t="str">
        <x:f>IF($E152&lt;&gt;"Ø","不適用",IF(COUNTIFS('事件與限制'!$C$7:$C$106,$B152,'事件與限制'!$E$7:$E$106,$D152,'事件與限制'!$Q$7:$Q$106,"生效中")&gt;0,"資格限制中",IF($F152&lt;&gt;"已核定","先完成基準核定",IF($K152&gt;0,"有關鍵遺漏，先檢討",IF($G152&lt;3,"尚缺成功觀察",IF($J152&lt;2,"觀察日期不足",IF($L152&lt;1,"待兩個月面談","可送主管核定")))))))</x:f>
        <x:v>不適用</x:v>
      </x:c>
      <x:c r="N152" s="116" t="str">
        <x:v>待核定</x:v>
      </x:c>
      <x:c r="O152" s="118"/>
      <x:c r="P152" s="116"/>
      <x:c r="Q152" s="116"/>
      <x:c r="R152" s="115" t="str">
        <x:f>IF($M152&lt;&gt;"可送主管核定","尚未具備條件",IF($N152="不升級","維持原評等",IF($N152="核定升級",IF(OR($O152="",$P152=""),"核定資料未完整","已核定升級"),"待主管核定")))</x:f>
        <x:v>尚未具備條件</x:v>
      </x:c>
    </x:row>
    <x:row r="153">
      <x:c r="A153" s="79" t="str">
        <x:v>UPG|1028|LJT-PREP-MICROENDO</x:v>
      </x:c>
      <x:c r="B153" s="79" t="str">
        <x:v>1028</x:v>
      </x:c>
      <x:c r="C153" s="79" t="str"/>
      <x:c r="D153" s="79" t="str">
        <x:v>LJT-PREP-MICROENDO</x:v>
      </x:c>
      <x:c r="E153" s="79" t="str">
        <x:v>※</x:v>
      </x:c>
      <x:c r="F153" s="115" t="str">
        <x:f>IF($E153="未評估","未建立",_xlfn.XLOOKUP("ABIL|1028|LJT-PREP-MICROENDO",'主管核定中心'!$A$12:$A$372,'主管核定中心'!$K$12:$K$372,"待主管核定",0))</x:f>
        <x:v>待主管核定</x:v>
      </x:c>
      <x:c r="G153" s="115" t="n">
        <x:f>COUNTIFS('工作觀察輸入'!$C$7:$C$206,$B153,'工作觀察輸入'!$G$7:$G$206,$D153,'工作觀察輸入'!$M$7:$M$206,"是")</x:f>
        <x:v>0</x:v>
      </x:c>
      <x:c r="H153" s="117" t="str">
        <x:f>IF($G153=0,"",_xlfn.MINIFS('工作觀察輸入'!$B$7:$B$206,'工作觀察輸入'!$C$7:$C$206,$B153,'工作觀察輸入'!$G$7:$G$206,$D153,'工作觀察輸入'!$M$7:$M$206,"是"))</x:f>
      </x:c>
      <x:c r="I153" s="117" t="str">
        <x:f>IF($G153=0,"",_xlfn.MAXIFS('工作觀察輸入'!$B$7:$B$206,'工作觀察輸入'!$C$7:$C$206,$B153,'工作觀察輸入'!$G$7:$G$206,$D153,'工作觀察輸入'!$M$7:$M$206,"是"))</x:f>
      </x:c>
      <x:c r="J153" s="115" t="n">
        <x:f>IF($G153=0,0,IF($H153=$I153,1,2))</x:f>
        <x:v>0</x:v>
      </x:c>
      <x:c r="K153" s="115" t="n">
        <x:f>COUNTIFS('工作觀察輸入'!$C$7:$C$206,$B153,'工作觀察輸入'!$G$7:$G$206,$D153,'工作觀察輸入'!$J$7:$J$206,"是")</x:f>
        <x:v>0</x:v>
      </x:c>
      <x:c r="L153" s="115" t="n">
        <x:f>COUNTIFS('面談與異議'!$C$7:$C$106,$B153,'面談與異議'!$F$7:$F$106,$D153,'面談與異議'!$E$7:$E$106,"兩個月面談")</x:f>
        <x:v>0</x:v>
      </x:c>
      <x:c r="M153" s="115" t="str">
        <x:f>IF($E153&lt;&gt;"Ø","不適用",IF(COUNTIFS('事件與限制'!$C$7:$C$106,$B153,'事件與限制'!$E$7:$E$106,$D153,'事件與限制'!$Q$7:$Q$106,"生效中")&gt;0,"資格限制中",IF($F153&lt;&gt;"已核定","先完成基準核定",IF($K153&gt;0,"有關鍵遺漏，先檢討",IF($G153&lt;3,"尚缺成功觀察",IF($J153&lt;2,"觀察日期不足",IF($L153&lt;1,"待兩個月面談","可送主管核定")))))))</x:f>
        <x:v>不適用</x:v>
      </x:c>
      <x:c r="N153" s="116" t="str">
        <x:v>待核定</x:v>
      </x:c>
      <x:c r="O153" s="118"/>
      <x:c r="P153" s="116"/>
      <x:c r="Q153" s="116"/>
      <x:c r="R153" s="115" t="str">
        <x:f>IF($M153&lt;&gt;"可送主管核定","尚未具備條件",IF($N153="不升級","維持原評等",IF($N153="核定升級",IF(OR($O153="",$P153=""),"核定資料未完整","已核定升級"),"待主管核定")))</x:f>
        <x:v>尚未具備條件</x:v>
      </x:c>
    </x:row>
    <x:row r="154">
      <x:c r="A154" s="79" t="str">
        <x:v>UPG|1028|LJT-PREP-IMPLANT</x:v>
      </x:c>
      <x:c r="B154" s="79" t="str">
        <x:v>1028</x:v>
      </x:c>
      <x:c r="C154" s="79" t="str"/>
      <x:c r="D154" s="79" t="str">
        <x:v>LJT-PREP-IMPLANT</x:v>
      </x:c>
      <x:c r="E154" s="79" t="str">
        <x:v>※</x:v>
      </x:c>
      <x:c r="F154" s="115" t="str">
        <x:f>IF($E154="未評估","未建立",_xlfn.XLOOKUP("ABIL|1028|LJT-PREP-IMPLANT",'主管核定中心'!$A$12:$A$372,'主管核定中心'!$K$12:$K$372,"待主管核定",0))</x:f>
        <x:v>待主管核定</x:v>
      </x:c>
      <x:c r="G154" s="115" t="n">
        <x:f>COUNTIFS('工作觀察輸入'!$C$7:$C$206,$B154,'工作觀察輸入'!$G$7:$G$206,$D154,'工作觀察輸入'!$M$7:$M$206,"是")</x:f>
        <x:v>0</x:v>
      </x:c>
      <x:c r="H154" s="117" t="str">
        <x:f>IF($G154=0,"",_xlfn.MINIFS('工作觀察輸入'!$B$7:$B$206,'工作觀察輸入'!$C$7:$C$206,$B154,'工作觀察輸入'!$G$7:$G$206,$D154,'工作觀察輸入'!$M$7:$M$206,"是"))</x:f>
      </x:c>
      <x:c r="I154" s="117" t="str">
        <x:f>IF($G154=0,"",_xlfn.MAXIFS('工作觀察輸入'!$B$7:$B$206,'工作觀察輸入'!$C$7:$C$206,$B154,'工作觀察輸入'!$G$7:$G$206,$D154,'工作觀察輸入'!$M$7:$M$206,"是"))</x:f>
      </x:c>
      <x:c r="J154" s="115" t="n">
        <x:f>IF($G154=0,0,IF($H154=$I154,1,2))</x:f>
        <x:v>0</x:v>
      </x:c>
      <x:c r="K154" s="115" t="n">
        <x:f>COUNTIFS('工作觀察輸入'!$C$7:$C$206,$B154,'工作觀察輸入'!$G$7:$G$206,$D154,'工作觀察輸入'!$J$7:$J$206,"是")</x:f>
        <x:v>0</x:v>
      </x:c>
      <x:c r="L154" s="115" t="n">
        <x:f>COUNTIFS('面談與異議'!$C$7:$C$106,$B154,'面談與異議'!$F$7:$F$106,$D154,'面談與異議'!$E$7:$E$106,"兩個月面談")</x:f>
        <x:v>0</x:v>
      </x:c>
      <x:c r="M154" s="115" t="str">
        <x:f>IF($E154&lt;&gt;"Ø","不適用",IF(COUNTIFS('事件與限制'!$C$7:$C$106,$B154,'事件與限制'!$E$7:$E$106,$D154,'事件與限制'!$Q$7:$Q$106,"生效中")&gt;0,"資格限制中",IF($F154&lt;&gt;"已核定","先完成基準核定",IF($K154&gt;0,"有關鍵遺漏，先檢討",IF($G154&lt;3,"尚缺成功觀察",IF($J154&lt;2,"觀察日期不足",IF($L154&lt;1,"待兩個月面談","可送主管核定")))))))</x:f>
        <x:v>不適用</x:v>
      </x:c>
      <x:c r="N154" s="116" t="str">
        <x:v>待核定</x:v>
      </x:c>
      <x:c r="O154" s="118"/>
      <x:c r="P154" s="116"/>
      <x:c r="Q154" s="116"/>
      <x:c r="R154" s="115" t="str">
        <x:f>IF($M154&lt;&gt;"可送主管核定","尚未具備條件",IF($N154="不升級","維持原評等",IF($N154="核定升級",IF(OR($O154="",$P154=""),"核定資料未完整","已核定升級"),"待主管核定")))</x:f>
        <x:v>尚未具備條件</x:v>
      </x:c>
    </x:row>
    <x:row r="155">
      <x:c r="A155" s="79" t="str">
        <x:v>UPG|1028|COMMON-RECORD</x:v>
      </x:c>
      <x:c r="B155" s="79" t="str">
        <x:v>1028</x:v>
      </x:c>
      <x:c r="C155" s="79" t="str"/>
      <x:c r="D155" s="79" t="str">
        <x:v>COMMON-RECORD</x:v>
      </x:c>
      <x:c r="E155" s="79" t="str">
        <x:v>※</x:v>
      </x:c>
      <x:c r="F155" s="115" t="str">
        <x:f>IF($E155="未評估","未建立",_xlfn.XLOOKUP("ABIL|1028|COMMON-RECORD",'主管核定中心'!$A$12:$A$372,'主管核定中心'!$K$12:$K$372,"待主管核定",0))</x:f>
        <x:v>待主管核定</x:v>
      </x:c>
      <x:c r="G155" s="115" t="n">
        <x:f>COUNTIFS('工作觀察輸入'!$C$7:$C$206,$B155,'工作觀察輸入'!$G$7:$G$206,$D155,'工作觀察輸入'!$M$7:$M$206,"是")</x:f>
        <x:v>0</x:v>
      </x:c>
      <x:c r="H155" s="117" t="str">
        <x:f>IF($G155=0,"",_xlfn.MINIFS('工作觀察輸入'!$B$7:$B$206,'工作觀察輸入'!$C$7:$C$206,$B155,'工作觀察輸入'!$G$7:$G$206,$D155,'工作觀察輸入'!$M$7:$M$206,"是"))</x:f>
      </x:c>
      <x:c r="I155" s="117" t="str">
        <x:f>IF($G155=0,"",_xlfn.MAXIFS('工作觀察輸入'!$B$7:$B$206,'工作觀察輸入'!$C$7:$C$206,$B155,'工作觀察輸入'!$G$7:$G$206,$D155,'工作觀察輸入'!$M$7:$M$206,"是"))</x:f>
      </x:c>
      <x:c r="J155" s="115" t="n">
        <x:f>IF($G155=0,0,IF($H155=$I155,1,2))</x:f>
        <x:v>0</x:v>
      </x:c>
      <x:c r="K155" s="115" t="n">
        <x:f>COUNTIFS('工作觀察輸入'!$C$7:$C$206,$B155,'工作觀察輸入'!$G$7:$G$206,$D155,'工作觀察輸入'!$J$7:$J$206,"是")</x:f>
        <x:v>0</x:v>
      </x:c>
      <x:c r="L155" s="115" t="n">
        <x:f>COUNTIFS('面談與異議'!$C$7:$C$106,$B155,'面談與異議'!$F$7:$F$106,$D155,'面談與異議'!$E$7:$E$106,"兩個月面談")</x:f>
        <x:v>0</x:v>
      </x:c>
      <x:c r="M155" s="115" t="str">
        <x:f>IF($E155&lt;&gt;"Ø","不適用",IF(COUNTIFS('事件與限制'!$C$7:$C$106,$B155,'事件與限制'!$E$7:$E$106,$D155,'事件與限制'!$Q$7:$Q$106,"生效中")&gt;0,"資格限制中",IF($F155&lt;&gt;"已核定","先完成基準核定",IF($K155&gt;0,"有關鍵遺漏，先檢討",IF($G155&lt;3,"尚缺成功觀察",IF($J155&lt;2,"觀察日期不足",IF($L155&lt;1,"待兩個月面談","可送主管核定")))))))</x:f>
        <x:v>不適用</x:v>
      </x:c>
      <x:c r="N155" s="116" t="str">
        <x:v>待核定</x:v>
      </x:c>
      <x:c r="O155" s="118"/>
      <x:c r="P155" s="116"/>
      <x:c r="Q155" s="116"/>
      <x:c r="R155" s="115" t="str">
        <x:f>IF($M155&lt;&gt;"可送主管核定","尚未具備條件",IF($N155="不升級","維持原評等",IF($N155="核定升級",IF(OR($O155="",$P155=""),"核定資料未完整","已核定升級"),"待主管核定")))</x:f>
        <x:v>尚未具備條件</x:v>
      </x:c>
    </x:row>
    <x:row r="156">
      <x:c r="A156" s="79" t="str">
        <x:v>UPG|1028|COMMON-INSURANCE</x:v>
      </x:c>
      <x:c r="B156" s="79" t="str">
        <x:v>1028</x:v>
      </x:c>
      <x:c r="C156" s="79" t="str"/>
      <x:c r="D156" s="79" t="str">
        <x:v>COMMON-INSURANCE</x:v>
      </x:c>
      <x:c r="E156" s="79" t="str">
        <x:v>※</x:v>
      </x:c>
      <x:c r="F156" s="115" t="str">
        <x:f>IF($E156="未評估","未建立",_xlfn.XLOOKUP("ABIL|1028|COMMON-INSURANCE",'主管核定中心'!$A$12:$A$372,'主管核定中心'!$K$12:$K$372,"待主管核定",0))</x:f>
        <x:v>待主管核定</x:v>
      </x:c>
      <x:c r="G156" s="115" t="n">
        <x:f>COUNTIFS('工作觀察輸入'!$C$7:$C$206,$B156,'工作觀察輸入'!$G$7:$G$206,$D156,'工作觀察輸入'!$M$7:$M$206,"是")</x:f>
        <x:v>0</x:v>
      </x:c>
      <x:c r="H156" s="117" t="str">
        <x:f>IF($G156=0,"",_xlfn.MINIFS('工作觀察輸入'!$B$7:$B$206,'工作觀察輸入'!$C$7:$C$206,$B156,'工作觀察輸入'!$G$7:$G$206,$D156,'工作觀察輸入'!$M$7:$M$206,"是"))</x:f>
      </x:c>
      <x:c r="I156" s="117" t="str">
        <x:f>IF($G156=0,"",_xlfn.MAXIFS('工作觀察輸入'!$B$7:$B$206,'工作觀察輸入'!$C$7:$C$206,$B156,'工作觀察輸入'!$G$7:$G$206,$D156,'工作觀察輸入'!$M$7:$M$206,"是"))</x:f>
      </x:c>
      <x:c r="J156" s="115" t="n">
        <x:f>IF($G156=0,0,IF($H156=$I156,1,2))</x:f>
        <x:v>0</x:v>
      </x:c>
      <x:c r="K156" s="115" t="n">
        <x:f>COUNTIFS('工作觀察輸入'!$C$7:$C$206,$B156,'工作觀察輸入'!$G$7:$G$206,$D156,'工作觀察輸入'!$J$7:$J$206,"是")</x:f>
        <x:v>0</x:v>
      </x:c>
      <x:c r="L156" s="115" t="n">
        <x:f>COUNTIFS('面談與異議'!$C$7:$C$106,$B156,'面談與異議'!$F$7:$F$106,$D156,'面談與異議'!$E$7:$E$106,"兩個月面談")</x:f>
        <x:v>0</x:v>
      </x:c>
      <x:c r="M156" s="115" t="str">
        <x:f>IF($E156&lt;&gt;"Ø","不適用",IF(COUNTIFS('事件與限制'!$C$7:$C$106,$B156,'事件與限制'!$E$7:$E$106,$D156,'事件與限制'!$Q$7:$Q$106,"生效中")&gt;0,"資格限制中",IF($F156&lt;&gt;"已核定","先完成基準核定",IF($K156&gt;0,"有關鍵遺漏，先檢討",IF($G156&lt;3,"尚缺成功觀察",IF($J156&lt;2,"觀察日期不足",IF($L156&lt;1,"待兩個月面談","可送主管核定")))))))</x:f>
        <x:v>不適用</x:v>
      </x:c>
      <x:c r="N156" s="116" t="str">
        <x:v>待核定</x:v>
      </x:c>
      <x:c r="O156" s="118"/>
      <x:c r="P156" s="116"/>
      <x:c r="Q156" s="116"/>
      <x:c r="R156" s="115" t="str">
        <x:f>IF($M156&lt;&gt;"可送主管核定","尚未具備條件",IF($N156="不升級","維持原評等",IF($N156="核定升級",IF(OR($O156="",$P156=""),"核定資料未完整","已核定升級"),"待主管核定")))</x:f>
        <x:v>尚未具備條件</x:v>
      </x:c>
    </x:row>
    <x:row r="157">
      <x:c r="A157" s="79" t="str">
        <x:v>UPG|1028|COMMON-XRAY-RECORD</x:v>
      </x:c>
      <x:c r="B157" s="79" t="str">
        <x:v>1028</x:v>
      </x:c>
      <x:c r="C157" s="79" t="str"/>
      <x:c r="D157" s="79" t="str">
        <x:v>COMMON-XRAY-RECORD</x:v>
      </x:c>
      <x:c r="E157" s="79" t="str">
        <x:v>※</x:v>
      </x:c>
      <x:c r="F157" s="115" t="str">
        <x:f>IF($E157="未評估","未建立",_xlfn.XLOOKUP("ABIL|1028|COMMON-XRAY-RECORD",'主管核定中心'!$A$12:$A$372,'主管核定中心'!$K$12:$K$372,"待主管核定",0))</x:f>
        <x:v>待主管核定</x:v>
      </x:c>
      <x:c r="G157" s="115" t="n">
        <x:f>COUNTIFS('工作觀察輸入'!$C$7:$C$206,$B157,'工作觀察輸入'!$G$7:$G$206,$D157,'工作觀察輸入'!$M$7:$M$206,"是")</x:f>
        <x:v>0</x:v>
      </x:c>
      <x:c r="H157" s="117" t="str">
        <x:f>IF($G157=0,"",_xlfn.MINIFS('工作觀察輸入'!$B$7:$B$206,'工作觀察輸入'!$C$7:$C$206,$B157,'工作觀察輸入'!$G$7:$G$206,$D157,'工作觀察輸入'!$M$7:$M$206,"是"))</x:f>
      </x:c>
      <x:c r="I157" s="117" t="str">
        <x:f>IF($G157=0,"",_xlfn.MAXIFS('工作觀察輸入'!$B$7:$B$206,'工作觀察輸入'!$C$7:$C$206,$B157,'工作觀察輸入'!$G$7:$G$206,$D157,'工作觀察輸入'!$M$7:$M$206,"是"))</x:f>
      </x:c>
      <x:c r="J157" s="115" t="n">
        <x:f>IF($G157=0,0,IF($H157=$I157,1,2))</x:f>
        <x:v>0</x:v>
      </x:c>
      <x:c r="K157" s="115" t="n">
        <x:f>COUNTIFS('工作觀察輸入'!$C$7:$C$206,$B157,'工作觀察輸入'!$G$7:$G$206,$D157,'工作觀察輸入'!$J$7:$J$206,"是")</x:f>
        <x:v>0</x:v>
      </x:c>
      <x:c r="L157" s="115" t="n">
        <x:f>COUNTIFS('面談與異議'!$C$7:$C$106,$B157,'面談與異議'!$F$7:$F$106,$D157,'面談與異議'!$E$7:$E$106,"兩個月面談")</x:f>
        <x:v>0</x:v>
      </x:c>
      <x:c r="M157" s="115" t="str">
        <x:f>IF($E157&lt;&gt;"Ø","不適用",IF(COUNTIFS('事件與限制'!$C$7:$C$106,$B157,'事件與限制'!$E$7:$E$106,$D157,'事件與限制'!$Q$7:$Q$106,"生效中")&gt;0,"資格限制中",IF($F157&lt;&gt;"已核定","先完成基準核定",IF($K157&gt;0,"有關鍵遺漏，先檢討",IF($G157&lt;3,"尚缺成功觀察",IF($J157&lt;2,"觀察日期不足",IF($L157&lt;1,"待兩個月面談","可送主管核定")))))))</x:f>
        <x:v>不適用</x:v>
      </x:c>
      <x:c r="N157" s="116" t="str">
        <x:v>待核定</x:v>
      </x:c>
      <x:c r="O157" s="118"/>
      <x:c r="P157" s="116"/>
      <x:c r="Q157" s="116"/>
      <x:c r="R157" s="115" t="str">
        <x:f>IF($M157&lt;&gt;"可送主管核定","尚未具備條件",IF($N157="不升級","維持原評等",IF($N157="核定升級",IF(OR($O157="",$P157=""),"核定資料未完整","已核定升級"),"待主管核定")))</x:f>
        <x:v>尚未具備條件</x:v>
      </x:c>
    </x:row>
    <x:row r="158">
      <x:c r="A158" s="79" t="str">
        <x:v>UPG|1028|COMMON-PA</x:v>
      </x:c>
      <x:c r="B158" s="79" t="str">
        <x:v>1028</x:v>
      </x:c>
      <x:c r="C158" s="79" t="str"/>
      <x:c r="D158" s="79" t="str">
        <x:v>COMMON-PA</x:v>
      </x:c>
      <x:c r="E158" s="79" t="str">
        <x:v>※</x:v>
      </x:c>
      <x:c r="F158" s="115" t="str">
        <x:f>IF($E158="未評估","未建立",_xlfn.XLOOKUP("ABIL|1028|COMMON-PA",'主管核定中心'!$A$12:$A$372,'主管核定中心'!$K$12:$K$372,"待主管核定",0))</x:f>
        <x:v>待主管核定</x:v>
      </x:c>
      <x:c r="G158" s="115" t="n">
        <x:f>COUNTIFS('工作觀察輸入'!$C$7:$C$206,$B158,'工作觀察輸入'!$G$7:$G$206,$D158,'工作觀察輸入'!$M$7:$M$206,"是")</x:f>
        <x:v>0</x:v>
      </x:c>
      <x:c r="H158" s="117" t="str">
        <x:f>IF($G158=0,"",_xlfn.MINIFS('工作觀察輸入'!$B$7:$B$206,'工作觀察輸入'!$C$7:$C$206,$B158,'工作觀察輸入'!$G$7:$G$206,$D158,'工作觀察輸入'!$M$7:$M$206,"是"))</x:f>
      </x:c>
      <x:c r="I158" s="117" t="str">
        <x:f>IF($G158=0,"",_xlfn.MAXIFS('工作觀察輸入'!$B$7:$B$206,'工作觀察輸入'!$C$7:$C$206,$B158,'工作觀察輸入'!$G$7:$G$206,$D158,'工作觀察輸入'!$M$7:$M$206,"是"))</x:f>
      </x:c>
      <x:c r="J158" s="115" t="n">
        <x:f>IF($G158=0,0,IF($H158=$I158,1,2))</x:f>
        <x:v>0</x:v>
      </x:c>
      <x:c r="K158" s="115" t="n">
        <x:f>COUNTIFS('工作觀察輸入'!$C$7:$C$206,$B158,'工作觀察輸入'!$G$7:$G$206,$D158,'工作觀察輸入'!$J$7:$J$206,"是")</x:f>
        <x:v>0</x:v>
      </x:c>
      <x:c r="L158" s="115" t="n">
        <x:f>COUNTIFS('面談與異議'!$C$7:$C$106,$B158,'面談與異議'!$F$7:$F$106,$D158,'面談與異議'!$E$7:$E$106,"兩個月面談")</x:f>
        <x:v>0</x:v>
      </x:c>
      <x:c r="M158" s="115" t="str">
        <x:f>IF($E158&lt;&gt;"Ø","不適用",IF(COUNTIFS('事件與限制'!$C$7:$C$106,$B158,'事件與限制'!$E$7:$E$106,$D158,'事件與限制'!$Q$7:$Q$106,"生效中")&gt;0,"資格限制中",IF($F158&lt;&gt;"已核定","先完成基準核定",IF($K158&gt;0,"有關鍵遺漏，先檢討",IF($G158&lt;3,"尚缺成功觀察",IF($J158&lt;2,"觀察日期不足",IF($L158&lt;1,"待兩個月面談","可送主管核定")))))))</x:f>
        <x:v>不適用</x:v>
      </x:c>
      <x:c r="N158" s="116" t="str">
        <x:v>待核定</x:v>
      </x:c>
      <x:c r="O158" s="118"/>
      <x:c r="P158" s="116"/>
      <x:c r="Q158" s="116"/>
      <x:c r="R158" s="115" t="str">
        <x:f>IF($M158&lt;&gt;"可送主管核定","尚未具備條件",IF($N158="不升級","維持原評等",IF($N158="核定升級",IF(OR($O158="",$P158=""),"核定資料未完整","已核定升級"),"待主管核定")))</x:f>
        <x:v>尚未具備條件</x:v>
      </x:c>
    </x:row>
    <x:row r="159">
      <x:c r="A159" s="79" t="str">
        <x:v>UPG|1028|COMMON-IOS</x:v>
      </x:c>
      <x:c r="B159" s="79" t="str">
        <x:v>1028</x:v>
      </x:c>
      <x:c r="C159" s="79" t="str"/>
      <x:c r="D159" s="79" t="str">
        <x:v>COMMON-IOS</x:v>
      </x:c>
      <x:c r="E159" s="79" t="str">
        <x:v>※</x:v>
      </x:c>
      <x:c r="F159" s="115" t="str">
        <x:f>IF($E159="未評估","未建立",_xlfn.XLOOKUP("ABIL|1028|COMMON-IOS",'主管核定中心'!$A$12:$A$372,'主管核定中心'!$K$12:$K$372,"待主管核定",0))</x:f>
        <x:v>待主管核定</x:v>
      </x:c>
      <x:c r="G159" s="115" t="n">
        <x:f>COUNTIFS('工作觀察輸入'!$C$7:$C$206,$B159,'工作觀察輸入'!$G$7:$G$206,$D159,'工作觀察輸入'!$M$7:$M$206,"是")</x:f>
        <x:v>0</x:v>
      </x:c>
      <x:c r="H159" s="117" t="str">
        <x:f>IF($G159=0,"",_xlfn.MINIFS('工作觀察輸入'!$B$7:$B$206,'工作觀察輸入'!$C$7:$C$206,$B159,'工作觀察輸入'!$G$7:$G$206,$D159,'工作觀察輸入'!$M$7:$M$206,"是"))</x:f>
      </x:c>
      <x:c r="I159" s="117" t="str">
        <x:f>IF($G159=0,"",_xlfn.MAXIFS('工作觀察輸入'!$B$7:$B$206,'工作觀察輸入'!$C$7:$C$206,$B159,'工作觀察輸入'!$G$7:$G$206,$D159,'工作觀察輸入'!$M$7:$M$206,"是"))</x:f>
      </x:c>
      <x:c r="J159" s="115" t="n">
        <x:f>IF($G159=0,0,IF($H159=$I159,1,2))</x:f>
        <x:v>0</x:v>
      </x:c>
      <x:c r="K159" s="115" t="n">
        <x:f>COUNTIFS('工作觀察輸入'!$C$7:$C$206,$B159,'工作觀察輸入'!$G$7:$G$206,$D159,'工作觀察輸入'!$J$7:$J$206,"是")</x:f>
        <x:v>0</x:v>
      </x:c>
      <x:c r="L159" s="115" t="n">
        <x:f>COUNTIFS('面談與異議'!$C$7:$C$106,$B159,'面談與異議'!$F$7:$F$106,$D159,'面談與異議'!$E$7:$E$106,"兩個月面談")</x:f>
        <x:v>0</x:v>
      </x:c>
      <x:c r="M159" s="115" t="str">
        <x:f>IF($E159&lt;&gt;"Ø","不適用",IF(COUNTIFS('事件與限制'!$C$7:$C$106,$B159,'事件與限制'!$E$7:$E$106,$D159,'事件與限制'!$Q$7:$Q$106,"生效中")&gt;0,"資格限制中",IF($F159&lt;&gt;"已核定","先完成基準核定",IF($K159&gt;0,"有關鍵遺漏，先檢討",IF($G159&lt;3,"尚缺成功觀察",IF($J159&lt;2,"觀察日期不足",IF($L159&lt;1,"待兩個月面談","可送主管核定")))))))</x:f>
        <x:v>不適用</x:v>
      </x:c>
      <x:c r="N159" s="116" t="str">
        <x:v>待核定</x:v>
      </x:c>
      <x:c r="O159" s="118"/>
      <x:c r="P159" s="116"/>
      <x:c r="Q159" s="116"/>
      <x:c r="R159" s="115" t="str">
        <x:f>IF($M159&lt;&gt;"可送主管核定","尚未具備條件",IF($N159="不升級","維持原評等",IF($N159="核定升級",IF(OR($O159="",$P159=""),"核定資料未完整","已核定升級"),"待主管核定")))</x:f>
        <x:v>尚未具備條件</x:v>
      </x:c>
    </x:row>
    <x:row r="160">
      <x:c r="A160" s="79" t="str">
        <x:v>UPG|1029|LJT-PREP-SCALING</x:v>
      </x:c>
      <x:c r="B160" s="79" t="str">
        <x:v>1029</x:v>
      </x:c>
      <x:c r="C160" s="79" t="str"/>
      <x:c r="D160" s="79" t="str">
        <x:v>LJT-PREP-SCALING</x:v>
      </x:c>
      <x:c r="E160" s="79" t="str">
        <x:v>未評估</x:v>
      </x:c>
      <x:c r="F160" s="115" t="str">
        <x:f>IF($E160="未評估","未建立",_xlfn.XLOOKUP("ABIL|1029|LJT-PREP-SCALING",'主管核定中心'!$A$12:$A$372,'主管核定中心'!$K$12:$K$372,"待主管核定",0))</x:f>
        <x:v>未建立</x:v>
      </x:c>
      <x:c r="G160" s="115" t="n">
        <x:f>COUNTIFS('工作觀察輸入'!$C$7:$C$206,$B160,'工作觀察輸入'!$G$7:$G$206,$D160,'工作觀察輸入'!$M$7:$M$206,"是")</x:f>
        <x:v>0</x:v>
      </x:c>
      <x:c r="H160" s="117" t="str">
        <x:f>IF($G160=0,"",_xlfn.MINIFS('工作觀察輸入'!$B$7:$B$206,'工作觀察輸入'!$C$7:$C$206,$B160,'工作觀察輸入'!$G$7:$G$206,$D160,'工作觀察輸入'!$M$7:$M$206,"是"))</x:f>
      </x:c>
      <x:c r="I160" s="117" t="str">
        <x:f>IF($G160=0,"",_xlfn.MAXIFS('工作觀察輸入'!$B$7:$B$206,'工作觀察輸入'!$C$7:$C$206,$B160,'工作觀察輸入'!$G$7:$G$206,$D160,'工作觀察輸入'!$M$7:$M$206,"是"))</x:f>
      </x:c>
      <x:c r="J160" s="115" t="n">
        <x:f>IF($G160=0,0,IF($H160=$I160,1,2))</x:f>
        <x:v>0</x:v>
      </x:c>
      <x:c r="K160" s="115" t="n">
        <x:f>COUNTIFS('工作觀察輸入'!$C$7:$C$206,$B160,'工作觀察輸入'!$G$7:$G$206,$D160,'工作觀察輸入'!$J$7:$J$206,"是")</x:f>
        <x:v>0</x:v>
      </x:c>
      <x:c r="L160" s="115" t="n">
        <x:f>COUNTIFS('面談與異議'!$C$7:$C$106,$B160,'面談與異議'!$F$7:$F$106,$D160,'面談與異議'!$E$7:$E$106,"兩個月面談")</x:f>
        <x:v>0</x:v>
      </x:c>
      <x:c r="M160" s="115" t="str">
        <x:f>IF($E160&lt;&gt;"Ø","不適用",IF(COUNTIFS('事件與限制'!$C$7:$C$106,$B160,'事件與限制'!$E$7:$E$106,$D160,'事件與限制'!$Q$7:$Q$106,"生效中")&gt;0,"資格限制中",IF($F160&lt;&gt;"已核定","先完成基準核定",IF($K160&gt;0,"有關鍵遺漏，先檢討",IF($G160&lt;3,"尚缺成功觀察",IF($J160&lt;2,"觀察日期不足",IF($L160&lt;1,"待兩個月面談","可送主管核定")))))))</x:f>
        <x:v>不適用</x:v>
      </x:c>
      <x:c r="N160" s="116" t="str">
        <x:v>待核定</x:v>
      </x:c>
      <x:c r="O160" s="118"/>
      <x:c r="P160" s="116"/>
      <x:c r="Q160" s="116"/>
      <x:c r="R160" s="115" t="str">
        <x:f>IF($M160&lt;&gt;"可送主管核定","尚未具備條件",IF($N160="不升級","維持原評等",IF($N160="核定升級",IF(OR($O160="",$P160=""),"核定資料未完整","已核定升級"),"待主管核定")))</x:f>
        <x:v>尚未具備條件</x:v>
      </x:c>
    </x:row>
    <x:row r="161">
      <x:c r="A161" s="79" t="str">
        <x:v>UPG|1029|LJT-PREP-FILLING</x:v>
      </x:c>
      <x:c r="B161" s="79" t="str">
        <x:v>1029</x:v>
      </x:c>
      <x:c r="C161" s="79" t="str"/>
      <x:c r="D161" s="79" t="str">
        <x:v>LJT-PREP-FILLING</x:v>
      </x:c>
      <x:c r="E161" s="79" t="str">
        <x:v>未評估</x:v>
      </x:c>
      <x:c r="F161" s="115" t="str">
        <x:f>IF($E161="未評估","未建立",_xlfn.XLOOKUP("ABIL|1029|LJT-PREP-FILLING",'主管核定中心'!$A$12:$A$372,'主管核定中心'!$K$12:$K$372,"待主管核定",0))</x:f>
        <x:v>未建立</x:v>
      </x:c>
      <x:c r="G161" s="115" t="n">
        <x:f>COUNTIFS('工作觀察輸入'!$C$7:$C$206,$B161,'工作觀察輸入'!$G$7:$G$206,$D161,'工作觀察輸入'!$M$7:$M$206,"是")</x:f>
        <x:v>0</x:v>
      </x:c>
      <x:c r="H161" s="117" t="str">
        <x:f>IF($G161=0,"",_xlfn.MINIFS('工作觀察輸入'!$B$7:$B$206,'工作觀察輸入'!$C$7:$C$206,$B161,'工作觀察輸入'!$G$7:$G$206,$D161,'工作觀察輸入'!$M$7:$M$206,"是"))</x:f>
      </x:c>
      <x:c r="I161" s="117" t="str">
        <x:f>IF($G161=0,"",_xlfn.MAXIFS('工作觀察輸入'!$B$7:$B$206,'工作觀察輸入'!$C$7:$C$206,$B161,'工作觀察輸入'!$G$7:$G$206,$D161,'工作觀察輸入'!$M$7:$M$206,"是"))</x:f>
      </x:c>
      <x:c r="J161" s="115" t="n">
        <x:f>IF($G161=0,0,IF($H161=$I161,1,2))</x:f>
        <x:v>0</x:v>
      </x:c>
      <x:c r="K161" s="115" t="n">
        <x:f>COUNTIFS('工作觀察輸入'!$C$7:$C$206,$B161,'工作觀察輸入'!$G$7:$G$206,$D161,'工作觀察輸入'!$J$7:$J$206,"是")</x:f>
        <x:v>0</x:v>
      </x:c>
      <x:c r="L161" s="115" t="n">
        <x:f>COUNTIFS('面談與異議'!$C$7:$C$106,$B161,'面談與異議'!$F$7:$F$106,$D161,'面談與異議'!$E$7:$E$106,"兩個月面談")</x:f>
        <x:v>0</x:v>
      </x:c>
      <x:c r="M161" s="115" t="str">
        <x:f>IF($E161&lt;&gt;"Ø","不適用",IF(COUNTIFS('事件與限制'!$C$7:$C$106,$B161,'事件與限制'!$E$7:$E$106,$D161,'事件與限制'!$Q$7:$Q$106,"生效中")&gt;0,"資格限制中",IF($F161&lt;&gt;"已核定","先完成基準核定",IF($K161&gt;0,"有關鍵遺漏，先檢討",IF($G161&lt;3,"尚缺成功觀察",IF($J161&lt;2,"觀察日期不足",IF($L161&lt;1,"待兩個月面談","可送主管核定")))))))</x:f>
        <x:v>不適用</x:v>
      </x:c>
      <x:c r="N161" s="116" t="str">
        <x:v>待核定</x:v>
      </x:c>
      <x:c r="O161" s="118"/>
      <x:c r="P161" s="116"/>
      <x:c r="Q161" s="116"/>
      <x:c r="R161" s="115" t="str">
        <x:f>IF($M161&lt;&gt;"可送主管核定","尚未具備條件",IF($N161="不升級","維持原評等",IF($N161="核定升級",IF(OR($O161="",$P161=""),"核定資料未完整","已核定升級"),"待主管核定")))</x:f>
        <x:v>尚未具備條件</x:v>
      </x:c>
    </x:row>
    <x:row r="162">
      <x:c r="A162" s="79" t="str">
        <x:v>UPG|1029|LJT-PREP-PERIO</x:v>
      </x:c>
      <x:c r="B162" s="79" t="str">
        <x:v>1029</x:v>
      </x:c>
      <x:c r="C162" s="79" t="str"/>
      <x:c r="D162" s="79" t="str">
        <x:v>LJT-PREP-PERIO</x:v>
      </x:c>
      <x:c r="E162" s="79" t="str">
        <x:v>未評估</x:v>
      </x:c>
      <x:c r="F162" s="115" t="str">
        <x:f>IF($E162="未評估","未建立",_xlfn.XLOOKUP("ABIL|1029|LJT-PREP-PERIO",'主管核定中心'!$A$12:$A$372,'主管核定中心'!$K$12:$K$372,"待主管核定",0))</x:f>
        <x:v>未建立</x:v>
      </x:c>
      <x:c r="G162" s="115" t="n">
        <x:f>COUNTIFS('工作觀察輸入'!$C$7:$C$206,$B162,'工作觀察輸入'!$G$7:$G$206,$D162,'工作觀察輸入'!$M$7:$M$206,"是")</x:f>
        <x:v>0</x:v>
      </x:c>
      <x:c r="H162" s="117" t="str">
        <x:f>IF($G162=0,"",_xlfn.MINIFS('工作觀察輸入'!$B$7:$B$206,'工作觀察輸入'!$C$7:$C$206,$B162,'工作觀察輸入'!$G$7:$G$206,$D162,'工作觀察輸入'!$M$7:$M$206,"是"))</x:f>
      </x:c>
      <x:c r="I162" s="117" t="str">
        <x:f>IF($G162=0,"",_xlfn.MAXIFS('工作觀察輸入'!$B$7:$B$206,'工作觀察輸入'!$C$7:$C$206,$B162,'工作觀察輸入'!$G$7:$G$206,$D162,'工作觀察輸入'!$M$7:$M$206,"是"))</x:f>
      </x:c>
      <x:c r="J162" s="115" t="n">
        <x:f>IF($G162=0,0,IF($H162=$I162,1,2))</x:f>
        <x:v>0</x:v>
      </x:c>
      <x:c r="K162" s="115" t="n">
        <x:f>COUNTIFS('工作觀察輸入'!$C$7:$C$206,$B162,'工作觀察輸入'!$G$7:$G$206,$D162,'工作觀察輸入'!$J$7:$J$206,"是")</x:f>
        <x:v>0</x:v>
      </x:c>
      <x:c r="L162" s="115" t="n">
        <x:f>COUNTIFS('面談與異議'!$C$7:$C$106,$B162,'面談與異議'!$F$7:$F$106,$D162,'面談與異議'!$E$7:$E$106,"兩個月面談")</x:f>
        <x:v>0</x:v>
      </x:c>
      <x:c r="M162" s="115" t="str">
        <x:f>IF($E162&lt;&gt;"Ø","不適用",IF(COUNTIFS('事件與限制'!$C$7:$C$106,$B162,'事件與限制'!$E$7:$E$106,$D162,'事件與限制'!$Q$7:$Q$106,"生效中")&gt;0,"資格限制中",IF($F162&lt;&gt;"已核定","先完成基準核定",IF($K162&gt;0,"有關鍵遺漏，先檢討",IF($G162&lt;3,"尚缺成功觀察",IF($J162&lt;2,"觀察日期不足",IF($L162&lt;1,"待兩個月面談","可送主管核定")))))))</x:f>
        <x:v>不適用</x:v>
      </x:c>
      <x:c r="N162" s="116" t="str">
        <x:v>待核定</x:v>
      </x:c>
      <x:c r="O162" s="118"/>
      <x:c r="P162" s="116"/>
      <x:c r="Q162" s="116"/>
      <x:c r="R162" s="115" t="str">
        <x:f>IF($M162&lt;&gt;"可送主管核定","尚未具備條件",IF($N162="不升級","維持原評等",IF($N162="核定升級",IF(OR($O162="",$P162=""),"核定資料未完整","已核定升級"),"待主管核定")))</x:f>
        <x:v>尚未具備條件</x:v>
      </x:c>
    </x:row>
    <x:row r="163">
      <x:c r="A163" s="79" t="str">
        <x:v>UPG|1029|LJT-PREP-RCT</x:v>
      </x:c>
      <x:c r="B163" s="79" t="str">
        <x:v>1029</x:v>
      </x:c>
      <x:c r="C163" s="79" t="str"/>
      <x:c r="D163" s="79" t="str">
        <x:v>LJT-PREP-RCT</x:v>
      </x:c>
      <x:c r="E163" s="79" t="str">
        <x:v>未評估</x:v>
      </x:c>
      <x:c r="F163" s="115" t="str">
        <x:f>IF($E163="未評估","未建立",_xlfn.XLOOKUP("ABIL|1029|LJT-PREP-RCT",'主管核定中心'!$A$12:$A$372,'主管核定中心'!$K$12:$K$372,"待主管核定",0))</x:f>
        <x:v>未建立</x:v>
      </x:c>
      <x:c r="G163" s="115" t="n">
        <x:f>COUNTIFS('工作觀察輸入'!$C$7:$C$206,$B163,'工作觀察輸入'!$G$7:$G$206,$D163,'工作觀察輸入'!$M$7:$M$206,"是")</x:f>
        <x:v>0</x:v>
      </x:c>
      <x:c r="H163" s="117" t="str">
        <x:f>IF($G163=0,"",_xlfn.MINIFS('工作觀察輸入'!$B$7:$B$206,'工作觀察輸入'!$C$7:$C$206,$B163,'工作觀察輸入'!$G$7:$G$206,$D163,'工作觀察輸入'!$M$7:$M$206,"是"))</x:f>
      </x:c>
      <x:c r="I163" s="117" t="str">
        <x:f>IF($G163=0,"",_xlfn.MAXIFS('工作觀察輸入'!$B$7:$B$206,'工作觀察輸入'!$C$7:$C$206,$B163,'工作觀察輸入'!$G$7:$G$206,$D163,'工作觀察輸入'!$M$7:$M$206,"是"))</x:f>
      </x:c>
      <x:c r="J163" s="115" t="n">
        <x:f>IF($G163=0,0,IF($H163=$I163,1,2))</x:f>
        <x:v>0</x:v>
      </x:c>
      <x:c r="K163" s="115" t="n">
        <x:f>COUNTIFS('工作觀察輸入'!$C$7:$C$206,$B163,'工作觀察輸入'!$G$7:$G$206,$D163,'工作觀察輸入'!$J$7:$J$206,"是")</x:f>
        <x:v>0</x:v>
      </x:c>
      <x:c r="L163" s="115" t="n">
        <x:f>COUNTIFS('面談與異議'!$C$7:$C$106,$B163,'面談與異議'!$F$7:$F$106,$D163,'面談與異議'!$E$7:$E$106,"兩個月面談")</x:f>
        <x:v>0</x:v>
      </x:c>
      <x:c r="M163" s="115" t="str">
        <x:f>IF($E163&lt;&gt;"Ø","不適用",IF(COUNTIFS('事件與限制'!$C$7:$C$106,$B163,'事件與限制'!$E$7:$E$106,$D163,'事件與限制'!$Q$7:$Q$106,"生效中")&gt;0,"資格限制中",IF($F163&lt;&gt;"已核定","先完成基準核定",IF($K163&gt;0,"有關鍵遺漏，先檢討",IF($G163&lt;3,"尚缺成功觀察",IF($J163&lt;2,"觀察日期不足",IF($L163&lt;1,"待兩個月面談","可送主管核定")))))))</x:f>
        <x:v>不適用</x:v>
      </x:c>
      <x:c r="N163" s="116" t="str">
        <x:v>待核定</x:v>
      </x:c>
      <x:c r="O163" s="118"/>
      <x:c r="P163" s="116"/>
      <x:c r="Q163" s="116"/>
      <x:c r="R163" s="115" t="str">
        <x:f>IF($M163&lt;&gt;"可送主管核定","尚未具備條件",IF($N163="不升級","維持原評等",IF($N163="核定升級",IF(OR($O163="",$P163=""),"核定資料未完整","已核定升級"),"待主管核定")))</x:f>
        <x:v>尚未具備條件</x:v>
      </x:c>
    </x:row>
    <x:row r="164">
      <x:c r="A164" s="79" t="str">
        <x:v>UPG|1029|LJT-PREP-EXTRACTION</x:v>
      </x:c>
      <x:c r="B164" s="79" t="str">
        <x:v>1029</x:v>
      </x:c>
      <x:c r="C164" s="79" t="str"/>
      <x:c r="D164" s="79" t="str">
        <x:v>LJT-PREP-EXTRACTION</x:v>
      </x:c>
      <x:c r="E164" s="79" t="str">
        <x:v>未評估</x:v>
      </x:c>
      <x:c r="F164" s="115" t="str">
        <x:f>IF($E164="未評估","未建立",_xlfn.XLOOKUP("ABIL|1029|LJT-PREP-EXTRACTION",'主管核定中心'!$A$12:$A$372,'主管核定中心'!$K$12:$K$372,"待主管核定",0))</x:f>
        <x:v>未建立</x:v>
      </x:c>
      <x:c r="G164" s="115" t="n">
        <x:f>COUNTIFS('工作觀察輸入'!$C$7:$C$206,$B164,'工作觀察輸入'!$G$7:$G$206,$D164,'工作觀察輸入'!$M$7:$M$206,"是")</x:f>
        <x:v>0</x:v>
      </x:c>
      <x:c r="H164" s="117" t="str">
        <x:f>IF($G164=0,"",_xlfn.MINIFS('工作觀察輸入'!$B$7:$B$206,'工作觀察輸入'!$C$7:$C$206,$B164,'工作觀察輸入'!$G$7:$G$206,$D164,'工作觀察輸入'!$M$7:$M$206,"是"))</x:f>
      </x:c>
      <x:c r="I164" s="117" t="str">
        <x:f>IF($G164=0,"",_xlfn.MAXIFS('工作觀察輸入'!$B$7:$B$206,'工作觀察輸入'!$C$7:$C$206,$B164,'工作觀察輸入'!$G$7:$G$206,$D164,'工作觀察輸入'!$M$7:$M$206,"是"))</x:f>
      </x:c>
      <x:c r="J164" s="115" t="n">
        <x:f>IF($G164=0,0,IF($H164=$I164,1,2))</x:f>
        <x:v>0</x:v>
      </x:c>
      <x:c r="K164" s="115" t="n">
        <x:f>COUNTIFS('工作觀察輸入'!$C$7:$C$206,$B164,'工作觀察輸入'!$G$7:$G$206,$D164,'工作觀察輸入'!$J$7:$J$206,"是")</x:f>
        <x:v>0</x:v>
      </x:c>
      <x:c r="L164" s="115" t="n">
        <x:f>COUNTIFS('面談與異議'!$C$7:$C$106,$B164,'面談與異議'!$F$7:$F$106,$D164,'面談與異議'!$E$7:$E$106,"兩個月面談")</x:f>
        <x:v>0</x:v>
      </x:c>
      <x:c r="M164" s="115" t="str">
        <x:f>IF($E164&lt;&gt;"Ø","不適用",IF(COUNTIFS('事件與限制'!$C$7:$C$106,$B164,'事件與限制'!$E$7:$E$106,$D164,'事件與限制'!$Q$7:$Q$106,"生效中")&gt;0,"資格限制中",IF($F164&lt;&gt;"已核定","先完成基準核定",IF($K164&gt;0,"有關鍵遺漏，先檢討",IF($G164&lt;3,"尚缺成功觀察",IF($J164&lt;2,"觀察日期不足",IF($L164&lt;1,"待兩個月面談","可送主管核定")))))))</x:f>
        <x:v>不適用</x:v>
      </x:c>
      <x:c r="N164" s="116" t="str">
        <x:v>待核定</x:v>
      </x:c>
      <x:c r="O164" s="118"/>
      <x:c r="P164" s="116"/>
      <x:c r="Q164" s="116"/>
      <x:c r="R164" s="115" t="str">
        <x:f>IF($M164&lt;&gt;"可送主管核定","尚未具備條件",IF($N164="不升級","維持原評等",IF($N164="核定升級",IF(OR($O164="",$P164=""),"核定資料未完整","已核定升級"),"待主管核定")))</x:f>
        <x:v>尚未具備條件</x:v>
      </x:c>
    </x:row>
    <x:row r="165">
      <x:c r="A165" s="79" t="str">
        <x:v>UPG|1029|LJT-PREP-CROWNPOST</x:v>
      </x:c>
      <x:c r="B165" s="79" t="str">
        <x:v>1029</x:v>
      </x:c>
      <x:c r="C165" s="79" t="str"/>
      <x:c r="D165" s="79" t="str">
        <x:v>LJT-PREP-CROWNPOST</x:v>
      </x:c>
      <x:c r="E165" s="79" t="str">
        <x:v>未評估</x:v>
      </x:c>
      <x:c r="F165" s="115" t="str">
        <x:f>IF($E165="未評估","未建立",_xlfn.XLOOKUP("ABIL|1029|LJT-PREP-CROWNPOST",'主管核定中心'!$A$12:$A$372,'主管核定中心'!$K$12:$K$372,"待主管核定",0))</x:f>
        <x:v>未建立</x:v>
      </x:c>
      <x:c r="G165" s="115" t="n">
        <x:f>COUNTIFS('工作觀察輸入'!$C$7:$C$206,$B165,'工作觀察輸入'!$G$7:$G$206,$D165,'工作觀察輸入'!$M$7:$M$206,"是")</x:f>
        <x:v>0</x:v>
      </x:c>
      <x:c r="H165" s="117" t="str">
        <x:f>IF($G165=0,"",_xlfn.MINIFS('工作觀察輸入'!$B$7:$B$206,'工作觀察輸入'!$C$7:$C$206,$B165,'工作觀察輸入'!$G$7:$G$206,$D165,'工作觀察輸入'!$M$7:$M$206,"是"))</x:f>
      </x:c>
      <x:c r="I165" s="117" t="str">
        <x:f>IF($G165=0,"",_xlfn.MAXIFS('工作觀察輸入'!$B$7:$B$206,'工作觀察輸入'!$C$7:$C$206,$B165,'工作觀察輸入'!$G$7:$G$206,$D165,'工作觀察輸入'!$M$7:$M$206,"是"))</x:f>
      </x:c>
      <x:c r="J165" s="115" t="n">
        <x:f>IF($G165=0,0,IF($H165=$I165,1,2))</x:f>
        <x:v>0</x:v>
      </x:c>
      <x:c r="K165" s="115" t="n">
        <x:f>COUNTIFS('工作觀察輸入'!$C$7:$C$206,$B165,'工作觀察輸入'!$G$7:$G$206,$D165,'工作觀察輸入'!$J$7:$J$206,"是")</x:f>
        <x:v>0</x:v>
      </x:c>
      <x:c r="L165" s="115" t="n">
        <x:f>COUNTIFS('面談與異議'!$C$7:$C$106,$B165,'面談與異議'!$F$7:$F$106,$D165,'面談與異議'!$E$7:$E$106,"兩個月面談")</x:f>
        <x:v>0</x:v>
      </x:c>
      <x:c r="M165" s="115" t="str">
        <x:f>IF($E165&lt;&gt;"Ø","不適用",IF(COUNTIFS('事件與限制'!$C$7:$C$106,$B165,'事件與限制'!$E$7:$E$106,$D165,'事件與限制'!$Q$7:$Q$106,"生效中")&gt;0,"資格限制中",IF($F165&lt;&gt;"已核定","先完成基準核定",IF($K165&gt;0,"有關鍵遺漏，先檢討",IF($G165&lt;3,"尚缺成功觀察",IF($J165&lt;2,"觀察日期不足",IF($L165&lt;1,"待兩個月面談","可送主管核定")))))))</x:f>
        <x:v>不適用</x:v>
      </x:c>
      <x:c r="N165" s="116" t="str">
        <x:v>待核定</x:v>
      </x:c>
      <x:c r="O165" s="118"/>
      <x:c r="P165" s="116"/>
      <x:c r="Q165" s="116"/>
      <x:c r="R165" s="115" t="str">
        <x:f>IF($M165&lt;&gt;"可送主管核定","尚未具備條件",IF($N165="不升級","維持原評等",IF($N165="核定升級",IF(OR($O165="",$P165=""),"核定資料未完整","已核定升級"),"待主管核定")))</x:f>
        <x:v>尚未具備條件</x:v>
      </x:c>
    </x:row>
    <x:row r="166">
      <x:c r="A166" s="79" t="str">
        <x:v>UPG|1029|LJT-PREP-CROWN</x:v>
      </x:c>
      <x:c r="B166" s="79" t="str">
        <x:v>1029</x:v>
      </x:c>
      <x:c r="C166" s="79" t="str"/>
      <x:c r="D166" s="79" t="str">
        <x:v>LJT-PREP-CROWN</x:v>
      </x:c>
      <x:c r="E166" s="79" t="str">
        <x:v>未評估</x:v>
      </x:c>
      <x:c r="F166" s="115" t="str">
        <x:f>IF($E166="未評估","未建立",_xlfn.XLOOKUP("ABIL|1029|LJT-PREP-CROWN",'主管核定中心'!$A$12:$A$372,'主管核定中心'!$K$12:$K$372,"待主管核定",0))</x:f>
        <x:v>未建立</x:v>
      </x:c>
      <x:c r="G166" s="115" t="n">
        <x:f>COUNTIFS('工作觀察輸入'!$C$7:$C$206,$B166,'工作觀察輸入'!$G$7:$G$206,$D166,'工作觀察輸入'!$M$7:$M$206,"是")</x:f>
        <x:v>0</x:v>
      </x:c>
      <x:c r="H166" s="117" t="str">
        <x:f>IF($G166=0,"",_xlfn.MINIFS('工作觀察輸入'!$B$7:$B$206,'工作觀察輸入'!$C$7:$C$206,$B166,'工作觀察輸入'!$G$7:$G$206,$D166,'工作觀察輸入'!$M$7:$M$206,"是"))</x:f>
      </x:c>
      <x:c r="I166" s="117" t="str">
        <x:f>IF($G166=0,"",_xlfn.MAXIFS('工作觀察輸入'!$B$7:$B$206,'工作觀察輸入'!$C$7:$C$206,$B166,'工作觀察輸入'!$G$7:$G$206,$D166,'工作觀察輸入'!$M$7:$M$206,"是"))</x:f>
      </x:c>
      <x:c r="J166" s="115" t="n">
        <x:f>IF($G166=0,0,IF($H166=$I166,1,2))</x:f>
        <x:v>0</x:v>
      </x:c>
      <x:c r="K166" s="115" t="n">
        <x:f>COUNTIFS('工作觀察輸入'!$C$7:$C$206,$B166,'工作觀察輸入'!$G$7:$G$206,$D166,'工作觀察輸入'!$J$7:$J$206,"是")</x:f>
        <x:v>0</x:v>
      </x:c>
      <x:c r="L166" s="115" t="n">
        <x:f>COUNTIFS('面談與異議'!$C$7:$C$106,$B166,'面談與異議'!$F$7:$F$106,$D166,'面談與異議'!$E$7:$E$106,"兩個月面談")</x:f>
        <x:v>0</x:v>
      </x:c>
      <x:c r="M166" s="115" t="str">
        <x:f>IF($E166&lt;&gt;"Ø","不適用",IF(COUNTIFS('事件與限制'!$C$7:$C$106,$B166,'事件與限制'!$E$7:$E$106,$D166,'事件與限制'!$Q$7:$Q$106,"生效中")&gt;0,"資格限制中",IF($F166&lt;&gt;"已核定","先完成基準核定",IF($K166&gt;0,"有關鍵遺漏，先檢討",IF($G166&lt;3,"尚缺成功觀察",IF($J166&lt;2,"觀察日期不足",IF($L166&lt;1,"待兩個月面談","可送主管核定")))))))</x:f>
        <x:v>不適用</x:v>
      </x:c>
      <x:c r="N166" s="116" t="str">
        <x:v>待核定</x:v>
      </x:c>
      <x:c r="O166" s="118"/>
      <x:c r="P166" s="116"/>
      <x:c r="Q166" s="116"/>
      <x:c r="R166" s="115" t="str">
        <x:f>IF($M166&lt;&gt;"可送主管核定","尚未具備條件",IF($N166="不升級","維持原評等",IF($N166="核定升級",IF(OR($O166="",$P166=""),"核定資料未完整","已核定升級"),"待主管核定")))</x:f>
        <x:v>尚未具備條件</x:v>
      </x:c>
    </x:row>
    <x:row r="167">
      <x:c r="A167" s="79" t="str">
        <x:v>UPG|1029|LJT-PREP-RPD</x:v>
      </x:c>
      <x:c r="B167" s="79" t="str">
        <x:v>1029</x:v>
      </x:c>
      <x:c r="C167" s="79" t="str"/>
      <x:c r="D167" s="79" t="str">
        <x:v>LJT-PREP-RPD</x:v>
      </x:c>
      <x:c r="E167" s="79" t="str">
        <x:v>未評估</x:v>
      </x:c>
      <x:c r="F167" s="115" t="str">
        <x:f>IF($E167="未評估","未建立",_xlfn.XLOOKUP("ABIL|1029|LJT-PREP-RPD",'主管核定中心'!$A$12:$A$372,'主管核定中心'!$K$12:$K$372,"待主管核定",0))</x:f>
        <x:v>未建立</x:v>
      </x:c>
      <x:c r="G167" s="115" t="n">
        <x:f>COUNTIFS('工作觀察輸入'!$C$7:$C$206,$B167,'工作觀察輸入'!$G$7:$G$206,$D167,'工作觀察輸入'!$M$7:$M$206,"是")</x:f>
        <x:v>0</x:v>
      </x:c>
      <x:c r="H167" s="117" t="str">
        <x:f>IF($G167=0,"",_xlfn.MINIFS('工作觀察輸入'!$B$7:$B$206,'工作觀察輸入'!$C$7:$C$206,$B167,'工作觀察輸入'!$G$7:$G$206,$D167,'工作觀察輸入'!$M$7:$M$206,"是"))</x:f>
      </x:c>
      <x:c r="I167" s="117" t="str">
        <x:f>IF($G167=0,"",_xlfn.MAXIFS('工作觀察輸入'!$B$7:$B$206,'工作觀察輸入'!$C$7:$C$206,$B167,'工作觀察輸入'!$G$7:$G$206,$D167,'工作觀察輸入'!$M$7:$M$206,"是"))</x:f>
      </x:c>
      <x:c r="J167" s="115" t="n">
        <x:f>IF($G167=0,0,IF($H167=$I167,1,2))</x:f>
        <x:v>0</x:v>
      </x:c>
      <x:c r="K167" s="115" t="n">
        <x:f>COUNTIFS('工作觀察輸入'!$C$7:$C$206,$B167,'工作觀察輸入'!$G$7:$G$206,$D167,'工作觀察輸入'!$J$7:$J$206,"是")</x:f>
        <x:v>0</x:v>
      </x:c>
      <x:c r="L167" s="115" t="n">
        <x:f>COUNTIFS('面談與異議'!$C$7:$C$106,$B167,'面談與異議'!$F$7:$F$106,$D167,'面談與異議'!$E$7:$E$106,"兩個月面談")</x:f>
        <x:v>0</x:v>
      </x:c>
      <x:c r="M167" s="115" t="str">
        <x:f>IF($E167&lt;&gt;"Ø","不適用",IF(COUNTIFS('事件與限制'!$C$7:$C$106,$B167,'事件與限制'!$E$7:$E$106,$D167,'事件與限制'!$Q$7:$Q$106,"生效中")&gt;0,"資格限制中",IF($F167&lt;&gt;"已核定","先完成基準核定",IF($K167&gt;0,"有關鍵遺漏，先檢討",IF($G167&lt;3,"尚缺成功觀察",IF($J167&lt;2,"觀察日期不足",IF($L167&lt;1,"待兩個月面談","可送主管核定")))))))</x:f>
        <x:v>不適用</x:v>
      </x:c>
      <x:c r="N167" s="116" t="str">
        <x:v>待核定</x:v>
      </x:c>
      <x:c r="O167" s="118"/>
      <x:c r="P167" s="116"/>
      <x:c r="Q167" s="116"/>
      <x:c r="R167" s="115" t="str">
        <x:f>IF($M167&lt;&gt;"可送主管核定","尚未具備條件",IF($N167="不升級","維持原評等",IF($N167="核定升級",IF(OR($O167="",$P167=""),"核定資料未完整","已核定升級"),"待主管核定")))</x:f>
        <x:v>尚未具備條件</x:v>
      </x:c>
    </x:row>
    <x:row r="168">
      <x:c r="A168" s="79" t="str">
        <x:v>UPG|1029|LJT-PREP-AIRPOLISH</x:v>
      </x:c>
      <x:c r="B168" s="79" t="str">
        <x:v>1029</x:v>
      </x:c>
      <x:c r="C168" s="79" t="str"/>
      <x:c r="D168" s="79" t="str">
        <x:v>LJT-PREP-AIRPOLISH</x:v>
      </x:c>
      <x:c r="E168" s="79" t="str">
        <x:v>未評估</x:v>
      </x:c>
      <x:c r="F168" s="115" t="str">
        <x:f>IF($E168="未評估","未建立",_xlfn.XLOOKUP("ABIL|1029|LJT-PREP-AIRPOLISH",'主管核定中心'!$A$12:$A$372,'主管核定中心'!$K$12:$K$372,"待主管核定",0))</x:f>
        <x:v>未建立</x:v>
      </x:c>
      <x:c r="G168" s="115" t="n">
        <x:f>COUNTIFS('工作觀察輸入'!$C$7:$C$206,$B168,'工作觀察輸入'!$G$7:$G$206,$D168,'工作觀察輸入'!$M$7:$M$206,"是")</x:f>
        <x:v>0</x:v>
      </x:c>
      <x:c r="H168" s="117" t="str">
        <x:f>IF($G168=0,"",_xlfn.MINIFS('工作觀察輸入'!$B$7:$B$206,'工作觀察輸入'!$C$7:$C$206,$B168,'工作觀察輸入'!$G$7:$G$206,$D168,'工作觀察輸入'!$M$7:$M$206,"是"))</x:f>
      </x:c>
      <x:c r="I168" s="117" t="str">
        <x:f>IF($G168=0,"",_xlfn.MAXIFS('工作觀察輸入'!$B$7:$B$206,'工作觀察輸入'!$C$7:$C$206,$B168,'工作觀察輸入'!$G$7:$G$206,$D168,'工作觀察輸入'!$M$7:$M$206,"是"))</x:f>
      </x:c>
      <x:c r="J168" s="115" t="n">
        <x:f>IF($G168=0,0,IF($H168=$I168,1,2))</x:f>
        <x:v>0</x:v>
      </x:c>
      <x:c r="K168" s="115" t="n">
        <x:f>COUNTIFS('工作觀察輸入'!$C$7:$C$206,$B168,'工作觀察輸入'!$G$7:$G$206,$D168,'工作觀察輸入'!$J$7:$J$206,"是")</x:f>
        <x:v>0</x:v>
      </x:c>
      <x:c r="L168" s="115" t="n">
        <x:f>COUNTIFS('面談與異議'!$C$7:$C$106,$B168,'面談與異議'!$F$7:$F$106,$D168,'面談與異議'!$E$7:$E$106,"兩個月面談")</x:f>
        <x:v>0</x:v>
      </x:c>
      <x:c r="M168" s="115" t="str">
        <x:f>IF($E168&lt;&gt;"Ø","不適用",IF(COUNTIFS('事件與限制'!$C$7:$C$106,$B168,'事件與限制'!$E$7:$E$106,$D168,'事件與限制'!$Q$7:$Q$106,"生效中")&gt;0,"資格限制中",IF($F168&lt;&gt;"已核定","先完成基準核定",IF($K168&gt;0,"有關鍵遺漏，先檢討",IF($G168&lt;3,"尚缺成功觀察",IF($J168&lt;2,"觀察日期不足",IF($L168&lt;1,"待兩個月面談","可送主管核定")))))))</x:f>
        <x:v>不適用</x:v>
      </x:c>
      <x:c r="N168" s="116" t="str">
        <x:v>待核定</x:v>
      </x:c>
      <x:c r="O168" s="118"/>
      <x:c r="P168" s="116"/>
      <x:c r="Q168" s="116"/>
      <x:c r="R168" s="115" t="str">
        <x:f>IF($M168&lt;&gt;"可送主管核定","尚未具備條件",IF($N168="不升級","維持原評等",IF($N168="核定升級",IF(OR($O168="",$P168=""),"核定資料未完整","已核定升級"),"待主管核定")))</x:f>
        <x:v>尚未具備條件</x:v>
      </x:c>
    </x:row>
    <x:row r="169">
      <x:c r="A169" s="79" t="str">
        <x:v>UPG|1029|LJT-PREP-PERIOSURG</x:v>
      </x:c>
      <x:c r="B169" s="79" t="str">
        <x:v>1029</x:v>
      </x:c>
      <x:c r="C169" s="79" t="str"/>
      <x:c r="D169" s="79" t="str">
        <x:v>LJT-PREP-PERIOSURG</x:v>
      </x:c>
      <x:c r="E169" s="79" t="str">
        <x:v>未評估</x:v>
      </x:c>
      <x:c r="F169" s="115" t="str">
        <x:f>IF($E169="未評估","未建立",_xlfn.XLOOKUP("ABIL|1029|LJT-PREP-PERIOSURG",'主管核定中心'!$A$12:$A$372,'主管核定中心'!$K$12:$K$372,"待主管核定",0))</x:f>
        <x:v>未建立</x:v>
      </x:c>
      <x:c r="G169" s="115" t="n">
        <x:f>COUNTIFS('工作觀察輸入'!$C$7:$C$206,$B169,'工作觀察輸入'!$G$7:$G$206,$D169,'工作觀察輸入'!$M$7:$M$206,"是")</x:f>
        <x:v>0</x:v>
      </x:c>
      <x:c r="H169" s="117" t="str">
        <x:f>IF($G169=0,"",_xlfn.MINIFS('工作觀察輸入'!$B$7:$B$206,'工作觀察輸入'!$C$7:$C$206,$B169,'工作觀察輸入'!$G$7:$G$206,$D169,'工作觀察輸入'!$M$7:$M$206,"是"))</x:f>
      </x:c>
      <x:c r="I169" s="117" t="str">
        <x:f>IF($G169=0,"",_xlfn.MAXIFS('工作觀察輸入'!$B$7:$B$206,'工作觀察輸入'!$C$7:$C$206,$B169,'工作觀察輸入'!$G$7:$G$206,$D169,'工作觀察輸入'!$M$7:$M$206,"是"))</x:f>
      </x:c>
      <x:c r="J169" s="115" t="n">
        <x:f>IF($G169=0,0,IF($H169=$I169,1,2))</x:f>
        <x:v>0</x:v>
      </x:c>
      <x:c r="K169" s="115" t="n">
        <x:f>COUNTIFS('工作觀察輸入'!$C$7:$C$206,$B169,'工作觀察輸入'!$G$7:$G$206,$D169,'工作觀察輸入'!$J$7:$J$206,"是")</x:f>
        <x:v>0</x:v>
      </x:c>
      <x:c r="L169" s="115" t="n">
        <x:f>COUNTIFS('面談與異議'!$C$7:$C$106,$B169,'面談與異議'!$F$7:$F$106,$D169,'面談與異議'!$E$7:$E$106,"兩個月面談")</x:f>
        <x:v>0</x:v>
      </x:c>
      <x:c r="M169" s="115" t="str">
        <x:f>IF($E169&lt;&gt;"Ø","不適用",IF(COUNTIFS('事件與限制'!$C$7:$C$106,$B169,'事件與限制'!$E$7:$E$106,$D169,'事件與限制'!$Q$7:$Q$106,"生效中")&gt;0,"資格限制中",IF($F169&lt;&gt;"已核定","先完成基準核定",IF($K169&gt;0,"有關鍵遺漏，先檢討",IF($G169&lt;3,"尚缺成功觀察",IF($J169&lt;2,"觀察日期不足",IF($L169&lt;1,"待兩個月面談","可送主管核定")))))))</x:f>
        <x:v>不適用</x:v>
      </x:c>
      <x:c r="N169" s="116" t="str">
        <x:v>待核定</x:v>
      </x:c>
      <x:c r="O169" s="118"/>
      <x:c r="P169" s="116"/>
      <x:c r="Q169" s="116"/>
      <x:c r="R169" s="115" t="str">
        <x:f>IF($M169&lt;&gt;"可送主管核定","尚未具備條件",IF($N169="不升級","維持原評等",IF($N169="核定升級",IF(OR($O169="",$P169=""),"核定資料未完整","已核定升級"),"待主管核定")))</x:f>
        <x:v>尚未具備條件</x:v>
      </x:c>
    </x:row>
    <x:row r="170">
      <x:c r="A170" s="79" t="str">
        <x:v>UPG|1029|LJT-PREP-MICROENDO</x:v>
      </x:c>
      <x:c r="B170" s="79" t="str">
        <x:v>1029</x:v>
      </x:c>
      <x:c r="C170" s="79" t="str"/>
      <x:c r="D170" s="79" t="str">
        <x:v>LJT-PREP-MICROENDO</x:v>
      </x:c>
      <x:c r="E170" s="79" t="str">
        <x:v>未評估</x:v>
      </x:c>
      <x:c r="F170" s="115" t="str">
        <x:f>IF($E170="未評估","未建立",_xlfn.XLOOKUP("ABIL|1029|LJT-PREP-MICROENDO",'主管核定中心'!$A$12:$A$372,'主管核定中心'!$K$12:$K$372,"待主管核定",0))</x:f>
        <x:v>未建立</x:v>
      </x:c>
      <x:c r="G170" s="115" t="n">
        <x:f>COUNTIFS('工作觀察輸入'!$C$7:$C$206,$B170,'工作觀察輸入'!$G$7:$G$206,$D170,'工作觀察輸入'!$M$7:$M$206,"是")</x:f>
        <x:v>0</x:v>
      </x:c>
      <x:c r="H170" s="117" t="str">
        <x:f>IF($G170=0,"",_xlfn.MINIFS('工作觀察輸入'!$B$7:$B$206,'工作觀察輸入'!$C$7:$C$206,$B170,'工作觀察輸入'!$G$7:$G$206,$D170,'工作觀察輸入'!$M$7:$M$206,"是"))</x:f>
      </x:c>
      <x:c r="I170" s="117" t="str">
        <x:f>IF($G170=0,"",_xlfn.MAXIFS('工作觀察輸入'!$B$7:$B$206,'工作觀察輸入'!$C$7:$C$206,$B170,'工作觀察輸入'!$G$7:$G$206,$D170,'工作觀察輸入'!$M$7:$M$206,"是"))</x:f>
      </x:c>
      <x:c r="J170" s="115" t="n">
        <x:f>IF($G170=0,0,IF($H170=$I170,1,2))</x:f>
        <x:v>0</x:v>
      </x:c>
      <x:c r="K170" s="115" t="n">
        <x:f>COUNTIFS('工作觀察輸入'!$C$7:$C$206,$B170,'工作觀察輸入'!$G$7:$G$206,$D170,'工作觀察輸入'!$J$7:$J$206,"是")</x:f>
        <x:v>0</x:v>
      </x:c>
      <x:c r="L170" s="115" t="n">
        <x:f>COUNTIFS('面談與異議'!$C$7:$C$106,$B170,'面談與異議'!$F$7:$F$106,$D170,'面談與異議'!$E$7:$E$106,"兩個月面談")</x:f>
        <x:v>0</x:v>
      </x:c>
      <x:c r="M170" s="115" t="str">
        <x:f>IF($E170&lt;&gt;"Ø","不適用",IF(COUNTIFS('事件與限制'!$C$7:$C$106,$B170,'事件與限制'!$E$7:$E$106,$D170,'事件與限制'!$Q$7:$Q$106,"生效中")&gt;0,"資格限制中",IF($F170&lt;&gt;"已核定","先完成基準核定",IF($K170&gt;0,"有關鍵遺漏，先檢討",IF($G170&lt;3,"尚缺成功觀察",IF($J170&lt;2,"觀察日期不足",IF($L170&lt;1,"待兩個月面談","可送主管核定")))))))</x:f>
        <x:v>不適用</x:v>
      </x:c>
      <x:c r="N170" s="116" t="str">
        <x:v>待核定</x:v>
      </x:c>
      <x:c r="O170" s="118"/>
      <x:c r="P170" s="116"/>
      <x:c r="Q170" s="116"/>
      <x:c r="R170" s="115" t="str">
        <x:f>IF($M170&lt;&gt;"可送主管核定","尚未具備條件",IF($N170="不升級","維持原評等",IF($N170="核定升級",IF(OR($O170="",$P170=""),"核定資料未完整","已核定升級"),"待主管核定")))</x:f>
        <x:v>尚未具備條件</x:v>
      </x:c>
    </x:row>
    <x:row r="171">
      <x:c r="A171" s="79" t="str">
        <x:v>UPG|1029|LJT-PREP-IMPLANT</x:v>
      </x:c>
      <x:c r="B171" s="79" t="str">
        <x:v>1029</x:v>
      </x:c>
      <x:c r="C171" s="79" t="str"/>
      <x:c r="D171" s="79" t="str">
        <x:v>LJT-PREP-IMPLANT</x:v>
      </x:c>
      <x:c r="E171" s="79" t="str">
        <x:v>未評估</x:v>
      </x:c>
      <x:c r="F171" s="115" t="str">
        <x:f>IF($E171="未評估","未建立",_xlfn.XLOOKUP("ABIL|1029|LJT-PREP-IMPLANT",'主管核定中心'!$A$12:$A$372,'主管核定中心'!$K$12:$K$372,"待主管核定",0))</x:f>
        <x:v>未建立</x:v>
      </x:c>
      <x:c r="G171" s="115" t="n">
        <x:f>COUNTIFS('工作觀察輸入'!$C$7:$C$206,$B171,'工作觀察輸入'!$G$7:$G$206,$D171,'工作觀察輸入'!$M$7:$M$206,"是")</x:f>
        <x:v>0</x:v>
      </x:c>
      <x:c r="H171" s="117" t="str">
        <x:f>IF($G171=0,"",_xlfn.MINIFS('工作觀察輸入'!$B$7:$B$206,'工作觀察輸入'!$C$7:$C$206,$B171,'工作觀察輸入'!$G$7:$G$206,$D171,'工作觀察輸入'!$M$7:$M$206,"是"))</x:f>
      </x:c>
      <x:c r="I171" s="117" t="str">
        <x:f>IF($G171=0,"",_xlfn.MAXIFS('工作觀察輸入'!$B$7:$B$206,'工作觀察輸入'!$C$7:$C$206,$B171,'工作觀察輸入'!$G$7:$G$206,$D171,'工作觀察輸入'!$M$7:$M$206,"是"))</x:f>
      </x:c>
      <x:c r="J171" s="115" t="n">
        <x:f>IF($G171=0,0,IF($H171=$I171,1,2))</x:f>
        <x:v>0</x:v>
      </x:c>
      <x:c r="K171" s="115" t="n">
        <x:f>COUNTIFS('工作觀察輸入'!$C$7:$C$206,$B171,'工作觀察輸入'!$G$7:$G$206,$D171,'工作觀察輸入'!$J$7:$J$206,"是")</x:f>
        <x:v>0</x:v>
      </x:c>
      <x:c r="L171" s="115" t="n">
        <x:f>COUNTIFS('面談與異議'!$C$7:$C$106,$B171,'面談與異議'!$F$7:$F$106,$D171,'面談與異議'!$E$7:$E$106,"兩個月面談")</x:f>
        <x:v>0</x:v>
      </x:c>
      <x:c r="M171" s="115" t="str">
        <x:f>IF($E171&lt;&gt;"Ø","不適用",IF(COUNTIFS('事件與限制'!$C$7:$C$106,$B171,'事件與限制'!$E$7:$E$106,$D171,'事件與限制'!$Q$7:$Q$106,"生效中")&gt;0,"資格限制中",IF($F171&lt;&gt;"已核定","先完成基準核定",IF($K171&gt;0,"有關鍵遺漏，先檢討",IF($G171&lt;3,"尚缺成功觀察",IF($J171&lt;2,"觀察日期不足",IF($L171&lt;1,"待兩個月面談","可送主管核定")))))))</x:f>
        <x:v>不適用</x:v>
      </x:c>
      <x:c r="N171" s="116" t="str">
        <x:v>待核定</x:v>
      </x:c>
      <x:c r="O171" s="118"/>
      <x:c r="P171" s="116"/>
      <x:c r="Q171" s="116"/>
      <x:c r="R171" s="115" t="str">
        <x:f>IF($M171&lt;&gt;"可送主管核定","尚未具備條件",IF($N171="不升級","維持原評等",IF($N171="核定升級",IF(OR($O171="",$P171=""),"核定資料未完整","已核定升級"),"待主管核定")))</x:f>
        <x:v>尚未具備條件</x:v>
      </x:c>
    </x:row>
    <x:row r="172">
      <x:c r="A172" s="79" t="str">
        <x:v>UPG|1029|COMMON-RECORD</x:v>
      </x:c>
      <x:c r="B172" s="79" t="str">
        <x:v>1029</x:v>
      </x:c>
      <x:c r="C172" s="79" t="str"/>
      <x:c r="D172" s="79" t="str">
        <x:v>COMMON-RECORD</x:v>
      </x:c>
      <x:c r="E172" s="79" t="str">
        <x:v>未評估</x:v>
      </x:c>
      <x:c r="F172" s="115" t="str">
        <x:f>IF($E172="未評估","未建立",_xlfn.XLOOKUP("ABIL|1029|COMMON-RECORD",'主管核定中心'!$A$12:$A$372,'主管核定中心'!$K$12:$K$372,"待主管核定",0))</x:f>
        <x:v>未建立</x:v>
      </x:c>
      <x:c r="G172" s="115" t="n">
        <x:f>COUNTIFS('工作觀察輸入'!$C$7:$C$206,$B172,'工作觀察輸入'!$G$7:$G$206,$D172,'工作觀察輸入'!$M$7:$M$206,"是")</x:f>
        <x:v>0</x:v>
      </x:c>
      <x:c r="H172" s="117" t="str">
        <x:f>IF($G172=0,"",_xlfn.MINIFS('工作觀察輸入'!$B$7:$B$206,'工作觀察輸入'!$C$7:$C$206,$B172,'工作觀察輸入'!$G$7:$G$206,$D172,'工作觀察輸入'!$M$7:$M$206,"是"))</x:f>
      </x:c>
      <x:c r="I172" s="117" t="str">
        <x:f>IF($G172=0,"",_xlfn.MAXIFS('工作觀察輸入'!$B$7:$B$206,'工作觀察輸入'!$C$7:$C$206,$B172,'工作觀察輸入'!$G$7:$G$206,$D172,'工作觀察輸入'!$M$7:$M$206,"是"))</x:f>
      </x:c>
      <x:c r="J172" s="115" t="n">
        <x:f>IF($G172=0,0,IF($H172=$I172,1,2))</x:f>
        <x:v>0</x:v>
      </x:c>
      <x:c r="K172" s="115" t="n">
        <x:f>COUNTIFS('工作觀察輸入'!$C$7:$C$206,$B172,'工作觀察輸入'!$G$7:$G$206,$D172,'工作觀察輸入'!$J$7:$J$206,"是")</x:f>
        <x:v>0</x:v>
      </x:c>
      <x:c r="L172" s="115" t="n">
        <x:f>COUNTIFS('面談與異議'!$C$7:$C$106,$B172,'面談與異議'!$F$7:$F$106,$D172,'面談與異議'!$E$7:$E$106,"兩個月面談")</x:f>
        <x:v>0</x:v>
      </x:c>
      <x:c r="M172" s="115" t="str">
        <x:f>IF($E172&lt;&gt;"Ø","不適用",IF(COUNTIFS('事件與限制'!$C$7:$C$106,$B172,'事件與限制'!$E$7:$E$106,$D172,'事件與限制'!$Q$7:$Q$106,"生效中")&gt;0,"資格限制中",IF($F172&lt;&gt;"已核定","先完成基準核定",IF($K172&gt;0,"有關鍵遺漏，先檢討",IF($G172&lt;3,"尚缺成功觀察",IF($J172&lt;2,"觀察日期不足",IF($L172&lt;1,"待兩個月面談","可送主管核定")))))))</x:f>
        <x:v>不適用</x:v>
      </x:c>
      <x:c r="N172" s="116" t="str">
        <x:v>待核定</x:v>
      </x:c>
      <x:c r="O172" s="118"/>
      <x:c r="P172" s="116"/>
      <x:c r="Q172" s="116"/>
      <x:c r="R172" s="115" t="str">
        <x:f>IF($M172&lt;&gt;"可送主管核定","尚未具備條件",IF($N172="不升級","維持原評等",IF($N172="核定升級",IF(OR($O172="",$P172=""),"核定資料未完整","已核定升級"),"待主管核定")))</x:f>
        <x:v>尚未具備條件</x:v>
      </x:c>
    </x:row>
    <x:row r="173">
      <x:c r="A173" s="79" t="str">
        <x:v>UPG|1029|COMMON-INSURANCE</x:v>
      </x:c>
      <x:c r="B173" s="79" t="str">
        <x:v>1029</x:v>
      </x:c>
      <x:c r="C173" s="79" t="str"/>
      <x:c r="D173" s="79" t="str">
        <x:v>COMMON-INSURANCE</x:v>
      </x:c>
      <x:c r="E173" s="79" t="str">
        <x:v>未評估</x:v>
      </x:c>
      <x:c r="F173" s="115" t="str">
        <x:f>IF($E173="未評估","未建立",_xlfn.XLOOKUP("ABIL|1029|COMMON-INSURANCE",'主管核定中心'!$A$12:$A$372,'主管核定中心'!$K$12:$K$372,"待主管核定",0))</x:f>
        <x:v>未建立</x:v>
      </x:c>
      <x:c r="G173" s="115" t="n">
        <x:f>COUNTIFS('工作觀察輸入'!$C$7:$C$206,$B173,'工作觀察輸入'!$G$7:$G$206,$D173,'工作觀察輸入'!$M$7:$M$206,"是")</x:f>
        <x:v>0</x:v>
      </x:c>
      <x:c r="H173" s="117" t="str">
        <x:f>IF($G173=0,"",_xlfn.MINIFS('工作觀察輸入'!$B$7:$B$206,'工作觀察輸入'!$C$7:$C$206,$B173,'工作觀察輸入'!$G$7:$G$206,$D173,'工作觀察輸入'!$M$7:$M$206,"是"))</x:f>
      </x:c>
      <x:c r="I173" s="117" t="str">
        <x:f>IF($G173=0,"",_xlfn.MAXIFS('工作觀察輸入'!$B$7:$B$206,'工作觀察輸入'!$C$7:$C$206,$B173,'工作觀察輸入'!$G$7:$G$206,$D173,'工作觀察輸入'!$M$7:$M$206,"是"))</x:f>
      </x:c>
      <x:c r="J173" s="115" t="n">
        <x:f>IF($G173=0,0,IF($H173=$I173,1,2))</x:f>
        <x:v>0</x:v>
      </x:c>
      <x:c r="K173" s="115" t="n">
        <x:f>COUNTIFS('工作觀察輸入'!$C$7:$C$206,$B173,'工作觀察輸入'!$G$7:$G$206,$D173,'工作觀察輸入'!$J$7:$J$206,"是")</x:f>
        <x:v>0</x:v>
      </x:c>
      <x:c r="L173" s="115" t="n">
        <x:f>COUNTIFS('面談與異議'!$C$7:$C$106,$B173,'面談與異議'!$F$7:$F$106,$D173,'面談與異議'!$E$7:$E$106,"兩個月面談")</x:f>
        <x:v>0</x:v>
      </x:c>
      <x:c r="M173" s="115" t="str">
        <x:f>IF($E173&lt;&gt;"Ø","不適用",IF(COUNTIFS('事件與限制'!$C$7:$C$106,$B173,'事件與限制'!$E$7:$E$106,$D173,'事件與限制'!$Q$7:$Q$106,"生效中")&gt;0,"資格限制中",IF($F173&lt;&gt;"已核定","先完成基準核定",IF($K173&gt;0,"有關鍵遺漏，先檢討",IF($G173&lt;3,"尚缺成功觀察",IF($J173&lt;2,"觀察日期不足",IF($L173&lt;1,"待兩個月面談","可送主管核定")))))))</x:f>
        <x:v>不適用</x:v>
      </x:c>
      <x:c r="N173" s="116" t="str">
        <x:v>待核定</x:v>
      </x:c>
      <x:c r="O173" s="118"/>
      <x:c r="P173" s="116"/>
      <x:c r="Q173" s="116"/>
      <x:c r="R173" s="115" t="str">
        <x:f>IF($M173&lt;&gt;"可送主管核定","尚未具備條件",IF($N173="不升級","維持原評等",IF($N173="核定升級",IF(OR($O173="",$P173=""),"核定資料未完整","已核定升級"),"待主管核定")))</x:f>
        <x:v>尚未具備條件</x:v>
      </x:c>
    </x:row>
    <x:row r="174">
      <x:c r="A174" s="79" t="str">
        <x:v>UPG|1029|COMMON-XRAY-RECORD</x:v>
      </x:c>
      <x:c r="B174" s="79" t="str">
        <x:v>1029</x:v>
      </x:c>
      <x:c r="C174" s="79" t="str"/>
      <x:c r="D174" s="79" t="str">
        <x:v>COMMON-XRAY-RECORD</x:v>
      </x:c>
      <x:c r="E174" s="79" t="str">
        <x:v>未評估</x:v>
      </x:c>
      <x:c r="F174" s="115" t="str">
        <x:f>IF($E174="未評估","未建立",_xlfn.XLOOKUP("ABIL|1029|COMMON-XRAY-RECORD",'主管核定中心'!$A$12:$A$372,'主管核定中心'!$K$12:$K$372,"待主管核定",0))</x:f>
        <x:v>未建立</x:v>
      </x:c>
      <x:c r="G174" s="115" t="n">
        <x:f>COUNTIFS('工作觀察輸入'!$C$7:$C$206,$B174,'工作觀察輸入'!$G$7:$G$206,$D174,'工作觀察輸入'!$M$7:$M$206,"是")</x:f>
        <x:v>0</x:v>
      </x:c>
      <x:c r="H174" s="117" t="str">
        <x:f>IF($G174=0,"",_xlfn.MINIFS('工作觀察輸入'!$B$7:$B$206,'工作觀察輸入'!$C$7:$C$206,$B174,'工作觀察輸入'!$G$7:$G$206,$D174,'工作觀察輸入'!$M$7:$M$206,"是"))</x:f>
      </x:c>
      <x:c r="I174" s="117" t="str">
        <x:f>IF($G174=0,"",_xlfn.MAXIFS('工作觀察輸入'!$B$7:$B$206,'工作觀察輸入'!$C$7:$C$206,$B174,'工作觀察輸入'!$G$7:$G$206,$D174,'工作觀察輸入'!$M$7:$M$206,"是"))</x:f>
      </x:c>
      <x:c r="J174" s="115" t="n">
        <x:f>IF($G174=0,0,IF($H174=$I174,1,2))</x:f>
        <x:v>0</x:v>
      </x:c>
      <x:c r="K174" s="115" t="n">
        <x:f>COUNTIFS('工作觀察輸入'!$C$7:$C$206,$B174,'工作觀察輸入'!$G$7:$G$206,$D174,'工作觀察輸入'!$J$7:$J$206,"是")</x:f>
        <x:v>0</x:v>
      </x:c>
      <x:c r="L174" s="115" t="n">
        <x:f>COUNTIFS('面談與異議'!$C$7:$C$106,$B174,'面談與異議'!$F$7:$F$106,$D174,'面談與異議'!$E$7:$E$106,"兩個月面談")</x:f>
        <x:v>0</x:v>
      </x:c>
      <x:c r="M174" s="115" t="str">
        <x:f>IF($E174&lt;&gt;"Ø","不適用",IF(COUNTIFS('事件與限制'!$C$7:$C$106,$B174,'事件與限制'!$E$7:$E$106,$D174,'事件與限制'!$Q$7:$Q$106,"生效中")&gt;0,"資格限制中",IF($F174&lt;&gt;"已核定","先完成基準核定",IF($K174&gt;0,"有關鍵遺漏，先檢討",IF($G174&lt;3,"尚缺成功觀察",IF($J174&lt;2,"觀察日期不足",IF($L174&lt;1,"待兩個月面談","可送主管核定")))))))</x:f>
        <x:v>不適用</x:v>
      </x:c>
      <x:c r="N174" s="116" t="str">
        <x:v>待核定</x:v>
      </x:c>
      <x:c r="O174" s="118"/>
      <x:c r="P174" s="116"/>
      <x:c r="Q174" s="116"/>
      <x:c r="R174" s="115" t="str">
        <x:f>IF($M174&lt;&gt;"可送主管核定","尚未具備條件",IF($N174="不升級","維持原評等",IF($N174="核定升級",IF(OR($O174="",$P174=""),"核定資料未完整","已核定升級"),"待主管核定")))</x:f>
        <x:v>尚未具備條件</x:v>
      </x:c>
    </x:row>
    <x:row r="175">
      <x:c r="A175" s="79" t="str">
        <x:v>UPG|1029|COMMON-PA</x:v>
      </x:c>
      <x:c r="B175" s="79" t="str">
        <x:v>1029</x:v>
      </x:c>
      <x:c r="C175" s="79" t="str"/>
      <x:c r="D175" s="79" t="str">
        <x:v>COMMON-PA</x:v>
      </x:c>
      <x:c r="E175" s="79" t="str">
        <x:v>未評估</x:v>
      </x:c>
      <x:c r="F175" s="115" t="str">
        <x:f>IF($E175="未評估","未建立",_xlfn.XLOOKUP("ABIL|1029|COMMON-PA",'主管核定中心'!$A$12:$A$372,'主管核定中心'!$K$12:$K$372,"待主管核定",0))</x:f>
        <x:v>未建立</x:v>
      </x:c>
      <x:c r="G175" s="115" t="n">
        <x:f>COUNTIFS('工作觀察輸入'!$C$7:$C$206,$B175,'工作觀察輸入'!$G$7:$G$206,$D175,'工作觀察輸入'!$M$7:$M$206,"是")</x:f>
        <x:v>0</x:v>
      </x:c>
      <x:c r="H175" s="117" t="str">
        <x:f>IF($G175=0,"",_xlfn.MINIFS('工作觀察輸入'!$B$7:$B$206,'工作觀察輸入'!$C$7:$C$206,$B175,'工作觀察輸入'!$G$7:$G$206,$D175,'工作觀察輸入'!$M$7:$M$206,"是"))</x:f>
      </x:c>
      <x:c r="I175" s="117" t="str">
        <x:f>IF($G175=0,"",_xlfn.MAXIFS('工作觀察輸入'!$B$7:$B$206,'工作觀察輸入'!$C$7:$C$206,$B175,'工作觀察輸入'!$G$7:$G$206,$D175,'工作觀察輸入'!$M$7:$M$206,"是"))</x:f>
      </x:c>
      <x:c r="J175" s="115" t="n">
        <x:f>IF($G175=0,0,IF($H175=$I175,1,2))</x:f>
        <x:v>0</x:v>
      </x:c>
      <x:c r="K175" s="115" t="n">
        <x:f>COUNTIFS('工作觀察輸入'!$C$7:$C$206,$B175,'工作觀察輸入'!$G$7:$G$206,$D175,'工作觀察輸入'!$J$7:$J$206,"是")</x:f>
        <x:v>0</x:v>
      </x:c>
      <x:c r="L175" s="115" t="n">
        <x:f>COUNTIFS('面談與異議'!$C$7:$C$106,$B175,'面談與異議'!$F$7:$F$106,$D175,'面談與異議'!$E$7:$E$106,"兩個月面談")</x:f>
        <x:v>0</x:v>
      </x:c>
      <x:c r="M175" s="115" t="str">
        <x:f>IF($E175&lt;&gt;"Ø","不適用",IF(COUNTIFS('事件與限制'!$C$7:$C$106,$B175,'事件與限制'!$E$7:$E$106,$D175,'事件與限制'!$Q$7:$Q$106,"生效中")&gt;0,"資格限制中",IF($F175&lt;&gt;"已核定","先完成基準核定",IF($K175&gt;0,"有關鍵遺漏，先檢討",IF($G175&lt;3,"尚缺成功觀察",IF($J175&lt;2,"觀察日期不足",IF($L175&lt;1,"待兩個月面談","可送主管核定")))))))</x:f>
        <x:v>不適用</x:v>
      </x:c>
      <x:c r="N175" s="116" t="str">
        <x:v>待核定</x:v>
      </x:c>
      <x:c r="O175" s="118"/>
      <x:c r="P175" s="116"/>
      <x:c r="Q175" s="116"/>
      <x:c r="R175" s="115" t="str">
        <x:f>IF($M175&lt;&gt;"可送主管核定","尚未具備條件",IF($N175="不升級","維持原評等",IF($N175="核定升級",IF(OR($O175="",$P175=""),"核定資料未完整","已核定升級"),"待主管核定")))</x:f>
        <x:v>尚未具備條件</x:v>
      </x:c>
    </x:row>
    <x:row r="176">
      <x:c r="A176" s="79" t="str">
        <x:v>UPG|1029|COMMON-IOS</x:v>
      </x:c>
      <x:c r="B176" s="79" t="str">
        <x:v>1029</x:v>
      </x:c>
      <x:c r="C176" s="79" t="str"/>
      <x:c r="D176" s="79" t="str">
        <x:v>COMMON-IOS</x:v>
      </x:c>
      <x:c r="E176" s="79" t="str">
        <x:v>未評估</x:v>
      </x:c>
      <x:c r="F176" s="115" t="str">
        <x:f>IF($E176="未評估","未建立",_xlfn.XLOOKUP("ABIL|1029|COMMON-IOS",'主管核定中心'!$A$12:$A$372,'主管核定中心'!$K$12:$K$372,"待主管核定",0))</x:f>
        <x:v>未建立</x:v>
      </x:c>
      <x:c r="G176" s="115" t="n">
        <x:f>COUNTIFS('工作觀察輸入'!$C$7:$C$206,$B176,'工作觀察輸入'!$G$7:$G$206,$D176,'工作觀察輸入'!$M$7:$M$206,"是")</x:f>
        <x:v>0</x:v>
      </x:c>
      <x:c r="H176" s="117" t="str">
        <x:f>IF($G176=0,"",_xlfn.MINIFS('工作觀察輸入'!$B$7:$B$206,'工作觀察輸入'!$C$7:$C$206,$B176,'工作觀察輸入'!$G$7:$G$206,$D176,'工作觀察輸入'!$M$7:$M$206,"是"))</x:f>
      </x:c>
      <x:c r="I176" s="117" t="str">
        <x:f>IF($G176=0,"",_xlfn.MAXIFS('工作觀察輸入'!$B$7:$B$206,'工作觀察輸入'!$C$7:$C$206,$B176,'工作觀察輸入'!$G$7:$G$206,$D176,'工作觀察輸入'!$M$7:$M$206,"是"))</x:f>
      </x:c>
      <x:c r="J176" s="115" t="n">
        <x:f>IF($G176=0,0,IF($H176=$I176,1,2))</x:f>
        <x:v>0</x:v>
      </x:c>
      <x:c r="K176" s="115" t="n">
        <x:f>COUNTIFS('工作觀察輸入'!$C$7:$C$206,$B176,'工作觀察輸入'!$G$7:$G$206,$D176,'工作觀察輸入'!$J$7:$J$206,"是")</x:f>
        <x:v>0</x:v>
      </x:c>
      <x:c r="L176" s="115" t="n">
        <x:f>COUNTIFS('面談與異議'!$C$7:$C$106,$B176,'面談與異議'!$F$7:$F$106,$D176,'面談與異議'!$E$7:$E$106,"兩個月面談")</x:f>
        <x:v>0</x:v>
      </x:c>
      <x:c r="M176" s="115" t="str">
        <x:f>IF($E176&lt;&gt;"Ø","不適用",IF(COUNTIFS('事件與限制'!$C$7:$C$106,$B176,'事件與限制'!$E$7:$E$106,$D176,'事件與限制'!$Q$7:$Q$106,"生效中")&gt;0,"資格限制中",IF($F176&lt;&gt;"已核定","先完成基準核定",IF($K176&gt;0,"有關鍵遺漏，先檢討",IF($G176&lt;3,"尚缺成功觀察",IF($J176&lt;2,"觀察日期不足",IF($L176&lt;1,"待兩個月面談","可送主管核定")))))))</x:f>
        <x:v>不適用</x:v>
      </x:c>
      <x:c r="N176" s="116" t="str">
        <x:v>待核定</x:v>
      </x:c>
      <x:c r="O176" s="118"/>
      <x:c r="P176" s="116"/>
      <x:c r="Q176" s="116"/>
      <x:c r="R176" s="115" t="str">
        <x:f>IF($M176&lt;&gt;"可送主管核定","尚未具備條件",IF($N176="不升級","維持原評等",IF($N176="核定升級",IF(OR($O176="",$P176=""),"核定資料未完整","已核定升級"),"待主管核定")))</x:f>
        <x:v>尚未具備條件</x:v>
      </x:c>
    </x:row>
    <x:row r="177">
      <x:c r="A177" s="79" t="str">
        <x:v>UPG|1030|LJT-PREP-SCALING</x:v>
      </x:c>
      <x:c r="B177" s="79" t="str">
        <x:v>1030</x:v>
      </x:c>
      <x:c r="C177" s="79" t="str"/>
      <x:c r="D177" s="79" t="str">
        <x:v>LJT-PREP-SCALING</x:v>
      </x:c>
      <x:c r="E177" s="79" t="str">
        <x:v>未評估</x:v>
      </x:c>
      <x:c r="F177" s="115" t="str">
        <x:f>IF($E177="未評估","未建立",_xlfn.XLOOKUP("ABIL|1030|LJT-PREP-SCALING",'主管核定中心'!$A$12:$A$372,'主管核定中心'!$K$12:$K$372,"待主管核定",0))</x:f>
        <x:v>未建立</x:v>
      </x:c>
      <x:c r="G177" s="115" t="n">
        <x:f>COUNTIFS('工作觀察輸入'!$C$7:$C$206,$B177,'工作觀察輸入'!$G$7:$G$206,$D177,'工作觀察輸入'!$M$7:$M$206,"是")</x:f>
        <x:v>0</x:v>
      </x:c>
      <x:c r="H177" s="117" t="str">
        <x:f>IF($G177=0,"",_xlfn.MINIFS('工作觀察輸入'!$B$7:$B$206,'工作觀察輸入'!$C$7:$C$206,$B177,'工作觀察輸入'!$G$7:$G$206,$D177,'工作觀察輸入'!$M$7:$M$206,"是"))</x:f>
      </x:c>
      <x:c r="I177" s="117" t="str">
        <x:f>IF($G177=0,"",_xlfn.MAXIFS('工作觀察輸入'!$B$7:$B$206,'工作觀察輸入'!$C$7:$C$206,$B177,'工作觀察輸入'!$G$7:$G$206,$D177,'工作觀察輸入'!$M$7:$M$206,"是"))</x:f>
      </x:c>
      <x:c r="J177" s="115" t="n">
        <x:f>IF($G177=0,0,IF($H177=$I177,1,2))</x:f>
        <x:v>0</x:v>
      </x:c>
      <x:c r="K177" s="115" t="n">
        <x:f>COUNTIFS('工作觀察輸入'!$C$7:$C$206,$B177,'工作觀察輸入'!$G$7:$G$206,$D177,'工作觀察輸入'!$J$7:$J$206,"是")</x:f>
        <x:v>0</x:v>
      </x:c>
      <x:c r="L177" s="115" t="n">
        <x:f>COUNTIFS('面談與異議'!$C$7:$C$106,$B177,'面談與異議'!$F$7:$F$106,$D177,'面談與異議'!$E$7:$E$106,"兩個月面談")</x:f>
        <x:v>0</x:v>
      </x:c>
      <x:c r="M177" s="115" t="str">
        <x:f>IF($E177&lt;&gt;"Ø","不適用",IF(COUNTIFS('事件與限制'!$C$7:$C$106,$B177,'事件與限制'!$E$7:$E$106,$D177,'事件與限制'!$Q$7:$Q$106,"生效中")&gt;0,"資格限制中",IF($F177&lt;&gt;"已核定","先完成基準核定",IF($K177&gt;0,"有關鍵遺漏，先檢討",IF($G177&lt;3,"尚缺成功觀察",IF($J177&lt;2,"觀察日期不足",IF($L177&lt;1,"待兩個月面談","可送主管核定")))))))</x:f>
        <x:v>不適用</x:v>
      </x:c>
      <x:c r="N177" s="116" t="str">
        <x:v>待核定</x:v>
      </x:c>
      <x:c r="O177" s="118"/>
      <x:c r="P177" s="116"/>
      <x:c r="Q177" s="116"/>
      <x:c r="R177" s="115" t="str">
        <x:f>IF($M177&lt;&gt;"可送主管核定","尚未具備條件",IF($N177="不升級","維持原評等",IF($N177="核定升級",IF(OR($O177="",$P177=""),"核定資料未完整","已核定升級"),"待主管核定")))</x:f>
        <x:v>尚未具備條件</x:v>
      </x:c>
    </x:row>
    <x:row r="178">
      <x:c r="A178" s="79" t="str">
        <x:v>UPG|1030|LJT-PREP-FILLING</x:v>
      </x:c>
      <x:c r="B178" s="79" t="str">
        <x:v>1030</x:v>
      </x:c>
      <x:c r="C178" s="79" t="str"/>
      <x:c r="D178" s="79" t="str">
        <x:v>LJT-PREP-FILLING</x:v>
      </x:c>
      <x:c r="E178" s="79" t="str">
        <x:v>未評估</x:v>
      </x:c>
      <x:c r="F178" s="115" t="str">
        <x:f>IF($E178="未評估","未建立",_xlfn.XLOOKUP("ABIL|1030|LJT-PREP-FILLING",'主管核定中心'!$A$12:$A$372,'主管核定中心'!$K$12:$K$372,"待主管核定",0))</x:f>
        <x:v>未建立</x:v>
      </x:c>
      <x:c r="G178" s="115" t="n">
        <x:f>COUNTIFS('工作觀察輸入'!$C$7:$C$206,$B178,'工作觀察輸入'!$G$7:$G$206,$D178,'工作觀察輸入'!$M$7:$M$206,"是")</x:f>
        <x:v>0</x:v>
      </x:c>
      <x:c r="H178" s="117" t="str">
        <x:f>IF($G178=0,"",_xlfn.MINIFS('工作觀察輸入'!$B$7:$B$206,'工作觀察輸入'!$C$7:$C$206,$B178,'工作觀察輸入'!$G$7:$G$206,$D178,'工作觀察輸入'!$M$7:$M$206,"是"))</x:f>
      </x:c>
      <x:c r="I178" s="117" t="str">
        <x:f>IF($G178=0,"",_xlfn.MAXIFS('工作觀察輸入'!$B$7:$B$206,'工作觀察輸入'!$C$7:$C$206,$B178,'工作觀察輸入'!$G$7:$G$206,$D178,'工作觀察輸入'!$M$7:$M$206,"是"))</x:f>
      </x:c>
      <x:c r="J178" s="115" t="n">
        <x:f>IF($G178=0,0,IF($H178=$I178,1,2))</x:f>
        <x:v>0</x:v>
      </x:c>
      <x:c r="K178" s="115" t="n">
        <x:f>COUNTIFS('工作觀察輸入'!$C$7:$C$206,$B178,'工作觀察輸入'!$G$7:$G$206,$D178,'工作觀察輸入'!$J$7:$J$206,"是")</x:f>
        <x:v>0</x:v>
      </x:c>
      <x:c r="L178" s="115" t="n">
        <x:f>COUNTIFS('面談與異議'!$C$7:$C$106,$B178,'面談與異議'!$F$7:$F$106,$D178,'面談與異議'!$E$7:$E$106,"兩個月面談")</x:f>
        <x:v>0</x:v>
      </x:c>
      <x:c r="M178" s="115" t="str">
        <x:f>IF($E178&lt;&gt;"Ø","不適用",IF(COUNTIFS('事件與限制'!$C$7:$C$106,$B178,'事件與限制'!$E$7:$E$106,$D178,'事件與限制'!$Q$7:$Q$106,"生效中")&gt;0,"資格限制中",IF($F178&lt;&gt;"已核定","先完成基準核定",IF($K178&gt;0,"有關鍵遺漏，先檢討",IF($G178&lt;3,"尚缺成功觀察",IF($J178&lt;2,"觀察日期不足",IF($L178&lt;1,"待兩個月面談","可送主管核定")))))))</x:f>
        <x:v>不適用</x:v>
      </x:c>
      <x:c r="N178" s="116" t="str">
        <x:v>待核定</x:v>
      </x:c>
      <x:c r="O178" s="118"/>
      <x:c r="P178" s="116"/>
      <x:c r="Q178" s="116"/>
      <x:c r="R178" s="115" t="str">
        <x:f>IF($M178&lt;&gt;"可送主管核定","尚未具備條件",IF($N178="不升級","維持原評等",IF($N178="核定升級",IF(OR($O178="",$P178=""),"核定資料未完整","已核定升級"),"待主管核定")))</x:f>
        <x:v>尚未具備條件</x:v>
      </x:c>
    </x:row>
    <x:row r="179">
      <x:c r="A179" s="79" t="str">
        <x:v>UPG|1030|LJT-PREP-PERIO</x:v>
      </x:c>
      <x:c r="B179" s="79" t="str">
        <x:v>1030</x:v>
      </x:c>
      <x:c r="C179" s="79" t="str"/>
      <x:c r="D179" s="79" t="str">
        <x:v>LJT-PREP-PERIO</x:v>
      </x:c>
      <x:c r="E179" s="79" t="str">
        <x:v>未評估</x:v>
      </x:c>
      <x:c r="F179" s="115" t="str">
        <x:f>IF($E179="未評估","未建立",_xlfn.XLOOKUP("ABIL|1030|LJT-PREP-PERIO",'主管核定中心'!$A$12:$A$372,'主管核定中心'!$K$12:$K$372,"待主管核定",0))</x:f>
        <x:v>未建立</x:v>
      </x:c>
      <x:c r="G179" s="115" t="n">
        <x:f>COUNTIFS('工作觀察輸入'!$C$7:$C$206,$B179,'工作觀察輸入'!$G$7:$G$206,$D179,'工作觀察輸入'!$M$7:$M$206,"是")</x:f>
        <x:v>0</x:v>
      </x:c>
      <x:c r="H179" s="117" t="str">
        <x:f>IF($G179=0,"",_xlfn.MINIFS('工作觀察輸入'!$B$7:$B$206,'工作觀察輸入'!$C$7:$C$206,$B179,'工作觀察輸入'!$G$7:$G$206,$D179,'工作觀察輸入'!$M$7:$M$206,"是"))</x:f>
      </x:c>
      <x:c r="I179" s="117" t="str">
        <x:f>IF($G179=0,"",_xlfn.MAXIFS('工作觀察輸入'!$B$7:$B$206,'工作觀察輸入'!$C$7:$C$206,$B179,'工作觀察輸入'!$G$7:$G$206,$D179,'工作觀察輸入'!$M$7:$M$206,"是"))</x:f>
      </x:c>
      <x:c r="J179" s="115" t="n">
        <x:f>IF($G179=0,0,IF($H179=$I179,1,2))</x:f>
        <x:v>0</x:v>
      </x:c>
      <x:c r="K179" s="115" t="n">
        <x:f>COUNTIFS('工作觀察輸入'!$C$7:$C$206,$B179,'工作觀察輸入'!$G$7:$G$206,$D179,'工作觀察輸入'!$J$7:$J$206,"是")</x:f>
        <x:v>0</x:v>
      </x:c>
      <x:c r="L179" s="115" t="n">
        <x:f>COUNTIFS('面談與異議'!$C$7:$C$106,$B179,'面談與異議'!$F$7:$F$106,$D179,'面談與異議'!$E$7:$E$106,"兩個月面談")</x:f>
        <x:v>0</x:v>
      </x:c>
      <x:c r="M179" s="115" t="str">
        <x:f>IF($E179&lt;&gt;"Ø","不適用",IF(COUNTIFS('事件與限制'!$C$7:$C$106,$B179,'事件與限制'!$E$7:$E$106,$D179,'事件與限制'!$Q$7:$Q$106,"生效中")&gt;0,"資格限制中",IF($F179&lt;&gt;"已核定","先完成基準核定",IF($K179&gt;0,"有關鍵遺漏，先檢討",IF($G179&lt;3,"尚缺成功觀察",IF($J179&lt;2,"觀察日期不足",IF($L179&lt;1,"待兩個月面談","可送主管核定")))))))</x:f>
        <x:v>不適用</x:v>
      </x:c>
      <x:c r="N179" s="116" t="str">
        <x:v>待核定</x:v>
      </x:c>
      <x:c r="O179" s="118"/>
      <x:c r="P179" s="116"/>
      <x:c r="Q179" s="116"/>
      <x:c r="R179" s="115" t="str">
        <x:f>IF($M179&lt;&gt;"可送主管核定","尚未具備條件",IF($N179="不升級","維持原評等",IF($N179="核定升級",IF(OR($O179="",$P179=""),"核定資料未完整","已核定升級"),"待主管核定")))</x:f>
        <x:v>尚未具備條件</x:v>
      </x:c>
    </x:row>
    <x:row r="180">
      <x:c r="A180" s="79" t="str">
        <x:v>UPG|1030|LJT-PREP-RCT</x:v>
      </x:c>
      <x:c r="B180" s="79" t="str">
        <x:v>1030</x:v>
      </x:c>
      <x:c r="C180" s="79" t="str"/>
      <x:c r="D180" s="79" t="str">
        <x:v>LJT-PREP-RCT</x:v>
      </x:c>
      <x:c r="E180" s="79" t="str">
        <x:v>未評估</x:v>
      </x:c>
      <x:c r="F180" s="115" t="str">
        <x:f>IF($E180="未評估","未建立",_xlfn.XLOOKUP("ABIL|1030|LJT-PREP-RCT",'主管核定中心'!$A$12:$A$372,'主管核定中心'!$K$12:$K$372,"待主管核定",0))</x:f>
        <x:v>未建立</x:v>
      </x:c>
      <x:c r="G180" s="115" t="n">
        <x:f>COUNTIFS('工作觀察輸入'!$C$7:$C$206,$B180,'工作觀察輸入'!$G$7:$G$206,$D180,'工作觀察輸入'!$M$7:$M$206,"是")</x:f>
        <x:v>0</x:v>
      </x:c>
      <x:c r="H180" s="117" t="str">
        <x:f>IF($G180=0,"",_xlfn.MINIFS('工作觀察輸入'!$B$7:$B$206,'工作觀察輸入'!$C$7:$C$206,$B180,'工作觀察輸入'!$G$7:$G$206,$D180,'工作觀察輸入'!$M$7:$M$206,"是"))</x:f>
      </x:c>
      <x:c r="I180" s="117" t="str">
        <x:f>IF($G180=0,"",_xlfn.MAXIFS('工作觀察輸入'!$B$7:$B$206,'工作觀察輸入'!$C$7:$C$206,$B180,'工作觀察輸入'!$G$7:$G$206,$D180,'工作觀察輸入'!$M$7:$M$206,"是"))</x:f>
      </x:c>
      <x:c r="J180" s="115" t="n">
        <x:f>IF($G180=0,0,IF($H180=$I180,1,2))</x:f>
        <x:v>0</x:v>
      </x:c>
      <x:c r="K180" s="115" t="n">
        <x:f>COUNTIFS('工作觀察輸入'!$C$7:$C$206,$B180,'工作觀察輸入'!$G$7:$G$206,$D180,'工作觀察輸入'!$J$7:$J$206,"是")</x:f>
        <x:v>0</x:v>
      </x:c>
      <x:c r="L180" s="115" t="n">
        <x:f>COUNTIFS('面談與異議'!$C$7:$C$106,$B180,'面談與異議'!$F$7:$F$106,$D180,'面談與異議'!$E$7:$E$106,"兩個月面談")</x:f>
        <x:v>0</x:v>
      </x:c>
      <x:c r="M180" s="115" t="str">
        <x:f>IF($E180&lt;&gt;"Ø","不適用",IF(COUNTIFS('事件與限制'!$C$7:$C$106,$B180,'事件與限制'!$E$7:$E$106,$D180,'事件與限制'!$Q$7:$Q$106,"生效中")&gt;0,"資格限制中",IF($F180&lt;&gt;"已核定","先完成基準核定",IF($K180&gt;0,"有關鍵遺漏，先檢討",IF($G180&lt;3,"尚缺成功觀察",IF($J180&lt;2,"觀察日期不足",IF($L180&lt;1,"待兩個月面談","可送主管核定")))))))</x:f>
        <x:v>不適用</x:v>
      </x:c>
      <x:c r="N180" s="116" t="str">
        <x:v>待核定</x:v>
      </x:c>
      <x:c r="O180" s="118"/>
      <x:c r="P180" s="116"/>
      <x:c r="Q180" s="116"/>
      <x:c r="R180" s="115" t="str">
        <x:f>IF($M180&lt;&gt;"可送主管核定","尚未具備條件",IF($N180="不升級","維持原評等",IF($N180="核定升級",IF(OR($O180="",$P180=""),"核定資料未完整","已核定升級"),"待主管核定")))</x:f>
        <x:v>尚未具備條件</x:v>
      </x:c>
    </x:row>
    <x:row r="181">
      <x:c r="A181" s="79" t="str">
        <x:v>UPG|1030|LJT-PREP-EXTRACTION</x:v>
      </x:c>
      <x:c r="B181" s="79" t="str">
        <x:v>1030</x:v>
      </x:c>
      <x:c r="C181" s="79" t="str"/>
      <x:c r="D181" s="79" t="str">
        <x:v>LJT-PREP-EXTRACTION</x:v>
      </x:c>
      <x:c r="E181" s="79" t="str">
        <x:v>未評估</x:v>
      </x:c>
      <x:c r="F181" s="115" t="str">
        <x:f>IF($E181="未評估","未建立",_xlfn.XLOOKUP("ABIL|1030|LJT-PREP-EXTRACTION",'主管核定中心'!$A$12:$A$372,'主管核定中心'!$K$12:$K$372,"待主管核定",0))</x:f>
        <x:v>未建立</x:v>
      </x:c>
      <x:c r="G181" s="115" t="n">
        <x:f>COUNTIFS('工作觀察輸入'!$C$7:$C$206,$B181,'工作觀察輸入'!$G$7:$G$206,$D181,'工作觀察輸入'!$M$7:$M$206,"是")</x:f>
        <x:v>0</x:v>
      </x:c>
      <x:c r="H181" s="117" t="str">
        <x:f>IF($G181=0,"",_xlfn.MINIFS('工作觀察輸入'!$B$7:$B$206,'工作觀察輸入'!$C$7:$C$206,$B181,'工作觀察輸入'!$G$7:$G$206,$D181,'工作觀察輸入'!$M$7:$M$206,"是"))</x:f>
      </x:c>
      <x:c r="I181" s="117" t="str">
        <x:f>IF($G181=0,"",_xlfn.MAXIFS('工作觀察輸入'!$B$7:$B$206,'工作觀察輸入'!$C$7:$C$206,$B181,'工作觀察輸入'!$G$7:$G$206,$D181,'工作觀察輸入'!$M$7:$M$206,"是"))</x:f>
      </x:c>
      <x:c r="J181" s="115" t="n">
        <x:f>IF($G181=0,0,IF($H181=$I181,1,2))</x:f>
        <x:v>0</x:v>
      </x:c>
      <x:c r="K181" s="115" t="n">
        <x:f>COUNTIFS('工作觀察輸入'!$C$7:$C$206,$B181,'工作觀察輸入'!$G$7:$G$206,$D181,'工作觀察輸入'!$J$7:$J$206,"是")</x:f>
        <x:v>0</x:v>
      </x:c>
      <x:c r="L181" s="115" t="n">
        <x:f>COUNTIFS('面談與異議'!$C$7:$C$106,$B181,'面談與異議'!$F$7:$F$106,$D181,'面談與異議'!$E$7:$E$106,"兩個月面談")</x:f>
        <x:v>0</x:v>
      </x:c>
      <x:c r="M181" s="115" t="str">
        <x:f>IF($E181&lt;&gt;"Ø","不適用",IF(COUNTIFS('事件與限制'!$C$7:$C$106,$B181,'事件與限制'!$E$7:$E$106,$D181,'事件與限制'!$Q$7:$Q$106,"生效中")&gt;0,"資格限制中",IF($F181&lt;&gt;"已核定","先完成基準核定",IF($K181&gt;0,"有關鍵遺漏，先檢討",IF($G181&lt;3,"尚缺成功觀察",IF($J181&lt;2,"觀察日期不足",IF($L181&lt;1,"待兩個月面談","可送主管核定")))))))</x:f>
        <x:v>不適用</x:v>
      </x:c>
      <x:c r="N181" s="116" t="str">
        <x:v>待核定</x:v>
      </x:c>
      <x:c r="O181" s="118"/>
      <x:c r="P181" s="116"/>
      <x:c r="Q181" s="116"/>
      <x:c r="R181" s="115" t="str">
        <x:f>IF($M181&lt;&gt;"可送主管核定","尚未具備條件",IF($N181="不升級","維持原評等",IF($N181="核定升級",IF(OR($O181="",$P181=""),"核定資料未完整","已核定升級"),"待主管核定")))</x:f>
        <x:v>尚未具備條件</x:v>
      </x:c>
    </x:row>
    <x:row r="182">
      <x:c r="A182" s="79" t="str">
        <x:v>UPG|1030|LJT-PREP-CROWNPOST</x:v>
      </x:c>
      <x:c r="B182" s="79" t="str">
        <x:v>1030</x:v>
      </x:c>
      <x:c r="C182" s="79" t="str"/>
      <x:c r="D182" s="79" t="str">
        <x:v>LJT-PREP-CROWNPOST</x:v>
      </x:c>
      <x:c r="E182" s="79" t="str">
        <x:v>未評估</x:v>
      </x:c>
      <x:c r="F182" s="115" t="str">
        <x:f>IF($E182="未評估","未建立",_xlfn.XLOOKUP("ABIL|1030|LJT-PREP-CROWNPOST",'主管核定中心'!$A$12:$A$372,'主管核定中心'!$K$12:$K$372,"待主管核定",0))</x:f>
        <x:v>未建立</x:v>
      </x:c>
      <x:c r="G182" s="115" t="n">
        <x:f>COUNTIFS('工作觀察輸入'!$C$7:$C$206,$B182,'工作觀察輸入'!$G$7:$G$206,$D182,'工作觀察輸入'!$M$7:$M$206,"是")</x:f>
        <x:v>0</x:v>
      </x:c>
      <x:c r="H182" s="117" t="str">
        <x:f>IF($G182=0,"",_xlfn.MINIFS('工作觀察輸入'!$B$7:$B$206,'工作觀察輸入'!$C$7:$C$206,$B182,'工作觀察輸入'!$G$7:$G$206,$D182,'工作觀察輸入'!$M$7:$M$206,"是"))</x:f>
      </x:c>
      <x:c r="I182" s="117" t="str">
        <x:f>IF($G182=0,"",_xlfn.MAXIFS('工作觀察輸入'!$B$7:$B$206,'工作觀察輸入'!$C$7:$C$206,$B182,'工作觀察輸入'!$G$7:$G$206,$D182,'工作觀察輸入'!$M$7:$M$206,"是"))</x:f>
      </x:c>
      <x:c r="J182" s="115" t="n">
        <x:f>IF($G182=0,0,IF($H182=$I182,1,2))</x:f>
        <x:v>0</x:v>
      </x:c>
      <x:c r="K182" s="115" t="n">
        <x:f>COUNTIFS('工作觀察輸入'!$C$7:$C$206,$B182,'工作觀察輸入'!$G$7:$G$206,$D182,'工作觀察輸入'!$J$7:$J$206,"是")</x:f>
        <x:v>0</x:v>
      </x:c>
      <x:c r="L182" s="115" t="n">
        <x:f>COUNTIFS('面談與異議'!$C$7:$C$106,$B182,'面談與異議'!$F$7:$F$106,$D182,'面談與異議'!$E$7:$E$106,"兩個月面談")</x:f>
        <x:v>0</x:v>
      </x:c>
      <x:c r="M182" s="115" t="str">
        <x:f>IF($E182&lt;&gt;"Ø","不適用",IF(COUNTIFS('事件與限制'!$C$7:$C$106,$B182,'事件與限制'!$E$7:$E$106,$D182,'事件與限制'!$Q$7:$Q$106,"生效中")&gt;0,"資格限制中",IF($F182&lt;&gt;"已核定","先完成基準核定",IF($K182&gt;0,"有關鍵遺漏，先檢討",IF($G182&lt;3,"尚缺成功觀察",IF($J182&lt;2,"觀察日期不足",IF($L182&lt;1,"待兩個月面談","可送主管核定")))))))</x:f>
        <x:v>不適用</x:v>
      </x:c>
      <x:c r="N182" s="116" t="str">
        <x:v>待核定</x:v>
      </x:c>
      <x:c r="O182" s="118"/>
      <x:c r="P182" s="116"/>
      <x:c r="Q182" s="116"/>
      <x:c r="R182" s="115" t="str">
        <x:f>IF($M182&lt;&gt;"可送主管核定","尚未具備條件",IF($N182="不升級","維持原評等",IF($N182="核定升級",IF(OR($O182="",$P182=""),"核定資料未完整","已核定升級"),"待主管核定")))</x:f>
        <x:v>尚未具備條件</x:v>
      </x:c>
    </x:row>
    <x:row r="183">
      <x:c r="A183" s="79" t="str">
        <x:v>UPG|1030|LJT-PREP-CROWN</x:v>
      </x:c>
      <x:c r="B183" s="79" t="str">
        <x:v>1030</x:v>
      </x:c>
      <x:c r="C183" s="79" t="str"/>
      <x:c r="D183" s="79" t="str">
        <x:v>LJT-PREP-CROWN</x:v>
      </x:c>
      <x:c r="E183" s="79" t="str">
        <x:v>未評估</x:v>
      </x:c>
      <x:c r="F183" s="115" t="str">
        <x:f>IF($E183="未評估","未建立",_xlfn.XLOOKUP("ABIL|1030|LJT-PREP-CROWN",'主管核定中心'!$A$12:$A$372,'主管核定中心'!$K$12:$K$372,"待主管核定",0))</x:f>
        <x:v>未建立</x:v>
      </x:c>
      <x:c r="G183" s="115" t="n">
        <x:f>COUNTIFS('工作觀察輸入'!$C$7:$C$206,$B183,'工作觀察輸入'!$G$7:$G$206,$D183,'工作觀察輸入'!$M$7:$M$206,"是")</x:f>
        <x:v>0</x:v>
      </x:c>
      <x:c r="H183" s="117" t="str">
        <x:f>IF($G183=0,"",_xlfn.MINIFS('工作觀察輸入'!$B$7:$B$206,'工作觀察輸入'!$C$7:$C$206,$B183,'工作觀察輸入'!$G$7:$G$206,$D183,'工作觀察輸入'!$M$7:$M$206,"是"))</x:f>
      </x:c>
      <x:c r="I183" s="117" t="str">
        <x:f>IF($G183=0,"",_xlfn.MAXIFS('工作觀察輸入'!$B$7:$B$206,'工作觀察輸入'!$C$7:$C$206,$B183,'工作觀察輸入'!$G$7:$G$206,$D183,'工作觀察輸入'!$M$7:$M$206,"是"))</x:f>
      </x:c>
      <x:c r="J183" s="115" t="n">
        <x:f>IF($G183=0,0,IF($H183=$I183,1,2))</x:f>
        <x:v>0</x:v>
      </x:c>
      <x:c r="K183" s="115" t="n">
        <x:f>COUNTIFS('工作觀察輸入'!$C$7:$C$206,$B183,'工作觀察輸入'!$G$7:$G$206,$D183,'工作觀察輸入'!$J$7:$J$206,"是")</x:f>
        <x:v>0</x:v>
      </x:c>
      <x:c r="L183" s="115" t="n">
        <x:f>COUNTIFS('面談與異議'!$C$7:$C$106,$B183,'面談與異議'!$F$7:$F$106,$D183,'面談與異議'!$E$7:$E$106,"兩個月面談")</x:f>
        <x:v>0</x:v>
      </x:c>
      <x:c r="M183" s="115" t="str">
        <x:f>IF($E183&lt;&gt;"Ø","不適用",IF(COUNTIFS('事件與限制'!$C$7:$C$106,$B183,'事件與限制'!$E$7:$E$106,$D183,'事件與限制'!$Q$7:$Q$106,"生效中")&gt;0,"資格限制中",IF($F183&lt;&gt;"已核定","先完成基準核定",IF($K183&gt;0,"有關鍵遺漏，先檢討",IF($G183&lt;3,"尚缺成功觀察",IF($J183&lt;2,"觀察日期不足",IF($L183&lt;1,"待兩個月面談","可送主管核定")))))))</x:f>
        <x:v>不適用</x:v>
      </x:c>
      <x:c r="N183" s="116" t="str">
        <x:v>待核定</x:v>
      </x:c>
      <x:c r="O183" s="118"/>
      <x:c r="P183" s="116"/>
      <x:c r="Q183" s="116"/>
      <x:c r="R183" s="115" t="str">
        <x:f>IF($M183&lt;&gt;"可送主管核定","尚未具備條件",IF($N183="不升級","維持原評等",IF($N183="核定升級",IF(OR($O183="",$P183=""),"核定資料未完整","已核定升級"),"待主管核定")))</x:f>
        <x:v>尚未具備條件</x:v>
      </x:c>
    </x:row>
    <x:row r="184">
      <x:c r="A184" s="79" t="str">
        <x:v>UPG|1030|LJT-PREP-RPD</x:v>
      </x:c>
      <x:c r="B184" s="79" t="str">
        <x:v>1030</x:v>
      </x:c>
      <x:c r="C184" s="79" t="str"/>
      <x:c r="D184" s="79" t="str">
        <x:v>LJT-PREP-RPD</x:v>
      </x:c>
      <x:c r="E184" s="79" t="str">
        <x:v>未評估</x:v>
      </x:c>
      <x:c r="F184" s="115" t="str">
        <x:f>IF($E184="未評估","未建立",_xlfn.XLOOKUP("ABIL|1030|LJT-PREP-RPD",'主管核定中心'!$A$12:$A$372,'主管核定中心'!$K$12:$K$372,"待主管核定",0))</x:f>
        <x:v>未建立</x:v>
      </x:c>
      <x:c r="G184" s="115" t="n">
        <x:f>COUNTIFS('工作觀察輸入'!$C$7:$C$206,$B184,'工作觀察輸入'!$G$7:$G$206,$D184,'工作觀察輸入'!$M$7:$M$206,"是")</x:f>
        <x:v>0</x:v>
      </x:c>
      <x:c r="H184" s="117" t="str">
        <x:f>IF($G184=0,"",_xlfn.MINIFS('工作觀察輸入'!$B$7:$B$206,'工作觀察輸入'!$C$7:$C$206,$B184,'工作觀察輸入'!$G$7:$G$206,$D184,'工作觀察輸入'!$M$7:$M$206,"是"))</x:f>
      </x:c>
      <x:c r="I184" s="117" t="str">
        <x:f>IF($G184=0,"",_xlfn.MAXIFS('工作觀察輸入'!$B$7:$B$206,'工作觀察輸入'!$C$7:$C$206,$B184,'工作觀察輸入'!$G$7:$G$206,$D184,'工作觀察輸入'!$M$7:$M$206,"是"))</x:f>
      </x:c>
      <x:c r="J184" s="115" t="n">
        <x:f>IF($G184=0,0,IF($H184=$I184,1,2))</x:f>
        <x:v>0</x:v>
      </x:c>
      <x:c r="K184" s="115" t="n">
        <x:f>COUNTIFS('工作觀察輸入'!$C$7:$C$206,$B184,'工作觀察輸入'!$G$7:$G$206,$D184,'工作觀察輸入'!$J$7:$J$206,"是")</x:f>
        <x:v>0</x:v>
      </x:c>
      <x:c r="L184" s="115" t="n">
        <x:f>COUNTIFS('面談與異議'!$C$7:$C$106,$B184,'面談與異議'!$F$7:$F$106,$D184,'面談與異議'!$E$7:$E$106,"兩個月面談")</x:f>
        <x:v>0</x:v>
      </x:c>
      <x:c r="M184" s="115" t="str">
        <x:f>IF($E184&lt;&gt;"Ø","不適用",IF(COUNTIFS('事件與限制'!$C$7:$C$106,$B184,'事件與限制'!$E$7:$E$106,$D184,'事件與限制'!$Q$7:$Q$106,"生效中")&gt;0,"資格限制中",IF($F184&lt;&gt;"已核定","先完成基準核定",IF($K184&gt;0,"有關鍵遺漏，先檢討",IF($G184&lt;3,"尚缺成功觀察",IF($J184&lt;2,"觀察日期不足",IF($L184&lt;1,"待兩個月面談","可送主管核定")))))))</x:f>
        <x:v>不適用</x:v>
      </x:c>
      <x:c r="N184" s="116" t="str">
        <x:v>待核定</x:v>
      </x:c>
      <x:c r="O184" s="118"/>
      <x:c r="P184" s="116"/>
      <x:c r="Q184" s="116"/>
      <x:c r="R184" s="115" t="str">
        <x:f>IF($M184&lt;&gt;"可送主管核定","尚未具備條件",IF($N184="不升級","維持原評等",IF($N184="核定升級",IF(OR($O184="",$P184=""),"核定資料未完整","已核定升級"),"待主管核定")))</x:f>
        <x:v>尚未具備條件</x:v>
      </x:c>
    </x:row>
    <x:row r="185">
      <x:c r="A185" s="79" t="str">
        <x:v>UPG|1030|LJT-PREP-AIRPOLISH</x:v>
      </x:c>
      <x:c r="B185" s="79" t="str">
        <x:v>1030</x:v>
      </x:c>
      <x:c r="C185" s="79" t="str"/>
      <x:c r="D185" s="79" t="str">
        <x:v>LJT-PREP-AIRPOLISH</x:v>
      </x:c>
      <x:c r="E185" s="79" t="str">
        <x:v>未評估</x:v>
      </x:c>
      <x:c r="F185" s="115" t="str">
        <x:f>IF($E185="未評估","未建立",_xlfn.XLOOKUP("ABIL|1030|LJT-PREP-AIRPOLISH",'主管核定中心'!$A$12:$A$372,'主管核定中心'!$K$12:$K$372,"待主管核定",0))</x:f>
        <x:v>未建立</x:v>
      </x:c>
      <x:c r="G185" s="115" t="n">
        <x:f>COUNTIFS('工作觀察輸入'!$C$7:$C$206,$B185,'工作觀察輸入'!$G$7:$G$206,$D185,'工作觀察輸入'!$M$7:$M$206,"是")</x:f>
        <x:v>0</x:v>
      </x:c>
      <x:c r="H185" s="117" t="str">
        <x:f>IF($G185=0,"",_xlfn.MINIFS('工作觀察輸入'!$B$7:$B$206,'工作觀察輸入'!$C$7:$C$206,$B185,'工作觀察輸入'!$G$7:$G$206,$D185,'工作觀察輸入'!$M$7:$M$206,"是"))</x:f>
      </x:c>
      <x:c r="I185" s="117" t="str">
        <x:f>IF($G185=0,"",_xlfn.MAXIFS('工作觀察輸入'!$B$7:$B$206,'工作觀察輸入'!$C$7:$C$206,$B185,'工作觀察輸入'!$G$7:$G$206,$D185,'工作觀察輸入'!$M$7:$M$206,"是"))</x:f>
      </x:c>
      <x:c r="J185" s="115" t="n">
        <x:f>IF($G185=0,0,IF($H185=$I185,1,2))</x:f>
        <x:v>0</x:v>
      </x:c>
      <x:c r="K185" s="115" t="n">
        <x:f>COUNTIFS('工作觀察輸入'!$C$7:$C$206,$B185,'工作觀察輸入'!$G$7:$G$206,$D185,'工作觀察輸入'!$J$7:$J$206,"是")</x:f>
        <x:v>0</x:v>
      </x:c>
      <x:c r="L185" s="115" t="n">
        <x:f>COUNTIFS('面談與異議'!$C$7:$C$106,$B185,'面談與異議'!$F$7:$F$106,$D185,'面談與異議'!$E$7:$E$106,"兩個月面談")</x:f>
        <x:v>0</x:v>
      </x:c>
      <x:c r="M185" s="115" t="str">
        <x:f>IF($E185&lt;&gt;"Ø","不適用",IF(COUNTIFS('事件與限制'!$C$7:$C$106,$B185,'事件與限制'!$E$7:$E$106,$D185,'事件與限制'!$Q$7:$Q$106,"生效中")&gt;0,"資格限制中",IF($F185&lt;&gt;"已核定","先完成基準核定",IF($K185&gt;0,"有關鍵遺漏，先檢討",IF($G185&lt;3,"尚缺成功觀察",IF($J185&lt;2,"觀察日期不足",IF($L185&lt;1,"待兩個月面談","可送主管核定")))))))</x:f>
        <x:v>不適用</x:v>
      </x:c>
      <x:c r="N185" s="116" t="str">
        <x:v>待核定</x:v>
      </x:c>
      <x:c r="O185" s="118"/>
      <x:c r="P185" s="116"/>
      <x:c r="Q185" s="116"/>
      <x:c r="R185" s="115" t="str">
        <x:f>IF($M185&lt;&gt;"可送主管核定","尚未具備條件",IF($N185="不升級","維持原評等",IF($N185="核定升級",IF(OR($O185="",$P185=""),"核定資料未完整","已核定升級"),"待主管核定")))</x:f>
        <x:v>尚未具備條件</x:v>
      </x:c>
    </x:row>
    <x:row r="186">
      <x:c r="A186" s="79" t="str">
        <x:v>UPG|1030|LJT-PREP-PERIOSURG</x:v>
      </x:c>
      <x:c r="B186" s="79" t="str">
        <x:v>1030</x:v>
      </x:c>
      <x:c r="C186" s="79" t="str"/>
      <x:c r="D186" s="79" t="str">
        <x:v>LJT-PREP-PERIOSURG</x:v>
      </x:c>
      <x:c r="E186" s="79" t="str">
        <x:v>未評估</x:v>
      </x:c>
      <x:c r="F186" s="115" t="str">
        <x:f>IF($E186="未評估","未建立",_xlfn.XLOOKUP("ABIL|1030|LJT-PREP-PERIOSURG",'主管核定中心'!$A$12:$A$372,'主管核定中心'!$K$12:$K$372,"待主管核定",0))</x:f>
        <x:v>未建立</x:v>
      </x:c>
      <x:c r="G186" s="115" t="n">
        <x:f>COUNTIFS('工作觀察輸入'!$C$7:$C$206,$B186,'工作觀察輸入'!$G$7:$G$206,$D186,'工作觀察輸入'!$M$7:$M$206,"是")</x:f>
        <x:v>0</x:v>
      </x:c>
      <x:c r="H186" s="117" t="str">
        <x:f>IF($G186=0,"",_xlfn.MINIFS('工作觀察輸入'!$B$7:$B$206,'工作觀察輸入'!$C$7:$C$206,$B186,'工作觀察輸入'!$G$7:$G$206,$D186,'工作觀察輸入'!$M$7:$M$206,"是"))</x:f>
      </x:c>
      <x:c r="I186" s="117" t="str">
        <x:f>IF($G186=0,"",_xlfn.MAXIFS('工作觀察輸入'!$B$7:$B$206,'工作觀察輸入'!$C$7:$C$206,$B186,'工作觀察輸入'!$G$7:$G$206,$D186,'工作觀察輸入'!$M$7:$M$206,"是"))</x:f>
      </x:c>
      <x:c r="J186" s="115" t="n">
        <x:f>IF($G186=0,0,IF($H186=$I186,1,2))</x:f>
        <x:v>0</x:v>
      </x:c>
      <x:c r="K186" s="115" t="n">
        <x:f>COUNTIFS('工作觀察輸入'!$C$7:$C$206,$B186,'工作觀察輸入'!$G$7:$G$206,$D186,'工作觀察輸入'!$J$7:$J$206,"是")</x:f>
        <x:v>0</x:v>
      </x:c>
      <x:c r="L186" s="115" t="n">
        <x:f>COUNTIFS('面談與異議'!$C$7:$C$106,$B186,'面談與異議'!$F$7:$F$106,$D186,'面談與異議'!$E$7:$E$106,"兩個月面談")</x:f>
        <x:v>0</x:v>
      </x:c>
      <x:c r="M186" s="115" t="str">
        <x:f>IF($E186&lt;&gt;"Ø","不適用",IF(COUNTIFS('事件與限制'!$C$7:$C$106,$B186,'事件與限制'!$E$7:$E$106,$D186,'事件與限制'!$Q$7:$Q$106,"生效中")&gt;0,"資格限制中",IF($F186&lt;&gt;"已核定","先完成基準核定",IF($K186&gt;0,"有關鍵遺漏，先檢討",IF($G186&lt;3,"尚缺成功觀察",IF($J186&lt;2,"觀察日期不足",IF($L186&lt;1,"待兩個月面談","可送主管核定")))))))</x:f>
        <x:v>不適用</x:v>
      </x:c>
      <x:c r="N186" s="116" t="str">
        <x:v>待核定</x:v>
      </x:c>
      <x:c r="O186" s="118"/>
      <x:c r="P186" s="116"/>
      <x:c r="Q186" s="116"/>
      <x:c r="R186" s="115" t="str">
        <x:f>IF($M186&lt;&gt;"可送主管核定","尚未具備條件",IF($N186="不升級","維持原評等",IF($N186="核定升級",IF(OR($O186="",$P186=""),"核定資料未完整","已核定升級"),"待主管核定")))</x:f>
        <x:v>尚未具備條件</x:v>
      </x:c>
    </x:row>
    <x:row r="187">
      <x:c r="A187" s="79" t="str">
        <x:v>UPG|1030|LJT-PREP-MICROENDO</x:v>
      </x:c>
      <x:c r="B187" s="79" t="str">
        <x:v>1030</x:v>
      </x:c>
      <x:c r="C187" s="79" t="str"/>
      <x:c r="D187" s="79" t="str">
        <x:v>LJT-PREP-MICROENDO</x:v>
      </x:c>
      <x:c r="E187" s="79" t="str">
        <x:v>未評估</x:v>
      </x:c>
      <x:c r="F187" s="115" t="str">
        <x:f>IF($E187="未評估","未建立",_xlfn.XLOOKUP("ABIL|1030|LJT-PREP-MICROENDO",'主管核定中心'!$A$12:$A$372,'主管核定中心'!$K$12:$K$372,"待主管核定",0))</x:f>
        <x:v>未建立</x:v>
      </x:c>
      <x:c r="G187" s="115" t="n">
        <x:f>COUNTIFS('工作觀察輸入'!$C$7:$C$206,$B187,'工作觀察輸入'!$G$7:$G$206,$D187,'工作觀察輸入'!$M$7:$M$206,"是")</x:f>
        <x:v>0</x:v>
      </x:c>
      <x:c r="H187" s="117" t="str">
        <x:f>IF($G187=0,"",_xlfn.MINIFS('工作觀察輸入'!$B$7:$B$206,'工作觀察輸入'!$C$7:$C$206,$B187,'工作觀察輸入'!$G$7:$G$206,$D187,'工作觀察輸入'!$M$7:$M$206,"是"))</x:f>
      </x:c>
      <x:c r="I187" s="117" t="str">
        <x:f>IF($G187=0,"",_xlfn.MAXIFS('工作觀察輸入'!$B$7:$B$206,'工作觀察輸入'!$C$7:$C$206,$B187,'工作觀察輸入'!$G$7:$G$206,$D187,'工作觀察輸入'!$M$7:$M$206,"是"))</x:f>
      </x:c>
      <x:c r="J187" s="115" t="n">
        <x:f>IF($G187=0,0,IF($H187=$I187,1,2))</x:f>
        <x:v>0</x:v>
      </x:c>
      <x:c r="K187" s="115" t="n">
        <x:f>COUNTIFS('工作觀察輸入'!$C$7:$C$206,$B187,'工作觀察輸入'!$G$7:$G$206,$D187,'工作觀察輸入'!$J$7:$J$206,"是")</x:f>
        <x:v>0</x:v>
      </x:c>
      <x:c r="L187" s="115" t="n">
        <x:f>COUNTIFS('面談與異議'!$C$7:$C$106,$B187,'面談與異議'!$F$7:$F$106,$D187,'面談與異議'!$E$7:$E$106,"兩個月面談")</x:f>
        <x:v>0</x:v>
      </x:c>
      <x:c r="M187" s="115" t="str">
        <x:f>IF($E187&lt;&gt;"Ø","不適用",IF(COUNTIFS('事件與限制'!$C$7:$C$106,$B187,'事件與限制'!$E$7:$E$106,$D187,'事件與限制'!$Q$7:$Q$106,"生效中")&gt;0,"資格限制中",IF($F187&lt;&gt;"已核定","先完成基準核定",IF($K187&gt;0,"有關鍵遺漏，先檢討",IF($G187&lt;3,"尚缺成功觀察",IF($J187&lt;2,"觀察日期不足",IF($L187&lt;1,"待兩個月面談","可送主管核定")))))))</x:f>
        <x:v>不適用</x:v>
      </x:c>
      <x:c r="N187" s="116" t="str">
        <x:v>待核定</x:v>
      </x:c>
      <x:c r="O187" s="118"/>
      <x:c r="P187" s="116"/>
      <x:c r="Q187" s="116"/>
      <x:c r="R187" s="115" t="str">
        <x:f>IF($M187&lt;&gt;"可送主管核定","尚未具備條件",IF($N187="不升級","維持原評等",IF($N187="核定升級",IF(OR($O187="",$P187=""),"核定資料未完整","已核定升級"),"待主管核定")))</x:f>
        <x:v>尚未具備條件</x:v>
      </x:c>
    </x:row>
    <x:row r="188">
      <x:c r="A188" s="79" t="str">
        <x:v>UPG|1030|LJT-PREP-IMPLANT</x:v>
      </x:c>
      <x:c r="B188" s="79" t="str">
        <x:v>1030</x:v>
      </x:c>
      <x:c r="C188" s="79" t="str"/>
      <x:c r="D188" s="79" t="str">
        <x:v>LJT-PREP-IMPLANT</x:v>
      </x:c>
      <x:c r="E188" s="79" t="str">
        <x:v>未評估</x:v>
      </x:c>
      <x:c r="F188" s="115" t="str">
        <x:f>IF($E188="未評估","未建立",_xlfn.XLOOKUP("ABIL|1030|LJT-PREP-IMPLANT",'主管核定中心'!$A$12:$A$372,'主管核定中心'!$K$12:$K$372,"待主管核定",0))</x:f>
        <x:v>未建立</x:v>
      </x:c>
      <x:c r="G188" s="115" t="n">
        <x:f>COUNTIFS('工作觀察輸入'!$C$7:$C$206,$B188,'工作觀察輸入'!$G$7:$G$206,$D188,'工作觀察輸入'!$M$7:$M$206,"是")</x:f>
        <x:v>0</x:v>
      </x:c>
      <x:c r="H188" s="117" t="str">
        <x:f>IF($G188=0,"",_xlfn.MINIFS('工作觀察輸入'!$B$7:$B$206,'工作觀察輸入'!$C$7:$C$206,$B188,'工作觀察輸入'!$G$7:$G$206,$D188,'工作觀察輸入'!$M$7:$M$206,"是"))</x:f>
      </x:c>
      <x:c r="I188" s="117" t="str">
        <x:f>IF($G188=0,"",_xlfn.MAXIFS('工作觀察輸入'!$B$7:$B$206,'工作觀察輸入'!$C$7:$C$206,$B188,'工作觀察輸入'!$G$7:$G$206,$D188,'工作觀察輸入'!$M$7:$M$206,"是"))</x:f>
      </x:c>
      <x:c r="J188" s="115" t="n">
        <x:f>IF($G188=0,0,IF($H188=$I188,1,2))</x:f>
        <x:v>0</x:v>
      </x:c>
      <x:c r="K188" s="115" t="n">
        <x:f>COUNTIFS('工作觀察輸入'!$C$7:$C$206,$B188,'工作觀察輸入'!$G$7:$G$206,$D188,'工作觀察輸入'!$J$7:$J$206,"是")</x:f>
        <x:v>0</x:v>
      </x:c>
      <x:c r="L188" s="115" t="n">
        <x:f>COUNTIFS('面談與異議'!$C$7:$C$106,$B188,'面談與異議'!$F$7:$F$106,$D188,'面談與異議'!$E$7:$E$106,"兩個月面談")</x:f>
        <x:v>0</x:v>
      </x:c>
      <x:c r="M188" s="115" t="str">
        <x:f>IF($E188&lt;&gt;"Ø","不適用",IF(COUNTIFS('事件與限制'!$C$7:$C$106,$B188,'事件與限制'!$E$7:$E$106,$D188,'事件與限制'!$Q$7:$Q$106,"生效中")&gt;0,"資格限制中",IF($F188&lt;&gt;"已核定","先完成基準核定",IF($K188&gt;0,"有關鍵遺漏，先檢討",IF($G188&lt;3,"尚缺成功觀察",IF($J188&lt;2,"觀察日期不足",IF($L188&lt;1,"待兩個月面談","可送主管核定")))))))</x:f>
        <x:v>不適用</x:v>
      </x:c>
      <x:c r="N188" s="116" t="str">
        <x:v>待核定</x:v>
      </x:c>
      <x:c r="O188" s="118"/>
      <x:c r="P188" s="116"/>
      <x:c r="Q188" s="116"/>
      <x:c r="R188" s="115" t="str">
        <x:f>IF($M188&lt;&gt;"可送主管核定","尚未具備條件",IF($N188="不升級","維持原評等",IF($N188="核定升級",IF(OR($O188="",$P188=""),"核定資料未完整","已核定升級"),"待主管核定")))</x:f>
        <x:v>尚未具備條件</x:v>
      </x:c>
    </x:row>
    <x:row r="189">
      <x:c r="A189" s="79" t="str">
        <x:v>UPG|1030|COMMON-RECORD</x:v>
      </x:c>
      <x:c r="B189" s="79" t="str">
        <x:v>1030</x:v>
      </x:c>
      <x:c r="C189" s="79" t="str"/>
      <x:c r="D189" s="79" t="str">
        <x:v>COMMON-RECORD</x:v>
      </x:c>
      <x:c r="E189" s="79" t="str">
        <x:v>未評估</x:v>
      </x:c>
      <x:c r="F189" s="115" t="str">
        <x:f>IF($E189="未評估","未建立",_xlfn.XLOOKUP("ABIL|1030|COMMON-RECORD",'主管核定中心'!$A$12:$A$372,'主管核定中心'!$K$12:$K$372,"待主管核定",0))</x:f>
        <x:v>未建立</x:v>
      </x:c>
      <x:c r="G189" s="115" t="n">
        <x:f>COUNTIFS('工作觀察輸入'!$C$7:$C$206,$B189,'工作觀察輸入'!$G$7:$G$206,$D189,'工作觀察輸入'!$M$7:$M$206,"是")</x:f>
        <x:v>0</x:v>
      </x:c>
      <x:c r="H189" s="117" t="str">
        <x:f>IF($G189=0,"",_xlfn.MINIFS('工作觀察輸入'!$B$7:$B$206,'工作觀察輸入'!$C$7:$C$206,$B189,'工作觀察輸入'!$G$7:$G$206,$D189,'工作觀察輸入'!$M$7:$M$206,"是"))</x:f>
      </x:c>
      <x:c r="I189" s="117" t="str">
        <x:f>IF($G189=0,"",_xlfn.MAXIFS('工作觀察輸入'!$B$7:$B$206,'工作觀察輸入'!$C$7:$C$206,$B189,'工作觀察輸入'!$G$7:$G$206,$D189,'工作觀察輸入'!$M$7:$M$206,"是"))</x:f>
      </x:c>
      <x:c r="J189" s="115" t="n">
        <x:f>IF($G189=0,0,IF($H189=$I189,1,2))</x:f>
        <x:v>0</x:v>
      </x:c>
      <x:c r="K189" s="115" t="n">
        <x:f>COUNTIFS('工作觀察輸入'!$C$7:$C$206,$B189,'工作觀察輸入'!$G$7:$G$206,$D189,'工作觀察輸入'!$J$7:$J$206,"是")</x:f>
        <x:v>0</x:v>
      </x:c>
      <x:c r="L189" s="115" t="n">
        <x:f>COUNTIFS('面談與異議'!$C$7:$C$106,$B189,'面談與異議'!$F$7:$F$106,$D189,'面談與異議'!$E$7:$E$106,"兩個月面談")</x:f>
        <x:v>0</x:v>
      </x:c>
      <x:c r="M189" s="115" t="str">
        <x:f>IF($E189&lt;&gt;"Ø","不適用",IF(COUNTIFS('事件與限制'!$C$7:$C$106,$B189,'事件與限制'!$E$7:$E$106,$D189,'事件與限制'!$Q$7:$Q$106,"生效中")&gt;0,"資格限制中",IF($F189&lt;&gt;"已核定","先完成基準核定",IF($K189&gt;0,"有關鍵遺漏，先檢討",IF($G189&lt;3,"尚缺成功觀察",IF($J189&lt;2,"觀察日期不足",IF($L189&lt;1,"待兩個月面談","可送主管核定")))))))</x:f>
        <x:v>不適用</x:v>
      </x:c>
      <x:c r="N189" s="116" t="str">
        <x:v>待核定</x:v>
      </x:c>
      <x:c r="O189" s="118"/>
      <x:c r="P189" s="116"/>
      <x:c r="Q189" s="116"/>
      <x:c r="R189" s="115" t="str">
        <x:f>IF($M189&lt;&gt;"可送主管核定","尚未具備條件",IF($N189="不升級","維持原評等",IF($N189="核定升級",IF(OR($O189="",$P189=""),"核定資料未完整","已核定升級"),"待主管核定")))</x:f>
        <x:v>尚未具備條件</x:v>
      </x:c>
    </x:row>
    <x:row r="190">
      <x:c r="A190" s="79" t="str">
        <x:v>UPG|1030|COMMON-INSURANCE</x:v>
      </x:c>
      <x:c r="B190" s="79" t="str">
        <x:v>1030</x:v>
      </x:c>
      <x:c r="C190" s="79" t="str"/>
      <x:c r="D190" s="79" t="str">
        <x:v>COMMON-INSURANCE</x:v>
      </x:c>
      <x:c r="E190" s="79" t="str">
        <x:v>未評估</x:v>
      </x:c>
      <x:c r="F190" s="115" t="str">
        <x:f>IF($E190="未評估","未建立",_xlfn.XLOOKUP("ABIL|1030|COMMON-INSURANCE",'主管核定中心'!$A$12:$A$372,'主管核定中心'!$K$12:$K$372,"待主管核定",0))</x:f>
        <x:v>未建立</x:v>
      </x:c>
      <x:c r="G190" s="115" t="n">
        <x:f>COUNTIFS('工作觀察輸入'!$C$7:$C$206,$B190,'工作觀察輸入'!$G$7:$G$206,$D190,'工作觀察輸入'!$M$7:$M$206,"是")</x:f>
        <x:v>0</x:v>
      </x:c>
      <x:c r="H190" s="117" t="str">
        <x:f>IF($G190=0,"",_xlfn.MINIFS('工作觀察輸入'!$B$7:$B$206,'工作觀察輸入'!$C$7:$C$206,$B190,'工作觀察輸入'!$G$7:$G$206,$D190,'工作觀察輸入'!$M$7:$M$206,"是"))</x:f>
      </x:c>
      <x:c r="I190" s="117" t="str">
        <x:f>IF($G190=0,"",_xlfn.MAXIFS('工作觀察輸入'!$B$7:$B$206,'工作觀察輸入'!$C$7:$C$206,$B190,'工作觀察輸入'!$G$7:$G$206,$D190,'工作觀察輸入'!$M$7:$M$206,"是"))</x:f>
      </x:c>
      <x:c r="J190" s="115" t="n">
        <x:f>IF($G190=0,0,IF($H190=$I190,1,2))</x:f>
        <x:v>0</x:v>
      </x:c>
      <x:c r="K190" s="115" t="n">
        <x:f>COUNTIFS('工作觀察輸入'!$C$7:$C$206,$B190,'工作觀察輸入'!$G$7:$G$206,$D190,'工作觀察輸入'!$J$7:$J$206,"是")</x:f>
        <x:v>0</x:v>
      </x:c>
      <x:c r="L190" s="115" t="n">
        <x:f>COUNTIFS('面談與異議'!$C$7:$C$106,$B190,'面談與異議'!$F$7:$F$106,$D190,'面談與異議'!$E$7:$E$106,"兩個月面談")</x:f>
        <x:v>0</x:v>
      </x:c>
      <x:c r="M190" s="115" t="str">
        <x:f>IF($E190&lt;&gt;"Ø","不適用",IF(COUNTIFS('事件與限制'!$C$7:$C$106,$B190,'事件與限制'!$E$7:$E$106,$D190,'事件與限制'!$Q$7:$Q$106,"生效中")&gt;0,"資格限制中",IF($F190&lt;&gt;"已核定","先完成基準核定",IF($K190&gt;0,"有關鍵遺漏，先檢討",IF($G190&lt;3,"尚缺成功觀察",IF($J190&lt;2,"觀察日期不足",IF($L190&lt;1,"待兩個月面談","可送主管核定")))))))</x:f>
        <x:v>不適用</x:v>
      </x:c>
      <x:c r="N190" s="116" t="str">
        <x:v>待核定</x:v>
      </x:c>
      <x:c r="O190" s="118"/>
      <x:c r="P190" s="116"/>
      <x:c r="Q190" s="116"/>
      <x:c r="R190" s="115" t="str">
        <x:f>IF($M190&lt;&gt;"可送主管核定","尚未具備條件",IF($N190="不升級","維持原評等",IF($N190="核定升級",IF(OR($O190="",$P190=""),"核定資料未完整","已核定升級"),"待主管核定")))</x:f>
        <x:v>尚未具備條件</x:v>
      </x:c>
    </x:row>
    <x:row r="191">
      <x:c r="A191" s="79" t="str">
        <x:v>UPG|1030|COMMON-XRAY-RECORD</x:v>
      </x:c>
      <x:c r="B191" s="79" t="str">
        <x:v>1030</x:v>
      </x:c>
      <x:c r="C191" s="79" t="str"/>
      <x:c r="D191" s="79" t="str">
        <x:v>COMMON-XRAY-RECORD</x:v>
      </x:c>
      <x:c r="E191" s="79" t="str">
        <x:v>未評估</x:v>
      </x:c>
      <x:c r="F191" s="115" t="str">
        <x:f>IF($E191="未評估","未建立",_xlfn.XLOOKUP("ABIL|1030|COMMON-XRAY-RECORD",'主管核定中心'!$A$12:$A$372,'主管核定中心'!$K$12:$K$372,"待主管核定",0))</x:f>
        <x:v>未建立</x:v>
      </x:c>
      <x:c r="G191" s="115" t="n">
        <x:f>COUNTIFS('工作觀察輸入'!$C$7:$C$206,$B191,'工作觀察輸入'!$G$7:$G$206,$D191,'工作觀察輸入'!$M$7:$M$206,"是")</x:f>
        <x:v>0</x:v>
      </x:c>
      <x:c r="H191" s="117" t="str">
        <x:f>IF($G191=0,"",_xlfn.MINIFS('工作觀察輸入'!$B$7:$B$206,'工作觀察輸入'!$C$7:$C$206,$B191,'工作觀察輸入'!$G$7:$G$206,$D191,'工作觀察輸入'!$M$7:$M$206,"是"))</x:f>
      </x:c>
      <x:c r="I191" s="117" t="str">
        <x:f>IF($G191=0,"",_xlfn.MAXIFS('工作觀察輸入'!$B$7:$B$206,'工作觀察輸入'!$C$7:$C$206,$B191,'工作觀察輸入'!$G$7:$G$206,$D191,'工作觀察輸入'!$M$7:$M$206,"是"))</x:f>
      </x:c>
      <x:c r="J191" s="115" t="n">
        <x:f>IF($G191=0,0,IF($H191=$I191,1,2))</x:f>
        <x:v>0</x:v>
      </x:c>
      <x:c r="K191" s="115" t="n">
        <x:f>COUNTIFS('工作觀察輸入'!$C$7:$C$206,$B191,'工作觀察輸入'!$G$7:$G$206,$D191,'工作觀察輸入'!$J$7:$J$206,"是")</x:f>
        <x:v>0</x:v>
      </x:c>
      <x:c r="L191" s="115" t="n">
        <x:f>COUNTIFS('面談與異議'!$C$7:$C$106,$B191,'面談與異議'!$F$7:$F$106,$D191,'面談與異議'!$E$7:$E$106,"兩個月面談")</x:f>
        <x:v>0</x:v>
      </x:c>
      <x:c r="M191" s="115" t="str">
        <x:f>IF($E191&lt;&gt;"Ø","不適用",IF(COUNTIFS('事件與限制'!$C$7:$C$106,$B191,'事件與限制'!$E$7:$E$106,$D191,'事件與限制'!$Q$7:$Q$106,"生效中")&gt;0,"資格限制中",IF($F191&lt;&gt;"已核定","先完成基準核定",IF($K191&gt;0,"有關鍵遺漏，先檢討",IF($G191&lt;3,"尚缺成功觀察",IF($J191&lt;2,"觀察日期不足",IF($L191&lt;1,"待兩個月面談","可送主管核定")))))))</x:f>
        <x:v>不適用</x:v>
      </x:c>
      <x:c r="N191" s="116" t="str">
        <x:v>待核定</x:v>
      </x:c>
      <x:c r="O191" s="118"/>
      <x:c r="P191" s="116"/>
      <x:c r="Q191" s="116"/>
      <x:c r="R191" s="115" t="str">
        <x:f>IF($M191&lt;&gt;"可送主管核定","尚未具備條件",IF($N191="不升級","維持原評等",IF($N191="核定升級",IF(OR($O191="",$P191=""),"核定資料未完整","已核定升級"),"待主管核定")))</x:f>
        <x:v>尚未具備條件</x:v>
      </x:c>
    </x:row>
    <x:row r="192">
      <x:c r="A192" s="79" t="str">
        <x:v>UPG|1030|COMMON-PA</x:v>
      </x:c>
      <x:c r="B192" s="79" t="str">
        <x:v>1030</x:v>
      </x:c>
      <x:c r="C192" s="79" t="str"/>
      <x:c r="D192" s="79" t="str">
        <x:v>COMMON-PA</x:v>
      </x:c>
      <x:c r="E192" s="79" t="str">
        <x:v>未評估</x:v>
      </x:c>
      <x:c r="F192" s="115" t="str">
        <x:f>IF($E192="未評估","未建立",_xlfn.XLOOKUP("ABIL|1030|COMMON-PA",'主管核定中心'!$A$12:$A$372,'主管核定中心'!$K$12:$K$372,"待主管核定",0))</x:f>
        <x:v>未建立</x:v>
      </x:c>
      <x:c r="G192" s="115" t="n">
        <x:f>COUNTIFS('工作觀察輸入'!$C$7:$C$206,$B192,'工作觀察輸入'!$G$7:$G$206,$D192,'工作觀察輸入'!$M$7:$M$206,"是")</x:f>
        <x:v>0</x:v>
      </x:c>
      <x:c r="H192" s="117" t="str">
        <x:f>IF($G192=0,"",_xlfn.MINIFS('工作觀察輸入'!$B$7:$B$206,'工作觀察輸入'!$C$7:$C$206,$B192,'工作觀察輸入'!$G$7:$G$206,$D192,'工作觀察輸入'!$M$7:$M$206,"是"))</x:f>
      </x:c>
      <x:c r="I192" s="117" t="str">
        <x:f>IF($G192=0,"",_xlfn.MAXIFS('工作觀察輸入'!$B$7:$B$206,'工作觀察輸入'!$C$7:$C$206,$B192,'工作觀察輸入'!$G$7:$G$206,$D192,'工作觀察輸入'!$M$7:$M$206,"是"))</x:f>
      </x:c>
      <x:c r="J192" s="115" t="n">
        <x:f>IF($G192=0,0,IF($H192=$I192,1,2))</x:f>
        <x:v>0</x:v>
      </x:c>
      <x:c r="K192" s="115" t="n">
        <x:f>COUNTIFS('工作觀察輸入'!$C$7:$C$206,$B192,'工作觀察輸入'!$G$7:$G$206,$D192,'工作觀察輸入'!$J$7:$J$206,"是")</x:f>
        <x:v>0</x:v>
      </x:c>
      <x:c r="L192" s="115" t="n">
        <x:f>COUNTIFS('面談與異議'!$C$7:$C$106,$B192,'面談與異議'!$F$7:$F$106,$D192,'面談與異議'!$E$7:$E$106,"兩個月面談")</x:f>
        <x:v>0</x:v>
      </x:c>
      <x:c r="M192" s="115" t="str">
        <x:f>IF($E192&lt;&gt;"Ø","不適用",IF(COUNTIFS('事件與限制'!$C$7:$C$106,$B192,'事件與限制'!$E$7:$E$106,$D192,'事件與限制'!$Q$7:$Q$106,"生效中")&gt;0,"資格限制中",IF($F192&lt;&gt;"已核定","先完成基準核定",IF($K192&gt;0,"有關鍵遺漏，先檢討",IF($G192&lt;3,"尚缺成功觀察",IF($J192&lt;2,"觀察日期不足",IF($L192&lt;1,"待兩個月面談","可送主管核定")))))))</x:f>
        <x:v>不適用</x:v>
      </x:c>
      <x:c r="N192" s="116" t="str">
        <x:v>待核定</x:v>
      </x:c>
      <x:c r="O192" s="118"/>
      <x:c r="P192" s="116"/>
      <x:c r="Q192" s="116"/>
      <x:c r="R192" s="115" t="str">
        <x:f>IF($M192&lt;&gt;"可送主管核定","尚未具備條件",IF($N192="不升級","維持原評等",IF($N192="核定升級",IF(OR($O192="",$P192=""),"核定資料未完整","已核定升級"),"待主管核定")))</x:f>
        <x:v>尚未具備條件</x:v>
      </x:c>
    </x:row>
    <x:row r="193">
      <x:c r="A193" s="79" t="str">
        <x:v>UPG|1030|COMMON-IOS</x:v>
      </x:c>
      <x:c r="B193" s="79" t="str">
        <x:v>1030</x:v>
      </x:c>
      <x:c r="C193" s="79" t="str"/>
      <x:c r="D193" s="79" t="str">
        <x:v>COMMON-IOS</x:v>
      </x:c>
      <x:c r="E193" s="79" t="str">
        <x:v>未評估</x:v>
      </x:c>
      <x:c r="F193" s="115" t="str">
        <x:f>IF($E193="未評估","未建立",_xlfn.XLOOKUP("ABIL|1030|COMMON-IOS",'主管核定中心'!$A$12:$A$372,'主管核定中心'!$K$12:$K$372,"待主管核定",0))</x:f>
        <x:v>未建立</x:v>
      </x:c>
      <x:c r="G193" s="115" t="n">
        <x:f>COUNTIFS('工作觀察輸入'!$C$7:$C$206,$B193,'工作觀察輸入'!$G$7:$G$206,$D193,'工作觀察輸入'!$M$7:$M$206,"是")</x:f>
        <x:v>0</x:v>
      </x:c>
      <x:c r="H193" s="117" t="str">
        <x:f>IF($G193=0,"",_xlfn.MINIFS('工作觀察輸入'!$B$7:$B$206,'工作觀察輸入'!$C$7:$C$206,$B193,'工作觀察輸入'!$G$7:$G$206,$D193,'工作觀察輸入'!$M$7:$M$206,"是"))</x:f>
      </x:c>
      <x:c r="I193" s="117" t="str">
        <x:f>IF($G193=0,"",_xlfn.MAXIFS('工作觀察輸入'!$B$7:$B$206,'工作觀察輸入'!$C$7:$C$206,$B193,'工作觀察輸入'!$G$7:$G$206,$D193,'工作觀察輸入'!$M$7:$M$206,"是"))</x:f>
      </x:c>
      <x:c r="J193" s="115" t="n">
        <x:f>IF($G193=0,0,IF($H193=$I193,1,2))</x:f>
        <x:v>0</x:v>
      </x:c>
      <x:c r="K193" s="115" t="n">
        <x:f>COUNTIFS('工作觀察輸入'!$C$7:$C$206,$B193,'工作觀察輸入'!$G$7:$G$206,$D193,'工作觀察輸入'!$J$7:$J$206,"是")</x:f>
        <x:v>0</x:v>
      </x:c>
      <x:c r="L193" s="115" t="n">
        <x:f>COUNTIFS('面談與異議'!$C$7:$C$106,$B193,'面談與異議'!$F$7:$F$106,$D193,'面談與異議'!$E$7:$E$106,"兩個月面談")</x:f>
        <x:v>0</x:v>
      </x:c>
      <x:c r="M193" s="115" t="str">
        <x:f>IF($E193&lt;&gt;"Ø","不適用",IF(COUNTIFS('事件與限制'!$C$7:$C$106,$B193,'事件與限制'!$E$7:$E$106,$D193,'事件與限制'!$Q$7:$Q$106,"生效中")&gt;0,"資格限制中",IF($F193&lt;&gt;"已核定","先完成基準核定",IF($K193&gt;0,"有關鍵遺漏，先檢討",IF($G193&lt;3,"尚缺成功觀察",IF($J193&lt;2,"觀察日期不足",IF($L193&lt;1,"待兩個月面談","可送主管核定")))))))</x:f>
        <x:v>不適用</x:v>
      </x:c>
      <x:c r="N193" s="116" t="str">
        <x:v>待核定</x:v>
      </x:c>
      <x:c r="O193" s="118"/>
      <x:c r="P193" s="116"/>
      <x:c r="Q193" s="116"/>
      <x:c r="R193" s="115" t="str">
        <x:f>IF($M193&lt;&gt;"可送主管核定","尚未具備條件",IF($N193="不升級","維持原評等",IF($N193="核定升級",IF(OR($O193="",$P193=""),"核定資料未完整","已核定升級"),"待主管核定")))</x:f>
        <x:v>尚未具備條件</x:v>
      </x:c>
    </x:row>
    <x:row r="194">
      <x:c r="A194" s="79" t="str">
        <x:v>UPG|1031|LJT-PREP-SCALING</x:v>
      </x:c>
      <x:c r="B194" s="79" t="str">
        <x:v>1031</x:v>
      </x:c>
      <x:c r="C194" s="79" t="str"/>
      <x:c r="D194" s="79" t="str">
        <x:v>LJT-PREP-SCALING</x:v>
      </x:c>
      <x:c r="E194" s="79" t="str">
        <x:v>未評估</x:v>
      </x:c>
      <x:c r="F194" s="115" t="str">
        <x:f>IF($E194="未評估","未建立",_xlfn.XLOOKUP("ABIL|1031|LJT-PREP-SCALING",'主管核定中心'!$A$12:$A$372,'主管核定中心'!$K$12:$K$372,"待主管核定",0))</x:f>
        <x:v>未建立</x:v>
      </x:c>
      <x:c r="G194" s="115" t="n">
        <x:f>COUNTIFS('工作觀察輸入'!$C$7:$C$206,$B194,'工作觀察輸入'!$G$7:$G$206,$D194,'工作觀察輸入'!$M$7:$M$206,"是")</x:f>
        <x:v>0</x:v>
      </x:c>
      <x:c r="H194" s="117" t="str">
        <x:f>IF($G194=0,"",_xlfn.MINIFS('工作觀察輸入'!$B$7:$B$206,'工作觀察輸入'!$C$7:$C$206,$B194,'工作觀察輸入'!$G$7:$G$206,$D194,'工作觀察輸入'!$M$7:$M$206,"是"))</x:f>
      </x:c>
      <x:c r="I194" s="117" t="str">
        <x:f>IF($G194=0,"",_xlfn.MAXIFS('工作觀察輸入'!$B$7:$B$206,'工作觀察輸入'!$C$7:$C$206,$B194,'工作觀察輸入'!$G$7:$G$206,$D194,'工作觀察輸入'!$M$7:$M$206,"是"))</x:f>
      </x:c>
      <x:c r="J194" s="115" t="n">
        <x:f>IF($G194=0,0,IF($H194=$I194,1,2))</x:f>
        <x:v>0</x:v>
      </x:c>
      <x:c r="K194" s="115" t="n">
        <x:f>COUNTIFS('工作觀察輸入'!$C$7:$C$206,$B194,'工作觀察輸入'!$G$7:$G$206,$D194,'工作觀察輸入'!$J$7:$J$206,"是")</x:f>
        <x:v>0</x:v>
      </x:c>
      <x:c r="L194" s="115" t="n">
        <x:f>COUNTIFS('面談與異議'!$C$7:$C$106,$B194,'面談與異議'!$F$7:$F$106,$D194,'面談與異議'!$E$7:$E$106,"兩個月面談")</x:f>
        <x:v>0</x:v>
      </x:c>
      <x:c r="M194" s="115" t="str">
        <x:f>IF($E194&lt;&gt;"Ø","不適用",IF(COUNTIFS('事件與限制'!$C$7:$C$106,$B194,'事件與限制'!$E$7:$E$106,$D194,'事件與限制'!$Q$7:$Q$106,"生效中")&gt;0,"資格限制中",IF($F194&lt;&gt;"已核定","先完成基準核定",IF($K194&gt;0,"有關鍵遺漏，先檢討",IF($G194&lt;3,"尚缺成功觀察",IF($J194&lt;2,"觀察日期不足",IF($L194&lt;1,"待兩個月面談","可送主管核定")))))))</x:f>
        <x:v>不適用</x:v>
      </x:c>
      <x:c r="N194" s="116" t="str">
        <x:v>待核定</x:v>
      </x:c>
      <x:c r="O194" s="118"/>
      <x:c r="P194" s="116"/>
      <x:c r="Q194" s="116"/>
      <x:c r="R194" s="115" t="str">
        <x:f>IF($M194&lt;&gt;"可送主管核定","尚未具備條件",IF($N194="不升級","維持原評等",IF($N194="核定升級",IF(OR($O194="",$P194=""),"核定資料未完整","已核定升級"),"待主管核定")))</x:f>
        <x:v>尚未具備條件</x:v>
      </x:c>
    </x:row>
    <x:row r="195">
      <x:c r="A195" s="79" t="str">
        <x:v>UPG|1031|LJT-PREP-FILLING</x:v>
      </x:c>
      <x:c r="B195" s="79" t="str">
        <x:v>1031</x:v>
      </x:c>
      <x:c r="C195" s="79" t="str"/>
      <x:c r="D195" s="79" t="str">
        <x:v>LJT-PREP-FILLING</x:v>
      </x:c>
      <x:c r="E195" s="79" t="str">
        <x:v>未評估</x:v>
      </x:c>
      <x:c r="F195" s="115" t="str">
        <x:f>IF($E195="未評估","未建立",_xlfn.XLOOKUP("ABIL|1031|LJT-PREP-FILLING",'主管核定中心'!$A$12:$A$372,'主管核定中心'!$K$12:$K$372,"待主管核定",0))</x:f>
        <x:v>未建立</x:v>
      </x:c>
      <x:c r="G195" s="115" t="n">
        <x:f>COUNTIFS('工作觀察輸入'!$C$7:$C$206,$B195,'工作觀察輸入'!$G$7:$G$206,$D195,'工作觀察輸入'!$M$7:$M$206,"是")</x:f>
        <x:v>0</x:v>
      </x:c>
      <x:c r="H195" s="117" t="str">
        <x:f>IF($G195=0,"",_xlfn.MINIFS('工作觀察輸入'!$B$7:$B$206,'工作觀察輸入'!$C$7:$C$206,$B195,'工作觀察輸入'!$G$7:$G$206,$D195,'工作觀察輸入'!$M$7:$M$206,"是"))</x:f>
      </x:c>
      <x:c r="I195" s="117" t="str">
        <x:f>IF($G195=0,"",_xlfn.MAXIFS('工作觀察輸入'!$B$7:$B$206,'工作觀察輸入'!$C$7:$C$206,$B195,'工作觀察輸入'!$G$7:$G$206,$D195,'工作觀察輸入'!$M$7:$M$206,"是"))</x:f>
      </x:c>
      <x:c r="J195" s="115" t="n">
        <x:f>IF($G195=0,0,IF($H195=$I195,1,2))</x:f>
        <x:v>0</x:v>
      </x:c>
      <x:c r="K195" s="115" t="n">
        <x:f>COUNTIFS('工作觀察輸入'!$C$7:$C$206,$B195,'工作觀察輸入'!$G$7:$G$206,$D195,'工作觀察輸入'!$J$7:$J$206,"是")</x:f>
        <x:v>0</x:v>
      </x:c>
      <x:c r="L195" s="115" t="n">
        <x:f>COUNTIFS('面談與異議'!$C$7:$C$106,$B195,'面談與異議'!$F$7:$F$106,$D195,'面談與異議'!$E$7:$E$106,"兩個月面談")</x:f>
        <x:v>0</x:v>
      </x:c>
      <x:c r="M195" s="115" t="str">
        <x:f>IF($E195&lt;&gt;"Ø","不適用",IF(COUNTIFS('事件與限制'!$C$7:$C$106,$B195,'事件與限制'!$E$7:$E$106,$D195,'事件與限制'!$Q$7:$Q$106,"生效中")&gt;0,"資格限制中",IF($F195&lt;&gt;"已核定","先完成基準核定",IF($K195&gt;0,"有關鍵遺漏，先檢討",IF($G195&lt;3,"尚缺成功觀察",IF($J195&lt;2,"觀察日期不足",IF($L195&lt;1,"待兩個月面談","可送主管核定")))))))</x:f>
        <x:v>不適用</x:v>
      </x:c>
      <x:c r="N195" s="116" t="str">
        <x:v>待核定</x:v>
      </x:c>
      <x:c r="O195" s="118"/>
      <x:c r="P195" s="116"/>
      <x:c r="Q195" s="116"/>
      <x:c r="R195" s="115" t="str">
        <x:f>IF($M195&lt;&gt;"可送主管核定","尚未具備條件",IF($N195="不升級","維持原評等",IF($N195="核定升級",IF(OR($O195="",$P195=""),"核定資料未完整","已核定升級"),"待主管核定")))</x:f>
        <x:v>尚未具備條件</x:v>
      </x:c>
    </x:row>
    <x:row r="196">
      <x:c r="A196" s="79" t="str">
        <x:v>UPG|1031|LJT-PREP-PERIO</x:v>
      </x:c>
      <x:c r="B196" s="79" t="str">
        <x:v>1031</x:v>
      </x:c>
      <x:c r="C196" s="79" t="str"/>
      <x:c r="D196" s="79" t="str">
        <x:v>LJT-PREP-PERIO</x:v>
      </x:c>
      <x:c r="E196" s="79" t="str">
        <x:v>未評估</x:v>
      </x:c>
      <x:c r="F196" s="115" t="str">
        <x:f>IF($E196="未評估","未建立",_xlfn.XLOOKUP("ABIL|1031|LJT-PREP-PERIO",'主管核定中心'!$A$12:$A$372,'主管核定中心'!$K$12:$K$372,"待主管核定",0))</x:f>
        <x:v>未建立</x:v>
      </x:c>
      <x:c r="G196" s="115" t="n">
        <x:f>COUNTIFS('工作觀察輸入'!$C$7:$C$206,$B196,'工作觀察輸入'!$G$7:$G$206,$D196,'工作觀察輸入'!$M$7:$M$206,"是")</x:f>
        <x:v>0</x:v>
      </x:c>
      <x:c r="H196" s="117" t="str">
        <x:f>IF($G196=0,"",_xlfn.MINIFS('工作觀察輸入'!$B$7:$B$206,'工作觀察輸入'!$C$7:$C$206,$B196,'工作觀察輸入'!$G$7:$G$206,$D196,'工作觀察輸入'!$M$7:$M$206,"是"))</x:f>
      </x:c>
      <x:c r="I196" s="117" t="str">
        <x:f>IF($G196=0,"",_xlfn.MAXIFS('工作觀察輸入'!$B$7:$B$206,'工作觀察輸入'!$C$7:$C$206,$B196,'工作觀察輸入'!$G$7:$G$206,$D196,'工作觀察輸入'!$M$7:$M$206,"是"))</x:f>
      </x:c>
      <x:c r="J196" s="115" t="n">
        <x:f>IF($G196=0,0,IF($H196=$I196,1,2))</x:f>
        <x:v>0</x:v>
      </x:c>
      <x:c r="K196" s="115" t="n">
        <x:f>COUNTIFS('工作觀察輸入'!$C$7:$C$206,$B196,'工作觀察輸入'!$G$7:$G$206,$D196,'工作觀察輸入'!$J$7:$J$206,"是")</x:f>
        <x:v>0</x:v>
      </x:c>
      <x:c r="L196" s="115" t="n">
        <x:f>COUNTIFS('面談與異議'!$C$7:$C$106,$B196,'面談與異議'!$F$7:$F$106,$D196,'面談與異議'!$E$7:$E$106,"兩個月面談")</x:f>
        <x:v>0</x:v>
      </x:c>
      <x:c r="M196" s="115" t="str">
        <x:f>IF($E196&lt;&gt;"Ø","不適用",IF(COUNTIFS('事件與限制'!$C$7:$C$106,$B196,'事件與限制'!$E$7:$E$106,$D196,'事件與限制'!$Q$7:$Q$106,"生效中")&gt;0,"資格限制中",IF($F196&lt;&gt;"已核定","先完成基準核定",IF($K196&gt;0,"有關鍵遺漏，先檢討",IF($G196&lt;3,"尚缺成功觀察",IF($J196&lt;2,"觀察日期不足",IF($L196&lt;1,"待兩個月面談","可送主管核定")))))))</x:f>
        <x:v>不適用</x:v>
      </x:c>
      <x:c r="N196" s="116" t="str">
        <x:v>待核定</x:v>
      </x:c>
      <x:c r="O196" s="118"/>
      <x:c r="P196" s="116"/>
      <x:c r="Q196" s="116"/>
      <x:c r="R196" s="115" t="str">
        <x:f>IF($M196&lt;&gt;"可送主管核定","尚未具備條件",IF($N196="不升級","維持原評等",IF($N196="核定升級",IF(OR($O196="",$P196=""),"核定資料未完整","已核定升級"),"待主管核定")))</x:f>
        <x:v>尚未具備條件</x:v>
      </x:c>
    </x:row>
    <x:row r="197">
      <x:c r="A197" s="79" t="str">
        <x:v>UPG|1031|LJT-PREP-RCT</x:v>
      </x:c>
      <x:c r="B197" s="79" t="str">
        <x:v>1031</x:v>
      </x:c>
      <x:c r="C197" s="79" t="str"/>
      <x:c r="D197" s="79" t="str">
        <x:v>LJT-PREP-RCT</x:v>
      </x:c>
      <x:c r="E197" s="79" t="str">
        <x:v>未評估</x:v>
      </x:c>
      <x:c r="F197" s="115" t="str">
        <x:f>IF($E197="未評估","未建立",_xlfn.XLOOKUP("ABIL|1031|LJT-PREP-RCT",'主管核定中心'!$A$12:$A$372,'主管核定中心'!$K$12:$K$372,"待主管核定",0))</x:f>
        <x:v>未建立</x:v>
      </x:c>
      <x:c r="G197" s="115" t="n">
        <x:f>COUNTIFS('工作觀察輸入'!$C$7:$C$206,$B197,'工作觀察輸入'!$G$7:$G$206,$D197,'工作觀察輸入'!$M$7:$M$206,"是")</x:f>
        <x:v>0</x:v>
      </x:c>
      <x:c r="H197" s="117" t="str">
        <x:f>IF($G197=0,"",_xlfn.MINIFS('工作觀察輸入'!$B$7:$B$206,'工作觀察輸入'!$C$7:$C$206,$B197,'工作觀察輸入'!$G$7:$G$206,$D197,'工作觀察輸入'!$M$7:$M$206,"是"))</x:f>
      </x:c>
      <x:c r="I197" s="117" t="str">
        <x:f>IF($G197=0,"",_xlfn.MAXIFS('工作觀察輸入'!$B$7:$B$206,'工作觀察輸入'!$C$7:$C$206,$B197,'工作觀察輸入'!$G$7:$G$206,$D197,'工作觀察輸入'!$M$7:$M$206,"是"))</x:f>
      </x:c>
      <x:c r="J197" s="115" t="n">
        <x:f>IF($G197=0,0,IF($H197=$I197,1,2))</x:f>
        <x:v>0</x:v>
      </x:c>
      <x:c r="K197" s="115" t="n">
        <x:f>COUNTIFS('工作觀察輸入'!$C$7:$C$206,$B197,'工作觀察輸入'!$G$7:$G$206,$D197,'工作觀察輸入'!$J$7:$J$206,"是")</x:f>
        <x:v>0</x:v>
      </x:c>
      <x:c r="L197" s="115" t="n">
        <x:f>COUNTIFS('面談與異議'!$C$7:$C$106,$B197,'面談與異議'!$F$7:$F$106,$D197,'面談與異議'!$E$7:$E$106,"兩個月面談")</x:f>
        <x:v>0</x:v>
      </x:c>
      <x:c r="M197" s="115" t="str">
        <x:f>IF($E197&lt;&gt;"Ø","不適用",IF(COUNTIFS('事件與限制'!$C$7:$C$106,$B197,'事件與限制'!$E$7:$E$106,$D197,'事件與限制'!$Q$7:$Q$106,"生效中")&gt;0,"資格限制中",IF($F197&lt;&gt;"已核定","先完成基準核定",IF($K197&gt;0,"有關鍵遺漏，先檢討",IF($G197&lt;3,"尚缺成功觀察",IF($J197&lt;2,"觀察日期不足",IF($L197&lt;1,"待兩個月面談","可送主管核定")))))))</x:f>
        <x:v>不適用</x:v>
      </x:c>
      <x:c r="N197" s="116" t="str">
        <x:v>待核定</x:v>
      </x:c>
      <x:c r="O197" s="118"/>
      <x:c r="P197" s="116"/>
      <x:c r="Q197" s="116"/>
      <x:c r="R197" s="115" t="str">
        <x:f>IF($M197&lt;&gt;"可送主管核定","尚未具備條件",IF($N197="不升級","維持原評等",IF($N197="核定升級",IF(OR($O197="",$P197=""),"核定資料未完整","已核定升級"),"待主管核定")))</x:f>
        <x:v>尚未具備條件</x:v>
      </x:c>
    </x:row>
    <x:row r="198">
      <x:c r="A198" s="79" t="str">
        <x:v>UPG|1031|LJT-PREP-EXTRACTION</x:v>
      </x:c>
      <x:c r="B198" s="79" t="str">
        <x:v>1031</x:v>
      </x:c>
      <x:c r="C198" s="79" t="str"/>
      <x:c r="D198" s="79" t="str">
        <x:v>LJT-PREP-EXTRACTION</x:v>
      </x:c>
      <x:c r="E198" s="79" t="str">
        <x:v>未評估</x:v>
      </x:c>
      <x:c r="F198" s="115" t="str">
        <x:f>IF($E198="未評估","未建立",_xlfn.XLOOKUP("ABIL|1031|LJT-PREP-EXTRACTION",'主管核定中心'!$A$12:$A$372,'主管核定中心'!$K$12:$K$372,"待主管核定",0))</x:f>
        <x:v>未建立</x:v>
      </x:c>
      <x:c r="G198" s="115" t="n">
        <x:f>COUNTIFS('工作觀察輸入'!$C$7:$C$206,$B198,'工作觀察輸入'!$G$7:$G$206,$D198,'工作觀察輸入'!$M$7:$M$206,"是")</x:f>
        <x:v>0</x:v>
      </x:c>
      <x:c r="H198" s="117" t="str">
        <x:f>IF($G198=0,"",_xlfn.MINIFS('工作觀察輸入'!$B$7:$B$206,'工作觀察輸入'!$C$7:$C$206,$B198,'工作觀察輸入'!$G$7:$G$206,$D198,'工作觀察輸入'!$M$7:$M$206,"是"))</x:f>
      </x:c>
      <x:c r="I198" s="117" t="str">
        <x:f>IF($G198=0,"",_xlfn.MAXIFS('工作觀察輸入'!$B$7:$B$206,'工作觀察輸入'!$C$7:$C$206,$B198,'工作觀察輸入'!$G$7:$G$206,$D198,'工作觀察輸入'!$M$7:$M$206,"是"))</x:f>
      </x:c>
      <x:c r="J198" s="115" t="n">
        <x:f>IF($G198=0,0,IF($H198=$I198,1,2))</x:f>
        <x:v>0</x:v>
      </x:c>
      <x:c r="K198" s="115" t="n">
        <x:f>COUNTIFS('工作觀察輸入'!$C$7:$C$206,$B198,'工作觀察輸入'!$G$7:$G$206,$D198,'工作觀察輸入'!$J$7:$J$206,"是")</x:f>
        <x:v>0</x:v>
      </x:c>
      <x:c r="L198" s="115" t="n">
        <x:f>COUNTIFS('面談與異議'!$C$7:$C$106,$B198,'面談與異議'!$F$7:$F$106,$D198,'面談與異議'!$E$7:$E$106,"兩個月面談")</x:f>
        <x:v>0</x:v>
      </x:c>
      <x:c r="M198" s="115" t="str">
        <x:f>IF($E198&lt;&gt;"Ø","不適用",IF(COUNTIFS('事件與限制'!$C$7:$C$106,$B198,'事件與限制'!$E$7:$E$106,$D198,'事件與限制'!$Q$7:$Q$106,"生效中")&gt;0,"資格限制中",IF($F198&lt;&gt;"已核定","先完成基準核定",IF($K198&gt;0,"有關鍵遺漏，先檢討",IF($G198&lt;3,"尚缺成功觀察",IF($J198&lt;2,"觀察日期不足",IF($L198&lt;1,"待兩個月面談","可送主管核定")))))))</x:f>
        <x:v>不適用</x:v>
      </x:c>
      <x:c r="N198" s="116" t="str">
        <x:v>待核定</x:v>
      </x:c>
      <x:c r="O198" s="118"/>
      <x:c r="P198" s="116"/>
      <x:c r="Q198" s="116"/>
      <x:c r="R198" s="115" t="str">
        <x:f>IF($M198&lt;&gt;"可送主管核定","尚未具備條件",IF($N198="不升級","維持原評等",IF($N198="核定升級",IF(OR($O198="",$P198=""),"核定資料未完整","已核定升級"),"待主管核定")))</x:f>
        <x:v>尚未具備條件</x:v>
      </x:c>
    </x:row>
    <x:row r="199">
      <x:c r="A199" s="79" t="str">
        <x:v>UPG|1031|LJT-PREP-CROWNPOST</x:v>
      </x:c>
      <x:c r="B199" s="79" t="str">
        <x:v>1031</x:v>
      </x:c>
      <x:c r="C199" s="79" t="str"/>
      <x:c r="D199" s="79" t="str">
        <x:v>LJT-PREP-CROWNPOST</x:v>
      </x:c>
      <x:c r="E199" s="79" t="str">
        <x:v>未評估</x:v>
      </x:c>
      <x:c r="F199" s="115" t="str">
        <x:f>IF($E199="未評估","未建立",_xlfn.XLOOKUP("ABIL|1031|LJT-PREP-CROWNPOST",'主管核定中心'!$A$12:$A$372,'主管核定中心'!$K$12:$K$372,"待主管核定",0))</x:f>
        <x:v>未建立</x:v>
      </x:c>
      <x:c r="G199" s="115" t="n">
        <x:f>COUNTIFS('工作觀察輸入'!$C$7:$C$206,$B199,'工作觀察輸入'!$G$7:$G$206,$D199,'工作觀察輸入'!$M$7:$M$206,"是")</x:f>
        <x:v>0</x:v>
      </x:c>
      <x:c r="H199" s="117" t="str">
        <x:f>IF($G199=0,"",_xlfn.MINIFS('工作觀察輸入'!$B$7:$B$206,'工作觀察輸入'!$C$7:$C$206,$B199,'工作觀察輸入'!$G$7:$G$206,$D199,'工作觀察輸入'!$M$7:$M$206,"是"))</x:f>
      </x:c>
      <x:c r="I199" s="117" t="str">
        <x:f>IF($G199=0,"",_xlfn.MAXIFS('工作觀察輸入'!$B$7:$B$206,'工作觀察輸入'!$C$7:$C$206,$B199,'工作觀察輸入'!$G$7:$G$206,$D199,'工作觀察輸入'!$M$7:$M$206,"是"))</x:f>
      </x:c>
      <x:c r="J199" s="115" t="n">
        <x:f>IF($G199=0,0,IF($H199=$I199,1,2))</x:f>
        <x:v>0</x:v>
      </x:c>
      <x:c r="K199" s="115" t="n">
        <x:f>COUNTIFS('工作觀察輸入'!$C$7:$C$206,$B199,'工作觀察輸入'!$G$7:$G$206,$D199,'工作觀察輸入'!$J$7:$J$206,"是")</x:f>
        <x:v>0</x:v>
      </x:c>
      <x:c r="L199" s="115" t="n">
        <x:f>COUNTIFS('面談與異議'!$C$7:$C$106,$B199,'面談與異議'!$F$7:$F$106,$D199,'面談與異議'!$E$7:$E$106,"兩個月面談")</x:f>
        <x:v>0</x:v>
      </x:c>
      <x:c r="M199" s="115" t="str">
        <x:f>IF($E199&lt;&gt;"Ø","不適用",IF(COUNTIFS('事件與限制'!$C$7:$C$106,$B199,'事件與限制'!$E$7:$E$106,$D199,'事件與限制'!$Q$7:$Q$106,"生效中")&gt;0,"資格限制中",IF($F199&lt;&gt;"已核定","先完成基準核定",IF($K199&gt;0,"有關鍵遺漏，先檢討",IF($G199&lt;3,"尚缺成功觀察",IF($J199&lt;2,"觀察日期不足",IF($L199&lt;1,"待兩個月面談","可送主管核定")))))))</x:f>
        <x:v>不適用</x:v>
      </x:c>
      <x:c r="N199" s="116" t="str">
        <x:v>待核定</x:v>
      </x:c>
      <x:c r="O199" s="118"/>
      <x:c r="P199" s="116"/>
      <x:c r="Q199" s="116"/>
      <x:c r="R199" s="115" t="str">
        <x:f>IF($M199&lt;&gt;"可送主管核定","尚未具備條件",IF($N199="不升級","維持原評等",IF($N199="核定升級",IF(OR($O199="",$P199=""),"核定資料未完整","已核定升級"),"待主管核定")))</x:f>
        <x:v>尚未具備條件</x:v>
      </x:c>
    </x:row>
    <x:row r="200">
      <x:c r="A200" s="79" t="str">
        <x:v>UPG|1031|LJT-PREP-CROWN</x:v>
      </x:c>
      <x:c r="B200" s="79" t="str">
        <x:v>1031</x:v>
      </x:c>
      <x:c r="C200" s="79" t="str"/>
      <x:c r="D200" s="79" t="str">
        <x:v>LJT-PREP-CROWN</x:v>
      </x:c>
      <x:c r="E200" s="79" t="str">
        <x:v>未評估</x:v>
      </x:c>
      <x:c r="F200" s="115" t="str">
        <x:f>IF($E200="未評估","未建立",_xlfn.XLOOKUP("ABIL|1031|LJT-PREP-CROWN",'主管核定中心'!$A$12:$A$372,'主管核定中心'!$K$12:$K$372,"待主管核定",0))</x:f>
        <x:v>未建立</x:v>
      </x:c>
      <x:c r="G200" s="115" t="n">
        <x:f>COUNTIFS('工作觀察輸入'!$C$7:$C$206,$B200,'工作觀察輸入'!$G$7:$G$206,$D200,'工作觀察輸入'!$M$7:$M$206,"是")</x:f>
        <x:v>0</x:v>
      </x:c>
      <x:c r="H200" s="117" t="str">
        <x:f>IF($G200=0,"",_xlfn.MINIFS('工作觀察輸入'!$B$7:$B$206,'工作觀察輸入'!$C$7:$C$206,$B200,'工作觀察輸入'!$G$7:$G$206,$D200,'工作觀察輸入'!$M$7:$M$206,"是"))</x:f>
      </x:c>
      <x:c r="I200" s="117" t="str">
        <x:f>IF($G200=0,"",_xlfn.MAXIFS('工作觀察輸入'!$B$7:$B$206,'工作觀察輸入'!$C$7:$C$206,$B200,'工作觀察輸入'!$G$7:$G$206,$D200,'工作觀察輸入'!$M$7:$M$206,"是"))</x:f>
      </x:c>
      <x:c r="J200" s="115" t="n">
        <x:f>IF($G200=0,0,IF($H200=$I200,1,2))</x:f>
        <x:v>0</x:v>
      </x:c>
      <x:c r="K200" s="115" t="n">
        <x:f>COUNTIFS('工作觀察輸入'!$C$7:$C$206,$B200,'工作觀察輸入'!$G$7:$G$206,$D200,'工作觀察輸入'!$J$7:$J$206,"是")</x:f>
        <x:v>0</x:v>
      </x:c>
      <x:c r="L200" s="115" t="n">
        <x:f>COUNTIFS('面談與異議'!$C$7:$C$106,$B200,'面談與異議'!$F$7:$F$106,$D200,'面談與異議'!$E$7:$E$106,"兩個月面談")</x:f>
        <x:v>0</x:v>
      </x:c>
      <x:c r="M200" s="115" t="str">
        <x:f>IF($E200&lt;&gt;"Ø","不適用",IF(COUNTIFS('事件與限制'!$C$7:$C$106,$B200,'事件與限制'!$E$7:$E$106,$D200,'事件與限制'!$Q$7:$Q$106,"生效中")&gt;0,"資格限制中",IF($F200&lt;&gt;"已核定","先完成基準核定",IF($K200&gt;0,"有關鍵遺漏，先檢討",IF($G200&lt;3,"尚缺成功觀察",IF($J200&lt;2,"觀察日期不足",IF($L200&lt;1,"待兩個月面談","可送主管核定")))))))</x:f>
        <x:v>不適用</x:v>
      </x:c>
      <x:c r="N200" s="116" t="str">
        <x:v>待核定</x:v>
      </x:c>
      <x:c r="O200" s="118"/>
      <x:c r="P200" s="116"/>
      <x:c r="Q200" s="116"/>
      <x:c r="R200" s="115" t="str">
        <x:f>IF($M200&lt;&gt;"可送主管核定","尚未具備條件",IF($N200="不升級","維持原評等",IF($N200="核定升級",IF(OR($O200="",$P200=""),"核定資料未完整","已核定升級"),"待主管核定")))</x:f>
        <x:v>尚未具備條件</x:v>
      </x:c>
    </x:row>
    <x:row r="201">
      <x:c r="A201" s="79" t="str">
        <x:v>UPG|1031|LJT-PREP-RPD</x:v>
      </x:c>
      <x:c r="B201" s="79" t="str">
        <x:v>1031</x:v>
      </x:c>
      <x:c r="C201" s="79" t="str"/>
      <x:c r="D201" s="79" t="str">
        <x:v>LJT-PREP-RPD</x:v>
      </x:c>
      <x:c r="E201" s="79" t="str">
        <x:v>未評估</x:v>
      </x:c>
      <x:c r="F201" s="115" t="str">
        <x:f>IF($E201="未評估","未建立",_xlfn.XLOOKUP("ABIL|1031|LJT-PREP-RPD",'主管核定中心'!$A$12:$A$372,'主管核定中心'!$K$12:$K$372,"待主管核定",0))</x:f>
        <x:v>未建立</x:v>
      </x:c>
      <x:c r="G201" s="115" t="n">
        <x:f>COUNTIFS('工作觀察輸入'!$C$7:$C$206,$B201,'工作觀察輸入'!$G$7:$G$206,$D201,'工作觀察輸入'!$M$7:$M$206,"是")</x:f>
        <x:v>0</x:v>
      </x:c>
      <x:c r="H201" s="117" t="str">
        <x:f>IF($G201=0,"",_xlfn.MINIFS('工作觀察輸入'!$B$7:$B$206,'工作觀察輸入'!$C$7:$C$206,$B201,'工作觀察輸入'!$G$7:$G$206,$D201,'工作觀察輸入'!$M$7:$M$206,"是"))</x:f>
      </x:c>
      <x:c r="I201" s="117" t="str">
        <x:f>IF($G201=0,"",_xlfn.MAXIFS('工作觀察輸入'!$B$7:$B$206,'工作觀察輸入'!$C$7:$C$206,$B201,'工作觀察輸入'!$G$7:$G$206,$D201,'工作觀察輸入'!$M$7:$M$206,"是"))</x:f>
      </x:c>
      <x:c r="J201" s="115" t="n">
        <x:f>IF($G201=0,0,IF($H201=$I201,1,2))</x:f>
        <x:v>0</x:v>
      </x:c>
      <x:c r="K201" s="115" t="n">
        <x:f>COUNTIFS('工作觀察輸入'!$C$7:$C$206,$B201,'工作觀察輸入'!$G$7:$G$206,$D201,'工作觀察輸入'!$J$7:$J$206,"是")</x:f>
        <x:v>0</x:v>
      </x:c>
      <x:c r="L201" s="115" t="n">
        <x:f>COUNTIFS('面談與異議'!$C$7:$C$106,$B201,'面談與異議'!$F$7:$F$106,$D201,'面談與異議'!$E$7:$E$106,"兩個月面談")</x:f>
        <x:v>0</x:v>
      </x:c>
      <x:c r="M201" s="115" t="str">
        <x:f>IF($E201&lt;&gt;"Ø","不適用",IF(COUNTIFS('事件與限制'!$C$7:$C$106,$B201,'事件與限制'!$E$7:$E$106,$D201,'事件與限制'!$Q$7:$Q$106,"生效中")&gt;0,"資格限制中",IF($F201&lt;&gt;"已核定","先完成基準核定",IF($K201&gt;0,"有關鍵遺漏，先檢討",IF($G201&lt;3,"尚缺成功觀察",IF($J201&lt;2,"觀察日期不足",IF($L201&lt;1,"待兩個月面談","可送主管核定")))))))</x:f>
        <x:v>不適用</x:v>
      </x:c>
      <x:c r="N201" s="116" t="str">
        <x:v>待核定</x:v>
      </x:c>
      <x:c r="O201" s="118"/>
      <x:c r="P201" s="116"/>
      <x:c r="Q201" s="116"/>
      <x:c r="R201" s="115" t="str">
        <x:f>IF($M201&lt;&gt;"可送主管核定","尚未具備條件",IF($N201="不升級","維持原評等",IF($N201="核定升級",IF(OR($O201="",$P201=""),"核定資料未完整","已核定升級"),"待主管核定")))</x:f>
        <x:v>尚未具備條件</x:v>
      </x:c>
    </x:row>
    <x:row r="202">
      <x:c r="A202" s="79" t="str">
        <x:v>UPG|1031|LJT-PREP-AIRPOLISH</x:v>
      </x:c>
      <x:c r="B202" s="79" t="str">
        <x:v>1031</x:v>
      </x:c>
      <x:c r="C202" s="79" t="str"/>
      <x:c r="D202" s="79" t="str">
        <x:v>LJT-PREP-AIRPOLISH</x:v>
      </x:c>
      <x:c r="E202" s="79" t="str">
        <x:v>未評估</x:v>
      </x:c>
      <x:c r="F202" s="115" t="str">
        <x:f>IF($E202="未評估","未建立",_xlfn.XLOOKUP("ABIL|1031|LJT-PREP-AIRPOLISH",'主管核定中心'!$A$12:$A$372,'主管核定中心'!$K$12:$K$372,"待主管核定",0))</x:f>
        <x:v>未建立</x:v>
      </x:c>
      <x:c r="G202" s="115" t="n">
        <x:f>COUNTIFS('工作觀察輸入'!$C$7:$C$206,$B202,'工作觀察輸入'!$G$7:$G$206,$D202,'工作觀察輸入'!$M$7:$M$206,"是")</x:f>
        <x:v>0</x:v>
      </x:c>
      <x:c r="H202" s="117" t="str">
        <x:f>IF($G202=0,"",_xlfn.MINIFS('工作觀察輸入'!$B$7:$B$206,'工作觀察輸入'!$C$7:$C$206,$B202,'工作觀察輸入'!$G$7:$G$206,$D202,'工作觀察輸入'!$M$7:$M$206,"是"))</x:f>
      </x:c>
      <x:c r="I202" s="117" t="str">
        <x:f>IF($G202=0,"",_xlfn.MAXIFS('工作觀察輸入'!$B$7:$B$206,'工作觀察輸入'!$C$7:$C$206,$B202,'工作觀察輸入'!$G$7:$G$206,$D202,'工作觀察輸入'!$M$7:$M$206,"是"))</x:f>
      </x:c>
      <x:c r="J202" s="115" t="n">
        <x:f>IF($G202=0,0,IF($H202=$I202,1,2))</x:f>
        <x:v>0</x:v>
      </x:c>
      <x:c r="K202" s="115" t="n">
        <x:f>COUNTIFS('工作觀察輸入'!$C$7:$C$206,$B202,'工作觀察輸入'!$G$7:$G$206,$D202,'工作觀察輸入'!$J$7:$J$206,"是")</x:f>
        <x:v>0</x:v>
      </x:c>
      <x:c r="L202" s="115" t="n">
        <x:f>COUNTIFS('面談與異議'!$C$7:$C$106,$B202,'面談與異議'!$F$7:$F$106,$D202,'面談與異議'!$E$7:$E$106,"兩個月面談")</x:f>
        <x:v>0</x:v>
      </x:c>
      <x:c r="M202" s="115" t="str">
        <x:f>IF($E202&lt;&gt;"Ø","不適用",IF(COUNTIFS('事件與限制'!$C$7:$C$106,$B202,'事件與限制'!$E$7:$E$106,$D202,'事件與限制'!$Q$7:$Q$106,"生效中")&gt;0,"資格限制中",IF($F202&lt;&gt;"已核定","先完成基準核定",IF($K202&gt;0,"有關鍵遺漏，先檢討",IF($G202&lt;3,"尚缺成功觀察",IF($J202&lt;2,"觀察日期不足",IF($L202&lt;1,"待兩個月面談","可送主管核定")))))))</x:f>
        <x:v>不適用</x:v>
      </x:c>
      <x:c r="N202" s="116" t="str">
        <x:v>待核定</x:v>
      </x:c>
      <x:c r="O202" s="118"/>
      <x:c r="P202" s="116"/>
      <x:c r="Q202" s="116"/>
      <x:c r="R202" s="115" t="str">
        <x:f>IF($M202&lt;&gt;"可送主管核定","尚未具備條件",IF($N202="不升級","維持原評等",IF($N202="核定升級",IF(OR($O202="",$P202=""),"核定資料未完整","已核定升級"),"待主管核定")))</x:f>
        <x:v>尚未具備條件</x:v>
      </x:c>
    </x:row>
    <x:row r="203">
      <x:c r="A203" s="79" t="str">
        <x:v>UPG|1031|LJT-PREP-PERIOSURG</x:v>
      </x:c>
      <x:c r="B203" s="79" t="str">
        <x:v>1031</x:v>
      </x:c>
      <x:c r="C203" s="79" t="str"/>
      <x:c r="D203" s="79" t="str">
        <x:v>LJT-PREP-PERIOSURG</x:v>
      </x:c>
      <x:c r="E203" s="79" t="str">
        <x:v>未評估</x:v>
      </x:c>
      <x:c r="F203" s="115" t="str">
        <x:f>IF($E203="未評估","未建立",_xlfn.XLOOKUP("ABIL|1031|LJT-PREP-PERIOSURG",'主管核定中心'!$A$12:$A$372,'主管核定中心'!$K$12:$K$372,"待主管核定",0))</x:f>
        <x:v>未建立</x:v>
      </x:c>
      <x:c r="G203" s="115" t="n">
        <x:f>COUNTIFS('工作觀察輸入'!$C$7:$C$206,$B203,'工作觀察輸入'!$G$7:$G$206,$D203,'工作觀察輸入'!$M$7:$M$206,"是")</x:f>
        <x:v>0</x:v>
      </x:c>
      <x:c r="H203" s="117" t="str">
        <x:f>IF($G203=0,"",_xlfn.MINIFS('工作觀察輸入'!$B$7:$B$206,'工作觀察輸入'!$C$7:$C$206,$B203,'工作觀察輸入'!$G$7:$G$206,$D203,'工作觀察輸入'!$M$7:$M$206,"是"))</x:f>
      </x:c>
      <x:c r="I203" s="117" t="str">
        <x:f>IF($G203=0,"",_xlfn.MAXIFS('工作觀察輸入'!$B$7:$B$206,'工作觀察輸入'!$C$7:$C$206,$B203,'工作觀察輸入'!$G$7:$G$206,$D203,'工作觀察輸入'!$M$7:$M$206,"是"))</x:f>
      </x:c>
      <x:c r="J203" s="115" t="n">
        <x:f>IF($G203=0,0,IF($H203=$I203,1,2))</x:f>
        <x:v>0</x:v>
      </x:c>
      <x:c r="K203" s="115" t="n">
        <x:f>COUNTIFS('工作觀察輸入'!$C$7:$C$206,$B203,'工作觀察輸入'!$G$7:$G$206,$D203,'工作觀察輸入'!$J$7:$J$206,"是")</x:f>
        <x:v>0</x:v>
      </x:c>
      <x:c r="L203" s="115" t="n">
        <x:f>COUNTIFS('面談與異議'!$C$7:$C$106,$B203,'面談與異議'!$F$7:$F$106,$D203,'面談與異議'!$E$7:$E$106,"兩個月面談")</x:f>
        <x:v>0</x:v>
      </x:c>
      <x:c r="M203" s="115" t="str">
        <x:f>IF($E203&lt;&gt;"Ø","不適用",IF(COUNTIFS('事件與限制'!$C$7:$C$106,$B203,'事件與限制'!$E$7:$E$106,$D203,'事件與限制'!$Q$7:$Q$106,"生效中")&gt;0,"資格限制中",IF($F203&lt;&gt;"已核定","先完成基準核定",IF($K203&gt;0,"有關鍵遺漏，先檢討",IF($G203&lt;3,"尚缺成功觀察",IF($J203&lt;2,"觀察日期不足",IF($L203&lt;1,"待兩個月面談","可送主管核定")))))))</x:f>
        <x:v>不適用</x:v>
      </x:c>
      <x:c r="N203" s="116" t="str">
        <x:v>待核定</x:v>
      </x:c>
      <x:c r="O203" s="118"/>
      <x:c r="P203" s="116"/>
      <x:c r="Q203" s="116"/>
      <x:c r="R203" s="115" t="str">
        <x:f>IF($M203&lt;&gt;"可送主管核定","尚未具備條件",IF($N203="不升級","維持原評等",IF($N203="核定升級",IF(OR($O203="",$P203=""),"核定資料未完整","已核定升級"),"待主管核定")))</x:f>
        <x:v>尚未具備條件</x:v>
      </x:c>
    </x:row>
    <x:row r="204">
      <x:c r="A204" s="79" t="str">
        <x:v>UPG|1031|LJT-PREP-MICROENDO</x:v>
      </x:c>
      <x:c r="B204" s="79" t="str">
        <x:v>1031</x:v>
      </x:c>
      <x:c r="C204" s="79" t="str"/>
      <x:c r="D204" s="79" t="str">
        <x:v>LJT-PREP-MICROENDO</x:v>
      </x:c>
      <x:c r="E204" s="79" t="str">
        <x:v>未評估</x:v>
      </x:c>
      <x:c r="F204" s="115" t="str">
        <x:f>IF($E204="未評估","未建立",_xlfn.XLOOKUP("ABIL|1031|LJT-PREP-MICROENDO",'主管核定中心'!$A$12:$A$372,'主管核定中心'!$K$12:$K$372,"待主管核定",0))</x:f>
        <x:v>未建立</x:v>
      </x:c>
      <x:c r="G204" s="115" t="n">
        <x:f>COUNTIFS('工作觀察輸入'!$C$7:$C$206,$B204,'工作觀察輸入'!$G$7:$G$206,$D204,'工作觀察輸入'!$M$7:$M$206,"是")</x:f>
        <x:v>0</x:v>
      </x:c>
      <x:c r="H204" s="117" t="str">
        <x:f>IF($G204=0,"",_xlfn.MINIFS('工作觀察輸入'!$B$7:$B$206,'工作觀察輸入'!$C$7:$C$206,$B204,'工作觀察輸入'!$G$7:$G$206,$D204,'工作觀察輸入'!$M$7:$M$206,"是"))</x:f>
      </x:c>
      <x:c r="I204" s="117" t="str">
        <x:f>IF($G204=0,"",_xlfn.MAXIFS('工作觀察輸入'!$B$7:$B$206,'工作觀察輸入'!$C$7:$C$206,$B204,'工作觀察輸入'!$G$7:$G$206,$D204,'工作觀察輸入'!$M$7:$M$206,"是"))</x:f>
      </x:c>
      <x:c r="J204" s="115" t="n">
        <x:f>IF($G204=0,0,IF($H204=$I204,1,2))</x:f>
        <x:v>0</x:v>
      </x:c>
      <x:c r="K204" s="115" t="n">
        <x:f>COUNTIFS('工作觀察輸入'!$C$7:$C$206,$B204,'工作觀察輸入'!$G$7:$G$206,$D204,'工作觀察輸入'!$J$7:$J$206,"是")</x:f>
        <x:v>0</x:v>
      </x:c>
      <x:c r="L204" s="115" t="n">
        <x:f>COUNTIFS('面談與異議'!$C$7:$C$106,$B204,'面談與異議'!$F$7:$F$106,$D204,'面談與異議'!$E$7:$E$106,"兩個月面談")</x:f>
        <x:v>0</x:v>
      </x:c>
      <x:c r="M204" s="115" t="str">
        <x:f>IF($E204&lt;&gt;"Ø","不適用",IF(COUNTIFS('事件與限制'!$C$7:$C$106,$B204,'事件與限制'!$E$7:$E$106,$D204,'事件與限制'!$Q$7:$Q$106,"生效中")&gt;0,"資格限制中",IF($F204&lt;&gt;"已核定","先完成基準核定",IF($K204&gt;0,"有關鍵遺漏，先檢討",IF($G204&lt;3,"尚缺成功觀察",IF($J204&lt;2,"觀察日期不足",IF($L204&lt;1,"待兩個月面談","可送主管核定")))))))</x:f>
        <x:v>不適用</x:v>
      </x:c>
      <x:c r="N204" s="116" t="str">
        <x:v>待核定</x:v>
      </x:c>
      <x:c r="O204" s="118"/>
      <x:c r="P204" s="116"/>
      <x:c r="Q204" s="116"/>
      <x:c r="R204" s="115" t="str">
        <x:f>IF($M204&lt;&gt;"可送主管核定","尚未具備條件",IF($N204="不升級","維持原評等",IF($N204="核定升級",IF(OR($O204="",$P204=""),"核定資料未完整","已核定升級"),"待主管核定")))</x:f>
        <x:v>尚未具備條件</x:v>
      </x:c>
    </x:row>
    <x:row r="205">
      <x:c r="A205" s="79" t="str">
        <x:v>UPG|1031|LJT-PREP-IMPLANT</x:v>
      </x:c>
      <x:c r="B205" s="79" t="str">
        <x:v>1031</x:v>
      </x:c>
      <x:c r="C205" s="79" t="str"/>
      <x:c r="D205" s="79" t="str">
        <x:v>LJT-PREP-IMPLANT</x:v>
      </x:c>
      <x:c r="E205" s="79" t="str">
        <x:v>未評估</x:v>
      </x:c>
      <x:c r="F205" s="115" t="str">
        <x:f>IF($E205="未評估","未建立",_xlfn.XLOOKUP("ABIL|1031|LJT-PREP-IMPLANT",'主管核定中心'!$A$12:$A$372,'主管核定中心'!$K$12:$K$372,"待主管核定",0))</x:f>
        <x:v>未建立</x:v>
      </x:c>
      <x:c r="G205" s="115" t="n">
        <x:f>COUNTIFS('工作觀察輸入'!$C$7:$C$206,$B205,'工作觀察輸入'!$G$7:$G$206,$D205,'工作觀察輸入'!$M$7:$M$206,"是")</x:f>
        <x:v>0</x:v>
      </x:c>
      <x:c r="H205" s="117" t="str">
        <x:f>IF($G205=0,"",_xlfn.MINIFS('工作觀察輸入'!$B$7:$B$206,'工作觀察輸入'!$C$7:$C$206,$B205,'工作觀察輸入'!$G$7:$G$206,$D205,'工作觀察輸入'!$M$7:$M$206,"是"))</x:f>
      </x:c>
      <x:c r="I205" s="117" t="str">
        <x:f>IF($G205=0,"",_xlfn.MAXIFS('工作觀察輸入'!$B$7:$B$206,'工作觀察輸入'!$C$7:$C$206,$B205,'工作觀察輸入'!$G$7:$G$206,$D205,'工作觀察輸入'!$M$7:$M$206,"是"))</x:f>
      </x:c>
      <x:c r="J205" s="115" t="n">
        <x:f>IF($G205=0,0,IF($H205=$I205,1,2))</x:f>
        <x:v>0</x:v>
      </x:c>
      <x:c r="K205" s="115" t="n">
        <x:f>COUNTIFS('工作觀察輸入'!$C$7:$C$206,$B205,'工作觀察輸入'!$G$7:$G$206,$D205,'工作觀察輸入'!$J$7:$J$206,"是")</x:f>
        <x:v>0</x:v>
      </x:c>
      <x:c r="L205" s="115" t="n">
        <x:f>COUNTIFS('面談與異議'!$C$7:$C$106,$B205,'面談與異議'!$F$7:$F$106,$D205,'面談與異議'!$E$7:$E$106,"兩個月面談")</x:f>
        <x:v>0</x:v>
      </x:c>
      <x:c r="M205" s="115" t="str">
        <x:f>IF($E205&lt;&gt;"Ø","不適用",IF(COUNTIFS('事件與限制'!$C$7:$C$106,$B205,'事件與限制'!$E$7:$E$106,$D205,'事件與限制'!$Q$7:$Q$106,"生效中")&gt;0,"資格限制中",IF($F205&lt;&gt;"已核定","先完成基準核定",IF($K205&gt;0,"有關鍵遺漏，先檢討",IF($G205&lt;3,"尚缺成功觀察",IF($J205&lt;2,"觀察日期不足",IF($L205&lt;1,"待兩個月面談","可送主管核定")))))))</x:f>
        <x:v>不適用</x:v>
      </x:c>
      <x:c r="N205" s="116" t="str">
        <x:v>待核定</x:v>
      </x:c>
      <x:c r="O205" s="118"/>
      <x:c r="P205" s="116"/>
      <x:c r="Q205" s="116"/>
      <x:c r="R205" s="115" t="str">
        <x:f>IF($M205&lt;&gt;"可送主管核定","尚未具備條件",IF($N205="不升級","維持原評等",IF($N205="核定升級",IF(OR($O205="",$P205=""),"核定資料未完整","已核定升級"),"待主管核定")))</x:f>
        <x:v>尚未具備條件</x:v>
      </x:c>
    </x:row>
    <x:row r="206">
      <x:c r="A206" s="79" t="str">
        <x:v>UPG|1031|COMMON-RECORD</x:v>
      </x:c>
      <x:c r="B206" s="79" t="str">
        <x:v>1031</x:v>
      </x:c>
      <x:c r="C206" s="79" t="str"/>
      <x:c r="D206" s="79" t="str">
        <x:v>COMMON-RECORD</x:v>
      </x:c>
      <x:c r="E206" s="79" t="str">
        <x:v>未評估</x:v>
      </x:c>
      <x:c r="F206" s="115" t="str">
        <x:f>IF($E206="未評估","未建立",_xlfn.XLOOKUP("ABIL|1031|COMMON-RECORD",'主管核定中心'!$A$12:$A$372,'主管核定中心'!$K$12:$K$372,"待主管核定",0))</x:f>
        <x:v>未建立</x:v>
      </x:c>
      <x:c r="G206" s="115" t="n">
        <x:f>COUNTIFS('工作觀察輸入'!$C$7:$C$206,$B206,'工作觀察輸入'!$G$7:$G$206,$D206,'工作觀察輸入'!$M$7:$M$206,"是")</x:f>
        <x:v>0</x:v>
      </x:c>
      <x:c r="H206" s="117" t="str">
        <x:f>IF($G206=0,"",_xlfn.MINIFS('工作觀察輸入'!$B$7:$B$206,'工作觀察輸入'!$C$7:$C$206,$B206,'工作觀察輸入'!$G$7:$G$206,$D206,'工作觀察輸入'!$M$7:$M$206,"是"))</x:f>
      </x:c>
      <x:c r="I206" s="117" t="str">
        <x:f>IF($G206=0,"",_xlfn.MAXIFS('工作觀察輸入'!$B$7:$B$206,'工作觀察輸入'!$C$7:$C$206,$B206,'工作觀察輸入'!$G$7:$G$206,$D206,'工作觀察輸入'!$M$7:$M$206,"是"))</x:f>
      </x:c>
      <x:c r="J206" s="115" t="n">
        <x:f>IF($G206=0,0,IF($H206=$I206,1,2))</x:f>
        <x:v>0</x:v>
      </x:c>
      <x:c r="K206" s="115" t="n">
        <x:f>COUNTIFS('工作觀察輸入'!$C$7:$C$206,$B206,'工作觀察輸入'!$G$7:$G$206,$D206,'工作觀察輸入'!$J$7:$J$206,"是")</x:f>
        <x:v>0</x:v>
      </x:c>
      <x:c r="L206" s="115" t="n">
        <x:f>COUNTIFS('面談與異議'!$C$7:$C$106,$B206,'面談與異議'!$F$7:$F$106,$D206,'面談與異議'!$E$7:$E$106,"兩個月面談")</x:f>
        <x:v>0</x:v>
      </x:c>
      <x:c r="M206" s="115" t="str">
        <x:f>IF($E206&lt;&gt;"Ø","不適用",IF(COUNTIFS('事件與限制'!$C$7:$C$106,$B206,'事件與限制'!$E$7:$E$106,$D206,'事件與限制'!$Q$7:$Q$106,"生效中")&gt;0,"資格限制中",IF($F206&lt;&gt;"已核定","先完成基準核定",IF($K206&gt;0,"有關鍵遺漏，先檢討",IF($G206&lt;3,"尚缺成功觀察",IF($J206&lt;2,"觀察日期不足",IF($L206&lt;1,"待兩個月面談","可送主管核定")))))))</x:f>
        <x:v>不適用</x:v>
      </x:c>
      <x:c r="N206" s="116" t="str">
        <x:v>待核定</x:v>
      </x:c>
      <x:c r="O206" s="118"/>
      <x:c r="P206" s="116"/>
      <x:c r="Q206" s="116"/>
      <x:c r="R206" s="115" t="str">
        <x:f>IF($M206&lt;&gt;"可送主管核定","尚未具備條件",IF($N206="不升級","維持原評等",IF($N206="核定升級",IF(OR($O206="",$P206=""),"核定資料未完整","已核定升級"),"待主管核定")))</x:f>
        <x:v>尚未具備條件</x:v>
      </x:c>
    </x:row>
    <x:row r="207">
      <x:c r="A207" s="79" t="str">
        <x:v>UPG|1031|COMMON-INSURANCE</x:v>
      </x:c>
      <x:c r="B207" s="79" t="str">
        <x:v>1031</x:v>
      </x:c>
      <x:c r="C207" s="79" t="str"/>
      <x:c r="D207" s="79" t="str">
        <x:v>COMMON-INSURANCE</x:v>
      </x:c>
      <x:c r="E207" s="79" t="str">
        <x:v>未評估</x:v>
      </x:c>
      <x:c r="F207" s="115" t="str">
        <x:f>IF($E207="未評估","未建立",_xlfn.XLOOKUP("ABIL|1031|COMMON-INSURANCE",'主管核定中心'!$A$12:$A$372,'主管核定中心'!$K$12:$K$372,"待主管核定",0))</x:f>
        <x:v>未建立</x:v>
      </x:c>
      <x:c r="G207" s="115" t="n">
        <x:f>COUNTIFS('工作觀察輸入'!$C$7:$C$206,$B207,'工作觀察輸入'!$G$7:$G$206,$D207,'工作觀察輸入'!$M$7:$M$206,"是")</x:f>
        <x:v>0</x:v>
      </x:c>
      <x:c r="H207" s="117" t="str">
        <x:f>IF($G207=0,"",_xlfn.MINIFS('工作觀察輸入'!$B$7:$B$206,'工作觀察輸入'!$C$7:$C$206,$B207,'工作觀察輸入'!$G$7:$G$206,$D207,'工作觀察輸入'!$M$7:$M$206,"是"))</x:f>
      </x:c>
      <x:c r="I207" s="117" t="str">
        <x:f>IF($G207=0,"",_xlfn.MAXIFS('工作觀察輸入'!$B$7:$B$206,'工作觀察輸入'!$C$7:$C$206,$B207,'工作觀察輸入'!$G$7:$G$206,$D207,'工作觀察輸入'!$M$7:$M$206,"是"))</x:f>
      </x:c>
      <x:c r="J207" s="115" t="n">
        <x:f>IF($G207=0,0,IF($H207=$I207,1,2))</x:f>
        <x:v>0</x:v>
      </x:c>
      <x:c r="K207" s="115" t="n">
        <x:f>COUNTIFS('工作觀察輸入'!$C$7:$C$206,$B207,'工作觀察輸入'!$G$7:$G$206,$D207,'工作觀察輸入'!$J$7:$J$206,"是")</x:f>
        <x:v>0</x:v>
      </x:c>
      <x:c r="L207" s="115" t="n">
        <x:f>COUNTIFS('面談與異議'!$C$7:$C$106,$B207,'面談與異議'!$F$7:$F$106,$D207,'面談與異議'!$E$7:$E$106,"兩個月面談")</x:f>
        <x:v>0</x:v>
      </x:c>
      <x:c r="M207" s="115" t="str">
        <x:f>IF($E207&lt;&gt;"Ø","不適用",IF(COUNTIFS('事件與限制'!$C$7:$C$106,$B207,'事件與限制'!$E$7:$E$106,$D207,'事件與限制'!$Q$7:$Q$106,"生效中")&gt;0,"資格限制中",IF($F207&lt;&gt;"已核定","先完成基準核定",IF($K207&gt;0,"有關鍵遺漏，先檢討",IF($G207&lt;3,"尚缺成功觀察",IF($J207&lt;2,"觀察日期不足",IF($L207&lt;1,"待兩個月面談","可送主管核定")))))))</x:f>
        <x:v>不適用</x:v>
      </x:c>
      <x:c r="N207" s="116" t="str">
        <x:v>待核定</x:v>
      </x:c>
      <x:c r="O207" s="118"/>
      <x:c r="P207" s="116"/>
      <x:c r="Q207" s="116"/>
      <x:c r="R207" s="115" t="str">
        <x:f>IF($M207&lt;&gt;"可送主管核定","尚未具備條件",IF($N207="不升級","維持原評等",IF($N207="核定升級",IF(OR($O207="",$P207=""),"核定資料未完整","已核定升級"),"待主管核定")))</x:f>
        <x:v>尚未具備條件</x:v>
      </x:c>
    </x:row>
    <x:row r="208">
      <x:c r="A208" s="79" t="str">
        <x:v>UPG|1031|COMMON-XRAY-RECORD</x:v>
      </x:c>
      <x:c r="B208" s="79" t="str">
        <x:v>1031</x:v>
      </x:c>
      <x:c r="C208" s="79" t="str"/>
      <x:c r="D208" s="79" t="str">
        <x:v>COMMON-XRAY-RECORD</x:v>
      </x:c>
      <x:c r="E208" s="79" t="str">
        <x:v>未評估</x:v>
      </x:c>
      <x:c r="F208" s="115" t="str">
        <x:f>IF($E208="未評估","未建立",_xlfn.XLOOKUP("ABIL|1031|COMMON-XRAY-RECORD",'主管核定中心'!$A$12:$A$372,'主管核定中心'!$K$12:$K$372,"待主管核定",0))</x:f>
        <x:v>未建立</x:v>
      </x:c>
      <x:c r="G208" s="115" t="n">
        <x:f>COUNTIFS('工作觀察輸入'!$C$7:$C$206,$B208,'工作觀察輸入'!$G$7:$G$206,$D208,'工作觀察輸入'!$M$7:$M$206,"是")</x:f>
        <x:v>0</x:v>
      </x:c>
      <x:c r="H208" s="117" t="str">
        <x:f>IF($G208=0,"",_xlfn.MINIFS('工作觀察輸入'!$B$7:$B$206,'工作觀察輸入'!$C$7:$C$206,$B208,'工作觀察輸入'!$G$7:$G$206,$D208,'工作觀察輸入'!$M$7:$M$206,"是"))</x:f>
      </x:c>
      <x:c r="I208" s="117" t="str">
        <x:f>IF($G208=0,"",_xlfn.MAXIFS('工作觀察輸入'!$B$7:$B$206,'工作觀察輸入'!$C$7:$C$206,$B208,'工作觀察輸入'!$G$7:$G$206,$D208,'工作觀察輸入'!$M$7:$M$206,"是"))</x:f>
      </x:c>
      <x:c r="J208" s="115" t="n">
        <x:f>IF($G208=0,0,IF($H208=$I208,1,2))</x:f>
        <x:v>0</x:v>
      </x:c>
      <x:c r="K208" s="115" t="n">
        <x:f>COUNTIFS('工作觀察輸入'!$C$7:$C$206,$B208,'工作觀察輸入'!$G$7:$G$206,$D208,'工作觀察輸入'!$J$7:$J$206,"是")</x:f>
        <x:v>0</x:v>
      </x:c>
      <x:c r="L208" s="115" t="n">
        <x:f>COUNTIFS('面談與異議'!$C$7:$C$106,$B208,'面談與異議'!$F$7:$F$106,$D208,'面談與異議'!$E$7:$E$106,"兩個月面談")</x:f>
        <x:v>0</x:v>
      </x:c>
      <x:c r="M208" s="115" t="str">
        <x:f>IF($E208&lt;&gt;"Ø","不適用",IF(COUNTIFS('事件與限制'!$C$7:$C$106,$B208,'事件與限制'!$E$7:$E$106,$D208,'事件與限制'!$Q$7:$Q$106,"生效中")&gt;0,"資格限制中",IF($F208&lt;&gt;"已核定","先完成基準核定",IF($K208&gt;0,"有關鍵遺漏，先檢討",IF($G208&lt;3,"尚缺成功觀察",IF($J208&lt;2,"觀察日期不足",IF($L208&lt;1,"待兩個月面談","可送主管核定")))))))</x:f>
        <x:v>不適用</x:v>
      </x:c>
      <x:c r="N208" s="116" t="str">
        <x:v>待核定</x:v>
      </x:c>
      <x:c r="O208" s="118"/>
      <x:c r="P208" s="116"/>
      <x:c r="Q208" s="116"/>
      <x:c r="R208" s="115" t="str">
        <x:f>IF($M208&lt;&gt;"可送主管核定","尚未具備條件",IF($N208="不升級","維持原評等",IF($N208="核定升級",IF(OR($O208="",$P208=""),"核定資料未完整","已核定升級"),"待主管核定")))</x:f>
        <x:v>尚未具備條件</x:v>
      </x:c>
    </x:row>
    <x:row r="209">
      <x:c r="A209" s="79" t="str">
        <x:v>UPG|1031|COMMON-PA</x:v>
      </x:c>
      <x:c r="B209" s="79" t="str">
        <x:v>1031</x:v>
      </x:c>
      <x:c r="C209" s="79" t="str"/>
      <x:c r="D209" s="79" t="str">
        <x:v>COMMON-PA</x:v>
      </x:c>
      <x:c r="E209" s="79" t="str">
        <x:v>未評估</x:v>
      </x:c>
      <x:c r="F209" s="115" t="str">
        <x:f>IF($E209="未評估","未建立",_xlfn.XLOOKUP("ABIL|1031|COMMON-PA",'主管核定中心'!$A$12:$A$372,'主管核定中心'!$K$12:$K$372,"待主管核定",0))</x:f>
        <x:v>未建立</x:v>
      </x:c>
      <x:c r="G209" s="115" t="n">
        <x:f>COUNTIFS('工作觀察輸入'!$C$7:$C$206,$B209,'工作觀察輸入'!$G$7:$G$206,$D209,'工作觀察輸入'!$M$7:$M$206,"是")</x:f>
        <x:v>0</x:v>
      </x:c>
      <x:c r="H209" s="117" t="str">
        <x:f>IF($G209=0,"",_xlfn.MINIFS('工作觀察輸入'!$B$7:$B$206,'工作觀察輸入'!$C$7:$C$206,$B209,'工作觀察輸入'!$G$7:$G$206,$D209,'工作觀察輸入'!$M$7:$M$206,"是"))</x:f>
      </x:c>
      <x:c r="I209" s="117" t="str">
        <x:f>IF($G209=0,"",_xlfn.MAXIFS('工作觀察輸入'!$B$7:$B$206,'工作觀察輸入'!$C$7:$C$206,$B209,'工作觀察輸入'!$G$7:$G$206,$D209,'工作觀察輸入'!$M$7:$M$206,"是"))</x:f>
      </x:c>
      <x:c r="J209" s="115" t="n">
        <x:f>IF($G209=0,0,IF($H209=$I209,1,2))</x:f>
        <x:v>0</x:v>
      </x:c>
      <x:c r="K209" s="115" t="n">
        <x:f>COUNTIFS('工作觀察輸入'!$C$7:$C$206,$B209,'工作觀察輸入'!$G$7:$G$206,$D209,'工作觀察輸入'!$J$7:$J$206,"是")</x:f>
        <x:v>0</x:v>
      </x:c>
      <x:c r="L209" s="115" t="n">
        <x:f>COUNTIFS('面談與異議'!$C$7:$C$106,$B209,'面談與異議'!$F$7:$F$106,$D209,'面談與異議'!$E$7:$E$106,"兩個月面談")</x:f>
        <x:v>0</x:v>
      </x:c>
      <x:c r="M209" s="115" t="str">
        <x:f>IF($E209&lt;&gt;"Ø","不適用",IF(COUNTIFS('事件與限制'!$C$7:$C$106,$B209,'事件與限制'!$E$7:$E$106,$D209,'事件與限制'!$Q$7:$Q$106,"生效中")&gt;0,"資格限制中",IF($F209&lt;&gt;"已核定","先完成基準核定",IF($K209&gt;0,"有關鍵遺漏，先檢討",IF($G209&lt;3,"尚缺成功觀察",IF($J209&lt;2,"觀察日期不足",IF($L209&lt;1,"待兩個月面談","可送主管核定")))))))</x:f>
        <x:v>不適用</x:v>
      </x:c>
      <x:c r="N209" s="116" t="str">
        <x:v>待核定</x:v>
      </x:c>
      <x:c r="O209" s="118"/>
      <x:c r="P209" s="116"/>
      <x:c r="Q209" s="116"/>
      <x:c r="R209" s="115" t="str">
        <x:f>IF($M209&lt;&gt;"可送主管核定","尚未具備條件",IF($N209="不升級","維持原評等",IF($N209="核定升級",IF(OR($O209="",$P209=""),"核定資料未完整","已核定升級"),"待主管核定")))</x:f>
        <x:v>尚未具備條件</x:v>
      </x:c>
    </x:row>
    <x:row r="210">
      <x:c r="A210" s="79" t="str">
        <x:v>UPG|1031|COMMON-IOS</x:v>
      </x:c>
      <x:c r="B210" s="79" t="str">
        <x:v>1031</x:v>
      </x:c>
      <x:c r="C210" s="79" t="str"/>
      <x:c r="D210" s="79" t="str">
        <x:v>COMMON-IOS</x:v>
      </x:c>
      <x:c r="E210" s="79" t="str">
        <x:v>未評估</x:v>
      </x:c>
      <x:c r="F210" s="115" t="str">
        <x:f>IF($E210="未評估","未建立",_xlfn.XLOOKUP("ABIL|1031|COMMON-IOS",'主管核定中心'!$A$12:$A$372,'主管核定中心'!$K$12:$K$372,"待主管核定",0))</x:f>
        <x:v>未建立</x:v>
      </x:c>
      <x:c r="G210" s="115" t="n">
        <x:f>COUNTIFS('工作觀察輸入'!$C$7:$C$206,$B210,'工作觀察輸入'!$G$7:$G$206,$D210,'工作觀察輸入'!$M$7:$M$206,"是")</x:f>
        <x:v>0</x:v>
      </x:c>
      <x:c r="H210" s="117" t="str">
        <x:f>IF($G210=0,"",_xlfn.MINIFS('工作觀察輸入'!$B$7:$B$206,'工作觀察輸入'!$C$7:$C$206,$B210,'工作觀察輸入'!$G$7:$G$206,$D210,'工作觀察輸入'!$M$7:$M$206,"是"))</x:f>
      </x:c>
      <x:c r="I210" s="117" t="str">
        <x:f>IF($G210=0,"",_xlfn.MAXIFS('工作觀察輸入'!$B$7:$B$206,'工作觀察輸入'!$C$7:$C$206,$B210,'工作觀察輸入'!$G$7:$G$206,$D210,'工作觀察輸入'!$M$7:$M$206,"是"))</x:f>
      </x:c>
      <x:c r="J210" s="115" t="n">
        <x:f>IF($G210=0,0,IF($H210=$I210,1,2))</x:f>
        <x:v>0</x:v>
      </x:c>
      <x:c r="K210" s="115" t="n">
        <x:f>COUNTIFS('工作觀察輸入'!$C$7:$C$206,$B210,'工作觀察輸入'!$G$7:$G$206,$D210,'工作觀察輸入'!$J$7:$J$206,"是")</x:f>
        <x:v>0</x:v>
      </x:c>
      <x:c r="L210" s="115" t="n">
        <x:f>COUNTIFS('面談與異議'!$C$7:$C$106,$B210,'面談與異議'!$F$7:$F$106,$D210,'面談與異議'!$E$7:$E$106,"兩個月面談")</x:f>
        <x:v>0</x:v>
      </x:c>
      <x:c r="M210" s="115" t="str">
        <x:f>IF($E210&lt;&gt;"Ø","不適用",IF(COUNTIFS('事件與限制'!$C$7:$C$106,$B210,'事件與限制'!$E$7:$E$106,$D210,'事件與限制'!$Q$7:$Q$106,"生效中")&gt;0,"資格限制中",IF($F210&lt;&gt;"已核定","先完成基準核定",IF($K210&gt;0,"有關鍵遺漏，先檢討",IF($G210&lt;3,"尚缺成功觀察",IF($J210&lt;2,"觀察日期不足",IF($L210&lt;1,"待兩個月面談","可送主管核定")))))))</x:f>
        <x:v>不適用</x:v>
      </x:c>
      <x:c r="N210" s="116" t="str">
        <x:v>待核定</x:v>
      </x:c>
      <x:c r="O210" s="118"/>
      <x:c r="P210" s="116"/>
      <x:c r="Q210" s="116"/>
      <x:c r="R210" s="115" t="str">
        <x:f>IF($M210&lt;&gt;"可送主管核定","尚未具備條件",IF($N210="不升級","維持原評等",IF($N210="核定升級",IF(OR($O210="",$P210=""),"核定資料未完整","已核定升級"),"待主管核定")))</x:f>
        <x:v>尚未具備條件</x:v>
      </x:c>
    </x:row>
    <x:row r="211">
      <x:c r="A211" s="79" t="str">
        <x:v>UPG|2006|LJT-PREP-SCALING</x:v>
      </x:c>
      <x:c r="B211" s="79" t="str">
        <x:v>2006</x:v>
      </x:c>
      <x:c r="C211" s="79" t="str"/>
      <x:c r="D211" s="79" t="str">
        <x:v>LJT-PREP-SCALING</x:v>
      </x:c>
      <x:c r="E211" s="79" t="str">
        <x:v>未評估</x:v>
      </x:c>
      <x:c r="F211" s="115" t="str">
        <x:f>IF($E211="未評估","未建立",_xlfn.XLOOKUP("ABIL|2006|LJT-PREP-SCALING",'主管核定中心'!$A$12:$A$372,'主管核定中心'!$K$12:$K$372,"待主管核定",0))</x:f>
        <x:v>未建立</x:v>
      </x:c>
      <x:c r="G211" s="115" t="n">
        <x:f>COUNTIFS('工作觀察輸入'!$C$7:$C$206,$B211,'工作觀察輸入'!$G$7:$G$206,$D211,'工作觀察輸入'!$M$7:$M$206,"是")</x:f>
        <x:v>0</x:v>
      </x:c>
      <x:c r="H211" s="117" t="str">
        <x:f>IF($G211=0,"",_xlfn.MINIFS('工作觀察輸入'!$B$7:$B$206,'工作觀察輸入'!$C$7:$C$206,$B211,'工作觀察輸入'!$G$7:$G$206,$D211,'工作觀察輸入'!$M$7:$M$206,"是"))</x:f>
      </x:c>
      <x:c r="I211" s="117" t="str">
        <x:f>IF($G211=0,"",_xlfn.MAXIFS('工作觀察輸入'!$B$7:$B$206,'工作觀察輸入'!$C$7:$C$206,$B211,'工作觀察輸入'!$G$7:$G$206,$D211,'工作觀察輸入'!$M$7:$M$206,"是"))</x:f>
      </x:c>
      <x:c r="J211" s="115" t="n">
        <x:f>IF($G211=0,0,IF($H211=$I211,1,2))</x:f>
        <x:v>0</x:v>
      </x:c>
      <x:c r="K211" s="115" t="n">
        <x:f>COUNTIFS('工作觀察輸入'!$C$7:$C$206,$B211,'工作觀察輸入'!$G$7:$G$206,$D211,'工作觀察輸入'!$J$7:$J$206,"是")</x:f>
        <x:v>0</x:v>
      </x:c>
      <x:c r="L211" s="115" t="n">
        <x:f>COUNTIFS('面談與異議'!$C$7:$C$106,$B211,'面談與異議'!$F$7:$F$106,$D211,'面談與異議'!$E$7:$E$106,"兩個月面談")</x:f>
        <x:v>0</x:v>
      </x:c>
      <x:c r="M211" s="115" t="str">
        <x:f>IF($E211&lt;&gt;"Ø","不適用",IF(COUNTIFS('事件與限制'!$C$7:$C$106,$B211,'事件與限制'!$E$7:$E$106,$D211,'事件與限制'!$Q$7:$Q$106,"生效中")&gt;0,"資格限制中",IF($F211&lt;&gt;"已核定","先完成基準核定",IF($K211&gt;0,"有關鍵遺漏，先檢討",IF($G211&lt;3,"尚缺成功觀察",IF($J211&lt;2,"觀察日期不足",IF($L211&lt;1,"待兩個月面談","可送主管核定")))))))</x:f>
        <x:v>不適用</x:v>
      </x:c>
      <x:c r="N211" s="116" t="str">
        <x:v>待核定</x:v>
      </x:c>
      <x:c r="O211" s="118"/>
      <x:c r="P211" s="116"/>
      <x:c r="Q211" s="116"/>
      <x:c r="R211" s="115" t="str">
        <x:f>IF($M211&lt;&gt;"可送主管核定","尚未具備條件",IF($N211="不升級","維持原評等",IF($N211="核定升級",IF(OR($O211="",$P211=""),"核定資料未完整","已核定升級"),"待主管核定")))</x:f>
        <x:v>尚未具備條件</x:v>
      </x:c>
    </x:row>
    <x:row r="212">
      <x:c r="A212" s="79" t="str">
        <x:v>UPG|2006|LJT-PREP-FILLING</x:v>
      </x:c>
      <x:c r="B212" s="79" t="str">
        <x:v>2006</x:v>
      </x:c>
      <x:c r="C212" s="79" t="str"/>
      <x:c r="D212" s="79" t="str">
        <x:v>LJT-PREP-FILLING</x:v>
      </x:c>
      <x:c r="E212" s="79" t="str">
        <x:v>未評估</x:v>
      </x:c>
      <x:c r="F212" s="115" t="str">
        <x:f>IF($E212="未評估","未建立",_xlfn.XLOOKUP("ABIL|2006|LJT-PREP-FILLING",'主管核定中心'!$A$12:$A$372,'主管核定中心'!$K$12:$K$372,"待主管核定",0))</x:f>
        <x:v>未建立</x:v>
      </x:c>
      <x:c r="G212" s="115" t="n">
        <x:f>COUNTIFS('工作觀察輸入'!$C$7:$C$206,$B212,'工作觀察輸入'!$G$7:$G$206,$D212,'工作觀察輸入'!$M$7:$M$206,"是")</x:f>
        <x:v>0</x:v>
      </x:c>
      <x:c r="H212" s="117" t="str">
        <x:f>IF($G212=0,"",_xlfn.MINIFS('工作觀察輸入'!$B$7:$B$206,'工作觀察輸入'!$C$7:$C$206,$B212,'工作觀察輸入'!$G$7:$G$206,$D212,'工作觀察輸入'!$M$7:$M$206,"是"))</x:f>
      </x:c>
      <x:c r="I212" s="117" t="str">
        <x:f>IF($G212=0,"",_xlfn.MAXIFS('工作觀察輸入'!$B$7:$B$206,'工作觀察輸入'!$C$7:$C$206,$B212,'工作觀察輸入'!$G$7:$G$206,$D212,'工作觀察輸入'!$M$7:$M$206,"是"))</x:f>
      </x:c>
      <x:c r="J212" s="115" t="n">
        <x:f>IF($G212=0,0,IF($H212=$I212,1,2))</x:f>
        <x:v>0</x:v>
      </x:c>
      <x:c r="K212" s="115" t="n">
        <x:f>COUNTIFS('工作觀察輸入'!$C$7:$C$206,$B212,'工作觀察輸入'!$G$7:$G$206,$D212,'工作觀察輸入'!$J$7:$J$206,"是")</x:f>
        <x:v>0</x:v>
      </x:c>
      <x:c r="L212" s="115" t="n">
        <x:f>COUNTIFS('面談與異議'!$C$7:$C$106,$B212,'面談與異議'!$F$7:$F$106,$D212,'面談與異議'!$E$7:$E$106,"兩個月面談")</x:f>
        <x:v>0</x:v>
      </x:c>
      <x:c r="M212" s="115" t="str">
        <x:f>IF($E212&lt;&gt;"Ø","不適用",IF(COUNTIFS('事件與限制'!$C$7:$C$106,$B212,'事件與限制'!$E$7:$E$106,$D212,'事件與限制'!$Q$7:$Q$106,"生效中")&gt;0,"資格限制中",IF($F212&lt;&gt;"已核定","先完成基準核定",IF($K212&gt;0,"有關鍵遺漏，先檢討",IF($G212&lt;3,"尚缺成功觀察",IF($J212&lt;2,"觀察日期不足",IF($L212&lt;1,"待兩個月面談","可送主管核定")))))))</x:f>
        <x:v>不適用</x:v>
      </x:c>
      <x:c r="N212" s="116" t="str">
        <x:v>待核定</x:v>
      </x:c>
      <x:c r="O212" s="118"/>
      <x:c r="P212" s="116"/>
      <x:c r="Q212" s="116"/>
      <x:c r="R212" s="115" t="str">
        <x:f>IF($M212&lt;&gt;"可送主管核定","尚未具備條件",IF($N212="不升級","維持原評等",IF($N212="核定升級",IF(OR($O212="",$P212=""),"核定資料未完整","已核定升級"),"待主管核定")))</x:f>
        <x:v>尚未具備條件</x:v>
      </x:c>
    </x:row>
    <x:row r="213">
      <x:c r="A213" s="79" t="str">
        <x:v>UPG|2006|LJT-PREP-PERIO</x:v>
      </x:c>
      <x:c r="B213" s="79" t="str">
        <x:v>2006</x:v>
      </x:c>
      <x:c r="C213" s="79" t="str"/>
      <x:c r="D213" s="79" t="str">
        <x:v>LJT-PREP-PERIO</x:v>
      </x:c>
      <x:c r="E213" s="79" t="str">
        <x:v>未評估</x:v>
      </x:c>
      <x:c r="F213" s="115" t="str">
        <x:f>IF($E213="未評估","未建立",_xlfn.XLOOKUP("ABIL|2006|LJT-PREP-PERIO",'主管核定中心'!$A$12:$A$372,'主管核定中心'!$K$12:$K$372,"待主管核定",0))</x:f>
        <x:v>未建立</x:v>
      </x:c>
      <x:c r="G213" s="115" t="n">
        <x:f>COUNTIFS('工作觀察輸入'!$C$7:$C$206,$B213,'工作觀察輸入'!$G$7:$G$206,$D213,'工作觀察輸入'!$M$7:$M$206,"是")</x:f>
        <x:v>0</x:v>
      </x:c>
      <x:c r="H213" s="117" t="str">
        <x:f>IF($G213=0,"",_xlfn.MINIFS('工作觀察輸入'!$B$7:$B$206,'工作觀察輸入'!$C$7:$C$206,$B213,'工作觀察輸入'!$G$7:$G$206,$D213,'工作觀察輸入'!$M$7:$M$206,"是"))</x:f>
      </x:c>
      <x:c r="I213" s="117" t="str">
        <x:f>IF($G213=0,"",_xlfn.MAXIFS('工作觀察輸入'!$B$7:$B$206,'工作觀察輸入'!$C$7:$C$206,$B213,'工作觀察輸入'!$G$7:$G$206,$D213,'工作觀察輸入'!$M$7:$M$206,"是"))</x:f>
      </x:c>
      <x:c r="J213" s="115" t="n">
        <x:f>IF($G213=0,0,IF($H213=$I213,1,2))</x:f>
        <x:v>0</x:v>
      </x:c>
      <x:c r="K213" s="115" t="n">
        <x:f>COUNTIFS('工作觀察輸入'!$C$7:$C$206,$B213,'工作觀察輸入'!$G$7:$G$206,$D213,'工作觀察輸入'!$J$7:$J$206,"是")</x:f>
        <x:v>0</x:v>
      </x:c>
      <x:c r="L213" s="115" t="n">
        <x:f>COUNTIFS('面談與異議'!$C$7:$C$106,$B213,'面談與異議'!$F$7:$F$106,$D213,'面談與異議'!$E$7:$E$106,"兩個月面談")</x:f>
        <x:v>0</x:v>
      </x:c>
      <x:c r="M213" s="115" t="str">
        <x:f>IF($E213&lt;&gt;"Ø","不適用",IF(COUNTIFS('事件與限制'!$C$7:$C$106,$B213,'事件與限制'!$E$7:$E$106,$D213,'事件與限制'!$Q$7:$Q$106,"生效中")&gt;0,"資格限制中",IF($F213&lt;&gt;"已核定","先完成基準核定",IF($K213&gt;0,"有關鍵遺漏，先檢討",IF($G213&lt;3,"尚缺成功觀察",IF($J213&lt;2,"觀察日期不足",IF($L213&lt;1,"待兩個月面談","可送主管核定")))))))</x:f>
        <x:v>不適用</x:v>
      </x:c>
      <x:c r="N213" s="116" t="str">
        <x:v>待核定</x:v>
      </x:c>
      <x:c r="O213" s="118"/>
      <x:c r="P213" s="116"/>
      <x:c r="Q213" s="116"/>
      <x:c r="R213" s="115" t="str">
        <x:f>IF($M213&lt;&gt;"可送主管核定","尚未具備條件",IF($N213="不升級","維持原評等",IF($N213="核定升級",IF(OR($O213="",$P213=""),"核定資料未完整","已核定升級"),"待主管核定")))</x:f>
        <x:v>尚未具備條件</x:v>
      </x:c>
    </x:row>
    <x:row r="214">
      <x:c r="A214" s="79" t="str">
        <x:v>UPG|2006|LJT-PREP-RCT</x:v>
      </x:c>
      <x:c r="B214" s="79" t="str">
        <x:v>2006</x:v>
      </x:c>
      <x:c r="C214" s="79" t="str"/>
      <x:c r="D214" s="79" t="str">
        <x:v>LJT-PREP-RCT</x:v>
      </x:c>
      <x:c r="E214" s="79" t="str">
        <x:v>未評估</x:v>
      </x:c>
      <x:c r="F214" s="115" t="str">
        <x:f>IF($E214="未評估","未建立",_xlfn.XLOOKUP("ABIL|2006|LJT-PREP-RCT",'主管核定中心'!$A$12:$A$372,'主管核定中心'!$K$12:$K$372,"待主管核定",0))</x:f>
        <x:v>未建立</x:v>
      </x:c>
      <x:c r="G214" s="115" t="n">
        <x:f>COUNTIFS('工作觀察輸入'!$C$7:$C$206,$B214,'工作觀察輸入'!$G$7:$G$206,$D214,'工作觀察輸入'!$M$7:$M$206,"是")</x:f>
        <x:v>0</x:v>
      </x:c>
      <x:c r="H214" s="117" t="str">
        <x:f>IF($G214=0,"",_xlfn.MINIFS('工作觀察輸入'!$B$7:$B$206,'工作觀察輸入'!$C$7:$C$206,$B214,'工作觀察輸入'!$G$7:$G$206,$D214,'工作觀察輸入'!$M$7:$M$206,"是"))</x:f>
      </x:c>
      <x:c r="I214" s="117" t="str">
        <x:f>IF($G214=0,"",_xlfn.MAXIFS('工作觀察輸入'!$B$7:$B$206,'工作觀察輸入'!$C$7:$C$206,$B214,'工作觀察輸入'!$G$7:$G$206,$D214,'工作觀察輸入'!$M$7:$M$206,"是"))</x:f>
      </x:c>
      <x:c r="J214" s="115" t="n">
        <x:f>IF($G214=0,0,IF($H214=$I214,1,2))</x:f>
        <x:v>0</x:v>
      </x:c>
      <x:c r="K214" s="115" t="n">
        <x:f>COUNTIFS('工作觀察輸入'!$C$7:$C$206,$B214,'工作觀察輸入'!$G$7:$G$206,$D214,'工作觀察輸入'!$J$7:$J$206,"是")</x:f>
        <x:v>0</x:v>
      </x:c>
      <x:c r="L214" s="115" t="n">
        <x:f>COUNTIFS('面談與異議'!$C$7:$C$106,$B214,'面談與異議'!$F$7:$F$106,$D214,'面談與異議'!$E$7:$E$106,"兩個月面談")</x:f>
        <x:v>0</x:v>
      </x:c>
      <x:c r="M214" s="115" t="str">
        <x:f>IF($E214&lt;&gt;"Ø","不適用",IF(COUNTIFS('事件與限制'!$C$7:$C$106,$B214,'事件與限制'!$E$7:$E$106,$D214,'事件與限制'!$Q$7:$Q$106,"生效中")&gt;0,"資格限制中",IF($F214&lt;&gt;"已核定","先完成基準核定",IF($K214&gt;0,"有關鍵遺漏，先檢討",IF($G214&lt;3,"尚缺成功觀察",IF($J214&lt;2,"觀察日期不足",IF($L214&lt;1,"待兩個月面談","可送主管核定")))))))</x:f>
        <x:v>不適用</x:v>
      </x:c>
      <x:c r="N214" s="116" t="str">
        <x:v>待核定</x:v>
      </x:c>
      <x:c r="O214" s="118"/>
      <x:c r="P214" s="116"/>
      <x:c r="Q214" s="116"/>
      <x:c r="R214" s="115" t="str">
        <x:f>IF($M214&lt;&gt;"可送主管核定","尚未具備條件",IF($N214="不升級","維持原評等",IF($N214="核定升級",IF(OR($O214="",$P214=""),"核定資料未完整","已核定升級"),"待主管核定")))</x:f>
        <x:v>尚未具備條件</x:v>
      </x:c>
    </x:row>
    <x:row r="215">
      <x:c r="A215" s="79" t="str">
        <x:v>UPG|2006|LJT-PREP-EXTRACTION</x:v>
      </x:c>
      <x:c r="B215" s="79" t="str">
        <x:v>2006</x:v>
      </x:c>
      <x:c r="C215" s="79" t="str"/>
      <x:c r="D215" s="79" t="str">
        <x:v>LJT-PREP-EXTRACTION</x:v>
      </x:c>
      <x:c r="E215" s="79" t="str">
        <x:v>未評估</x:v>
      </x:c>
      <x:c r="F215" s="115" t="str">
        <x:f>IF($E215="未評估","未建立",_xlfn.XLOOKUP("ABIL|2006|LJT-PREP-EXTRACTION",'主管核定中心'!$A$12:$A$372,'主管核定中心'!$K$12:$K$372,"待主管核定",0))</x:f>
        <x:v>未建立</x:v>
      </x:c>
      <x:c r="G215" s="115" t="n">
        <x:f>COUNTIFS('工作觀察輸入'!$C$7:$C$206,$B215,'工作觀察輸入'!$G$7:$G$206,$D215,'工作觀察輸入'!$M$7:$M$206,"是")</x:f>
        <x:v>0</x:v>
      </x:c>
      <x:c r="H215" s="117" t="str">
        <x:f>IF($G215=0,"",_xlfn.MINIFS('工作觀察輸入'!$B$7:$B$206,'工作觀察輸入'!$C$7:$C$206,$B215,'工作觀察輸入'!$G$7:$G$206,$D215,'工作觀察輸入'!$M$7:$M$206,"是"))</x:f>
      </x:c>
      <x:c r="I215" s="117" t="str">
        <x:f>IF($G215=0,"",_xlfn.MAXIFS('工作觀察輸入'!$B$7:$B$206,'工作觀察輸入'!$C$7:$C$206,$B215,'工作觀察輸入'!$G$7:$G$206,$D215,'工作觀察輸入'!$M$7:$M$206,"是"))</x:f>
      </x:c>
      <x:c r="J215" s="115" t="n">
        <x:f>IF($G215=0,0,IF($H215=$I215,1,2))</x:f>
        <x:v>0</x:v>
      </x:c>
      <x:c r="K215" s="115" t="n">
        <x:f>COUNTIFS('工作觀察輸入'!$C$7:$C$206,$B215,'工作觀察輸入'!$G$7:$G$206,$D215,'工作觀察輸入'!$J$7:$J$206,"是")</x:f>
        <x:v>0</x:v>
      </x:c>
      <x:c r="L215" s="115" t="n">
        <x:f>COUNTIFS('面談與異議'!$C$7:$C$106,$B215,'面談與異議'!$F$7:$F$106,$D215,'面談與異議'!$E$7:$E$106,"兩個月面談")</x:f>
        <x:v>0</x:v>
      </x:c>
      <x:c r="M215" s="115" t="str">
        <x:f>IF($E215&lt;&gt;"Ø","不適用",IF(COUNTIFS('事件與限制'!$C$7:$C$106,$B215,'事件與限制'!$E$7:$E$106,$D215,'事件與限制'!$Q$7:$Q$106,"生效中")&gt;0,"資格限制中",IF($F215&lt;&gt;"已核定","先完成基準核定",IF($K215&gt;0,"有關鍵遺漏，先檢討",IF($G215&lt;3,"尚缺成功觀察",IF($J215&lt;2,"觀察日期不足",IF($L215&lt;1,"待兩個月面談","可送主管核定")))))))</x:f>
        <x:v>不適用</x:v>
      </x:c>
      <x:c r="N215" s="116" t="str">
        <x:v>待核定</x:v>
      </x:c>
      <x:c r="O215" s="118"/>
      <x:c r="P215" s="116"/>
      <x:c r="Q215" s="116"/>
      <x:c r="R215" s="115" t="str">
        <x:f>IF($M215&lt;&gt;"可送主管核定","尚未具備條件",IF($N215="不升級","維持原評等",IF($N215="核定升級",IF(OR($O215="",$P215=""),"核定資料未完整","已核定升級"),"待主管核定")))</x:f>
        <x:v>尚未具備條件</x:v>
      </x:c>
    </x:row>
    <x:row r="216">
      <x:c r="A216" s="79" t="str">
        <x:v>UPG|2006|LJT-PREP-CROWNPOST</x:v>
      </x:c>
      <x:c r="B216" s="79" t="str">
        <x:v>2006</x:v>
      </x:c>
      <x:c r="C216" s="79" t="str"/>
      <x:c r="D216" s="79" t="str">
        <x:v>LJT-PREP-CROWNPOST</x:v>
      </x:c>
      <x:c r="E216" s="79" t="str">
        <x:v>未評估</x:v>
      </x:c>
      <x:c r="F216" s="115" t="str">
        <x:f>IF($E216="未評估","未建立",_xlfn.XLOOKUP("ABIL|2006|LJT-PREP-CROWNPOST",'主管核定中心'!$A$12:$A$372,'主管核定中心'!$K$12:$K$372,"待主管核定",0))</x:f>
        <x:v>未建立</x:v>
      </x:c>
      <x:c r="G216" s="115" t="n">
        <x:f>COUNTIFS('工作觀察輸入'!$C$7:$C$206,$B216,'工作觀察輸入'!$G$7:$G$206,$D216,'工作觀察輸入'!$M$7:$M$206,"是")</x:f>
        <x:v>0</x:v>
      </x:c>
      <x:c r="H216" s="117" t="str">
        <x:f>IF($G216=0,"",_xlfn.MINIFS('工作觀察輸入'!$B$7:$B$206,'工作觀察輸入'!$C$7:$C$206,$B216,'工作觀察輸入'!$G$7:$G$206,$D216,'工作觀察輸入'!$M$7:$M$206,"是"))</x:f>
      </x:c>
      <x:c r="I216" s="117" t="str">
        <x:f>IF($G216=0,"",_xlfn.MAXIFS('工作觀察輸入'!$B$7:$B$206,'工作觀察輸入'!$C$7:$C$206,$B216,'工作觀察輸入'!$G$7:$G$206,$D216,'工作觀察輸入'!$M$7:$M$206,"是"))</x:f>
      </x:c>
      <x:c r="J216" s="115" t="n">
        <x:f>IF($G216=0,0,IF($H216=$I216,1,2))</x:f>
        <x:v>0</x:v>
      </x:c>
      <x:c r="K216" s="115" t="n">
        <x:f>COUNTIFS('工作觀察輸入'!$C$7:$C$206,$B216,'工作觀察輸入'!$G$7:$G$206,$D216,'工作觀察輸入'!$J$7:$J$206,"是")</x:f>
        <x:v>0</x:v>
      </x:c>
      <x:c r="L216" s="115" t="n">
        <x:f>COUNTIFS('面談與異議'!$C$7:$C$106,$B216,'面談與異議'!$F$7:$F$106,$D216,'面談與異議'!$E$7:$E$106,"兩個月面談")</x:f>
        <x:v>0</x:v>
      </x:c>
      <x:c r="M216" s="115" t="str">
        <x:f>IF($E216&lt;&gt;"Ø","不適用",IF(COUNTIFS('事件與限制'!$C$7:$C$106,$B216,'事件與限制'!$E$7:$E$106,$D216,'事件與限制'!$Q$7:$Q$106,"生效中")&gt;0,"資格限制中",IF($F216&lt;&gt;"已核定","先完成基準核定",IF($K216&gt;0,"有關鍵遺漏，先檢討",IF($G216&lt;3,"尚缺成功觀察",IF($J216&lt;2,"觀察日期不足",IF($L216&lt;1,"待兩個月面談","可送主管核定")))))))</x:f>
        <x:v>不適用</x:v>
      </x:c>
      <x:c r="N216" s="116" t="str">
        <x:v>待核定</x:v>
      </x:c>
      <x:c r="O216" s="118"/>
      <x:c r="P216" s="116"/>
      <x:c r="Q216" s="116"/>
      <x:c r="R216" s="115" t="str">
        <x:f>IF($M216&lt;&gt;"可送主管核定","尚未具備條件",IF($N216="不升級","維持原評等",IF($N216="核定升級",IF(OR($O216="",$P216=""),"核定資料未完整","已核定升級"),"待主管核定")))</x:f>
        <x:v>尚未具備條件</x:v>
      </x:c>
    </x:row>
    <x:row r="217">
      <x:c r="A217" s="79" t="str">
        <x:v>UPG|2006|LJT-PREP-CROWN</x:v>
      </x:c>
      <x:c r="B217" s="79" t="str">
        <x:v>2006</x:v>
      </x:c>
      <x:c r="C217" s="79" t="str"/>
      <x:c r="D217" s="79" t="str">
        <x:v>LJT-PREP-CROWN</x:v>
      </x:c>
      <x:c r="E217" s="79" t="str">
        <x:v>未評估</x:v>
      </x:c>
      <x:c r="F217" s="115" t="str">
        <x:f>IF($E217="未評估","未建立",_xlfn.XLOOKUP("ABIL|2006|LJT-PREP-CROWN",'主管核定中心'!$A$12:$A$372,'主管核定中心'!$K$12:$K$372,"待主管核定",0))</x:f>
        <x:v>未建立</x:v>
      </x:c>
      <x:c r="G217" s="115" t="n">
        <x:f>COUNTIFS('工作觀察輸入'!$C$7:$C$206,$B217,'工作觀察輸入'!$G$7:$G$206,$D217,'工作觀察輸入'!$M$7:$M$206,"是")</x:f>
        <x:v>0</x:v>
      </x:c>
      <x:c r="H217" s="117" t="str">
        <x:f>IF($G217=0,"",_xlfn.MINIFS('工作觀察輸入'!$B$7:$B$206,'工作觀察輸入'!$C$7:$C$206,$B217,'工作觀察輸入'!$G$7:$G$206,$D217,'工作觀察輸入'!$M$7:$M$206,"是"))</x:f>
      </x:c>
      <x:c r="I217" s="117" t="str">
        <x:f>IF($G217=0,"",_xlfn.MAXIFS('工作觀察輸入'!$B$7:$B$206,'工作觀察輸入'!$C$7:$C$206,$B217,'工作觀察輸入'!$G$7:$G$206,$D217,'工作觀察輸入'!$M$7:$M$206,"是"))</x:f>
      </x:c>
      <x:c r="J217" s="115" t="n">
        <x:f>IF($G217=0,0,IF($H217=$I217,1,2))</x:f>
        <x:v>0</x:v>
      </x:c>
      <x:c r="K217" s="115" t="n">
        <x:f>COUNTIFS('工作觀察輸入'!$C$7:$C$206,$B217,'工作觀察輸入'!$G$7:$G$206,$D217,'工作觀察輸入'!$J$7:$J$206,"是")</x:f>
        <x:v>0</x:v>
      </x:c>
      <x:c r="L217" s="115" t="n">
        <x:f>COUNTIFS('面談與異議'!$C$7:$C$106,$B217,'面談與異議'!$F$7:$F$106,$D217,'面談與異議'!$E$7:$E$106,"兩個月面談")</x:f>
        <x:v>0</x:v>
      </x:c>
      <x:c r="M217" s="115" t="str">
        <x:f>IF($E217&lt;&gt;"Ø","不適用",IF(COUNTIFS('事件與限制'!$C$7:$C$106,$B217,'事件與限制'!$E$7:$E$106,$D217,'事件與限制'!$Q$7:$Q$106,"生效中")&gt;0,"資格限制中",IF($F217&lt;&gt;"已核定","先完成基準核定",IF($K217&gt;0,"有關鍵遺漏，先檢討",IF($G217&lt;3,"尚缺成功觀察",IF($J217&lt;2,"觀察日期不足",IF($L217&lt;1,"待兩個月面談","可送主管核定")))))))</x:f>
        <x:v>不適用</x:v>
      </x:c>
      <x:c r="N217" s="116" t="str">
        <x:v>待核定</x:v>
      </x:c>
      <x:c r="O217" s="118"/>
      <x:c r="P217" s="116"/>
      <x:c r="Q217" s="116"/>
      <x:c r="R217" s="115" t="str">
        <x:f>IF($M217&lt;&gt;"可送主管核定","尚未具備條件",IF($N217="不升級","維持原評等",IF($N217="核定升級",IF(OR($O217="",$P217=""),"核定資料未完整","已核定升級"),"待主管核定")))</x:f>
        <x:v>尚未具備條件</x:v>
      </x:c>
    </x:row>
    <x:row r="218">
      <x:c r="A218" s="79" t="str">
        <x:v>UPG|2006|LJT-PREP-RPD</x:v>
      </x:c>
      <x:c r="B218" s="79" t="str">
        <x:v>2006</x:v>
      </x:c>
      <x:c r="C218" s="79" t="str"/>
      <x:c r="D218" s="79" t="str">
        <x:v>LJT-PREP-RPD</x:v>
      </x:c>
      <x:c r="E218" s="79" t="str">
        <x:v>未評估</x:v>
      </x:c>
      <x:c r="F218" s="115" t="str">
        <x:f>IF($E218="未評估","未建立",_xlfn.XLOOKUP("ABIL|2006|LJT-PREP-RPD",'主管核定中心'!$A$12:$A$372,'主管核定中心'!$K$12:$K$372,"待主管核定",0))</x:f>
        <x:v>未建立</x:v>
      </x:c>
      <x:c r="G218" s="115" t="n">
        <x:f>COUNTIFS('工作觀察輸入'!$C$7:$C$206,$B218,'工作觀察輸入'!$G$7:$G$206,$D218,'工作觀察輸入'!$M$7:$M$206,"是")</x:f>
        <x:v>0</x:v>
      </x:c>
      <x:c r="H218" s="117" t="str">
        <x:f>IF($G218=0,"",_xlfn.MINIFS('工作觀察輸入'!$B$7:$B$206,'工作觀察輸入'!$C$7:$C$206,$B218,'工作觀察輸入'!$G$7:$G$206,$D218,'工作觀察輸入'!$M$7:$M$206,"是"))</x:f>
      </x:c>
      <x:c r="I218" s="117" t="str">
        <x:f>IF($G218=0,"",_xlfn.MAXIFS('工作觀察輸入'!$B$7:$B$206,'工作觀察輸入'!$C$7:$C$206,$B218,'工作觀察輸入'!$G$7:$G$206,$D218,'工作觀察輸入'!$M$7:$M$206,"是"))</x:f>
      </x:c>
      <x:c r="J218" s="115" t="n">
        <x:f>IF($G218=0,0,IF($H218=$I218,1,2))</x:f>
        <x:v>0</x:v>
      </x:c>
      <x:c r="K218" s="115" t="n">
        <x:f>COUNTIFS('工作觀察輸入'!$C$7:$C$206,$B218,'工作觀察輸入'!$G$7:$G$206,$D218,'工作觀察輸入'!$J$7:$J$206,"是")</x:f>
        <x:v>0</x:v>
      </x:c>
      <x:c r="L218" s="115" t="n">
        <x:f>COUNTIFS('面談與異議'!$C$7:$C$106,$B218,'面談與異議'!$F$7:$F$106,$D218,'面談與異議'!$E$7:$E$106,"兩個月面談")</x:f>
        <x:v>0</x:v>
      </x:c>
      <x:c r="M218" s="115" t="str">
        <x:f>IF($E218&lt;&gt;"Ø","不適用",IF(COUNTIFS('事件與限制'!$C$7:$C$106,$B218,'事件與限制'!$E$7:$E$106,$D218,'事件與限制'!$Q$7:$Q$106,"生效中")&gt;0,"資格限制中",IF($F218&lt;&gt;"已核定","先完成基準核定",IF($K218&gt;0,"有關鍵遺漏，先檢討",IF($G218&lt;3,"尚缺成功觀察",IF($J218&lt;2,"觀察日期不足",IF($L218&lt;1,"待兩個月面談","可送主管核定")))))))</x:f>
        <x:v>不適用</x:v>
      </x:c>
      <x:c r="N218" s="116" t="str">
        <x:v>待核定</x:v>
      </x:c>
      <x:c r="O218" s="118"/>
      <x:c r="P218" s="116"/>
      <x:c r="Q218" s="116"/>
      <x:c r="R218" s="115" t="str">
        <x:f>IF($M218&lt;&gt;"可送主管核定","尚未具備條件",IF($N218="不升級","維持原評等",IF($N218="核定升級",IF(OR($O218="",$P218=""),"核定資料未完整","已核定升級"),"待主管核定")))</x:f>
        <x:v>尚未具備條件</x:v>
      </x:c>
    </x:row>
    <x:row r="219">
      <x:c r="A219" s="79" t="str">
        <x:v>UPG|2006|LJT-PREP-AIRPOLISH</x:v>
      </x:c>
      <x:c r="B219" s="79" t="str">
        <x:v>2006</x:v>
      </x:c>
      <x:c r="C219" s="79" t="str"/>
      <x:c r="D219" s="79" t="str">
        <x:v>LJT-PREP-AIRPOLISH</x:v>
      </x:c>
      <x:c r="E219" s="79" t="str">
        <x:v>未評估</x:v>
      </x:c>
      <x:c r="F219" s="115" t="str">
        <x:f>IF($E219="未評估","未建立",_xlfn.XLOOKUP("ABIL|2006|LJT-PREP-AIRPOLISH",'主管核定中心'!$A$12:$A$372,'主管核定中心'!$K$12:$K$372,"待主管核定",0))</x:f>
        <x:v>未建立</x:v>
      </x:c>
      <x:c r="G219" s="115" t="n">
        <x:f>COUNTIFS('工作觀察輸入'!$C$7:$C$206,$B219,'工作觀察輸入'!$G$7:$G$206,$D219,'工作觀察輸入'!$M$7:$M$206,"是")</x:f>
        <x:v>0</x:v>
      </x:c>
      <x:c r="H219" s="117" t="str">
        <x:f>IF($G219=0,"",_xlfn.MINIFS('工作觀察輸入'!$B$7:$B$206,'工作觀察輸入'!$C$7:$C$206,$B219,'工作觀察輸入'!$G$7:$G$206,$D219,'工作觀察輸入'!$M$7:$M$206,"是"))</x:f>
      </x:c>
      <x:c r="I219" s="117" t="str">
        <x:f>IF($G219=0,"",_xlfn.MAXIFS('工作觀察輸入'!$B$7:$B$206,'工作觀察輸入'!$C$7:$C$206,$B219,'工作觀察輸入'!$G$7:$G$206,$D219,'工作觀察輸入'!$M$7:$M$206,"是"))</x:f>
      </x:c>
      <x:c r="J219" s="115" t="n">
        <x:f>IF($G219=0,0,IF($H219=$I219,1,2))</x:f>
        <x:v>0</x:v>
      </x:c>
      <x:c r="K219" s="115" t="n">
        <x:f>COUNTIFS('工作觀察輸入'!$C$7:$C$206,$B219,'工作觀察輸入'!$G$7:$G$206,$D219,'工作觀察輸入'!$J$7:$J$206,"是")</x:f>
        <x:v>0</x:v>
      </x:c>
      <x:c r="L219" s="115" t="n">
        <x:f>COUNTIFS('面談與異議'!$C$7:$C$106,$B219,'面談與異議'!$F$7:$F$106,$D219,'面談與異議'!$E$7:$E$106,"兩個月面談")</x:f>
        <x:v>0</x:v>
      </x:c>
      <x:c r="M219" s="115" t="str">
        <x:f>IF($E219&lt;&gt;"Ø","不適用",IF(COUNTIFS('事件與限制'!$C$7:$C$106,$B219,'事件與限制'!$E$7:$E$106,$D219,'事件與限制'!$Q$7:$Q$106,"生效中")&gt;0,"資格限制中",IF($F219&lt;&gt;"已核定","先完成基準核定",IF($K219&gt;0,"有關鍵遺漏，先檢討",IF($G219&lt;3,"尚缺成功觀察",IF($J219&lt;2,"觀察日期不足",IF($L219&lt;1,"待兩個月面談","可送主管核定")))))))</x:f>
        <x:v>不適用</x:v>
      </x:c>
      <x:c r="N219" s="116" t="str">
        <x:v>待核定</x:v>
      </x:c>
      <x:c r="O219" s="118"/>
      <x:c r="P219" s="116"/>
      <x:c r="Q219" s="116"/>
      <x:c r="R219" s="115" t="str">
        <x:f>IF($M219&lt;&gt;"可送主管核定","尚未具備條件",IF($N219="不升級","維持原評等",IF($N219="核定升級",IF(OR($O219="",$P219=""),"核定資料未完整","已核定升級"),"待主管核定")))</x:f>
        <x:v>尚未具備條件</x:v>
      </x:c>
    </x:row>
    <x:row r="220">
      <x:c r="A220" s="79" t="str">
        <x:v>UPG|2006|LJT-PREP-PERIOSURG</x:v>
      </x:c>
      <x:c r="B220" s="79" t="str">
        <x:v>2006</x:v>
      </x:c>
      <x:c r="C220" s="79" t="str"/>
      <x:c r="D220" s="79" t="str">
        <x:v>LJT-PREP-PERIOSURG</x:v>
      </x:c>
      <x:c r="E220" s="79" t="str">
        <x:v>未評估</x:v>
      </x:c>
      <x:c r="F220" s="115" t="str">
        <x:f>IF($E220="未評估","未建立",_xlfn.XLOOKUP("ABIL|2006|LJT-PREP-PERIOSURG",'主管核定中心'!$A$12:$A$372,'主管核定中心'!$K$12:$K$372,"待主管核定",0))</x:f>
        <x:v>未建立</x:v>
      </x:c>
      <x:c r="G220" s="115" t="n">
        <x:f>COUNTIFS('工作觀察輸入'!$C$7:$C$206,$B220,'工作觀察輸入'!$G$7:$G$206,$D220,'工作觀察輸入'!$M$7:$M$206,"是")</x:f>
        <x:v>0</x:v>
      </x:c>
      <x:c r="H220" s="117" t="str">
        <x:f>IF($G220=0,"",_xlfn.MINIFS('工作觀察輸入'!$B$7:$B$206,'工作觀察輸入'!$C$7:$C$206,$B220,'工作觀察輸入'!$G$7:$G$206,$D220,'工作觀察輸入'!$M$7:$M$206,"是"))</x:f>
      </x:c>
      <x:c r="I220" s="117" t="str">
        <x:f>IF($G220=0,"",_xlfn.MAXIFS('工作觀察輸入'!$B$7:$B$206,'工作觀察輸入'!$C$7:$C$206,$B220,'工作觀察輸入'!$G$7:$G$206,$D220,'工作觀察輸入'!$M$7:$M$206,"是"))</x:f>
      </x:c>
      <x:c r="J220" s="115" t="n">
        <x:f>IF($G220=0,0,IF($H220=$I220,1,2))</x:f>
        <x:v>0</x:v>
      </x:c>
      <x:c r="K220" s="115" t="n">
        <x:f>COUNTIFS('工作觀察輸入'!$C$7:$C$206,$B220,'工作觀察輸入'!$G$7:$G$206,$D220,'工作觀察輸入'!$J$7:$J$206,"是")</x:f>
        <x:v>0</x:v>
      </x:c>
      <x:c r="L220" s="115" t="n">
        <x:f>COUNTIFS('面談與異議'!$C$7:$C$106,$B220,'面談與異議'!$F$7:$F$106,$D220,'面談與異議'!$E$7:$E$106,"兩個月面談")</x:f>
        <x:v>0</x:v>
      </x:c>
      <x:c r="M220" s="115" t="str">
        <x:f>IF($E220&lt;&gt;"Ø","不適用",IF(COUNTIFS('事件與限制'!$C$7:$C$106,$B220,'事件與限制'!$E$7:$E$106,$D220,'事件與限制'!$Q$7:$Q$106,"生效中")&gt;0,"資格限制中",IF($F220&lt;&gt;"已核定","先完成基準核定",IF($K220&gt;0,"有關鍵遺漏，先檢討",IF($G220&lt;3,"尚缺成功觀察",IF($J220&lt;2,"觀察日期不足",IF($L220&lt;1,"待兩個月面談","可送主管核定")))))))</x:f>
        <x:v>不適用</x:v>
      </x:c>
      <x:c r="N220" s="116" t="str">
        <x:v>待核定</x:v>
      </x:c>
      <x:c r="O220" s="118"/>
      <x:c r="P220" s="116"/>
      <x:c r="Q220" s="116"/>
      <x:c r="R220" s="115" t="str">
        <x:f>IF($M220&lt;&gt;"可送主管核定","尚未具備條件",IF($N220="不升級","維持原評等",IF($N220="核定升級",IF(OR($O220="",$P220=""),"核定資料未完整","已核定升級"),"待主管核定")))</x:f>
        <x:v>尚未具備條件</x:v>
      </x:c>
    </x:row>
    <x:row r="221">
      <x:c r="A221" s="79" t="str">
        <x:v>UPG|2006|LJT-PREP-MICROENDO</x:v>
      </x:c>
      <x:c r="B221" s="79" t="str">
        <x:v>2006</x:v>
      </x:c>
      <x:c r="C221" s="79" t="str"/>
      <x:c r="D221" s="79" t="str">
        <x:v>LJT-PREP-MICROENDO</x:v>
      </x:c>
      <x:c r="E221" s="79" t="str">
        <x:v>未評估</x:v>
      </x:c>
      <x:c r="F221" s="115" t="str">
        <x:f>IF($E221="未評估","未建立",_xlfn.XLOOKUP("ABIL|2006|LJT-PREP-MICROENDO",'主管核定中心'!$A$12:$A$372,'主管核定中心'!$K$12:$K$372,"待主管核定",0))</x:f>
        <x:v>未建立</x:v>
      </x:c>
      <x:c r="G221" s="115" t="n">
        <x:f>COUNTIFS('工作觀察輸入'!$C$7:$C$206,$B221,'工作觀察輸入'!$G$7:$G$206,$D221,'工作觀察輸入'!$M$7:$M$206,"是")</x:f>
        <x:v>0</x:v>
      </x:c>
      <x:c r="H221" s="117" t="str">
        <x:f>IF($G221=0,"",_xlfn.MINIFS('工作觀察輸入'!$B$7:$B$206,'工作觀察輸入'!$C$7:$C$206,$B221,'工作觀察輸入'!$G$7:$G$206,$D221,'工作觀察輸入'!$M$7:$M$206,"是"))</x:f>
      </x:c>
      <x:c r="I221" s="117" t="str">
        <x:f>IF($G221=0,"",_xlfn.MAXIFS('工作觀察輸入'!$B$7:$B$206,'工作觀察輸入'!$C$7:$C$206,$B221,'工作觀察輸入'!$G$7:$G$206,$D221,'工作觀察輸入'!$M$7:$M$206,"是"))</x:f>
      </x:c>
      <x:c r="J221" s="115" t="n">
        <x:f>IF($G221=0,0,IF($H221=$I221,1,2))</x:f>
        <x:v>0</x:v>
      </x:c>
      <x:c r="K221" s="115" t="n">
        <x:f>COUNTIFS('工作觀察輸入'!$C$7:$C$206,$B221,'工作觀察輸入'!$G$7:$G$206,$D221,'工作觀察輸入'!$J$7:$J$206,"是")</x:f>
        <x:v>0</x:v>
      </x:c>
      <x:c r="L221" s="115" t="n">
        <x:f>COUNTIFS('面談與異議'!$C$7:$C$106,$B221,'面談與異議'!$F$7:$F$106,$D221,'面談與異議'!$E$7:$E$106,"兩個月面談")</x:f>
        <x:v>0</x:v>
      </x:c>
      <x:c r="M221" s="115" t="str">
        <x:f>IF($E221&lt;&gt;"Ø","不適用",IF(COUNTIFS('事件與限制'!$C$7:$C$106,$B221,'事件與限制'!$E$7:$E$106,$D221,'事件與限制'!$Q$7:$Q$106,"生效中")&gt;0,"資格限制中",IF($F221&lt;&gt;"已核定","先完成基準核定",IF($K221&gt;0,"有關鍵遺漏，先檢討",IF($G221&lt;3,"尚缺成功觀察",IF($J221&lt;2,"觀察日期不足",IF($L221&lt;1,"待兩個月面談","可送主管核定")))))))</x:f>
        <x:v>不適用</x:v>
      </x:c>
      <x:c r="N221" s="116" t="str">
        <x:v>待核定</x:v>
      </x:c>
      <x:c r="O221" s="118"/>
      <x:c r="P221" s="116"/>
      <x:c r="Q221" s="116"/>
      <x:c r="R221" s="115" t="str">
        <x:f>IF($M221&lt;&gt;"可送主管核定","尚未具備條件",IF($N221="不升級","維持原評等",IF($N221="核定升級",IF(OR($O221="",$P221=""),"核定資料未完整","已核定升級"),"待主管核定")))</x:f>
        <x:v>尚未具備條件</x:v>
      </x:c>
    </x:row>
    <x:row r="222">
      <x:c r="A222" s="79" t="str">
        <x:v>UPG|2006|LJT-PREP-IMPLANT</x:v>
      </x:c>
      <x:c r="B222" s="79" t="str">
        <x:v>2006</x:v>
      </x:c>
      <x:c r="C222" s="79" t="str"/>
      <x:c r="D222" s="79" t="str">
        <x:v>LJT-PREP-IMPLANT</x:v>
      </x:c>
      <x:c r="E222" s="79" t="str">
        <x:v>未評估</x:v>
      </x:c>
      <x:c r="F222" s="115" t="str">
        <x:f>IF($E222="未評估","未建立",_xlfn.XLOOKUP("ABIL|2006|LJT-PREP-IMPLANT",'主管核定中心'!$A$12:$A$372,'主管核定中心'!$K$12:$K$372,"待主管核定",0))</x:f>
        <x:v>未建立</x:v>
      </x:c>
      <x:c r="G222" s="115" t="n">
        <x:f>COUNTIFS('工作觀察輸入'!$C$7:$C$206,$B222,'工作觀察輸入'!$G$7:$G$206,$D222,'工作觀察輸入'!$M$7:$M$206,"是")</x:f>
        <x:v>0</x:v>
      </x:c>
      <x:c r="H222" s="117" t="str">
        <x:f>IF($G222=0,"",_xlfn.MINIFS('工作觀察輸入'!$B$7:$B$206,'工作觀察輸入'!$C$7:$C$206,$B222,'工作觀察輸入'!$G$7:$G$206,$D222,'工作觀察輸入'!$M$7:$M$206,"是"))</x:f>
      </x:c>
      <x:c r="I222" s="117" t="str">
        <x:f>IF($G222=0,"",_xlfn.MAXIFS('工作觀察輸入'!$B$7:$B$206,'工作觀察輸入'!$C$7:$C$206,$B222,'工作觀察輸入'!$G$7:$G$206,$D222,'工作觀察輸入'!$M$7:$M$206,"是"))</x:f>
      </x:c>
      <x:c r="J222" s="115" t="n">
        <x:f>IF($G222=0,0,IF($H222=$I222,1,2))</x:f>
        <x:v>0</x:v>
      </x:c>
      <x:c r="K222" s="115" t="n">
        <x:f>COUNTIFS('工作觀察輸入'!$C$7:$C$206,$B222,'工作觀察輸入'!$G$7:$G$206,$D222,'工作觀察輸入'!$J$7:$J$206,"是")</x:f>
        <x:v>0</x:v>
      </x:c>
      <x:c r="L222" s="115" t="n">
        <x:f>COUNTIFS('面談與異議'!$C$7:$C$106,$B222,'面談與異議'!$F$7:$F$106,$D222,'面談與異議'!$E$7:$E$106,"兩個月面談")</x:f>
        <x:v>0</x:v>
      </x:c>
      <x:c r="M222" s="115" t="str">
        <x:f>IF($E222&lt;&gt;"Ø","不適用",IF(COUNTIFS('事件與限制'!$C$7:$C$106,$B222,'事件與限制'!$E$7:$E$106,$D222,'事件與限制'!$Q$7:$Q$106,"生效中")&gt;0,"資格限制中",IF($F222&lt;&gt;"已核定","先完成基準核定",IF($K222&gt;0,"有關鍵遺漏，先檢討",IF($G222&lt;3,"尚缺成功觀察",IF($J222&lt;2,"觀察日期不足",IF($L222&lt;1,"待兩個月面談","可送主管核定")))))))</x:f>
        <x:v>不適用</x:v>
      </x:c>
      <x:c r="N222" s="116" t="str">
        <x:v>待核定</x:v>
      </x:c>
      <x:c r="O222" s="118"/>
      <x:c r="P222" s="116"/>
      <x:c r="Q222" s="116"/>
      <x:c r="R222" s="115" t="str">
        <x:f>IF($M222&lt;&gt;"可送主管核定","尚未具備條件",IF($N222="不升級","維持原評等",IF($N222="核定升級",IF(OR($O222="",$P222=""),"核定資料未完整","已核定升級"),"待主管核定")))</x:f>
        <x:v>尚未具備條件</x:v>
      </x:c>
    </x:row>
    <x:row r="223">
      <x:c r="A223" s="79" t="str">
        <x:v>UPG|2006|COMMON-RECORD</x:v>
      </x:c>
      <x:c r="B223" s="79" t="str">
        <x:v>2006</x:v>
      </x:c>
      <x:c r="C223" s="79" t="str"/>
      <x:c r="D223" s="79" t="str">
        <x:v>COMMON-RECORD</x:v>
      </x:c>
      <x:c r="E223" s="79" t="str">
        <x:v>未評估</x:v>
      </x:c>
      <x:c r="F223" s="115" t="str">
        <x:f>IF($E223="未評估","未建立",_xlfn.XLOOKUP("ABIL|2006|COMMON-RECORD",'主管核定中心'!$A$12:$A$372,'主管核定中心'!$K$12:$K$372,"待主管核定",0))</x:f>
        <x:v>未建立</x:v>
      </x:c>
      <x:c r="G223" s="115" t="n">
        <x:f>COUNTIFS('工作觀察輸入'!$C$7:$C$206,$B223,'工作觀察輸入'!$G$7:$G$206,$D223,'工作觀察輸入'!$M$7:$M$206,"是")</x:f>
        <x:v>0</x:v>
      </x:c>
      <x:c r="H223" s="117" t="str">
        <x:f>IF($G223=0,"",_xlfn.MINIFS('工作觀察輸入'!$B$7:$B$206,'工作觀察輸入'!$C$7:$C$206,$B223,'工作觀察輸入'!$G$7:$G$206,$D223,'工作觀察輸入'!$M$7:$M$206,"是"))</x:f>
      </x:c>
      <x:c r="I223" s="117" t="str">
        <x:f>IF($G223=0,"",_xlfn.MAXIFS('工作觀察輸入'!$B$7:$B$206,'工作觀察輸入'!$C$7:$C$206,$B223,'工作觀察輸入'!$G$7:$G$206,$D223,'工作觀察輸入'!$M$7:$M$206,"是"))</x:f>
      </x:c>
      <x:c r="J223" s="115" t="n">
        <x:f>IF($G223=0,0,IF($H223=$I223,1,2))</x:f>
        <x:v>0</x:v>
      </x:c>
      <x:c r="K223" s="115" t="n">
        <x:f>COUNTIFS('工作觀察輸入'!$C$7:$C$206,$B223,'工作觀察輸入'!$G$7:$G$206,$D223,'工作觀察輸入'!$J$7:$J$206,"是")</x:f>
        <x:v>0</x:v>
      </x:c>
      <x:c r="L223" s="115" t="n">
        <x:f>COUNTIFS('面談與異議'!$C$7:$C$106,$B223,'面談與異議'!$F$7:$F$106,$D223,'面談與異議'!$E$7:$E$106,"兩個月面談")</x:f>
        <x:v>0</x:v>
      </x:c>
      <x:c r="M223" s="115" t="str">
        <x:f>IF($E223&lt;&gt;"Ø","不適用",IF(COUNTIFS('事件與限制'!$C$7:$C$106,$B223,'事件與限制'!$E$7:$E$106,$D223,'事件與限制'!$Q$7:$Q$106,"生效中")&gt;0,"資格限制中",IF($F223&lt;&gt;"已核定","先完成基準核定",IF($K223&gt;0,"有關鍵遺漏，先檢討",IF($G223&lt;3,"尚缺成功觀察",IF($J223&lt;2,"觀察日期不足",IF($L223&lt;1,"待兩個月面談","可送主管核定")))))))</x:f>
        <x:v>不適用</x:v>
      </x:c>
      <x:c r="N223" s="116" t="str">
        <x:v>待核定</x:v>
      </x:c>
      <x:c r="O223" s="118"/>
      <x:c r="P223" s="116"/>
      <x:c r="Q223" s="116"/>
      <x:c r="R223" s="115" t="str">
        <x:f>IF($M223&lt;&gt;"可送主管核定","尚未具備條件",IF($N223="不升級","維持原評等",IF($N223="核定升級",IF(OR($O223="",$P223=""),"核定資料未完整","已核定升級"),"待主管核定")))</x:f>
        <x:v>尚未具備條件</x:v>
      </x:c>
    </x:row>
    <x:row r="224">
      <x:c r="A224" s="79" t="str">
        <x:v>UPG|2006|COMMON-INSURANCE</x:v>
      </x:c>
      <x:c r="B224" s="79" t="str">
        <x:v>2006</x:v>
      </x:c>
      <x:c r="C224" s="79" t="str"/>
      <x:c r="D224" s="79" t="str">
        <x:v>COMMON-INSURANCE</x:v>
      </x:c>
      <x:c r="E224" s="79" t="str">
        <x:v>未評估</x:v>
      </x:c>
      <x:c r="F224" s="115" t="str">
        <x:f>IF($E224="未評估","未建立",_xlfn.XLOOKUP("ABIL|2006|COMMON-INSURANCE",'主管核定中心'!$A$12:$A$372,'主管核定中心'!$K$12:$K$372,"待主管核定",0))</x:f>
        <x:v>未建立</x:v>
      </x:c>
      <x:c r="G224" s="115" t="n">
        <x:f>COUNTIFS('工作觀察輸入'!$C$7:$C$206,$B224,'工作觀察輸入'!$G$7:$G$206,$D224,'工作觀察輸入'!$M$7:$M$206,"是")</x:f>
        <x:v>0</x:v>
      </x:c>
      <x:c r="H224" s="117" t="str">
        <x:f>IF($G224=0,"",_xlfn.MINIFS('工作觀察輸入'!$B$7:$B$206,'工作觀察輸入'!$C$7:$C$206,$B224,'工作觀察輸入'!$G$7:$G$206,$D224,'工作觀察輸入'!$M$7:$M$206,"是"))</x:f>
      </x:c>
      <x:c r="I224" s="117" t="str">
        <x:f>IF($G224=0,"",_xlfn.MAXIFS('工作觀察輸入'!$B$7:$B$206,'工作觀察輸入'!$C$7:$C$206,$B224,'工作觀察輸入'!$G$7:$G$206,$D224,'工作觀察輸入'!$M$7:$M$206,"是"))</x:f>
      </x:c>
      <x:c r="J224" s="115" t="n">
        <x:f>IF($G224=0,0,IF($H224=$I224,1,2))</x:f>
        <x:v>0</x:v>
      </x:c>
      <x:c r="K224" s="115" t="n">
        <x:f>COUNTIFS('工作觀察輸入'!$C$7:$C$206,$B224,'工作觀察輸入'!$G$7:$G$206,$D224,'工作觀察輸入'!$J$7:$J$206,"是")</x:f>
        <x:v>0</x:v>
      </x:c>
      <x:c r="L224" s="115" t="n">
        <x:f>COUNTIFS('面談與異議'!$C$7:$C$106,$B224,'面談與異議'!$F$7:$F$106,$D224,'面談與異議'!$E$7:$E$106,"兩個月面談")</x:f>
        <x:v>0</x:v>
      </x:c>
      <x:c r="M224" s="115" t="str">
        <x:f>IF($E224&lt;&gt;"Ø","不適用",IF(COUNTIFS('事件與限制'!$C$7:$C$106,$B224,'事件與限制'!$E$7:$E$106,$D224,'事件與限制'!$Q$7:$Q$106,"生效中")&gt;0,"資格限制中",IF($F224&lt;&gt;"已核定","先完成基準核定",IF($K224&gt;0,"有關鍵遺漏，先檢討",IF($G224&lt;3,"尚缺成功觀察",IF($J224&lt;2,"觀察日期不足",IF($L224&lt;1,"待兩個月面談","可送主管核定")))))))</x:f>
        <x:v>不適用</x:v>
      </x:c>
      <x:c r="N224" s="116" t="str">
        <x:v>待核定</x:v>
      </x:c>
      <x:c r="O224" s="118"/>
      <x:c r="P224" s="116"/>
      <x:c r="Q224" s="116"/>
      <x:c r="R224" s="115" t="str">
        <x:f>IF($M224&lt;&gt;"可送主管核定","尚未具備條件",IF($N224="不升級","維持原評等",IF($N224="核定升級",IF(OR($O224="",$P224=""),"核定資料未完整","已核定升級"),"待主管核定")))</x:f>
        <x:v>尚未具備條件</x:v>
      </x:c>
    </x:row>
    <x:row r="225">
      <x:c r="A225" s="79" t="str">
        <x:v>UPG|2006|COMMON-XRAY-RECORD</x:v>
      </x:c>
      <x:c r="B225" s="79" t="str">
        <x:v>2006</x:v>
      </x:c>
      <x:c r="C225" s="79" t="str"/>
      <x:c r="D225" s="79" t="str">
        <x:v>COMMON-XRAY-RECORD</x:v>
      </x:c>
      <x:c r="E225" s="79" t="str">
        <x:v>未評估</x:v>
      </x:c>
      <x:c r="F225" s="115" t="str">
        <x:f>IF($E225="未評估","未建立",_xlfn.XLOOKUP("ABIL|2006|COMMON-XRAY-RECORD",'主管核定中心'!$A$12:$A$372,'主管核定中心'!$K$12:$K$372,"待主管核定",0))</x:f>
        <x:v>未建立</x:v>
      </x:c>
      <x:c r="G225" s="115" t="n">
        <x:f>COUNTIFS('工作觀察輸入'!$C$7:$C$206,$B225,'工作觀察輸入'!$G$7:$G$206,$D225,'工作觀察輸入'!$M$7:$M$206,"是")</x:f>
        <x:v>0</x:v>
      </x:c>
      <x:c r="H225" s="117" t="str">
        <x:f>IF($G225=0,"",_xlfn.MINIFS('工作觀察輸入'!$B$7:$B$206,'工作觀察輸入'!$C$7:$C$206,$B225,'工作觀察輸入'!$G$7:$G$206,$D225,'工作觀察輸入'!$M$7:$M$206,"是"))</x:f>
      </x:c>
      <x:c r="I225" s="117" t="str">
        <x:f>IF($G225=0,"",_xlfn.MAXIFS('工作觀察輸入'!$B$7:$B$206,'工作觀察輸入'!$C$7:$C$206,$B225,'工作觀察輸入'!$G$7:$G$206,$D225,'工作觀察輸入'!$M$7:$M$206,"是"))</x:f>
      </x:c>
      <x:c r="J225" s="115" t="n">
        <x:f>IF($G225=0,0,IF($H225=$I225,1,2))</x:f>
        <x:v>0</x:v>
      </x:c>
      <x:c r="K225" s="115" t="n">
        <x:f>COUNTIFS('工作觀察輸入'!$C$7:$C$206,$B225,'工作觀察輸入'!$G$7:$G$206,$D225,'工作觀察輸入'!$J$7:$J$206,"是")</x:f>
        <x:v>0</x:v>
      </x:c>
      <x:c r="L225" s="115" t="n">
        <x:f>COUNTIFS('面談與異議'!$C$7:$C$106,$B225,'面談與異議'!$F$7:$F$106,$D225,'面談與異議'!$E$7:$E$106,"兩個月面談")</x:f>
        <x:v>0</x:v>
      </x:c>
      <x:c r="M225" s="115" t="str">
        <x:f>IF($E225&lt;&gt;"Ø","不適用",IF(COUNTIFS('事件與限制'!$C$7:$C$106,$B225,'事件與限制'!$E$7:$E$106,$D225,'事件與限制'!$Q$7:$Q$106,"生效中")&gt;0,"資格限制中",IF($F225&lt;&gt;"已核定","先完成基準核定",IF($K225&gt;0,"有關鍵遺漏，先檢討",IF($G225&lt;3,"尚缺成功觀察",IF($J225&lt;2,"觀察日期不足",IF($L225&lt;1,"待兩個月面談","可送主管核定")))))))</x:f>
        <x:v>不適用</x:v>
      </x:c>
      <x:c r="N225" s="116" t="str">
        <x:v>待核定</x:v>
      </x:c>
      <x:c r="O225" s="118"/>
      <x:c r="P225" s="116"/>
      <x:c r="Q225" s="116"/>
      <x:c r="R225" s="115" t="str">
        <x:f>IF($M225&lt;&gt;"可送主管核定","尚未具備條件",IF($N225="不升級","維持原評等",IF($N225="核定升級",IF(OR($O225="",$P225=""),"核定資料未完整","已核定升級"),"待主管核定")))</x:f>
        <x:v>尚未具備條件</x:v>
      </x:c>
    </x:row>
    <x:row r="226">
      <x:c r="A226" s="79" t="str">
        <x:v>UPG|2006|COMMON-PA</x:v>
      </x:c>
      <x:c r="B226" s="79" t="str">
        <x:v>2006</x:v>
      </x:c>
      <x:c r="C226" s="79" t="str"/>
      <x:c r="D226" s="79" t="str">
        <x:v>COMMON-PA</x:v>
      </x:c>
      <x:c r="E226" s="79" t="str">
        <x:v>未評估</x:v>
      </x:c>
      <x:c r="F226" s="115" t="str">
        <x:f>IF($E226="未評估","未建立",_xlfn.XLOOKUP("ABIL|2006|COMMON-PA",'主管核定中心'!$A$12:$A$372,'主管核定中心'!$K$12:$K$372,"待主管核定",0))</x:f>
        <x:v>未建立</x:v>
      </x:c>
      <x:c r="G226" s="115" t="n">
        <x:f>COUNTIFS('工作觀察輸入'!$C$7:$C$206,$B226,'工作觀察輸入'!$G$7:$G$206,$D226,'工作觀察輸入'!$M$7:$M$206,"是")</x:f>
        <x:v>0</x:v>
      </x:c>
      <x:c r="H226" s="117" t="str">
        <x:f>IF($G226=0,"",_xlfn.MINIFS('工作觀察輸入'!$B$7:$B$206,'工作觀察輸入'!$C$7:$C$206,$B226,'工作觀察輸入'!$G$7:$G$206,$D226,'工作觀察輸入'!$M$7:$M$206,"是"))</x:f>
      </x:c>
      <x:c r="I226" s="117" t="str">
        <x:f>IF($G226=0,"",_xlfn.MAXIFS('工作觀察輸入'!$B$7:$B$206,'工作觀察輸入'!$C$7:$C$206,$B226,'工作觀察輸入'!$G$7:$G$206,$D226,'工作觀察輸入'!$M$7:$M$206,"是"))</x:f>
      </x:c>
      <x:c r="J226" s="115" t="n">
        <x:f>IF($G226=0,0,IF($H226=$I226,1,2))</x:f>
        <x:v>0</x:v>
      </x:c>
      <x:c r="K226" s="115" t="n">
        <x:f>COUNTIFS('工作觀察輸入'!$C$7:$C$206,$B226,'工作觀察輸入'!$G$7:$G$206,$D226,'工作觀察輸入'!$J$7:$J$206,"是")</x:f>
        <x:v>0</x:v>
      </x:c>
      <x:c r="L226" s="115" t="n">
        <x:f>COUNTIFS('面談與異議'!$C$7:$C$106,$B226,'面談與異議'!$F$7:$F$106,$D226,'面談與異議'!$E$7:$E$106,"兩個月面談")</x:f>
        <x:v>0</x:v>
      </x:c>
      <x:c r="M226" s="115" t="str">
        <x:f>IF($E226&lt;&gt;"Ø","不適用",IF(COUNTIFS('事件與限制'!$C$7:$C$106,$B226,'事件與限制'!$E$7:$E$106,$D226,'事件與限制'!$Q$7:$Q$106,"生效中")&gt;0,"資格限制中",IF($F226&lt;&gt;"已核定","先完成基準核定",IF($K226&gt;0,"有關鍵遺漏，先檢討",IF($G226&lt;3,"尚缺成功觀察",IF($J226&lt;2,"觀察日期不足",IF($L226&lt;1,"待兩個月面談","可送主管核定")))))))</x:f>
        <x:v>不適用</x:v>
      </x:c>
      <x:c r="N226" s="116" t="str">
        <x:v>待核定</x:v>
      </x:c>
      <x:c r="O226" s="118"/>
      <x:c r="P226" s="116"/>
      <x:c r="Q226" s="116"/>
      <x:c r="R226" s="115" t="str">
        <x:f>IF($M226&lt;&gt;"可送主管核定","尚未具備條件",IF($N226="不升級","維持原評等",IF($N226="核定升級",IF(OR($O226="",$P226=""),"核定資料未完整","已核定升級"),"待主管核定")))</x:f>
        <x:v>尚未具備條件</x:v>
      </x:c>
    </x:row>
    <x:row r="227">
      <x:c r="A227" s="79" t="str">
        <x:v>UPG|2006|COMMON-IOS</x:v>
      </x:c>
      <x:c r="B227" s="79" t="str">
        <x:v>2006</x:v>
      </x:c>
      <x:c r="C227" s="79" t="str"/>
      <x:c r="D227" s="79" t="str">
        <x:v>COMMON-IOS</x:v>
      </x:c>
      <x:c r="E227" s="79" t="str">
        <x:v>未評估</x:v>
      </x:c>
      <x:c r="F227" s="115" t="str">
        <x:f>IF($E227="未評估","未建立",_xlfn.XLOOKUP("ABIL|2006|COMMON-IOS",'主管核定中心'!$A$12:$A$372,'主管核定中心'!$K$12:$K$372,"待主管核定",0))</x:f>
        <x:v>未建立</x:v>
      </x:c>
      <x:c r="G227" s="115" t="n">
        <x:f>COUNTIFS('工作觀察輸入'!$C$7:$C$206,$B227,'工作觀察輸入'!$G$7:$G$206,$D227,'工作觀察輸入'!$M$7:$M$206,"是")</x:f>
        <x:v>0</x:v>
      </x:c>
      <x:c r="H227" s="117" t="str">
        <x:f>IF($G227=0,"",_xlfn.MINIFS('工作觀察輸入'!$B$7:$B$206,'工作觀察輸入'!$C$7:$C$206,$B227,'工作觀察輸入'!$G$7:$G$206,$D227,'工作觀察輸入'!$M$7:$M$206,"是"))</x:f>
      </x:c>
      <x:c r="I227" s="117" t="str">
        <x:f>IF($G227=0,"",_xlfn.MAXIFS('工作觀察輸入'!$B$7:$B$206,'工作觀察輸入'!$C$7:$C$206,$B227,'工作觀察輸入'!$G$7:$G$206,$D227,'工作觀察輸入'!$M$7:$M$206,"是"))</x:f>
      </x:c>
      <x:c r="J227" s="115" t="n">
        <x:f>IF($G227=0,0,IF($H227=$I227,1,2))</x:f>
        <x:v>0</x:v>
      </x:c>
      <x:c r="K227" s="115" t="n">
        <x:f>COUNTIFS('工作觀察輸入'!$C$7:$C$206,$B227,'工作觀察輸入'!$G$7:$G$206,$D227,'工作觀察輸入'!$J$7:$J$206,"是")</x:f>
        <x:v>0</x:v>
      </x:c>
      <x:c r="L227" s="115" t="n">
        <x:f>COUNTIFS('面談與異議'!$C$7:$C$106,$B227,'面談與異議'!$F$7:$F$106,$D227,'面談與異議'!$E$7:$E$106,"兩個月面談")</x:f>
        <x:v>0</x:v>
      </x:c>
      <x:c r="M227" s="115" t="str">
        <x:f>IF($E227&lt;&gt;"Ø","不適用",IF(COUNTIFS('事件與限制'!$C$7:$C$106,$B227,'事件與限制'!$E$7:$E$106,$D227,'事件與限制'!$Q$7:$Q$106,"生效中")&gt;0,"資格限制中",IF($F227&lt;&gt;"已核定","先完成基準核定",IF($K227&gt;0,"有關鍵遺漏，先檢討",IF($G227&lt;3,"尚缺成功觀察",IF($J227&lt;2,"觀察日期不足",IF($L227&lt;1,"待兩個月面談","可送主管核定")))))))</x:f>
        <x:v>不適用</x:v>
      </x:c>
      <x:c r="N227" s="116" t="str">
        <x:v>待核定</x:v>
      </x:c>
      <x:c r="O227" s="118"/>
      <x:c r="P227" s="116"/>
      <x:c r="Q227" s="116"/>
      <x:c r="R227" s="115" t="str">
        <x:f>IF($M227&lt;&gt;"可送主管核定","尚未具備條件",IF($N227="不升級","維持原評等",IF($N227="核定升級",IF(OR($O227="",$P227=""),"核定資料未完整","已核定升級"),"待主管核定")))</x:f>
        <x:v>尚未具備條件</x:v>
      </x:c>
    </x:row>
    <x:row r="228">
      <x:c r="A228" s="79" t="str">
        <x:v>UPG|2007|LJT-PREP-SCALING</x:v>
      </x:c>
      <x:c r="B228" s="79" t="str">
        <x:v>2007</x:v>
      </x:c>
      <x:c r="C228" s="79" t="str"/>
      <x:c r="D228" s="79" t="str">
        <x:v>LJT-PREP-SCALING</x:v>
      </x:c>
      <x:c r="E228" s="79" t="str">
        <x:v>未評估</x:v>
      </x:c>
      <x:c r="F228" s="115" t="str">
        <x:f>IF($E228="未評估","未建立",_xlfn.XLOOKUP("ABIL|2007|LJT-PREP-SCALING",'主管核定中心'!$A$12:$A$372,'主管核定中心'!$K$12:$K$372,"待主管核定",0))</x:f>
        <x:v>未建立</x:v>
      </x:c>
      <x:c r="G228" s="115" t="n">
        <x:f>COUNTIFS('工作觀察輸入'!$C$7:$C$206,$B228,'工作觀察輸入'!$G$7:$G$206,$D228,'工作觀察輸入'!$M$7:$M$206,"是")</x:f>
        <x:v>0</x:v>
      </x:c>
      <x:c r="H228" s="117" t="str">
        <x:f>IF($G228=0,"",_xlfn.MINIFS('工作觀察輸入'!$B$7:$B$206,'工作觀察輸入'!$C$7:$C$206,$B228,'工作觀察輸入'!$G$7:$G$206,$D228,'工作觀察輸入'!$M$7:$M$206,"是"))</x:f>
      </x:c>
      <x:c r="I228" s="117" t="str">
        <x:f>IF($G228=0,"",_xlfn.MAXIFS('工作觀察輸入'!$B$7:$B$206,'工作觀察輸入'!$C$7:$C$206,$B228,'工作觀察輸入'!$G$7:$G$206,$D228,'工作觀察輸入'!$M$7:$M$206,"是"))</x:f>
      </x:c>
      <x:c r="J228" s="115" t="n">
        <x:f>IF($G228=0,0,IF($H228=$I228,1,2))</x:f>
        <x:v>0</x:v>
      </x:c>
      <x:c r="K228" s="115" t="n">
        <x:f>COUNTIFS('工作觀察輸入'!$C$7:$C$206,$B228,'工作觀察輸入'!$G$7:$G$206,$D228,'工作觀察輸入'!$J$7:$J$206,"是")</x:f>
        <x:v>0</x:v>
      </x:c>
      <x:c r="L228" s="115" t="n">
        <x:f>COUNTIFS('面談與異議'!$C$7:$C$106,$B228,'面談與異議'!$F$7:$F$106,$D228,'面談與異議'!$E$7:$E$106,"兩個月面談")</x:f>
        <x:v>0</x:v>
      </x:c>
      <x:c r="M228" s="115" t="str">
        <x:f>IF($E228&lt;&gt;"Ø","不適用",IF(COUNTIFS('事件與限制'!$C$7:$C$106,$B228,'事件與限制'!$E$7:$E$106,$D228,'事件與限制'!$Q$7:$Q$106,"生效中")&gt;0,"資格限制中",IF($F228&lt;&gt;"已核定","先完成基準核定",IF($K228&gt;0,"有關鍵遺漏，先檢討",IF($G228&lt;3,"尚缺成功觀察",IF($J228&lt;2,"觀察日期不足",IF($L228&lt;1,"待兩個月面談","可送主管核定")))))))</x:f>
        <x:v>不適用</x:v>
      </x:c>
      <x:c r="N228" s="116" t="str">
        <x:v>待核定</x:v>
      </x:c>
      <x:c r="O228" s="118"/>
      <x:c r="P228" s="116"/>
      <x:c r="Q228" s="116"/>
      <x:c r="R228" s="115" t="str">
        <x:f>IF($M228&lt;&gt;"可送主管核定","尚未具備條件",IF($N228="不升級","維持原評等",IF($N228="核定升級",IF(OR($O228="",$P228=""),"核定資料未完整","已核定升級"),"待主管核定")))</x:f>
        <x:v>尚未具備條件</x:v>
      </x:c>
    </x:row>
    <x:row r="229">
      <x:c r="A229" s="79" t="str">
        <x:v>UPG|2007|LJT-PREP-FILLING</x:v>
      </x:c>
      <x:c r="B229" s="79" t="str">
        <x:v>2007</x:v>
      </x:c>
      <x:c r="C229" s="79" t="str"/>
      <x:c r="D229" s="79" t="str">
        <x:v>LJT-PREP-FILLING</x:v>
      </x:c>
      <x:c r="E229" s="79" t="str">
        <x:v>未評估</x:v>
      </x:c>
      <x:c r="F229" s="115" t="str">
        <x:f>IF($E229="未評估","未建立",_xlfn.XLOOKUP("ABIL|2007|LJT-PREP-FILLING",'主管核定中心'!$A$12:$A$372,'主管核定中心'!$K$12:$K$372,"待主管核定",0))</x:f>
        <x:v>未建立</x:v>
      </x:c>
      <x:c r="G229" s="115" t="n">
        <x:f>COUNTIFS('工作觀察輸入'!$C$7:$C$206,$B229,'工作觀察輸入'!$G$7:$G$206,$D229,'工作觀察輸入'!$M$7:$M$206,"是")</x:f>
        <x:v>0</x:v>
      </x:c>
      <x:c r="H229" s="117" t="str">
        <x:f>IF($G229=0,"",_xlfn.MINIFS('工作觀察輸入'!$B$7:$B$206,'工作觀察輸入'!$C$7:$C$206,$B229,'工作觀察輸入'!$G$7:$G$206,$D229,'工作觀察輸入'!$M$7:$M$206,"是"))</x:f>
      </x:c>
      <x:c r="I229" s="117" t="str">
        <x:f>IF($G229=0,"",_xlfn.MAXIFS('工作觀察輸入'!$B$7:$B$206,'工作觀察輸入'!$C$7:$C$206,$B229,'工作觀察輸入'!$G$7:$G$206,$D229,'工作觀察輸入'!$M$7:$M$206,"是"))</x:f>
      </x:c>
      <x:c r="J229" s="115" t="n">
        <x:f>IF($G229=0,0,IF($H229=$I229,1,2))</x:f>
        <x:v>0</x:v>
      </x:c>
      <x:c r="K229" s="115" t="n">
        <x:f>COUNTIFS('工作觀察輸入'!$C$7:$C$206,$B229,'工作觀察輸入'!$G$7:$G$206,$D229,'工作觀察輸入'!$J$7:$J$206,"是")</x:f>
        <x:v>0</x:v>
      </x:c>
      <x:c r="L229" s="115" t="n">
        <x:f>COUNTIFS('面談與異議'!$C$7:$C$106,$B229,'面談與異議'!$F$7:$F$106,$D229,'面談與異議'!$E$7:$E$106,"兩個月面談")</x:f>
        <x:v>0</x:v>
      </x:c>
      <x:c r="M229" s="115" t="str">
        <x:f>IF($E229&lt;&gt;"Ø","不適用",IF(COUNTIFS('事件與限制'!$C$7:$C$106,$B229,'事件與限制'!$E$7:$E$106,$D229,'事件與限制'!$Q$7:$Q$106,"生效中")&gt;0,"資格限制中",IF($F229&lt;&gt;"已核定","先完成基準核定",IF($K229&gt;0,"有關鍵遺漏，先檢討",IF($G229&lt;3,"尚缺成功觀察",IF($J229&lt;2,"觀察日期不足",IF($L229&lt;1,"待兩個月面談","可送主管核定")))))))</x:f>
        <x:v>不適用</x:v>
      </x:c>
      <x:c r="N229" s="116" t="str">
        <x:v>待核定</x:v>
      </x:c>
      <x:c r="O229" s="118"/>
      <x:c r="P229" s="116"/>
      <x:c r="Q229" s="116"/>
      <x:c r="R229" s="115" t="str">
        <x:f>IF($M229&lt;&gt;"可送主管核定","尚未具備條件",IF($N229="不升級","維持原評等",IF($N229="核定升級",IF(OR($O229="",$P229=""),"核定資料未完整","已核定升級"),"待主管核定")))</x:f>
        <x:v>尚未具備條件</x:v>
      </x:c>
    </x:row>
    <x:row r="230">
      <x:c r="A230" s="79" t="str">
        <x:v>UPG|2007|LJT-PREP-PERIO</x:v>
      </x:c>
      <x:c r="B230" s="79" t="str">
        <x:v>2007</x:v>
      </x:c>
      <x:c r="C230" s="79" t="str"/>
      <x:c r="D230" s="79" t="str">
        <x:v>LJT-PREP-PERIO</x:v>
      </x:c>
      <x:c r="E230" s="79" t="str">
        <x:v>未評估</x:v>
      </x:c>
      <x:c r="F230" s="115" t="str">
        <x:f>IF($E230="未評估","未建立",_xlfn.XLOOKUP("ABIL|2007|LJT-PREP-PERIO",'主管核定中心'!$A$12:$A$372,'主管核定中心'!$K$12:$K$372,"待主管核定",0))</x:f>
        <x:v>未建立</x:v>
      </x:c>
      <x:c r="G230" s="115" t="n">
        <x:f>COUNTIFS('工作觀察輸入'!$C$7:$C$206,$B230,'工作觀察輸入'!$G$7:$G$206,$D230,'工作觀察輸入'!$M$7:$M$206,"是")</x:f>
        <x:v>0</x:v>
      </x:c>
      <x:c r="H230" s="117" t="str">
        <x:f>IF($G230=0,"",_xlfn.MINIFS('工作觀察輸入'!$B$7:$B$206,'工作觀察輸入'!$C$7:$C$206,$B230,'工作觀察輸入'!$G$7:$G$206,$D230,'工作觀察輸入'!$M$7:$M$206,"是"))</x:f>
      </x:c>
      <x:c r="I230" s="117" t="str">
        <x:f>IF($G230=0,"",_xlfn.MAXIFS('工作觀察輸入'!$B$7:$B$206,'工作觀察輸入'!$C$7:$C$206,$B230,'工作觀察輸入'!$G$7:$G$206,$D230,'工作觀察輸入'!$M$7:$M$206,"是"))</x:f>
      </x:c>
      <x:c r="J230" s="115" t="n">
        <x:f>IF($G230=0,0,IF($H230=$I230,1,2))</x:f>
        <x:v>0</x:v>
      </x:c>
      <x:c r="K230" s="115" t="n">
        <x:f>COUNTIFS('工作觀察輸入'!$C$7:$C$206,$B230,'工作觀察輸入'!$G$7:$G$206,$D230,'工作觀察輸入'!$J$7:$J$206,"是")</x:f>
        <x:v>0</x:v>
      </x:c>
      <x:c r="L230" s="115" t="n">
        <x:f>COUNTIFS('面談與異議'!$C$7:$C$106,$B230,'面談與異議'!$F$7:$F$106,$D230,'面談與異議'!$E$7:$E$106,"兩個月面談")</x:f>
        <x:v>0</x:v>
      </x:c>
      <x:c r="M230" s="115" t="str">
        <x:f>IF($E230&lt;&gt;"Ø","不適用",IF(COUNTIFS('事件與限制'!$C$7:$C$106,$B230,'事件與限制'!$E$7:$E$106,$D230,'事件與限制'!$Q$7:$Q$106,"生效中")&gt;0,"資格限制中",IF($F230&lt;&gt;"已核定","先完成基準核定",IF($K230&gt;0,"有關鍵遺漏，先檢討",IF($G230&lt;3,"尚缺成功觀察",IF($J230&lt;2,"觀察日期不足",IF($L230&lt;1,"待兩個月面談","可送主管核定")))))))</x:f>
        <x:v>不適用</x:v>
      </x:c>
      <x:c r="N230" s="116" t="str">
        <x:v>待核定</x:v>
      </x:c>
      <x:c r="O230" s="118"/>
      <x:c r="P230" s="116"/>
      <x:c r="Q230" s="116"/>
      <x:c r="R230" s="115" t="str">
        <x:f>IF($M230&lt;&gt;"可送主管核定","尚未具備條件",IF($N230="不升級","維持原評等",IF($N230="核定升級",IF(OR($O230="",$P230=""),"核定資料未完整","已核定升級"),"待主管核定")))</x:f>
        <x:v>尚未具備條件</x:v>
      </x:c>
    </x:row>
    <x:row r="231">
      <x:c r="A231" s="79" t="str">
        <x:v>UPG|2007|LJT-PREP-RCT</x:v>
      </x:c>
      <x:c r="B231" s="79" t="str">
        <x:v>2007</x:v>
      </x:c>
      <x:c r="C231" s="79" t="str"/>
      <x:c r="D231" s="79" t="str">
        <x:v>LJT-PREP-RCT</x:v>
      </x:c>
      <x:c r="E231" s="79" t="str">
        <x:v>未評估</x:v>
      </x:c>
      <x:c r="F231" s="115" t="str">
        <x:f>IF($E231="未評估","未建立",_xlfn.XLOOKUP("ABIL|2007|LJT-PREP-RCT",'主管核定中心'!$A$12:$A$372,'主管核定中心'!$K$12:$K$372,"待主管核定",0))</x:f>
        <x:v>未建立</x:v>
      </x:c>
      <x:c r="G231" s="115" t="n">
        <x:f>COUNTIFS('工作觀察輸入'!$C$7:$C$206,$B231,'工作觀察輸入'!$G$7:$G$206,$D231,'工作觀察輸入'!$M$7:$M$206,"是")</x:f>
        <x:v>0</x:v>
      </x:c>
      <x:c r="H231" s="117" t="str">
        <x:f>IF($G231=0,"",_xlfn.MINIFS('工作觀察輸入'!$B$7:$B$206,'工作觀察輸入'!$C$7:$C$206,$B231,'工作觀察輸入'!$G$7:$G$206,$D231,'工作觀察輸入'!$M$7:$M$206,"是"))</x:f>
      </x:c>
      <x:c r="I231" s="117" t="str">
        <x:f>IF($G231=0,"",_xlfn.MAXIFS('工作觀察輸入'!$B$7:$B$206,'工作觀察輸入'!$C$7:$C$206,$B231,'工作觀察輸入'!$G$7:$G$206,$D231,'工作觀察輸入'!$M$7:$M$206,"是"))</x:f>
      </x:c>
      <x:c r="J231" s="115" t="n">
        <x:f>IF($G231=0,0,IF($H231=$I231,1,2))</x:f>
        <x:v>0</x:v>
      </x:c>
      <x:c r="K231" s="115" t="n">
        <x:f>COUNTIFS('工作觀察輸入'!$C$7:$C$206,$B231,'工作觀察輸入'!$G$7:$G$206,$D231,'工作觀察輸入'!$J$7:$J$206,"是")</x:f>
        <x:v>0</x:v>
      </x:c>
      <x:c r="L231" s="115" t="n">
        <x:f>COUNTIFS('面談與異議'!$C$7:$C$106,$B231,'面談與異議'!$F$7:$F$106,$D231,'面談與異議'!$E$7:$E$106,"兩個月面談")</x:f>
        <x:v>0</x:v>
      </x:c>
      <x:c r="M231" s="115" t="str">
        <x:f>IF($E231&lt;&gt;"Ø","不適用",IF(COUNTIFS('事件與限制'!$C$7:$C$106,$B231,'事件與限制'!$E$7:$E$106,$D231,'事件與限制'!$Q$7:$Q$106,"生效中")&gt;0,"資格限制中",IF($F231&lt;&gt;"已核定","先完成基準核定",IF($K231&gt;0,"有關鍵遺漏，先檢討",IF($G231&lt;3,"尚缺成功觀察",IF($J231&lt;2,"觀察日期不足",IF($L231&lt;1,"待兩個月面談","可送主管核定")))))))</x:f>
        <x:v>不適用</x:v>
      </x:c>
      <x:c r="N231" s="116" t="str">
        <x:v>待核定</x:v>
      </x:c>
      <x:c r="O231" s="118"/>
      <x:c r="P231" s="116"/>
      <x:c r="Q231" s="116"/>
      <x:c r="R231" s="115" t="str">
        <x:f>IF($M231&lt;&gt;"可送主管核定","尚未具備條件",IF($N231="不升級","維持原評等",IF($N231="核定升級",IF(OR($O231="",$P231=""),"核定資料未完整","已核定升級"),"待主管核定")))</x:f>
        <x:v>尚未具備條件</x:v>
      </x:c>
    </x:row>
    <x:row r="232">
      <x:c r="A232" s="79" t="str">
        <x:v>UPG|2007|LJT-PREP-EXTRACTION</x:v>
      </x:c>
      <x:c r="B232" s="79" t="str">
        <x:v>2007</x:v>
      </x:c>
      <x:c r="C232" s="79" t="str"/>
      <x:c r="D232" s="79" t="str">
        <x:v>LJT-PREP-EXTRACTION</x:v>
      </x:c>
      <x:c r="E232" s="79" t="str">
        <x:v>未評估</x:v>
      </x:c>
      <x:c r="F232" s="115" t="str">
        <x:f>IF($E232="未評估","未建立",_xlfn.XLOOKUP("ABIL|2007|LJT-PREP-EXTRACTION",'主管核定中心'!$A$12:$A$372,'主管核定中心'!$K$12:$K$372,"待主管核定",0))</x:f>
        <x:v>未建立</x:v>
      </x:c>
      <x:c r="G232" s="115" t="n">
        <x:f>COUNTIFS('工作觀察輸入'!$C$7:$C$206,$B232,'工作觀察輸入'!$G$7:$G$206,$D232,'工作觀察輸入'!$M$7:$M$206,"是")</x:f>
        <x:v>0</x:v>
      </x:c>
      <x:c r="H232" s="117" t="str">
        <x:f>IF($G232=0,"",_xlfn.MINIFS('工作觀察輸入'!$B$7:$B$206,'工作觀察輸入'!$C$7:$C$206,$B232,'工作觀察輸入'!$G$7:$G$206,$D232,'工作觀察輸入'!$M$7:$M$206,"是"))</x:f>
      </x:c>
      <x:c r="I232" s="117" t="str">
        <x:f>IF($G232=0,"",_xlfn.MAXIFS('工作觀察輸入'!$B$7:$B$206,'工作觀察輸入'!$C$7:$C$206,$B232,'工作觀察輸入'!$G$7:$G$206,$D232,'工作觀察輸入'!$M$7:$M$206,"是"))</x:f>
      </x:c>
      <x:c r="J232" s="115" t="n">
        <x:f>IF($G232=0,0,IF($H232=$I232,1,2))</x:f>
        <x:v>0</x:v>
      </x:c>
      <x:c r="K232" s="115" t="n">
        <x:f>COUNTIFS('工作觀察輸入'!$C$7:$C$206,$B232,'工作觀察輸入'!$G$7:$G$206,$D232,'工作觀察輸入'!$J$7:$J$206,"是")</x:f>
        <x:v>0</x:v>
      </x:c>
      <x:c r="L232" s="115" t="n">
        <x:f>COUNTIFS('面談與異議'!$C$7:$C$106,$B232,'面談與異議'!$F$7:$F$106,$D232,'面談與異議'!$E$7:$E$106,"兩個月面談")</x:f>
        <x:v>0</x:v>
      </x:c>
      <x:c r="M232" s="115" t="str">
        <x:f>IF($E232&lt;&gt;"Ø","不適用",IF(COUNTIFS('事件與限制'!$C$7:$C$106,$B232,'事件與限制'!$E$7:$E$106,$D232,'事件與限制'!$Q$7:$Q$106,"生效中")&gt;0,"資格限制中",IF($F232&lt;&gt;"已核定","先完成基準核定",IF($K232&gt;0,"有關鍵遺漏，先檢討",IF($G232&lt;3,"尚缺成功觀察",IF($J232&lt;2,"觀察日期不足",IF($L232&lt;1,"待兩個月面談","可送主管核定")))))))</x:f>
        <x:v>不適用</x:v>
      </x:c>
      <x:c r="N232" s="116" t="str">
        <x:v>待核定</x:v>
      </x:c>
      <x:c r="O232" s="118"/>
      <x:c r="P232" s="116"/>
      <x:c r="Q232" s="116"/>
      <x:c r="R232" s="115" t="str">
        <x:f>IF($M232&lt;&gt;"可送主管核定","尚未具備條件",IF($N232="不升級","維持原評等",IF($N232="核定升級",IF(OR($O232="",$P232=""),"核定資料未完整","已核定升級"),"待主管核定")))</x:f>
        <x:v>尚未具備條件</x:v>
      </x:c>
    </x:row>
    <x:row r="233">
      <x:c r="A233" s="79" t="str">
        <x:v>UPG|2007|LJT-PREP-CROWNPOST</x:v>
      </x:c>
      <x:c r="B233" s="79" t="str">
        <x:v>2007</x:v>
      </x:c>
      <x:c r="C233" s="79" t="str"/>
      <x:c r="D233" s="79" t="str">
        <x:v>LJT-PREP-CROWNPOST</x:v>
      </x:c>
      <x:c r="E233" s="79" t="str">
        <x:v>未評估</x:v>
      </x:c>
      <x:c r="F233" s="115" t="str">
        <x:f>IF($E233="未評估","未建立",_xlfn.XLOOKUP("ABIL|2007|LJT-PREP-CROWNPOST",'主管核定中心'!$A$12:$A$372,'主管核定中心'!$K$12:$K$372,"待主管核定",0))</x:f>
        <x:v>未建立</x:v>
      </x:c>
      <x:c r="G233" s="115" t="n">
        <x:f>COUNTIFS('工作觀察輸入'!$C$7:$C$206,$B233,'工作觀察輸入'!$G$7:$G$206,$D233,'工作觀察輸入'!$M$7:$M$206,"是")</x:f>
        <x:v>0</x:v>
      </x:c>
      <x:c r="H233" s="117" t="str">
        <x:f>IF($G233=0,"",_xlfn.MINIFS('工作觀察輸入'!$B$7:$B$206,'工作觀察輸入'!$C$7:$C$206,$B233,'工作觀察輸入'!$G$7:$G$206,$D233,'工作觀察輸入'!$M$7:$M$206,"是"))</x:f>
      </x:c>
      <x:c r="I233" s="117" t="str">
        <x:f>IF($G233=0,"",_xlfn.MAXIFS('工作觀察輸入'!$B$7:$B$206,'工作觀察輸入'!$C$7:$C$206,$B233,'工作觀察輸入'!$G$7:$G$206,$D233,'工作觀察輸入'!$M$7:$M$206,"是"))</x:f>
      </x:c>
      <x:c r="J233" s="115" t="n">
        <x:f>IF($G233=0,0,IF($H233=$I233,1,2))</x:f>
        <x:v>0</x:v>
      </x:c>
      <x:c r="K233" s="115" t="n">
        <x:f>COUNTIFS('工作觀察輸入'!$C$7:$C$206,$B233,'工作觀察輸入'!$G$7:$G$206,$D233,'工作觀察輸入'!$J$7:$J$206,"是")</x:f>
        <x:v>0</x:v>
      </x:c>
      <x:c r="L233" s="115" t="n">
        <x:f>COUNTIFS('面談與異議'!$C$7:$C$106,$B233,'面談與異議'!$F$7:$F$106,$D233,'面談與異議'!$E$7:$E$106,"兩個月面談")</x:f>
        <x:v>0</x:v>
      </x:c>
      <x:c r="M233" s="115" t="str">
        <x:f>IF($E233&lt;&gt;"Ø","不適用",IF(COUNTIFS('事件與限制'!$C$7:$C$106,$B233,'事件與限制'!$E$7:$E$106,$D233,'事件與限制'!$Q$7:$Q$106,"生效中")&gt;0,"資格限制中",IF($F233&lt;&gt;"已核定","先完成基準核定",IF($K233&gt;0,"有關鍵遺漏，先檢討",IF($G233&lt;3,"尚缺成功觀察",IF($J233&lt;2,"觀察日期不足",IF($L233&lt;1,"待兩個月面談","可送主管核定")))))))</x:f>
        <x:v>不適用</x:v>
      </x:c>
      <x:c r="N233" s="116" t="str">
        <x:v>待核定</x:v>
      </x:c>
      <x:c r="O233" s="118"/>
      <x:c r="P233" s="116"/>
      <x:c r="Q233" s="116"/>
      <x:c r="R233" s="115" t="str">
        <x:f>IF($M233&lt;&gt;"可送主管核定","尚未具備條件",IF($N233="不升級","維持原評等",IF($N233="核定升級",IF(OR($O233="",$P233=""),"核定資料未完整","已核定升級"),"待主管核定")))</x:f>
        <x:v>尚未具備條件</x:v>
      </x:c>
    </x:row>
    <x:row r="234">
      <x:c r="A234" s="79" t="str">
        <x:v>UPG|2007|LJT-PREP-CROWN</x:v>
      </x:c>
      <x:c r="B234" s="79" t="str">
        <x:v>2007</x:v>
      </x:c>
      <x:c r="C234" s="79" t="str"/>
      <x:c r="D234" s="79" t="str">
        <x:v>LJT-PREP-CROWN</x:v>
      </x:c>
      <x:c r="E234" s="79" t="str">
        <x:v>未評估</x:v>
      </x:c>
      <x:c r="F234" s="115" t="str">
        <x:f>IF($E234="未評估","未建立",_xlfn.XLOOKUP("ABIL|2007|LJT-PREP-CROWN",'主管核定中心'!$A$12:$A$372,'主管核定中心'!$K$12:$K$372,"待主管核定",0))</x:f>
        <x:v>未建立</x:v>
      </x:c>
      <x:c r="G234" s="115" t="n">
        <x:f>COUNTIFS('工作觀察輸入'!$C$7:$C$206,$B234,'工作觀察輸入'!$G$7:$G$206,$D234,'工作觀察輸入'!$M$7:$M$206,"是")</x:f>
        <x:v>0</x:v>
      </x:c>
      <x:c r="H234" s="117" t="str">
        <x:f>IF($G234=0,"",_xlfn.MINIFS('工作觀察輸入'!$B$7:$B$206,'工作觀察輸入'!$C$7:$C$206,$B234,'工作觀察輸入'!$G$7:$G$206,$D234,'工作觀察輸入'!$M$7:$M$206,"是"))</x:f>
      </x:c>
      <x:c r="I234" s="117" t="str">
        <x:f>IF($G234=0,"",_xlfn.MAXIFS('工作觀察輸入'!$B$7:$B$206,'工作觀察輸入'!$C$7:$C$206,$B234,'工作觀察輸入'!$G$7:$G$206,$D234,'工作觀察輸入'!$M$7:$M$206,"是"))</x:f>
      </x:c>
      <x:c r="J234" s="115" t="n">
        <x:f>IF($G234=0,0,IF($H234=$I234,1,2))</x:f>
        <x:v>0</x:v>
      </x:c>
      <x:c r="K234" s="115" t="n">
        <x:f>COUNTIFS('工作觀察輸入'!$C$7:$C$206,$B234,'工作觀察輸入'!$G$7:$G$206,$D234,'工作觀察輸入'!$J$7:$J$206,"是")</x:f>
        <x:v>0</x:v>
      </x:c>
      <x:c r="L234" s="115" t="n">
        <x:f>COUNTIFS('面談與異議'!$C$7:$C$106,$B234,'面談與異議'!$F$7:$F$106,$D234,'面談與異議'!$E$7:$E$106,"兩個月面談")</x:f>
        <x:v>0</x:v>
      </x:c>
      <x:c r="M234" s="115" t="str">
        <x:f>IF($E234&lt;&gt;"Ø","不適用",IF(COUNTIFS('事件與限制'!$C$7:$C$106,$B234,'事件與限制'!$E$7:$E$106,$D234,'事件與限制'!$Q$7:$Q$106,"生效中")&gt;0,"資格限制中",IF($F234&lt;&gt;"已核定","先完成基準核定",IF($K234&gt;0,"有關鍵遺漏，先檢討",IF($G234&lt;3,"尚缺成功觀察",IF($J234&lt;2,"觀察日期不足",IF($L234&lt;1,"待兩個月面談","可送主管核定")))))))</x:f>
        <x:v>不適用</x:v>
      </x:c>
      <x:c r="N234" s="116" t="str">
        <x:v>待核定</x:v>
      </x:c>
      <x:c r="O234" s="118"/>
      <x:c r="P234" s="116"/>
      <x:c r="Q234" s="116"/>
      <x:c r="R234" s="115" t="str">
        <x:f>IF($M234&lt;&gt;"可送主管核定","尚未具備條件",IF($N234="不升級","維持原評等",IF($N234="核定升級",IF(OR($O234="",$P234=""),"核定資料未完整","已核定升級"),"待主管核定")))</x:f>
        <x:v>尚未具備條件</x:v>
      </x:c>
    </x:row>
    <x:row r="235">
      <x:c r="A235" s="79" t="str">
        <x:v>UPG|2007|LJT-PREP-RPD</x:v>
      </x:c>
      <x:c r="B235" s="79" t="str">
        <x:v>2007</x:v>
      </x:c>
      <x:c r="C235" s="79" t="str"/>
      <x:c r="D235" s="79" t="str">
        <x:v>LJT-PREP-RPD</x:v>
      </x:c>
      <x:c r="E235" s="79" t="str">
        <x:v>未評估</x:v>
      </x:c>
      <x:c r="F235" s="115" t="str">
        <x:f>IF($E235="未評估","未建立",_xlfn.XLOOKUP("ABIL|2007|LJT-PREP-RPD",'主管核定中心'!$A$12:$A$372,'主管核定中心'!$K$12:$K$372,"待主管核定",0))</x:f>
        <x:v>未建立</x:v>
      </x:c>
      <x:c r="G235" s="115" t="n">
        <x:f>COUNTIFS('工作觀察輸入'!$C$7:$C$206,$B235,'工作觀察輸入'!$G$7:$G$206,$D235,'工作觀察輸入'!$M$7:$M$206,"是")</x:f>
        <x:v>0</x:v>
      </x:c>
      <x:c r="H235" s="117" t="str">
        <x:f>IF($G235=0,"",_xlfn.MINIFS('工作觀察輸入'!$B$7:$B$206,'工作觀察輸入'!$C$7:$C$206,$B235,'工作觀察輸入'!$G$7:$G$206,$D235,'工作觀察輸入'!$M$7:$M$206,"是"))</x:f>
      </x:c>
      <x:c r="I235" s="117" t="str">
        <x:f>IF($G235=0,"",_xlfn.MAXIFS('工作觀察輸入'!$B$7:$B$206,'工作觀察輸入'!$C$7:$C$206,$B235,'工作觀察輸入'!$G$7:$G$206,$D235,'工作觀察輸入'!$M$7:$M$206,"是"))</x:f>
      </x:c>
      <x:c r="J235" s="115" t="n">
        <x:f>IF($G235=0,0,IF($H235=$I235,1,2))</x:f>
        <x:v>0</x:v>
      </x:c>
      <x:c r="K235" s="115" t="n">
        <x:f>COUNTIFS('工作觀察輸入'!$C$7:$C$206,$B235,'工作觀察輸入'!$G$7:$G$206,$D235,'工作觀察輸入'!$J$7:$J$206,"是")</x:f>
        <x:v>0</x:v>
      </x:c>
      <x:c r="L235" s="115" t="n">
        <x:f>COUNTIFS('面談與異議'!$C$7:$C$106,$B235,'面談與異議'!$F$7:$F$106,$D235,'面談與異議'!$E$7:$E$106,"兩個月面談")</x:f>
        <x:v>0</x:v>
      </x:c>
      <x:c r="M235" s="115" t="str">
        <x:f>IF($E235&lt;&gt;"Ø","不適用",IF(COUNTIFS('事件與限制'!$C$7:$C$106,$B235,'事件與限制'!$E$7:$E$106,$D235,'事件與限制'!$Q$7:$Q$106,"生效中")&gt;0,"資格限制中",IF($F235&lt;&gt;"已核定","先完成基準核定",IF($K235&gt;0,"有關鍵遺漏，先檢討",IF($G235&lt;3,"尚缺成功觀察",IF($J235&lt;2,"觀察日期不足",IF($L235&lt;1,"待兩個月面談","可送主管核定")))))))</x:f>
        <x:v>不適用</x:v>
      </x:c>
      <x:c r="N235" s="116" t="str">
        <x:v>待核定</x:v>
      </x:c>
      <x:c r="O235" s="118"/>
      <x:c r="P235" s="116"/>
      <x:c r="Q235" s="116"/>
      <x:c r="R235" s="115" t="str">
        <x:f>IF($M235&lt;&gt;"可送主管核定","尚未具備條件",IF($N235="不升級","維持原評等",IF($N235="核定升級",IF(OR($O235="",$P235=""),"核定資料未完整","已核定升級"),"待主管核定")))</x:f>
        <x:v>尚未具備條件</x:v>
      </x:c>
    </x:row>
    <x:row r="236">
      <x:c r="A236" s="79" t="str">
        <x:v>UPG|2007|LJT-PREP-AIRPOLISH</x:v>
      </x:c>
      <x:c r="B236" s="79" t="str">
        <x:v>2007</x:v>
      </x:c>
      <x:c r="C236" s="79" t="str"/>
      <x:c r="D236" s="79" t="str">
        <x:v>LJT-PREP-AIRPOLISH</x:v>
      </x:c>
      <x:c r="E236" s="79" t="str">
        <x:v>未評估</x:v>
      </x:c>
      <x:c r="F236" s="115" t="str">
        <x:f>IF($E236="未評估","未建立",_xlfn.XLOOKUP("ABIL|2007|LJT-PREP-AIRPOLISH",'主管核定中心'!$A$12:$A$372,'主管核定中心'!$K$12:$K$372,"待主管核定",0))</x:f>
        <x:v>未建立</x:v>
      </x:c>
      <x:c r="G236" s="115" t="n">
        <x:f>COUNTIFS('工作觀察輸入'!$C$7:$C$206,$B236,'工作觀察輸入'!$G$7:$G$206,$D236,'工作觀察輸入'!$M$7:$M$206,"是")</x:f>
        <x:v>0</x:v>
      </x:c>
      <x:c r="H236" s="117" t="str">
        <x:f>IF($G236=0,"",_xlfn.MINIFS('工作觀察輸入'!$B$7:$B$206,'工作觀察輸入'!$C$7:$C$206,$B236,'工作觀察輸入'!$G$7:$G$206,$D236,'工作觀察輸入'!$M$7:$M$206,"是"))</x:f>
      </x:c>
      <x:c r="I236" s="117" t="str">
        <x:f>IF($G236=0,"",_xlfn.MAXIFS('工作觀察輸入'!$B$7:$B$206,'工作觀察輸入'!$C$7:$C$206,$B236,'工作觀察輸入'!$G$7:$G$206,$D236,'工作觀察輸入'!$M$7:$M$206,"是"))</x:f>
      </x:c>
      <x:c r="J236" s="115" t="n">
        <x:f>IF($G236=0,0,IF($H236=$I236,1,2))</x:f>
        <x:v>0</x:v>
      </x:c>
      <x:c r="K236" s="115" t="n">
        <x:f>COUNTIFS('工作觀察輸入'!$C$7:$C$206,$B236,'工作觀察輸入'!$G$7:$G$206,$D236,'工作觀察輸入'!$J$7:$J$206,"是")</x:f>
        <x:v>0</x:v>
      </x:c>
      <x:c r="L236" s="115" t="n">
        <x:f>COUNTIFS('面談與異議'!$C$7:$C$106,$B236,'面談與異議'!$F$7:$F$106,$D236,'面談與異議'!$E$7:$E$106,"兩個月面談")</x:f>
        <x:v>0</x:v>
      </x:c>
      <x:c r="M236" s="115" t="str">
        <x:f>IF($E236&lt;&gt;"Ø","不適用",IF(COUNTIFS('事件與限制'!$C$7:$C$106,$B236,'事件與限制'!$E$7:$E$106,$D236,'事件與限制'!$Q$7:$Q$106,"生效中")&gt;0,"資格限制中",IF($F236&lt;&gt;"已核定","先完成基準核定",IF($K236&gt;0,"有關鍵遺漏，先檢討",IF($G236&lt;3,"尚缺成功觀察",IF($J236&lt;2,"觀察日期不足",IF($L236&lt;1,"待兩個月面談","可送主管核定")))))))</x:f>
        <x:v>不適用</x:v>
      </x:c>
      <x:c r="N236" s="116" t="str">
        <x:v>待核定</x:v>
      </x:c>
      <x:c r="O236" s="118"/>
      <x:c r="P236" s="116"/>
      <x:c r="Q236" s="116"/>
      <x:c r="R236" s="115" t="str">
        <x:f>IF($M236&lt;&gt;"可送主管核定","尚未具備條件",IF($N236="不升級","維持原評等",IF($N236="核定升級",IF(OR($O236="",$P236=""),"核定資料未完整","已核定升級"),"待主管核定")))</x:f>
        <x:v>尚未具備條件</x:v>
      </x:c>
    </x:row>
    <x:row r="237">
      <x:c r="A237" s="79" t="str">
        <x:v>UPG|2007|LJT-PREP-PERIOSURG</x:v>
      </x:c>
      <x:c r="B237" s="79" t="str">
        <x:v>2007</x:v>
      </x:c>
      <x:c r="C237" s="79" t="str"/>
      <x:c r="D237" s="79" t="str">
        <x:v>LJT-PREP-PERIOSURG</x:v>
      </x:c>
      <x:c r="E237" s="79" t="str">
        <x:v>未評估</x:v>
      </x:c>
      <x:c r="F237" s="115" t="str">
        <x:f>IF($E237="未評估","未建立",_xlfn.XLOOKUP("ABIL|2007|LJT-PREP-PERIOSURG",'主管核定中心'!$A$12:$A$372,'主管核定中心'!$K$12:$K$372,"待主管核定",0))</x:f>
        <x:v>未建立</x:v>
      </x:c>
      <x:c r="G237" s="115" t="n">
        <x:f>COUNTIFS('工作觀察輸入'!$C$7:$C$206,$B237,'工作觀察輸入'!$G$7:$G$206,$D237,'工作觀察輸入'!$M$7:$M$206,"是")</x:f>
        <x:v>0</x:v>
      </x:c>
      <x:c r="H237" s="117" t="str">
        <x:f>IF($G237=0,"",_xlfn.MINIFS('工作觀察輸入'!$B$7:$B$206,'工作觀察輸入'!$C$7:$C$206,$B237,'工作觀察輸入'!$G$7:$G$206,$D237,'工作觀察輸入'!$M$7:$M$206,"是"))</x:f>
      </x:c>
      <x:c r="I237" s="117" t="str">
        <x:f>IF($G237=0,"",_xlfn.MAXIFS('工作觀察輸入'!$B$7:$B$206,'工作觀察輸入'!$C$7:$C$206,$B237,'工作觀察輸入'!$G$7:$G$206,$D237,'工作觀察輸入'!$M$7:$M$206,"是"))</x:f>
      </x:c>
      <x:c r="J237" s="115" t="n">
        <x:f>IF($G237=0,0,IF($H237=$I237,1,2))</x:f>
        <x:v>0</x:v>
      </x:c>
      <x:c r="K237" s="115" t="n">
        <x:f>COUNTIFS('工作觀察輸入'!$C$7:$C$206,$B237,'工作觀察輸入'!$G$7:$G$206,$D237,'工作觀察輸入'!$J$7:$J$206,"是")</x:f>
        <x:v>0</x:v>
      </x:c>
      <x:c r="L237" s="115" t="n">
        <x:f>COUNTIFS('面談與異議'!$C$7:$C$106,$B237,'面談與異議'!$F$7:$F$106,$D237,'面談與異議'!$E$7:$E$106,"兩個月面談")</x:f>
        <x:v>0</x:v>
      </x:c>
      <x:c r="M237" s="115" t="str">
        <x:f>IF($E237&lt;&gt;"Ø","不適用",IF(COUNTIFS('事件與限制'!$C$7:$C$106,$B237,'事件與限制'!$E$7:$E$106,$D237,'事件與限制'!$Q$7:$Q$106,"生效中")&gt;0,"資格限制中",IF($F237&lt;&gt;"已核定","先完成基準核定",IF($K237&gt;0,"有關鍵遺漏，先檢討",IF($G237&lt;3,"尚缺成功觀察",IF($J237&lt;2,"觀察日期不足",IF($L237&lt;1,"待兩個月面談","可送主管核定")))))))</x:f>
        <x:v>不適用</x:v>
      </x:c>
      <x:c r="N237" s="116" t="str">
        <x:v>待核定</x:v>
      </x:c>
      <x:c r="O237" s="118"/>
      <x:c r="P237" s="116"/>
      <x:c r="Q237" s="116"/>
      <x:c r="R237" s="115" t="str">
        <x:f>IF($M237&lt;&gt;"可送主管核定","尚未具備條件",IF($N237="不升級","維持原評等",IF($N237="核定升級",IF(OR($O237="",$P237=""),"核定資料未完整","已核定升級"),"待主管核定")))</x:f>
        <x:v>尚未具備條件</x:v>
      </x:c>
    </x:row>
    <x:row r="238">
      <x:c r="A238" s="79" t="str">
        <x:v>UPG|2007|LJT-PREP-MICROENDO</x:v>
      </x:c>
      <x:c r="B238" s="79" t="str">
        <x:v>2007</x:v>
      </x:c>
      <x:c r="C238" s="79" t="str"/>
      <x:c r="D238" s="79" t="str">
        <x:v>LJT-PREP-MICROENDO</x:v>
      </x:c>
      <x:c r="E238" s="79" t="str">
        <x:v>未評估</x:v>
      </x:c>
      <x:c r="F238" s="115" t="str">
        <x:f>IF($E238="未評估","未建立",_xlfn.XLOOKUP("ABIL|2007|LJT-PREP-MICROENDO",'主管核定中心'!$A$12:$A$372,'主管核定中心'!$K$12:$K$372,"待主管核定",0))</x:f>
        <x:v>未建立</x:v>
      </x:c>
      <x:c r="G238" s="115" t="n">
        <x:f>COUNTIFS('工作觀察輸入'!$C$7:$C$206,$B238,'工作觀察輸入'!$G$7:$G$206,$D238,'工作觀察輸入'!$M$7:$M$206,"是")</x:f>
        <x:v>0</x:v>
      </x:c>
      <x:c r="H238" s="117" t="str">
        <x:f>IF($G238=0,"",_xlfn.MINIFS('工作觀察輸入'!$B$7:$B$206,'工作觀察輸入'!$C$7:$C$206,$B238,'工作觀察輸入'!$G$7:$G$206,$D238,'工作觀察輸入'!$M$7:$M$206,"是"))</x:f>
      </x:c>
      <x:c r="I238" s="117" t="str">
        <x:f>IF($G238=0,"",_xlfn.MAXIFS('工作觀察輸入'!$B$7:$B$206,'工作觀察輸入'!$C$7:$C$206,$B238,'工作觀察輸入'!$G$7:$G$206,$D238,'工作觀察輸入'!$M$7:$M$206,"是"))</x:f>
      </x:c>
      <x:c r="J238" s="115" t="n">
        <x:f>IF($G238=0,0,IF($H238=$I238,1,2))</x:f>
        <x:v>0</x:v>
      </x:c>
      <x:c r="K238" s="115" t="n">
        <x:f>COUNTIFS('工作觀察輸入'!$C$7:$C$206,$B238,'工作觀察輸入'!$G$7:$G$206,$D238,'工作觀察輸入'!$J$7:$J$206,"是")</x:f>
        <x:v>0</x:v>
      </x:c>
      <x:c r="L238" s="115" t="n">
        <x:f>COUNTIFS('面談與異議'!$C$7:$C$106,$B238,'面談與異議'!$F$7:$F$106,$D238,'面談與異議'!$E$7:$E$106,"兩個月面談")</x:f>
        <x:v>0</x:v>
      </x:c>
      <x:c r="M238" s="115" t="str">
        <x:f>IF($E238&lt;&gt;"Ø","不適用",IF(COUNTIFS('事件與限制'!$C$7:$C$106,$B238,'事件與限制'!$E$7:$E$106,$D238,'事件與限制'!$Q$7:$Q$106,"生效中")&gt;0,"資格限制中",IF($F238&lt;&gt;"已核定","先完成基準核定",IF($K238&gt;0,"有關鍵遺漏，先檢討",IF($G238&lt;3,"尚缺成功觀察",IF($J238&lt;2,"觀察日期不足",IF($L238&lt;1,"待兩個月面談","可送主管核定")))))))</x:f>
        <x:v>不適用</x:v>
      </x:c>
      <x:c r="N238" s="116" t="str">
        <x:v>待核定</x:v>
      </x:c>
      <x:c r="O238" s="118"/>
      <x:c r="P238" s="116"/>
      <x:c r="Q238" s="116"/>
      <x:c r="R238" s="115" t="str">
        <x:f>IF($M238&lt;&gt;"可送主管核定","尚未具備條件",IF($N238="不升級","維持原評等",IF($N238="核定升級",IF(OR($O238="",$P238=""),"核定資料未完整","已核定升級"),"待主管核定")))</x:f>
        <x:v>尚未具備條件</x:v>
      </x:c>
    </x:row>
    <x:row r="239">
      <x:c r="A239" s="79" t="str">
        <x:v>UPG|2007|LJT-PREP-IMPLANT</x:v>
      </x:c>
      <x:c r="B239" s="79" t="str">
        <x:v>2007</x:v>
      </x:c>
      <x:c r="C239" s="79" t="str"/>
      <x:c r="D239" s="79" t="str">
        <x:v>LJT-PREP-IMPLANT</x:v>
      </x:c>
      <x:c r="E239" s="79" t="str">
        <x:v>未評估</x:v>
      </x:c>
      <x:c r="F239" s="115" t="str">
        <x:f>IF($E239="未評估","未建立",_xlfn.XLOOKUP("ABIL|2007|LJT-PREP-IMPLANT",'主管核定中心'!$A$12:$A$372,'主管核定中心'!$K$12:$K$372,"待主管核定",0))</x:f>
        <x:v>未建立</x:v>
      </x:c>
      <x:c r="G239" s="115" t="n">
        <x:f>COUNTIFS('工作觀察輸入'!$C$7:$C$206,$B239,'工作觀察輸入'!$G$7:$G$206,$D239,'工作觀察輸入'!$M$7:$M$206,"是")</x:f>
        <x:v>0</x:v>
      </x:c>
      <x:c r="H239" s="117" t="str">
        <x:f>IF($G239=0,"",_xlfn.MINIFS('工作觀察輸入'!$B$7:$B$206,'工作觀察輸入'!$C$7:$C$206,$B239,'工作觀察輸入'!$G$7:$G$206,$D239,'工作觀察輸入'!$M$7:$M$206,"是"))</x:f>
      </x:c>
      <x:c r="I239" s="117" t="str">
        <x:f>IF($G239=0,"",_xlfn.MAXIFS('工作觀察輸入'!$B$7:$B$206,'工作觀察輸入'!$C$7:$C$206,$B239,'工作觀察輸入'!$G$7:$G$206,$D239,'工作觀察輸入'!$M$7:$M$206,"是"))</x:f>
      </x:c>
      <x:c r="J239" s="115" t="n">
        <x:f>IF($G239=0,0,IF($H239=$I239,1,2))</x:f>
        <x:v>0</x:v>
      </x:c>
      <x:c r="K239" s="115" t="n">
        <x:f>COUNTIFS('工作觀察輸入'!$C$7:$C$206,$B239,'工作觀察輸入'!$G$7:$G$206,$D239,'工作觀察輸入'!$J$7:$J$206,"是")</x:f>
        <x:v>0</x:v>
      </x:c>
      <x:c r="L239" s="115" t="n">
        <x:f>COUNTIFS('面談與異議'!$C$7:$C$106,$B239,'面談與異議'!$F$7:$F$106,$D239,'面談與異議'!$E$7:$E$106,"兩個月面談")</x:f>
        <x:v>0</x:v>
      </x:c>
      <x:c r="M239" s="115" t="str">
        <x:f>IF($E239&lt;&gt;"Ø","不適用",IF(COUNTIFS('事件與限制'!$C$7:$C$106,$B239,'事件與限制'!$E$7:$E$106,$D239,'事件與限制'!$Q$7:$Q$106,"生效中")&gt;0,"資格限制中",IF($F239&lt;&gt;"已核定","先完成基準核定",IF($K239&gt;0,"有關鍵遺漏，先檢討",IF($G239&lt;3,"尚缺成功觀察",IF($J239&lt;2,"觀察日期不足",IF($L239&lt;1,"待兩個月面談","可送主管核定")))))))</x:f>
        <x:v>不適用</x:v>
      </x:c>
      <x:c r="N239" s="116" t="str">
        <x:v>待核定</x:v>
      </x:c>
      <x:c r="O239" s="118"/>
      <x:c r="P239" s="116"/>
      <x:c r="Q239" s="116"/>
      <x:c r="R239" s="115" t="str">
        <x:f>IF($M239&lt;&gt;"可送主管核定","尚未具備條件",IF($N239="不升級","維持原評等",IF($N239="核定升級",IF(OR($O239="",$P239=""),"核定資料未完整","已核定升級"),"待主管核定")))</x:f>
        <x:v>尚未具備條件</x:v>
      </x:c>
    </x:row>
    <x:row r="240">
      <x:c r="A240" s="79" t="str">
        <x:v>UPG|2007|COMMON-RECORD</x:v>
      </x:c>
      <x:c r="B240" s="79" t="str">
        <x:v>2007</x:v>
      </x:c>
      <x:c r="C240" s="79" t="str"/>
      <x:c r="D240" s="79" t="str">
        <x:v>COMMON-RECORD</x:v>
      </x:c>
      <x:c r="E240" s="79" t="str">
        <x:v>未評估</x:v>
      </x:c>
      <x:c r="F240" s="115" t="str">
        <x:f>IF($E240="未評估","未建立",_xlfn.XLOOKUP("ABIL|2007|COMMON-RECORD",'主管核定中心'!$A$12:$A$372,'主管核定中心'!$K$12:$K$372,"待主管核定",0))</x:f>
        <x:v>未建立</x:v>
      </x:c>
      <x:c r="G240" s="115" t="n">
        <x:f>COUNTIFS('工作觀察輸入'!$C$7:$C$206,$B240,'工作觀察輸入'!$G$7:$G$206,$D240,'工作觀察輸入'!$M$7:$M$206,"是")</x:f>
        <x:v>0</x:v>
      </x:c>
      <x:c r="H240" s="117" t="str">
        <x:f>IF($G240=0,"",_xlfn.MINIFS('工作觀察輸入'!$B$7:$B$206,'工作觀察輸入'!$C$7:$C$206,$B240,'工作觀察輸入'!$G$7:$G$206,$D240,'工作觀察輸入'!$M$7:$M$206,"是"))</x:f>
      </x:c>
      <x:c r="I240" s="117" t="str">
        <x:f>IF($G240=0,"",_xlfn.MAXIFS('工作觀察輸入'!$B$7:$B$206,'工作觀察輸入'!$C$7:$C$206,$B240,'工作觀察輸入'!$G$7:$G$206,$D240,'工作觀察輸入'!$M$7:$M$206,"是"))</x:f>
      </x:c>
      <x:c r="J240" s="115" t="n">
        <x:f>IF($G240=0,0,IF($H240=$I240,1,2))</x:f>
        <x:v>0</x:v>
      </x:c>
      <x:c r="K240" s="115" t="n">
        <x:f>COUNTIFS('工作觀察輸入'!$C$7:$C$206,$B240,'工作觀察輸入'!$G$7:$G$206,$D240,'工作觀察輸入'!$J$7:$J$206,"是")</x:f>
        <x:v>0</x:v>
      </x:c>
      <x:c r="L240" s="115" t="n">
        <x:f>COUNTIFS('面談與異議'!$C$7:$C$106,$B240,'面談與異議'!$F$7:$F$106,$D240,'面談與異議'!$E$7:$E$106,"兩個月面談")</x:f>
        <x:v>0</x:v>
      </x:c>
      <x:c r="M240" s="115" t="str">
        <x:f>IF($E240&lt;&gt;"Ø","不適用",IF(COUNTIFS('事件與限制'!$C$7:$C$106,$B240,'事件與限制'!$E$7:$E$106,$D240,'事件與限制'!$Q$7:$Q$106,"生效中")&gt;0,"資格限制中",IF($F240&lt;&gt;"已核定","先完成基準核定",IF($K240&gt;0,"有關鍵遺漏，先檢討",IF($G240&lt;3,"尚缺成功觀察",IF($J240&lt;2,"觀察日期不足",IF($L240&lt;1,"待兩個月面談","可送主管核定")))))))</x:f>
        <x:v>不適用</x:v>
      </x:c>
      <x:c r="N240" s="116" t="str">
        <x:v>待核定</x:v>
      </x:c>
      <x:c r="O240" s="118"/>
      <x:c r="P240" s="116"/>
      <x:c r="Q240" s="116"/>
      <x:c r="R240" s="115" t="str">
        <x:f>IF($M240&lt;&gt;"可送主管核定","尚未具備條件",IF($N240="不升級","維持原評等",IF($N240="核定升級",IF(OR($O240="",$P240=""),"核定資料未完整","已核定升級"),"待主管核定")))</x:f>
        <x:v>尚未具備條件</x:v>
      </x:c>
    </x:row>
    <x:row r="241">
      <x:c r="A241" s="79" t="str">
        <x:v>UPG|2007|COMMON-INSURANCE</x:v>
      </x:c>
      <x:c r="B241" s="79" t="str">
        <x:v>2007</x:v>
      </x:c>
      <x:c r="C241" s="79" t="str"/>
      <x:c r="D241" s="79" t="str">
        <x:v>COMMON-INSURANCE</x:v>
      </x:c>
      <x:c r="E241" s="79" t="str">
        <x:v>未評估</x:v>
      </x:c>
      <x:c r="F241" s="115" t="str">
        <x:f>IF($E241="未評估","未建立",_xlfn.XLOOKUP("ABIL|2007|COMMON-INSURANCE",'主管核定中心'!$A$12:$A$372,'主管核定中心'!$K$12:$K$372,"待主管核定",0))</x:f>
        <x:v>未建立</x:v>
      </x:c>
      <x:c r="G241" s="115" t="n">
        <x:f>COUNTIFS('工作觀察輸入'!$C$7:$C$206,$B241,'工作觀察輸入'!$G$7:$G$206,$D241,'工作觀察輸入'!$M$7:$M$206,"是")</x:f>
        <x:v>0</x:v>
      </x:c>
      <x:c r="H241" s="117" t="str">
        <x:f>IF($G241=0,"",_xlfn.MINIFS('工作觀察輸入'!$B$7:$B$206,'工作觀察輸入'!$C$7:$C$206,$B241,'工作觀察輸入'!$G$7:$G$206,$D241,'工作觀察輸入'!$M$7:$M$206,"是"))</x:f>
      </x:c>
      <x:c r="I241" s="117" t="str">
        <x:f>IF($G241=0,"",_xlfn.MAXIFS('工作觀察輸入'!$B$7:$B$206,'工作觀察輸入'!$C$7:$C$206,$B241,'工作觀察輸入'!$G$7:$G$206,$D241,'工作觀察輸入'!$M$7:$M$206,"是"))</x:f>
      </x:c>
      <x:c r="J241" s="115" t="n">
        <x:f>IF($G241=0,0,IF($H241=$I241,1,2))</x:f>
        <x:v>0</x:v>
      </x:c>
      <x:c r="K241" s="115" t="n">
        <x:f>COUNTIFS('工作觀察輸入'!$C$7:$C$206,$B241,'工作觀察輸入'!$G$7:$G$206,$D241,'工作觀察輸入'!$J$7:$J$206,"是")</x:f>
        <x:v>0</x:v>
      </x:c>
      <x:c r="L241" s="115" t="n">
        <x:f>COUNTIFS('面談與異議'!$C$7:$C$106,$B241,'面談與異議'!$F$7:$F$106,$D241,'面談與異議'!$E$7:$E$106,"兩個月面談")</x:f>
        <x:v>0</x:v>
      </x:c>
      <x:c r="M241" s="115" t="str">
        <x:f>IF($E241&lt;&gt;"Ø","不適用",IF(COUNTIFS('事件與限制'!$C$7:$C$106,$B241,'事件與限制'!$E$7:$E$106,$D241,'事件與限制'!$Q$7:$Q$106,"生效中")&gt;0,"資格限制中",IF($F241&lt;&gt;"已核定","先完成基準核定",IF($K241&gt;0,"有關鍵遺漏，先檢討",IF($G241&lt;3,"尚缺成功觀察",IF($J241&lt;2,"觀察日期不足",IF($L241&lt;1,"待兩個月面談","可送主管核定")))))))</x:f>
        <x:v>不適用</x:v>
      </x:c>
      <x:c r="N241" s="116" t="str">
        <x:v>待核定</x:v>
      </x:c>
      <x:c r="O241" s="118"/>
      <x:c r="P241" s="116"/>
      <x:c r="Q241" s="116"/>
      <x:c r="R241" s="115" t="str">
        <x:f>IF($M241&lt;&gt;"可送主管核定","尚未具備條件",IF($N241="不升級","維持原評等",IF($N241="核定升級",IF(OR($O241="",$P241=""),"核定資料未完整","已核定升級"),"待主管核定")))</x:f>
        <x:v>尚未具備條件</x:v>
      </x:c>
    </x:row>
    <x:row r="242">
      <x:c r="A242" s="79" t="str">
        <x:v>UPG|2007|COMMON-XRAY-RECORD</x:v>
      </x:c>
      <x:c r="B242" s="79" t="str">
        <x:v>2007</x:v>
      </x:c>
      <x:c r="C242" s="79" t="str"/>
      <x:c r="D242" s="79" t="str">
        <x:v>COMMON-XRAY-RECORD</x:v>
      </x:c>
      <x:c r="E242" s="79" t="str">
        <x:v>未評估</x:v>
      </x:c>
      <x:c r="F242" s="115" t="str">
        <x:f>IF($E242="未評估","未建立",_xlfn.XLOOKUP("ABIL|2007|COMMON-XRAY-RECORD",'主管核定中心'!$A$12:$A$372,'主管核定中心'!$K$12:$K$372,"待主管核定",0))</x:f>
        <x:v>未建立</x:v>
      </x:c>
      <x:c r="G242" s="115" t="n">
        <x:f>COUNTIFS('工作觀察輸入'!$C$7:$C$206,$B242,'工作觀察輸入'!$G$7:$G$206,$D242,'工作觀察輸入'!$M$7:$M$206,"是")</x:f>
        <x:v>0</x:v>
      </x:c>
      <x:c r="H242" s="117" t="str">
        <x:f>IF($G242=0,"",_xlfn.MINIFS('工作觀察輸入'!$B$7:$B$206,'工作觀察輸入'!$C$7:$C$206,$B242,'工作觀察輸入'!$G$7:$G$206,$D242,'工作觀察輸入'!$M$7:$M$206,"是"))</x:f>
      </x:c>
      <x:c r="I242" s="117" t="str">
        <x:f>IF($G242=0,"",_xlfn.MAXIFS('工作觀察輸入'!$B$7:$B$206,'工作觀察輸入'!$C$7:$C$206,$B242,'工作觀察輸入'!$G$7:$G$206,$D242,'工作觀察輸入'!$M$7:$M$206,"是"))</x:f>
      </x:c>
      <x:c r="J242" s="115" t="n">
        <x:f>IF($G242=0,0,IF($H242=$I242,1,2))</x:f>
        <x:v>0</x:v>
      </x:c>
      <x:c r="K242" s="115" t="n">
        <x:f>COUNTIFS('工作觀察輸入'!$C$7:$C$206,$B242,'工作觀察輸入'!$G$7:$G$206,$D242,'工作觀察輸入'!$J$7:$J$206,"是")</x:f>
        <x:v>0</x:v>
      </x:c>
      <x:c r="L242" s="115" t="n">
        <x:f>COUNTIFS('面談與異議'!$C$7:$C$106,$B242,'面談與異議'!$F$7:$F$106,$D242,'面談與異議'!$E$7:$E$106,"兩個月面談")</x:f>
        <x:v>0</x:v>
      </x:c>
      <x:c r="M242" s="115" t="str">
        <x:f>IF($E242&lt;&gt;"Ø","不適用",IF(COUNTIFS('事件與限制'!$C$7:$C$106,$B242,'事件與限制'!$E$7:$E$106,$D242,'事件與限制'!$Q$7:$Q$106,"生效中")&gt;0,"資格限制中",IF($F242&lt;&gt;"已核定","先完成基準核定",IF($K242&gt;0,"有關鍵遺漏，先檢討",IF($G242&lt;3,"尚缺成功觀察",IF($J242&lt;2,"觀察日期不足",IF($L242&lt;1,"待兩個月面談","可送主管核定")))))))</x:f>
        <x:v>不適用</x:v>
      </x:c>
      <x:c r="N242" s="116" t="str">
        <x:v>待核定</x:v>
      </x:c>
      <x:c r="O242" s="118"/>
      <x:c r="P242" s="116"/>
      <x:c r="Q242" s="116"/>
      <x:c r="R242" s="115" t="str">
        <x:f>IF($M242&lt;&gt;"可送主管核定","尚未具備條件",IF($N242="不升級","維持原評等",IF($N242="核定升級",IF(OR($O242="",$P242=""),"核定資料未完整","已核定升級"),"待主管核定")))</x:f>
        <x:v>尚未具備條件</x:v>
      </x:c>
    </x:row>
    <x:row r="243">
      <x:c r="A243" s="79" t="str">
        <x:v>UPG|2007|COMMON-PA</x:v>
      </x:c>
      <x:c r="B243" s="79" t="str">
        <x:v>2007</x:v>
      </x:c>
      <x:c r="C243" s="79" t="str"/>
      <x:c r="D243" s="79" t="str">
        <x:v>COMMON-PA</x:v>
      </x:c>
      <x:c r="E243" s="79" t="str">
        <x:v>未評估</x:v>
      </x:c>
      <x:c r="F243" s="115" t="str">
        <x:f>IF($E243="未評估","未建立",_xlfn.XLOOKUP("ABIL|2007|COMMON-PA",'主管核定中心'!$A$12:$A$372,'主管核定中心'!$K$12:$K$372,"待主管核定",0))</x:f>
        <x:v>未建立</x:v>
      </x:c>
      <x:c r="G243" s="115" t="n">
        <x:f>COUNTIFS('工作觀察輸入'!$C$7:$C$206,$B243,'工作觀察輸入'!$G$7:$G$206,$D243,'工作觀察輸入'!$M$7:$M$206,"是")</x:f>
        <x:v>0</x:v>
      </x:c>
      <x:c r="H243" s="117" t="str">
        <x:f>IF($G243=0,"",_xlfn.MINIFS('工作觀察輸入'!$B$7:$B$206,'工作觀察輸入'!$C$7:$C$206,$B243,'工作觀察輸入'!$G$7:$G$206,$D243,'工作觀察輸入'!$M$7:$M$206,"是"))</x:f>
      </x:c>
      <x:c r="I243" s="117" t="str">
        <x:f>IF($G243=0,"",_xlfn.MAXIFS('工作觀察輸入'!$B$7:$B$206,'工作觀察輸入'!$C$7:$C$206,$B243,'工作觀察輸入'!$G$7:$G$206,$D243,'工作觀察輸入'!$M$7:$M$206,"是"))</x:f>
      </x:c>
      <x:c r="J243" s="115" t="n">
        <x:f>IF($G243=0,0,IF($H243=$I243,1,2))</x:f>
        <x:v>0</x:v>
      </x:c>
      <x:c r="K243" s="115" t="n">
        <x:f>COUNTIFS('工作觀察輸入'!$C$7:$C$206,$B243,'工作觀察輸入'!$G$7:$G$206,$D243,'工作觀察輸入'!$J$7:$J$206,"是")</x:f>
        <x:v>0</x:v>
      </x:c>
      <x:c r="L243" s="115" t="n">
        <x:f>COUNTIFS('面談與異議'!$C$7:$C$106,$B243,'面談與異議'!$F$7:$F$106,$D243,'面談與異議'!$E$7:$E$106,"兩個月面談")</x:f>
        <x:v>0</x:v>
      </x:c>
      <x:c r="M243" s="115" t="str">
        <x:f>IF($E243&lt;&gt;"Ø","不適用",IF(COUNTIFS('事件與限制'!$C$7:$C$106,$B243,'事件與限制'!$E$7:$E$106,$D243,'事件與限制'!$Q$7:$Q$106,"生效中")&gt;0,"資格限制中",IF($F243&lt;&gt;"已核定","先完成基準核定",IF($K243&gt;0,"有關鍵遺漏，先檢討",IF($G243&lt;3,"尚缺成功觀察",IF($J243&lt;2,"觀察日期不足",IF($L243&lt;1,"待兩個月面談","可送主管核定")))))))</x:f>
        <x:v>不適用</x:v>
      </x:c>
      <x:c r="N243" s="116" t="str">
        <x:v>待核定</x:v>
      </x:c>
      <x:c r="O243" s="118"/>
      <x:c r="P243" s="116"/>
      <x:c r="Q243" s="116"/>
      <x:c r="R243" s="115" t="str">
        <x:f>IF($M243&lt;&gt;"可送主管核定","尚未具備條件",IF($N243="不升級","維持原評等",IF($N243="核定升級",IF(OR($O243="",$P243=""),"核定資料未完整","已核定升級"),"待主管核定")))</x:f>
        <x:v>尚未具備條件</x:v>
      </x:c>
    </x:row>
    <x:row r="244">
      <x:c r="A244" s="79" t="str">
        <x:v>UPG|2007|COMMON-IOS</x:v>
      </x:c>
      <x:c r="B244" s="79" t="str">
        <x:v>2007</x:v>
      </x:c>
      <x:c r="C244" s="79" t="str"/>
      <x:c r="D244" s="79" t="str">
        <x:v>COMMON-IOS</x:v>
      </x:c>
      <x:c r="E244" s="79" t="str">
        <x:v>未評估</x:v>
      </x:c>
      <x:c r="F244" s="115" t="str">
        <x:f>IF($E244="未評估","未建立",_xlfn.XLOOKUP("ABIL|2007|COMMON-IOS",'主管核定中心'!$A$12:$A$372,'主管核定中心'!$K$12:$K$372,"待主管核定",0))</x:f>
        <x:v>未建立</x:v>
      </x:c>
      <x:c r="G244" s="115" t="n">
        <x:f>COUNTIFS('工作觀察輸入'!$C$7:$C$206,$B244,'工作觀察輸入'!$G$7:$G$206,$D244,'工作觀察輸入'!$M$7:$M$206,"是")</x:f>
        <x:v>0</x:v>
      </x:c>
      <x:c r="H244" s="117" t="str">
        <x:f>IF($G244=0,"",_xlfn.MINIFS('工作觀察輸入'!$B$7:$B$206,'工作觀察輸入'!$C$7:$C$206,$B244,'工作觀察輸入'!$G$7:$G$206,$D244,'工作觀察輸入'!$M$7:$M$206,"是"))</x:f>
      </x:c>
      <x:c r="I244" s="117" t="str">
        <x:f>IF($G244=0,"",_xlfn.MAXIFS('工作觀察輸入'!$B$7:$B$206,'工作觀察輸入'!$C$7:$C$206,$B244,'工作觀察輸入'!$G$7:$G$206,$D244,'工作觀察輸入'!$M$7:$M$206,"是"))</x:f>
      </x:c>
      <x:c r="J244" s="115" t="n">
        <x:f>IF($G244=0,0,IF($H244=$I244,1,2))</x:f>
        <x:v>0</x:v>
      </x:c>
      <x:c r="K244" s="115" t="n">
        <x:f>COUNTIFS('工作觀察輸入'!$C$7:$C$206,$B244,'工作觀察輸入'!$G$7:$G$206,$D244,'工作觀察輸入'!$J$7:$J$206,"是")</x:f>
        <x:v>0</x:v>
      </x:c>
      <x:c r="L244" s="115" t="n">
        <x:f>COUNTIFS('面談與異議'!$C$7:$C$106,$B244,'面談與異議'!$F$7:$F$106,$D244,'面談與異議'!$E$7:$E$106,"兩個月面談")</x:f>
        <x:v>0</x:v>
      </x:c>
      <x:c r="M244" s="115" t="str">
        <x:f>IF($E244&lt;&gt;"Ø","不適用",IF(COUNTIFS('事件與限制'!$C$7:$C$106,$B244,'事件與限制'!$E$7:$E$106,$D244,'事件與限制'!$Q$7:$Q$106,"生效中")&gt;0,"資格限制中",IF($F244&lt;&gt;"已核定","先完成基準核定",IF($K244&gt;0,"有關鍵遺漏，先檢討",IF($G244&lt;3,"尚缺成功觀察",IF($J244&lt;2,"觀察日期不足",IF($L244&lt;1,"待兩個月面談","可送主管核定")))))))</x:f>
        <x:v>不適用</x:v>
      </x:c>
      <x:c r="N244" s="116" t="str">
        <x:v>待核定</x:v>
      </x:c>
      <x:c r="O244" s="118"/>
      <x:c r="P244" s="116"/>
      <x:c r="Q244" s="116"/>
      <x:c r="R244" s="115" t="str">
        <x:f>IF($M244&lt;&gt;"可送主管核定","尚未具備條件",IF($N244="不升級","維持原評等",IF($N244="核定升級",IF(OR($O244="",$P244=""),"核定資料未完整","已核定升級"),"待主管核定")))</x:f>
        <x:v>尚未具備條件</x:v>
      </x:c>
    </x:row>
    <x:row r="245">
      <x:c r="A245" s="79" t="str">
        <x:v>UPG|1001|LJT-RPD-FINAL</x:v>
      </x:c>
      <x:c r="B245" s="79" t="str">
        <x:v>1001</x:v>
      </x:c>
      <x:c r="C245" s="79" t="str"/>
      <x:c r="D245" s="79" t="str">
        <x:v>LJT-RPD-FINAL</x:v>
      </x:c>
      <x:c r="E245" s="79" t="str">
        <x:v>未評估</x:v>
      </x:c>
      <x:c r="F245" s="115" t="str">
        <x:f>IF($E245="未評估","未建立",_xlfn.XLOOKUP("ABIL|1001|LJT-RPD-FINAL",'主管核定中心'!$A$12:$A$372,'主管核定中心'!$K$12:$K$372,"待主管核定",0))</x:f>
        <x:v>未建立</x:v>
      </x:c>
      <x:c r="G245" s="115" t="n">
        <x:f>COUNTIFS('工作觀察輸入'!$C$7:$C$206,$B245,'工作觀察輸入'!$G$7:$G$206,$D245,'工作觀察輸入'!$M$7:$M$206,"是")</x:f>
        <x:v>0</x:v>
      </x:c>
      <x:c r="H245" s="117" t="str">
        <x:f>IF($G245=0,"",_xlfn.MINIFS('工作觀察輸入'!$B$7:$B$206,'工作觀察輸入'!$C$7:$C$206,$B245,'工作觀察輸入'!$G$7:$G$206,$D245,'工作觀察輸入'!$M$7:$M$206,"是"))</x:f>
      </x:c>
      <x:c r="I245" s="117" t="str">
        <x:f>IF($G245=0,"",_xlfn.MAXIFS('工作觀察輸入'!$B$7:$B$206,'工作觀察輸入'!$C$7:$C$206,$B245,'工作觀察輸入'!$G$7:$G$206,$D245,'工作觀察輸入'!$M$7:$M$206,"是"))</x:f>
      </x:c>
      <x:c r="J245" s="115" t="n">
        <x:f>IF($G245=0,0,IF($H245=$I245,1,2))</x:f>
        <x:v>0</x:v>
      </x:c>
      <x:c r="K245" s="115" t="n">
        <x:f>COUNTIFS('工作觀察輸入'!$C$7:$C$206,$B245,'工作觀察輸入'!$G$7:$G$206,$D245,'工作觀察輸入'!$J$7:$J$206,"是")</x:f>
        <x:v>0</x:v>
      </x:c>
      <x:c r="L245" s="115" t="n">
        <x:f>COUNTIFS('面談與異議'!$C$7:$C$106,$B245,'面談與異議'!$F$7:$F$106,$D245,'面談與異議'!$E$7:$E$106,"兩個月面談")</x:f>
        <x:v>0</x:v>
      </x:c>
      <x:c r="M245" s="115" t="str">
        <x:f>IF($E245&lt;&gt;"Ø","不適用",IF(COUNTIFS('事件與限制'!$C$7:$C$106,$B245,'事件與限制'!$E$7:$E$106,$D245,'事件與限制'!$Q$7:$Q$106,"生效中")&gt;0,"資格限制中",IF($F245&lt;&gt;"已核定","先完成基準核定",IF($K245&gt;0,"有關鍵遺漏，先檢討",IF($G245&lt;3,"尚缺成功觀察",IF($J245&lt;2,"觀察日期不足",IF($L245&lt;1,"待兩個月面談","可送主管核定")))))))</x:f>
        <x:v>不適用</x:v>
      </x:c>
      <x:c r="N245" s="116" t="str">
        <x:v>待核定</x:v>
      </x:c>
      <x:c r="O245" s="118"/>
      <x:c r="P245" s="116"/>
      <x:c r="Q245" s="116"/>
      <x:c r="R245" s="115" t="str">
        <x:f>IF($M245&lt;&gt;"可送主管核定","尚未具備條件",IF($N245="不升級","維持原評等",IF($N245="核定升級",IF(OR($O245="",$P245=""),"核定資料未完整","已核定升級"),"待主管核定")))</x:f>
        <x:v>尚未具備條件</x:v>
      </x:c>
    </x:row>
    <x:row r="246">
      <x:c r="A246" s="79" t="str">
        <x:v>UPG|1004|LJT-RPD-FINAL</x:v>
      </x:c>
      <x:c r="B246" s="79" t="str">
        <x:v>1004</x:v>
      </x:c>
      <x:c r="C246" s="79" t="str"/>
      <x:c r="D246" s="79" t="str">
        <x:v>LJT-RPD-FINAL</x:v>
      </x:c>
      <x:c r="E246" s="79" t="str">
        <x:v>未評估</x:v>
      </x:c>
      <x:c r="F246" s="115" t="str">
        <x:f>IF($E246="未評估","未建立",_xlfn.XLOOKUP("ABIL|1004|LJT-RPD-FINAL",'主管核定中心'!$A$12:$A$372,'主管核定中心'!$K$12:$K$372,"待主管核定",0))</x:f>
        <x:v>未建立</x:v>
      </x:c>
      <x:c r="G246" s="115" t="n">
        <x:f>COUNTIFS('工作觀察輸入'!$C$7:$C$206,$B246,'工作觀察輸入'!$G$7:$G$206,$D246,'工作觀察輸入'!$M$7:$M$206,"是")</x:f>
        <x:v>0</x:v>
      </x:c>
      <x:c r="H246" s="117" t="str">
        <x:f>IF($G246=0,"",_xlfn.MINIFS('工作觀察輸入'!$B$7:$B$206,'工作觀察輸入'!$C$7:$C$206,$B246,'工作觀察輸入'!$G$7:$G$206,$D246,'工作觀察輸入'!$M$7:$M$206,"是"))</x:f>
      </x:c>
      <x:c r="I246" s="117" t="str">
        <x:f>IF($G246=0,"",_xlfn.MAXIFS('工作觀察輸入'!$B$7:$B$206,'工作觀察輸入'!$C$7:$C$206,$B246,'工作觀察輸入'!$G$7:$G$206,$D246,'工作觀察輸入'!$M$7:$M$206,"是"))</x:f>
      </x:c>
      <x:c r="J246" s="115" t="n">
        <x:f>IF($G246=0,0,IF($H246=$I246,1,2))</x:f>
        <x:v>0</x:v>
      </x:c>
      <x:c r="K246" s="115" t="n">
        <x:f>COUNTIFS('工作觀察輸入'!$C$7:$C$206,$B246,'工作觀察輸入'!$G$7:$G$206,$D246,'工作觀察輸入'!$J$7:$J$206,"是")</x:f>
        <x:v>0</x:v>
      </x:c>
      <x:c r="L246" s="115" t="n">
        <x:f>COUNTIFS('面談與異議'!$C$7:$C$106,$B246,'面談與異議'!$F$7:$F$106,$D246,'面談與異議'!$E$7:$E$106,"兩個月面談")</x:f>
        <x:v>0</x:v>
      </x:c>
      <x:c r="M246" s="115" t="str">
        <x:f>IF($E246&lt;&gt;"Ø","不適用",IF(COUNTIFS('事件與限制'!$C$7:$C$106,$B246,'事件與限制'!$E$7:$E$106,$D246,'事件與限制'!$Q$7:$Q$106,"生效中")&gt;0,"資格限制中",IF($F246&lt;&gt;"已核定","先完成基準核定",IF($K246&gt;0,"有關鍵遺漏，先檢討",IF($G246&lt;3,"尚缺成功觀察",IF($J246&lt;2,"觀察日期不足",IF($L246&lt;1,"待兩個月面談","可送主管核定")))))))</x:f>
        <x:v>不適用</x:v>
      </x:c>
      <x:c r="N246" s="116" t="str">
        <x:v>待核定</x:v>
      </x:c>
      <x:c r="O246" s="118"/>
      <x:c r="P246" s="116"/>
      <x:c r="Q246" s="116"/>
      <x:c r="R246" s="115" t="str">
        <x:f>IF($M246&lt;&gt;"可送主管核定","尚未具備條件",IF($N246="不升級","維持原評等",IF($N246="核定升級",IF(OR($O246="",$P246=""),"核定資料未完整","已核定升級"),"待主管核定")))</x:f>
        <x:v>尚未具備條件</x:v>
      </x:c>
    </x:row>
    <x:row r="247">
      <x:c r="A247" s="79" t="str">
        <x:v>UPG|1013|LJT-RPD-FINAL</x:v>
      </x:c>
      <x:c r="B247" s="79" t="str">
        <x:v>1013</x:v>
      </x:c>
      <x:c r="C247" s="79" t="str"/>
      <x:c r="D247" s="79" t="str">
        <x:v>LJT-RPD-FINAL</x:v>
      </x:c>
      <x:c r="E247" s="79" t="str">
        <x:v>未評估</x:v>
      </x:c>
      <x:c r="F247" s="115" t="str">
        <x:f>IF($E247="未評估","未建立",_xlfn.XLOOKUP("ABIL|1013|LJT-RPD-FINAL",'主管核定中心'!$A$12:$A$372,'主管核定中心'!$K$12:$K$372,"待主管核定",0))</x:f>
        <x:v>未建立</x:v>
      </x:c>
      <x:c r="G247" s="115" t="n">
        <x:f>COUNTIFS('工作觀察輸入'!$C$7:$C$206,$B247,'工作觀察輸入'!$G$7:$G$206,$D247,'工作觀察輸入'!$M$7:$M$206,"是")</x:f>
        <x:v>0</x:v>
      </x:c>
      <x:c r="H247" s="117" t="str">
        <x:f>IF($G247=0,"",_xlfn.MINIFS('工作觀察輸入'!$B$7:$B$206,'工作觀察輸入'!$C$7:$C$206,$B247,'工作觀察輸入'!$G$7:$G$206,$D247,'工作觀察輸入'!$M$7:$M$206,"是"))</x:f>
      </x:c>
      <x:c r="I247" s="117" t="str">
        <x:f>IF($G247=0,"",_xlfn.MAXIFS('工作觀察輸入'!$B$7:$B$206,'工作觀察輸入'!$C$7:$C$206,$B247,'工作觀察輸入'!$G$7:$G$206,$D247,'工作觀察輸入'!$M$7:$M$206,"是"))</x:f>
      </x:c>
      <x:c r="J247" s="115" t="n">
        <x:f>IF($G247=0,0,IF($H247=$I247,1,2))</x:f>
        <x:v>0</x:v>
      </x:c>
      <x:c r="K247" s="115" t="n">
        <x:f>COUNTIFS('工作觀察輸入'!$C$7:$C$206,$B247,'工作觀察輸入'!$G$7:$G$206,$D247,'工作觀察輸入'!$J$7:$J$206,"是")</x:f>
        <x:v>0</x:v>
      </x:c>
      <x:c r="L247" s="115" t="n">
        <x:f>COUNTIFS('面談與異議'!$C$7:$C$106,$B247,'面談與異議'!$F$7:$F$106,$D247,'面談與異議'!$E$7:$E$106,"兩個月面談")</x:f>
        <x:v>0</x:v>
      </x:c>
      <x:c r="M247" s="115" t="str">
        <x:f>IF($E247&lt;&gt;"Ø","不適用",IF(COUNTIFS('事件與限制'!$C$7:$C$106,$B247,'事件與限制'!$E$7:$E$106,$D247,'事件與限制'!$Q$7:$Q$106,"生效中")&gt;0,"資格限制中",IF($F247&lt;&gt;"已核定","先完成基準核定",IF($K247&gt;0,"有關鍵遺漏，先檢討",IF($G247&lt;3,"尚缺成功觀察",IF($J247&lt;2,"觀察日期不足",IF($L247&lt;1,"待兩個月面談","可送主管核定")))))))</x:f>
        <x:v>不適用</x:v>
      </x:c>
      <x:c r="N247" s="116" t="str">
        <x:v>待核定</x:v>
      </x:c>
      <x:c r="O247" s="118"/>
      <x:c r="P247" s="116"/>
      <x:c r="Q247" s="116"/>
      <x:c r="R247" s="115" t="str">
        <x:f>IF($M247&lt;&gt;"可送主管核定","尚未具備條件",IF($N247="不升級","維持原評等",IF($N247="核定升級",IF(OR($O247="",$P247=""),"核定資料未完整","已核定升級"),"待主管核定")))</x:f>
        <x:v>尚未具備條件</x:v>
      </x:c>
    </x:row>
    <x:row r="248">
      <x:c r="A248" s="79" t="str">
        <x:v>UPG|1019|LJT-RPD-FINAL</x:v>
      </x:c>
      <x:c r="B248" s="79" t="str">
        <x:v>1019</x:v>
      </x:c>
      <x:c r="C248" s="79" t="str"/>
      <x:c r="D248" s="79" t="str">
        <x:v>LJT-RPD-FINAL</x:v>
      </x:c>
      <x:c r="E248" s="79" t="str">
        <x:v>未評估</x:v>
      </x:c>
      <x:c r="F248" s="115" t="str">
        <x:f>IF($E248="未評估","未建立",_xlfn.XLOOKUP("ABIL|1019|LJT-RPD-FINAL",'主管核定中心'!$A$12:$A$372,'主管核定中心'!$K$12:$K$372,"待主管核定",0))</x:f>
        <x:v>未建立</x:v>
      </x:c>
      <x:c r="G248" s="115" t="n">
        <x:f>COUNTIFS('工作觀察輸入'!$C$7:$C$206,$B248,'工作觀察輸入'!$G$7:$G$206,$D248,'工作觀察輸入'!$M$7:$M$206,"是")</x:f>
        <x:v>0</x:v>
      </x:c>
      <x:c r="H248" s="117" t="str">
        <x:f>IF($G248=0,"",_xlfn.MINIFS('工作觀察輸入'!$B$7:$B$206,'工作觀察輸入'!$C$7:$C$206,$B248,'工作觀察輸入'!$G$7:$G$206,$D248,'工作觀察輸入'!$M$7:$M$206,"是"))</x:f>
      </x:c>
      <x:c r="I248" s="117" t="str">
        <x:f>IF($G248=0,"",_xlfn.MAXIFS('工作觀察輸入'!$B$7:$B$206,'工作觀察輸入'!$C$7:$C$206,$B248,'工作觀察輸入'!$G$7:$G$206,$D248,'工作觀察輸入'!$M$7:$M$206,"是"))</x:f>
      </x:c>
      <x:c r="J248" s="115" t="n">
        <x:f>IF($G248=0,0,IF($H248=$I248,1,2))</x:f>
        <x:v>0</x:v>
      </x:c>
      <x:c r="K248" s="115" t="n">
        <x:f>COUNTIFS('工作觀察輸入'!$C$7:$C$206,$B248,'工作觀察輸入'!$G$7:$G$206,$D248,'工作觀察輸入'!$J$7:$J$206,"是")</x:f>
        <x:v>0</x:v>
      </x:c>
      <x:c r="L248" s="115" t="n">
        <x:f>COUNTIFS('面談與異議'!$C$7:$C$106,$B248,'面談與異議'!$F$7:$F$106,$D248,'面談與異議'!$E$7:$E$106,"兩個月面談")</x:f>
        <x:v>0</x:v>
      </x:c>
      <x:c r="M248" s="115" t="str">
        <x:f>IF($E248&lt;&gt;"Ø","不適用",IF(COUNTIFS('事件與限制'!$C$7:$C$106,$B248,'事件與限制'!$E$7:$E$106,$D248,'事件與限制'!$Q$7:$Q$106,"生效中")&gt;0,"資格限制中",IF($F248&lt;&gt;"已核定","先完成基準核定",IF($K248&gt;0,"有關鍵遺漏，先檢討",IF($G248&lt;3,"尚缺成功觀察",IF($J248&lt;2,"觀察日期不足",IF($L248&lt;1,"待兩個月面談","可送主管核定")))))))</x:f>
        <x:v>不適用</x:v>
      </x:c>
      <x:c r="N248" s="116" t="str">
        <x:v>待核定</x:v>
      </x:c>
      <x:c r="O248" s="118"/>
      <x:c r="P248" s="116"/>
      <x:c r="Q248" s="116"/>
      <x:c r="R248" s="115" t="str">
        <x:f>IF($M248&lt;&gt;"可送主管核定","尚未具備條件",IF($N248="不升級","維持原評等",IF($N248="核定升級",IF(OR($O248="",$P248=""),"核定資料未完整","已核定升級"),"待主管核定")))</x:f>
        <x:v>尚未具備條件</x:v>
      </x:c>
    </x:row>
    <x:row r="249">
      <x:c r="A249" s="79" t="str">
        <x:v>UPG|1020|LJT-RPD-FINAL</x:v>
      </x:c>
      <x:c r="B249" s="79" t="str">
        <x:v>1020</x:v>
      </x:c>
      <x:c r="C249" s="79" t="str"/>
      <x:c r="D249" s="79" t="str">
        <x:v>LJT-RPD-FINAL</x:v>
      </x:c>
      <x:c r="E249" s="79" t="str">
        <x:v>未評估</x:v>
      </x:c>
      <x:c r="F249" s="115" t="str">
        <x:f>IF($E249="未評估","未建立",_xlfn.XLOOKUP("ABIL|1020|LJT-RPD-FINAL",'主管核定中心'!$A$12:$A$372,'主管核定中心'!$K$12:$K$372,"待主管核定",0))</x:f>
        <x:v>未建立</x:v>
      </x:c>
      <x:c r="G249" s="115" t="n">
        <x:f>COUNTIFS('工作觀察輸入'!$C$7:$C$206,$B249,'工作觀察輸入'!$G$7:$G$206,$D249,'工作觀察輸入'!$M$7:$M$206,"是")</x:f>
        <x:v>0</x:v>
      </x:c>
      <x:c r="H249" s="117" t="str">
        <x:f>IF($G249=0,"",_xlfn.MINIFS('工作觀察輸入'!$B$7:$B$206,'工作觀察輸入'!$C$7:$C$206,$B249,'工作觀察輸入'!$G$7:$G$206,$D249,'工作觀察輸入'!$M$7:$M$206,"是"))</x:f>
      </x:c>
      <x:c r="I249" s="117" t="str">
        <x:f>IF($G249=0,"",_xlfn.MAXIFS('工作觀察輸入'!$B$7:$B$206,'工作觀察輸入'!$C$7:$C$206,$B249,'工作觀察輸入'!$G$7:$G$206,$D249,'工作觀察輸入'!$M$7:$M$206,"是"))</x:f>
      </x:c>
      <x:c r="J249" s="115" t="n">
        <x:f>IF($G249=0,0,IF($H249=$I249,1,2))</x:f>
        <x:v>0</x:v>
      </x:c>
      <x:c r="K249" s="115" t="n">
        <x:f>COUNTIFS('工作觀察輸入'!$C$7:$C$206,$B249,'工作觀察輸入'!$G$7:$G$206,$D249,'工作觀察輸入'!$J$7:$J$206,"是")</x:f>
        <x:v>0</x:v>
      </x:c>
      <x:c r="L249" s="115" t="n">
        <x:f>COUNTIFS('面談與異議'!$C$7:$C$106,$B249,'面談與異議'!$F$7:$F$106,$D249,'面談與異議'!$E$7:$E$106,"兩個月面談")</x:f>
        <x:v>0</x:v>
      </x:c>
      <x:c r="M249" s="115" t="str">
        <x:f>IF($E249&lt;&gt;"Ø","不適用",IF(COUNTIFS('事件與限制'!$C$7:$C$106,$B249,'事件與限制'!$E$7:$E$106,$D249,'事件與限制'!$Q$7:$Q$106,"生效中")&gt;0,"資格限制中",IF($F249&lt;&gt;"已核定","先完成基準核定",IF($K249&gt;0,"有關鍵遺漏，先檢討",IF($G249&lt;3,"尚缺成功觀察",IF($J249&lt;2,"觀察日期不足",IF($L249&lt;1,"待兩個月面談","可送主管核定")))))))</x:f>
        <x:v>不適用</x:v>
      </x:c>
      <x:c r="N249" s="116" t="str">
        <x:v>待核定</x:v>
      </x:c>
      <x:c r="O249" s="118"/>
      <x:c r="P249" s="116"/>
      <x:c r="Q249" s="116"/>
      <x:c r="R249" s="115" t="str">
        <x:f>IF($M249&lt;&gt;"可送主管核定","尚未具備條件",IF($N249="不升級","維持原評等",IF($N249="核定升級",IF(OR($O249="",$P249=""),"核定資料未完整","已核定升級"),"待主管核定")))</x:f>
        <x:v>尚未具備條件</x:v>
      </x:c>
    </x:row>
    <x:row r="250">
      <x:c r="A250" s="79" t="str">
        <x:v>UPG|1025|LJT-RPD-FINAL</x:v>
      </x:c>
      <x:c r="B250" s="79" t="str">
        <x:v>1025</x:v>
      </x:c>
      <x:c r="C250" s="79" t="str"/>
      <x:c r="D250" s="79" t="str">
        <x:v>LJT-RPD-FINAL</x:v>
      </x:c>
      <x:c r="E250" s="79" t="str">
        <x:v>未評估</x:v>
      </x:c>
      <x:c r="F250" s="115" t="str">
        <x:f>IF($E250="未評估","未建立",_xlfn.XLOOKUP("ABIL|1025|LJT-RPD-FINAL",'主管核定中心'!$A$12:$A$372,'主管核定中心'!$K$12:$K$372,"待主管核定",0))</x:f>
        <x:v>未建立</x:v>
      </x:c>
      <x:c r="G250" s="115" t="n">
        <x:f>COUNTIFS('工作觀察輸入'!$C$7:$C$206,$B250,'工作觀察輸入'!$G$7:$G$206,$D250,'工作觀察輸入'!$M$7:$M$206,"是")</x:f>
        <x:v>0</x:v>
      </x:c>
      <x:c r="H250" s="117" t="str">
        <x:f>IF($G250=0,"",_xlfn.MINIFS('工作觀察輸入'!$B$7:$B$206,'工作觀察輸入'!$C$7:$C$206,$B250,'工作觀察輸入'!$G$7:$G$206,$D250,'工作觀察輸入'!$M$7:$M$206,"是"))</x:f>
      </x:c>
      <x:c r="I250" s="117" t="str">
        <x:f>IF($G250=0,"",_xlfn.MAXIFS('工作觀察輸入'!$B$7:$B$206,'工作觀察輸入'!$C$7:$C$206,$B250,'工作觀察輸入'!$G$7:$G$206,$D250,'工作觀察輸入'!$M$7:$M$206,"是"))</x:f>
      </x:c>
      <x:c r="J250" s="115" t="n">
        <x:f>IF($G250=0,0,IF($H250=$I250,1,2))</x:f>
        <x:v>0</x:v>
      </x:c>
      <x:c r="K250" s="115" t="n">
        <x:f>COUNTIFS('工作觀察輸入'!$C$7:$C$206,$B250,'工作觀察輸入'!$G$7:$G$206,$D250,'工作觀察輸入'!$J$7:$J$206,"是")</x:f>
        <x:v>0</x:v>
      </x:c>
      <x:c r="L250" s="115" t="n">
        <x:f>COUNTIFS('面談與異議'!$C$7:$C$106,$B250,'面談與異議'!$F$7:$F$106,$D250,'面談與異議'!$E$7:$E$106,"兩個月面談")</x:f>
        <x:v>0</x:v>
      </x:c>
      <x:c r="M250" s="115" t="str">
        <x:f>IF($E250&lt;&gt;"Ø","不適用",IF(COUNTIFS('事件與限制'!$C$7:$C$106,$B250,'事件與限制'!$E$7:$E$106,$D250,'事件與限制'!$Q$7:$Q$106,"生效中")&gt;0,"資格限制中",IF($F250&lt;&gt;"已核定","先完成基準核定",IF($K250&gt;0,"有關鍵遺漏，先檢討",IF($G250&lt;3,"尚缺成功觀察",IF($J250&lt;2,"觀察日期不足",IF($L250&lt;1,"待兩個月面談","可送主管核定")))))))</x:f>
        <x:v>不適用</x:v>
      </x:c>
      <x:c r="N250" s="116" t="str">
        <x:v>待核定</x:v>
      </x:c>
      <x:c r="O250" s="118"/>
      <x:c r="P250" s="116"/>
      <x:c r="Q250" s="116"/>
      <x:c r="R250" s="115" t="str">
        <x:f>IF($M250&lt;&gt;"可送主管核定","尚未具備條件",IF($N250="不升級","維持原評等",IF($N250="核定升級",IF(OR($O250="",$P250=""),"核定資料未完整","已核定升級"),"待主管核定")))</x:f>
        <x:v>尚未具備條件</x:v>
      </x:c>
    </x:row>
    <x:row r="251">
      <x:c r="A251" s="79" t="str">
        <x:v>UPG|1026|LJT-RPD-FINAL</x:v>
      </x:c>
      <x:c r="B251" s="79" t="str">
        <x:v>1026</x:v>
      </x:c>
      <x:c r="C251" s="79" t="str"/>
      <x:c r="D251" s="79" t="str">
        <x:v>LJT-RPD-FINAL</x:v>
      </x:c>
      <x:c r="E251" s="79" t="str">
        <x:v>未評估</x:v>
      </x:c>
      <x:c r="F251" s="115" t="str">
        <x:f>IF($E251="未評估","未建立",_xlfn.XLOOKUP("ABIL|1026|LJT-RPD-FINAL",'主管核定中心'!$A$12:$A$372,'主管核定中心'!$K$12:$K$372,"待主管核定",0))</x:f>
        <x:v>未建立</x:v>
      </x:c>
      <x:c r="G251" s="115" t="n">
        <x:f>COUNTIFS('工作觀察輸入'!$C$7:$C$206,$B251,'工作觀察輸入'!$G$7:$G$206,$D251,'工作觀察輸入'!$M$7:$M$206,"是")</x:f>
        <x:v>0</x:v>
      </x:c>
      <x:c r="H251" s="117" t="str">
        <x:f>IF($G251=0,"",_xlfn.MINIFS('工作觀察輸入'!$B$7:$B$206,'工作觀察輸入'!$C$7:$C$206,$B251,'工作觀察輸入'!$G$7:$G$206,$D251,'工作觀察輸入'!$M$7:$M$206,"是"))</x:f>
      </x:c>
      <x:c r="I251" s="117" t="str">
        <x:f>IF($G251=0,"",_xlfn.MAXIFS('工作觀察輸入'!$B$7:$B$206,'工作觀察輸入'!$C$7:$C$206,$B251,'工作觀察輸入'!$G$7:$G$206,$D251,'工作觀察輸入'!$M$7:$M$206,"是"))</x:f>
      </x:c>
      <x:c r="J251" s="115" t="n">
        <x:f>IF($G251=0,0,IF($H251=$I251,1,2))</x:f>
        <x:v>0</x:v>
      </x:c>
      <x:c r="K251" s="115" t="n">
        <x:f>COUNTIFS('工作觀察輸入'!$C$7:$C$206,$B251,'工作觀察輸入'!$G$7:$G$206,$D251,'工作觀察輸入'!$J$7:$J$206,"是")</x:f>
        <x:v>0</x:v>
      </x:c>
      <x:c r="L251" s="115" t="n">
        <x:f>COUNTIFS('面談與異議'!$C$7:$C$106,$B251,'面談與異議'!$F$7:$F$106,$D251,'面談與異議'!$E$7:$E$106,"兩個月面談")</x:f>
        <x:v>0</x:v>
      </x:c>
      <x:c r="M251" s="115" t="str">
        <x:f>IF($E251&lt;&gt;"Ø","不適用",IF(COUNTIFS('事件與限制'!$C$7:$C$106,$B251,'事件與限制'!$E$7:$E$106,$D251,'事件與限制'!$Q$7:$Q$106,"生效中")&gt;0,"資格限制中",IF($F251&lt;&gt;"已核定","先完成基準核定",IF($K251&gt;0,"有關鍵遺漏，先檢討",IF($G251&lt;3,"尚缺成功觀察",IF($J251&lt;2,"觀察日期不足",IF($L251&lt;1,"待兩個月面談","可送主管核定")))))))</x:f>
        <x:v>不適用</x:v>
      </x:c>
      <x:c r="N251" s="116" t="str">
        <x:v>待核定</x:v>
      </x:c>
      <x:c r="O251" s="118"/>
      <x:c r="P251" s="116"/>
      <x:c r="Q251" s="116"/>
      <x:c r="R251" s="115" t="str">
        <x:f>IF($M251&lt;&gt;"可送主管核定","尚未具備條件",IF($N251="不升級","維持原評等",IF($N251="核定升級",IF(OR($O251="",$P251=""),"核定資料未完整","已核定升級"),"待主管核定")))</x:f>
        <x:v>尚未具備條件</x:v>
      </x:c>
    </x:row>
    <x:row r="252">
      <x:c r="A252" s="79" t="str">
        <x:v>UPG|1027|LJT-RPD-FINAL</x:v>
      </x:c>
      <x:c r="B252" s="79" t="str">
        <x:v>1027</x:v>
      </x:c>
      <x:c r="C252" s="79" t="str"/>
      <x:c r="D252" s="79" t="str">
        <x:v>LJT-RPD-FINAL</x:v>
      </x:c>
      <x:c r="E252" s="79" t="str">
        <x:v>未評估</x:v>
      </x:c>
      <x:c r="F252" s="115" t="str">
        <x:f>IF($E252="未評估","未建立",_xlfn.XLOOKUP("ABIL|1027|LJT-RPD-FINAL",'主管核定中心'!$A$12:$A$372,'主管核定中心'!$K$12:$K$372,"待主管核定",0))</x:f>
        <x:v>未建立</x:v>
      </x:c>
      <x:c r="G252" s="115" t="n">
        <x:f>COUNTIFS('工作觀察輸入'!$C$7:$C$206,$B252,'工作觀察輸入'!$G$7:$G$206,$D252,'工作觀察輸入'!$M$7:$M$206,"是")</x:f>
        <x:v>0</x:v>
      </x:c>
      <x:c r="H252" s="117" t="str">
        <x:f>IF($G252=0,"",_xlfn.MINIFS('工作觀察輸入'!$B$7:$B$206,'工作觀察輸入'!$C$7:$C$206,$B252,'工作觀察輸入'!$G$7:$G$206,$D252,'工作觀察輸入'!$M$7:$M$206,"是"))</x:f>
      </x:c>
      <x:c r="I252" s="117" t="str">
        <x:f>IF($G252=0,"",_xlfn.MAXIFS('工作觀察輸入'!$B$7:$B$206,'工作觀察輸入'!$C$7:$C$206,$B252,'工作觀察輸入'!$G$7:$G$206,$D252,'工作觀察輸入'!$M$7:$M$206,"是"))</x:f>
      </x:c>
      <x:c r="J252" s="115" t="n">
        <x:f>IF($G252=0,0,IF($H252=$I252,1,2))</x:f>
        <x:v>0</x:v>
      </x:c>
      <x:c r="K252" s="115" t="n">
        <x:f>COUNTIFS('工作觀察輸入'!$C$7:$C$206,$B252,'工作觀察輸入'!$G$7:$G$206,$D252,'工作觀察輸入'!$J$7:$J$206,"是")</x:f>
        <x:v>0</x:v>
      </x:c>
      <x:c r="L252" s="115" t="n">
        <x:f>COUNTIFS('面談與異議'!$C$7:$C$106,$B252,'面談與異議'!$F$7:$F$106,$D252,'面談與異議'!$E$7:$E$106,"兩個月面談")</x:f>
        <x:v>0</x:v>
      </x:c>
      <x:c r="M252" s="115" t="str">
        <x:f>IF($E252&lt;&gt;"Ø","不適用",IF(COUNTIFS('事件與限制'!$C$7:$C$106,$B252,'事件與限制'!$E$7:$E$106,$D252,'事件與限制'!$Q$7:$Q$106,"生效中")&gt;0,"資格限制中",IF($F252&lt;&gt;"已核定","先完成基準核定",IF($K252&gt;0,"有關鍵遺漏，先檢討",IF($G252&lt;3,"尚缺成功觀察",IF($J252&lt;2,"觀察日期不足",IF($L252&lt;1,"待兩個月面談","可送主管核定")))))))</x:f>
        <x:v>不適用</x:v>
      </x:c>
      <x:c r="N252" s="116" t="str">
        <x:v>待核定</x:v>
      </x:c>
      <x:c r="O252" s="118"/>
      <x:c r="P252" s="116"/>
      <x:c r="Q252" s="116"/>
      <x:c r="R252" s="115" t="str">
        <x:f>IF($M252&lt;&gt;"可送主管核定","尚未具備條件",IF($N252="不升級","維持原評等",IF($N252="核定升級",IF(OR($O252="",$P252=""),"核定資料未完整","已核定升級"),"待主管核定")))</x:f>
        <x:v>尚未具備條件</x:v>
      </x:c>
    </x:row>
    <x:row r="253">
      <x:c r="A253" s="79" t="str">
        <x:v>UPG|1028|LJT-RPD-FINAL</x:v>
      </x:c>
      <x:c r="B253" s="79" t="str">
        <x:v>1028</x:v>
      </x:c>
      <x:c r="C253" s="79" t="str"/>
      <x:c r="D253" s="79" t="str">
        <x:v>LJT-RPD-FINAL</x:v>
      </x:c>
      <x:c r="E253" s="79" t="str">
        <x:v>未評估</x:v>
      </x:c>
      <x:c r="F253" s="115" t="str">
        <x:f>IF($E253="未評估","未建立",_xlfn.XLOOKUP("ABIL|1028|LJT-RPD-FINAL",'主管核定中心'!$A$12:$A$372,'主管核定中心'!$K$12:$K$372,"待主管核定",0))</x:f>
        <x:v>未建立</x:v>
      </x:c>
      <x:c r="G253" s="115" t="n">
        <x:f>COUNTIFS('工作觀察輸入'!$C$7:$C$206,$B253,'工作觀察輸入'!$G$7:$G$206,$D253,'工作觀察輸入'!$M$7:$M$206,"是")</x:f>
        <x:v>0</x:v>
      </x:c>
      <x:c r="H253" s="117" t="str">
        <x:f>IF($G253=0,"",_xlfn.MINIFS('工作觀察輸入'!$B$7:$B$206,'工作觀察輸入'!$C$7:$C$206,$B253,'工作觀察輸入'!$G$7:$G$206,$D253,'工作觀察輸入'!$M$7:$M$206,"是"))</x:f>
      </x:c>
      <x:c r="I253" s="117" t="str">
        <x:f>IF($G253=0,"",_xlfn.MAXIFS('工作觀察輸入'!$B$7:$B$206,'工作觀察輸入'!$C$7:$C$206,$B253,'工作觀察輸入'!$G$7:$G$206,$D253,'工作觀察輸入'!$M$7:$M$206,"是"))</x:f>
      </x:c>
      <x:c r="J253" s="115" t="n">
        <x:f>IF($G253=0,0,IF($H253=$I253,1,2))</x:f>
        <x:v>0</x:v>
      </x:c>
      <x:c r="K253" s="115" t="n">
        <x:f>COUNTIFS('工作觀察輸入'!$C$7:$C$206,$B253,'工作觀察輸入'!$G$7:$G$206,$D253,'工作觀察輸入'!$J$7:$J$206,"是")</x:f>
        <x:v>0</x:v>
      </x:c>
      <x:c r="L253" s="115" t="n">
        <x:f>COUNTIFS('面談與異議'!$C$7:$C$106,$B253,'面談與異議'!$F$7:$F$106,$D253,'面談與異議'!$E$7:$E$106,"兩個月面談")</x:f>
        <x:v>0</x:v>
      </x:c>
      <x:c r="M253" s="115" t="str">
        <x:f>IF($E253&lt;&gt;"Ø","不適用",IF(COUNTIFS('事件與限制'!$C$7:$C$106,$B253,'事件與限制'!$E$7:$E$106,$D253,'事件與限制'!$Q$7:$Q$106,"生效中")&gt;0,"資格限制中",IF($F253&lt;&gt;"已核定","先完成基準核定",IF($K253&gt;0,"有關鍵遺漏，先檢討",IF($G253&lt;3,"尚缺成功觀察",IF($J253&lt;2,"觀察日期不足",IF($L253&lt;1,"待兩個月面談","可送主管核定")))))))</x:f>
        <x:v>不適用</x:v>
      </x:c>
      <x:c r="N253" s="116" t="str">
        <x:v>待核定</x:v>
      </x:c>
      <x:c r="O253" s="118"/>
      <x:c r="P253" s="116"/>
      <x:c r="Q253" s="116"/>
      <x:c r="R253" s="115" t="str">
        <x:f>IF($M253&lt;&gt;"可送主管核定","尚未具備條件",IF($N253="不升級","維持原評等",IF($N253="核定升級",IF(OR($O253="",$P253=""),"核定資料未完整","已核定升級"),"待主管核定")))</x:f>
        <x:v>尚未具備條件</x:v>
      </x:c>
    </x:row>
    <x:row r="254">
      <x:c r="A254" s="79" t="str">
        <x:v>UPG|1029|LJT-RPD-FINAL</x:v>
      </x:c>
      <x:c r="B254" s="79" t="str">
        <x:v>1029</x:v>
      </x:c>
      <x:c r="C254" s="79" t="str"/>
      <x:c r="D254" s="79" t="str">
        <x:v>LJT-RPD-FINAL</x:v>
      </x:c>
      <x:c r="E254" s="79" t="str">
        <x:v>未評估</x:v>
      </x:c>
      <x:c r="F254" s="115" t="str">
        <x:f>IF($E254="未評估","未建立",_xlfn.XLOOKUP("ABIL|1029|LJT-RPD-FINAL",'主管核定中心'!$A$12:$A$372,'主管核定中心'!$K$12:$K$372,"待主管核定",0))</x:f>
        <x:v>未建立</x:v>
      </x:c>
      <x:c r="G254" s="115" t="n">
        <x:f>COUNTIFS('工作觀察輸入'!$C$7:$C$206,$B254,'工作觀察輸入'!$G$7:$G$206,$D254,'工作觀察輸入'!$M$7:$M$206,"是")</x:f>
        <x:v>0</x:v>
      </x:c>
      <x:c r="H254" s="117" t="str">
        <x:f>IF($G254=0,"",_xlfn.MINIFS('工作觀察輸入'!$B$7:$B$206,'工作觀察輸入'!$C$7:$C$206,$B254,'工作觀察輸入'!$G$7:$G$206,$D254,'工作觀察輸入'!$M$7:$M$206,"是"))</x:f>
      </x:c>
      <x:c r="I254" s="117" t="str">
        <x:f>IF($G254=0,"",_xlfn.MAXIFS('工作觀察輸入'!$B$7:$B$206,'工作觀察輸入'!$C$7:$C$206,$B254,'工作觀察輸入'!$G$7:$G$206,$D254,'工作觀察輸入'!$M$7:$M$206,"是"))</x:f>
      </x:c>
      <x:c r="J254" s="115" t="n">
        <x:f>IF($G254=0,0,IF($H254=$I254,1,2))</x:f>
        <x:v>0</x:v>
      </x:c>
      <x:c r="K254" s="115" t="n">
        <x:f>COUNTIFS('工作觀察輸入'!$C$7:$C$206,$B254,'工作觀察輸入'!$G$7:$G$206,$D254,'工作觀察輸入'!$J$7:$J$206,"是")</x:f>
        <x:v>0</x:v>
      </x:c>
      <x:c r="L254" s="115" t="n">
        <x:f>COUNTIFS('面談與異議'!$C$7:$C$106,$B254,'面談與異議'!$F$7:$F$106,$D254,'面談與異議'!$E$7:$E$106,"兩個月面談")</x:f>
        <x:v>0</x:v>
      </x:c>
      <x:c r="M254" s="115" t="str">
        <x:f>IF($E254&lt;&gt;"Ø","不適用",IF(COUNTIFS('事件與限制'!$C$7:$C$106,$B254,'事件與限制'!$E$7:$E$106,$D254,'事件與限制'!$Q$7:$Q$106,"生效中")&gt;0,"資格限制中",IF($F254&lt;&gt;"已核定","先完成基準核定",IF($K254&gt;0,"有關鍵遺漏，先檢討",IF($G254&lt;3,"尚缺成功觀察",IF($J254&lt;2,"觀察日期不足",IF($L254&lt;1,"待兩個月面談","可送主管核定")))))))</x:f>
        <x:v>不適用</x:v>
      </x:c>
      <x:c r="N254" s="116" t="str">
        <x:v>待核定</x:v>
      </x:c>
      <x:c r="O254" s="118"/>
      <x:c r="P254" s="116"/>
      <x:c r="Q254" s="116"/>
      <x:c r="R254" s="115" t="str">
        <x:f>IF($M254&lt;&gt;"可送主管核定","尚未具備條件",IF($N254="不升級","維持原評等",IF($N254="核定升級",IF(OR($O254="",$P254=""),"核定資料未完整","已核定升級"),"待主管核定")))</x:f>
        <x:v>尚未具備條件</x:v>
      </x:c>
    </x:row>
    <x:row r="255">
      <x:c r="A255" s="79" t="str">
        <x:v>UPG|1030|LJT-RPD-FINAL</x:v>
      </x:c>
      <x:c r="B255" s="79" t="str">
        <x:v>1030</x:v>
      </x:c>
      <x:c r="C255" s="79" t="str"/>
      <x:c r="D255" s="79" t="str">
        <x:v>LJT-RPD-FINAL</x:v>
      </x:c>
      <x:c r="E255" s="79" t="str">
        <x:v>未評估</x:v>
      </x:c>
      <x:c r="F255" s="115" t="str">
        <x:f>IF($E255="未評估","未建立",_xlfn.XLOOKUP("ABIL|1030|LJT-RPD-FINAL",'主管核定中心'!$A$12:$A$372,'主管核定中心'!$K$12:$K$372,"待主管核定",0))</x:f>
        <x:v>未建立</x:v>
      </x:c>
      <x:c r="G255" s="115" t="n">
        <x:f>COUNTIFS('工作觀察輸入'!$C$7:$C$206,$B255,'工作觀察輸入'!$G$7:$G$206,$D255,'工作觀察輸入'!$M$7:$M$206,"是")</x:f>
        <x:v>0</x:v>
      </x:c>
      <x:c r="H255" s="117" t="str">
        <x:f>IF($G255=0,"",_xlfn.MINIFS('工作觀察輸入'!$B$7:$B$206,'工作觀察輸入'!$C$7:$C$206,$B255,'工作觀察輸入'!$G$7:$G$206,$D255,'工作觀察輸入'!$M$7:$M$206,"是"))</x:f>
      </x:c>
      <x:c r="I255" s="117" t="str">
        <x:f>IF($G255=0,"",_xlfn.MAXIFS('工作觀察輸入'!$B$7:$B$206,'工作觀察輸入'!$C$7:$C$206,$B255,'工作觀察輸入'!$G$7:$G$206,$D255,'工作觀察輸入'!$M$7:$M$206,"是"))</x:f>
      </x:c>
      <x:c r="J255" s="115" t="n">
        <x:f>IF($G255=0,0,IF($H255=$I255,1,2))</x:f>
        <x:v>0</x:v>
      </x:c>
      <x:c r="K255" s="115" t="n">
        <x:f>COUNTIFS('工作觀察輸入'!$C$7:$C$206,$B255,'工作觀察輸入'!$G$7:$G$206,$D255,'工作觀察輸入'!$J$7:$J$206,"是")</x:f>
        <x:v>0</x:v>
      </x:c>
      <x:c r="L255" s="115" t="n">
        <x:f>COUNTIFS('面談與異議'!$C$7:$C$106,$B255,'面談與異議'!$F$7:$F$106,$D255,'面談與異議'!$E$7:$E$106,"兩個月面談")</x:f>
        <x:v>0</x:v>
      </x:c>
      <x:c r="M255" s="115" t="str">
        <x:f>IF($E255&lt;&gt;"Ø","不適用",IF(COUNTIFS('事件與限制'!$C$7:$C$106,$B255,'事件與限制'!$E$7:$E$106,$D255,'事件與限制'!$Q$7:$Q$106,"生效中")&gt;0,"資格限制中",IF($F255&lt;&gt;"已核定","先完成基準核定",IF($K255&gt;0,"有關鍵遺漏，先檢討",IF($G255&lt;3,"尚缺成功觀察",IF($J255&lt;2,"觀察日期不足",IF($L255&lt;1,"待兩個月面談","可送主管核定")))))))</x:f>
        <x:v>不適用</x:v>
      </x:c>
      <x:c r="N255" s="116" t="str">
        <x:v>待核定</x:v>
      </x:c>
      <x:c r="O255" s="118"/>
      <x:c r="P255" s="116"/>
      <x:c r="Q255" s="116"/>
      <x:c r="R255" s="115" t="str">
        <x:f>IF($M255&lt;&gt;"可送主管核定","尚未具備條件",IF($N255="不升級","維持原評等",IF($N255="核定升級",IF(OR($O255="",$P255=""),"核定資料未完整","已核定升級"),"待主管核定")))</x:f>
        <x:v>尚未具備條件</x:v>
      </x:c>
    </x:row>
    <x:row r="256">
      <x:c r="A256" s="79" t="str">
        <x:v>UPG|1031|LJT-RPD-FINAL</x:v>
      </x:c>
      <x:c r="B256" s="79" t="str">
        <x:v>1031</x:v>
      </x:c>
      <x:c r="C256" s="79" t="str"/>
      <x:c r="D256" s="79" t="str">
        <x:v>LJT-RPD-FINAL</x:v>
      </x:c>
      <x:c r="E256" s="79" t="str">
        <x:v>未評估</x:v>
      </x:c>
      <x:c r="F256" s="115" t="str">
        <x:f>IF($E256="未評估","未建立",_xlfn.XLOOKUP("ABIL|1031|LJT-RPD-FINAL",'主管核定中心'!$A$12:$A$372,'主管核定中心'!$K$12:$K$372,"待主管核定",0))</x:f>
        <x:v>未建立</x:v>
      </x:c>
      <x:c r="G256" s="115" t="n">
        <x:f>COUNTIFS('工作觀察輸入'!$C$7:$C$206,$B256,'工作觀察輸入'!$G$7:$G$206,$D256,'工作觀察輸入'!$M$7:$M$206,"是")</x:f>
        <x:v>0</x:v>
      </x:c>
      <x:c r="H256" s="117" t="str">
        <x:f>IF($G256=0,"",_xlfn.MINIFS('工作觀察輸入'!$B$7:$B$206,'工作觀察輸入'!$C$7:$C$206,$B256,'工作觀察輸入'!$G$7:$G$206,$D256,'工作觀察輸入'!$M$7:$M$206,"是"))</x:f>
      </x:c>
      <x:c r="I256" s="117" t="str">
        <x:f>IF($G256=0,"",_xlfn.MAXIFS('工作觀察輸入'!$B$7:$B$206,'工作觀察輸入'!$C$7:$C$206,$B256,'工作觀察輸入'!$G$7:$G$206,$D256,'工作觀察輸入'!$M$7:$M$206,"是"))</x:f>
      </x:c>
      <x:c r="J256" s="115" t="n">
        <x:f>IF($G256=0,0,IF($H256=$I256,1,2))</x:f>
        <x:v>0</x:v>
      </x:c>
      <x:c r="K256" s="115" t="n">
        <x:f>COUNTIFS('工作觀察輸入'!$C$7:$C$206,$B256,'工作觀察輸入'!$G$7:$G$206,$D256,'工作觀察輸入'!$J$7:$J$206,"是")</x:f>
        <x:v>0</x:v>
      </x:c>
      <x:c r="L256" s="115" t="n">
        <x:f>COUNTIFS('面談與異議'!$C$7:$C$106,$B256,'面談與異議'!$F$7:$F$106,$D256,'面談與異議'!$E$7:$E$106,"兩個月面談")</x:f>
        <x:v>0</x:v>
      </x:c>
      <x:c r="M256" s="115" t="str">
        <x:f>IF($E256&lt;&gt;"Ø","不適用",IF(COUNTIFS('事件與限制'!$C$7:$C$106,$B256,'事件與限制'!$E$7:$E$106,$D256,'事件與限制'!$Q$7:$Q$106,"生效中")&gt;0,"資格限制中",IF($F256&lt;&gt;"已核定","先完成基準核定",IF($K256&gt;0,"有關鍵遺漏，先檢討",IF($G256&lt;3,"尚缺成功觀察",IF($J256&lt;2,"觀察日期不足",IF($L256&lt;1,"待兩個月面談","可送主管核定")))))))</x:f>
        <x:v>不適用</x:v>
      </x:c>
      <x:c r="N256" s="116" t="str">
        <x:v>待核定</x:v>
      </x:c>
      <x:c r="O256" s="118"/>
      <x:c r="P256" s="116"/>
      <x:c r="Q256" s="116"/>
      <x:c r="R256" s="115" t="str">
        <x:f>IF($M256&lt;&gt;"可送主管核定","尚未具備條件",IF($N256="不升級","維持原評等",IF($N256="核定升級",IF(OR($O256="",$P256=""),"核定資料未完整","已核定升級"),"待主管核定")))</x:f>
        <x:v>尚未具備條件</x:v>
      </x:c>
    </x:row>
    <x:row r="257">
      <x:c r="A257" s="79" t="str">
        <x:v>UPG|2006|LJT-RPD-FINAL</x:v>
      </x:c>
      <x:c r="B257" s="79" t="str">
        <x:v>2006</x:v>
      </x:c>
      <x:c r="C257" s="79" t="str"/>
      <x:c r="D257" s="79" t="str">
        <x:v>LJT-RPD-FINAL</x:v>
      </x:c>
      <x:c r="E257" s="79" t="str">
        <x:v>未評估</x:v>
      </x:c>
      <x:c r="F257" s="115" t="str">
        <x:f>IF($E257="未評估","未建立",_xlfn.XLOOKUP("ABIL|2006|LJT-RPD-FINAL",'主管核定中心'!$A$12:$A$372,'主管核定中心'!$K$12:$K$372,"待主管核定",0))</x:f>
        <x:v>未建立</x:v>
      </x:c>
      <x:c r="G257" s="115" t="n">
        <x:f>COUNTIFS('工作觀察輸入'!$C$7:$C$206,$B257,'工作觀察輸入'!$G$7:$G$206,$D257,'工作觀察輸入'!$M$7:$M$206,"是")</x:f>
        <x:v>0</x:v>
      </x:c>
      <x:c r="H257" s="117" t="str">
        <x:f>IF($G257=0,"",_xlfn.MINIFS('工作觀察輸入'!$B$7:$B$206,'工作觀察輸入'!$C$7:$C$206,$B257,'工作觀察輸入'!$G$7:$G$206,$D257,'工作觀察輸入'!$M$7:$M$206,"是"))</x:f>
      </x:c>
      <x:c r="I257" s="117" t="str">
        <x:f>IF($G257=0,"",_xlfn.MAXIFS('工作觀察輸入'!$B$7:$B$206,'工作觀察輸入'!$C$7:$C$206,$B257,'工作觀察輸入'!$G$7:$G$206,$D257,'工作觀察輸入'!$M$7:$M$206,"是"))</x:f>
      </x:c>
      <x:c r="J257" s="115" t="n">
        <x:f>IF($G257=0,0,IF($H257=$I257,1,2))</x:f>
        <x:v>0</x:v>
      </x:c>
      <x:c r="K257" s="115" t="n">
        <x:f>COUNTIFS('工作觀察輸入'!$C$7:$C$206,$B257,'工作觀察輸入'!$G$7:$G$206,$D257,'工作觀察輸入'!$J$7:$J$206,"是")</x:f>
        <x:v>0</x:v>
      </x:c>
      <x:c r="L257" s="115" t="n">
        <x:f>COUNTIFS('面談與異議'!$C$7:$C$106,$B257,'面談與異議'!$F$7:$F$106,$D257,'面談與異議'!$E$7:$E$106,"兩個月面談")</x:f>
        <x:v>0</x:v>
      </x:c>
      <x:c r="M257" s="115" t="str">
        <x:f>IF($E257&lt;&gt;"Ø","不適用",IF(COUNTIFS('事件與限制'!$C$7:$C$106,$B257,'事件與限制'!$E$7:$E$106,$D257,'事件與限制'!$Q$7:$Q$106,"生效中")&gt;0,"資格限制中",IF($F257&lt;&gt;"已核定","先完成基準核定",IF($K257&gt;0,"有關鍵遺漏，先檢討",IF($G257&lt;3,"尚缺成功觀察",IF($J257&lt;2,"觀察日期不足",IF($L257&lt;1,"待兩個月面談","可送主管核定")))))))</x:f>
        <x:v>不適用</x:v>
      </x:c>
      <x:c r="N257" s="116" t="str">
        <x:v>待核定</x:v>
      </x:c>
      <x:c r="O257" s="118"/>
      <x:c r="P257" s="116"/>
      <x:c r="Q257" s="116"/>
      <x:c r="R257" s="115" t="str">
        <x:f>IF($M257&lt;&gt;"可送主管核定","尚未具備條件",IF($N257="不升級","維持原評等",IF($N257="核定升級",IF(OR($O257="",$P257=""),"核定資料未完整","已核定升級"),"待主管核定")))</x:f>
        <x:v>尚未具備條件</x:v>
      </x:c>
    </x:row>
    <x:row r="258">
      <x:c r="A258" s="79" t="str">
        <x:v>UPG|2007|LJT-RPD-FINAL</x:v>
      </x:c>
      <x:c r="B258" s="79" t="str">
        <x:v>2007</x:v>
      </x:c>
      <x:c r="C258" s="79" t="str"/>
      <x:c r="D258" s="79" t="str">
        <x:v>LJT-RPD-FINAL</x:v>
      </x:c>
      <x:c r="E258" s="79" t="str">
        <x:v>未評估</x:v>
      </x:c>
      <x:c r="F258" s="115" t="str">
        <x:f>IF($E258="未評估","未建立",_xlfn.XLOOKUP("ABIL|2007|LJT-RPD-FINAL",'主管核定中心'!$A$12:$A$372,'主管核定中心'!$K$12:$K$372,"待主管核定",0))</x:f>
        <x:v>未建立</x:v>
      </x:c>
      <x:c r="G258" s="115" t="n">
        <x:f>COUNTIFS('工作觀察輸入'!$C$7:$C$206,$B258,'工作觀察輸入'!$G$7:$G$206,$D258,'工作觀察輸入'!$M$7:$M$206,"是")</x:f>
        <x:v>0</x:v>
      </x:c>
      <x:c r="H258" s="117" t="str">
        <x:f>IF($G258=0,"",_xlfn.MINIFS('工作觀察輸入'!$B$7:$B$206,'工作觀察輸入'!$C$7:$C$206,$B258,'工作觀察輸入'!$G$7:$G$206,$D258,'工作觀察輸入'!$M$7:$M$206,"是"))</x:f>
      </x:c>
      <x:c r="I258" s="117" t="str">
        <x:f>IF($G258=0,"",_xlfn.MAXIFS('工作觀察輸入'!$B$7:$B$206,'工作觀察輸入'!$C$7:$C$206,$B258,'工作觀察輸入'!$G$7:$G$206,$D258,'工作觀察輸入'!$M$7:$M$206,"是"))</x:f>
      </x:c>
      <x:c r="J258" s="115" t="n">
        <x:f>IF($G258=0,0,IF($H258=$I258,1,2))</x:f>
        <x:v>0</x:v>
      </x:c>
      <x:c r="K258" s="115" t="n">
        <x:f>COUNTIFS('工作觀察輸入'!$C$7:$C$206,$B258,'工作觀察輸入'!$G$7:$G$206,$D258,'工作觀察輸入'!$J$7:$J$206,"是")</x:f>
        <x:v>0</x:v>
      </x:c>
      <x:c r="L258" s="115" t="n">
        <x:f>COUNTIFS('面談與異議'!$C$7:$C$106,$B258,'面談與異議'!$F$7:$F$106,$D258,'面談與異議'!$E$7:$E$106,"兩個月面談")</x:f>
        <x:v>0</x:v>
      </x:c>
      <x:c r="M258" s="115" t="str">
        <x:f>IF($E258&lt;&gt;"Ø","不適用",IF(COUNTIFS('事件與限制'!$C$7:$C$106,$B258,'事件與限制'!$E$7:$E$106,$D258,'事件與限制'!$Q$7:$Q$106,"生效中")&gt;0,"資格限制中",IF($F258&lt;&gt;"已核定","先完成基準核定",IF($K258&gt;0,"有關鍵遺漏，先檢討",IF($G258&lt;3,"尚缺成功觀察",IF($J258&lt;2,"觀察日期不足",IF($L258&lt;1,"待兩個月面談","可送主管核定")))))))</x:f>
        <x:v>不適用</x:v>
      </x:c>
      <x:c r="N258" s="116" t="str">
        <x:v>待核定</x:v>
      </x:c>
      <x:c r="O258" s="118"/>
      <x:c r="P258" s="116"/>
      <x:c r="Q258" s="116"/>
      <x:c r="R258" s="115" t="str">
        <x:f>IF($M258&lt;&gt;"可送主管核定","尚未具備條件",IF($N258="不升級","維持原評等",IF($N258="核定升級",IF(OR($O258="",$P258=""),"核定資料未完整","已核定升級"),"待主管核定")))</x:f>
        <x:v>尚未具備條件</x:v>
      </x:c>
    </x:row>
  </x:sheetData>
  <x:conditionalFormatting sqref="M7:M258">
    <x:cfRule type="containsText" dxfId="17" priority="1" operator="containsText" text="可送主管核定"/>
    <x:cfRule type="containsText" dxfId="18" priority="2" operator="containsText" text="關鍵遺漏"/>
  </x:conditionalFormatting>
  <x:dataValidations count="1">
    <x:dataValidation type="list" sqref="N7:N258">
      <x:formula1>"待核定,核定升級,不升級"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a52d3194e84ef2"/>
  </x:tableParts>
</x:worksheet>
</file>

<file path=xl/worksheets/sheet27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6" hidden="0" customWidth="1"/>
    <x:col min="4" max="4" width="28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8" hidden="0" customWidth="1"/>
    <x:col min="12" max="12" width="16" hidden="0" customWidth="1"/>
    <x:col min="13" max="13" width="18" hidden="0" customWidth="1"/>
    <x:col min="14" max="14" width="16" hidden="0" customWidth="1"/>
    <x:col min="15" max="15" width="14" hidden="0" customWidth="1"/>
    <x:col min="16" max="16" width="14" hidden="0" customWidth="1"/>
    <x:col min="17" max="17" width="16" hidden="0" customWidth="1"/>
    <x:col min="18" max="18" width="38" hidden="0" customWidth="1"/>
    <x:col min="19" max="19" width="20" hidden="0" customWidth="1"/>
  </x:cols>
  <x:sheetData>
    <x:row r="2">
      <x:c r="A2" s="74" t="str">
        <x:v>資格暫停與逾期恢復處理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</x:row>
    <x:row r="4">
      <x:c r="A4" s="75" t="str">
        <x:v>完成補訓、通過同員工同技能的複評考核並由主管核定後，才會回寫新的有效起日與到期日。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</x:row>
    <x:row r="6">
      <x:c r="A6" s="114" t="str">
        <x:v>恢復鍵</x:v>
      </x:c>
      <x:c r="B6" s="114" t="str">
        <x:v>員工編號</x:v>
      </x:c>
      <x:c r="C6" s="114" t="str">
        <x:v>姓名</x:v>
      </x:c>
      <x:c r="D6" s="114" t="str">
        <x:v>技能代碼</x:v>
      </x:c>
      <x:c r="E6" s="114" t="str">
        <x:v>基準評等</x:v>
      </x:c>
      <x:c r="F6" s="114" t="str">
        <x:v>原資格狀態</x:v>
      </x:c>
      <x:c r="G6" s="114" t="str">
        <x:v>原有效起日</x:v>
      </x:c>
      <x:c r="H6" s="114" t="str">
        <x:v>原到期日</x:v>
      </x:c>
      <x:c r="I6" s="114" t="str">
        <x:v>停權／失效原因</x:v>
      </x:c>
      <x:c r="J6" s="114" t="str">
        <x:v>補訓完成日</x:v>
      </x:c>
      <x:c r="K6" s="114" t="str">
        <x:v>複評考核編號</x:v>
      </x:c>
      <x:c r="L6" s="114" t="str">
        <x:v>複評結果</x:v>
      </x:c>
      <x:c r="M6" s="114" t="str">
        <x:v>考核資料一致</x:v>
      </x:c>
      <x:c r="N6" s="114" t="str">
        <x:v>主管決定</x:v>
      </x:c>
      <x:c r="O6" s="114" t="str">
        <x:v>新生效日</x:v>
      </x:c>
      <x:c r="P6" s="114" t="str">
        <x:v>新到期日</x:v>
      </x:c>
      <x:c r="Q6" s="114" t="str">
        <x:v>核定人</x:v>
      </x:c>
      <x:c r="R6" s="114" t="str">
        <x:v>核定備註</x:v>
      </x:c>
      <x:c r="S6" s="114" t="str">
        <x:v>恢復結果</x:v>
      </x:c>
    </x:row>
    <x:row r="7">
      <x:c r="A7" s="79" t="str">
        <x:v>REC|1001|LJT-PREP-PERIOSURG</x:v>
      </x:c>
      <x:c r="B7" s="79" t="str">
        <x:v>1001</x:v>
      </x:c>
      <x:c r="C7" s="79" t="str"/>
      <x:c r="D7" s="79" t="str">
        <x:v>LJT-PREP-PERIOSURG</x:v>
      </x:c>
      <x:c r="E7" s="79" t="str">
        <x:v>◎</x:v>
      </x:c>
      <x:c r="F7" s="115" t="str">
        <x:f>IF($E7="未評估","未建立",IF(_xlfn.XLOOKUP("QUAL|1001|LJT-PREP-PERIOSURG",'主管核定中心'!$A$12:$A$372,'主管核定中心'!$K$12:$K$372,"待主管核定",0)="已核定",IF(OR($H7="",TODAY()&gt;$H7),"逾期","有效"),_xlfn.XLOOKUP("QUAL|1001|LJT-PREP-PERIOSURG",'主管核定中心'!$A$12:$A$372,'主管核定中心'!$K$12:$K$372,"待主管核定",0)))</x:f>
        <x:v>待主管核定</x:v>
      </x:c>
      <x:c r="G7" s="117" t="n">
        <x:v>46266</x:v>
      </x:c>
      <x:c r="H7" s="117" t="n">
        <x:v>46447</x:v>
      </x:c>
      <x:c r="I7" s="116"/>
      <x:c r="J7" s="118"/>
      <x:c r="K7" s="116"/>
      <x:c r="L7" s="115" t="str">
        <x:f>IF($K7="","",_xlfn.XLOOKUP($K7,'考核紀錄輸入'!$A$7:$A$106,'考核紀錄輸入'!$L$7:$L$106,"考核編號不存在",0))</x:f>
      </x:c>
      <x:c r="M7" s="115" t="str">
        <x:f>IF($K7="","",IF(AND(_xlfn.XLOOKUP($K7,'考核紀錄輸入'!$A$7:$A$106,'考核紀錄輸入'!$C$7:$C$106,"",0)=$B7,_xlfn.XLOOKUP($K7,'考核紀錄輸入'!$A$7:$A$106,'考核紀錄輸入'!$E$7:$E$106,"",0)=$D7),"符合","不符"))</x:f>
      </x:c>
      <x:c r="N7" s="116" t="str">
        <x:v>待核定</x:v>
      </x:c>
      <x:c r="O7" s="118"/>
      <x:c r="P7" s="118"/>
      <x:c r="Q7" s="116"/>
      <x:c r="R7" s="116"/>
      <x:c r="S7" s="115" t="str">
        <x:f>IF($F7="未建立","先完成考核",IF($F7="待主管核定","先完成資格核定",IF(AND($F7&lt;&gt;"資格暫停",$F7&lt;&gt;"逾期"),"無需恢復",IF($N7="不恢復","維持暫停",IF($N7="核定恢復",IF(AND($I7&lt;&gt;"",$J7&lt;&gt;"",$K7&lt;&gt;"",$L7="通過",$M7="符合",$O7&lt;&gt;"",$P7&lt;&gt;"",$Q7&lt;&gt;""),IF($P7&lt;TODAY(),"新到期日已逾期","資格已恢復"),"恢復資料未完整"),"待完成恢復條件")))))</x:f>
        <x:v>先完成資格核定</x:v>
      </x:c>
    </x:row>
    <x:row r="8">
      <x:c r="A8" s="79" t="str">
        <x:v>REC|1001|LJT-PREP-MICROENDO</x:v>
      </x:c>
      <x:c r="B8" s="79" t="str">
        <x:v>1001</x:v>
      </x:c>
      <x:c r="C8" s="79" t="str"/>
      <x:c r="D8" s="79" t="str">
        <x:v>LJT-PREP-MICROENDO</x:v>
      </x:c>
      <x:c r="E8" s="79" t="str">
        <x:v>◎</x:v>
      </x:c>
      <x:c r="F8" s="115" t="str">
        <x:f>IF($E8="未評估","未建立",IF(_xlfn.XLOOKUP("QUAL|1001|LJT-PREP-MICROENDO",'主管核定中心'!$A$12:$A$372,'主管核定中心'!$K$12:$K$372,"待主管核定",0)="已核定",IF(OR($H8="",TODAY()&gt;$H8),"逾期","有效"),_xlfn.XLOOKUP("QUAL|1001|LJT-PREP-MICROENDO",'主管核定中心'!$A$12:$A$372,'主管核定中心'!$K$12:$K$372,"待主管核定",0)))</x:f>
        <x:v>待主管核定</x:v>
      </x:c>
      <x:c r="G8" s="117" t="n">
        <x:v>46266</x:v>
      </x:c>
      <x:c r="H8" s="117" t="n">
        <x:v>46447</x:v>
      </x:c>
      <x:c r="I8" s="116"/>
      <x:c r="J8" s="118"/>
      <x:c r="K8" s="116"/>
      <x:c r="L8" s="115" t="str">
        <x:f>IF($K8="","",_xlfn.XLOOKUP($K8,'考核紀錄輸入'!$A$7:$A$106,'考核紀錄輸入'!$L$7:$L$106,"考核編號不存在",0))</x:f>
      </x:c>
      <x:c r="M8" s="115" t="str">
        <x:f>IF($K8="","",IF(AND(_xlfn.XLOOKUP($K8,'考核紀錄輸入'!$A$7:$A$106,'考核紀錄輸入'!$C$7:$C$106,"",0)=$B8,_xlfn.XLOOKUP($K8,'考核紀錄輸入'!$A$7:$A$106,'考核紀錄輸入'!$E$7:$E$106,"",0)=$D8),"符合","不符"))</x:f>
      </x:c>
      <x:c r="N8" s="116" t="str">
        <x:v>待核定</x:v>
      </x:c>
      <x:c r="O8" s="118"/>
      <x:c r="P8" s="118"/>
      <x:c r="Q8" s="116"/>
      <x:c r="R8" s="116"/>
      <x:c r="S8" s="115" t="str">
        <x:f>IF($F8="未建立","先完成考核",IF($F8="待主管核定","先完成資格核定",IF(AND($F8&lt;&gt;"資格暫停",$F8&lt;&gt;"逾期"),"無需恢復",IF($N8="不恢復","維持暫停",IF($N8="核定恢復",IF(AND($I8&lt;&gt;"",$J8&lt;&gt;"",$K8&lt;&gt;"",$L8="通過",$M8="符合",$O8&lt;&gt;"",$P8&lt;&gt;"",$Q8&lt;&gt;""),IF($P8&lt;TODAY(),"新到期日已逾期","資格已恢復"),"恢復資料未完整"),"待完成恢復條件")))))</x:f>
        <x:v>先完成資格核定</x:v>
      </x:c>
    </x:row>
    <x:row r="9">
      <x:c r="A9" s="79" t="str">
        <x:v>REC|1001|LJT-PREP-IMPLANT</x:v>
      </x:c>
      <x:c r="B9" s="79" t="str">
        <x:v>1001</x:v>
      </x:c>
      <x:c r="C9" s="79" t="str"/>
      <x:c r="D9" s="79" t="str">
        <x:v>LJT-PREP-IMPLANT</x:v>
      </x:c>
      <x:c r="E9" s="79" t="str">
        <x:v>◎</x:v>
      </x:c>
      <x:c r="F9" s="115" t="str">
        <x:f>IF($E9="未評估","未建立",IF(_xlfn.XLOOKUP("QUAL|1001|LJT-PREP-IMPLANT",'主管核定中心'!$A$12:$A$372,'主管核定中心'!$K$12:$K$372,"待主管核定",0)="已核定",IF(OR($H9="",TODAY()&gt;$H9),"逾期","有效"),_xlfn.XLOOKUP("QUAL|1001|LJT-PREP-IMPLANT",'主管核定中心'!$A$12:$A$372,'主管核定中心'!$K$12:$K$372,"待主管核定",0)))</x:f>
        <x:v>待主管核定</x:v>
      </x:c>
      <x:c r="G9" s="117" t="n">
        <x:v>46266</x:v>
      </x:c>
      <x:c r="H9" s="117" t="n">
        <x:v>46447</x:v>
      </x:c>
      <x:c r="I9" s="116"/>
      <x:c r="J9" s="118"/>
      <x:c r="K9" s="116"/>
      <x:c r="L9" s="115" t="str">
        <x:f>IF($K9="","",_xlfn.XLOOKUP($K9,'考核紀錄輸入'!$A$7:$A$106,'考核紀錄輸入'!$L$7:$L$106,"考核編號不存在",0))</x:f>
      </x:c>
      <x:c r="M9" s="115" t="str">
        <x:f>IF($K9="","",IF(AND(_xlfn.XLOOKUP($K9,'考核紀錄輸入'!$A$7:$A$106,'考核紀錄輸入'!$C$7:$C$106,"",0)=$B9,_xlfn.XLOOKUP($K9,'考核紀錄輸入'!$A$7:$A$106,'考核紀錄輸入'!$E$7:$E$106,"",0)=$D9),"符合","不符"))</x:f>
      </x:c>
      <x:c r="N9" s="116" t="str">
        <x:v>待核定</x:v>
      </x:c>
      <x:c r="O9" s="118"/>
      <x:c r="P9" s="118"/>
      <x:c r="Q9" s="116"/>
      <x:c r="R9" s="116"/>
      <x:c r="S9" s="115" t="str">
        <x:f>IF($F9="未建立","先完成考核",IF($F9="待主管核定","先完成資格核定",IF(AND($F9&lt;&gt;"資格暫停",$F9&lt;&gt;"逾期"),"無需恢復",IF($N9="不恢復","維持暫停",IF($N9="核定恢復",IF(AND($I9&lt;&gt;"",$J9&lt;&gt;"",$K9&lt;&gt;"",$L9="通過",$M9="符合",$O9&lt;&gt;"",$P9&lt;&gt;"",$Q9&lt;&gt;""),IF($P9&lt;TODAY(),"新到期日已逾期","資格已恢復"),"恢復資料未完整"),"待完成恢復條件")))))</x:f>
        <x:v>先完成資格核定</x:v>
      </x:c>
    </x:row>
    <x:row r="10">
      <x:c r="A10" s="79" t="str">
        <x:v>REC|1001|LJT-RPD-FINAL</x:v>
      </x:c>
      <x:c r="B10" s="79" t="str">
        <x:v>1001</x:v>
      </x:c>
      <x:c r="C10" s="79" t="str"/>
      <x:c r="D10" s="79" t="str">
        <x:v>LJT-RPD-FINAL</x:v>
      </x:c>
      <x:c r="E10" s="79" t="str">
        <x:v>未評估</x:v>
      </x:c>
      <x:c r="F10" s="115" t="str">
        <x:f>IF($E10="未評估","未建立",IF(_xlfn.XLOOKUP("QUAL|1001|LJT-RPD-FINAL",'主管核定中心'!$A$12:$A$372,'主管核定中心'!$K$12:$K$372,"待主管核定",0)="已核定",IF(OR($H10="",TODAY()&gt;$H10),"逾期","有效"),_xlfn.XLOOKUP("QUAL|1001|LJT-RPD-FINAL",'主管核定中心'!$A$12:$A$372,'主管核定中心'!$K$12:$K$372,"待主管核定",0)))</x:f>
        <x:v>未建立</x:v>
      </x:c>
      <x:c r="G10" s="117"/>
      <x:c r="H10" s="117"/>
      <x:c r="I10" s="116"/>
      <x:c r="J10" s="118"/>
      <x:c r="K10" s="116"/>
      <x:c r="L10" s="115" t="str">
        <x:f>IF($K10="","",_xlfn.XLOOKUP($K10,'考核紀錄輸入'!$A$7:$A$106,'考核紀錄輸入'!$L$7:$L$106,"考核編號不存在",0))</x:f>
      </x:c>
      <x:c r="M10" s="115" t="str">
        <x:f>IF($K10="","",IF(AND(_xlfn.XLOOKUP($K10,'考核紀錄輸入'!$A$7:$A$106,'考核紀錄輸入'!$C$7:$C$106,"",0)=$B10,_xlfn.XLOOKUP($K10,'考核紀錄輸入'!$A$7:$A$106,'考核紀錄輸入'!$E$7:$E$106,"",0)=$D10),"符合","不符"))</x:f>
      </x:c>
      <x:c r="N10" s="116" t="str">
        <x:v>待核定</x:v>
      </x:c>
      <x:c r="O10" s="118"/>
      <x:c r="P10" s="118"/>
      <x:c r="Q10" s="116"/>
      <x:c r="R10" s="116"/>
      <x:c r="S10" s="115" t="str">
        <x:f>IF($F10="未建立","先完成考核",IF($F10="待主管核定","先完成資格核定",IF(AND($F10&lt;&gt;"資格暫停",$F10&lt;&gt;"逾期"),"無需恢復",IF($N10="不恢復","維持暫停",IF($N10="核定恢復",IF(AND($I10&lt;&gt;"",$J10&lt;&gt;"",$K10&lt;&gt;"",$L10="通過",$M10="符合",$O10&lt;&gt;"",$P10&lt;&gt;"",$Q10&lt;&gt;""),IF($P10&lt;TODAY(),"新到期日已逾期","資格已恢復"),"恢復資料未完整"),"待完成恢復條件")))))</x:f>
        <x:v>先完成考核</x:v>
      </x:c>
    </x:row>
    <x:row r="11">
      <x:c r="A11" s="79" t="str">
        <x:v>REC|1004|LJT-PREP-PERIOSURG</x:v>
      </x:c>
      <x:c r="B11" s="79" t="str">
        <x:v>1004</x:v>
      </x:c>
      <x:c r="C11" s="79" t="str"/>
      <x:c r="D11" s="79" t="str">
        <x:v>LJT-PREP-PERIOSURG</x:v>
      </x:c>
      <x:c r="E11" s="79" t="str">
        <x:v>◎</x:v>
      </x:c>
      <x:c r="F11" s="115" t="str">
        <x:f>IF($E11="未評估","未建立",IF(_xlfn.XLOOKUP("QUAL|1004|LJT-PREP-PERIOSURG",'主管核定中心'!$A$12:$A$372,'主管核定中心'!$K$12:$K$372,"待主管核定",0)="已核定",IF(OR($H11="",TODAY()&gt;$H11),"逾期","有效"),_xlfn.XLOOKUP("QUAL|1004|LJT-PREP-PERIOSURG",'主管核定中心'!$A$12:$A$372,'主管核定中心'!$K$12:$K$372,"待主管核定",0)))</x:f>
        <x:v>待主管核定</x:v>
      </x:c>
      <x:c r="G11" s="117" t="n">
        <x:v>46266</x:v>
      </x:c>
      <x:c r="H11" s="117" t="n">
        <x:v>46447</x:v>
      </x:c>
      <x:c r="I11" s="116"/>
      <x:c r="J11" s="118"/>
      <x:c r="K11" s="116"/>
      <x:c r="L11" s="115" t="str">
        <x:f>IF($K11="","",_xlfn.XLOOKUP($K11,'考核紀錄輸入'!$A$7:$A$106,'考核紀錄輸入'!$L$7:$L$106,"考核編號不存在",0))</x:f>
      </x:c>
      <x:c r="M11" s="115" t="str">
        <x:f>IF($K11="","",IF(AND(_xlfn.XLOOKUP($K11,'考核紀錄輸入'!$A$7:$A$106,'考核紀錄輸入'!$C$7:$C$106,"",0)=$B11,_xlfn.XLOOKUP($K11,'考核紀錄輸入'!$A$7:$A$106,'考核紀錄輸入'!$E$7:$E$106,"",0)=$D11),"符合","不符"))</x:f>
      </x:c>
      <x:c r="N11" s="116" t="str">
        <x:v>待核定</x:v>
      </x:c>
      <x:c r="O11" s="118"/>
      <x:c r="P11" s="118"/>
      <x:c r="Q11" s="116"/>
      <x:c r="R11" s="116"/>
      <x:c r="S11" s="115" t="str">
        <x:f>IF($F11="未建立","先完成考核",IF($F11="待主管核定","先完成資格核定",IF(AND($F11&lt;&gt;"資格暫停",$F11&lt;&gt;"逾期"),"無需恢復",IF($N11="不恢復","維持暫停",IF($N11="核定恢復",IF(AND($I11&lt;&gt;"",$J11&lt;&gt;"",$K11&lt;&gt;"",$L11="通過",$M11="符合",$O11&lt;&gt;"",$P11&lt;&gt;"",$Q11&lt;&gt;""),IF($P11&lt;TODAY(),"新到期日已逾期","資格已恢復"),"恢復資料未完整"),"待完成恢復條件")))))</x:f>
        <x:v>先完成資格核定</x:v>
      </x:c>
    </x:row>
    <x:row r="12">
      <x:c r="A12" s="79" t="str">
        <x:v>REC|1004|LJT-PREP-MICROENDO</x:v>
      </x:c>
      <x:c r="B12" s="79" t="str">
        <x:v>1004</x:v>
      </x:c>
      <x:c r="C12" s="79" t="str"/>
      <x:c r="D12" s="79" t="str">
        <x:v>LJT-PREP-MICROENDO</x:v>
      </x:c>
      <x:c r="E12" s="79" t="str">
        <x:v>◎</x:v>
      </x:c>
      <x:c r="F12" s="115" t="str">
        <x:f>IF($E12="未評估","未建立",IF(_xlfn.XLOOKUP("QUAL|1004|LJT-PREP-MICROENDO",'主管核定中心'!$A$12:$A$372,'主管核定中心'!$K$12:$K$372,"待主管核定",0)="已核定",IF(OR($H12="",TODAY()&gt;$H12),"逾期","有效"),_xlfn.XLOOKUP("QUAL|1004|LJT-PREP-MICROENDO",'主管核定中心'!$A$12:$A$372,'主管核定中心'!$K$12:$K$372,"待主管核定",0)))</x:f>
        <x:v>待主管核定</x:v>
      </x:c>
      <x:c r="G12" s="117" t="n">
        <x:v>46266</x:v>
      </x:c>
      <x:c r="H12" s="117" t="n">
        <x:v>46447</x:v>
      </x:c>
      <x:c r="I12" s="116"/>
      <x:c r="J12" s="118"/>
      <x:c r="K12" s="116"/>
      <x:c r="L12" s="115" t="str">
        <x:f>IF($K12="","",_xlfn.XLOOKUP($K12,'考核紀錄輸入'!$A$7:$A$106,'考核紀錄輸入'!$L$7:$L$106,"考核編號不存在",0))</x:f>
      </x:c>
      <x:c r="M12" s="115" t="str">
        <x:f>IF($K12="","",IF(AND(_xlfn.XLOOKUP($K12,'考核紀錄輸入'!$A$7:$A$106,'考核紀錄輸入'!$C$7:$C$106,"",0)=$B12,_xlfn.XLOOKUP($K12,'考核紀錄輸入'!$A$7:$A$106,'考核紀錄輸入'!$E$7:$E$106,"",0)=$D12),"符合","不符"))</x:f>
      </x:c>
      <x:c r="N12" s="116" t="str">
        <x:v>待核定</x:v>
      </x:c>
      <x:c r="O12" s="118"/>
      <x:c r="P12" s="118"/>
      <x:c r="Q12" s="116"/>
      <x:c r="R12" s="116"/>
      <x:c r="S12" s="115" t="str">
        <x:f>IF($F12="未建立","先完成考核",IF($F12="待主管核定","先完成資格核定",IF(AND($F12&lt;&gt;"資格暫停",$F12&lt;&gt;"逾期"),"無需恢復",IF($N12="不恢復","維持暫停",IF($N12="核定恢復",IF(AND($I12&lt;&gt;"",$J12&lt;&gt;"",$K12&lt;&gt;"",$L12="通過",$M12="符合",$O12&lt;&gt;"",$P12&lt;&gt;"",$Q12&lt;&gt;""),IF($P12&lt;TODAY(),"新到期日已逾期","資格已恢復"),"恢復資料未完整"),"待完成恢復條件")))))</x:f>
        <x:v>先完成資格核定</x:v>
      </x:c>
    </x:row>
    <x:row r="13">
      <x:c r="A13" s="79" t="str">
        <x:v>REC|1004|LJT-PREP-IMPLANT</x:v>
      </x:c>
      <x:c r="B13" s="79" t="str">
        <x:v>1004</x:v>
      </x:c>
      <x:c r="C13" s="79" t="str"/>
      <x:c r="D13" s="79" t="str">
        <x:v>LJT-PREP-IMPLANT</x:v>
      </x:c>
      <x:c r="E13" s="79" t="str">
        <x:v>◎</x:v>
      </x:c>
      <x:c r="F13" s="115" t="str">
        <x:f>IF($E13="未評估","未建立",IF(_xlfn.XLOOKUP("QUAL|1004|LJT-PREP-IMPLANT",'主管核定中心'!$A$12:$A$372,'主管核定中心'!$K$12:$K$372,"待主管核定",0)="已核定",IF(OR($H13="",TODAY()&gt;$H13),"逾期","有效"),_xlfn.XLOOKUP("QUAL|1004|LJT-PREP-IMPLANT",'主管核定中心'!$A$12:$A$372,'主管核定中心'!$K$12:$K$372,"待主管核定",0)))</x:f>
        <x:v>待主管核定</x:v>
      </x:c>
      <x:c r="G13" s="117" t="n">
        <x:v>46266</x:v>
      </x:c>
      <x:c r="H13" s="117" t="n">
        <x:v>46447</x:v>
      </x:c>
      <x:c r="I13" s="116"/>
      <x:c r="J13" s="118"/>
      <x:c r="K13" s="116"/>
      <x:c r="L13" s="115" t="str">
        <x:f>IF($K13="","",_xlfn.XLOOKUP($K13,'考核紀錄輸入'!$A$7:$A$106,'考核紀錄輸入'!$L$7:$L$106,"考核編號不存在",0))</x:f>
      </x:c>
      <x:c r="M13" s="115" t="str">
        <x:f>IF($K13="","",IF(AND(_xlfn.XLOOKUP($K13,'考核紀錄輸入'!$A$7:$A$106,'考核紀錄輸入'!$C$7:$C$106,"",0)=$B13,_xlfn.XLOOKUP($K13,'考核紀錄輸入'!$A$7:$A$106,'考核紀錄輸入'!$E$7:$E$106,"",0)=$D13),"符合","不符"))</x:f>
      </x:c>
      <x:c r="N13" s="116" t="str">
        <x:v>待核定</x:v>
      </x:c>
      <x:c r="O13" s="118"/>
      <x:c r="P13" s="118"/>
      <x:c r="Q13" s="116"/>
      <x:c r="R13" s="116"/>
      <x:c r="S13" s="115" t="str">
        <x:f>IF($F13="未建立","先完成考核",IF($F13="待主管核定","先完成資格核定",IF(AND($F13&lt;&gt;"資格暫停",$F13&lt;&gt;"逾期"),"無需恢復",IF($N13="不恢復","維持暫停",IF($N13="核定恢復",IF(AND($I13&lt;&gt;"",$J13&lt;&gt;"",$K13&lt;&gt;"",$L13="通過",$M13="符合",$O13&lt;&gt;"",$P13&lt;&gt;"",$Q13&lt;&gt;""),IF($P13&lt;TODAY(),"新到期日已逾期","資格已恢復"),"恢復資料未完整"),"待完成恢復條件")))))</x:f>
        <x:v>先完成資格核定</x:v>
      </x:c>
    </x:row>
    <x:row r="14">
      <x:c r="A14" s="79" t="str">
        <x:v>REC|1004|LJT-RPD-FINAL</x:v>
      </x:c>
      <x:c r="B14" s="79" t="str">
        <x:v>1004</x:v>
      </x:c>
      <x:c r="C14" s="79" t="str"/>
      <x:c r="D14" s="79" t="str">
        <x:v>LJT-RPD-FINAL</x:v>
      </x:c>
      <x:c r="E14" s="79" t="str">
        <x:v>未評估</x:v>
      </x:c>
      <x:c r="F14" s="115" t="str">
        <x:f>IF($E14="未評估","未建立",IF(_xlfn.XLOOKUP("QUAL|1004|LJT-RPD-FINAL",'主管核定中心'!$A$12:$A$372,'主管核定中心'!$K$12:$K$372,"待主管核定",0)="已核定",IF(OR($H14="",TODAY()&gt;$H14),"逾期","有效"),_xlfn.XLOOKUP("QUAL|1004|LJT-RPD-FINAL",'主管核定中心'!$A$12:$A$372,'主管核定中心'!$K$12:$K$372,"待主管核定",0)))</x:f>
        <x:v>未建立</x:v>
      </x:c>
      <x:c r="G14" s="117"/>
      <x:c r="H14" s="117"/>
      <x:c r="I14" s="116"/>
      <x:c r="J14" s="118"/>
      <x:c r="K14" s="116"/>
      <x:c r="L14" s="115" t="str">
        <x:f>IF($K14="","",_xlfn.XLOOKUP($K14,'考核紀錄輸入'!$A$7:$A$106,'考核紀錄輸入'!$L$7:$L$106,"考核編號不存在",0))</x:f>
      </x:c>
      <x:c r="M14" s="115" t="str">
        <x:f>IF($K14="","",IF(AND(_xlfn.XLOOKUP($K14,'考核紀錄輸入'!$A$7:$A$106,'考核紀錄輸入'!$C$7:$C$106,"",0)=$B14,_xlfn.XLOOKUP($K14,'考核紀錄輸入'!$A$7:$A$106,'考核紀錄輸入'!$E$7:$E$106,"",0)=$D14),"符合","不符"))</x:f>
      </x:c>
      <x:c r="N14" s="116" t="str">
        <x:v>待核定</x:v>
      </x:c>
      <x:c r="O14" s="118"/>
      <x:c r="P14" s="118"/>
      <x:c r="Q14" s="116"/>
      <x:c r="R14" s="116"/>
      <x:c r="S14" s="115" t="str">
        <x:f>IF($F14="未建立","先完成考核",IF($F14="待主管核定","先完成資格核定",IF(AND($F14&lt;&gt;"資格暫停",$F14&lt;&gt;"逾期"),"無需恢復",IF($N14="不恢復","維持暫停",IF($N14="核定恢復",IF(AND($I14&lt;&gt;"",$J14&lt;&gt;"",$K14&lt;&gt;"",$L14="通過",$M14="符合",$O14&lt;&gt;"",$P14&lt;&gt;"",$Q14&lt;&gt;""),IF($P14&lt;TODAY(),"新到期日已逾期","資格已恢復"),"恢復資料未完整"),"待完成恢復條件")))))</x:f>
        <x:v>先完成考核</x:v>
      </x:c>
    </x:row>
    <x:row r="15">
      <x:c r="A15" s="79" t="str">
        <x:v>REC|1013|LJT-PREP-PERIOSURG</x:v>
      </x:c>
      <x:c r="B15" s="79" t="str">
        <x:v>1013</x:v>
      </x:c>
      <x:c r="C15" s="79" t="str"/>
      <x:c r="D15" s="79" t="str">
        <x:v>LJT-PREP-PERIOSURG</x:v>
      </x:c>
      <x:c r="E15" s="79" t="str">
        <x:v>◎</x:v>
      </x:c>
      <x:c r="F15" s="115" t="str">
        <x:f>IF($E15="未評估","未建立",IF(_xlfn.XLOOKUP("QUAL|1013|LJT-PREP-PERIOSURG",'主管核定中心'!$A$12:$A$372,'主管核定中心'!$K$12:$K$372,"待主管核定",0)="已核定",IF(OR($H15="",TODAY()&gt;$H15),"逾期","有效"),_xlfn.XLOOKUP("QUAL|1013|LJT-PREP-PERIOSURG",'主管核定中心'!$A$12:$A$372,'主管核定中心'!$K$12:$K$372,"待主管核定",0)))</x:f>
        <x:v>待主管核定</x:v>
      </x:c>
      <x:c r="G15" s="117" t="n">
        <x:v>46266</x:v>
      </x:c>
      <x:c r="H15" s="117" t="n">
        <x:v>46447</x:v>
      </x:c>
      <x:c r="I15" s="116"/>
      <x:c r="J15" s="118"/>
      <x:c r="K15" s="116"/>
      <x:c r="L15" s="115" t="str">
        <x:f>IF($K15="","",_xlfn.XLOOKUP($K15,'考核紀錄輸入'!$A$7:$A$106,'考核紀錄輸入'!$L$7:$L$106,"考核編號不存在",0))</x:f>
      </x:c>
      <x:c r="M15" s="115" t="str">
        <x:f>IF($K15="","",IF(AND(_xlfn.XLOOKUP($K15,'考核紀錄輸入'!$A$7:$A$106,'考核紀錄輸入'!$C$7:$C$106,"",0)=$B15,_xlfn.XLOOKUP($K15,'考核紀錄輸入'!$A$7:$A$106,'考核紀錄輸入'!$E$7:$E$106,"",0)=$D15),"符合","不符"))</x:f>
      </x:c>
      <x:c r="N15" s="116" t="str">
        <x:v>待核定</x:v>
      </x:c>
      <x:c r="O15" s="118"/>
      <x:c r="P15" s="118"/>
      <x:c r="Q15" s="116"/>
      <x:c r="R15" s="116"/>
      <x:c r="S15" s="115" t="str">
        <x:f>IF($F15="未建立","先完成考核",IF($F15="待主管核定","先完成資格核定",IF(AND($F15&lt;&gt;"資格暫停",$F15&lt;&gt;"逾期"),"無需恢復",IF($N15="不恢復","維持暫停",IF($N15="核定恢復",IF(AND($I15&lt;&gt;"",$J15&lt;&gt;"",$K15&lt;&gt;"",$L15="通過",$M15="符合",$O15&lt;&gt;"",$P15&lt;&gt;"",$Q15&lt;&gt;""),IF($P15&lt;TODAY(),"新到期日已逾期","資格已恢復"),"恢復資料未完整"),"待完成恢復條件")))))</x:f>
        <x:v>先完成資格核定</x:v>
      </x:c>
    </x:row>
    <x:row r="16">
      <x:c r="A16" s="79" t="str">
        <x:v>REC|1013|LJT-PREP-MICROENDO</x:v>
      </x:c>
      <x:c r="B16" s="79" t="str">
        <x:v>1013</x:v>
      </x:c>
      <x:c r="C16" s="79" t="str"/>
      <x:c r="D16" s="79" t="str">
        <x:v>LJT-PREP-MICROENDO</x:v>
      </x:c>
      <x:c r="E16" s="79" t="str">
        <x:v>◎</x:v>
      </x:c>
      <x:c r="F16" s="115" t="str">
        <x:f>IF($E16="未評估","未建立",IF(_xlfn.XLOOKUP("QUAL|1013|LJT-PREP-MICROENDO",'主管核定中心'!$A$12:$A$372,'主管核定中心'!$K$12:$K$372,"待主管核定",0)="已核定",IF(OR($H16="",TODAY()&gt;$H16),"逾期","有效"),_xlfn.XLOOKUP("QUAL|1013|LJT-PREP-MICROENDO",'主管核定中心'!$A$12:$A$372,'主管核定中心'!$K$12:$K$372,"待主管核定",0)))</x:f>
        <x:v>待主管核定</x:v>
      </x:c>
      <x:c r="G16" s="117" t="n">
        <x:v>46266</x:v>
      </x:c>
      <x:c r="H16" s="117" t="n">
        <x:v>46447</x:v>
      </x:c>
      <x:c r="I16" s="116"/>
      <x:c r="J16" s="118"/>
      <x:c r="K16" s="116"/>
      <x:c r="L16" s="115" t="str">
        <x:f>IF($K16="","",_xlfn.XLOOKUP($K16,'考核紀錄輸入'!$A$7:$A$106,'考核紀錄輸入'!$L$7:$L$106,"考核編號不存在",0))</x:f>
      </x:c>
      <x:c r="M16" s="115" t="str">
        <x:f>IF($K16="","",IF(AND(_xlfn.XLOOKUP($K16,'考核紀錄輸入'!$A$7:$A$106,'考核紀錄輸入'!$C$7:$C$106,"",0)=$B16,_xlfn.XLOOKUP($K16,'考核紀錄輸入'!$A$7:$A$106,'考核紀錄輸入'!$E$7:$E$106,"",0)=$D16),"符合","不符"))</x:f>
      </x:c>
      <x:c r="N16" s="116" t="str">
        <x:v>待核定</x:v>
      </x:c>
      <x:c r="O16" s="118"/>
      <x:c r="P16" s="118"/>
      <x:c r="Q16" s="116"/>
      <x:c r="R16" s="116"/>
      <x:c r="S16" s="115" t="str">
        <x:f>IF($F16="未建立","先完成考核",IF($F16="待主管核定","先完成資格核定",IF(AND($F16&lt;&gt;"資格暫停",$F16&lt;&gt;"逾期"),"無需恢復",IF($N16="不恢復","維持暫停",IF($N16="核定恢復",IF(AND($I16&lt;&gt;"",$J16&lt;&gt;"",$K16&lt;&gt;"",$L16="通過",$M16="符合",$O16&lt;&gt;"",$P16&lt;&gt;"",$Q16&lt;&gt;""),IF($P16&lt;TODAY(),"新到期日已逾期","資格已恢復"),"恢復資料未完整"),"待完成恢復條件")))))</x:f>
        <x:v>先完成資格核定</x:v>
      </x:c>
    </x:row>
    <x:row r="17">
      <x:c r="A17" s="79" t="str">
        <x:v>REC|1013|LJT-PREP-IMPLANT</x:v>
      </x:c>
      <x:c r="B17" s="79" t="str">
        <x:v>1013</x:v>
      </x:c>
      <x:c r="C17" s="79" t="str"/>
      <x:c r="D17" s="79" t="str">
        <x:v>LJT-PREP-IMPLANT</x:v>
      </x:c>
      <x:c r="E17" s="79" t="str">
        <x:v>◎</x:v>
      </x:c>
      <x:c r="F17" s="115" t="str">
        <x:f>IF($E17="未評估","未建立",IF(_xlfn.XLOOKUP("QUAL|1013|LJT-PREP-IMPLANT",'主管核定中心'!$A$12:$A$372,'主管核定中心'!$K$12:$K$372,"待主管核定",0)="已核定",IF(OR($H17="",TODAY()&gt;$H17),"逾期","有效"),_xlfn.XLOOKUP("QUAL|1013|LJT-PREP-IMPLANT",'主管核定中心'!$A$12:$A$372,'主管核定中心'!$K$12:$K$372,"待主管核定",0)))</x:f>
        <x:v>待主管核定</x:v>
      </x:c>
      <x:c r="G17" s="117" t="n">
        <x:v>46266</x:v>
      </x:c>
      <x:c r="H17" s="117" t="n">
        <x:v>46447</x:v>
      </x:c>
      <x:c r="I17" s="116"/>
      <x:c r="J17" s="118"/>
      <x:c r="K17" s="116"/>
      <x:c r="L17" s="115" t="str">
        <x:f>IF($K17="","",_xlfn.XLOOKUP($K17,'考核紀錄輸入'!$A$7:$A$106,'考核紀錄輸入'!$L$7:$L$106,"考核編號不存在",0))</x:f>
      </x:c>
      <x:c r="M17" s="115" t="str">
        <x:f>IF($K17="","",IF(AND(_xlfn.XLOOKUP($K17,'考核紀錄輸入'!$A$7:$A$106,'考核紀錄輸入'!$C$7:$C$106,"",0)=$B17,_xlfn.XLOOKUP($K17,'考核紀錄輸入'!$A$7:$A$106,'考核紀錄輸入'!$E$7:$E$106,"",0)=$D17),"符合","不符"))</x:f>
      </x:c>
      <x:c r="N17" s="116" t="str">
        <x:v>待核定</x:v>
      </x:c>
      <x:c r="O17" s="118"/>
      <x:c r="P17" s="118"/>
      <x:c r="Q17" s="116"/>
      <x:c r="R17" s="116"/>
      <x:c r="S17" s="115" t="str">
        <x:f>IF($F17="未建立","先完成考核",IF($F17="待主管核定","先完成資格核定",IF(AND($F17&lt;&gt;"資格暫停",$F17&lt;&gt;"逾期"),"無需恢復",IF($N17="不恢復","維持暫停",IF($N17="核定恢復",IF(AND($I17&lt;&gt;"",$J17&lt;&gt;"",$K17&lt;&gt;"",$L17="通過",$M17="符合",$O17&lt;&gt;"",$P17&lt;&gt;"",$Q17&lt;&gt;""),IF($P17&lt;TODAY(),"新到期日已逾期","資格已恢復"),"恢復資料未完整"),"待完成恢復條件")))))</x:f>
        <x:v>先完成資格核定</x:v>
      </x:c>
    </x:row>
    <x:row r="18">
      <x:c r="A18" s="79" t="str">
        <x:v>REC|1013|LJT-RPD-FINAL</x:v>
      </x:c>
      <x:c r="B18" s="79" t="str">
        <x:v>1013</x:v>
      </x:c>
      <x:c r="C18" s="79" t="str"/>
      <x:c r="D18" s="79" t="str">
        <x:v>LJT-RPD-FINAL</x:v>
      </x:c>
      <x:c r="E18" s="79" t="str">
        <x:v>未評估</x:v>
      </x:c>
      <x:c r="F18" s="115" t="str">
        <x:f>IF($E18="未評估","未建立",IF(_xlfn.XLOOKUP("QUAL|1013|LJT-RPD-FINAL",'主管核定中心'!$A$12:$A$372,'主管核定中心'!$K$12:$K$372,"待主管核定",0)="已核定",IF(OR($H18="",TODAY()&gt;$H18),"逾期","有效"),_xlfn.XLOOKUP("QUAL|1013|LJT-RPD-FINAL",'主管核定中心'!$A$12:$A$372,'主管核定中心'!$K$12:$K$372,"待主管核定",0)))</x:f>
        <x:v>未建立</x:v>
      </x:c>
      <x:c r="G18" s="117"/>
      <x:c r="H18" s="117"/>
      <x:c r="I18" s="116"/>
      <x:c r="J18" s="118"/>
      <x:c r="K18" s="116"/>
      <x:c r="L18" s="115" t="str">
        <x:f>IF($K18="","",_xlfn.XLOOKUP($K18,'考核紀錄輸入'!$A$7:$A$106,'考核紀錄輸入'!$L$7:$L$106,"考核編號不存在",0))</x:f>
      </x:c>
      <x:c r="M18" s="115" t="str">
        <x:f>IF($K18="","",IF(AND(_xlfn.XLOOKUP($K18,'考核紀錄輸入'!$A$7:$A$106,'考核紀錄輸入'!$C$7:$C$106,"",0)=$B18,_xlfn.XLOOKUP($K18,'考核紀錄輸入'!$A$7:$A$106,'考核紀錄輸入'!$E$7:$E$106,"",0)=$D18),"符合","不符"))</x:f>
      </x:c>
      <x:c r="N18" s="116" t="str">
        <x:v>待核定</x:v>
      </x:c>
      <x:c r="O18" s="118"/>
      <x:c r="P18" s="118"/>
      <x:c r="Q18" s="116"/>
      <x:c r="R18" s="116"/>
      <x:c r="S18" s="115" t="str">
        <x:f>IF($F18="未建立","先完成考核",IF($F18="待主管核定","先完成資格核定",IF(AND($F18&lt;&gt;"資格暫停",$F18&lt;&gt;"逾期"),"無需恢復",IF($N18="不恢復","維持暫停",IF($N18="核定恢復",IF(AND($I18&lt;&gt;"",$J18&lt;&gt;"",$K18&lt;&gt;"",$L18="通過",$M18="符合",$O18&lt;&gt;"",$P18&lt;&gt;"",$Q18&lt;&gt;""),IF($P18&lt;TODAY(),"新到期日已逾期","資格已恢復"),"恢復資料未完整"),"待完成恢復條件")))))</x:f>
        <x:v>先完成考核</x:v>
      </x:c>
    </x:row>
    <x:row r="19">
      <x:c r="A19" s="79" t="str">
        <x:v>REC|1019|LJT-PREP-PERIOSURG</x:v>
      </x:c>
      <x:c r="B19" s="79" t="str">
        <x:v>1019</x:v>
      </x:c>
      <x:c r="C19" s="79" t="str"/>
      <x:c r="D19" s="79" t="str">
        <x:v>LJT-PREP-PERIOSURG</x:v>
      </x:c>
      <x:c r="E19" s="79" t="str">
        <x:v>◎</x:v>
      </x:c>
      <x:c r="F19" s="115" t="str">
        <x:f>IF($E19="未評估","未建立",IF(_xlfn.XLOOKUP("QUAL|1019|LJT-PREP-PERIOSURG",'主管核定中心'!$A$12:$A$372,'主管核定中心'!$K$12:$K$372,"待主管核定",0)="已核定",IF(OR($H19="",TODAY()&gt;$H19),"逾期","有效"),_xlfn.XLOOKUP("QUAL|1019|LJT-PREP-PERIOSURG",'主管核定中心'!$A$12:$A$372,'主管核定中心'!$K$12:$K$372,"待主管核定",0)))</x:f>
        <x:v>待主管核定</x:v>
      </x:c>
      <x:c r="G19" s="117" t="n">
        <x:v>46266</x:v>
      </x:c>
      <x:c r="H19" s="117" t="n">
        <x:v>46447</x:v>
      </x:c>
      <x:c r="I19" s="116"/>
      <x:c r="J19" s="118"/>
      <x:c r="K19" s="116"/>
      <x:c r="L19" s="115" t="str">
        <x:f>IF($K19="","",_xlfn.XLOOKUP($K19,'考核紀錄輸入'!$A$7:$A$106,'考核紀錄輸入'!$L$7:$L$106,"考核編號不存在",0))</x:f>
      </x:c>
      <x:c r="M19" s="115" t="str">
        <x:f>IF($K19="","",IF(AND(_xlfn.XLOOKUP($K19,'考核紀錄輸入'!$A$7:$A$106,'考核紀錄輸入'!$C$7:$C$106,"",0)=$B19,_xlfn.XLOOKUP($K19,'考核紀錄輸入'!$A$7:$A$106,'考核紀錄輸入'!$E$7:$E$106,"",0)=$D19),"符合","不符"))</x:f>
      </x:c>
      <x:c r="N19" s="116" t="str">
        <x:v>待核定</x:v>
      </x:c>
      <x:c r="O19" s="118"/>
      <x:c r="P19" s="118"/>
      <x:c r="Q19" s="116"/>
      <x:c r="R19" s="116"/>
      <x:c r="S19" s="115" t="str">
        <x:f>IF($F19="未建立","先完成考核",IF($F19="待主管核定","先完成資格核定",IF(AND($F19&lt;&gt;"資格暫停",$F19&lt;&gt;"逾期"),"無需恢復",IF($N19="不恢復","維持暫停",IF($N19="核定恢復",IF(AND($I19&lt;&gt;"",$J19&lt;&gt;"",$K19&lt;&gt;"",$L19="通過",$M19="符合",$O19&lt;&gt;"",$P19&lt;&gt;"",$Q19&lt;&gt;""),IF($P19&lt;TODAY(),"新到期日已逾期","資格已恢復"),"恢復資料未完整"),"待完成恢復條件")))))</x:f>
        <x:v>先完成資格核定</x:v>
      </x:c>
    </x:row>
    <x:row r="20">
      <x:c r="A20" s="79" t="str">
        <x:v>REC|1019|LJT-PREP-MICROENDO</x:v>
      </x:c>
      <x:c r="B20" s="79" t="str">
        <x:v>1019</x:v>
      </x:c>
      <x:c r="C20" s="79" t="str"/>
      <x:c r="D20" s="79" t="str">
        <x:v>LJT-PREP-MICROENDO</x:v>
      </x:c>
      <x:c r="E20" s="79" t="str">
        <x:v>◎</x:v>
      </x:c>
      <x:c r="F20" s="115" t="str">
        <x:f>IF($E20="未評估","未建立",IF(_xlfn.XLOOKUP("QUAL|1019|LJT-PREP-MICROENDO",'主管核定中心'!$A$12:$A$372,'主管核定中心'!$K$12:$K$372,"待主管核定",0)="已核定",IF(OR($H20="",TODAY()&gt;$H20),"逾期","有效"),_xlfn.XLOOKUP("QUAL|1019|LJT-PREP-MICROENDO",'主管核定中心'!$A$12:$A$372,'主管核定中心'!$K$12:$K$372,"待主管核定",0)))</x:f>
        <x:v>待主管核定</x:v>
      </x:c>
      <x:c r="G20" s="117" t="n">
        <x:v>46266</x:v>
      </x:c>
      <x:c r="H20" s="117" t="n">
        <x:v>46447</x:v>
      </x:c>
      <x:c r="I20" s="116"/>
      <x:c r="J20" s="118"/>
      <x:c r="K20" s="116"/>
      <x:c r="L20" s="115" t="str">
        <x:f>IF($K20="","",_xlfn.XLOOKUP($K20,'考核紀錄輸入'!$A$7:$A$106,'考核紀錄輸入'!$L$7:$L$106,"考核編號不存在",0))</x:f>
      </x:c>
      <x:c r="M20" s="115" t="str">
        <x:f>IF($K20="","",IF(AND(_xlfn.XLOOKUP($K20,'考核紀錄輸入'!$A$7:$A$106,'考核紀錄輸入'!$C$7:$C$106,"",0)=$B20,_xlfn.XLOOKUP($K20,'考核紀錄輸入'!$A$7:$A$106,'考核紀錄輸入'!$E$7:$E$106,"",0)=$D20),"符合","不符"))</x:f>
      </x:c>
      <x:c r="N20" s="116" t="str">
        <x:v>待核定</x:v>
      </x:c>
      <x:c r="O20" s="118"/>
      <x:c r="P20" s="118"/>
      <x:c r="Q20" s="116"/>
      <x:c r="R20" s="116"/>
      <x:c r="S20" s="115" t="str">
        <x:f>IF($F20="未建立","先完成考核",IF($F20="待主管核定","先完成資格核定",IF(AND($F20&lt;&gt;"資格暫停",$F20&lt;&gt;"逾期"),"無需恢復",IF($N20="不恢復","維持暫停",IF($N20="核定恢復",IF(AND($I20&lt;&gt;"",$J20&lt;&gt;"",$K20&lt;&gt;"",$L20="通過",$M20="符合",$O20&lt;&gt;"",$P20&lt;&gt;"",$Q20&lt;&gt;""),IF($P20&lt;TODAY(),"新到期日已逾期","資格已恢復"),"恢復資料未完整"),"待完成恢復條件")))))</x:f>
        <x:v>先完成資格核定</x:v>
      </x:c>
    </x:row>
    <x:row r="21">
      <x:c r="A21" s="79" t="str">
        <x:v>REC|1019|LJT-PREP-IMPLANT</x:v>
      </x:c>
      <x:c r="B21" s="79" t="str">
        <x:v>1019</x:v>
      </x:c>
      <x:c r="C21" s="79" t="str"/>
      <x:c r="D21" s="79" t="str">
        <x:v>LJT-PREP-IMPLANT</x:v>
      </x:c>
      <x:c r="E21" s="79" t="str">
        <x:v>◎</x:v>
      </x:c>
      <x:c r="F21" s="115" t="str">
        <x:f>IF($E21="未評估","未建立",IF(_xlfn.XLOOKUP("QUAL|1019|LJT-PREP-IMPLANT",'主管核定中心'!$A$12:$A$372,'主管核定中心'!$K$12:$K$372,"待主管核定",0)="已核定",IF(OR($H21="",TODAY()&gt;$H21),"逾期","有效"),_xlfn.XLOOKUP("QUAL|1019|LJT-PREP-IMPLANT",'主管核定中心'!$A$12:$A$372,'主管核定中心'!$K$12:$K$372,"待主管核定",0)))</x:f>
        <x:v>待主管核定</x:v>
      </x:c>
      <x:c r="G21" s="117" t="n">
        <x:v>46266</x:v>
      </x:c>
      <x:c r="H21" s="117" t="n">
        <x:v>46447</x:v>
      </x:c>
      <x:c r="I21" s="116"/>
      <x:c r="J21" s="118"/>
      <x:c r="K21" s="116"/>
      <x:c r="L21" s="115" t="str">
        <x:f>IF($K21="","",_xlfn.XLOOKUP($K21,'考核紀錄輸入'!$A$7:$A$106,'考核紀錄輸入'!$L$7:$L$106,"考核編號不存在",0))</x:f>
      </x:c>
      <x:c r="M21" s="115" t="str">
        <x:f>IF($K21="","",IF(AND(_xlfn.XLOOKUP($K21,'考核紀錄輸入'!$A$7:$A$106,'考核紀錄輸入'!$C$7:$C$106,"",0)=$B21,_xlfn.XLOOKUP($K21,'考核紀錄輸入'!$A$7:$A$106,'考核紀錄輸入'!$E$7:$E$106,"",0)=$D21),"符合","不符"))</x:f>
      </x:c>
      <x:c r="N21" s="116" t="str">
        <x:v>待核定</x:v>
      </x:c>
      <x:c r="O21" s="118"/>
      <x:c r="P21" s="118"/>
      <x:c r="Q21" s="116"/>
      <x:c r="R21" s="116"/>
      <x:c r="S21" s="115" t="str">
        <x:f>IF($F21="未建立","先完成考核",IF($F21="待主管核定","先完成資格核定",IF(AND($F21&lt;&gt;"資格暫停",$F21&lt;&gt;"逾期"),"無需恢復",IF($N21="不恢復","維持暫停",IF($N21="核定恢復",IF(AND($I21&lt;&gt;"",$J21&lt;&gt;"",$K21&lt;&gt;"",$L21="通過",$M21="符合",$O21&lt;&gt;"",$P21&lt;&gt;"",$Q21&lt;&gt;""),IF($P21&lt;TODAY(),"新到期日已逾期","資格已恢復"),"恢復資料未完整"),"待完成恢復條件")))))</x:f>
        <x:v>先完成資格核定</x:v>
      </x:c>
    </x:row>
    <x:row r="22">
      <x:c r="A22" s="79" t="str">
        <x:v>REC|1019|LJT-RPD-FINAL</x:v>
      </x:c>
      <x:c r="B22" s="79" t="str">
        <x:v>1019</x:v>
      </x:c>
      <x:c r="C22" s="79" t="str"/>
      <x:c r="D22" s="79" t="str">
        <x:v>LJT-RPD-FINAL</x:v>
      </x:c>
      <x:c r="E22" s="79" t="str">
        <x:v>未評估</x:v>
      </x:c>
      <x:c r="F22" s="115" t="str">
        <x:f>IF($E22="未評估","未建立",IF(_xlfn.XLOOKUP("QUAL|1019|LJT-RPD-FINAL",'主管核定中心'!$A$12:$A$372,'主管核定中心'!$K$12:$K$372,"待主管核定",0)="已核定",IF(OR($H22="",TODAY()&gt;$H22),"逾期","有效"),_xlfn.XLOOKUP("QUAL|1019|LJT-RPD-FINAL",'主管核定中心'!$A$12:$A$372,'主管核定中心'!$K$12:$K$372,"待主管核定",0)))</x:f>
        <x:v>未建立</x:v>
      </x:c>
      <x:c r="G22" s="117"/>
      <x:c r="H22" s="117"/>
      <x:c r="I22" s="116"/>
      <x:c r="J22" s="118"/>
      <x:c r="K22" s="116"/>
      <x:c r="L22" s="115" t="str">
        <x:f>IF($K22="","",_xlfn.XLOOKUP($K22,'考核紀錄輸入'!$A$7:$A$106,'考核紀錄輸入'!$L$7:$L$106,"考核編號不存在",0))</x:f>
      </x:c>
      <x:c r="M22" s="115" t="str">
        <x:f>IF($K22="","",IF(AND(_xlfn.XLOOKUP($K22,'考核紀錄輸入'!$A$7:$A$106,'考核紀錄輸入'!$C$7:$C$106,"",0)=$B22,_xlfn.XLOOKUP($K22,'考核紀錄輸入'!$A$7:$A$106,'考核紀錄輸入'!$E$7:$E$106,"",0)=$D22),"符合","不符"))</x:f>
      </x:c>
      <x:c r="N22" s="116" t="str">
        <x:v>待核定</x:v>
      </x:c>
      <x:c r="O22" s="118"/>
      <x:c r="P22" s="118"/>
      <x:c r="Q22" s="116"/>
      <x:c r="R22" s="116"/>
      <x:c r="S22" s="115" t="str">
        <x:f>IF($F22="未建立","先完成考核",IF($F22="待主管核定","先完成資格核定",IF(AND($F22&lt;&gt;"資格暫停",$F22&lt;&gt;"逾期"),"無需恢復",IF($N22="不恢復","維持暫停",IF($N22="核定恢復",IF(AND($I22&lt;&gt;"",$J22&lt;&gt;"",$K22&lt;&gt;"",$L22="通過",$M22="符合",$O22&lt;&gt;"",$P22&lt;&gt;"",$Q22&lt;&gt;""),IF($P22&lt;TODAY(),"新到期日已逾期","資格已恢復"),"恢復資料未完整"),"待完成恢復條件")))))</x:f>
        <x:v>先完成考核</x:v>
      </x:c>
    </x:row>
    <x:row r="23">
      <x:c r="A23" s="79" t="str">
        <x:v>REC|1020|LJT-PREP-PERIOSURG</x:v>
      </x:c>
      <x:c r="B23" s="79" t="str">
        <x:v>1020</x:v>
      </x:c>
      <x:c r="C23" s="79" t="str"/>
      <x:c r="D23" s="79" t="str">
        <x:v>LJT-PREP-PERIOSURG</x:v>
      </x:c>
      <x:c r="E23" s="79" t="str">
        <x:v>◎</x:v>
      </x:c>
      <x:c r="F23" s="115" t="str">
        <x:f>IF($E23="未評估","未建立",IF(_xlfn.XLOOKUP("QUAL|1020|LJT-PREP-PERIOSURG",'主管核定中心'!$A$12:$A$372,'主管核定中心'!$K$12:$K$372,"待主管核定",0)="已核定",IF(OR($H23="",TODAY()&gt;$H23),"逾期","有效"),_xlfn.XLOOKUP("QUAL|1020|LJT-PREP-PERIOSURG",'主管核定中心'!$A$12:$A$372,'主管核定中心'!$K$12:$K$372,"待主管核定",0)))</x:f>
        <x:v>待主管核定</x:v>
      </x:c>
      <x:c r="G23" s="117" t="n">
        <x:v>46266</x:v>
      </x:c>
      <x:c r="H23" s="117" t="n">
        <x:v>46447</x:v>
      </x:c>
      <x:c r="I23" s="116"/>
      <x:c r="J23" s="118"/>
      <x:c r="K23" s="116"/>
      <x:c r="L23" s="115" t="str">
        <x:f>IF($K23="","",_xlfn.XLOOKUP($K23,'考核紀錄輸入'!$A$7:$A$106,'考核紀錄輸入'!$L$7:$L$106,"考核編號不存在",0))</x:f>
      </x:c>
      <x:c r="M23" s="115" t="str">
        <x:f>IF($K23="","",IF(AND(_xlfn.XLOOKUP($K23,'考核紀錄輸入'!$A$7:$A$106,'考核紀錄輸入'!$C$7:$C$106,"",0)=$B23,_xlfn.XLOOKUP($K23,'考核紀錄輸入'!$A$7:$A$106,'考核紀錄輸入'!$E$7:$E$106,"",0)=$D23),"符合","不符"))</x:f>
      </x:c>
      <x:c r="N23" s="116" t="str">
        <x:v>待核定</x:v>
      </x:c>
      <x:c r="O23" s="118"/>
      <x:c r="P23" s="118"/>
      <x:c r="Q23" s="116"/>
      <x:c r="R23" s="116"/>
      <x:c r="S23" s="115" t="str">
        <x:f>IF($F23="未建立","先完成考核",IF($F23="待主管核定","先完成資格核定",IF(AND($F23&lt;&gt;"資格暫停",$F23&lt;&gt;"逾期"),"無需恢復",IF($N23="不恢復","維持暫停",IF($N23="核定恢復",IF(AND($I23&lt;&gt;"",$J23&lt;&gt;"",$K23&lt;&gt;"",$L23="通過",$M23="符合",$O23&lt;&gt;"",$P23&lt;&gt;"",$Q23&lt;&gt;""),IF($P23&lt;TODAY(),"新到期日已逾期","資格已恢復"),"恢復資料未完整"),"待完成恢復條件")))))</x:f>
        <x:v>先完成資格核定</x:v>
      </x:c>
    </x:row>
    <x:row r="24">
      <x:c r="A24" s="79" t="str">
        <x:v>REC|1020|LJT-PREP-MICROENDO</x:v>
      </x:c>
      <x:c r="B24" s="79" t="str">
        <x:v>1020</x:v>
      </x:c>
      <x:c r="C24" s="79" t="str"/>
      <x:c r="D24" s="79" t="str">
        <x:v>LJT-PREP-MICROENDO</x:v>
      </x:c>
      <x:c r="E24" s="79" t="str">
        <x:v>◎</x:v>
      </x:c>
      <x:c r="F24" s="115" t="str">
        <x:f>IF($E24="未評估","未建立",IF(_xlfn.XLOOKUP("QUAL|1020|LJT-PREP-MICROENDO",'主管核定中心'!$A$12:$A$372,'主管核定中心'!$K$12:$K$372,"待主管核定",0)="已核定",IF(OR($H24="",TODAY()&gt;$H24),"逾期","有效"),_xlfn.XLOOKUP("QUAL|1020|LJT-PREP-MICROENDO",'主管核定中心'!$A$12:$A$372,'主管核定中心'!$K$12:$K$372,"待主管核定",0)))</x:f>
        <x:v>待主管核定</x:v>
      </x:c>
      <x:c r="G24" s="117" t="n">
        <x:v>46266</x:v>
      </x:c>
      <x:c r="H24" s="117" t="n">
        <x:v>46447</x:v>
      </x:c>
      <x:c r="I24" s="116"/>
      <x:c r="J24" s="118"/>
      <x:c r="K24" s="116"/>
      <x:c r="L24" s="115" t="str">
        <x:f>IF($K24="","",_xlfn.XLOOKUP($K24,'考核紀錄輸入'!$A$7:$A$106,'考核紀錄輸入'!$L$7:$L$106,"考核編號不存在",0))</x:f>
      </x:c>
      <x:c r="M24" s="115" t="str">
        <x:f>IF($K24="","",IF(AND(_xlfn.XLOOKUP($K24,'考核紀錄輸入'!$A$7:$A$106,'考核紀錄輸入'!$C$7:$C$106,"",0)=$B24,_xlfn.XLOOKUP($K24,'考核紀錄輸入'!$A$7:$A$106,'考核紀錄輸入'!$E$7:$E$106,"",0)=$D24),"符合","不符"))</x:f>
      </x:c>
      <x:c r="N24" s="116" t="str">
        <x:v>待核定</x:v>
      </x:c>
      <x:c r="O24" s="118"/>
      <x:c r="P24" s="118"/>
      <x:c r="Q24" s="116"/>
      <x:c r="R24" s="116"/>
      <x:c r="S24" s="115" t="str">
        <x:f>IF($F24="未建立","先完成考核",IF($F24="待主管核定","先完成資格核定",IF(AND($F24&lt;&gt;"資格暫停",$F24&lt;&gt;"逾期"),"無需恢復",IF($N24="不恢復","維持暫停",IF($N24="核定恢復",IF(AND($I24&lt;&gt;"",$J24&lt;&gt;"",$K24&lt;&gt;"",$L24="通過",$M24="符合",$O24&lt;&gt;"",$P24&lt;&gt;"",$Q24&lt;&gt;""),IF($P24&lt;TODAY(),"新到期日已逾期","資格已恢復"),"恢復資料未完整"),"待完成恢復條件")))))</x:f>
        <x:v>先完成資格核定</x:v>
      </x:c>
    </x:row>
    <x:row r="25">
      <x:c r="A25" s="79" t="str">
        <x:v>REC|1020|LJT-PREP-IMPLANT</x:v>
      </x:c>
      <x:c r="B25" s="79" t="str">
        <x:v>1020</x:v>
      </x:c>
      <x:c r="C25" s="79" t="str"/>
      <x:c r="D25" s="79" t="str">
        <x:v>LJT-PREP-IMPLANT</x:v>
      </x:c>
      <x:c r="E25" s="79" t="str">
        <x:v>◎</x:v>
      </x:c>
      <x:c r="F25" s="115" t="str">
        <x:f>IF($E25="未評估","未建立",IF(_xlfn.XLOOKUP("QUAL|1020|LJT-PREP-IMPLANT",'主管核定中心'!$A$12:$A$372,'主管核定中心'!$K$12:$K$372,"待主管核定",0)="已核定",IF(OR($H25="",TODAY()&gt;$H25),"逾期","有效"),_xlfn.XLOOKUP("QUAL|1020|LJT-PREP-IMPLANT",'主管核定中心'!$A$12:$A$372,'主管核定中心'!$K$12:$K$372,"待主管核定",0)))</x:f>
        <x:v>待主管核定</x:v>
      </x:c>
      <x:c r="G25" s="117" t="n">
        <x:v>46266</x:v>
      </x:c>
      <x:c r="H25" s="117" t="n">
        <x:v>46447</x:v>
      </x:c>
      <x:c r="I25" s="116"/>
      <x:c r="J25" s="118"/>
      <x:c r="K25" s="116"/>
      <x:c r="L25" s="115" t="str">
        <x:f>IF($K25="","",_xlfn.XLOOKUP($K25,'考核紀錄輸入'!$A$7:$A$106,'考核紀錄輸入'!$L$7:$L$106,"考核編號不存在",0))</x:f>
      </x:c>
      <x:c r="M25" s="115" t="str">
        <x:f>IF($K25="","",IF(AND(_xlfn.XLOOKUP($K25,'考核紀錄輸入'!$A$7:$A$106,'考核紀錄輸入'!$C$7:$C$106,"",0)=$B25,_xlfn.XLOOKUP($K25,'考核紀錄輸入'!$A$7:$A$106,'考核紀錄輸入'!$E$7:$E$106,"",0)=$D25),"符合","不符"))</x:f>
      </x:c>
      <x:c r="N25" s="116" t="str">
        <x:v>待核定</x:v>
      </x:c>
      <x:c r="O25" s="118"/>
      <x:c r="P25" s="118"/>
      <x:c r="Q25" s="116"/>
      <x:c r="R25" s="116"/>
      <x:c r="S25" s="115" t="str">
        <x:f>IF($F25="未建立","先完成考核",IF($F25="待主管核定","先完成資格核定",IF(AND($F25&lt;&gt;"資格暫停",$F25&lt;&gt;"逾期"),"無需恢復",IF($N25="不恢復","維持暫停",IF($N25="核定恢復",IF(AND($I25&lt;&gt;"",$J25&lt;&gt;"",$K25&lt;&gt;"",$L25="通過",$M25="符合",$O25&lt;&gt;"",$P25&lt;&gt;"",$Q25&lt;&gt;""),IF($P25&lt;TODAY(),"新到期日已逾期","資格已恢復"),"恢復資料未完整"),"待完成恢復條件")))))</x:f>
        <x:v>先完成資格核定</x:v>
      </x:c>
    </x:row>
    <x:row r="26">
      <x:c r="A26" s="79" t="str">
        <x:v>REC|1020|LJT-RPD-FINAL</x:v>
      </x:c>
      <x:c r="B26" s="79" t="str">
        <x:v>1020</x:v>
      </x:c>
      <x:c r="C26" s="79" t="str"/>
      <x:c r="D26" s="79" t="str">
        <x:v>LJT-RPD-FINAL</x:v>
      </x:c>
      <x:c r="E26" s="79" t="str">
        <x:v>未評估</x:v>
      </x:c>
      <x:c r="F26" s="115" t="str">
        <x:f>IF($E26="未評估","未建立",IF(_xlfn.XLOOKUP("QUAL|1020|LJT-RPD-FINAL",'主管核定中心'!$A$12:$A$372,'主管核定中心'!$K$12:$K$372,"待主管核定",0)="已核定",IF(OR($H26="",TODAY()&gt;$H26),"逾期","有效"),_xlfn.XLOOKUP("QUAL|1020|LJT-RPD-FINAL",'主管核定中心'!$A$12:$A$372,'主管核定中心'!$K$12:$K$372,"待主管核定",0)))</x:f>
        <x:v>未建立</x:v>
      </x:c>
      <x:c r="G26" s="117"/>
      <x:c r="H26" s="117"/>
      <x:c r="I26" s="116"/>
      <x:c r="J26" s="118"/>
      <x:c r="K26" s="116"/>
      <x:c r="L26" s="115" t="str">
        <x:f>IF($K26="","",_xlfn.XLOOKUP($K26,'考核紀錄輸入'!$A$7:$A$106,'考核紀錄輸入'!$L$7:$L$106,"考核編號不存在",0))</x:f>
      </x:c>
      <x:c r="M26" s="115" t="str">
        <x:f>IF($K26="","",IF(AND(_xlfn.XLOOKUP($K26,'考核紀錄輸入'!$A$7:$A$106,'考核紀錄輸入'!$C$7:$C$106,"",0)=$B26,_xlfn.XLOOKUP($K26,'考核紀錄輸入'!$A$7:$A$106,'考核紀錄輸入'!$E$7:$E$106,"",0)=$D26),"符合","不符"))</x:f>
      </x:c>
      <x:c r="N26" s="116" t="str">
        <x:v>待核定</x:v>
      </x:c>
      <x:c r="O26" s="118"/>
      <x:c r="P26" s="118"/>
      <x:c r="Q26" s="116"/>
      <x:c r="R26" s="116"/>
      <x:c r="S26" s="115" t="str">
        <x:f>IF($F26="未建立","先完成考核",IF($F26="待主管核定","先完成資格核定",IF(AND($F26&lt;&gt;"資格暫停",$F26&lt;&gt;"逾期"),"無需恢復",IF($N26="不恢復","維持暫停",IF($N26="核定恢復",IF(AND($I26&lt;&gt;"",$J26&lt;&gt;"",$K26&lt;&gt;"",$L26="通過",$M26="符合",$O26&lt;&gt;"",$P26&lt;&gt;"",$Q26&lt;&gt;""),IF($P26&lt;TODAY(),"新到期日已逾期","資格已恢復"),"恢復資料未完整"),"待完成恢復條件")))))</x:f>
        <x:v>先完成考核</x:v>
      </x:c>
    </x:row>
    <x:row r="27">
      <x:c r="A27" s="79" t="str">
        <x:v>REC|1025|LJT-PREP-PERIOSURG</x:v>
      </x:c>
      <x:c r="B27" s="79" t="str">
        <x:v>1025</x:v>
      </x:c>
      <x:c r="C27" s="79" t="str"/>
      <x:c r="D27" s="79" t="str">
        <x:v>LJT-PREP-PERIOSURG</x:v>
      </x:c>
      <x:c r="E27" s="79" t="str">
        <x:v>Ø</x:v>
      </x:c>
      <x:c r="F27" s="115" t="str">
        <x:f>IF($E27="未評估","未建立",IF(_xlfn.XLOOKUP("QUAL|1025|LJT-PREP-PERIOSURG",'主管核定中心'!$A$12:$A$372,'主管核定中心'!$K$12:$K$372,"待主管核定",0)="已核定",IF(OR($H27="",TODAY()&gt;$H27),"逾期","有效"),_xlfn.XLOOKUP("QUAL|1025|LJT-PREP-PERIOSURG",'主管核定中心'!$A$12:$A$372,'主管核定中心'!$K$12:$K$372,"待主管核定",0)))</x:f>
        <x:v>待主管核定</x:v>
      </x:c>
      <x:c r="G27" s="117" t="n">
        <x:v>46266</x:v>
      </x:c>
      <x:c r="H27" s="117" t="n">
        <x:v>46447</x:v>
      </x:c>
      <x:c r="I27" s="116"/>
      <x:c r="J27" s="118"/>
      <x:c r="K27" s="116"/>
      <x:c r="L27" s="115" t="str">
        <x:f>IF($K27="","",_xlfn.XLOOKUP($K27,'考核紀錄輸入'!$A$7:$A$106,'考核紀錄輸入'!$L$7:$L$106,"考核編號不存在",0))</x:f>
      </x:c>
      <x:c r="M27" s="115" t="str">
        <x:f>IF($K27="","",IF(AND(_xlfn.XLOOKUP($K27,'考核紀錄輸入'!$A$7:$A$106,'考核紀錄輸入'!$C$7:$C$106,"",0)=$B27,_xlfn.XLOOKUP($K27,'考核紀錄輸入'!$A$7:$A$106,'考核紀錄輸入'!$E$7:$E$106,"",0)=$D27),"符合","不符"))</x:f>
      </x:c>
      <x:c r="N27" s="116" t="str">
        <x:v>待核定</x:v>
      </x:c>
      <x:c r="O27" s="118"/>
      <x:c r="P27" s="118"/>
      <x:c r="Q27" s="116"/>
      <x:c r="R27" s="116"/>
      <x:c r="S27" s="115" t="str">
        <x:f>IF($F27="未建立","先完成考核",IF($F27="待主管核定","先完成資格核定",IF(AND($F27&lt;&gt;"資格暫停",$F27&lt;&gt;"逾期"),"無需恢復",IF($N27="不恢復","維持暫停",IF($N27="核定恢復",IF(AND($I27&lt;&gt;"",$J27&lt;&gt;"",$K27&lt;&gt;"",$L27="通過",$M27="符合",$O27&lt;&gt;"",$P27&lt;&gt;"",$Q27&lt;&gt;""),IF($P27&lt;TODAY(),"新到期日已逾期","資格已恢復"),"恢復資料未完整"),"待完成恢復條件")))))</x:f>
        <x:v>先完成資格核定</x:v>
      </x:c>
    </x:row>
    <x:row r="28">
      <x:c r="A28" s="79" t="str">
        <x:v>REC|1025|LJT-PREP-MICROENDO</x:v>
      </x:c>
      <x:c r="B28" s="79" t="str">
        <x:v>1025</x:v>
      </x:c>
      <x:c r="C28" s="79" t="str"/>
      <x:c r="D28" s="79" t="str">
        <x:v>LJT-PREP-MICROENDO</x:v>
      </x:c>
      <x:c r="E28" s="79" t="str">
        <x:v>※</x:v>
      </x:c>
      <x:c r="F28" s="115" t="str">
        <x:f>IF($E28="未評估","未建立",IF(_xlfn.XLOOKUP("QUAL|1025|LJT-PREP-MICROENDO",'主管核定中心'!$A$12:$A$372,'主管核定中心'!$K$12:$K$372,"待主管核定",0)="已核定",IF(OR($H28="",TODAY()&gt;$H28),"逾期","有效"),_xlfn.XLOOKUP("QUAL|1025|LJT-PREP-MICROENDO",'主管核定中心'!$A$12:$A$372,'主管核定中心'!$K$12:$K$372,"待主管核定",0)))</x:f>
        <x:v>待主管核定</x:v>
      </x:c>
      <x:c r="G28" s="117" t="n">
        <x:v>46266</x:v>
      </x:c>
      <x:c r="H28" s="117" t="n">
        <x:v>46447</x:v>
      </x:c>
      <x:c r="I28" s="116"/>
      <x:c r="J28" s="118"/>
      <x:c r="K28" s="116"/>
      <x:c r="L28" s="115" t="str">
        <x:f>IF($K28="","",_xlfn.XLOOKUP($K28,'考核紀錄輸入'!$A$7:$A$106,'考核紀錄輸入'!$L$7:$L$106,"考核編號不存在",0))</x:f>
      </x:c>
      <x:c r="M28" s="115" t="str">
        <x:f>IF($K28="","",IF(AND(_xlfn.XLOOKUP($K28,'考核紀錄輸入'!$A$7:$A$106,'考核紀錄輸入'!$C$7:$C$106,"",0)=$B28,_xlfn.XLOOKUP($K28,'考核紀錄輸入'!$A$7:$A$106,'考核紀錄輸入'!$E$7:$E$106,"",0)=$D28),"符合","不符"))</x:f>
      </x:c>
      <x:c r="N28" s="116" t="str">
        <x:v>待核定</x:v>
      </x:c>
      <x:c r="O28" s="118"/>
      <x:c r="P28" s="118"/>
      <x:c r="Q28" s="116"/>
      <x:c r="R28" s="116"/>
      <x:c r="S28" s="115" t="str">
        <x:f>IF($F28="未建立","先完成考核",IF($F28="待主管核定","先完成資格核定",IF(AND($F28&lt;&gt;"資格暫停",$F28&lt;&gt;"逾期"),"無需恢復",IF($N28="不恢復","維持暫停",IF($N28="核定恢復",IF(AND($I28&lt;&gt;"",$J28&lt;&gt;"",$K28&lt;&gt;"",$L28="通過",$M28="符合",$O28&lt;&gt;"",$P28&lt;&gt;"",$Q28&lt;&gt;""),IF($P28&lt;TODAY(),"新到期日已逾期","資格已恢復"),"恢復資料未完整"),"待完成恢復條件")))))</x:f>
        <x:v>先完成資格核定</x:v>
      </x:c>
    </x:row>
    <x:row r="29">
      <x:c r="A29" s="79" t="str">
        <x:v>REC|1025|LJT-PREP-IMPLANT</x:v>
      </x:c>
      <x:c r="B29" s="79" t="str">
        <x:v>1025</x:v>
      </x:c>
      <x:c r="C29" s="79" t="str"/>
      <x:c r="D29" s="79" t="str">
        <x:v>LJT-PREP-IMPLANT</x:v>
      </x:c>
      <x:c r="E29" s="79" t="str">
        <x:v>Ø</x:v>
      </x:c>
      <x:c r="F29" s="115" t="str">
        <x:f>IF($E29="未評估","未建立",IF(_xlfn.XLOOKUP("QUAL|1025|LJT-PREP-IMPLANT",'主管核定中心'!$A$12:$A$372,'主管核定中心'!$K$12:$K$372,"待主管核定",0)="已核定",IF(OR($H29="",TODAY()&gt;$H29),"逾期","有效"),_xlfn.XLOOKUP("QUAL|1025|LJT-PREP-IMPLANT",'主管核定中心'!$A$12:$A$372,'主管核定中心'!$K$12:$K$372,"待主管核定",0)))</x:f>
        <x:v>待主管核定</x:v>
      </x:c>
      <x:c r="G29" s="117" t="n">
        <x:v>46266</x:v>
      </x:c>
      <x:c r="H29" s="117" t="n">
        <x:v>46447</x:v>
      </x:c>
      <x:c r="I29" s="116"/>
      <x:c r="J29" s="118"/>
      <x:c r="K29" s="116"/>
      <x:c r="L29" s="115" t="str">
        <x:f>IF($K29="","",_xlfn.XLOOKUP($K29,'考核紀錄輸入'!$A$7:$A$106,'考核紀錄輸入'!$L$7:$L$106,"考核編號不存在",0))</x:f>
      </x:c>
      <x:c r="M29" s="115" t="str">
        <x:f>IF($K29="","",IF(AND(_xlfn.XLOOKUP($K29,'考核紀錄輸入'!$A$7:$A$106,'考核紀錄輸入'!$C$7:$C$106,"",0)=$B29,_xlfn.XLOOKUP($K29,'考核紀錄輸入'!$A$7:$A$106,'考核紀錄輸入'!$E$7:$E$106,"",0)=$D29),"符合","不符"))</x:f>
      </x:c>
      <x:c r="N29" s="116" t="str">
        <x:v>待核定</x:v>
      </x:c>
      <x:c r="O29" s="118"/>
      <x:c r="P29" s="118"/>
      <x:c r="Q29" s="116"/>
      <x:c r="R29" s="116"/>
      <x:c r="S29" s="115" t="str">
        <x:f>IF($F29="未建立","先完成考核",IF($F29="待主管核定","先完成資格核定",IF(AND($F29&lt;&gt;"資格暫停",$F29&lt;&gt;"逾期"),"無需恢復",IF($N29="不恢復","維持暫停",IF($N29="核定恢復",IF(AND($I29&lt;&gt;"",$J29&lt;&gt;"",$K29&lt;&gt;"",$L29="通過",$M29="符合",$O29&lt;&gt;"",$P29&lt;&gt;"",$Q29&lt;&gt;""),IF($P29&lt;TODAY(),"新到期日已逾期","資格已恢復"),"恢復資料未完整"),"待完成恢復條件")))))</x:f>
        <x:v>先完成資格核定</x:v>
      </x:c>
    </x:row>
    <x:row r="30">
      <x:c r="A30" s="79" t="str">
        <x:v>REC|1025|LJT-RPD-FINAL</x:v>
      </x:c>
      <x:c r="B30" s="79" t="str">
        <x:v>1025</x:v>
      </x:c>
      <x:c r="C30" s="79" t="str"/>
      <x:c r="D30" s="79" t="str">
        <x:v>LJT-RPD-FINAL</x:v>
      </x:c>
      <x:c r="E30" s="79" t="str">
        <x:v>未評估</x:v>
      </x:c>
      <x:c r="F30" s="115" t="str">
        <x:f>IF($E30="未評估","未建立",IF(_xlfn.XLOOKUP("QUAL|1025|LJT-RPD-FINAL",'主管核定中心'!$A$12:$A$372,'主管核定中心'!$K$12:$K$372,"待主管核定",0)="已核定",IF(OR($H30="",TODAY()&gt;$H30),"逾期","有效"),_xlfn.XLOOKUP("QUAL|1025|LJT-RPD-FINAL",'主管核定中心'!$A$12:$A$372,'主管核定中心'!$K$12:$K$372,"待主管核定",0)))</x:f>
        <x:v>未建立</x:v>
      </x:c>
      <x:c r="G30" s="117"/>
      <x:c r="H30" s="117"/>
      <x:c r="I30" s="116"/>
      <x:c r="J30" s="118"/>
      <x:c r="K30" s="116"/>
      <x:c r="L30" s="115" t="str">
        <x:f>IF($K30="","",_xlfn.XLOOKUP($K30,'考核紀錄輸入'!$A$7:$A$106,'考核紀錄輸入'!$L$7:$L$106,"考核編號不存在",0))</x:f>
      </x:c>
      <x:c r="M30" s="115" t="str">
        <x:f>IF($K30="","",IF(AND(_xlfn.XLOOKUP($K30,'考核紀錄輸入'!$A$7:$A$106,'考核紀錄輸入'!$C$7:$C$106,"",0)=$B30,_xlfn.XLOOKUP($K30,'考核紀錄輸入'!$A$7:$A$106,'考核紀錄輸入'!$E$7:$E$106,"",0)=$D30),"符合","不符"))</x:f>
      </x:c>
      <x:c r="N30" s="116" t="str">
        <x:v>待核定</x:v>
      </x:c>
      <x:c r="O30" s="118"/>
      <x:c r="P30" s="118"/>
      <x:c r="Q30" s="116"/>
      <x:c r="R30" s="116"/>
      <x:c r="S30" s="115" t="str">
        <x:f>IF($F30="未建立","先完成考核",IF($F30="待主管核定","先完成資格核定",IF(AND($F30&lt;&gt;"資格暫停",$F30&lt;&gt;"逾期"),"無需恢復",IF($N30="不恢復","維持暫停",IF($N30="核定恢復",IF(AND($I30&lt;&gt;"",$J30&lt;&gt;"",$K30&lt;&gt;"",$L30="通過",$M30="符合",$O30&lt;&gt;"",$P30&lt;&gt;"",$Q30&lt;&gt;""),IF($P30&lt;TODAY(),"新到期日已逾期","資格已恢復"),"恢復資料未完整"),"待完成恢復條件")))))</x:f>
        <x:v>先完成考核</x:v>
      </x:c>
    </x:row>
    <x:row r="31">
      <x:c r="A31" s="79" t="str">
        <x:v>REC|1026|LJT-PREP-PERIOSURG</x:v>
      </x:c>
      <x:c r="B31" s="79" t="str">
        <x:v>1026</x:v>
      </x:c>
      <x:c r="C31" s="79" t="str"/>
      <x:c r="D31" s="79" t="str">
        <x:v>LJT-PREP-PERIOSURG</x:v>
      </x:c>
      <x:c r="E31" s="79" t="str">
        <x:v>※</x:v>
      </x:c>
      <x:c r="F31" s="115" t="str">
        <x:f>IF($E31="未評估","未建立",IF(_xlfn.XLOOKUP("QUAL|1026|LJT-PREP-PERIOSURG",'主管核定中心'!$A$12:$A$372,'主管核定中心'!$K$12:$K$372,"待主管核定",0)="已核定",IF(OR($H31="",TODAY()&gt;$H31),"逾期","有效"),_xlfn.XLOOKUP("QUAL|1026|LJT-PREP-PERIOSURG",'主管核定中心'!$A$12:$A$372,'主管核定中心'!$K$12:$K$372,"待主管核定",0)))</x:f>
        <x:v>待主管核定</x:v>
      </x:c>
      <x:c r="G31" s="117" t="n">
        <x:v>46266</x:v>
      </x:c>
      <x:c r="H31" s="117" t="n">
        <x:v>46447</x:v>
      </x:c>
      <x:c r="I31" s="116"/>
      <x:c r="J31" s="118"/>
      <x:c r="K31" s="116"/>
      <x:c r="L31" s="115" t="str">
        <x:f>IF($K31="","",_xlfn.XLOOKUP($K31,'考核紀錄輸入'!$A$7:$A$106,'考核紀錄輸入'!$L$7:$L$106,"考核編號不存在",0))</x:f>
      </x:c>
      <x:c r="M31" s="115" t="str">
        <x:f>IF($K31="","",IF(AND(_xlfn.XLOOKUP($K31,'考核紀錄輸入'!$A$7:$A$106,'考核紀錄輸入'!$C$7:$C$106,"",0)=$B31,_xlfn.XLOOKUP($K31,'考核紀錄輸入'!$A$7:$A$106,'考核紀錄輸入'!$E$7:$E$106,"",0)=$D31),"符合","不符"))</x:f>
      </x:c>
      <x:c r="N31" s="116" t="str">
        <x:v>待核定</x:v>
      </x:c>
      <x:c r="O31" s="118"/>
      <x:c r="P31" s="118"/>
      <x:c r="Q31" s="116"/>
      <x:c r="R31" s="116"/>
      <x:c r="S31" s="115" t="str">
        <x:f>IF($F31="未建立","先完成考核",IF($F31="待主管核定","先完成資格核定",IF(AND($F31&lt;&gt;"資格暫停",$F31&lt;&gt;"逾期"),"無需恢復",IF($N31="不恢復","維持暫停",IF($N31="核定恢復",IF(AND($I31&lt;&gt;"",$J31&lt;&gt;"",$K31&lt;&gt;"",$L31="通過",$M31="符合",$O31&lt;&gt;"",$P31&lt;&gt;"",$Q31&lt;&gt;""),IF($P31&lt;TODAY(),"新到期日已逾期","資格已恢復"),"恢復資料未完整"),"待完成恢復條件")))))</x:f>
        <x:v>先完成資格核定</x:v>
      </x:c>
    </x:row>
    <x:row r="32">
      <x:c r="A32" s="79" t="str">
        <x:v>REC|1026|LJT-PREP-MICROENDO</x:v>
      </x:c>
      <x:c r="B32" s="79" t="str">
        <x:v>1026</x:v>
      </x:c>
      <x:c r="C32" s="79" t="str"/>
      <x:c r="D32" s="79" t="str">
        <x:v>LJT-PREP-MICROENDO</x:v>
      </x:c>
      <x:c r="E32" s="79" t="str">
        <x:v>※</x:v>
      </x:c>
      <x:c r="F32" s="115" t="str">
        <x:f>IF($E32="未評估","未建立",IF(_xlfn.XLOOKUP("QUAL|1026|LJT-PREP-MICROENDO",'主管核定中心'!$A$12:$A$372,'主管核定中心'!$K$12:$K$372,"待主管核定",0)="已核定",IF(OR($H32="",TODAY()&gt;$H32),"逾期","有效"),_xlfn.XLOOKUP("QUAL|1026|LJT-PREP-MICROENDO",'主管核定中心'!$A$12:$A$372,'主管核定中心'!$K$12:$K$372,"待主管核定",0)))</x:f>
        <x:v>待主管核定</x:v>
      </x:c>
      <x:c r="G32" s="117" t="n">
        <x:v>46266</x:v>
      </x:c>
      <x:c r="H32" s="117" t="n">
        <x:v>46447</x:v>
      </x:c>
      <x:c r="I32" s="116"/>
      <x:c r="J32" s="118"/>
      <x:c r="K32" s="116"/>
      <x:c r="L32" s="115" t="str">
        <x:f>IF($K32="","",_xlfn.XLOOKUP($K32,'考核紀錄輸入'!$A$7:$A$106,'考核紀錄輸入'!$L$7:$L$106,"考核編號不存在",0))</x:f>
      </x:c>
      <x:c r="M32" s="115" t="str">
        <x:f>IF($K32="","",IF(AND(_xlfn.XLOOKUP($K32,'考核紀錄輸入'!$A$7:$A$106,'考核紀錄輸入'!$C$7:$C$106,"",0)=$B32,_xlfn.XLOOKUP($K32,'考核紀錄輸入'!$A$7:$A$106,'考核紀錄輸入'!$E$7:$E$106,"",0)=$D32),"符合","不符"))</x:f>
      </x:c>
      <x:c r="N32" s="116" t="str">
        <x:v>待核定</x:v>
      </x:c>
      <x:c r="O32" s="118"/>
      <x:c r="P32" s="118"/>
      <x:c r="Q32" s="116"/>
      <x:c r="R32" s="116"/>
      <x:c r="S32" s="115" t="str">
        <x:f>IF($F32="未建立","先完成考核",IF($F32="待主管核定","先完成資格核定",IF(AND($F32&lt;&gt;"資格暫停",$F32&lt;&gt;"逾期"),"無需恢復",IF($N32="不恢復","維持暫停",IF($N32="核定恢復",IF(AND($I32&lt;&gt;"",$J32&lt;&gt;"",$K32&lt;&gt;"",$L32="通過",$M32="符合",$O32&lt;&gt;"",$P32&lt;&gt;"",$Q32&lt;&gt;""),IF($P32&lt;TODAY(),"新到期日已逾期","資格已恢復"),"恢復資料未完整"),"待完成恢復條件")))))</x:f>
        <x:v>先完成資格核定</x:v>
      </x:c>
    </x:row>
    <x:row r="33">
      <x:c r="A33" s="79" t="str">
        <x:v>REC|1026|LJT-PREP-IMPLANT</x:v>
      </x:c>
      <x:c r="B33" s="79" t="str">
        <x:v>1026</x:v>
      </x:c>
      <x:c r="C33" s="79" t="str"/>
      <x:c r="D33" s="79" t="str">
        <x:v>LJT-PREP-IMPLANT</x:v>
      </x:c>
      <x:c r="E33" s="79" t="str">
        <x:v>◎</x:v>
      </x:c>
      <x:c r="F33" s="115" t="str">
        <x:f>IF($E33="未評估","未建立",IF(_xlfn.XLOOKUP("QUAL|1026|LJT-PREP-IMPLANT",'主管核定中心'!$A$12:$A$372,'主管核定中心'!$K$12:$K$372,"待主管核定",0)="已核定",IF(OR($H33="",TODAY()&gt;$H33),"逾期","有效"),_xlfn.XLOOKUP("QUAL|1026|LJT-PREP-IMPLANT",'主管核定中心'!$A$12:$A$372,'主管核定中心'!$K$12:$K$372,"待主管核定",0)))</x:f>
        <x:v>待主管核定</x:v>
      </x:c>
      <x:c r="G33" s="117" t="n">
        <x:v>46266</x:v>
      </x:c>
      <x:c r="H33" s="117" t="n">
        <x:v>46447</x:v>
      </x:c>
      <x:c r="I33" s="116"/>
      <x:c r="J33" s="118"/>
      <x:c r="K33" s="116"/>
      <x:c r="L33" s="115" t="str">
        <x:f>IF($K33="","",_xlfn.XLOOKUP($K33,'考核紀錄輸入'!$A$7:$A$106,'考核紀錄輸入'!$L$7:$L$106,"考核編號不存在",0))</x:f>
      </x:c>
      <x:c r="M33" s="115" t="str">
        <x:f>IF($K33="","",IF(AND(_xlfn.XLOOKUP($K33,'考核紀錄輸入'!$A$7:$A$106,'考核紀錄輸入'!$C$7:$C$106,"",0)=$B33,_xlfn.XLOOKUP($K33,'考核紀錄輸入'!$A$7:$A$106,'考核紀錄輸入'!$E$7:$E$106,"",0)=$D33),"符合","不符"))</x:f>
      </x:c>
      <x:c r="N33" s="116" t="str">
        <x:v>待核定</x:v>
      </x:c>
      <x:c r="O33" s="118"/>
      <x:c r="P33" s="118"/>
      <x:c r="Q33" s="116"/>
      <x:c r="R33" s="116"/>
      <x:c r="S33" s="115" t="str">
        <x:f>IF($F33="未建立","先完成考核",IF($F33="待主管核定","先完成資格核定",IF(AND($F33&lt;&gt;"資格暫停",$F33&lt;&gt;"逾期"),"無需恢復",IF($N33="不恢復","維持暫停",IF($N33="核定恢復",IF(AND($I33&lt;&gt;"",$J33&lt;&gt;"",$K33&lt;&gt;"",$L33="通過",$M33="符合",$O33&lt;&gt;"",$P33&lt;&gt;"",$Q33&lt;&gt;""),IF($P33&lt;TODAY(),"新到期日已逾期","資格已恢復"),"恢復資料未完整"),"待完成恢復條件")))))</x:f>
        <x:v>先完成資格核定</x:v>
      </x:c>
    </x:row>
    <x:row r="34">
      <x:c r="A34" s="79" t="str">
        <x:v>REC|1026|LJT-RPD-FINAL</x:v>
      </x:c>
      <x:c r="B34" s="79" t="str">
        <x:v>1026</x:v>
      </x:c>
      <x:c r="C34" s="79" t="str"/>
      <x:c r="D34" s="79" t="str">
        <x:v>LJT-RPD-FINAL</x:v>
      </x:c>
      <x:c r="E34" s="79" t="str">
        <x:v>未評估</x:v>
      </x:c>
      <x:c r="F34" s="115" t="str">
        <x:f>IF($E34="未評估","未建立",IF(_xlfn.XLOOKUP("QUAL|1026|LJT-RPD-FINAL",'主管核定中心'!$A$12:$A$372,'主管核定中心'!$K$12:$K$372,"待主管核定",0)="已核定",IF(OR($H34="",TODAY()&gt;$H34),"逾期","有效"),_xlfn.XLOOKUP("QUAL|1026|LJT-RPD-FINAL",'主管核定中心'!$A$12:$A$372,'主管核定中心'!$K$12:$K$372,"待主管核定",0)))</x:f>
        <x:v>未建立</x:v>
      </x:c>
      <x:c r="G34" s="117"/>
      <x:c r="H34" s="117"/>
      <x:c r="I34" s="116"/>
      <x:c r="J34" s="118"/>
      <x:c r="K34" s="116"/>
      <x:c r="L34" s="115" t="str">
        <x:f>IF($K34="","",_xlfn.XLOOKUP($K34,'考核紀錄輸入'!$A$7:$A$106,'考核紀錄輸入'!$L$7:$L$106,"考核編號不存在",0))</x:f>
      </x:c>
      <x:c r="M34" s="115" t="str">
        <x:f>IF($K34="","",IF(AND(_xlfn.XLOOKUP($K34,'考核紀錄輸入'!$A$7:$A$106,'考核紀錄輸入'!$C$7:$C$106,"",0)=$B34,_xlfn.XLOOKUP($K34,'考核紀錄輸入'!$A$7:$A$106,'考核紀錄輸入'!$E$7:$E$106,"",0)=$D34),"符合","不符"))</x:f>
      </x:c>
      <x:c r="N34" s="116" t="str">
        <x:v>待核定</x:v>
      </x:c>
      <x:c r="O34" s="118"/>
      <x:c r="P34" s="118"/>
      <x:c r="Q34" s="116"/>
      <x:c r="R34" s="116"/>
      <x:c r="S34" s="115" t="str">
        <x:f>IF($F34="未建立","先完成考核",IF($F34="待主管核定","先完成資格核定",IF(AND($F34&lt;&gt;"資格暫停",$F34&lt;&gt;"逾期"),"無需恢復",IF($N34="不恢復","維持暫停",IF($N34="核定恢復",IF(AND($I34&lt;&gt;"",$J34&lt;&gt;"",$K34&lt;&gt;"",$L34="通過",$M34="符合",$O34&lt;&gt;"",$P34&lt;&gt;"",$Q34&lt;&gt;""),IF($P34&lt;TODAY(),"新到期日已逾期","資格已恢復"),"恢復資料未完整"),"待完成恢復條件")))))</x:f>
        <x:v>先完成考核</x:v>
      </x:c>
    </x:row>
    <x:row r="35">
      <x:c r="A35" s="79" t="str">
        <x:v>REC|1027|LJT-PREP-PERIOSURG</x:v>
      </x:c>
      <x:c r="B35" s="79" t="str">
        <x:v>1027</x:v>
      </x:c>
      <x:c r="C35" s="79" t="str"/>
      <x:c r="D35" s="79" t="str">
        <x:v>LJT-PREP-PERIOSURG</x:v>
      </x:c>
      <x:c r="E35" s="79" t="str">
        <x:v>Ø</x:v>
      </x:c>
      <x:c r="F35" s="115" t="str">
        <x:f>IF($E35="未評估","未建立",IF(_xlfn.XLOOKUP("QUAL|1027|LJT-PREP-PERIOSURG",'主管核定中心'!$A$12:$A$372,'主管核定中心'!$K$12:$K$372,"待主管核定",0)="已核定",IF(OR($H35="",TODAY()&gt;$H35),"逾期","有效"),_xlfn.XLOOKUP("QUAL|1027|LJT-PREP-PERIOSURG",'主管核定中心'!$A$12:$A$372,'主管核定中心'!$K$12:$K$372,"待主管核定",0)))</x:f>
        <x:v>待主管核定</x:v>
      </x:c>
      <x:c r="G35" s="117" t="n">
        <x:v>46266</x:v>
      </x:c>
      <x:c r="H35" s="117" t="n">
        <x:v>46447</x:v>
      </x:c>
      <x:c r="I35" s="116"/>
      <x:c r="J35" s="118"/>
      <x:c r="K35" s="116"/>
      <x:c r="L35" s="115" t="str">
        <x:f>IF($K35="","",_xlfn.XLOOKUP($K35,'考核紀錄輸入'!$A$7:$A$106,'考核紀錄輸入'!$L$7:$L$106,"考核編號不存在",0))</x:f>
      </x:c>
      <x:c r="M35" s="115" t="str">
        <x:f>IF($K35="","",IF(AND(_xlfn.XLOOKUP($K35,'考核紀錄輸入'!$A$7:$A$106,'考核紀錄輸入'!$C$7:$C$106,"",0)=$B35,_xlfn.XLOOKUP($K35,'考核紀錄輸入'!$A$7:$A$106,'考核紀錄輸入'!$E$7:$E$106,"",0)=$D35),"符合","不符"))</x:f>
      </x:c>
      <x:c r="N35" s="116" t="str">
        <x:v>待核定</x:v>
      </x:c>
      <x:c r="O35" s="118"/>
      <x:c r="P35" s="118"/>
      <x:c r="Q35" s="116"/>
      <x:c r="R35" s="116"/>
      <x:c r="S35" s="115" t="str">
        <x:f>IF($F35="未建立","先完成考核",IF($F35="待主管核定","先完成資格核定",IF(AND($F35&lt;&gt;"資格暫停",$F35&lt;&gt;"逾期"),"無需恢復",IF($N35="不恢復","維持暫停",IF($N35="核定恢復",IF(AND($I35&lt;&gt;"",$J35&lt;&gt;"",$K35&lt;&gt;"",$L35="通過",$M35="符合",$O35&lt;&gt;"",$P35&lt;&gt;"",$Q35&lt;&gt;""),IF($P35&lt;TODAY(),"新到期日已逾期","資格已恢復"),"恢復資料未完整"),"待完成恢復條件")))))</x:f>
        <x:v>先完成資格核定</x:v>
      </x:c>
    </x:row>
    <x:row r="36">
      <x:c r="A36" s="79" t="str">
        <x:v>REC|1027|LJT-PREP-MICROENDO</x:v>
      </x:c>
      <x:c r="B36" s="79" t="str">
        <x:v>1027</x:v>
      </x:c>
      <x:c r="C36" s="79" t="str"/>
      <x:c r="D36" s="79" t="str">
        <x:v>LJT-PREP-MICROENDO</x:v>
      </x:c>
      <x:c r="E36" s="79" t="str">
        <x:v>※</x:v>
      </x:c>
      <x:c r="F36" s="115" t="str">
        <x:f>IF($E36="未評估","未建立",IF(_xlfn.XLOOKUP("QUAL|1027|LJT-PREP-MICROENDO",'主管核定中心'!$A$12:$A$372,'主管核定中心'!$K$12:$K$372,"待主管核定",0)="已核定",IF(OR($H36="",TODAY()&gt;$H36),"逾期","有效"),_xlfn.XLOOKUP("QUAL|1027|LJT-PREP-MICROENDO",'主管核定中心'!$A$12:$A$372,'主管核定中心'!$K$12:$K$372,"待主管核定",0)))</x:f>
        <x:v>待主管核定</x:v>
      </x:c>
      <x:c r="G36" s="117" t="n">
        <x:v>46266</x:v>
      </x:c>
      <x:c r="H36" s="117" t="n">
        <x:v>46447</x:v>
      </x:c>
      <x:c r="I36" s="116"/>
      <x:c r="J36" s="118"/>
      <x:c r="K36" s="116"/>
      <x:c r="L36" s="115" t="str">
        <x:f>IF($K36="","",_xlfn.XLOOKUP($K36,'考核紀錄輸入'!$A$7:$A$106,'考核紀錄輸入'!$L$7:$L$106,"考核編號不存在",0))</x:f>
      </x:c>
      <x:c r="M36" s="115" t="str">
        <x:f>IF($K36="","",IF(AND(_xlfn.XLOOKUP($K36,'考核紀錄輸入'!$A$7:$A$106,'考核紀錄輸入'!$C$7:$C$106,"",0)=$B36,_xlfn.XLOOKUP($K36,'考核紀錄輸入'!$A$7:$A$106,'考核紀錄輸入'!$E$7:$E$106,"",0)=$D36),"符合","不符"))</x:f>
      </x:c>
      <x:c r="N36" s="116" t="str">
        <x:v>待核定</x:v>
      </x:c>
      <x:c r="O36" s="118"/>
      <x:c r="P36" s="118"/>
      <x:c r="Q36" s="116"/>
      <x:c r="R36" s="116"/>
      <x:c r="S36" s="115" t="str">
        <x:f>IF($F36="未建立","先完成考核",IF($F36="待主管核定","先完成資格核定",IF(AND($F36&lt;&gt;"資格暫停",$F36&lt;&gt;"逾期"),"無需恢復",IF($N36="不恢復","維持暫停",IF($N36="核定恢復",IF(AND($I36&lt;&gt;"",$J36&lt;&gt;"",$K36&lt;&gt;"",$L36="通過",$M36="符合",$O36&lt;&gt;"",$P36&lt;&gt;"",$Q36&lt;&gt;""),IF($P36&lt;TODAY(),"新到期日已逾期","資格已恢復"),"恢復資料未完整"),"待完成恢復條件")))))</x:f>
        <x:v>先完成資格核定</x:v>
      </x:c>
    </x:row>
    <x:row r="37">
      <x:c r="A37" s="79" t="str">
        <x:v>REC|1027|LJT-PREP-IMPLANT</x:v>
      </x:c>
      <x:c r="B37" s="79" t="str">
        <x:v>1027</x:v>
      </x:c>
      <x:c r="C37" s="79" t="str"/>
      <x:c r="D37" s="79" t="str">
        <x:v>LJT-PREP-IMPLANT</x:v>
      </x:c>
      <x:c r="E37" s="79" t="str">
        <x:v>Ø</x:v>
      </x:c>
      <x:c r="F37" s="115" t="str">
        <x:f>IF($E37="未評估","未建立",IF(_xlfn.XLOOKUP("QUAL|1027|LJT-PREP-IMPLANT",'主管核定中心'!$A$12:$A$372,'主管核定中心'!$K$12:$K$372,"待主管核定",0)="已核定",IF(OR($H37="",TODAY()&gt;$H37),"逾期","有效"),_xlfn.XLOOKUP("QUAL|1027|LJT-PREP-IMPLANT",'主管核定中心'!$A$12:$A$372,'主管核定中心'!$K$12:$K$372,"待主管核定",0)))</x:f>
        <x:v>待主管核定</x:v>
      </x:c>
      <x:c r="G37" s="117" t="n">
        <x:v>46266</x:v>
      </x:c>
      <x:c r="H37" s="117" t="n">
        <x:v>46447</x:v>
      </x:c>
      <x:c r="I37" s="116"/>
      <x:c r="J37" s="118"/>
      <x:c r="K37" s="116"/>
      <x:c r="L37" s="115" t="str">
        <x:f>IF($K37="","",_xlfn.XLOOKUP($K37,'考核紀錄輸入'!$A$7:$A$106,'考核紀錄輸入'!$L$7:$L$106,"考核編號不存在",0))</x:f>
      </x:c>
      <x:c r="M37" s="115" t="str">
        <x:f>IF($K37="","",IF(AND(_xlfn.XLOOKUP($K37,'考核紀錄輸入'!$A$7:$A$106,'考核紀錄輸入'!$C$7:$C$106,"",0)=$B37,_xlfn.XLOOKUP($K37,'考核紀錄輸入'!$A$7:$A$106,'考核紀錄輸入'!$E$7:$E$106,"",0)=$D37),"符合","不符"))</x:f>
      </x:c>
      <x:c r="N37" s="116" t="str">
        <x:v>待核定</x:v>
      </x:c>
      <x:c r="O37" s="118"/>
      <x:c r="P37" s="118"/>
      <x:c r="Q37" s="116"/>
      <x:c r="R37" s="116"/>
      <x:c r="S37" s="115" t="str">
        <x:f>IF($F37="未建立","先完成考核",IF($F37="待主管核定","先完成資格核定",IF(AND($F37&lt;&gt;"資格暫停",$F37&lt;&gt;"逾期"),"無需恢復",IF($N37="不恢復","維持暫停",IF($N37="核定恢復",IF(AND($I37&lt;&gt;"",$J37&lt;&gt;"",$K37&lt;&gt;"",$L37="通過",$M37="符合",$O37&lt;&gt;"",$P37&lt;&gt;"",$Q37&lt;&gt;""),IF($P37&lt;TODAY(),"新到期日已逾期","資格已恢復"),"恢復資料未完整"),"待完成恢復條件")))))</x:f>
        <x:v>先完成資格核定</x:v>
      </x:c>
    </x:row>
    <x:row r="38">
      <x:c r="A38" s="79" t="str">
        <x:v>REC|1027|LJT-RPD-FINAL</x:v>
      </x:c>
      <x:c r="B38" s="79" t="str">
        <x:v>1027</x:v>
      </x:c>
      <x:c r="C38" s="79" t="str"/>
      <x:c r="D38" s="79" t="str">
        <x:v>LJT-RPD-FINAL</x:v>
      </x:c>
      <x:c r="E38" s="79" t="str">
        <x:v>未評估</x:v>
      </x:c>
      <x:c r="F38" s="115" t="str">
        <x:f>IF($E38="未評估","未建立",IF(_xlfn.XLOOKUP("QUAL|1027|LJT-RPD-FINAL",'主管核定中心'!$A$12:$A$372,'主管核定中心'!$K$12:$K$372,"待主管核定",0)="已核定",IF(OR($H38="",TODAY()&gt;$H38),"逾期","有效"),_xlfn.XLOOKUP("QUAL|1027|LJT-RPD-FINAL",'主管核定中心'!$A$12:$A$372,'主管核定中心'!$K$12:$K$372,"待主管核定",0)))</x:f>
        <x:v>未建立</x:v>
      </x:c>
      <x:c r="G38" s="117"/>
      <x:c r="H38" s="117"/>
      <x:c r="I38" s="116"/>
      <x:c r="J38" s="118"/>
      <x:c r="K38" s="116"/>
      <x:c r="L38" s="115" t="str">
        <x:f>IF($K38="","",_xlfn.XLOOKUP($K38,'考核紀錄輸入'!$A$7:$A$106,'考核紀錄輸入'!$L$7:$L$106,"考核編號不存在",0))</x:f>
      </x:c>
      <x:c r="M38" s="115" t="str">
        <x:f>IF($K38="","",IF(AND(_xlfn.XLOOKUP($K38,'考核紀錄輸入'!$A$7:$A$106,'考核紀錄輸入'!$C$7:$C$106,"",0)=$B38,_xlfn.XLOOKUP($K38,'考核紀錄輸入'!$A$7:$A$106,'考核紀錄輸入'!$E$7:$E$106,"",0)=$D38),"符合","不符"))</x:f>
      </x:c>
      <x:c r="N38" s="116" t="str">
        <x:v>待核定</x:v>
      </x:c>
      <x:c r="O38" s="118"/>
      <x:c r="P38" s="118"/>
      <x:c r="Q38" s="116"/>
      <x:c r="R38" s="116"/>
      <x:c r="S38" s="115" t="str">
        <x:f>IF($F38="未建立","先完成考核",IF($F38="待主管核定","先完成資格核定",IF(AND($F38&lt;&gt;"資格暫停",$F38&lt;&gt;"逾期"),"無需恢復",IF($N38="不恢復","維持暫停",IF($N38="核定恢復",IF(AND($I38&lt;&gt;"",$J38&lt;&gt;"",$K38&lt;&gt;"",$L38="通過",$M38="符合",$O38&lt;&gt;"",$P38&lt;&gt;"",$Q38&lt;&gt;""),IF($P38&lt;TODAY(),"新到期日已逾期","資格已恢復"),"恢復資料未完整"),"待完成恢復條件")))))</x:f>
        <x:v>先完成考核</x:v>
      </x:c>
    </x:row>
    <x:row r="39">
      <x:c r="A39" s="79" t="str">
        <x:v>REC|1028|LJT-PREP-PERIOSURG</x:v>
      </x:c>
      <x:c r="B39" s="79" t="str">
        <x:v>1028</x:v>
      </x:c>
      <x:c r="C39" s="79" t="str"/>
      <x:c r="D39" s="79" t="str">
        <x:v>LJT-PREP-PERIOSURG</x:v>
      </x:c>
      <x:c r="E39" s="79" t="str">
        <x:v>※</x:v>
      </x:c>
      <x:c r="F39" s="115" t="str">
        <x:f>IF($E39="未評估","未建立",IF(_xlfn.XLOOKUP("QUAL|1028|LJT-PREP-PERIOSURG",'主管核定中心'!$A$12:$A$372,'主管核定中心'!$K$12:$K$372,"待主管核定",0)="已核定",IF(OR($H39="",TODAY()&gt;$H39),"逾期","有效"),_xlfn.XLOOKUP("QUAL|1028|LJT-PREP-PERIOSURG",'主管核定中心'!$A$12:$A$372,'主管核定中心'!$K$12:$K$372,"待主管核定",0)))</x:f>
        <x:v>待主管核定</x:v>
      </x:c>
      <x:c r="G39" s="117" t="n">
        <x:v>46266</x:v>
      </x:c>
      <x:c r="H39" s="117" t="n">
        <x:v>46447</x:v>
      </x:c>
      <x:c r="I39" s="116"/>
      <x:c r="J39" s="118"/>
      <x:c r="K39" s="116"/>
      <x:c r="L39" s="115" t="str">
        <x:f>IF($K39="","",_xlfn.XLOOKUP($K39,'考核紀錄輸入'!$A$7:$A$106,'考核紀錄輸入'!$L$7:$L$106,"考核編號不存在",0))</x:f>
      </x:c>
      <x:c r="M39" s="115" t="str">
        <x:f>IF($K39="","",IF(AND(_xlfn.XLOOKUP($K39,'考核紀錄輸入'!$A$7:$A$106,'考核紀錄輸入'!$C$7:$C$106,"",0)=$B39,_xlfn.XLOOKUP($K39,'考核紀錄輸入'!$A$7:$A$106,'考核紀錄輸入'!$E$7:$E$106,"",0)=$D39),"符合","不符"))</x:f>
      </x:c>
      <x:c r="N39" s="116" t="str">
        <x:v>待核定</x:v>
      </x:c>
      <x:c r="O39" s="118"/>
      <x:c r="P39" s="118"/>
      <x:c r="Q39" s="116"/>
      <x:c r="R39" s="116"/>
      <x:c r="S39" s="115" t="str">
        <x:f>IF($F39="未建立","先完成考核",IF($F39="待主管核定","先完成資格核定",IF(AND($F39&lt;&gt;"資格暫停",$F39&lt;&gt;"逾期"),"無需恢復",IF($N39="不恢復","維持暫停",IF($N39="核定恢復",IF(AND($I39&lt;&gt;"",$J39&lt;&gt;"",$K39&lt;&gt;"",$L39="通過",$M39="符合",$O39&lt;&gt;"",$P39&lt;&gt;"",$Q39&lt;&gt;""),IF($P39&lt;TODAY(),"新到期日已逾期","資格已恢復"),"恢復資料未完整"),"待完成恢復條件")))))</x:f>
        <x:v>先完成資格核定</x:v>
      </x:c>
    </x:row>
    <x:row r="40">
      <x:c r="A40" s="79" t="str">
        <x:v>REC|1028|LJT-PREP-MICROENDO</x:v>
      </x:c>
      <x:c r="B40" s="79" t="str">
        <x:v>1028</x:v>
      </x:c>
      <x:c r="C40" s="79" t="str"/>
      <x:c r="D40" s="79" t="str">
        <x:v>LJT-PREP-MICROENDO</x:v>
      </x:c>
      <x:c r="E40" s="79" t="str">
        <x:v>※</x:v>
      </x:c>
      <x:c r="F40" s="115" t="str">
        <x:f>IF($E40="未評估","未建立",IF(_xlfn.XLOOKUP("QUAL|1028|LJT-PREP-MICROENDO",'主管核定中心'!$A$12:$A$372,'主管核定中心'!$K$12:$K$372,"待主管核定",0)="已核定",IF(OR($H40="",TODAY()&gt;$H40),"逾期","有效"),_xlfn.XLOOKUP("QUAL|1028|LJT-PREP-MICROENDO",'主管核定中心'!$A$12:$A$372,'主管核定中心'!$K$12:$K$372,"待主管核定",0)))</x:f>
        <x:v>待主管核定</x:v>
      </x:c>
      <x:c r="G40" s="117" t="n">
        <x:v>46266</x:v>
      </x:c>
      <x:c r="H40" s="117" t="n">
        <x:v>46447</x:v>
      </x:c>
      <x:c r="I40" s="116"/>
      <x:c r="J40" s="118"/>
      <x:c r="K40" s="116"/>
      <x:c r="L40" s="115" t="str">
        <x:f>IF($K40="","",_xlfn.XLOOKUP($K40,'考核紀錄輸入'!$A$7:$A$106,'考核紀錄輸入'!$L$7:$L$106,"考核編號不存在",0))</x:f>
      </x:c>
      <x:c r="M40" s="115" t="str">
        <x:f>IF($K40="","",IF(AND(_xlfn.XLOOKUP($K40,'考核紀錄輸入'!$A$7:$A$106,'考核紀錄輸入'!$C$7:$C$106,"",0)=$B40,_xlfn.XLOOKUP($K40,'考核紀錄輸入'!$A$7:$A$106,'考核紀錄輸入'!$E$7:$E$106,"",0)=$D40),"符合","不符"))</x:f>
      </x:c>
      <x:c r="N40" s="116" t="str">
        <x:v>待核定</x:v>
      </x:c>
      <x:c r="O40" s="118"/>
      <x:c r="P40" s="118"/>
      <x:c r="Q40" s="116"/>
      <x:c r="R40" s="116"/>
      <x:c r="S40" s="115" t="str">
        <x:f>IF($F40="未建立","先完成考核",IF($F40="待主管核定","先完成資格核定",IF(AND($F40&lt;&gt;"資格暫停",$F40&lt;&gt;"逾期"),"無需恢復",IF($N40="不恢復","維持暫停",IF($N40="核定恢復",IF(AND($I40&lt;&gt;"",$J40&lt;&gt;"",$K40&lt;&gt;"",$L40="通過",$M40="符合",$O40&lt;&gt;"",$P40&lt;&gt;"",$Q40&lt;&gt;""),IF($P40&lt;TODAY(),"新到期日已逾期","資格已恢復"),"恢復資料未完整"),"待完成恢復條件")))))</x:f>
        <x:v>先完成資格核定</x:v>
      </x:c>
    </x:row>
    <x:row r="41">
      <x:c r="A41" s="79" t="str">
        <x:v>REC|1028|LJT-PREP-IMPLANT</x:v>
      </x:c>
      <x:c r="B41" s="79" t="str">
        <x:v>1028</x:v>
      </x:c>
      <x:c r="C41" s="79" t="str"/>
      <x:c r="D41" s="79" t="str">
        <x:v>LJT-PREP-IMPLANT</x:v>
      </x:c>
      <x:c r="E41" s="79" t="str">
        <x:v>※</x:v>
      </x:c>
      <x:c r="F41" s="115" t="str">
        <x:f>IF($E41="未評估","未建立",IF(_xlfn.XLOOKUP("QUAL|1028|LJT-PREP-IMPLANT",'主管核定中心'!$A$12:$A$372,'主管核定中心'!$K$12:$K$372,"待主管核定",0)="已核定",IF(OR($H41="",TODAY()&gt;$H41),"逾期","有效"),_xlfn.XLOOKUP("QUAL|1028|LJT-PREP-IMPLANT",'主管核定中心'!$A$12:$A$372,'主管核定中心'!$K$12:$K$372,"待主管核定",0)))</x:f>
        <x:v>待主管核定</x:v>
      </x:c>
      <x:c r="G41" s="117" t="n">
        <x:v>46266</x:v>
      </x:c>
      <x:c r="H41" s="117" t="n">
        <x:v>46447</x:v>
      </x:c>
      <x:c r="I41" s="116"/>
      <x:c r="J41" s="118"/>
      <x:c r="K41" s="116"/>
      <x:c r="L41" s="115" t="str">
        <x:f>IF($K41="","",_xlfn.XLOOKUP($K41,'考核紀錄輸入'!$A$7:$A$106,'考核紀錄輸入'!$L$7:$L$106,"考核編號不存在",0))</x:f>
      </x:c>
      <x:c r="M41" s="115" t="str">
        <x:f>IF($K41="","",IF(AND(_xlfn.XLOOKUP($K41,'考核紀錄輸入'!$A$7:$A$106,'考核紀錄輸入'!$C$7:$C$106,"",0)=$B41,_xlfn.XLOOKUP($K41,'考核紀錄輸入'!$A$7:$A$106,'考核紀錄輸入'!$E$7:$E$106,"",0)=$D41),"符合","不符"))</x:f>
      </x:c>
      <x:c r="N41" s="116" t="str">
        <x:v>待核定</x:v>
      </x:c>
      <x:c r="O41" s="118"/>
      <x:c r="P41" s="118"/>
      <x:c r="Q41" s="116"/>
      <x:c r="R41" s="116"/>
      <x:c r="S41" s="115" t="str">
        <x:f>IF($F41="未建立","先完成考核",IF($F41="待主管核定","先完成資格核定",IF(AND($F41&lt;&gt;"資格暫停",$F41&lt;&gt;"逾期"),"無需恢復",IF($N41="不恢復","維持暫停",IF($N41="核定恢復",IF(AND($I41&lt;&gt;"",$J41&lt;&gt;"",$K41&lt;&gt;"",$L41="通過",$M41="符合",$O41&lt;&gt;"",$P41&lt;&gt;"",$Q41&lt;&gt;""),IF($P41&lt;TODAY(),"新到期日已逾期","資格已恢復"),"恢復資料未完整"),"待完成恢復條件")))))</x:f>
        <x:v>先完成資格核定</x:v>
      </x:c>
    </x:row>
    <x:row r="42">
      <x:c r="A42" s="79" t="str">
        <x:v>REC|1028|LJT-RPD-FINAL</x:v>
      </x:c>
      <x:c r="B42" s="79" t="str">
        <x:v>1028</x:v>
      </x:c>
      <x:c r="C42" s="79" t="str"/>
      <x:c r="D42" s="79" t="str">
        <x:v>LJT-RPD-FINAL</x:v>
      </x:c>
      <x:c r="E42" s="79" t="str">
        <x:v>未評估</x:v>
      </x:c>
      <x:c r="F42" s="115" t="str">
        <x:f>IF($E42="未評估","未建立",IF(_xlfn.XLOOKUP("QUAL|1028|LJT-RPD-FINAL",'主管核定中心'!$A$12:$A$372,'主管核定中心'!$K$12:$K$372,"待主管核定",0)="已核定",IF(OR($H42="",TODAY()&gt;$H42),"逾期","有效"),_xlfn.XLOOKUP("QUAL|1028|LJT-RPD-FINAL",'主管核定中心'!$A$12:$A$372,'主管核定中心'!$K$12:$K$372,"待主管核定",0)))</x:f>
        <x:v>未建立</x:v>
      </x:c>
      <x:c r="G42" s="117"/>
      <x:c r="H42" s="117"/>
      <x:c r="I42" s="116"/>
      <x:c r="J42" s="118"/>
      <x:c r="K42" s="116"/>
      <x:c r="L42" s="115" t="str">
        <x:f>IF($K42="","",_xlfn.XLOOKUP($K42,'考核紀錄輸入'!$A$7:$A$106,'考核紀錄輸入'!$L$7:$L$106,"考核編號不存在",0))</x:f>
      </x:c>
      <x:c r="M42" s="115" t="str">
        <x:f>IF($K42="","",IF(AND(_xlfn.XLOOKUP($K42,'考核紀錄輸入'!$A$7:$A$106,'考核紀錄輸入'!$C$7:$C$106,"",0)=$B42,_xlfn.XLOOKUP($K42,'考核紀錄輸入'!$A$7:$A$106,'考核紀錄輸入'!$E$7:$E$106,"",0)=$D42),"符合","不符"))</x:f>
      </x:c>
      <x:c r="N42" s="116" t="str">
        <x:v>待核定</x:v>
      </x:c>
      <x:c r="O42" s="118"/>
      <x:c r="P42" s="118"/>
      <x:c r="Q42" s="116"/>
      <x:c r="R42" s="116"/>
      <x:c r="S42" s="115" t="str">
        <x:f>IF($F42="未建立","先完成考核",IF($F42="待主管核定","先完成資格核定",IF(AND($F42&lt;&gt;"資格暫停",$F42&lt;&gt;"逾期"),"無需恢復",IF($N42="不恢復","維持暫停",IF($N42="核定恢復",IF(AND($I42&lt;&gt;"",$J42&lt;&gt;"",$K42&lt;&gt;"",$L42="通過",$M42="符合",$O42&lt;&gt;"",$P42&lt;&gt;"",$Q42&lt;&gt;""),IF($P42&lt;TODAY(),"新到期日已逾期","資格已恢復"),"恢復資料未完整"),"待完成恢復條件")))))</x:f>
        <x:v>先完成考核</x:v>
      </x:c>
    </x:row>
    <x:row r="43">
      <x:c r="A43" s="79" t="str">
        <x:v>REC|1029|LJT-PREP-PERIOSURG</x:v>
      </x:c>
      <x:c r="B43" s="79" t="str">
        <x:v>1029</x:v>
      </x:c>
      <x:c r="C43" s="79" t="str"/>
      <x:c r="D43" s="79" t="str">
        <x:v>LJT-PREP-PERIOSURG</x:v>
      </x:c>
      <x:c r="E43" s="79" t="str">
        <x:v>未評估</x:v>
      </x:c>
      <x:c r="F43" s="115" t="str">
        <x:f>IF($E43="未評估","未建立",IF(_xlfn.XLOOKUP("QUAL|1029|LJT-PREP-PERIOSURG",'主管核定中心'!$A$12:$A$372,'主管核定中心'!$K$12:$K$372,"待主管核定",0)="已核定",IF(OR($H43="",TODAY()&gt;$H43),"逾期","有效"),_xlfn.XLOOKUP("QUAL|1029|LJT-PREP-PERIOSURG",'主管核定中心'!$A$12:$A$372,'主管核定中心'!$K$12:$K$372,"待主管核定",0)))</x:f>
        <x:v>未建立</x:v>
      </x:c>
      <x:c r="G43" s="117" t="n">
        <x:v>46266</x:v>
      </x:c>
      <x:c r="H43" s="117" t="n">
        <x:v>46447</x:v>
      </x:c>
      <x:c r="I43" s="116"/>
      <x:c r="J43" s="118"/>
      <x:c r="K43" s="116"/>
      <x:c r="L43" s="115" t="str">
        <x:f>IF($K43="","",_xlfn.XLOOKUP($K43,'考核紀錄輸入'!$A$7:$A$106,'考核紀錄輸入'!$L$7:$L$106,"考核編號不存在",0))</x:f>
      </x:c>
      <x:c r="M43" s="115" t="str">
        <x:f>IF($K43="","",IF(AND(_xlfn.XLOOKUP($K43,'考核紀錄輸入'!$A$7:$A$106,'考核紀錄輸入'!$C$7:$C$106,"",0)=$B43,_xlfn.XLOOKUP($K43,'考核紀錄輸入'!$A$7:$A$106,'考核紀錄輸入'!$E$7:$E$106,"",0)=$D43),"符合","不符"))</x:f>
      </x:c>
      <x:c r="N43" s="116" t="str">
        <x:v>待核定</x:v>
      </x:c>
      <x:c r="O43" s="118"/>
      <x:c r="P43" s="118"/>
      <x:c r="Q43" s="116"/>
      <x:c r="R43" s="116"/>
      <x:c r="S43" s="115" t="str">
        <x:f>IF($F43="未建立","先完成考核",IF($F43="待主管核定","先完成資格核定",IF(AND($F43&lt;&gt;"資格暫停",$F43&lt;&gt;"逾期"),"無需恢復",IF($N43="不恢復","維持暫停",IF($N43="核定恢復",IF(AND($I43&lt;&gt;"",$J43&lt;&gt;"",$K43&lt;&gt;"",$L43="通過",$M43="符合",$O43&lt;&gt;"",$P43&lt;&gt;"",$Q43&lt;&gt;""),IF($P43&lt;TODAY(),"新到期日已逾期","資格已恢復"),"恢復資料未完整"),"待完成恢復條件")))))</x:f>
        <x:v>先完成考核</x:v>
      </x:c>
    </x:row>
    <x:row r="44">
      <x:c r="A44" s="79" t="str">
        <x:v>REC|1029|LJT-PREP-MICROENDO</x:v>
      </x:c>
      <x:c r="B44" s="79" t="str">
        <x:v>1029</x:v>
      </x:c>
      <x:c r="C44" s="79" t="str"/>
      <x:c r="D44" s="79" t="str">
        <x:v>LJT-PREP-MICROENDO</x:v>
      </x:c>
      <x:c r="E44" s="79" t="str">
        <x:v>未評估</x:v>
      </x:c>
      <x:c r="F44" s="115" t="str">
        <x:f>IF($E44="未評估","未建立",IF(_xlfn.XLOOKUP("QUAL|1029|LJT-PREP-MICROENDO",'主管核定中心'!$A$12:$A$372,'主管核定中心'!$K$12:$K$372,"待主管核定",0)="已核定",IF(OR($H44="",TODAY()&gt;$H44),"逾期","有效"),_xlfn.XLOOKUP("QUAL|1029|LJT-PREP-MICROENDO",'主管核定中心'!$A$12:$A$372,'主管核定中心'!$K$12:$K$372,"待主管核定",0)))</x:f>
        <x:v>未建立</x:v>
      </x:c>
      <x:c r="G44" s="117" t="n">
        <x:v>46266</x:v>
      </x:c>
      <x:c r="H44" s="117" t="n">
        <x:v>46447</x:v>
      </x:c>
      <x:c r="I44" s="116"/>
      <x:c r="J44" s="118"/>
      <x:c r="K44" s="116"/>
      <x:c r="L44" s="115" t="str">
        <x:f>IF($K44="","",_xlfn.XLOOKUP($K44,'考核紀錄輸入'!$A$7:$A$106,'考核紀錄輸入'!$L$7:$L$106,"考核編號不存在",0))</x:f>
      </x:c>
      <x:c r="M44" s="115" t="str">
        <x:f>IF($K44="","",IF(AND(_xlfn.XLOOKUP($K44,'考核紀錄輸入'!$A$7:$A$106,'考核紀錄輸入'!$C$7:$C$106,"",0)=$B44,_xlfn.XLOOKUP($K44,'考核紀錄輸入'!$A$7:$A$106,'考核紀錄輸入'!$E$7:$E$106,"",0)=$D44),"符合","不符"))</x:f>
      </x:c>
      <x:c r="N44" s="116" t="str">
        <x:v>待核定</x:v>
      </x:c>
      <x:c r="O44" s="118"/>
      <x:c r="P44" s="118"/>
      <x:c r="Q44" s="116"/>
      <x:c r="R44" s="116"/>
      <x:c r="S44" s="115" t="str">
        <x:f>IF($F44="未建立","先完成考核",IF($F44="待主管核定","先完成資格核定",IF(AND($F44&lt;&gt;"資格暫停",$F44&lt;&gt;"逾期"),"無需恢復",IF($N44="不恢復","維持暫停",IF($N44="核定恢復",IF(AND($I44&lt;&gt;"",$J44&lt;&gt;"",$K44&lt;&gt;"",$L44="通過",$M44="符合",$O44&lt;&gt;"",$P44&lt;&gt;"",$Q44&lt;&gt;""),IF($P44&lt;TODAY(),"新到期日已逾期","資格已恢復"),"恢復資料未完整"),"待完成恢復條件")))))</x:f>
        <x:v>先完成考核</x:v>
      </x:c>
    </x:row>
    <x:row r="45">
      <x:c r="A45" s="79" t="str">
        <x:v>REC|1029|LJT-PREP-IMPLANT</x:v>
      </x:c>
      <x:c r="B45" s="79" t="str">
        <x:v>1029</x:v>
      </x:c>
      <x:c r="C45" s="79" t="str"/>
      <x:c r="D45" s="79" t="str">
        <x:v>LJT-PREP-IMPLANT</x:v>
      </x:c>
      <x:c r="E45" s="79" t="str">
        <x:v>未評估</x:v>
      </x:c>
      <x:c r="F45" s="115" t="str">
        <x:f>IF($E45="未評估","未建立",IF(_xlfn.XLOOKUP("QUAL|1029|LJT-PREP-IMPLANT",'主管核定中心'!$A$12:$A$372,'主管核定中心'!$K$12:$K$372,"待主管核定",0)="已核定",IF(OR($H45="",TODAY()&gt;$H45),"逾期","有效"),_xlfn.XLOOKUP("QUAL|1029|LJT-PREP-IMPLANT",'主管核定中心'!$A$12:$A$372,'主管核定中心'!$K$12:$K$372,"待主管核定",0)))</x:f>
        <x:v>未建立</x:v>
      </x:c>
      <x:c r="G45" s="117" t="n">
        <x:v>46266</x:v>
      </x:c>
      <x:c r="H45" s="117" t="n">
        <x:v>46447</x:v>
      </x:c>
      <x:c r="I45" s="116"/>
      <x:c r="J45" s="118"/>
      <x:c r="K45" s="116"/>
      <x:c r="L45" s="115" t="str">
        <x:f>IF($K45="","",_xlfn.XLOOKUP($K45,'考核紀錄輸入'!$A$7:$A$106,'考核紀錄輸入'!$L$7:$L$106,"考核編號不存在",0))</x:f>
      </x:c>
      <x:c r="M45" s="115" t="str">
        <x:f>IF($K45="","",IF(AND(_xlfn.XLOOKUP($K45,'考核紀錄輸入'!$A$7:$A$106,'考核紀錄輸入'!$C$7:$C$106,"",0)=$B45,_xlfn.XLOOKUP($K45,'考核紀錄輸入'!$A$7:$A$106,'考核紀錄輸入'!$E$7:$E$106,"",0)=$D45),"符合","不符"))</x:f>
      </x:c>
      <x:c r="N45" s="116" t="str">
        <x:v>待核定</x:v>
      </x:c>
      <x:c r="O45" s="118"/>
      <x:c r="P45" s="118"/>
      <x:c r="Q45" s="116"/>
      <x:c r="R45" s="116"/>
      <x:c r="S45" s="115" t="str">
        <x:f>IF($F45="未建立","先完成考核",IF($F45="待主管核定","先完成資格核定",IF(AND($F45&lt;&gt;"資格暫停",$F45&lt;&gt;"逾期"),"無需恢復",IF($N45="不恢復","維持暫停",IF($N45="核定恢復",IF(AND($I45&lt;&gt;"",$J45&lt;&gt;"",$K45&lt;&gt;"",$L45="通過",$M45="符合",$O45&lt;&gt;"",$P45&lt;&gt;"",$Q45&lt;&gt;""),IF($P45&lt;TODAY(),"新到期日已逾期","資格已恢復"),"恢復資料未完整"),"待完成恢復條件")))))</x:f>
        <x:v>先完成考核</x:v>
      </x:c>
    </x:row>
    <x:row r="46">
      <x:c r="A46" s="79" t="str">
        <x:v>REC|1029|LJT-RPD-FINAL</x:v>
      </x:c>
      <x:c r="B46" s="79" t="str">
        <x:v>1029</x:v>
      </x:c>
      <x:c r="C46" s="79" t="str"/>
      <x:c r="D46" s="79" t="str">
        <x:v>LJT-RPD-FINAL</x:v>
      </x:c>
      <x:c r="E46" s="79" t="str">
        <x:v>未評估</x:v>
      </x:c>
      <x:c r="F46" s="115" t="str">
        <x:f>IF($E46="未評估","未建立",IF(_xlfn.XLOOKUP("QUAL|1029|LJT-RPD-FINAL",'主管核定中心'!$A$12:$A$372,'主管核定中心'!$K$12:$K$372,"待主管核定",0)="已核定",IF(OR($H46="",TODAY()&gt;$H46),"逾期","有效"),_xlfn.XLOOKUP("QUAL|1029|LJT-RPD-FINAL",'主管核定中心'!$A$12:$A$372,'主管核定中心'!$K$12:$K$372,"待主管核定",0)))</x:f>
        <x:v>未建立</x:v>
      </x:c>
      <x:c r="G46" s="117"/>
      <x:c r="H46" s="117"/>
      <x:c r="I46" s="116"/>
      <x:c r="J46" s="118"/>
      <x:c r="K46" s="116"/>
      <x:c r="L46" s="115" t="str">
        <x:f>IF($K46="","",_xlfn.XLOOKUP($K46,'考核紀錄輸入'!$A$7:$A$106,'考核紀錄輸入'!$L$7:$L$106,"考核編號不存在",0))</x:f>
      </x:c>
      <x:c r="M46" s="115" t="str">
        <x:f>IF($K46="","",IF(AND(_xlfn.XLOOKUP($K46,'考核紀錄輸入'!$A$7:$A$106,'考核紀錄輸入'!$C$7:$C$106,"",0)=$B46,_xlfn.XLOOKUP($K46,'考核紀錄輸入'!$A$7:$A$106,'考核紀錄輸入'!$E$7:$E$106,"",0)=$D46),"符合","不符"))</x:f>
      </x:c>
      <x:c r="N46" s="116" t="str">
        <x:v>待核定</x:v>
      </x:c>
      <x:c r="O46" s="118"/>
      <x:c r="P46" s="118"/>
      <x:c r="Q46" s="116"/>
      <x:c r="R46" s="116"/>
      <x:c r="S46" s="115" t="str">
        <x:f>IF($F46="未建立","先完成考核",IF($F46="待主管核定","先完成資格核定",IF(AND($F46&lt;&gt;"資格暫停",$F46&lt;&gt;"逾期"),"無需恢復",IF($N46="不恢復","維持暫停",IF($N46="核定恢復",IF(AND($I46&lt;&gt;"",$J46&lt;&gt;"",$K46&lt;&gt;"",$L46="通過",$M46="符合",$O46&lt;&gt;"",$P46&lt;&gt;"",$Q46&lt;&gt;""),IF($P46&lt;TODAY(),"新到期日已逾期","資格已恢復"),"恢復資料未完整"),"待完成恢復條件")))))</x:f>
        <x:v>先完成考核</x:v>
      </x:c>
    </x:row>
    <x:row r="47">
      <x:c r="A47" s="79" t="str">
        <x:v>REC|1030|LJT-PREP-PERIOSURG</x:v>
      </x:c>
      <x:c r="B47" s="79" t="str">
        <x:v>1030</x:v>
      </x:c>
      <x:c r="C47" s="79" t="str"/>
      <x:c r="D47" s="79" t="str">
        <x:v>LJT-PREP-PERIOSURG</x:v>
      </x:c>
      <x:c r="E47" s="79" t="str">
        <x:v>未評估</x:v>
      </x:c>
      <x:c r="F47" s="115" t="str">
        <x:f>IF($E47="未評估","未建立",IF(_xlfn.XLOOKUP("QUAL|1030|LJT-PREP-PERIOSURG",'主管核定中心'!$A$12:$A$372,'主管核定中心'!$K$12:$K$372,"待主管核定",0)="已核定",IF(OR($H47="",TODAY()&gt;$H47),"逾期","有效"),_xlfn.XLOOKUP("QUAL|1030|LJT-PREP-PERIOSURG",'主管核定中心'!$A$12:$A$372,'主管核定中心'!$K$12:$K$372,"待主管核定",0)))</x:f>
        <x:v>未建立</x:v>
      </x:c>
      <x:c r="G47" s="117" t="n">
        <x:v>46266</x:v>
      </x:c>
      <x:c r="H47" s="117" t="n">
        <x:v>46447</x:v>
      </x:c>
      <x:c r="I47" s="116"/>
      <x:c r="J47" s="118"/>
      <x:c r="K47" s="116"/>
      <x:c r="L47" s="115" t="str">
        <x:f>IF($K47="","",_xlfn.XLOOKUP($K47,'考核紀錄輸入'!$A$7:$A$106,'考核紀錄輸入'!$L$7:$L$106,"考核編號不存在",0))</x:f>
      </x:c>
      <x:c r="M47" s="115" t="str">
        <x:f>IF($K47="","",IF(AND(_xlfn.XLOOKUP($K47,'考核紀錄輸入'!$A$7:$A$106,'考核紀錄輸入'!$C$7:$C$106,"",0)=$B47,_xlfn.XLOOKUP($K47,'考核紀錄輸入'!$A$7:$A$106,'考核紀錄輸入'!$E$7:$E$106,"",0)=$D47),"符合","不符"))</x:f>
      </x:c>
      <x:c r="N47" s="116" t="str">
        <x:v>待核定</x:v>
      </x:c>
      <x:c r="O47" s="118"/>
      <x:c r="P47" s="118"/>
      <x:c r="Q47" s="116"/>
      <x:c r="R47" s="116"/>
      <x:c r="S47" s="115" t="str">
        <x:f>IF($F47="未建立","先完成考核",IF($F47="待主管核定","先完成資格核定",IF(AND($F47&lt;&gt;"資格暫停",$F47&lt;&gt;"逾期"),"無需恢復",IF($N47="不恢復","維持暫停",IF($N47="核定恢復",IF(AND($I47&lt;&gt;"",$J47&lt;&gt;"",$K47&lt;&gt;"",$L47="通過",$M47="符合",$O47&lt;&gt;"",$P47&lt;&gt;"",$Q47&lt;&gt;""),IF($P47&lt;TODAY(),"新到期日已逾期","資格已恢復"),"恢復資料未完整"),"待完成恢復條件")))))</x:f>
        <x:v>先完成考核</x:v>
      </x:c>
    </x:row>
    <x:row r="48">
      <x:c r="A48" s="79" t="str">
        <x:v>REC|1030|LJT-PREP-MICROENDO</x:v>
      </x:c>
      <x:c r="B48" s="79" t="str">
        <x:v>1030</x:v>
      </x:c>
      <x:c r="C48" s="79" t="str"/>
      <x:c r="D48" s="79" t="str">
        <x:v>LJT-PREP-MICROENDO</x:v>
      </x:c>
      <x:c r="E48" s="79" t="str">
        <x:v>未評估</x:v>
      </x:c>
      <x:c r="F48" s="115" t="str">
        <x:f>IF($E48="未評估","未建立",IF(_xlfn.XLOOKUP("QUAL|1030|LJT-PREP-MICROENDO",'主管核定中心'!$A$12:$A$372,'主管核定中心'!$K$12:$K$372,"待主管核定",0)="已核定",IF(OR($H48="",TODAY()&gt;$H48),"逾期","有效"),_xlfn.XLOOKUP("QUAL|1030|LJT-PREP-MICROENDO",'主管核定中心'!$A$12:$A$372,'主管核定中心'!$K$12:$K$372,"待主管核定",0)))</x:f>
        <x:v>未建立</x:v>
      </x:c>
      <x:c r="G48" s="117" t="n">
        <x:v>46266</x:v>
      </x:c>
      <x:c r="H48" s="117" t="n">
        <x:v>46447</x:v>
      </x:c>
      <x:c r="I48" s="116"/>
      <x:c r="J48" s="118"/>
      <x:c r="K48" s="116"/>
      <x:c r="L48" s="115" t="str">
        <x:f>IF($K48="","",_xlfn.XLOOKUP($K48,'考核紀錄輸入'!$A$7:$A$106,'考核紀錄輸入'!$L$7:$L$106,"考核編號不存在",0))</x:f>
      </x:c>
      <x:c r="M48" s="115" t="str">
        <x:f>IF($K48="","",IF(AND(_xlfn.XLOOKUP($K48,'考核紀錄輸入'!$A$7:$A$106,'考核紀錄輸入'!$C$7:$C$106,"",0)=$B48,_xlfn.XLOOKUP($K48,'考核紀錄輸入'!$A$7:$A$106,'考核紀錄輸入'!$E$7:$E$106,"",0)=$D48),"符合","不符"))</x:f>
      </x:c>
      <x:c r="N48" s="116" t="str">
        <x:v>待核定</x:v>
      </x:c>
      <x:c r="O48" s="118"/>
      <x:c r="P48" s="118"/>
      <x:c r="Q48" s="116"/>
      <x:c r="R48" s="116"/>
      <x:c r="S48" s="115" t="str">
        <x:f>IF($F48="未建立","先完成考核",IF($F48="待主管核定","先完成資格核定",IF(AND($F48&lt;&gt;"資格暫停",$F48&lt;&gt;"逾期"),"無需恢復",IF($N48="不恢復","維持暫停",IF($N48="核定恢復",IF(AND($I48&lt;&gt;"",$J48&lt;&gt;"",$K48&lt;&gt;"",$L48="通過",$M48="符合",$O48&lt;&gt;"",$P48&lt;&gt;"",$Q48&lt;&gt;""),IF($P48&lt;TODAY(),"新到期日已逾期","資格已恢復"),"恢復資料未完整"),"待完成恢復條件")))))</x:f>
        <x:v>先完成考核</x:v>
      </x:c>
    </x:row>
    <x:row r="49">
      <x:c r="A49" s="79" t="str">
        <x:v>REC|1030|LJT-PREP-IMPLANT</x:v>
      </x:c>
      <x:c r="B49" s="79" t="str">
        <x:v>1030</x:v>
      </x:c>
      <x:c r="C49" s="79" t="str"/>
      <x:c r="D49" s="79" t="str">
        <x:v>LJT-PREP-IMPLANT</x:v>
      </x:c>
      <x:c r="E49" s="79" t="str">
        <x:v>未評估</x:v>
      </x:c>
      <x:c r="F49" s="115" t="str">
        <x:f>IF($E49="未評估","未建立",IF(_xlfn.XLOOKUP("QUAL|1030|LJT-PREP-IMPLANT",'主管核定中心'!$A$12:$A$372,'主管核定中心'!$K$12:$K$372,"待主管核定",0)="已核定",IF(OR($H49="",TODAY()&gt;$H49),"逾期","有效"),_xlfn.XLOOKUP("QUAL|1030|LJT-PREP-IMPLANT",'主管核定中心'!$A$12:$A$372,'主管核定中心'!$K$12:$K$372,"待主管核定",0)))</x:f>
        <x:v>未建立</x:v>
      </x:c>
      <x:c r="G49" s="117" t="n">
        <x:v>46266</x:v>
      </x:c>
      <x:c r="H49" s="117" t="n">
        <x:v>46447</x:v>
      </x:c>
      <x:c r="I49" s="116"/>
      <x:c r="J49" s="118"/>
      <x:c r="K49" s="116"/>
      <x:c r="L49" s="115" t="str">
        <x:f>IF($K49="","",_xlfn.XLOOKUP($K49,'考核紀錄輸入'!$A$7:$A$106,'考核紀錄輸入'!$L$7:$L$106,"考核編號不存在",0))</x:f>
      </x:c>
      <x:c r="M49" s="115" t="str">
        <x:f>IF($K49="","",IF(AND(_xlfn.XLOOKUP($K49,'考核紀錄輸入'!$A$7:$A$106,'考核紀錄輸入'!$C$7:$C$106,"",0)=$B49,_xlfn.XLOOKUP($K49,'考核紀錄輸入'!$A$7:$A$106,'考核紀錄輸入'!$E$7:$E$106,"",0)=$D49),"符合","不符"))</x:f>
      </x:c>
      <x:c r="N49" s="116" t="str">
        <x:v>待核定</x:v>
      </x:c>
      <x:c r="O49" s="118"/>
      <x:c r="P49" s="118"/>
      <x:c r="Q49" s="116"/>
      <x:c r="R49" s="116"/>
      <x:c r="S49" s="115" t="str">
        <x:f>IF($F49="未建立","先完成考核",IF($F49="待主管核定","先完成資格核定",IF(AND($F49&lt;&gt;"資格暫停",$F49&lt;&gt;"逾期"),"無需恢復",IF($N49="不恢復","維持暫停",IF($N49="核定恢復",IF(AND($I49&lt;&gt;"",$J49&lt;&gt;"",$K49&lt;&gt;"",$L49="通過",$M49="符合",$O49&lt;&gt;"",$P49&lt;&gt;"",$Q49&lt;&gt;""),IF($P49&lt;TODAY(),"新到期日已逾期","資格已恢復"),"恢復資料未完整"),"待完成恢復條件")))))</x:f>
        <x:v>先完成考核</x:v>
      </x:c>
    </x:row>
    <x:row r="50">
      <x:c r="A50" s="79" t="str">
        <x:v>REC|1030|LJT-RPD-FINAL</x:v>
      </x:c>
      <x:c r="B50" s="79" t="str">
        <x:v>1030</x:v>
      </x:c>
      <x:c r="C50" s="79" t="str"/>
      <x:c r="D50" s="79" t="str">
        <x:v>LJT-RPD-FINAL</x:v>
      </x:c>
      <x:c r="E50" s="79" t="str">
        <x:v>未評估</x:v>
      </x:c>
      <x:c r="F50" s="115" t="str">
        <x:f>IF($E50="未評估","未建立",IF(_xlfn.XLOOKUP("QUAL|1030|LJT-RPD-FINAL",'主管核定中心'!$A$12:$A$372,'主管核定中心'!$K$12:$K$372,"待主管核定",0)="已核定",IF(OR($H50="",TODAY()&gt;$H50),"逾期","有效"),_xlfn.XLOOKUP("QUAL|1030|LJT-RPD-FINAL",'主管核定中心'!$A$12:$A$372,'主管核定中心'!$K$12:$K$372,"待主管核定",0)))</x:f>
        <x:v>未建立</x:v>
      </x:c>
      <x:c r="G50" s="117"/>
      <x:c r="H50" s="117"/>
      <x:c r="I50" s="116"/>
      <x:c r="J50" s="118"/>
      <x:c r="K50" s="116"/>
      <x:c r="L50" s="115" t="str">
        <x:f>IF($K50="","",_xlfn.XLOOKUP($K50,'考核紀錄輸入'!$A$7:$A$106,'考核紀錄輸入'!$L$7:$L$106,"考核編號不存在",0))</x:f>
      </x:c>
      <x:c r="M50" s="115" t="str">
        <x:f>IF($K50="","",IF(AND(_xlfn.XLOOKUP($K50,'考核紀錄輸入'!$A$7:$A$106,'考核紀錄輸入'!$C$7:$C$106,"",0)=$B50,_xlfn.XLOOKUP($K50,'考核紀錄輸入'!$A$7:$A$106,'考核紀錄輸入'!$E$7:$E$106,"",0)=$D50),"符合","不符"))</x:f>
      </x:c>
      <x:c r="N50" s="116" t="str">
        <x:v>待核定</x:v>
      </x:c>
      <x:c r="O50" s="118"/>
      <x:c r="P50" s="118"/>
      <x:c r="Q50" s="116"/>
      <x:c r="R50" s="116"/>
      <x:c r="S50" s="115" t="str">
        <x:f>IF($F50="未建立","先完成考核",IF($F50="待主管核定","先完成資格核定",IF(AND($F50&lt;&gt;"資格暫停",$F50&lt;&gt;"逾期"),"無需恢復",IF($N50="不恢復","維持暫停",IF($N50="核定恢復",IF(AND($I50&lt;&gt;"",$J50&lt;&gt;"",$K50&lt;&gt;"",$L50="通過",$M50="符合",$O50&lt;&gt;"",$P50&lt;&gt;"",$Q50&lt;&gt;""),IF($P50&lt;TODAY(),"新到期日已逾期","資格已恢復"),"恢復資料未完整"),"待完成恢復條件")))))</x:f>
        <x:v>先完成考核</x:v>
      </x:c>
    </x:row>
    <x:row r="51">
      <x:c r="A51" s="79" t="str">
        <x:v>REC|1031|LJT-PREP-PERIOSURG</x:v>
      </x:c>
      <x:c r="B51" s="79" t="str">
        <x:v>1031</x:v>
      </x:c>
      <x:c r="C51" s="79" t="str"/>
      <x:c r="D51" s="79" t="str">
        <x:v>LJT-PREP-PERIOSURG</x:v>
      </x:c>
      <x:c r="E51" s="79" t="str">
        <x:v>未評估</x:v>
      </x:c>
      <x:c r="F51" s="115" t="str">
        <x:f>IF($E51="未評估","未建立",IF(_xlfn.XLOOKUP("QUAL|1031|LJT-PREP-PERIOSURG",'主管核定中心'!$A$12:$A$372,'主管核定中心'!$K$12:$K$372,"待主管核定",0)="已核定",IF(OR($H51="",TODAY()&gt;$H51),"逾期","有效"),_xlfn.XLOOKUP("QUAL|1031|LJT-PREP-PERIOSURG",'主管核定中心'!$A$12:$A$372,'主管核定中心'!$K$12:$K$372,"待主管核定",0)))</x:f>
        <x:v>未建立</x:v>
      </x:c>
      <x:c r="G51" s="117" t="n">
        <x:v>46266</x:v>
      </x:c>
      <x:c r="H51" s="117" t="n">
        <x:v>46447</x:v>
      </x:c>
      <x:c r="I51" s="116"/>
      <x:c r="J51" s="118"/>
      <x:c r="K51" s="116"/>
      <x:c r="L51" s="115" t="str">
        <x:f>IF($K51="","",_xlfn.XLOOKUP($K51,'考核紀錄輸入'!$A$7:$A$106,'考核紀錄輸入'!$L$7:$L$106,"考核編號不存在",0))</x:f>
      </x:c>
      <x:c r="M51" s="115" t="str">
        <x:f>IF($K51="","",IF(AND(_xlfn.XLOOKUP($K51,'考核紀錄輸入'!$A$7:$A$106,'考核紀錄輸入'!$C$7:$C$106,"",0)=$B51,_xlfn.XLOOKUP($K51,'考核紀錄輸入'!$A$7:$A$106,'考核紀錄輸入'!$E$7:$E$106,"",0)=$D51),"符合","不符"))</x:f>
      </x:c>
      <x:c r="N51" s="116" t="str">
        <x:v>待核定</x:v>
      </x:c>
      <x:c r="O51" s="118"/>
      <x:c r="P51" s="118"/>
      <x:c r="Q51" s="116"/>
      <x:c r="R51" s="116"/>
      <x:c r="S51" s="115" t="str">
        <x:f>IF($F51="未建立","先完成考核",IF($F51="待主管核定","先完成資格核定",IF(AND($F51&lt;&gt;"資格暫停",$F51&lt;&gt;"逾期"),"無需恢復",IF($N51="不恢復","維持暫停",IF($N51="核定恢復",IF(AND($I51&lt;&gt;"",$J51&lt;&gt;"",$K51&lt;&gt;"",$L51="通過",$M51="符合",$O51&lt;&gt;"",$P51&lt;&gt;"",$Q51&lt;&gt;""),IF($P51&lt;TODAY(),"新到期日已逾期","資格已恢復"),"恢復資料未完整"),"待完成恢復條件")))))</x:f>
        <x:v>先完成考核</x:v>
      </x:c>
    </x:row>
    <x:row r="52">
      <x:c r="A52" s="79" t="str">
        <x:v>REC|1031|LJT-PREP-MICROENDO</x:v>
      </x:c>
      <x:c r="B52" s="79" t="str">
        <x:v>1031</x:v>
      </x:c>
      <x:c r="C52" s="79" t="str"/>
      <x:c r="D52" s="79" t="str">
        <x:v>LJT-PREP-MICROENDO</x:v>
      </x:c>
      <x:c r="E52" s="79" t="str">
        <x:v>未評估</x:v>
      </x:c>
      <x:c r="F52" s="115" t="str">
        <x:f>IF($E52="未評估","未建立",IF(_xlfn.XLOOKUP("QUAL|1031|LJT-PREP-MICROENDO",'主管核定中心'!$A$12:$A$372,'主管核定中心'!$K$12:$K$372,"待主管核定",0)="已核定",IF(OR($H52="",TODAY()&gt;$H52),"逾期","有效"),_xlfn.XLOOKUP("QUAL|1031|LJT-PREP-MICROENDO",'主管核定中心'!$A$12:$A$372,'主管核定中心'!$K$12:$K$372,"待主管核定",0)))</x:f>
        <x:v>未建立</x:v>
      </x:c>
      <x:c r="G52" s="117" t="n">
        <x:v>46266</x:v>
      </x:c>
      <x:c r="H52" s="117" t="n">
        <x:v>46447</x:v>
      </x:c>
      <x:c r="I52" s="116"/>
      <x:c r="J52" s="118"/>
      <x:c r="K52" s="116"/>
      <x:c r="L52" s="115" t="str">
        <x:f>IF($K52="","",_xlfn.XLOOKUP($K52,'考核紀錄輸入'!$A$7:$A$106,'考核紀錄輸入'!$L$7:$L$106,"考核編號不存在",0))</x:f>
      </x:c>
      <x:c r="M52" s="115" t="str">
        <x:f>IF($K52="","",IF(AND(_xlfn.XLOOKUP($K52,'考核紀錄輸入'!$A$7:$A$106,'考核紀錄輸入'!$C$7:$C$106,"",0)=$B52,_xlfn.XLOOKUP($K52,'考核紀錄輸入'!$A$7:$A$106,'考核紀錄輸入'!$E$7:$E$106,"",0)=$D52),"符合","不符"))</x:f>
      </x:c>
      <x:c r="N52" s="116" t="str">
        <x:v>待核定</x:v>
      </x:c>
      <x:c r="O52" s="118"/>
      <x:c r="P52" s="118"/>
      <x:c r="Q52" s="116"/>
      <x:c r="R52" s="116"/>
      <x:c r="S52" s="115" t="str">
        <x:f>IF($F52="未建立","先完成考核",IF($F52="待主管核定","先完成資格核定",IF(AND($F52&lt;&gt;"資格暫停",$F52&lt;&gt;"逾期"),"無需恢復",IF($N52="不恢復","維持暫停",IF($N52="核定恢復",IF(AND($I52&lt;&gt;"",$J52&lt;&gt;"",$K52&lt;&gt;"",$L52="通過",$M52="符合",$O52&lt;&gt;"",$P52&lt;&gt;"",$Q52&lt;&gt;""),IF($P52&lt;TODAY(),"新到期日已逾期","資格已恢復"),"恢復資料未完整"),"待完成恢復條件")))))</x:f>
        <x:v>先完成考核</x:v>
      </x:c>
    </x:row>
    <x:row r="53">
      <x:c r="A53" s="79" t="str">
        <x:v>REC|1031|LJT-PREP-IMPLANT</x:v>
      </x:c>
      <x:c r="B53" s="79" t="str">
        <x:v>1031</x:v>
      </x:c>
      <x:c r="C53" s="79" t="str"/>
      <x:c r="D53" s="79" t="str">
        <x:v>LJT-PREP-IMPLANT</x:v>
      </x:c>
      <x:c r="E53" s="79" t="str">
        <x:v>未評估</x:v>
      </x:c>
      <x:c r="F53" s="115" t="str">
        <x:f>IF($E53="未評估","未建立",IF(_xlfn.XLOOKUP("QUAL|1031|LJT-PREP-IMPLANT",'主管核定中心'!$A$12:$A$372,'主管核定中心'!$K$12:$K$372,"待主管核定",0)="已核定",IF(OR($H53="",TODAY()&gt;$H53),"逾期","有效"),_xlfn.XLOOKUP("QUAL|1031|LJT-PREP-IMPLANT",'主管核定中心'!$A$12:$A$372,'主管核定中心'!$K$12:$K$372,"待主管核定",0)))</x:f>
        <x:v>未建立</x:v>
      </x:c>
      <x:c r="G53" s="117" t="n">
        <x:v>46266</x:v>
      </x:c>
      <x:c r="H53" s="117" t="n">
        <x:v>46447</x:v>
      </x:c>
      <x:c r="I53" s="116"/>
      <x:c r="J53" s="118"/>
      <x:c r="K53" s="116"/>
      <x:c r="L53" s="115" t="str">
        <x:f>IF($K53="","",_xlfn.XLOOKUP($K53,'考核紀錄輸入'!$A$7:$A$106,'考核紀錄輸入'!$L$7:$L$106,"考核編號不存在",0))</x:f>
      </x:c>
      <x:c r="M53" s="115" t="str">
        <x:f>IF($K53="","",IF(AND(_xlfn.XLOOKUP($K53,'考核紀錄輸入'!$A$7:$A$106,'考核紀錄輸入'!$C$7:$C$106,"",0)=$B53,_xlfn.XLOOKUP($K53,'考核紀錄輸入'!$A$7:$A$106,'考核紀錄輸入'!$E$7:$E$106,"",0)=$D53),"符合","不符"))</x:f>
      </x:c>
      <x:c r="N53" s="116" t="str">
        <x:v>待核定</x:v>
      </x:c>
      <x:c r="O53" s="118"/>
      <x:c r="P53" s="118"/>
      <x:c r="Q53" s="116"/>
      <x:c r="R53" s="116"/>
      <x:c r="S53" s="115" t="str">
        <x:f>IF($F53="未建立","先完成考核",IF($F53="待主管核定","先完成資格核定",IF(AND($F53&lt;&gt;"資格暫停",$F53&lt;&gt;"逾期"),"無需恢復",IF($N53="不恢復","維持暫停",IF($N53="核定恢復",IF(AND($I53&lt;&gt;"",$J53&lt;&gt;"",$K53&lt;&gt;"",$L53="通過",$M53="符合",$O53&lt;&gt;"",$P53&lt;&gt;"",$Q53&lt;&gt;""),IF($P53&lt;TODAY(),"新到期日已逾期","資格已恢復"),"恢復資料未完整"),"待完成恢復條件")))))</x:f>
        <x:v>先完成考核</x:v>
      </x:c>
    </x:row>
    <x:row r="54">
      <x:c r="A54" s="79" t="str">
        <x:v>REC|1031|LJT-RPD-FINAL</x:v>
      </x:c>
      <x:c r="B54" s="79" t="str">
        <x:v>1031</x:v>
      </x:c>
      <x:c r="C54" s="79" t="str"/>
      <x:c r="D54" s="79" t="str">
        <x:v>LJT-RPD-FINAL</x:v>
      </x:c>
      <x:c r="E54" s="79" t="str">
        <x:v>未評估</x:v>
      </x:c>
      <x:c r="F54" s="115" t="str">
        <x:f>IF($E54="未評估","未建立",IF(_xlfn.XLOOKUP("QUAL|1031|LJT-RPD-FINAL",'主管核定中心'!$A$12:$A$372,'主管核定中心'!$K$12:$K$372,"待主管核定",0)="已核定",IF(OR($H54="",TODAY()&gt;$H54),"逾期","有效"),_xlfn.XLOOKUP("QUAL|1031|LJT-RPD-FINAL",'主管核定中心'!$A$12:$A$372,'主管核定中心'!$K$12:$K$372,"待主管核定",0)))</x:f>
        <x:v>未建立</x:v>
      </x:c>
      <x:c r="G54" s="117"/>
      <x:c r="H54" s="117"/>
      <x:c r="I54" s="116"/>
      <x:c r="J54" s="118"/>
      <x:c r="K54" s="116"/>
      <x:c r="L54" s="115" t="str">
        <x:f>IF($K54="","",_xlfn.XLOOKUP($K54,'考核紀錄輸入'!$A$7:$A$106,'考核紀錄輸入'!$L$7:$L$106,"考核編號不存在",0))</x:f>
      </x:c>
      <x:c r="M54" s="115" t="str">
        <x:f>IF($K54="","",IF(AND(_xlfn.XLOOKUP($K54,'考核紀錄輸入'!$A$7:$A$106,'考核紀錄輸入'!$C$7:$C$106,"",0)=$B54,_xlfn.XLOOKUP($K54,'考核紀錄輸入'!$A$7:$A$106,'考核紀錄輸入'!$E$7:$E$106,"",0)=$D54),"符合","不符"))</x:f>
      </x:c>
      <x:c r="N54" s="116" t="str">
        <x:v>待核定</x:v>
      </x:c>
      <x:c r="O54" s="118"/>
      <x:c r="P54" s="118"/>
      <x:c r="Q54" s="116"/>
      <x:c r="R54" s="116"/>
      <x:c r="S54" s="115" t="str">
        <x:f>IF($F54="未建立","先完成考核",IF($F54="待主管核定","先完成資格核定",IF(AND($F54&lt;&gt;"資格暫停",$F54&lt;&gt;"逾期"),"無需恢復",IF($N54="不恢復","維持暫停",IF($N54="核定恢復",IF(AND($I54&lt;&gt;"",$J54&lt;&gt;"",$K54&lt;&gt;"",$L54="通過",$M54="符合",$O54&lt;&gt;"",$P54&lt;&gt;"",$Q54&lt;&gt;""),IF($P54&lt;TODAY(),"新到期日已逾期","資格已恢復"),"恢復資料未完整"),"待完成恢復條件")))))</x:f>
        <x:v>先完成考核</x:v>
      </x:c>
    </x:row>
    <x:row r="55">
      <x:c r="A55" s="79" t="str">
        <x:v>REC|2006|LJT-PREP-PERIOSURG</x:v>
      </x:c>
      <x:c r="B55" s="79" t="str">
        <x:v>2006</x:v>
      </x:c>
      <x:c r="C55" s="79" t="str"/>
      <x:c r="D55" s="79" t="str">
        <x:v>LJT-PREP-PERIOSURG</x:v>
      </x:c>
      <x:c r="E55" s="79" t="str">
        <x:v>未評估</x:v>
      </x:c>
      <x:c r="F55" s="115" t="str">
        <x:f>IF($E55="未評估","未建立",IF(_xlfn.XLOOKUP("QUAL|2006|LJT-PREP-PERIOSURG",'主管核定中心'!$A$12:$A$372,'主管核定中心'!$K$12:$K$372,"待主管核定",0)="已核定",IF(OR($H55="",TODAY()&gt;$H55),"逾期","有效"),_xlfn.XLOOKUP("QUAL|2006|LJT-PREP-PERIOSURG",'主管核定中心'!$A$12:$A$372,'主管核定中心'!$K$12:$K$372,"待主管核定",0)))</x:f>
        <x:v>未建立</x:v>
      </x:c>
      <x:c r="G55" s="117" t="n">
        <x:v>46266</x:v>
      </x:c>
      <x:c r="H55" s="117" t="n">
        <x:v>46447</x:v>
      </x:c>
      <x:c r="I55" s="116"/>
      <x:c r="J55" s="118"/>
      <x:c r="K55" s="116"/>
      <x:c r="L55" s="115" t="str">
        <x:f>IF($K55="","",_xlfn.XLOOKUP($K55,'考核紀錄輸入'!$A$7:$A$106,'考核紀錄輸入'!$L$7:$L$106,"考核編號不存在",0))</x:f>
      </x:c>
      <x:c r="M55" s="115" t="str">
        <x:f>IF($K55="","",IF(AND(_xlfn.XLOOKUP($K55,'考核紀錄輸入'!$A$7:$A$106,'考核紀錄輸入'!$C$7:$C$106,"",0)=$B55,_xlfn.XLOOKUP($K55,'考核紀錄輸入'!$A$7:$A$106,'考核紀錄輸入'!$E$7:$E$106,"",0)=$D55),"符合","不符"))</x:f>
      </x:c>
      <x:c r="N55" s="116" t="str">
        <x:v>待核定</x:v>
      </x:c>
      <x:c r="O55" s="118"/>
      <x:c r="P55" s="118"/>
      <x:c r="Q55" s="116"/>
      <x:c r="R55" s="116"/>
      <x:c r="S55" s="115" t="str">
        <x:f>IF($F55="未建立","先完成考核",IF($F55="待主管核定","先完成資格核定",IF(AND($F55&lt;&gt;"資格暫停",$F55&lt;&gt;"逾期"),"無需恢復",IF($N55="不恢復","維持暫停",IF($N55="核定恢復",IF(AND($I55&lt;&gt;"",$J55&lt;&gt;"",$K55&lt;&gt;"",$L55="通過",$M55="符合",$O55&lt;&gt;"",$P55&lt;&gt;"",$Q55&lt;&gt;""),IF($P55&lt;TODAY(),"新到期日已逾期","資格已恢復"),"恢復資料未完整"),"待完成恢復條件")))))</x:f>
        <x:v>先完成考核</x:v>
      </x:c>
    </x:row>
    <x:row r="56">
      <x:c r="A56" s="79" t="str">
        <x:v>REC|2006|LJT-PREP-MICROENDO</x:v>
      </x:c>
      <x:c r="B56" s="79" t="str">
        <x:v>2006</x:v>
      </x:c>
      <x:c r="C56" s="79" t="str"/>
      <x:c r="D56" s="79" t="str">
        <x:v>LJT-PREP-MICROENDO</x:v>
      </x:c>
      <x:c r="E56" s="79" t="str">
        <x:v>未評估</x:v>
      </x:c>
      <x:c r="F56" s="115" t="str">
        <x:f>IF($E56="未評估","未建立",IF(_xlfn.XLOOKUP("QUAL|2006|LJT-PREP-MICROENDO",'主管核定中心'!$A$12:$A$372,'主管核定中心'!$K$12:$K$372,"待主管核定",0)="已核定",IF(OR($H56="",TODAY()&gt;$H56),"逾期","有效"),_xlfn.XLOOKUP("QUAL|2006|LJT-PREP-MICROENDO",'主管核定中心'!$A$12:$A$372,'主管核定中心'!$K$12:$K$372,"待主管核定",0)))</x:f>
        <x:v>未建立</x:v>
      </x:c>
      <x:c r="G56" s="117" t="n">
        <x:v>46266</x:v>
      </x:c>
      <x:c r="H56" s="117" t="n">
        <x:v>46447</x:v>
      </x:c>
      <x:c r="I56" s="116"/>
      <x:c r="J56" s="118"/>
      <x:c r="K56" s="116"/>
      <x:c r="L56" s="115" t="str">
        <x:f>IF($K56="","",_xlfn.XLOOKUP($K56,'考核紀錄輸入'!$A$7:$A$106,'考核紀錄輸入'!$L$7:$L$106,"考核編號不存在",0))</x:f>
      </x:c>
      <x:c r="M56" s="115" t="str">
        <x:f>IF($K56="","",IF(AND(_xlfn.XLOOKUP($K56,'考核紀錄輸入'!$A$7:$A$106,'考核紀錄輸入'!$C$7:$C$106,"",0)=$B56,_xlfn.XLOOKUP($K56,'考核紀錄輸入'!$A$7:$A$106,'考核紀錄輸入'!$E$7:$E$106,"",0)=$D56),"符合","不符"))</x:f>
      </x:c>
      <x:c r="N56" s="116" t="str">
        <x:v>待核定</x:v>
      </x:c>
      <x:c r="O56" s="118"/>
      <x:c r="P56" s="118"/>
      <x:c r="Q56" s="116"/>
      <x:c r="R56" s="116"/>
      <x:c r="S56" s="115" t="str">
        <x:f>IF($F56="未建立","先完成考核",IF($F56="待主管核定","先完成資格核定",IF(AND($F56&lt;&gt;"資格暫停",$F56&lt;&gt;"逾期"),"無需恢復",IF($N56="不恢復","維持暫停",IF($N56="核定恢復",IF(AND($I56&lt;&gt;"",$J56&lt;&gt;"",$K56&lt;&gt;"",$L56="通過",$M56="符合",$O56&lt;&gt;"",$P56&lt;&gt;"",$Q56&lt;&gt;""),IF($P56&lt;TODAY(),"新到期日已逾期","資格已恢復"),"恢復資料未完整"),"待完成恢復條件")))))</x:f>
        <x:v>先完成考核</x:v>
      </x:c>
    </x:row>
    <x:row r="57">
      <x:c r="A57" s="79" t="str">
        <x:v>REC|2006|LJT-PREP-IMPLANT</x:v>
      </x:c>
      <x:c r="B57" s="79" t="str">
        <x:v>2006</x:v>
      </x:c>
      <x:c r="C57" s="79" t="str"/>
      <x:c r="D57" s="79" t="str">
        <x:v>LJT-PREP-IMPLANT</x:v>
      </x:c>
      <x:c r="E57" s="79" t="str">
        <x:v>未評估</x:v>
      </x:c>
      <x:c r="F57" s="115" t="str">
        <x:f>IF($E57="未評估","未建立",IF(_xlfn.XLOOKUP("QUAL|2006|LJT-PREP-IMPLANT",'主管核定中心'!$A$12:$A$372,'主管核定中心'!$K$12:$K$372,"待主管核定",0)="已核定",IF(OR($H57="",TODAY()&gt;$H57),"逾期","有效"),_xlfn.XLOOKUP("QUAL|2006|LJT-PREP-IMPLANT",'主管核定中心'!$A$12:$A$372,'主管核定中心'!$K$12:$K$372,"待主管核定",0)))</x:f>
        <x:v>未建立</x:v>
      </x:c>
      <x:c r="G57" s="117" t="n">
        <x:v>46266</x:v>
      </x:c>
      <x:c r="H57" s="117" t="n">
        <x:v>46447</x:v>
      </x:c>
      <x:c r="I57" s="116"/>
      <x:c r="J57" s="118"/>
      <x:c r="K57" s="116"/>
      <x:c r="L57" s="115" t="str">
        <x:f>IF($K57="","",_xlfn.XLOOKUP($K57,'考核紀錄輸入'!$A$7:$A$106,'考核紀錄輸入'!$L$7:$L$106,"考核編號不存在",0))</x:f>
      </x:c>
      <x:c r="M57" s="115" t="str">
        <x:f>IF($K57="","",IF(AND(_xlfn.XLOOKUP($K57,'考核紀錄輸入'!$A$7:$A$106,'考核紀錄輸入'!$C$7:$C$106,"",0)=$B57,_xlfn.XLOOKUP($K57,'考核紀錄輸入'!$A$7:$A$106,'考核紀錄輸入'!$E$7:$E$106,"",0)=$D57),"符合","不符"))</x:f>
      </x:c>
      <x:c r="N57" s="116" t="str">
        <x:v>待核定</x:v>
      </x:c>
      <x:c r="O57" s="118"/>
      <x:c r="P57" s="118"/>
      <x:c r="Q57" s="116"/>
      <x:c r="R57" s="116"/>
      <x:c r="S57" s="115" t="str">
        <x:f>IF($F57="未建立","先完成考核",IF($F57="待主管核定","先完成資格核定",IF(AND($F57&lt;&gt;"資格暫停",$F57&lt;&gt;"逾期"),"無需恢復",IF($N57="不恢復","維持暫停",IF($N57="核定恢復",IF(AND($I57&lt;&gt;"",$J57&lt;&gt;"",$K57&lt;&gt;"",$L57="通過",$M57="符合",$O57&lt;&gt;"",$P57&lt;&gt;"",$Q57&lt;&gt;""),IF($P57&lt;TODAY(),"新到期日已逾期","資格已恢復"),"恢復資料未完整"),"待完成恢復條件")))))</x:f>
        <x:v>先完成考核</x:v>
      </x:c>
    </x:row>
    <x:row r="58">
      <x:c r="A58" s="79" t="str">
        <x:v>REC|2006|LJT-RPD-FINAL</x:v>
      </x:c>
      <x:c r="B58" s="79" t="str">
        <x:v>2006</x:v>
      </x:c>
      <x:c r="C58" s="79" t="str"/>
      <x:c r="D58" s="79" t="str">
        <x:v>LJT-RPD-FINAL</x:v>
      </x:c>
      <x:c r="E58" s="79" t="str">
        <x:v>未評估</x:v>
      </x:c>
      <x:c r="F58" s="115" t="str">
        <x:f>IF($E58="未評估","未建立",IF(_xlfn.XLOOKUP("QUAL|2006|LJT-RPD-FINAL",'主管核定中心'!$A$12:$A$372,'主管核定中心'!$K$12:$K$372,"待主管核定",0)="已核定",IF(OR($H58="",TODAY()&gt;$H58),"逾期","有效"),_xlfn.XLOOKUP("QUAL|2006|LJT-RPD-FINAL",'主管核定中心'!$A$12:$A$372,'主管核定中心'!$K$12:$K$372,"待主管核定",0)))</x:f>
        <x:v>未建立</x:v>
      </x:c>
      <x:c r="G58" s="117"/>
      <x:c r="H58" s="117"/>
      <x:c r="I58" s="116"/>
      <x:c r="J58" s="118"/>
      <x:c r="K58" s="116"/>
      <x:c r="L58" s="115" t="str">
        <x:f>IF($K58="","",_xlfn.XLOOKUP($K58,'考核紀錄輸入'!$A$7:$A$106,'考核紀錄輸入'!$L$7:$L$106,"考核編號不存在",0))</x:f>
      </x:c>
      <x:c r="M58" s="115" t="str">
        <x:f>IF($K58="","",IF(AND(_xlfn.XLOOKUP($K58,'考核紀錄輸入'!$A$7:$A$106,'考核紀錄輸入'!$C$7:$C$106,"",0)=$B58,_xlfn.XLOOKUP($K58,'考核紀錄輸入'!$A$7:$A$106,'考核紀錄輸入'!$E$7:$E$106,"",0)=$D58),"符合","不符"))</x:f>
      </x:c>
      <x:c r="N58" s="116" t="str">
        <x:v>待核定</x:v>
      </x:c>
      <x:c r="O58" s="118"/>
      <x:c r="P58" s="118"/>
      <x:c r="Q58" s="116"/>
      <x:c r="R58" s="116"/>
      <x:c r="S58" s="115" t="str">
        <x:f>IF($F58="未建立","先完成考核",IF($F58="待主管核定","先完成資格核定",IF(AND($F58&lt;&gt;"資格暫停",$F58&lt;&gt;"逾期"),"無需恢復",IF($N58="不恢復","維持暫停",IF($N58="核定恢復",IF(AND($I58&lt;&gt;"",$J58&lt;&gt;"",$K58&lt;&gt;"",$L58="通過",$M58="符合",$O58&lt;&gt;"",$P58&lt;&gt;"",$Q58&lt;&gt;""),IF($P58&lt;TODAY(),"新到期日已逾期","資格已恢復"),"恢復資料未完整"),"待完成恢復條件")))))</x:f>
        <x:v>先完成考核</x:v>
      </x:c>
    </x:row>
    <x:row r="59">
      <x:c r="A59" s="79" t="str">
        <x:v>REC|2007|LJT-PREP-PERIOSURG</x:v>
      </x:c>
      <x:c r="B59" s="79" t="str">
        <x:v>2007</x:v>
      </x:c>
      <x:c r="C59" s="79" t="str"/>
      <x:c r="D59" s="79" t="str">
        <x:v>LJT-PREP-PERIOSURG</x:v>
      </x:c>
      <x:c r="E59" s="79" t="str">
        <x:v>未評估</x:v>
      </x:c>
      <x:c r="F59" s="115" t="str">
        <x:f>IF($E59="未評估","未建立",IF(_xlfn.XLOOKUP("QUAL|2007|LJT-PREP-PERIOSURG",'主管核定中心'!$A$12:$A$372,'主管核定中心'!$K$12:$K$372,"待主管核定",0)="已核定",IF(OR($H59="",TODAY()&gt;$H59),"逾期","有效"),_xlfn.XLOOKUP("QUAL|2007|LJT-PREP-PERIOSURG",'主管核定中心'!$A$12:$A$372,'主管核定中心'!$K$12:$K$372,"待主管核定",0)))</x:f>
        <x:v>未建立</x:v>
      </x:c>
      <x:c r="G59" s="117" t="n">
        <x:v>46266</x:v>
      </x:c>
      <x:c r="H59" s="117" t="n">
        <x:v>46447</x:v>
      </x:c>
      <x:c r="I59" s="116"/>
      <x:c r="J59" s="118"/>
      <x:c r="K59" s="116"/>
      <x:c r="L59" s="115" t="str">
        <x:f>IF($K59="","",_xlfn.XLOOKUP($K59,'考核紀錄輸入'!$A$7:$A$106,'考核紀錄輸入'!$L$7:$L$106,"考核編號不存在",0))</x:f>
      </x:c>
      <x:c r="M59" s="115" t="str">
        <x:f>IF($K59="","",IF(AND(_xlfn.XLOOKUP($K59,'考核紀錄輸入'!$A$7:$A$106,'考核紀錄輸入'!$C$7:$C$106,"",0)=$B59,_xlfn.XLOOKUP($K59,'考核紀錄輸入'!$A$7:$A$106,'考核紀錄輸入'!$E$7:$E$106,"",0)=$D59),"符合","不符"))</x:f>
      </x:c>
      <x:c r="N59" s="116" t="str">
        <x:v>待核定</x:v>
      </x:c>
      <x:c r="O59" s="118"/>
      <x:c r="P59" s="118"/>
      <x:c r="Q59" s="116"/>
      <x:c r="R59" s="116"/>
      <x:c r="S59" s="115" t="str">
        <x:f>IF($F59="未建立","先完成考核",IF($F59="待主管核定","先完成資格核定",IF(AND($F59&lt;&gt;"資格暫停",$F59&lt;&gt;"逾期"),"無需恢復",IF($N59="不恢復","維持暫停",IF($N59="核定恢復",IF(AND($I59&lt;&gt;"",$J59&lt;&gt;"",$K59&lt;&gt;"",$L59="通過",$M59="符合",$O59&lt;&gt;"",$P59&lt;&gt;"",$Q59&lt;&gt;""),IF($P59&lt;TODAY(),"新到期日已逾期","資格已恢復"),"恢復資料未完整"),"待完成恢復條件")))))</x:f>
        <x:v>先完成考核</x:v>
      </x:c>
    </x:row>
    <x:row r="60">
      <x:c r="A60" s="79" t="str">
        <x:v>REC|2007|LJT-PREP-MICROENDO</x:v>
      </x:c>
      <x:c r="B60" s="79" t="str">
        <x:v>2007</x:v>
      </x:c>
      <x:c r="C60" s="79" t="str"/>
      <x:c r="D60" s="79" t="str">
        <x:v>LJT-PREP-MICROENDO</x:v>
      </x:c>
      <x:c r="E60" s="79" t="str">
        <x:v>未評估</x:v>
      </x:c>
      <x:c r="F60" s="115" t="str">
        <x:f>IF($E60="未評估","未建立",IF(_xlfn.XLOOKUP("QUAL|2007|LJT-PREP-MICROENDO",'主管核定中心'!$A$12:$A$372,'主管核定中心'!$K$12:$K$372,"待主管核定",0)="已核定",IF(OR($H60="",TODAY()&gt;$H60),"逾期","有效"),_xlfn.XLOOKUP("QUAL|2007|LJT-PREP-MICROENDO",'主管核定中心'!$A$12:$A$372,'主管核定中心'!$K$12:$K$372,"待主管核定",0)))</x:f>
        <x:v>未建立</x:v>
      </x:c>
      <x:c r="G60" s="117" t="n">
        <x:v>46266</x:v>
      </x:c>
      <x:c r="H60" s="117" t="n">
        <x:v>46447</x:v>
      </x:c>
      <x:c r="I60" s="116"/>
      <x:c r="J60" s="118"/>
      <x:c r="K60" s="116"/>
      <x:c r="L60" s="115" t="str">
        <x:f>IF($K60="","",_xlfn.XLOOKUP($K60,'考核紀錄輸入'!$A$7:$A$106,'考核紀錄輸入'!$L$7:$L$106,"考核編號不存在",0))</x:f>
      </x:c>
      <x:c r="M60" s="115" t="str">
        <x:f>IF($K60="","",IF(AND(_xlfn.XLOOKUP($K60,'考核紀錄輸入'!$A$7:$A$106,'考核紀錄輸入'!$C$7:$C$106,"",0)=$B60,_xlfn.XLOOKUP($K60,'考核紀錄輸入'!$A$7:$A$106,'考核紀錄輸入'!$E$7:$E$106,"",0)=$D60),"符合","不符"))</x:f>
      </x:c>
      <x:c r="N60" s="116" t="str">
        <x:v>待核定</x:v>
      </x:c>
      <x:c r="O60" s="118"/>
      <x:c r="P60" s="118"/>
      <x:c r="Q60" s="116"/>
      <x:c r="R60" s="116"/>
      <x:c r="S60" s="115" t="str">
        <x:f>IF($F60="未建立","先完成考核",IF($F60="待主管核定","先完成資格核定",IF(AND($F60&lt;&gt;"資格暫停",$F60&lt;&gt;"逾期"),"無需恢復",IF($N60="不恢復","維持暫停",IF($N60="核定恢復",IF(AND($I60&lt;&gt;"",$J60&lt;&gt;"",$K60&lt;&gt;"",$L60="通過",$M60="符合",$O60&lt;&gt;"",$P60&lt;&gt;"",$Q60&lt;&gt;""),IF($P60&lt;TODAY(),"新到期日已逾期","資格已恢復"),"恢復資料未完整"),"待完成恢復條件")))))</x:f>
        <x:v>先完成考核</x:v>
      </x:c>
    </x:row>
    <x:row r="61">
      <x:c r="A61" s="79" t="str">
        <x:v>REC|2007|LJT-PREP-IMPLANT</x:v>
      </x:c>
      <x:c r="B61" s="79" t="str">
        <x:v>2007</x:v>
      </x:c>
      <x:c r="C61" s="79" t="str"/>
      <x:c r="D61" s="79" t="str">
        <x:v>LJT-PREP-IMPLANT</x:v>
      </x:c>
      <x:c r="E61" s="79" t="str">
        <x:v>未評估</x:v>
      </x:c>
      <x:c r="F61" s="115" t="str">
        <x:f>IF($E61="未評估","未建立",IF(_xlfn.XLOOKUP("QUAL|2007|LJT-PREP-IMPLANT",'主管核定中心'!$A$12:$A$372,'主管核定中心'!$K$12:$K$372,"待主管核定",0)="已核定",IF(OR($H61="",TODAY()&gt;$H61),"逾期","有效"),_xlfn.XLOOKUP("QUAL|2007|LJT-PREP-IMPLANT",'主管核定中心'!$A$12:$A$372,'主管核定中心'!$K$12:$K$372,"待主管核定",0)))</x:f>
        <x:v>未建立</x:v>
      </x:c>
      <x:c r="G61" s="117" t="n">
        <x:v>46266</x:v>
      </x:c>
      <x:c r="H61" s="117" t="n">
        <x:v>46447</x:v>
      </x:c>
      <x:c r="I61" s="116"/>
      <x:c r="J61" s="118"/>
      <x:c r="K61" s="116"/>
      <x:c r="L61" s="115" t="str">
        <x:f>IF($K61="","",_xlfn.XLOOKUP($K61,'考核紀錄輸入'!$A$7:$A$106,'考核紀錄輸入'!$L$7:$L$106,"考核編號不存在",0))</x:f>
      </x:c>
      <x:c r="M61" s="115" t="str">
        <x:f>IF($K61="","",IF(AND(_xlfn.XLOOKUP($K61,'考核紀錄輸入'!$A$7:$A$106,'考核紀錄輸入'!$C$7:$C$106,"",0)=$B61,_xlfn.XLOOKUP($K61,'考核紀錄輸入'!$A$7:$A$106,'考核紀錄輸入'!$E$7:$E$106,"",0)=$D61),"符合","不符"))</x:f>
      </x:c>
      <x:c r="N61" s="116" t="str">
        <x:v>待核定</x:v>
      </x:c>
      <x:c r="O61" s="118"/>
      <x:c r="P61" s="118"/>
      <x:c r="Q61" s="116"/>
      <x:c r="R61" s="116"/>
      <x:c r="S61" s="115" t="str">
        <x:f>IF($F61="未建立","先完成考核",IF($F61="待主管核定","先完成資格核定",IF(AND($F61&lt;&gt;"資格暫停",$F61&lt;&gt;"逾期"),"無需恢復",IF($N61="不恢復","維持暫停",IF($N61="核定恢復",IF(AND($I61&lt;&gt;"",$J61&lt;&gt;"",$K61&lt;&gt;"",$L61="通過",$M61="符合",$O61&lt;&gt;"",$P61&lt;&gt;"",$Q61&lt;&gt;""),IF($P61&lt;TODAY(),"新到期日已逾期","資格已恢復"),"恢復資料未完整"),"待完成恢復條件")))))</x:f>
        <x:v>先完成考核</x:v>
      </x:c>
    </x:row>
    <x:row r="62">
      <x:c r="A62" s="79" t="str">
        <x:v>REC|2007|LJT-RPD-FINAL</x:v>
      </x:c>
      <x:c r="B62" s="79" t="str">
        <x:v>2007</x:v>
      </x:c>
      <x:c r="C62" s="79" t="str"/>
      <x:c r="D62" s="79" t="str">
        <x:v>LJT-RPD-FINAL</x:v>
      </x:c>
      <x:c r="E62" s="79" t="str">
        <x:v>未評估</x:v>
      </x:c>
      <x:c r="F62" s="115" t="str">
        <x:f>IF($E62="未評估","未建立",IF(_xlfn.XLOOKUP("QUAL|2007|LJT-RPD-FINAL",'主管核定中心'!$A$12:$A$372,'主管核定中心'!$K$12:$K$372,"待主管核定",0)="已核定",IF(OR($H62="",TODAY()&gt;$H62),"逾期","有效"),_xlfn.XLOOKUP("QUAL|2007|LJT-RPD-FINAL",'主管核定中心'!$A$12:$A$372,'主管核定中心'!$K$12:$K$372,"待主管核定",0)))</x:f>
        <x:v>未建立</x:v>
      </x:c>
      <x:c r="G62" s="117"/>
      <x:c r="H62" s="117"/>
      <x:c r="I62" s="116"/>
      <x:c r="J62" s="118"/>
      <x:c r="K62" s="116"/>
      <x:c r="L62" s="115" t="str">
        <x:f>IF($K62="","",_xlfn.XLOOKUP($K62,'考核紀錄輸入'!$A$7:$A$106,'考核紀錄輸入'!$L$7:$L$106,"考核編號不存在",0))</x:f>
      </x:c>
      <x:c r="M62" s="115" t="str">
        <x:f>IF($K62="","",IF(AND(_xlfn.XLOOKUP($K62,'考核紀錄輸入'!$A$7:$A$106,'考核紀錄輸入'!$C$7:$C$106,"",0)=$B62,_xlfn.XLOOKUP($K62,'考核紀錄輸入'!$A$7:$A$106,'考核紀錄輸入'!$E$7:$E$106,"",0)=$D62),"符合","不符"))</x:f>
      </x:c>
      <x:c r="N62" s="116" t="str">
        <x:v>待核定</x:v>
      </x:c>
      <x:c r="O62" s="118"/>
      <x:c r="P62" s="118"/>
      <x:c r="Q62" s="116"/>
      <x:c r="R62" s="116"/>
      <x:c r="S62" s="115" t="str">
        <x:f>IF($F62="未建立","先完成考核",IF($F62="待主管核定","先完成資格核定",IF(AND($F62&lt;&gt;"資格暫停",$F62&lt;&gt;"逾期"),"無需恢復",IF($N62="不恢復","維持暫停",IF($N62="核定恢復",IF(AND($I62&lt;&gt;"",$J62&lt;&gt;"",$K62&lt;&gt;"",$L62="通過",$M62="符合",$O62&lt;&gt;"",$P62&lt;&gt;"",$Q62&lt;&gt;""),IF($P62&lt;TODAY(),"新到期日已逾期","資格已恢復"),"恢復資料未完整"),"待完成恢復條件")))))</x:f>
        <x:v>先完成考核</x:v>
      </x:c>
    </x:row>
  </x:sheetData>
  <x:conditionalFormatting sqref="S7:S62">
    <x:cfRule type="containsText" dxfId="19" priority="1" operator="containsText" text="資格已恢復"/>
    <x:cfRule type="containsText" dxfId="20" priority="2" operator="containsText" text="未完整"/>
  </x:conditionalFormatting>
  <x:dataValidations count="2">
    <x:dataValidation type="list" sqref="K7:K62">
      <x:formula1>'考核紀錄輸入'!$A$7:$A$106</x:formula1>
    </x:dataValidation>
    <x:dataValidation type="list" sqref="N7:N62">
      <x:formula1>"待核定,核定恢復,不恢復"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3e3fa351984ae4"/>
  </x:tableParts>
</x:worksheet>
</file>

<file path=xl/worksheets/sheet28.xml><?xml version="1.0" encoding="utf-8"?>
<x:worksheet xmlns:x="http://schemas.openxmlformats.org/spreadsheetml/2006/main">
  <x:sheetPr>
    <x:tabColor rgb="FF1F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3" hidden="0" customWidth="1"/>
    <x:col min="4" max="4" width="22" hidden="0" customWidth="1"/>
    <x:col min="5" max="5" width="34" hidden="0" customWidth="1"/>
    <x:col min="6" max="6" width="3" hidden="0" customWidth="1"/>
    <x:col min="7" max="7" width="8" hidden="0" customWidth="1"/>
    <x:col min="8" max="8" width="30" hidden="0" customWidth="1"/>
    <x:col min="9" max="9" width="30" hidden="0" customWidth="1"/>
    <x:col min="10" max="10" width="18" hidden="0" customWidth="1"/>
    <x:col min="11" max="11" width="12" hidden="0" customWidth="1"/>
    <x:col min="12" max="12" width="3" hidden="0" customWidth="1"/>
    <x:col min="13" max="13" width="22" hidden="0" customWidth="1"/>
    <x:col min="14" max="14" width="18" hidden="0" customWidth="1"/>
  </x:cols>
  <x:sheetData>
    <x:row r="1" ht="20" customHeight="1"/>
    <x:row r="2" ht="26" customHeight="1">
      <x:c r="A2" s="119" t="str">
        <x:v>診所助理排班主管工作台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</x:row>
    <x:row r="3" ht="20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 ht="22" customHeight="1">
      <x:c r="A4" s="75" t="str">
        <x:v>先處理正式核定，再檢查班次；能力升級與資格恢復都必須保留主管核定。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</x:row>
    <x:row r="5" ht="20" customHeight="1"/>
    <x:row r="6" ht="22" customHeight="1">
      <x:c r="A6" s="123" t="str">
        <x:v>待核定</x:v>
      </x:c>
      <x:c r="B6" s="123"/>
      <x:c r="D6" s="123" t="str">
        <x:v>班次待處理</x:v>
      </x:c>
      <x:c r="E6" s="123"/>
      <x:c r="G6" s="123" t="str">
        <x:v>30 天內複評</x:v>
      </x:c>
      <x:c r="H6" s="123"/>
      <x:c r="J6" s="123" t="str">
        <x:v>可送升級核定</x:v>
      </x:c>
      <x:c r="K6" s="123"/>
      <x:c r="M6" s="123" t="str">
        <x:v>資格暫停／逾期</x:v>
      </x:c>
      <x:c r="N6" s="123"/>
    </x:row>
    <x:row r="7" ht="22" customHeight="1">
      <x:c r="A7" s="128" t="n">
        <x:f>'主管核定中心'!A7</x:f>
        <x:v>361</x:v>
      </x:c>
      <x:c r="B7" s="128"/>
      <x:c r="D7" s="128" t="n">
        <x:f>COUNTIFS('班次需求輸入'!$A$7:$A$36,"&lt;&gt;",'班次需求輸入'!$K$7:$K$36,"&lt;&gt;範例",'班次檢核總覽'!$W$7:$W$36,"&lt;&gt;可發布",'班次檢核總覽'!$W$7:$W$36,"&lt;&gt;例外核定可發布",'班次檢核總覽'!$W$7:$W$36,"&lt;&gt;人力已釋出")</x:f>
        <x:v>0</x:v>
      </x:c>
      <x:c r="E7" s="128"/>
      <x:c r="G7" s="128" t="n">
        <x:f>COUNTIFS('複評待辦'!$J$7:$J$62,"安排複評")+COUNTIFS('複評待辦'!$J$7:$J$62,"立即停止使用資格")</x:f>
        <x:v>0</x:v>
      </x:c>
      <x:c r="H7" s="128"/>
      <x:c r="J7" s="128" t="n">
        <x:f>COUNTIFS('能力升級候選'!$M$7:$M$258,"可送主管核定",'能力升級候選'!$R$7:$R$258,"&lt;&gt;已核定升級")</x:f>
        <x:v>0</x:v>
      </x:c>
      <x:c r="K7" s="128"/>
      <x:c r="M7" s="128" t="n">
        <x:f>COUNTIFS('資格有效性'!$E$7:$E$62,"資格暫停")+COUNTIFS('資格有效性'!$E$7:$E$62,"逾期")</x:f>
        <x:v>0</x:v>
      </x:c>
      <x:c r="N7" s="128"/>
    </x:row>
    <x:row r="8" ht="22" customHeight="1">
      <x:c r="A8" s="132" t="str">
        <x:f>IF(A7=0,"已完成","待處理")</x:f>
        <x:v>待處理</x:v>
      </x:c>
      <x:c r="B8" s="132"/>
      <x:c r="D8" s="132" t="str">
        <x:f>IF(D7=0,"無異常","待處理")</x:f>
        <x:v>無異常</x:v>
      </x:c>
      <x:c r="E8" s="132"/>
      <x:c r="G8" s="132" t="str">
        <x:f>IF(G7=0,"無近期項目","待處理")</x:f>
        <x:v>無近期項目</x:v>
      </x:c>
      <x:c r="H8" s="132"/>
      <x:c r="J8" s="132" t="str">
        <x:f>IF(J7=0,"無候選","待處理")</x:f>
        <x:v>無候選</x:v>
      </x:c>
      <x:c r="K8" s="132"/>
      <x:c r="M8" s="132" t="str">
        <x:f>IF(M7=0,"無恢復案件","待處理")</x:f>
        <x:v>無恢復案件</x:v>
      </x:c>
      <x:c r="N8" s="132"/>
    </x:row>
    <x:row r="9" ht="20" customHeight="1"/>
    <x:row r="10" ht="20" customHeight="1"/>
    <x:row r="11" ht="20" customHeight="1">
      <x:c r="A11" s="123" t="str">
        <x:v>工作項目</x:v>
      </x:c>
      <x:c r="B11" s="123" t="str">
        <x:v>數量</x:v>
      </x:c>
      <x:c r="C11" s="123" t="str">
        <x:v>處理位置</x:v>
      </x:c>
      <x:c r="D11" s="123" t="str">
        <x:v>完成條件</x:v>
      </x:c>
      <x:c r="E11" s="123" t="str">
        <x:v>目前訊息</x:v>
      </x:c>
      <x:c r="G11" s="142" t="str">
        <x:v>每日操作順序</x:v>
      </x:c>
      <x:c r="H11" s="142"/>
      <x:c r="I11" s="142"/>
      <x:c r="J11" s="142"/>
      <x:c r="K11" s="142"/>
      <x:c r="L11" s="142"/>
      <x:c r="M11" s="142"/>
      <x:c r="N11" s="142"/>
    </x:row>
    <x:row r="12" ht="20" customHeight="1">
      <x:c r="A12" s="146" t="str">
        <x:v>初始資料核定</x:v>
      </x:c>
      <x:c r="B12" s="139" t="n">
        <x:f>'主管核定中心'!A7</x:f>
        <x:v>361</x:v>
      </x:c>
      <x:c r="C12" s="138" t="str">
        <x:v>主管核定中心</x:v>
      </x:c>
      <x:c r="D12" s="138" t="str">
        <x:v>主管決定、生效日與核定人完整</x:v>
      </x:c>
      <x:c r="E12" s="138" t="str">
        <x:f>IF(B12=0,"完成","仍有待核定")</x:f>
        <x:v>仍有待核定</x:v>
      </x:c>
      <x:c r="G12" s="144" t="str">
        <x:v>1</x:v>
      </x:c>
      <x:c r="H12" s="138" t="str">
        <x:v>查看諮詢組視圖並更新三週／一週確認</x:v>
      </x:c>
      <x:c r="I12" s="138" t="str">
        <x:v>諮詢排班視圖、班次需求輸入</x:v>
      </x:c>
      <x:c r="J12" s="138"/>
      <x:c r="K12" s="138"/>
      <x:c r="L12" s="138"/>
      <x:c r="M12" s="138"/>
      <x:c r="N12" s="138"/>
    </x:row>
    <x:row r="13" ht="20" customHeight="1">
      <x:c r="A13" s="146" t="str">
        <x:v>班次待處理</x:v>
      </x:c>
      <x:c r="B13" s="139" t="n">
        <x:f>D7</x:f>
        <x:v>0</x:v>
      </x:c>
      <x:c r="C13" s="138" t="str">
        <x:v>班次檢核總覽</x:v>
      </x:c>
      <x:c r="D13" s="138" t="str">
        <x:v>發布狀態為可發布或人力已釋出</x:v>
      </x:c>
      <x:c r="E13" s="138" t="str">
        <x:f>IF(B13=0,"無待處理班次","需完成資格、人力或確認流程")</x:f>
        <x:v>無待處理班次</x:v>
      </x:c>
      <x:c r="G13" s="144" t="str">
        <x:v>2</x:v>
      </x:c>
      <x:c r="H13" s="138" t="str">
        <x:v>完成員工治理、技能名稱、能力、熟悉度、要求、資格及支援者核定</x:v>
      </x:c>
      <x:c r="I13" s="138" t="str">
        <x:v>員工治理核定、技能名稱對照、主管核定中心、支援者資格核定</x:v>
      </x:c>
      <x:c r="J13" s="138"/>
      <x:c r="K13" s="138"/>
      <x:c r="L13" s="138"/>
      <x:c r="M13" s="138"/>
      <x:c r="N13" s="138"/>
    </x:row>
    <x:row r="14" ht="20" customHeight="1">
      <x:c r="A14" s="146" t="str">
        <x:v>半年複評</x:v>
      </x:c>
      <x:c r="B14" s="139" t="n">
        <x:f>G7</x:f>
        <x:v>0</x:v>
      </x:c>
      <x:c r="C14" s="138" t="str">
        <x:v>複評待辦</x:v>
      </x:c>
      <x:c r="D14" s="138" t="str">
        <x:v>完成複評或安排可用補考日</x:v>
      </x:c>
      <x:c r="E14" s="138" t="str">
        <x:f>IF(B14=0,"無近期項目","需安排複評")</x:f>
        <x:v>無近期項目</x:v>
      </x:c>
      <x:c r="G14" s="144" t="str">
        <x:v>3</x:v>
      </x:c>
      <x:c r="H14" s="138" t="str">
        <x:v>查看班次結果；安全缺口不可例外，資料回寫差異才可送例外核定</x:v>
      </x:c>
      <x:c r="I14" s="138" t="str">
        <x:v>班次檢核總覽、排班例外核定</x:v>
      </x:c>
      <x:c r="J14" s="138"/>
      <x:c r="K14" s="138"/>
      <x:c r="L14" s="138"/>
      <x:c r="M14" s="138"/>
      <x:c r="N14" s="138"/>
    </x:row>
    <x:row r="15" ht="20" customHeight="1">
      <x:c r="A15" s="146" t="str">
        <x:v>能力 Ø 升 ◎</x:v>
      </x:c>
      <x:c r="B15" s="139" t="n">
        <x:f>J7</x:f>
        <x:v>0</x:v>
      </x:c>
      <x:c r="C15" s="138" t="str">
        <x:v>能力升級候選</x:v>
      </x:c>
      <x:c r="D15" s="138" t="str">
        <x:v>證據符合且主管核定升級</x:v>
      </x:c>
      <x:c r="E15" s="138" t="str">
        <x:f>IF(B15=0,"無候選","可送主管核定")</x:f>
        <x:v>無候選</x:v>
      </x:c>
      <x:c r="G15" s="144" t="str">
        <x:v>4</x:v>
      </x:c>
      <x:c r="H15" s="138" t="str">
        <x:v>確認檢核表版本已發布，再登錄考核、工作觀察及面談</x:v>
      </x:c>
      <x:c r="I15" s="138" t="str">
        <x:v>檢核表版本、檢核表項目輸入、考核紀錄輸入、工作觀察輸入、面談與異議</x:v>
      </x:c>
      <x:c r="J15" s="138"/>
      <x:c r="K15" s="138"/>
      <x:c r="L15" s="138"/>
      <x:c r="M15" s="138"/>
      <x:c r="N15" s="138"/>
    </x:row>
    <x:row r="16" ht="20" customHeight="1">
      <x:c r="A16" s="146" t="str">
        <x:v>資格恢復</x:v>
      </x:c>
      <x:c r="B16" s="139" t="n">
        <x:f>M7</x:f>
        <x:v>0</x:v>
      </x:c>
      <x:c r="C16" s="138" t="str">
        <x:v>資格恢復處理</x:v>
      </x:c>
      <x:c r="D16" s="138" t="str">
        <x:v>補訓、複評、資料一致且主管核定</x:v>
      </x:c>
      <x:c r="E16" s="138" t="str">
        <x:f>IF(B16=0,"無恢復案件","需完成恢復程序")</x:f>
        <x:v>無恢復案件</x:v>
      </x:c>
      <x:c r="G16" s="144" t="str">
        <x:v>5</x:v>
      </x:c>
      <x:c r="H16" s="138" t="str">
        <x:v>處理能力升級候選</x:v>
      </x:c>
      <x:c r="I16" s="138" t="str">
        <x:v>能力升級候選</x:v>
      </x:c>
      <x:c r="J16" s="138"/>
      <x:c r="K16" s="138"/>
      <x:c r="L16" s="138"/>
      <x:c r="M16" s="138"/>
      <x:c r="N16" s="138"/>
    </x:row>
    <x:row r="17" ht="20" customHeight="1">
      <x:c r="A17" s="147" t="str">
        <x:v>未建立資格</x:v>
      </x:c>
      <x:c r="B17" s="141" t="n">
        <x:f>COUNTIFS('資格有效性'!$E$7:$E$62,"未建立")</x:f>
        <x:v>29</x:v>
      </x:c>
      <x:c r="C17" s="140" t="str">
        <x:v>考核紀錄輸入</x:v>
      </x:c>
      <x:c r="D17" s="140" t="str">
        <x:v>先完成正式考核與資格核定</x:v>
      </x:c>
      <x:c r="E17" s="140" t="str">
        <x:f>IF(B17=0,"已建立","需先完成考核")</x:f>
        <x:v>需先完成考核</x:v>
      </x:c>
      <x:c r="G17" s="145" t="str">
        <x:v>6</x:v>
      </x:c>
      <x:c r="H17" s="140" t="str">
        <x:v>安排半年複評與資格恢復</x:v>
      </x:c>
      <x:c r="I17" s="140" t="str">
        <x:v>複評待辦、資格恢復處理</x:v>
      </x:c>
      <x:c r="J17" s="140"/>
      <x:c r="K17" s="140"/>
      <x:c r="L17" s="140"/>
      <x:c r="M17" s="140"/>
      <x:c r="N17" s="140"/>
    </x:row>
    <x:row r="18" ht="20" customHeight="1">
      <x:c r="A18" s="140" t="str">
        <x:v>事件限制</x:v>
      </x:c>
      <x:c r="B18" s="159" t="n">
        <x:f>COUNTIFS('事件與限制'!$Q$7:$Q$106,"生效中")</x:f>
        <x:v>0</x:v>
      </x:c>
      <x:c r="C18" s="140" t="str">
        <x:v>事件與限制</x:v>
      </x:c>
      <x:c r="D18" s="140" t="str">
        <x:v>完成調查、補訓與複評後解除</x:v>
      </x:c>
      <x:c r="E18" s="140" t="str">
        <x:f>IF(B18=0,"無生效限制","需處理事件限制")</x:f>
        <x:v>無生效限制</x:v>
      </x:c>
      <x:c r="G18" s="163" t="str">
        <x:v>7</x:v>
      </x:c>
      <x:c r="H18" s="140" t="str">
        <x:v>處理事件、限制與解除</x:v>
      </x:c>
      <x:c r="I18" s="140" t="str">
        <x:v>事件與限制</x:v>
      </x:c>
      <x:c r="J18" s="140"/>
      <x:c r="K18" s="140"/>
      <x:c r="L18" s="140"/>
      <x:c r="M18" s="140"/>
      <x:c r="N18" s="140"/>
    </x:row>
    <x:row r="19" ht="20" customHeight="1"/>
    <x:row r="20" ht="20" customHeight="1">
      <x:c r="A20" s="138" t="str">
        <x:v>其他醫師規則列</x:v>
      </x:c>
      <x:c r="B20" s="178" t="n">
        <x:f>COUNTIFS('醫師模式規則輸入'!$B$7:$B$156,"&lt;&gt;",'醫師模式規則輸入'!$Q$7:$Q$156,"&lt;&gt;可發布",'醫師模式規則輸入'!$Q$7:$Q$156,"&lt;&gt;停用")</x:f>
        <x:v>8</x:v>
      </x:c>
      <x:c r="C20" s="138" t="str">
        <x:v>醫師模式規則輸入</x:v>
      </x:c>
      <x:c r="D20" s="138" t="str">
        <x:v>必填欄位、來源依據與核定資料完整</x:v>
      </x:c>
      <x:c r="E20" s="226" t="str">
        <x:f>IF(B20=0,IF(COUNTA('醫師模式規則輸入'!$B$7:$B$156)=0,"待提供正式規則","已完成規則列核定"),"仍有 "&amp;B20&amp;" 列待補或核定")</x:f>
        <x:v>仍有 8 列待補或核定</x:v>
      </x:c>
      <x:c r="G20" s="324" t="str">
        <x:v>目前最優先</x:v>
      </x:c>
      <x:c r="H20" s="324"/>
      <x:c r="I20" s="349" t="str">
        <x:f>IF($D$7&gt;0,"先處理班次安全異常",IF($B$28&gt;0,"處理排班例外申請",IF($M$7&gt;0,"處理資格暫停或逾期",IF($G$7&gt;0,"安排近期半年複評",IF('正式資料收件'!$G$7&gt;0,"先收齊診所正式資料",IF($B$32&gt;0,"安排主管核定批次",IF($A$7&gt;0,"完成初始資料與資格核定",IF($B$27&gt;0,"補齊七類檢核表內容與版本",IF($J$7&gt;0,"處理能力升級候選",IF(SUM($B$20:$B$22)&gt;0,"完成正式規則建檔與核定",IF($B$31&gt;0,"完成正式試排驗收",IF($B$29&gt;0,"完成上線準備閘門","今日無高優先待辦"))))))))))))</x:f>
        <x:v>先收齊診所正式資料</x:v>
      </x:c>
      <x:c r="J20" s="349"/>
      <x:c r="K20" s="349"/>
      <x:c r="L20" s="349"/>
      <x:c r="M20" s="349"/>
    </x:row>
    <x:row r="21">
      <x:c r="A21" s="138" t="str">
        <x:v>流動層級規則列</x:v>
      </x:c>
      <x:c r="B21" s="178" t="n">
        <x:f>COUNTIFS('流動層級規則輸入'!$C$7:$C$126,"&lt;&gt;",'流動層級規則輸入'!$M$7:$M$126,"&lt;&gt;可發布",'流動層級規則輸入'!$M$7:$M$126,"&lt;&gt;停用")</x:f>
        <x:v>9</x:v>
      </x:c>
      <x:c r="C21" s="138" t="str">
        <x:v>流動層級規則輸入</x:v>
      </x:c>
      <x:c r="D21" s="138" t="str">
        <x:v>任務條件、來源依據與核定資料完整</x:v>
      </x:c>
      <x:c r="E21" s="226" t="str">
        <x:f>IF(B21=0,IF(COUNTA('流動層級規則輸入'!$C$7:$C$126)=0,"待提供正式規則","已完成規則列核定"),"仍有 "&amp;B21&amp;" 列待補或核定")</x:f>
        <x:v>仍有 9 列待補或核定</x:v>
      </x:c>
      <x:c r="G21" s="324" t="str">
        <x:v>處理位置</x:v>
      </x:c>
      <x:c r="H21" s="324"/>
      <x:c r="I21" s="349" t="str">
        <x:f>IF($D$7&gt;0,"班次需求輸入／班次檢核總覽／排班配置輸入",IF($B$28&gt;0,"排班例外核定",IF($M$7&gt;0,"資格恢復處理／資格有效性",IF($G$7&gt;0,"複評待辦／考核紀錄輸入",IF('正式資料收件'!$G$7&gt;0,"正式資料收件",IF($B$32&gt;0,"主管核定批次",IF($A$7&gt;0,"主管核定中心／支援者資格核定",IF($B$27&gt;0,"檢核表版本／檢核表項目輸入",IF($J$7&gt;0,"能力升級候選",IF(SUM($B$20:$B$22)&gt;0,"正式資料收件／正式規則輸入",IF($B$31&gt;0,"正式試排驗收",IF($B$29&gt;0,"上線準備","主管工作台"))))))))))))</x:f>
        <x:v>正式資料收件</x:v>
      </x:c>
      <x:c r="J21" s="349"/>
      <x:c r="K21" s="349"/>
      <x:c r="L21" s="349"/>
      <x:c r="M21" s="349"/>
    </x:row>
    <x:row r="22">
      <x:c r="A22" s="140" t="str">
        <x:v>Lv.1–Lv.10 規則列</x:v>
      </x:c>
      <x:c r="B22" s="179" t="n">
        <x:f>COUNTIFS('職級矩陣規則輸入'!$B$7:$B$156,"&lt;&gt;",'職級矩陣規則輸入'!$L$7:$L$156,"&lt;&gt;可發布",'職級矩陣規則輸入'!$L$7:$L$156,"&lt;&gt;停用")</x:f>
        <x:v>10</x:v>
      </x:c>
      <x:c r="C22" s="140" t="str">
        <x:v>職級矩陣規則輸入</x:v>
      </x:c>
      <x:c r="D22" s="140" t="str">
        <x:v>職級條件、來源依據與核定資料完整</x:v>
      </x:c>
      <x:c r="E22" s="227" t="str">
        <x:f>IF(B22=0,IF(COUNTA('職級矩陣規則輸入'!$B$7:$B$156)=0,"待提供正式規則","已完成規則列核定"),"仍有 "&amp;B22&amp;" 列待補或核定")</x:f>
        <x:v>仍有 10 列待補或核定</x:v>
      </x:c>
      <x:c r="G22" s="324" t="str">
        <x:v>完成條件</x:v>
      </x:c>
      <x:c r="H22" s="324"/>
      <x:c r="I22" s="349" t="str">
        <x:f>IF($D$7&gt;0,"正式班次基本建檔完成，且最終發布判定為可發布、例外核定可發布或人力已釋出",IF($B$28&gt;0,"安全閘門通過且例外有效，或完成退回／撤銷",IF($M$7&gt;0,"完成補訓、複評與主管核定後恢復資格",IF($G$7&gt;0,"完成複評，或安排符合規則的補考日",IF('正式資料收件'!$G$7&gt;0,"外部資料包已提供，且收件日與收件人完整",IF($B$32&gt;0,"每個有待辦工作流至少建立一筆未開始或執行中批次",IF($A$7&gt;0,"主管決定、生效日與核定人完整",IF($B$27&gt;0,"檢核項目與版本均核定發布",IF($J$7&gt;0,"證據完整且主管核定升級",IF(SUM($B$20:$B$22)&gt;0,"正式內容完整且狀態為已核定",IF($B$31&gt;0,"十二項系統條件與主管簽核皆完成",IF($B$29&gt;0,"所有系統閘門與人工確認完成","維持每日巡檢"))))))))))))</x:f>
        <x:v>外部資料包已提供，且收件日與收件人完整</x:v>
      </x:c>
      <x:c r="J22" s="349"/>
      <x:c r="K22" s="349"/>
      <x:c r="L22" s="349"/>
      <x:c r="M22" s="349"/>
    </x:row>
    <x:row r="24">
      <x:c r="A24" s="140" t="str">
        <x:v>支援資格核定</x:v>
      </x:c>
      <x:c r="B24" s="225" t="n">
        <x:f>COUNTIFS('支援者資格核定'!$N$7:$N$188,"待主管核定")</x:f>
        <x:v>182</x:v>
      </x:c>
      <x:c r="C24" s="140" t="str">
        <x:v>支援者資格核定</x:v>
      </x:c>
      <x:c r="D24" s="140" t="str">
        <x:v>核定支援類型、生效日與核定人</x:v>
      </x:c>
      <x:c r="E24" s="140" t="str">
        <x:f>IF(B24=0,"完成","仍有待核定")</x:f>
        <x:v>仍有待核定</x:v>
      </x:c>
      <x:c r="G24" s="340" t="str">
        <x:v>不可略過的安全底線</x:v>
      </x:c>
      <x:c r="H24" s="340"/>
      <x:c r="I24" s="340"/>
      <x:c r="J24" s="340"/>
      <x:c r="K24" s="340"/>
      <x:c r="L24" s="340"/>
      <x:c r="M24" s="340"/>
    </x:row>
    <x:row r="25">
      <x:c r="A25" s="140" t="str">
        <x:v>員工治理核定</x:v>
      </x:c>
      <x:c r="B25" s="251" t="n">
        <x:f>COUNTIFS('員工治理核定'!$B$7:$B$106,"&lt;&gt;",'員工治理核定'!$N$7:$N$106,"&lt;&gt;可生效",'員工治理核定'!$K$7:$K$106,"&lt;&gt;停用")</x:f>
        <x:v>14</x:v>
      </x:c>
      <x:c r="C25" s="140" t="str">
        <x:v>員工治理核定</x:v>
      </x:c>
      <x:c r="D25" s="140" t="str">
        <x:v>治理欄位與核定資料完整</x:v>
      </x:c>
      <x:c r="E25" s="253" t="str">
        <x:f>IF(B25=0,"無待核定員工治理紀錄","仍有 "&amp;B25&amp;" 筆待補或核定")</x:f>
        <x:v>仍有 14 筆待補或核定</x:v>
      </x:c>
      <x:c r="G25" s="343" t="str">
        <x:v>缺人、缺支援、容量不足、時段衝突及療程未確認不可例外</x:v>
      </x:c>
      <x:c r="H25" s="343"/>
      <x:c r="I25" s="343"/>
      <x:c r="J25" s="343"/>
      <x:c r="K25" s="343"/>
      <x:c r="L25" s="343"/>
      <x:c r="M25" s="343"/>
    </x:row>
    <x:row r="26">
      <x:c r="A26" s="140" t="str">
        <x:v>技能名稱對照</x:v>
      </x:c>
      <x:c r="B26" s="268" t="n">
        <x:f>COUNTIFS('技能名稱對照'!$A$7:$A$123,"&lt;&gt;",'技能名稱對照'!$V$7:$V$123,"&lt;&gt;已發布",'技能名稱對照'!$L$7:$L$123,"&lt;&gt;停用")</x:f>
        <x:v>117</x:v>
      </x:c>
      <x:c r="C26" s="140" t="str">
        <x:v>技能名稱對照</x:v>
      </x:c>
      <x:c r="D26" s="140" t="str">
        <x:v>核定資料完整、複合項目已拆分</x:v>
      </x:c>
      <x:c r="E26" s="270" t="str">
        <x:f>IF(B26=0,"技能名稱對照已全部發布","仍有 "&amp;B26&amp;" 筆待核定、補件或拆分")</x:f>
        <x:v>仍有 117 筆待核定、補件或拆分</x:v>
      </x:c>
      <x:c r="G26" s="343" t="str">
        <x:v>未發布檢核表不可作為正式考核依據</x:v>
      </x:c>
      <x:c r="H26" s="343"/>
      <x:c r="I26" s="343"/>
      <x:c r="J26" s="343"/>
      <x:c r="K26" s="343"/>
      <x:c r="L26" s="343"/>
      <x:c r="M26" s="343"/>
    </x:row>
    <x:row r="27">
      <x:c r="A27" s="140" t="str">
        <x:v>檢核表版本</x:v>
      </x:c>
      <x:c r="B27" s="289" t="n">
        <x:f>COUNTIFS('檢核表版本'!$A$7:$A$13,"&lt;&gt;",'檢核表版本'!$Q$7:$Q$13,"&lt;&gt;已發布",'檢核表版本'!$E$7:$E$13,"&lt;&gt;停用")</x:f>
        <x:v>7</x:v>
      </x:c>
      <x:c r="C27" s="140" t="str">
        <x:v>檢核表版本／檢核表項目輸入</x:v>
      </x:c>
      <x:c r="D27" s="140" t="str">
        <x:v>項目內容與版本核定完整</x:v>
      </x:c>
      <x:c r="E27" s="291" t="str">
        <x:f>IF(B27=0,"七類檢核表皆已發布","仍有 "&amp;B27&amp;" 類待補內容或核定")</x:f>
        <x:v>仍有 7 類待補內容或核定</x:v>
      </x:c>
      <x:c r="G27" s="343" t="str">
        <x:v>正式職級不直接作為排班放行條件</x:v>
      </x:c>
      <x:c r="H27" s="343"/>
      <x:c r="I27" s="343"/>
      <x:c r="J27" s="343"/>
      <x:c r="K27" s="343"/>
      <x:c r="L27" s="343"/>
      <x:c r="M27" s="343"/>
    </x:row>
    <x:row r="28">
      <x:c r="A28" s="140" t="str">
        <x:v>排班例外核定</x:v>
      </x:c>
      <x:c r="B28" s="319" t="n">
        <x:f>COUNTIFS('排班例外核定'!$A$7:$A$106,"&lt;&gt;",'排班例外核定'!$T$7:$T$106,"&lt;&gt;例外有效",'排班例外核定'!$Q$7:$Q$106,"&lt;&gt;已撤銷",'排班例外核定'!$Q$7:$Q$106,"&lt;&gt;已結案")</x:f>
        <x:v>0</x:v>
      </x:c>
      <x:c r="C28" s="140" t="str">
        <x:v>排班例外核定</x:v>
      </x:c>
      <x:c r="D28" s="140" t="str">
        <x:v>安全閘門通過且限單一班次</x:v>
      </x:c>
      <x:c r="E28" s="321" t="str">
        <x:f>IF(B28=0,"無待處理例外","仍有 "&amp;B28&amp;" 筆例外待補或核定")</x:f>
        <x:v>無待處理例外</x:v>
      </x:c>
      <x:c r="G28" s="343" t="str">
        <x:v>安全相關資格暫停在複核完成前維持</x:v>
      </x:c>
      <x:c r="H28" s="343"/>
      <x:c r="I28" s="343"/>
      <x:c r="J28" s="343"/>
      <x:c r="K28" s="343"/>
      <x:c r="L28" s="343"/>
      <x:c r="M28" s="343"/>
    </x:row>
    <x:row r="29">
      <x:c r="A29" s="140" t="str">
        <x:v>上線準備</x:v>
      </x:c>
      <x:c r="B29" s="370" t="n">
        <x:f>COUNTIFS('上線準備'!$M$12:$M$25,"&lt;&gt;已完成")</x:f>
        <x:v>14</x:v>
      </x:c>
      <x:c r="C29" s="140" t="str">
        <x:v>上線準備</x:v>
      </x:c>
      <x:c r="D29" s="140" t="str">
        <x:v>系統條件與人工確認全部完成</x:v>
      </x:c>
      <x:c r="E29" s="372" t="str">
        <x:f>IF(B29=0,"可進入正式上線","仍有 "&amp;B29&amp;" 項上線條件未完成")</x:f>
        <x:v>仍有 14 項上線條件未完成</x:v>
      </x:c>
    </x:row>
    <x:row r="30">
      <x:c r="A30" s="140" t="str">
        <x:v>正式資料收件</x:v>
      </x:c>
      <x:c r="B30" s="408" t="n">
        <x:f>COUNTIFS('正式資料收件'!$M$12:$M$20,"&lt;&gt;已完成")</x:f>
        <x:v>9</x:v>
      </x:c>
      <x:c r="C30" s="140" t="str">
        <x:v>正式資料收件</x:v>
      </x:c>
      <x:c r="D30" s="140" t="str">
        <x:v>外部資料已收齊、內部核定與正式試排皆完成</x:v>
      </x:c>
      <x:c r="E30" s="410" t="str">
        <x:f>IF(B30=0,"正式資料收件與處理均完成","仍有 "&amp;B30&amp;" 個資料包／工作待完成")</x:f>
        <x:v>仍有 9 個資料包／工作待完成</x:v>
      </x:c>
    </x:row>
    <x:row r="31">
      <x:c r="A31" s="140" t="str">
        <x:v>正式試排驗收</x:v>
      </x:c>
      <x:c r="B31" s="458" t="n">
        <x:f>IF('正式試排驗收'!$M$7="驗收通過",0,1)</x:f>
        <x:v>1</x:v>
      </x:c>
      <x:c r="C31" s="140" t="str">
        <x:v>正式試排驗收</x:v>
      </x:c>
      <x:c r="D31" s="140" t="str">
        <x:v>十二項系統條件與主管簽核皆完成</x:v>
      </x:c>
      <x:c r="E31" s="460" t="str">
        <x:f>IF(B31=0,"正式試排已驗收通過","尚未完成正式試排驗收")</x:f>
        <x:v>尚未完成正式試排驗收</x:v>
      </x:c>
    </x:row>
    <x:row r="32">
      <x:c r="A32" s="140" t="str">
        <x:v>主管核定批次</x:v>
      </x:c>
      <x:c r="B32" s="491" t="n">
        <x:f>'主管核定批次'!$A$7</x:f>
        <x:v>6</x:v>
      </x:c>
      <x:c r="C32" s="140" t="str">
        <x:v>主管核定批次</x:v>
      </x:c>
      <x:c r="D32" s="140" t="str">
        <x:v>每個有待辦工作流的有效規劃量涵蓋全部待辦</x:v>
      </x:c>
      <x:c r="E32" s="493" t="str">
        <x:f>IF(B32=0,"核定工作流皆已完整規劃或完成","仍有 "&amp;B32&amp;" 個核定工作流尚未完整規劃")</x:f>
        <x:v>仍有 6 個核定工作流尚未完整規劃</x:v>
      </x:c>
    </x:row>
    <x:row r="33">
      <x:c r="A33" s="140" t="str">
        <x:v>正式班次建檔</x:v>
      </x:c>
      <x:c r="B33" s="534" t="n">
        <x:f>COUNTIFS('班次需求輸入'!$A$7:$A$36,"&lt;&gt;",'班次需求輸入'!$K$7:$K$36,"正式",'班次需求輸入'!$AD$7:$AD$36,"&lt;&gt;可進入排班")</x:f>
        <x:v>0</x:v>
      </x:c>
      <x:c r="C33" s="140" t="str">
        <x:v>班次需求輸入</x:v>
      </x:c>
      <x:c r="D33" s="140" t="str">
        <x:v>編號、必填、日期時間、醫師模式與人力參數均通過</x:v>
      </x:c>
      <x:c r="E33" s="536" t="str">
        <x:f>IF(B33=0,"正式班次基本資料均可進入排班","仍有 "&amp;B33&amp;" 筆正式班次建檔未完成")</x:f>
        <x:v>正式班次基本資料均可進入排班</x:v>
      </x:c>
    </x:row>
    <x:row r="34">
      <x:c r="A34" s="140" t="str">
        <x:v>其他醫師模式匯入</x:v>
      </x:c>
      <x:c r="B34" s="587" t="n">
        <x:f>COUNTIFS('醫師模式規則輸入'!$B$7:$B$156,"&lt;&gt;",'醫師模式規則輸入'!$U$7:$U$156,"&lt;&gt;可匯入模式清單")</x:f>
        <x:v>8</x:v>
      </x:c>
      <x:c r="C34" s="140" t="str">
        <x:v>醫師模式規則輸入／模式能力要求輸入／排班模式清單</x:v>
      </x:c>
      <x:c r="D34" s="140" t="str">
        <x:v>規則與要求均發布，且要求集已確認完整</x:v>
      </x:c>
      <x:c r="E34" s="590" t="str">
        <x:f>IF(B34=0,"其他醫師模式匯入閘門均完成","仍有 "&amp;B34&amp;" 筆模式規則待完成能力要求匯入")</x:f>
        <x:v>仍有 8 筆模式規則待完成能力要求匯入</x:v>
      </x:c>
    </x:row>
  </x:sheetData>
  <x:mergeCells>
    <x:mergeCell ref="A6:B6"/>
    <x:mergeCell ref="A7:B7"/>
    <x:mergeCell ref="A8:B8"/>
    <x:mergeCell ref="D6:E6"/>
    <x:mergeCell ref="D7:E7"/>
    <x:mergeCell ref="D8:E8"/>
    <x:mergeCell ref="G6:H6"/>
    <x:mergeCell ref="G7:H7"/>
    <x:mergeCell ref="G8:H8"/>
    <x:mergeCell ref="J6:K6"/>
    <x:mergeCell ref="J7:K7"/>
    <x:mergeCell ref="J8:K8"/>
    <x:mergeCell ref="M6:N6"/>
    <x:mergeCell ref="M7:N7"/>
    <x:mergeCell ref="M8:N8"/>
    <x:mergeCell ref="G20:H20"/>
    <x:mergeCell ref="G21:H21"/>
    <x:mergeCell ref="G22:H22"/>
    <x:mergeCell ref="I20:M20"/>
    <x:mergeCell ref="I21:M21"/>
    <x:mergeCell ref="I22:M22"/>
    <x:mergeCell ref="G24:M24"/>
    <x:mergeCell ref="G25:M25"/>
    <x:mergeCell ref="G26:M26"/>
    <x:mergeCell ref="G27:M27"/>
    <x:mergeCell ref="G28:M28"/>
  </x:mergeCells>
  <x:conditionalFormatting sqref="A8:B8">
    <x:cfRule type="containsText" dxfId="21" priority="1" operator="containsText" text="待處理"/>
  </x:conditionalFormatting>
  <x:conditionalFormatting sqref="D8:E8">
    <x:cfRule type="containsText" dxfId="22" priority="2" operator="containsText" text="待處理"/>
  </x:conditionalFormatting>
  <x:conditionalFormatting sqref="G8:H8">
    <x:cfRule type="containsText" dxfId="23" priority="3" operator="containsText" text="待處理"/>
  </x:conditionalFormatting>
  <x:conditionalFormatting sqref="J8:K8">
    <x:cfRule type="containsText" dxfId="24" priority="4" operator="containsText" text="待處理"/>
  </x:conditionalFormatting>
  <x:conditionalFormatting sqref="M8:N8">
    <x:cfRule type="containsText" dxfId="25" priority="5" operator="containsText" text="待處理"/>
  </x:conditionalFormatting>
  <x:conditionalFormatting sqref="E12:E17">
    <x:cfRule type="containsText" dxfId="26" priority="6" operator="containsText" text="需"/>
    <x:cfRule type="containsText" dxfId="27" priority="7" operator="containsText" text="仍有"/>
  </x:conditionalFormatting>
  <x:conditionalFormatting sqref="E18:E18">
    <x:cfRule type="containsText" dxfId="30" priority="8" operator="containsText" text="需"/>
  </x:conditionalFormatting>
  <x:conditionalFormatting sqref="E24:E24">
    <x:cfRule type="containsText" dxfId="46" priority="9" operator="containsText" text="待核定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28" hidden="0" customWidth="1"/>
    <x:col min="6" max="6" width="18" hidden="0" customWidth="1"/>
    <x:col min="7" max="7" width="22" hidden="0" customWidth="1"/>
    <x:col min="8" max="8" width="14" hidden="0" customWidth="1"/>
    <x:col min="9" max="9" width="30" hidden="0" customWidth="1"/>
    <x:col min="10" max="10" width="30" hidden="0" customWidth="1"/>
    <x:col min="11" max="11" width="30" hidden="0" customWidth="1"/>
    <x:col min="12" max="12" width="42" hidden="0" customWidth="1"/>
    <x:col min="13" max="13" width="20" hidden="0" customWidth="1"/>
    <x:col min="14" max="14" width="14" hidden="0" customWidth="1"/>
    <x:col min="15" max="15" width="14" hidden="0" customWidth="1"/>
    <x:col min="16" max="16" width="16" hidden="0" customWidth="1"/>
    <x:col min="17" max="17" width="18" hidden="0" customWidth="1"/>
    <x:col min="18" max="18" width="20" hidden="0" customWidth="1"/>
  </x:cols>
  <x:sheetData>
    <x:row r="2">
      <x:c r="A2" s="74" t="str">
        <x:v>事件分級、暫時限制與資格暫停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>
      <x:c r="A4" s="75" t="str">
        <x:v>只處理直接相關技能。第三級事件由主管決定是否暫停技能資格；安全限制在複核完成前維持。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</x:row>
    <x:row r="6">
      <x:c r="A6" s="152" t="str">
        <x:v>事件編號</x:v>
      </x:c>
      <x:c r="B6" s="152" t="str">
        <x:v>發生日</x:v>
      </x:c>
      <x:c r="C6" s="152" t="str">
        <x:v>員工編號</x:v>
      </x:c>
      <x:c r="D6" s="152" t="str">
        <x:v>姓名</x:v>
      </x:c>
      <x:c r="E6" s="152" t="str">
        <x:v>技能代碼</x:v>
      </x:c>
      <x:c r="F6" s="152" t="str">
        <x:v>醫師</x:v>
      </x:c>
      <x:c r="G6" s="152" t="str">
        <x:v>模式代碼</x:v>
      </x:c>
      <x:c r="H6" s="152" t="str">
        <x:v>事件級別</x:v>
      </x:c>
      <x:c r="I6" s="152" t="str">
        <x:v>建議處理</x:v>
      </x:c>
      <x:c r="J6" s="152" t="str">
        <x:v>實際影響</x:v>
      </x:c>
      <x:c r="K6" s="152" t="str">
        <x:v>潛在影響</x:v>
      </x:c>
      <x:c r="L6" s="152" t="str">
        <x:v>事件說明</x:v>
      </x:c>
      <x:c r="M6" s="152" t="str">
        <x:v>主管決定</x:v>
      </x:c>
      <x:c r="N6" s="152" t="str">
        <x:v>限制起日</x:v>
      </x:c>
      <x:c r="O6" s="152" t="str">
        <x:v>限制迄日</x:v>
      </x:c>
      <x:c r="P6" s="152" t="str">
        <x:v>核定人</x:v>
      </x:c>
      <x:c r="Q6" s="152" t="str">
        <x:v>限制狀態</x:v>
      </x:c>
      <x:c r="R6" s="152" t="str">
        <x:v>調查／複評狀態</x:v>
      </x:c>
    </x:row>
    <x:row r="7">
      <x:c r="A7" s="153"/>
      <x:c r="B7" s="155"/>
      <x:c r="C7" s="153"/>
      <x:c r="D7" s="154" t="str">
        <x:f>IF($C7="","",_xlfn.XLOOKUP($C7,'試行員工主檔'!$A$7:$A$20,'試行員工主檔'!$B$7:$B$20,"員工未建立",0))</x:f>
      </x:c>
      <x:c r="E7" s="153"/>
      <x:c r="F7" s="153"/>
      <x:c r="G7" s="153"/>
      <x:c r="H7" s="153"/>
      <x:c r="I7" s="154" t="str">
        <x:f>IF($H7="","",IF($H7="第一級","記錄觀察",IF($H7="第二級","檢視條件排班與 1:1 支援","暫停直接相關技能資格")))</x:f>
      </x:c>
      <x:c r="J7" s="153"/>
      <x:c r="K7" s="153"/>
      <x:c r="L7" s="153"/>
      <x:c r="M7" s="153"/>
      <x:c r="N7" s="155"/>
      <x:c r="O7" s="155"/>
      <x:c r="P7" s="153"/>
      <x:c r="Q7" s="154" t="str">
        <x:f>IF($A7="","",IF(OR($M7="",$N7="",$P7=""),"資料未完整",IF(OR($M7="暫停技能資格",$M7="條件排班 1:1"),IF(OR($O7="",$O7&gt;=TODAY()),"生效中","已結束"),IF($M7="補訓後複評","待補訓／複評","無限制"))))</x:f>
      </x:c>
      <x:c r="R7" s="153"/>
    </x:row>
    <x:row r="8">
      <x:c r="A8" s="153"/>
      <x:c r="B8" s="155"/>
      <x:c r="C8" s="153"/>
      <x:c r="D8" s="154" t="str">
        <x:f>IF($C8="","",_xlfn.XLOOKUP($C8,'試行員工主檔'!$A$7:$A$20,'試行員工主檔'!$B$7:$B$20,"員工未建立",0))</x:f>
      </x:c>
      <x:c r="E8" s="153"/>
      <x:c r="F8" s="153"/>
      <x:c r="G8" s="153"/>
      <x:c r="H8" s="153"/>
      <x:c r="I8" s="154" t="str">
        <x:f>IF($H8="","",IF($H8="第一級","記錄觀察",IF($H8="第二級","檢視條件排班與 1:1 支援","暫停直接相關技能資格")))</x:f>
      </x:c>
      <x:c r="J8" s="153"/>
      <x:c r="K8" s="153"/>
      <x:c r="L8" s="153"/>
      <x:c r="M8" s="153"/>
      <x:c r="N8" s="155"/>
      <x:c r="O8" s="155"/>
      <x:c r="P8" s="153"/>
      <x:c r="Q8" s="154" t="str">
        <x:f>IF($A8="","",IF(OR($M8="",$N8="",$P8=""),"資料未完整",IF(OR($M8="暫停技能資格",$M8="條件排班 1:1"),IF(OR($O8="",$O8&gt;=TODAY()),"生效中","已結束"),IF($M8="補訓後複評","待補訓／複評","無限制"))))</x:f>
      </x:c>
      <x:c r="R8" s="153"/>
    </x:row>
    <x:row r="9">
      <x:c r="A9" s="153"/>
      <x:c r="B9" s="155"/>
      <x:c r="C9" s="153"/>
      <x:c r="D9" s="154" t="str">
        <x:f>IF($C9="","",_xlfn.XLOOKUP($C9,'試行員工主檔'!$A$7:$A$20,'試行員工主檔'!$B$7:$B$20,"員工未建立",0))</x:f>
      </x:c>
      <x:c r="E9" s="153"/>
      <x:c r="F9" s="153"/>
      <x:c r="G9" s="153"/>
      <x:c r="H9" s="153"/>
      <x:c r="I9" s="154" t="str">
        <x:f>IF($H9="","",IF($H9="第一級","記錄觀察",IF($H9="第二級","檢視條件排班與 1:1 支援","暫停直接相關技能資格")))</x:f>
      </x:c>
      <x:c r="J9" s="153"/>
      <x:c r="K9" s="153"/>
      <x:c r="L9" s="153"/>
      <x:c r="M9" s="153"/>
      <x:c r="N9" s="155"/>
      <x:c r="O9" s="155"/>
      <x:c r="P9" s="153"/>
      <x:c r="Q9" s="154" t="str">
        <x:f>IF($A9="","",IF(OR($M9="",$N9="",$P9=""),"資料未完整",IF(OR($M9="暫停技能資格",$M9="條件排班 1:1"),IF(OR($O9="",$O9&gt;=TODAY()),"生效中","已結束"),IF($M9="補訓後複評","待補訓／複評","無限制"))))</x:f>
      </x:c>
      <x:c r="R9" s="153"/>
    </x:row>
    <x:row r="10">
      <x:c r="A10" s="153"/>
      <x:c r="B10" s="155"/>
      <x:c r="C10" s="153"/>
      <x:c r="D10" s="154" t="str">
        <x:f>IF($C10="","",_xlfn.XLOOKUP($C10,'試行員工主檔'!$A$7:$A$20,'試行員工主檔'!$B$7:$B$20,"員工未建立",0))</x:f>
      </x:c>
      <x:c r="E10" s="153"/>
      <x:c r="F10" s="153"/>
      <x:c r="G10" s="153"/>
      <x:c r="H10" s="153"/>
      <x:c r="I10" s="154" t="str">
        <x:f>IF($H10="","",IF($H10="第一級","記錄觀察",IF($H10="第二級","檢視條件排班與 1:1 支援","暫停直接相關技能資格")))</x:f>
      </x:c>
      <x:c r="J10" s="153"/>
      <x:c r="K10" s="153"/>
      <x:c r="L10" s="153"/>
      <x:c r="M10" s="153"/>
      <x:c r="N10" s="155"/>
      <x:c r="O10" s="155"/>
      <x:c r="P10" s="153"/>
      <x:c r="Q10" s="154" t="str">
        <x:f>IF($A10="","",IF(OR($M10="",$N10="",$P10=""),"資料未完整",IF(OR($M10="暫停技能資格",$M10="條件排班 1:1"),IF(OR($O10="",$O10&gt;=TODAY()),"生效中","已結束"),IF($M10="補訓後複評","待補訓／複評","無限制"))))</x:f>
      </x:c>
      <x:c r="R10" s="153"/>
    </x:row>
    <x:row r="11">
      <x:c r="A11" s="153"/>
      <x:c r="B11" s="155"/>
      <x:c r="C11" s="153"/>
      <x:c r="D11" s="154" t="str">
        <x:f>IF($C11="","",_xlfn.XLOOKUP($C11,'試行員工主檔'!$A$7:$A$20,'試行員工主檔'!$B$7:$B$20,"員工未建立",0))</x:f>
      </x:c>
      <x:c r="E11" s="153"/>
      <x:c r="F11" s="153"/>
      <x:c r="G11" s="153"/>
      <x:c r="H11" s="153"/>
      <x:c r="I11" s="154" t="str">
        <x:f>IF($H11="","",IF($H11="第一級","記錄觀察",IF($H11="第二級","檢視條件排班與 1:1 支援","暫停直接相關技能資格")))</x:f>
      </x:c>
      <x:c r="J11" s="153"/>
      <x:c r="K11" s="153"/>
      <x:c r="L11" s="153"/>
      <x:c r="M11" s="153"/>
      <x:c r="N11" s="155"/>
      <x:c r="O11" s="155"/>
      <x:c r="P11" s="153"/>
      <x:c r="Q11" s="154" t="str">
        <x:f>IF($A11="","",IF(OR($M11="",$N11="",$P11=""),"資料未完整",IF(OR($M11="暫停技能資格",$M11="條件排班 1:1"),IF(OR($O11="",$O11&gt;=TODAY()),"生效中","已結束"),IF($M11="補訓後複評","待補訓／複評","無限制"))))</x:f>
      </x:c>
      <x:c r="R11" s="153"/>
    </x:row>
    <x:row r="12">
      <x:c r="A12" s="153"/>
      <x:c r="B12" s="155"/>
      <x:c r="C12" s="153"/>
      <x:c r="D12" s="154" t="str">
        <x:f>IF($C12="","",_xlfn.XLOOKUP($C12,'試行員工主檔'!$A$7:$A$20,'試行員工主檔'!$B$7:$B$20,"員工未建立",0))</x:f>
      </x:c>
      <x:c r="E12" s="153"/>
      <x:c r="F12" s="153"/>
      <x:c r="G12" s="153"/>
      <x:c r="H12" s="153"/>
      <x:c r="I12" s="154" t="str">
        <x:f>IF($H12="","",IF($H12="第一級","記錄觀察",IF($H12="第二級","檢視條件排班與 1:1 支援","暫停直接相關技能資格")))</x:f>
      </x:c>
      <x:c r="J12" s="153"/>
      <x:c r="K12" s="153"/>
      <x:c r="L12" s="153"/>
      <x:c r="M12" s="153"/>
      <x:c r="N12" s="155"/>
      <x:c r="O12" s="155"/>
      <x:c r="P12" s="153"/>
      <x:c r="Q12" s="154" t="str">
        <x:f>IF($A12="","",IF(OR($M12="",$N12="",$P12=""),"資料未完整",IF(OR($M12="暫停技能資格",$M12="條件排班 1:1"),IF(OR($O12="",$O12&gt;=TODAY()),"生效中","已結束"),IF($M12="補訓後複評","待補訓／複評","無限制"))))</x:f>
      </x:c>
      <x:c r="R12" s="153"/>
    </x:row>
    <x:row r="13">
      <x:c r="A13" s="153"/>
      <x:c r="B13" s="155"/>
      <x:c r="C13" s="153"/>
      <x:c r="D13" s="154" t="str">
        <x:f>IF($C13="","",_xlfn.XLOOKUP($C13,'試行員工主檔'!$A$7:$A$20,'試行員工主檔'!$B$7:$B$20,"員工未建立",0))</x:f>
      </x:c>
      <x:c r="E13" s="153"/>
      <x:c r="F13" s="153"/>
      <x:c r="G13" s="153"/>
      <x:c r="H13" s="153"/>
      <x:c r="I13" s="154" t="str">
        <x:f>IF($H13="","",IF($H13="第一級","記錄觀察",IF($H13="第二級","檢視條件排班與 1:1 支援","暫停直接相關技能資格")))</x:f>
      </x:c>
      <x:c r="J13" s="153"/>
      <x:c r="K13" s="153"/>
      <x:c r="L13" s="153"/>
      <x:c r="M13" s="153"/>
      <x:c r="N13" s="155"/>
      <x:c r="O13" s="155"/>
      <x:c r="P13" s="153"/>
      <x:c r="Q13" s="154" t="str">
        <x:f>IF($A13="","",IF(OR($M13="",$N13="",$P13=""),"資料未完整",IF(OR($M13="暫停技能資格",$M13="條件排班 1:1"),IF(OR($O13="",$O13&gt;=TODAY()),"生效中","已結束"),IF($M13="補訓後複評","待補訓／複評","無限制"))))</x:f>
      </x:c>
      <x:c r="R13" s="153"/>
    </x:row>
    <x:row r="14">
      <x:c r="A14" s="153"/>
      <x:c r="B14" s="155"/>
      <x:c r="C14" s="153"/>
      <x:c r="D14" s="154" t="str">
        <x:f>IF($C14="","",_xlfn.XLOOKUP($C14,'試行員工主檔'!$A$7:$A$20,'試行員工主檔'!$B$7:$B$20,"員工未建立",0))</x:f>
      </x:c>
      <x:c r="E14" s="153"/>
      <x:c r="F14" s="153"/>
      <x:c r="G14" s="153"/>
      <x:c r="H14" s="153"/>
      <x:c r="I14" s="154" t="str">
        <x:f>IF($H14="","",IF($H14="第一級","記錄觀察",IF($H14="第二級","檢視條件排班與 1:1 支援","暫停直接相關技能資格")))</x:f>
      </x:c>
      <x:c r="J14" s="153"/>
      <x:c r="K14" s="153"/>
      <x:c r="L14" s="153"/>
      <x:c r="M14" s="153"/>
      <x:c r="N14" s="155"/>
      <x:c r="O14" s="155"/>
      <x:c r="P14" s="153"/>
      <x:c r="Q14" s="154" t="str">
        <x:f>IF($A14="","",IF(OR($M14="",$N14="",$P14=""),"資料未完整",IF(OR($M14="暫停技能資格",$M14="條件排班 1:1"),IF(OR($O14="",$O14&gt;=TODAY()),"生效中","已結束"),IF($M14="補訓後複評","待補訓／複評","無限制"))))</x:f>
      </x:c>
      <x:c r="R14" s="153"/>
    </x:row>
    <x:row r="15">
      <x:c r="A15" s="153"/>
      <x:c r="B15" s="155"/>
      <x:c r="C15" s="153"/>
      <x:c r="D15" s="154" t="str">
        <x:f>IF($C15="","",_xlfn.XLOOKUP($C15,'試行員工主檔'!$A$7:$A$20,'試行員工主檔'!$B$7:$B$20,"員工未建立",0))</x:f>
      </x:c>
      <x:c r="E15" s="153"/>
      <x:c r="F15" s="153"/>
      <x:c r="G15" s="153"/>
      <x:c r="H15" s="153"/>
      <x:c r="I15" s="154" t="str">
        <x:f>IF($H15="","",IF($H15="第一級","記錄觀察",IF($H15="第二級","檢視條件排班與 1:1 支援","暫停直接相關技能資格")))</x:f>
      </x:c>
      <x:c r="J15" s="153"/>
      <x:c r="K15" s="153"/>
      <x:c r="L15" s="153"/>
      <x:c r="M15" s="153"/>
      <x:c r="N15" s="155"/>
      <x:c r="O15" s="155"/>
      <x:c r="P15" s="153"/>
      <x:c r="Q15" s="154" t="str">
        <x:f>IF($A15="","",IF(OR($M15="",$N15="",$P15=""),"資料未完整",IF(OR($M15="暫停技能資格",$M15="條件排班 1:1"),IF(OR($O15="",$O15&gt;=TODAY()),"生效中","已結束"),IF($M15="補訓後複評","待補訓／複評","無限制"))))</x:f>
      </x:c>
      <x:c r="R15" s="153"/>
    </x:row>
    <x:row r="16">
      <x:c r="A16" s="153"/>
      <x:c r="B16" s="155"/>
      <x:c r="C16" s="153"/>
      <x:c r="D16" s="154" t="str">
        <x:f>IF($C16="","",_xlfn.XLOOKUP($C16,'試行員工主檔'!$A$7:$A$20,'試行員工主檔'!$B$7:$B$20,"員工未建立",0))</x:f>
      </x:c>
      <x:c r="E16" s="153"/>
      <x:c r="F16" s="153"/>
      <x:c r="G16" s="153"/>
      <x:c r="H16" s="153"/>
      <x:c r="I16" s="154" t="str">
        <x:f>IF($H16="","",IF($H16="第一級","記錄觀察",IF($H16="第二級","檢視條件排班與 1:1 支援","暫停直接相關技能資格")))</x:f>
      </x:c>
      <x:c r="J16" s="153"/>
      <x:c r="K16" s="153"/>
      <x:c r="L16" s="153"/>
      <x:c r="M16" s="153"/>
      <x:c r="N16" s="155"/>
      <x:c r="O16" s="155"/>
      <x:c r="P16" s="153"/>
      <x:c r="Q16" s="154" t="str">
        <x:f>IF($A16="","",IF(OR($M16="",$N16="",$P16=""),"資料未完整",IF(OR($M16="暫停技能資格",$M16="條件排班 1:1"),IF(OR($O16="",$O16&gt;=TODAY()),"生效中","已結束"),IF($M16="補訓後複評","待補訓／複評","無限制"))))</x:f>
      </x:c>
      <x:c r="R16" s="153"/>
    </x:row>
    <x:row r="17">
      <x:c r="A17" s="153"/>
      <x:c r="B17" s="155"/>
      <x:c r="C17" s="153"/>
      <x:c r="D17" s="154" t="str">
        <x:f>IF($C17="","",_xlfn.XLOOKUP($C17,'試行員工主檔'!$A$7:$A$20,'試行員工主檔'!$B$7:$B$20,"員工未建立",0))</x:f>
      </x:c>
      <x:c r="E17" s="153"/>
      <x:c r="F17" s="153"/>
      <x:c r="G17" s="153"/>
      <x:c r="H17" s="153"/>
      <x:c r="I17" s="154" t="str">
        <x:f>IF($H17="","",IF($H17="第一級","記錄觀察",IF($H17="第二級","檢視條件排班與 1:1 支援","暫停直接相關技能資格")))</x:f>
      </x:c>
      <x:c r="J17" s="153"/>
      <x:c r="K17" s="153"/>
      <x:c r="L17" s="153"/>
      <x:c r="M17" s="153"/>
      <x:c r="N17" s="155"/>
      <x:c r="O17" s="155"/>
      <x:c r="P17" s="153"/>
      <x:c r="Q17" s="154" t="str">
        <x:f>IF($A17="","",IF(OR($M17="",$N17="",$P17=""),"資料未完整",IF(OR($M17="暫停技能資格",$M17="條件排班 1:1"),IF(OR($O17="",$O17&gt;=TODAY()),"生效中","已結束"),IF($M17="補訓後複評","待補訓／複評","無限制"))))</x:f>
      </x:c>
      <x:c r="R17" s="153"/>
    </x:row>
    <x:row r="18">
      <x:c r="A18" s="153"/>
      <x:c r="B18" s="155"/>
      <x:c r="C18" s="153"/>
      <x:c r="D18" s="154" t="str">
        <x:f>IF($C18="","",_xlfn.XLOOKUP($C18,'試行員工主檔'!$A$7:$A$20,'試行員工主檔'!$B$7:$B$20,"員工未建立",0))</x:f>
      </x:c>
      <x:c r="E18" s="153"/>
      <x:c r="F18" s="153"/>
      <x:c r="G18" s="153"/>
      <x:c r="H18" s="153"/>
      <x:c r="I18" s="154" t="str">
        <x:f>IF($H18="","",IF($H18="第一級","記錄觀察",IF($H18="第二級","檢視條件排班與 1:1 支援","暫停直接相關技能資格")))</x:f>
      </x:c>
      <x:c r="J18" s="153"/>
      <x:c r="K18" s="153"/>
      <x:c r="L18" s="153"/>
      <x:c r="M18" s="153"/>
      <x:c r="N18" s="155"/>
      <x:c r="O18" s="155"/>
      <x:c r="P18" s="153"/>
      <x:c r="Q18" s="154" t="str">
        <x:f>IF($A18="","",IF(OR($M18="",$N18="",$P18=""),"資料未完整",IF(OR($M18="暫停技能資格",$M18="條件排班 1:1"),IF(OR($O18="",$O18&gt;=TODAY()),"生效中","已結束"),IF($M18="補訓後複評","待補訓／複評","無限制"))))</x:f>
      </x:c>
      <x:c r="R18" s="153"/>
    </x:row>
    <x:row r="19">
      <x:c r="A19" s="153"/>
      <x:c r="B19" s="155"/>
      <x:c r="C19" s="153"/>
      <x:c r="D19" s="154" t="str">
        <x:f>IF($C19="","",_xlfn.XLOOKUP($C19,'試行員工主檔'!$A$7:$A$20,'試行員工主檔'!$B$7:$B$20,"員工未建立",0))</x:f>
      </x:c>
      <x:c r="E19" s="153"/>
      <x:c r="F19" s="153"/>
      <x:c r="G19" s="153"/>
      <x:c r="H19" s="153"/>
      <x:c r="I19" s="154" t="str">
        <x:f>IF($H19="","",IF($H19="第一級","記錄觀察",IF($H19="第二級","檢視條件排班與 1:1 支援","暫停直接相關技能資格")))</x:f>
      </x:c>
      <x:c r="J19" s="153"/>
      <x:c r="K19" s="153"/>
      <x:c r="L19" s="153"/>
      <x:c r="M19" s="153"/>
      <x:c r="N19" s="155"/>
      <x:c r="O19" s="155"/>
      <x:c r="P19" s="153"/>
      <x:c r="Q19" s="154" t="str">
        <x:f>IF($A19="","",IF(OR($M19="",$N19="",$P19=""),"資料未完整",IF(OR($M19="暫停技能資格",$M19="條件排班 1:1"),IF(OR($O19="",$O19&gt;=TODAY()),"生效中","已結束"),IF($M19="補訓後複評","待補訓／複評","無限制"))))</x:f>
      </x:c>
      <x:c r="R19" s="153"/>
    </x:row>
    <x:row r="20">
      <x:c r="A20" s="153"/>
      <x:c r="B20" s="155"/>
      <x:c r="C20" s="153"/>
      <x:c r="D20" s="154" t="str">
        <x:f>IF($C20="","",_xlfn.XLOOKUP($C20,'試行員工主檔'!$A$7:$A$20,'試行員工主檔'!$B$7:$B$20,"員工未建立",0))</x:f>
      </x:c>
      <x:c r="E20" s="153"/>
      <x:c r="F20" s="153"/>
      <x:c r="G20" s="153"/>
      <x:c r="H20" s="153"/>
      <x:c r="I20" s="154" t="str">
        <x:f>IF($H20="","",IF($H20="第一級","記錄觀察",IF($H20="第二級","檢視條件排班與 1:1 支援","暫停直接相關技能資格")))</x:f>
      </x:c>
      <x:c r="J20" s="153"/>
      <x:c r="K20" s="153"/>
      <x:c r="L20" s="153"/>
      <x:c r="M20" s="153"/>
      <x:c r="N20" s="155"/>
      <x:c r="O20" s="155"/>
      <x:c r="P20" s="153"/>
      <x:c r="Q20" s="154" t="str">
        <x:f>IF($A20="","",IF(OR($M20="",$N20="",$P20=""),"資料未完整",IF(OR($M20="暫停技能資格",$M20="條件排班 1:1"),IF(OR($O20="",$O20&gt;=TODAY()),"生效中","已結束"),IF($M20="補訓後複評","待補訓／複評","無限制"))))</x:f>
      </x:c>
      <x:c r="R20" s="153"/>
    </x:row>
    <x:row r="21">
      <x:c r="A21" s="153"/>
      <x:c r="B21" s="155"/>
      <x:c r="C21" s="153"/>
      <x:c r="D21" s="154" t="str">
        <x:f>IF($C21="","",_xlfn.XLOOKUP($C21,'試行員工主檔'!$A$7:$A$20,'試行員工主檔'!$B$7:$B$20,"員工未建立",0))</x:f>
      </x:c>
      <x:c r="E21" s="153"/>
      <x:c r="F21" s="153"/>
      <x:c r="G21" s="153"/>
      <x:c r="H21" s="153"/>
      <x:c r="I21" s="154" t="str">
        <x:f>IF($H21="","",IF($H21="第一級","記錄觀察",IF($H21="第二級","檢視條件排班與 1:1 支援","暫停直接相關技能資格")))</x:f>
      </x:c>
      <x:c r="J21" s="153"/>
      <x:c r="K21" s="153"/>
      <x:c r="L21" s="153"/>
      <x:c r="M21" s="153"/>
      <x:c r="N21" s="155"/>
      <x:c r="O21" s="155"/>
      <x:c r="P21" s="153"/>
      <x:c r="Q21" s="154" t="str">
        <x:f>IF($A21="","",IF(OR($M21="",$N21="",$P21=""),"資料未完整",IF(OR($M21="暫停技能資格",$M21="條件排班 1:1"),IF(OR($O21="",$O21&gt;=TODAY()),"生效中","已結束"),IF($M21="補訓後複評","待補訓／複評","無限制"))))</x:f>
      </x:c>
      <x:c r="R21" s="153"/>
    </x:row>
    <x:row r="22">
      <x:c r="A22" s="153"/>
      <x:c r="B22" s="155"/>
      <x:c r="C22" s="153"/>
      <x:c r="D22" s="154" t="str">
        <x:f>IF($C22="","",_xlfn.XLOOKUP($C22,'試行員工主檔'!$A$7:$A$20,'試行員工主檔'!$B$7:$B$20,"員工未建立",0))</x:f>
      </x:c>
      <x:c r="E22" s="153"/>
      <x:c r="F22" s="153"/>
      <x:c r="G22" s="153"/>
      <x:c r="H22" s="153"/>
      <x:c r="I22" s="154" t="str">
        <x:f>IF($H22="","",IF($H22="第一級","記錄觀察",IF($H22="第二級","檢視條件排班與 1:1 支援","暫停直接相關技能資格")))</x:f>
      </x:c>
      <x:c r="J22" s="153"/>
      <x:c r="K22" s="153"/>
      <x:c r="L22" s="153"/>
      <x:c r="M22" s="153"/>
      <x:c r="N22" s="155"/>
      <x:c r="O22" s="155"/>
      <x:c r="P22" s="153"/>
      <x:c r="Q22" s="154" t="str">
        <x:f>IF($A22="","",IF(OR($M22="",$N22="",$P22=""),"資料未完整",IF(OR($M22="暫停技能資格",$M22="條件排班 1:1"),IF(OR($O22="",$O22&gt;=TODAY()),"生效中","已結束"),IF($M22="補訓後複評","待補訓／複評","無限制"))))</x:f>
      </x:c>
      <x:c r="R22" s="153"/>
    </x:row>
    <x:row r="23">
      <x:c r="A23" s="153"/>
      <x:c r="B23" s="155"/>
      <x:c r="C23" s="153"/>
      <x:c r="D23" s="154" t="str">
        <x:f>IF($C23="","",_xlfn.XLOOKUP($C23,'試行員工主檔'!$A$7:$A$20,'試行員工主檔'!$B$7:$B$20,"員工未建立",0))</x:f>
      </x:c>
      <x:c r="E23" s="153"/>
      <x:c r="F23" s="153"/>
      <x:c r="G23" s="153"/>
      <x:c r="H23" s="153"/>
      <x:c r="I23" s="154" t="str">
        <x:f>IF($H23="","",IF($H23="第一級","記錄觀察",IF($H23="第二級","檢視條件排班與 1:1 支援","暫停直接相關技能資格")))</x:f>
      </x:c>
      <x:c r="J23" s="153"/>
      <x:c r="K23" s="153"/>
      <x:c r="L23" s="153"/>
      <x:c r="M23" s="153"/>
      <x:c r="N23" s="155"/>
      <x:c r="O23" s="155"/>
      <x:c r="P23" s="153"/>
      <x:c r="Q23" s="154" t="str">
        <x:f>IF($A23="","",IF(OR($M23="",$N23="",$P23=""),"資料未完整",IF(OR($M23="暫停技能資格",$M23="條件排班 1:1"),IF(OR($O23="",$O23&gt;=TODAY()),"生效中","已結束"),IF($M23="補訓後複評","待補訓／複評","無限制"))))</x:f>
      </x:c>
      <x:c r="R23" s="153"/>
    </x:row>
    <x:row r="24">
      <x:c r="A24" s="153"/>
      <x:c r="B24" s="155"/>
      <x:c r="C24" s="153"/>
      <x:c r="D24" s="154" t="str">
        <x:f>IF($C24="","",_xlfn.XLOOKUP($C24,'試行員工主檔'!$A$7:$A$20,'試行員工主檔'!$B$7:$B$20,"員工未建立",0))</x:f>
      </x:c>
      <x:c r="E24" s="153"/>
      <x:c r="F24" s="153"/>
      <x:c r="G24" s="153"/>
      <x:c r="H24" s="153"/>
      <x:c r="I24" s="154" t="str">
        <x:f>IF($H24="","",IF($H24="第一級","記錄觀察",IF($H24="第二級","檢視條件排班與 1:1 支援","暫停直接相關技能資格")))</x:f>
      </x:c>
      <x:c r="J24" s="153"/>
      <x:c r="K24" s="153"/>
      <x:c r="L24" s="153"/>
      <x:c r="M24" s="153"/>
      <x:c r="N24" s="155"/>
      <x:c r="O24" s="155"/>
      <x:c r="P24" s="153"/>
      <x:c r="Q24" s="154" t="str">
        <x:f>IF($A24="","",IF(OR($M24="",$N24="",$P24=""),"資料未完整",IF(OR($M24="暫停技能資格",$M24="條件排班 1:1"),IF(OR($O24="",$O24&gt;=TODAY()),"生效中","已結束"),IF($M24="補訓後複評","待補訓／複評","無限制"))))</x:f>
      </x:c>
      <x:c r="R24" s="153"/>
    </x:row>
    <x:row r="25">
      <x:c r="A25" s="153"/>
      <x:c r="B25" s="155"/>
      <x:c r="C25" s="153"/>
      <x:c r="D25" s="154" t="str">
        <x:f>IF($C25="","",_xlfn.XLOOKUP($C25,'試行員工主檔'!$A$7:$A$20,'試行員工主檔'!$B$7:$B$20,"員工未建立",0))</x:f>
      </x:c>
      <x:c r="E25" s="153"/>
      <x:c r="F25" s="153"/>
      <x:c r="G25" s="153"/>
      <x:c r="H25" s="153"/>
      <x:c r="I25" s="154" t="str">
        <x:f>IF($H25="","",IF($H25="第一級","記錄觀察",IF($H25="第二級","檢視條件排班與 1:1 支援","暫停直接相關技能資格")))</x:f>
      </x:c>
      <x:c r="J25" s="153"/>
      <x:c r="K25" s="153"/>
      <x:c r="L25" s="153"/>
      <x:c r="M25" s="153"/>
      <x:c r="N25" s="155"/>
      <x:c r="O25" s="155"/>
      <x:c r="P25" s="153"/>
      <x:c r="Q25" s="154" t="str">
        <x:f>IF($A25="","",IF(OR($M25="",$N25="",$P25=""),"資料未完整",IF(OR($M25="暫停技能資格",$M25="條件排班 1:1"),IF(OR($O25="",$O25&gt;=TODAY()),"生效中","已結束"),IF($M25="補訓後複評","待補訓／複評","無限制"))))</x:f>
      </x:c>
      <x:c r="R25" s="153"/>
    </x:row>
    <x:row r="26">
      <x:c r="A26" s="153"/>
      <x:c r="B26" s="155"/>
      <x:c r="C26" s="153"/>
      <x:c r="D26" s="154" t="str">
        <x:f>IF($C26="","",_xlfn.XLOOKUP($C26,'試行員工主檔'!$A$7:$A$20,'試行員工主檔'!$B$7:$B$20,"員工未建立",0))</x:f>
      </x:c>
      <x:c r="E26" s="153"/>
      <x:c r="F26" s="153"/>
      <x:c r="G26" s="153"/>
      <x:c r="H26" s="153"/>
      <x:c r="I26" s="154" t="str">
        <x:f>IF($H26="","",IF($H26="第一級","記錄觀察",IF($H26="第二級","檢視條件排班與 1:1 支援","暫停直接相關技能資格")))</x:f>
      </x:c>
      <x:c r="J26" s="153"/>
      <x:c r="K26" s="153"/>
      <x:c r="L26" s="153"/>
      <x:c r="M26" s="153"/>
      <x:c r="N26" s="155"/>
      <x:c r="O26" s="155"/>
      <x:c r="P26" s="153"/>
      <x:c r="Q26" s="154" t="str">
        <x:f>IF($A26="","",IF(OR($M26="",$N26="",$P26=""),"資料未完整",IF(OR($M26="暫停技能資格",$M26="條件排班 1:1"),IF(OR($O26="",$O26&gt;=TODAY()),"生效中","已結束"),IF($M26="補訓後複評","待補訓／複評","無限制"))))</x:f>
      </x:c>
      <x:c r="R26" s="153"/>
    </x:row>
    <x:row r="27">
      <x:c r="A27" s="153"/>
      <x:c r="B27" s="155"/>
      <x:c r="C27" s="153"/>
      <x:c r="D27" s="154" t="str">
        <x:f>IF($C27="","",_xlfn.XLOOKUP($C27,'試行員工主檔'!$A$7:$A$20,'試行員工主檔'!$B$7:$B$20,"員工未建立",0))</x:f>
      </x:c>
      <x:c r="E27" s="153"/>
      <x:c r="F27" s="153"/>
      <x:c r="G27" s="153"/>
      <x:c r="H27" s="153"/>
      <x:c r="I27" s="154" t="str">
        <x:f>IF($H27="","",IF($H27="第一級","記錄觀察",IF($H27="第二級","檢視條件排班與 1:1 支援","暫停直接相關技能資格")))</x:f>
      </x:c>
      <x:c r="J27" s="153"/>
      <x:c r="K27" s="153"/>
      <x:c r="L27" s="153"/>
      <x:c r="M27" s="153"/>
      <x:c r="N27" s="155"/>
      <x:c r="O27" s="155"/>
      <x:c r="P27" s="153"/>
      <x:c r="Q27" s="154" t="str">
        <x:f>IF($A27="","",IF(OR($M27="",$N27="",$P27=""),"資料未完整",IF(OR($M27="暫停技能資格",$M27="條件排班 1:1"),IF(OR($O27="",$O27&gt;=TODAY()),"生效中","已結束"),IF($M27="補訓後複評","待補訓／複評","無限制"))))</x:f>
      </x:c>
      <x:c r="R27" s="153"/>
    </x:row>
    <x:row r="28">
      <x:c r="A28" s="153"/>
      <x:c r="B28" s="155"/>
      <x:c r="C28" s="153"/>
      <x:c r="D28" s="154" t="str">
        <x:f>IF($C28="","",_xlfn.XLOOKUP($C28,'試行員工主檔'!$A$7:$A$20,'試行員工主檔'!$B$7:$B$20,"員工未建立",0))</x:f>
      </x:c>
      <x:c r="E28" s="153"/>
      <x:c r="F28" s="153"/>
      <x:c r="G28" s="153"/>
      <x:c r="H28" s="153"/>
      <x:c r="I28" s="154" t="str">
        <x:f>IF($H28="","",IF($H28="第一級","記錄觀察",IF($H28="第二級","檢視條件排班與 1:1 支援","暫停直接相關技能資格")))</x:f>
      </x:c>
      <x:c r="J28" s="153"/>
      <x:c r="K28" s="153"/>
      <x:c r="L28" s="153"/>
      <x:c r="M28" s="153"/>
      <x:c r="N28" s="155"/>
      <x:c r="O28" s="155"/>
      <x:c r="P28" s="153"/>
      <x:c r="Q28" s="154" t="str">
        <x:f>IF($A28="","",IF(OR($M28="",$N28="",$P28=""),"資料未完整",IF(OR($M28="暫停技能資格",$M28="條件排班 1:1"),IF(OR($O28="",$O28&gt;=TODAY()),"生效中","已結束"),IF($M28="補訓後複評","待補訓／複評","無限制"))))</x:f>
      </x:c>
      <x:c r="R28" s="153"/>
    </x:row>
    <x:row r="29">
      <x:c r="A29" s="153"/>
      <x:c r="B29" s="155"/>
      <x:c r="C29" s="153"/>
      <x:c r="D29" s="154" t="str">
        <x:f>IF($C29="","",_xlfn.XLOOKUP($C29,'試行員工主檔'!$A$7:$A$20,'試行員工主檔'!$B$7:$B$20,"員工未建立",0))</x:f>
      </x:c>
      <x:c r="E29" s="153"/>
      <x:c r="F29" s="153"/>
      <x:c r="G29" s="153"/>
      <x:c r="H29" s="153"/>
      <x:c r="I29" s="154" t="str">
        <x:f>IF($H29="","",IF($H29="第一級","記錄觀察",IF($H29="第二級","檢視條件排班與 1:1 支援","暫停直接相關技能資格")))</x:f>
      </x:c>
      <x:c r="J29" s="153"/>
      <x:c r="K29" s="153"/>
      <x:c r="L29" s="153"/>
      <x:c r="M29" s="153"/>
      <x:c r="N29" s="155"/>
      <x:c r="O29" s="155"/>
      <x:c r="P29" s="153"/>
      <x:c r="Q29" s="154" t="str">
        <x:f>IF($A29="","",IF(OR($M29="",$N29="",$P29=""),"資料未完整",IF(OR($M29="暫停技能資格",$M29="條件排班 1:1"),IF(OR($O29="",$O29&gt;=TODAY()),"生效中","已結束"),IF($M29="補訓後複評","待補訓／複評","無限制"))))</x:f>
      </x:c>
      <x:c r="R29" s="153"/>
    </x:row>
    <x:row r="30">
      <x:c r="A30" s="153"/>
      <x:c r="B30" s="155"/>
      <x:c r="C30" s="153"/>
      <x:c r="D30" s="154" t="str">
        <x:f>IF($C30="","",_xlfn.XLOOKUP($C30,'試行員工主檔'!$A$7:$A$20,'試行員工主檔'!$B$7:$B$20,"員工未建立",0))</x:f>
      </x:c>
      <x:c r="E30" s="153"/>
      <x:c r="F30" s="153"/>
      <x:c r="G30" s="153"/>
      <x:c r="H30" s="153"/>
      <x:c r="I30" s="154" t="str">
        <x:f>IF($H30="","",IF($H30="第一級","記錄觀察",IF($H30="第二級","檢視條件排班與 1:1 支援","暫停直接相關技能資格")))</x:f>
      </x:c>
      <x:c r="J30" s="153"/>
      <x:c r="K30" s="153"/>
      <x:c r="L30" s="153"/>
      <x:c r="M30" s="153"/>
      <x:c r="N30" s="155"/>
      <x:c r="O30" s="155"/>
      <x:c r="P30" s="153"/>
      <x:c r="Q30" s="154" t="str">
        <x:f>IF($A30="","",IF(OR($M30="",$N30="",$P30=""),"資料未完整",IF(OR($M30="暫停技能資格",$M30="條件排班 1:1"),IF(OR($O30="",$O30&gt;=TODAY()),"生效中","已結束"),IF($M30="補訓後複評","待補訓／複評","無限制"))))</x:f>
      </x:c>
      <x:c r="R30" s="153"/>
    </x:row>
    <x:row r="31">
      <x:c r="A31" s="153"/>
      <x:c r="B31" s="155"/>
      <x:c r="C31" s="153"/>
      <x:c r="D31" s="154" t="str">
        <x:f>IF($C31="","",_xlfn.XLOOKUP($C31,'試行員工主檔'!$A$7:$A$20,'試行員工主檔'!$B$7:$B$20,"員工未建立",0))</x:f>
      </x:c>
      <x:c r="E31" s="153"/>
      <x:c r="F31" s="153"/>
      <x:c r="G31" s="153"/>
      <x:c r="H31" s="153"/>
      <x:c r="I31" s="154" t="str">
        <x:f>IF($H31="","",IF($H31="第一級","記錄觀察",IF($H31="第二級","檢視條件排班與 1:1 支援","暫停直接相關技能資格")))</x:f>
      </x:c>
      <x:c r="J31" s="153"/>
      <x:c r="K31" s="153"/>
      <x:c r="L31" s="153"/>
      <x:c r="M31" s="153"/>
      <x:c r="N31" s="155"/>
      <x:c r="O31" s="155"/>
      <x:c r="P31" s="153"/>
      <x:c r="Q31" s="154" t="str">
        <x:f>IF($A31="","",IF(OR($M31="",$N31="",$P31=""),"資料未完整",IF(OR($M31="暫停技能資格",$M31="條件排班 1:1"),IF(OR($O31="",$O31&gt;=TODAY()),"生效中","已結束"),IF($M31="補訓後複評","待補訓／複評","無限制"))))</x:f>
      </x:c>
      <x:c r="R31" s="153"/>
    </x:row>
    <x:row r="32">
      <x:c r="A32" s="153"/>
      <x:c r="B32" s="155"/>
      <x:c r="C32" s="153"/>
      <x:c r="D32" s="154" t="str">
        <x:f>IF($C32="","",_xlfn.XLOOKUP($C32,'試行員工主檔'!$A$7:$A$20,'試行員工主檔'!$B$7:$B$20,"員工未建立",0))</x:f>
      </x:c>
      <x:c r="E32" s="153"/>
      <x:c r="F32" s="153"/>
      <x:c r="G32" s="153"/>
      <x:c r="H32" s="153"/>
      <x:c r="I32" s="154" t="str">
        <x:f>IF($H32="","",IF($H32="第一級","記錄觀察",IF($H32="第二級","檢視條件排班與 1:1 支援","暫停直接相關技能資格")))</x:f>
      </x:c>
      <x:c r="J32" s="153"/>
      <x:c r="K32" s="153"/>
      <x:c r="L32" s="153"/>
      <x:c r="M32" s="153"/>
      <x:c r="N32" s="155"/>
      <x:c r="O32" s="155"/>
      <x:c r="P32" s="153"/>
      <x:c r="Q32" s="154" t="str">
        <x:f>IF($A32="","",IF(OR($M32="",$N32="",$P32=""),"資料未完整",IF(OR($M32="暫停技能資格",$M32="條件排班 1:1"),IF(OR($O32="",$O32&gt;=TODAY()),"生效中","已結束"),IF($M32="補訓後複評","待補訓／複評","無限制"))))</x:f>
      </x:c>
      <x:c r="R32" s="153"/>
    </x:row>
    <x:row r="33">
      <x:c r="A33" s="153"/>
      <x:c r="B33" s="155"/>
      <x:c r="C33" s="153"/>
      <x:c r="D33" s="154" t="str">
        <x:f>IF($C33="","",_xlfn.XLOOKUP($C33,'試行員工主檔'!$A$7:$A$20,'試行員工主檔'!$B$7:$B$20,"員工未建立",0))</x:f>
      </x:c>
      <x:c r="E33" s="153"/>
      <x:c r="F33" s="153"/>
      <x:c r="G33" s="153"/>
      <x:c r="H33" s="153"/>
      <x:c r="I33" s="154" t="str">
        <x:f>IF($H33="","",IF($H33="第一級","記錄觀察",IF($H33="第二級","檢視條件排班與 1:1 支援","暫停直接相關技能資格")))</x:f>
      </x:c>
      <x:c r="J33" s="153"/>
      <x:c r="K33" s="153"/>
      <x:c r="L33" s="153"/>
      <x:c r="M33" s="153"/>
      <x:c r="N33" s="155"/>
      <x:c r="O33" s="155"/>
      <x:c r="P33" s="153"/>
      <x:c r="Q33" s="154" t="str">
        <x:f>IF($A33="","",IF(OR($M33="",$N33="",$P33=""),"資料未完整",IF(OR($M33="暫停技能資格",$M33="條件排班 1:1"),IF(OR($O33="",$O33&gt;=TODAY()),"生效中","已結束"),IF($M33="補訓後複評","待補訓／複評","無限制"))))</x:f>
      </x:c>
      <x:c r="R33" s="153"/>
    </x:row>
    <x:row r="34">
      <x:c r="A34" s="153"/>
      <x:c r="B34" s="155"/>
      <x:c r="C34" s="153"/>
      <x:c r="D34" s="154" t="str">
        <x:f>IF($C34="","",_xlfn.XLOOKUP($C34,'試行員工主檔'!$A$7:$A$20,'試行員工主檔'!$B$7:$B$20,"員工未建立",0))</x:f>
      </x:c>
      <x:c r="E34" s="153"/>
      <x:c r="F34" s="153"/>
      <x:c r="G34" s="153"/>
      <x:c r="H34" s="153"/>
      <x:c r="I34" s="154" t="str">
        <x:f>IF($H34="","",IF($H34="第一級","記錄觀察",IF($H34="第二級","檢視條件排班與 1:1 支援","暫停直接相關技能資格")))</x:f>
      </x:c>
      <x:c r="J34" s="153"/>
      <x:c r="K34" s="153"/>
      <x:c r="L34" s="153"/>
      <x:c r="M34" s="153"/>
      <x:c r="N34" s="155"/>
      <x:c r="O34" s="155"/>
      <x:c r="P34" s="153"/>
      <x:c r="Q34" s="154" t="str">
        <x:f>IF($A34="","",IF(OR($M34="",$N34="",$P34=""),"資料未完整",IF(OR($M34="暫停技能資格",$M34="條件排班 1:1"),IF(OR($O34="",$O34&gt;=TODAY()),"生效中","已結束"),IF($M34="補訓後複評","待補訓／複評","無限制"))))</x:f>
      </x:c>
      <x:c r="R34" s="153"/>
    </x:row>
    <x:row r="35">
      <x:c r="A35" s="153"/>
      <x:c r="B35" s="155"/>
      <x:c r="C35" s="153"/>
      <x:c r="D35" s="154" t="str">
        <x:f>IF($C35="","",_xlfn.XLOOKUP($C35,'試行員工主檔'!$A$7:$A$20,'試行員工主檔'!$B$7:$B$20,"員工未建立",0))</x:f>
      </x:c>
      <x:c r="E35" s="153"/>
      <x:c r="F35" s="153"/>
      <x:c r="G35" s="153"/>
      <x:c r="H35" s="153"/>
      <x:c r="I35" s="154" t="str">
        <x:f>IF($H35="","",IF($H35="第一級","記錄觀察",IF($H35="第二級","檢視條件排班與 1:1 支援","暫停直接相關技能資格")))</x:f>
      </x:c>
      <x:c r="J35" s="153"/>
      <x:c r="K35" s="153"/>
      <x:c r="L35" s="153"/>
      <x:c r="M35" s="153"/>
      <x:c r="N35" s="155"/>
      <x:c r="O35" s="155"/>
      <x:c r="P35" s="153"/>
      <x:c r="Q35" s="154" t="str">
        <x:f>IF($A35="","",IF(OR($M35="",$N35="",$P35=""),"資料未完整",IF(OR($M35="暫停技能資格",$M35="條件排班 1:1"),IF(OR($O35="",$O35&gt;=TODAY()),"生效中","已結束"),IF($M35="補訓後複評","待補訓／複評","無限制"))))</x:f>
      </x:c>
      <x:c r="R35" s="153"/>
    </x:row>
    <x:row r="36">
      <x:c r="A36" s="153"/>
      <x:c r="B36" s="155"/>
      <x:c r="C36" s="153"/>
      <x:c r="D36" s="154" t="str">
        <x:f>IF($C36="","",_xlfn.XLOOKUP($C36,'試行員工主檔'!$A$7:$A$20,'試行員工主檔'!$B$7:$B$20,"員工未建立",0))</x:f>
      </x:c>
      <x:c r="E36" s="153"/>
      <x:c r="F36" s="153"/>
      <x:c r="G36" s="153"/>
      <x:c r="H36" s="153"/>
      <x:c r="I36" s="154" t="str">
        <x:f>IF($H36="","",IF($H36="第一級","記錄觀察",IF($H36="第二級","檢視條件排班與 1:1 支援","暫停直接相關技能資格")))</x:f>
      </x:c>
      <x:c r="J36" s="153"/>
      <x:c r="K36" s="153"/>
      <x:c r="L36" s="153"/>
      <x:c r="M36" s="153"/>
      <x:c r="N36" s="155"/>
      <x:c r="O36" s="155"/>
      <x:c r="P36" s="153"/>
      <x:c r="Q36" s="154" t="str">
        <x:f>IF($A36="","",IF(OR($M36="",$N36="",$P36=""),"資料未完整",IF(OR($M36="暫停技能資格",$M36="條件排班 1:1"),IF(OR($O36="",$O36&gt;=TODAY()),"生效中","已結束"),IF($M36="補訓後複評","待補訓／複評","無限制"))))</x:f>
      </x:c>
      <x:c r="R36" s="153"/>
    </x:row>
    <x:row r="37">
      <x:c r="A37" s="153"/>
      <x:c r="B37" s="155"/>
      <x:c r="C37" s="153"/>
      <x:c r="D37" s="154" t="str">
        <x:f>IF($C37="","",_xlfn.XLOOKUP($C37,'試行員工主檔'!$A$7:$A$20,'試行員工主檔'!$B$7:$B$20,"員工未建立",0))</x:f>
      </x:c>
      <x:c r="E37" s="153"/>
      <x:c r="F37" s="153"/>
      <x:c r="G37" s="153"/>
      <x:c r="H37" s="153"/>
      <x:c r="I37" s="154" t="str">
        <x:f>IF($H37="","",IF($H37="第一級","記錄觀察",IF($H37="第二級","檢視條件排班與 1:1 支援","暫停直接相關技能資格")))</x:f>
      </x:c>
      <x:c r="J37" s="153"/>
      <x:c r="K37" s="153"/>
      <x:c r="L37" s="153"/>
      <x:c r="M37" s="153"/>
      <x:c r="N37" s="155"/>
      <x:c r="O37" s="155"/>
      <x:c r="P37" s="153"/>
      <x:c r="Q37" s="154" t="str">
        <x:f>IF($A37="","",IF(OR($M37="",$N37="",$P37=""),"資料未完整",IF(OR($M37="暫停技能資格",$M37="條件排班 1:1"),IF(OR($O37="",$O37&gt;=TODAY()),"生效中","已結束"),IF($M37="補訓後複評","待補訓／複評","無限制"))))</x:f>
      </x:c>
      <x:c r="R37" s="153"/>
    </x:row>
    <x:row r="38">
      <x:c r="A38" s="153"/>
      <x:c r="B38" s="155"/>
      <x:c r="C38" s="153"/>
      <x:c r="D38" s="154" t="str">
        <x:f>IF($C38="","",_xlfn.XLOOKUP($C38,'試行員工主檔'!$A$7:$A$20,'試行員工主檔'!$B$7:$B$20,"員工未建立",0))</x:f>
      </x:c>
      <x:c r="E38" s="153"/>
      <x:c r="F38" s="153"/>
      <x:c r="G38" s="153"/>
      <x:c r="H38" s="153"/>
      <x:c r="I38" s="154" t="str">
        <x:f>IF($H38="","",IF($H38="第一級","記錄觀察",IF($H38="第二級","檢視條件排班與 1:1 支援","暫停直接相關技能資格")))</x:f>
      </x:c>
      <x:c r="J38" s="153"/>
      <x:c r="K38" s="153"/>
      <x:c r="L38" s="153"/>
      <x:c r="M38" s="153"/>
      <x:c r="N38" s="155"/>
      <x:c r="O38" s="155"/>
      <x:c r="P38" s="153"/>
      <x:c r="Q38" s="154" t="str">
        <x:f>IF($A38="","",IF(OR($M38="",$N38="",$P38=""),"資料未完整",IF(OR($M38="暫停技能資格",$M38="條件排班 1:1"),IF(OR($O38="",$O38&gt;=TODAY()),"生效中","已結束"),IF($M38="補訓後複評","待補訓／複評","無限制"))))</x:f>
      </x:c>
      <x:c r="R38" s="153"/>
    </x:row>
    <x:row r="39">
      <x:c r="A39" s="153"/>
      <x:c r="B39" s="155"/>
      <x:c r="C39" s="153"/>
      <x:c r="D39" s="154" t="str">
        <x:f>IF($C39="","",_xlfn.XLOOKUP($C39,'試行員工主檔'!$A$7:$A$20,'試行員工主檔'!$B$7:$B$20,"員工未建立",0))</x:f>
      </x:c>
      <x:c r="E39" s="153"/>
      <x:c r="F39" s="153"/>
      <x:c r="G39" s="153"/>
      <x:c r="H39" s="153"/>
      <x:c r="I39" s="154" t="str">
        <x:f>IF($H39="","",IF($H39="第一級","記錄觀察",IF($H39="第二級","檢視條件排班與 1:1 支援","暫停直接相關技能資格")))</x:f>
      </x:c>
      <x:c r="J39" s="153"/>
      <x:c r="K39" s="153"/>
      <x:c r="L39" s="153"/>
      <x:c r="M39" s="153"/>
      <x:c r="N39" s="155"/>
      <x:c r="O39" s="155"/>
      <x:c r="P39" s="153"/>
      <x:c r="Q39" s="154" t="str">
        <x:f>IF($A39="","",IF(OR($M39="",$N39="",$P39=""),"資料未完整",IF(OR($M39="暫停技能資格",$M39="條件排班 1:1"),IF(OR($O39="",$O39&gt;=TODAY()),"生效中","已結束"),IF($M39="補訓後複評","待補訓／複評","無限制"))))</x:f>
      </x:c>
      <x:c r="R39" s="153"/>
    </x:row>
    <x:row r="40">
      <x:c r="A40" s="153"/>
      <x:c r="B40" s="155"/>
      <x:c r="C40" s="153"/>
      <x:c r="D40" s="154" t="str">
        <x:f>IF($C40="","",_xlfn.XLOOKUP($C40,'試行員工主檔'!$A$7:$A$20,'試行員工主檔'!$B$7:$B$20,"員工未建立",0))</x:f>
      </x:c>
      <x:c r="E40" s="153"/>
      <x:c r="F40" s="153"/>
      <x:c r="G40" s="153"/>
      <x:c r="H40" s="153"/>
      <x:c r="I40" s="154" t="str">
        <x:f>IF($H40="","",IF($H40="第一級","記錄觀察",IF($H40="第二級","檢視條件排班與 1:1 支援","暫停直接相關技能資格")))</x:f>
      </x:c>
      <x:c r="J40" s="153"/>
      <x:c r="K40" s="153"/>
      <x:c r="L40" s="153"/>
      <x:c r="M40" s="153"/>
      <x:c r="N40" s="155"/>
      <x:c r="O40" s="155"/>
      <x:c r="P40" s="153"/>
      <x:c r="Q40" s="154" t="str">
        <x:f>IF($A40="","",IF(OR($M40="",$N40="",$P40=""),"資料未完整",IF(OR($M40="暫停技能資格",$M40="條件排班 1:1"),IF(OR($O40="",$O40&gt;=TODAY()),"生效中","已結束"),IF($M40="補訓後複評","待補訓／複評","無限制"))))</x:f>
      </x:c>
      <x:c r="R40" s="153"/>
    </x:row>
    <x:row r="41">
      <x:c r="A41" s="153"/>
      <x:c r="B41" s="155"/>
      <x:c r="C41" s="153"/>
      <x:c r="D41" s="154" t="str">
        <x:f>IF($C41="","",_xlfn.XLOOKUP($C41,'試行員工主檔'!$A$7:$A$20,'試行員工主檔'!$B$7:$B$20,"員工未建立",0))</x:f>
      </x:c>
      <x:c r="E41" s="153"/>
      <x:c r="F41" s="153"/>
      <x:c r="G41" s="153"/>
      <x:c r="H41" s="153"/>
      <x:c r="I41" s="154" t="str">
        <x:f>IF($H41="","",IF($H41="第一級","記錄觀察",IF($H41="第二級","檢視條件排班與 1:1 支援","暫停直接相關技能資格")))</x:f>
      </x:c>
      <x:c r="J41" s="153"/>
      <x:c r="K41" s="153"/>
      <x:c r="L41" s="153"/>
      <x:c r="M41" s="153"/>
      <x:c r="N41" s="155"/>
      <x:c r="O41" s="155"/>
      <x:c r="P41" s="153"/>
      <x:c r="Q41" s="154" t="str">
        <x:f>IF($A41="","",IF(OR($M41="",$N41="",$P41=""),"資料未完整",IF(OR($M41="暫停技能資格",$M41="條件排班 1:1"),IF(OR($O41="",$O41&gt;=TODAY()),"生效中","已結束"),IF($M41="補訓後複評","待補訓／複評","無限制"))))</x:f>
      </x:c>
      <x:c r="R41" s="153"/>
    </x:row>
    <x:row r="42">
      <x:c r="A42" s="153"/>
      <x:c r="B42" s="155"/>
      <x:c r="C42" s="153"/>
      <x:c r="D42" s="154" t="str">
        <x:f>IF($C42="","",_xlfn.XLOOKUP($C42,'試行員工主檔'!$A$7:$A$20,'試行員工主檔'!$B$7:$B$20,"員工未建立",0))</x:f>
      </x:c>
      <x:c r="E42" s="153"/>
      <x:c r="F42" s="153"/>
      <x:c r="G42" s="153"/>
      <x:c r="H42" s="153"/>
      <x:c r="I42" s="154" t="str">
        <x:f>IF($H42="","",IF($H42="第一級","記錄觀察",IF($H42="第二級","檢視條件排班與 1:1 支援","暫停直接相關技能資格")))</x:f>
      </x:c>
      <x:c r="J42" s="153"/>
      <x:c r="K42" s="153"/>
      <x:c r="L42" s="153"/>
      <x:c r="M42" s="153"/>
      <x:c r="N42" s="155"/>
      <x:c r="O42" s="155"/>
      <x:c r="P42" s="153"/>
      <x:c r="Q42" s="154" t="str">
        <x:f>IF($A42="","",IF(OR($M42="",$N42="",$P42=""),"資料未完整",IF(OR($M42="暫停技能資格",$M42="條件排班 1:1"),IF(OR($O42="",$O42&gt;=TODAY()),"生效中","已結束"),IF($M42="補訓後複評","待補訓／複評","無限制"))))</x:f>
      </x:c>
      <x:c r="R42" s="153"/>
    </x:row>
    <x:row r="43">
      <x:c r="A43" s="153"/>
      <x:c r="B43" s="155"/>
      <x:c r="C43" s="153"/>
      <x:c r="D43" s="154" t="str">
        <x:f>IF($C43="","",_xlfn.XLOOKUP($C43,'試行員工主檔'!$A$7:$A$20,'試行員工主檔'!$B$7:$B$20,"員工未建立",0))</x:f>
      </x:c>
      <x:c r="E43" s="153"/>
      <x:c r="F43" s="153"/>
      <x:c r="G43" s="153"/>
      <x:c r="H43" s="153"/>
      <x:c r="I43" s="154" t="str">
        <x:f>IF($H43="","",IF($H43="第一級","記錄觀察",IF($H43="第二級","檢視條件排班與 1:1 支援","暫停直接相關技能資格")))</x:f>
      </x:c>
      <x:c r="J43" s="153"/>
      <x:c r="K43" s="153"/>
      <x:c r="L43" s="153"/>
      <x:c r="M43" s="153"/>
      <x:c r="N43" s="155"/>
      <x:c r="O43" s="155"/>
      <x:c r="P43" s="153"/>
      <x:c r="Q43" s="154" t="str">
        <x:f>IF($A43="","",IF(OR($M43="",$N43="",$P43=""),"資料未完整",IF(OR($M43="暫停技能資格",$M43="條件排班 1:1"),IF(OR($O43="",$O43&gt;=TODAY()),"生效中","已結束"),IF($M43="補訓後複評","待補訓／複評","無限制"))))</x:f>
      </x:c>
      <x:c r="R43" s="153"/>
    </x:row>
    <x:row r="44">
      <x:c r="A44" s="153"/>
      <x:c r="B44" s="155"/>
      <x:c r="C44" s="153"/>
      <x:c r="D44" s="154" t="str">
        <x:f>IF($C44="","",_xlfn.XLOOKUP($C44,'試行員工主檔'!$A$7:$A$20,'試行員工主檔'!$B$7:$B$20,"員工未建立",0))</x:f>
      </x:c>
      <x:c r="E44" s="153"/>
      <x:c r="F44" s="153"/>
      <x:c r="G44" s="153"/>
      <x:c r="H44" s="153"/>
      <x:c r="I44" s="154" t="str">
        <x:f>IF($H44="","",IF($H44="第一級","記錄觀察",IF($H44="第二級","檢視條件排班與 1:1 支援","暫停直接相關技能資格")))</x:f>
      </x:c>
      <x:c r="J44" s="153"/>
      <x:c r="K44" s="153"/>
      <x:c r="L44" s="153"/>
      <x:c r="M44" s="153"/>
      <x:c r="N44" s="155"/>
      <x:c r="O44" s="155"/>
      <x:c r="P44" s="153"/>
      <x:c r="Q44" s="154" t="str">
        <x:f>IF($A44="","",IF(OR($M44="",$N44="",$P44=""),"資料未完整",IF(OR($M44="暫停技能資格",$M44="條件排班 1:1"),IF(OR($O44="",$O44&gt;=TODAY()),"生效中","已結束"),IF($M44="補訓後複評","待補訓／複評","無限制"))))</x:f>
      </x:c>
      <x:c r="R44" s="153"/>
    </x:row>
    <x:row r="45">
      <x:c r="A45" s="153"/>
      <x:c r="B45" s="155"/>
      <x:c r="C45" s="153"/>
      <x:c r="D45" s="154" t="str">
        <x:f>IF($C45="","",_xlfn.XLOOKUP($C45,'試行員工主檔'!$A$7:$A$20,'試行員工主檔'!$B$7:$B$20,"員工未建立",0))</x:f>
      </x:c>
      <x:c r="E45" s="153"/>
      <x:c r="F45" s="153"/>
      <x:c r="G45" s="153"/>
      <x:c r="H45" s="153"/>
      <x:c r="I45" s="154" t="str">
        <x:f>IF($H45="","",IF($H45="第一級","記錄觀察",IF($H45="第二級","檢視條件排班與 1:1 支援","暫停直接相關技能資格")))</x:f>
      </x:c>
      <x:c r="J45" s="153"/>
      <x:c r="K45" s="153"/>
      <x:c r="L45" s="153"/>
      <x:c r="M45" s="153"/>
      <x:c r="N45" s="155"/>
      <x:c r="O45" s="155"/>
      <x:c r="P45" s="153"/>
      <x:c r="Q45" s="154" t="str">
        <x:f>IF($A45="","",IF(OR($M45="",$N45="",$P45=""),"資料未完整",IF(OR($M45="暫停技能資格",$M45="條件排班 1:1"),IF(OR($O45="",$O45&gt;=TODAY()),"生效中","已結束"),IF($M45="補訓後複評","待補訓／複評","無限制"))))</x:f>
      </x:c>
      <x:c r="R45" s="153"/>
    </x:row>
    <x:row r="46">
      <x:c r="A46" s="153"/>
      <x:c r="B46" s="155"/>
      <x:c r="C46" s="153"/>
      <x:c r="D46" s="154" t="str">
        <x:f>IF($C46="","",_xlfn.XLOOKUP($C46,'試行員工主檔'!$A$7:$A$20,'試行員工主檔'!$B$7:$B$20,"員工未建立",0))</x:f>
      </x:c>
      <x:c r="E46" s="153"/>
      <x:c r="F46" s="153"/>
      <x:c r="G46" s="153"/>
      <x:c r="H46" s="153"/>
      <x:c r="I46" s="154" t="str">
        <x:f>IF($H46="","",IF($H46="第一級","記錄觀察",IF($H46="第二級","檢視條件排班與 1:1 支援","暫停直接相關技能資格")))</x:f>
      </x:c>
      <x:c r="J46" s="153"/>
      <x:c r="K46" s="153"/>
      <x:c r="L46" s="153"/>
      <x:c r="M46" s="153"/>
      <x:c r="N46" s="155"/>
      <x:c r="O46" s="155"/>
      <x:c r="P46" s="153"/>
      <x:c r="Q46" s="154" t="str">
        <x:f>IF($A46="","",IF(OR($M46="",$N46="",$P46=""),"資料未完整",IF(OR($M46="暫停技能資格",$M46="條件排班 1:1"),IF(OR($O46="",$O46&gt;=TODAY()),"生效中","已結束"),IF($M46="補訓後複評","待補訓／複評","無限制"))))</x:f>
      </x:c>
      <x:c r="R46" s="153"/>
    </x:row>
    <x:row r="47">
      <x:c r="A47" s="153"/>
      <x:c r="B47" s="155"/>
      <x:c r="C47" s="153"/>
      <x:c r="D47" s="154" t="str">
        <x:f>IF($C47="","",_xlfn.XLOOKUP($C47,'試行員工主檔'!$A$7:$A$20,'試行員工主檔'!$B$7:$B$20,"員工未建立",0))</x:f>
      </x:c>
      <x:c r="E47" s="153"/>
      <x:c r="F47" s="153"/>
      <x:c r="G47" s="153"/>
      <x:c r="H47" s="153"/>
      <x:c r="I47" s="154" t="str">
        <x:f>IF($H47="","",IF($H47="第一級","記錄觀察",IF($H47="第二級","檢視條件排班與 1:1 支援","暫停直接相關技能資格")))</x:f>
      </x:c>
      <x:c r="J47" s="153"/>
      <x:c r="K47" s="153"/>
      <x:c r="L47" s="153"/>
      <x:c r="M47" s="153"/>
      <x:c r="N47" s="155"/>
      <x:c r="O47" s="155"/>
      <x:c r="P47" s="153"/>
      <x:c r="Q47" s="154" t="str">
        <x:f>IF($A47="","",IF(OR($M47="",$N47="",$P47=""),"資料未完整",IF(OR($M47="暫停技能資格",$M47="條件排班 1:1"),IF(OR($O47="",$O47&gt;=TODAY()),"生效中","已結束"),IF($M47="補訓後複評","待補訓／複評","無限制"))))</x:f>
      </x:c>
      <x:c r="R47" s="153"/>
    </x:row>
    <x:row r="48">
      <x:c r="A48" s="153"/>
      <x:c r="B48" s="155"/>
      <x:c r="C48" s="153"/>
      <x:c r="D48" s="154" t="str">
        <x:f>IF($C48="","",_xlfn.XLOOKUP($C48,'試行員工主檔'!$A$7:$A$20,'試行員工主檔'!$B$7:$B$20,"員工未建立",0))</x:f>
      </x:c>
      <x:c r="E48" s="153"/>
      <x:c r="F48" s="153"/>
      <x:c r="G48" s="153"/>
      <x:c r="H48" s="153"/>
      <x:c r="I48" s="154" t="str">
        <x:f>IF($H48="","",IF($H48="第一級","記錄觀察",IF($H48="第二級","檢視條件排班與 1:1 支援","暫停直接相關技能資格")))</x:f>
      </x:c>
      <x:c r="J48" s="153"/>
      <x:c r="K48" s="153"/>
      <x:c r="L48" s="153"/>
      <x:c r="M48" s="153"/>
      <x:c r="N48" s="155"/>
      <x:c r="O48" s="155"/>
      <x:c r="P48" s="153"/>
      <x:c r="Q48" s="154" t="str">
        <x:f>IF($A48="","",IF(OR($M48="",$N48="",$P48=""),"資料未完整",IF(OR($M48="暫停技能資格",$M48="條件排班 1:1"),IF(OR($O48="",$O48&gt;=TODAY()),"生效中","已結束"),IF($M48="補訓後複評","待補訓／複評","無限制"))))</x:f>
      </x:c>
      <x:c r="R48" s="153"/>
    </x:row>
    <x:row r="49">
      <x:c r="A49" s="153"/>
      <x:c r="B49" s="155"/>
      <x:c r="C49" s="153"/>
      <x:c r="D49" s="154" t="str">
        <x:f>IF($C49="","",_xlfn.XLOOKUP($C49,'試行員工主檔'!$A$7:$A$20,'試行員工主檔'!$B$7:$B$20,"員工未建立",0))</x:f>
      </x:c>
      <x:c r="E49" s="153"/>
      <x:c r="F49" s="153"/>
      <x:c r="G49" s="153"/>
      <x:c r="H49" s="153"/>
      <x:c r="I49" s="154" t="str">
        <x:f>IF($H49="","",IF($H49="第一級","記錄觀察",IF($H49="第二級","檢視條件排班與 1:1 支援","暫停直接相關技能資格")))</x:f>
      </x:c>
      <x:c r="J49" s="153"/>
      <x:c r="K49" s="153"/>
      <x:c r="L49" s="153"/>
      <x:c r="M49" s="153"/>
      <x:c r="N49" s="155"/>
      <x:c r="O49" s="155"/>
      <x:c r="P49" s="153"/>
      <x:c r="Q49" s="154" t="str">
        <x:f>IF($A49="","",IF(OR($M49="",$N49="",$P49=""),"資料未完整",IF(OR($M49="暫停技能資格",$M49="條件排班 1:1"),IF(OR($O49="",$O49&gt;=TODAY()),"生效中","已結束"),IF($M49="補訓後複評","待補訓／複評","無限制"))))</x:f>
      </x:c>
      <x:c r="R49" s="153"/>
    </x:row>
    <x:row r="50">
      <x:c r="A50" s="153"/>
      <x:c r="B50" s="155"/>
      <x:c r="C50" s="153"/>
      <x:c r="D50" s="154" t="str">
        <x:f>IF($C50="","",_xlfn.XLOOKUP($C50,'試行員工主檔'!$A$7:$A$20,'試行員工主檔'!$B$7:$B$20,"員工未建立",0))</x:f>
      </x:c>
      <x:c r="E50" s="153"/>
      <x:c r="F50" s="153"/>
      <x:c r="G50" s="153"/>
      <x:c r="H50" s="153"/>
      <x:c r="I50" s="154" t="str">
        <x:f>IF($H50="","",IF($H50="第一級","記錄觀察",IF($H50="第二級","檢視條件排班與 1:1 支援","暫停直接相關技能資格")))</x:f>
      </x:c>
      <x:c r="J50" s="153"/>
      <x:c r="K50" s="153"/>
      <x:c r="L50" s="153"/>
      <x:c r="M50" s="153"/>
      <x:c r="N50" s="155"/>
      <x:c r="O50" s="155"/>
      <x:c r="P50" s="153"/>
      <x:c r="Q50" s="154" t="str">
        <x:f>IF($A50="","",IF(OR($M50="",$N50="",$P50=""),"資料未完整",IF(OR($M50="暫停技能資格",$M50="條件排班 1:1"),IF(OR($O50="",$O50&gt;=TODAY()),"生效中","已結束"),IF($M50="補訓後複評","待補訓／複評","無限制"))))</x:f>
      </x:c>
      <x:c r="R50" s="153"/>
    </x:row>
    <x:row r="51">
      <x:c r="A51" s="153"/>
      <x:c r="B51" s="155"/>
      <x:c r="C51" s="153"/>
      <x:c r="D51" s="154" t="str">
        <x:f>IF($C51="","",_xlfn.XLOOKUP($C51,'試行員工主檔'!$A$7:$A$20,'試行員工主檔'!$B$7:$B$20,"員工未建立",0))</x:f>
      </x:c>
      <x:c r="E51" s="153"/>
      <x:c r="F51" s="153"/>
      <x:c r="G51" s="153"/>
      <x:c r="H51" s="153"/>
      <x:c r="I51" s="154" t="str">
        <x:f>IF($H51="","",IF($H51="第一級","記錄觀察",IF($H51="第二級","檢視條件排班與 1:1 支援","暫停直接相關技能資格")))</x:f>
      </x:c>
      <x:c r="J51" s="153"/>
      <x:c r="K51" s="153"/>
      <x:c r="L51" s="153"/>
      <x:c r="M51" s="153"/>
      <x:c r="N51" s="155"/>
      <x:c r="O51" s="155"/>
      <x:c r="P51" s="153"/>
      <x:c r="Q51" s="154" t="str">
        <x:f>IF($A51="","",IF(OR($M51="",$N51="",$P51=""),"資料未完整",IF(OR($M51="暫停技能資格",$M51="條件排班 1:1"),IF(OR($O51="",$O51&gt;=TODAY()),"生效中","已結束"),IF($M51="補訓後複評","待補訓／複評","無限制"))))</x:f>
      </x:c>
      <x:c r="R51" s="153"/>
    </x:row>
    <x:row r="52">
      <x:c r="A52" s="153"/>
      <x:c r="B52" s="155"/>
      <x:c r="C52" s="153"/>
      <x:c r="D52" s="154" t="str">
        <x:f>IF($C52="","",_xlfn.XLOOKUP($C52,'試行員工主檔'!$A$7:$A$20,'試行員工主檔'!$B$7:$B$20,"員工未建立",0))</x:f>
      </x:c>
      <x:c r="E52" s="153"/>
      <x:c r="F52" s="153"/>
      <x:c r="G52" s="153"/>
      <x:c r="H52" s="153"/>
      <x:c r="I52" s="154" t="str">
        <x:f>IF($H52="","",IF($H52="第一級","記錄觀察",IF($H52="第二級","檢視條件排班與 1:1 支援","暫停直接相關技能資格")))</x:f>
      </x:c>
      <x:c r="J52" s="153"/>
      <x:c r="K52" s="153"/>
      <x:c r="L52" s="153"/>
      <x:c r="M52" s="153"/>
      <x:c r="N52" s="155"/>
      <x:c r="O52" s="155"/>
      <x:c r="P52" s="153"/>
      <x:c r="Q52" s="154" t="str">
        <x:f>IF($A52="","",IF(OR($M52="",$N52="",$P52=""),"資料未完整",IF(OR($M52="暫停技能資格",$M52="條件排班 1:1"),IF(OR($O52="",$O52&gt;=TODAY()),"生效中","已結束"),IF($M52="補訓後複評","待補訓／複評","無限制"))))</x:f>
      </x:c>
      <x:c r="R52" s="153"/>
    </x:row>
    <x:row r="53">
      <x:c r="A53" s="153"/>
      <x:c r="B53" s="155"/>
      <x:c r="C53" s="153"/>
      <x:c r="D53" s="154" t="str">
        <x:f>IF($C53="","",_xlfn.XLOOKUP($C53,'試行員工主檔'!$A$7:$A$20,'試行員工主檔'!$B$7:$B$20,"員工未建立",0))</x:f>
      </x:c>
      <x:c r="E53" s="153"/>
      <x:c r="F53" s="153"/>
      <x:c r="G53" s="153"/>
      <x:c r="H53" s="153"/>
      <x:c r="I53" s="154" t="str">
        <x:f>IF($H53="","",IF($H53="第一級","記錄觀察",IF($H53="第二級","檢視條件排班與 1:1 支援","暫停直接相關技能資格")))</x:f>
      </x:c>
      <x:c r="J53" s="153"/>
      <x:c r="K53" s="153"/>
      <x:c r="L53" s="153"/>
      <x:c r="M53" s="153"/>
      <x:c r="N53" s="155"/>
      <x:c r="O53" s="155"/>
      <x:c r="P53" s="153"/>
      <x:c r="Q53" s="154" t="str">
        <x:f>IF($A53="","",IF(OR($M53="",$N53="",$P53=""),"資料未完整",IF(OR($M53="暫停技能資格",$M53="條件排班 1:1"),IF(OR($O53="",$O53&gt;=TODAY()),"生效中","已結束"),IF($M53="補訓後複評","待補訓／複評","無限制"))))</x:f>
      </x:c>
      <x:c r="R53" s="153"/>
    </x:row>
    <x:row r="54">
      <x:c r="A54" s="153"/>
      <x:c r="B54" s="155"/>
      <x:c r="C54" s="153"/>
      <x:c r="D54" s="154" t="str">
        <x:f>IF($C54="","",_xlfn.XLOOKUP($C54,'試行員工主檔'!$A$7:$A$20,'試行員工主檔'!$B$7:$B$20,"員工未建立",0))</x:f>
      </x:c>
      <x:c r="E54" s="153"/>
      <x:c r="F54" s="153"/>
      <x:c r="G54" s="153"/>
      <x:c r="H54" s="153"/>
      <x:c r="I54" s="154" t="str">
        <x:f>IF($H54="","",IF($H54="第一級","記錄觀察",IF($H54="第二級","檢視條件排班與 1:1 支援","暫停直接相關技能資格")))</x:f>
      </x:c>
      <x:c r="J54" s="153"/>
      <x:c r="K54" s="153"/>
      <x:c r="L54" s="153"/>
      <x:c r="M54" s="153"/>
      <x:c r="N54" s="155"/>
      <x:c r="O54" s="155"/>
      <x:c r="P54" s="153"/>
      <x:c r="Q54" s="154" t="str">
        <x:f>IF($A54="","",IF(OR($M54="",$N54="",$P54=""),"資料未完整",IF(OR($M54="暫停技能資格",$M54="條件排班 1:1"),IF(OR($O54="",$O54&gt;=TODAY()),"生效中","已結束"),IF($M54="補訓後複評","待補訓／複評","無限制"))))</x:f>
      </x:c>
      <x:c r="R54" s="153"/>
    </x:row>
    <x:row r="55">
      <x:c r="A55" s="153"/>
      <x:c r="B55" s="155"/>
      <x:c r="C55" s="153"/>
      <x:c r="D55" s="154" t="str">
        <x:f>IF($C55="","",_xlfn.XLOOKUP($C55,'試行員工主檔'!$A$7:$A$20,'試行員工主檔'!$B$7:$B$20,"員工未建立",0))</x:f>
      </x:c>
      <x:c r="E55" s="153"/>
      <x:c r="F55" s="153"/>
      <x:c r="G55" s="153"/>
      <x:c r="H55" s="153"/>
      <x:c r="I55" s="154" t="str">
        <x:f>IF($H55="","",IF($H55="第一級","記錄觀察",IF($H55="第二級","檢視條件排班與 1:1 支援","暫停直接相關技能資格")))</x:f>
      </x:c>
      <x:c r="J55" s="153"/>
      <x:c r="K55" s="153"/>
      <x:c r="L55" s="153"/>
      <x:c r="M55" s="153"/>
      <x:c r="N55" s="155"/>
      <x:c r="O55" s="155"/>
      <x:c r="P55" s="153"/>
      <x:c r="Q55" s="154" t="str">
        <x:f>IF($A55="","",IF(OR($M55="",$N55="",$P55=""),"資料未完整",IF(OR($M55="暫停技能資格",$M55="條件排班 1:1"),IF(OR($O55="",$O55&gt;=TODAY()),"生效中","已結束"),IF($M55="補訓後複評","待補訓／複評","無限制"))))</x:f>
      </x:c>
      <x:c r="R55" s="153"/>
    </x:row>
    <x:row r="56">
      <x:c r="A56" s="153"/>
      <x:c r="B56" s="155"/>
      <x:c r="C56" s="153"/>
      <x:c r="D56" s="154" t="str">
        <x:f>IF($C56="","",_xlfn.XLOOKUP($C56,'試行員工主檔'!$A$7:$A$20,'試行員工主檔'!$B$7:$B$20,"員工未建立",0))</x:f>
      </x:c>
      <x:c r="E56" s="153"/>
      <x:c r="F56" s="153"/>
      <x:c r="G56" s="153"/>
      <x:c r="H56" s="153"/>
      <x:c r="I56" s="154" t="str">
        <x:f>IF($H56="","",IF($H56="第一級","記錄觀察",IF($H56="第二級","檢視條件排班與 1:1 支援","暫停直接相關技能資格")))</x:f>
      </x:c>
      <x:c r="J56" s="153"/>
      <x:c r="K56" s="153"/>
      <x:c r="L56" s="153"/>
      <x:c r="M56" s="153"/>
      <x:c r="N56" s="155"/>
      <x:c r="O56" s="155"/>
      <x:c r="P56" s="153"/>
      <x:c r="Q56" s="154" t="str">
        <x:f>IF($A56="","",IF(OR($M56="",$N56="",$P56=""),"資料未完整",IF(OR($M56="暫停技能資格",$M56="條件排班 1:1"),IF(OR($O56="",$O56&gt;=TODAY()),"生效中","已結束"),IF($M56="補訓後複評","待補訓／複評","無限制"))))</x:f>
      </x:c>
      <x:c r="R56" s="153"/>
    </x:row>
    <x:row r="57">
      <x:c r="A57" s="153"/>
      <x:c r="B57" s="155"/>
      <x:c r="C57" s="153"/>
      <x:c r="D57" s="154" t="str">
        <x:f>IF($C57="","",_xlfn.XLOOKUP($C57,'試行員工主檔'!$A$7:$A$20,'試行員工主檔'!$B$7:$B$20,"員工未建立",0))</x:f>
      </x:c>
      <x:c r="E57" s="153"/>
      <x:c r="F57" s="153"/>
      <x:c r="G57" s="153"/>
      <x:c r="H57" s="153"/>
      <x:c r="I57" s="154" t="str">
        <x:f>IF($H57="","",IF($H57="第一級","記錄觀察",IF($H57="第二級","檢視條件排班與 1:1 支援","暫停直接相關技能資格")))</x:f>
      </x:c>
      <x:c r="J57" s="153"/>
      <x:c r="K57" s="153"/>
      <x:c r="L57" s="153"/>
      <x:c r="M57" s="153"/>
      <x:c r="N57" s="155"/>
      <x:c r="O57" s="155"/>
      <x:c r="P57" s="153"/>
      <x:c r="Q57" s="154" t="str">
        <x:f>IF($A57="","",IF(OR($M57="",$N57="",$P57=""),"資料未完整",IF(OR($M57="暫停技能資格",$M57="條件排班 1:1"),IF(OR($O57="",$O57&gt;=TODAY()),"生效中","已結束"),IF($M57="補訓後複評","待補訓／複評","無限制"))))</x:f>
      </x:c>
      <x:c r="R57" s="153"/>
    </x:row>
    <x:row r="58">
      <x:c r="A58" s="153"/>
      <x:c r="B58" s="155"/>
      <x:c r="C58" s="153"/>
      <x:c r="D58" s="154" t="str">
        <x:f>IF($C58="","",_xlfn.XLOOKUP($C58,'試行員工主檔'!$A$7:$A$20,'試行員工主檔'!$B$7:$B$20,"員工未建立",0))</x:f>
      </x:c>
      <x:c r="E58" s="153"/>
      <x:c r="F58" s="153"/>
      <x:c r="G58" s="153"/>
      <x:c r="H58" s="153"/>
      <x:c r="I58" s="154" t="str">
        <x:f>IF($H58="","",IF($H58="第一級","記錄觀察",IF($H58="第二級","檢視條件排班與 1:1 支援","暫停直接相關技能資格")))</x:f>
      </x:c>
      <x:c r="J58" s="153"/>
      <x:c r="K58" s="153"/>
      <x:c r="L58" s="153"/>
      <x:c r="M58" s="153"/>
      <x:c r="N58" s="155"/>
      <x:c r="O58" s="155"/>
      <x:c r="P58" s="153"/>
      <x:c r="Q58" s="154" t="str">
        <x:f>IF($A58="","",IF(OR($M58="",$N58="",$P58=""),"資料未完整",IF(OR($M58="暫停技能資格",$M58="條件排班 1:1"),IF(OR($O58="",$O58&gt;=TODAY()),"生效中","已結束"),IF($M58="補訓後複評","待補訓／複評","無限制"))))</x:f>
      </x:c>
      <x:c r="R58" s="153"/>
    </x:row>
    <x:row r="59">
      <x:c r="A59" s="153"/>
      <x:c r="B59" s="155"/>
      <x:c r="C59" s="153"/>
      <x:c r="D59" s="154" t="str">
        <x:f>IF($C59="","",_xlfn.XLOOKUP($C59,'試行員工主檔'!$A$7:$A$20,'試行員工主檔'!$B$7:$B$20,"員工未建立",0))</x:f>
      </x:c>
      <x:c r="E59" s="153"/>
      <x:c r="F59" s="153"/>
      <x:c r="G59" s="153"/>
      <x:c r="H59" s="153"/>
      <x:c r="I59" s="154" t="str">
        <x:f>IF($H59="","",IF($H59="第一級","記錄觀察",IF($H59="第二級","檢視條件排班與 1:1 支援","暫停直接相關技能資格")))</x:f>
      </x:c>
      <x:c r="J59" s="153"/>
      <x:c r="K59" s="153"/>
      <x:c r="L59" s="153"/>
      <x:c r="M59" s="153"/>
      <x:c r="N59" s="155"/>
      <x:c r="O59" s="155"/>
      <x:c r="P59" s="153"/>
      <x:c r="Q59" s="154" t="str">
        <x:f>IF($A59="","",IF(OR($M59="",$N59="",$P59=""),"資料未完整",IF(OR($M59="暫停技能資格",$M59="條件排班 1:1"),IF(OR($O59="",$O59&gt;=TODAY()),"生效中","已結束"),IF($M59="補訓後複評","待補訓／複評","無限制"))))</x:f>
      </x:c>
      <x:c r="R59" s="153"/>
    </x:row>
    <x:row r="60">
      <x:c r="A60" s="153"/>
      <x:c r="B60" s="155"/>
      <x:c r="C60" s="153"/>
      <x:c r="D60" s="154" t="str">
        <x:f>IF($C60="","",_xlfn.XLOOKUP($C60,'試行員工主檔'!$A$7:$A$20,'試行員工主檔'!$B$7:$B$20,"員工未建立",0))</x:f>
      </x:c>
      <x:c r="E60" s="153"/>
      <x:c r="F60" s="153"/>
      <x:c r="G60" s="153"/>
      <x:c r="H60" s="153"/>
      <x:c r="I60" s="154" t="str">
        <x:f>IF($H60="","",IF($H60="第一級","記錄觀察",IF($H60="第二級","檢視條件排班與 1:1 支援","暫停直接相關技能資格")))</x:f>
      </x:c>
      <x:c r="J60" s="153"/>
      <x:c r="K60" s="153"/>
      <x:c r="L60" s="153"/>
      <x:c r="M60" s="153"/>
      <x:c r="N60" s="155"/>
      <x:c r="O60" s="155"/>
      <x:c r="P60" s="153"/>
      <x:c r="Q60" s="154" t="str">
        <x:f>IF($A60="","",IF(OR($M60="",$N60="",$P60=""),"資料未完整",IF(OR($M60="暫停技能資格",$M60="條件排班 1:1"),IF(OR($O60="",$O60&gt;=TODAY()),"生效中","已結束"),IF($M60="補訓後複評","待補訓／複評","無限制"))))</x:f>
      </x:c>
      <x:c r="R60" s="153"/>
    </x:row>
    <x:row r="61">
      <x:c r="A61" s="153"/>
      <x:c r="B61" s="155"/>
      <x:c r="C61" s="153"/>
      <x:c r="D61" s="154" t="str">
        <x:f>IF($C61="","",_xlfn.XLOOKUP($C61,'試行員工主檔'!$A$7:$A$20,'試行員工主檔'!$B$7:$B$20,"員工未建立",0))</x:f>
      </x:c>
      <x:c r="E61" s="153"/>
      <x:c r="F61" s="153"/>
      <x:c r="G61" s="153"/>
      <x:c r="H61" s="153"/>
      <x:c r="I61" s="154" t="str">
        <x:f>IF($H61="","",IF($H61="第一級","記錄觀察",IF($H61="第二級","檢視條件排班與 1:1 支援","暫停直接相關技能資格")))</x:f>
      </x:c>
      <x:c r="J61" s="153"/>
      <x:c r="K61" s="153"/>
      <x:c r="L61" s="153"/>
      <x:c r="M61" s="153"/>
      <x:c r="N61" s="155"/>
      <x:c r="O61" s="155"/>
      <x:c r="P61" s="153"/>
      <x:c r="Q61" s="154" t="str">
        <x:f>IF($A61="","",IF(OR($M61="",$N61="",$P61=""),"資料未完整",IF(OR($M61="暫停技能資格",$M61="條件排班 1:1"),IF(OR($O61="",$O61&gt;=TODAY()),"生效中","已結束"),IF($M61="補訓後複評","待補訓／複評","無限制"))))</x:f>
      </x:c>
      <x:c r="R61" s="153"/>
    </x:row>
    <x:row r="62">
      <x:c r="A62" s="153"/>
      <x:c r="B62" s="155"/>
      <x:c r="C62" s="153"/>
      <x:c r="D62" s="154" t="str">
        <x:f>IF($C62="","",_xlfn.XLOOKUP($C62,'試行員工主檔'!$A$7:$A$20,'試行員工主檔'!$B$7:$B$20,"員工未建立",0))</x:f>
      </x:c>
      <x:c r="E62" s="153"/>
      <x:c r="F62" s="153"/>
      <x:c r="G62" s="153"/>
      <x:c r="H62" s="153"/>
      <x:c r="I62" s="154" t="str">
        <x:f>IF($H62="","",IF($H62="第一級","記錄觀察",IF($H62="第二級","檢視條件排班與 1:1 支援","暫停直接相關技能資格")))</x:f>
      </x:c>
      <x:c r="J62" s="153"/>
      <x:c r="K62" s="153"/>
      <x:c r="L62" s="153"/>
      <x:c r="M62" s="153"/>
      <x:c r="N62" s="155"/>
      <x:c r="O62" s="155"/>
      <x:c r="P62" s="153"/>
      <x:c r="Q62" s="154" t="str">
        <x:f>IF($A62="","",IF(OR($M62="",$N62="",$P62=""),"資料未完整",IF(OR($M62="暫停技能資格",$M62="條件排班 1:1"),IF(OR($O62="",$O62&gt;=TODAY()),"生效中","已結束"),IF($M62="補訓後複評","待補訓／複評","無限制"))))</x:f>
      </x:c>
      <x:c r="R62" s="153"/>
    </x:row>
    <x:row r="63">
      <x:c r="A63" s="153"/>
      <x:c r="B63" s="155"/>
      <x:c r="C63" s="153"/>
      <x:c r="D63" s="154" t="str">
        <x:f>IF($C63="","",_xlfn.XLOOKUP($C63,'試行員工主檔'!$A$7:$A$20,'試行員工主檔'!$B$7:$B$20,"員工未建立",0))</x:f>
      </x:c>
      <x:c r="E63" s="153"/>
      <x:c r="F63" s="153"/>
      <x:c r="G63" s="153"/>
      <x:c r="H63" s="153"/>
      <x:c r="I63" s="154" t="str">
        <x:f>IF($H63="","",IF($H63="第一級","記錄觀察",IF($H63="第二級","檢視條件排班與 1:1 支援","暫停直接相關技能資格")))</x:f>
      </x:c>
      <x:c r="J63" s="153"/>
      <x:c r="K63" s="153"/>
      <x:c r="L63" s="153"/>
      <x:c r="M63" s="153"/>
      <x:c r="N63" s="155"/>
      <x:c r="O63" s="155"/>
      <x:c r="P63" s="153"/>
      <x:c r="Q63" s="154" t="str">
        <x:f>IF($A63="","",IF(OR($M63="",$N63="",$P63=""),"資料未完整",IF(OR($M63="暫停技能資格",$M63="條件排班 1:1"),IF(OR($O63="",$O63&gt;=TODAY()),"生效中","已結束"),IF($M63="補訓後複評","待補訓／複評","無限制"))))</x:f>
      </x:c>
      <x:c r="R63" s="153"/>
    </x:row>
    <x:row r="64">
      <x:c r="A64" s="153"/>
      <x:c r="B64" s="155"/>
      <x:c r="C64" s="153"/>
      <x:c r="D64" s="154" t="str">
        <x:f>IF($C64="","",_xlfn.XLOOKUP($C64,'試行員工主檔'!$A$7:$A$20,'試行員工主檔'!$B$7:$B$20,"員工未建立",0))</x:f>
      </x:c>
      <x:c r="E64" s="153"/>
      <x:c r="F64" s="153"/>
      <x:c r="G64" s="153"/>
      <x:c r="H64" s="153"/>
      <x:c r="I64" s="154" t="str">
        <x:f>IF($H64="","",IF($H64="第一級","記錄觀察",IF($H64="第二級","檢視條件排班與 1:1 支援","暫停直接相關技能資格")))</x:f>
      </x:c>
      <x:c r="J64" s="153"/>
      <x:c r="K64" s="153"/>
      <x:c r="L64" s="153"/>
      <x:c r="M64" s="153"/>
      <x:c r="N64" s="155"/>
      <x:c r="O64" s="155"/>
      <x:c r="P64" s="153"/>
      <x:c r="Q64" s="154" t="str">
        <x:f>IF($A64="","",IF(OR($M64="",$N64="",$P64=""),"資料未完整",IF(OR($M64="暫停技能資格",$M64="條件排班 1:1"),IF(OR($O64="",$O64&gt;=TODAY()),"生效中","已結束"),IF($M64="補訓後複評","待補訓／複評","無限制"))))</x:f>
      </x:c>
      <x:c r="R64" s="153"/>
    </x:row>
    <x:row r="65">
      <x:c r="A65" s="153"/>
      <x:c r="B65" s="155"/>
      <x:c r="C65" s="153"/>
      <x:c r="D65" s="154" t="str">
        <x:f>IF($C65="","",_xlfn.XLOOKUP($C65,'試行員工主檔'!$A$7:$A$20,'試行員工主檔'!$B$7:$B$20,"員工未建立",0))</x:f>
      </x:c>
      <x:c r="E65" s="153"/>
      <x:c r="F65" s="153"/>
      <x:c r="G65" s="153"/>
      <x:c r="H65" s="153"/>
      <x:c r="I65" s="154" t="str">
        <x:f>IF($H65="","",IF($H65="第一級","記錄觀察",IF($H65="第二級","檢視條件排班與 1:1 支援","暫停直接相關技能資格")))</x:f>
      </x:c>
      <x:c r="J65" s="153"/>
      <x:c r="K65" s="153"/>
      <x:c r="L65" s="153"/>
      <x:c r="M65" s="153"/>
      <x:c r="N65" s="155"/>
      <x:c r="O65" s="155"/>
      <x:c r="P65" s="153"/>
      <x:c r="Q65" s="154" t="str">
        <x:f>IF($A65="","",IF(OR($M65="",$N65="",$P65=""),"資料未完整",IF(OR($M65="暫停技能資格",$M65="條件排班 1:1"),IF(OR($O65="",$O65&gt;=TODAY()),"生效中","已結束"),IF($M65="補訓後複評","待補訓／複評","無限制"))))</x:f>
      </x:c>
      <x:c r="R65" s="153"/>
    </x:row>
    <x:row r="66">
      <x:c r="A66" s="153"/>
      <x:c r="B66" s="155"/>
      <x:c r="C66" s="153"/>
      <x:c r="D66" s="154" t="str">
        <x:f>IF($C66="","",_xlfn.XLOOKUP($C66,'試行員工主檔'!$A$7:$A$20,'試行員工主檔'!$B$7:$B$20,"員工未建立",0))</x:f>
      </x:c>
      <x:c r="E66" s="153"/>
      <x:c r="F66" s="153"/>
      <x:c r="G66" s="153"/>
      <x:c r="H66" s="153"/>
      <x:c r="I66" s="154" t="str">
        <x:f>IF($H66="","",IF($H66="第一級","記錄觀察",IF($H66="第二級","檢視條件排班與 1:1 支援","暫停直接相關技能資格")))</x:f>
      </x:c>
      <x:c r="J66" s="153"/>
      <x:c r="K66" s="153"/>
      <x:c r="L66" s="153"/>
      <x:c r="M66" s="153"/>
      <x:c r="N66" s="155"/>
      <x:c r="O66" s="155"/>
      <x:c r="P66" s="153"/>
      <x:c r="Q66" s="154" t="str">
        <x:f>IF($A66="","",IF(OR($M66="",$N66="",$P66=""),"資料未完整",IF(OR($M66="暫停技能資格",$M66="條件排班 1:1"),IF(OR($O66="",$O66&gt;=TODAY()),"生效中","已結束"),IF($M66="補訓後複評","待補訓／複評","無限制"))))</x:f>
      </x:c>
      <x:c r="R66" s="153"/>
    </x:row>
    <x:row r="67">
      <x:c r="A67" s="153"/>
      <x:c r="B67" s="155"/>
      <x:c r="C67" s="153"/>
      <x:c r="D67" s="154" t="str">
        <x:f>IF($C67="","",_xlfn.XLOOKUP($C67,'試行員工主檔'!$A$7:$A$20,'試行員工主檔'!$B$7:$B$20,"員工未建立",0))</x:f>
      </x:c>
      <x:c r="E67" s="153"/>
      <x:c r="F67" s="153"/>
      <x:c r="G67" s="153"/>
      <x:c r="H67" s="153"/>
      <x:c r="I67" s="154" t="str">
        <x:f>IF($H67="","",IF($H67="第一級","記錄觀察",IF($H67="第二級","檢視條件排班與 1:1 支援","暫停直接相關技能資格")))</x:f>
      </x:c>
      <x:c r="J67" s="153"/>
      <x:c r="K67" s="153"/>
      <x:c r="L67" s="153"/>
      <x:c r="M67" s="153"/>
      <x:c r="N67" s="155"/>
      <x:c r="O67" s="155"/>
      <x:c r="P67" s="153"/>
      <x:c r="Q67" s="154" t="str">
        <x:f>IF($A67="","",IF(OR($M67="",$N67="",$P67=""),"資料未完整",IF(OR($M67="暫停技能資格",$M67="條件排班 1:1"),IF(OR($O67="",$O67&gt;=TODAY()),"生效中","已結束"),IF($M67="補訓後複評","待補訓／複評","無限制"))))</x:f>
      </x:c>
      <x:c r="R67" s="153"/>
    </x:row>
    <x:row r="68">
      <x:c r="A68" s="153"/>
      <x:c r="B68" s="155"/>
      <x:c r="C68" s="153"/>
      <x:c r="D68" s="154" t="str">
        <x:f>IF($C68="","",_xlfn.XLOOKUP($C68,'試行員工主檔'!$A$7:$A$20,'試行員工主檔'!$B$7:$B$20,"員工未建立",0))</x:f>
      </x:c>
      <x:c r="E68" s="153"/>
      <x:c r="F68" s="153"/>
      <x:c r="G68" s="153"/>
      <x:c r="H68" s="153"/>
      <x:c r="I68" s="154" t="str">
        <x:f>IF($H68="","",IF($H68="第一級","記錄觀察",IF($H68="第二級","檢視條件排班與 1:1 支援","暫停直接相關技能資格")))</x:f>
      </x:c>
      <x:c r="J68" s="153"/>
      <x:c r="K68" s="153"/>
      <x:c r="L68" s="153"/>
      <x:c r="M68" s="153"/>
      <x:c r="N68" s="155"/>
      <x:c r="O68" s="155"/>
      <x:c r="P68" s="153"/>
      <x:c r="Q68" s="154" t="str">
        <x:f>IF($A68="","",IF(OR($M68="",$N68="",$P68=""),"資料未完整",IF(OR($M68="暫停技能資格",$M68="條件排班 1:1"),IF(OR($O68="",$O68&gt;=TODAY()),"生效中","已結束"),IF($M68="補訓後複評","待補訓／複評","無限制"))))</x:f>
      </x:c>
      <x:c r="R68" s="153"/>
    </x:row>
    <x:row r="69">
      <x:c r="A69" s="153"/>
      <x:c r="B69" s="155"/>
      <x:c r="C69" s="153"/>
      <x:c r="D69" s="154" t="str">
        <x:f>IF($C69="","",_xlfn.XLOOKUP($C69,'試行員工主檔'!$A$7:$A$20,'試行員工主檔'!$B$7:$B$20,"員工未建立",0))</x:f>
      </x:c>
      <x:c r="E69" s="153"/>
      <x:c r="F69" s="153"/>
      <x:c r="G69" s="153"/>
      <x:c r="H69" s="153"/>
      <x:c r="I69" s="154" t="str">
        <x:f>IF($H69="","",IF($H69="第一級","記錄觀察",IF($H69="第二級","檢視條件排班與 1:1 支援","暫停直接相關技能資格")))</x:f>
      </x:c>
      <x:c r="J69" s="153"/>
      <x:c r="K69" s="153"/>
      <x:c r="L69" s="153"/>
      <x:c r="M69" s="153"/>
      <x:c r="N69" s="155"/>
      <x:c r="O69" s="155"/>
      <x:c r="P69" s="153"/>
      <x:c r="Q69" s="154" t="str">
        <x:f>IF($A69="","",IF(OR($M69="",$N69="",$P69=""),"資料未完整",IF(OR($M69="暫停技能資格",$M69="條件排班 1:1"),IF(OR($O69="",$O69&gt;=TODAY()),"生效中","已結束"),IF($M69="補訓後複評","待補訓／複評","無限制"))))</x:f>
      </x:c>
      <x:c r="R69" s="153"/>
    </x:row>
    <x:row r="70">
      <x:c r="A70" s="153"/>
      <x:c r="B70" s="155"/>
      <x:c r="C70" s="153"/>
      <x:c r="D70" s="154" t="str">
        <x:f>IF($C70="","",_xlfn.XLOOKUP($C70,'試行員工主檔'!$A$7:$A$20,'試行員工主檔'!$B$7:$B$20,"員工未建立",0))</x:f>
      </x:c>
      <x:c r="E70" s="153"/>
      <x:c r="F70" s="153"/>
      <x:c r="G70" s="153"/>
      <x:c r="H70" s="153"/>
      <x:c r="I70" s="154" t="str">
        <x:f>IF($H70="","",IF($H70="第一級","記錄觀察",IF($H70="第二級","檢視條件排班與 1:1 支援","暫停直接相關技能資格")))</x:f>
      </x:c>
      <x:c r="J70" s="153"/>
      <x:c r="K70" s="153"/>
      <x:c r="L70" s="153"/>
      <x:c r="M70" s="153"/>
      <x:c r="N70" s="155"/>
      <x:c r="O70" s="155"/>
      <x:c r="P70" s="153"/>
      <x:c r="Q70" s="154" t="str">
        <x:f>IF($A70="","",IF(OR($M70="",$N70="",$P70=""),"資料未完整",IF(OR($M70="暫停技能資格",$M70="條件排班 1:1"),IF(OR($O70="",$O70&gt;=TODAY()),"生效中","已結束"),IF($M70="補訓後複評","待補訓／複評","無限制"))))</x:f>
      </x:c>
      <x:c r="R70" s="153"/>
    </x:row>
    <x:row r="71">
      <x:c r="A71" s="153"/>
      <x:c r="B71" s="155"/>
      <x:c r="C71" s="153"/>
      <x:c r="D71" s="154" t="str">
        <x:f>IF($C71="","",_xlfn.XLOOKUP($C71,'試行員工主檔'!$A$7:$A$20,'試行員工主檔'!$B$7:$B$20,"員工未建立",0))</x:f>
      </x:c>
      <x:c r="E71" s="153"/>
      <x:c r="F71" s="153"/>
      <x:c r="G71" s="153"/>
      <x:c r="H71" s="153"/>
      <x:c r="I71" s="154" t="str">
        <x:f>IF($H71="","",IF($H71="第一級","記錄觀察",IF($H71="第二級","檢視條件排班與 1:1 支援","暫停直接相關技能資格")))</x:f>
      </x:c>
      <x:c r="J71" s="153"/>
      <x:c r="K71" s="153"/>
      <x:c r="L71" s="153"/>
      <x:c r="M71" s="153"/>
      <x:c r="N71" s="155"/>
      <x:c r="O71" s="155"/>
      <x:c r="P71" s="153"/>
      <x:c r="Q71" s="154" t="str">
        <x:f>IF($A71="","",IF(OR($M71="",$N71="",$P71=""),"資料未完整",IF(OR($M71="暫停技能資格",$M71="條件排班 1:1"),IF(OR($O71="",$O71&gt;=TODAY()),"生效中","已結束"),IF($M71="補訓後複評","待補訓／複評","無限制"))))</x:f>
      </x:c>
      <x:c r="R71" s="153"/>
    </x:row>
    <x:row r="72">
      <x:c r="A72" s="153"/>
      <x:c r="B72" s="155"/>
      <x:c r="C72" s="153"/>
      <x:c r="D72" s="154" t="str">
        <x:f>IF($C72="","",_xlfn.XLOOKUP($C72,'試行員工主檔'!$A$7:$A$20,'試行員工主檔'!$B$7:$B$20,"員工未建立",0))</x:f>
      </x:c>
      <x:c r="E72" s="153"/>
      <x:c r="F72" s="153"/>
      <x:c r="G72" s="153"/>
      <x:c r="H72" s="153"/>
      <x:c r="I72" s="154" t="str">
        <x:f>IF($H72="","",IF($H72="第一級","記錄觀察",IF($H72="第二級","檢視條件排班與 1:1 支援","暫停直接相關技能資格")))</x:f>
      </x:c>
      <x:c r="J72" s="153"/>
      <x:c r="K72" s="153"/>
      <x:c r="L72" s="153"/>
      <x:c r="M72" s="153"/>
      <x:c r="N72" s="155"/>
      <x:c r="O72" s="155"/>
      <x:c r="P72" s="153"/>
      <x:c r="Q72" s="154" t="str">
        <x:f>IF($A72="","",IF(OR($M72="",$N72="",$P72=""),"資料未完整",IF(OR($M72="暫停技能資格",$M72="條件排班 1:1"),IF(OR($O72="",$O72&gt;=TODAY()),"生效中","已結束"),IF($M72="補訓後複評","待補訓／複評","無限制"))))</x:f>
      </x:c>
      <x:c r="R72" s="153"/>
    </x:row>
    <x:row r="73">
      <x:c r="A73" s="153"/>
      <x:c r="B73" s="155"/>
      <x:c r="C73" s="153"/>
      <x:c r="D73" s="154" t="str">
        <x:f>IF($C73="","",_xlfn.XLOOKUP($C73,'試行員工主檔'!$A$7:$A$20,'試行員工主檔'!$B$7:$B$20,"員工未建立",0))</x:f>
      </x:c>
      <x:c r="E73" s="153"/>
      <x:c r="F73" s="153"/>
      <x:c r="G73" s="153"/>
      <x:c r="H73" s="153"/>
      <x:c r="I73" s="154" t="str">
        <x:f>IF($H73="","",IF($H73="第一級","記錄觀察",IF($H73="第二級","檢視條件排班與 1:1 支援","暫停直接相關技能資格")))</x:f>
      </x:c>
      <x:c r="J73" s="153"/>
      <x:c r="K73" s="153"/>
      <x:c r="L73" s="153"/>
      <x:c r="M73" s="153"/>
      <x:c r="N73" s="155"/>
      <x:c r="O73" s="155"/>
      <x:c r="P73" s="153"/>
      <x:c r="Q73" s="154" t="str">
        <x:f>IF($A73="","",IF(OR($M73="",$N73="",$P73=""),"資料未完整",IF(OR($M73="暫停技能資格",$M73="條件排班 1:1"),IF(OR($O73="",$O73&gt;=TODAY()),"生效中","已結束"),IF($M73="補訓後複評","待補訓／複評","無限制"))))</x:f>
      </x:c>
      <x:c r="R73" s="153"/>
    </x:row>
    <x:row r="74">
      <x:c r="A74" s="153"/>
      <x:c r="B74" s="155"/>
      <x:c r="C74" s="153"/>
      <x:c r="D74" s="154" t="str">
        <x:f>IF($C74="","",_xlfn.XLOOKUP($C74,'試行員工主檔'!$A$7:$A$20,'試行員工主檔'!$B$7:$B$20,"員工未建立",0))</x:f>
      </x:c>
      <x:c r="E74" s="153"/>
      <x:c r="F74" s="153"/>
      <x:c r="G74" s="153"/>
      <x:c r="H74" s="153"/>
      <x:c r="I74" s="154" t="str">
        <x:f>IF($H74="","",IF($H74="第一級","記錄觀察",IF($H74="第二級","檢視條件排班與 1:1 支援","暫停直接相關技能資格")))</x:f>
      </x:c>
      <x:c r="J74" s="153"/>
      <x:c r="K74" s="153"/>
      <x:c r="L74" s="153"/>
      <x:c r="M74" s="153"/>
      <x:c r="N74" s="155"/>
      <x:c r="O74" s="155"/>
      <x:c r="P74" s="153"/>
      <x:c r="Q74" s="154" t="str">
        <x:f>IF($A74="","",IF(OR($M74="",$N74="",$P74=""),"資料未完整",IF(OR($M74="暫停技能資格",$M74="條件排班 1:1"),IF(OR($O74="",$O74&gt;=TODAY()),"生效中","已結束"),IF($M74="補訓後複評","待補訓／複評","無限制"))))</x:f>
      </x:c>
      <x:c r="R74" s="153"/>
    </x:row>
    <x:row r="75">
      <x:c r="A75" s="153"/>
      <x:c r="B75" s="155"/>
      <x:c r="C75" s="153"/>
      <x:c r="D75" s="154" t="str">
        <x:f>IF($C75="","",_xlfn.XLOOKUP($C75,'試行員工主檔'!$A$7:$A$20,'試行員工主檔'!$B$7:$B$20,"員工未建立",0))</x:f>
      </x:c>
      <x:c r="E75" s="153"/>
      <x:c r="F75" s="153"/>
      <x:c r="G75" s="153"/>
      <x:c r="H75" s="153"/>
      <x:c r="I75" s="154" t="str">
        <x:f>IF($H75="","",IF($H75="第一級","記錄觀察",IF($H75="第二級","檢視條件排班與 1:1 支援","暫停直接相關技能資格")))</x:f>
      </x:c>
      <x:c r="J75" s="153"/>
      <x:c r="K75" s="153"/>
      <x:c r="L75" s="153"/>
      <x:c r="M75" s="153"/>
      <x:c r="N75" s="155"/>
      <x:c r="O75" s="155"/>
      <x:c r="P75" s="153"/>
      <x:c r="Q75" s="154" t="str">
        <x:f>IF($A75="","",IF(OR($M75="",$N75="",$P75=""),"資料未完整",IF(OR($M75="暫停技能資格",$M75="條件排班 1:1"),IF(OR($O75="",$O75&gt;=TODAY()),"生效中","已結束"),IF($M75="補訓後複評","待補訓／複評","無限制"))))</x:f>
      </x:c>
      <x:c r="R75" s="153"/>
    </x:row>
    <x:row r="76">
      <x:c r="A76" s="153"/>
      <x:c r="B76" s="155"/>
      <x:c r="C76" s="153"/>
      <x:c r="D76" s="154" t="str">
        <x:f>IF($C76="","",_xlfn.XLOOKUP($C76,'試行員工主檔'!$A$7:$A$20,'試行員工主檔'!$B$7:$B$20,"員工未建立",0))</x:f>
      </x:c>
      <x:c r="E76" s="153"/>
      <x:c r="F76" s="153"/>
      <x:c r="G76" s="153"/>
      <x:c r="H76" s="153"/>
      <x:c r="I76" s="154" t="str">
        <x:f>IF($H76="","",IF($H76="第一級","記錄觀察",IF($H76="第二級","檢視條件排班與 1:1 支援","暫停直接相關技能資格")))</x:f>
      </x:c>
      <x:c r="J76" s="153"/>
      <x:c r="K76" s="153"/>
      <x:c r="L76" s="153"/>
      <x:c r="M76" s="153"/>
      <x:c r="N76" s="155"/>
      <x:c r="O76" s="155"/>
      <x:c r="P76" s="153"/>
      <x:c r="Q76" s="154" t="str">
        <x:f>IF($A76="","",IF(OR($M76="",$N76="",$P76=""),"資料未完整",IF(OR($M76="暫停技能資格",$M76="條件排班 1:1"),IF(OR($O76="",$O76&gt;=TODAY()),"生效中","已結束"),IF($M76="補訓後複評","待補訓／複評","無限制"))))</x:f>
      </x:c>
      <x:c r="R76" s="153"/>
    </x:row>
    <x:row r="77">
      <x:c r="A77" s="153"/>
      <x:c r="B77" s="155"/>
      <x:c r="C77" s="153"/>
      <x:c r="D77" s="154" t="str">
        <x:f>IF($C77="","",_xlfn.XLOOKUP($C77,'試行員工主檔'!$A$7:$A$20,'試行員工主檔'!$B$7:$B$20,"員工未建立",0))</x:f>
      </x:c>
      <x:c r="E77" s="153"/>
      <x:c r="F77" s="153"/>
      <x:c r="G77" s="153"/>
      <x:c r="H77" s="153"/>
      <x:c r="I77" s="154" t="str">
        <x:f>IF($H77="","",IF($H77="第一級","記錄觀察",IF($H77="第二級","檢視條件排班與 1:1 支援","暫停直接相關技能資格")))</x:f>
      </x:c>
      <x:c r="J77" s="153"/>
      <x:c r="K77" s="153"/>
      <x:c r="L77" s="153"/>
      <x:c r="M77" s="153"/>
      <x:c r="N77" s="155"/>
      <x:c r="O77" s="155"/>
      <x:c r="P77" s="153"/>
      <x:c r="Q77" s="154" t="str">
        <x:f>IF($A77="","",IF(OR($M77="",$N77="",$P77=""),"資料未完整",IF(OR($M77="暫停技能資格",$M77="條件排班 1:1"),IF(OR($O77="",$O77&gt;=TODAY()),"生效中","已結束"),IF($M77="補訓後複評","待補訓／複評","無限制"))))</x:f>
      </x:c>
      <x:c r="R77" s="153"/>
    </x:row>
    <x:row r="78">
      <x:c r="A78" s="153"/>
      <x:c r="B78" s="155"/>
      <x:c r="C78" s="153"/>
      <x:c r="D78" s="154" t="str">
        <x:f>IF($C78="","",_xlfn.XLOOKUP($C78,'試行員工主檔'!$A$7:$A$20,'試行員工主檔'!$B$7:$B$20,"員工未建立",0))</x:f>
      </x:c>
      <x:c r="E78" s="153"/>
      <x:c r="F78" s="153"/>
      <x:c r="G78" s="153"/>
      <x:c r="H78" s="153"/>
      <x:c r="I78" s="154" t="str">
        <x:f>IF($H78="","",IF($H78="第一級","記錄觀察",IF($H78="第二級","檢視條件排班與 1:1 支援","暫停直接相關技能資格")))</x:f>
      </x:c>
      <x:c r="J78" s="153"/>
      <x:c r="K78" s="153"/>
      <x:c r="L78" s="153"/>
      <x:c r="M78" s="153"/>
      <x:c r="N78" s="155"/>
      <x:c r="O78" s="155"/>
      <x:c r="P78" s="153"/>
      <x:c r="Q78" s="154" t="str">
        <x:f>IF($A78="","",IF(OR($M78="",$N78="",$P78=""),"資料未完整",IF(OR($M78="暫停技能資格",$M78="條件排班 1:1"),IF(OR($O78="",$O78&gt;=TODAY()),"生效中","已結束"),IF($M78="補訓後複評","待補訓／複評","無限制"))))</x:f>
      </x:c>
      <x:c r="R78" s="153"/>
    </x:row>
    <x:row r="79">
      <x:c r="A79" s="153"/>
      <x:c r="B79" s="155"/>
      <x:c r="C79" s="153"/>
      <x:c r="D79" s="154" t="str">
        <x:f>IF($C79="","",_xlfn.XLOOKUP($C79,'試行員工主檔'!$A$7:$A$20,'試行員工主檔'!$B$7:$B$20,"員工未建立",0))</x:f>
      </x:c>
      <x:c r="E79" s="153"/>
      <x:c r="F79" s="153"/>
      <x:c r="G79" s="153"/>
      <x:c r="H79" s="153"/>
      <x:c r="I79" s="154" t="str">
        <x:f>IF($H79="","",IF($H79="第一級","記錄觀察",IF($H79="第二級","檢視條件排班與 1:1 支援","暫停直接相關技能資格")))</x:f>
      </x:c>
      <x:c r="J79" s="153"/>
      <x:c r="K79" s="153"/>
      <x:c r="L79" s="153"/>
      <x:c r="M79" s="153"/>
      <x:c r="N79" s="155"/>
      <x:c r="O79" s="155"/>
      <x:c r="P79" s="153"/>
      <x:c r="Q79" s="154" t="str">
        <x:f>IF($A79="","",IF(OR($M79="",$N79="",$P79=""),"資料未完整",IF(OR($M79="暫停技能資格",$M79="條件排班 1:1"),IF(OR($O79="",$O79&gt;=TODAY()),"生效中","已結束"),IF($M79="補訓後複評","待補訓／複評","無限制"))))</x:f>
      </x:c>
      <x:c r="R79" s="153"/>
    </x:row>
    <x:row r="80">
      <x:c r="A80" s="153"/>
      <x:c r="B80" s="155"/>
      <x:c r="C80" s="153"/>
      <x:c r="D80" s="154" t="str">
        <x:f>IF($C80="","",_xlfn.XLOOKUP($C80,'試行員工主檔'!$A$7:$A$20,'試行員工主檔'!$B$7:$B$20,"員工未建立",0))</x:f>
      </x:c>
      <x:c r="E80" s="153"/>
      <x:c r="F80" s="153"/>
      <x:c r="G80" s="153"/>
      <x:c r="H80" s="153"/>
      <x:c r="I80" s="154" t="str">
        <x:f>IF($H80="","",IF($H80="第一級","記錄觀察",IF($H80="第二級","檢視條件排班與 1:1 支援","暫停直接相關技能資格")))</x:f>
      </x:c>
      <x:c r="J80" s="153"/>
      <x:c r="K80" s="153"/>
      <x:c r="L80" s="153"/>
      <x:c r="M80" s="153"/>
      <x:c r="N80" s="155"/>
      <x:c r="O80" s="155"/>
      <x:c r="P80" s="153"/>
      <x:c r="Q80" s="154" t="str">
        <x:f>IF($A80="","",IF(OR($M80="",$N80="",$P80=""),"資料未完整",IF(OR($M80="暫停技能資格",$M80="條件排班 1:1"),IF(OR($O80="",$O80&gt;=TODAY()),"生效中","已結束"),IF($M80="補訓後複評","待補訓／複評","無限制"))))</x:f>
      </x:c>
      <x:c r="R80" s="153"/>
    </x:row>
    <x:row r="81">
      <x:c r="A81" s="153"/>
      <x:c r="B81" s="155"/>
      <x:c r="C81" s="153"/>
      <x:c r="D81" s="154" t="str">
        <x:f>IF($C81="","",_xlfn.XLOOKUP($C81,'試行員工主檔'!$A$7:$A$20,'試行員工主檔'!$B$7:$B$20,"員工未建立",0))</x:f>
      </x:c>
      <x:c r="E81" s="153"/>
      <x:c r="F81" s="153"/>
      <x:c r="G81" s="153"/>
      <x:c r="H81" s="153"/>
      <x:c r="I81" s="154" t="str">
        <x:f>IF($H81="","",IF($H81="第一級","記錄觀察",IF($H81="第二級","檢視條件排班與 1:1 支援","暫停直接相關技能資格")))</x:f>
      </x:c>
      <x:c r="J81" s="153"/>
      <x:c r="K81" s="153"/>
      <x:c r="L81" s="153"/>
      <x:c r="M81" s="153"/>
      <x:c r="N81" s="155"/>
      <x:c r="O81" s="155"/>
      <x:c r="P81" s="153"/>
      <x:c r="Q81" s="154" t="str">
        <x:f>IF($A81="","",IF(OR($M81="",$N81="",$P81=""),"資料未完整",IF(OR($M81="暫停技能資格",$M81="條件排班 1:1"),IF(OR($O81="",$O81&gt;=TODAY()),"生效中","已結束"),IF($M81="補訓後複評","待補訓／複評","無限制"))))</x:f>
      </x:c>
      <x:c r="R81" s="153"/>
    </x:row>
    <x:row r="82">
      <x:c r="A82" s="153"/>
      <x:c r="B82" s="155"/>
      <x:c r="C82" s="153"/>
      <x:c r="D82" s="154" t="str">
        <x:f>IF($C82="","",_xlfn.XLOOKUP($C82,'試行員工主檔'!$A$7:$A$20,'試行員工主檔'!$B$7:$B$20,"員工未建立",0))</x:f>
      </x:c>
      <x:c r="E82" s="153"/>
      <x:c r="F82" s="153"/>
      <x:c r="G82" s="153"/>
      <x:c r="H82" s="153"/>
      <x:c r="I82" s="154" t="str">
        <x:f>IF($H82="","",IF($H82="第一級","記錄觀察",IF($H82="第二級","檢視條件排班與 1:1 支援","暫停直接相關技能資格")))</x:f>
      </x:c>
      <x:c r="J82" s="153"/>
      <x:c r="K82" s="153"/>
      <x:c r="L82" s="153"/>
      <x:c r="M82" s="153"/>
      <x:c r="N82" s="155"/>
      <x:c r="O82" s="155"/>
      <x:c r="P82" s="153"/>
      <x:c r="Q82" s="154" t="str">
        <x:f>IF($A82="","",IF(OR($M82="",$N82="",$P82=""),"資料未完整",IF(OR($M82="暫停技能資格",$M82="條件排班 1:1"),IF(OR($O82="",$O82&gt;=TODAY()),"生效中","已結束"),IF($M82="補訓後複評","待補訓／複評","無限制"))))</x:f>
      </x:c>
      <x:c r="R82" s="153"/>
    </x:row>
    <x:row r="83">
      <x:c r="A83" s="153"/>
      <x:c r="B83" s="155"/>
      <x:c r="C83" s="153"/>
      <x:c r="D83" s="154" t="str">
        <x:f>IF($C83="","",_xlfn.XLOOKUP($C83,'試行員工主檔'!$A$7:$A$20,'試行員工主檔'!$B$7:$B$20,"員工未建立",0))</x:f>
      </x:c>
      <x:c r="E83" s="153"/>
      <x:c r="F83" s="153"/>
      <x:c r="G83" s="153"/>
      <x:c r="H83" s="153"/>
      <x:c r="I83" s="154" t="str">
        <x:f>IF($H83="","",IF($H83="第一級","記錄觀察",IF($H83="第二級","檢視條件排班與 1:1 支援","暫停直接相關技能資格")))</x:f>
      </x:c>
      <x:c r="J83" s="153"/>
      <x:c r="K83" s="153"/>
      <x:c r="L83" s="153"/>
      <x:c r="M83" s="153"/>
      <x:c r="N83" s="155"/>
      <x:c r="O83" s="155"/>
      <x:c r="P83" s="153"/>
      <x:c r="Q83" s="154" t="str">
        <x:f>IF($A83="","",IF(OR($M83="",$N83="",$P83=""),"資料未完整",IF(OR($M83="暫停技能資格",$M83="條件排班 1:1"),IF(OR($O83="",$O83&gt;=TODAY()),"生效中","已結束"),IF($M83="補訓後複評","待補訓／複評","無限制"))))</x:f>
      </x:c>
      <x:c r="R83" s="153"/>
    </x:row>
    <x:row r="84">
      <x:c r="A84" s="153"/>
      <x:c r="B84" s="155"/>
      <x:c r="C84" s="153"/>
      <x:c r="D84" s="154" t="str">
        <x:f>IF($C84="","",_xlfn.XLOOKUP($C84,'試行員工主檔'!$A$7:$A$20,'試行員工主檔'!$B$7:$B$20,"員工未建立",0))</x:f>
      </x:c>
      <x:c r="E84" s="153"/>
      <x:c r="F84" s="153"/>
      <x:c r="G84" s="153"/>
      <x:c r="H84" s="153"/>
      <x:c r="I84" s="154" t="str">
        <x:f>IF($H84="","",IF($H84="第一級","記錄觀察",IF($H84="第二級","檢視條件排班與 1:1 支援","暫停直接相關技能資格")))</x:f>
      </x:c>
      <x:c r="J84" s="153"/>
      <x:c r="K84" s="153"/>
      <x:c r="L84" s="153"/>
      <x:c r="M84" s="153"/>
      <x:c r="N84" s="155"/>
      <x:c r="O84" s="155"/>
      <x:c r="P84" s="153"/>
      <x:c r="Q84" s="154" t="str">
        <x:f>IF($A84="","",IF(OR($M84="",$N84="",$P84=""),"資料未完整",IF(OR($M84="暫停技能資格",$M84="條件排班 1:1"),IF(OR($O84="",$O84&gt;=TODAY()),"生效中","已結束"),IF($M84="補訓後複評","待補訓／複評","無限制"))))</x:f>
      </x:c>
      <x:c r="R84" s="153"/>
    </x:row>
    <x:row r="85">
      <x:c r="A85" s="153"/>
      <x:c r="B85" s="155"/>
      <x:c r="C85" s="153"/>
      <x:c r="D85" s="154" t="str">
        <x:f>IF($C85="","",_xlfn.XLOOKUP($C85,'試行員工主檔'!$A$7:$A$20,'試行員工主檔'!$B$7:$B$20,"員工未建立",0))</x:f>
      </x:c>
      <x:c r="E85" s="153"/>
      <x:c r="F85" s="153"/>
      <x:c r="G85" s="153"/>
      <x:c r="H85" s="153"/>
      <x:c r="I85" s="154" t="str">
        <x:f>IF($H85="","",IF($H85="第一級","記錄觀察",IF($H85="第二級","檢視條件排班與 1:1 支援","暫停直接相關技能資格")))</x:f>
      </x:c>
      <x:c r="J85" s="153"/>
      <x:c r="K85" s="153"/>
      <x:c r="L85" s="153"/>
      <x:c r="M85" s="153"/>
      <x:c r="N85" s="155"/>
      <x:c r="O85" s="155"/>
      <x:c r="P85" s="153"/>
      <x:c r="Q85" s="154" t="str">
        <x:f>IF($A85="","",IF(OR($M85="",$N85="",$P85=""),"資料未完整",IF(OR($M85="暫停技能資格",$M85="條件排班 1:1"),IF(OR($O85="",$O85&gt;=TODAY()),"生效中","已結束"),IF($M85="補訓後複評","待補訓／複評","無限制"))))</x:f>
      </x:c>
      <x:c r="R85" s="153"/>
    </x:row>
    <x:row r="86">
      <x:c r="A86" s="153"/>
      <x:c r="B86" s="155"/>
      <x:c r="C86" s="153"/>
      <x:c r="D86" s="154" t="str">
        <x:f>IF($C86="","",_xlfn.XLOOKUP($C86,'試行員工主檔'!$A$7:$A$20,'試行員工主檔'!$B$7:$B$20,"員工未建立",0))</x:f>
      </x:c>
      <x:c r="E86" s="153"/>
      <x:c r="F86" s="153"/>
      <x:c r="G86" s="153"/>
      <x:c r="H86" s="153"/>
      <x:c r="I86" s="154" t="str">
        <x:f>IF($H86="","",IF($H86="第一級","記錄觀察",IF($H86="第二級","檢視條件排班與 1:1 支援","暫停直接相關技能資格")))</x:f>
      </x:c>
      <x:c r="J86" s="153"/>
      <x:c r="K86" s="153"/>
      <x:c r="L86" s="153"/>
      <x:c r="M86" s="153"/>
      <x:c r="N86" s="155"/>
      <x:c r="O86" s="155"/>
      <x:c r="P86" s="153"/>
      <x:c r="Q86" s="154" t="str">
        <x:f>IF($A86="","",IF(OR($M86="",$N86="",$P86=""),"資料未完整",IF(OR($M86="暫停技能資格",$M86="條件排班 1:1"),IF(OR($O86="",$O86&gt;=TODAY()),"生效中","已結束"),IF($M86="補訓後複評","待補訓／複評","無限制"))))</x:f>
      </x:c>
      <x:c r="R86" s="153"/>
    </x:row>
    <x:row r="87">
      <x:c r="A87" s="153"/>
      <x:c r="B87" s="155"/>
      <x:c r="C87" s="153"/>
      <x:c r="D87" s="154" t="str">
        <x:f>IF($C87="","",_xlfn.XLOOKUP($C87,'試行員工主檔'!$A$7:$A$20,'試行員工主檔'!$B$7:$B$20,"員工未建立",0))</x:f>
      </x:c>
      <x:c r="E87" s="153"/>
      <x:c r="F87" s="153"/>
      <x:c r="G87" s="153"/>
      <x:c r="H87" s="153"/>
      <x:c r="I87" s="154" t="str">
        <x:f>IF($H87="","",IF($H87="第一級","記錄觀察",IF($H87="第二級","檢視條件排班與 1:1 支援","暫停直接相關技能資格")))</x:f>
      </x:c>
      <x:c r="J87" s="153"/>
      <x:c r="K87" s="153"/>
      <x:c r="L87" s="153"/>
      <x:c r="M87" s="153"/>
      <x:c r="N87" s="155"/>
      <x:c r="O87" s="155"/>
      <x:c r="P87" s="153"/>
      <x:c r="Q87" s="154" t="str">
        <x:f>IF($A87="","",IF(OR($M87="",$N87="",$P87=""),"資料未完整",IF(OR($M87="暫停技能資格",$M87="條件排班 1:1"),IF(OR($O87="",$O87&gt;=TODAY()),"生效中","已結束"),IF($M87="補訓後複評","待補訓／複評","無限制"))))</x:f>
      </x:c>
      <x:c r="R87" s="153"/>
    </x:row>
    <x:row r="88">
      <x:c r="A88" s="153"/>
      <x:c r="B88" s="155"/>
      <x:c r="C88" s="153"/>
      <x:c r="D88" s="154" t="str">
        <x:f>IF($C88="","",_xlfn.XLOOKUP($C88,'試行員工主檔'!$A$7:$A$20,'試行員工主檔'!$B$7:$B$20,"員工未建立",0))</x:f>
      </x:c>
      <x:c r="E88" s="153"/>
      <x:c r="F88" s="153"/>
      <x:c r="G88" s="153"/>
      <x:c r="H88" s="153"/>
      <x:c r="I88" s="154" t="str">
        <x:f>IF($H88="","",IF($H88="第一級","記錄觀察",IF($H88="第二級","檢視條件排班與 1:1 支援","暫停直接相關技能資格")))</x:f>
      </x:c>
      <x:c r="J88" s="153"/>
      <x:c r="K88" s="153"/>
      <x:c r="L88" s="153"/>
      <x:c r="M88" s="153"/>
      <x:c r="N88" s="155"/>
      <x:c r="O88" s="155"/>
      <x:c r="P88" s="153"/>
      <x:c r="Q88" s="154" t="str">
        <x:f>IF($A88="","",IF(OR($M88="",$N88="",$P88=""),"資料未完整",IF(OR($M88="暫停技能資格",$M88="條件排班 1:1"),IF(OR($O88="",$O88&gt;=TODAY()),"生效中","已結束"),IF($M88="補訓後複評","待補訓／複評","無限制"))))</x:f>
      </x:c>
      <x:c r="R88" s="153"/>
    </x:row>
    <x:row r="89">
      <x:c r="A89" s="153"/>
      <x:c r="B89" s="155"/>
      <x:c r="C89" s="153"/>
      <x:c r="D89" s="154" t="str">
        <x:f>IF($C89="","",_xlfn.XLOOKUP($C89,'試行員工主檔'!$A$7:$A$20,'試行員工主檔'!$B$7:$B$20,"員工未建立",0))</x:f>
      </x:c>
      <x:c r="E89" s="153"/>
      <x:c r="F89" s="153"/>
      <x:c r="G89" s="153"/>
      <x:c r="H89" s="153"/>
      <x:c r="I89" s="154" t="str">
        <x:f>IF($H89="","",IF($H89="第一級","記錄觀察",IF($H89="第二級","檢視條件排班與 1:1 支援","暫停直接相關技能資格")))</x:f>
      </x:c>
      <x:c r="J89" s="153"/>
      <x:c r="K89" s="153"/>
      <x:c r="L89" s="153"/>
      <x:c r="M89" s="153"/>
      <x:c r="N89" s="155"/>
      <x:c r="O89" s="155"/>
      <x:c r="P89" s="153"/>
      <x:c r="Q89" s="154" t="str">
        <x:f>IF($A89="","",IF(OR($M89="",$N89="",$P89=""),"資料未完整",IF(OR($M89="暫停技能資格",$M89="條件排班 1:1"),IF(OR($O89="",$O89&gt;=TODAY()),"生效中","已結束"),IF($M89="補訓後複評","待補訓／複評","無限制"))))</x:f>
      </x:c>
      <x:c r="R89" s="153"/>
    </x:row>
    <x:row r="90">
      <x:c r="A90" s="153"/>
      <x:c r="B90" s="155"/>
      <x:c r="C90" s="153"/>
      <x:c r="D90" s="154" t="str">
        <x:f>IF($C90="","",_xlfn.XLOOKUP($C90,'試行員工主檔'!$A$7:$A$20,'試行員工主檔'!$B$7:$B$20,"員工未建立",0))</x:f>
      </x:c>
      <x:c r="E90" s="153"/>
      <x:c r="F90" s="153"/>
      <x:c r="G90" s="153"/>
      <x:c r="H90" s="153"/>
      <x:c r="I90" s="154" t="str">
        <x:f>IF($H90="","",IF($H90="第一級","記錄觀察",IF($H90="第二級","檢視條件排班與 1:1 支援","暫停直接相關技能資格")))</x:f>
      </x:c>
      <x:c r="J90" s="153"/>
      <x:c r="K90" s="153"/>
      <x:c r="L90" s="153"/>
      <x:c r="M90" s="153"/>
      <x:c r="N90" s="155"/>
      <x:c r="O90" s="155"/>
      <x:c r="P90" s="153"/>
      <x:c r="Q90" s="154" t="str">
        <x:f>IF($A90="","",IF(OR($M90="",$N90="",$P90=""),"資料未完整",IF(OR($M90="暫停技能資格",$M90="條件排班 1:1"),IF(OR($O90="",$O90&gt;=TODAY()),"生效中","已結束"),IF($M90="補訓後複評","待補訓／複評","無限制"))))</x:f>
      </x:c>
      <x:c r="R90" s="153"/>
    </x:row>
    <x:row r="91">
      <x:c r="A91" s="153"/>
      <x:c r="B91" s="155"/>
      <x:c r="C91" s="153"/>
      <x:c r="D91" s="154" t="str">
        <x:f>IF($C91="","",_xlfn.XLOOKUP($C91,'試行員工主檔'!$A$7:$A$20,'試行員工主檔'!$B$7:$B$20,"員工未建立",0))</x:f>
      </x:c>
      <x:c r="E91" s="153"/>
      <x:c r="F91" s="153"/>
      <x:c r="G91" s="153"/>
      <x:c r="H91" s="153"/>
      <x:c r="I91" s="154" t="str">
        <x:f>IF($H91="","",IF($H91="第一級","記錄觀察",IF($H91="第二級","檢視條件排班與 1:1 支援","暫停直接相關技能資格")))</x:f>
      </x:c>
      <x:c r="J91" s="153"/>
      <x:c r="K91" s="153"/>
      <x:c r="L91" s="153"/>
      <x:c r="M91" s="153"/>
      <x:c r="N91" s="155"/>
      <x:c r="O91" s="155"/>
      <x:c r="P91" s="153"/>
      <x:c r="Q91" s="154" t="str">
        <x:f>IF($A91="","",IF(OR($M91="",$N91="",$P91=""),"資料未完整",IF(OR($M91="暫停技能資格",$M91="條件排班 1:1"),IF(OR($O91="",$O91&gt;=TODAY()),"生效中","已結束"),IF($M91="補訓後複評","待補訓／複評","無限制"))))</x:f>
      </x:c>
      <x:c r="R91" s="153"/>
    </x:row>
    <x:row r="92">
      <x:c r="A92" s="153"/>
      <x:c r="B92" s="155"/>
      <x:c r="C92" s="153"/>
      <x:c r="D92" s="154" t="str">
        <x:f>IF($C92="","",_xlfn.XLOOKUP($C92,'試行員工主檔'!$A$7:$A$20,'試行員工主檔'!$B$7:$B$20,"員工未建立",0))</x:f>
      </x:c>
      <x:c r="E92" s="153"/>
      <x:c r="F92" s="153"/>
      <x:c r="G92" s="153"/>
      <x:c r="H92" s="153"/>
      <x:c r="I92" s="154" t="str">
        <x:f>IF($H92="","",IF($H92="第一級","記錄觀察",IF($H92="第二級","檢視條件排班與 1:1 支援","暫停直接相關技能資格")))</x:f>
      </x:c>
      <x:c r="J92" s="153"/>
      <x:c r="K92" s="153"/>
      <x:c r="L92" s="153"/>
      <x:c r="M92" s="153"/>
      <x:c r="N92" s="155"/>
      <x:c r="O92" s="155"/>
      <x:c r="P92" s="153"/>
      <x:c r="Q92" s="154" t="str">
        <x:f>IF($A92="","",IF(OR($M92="",$N92="",$P92=""),"資料未完整",IF(OR($M92="暫停技能資格",$M92="條件排班 1:1"),IF(OR($O92="",$O92&gt;=TODAY()),"生效中","已結束"),IF($M92="補訓後複評","待補訓／複評","無限制"))))</x:f>
      </x:c>
      <x:c r="R92" s="153"/>
    </x:row>
    <x:row r="93">
      <x:c r="A93" s="153"/>
      <x:c r="B93" s="155"/>
      <x:c r="C93" s="153"/>
      <x:c r="D93" s="154" t="str">
        <x:f>IF($C93="","",_xlfn.XLOOKUP($C93,'試行員工主檔'!$A$7:$A$20,'試行員工主檔'!$B$7:$B$20,"員工未建立",0))</x:f>
      </x:c>
      <x:c r="E93" s="153"/>
      <x:c r="F93" s="153"/>
      <x:c r="G93" s="153"/>
      <x:c r="H93" s="153"/>
      <x:c r="I93" s="154" t="str">
        <x:f>IF($H93="","",IF($H93="第一級","記錄觀察",IF($H93="第二級","檢視條件排班與 1:1 支援","暫停直接相關技能資格")))</x:f>
      </x:c>
      <x:c r="J93" s="153"/>
      <x:c r="K93" s="153"/>
      <x:c r="L93" s="153"/>
      <x:c r="M93" s="153"/>
      <x:c r="N93" s="155"/>
      <x:c r="O93" s="155"/>
      <x:c r="P93" s="153"/>
      <x:c r="Q93" s="154" t="str">
        <x:f>IF($A93="","",IF(OR($M93="",$N93="",$P93=""),"資料未完整",IF(OR($M93="暫停技能資格",$M93="條件排班 1:1"),IF(OR($O93="",$O93&gt;=TODAY()),"生效中","已結束"),IF($M93="補訓後複評","待補訓／複評","無限制"))))</x:f>
      </x:c>
      <x:c r="R93" s="153"/>
    </x:row>
    <x:row r="94">
      <x:c r="A94" s="153"/>
      <x:c r="B94" s="155"/>
      <x:c r="C94" s="153"/>
      <x:c r="D94" s="154" t="str">
        <x:f>IF($C94="","",_xlfn.XLOOKUP($C94,'試行員工主檔'!$A$7:$A$20,'試行員工主檔'!$B$7:$B$20,"員工未建立",0))</x:f>
      </x:c>
      <x:c r="E94" s="153"/>
      <x:c r="F94" s="153"/>
      <x:c r="G94" s="153"/>
      <x:c r="H94" s="153"/>
      <x:c r="I94" s="154" t="str">
        <x:f>IF($H94="","",IF($H94="第一級","記錄觀察",IF($H94="第二級","檢視條件排班與 1:1 支援","暫停直接相關技能資格")))</x:f>
      </x:c>
      <x:c r="J94" s="153"/>
      <x:c r="K94" s="153"/>
      <x:c r="L94" s="153"/>
      <x:c r="M94" s="153"/>
      <x:c r="N94" s="155"/>
      <x:c r="O94" s="155"/>
      <x:c r="P94" s="153"/>
      <x:c r="Q94" s="154" t="str">
        <x:f>IF($A94="","",IF(OR($M94="",$N94="",$P94=""),"資料未完整",IF(OR($M94="暫停技能資格",$M94="條件排班 1:1"),IF(OR($O94="",$O94&gt;=TODAY()),"生效中","已結束"),IF($M94="補訓後複評","待補訓／複評","無限制"))))</x:f>
      </x:c>
      <x:c r="R94" s="153"/>
    </x:row>
    <x:row r="95">
      <x:c r="A95" s="153"/>
      <x:c r="B95" s="155"/>
      <x:c r="C95" s="153"/>
      <x:c r="D95" s="154" t="str">
        <x:f>IF($C95="","",_xlfn.XLOOKUP($C95,'試行員工主檔'!$A$7:$A$20,'試行員工主檔'!$B$7:$B$20,"員工未建立",0))</x:f>
      </x:c>
      <x:c r="E95" s="153"/>
      <x:c r="F95" s="153"/>
      <x:c r="G95" s="153"/>
      <x:c r="H95" s="153"/>
      <x:c r="I95" s="154" t="str">
        <x:f>IF($H95="","",IF($H95="第一級","記錄觀察",IF($H95="第二級","檢視條件排班與 1:1 支援","暫停直接相關技能資格")))</x:f>
      </x:c>
      <x:c r="J95" s="153"/>
      <x:c r="K95" s="153"/>
      <x:c r="L95" s="153"/>
      <x:c r="M95" s="153"/>
      <x:c r="N95" s="155"/>
      <x:c r="O95" s="155"/>
      <x:c r="P95" s="153"/>
      <x:c r="Q95" s="154" t="str">
        <x:f>IF($A95="","",IF(OR($M95="",$N95="",$P95=""),"資料未完整",IF(OR($M95="暫停技能資格",$M95="條件排班 1:1"),IF(OR($O95="",$O95&gt;=TODAY()),"生效中","已結束"),IF($M95="補訓後複評","待補訓／複評","無限制"))))</x:f>
      </x:c>
      <x:c r="R95" s="153"/>
    </x:row>
    <x:row r="96">
      <x:c r="A96" s="153"/>
      <x:c r="B96" s="155"/>
      <x:c r="C96" s="153"/>
      <x:c r="D96" s="154" t="str">
        <x:f>IF($C96="","",_xlfn.XLOOKUP($C96,'試行員工主檔'!$A$7:$A$20,'試行員工主檔'!$B$7:$B$20,"員工未建立",0))</x:f>
      </x:c>
      <x:c r="E96" s="153"/>
      <x:c r="F96" s="153"/>
      <x:c r="G96" s="153"/>
      <x:c r="H96" s="153"/>
      <x:c r="I96" s="154" t="str">
        <x:f>IF($H96="","",IF($H96="第一級","記錄觀察",IF($H96="第二級","檢視條件排班與 1:1 支援","暫停直接相關技能資格")))</x:f>
      </x:c>
      <x:c r="J96" s="153"/>
      <x:c r="K96" s="153"/>
      <x:c r="L96" s="153"/>
      <x:c r="M96" s="153"/>
      <x:c r="N96" s="155"/>
      <x:c r="O96" s="155"/>
      <x:c r="P96" s="153"/>
      <x:c r="Q96" s="154" t="str">
        <x:f>IF($A96="","",IF(OR($M96="",$N96="",$P96=""),"資料未完整",IF(OR($M96="暫停技能資格",$M96="條件排班 1:1"),IF(OR($O96="",$O96&gt;=TODAY()),"生效中","已結束"),IF($M96="補訓後複評","待補訓／複評","無限制"))))</x:f>
      </x:c>
      <x:c r="R96" s="153"/>
    </x:row>
    <x:row r="97">
      <x:c r="A97" s="153"/>
      <x:c r="B97" s="155"/>
      <x:c r="C97" s="153"/>
      <x:c r="D97" s="154" t="str">
        <x:f>IF($C97="","",_xlfn.XLOOKUP($C97,'試行員工主檔'!$A$7:$A$20,'試行員工主檔'!$B$7:$B$20,"員工未建立",0))</x:f>
      </x:c>
      <x:c r="E97" s="153"/>
      <x:c r="F97" s="153"/>
      <x:c r="G97" s="153"/>
      <x:c r="H97" s="153"/>
      <x:c r="I97" s="154" t="str">
        <x:f>IF($H97="","",IF($H97="第一級","記錄觀察",IF($H97="第二級","檢視條件排班與 1:1 支援","暫停直接相關技能資格")))</x:f>
      </x:c>
      <x:c r="J97" s="153"/>
      <x:c r="K97" s="153"/>
      <x:c r="L97" s="153"/>
      <x:c r="M97" s="153"/>
      <x:c r="N97" s="155"/>
      <x:c r="O97" s="155"/>
      <x:c r="P97" s="153"/>
      <x:c r="Q97" s="154" t="str">
        <x:f>IF($A97="","",IF(OR($M97="",$N97="",$P97=""),"資料未完整",IF(OR($M97="暫停技能資格",$M97="條件排班 1:1"),IF(OR($O97="",$O97&gt;=TODAY()),"生效中","已結束"),IF($M97="補訓後複評","待補訓／複評","無限制"))))</x:f>
      </x:c>
      <x:c r="R97" s="153"/>
    </x:row>
    <x:row r="98">
      <x:c r="A98" s="153"/>
      <x:c r="B98" s="155"/>
      <x:c r="C98" s="153"/>
      <x:c r="D98" s="154" t="str">
        <x:f>IF($C98="","",_xlfn.XLOOKUP($C98,'試行員工主檔'!$A$7:$A$20,'試行員工主檔'!$B$7:$B$20,"員工未建立",0))</x:f>
      </x:c>
      <x:c r="E98" s="153"/>
      <x:c r="F98" s="153"/>
      <x:c r="G98" s="153"/>
      <x:c r="H98" s="153"/>
      <x:c r="I98" s="154" t="str">
        <x:f>IF($H98="","",IF($H98="第一級","記錄觀察",IF($H98="第二級","檢視條件排班與 1:1 支援","暫停直接相關技能資格")))</x:f>
      </x:c>
      <x:c r="J98" s="153"/>
      <x:c r="K98" s="153"/>
      <x:c r="L98" s="153"/>
      <x:c r="M98" s="153"/>
      <x:c r="N98" s="155"/>
      <x:c r="O98" s="155"/>
      <x:c r="P98" s="153"/>
      <x:c r="Q98" s="154" t="str">
        <x:f>IF($A98="","",IF(OR($M98="",$N98="",$P98=""),"資料未完整",IF(OR($M98="暫停技能資格",$M98="條件排班 1:1"),IF(OR($O98="",$O98&gt;=TODAY()),"生效中","已結束"),IF($M98="補訓後複評","待補訓／複評","無限制"))))</x:f>
      </x:c>
      <x:c r="R98" s="153"/>
    </x:row>
    <x:row r="99">
      <x:c r="A99" s="153"/>
      <x:c r="B99" s="155"/>
      <x:c r="C99" s="153"/>
      <x:c r="D99" s="154" t="str">
        <x:f>IF($C99="","",_xlfn.XLOOKUP($C99,'試行員工主檔'!$A$7:$A$20,'試行員工主檔'!$B$7:$B$20,"員工未建立",0))</x:f>
      </x:c>
      <x:c r="E99" s="153"/>
      <x:c r="F99" s="153"/>
      <x:c r="G99" s="153"/>
      <x:c r="H99" s="153"/>
      <x:c r="I99" s="154" t="str">
        <x:f>IF($H99="","",IF($H99="第一級","記錄觀察",IF($H99="第二級","檢視條件排班與 1:1 支援","暫停直接相關技能資格")))</x:f>
      </x:c>
      <x:c r="J99" s="153"/>
      <x:c r="K99" s="153"/>
      <x:c r="L99" s="153"/>
      <x:c r="M99" s="153"/>
      <x:c r="N99" s="155"/>
      <x:c r="O99" s="155"/>
      <x:c r="P99" s="153"/>
      <x:c r="Q99" s="154" t="str">
        <x:f>IF($A99="","",IF(OR($M99="",$N99="",$P99=""),"資料未完整",IF(OR($M99="暫停技能資格",$M99="條件排班 1:1"),IF(OR($O99="",$O99&gt;=TODAY()),"生效中","已結束"),IF($M99="補訓後複評","待補訓／複評","無限制"))))</x:f>
      </x:c>
      <x:c r="R99" s="153"/>
    </x:row>
    <x:row r="100">
      <x:c r="A100" s="153"/>
      <x:c r="B100" s="155"/>
      <x:c r="C100" s="153"/>
      <x:c r="D100" s="154" t="str">
        <x:f>IF($C100="","",_xlfn.XLOOKUP($C100,'試行員工主檔'!$A$7:$A$20,'試行員工主檔'!$B$7:$B$20,"員工未建立",0))</x:f>
      </x:c>
      <x:c r="E100" s="153"/>
      <x:c r="F100" s="153"/>
      <x:c r="G100" s="153"/>
      <x:c r="H100" s="153"/>
      <x:c r="I100" s="154" t="str">
        <x:f>IF($H100="","",IF($H100="第一級","記錄觀察",IF($H100="第二級","檢視條件排班與 1:1 支援","暫停直接相關技能資格")))</x:f>
      </x:c>
      <x:c r="J100" s="153"/>
      <x:c r="K100" s="153"/>
      <x:c r="L100" s="153"/>
      <x:c r="M100" s="153"/>
      <x:c r="N100" s="155"/>
      <x:c r="O100" s="155"/>
      <x:c r="P100" s="153"/>
      <x:c r="Q100" s="154" t="str">
        <x:f>IF($A100="","",IF(OR($M100="",$N100="",$P100=""),"資料未完整",IF(OR($M100="暫停技能資格",$M100="條件排班 1:1"),IF(OR($O100="",$O100&gt;=TODAY()),"生效中","已結束"),IF($M100="補訓後複評","待補訓／複評","無限制"))))</x:f>
      </x:c>
      <x:c r="R100" s="153"/>
    </x:row>
    <x:row r="101">
      <x:c r="A101" s="153"/>
      <x:c r="B101" s="155"/>
      <x:c r="C101" s="153"/>
      <x:c r="D101" s="154" t="str">
        <x:f>IF($C101="","",_xlfn.XLOOKUP($C101,'試行員工主檔'!$A$7:$A$20,'試行員工主檔'!$B$7:$B$20,"員工未建立",0))</x:f>
      </x:c>
      <x:c r="E101" s="153"/>
      <x:c r="F101" s="153"/>
      <x:c r="G101" s="153"/>
      <x:c r="H101" s="153"/>
      <x:c r="I101" s="154" t="str">
        <x:f>IF($H101="","",IF($H101="第一級","記錄觀察",IF($H101="第二級","檢視條件排班與 1:1 支援","暫停直接相關技能資格")))</x:f>
      </x:c>
      <x:c r="J101" s="153"/>
      <x:c r="K101" s="153"/>
      <x:c r="L101" s="153"/>
      <x:c r="M101" s="153"/>
      <x:c r="N101" s="155"/>
      <x:c r="O101" s="155"/>
      <x:c r="P101" s="153"/>
      <x:c r="Q101" s="154" t="str">
        <x:f>IF($A101="","",IF(OR($M101="",$N101="",$P101=""),"資料未完整",IF(OR($M101="暫停技能資格",$M101="條件排班 1:1"),IF(OR($O101="",$O101&gt;=TODAY()),"生效中","已結束"),IF($M101="補訓後複評","待補訓／複評","無限制"))))</x:f>
      </x:c>
      <x:c r="R101" s="153"/>
    </x:row>
    <x:row r="102">
      <x:c r="A102" s="153"/>
      <x:c r="B102" s="155"/>
      <x:c r="C102" s="153"/>
      <x:c r="D102" s="154" t="str">
        <x:f>IF($C102="","",_xlfn.XLOOKUP($C102,'試行員工主檔'!$A$7:$A$20,'試行員工主檔'!$B$7:$B$20,"員工未建立",0))</x:f>
      </x:c>
      <x:c r="E102" s="153"/>
      <x:c r="F102" s="153"/>
      <x:c r="G102" s="153"/>
      <x:c r="H102" s="153"/>
      <x:c r="I102" s="154" t="str">
        <x:f>IF($H102="","",IF($H102="第一級","記錄觀察",IF($H102="第二級","檢視條件排班與 1:1 支援","暫停直接相關技能資格")))</x:f>
      </x:c>
      <x:c r="J102" s="153"/>
      <x:c r="K102" s="153"/>
      <x:c r="L102" s="153"/>
      <x:c r="M102" s="153"/>
      <x:c r="N102" s="155"/>
      <x:c r="O102" s="155"/>
      <x:c r="P102" s="153"/>
      <x:c r="Q102" s="154" t="str">
        <x:f>IF($A102="","",IF(OR($M102="",$N102="",$P102=""),"資料未完整",IF(OR($M102="暫停技能資格",$M102="條件排班 1:1"),IF(OR($O102="",$O102&gt;=TODAY()),"生效中","已結束"),IF($M102="補訓後複評","待補訓／複評","無限制"))))</x:f>
      </x:c>
      <x:c r="R102" s="153"/>
    </x:row>
    <x:row r="103">
      <x:c r="A103" s="153"/>
      <x:c r="B103" s="155"/>
      <x:c r="C103" s="153"/>
      <x:c r="D103" s="154" t="str">
        <x:f>IF($C103="","",_xlfn.XLOOKUP($C103,'試行員工主檔'!$A$7:$A$20,'試行員工主檔'!$B$7:$B$20,"員工未建立",0))</x:f>
      </x:c>
      <x:c r="E103" s="153"/>
      <x:c r="F103" s="153"/>
      <x:c r="G103" s="153"/>
      <x:c r="H103" s="153"/>
      <x:c r="I103" s="154" t="str">
        <x:f>IF($H103="","",IF($H103="第一級","記錄觀察",IF($H103="第二級","檢視條件排班與 1:1 支援","暫停直接相關技能資格")))</x:f>
      </x:c>
      <x:c r="J103" s="153"/>
      <x:c r="K103" s="153"/>
      <x:c r="L103" s="153"/>
      <x:c r="M103" s="153"/>
      <x:c r="N103" s="155"/>
      <x:c r="O103" s="155"/>
      <x:c r="P103" s="153"/>
      <x:c r="Q103" s="154" t="str">
        <x:f>IF($A103="","",IF(OR($M103="",$N103="",$P103=""),"資料未完整",IF(OR($M103="暫停技能資格",$M103="條件排班 1:1"),IF(OR($O103="",$O103&gt;=TODAY()),"生效中","已結束"),IF($M103="補訓後複評","待補訓／複評","無限制"))))</x:f>
      </x:c>
      <x:c r="R103" s="153"/>
    </x:row>
    <x:row r="104">
      <x:c r="A104" s="153"/>
      <x:c r="B104" s="155"/>
      <x:c r="C104" s="153"/>
      <x:c r="D104" s="154" t="str">
        <x:f>IF($C104="","",_xlfn.XLOOKUP($C104,'試行員工主檔'!$A$7:$A$20,'試行員工主檔'!$B$7:$B$20,"員工未建立",0))</x:f>
      </x:c>
      <x:c r="E104" s="153"/>
      <x:c r="F104" s="153"/>
      <x:c r="G104" s="153"/>
      <x:c r="H104" s="153"/>
      <x:c r="I104" s="154" t="str">
        <x:f>IF($H104="","",IF($H104="第一級","記錄觀察",IF($H104="第二級","檢視條件排班與 1:1 支援","暫停直接相關技能資格")))</x:f>
      </x:c>
      <x:c r="J104" s="153"/>
      <x:c r="K104" s="153"/>
      <x:c r="L104" s="153"/>
      <x:c r="M104" s="153"/>
      <x:c r="N104" s="155"/>
      <x:c r="O104" s="155"/>
      <x:c r="P104" s="153"/>
      <x:c r="Q104" s="154" t="str">
        <x:f>IF($A104="","",IF(OR($M104="",$N104="",$P104=""),"資料未完整",IF(OR($M104="暫停技能資格",$M104="條件排班 1:1"),IF(OR($O104="",$O104&gt;=TODAY()),"生效中","已結束"),IF($M104="補訓後複評","待補訓／複評","無限制"))))</x:f>
      </x:c>
      <x:c r="R104" s="153"/>
    </x:row>
    <x:row r="105">
      <x:c r="A105" s="153"/>
      <x:c r="B105" s="155"/>
      <x:c r="C105" s="153"/>
      <x:c r="D105" s="154" t="str">
        <x:f>IF($C105="","",_xlfn.XLOOKUP($C105,'試行員工主檔'!$A$7:$A$20,'試行員工主檔'!$B$7:$B$20,"員工未建立",0))</x:f>
      </x:c>
      <x:c r="E105" s="153"/>
      <x:c r="F105" s="153"/>
      <x:c r="G105" s="153"/>
      <x:c r="H105" s="153"/>
      <x:c r="I105" s="154" t="str">
        <x:f>IF($H105="","",IF($H105="第一級","記錄觀察",IF($H105="第二級","檢視條件排班與 1:1 支援","暫停直接相關技能資格")))</x:f>
      </x:c>
      <x:c r="J105" s="153"/>
      <x:c r="K105" s="153"/>
      <x:c r="L105" s="153"/>
      <x:c r="M105" s="153"/>
      <x:c r="N105" s="155"/>
      <x:c r="O105" s="155"/>
      <x:c r="P105" s="153"/>
      <x:c r="Q105" s="154" t="str">
        <x:f>IF($A105="","",IF(OR($M105="",$N105="",$P105=""),"資料未完整",IF(OR($M105="暫停技能資格",$M105="條件排班 1:1"),IF(OR($O105="",$O105&gt;=TODAY()),"生效中","已結束"),IF($M105="補訓後複評","待補訓／複評","無限制"))))</x:f>
      </x:c>
      <x:c r="R105" s="153"/>
    </x:row>
    <x:row r="106">
      <x:c r="A106" s="153"/>
      <x:c r="B106" s="155"/>
      <x:c r="C106" s="153"/>
      <x:c r="D106" s="154" t="str">
        <x:f>IF($C106="","",_xlfn.XLOOKUP($C106,'試行員工主檔'!$A$7:$A$20,'試行員工主檔'!$B$7:$B$20,"員工未建立",0))</x:f>
      </x:c>
      <x:c r="E106" s="153"/>
      <x:c r="F106" s="153"/>
      <x:c r="G106" s="153"/>
      <x:c r="H106" s="153"/>
      <x:c r="I106" s="154" t="str">
        <x:f>IF($H106="","",IF($H106="第一級","記錄觀察",IF($H106="第二級","檢視條件排班與 1:1 支援","暫停直接相關技能資格")))</x:f>
      </x:c>
      <x:c r="J106" s="153"/>
      <x:c r="K106" s="153"/>
      <x:c r="L106" s="153"/>
      <x:c r="M106" s="153"/>
      <x:c r="N106" s="155"/>
      <x:c r="O106" s="155"/>
      <x:c r="P106" s="153"/>
      <x:c r="Q106" s="154" t="str">
        <x:f>IF($A106="","",IF(OR($M106="",$N106="",$P106=""),"資料未完整",IF(OR($M106="暫停技能資格",$M106="條件排班 1:1"),IF(OR($O106="",$O106&gt;=TODAY()),"生效中","已結束"),IF($M106="補訓後複評","待補訓／複評","無限制"))))</x:f>
      </x:c>
      <x:c r="R106" s="153"/>
    </x:row>
  </x:sheetData>
  <x:conditionalFormatting sqref="Q7:Q106">
    <x:cfRule type="containsText" dxfId="28" priority="1" operator="containsText" text="生效中"/>
    <x:cfRule type="containsText" dxfId="29" priority="2" operator="containsText" text="未完整"/>
  </x:conditionalFormatting>
  <x:dataValidations count="6">
    <x:dataValidation type="list" sqref="C7:C106">
      <x:formula1>'試行員工主檔'!$A$7:$A$20</x:formula1>
    </x:dataValidation>
    <x:dataValidation type="list" sqref="E7:E106">
      <x:formula1>'技能主檔_V1'!$A$7:$A$24</x:formula1>
    </x:dataValidation>
    <x:dataValidation type="list" sqref="G7:G106">
      <x:formula1>'李醫師治療模式'!$A$7:$A$19</x:formula1>
    </x:dataValidation>
    <x:dataValidation type="list" sqref="H7:H106">
      <x:formula1>"第一級,第二級,第三級"</x:formula1>
    </x:dataValidation>
    <x:dataValidation type="list" sqref="M7:M106">
      <x:formula1>"僅記錄觀察,條件排班 1:1,暫停技能資格,補訓後複評,結案無限制"</x:formula1>
    </x:dataValidation>
    <x:dataValidation type="list" sqref="R7:R106">
      <x:formula1>"待調查,調查中,待補訓,待複評,已結案"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47bd05a28b479b"/>
  </x:tableParts>
</x:worksheet>
</file>

<file path=xl/worksheets/sheet30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42" hidden="0" customWidth="1"/>
    <x:col min="17" max="17" width="24" hidden="0" customWidth="1"/>
    <x:col min="18" max="18" width="34" hidden="0" customWidth="1"/>
    <x:col min="19" max="19" width="28" hidden="0" customWidth="1"/>
    <x:col min="20" max="20" width="22" hidden="0" customWidth="1"/>
    <x:col min="21" max="21" width="26" hidden="0" customWidth="1"/>
  </x:cols>
  <x:sheetData>
    <x:row r="2">
      <x:c r="A2" s="74" t="str">
        <x:v>其他醫師治療模式與支援規則輸入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75" t="str">
        <x:v>每個正式模式使用一列並保留來源依據。先完成模式規則，再到「模式能力要求輸入」逐列核定技能與資格門檻；只有所有要求均可發布，且主管將能力要求集標記為已完整，模式才會進入排班建檔清單。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</x:row>
    <x:row r="6">
      <x:c r="A6" s="168" t="str">
        <x:v>規則編號</x:v>
      </x:c>
      <x:c r="B6" s="168" t="str">
        <x:v>醫師</x:v>
      </x:c>
      <x:c r="C6" s="168" t="str">
        <x:v>醫師型態</x:v>
      </x:c>
      <x:c r="D6" s="168" t="str">
        <x:v>模式代碼</x:v>
      </x:c>
      <x:c r="E6" s="168" t="str">
        <x:v>治療項目</x:v>
      </x:c>
      <x:c r="F6" s="168" t="str">
        <x:v>療程階段</x:v>
      </x:c>
      <x:c r="G6" s="168" t="str">
        <x:v>複雜度</x:v>
      </x:c>
      <x:c r="H6" s="168" t="str">
        <x:v>主跟診需求人數</x:v>
      </x:c>
      <x:c r="I6" s="168" t="str">
        <x:v>支援需求人數</x:v>
      </x:c>
      <x:c r="J6" s="168" t="str">
        <x:v>短時支援分鐘</x:v>
      </x:c>
      <x:c r="K6" s="168" t="str">
        <x:v>療程確認提前天數</x:v>
      </x:c>
      <x:c r="L6" s="168" t="str">
        <x:v>版本</x:v>
      </x:c>
      <x:c r="M6" s="168" t="str">
        <x:v>生效日</x:v>
      </x:c>
      <x:c r="N6" s="168" t="str">
        <x:v>核定狀態</x:v>
      </x:c>
      <x:c r="O6" s="168" t="str">
        <x:v>核定人</x:v>
      </x:c>
      <x:c r="P6" s="168" t="str">
        <x:v>備註</x:v>
      </x:c>
      <x:c r="Q6" s="233" t="str">
        <x:v>收件檢核</x:v>
      </x:c>
      <x:c r="R6" s="420" t="str">
        <x:v>來源文件／版本</x:v>
      </x:c>
      <x:c r="S6" s="420" t="str">
        <x:v>來源定位</x:v>
      </x:c>
      <x:c r="T6" s="573" t="str">
        <x:v>能力要求集狀態</x:v>
      </x:c>
      <x:c r="U6" s="573" t="str">
        <x:v>排班匯入狀態</x:v>
      </x:c>
    </x:row>
    <x:row r="7">
      <x:c r="A7" s="170" t="str">
        <x:v>PENDING-DOC-01</x:v>
      </x:c>
      <x:c r="B7" s="170" t="str">
        <x:v>李柄輝醫師</x:v>
      </x:c>
      <x:c r="C7" s="170"/>
      <x:c r="D7" s="170"/>
      <x:c r="E7" s="170"/>
      <x:c r="F7" s="170"/>
      <x:c r="G7" s="170"/>
      <x:c r="H7" s="170"/>
      <x:c r="I7" s="170"/>
      <x:c r="J7" s="170"/>
      <x:c r="K7" s="170"/>
      <x:c r="L7" s="170"/>
      <x:c r="M7" s="171"/>
      <x:c r="N7" s="170" t="str">
        <x:v>待確認</x:v>
      </x:c>
      <x:c r="O7" s="170"/>
      <x:c r="P7" s="170" t="str">
        <x:v>來源工作簿已有能力資料；治療模式與門檻待正式確認</x:v>
      </x:c>
      <x:c r="Q7" s="235" t="str">
        <x:f>IF(LEN($B7)=0,"",IF($N7="停用","停用",IF($N7="退回補件","退回補件",IF(COUNTIFS($A$7:$A$156,$A7)&gt;1,"規則編號重複",IF(OR(LEN($C7)=0,LEN($D7)=0,LEN($E7)=0,LEN($F7)=0,LEN($G7)=0,LEN($H7)=0,LEN($I7)=0,LEN($K7)=0,LEN($L7)=0,LEN($M7)=0,LEN($O7)=0),IF($N7="已核定","已核定但資料未完整","待補欄位或核定"),IF(OR(LEN($R7)=0,LEN($S7)=0),IF($N7="已核定","已核定但缺來源依據","待補來源依據"),IF($N7="已核定","可發布","待主管核定")))))))</x:f>
        <x:v>待補欄位或核定</x:v>
      </x:c>
      <x:c r="R7" s="421"/>
      <x:c r="S7" s="421"/>
      <x:c r="T7" s="575" t="str">
        <x:v>待建置</x:v>
      </x:c>
      <x:c r="U7" s="582" t="str">
        <x:f>IF($D7="","",IF($Q7&lt;&gt;"可發布","模式規則未發布",IF($T7&lt;&gt;"已完整","能力要求集未確認",IF(COUNTIFS('模式能力要求輸入'!$B$7:$B$306,$D7)=0,"尚無能力要求",IF(COUNTIFS('模式能力要求輸入'!$B$7:$B$306,$D7,'模式能力要求輸入'!$R$7:$R$306,"&lt;&gt;可發布")&gt;0,"能力要求未全數發布",IF(COUNTIFS('模式能力要求輸入'!$B$7:$B$306,$D7,'模式能力要求輸入'!$E$7:$E$306,"主跟診",'模式能力要求輸入'!$F$7:$F$306,"必備",'模式能力要求輸入'!$R$7:$R$306,"可發布")=0,"缺少主跟診必備要求","可匯入模式清單"))))))</x:f>
      </x:c>
    </x:row>
    <x:row r="8">
      <x:c r="A8" s="170" t="str">
        <x:v>PENDING-DOC-02</x:v>
      </x:c>
      <x:c r="B8" s="170" t="str">
        <x:v>廖立揚醫師</x:v>
      </x:c>
      <x:c r="C8" s="170"/>
      <x:c r="D8" s="170"/>
      <x:c r="E8" s="170"/>
      <x:c r="F8" s="170"/>
      <x:c r="G8" s="170"/>
      <x:c r="H8" s="170"/>
      <x:c r="I8" s="170"/>
      <x:c r="J8" s="170"/>
      <x:c r="K8" s="170"/>
      <x:c r="L8" s="170"/>
      <x:c r="M8" s="171"/>
      <x:c r="N8" s="170" t="str">
        <x:v>待確認</x:v>
      </x:c>
      <x:c r="O8" s="170"/>
      <x:c r="P8" s="170" t="str">
        <x:v>來源工作簿已有能力資料；治療模式與門檻待正式確認</x:v>
      </x:c>
      <x:c r="Q8" s="235" t="str">
        <x:f>IF(LEN($B8)=0,"",IF($N8="停用","停用",IF($N8="退回補件","退回補件",IF(COUNTIFS($A$7:$A$156,$A8)&gt;1,"規則編號重複",IF(OR(LEN($C8)=0,LEN($D8)=0,LEN($E8)=0,LEN($F8)=0,LEN($G8)=0,LEN($H8)=0,LEN($I8)=0,LEN($K8)=0,LEN($L8)=0,LEN($M8)=0,LEN($O8)=0),IF($N8="已核定","已核定但資料未完整","待補欄位或核定"),IF(OR(LEN($R8)=0,LEN($S8)=0),IF($N8="已核定","已核定但缺來源依據","待補來源依據"),IF($N8="已核定","可發布","待主管核定")))))))</x:f>
        <x:v>待補欄位或核定</x:v>
      </x:c>
      <x:c r="R8" s="421"/>
      <x:c r="S8" s="421"/>
      <x:c r="T8" s="575" t="str">
        <x:v>待建置</x:v>
      </x:c>
      <x:c r="U8" s="582" t="str">
        <x:f>IF($D8="","",IF($Q8&lt;&gt;"可發布","模式規則未發布",IF($T8&lt;&gt;"已完整","能力要求集未確認",IF(COUNTIFS('模式能力要求輸入'!$B$7:$B$306,$D8)=0,"尚無能力要求",IF(COUNTIFS('模式能力要求輸入'!$B$7:$B$306,$D8,'模式能力要求輸入'!$R$7:$R$306,"&lt;&gt;可發布")&gt;0,"能力要求未全數發布",IF(COUNTIFS('模式能力要求輸入'!$B$7:$B$306,$D8,'模式能力要求輸入'!$E$7:$E$306,"主跟診",'模式能力要求輸入'!$F$7:$F$306,"必備",'模式能力要求輸入'!$R$7:$R$306,"可發布")=0,"缺少主跟診必備要求","可匯入模式清單"))))))</x:f>
      </x:c>
    </x:row>
    <x:row r="9">
      <x:c r="A9" s="170" t="str">
        <x:v>PENDING-DOC-03</x:v>
      </x:c>
      <x:c r="B9" s="170" t="str">
        <x:v>楊小瑩醫師</x:v>
      </x:c>
      <x:c r="C9" s="170"/>
      <x:c r="D9" s="170"/>
      <x:c r="E9" s="170"/>
      <x:c r="F9" s="170"/>
      <x:c r="G9" s="170"/>
      <x:c r="H9" s="170"/>
      <x:c r="I9" s="170"/>
      <x:c r="J9" s="170"/>
      <x:c r="K9" s="170"/>
      <x:c r="L9" s="170"/>
      <x:c r="M9" s="171"/>
      <x:c r="N9" s="170" t="str">
        <x:v>待確認</x:v>
      </x:c>
      <x:c r="O9" s="170"/>
      <x:c r="P9" s="170" t="str">
        <x:v>來源工作簿已有能力資料；治療模式與門檻待正式確認</x:v>
      </x:c>
      <x:c r="Q9" s="235" t="str">
        <x:f>IF(LEN($B9)=0,"",IF($N9="停用","停用",IF($N9="退回補件","退回補件",IF(COUNTIFS($A$7:$A$156,$A9)&gt;1,"規則編號重複",IF(OR(LEN($C9)=0,LEN($D9)=0,LEN($E9)=0,LEN($F9)=0,LEN($G9)=0,LEN($H9)=0,LEN($I9)=0,LEN($K9)=0,LEN($L9)=0,LEN($M9)=0,LEN($O9)=0),IF($N9="已核定","已核定但資料未完整","待補欄位或核定"),IF(OR(LEN($R9)=0,LEN($S9)=0),IF($N9="已核定","已核定但缺來源依據","待補來源依據"),IF($N9="已核定","可發布","待主管核定")))))))</x:f>
        <x:v>待補欄位或核定</x:v>
      </x:c>
      <x:c r="R9" s="421"/>
      <x:c r="S9" s="421"/>
      <x:c r="T9" s="575" t="str">
        <x:v>待建置</x:v>
      </x:c>
      <x:c r="U9" s="582" t="str">
        <x:f>IF($D9="","",IF($Q9&lt;&gt;"可發布","模式規則未發布",IF($T9&lt;&gt;"已完整","能力要求集未確認",IF(COUNTIFS('模式能力要求輸入'!$B$7:$B$306,$D9)=0,"尚無能力要求",IF(COUNTIFS('模式能力要求輸入'!$B$7:$B$306,$D9,'模式能力要求輸入'!$R$7:$R$306,"&lt;&gt;可發布")&gt;0,"能力要求未全數發布",IF(COUNTIFS('模式能力要求輸入'!$B$7:$B$306,$D9,'模式能力要求輸入'!$E$7:$E$306,"主跟診",'模式能力要求輸入'!$F$7:$F$306,"必備",'模式能力要求輸入'!$R$7:$R$306,"可發布")=0,"缺少主跟診必備要求","可匯入模式清單"))))))</x:f>
      </x:c>
    </x:row>
    <x:row r="10">
      <x:c r="A10" s="170" t="str">
        <x:v>PENDING-DOC-04</x:v>
      </x:c>
      <x:c r="B10" s="170" t="str">
        <x:v>王俊偉醫師</x:v>
      </x:c>
      <x:c r="C10" s="170"/>
      <x:c r="D10" s="170"/>
      <x:c r="E10" s="170"/>
      <x:c r="F10" s="170"/>
      <x:c r="G10" s="170"/>
      <x:c r="H10" s="170"/>
      <x:c r="I10" s="170"/>
      <x:c r="J10" s="170"/>
      <x:c r="K10" s="170"/>
      <x:c r="L10" s="170"/>
      <x:c r="M10" s="171"/>
      <x:c r="N10" s="170" t="str">
        <x:v>待確認</x:v>
      </x:c>
      <x:c r="O10" s="170"/>
      <x:c r="P10" s="170" t="str">
        <x:v>來源工作簿已有能力資料；治療模式與門檻待正式確認</x:v>
      </x:c>
      <x:c r="Q10" s="235" t="str">
        <x:f>IF(LEN($B10)=0,"",IF($N10="停用","停用",IF($N10="退回補件","退回補件",IF(COUNTIFS($A$7:$A$156,$A10)&gt;1,"規則編號重複",IF(OR(LEN($C10)=0,LEN($D10)=0,LEN($E10)=0,LEN($F10)=0,LEN($G10)=0,LEN($H10)=0,LEN($I10)=0,LEN($K10)=0,LEN($L10)=0,LEN($M10)=0,LEN($O10)=0),IF($N10="已核定","已核定但資料未完整","待補欄位或核定"),IF(OR(LEN($R10)=0,LEN($S10)=0),IF($N10="已核定","已核定但缺來源依據","待補來源依據"),IF($N10="已核定","可發布","待主管核定")))))))</x:f>
        <x:v>待補欄位或核定</x:v>
      </x:c>
      <x:c r="R10" s="421"/>
      <x:c r="S10" s="421"/>
      <x:c r="T10" s="575" t="str">
        <x:v>待建置</x:v>
      </x:c>
      <x:c r="U10" s="582" t="str">
        <x:f>IF($D10="","",IF($Q10&lt;&gt;"可發布","模式規則未發布",IF($T10&lt;&gt;"已完整","能力要求集未確認",IF(COUNTIFS('模式能力要求輸入'!$B$7:$B$306,$D10)=0,"尚無能力要求",IF(COUNTIFS('模式能力要求輸入'!$B$7:$B$306,$D10,'模式能力要求輸入'!$R$7:$R$306,"&lt;&gt;可發布")&gt;0,"能力要求未全數發布",IF(COUNTIFS('模式能力要求輸入'!$B$7:$B$306,$D10,'模式能力要求輸入'!$E$7:$E$306,"主跟診",'模式能力要求輸入'!$F$7:$F$306,"必備",'模式能力要求輸入'!$R$7:$R$306,"可發布")=0,"缺少主跟診必備要求","可匯入模式清單"))))))</x:f>
      </x:c>
    </x:row>
    <x:row r="11">
      <x:c r="A11" s="170" t="str">
        <x:v>PENDING-DOC-05</x:v>
      </x:c>
      <x:c r="B11" s="170" t="str">
        <x:v>許馨文醫師</x:v>
      </x:c>
      <x:c r="C11" s="170"/>
      <x:c r="D11" s="170"/>
      <x:c r="E11" s="170"/>
      <x:c r="F11" s="170"/>
      <x:c r="G11" s="170"/>
      <x:c r="H11" s="170"/>
      <x:c r="I11" s="170"/>
      <x:c r="J11" s="170"/>
      <x:c r="K11" s="170"/>
      <x:c r="L11" s="170"/>
      <x:c r="M11" s="171"/>
      <x:c r="N11" s="170" t="str">
        <x:v>待確認</x:v>
      </x:c>
      <x:c r="O11" s="170"/>
      <x:c r="P11" s="170" t="str">
        <x:v>來源工作簿已有能力資料；治療模式與門檻待正式確認</x:v>
      </x:c>
      <x:c r="Q11" s="235" t="str">
        <x:f>IF(LEN($B11)=0,"",IF($N11="停用","停用",IF($N11="退回補件","退回補件",IF(COUNTIFS($A$7:$A$156,$A11)&gt;1,"規則編號重複",IF(OR(LEN($C11)=0,LEN($D11)=0,LEN($E11)=0,LEN($F11)=0,LEN($G11)=0,LEN($H11)=0,LEN($I11)=0,LEN($K11)=0,LEN($L11)=0,LEN($M11)=0,LEN($O11)=0),IF($N11="已核定","已核定但資料未完整","待補欄位或核定"),IF(OR(LEN($R11)=0,LEN($S11)=0),IF($N11="已核定","已核定但缺來源依據","待補來源依據"),IF($N11="已核定","可發布","待主管核定")))))))</x:f>
        <x:v>待補欄位或核定</x:v>
      </x:c>
      <x:c r="R11" s="421"/>
      <x:c r="S11" s="421"/>
      <x:c r="T11" s="575" t="str">
        <x:v>待建置</x:v>
      </x:c>
      <x:c r="U11" s="582" t="str">
        <x:f>IF($D11="","",IF($Q11&lt;&gt;"可發布","模式規則未發布",IF($T11&lt;&gt;"已完整","能力要求集未確認",IF(COUNTIFS('模式能力要求輸入'!$B$7:$B$306,$D11)=0,"尚無能力要求",IF(COUNTIFS('模式能力要求輸入'!$B$7:$B$306,$D11,'模式能力要求輸入'!$R$7:$R$306,"&lt;&gt;可發布")&gt;0,"能力要求未全數發布",IF(COUNTIFS('模式能力要求輸入'!$B$7:$B$306,$D11,'模式能力要求輸入'!$E$7:$E$306,"主跟診",'模式能力要求輸入'!$F$7:$F$306,"必備",'模式能力要求輸入'!$R$7:$R$306,"可發布")=0,"缺少主跟診必備要求","可匯入模式清單"))))))</x:f>
      </x:c>
    </x:row>
    <x:row r="12">
      <x:c r="A12" s="170" t="str">
        <x:v>PENDING-DOC-06</x:v>
      </x:c>
      <x:c r="B12" s="170" t="str">
        <x:v>林晏妤醫師</x:v>
      </x:c>
      <x:c r="C12" s="170"/>
      <x:c r="D12" s="170"/>
      <x:c r="E12" s="170"/>
      <x:c r="F12" s="170"/>
      <x:c r="G12" s="170"/>
      <x:c r="H12" s="170"/>
      <x:c r="I12" s="170"/>
      <x:c r="J12" s="170"/>
      <x:c r="K12" s="170"/>
      <x:c r="L12" s="170"/>
      <x:c r="M12" s="171"/>
      <x:c r="N12" s="170" t="str">
        <x:v>待確認</x:v>
      </x:c>
      <x:c r="O12" s="170"/>
      <x:c r="P12" s="170" t="str">
        <x:v>來源工作簿已有能力資料；治療模式與門檻待正式確認</x:v>
      </x:c>
      <x:c r="Q12" s="235" t="str">
        <x:f>IF(LEN($B12)=0,"",IF($N12="停用","停用",IF($N12="退回補件","退回補件",IF(COUNTIFS($A$7:$A$156,$A12)&gt;1,"規則編號重複",IF(OR(LEN($C12)=0,LEN($D12)=0,LEN($E12)=0,LEN($F12)=0,LEN($G12)=0,LEN($H12)=0,LEN($I12)=0,LEN($K12)=0,LEN($L12)=0,LEN($M12)=0,LEN($O12)=0),IF($N12="已核定","已核定但資料未完整","待補欄位或核定"),IF(OR(LEN($R12)=0,LEN($S12)=0),IF($N12="已核定","已核定但缺來源依據","待補來源依據"),IF($N12="已核定","可發布","待主管核定")))))))</x:f>
        <x:v>待補欄位或核定</x:v>
      </x:c>
      <x:c r="R12" s="421"/>
      <x:c r="S12" s="421"/>
      <x:c r="T12" s="575" t="str">
        <x:v>待建置</x:v>
      </x:c>
      <x:c r="U12" s="582" t="str">
        <x:f>IF($D12="","",IF($Q12&lt;&gt;"可發布","模式規則未發布",IF($T12&lt;&gt;"已完整","能力要求集未確認",IF(COUNTIFS('模式能力要求輸入'!$B$7:$B$306,$D12)=0,"尚無能力要求",IF(COUNTIFS('模式能力要求輸入'!$B$7:$B$306,$D12,'模式能力要求輸入'!$R$7:$R$306,"&lt;&gt;可發布")&gt;0,"能力要求未全數發布",IF(COUNTIFS('模式能力要求輸入'!$B$7:$B$306,$D12,'模式能力要求輸入'!$E$7:$E$306,"主跟診",'模式能力要求輸入'!$F$7:$F$306,"必備",'模式能力要求輸入'!$R$7:$R$306,"可發布")=0,"缺少主跟診必備要求","可匯入模式清單"))))))</x:f>
      </x:c>
    </x:row>
    <x:row r="13">
      <x:c r="A13" s="170" t="str">
        <x:v>PENDING-DOC-07</x:v>
      </x:c>
      <x:c r="B13" s="170" t="str">
        <x:v>謝耀慶醫師</x:v>
      </x:c>
      <x:c r="C13" s="170"/>
      <x:c r="D13" s="170"/>
      <x:c r="E13" s="170"/>
      <x:c r="F13" s="170"/>
      <x:c r="G13" s="170"/>
      <x:c r="H13" s="170"/>
      <x:c r="I13" s="170"/>
      <x:c r="J13" s="170"/>
      <x:c r="K13" s="170"/>
      <x:c r="L13" s="170"/>
      <x:c r="M13" s="171"/>
      <x:c r="N13" s="170" t="str">
        <x:v>待確認</x:v>
      </x:c>
      <x:c r="O13" s="170"/>
      <x:c r="P13" s="170" t="str">
        <x:v>來源工作簿已有能力資料；治療模式與門檻待正式確認</x:v>
      </x:c>
      <x:c r="Q13" s="235" t="str">
        <x:f>IF(LEN($B13)=0,"",IF($N13="停用","停用",IF($N13="退回補件","退回補件",IF(COUNTIFS($A$7:$A$156,$A13)&gt;1,"規則編號重複",IF(OR(LEN($C13)=0,LEN($D13)=0,LEN($E13)=0,LEN($F13)=0,LEN($G13)=0,LEN($H13)=0,LEN($I13)=0,LEN($K13)=0,LEN($L13)=0,LEN($M13)=0,LEN($O13)=0),IF($N13="已核定","已核定但資料未完整","待補欄位或核定"),IF(OR(LEN($R13)=0,LEN($S13)=0),IF($N13="已核定","已核定但缺來源依據","待補來源依據"),IF($N13="已核定","可發布","待主管核定")))))))</x:f>
        <x:v>待補欄位或核定</x:v>
      </x:c>
      <x:c r="R13" s="421"/>
      <x:c r="S13" s="421"/>
      <x:c r="T13" s="575" t="str">
        <x:v>待建置</x:v>
      </x:c>
      <x:c r="U13" s="582" t="str">
        <x:f>IF($D13="","",IF($Q13&lt;&gt;"可發布","模式規則未發布",IF($T13&lt;&gt;"已完整","能力要求集未確認",IF(COUNTIFS('模式能力要求輸入'!$B$7:$B$306,$D13)=0,"尚無能力要求",IF(COUNTIFS('模式能力要求輸入'!$B$7:$B$306,$D13,'模式能力要求輸入'!$R$7:$R$306,"&lt;&gt;可發布")&gt;0,"能力要求未全數發布",IF(COUNTIFS('模式能力要求輸入'!$B$7:$B$306,$D13,'模式能力要求輸入'!$E$7:$E$306,"主跟診",'模式能力要求輸入'!$F$7:$F$306,"必備",'模式能力要求輸入'!$R$7:$R$306,"可發布")=0,"缺少主跟診必備要求","可匯入模式清單"))))))</x:f>
      </x:c>
    </x:row>
    <x:row r="14">
      <x:c r="A14" s="170" t="str">
        <x:v>PENDING-DOC-08</x:v>
      </x:c>
      <x:c r="B14" s="170" t="str">
        <x:v>陳醫師</x:v>
      </x:c>
      <x:c r="C14" s="170"/>
      <x:c r="D14" s="170"/>
      <x:c r="E14" s="170"/>
      <x:c r="F14" s="170"/>
      <x:c r="G14" s="170"/>
      <x:c r="H14" s="170"/>
      <x:c r="I14" s="170"/>
      <x:c r="J14" s="170"/>
      <x:c r="K14" s="170"/>
      <x:c r="L14" s="170"/>
      <x:c r="M14" s="171"/>
      <x:c r="N14" s="170" t="str">
        <x:v>待確認</x:v>
      </x:c>
      <x:c r="O14" s="170"/>
      <x:c r="P14" s="170" t="str">
        <x:v>來源工作簿已有能力資料；治療模式與門檻待正式確認</x:v>
      </x:c>
      <x:c r="Q14" s="235" t="str">
        <x:f>IF(LEN($B14)=0,"",IF($N14="停用","停用",IF($N14="退回補件","退回補件",IF(COUNTIFS($A$7:$A$156,$A14)&gt;1,"規則編號重複",IF(OR(LEN($C14)=0,LEN($D14)=0,LEN($E14)=0,LEN($F14)=0,LEN($G14)=0,LEN($H14)=0,LEN($I14)=0,LEN($K14)=0,LEN($L14)=0,LEN($M14)=0,LEN($O14)=0),IF($N14="已核定","已核定但資料未完整","待補欄位或核定"),IF(OR(LEN($R14)=0,LEN($S14)=0),IF($N14="已核定","已核定但缺來源依據","待補來源依據"),IF($N14="已核定","可發布","待主管核定")))))))</x:f>
        <x:v>待補欄位或核定</x:v>
      </x:c>
      <x:c r="R14" s="421"/>
      <x:c r="S14" s="421"/>
      <x:c r="T14" s="575" t="str">
        <x:v>待建置</x:v>
      </x:c>
      <x:c r="U14" s="582" t="str">
        <x:f>IF($D14="","",IF($Q14&lt;&gt;"可發布","模式規則未發布",IF($T14&lt;&gt;"已完整","能力要求集未確認",IF(COUNTIFS('模式能力要求輸入'!$B$7:$B$306,$D14)=0,"尚無能力要求",IF(COUNTIFS('模式能力要求輸入'!$B$7:$B$306,$D14,'模式能力要求輸入'!$R$7:$R$306,"&lt;&gt;可發布")&gt;0,"能力要求未全數發布",IF(COUNTIFS('模式能力要求輸入'!$B$7:$B$306,$D14,'模式能力要求輸入'!$E$7:$E$306,"主跟診",'模式能力要求輸入'!$F$7:$F$306,"必備",'模式能力要求輸入'!$R$7:$R$306,"可發布")=0,"缺少主跟診必備要求","可匯入模式清單"))))))</x:f>
      </x:c>
    </x:row>
    <x:row r="15">
      <x:c r="A15" s="170"/>
      <x:c r="B15" s="170"/>
      <x:c r="C15" s="170"/>
      <x:c r="D15" s="170"/>
      <x:c r="E15" s="170"/>
      <x:c r="F15" s="170"/>
      <x:c r="G15" s="170"/>
      <x:c r="H15" s="170"/>
      <x:c r="I15" s="170"/>
      <x:c r="J15" s="170"/>
      <x:c r="K15" s="170"/>
      <x:c r="L15" s="170"/>
      <x:c r="M15" s="171"/>
      <x:c r="N15" s="170"/>
      <x:c r="O15" s="170"/>
      <x:c r="P15" s="170"/>
      <x:c r="Q15" s="235" t="str">
        <x:f>IF(LEN($B15)=0,"",IF($N15="停用","停用",IF($N15="退回補件","退回補件",IF(COUNTIFS($A$7:$A$156,$A15)&gt;1,"規則編號重複",IF(OR(LEN($C15)=0,LEN($D15)=0,LEN($E15)=0,LEN($F15)=0,LEN($G15)=0,LEN($H15)=0,LEN($I15)=0,LEN($K15)=0,LEN($L15)=0,LEN($M15)=0,LEN($O15)=0),IF($N15="已核定","已核定但資料未完整","待補欄位或核定"),IF(OR(LEN($R15)=0,LEN($S15)=0),IF($N15="已核定","已核定但缺來源依據","待補來源依據"),IF($N15="已核定","可發布","待主管核定")))))))</x:f>
      </x:c>
      <x:c r="R15" s="421"/>
      <x:c r="S15" s="421"/>
      <x:c r="T15" s="575"/>
      <x:c r="U15" s="582" t="str">
        <x:f>IF($D15="","",IF($Q15&lt;&gt;"可發布","模式規則未發布",IF($T15&lt;&gt;"已完整","能力要求集未確認",IF(COUNTIFS('模式能力要求輸入'!$B$7:$B$306,$D15)=0,"尚無能力要求",IF(COUNTIFS('模式能力要求輸入'!$B$7:$B$306,$D15,'模式能力要求輸入'!$R$7:$R$306,"&lt;&gt;可發布")&gt;0,"能力要求未全數發布",IF(COUNTIFS('模式能力要求輸入'!$B$7:$B$306,$D15,'模式能力要求輸入'!$E$7:$E$306,"主跟診",'模式能力要求輸入'!$F$7:$F$306,"必備",'模式能力要求輸入'!$R$7:$R$306,"可發布")=0,"缺少主跟診必備要求","可匯入模式清單"))))))</x:f>
      </x:c>
    </x:row>
    <x:row r="16">
      <x:c r="A16" s="170"/>
      <x:c r="B16" s="170"/>
      <x:c r="C16" s="170"/>
      <x:c r="D16" s="170"/>
      <x:c r="E16" s="170"/>
      <x:c r="F16" s="170"/>
      <x:c r="G16" s="170"/>
      <x:c r="H16" s="170"/>
      <x:c r="I16" s="170"/>
      <x:c r="J16" s="170"/>
      <x:c r="K16" s="170"/>
      <x:c r="L16" s="170"/>
      <x:c r="M16" s="171"/>
      <x:c r="N16" s="170"/>
      <x:c r="O16" s="170"/>
      <x:c r="P16" s="170"/>
      <x:c r="Q16" s="235" t="str">
        <x:f>IF(LEN($B16)=0,"",IF($N16="停用","停用",IF($N16="退回補件","退回補件",IF(COUNTIFS($A$7:$A$156,$A16)&gt;1,"規則編號重複",IF(OR(LEN($C16)=0,LEN($D16)=0,LEN($E16)=0,LEN($F16)=0,LEN($G16)=0,LEN($H16)=0,LEN($I16)=0,LEN($K16)=0,LEN($L16)=0,LEN($M16)=0,LEN($O16)=0),IF($N16="已核定","已核定但資料未完整","待補欄位或核定"),IF(OR(LEN($R16)=0,LEN($S16)=0),IF($N16="已核定","已核定但缺來源依據","待補來源依據"),IF($N16="已核定","可發布","待主管核定")))))))</x:f>
      </x:c>
      <x:c r="R16" s="421"/>
      <x:c r="S16" s="421"/>
      <x:c r="T16" s="575"/>
      <x:c r="U16" s="582" t="str">
        <x:f>IF($D16="","",IF($Q16&lt;&gt;"可發布","模式規則未發布",IF($T16&lt;&gt;"已完整","能力要求集未確認",IF(COUNTIFS('模式能力要求輸入'!$B$7:$B$306,$D16)=0,"尚無能力要求",IF(COUNTIFS('模式能力要求輸入'!$B$7:$B$306,$D16,'模式能力要求輸入'!$R$7:$R$306,"&lt;&gt;可發布")&gt;0,"能力要求未全數發布",IF(COUNTIFS('模式能力要求輸入'!$B$7:$B$306,$D16,'模式能力要求輸入'!$E$7:$E$306,"主跟診",'模式能力要求輸入'!$F$7:$F$306,"必備",'模式能力要求輸入'!$R$7:$R$306,"可發布")=0,"缺少主跟診必備要求","可匯入模式清單"))))))</x:f>
      </x:c>
    </x:row>
    <x:row r="17">
      <x:c r="A17" s="170"/>
      <x:c r="B17" s="170"/>
      <x:c r="C17" s="170"/>
      <x:c r="D17" s="170"/>
      <x:c r="E17" s="170"/>
      <x:c r="F17" s="170"/>
      <x:c r="G17" s="170"/>
      <x:c r="H17" s="170"/>
      <x:c r="I17" s="170"/>
      <x:c r="J17" s="170"/>
      <x:c r="K17" s="170"/>
      <x:c r="L17" s="170"/>
      <x:c r="M17" s="171"/>
      <x:c r="N17" s="170"/>
      <x:c r="O17" s="170"/>
      <x:c r="P17" s="170"/>
      <x:c r="Q17" s="235" t="str">
        <x:f>IF(LEN($B17)=0,"",IF($N17="停用","停用",IF($N17="退回補件","退回補件",IF(COUNTIFS($A$7:$A$156,$A17)&gt;1,"規則編號重複",IF(OR(LEN($C17)=0,LEN($D17)=0,LEN($E17)=0,LEN($F17)=0,LEN($G17)=0,LEN($H17)=0,LEN($I17)=0,LEN($K17)=0,LEN($L17)=0,LEN($M17)=0,LEN($O17)=0),IF($N17="已核定","已核定但資料未完整","待補欄位或核定"),IF(OR(LEN($R17)=0,LEN($S17)=0),IF($N17="已核定","已核定但缺來源依據","待補來源依據"),IF($N17="已核定","可發布","待主管核定")))))))</x:f>
      </x:c>
      <x:c r="R17" s="421"/>
      <x:c r="S17" s="421"/>
      <x:c r="T17" s="575"/>
      <x:c r="U17" s="582" t="str">
        <x:f>IF($D17="","",IF($Q17&lt;&gt;"可發布","模式規則未發布",IF($T17&lt;&gt;"已完整","能力要求集未確認",IF(COUNTIFS('模式能力要求輸入'!$B$7:$B$306,$D17)=0,"尚無能力要求",IF(COUNTIFS('模式能力要求輸入'!$B$7:$B$306,$D17,'模式能力要求輸入'!$R$7:$R$306,"&lt;&gt;可發布")&gt;0,"能力要求未全數發布",IF(COUNTIFS('模式能力要求輸入'!$B$7:$B$306,$D17,'模式能力要求輸入'!$E$7:$E$306,"主跟診",'模式能力要求輸入'!$F$7:$F$306,"必備",'模式能力要求輸入'!$R$7:$R$306,"可發布")=0,"缺少主跟診必備要求","可匯入模式清單"))))))</x:f>
      </x:c>
    </x:row>
    <x:row r="18">
      <x:c r="A18" s="170"/>
      <x:c r="B18" s="170"/>
      <x:c r="C18" s="170"/>
      <x:c r="D18" s="170"/>
      <x:c r="E18" s="170"/>
      <x:c r="F18" s="170"/>
      <x:c r="G18" s="170"/>
      <x:c r="H18" s="170"/>
      <x:c r="I18" s="170"/>
      <x:c r="J18" s="170"/>
      <x:c r="K18" s="170"/>
      <x:c r="L18" s="170"/>
      <x:c r="M18" s="171"/>
      <x:c r="N18" s="170"/>
      <x:c r="O18" s="170"/>
      <x:c r="P18" s="170"/>
      <x:c r="Q18" s="235" t="str">
        <x:f>IF(LEN($B18)=0,"",IF($N18="停用","停用",IF($N18="退回補件","退回補件",IF(COUNTIFS($A$7:$A$156,$A18)&gt;1,"規則編號重複",IF(OR(LEN($C18)=0,LEN($D18)=0,LEN($E18)=0,LEN($F18)=0,LEN($G18)=0,LEN($H18)=0,LEN($I18)=0,LEN($K18)=0,LEN($L18)=0,LEN($M18)=0,LEN($O18)=0),IF($N18="已核定","已核定但資料未完整","待補欄位或核定"),IF(OR(LEN($R18)=0,LEN($S18)=0),IF($N18="已核定","已核定但缺來源依據","待補來源依據"),IF($N18="已核定","可發布","待主管核定")))))))</x:f>
      </x:c>
      <x:c r="R18" s="421"/>
      <x:c r="S18" s="421"/>
      <x:c r="T18" s="575"/>
      <x:c r="U18" s="582" t="str">
        <x:f>IF($D18="","",IF($Q18&lt;&gt;"可發布","模式規則未發布",IF($T18&lt;&gt;"已完整","能力要求集未確認",IF(COUNTIFS('模式能力要求輸入'!$B$7:$B$306,$D18)=0,"尚無能力要求",IF(COUNTIFS('模式能力要求輸入'!$B$7:$B$306,$D18,'模式能力要求輸入'!$R$7:$R$306,"&lt;&gt;可發布")&gt;0,"能力要求未全數發布",IF(COUNTIFS('模式能力要求輸入'!$B$7:$B$306,$D18,'模式能力要求輸入'!$E$7:$E$306,"主跟診",'模式能力要求輸入'!$F$7:$F$306,"必備",'模式能力要求輸入'!$R$7:$R$306,"可發布")=0,"缺少主跟診必備要求","可匯入模式清單"))))))</x:f>
      </x:c>
    </x:row>
    <x:row r="19">
      <x:c r="A19" s="170"/>
      <x:c r="B19" s="170"/>
      <x:c r="C19" s="170"/>
      <x:c r="D19" s="170"/>
      <x:c r="E19" s="170"/>
      <x:c r="F19" s="170"/>
      <x:c r="G19" s="170"/>
      <x:c r="H19" s="170"/>
      <x:c r="I19" s="170"/>
      <x:c r="J19" s="170"/>
      <x:c r="K19" s="170"/>
      <x:c r="L19" s="170"/>
      <x:c r="M19" s="171"/>
      <x:c r="N19" s="170"/>
      <x:c r="O19" s="170"/>
      <x:c r="P19" s="170"/>
      <x:c r="Q19" s="235" t="str">
        <x:f>IF(LEN($B19)=0,"",IF($N19="停用","停用",IF($N19="退回補件","退回補件",IF(COUNTIFS($A$7:$A$156,$A19)&gt;1,"規則編號重複",IF(OR(LEN($C19)=0,LEN($D19)=0,LEN($E19)=0,LEN($F19)=0,LEN($G19)=0,LEN($H19)=0,LEN($I19)=0,LEN($K19)=0,LEN($L19)=0,LEN($M19)=0,LEN($O19)=0),IF($N19="已核定","已核定但資料未完整","待補欄位或核定"),IF(OR(LEN($R19)=0,LEN($S19)=0),IF($N19="已核定","已核定但缺來源依據","待補來源依據"),IF($N19="已核定","可發布","待主管核定")))))))</x:f>
      </x:c>
      <x:c r="R19" s="421"/>
      <x:c r="S19" s="421"/>
      <x:c r="T19" s="575"/>
      <x:c r="U19" s="582" t="str">
        <x:f>IF($D19="","",IF($Q19&lt;&gt;"可發布","模式規則未發布",IF($T19&lt;&gt;"已完整","能力要求集未確認",IF(COUNTIFS('模式能力要求輸入'!$B$7:$B$306,$D19)=0,"尚無能力要求",IF(COUNTIFS('模式能力要求輸入'!$B$7:$B$306,$D19,'模式能力要求輸入'!$R$7:$R$306,"&lt;&gt;可發布")&gt;0,"能力要求未全數發布",IF(COUNTIFS('模式能力要求輸入'!$B$7:$B$306,$D19,'模式能力要求輸入'!$E$7:$E$306,"主跟診",'模式能力要求輸入'!$F$7:$F$306,"必備",'模式能力要求輸入'!$R$7:$R$306,"可發布")=0,"缺少主跟診必備要求","可匯入模式清單"))))))</x:f>
      </x:c>
    </x:row>
    <x:row r="20">
      <x:c r="A20" s="170"/>
      <x:c r="B20" s="170"/>
      <x:c r="C20" s="170"/>
      <x:c r="D20" s="170"/>
      <x:c r="E20" s="170"/>
      <x:c r="F20" s="170"/>
      <x:c r="G20" s="170"/>
      <x:c r="H20" s="170"/>
      <x:c r="I20" s="170"/>
      <x:c r="J20" s="170"/>
      <x:c r="K20" s="170"/>
      <x:c r="L20" s="170"/>
      <x:c r="M20" s="171"/>
      <x:c r="N20" s="170"/>
      <x:c r="O20" s="170"/>
      <x:c r="P20" s="170"/>
      <x:c r="Q20" s="235" t="str">
        <x:f>IF(LEN($B20)=0,"",IF($N20="停用","停用",IF($N20="退回補件","退回補件",IF(COUNTIFS($A$7:$A$156,$A20)&gt;1,"規則編號重複",IF(OR(LEN($C20)=0,LEN($D20)=0,LEN($E20)=0,LEN($F20)=0,LEN($G20)=0,LEN($H20)=0,LEN($I20)=0,LEN($K20)=0,LEN($L20)=0,LEN($M20)=0,LEN($O20)=0),IF($N20="已核定","已核定但資料未完整","待補欄位或核定"),IF(OR(LEN($R20)=0,LEN($S20)=0),IF($N20="已核定","已核定但缺來源依據","待補來源依據"),IF($N20="已核定","可發布","待主管核定")))))))</x:f>
      </x:c>
      <x:c r="R20" s="421"/>
      <x:c r="S20" s="421"/>
      <x:c r="T20" s="575"/>
      <x:c r="U20" s="582" t="str">
        <x:f>IF($D20="","",IF($Q20&lt;&gt;"可發布","模式規則未發布",IF($T20&lt;&gt;"已完整","能力要求集未確認",IF(COUNTIFS('模式能力要求輸入'!$B$7:$B$306,$D20)=0,"尚無能力要求",IF(COUNTIFS('模式能力要求輸入'!$B$7:$B$306,$D20,'模式能力要求輸入'!$R$7:$R$306,"&lt;&gt;可發布")&gt;0,"能力要求未全數發布",IF(COUNTIFS('模式能力要求輸入'!$B$7:$B$306,$D20,'模式能力要求輸入'!$E$7:$E$306,"主跟診",'模式能力要求輸入'!$F$7:$F$306,"必備",'模式能力要求輸入'!$R$7:$R$306,"可發布")=0,"缺少主跟診必備要求","可匯入模式清單"))))))</x:f>
      </x:c>
    </x:row>
    <x:row r="21">
      <x:c r="A21" s="170"/>
      <x:c r="B21" s="170"/>
      <x:c r="C21" s="170"/>
      <x:c r="D21" s="170"/>
      <x:c r="E21" s="170"/>
      <x:c r="F21" s="170"/>
      <x:c r="G21" s="170"/>
      <x:c r="H21" s="170"/>
      <x:c r="I21" s="170"/>
      <x:c r="J21" s="170"/>
      <x:c r="K21" s="170"/>
      <x:c r="L21" s="170"/>
      <x:c r="M21" s="171"/>
      <x:c r="N21" s="170"/>
      <x:c r="O21" s="170"/>
      <x:c r="P21" s="170"/>
      <x:c r="Q21" s="235" t="str">
        <x:f>IF(LEN($B21)=0,"",IF($N21="停用","停用",IF($N21="退回補件","退回補件",IF(COUNTIFS($A$7:$A$156,$A21)&gt;1,"規則編號重複",IF(OR(LEN($C21)=0,LEN($D21)=0,LEN($E21)=0,LEN($F21)=0,LEN($G21)=0,LEN($H21)=0,LEN($I21)=0,LEN($K21)=0,LEN($L21)=0,LEN($M21)=0,LEN($O21)=0),IF($N21="已核定","已核定但資料未完整","待補欄位或核定"),IF(OR(LEN($R21)=0,LEN($S21)=0),IF($N21="已核定","已核定但缺來源依據","待補來源依據"),IF($N21="已核定","可發布","待主管核定")))))))</x:f>
      </x:c>
      <x:c r="R21" s="421"/>
      <x:c r="S21" s="421"/>
      <x:c r="T21" s="575"/>
      <x:c r="U21" s="582" t="str">
        <x:f>IF($D21="","",IF($Q21&lt;&gt;"可發布","模式規則未發布",IF($T21&lt;&gt;"已完整","能力要求集未確認",IF(COUNTIFS('模式能力要求輸入'!$B$7:$B$306,$D21)=0,"尚無能力要求",IF(COUNTIFS('模式能力要求輸入'!$B$7:$B$306,$D21,'模式能力要求輸入'!$R$7:$R$306,"&lt;&gt;可發布")&gt;0,"能力要求未全數發布",IF(COUNTIFS('模式能力要求輸入'!$B$7:$B$306,$D21,'模式能力要求輸入'!$E$7:$E$306,"主跟診",'模式能力要求輸入'!$F$7:$F$306,"必備",'模式能力要求輸入'!$R$7:$R$306,"可發布")=0,"缺少主跟診必備要求","可匯入模式清單"))))))</x:f>
      </x:c>
    </x:row>
    <x:row r="22">
      <x:c r="A22" s="170"/>
      <x:c r="B22" s="170"/>
      <x:c r="C22" s="170"/>
      <x:c r="D22" s="170"/>
      <x:c r="E22" s="170"/>
      <x:c r="F22" s="170"/>
      <x:c r="G22" s="170"/>
      <x:c r="H22" s="170"/>
      <x:c r="I22" s="170"/>
      <x:c r="J22" s="170"/>
      <x:c r="K22" s="170"/>
      <x:c r="L22" s="170"/>
      <x:c r="M22" s="171"/>
      <x:c r="N22" s="170"/>
      <x:c r="O22" s="170"/>
      <x:c r="P22" s="170"/>
      <x:c r="Q22" s="235" t="str">
        <x:f>IF(LEN($B22)=0,"",IF($N22="停用","停用",IF($N22="退回補件","退回補件",IF(COUNTIFS($A$7:$A$156,$A22)&gt;1,"規則編號重複",IF(OR(LEN($C22)=0,LEN($D22)=0,LEN($E22)=0,LEN($F22)=0,LEN($G22)=0,LEN($H22)=0,LEN($I22)=0,LEN($K22)=0,LEN($L22)=0,LEN($M22)=0,LEN($O22)=0),IF($N22="已核定","已核定但資料未完整","待補欄位或核定"),IF(OR(LEN($R22)=0,LEN($S22)=0),IF($N22="已核定","已核定但缺來源依據","待補來源依據"),IF($N22="已核定","可發布","待主管核定")))))))</x:f>
      </x:c>
      <x:c r="R22" s="421"/>
      <x:c r="S22" s="421"/>
      <x:c r="T22" s="575"/>
      <x:c r="U22" s="582" t="str">
        <x:f>IF($D22="","",IF($Q22&lt;&gt;"可發布","模式規則未發布",IF($T22&lt;&gt;"已完整","能力要求集未確認",IF(COUNTIFS('模式能力要求輸入'!$B$7:$B$306,$D22)=0,"尚無能力要求",IF(COUNTIFS('模式能力要求輸入'!$B$7:$B$306,$D22,'模式能力要求輸入'!$R$7:$R$306,"&lt;&gt;可發布")&gt;0,"能力要求未全數發布",IF(COUNTIFS('模式能力要求輸入'!$B$7:$B$306,$D22,'模式能力要求輸入'!$E$7:$E$306,"主跟診",'模式能力要求輸入'!$F$7:$F$306,"必備",'模式能力要求輸入'!$R$7:$R$306,"可發布")=0,"缺少主跟診必備要求","可匯入模式清單"))))))</x:f>
      </x:c>
    </x:row>
    <x:row r="23">
      <x:c r="A23" s="170"/>
      <x:c r="B23" s="170"/>
      <x:c r="C23" s="170"/>
      <x:c r="D23" s="170"/>
      <x:c r="E23" s="170"/>
      <x:c r="F23" s="170"/>
      <x:c r="G23" s="170"/>
      <x:c r="H23" s="170"/>
      <x:c r="I23" s="170"/>
      <x:c r="J23" s="170"/>
      <x:c r="K23" s="170"/>
      <x:c r="L23" s="170"/>
      <x:c r="M23" s="171"/>
      <x:c r="N23" s="170"/>
      <x:c r="O23" s="170"/>
      <x:c r="P23" s="170"/>
      <x:c r="Q23" s="235" t="str">
        <x:f>IF(LEN($B23)=0,"",IF($N23="停用","停用",IF($N23="退回補件","退回補件",IF(COUNTIFS($A$7:$A$156,$A23)&gt;1,"規則編號重複",IF(OR(LEN($C23)=0,LEN($D23)=0,LEN($E23)=0,LEN($F23)=0,LEN($G23)=0,LEN($H23)=0,LEN($I23)=0,LEN($K23)=0,LEN($L23)=0,LEN($M23)=0,LEN($O23)=0),IF($N23="已核定","已核定但資料未完整","待補欄位或核定"),IF(OR(LEN($R23)=0,LEN($S23)=0),IF($N23="已核定","已核定但缺來源依據","待補來源依據"),IF($N23="已核定","可發布","待主管核定")))))))</x:f>
      </x:c>
      <x:c r="R23" s="421"/>
      <x:c r="S23" s="421"/>
      <x:c r="T23" s="575"/>
      <x:c r="U23" s="582" t="str">
        <x:f>IF($D23="","",IF($Q23&lt;&gt;"可發布","模式規則未發布",IF($T23&lt;&gt;"已完整","能力要求集未確認",IF(COUNTIFS('模式能力要求輸入'!$B$7:$B$306,$D23)=0,"尚無能力要求",IF(COUNTIFS('模式能力要求輸入'!$B$7:$B$306,$D23,'模式能力要求輸入'!$R$7:$R$306,"&lt;&gt;可發布")&gt;0,"能力要求未全數發布",IF(COUNTIFS('模式能力要求輸入'!$B$7:$B$306,$D23,'模式能力要求輸入'!$E$7:$E$306,"主跟診",'模式能力要求輸入'!$F$7:$F$306,"必備",'模式能力要求輸入'!$R$7:$R$306,"可發布")=0,"缺少主跟診必備要求","可匯入模式清單"))))))</x:f>
      </x:c>
    </x:row>
    <x:row r="24">
      <x:c r="A24" s="170"/>
      <x:c r="B24" s="170"/>
      <x:c r="C24" s="170"/>
      <x:c r="D24" s="170"/>
      <x:c r="E24" s="170"/>
      <x:c r="F24" s="170"/>
      <x:c r="G24" s="170"/>
      <x:c r="H24" s="170"/>
      <x:c r="I24" s="170"/>
      <x:c r="J24" s="170"/>
      <x:c r="K24" s="170"/>
      <x:c r="L24" s="170"/>
      <x:c r="M24" s="171"/>
      <x:c r="N24" s="170"/>
      <x:c r="O24" s="170"/>
      <x:c r="P24" s="170"/>
      <x:c r="Q24" s="235" t="str">
        <x:f>IF(LEN($B24)=0,"",IF($N24="停用","停用",IF($N24="退回補件","退回補件",IF(COUNTIFS($A$7:$A$156,$A24)&gt;1,"規則編號重複",IF(OR(LEN($C24)=0,LEN($D24)=0,LEN($E24)=0,LEN($F24)=0,LEN($G24)=0,LEN($H24)=0,LEN($I24)=0,LEN($K24)=0,LEN($L24)=0,LEN($M24)=0,LEN($O24)=0),IF($N24="已核定","已核定但資料未完整","待補欄位或核定"),IF(OR(LEN($R24)=0,LEN($S24)=0),IF($N24="已核定","已核定但缺來源依據","待補來源依據"),IF($N24="已核定","可發布","待主管核定")))))))</x:f>
      </x:c>
      <x:c r="R24" s="421"/>
      <x:c r="S24" s="421"/>
      <x:c r="T24" s="575"/>
      <x:c r="U24" s="582" t="str">
        <x:f>IF($D24="","",IF($Q24&lt;&gt;"可發布","模式規則未發布",IF($T24&lt;&gt;"已完整","能力要求集未確認",IF(COUNTIFS('模式能力要求輸入'!$B$7:$B$306,$D24)=0,"尚無能力要求",IF(COUNTIFS('模式能力要求輸入'!$B$7:$B$306,$D24,'模式能力要求輸入'!$R$7:$R$306,"&lt;&gt;可發布")&gt;0,"能力要求未全數發布",IF(COUNTIFS('模式能力要求輸入'!$B$7:$B$306,$D24,'模式能力要求輸入'!$E$7:$E$306,"主跟診",'模式能力要求輸入'!$F$7:$F$306,"必備",'模式能力要求輸入'!$R$7:$R$306,"可發布")=0,"缺少主跟診必備要求","可匯入模式清單"))))))</x:f>
      </x:c>
    </x:row>
    <x:row r="25">
      <x:c r="A25" s="170"/>
      <x:c r="B25" s="170"/>
      <x:c r="C25" s="170"/>
      <x:c r="D25" s="170"/>
      <x:c r="E25" s="170"/>
      <x:c r="F25" s="170"/>
      <x:c r="G25" s="170"/>
      <x:c r="H25" s="170"/>
      <x:c r="I25" s="170"/>
      <x:c r="J25" s="170"/>
      <x:c r="K25" s="170"/>
      <x:c r="L25" s="170"/>
      <x:c r="M25" s="171"/>
      <x:c r="N25" s="170"/>
      <x:c r="O25" s="170"/>
      <x:c r="P25" s="170"/>
      <x:c r="Q25" s="235" t="str">
        <x:f>IF(LEN($B25)=0,"",IF($N25="停用","停用",IF($N25="退回補件","退回補件",IF(COUNTIFS($A$7:$A$156,$A25)&gt;1,"規則編號重複",IF(OR(LEN($C25)=0,LEN($D25)=0,LEN($E25)=0,LEN($F25)=0,LEN($G25)=0,LEN($H25)=0,LEN($I25)=0,LEN($K25)=0,LEN($L25)=0,LEN($M25)=0,LEN($O25)=0),IF($N25="已核定","已核定但資料未完整","待補欄位或核定"),IF(OR(LEN($R25)=0,LEN($S25)=0),IF($N25="已核定","已核定但缺來源依據","待補來源依據"),IF($N25="已核定","可發布","待主管核定")))))))</x:f>
      </x:c>
      <x:c r="R25" s="421"/>
      <x:c r="S25" s="421"/>
      <x:c r="T25" s="575"/>
      <x:c r="U25" s="582" t="str">
        <x:f>IF($D25="","",IF($Q25&lt;&gt;"可發布","模式規則未發布",IF($T25&lt;&gt;"已完整","能力要求集未確認",IF(COUNTIFS('模式能力要求輸入'!$B$7:$B$306,$D25)=0,"尚無能力要求",IF(COUNTIFS('模式能力要求輸入'!$B$7:$B$306,$D25,'模式能力要求輸入'!$R$7:$R$306,"&lt;&gt;可發布")&gt;0,"能力要求未全數發布",IF(COUNTIFS('模式能力要求輸入'!$B$7:$B$306,$D25,'模式能力要求輸入'!$E$7:$E$306,"主跟診",'模式能力要求輸入'!$F$7:$F$306,"必備",'模式能力要求輸入'!$R$7:$R$306,"可發布")=0,"缺少主跟診必備要求","可匯入模式清單"))))))</x:f>
      </x:c>
    </x:row>
    <x:row r="26">
      <x:c r="A26" s="170"/>
      <x:c r="B26" s="170"/>
      <x:c r="C26" s="170"/>
      <x:c r="D26" s="170"/>
      <x:c r="E26" s="170"/>
      <x:c r="F26" s="170"/>
      <x:c r="G26" s="170"/>
      <x:c r="H26" s="170"/>
      <x:c r="I26" s="170"/>
      <x:c r="J26" s="170"/>
      <x:c r="K26" s="170"/>
      <x:c r="L26" s="170"/>
      <x:c r="M26" s="171"/>
      <x:c r="N26" s="170"/>
      <x:c r="O26" s="170"/>
      <x:c r="P26" s="170"/>
      <x:c r="Q26" s="235" t="str">
        <x:f>IF(LEN($B26)=0,"",IF($N26="停用","停用",IF($N26="退回補件","退回補件",IF(COUNTIFS($A$7:$A$156,$A26)&gt;1,"規則編號重複",IF(OR(LEN($C26)=0,LEN($D26)=0,LEN($E26)=0,LEN($F26)=0,LEN($G26)=0,LEN($H26)=0,LEN($I26)=0,LEN($K26)=0,LEN($L26)=0,LEN($M26)=0,LEN($O26)=0),IF($N26="已核定","已核定但資料未完整","待補欄位或核定"),IF(OR(LEN($R26)=0,LEN($S26)=0),IF($N26="已核定","已核定但缺來源依據","待補來源依據"),IF($N26="已核定","可發布","待主管核定")))))))</x:f>
      </x:c>
      <x:c r="R26" s="421"/>
      <x:c r="S26" s="421"/>
      <x:c r="T26" s="575"/>
      <x:c r="U26" s="582" t="str">
        <x:f>IF($D26="","",IF($Q26&lt;&gt;"可發布","模式規則未發布",IF($T26&lt;&gt;"已完整","能力要求集未確認",IF(COUNTIFS('模式能力要求輸入'!$B$7:$B$306,$D26)=0,"尚無能力要求",IF(COUNTIFS('模式能力要求輸入'!$B$7:$B$306,$D26,'模式能力要求輸入'!$R$7:$R$306,"&lt;&gt;可發布")&gt;0,"能力要求未全數發布",IF(COUNTIFS('模式能力要求輸入'!$B$7:$B$306,$D26,'模式能力要求輸入'!$E$7:$E$306,"主跟診",'模式能力要求輸入'!$F$7:$F$306,"必備",'模式能力要求輸入'!$R$7:$R$306,"可發布")=0,"缺少主跟診必備要求","可匯入模式清單"))))))</x:f>
      </x:c>
    </x:row>
    <x:row r="27">
      <x:c r="A27" s="170"/>
      <x:c r="B27" s="170"/>
      <x:c r="C27" s="170"/>
      <x:c r="D27" s="170"/>
      <x:c r="E27" s="170"/>
      <x:c r="F27" s="170"/>
      <x:c r="G27" s="170"/>
      <x:c r="H27" s="170"/>
      <x:c r="I27" s="170"/>
      <x:c r="J27" s="170"/>
      <x:c r="K27" s="170"/>
      <x:c r="L27" s="170"/>
      <x:c r="M27" s="171"/>
      <x:c r="N27" s="170"/>
      <x:c r="O27" s="170"/>
      <x:c r="P27" s="170"/>
      <x:c r="Q27" s="235" t="str">
        <x:f>IF(LEN($B27)=0,"",IF($N27="停用","停用",IF($N27="退回補件","退回補件",IF(COUNTIFS($A$7:$A$156,$A27)&gt;1,"規則編號重複",IF(OR(LEN($C27)=0,LEN($D27)=0,LEN($E27)=0,LEN($F27)=0,LEN($G27)=0,LEN($H27)=0,LEN($I27)=0,LEN($K27)=0,LEN($L27)=0,LEN($M27)=0,LEN($O27)=0),IF($N27="已核定","已核定但資料未完整","待補欄位或核定"),IF(OR(LEN($R27)=0,LEN($S27)=0),IF($N27="已核定","已核定但缺來源依據","待補來源依據"),IF($N27="已核定","可發布","待主管核定")))))))</x:f>
      </x:c>
      <x:c r="R27" s="421"/>
      <x:c r="S27" s="421"/>
      <x:c r="T27" s="575"/>
      <x:c r="U27" s="582" t="str">
        <x:f>IF($D27="","",IF($Q27&lt;&gt;"可發布","模式規則未發布",IF($T27&lt;&gt;"已完整","能力要求集未確認",IF(COUNTIFS('模式能力要求輸入'!$B$7:$B$306,$D27)=0,"尚無能力要求",IF(COUNTIFS('模式能力要求輸入'!$B$7:$B$306,$D27,'模式能力要求輸入'!$R$7:$R$306,"&lt;&gt;可發布")&gt;0,"能力要求未全數發布",IF(COUNTIFS('模式能力要求輸入'!$B$7:$B$306,$D27,'模式能力要求輸入'!$E$7:$E$306,"主跟診",'模式能力要求輸入'!$F$7:$F$306,"必備",'模式能力要求輸入'!$R$7:$R$306,"可發布")=0,"缺少主跟診必備要求","可匯入模式清單"))))))</x:f>
      </x:c>
    </x:row>
    <x:row r="28">
      <x:c r="A28" s="170"/>
      <x:c r="B28" s="170"/>
      <x:c r="C28" s="170"/>
      <x:c r="D28" s="170"/>
      <x:c r="E28" s="170"/>
      <x:c r="F28" s="170"/>
      <x:c r="G28" s="170"/>
      <x:c r="H28" s="170"/>
      <x:c r="I28" s="170"/>
      <x:c r="J28" s="170"/>
      <x:c r="K28" s="170"/>
      <x:c r="L28" s="170"/>
      <x:c r="M28" s="171"/>
      <x:c r="N28" s="170"/>
      <x:c r="O28" s="170"/>
      <x:c r="P28" s="170"/>
      <x:c r="Q28" s="235" t="str">
        <x:f>IF(LEN($B28)=0,"",IF($N28="停用","停用",IF($N28="退回補件","退回補件",IF(COUNTIFS($A$7:$A$156,$A28)&gt;1,"規則編號重複",IF(OR(LEN($C28)=0,LEN($D28)=0,LEN($E28)=0,LEN($F28)=0,LEN($G28)=0,LEN($H28)=0,LEN($I28)=0,LEN($K28)=0,LEN($L28)=0,LEN($M28)=0,LEN($O28)=0),IF($N28="已核定","已核定但資料未完整","待補欄位或核定"),IF(OR(LEN($R28)=0,LEN($S28)=0),IF($N28="已核定","已核定但缺來源依據","待補來源依據"),IF($N28="已核定","可發布","待主管核定")))))))</x:f>
      </x:c>
      <x:c r="R28" s="421"/>
      <x:c r="S28" s="421"/>
      <x:c r="T28" s="575"/>
      <x:c r="U28" s="582" t="str">
        <x:f>IF($D28="","",IF($Q28&lt;&gt;"可發布","模式規則未發布",IF($T28&lt;&gt;"已完整","能力要求集未確認",IF(COUNTIFS('模式能力要求輸入'!$B$7:$B$306,$D28)=0,"尚無能力要求",IF(COUNTIFS('模式能力要求輸入'!$B$7:$B$306,$D28,'模式能力要求輸入'!$R$7:$R$306,"&lt;&gt;可發布")&gt;0,"能力要求未全數發布",IF(COUNTIFS('模式能力要求輸入'!$B$7:$B$306,$D28,'模式能力要求輸入'!$E$7:$E$306,"主跟診",'模式能力要求輸入'!$F$7:$F$306,"必備",'模式能力要求輸入'!$R$7:$R$306,"可發布")=0,"缺少主跟診必備要求","可匯入模式清單"))))))</x:f>
      </x:c>
    </x:row>
    <x:row r="29">
      <x:c r="A29" s="170"/>
      <x:c r="B29" s="170"/>
      <x:c r="C29" s="170"/>
      <x:c r="D29" s="170"/>
      <x:c r="E29" s="170"/>
      <x:c r="F29" s="170"/>
      <x:c r="G29" s="170"/>
      <x:c r="H29" s="170"/>
      <x:c r="I29" s="170"/>
      <x:c r="J29" s="170"/>
      <x:c r="K29" s="170"/>
      <x:c r="L29" s="170"/>
      <x:c r="M29" s="171"/>
      <x:c r="N29" s="170"/>
      <x:c r="O29" s="170"/>
      <x:c r="P29" s="170"/>
      <x:c r="Q29" s="235" t="str">
        <x:f>IF(LEN($B29)=0,"",IF($N29="停用","停用",IF($N29="退回補件","退回補件",IF(COUNTIFS($A$7:$A$156,$A29)&gt;1,"規則編號重複",IF(OR(LEN($C29)=0,LEN($D29)=0,LEN($E29)=0,LEN($F29)=0,LEN($G29)=0,LEN($H29)=0,LEN($I29)=0,LEN($K29)=0,LEN($L29)=0,LEN($M29)=0,LEN($O29)=0),IF($N29="已核定","已核定但資料未完整","待補欄位或核定"),IF(OR(LEN($R29)=0,LEN($S29)=0),IF($N29="已核定","已核定但缺來源依據","待補來源依據"),IF($N29="已核定","可發布","待主管核定")))))))</x:f>
      </x:c>
      <x:c r="R29" s="421"/>
      <x:c r="S29" s="421"/>
      <x:c r="T29" s="575"/>
      <x:c r="U29" s="582" t="str">
        <x:f>IF($D29="","",IF($Q29&lt;&gt;"可發布","模式規則未發布",IF($T29&lt;&gt;"已完整","能力要求集未確認",IF(COUNTIFS('模式能力要求輸入'!$B$7:$B$306,$D29)=0,"尚無能力要求",IF(COUNTIFS('模式能力要求輸入'!$B$7:$B$306,$D29,'模式能力要求輸入'!$R$7:$R$306,"&lt;&gt;可發布")&gt;0,"能力要求未全數發布",IF(COUNTIFS('模式能力要求輸入'!$B$7:$B$306,$D29,'模式能力要求輸入'!$E$7:$E$306,"主跟診",'模式能力要求輸入'!$F$7:$F$306,"必備",'模式能力要求輸入'!$R$7:$R$306,"可發布")=0,"缺少主跟診必備要求","可匯入模式清單"))))))</x:f>
      </x:c>
    </x:row>
    <x:row r="30">
      <x:c r="A30" s="170"/>
      <x:c r="B30" s="170"/>
      <x:c r="C30" s="170"/>
      <x:c r="D30" s="170"/>
      <x:c r="E30" s="170"/>
      <x:c r="F30" s="170"/>
      <x:c r="G30" s="170"/>
      <x:c r="H30" s="170"/>
      <x:c r="I30" s="170"/>
      <x:c r="J30" s="170"/>
      <x:c r="K30" s="170"/>
      <x:c r="L30" s="170"/>
      <x:c r="M30" s="171"/>
      <x:c r="N30" s="170"/>
      <x:c r="O30" s="170"/>
      <x:c r="P30" s="170"/>
      <x:c r="Q30" s="235" t="str">
        <x:f>IF(LEN($B30)=0,"",IF($N30="停用","停用",IF($N30="退回補件","退回補件",IF(COUNTIFS($A$7:$A$156,$A30)&gt;1,"規則編號重複",IF(OR(LEN($C30)=0,LEN($D30)=0,LEN($E30)=0,LEN($F30)=0,LEN($G30)=0,LEN($H30)=0,LEN($I30)=0,LEN($K30)=0,LEN($L30)=0,LEN($M30)=0,LEN($O30)=0),IF($N30="已核定","已核定但資料未完整","待補欄位或核定"),IF(OR(LEN($R30)=0,LEN($S30)=0),IF($N30="已核定","已核定但缺來源依據","待補來源依據"),IF($N30="已核定","可發布","待主管核定")))))))</x:f>
      </x:c>
      <x:c r="R30" s="421"/>
      <x:c r="S30" s="421"/>
      <x:c r="T30" s="575"/>
      <x:c r="U30" s="582" t="str">
        <x:f>IF($D30="","",IF($Q30&lt;&gt;"可發布","模式規則未發布",IF($T30&lt;&gt;"已完整","能力要求集未確認",IF(COUNTIFS('模式能力要求輸入'!$B$7:$B$306,$D30)=0,"尚無能力要求",IF(COUNTIFS('模式能力要求輸入'!$B$7:$B$306,$D30,'模式能力要求輸入'!$R$7:$R$306,"&lt;&gt;可發布")&gt;0,"能力要求未全數發布",IF(COUNTIFS('模式能力要求輸入'!$B$7:$B$306,$D30,'模式能力要求輸入'!$E$7:$E$306,"主跟診",'模式能力要求輸入'!$F$7:$F$306,"必備",'模式能力要求輸入'!$R$7:$R$306,"可發布")=0,"缺少主跟診必備要求","可匯入模式清單"))))))</x:f>
      </x:c>
    </x:row>
    <x:row r="31">
      <x:c r="A31" s="170"/>
      <x:c r="B31" s="170"/>
      <x:c r="C31" s="170"/>
      <x:c r="D31" s="170"/>
      <x:c r="E31" s="170"/>
      <x:c r="F31" s="170"/>
      <x:c r="G31" s="170"/>
      <x:c r="H31" s="170"/>
      <x:c r="I31" s="170"/>
      <x:c r="J31" s="170"/>
      <x:c r="K31" s="170"/>
      <x:c r="L31" s="170"/>
      <x:c r="M31" s="171"/>
      <x:c r="N31" s="170"/>
      <x:c r="O31" s="170"/>
      <x:c r="P31" s="170"/>
      <x:c r="Q31" s="235" t="str">
        <x:f>IF(LEN($B31)=0,"",IF($N31="停用","停用",IF($N31="退回補件","退回補件",IF(COUNTIFS($A$7:$A$156,$A31)&gt;1,"規則編號重複",IF(OR(LEN($C31)=0,LEN($D31)=0,LEN($E31)=0,LEN($F31)=0,LEN($G31)=0,LEN($H31)=0,LEN($I31)=0,LEN($K31)=0,LEN($L31)=0,LEN($M31)=0,LEN($O31)=0),IF($N31="已核定","已核定但資料未完整","待補欄位或核定"),IF(OR(LEN($R31)=0,LEN($S31)=0),IF($N31="已核定","已核定但缺來源依據","待補來源依據"),IF($N31="已核定","可發布","待主管核定")))))))</x:f>
      </x:c>
      <x:c r="R31" s="421"/>
      <x:c r="S31" s="421"/>
      <x:c r="T31" s="575"/>
      <x:c r="U31" s="582" t="str">
        <x:f>IF($D31="","",IF($Q31&lt;&gt;"可發布","模式規則未發布",IF($T31&lt;&gt;"已完整","能力要求集未確認",IF(COUNTIFS('模式能力要求輸入'!$B$7:$B$306,$D31)=0,"尚無能力要求",IF(COUNTIFS('模式能力要求輸入'!$B$7:$B$306,$D31,'模式能力要求輸入'!$R$7:$R$306,"&lt;&gt;可發布")&gt;0,"能力要求未全數發布",IF(COUNTIFS('模式能力要求輸入'!$B$7:$B$306,$D31,'模式能力要求輸入'!$E$7:$E$306,"主跟診",'模式能力要求輸入'!$F$7:$F$306,"必備",'模式能力要求輸入'!$R$7:$R$306,"可發布")=0,"缺少主跟診必備要求","可匯入模式清單"))))))</x:f>
      </x:c>
    </x:row>
    <x:row r="32">
      <x:c r="A32" s="170"/>
      <x:c r="B32" s="170"/>
      <x:c r="C32" s="170"/>
      <x:c r="D32" s="170"/>
      <x:c r="E32" s="170"/>
      <x:c r="F32" s="170"/>
      <x:c r="G32" s="170"/>
      <x:c r="H32" s="170"/>
      <x:c r="I32" s="170"/>
      <x:c r="J32" s="170"/>
      <x:c r="K32" s="170"/>
      <x:c r="L32" s="170"/>
      <x:c r="M32" s="171"/>
      <x:c r="N32" s="170"/>
      <x:c r="O32" s="170"/>
      <x:c r="P32" s="170"/>
      <x:c r="Q32" s="235" t="str">
        <x:f>IF(LEN($B32)=0,"",IF($N32="停用","停用",IF($N32="退回補件","退回補件",IF(COUNTIFS($A$7:$A$156,$A32)&gt;1,"規則編號重複",IF(OR(LEN($C32)=0,LEN($D32)=0,LEN($E32)=0,LEN($F32)=0,LEN($G32)=0,LEN($H32)=0,LEN($I32)=0,LEN($K32)=0,LEN($L32)=0,LEN($M32)=0,LEN($O32)=0),IF($N32="已核定","已核定但資料未完整","待補欄位或核定"),IF(OR(LEN($R32)=0,LEN($S32)=0),IF($N32="已核定","已核定但缺來源依據","待補來源依據"),IF($N32="已核定","可發布","待主管核定")))))))</x:f>
      </x:c>
      <x:c r="R32" s="421"/>
      <x:c r="S32" s="421"/>
      <x:c r="T32" s="575"/>
      <x:c r="U32" s="582" t="str">
        <x:f>IF($D32="","",IF($Q32&lt;&gt;"可發布","模式規則未發布",IF($T32&lt;&gt;"已完整","能力要求集未確認",IF(COUNTIFS('模式能力要求輸入'!$B$7:$B$306,$D32)=0,"尚無能力要求",IF(COUNTIFS('模式能力要求輸入'!$B$7:$B$306,$D32,'模式能力要求輸入'!$R$7:$R$306,"&lt;&gt;可發布")&gt;0,"能力要求未全數發布",IF(COUNTIFS('模式能力要求輸入'!$B$7:$B$306,$D32,'模式能力要求輸入'!$E$7:$E$306,"主跟診",'模式能力要求輸入'!$F$7:$F$306,"必備",'模式能力要求輸入'!$R$7:$R$306,"可發布")=0,"缺少主跟診必備要求","可匯入模式清單"))))))</x:f>
      </x:c>
    </x:row>
    <x:row r="33">
      <x:c r="A33" s="170"/>
      <x:c r="B33" s="170"/>
      <x:c r="C33" s="170"/>
      <x:c r="D33" s="170"/>
      <x:c r="E33" s="170"/>
      <x:c r="F33" s="170"/>
      <x:c r="G33" s="170"/>
      <x:c r="H33" s="170"/>
      <x:c r="I33" s="170"/>
      <x:c r="J33" s="170"/>
      <x:c r="K33" s="170"/>
      <x:c r="L33" s="170"/>
      <x:c r="M33" s="171"/>
      <x:c r="N33" s="170"/>
      <x:c r="O33" s="170"/>
      <x:c r="P33" s="170"/>
      <x:c r="Q33" s="235" t="str">
        <x:f>IF(LEN($B33)=0,"",IF($N33="停用","停用",IF($N33="退回補件","退回補件",IF(COUNTIFS($A$7:$A$156,$A33)&gt;1,"規則編號重複",IF(OR(LEN($C33)=0,LEN($D33)=0,LEN($E33)=0,LEN($F33)=0,LEN($G33)=0,LEN($H33)=0,LEN($I33)=0,LEN($K33)=0,LEN($L33)=0,LEN($M33)=0,LEN($O33)=0),IF($N33="已核定","已核定但資料未完整","待補欄位或核定"),IF(OR(LEN($R33)=0,LEN($S33)=0),IF($N33="已核定","已核定但缺來源依據","待補來源依據"),IF($N33="已核定","可發布","待主管核定")))))))</x:f>
      </x:c>
      <x:c r="R33" s="421"/>
      <x:c r="S33" s="421"/>
      <x:c r="T33" s="575"/>
      <x:c r="U33" s="582" t="str">
        <x:f>IF($D33="","",IF($Q33&lt;&gt;"可發布","模式規則未發布",IF($T33&lt;&gt;"已完整","能力要求集未確認",IF(COUNTIFS('模式能力要求輸入'!$B$7:$B$306,$D33)=0,"尚無能力要求",IF(COUNTIFS('模式能力要求輸入'!$B$7:$B$306,$D33,'模式能力要求輸入'!$R$7:$R$306,"&lt;&gt;可發布")&gt;0,"能力要求未全數發布",IF(COUNTIFS('模式能力要求輸入'!$B$7:$B$306,$D33,'模式能力要求輸入'!$E$7:$E$306,"主跟診",'模式能力要求輸入'!$F$7:$F$306,"必備",'模式能力要求輸入'!$R$7:$R$306,"可發布")=0,"缺少主跟診必備要求","可匯入模式清單"))))))</x:f>
      </x:c>
    </x:row>
    <x:row r="34">
      <x:c r="A34" s="170"/>
      <x:c r="B34" s="170"/>
      <x:c r="C34" s="170"/>
      <x:c r="D34" s="170"/>
      <x:c r="E34" s="170"/>
      <x:c r="F34" s="170"/>
      <x:c r="G34" s="170"/>
      <x:c r="H34" s="170"/>
      <x:c r="I34" s="170"/>
      <x:c r="J34" s="170"/>
      <x:c r="K34" s="170"/>
      <x:c r="L34" s="170"/>
      <x:c r="M34" s="171"/>
      <x:c r="N34" s="170"/>
      <x:c r="O34" s="170"/>
      <x:c r="P34" s="170"/>
      <x:c r="Q34" s="235" t="str">
        <x:f>IF(LEN($B34)=0,"",IF($N34="停用","停用",IF($N34="退回補件","退回補件",IF(COUNTIFS($A$7:$A$156,$A34)&gt;1,"規則編號重複",IF(OR(LEN($C34)=0,LEN($D34)=0,LEN($E34)=0,LEN($F34)=0,LEN($G34)=0,LEN($H34)=0,LEN($I34)=0,LEN($K34)=0,LEN($L34)=0,LEN($M34)=0,LEN($O34)=0),IF($N34="已核定","已核定但資料未完整","待補欄位或核定"),IF(OR(LEN($R34)=0,LEN($S34)=0),IF($N34="已核定","已核定但缺來源依據","待補來源依據"),IF($N34="已核定","可發布","待主管核定")))))))</x:f>
      </x:c>
      <x:c r="R34" s="421"/>
      <x:c r="S34" s="421"/>
      <x:c r="T34" s="575"/>
      <x:c r="U34" s="582" t="str">
        <x:f>IF($D34="","",IF($Q34&lt;&gt;"可發布","模式規則未發布",IF($T34&lt;&gt;"已完整","能力要求集未確認",IF(COUNTIFS('模式能力要求輸入'!$B$7:$B$306,$D34)=0,"尚無能力要求",IF(COUNTIFS('模式能力要求輸入'!$B$7:$B$306,$D34,'模式能力要求輸入'!$R$7:$R$306,"&lt;&gt;可發布")&gt;0,"能力要求未全數發布",IF(COUNTIFS('模式能力要求輸入'!$B$7:$B$306,$D34,'模式能力要求輸入'!$E$7:$E$306,"主跟診",'模式能力要求輸入'!$F$7:$F$306,"必備",'模式能力要求輸入'!$R$7:$R$306,"可發布")=0,"缺少主跟診必備要求","可匯入模式清單"))))))</x:f>
      </x:c>
    </x:row>
    <x:row r="35">
      <x:c r="A35" s="170"/>
      <x:c r="B35" s="170"/>
      <x:c r="C35" s="170"/>
      <x:c r="D35" s="170"/>
      <x:c r="E35" s="170"/>
      <x:c r="F35" s="170"/>
      <x:c r="G35" s="170"/>
      <x:c r="H35" s="170"/>
      <x:c r="I35" s="170"/>
      <x:c r="J35" s="170"/>
      <x:c r="K35" s="170"/>
      <x:c r="L35" s="170"/>
      <x:c r="M35" s="171"/>
      <x:c r="N35" s="170"/>
      <x:c r="O35" s="170"/>
      <x:c r="P35" s="170"/>
      <x:c r="Q35" s="235" t="str">
        <x:f>IF(LEN($B35)=0,"",IF($N35="停用","停用",IF($N35="退回補件","退回補件",IF(COUNTIFS($A$7:$A$156,$A35)&gt;1,"規則編號重複",IF(OR(LEN($C35)=0,LEN($D35)=0,LEN($E35)=0,LEN($F35)=0,LEN($G35)=0,LEN($H35)=0,LEN($I35)=0,LEN($K35)=0,LEN($L35)=0,LEN($M35)=0,LEN($O35)=0),IF($N35="已核定","已核定但資料未完整","待補欄位或核定"),IF(OR(LEN($R35)=0,LEN($S35)=0),IF($N35="已核定","已核定但缺來源依據","待補來源依據"),IF($N35="已核定","可發布","待主管核定")))))))</x:f>
      </x:c>
      <x:c r="R35" s="421"/>
      <x:c r="S35" s="421"/>
      <x:c r="T35" s="575"/>
      <x:c r="U35" s="582" t="str">
        <x:f>IF($D35="","",IF($Q35&lt;&gt;"可發布","模式規則未發布",IF($T35&lt;&gt;"已完整","能力要求集未確認",IF(COUNTIFS('模式能力要求輸入'!$B$7:$B$306,$D35)=0,"尚無能力要求",IF(COUNTIFS('模式能力要求輸入'!$B$7:$B$306,$D35,'模式能力要求輸入'!$R$7:$R$306,"&lt;&gt;可發布")&gt;0,"能力要求未全數發布",IF(COUNTIFS('模式能力要求輸入'!$B$7:$B$306,$D35,'模式能力要求輸入'!$E$7:$E$306,"主跟診",'模式能力要求輸入'!$F$7:$F$306,"必備",'模式能力要求輸入'!$R$7:$R$306,"可發布")=0,"缺少主跟診必備要求","可匯入模式清單"))))))</x:f>
      </x:c>
    </x:row>
    <x:row r="36">
      <x:c r="A36" s="170"/>
      <x:c r="B36" s="170"/>
      <x:c r="C36" s="170"/>
      <x:c r="D36" s="170"/>
      <x:c r="E36" s="170"/>
      <x:c r="F36" s="170"/>
      <x:c r="G36" s="170"/>
      <x:c r="H36" s="170"/>
      <x:c r="I36" s="170"/>
      <x:c r="J36" s="170"/>
      <x:c r="K36" s="170"/>
      <x:c r="L36" s="170"/>
      <x:c r="M36" s="171"/>
      <x:c r="N36" s="170"/>
      <x:c r="O36" s="170"/>
      <x:c r="P36" s="170"/>
      <x:c r="Q36" s="235" t="str">
        <x:f>IF(LEN($B36)=0,"",IF($N36="停用","停用",IF($N36="退回補件","退回補件",IF(COUNTIFS($A$7:$A$156,$A36)&gt;1,"規則編號重複",IF(OR(LEN($C36)=0,LEN($D36)=0,LEN($E36)=0,LEN($F36)=0,LEN($G36)=0,LEN($H36)=0,LEN($I36)=0,LEN($K36)=0,LEN($L36)=0,LEN($M36)=0,LEN($O36)=0),IF($N36="已核定","已核定但資料未完整","待補欄位或核定"),IF(OR(LEN($R36)=0,LEN($S36)=0),IF($N36="已核定","已核定但缺來源依據","待補來源依據"),IF($N36="已核定","可發布","待主管核定")))))))</x:f>
      </x:c>
      <x:c r="R36" s="421"/>
      <x:c r="S36" s="421"/>
      <x:c r="T36" s="575"/>
      <x:c r="U36" s="582" t="str">
        <x:f>IF($D36="","",IF($Q36&lt;&gt;"可發布","模式規則未發布",IF($T36&lt;&gt;"已完整","能力要求集未確認",IF(COUNTIFS('模式能力要求輸入'!$B$7:$B$306,$D36)=0,"尚無能力要求",IF(COUNTIFS('模式能力要求輸入'!$B$7:$B$306,$D36,'模式能力要求輸入'!$R$7:$R$306,"&lt;&gt;可發布")&gt;0,"能力要求未全數發布",IF(COUNTIFS('模式能力要求輸入'!$B$7:$B$306,$D36,'模式能力要求輸入'!$E$7:$E$306,"主跟診",'模式能力要求輸入'!$F$7:$F$306,"必備",'模式能力要求輸入'!$R$7:$R$306,"可發布")=0,"缺少主跟診必備要求","可匯入模式清單"))))))</x:f>
      </x:c>
    </x:row>
    <x:row r="37">
      <x:c r="A37" s="170"/>
      <x:c r="B37" s="170"/>
      <x:c r="C37" s="170"/>
      <x:c r="D37" s="170"/>
      <x:c r="E37" s="170"/>
      <x:c r="F37" s="170"/>
      <x:c r="G37" s="170"/>
      <x:c r="H37" s="170"/>
      <x:c r="I37" s="170"/>
      <x:c r="J37" s="170"/>
      <x:c r="K37" s="170"/>
      <x:c r="L37" s="170"/>
      <x:c r="M37" s="171"/>
      <x:c r="N37" s="170"/>
      <x:c r="O37" s="170"/>
      <x:c r="P37" s="170"/>
      <x:c r="Q37" s="235" t="str">
        <x:f>IF(LEN($B37)=0,"",IF($N37="停用","停用",IF($N37="退回補件","退回補件",IF(COUNTIFS($A$7:$A$156,$A37)&gt;1,"規則編號重複",IF(OR(LEN($C37)=0,LEN($D37)=0,LEN($E37)=0,LEN($F37)=0,LEN($G37)=0,LEN($H37)=0,LEN($I37)=0,LEN($K37)=0,LEN($L37)=0,LEN($M37)=0,LEN($O37)=0),IF($N37="已核定","已核定但資料未完整","待補欄位或核定"),IF(OR(LEN($R37)=0,LEN($S37)=0),IF($N37="已核定","已核定但缺來源依據","待補來源依據"),IF($N37="已核定","可發布","待主管核定")))))))</x:f>
      </x:c>
      <x:c r="R37" s="421"/>
      <x:c r="S37" s="421"/>
      <x:c r="T37" s="575"/>
      <x:c r="U37" s="582" t="str">
        <x:f>IF($D37="","",IF($Q37&lt;&gt;"可發布","模式規則未發布",IF($T37&lt;&gt;"已完整","能力要求集未確認",IF(COUNTIFS('模式能力要求輸入'!$B$7:$B$306,$D37)=0,"尚無能力要求",IF(COUNTIFS('模式能力要求輸入'!$B$7:$B$306,$D37,'模式能力要求輸入'!$R$7:$R$306,"&lt;&gt;可發布")&gt;0,"能力要求未全數發布",IF(COUNTIFS('模式能力要求輸入'!$B$7:$B$306,$D37,'模式能力要求輸入'!$E$7:$E$306,"主跟診",'模式能力要求輸入'!$F$7:$F$306,"必備",'模式能力要求輸入'!$R$7:$R$306,"可發布")=0,"缺少主跟診必備要求","可匯入模式清單"))))))</x:f>
      </x:c>
    </x:row>
    <x:row r="38">
      <x:c r="A38" s="170"/>
      <x:c r="B38" s="170"/>
      <x:c r="C38" s="170"/>
      <x:c r="D38" s="170"/>
      <x:c r="E38" s="170"/>
      <x:c r="F38" s="170"/>
      <x:c r="G38" s="170"/>
      <x:c r="H38" s="170"/>
      <x:c r="I38" s="170"/>
      <x:c r="J38" s="170"/>
      <x:c r="K38" s="170"/>
      <x:c r="L38" s="170"/>
      <x:c r="M38" s="171"/>
      <x:c r="N38" s="170"/>
      <x:c r="O38" s="170"/>
      <x:c r="P38" s="170"/>
      <x:c r="Q38" s="235" t="str">
        <x:f>IF(LEN($B38)=0,"",IF($N38="停用","停用",IF($N38="退回補件","退回補件",IF(COUNTIFS($A$7:$A$156,$A38)&gt;1,"規則編號重複",IF(OR(LEN($C38)=0,LEN($D38)=0,LEN($E38)=0,LEN($F38)=0,LEN($G38)=0,LEN($H38)=0,LEN($I38)=0,LEN($K38)=0,LEN($L38)=0,LEN($M38)=0,LEN($O38)=0),IF($N38="已核定","已核定但資料未完整","待補欄位或核定"),IF(OR(LEN($R38)=0,LEN($S38)=0),IF($N38="已核定","已核定但缺來源依據","待補來源依據"),IF($N38="已核定","可發布","待主管核定")))))))</x:f>
      </x:c>
      <x:c r="R38" s="421"/>
      <x:c r="S38" s="421"/>
      <x:c r="T38" s="575"/>
      <x:c r="U38" s="582" t="str">
        <x:f>IF($D38="","",IF($Q38&lt;&gt;"可發布","模式規則未發布",IF($T38&lt;&gt;"已完整","能力要求集未確認",IF(COUNTIFS('模式能力要求輸入'!$B$7:$B$306,$D38)=0,"尚無能力要求",IF(COUNTIFS('模式能力要求輸入'!$B$7:$B$306,$D38,'模式能力要求輸入'!$R$7:$R$306,"&lt;&gt;可發布")&gt;0,"能力要求未全數發布",IF(COUNTIFS('模式能力要求輸入'!$B$7:$B$306,$D38,'模式能力要求輸入'!$E$7:$E$306,"主跟診",'模式能力要求輸入'!$F$7:$F$306,"必備",'模式能力要求輸入'!$R$7:$R$306,"可發布")=0,"缺少主跟診必備要求","可匯入模式清單"))))))</x:f>
      </x:c>
    </x:row>
    <x:row r="39">
      <x:c r="A39" s="170"/>
      <x:c r="B39" s="170"/>
      <x:c r="C39" s="170"/>
      <x:c r="D39" s="170"/>
      <x:c r="E39" s="170"/>
      <x:c r="F39" s="170"/>
      <x:c r="G39" s="170"/>
      <x:c r="H39" s="170"/>
      <x:c r="I39" s="170"/>
      <x:c r="J39" s="170"/>
      <x:c r="K39" s="170"/>
      <x:c r="L39" s="170"/>
      <x:c r="M39" s="171"/>
      <x:c r="N39" s="170"/>
      <x:c r="O39" s="170"/>
      <x:c r="P39" s="170"/>
      <x:c r="Q39" s="235" t="str">
        <x:f>IF(LEN($B39)=0,"",IF($N39="停用","停用",IF($N39="退回補件","退回補件",IF(COUNTIFS($A$7:$A$156,$A39)&gt;1,"規則編號重複",IF(OR(LEN($C39)=0,LEN($D39)=0,LEN($E39)=0,LEN($F39)=0,LEN($G39)=0,LEN($H39)=0,LEN($I39)=0,LEN($K39)=0,LEN($L39)=0,LEN($M39)=0,LEN($O39)=0),IF($N39="已核定","已核定但資料未完整","待補欄位或核定"),IF(OR(LEN($R39)=0,LEN($S39)=0),IF($N39="已核定","已核定但缺來源依據","待補來源依據"),IF($N39="已核定","可發布","待主管核定")))))))</x:f>
      </x:c>
      <x:c r="R39" s="421"/>
      <x:c r="S39" s="421"/>
      <x:c r="T39" s="575"/>
      <x:c r="U39" s="582" t="str">
        <x:f>IF($D39="","",IF($Q39&lt;&gt;"可發布","模式規則未發布",IF($T39&lt;&gt;"已完整","能力要求集未確認",IF(COUNTIFS('模式能力要求輸入'!$B$7:$B$306,$D39)=0,"尚無能力要求",IF(COUNTIFS('模式能力要求輸入'!$B$7:$B$306,$D39,'模式能力要求輸入'!$R$7:$R$306,"&lt;&gt;可發布")&gt;0,"能力要求未全數發布",IF(COUNTIFS('模式能力要求輸入'!$B$7:$B$306,$D39,'模式能力要求輸入'!$E$7:$E$306,"主跟診",'模式能力要求輸入'!$F$7:$F$306,"必備",'模式能力要求輸入'!$R$7:$R$306,"可發布")=0,"缺少主跟診必備要求","可匯入模式清單"))))))</x:f>
      </x:c>
    </x:row>
    <x:row r="40">
      <x:c r="A40" s="170"/>
      <x:c r="B40" s="170"/>
      <x:c r="C40" s="170"/>
      <x:c r="D40" s="170"/>
      <x:c r="E40" s="170"/>
      <x:c r="F40" s="170"/>
      <x:c r="G40" s="170"/>
      <x:c r="H40" s="170"/>
      <x:c r="I40" s="170"/>
      <x:c r="J40" s="170"/>
      <x:c r="K40" s="170"/>
      <x:c r="L40" s="170"/>
      <x:c r="M40" s="171"/>
      <x:c r="N40" s="170"/>
      <x:c r="O40" s="170"/>
      <x:c r="P40" s="170"/>
      <x:c r="Q40" s="235" t="str">
        <x:f>IF(LEN($B40)=0,"",IF($N40="停用","停用",IF($N40="退回補件","退回補件",IF(COUNTIFS($A$7:$A$156,$A40)&gt;1,"規則編號重複",IF(OR(LEN($C40)=0,LEN($D40)=0,LEN($E40)=0,LEN($F40)=0,LEN($G40)=0,LEN($H40)=0,LEN($I40)=0,LEN($K40)=0,LEN($L40)=0,LEN($M40)=0,LEN($O40)=0),IF($N40="已核定","已核定但資料未完整","待補欄位或核定"),IF(OR(LEN($R40)=0,LEN($S40)=0),IF($N40="已核定","已核定但缺來源依據","待補來源依據"),IF($N40="已核定","可發布","待主管核定")))))))</x:f>
      </x:c>
      <x:c r="R40" s="421"/>
      <x:c r="S40" s="421"/>
      <x:c r="T40" s="575"/>
      <x:c r="U40" s="582" t="str">
        <x:f>IF($D40="","",IF($Q40&lt;&gt;"可發布","模式規則未發布",IF($T40&lt;&gt;"已完整","能力要求集未確認",IF(COUNTIFS('模式能力要求輸入'!$B$7:$B$306,$D40)=0,"尚無能力要求",IF(COUNTIFS('模式能力要求輸入'!$B$7:$B$306,$D40,'模式能力要求輸入'!$R$7:$R$306,"&lt;&gt;可發布")&gt;0,"能力要求未全數發布",IF(COUNTIFS('模式能力要求輸入'!$B$7:$B$306,$D40,'模式能力要求輸入'!$E$7:$E$306,"主跟診",'模式能力要求輸入'!$F$7:$F$306,"必備",'模式能力要求輸入'!$R$7:$R$306,"可發布")=0,"缺少主跟診必備要求","可匯入模式清單"))))))</x:f>
      </x:c>
    </x:row>
    <x:row r="41">
      <x:c r="A41" s="170"/>
      <x:c r="B41" s="170"/>
      <x:c r="C41" s="170"/>
      <x:c r="D41" s="170"/>
      <x:c r="E41" s="170"/>
      <x:c r="F41" s="170"/>
      <x:c r="G41" s="170"/>
      <x:c r="H41" s="170"/>
      <x:c r="I41" s="170"/>
      <x:c r="J41" s="170"/>
      <x:c r="K41" s="170"/>
      <x:c r="L41" s="170"/>
      <x:c r="M41" s="171"/>
      <x:c r="N41" s="170"/>
      <x:c r="O41" s="170"/>
      <x:c r="P41" s="170"/>
      <x:c r="Q41" s="235" t="str">
        <x:f>IF(LEN($B41)=0,"",IF($N41="停用","停用",IF($N41="退回補件","退回補件",IF(COUNTIFS($A$7:$A$156,$A41)&gt;1,"規則編號重複",IF(OR(LEN($C41)=0,LEN($D41)=0,LEN($E41)=0,LEN($F41)=0,LEN($G41)=0,LEN($H41)=0,LEN($I41)=0,LEN($K41)=0,LEN($L41)=0,LEN($M41)=0,LEN($O41)=0),IF($N41="已核定","已核定但資料未完整","待補欄位或核定"),IF(OR(LEN($R41)=0,LEN($S41)=0),IF($N41="已核定","已核定但缺來源依據","待補來源依據"),IF($N41="已核定","可發布","待主管核定")))))))</x:f>
      </x:c>
      <x:c r="R41" s="421"/>
      <x:c r="S41" s="421"/>
      <x:c r="T41" s="575"/>
      <x:c r="U41" s="582" t="str">
        <x:f>IF($D41="","",IF($Q41&lt;&gt;"可發布","模式規則未發布",IF($T41&lt;&gt;"已完整","能力要求集未確認",IF(COUNTIFS('模式能力要求輸入'!$B$7:$B$306,$D41)=0,"尚無能力要求",IF(COUNTIFS('模式能力要求輸入'!$B$7:$B$306,$D41,'模式能力要求輸入'!$R$7:$R$306,"&lt;&gt;可發布")&gt;0,"能力要求未全數發布",IF(COUNTIFS('模式能力要求輸入'!$B$7:$B$306,$D41,'模式能力要求輸入'!$E$7:$E$306,"主跟診",'模式能力要求輸入'!$F$7:$F$306,"必備",'模式能力要求輸入'!$R$7:$R$306,"可發布")=0,"缺少主跟診必備要求","可匯入模式清單"))))))</x:f>
      </x:c>
    </x:row>
    <x:row r="42">
      <x:c r="A42" s="170"/>
      <x:c r="B42" s="170"/>
      <x:c r="C42" s="170"/>
      <x:c r="D42" s="170"/>
      <x:c r="E42" s="170"/>
      <x:c r="F42" s="170"/>
      <x:c r="G42" s="170"/>
      <x:c r="H42" s="170"/>
      <x:c r="I42" s="170"/>
      <x:c r="J42" s="170"/>
      <x:c r="K42" s="170"/>
      <x:c r="L42" s="170"/>
      <x:c r="M42" s="171"/>
      <x:c r="N42" s="170"/>
      <x:c r="O42" s="170"/>
      <x:c r="P42" s="170"/>
      <x:c r="Q42" s="235" t="str">
        <x:f>IF(LEN($B42)=0,"",IF($N42="停用","停用",IF($N42="退回補件","退回補件",IF(COUNTIFS($A$7:$A$156,$A42)&gt;1,"規則編號重複",IF(OR(LEN($C42)=0,LEN($D42)=0,LEN($E42)=0,LEN($F42)=0,LEN($G42)=0,LEN($H42)=0,LEN($I42)=0,LEN($K42)=0,LEN($L42)=0,LEN($M42)=0,LEN($O42)=0),IF($N42="已核定","已核定但資料未完整","待補欄位或核定"),IF(OR(LEN($R42)=0,LEN($S42)=0),IF($N42="已核定","已核定但缺來源依據","待補來源依據"),IF($N42="已核定","可發布","待主管核定")))))))</x:f>
      </x:c>
      <x:c r="R42" s="421"/>
      <x:c r="S42" s="421"/>
      <x:c r="T42" s="575"/>
      <x:c r="U42" s="582" t="str">
        <x:f>IF($D42="","",IF($Q42&lt;&gt;"可發布","模式規則未發布",IF($T42&lt;&gt;"已完整","能力要求集未確認",IF(COUNTIFS('模式能力要求輸入'!$B$7:$B$306,$D42)=0,"尚無能力要求",IF(COUNTIFS('模式能力要求輸入'!$B$7:$B$306,$D42,'模式能力要求輸入'!$R$7:$R$306,"&lt;&gt;可發布")&gt;0,"能力要求未全數發布",IF(COUNTIFS('模式能力要求輸入'!$B$7:$B$306,$D42,'模式能力要求輸入'!$E$7:$E$306,"主跟診",'模式能力要求輸入'!$F$7:$F$306,"必備",'模式能力要求輸入'!$R$7:$R$306,"可發布")=0,"缺少主跟診必備要求","可匯入模式清單"))))))</x:f>
      </x:c>
    </x:row>
    <x:row r="43">
      <x:c r="A43" s="170"/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1"/>
      <x:c r="N43" s="170"/>
      <x:c r="O43" s="170"/>
      <x:c r="P43" s="170"/>
      <x:c r="Q43" s="235" t="str">
        <x:f>IF(LEN($B43)=0,"",IF($N43="停用","停用",IF($N43="退回補件","退回補件",IF(COUNTIFS($A$7:$A$156,$A43)&gt;1,"規則編號重複",IF(OR(LEN($C43)=0,LEN($D43)=0,LEN($E43)=0,LEN($F43)=0,LEN($G43)=0,LEN($H43)=0,LEN($I43)=0,LEN($K43)=0,LEN($L43)=0,LEN($M43)=0,LEN($O43)=0),IF($N43="已核定","已核定但資料未完整","待補欄位或核定"),IF(OR(LEN($R43)=0,LEN($S43)=0),IF($N43="已核定","已核定但缺來源依據","待補來源依據"),IF($N43="已核定","可發布","待主管核定")))))))</x:f>
      </x:c>
      <x:c r="R43" s="421"/>
      <x:c r="S43" s="421"/>
      <x:c r="T43" s="575"/>
      <x:c r="U43" s="582" t="str">
        <x:f>IF($D43="","",IF($Q43&lt;&gt;"可發布","模式規則未發布",IF($T43&lt;&gt;"已完整","能力要求集未確認",IF(COUNTIFS('模式能力要求輸入'!$B$7:$B$306,$D43)=0,"尚無能力要求",IF(COUNTIFS('模式能力要求輸入'!$B$7:$B$306,$D43,'模式能力要求輸入'!$R$7:$R$306,"&lt;&gt;可發布")&gt;0,"能力要求未全數發布",IF(COUNTIFS('模式能力要求輸入'!$B$7:$B$306,$D43,'模式能力要求輸入'!$E$7:$E$306,"主跟診",'模式能力要求輸入'!$F$7:$F$306,"必備",'模式能力要求輸入'!$R$7:$R$306,"可發布")=0,"缺少主跟診必備要求","可匯入模式清單"))))))</x:f>
      </x:c>
    </x:row>
    <x:row r="44">
      <x:c r="A44" s="170"/>
      <x:c r="B44" s="170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1"/>
      <x:c r="N44" s="170"/>
      <x:c r="O44" s="170"/>
      <x:c r="P44" s="170"/>
      <x:c r="Q44" s="235" t="str">
        <x:f>IF(LEN($B44)=0,"",IF($N44="停用","停用",IF($N44="退回補件","退回補件",IF(COUNTIFS($A$7:$A$156,$A44)&gt;1,"規則編號重複",IF(OR(LEN($C44)=0,LEN($D44)=0,LEN($E44)=0,LEN($F44)=0,LEN($G44)=0,LEN($H44)=0,LEN($I44)=0,LEN($K44)=0,LEN($L44)=0,LEN($M44)=0,LEN($O44)=0),IF($N44="已核定","已核定但資料未完整","待補欄位或核定"),IF(OR(LEN($R44)=0,LEN($S44)=0),IF($N44="已核定","已核定但缺來源依據","待補來源依據"),IF($N44="已核定","可發布","待主管核定")))))))</x:f>
      </x:c>
      <x:c r="R44" s="421"/>
      <x:c r="S44" s="421"/>
      <x:c r="T44" s="575"/>
      <x:c r="U44" s="582" t="str">
        <x:f>IF($D44="","",IF($Q44&lt;&gt;"可發布","模式規則未發布",IF($T44&lt;&gt;"已完整","能力要求集未確認",IF(COUNTIFS('模式能力要求輸入'!$B$7:$B$306,$D44)=0,"尚無能力要求",IF(COUNTIFS('模式能力要求輸入'!$B$7:$B$306,$D44,'模式能力要求輸入'!$R$7:$R$306,"&lt;&gt;可發布")&gt;0,"能力要求未全數發布",IF(COUNTIFS('模式能力要求輸入'!$B$7:$B$306,$D44,'模式能力要求輸入'!$E$7:$E$306,"主跟診",'模式能力要求輸入'!$F$7:$F$306,"必備",'模式能力要求輸入'!$R$7:$R$306,"可發布")=0,"缺少主跟診必備要求","可匯入模式清單"))))))</x:f>
      </x:c>
    </x:row>
    <x:row r="45">
      <x:c r="A45" s="170"/>
      <x:c r="B45" s="170"/>
      <x:c r="C45" s="170"/>
      <x:c r="D45" s="170"/>
      <x:c r="E45" s="170"/>
      <x:c r="F45" s="170"/>
      <x:c r="G45" s="170"/>
      <x:c r="H45" s="170"/>
      <x:c r="I45" s="170"/>
      <x:c r="J45" s="170"/>
      <x:c r="K45" s="170"/>
      <x:c r="L45" s="170"/>
      <x:c r="M45" s="171"/>
      <x:c r="N45" s="170"/>
      <x:c r="O45" s="170"/>
      <x:c r="P45" s="170"/>
      <x:c r="Q45" s="235" t="str">
        <x:f>IF(LEN($B45)=0,"",IF($N45="停用","停用",IF($N45="退回補件","退回補件",IF(COUNTIFS($A$7:$A$156,$A45)&gt;1,"規則編號重複",IF(OR(LEN($C45)=0,LEN($D45)=0,LEN($E45)=0,LEN($F45)=0,LEN($G45)=0,LEN($H45)=0,LEN($I45)=0,LEN($K45)=0,LEN($L45)=0,LEN($M45)=0,LEN($O45)=0),IF($N45="已核定","已核定但資料未完整","待補欄位或核定"),IF(OR(LEN($R45)=0,LEN($S45)=0),IF($N45="已核定","已核定但缺來源依據","待補來源依據"),IF($N45="已核定","可發布","待主管核定")))))))</x:f>
      </x:c>
      <x:c r="R45" s="421"/>
      <x:c r="S45" s="421"/>
      <x:c r="T45" s="575"/>
      <x:c r="U45" s="582" t="str">
        <x:f>IF($D45="","",IF($Q45&lt;&gt;"可發布","模式規則未發布",IF($T45&lt;&gt;"已完整","能力要求集未確認",IF(COUNTIFS('模式能力要求輸入'!$B$7:$B$306,$D45)=0,"尚無能力要求",IF(COUNTIFS('模式能力要求輸入'!$B$7:$B$306,$D45,'模式能力要求輸入'!$R$7:$R$306,"&lt;&gt;可發布")&gt;0,"能力要求未全數發布",IF(COUNTIFS('模式能力要求輸入'!$B$7:$B$306,$D45,'模式能力要求輸入'!$E$7:$E$306,"主跟診",'模式能力要求輸入'!$F$7:$F$306,"必備",'模式能力要求輸入'!$R$7:$R$306,"可發布")=0,"缺少主跟診必備要求","可匯入模式清單"))))))</x:f>
      </x:c>
    </x:row>
    <x:row r="46">
      <x:c r="A46" s="170"/>
      <x:c r="B46" s="170"/>
      <x:c r="C46" s="170"/>
      <x:c r="D46" s="170"/>
      <x:c r="E46" s="170"/>
      <x:c r="F46" s="170"/>
      <x:c r="G46" s="170"/>
      <x:c r="H46" s="170"/>
      <x:c r="I46" s="170"/>
      <x:c r="J46" s="170"/>
      <x:c r="K46" s="170"/>
      <x:c r="L46" s="170"/>
      <x:c r="M46" s="171"/>
      <x:c r="N46" s="170"/>
      <x:c r="O46" s="170"/>
      <x:c r="P46" s="170"/>
      <x:c r="Q46" s="235" t="str">
        <x:f>IF(LEN($B46)=0,"",IF($N46="停用","停用",IF($N46="退回補件","退回補件",IF(COUNTIFS($A$7:$A$156,$A46)&gt;1,"規則編號重複",IF(OR(LEN($C46)=0,LEN($D46)=0,LEN($E46)=0,LEN($F46)=0,LEN($G46)=0,LEN($H46)=0,LEN($I46)=0,LEN($K46)=0,LEN($L46)=0,LEN($M46)=0,LEN($O46)=0),IF($N46="已核定","已核定但資料未完整","待補欄位或核定"),IF(OR(LEN($R46)=0,LEN($S46)=0),IF($N46="已核定","已核定但缺來源依據","待補來源依據"),IF($N46="已核定","可發布","待主管核定")))))))</x:f>
      </x:c>
      <x:c r="R46" s="421"/>
      <x:c r="S46" s="421"/>
      <x:c r="T46" s="575"/>
      <x:c r="U46" s="582" t="str">
        <x:f>IF($D46="","",IF($Q46&lt;&gt;"可發布","模式規則未發布",IF($T46&lt;&gt;"已完整","能力要求集未確認",IF(COUNTIFS('模式能力要求輸入'!$B$7:$B$306,$D46)=0,"尚無能力要求",IF(COUNTIFS('模式能力要求輸入'!$B$7:$B$306,$D46,'模式能力要求輸入'!$R$7:$R$306,"&lt;&gt;可發布")&gt;0,"能力要求未全數發布",IF(COUNTIFS('模式能力要求輸入'!$B$7:$B$306,$D46,'模式能力要求輸入'!$E$7:$E$306,"主跟診",'模式能力要求輸入'!$F$7:$F$306,"必備",'模式能力要求輸入'!$R$7:$R$306,"可發布")=0,"缺少主跟診必備要求","可匯入模式清單"))))))</x:f>
      </x:c>
    </x:row>
    <x:row r="47">
      <x:c r="A47" s="170"/>
      <x:c r="B47" s="170"/>
      <x:c r="C47" s="170"/>
      <x:c r="D47" s="170"/>
      <x:c r="E47" s="170"/>
      <x:c r="F47" s="170"/>
      <x:c r="G47" s="170"/>
      <x:c r="H47" s="170"/>
      <x:c r="I47" s="170"/>
      <x:c r="J47" s="170"/>
      <x:c r="K47" s="170"/>
      <x:c r="L47" s="170"/>
      <x:c r="M47" s="171"/>
      <x:c r="N47" s="170"/>
      <x:c r="O47" s="170"/>
      <x:c r="P47" s="170"/>
      <x:c r="Q47" s="235" t="str">
        <x:f>IF(LEN($B47)=0,"",IF($N47="停用","停用",IF($N47="退回補件","退回補件",IF(COUNTIFS($A$7:$A$156,$A47)&gt;1,"規則編號重複",IF(OR(LEN($C47)=0,LEN($D47)=0,LEN($E47)=0,LEN($F47)=0,LEN($G47)=0,LEN($H47)=0,LEN($I47)=0,LEN($K47)=0,LEN($L47)=0,LEN($M47)=0,LEN($O47)=0),IF($N47="已核定","已核定但資料未完整","待補欄位或核定"),IF(OR(LEN($R47)=0,LEN($S47)=0),IF($N47="已核定","已核定但缺來源依據","待補來源依據"),IF($N47="已核定","可發布","待主管核定")))))))</x:f>
      </x:c>
      <x:c r="R47" s="421"/>
      <x:c r="S47" s="421"/>
      <x:c r="T47" s="575"/>
      <x:c r="U47" s="582" t="str">
        <x:f>IF($D47="","",IF($Q47&lt;&gt;"可發布","模式規則未發布",IF($T47&lt;&gt;"已完整","能力要求集未確認",IF(COUNTIFS('模式能力要求輸入'!$B$7:$B$306,$D47)=0,"尚無能力要求",IF(COUNTIFS('模式能力要求輸入'!$B$7:$B$306,$D47,'模式能力要求輸入'!$R$7:$R$306,"&lt;&gt;可發布")&gt;0,"能力要求未全數發布",IF(COUNTIFS('模式能力要求輸入'!$B$7:$B$306,$D47,'模式能力要求輸入'!$E$7:$E$306,"主跟診",'模式能力要求輸入'!$F$7:$F$306,"必備",'模式能力要求輸入'!$R$7:$R$306,"可發布")=0,"缺少主跟診必備要求","可匯入模式清單"))))))</x:f>
      </x:c>
    </x:row>
    <x:row r="48">
      <x:c r="A48" s="170"/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1"/>
      <x:c r="N48" s="170"/>
      <x:c r="O48" s="170"/>
      <x:c r="P48" s="170"/>
      <x:c r="Q48" s="235" t="str">
        <x:f>IF(LEN($B48)=0,"",IF($N48="停用","停用",IF($N48="退回補件","退回補件",IF(COUNTIFS($A$7:$A$156,$A48)&gt;1,"規則編號重複",IF(OR(LEN($C48)=0,LEN($D48)=0,LEN($E48)=0,LEN($F48)=0,LEN($G48)=0,LEN($H48)=0,LEN($I48)=0,LEN($K48)=0,LEN($L48)=0,LEN($M48)=0,LEN($O48)=0),IF($N48="已核定","已核定但資料未完整","待補欄位或核定"),IF(OR(LEN($R48)=0,LEN($S48)=0),IF($N48="已核定","已核定但缺來源依據","待補來源依據"),IF($N48="已核定","可發布","待主管核定")))))))</x:f>
      </x:c>
      <x:c r="R48" s="421"/>
      <x:c r="S48" s="421"/>
      <x:c r="T48" s="575"/>
      <x:c r="U48" s="582" t="str">
        <x:f>IF($D48="","",IF($Q48&lt;&gt;"可發布","模式規則未發布",IF($T48&lt;&gt;"已完整","能力要求集未確認",IF(COUNTIFS('模式能力要求輸入'!$B$7:$B$306,$D48)=0,"尚無能力要求",IF(COUNTIFS('模式能力要求輸入'!$B$7:$B$306,$D48,'模式能力要求輸入'!$R$7:$R$306,"&lt;&gt;可發布")&gt;0,"能力要求未全數發布",IF(COUNTIFS('模式能力要求輸入'!$B$7:$B$306,$D48,'模式能力要求輸入'!$E$7:$E$306,"主跟診",'模式能力要求輸入'!$F$7:$F$306,"必備",'模式能力要求輸入'!$R$7:$R$306,"可發布")=0,"缺少主跟診必備要求","可匯入模式清單"))))))</x:f>
      </x:c>
    </x:row>
    <x:row r="49">
      <x:c r="A49" s="170"/>
      <x:c r="B49" s="170"/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/>
      <x:c r="N49" s="170"/>
      <x:c r="O49" s="170"/>
      <x:c r="P49" s="170"/>
      <x:c r="Q49" s="235" t="str">
        <x:f>IF(LEN($B49)=0,"",IF($N49="停用","停用",IF($N49="退回補件","退回補件",IF(COUNTIFS($A$7:$A$156,$A49)&gt;1,"規則編號重複",IF(OR(LEN($C49)=0,LEN($D49)=0,LEN($E49)=0,LEN($F49)=0,LEN($G49)=0,LEN($H49)=0,LEN($I49)=0,LEN($K49)=0,LEN($L49)=0,LEN($M49)=0,LEN($O49)=0),IF($N49="已核定","已核定但資料未完整","待補欄位或核定"),IF(OR(LEN($R49)=0,LEN($S49)=0),IF($N49="已核定","已核定但缺來源依據","待補來源依據"),IF($N49="已核定","可發布","待主管核定")))))))</x:f>
      </x:c>
      <x:c r="R49" s="421"/>
      <x:c r="S49" s="421"/>
      <x:c r="T49" s="575"/>
      <x:c r="U49" s="582" t="str">
        <x:f>IF($D49="","",IF($Q49&lt;&gt;"可發布","模式規則未發布",IF($T49&lt;&gt;"已完整","能力要求集未確認",IF(COUNTIFS('模式能力要求輸入'!$B$7:$B$306,$D49)=0,"尚無能力要求",IF(COUNTIFS('模式能力要求輸入'!$B$7:$B$306,$D49,'模式能力要求輸入'!$R$7:$R$306,"&lt;&gt;可發布")&gt;0,"能力要求未全數發布",IF(COUNTIFS('模式能力要求輸入'!$B$7:$B$306,$D49,'模式能力要求輸入'!$E$7:$E$306,"主跟診",'模式能力要求輸入'!$F$7:$F$306,"必備",'模式能力要求輸入'!$R$7:$R$306,"可發布")=0,"缺少主跟診必備要求","可匯入模式清單"))))))</x:f>
      </x:c>
    </x:row>
    <x:row r="50">
      <x:c r="A50" s="170"/>
      <x:c r="B50" s="170"/>
      <x:c r="C50" s="170"/>
      <x:c r="D50" s="170"/>
      <x:c r="E50" s="170"/>
      <x:c r="F50" s="170"/>
      <x:c r="G50" s="170"/>
      <x:c r="H50" s="170"/>
      <x:c r="I50" s="170"/>
      <x:c r="J50" s="170"/>
      <x:c r="K50" s="170"/>
      <x:c r="L50" s="170"/>
      <x:c r="M50" s="171"/>
      <x:c r="N50" s="170"/>
      <x:c r="O50" s="170"/>
      <x:c r="P50" s="170"/>
      <x:c r="Q50" s="235" t="str">
        <x:f>IF(LEN($B50)=0,"",IF($N50="停用","停用",IF($N50="退回補件","退回補件",IF(COUNTIFS($A$7:$A$156,$A50)&gt;1,"規則編號重複",IF(OR(LEN($C50)=0,LEN($D50)=0,LEN($E50)=0,LEN($F50)=0,LEN($G50)=0,LEN($H50)=0,LEN($I50)=0,LEN($K50)=0,LEN($L50)=0,LEN($M50)=0,LEN($O50)=0),IF($N50="已核定","已核定但資料未完整","待補欄位或核定"),IF(OR(LEN($R50)=0,LEN($S50)=0),IF($N50="已核定","已核定但缺來源依據","待補來源依據"),IF($N50="已核定","可發布","待主管核定")))))))</x:f>
      </x:c>
      <x:c r="R50" s="421"/>
      <x:c r="S50" s="421"/>
      <x:c r="T50" s="575"/>
      <x:c r="U50" s="582" t="str">
        <x:f>IF($D50="","",IF($Q50&lt;&gt;"可發布","模式規則未發布",IF($T50&lt;&gt;"已完整","能力要求集未確認",IF(COUNTIFS('模式能力要求輸入'!$B$7:$B$306,$D50)=0,"尚無能力要求",IF(COUNTIFS('模式能力要求輸入'!$B$7:$B$306,$D50,'模式能力要求輸入'!$R$7:$R$306,"&lt;&gt;可發布")&gt;0,"能力要求未全數發布",IF(COUNTIFS('模式能力要求輸入'!$B$7:$B$306,$D50,'模式能力要求輸入'!$E$7:$E$306,"主跟診",'模式能力要求輸入'!$F$7:$F$306,"必備",'模式能力要求輸入'!$R$7:$R$306,"可發布")=0,"缺少主跟診必備要求","可匯入模式清單"))))))</x:f>
      </x:c>
    </x:row>
    <x:row r="51">
      <x:c r="A51" s="170"/>
      <x:c r="B51" s="170"/>
      <x:c r="C51" s="170"/>
      <x:c r="D51" s="170"/>
      <x:c r="E51" s="170"/>
      <x:c r="F51" s="170"/>
      <x:c r="G51" s="170"/>
      <x:c r="H51" s="170"/>
      <x:c r="I51" s="170"/>
      <x:c r="J51" s="170"/>
      <x:c r="K51" s="170"/>
      <x:c r="L51" s="170"/>
      <x:c r="M51" s="171"/>
      <x:c r="N51" s="170"/>
      <x:c r="O51" s="170"/>
      <x:c r="P51" s="170"/>
      <x:c r="Q51" s="235" t="str">
        <x:f>IF(LEN($B51)=0,"",IF($N51="停用","停用",IF($N51="退回補件","退回補件",IF(COUNTIFS($A$7:$A$156,$A51)&gt;1,"規則編號重複",IF(OR(LEN($C51)=0,LEN($D51)=0,LEN($E51)=0,LEN($F51)=0,LEN($G51)=0,LEN($H51)=0,LEN($I51)=0,LEN($K51)=0,LEN($L51)=0,LEN($M51)=0,LEN($O51)=0),IF($N51="已核定","已核定但資料未完整","待補欄位或核定"),IF(OR(LEN($R51)=0,LEN($S51)=0),IF($N51="已核定","已核定但缺來源依據","待補來源依據"),IF($N51="已核定","可發布","待主管核定")))))))</x:f>
      </x:c>
      <x:c r="R51" s="421"/>
      <x:c r="S51" s="421"/>
      <x:c r="T51" s="575"/>
      <x:c r="U51" s="582" t="str">
        <x:f>IF($D51="","",IF($Q51&lt;&gt;"可發布","模式規則未發布",IF($T51&lt;&gt;"已完整","能力要求集未確認",IF(COUNTIFS('模式能力要求輸入'!$B$7:$B$306,$D51)=0,"尚無能力要求",IF(COUNTIFS('模式能力要求輸入'!$B$7:$B$306,$D51,'模式能力要求輸入'!$R$7:$R$306,"&lt;&gt;可發布")&gt;0,"能力要求未全數發布",IF(COUNTIFS('模式能力要求輸入'!$B$7:$B$306,$D51,'模式能力要求輸入'!$E$7:$E$306,"主跟診",'模式能力要求輸入'!$F$7:$F$306,"必備",'模式能力要求輸入'!$R$7:$R$306,"可發布")=0,"缺少主跟診必備要求","可匯入模式清單"))))))</x:f>
      </x:c>
    </x:row>
    <x:row r="52">
      <x:c r="A52" s="170"/>
      <x:c r="B52" s="170"/>
      <x:c r="C52" s="170"/>
      <x:c r="D52" s="170"/>
      <x:c r="E52" s="170"/>
      <x:c r="F52" s="170"/>
      <x:c r="G52" s="170"/>
      <x:c r="H52" s="170"/>
      <x:c r="I52" s="170"/>
      <x:c r="J52" s="170"/>
      <x:c r="K52" s="170"/>
      <x:c r="L52" s="170"/>
      <x:c r="M52" s="171"/>
      <x:c r="N52" s="170"/>
      <x:c r="O52" s="170"/>
      <x:c r="P52" s="170"/>
      <x:c r="Q52" s="235" t="str">
        <x:f>IF(LEN($B52)=0,"",IF($N52="停用","停用",IF($N52="退回補件","退回補件",IF(COUNTIFS($A$7:$A$156,$A52)&gt;1,"規則編號重複",IF(OR(LEN($C52)=0,LEN($D52)=0,LEN($E52)=0,LEN($F52)=0,LEN($G52)=0,LEN($H52)=0,LEN($I52)=0,LEN($K52)=0,LEN($L52)=0,LEN($M52)=0,LEN($O52)=0),IF($N52="已核定","已核定但資料未完整","待補欄位或核定"),IF(OR(LEN($R52)=0,LEN($S52)=0),IF($N52="已核定","已核定但缺來源依據","待補來源依據"),IF($N52="已核定","可發布","待主管核定")))))))</x:f>
      </x:c>
      <x:c r="R52" s="421"/>
      <x:c r="S52" s="421"/>
      <x:c r="T52" s="575"/>
      <x:c r="U52" s="582" t="str">
        <x:f>IF($D52="","",IF($Q52&lt;&gt;"可發布","模式規則未發布",IF($T52&lt;&gt;"已完整","能力要求集未確認",IF(COUNTIFS('模式能力要求輸入'!$B$7:$B$306,$D52)=0,"尚無能力要求",IF(COUNTIFS('模式能力要求輸入'!$B$7:$B$306,$D52,'模式能力要求輸入'!$R$7:$R$306,"&lt;&gt;可發布")&gt;0,"能力要求未全數發布",IF(COUNTIFS('模式能力要求輸入'!$B$7:$B$306,$D52,'模式能力要求輸入'!$E$7:$E$306,"主跟診",'模式能力要求輸入'!$F$7:$F$306,"必備",'模式能力要求輸入'!$R$7:$R$306,"可發布")=0,"缺少主跟診必備要求","可匯入模式清單"))))))</x:f>
      </x:c>
    </x:row>
    <x:row r="53">
      <x:c r="A53" s="170"/>
      <x:c r="B53" s="170"/>
      <x:c r="C53" s="170"/>
      <x:c r="D53" s="170"/>
      <x:c r="E53" s="170"/>
      <x:c r="F53" s="170"/>
      <x:c r="G53" s="170"/>
      <x:c r="H53" s="170"/>
      <x:c r="I53" s="170"/>
      <x:c r="J53" s="170"/>
      <x:c r="K53" s="170"/>
      <x:c r="L53" s="170"/>
      <x:c r="M53" s="171"/>
      <x:c r="N53" s="170"/>
      <x:c r="O53" s="170"/>
      <x:c r="P53" s="170"/>
      <x:c r="Q53" s="235" t="str">
        <x:f>IF(LEN($B53)=0,"",IF($N53="停用","停用",IF($N53="退回補件","退回補件",IF(COUNTIFS($A$7:$A$156,$A53)&gt;1,"規則編號重複",IF(OR(LEN($C53)=0,LEN($D53)=0,LEN($E53)=0,LEN($F53)=0,LEN($G53)=0,LEN($H53)=0,LEN($I53)=0,LEN($K53)=0,LEN($L53)=0,LEN($M53)=0,LEN($O53)=0),IF($N53="已核定","已核定但資料未完整","待補欄位或核定"),IF(OR(LEN($R53)=0,LEN($S53)=0),IF($N53="已核定","已核定但缺來源依據","待補來源依據"),IF($N53="已核定","可發布","待主管核定")))))))</x:f>
      </x:c>
      <x:c r="R53" s="421"/>
      <x:c r="S53" s="421"/>
      <x:c r="T53" s="575"/>
      <x:c r="U53" s="582" t="str">
        <x:f>IF($D53="","",IF($Q53&lt;&gt;"可發布","模式規則未發布",IF($T53&lt;&gt;"已完整","能力要求集未確認",IF(COUNTIFS('模式能力要求輸入'!$B$7:$B$306,$D53)=0,"尚無能力要求",IF(COUNTIFS('模式能力要求輸入'!$B$7:$B$306,$D53,'模式能力要求輸入'!$R$7:$R$306,"&lt;&gt;可發布")&gt;0,"能力要求未全數發布",IF(COUNTIFS('模式能力要求輸入'!$B$7:$B$306,$D53,'模式能力要求輸入'!$E$7:$E$306,"主跟診",'模式能力要求輸入'!$F$7:$F$306,"必備",'模式能力要求輸入'!$R$7:$R$306,"可發布")=0,"缺少主跟診必備要求","可匯入模式清單"))))))</x:f>
      </x:c>
    </x:row>
    <x:row r="54">
      <x:c r="A54" s="170"/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1"/>
      <x:c r="N54" s="170"/>
      <x:c r="O54" s="170"/>
      <x:c r="P54" s="170"/>
      <x:c r="Q54" s="235" t="str">
        <x:f>IF(LEN($B54)=0,"",IF($N54="停用","停用",IF($N54="退回補件","退回補件",IF(COUNTIFS($A$7:$A$156,$A54)&gt;1,"規則編號重複",IF(OR(LEN($C54)=0,LEN($D54)=0,LEN($E54)=0,LEN($F54)=0,LEN($G54)=0,LEN($H54)=0,LEN($I54)=0,LEN($K54)=0,LEN($L54)=0,LEN($M54)=0,LEN($O54)=0),IF($N54="已核定","已核定但資料未完整","待補欄位或核定"),IF(OR(LEN($R54)=0,LEN($S54)=0),IF($N54="已核定","已核定但缺來源依據","待補來源依據"),IF($N54="已核定","可發布","待主管核定")))))))</x:f>
      </x:c>
      <x:c r="R54" s="421"/>
      <x:c r="S54" s="421"/>
      <x:c r="T54" s="575"/>
      <x:c r="U54" s="582" t="str">
        <x:f>IF($D54="","",IF($Q54&lt;&gt;"可發布","模式規則未發布",IF($T54&lt;&gt;"已完整","能力要求集未確認",IF(COUNTIFS('模式能力要求輸入'!$B$7:$B$306,$D54)=0,"尚無能力要求",IF(COUNTIFS('模式能力要求輸入'!$B$7:$B$306,$D54,'模式能力要求輸入'!$R$7:$R$306,"&lt;&gt;可發布")&gt;0,"能力要求未全數發布",IF(COUNTIFS('模式能力要求輸入'!$B$7:$B$306,$D54,'模式能力要求輸入'!$E$7:$E$306,"主跟診",'模式能力要求輸入'!$F$7:$F$306,"必備",'模式能力要求輸入'!$R$7:$R$306,"可發布")=0,"缺少主跟診必備要求","可匯入模式清單"))))))</x:f>
      </x:c>
    </x:row>
    <x:row r="55">
      <x:c r="A55" s="170"/>
      <x:c r="B55" s="170"/>
      <x:c r="C55" s="170"/>
      <x:c r="D55" s="170"/>
      <x:c r="E55" s="170"/>
      <x:c r="F55" s="170"/>
      <x:c r="G55" s="170"/>
      <x:c r="H55" s="170"/>
      <x:c r="I55" s="170"/>
      <x:c r="J55" s="170"/>
      <x:c r="K55" s="170"/>
      <x:c r="L55" s="170"/>
      <x:c r="M55" s="171"/>
      <x:c r="N55" s="170"/>
      <x:c r="O55" s="170"/>
      <x:c r="P55" s="170"/>
      <x:c r="Q55" s="235" t="str">
        <x:f>IF(LEN($B55)=0,"",IF($N55="停用","停用",IF($N55="退回補件","退回補件",IF(COUNTIFS($A$7:$A$156,$A55)&gt;1,"規則編號重複",IF(OR(LEN($C55)=0,LEN($D55)=0,LEN($E55)=0,LEN($F55)=0,LEN($G55)=0,LEN($H55)=0,LEN($I55)=0,LEN($K55)=0,LEN($L55)=0,LEN($M55)=0,LEN($O55)=0),IF($N55="已核定","已核定但資料未完整","待補欄位或核定"),IF(OR(LEN($R55)=0,LEN($S55)=0),IF($N55="已核定","已核定但缺來源依據","待補來源依據"),IF($N55="已核定","可發布","待主管核定")))))))</x:f>
      </x:c>
      <x:c r="R55" s="421"/>
      <x:c r="S55" s="421"/>
      <x:c r="T55" s="575"/>
      <x:c r="U55" s="582" t="str">
        <x:f>IF($D55="","",IF($Q55&lt;&gt;"可發布","模式規則未發布",IF($T55&lt;&gt;"已完整","能力要求集未確認",IF(COUNTIFS('模式能力要求輸入'!$B$7:$B$306,$D55)=0,"尚無能力要求",IF(COUNTIFS('模式能力要求輸入'!$B$7:$B$306,$D55,'模式能力要求輸入'!$R$7:$R$306,"&lt;&gt;可發布")&gt;0,"能力要求未全數發布",IF(COUNTIFS('模式能力要求輸入'!$B$7:$B$306,$D55,'模式能力要求輸入'!$E$7:$E$306,"主跟診",'模式能力要求輸入'!$F$7:$F$306,"必備",'模式能力要求輸入'!$R$7:$R$306,"可發布")=0,"缺少主跟診必備要求","可匯入模式清單"))))))</x:f>
      </x:c>
    </x:row>
    <x:row r="56">
      <x:c r="A56" s="170"/>
      <x:c r="B56" s="170"/>
      <x:c r="C56" s="170"/>
      <x:c r="D56" s="170"/>
      <x:c r="E56" s="170"/>
      <x:c r="F56" s="170"/>
      <x:c r="G56" s="170"/>
      <x:c r="H56" s="170"/>
      <x:c r="I56" s="170"/>
      <x:c r="J56" s="170"/>
      <x:c r="K56" s="170"/>
      <x:c r="L56" s="170"/>
      <x:c r="M56" s="171"/>
      <x:c r="N56" s="170"/>
      <x:c r="O56" s="170"/>
      <x:c r="P56" s="170"/>
      <x:c r="Q56" s="235" t="str">
        <x:f>IF(LEN($B56)=0,"",IF($N56="停用","停用",IF($N56="退回補件","退回補件",IF(COUNTIFS($A$7:$A$156,$A56)&gt;1,"規則編號重複",IF(OR(LEN($C56)=0,LEN($D56)=0,LEN($E56)=0,LEN($F56)=0,LEN($G56)=0,LEN($H56)=0,LEN($I56)=0,LEN($K56)=0,LEN($L56)=0,LEN($M56)=0,LEN($O56)=0),IF($N56="已核定","已核定但資料未完整","待補欄位或核定"),IF(OR(LEN($R56)=0,LEN($S56)=0),IF($N56="已核定","已核定但缺來源依據","待補來源依據"),IF($N56="已核定","可發布","待主管核定")))))))</x:f>
      </x:c>
      <x:c r="R56" s="421"/>
      <x:c r="S56" s="421"/>
      <x:c r="T56" s="575"/>
      <x:c r="U56" s="582" t="str">
        <x:f>IF($D56="","",IF($Q56&lt;&gt;"可發布","模式規則未發布",IF($T56&lt;&gt;"已完整","能力要求集未確認",IF(COUNTIFS('模式能力要求輸入'!$B$7:$B$306,$D56)=0,"尚無能力要求",IF(COUNTIFS('模式能力要求輸入'!$B$7:$B$306,$D56,'模式能力要求輸入'!$R$7:$R$306,"&lt;&gt;可發布")&gt;0,"能力要求未全數發布",IF(COUNTIFS('模式能力要求輸入'!$B$7:$B$306,$D56,'模式能力要求輸入'!$E$7:$E$306,"主跟診",'模式能力要求輸入'!$F$7:$F$306,"必備",'模式能力要求輸入'!$R$7:$R$306,"可發布")=0,"缺少主跟診必備要求","可匯入模式清單"))))))</x:f>
      </x:c>
    </x:row>
    <x:row r="57">
      <x:c r="A57" s="170"/>
      <x:c r="B57" s="170"/>
      <x:c r="C57" s="170"/>
      <x:c r="D57" s="170"/>
      <x:c r="E57" s="170"/>
      <x:c r="F57" s="170"/>
      <x:c r="G57" s="170"/>
      <x:c r="H57" s="170"/>
      <x:c r="I57" s="170"/>
      <x:c r="J57" s="170"/>
      <x:c r="K57" s="170"/>
      <x:c r="L57" s="170"/>
      <x:c r="M57" s="171"/>
      <x:c r="N57" s="170"/>
      <x:c r="O57" s="170"/>
      <x:c r="P57" s="170"/>
      <x:c r="Q57" s="235" t="str">
        <x:f>IF(LEN($B57)=0,"",IF($N57="停用","停用",IF($N57="退回補件","退回補件",IF(COUNTIFS($A$7:$A$156,$A57)&gt;1,"規則編號重複",IF(OR(LEN($C57)=0,LEN($D57)=0,LEN($E57)=0,LEN($F57)=0,LEN($G57)=0,LEN($H57)=0,LEN($I57)=0,LEN($K57)=0,LEN($L57)=0,LEN($M57)=0,LEN($O57)=0),IF($N57="已核定","已核定但資料未完整","待補欄位或核定"),IF(OR(LEN($R57)=0,LEN($S57)=0),IF($N57="已核定","已核定但缺來源依據","待補來源依據"),IF($N57="已核定","可發布","待主管核定")))))))</x:f>
      </x:c>
      <x:c r="R57" s="421"/>
      <x:c r="S57" s="421"/>
      <x:c r="T57" s="575"/>
      <x:c r="U57" s="582" t="str">
        <x:f>IF($D57="","",IF($Q57&lt;&gt;"可發布","模式規則未發布",IF($T57&lt;&gt;"已完整","能力要求集未確認",IF(COUNTIFS('模式能力要求輸入'!$B$7:$B$306,$D57)=0,"尚無能力要求",IF(COUNTIFS('模式能力要求輸入'!$B$7:$B$306,$D57,'模式能力要求輸入'!$R$7:$R$306,"&lt;&gt;可發布")&gt;0,"能力要求未全數發布",IF(COUNTIFS('模式能力要求輸入'!$B$7:$B$306,$D57,'模式能力要求輸入'!$E$7:$E$306,"主跟診",'模式能力要求輸入'!$F$7:$F$306,"必備",'模式能力要求輸入'!$R$7:$R$306,"可發布")=0,"缺少主跟診必備要求","可匯入模式清單"))))))</x:f>
      </x:c>
    </x:row>
    <x:row r="58">
      <x:c r="A58" s="170"/>
      <x:c r="B58" s="170"/>
      <x:c r="C58" s="170"/>
      <x:c r="D58" s="170"/>
      <x:c r="E58" s="170"/>
      <x:c r="F58" s="170"/>
      <x:c r="G58" s="170"/>
      <x:c r="H58" s="170"/>
      <x:c r="I58" s="170"/>
      <x:c r="J58" s="170"/>
      <x:c r="K58" s="170"/>
      <x:c r="L58" s="170"/>
      <x:c r="M58" s="171"/>
      <x:c r="N58" s="170"/>
      <x:c r="O58" s="170"/>
      <x:c r="P58" s="170"/>
      <x:c r="Q58" s="235" t="str">
        <x:f>IF(LEN($B58)=0,"",IF($N58="停用","停用",IF($N58="退回補件","退回補件",IF(COUNTIFS($A$7:$A$156,$A58)&gt;1,"規則編號重複",IF(OR(LEN($C58)=0,LEN($D58)=0,LEN($E58)=0,LEN($F58)=0,LEN($G58)=0,LEN($H58)=0,LEN($I58)=0,LEN($K58)=0,LEN($L58)=0,LEN($M58)=0,LEN($O58)=0),IF($N58="已核定","已核定但資料未完整","待補欄位或核定"),IF(OR(LEN($R58)=0,LEN($S58)=0),IF($N58="已核定","已核定但缺來源依據","待補來源依據"),IF($N58="已核定","可發布","待主管核定")))))))</x:f>
      </x:c>
      <x:c r="R58" s="421"/>
      <x:c r="S58" s="421"/>
      <x:c r="T58" s="575"/>
      <x:c r="U58" s="582" t="str">
        <x:f>IF($D58="","",IF($Q58&lt;&gt;"可發布","模式規則未發布",IF($T58&lt;&gt;"已完整","能力要求集未確認",IF(COUNTIFS('模式能力要求輸入'!$B$7:$B$306,$D58)=0,"尚無能力要求",IF(COUNTIFS('模式能力要求輸入'!$B$7:$B$306,$D58,'模式能力要求輸入'!$R$7:$R$306,"&lt;&gt;可發布")&gt;0,"能力要求未全數發布",IF(COUNTIFS('模式能力要求輸入'!$B$7:$B$306,$D58,'模式能力要求輸入'!$E$7:$E$306,"主跟診",'模式能力要求輸入'!$F$7:$F$306,"必備",'模式能力要求輸入'!$R$7:$R$306,"可發布")=0,"缺少主跟診必備要求","可匯入模式清單"))))))</x:f>
      </x:c>
    </x:row>
    <x:row r="59">
      <x:c r="A59" s="170"/>
      <x:c r="B59" s="170"/>
      <x:c r="C59" s="170"/>
      <x:c r="D59" s="170"/>
      <x:c r="E59" s="170"/>
      <x:c r="F59" s="170"/>
      <x:c r="G59" s="170"/>
      <x:c r="H59" s="170"/>
      <x:c r="I59" s="170"/>
      <x:c r="J59" s="170"/>
      <x:c r="K59" s="170"/>
      <x:c r="L59" s="170"/>
      <x:c r="M59" s="171"/>
      <x:c r="N59" s="170"/>
      <x:c r="O59" s="170"/>
      <x:c r="P59" s="170"/>
      <x:c r="Q59" s="235" t="str">
        <x:f>IF(LEN($B59)=0,"",IF($N59="停用","停用",IF($N59="退回補件","退回補件",IF(COUNTIFS($A$7:$A$156,$A59)&gt;1,"規則編號重複",IF(OR(LEN($C59)=0,LEN($D59)=0,LEN($E59)=0,LEN($F59)=0,LEN($G59)=0,LEN($H59)=0,LEN($I59)=0,LEN($K59)=0,LEN($L59)=0,LEN($M59)=0,LEN($O59)=0),IF($N59="已核定","已核定但資料未完整","待補欄位或核定"),IF(OR(LEN($R59)=0,LEN($S59)=0),IF($N59="已核定","已核定但缺來源依據","待補來源依據"),IF($N59="已核定","可發布","待主管核定")))))))</x:f>
      </x:c>
      <x:c r="R59" s="421"/>
      <x:c r="S59" s="421"/>
      <x:c r="T59" s="575"/>
      <x:c r="U59" s="582" t="str">
        <x:f>IF($D59="","",IF($Q59&lt;&gt;"可發布","模式規則未發布",IF($T59&lt;&gt;"已完整","能力要求集未確認",IF(COUNTIFS('模式能力要求輸入'!$B$7:$B$306,$D59)=0,"尚無能力要求",IF(COUNTIFS('模式能力要求輸入'!$B$7:$B$306,$D59,'模式能力要求輸入'!$R$7:$R$306,"&lt;&gt;可發布")&gt;0,"能力要求未全數發布",IF(COUNTIFS('模式能力要求輸入'!$B$7:$B$306,$D59,'模式能力要求輸入'!$E$7:$E$306,"主跟診",'模式能力要求輸入'!$F$7:$F$306,"必備",'模式能力要求輸入'!$R$7:$R$306,"可發布")=0,"缺少主跟診必備要求","可匯入模式清單"))))))</x:f>
      </x:c>
    </x:row>
    <x:row r="60">
      <x:c r="A60" s="170"/>
      <x:c r="B60" s="170"/>
      <x:c r="C60" s="170"/>
      <x:c r="D60" s="170"/>
      <x:c r="E60" s="170"/>
      <x:c r="F60" s="170"/>
      <x:c r="G60" s="170"/>
      <x:c r="H60" s="170"/>
      <x:c r="I60" s="170"/>
      <x:c r="J60" s="170"/>
      <x:c r="K60" s="170"/>
      <x:c r="L60" s="170"/>
      <x:c r="M60" s="171"/>
      <x:c r="N60" s="170"/>
      <x:c r="O60" s="170"/>
      <x:c r="P60" s="170"/>
      <x:c r="Q60" s="235" t="str">
        <x:f>IF(LEN($B60)=0,"",IF($N60="停用","停用",IF($N60="退回補件","退回補件",IF(COUNTIFS($A$7:$A$156,$A60)&gt;1,"規則編號重複",IF(OR(LEN($C60)=0,LEN($D60)=0,LEN($E60)=0,LEN($F60)=0,LEN($G60)=0,LEN($H60)=0,LEN($I60)=0,LEN($K60)=0,LEN($L60)=0,LEN($M60)=0,LEN($O60)=0),IF($N60="已核定","已核定但資料未完整","待補欄位或核定"),IF(OR(LEN($R60)=0,LEN($S60)=0),IF($N60="已核定","已核定但缺來源依據","待補來源依據"),IF($N60="已核定","可發布","待主管核定")))))))</x:f>
      </x:c>
      <x:c r="R60" s="421"/>
      <x:c r="S60" s="421"/>
      <x:c r="T60" s="575"/>
      <x:c r="U60" s="582" t="str">
        <x:f>IF($D60="","",IF($Q60&lt;&gt;"可發布","模式規則未發布",IF($T60&lt;&gt;"已完整","能力要求集未確認",IF(COUNTIFS('模式能力要求輸入'!$B$7:$B$306,$D60)=0,"尚無能力要求",IF(COUNTIFS('模式能力要求輸入'!$B$7:$B$306,$D60,'模式能力要求輸入'!$R$7:$R$306,"&lt;&gt;可發布")&gt;0,"能力要求未全數發布",IF(COUNTIFS('模式能力要求輸入'!$B$7:$B$306,$D60,'模式能力要求輸入'!$E$7:$E$306,"主跟診",'模式能力要求輸入'!$F$7:$F$306,"必備",'模式能力要求輸入'!$R$7:$R$306,"可發布")=0,"缺少主跟診必備要求","可匯入模式清單"))))))</x:f>
      </x:c>
    </x:row>
    <x:row r="61">
      <x:c r="A61" s="170"/>
      <x:c r="B61" s="170"/>
      <x:c r="C61" s="170"/>
      <x:c r="D61" s="170"/>
      <x:c r="E61" s="170"/>
      <x:c r="F61" s="170"/>
      <x:c r="G61" s="170"/>
      <x:c r="H61" s="170"/>
      <x:c r="I61" s="170"/>
      <x:c r="J61" s="170"/>
      <x:c r="K61" s="170"/>
      <x:c r="L61" s="170"/>
      <x:c r="M61" s="171"/>
      <x:c r="N61" s="170"/>
      <x:c r="O61" s="170"/>
      <x:c r="P61" s="170"/>
      <x:c r="Q61" s="235" t="str">
        <x:f>IF(LEN($B61)=0,"",IF($N61="停用","停用",IF($N61="退回補件","退回補件",IF(COUNTIFS($A$7:$A$156,$A61)&gt;1,"規則編號重複",IF(OR(LEN($C61)=0,LEN($D61)=0,LEN($E61)=0,LEN($F61)=0,LEN($G61)=0,LEN($H61)=0,LEN($I61)=0,LEN($K61)=0,LEN($L61)=0,LEN($M61)=0,LEN($O61)=0),IF($N61="已核定","已核定但資料未完整","待補欄位或核定"),IF(OR(LEN($R61)=0,LEN($S61)=0),IF($N61="已核定","已核定但缺來源依據","待補來源依據"),IF($N61="已核定","可發布","待主管核定")))))))</x:f>
      </x:c>
      <x:c r="R61" s="421"/>
      <x:c r="S61" s="421"/>
      <x:c r="T61" s="575"/>
      <x:c r="U61" s="582" t="str">
        <x:f>IF($D61="","",IF($Q61&lt;&gt;"可發布","模式規則未發布",IF($T61&lt;&gt;"已完整","能力要求集未確認",IF(COUNTIFS('模式能力要求輸入'!$B$7:$B$306,$D61)=0,"尚無能力要求",IF(COUNTIFS('模式能力要求輸入'!$B$7:$B$306,$D61,'模式能力要求輸入'!$R$7:$R$306,"&lt;&gt;可發布")&gt;0,"能力要求未全數發布",IF(COUNTIFS('模式能力要求輸入'!$B$7:$B$306,$D61,'模式能力要求輸入'!$E$7:$E$306,"主跟診",'模式能力要求輸入'!$F$7:$F$306,"必備",'模式能力要求輸入'!$R$7:$R$306,"可發布")=0,"缺少主跟診必備要求","可匯入模式清單"))))))</x:f>
      </x:c>
    </x:row>
    <x:row r="62">
      <x:c r="A62" s="170"/>
      <x:c r="B62" s="170"/>
      <x:c r="C62" s="170"/>
      <x:c r="D62" s="170"/>
      <x:c r="E62" s="170"/>
      <x:c r="F62" s="170"/>
      <x:c r="G62" s="170"/>
      <x:c r="H62" s="170"/>
      <x:c r="I62" s="170"/>
      <x:c r="J62" s="170"/>
      <x:c r="K62" s="170"/>
      <x:c r="L62" s="170"/>
      <x:c r="M62" s="171"/>
      <x:c r="N62" s="170"/>
      <x:c r="O62" s="170"/>
      <x:c r="P62" s="170"/>
      <x:c r="Q62" s="235" t="str">
        <x:f>IF(LEN($B62)=0,"",IF($N62="停用","停用",IF($N62="退回補件","退回補件",IF(COUNTIFS($A$7:$A$156,$A62)&gt;1,"規則編號重複",IF(OR(LEN($C62)=0,LEN($D62)=0,LEN($E62)=0,LEN($F62)=0,LEN($G62)=0,LEN($H62)=0,LEN($I62)=0,LEN($K62)=0,LEN($L62)=0,LEN($M62)=0,LEN($O62)=0),IF($N62="已核定","已核定但資料未完整","待補欄位或核定"),IF(OR(LEN($R62)=0,LEN($S62)=0),IF($N62="已核定","已核定但缺來源依據","待補來源依據"),IF($N62="已核定","可發布","待主管核定")))))))</x:f>
      </x:c>
      <x:c r="R62" s="421"/>
      <x:c r="S62" s="421"/>
      <x:c r="T62" s="575"/>
      <x:c r="U62" s="582" t="str">
        <x:f>IF($D62="","",IF($Q62&lt;&gt;"可發布","模式規則未發布",IF($T62&lt;&gt;"已完整","能力要求集未確認",IF(COUNTIFS('模式能力要求輸入'!$B$7:$B$306,$D62)=0,"尚無能力要求",IF(COUNTIFS('模式能力要求輸入'!$B$7:$B$306,$D62,'模式能力要求輸入'!$R$7:$R$306,"&lt;&gt;可發布")&gt;0,"能力要求未全數發布",IF(COUNTIFS('模式能力要求輸入'!$B$7:$B$306,$D62,'模式能力要求輸入'!$E$7:$E$306,"主跟診",'模式能力要求輸入'!$F$7:$F$306,"必備",'模式能力要求輸入'!$R$7:$R$306,"可發布")=0,"缺少主跟診必備要求","可匯入模式清單"))))))</x:f>
      </x:c>
    </x:row>
    <x:row r="63">
      <x:c r="A63" s="170"/>
      <x:c r="B63" s="170"/>
      <x:c r="C63" s="170"/>
      <x:c r="D63" s="170"/>
      <x:c r="E63" s="170"/>
      <x:c r="F63" s="170"/>
      <x:c r="G63" s="170"/>
      <x:c r="H63" s="170"/>
      <x:c r="I63" s="170"/>
      <x:c r="J63" s="170"/>
      <x:c r="K63" s="170"/>
      <x:c r="L63" s="170"/>
      <x:c r="M63" s="171"/>
      <x:c r="N63" s="170"/>
      <x:c r="O63" s="170"/>
      <x:c r="P63" s="170"/>
      <x:c r="Q63" s="235" t="str">
        <x:f>IF(LEN($B63)=0,"",IF($N63="停用","停用",IF($N63="退回補件","退回補件",IF(COUNTIFS($A$7:$A$156,$A63)&gt;1,"規則編號重複",IF(OR(LEN($C63)=0,LEN($D63)=0,LEN($E63)=0,LEN($F63)=0,LEN($G63)=0,LEN($H63)=0,LEN($I63)=0,LEN($K63)=0,LEN($L63)=0,LEN($M63)=0,LEN($O63)=0),IF($N63="已核定","已核定但資料未完整","待補欄位或核定"),IF(OR(LEN($R63)=0,LEN($S63)=0),IF($N63="已核定","已核定但缺來源依據","待補來源依據"),IF($N63="已核定","可發布","待主管核定")))))))</x:f>
      </x:c>
      <x:c r="R63" s="421"/>
      <x:c r="S63" s="421"/>
      <x:c r="T63" s="575"/>
      <x:c r="U63" s="582" t="str">
        <x:f>IF($D63="","",IF($Q63&lt;&gt;"可發布","模式規則未發布",IF($T63&lt;&gt;"已完整","能力要求集未確認",IF(COUNTIFS('模式能力要求輸入'!$B$7:$B$306,$D63)=0,"尚無能力要求",IF(COUNTIFS('模式能力要求輸入'!$B$7:$B$306,$D63,'模式能力要求輸入'!$R$7:$R$306,"&lt;&gt;可發布")&gt;0,"能力要求未全數發布",IF(COUNTIFS('模式能力要求輸入'!$B$7:$B$306,$D63,'模式能力要求輸入'!$E$7:$E$306,"主跟診",'模式能力要求輸入'!$F$7:$F$306,"必備",'模式能力要求輸入'!$R$7:$R$306,"可發布")=0,"缺少主跟診必備要求","可匯入模式清單"))))))</x:f>
      </x:c>
    </x:row>
    <x:row r="64">
      <x:c r="A64" s="170"/>
      <x:c r="B64" s="170"/>
      <x:c r="C64" s="170"/>
      <x:c r="D64" s="170"/>
      <x:c r="E64" s="170"/>
      <x:c r="F64" s="170"/>
      <x:c r="G64" s="170"/>
      <x:c r="H64" s="170"/>
      <x:c r="I64" s="170"/>
      <x:c r="J64" s="170"/>
      <x:c r="K64" s="170"/>
      <x:c r="L64" s="170"/>
      <x:c r="M64" s="171"/>
      <x:c r="N64" s="170"/>
      <x:c r="O64" s="170"/>
      <x:c r="P64" s="170"/>
      <x:c r="Q64" s="235" t="str">
        <x:f>IF(LEN($B64)=0,"",IF($N64="停用","停用",IF($N64="退回補件","退回補件",IF(COUNTIFS($A$7:$A$156,$A64)&gt;1,"規則編號重複",IF(OR(LEN($C64)=0,LEN($D64)=0,LEN($E64)=0,LEN($F64)=0,LEN($G64)=0,LEN($H64)=0,LEN($I64)=0,LEN($K64)=0,LEN($L64)=0,LEN($M64)=0,LEN($O64)=0),IF($N64="已核定","已核定但資料未完整","待補欄位或核定"),IF(OR(LEN($R64)=0,LEN($S64)=0),IF($N64="已核定","已核定但缺來源依據","待補來源依據"),IF($N64="已核定","可發布","待主管核定")))))))</x:f>
      </x:c>
      <x:c r="R64" s="421"/>
      <x:c r="S64" s="421"/>
      <x:c r="T64" s="575"/>
      <x:c r="U64" s="582" t="str">
        <x:f>IF($D64="","",IF($Q64&lt;&gt;"可發布","模式規則未發布",IF($T64&lt;&gt;"已完整","能力要求集未確認",IF(COUNTIFS('模式能力要求輸入'!$B$7:$B$306,$D64)=0,"尚無能力要求",IF(COUNTIFS('模式能力要求輸入'!$B$7:$B$306,$D64,'模式能力要求輸入'!$R$7:$R$306,"&lt;&gt;可發布")&gt;0,"能力要求未全數發布",IF(COUNTIFS('模式能力要求輸入'!$B$7:$B$306,$D64,'模式能力要求輸入'!$E$7:$E$306,"主跟診",'模式能力要求輸入'!$F$7:$F$306,"必備",'模式能力要求輸入'!$R$7:$R$306,"可發布")=0,"缺少主跟診必備要求","可匯入模式清單"))))))</x:f>
      </x:c>
    </x:row>
    <x:row r="65">
      <x:c r="A65" s="170"/>
      <x:c r="B65" s="170"/>
      <x:c r="C65" s="170"/>
      <x:c r="D65" s="170"/>
      <x:c r="E65" s="170"/>
      <x:c r="F65" s="170"/>
      <x:c r="G65" s="170"/>
      <x:c r="H65" s="170"/>
      <x:c r="I65" s="170"/>
      <x:c r="J65" s="170"/>
      <x:c r="K65" s="170"/>
      <x:c r="L65" s="170"/>
      <x:c r="M65" s="171"/>
      <x:c r="N65" s="170"/>
      <x:c r="O65" s="170"/>
      <x:c r="P65" s="170"/>
      <x:c r="Q65" s="235" t="str">
        <x:f>IF(LEN($B65)=0,"",IF($N65="停用","停用",IF($N65="退回補件","退回補件",IF(COUNTIFS($A$7:$A$156,$A65)&gt;1,"規則編號重複",IF(OR(LEN($C65)=0,LEN($D65)=0,LEN($E65)=0,LEN($F65)=0,LEN($G65)=0,LEN($H65)=0,LEN($I65)=0,LEN($K65)=0,LEN($L65)=0,LEN($M65)=0,LEN($O65)=0),IF($N65="已核定","已核定但資料未完整","待補欄位或核定"),IF(OR(LEN($R65)=0,LEN($S65)=0),IF($N65="已核定","已核定但缺來源依據","待補來源依據"),IF($N65="已核定","可發布","待主管核定")))))))</x:f>
      </x:c>
      <x:c r="R65" s="421"/>
      <x:c r="S65" s="421"/>
      <x:c r="T65" s="575"/>
      <x:c r="U65" s="582" t="str">
        <x:f>IF($D65="","",IF($Q65&lt;&gt;"可發布","模式規則未發布",IF($T65&lt;&gt;"已完整","能力要求集未確認",IF(COUNTIFS('模式能力要求輸入'!$B$7:$B$306,$D65)=0,"尚無能力要求",IF(COUNTIFS('模式能力要求輸入'!$B$7:$B$306,$D65,'模式能力要求輸入'!$R$7:$R$306,"&lt;&gt;可發布")&gt;0,"能力要求未全數發布",IF(COUNTIFS('模式能力要求輸入'!$B$7:$B$306,$D65,'模式能力要求輸入'!$E$7:$E$306,"主跟診",'模式能力要求輸入'!$F$7:$F$306,"必備",'模式能力要求輸入'!$R$7:$R$306,"可發布")=0,"缺少主跟診必備要求","可匯入模式清單"))))))</x:f>
      </x:c>
    </x:row>
    <x:row r="66">
      <x:c r="A66" s="170"/>
      <x:c r="B66" s="170"/>
      <x:c r="C66" s="170"/>
      <x:c r="D66" s="170"/>
      <x:c r="E66" s="170"/>
      <x:c r="F66" s="170"/>
      <x:c r="G66" s="170"/>
      <x:c r="H66" s="170"/>
      <x:c r="I66" s="170"/>
      <x:c r="J66" s="170"/>
      <x:c r="K66" s="170"/>
      <x:c r="L66" s="170"/>
      <x:c r="M66" s="171"/>
      <x:c r="N66" s="170"/>
      <x:c r="O66" s="170"/>
      <x:c r="P66" s="170"/>
      <x:c r="Q66" s="235" t="str">
        <x:f>IF(LEN($B66)=0,"",IF($N66="停用","停用",IF($N66="退回補件","退回補件",IF(COUNTIFS($A$7:$A$156,$A66)&gt;1,"規則編號重複",IF(OR(LEN($C66)=0,LEN($D66)=0,LEN($E66)=0,LEN($F66)=0,LEN($G66)=0,LEN($H66)=0,LEN($I66)=0,LEN($K66)=0,LEN($L66)=0,LEN($M66)=0,LEN($O66)=0),IF($N66="已核定","已核定但資料未完整","待補欄位或核定"),IF(OR(LEN($R66)=0,LEN($S66)=0),IF($N66="已核定","已核定但缺來源依據","待補來源依據"),IF($N66="已核定","可發布","待主管核定")))))))</x:f>
      </x:c>
      <x:c r="R66" s="421"/>
      <x:c r="S66" s="421"/>
      <x:c r="T66" s="575"/>
      <x:c r="U66" s="582" t="str">
        <x:f>IF($D66="","",IF($Q66&lt;&gt;"可發布","模式規則未發布",IF($T66&lt;&gt;"已完整","能力要求集未確認",IF(COUNTIFS('模式能力要求輸入'!$B$7:$B$306,$D66)=0,"尚無能力要求",IF(COUNTIFS('模式能力要求輸入'!$B$7:$B$306,$D66,'模式能力要求輸入'!$R$7:$R$306,"&lt;&gt;可發布")&gt;0,"能力要求未全數發布",IF(COUNTIFS('模式能力要求輸入'!$B$7:$B$306,$D66,'模式能力要求輸入'!$E$7:$E$306,"主跟診",'模式能力要求輸入'!$F$7:$F$306,"必備",'模式能力要求輸入'!$R$7:$R$306,"可發布")=0,"缺少主跟診必備要求","可匯入模式清單"))))))</x:f>
      </x:c>
    </x:row>
    <x:row r="67">
      <x:c r="A67" s="170"/>
      <x:c r="B67" s="170"/>
      <x:c r="C67" s="170"/>
      <x:c r="D67" s="170"/>
      <x:c r="E67" s="170"/>
      <x:c r="F67" s="170"/>
      <x:c r="G67" s="170"/>
      <x:c r="H67" s="170"/>
      <x:c r="I67" s="170"/>
      <x:c r="J67" s="170"/>
      <x:c r="K67" s="170"/>
      <x:c r="L67" s="170"/>
      <x:c r="M67" s="171"/>
      <x:c r="N67" s="170"/>
      <x:c r="O67" s="170"/>
      <x:c r="P67" s="170"/>
      <x:c r="Q67" s="235" t="str">
        <x:f>IF(LEN($B67)=0,"",IF($N67="停用","停用",IF($N67="退回補件","退回補件",IF(COUNTIFS($A$7:$A$156,$A67)&gt;1,"規則編號重複",IF(OR(LEN($C67)=0,LEN($D67)=0,LEN($E67)=0,LEN($F67)=0,LEN($G67)=0,LEN($H67)=0,LEN($I67)=0,LEN($K67)=0,LEN($L67)=0,LEN($M67)=0,LEN($O67)=0),IF($N67="已核定","已核定但資料未完整","待補欄位或核定"),IF(OR(LEN($R67)=0,LEN($S67)=0),IF($N67="已核定","已核定但缺來源依據","待補來源依據"),IF($N67="已核定","可發布","待主管核定")))))))</x:f>
      </x:c>
      <x:c r="R67" s="421"/>
      <x:c r="S67" s="421"/>
      <x:c r="T67" s="575"/>
      <x:c r="U67" s="582" t="str">
        <x:f>IF($D67="","",IF($Q67&lt;&gt;"可發布","模式規則未發布",IF($T67&lt;&gt;"已完整","能力要求集未確認",IF(COUNTIFS('模式能力要求輸入'!$B$7:$B$306,$D67)=0,"尚無能力要求",IF(COUNTIFS('模式能力要求輸入'!$B$7:$B$306,$D67,'模式能力要求輸入'!$R$7:$R$306,"&lt;&gt;可發布")&gt;0,"能力要求未全數發布",IF(COUNTIFS('模式能力要求輸入'!$B$7:$B$306,$D67,'模式能力要求輸入'!$E$7:$E$306,"主跟診",'模式能力要求輸入'!$F$7:$F$306,"必備",'模式能力要求輸入'!$R$7:$R$306,"可發布")=0,"缺少主跟診必備要求","可匯入模式清單"))))))</x:f>
      </x:c>
    </x:row>
    <x:row r="68">
      <x:c r="A68" s="170"/>
      <x:c r="B68" s="170"/>
      <x:c r="C68" s="170"/>
      <x:c r="D68" s="170"/>
      <x:c r="E68" s="170"/>
      <x:c r="F68" s="170"/>
      <x:c r="G68" s="170"/>
      <x:c r="H68" s="170"/>
      <x:c r="I68" s="170"/>
      <x:c r="J68" s="170"/>
      <x:c r="K68" s="170"/>
      <x:c r="L68" s="170"/>
      <x:c r="M68" s="171"/>
      <x:c r="N68" s="170"/>
      <x:c r="O68" s="170"/>
      <x:c r="P68" s="170"/>
      <x:c r="Q68" s="235" t="str">
        <x:f>IF(LEN($B68)=0,"",IF($N68="停用","停用",IF($N68="退回補件","退回補件",IF(COUNTIFS($A$7:$A$156,$A68)&gt;1,"規則編號重複",IF(OR(LEN($C68)=0,LEN($D68)=0,LEN($E68)=0,LEN($F68)=0,LEN($G68)=0,LEN($H68)=0,LEN($I68)=0,LEN($K68)=0,LEN($L68)=0,LEN($M68)=0,LEN($O68)=0),IF($N68="已核定","已核定但資料未完整","待補欄位或核定"),IF(OR(LEN($R68)=0,LEN($S68)=0),IF($N68="已核定","已核定但缺來源依據","待補來源依據"),IF($N68="已核定","可發布","待主管核定")))))))</x:f>
      </x:c>
      <x:c r="R68" s="421"/>
      <x:c r="S68" s="421"/>
      <x:c r="T68" s="575"/>
      <x:c r="U68" s="582" t="str">
        <x:f>IF($D68="","",IF($Q68&lt;&gt;"可發布","模式規則未發布",IF($T68&lt;&gt;"已完整","能力要求集未確認",IF(COUNTIFS('模式能力要求輸入'!$B$7:$B$306,$D68)=0,"尚無能力要求",IF(COUNTIFS('模式能力要求輸入'!$B$7:$B$306,$D68,'模式能力要求輸入'!$R$7:$R$306,"&lt;&gt;可發布")&gt;0,"能力要求未全數發布",IF(COUNTIFS('模式能力要求輸入'!$B$7:$B$306,$D68,'模式能力要求輸入'!$E$7:$E$306,"主跟診",'模式能力要求輸入'!$F$7:$F$306,"必備",'模式能力要求輸入'!$R$7:$R$306,"可發布")=0,"缺少主跟診必備要求","可匯入模式清單"))))))</x:f>
      </x:c>
    </x:row>
    <x:row r="69">
      <x:c r="A69" s="170"/>
      <x:c r="B69" s="170"/>
      <x:c r="C69" s="170"/>
      <x:c r="D69" s="170"/>
      <x:c r="E69" s="170"/>
      <x:c r="F69" s="170"/>
      <x:c r="G69" s="170"/>
      <x:c r="H69" s="170"/>
      <x:c r="I69" s="170"/>
      <x:c r="J69" s="170"/>
      <x:c r="K69" s="170"/>
      <x:c r="L69" s="170"/>
      <x:c r="M69" s="171"/>
      <x:c r="N69" s="170"/>
      <x:c r="O69" s="170"/>
      <x:c r="P69" s="170"/>
      <x:c r="Q69" s="235" t="str">
        <x:f>IF(LEN($B69)=0,"",IF($N69="停用","停用",IF($N69="退回補件","退回補件",IF(COUNTIFS($A$7:$A$156,$A69)&gt;1,"規則編號重複",IF(OR(LEN($C69)=0,LEN($D69)=0,LEN($E69)=0,LEN($F69)=0,LEN($G69)=0,LEN($H69)=0,LEN($I69)=0,LEN($K69)=0,LEN($L69)=0,LEN($M69)=0,LEN($O69)=0),IF($N69="已核定","已核定但資料未完整","待補欄位或核定"),IF(OR(LEN($R69)=0,LEN($S69)=0),IF($N69="已核定","已核定但缺來源依據","待補來源依據"),IF($N69="已核定","可發布","待主管核定")))))))</x:f>
      </x:c>
      <x:c r="R69" s="421"/>
      <x:c r="S69" s="421"/>
      <x:c r="T69" s="575"/>
      <x:c r="U69" s="582" t="str">
        <x:f>IF($D69="","",IF($Q69&lt;&gt;"可發布","模式規則未發布",IF($T69&lt;&gt;"已完整","能力要求集未確認",IF(COUNTIFS('模式能力要求輸入'!$B$7:$B$306,$D69)=0,"尚無能力要求",IF(COUNTIFS('模式能力要求輸入'!$B$7:$B$306,$D69,'模式能力要求輸入'!$R$7:$R$306,"&lt;&gt;可發布")&gt;0,"能力要求未全數發布",IF(COUNTIFS('模式能力要求輸入'!$B$7:$B$306,$D69,'模式能力要求輸入'!$E$7:$E$306,"主跟診",'模式能力要求輸入'!$F$7:$F$306,"必備",'模式能力要求輸入'!$R$7:$R$306,"可發布")=0,"缺少主跟診必備要求","可匯入模式清單"))))))</x:f>
      </x:c>
    </x:row>
    <x:row r="70">
      <x:c r="A70" s="170"/>
      <x:c r="B70" s="170"/>
      <x:c r="C70" s="170"/>
      <x:c r="D70" s="170"/>
      <x:c r="E70" s="170"/>
      <x:c r="F70" s="170"/>
      <x:c r="G70" s="170"/>
      <x:c r="H70" s="170"/>
      <x:c r="I70" s="170"/>
      <x:c r="J70" s="170"/>
      <x:c r="K70" s="170"/>
      <x:c r="L70" s="170"/>
      <x:c r="M70" s="171"/>
      <x:c r="N70" s="170"/>
      <x:c r="O70" s="170"/>
      <x:c r="P70" s="170"/>
      <x:c r="Q70" s="235" t="str">
        <x:f>IF(LEN($B70)=0,"",IF($N70="停用","停用",IF($N70="退回補件","退回補件",IF(COUNTIFS($A$7:$A$156,$A70)&gt;1,"規則編號重複",IF(OR(LEN($C70)=0,LEN($D70)=0,LEN($E70)=0,LEN($F70)=0,LEN($G70)=0,LEN($H70)=0,LEN($I70)=0,LEN($K70)=0,LEN($L70)=0,LEN($M70)=0,LEN($O70)=0),IF($N70="已核定","已核定但資料未完整","待補欄位或核定"),IF(OR(LEN($R70)=0,LEN($S70)=0),IF($N70="已核定","已核定但缺來源依據","待補來源依據"),IF($N70="已核定","可發布","待主管核定")))))))</x:f>
      </x:c>
      <x:c r="R70" s="421"/>
      <x:c r="S70" s="421"/>
      <x:c r="T70" s="575"/>
      <x:c r="U70" s="582" t="str">
        <x:f>IF($D70="","",IF($Q70&lt;&gt;"可發布","模式規則未發布",IF($T70&lt;&gt;"已完整","能力要求集未確認",IF(COUNTIFS('模式能力要求輸入'!$B$7:$B$306,$D70)=0,"尚無能力要求",IF(COUNTIFS('模式能力要求輸入'!$B$7:$B$306,$D70,'模式能力要求輸入'!$R$7:$R$306,"&lt;&gt;可發布")&gt;0,"能力要求未全數發布",IF(COUNTIFS('模式能力要求輸入'!$B$7:$B$306,$D70,'模式能力要求輸入'!$E$7:$E$306,"主跟診",'模式能力要求輸入'!$F$7:$F$306,"必備",'模式能力要求輸入'!$R$7:$R$306,"可發布")=0,"缺少主跟診必備要求","可匯入模式清單"))))))</x:f>
      </x:c>
    </x:row>
    <x:row r="71">
      <x:c r="A71" s="170"/>
      <x:c r="B71" s="170"/>
      <x:c r="C71" s="170"/>
      <x:c r="D71" s="170"/>
      <x:c r="E71" s="170"/>
      <x:c r="F71" s="170"/>
      <x:c r="G71" s="170"/>
      <x:c r="H71" s="170"/>
      <x:c r="I71" s="170"/>
      <x:c r="J71" s="170"/>
      <x:c r="K71" s="170"/>
      <x:c r="L71" s="170"/>
      <x:c r="M71" s="171"/>
      <x:c r="N71" s="170"/>
      <x:c r="O71" s="170"/>
      <x:c r="P71" s="170"/>
      <x:c r="Q71" s="235" t="str">
        <x:f>IF(LEN($B71)=0,"",IF($N71="停用","停用",IF($N71="退回補件","退回補件",IF(COUNTIFS($A$7:$A$156,$A71)&gt;1,"規則編號重複",IF(OR(LEN($C71)=0,LEN($D71)=0,LEN($E71)=0,LEN($F71)=0,LEN($G71)=0,LEN($H71)=0,LEN($I71)=0,LEN($K71)=0,LEN($L71)=0,LEN($M71)=0,LEN($O71)=0),IF($N71="已核定","已核定但資料未完整","待補欄位或核定"),IF(OR(LEN($R71)=0,LEN($S71)=0),IF($N71="已核定","已核定但缺來源依據","待補來源依據"),IF($N71="已核定","可發布","待主管核定")))))))</x:f>
      </x:c>
      <x:c r="R71" s="421"/>
      <x:c r="S71" s="421"/>
      <x:c r="T71" s="575"/>
      <x:c r="U71" s="582" t="str">
        <x:f>IF($D71="","",IF($Q71&lt;&gt;"可發布","模式規則未發布",IF($T71&lt;&gt;"已完整","能力要求集未確認",IF(COUNTIFS('模式能力要求輸入'!$B$7:$B$306,$D71)=0,"尚無能力要求",IF(COUNTIFS('模式能力要求輸入'!$B$7:$B$306,$D71,'模式能力要求輸入'!$R$7:$R$306,"&lt;&gt;可發布")&gt;0,"能力要求未全數發布",IF(COUNTIFS('模式能力要求輸入'!$B$7:$B$306,$D71,'模式能力要求輸入'!$E$7:$E$306,"主跟診",'模式能力要求輸入'!$F$7:$F$306,"必備",'模式能力要求輸入'!$R$7:$R$306,"可發布")=0,"缺少主跟診必備要求","可匯入模式清單"))))))</x:f>
      </x:c>
    </x:row>
    <x:row r="72">
      <x:c r="A72" s="170"/>
      <x:c r="B72" s="170"/>
      <x:c r="C72" s="170"/>
      <x:c r="D72" s="170"/>
      <x:c r="E72" s="170"/>
      <x:c r="F72" s="170"/>
      <x:c r="G72" s="170"/>
      <x:c r="H72" s="170"/>
      <x:c r="I72" s="170"/>
      <x:c r="J72" s="170"/>
      <x:c r="K72" s="170"/>
      <x:c r="L72" s="170"/>
      <x:c r="M72" s="171"/>
      <x:c r="N72" s="170"/>
      <x:c r="O72" s="170"/>
      <x:c r="P72" s="170"/>
      <x:c r="Q72" s="235" t="str">
        <x:f>IF(LEN($B72)=0,"",IF($N72="停用","停用",IF($N72="退回補件","退回補件",IF(COUNTIFS($A$7:$A$156,$A72)&gt;1,"規則編號重複",IF(OR(LEN($C72)=0,LEN($D72)=0,LEN($E72)=0,LEN($F72)=0,LEN($G72)=0,LEN($H72)=0,LEN($I72)=0,LEN($K72)=0,LEN($L72)=0,LEN($M72)=0,LEN($O72)=0),IF($N72="已核定","已核定但資料未完整","待補欄位或核定"),IF(OR(LEN($R72)=0,LEN($S72)=0),IF($N72="已核定","已核定但缺來源依據","待補來源依據"),IF($N72="已核定","可發布","待主管核定")))))))</x:f>
      </x:c>
      <x:c r="R72" s="421"/>
      <x:c r="S72" s="421"/>
      <x:c r="T72" s="575"/>
      <x:c r="U72" s="582" t="str">
        <x:f>IF($D72="","",IF($Q72&lt;&gt;"可發布","模式規則未發布",IF($T72&lt;&gt;"已完整","能力要求集未確認",IF(COUNTIFS('模式能力要求輸入'!$B$7:$B$306,$D72)=0,"尚無能力要求",IF(COUNTIFS('模式能力要求輸入'!$B$7:$B$306,$D72,'模式能力要求輸入'!$R$7:$R$306,"&lt;&gt;可發布")&gt;0,"能力要求未全數發布",IF(COUNTIFS('模式能力要求輸入'!$B$7:$B$306,$D72,'模式能力要求輸入'!$E$7:$E$306,"主跟診",'模式能力要求輸入'!$F$7:$F$306,"必備",'模式能力要求輸入'!$R$7:$R$306,"可發布")=0,"缺少主跟診必備要求","可匯入模式清單"))))))</x:f>
      </x:c>
    </x:row>
    <x:row r="73">
      <x:c r="A73" s="170"/>
      <x:c r="B73" s="170"/>
      <x:c r="C73" s="170"/>
      <x:c r="D73" s="170"/>
      <x:c r="E73" s="170"/>
      <x:c r="F73" s="170"/>
      <x:c r="G73" s="170"/>
      <x:c r="H73" s="170"/>
      <x:c r="I73" s="170"/>
      <x:c r="J73" s="170"/>
      <x:c r="K73" s="170"/>
      <x:c r="L73" s="170"/>
      <x:c r="M73" s="171"/>
      <x:c r="N73" s="170"/>
      <x:c r="O73" s="170"/>
      <x:c r="P73" s="170"/>
      <x:c r="Q73" s="235" t="str">
        <x:f>IF(LEN($B73)=0,"",IF($N73="停用","停用",IF($N73="退回補件","退回補件",IF(COUNTIFS($A$7:$A$156,$A73)&gt;1,"規則編號重複",IF(OR(LEN($C73)=0,LEN($D73)=0,LEN($E73)=0,LEN($F73)=0,LEN($G73)=0,LEN($H73)=0,LEN($I73)=0,LEN($K73)=0,LEN($L73)=0,LEN($M73)=0,LEN($O73)=0),IF($N73="已核定","已核定但資料未完整","待補欄位或核定"),IF(OR(LEN($R73)=0,LEN($S73)=0),IF($N73="已核定","已核定但缺來源依據","待補來源依據"),IF($N73="已核定","可發布","待主管核定")))))))</x:f>
      </x:c>
      <x:c r="R73" s="421"/>
      <x:c r="S73" s="421"/>
      <x:c r="T73" s="575"/>
      <x:c r="U73" s="582" t="str">
        <x:f>IF($D73="","",IF($Q73&lt;&gt;"可發布","模式規則未發布",IF($T73&lt;&gt;"已完整","能力要求集未確認",IF(COUNTIFS('模式能力要求輸入'!$B$7:$B$306,$D73)=0,"尚無能力要求",IF(COUNTIFS('模式能力要求輸入'!$B$7:$B$306,$D73,'模式能力要求輸入'!$R$7:$R$306,"&lt;&gt;可發布")&gt;0,"能力要求未全數發布",IF(COUNTIFS('模式能力要求輸入'!$B$7:$B$306,$D73,'模式能力要求輸入'!$E$7:$E$306,"主跟診",'模式能力要求輸入'!$F$7:$F$306,"必備",'模式能力要求輸入'!$R$7:$R$306,"可發布")=0,"缺少主跟診必備要求","可匯入模式清單"))))))</x:f>
      </x:c>
    </x:row>
    <x:row r="74">
      <x:c r="A74" s="170"/>
      <x:c r="B74" s="170"/>
      <x:c r="C74" s="170"/>
      <x:c r="D74" s="170"/>
      <x:c r="E74" s="170"/>
      <x:c r="F74" s="170"/>
      <x:c r="G74" s="170"/>
      <x:c r="H74" s="170"/>
      <x:c r="I74" s="170"/>
      <x:c r="J74" s="170"/>
      <x:c r="K74" s="170"/>
      <x:c r="L74" s="170"/>
      <x:c r="M74" s="171"/>
      <x:c r="N74" s="170"/>
      <x:c r="O74" s="170"/>
      <x:c r="P74" s="170"/>
      <x:c r="Q74" s="235" t="str">
        <x:f>IF(LEN($B74)=0,"",IF($N74="停用","停用",IF($N74="退回補件","退回補件",IF(COUNTIFS($A$7:$A$156,$A74)&gt;1,"規則編號重複",IF(OR(LEN($C74)=0,LEN($D74)=0,LEN($E74)=0,LEN($F74)=0,LEN($G74)=0,LEN($H74)=0,LEN($I74)=0,LEN($K74)=0,LEN($L74)=0,LEN($M74)=0,LEN($O74)=0),IF($N74="已核定","已核定但資料未完整","待補欄位或核定"),IF(OR(LEN($R74)=0,LEN($S74)=0),IF($N74="已核定","已核定但缺來源依據","待補來源依據"),IF($N74="已核定","可發布","待主管核定")))))))</x:f>
      </x:c>
      <x:c r="R74" s="421"/>
      <x:c r="S74" s="421"/>
      <x:c r="T74" s="575"/>
      <x:c r="U74" s="582" t="str">
        <x:f>IF($D74="","",IF($Q74&lt;&gt;"可發布","模式規則未發布",IF($T74&lt;&gt;"已完整","能力要求集未確認",IF(COUNTIFS('模式能力要求輸入'!$B$7:$B$306,$D74)=0,"尚無能力要求",IF(COUNTIFS('模式能力要求輸入'!$B$7:$B$306,$D74,'模式能力要求輸入'!$R$7:$R$306,"&lt;&gt;可發布")&gt;0,"能力要求未全數發布",IF(COUNTIFS('模式能力要求輸入'!$B$7:$B$306,$D74,'模式能力要求輸入'!$E$7:$E$306,"主跟診",'模式能力要求輸入'!$F$7:$F$306,"必備",'模式能力要求輸入'!$R$7:$R$306,"可發布")=0,"缺少主跟診必備要求","可匯入模式清單"))))))</x:f>
      </x:c>
    </x:row>
    <x:row r="75">
      <x:c r="A75" s="170"/>
      <x:c r="B75" s="170"/>
      <x:c r="C75" s="170"/>
      <x:c r="D75" s="170"/>
      <x:c r="E75" s="170"/>
      <x:c r="F75" s="170"/>
      <x:c r="G75" s="170"/>
      <x:c r="H75" s="170"/>
      <x:c r="I75" s="170"/>
      <x:c r="J75" s="170"/>
      <x:c r="K75" s="170"/>
      <x:c r="L75" s="170"/>
      <x:c r="M75" s="171"/>
      <x:c r="N75" s="170"/>
      <x:c r="O75" s="170"/>
      <x:c r="P75" s="170"/>
      <x:c r="Q75" s="235" t="str">
        <x:f>IF(LEN($B75)=0,"",IF($N75="停用","停用",IF($N75="退回補件","退回補件",IF(COUNTIFS($A$7:$A$156,$A75)&gt;1,"規則編號重複",IF(OR(LEN($C75)=0,LEN($D75)=0,LEN($E75)=0,LEN($F75)=0,LEN($G75)=0,LEN($H75)=0,LEN($I75)=0,LEN($K75)=0,LEN($L75)=0,LEN($M75)=0,LEN($O75)=0),IF($N75="已核定","已核定但資料未完整","待補欄位或核定"),IF(OR(LEN($R75)=0,LEN($S75)=0),IF($N75="已核定","已核定但缺來源依據","待補來源依據"),IF($N75="已核定","可發布","待主管核定")))))))</x:f>
      </x:c>
      <x:c r="R75" s="421"/>
      <x:c r="S75" s="421"/>
      <x:c r="T75" s="575"/>
      <x:c r="U75" s="582" t="str">
        <x:f>IF($D75="","",IF($Q75&lt;&gt;"可發布","模式規則未發布",IF($T75&lt;&gt;"已完整","能力要求集未確認",IF(COUNTIFS('模式能力要求輸入'!$B$7:$B$306,$D75)=0,"尚無能力要求",IF(COUNTIFS('模式能力要求輸入'!$B$7:$B$306,$D75,'模式能力要求輸入'!$R$7:$R$306,"&lt;&gt;可發布")&gt;0,"能力要求未全數發布",IF(COUNTIFS('模式能力要求輸入'!$B$7:$B$306,$D75,'模式能力要求輸入'!$E$7:$E$306,"主跟診",'模式能力要求輸入'!$F$7:$F$306,"必備",'模式能力要求輸入'!$R$7:$R$306,"可發布")=0,"缺少主跟診必備要求","可匯入模式清單"))))))</x:f>
      </x:c>
    </x:row>
    <x:row r="76">
      <x:c r="A76" s="170"/>
      <x:c r="B76" s="170"/>
      <x:c r="C76" s="170"/>
      <x:c r="D76" s="170"/>
      <x:c r="E76" s="170"/>
      <x:c r="F76" s="170"/>
      <x:c r="G76" s="170"/>
      <x:c r="H76" s="170"/>
      <x:c r="I76" s="170"/>
      <x:c r="J76" s="170"/>
      <x:c r="K76" s="170"/>
      <x:c r="L76" s="170"/>
      <x:c r="M76" s="171"/>
      <x:c r="N76" s="170"/>
      <x:c r="O76" s="170"/>
      <x:c r="P76" s="170"/>
      <x:c r="Q76" s="235" t="str">
        <x:f>IF(LEN($B76)=0,"",IF($N76="停用","停用",IF($N76="退回補件","退回補件",IF(COUNTIFS($A$7:$A$156,$A76)&gt;1,"規則編號重複",IF(OR(LEN($C76)=0,LEN($D76)=0,LEN($E76)=0,LEN($F76)=0,LEN($G76)=0,LEN($H76)=0,LEN($I76)=0,LEN($K76)=0,LEN($L76)=0,LEN($M76)=0,LEN($O76)=0),IF($N76="已核定","已核定但資料未完整","待補欄位或核定"),IF(OR(LEN($R76)=0,LEN($S76)=0),IF($N76="已核定","已核定但缺來源依據","待補來源依據"),IF($N76="已核定","可發布","待主管核定")))))))</x:f>
      </x:c>
      <x:c r="R76" s="421"/>
      <x:c r="S76" s="421"/>
      <x:c r="T76" s="575"/>
      <x:c r="U76" s="582" t="str">
        <x:f>IF($D76="","",IF($Q76&lt;&gt;"可發布","模式規則未發布",IF($T76&lt;&gt;"已完整","能力要求集未確認",IF(COUNTIFS('模式能力要求輸入'!$B$7:$B$306,$D76)=0,"尚無能力要求",IF(COUNTIFS('模式能力要求輸入'!$B$7:$B$306,$D76,'模式能力要求輸入'!$R$7:$R$306,"&lt;&gt;可發布")&gt;0,"能力要求未全數發布",IF(COUNTIFS('模式能力要求輸入'!$B$7:$B$306,$D76,'模式能力要求輸入'!$E$7:$E$306,"主跟診",'模式能力要求輸入'!$F$7:$F$306,"必備",'模式能力要求輸入'!$R$7:$R$306,"可發布")=0,"缺少主跟診必備要求","可匯入模式清單"))))))</x:f>
      </x:c>
    </x:row>
    <x:row r="77">
      <x:c r="A77" s="170"/>
      <x:c r="B77" s="170"/>
      <x:c r="C77" s="170"/>
      <x:c r="D77" s="170"/>
      <x:c r="E77" s="170"/>
      <x:c r="F77" s="170"/>
      <x:c r="G77" s="170"/>
      <x:c r="H77" s="170"/>
      <x:c r="I77" s="170"/>
      <x:c r="J77" s="170"/>
      <x:c r="K77" s="170"/>
      <x:c r="L77" s="170"/>
      <x:c r="M77" s="171"/>
      <x:c r="N77" s="170"/>
      <x:c r="O77" s="170"/>
      <x:c r="P77" s="170"/>
      <x:c r="Q77" s="235" t="str">
        <x:f>IF(LEN($B77)=0,"",IF($N77="停用","停用",IF($N77="退回補件","退回補件",IF(COUNTIFS($A$7:$A$156,$A77)&gt;1,"規則編號重複",IF(OR(LEN($C77)=0,LEN($D77)=0,LEN($E77)=0,LEN($F77)=0,LEN($G77)=0,LEN($H77)=0,LEN($I77)=0,LEN($K77)=0,LEN($L77)=0,LEN($M77)=0,LEN($O77)=0),IF($N77="已核定","已核定但資料未完整","待補欄位或核定"),IF(OR(LEN($R77)=0,LEN($S77)=0),IF($N77="已核定","已核定但缺來源依據","待補來源依據"),IF($N77="已核定","可發布","待主管核定")))))))</x:f>
      </x:c>
      <x:c r="R77" s="421"/>
      <x:c r="S77" s="421"/>
      <x:c r="T77" s="575"/>
      <x:c r="U77" s="582" t="str">
        <x:f>IF($D77="","",IF($Q77&lt;&gt;"可發布","模式規則未發布",IF($T77&lt;&gt;"已完整","能力要求集未確認",IF(COUNTIFS('模式能力要求輸入'!$B$7:$B$306,$D77)=0,"尚無能力要求",IF(COUNTIFS('模式能力要求輸入'!$B$7:$B$306,$D77,'模式能力要求輸入'!$R$7:$R$306,"&lt;&gt;可發布")&gt;0,"能力要求未全數發布",IF(COUNTIFS('模式能力要求輸入'!$B$7:$B$306,$D77,'模式能力要求輸入'!$E$7:$E$306,"主跟診",'模式能力要求輸入'!$F$7:$F$306,"必備",'模式能力要求輸入'!$R$7:$R$306,"可發布")=0,"缺少主跟診必備要求","可匯入模式清單"))))))</x:f>
      </x:c>
    </x:row>
    <x:row r="78">
      <x:c r="A78" s="170"/>
      <x:c r="B78" s="170"/>
      <x:c r="C78" s="170"/>
      <x:c r="D78" s="170"/>
      <x:c r="E78" s="170"/>
      <x:c r="F78" s="170"/>
      <x:c r="G78" s="170"/>
      <x:c r="H78" s="170"/>
      <x:c r="I78" s="170"/>
      <x:c r="J78" s="170"/>
      <x:c r="K78" s="170"/>
      <x:c r="L78" s="170"/>
      <x:c r="M78" s="171"/>
      <x:c r="N78" s="170"/>
      <x:c r="O78" s="170"/>
      <x:c r="P78" s="170"/>
      <x:c r="Q78" s="235" t="str">
        <x:f>IF(LEN($B78)=0,"",IF($N78="停用","停用",IF($N78="退回補件","退回補件",IF(COUNTIFS($A$7:$A$156,$A78)&gt;1,"規則編號重複",IF(OR(LEN($C78)=0,LEN($D78)=0,LEN($E78)=0,LEN($F78)=0,LEN($G78)=0,LEN($H78)=0,LEN($I78)=0,LEN($K78)=0,LEN($L78)=0,LEN($M78)=0,LEN($O78)=0),IF($N78="已核定","已核定但資料未完整","待補欄位或核定"),IF(OR(LEN($R78)=0,LEN($S78)=0),IF($N78="已核定","已核定但缺來源依據","待補來源依據"),IF($N78="已核定","可發布","待主管核定")))))))</x:f>
      </x:c>
      <x:c r="R78" s="421"/>
      <x:c r="S78" s="421"/>
      <x:c r="T78" s="575"/>
      <x:c r="U78" s="582" t="str">
        <x:f>IF($D78="","",IF($Q78&lt;&gt;"可發布","模式規則未發布",IF($T78&lt;&gt;"已完整","能力要求集未確認",IF(COUNTIFS('模式能力要求輸入'!$B$7:$B$306,$D78)=0,"尚無能力要求",IF(COUNTIFS('模式能力要求輸入'!$B$7:$B$306,$D78,'模式能力要求輸入'!$R$7:$R$306,"&lt;&gt;可發布")&gt;0,"能力要求未全數發布",IF(COUNTIFS('模式能力要求輸入'!$B$7:$B$306,$D78,'模式能力要求輸入'!$E$7:$E$306,"主跟診",'模式能力要求輸入'!$F$7:$F$306,"必備",'模式能力要求輸入'!$R$7:$R$306,"可發布")=0,"缺少主跟診必備要求","可匯入模式清單"))))))</x:f>
      </x:c>
    </x:row>
    <x:row r="79">
      <x:c r="A79" s="170"/>
      <x:c r="B79" s="170"/>
      <x:c r="C79" s="170"/>
      <x:c r="D79" s="170"/>
      <x:c r="E79" s="170"/>
      <x:c r="F79" s="170"/>
      <x:c r="G79" s="170"/>
      <x:c r="H79" s="170"/>
      <x:c r="I79" s="170"/>
      <x:c r="J79" s="170"/>
      <x:c r="K79" s="170"/>
      <x:c r="L79" s="170"/>
      <x:c r="M79" s="171"/>
      <x:c r="N79" s="170"/>
      <x:c r="O79" s="170"/>
      <x:c r="P79" s="170"/>
      <x:c r="Q79" s="235" t="str">
        <x:f>IF(LEN($B79)=0,"",IF($N79="停用","停用",IF($N79="退回補件","退回補件",IF(COUNTIFS($A$7:$A$156,$A79)&gt;1,"規則編號重複",IF(OR(LEN($C79)=0,LEN($D79)=0,LEN($E79)=0,LEN($F79)=0,LEN($G79)=0,LEN($H79)=0,LEN($I79)=0,LEN($K79)=0,LEN($L79)=0,LEN($M79)=0,LEN($O79)=0),IF($N79="已核定","已核定但資料未完整","待補欄位或核定"),IF(OR(LEN($R79)=0,LEN($S79)=0),IF($N79="已核定","已核定但缺來源依據","待補來源依據"),IF($N79="已核定","可發布","待主管核定")))))))</x:f>
      </x:c>
      <x:c r="R79" s="421"/>
      <x:c r="S79" s="421"/>
      <x:c r="T79" s="575"/>
      <x:c r="U79" s="582" t="str">
        <x:f>IF($D79="","",IF($Q79&lt;&gt;"可發布","模式規則未發布",IF($T79&lt;&gt;"已完整","能力要求集未確認",IF(COUNTIFS('模式能力要求輸入'!$B$7:$B$306,$D79)=0,"尚無能力要求",IF(COUNTIFS('模式能力要求輸入'!$B$7:$B$306,$D79,'模式能力要求輸入'!$R$7:$R$306,"&lt;&gt;可發布")&gt;0,"能力要求未全數發布",IF(COUNTIFS('模式能力要求輸入'!$B$7:$B$306,$D79,'模式能力要求輸入'!$E$7:$E$306,"主跟診",'模式能力要求輸入'!$F$7:$F$306,"必備",'模式能力要求輸入'!$R$7:$R$306,"可發布")=0,"缺少主跟診必備要求","可匯入模式清單"))))))</x:f>
      </x:c>
    </x:row>
    <x:row r="80">
      <x:c r="A80" s="170"/>
      <x:c r="B80" s="170"/>
      <x:c r="C80" s="170"/>
      <x:c r="D80" s="170"/>
      <x:c r="E80" s="170"/>
      <x:c r="F80" s="170"/>
      <x:c r="G80" s="170"/>
      <x:c r="H80" s="170"/>
      <x:c r="I80" s="170"/>
      <x:c r="J80" s="170"/>
      <x:c r="K80" s="170"/>
      <x:c r="L80" s="170"/>
      <x:c r="M80" s="171"/>
      <x:c r="N80" s="170"/>
      <x:c r="O80" s="170"/>
      <x:c r="P80" s="170"/>
      <x:c r="Q80" s="235" t="str">
        <x:f>IF(LEN($B80)=0,"",IF($N80="停用","停用",IF($N80="退回補件","退回補件",IF(COUNTIFS($A$7:$A$156,$A80)&gt;1,"規則編號重複",IF(OR(LEN($C80)=0,LEN($D80)=0,LEN($E80)=0,LEN($F80)=0,LEN($G80)=0,LEN($H80)=0,LEN($I80)=0,LEN($K80)=0,LEN($L80)=0,LEN($M80)=0,LEN($O80)=0),IF($N80="已核定","已核定但資料未完整","待補欄位或核定"),IF(OR(LEN($R80)=0,LEN($S80)=0),IF($N80="已核定","已核定但缺來源依據","待補來源依據"),IF($N80="已核定","可發布","待主管核定")))))))</x:f>
      </x:c>
      <x:c r="R80" s="421"/>
      <x:c r="S80" s="421"/>
      <x:c r="T80" s="575"/>
      <x:c r="U80" s="582" t="str">
        <x:f>IF($D80="","",IF($Q80&lt;&gt;"可發布","模式規則未發布",IF($T80&lt;&gt;"已完整","能力要求集未確認",IF(COUNTIFS('模式能力要求輸入'!$B$7:$B$306,$D80)=0,"尚無能力要求",IF(COUNTIFS('模式能力要求輸入'!$B$7:$B$306,$D80,'模式能力要求輸入'!$R$7:$R$306,"&lt;&gt;可發布")&gt;0,"能力要求未全數發布",IF(COUNTIFS('模式能力要求輸入'!$B$7:$B$306,$D80,'模式能力要求輸入'!$E$7:$E$306,"主跟診",'模式能力要求輸入'!$F$7:$F$306,"必備",'模式能力要求輸入'!$R$7:$R$306,"可發布")=0,"缺少主跟診必備要求","可匯入模式清單"))))))</x:f>
      </x:c>
    </x:row>
    <x:row r="81">
      <x:c r="A81" s="170"/>
      <x:c r="B81" s="170"/>
      <x:c r="C81" s="170"/>
      <x:c r="D81" s="170"/>
      <x:c r="E81" s="170"/>
      <x:c r="F81" s="170"/>
      <x:c r="G81" s="170"/>
      <x:c r="H81" s="170"/>
      <x:c r="I81" s="170"/>
      <x:c r="J81" s="170"/>
      <x:c r="K81" s="170"/>
      <x:c r="L81" s="170"/>
      <x:c r="M81" s="171"/>
      <x:c r="N81" s="170"/>
      <x:c r="O81" s="170"/>
      <x:c r="P81" s="170"/>
      <x:c r="Q81" s="235" t="str">
        <x:f>IF(LEN($B81)=0,"",IF($N81="停用","停用",IF($N81="退回補件","退回補件",IF(COUNTIFS($A$7:$A$156,$A81)&gt;1,"規則編號重複",IF(OR(LEN($C81)=0,LEN($D81)=0,LEN($E81)=0,LEN($F81)=0,LEN($G81)=0,LEN($H81)=0,LEN($I81)=0,LEN($K81)=0,LEN($L81)=0,LEN($M81)=0,LEN($O81)=0),IF($N81="已核定","已核定但資料未完整","待補欄位或核定"),IF(OR(LEN($R81)=0,LEN($S81)=0),IF($N81="已核定","已核定但缺來源依據","待補來源依據"),IF($N81="已核定","可發布","待主管核定")))))))</x:f>
      </x:c>
      <x:c r="R81" s="421"/>
      <x:c r="S81" s="421"/>
      <x:c r="T81" s="575"/>
      <x:c r="U81" s="582" t="str">
        <x:f>IF($D81="","",IF($Q81&lt;&gt;"可發布","模式規則未發布",IF($T81&lt;&gt;"已完整","能力要求集未確認",IF(COUNTIFS('模式能力要求輸入'!$B$7:$B$306,$D81)=0,"尚無能力要求",IF(COUNTIFS('模式能力要求輸入'!$B$7:$B$306,$D81,'模式能力要求輸入'!$R$7:$R$306,"&lt;&gt;可發布")&gt;0,"能力要求未全數發布",IF(COUNTIFS('模式能力要求輸入'!$B$7:$B$306,$D81,'模式能力要求輸入'!$E$7:$E$306,"主跟診",'模式能力要求輸入'!$F$7:$F$306,"必備",'模式能力要求輸入'!$R$7:$R$306,"可發布")=0,"缺少主跟診必備要求","可匯入模式清單"))))))</x:f>
      </x:c>
    </x:row>
    <x:row r="82">
      <x:c r="A82" s="170"/>
      <x:c r="B82" s="170"/>
      <x:c r="C82" s="170"/>
      <x:c r="D82" s="170"/>
      <x:c r="E82" s="170"/>
      <x:c r="F82" s="170"/>
      <x:c r="G82" s="170"/>
      <x:c r="H82" s="170"/>
      <x:c r="I82" s="170"/>
      <x:c r="J82" s="170"/>
      <x:c r="K82" s="170"/>
      <x:c r="L82" s="170"/>
      <x:c r="M82" s="171"/>
      <x:c r="N82" s="170"/>
      <x:c r="O82" s="170"/>
      <x:c r="P82" s="170"/>
      <x:c r="Q82" s="235" t="str">
        <x:f>IF(LEN($B82)=0,"",IF($N82="停用","停用",IF($N82="退回補件","退回補件",IF(COUNTIFS($A$7:$A$156,$A82)&gt;1,"規則編號重複",IF(OR(LEN($C82)=0,LEN($D82)=0,LEN($E82)=0,LEN($F82)=0,LEN($G82)=0,LEN($H82)=0,LEN($I82)=0,LEN($K82)=0,LEN($L82)=0,LEN($M82)=0,LEN($O82)=0),IF($N82="已核定","已核定但資料未完整","待補欄位或核定"),IF(OR(LEN($R82)=0,LEN($S82)=0),IF($N82="已核定","已核定但缺來源依據","待補來源依據"),IF($N82="已核定","可發布","待主管核定")))))))</x:f>
      </x:c>
      <x:c r="R82" s="421"/>
      <x:c r="S82" s="421"/>
      <x:c r="T82" s="575"/>
      <x:c r="U82" s="582" t="str">
        <x:f>IF($D82="","",IF($Q82&lt;&gt;"可發布","模式規則未發布",IF($T82&lt;&gt;"已完整","能力要求集未確認",IF(COUNTIFS('模式能力要求輸入'!$B$7:$B$306,$D82)=0,"尚無能力要求",IF(COUNTIFS('模式能力要求輸入'!$B$7:$B$306,$D82,'模式能力要求輸入'!$R$7:$R$306,"&lt;&gt;可發布")&gt;0,"能力要求未全數發布",IF(COUNTIFS('模式能力要求輸入'!$B$7:$B$306,$D82,'模式能力要求輸入'!$E$7:$E$306,"主跟診",'模式能力要求輸入'!$F$7:$F$306,"必備",'模式能力要求輸入'!$R$7:$R$306,"可發布")=0,"缺少主跟診必備要求","可匯入模式清單"))))))</x:f>
      </x:c>
    </x:row>
    <x:row r="83">
      <x:c r="A83" s="170"/>
      <x:c r="B83" s="170"/>
      <x:c r="C83" s="170"/>
      <x:c r="D83" s="170"/>
      <x:c r="E83" s="170"/>
      <x:c r="F83" s="170"/>
      <x:c r="G83" s="170"/>
      <x:c r="H83" s="170"/>
      <x:c r="I83" s="170"/>
      <x:c r="J83" s="170"/>
      <x:c r="K83" s="170"/>
      <x:c r="L83" s="170"/>
      <x:c r="M83" s="171"/>
      <x:c r="N83" s="170"/>
      <x:c r="O83" s="170"/>
      <x:c r="P83" s="170"/>
      <x:c r="Q83" s="235" t="str">
        <x:f>IF(LEN($B83)=0,"",IF($N83="停用","停用",IF($N83="退回補件","退回補件",IF(COUNTIFS($A$7:$A$156,$A83)&gt;1,"規則編號重複",IF(OR(LEN($C83)=0,LEN($D83)=0,LEN($E83)=0,LEN($F83)=0,LEN($G83)=0,LEN($H83)=0,LEN($I83)=0,LEN($K83)=0,LEN($L83)=0,LEN($M83)=0,LEN($O83)=0),IF($N83="已核定","已核定但資料未完整","待補欄位或核定"),IF(OR(LEN($R83)=0,LEN($S83)=0),IF($N83="已核定","已核定但缺來源依據","待補來源依據"),IF($N83="已核定","可發布","待主管核定")))))))</x:f>
      </x:c>
      <x:c r="R83" s="421"/>
      <x:c r="S83" s="421"/>
      <x:c r="T83" s="575"/>
      <x:c r="U83" s="582" t="str">
        <x:f>IF($D83="","",IF($Q83&lt;&gt;"可發布","模式規則未發布",IF($T83&lt;&gt;"已完整","能力要求集未確認",IF(COUNTIFS('模式能力要求輸入'!$B$7:$B$306,$D83)=0,"尚無能力要求",IF(COUNTIFS('模式能力要求輸入'!$B$7:$B$306,$D83,'模式能力要求輸入'!$R$7:$R$306,"&lt;&gt;可發布")&gt;0,"能力要求未全數發布",IF(COUNTIFS('模式能力要求輸入'!$B$7:$B$306,$D83,'模式能力要求輸入'!$E$7:$E$306,"主跟診",'模式能力要求輸入'!$F$7:$F$306,"必備",'模式能力要求輸入'!$R$7:$R$306,"可發布")=0,"缺少主跟診必備要求","可匯入模式清單"))))))</x:f>
      </x:c>
    </x:row>
    <x:row r="84">
      <x:c r="A84" s="170"/>
      <x:c r="B84" s="170"/>
      <x:c r="C84" s="170"/>
      <x:c r="D84" s="170"/>
      <x:c r="E84" s="170"/>
      <x:c r="F84" s="170"/>
      <x:c r="G84" s="170"/>
      <x:c r="H84" s="170"/>
      <x:c r="I84" s="170"/>
      <x:c r="J84" s="170"/>
      <x:c r="K84" s="170"/>
      <x:c r="L84" s="170"/>
      <x:c r="M84" s="171"/>
      <x:c r="N84" s="170"/>
      <x:c r="O84" s="170"/>
      <x:c r="P84" s="170"/>
      <x:c r="Q84" s="235" t="str">
        <x:f>IF(LEN($B84)=0,"",IF($N84="停用","停用",IF($N84="退回補件","退回補件",IF(COUNTIFS($A$7:$A$156,$A84)&gt;1,"規則編號重複",IF(OR(LEN($C84)=0,LEN($D84)=0,LEN($E84)=0,LEN($F84)=0,LEN($G84)=0,LEN($H84)=0,LEN($I84)=0,LEN($K84)=0,LEN($L84)=0,LEN($M84)=0,LEN($O84)=0),IF($N84="已核定","已核定但資料未完整","待補欄位或核定"),IF(OR(LEN($R84)=0,LEN($S84)=0),IF($N84="已核定","已核定但缺來源依據","待補來源依據"),IF($N84="已核定","可發布","待主管核定")))))))</x:f>
      </x:c>
      <x:c r="R84" s="421"/>
      <x:c r="S84" s="421"/>
      <x:c r="T84" s="575"/>
      <x:c r="U84" s="582" t="str">
        <x:f>IF($D84="","",IF($Q84&lt;&gt;"可發布","模式規則未發布",IF($T84&lt;&gt;"已完整","能力要求集未確認",IF(COUNTIFS('模式能力要求輸入'!$B$7:$B$306,$D84)=0,"尚無能力要求",IF(COUNTIFS('模式能力要求輸入'!$B$7:$B$306,$D84,'模式能力要求輸入'!$R$7:$R$306,"&lt;&gt;可發布")&gt;0,"能力要求未全數發布",IF(COUNTIFS('模式能力要求輸入'!$B$7:$B$306,$D84,'模式能力要求輸入'!$E$7:$E$306,"主跟診",'模式能力要求輸入'!$F$7:$F$306,"必備",'模式能力要求輸入'!$R$7:$R$306,"可發布")=0,"缺少主跟診必備要求","可匯入模式清單"))))))</x:f>
      </x:c>
    </x:row>
    <x:row r="85">
      <x:c r="A85" s="170"/>
      <x:c r="B85" s="170"/>
      <x:c r="C85" s="170"/>
      <x:c r="D85" s="170"/>
      <x:c r="E85" s="170"/>
      <x:c r="F85" s="170"/>
      <x:c r="G85" s="170"/>
      <x:c r="H85" s="170"/>
      <x:c r="I85" s="170"/>
      <x:c r="J85" s="170"/>
      <x:c r="K85" s="170"/>
      <x:c r="L85" s="170"/>
      <x:c r="M85" s="171"/>
      <x:c r="N85" s="170"/>
      <x:c r="O85" s="170"/>
      <x:c r="P85" s="170"/>
      <x:c r="Q85" s="235" t="str">
        <x:f>IF(LEN($B85)=0,"",IF($N85="停用","停用",IF($N85="退回補件","退回補件",IF(COUNTIFS($A$7:$A$156,$A85)&gt;1,"規則編號重複",IF(OR(LEN($C85)=0,LEN($D85)=0,LEN($E85)=0,LEN($F85)=0,LEN($G85)=0,LEN($H85)=0,LEN($I85)=0,LEN($K85)=0,LEN($L85)=0,LEN($M85)=0,LEN($O85)=0),IF($N85="已核定","已核定但資料未完整","待補欄位或核定"),IF(OR(LEN($R85)=0,LEN($S85)=0),IF($N85="已核定","已核定但缺來源依據","待補來源依據"),IF($N85="已核定","可發布","待主管核定")))))))</x:f>
      </x:c>
      <x:c r="R85" s="421"/>
      <x:c r="S85" s="421"/>
      <x:c r="T85" s="575"/>
      <x:c r="U85" s="582" t="str">
        <x:f>IF($D85="","",IF($Q85&lt;&gt;"可發布","模式規則未發布",IF($T85&lt;&gt;"已完整","能力要求集未確認",IF(COUNTIFS('模式能力要求輸入'!$B$7:$B$306,$D85)=0,"尚無能力要求",IF(COUNTIFS('模式能力要求輸入'!$B$7:$B$306,$D85,'模式能力要求輸入'!$R$7:$R$306,"&lt;&gt;可發布")&gt;0,"能力要求未全數發布",IF(COUNTIFS('模式能力要求輸入'!$B$7:$B$306,$D85,'模式能力要求輸入'!$E$7:$E$306,"主跟診",'模式能力要求輸入'!$F$7:$F$306,"必備",'模式能力要求輸入'!$R$7:$R$306,"可發布")=0,"缺少主跟診必備要求","可匯入模式清單"))))))</x:f>
      </x:c>
    </x:row>
    <x:row r="86">
      <x:c r="A86" s="170"/>
      <x:c r="B86" s="170"/>
      <x:c r="C86" s="170"/>
      <x:c r="D86" s="170"/>
      <x:c r="E86" s="170"/>
      <x:c r="F86" s="170"/>
      <x:c r="G86" s="170"/>
      <x:c r="H86" s="170"/>
      <x:c r="I86" s="170"/>
      <x:c r="J86" s="170"/>
      <x:c r="K86" s="170"/>
      <x:c r="L86" s="170"/>
      <x:c r="M86" s="171"/>
      <x:c r="N86" s="170"/>
      <x:c r="O86" s="170"/>
      <x:c r="P86" s="170"/>
      <x:c r="Q86" s="235" t="str">
        <x:f>IF(LEN($B86)=0,"",IF($N86="停用","停用",IF($N86="退回補件","退回補件",IF(COUNTIFS($A$7:$A$156,$A86)&gt;1,"規則編號重複",IF(OR(LEN($C86)=0,LEN($D86)=0,LEN($E86)=0,LEN($F86)=0,LEN($G86)=0,LEN($H86)=0,LEN($I86)=0,LEN($K86)=0,LEN($L86)=0,LEN($M86)=0,LEN($O86)=0),IF($N86="已核定","已核定但資料未完整","待補欄位或核定"),IF(OR(LEN($R86)=0,LEN($S86)=0),IF($N86="已核定","已核定但缺來源依據","待補來源依據"),IF($N86="已核定","可發布","待主管核定")))))))</x:f>
      </x:c>
      <x:c r="R86" s="421"/>
      <x:c r="S86" s="421"/>
      <x:c r="T86" s="575"/>
      <x:c r="U86" s="582" t="str">
        <x:f>IF($D86="","",IF($Q86&lt;&gt;"可發布","模式規則未發布",IF($T86&lt;&gt;"已完整","能力要求集未確認",IF(COUNTIFS('模式能力要求輸入'!$B$7:$B$306,$D86)=0,"尚無能力要求",IF(COUNTIFS('模式能力要求輸入'!$B$7:$B$306,$D86,'模式能力要求輸入'!$R$7:$R$306,"&lt;&gt;可發布")&gt;0,"能力要求未全數發布",IF(COUNTIFS('模式能力要求輸入'!$B$7:$B$306,$D86,'模式能力要求輸入'!$E$7:$E$306,"主跟診",'模式能力要求輸入'!$F$7:$F$306,"必備",'模式能力要求輸入'!$R$7:$R$306,"可發布")=0,"缺少主跟診必備要求","可匯入模式清單"))))))</x:f>
      </x:c>
    </x:row>
    <x:row r="87">
      <x:c r="A87" s="170"/>
      <x:c r="B87" s="170"/>
      <x:c r="C87" s="170"/>
      <x:c r="D87" s="170"/>
      <x:c r="E87" s="170"/>
      <x:c r="F87" s="170"/>
      <x:c r="G87" s="170"/>
      <x:c r="H87" s="170"/>
      <x:c r="I87" s="170"/>
      <x:c r="J87" s="170"/>
      <x:c r="K87" s="170"/>
      <x:c r="L87" s="170"/>
      <x:c r="M87" s="171"/>
      <x:c r="N87" s="170"/>
      <x:c r="O87" s="170"/>
      <x:c r="P87" s="170"/>
      <x:c r="Q87" s="235" t="str">
        <x:f>IF(LEN($B87)=0,"",IF($N87="停用","停用",IF($N87="退回補件","退回補件",IF(COUNTIFS($A$7:$A$156,$A87)&gt;1,"規則編號重複",IF(OR(LEN($C87)=0,LEN($D87)=0,LEN($E87)=0,LEN($F87)=0,LEN($G87)=0,LEN($H87)=0,LEN($I87)=0,LEN($K87)=0,LEN($L87)=0,LEN($M87)=0,LEN($O87)=0),IF($N87="已核定","已核定但資料未完整","待補欄位或核定"),IF(OR(LEN($R87)=0,LEN($S87)=0),IF($N87="已核定","已核定但缺來源依據","待補來源依據"),IF($N87="已核定","可發布","待主管核定")))))))</x:f>
      </x:c>
      <x:c r="R87" s="421"/>
      <x:c r="S87" s="421"/>
      <x:c r="T87" s="575"/>
      <x:c r="U87" s="582" t="str">
        <x:f>IF($D87="","",IF($Q87&lt;&gt;"可發布","模式規則未發布",IF($T87&lt;&gt;"已完整","能力要求集未確認",IF(COUNTIFS('模式能力要求輸入'!$B$7:$B$306,$D87)=0,"尚無能力要求",IF(COUNTIFS('模式能力要求輸入'!$B$7:$B$306,$D87,'模式能力要求輸入'!$R$7:$R$306,"&lt;&gt;可發布")&gt;0,"能力要求未全數發布",IF(COUNTIFS('模式能力要求輸入'!$B$7:$B$306,$D87,'模式能力要求輸入'!$E$7:$E$306,"主跟診",'模式能力要求輸入'!$F$7:$F$306,"必備",'模式能力要求輸入'!$R$7:$R$306,"可發布")=0,"缺少主跟診必備要求","可匯入模式清單"))))))</x:f>
      </x:c>
    </x:row>
    <x:row r="88">
      <x:c r="A88" s="170"/>
      <x:c r="B88" s="170"/>
      <x:c r="C88" s="170"/>
      <x:c r="D88" s="170"/>
      <x:c r="E88" s="170"/>
      <x:c r="F88" s="170"/>
      <x:c r="G88" s="170"/>
      <x:c r="H88" s="170"/>
      <x:c r="I88" s="170"/>
      <x:c r="J88" s="170"/>
      <x:c r="K88" s="170"/>
      <x:c r="L88" s="170"/>
      <x:c r="M88" s="171"/>
      <x:c r="N88" s="170"/>
      <x:c r="O88" s="170"/>
      <x:c r="P88" s="170"/>
      <x:c r="Q88" s="235" t="str">
        <x:f>IF(LEN($B88)=0,"",IF($N88="停用","停用",IF($N88="退回補件","退回補件",IF(COUNTIFS($A$7:$A$156,$A88)&gt;1,"規則編號重複",IF(OR(LEN($C88)=0,LEN($D88)=0,LEN($E88)=0,LEN($F88)=0,LEN($G88)=0,LEN($H88)=0,LEN($I88)=0,LEN($K88)=0,LEN($L88)=0,LEN($M88)=0,LEN($O88)=0),IF($N88="已核定","已核定但資料未完整","待補欄位或核定"),IF(OR(LEN($R88)=0,LEN($S88)=0),IF($N88="已核定","已核定但缺來源依據","待補來源依據"),IF($N88="已核定","可發布","待主管核定")))))))</x:f>
      </x:c>
      <x:c r="R88" s="421"/>
      <x:c r="S88" s="421"/>
      <x:c r="T88" s="575"/>
      <x:c r="U88" s="582" t="str">
        <x:f>IF($D88="","",IF($Q88&lt;&gt;"可發布","模式規則未發布",IF($T88&lt;&gt;"已完整","能力要求集未確認",IF(COUNTIFS('模式能力要求輸入'!$B$7:$B$306,$D88)=0,"尚無能力要求",IF(COUNTIFS('模式能力要求輸入'!$B$7:$B$306,$D88,'模式能力要求輸入'!$R$7:$R$306,"&lt;&gt;可發布")&gt;0,"能力要求未全數發布",IF(COUNTIFS('模式能力要求輸入'!$B$7:$B$306,$D88,'模式能力要求輸入'!$E$7:$E$306,"主跟診",'模式能力要求輸入'!$F$7:$F$306,"必備",'模式能力要求輸入'!$R$7:$R$306,"可發布")=0,"缺少主跟診必備要求","可匯入模式清單"))))))</x:f>
      </x:c>
    </x:row>
    <x:row r="89">
      <x:c r="A89" s="170"/>
      <x:c r="B89" s="170"/>
      <x:c r="C89" s="170"/>
      <x:c r="D89" s="170"/>
      <x:c r="E89" s="170"/>
      <x:c r="F89" s="170"/>
      <x:c r="G89" s="170"/>
      <x:c r="H89" s="170"/>
      <x:c r="I89" s="170"/>
      <x:c r="J89" s="170"/>
      <x:c r="K89" s="170"/>
      <x:c r="L89" s="170"/>
      <x:c r="M89" s="171"/>
      <x:c r="N89" s="170"/>
      <x:c r="O89" s="170"/>
      <x:c r="P89" s="170"/>
      <x:c r="Q89" s="235" t="str">
        <x:f>IF(LEN($B89)=0,"",IF($N89="停用","停用",IF($N89="退回補件","退回補件",IF(COUNTIFS($A$7:$A$156,$A89)&gt;1,"規則編號重複",IF(OR(LEN($C89)=0,LEN($D89)=0,LEN($E89)=0,LEN($F89)=0,LEN($G89)=0,LEN($H89)=0,LEN($I89)=0,LEN($K89)=0,LEN($L89)=0,LEN($M89)=0,LEN($O89)=0),IF($N89="已核定","已核定但資料未完整","待補欄位或核定"),IF(OR(LEN($R89)=0,LEN($S89)=0),IF($N89="已核定","已核定但缺來源依據","待補來源依據"),IF($N89="已核定","可發布","待主管核定")))))))</x:f>
      </x:c>
      <x:c r="R89" s="421"/>
      <x:c r="S89" s="421"/>
      <x:c r="T89" s="575"/>
      <x:c r="U89" s="582" t="str">
        <x:f>IF($D89="","",IF($Q89&lt;&gt;"可發布","模式規則未發布",IF($T89&lt;&gt;"已完整","能力要求集未確認",IF(COUNTIFS('模式能力要求輸入'!$B$7:$B$306,$D89)=0,"尚無能力要求",IF(COUNTIFS('模式能力要求輸入'!$B$7:$B$306,$D89,'模式能力要求輸入'!$R$7:$R$306,"&lt;&gt;可發布")&gt;0,"能力要求未全數發布",IF(COUNTIFS('模式能力要求輸入'!$B$7:$B$306,$D89,'模式能力要求輸入'!$E$7:$E$306,"主跟診",'模式能力要求輸入'!$F$7:$F$306,"必備",'模式能力要求輸入'!$R$7:$R$306,"可發布")=0,"缺少主跟診必備要求","可匯入模式清單"))))))</x:f>
      </x:c>
    </x:row>
    <x:row r="90">
      <x:c r="A90" s="170"/>
      <x:c r="B90" s="170"/>
      <x:c r="C90" s="170"/>
      <x:c r="D90" s="170"/>
      <x:c r="E90" s="170"/>
      <x:c r="F90" s="170"/>
      <x:c r="G90" s="170"/>
      <x:c r="H90" s="170"/>
      <x:c r="I90" s="170"/>
      <x:c r="J90" s="170"/>
      <x:c r="K90" s="170"/>
      <x:c r="L90" s="170"/>
      <x:c r="M90" s="171"/>
      <x:c r="N90" s="170"/>
      <x:c r="O90" s="170"/>
      <x:c r="P90" s="170"/>
      <x:c r="Q90" s="235" t="str">
        <x:f>IF(LEN($B90)=0,"",IF($N90="停用","停用",IF($N90="退回補件","退回補件",IF(COUNTIFS($A$7:$A$156,$A90)&gt;1,"規則編號重複",IF(OR(LEN($C90)=0,LEN($D90)=0,LEN($E90)=0,LEN($F90)=0,LEN($G90)=0,LEN($H90)=0,LEN($I90)=0,LEN($K90)=0,LEN($L90)=0,LEN($M90)=0,LEN($O90)=0),IF($N90="已核定","已核定但資料未完整","待補欄位或核定"),IF(OR(LEN($R90)=0,LEN($S90)=0),IF($N90="已核定","已核定但缺來源依據","待補來源依據"),IF($N90="已核定","可發布","待主管核定")))))))</x:f>
      </x:c>
      <x:c r="R90" s="421"/>
      <x:c r="S90" s="421"/>
      <x:c r="T90" s="575"/>
      <x:c r="U90" s="582" t="str">
        <x:f>IF($D90="","",IF($Q90&lt;&gt;"可發布","模式規則未發布",IF($T90&lt;&gt;"已完整","能力要求集未確認",IF(COUNTIFS('模式能力要求輸入'!$B$7:$B$306,$D90)=0,"尚無能力要求",IF(COUNTIFS('模式能力要求輸入'!$B$7:$B$306,$D90,'模式能力要求輸入'!$R$7:$R$306,"&lt;&gt;可發布")&gt;0,"能力要求未全數發布",IF(COUNTIFS('模式能力要求輸入'!$B$7:$B$306,$D90,'模式能力要求輸入'!$E$7:$E$306,"主跟診",'模式能力要求輸入'!$F$7:$F$306,"必備",'模式能力要求輸入'!$R$7:$R$306,"可發布")=0,"缺少主跟診必備要求","可匯入模式清單"))))))</x:f>
      </x:c>
    </x:row>
    <x:row r="91">
      <x:c r="A91" s="170"/>
      <x:c r="B91" s="170"/>
      <x:c r="C91" s="170"/>
      <x:c r="D91" s="170"/>
      <x:c r="E91" s="170"/>
      <x:c r="F91" s="170"/>
      <x:c r="G91" s="170"/>
      <x:c r="H91" s="170"/>
      <x:c r="I91" s="170"/>
      <x:c r="J91" s="170"/>
      <x:c r="K91" s="170"/>
      <x:c r="L91" s="170"/>
      <x:c r="M91" s="171"/>
      <x:c r="N91" s="170"/>
      <x:c r="O91" s="170"/>
      <x:c r="P91" s="170"/>
      <x:c r="Q91" s="235" t="str">
        <x:f>IF(LEN($B91)=0,"",IF($N91="停用","停用",IF($N91="退回補件","退回補件",IF(COUNTIFS($A$7:$A$156,$A91)&gt;1,"規則編號重複",IF(OR(LEN($C91)=0,LEN($D91)=0,LEN($E91)=0,LEN($F91)=0,LEN($G91)=0,LEN($H91)=0,LEN($I91)=0,LEN($K91)=0,LEN($L91)=0,LEN($M91)=0,LEN($O91)=0),IF($N91="已核定","已核定但資料未完整","待補欄位或核定"),IF(OR(LEN($R91)=0,LEN($S91)=0),IF($N91="已核定","已核定但缺來源依據","待補來源依據"),IF($N91="已核定","可發布","待主管核定")))))))</x:f>
      </x:c>
      <x:c r="R91" s="421"/>
      <x:c r="S91" s="421"/>
      <x:c r="T91" s="575"/>
      <x:c r="U91" s="582" t="str">
        <x:f>IF($D91="","",IF($Q91&lt;&gt;"可發布","模式規則未發布",IF($T91&lt;&gt;"已完整","能力要求集未確認",IF(COUNTIFS('模式能力要求輸入'!$B$7:$B$306,$D91)=0,"尚無能力要求",IF(COUNTIFS('模式能力要求輸入'!$B$7:$B$306,$D91,'模式能力要求輸入'!$R$7:$R$306,"&lt;&gt;可發布")&gt;0,"能力要求未全數發布",IF(COUNTIFS('模式能力要求輸入'!$B$7:$B$306,$D91,'模式能力要求輸入'!$E$7:$E$306,"主跟診",'模式能力要求輸入'!$F$7:$F$306,"必備",'模式能力要求輸入'!$R$7:$R$306,"可發布")=0,"缺少主跟診必備要求","可匯入模式清單"))))))</x:f>
      </x:c>
    </x:row>
    <x:row r="92">
      <x:c r="A92" s="170"/>
      <x:c r="B92" s="170"/>
      <x:c r="C92" s="170"/>
      <x:c r="D92" s="170"/>
      <x:c r="E92" s="170"/>
      <x:c r="F92" s="170"/>
      <x:c r="G92" s="170"/>
      <x:c r="H92" s="170"/>
      <x:c r="I92" s="170"/>
      <x:c r="J92" s="170"/>
      <x:c r="K92" s="170"/>
      <x:c r="L92" s="170"/>
      <x:c r="M92" s="171"/>
      <x:c r="N92" s="170"/>
      <x:c r="O92" s="170"/>
      <x:c r="P92" s="170"/>
      <x:c r="Q92" s="235" t="str">
        <x:f>IF(LEN($B92)=0,"",IF($N92="停用","停用",IF($N92="退回補件","退回補件",IF(COUNTIFS($A$7:$A$156,$A92)&gt;1,"規則編號重複",IF(OR(LEN($C92)=0,LEN($D92)=0,LEN($E92)=0,LEN($F92)=0,LEN($G92)=0,LEN($H92)=0,LEN($I92)=0,LEN($K92)=0,LEN($L92)=0,LEN($M92)=0,LEN($O92)=0),IF($N92="已核定","已核定但資料未完整","待補欄位或核定"),IF(OR(LEN($R92)=0,LEN($S92)=0),IF($N92="已核定","已核定但缺來源依據","待補來源依據"),IF($N92="已核定","可發布","待主管核定")))))))</x:f>
      </x:c>
      <x:c r="R92" s="421"/>
      <x:c r="S92" s="421"/>
      <x:c r="T92" s="575"/>
      <x:c r="U92" s="582" t="str">
        <x:f>IF($D92="","",IF($Q92&lt;&gt;"可發布","模式規則未發布",IF($T92&lt;&gt;"已完整","能力要求集未確認",IF(COUNTIFS('模式能力要求輸入'!$B$7:$B$306,$D92)=0,"尚無能力要求",IF(COUNTIFS('模式能力要求輸入'!$B$7:$B$306,$D92,'模式能力要求輸入'!$R$7:$R$306,"&lt;&gt;可發布")&gt;0,"能力要求未全數發布",IF(COUNTIFS('模式能力要求輸入'!$B$7:$B$306,$D92,'模式能力要求輸入'!$E$7:$E$306,"主跟診",'模式能力要求輸入'!$F$7:$F$306,"必備",'模式能力要求輸入'!$R$7:$R$306,"可發布")=0,"缺少主跟診必備要求","可匯入模式清單"))))))</x:f>
      </x:c>
    </x:row>
    <x:row r="93">
      <x:c r="A93" s="170"/>
      <x:c r="B93" s="170"/>
      <x:c r="C93" s="170"/>
      <x:c r="D93" s="170"/>
      <x:c r="E93" s="170"/>
      <x:c r="F93" s="170"/>
      <x:c r="G93" s="170"/>
      <x:c r="H93" s="170"/>
      <x:c r="I93" s="170"/>
      <x:c r="J93" s="170"/>
      <x:c r="K93" s="170"/>
      <x:c r="L93" s="170"/>
      <x:c r="M93" s="171"/>
      <x:c r="N93" s="170"/>
      <x:c r="O93" s="170"/>
      <x:c r="P93" s="170"/>
      <x:c r="Q93" s="235" t="str">
        <x:f>IF(LEN($B93)=0,"",IF($N93="停用","停用",IF($N93="退回補件","退回補件",IF(COUNTIFS($A$7:$A$156,$A93)&gt;1,"規則編號重複",IF(OR(LEN($C93)=0,LEN($D93)=0,LEN($E93)=0,LEN($F93)=0,LEN($G93)=0,LEN($H93)=0,LEN($I93)=0,LEN($K93)=0,LEN($L93)=0,LEN($M93)=0,LEN($O93)=0),IF($N93="已核定","已核定但資料未完整","待補欄位或核定"),IF(OR(LEN($R93)=0,LEN($S93)=0),IF($N93="已核定","已核定但缺來源依據","待補來源依據"),IF($N93="已核定","可發布","待主管核定")))))))</x:f>
      </x:c>
      <x:c r="R93" s="421"/>
      <x:c r="S93" s="421"/>
      <x:c r="T93" s="575"/>
      <x:c r="U93" s="582" t="str">
        <x:f>IF($D93="","",IF($Q93&lt;&gt;"可發布","模式規則未發布",IF($T93&lt;&gt;"已完整","能力要求集未確認",IF(COUNTIFS('模式能力要求輸入'!$B$7:$B$306,$D93)=0,"尚無能力要求",IF(COUNTIFS('模式能力要求輸入'!$B$7:$B$306,$D93,'模式能力要求輸入'!$R$7:$R$306,"&lt;&gt;可發布")&gt;0,"能力要求未全數發布",IF(COUNTIFS('模式能力要求輸入'!$B$7:$B$306,$D93,'模式能力要求輸入'!$E$7:$E$306,"主跟診",'模式能力要求輸入'!$F$7:$F$306,"必備",'模式能力要求輸入'!$R$7:$R$306,"可發布")=0,"缺少主跟診必備要求","可匯入模式清單"))))))</x:f>
      </x:c>
    </x:row>
    <x:row r="94">
      <x:c r="A94" s="170"/>
      <x:c r="B94" s="170"/>
      <x:c r="C94" s="170"/>
      <x:c r="D94" s="170"/>
      <x:c r="E94" s="170"/>
      <x:c r="F94" s="170"/>
      <x:c r="G94" s="170"/>
      <x:c r="H94" s="170"/>
      <x:c r="I94" s="170"/>
      <x:c r="J94" s="170"/>
      <x:c r="K94" s="170"/>
      <x:c r="L94" s="170"/>
      <x:c r="M94" s="171"/>
      <x:c r="N94" s="170"/>
      <x:c r="O94" s="170"/>
      <x:c r="P94" s="170"/>
      <x:c r="Q94" s="235" t="str">
        <x:f>IF(LEN($B94)=0,"",IF($N94="停用","停用",IF($N94="退回補件","退回補件",IF(COUNTIFS($A$7:$A$156,$A94)&gt;1,"規則編號重複",IF(OR(LEN($C94)=0,LEN($D94)=0,LEN($E94)=0,LEN($F94)=0,LEN($G94)=0,LEN($H94)=0,LEN($I94)=0,LEN($K94)=0,LEN($L94)=0,LEN($M94)=0,LEN($O94)=0),IF($N94="已核定","已核定但資料未完整","待補欄位或核定"),IF(OR(LEN($R94)=0,LEN($S94)=0),IF($N94="已核定","已核定但缺來源依據","待補來源依據"),IF($N94="已核定","可發布","待主管核定")))))))</x:f>
      </x:c>
      <x:c r="R94" s="421"/>
      <x:c r="S94" s="421"/>
      <x:c r="T94" s="575"/>
      <x:c r="U94" s="582" t="str">
        <x:f>IF($D94="","",IF($Q94&lt;&gt;"可發布","模式規則未發布",IF($T94&lt;&gt;"已完整","能力要求集未確認",IF(COUNTIFS('模式能力要求輸入'!$B$7:$B$306,$D94)=0,"尚無能力要求",IF(COUNTIFS('模式能力要求輸入'!$B$7:$B$306,$D94,'模式能力要求輸入'!$R$7:$R$306,"&lt;&gt;可發布")&gt;0,"能力要求未全數發布",IF(COUNTIFS('模式能力要求輸入'!$B$7:$B$306,$D94,'模式能力要求輸入'!$E$7:$E$306,"主跟診",'模式能力要求輸入'!$F$7:$F$306,"必備",'模式能力要求輸入'!$R$7:$R$306,"可發布")=0,"缺少主跟診必備要求","可匯入模式清單"))))))</x:f>
      </x:c>
    </x:row>
    <x:row r="95">
      <x:c r="A95" s="170"/>
      <x:c r="B95" s="170"/>
      <x:c r="C95" s="170"/>
      <x:c r="D95" s="170"/>
      <x:c r="E95" s="170"/>
      <x:c r="F95" s="170"/>
      <x:c r="G95" s="170"/>
      <x:c r="H95" s="170"/>
      <x:c r="I95" s="170"/>
      <x:c r="J95" s="170"/>
      <x:c r="K95" s="170"/>
      <x:c r="L95" s="170"/>
      <x:c r="M95" s="171"/>
      <x:c r="N95" s="170"/>
      <x:c r="O95" s="170"/>
      <x:c r="P95" s="170"/>
      <x:c r="Q95" s="235" t="str">
        <x:f>IF(LEN($B95)=0,"",IF($N95="停用","停用",IF($N95="退回補件","退回補件",IF(COUNTIFS($A$7:$A$156,$A95)&gt;1,"規則編號重複",IF(OR(LEN($C95)=0,LEN($D95)=0,LEN($E95)=0,LEN($F95)=0,LEN($G95)=0,LEN($H95)=0,LEN($I95)=0,LEN($K95)=0,LEN($L95)=0,LEN($M95)=0,LEN($O95)=0),IF($N95="已核定","已核定但資料未完整","待補欄位或核定"),IF(OR(LEN($R95)=0,LEN($S95)=0),IF($N95="已核定","已核定但缺來源依據","待補來源依據"),IF($N95="已核定","可發布","待主管核定")))))))</x:f>
      </x:c>
      <x:c r="R95" s="421"/>
      <x:c r="S95" s="421"/>
      <x:c r="T95" s="575"/>
      <x:c r="U95" s="582" t="str">
        <x:f>IF($D95="","",IF($Q95&lt;&gt;"可發布","模式規則未發布",IF($T95&lt;&gt;"已完整","能力要求集未確認",IF(COUNTIFS('模式能力要求輸入'!$B$7:$B$306,$D95)=0,"尚無能力要求",IF(COUNTIFS('模式能力要求輸入'!$B$7:$B$306,$D95,'模式能力要求輸入'!$R$7:$R$306,"&lt;&gt;可發布")&gt;0,"能力要求未全數發布",IF(COUNTIFS('模式能力要求輸入'!$B$7:$B$306,$D95,'模式能力要求輸入'!$E$7:$E$306,"主跟診",'模式能力要求輸入'!$F$7:$F$306,"必備",'模式能力要求輸入'!$R$7:$R$306,"可發布")=0,"缺少主跟診必備要求","可匯入模式清單"))))))</x:f>
      </x:c>
    </x:row>
    <x:row r="96">
      <x:c r="A96" s="170"/>
      <x:c r="B96" s="170"/>
      <x:c r="C96" s="170"/>
      <x:c r="D96" s="170"/>
      <x:c r="E96" s="170"/>
      <x:c r="F96" s="170"/>
      <x:c r="G96" s="170"/>
      <x:c r="H96" s="170"/>
      <x:c r="I96" s="170"/>
      <x:c r="J96" s="170"/>
      <x:c r="K96" s="170"/>
      <x:c r="L96" s="170"/>
      <x:c r="M96" s="171"/>
      <x:c r="N96" s="170"/>
      <x:c r="O96" s="170"/>
      <x:c r="P96" s="170"/>
      <x:c r="Q96" s="235" t="str">
        <x:f>IF(LEN($B96)=0,"",IF($N96="停用","停用",IF($N96="退回補件","退回補件",IF(COUNTIFS($A$7:$A$156,$A96)&gt;1,"規則編號重複",IF(OR(LEN($C96)=0,LEN($D96)=0,LEN($E96)=0,LEN($F96)=0,LEN($G96)=0,LEN($H96)=0,LEN($I96)=0,LEN($K96)=0,LEN($L96)=0,LEN($M96)=0,LEN($O96)=0),IF($N96="已核定","已核定但資料未完整","待補欄位或核定"),IF(OR(LEN($R96)=0,LEN($S96)=0),IF($N96="已核定","已核定但缺來源依據","待補來源依據"),IF($N96="已核定","可發布","待主管核定")))))))</x:f>
      </x:c>
      <x:c r="R96" s="421"/>
      <x:c r="S96" s="421"/>
      <x:c r="T96" s="575"/>
      <x:c r="U96" s="582" t="str">
        <x:f>IF($D96="","",IF($Q96&lt;&gt;"可發布","模式規則未發布",IF($T96&lt;&gt;"已完整","能力要求集未確認",IF(COUNTIFS('模式能力要求輸入'!$B$7:$B$306,$D96)=0,"尚無能力要求",IF(COUNTIFS('模式能力要求輸入'!$B$7:$B$306,$D96,'模式能力要求輸入'!$R$7:$R$306,"&lt;&gt;可發布")&gt;0,"能力要求未全數發布",IF(COUNTIFS('模式能力要求輸入'!$B$7:$B$306,$D96,'模式能力要求輸入'!$E$7:$E$306,"主跟診",'模式能力要求輸入'!$F$7:$F$306,"必備",'模式能力要求輸入'!$R$7:$R$306,"可發布")=0,"缺少主跟診必備要求","可匯入模式清單"))))))</x:f>
      </x:c>
    </x:row>
    <x:row r="97">
      <x:c r="A97" s="170"/>
      <x:c r="B97" s="170"/>
      <x:c r="C97" s="170"/>
      <x:c r="D97" s="170"/>
      <x:c r="E97" s="170"/>
      <x:c r="F97" s="170"/>
      <x:c r="G97" s="170"/>
      <x:c r="H97" s="170"/>
      <x:c r="I97" s="170"/>
      <x:c r="J97" s="170"/>
      <x:c r="K97" s="170"/>
      <x:c r="L97" s="170"/>
      <x:c r="M97" s="171"/>
      <x:c r="N97" s="170"/>
      <x:c r="O97" s="170"/>
      <x:c r="P97" s="170"/>
      <x:c r="Q97" s="235" t="str">
        <x:f>IF(LEN($B97)=0,"",IF($N97="停用","停用",IF($N97="退回補件","退回補件",IF(COUNTIFS($A$7:$A$156,$A97)&gt;1,"規則編號重複",IF(OR(LEN($C97)=0,LEN($D97)=0,LEN($E97)=0,LEN($F97)=0,LEN($G97)=0,LEN($H97)=0,LEN($I97)=0,LEN($K97)=0,LEN($L97)=0,LEN($M97)=0,LEN($O97)=0),IF($N97="已核定","已核定但資料未完整","待補欄位或核定"),IF(OR(LEN($R97)=0,LEN($S97)=0),IF($N97="已核定","已核定但缺來源依據","待補來源依據"),IF($N97="已核定","可發布","待主管核定")))))))</x:f>
      </x:c>
      <x:c r="R97" s="421"/>
      <x:c r="S97" s="421"/>
      <x:c r="T97" s="575"/>
      <x:c r="U97" s="582" t="str">
        <x:f>IF($D97="","",IF($Q97&lt;&gt;"可發布","模式規則未發布",IF($T97&lt;&gt;"已完整","能力要求集未確認",IF(COUNTIFS('模式能力要求輸入'!$B$7:$B$306,$D97)=0,"尚無能力要求",IF(COUNTIFS('模式能力要求輸入'!$B$7:$B$306,$D97,'模式能力要求輸入'!$R$7:$R$306,"&lt;&gt;可發布")&gt;0,"能力要求未全數發布",IF(COUNTIFS('模式能力要求輸入'!$B$7:$B$306,$D97,'模式能力要求輸入'!$E$7:$E$306,"主跟診",'模式能力要求輸入'!$F$7:$F$306,"必備",'模式能力要求輸入'!$R$7:$R$306,"可發布")=0,"缺少主跟診必備要求","可匯入模式清單"))))))</x:f>
      </x:c>
    </x:row>
    <x:row r="98">
      <x:c r="A98" s="170"/>
      <x:c r="B98" s="170"/>
      <x:c r="C98" s="170"/>
      <x:c r="D98" s="170"/>
      <x:c r="E98" s="170"/>
      <x:c r="F98" s="170"/>
      <x:c r="G98" s="170"/>
      <x:c r="H98" s="170"/>
      <x:c r="I98" s="170"/>
      <x:c r="J98" s="170"/>
      <x:c r="K98" s="170"/>
      <x:c r="L98" s="170"/>
      <x:c r="M98" s="171"/>
      <x:c r="N98" s="170"/>
      <x:c r="O98" s="170"/>
      <x:c r="P98" s="170"/>
      <x:c r="Q98" s="235" t="str">
        <x:f>IF(LEN($B98)=0,"",IF($N98="停用","停用",IF($N98="退回補件","退回補件",IF(COUNTIFS($A$7:$A$156,$A98)&gt;1,"規則編號重複",IF(OR(LEN($C98)=0,LEN($D98)=0,LEN($E98)=0,LEN($F98)=0,LEN($G98)=0,LEN($H98)=0,LEN($I98)=0,LEN($K98)=0,LEN($L98)=0,LEN($M98)=0,LEN($O98)=0),IF($N98="已核定","已核定但資料未完整","待補欄位或核定"),IF(OR(LEN($R98)=0,LEN($S98)=0),IF($N98="已核定","已核定但缺來源依據","待補來源依據"),IF($N98="已核定","可發布","待主管核定")))))))</x:f>
      </x:c>
      <x:c r="R98" s="421"/>
      <x:c r="S98" s="421"/>
      <x:c r="T98" s="575"/>
      <x:c r="U98" s="582" t="str">
        <x:f>IF($D98="","",IF($Q98&lt;&gt;"可發布","模式規則未發布",IF($T98&lt;&gt;"已完整","能力要求集未確認",IF(COUNTIFS('模式能力要求輸入'!$B$7:$B$306,$D98)=0,"尚無能力要求",IF(COUNTIFS('模式能力要求輸入'!$B$7:$B$306,$D98,'模式能力要求輸入'!$R$7:$R$306,"&lt;&gt;可發布")&gt;0,"能力要求未全數發布",IF(COUNTIFS('模式能力要求輸入'!$B$7:$B$306,$D98,'模式能力要求輸入'!$E$7:$E$306,"主跟診",'模式能力要求輸入'!$F$7:$F$306,"必備",'模式能力要求輸入'!$R$7:$R$306,"可發布")=0,"缺少主跟診必備要求","可匯入模式清單"))))))</x:f>
      </x:c>
    </x:row>
    <x:row r="99">
      <x:c r="A99" s="170"/>
      <x:c r="B99" s="170"/>
      <x:c r="C99" s="170"/>
      <x:c r="D99" s="170"/>
      <x:c r="E99" s="170"/>
      <x:c r="F99" s="170"/>
      <x:c r="G99" s="170"/>
      <x:c r="H99" s="170"/>
      <x:c r="I99" s="170"/>
      <x:c r="J99" s="170"/>
      <x:c r="K99" s="170"/>
      <x:c r="L99" s="170"/>
      <x:c r="M99" s="171"/>
      <x:c r="N99" s="170"/>
      <x:c r="O99" s="170"/>
      <x:c r="P99" s="170"/>
      <x:c r="Q99" s="235" t="str">
        <x:f>IF(LEN($B99)=0,"",IF($N99="停用","停用",IF($N99="退回補件","退回補件",IF(COUNTIFS($A$7:$A$156,$A99)&gt;1,"規則編號重複",IF(OR(LEN($C99)=0,LEN($D99)=0,LEN($E99)=0,LEN($F99)=0,LEN($G99)=0,LEN($H99)=0,LEN($I99)=0,LEN($K99)=0,LEN($L99)=0,LEN($M99)=0,LEN($O99)=0),IF($N99="已核定","已核定但資料未完整","待補欄位或核定"),IF(OR(LEN($R99)=0,LEN($S99)=0),IF($N99="已核定","已核定但缺來源依據","待補來源依據"),IF($N99="已核定","可發布","待主管核定")))))))</x:f>
      </x:c>
      <x:c r="R99" s="421"/>
      <x:c r="S99" s="421"/>
      <x:c r="T99" s="575"/>
      <x:c r="U99" s="582" t="str">
        <x:f>IF($D99="","",IF($Q99&lt;&gt;"可發布","模式規則未發布",IF($T99&lt;&gt;"已完整","能力要求集未確認",IF(COUNTIFS('模式能力要求輸入'!$B$7:$B$306,$D99)=0,"尚無能力要求",IF(COUNTIFS('模式能力要求輸入'!$B$7:$B$306,$D99,'模式能力要求輸入'!$R$7:$R$306,"&lt;&gt;可發布")&gt;0,"能力要求未全數發布",IF(COUNTIFS('模式能力要求輸入'!$B$7:$B$306,$D99,'模式能力要求輸入'!$E$7:$E$306,"主跟診",'模式能力要求輸入'!$F$7:$F$306,"必備",'模式能力要求輸入'!$R$7:$R$306,"可發布")=0,"缺少主跟診必備要求","可匯入模式清單"))))))</x:f>
      </x:c>
    </x:row>
    <x:row r="100">
      <x:c r="A100" s="170"/>
      <x:c r="B100" s="170"/>
      <x:c r="C100" s="170"/>
      <x:c r="D100" s="170"/>
      <x:c r="E100" s="170"/>
      <x:c r="F100" s="170"/>
      <x:c r="G100" s="170"/>
      <x:c r="H100" s="170"/>
      <x:c r="I100" s="170"/>
      <x:c r="J100" s="170"/>
      <x:c r="K100" s="170"/>
      <x:c r="L100" s="170"/>
      <x:c r="M100" s="171"/>
      <x:c r="N100" s="170"/>
      <x:c r="O100" s="170"/>
      <x:c r="P100" s="170"/>
      <x:c r="Q100" s="235" t="str">
        <x:f>IF(LEN($B100)=0,"",IF($N100="停用","停用",IF($N100="退回補件","退回補件",IF(COUNTIFS($A$7:$A$156,$A100)&gt;1,"規則編號重複",IF(OR(LEN($C100)=0,LEN($D100)=0,LEN($E100)=0,LEN($F100)=0,LEN($G100)=0,LEN($H100)=0,LEN($I100)=0,LEN($K100)=0,LEN($L100)=0,LEN($M100)=0,LEN($O100)=0),IF($N100="已核定","已核定但資料未完整","待補欄位或核定"),IF(OR(LEN($R100)=0,LEN($S100)=0),IF($N100="已核定","已核定但缺來源依據","待補來源依據"),IF($N100="已核定","可發布","待主管核定")))))))</x:f>
      </x:c>
      <x:c r="R100" s="421"/>
      <x:c r="S100" s="421"/>
      <x:c r="T100" s="575"/>
      <x:c r="U100" s="582" t="str">
        <x:f>IF($D100="","",IF($Q100&lt;&gt;"可發布","模式規則未發布",IF($T100&lt;&gt;"已完整","能力要求集未確認",IF(COUNTIFS('模式能力要求輸入'!$B$7:$B$306,$D100)=0,"尚無能力要求",IF(COUNTIFS('模式能力要求輸入'!$B$7:$B$306,$D100,'模式能力要求輸入'!$R$7:$R$306,"&lt;&gt;可發布")&gt;0,"能力要求未全數發布",IF(COUNTIFS('模式能力要求輸入'!$B$7:$B$306,$D100,'模式能力要求輸入'!$E$7:$E$306,"主跟診",'模式能力要求輸入'!$F$7:$F$306,"必備",'模式能力要求輸入'!$R$7:$R$306,"可發布")=0,"缺少主跟診必備要求","可匯入模式清單"))))))</x:f>
      </x:c>
    </x:row>
    <x:row r="101">
      <x:c r="A101" s="170"/>
      <x:c r="B101" s="170"/>
      <x:c r="C101" s="170"/>
      <x:c r="D101" s="170"/>
      <x:c r="E101" s="170"/>
      <x:c r="F101" s="170"/>
      <x:c r="G101" s="170"/>
      <x:c r="H101" s="170"/>
      <x:c r="I101" s="170"/>
      <x:c r="J101" s="170"/>
      <x:c r="K101" s="170"/>
      <x:c r="L101" s="170"/>
      <x:c r="M101" s="171"/>
      <x:c r="N101" s="170"/>
      <x:c r="O101" s="170"/>
      <x:c r="P101" s="170"/>
      <x:c r="Q101" s="235" t="str">
        <x:f>IF(LEN($B101)=0,"",IF($N101="停用","停用",IF($N101="退回補件","退回補件",IF(COUNTIFS($A$7:$A$156,$A101)&gt;1,"規則編號重複",IF(OR(LEN($C101)=0,LEN($D101)=0,LEN($E101)=0,LEN($F101)=0,LEN($G101)=0,LEN($H101)=0,LEN($I101)=0,LEN($K101)=0,LEN($L101)=0,LEN($M101)=0,LEN($O101)=0),IF($N101="已核定","已核定但資料未完整","待補欄位或核定"),IF(OR(LEN($R101)=0,LEN($S101)=0),IF($N101="已核定","已核定但缺來源依據","待補來源依據"),IF($N101="已核定","可發布","待主管核定")))))))</x:f>
      </x:c>
      <x:c r="R101" s="421"/>
      <x:c r="S101" s="421"/>
      <x:c r="T101" s="575"/>
      <x:c r="U101" s="582" t="str">
        <x:f>IF($D101="","",IF($Q101&lt;&gt;"可發布","模式規則未發布",IF($T101&lt;&gt;"已完整","能力要求集未確認",IF(COUNTIFS('模式能力要求輸入'!$B$7:$B$306,$D101)=0,"尚無能力要求",IF(COUNTIFS('模式能力要求輸入'!$B$7:$B$306,$D101,'模式能力要求輸入'!$R$7:$R$306,"&lt;&gt;可發布")&gt;0,"能力要求未全數發布",IF(COUNTIFS('模式能力要求輸入'!$B$7:$B$306,$D101,'模式能力要求輸入'!$E$7:$E$306,"主跟診",'模式能力要求輸入'!$F$7:$F$306,"必備",'模式能力要求輸入'!$R$7:$R$306,"可發布")=0,"缺少主跟診必備要求","可匯入模式清單"))))))</x:f>
      </x:c>
    </x:row>
    <x:row r="102">
      <x:c r="A102" s="170"/>
      <x:c r="B102" s="170"/>
      <x:c r="C102" s="170"/>
      <x:c r="D102" s="170"/>
      <x:c r="E102" s="170"/>
      <x:c r="F102" s="170"/>
      <x:c r="G102" s="170"/>
      <x:c r="H102" s="170"/>
      <x:c r="I102" s="170"/>
      <x:c r="J102" s="170"/>
      <x:c r="K102" s="170"/>
      <x:c r="L102" s="170"/>
      <x:c r="M102" s="171"/>
      <x:c r="N102" s="170"/>
      <x:c r="O102" s="170"/>
      <x:c r="P102" s="170"/>
      <x:c r="Q102" s="235" t="str">
        <x:f>IF(LEN($B102)=0,"",IF($N102="停用","停用",IF($N102="退回補件","退回補件",IF(COUNTIFS($A$7:$A$156,$A102)&gt;1,"規則編號重複",IF(OR(LEN($C102)=0,LEN($D102)=0,LEN($E102)=0,LEN($F102)=0,LEN($G102)=0,LEN($H102)=0,LEN($I102)=0,LEN($K102)=0,LEN($L102)=0,LEN($M102)=0,LEN($O102)=0),IF($N102="已核定","已核定但資料未完整","待補欄位或核定"),IF(OR(LEN($R102)=0,LEN($S102)=0),IF($N102="已核定","已核定但缺來源依據","待補來源依據"),IF($N102="已核定","可發布","待主管核定")))))))</x:f>
      </x:c>
      <x:c r="R102" s="421"/>
      <x:c r="S102" s="421"/>
      <x:c r="T102" s="575"/>
      <x:c r="U102" s="582" t="str">
        <x:f>IF($D102="","",IF($Q102&lt;&gt;"可發布","模式規則未發布",IF($T102&lt;&gt;"已完整","能力要求集未確認",IF(COUNTIFS('模式能力要求輸入'!$B$7:$B$306,$D102)=0,"尚無能力要求",IF(COUNTIFS('模式能力要求輸入'!$B$7:$B$306,$D102,'模式能力要求輸入'!$R$7:$R$306,"&lt;&gt;可發布")&gt;0,"能力要求未全數發布",IF(COUNTIFS('模式能力要求輸入'!$B$7:$B$306,$D102,'模式能力要求輸入'!$E$7:$E$306,"主跟診",'模式能力要求輸入'!$F$7:$F$306,"必備",'模式能力要求輸入'!$R$7:$R$306,"可發布")=0,"缺少主跟診必備要求","可匯入模式清單"))))))</x:f>
      </x:c>
    </x:row>
    <x:row r="103">
      <x:c r="A103" s="170"/>
      <x:c r="B103" s="170"/>
      <x:c r="C103" s="170"/>
      <x:c r="D103" s="170"/>
      <x:c r="E103" s="170"/>
      <x:c r="F103" s="170"/>
      <x:c r="G103" s="170"/>
      <x:c r="H103" s="170"/>
      <x:c r="I103" s="170"/>
      <x:c r="J103" s="170"/>
      <x:c r="K103" s="170"/>
      <x:c r="L103" s="170"/>
      <x:c r="M103" s="171"/>
      <x:c r="N103" s="170"/>
      <x:c r="O103" s="170"/>
      <x:c r="P103" s="170"/>
      <x:c r="Q103" s="235" t="str">
        <x:f>IF(LEN($B103)=0,"",IF($N103="停用","停用",IF($N103="退回補件","退回補件",IF(COUNTIFS($A$7:$A$156,$A103)&gt;1,"規則編號重複",IF(OR(LEN($C103)=0,LEN($D103)=0,LEN($E103)=0,LEN($F103)=0,LEN($G103)=0,LEN($H103)=0,LEN($I103)=0,LEN($K103)=0,LEN($L103)=0,LEN($M103)=0,LEN($O103)=0),IF($N103="已核定","已核定但資料未完整","待補欄位或核定"),IF(OR(LEN($R103)=0,LEN($S103)=0),IF($N103="已核定","已核定但缺來源依據","待補來源依據"),IF($N103="已核定","可發布","待主管核定")))))))</x:f>
      </x:c>
      <x:c r="R103" s="421"/>
      <x:c r="S103" s="421"/>
      <x:c r="T103" s="575"/>
      <x:c r="U103" s="582" t="str">
        <x:f>IF($D103="","",IF($Q103&lt;&gt;"可發布","模式規則未發布",IF($T103&lt;&gt;"已完整","能力要求集未確認",IF(COUNTIFS('模式能力要求輸入'!$B$7:$B$306,$D103)=0,"尚無能力要求",IF(COUNTIFS('模式能力要求輸入'!$B$7:$B$306,$D103,'模式能力要求輸入'!$R$7:$R$306,"&lt;&gt;可發布")&gt;0,"能力要求未全數發布",IF(COUNTIFS('模式能力要求輸入'!$B$7:$B$306,$D103,'模式能力要求輸入'!$E$7:$E$306,"主跟診",'模式能力要求輸入'!$F$7:$F$306,"必備",'模式能力要求輸入'!$R$7:$R$306,"可發布")=0,"缺少主跟診必備要求","可匯入模式清單"))))))</x:f>
      </x:c>
    </x:row>
    <x:row r="104">
      <x:c r="A104" s="170"/>
      <x:c r="B104" s="170"/>
      <x:c r="C104" s="170"/>
      <x:c r="D104" s="170"/>
      <x:c r="E104" s="170"/>
      <x:c r="F104" s="170"/>
      <x:c r="G104" s="170"/>
      <x:c r="H104" s="170"/>
      <x:c r="I104" s="170"/>
      <x:c r="J104" s="170"/>
      <x:c r="K104" s="170"/>
      <x:c r="L104" s="170"/>
      <x:c r="M104" s="171"/>
      <x:c r="N104" s="170"/>
      <x:c r="O104" s="170"/>
      <x:c r="P104" s="170"/>
      <x:c r="Q104" s="235" t="str">
        <x:f>IF(LEN($B104)=0,"",IF($N104="停用","停用",IF($N104="退回補件","退回補件",IF(COUNTIFS($A$7:$A$156,$A104)&gt;1,"規則編號重複",IF(OR(LEN($C104)=0,LEN($D104)=0,LEN($E104)=0,LEN($F104)=0,LEN($G104)=0,LEN($H104)=0,LEN($I104)=0,LEN($K104)=0,LEN($L104)=0,LEN($M104)=0,LEN($O104)=0),IF($N104="已核定","已核定但資料未完整","待補欄位或核定"),IF(OR(LEN($R104)=0,LEN($S104)=0),IF($N104="已核定","已核定但缺來源依據","待補來源依據"),IF($N104="已核定","可發布","待主管核定")))))))</x:f>
      </x:c>
      <x:c r="R104" s="421"/>
      <x:c r="S104" s="421"/>
      <x:c r="T104" s="575"/>
      <x:c r="U104" s="582" t="str">
        <x:f>IF($D104="","",IF($Q104&lt;&gt;"可發布","模式規則未發布",IF($T104&lt;&gt;"已完整","能力要求集未確認",IF(COUNTIFS('模式能力要求輸入'!$B$7:$B$306,$D104)=0,"尚無能力要求",IF(COUNTIFS('模式能力要求輸入'!$B$7:$B$306,$D104,'模式能力要求輸入'!$R$7:$R$306,"&lt;&gt;可發布")&gt;0,"能力要求未全數發布",IF(COUNTIFS('模式能力要求輸入'!$B$7:$B$306,$D104,'模式能力要求輸入'!$E$7:$E$306,"主跟診",'模式能力要求輸入'!$F$7:$F$306,"必備",'模式能力要求輸入'!$R$7:$R$306,"可發布")=0,"缺少主跟診必備要求","可匯入模式清單"))))))</x:f>
      </x:c>
    </x:row>
    <x:row r="105">
      <x:c r="A105" s="170"/>
      <x:c r="B105" s="170"/>
      <x:c r="C105" s="170"/>
      <x:c r="D105" s="170"/>
      <x:c r="E105" s="170"/>
      <x:c r="F105" s="170"/>
      <x:c r="G105" s="170"/>
      <x:c r="H105" s="170"/>
      <x:c r="I105" s="170"/>
      <x:c r="J105" s="170"/>
      <x:c r="K105" s="170"/>
      <x:c r="L105" s="170"/>
      <x:c r="M105" s="171"/>
      <x:c r="N105" s="170"/>
      <x:c r="O105" s="170"/>
      <x:c r="P105" s="170"/>
      <x:c r="Q105" s="235" t="str">
        <x:f>IF(LEN($B105)=0,"",IF($N105="停用","停用",IF($N105="退回補件","退回補件",IF(COUNTIFS($A$7:$A$156,$A105)&gt;1,"規則編號重複",IF(OR(LEN($C105)=0,LEN($D105)=0,LEN($E105)=0,LEN($F105)=0,LEN($G105)=0,LEN($H105)=0,LEN($I105)=0,LEN($K105)=0,LEN($L105)=0,LEN($M105)=0,LEN($O105)=0),IF($N105="已核定","已核定但資料未完整","待補欄位或核定"),IF(OR(LEN($R105)=0,LEN($S105)=0),IF($N105="已核定","已核定但缺來源依據","待補來源依據"),IF($N105="已核定","可發布","待主管核定")))))))</x:f>
      </x:c>
      <x:c r="R105" s="421"/>
      <x:c r="S105" s="421"/>
      <x:c r="T105" s="575"/>
      <x:c r="U105" s="582" t="str">
        <x:f>IF($D105="","",IF($Q105&lt;&gt;"可發布","模式規則未發布",IF($T105&lt;&gt;"已完整","能力要求集未確認",IF(COUNTIFS('模式能力要求輸入'!$B$7:$B$306,$D105)=0,"尚無能力要求",IF(COUNTIFS('模式能力要求輸入'!$B$7:$B$306,$D105,'模式能力要求輸入'!$R$7:$R$306,"&lt;&gt;可發布")&gt;0,"能力要求未全數發布",IF(COUNTIFS('模式能力要求輸入'!$B$7:$B$306,$D105,'模式能力要求輸入'!$E$7:$E$306,"主跟診",'模式能力要求輸入'!$F$7:$F$306,"必備",'模式能力要求輸入'!$R$7:$R$306,"可發布")=0,"缺少主跟診必備要求","可匯入模式清單"))))))</x:f>
      </x:c>
    </x:row>
    <x:row r="106">
      <x:c r="A106" s="170"/>
      <x:c r="B106" s="170"/>
      <x:c r="C106" s="170"/>
      <x:c r="D106" s="170"/>
      <x:c r="E106" s="170"/>
      <x:c r="F106" s="170"/>
      <x:c r="G106" s="170"/>
      <x:c r="H106" s="170"/>
      <x:c r="I106" s="170"/>
      <x:c r="J106" s="170"/>
      <x:c r="K106" s="170"/>
      <x:c r="L106" s="170"/>
      <x:c r="M106" s="171"/>
      <x:c r="N106" s="170"/>
      <x:c r="O106" s="170"/>
      <x:c r="P106" s="170"/>
      <x:c r="Q106" s="235" t="str">
        <x:f>IF(LEN($B106)=0,"",IF($N106="停用","停用",IF($N106="退回補件","退回補件",IF(COUNTIFS($A$7:$A$156,$A106)&gt;1,"規則編號重複",IF(OR(LEN($C106)=0,LEN($D106)=0,LEN($E106)=0,LEN($F106)=0,LEN($G106)=0,LEN($H106)=0,LEN($I106)=0,LEN($K106)=0,LEN($L106)=0,LEN($M106)=0,LEN($O106)=0),IF($N106="已核定","已核定但資料未完整","待補欄位或核定"),IF(OR(LEN($R106)=0,LEN($S106)=0),IF($N106="已核定","已核定但缺來源依據","待補來源依據"),IF($N106="已核定","可發布","待主管核定")))))))</x:f>
      </x:c>
      <x:c r="R106" s="421"/>
      <x:c r="S106" s="421"/>
      <x:c r="T106" s="575"/>
      <x:c r="U106" s="582" t="str">
        <x:f>IF($D106="","",IF($Q106&lt;&gt;"可發布","模式規則未發布",IF($T106&lt;&gt;"已完整","能力要求集未確認",IF(COUNTIFS('模式能力要求輸入'!$B$7:$B$306,$D106)=0,"尚無能力要求",IF(COUNTIFS('模式能力要求輸入'!$B$7:$B$306,$D106,'模式能力要求輸入'!$R$7:$R$306,"&lt;&gt;可發布")&gt;0,"能力要求未全數發布",IF(COUNTIFS('模式能力要求輸入'!$B$7:$B$306,$D106,'模式能力要求輸入'!$E$7:$E$306,"主跟診",'模式能力要求輸入'!$F$7:$F$306,"必備",'模式能力要求輸入'!$R$7:$R$306,"可發布")=0,"缺少主跟診必備要求","可匯入模式清單"))))))</x:f>
      </x:c>
    </x:row>
    <x:row r="107">
      <x:c r="A107" s="170"/>
      <x:c r="B107" s="170"/>
      <x:c r="C107" s="170"/>
      <x:c r="D107" s="170"/>
      <x:c r="E107" s="170"/>
      <x:c r="F107" s="170"/>
      <x:c r="G107" s="170"/>
      <x:c r="H107" s="170"/>
      <x:c r="I107" s="170"/>
      <x:c r="J107" s="170"/>
      <x:c r="K107" s="170"/>
      <x:c r="L107" s="170"/>
      <x:c r="M107" s="171"/>
      <x:c r="N107" s="170"/>
      <x:c r="O107" s="170"/>
      <x:c r="P107" s="170"/>
      <x:c r="Q107" s="235" t="str">
        <x:f>IF(LEN($B107)=0,"",IF($N107="停用","停用",IF($N107="退回補件","退回補件",IF(COUNTIFS($A$7:$A$156,$A107)&gt;1,"規則編號重複",IF(OR(LEN($C107)=0,LEN($D107)=0,LEN($E107)=0,LEN($F107)=0,LEN($G107)=0,LEN($H107)=0,LEN($I107)=0,LEN($K107)=0,LEN($L107)=0,LEN($M107)=0,LEN($O107)=0),IF($N107="已核定","已核定但資料未完整","待補欄位或核定"),IF(OR(LEN($R107)=0,LEN($S107)=0),IF($N107="已核定","已核定但缺來源依據","待補來源依據"),IF($N107="已核定","可發布","待主管核定")))))))</x:f>
      </x:c>
      <x:c r="R107" s="421"/>
      <x:c r="S107" s="421"/>
      <x:c r="T107" s="575"/>
      <x:c r="U107" s="582" t="str">
        <x:f>IF($D107="","",IF($Q107&lt;&gt;"可發布","模式規則未發布",IF($T107&lt;&gt;"已完整","能力要求集未確認",IF(COUNTIFS('模式能力要求輸入'!$B$7:$B$306,$D107)=0,"尚無能力要求",IF(COUNTIFS('模式能力要求輸入'!$B$7:$B$306,$D107,'模式能力要求輸入'!$R$7:$R$306,"&lt;&gt;可發布")&gt;0,"能力要求未全數發布",IF(COUNTIFS('模式能力要求輸入'!$B$7:$B$306,$D107,'模式能力要求輸入'!$E$7:$E$306,"主跟診",'模式能力要求輸入'!$F$7:$F$306,"必備",'模式能力要求輸入'!$R$7:$R$306,"可發布")=0,"缺少主跟診必備要求","可匯入模式清單"))))))</x:f>
      </x:c>
    </x:row>
    <x:row r="108">
      <x:c r="A108" s="170"/>
      <x:c r="B108" s="170"/>
      <x:c r="C108" s="170"/>
      <x:c r="D108" s="170"/>
      <x:c r="E108" s="170"/>
      <x:c r="F108" s="170"/>
      <x:c r="G108" s="170"/>
      <x:c r="H108" s="170"/>
      <x:c r="I108" s="170"/>
      <x:c r="J108" s="170"/>
      <x:c r="K108" s="170"/>
      <x:c r="L108" s="170"/>
      <x:c r="M108" s="171"/>
      <x:c r="N108" s="170"/>
      <x:c r="O108" s="170"/>
      <x:c r="P108" s="170"/>
      <x:c r="Q108" s="235" t="str">
        <x:f>IF(LEN($B108)=0,"",IF($N108="停用","停用",IF($N108="退回補件","退回補件",IF(COUNTIFS($A$7:$A$156,$A108)&gt;1,"規則編號重複",IF(OR(LEN($C108)=0,LEN($D108)=0,LEN($E108)=0,LEN($F108)=0,LEN($G108)=0,LEN($H108)=0,LEN($I108)=0,LEN($K108)=0,LEN($L108)=0,LEN($M108)=0,LEN($O108)=0),IF($N108="已核定","已核定但資料未完整","待補欄位或核定"),IF(OR(LEN($R108)=0,LEN($S108)=0),IF($N108="已核定","已核定但缺來源依據","待補來源依據"),IF($N108="已核定","可發布","待主管核定")))))))</x:f>
      </x:c>
      <x:c r="R108" s="421"/>
      <x:c r="S108" s="421"/>
      <x:c r="T108" s="575"/>
      <x:c r="U108" s="582" t="str">
        <x:f>IF($D108="","",IF($Q108&lt;&gt;"可發布","模式規則未發布",IF($T108&lt;&gt;"已完整","能力要求集未確認",IF(COUNTIFS('模式能力要求輸入'!$B$7:$B$306,$D108)=0,"尚無能力要求",IF(COUNTIFS('模式能力要求輸入'!$B$7:$B$306,$D108,'模式能力要求輸入'!$R$7:$R$306,"&lt;&gt;可發布")&gt;0,"能力要求未全數發布",IF(COUNTIFS('模式能力要求輸入'!$B$7:$B$306,$D108,'模式能力要求輸入'!$E$7:$E$306,"主跟診",'模式能力要求輸入'!$F$7:$F$306,"必備",'模式能力要求輸入'!$R$7:$R$306,"可發布")=0,"缺少主跟診必備要求","可匯入模式清單"))))))</x:f>
      </x:c>
    </x:row>
    <x:row r="109">
      <x:c r="A109" s="170"/>
      <x:c r="B109" s="170"/>
      <x:c r="C109" s="170"/>
      <x:c r="D109" s="170"/>
      <x:c r="E109" s="170"/>
      <x:c r="F109" s="170"/>
      <x:c r="G109" s="170"/>
      <x:c r="H109" s="170"/>
      <x:c r="I109" s="170"/>
      <x:c r="J109" s="170"/>
      <x:c r="K109" s="170"/>
      <x:c r="L109" s="170"/>
      <x:c r="M109" s="171"/>
      <x:c r="N109" s="170"/>
      <x:c r="O109" s="170"/>
      <x:c r="P109" s="170"/>
      <x:c r="Q109" s="235" t="str">
        <x:f>IF(LEN($B109)=0,"",IF($N109="停用","停用",IF($N109="退回補件","退回補件",IF(COUNTIFS($A$7:$A$156,$A109)&gt;1,"規則編號重複",IF(OR(LEN($C109)=0,LEN($D109)=0,LEN($E109)=0,LEN($F109)=0,LEN($G109)=0,LEN($H109)=0,LEN($I109)=0,LEN($K109)=0,LEN($L109)=0,LEN($M109)=0,LEN($O109)=0),IF($N109="已核定","已核定但資料未完整","待補欄位或核定"),IF(OR(LEN($R109)=0,LEN($S109)=0),IF($N109="已核定","已核定但缺來源依據","待補來源依據"),IF($N109="已核定","可發布","待主管核定")))))))</x:f>
      </x:c>
      <x:c r="R109" s="421"/>
      <x:c r="S109" s="421"/>
      <x:c r="T109" s="575"/>
      <x:c r="U109" s="582" t="str">
        <x:f>IF($D109="","",IF($Q109&lt;&gt;"可發布","模式規則未發布",IF($T109&lt;&gt;"已完整","能力要求集未確認",IF(COUNTIFS('模式能力要求輸入'!$B$7:$B$306,$D109)=0,"尚無能力要求",IF(COUNTIFS('模式能力要求輸入'!$B$7:$B$306,$D109,'模式能力要求輸入'!$R$7:$R$306,"&lt;&gt;可發布")&gt;0,"能力要求未全數發布",IF(COUNTIFS('模式能力要求輸入'!$B$7:$B$306,$D109,'模式能力要求輸入'!$E$7:$E$306,"主跟診",'模式能力要求輸入'!$F$7:$F$306,"必備",'模式能力要求輸入'!$R$7:$R$306,"可發布")=0,"缺少主跟診必備要求","可匯入模式清單"))))))</x:f>
      </x:c>
    </x:row>
    <x:row r="110">
      <x:c r="A110" s="170"/>
      <x:c r="B110" s="170"/>
      <x:c r="C110" s="170"/>
      <x:c r="D110" s="170"/>
      <x:c r="E110" s="170"/>
      <x:c r="F110" s="170"/>
      <x:c r="G110" s="170"/>
      <x:c r="H110" s="170"/>
      <x:c r="I110" s="170"/>
      <x:c r="J110" s="170"/>
      <x:c r="K110" s="170"/>
      <x:c r="L110" s="170"/>
      <x:c r="M110" s="171"/>
      <x:c r="N110" s="170"/>
      <x:c r="O110" s="170"/>
      <x:c r="P110" s="170"/>
      <x:c r="Q110" s="235" t="str">
        <x:f>IF(LEN($B110)=0,"",IF($N110="停用","停用",IF($N110="退回補件","退回補件",IF(COUNTIFS($A$7:$A$156,$A110)&gt;1,"規則編號重複",IF(OR(LEN($C110)=0,LEN($D110)=0,LEN($E110)=0,LEN($F110)=0,LEN($G110)=0,LEN($H110)=0,LEN($I110)=0,LEN($K110)=0,LEN($L110)=0,LEN($M110)=0,LEN($O110)=0),IF($N110="已核定","已核定但資料未完整","待補欄位或核定"),IF(OR(LEN($R110)=0,LEN($S110)=0),IF($N110="已核定","已核定但缺來源依據","待補來源依據"),IF($N110="已核定","可發布","待主管核定")))))))</x:f>
      </x:c>
      <x:c r="R110" s="421"/>
      <x:c r="S110" s="421"/>
      <x:c r="T110" s="575"/>
      <x:c r="U110" s="582" t="str">
        <x:f>IF($D110="","",IF($Q110&lt;&gt;"可發布","模式規則未發布",IF($T110&lt;&gt;"已完整","能力要求集未確認",IF(COUNTIFS('模式能力要求輸入'!$B$7:$B$306,$D110)=0,"尚無能力要求",IF(COUNTIFS('模式能力要求輸入'!$B$7:$B$306,$D110,'模式能力要求輸入'!$R$7:$R$306,"&lt;&gt;可發布")&gt;0,"能力要求未全數發布",IF(COUNTIFS('模式能力要求輸入'!$B$7:$B$306,$D110,'模式能力要求輸入'!$E$7:$E$306,"主跟診",'模式能力要求輸入'!$F$7:$F$306,"必備",'模式能力要求輸入'!$R$7:$R$306,"可發布")=0,"缺少主跟診必備要求","可匯入模式清單"))))))</x:f>
      </x:c>
    </x:row>
    <x:row r="111">
      <x:c r="A111" s="170"/>
      <x:c r="B111" s="170"/>
      <x:c r="C111" s="170"/>
      <x:c r="D111" s="170"/>
      <x:c r="E111" s="170"/>
      <x:c r="F111" s="170"/>
      <x:c r="G111" s="170"/>
      <x:c r="H111" s="170"/>
      <x:c r="I111" s="170"/>
      <x:c r="J111" s="170"/>
      <x:c r="K111" s="170"/>
      <x:c r="L111" s="170"/>
      <x:c r="M111" s="171"/>
      <x:c r="N111" s="170"/>
      <x:c r="O111" s="170"/>
      <x:c r="P111" s="170"/>
      <x:c r="Q111" s="235" t="str">
        <x:f>IF(LEN($B111)=0,"",IF($N111="停用","停用",IF($N111="退回補件","退回補件",IF(COUNTIFS($A$7:$A$156,$A111)&gt;1,"規則編號重複",IF(OR(LEN($C111)=0,LEN($D111)=0,LEN($E111)=0,LEN($F111)=0,LEN($G111)=0,LEN($H111)=0,LEN($I111)=0,LEN($K111)=0,LEN($L111)=0,LEN($M111)=0,LEN($O111)=0),IF($N111="已核定","已核定但資料未完整","待補欄位或核定"),IF(OR(LEN($R111)=0,LEN($S111)=0),IF($N111="已核定","已核定但缺來源依據","待補來源依據"),IF($N111="已核定","可發布","待主管核定")))))))</x:f>
      </x:c>
      <x:c r="R111" s="421"/>
      <x:c r="S111" s="421"/>
      <x:c r="T111" s="575"/>
      <x:c r="U111" s="582" t="str">
        <x:f>IF($D111="","",IF($Q111&lt;&gt;"可發布","模式規則未發布",IF($T111&lt;&gt;"已完整","能力要求集未確認",IF(COUNTIFS('模式能力要求輸入'!$B$7:$B$306,$D111)=0,"尚無能力要求",IF(COUNTIFS('模式能力要求輸入'!$B$7:$B$306,$D111,'模式能力要求輸入'!$R$7:$R$306,"&lt;&gt;可發布")&gt;0,"能力要求未全數發布",IF(COUNTIFS('模式能力要求輸入'!$B$7:$B$306,$D111,'模式能力要求輸入'!$E$7:$E$306,"主跟診",'模式能力要求輸入'!$F$7:$F$306,"必備",'模式能力要求輸入'!$R$7:$R$306,"可發布")=0,"缺少主跟診必備要求","可匯入模式清單"))))))</x:f>
      </x:c>
    </x:row>
    <x:row r="112">
      <x:c r="A112" s="170"/>
      <x:c r="B112" s="170"/>
      <x:c r="C112" s="170"/>
      <x:c r="D112" s="170"/>
      <x:c r="E112" s="170"/>
      <x:c r="F112" s="170"/>
      <x:c r="G112" s="170"/>
      <x:c r="H112" s="170"/>
      <x:c r="I112" s="170"/>
      <x:c r="J112" s="170"/>
      <x:c r="K112" s="170"/>
      <x:c r="L112" s="170"/>
      <x:c r="M112" s="171"/>
      <x:c r="N112" s="170"/>
      <x:c r="O112" s="170"/>
      <x:c r="P112" s="170"/>
      <x:c r="Q112" s="235" t="str">
        <x:f>IF(LEN($B112)=0,"",IF($N112="停用","停用",IF($N112="退回補件","退回補件",IF(COUNTIFS($A$7:$A$156,$A112)&gt;1,"規則編號重複",IF(OR(LEN($C112)=0,LEN($D112)=0,LEN($E112)=0,LEN($F112)=0,LEN($G112)=0,LEN($H112)=0,LEN($I112)=0,LEN($K112)=0,LEN($L112)=0,LEN($M112)=0,LEN($O112)=0),IF($N112="已核定","已核定但資料未完整","待補欄位或核定"),IF(OR(LEN($R112)=0,LEN($S112)=0),IF($N112="已核定","已核定但缺來源依據","待補來源依據"),IF($N112="已核定","可發布","待主管核定")))))))</x:f>
      </x:c>
      <x:c r="R112" s="421"/>
      <x:c r="S112" s="421"/>
      <x:c r="T112" s="575"/>
      <x:c r="U112" s="582" t="str">
        <x:f>IF($D112="","",IF($Q112&lt;&gt;"可發布","模式規則未發布",IF($T112&lt;&gt;"已完整","能力要求集未確認",IF(COUNTIFS('模式能力要求輸入'!$B$7:$B$306,$D112)=0,"尚無能力要求",IF(COUNTIFS('模式能力要求輸入'!$B$7:$B$306,$D112,'模式能力要求輸入'!$R$7:$R$306,"&lt;&gt;可發布")&gt;0,"能力要求未全數發布",IF(COUNTIFS('模式能力要求輸入'!$B$7:$B$306,$D112,'模式能力要求輸入'!$E$7:$E$306,"主跟診",'模式能力要求輸入'!$F$7:$F$306,"必備",'模式能力要求輸入'!$R$7:$R$306,"可發布")=0,"缺少主跟診必備要求","可匯入模式清單"))))))</x:f>
      </x:c>
    </x:row>
    <x:row r="113">
      <x:c r="A113" s="170"/>
      <x:c r="B113" s="170"/>
      <x:c r="C113" s="170"/>
      <x:c r="D113" s="170"/>
      <x:c r="E113" s="170"/>
      <x:c r="F113" s="170"/>
      <x:c r="G113" s="170"/>
      <x:c r="H113" s="170"/>
      <x:c r="I113" s="170"/>
      <x:c r="J113" s="170"/>
      <x:c r="K113" s="170"/>
      <x:c r="L113" s="170"/>
      <x:c r="M113" s="171"/>
      <x:c r="N113" s="170"/>
      <x:c r="O113" s="170"/>
      <x:c r="P113" s="170"/>
      <x:c r="Q113" s="235" t="str">
        <x:f>IF(LEN($B113)=0,"",IF($N113="停用","停用",IF($N113="退回補件","退回補件",IF(COUNTIFS($A$7:$A$156,$A113)&gt;1,"規則編號重複",IF(OR(LEN($C113)=0,LEN($D113)=0,LEN($E113)=0,LEN($F113)=0,LEN($G113)=0,LEN($H113)=0,LEN($I113)=0,LEN($K113)=0,LEN($L113)=0,LEN($M113)=0,LEN($O113)=0),IF($N113="已核定","已核定但資料未完整","待補欄位或核定"),IF(OR(LEN($R113)=0,LEN($S113)=0),IF($N113="已核定","已核定但缺來源依據","待補來源依據"),IF($N113="已核定","可發布","待主管核定")))))))</x:f>
      </x:c>
      <x:c r="R113" s="421"/>
      <x:c r="S113" s="421"/>
      <x:c r="T113" s="575"/>
      <x:c r="U113" s="582" t="str">
        <x:f>IF($D113="","",IF($Q113&lt;&gt;"可發布","模式規則未發布",IF($T113&lt;&gt;"已完整","能力要求集未確認",IF(COUNTIFS('模式能力要求輸入'!$B$7:$B$306,$D113)=0,"尚無能力要求",IF(COUNTIFS('模式能力要求輸入'!$B$7:$B$306,$D113,'模式能力要求輸入'!$R$7:$R$306,"&lt;&gt;可發布")&gt;0,"能力要求未全數發布",IF(COUNTIFS('模式能力要求輸入'!$B$7:$B$306,$D113,'模式能力要求輸入'!$E$7:$E$306,"主跟診",'模式能力要求輸入'!$F$7:$F$306,"必備",'模式能力要求輸入'!$R$7:$R$306,"可發布")=0,"缺少主跟診必備要求","可匯入模式清單"))))))</x:f>
      </x:c>
    </x:row>
    <x:row r="114">
      <x:c r="A114" s="170"/>
      <x:c r="B114" s="170"/>
      <x:c r="C114" s="170"/>
      <x:c r="D114" s="170"/>
      <x:c r="E114" s="170"/>
      <x:c r="F114" s="170"/>
      <x:c r="G114" s="170"/>
      <x:c r="H114" s="170"/>
      <x:c r="I114" s="170"/>
      <x:c r="J114" s="170"/>
      <x:c r="K114" s="170"/>
      <x:c r="L114" s="170"/>
      <x:c r="M114" s="171"/>
      <x:c r="N114" s="170"/>
      <x:c r="O114" s="170"/>
      <x:c r="P114" s="170"/>
      <x:c r="Q114" s="235" t="str">
        <x:f>IF(LEN($B114)=0,"",IF($N114="停用","停用",IF($N114="退回補件","退回補件",IF(COUNTIFS($A$7:$A$156,$A114)&gt;1,"規則編號重複",IF(OR(LEN($C114)=0,LEN($D114)=0,LEN($E114)=0,LEN($F114)=0,LEN($G114)=0,LEN($H114)=0,LEN($I114)=0,LEN($K114)=0,LEN($L114)=0,LEN($M114)=0,LEN($O114)=0),IF($N114="已核定","已核定但資料未完整","待補欄位或核定"),IF(OR(LEN($R114)=0,LEN($S114)=0),IF($N114="已核定","已核定但缺來源依據","待補來源依據"),IF($N114="已核定","可發布","待主管核定")))))))</x:f>
      </x:c>
      <x:c r="R114" s="421"/>
      <x:c r="S114" s="421"/>
      <x:c r="T114" s="575"/>
      <x:c r="U114" s="582" t="str">
        <x:f>IF($D114="","",IF($Q114&lt;&gt;"可發布","模式規則未發布",IF($T114&lt;&gt;"已完整","能力要求集未確認",IF(COUNTIFS('模式能力要求輸入'!$B$7:$B$306,$D114)=0,"尚無能力要求",IF(COUNTIFS('模式能力要求輸入'!$B$7:$B$306,$D114,'模式能力要求輸入'!$R$7:$R$306,"&lt;&gt;可發布")&gt;0,"能力要求未全數發布",IF(COUNTIFS('模式能力要求輸入'!$B$7:$B$306,$D114,'模式能力要求輸入'!$E$7:$E$306,"主跟診",'模式能力要求輸入'!$F$7:$F$306,"必備",'模式能力要求輸入'!$R$7:$R$306,"可發布")=0,"缺少主跟診必備要求","可匯入模式清單"))))))</x:f>
      </x:c>
    </x:row>
    <x:row r="115">
      <x:c r="A115" s="170"/>
      <x:c r="B115" s="170"/>
      <x:c r="C115" s="170"/>
      <x:c r="D115" s="170"/>
      <x:c r="E115" s="170"/>
      <x:c r="F115" s="170"/>
      <x:c r="G115" s="170"/>
      <x:c r="H115" s="170"/>
      <x:c r="I115" s="170"/>
      <x:c r="J115" s="170"/>
      <x:c r="K115" s="170"/>
      <x:c r="L115" s="170"/>
      <x:c r="M115" s="171"/>
      <x:c r="N115" s="170"/>
      <x:c r="O115" s="170"/>
      <x:c r="P115" s="170"/>
      <x:c r="Q115" s="235" t="str">
        <x:f>IF(LEN($B115)=0,"",IF($N115="停用","停用",IF($N115="退回補件","退回補件",IF(COUNTIFS($A$7:$A$156,$A115)&gt;1,"規則編號重複",IF(OR(LEN($C115)=0,LEN($D115)=0,LEN($E115)=0,LEN($F115)=0,LEN($G115)=0,LEN($H115)=0,LEN($I115)=0,LEN($K115)=0,LEN($L115)=0,LEN($M115)=0,LEN($O115)=0),IF($N115="已核定","已核定但資料未完整","待補欄位或核定"),IF(OR(LEN($R115)=0,LEN($S115)=0),IF($N115="已核定","已核定但缺來源依據","待補來源依據"),IF($N115="已核定","可發布","待主管核定")))))))</x:f>
      </x:c>
      <x:c r="R115" s="421"/>
      <x:c r="S115" s="421"/>
      <x:c r="T115" s="575"/>
      <x:c r="U115" s="582" t="str">
        <x:f>IF($D115="","",IF($Q115&lt;&gt;"可發布","模式規則未發布",IF($T115&lt;&gt;"已完整","能力要求集未確認",IF(COUNTIFS('模式能力要求輸入'!$B$7:$B$306,$D115)=0,"尚無能力要求",IF(COUNTIFS('模式能力要求輸入'!$B$7:$B$306,$D115,'模式能力要求輸入'!$R$7:$R$306,"&lt;&gt;可發布")&gt;0,"能力要求未全數發布",IF(COUNTIFS('模式能力要求輸入'!$B$7:$B$306,$D115,'模式能力要求輸入'!$E$7:$E$306,"主跟診",'模式能力要求輸入'!$F$7:$F$306,"必備",'模式能力要求輸入'!$R$7:$R$306,"可發布")=0,"缺少主跟診必備要求","可匯入模式清單"))))))</x:f>
      </x:c>
    </x:row>
    <x:row r="116">
      <x:c r="A116" s="170"/>
      <x:c r="B116" s="170"/>
      <x:c r="C116" s="170"/>
      <x:c r="D116" s="170"/>
      <x:c r="E116" s="170"/>
      <x:c r="F116" s="170"/>
      <x:c r="G116" s="170"/>
      <x:c r="H116" s="170"/>
      <x:c r="I116" s="170"/>
      <x:c r="J116" s="170"/>
      <x:c r="K116" s="170"/>
      <x:c r="L116" s="170"/>
      <x:c r="M116" s="171"/>
      <x:c r="N116" s="170"/>
      <x:c r="O116" s="170"/>
      <x:c r="P116" s="170"/>
      <x:c r="Q116" s="235" t="str">
        <x:f>IF(LEN($B116)=0,"",IF($N116="停用","停用",IF($N116="退回補件","退回補件",IF(COUNTIFS($A$7:$A$156,$A116)&gt;1,"規則編號重複",IF(OR(LEN($C116)=0,LEN($D116)=0,LEN($E116)=0,LEN($F116)=0,LEN($G116)=0,LEN($H116)=0,LEN($I116)=0,LEN($K116)=0,LEN($L116)=0,LEN($M116)=0,LEN($O116)=0),IF($N116="已核定","已核定但資料未完整","待補欄位或核定"),IF(OR(LEN($R116)=0,LEN($S116)=0),IF($N116="已核定","已核定但缺來源依據","待補來源依據"),IF($N116="已核定","可發布","待主管核定")))))))</x:f>
      </x:c>
      <x:c r="R116" s="421"/>
      <x:c r="S116" s="421"/>
      <x:c r="T116" s="575"/>
      <x:c r="U116" s="582" t="str">
        <x:f>IF($D116="","",IF($Q116&lt;&gt;"可發布","模式規則未發布",IF($T116&lt;&gt;"已完整","能力要求集未確認",IF(COUNTIFS('模式能力要求輸入'!$B$7:$B$306,$D116)=0,"尚無能力要求",IF(COUNTIFS('模式能力要求輸入'!$B$7:$B$306,$D116,'模式能力要求輸入'!$R$7:$R$306,"&lt;&gt;可發布")&gt;0,"能力要求未全數發布",IF(COUNTIFS('模式能力要求輸入'!$B$7:$B$306,$D116,'模式能力要求輸入'!$E$7:$E$306,"主跟診",'模式能力要求輸入'!$F$7:$F$306,"必備",'模式能力要求輸入'!$R$7:$R$306,"可發布")=0,"缺少主跟診必備要求","可匯入模式清單"))))))</x:f>
      </x:c>
    </x:row>
    <x:row r="117">
      <x:c r="A117" s="170"/>
      <x:c r="B117" s="170"/>
      <x:c r="C117" s="170"/>
      <x:c r="D117" s="170"/>
      <x:c r="E117" s="170"/>
      <x:c r="F117" s="170"/>
      <x:c r="G117" s="170"/>
      <x:c r="H117" s="170"/>
      <x:c r="I117" s="170"/>
      <x:c r="J117" s="170"/>
      <x:c r="K117" s="170"/>
      <x:c r="L117" s="170"/>
      <x:c r="M117" s="171"/>
      <x:c r="N117" s="170"/>
      <x:c r="O117" s="170"/>
      <x:c r="P117" s="170"/>
      <x:c r="Q117" s="235" t="str">
        <x:f>IF(LEN($B117)=0,"",IF($N117="停用","停用",IF($N117="退回補件","退回補件",IF(COUNTIFS($A$7:$A$156,$A117)&gt;1,"規則編號重複",IF(OR(LEN($C117)=0,LEN($D117)=0,LEN($E117)=0,LEN($F117)=0,LEN($G117)=0,LEN($H117)=0,LEN($I117)=0,LEN($K117)=0,LEN($L117)=0,LEN($M117)=0,LEN($O117)=0),IF($N117="已核定","已核定但資料未完整","待補欄位或核定"),IF(OR(LEN($R117)=0,LEN($S117)=0),IF($N117="已核定","已核定但缺來源依據","待補來源依據"),IF($N117="已核定","可發布","待主管核定")))))))</x:f>
      </x:c>
      <x:c r="R117" s="421"/>
      <x:c r="S117" s="421"/>
      <x:c r="T117" s="575"/>
      <x:c r="U117" s="582" t="str">
        <x:f>IF($D117="","",IF($Q117&lt;&gt;"可發布","模式規則未發布",IF($T117&lt;&gt;"已完整","能力要求集未確認",IF(COUNTIFS('模式能力要求輸入'!$B$7:$B$306,$D117)=0,"尚無能力要求",IF(COUNTIFS('模式能力要求輸入'!$B$7:$B$306,$D117,'模式能力要求輸入'!$R$7:$R$306,"&lt;&gt;可發布")&gt;0,"能力要求未全數發布",IF(COUNTIFS('模式能力要求輸入'!$B$7:$B$306,$D117,'模式能力要求輸入'!$E$7:$E$306,"主跟診",'模式能力要求輸入'!$F$7:$F$306,"必備",'模式能力要求輸入'!$R$7:$R$306,"可發布")=0,"缺少主跟診必備要求","可匯入模式清單"))))))</x:f>
      </x:c>
    </x:row>
    <x:row r="118">
      <x:c r="A118" s="170"/>
      <x:c r="B118" s="170"/>
      <x:c r="C118" s="170"/>
      <x:c r="D118" s="170"/>
      <x:c r="E118" s="170"/>
      <x:c r="F118" s="170"/>
      <x:c r="G118" s="170"/>
      <x:c r="H118" s="170"/>
      <x:c r="I118" s="170"/>
      <x:c r="J118" s="170"/>
      <x:c r="K118" s="170"/>
      <x:c r="L118" s="170"/>
      <x:c r="M118" s="171"/>
      <x:c r="N118" s="170"/>
      <x:c r="O118" s="170"/>
      <x:c r="P118" s="170"/>
      <x:c r="Q118" s="235" t="str">
        <x:f>IF(LEN($B118)=0,"",IF($N118="停用","停用",IF($N118="退回補件","退回補件",IF(COUNTIFS($A$7:$A$156,$A118)&gt;1,"規則編號重複",IF(OR(LEN($C118)=0,LEN($D118)=0,LEN($E118)=0,LEN($F118)=0,LEN($G118)=0,LEN($H118)=0,LEN($I118)=0,LEN($K118)=0,LEN($L118)=0,LEN($M118)=0,LEN($O118)=0),IF($N118="已核定","已核定但資料未完整","待補欄位或核定"),IF(OR(LEN($R118)=0,LEN($S118)=0),IF($N118="已核定","已核定但缺來源依據","待補來源依據"),IF($N118="已核定","可發布","待主管核定")))))))</x:f>
      </x:c>
      <x:c r="R118" s="421"/>
      <x:c r="S118" s="421"/>
      <x:c r="T118" s="575"/>
      <x:c r="U118" s="582" t="str">
        <x:f>IF($D118="","",IF($Q118&lt;&gt;"可發布","模式規則未發布",IF($T118&lt;&gt;"已完整","能力要求集未確認",IF(COUNTIFS('模式能力要求輸入'!$B$7:$B$306,$D118)=0,"尚無能力要求",IF(COUNTIFS('模式能力要求輸入'!$B$7:$B$306,$D118,'模式能力要求輸入'!$R$7:$R$306,"&lt;&gt;可發布")&gt;0,"能力要求未全數發布",IF(COUNTIFS('模式能力要求輸入'!$B$7:$B$306,$D118,'模式能力要求輸入'!$E$7:$E$306,"主跟診",'模式能力要求輸入'!$F$7:$F$306,"必備",'模式能力要求輸入'!$R$7:$R$306,"可發布")=0,"缺少主跟診必備要求","可匯入模式清單"))))))</x:f>
      </x:c>
    </x:row>
    <x:row r="119">
      <x:c r="A119" s="170"/>
      <x:c r="B119" s="170"/>
      <x:c r="C119" s="170"/>
      <x:c r="D119" s="170"/>
      <x:c r="E119" s="170"/>
      <x:c r="F119" s="170"/>
      <x:c r="G119" s="170"/>
      <x:c r="H119" s="170"/>
      <x:c r="I119" s="170"/>
      <x:c r="J119" s="170"/>
      <x:c r="K119" s="170"/>
      <x:c r="L119" s="170"/>
      <x:c r="M119" s="171"/>
      <x:c r="N119" s="170"/>
      <x:c r="O119" s="170"/>
      <x:c r="P119" s="170"/>
      <x:c r="Q119" s="235" t="str">
        <x:f>IF(LEN($B119)=0,"",IF($N119="停用","停用",IF($N119="退回補件","退回補件",IF(COUNTIFS($A$7:$A$156,$A119)&gt;1,"規則編號重複",IF(OR(LEN($C119)=0,LEN($D119)=0,LEN($E119)=0,LEN($F119)=0,LEN($G119)=0,LEN($H119)=0,LEN($I119)=0,LEN($K119)=0,LEN($L119)=0,LEN($M119)=0,LEN($O119)=0),IF($N119="已核定","已核定但資料未完整","待補欄位或核定"),IF(OR(LEN($R119)=0,LEN($S119)=0),IF($N119="已核定","已核定但缺來源依據","待補來源依據"),IF($N119="已核定","可發布","待主管核定")))))))</x:f>
      </x:c>
      <x:c r="R119" s="421"/>
      <x:c r="S119" s="421"/>
      <x:c r="T119" s="575"/>
      <x:c r="U119" s="582" t="str">
        <x:f>IF($D119="","",IF($Q119&lt;&gt;"可發布","模式規則未發布",IF($T119&lt;&gt;"已完整","能力要求集未確認",IF(COUNTIFS('模式能力要求輸入'!$B$7:$B$306,$D119)=0,"尚無能力要求",IF(COUNTIFS('模式能力要求輸入'!$B$7:$B$306,$D119,'模式能力要求輸入'!$R$7:$R$306,"&lt;&gt;可發布")&gt;0,"能力要求未全數發布",IF(COUNTIFS('模式能力要求輸入'!$B$7:$B$306,$D119,'模式能力要求輸入'!$E$7:$E$306,"主跟診",'模式能力要求輸入'!$F$7:$F$306,"必備",'模式能力要求輸入'!$R$7:$R$306,"可發布")=0,"缺少主跟診必備要求","可匯入模式清單"))))))</x:f>
      </x:c>
    </x:row>
    <x:row r="120">
      <x:c r="A120" s="170"/>
      <x:c r="B120" s="170"/>
      <x:c r="C120" s="170"/>
      <x:c r="D120" s="170"/>
      <x:c r="E120" s="170"/>
      <x:c r="F120" s="170"/>
      <x:c r="G120" s="170"/>
      <x:c r="H120" s="170"/>
      <x:c r="I120" s="170"/>
      <x:c r="J120" s="170"/>
      <x:c r="K120" s="170"/>
      <x:c r="L120" s="170"/>
      <x:c r="M120" s="171"/>
      <x:c r="N120" s="170"/>
      <x:c r="O120" s="170"/>
      <x:c r="P120" s="170"/>
      <x:c r="Q120" s="235" t="str">
        <x:f>IF(LEN($B120)=0,"",IF($N120="停用","停用",IF($N120="退回補件","退回補件",IF(COUNTIFS($A$7:$A$156,$A120)&gt;1,"規則編號重複",IF(OR(LEN($C120)=0,LEN($D120)=0,LEN($E120)=0,LEN($F120)=0,LEN($G120)=0,LEN($H120)=0,LEN($I120)=0,LEN($K120)=0,LEN($L120)=0,LEN($M120)=0,LEN($O120)=0),IF($N120="已核定","已核定但資料未完整","待補欄位或核定"),IF(OR(LEN($R120)=0,LEN($S120)=0),IF($N120="已核定","已核定但缺來源依據","待補來源依據"),IF($N120="已核定","可發布","待主管核定")))))))</x:f>
      </x:c>
      <x:c r="R120" s="421"/>
      <x:c r="S120" s="421"/>
      <x:c r="T120" s="575"/>
      <x:c r="U120" s="582" t="str">
        <x:f>IF($D120="","",IF($Q120&lt;&gt;"可發布","模式規則未發布",IF($T120&lt;&gt;"已完整","能力要求集未確認",IF(COUNTIFS('模式能力要求輸入'!$B$7:$B$306,$D120)=0,"尚無能力要求",IF(COUNTIFS('模式能力要求輸入'!$B$7:$B$306,$D120,'模式能力要求輸入'!$R$7:$R$306,"&lt;&gt;可發布")&gt;0,"能力要求未全數發布",IF(COUNTIFS('模式能力要求輸入'!$B$7:$B$306,$D120,'模式能力要求輸入'!$E$7:$E$306,"主跟診",'模式能力要求輸入'!$F$7:$F$306,"必備",'模式能力要求輸入'!$R$7:$R$306,"可發布")=0,"缺少主跟診必備要求","可匯入模式清單"))))))</x:f>
      </x:c>
    </x:row>
    <x:row r="121">
      <x:c r="A121" s="170"/>
      <x:c r="B121" s="170"/>
      <x:c r="C121" s="170"/>
      <x:c r="D121" s="170"/>
      <x:c r="E121" s="170"/>
      <x:c r="F121" s="170"/>
      <x:c r="G121" s="170"/>
      <x:c r="H121" s="170"/>
      <x:c r="I121" s="170"/>
      <x:c r="J121" s="170"/>
      <x:c r="K121" s="170"/>
      <x:c r="L121" s="170"/>
      <x:c r="M121" s="171"/>
      <x:c r="N121" s="170"/>
      <x:c r="O121" s="170"/>
      <x:c r="P121" s="170"/>
      <x:c r="Q121" s="235" t="str">
        <x:f>IF(LEN($B121)=0,"",IF($N121="停用","停用",IF($N121="退回補件","退回補件",IF(COUNTIFS($A$7:$A$156,$A121)&gt;1,"規則編號重複",IF(OR(LEN($C121)=0,LEN($D121)=0,LEN($E121)=0,LEN($F121)=0,LEN($G121)=0,LEN($H121)=0,LEN($I121)=0,LEN($K121)=0,LEN($L121)=0,LEN($M121)=0,LEN($O121)=0),IF($N121="已核定","已核定但資料未完整","待補欄位或核定"),IF(OR(LEN($R121)=0,LEN($S121)=0),IF($N121="已核定","已核定但缺來源依據","待補來源依據"),IF($N121="已核定","可發布","待主管核定")))))))</x:f>
      </x:c>
      <x:c r="R121" s="421"/>
      <x:c r="S121" s="421"/>
      <x:c r="T121" s="575"/>
      <x:c r="U121" s="582" t="str">
        <x:f>IF($D121="","",IF($Q121&lt;&gt;"可發布","模式規則未發布",IF($T121&lt;&gt;"已完整","能力要求集未確認",IF(COUNTIFS('模式能力要求輸入'!$B$7:$B$306,$D121)=0,"尚無能力要求",IF(COUNTIFS('模式能力要求輸入'!$B$7:$B$306,$D121,'模式能力要求輸入'!$R$7:$R$306,"&lt;&gt;可發布")&gt;0,"能力要求未全數發布",IF(COUNTIFS('模式能力要求輸入'!$B$7:$B$306,$D121,'模式能力要求輸入'!$E$7:$E$306,"主跟診",'模式能力要求輸入'!$F$7:$F$306,"必備",'模式能力要求輸入'!$R$7:$R$306,"可發布")=0,"缺少主跟診必備要求","可匯入模式清單"))))))</x:f>
      </x:c>
    </x:row>
    <x:row r="122">
      <x:c r="A122" s="170"/>
      <x:c r="B122" s="170"/>
      <x:c r="C122" s="170"/>
      <x:c r="D122" s="170"/>
      <x:c r="E122" s="170"/>
      <x:c r="F122" s="170"/>
      <x:c r="G122" s="170"/>
      <x:c r="H122" s="170"/>
      <x:c r="I122" s="170"/>
      <x:c r="J122" s="170"/>
      <x:c r="K122" s="170"/>
      <x:c r="L122" s="170"/>
      <x:c r="M122" s="171"/>
      <x:c r="N122" s="170"/>
      <x:c r="O122" s="170"/>
      <x:c r="P122" s="170"/>
      <x:c r="Q122" s="235" t="str">
        <x:f>IF(LEN($B122)=0,"",IF($N122="停用","停用",IF($N122="退回補件","退回補件",IF(COUNTIFS($A$7:$A$156,$A122)&gt;1,"規則編號重複",IF(OR(LEN($C122)=0,LEN($D122)=0,LEN($E122)=0,LEN($F122)=0,LEN($G122)=0,LEN($H122)=0,LEN($I122)=0,LEN($K122)=0,LEN($L122)=0,LEN($M122)=0,LEN($O122)=0),IF($N122="已核定","已核定但資料未完整","待補欄位或核定"),IF(OR(LEN($R122)=0,LEN($S122)=0),IF($N122="已核定","已核定但缺來源依據","待補來源依據"),IF($N122="已核定","可發布","待主管核定")))))))</x:f>
      </x:c>
      <x:c r="R122" s="421"/>
      <x:c r="S122" s="421"/>
      <x:c r="T122" s="575"/>
      <x:c r="U122" s="582" t="str">
        <x:f>IF($D122="","",IF($Q122&lt;&gt;"可發布","模式規則未發布",IF($T122&lt;&gt;"已完整","能力要求集未確認",IF(COUNTIFS('模式能力要求輸入'!$B$7:$B$306,$D122)=0,"尚無能力要求",IF(COUNTIFS('模式能力要求輸入'!$B$7:$B$306,$D122,'模式能力要求輸入'!$R$7:$R$306,"&lt;&gt;可發布")&gt;0,"能力要求未全數發布",IF(COUNTIFS('模式能力要求輸入'!$B$7:$B$306,$D122,'模式能力要求輸入'!$E$7:$E$306,"主跟診",'模式能力要求輸入'!$F$7:$F$306,"必備",'模式能力要求輸入'!$R$7:$R$306,"可發布")=0,"缺少主跟診必備要求","可匯入模式清單"))))))</x:f>
      </x:c>
    </x:row>
    <x:row r="123">
      <x:c r="A123" s="170"/>
      <x:c r="B123" s="170"/>
      <x:c r="C123" s="170"/>
      <x:c r="D123" s="170"/>
      <x:c r="E123" s="170"/>
      <x:c r="F123" s="170"/>
      <x:c r="G123" s="170"/>
      <x:c r="H123" s="170"/>
      <x:c r="I123" s="170"/>
      <x:c r="J123" s="170"/>
      <x:c r="K123" s="170"/>
      <x:c r="L123" s="170"/>
      <x:c r="M123" s="171"/>
      <x:c r="N123" s="170"/>
      <x:c r="O123" s="170"/>
      <x:c r="P123" s="170"/>
      <x:c r="Q123" s="235" t="str">
        <x:f>IF(LEN($B123)=0,"",IF($N123="停用","停用",IF($N123="退回補件","退回補件",IF(COUNTIFS($A$7:$A$156,$A123)&gt;1,"規則編號重複",IF(OR(LEN($C123)=0,LEN($D123)=0,LEN($E123)=0,LEN($F123)=0,LEN($G123)=0,LEN($H123)=0,LEN($I123)=0,LEN($K123)=0,LEN($L123)=0,LEN($M123)=0,LEN($O123)=0),IF($N123="已核定","已核定但資料未完整","待補欄位或核定"),IF(OR(LEN($R123)=0,LEN($S123)=0),IF($N123="已核定","已核定但缺來源依據","待補來源依據"),IF($N123="已核定","可發布","待主管核定")))))))</x:f>
      </x:c>
      <x:c r="R123" s="421"/>
      <x:c r="S123" s="421"/>
      <x:c r="T123" s="575"/>
      <x:c r="U123" s="582" t="str">
        <x:f>IF($D123="","",IF($Q123&lt;&gt;"可發布","模式規則未發布",IF($T123&lt;&gt;"已完整","能力要求集未確認",IF(COUNTIFS('模式能力要求輸入'!$B$7:$B$306,$D123)=0,"尚無能力要求",IF(COUNTIFS('模式能力要求輸入'!$B$7:$B$306,$D123,'模式能力要求輸入'!$R$7:$R$306,"&lt;&gt;可發布")&gt;0,"能力要求未全數發布",IF(COUNTIFS('模式能力要求輸入'!$B$7:$B$306,$D123,'模式能力要求輸入'!$E$7:$E$306,"主跟診",'模式能力要求輸入'!$F$7:$F$306,"必備",'模式能力要求輸入'!$R$7:$R$306,"可發布")=0,"缺少主跟診必備要求","可匯入模式清單"))))))</x:f>
      </x:c>
    </x:row>
    <x:row r="124">
      <x:c r="A124" s="170"/>
      <x:c r="B124" s="170"/>
      <x:c r="C124" s="170"/>
      <x:c r="D124" s="170"/>
      <x:c r="E124" s="170"/>
      <x:c r="F124" s="170"/>
      <x:c r="G124" s="170"/>
      <x:c r="H124" s="170"/>
      <x:c r="I124" s="170"/>
      <x:c r="J124" s="170"/>
      <x:c r="K124" s="170"/>
      <x:c r="L124" s="170"/>
      <x:c r="M124" s="171"/>
      <x:c r="N124" s="170"/>
      <x:c r="O124" s="170"/>
      <x:c r="P124" s="170"/>
      <x:c r="Q124" s="235" t="str">
        <x:f>IF(LEN($B124)=0,"",IF($N124="停用","停用",IF($N124="退回補件","退回補件",IF(COUNTIFS($A$7:$A$156,$A124)&gt;1,"規則編號重複",IF(OR(LEN($C124)=0,LEN($D124)=0,LEN($E124)=0,LEN($F124)=0,LEN($G124)=0,LEN($H124)=0,LEN($I124)=0,LEN($K124)=0,LEN($L124)=0,LEN($M124)=0,LEN($O124)=0),IF($N124="已核定","已核定但資料未完整","待補欄位或核定"),IF(OR(LEN($R124)=0,LEN($S124)=0),IF($N124="已核定","已核定但缺來源依據","待補來源依據"),IF($N124="已核定","可發布","待主管核定")))))))</x:f>
      </x:c>
      <x:c r="R124" s="421"/>
      <x:c r="S124" s="421"/>
      <x:c r="T124" s="575"/>
      <x:c r="U124" s="582" t="str">
        <x:f>IF($D124="","",IF($Q124&lt;&gt;"可發布","模式規則未發布",IF($T124&lt;&gt;"已完整","能力要求集未確認",IF(COUNTIFS('模式能力要求輸入'!$B$7:$B$306,$D124)=0,"尚無能力要求",IF(COUNTIFS('模式能力要求輸入'!$B$7:$B$306,$D124,'模式能力要求輸入'!$R$7:$R$306,"&lt;&gt;可發布")&gt;0,"能力要求未全數發布",IF(COUNTIFS('模式能力要求輸入'!$B$7:$B$306,$D124,'模式能力要求輸入'!$E$7:$E$306,"主跟診",'模式能力要求輸入'!$F$7:$F$306,"必備",'模式能力要求輸入'!$R$7:$R$306,"可發布")=0,"缺少主跟診必備要求","可匯入模式清單"))))))</x:f>
      </x:c>
    </x:row>
    <x:row r="125">
      <x:c r="A125" s="170"/>
      <x:c r="B125" s="170"/>
      <x:c r="C125" s="170"/>
      <x:c r="D125" s="170"/>
      <x:c r="E125" s="170"/>
      <x:c r="F125" s="170"/>
      <x:c r="G125" s="170"/>
      <x:c r="H125" s="170"/>
      <x:c r="I125" s="170"/>
      <x:c r="J125" s="170"/>
      <x:c r="K125" s="170"/>
      <x:c r="L125" s="170"/>
      <x:c r="M125" s="171"/>
      <x:c r="N125" s="170"/>
      <x:c r="O125" s="170"/>
      <x:c r="P125" s="170"/>
      <x:c r="Q125" s="235" t="str">
        <x:f>IF(LEN($B125)=0,"",IF($N125="停用","停用",IF($N125="退回補件","退回補件",IF(COUNTIFS($A$7:$A$156,$A125)&gt;1,"規則編號重複",IF(OR(LEN($C125)=0,LEN($D125)=0,LEN($E125)=0,LEN($F125)=0,LEN($G125)=0,LEN($H125)=0,LEN($I125)=0,LEN($K125)=0,LEN($L125)=0,LEN($M125)=0,LEN($O125)=0),IF($N125="已核定","已核定但資料未完整","待補欄位或核定"),IF(OR(LEN($R125)=0,LEN($S125)=0),IF($N125="已核定","已核定但缺來源依據","待補來源依據"),IF($N125="已核定","可發布","待主管核定")))))))</x:f>
      </x:c>
      <x:c r="R125" s="421"/>
      <x:c r="S125" s="421"/>
      <x:c r="T125" s="575"/>
      <x:c r="U125" s="582" t="str">
        <x:f>IF($D125="","",IF($Q125&lt;&gt;"可發布","模式規則未發布",IF($T125&lt;&gt;"已完整","能力要求集未確認",IF(COUNTIFS('模式能力要求輸入'!$B$7:$B$306,$D125)=0,"尚無能力要求",IF(COUNTIFS('模式能力要求輸入'!$B$7:$B$306,$D125,'模式能力要求輸入'!$R$7:$R$306,"&lt;&gt;可發布")&gt;0,"能力要求未全數發布",IF(COUNTIFS('模式能力要求輸入'!$B$7:$B$306,$D125,'模式能力要求輸入'!$E$7:$E$306,"主跟診",'模式能力要求輸入'!$F$7:$F$306,"必備",'模式能力要求輸入'!$R$7:$R$306,"可發布")=0,"缺少主跟診必備要求","可匯入模式清單"))))))</x:f>
      </x:c>
    </x:row>
    <x:row r="126">
      <x:c r="A126" s="170"/>
      <x:c r="B126" s="170"/>
      <x:c r="C126" s="170"/>
      <x:c r="D126" s="170"/>
      <x:c r="E126" s="170"/>
      <x:c r="F126" s="170"/>
      <x:c r="G126" s="170"/>
      <x:c r="H126" s="170"/>
      <x:c r="I126" s="170"/>
      <x:c r="J126" s="170"/>
      <x:c r="K126" s="170"/>
      <x:c r="L126" s="170"/>
      <x:c r="M126" s="171"/>
      <x:c r="N126" s="170"/>
      <x:c r="O126" s="170"/>
      <x:c r="P126" s="170"/>
      <x:c r="Q126" s="235" t="str">
        <x:f>IF(LEN($B126)=0,"",IF($N126="停用","停用",IF($N126="退回補件","退回補件",IF(COUNTIFS($A$7:$A$156,$A126)&gt;1,"規則編號重複",IF(OR(LEN($C126)=0,LEN($D126)=0,LEN($E126)=0,LEN($F126)=0,LEN($G126)=0,LEN($H126)=0,LEN($I126)=0,LEN($K126)=0,LEN($L126)=0,LEN($M126)=0,LEN($O126)=0),IF($N126="已核定","已核定但資料未完整","待補欄位或核定"),IF(OR(LEN($R126)=0,LEN($S126)=0),IF($N126="已核定","已核定但缺來源依據","待補來源依據"),IF($N126="已核定","可發布","待主管核定")))))))</x:f>
      </x:c>
      <x:c r="R126" s="421"/>
      <x:c r="S126" s="421"/>
      <x:c r="T126" s="575"/>
      <x:c r="U126" s="582" t="str">
        <x:f>IF($D126="","",IF($Q126&lt;&gt;"可發布","模式規則未發布",IF($T126&lt;&gt;"已完整","能力要求集未確認",IF(COUNTIFS('模式能力要求輸入'!$B$7:$B$306,$D126)=0,"尚無能力要求",IF(COUNTIFS('模式能力要求輸入'!$B$7:$B$306,$D126,'模式能力要求輸入'!$R$7:$R$306,"&lt;&gt;可發布")&gt;0,"能力要求未全數發布",IF(COUNTIFS('模式能力要求輸入'!$B$7:$B$306,$D126,'模式能力要求輸入'!$E$7:$E$306,"主跟診",'模式能力要求輸入'!$F$7:$F$306,"必備",'模式能力要求輸入'!$R$7:$R$306,"可發布")=0,"缺少主跟診必備要求","可匯入模式清單"))))))</x:f>
      </x:c>
    </x:row>
    <x:row r="127">
      <x:c r="A127" s="170"/>
      <x:c r="B127" s="170"/>
      <x:c r="C127" s="170"/>
      <x:c r="D127" s="170"/>
      <x:c r="E127" s="170"/>
      <x:c r="F127" s="170"/>
      <x:c r="G127" s="170"/>
      <x:c r="H127" s="170"/>
      <x:c r="I127" s="170"/>
      <x:c r="J127" s="170"/>
      <x:c r="K127" s="170"/>
      <x:c r="L127" s="170"/>
      <x:c r="M127" s="171"/>
      <x:c r="N127" s="170"/>
      <x:c r="O127" s="170"/>
      <x:c r="P127" s="170"/>
      <x:c r="Q127" s="235" t="str">
        <x:f>IF(LEN($B127)=0,"",IF($N127="停用","停用",IF($N127="退回補件","退回補件",IF(COUNTIFS($A$7:$A$156,$A127)&gt;1,"規則編號重複",IF(OR(LEN($C127)=0,LEN($D127)=0,LEN($E127)=0,LEN($F127)=0,LEN($G127)=0,LEN($H127)=0,LEN($I127)=0,LEN($K127)=0,LEN($L127)=0,LEN($M127)=0,LEN($O127)=0),IF($N127="已核定","已核定但資料未完整","待補欄位或核定"),IF(OR(LEN($R127)=0,LEN($S127)=0),IF($N127="已核定","已核定但缺來源依據","待補來源依據"),IF($N127="已核定","可發布","待主管核定")))))))</x:f>
      </x:c>
      <x:c r="R127" s="421"/>
      <x:c r="S127" s="421"/>
      <x:c r="T127" s="575"/>
      <x:c r="U127" s="582" t="str">
        <x:f>IF($D127="","",IF($Q127&lt;&gt;"可發布","模式規則未發布",IF($T127&lt;&gt;"已完整","能力要求集未確認",IF(COUNTIFS('模式能力要求輸入'!$B$7:$B$306,$D127)=0,"尚無能力要求",IF(COUNTIFS('模式能力要求輸入'!$B$7:$B$306,$D127,'模式能力要求輸入'!$R$7:$R$306,"&lt;&gt;可發布")&gt;0,"能力要求未全數發布",IF(COUNTIFS('模式能力要求輸入'!$B$7:$B$306,$D127,'模式能力要求輸入'!$E$7:$E$306,"主跟診",'模式能力要求輸入'!$F$7:$F$306,"必備",'模式能力要求輸入'!$R$7:$R$306,"可發布")=0,"缺少主跟診必備要求","可匯入模式清單"))))))</x:f>
      </x:c>
    </x:row>
    <x:row r="128">
      <x:c r="A128" s="170"/>
      <x:c r="B128" s="170"/>
      <x:c r="C128" s="170"/>
      <x:c r="D128" s="170"/>
      <x:c r="E128" s="170"/>
      <x:c r="F128" s="170"/>
      <x:c r="G128" s="170"/>
      <x:c r="H128" s="170"/>
      <x:c r="I128" s="170"/>
      <x:c r="J128" s="170"/>
      <x:c r="K128" s="170"/>
      <x:c r="L128" s="170"/>
      <x:c r="M128" s="171"/>
      <x:c r="N128" s="170"/>
      <x:c r="O128" s="170"/>
      <x:c r="P128" s="170"/>
      <x:c r="Q128" s="235" t="str">
        <x:f>IF(LEN($B128)=0,"",IF($N128="停用","停用",IF($N128="退回補件","退回補件",IF(COUNTIFS($A$7:$A$156,$A128)&gt;1,"規則編號重複",IF(OR(LEN($C128)=0,LEN($D128)=0,LEN($E128)=0,LEN($F128)=0,LEN($G128)=0,LEN($H128)=0,LEN($I128)=0,LEN($K128)=0,LEN($L128)=0,LEN($M128)=0,LEN($O128)=0),IF($N128="已核定","已核定但資料未完整","待補欄位或核定"),IF(OR(LEN($R128)=0,LEN($S128)=0),IF($N128="已核定","已核定但缺來源依據","待補來源依據"),IF($N128="已核定","可發布","待主管核定")))))))</x:f>
      </x:c>
      <x:c r="R128" s="421"/>
      <x:c r="S128" s="421"/>
      <x:c r="T128" s="575"/>
      <x:c r="U128" s="582" t="str">
        <x:f>IF($D128="","",IF($Q128&lt;&gt;"可發布","模式規則未發布",IF($T128&lt;&gt;"已完整","能力要求集未確認",IF(COUNTIFS('模式能力要求輸入'!$B$7:$B$306,$D128)=0,"尚無能力要求",IF(COUNTIFS('模式能力要求輸入'!$B$7:$B$306,$D128,'模式能力要求輸入'!$R$7:$R$306,"&lt;&gt;可發布")&gt;0,"能力要求未全數發布",IF(COUNTIFS('模式能力要求輸入'!$B$7:$B$306,$D128,'模式能力要求輸入'!$E$7:$E$306,"主跟診",'模式能力要求輸入'!$F$7:$F$306,"必備",'模式能力要求輸入'!$R$7:$R$306,"可發布")=0,"缺少主跟診必備要求","可匯入模式清單"))))))</x:f>
      </x:c>
    </x:row>
    <x:row r="129">
      <x:c r="A129" s="170"/>
      <x:c r="B129" s="170"/>
      <x:c r="C129" s="170"/>
      <x:c r="D129" s="170"/>
      <x:c r="E129" s="170"/>
      <x:c r="F129" s="170"/>
      <x:c r="G129" s="170"/>
      <x:c r="H129" s="170"/>
      <x:c r="I129" s="170"/>
      <x:c r="J129" s="170"/>
      <x:c r="K129" s="170"/>
      <x:c r="L129" s="170"/>
      <x:c r="M129" s="171"/>
      <x:c r="N129" s="170"/>
      <x:c r="O129" s="170"/>
      <x:c r="P129" s="170"/>
      <x:c r="Q129" s="235" t="str">
        <x:f>IF(LEN($B129)=0,"",IF($N129="停用","停用",IF($N129="退回補件","退回補件",IF(COUNTIFS($A$7:$A$156,$A129)&gt;1,"規則編號重複",IF(OR(LEN($C129)=0,LEN($D129)=0,LEN($E129)=0,LEN($F129)=0,LEN($G129)=0,LEN($H129)=0,LEN($I129)=0,LEN($K129)=0,LEN($L129)=0,LEN($M129)=0,LEN($O129)=0),IF($N129="已核定","已核定但資料未完整","待補欄位或核定"),IF(OR(LEN($R129)=0,LEN($S129)=0),IF($N129="已核定","已核定但缺來源依據","待補來源依據"),IF($N129="已核定","可發布","待主管核定")))))))</x:f>
      </x:c>
      <x:c r="R129" s="421"/>
      <x:c r="S129" s="421"/>
      <x:c r="T129" s="575"/>
      <x:c r="U129" s="582" t="str">
        <x:f>IF($D129="","",IF($Q129&lt;&gt;"可發布","模式規則未發布",IF($T129&lt;&gt;"已完整","能力要求集未確認",IF(COUNTIFS('模式能力要求輸入'!$B$7:$B$306,$D129)=0,"尚無能力要求",IF(COUNTIFS('模式能力要求輸入'!$B$7:$B$306,$D129,'模式能力要求輸入'!$R$7:$R$306,"&lt;&gt;可發布")&gt;0,"能力要求未全數發布",IF(COUNTIFS('模式能力要求輸入'!$B$7:$B$306,$D129,'模式能力要求輸入'!$E$7:$E$306,"主跟診",'模式能力要求輸入'!$F$7:$F$306,"必備",'模式能力要求輸入'!$R$7:$R$306,"可發布")=0,"缺少主跟診必備要求","可匯入模式清單"))))))</x:f>
      </x:c>
    </x:row>
    <x:row r="130">
      <x:c r="A130" s="170"/>
      <x:c r="B130" s="170"/>
      <x:c r="C130" s="170"/>
      <x:c r="D130" s="170"/>
      <x:c r="E130" s="170"/>
      <x:c r="F130" s="170"/>
      <x:c r="G130" s="170"/>
      <x:c r="H130" s="170"/>
      <x:c r="I130" s="170"/>
      <x:c r="J130" s="170"/>
      <x:c r="K130" s="170"/>
      <x:c r="L130" s="170"/>
      <x:c r="M130" s="171"/>
      <x:c r="N130" s="170"/>
      <x:c r="O130" s="170"/>
      <x:c r="P130" s="170"/>
      <x:c r="Q130" s="235" t="str">
        <x:f>IF(LEN($B130)=0,"",IF($N130="停用","停用",IF($N130="退回補件","退回補件",IF(COUNTIFS($A$7:$A$156,$A130)&gt;1,"規則編號重複",IF(OR(LEN($C130)=0,LEN($D130)=0,LEN($E130)=0,LEN($F130)=0,LEN($G130)=0,LEN($H130)=0,LEN($I130)=0,LEN($K130)=0,LEN($L130)=0,LEN($M130)=0,LEN($O130)=0),IF($N130="已核定","已核定但資料未完整","待補欄位或核定"),IF(OR(LEN($R130)=0,LEN($S130)=0),IF($N130="已核定","已核定但缺來源依據","待補來源依據"),IF($N130="已核定","可發布","待主管核定")))))))</x:f>
      </x:c>
      <x:c r="R130" s="421"/>
      <x:c r="S130" s="421"/>
      <x:c r="T130" s="575"/>
      <x:c r="U130" s="582" t="str">
        <x:f>IF($D130="","",IF($Q130&lt;&gt;"可發布","模式規則未發布",IF($T130&lt;&gt;"已完整","能力要求集未確認",IF(COUNTIFS('模式能力要求輸入'!$B$7:$B$306,$D130)=0,"尚無能力要求",IF(COUNTIFS('模式能力要求輸入'!$B$7:$B$306,$D130,'模式能力要求輸入'!$R$7:$R$306,"&lt;&gt;可發布")&gt;0,"能力要求未全數發布",IF(COUNTIFS('模式能力要求輸入'!$B$7:$B$306,$D130,'模式能力要求輸入'!$E$7:$E$306,"主跟診",'模式能力要求輸入'!$F$7:$F$306,"必備",'模式能力要求輸入'!$R$7:$R$306,"可發布")=0,"缺少主跟診必備要求","可匯入模式清單"))))))</x:f>
      </x:c>
    </x:row>
    <x:row r="131">
      <x:c r="A131" s="170"/>
      <x:c r="B131" s="170"/>
      <x:c r="C131" s="170"/>
      <x:c r="D131" s="170"/>
      <x:c r="E131" s="170"/>
      <x:c r="F131" s="170"/>
      <x:c r="G131" s="170"/>
      <x:c r="H131" s="170"/>
      <x:c r="I131" s="170"/>
      <x:c r="J131" s="170"/>
      <x:c r="K131" s="170"/>
      <x:c r="L131" s="170"/>
      <x:c r="M131" s="171"/>
      <x:c r="N131" s="170"/>
      <x:c r="O131" s="170"/>
      <x:c r="P131" s="170"/>
      <x:c r="Q131" s="235" t="str">
        <x:f>IF(LEN($B131)=0,"",IF($N131="停用","停用",IF($N131="退回補件","退回補件",IF(COUNTIFS($A$7:$A$156,$A131)&gt;1,"規則編號重複",IF(OR(LEN($C131)=0,LEN($D131)=0,LEN($E131)=0,LEN($F131)=0,LEN($G131)=0,LEN($H131)=0,LEN($I131)=0,LEN($K131)=0,LEN($L131)=0,LEN($M131)=0,LEN($O131)=0),IF($N131="已核定","已核定但資料未完整","待補欄位或核定"),IF(OR(LEN($R131)=0,LEN($S131)=0),IF($N131="已核定","已核定但缺來源依據","待補來源依據"),IF($N131="已核定","可發布","待主管核定")))))))</x:f>
      </x:c>
      <x:c r="R131" s="421"/>
      <x:c r="S131" s="421"/>
      <x:c r="T131" s="575"/>
      <x:c r="U131" s="582" t="str">
        <x:f>IF($D131="","",IF($Q131&lt;&gt;"可發布","模式規則未發布",IF($T131&lt;&gt;"已完整","能力要求集未確認",IF(COUNTIFS('模式能力要求輸入'!$B$7:$B$306,$D131)=0,"尚無能力要求",IF(COUNTIFS('模式能力要求輸入'!$B$7:$B$306,$D131,'模式能力要求輸入'!$R$7:$R$306,"&lt;&gt;可發布")&gt;0,"能力要求未全數發布",IF(COUNTIFS('模式能力要求輸入'!$B$7:$B$306,$D131,'模式能力要求輸入'!$E$7:$E$306,"主跟診",'模式能力要求輸入'!$F$7:$F$306,"必備",'模式能力要求輸入'!$R$7:$R$306,"可發布")=0,"缺少主跟診必備要求","可匯入模式清單"))))))</x:f>
      </x:c>
    </x:row>
    <x:row r="132">
      <x:c r="A132" s="170"/>
      <x:c r="B132" s="170"/>
      <x:c r="C132" s="170"/>
      <x:c r="D132" s="170"/>
      <x:c r="E132" s="170"/>
      <x:c r="F132" s="170"/>
      <x:c r="G132" s="170"/>
      <x:c r="H132" s="170"/>
      <x:c r="I132" s="170"/>
      <x:c r="J132" s="170"/>
      <x:c r="K132" s="170"/>
      <x:c r="L132" s="170"/>
      <x:c r="M132" s="171"/>
      <x:c r="N132" s="170"/>
      <x:c r="O132" s="170"/>
      <x:c r="P132" s="170"/>
      <x:c r="Q132" s="235" t="str">
        <x:f>IF(LEN($B132)=0,"",IF($N132="停用","停用",IF($N132="退回補件","退回補件",IF(COUNTIFS($A$7:$A$156,$A132)&gt;1,"規則編號重複",IF(OR(LEN($C132)=0,LEN($D132)=0,LEN($E132)=0,LEN($F132)=0,LEN($G132)=0,LEN($H132)=0,LEN($I132)=0,LEN($K132)=0,LEN($L132)=0,LEN($M132)=0,LEN($O132)=0),IF($N132="已核定","已核定但資料未完整","待補欄位或核定"),IF(OR(LEN($R132)=0,LEN($S132)=0),IF($N132="已核定","已核定但缺來源依據","待補來源依據"),IF($N132="已核定","可發布","待主管核定")))))))</x:f>
      </x:c>
      <x:c r="R132" s="421"/>
      <x:c r="S132" s="421"/>
      <x:c r="T132" s="575"/>
      <x:c r="U132" s="582" t="str">
        <x:f>IF($D132="","",IF($Q132&lt;&gt;"可發布","模式規則未發布",IF($T132&lt;&gt;"已完整","能力要求集未確認",IF(COUNTIFS('模式能力要求輸入'!$B$7:$B$306,$D132)=0,"尚無能力要求",IF(COUNTIFS('模式能力要求輸入'!$B$7:$B$306,$D132,'模式能力要求輸入'!$R$7:$R$306,"&lt;&gt;可發布")&gt;0,"能力要求未全數發布",IF(COUNTIFS('模式能力要求輸入'!$B$7:$B$306,$D132,'模式能力要求輸入'!$E$7:$E$306,"主跟診",'模式能力要求輸入'!$F$7:$F$306,"必備",'模式能力要求輸入'!$R$7:$R$306,"可發布")=0,"缺少主跟診必備要求","可匯入模式清單"))))))</x:f>
      </x:c>
    </x:row>
    <x:row r="133">
      <x:c r="A133" s="170"/>
      <x:c r="B133" s="170"/>
      <x:c r="C133" s="170"/>
      <x:c r="D133" s="170"/>
      <x:c r="E133" s="170"/>
      <x:c r="F133" s="170"/>
      <x:c r="G133" s="170"/>
      <x:c r="H133" s="170"/>
      <x:c r="I133" s="170"/>
      <x:c r="J133" s="170"/>
      <x:c r="K133" s="170"/>
      <x:c r="L133" s="170"/>
      <x:c r="M133" s="171"/>
      <x:c r="N133" s="170"/>
      <x:c r="O133" s="170"/>
      <x:c r="P133" s="170"/>
      <x:c r="Q133" s="235" t="str">
        <x:f>IF(LEN($B133)=0,"",IF($N133="停用","停用",IF($N133="退回補件","退回補件",IF(COUNTIFS($A$7:$A$156,$A133)&gt;1,"規則編號重複",IF(OR(LEN($C133)=0,LEN($D133)=0,LEN($E133)=0,LEN($F133)=0,LEN($G133)=0,LEN($H133)=0,LEN($I133)=0,LEN($K133)=0,LEN($L133)=0,LEN($M133)=0,LEN($O133)=0),IF($N133="已核定","已核定但資料未完整","待補欄位或核定"),IF(OR(LEN($R133)=0,LEN($S133)=0),IF($N133="已核定","已核定但缺來源依據","待補來源依據"),IF($N133="已核定","可發布","待主管核定")))))))</x:f>
      </x:c>
      <x:c r="R133" s="421"/>
      <x:c r="S133" s="421"/>
      <x:c r="T133" s="575"/>
      <x:c r="U133" s="582" t="str">
        <x:f>IF($D133="","",IF($Q133&lt;&gt;"可發布","模式規則未發布",IF($T133&lt;&gt;"已完整","能力要求集未確認",IF(COUNTIFS('模式能力要求輸入'!$B$7:$B$306,$D133)=0,"尚無能力要求",IF(COUNTIFS('模式能力要求輸入'!$B$7:$B$306,$D133,'模式能力要求輸入'!$R$7:$R$306,"&lt;&gt;可發布")&gt;0,"能力要求未全數發布",IF(COUNTIFS('模式能力要求輸入'!$B$7:$B$306,$D133,'模式能力要求輸入'!$E$7:$E$306,"主跟診",'模式能力要求輸入'!$F$7:$F$306,"必備",'模式能力要求輸入'!$R$7:$R$306,"可發布")=0,"缺少主跟診必備要求","可匯入模式清單"))))))</x:f>
      </x:c>
    </x:row>
    <x:row r="134">
      <x:c r="A134" s="170"/>
      <x:c r="B134" s="170"/>
      <x:c r="C134" s="170"/>
      <x:c r="D134" s="170"/>
      <x:c r="E134" s="170"/>
      <x:c r="F134" s="170"/>
      <x:c r="G134" s="170"/>
      <x:c r="H134" s="170"/>
      <x:c r="I134" s="170"/>
      <x:c r="J134" s="170"/>
      <x:c r="K134" s="170"/>
      <x:c r="L134" s="170"/>
      <x:c r="M134" s="171"/>
      <x:c r="N134" s="170"/>
      <x:c r="O134" s="170"/>
      <x:c r="P134" s="170"/>
      <x:c r="Q134" s="235" t="str">
        <x:f>IF(LEN($B134)=0,"",IF($N134="停用","停用",IF($N134="退回補件","退回補件",IF(COUNTIFS($A$7:$A$156,$A134)&gt;1,"規則編號重複",IF(OR(LEN($C134)=0,LEN($D134)=0,LEN($E134)=0,LEN($F134)=0,LEN($G134)=0,LEN($H134)=0,LEN($I134)=0,LEN($K134)=0,LEN($L134)=0,LEN($M134)=0,LEN($O134)=0),IF($N134="已核定","已核定但資料未完整","待補欄位或核定"),IF(OR(LEN($R134)=0,LEN($S134)=0),IF($N134="已核定","已核定但缺來源依據","待補來源依據"),IF($N134="已核定","可發布","待主管核定")))))))</x:f>
      </x:c>
      <x:c r="R134" s="421"/>
      <x:c r="S134" s="421"/>
      <x:c r="T134" s="575"/>
      <x:c r="U134" s="582" t="str">
        <x:f>IF($D134="","",IF($Q134&lt;&gt;"可發布","模式規則未發布",IF($T134&lt;&gt;"已完整","能力要求集未確認",IF(COUNTIFS('模式能力要求輸入'!$B$7:$B$306,$D134)=0,"尚無能力要求",IF(COUNTIFS('模式能力要求輸入'!$B$7:$B$306,$D134,'模式能力要求輸入'!$R$7:$R$306,"&lt;&gt;可發布")&gt;0,"能力要求未全數發布",IF(COUNTIFS('模式能力要求輸入'!$B$7:$B$306,$D134,'模式能力要求輸入'!$E$7:$E$306,"主跟診",'模式能力要求輸入'!$F$7:$F$306,"必備",'模式能力要求輸入'!$R$7:$R$306,"可發布")=0,"缺少主跟診必備要求","可匯入模式清單"))))))</x:f>
      </x:c>
    </x:row>
    <x:row r="135">
      <x:c r="A135" s="170"/>
      <x:c r="B135" s="170"/>
      <x:c r="C135" s="170"/>
      <x:c r="D135" s="170"/>
      <x:c r="E135" s="170"/>
      <x:c r="F135" s="170"/>
      <x:c r="G135" s="170"/>
      <x:c r="H135" s="170"/>
      <x:c r="I135" s="170"/>
      <x:c r="J135" s="170"/>
      <x:c r="K135" s="170"/>
      <x:c r="L135" s="170"/>
      <x:c r="M135" s="171"/>
      <x:c r="N135" s="170"/>
      <x:c r="O135" s="170"/>
      <x:c r="P135" s="170"/>
      <x:c r="Q135" s="235" t="str">
        <x:f>IF(LEN($B135)=0,"",IF($N135="停用","停用",IF($N135="退回補件","退回補件",IF(COUNTIFS($A$7:$A$156,$A135)&gt;1,"規則編號重複",IF(OR(LEN($C135)=0,LEN($D135)=0,LEN($E135)=0,LEN($F135)=0,LEN($G135)=0,LEN($H135)=0,LEN($I135)=0,LEN($K135)=0,LEN($L135)=0,LEN($M135)=0,LEN($O135)=0),IF($N135="已核定","已核定但資料未完整","待補欄位或核定"),IF(OR(LEN($R135)=0,LEN($S135)=0),IF($N135="已核定","已核定但缺來源依據","待補來源依據"),IF($N135="已核定","可發布","待主管核定")))))))</x:f>
      </x:c>
      <x:c r="R135" s="421"/>
      <x:c r="S135" s="421"/>
      <x:c r="T135" s="575"/>
      <x:c r="U135" s="582" t="str">
        <x:f>IF($D135="","",IF($Q135&lt;&gt;"可發布","模式規則未發布",IF($T135&lt;&gt;"已完整","能力要求集未確認",IF(COUNTIFS('模式能力要求輸入'!$B$7:$B$306,$D135)=0,"尚無能力要求",IF(COUNTIFS('模式能力要求輸入'!$B$7:$B$306,$D135,'模式能力要求輸入'!$R$7:$R$306,"&lt;&gt;可發布")&gt;0,"能力要求未全數發布",IF(COUNTIFS('模式能力要求輸入'!$B$7:$B$306,$D135,'模式能力要求輸入'!$E$7:$E$306,"主跟診",'模式能力要求輸入'!$F$7:$F$306,"必備",'模式能力要求輸入'!$R$7:$R$306,"可發布")=0,"缺少主跟診必備要求","可匯入模式清單"))))))</x:f>
      </x:c>
    </x:row>
    <x:row r="136">
      <x:c r="A136" s="170"/>
      <x:c r="B136" s="170"/>
      <x:c r="C136" s="170"/>
      <x:c r="D136" s="170"/>
      <x:c r="E136" s="170"/>
      <x:c r="F136" s="170"/>
      <x:c r="G136" s="170"/>
      <x:c r="H136" s="170"/>
      <x:c r="I136" s="170"/>
      <x:c r="J136" s="170"/>
      <x:c r="K136" s="170"/>
      <x:c r="L136" s="170"/>
      <x:c r="M136" s="171"/>
      <x:c r="N136" s="170"/>
      <x:c r="O136" s="170"/>
      <x:c r="P136" s="170"/>
      <x:c r="Q136" s="235" t="str">
        <x:f>IF(LEN($B136)=0,"",IF($N136="停用","停用",IF($N136="退回補件","退回補件",IF(COUNTIFS($A$7:$A$156,$A136)&gt;1,"規則編號重複",IF(OR(LEN($C136)=0,LEN($D136)=0,LEN($E136)=0,LEN($F136)=0,LEN($G136)=0,LEN($H136)=0,LEN($I136)=0,LEN($K136)=0,LEN($L136)=0,LEN($M136)=0,LEN($O136)=0),IF($N136="已核定","已核定但資料未完整","待補欄位或核定"),IF(OR(LEN($R136)=0,LEN($S136)=0),IF($N136="已核定","已核定但缺來源依據","待補來源依據"),IF($N136="已核定","可發布","待主管核定")))))))</x:f>
      </x:c>
      <x:c r="R136" s="421"/>
      <x:c r="S136" s="421"/>
      <x:c r="T136" s="575"/>
      <x:c r="U136" s="582" t="str">
        <x:f>IF($D136="","",IF($Q136&lt;&gt;"可發布","模式規則未發布",IF($T136&lt;&gt;"已完整","能力要求集未確認",IF(COUNTIFS('模式能力要求輸入'!$B$7:$B$306,$D136)=0,"尚無能力要求",IF(COUNTIFS('模式能力要求輸入'!$B$7:$B$306,$D136,'模式能力要求輸入'!$R$7:$R$306,"&lt;&gt;可發布")&gt;0,"能力要求未全數發布",IF(COUNTIFS('模式能力要求輸入'!$B$7:$B$306,$D136,'模式能力要求輸入'!$E$7:$E$306,"主跟診",'模式能力要求輸入'!$F$7:$F$306,"必備",'模式能力要求輸入'!$R$7:$R$306,"可發布")=0,"缺少主跟診必備要求","可匯入模式清單"))))))</x:f>
      </x:c>
    </x:row>
    <x:row r="137">
      <x:c r="A137" s="170"/>
      <x:c r="B137" s="170"/>
      <x:c r="C137" s="170"/>
      <x:c r="D137" s="170"/>
      <x:c r="E137" s="170"/>
      <x:c r="F137" s="170"/>
      <x:c r="G137" s="170"/>
      <x:c r="H137" s="170"/>
      <x:c r="I137" s="170"/>
      <x:c r="J137" s="170"/>
      <x:c r="K137" s="170"/>
      <x:c r="L137" s="170"/>
      <x:c r="M137" s="171"/>
      <x:c r="N137" s="170"/>
      <x:c r="O137" s="170"/>
      <x:c r="P137" s="170"/>
      <x:c r="Q137" s="235" t="str">
        <x:f>IF(LEN($B137)=0,"",IF($N137="停用","停用",IF($N137="退回補件","退回補件",IF(COUNTIFS($A$7:$A$156,$A137)&gt;1,"規則編號重複",IF(OR(LEN($C137)=0,LEN($D137)=0,LEN($E137)=0,LEN($F137)=0,LEN($G137)=0,LEN($H137)=0,LEN($I137)=0,LEN($K137)=0,LEN($L137)=0,LEN($M137)=0,LEN($O137)=0),IF($N137="已核定","已核定但資料未完整","待補欄位或核定"),IF(OR(LEN($R137)=0,LEN($S137)=0),IF($N137="已核定","已核定但缺來源依據","待補來源依據"),IF($N137="已核定","可發布","待主管核定")))))))</x:f>
      </x:c>
      <x:c r="R137" s="421"/>
      <x:c r="S137" s="421"/>
      <x:c r="T137" s="575"/>
      <x:c r="U137" s="582" t="str">
        <x:f>IF($D137="","",IF($Q137&lt;&gt;"可發布","模式規則未發布",IF($T137&lt;&gt;"已完整","能力要求集未確認",IF(COUNTIFS('模式能力要求輸入'!$B$7:$B$306,$D137)=0,"尚無能力要求",IF(COUNTIFS('模式能力要求輸入'!$B$7:$B$306,$D137,'模式能力要求輸入'!$R$7:$R$306,"&lt;&gt;可發布")&gt;0,"能力要求未全數發布",IF(COUNTIFS('模式能力要求輸入'!$B$7:$B$306,$D137,'模式能力要求輸入'!$E$7:$E$306,"主跟診",'模式能力要求輸入'!$F$7:$F$306,"必備",'模式能力要求輸入'!$R$7:$R$306,"可發布")=0,"缺少主跟診必備要求","可匯入模式清單"))))))</x:f>
      </x:c>
    </x:row>
    <x:row r="138">
      <x:c r="A138" s="170"/>
      <x:c r="B138" s="170"/>
      <x:c r="C138" s="170"/>
      <x:c r="D138" s="170"/>
      <x:c r="E138" s="170"/>
      <x:c r="F138" s="170"/>
      <x:c r="G138" s="170"/>
      <x:c r="H138" s="170"/>
      <x:c r="I138" s="170"/>
      <x:c r="J138" s="170"/>
      <x:c r="K138" s="170"/>
      <x:c r="L138" s="170"/>
      <x:c r="M138" s="171"/>
      <x:c r="N138" s="170"/>
      <x:c r="O138" s="170"/>
      <x:c r="P138" s="170"/>
      <x:c r="Q138" s="235" t="str">
        <x:f>IF(LEN($B138)=0,"",IF($N138="停用","停用",IF($N138="退回補件","退回補件",IF(COUNTIFS($A$7:$A$156,$A138)&gt;1,"規則編號重複",IF(OR(LEN($C138)=0,LEN($D138)=0,LEN($E138)=0,LEN($F138)=0,LEN($G138)=0,LEN($H138)=0,LEN($I138)=0,LEN($K138)=0,LEN($L138)=0,LEN($M138)=0,LEN($O138)=0),IF($N138="已核定","已核定但資料未完整","待補欄位或核定"),IF(OR(LEN($R138)=0,LEN($S138)=0),IF($N138="已核定","已核定但缺來源依據","待補來源依據"),IF($N138="已核定","可發布","待主管核定")))))))</x:f>
      </x:c>
      <x:c r="R138" s="421"/>
      <x:c r="S138" s="421"/>
      <x:c r="T138" s="575"/>
      <x:c r="U138" s="582" t="str">
        <x:f>IF($D138="","",IF($Q138&lt;&gt;"可發布","模式規則未發布",IF($T138&lt;&gt;"已完整","能力要求集未確認",IF(COUNTIFS('模式能力要求輸入'!$B$7:$B$306,$D138)=0,"尚無能力要求",IF(COUNTIFS('模式能力要求輸入'!$B$7:$B$306,$D138,'模式能力要求輸入'!$R$7:$R$306,"&lt;&gt;可發布")&gt;0,"能力要求未全數發布",IF(COUNTIFS('模式能力要求輸入'!$B$7:$B$306,$D138,'模式能力要求輸入'!$E$7:$E$306,"主跟診",'模式能力要求輸入'!$F$7:$F$306,"必備",'模式能力要求輸入'!$R$7:$R$306,"可發布")=0,"缺少主跟診必備要求","可匯入模式清單"))))))</x:f>
      </x:c>
    </x:row>
    <x:row r="139">
      <x:c r="A139" s="170"/>
      <x:c r="B139" s="170"/>
      <x:c r="C139" s="170"/>
      <x:c r="D139" s="170"/>
      <x:c r="E139" s="170"/>
      <x:c r="F139" s="170"/>
      <x:c r="G139" s="170"/>
      <x:c r="H139" s="170"/>
      <x:c r="I139" s="170"/>
      <x:c r="J139" s="170"/>
      <x:c r="K139" s="170"/>
      <x:c r="L139" s="170"/>
      <x:c r="M139" s="171"/>
      <x:c r="N139" s="170"/>
      <x:c r="O139" s="170"/>
      <x:c r="P139" s="170"/>
      <x:c r="Q139" s="235" t="str">
        <x:f>IF(LEN($B139)=0,"",IF($N139="停用","停用",IF($N139="退回補件","退回補件",IF(COUNTIFS($A$7:$A$156,$A139)&gt;1,"規則編號重複",IF(OR(LEN($C139)=0,LEN($D139)=0,LEN($E139)=0,LEN($F139)=0,LEN($G139)=0,LEN($H139)=0,LEN($I139)=0,LEN($K139)=0,LEN($L139)=0,LEN($M139)=0,LEN($O139)=0),IF($N139="已核定","已核定但資料未完整","待補欄位或核定"),IF(OR(LEN($R139)=0,LEN($S139)=0),IF($N139="已核定","已核定但缺來源依據","待補來源依據"),IF($N139="已核定","可發布","待主管核定")))))))</x:f>
      </x:c>
      <x:c r="R139" s="421"/>
      <x:c r="S139" s="421"/>
      <x:c r="T139" s="575"/>
      <x:c r="U139" s="582" t="str">
        <x:f>IF($D139="","",IF($Q139&lt;&gt;"可發布","模式規則未發布",IF($T139&lt;&gt;"已完整","能力要求集未確認",IF(COUNTIFS('模式能力要求輸入'!$B$7:$B$306,$D139)=0,"尚無能力要求",IF(COUNTIFS('模式能力要求輸入'!$B$7:$B$306,$D139,'模式能力要求輸入'!$R$7:$R$306,"&lt;&gt;可發布")&gt;0,"能力要求未全數發布",IF(COUNTIFS('模式能力要求輸入'!$B$7:$B$306,$D139,'模式能力要求輸入'!$E$7:$E$306,"主跟診",'模式能力要求輸入'!$F$7:$F$306,"必備",'模式能力要求輸入'!$R$7:$R$306,"可發布")=0,"缺少主跟診必備要求","可匯入模式清單"))))))</x:f>
      </x:c>
    </x:row>
    <x:row r="140">
      <x:c r="A140" s="170"/>
      <x:c r="B140" s="170"/>
      <x:c r="C140" s="170"/>
      <x:c r="D140" s="170"/>
      <x:c r="E140" s="170"/>
      <x:c r="F140" s="170"/>
      <x:c r="G140" s="170"/>
      <x:c r="H140" s="170"/>
      <x:c r="I140" s="170"/>
      <x:c r="J140" s="170"/>
      <x:c r="K140" s="170"/>
      <x:c r="L140" s="170"/>
      <x:c r="M140" s="171"/>
      <x:c r="N140" s="170"/>
      <x:c r="O140" s="170"/>
      <x:c r="P140" s="170"/>
      <x:c r="Q140" s="235" t="str">
        <x:f>IF(LEN($B140)=0,"",IF($N140="停用","停用",IF($N140="退回補件","退回補件",IF(COUNTIFS($A$7:$A$156,$A140)&gt;1,"規則編號重複",IF(OR(LEN($C140)=0,LEN($D140)=0,LEN($E140)=0,LEN($F140)=0,LEN($G140)=0,LEN($H140)=0,LEN($I140)=0,LEN($K140)=0,LEN($L140)=0,LEN($M140)=0,LEN($O140)=0),IF($N140="已核定","已核定但資料未完整","待補欄位或核定"),IF(OR(LEN($R140)=0,LEN($S140)=0),IF($N140="已核定","已核定但缺來源依據","待補來源依據"),IF($N140="已核定","可發布","待主管核定")))))))</x:f>
      </x:c>
      <x:c r="R140" s="421"/>
      <x:c r="S140" s="421"/>
      <x:c r="T140" s="575"/>
      <x:c r="U140" s="582" t="str">
        <x:f>IF($D140="","",IF($Q140&lt;&gt;"可發布","模式規則未發布",IF($T140&lt;&gt;"已完整","能力要求集未確認",IF(COUNTIFS('模式能力要求輸入'!$B$7:$B$306,$D140)=0,"尚無能力要求",IF(COUNTIFS('模式能力要求輸入'!$B$7:$B$306,$D140,'模式能力要求輸入'!$R$7:$R$306,"&lt;&gt;可發布")&gt;0,"能力要求未全數發布",IF(COUNTIFS('模式能力要求輸入'!$B$7:$B$306,$D140,'模式能力要求輸入'!$E$7:$E$306,"主跟診",'模式能力要求輸入'!$F$7:$F$306,"必備",'模式能力要求輸入'!$R$7:$R$306,"可發布")=0,"缺少主跟診必備要求","可匯入模式清單"))))))</x:f>
      </x:c>
    </x:row>
    <x:row r="141">
      <x:c r="A141" s="170"/>
      <x:c r="B141" s="170"/>
      <x:c r="C141" s="170"/>
      <x:c r="D141" s="170"/>
      <x:c r="E141" s="170"/>
      <x:c r="F141" s="170"/>
      <x:c r="G141" s="170"/>
      <x:c r="H141" s="170"/>
      <x:c r="I141" s="170"/>
      <x:c r="J141" s="170"/>
      <x:c r="K141" s="170"/>
      <x:c r="L141" s="170"/>
      <x:c r="M141" s="171"/>
      <x:c r="N141" s="170"/>
      <x:c r="O141" s="170"/>
      <x:c r="P141" s="170"/>
      <x:c r="Q141" s="235" t="str">
        <x:f>IF(LEN($B141)=0,"",IF($N141="停用","停用",IF($N141="退回補件","退回補件",IF(COUNTIFS($A$7:$A$156,$A141)&gt;1,"規則編號重複",IF(OR(LEN($C141)=0,LEN($D141)=0,LEN($E141)=0,LEN($F141)=0,LEN($G141)=0,LEN($H141)=0,LEN($I141)=0,LEN($K141)=0,LEN($L141)=0,LEN($M141)=0,LEN($O141)=0),IF($N141="已核定","已核定但資料未完整","待補欄位或核定"),IF(OR(LEN($R141)=0,LEN($S141)=0),IF($N141="已核定","已核定但缺來源依據","待補來源依據"),IF($N141="已核定","可發布","待主管核定")))))))</x:f>
      </x:c>
      <x:c r="R141" s="421"/>
      <x:c r="S141" s="421"/>
      <x:c r="T141" s="575"/>
      <x:c r="U141" s="582" t="str">
        <x:f>IF($D141="","",IF($Q141&lt;&gt;"可發布","模式規則未發布",IF($T141&lt;&gt;"已完整","能力要求集未確認",IF(COUNTIFS('模式能力要求輸入'!$B$7:$B$306,$D141)=0,"尚無能力要求",IF(COUNTIFS('模式能力要求輸入'!$B$7:$B$306,$D141,'模式能力要求輸入'!$R$7:$R$306,"&lt;&gt;可發布")&gt;0,"能力要求未全數發布",IF(COUNTIFS('模式能力要求輸入'!$B$7:$B$306,$D141,'模式能力要求輸入'!$E$7:$E$306,"主跟診",'模式能力要求輸入'!$F$7:$F$306,"必備",'模式能力要求輸入'!$R$7:$R$306,"可發布")=0,"缺少主跟診必備要求","可匯入模式清單"))))))</x:f>
      </x:c>
    </x:row>
    <x:row r="142">
      <x:c r="A142" s="170"/>
      <x:c r="B142" s="170"/>
      <x:c r="C142" s="170"/>
      <x:c r="D142" s="170"/>
      <x:c r="E142" s="170"/>
      <x:c r="F142" s="170"/>
      <x:c r="G142" s="170"/>
      <x:c r="H142" s="170"/>
      <x:c r="I142" s="170"/>
      <x:c r="J142" s="170"/>
      <x:c r="K142" s="170"/>
      <x:c r="L142" s="170"/>
      <x:c r="M142" s="171"/>
      <x:c r="N142" s="170"/>
      <x:c r="O142" s="170"/>
      <x:c r="P142" s="170"/>
      <x:c r="Q142" s="235" t="str">
        <x:f>IF(LEN($B142)=0,"",IF($N142="停用","停用",IF($N142="退回補件","退回補件",IF(COUNTIFS($A$7:$A$156,$A142)&gt;1,"規則編號重複",IF(OR(LEN($C142)=0,LEN($D142)=0,LEN($E142)=0,LEN($F142)=0,LEN($G142)=0,LEN($H142)=0,LEN($I142)=0,LEN($K142)=0,LEN($L142)=0,LEN($M142)=0,LEN($O142)=0),IF($N142="已核定","已核定但資料未完整","待補欄位或核定"),IF(OR(LEN($R142)=0,LEN($S142)=0),IF($N142="已核定","已核定但缺來源依據","待補來源依據"),IF($N142="已核定","可發布","待主管核定")))))))</x:f>
      </x:c>
      <x:c r="R142" s="421"/>
      <x:c r="S142" s="421"/>
      <x:c r="T142" s="575"/>
      <x:c r="U142" s="582" t="str">
        <x:f>IF($D142="","",IF($Q142&lt;&gt;"可發布","模式規則未發布",IF($T142&lt;&gt;"已完整","能力要求集未確認",IF(COUNTIFS('模式能力要求輸入'!$B$7:$B$306,$D142)=0,"尚無能力要求",IF(COUNTIFS('模式能力要求輸入'!$B$7:$B$306,$D142,'模式能力要求輸入'!$R$7:$R$306,"&lt;&gt;可發布")&gt;0,"能力要求未全數發布",IF(COUNTIFS('模式能力要求輸入'!$B$7:$B$306,$D142,'模式能力要求輸入'!$E$7:$E$306,"主跟診",'模式能力要求輸入'!$F$7:$F$306,"必備",'模式能力要求輸入'!$R$7:$R$306,"可發布")=0,"缺少主跟診必備要求","可匯入模式清單"))))))</x:f>
      </x:c>
    </x:row>
    <x:row r="143">
      <x:c r="A143" s="170"/>
      <x:c r="B143" s="170"/>
      <x:c r="C143" s="170"/>
      <x:c r="D143" s="170"/>
      <x:c r="E143" s="170"/>
      <x:c r="F143" s="170"/>
      <x:c r="G143" s="170"/>
      <x:c r="H143" s="170"/>
      <x:c r="I143" s="170"/>
      <x:c r="J143" s="170"/>
      <x:c r="K143" s="170"/>
      <x:c r="L143" s="170"/>
      <x:c r="M143" s="171"/>
      <x:c r="N143" s="170"/>
      <x:c r="O143" s="170"/>
      <x:c r="P143" s="170"/>
      <x:c r="Q143" s="235" t="str">
        <x:f>IF(LEN($B143)=0,"",IF($N143="停用","停用",IF($N143="退回補件","退回補件",IF(COUNTIFS($A$7:$A$156,$A143)&gt;1,"規則編號重複",IF(OR(LEN($C143)=0,LEN($D143)=0,LEN($E143)=0,LEN($F143)=0,LEN($G143)=0,LEN($H143)=0,LEN($I143)=0,LEN($K143)=0,LEN($L143)=0,LEN($M143)=0,LEN($O143)=0),IF($N143="已核定","已核定但資料未完整","待補欄位或核定"),IF(OR(LEN($R143)=0,LEN($S143)=0),IF($N143="已核定","已核定但缺來源依據","待補來源依據"),IF($N143="已核定","可發布","待主管核定")))))))</x:f>
      </x:c>
      <x:c r="R143" s="421"/>
      <x:c r="S143" s="421"/>
      <x:c r="T143" s="575"/>
      <x:c r="U143" s="582" t="str">
        <x:f>IF($D143="","",IF($Q143&lt;&gt;"可發布","模式規則未發布",IF($T143&lt;&gt;"已完整","能力要求集未確認",IF(COUNTIFS('模式能力要求輸入'!$B$7:$B$306,$D143)=0,"尚無能力要求",IF(COUNTIFS('模式能力要求輸入'!$B$7:$B$306,$D143,'模式能力要求輸入'!$R$7:$R$306,"&lt;&gt;可發布")&gt;0,"能力要求未全數發布",IF(COUNTIFS('模式能力要求輸入'!$B$7:$B$306,$D143,'模式能力要求輸入'!$E$7:$E$306,"主跟診",'模式能力要求輸入'!$F$7:$F$306,"必備",'模式能力要求輸入'!$R$7:$R$306,"可發布")=0,"缺少主跟診必備要求","可匯入模式清單"))))))</x:f>
      </x:c>
    </x:row>
    <x:row r="144">
      <x:c r="A144" s="170"/>
      <x:c r="B144" s="170"/>
      <x:c r="C144" s="170"/>
      <x:c r="D144" s="170"/>
      <x:c r="E144" s="170"/>
      <x:c r="F144" s="170"/>
      <x:c r="G144" s="170"/>
      <x:c r="H144" s="170"/>
      <x:c r="I144" s="170"/>
      <x:c r="J144" s="170"/>
      <x:c r="K144" s="170"/>
      <x:c r="L144" s="170"/>
      <x:c r="M144" s="171"/>
      <x:c r="N144" s="170"/>
      <x:c r="O144" s="170"/>
      <x:c r="P144" s="170"/>
      <x:c r="Q144" s="235" t="str">
        <x:f>IF(LEN($B144)=0,"",IF($N144="停用","停用",IF($N144="退回補件","退回補件",IF(COUNTIFS($A$7:$A$156,$A144)&gt;1,"規則編號重複",IF(OR(LEN($C144)=0,LEN($D144)=0,LEN($E144)=0,LEN($F144)=0,LEN($G144)=0,LEN($H144)=0,LEN($I144)=0,LEN($K144)=0,LEN($L144)=0,LEN($M144)=0,LEN($O144)=0),IF($N144="已核定","已核定但資料未完整","待補欄位或核定"),IF(OR(LEN($R144)=0,LEN($S144)=0),IF($N144="已核定","已核定但缺來源依據","待補來源依據"),IF($N144="已核定","可發布","待主管核定")))))))</x:f>
      </x:c>
      <x:c r="R144" s="421"/>
      <x:c r="S144" s="421"/>
      <x:c r="T144" s="575"/>
      <x:c r="U144" s="582" t="str">
        <x:f>IF($D144="","",IF($Q144&lt;&gt;"可發布","模式規則未發布",IF($T144&lt;&gt;"已完整","能力要求集未確認",IF(COUNTIFS('模式能力要求輸入'!$B$7:$B$306,$D144)=0,"尚無能力要求",IF(COUNTIFS('模式能力要求輸入'!$B$7:$B$306,$D144,'模式能力要求輸入'!$R$7:$R$306,"&lt;&gt;可發布")&gt;0,"能力要求未全數發布",IF(COUNTIFS('模式能力要求輸入'!$B$7:$B$306,$D144,'模式能力要求輸入'!$E$7:$E$306,"主跟診",'模式能力要求輸入'!$F$7:$F$306,"必備",'模式能力要求輸入'!$R$7:$R$306,"可發布")=0,"缺少主跟診必備要求","可匯入模式清單"))))))</x:f>
      </x:c>
    </x:row>
    <x:row r="145">
      <x:c r="A145" s="170"/>
      <x:c r="B145" s="170"/>
      <x:c r="C145" s="170"/>
      <x:c r="D145" s="170"/>
      <x:c r="E145" s="170"/>
      <x:c r="F145" s="170"/>
      <x:c r="G145" s="170"/>
      <x:c r="H145" s="170"/>
      <x:c r="I145" s="170"/>
      <x:c r="J145" s="170"/>
      <x:c r="K145" s="170"/>
      <x:c r="L145" s="170"/>
      <x:c r="M145" s="171"/>
      <x:c r="N145" s="170"/>
      <x:c r="O145" s="170"/>
      <x:c r="P145" s="170"/>
      <x:c r="Q145" s="235" t="str">
        <x:f>IF(LEN($B145)=0,"",IF($N145="停用","停用",IF($N145="退回補件","退回補件",IF(COUNTIFS($A$7:$A$156,$A145)&gt;1,"規則編號重複",IF(OR(LEN($C145)=0,LEN($D145)=0,LEN($E145)=0,LEN($F145)=0,LEN($G145)=0,LEN($H145)=0,LEN($I145)=0,LEN($K145)=0,LEN($L145)=0,LEN($M145)=0,LEN($O145)=0),IF($N145="已核定","已核定但資料未完整","待補欄位或核定"),IF(OR(LEN($R145)=0,LEN($S145)=0),IF($N145="已核定","已核定但缺來源依據","待補來源依據"),IF($N145="已核定","可發布","待主管核定")))))))</x:f>
      </x:c>
      <x:c r="R145" s="421"/>
      <x:c r="S145" s="421"/>
      <x:c r="T145" s="575"/>
      <x:c r="U145" s="582" t="str">
        <x:f>IF($D145="","",IF($Q145&lt;&gt;"可發布","模式規則未發布",IF($T145&lt;&gt;"已完整","能力要求集未確認",IF(COUNTIFS('模式能力要求輸入'!$B$7:$B$306,$D145)=0,"尚無能力要求",IF(COUNTIFS('模式能力要求輸入'!$B$7:$B$306,$D145,'模式能力要求輸入'!$R$7:$R$306,"&lt;&gt;可發布")&gt;0,"能力要求未全數發布",IF(COUNTIFS('模式能力要求輸入'!$B$7:$B$306,$D145,'模式能力要求輸入'!$E$7:$E$306,"主跟診",'模式能力要求輸入'!$F$7:$F$306,"必備",'模式能力要求輸入'!$R$7:$R$306,"可發布")=0,"缺少主跟診必備要求","可匯入模式清單"))))))</x:f>
      </x:c>
    </x:row>
    <x:row r="146">
      <x:c r="A146" s="170"/>
      <x:c r="B146" s="170"/>
      <x:c r="C146" s="170"/>
      <x:c r="D146" s="170"/>
      <x:c r="E146" s="170"/>
      <x:c r="F146" s="170"/>
      <x:c r="G146" s="170"/>
      <x:c r="H146" s="170"/>
      <x:c r="I146" s="170"/>
      <x:c r="J146" s="170"/>
      <x:c r="K146" s="170"/>
      <x:c r="L146" s="170"/>
      <x:c r="M146" s="171"/>
      <x:c r="N146" s="170"/>
      <x:c r="O146" s="170"/>
      <x:c r="P146" s="170"/>
      <x:c r="Q146" s="235" t="str">
        <x:f>IF(LEN($B146)=0,"",IF($N146="停用","停用",IF($N146="退回補件","退回補件",IF(COUNTIFS($A$7:$A$156,$A146)&gt;1,"規則編號重複",IF(OR(LEN($C146)=0,LEN($D146)=0,LEN($E146)=0,LEN($F146)=0,LEN($G146)=0,LEN($H146)=0,LEN($I146)=0,LEN($K146)=0,LEN($L146)=0,LEN($M146)=0,LEN($O146)=0),IF($N146="已核定","已核定但資料未完整","待補欄位或核定"),IF(OR(LEN($R146)=0,LEN($S146)=0),IF($N146="已核定","已核定但缺來源依據","待補來源依據"),IF($N146="已核定","可發布","待主管核定")))))))</x:f>
      </x:c>
      <x:c r="R146" s="421"/>
      <x:c r="S146" s="421"/>
      <x:c r="T146" s="575"/>
      <x:c r="U146" s="582" t="str">
        <x:f>IF($D146="","",IF($Q146&lt;&gt;"可發布","模式規則未發布",IF($T146&lt;&gt;"已完整","能力要求集未確認",IF(COUNTIFS('模式能力要求輸入'!$B$7:$B$306,$D146)=0,"尚無能力要求",IF(COUNTIFS('模式能力要求輸入'!$B$7:$B$306,$D146,'模式能力要求輸入'!$R$7:$R$306,"&lt;&gt;可發布")&gt;0,"能力要求未全數發布",IF(COUNTIFS('模式能力要求輸入'!$B$7:$B$306,$D146,'模式能力要求輸入'!$E$7:$E$306,"主跟診",'模式能力要求輸入'!$F$7:$F$306,"必備",'模式能力要求輸入'!$R$7:$R$306,"可發布")=0,"缺少主跟診必備要求","可匯入模式清單"))))))</x:f>
      </x:c>
    </x:row>
    <x:row r="147">
      <x:c r="A147" s="170"/>
      <x:c r="B147" s="170"/>
      <x:c r="C147" s="170"/>
      <x:c r="D147" s="170"/>
      <x:c r="E147" s="170"/>
      <x:c r="F147" s="170"/>
      <x:c r="G147" s="170"/>
      <x:c r="H147" s="170"/>
      <x:c r="I147" s="170"/>
      <x:c r="J147" s="170"/>
      <x:c r="K147" s="170"/>
      <x:c r="L147" s="170"/>
      <x:c r="M147" s="171"/>
      <x:c r="N147" s="170"/>
      <x:c r="O147" s="170"/>
      <x:c r="P147" s="170"/>
      <x:c r="Q147" s="235" t="str">
        <x:f>IF(LEN($B147)=0,"",IF($N147="停用","停用",IF($N147="退回補件","退回補件",IF(COUNTIFS($A$7:$A$156,$A147)&gt;1,"規則編號重複",IF(OR(LEN($C147)=0,LEN($D147)=0,LEN($E147)=0,LEN($F147)=0,LEN($G147)=0,LEN($H147)=0,LEN($I147)=0,LEN($K147)=0,LEN($L147)=0,LEN($M147)=0,LEN($O147)=0),IF($N147="已核定","已核定但資料未完整","待補欄位或核定"),IF(OR(LEN($R147)=0,LEN($S147)=0),IF($N147="已核定","已核定但缺來源依據","待補來源依據"),IF($N147="已核定","可發布","待主管核定")))))))</x:f>
      </x:c>
      <x:c r="R147" s="421"/>
      <x:c r="S147" s="421"/>
      <x:c r="T147" s="575"/>
      <x:c r="U147" s="582" t="str">
        <x:f>IF($D147="","",IF($Q147&lt;&gt;"可發布","模式規則未發布",IF($T147&lt;&gt;"已完整","能力要求集未確認",IF(COUNTIFS('模式能力要求輸入'!$B$7:$B$306,$D147)=0,"尚無能力要求",IF(COUNTIFS('模式能力要求輸入'!$B$7:$B$306,$D147,'模式能力要求輸入'!$R$7:$R$306,"&lt;&gt;可發布")&gt;0,"能力要求未全數發布",IF(COUNTIFS('模式能力要求輸入'!$B$7:$B$306,$D147,'模式能力要求輸入'!$E$7:$E$306,"主跟診",'模式能力要求輸入'!$F$7:$F$306,"必備",'模式能力要求輸入'!$R$7:$R$306,"可發布")=0,"缺少主跟診必備要求","可匯入模式清單"))))))</x:f>
      </x:c>
    </x:row>
    <x:row r="148">
      <x:c r="A148" s="170"/>
      <x:c r="B148" s="170"/>
      <x:c r="C148" s="170"/>
      <x:c r="D148" s="170"/>
      <x:c r="E148" s="170"/>
      <x:c r="F148" s="170"/>
      <x:c r="G148" s="170"/>
      <x:c r="H148" s="170"/>
      <x:c r="I148" s="170"/>
      <x:c r="J148" s="170"/>
      <x:c r="K148" s="170"/>
      <x:c r="L148" s="170"/>
      <x:c r="M148" s="171"/>
      <x:c r="N148" s="170"/>
      <x:c r="O148" s="170"/>
      <x:c r="P148" s="170"/>
      <x:c r="Q148" s="235" t="str">
        <x:f>IF(LEN($B148)=0,"",IF($N148="停用","停用",IF($N148="退回補件","退回補件",IF(COUNTIFS($A$7:$A$156,$A148)&gt;1,"規則編號重複",IF(OR(LEN($C148)=0,LEN($D148)=0,LEN($E148)=0,LEN($F148)=0,LEN($G148)=0,LEN($H148)=0,LEN($I148)=0,LEN($K148)=0,LEN($L148)=0,LEN($M148)=0,LEN($O148)=0),IF($N148="已核定","已核定但資料未完整","待補欄位或核定"),IF(OR(LEN($R148)=0,LEN($S148)=0),IF($N148="已核定","已核定但缺來源依據","待補來源依據"),IF($N148="已核定","可發布","待主管核定")))))))</x:f>
      </x:c>
      <x:c r="R148" s="421"/>
      <x:c r="S148" s="421"/>
      <x:c r="T148" s="575"/>
      <x:c r="U148" s="582" t="str">
        <x:f>IF($D148="","",IF($Q148&lt;&gt;"可發布","模式規則未發布",IF($T148&lt;&gt;"已完整","能力要求集未確認",IF(COUNTIFS('模式能力要求輸入'!$B$7:$B$306,$D148)=0,"尚無能力要求",IF(COUNTIFS('模式能力要求輸入'!$B$7:$B$306,$D148,'模式能力要求輸入'!$R$7:$R$306,"&lt;&gt;可發布")&gt;0,"能力要求未全數發布",IF(COUNTIFS('模式能力要求輸入'!$B$7:$B$306,$D148,'模式能力要求輸入'!$E$7:$E$306,"主跟診",'模式能力要求輸入'!$F$7:$F$306,"必備",'模式能力要求輸入'!$R$7:$R$306,"可發布")=0,"缺少主跟診必備要求","可匯入模式清單"))))))</x:f>
      </x:c>
    </x:row>
    <x:row r="149">
      <x:c r="A149" s="170"/>
      <x:c r="B149" s="170"/>
      <x:c r="C149" s="170"/>
      <x:c r="D149" s="170"/>
      <x:c r="E149" s="170"/>
      <x:c r="F149" s="170"/>
      <x:c r="G149" s="170"/>
      <x:c r="H149" s="170"/>
      <x:c r="I149" s="170"/>
      <x:c r="J149" s="170"/>
      <x:c r="K149" s="170"/>
      <x:c r="L149" s="170"/>
      <x:c r="M149" s="171"/>
      <x:c r="N149" s="170"/>
      <x:c r="O149" s="170"/>
      <x:c r="P149" s="170"/>
      <x:c r="Q149" s="235" t="str">
        <x:f>IF(LEN($B149)=0,"",IF($N149="停用","停用",IF($N149="退回補件","退回補件",IF(COUNTIFS($A$7:$A$156,$A149)&gt;1,"規則編號重複",IF(OR(LEN($C149)=0,LEN($D149)=0,LEN($E149)=0,LEN($F149)=0,LEN($G149)=0,LEN($H149)=0,LEN($I149)=0,LEN($K149)=0,LEN($L149)=0,LEN($M149)=0,LEN($O149)=0),IF($N149="已核定","已核定但資料未完整","待補欄位或核定"),IF(OR(LEN($R149)=0,LEN($S149)=0),IF($N149="已核定","已核定但缺來源依據","待補來源依據"),IF($N149="已核定","可發布","待主管核定")))))))</x:f>
      </x:c>
      <x:c r="R149" s="421"/>
      <x:c r="S149" s="421"/>
      <x:c r="T149" s="575"/>
      <x:c r="U149" s="582" t="str">
        <x:f>IF($D149="","",IF($Q149&lt;&gt;"可發布","模式規則未發布",IF($T149&lt;&gt;"已完整","能力要求集未確認",IF(COUNTIFS('模式能力要求輸入'!$B$7:$B$306,$D149)=0,"尚無能力要求",IF(COUNTIFS('模式能力要求輸入'!$B$7:$B$306,$D149,'模式能力要求輸入'!$R$7:$R$306,"&lt;&gt;可發布")&gt;0,"能力要求未全數發布",IF(COUNTIFS('模式能力要求輸入'!$B$7:$B$306,$D149,'模式能力要求輸入'!$E$7:$E$306,"主跟診",'模式能力要求輸入'!$F$7:$F$306,"必備",'模式能力要求輸入'!$R$7:$R$306,"可發布")=0,"缺少主跟診必備要求","可匯入模式清單"))))))</x:f>
      </x:c>
    </x:row>
    <x:row r="150">
      <x:c r="A150" s="170"/>
      <x:c r="B150" s="170"/>
      <x:c r="C150" s="170"/>
      <x:c r="D150" s="170"/>
      <x:c r="E150" s="170"/>
      <x:c r="F150" s="170"/>
      <x:c r="G150" s="170"/>
      <x:c r="H150" s="170"/>
      <x:c r="I150" s="170"/>
      <x:c r="J150" s="170"/>
      <x:c r="K150" s="170"/>
      <x:c r="L150" s="170"/>
      <x:c r="M150" s="171"/>
      <x:c r="N150" s="170"/>
      <x:c r="O150" s="170"/>
      <x:c r="P150" s="170"/>
      <x:c r="Q150" s="235" t="str">
        <x:f>IF(LEN($B150)=0,"",IF($N150="停用","停用",IF($N150="退回補件","退回補件",IF(COUNTIFS($A$7:$A$156,$A150)&gt;1,"規則編號重複",IF(OR(LEN($C150)=0,LEN($D150)=0,LEN($E150)=0,LEN($F150)=0,LEN($G150)=0,LEN($H150)=0,LEN($I150)=0,LEN($K150)=0,LEN($L150)=0,LEN($M150)=0,LEN($O150)=0),IF($N150="已核定","已核定但資料未完整","待補欄位或核定"),IF(OR(LEN($R150)=0,LEN($S150)=0),IF($N150="已核定","已核定但缺來源依據","待補來源依據"),IF($N150="已核定","可發布","待主管核定")))))))</x:f>
      </x:c>
      <x:c r="R150" s="421"/>
      <x:c r="S150" s="421"/>
      <x:c r="T150" s="575"/>
      <x:c r="U150" s="582" t="str">
        <x:f>IF($D150="","",IF($Q150&lt;&gt;"可發布","模式規則未發布",IF($T150&lt;&gt;"已完整","能力要求集未確認",IF(COUNTIFS('模式能力要求輸入'!$B$7:$B$306,$D150)=0,"尚無能力要求",IF(COUNTIFS('模式能力要求輸入'!$B$7:$B$306,$D150,'模式能力要求輸入'!$R$7:$R$306,"&lt;&gt;可發布")&gt;0,"能力要求未全數發布",IF(COUNTIFS('模式能力要求輸入'!$B$7:$B$306,$D150,'模式能力要求輸入'!$E$7:$E$306,"主跟診",'模式能力要求輸入'!$F$7:$F$306,"必備",'模式能力要求輸入'!$R$7:$R$306,"可發布")=0,"缺少主跟診必備要求","可匯入模式清單"))))))</x:f>
      </x:c>
    </x:row>
    <x:row r="151">
      <x:c r="A151" s="170"/>
      <x:c r="B151" s="170"/>
      <x:c r="C151" s="170"/>
      <x:c r="D151" s="170"/>
      <x:c r="E151" s="170"/>
      <x:c r="F151" s="170"/>
      <x:c r="G151" s="170"/>
      <x:c r="H151" s="170"/>
      <x:c r="I151" s="170"/>
      <x:c r="J151" s="170"/>
      <x:c r="K151" s="170"/>
      <x:c r="L151" s="170"/>
      <x:c r="M151" s="171"/>
      <x:c r="N151" s="170"/>
      <x:c r="O151" s="170"/>
      <x:c r="P151" s="170"/>
      <x:c r="Q151" s="235" t="str">
        <x:f>IF(LEN($B151)=0,"",IF($N151="停用","停用",IF($N151="退回補件","退回補件",IF(COUNTIFS($A$7:$A$156,$A151)&gt;1,"規則編號重複",IF(OR(LEN($C151)=0,LEN($D151)=0,LEN($E151)=0,LEN($F151)=0,LEN($G151)=0,LEN($H151)=0,LEN($I151)=0,LEN($K151)=0,LEN($L151)=0,LEN($M151)=0,LEN($O151)=0),IF($N151="已核定","已核定但資料未完整","待補欄位或核定"),IF(OR(LEN($R151)=0,LEN($S151)=0),IF($N151="已核定","已核定但缺來源依據","待補來源依據"),IF($N151="已核定","可發布","待主管核定")))))))</x:f>
      </x:c>
      <x:c r="R151" s="421"/>
      <x:c r="S151" s="421"/>
      <x:c r="T151" s="575"/>
      <x:c r="U151" s="582" t="str">
        <x:f>IF($D151="","",IF($Q151&lt;&gt;"可發布","模式規則未發布",IF($T151&lt;&gt;"已完整","能力要求集未確認",IF(COUNTIFS('模式能力要求輸入'!$B$7:$B$306,$D151)=0,"尚無能力要求",IF(COUNTIFS('模式能力要求輸入'!$B$7:$B$306,$D151,'模式能力要求輸入'!$R$7:$R$306,"&lt;&gt;可發布")&gt;0,"能力要求未全數發布",IF(COUNTIFS('模式能力要求輸入'!$B$7:$B$306,$D151,'模式能力要求輸入'!$E$7:$E$306,"主跟診",'模式能力要求輸入'!$F$7:$F$306,"必備",'模式能力要求輸入'!$R$7:$R$306,"可發布")=0,"缺少主跟診必備要求","可匯入模式清單"))))))</x:f>
      </x:c>
    </x:row>
    <x:row r="152">
      <x:c r="A152" s="170"/>
      <x:c r="B152" s="170"/>
      <x:c r="C152" s="170"/>
      <x:c r="D152" s="170"/>
      <x:c r="E152" s="170"/>
      <x:c r="F152" s="170"/>
      <x:c r="G152" s="170"/>
      <x:c r="H152" s="170"/>
      <x:c r="I152" s="170"/>
      <x:c r="J152" s="170"/>
      <x:c r="K152" s="170"/>
      <x:c r="L152" s="170"/>
      <x:c r="M152" s="171"/>
      <x:c r="N152" s="170"/>
      <x:c r="O152" s="170"/>
      <x:c r="P152" s="170"/>
      <x:c r="Q152" s="235" t="str">
        <x:f>IF(LEN($B152)=0,"",IF($N152="停用","停用",IF($N152="退回補件","退回補件",IF(COUNTIFS($A$7:$A$156,$A152)&gt;1,"規則編號重複",IF(OR(LEN($C152)=0,LEN($D152)=0,LEN($E152)=0,LEN($F152)=0,LEN($G152)=0,LEN($H152)=0,LEN($I152)=0,LEN($K152)=0,LEN($L152)=0,LEN($M152)=0,LEN($O152)=0),IF($N152="已核定","已核定但資料未完整","待補欄位或核定"),IF(OR(LEN($R152)=0,LEN($S152)=0),IF($N152="已核定","已核定但缺來源依據","待補來源依據"),IF($N152="已核定","可發布","待主管核定")))))))</x:f>
      </x:c>
      <x:c r="R152" s="421"/>
      <x:c r="S152" s="421"/>
      <x:c r="T152" s="575"/>
      <x:c r="U152" s="582" t="str">
        <x:f>IF($D152="","",IF($Q152&lt;&gt;"可發布","模式規則未發布",IF($T152&lt;&gt;"已完整","能力要求集未確認",IF(COUNTIFS('模式能力要求輸入'!$B$7:$B$306,$D152)=0,"尚無能力要求",IF(COUNTIFS('模式能力要求輸入'!$B$7:$B$306,$D152,'模式能力要求輸入'!$R$7:$R$306,"&lt;&gt;可發布")&gt;0,"能力要求未全數發布",IF(COUNTIFS('模式能力要求輸入'!$B$7:$B$306,$D152,'模式能力要求輸入'!$E$7:$E$306,"主跟診",'模式能力要求輸入'!$F$7:$F$306,"必備",'模式能力要求輸入'!$R$7:$R$306,"可發布")=0,"缺少主跟診必備要求","可匯入模式清單"))))))</x:f>
      </x:c>
    </x:row>
    <x:row r="153">
      <x:c r="A153" s="170"/>
      <x:c r="B153" s="170"/>
      <x:c r="C153" s="170"/>
      <x:c r="D153" s="170"/>
      <x:c r="E153" s="170"/>
      <x:c r="F153" s="170"/>
      <x:c r="G153" s="170"/>
      <x:c r="H153" s="170"/>
      <x:c r="I153" s="170"/>
      <x:c r="J153" s="170"/>
      <x:c r="K153" s="170"/>
      <x:c r="L153" s="170"/>
      <x:c r="M153" s="171"/>
      <x:c r="N153" s="170"/>
      <x:c r="O153" s="170"/>
      <x:c r="P153" s="170"/>
      <x:c r="Q153" s="235" t="str">
        <x:f>IF(LEN($B153)=0,"",IF($N153="停用","停用",IF($N153="退回補件","退回補件",IF(COUNTIFS($A$7:$A$156,$A153)&gt;1,"規則編號重複",IF(OR(LEN($C153)=0,LEN($D153)=0,LEN($E153)=0,LEN($F153)=0,LEN($G153)=0,LEN($H153)=0,LEN($I153)=0,LEN($K153)=0,LEN($L153)=0,LEN($M153)=0,LEN($O153)=0),IF($N153="已核定","已核定但資料未完整","待補欄位或核定"),IF(OR(LEN($R153)=0,LEN($S153)=0),IF($N153="已核定","已核定但缺來源依據","待補來源依據"),IF($N153="已核定","可發布","待主管核定")))))))</x:f>
      </x:c>
      <x:c r="R153" s="421"/>
      <x:c r="S153" s="421"/>
      <x:c r="T153" s="575"/>
      <x:c r="U153" s="582" t="str">
        <x:f>IF($D153="","",IF($Q153&lt;&gt;"可發布","模式規則未發布",IF($T153&lt;&gt;"已完整","能力要求集未確認",IF(COUNTIFS('模式能力要求輸入'!$B$7:$B$306,$D153)=0,"尚無能力要求",IF(COUNTIFS('模式能力要求輸入'!$B$7:$B$306,$D153,'模式能力要求輸入'!$R$7:$R$306,"&lt;&gt;可發布")&gt;0,"能力要求未全數發布",IF(COUNTIFS('模式能力要求輸入'!$B$7:$B$306,$D153,'模式能力要求輸入'!$E$7:$E$306,"主跟診",'模式能力要求輸入'!$F$7:$F$306,"必備",'模式能力要求輸入'!$R$7:$R$306,"可發布")=0,"缺少主跟診必備要求","可匯入模式清單"))))))</x:f>
      </x:c>
    </x:row>
    <x:row r="154">
      <x:c r="A154" s="170"/>
      <x:c r="B154" s="170"/>
      <x:c r="C154" s="170"/>
      <x:c r="D154" s="170"/>
      <x:c r="E154" s="170"/>
      <x:c r="F154" s="170"/>
      <x:c r="G154" s="170"/>
      <x:c r="H154" s="170"/>
      <x:c r="I154" s="170"/>
      <x:c r="J154" s="170"/>
      <x:c r="K154" s="170"/>
      <x:c r="L154" s="170"/>
      <x:c r="M154" s="171"/>
      <x:c r="N154" s="170"/>
      <x:c r="O154" s="170"/>
      <x:c r="P154" s="170"/>
      <x:c r="Q154" s="235" t="str">
        <x:f>IF(LEN($B154)=0,"",IF($N154="停用","停用",IF($N154="退回補件","退回補件",IF(COUNTIFS($A$7:$A$156,$A154)&gt;1,"規則編號重複",IF(OR(LEN($C154)=0,LEN($D154)=0,LEN($E154)=0,LEN($F154)=0,LEN($G154)=0,LEN($H154)=0,LEN($I154)=0,LEN($K154)=0,LEN($L154)=0,LEN($M154)=0,LEN($O154)=0),IF($N154="已核定","已核定但資料未完整","待補欄位或核定"),IF(OR(LEN($R154)=0,LEN($S154)=0),IF($N154="已核定","已核定但缺來源依據","待補來源依據"),IF($N154="已核定","可發布","待主管核定")))))))</x:f>
      </x:c>
      <x:c r="R154" s="421"/>
      <x:c r="S154" s="421"/>
      <x:c r="T154" s="575"/>
      <x:c r="U154" s="582" t="str">
        <x:f>IF($D154="","",IF($Q154&lt;&gt;"可發布","模式規則未發布",IF($T154&lt;&gt;"已完整","能力要求集未確認",IF(COUNTIFS('模式能力要求輸入'!$B$7:$B$306,$D154)=0,"尚無能力要求",IF(COUNTIFS('模式能力要求輸入'!$B$7:$B$306,$D154,'模式能力要求輸入'!$R$7:$R$306,"&lt;&gt;可發布")&gt;0,"能力要求未全數發布",IF(COUNTIFS('模式能力要求輸入'!$B$7:$B$306,$D154,'模式能力要求輸入'!$E$7:$E$306,"主跟診",'模式能力要求輸入'!$F$7:$F$306,"必備",'模式能力要求輸入'!$R$7:$R$306,"可發布")=0,"缺少主跟診必備要求","可匯入模式清單"))))))</x:f>
      </x:c>
    </x:row>
    <x:row r="155">
      <x:c r="A155" s="170"/>
      <x:c r="B155" s="170"/>
      <x:c r="C155" s="170"/>
      <x:c r="D155" s="170"/>
      <x:c r="E155" s="170"/>
      <x:c r="F155" s="170"/>
      <x:c r="G155" s="170"/>
      <x:c r="H155" s="170"/>
      <x:c r="I155" s="170"/>
      <x:c r="J155" s="170"/>
      <x:c r="K155" s="170"/>
      <x:c r="L155" s="170"/>
      <x:c r="M155" s="171"/>
      <x:c r="N155" s="170"/>
      <x:c r="O155" s="170"/>
      <x:c r="P155" s="170"/>
      <x:c r="Q155" s="235" t="str">
        <x:f>IF(LEN($B155)=0,"",IF($N155="停用","停用",IF($N155="退回補件","退回補件",IF(COUNTIFS($A$7:$A$156,$A155)&gt;1,"規則編號重複",IF(OR(LEN($C155)=0,LEN($D155)=0,LEN($E155)=0,LEN($F155)=0,LEN($G155)=0,LEN($H155)=0,LEN($I155)=0,LEN($K155)=0,LEN($L155)=0,LEN($M155)=0,LEN($O155)=0),IF($N155="已核定","已核定但資料未完整","待補欄位或核定"),IF(OR(LEN($R155)=0,LEN($S155)=0),IF($N155="已核定","已核定但缺來源依據","待補來源依據"),IF($N155="已核定","可發布","待主管核定")))))))</x:f>
      </x:c>
      <x:c r="R155" s="421"/>
      <x:c r="S155" s="421"/>
      <x:c r="T155" s="575"/>
      <x:c r="U155" s="582" t="str">
        <x:f>IF($D155="","",IF($Q155&lt;&gt;"可發布","模式規則未發布",IF($T155&lt;&gt;"已完整","能力要求集未確認",IF(COUNTIFS('模式能力要求輸入'!$B$7:$B$306,$D155)=0,"尚無能力要求",IF(COUNTIFS('模式能力要求輸入'!$B$7:$B$306,$D155,'模式能力要求輸入'!$R$7:$R$306,"&lt;&gt;可發布")&gt;0,"能力要求未全數發布",IF(COUNTIFS('模式能力要求輸入'!$B$7:$B$306,$D155,'模式能力要求輸入'!$E$7:$E$306,"主跟診",'模式能力要求輸入'!$F$7:$F$306,"必備",'模式能力要求輸入'!$R$7:$R$306,"可發布")=0,"缺少主跟診必備要求","可匯入模式清單"))))))</x:f>
      </x:c>
    </x:row>
    <x:row r="156">
      <x:c r="A156" s="170"/>
      <x:c r="B156" s="170"/>
      <x:c r="C156" s="170"/>
      <x:c r="D156" s="170"/>
      <x:c r="E156" s="170"/>
      <x:c r="F156" s="170"/>
      <x:c r="G156" s="170"/>
      <x:c r="H156" s="170"/>
      <x:c r="I156" s="170"/>
      <x:c r="J156" s="170"/>
      <x:c r="K156" s="170"/>
      <x:c r="L156" s="170"/>
      <x:c r="M156" s="171"/>
      <x:c r="N156" s="170"/>
      <x:c r="O156" s="170"/>
      <x:c r="P156" s="170"/>
      <x:c r="Q156" s="235" t="str">
        <x:f>IF(LEN($B156)=0,"",IF($N156="停用","停用",IF($N156="退回補件","退回補件",IF(COUNTIFS($A$7:$A$156,$A156)&gt;1,"規則編號重複",IF(OR(LEN($C156)=0,LEN($D156)=0,LEN($E156)=0,LEN($F156)=0,LEN($G156)=0,LEN($H156)=0,LEN($I156)=0,LEN($K156)=0,LEN($L156)=0,LEN($M156)=0,LEN($O156)=0),IF($N156="已核定","已核定但資料未完整","待補欄位或核定"),IF(OR(LEN($R156)=0,LEN($S156)=0),IF($N156="已核定","已核定但缺來源依據","待補來源依據"),IF($N156="已核定","可發布","待主管核定")))))))</x:f>
      </x:c>
      <x:c r="R156" s="421"/>
      <x:c r="S156" s="421"/>
      <x:c r="T156" s="575"/>
      <x:c r="U156" s="582" t="str">
        <x:f>IF($D156="","",IF($Q156&lt;&gt;"可發布","模式規則未發布",IF($T156&lt;&gt;"已完整","能力要求集未確認",IF(COUNTIFS('模式能力要求輸入'!$B$7:$B$306,$D156)=0,"尚無能力要求",IF(COUNTIFS('模式能力要求輸入'!$B$7:$B$306,$D156,'模式能力要求輸入'!$R$7:$R$306,"&lt;&gt;可發布")&gt;0,"能力要求未全數發布",IF(COUNTIFS('模式能力要求輸入'!$B$7:$B$306,$D156,'模式能力要求輸入'!$E$7:$E$306,"主跟診",'模式能力要求輸入'!$F$7:$F$306,"必備",'模式能力要求輸入'!$R$7:$R$306,"可發布")=0,"缺少主跟診必備要求","可匯入模式清單"))))))</x:f>
      </x:c>
    </x:row>
  </x:sheetData>
  <x:mergeCells>
    <x:mergeCell ref="A2:U2"/>
    <x:mergeCell ref="A4:U4"/>
  </x:mergeCells>
  <x:conditionalFormatting sqref="N7:N156">
    <x:cfRule type="containsText" dxfId="47" priority="1" operator="containsText" text="已核定"/>
    <x:cfRule type="containsText" dxfId="48" priority="2" operator="containsText" text="退回"/>
  </x:conditionalFormatting>
  <x:conditionalFormatting sqref="Q7:Q156">
    <x:cfRule type="containsText" dxfId="110" priority="3" operator="containsText" text="可發布"/>
    <x:cfRule type="containsText" dxfId="111" priority="4" operator="containsText" text="重複"/>
    <x:cfRule type="containsText" dxfId="112" priority="5" operator="containsText" text="已核定但"/>
    <x:cfRule type="containsText" dxfId="113" priority="6" operator="containsText" text="待補來源"/>
  </x:conditionalFormatting>
  <x:conditionalFormatting sqref="U7:U156">
    <x:cfRule type="containsText" dxfId="179" priority="7" operator="containsText" text="可匯入"/>
    <x:cfRule type="containsText" dxfId="180" priority="8" operator="containsText" text="未"/>
  </x:conditionalFormatting>
  <x:dataValidations count="4">
    <x:dataValidation type="list" sqref="C7:C156">
      <x:formula1>"固定型,混合型"</x:formula1>
    </x:dataValidation>
    <x:dataValidation type="list" sqref="G7:G156">
      <x:formula1>"一般,高複雜度"</x:formula1>
    </x:dataValidation>
    <x:dataValidation type="list" sqref="N7:N156">
      <x:formula1>"待確認,已核定,退回補件,停用"</x:formula1>
    </x:dataValidation>
    <x:dataValidation type="list" sqref="T7:T156">
      <x:formula1>"待建置,已完整,退回補件"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826da2f98b4541"/>
  </x:tableParts>
</x:worksheet>
</file>

<file path=xl/worksheets/sheet31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8" hidden="0" customWidth="1"/>
    <x:col min="5" max="5" width="30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42" hidden="0" customWidth="1"/>
    <x:col min="13" max="13" width="24" hidden="0" customWidth="1"/>
    <x:col min="14" max="14" width="34" hidden="0" customWidth="1"/>
    <x:col min="15" max="15" width="28" hidden="0" customWidth="1"/>
  </x:cols>
  <x:sheetData>
    <x:row r="2">
      <x:c r="A2" s="74" t="str">
        <x:v>正職三級與兼職六級流動規則輸入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75" t="str">
        <x:v>已預列正職 3 級與兼職 6 級。每個級別可新增多筆任務要求；每列使用不同規則編號。任務條件、版本、生效與核定資料、來源文件及來源定位都完整後，才可發布為流動崗位門檻。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</x:row>
    <x:row r="6">
      <x:c r="A6" s="168" t="str">
        <x:v>規則編號</x:v>
      </x:c>
      <x:c r="B6" s="168" t="str">
        <x:v>能力路徑</x:v>
      </x:c>
      <x:c r="C6" s="168" t="str">
        <x:v>流動級別</x:v>
      </x:c>
      <x:c r="D6" s="168" t="str">
        <x:v>任務／技能代碼</x:v>
      </x:c>
      <x:c r="E6" s="168" t="str">
        <x:v>任務／技能名稱</x:v>
      </x:c>
      <x:c r="F6" s="168" t="str">
        <x:v>最低評等</x:v>
      </x:c>
      <x:c r="G6" s="168" t="str">
        <x:v>必要性</x:v>
      </x:c>
      <x:c r="H6" s="168" t="str">
        <x:v>版本</x:v>
      </x:c>
      <x:c r="I6" s="168" t="str">
        <x:v>生效日</x:v>
      </x:c>
      <x:c r="J6" s="168" t="str">
        <x:v>核定狀態</x:v>
      </x:c>
      <x:c r="K6" s="168" t="str">
        <x:v>核定人</x:v>
      </x:c>
      <x:c r="L6" s="168" t="str">
        <x:v>備註</x:v>
      </x:c>
      <x:c r="M6" s="233" t="str">
        <x:v>收件檢核</x:v>
      </x:c>
      <x:c r="N6" s="420" t="str">
        <x:v>來源文件／版本</x:v>
      </x:c>
      <x:c r="O6" s="420" t="str">
        <x:v>來源定位</x:v>
      </x:c>
    </x:row>
    <x:row r="7">
      <x:c r="A7" s="170" t="str">
        <x:v>PENDING-MOB-F1</x:v>
      </x:c>
      <x:c r="B7" s="170" t="str">
        <x:v>正職助理路徑</x:v>
      </x:c>
      <x:c r="C7" s="170" t="str">
        <x:v>正職流動第 1 級</x:v>
      </x:c>
      <x:c r="D7" s="170"/>
      <x:c r="E7" s="170"/>
      <x:c r="F7" s="170"/>
      <x:c r="G7" s="170"/>
      <x:c r="H7" s="170"/>
      <x:c r="I7" s="171"/>
      <x:c r="J7" s="170" t="str">
        <x:v>待確認</x:v>
      </x:c>
      <x:c r="K7" s="170"/>
      <x:c r="L7" s="170" t="str">
        <x:v>級別已預列；任務、最低評等與正式版本待提供</x:v>
      </x:c>
      <x:c r="M7" s="235" t="str">
        <x:f>IF($C7="","",IF($J7="停用","停用",IF($J7="退回補件","退回補件",IF(COUNTIFS($A$7:$A$126,$A7)&gt;1,"規則編號重複",IF(OR($A7="",$B7="",$D7="",$E7="",$F7="",$G7="",$H7="",$I7="",$K7=""),IF($J7="已核定","已核定但資料未完整","待補欄位或核定"),IF(OR($N7="",$O7=""),IF($J7="已核定","已核定但缺來源依據","待補來源依據"),IF($J7="已核定","可發布","待主管核定")))))))</x:f>
        <x:v>待補欄位或核定</x:v>
      </x:c>
      <x:c r="N7" s="421"/>
      <x:c r="O7" s="421"/>
    </x:row>
    <x:row r="8">
      <x:c r="A8" s="170" t="str">
        <x:v>PENDING-MOB-F2</x:v>
      </x:c>
      <x:c r="B8" s="170" t="str">
        <x:v>正職助理路徑</x:v>
      </x:c>
      <x:c r="C8" s="170" t="str">
        <x:v>正職流動第 2 級</x:v>
      </x:c>
      <x:c r="D8" s="170"/>
      <x:c r="E8" s="170"/>
      <x:c r="F8" s="170"/>
      <x:c r="G8" s="170"/>
      <x:c r="H8" s="170"/>
      <x:c r="I8" s="171"/>
      <x:c r="J8" s="170" t="str">
        <x:v>待確認</x:v>
      </x:c>
      <x:c r="K8" s="170"/>
      <x:c r="L8" s="170" t="str">
        <x:v>級別已預列；任務、最低評等與正式版本待提供</x:v>
      </x:c>
      <x:c r="M8" s="235" t="str">
        <x:f>IF($C8="","",IF($J8="停用","停用",IF($J8="退回補件","退回補件",IF(COUNTIFS($A$7:$A$126,$A8)&gt;1,"規則編號重複",IF(OR($A8="",$B8="",$D8="",$E8="",$F8="",$G8="",$H8="",$I8="",$K8=""),IF($J8="已核定","已核定但資料未完整","待補欄位或核定"),IF(OR($N8="",$O8=""),IF($J8="已核定","已核定但缺來源依據","待補來源依據"),IF($J8="已核定","可發布","待主管核定")))))))</x:f>
        <x:v>待補欄位或核定</x:v>
      </x:c>
      <x:c r="N8" s="421"/>
      <x:c r="O8" s="421"/>
    </x:row>
    <x:row r="9">
      <x:c r="A9" s="170" t="str">
        <x:v>PENDING-MOB-F3</x:v>
      </x:c>
      <x:c r="B9" s="170" t="str">
        <x:v>正職助理路徑</x:v>
      </x:c>
      <x:c r="C9" s="170" t="str">
        <x:v>正職流動第 3 級</x:v>
      </x:c>
      <x:c r="D9" s="170"/>
      <x:c r="E9" s="170"/>
      <x:c r="F9" s="170"/>
      <x:c r="G9" s="170"/>
      <x:c r="H9" s="170"/>
      <x:c r="I9" s="171"/>
      <x:c r="J9" s="170" t="str">
        <x:v>待確認</x:v>
      </x:c>
      <x:c r="K9" s="170"/>
      <x:c r="L9" s="170" t="str">
        <x:v>級別已預列；任務、最低評等與正式版本待提供</x:v>
      </x:c>
      <x:c r="M9" s="235" t="str">
        <x:f>IF($C9="","",IF($J9="停用","停用",IF($J9="退回補件","退回補件",IF(COUNTIFS($A$7:$A$126,$A9)&gt;1,"規則編號重複",IF(OR($A9="",$B9="",$D9="",$E9="",$F9="",$G9="",$H9="",$I9="",$K9=""),IF($J9="已核定","已核定但資料未完整","待補欄位或核定"),IF(OR($N9="",$O9=""),IF($J9="已核定","已核定但缺來源依據","待補來源依據"),IF($J9="已核定","可發布","待主管核定")))))))</x:f>
        <x:v>待補欄位或核定</x:v>
      </x:c>
      <x:c r="N9" s="421"/>
      <x:c r="O9" s="421"/>
    </x:row>
    <x:row r="10">
      <x:c r="A10" s="170" t="str">
        <x:v>PENDING-MOB-P1</x:v>
      </x:c>
      <x:c r="B10" s="170" t="str">
        <x:v>兼職流動路徑</x:v>
      </x:c>
      <x:c r="C10" s="170" t="str">
        <x:v>兼職流動第 1 級</x:v>
      </x:c>
      <x:c r="D10" s="170"/>
      <x:c r="E10" s="170"/>
      <x:c r="F10" s="170"/>
      <x:c r="G10" s="170"/>
      <x:c r="H10" s="170"/>
      <x:c r="I10" s="171"/>
      <x:c r="J10" s="170" t="str">
        <x:v>待確認</x:v>
      </x:c>
      <x:c r="K10" s="170"/>
      <x:c r="L10" s="170" t="str">
        <x:v>級別已預列；任務、最低評等與正式版本待提供</x:v>
      </x:c>
      <x:c r="M10" s="235" t="str">
        <x:f>IF($C10="","",IF($J10="停用","停用",IF($J10="退回補件","退回補件",IF(COUNTIFS($A$7:$A$126,$A10)&gt;1,"規則編號重複",IF(OR($A10="",$B10="",$D10="",$E10="",$F10="",$G10="",$H10="",$I10="",$K10=""),IF($J10="已核定","已核定但資料未完整","待補欄位或核定"),IF(OR($N10="",$O10=""),IF($J10="已核定","已核定但缺來源依據","待補來源依據"),IF($J10="已核定","可發布","待主管核定")))))))</x:f>
        <x:v>待補欄位或核定</x:v>
      </x:c>
      <x:c r="N10" s="421"/>
      <x:c r="O10" s="421"/>
    </x:row>
    <x:row r="11">
      <x:c r="A11" s="170" t="str">
        <x:v>PENDING-MOB-P2</x:v>
      </x:c>
      <x:c r="B11" s="170" t="str">
        <x:v>兼職流動路徑</x:v>
      </x:c>
      <x:c r="C11" s="170" t="str">
        <x:v>兼職流動第 2 級</x:v>
      </x:c>
      <x:c r="D11" s="170"/>
      <x:c r="E11" s="170"/>
      <x:c r="F11" s="170"/>
      <x:c r="G11" s="170"/>
      <x:c r="H11" s="170"/>
      <x:c r="I11" s="171"/>
      <x:c r="J11" s="170" t="str">
        <x:v>待確認</x:v>
      </x:c>
      <x:c r="K11" s="170"/>
      <x:c r="L11" s="170" t="str">
        <x:v>級別已預列；任務、最低評等與正式版本待提供</x:v>
      </x:c>
      <x:c r="M11" s="235" t="str">
        <x:f>IF($C11="","",IF($J11="停用","停用",IF($J11="退回補件","退回補件",IF(COUNTIFS($A$7:$A$126,$A11)&gt;1,"規則編號重複",IF(OR($A11="",$B11="",$D11="",$E11="",$F11="",$G11="",$H11="",$I11="",$K11=""),IF($J11="已核定","已核定但資料未完整","待補欄位或核定"),IF(OR($N11="",$O11=""),IF($J11="已核定","已核定但缺來源依據","待補來源依據"),IF($J11="已核定","可發布","待主管核定")))))))</x:f>
        <x:v>待補欄位或核定</x:v>
      </x:c>
      <x:c r="N11" s="421"/>
      <x:c r="O11" s="421"/>
    </x:row>
    <x:row r="12">
      <x:c r="A12" s="170" t="str">
        <x:v>PENDING-MOB-P3</x:v>
      </x:c>
      <x:c r="B12" s="170" t="str">
        <x:v>兼職流動路徑</x:v>
      </x:c>
      <x:c r="C12" s="170" t="str">
        <x:v>兼職流動第 3 級</x:v>
      </x:c>
      <x:c r="D12" s="170"/>
      <x:c r="E12" s="170"/>
      <x:c r="F12" s="170"/>
      <x:c r="G12" s="170"/>
      <x:c r="H12" s="170"/>
      <x:c r="I12" s="171"/>
      <x:c r="J12" s="170" t="str">
        <x:v>待確認</x:v>
      </x:c>
      <x:c r="K12" s="170"/>
      <x:c r="L12" s="170" t="str">
        <x:v>級別已預列；任務、最低評等與正式版本待提供</x:v>
      </x:c>
      <x:c r="M12" s="235" t="str">
        <x:f>IF($C12="","",IF($J12="停用","停用",IF($J12="退回補件","退回補件",IF(COUNTIFS($A$7:$A$126,$A12)&gt;1,"規則編號重複",IF(OR($A12="",$B12="",$D12="",$E12="",$F12="",$G12="",$H12="",$I12="",$K12=""),IF($J12="已核定","已核定但資料未完整","待補欄位或核定"),IF(OR($N12="",$O12=""),IF($J12="已核定","已核定但缺來源依據","待補來源依據"),IF($J12="已核定","可發布","待主管核定")))))))</x:f>
        <x:v>待補欄位或核定</x:v>
      </x:c>
      <x:c r="N12" s="421"/>
      <x:c r="O12" s="421"/>
    </x:row>
    <x:row r="13">
      <x:c r="A13" s="170" t="str">
        <x:v>PENDING-MOB-P4</x:v>
      </x:c>
      <x:c r="B13" s="170" t="str">
        <x:v>兼職流動路徑</x:v>
      </x:c>
      <x:c r="C13" s="170" t="str">
        <x:v>兼職流動第 4 級</x:v>
      </x:c>
      <x:c r="D13" s="170"/>
      <x:c r="E13" s="170"/>
      <x:c r="F13" s="170"/>
      <x:c r="G13" s="170"/>
      <x:c r="H13" s="170"/>
      <x:c r="I13" s="171"/>
      <x:c r="J13" s="170" t="str">
        <x:v>待確認</x:v>
      </x:c>
      <x:c r="K13" s="170"/>
      <x:c r="L13" s="170" t="str">
        <x:v>級別已預列；任務、最低評等與正式版本待提供</x:v>
      </x:c>
      <x:c r="M13" s="235" t="str">
        <x:f>IF($C13="","",IF($J13="停用","停用",IF($J13="退回補件","退回補件",IF(COUNTIFS($A$7:$A$126,$A13)&gt;1,"規則編號重複",IF(OR($A13="",$B13="",$D13="",$E13="",$F13="",$G13="",$H13="",$I13="",$K13=""),IF($J13="已核定","已核定但資料未完整","待補欄位或核定"),IF(OR($N13="",$O13=""),IF($J13="已核定","已核定但缺來源依據","待補來源依據"),IF($J13="已核定","可發布","待主管核定")))))))</x:f>
        <x:v>待補欄位或核定</x:v>
      </x:c>
      <x:c r="N13" s="421"/>
      <x:c r="O13" s="421"/>
    </x:row>
    <x:row r="14">
      <x:c r="A14" s="170" t="str">
        <x:v>PENDING-MOB-P5</x:v>
      </x:c>
      <x:c r="B14" s="170" t="str">
        <x:v>兼職流動路徑</x:v>
      </x:c>
      <x:c r="C14" s="170" t="str">
        <x:v>兼職流動第 5 級</x:v>
      </x:c>
      <x:c r="D14" s="170"/>
      <x:c r="E14" s="170"/>
      <x:c r="F14" s="170"/>
      <x:c r="G14" s="170"/>
      <x:c r="H14" s="170"/>
      <x:c r="I14" s="171"/>
      <x:c r="J14" s="170" t="str">
        <x:v>待確認</x:v>
      </x:c>
      <x:c r="K14" s="170"/>
      <x:c r="L14" s="170" t="str">
        <x:v>級別已預列；任務、最低評等與正式版本待提供</x:v>
      </x:c>
      <x:c r="M14" s="235" t="str">
        <x:f>IF($C14="","",IF($J14="停用","停用",IF($J14="退回補件","退回補件",IF(COUNTIFS($A$7:$A$126,$A14)&gt;1,"規則編號重複",IF(OR($A14="",$B14="",$D14="",$E14="",$F14="",$G14="",$H14="",$I14="",$K14=""),IF($J14="已核定","已核定但資料未完整","待補欄位或核定"),IF(OR($N14="",$O14=""),IF($J14="已核定","已核定但缺來源依據","待補來源依據"),IF($J14="已核定","可發布","待主管核定")))))))</x:f>
        <x:v>待補欄位或核定</x:v>
      </x:c>
      <x:c r="N14" s="421"/>
      <x:c r="O14" s="421"/>
    </x:row>
    <x:row r="15">
      <x:c r="A15" s="170" t="str">
        <x:v>PENDING-MOB-P6</x:v>
      </x:c>
      <x:c r="B15" s="170" t="str">
        <x:v>兼職流動路徑</x:v>
      </x:c>
      <x:c r="C15" s="170" t="str">
        <x:v>兼職流動第 6 級</x:v>
      </x:c>
      <x:c r="D15" s="170"/>
      <x:c r="E15" s="170"/>
      <x:c r="F15" s="170"/>
      <x:c r="G15" s="170"/>
      <x:c r="H15" s="170"/>
      <x:c r="I15" s="171"/>
      <x:c r="J15" s="170" t="str">
        <x:v>待確認</x:v>
      </x:c>
      <x:c r="K15" s="170"/>
      <x:c r="L15" s="170" t="str">
        <x:v>級別已預列；任務、最低評等與正式版本待提供</x:v>
      </x:c>
      <x:c r="M15" s="235" t="str">
        <x:f>IF($C15="","",IF($J15="停用","停用",IF($J15="退回補件","退回補件",IF(COUNTIFS($A$7:$A$126,$A15)&gt;1,"規則編號重複",IF(OR($A15="",$B15="",$D15="",$E15="",$F15="",$G15="",$H15="",$I15="",$K15=""),IF($J15="已核定","已核定但資料未完整","待補欄位或核定"),IF(OR($N15="",$O15=""),IF($J15="已核定","已核定但缺來源依據","待補來源依據"),IF($J15="已核定","可發布","待主管核定")))))))</x:f>
        <x:v>待補欄位或核定</x:v>
      </x:c>
      <x:c r="N15" s="421"/>
      <x:c r="O15" s="421"/>
    </x:row>
    <x:row r="16">
      <x:c r="A16" s="170"/>
      <x:c r="B16" s="170"/>
      <x:c r="C16" s="170"/>
      <x:c r="D16" s="170"/>
      <x:c r="E16" s="170"/>
      <x:c r="F16" s="170"/>
      <x:c r="G16" s="170"/>
      <x:c r="H16" s="170"/>
      <x:c r="I16" s="171"/>
      <x:c r="J16" s="170"/>
      <x:c r="K16" s="170"/>
      <x:c r="L16" s="170"/>
      <x:c r="M16" s="235" t="str">
        <x:f>IF($C16="","",IF($J16="停用","停用",IF($J16="退回補件","退回補件",IF(COUNTIFS($A$7:$A$126,$A16)&gt;1,"規則編號重複",IF(OR($A16="",$B16="",$D16="",$E16="",$F16="",$G16="",$H16="",$I16="",$K16=""),IF($J16="已核定","已核定但資料未完整","待補欄位或核定"),IF(OR($N16="",$O16=""),IF($J16="已核定","已核定但缺來源依據","待補來源依據"),IF($J16="已核定","可發布","待主管核定")))))))</x:f>
      </x:c>
      <x:c r="N16" s="421"/>
      <x:c r="O16" s="421"/>
    </x:row>
    <x:row r="17">
      <x:c r="A17" s="170"/>
      <x:c r="B17" s="170"/>
      <x:c r="C17" s="170"/>
      <x:c r="D17" s="170"/>
      <x:c r="E17" s="170"/>
      <x:c r="F17" s="170"/>
      <x:c r="G17" s="170"/>
      <x:c r="H17" s="170"/>
      <x:c r="I17" s="171"/>
      <x:c r="J17" s="170"/>
      <x:c r="K17" s="170"/>
      <x:c r="L17" s="170"/>
      <x:c r="M17" s="235" t="str">
        <x:f>IF($C17="","",IF($J17="停用","停用",IF($J17="退回補件","退回補件",IF(COUNTIFS($A$7:$A$126,$A17)&gt;1,"規則編號重複",IF(OR($A17="",$B17="",$D17="",$E17="",$F17="",$G17="",$H17="",$I17="",$K17=""),IF($J17="已核定","已核定但資料未完整","待補欄位或核定"),IF(OR($N17="",$O17=""),IF($J17="已核定","已核定但缺來源依據","待補來源依據"),IF($J17="已核定","可發布","待主管核定")))))))</x:f>
      </x:c>
      <x:c r="N17" s="421"/>
      <x:c r="O17" s="421"/>
    </x:row>
    <x:row r="18">
      <x:c r="A18" s="170"/>
      <x:c r="B18" s="170"/>
      <x:c r="C18" s="170"/>
      <x:c r="D18" s="170"/>
      <x:c r="E18" s="170"/>
      <x:c r="F18" s="170"/>
      <x:c r="G18" s="170"/>
      <x:c r="H18" s="170"/>
      <x:c r="I18" s="171"/>
      <x:c r="J18" s="170"/>
      <x:c r="K18" s="170"/>
      <x:c r="L18" s="170"/>
      <x:c r="M18" s="235" t="str">
        <x:f>IF($C18="","",IF($J18="停用","停用",IF($J18="退回補件","退回補件",IF(COUNTIFS($A$7:$A$126,$A18)&gt;1,"規則編號重複",IF(OR($A18="",$B18="",$D18="",$E18="",$F18="",$G18="",$H18="",$I18="",$K18=""),IF($J18="已核定","已核定但資料未完整","待補欄位或核定"),IF(OR($N18="",$O18=""),IF($J18="已核定","已核定但缺來源依據","待補來源依據"),IF($J18="已核定","可發布","待主管核定")))))))</x:f>
      </x:c>
      <x:c r="N18" s="421"/>
      <x:c r="O18" s="421"/>
    </x:row>
    <x:row r="19">
      <x:c r="A19" s="170"/>
      <x:c r="B19" s="170"/>
      <x:c r="C19" s="170"/>
      <x:c r="D19" s="170"/>
      <x:c r="E19" s="170"/>
      <x:c r="F19" s="170"/>
      <x:c r="G19" s="170"/>
      <x:c r="H19" s="170"/>
      <x:c r="I19" s="171"/>
      <x:c r="J19" s="170"/>
      <x:c r="K19" s="170"/>
      <x:c r="L19" s="170"/>
      <x:c r="M19" s="235" t="str">
        <x:f>IF($C19="","",IF($J19="停用","停用",IF($J19="退回補件","退回補件",IF(COUNTIFS($A$7:$A$126,$A19)&gt;1,"規則編號重複",IF(OR($A19="",$B19="",$D19="",$E19="",$F19="",$G19="",$H19="",$I19="",$K19=""),IF($J19="已核定","已核定但資料未完整","待補欄位或核定"),IF(OR($N19="",$O19=""),IF($J19="已核定","已核定但缺來源依據","待補來源依據"),IF($J19="已核定","可發布","待主管核定")))))))</x:f>
      </x:c>
      <x:c r="N19" s="421"/>
      <x:c r="O19" s="421"/>
    </x:row>
    <x:row r="20">
      <x:c r="A20" s="170"/>
      <x:c r="B20" s="170"/>
      <x:c r="C20" s="170"/>
      <x:c r="D20" s="170"/>
      <x:c r="E20" s="170"/>
      <x:c r="F20" s="170"/>
      <x:c r="G20" s="170"/>
      <x:c r="H20" s="170"/>
      <x:c r="I20" s="171"/>
      <x:c r="J20" s="170"/>
      <x:c r="K20" s="170"/>
      <x:c r="L20" s="170"/>
      <x:c r="M20" s="235" t="str">
        <x:f>IF($C20="","",IF($J20="停用","停用",IF($J20="退回補件","退回補件",IF(COUNTIFS($A$7:$A$126,$A20)&gt;1,"規則編號重複",IF(OR($A20="",$B20="",$D20="",$E20="",$F20="",$G20="",$H20="",$I20="",$K20=""),IF($J20="已核定","已核定但資料未完整","待補欄位或核定"),IF(OR($N20="",$O20=""),IF($J20="已核定","已核定但缺來源依據","待補來源依據"),IF($J20="已核定","可發布","待主管核定")))))))</x:f>
      </x:c>
      <x:c r="N20" s="421"/>
      <x:c r="O20" s="421"/>
    </x:row>
    <x:row r="21">
      <x:c r="A21" s="170"/>
      <x:c r="B21" s="170"/>
      <x:c r="C21" s="170"/>
      <x:c r="D21" s="170"/>
      <x:c r="E21" s="170"/>
      <x:c r="F21" s="170"/>
      <x:c r="G21" s="170"/>
      <x:c r="H21" s="170"/>
      <x:c r="I21" s="171"/>
      <x:c r="J21" s="170"/>
      <x:c r="K21" s="170"/>
      <x:c r="L21" s="170"/>
      <x:c r="M21" s="235" t="str">
        <x:f>IF($C21="","",IF($J21="停用","停用",IF($J21="退回補件","退回補件",IF(COUNTIFS($A$7:$A$126,$A21)&gt;1,"規則編號重複",IF(OR($A21="",$B21="",$D21="",$E21="",$F21="",$G21="",$H21="",$I21="",$K21=""),IF($J21="已核定","已核定但資料未完整","待補欄位或核定"),IF(OR($N21="",$O21=""),IF($J21="已核定","已核定但缺來源依據","待補來源依據"),IF($J21="已核定","可發布","待主管核定")))))))</x:f>
      </x:c>
      <x:c r="N21" s="421"/>
      <x:c r="O21" s="421"/>
    </x:row>
    <x:row r="22">
      <x:c r="A22" s="170"/>
      <x:c r="B22" s="170"/>
      <x:c r="C22" s="170"/>
      <x:c r="D22" s="170"/>
      <x:c r="E22" s="170"/>
      <x:c r="F22" s="170"/>
      <x:c r="G22" s="170"/>
      <x:c r="H22" s="170"/>
      <x:c r="I22" s="171"/>
      <x:c r="J22" s="170"/>
      <x:c r="K22" s="170"/>
      <x:c r="L22" s="170"/>
      <x:c r="M22" s="235" t="str">
        <x:f>IF($C22="","",IF($J22="停用","停用",IF($J22="退回補件","退回補件",IF(COUNTIFS($A$7:$A$126,$A22)&gt;1,"規則編號重複",IF(OR($A22="",$B22="",$D22="",$E22="",$F22="",$G22="",$H22="",$I22="",$K22=""),IF($J22="已核定","已核定但資料未完整","待補欄位或核定"),IF(OR($N22="",$O22=""),IF($J22="已核定","已核定但缺來源依據","待補來源依據"),IF($J22="已核定","可發布","待主管核定")))))))</x:f>
      </x:c>
      <x:c r="N22" s="421"/>
      <x:c r="O22" s="421"/>
    </x:row>
    <x:row r="23">
      <x:c r="A23" s="170"/>
      <x:c r="B23" s="170"/>
      <x:c r="C23" s="170"/>
      <x:c r="D23" s="170"/>
      <x:c r="E23" s="170"/>
      <x:c r="F23" s="170"/>
      <x:c r="G23" s="170"/>
      <x:c r="H23" s="170"/>
      <x:c r="I23" s="171"/>
      <x:c r="J23" s="170"/>
      <x:c r="K23" s="170"/>
      <x:c r="L23" s="170"/>
      <x:c r="M23" s="235" t="str">
        <x:f>IF($C23="","",IF($J23="停用","停用",IF($J23="退回補件","退回補件",IF(COUNTIFS($A$7:$A$126,$A23)&gt;1,"規則編號重複",IF(OR($A23="",$B23="",$D23="",$E23="",$F23="",$G23="",$H23="",$I23="",$K23=""),IF($J23="已核定","已核定但資料未完整","待補欄位或核定"),IF(OR($N23="",$O23=""),IF($J23="已核定","已核定但缺來源依據","待補來源依據"),IF($J23="已核定","可發布","待主管核定")))))))</x:f>
      </x:c>
      <x:c r="N23" s="421"/>
      <x:c r="O23" s="421"/>
    </x:row>
    <x:row r="24">
      <x:c r="A24" s="170"/>
      <x:c r="B24" s="170"/>
      <x:c r="C24" s="170"/>
      <x:c r="D24" s="170"/>
      <x:c r="E24" s="170"/>
      <x:c r="F24" s="170"/>
      <x:c r="G24" s="170"/>
      <x:c r="H24" s="170"/>
      <x:c r="I24" s="171"/>
      <x:c r="J24" s="170"/>
      <x:c r="K24" s="170"/>
      <x:c r="L24" s="170"/>
      <x:c r="M24" s="235" t="str">
        <x:f>IF($C24="","",IF($J24="停用","停用",IF($J24="退回補件","退回補件",IF(COUNTIFS($A$7:$A$126,$A24)&gt;1,"規則編號重複",IF(OR($A24="",$B24="",$D24="",$E24="",$F24="",$G24="",$H24="",$I24="",$K24=""),IF($J24="已核定","已核定但資料未完整","待補欄位或核定"),IF(OR($N24="",$O24=""),IF($J24="已核定","已核定但缺來源依據","待補來源依據"),IF($J24="已核定","可發布","待主管核定")))))))</x:f>
      </x:c>
      <x:c r="N24" s="421"/>
      <x:c r="O24" s="421"/>
    </x:row>
    <x:row r="25">
      <x:c r="A25" s="170"/>
      <x:c r="B25" s="170"/>
      <x:c r="C25" s="170"/>
      <x:c r="D25" s="170"/>
      <x:c r="E25" s="170"/>
      <x:c r="F25" s="170"/>
      <x:c r="G25" s="170"/>
      <x:c r="H25" s="170"/>
      <x:c r="I25" s="171"/>
      <x:c r="J25" s="170"/>
      <x:c r="K25" s="170"/>
      <x:c r="L25" s="170"/>
      <x:c r="M25" s="235" t="str">
        <x:f>IF($C25="","",IF($J25="停用","停用",IF($J25="退回補件","退回補件",IF(COUNTIFS($A$7:$A$126,$A25)&gt;1,"規則編號重複",IF(OR($A25="",$B25="",$D25="",$E25="",$F25="",$G25="",$H25="",$I25="",$K25=""),IF($J25="已核定","已核定但資料未完整","待補欄位或核定"),IF(OR($N25="",$O25=""),IF($J25="已核定","已核定但缺來源依據","待補來源依據"),IF($J25="已核定","可發布","待主管核定")))))))</x:f>
      </x:c>
      <x:c r="N25" s="421"/>
      <x:c r="O25" s="421"/>
    </x:row>
    <x:row r="26">
      <x:c r="A26" s="170"/>
      <x:c r="B26" s="170"/>
      <x:c r="C26" s="170"/>
      <x:c r="D26" s="170"/>
      <x:c r="E26" s="170"/>
      <x:c r="F26" s="170"/>
      <x:c r="G26" s="170"/>
      <x:c r="H26" s="170"/>
      <x:c r="I26" s="171"/>
      <x:c r="J26" s="170"/>
      <x:c r="K26" s="170"/>
      <x:c r="L26" s="170"/>
      <x:c r="M26" s="235" t="str">
        <x:f>IF($C26="","",IF($J26="停用","停用",IF($J26="退回補件","退回補件",IF(COUNTIFS($A$7:$A$126,$A26)&gt;1,"規則編號重複",IF(OR($A26="",$B26="",$D26="",$E26="",$F26="",$G26="",$H26="",$I26="",$K26=""),IF($J26="已核定","已核定但資料未完整","待補欄位或核定"),IF(OR($N26="",$O26=""),IF($J26="已核定","已核定但缺來源依據","待補來源依據"),IF($J26="已核定","可發布","待主管核定")))))))</x:f>
      </x:c>
      <x:c r="N26" s="421"/>
      <x:c r="O26" s="421"/>
    </x:row>
    <x:row r="27">
      <x:c r="A27" s="170"/>
      <x:c r="B27" s="170"/>
      <x:c r="C27" s="170"/>
      <x:c r="D27" s="170"/>
      <x:c r="E27" s="170"/>
      <x:c r="F27" s="170"/>
      <x:c r="G27" s="170"/>
      <x:c r="H27" s="170"/>
      <x:c r="I27" s="171"/>
      <x:c r="J27" s="170"/>
      <x:c r="K27" s="170"/>
      <x:c r="L27" s="170"/>
      <x:c r="M27" s="235" t="str">
        <x:f>IF($C27="","",IF($J27="停用","停用",IF($J27="退回補件","退回補件",IF(COUNTIFS($A$7:$A$126,$A27)&gt;1,"規則編號重複",IF(OR($A27="",$B27="",$D27="",$E27="",$F27="",$G27="",$H27="",$I27="",$K27=""),IF($J27="已核定","已核定但資料未完整","待補欄位或核定"),IF(OR($N27="",$O27=""),IF($J27="已核定","已核定但缺來源依據","待補來源依據"),IF($J27="已核定","可發布","待主管核定")))))))</x:f>
      </x:c>
      <x:c r="N27" s="421"/>
      <x:c r="O27" s="421"/>
    </x:row>
    <x:row r="28">
      <x:c r="A28" s="170"/>
      <x:c r="B28" s="170"/>
      <x:c r="C28" s="170"/>
      <x:c r="D28" s="170"/>
      <x:c r="E28" s="170"/>
      <x:c r="F28" s="170"/>
      <x:c r="G28" s="170"/>
      <x:c r="H28" s="170"/>
      <x:c r="I28" s="171"/>
      <x:c r="J28" s="170"/>
      <x:c r="K28" s="170"/>
      <x:c r="L28" s="170"/>
      <x:c r="M28" s="235" t="str">
        <x:f>IF($C28="","",IF($J28="停用","停用",IF($J28="退回補件","退回補件",IF(COUNTIFS($A$7:$A$126,$A28)&gt;1,"規則編號重複",IF(OR($A28="",$B28="",$D28="",$E28="",$F28="",$G28="",$H28="",$I28="",$K28=""),IF($J28="已核定","已核定但資料未完整","待補欄位或核定"),IF(OR($N28="",$O28=""),IF($J28="已核定","已核定但缺來源依據","待補來源依據"),IF($J28="已核定","可發布","待主管核定")))))))</x:f>
      </x:c>
      <x:c r="N28" s="421"/>
      <x:c r="O28" s="421"/>
    </x:row>
    <x:row r="29">
      <x:c r="A29" s="170"/>
      <x:c r="B29" s="170"/>
      <x:c r="C29" s="170"/>
      <x:c r="D29" s="170"/>
      <x:c r="E29" s="170"/>
      <x:c r="F29" s="170"/>
      <x:c r="G29" s="170"/>
      <x:c r="H29" s="170"/>
      <x:c r="I29" s="171"/>
      <x:c r="J29" s="170"/>
      <x:c r="K29" s="170"/>
      <x:c r="L29" s="170"/>
      <x:c r="M29" s="235" t="str">
        <x:f>IF($C29="","",IF($J29="停用","停用",IF($J29="退回補件","退回補件",IF(COUNTIFS($A$7:$A$126,$A29)&gt;1,"規則編號重複",IF(OR($A29="",$B29="",$D29="",$E29="",$F29="",$G29="",$H29="",$I29="",$K29=""),IF($J29="已核定","已核定但資料未完整","待補欄位或核定"),IF(OR($N29="",$O29=""),IF($J29="已核定","已核定但缺來源依據","待補來源依據"),IF($J29="已核定","可發布","待主管核定")))))))</x:f>
      </x:c>
      <x:c r="N29" s="421"/>
      <x:c r="O29" s="421"/>
    </x:row>
    <x:row r="30">
      <x:c r="A30" s="170"/>
      <x:c r="B30" s="170"/>
      <x:c r="C30" s="170"/>
      <x:c r="D30" s="170"/>
      <x:c r="E30" s="170"/>
      <x:c r="F30" s="170"/>
      <x:c r="G30" s="170"/>
      <x:c r="H30" s="170"/>
      <x:c r="I30" s="171"/>
      <x:c r="J30" s="170"/>
      <x:c r="K30" s="170"/>
      <x:c r="L30" s="170"/>
      <x:c r="M30" s="235" t="str">
        <x:f>IF($C30="","",IF($J30="停用","停用",IF($J30="退回補件","退回補件",IF(COUNTIFS($A$7:$A$126,$A30)&gt;1,"規則編號重複",IF(OR($A30="",$B30="",$D30="",$E30="",$F30="",$G30="",$H30="",$I30="",$K30=""),IF($J30="已核定","已核定但資料未完整","待補欄位或核定"),IF(OR($N30="",$O30=""),IF($J30="已核定","已核定但缺來源依據","待補來源依據"),IF($J30="已核定","可發布","待主管核定")))))))</x:f>
      </x:c>
      <x:c r="N30" s="421"/>
      <x:c r="O30" s="421"/>
    </x:row>
    <x:row r="31">
      <x:c r="A31" s="170"/>
      <x:c r="B31" s="170"/>
      <x:c r="C31" s="170"/>
      <x:c r="D31" s="170"/>
      <x:c r="E31" s="170"/>
      <x:c r="F31" s="170"/>
      <x:c r="G31" s="170"/>
      <x:c r="H31" s="170"/>
      <x:c r="I31" s="171"/>
      <x:c r="J31" s="170"/>
      <x:c r="K31" s="170"/>
      <x:c r="L31" s="170"/>
      <x:c r="M31" s="235" t="str">
        <x:f>IF($C31="","",IF($J31="停用","停用",IF($J31="退回補件","退回補件",IF(COUNTIFS($A$7:$A$126,$A31)&gt;1,"規則編號重複",IF(OR($A31="",$B31="",$D31="",$E31="",$F31="",$G31="",$H31="",$I31="",$K31=""),IF($J31="已核定","已核定但資料未完整","待補欄位或核定"),IF(OR($N31="",$O31=""),IF($J31="已核定","已核定但缺來源依據","待補來源依據"),IF($J31="已核定","可發布","待主管核定")))))))</x:f>
      </x:c>
      <x:c r="N31" s="421"/>
      <x:c r="O31" s="421"/>
    </x:row>
    <x:row r="32">
      <x:c r="A32" s="170"/>
      <x:c r="B32" s="170"/>
      <x:c r="C32" s="170"/>
      <x:c r="D32" s="170"/>
      <x:c r="E32" s="170"/>
      <x:c r="F32" s="170"/>
      <x:c r="G32" s="170"/>
      <x:c r="H32" s="170"/>
      <x:c r="I32" s="171"/>
      <x:c r="J32" s="170"/>
      <x:c r="K32" s="170"/>
      <x:c r="L32" s="170"/>
      <x:c r="M32" s="235" t="str">
        <x:f>IF($C32="","",IF($J32="停用","停用",IF($J32="退回補件","退回補件",IF(COUNTIFS($A$7:$A$126,$A32)&gt;1,"規則編號重複",IF(OR($A32="",$B32="",$D32="",$E32="",$F32="",$G32="",$H32="",$I32="",$K32=""),IF($J32="已核定","已核定但資料未完整","待補欄位或核定"),IF(OR($N32="",$O32=""),IF($J32="已核定","已核定但缺來源依據","待補來源依據"),IF($J32="已核定","可發布","待主管核定")))))))</x:f>
      </x:c>
      <x:c r="N32" s="421"/>
      <x:c r="O32" s="421"/>
    </x:row>
    <x:row r="33">
      <x:c r="A33" s="170"/>
      <x:c r="B33" s="170"/>
      <x:c r="C33" s="170"/>
      <x:c r="D33" s="170"/>
      <x:c r="E33" s="170"/>
      <x:c r="F33" s="170"/>
      <x:c r="G33" s="170"/>
      <x:c r="H33" s="170"/>
      <x:c r="I33" s="171"/>
      <x:c r="J33" s="170"/>
      <x:c r="K33" s="170"/>
      <x:c r="L33" s="170"/>
      <x:c r="M33" s="235" t="str">
        <x:f>IF($C33="","",IF($J33="停用","停用",IF($J33="退回補件","退回補件",IF(COUNTIFS($A$7:$A$126,$A33)&gt;1,"規則編號重複",IF(OR($A33="",$B33="",$D33="",$E33="",$F33="",$G33="",$H33="",$I33="",$K33=""),IF($J33="已核定","已核定但資料未完整","待補欄位或核定"),IF(OR($N33="",$O33=""),IF($J33="已核定","已核定但缺來源依據","待補來源依據"),IF($J33="已核定","可發布","待主管核定")))))))</x:f>
      </x:c>
      <x:c r="N33" s="421"/>
      <x:c r="O33" s="421"/>
    </x:row>
    <x:row r="34">
      <x:c r="A34" s="170"/>
      <x:c r="B34" s="170"/>
      <x:c r="C34" s="170"/>
      <x:c r="D34" s="170"/>
      <x:c r="E34" s="170"/>
      <x:c r="F34" s="170"/>
      <x:c r="G34" s="170"/>
      <x:c r="H34" s="170"/>
      <x:c r="I34" s="171"/>
      <x:c r="J34" s="170"/>
      <x:c r="K34" s="170"/>
      <x:c r="L34" s="170"/>
      <x:c r="M34" s="235" t="str">
        <x:f>IF($C34="","",IF($J34="停用","停用",IF($J34="退回補件","退回補件",IF(COUNTIFS($A$7:$A$126,$A34)&gt;1,"規則編號重複",IF(OR($A34="",$B34="",$D34="",$E34="",$F34="",$G34="",$H34="",$I34="",$K34=""),IF($J34="已核定","已核定但資料未完整","待補欄位或核定"),IF(OR($N34="",$O34=""),IF($J34="已核定","已核定但缺來源依據","待補來源依據"),IF($J34="已核定","可發布","待主管核定")))))))</x:f>
      </x:c>
      <x:c r="N34" s="421"/>
      <x:c r="O34" s="421"/>
    </x:row>
    <x:row r="35">
      <x:c r="A35" s="170"/>
      <x:c r="B35" s="170"/>
      <x:c r="C35" s="170"/>
      <x:c r="D35" s="170"/>
      <x:c r="E35" s="170"/>
      <x:c r="F35" s="170"/>
      <x:c r="G35" s="170"/>
      <x:c r="H35" s="170"/>
      <x:c r="I35" s="171"/>
      <x:c r="J35" s="170"/>
      <x:c r="K35" s="170"/>
      <x:c r="L35" s="170"/>
      <x:c r="M35" s="235" t="str">
        <x:f>IF($C35="","",IF($J35="停用","停用",IF($J35="退回補件","退回補件",IF(COUNTIFS($A$7:$A$126,$A35)&gt;1,"規則編號重複",IF(OR($A35="",$B35="",$D35="",$E35="",$F35="",$G35="",$H35="",$I35="",$K35=""),IF($J35="已核定","已核定但資料未完整","待補欄位或核定"),IF(OR($N35="",$O35=""),IF($J35="已核定","已核定但缺來源依據","待補來源依據"),IF($J35="已核定","可發布","待主管核定")))))))</x:f>
      </x:c>
      <x:c r="N35" s="421"/>
      <x:c r="O35" s="421"/>
    </x:row>
    <x:row r="36">
      <x:c r="A36" s="170"/>
      <x:c r="B36" s="170"/>
      <x:c r="C36" s="170"/>
      <x:c r="D36" s="170"/>
      <x:c r="E36" s="170"/>
      <x:c r="F36" s="170"/>
      <x:c r="G36" s="170"/>
      <x:c r="H36" s="170"/>
      <x:c r="I36" s="171"/>
      <x:c r="J36" s="170"/>
      <x:c r="K36" s="170"/>
      <x:c r="L36" s="170"/>
      <x:c r="M36" s="235" t="str">
        <x:f>IF($C36="","",IF($J36="停用","停用",IF($J36="退回補件","退回補件",IF(COUNTIFS($A$7:$A$126,$A36)&gt;1,"規則編號重複",IF(OR($A36="",$B36="",$D36="",$E36="",$F36="",$G36="",$H36="",$I36="",$K36=""),IF($J36="已核定","已核定但資料未完整","待補欄位或核定"),IF(OR($N36="",$O36=""),IF($J36="已核定","已核定但缺來源依據","待補來源依據"),IF($J36="已核定","可發布","待主管核定")))))))</x:f>
      </x:c>
      <x:c r="N36" s="421"/>
      <x:c r="O36" s="421"/>
    </x:row>
    <x:row r="37">
      <x:c r="A37" s="170"/>
      <x:c r="B37" s="170"/>
      <x:c r="C37" s="170"/>
      <x:c r="D37" s="170"/>
      <x:c r="E37" s="170"/>
      <x:c r="F37" s="170"/>
      <x:c r="G37" s="170"/>
      <x:c r="H37" s="170"/>
      <x:c r="I37" s="171"/>
      <x:c r="J37" s="170"/>
      <x:c r="K37" s="170"/>
      <x:c r="L37" s="170"/>
      <x:c r="M37" s="235" t="str">
        <x:f>IF($C37="","",IF($J37="停用","停用",IF($J37="退回補件","退回補件",IF(COUNTIFS($A$7:$A$126,$A37)&gt;1,"規則編號重複",IF(OR($A37="",$B37="",$D37="",$E37="",$F37="",$G37="",$H37="",$I37="",$K37=""),IF($J37="已核定","已核定但資料未完整","待補欄位或核定"),IF(OR($N37="",$O37=""),IF($J37="已核定","已核定但缺來源依據","待補來源依據"),IF($J37="已核定","可發布","待主管核定")))))))</x:f>
      </x:c>
      <x:c r="N37" s="421"/>
      <x:c r="O37" s="421"/>
    </x:row>
    <x:row r="38">
      <x:c r="A38" s="170"/>
      <x:c r="B38" s="170"/>
      <x:c r="C38" s="170"/>
      <x:c r="D38" s="170"/>
      <x:c r="E38" s="170"/>
      <x:c r="F38" s="170"/>
      <x:c r="G38" s="170"/>
      <x:c r="H38" s="170"/>
      <x:c r="I38" s="171"/>
      <x:c r="J38" s="170"/>
      <x:c r="K38" s="170"/>
      <x:c r="L38" s="170"/>
      <x:c r="M38" s="235" t="str">
        <x:f>IF($C38="","",IF($J38="停用","停用",IF($J38="退回補件","退回補件",IF(COUNTIFS($A$7:$A$126,$A38)&gt;1,"規則編號重複",IF(OR($A38="",$B38="",$D38="",$E38="",$F38="",$G38="",$H38="",$I38="",$K38=""),IF($J38="已核定","已核定但資料未完整","待補欄位或核定"),IF(OR($N38="",$O38=""),IF($J38="已核定","已核定但缺來源依據","待補來源依據"),IF($J38="已核定","可發布","待主管核定")))))))</x:f>
      </x:c>
      <x:c r="N38" s="421"/>
      <x:c r="O38" s="421"/>
    </x:row>
    <x:row r="39">
      <x:c r="A39" s="170"/>
      <x:c r="B39" s="170"/>
      <x:c r="C39" s="170"/>
      <x:c r="D39" s="170"/>
      <x:c r="E39" s="170"/>
      <x:c r="F39" s="170"/>
      <x:c r="G39" s="170"/>
      <x:c r="H39" s="170"/>
      <x:c r="I39" s="171"/>
      <x:c r="J39" s="170"/>
      <x:c r="K39" s="170"/>
      <x:c r="L39" s="170"/>
      <x:c r="M39" s="235" t="str">
        <x:f>IF($C39="","",IF($J39="停用","停用",IF($J39="退回補件","退回補件",IF(COUNTIFS($A$7:$A$126,$A39)&gt;1,"規則編號重複",IF(OR($A39="",$B39="",$D39="",$E39="",$F39="",$G39="",$H39="",$I39="",$K39=""),IF($J39="已核定","已核定但資料未完整","待補欄位或核定"),IF(OR($N39="",$O39=""),IF($J39="已核定","已核定但缺來源依據","待補來源依據"),IF($J39="已核定","可發布","待主管核定")))))))</x:f>
      </x:c>
      <x:c r="N39" s="421"/>
      <x:c r="O39" s="421"/>
    </x:row>
    <x:row r="40">
      <x:c r="A40" s="170"/>
      <x:c r="B40" s="170"/>
      <x:c r="C40" s="170"/>
      <x:c r="D40" s="170"/>
      <x:c r="E40" s="170"/>
      <x:c r="F40" s="170"/>
      <x:c r="G40" s="170"/>
      <x:c r="H40" s="170"/>
      <x:c r="I40" s="171"/>
      <x:c r="J40" s="170"/>
      <x:c r="K40" s="170"/>
      <x:c r="L40" s="170"/>
      <x:c r="M40" s="235" t="str">
        <x:f>IF($C40="","",IF($J40="停用","停用",IF($J40="退回補件","退回補件",IF(COUNTIFS($A$7:$A$126,$A40)&gt;1,"規則編號重複",IF(OR($A40="",$B40="",$D40="",$E40="",$F40="",$G40="",$H40="",$I40="",$K40=""),IF($J40="已核定","已核定但資料未完整","待補欄位或核定"),IF(OR($N40="",$O40=""),IF($J40="已核定","已核定但缺來源依據","待補來源依據"),IF($J40="已核定","可發布","待主管核定")))))))</x:f>
      </x:c>
      <x:c r="N40" s="421"/>
      <x:c r="O40" s="421"/>
    </x:row>
    <x:row r="41">
      <x:c r="A41" s="170"/>
      <x:c r="B41" s="170"/>
      <x:c r="C41" s="170"/>
      <x:c r="D41" s="170"/>
      <x:c r="E41" s="170"/>
      <x:c r="F41" s="170"/>
      <x:c r="G41" s="170"/>
      <x:c r="H41" s="170"/>
      <x:c r="I41" s="171"/>
      <x:c r="J41" s="170"/>
      <x:c r="K41" s="170"/>
      <x:c r="L41" s="170"/>
      <x:c r="M41" s="235" t="str">
        <x:f>IF($C41="","",IF($J41="停用","停用",IF($J41="退回補件","退回補件",IF(COUNTIFS($A$7:$A$126,$A41)&gt;1,"規則編號重複",IF(OR($A41="",$B41="",$D41="",$E41="",$F41="",$G41="",$H41="",$I41="",$K41=""),IF($J41="已核定","已核定但資料未完整","待補欄位或核定"),IF(OR($N41="",$O41=""),IF($J41="已核定","已核定但缺來源依據","待補來源依據"),IF($J41="已核定","可發布","待主管核定")))))))</x:f>
      </x:c>
      <x:c r="N41" s="421"/>
      <x:c r="O41" s="421"/>
    </x:row>
    <x:row r="42">
      <x:c r="A42" s="170"/>
      <x:c r="B42" s="170"/>
      <x:c r="C42" s="170"/>
      <x:c r="D42" s="170"/>
      <x:c r="E42" s="170"/>
      <x:c r="F42" s="170"/>
      <x:c r="G42" s="170"/>
      <x:c r="H42" s="170"/>
      <x:c r="I42" s="171"/>
      <x:c r="J42" s="170"/>
      <x:c r="K42" s="170"/>
      <x:c r="L42" s="170"/>
      <x:c r="M42" s="235" t="str">
        <x:f>IF($C42="","",IF($J42="停用","停用",IF($J42="退回補件","退回補件",IF(COUNTIFS($A$7:$A$126,$A42)&gt;1,"規則編號重複",IF(OR($A42="",$B42="",$D42="",$E42="",$F42="",$G42="",$H42="",$I42="",$K42=""),IF($J42="已核定","已核定但資料未完整","待補欄位或核定"),IF(OR($N42="",$O42=""),IF($J42="已核定","已核定但缺來源依據","待補來源依據"),IF($J42="已核定","可發布","待主管核定")))))))</x:f>
      </x:c>
      <x:c r="N42" s="421"/>
      <x:c r="O42" s="421"/>
    </x:row>
    <x:row r="43">
      <x:c r="A43" s="170"/>
      <x:c r="B43" s="170"/>
      <x:c r="C43" s="170"/>
      <x:c r="D43" s="170"/>
      <x:c r="E43" s="170"/>
      <x:c r="F43" s="170"/>
      <x:c r="G43" s="170"/>
      <x:c r="H43" s="170"/>
      <x:c r="I43" s="171"/>
      <x:c r="J43" s="170"/>
      <x:c r="K43" s="170"/>
      <x:c r="L43" s="170"/>
      <x:c r="M43" s="235" t="str">
        <x:f>IF($C43="","",IF($J43="停用","停用",IF($J43="退回補件","退回補件",IF(COUNTIFS($A$7:$A$126,$A43)&gt;1,"規則編號重複",IF(OR($A43="",$B43="",$D43="",$E43="",$F43="",$G43="",$H43="",$I43="",$K43=""),IF($J43="已核定","已核定但資料未完整","待補欄位或核定"),IF(OR($N43="",$O43=""),IF($J43="已核定","已核定但缺來源依據","待補來源依據"),IF($J43="已核定","可發布","待主管核定")))))))</x:f>
      </x:c>
      <x:c r="N43" s="421"/>
      <x:c r="O43" s="421"/>
    </x:row>
    <x:row r="44">
      <x:c r="A44" s="170"/>
      <x:c r="B44" s="170"/>
      <x:c r="C44" s="170"/>
      <x:c r="D44" s="170"/>
      <x:c r="E44" s="170"/>
      <x:c r="F44" s="170"/>
      <x:c r="G44" s="170"/>
      <x:c r="H44" s="170"/>
      <x:c r="I44" s="171"/>
      <x:c r="J44" s="170"/>
      <x:c r="K44" s="170"/>
      <x:c r="L44" s="170"/>
      <x:c r="M44" s="235" t="str">
        <x:f>IF($C44="","",IF($J44="停用","停用",IF($J44="退回補件","退回補件",IF(COUNTIFS($A$7:$A$126,$A44)&gt;1,"規則編號重複",IF(OR($A44="",$B44="",$D44="",$E44="",$F44="",$G44="",$H44="",$I44="",$K44=""),IF($J44="已核定","已核定但資料未完整","待補欄位或核定"),IF(OR($N44="",$O44=""),IF($J44="已核定","已核定但缺來源依據","待補來源依據"),IF($J44="已核定","可發布","待主管核定")))))))</x:f>
      </x:c>
      <x:c r="N44" s="421"/>
      <x:c r="O44" s="421"/>
    </x:row>
    <x:row r="45">
      <x:c r="A45" s="170"/>
      <x:c r="B45" s="170"/>
      <x:c r="C45" s="170"/>
      <x:c r="D45" s="170"/>
      <x:c r="E45" s="170"/>
      <x:c r="F45" s="170"/>
      <x:c r="G45" s="170"/>
      <x:c r="H45" s="170"/>
      <x:c r="I45" s="171"/>
      <x:c r="J45" s="170"/>
      <x:c r="K45" s="170"/>
      <x:c r="L45" s="170"/>
      <x:c r="M45" s="235" t="str">
        <x:f>IF($C45="","",IF($J45="停用","停用",IF($J45="退回補件","退回補件",IF(COUNTIFS($A$7:$A$126,$A45)&gt;1,"規則編號重複",IF(OR($A45="",$B45="",$D45="",$E45="",$F45="",$G45="",$H45="",$I45="",$K45=""),IF($J45="已核定","已核定但資料未完整","待補欄位或核定"),IF(OR($N45="",$O45=""),IF($J45="已核定","已核定但缺來源依據","待補來源依據"),IF($J45="已核定","可發布","待主管核定")))))))</x:f>
      </x:c>
      <x:c r="N45" s="421"/>
      <x:c r="O45" s="421"/>
    </x:row>
    <x:row r="46">
      <x:c r="A46" s="170"/>
      <x:c r="B46" s="170"/>
      <x:c r="C46" s="170"/>
      <x:c r="D46" s="170"/>
      <x:c r="E46" s="170"/>
      <x:c r="F46" s="170"/>
      <x:c r="G46" s="170"/>
      <x:c r="H46" s="170"/>
      <x:c r="I46" s="171"/>
      <x:c r="J46" s="170"/>
      <x:c r="K46" s="170"/>
      <x:c r="L46" s="170"/>
      <x:c r="M46" s="235" t="str">
        <x:f>IF($C46="","",IF($J46="停用","停用",IF($J46="退回補件","退回補件",IF(COUNTIFS($A$7:$A$126,$A46)&gt;1,"規則編號重複",IF(OR($A46="",$B46="",$D46="",$E46="",$F46="",$G46="",$H46="",$I46="",$K46=""),IF($J46="已核定","已核定但資料未完整","待補欄位或核定"),IF(OR($N46="",$O46=""),IF($J46="已核定","已核定但缺來源依據","待補來源依據"),IF($J46="已核定","可發布","待主管核定")))))))</x:f>
      </x:c>
      <x:c r="N46" s="421"/>
      <x:c r="O46" s="421"/>
    </x:row>
    <x:row r="47">
      <x:c r="A47" s="170"/>
      <x:c r="B47" s="170"/>
      <x:c r="C47" s="170"/>
      <x:c r="D47" s="170"/>
      <x:c r="E47" s="170"/>
      <x:c r="F47" s="170"/>
      <x:c r="G47" s="170"/>
      <x:c r="H47" s="170"/>
      <x:c r="I47" s="171"/>
      <x:c r="J47" s="170"/>
      <x:c r="K47" s="170"/>
      <x:c r="L47" s="170"/>
      <x:c r="M47" s="235" t="str">
        <x:f>IF($C47="","",IF($J47="停用","停用",IF($J47="退回補件","退回補件",IF(COUNTIFS($A$7:$A$126,$A47)&gt;1,"規則編號重複",IF(OR($A47="",$B47="",$D47="",$E47="",$F47="",$G47="",$H47="",$I47="",$K47=""),IF($J47="已核定","已核定但資料未完整","待補欄位或核定"),IF(OR($N47="",$O47=""),IF($J47="已核定","已核定但缺來源依據","待補來源依據"),IF($J47="已核定","可發布","待主管核定")))))))</x:f>
      </x:c>
      <x:c r="N47" s="421"/>
      <x:c r="O47" s="421"/>
    </x:row>
    <x:row r="48">
      <x:c r="A48" s="170"/>
      <x:c r="B48" s="170"/>
      <x:c r="C48" s="170"/>
      <x:c r="D48" s="170"/>
      <x:c r="E48" s="170"/>
      <x:c r="F48" s="170"/>
      <x:c r="G48" s="170"/>
      <x:c r="H48" s="170"/>
      <x:c r="I48" s="171"/>
      <x:c r="J48" s="170"/>
      <x:c r="K48" s="170"/>
      <x:c r="L48" s="170"/>
      <x:c r="M48" s="235" t="str">
        <x:f>IF($C48="","",IF($J48="停用","停用",IF($J48="退回補件","退回補件",IF(COUNTIFS($A$7:$A$126,$A48)&gt;1,"規則編號重複",IF(OR($A48="",$B48="",$D48="",$E48="",$F48="",$G48="",$H48="",$I48="",$K48=""),IF($J48="已核定","已核定但資料未完整","待補欄位或核定"),IF(OR($N48="",$O48=""),IF($J48="已核定","已核定但缺來源依據","待補來源依據"),IF($J48="已核定","可發布","待主管核定")))))))</x:f>
      </x:c>
      <x:c r="N48" s="421"/>
      <x:c r="O48" s="421"/>
    </x:row>
    <x:row r="49">
      <x:c r="A49" s="170"/>
      <x:c r="B49" s="170"/>
      <x:c r="C49" s="170"/>
      <x:c r="D49" s="170"/>
      <x:c r="E49" s="170"/>
      <x:c r="F49" s="170"/>
      <x:c r="G49" s="170"/>
      <x:c r="H49" s="170"/>
      <x:c r="I49" s="171"/>
      <x:c r="J49" s="170"/>
      <x:c r="K49" s="170"/>
      <x:c r="L49" s="170"/>
      <x:c r="M49" s="235" t="str">
        <x:f>IF($C49="","",IF($J49="停用","停用",IF($J49="退回補件","退回補件",IF(COUNTIFS($A$7:$A$126,$A49)&gt;1,"規則編號重複",IF(OR($A49="",$B49="",$D49="",$E49="",$F49="",$G49="",$H49="",$I49="",$K49=""),IF($J49="已核定","已核定但資料未完整","待補欄位或核定"),IF(OR($N49="",$O49=""),IF($J49="已核定","已核定但缺來源依據","待補來源依據"),IF($J49="已核定","可發布","待主管核定")))))))</x:f>
      </x:c>
      <x:c r="N49" s="421"/>
      <x:c r="O49" s="421"/>
    </x:row>
    <x:row r="50">
      <x:c r="A50" s="170"/>
      <x:c r="B50" s="170"/>
      <x:c r="C50" s="170"/>
      <x:c r="D50" s="170"/>
      <x:c r="E50" s="170"/>
      <x:c r="F50" s="170"/>
      <x:c r="G50" s="170"/>
      <x:c r="H50" s="170"/>
      <x:c r="I50" s="171"/>
      <x:c r="J50" s="170"/>
      <x:c r="K50" s="170"/>
      <x:c r="L50" s="170"/>
      <x:c r="M50" s="235" t="str">
        <x:f>IF($C50="","",IF($J50="停用","停用",IF($J50="退回補件","退回補件",IF(COUNTIFS($A$7:$A$126,$A50)&gt;1,"規則編號重複",IF(OR($A50="",$B50="",$D50="",$E50="",$F50="",$G50="",$H50="",$I50="",$K50=""),IF($J50="已核定","已核定但資料未完整","待補欄位或核定"),IF(OR($N50="",$O50=""),IF($J50="已核定","已核定但缺來源依據","待補來源依據"),IF($J50="已核定","可發布","待主管核定")))))))</x:f>
      </x:c>
      <x:c r="N50" s="421"/>
      <x:c r="O50" s="421"/>
    </x:row>
    <x:row r="51">
      <x:c r="A51" s="170"/>
      <x:c r="B51" s="170"/>
      <x:c r="C51" s="170"/>
      <x:c r="D51" s="170"/>
      <x:c r="E51" s="170"/>
      <x:c r="F51" s="170"/>
      <x:c r="G51" s="170"/>
      <x:c r="H51" s="170"/>
      <x:c r="I51" s="171"/>
      <x:c r="J51" s="170"/>
      <x:c r="K51" s="170"/>
      <x:c r="L51" s="170"/>
      <x:c r="M51" s="235" t="str">
        <x:f>IF($C51="","",IF($J51="停用","停用",IF($J51="退回補件","退回補件",IF(COUNTIFS($A$7:$A$126,$A51)&gt;1,"規則編號重複",IF(OR($A51="",$B51="",$D51="",$E51="",$F51="",$G51="",$H51="",$I51="",$K51=""),IF($J51="已核定","已核定但資料未完整","待補欄位或核定"),IF(OR($N51="",$O51=""),IF($J51="已核定","已核定但缺來源依據","待補來源依據"),IF($J51="已核定","可發布","待主管核定")))))))</x:f>
      </x:c>
      <x:c r="N51" s="421"/>
      <x:c r="O51" s="421"/>
    </x:row>
    <x:row r="52">
      <x:c r="A52" s="170"/>
      <x:c r="B52" s="170"/>
      <x:c r="C52" s="170"/>
      <x:c r="D52" s="170"/>
      <x:c r="E52" s="170"/>
      <x:c r="F52" s="170"/>
      <x:c r="G52" s="170"/>
      <x:c r="H52" s="170"/>
      <x:c r="I52" s="171"/>
      <x:c r="J52" s="170"/>
      <x:c r="K52" s="170"/>
      <x:c r="L52" s="170"/>
      <x:c r="M52" s="235" t="str">
        <x:f>IF($C52="","",IF($J52="停用","停用",IF($J52="退回補件","退回補件",IF(COUNTIFS($A$7:$A$126,$A52)&gt;1,"規則編號重複",IF(OR($A52="",$B52="",$D52="",$E52="",$F52="",$G52="",$H52="",$I52="",$K52=""),IF($J52="已核定","已核定但資料未完整","待補欄位或核定"),IF(OR($N52="",$O52=""),IF($J52="已核定","已核定但缺來源依據","待補來源依據"),IF($J52="已核定","可發布","待主管核定")))))))</x:f>
      </x:c>
      <x:c r="N52" s="421"/>
      <x:c r="O52" s="421"/>
    </x:row>
    <x:row r="53">
      <x:c r="A53" s="170"/>
      <x:c r="B53" s="170"/>
      <x:c r="C53" s="170"/>
      <x:c r="D53" s="170"/>
      <x:c r="E53" s="170"/>
      <x:c r="F53" s="170"/>
      <x:c r="G53" s="170"/>
      <x:c r="H53" s="170"/>
      <x:c r="I53" s="171"/>
      <x:c r="J53" s="170"/>
      <x:c r="K53" s="170"/>
      <x:c r="L53" s="170"/>
      <x:c r="M53" s="235" t="str">
        <x:f>IF($C53="","",IF($J53="停用","停用",IF($J53="退回補件","退回補件",IF(COUNTIFS($A$7:$A$126,$A53)&gt;1,"規則編號重複",IF(OR($A53="",$B53="",$D53="",$E53="",$F53="",$G53="",$H53="",$I53="",$K53=""),IF($J53="已核定","已核定但資料未完整","待補欄位或核定"),IF(OR($N53="",$O53=""),IF($J53="已核定","已核定但缺來源依據","待補來源依據"),IF($J53="已核定","可發布","待主管核定")))))))</x:f>
      </x:c>
      <x:c r="N53" s="421"/>
      <x:c r="O53" s="421"/>
    </x:row>
    <x:row r="54">
      <x:c r="A54" s="170"/>
      <x:c r="B54" s="170"/>
      <x:c r="C54" s="170"/>
      <x:c r="D54" s="170"/>
      <x:c r="E54" s="170"/>
      <x:c r="F54" s="170"/>
      <x:c r="G54" s="170"/>
      <x:c r="H54" s="170"/>
      <x:c r="I54" s="171"/>
      <x:c r="J54" s="170"/>
      <x:c r="K54" s="170"/>
      <x:c r="L54" s="170"/>
      <x:c r="M54" s="235" t="str">
        <x:f>IF($C54="","",IF($J54="停用","停用",IF($J54="退回補件","退回補件",IF(COUNTIFS($A$7:$A$126,$A54)&gt;1,"規則編號重複",IF(OR($A54="",$B54="",$D54="",$E54="",$F54="",$G54="",$H54="",$I54="",$K54=""),IF($J54="已核定","已核定但資料未完整","待補欄位或核定"),IF(OR($N54="",$O54=""),IF($J54="已核定","已核定但缺來源依據","待補來源依據"),IF($J54="已核定","可發布","待主管核定")))))))</x:f>
      </x:c>
      <x:c r="N54" s="421"/>
      <x:c r="O54" s="421"/>
    </x:row>
    <x:row r="55">
      <x:c r="A55" s="170"/>
      <x:c r="B55" s="170"/>
      <x:c r="C55" s="170"/>
      <x:c r="D55" s="170"/>
      <x:c r="E55" s="170"/>
      <x:c r="F55" s="170"/>
      <x:c r="G55" s="170"/>
      <x:c r="H55" s="170"/>
      <x:c r="I55" s="171"/>
      <x:c r="J55" s="170"/>
      <x:c r="K55" s="170"/>
      <x:c r="L55" s="170"/>
      <x:c r="M55" s="235" t="str">
        <x:f>IF($C55="","",IF($J55="停用","停用",IF($J55="退回補件","退回補件",IF(COUNTIFS($A$7:$A$126,$A55)&gt;1,"規則編號重複",IF(OR($A55="",$B55="",$D55="",$E55="",$F55="",$G55="",$H55="",$I55="",$K55=""),IF($J55="已核定","已核定但資料未完整","待補欄位或核定"),IF(OR($N55="",$O55=""),IF($J55="已核定","已核定但缺來源依據","待補來源依據"),IF($J55="已核定","可發布","待主管核定")))))))</x:f>
      </x:c>
      <x:c r="N55" s="421"/>
      <x:c r="O55" s="421"/>
    </x:row>
    <x:row r="56">
      <x:c r="A56" s="170"/>
      <x:c r="B56" s="170"/>
      <x:c r="C56" s="170"/>
      <x:c r="D56" s="170"/>
      <x:c r="E56" s="170"/>
      <x:c r="F56" s="170"/>
      <x:c r="G56" s="170"/>
      <x:c r="H56" s="170"/>
      <x:c r="I56" s="171"/>
      <x:c r="J56" s="170"/>
      <x:c r="K56" s="170"/>
      <x:c r="L56" s="170"/>
      <x:c r="M56" s="235" t="str">
        <x:f>IF($C56="","",IF($J56="停用","停用",IF($J56="退回補件","退回補件",IF(COUNTIFS($A$7:$A$126,$A56)&gt;1,"規則編號重複",IF(OR($A56="",$B56="",$D56="",$E56="",$F56="",$G56="",$H56="",$I56="",$K56=""),IF($J56="已核定","已核定但資料未完整","待補欄位或核定"),IF(OR($N56="",$O56=""),IF($J56="已核定","已核定但缺來源依據","待補來源依據"),IF($J56="已核定","可發布","待主管核定")))))))</x:f>
      </x:c>
      <x:c r="N56" s="421"/>
      <x:c r="O56" s="421"/>
    </x:row>
    <x:row r="57">
      <x:c r="A57" s="170"/>
      <x:c r="B57" s="170"/>
      <x:c r="C57" s="170"/>
      <x:c r="D57" s="170"/>
      <x:c r="E57" s="170"/>
      <x:c r="F57" s="170"/>
      <x:c r="G57" s="170"/>
      <x:c r="H57" s="170"/>
      <x:c r="I57" s="171"/>
      <x:c r="J57" s="170"/>
      <x:c r="K57" s="170"/>
      <x:c r="L57" s="170"/>
      <x:c r="M57" s="235" t="str">
        <x:f>IF($C57="","",IF($J57="停用","停用",IF($J57="退回補件","退回補件",IF(COUNTIFS($A$7:$A$126,$A57)&gt;1,"規則編號重複",IF(OR($A57="",$B57="",$D57="",$E57="",$F57="",$G57="",$H57="",$I57="",$K57=""),IF($J57="已核定","已核定但資料未完整","待補欄位或核定"),IF(OR($N57="",$O57=""),IF($J57="已核定","已核定但缺來源依據","待補來源依據"),IF($J57="已核定","可發布","待主管核定")))))))</x:f>
      </x:c>
      <x:c r="N57" s="421"/>
      <x:c r="O57" s="421"/>
    </x:row>
    <x:row r="58">
      <x:c r="A58" s="170"/>
      <x:c r="B58" s="170"/>
      <x:c r="C58" s="170"/>
      <x:c r="D58" s="170"/>
      <x:c r="E58" s="170"/>
      <x:c r="F58" s="170"/>
      <x:c r="G58" s="170"/>
      <x:c r="H58" s="170"/>
      <x:c r="I58" s="171"/>
      <x:c r="J58" s="170"/>
      <x:c r="K58" s="170"/>
      <x:c r="L58" s="170"/>
      <x:c r="M58" s="235" t="str">
        <x:f>IF($C58="","",IF($J58="停用","停用",IF($J58="退回補件","退回補件",IF(COUNTIFS($A$7:$A$126,$A58)&gt;1,"規則編號重複",IF(OR($A58="",$B58="",$D58="",$E58="",$F58="",$G58="",$H58="",$I58="",$K58=""),IF($J58="已核定","已核定但資料未完整","待補欄位或核定"),IF(OR($N58="",$O58=""),IF($J58="已核定","已核定但缺來源依據","待補來源依據"),IF($J58="已核定","可發布","待主管核定")))))))</x:f>
      </x:c>
      <x:c r="N58" s="421"/>
      <x:c r="O58" s="421"/>
    </x:row>
    <x:row r="59">
      <x:c r="A59" s="170"/>
      <x:c r="B59" s="170"/>
      <x:c r="C59" s="170"/>
      <x:c r="D59" s="170"/>
      <x:c r="E59" s="170"/>
      <x:c r="F59" s="170"/>
      <x:c r="G59" s="170"/>
      <x:c r="H59" s="170"/>
      <x:c r="I59" s="171"/>
      <x:c r="J59" s="170"/>
      <x:c r="K59" s="170"/>
      <x:c r="L59" s="170"/>
      <x:c r="M59" s="235" t="str">
        <x:f>IF($C59="","",IF($J59="停用","停用",IF($J59="退回補件","退回補件",IF(COUNTIFS($A$7:$A$126,$A59)&gt;1,"規則編號重複",IF(OR($A59="",$B59="",$D59="",$E59="",$F59="",$G59="",$H59="",$I59="",$K59=""),IF($J59="已核定","已核定但資料未完整","待補欄位或核定"),IF(OR($N59="",$O59=""),IF($J59="已核定","已核定但缺來源依據","待補來源依據"),IF($J59="已核定","可發布","待主管核定")))))))</x:f>
      </x:c>
      <x:c r="N59" s="421"/>
      <x:c r="O59" s="421"/>
    </x:row>
    <x:row r="60">
      <x:c r="A60" s="170"/>
      <x:c r="B60" s="170"/>
      <x:c r="C60" s="170"/>
      <x:c r="D60" s="170"/>
      <x:c r="E60" s="170"/>
      <x:c r="F60" s="170"/>
      <x:c r="G60" s="170"/>
      <x:c r="H60" s="170"/>
      <x:c r="I60" s="171"/>
      <x:c r="J60" s="170"/>
      <x:c r="K60" s="170"/>
      <x:c r="L60" s="170"/>
      <x:c r="M60" s="235" t="str">
        <x:f>IF($C60="","",IF($J60="停用","停用",IF($J60="退回補件","退回補件",IF(COUNTIFS($A$7:$A$126,$A60)&gt;1,"規則編號重複",IF(OR($A60="",$B60="",$D60="",$E60="",$F60="",$G60="",$H60="",$I60="",$K60=""),IF($J60="已核定","已核定但資料未完整","待補欄位或核定"),IF(OR($N60="",$O60=""),IF($J60="已核定","已核定但缺來源依據","待補來源依據"),IF($J60="已核定","可發布","待主管核定")))))))</x:f>
      </x:c>
      <x:c r="N60" s="421"/>
      <x:c r="O60" s="421"/>
    </x:row>
    <x:row r="61">
      <x:c r="A61" s="170"/>
      <x:c r="B61" s="170"/>
      <x:c r="C61" s="170"/>
      <x:c r="D61" s="170"/>
      <x:c r="E61" s="170"/>
      <x:c r="F61" s="170"/>
      <x:c r="G61" s="170"/>
      <x:c r="H61" s="170"/>
      <x:c r="I61" s="171"/>
      <x:c r="J61" s="170"/>
      <x:c r="K61" s="170"/>
      <x:c r="L61" s="170"/>
      <x:c r="M61" s="235" t="str">
        <x:f>IF($C61="","",IF($J61="停用","停用",IF($J61="退回補件","退回補件",IF(COUNTIFS($A$7:$A$126,$A61)&gt;1,"規則編號重複",IF(OR($A61="",$B61="",$D61="",$E61="",$F61="",$G61="",$H61="",$I61="",$K61=""),IF($J61="已核定","已核定但資料未完整","待補欄位或核定"),IF(OR($N61="",$O61=""),IF($J61="已核定","已核定但缺來源依據","待補來源依據"),IF($J61="已核定","可發布","待主管核定")))))))</x:f>
      </x:c>
      <x:c r="N61" s="421"/>
      <x:c r="O61" s="421"/>
    </x:row>
    <x:row r="62">
      <x:c r="A62" s="170"/>
      <x:c r="B62" s="170"/>
      <x:c r="C62" s="170"/>
      <x:c r="D62" s="170"/>
      <x:c r="E62" s="170"/>
      <x:c r="F62" s="170"/>
      <x:c r="G62" s="170"/>
      <x:c r="H62" s="170"/>
      <x:c r="I62" s="171"/>
      <x:c r="J62" s="170"/>
      <x:c r="K62" s="170"/>
      <x:c r="L62" s="170"/>
      <x:c r="M62" s="235" t="str">
        <x:f>IF($C62="","",IF($J62="停用","停用",IF($J62="退回補件","退回補件",IF(COUNTIFS($A$7:$A$126,$A62)&gt;1,"規則編號重複",IF(OR($A62="",$B62="",$D62="",$E62="",$F62="",$G62="",$H62="",$I62="",$K62=""),IF($J62="已核定","已核定但資料未完整","待補欄位或核定"),IF(OR($N62="",$O62=""),IF($J62="已核定","已核定但缺來源依據","待補來源依據"),IF($J62="已核定","可發布","待主管核定")))))))</x:f>
      </x:c>
      <x:c r="N62" s="421"/>
      <x:c r="O62" s="421"/>
    </x:row>
    <x:row r="63">
      <x:c r="A63" s="170"/>
      <x:c r="B63" s="170"/>
      <x:c r="C63" s="170"/>
      <x:c r="D63" s="170"/>
      <x:c r="E63" s="170"/>
      <x:c r="F63" s="170"/>
      <x:c r="G63" s="170"/>
      <x:c r="H63" s="170"/>
      <x:c r="I63" s="171"/>
      <x:c r="J63" s="170"/>
      <x:c r="K63" s="170"/>
      <x:c r="L63" s="170"/>
      <x:c r="M63" s="235" t="str">
        <x:f>IF($C63="","",IF($J63="停用","停用",IF($J63="退回補件","退回補件",IF(COUNTIFS($A$7:$A$126,$A63)&gt;1,"規則編號重複",IF(OR($A63="",$B63="",$D63="",$E63="",$F63="",$G63="",$H63="",$I63="",$K63=""),IF($J63="已核定","已核定但資料未完整","待補欄位或核定"),IF(OR($N63="",$O63=""),IF($J63="已核定","已核定但缺來源依據","待補來源依據"),IF($J63="已核定","可發布","待主管核定")))))))</x:f>
      </x:c>
      <x:c r="N63" s="421"/>
      <x:c r="O63" s="421"/>
    </x:row>
    <x:row r="64">
      <x:c r="A64" s="170"/>
      <x:c r="B64" s="170"/>
      <x:c r="C64" s="170"/>
      <x:c r="D64" s="170"/>
      <x:c r="E64" s="170"/>
      <x:c r="F64" s="170"/>
      <x:c r="G64" s="170"/>
      <x:c r="H64" s="170"/>
      <x:c r="I64" s="171"/>
      <x:c r="J64" s="170"/>
      <x:c r="K64" s="170"/>
      <x:c r="L64" s="170"/>
      <x:c r="M64" s="235" t="str">
        <x:f>IF($C64="","",IF($J64="停用","停用",IF($J64="退回補件","退回補件",IF(COUNTIFS($A$7:$A$126,$A64)&gt;1,"規則編號重複",IF(OR($A64="",$B64="",$D64="",$E64="",$F64="",$G64="",$H64="",$I64="",$K64=""),IF($J64="已核定","已核定但資料未完整","待補欄位或核定"),IF(OR($N64="",$O64=""),IF($J64="已核定","已核定但缺來源依據","待補來源依據"),IF($J64="已核定","可發布","待主管核定")))))))</x:f>
      </x:c>
      <x:c r="N64" s="421"/>
      <x:c r="O64" s="421"/>
    </x:row>
    <x:row r="65">
      <x:c r="A65" s="170"/>
      <x:c r="B65" s="170"/>
      <x:c r="C65" s="170"/>
      <x:c r="D65" s="170"/>
      <x:c r="E65" s="170"/>
      <x:c r="F65" s="170"/>
      <x:c r="G65" s="170"/>
      <x:c r="H65" s="170"/>
      <x:c r="I65" s="171"/>
      <x:c r="J65" s="170"/>
      <x:c r="K65" s="170"/>
      <x:c r="L65" s="170"/>
      <x:c r="M65" s="235" t="str">
        <x:f>IF($C65="","",IF($J65="停用","停用",IF($J65="退回補件","退回補件",IF(COUNTIFS($A$7:$A$126,$A65)&gt;1,"規則編號重複",IF(OR($A65="",$B65="",$D65="",$E65="",$F65="",$G65="",$H65="",$I65="",$K65=""),IF($J65="已核定","已核定但資料未完整","待補欄位或核定"),IF(OR($N65="",$O65=""),IF($J65="已核定","已核定但缺來源依據","待補來源依據"),IF($J65="已核定","可發布","待主管核定")))))))</x:f>
      </x:c>
      <x:c r="N65" s="421"/>
      <x:c r="O65" s="421"/>
    </x:row>
    <x:row r="66">
      <x:c r="A66" s="170"/>
      <x:c r="B66" s="170"/>
      <x:c r="C66" s="170"/>
      <x:c r="D66" s="170"/>
      <x:c r="E66" s="170"/>
      <x:c r="F66" s="170"/>
      <x:c r="G66" s="170"/>
      <x:c r="H66" s="170"/>
      <x:c r="I66" s="171"/>
      <x:c r="J66" s="170"/>
      <x:c r="K66" s="170"/>
      <x:c r="L66" s="170"/>
      <x:c r="M66" s="235" t="str">
        <x:f>IF($C66="","",IF($J66="停用","停用",IF($J66="退回補件","退回補件",IF(COUNTIFS($A$7:$A$126,$A66)&gt;1,"規則編號重複",IF(OR($A66="",$B66="",$D66="",$E66="",$F66="",$G66="",$H66="",$I66="",$K66=""),IF($J66="已核定","已核定但資料未完整","待補欄位或核定"),IF(OR($N66="",$O66=""),IF($J66="已核定","已核定但缺來源依據","待補來源依據"),IF($J66="已核定","可發布","待主管核定")))))))</x:f>
      </x:c>
      <x:c r="N66" s="421"/>
      <x:c r="O66" s="421"/>
    </x:row>
    <x:row r="67">
      <x:c r="A67" s="170"/>
      <x:c r="B67" s="170"/>
      <x:c r="C67" s="170"/>
      <x:c r="D67" s="170"/>
      <x:c r="E67" s="170"/>
      <x:c r="F67" s="170"/>
      <x:c r="G67" s="170"/>
      <x:c r="H67" s="170"/>
      <x:c r="I67" s="171"/>
      <x:c r="J67" s="170"/>
      <x:c r="K67" s="170"/>
      <x:c r="L67" s="170"/>
      <x:c r="M67" s="235" t="str">
        <x:f>IF($C67="","",IF($J67="停用","停用",IF($J67="退回補件","退回補件",IF(COUNTIFS($A$7:$A$126,$A67)&gt;1,"規則編號重複",IF(OR($A67="",$B67="",$D67="",$E67="",$F67="",$G67="",$H67="",$I67="",$K67=""),IF($J67="已核定","已核定但資料未完整","待補欄位或核定"),IF(OR($N67="",$O67=""),IF($J67="已核定","已核定但缺來源依據","待補來源依據"),IF($J67="已核定","可發布","待主管核定")))))))</x:f>
      </x:c>
      <x:c r="N67" s="421"/>
      <x:c r="O67" s="421"/>
    </x:row>
    <x:row r="68">
      <x:c r="A68" s="170"/>
      <x:c r="B68" s="170"/>
      <x:c r="C68" s="170"/>
      <x:c r="D68" s="170"/>
      <x:c r="E68" s="170"/>
      <x:c r="F68" s="170"/>
      <x:c r="G68" s="170"/>
      <x:c r="H68" s="170"/>
      <x:c r="I68" s="171"/>
      <x:c r="J68" s="170"/>
      <x:c r="K68" s="170"/>
      <x:c r="L68" s="170"/>
      <x:c r="M68" s="235" t="str">
        <x:f>IF($C68="","",IF($J68="停用","停用",IF($J68="退回補件","退回補件",IF(COUNTIFS($A$7:$A$126,$A68)&gt;1,"規則編號重複",IF(OR($A68="",$B68="",$D68="",$E68="",$F68="",$G68="",$H68="",$I68="",$K68=""),IF($J68="已核定","已核定但資料未完整","待補欄位或核定"),IF(OR($N68="",$O68=""),IF($J68="已核定","已核定但缺來源依據","待補來源依據"),IF($J68="已核定","可發布","待主管核定")))))))</x:f>
      </x:c>
      <x:c r="N68" s="421"/>
      <x:c r="O68" s="421"/>
    </x:row>
    <x:row r="69">
      <x:c r="A69" s="170"/>
      <x:c r="B69" s="170"/>
      <x:c r="C69" s="170"/>
      <x:c r="D69" s="170"/>
      <x:c r="E69" s="170"/>
      <x:c r="F69" s="170"/>
      <x:c r="G69" s="170"/>
      <x:c r="H69" s="170"/>
      <x:c r="I69" s="171"/>
      <x:c r="J69" s="170"/>
      <x:c r="K69" s="170"/>
      <x:c r="L69" s="170"/>
      <x:c r="M69" s="235" t="str">
        <x:f>IF($C69="","",IF($J69="停用","停用",IF($J69="退回補件","退回補件",IF(COUNTIFS($A$7:$A$126,$A69)&gt;1,"規則編號重複",IF(OR($A69="",$B69="",$D69="",$E69="",$F69="",$G69="",$H69="",$I69="",$K69=""),IF($J69="已核定","已核定但資料未完整","待補欄位或核定"),IF(OR($N69="",$O69=""),IF($J69="已核定","已核定但缺來源依據","待補來源依據"),IF($J69="已核定","可發布","待主管核定")))))))</x:f>
      </x:c>
      <x:c r="N69" s="421"/>
      <x:c r="O69" s="421"/>
    </x:row>
    <x:row r="70">
      <x:c r="A70" s="170"/>
      <x:c r="B70" s="170"/>
      <x:c r="C70" s="170"/>
      <x:c r="D70" s="170"/>
      <x:c r="E70" s="170"/>
      <x:c r="F70" s="170"/>
      <x:c r="G70" s="170"/>
      <x:c r="H70" s="170"/>
      <x:c r="I70" s="171"/>
      <x:c r="J70" s="170"/>
      <x:c r="K70" s="170"/>
      <x:c r="L70" s="170"/>
      <x:c r="M70" s="235" t="str">
        <x:f>IF($C70="","",IF($J70="停用","停用",IF($J70="退回補件","退回補件",IF(COUNTIFS($A$7:$A$126,$A70)&gt;1,"規則編號重複",IF(OR($A70="",$B70="",$D70="",$E70="",$F70="",$G70="",$H70="",$I70="",$K70=""),IF($J70="已核定","已核定但資料未完整","待補欄位或核定"),IF(OR($N70="",$O70=""),IF($J70="已核定","已核定但缺來源依據","待補來源依據"),IF($J70="已核定","可發布","待主管核定")))))))</x:f>
      </x:c>
      <x:c r="N70" s="421"/>
      <x:c r="O70" s="421"/>
    </x:row>
    <x:row r="71">
      <x:c r="A71" s="170"/>
      <x:c r="B71" s="170"/>
      <x:c r="C71" s="170"/>
      <x:c r="D71" s="170"/>
      <x:c r="E71" s="170"/>
      <x:c r="F71" s="170"/>
      <x:c r="G71" s="170"/>
      <x:c r="H71" s="170"/>
      <x:c r="I71" s="171"/>
      <x:c r="J71" s="170"/>
      <x:c r="K71" s="170"/>
      <x:c r="L71" s="170"/>
      <x:c r="M71" s="235" t="str">
        <x:f>IF($C71="","",IF($J71="停用","停用",IF($J71="退回補件","退回補件",IF(COUNTIFS($A$7:$A$126,$A71)&gt;1,"規則編號重複",IF(OR($A71="",$B71="",$D71="",$E71="",$F71="",$G71="",$H71="",$I71="",$K71=""),IF($J71="已核定","已核定但資料未完整","待補欄位或核定"),IF(OR($N71="",$O71=""),IF($J71="已核定","已核定但缺來源依據","待補來源依據"),IF($J71="已核定","可發布","待主管核定")))))))</x:f>
      </x:c>
      <x:c r="N71" s="421"/>
      <x:c r="O71" s="421"/>
    </x:row>
    <x:row r="72">
      <x:c r="A72" s="170"/>
      <x:c r="B72" s="170"/>
      <x:c r="C72" s="170"/>
      <x:c r="D72" s="170"/>
      <x:c r="E72" s="170"/>
      <x:c r="F72" s="170"/>
      <x:c r="G72" s="170"/>
      <x:c r="H72" s="170"/>
      <x:c r="I72" s="171"/>
      <x:c r="J72" s="170"/>
      <x:c r="K72" s="170"/>
      <x:c r="L72" s="170"/>
      <x:c r="M72" s="235" t="str">
        <x:f>IF($C72="","",IF($J72="停用","停用",IF($J72="退回補件","退回補件",IF(COUNTIFS($A$7:$A$126,$A72)&gt;1,"規則編號重複",IF(OR($A72="",$B72="",$D72="",$E72="",$F72="",$G72="",$H72="",$I72="",$K72=""),IF($J72="已核定","已核定但資料未完整","待補欄位或核定"),IF(OR($N72="",$O72=""),IF($J72="已核定","已核定但缺來源依據","待補來源依據"),IF($J72="已核定","可發布","待主管核定")))))))</x:f>
      </x:c>
      <x:c r="N72" s="421"/>
      <x:c r="O72" s="421"/>
    </x:row>
    <x:row r="73">
      <x:c r="A73" s="170"/>
      <x:c r="B73" s="170"/>
      <x:c r="C73" s="170"/>
      <x:c r="D73" s="170"/>
      <x:c r="E73" s="170"/>
      <x:c r="F73" s="170"/>
      <x:c r="G73" s="170"/>
      <x:c r="H73" s="170"/>
      <x:c r="I73" s="171"/>
      <x:c r="J73" s="170"/>
      <x:c r="K73" s="170"/>
      <x:c r="L73" s="170"/>
      <x:c r="M73" s="235" t="str">
        <x:f>IF($C73="","",IF($J73="停用","停用",IF($J73="退回補件","退回補件",IF(COUNTIFS($A$7:$A$126,$A73)&gt;1,"規則編號重複",IF(OR($A73="",$B73="",$D73="",$E73="",$F73="",$G73="",$H73="",$I73="",$K73=""),IF($J73="已核定","已核定但資料未完整","待補欄位或核定"),IF(OR($N73="",$O73=""),IF($J73="已核定","已核定但缺來源依據","待補來源依據"),IF($J73="已核定","可發布","待主管核定")))))))</x:f>
      </x:c>
      <x:c r="N73" s="421"/>
      <x:c r="O73" s="421"/>
    </x:row>
    <x:row r="74">
      <x:c r="A74" s="170"/>
      <x:c r="B74" s="170"/>
      <x:c r="C74" s="170"/>
      <x:c r="D74" s="170"/>
      <x:c r="E74" s="170"/>
      <x:c r="F74" s="170"/>
      <x:c r="G74" s="170"/>
      <x:c r="H74" s="170"/>
      <x:c r="I74" s="171"/>
      <x:c r="J74" s="170"/>
      <x:c r="K74" s="170"/>
      <x:c r="L74" s="170"/>
      <x:c r="M74" s="235" t="str">
        <x:f>IF($C74="","",IF($J74="停用","停用",IF($J74="退回補件","退回補件",IF(COUNTIFS($A$7:$A$126,$A74)&gt;1,"規則編號重複",IF(OR($A74="",$B74="",$D74="",$E74="",$F74="",$G74="",$H74="",$I74="",$K74=""),IF($J74="已核定","已核定但資料未完整","待補欄位或核定"),IF(OR($N74="",$O74=""),IF($J74="已核定","已核定但缺來源依據","待補來源依據"),IF($J74="已核定","可發布","待主管核定")))))))</x:f>
      </x:c>
      <x:c r="N74" s="421"/>
      <x:c r="O74" s="421"/>
    </x:row>
    <x:row r="75">
      <x:c r="A75" s="170"/>
      <x:c r="B75" s="170"/>
      <x:c r="C75" s="170"/>
      <x:c r="D75" s="170"/>
      <x:c r="E75" s="170"/>
      <x:c r="F75" s="170"/>
      <x:c r="G75" s="170"/>
      <x:c r="H75" s="170"/>
      <x:c r="I75" s="171"/>
      <x:c r="J75" s="170"/>
      <x:c r="K75" s="170"/>
      <x:c r="L75" s="170"/>
      <x:c r="M75" s="235" t="str">
        <x:f>IF($C75="","",IF($J75="停用","停用",IF($J75="退回補件","退回補件",IF(COUNTIFS($A$7:$A$126,$A75)&gt;1,"規則編號重複",IF(OR($A75="",$B75="",$D75="",$E75="",$F75="",$G75="",$H75="",$I75="",$K75=""),IF($J75="已核定","已核定但資料未完整","待補欄位或核定"),IF(OR($N75="",$O75=""),IF($J75="已核定","已核定但缺來源依據","待補來源依據"),IF($J75="已核定","可發布","待主管核定")))))))</x:f>
      </x:c>
      <x:c r="N75" s="421"/>
      <x:c r="O75" s="421"/>
    </x:row>
    <x:row r="76">
      <x:c r="A76" s="170"/>
      <x:c r="B76" s="170"/>
      <x:c r="C76" s="170"/>
      <x:c r="D76" s="170"/>
      <x:c r="E76" s="170"/>
      <x:c r="F76" s="170"/>
      <x:c r="G76" s="170"/>
      <x:c r="H76" s="170"/>
      <x:c r="I76" s="171"/>
      <x:c r="J76" s="170"/>
      <x:c r="K76" s="170"/>
      <x:c r="L76" s="170"/>
      <x:c r="M76" s="235" t="str">
        <x:f>IF($C76="","",IF($J76="停用","停用",IF($J76="退回補件","退回補件",IF(COUNTIFS($A$7:$A$126,$A76)&gt;1,"規則編號重複",IF(OR($A76="",$B76="",$D76="",$E76="",$F76="",$G76="",$H76="",$I76="",$K76=""),IF($J76="已核定","已核定但資料未完整","待補欄位或核定"),IF(OR($N76="",$O76=""),IF($J76="已核定","已核定但缺來源依據","待補來源依據"),IF($J76="已核定","可發布","待主管核定")))))))</x:f>
      </x:c>
      <x:c r="N76" s="421"/>
      <x:c r="O76" s="421"/>
    </x:row>
    <x:row r="77">
      <x:c r="A77" s="170"/>
      <x:c r="B77" s="170"/>
      <x:c r="C77" s="170"/>
      <x:c r="D77" s="170"/>
      <x:c r="E77" s="170"/>
      <x:c r="F77" s="170"/>
      <x:c r="G77" s="170"/>
      <x:c r="H77" s="170"/>
      <x:c r="I77" s="171"/>
      <x:c r="J77" s="170"/>
      <x:c r="K77" s="170"/>
      <x:c r="L77" s="170"/>
      <x:c r="M77" s="235" t="str">
        <x:f>IF($C77="","",IF($J77="停用","停用",IF($J77="退回補件","退回補件",IF(COUNTIFS($A$7:$A$126,$A77)&gt;1,"規則編號重複",IF(OR($A77="",$B77="",$D77="",$E77="",$F77="",$G77="",$H77="",$I77="",$K77=""),IF($J77="已核定","已核定但資料未完整","待補欄位或核定"),IF(OR($N77="",$O77=""),IF($J77="已核定","已核定但缺來源依據","待補來源依據"),IF($J77="已核定","可發布","待主管核定")))))))</x:f>
      </x:c>
      <x:c r="N77" s="421"/>
      <x:c r="O77" s="421"/>
    </x:row>
    <x:row r="78">
      <x:c r="A78" s="170"/>
      <x:c r="B78" s="170"/>
      <x:c r="C78" s="170"/>
      <x:c r="D78" s="170"/>
      <x:c r="E78" s="170"/>
      <x:c r="F78" s="170"/>
      <x:c r="G78" s="170"/>
      <x:c r="H78" s="170"/>
      <x:c r="I78" s="171"/>
      <x:c r="J78" s="170"/>
      <x:c r="K78" s="170"/>
      <x:c r="L78" s="170"/>
      <x:c r="M78" s="235" t="str">
        <x:f>IF($C78="","",IF($J78="停用","停用",IF($J78="退回補件","退回補件",IF(COUNTIFS($A$7:$A$126,$A78)&gt;1,"規則編號重複",IF(OR($A78="",$B78="",$D78="",$E78="",$F78="",$G78="",$H78="",$I78="",$K78=""),IF($J78="已核定","已核定但資料未完整","待補欄位或核定"),IF(OR($N78="",$O78=""),IF($J78="已核定","已核定但缺來源依據","待補來源依據"),IF($J78="已核定","可發布","待主管核定")))))))</x:f>
      </x:c>
      <x:c r="N78" s="421"/>
      <x:c r="O78" s="421"/>
    </x:row>
    <x:row r="79">
      <x:c r="A79" s="170"/>
      <x:c r="B79" s="170"/>
      <x:c r="C79" s="170"/>
      <x:c r="D79" s="170"/>
      <x:c r="E79" s="170"/>
      <x:c r="F79" s="170"/>
      <x:c r="G79" s="170"/>
      <x:c r="H79" s="170"/>
      <x:c r="I79" s="171"/>
      <x:c r="J79" s="170"/>
      <x:c r="K79" s="170"/>
      <x:c r="L79" s="170"/>
      <x:c r="M79" s="235" t="str">
        <x:f>IF($C79="","",IF($J79="停用","停用",IF($J79="退回補件","退回補件",IF(COUNTIFS($A$7:$A$126,$A79)&gt;1,"規則編號重複",IF(OR($A79="",$B79="",$D79="",$E79="",$F79="",$G79="",$H79="",$I79="",$K79=""),IF($J79="已核定","已核定但資料未完整","待補欄位或核定"),IF(OR($N79="",$O79=""),IF($J79="已核定","已核定但缺來源依據","待補來源依據"),IF($J79="已核定","可發布","待主管核定")))))))</x:f>
      </x:c>
      <x:c r="N79" s="421"/>
      <x:c r="O79" s="421"/>
    </x:row>
    <x:row r="80">
      <x:c r="A80" s="170"/>
      <x:c r="B80" s="170"/>
      <x:c r="C80" s="170"/>
      <x:c r="D80" s="170"/>
      <x:c r="E80" s="170"/>
      <x:c r="F80" s="170"/>
      <x:c r="G80" s="170"/>
      <x:c r="H80" s="170"/>
      <x:c r="I80" s="171"/>
      <x:c r="J80" s="170"/>
      <x:c r="K80" s="170"/>
      <x:c r="L80" s="170"/>
      <x:c r="M80" s="235" t="str">
        <x:f>IF($C80="","",IF($J80="停用","停用",IF($J80="退回補件","退回補件",IF(COUNTIFS($A$7:$A$126,$A80)&gt;1,"規則編號重複",IF(OR($A80="",$B80="",$D80="",$E80="",$F80="",$G80="",$H80="",$I80="",$K80=""),IF($J80="已核定","已核定但資料未完整","待補欄位或核定"),IF(OR($N80="",$O80=""),IF($J80="已核定","已核定但缺來源依據","待補來源依據"),IF($J80="已核定","可發布","待主管核定")))))))</x:f>
      </x:c>
      <x:c r="N80" s="421"/>
      <x:c r="O80" s="421"/>
    </x:row>
    <x:row r="81">
      <x:c r="A81" s="170"/>
      <x:c r="B81" s="170"/>
      <x:c r="C81" s="170"/>
      <x:c r="D81" s="170"/>
      <x:c r="E81" s="170"/>
      <x:c r="F81" s="170"/>
      <x:c r="G81" s="170"/>
      <x:c r="H81" s="170"/>
      <x:c r="I81" s="171"/>
      <x:c r="J81" s="170"/>
      <x:c r="K81" s="170"/>
      <x:c r="L81" s="170"/>
      <x:c r="M81" s="235" t="str">
        <x:f>IF($C81="","",IF($J81="停用","停用",IF($J81="退回補件","退回補件",IF(COUNTIFS($A$7:$A$126,$A81)&gt;1,"規則編號重複",IF(OR($A81="",$B81="",$D81="",$E81="",$F81="",$G81="",$H81="",$I81="",$K81=""),IF($J81="已核定","已核定但資料未完整","待補欄位或核定"),IF(OR($N81="",$O81=""),IF($J81="已核定","已核定但缺來源依據","待補來源依據"),IF($J81="已核定","可發布","待主管核定")))))))</x:f>
      </x:c>
      <x:c r="N81" s="421"/>
      <x:c r="O81" s="421"/>
    </x:row>
    <x:row r="82">
      <x:c r="A82" s="170"/>
      <x:c r="B82" s="170"/>
      <x:c r="C82" s="170"/>
      <x:c r="D82" s="170"/>
      <x:c r="E82" s="170"/>
      <x:c r="F82" s="170"/>
      <x:c r="G82" s="170"/>
      <x:c r="H82" s="170"/>
      <x:c r="I82" s="171"/>
      <x:c r="J82" s="170"/>
      <x:c r="K82" s="170"/>
      <x:c r="L82" s="170"/>
      <x:c r="M82" s="235" t="str">
        <x:f>IF($C82="","",IF($J82="停用","停用",IF($J82="退回補件","退回補件",IF(COUNTIFS($A$7:$A$126,$A82)&gt;1,"規則編號重複",IF(OR($A82="",$B82="",$D82="",$E82="",$F82="",$G82="",$H82="",$I82="",$K82=""),IF($J82="已核定","已核定但資料未完整","待補欄位或核定"),IF(OR($N82="",$O82=""),IF($J82="已核定","已核定但缺來源依據","待補來源依據"),IF($J82="已核定","可發布","待主管核定")))))))</x:f>
      </x:c>
      <x:c r="N82" s="421"/>
      <x:c r="O82" s="421"/>
    </x:row>
    <x:row r="83">
      <x:c r="A83" s="170"/>
      <x:c r="B83" s="170"/>
      <x:c r="C83" s="170"/>
      <x:c r="D83" s="170"/>
      <x:c r="E83" s="170"/>
      <x:c r="F83" s="170"/>
      <x:c r="G83" s="170"/>
      <x:c r="H83" s="170"/>
      <x:c r="I83" s="171"/>
      <x:c r="J83" s="170"/>
      <x:c r="K83" s="170"/>
      <x:c r="L83" s="170"/>
      <x:c r="M83" s="235" t="str">
        <x:f>IF($C83="","",IF($J83="停用","停用",IF($J83="退回補件","退回補件",IF(COUNTIFS($A$7:$A$126,$A83)&gt;1,"規則編號重複",IF(OR($A83="",$B83="",$D83="",$E83="",$F83="",$G83="",$H83="",$I83="",$K83=""),IF($J83="已核定","已核定但資料未完整","待補欄位或核定"),IF(OR($N83="",$O83=""),IF($J83="已核定","已核定但缺來源依據","待補來源依據"),IF($J83="已核定","可發布","待主管核定")))))))</x:f>
      </x:c>
      <x:c r="N83" s="421"/>
      <x:c r="O83" s="421"/>
    </x:row>
    <x:row r="84">
      <x:c r="A84" s="170"/>
      <x:c r="B84" s="170"/>
      <x:c r="C84" s="170"/>
      <x:c r="D84" s="170"/>
      <x:c r="E84" s="170"/>
      <x:c r="F84" s="170"/>
      <x:c r="G84" s="170"/>
      <x:c r="H84" s="170"/>
      <x:c r="I84" s="171"/>
      <x:c r="J84" s="170"/>
      <x:c r="K84" s="170"/>
      <x:c r="L84" s="170"/>
      <x:c r="M84" s="235" t="str">
        <x:f>IF($C84="","",IF($J84="停用","停用",IF($J84="退回補件","退回補件",IF(COUNTIFS($A$7:$A$126,$A84)&gt;1,"規則編號重複",IF(OR($A84="",$B84="",$D84="",$E84="",$F84="",$G84="",$H84="",$I84="",$K84=""),IF($J84="已核定","已核定但資料未完整","待補欄位或核定"),IF(OR($N84="",$O84=""),IF($J84="已核定","已核定但缺來源依據","待補來源依據"),IF($J84="已核定","可發布","待主管核定")))))))</x:f>
      </x:c>
      <x:c r="N84" s="421"/>
      <x:c r="O84" s="421"/>
    </x:row>
    <x:row r="85">
      <x:c r="A85" s="170"/>
      <x:c r="B85" s="170"/>
      <x:c r="C85" s="170"/>
      <x:c r="D85" s="170"/>
      <x:c r="E85" s="170"/>
      <x:c r="F85" s="170"/>
      <x:c r="G85" s="170"/>
      <x:c r="H85" s="170"/>
      <x:c r="I85" s="171"/>
      <x:c r="J85" s="170"/>
      <x:c r="K85" s="170"/>
      <x:c r="L85" s="170"/>
      <x:c r="M85" s="235" t="str">
        <x:f>IF($C85="","",IF($J85="停用","停用",IF($J85="退回補件","退回補件",IF(COUNTIFS($A$7:$A$126,$A85)&gt;1,"規則編號重複",IF(OR($A85="",$B85="",$D85="",$E85="",$F85="",$G85="",$H85="",$I85="",$K85=""),IF($J85="已核定","已核定但資料未完整","待補欄位或核定"),IF(OR($N85="",$O85=""),IF($J85="已核定","已核定但缺來源依據","待補來源依據"),IF($J85="已核定","可發布","待主管核定")))))))</x:f>
      </x:c>
      <x:c r="N85" s="421"/>
      <x:c r="O85" s="421"/>
    </x:row>
    <x:row r="86">
      <x:c r="A86" s="170"/>
      <x:c r="B86" s="170"/>
      <x:c r="C86" s="170"/>
      <x:c r="D86" s="170"/>
      <x:c r="E86" s="170"/>
      <x:c r="F86" s="170"/>
      <x:c r="G86" s="170"/>
      <x:c r="H86" s="170"/>
      <x:c r="I86" s="171"/>
      <x:c r="J86" s="170"/>
      <x:c r="K86" s="170"/>
      <x:c r="L86" s="170"/>
      <x:c r="M86" s="235" t="str">
        <x:f>IF($C86="","",IF($J86="停用","停用",IF($J86="退回補件","退回補件",IF(COUNTIFS($A$7:$A$126,$A86)&gt;1,"規則編號重複",IF(OR($A86="",$B86="",$D86="",$E86="",$F86="",$G86="",$H86="",$I86="",$K86=""),IF($J86="已核定","已核定但資料未完整","待補欄位或核定"),IF(OR($N86="",$O86=""),IF($J86="已核定","已核定但缺來源依據","待補來源依據"),IF($J86="已核定","可發布","待主管核定")))))))</x:f>
      </x:c>
      <x:c r="N86" s="421"/>
      <x:c r="O86" s="421"/>
    </x:row>
    <x:row r="87">
      <x:c r="A87" s="170"/>
      <x:c r="B87" s="170"/>
      <x:c r="C87" s="170"/>
      <x:c r="D87" s="170"/>
      <x:c r="E87" s="170"/>
      <x:c r="F87" s="170"/>
      <x:c r="G87" s="170"/>
      <x:c r="H87" s="170"/>
      <x:c r="I87" s="171"/>
      <x:c r="J87" s="170"/>
      <x:c r="K87" s="170"/>
      <x:c r="L87" s="170"/>
      <x:c r="M87" s="235" t="str">
        <x:f>IF($C87="","",IF($J87="停用","停用",IF($J87="退回補件","退回補件",IF(COUNTIFS($A$7:$A$126,$A87)&gt;1,"規則編號重複",IF(OR($A87="",$B87="",$D87="",$E87="",$F87="",$G87="",$H87="",$I87="",$K87=""),IF($J87="已核定","已核定但資料未完整","待補欄位或核定"),IF(OR($N87="",$O87=""),IF($J87="已核定","已核定但缺來源依據","待補來源依據"),IF($J87="已核定","可發布","待主管核定")))))))</x:f>
      </x:c>
      <x:c r="N87" s="421"/>
      <x:c r="O87" s="421"/>
    </x:row>
    <x:row r="88">
      <x:c r="A88" s="170"/>
      <x:c r="B88" s="170"/>
      <x:c r="C88" s="170"/>
      <x:c r="D88" s="170"/>
      <x:c r="E88" s="170"/>
      <x:c r="F88" s="170"/>
      <x:c r="G88" s="170"/>
      <x:c r="H88" s="170"/>
      <x:c r="I88" s="171"/>
      <x:c r="J88" s="170"/>
      <x:c r="K88" s="170"/>
      <x:c r="L88" s="170"/>
      <x:c r="M88" s="235" t="str">
        <x:f>IF($C88="","",IF($J88="停用","停用",IF($J88="退回補件","退回補件",IF(COUNTIFS($A$7:$A$126,$A88)&gt;1,"規則編號重複",IF(OR($A88="",$B88="",$D88="",$E88="",$F88="",$G88="",$H88="",$I88="",$K88=""),IF($J88="已核定","已核定但資料未完整","待補欄位或核定"),IF(OR($N88="",$O88=""),IF($J88="已核定","已核定但缺來源依據","待補來源依據"),IF($J88="已核定","可發布","待主管核定")))))))</x:f>
      </x:c>
      <x:c r="N88" s="421"/>
      <x:c r="O88" s="421"/>
    </x:row>
    <x:row r="89">
      <x:c r="A89" s="170"/>
      <x:c r="B89" s="170"/>
      <x:c r="C89" s="170"/>
      <x:c r="D89" s="170"/>
      <x:c r="E89" s="170"/>
      <x:c r="F89" s="170"/>
      <x:c r="G89" s="170"/>
      <x:c r="H89" s="170"/>
      <x:c r="I89" s="171"/>
      <x:c r="J89" s="170"/>
      <x:c r="K89" s="170"/>
      <x:c r="L89" s="170"/>
      <x:c r="M89" s="235" t="str">
        <x:f>IF($C89="","",IF($J89="停用","停用",IF($J89="退回補件","退回補件",IF(COUNTIFS($A$7:$A$126,$A89)&gt;1,"規則編號重複",IF(OR($A89="",$B89="",$D89="",$E89="",$F89="",$G89="",$H89="",$I89="",$K89=""),IF($J89="已核定","已核定但資料未完整","待補欄位或核定"),IF(OR($N89="",$O89=""),IF($J89="已核定","已核定但缺來源依據","待補來源依據"),IF($J89="已核定","可發布","待主管核定")))))))</x:f>
      </x:c>
      <x:c r="N89" s="421"/>
      <x:c r="O89" s="421"/>
    </x:row>
    <x:row r="90">
      <x:c r="A90" s="170"/>
      <x:c r="B90" s="170"/>
      <x:c r="C90" s="170"/>
      <x:c r="D90" s="170"/>
      <x:c r="E90" s="170"/>
      <x:c r="F90" s="170"/>
      <x:c r="G90" s="170"/>
      <x:c r="H90" s="170"/>
      <x:c r="I90" s="171"/>
      <x:c r="J90" s="170"/>
      <x:c r="K90" s="170"/>
      <x:c r="L90" s="170"/>
      <x:c r="M90" s="235" t="str">
        <x:f>IF($C90="","",IF($J90="停用","停用",IF($J90="退回補件","退回補件",IF(COUNTIFS($A$7:$A$126,$A90)&gt;1,"規則編號重複",IF(OR($A90="",$B90="",$D90="",$E90="",$F90="",$G90="",$H90="",$I90="",$K90=""),IF($J90="已核定","已核定但資料未完整","待補欄位或核定"),IF(OR($N90="",$O90=""),IF($J90="已核定","已核定但缺來源依據","待補來源依據"),IF($J90="已核定","可發布","待主管核定")))))))</x:f>
      </x:c>
      <x:c r="N90" s="421"/>
      <x:c r="O90" s="421"/>
    </x:row>
    <x:row r="91">
      <x:c r="A91" s="170"/>
      <x:c r="B91" s="170"/>
      <x:c r="C91" s="170"/>
      <x:c r="D91" s="170"/>
      <x:c r="E91" s="170"/>
      <x:c r="F91" s="170"/>
      <x:c r="G91" s="170"/>
      <x:c r="H91" s="170"/>
      <x:c r="I91" s="171"/>
      <x:c r="J91" s="170"/>
      <x:c r="K91" s="170"/>
      <x:c r="L91" s="170"/>
      <x:c r="M91" s="235" t="str">
        <x:f>IF($C91="","",IF($J91="停用","停用",IF($J91="退回補件","退回補件",IF(COUNTIFS($A$7:$A$126,$A91)&gt;1,"規則編號重複",IF(OR($A91="",$B91="",$D91="",$E91="",$F91="",$G91="",$H91="",$I91="",$K91=""),IF($J91="已核定","已核定但資料未完整","待補欄位或核定"),IF(OR($N91="",$O91=""),IF($J91="已核定","已核定但缺來源依據","待補來源依據"),IF($J91="已核定","可發布","待主管核定")))))))</x:f>
      </x:c>
      <x:c r="N91" s="421"/>
      <x:c r="O91" s="421"/>
    </x:row>
    <x:row r="92">
      <x:c r="A92" s="170"/>
      <x:c r="B92" s="170"/>
      <x:c r="C92" s="170"/>
      <x:c r="D92" s="170"/>
      <x:c r="E92" s="170"/>
      <x:c r="F92" s="170"/>
      <x:c r="G92" s="170"/>
      <x:c r="H92" s="170"/>
      <x:c r="I92" s="171"/>
      <x:c r="J92" s="170"/>
      <x:c r="K92" s="170"/>
      <x:c r="L92" s="170"/>
      <x:c r="M92" s="235" t="str">
        <x:f>IF($C92="","",IF($J92="停用","停用",IF($J92="退回補件","退回補件",IF(COUNTIFS($A$7:$A$126,$A92)&gt;1,"規則編號重複",IF(OR($A92="",$B92="",$D92="",$E92="",$F92="",$G92="",$H92="",$I92="",$K92=""),IF($J92="已核定","已核定但資料未完整","待補欄位或核定"),IF(OR($N92="",$O92=""),IF($J92="已核定","已核定但缺來源依據","待補來源依據"),IF($J92="已核定","可發布","待主管核定")))))))</x:f>
      </x:c>
      <x:c r="N92" s="421"/>
      <x:c r="O92" s="421"/>
    </x:row>
    <x:row r="93">
      <x:c r="A93" s="170"/>
      <x:c r="B93" s="170"/>
      <x:c r="C93" s="170"/>
      <x:c r="D93" s="170"/>
      <x:c r="E93" s="170"/>
      <x:c r="F93" s="170"/>
      <x:c r="G93" s="170"/>
      <x:c r="H93" s="170"/>
      <x:c r="I93" s="171"/>
      <x:c r="J93" s="170"/>
      <x:c r="K93" s="170"/>
      <x:c r="L93" s="170"/>
      <x:c r="M93" s="235" t="str">
        <x:f>IF($C93="","",IF($J93="停用","停用",IF($J93="退回補件","退回補件",IF(COUNTIFS($A$7:$A$126,$A93)&gt;1,"規則編號重複",IF(OR($A93="",$B93="",$D93="",$E93="",$F93="",$G93="",$H93="",$I93="",$K93=""),IF($J93="已核定","已核定但資料未完整","待補欄位或核定"),IF(OR($N93="",$O93=""),IF($J93="已核定","已核定但缺來源依據","待補來源依據"),IF($J93="已核定","可發布","待主管核定")))))))</x:f>
      </x:c>
      <x:c r="N93" s="421"/>
      <x:c r="O93" s="421"/>
    </x:row>
    <x:row r="94">
      <x:c r="A94" s="170"/>
      <x:c r="B94" s="170"/>
      <x:c r="C94" s="170"/>
      <x:c r="D94" s="170"/>
      <x:c r="E94" s="170"/>
      <x:c r="F94" s="170"/>
      <x:c r="G94" s="170"/>
      <x:c r="H94" s="170"/>
      <x:c r="I94" s="171"/>
      <x:c r="J94" s="170"/>
      <x:c r="K94" s="170"/>
      <x:c r="L94" s="170"/>
      <x:c r="M94" s="235" t="str">
        <x:f>IF($C94="","",IF($J94="停用","停用",IF($J94="退回補件","退回補件",IF(COUNTIFS($A$7:$A$126,$A94)&gt;1,"規則編號重複",IF(OR($A94="",$B94="",$D94="",$E94="",$F94="",$G94="",$H94="",$I94="",$K94=""),IF($J94="已核定","已核定但資料未完整","待補欄位或核定"),IF(OR($N94="",$O94=""),IF($J94="已核定","已核定但缺來源依據","待補來源依據"),IF($J94="已核定","可發布","待主管核定")))))))</x:f>
      </x:c>
      <x:c r="N94" s="421"/>
      <x:c r="O94" s="421"/>
    </x:row>
    <x:row r="95">
      <x:c r="A95" s="170"/>
      <x:c r="B95" s="170"/>
      <x:c r="C95" s="170"/>
      <x:c r="D95" s="170"/>
      <x:c r="E95" s="170"/>
      <x:c r="F95" s="170"/>
      <x:c r="G95" s="170"/>
      <x:c r="H95" s="170"/>
      <x:c r="I95" s="171"/>
      <x:c r="J95" s="170"/>
      <x:c r="K95" s="170"/>
      <x:c r="L95" s="170"/>
      <x:c r="M95" s="235" t="str">
        <x:f>IF($C95="","",IF($J95="停用","停用",IF($J95="退回補件","退回補件",IF(COUNTIFS($A$7:$A$126,$A95)&gt;1,"規則編號重複",IF(OR($A95="",$B95="",$D95="",$E95="",$F95="",$G95="",$H95="",$I95="",$K95=""),IF($J95="已核定","已核定但資料未完整","待補欄位或核定"),IF(OR($N95="",$O95=""),IF($J95="已核定","已核定但缺來源依據","待補來源依據"),IF($J95="已核定","可發布","待主管核定")))))))</x:f>
      </x:c>
      <x:c r="N95" s="421"/>
      <x:c r="O95" s="421"/>
    </x:row>
    <x:row r="96">
      <x:c r="A96" s="170"/>
      <x:c r="B96" s="170"/>
      <x:c r="C96" s="170"/>
      <x:c r="D96" s="170"/>
      <x:c r="E96" s="170"/>
      <x:c r="F96" s="170"/>
      <x:c r="G96" s="170"/>
      <x:c r="H96" s="170"/>
      <x:c r="I96" s="171"/>
      <x:c r="J96" s="170"/>
      <x:c r="K96" s="170"/>
      <x:c r="L96" s="170"/>
      <x:c r="M96" s="235" t="str">
        <x:f>IF($C96="","",IF($J96="停用","停用",IF($J96="退回補件","退回補件",IF(COUNTIFS($A$7:$A$126,$A96)&gt;1,"規則編號重複",IF(OR($A96="",$B96="",$D96="",$E96="",$F96="",$G96="",$H96="",$I96="",$K96=""),IF($J96="已核定","已核定但資料未完整","待補欄位或核定"),IF(OR($N96="",$O96=""),IF($J96="已核定","已核定但缺來源依據","待補來源依據"),IF($J96="已核定","可發布","待主管核定")))))))</x:f>
      </x:c>
      <x:c r="N96" s="421"/>
      <x:c r="O96" s="421"/>
    </x:row>
    <x:row r="97">
      <x:c r="A97" s="170"/>
      <x:c r="B97" s="170"/>
      <x:c r="C97" s="170"/>
      <x:c r="D97" s="170"/>
      <x:c r="E97" s="170"/>
      <x:c r="F97" s="170"/>
      <x:c r="G97" s="170"/>
      <x:c r="H97" s="170"/>
      <x:c r="I97" s="171"/>
      <x:c r="J97" s="170"/>
      <x:c r="K97" s="170"/>
      <x:c r="L97" s="170"/>
      <x:c r="M97" s="235" t="str">
        <x:f>IF($C97="","",IF($J97="停用","停用",IF($J97="退回補件","退回補件",IF(COUNTIFS($A$7:$A$126,$A97)&gt;1,"規則編號重複",IF(OR($A97="",$B97="",$D97="",$E97="",$F97="",$G97="",$H97="",$I97="",$K97=""),IF($J97="已核定","已核定但資料未完整","待補欄位或核定"),IF(OR($N97="",$O97=""),IF($J97="已核定","已核定但缺來源依據","待補來源依據"),IF($J97="已核定","可發布","待主管核定")))))))</x:f>
      </x:c>
      <x:c r="N97" s="421"/>
      <x:c r="O97" s="421"/>
    </x:row>
    <x:row r="98">
      <x:c r="A98" s="170"/>
      <x:c r="B98" s="170"/>
      <x:c r="C98" s="170"/>
      <x:c r="D98" s="170"/>
      <x:c r="E98" s="170"/>
      <x:c r="F98" s="170"/>
      <x:c r="G98" s="170"/>
      <x:c r="H98" s="170"/>
      <x:c r="I98" s="171"/>
      <x:c r="J98" s="170"/>
      <x:c r="K98" s="170"/>
      <x:c r="L98" s="170"/>
      <x:c r="M98" s="235" t="str">
        <x:f>IF($C98="","",IF($J98="停用","停用",IF($J98="退回補件","退回補件",IF(COUNTIFS($A$7:$A$126,$A98)&gt;1,"規則編號重複",IF(OR($A98="",$B98="",$D98="",$E98="",$F98="",$G98="",$H98="",$I98="",$K98=""),IF($J98="已核定","已核定但資料未完整","待補欄位或核定"),IF(OR($N98="",$O98=""),IF($J98="已核定","已核定但缺來源依據","待補來源依據"),IF($J98="已核定","可發布","待主管核定")))))))</x:f>
      </x:c>
      <x:c r="N98" s="421"/>
      <x:c r="O98" s="421"/>
    </x:row>
    <x:row r="99">
      <x:c r="A99" s="170"/>
      <x:c r="B99" s="170"/>
      <x:c r="C99" s="170"/>
      <x:c r="D99" s="170"/>
      <x:c r="E99" s="170"/>
      <x:c r="F99" s="170"/>
      <x:c r="G99" s="170"/>
      <x:c r="H99" s="170"/>
      <x:c r="I99" s="171"/>
      <x:c r="J99" s="170"/>
      <x:c r="K99" s="170"/>
      <x:c r="L99" s="170"/>
      <x:c r="M99" s="235" t="str">
        <x:f>IF($C99="","",IF($J99="停用","停用",IF($J99="退回補件","退回補件",IF(COUNTIFS($A$7:$A$126,$A99)&gt;1,"規則編號重複",IF(OR($A99="",$B99="",$D99="",$E99="",$F99="",$G99="",$H99="",$I99="",$K99=""),IF($J99="已核定","已核定但資料未完整","待補欄位或核定"),IF(OR($N99="",$O99=""),IF($J99="已核定","已核定但缺來源依據","待補來源依據"),IF($J99="已核定","可發布","待主管核定")))))))</x:f>
      </x:c>
      <x:c r="N99" s="421"/>
      <x:c r="O99" s="421"/>
    </x:row>
    <x:row r="100">
      <x:c r="A100" s="170"/>
      <x:c r="B100" s="170"/>
      <x:c r="C100" s="170"/>
      <x:c r="D100" s="170"/>
      <x:c r="E100" s="170"/>
      <x:c r="F100" s="170"/>
      <x:c r="G100" s="170"/>
      <x:c r="H100" s="170"/>
      <x:c r="I100" s="171"/>
      <x:c r="J100" s="170"/>
      <x:c r="K100" s="170"/>
      <x:c r="L100" s="170"/>
      <x:c r="M100" s="235" t="str">
        <x:f>IF($C100="","",IF($J100="停用","停用",IF($J100="退回補件","退回補件",IF(COUNTIFS($A$7:$A$126,$A100)&gt;1,"規則編號重複",IF(OR($A100="",$B100="",$D100="",$E100="",$F100="",$G100="",$H100="",$I100="",$K100=""),IF($J100="已核定","已核定但資料未完整","待補欄位或核定"),IF(OR($N100="",$O100=""),IF($J100="已核定","已核定但缺來源依據","待補來源依據"),IF($J100="已核定","可發布","待主管核定")))))))</x:f>
      </x:c>
      <x:c r="N100" s="421"/>
      <x:c r="O100" s="421"/>
    </x:row>
    <x:row r="101">
      <x:c r="A101" s="170"/>
      <x:c r="B101" s="170"/>
      <x:c r="C101" s="170"/>
      <x:c r="D101" s="170"/>
      <x:c r="E101" s="170"/>
      <x:c r="F101" s="170"/>
      <x:c r="G101" s="170"/>
      <x:c r="H101" s="170"/>
      <x:c r="I101" s="171"/>
      <x:c r="J101" s="170"/>
      <x:c r="K101" s="170"/>
      <x:c r="L101" s="170"/>
      <x:c r="M101" s="235" t="str">
        <x:f>IF($C101="","",IF($J101="停用","停用",IF($J101="退回補件","退回補件",IF(COUNTIFS($A$7:$A$126,$A101)&gt;1,"規則編號重複",IF(OR($A101="",$B101="",$D101="",$E101="",$F101="",$G101="",$H101="",$I101="",$K101=""),IF($J101="已核定","已核定但資料未完整","待補欄位或核定"),IF(OR($N101="",$O101=""),IF($J101="已核定","已核定但缺來源依據","待補來源依據"),IF($J101="已核定","可發布","待主管核定")))))))</x:f>
      </x:c>
      <x:c r="N101" s="421"/>
      <x:c r="O101" s="421"/>
    </x:row>
    <x:row r="102">
      <x:c r="A102" s="170"/>
      <x:c r="B102" s="170"/>
      <x:c r="C102" s="170"/>
      <x:c r="D102" s="170"/>
      <x:c r="E102" s="170"/>
      <x:c r="F102" s="170"/>
      <x:c r="G102" s="170"/>
      <x:c r="H102" s="170"/>
      <x:c r="I102" s="171"/>
      <x:c r="J102" s="170"/>
      <x:c r="K102" s="170"/>
      <x:c r="L102" s="170"/>
      <x:c r="M102" s="235" t="str">
        <x:f>IF($C102="","",IF($J102="停用","停用",IF($J102="退回補件","退回補件",IF(COUNTIFS($A$7:$A$126,$A102)&gt;1,"規則編號重複",IF(OR($A102="",$B102="",$D102="",$E102="",$F102="",$G102="",$H102="",$I102="",$K102=""),IF($J102="已核定","已核定但資料未完整","待補欄位或核定"),IF(OR($N102="",$O102=""),IF($J102="已核定","已核定但缺來源依據","待補來源依據"),IF($J102="已核定","可發布","待主管核定")))))))</x:f>
      </x:c>
      <x:c r="N102" s="421"/>
      <x:c r="O102" s="421"/>
    </x:row>
    <x:row r="103">
      <x:c r="A103" s="170"/>
      <x:c r="B103" s="170"/>
      <x:c r="C103" s="170"/>
      <x:c r="D103" s="170"/>
      <x:c r="E103" s="170"/>
      <x:c r="F103" s="170"/>
      <x:c r="G103" s="170"/>
      <x:c r="H103" s="170"/>
      <x:c r="I103" s="171"/>
      <x:c r="J103" s="170"/>
      <x:c r="K103" s="170"/>
      <x:c r="L103" s="170"/>
      <x:c r="M103" s="235" t="str">
        <x:f>IF($C103="","",IF($J103="停用","停用",IF($J103="退回補件","退回補件",IF(COUNTIFS($A$7:$A$126,$A103)&gt;1,"規則編號重複",IF(OR($A103="",$B103="",$D103="",$E103="",$F103="",$G103="",$H103="",$I103="",$K103=""),IF($J103="已核定","已核定但資料未完整","待補欄位或核定"),IF(OR($N103="",$O103=""),IF($J103="已核定","已核定但缺來源依據","待補來源依據"),IF($J103="已核定","可發布","待主管核定")))))))</x:f>
      </x:c>
      <x:c r="N103" s="421"/>
      <x:c r="O103" s="421"/>
    </x:row>
    <x:row r="104">
      <x:c r="A104" s="170"/>
      <x:c r="B104" s="170"/>
      <x:c r="C104" s="170"/>
      <x:c r="D104" s="170"/>
      <x:c r="E104" s="170"/>
      <x:c r="F104" s="170"/>
      <x:c r="G104" s="170"/>
      <x:c r="H104" s="170"/>
      <x:c r="I104" s="171"/>
      <x:c r="J104" s="170"/>
      <x:c r="K104" s="170"/>
      <x:c r="L104" s="170"/>
      <x:c r="M104" s="235" t="str">
        <x:f>IF($C104="","",IF($J104="停用","停用",IF($J104="退回補件","退回補件",IF(COUNTIFS($A$7:$A$126,$A104)&gt;1,"規則編號重複",IF(OR($A104="",$B104="",$D104="",$E104="",$F104="",$G104="",$H104="",$I104="",$K104=""),IF($J104="已核定","已核定但資料未完整","待補欄位或核定"),IF(OR($N104="",$O104=""),IF($J104="已核定","已核定但缺來源依據","待補來源依據"),IF($J104="已核定","可發布","待主管核定")))))))</x:f>
      </x:c>
      <x:c r="N104" s="421"/>
      <x:c r="O104" s="421"/>
    </x:row>
    <x:row r="105">
      <x:c r="A105" s="170"/>
      <x:c r="B105" s="170"/>
      <x:c r="C105" s="170"/>
      <x:c r="D105" s="170"/>
      <x:c r="E105" s="170"/>
      <x:c r="F105" s="170"/>
      <x:c r="G105" s="170"/>
      <x:c r="H105" s="170"/>
      <x:c r="I105" s="171"/>
      <x:c r="J105" s="170"/>
      <x:c r="K105" s="170"/>
      <x:c r="L105" s="170"/>
      <x:c r="M105" s="235" t="str">
        <x:f>IF($C105="","",IF($J105="停用","停用",IF($J105="退回補件","退回補件",IF(COUNTIFS($A$7:$A$126,$A105)&gt;1,"規則編號重複",IF(OR($A105="",$B105="",$D105="",$E105="",$F105="",$G105="",$H105="",$I105="",$K105=""),IF($J105="已核定","已核定但資料未完整","待補欄位或核定"),IF(OR($N105="",$O105=""),IF($J105="已核定","已核定但缺來源依據","待補來源依據"),IF($J105="已核定","可發布","待主管核定")))))))</x:f>
      </x:c>
      <x:c r="N105" s="421"/>
      <x:c r="O105" s="421"/>
    </x:row>
    <x:row r="106">
      <x:c r="A106" s="170"/>
      <x:c r="B106" s="170"/>
      <x:c r="C106" s="170"/>
      <x:c r="D106" s="170"/>
      <x:c r="E106" s="170"/>
      <x:c r="F106" s="170"/>
      <x:c r="G106" s="170"/>
      <x:c r="H106" s="170"/>
      <x:c r="I106" s="171"/>
      <x:c r="J106" s="170"/>
      <x:c r="K106" s="170"/>
      <x:c r="L106" s="170"/>
      <x:c r="M106" s="235" t="str">
        <x:f>IF($C106="","",IF($J106="停用","停用",IF($J106="退回補件","退回補件",IF(COUNTIFS($A$7:$A$126,$A106)&gt;1,"規則編號重複",IF(OR($A106="",$B106="",$D106="",$E106="",$F106="",$G106="",$H106="",$I106="",$K106=""),IF($J106="已核定","已核定但資料未完整","待補欄位或核定"),IF(OR($N106="",$O106=""),IF($J106="已核定","已核定但缺來源依據","待補來源依據"),IF($J106="已核定","可發布","待主管核定")))))))</x:f>
      </x:c>
      <x:c r="N106" s="421"/>
      <x:c r="O106" s="421"/>
    </x:row>
    <x:row r="107">
      <x:c r="A107" s="170"/>
      <x:c r="B107" s="170"/>
      <x:c r="C107" s="170"/>
      <x:c r="D107" s="170"/>
      <x:c r="E107" s="170"/>
      <x:c r="F107" s="170"/>
      <x:c r="G107" s="170"/>
      <x:c r="H107" s="170"/>
      <x:c r="I107" s="171"/>
      <x:c r="J107" s="170"/>
      <x:c r="K107" s="170"/>
      <x:c r="L107" s="170"/>
      <x:c r="M107" s="235" t="str">
        <x:f>IF($C107="","",IF($J107="停用","停用",IF($J107="退回補件","退回補件",IF(COUNTIFS($A$7:$A$126,$A107)&gt;1,"規則編號重複",IF(OR($A107="",$B107="",$D107="",$E107="",$F107="",$G107="",$H107="",$I107="",$K107=""),IF($J107="已核定","已核定但資料未完整","待補欄位或核定"),IF(OR($N107="",$O107=""),IF($J107="已核定","已核定但缺來源依據","待補來源依據"),IF($J107="已核定","可發布","待主管核定")))))))</x:f>
      </x:c>
      <x:c r="N107" s="421"/>
      <x:c r="O107" s="421"/>
    </x:row>
    <x:row r="108">
      <x:c r="A108" s="170"/>
      <x:c r="B108" s="170"/>
      <x:c r="C108" s="170"/>
      <x:c r="D108" s="170"/>
      <x:c r="E108" s="170"/>
      <x:c r="F108" s="170"/>
      <x:c r="G108" s="170"/>
      <x:c r="H108" s="170"/>
      <x:c r="I108" s="171"/>
      <x:c r="J108" s="170"/>
      <x:c r="K108" s="170"/>
      <x:c r="L108" s="170"/>
      <x:c r="M108" s="235" t="str">
        <x:f>IF($C108="","",IF($J108="停用","停用",IF($J108="退回補件","退回補件",IF(COUNTIFS($A$7:$A$126,$A108)&gt;1,"規則編號重複",IF(OR($A108="",$B108="",$D108="",$E108="",$F108="",$G108="",$H108="",$I108="",$K108=""),IF($J108="已核定","已核定但資料未完整","待補欄位或核定"),IF(OR($N108="",$O108=""),IF($J108="已核定","已核定但缺來源依據","待補來源依據"),IF($J108="已核定","可發布","待主管核定")))))))</x:f>
      </x:c>
      <x:c r="N108" s="421"/>
      <x:c r="O108" s="421"/>
    </x:row>
    <x:row r="109">
      <x:c r="A109" s="170"/>
      <x:c r="B109" s="170"/>
      <x:c r="C109" s="170"/>
      <x:c r="D109" s="170"/>
      <x:c r="E109" s="170"/>
      <x:c r="F109" s="170"/>
      <x:c r="G109" s="170"/>
      <x:c r="H109" s="170"/>
      <x:c r="I109" s="171"/>
      <x:c r="J109" s="170"/>
      <x:c r="K109" s="170"/>
      <x:c r="L109" s="170"/>
      <x:c r="M109" s="235" t="str">
        <x:f>IF($C109="","",IF($J109="停用","停用",IF($J109="退回補件","退回補件",IF(COUNTIFS($A$7:$A$126,$A109)&gt;1,"規則編號重複",IF(OR($A109="",$B109="",$D109="",$E109="",$F109="",$G109="",$H109="",$I109="",$K109=""),IF($J109="已核定","已核定但資料未完整","待補欄位或核定"),IF(OR($N109="",$O109=""),IF($J109="已核定","已核定但缺來源依據","待補來源依據"),IF($J109="已核定","可發布","待主管核定")))))))</x:f>
      </x:c>
      <x:c r="N109" s="421"/>
      <x:c r="O109" s="421"/>
    </x:row>
    <x:row r="110">
      <x:c r="A110" s="170"/>
      <x:c r="B110" s="170"/>
      <x:c r="C110" s="170"/>
      <x:c r="D110" s="170"/>
      <x:c r="E110" s="170"/>
      <x:c r="F110" s="170"/>
      <x:c r="G110" s="170"/>
      <x:c r="H110" s="170"/>
      <x:c r="I110" s="171"/>
      <x:c r="J110" s="170"/>
      <x:c r="K110" s="170"/>
      <x:c r="L110" s="170"/>
      <x:c r="M110" s="235" t="str">
        <x:f>IF($C110="","",IF($J110="停用","停用",IF($J110="退回補件","退回補件",IF(COUNTIFS($A$7:$A$126,$A110)&gt;1,"規則編號重複",IF(OR($A110="",$B110="",$D110="",$E110="",$F110="",$G110="",$H110="",$I110="",$K110=""),IF($J110="已核定","已核定但資料未完整","待補欄位或核定"),IF(OR($N110="",$O110=""),IF($J110="已核定","已核定但缺來源依據","待補來源依據"),IF($J110="已核定","可發布","待主管核定")))))))</x:f>
      </x:c>
      <x:c r="N110" s="421"/>
      <x:c r="O110" s="421"/>
    </x:row>
    <x:row r="111">
      <x:c r="A111" s="170"/>
      <x:c r="B111" s="170"/>
      <x:c r="C111" s="170"/>
      <x:c r="D111" s="170"/>
      <x:c r="E111" s="170"/>
      <x:c r="F111" s="170"/>
      <x:c r="G111" s="170"/>
      <x:c r="H111" s="170"/>
      <x:c r="I111" s="171"/>
      <x:c r="J111" s="170"/>
      <x:c r="K111" s="170"/>
      <x:c r="L111" s="170"/>
      <x:c r="M111" s="235" t="str">
        <x:f>IF($C111="","",IF($J111="停用","停用",IF($J111="退回補件","退回補件",IF(COUNTIFS($A$7:$A$126,$A111)&gt;1,"規則編號重複",IF(OR($A111="",$B111="",$D111="",$E111="",$F111="",$G111="",$H111="",$I111="",$K111=""),IF($J111="已核定","已核定但資料未完整","待補欄位或核定"),IF(OR($N111="",$O111=""),IF($J111="已核定","已核定但缺來源依據","待補來源依據"),IF($J111="已核定","可發布","待主管核定")))))))</x:f>
      </x:c>
      <x:c r="N111" s="421"/>
      <x:c r="O111" s="421"/>
    </x:row>
    <x:row r="112">
      <x:c r="A112" s="170"/>
      <x:c r="B112" s="170"/>
      <x:c r="C112" s="170"/>
      <x:c r="D112" s="170"/>
      <x:c r="E112" s="170"/>
      <x:c r="F112" s="170"/>
      <x:c r="G112" s="170"/>
      <x:c r="H112" s="170"/>
      <x:c r="I112" s="171"/>
      <x:c r="J112" s="170"/>
      <x:c r="K112" s="170"/>
      <x:c r="L112" s="170"/>
      <x:c r="M112" s="235" t="str">
        <x:f>IF($C112="","",IF($J112="停用","停用",IF($J112="退回補件","退回補件",IF(COUNTIFS($A$7:$A$126,$A112)&gt;1,"規則編號重複",IF(OR($A112="",$B112="",$D112="",$E112="",$F112="",$G112="",$H112="",$I112="",$K112=""),IF($J112="已核定","已核定但資料未完整","待補欄位或核定"),IF(OR($N112="",$O112=""),IF($J112="已核定","已核定但缺來源依據","待補來源依據"),IF($J112="已核定","可發布","待主管核定")))))))</x:f>
      </x:c>
      <x:c r="N112" s="421"/>
      <x:c r="O112" s="421"/>
    </x:row>
    <x:row r="113">
      <x:c r="A113" s="170"/>
      <x:c r="B113" s="170"/>
      <x:c r="C113" s="170"/>
      <x:c r="D113" s="170"/>
      <x:c r="E113" s="170"/>
      <x:c r="F113" s="170"/>
      <x:c r="G113" s="170"/>
      <x:c r="H113" s="170"/>
      <x:c r="I113" s="171"/>
      <x:c r="J113" s="170"/>
      <x:c r="K113" s="170"/>
      <x:c r="L113" s="170"/>
      <x:c r="M113" s="235" t="str">
        <x:f>IF($C113="","",IF($J113="停用","停用",IF($J113="退回補件","退回補件",IF(COUNTIFS($A$7:$A$126,$A113)&gt;1,"規則編號重複",IF(OR($A113="",$B113="",$D113="",$E113="",$F113="",$G113="",$H113="",$I113="",$K113=""),IF($J113="已核定","已核定但資料未完整","待補欄位或核定"),IF(OR($N113="",$O113=""),IF($J113="已核定","已核定但缺來源依據","待補來源依據"),IF($J113="已核定","可發布","待主管核定")))))))</x:f>
      </x:c>
      <x:c r="N113" s="421"/>
      <x:c r="O113" s="421"/>
    </x:row>
    <x:row r="114">
      <x:c r="A114" s="170"/>
      <x:c r="B114" s="170"/>
      <x:c r="C114" s="170"/>
      <x:c r="D114" s="170"/>
      <x:c r="E114" s="170"/>
      <x:c r="F114" s="170"/>
      <x:c r="G114" s="170"/>
      <x:c r="H114" s="170"/>
      <x:c r="I114" s="171"/>
      <x:c r="J114" s="170"/>
      <x:c r="K114" s="170"/>
      <x:c r="L114" s="170"/>
      <x:c r="M114" s="235" t="str">
        <x:f>IF($C114="","",IF($J114="停用","停用",IF($J114="退回補件","退回補件",IF(COUNTIFS($A$7:$A$126,$A114)&gt;1,"規則編號重複",IF(OR($A114="",$B114="",$D114="",$E114="",$F114="",$G114="",$H114="",$I114="",$K114=""),IF($J114="已核定","已核定但資料未完整","待補欄位或核定"),IF(OR($N114="",$O114=""),IF($J114="已核定","已核定但缺來源依據","待補來源依據"),IF($J114="已核定","可發布","待主管核定")))))))</x:f>
      </x:c>
      <x:c r="N114" s="421"/>
      <x:c r="O114" s="421"/>
    </x:row>
    <x:row r="115">
      <x:c r="A115" s="170"/>
      <x:c r="B115" s="170"/>
      <x:c r="C115" s="170"/>
      <x:c r="D115" s="170"/>
      <x:c r="E115" s="170"/>
      <x:c r="F115" s="170"/>
      <x:c r="G115" s="170"/>
      <x:c r="H115" s="170"/>
      <x:c r="I115" s="171"/>
      <x:c r="J115" s="170"/>
      <x:c r="K115" s="170"/>
      <x:c r="L115" s="170"/>
      <x:c r="M115" s="235" t="str">
        <x:f>IF($C115="","",IF($J115="停用","停用",IF($J115="退回補件","退回補件",IF(COUNTIFS($A$7:$A$126,$A115)&gt;1,"規則編號重複",IF(OR($A115="",$B115="",$D115="",$E115="",$F115="",$G115="",$H115="",$I115="",$K115=""),IF($J115="已核定","已核定但資料未完整","待補欄位或核定"),IF(OR($N115="",$O115=""),IF($J115="已核定","已核定但缺來源依據","待補來源依據"),IF($J115="已核定","可發布","待主管核定")))))))</x:f>
      </x:c>
      <x:c r="N115" s="421"/>
      <x:c r="O115" s="421"/>
    </x:row>
    <x:row r="116">
      <x:c r="A116" s="170"/>
      <x:c r="B116" s="170"/>
      <x:c r="C116" s="170"/>
      <x:c r="D116" s="170"/>
      <x:c r="E116" s="170"/>
      <x:c r="F116" s="170"/>
      <x:c r="G116" s="170"/>
      <x:c r="H116" s="170"/>
      <x:c r="I116" s="171"/>
      <x:c r="J116" s="170"/>
      <x:c r="K116" s="170"/>
      <x:c r="L116" s="170"/>
      <x:c r="M116" s="235" t="str">
        <x:f>IF($C116="","",IF($J116="停用","停用",IF($J116="退回補件","退回補件",IF(COUNTIFS($A$7:$A$126,$A116)&gt;1,"規則編號重複",IF(OR($A116="",$B116="",$D116="",$E116="",$F116="",$G116="",$H116="",$I116="",$K116=""),IF($J116="已核定","已核定但資料未完整","待補欄位或核定"),IF(OR($N116="",$O116=""),IF($J116="已核定","已核定但缺來源依據","待補來源依據"),IF($J116="已核定","可發布","待主管核定")))))))</x:f>
      </x:c>
      <x:c r="N116" s="421"/>
      <x:c r="O116" s="421"/>
    </x:row>
    <x:row r="117">
      <x:c r="A117" s="170"/>
      <x:c r="B117" s="170"/>
      <x:c r="C117" s="170"/>
      <x:c r="D117" s="170"/>
      <x:c r="E117" s="170"/>
      <x:c r="F117" s="170"/>
      <x:c r="G117" s="170"/>
      <x:c r="H117" s="170"/>
      <x:c r="I117" s="171"/>
      <x:c r="J117" s="170"/>
      <x:c r="K117" s="170"/>
      <x:c r="L117" s="170"/>
      <x:c r="M117" s="235" t="str">
        <x:f>IF($C117="","",IF($J117="停用","停用",IF($J117="退回補件","退回補件",IF(COUNTIFS($A$7:$A$126,$A117)&gt;1,"規則編號重複",IF(OR($A117="",$B117="",$D117="",$E117="",$F117="",$G117="",$H117="",$I117="",$K117=""),IF($J117="已核定","已核定但資料未完整","待補欄位或核定"),IF(OR($N117="",$O117=""),IF($J117="已核定","已核定但缺來源依據","待補來源依據"),IF($J117="已核定","可發布","待主管核定")))))))</x:f>
      </x:c>
      <x:c r="N117" s="421"/>
      <x:c r="O117" s="421"/>
    </x:row>
    <x:row r="118">
      <x:c r="A118" s="170"/>
      <x:c r="B118" s="170"/>
      <x:c r="C118" s="170"/>
      <x:c r="D118" s="170"/>
      <x:c r="E118" s="170"/>
      <x:c r="F118" s="170"/>
      <x:c r="G118" s="170"/>
      <x:c r="H118" s="170"/>
      <x:c r="I118" s="171"/>
      <x:c r="J118" s="170"/>
      <x:c r="K118" s="170"/>
      <x:c r="L118" s="170"/>
      <x:c r="M118" s="235" t="str">
        <x:f>IF($C118="","",IF($J118="停用","停用",IF($J118="退回補件","退回補件",IF(COUNTIFS($A$7:$A$126,$A118)&gt;1,"規則編號重複",IF(OR($A118="",$B118="",$D118="",$E118="",$F118="",$G118="",$H118="",$I118="",$K118=""),IF($J118="已核定","已核定但資料未完整","待補欄位或核定"),IF(OR($N118="",$O118=""),IF($J118="已核定","已核定但缺來源依據","待補來源依據"),IF($J118="已核定","可發布","待主管核定")))))))</x:f>
      </x:c>
      <x:c r="N118" s="421"/>
      <x:c r="O118" s="421"/>
    </x:row>
    <x:row r="119">
      <x:c r="A119" s="170"/>
      <x:c r="B119" s="170"/>
      <x:c r="C119" s="170"/>
      <x:c r="D119" s="170"/>
      <x:c r="E119" s="170"/>
      <x:c r="F119" s="170"/>
      <x:c r="G119" s="170"/>
      <x:c r="H119" s="170"/>
      <x:c r="I119" s="171"/>
      <x:c r="J119" s="170"/>
      <x:c r="K119" s="170"/>
      <x:c r="L119" s="170"/>
      <x:c r="M119" s="235" t="str">
        <x:f>IF($C119="","",IF($J119="停用","停用",IF($J119="退回補件","退回補件",IF(COUNTIFS($A$7:$A$126,$A119)&gt;1,"規則編號重複",IF(OR($A119="",$B119="",$D119="",$E119="",$F119="",$G119="",$H119="",$I119="",$K119=""),IF($J119="已核定","已核定但資料未完整","待補欄位或核定"),IF(OR($N119="",$O119=""),IF($J119="已核定","已核定但缺來源依據","待補來源依據"),IF($J119="已核定","可發布","待主管核定")))))))</x:f>
      </x:c>
      <x:c r="N119" s="421"/>
      <x:c r="O119" s="421"/>
    </x:row>
    <x:row r="120">
      <x:c r="A120" s="170"/>
      <x:c r="B120" s="170"/>
      <x:c r="C120" s="170"/>
      <x:c r="D120" s="170"/>
      <x:c r="E120" s="170"/>
      <x:c r="F120" s="170"/>
      <x:c r="G120" s="170"/>
      <x:c r="H120" s="170"/>
      <x:c r="I120" s="171"/>
      <x:c r="J120" s="170"/>
      <x:c r="K120" s="170"/>
      <x:c r="L120" s="170"/>
      <x:c r="M120" s="235" t="str">
        <x:f>IF($C120="","",IF($J120="停用","停用",IF($J120="退回補件","退回補件",IF(COUNTIFS($A$7:$A$126,$A120)&gt;1,"規則編號重複",IF(OR($A120="",$B120="",$D120="",$E120="",$F120="",$G120="",$H120="",$I120="",$K120=""),IF($J120="已核定","已核定但資料未完整","待補欄位或核定"),IF(OR($N120="",$O120=""),IF($J120="已核定","已核定但缺來源依據","待補來源依據"),IF($J120="已核定","可發布","待主管核定")))))))</x:f>
      </x:c>
      <x:c r="N120" s="421"/>
      <x:c r="O120" s="421"/>
    </x:row>
    <x:row r="121">
      <x:c r="A121" s="170"/>
      <x:c r="B121" s="170"/>
      <x:c r="C121" s="170"/>
      <x:c r="D121" s="170"/>
      <x:c r="E121" s="170"/>
      <x:c r="F121" s="170"/>
      <x:c r="G121" s="170"/>
      <x:c r="H121" s="170"/>
      <x:c r="I121" s="171"/>
      <x:c r="J121" s="170"/>
      <x:c r="K121" s="170"/>
      <x:c r="L121" s="170"/>
      <x:c r="M121" s="235" t="str">
        <x:f>IF($C121="","",IF($J121="停用","停用",IF($J121="退回補件","退回補件",IF(COUNTIFS($A$7:$A$126,$A121)&gt;1,"規則編號重複",IF(OR($A121="",$B121="",$D121="",$E121="",$F121="",$G121="",$H121="",$I121="",$K121=""),IF($J121="已核定","已核定但資料未完整","待補欄位或核定"),IF(OR($N121="",$O121=""),IF($J121="已核定","已核定但缺來源依據","待補來源依據"),IF($J121="已核定","可發布","待主管核定")))))))</x:f>
      </x:c>
      <x:c r="N121" s="421"/>
      <x:c r="O121" s="421"/>
    </x:row>
    <x:row r="122">
      <x:c r="A122" s="170"/>
      <x:c r="B122" s="170"/>
      <x:c r="C122" s="170"/>
      <x:c r="D122" s="170"/>
      <x:c r="E122" s="170"/>
      <x:c r="F122" s="170"/>
      <x:c r="G122" s="170"/>
      <x:c r="H122" s="170"/>
      <x:c r="I122" s="171"/>
      <x:c r="J122" s="170"/>
      <x:c r="K122" s="170"/>
      <x:c r="L122" s="170"/>
      <x:c r="M122" s="235" t="str">
        <x:f>IF($C122="","",IF($J122="停用","停用",IF($J122="退回補件","退回補件",IF(COUNTIFS($A$7:$A$126,$A122)&gt;1,"規則編號重複",IF(OR($A122="",$B122="",$D122="",$E122="",$F122="",$G122="",$H122="",$I122="",$K122=""),IF($J122="已核定","已核定但資料未完整","待補欄位或核定"),IF(OR($N122="",$O122=""),IF($J122="已核定","已核定但缺來源依據","待補來源依據"),IF($J122="已核定","可發布","待主管核定")))))))</x:f>
      </x:c>
      <x:c r="N122" s="421"/>
      <x:c r="O122" s="421"/>
    </x:row>
    <x:row r="123">
      <x:c r="A123" s="170"/>
      <x:c r="B123" s="170"/>
      <x:c r="C123" s="170"/>
      <x:c r="D123" s="170"/>
      <x:c r="E123" s="170"/>
      <x:c r="F123" s="170"/>
      <x:c r="G123" s="170"/>
      <x:c r="H123" s="170"/>
      <x:c r="I123" s="171"/>
      <x:c r="J123" s="170"/>
      <x:c r="K123" s="170"/>
      <x:c r="L123" s="170"/>
      <x:c r="M123" s="235" t="str">
        <x:f>IF($C123="","",IF($J123="停用","停用",IF($J123="退回補件","退回補件",IF(COUNTIFS($A$7:$A$126,$A123)&gt;1,"規則編號重複",IF(OR($A123="",$B123="",$D123="",$E123="",$F123="",$G123="",$H123="",$I123="",$K123=""),IF($J123="已核定","已核定但資料未完整","待補欄位或核定"),IF(OR($N123="",$O123=""),IF($J123="已核定","已核定但缺來源依據","待補來源依據"),IF($J123="已核定","可發布","待主管核定")))))))</x:f>
      </x:c>
      <x:c r="N123" s="421"/>
      <x:c r="O123" s="421"/>
    </x:row>
    <x:row r="124">
      <x:c r="A124" s="170"/>
      <x:c r="B124" s="170"/>
      <x:c r="C124" s="170"/>
      <x:c r="D124" s="170"/>
      <x:c r="E124" s="170"/>
      <x:c r="F124" s="170"/>
      <x:c r="G124" s="170"/>
      <x:c r="H124" s="170"/>
      <x:c r="I124" s="171"/>
      <x:c r="J124" s="170"/>
      <x:c r="K124" s="170"/>
      <x:c r="L124" s="170"/>
      <x:c r="M124" s="235" t="str">
        <x:f>IF($C124="","",IF($J124="停用","停用",IF($J124="退回補件","退回補件",IF(COUNTIFS($A$7:$A$126,$A124)&gt;1,"規則編號重複",IF(OR($A124="",$B124="",$D124="",$E124="",$F124="",$G124="",$H124="",$I124="",$K124=""),IF($J124="已核定","已核定但資料未完整","待補欄位或核定"),IF(OR($N124="",$O124=""),IF($J124="已核定","已核定但缺來源依據","待補來源依據"),IF($J124="已核定","可發布","待主管核定")))))))</x:f>
      </x:c>
      <x:c r="N124" s="421"/>
      <x:c r="O124" s="421"/>
    </x:row>
    <x:row r="125">
      <x:c r="A125" s="170"/>
      <x:c r="B125" s="170"/>
      <x:c r="C125" s="170"/>
      <x:c r="D125" s="170"/>
      <x:c r="E125" s="170"/>
      <x:c r="F125" s="170"/>
      <x:c r="G125" s="170"/>
      <x:c r="H125" s="170"/>
      <x:c r="I125" s="171"/>
      <x:c r="J125" s="170"/>
      <x:c r="K125" s="170"/>
      <x:c r="L125" s="170"/>
      <x:c r="M125" s="235" t="str">
        <x:f>IF($C125="","",IF($J125="停用","停用",IF($J125="退回補件","退回補件",IF(COUNTIFS($A$7:$A$126,$A125)&gt;1,"規則編號重複",IF(OR($A125="",$B125="",$D125="",$E125="",$F125="",$G125="",$H125="",$I125="",$K125=""),IF($J125="已核定","已核定但資料未完整","待補欄位或核定"),IF(OR($N125="",$O125=""),IF($J125="已核定","已核定但缺來源依據","待補來源依據"),IF($J125="已核定","可發布","待主管核定")))))))</x:f>
      </x:c>
      <x:c r="N125" s="421"/>
      <x:c r="O125" s="421"/>
    </x:row>
    <x:row r="126">
      <x:c r="A126" s="170"/>
      <x:c r="B126" s="170"/>
      <x:c r="C126" s="170"/>
      <x:c r="D126" s="170"/>
      <x:c r="E126" s="170"/>
      <x:c r="F126" s="170"/>
      <x:c r="G126" s="170"/>
      <x:c r="H126" s="170"/>
      <x:c r="I126" s="171"/>
      <x:c r="J126" s="170"/>
      <x:c r="K126" s="170"/>
      <x:c r="L126" s="170"/>
      <x:c r="M126" s="235" t="str">
        <x:f>IF($C126="","",IF($J126="停用","停用",IF($J126="退回補件","退回補件",IF(COUNTIFS($A$7:$A$126,$A126)&gt;1,"規則編號重複",IF(OR($A126="",$B126="",$D126="",$E126="",$F126="",$G126="",$H126="",$I126="",$K126=""),IF($J126="已核定","已核定但資料未完整","待補欄位或核定"),IF(OR($N126="",$O126=""),IF($J126="已核定","已核定但缺來源依據","待補來源依據"),IF($J126="已核定","可發布","待主管核定")))))))</x:f>
      </x:c>
      <x:c r="N126" s="421"/>
      <x:c r="O126" s="421"/>
    </x:row>
  </x:sheetData>
  <x:mergeCells>
    <x:mergeCell ref="A2:O2"/>
    <x:mergeCell ref="A4:O4"/>
  </x:mergeCells>
  <x:conditionalFormatting sqref="J7:J126">
    <x:cfRule type="containsText" dxfId="49" priority="1" operator="containsText" text="已核定"/>
    <x:cfRule type="containsText" dxfId="50" priority="2" operator="containsText" text="退回"/>
  </x:conditionalFormatting>
  <x:conditionalFormatting sqref="M7:M126">
    <x:cfRule type="containsText" dxfId="114" priority="3" operator="containsText" text="可發布"/>
    <x:cfRule type="containsText" dxfId="115" priority="4" operator="containsText" text="重複"/>
    <x:cfRule type="containsText" dxfId="116" priority="5" operator="containsText" text="已核定但"/>
    <x:cfRule type="containsText" dxfId="117" priority="6" operator="containsText" text="待補來源"/>
  </x:conditionalFormatting>
  <x:dataValidations count="4">
    <x:dataValidation type="list" sqref="B7:B126">
      <x:formula1>"正職助理路徑,兼職流動路徑,主管指定其他路徑"</x:formula1>
    </x:dataValidation>
    <x:dataValidation type="list" sqref="F7:F126">
      <x:formula1>"未評估,※,△,Ø,◎"</x:formula1>
    </x:dataValidation>
    <x:dataValidation type="list" sqref="G7:G126">
      <x:formula1>"必備,參考"</x:formula1>
    </x:dataValidation>
    <x:dataValidation type="list" sqref="J7:J126">
      <x:formula1>"待確認,已核定,退回補件,停用"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4b9f78b4774f5d"/>
  </x:tableParts>
</x:worksheet>
</file>

<file path=xl/worksheets/sheet32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32" hidden="0" customWidth="1"/>
    <x:col min="5" max="5" width="28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2" hidden="0" customWidth="1"/>
    <x:col min="12" max="12" width="24" hidden="0" customWidth="1"/>
    <x:col min="13" max="13" width="34" hidden="0" customWidth="1"/>
    <x:col min="14" max="14" width="28" hidden="0" customWidth="1"/>
  </x:cols>
  <x:sheetData>
    <x:row r="2">
      <x:c r="A2" s="74" t="str">
        <x:v>Lv.1–Lv.10 正式職級矩陣輸入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>
      <x:c r="A4" s="75" t="str">
        <x:v>已預列 Lv.1–Lv.10。每個職級可新增多筆正式條件；每列使用不同規則編號。正式條件、版本、生效與核定資料、來源文件及來源定位都完整後才可發布；職級異動仍須人工核定。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</x:row>
    <x:row r="6">
      <x:c r="A6" s="168" t="str">
        <x:v>規則編號</x:v>
      </x:c>
      <x:c r="B6" s="168" t="str">
        <x:v>正式職級</x:v>
      </x:c>
      <x:c r="C6" s="168" t="str">
        <x:v>條件類型</x:v>
      </x:c>
      <x:c r="D6" s="168" t="str">
        <x:v>條件代碼／名稱</x:v>
      </x:c>
      <x:c r="E6" s="168" t="str">
        <x:v>最低標準</x:v>
      </x:c>
      <x:c r="F6" s="168" t="str">
        <x:v>必要性</x:v>
      </x:c>
      <x:c r="G6" s="168" t="str">
        <x:v>版本</x:v>
      </x:c>
      <x:c r="H6" s="168" t="str">
        <x:v>生效日</x:v>
      </x:c>
      <x:c r="I6" s="168" t="str">
        <x:v>核定狀態</x:v>
      </x:c>
      <x:c r="J6" s="168" t="str">
        <x:v>核定人</x:v>
      </x:c>
      <x:c r="K6" s="168" t="str">
        <x:v>備註</x:v>
      </x:c>
      <x:c r="L6" s="233" t="str">
        <x:v>收件檢核</x:v>
      </x:c>
      <x:c r="M6" s="420" t="str">
        <x:v>來源文件／版本</x:v>
      </x:c>
      <x:c r="N6" s="420" t="str">
        <x:v>來源定位</x:v>
      </x:c>
    </x:row>
    <x:row r="7">
      <x:c r="A7" s="170" t="str">
        <x:v>PENDING-LV01</x:v>
      </x:c>
      <x:c r="B7" s="170" t="str">
        <x:v>Lv.1</x:v>
      </x:c>
      <x:c r="C7" s="170"/>
      <x:c r="D7" s="170"/>
      <x:c r="E7" s="170"/>
      <x:c r="F7" s="170"/>
      <x:c r="G7" s="170"/>
      <x:c r="H7" s="171"/>
      <x:c r="I7" s="170" t="str">
        <x:v>待確認</x:v>
      </x:c>
      <x:c r="J7" s="170"/>
      <x:c r="K7" s="170" t="str">
        <x:v>職級已預列；正式條件、版本、生效日與核定人待提供</x:v>
      </x:c>
      <x:c r="L7" s="235" t="str">
        <x:f>IF($B7="","",IF($I7="停用","停用",IF($I7="退回補件","退回補件",IF(COUNTIFS($A$7:$A$156,$A7)&gt;1,"規則編號重複",IF(OR($A7="",$C7="",$D7="",$E7="",$F7="",$G7="",$H7="",$J7=""),IF($I7="已核定","已核定但資料未完整","待補欄位或核定"),IF(OR($M7="",$N7=""),IF($I7="已核定","已核定但缺來源依據","待補來源依據"),IF($I7="已核定","可發布","待主管核定")))))))</x:f>
        <x:v>待補欄位或核定</x:v>
      </x:c>
      <x:c r="M7" s="421"/>
      <x:c r="N7" s="421"/>
    </x:row>
    <x:row r="8">
      <x:c r="A8" s="170" t="str">
        <x:v>PENDING-LV02</x:v>
      </x:c>
      <x:c r="B8" s="170" t="str">
        <x:v>Lv.2</x:v>
      </x:c>
      <x:c r="C8" s="170"/>
      <x:c r="D8" s="170"/>
      <x:c r="E8" s="170"/>
      <x:c r="F8" s="170"/>
      <x:c r="G8" s="170"/>
      <x:c r="H8" s="171"/>
      <x:c r="I8" s="170" t="str">
        <x:v>待確認</x:v>
      </x:c>
      <x:c r="J8" s="170"/>
      <x:c r="K8" s="170" t="str">
        <x:v>職級已預列；正式條件、版本、生效日與核定人待提供</x:v>
      </x:c>
      <x:c r="L8" s="235" t="str">
        <x:f>IF($B8="","",IF($I8="停用","停用",IF($I8="退回補件","退回補件",IF(COUNTIFS($A$7:$A$156,$A8)&gt;1,"規則編號重複",IF(OR($A8="",$C8="",$D8="",$E8="",$F8="",$G8="",$H8="",$J8=""),IF($I8="已核定","已核定但資料未完整","待補欄位或核定"),IF(OR($M8="",$N8=""),IF($I8="已核定","已核定但缺來源依據","待補來源依據"),IF($I8="已核定","可發布","待主管核定")))))))</x:f>
        <x:v>待補欄位或核定</x:v>
      </x:c>
      <x:c r="M8" s="421"/>
      <x:c r="N8" s="421"/>
    </x:row>
    <x:row r="9">
      <x:c r="A9" s="170" t="str">
        <x:v>PENDING-LV03</x:v>
      </x:c>
      <x:c r="B9" s="170" t="str">
        <x:v>Lv.3</x:v>
      </x:c>
      <x:c r="C9" s="170"/>
      <x:c r="D9" s="170"/>
      <x:c r="E9" s="170"/>
      <x:c r="F9" s="170"/>
      <x:c r="G9" s="170"/>
      <x:c r="H9" s="171"/>
      <x:c r="I9" s="170" t="str">
        <x:v>待確認</x:v>
      </x:c>
      <x:c r="J9" s="170"/>
      <x:c r="K9" s="170" t="str">
        <x:v>職級已預列；正式條件、版本、生效日與核定人待提供</x:v>
      </x:c>
      <x:c r="L9" s="235" t="str">
        <x:f>IF($B9="","",IF($I9="停用","停用",IF($I9="退回補件","退回補件",IF(COUNTIFS($A$7:$A$156,$A9)&gt;1,"規則編號重複",IF(OR($A9="",$C9="",$D9="",$E9="",$F9="",$G9="",$H9="",$J9=""),IF($I9="已核定","已核定但資料未完整","待補欄位或核定"),IF(OR($M9="",$N9=""),IF($I9="已核定","已核定但缺來源依據","待補來源依據"),IF($I9="已核定","可發布","待主管核定")))))))</x:f>
        <x:v>待補欄位或核定</x:v>
      </x:c>
      <x:c r="M9" s="421"/>
      <x:c r="N9" s="421"/>
    </x:row>
    <x:row r="10">
      <x:c r="A10" s="170" t="str">
        <x:v>PENDING-LV04</x:v>
      </x:c>
      <x:c r="B10" s="170" t="str">
        <x:v>Lv.4</x:v>
      </x:c>
      <x:c r="C10" s="170"/>
      <x:c r="D10" s="170"/>
      <x:c r="E10" s="170"/>
      <x:c r="F10" s="170"/>
      <x:c r="G10" s="170"/>
      <x:c r="H10" s="171"/>
      <x:c r="I10" s="170" t="str">
        <x:v>待確認</x:v>
      </x:c>
      <x:c r="J10" s="170"/>
      <x:c r="K10" s="170" t="str">
        <x:v>職級已預列；正式條件、版本、生效日與核定人待提供</x:v>
      </x:c>
      <x:c r="L10" s="235" t="str">
        <x:f>IF($B10="","",IF($I10="停用","停用",IF($I10="退回補件","退回補件",IF(COUNTIFS($A$7:$A$156,$A10)&gt;1,"規則編號重複",IF(OR($A10="",$C10="",$D10="",$E10="",$F10="",$G10="",$H10="",$J10=""),IF($I10="已核定","已核定但資料未完整","待補欄位或核定"),IF(OR($M10="",$N10=""),IF($I10="已核定","已核定但缺來源依據","待補來源依據"),IF($I10="已核定","可發布","待主管核定")))))))</x:f>
        <x:v>待補欄位或核定</x:v>
      </x:c>
      <x:c r="M10" s="421"/>
      <x:c r="N10" s="421"/>
    </x:row>
    <x:row r="11">
      <x:c r="A11" s="170" t="str">
        <x:v>PENDING-LV05</x:v>
      </x:c>
      <x:c r="B11" s="170" t="str">
        <x:v>Lv.5</x:v>
      </x:c>
      <x:c r="C11" s="170"/>
      <x:c r="D11" s="170"/>
      <x:c r="E11" s="170"/>
      <x:c r="F11" s="170"/>
      <x:c r="G11" s="170"/>
      <x:c r="H11" s="171"/>
      <x:c r="I11" s="170" t="str">
        <x:v>待確認</x:v>
      </x:c>
      <x:c r="J11" s="170"/>
      <x:c r="K11" s="170" t="str">
        <x:v>職級已預列；正式條件、版本、生效日與核定人待提供</x:v>
      </x:c>
      <x:c r="L11" s="235" t="str">
        <x:f>IF($B11="","",IF($I11="停用","停用",IF($I11="退回補件","退回補件",IF(COUNTIFS($A$7:$A$156,$A11)&gt;1,"規則編號重複",IF(OR($A11="",$C11="",$D11="",$E11="",$F11="",$G11="",$H11="",$J11=""),IF($I11="已核定","已核定但資料未完整","待補欄位或核定"),IF(OR($M11="",$N11=""),IF($I11="已核定","已核定但缺來源依據","待補來源依據"),IF($I11="已核定","可發布","待主管核定")))))))</x:f>
        <x:v>待補欄位或核定</x:v>
      </x:c>
      <x:c r="M11" s="421"/>
      <x:c r="N11" s="421"/>
    </x:row>
    <x:row r="12">
      <x:c r="A12" s="170" t="str">
        <x:v>PENDING-LV06</x:v>
      </x:c>
      <x:c r="B12" s="170" t="str">
        <x:v>Lv.6</x:v>
      </x:c>
      <x:c r="C12" s="170"/>
      <x:c r="D12" s="170"/>
      <x:c r="E12" s="170"/>
      <x:c r="F12" s="170"/>
      <x:c r="G12" s="170"/>
      <x:c r="H12" s="171"/>
      <x:c r="I12" s="170" t="str">
        <x:v>待確認</x:v>
      </x:c>
      <x:c r="J12" s="170"/>
      <x:c r="K12" s="170" t="str">
        <x:v>職級已預列；正式條件、版本、生效日與核定人待提供</x:v>
      </x:c>
      <x:c r="L12" s="235" t="str">
        <x:f>IF($B12="","",IF($I12="停用","停用",IF($I12="退回補件","退回補件",IF(COUNTIFS($A$7:$A$156,$A12)&gt;1,"規則編號重複",IF(OR($A12="",$C12="",$D12="",$E12="",$F12="",$G12="",$H12="",$J12=""),IF($I12="已核定","已核定但資料未完整","待補欄位或核定"),IF(OR($M12="",$N12=""),IF($I12="已核定","已核定但缺來源依據","待補來源依據"),IF($I12="已核定","可發布","待主管核定")))))))</x:f>
        <x:v>待補欄位或核定</x:v>
      </x:c>
      <x:c r="M12" s="421"/>
      <x:c r="N12" s="421"/>
    </x:row>
    <x:row r="13">
      <x:c r="A13" s="170" t="str">
        <x:v>PENDING-LV07</x:v>
      </x:c>
      <x:c r="B13" s="170" t="str">
        <x:v>Lv.7</x:v>
      </x:c>
      <x:c r="C13" s="170"/>
      <x:c r="D13" s="170"/>
      <x:c r="E13" s="170"/>
      <x:c r="F13" s="170"/>
      <x:c r="G13" s="170"/>
      <x:c r="H13" s="171"/>
      <x:c r="I13" s="170" t="str">
        <x:v>待確認</x:v>
      </x:c>
      <x:c r="J13" s="170"/>
      <x:c r="K13" s="170" t="str">
        <x:v>職級已預列；正式條件、版本、生效日與核定人待提供</x:v>
      </x:c>
      <x:c r="L13" s="235" t="str">
        <x:f>IF($B13="","",IF($I13="停用","停用",IF($I13="退回補件","退回補件",IF(COUNTIFS($A$7:$A$156,$A13)&gt;1,"規則編號重複",IF(OR($A13="",$C13="",$D13="",$E13="",$F13="",$G13="",$H13="",$J13=""),IF($I13="已核定","已核定但資料未完整","待補欄位或核定"),IF(OR($M13="",$N13=""),IF($I13="已核定","已核定但缺來源依據","待補來源依據"),IF($I13="已核定","可發布","待主管核定")))))))</x:f>
        <x:v>待補欄位或核定</x:v>
      </x:c>
      <x:c r="M13" s="421"/>
      <x:c r="N13" s="421"/>
    </x:row>
    <x:row r="14">
      <x:c r="A14" s="170" t="str">
        <x:v>PENDING-LV08</x:v>
      </x:c>
      <x:c r="B14" s="170" t="str">
        <x:v>Lv.8</x:v>
      </x:c>
      <x:c r="C14" s="170"/>
      <x:c r="D14" s="170"/>
      <x:c r="E14" s="170"/>
      <x:c r="F14" s="170"/>
      <x:c r="G14" s="170"/>
      <x:c r="H14" s="171"/>
      <x:c r="I14" s="170" t="str">
        <x:v>待確認</x:v>
      </x:c>
      <x:c r="J14" s="170"/>
      <x:c r="K14" s="170" t="str">
        <x:v>職級已預列；正式條件、版本、生效日與核定人待提供</x:v>
      </x:c>
      <x:c r="L14" s="235" t="str">
        <x:f>IF($B14="","",IF($I14="停用","停用",IF($I14="退回補件","退回補件",IF(COUNTIFS($A$7:$A$156,$A14)&gt;1,"規則編號重複",IF(OR($A14="",$C14="",$D14="",$E14="",$F14="",$G14="",$H14="",$J14=""),IF($I14="已核定","已核定但資料未完整","待補欄位或核定"),IF(OR($M14="",$N14=""),IF($I14="已核定","已核定但缺來源依據","待補來源依據"),IF($I14="已核定","可發布","待主管核定")))))))</x:f>
        <x:v>待補欄位或核定</x:v>
      </x:c>
      <x:c r="M14" s="421"/>
      <x:c r="N14" s="421"/>
    </x:row>
    <x:row r="15">
      <x:c r="A15" s="170" t="str">
        <x:v>PENDING-LV09</x:v>
      </x:c>
      <x:c r="B15" s="170" t="str">
        <x:v>Lv.9</x:v>
      </x:c>
      <x:c r="C15" s="170"/>
      <x:c r="D15" s="170"/>
      <x:c r="E15" s="170"/>
      <x:c r="F15" s="170"/>
      <x:c r="G15" s="170"/>
      <x:c r="H15" s="171"/>
      <x:c r="I15" s="170" t="str">
        <x:v>待確認</x:v>
      </x:c>
      <x:c r="J15" s="170"/>
      <x:c r="K15" s="170" t="str">
        <x:v>職級已預列；正式條件、版本、生效日與核定人待提供</x:v>
      </x:c>
      <x:c r="L15" s="235" t="str">
        <x:f>IF($B15="","",IF($I15="停用","停用",IF($I15="退回補件","退回補件",IF(COUNTIFS($A$7:$A$156,$A15)&gt;1,"規則編號重複",IF(OR($A15="",$C15="",$D15="",$E15="",$F15="",$G15="",$H15="",$J15=""),IF($I15="已核定","已核定但資料未完整","待補欄位或核定"),IF(OR($M15="",$N15=""),IF($I15="已核定","已核定但缺來源依據","待補來源依據"),IF($I15="已核定","可發布","待主管核定")))))))</x:f>
        <x:v>待補欄位或核定</x:v>
      </x:c>
      <x:c r="M15" s="421"/>
      <x:c r="N15" s="421"/>
    </x:row>
    <x:row r="16">
      <x:c r="A16" s="170" t="str">
        <x:v>PENDING-LV10</x:v>
      </x:c>
      <x:c r="B16" s="170" t="str">
        <x:v>Lv.10</x:v>
      </x:c>
      <x:c r="C16" s="170"/>
      <x:c r="D16" s="170"/>
      <x:c r="E16" s="170"/>
      <x:c r="F16" s="170"/>
      <x:c r="G16" s="170"/>
      <x:c r="H16" s="171"/>
      <x:c r="I16" s="170" t="str">
        <x:v>待確認</x:v>
      </x:c>
      <x:c r="J16" s="170"/>
      <x:c r="K16" s="170" t="str">
        <x:v>職級已預列；正式條件、版本、生效日與核定人待提供</x:v>
      </x:c>
      <x:c r="L16" s="235" t="str">
        <x:f>IF($B16="","",IF($I16="停用","停用",IF($I16="退回補件","退回補件",IF(COUNTIFS($A$7:$A$156,$A16)&gt;1,"規則編號重複",IF(OR($A16="",$C16="",$D16="",$E16="",$F16="",$G16="",$H16="",$J16=""),IF($I16="已核定","已核定但資料未完整","待補欄位或核定"),IF(OR($M16="",$N16=""),IF($I16="已核定","已核定但缺來源依據","待補來源依據"),IF($I16="已核定","可發布","待主管核定")))))))</x:f>
        <x:v>待補欄位或核定</x:v>
      </x:c>
      <x:c r="M16" s="421"/>
      <x:c r="N16" s="421"/>
    </x:row>
    <x:row r="17">
      <x:c r="A17" s="170"/>
      <x:c r="B17" s="170"/>
      <x:c r="C17" s="170"/>
      <x:c r="D17" s="170"/>
      <x:c r="E17" s="170"/>
      <x:c r="F17" s="170"/>
      <x:c r="G17" s="170"/>
      <x:c r="H17" s="171"/>
      <x:c r="I17" s="170"/>
      <x:c r="J17" s="170"/>
      <x:c r="K17" s="170"/>
      <x:c r="L17" s="235" t="str">
        <x:f>IF($B17="","",IF($I17="停用","停用",IF($I17="退回補件","退回補件",IF(COUNTIFS($A$7:$A$156,$A17)&gt;1,"規則編號重複",IF(OR($A17="",$C17="",$D17="",$E17="",$F17="",$G17="",$H17="",$J17=""),IF($I17="已核定","已核定但資料未完整","待補欄位或核定"),IF(OR($M17="",$N17=""),IF($I17="已核定","已核定但缺來源依據","待補來源依據"),IF($I17="已核定","可發布","待主管核定")))))))</x:f>
      </x:c>
      <x:c r="M17" s="421"/>
      <x:c r="N17" s="421"/>
    </x:row>
    <x:row r="18">
      <x:c r="A18" s="170"/>
      <x:c r="B18" s="170"/>
      <x:c r="C18" s="170"/>
      <x:c r="D18" s="170"/>
      <x:c r="E18" s="170"/>
      <x:c r="F18" s="170"/>
      <x:c r="G18" s="170"/>
      <x:c r="H18" s="171"/>
      <x:c r="I18" s="170"/>
      <x:c r="J18" s="170"/>
      <x:c r="K18" s="170"/>
      <x:c r="L18" s="235" t="str">
        <x:f>IF($B18="","",IF($I18="停用","停用",IF($I18="退回補件","退回補件",IF(COUNTIFS($A$7:$A$156,$A18)&gt;1,"規則編號重複",IF(OR($A18="",$C18="",$D18="",$E18="",$F18="",$G18="",$H18="",$J18=""),IF($I18="已核定","已核定但資料未完整","待補欄位或核定"),IF(OR($M18="",$N18=""),IF($I18="已核定","已核定但缺來源依據","待補來源依據"),IF($I18="已核定","可發布","待主管核定")))))))</x:f>
      </x:c>
      <x:c r="M18" s="421"/>
      <x:c r="N18" s="421"/>
    </x:row>
    <x:row r="19">
      <x:c r="A19" s="170"/>
      <x:c r="B19" s="170"/>
      <x:c r="C19" s="170"/>
      <x:c r="D19" s="170"/>
      <x:c r="E19" s="170"/>
      <x:c r="F19" s="170"/>
      <x:c r="G19" s="170"/>
      <x:c r="H19" s="171"/>
      <x:c r="I19" s="170"/>
      <x:c r="J19" s="170"/>
      <x:c r="K19" s="170"/>
      <x:c r="L19" s="235" t="str">
        <x:f>IF($B19="","",IF($I19="停用","停用",IF($I19="退回補件","退回補件",IF(COUNTIFS($A$7:$A$156,$A19)&gt;1,"規則編號重複",IF(OR($A19="",$C19="",$D19="",$E19="",$F19="",$G19="",$H19="",$J19=""),IF($I19="已核定","已核定但資料未完整","待補欄位或核定"),IF(OR($M19="",$N19=""),IF($I19="已核定","已核定但缺來源依據","待補來源依據"),IF($I19="已核定","可發布","待主管核定")))))))</x:f>
      </x:c>
      <x:c r="M19" s="421"/>
      <x:c r="N19" s="421"/>
    </x:row>
    <x:row r="20">
      <x:c r="A20" s="170"/>
      <x:c r="B20" s="170"/>
      <x:c r="C20" s="170"/>
      <x:c r="D20" s="170"/>
      <x:c r="E20" s="170"/>
      <x:c r="F20" s="170"/>
      <x:c r="G20" s="170"/>
      <x:c r="H20" s="171"/>
      <x:c r="I20" s="170"/>
      <x:c r="J20" s="170"/>
      <x:c r="K20" s="170"/>
      <x:c r="L20" s="235" t="str">
        <x:f>IF($B20="","",IF($I20="停用","停用",IF($I20="退回補件","退回補件",IF(COUNTIFS($A$7:$A$156,$A20)&gt;1,"規則編號重複",IF(OR($A20="",$C20="",$D20="",$E20="",$F20="",$G20="",$H20="",$J20=""),IF($I20="已核定","已核定但資料未完整","待補欄位或核定"),IF(OR($M20="",$N20=""),IF($I20="已核定","已核定但缺來源依據","待補來源依據"),IF($I20="已核定","可發布","待主管核定")))))))</x:f>
      </x:c>
      <x:c r="M20" s="421"/>
      <x:c r="N20" s="421"/>
    </x:row>
    <x:row r="21">
      <x:c r="A21" s="170"/>
      <x:c r="B21" s="170"/>
      <x:c r="C21" s="170"/>
      <x:c r="D21" s="170"/>
      <x:c r="E21" s="170"/>
      <x:c r="F21" s="170"/>
      <x:c r="G21" s="170"/>
      <x:c r="H21" s="171"/>
      <x:c r="I21" s="170"/>
      <x:c r="J21" s="170"/>
      <x:c r="K21" s="170"/>
      <x:c r="L21" s="235" t="str">
        <x:f>IF($B21="","",IF($I21="停用","停用",IF($I21="退回補件","退回補件",IF(COUNTIFS($A$7:$A$156,$A21)&gt;1,"規則編號重複",IF(OR($A21="",$C21="",$D21="",$E21="",$F21="",$G21="",$H21="",$J21=""),IF($I21="已核定","已核定但資料未完整","待補欄位或核定"),IF(OR($M21="",$N21=""),IF($I21="已核定","已核定但缺來源依據","待補來源依據"),IF($I21="已核定","可發布","待主管核定")))))))</x:f>
      </x:c>
      <x:c r="M21" s="421"/>
      <x:c r="N21" s="421"/>
    </x:row>
    <x:row r="22">
      <x:c r="A22" s="170"/>
      <x:c r="B22" s="170"/>
      <x:c r="C22" s="170"/>
      <x:c r="D22" s="170"/>
      <x:c r="E22" s="170"/>
      <x:c r="F22" s="170"/>
      <x:c r="G22" s="170"/>
      <x:c r="H22" s="171"/>
      <x:c r="I22" s="170"/>
      <x:c r="J22" s="170"/>
      <x:c r="K22" s="170"/>
      <x:c r="L22" s="235" t="str">
        <x:f>IF($B22="","",IF($I22="停用","停用",IF($I22="退回補件","退回補件",IF(COUNTIFS($A$7:$A$156,$A22)&gt;1,"規則編號重複",IF(OR($A22="",$C22="",$D22="",$E22="",$F22="",$G22="",$H22="",$J22=""),IF($I22="已核定","已核定但資料未完整","待補欄位或核定"),IF(OR($M22="",$N22=""),IF($I22="已核定","已核定但缺來源依據","待補來源依據"),IF($I22="已核定","可發布","待主管核定")))))))</x:f>
      </x:c>
      <x:c r="M22" s="421"/>
      <x:c r="N22" s="421"/>
    </x:row>
    <x:row r="23">
      <x:c r="A23" s="170"/>
      <x:c r="B23" s="170"/>
      <x:c r="C23" s="170"/>
      <x:c r="D23" s="170"/>
      <x:c r="E23" s="170"/>
      <x:c r="F23" s="170"/>
      <x:c r="G23" s="170"/>
      <x:c r="H23" s="171"/>
      <x:c r="I23" s="170"/>
      <x:c r="J23" s="170"/>
      <x:c r="K23" s="170"/>
      <x:c r="L23" s="235" t="str">
        <x:f>IF($B23="","",IF($I23="停用","停用",IF($I23="退回補件","退回補件",IF(COUNTIFS($A$7:$A$156,$A23)&gt;1,"規則編號重複",IF(OR($A23="",$C23="",$D23="",$E23="",$F23="",$G23="",$H23="",$J23=""),IF($I23="已核定","已核定但資料未完整","待補欄位或核定"),IF(OR($M23="",$N23=""),IF($I23="已核定","已核定但缺來源依據","待補來源依據"),IF($I23="已核定","可發布","待主管核定")))))))</x:f>
      </x:c>
      <x:c r="M23" s="421"/>
      <x:c r="N23" s="421"/>
    </x:row>
    <x:row r="24">
      <x:c r="A24" s="170"/>
      <x:c r="B24" s="170"/>
      <x:c r="C24" s="170"/>
      <x:c r="D24" s="170"/>
      <x:c r="E24" s="170"/>
      <x:c r="F24" s="170"/>
      <x:c r="G24" s="170"/>
      <x:c r="H24" s="171"/>
      <x:c r="I24" s="170"/>
      <x:c r="J24" s="170"/>
      <x:c r="K24" s="170"/>
      <x:c r="L24" s="235" t="str">
        <x:f>IF($B24="","",IF($I24="停用","停用",IF($I24="退回補件","退回補件",IF(COUNTIFS($A$7:$A$156,$A24)&gt;1,"規則編號重複",IF(OR($A24="",$C24="",$D24="",$E24="",$F24="",$G24="",$H24="",$J24=""),IF($I24="已核定","已核定但資料未完整","待補欄位或核定"),IF(OR($M24="",$N24=""),IF($I24="已核定","已核定但缺來源依據","待補來源依據"),IF($I24="已核定","可發布","待主管核定")))))))</x:f>
      </x:c>
      <x:c r="M24" s="421"/>
      <x:c r="N24" s="421"/>
    </x:row>
    <x:row r="25">
      <x:c r="A25" s="170"/>
      <x:c r="B25" s="170"/>
      <x:c r="C25" s="170"/>
      <x:c r="D25" s="170"/>
      <x:c r="E25" s="170"/>
      <x:c r="F25" s="170"/>
      <x:c r="G25" s="170"/>
      <x:c r="H25" s="171"/>
      <x:c r="I25" s="170"/>
      <x:c r="J25" s="170"/>
      <x:c r="K25" s="170"/>
      <x:c r="L25" s="235" t="str">
        <x:f>IF($B25="","",IF($I25="停用","停用",IF($I25="退回補件","退回補件",IF(COUNTIFS($A$7:$A$156,$A25)&gt;1,"規則編號重複",IF(OR($A25="",$C25="",$D25="",$E25="",$F25="",$G25="",$H25="",$J25=""),IF($I25="已核定","已核定但資料未完整","待補欄位或核定"),IF(OR($M25="",$N25=""),IF($I25="已核定","已核定但缺來源依據","待補來源依據"),IF($I25="已核定","可發布","待主管核定")))))))</x:f>
      </x:c>
      <x:c r="M25" s="421"/>
      <x:c r="N25" s="421"/>
    </x:row>
    <x:row r="26">
      <x:c r="A26" s="170"/>
      <x:c r="B26" s="170"/>
      <x:c r="C26" s="170"/>
      <x:c r="D26" s="170"/>
      <x:c r="E26" s="170"/>
      <x:c r="F26" s="170"/>
      <x:c r="G26" s="170"/>
      <x:c r="H26" s="171"/>
      <x:c r="I26" s="170"/>
      <x:c r="J26" s="170"/>
      <x:c r="K26" s="170"/>
      <x:c r="L26" s="235" t="str">
        <x:f>IF($B26="","",IF($I26="停用","停用",IF($I26="退回補件","退回補件",IF(COUNTIFS($A$7:$A$156,$A26)&gt;1,"規則編號重複",IF(OR($A26="",$C26="",$D26="",$E26="",$F26="",$G26="",$H26="",$J26=""),IF($I26="已核定","已核定但資料未完整","待補欄位或核定"),IF(OR($M26="",$N26=""),IF($I26="已核定","已核定但缺來源依據","待補來源依據"),IF($I26="已核定","可發布","待主管核定")))))))</x:f>
      </x:c>
      <x:c r="M26" s="421"/>
      <x:c r="N26" s="421"/>
    </x:row>
    <x:row r="27">
      <x:c r="A27" s="170"/>
      <x:c r="B27" s="170"/>
      <x:c r="C27" s="170"/>
      <x:c r="D27" s="170"/>
      <x:c r="E27" s="170"/>
      <x:c r="F27" s="170"/>
      <x:c r="G27" s="170"/>
      <x:c r="H27" s="171"/>
      <x:c r="I27" s="170"/>
      <x:c r="J27" s="170"/>
      <x:c r="K27" s="170"/>
      <x:c r="L27" s="235" t="str">
        <x:f>IF($B27="","",IF($I27="停用","停用",IF($I27="退回補件","退回補件",IF(COUNTIFS($A$7:$A$156,$A27)&gt;1,"規則編號重複",IF(OR($A27="",$C27="",$D27="",$E27="",$F27="",$G27="",$H27="",$J27=""),IF($I27="已核定","已核定但資料未完整","待補欄位或核定"),IF(OR($M27="",$N27=""),IF($I27="已核定","已核定但缺來源依據","待補來源依據"),IF($I27="已核定","可發布","待主管核定")))))))</x:f>
      </x:c>
      <x:c r="M27" s="421"/>
      <x:c r="N27" s="421"/>
    </x:row>
    <x:row r="28">
      <x:c r="A28" s="170"/>
      <x:c r="B28" s="170"/>
      <x:c r="C28" s="170"/>
      <x:c r="D28" s="170"/>
      <x:c r="E28" s="170"/>
      <x:c r="F28" s="170"/>
      <x:c r="G28" s="170"/>
      <x:c r="H28" s="171"/>
      <x:c r="I28" s="170"/>
      <x:c r="J28" s="170"/>
      <x:c r="K28" s="170"/>
      <x:c r="L28" s="235" t="str">
        <x:f>IF($B28="","",IF($I28="停用","停用",IF($I28="退回補件","退回補件",IF(COUNTIFS($A$7:$A$156,$A28)&gt;1,"規則編號重複",IF(OR($A28="",$C28="",$D28="",$E28="",$F28="",$G28="",$H28="",$J28=""),IF($I28="已核定","已核定但資料未完整","待補欄位或核定"),IF(OR($M28="",$N28=""),IF($I28="已核定","已核定但缺來源依據","待補來源依據"),IF($I28="已核定","可發布","待主管核定")))))))</x:f>
      </x:c>
      <x:c r="M28" s="421"/>
      <x:c r="N28" s="421"/>
    </x:row>
    <x:row r="29">
      <x:c r="A29" s="170"/>
      <x:c r="B29" s="170"/>
      <x:c r="C29" s="170"/>
      <x:c r="D29" s="170"/>
      <x:c r="E29" s="170"/>
      <x:c r="F29" s="170"/>
      <x:c r="G29" s="170"/>
      <x:c r="H29" s="171"/>
      <x:c r="I29" s="170"/>
      <x:c r="J29" s="170"/>
      <x:c r="K29" s="170"/>
      <x:c r="L29" s="235" t="str">
        <x:f>IF($B29="","",IF($I29="停用","停用",IF($I29="退回補件","退回補件",IF(COUNTIFS($A$7:$A$156,$A29)&gt;1,"規則編號重複",IF(OR($A29="",$C29="",$D29="",$E29="",$F29="",$G29="",$H29="",$J29=""),IF($I29="已核定","已核定但資料未完整","待補欄位或核定"),IF(OR($M29="",$N29=""),IF($I29="已核定","已核定但缺來源依據","待補來源依據"),IF($I29="已核定","可發布","待主管核定")))))))</x:f>
      </x:c>
      <x:c r="M29" s="421"/>
      <x:c r="N29" s="421"/>
    </x:row>
    <x:row r="30">
      <x:c r="A30" s="170"/>
      <x:c r="B30" s="170"/>
      <x:c r="C30" s="170"/>
      <x:c r="D30" s="170"/>
      <x:c r="E30" s="170"/>
      <x:c r="F30" s="170"/>
      <x:c r="G30" s="170"/>
      <x:c r="H30" s="171"/>
      <x:c r="I30" s="170"/>
      <x:c r="J30" s="170"/>
      <x:c r="K30" s="170"/>
      <x:c r="L30" s="235" t="str">
        <x:f>IF($B30="","",IF($I30="停用","停用",IF($I30="退回補件","退回補件",IF(COUNTIFS($A$7:$A$156,$A30)&gt;1,"規則編號重複",IF(OR($A30="",$C30="",$D30="",$E30="",$F30="",$G30="",$H30="",$J30=""),IF($I30="已核定","已核定但資料未完整","待補欄位或核定"),IF(OR($M30="",$N30=""),IF($I30="已核定","已核定但缺來源依據","待補來源依據"),IF($I30="已核定","可發布","待主管核定")))))))</x:f>
      </x:c>
      <x:c r="M30" s="421"/>
      <x:c r="N30" s="421"/>
    </x:row>
    <x:row r="31">
      <x:c r="A31" s="170"/>
      <x:c r="B31" s="170"/>
      <x:c r="C31" s="170"/>
      <x:c r="D31" s="170"/>
      <x:c r="E31" s="170"/>
      <x:c r="F31" s="170"/>
      <x:c r="G31" s="170"/>
      <x:c r="H31" s="171"/>
      <x:c r="I31" s="170"/>
      <x:c r="J31" s="170"/>
      <x:c r="K31" s="170"/>
      <x:c r="L31" s="235" t="str">
        <x:f>IF($B31="","",IF($I31="停用","停用",IF($I31="退回補件","退回補件",IF(COUNTIFS($A$7:$A$156,$A31)&gt;1,"規則編號重複",IF(OR($A31="",$C31="",$D31="",$E31="",$F31="",$G31="",$H31="",$J31=""),IF($I31="已核定","已核定但資料未完整","待補欄位或核定"),IF(OR($M31="",$N31=""),IF($I31="已核定","已核定但缺來源依據","待補來源依據"),IF($I31="已核定","可發布","待主管核定")))))))</x:f>
      </x:c>
      <x:c r="M31" s="421"/>
      <x:c r="N31" s="421"/>
    </x:row>
    <x:row r="32">
      <x:c r="A32" s="170"/>
      <x:c r="B32" s="170"/>
      <x:c r="C32" s="170"/>
      <x:c r="D32" s="170"/>
      <x:c r="E32" s="170"/>
      <x:c r="F32" s="170"/>
      <x:c r="G32" s="170"/>
      <x:c r="H32" s="171"/>
      <x:c r="I32" s="170"/>
      <x:c r="J32" s="170"/>
      <x:c r="K32" s="170"/>
      <x:c r="L32" s="235" t="str">
        <x:f>IF($B32="","",IF($I32="停用","停用",IF($I32="退回補件","退回補件",IF(COUNTIFS($A$7:$A$156,$A32)&gt;1,"規則編號重複",IF(OR($A32="",$C32="",$D32="",$E32="",$F32="",$G32="",$H32="",$J32=""),IF($I32="已核定","已核定但資料未完整","待補欄位或核定"),IF(OR($M32="",$N32=""),IF($I32="已核定","已核定但缺來源依據","待補來源依據"),IF($I32="已核定","可發布","待主管核定")))))))</x:f>
      </x:c>
      <x:c r="M32" s="421"/>
      <x:c r="N32" s="421"/>
    </x:row>
    <x:row r="33">
      <x:c r="A33" s="170"/>
      <x:c r="B33" s="170"/>
      <x:c r="C33" s="170"/>
      <x:c r="D33" s="170"/>
      <x:c r="E33" s="170"/>
      <x:c r="F33" s="170"/>
      <x:c r="G33" s="170"/>
      <x:c r="H33" s="171"/>
      <x:c r="I33" s="170"/>
      <x:c r="J33" s="170"/>
      <x:c r="K33" s="170"/>
      <x:c r="L33" s="235" t="str">
        <x:f>IF($B33="","",IF($I33="停用","停用",IF($I33="退回補件","退回補件",IF(COUNTIFS($A$7:$A$156,$A33)&gt;1,"規則編號重複",IF(OR($A33="",$C33="",$D33="",$E33="",$F33="",$G33="",$H33="",$J33=""),IF($I33="已核定","已核定但資料未完整","待補欄位或核定"),IF(OR($M33="",$N33=""),IF($I33="已核定","已核定但缺來源依據","待補來源依據"),IF($I33="已核定","可發布","待主管核定")))))))</x:f>
      </x:c>
      <x:c r="M33" s="421"/>
      <x:c r="N33" s="421"/>
    </x:row>
    <x:row r="34">
      <x:c r="A34" s="170"/>
      <x:c r="B34" s="170"/>
      <x:c r="C34" s="170"/>
      <x:c r="D34" s="170"/>
      <x:c r="E34" s="170"/>
      <x:c r="F34" s="170"/>
      <x:c r="G34" s="170"/>
      <x:c r="H34" s="171"/>
      <x:c r="I34" s="170"/>
      <x:c r="J34" s="170"/>
      <x:c r="K34" s="170"/>
      <x:c r="L34" s="235" t="str">
        <x:f>IF($B34="","",IF($I34="停用","停用",IF($I34="退回補件","退回補件",IF(COUNTIFS($A$7:$A$156,$A34)&gt;1,"規則編號重複",IF(OR($A34="",$C34="",$D34="",$E34="",$F34="",$G34="",$H34="",$J34=""),IF($I34="已核定","已核定但資料未完整","待補欄位或核定"),IF(OR($M34="",$N34=""),IF($I34="已核定","已核定但缺來源依據","待補來源依據"),IF($I34="已核定","可發布","待主管核定")))))))</x:f>
      </x:c>
      <x:c r="M34" s="421"/>
      <x:c r="N34" s="421"/>
    </x:row>
    <x:row r="35">
      <x:c r="A35" s="170"/>
      <x:c r="B35" s="170"/>
      <x:c r="C35" s="170"/>
      <x:c r="D35" s="170"/>
      <x:c r="E35" s="170"/>
      <x:c r="F35" s="170"/>
      <x:c r="G35" s="170"/>
      <x:c r="H35" s="171"/>
      <x:c r="I35" s="170"/>
      <x:c r="J35" s="170"/>
      <x:c r="K35" s="170"/>
      <x:c r="L35" s="235" t="str">
        <x:f>IF($B35="","",IF($I35="停用","停用",IF($I35="退回補件","退回補件",IF(COUNTIFS($A$7:$A$156,$A35)&gt;1,"規則編號重複",IF(OR($A35="",$C35="",$D35="",$E35="",$F35="",$G35="",$H35="",$J35=""),IF($I35="已核定","已核定但資料未完整","待補欄位或核定"),IF(OR($M35="",$N35=""),IF($I35="已核定","已核定但缺來源依據","待補來源依據"),IF($I35="已核定","可發布","待主管核定")))))))</x:f>
      </x:c>
      <x:c r="M35" s="421"/>
      <x:c r="N35" s="421"/>
    </x:row>
    <x:row r="36">
      <x:c r="A36" s="170"/>
      <x:c r="B36" s="170"/>
      <x:c r="C36" s="170"/>
      <x:c r="D36" s="170"/>
      <x:c r="E36" s="170"/>
      <x:c r="F36" s="170"/>
      <x:c r="G36" s="170"/>
      <x:c r="H36" s="171"/>
      <x:c r="I36" s="170"/>
      <x:c r="J36" s="170"/>
      <x:c r="K36" s="170"/>
      <x:c r="L36" s="235" t="str">
        <x:f>IF($B36="","",IF($I36="停用","停用",IF($I36="退回補件","退回補件",IF(COUNTIFS($A$7:$A$156,$A36)&gt;1,"規則編號重複",IF(OR($A36="",$C36="",$D36="",$E36="",$F36="",$G36="",$H36="",$J36=""),IF($I36="已核定","已核定但資料未完整","待補欄位或核定"),IF(OR($M36="",$N36=""),IF($I36="已核定","已核定但缺來源依據","待補來源依據"),IF($I36="已核定","可發布","待主管核定")))))))</x:f>
      </x:c>
      <x:c r="M36" s="421"/>
      <x:c r="N36" s="421"/>
    </x:row>
    <x:row r="37">
      <x:c r="A37" s="170"/>
      <x:c r="B37" s="170"/>
      <x:c r="C37" s="170"/>
      <x:c r="D37" s="170"/>
      <x:c r="E37" s="170"/>
      <x:c r="F37" s="170"/>
      <x:c r="G37" s="170"/>
      <x:c r="H37" s="171"/>
      <x:c r="I37" s="170"/>
      <x:c r="J37" s="170"/>
      <x:c r="K37" s="170"/>
      <x:c r="L37" s="235" t="str">
        <x:f>IF($B37="","",IF($I37="停用","停用",IF($I37="退回補件","退回補件",IF(COUNTIFS($A$7:$A$156,$A37)&gt;1,"規則編號重複",IF(OR($A37="",$C37="",$D37="",$E37="",$F37="",$G37="",$H37="",$J37=""),IF($I37="已核定","已核定但資料未完整","待補欄位或核定"),IF(OR($M37="",$N37=""),IF($I37="已核定","已核定但缺來源依據","待補來源依據"),IF($I37="已核定","可發布","待主管核定")))))))</x:f>
      </x:c>
      <x:c r="M37" s="421"/>
      <x:c r="N37" s="421"/>
    </x:row>
    <x:row r="38">
      <x:c r="A38" s="170"/>
      <x:c r="B38" s="170"/>
      <x:c r="C38" s="170"/>
      <x:c r="D38" s="170"/>
      <x:c r="E38" s="170"/>
      <x:c r="F38" s="170"/>
      <x:c r="G38" s="170"/>
      <x:c r="H38" s="171"/>
      <x:c r="I38" s="170"/>
      <x:c r="J38" s="170"/>
      <x:c r="K38" s="170"/>
      <x:c r="L38" s="235" t="str">
        <x:f>IF($B38="","",IF($I38="停用","停用",IF($I38="退回補件","退回補件",IF(COUNTIFS($A$7:$A$156,$A38)&gt;1,"規則編號重複",IF(OR($A38="",$C38="",$D38="",$E38="",$F38="",$G38="",$H38="",$J38=""),IF($I38="已核定","已核定但資料未完整","待補欄位或核定"),IF(OR($M38="",$N38=""),IF($I38="已核定","已核定但缺來源依據","待補來源依據"),IF($I38="已核定","可發布","待主管核定")))))))</x:f>
      </x:c>
      <x:c r="M38" s="421"/>
      <x:c r="N38" s="421"/>
    </x:row>
    <x:row r="39">
      <x:c r="A39" s="170"/>
      <x:c r="B39" s="170"/>
      <x:c r="C39" s="170"/>
      <x:c r="D39" s="170"/>
      <x:c r="E39" s="170"/>
      <x:c r="F39" s="170"/>
      <x:c r="G39" s="170"/>
      <x:c r="H39" s="171"/>
      <x:c r="I39" s="170"/>
      <x:c r="J39" s="170"/>
      <x:c r="K39" s="170"/>
      <x:c r="L39" s="235" t="str">
        <x:f>IF($B39="","",IF($I39="停用","停用",IF($I39="退回補件","退回補件",IF(COUNTIFS($A$7:$A$156,$A39)&gt;1,"規則編號重複",IF(OR($A39="",$C39="",$D39="",$E39="",$F39="",$G39="",$H39="",$J39=""),IF($I39="已核定","已核定但資料未完整","待補欄位或核定"),IF(OR($M39="",$N39=""),IF($I39="已核定","已核定但缺來源依據","待補來源依據"),IF($I39="已核定","可發布","待主管核定")))))))</x:f>
      </x:c>
      <x:c r="M39" s="421"/>
      <x:c r="N39" s="421"/>
    </x:row>
    <x:row r="40">
      <x:c r="A40" s="170"/>
      <x:c r="B40" s="170"/>
      <x:c r="C40" s="170"/>
      <x:c r="D40" s="170"/>
      <x:c r="E40" s="170"/>
      <x:c r="F40" s="170"/>
      <x:c r="G40" s="170"/>
      <x:c r="H40" s="171"/>
      <x:c r="I40" s="170"/>
      <x:c r="J40" s="170"/>
      <x:c r="K40" s="170"/>
      <x:c r="L40" s="235" t="str">
        <x:f>IF($B40="","",IF($I40="停用","停用",IF($I40="退回補件","退回補件",IF(COUNTIFS($A$7:$A$156,$A40)&gt;1,"規則編號重複",IF(OR($A40="",$C40="",$D40="",$E40="",$F40="",$G40="",$H40="",$J40=""),IF($I40="已核定","已核定但資料未完整","待補欄位或核定"),IF(OR($M40="",$N40=""),IF($I40="已核定","已核定但缺來源依據","待補來源依據"),IF($I40="已核定","可發布","待主管核定")))))))</x:f>
      </x:c>
      <x:c r="M40" s="421"/>
      <x:c r="N40" s="421"/>
    </x:row>
    <x:row r="41">
      <x:c r="A41" s="170"/>
      <x:c r="B41" s="170"/>
      <x:c r="C41" s="170"/>
      <x:c r="D41" s="170"/>
      <x:c r="E41" s="170"/>
      <x:c r="F41" s="170"/>
      <x:c r="G41" s="170"/>
      <x:c r="H41" s="171"/>
      <x:c r="I41" s="170"/>
      <x:c r="J41" s="170"/>
      <x:c r="K41" s="170"/>
      <x:c r="L41" s="235" t="str">
        <x:f>IF($B41="","",IF($I41="停用","停用",IF($I41="退回補件","退回補件",IF(COUNTIFS($A$7:$A$156,$A41)&gt;1,"規則編號重複",IF(OR($A41="",$C41="",$D41="",$E41="",$F41="",$G41="",$H41="",$J41=""),IF($I41="已核定","已核定但資料未完整","待補欄位或核定"),IF(OR($M41="",$N41=""),IF($I41="已核定","已核定但缺來源依據","待補來源依據"),IF($I41="已核定","可發布","待主管核定")))))))</x:f>
      </x:c>
      <x:c r="M41" s="421"/>
      <x:c r="N41" s="421"/>
    </x:row>
    <x:row r="42">
      <x:c r="A42" s="170"/>
      <x:c r="B42" s="170"/>
      <x:c r="C42" s="170"/>
      <x:c r="D42" s="170"/>
      <x:c r="E42" s="170"/>
      <x:c r="F42" s="170"/>
      <x:c r="G42" s="170"/>
      <x:c r="H42" s="171"/>
      <x:c r="I42" s="170"/>
      <x:c r="J42" s="170"/>
      <x:c r="K42" s="170"/>
      <x:c r="L42" s="235" t="str">
        <x:f>IF($B42="","",IF($I42="停用","停用",IF($I42="退回補件","退回補件",IF(COUNTIFS($A$7:$A$156,$A42)&gt;1,"規則編號重複",IF(OR($A42="",$C42="",$D42="",$E42="",$F42="",$G42="",$H42="",$J42=""),IF($I42="已核定","已核定但資料未完整","待補欄位或核定"),IF(OR($M42="",$N42=""),IF($I42="已核定","已核定但缺來源依據","待補來源依據"),IF($I42="已核定","可發布","待主管核定")))))))</x:f>
      </x:c>
      <x:c r="M42" s="421"/>
      <x:c r="N42" s="421"/>
    </x:row>
    <x:row r="43">
      <x:c r="A43" s="170"/>
      <x:c r="B43" s="170"/>
      <x:c r="C43" s="170"/>
      <x:c r="D43" s="170"/>
      <x:c r="E43" s="170"/>
      <x:c r="F43" s="170"/>
      <x:c r="G43" s="170"/>
      <x:c r="H43" s="171"/>
      <x:c r="I43" s="170"/>
      <x:c r="J43" s="170"/>
      <x:c r="K43" s="170"/>
      <x:c r="L43" s="235" t="str">
        <x:f>IF($B43="","",IF($I43="停用","停用",IF($I43="退回補件","退回補件",IF(COUNTIFS($A$7:$A$156,$A43)&gt;1,"規則編號重複",IF(OR($A43="",$C43="",$D43="",$E43="",$F43="",$G43="",$H43="",$J43=""),IF($I43="已核定","已核定但資料未完整","待補欄位或核定"),IF(OR($M43="",$N43=""),IF($I43="已核定","已核定但缺來源依據","待補來源依據"),IF($I43="已核定","可發布","待主管核定")))))))</x:f>
      </x:c>
      <x:c r="M43" s="421"/>
      <x:c r="N43" s="421"/>
    </x:row>
    <x:row r="44">
      <x:c r="A44" s="170"/>
      <x:c r="B44" s="170"/>
      <x:c r="C44" s="170"/>
      <x:c r="D44" s="170"/>
      <x:c r="E44" s="170"/>
      <x:c r="F44" s="170"/>
      <x:c r="G44" s="170"/>
      <x:c r="H44" s="171"/>
      <x:c r="I44" s="170"/>
      <x:c r="J44" s="170"/>
      <x:c r="K44" s="170"/>
      <x:c r="L44" s="235" t="str">
        <x:f>IF($B44="","",IF($I44="停用","停用",IF($I44="退回補件","退回補件",IF(COUNTIFS($A$7:$A$156,$A44)&gt;1,"規則編號重複",IF(OR($A44="",$C44="",$D44="",$E44="",$F44="",$G44="",$H44="",$J44=""),IF($I44="已核定","已核定但資料未完整","待補欄位或核定"),IF(OR($M44="",$N44=""),IF($I44="已核定","已核定但缺來源依據","待補來源依據"),IF($I44="已核定","可發布","待主管核定")))))))</x:f>
      </x:c>
      <x:c r="M44" s="421"/>
      <x:c r="N44" s="421"/>
    </x:row>
    <x:row r="45">
      <x:c r="A45" s="170"/>
      <x:c r="B45" s="170"/>
      <x:c r="C45" s="170"/>
      <x:c r="D45" s="170"/>
      <x:c r="E45" s="170"/>
      <x:c r="F45" s="170"/>
      <x:c r="G45" s="170"/>
      <x:c r="H45" s="171"/>
      <x:c r="I45" s="170"/>
      <x:c r="J45" s="170"/>
      <x:c r="K45" s="170"/>
      <x:c r="L45" s="235" t="str">
        <x:f>IF($B45="","",IF($I45="停用","停用",IF($I45="退回補件","退回補件",IF(COUNTIFS($A$7:$A$156,$A45)&gt;1,"規則編號重複",IF(OR($A45="",$C45="",$D45="",$E45="",$F45="",$G45="",$H45="",$J45=""),IF($I45="已核定","已核定但資料未完整","待補欄位或核定"),IF(OR($M45="",$N45=""),IF($I45="已核定","已核定但缺來源依據","待補來源依據"),IF($I45="已核定","可發布","待主管核定")))))))</x:f>
      </x:c>
      <x:c r="M45" s="421"/>
      <x:c r="N45" s="421"/>
    </x:row>
    <x:row r="46">
      <x:c r="A46" s="170"/>
      <x:c r="B46" s="170"/>
      <x:c r="C46" s="170"/>
      <x:c r="D46" s="170"/>
      <x:c r="E46" s="170"/>
      <x:c r="F46" s="170"/>
      <x:c r="G46" s="170"/>
      <x:c r="H46" s="171"/>
      <x:c r="I46" s="170"/>
      <x:c r="J46" s="170"/>
      <x:c r="K46" s="170"/>
      <x:c r="L46" s="235" t="str">
        <x:f>IF($B46="","",IF($I46="停用","停用",IF($I46="退回補件","退回補件",IF(COUNTIFS($A$7:$A$156,$A46)&gt;1,"規則編號重複",IF(OR($A46="",$C46="",$D46="",$E46="",$F46="",$G46="",$H46="",$J46=""),IF($I46="已核定","已核定但資料未完整","待補欄位或核定"),IF(OR($M46="",$N46=""),IF($I46="已核定","已核定但缺來源依據","待補來源依據"),IF($I46="已核定","可發布","待主管核定")))))))</x:f>
      </x:c>
      <x:c r="M46" s="421"/>
      <x:c r="N46" s="421"/>
    </x:row>
    <x:row r="47">
      <x:c r="A47" s="170"/>
      <x:c r="B47" s="170"/>
      <x:c r="C47" s="170"/>
      <x:c r="D47" s="170"/>
      <x:c r="E47" s="170"/>
      <x:c r="F47" s="170"/>
      <x:c r="G47" s="170"/>
      <x:c r="H47" s="171"/>
      <x:c r="I47" s="170"/>
      <x:c r="J47" s="170"/>
      <x:c r="K47" s="170"/>
      <x:c r="L47" s="235" t="str">
        <x:f>IF($B47="","",IF($I47="停用","停用",IF($I47="退回補件","退回補件",IF(COUNTIFS($A$7:$A$156,$A47)&gt;1,"規則編號重複",IF(OR($A47="",$C47="",$D47="",$E47="",$F47="",$G47="",$H47="",$J47=""),IF($I47="已核定","已核定但資料未完整","待補欄位或核定"),IF(OR($M47="",$N47=""),IF($I47="已核定","已核定但缺來源依據","待補來源依據"),IF($I47="已核定","可發布","待主管核定")))))))</x:f>
      </x:c>
      <x:c r="M47" s="421"/>
      <x:c r="N47" s="421"/>
    </x:row>
    <x:row r="48">
      <x:c r="A48" s="170"/>
      <x:c r="B48" s="170"/>
      <x:c r="C48" s="170"/>
      <x:c r="D48" s="170"/>
      <x:c r="E48" s="170"/>
      <x:c r="F48" s="170"/>
      <x:c r="G48" s="170"/>
      <x:c r="H48" s="171"/>
      <x:c r="I48" s="170"/>
      <x:c r="J48" s="170"/>
      <x:c r="K48" s="170"/>
      <x:c r="L48" s="235" t="str">
        <x:f>IF($B48="","",IF($I48="停用","停用",IF($I48="退回補件","退回補件",IF(COUNTIFS($A$7:$A$156,$A48)&gt;1,"規則編號重複",IF(OR($A48="",$C48="",$D48="",$E48="",$F48="",$G48="",$H48="",$J48=""),IF($I48="已核定","已核定但資料未完整","待補欄位或核定"),IF(OR($M48="",$N48=""),IF($I48="已核定","已核定但缺來源依據","待補來源依據"),IF($I48="已核定","可發布","待主管核定")))))))</x:f>
      </x:c>
      <x:c r="M48" s="421"/>
      <x:c r="N48" s="421"/>
    </x:row>
    <x:row r="49">
      <x:c r="A49" s="170"/>
      <x:c r="B49" s="170"/>
      <x:c r="C49" s="170"/>
      <x:c r="D49" s="170"/>
      <x:c r="E49" s="170"/>
      <x:c r="F49" s="170"/>
      <x:c r="G49" s="170"/>
      <x:c r="H49" s="171"/>
      <x:c r="I49" s="170"/>
      <x:c r="J49" s="170"/>
      <x:c r="K49" s="170"/>
      <x:c r="L49" s="235" t="str">
        <x:f>IF($B49="","",IF($I49="停用","停用",IF($I49="退回補件","退回補件",IF(COUNTIFS($A$7:$A$156,$A49)&gt;1,"規則編號重複",IF(OR($A49="",$C49="",$D49="",$E49="",$F49="",$G49="",$H49="",$J49=""),IF($I49="已核定","已核定但資料未完整","待補欄位或核定"),IF(OR($M49="",$N49=""),IF($I49="已核定","已核定但缺來源依據","待補來源依據"),IF($I49="已核定","可發布","待主管核定")))))))</x:f>
      </x:c>
      <x:c r="M49" s="421"/>
      <x:c r="N49" s="421"/>
    </x:row>
    <x:row r="50">
      <x:c r="A50" s="170"/>
      <x:c r="B50" s="170"/>
      <x:c r="C50" s="170"/>
      <x:c r="D50" s="170"/>
      <x:c r="E50" s="170"/>
      <x:c r="F50" s="170"/>
      <x:c r="G50" s="170"/>
      <x:c r="H50" s="171"/>
      <x:c r="I50" s="170"/>
      <x:c r="J50" s="170"/>
      <x:c r="K50" s="170"/>
      <x:c r="L50" s="235" t="str">
        <x:f>IF($B50="","",IF($I50="停用","停用",IF($I50="退回補件","退回補件",IF(COUNTIFS($A$7:$A$156,$A50)&gt;1,"規則編號重複",IF(OR($A50="",$C50="",$D50="",$E50="",$F50="",$G50="",$H50="",$J50=""),IF($I50="已核定","已核定但資料未完整","待補欄位或核定"),IF(OR($M50="",$N50=""),IF($I50="已核定","已核定但缺來源依據","待補來源依據"),IF($I50="已核定","可發布","待主管核定")))))))</x:f>
      </x:c>
      <x:c r="M50" s="421"/>
      <x:c r="N50" s="421"/>
    </x:row>
    <x:row r="51">
      <x:c r="A51" s="170"/>
      <x:c r="B51" s="170"/>
      <x:c r="C51" s="170"/>
      <x:c r="D51" s="170"/>
      <x:c r="E51" s="170"/>
      <x:c r="F51" s="170"/>
      <x:c r="G51" s="170"/>
      <x:c r="H51" s="171"/>
      <x:c r="I51" s="170"/>
      <x:c r="J51" s="170"/>
      <x:c r="K51" s="170"/>
      <x:c r="L51" s="235" t="str">
        <x:f>IF($B51="","",IF($I51="停用","停用",IF($I51="退回補件","退回補件",IF(COUNTIFS($A$7:$A$156,$A51)&gt;1,"規則編號重複",IF(OR($A51="",$C51="",$D51="",$E51="",$F51="",$G51="",$H51="",$J51=""),IF($I51="已核定","已核定但資料未完整","待補欄位或核定"),IF(OR($M51="",$N51=""),IF($I51="已核定","已核定但缺來源依據","待補來源依據"),IF($I51="已核定","可發布","待主管核定")))))))</x:f>
      </x:c>
      <x:c r="M51" s="421"/>
      <x:c r="N51" s="421"/>
    </x:row>
    <x:row r="52">
      <x:c r="A52" s="170"/>
      <x:c r="B52" s="170"/>
      <x:c r="C52" s="170"/>
      <x:c r="D52" s="170"/>
      <x:c r="E52" s="170"/>
      <x:c r="F52" s="170"/>
      <x:c r="G52" s="170"/>
      <x:c r="H52" s="171"/>
      <x:c r="I52" s="170"/>
      <x:c r="J52" s="170"/>
      <x:c r="K52" s="170"/>
      <x:c r="L52" s="235" t="str">
        <x:f>IF($B52="","",IF($I52="停用","停用",IF($I52="退回補件","退回補件",IF(COUNTIFS($A$7:$A$156,$A52)&gt;1,"規則編號重複",IF(OR($A52="",$C52="",$D52="",$E52="",$F52="",$G52="",$H52="",$J52=""),IF($I52="已核定","已核定但資料未完整","待補欄位或核定"),IF(OR($M52="",$N52=""),IF($I52="已核定","已核定但缺來源依據","待補來源依據"),IF($I52="已核定","可發布","待主管核定")))))))</x:f>
      </x:c>
      <x:c r="M52" s="421"/>
      <x:c r="N52" s="421"/>
    </x:row>
    <x:row r="53">
      <x:c r="A53" s="170"/>
      <x:c r="B53" s="170"/>
      <x:c r="C53" s="170"/>
      <x:c r="D53" s="170"/>
      <x:c r="E53" s="170"/>
      <x:c r="F53" s="170"/>
      <x:c r="G53" s="170"/>
      <x:c r="H53" s="171"/>
      <x:c r="I53" s="170"/>
      <x:c r="J53" s="170"/>
      <x:c r="K53" s="170"/>
      <x:c r="L53" s="235" t="str">
        <x:f>IF($B53="","",IF($I53="停用","停用",IF($I53="退回補件","退回補件",IF(COUNTIFS($A$7:$A$156,$A53)&gt;1,"規則編號重複",IF(OR($A53="",$C53="",$D53="",$E53="",$F53="",$G53="",$H53="",$J53=""),IF($I53="已核定","已核定但資料未完整","待補欄位或核定"),IF(OR($M53="",$N53=""),IF($I53="已核定","已核定但缺來源依據","待補來源依據"),IF($I53="已核定","可發布","待主管核定")))))))</x:f>
      </x:c>
      <x:c r="M53" s="421"/>
      <x:c r="N53" s="421"/>
    </x:row>
    <x:row r="54">
      <x:c r="A54" s="170"/>
      <x:c r="B54" s="170"/>
      <x:c r="C54" s="170"/>
      <x:c r="D54" s="170"/>
      <x:c r="E54" s="170"/>
      <x:c r="F54" s="170"/>
      <x:c r="G54" s="170"/>
      <x:c r="H54" s="171"/>
      <x:c r="I54" s="170"/>
      <x:c r="J54" s="170"/>
      <x:c r="K54" s="170"/>
      <x:c r="L54" s="235" t="str">
        <x:f>IF($B54="","",IF($I54="停用","停用",IF($I54="退回補件","退回補件",IF(COUNTIFS($A$7:$A$156,$A54)&gt;1,"規則編號重複",IF(OR($A54="",$C54="",$D54="",$E54="",$F54="",$G54="",$H54="",$J54=""),IF($I54="已核定","已核定但資料未完整","待補欄位或核定"),IF(OR($M54="",$N54=""),IF($I54="已核定","已核定但缺來源依據","待補來源依據"),IF($I54="已核定","可發布","待主管核定")))))))</x:f>
      </x:c>
      <x:c r="M54" s="421"/>
      <x:c r="N54" s="421"/>
    </x:row>
    <x:row r="55">
      <x:c r="A55" s="170"/>
      <x:c r="B55" s="170"/>
      <x:c r="C55" s="170"/>
      <x:c r="D55" s="170"/>
      <x:c r="E55" s="170"/>
      <x:c r="F55" s="170"/>
      <x:c r="G55" s="170"/>
      <x:c r="H55" s="171"/>
      <x:c r="I55" s="170"/>
      <x:c r="J55" s="170"/>
      <x:c r="K55" s="170"/>
      <x:c r="L55" s="235" t="str">
        <x:f>IF($B55="","",IF($I55="停用","停用",IF($I55="退回補件","退回補件",IF(COUNTIFS($A$7:$A$156,$A55)&gt;1,"規則編號重複",IF(OR($A55="",$C55="",$D55="",$E55="",$F55="",$G55="",$H55="",$J55=""),IF($I55="已核定","已核定但資料未完整","待補欄位或核定"),IF(OR($M55="",$N55=""),IF($I55="已核定","已核定但缺來源依據","待補來源依據"),IF($I55="已核定","可發布","待主管核定")))))))</x:f>
      </x:c>
      <x:c r="M55" s="421"/>
      <x:c r="N55" s="421"/>
    </x:row>
    <x:row r="56">
      <x:c r="A56" s="170"/>
      <x:c r="B56" s="170"/>
      <x:c r="C56" s="170"/>
      <x:c r="D56" s="170"/>
      <x:c r="E56" s="170"/>
      <x:c r="F56" s="170"/>
      <x:c r="G56" s="170"/>
      <x:c r="H56" s="171"/>
      <x:c r="I56" s="170"/>
      <x:c r="J56" s="170"/>
      <x:c r="K56" s="170"/>
      <x:c r="L56" s="235" t="str">
        <x:f>IF($B56="","",IF($I56="停用","停用",IF($I56="退回補件","退回補件",IF(COUNTIFS($A$7:$A$156,$A56)&gt;1,"規則編號重複",IF(OR($A56="",$C56="",$D56="",$E56="",$F56="",$G56="",$H56="",$J56=""),IF($I56="已核定","已核定但資料未完整","待補欄位或核定"),IF(OR($M56="",$N56=""),IF($I56="已核定","已核定但缺來源依據","待補來源依據"),IF($I56="已核定","可發布","待主管核定")))))))</x:f>
      </x:c>
      <x:c r="M56" s="421"/>
      <x:c r="N56" s="421"/>
    </x:row>
    <x:row r="57">
      <x:c r="A57" s="170"/>
      <x:c r="B57" s="170"/>
      <x:c r="C57" s="170"/>
      <x:c r="D57" s="170"/>
      <x:c r="E57" s="170"/>
      <x:c r="F57" s="170"/>
      <x:c r="G57" s="170"/>
      <x:c r="H57" s="171"/>
      <x:c r="I57" s="170"/>
      <x:c r="J57" s="170"/>
      <x:c r="K57" s="170"/>
      <x:c r="L57" s="235" t="str">
        <x:f>IF($B57="","",IF($I57="停用","停用",IF($I57="退回補件","退回補件",IF(COUNTIFS($A$7:$A$156,$A57)&gt;1,"規則編號重複",IF(OR($A57="",$C57="",$D57="",$E57="",$F57="",$G57="",$H57="",$J57=""),IF($I57="已核定","已核定但資料未完整","待補欄位或核定"),IF(OR($M57="",$N57=""),IF($I57="已核定","已核定但缺來源依據","待補來源依據"),IF($I57="已核定","可發布","待主管核定")))))))</x:f>
      </x:c>
      <x:c r="M57" s="421"/>
      <x:c r="N57" s="421"/>
    </x:row>
    <x:row r="58">
      <x:c r="A58" s="170"/>
      <x:c r="B58" s="170"/>
      <x:c r="C58" s="170"/>
      <x:c r="D58" s="170"/>
      <x:c r="E58" s="170"/>
      <x:c r="F58" s="170"/>
      <x:c r="G58" s="170"/>
      <x:c r="H58" s="171"/>
      <x:c r="I58" s="170"/>
      <x:c r="J58" s="170"/>
      <x:c r="K58" s="170"/>
      <x:c r="L58" s="235" t="str">
        <x:f>IF($B58="","",IF($I58="停用","停用",IF($I58="退回補件","退回補件",IF(COUNTIFS($A$7:$A$156,$A58)&gt;1,"規則編號重複",IF(OR($A58="",$C58="",$D58="",$E58="",$F58="",$G58="",$H58="",$J58=""),IF($I58="已核定","已核定但資料未完整","待補欄位或核定"),IF(OR($M58="",$N58=""),IF($I58="已核定","已核定但缺來源依據","待補來源依據"),IF($I58="已核定","可發布","待主管核定")))))))</x:f>
      </x:c>
      <x:c r="M58" s="421"/>
      <x:c r="N58" s="421"/>
    </x:row>
    <x:row r="59">
      <x:c r="A59" s="170"/>
      <x:c r="B59" s="170"/>
      <x:c r="C59" s="170"/>
      <x:c r="D59" s="170"/>
      <x:c r="E59" s="170"/>
      <x:c r="F59" s="170"/>
      <x:c r="G59" s="170"/>
      <x:c r="H59" s="171"/>
      <x:c r="I59" s="170"/>
      <x:c r="J59" s="170"/>
      <x:c r="K59" s="170"/>
      <x:c r="L59" s="235" t="str">
        <x:f>IF($B59="","",IF($I59="停用","停用",IF($I59="退回補件","退回補件",IF(COUNTIFS($A$7:$A$156,$A59)&gt;1,"規則編號重複",IF(OR($A59="",$C59="",$D59="",$E59="",$F59="",$G59="",$H59="",$J59=""),IF($I59="已核定","已核定但資料未完整","待補欄位或核定"),IF(OR($M59="",$N59=""),IF($I59="已核定","已核定但缺來源依據","待補來源依據"),IF($I59="已核定","可發布","待主管核定")))))))</x:f>
      </x:c>
      <x:c r="M59" s="421"/>
      <x:c r="N59" s="421"/>
    </x:row>
    <x:row r="60">
      <x:c r="A60" s="170"/>
      <x:c r="B60" s="170"/>
      <x:c r="C60" s="170"/>
      <x:c r="D60" s="170"/>
      <x:c r="E60" s="170"/>
      <x:c r="F60" s="170"/>
      <x:c r="G60" s="170"/>
      <x:c r="H60" s="171"/>
      <x:c r="I60" s="170"/>
      <x:c r="J60" s="170"/>
      <x:c r="K60" s="170"/>
      <x:c r="L60" s="235" t="str">
        <x:f>IF($B60="","",IF($I60="停用","停用",IF($I60="退回補件","退回補件",IF(COUNTIFS($A$7:$A$156,$A60)&gt;1,"規則編號重複",IF(OR($A60="",$C60="",$D60="",$E60="",$F60="",$G60="",$H60="",$J60=""),IF($I60="已核定","已核定但資料未完整","待補欄位或核定"),IF(OR($M60="",$N60=""),IF($I60="已核定","已核定但缺來源依據","待補來源依據"),IF($I60="已核定","可發布","待主管核定")))))))</x:f>
      </x:c>
      <x:c r="M60" s="421"/>
      <x:c r="N60" s="421"/>
    </x:row>
    <x:row r="61">
      <x:c r="A61" s="170"/>
      <x:c r="B61" s="170"/>
      <x:c r="C61" s="170"/>
      <x:c r="D61" s="170"/>
      <x:c r="E61" s="170"/>
      <x:c r="F61" s="170"/>
      <x:c r="G61" s="170"/>
      <x:c r="H61" s="171"/>
      <x:c r="I61" s="170"/>
      <x:c r="J61" s="170"/>
      <x:c r="K61" s="170"/>
      <x:c r="L61" s="235" t="str">
        <x:f>IF($B61="","",IF($I61="停用","停用",IF($I61="退回補件","退回補件",IF(COUNTIFS($A$7:$A$156,$A61)&gt;1,"規則編號重複",IF(OR($A61="",$C61="",$D61="",$E61="",$F61="",$G61="",$H61="",$J61=""),IF($I61="已核定","已核定但資料未完整","待補欄位或核定"),IF(OR($M61="",$N61=""),IF($I61="已核定","已核定但缺來源依據","待補來源依據"),IF($I61="已核定","可發布","待主管核定")))))))</x:f>
      </x:c>
      <x:c r="M61" s="421"/>
      <x:c r="N61" s="421"/>
    </x:row>
    <x:row r="62">
      <x:c r="A62" s="170"/>
      <x:c r="B62" s="170"/>
      <x:c r="C62" s="170"/>
      <x:c r="D62" s="170"/>
      <x:c r="E62" s="170"/>
      <x:c r="F62" s="170"/>
      <x:c r="G62" s="170"/>
      <x:c r="H62" s="171"/>
      <x:c r="I62" s="170"/>
      <x:c r="J62" s="170"/>
      <x:c r="K62" s="170"/>
      <x:c r="L62" s="235" t="str">
        <x:f>IF($B62="","",IF($I62="停用","停用",IF($I62="退回補件","退回補件",IF(COUNTIFS($A$7:$A$156,$A62)&gt;1,"規則編號重複",IF(OR($A62="",$C62="",$D62="",$E62="",$F62="",$G62="",$H62="",$J62=""),IF($I62="已核定","已核定但資料未完整","待補欄位或核定"),IF(OR($M62="",$N62=""),IF($I62="已核定","已核定但缺來源依據","待補來源依據"),IF($I62="已核定","可發布","待主管核定")))))))</x:f>
      </x:c>
      <x:c r="M62" s="421"/>
      <x:c r="N62" s="421"/>
    </x:row>
    <x:row r="63">
      <x:c r="A63" s="170"/>
      <x:c r="B63" s="170"/>
      <x:c r="C63" s="170"/>
      <x:c r="D63" s="170"/>
      <x:c r="E63" s="170"/>
      <x:c r="F63" s="170"/>
      <x:c r="G63" s="170"/>
      <x:c r="H63" s="171"/>
      <x:c r="I63" s="170"/>
      <x:c r="J63" s="170"/>
      <x:c r="K63" s="170"/>
      <x:c r="L63" s="235" t="str">
        <x:f>IF($B63="","",IF($I63="停用","停用",IF($I63="退回補件","退回補件",IF(COUNTIFS($A$7:$A$156,$A63)&gt;1,"規則編號重複",IF(OR($A63="",$C63="",$D63="",$E63="",$F63="",$G63="",$H63="",$J63=""),IF($I63="已核定","已核定但資料未完整","待補欄位或核定"),IF(OR($M63="",$N63=""),IF($I63="已核定","已核定但缺來源依據","待補來源依據"),IF($I63="已核定","可發布","待主管核定")))))))</x:f>
      </x:c>
      <x:c r="M63" s="421"/>
      <x:c r="N63" s="421"/>
    </x:row>
    <x:row r="64">
      <x:c r="A64" s="170"/>
      <x:c r="B64" s="170"/>
      <x:c r="C64" s="170"/>
      <x:c r="D64" s="170"/>
      <x:c r="E64" s="170"/>
      <x:c r="F64" s="170"/>
      <x:c r="G64" s="170"/>
      <x:c r="H64" s="171"/>
      <x:c r="I64" s="170"/>
      <x:c r="J64" s="170"/>
      <x:c r="K64" s="170"/>
      <x:c r="L64" s="235" t="str">
        <x:f>IF($B64="","",IF($I64="停用","停用",IF($I64="退回補件","退回補件",IF(COUNTIFS($A$7:$A$156,$A64)&gt;1,"規則編號重複",IF(OR($A64="",$C64="",$D64="",$E64="",$F64="",$G64="",$H64="",$J64=""),IF($I64="已核定","已核定但資料未完整","待補欄位或核定"),IF(OR($M64="",$N64=""),IF($I64="已核定","已核定但缺來源依據","待補來源依據"),IF($I64="已核定","可發布","待主管核定")))))))</x:f>
      </x:c>
      <x:c r="M64" s="421"/>
      <x:c r="N64" s="421"/>
    </x:row>
    <x:row r="65">
      <x:c r="A65" s="170"/>
      <x:c r="B65" s="170"/>
      <x:c r="C65" s="170"/>
      <x:c r="D65" s="170"/>
      <x:c r="E65" s="170"/>
      <x:c r="F65" s="170"/>
      <x:c r="G65" s="170"/>
      <x:c r="H65" s="171"/>
      <x:c r="I65" s="170"/>
      <x:c r="J65" s="170"/>
      <x:c r="K65" s="170"/>
      <x:c r="L65" s="235" t="str">
        <x:f>IF($B65="","",IF($I65="停用","停用",IF($I65="退回補件","退回補件",IF(COUNTIFS($A$7:$A$156,$A65)&gt;1,"規則編號重複",IF(OR($A65="",$C65="",$D65="",$E65="",$F65="",$G65="",$H65="",$J65=""),IF($I65="已核定","已核定但資料未完整","待補欄位或核定"),IF(OR($M65="",$N65=""),IF($I65="已核定","已核定但缺來源依據","待補來源依據"),IF($I65="已核定","可發布","待主管核定")))))))</x:f>
      </x:c>
      <x:c r="M65" s="421"/>
      <x:c r="N65" s="421"/>
    </x:row>
    <x:row r="66">
      <x:c r="A66" s="170"/>
      <x:c r="B66" s="170"/>
      <x:c r="C66" s="170"/>
      <x:c r="D66" s="170"/>
      <x:c r="E66" s="170"/>
      <x:c r="F66" s="170"/>
      <x:c r="G66" s="170"/>
      <x:c r="H66" s="171"/>
      <x:c r="I66" s="170"/>
      <x:c r="J66" s="170"/>
      <x:c r="K66" s="170"/>
      <x:c r="L66" s="235" t="str">
        <x:f>IF($B66="","",IF($I66="停用","停用",IF($I66="退回補件","退回補件",IF(COUNTIFS($A$7:$A$156,$A66)&gt;1,"規則編號重複",IF(OR($A66="",$C66="",$D66="",$E66="",$F66="",$G66="",$H66="",$J66=""),IF($I66="已核定","已核定但資料未完整","待補欄位或核定"),IF(OR($M66="",$N66=""),IF($I66="已核定","已核定但缺來源依據","待補來源依據"),IF($I66="已核定","可發布","待主管核定")))))))</x:f>
      </x:c>
      <x:c r="M66" s="421"/>
      <x:c r="N66" s="421"/>
    </x:row>
    <x:row r="67">
      <x:c r="A67" s="170"/>
      <x:c r="B67" s="170"/>
      <x:c r="C67" s="170"/>
      <x:c r="D67" s="170"/>
      <x:c r="E67" s="170"/>
      <x:c r="F67" s="170"/>
      <x:c r="G67" s="170"/>
      <x:c r="H67" s="171"/>
      <x:c r="I67" s="170"/>
      <x:c r="J67" s="170"/>
      <x:c r="K67" s="170"/>
      <x:c r="L67" s="235" t="str">
        <x:f>IF($B67="","",IF($I67="停用","停用",IF($I67="退回補件","退回補件",IF(COUNTIFS($A$7:$A$156,$A67)&gt;1,"規則編號重複",IF(OR($A67="",$C67="",$D67="",$E67="",$F67="",$G67="",$H67="",$J67=""),IF($I67="已核定","已核定但資料未完整","待補欄位或核定"),IF(OR($M67="",$N67=""),IF($I67="已核定","已核定但缺來源依據","待補來源依據"),IF($I67="已核定","可發布","待主管核定")))))))</x:f>
      </x:c>
      <x:c r="M67" s="421"/>
      <x:c r="N67" s="421"/>
    </x:row>
    <x:row r="68">
      <x:c r="A68" s="170"/>
      <x:c r="B68" s="170"/>
      <x:c r="C68" s="170"/>
      <x:c r="D68" s="170"/>
      <x:c r="E68" s="170"/>
      <x:c r="F68" s="170"/>
      <x:c r="G68" s="170"/>
      <x:c r="H68" s="171"/>
      <x:c r="I68" s="170"/>
      <x:c r="J68" s="170"/>
      <x:c r="K68" s="170"/>
      <x:c r="L68" s="235" t="str">
        <x:f>IF($B68="","",IF($I68="停用","停用",IF($I68="退回補件","退回補件",IF(COUNTIFS($A$7:$A$156,$A68)&gt;1,"規則編號重複",IF(OR($A68="",$C68="",$D68="",$E68="",$F68="",$G68="",$H68="",$J68=""),IF($I68="已核定","已核定但資料未完整","待補欄位或核定"),IF(OR($M68="",$N68=""),IF($I68="已核定","已核定但缺來源依據","待補來源依據"),IF($I68="已核定","可發布","待主管核定")))))))</x:f>
      </x:c>
      <x:c r="M68" s="421"/>
      <x:c r="N68" s="421"/>
    </x:row>
    <x:row r="69">
      <x:c r="A69" s="170"/>
      <x:c r="B69" s="170"/>
      <x:c r="C69" s="170"/>
      <x:c r="D69" s="170"/>
      <x:c r="E69" s="170"/>
      <x:c r="F69" s="170"/>
      <x:c r="G69" s="170"/>
      <x:c r="H69" s="171"/>
      <x:c r="I69" s="170"/>
      <x:c r="J69" s="170"/>
      <x:c r="K69" s="170"/>
      <x:c r="L69" s="235" t="str">
        <x:f>IF($B69="","",IF($I69="停用","停用",IF($I69="退回補件","退回補件",IF(COUNTIFS($A$7:$A$156,$A69)&gt;1,"規則編號重複",IF(OR($A69="",$C69="",$D69="",$E69="",$F69="",$G69="",$H69="",$J69=""),IF($I69="已核定","已核定但資料未完整","待補欄位或核定"),IF(OR($M69="",$N69=""),IF($I69="已核定","已核定但缺來源依據","待補來源依據"),IF($I69="已核定","可發布","待主管核定")))))))</x:f>
      </x:c>
      <x:c r="M69" s="421"/>
      <x:c r="N69" s="421"/>
    </x:row>
    <x:row r="70">
      <x:c r="A70" s="170"/>
      <x:c r="B70" s="170"/>
      <x:c r="C70" s="170"/>
      <x:c r="D70" s="170"/>
      <x:c r="E70" s="170"/>
      <x:c r="F70" s="170"/>
      <x:c r="G70" s="170"/>
      <x:c r="H70" s="171"/>
      <x:c r="I70" s="170"/>
      <x:c r="J70" s="170"/>
      <x:c r="K70" s="170"/>
      <x:c r="L70" s="235" t="str">
        <x:f>IF($B70="","",IF($I70="停用","停用",IF($I70="退回補件","退回補件",IF(COUNTIFS($A$7:$A$156,$A70)&gt;1,"規則編號重複",IF(OR($A70="",$C70="",$D70="",$E70="",$F70="",$G70="",$H70="",$J70=""),IF($I70="已核定","已核定但資料未完整","待補欄位或核定"),IF(OR($M70="",$N70=""),IF($I70="已核定","已核定但缺來源依據","待補來源依據"),IF($I70="已核定","可發布","待主管核定")))))))</x:f>
      </x:c>
      <x:c r="M70" s="421"/>
      <x:c r="N70" s="421"/>
    </x:row>
    <x:row r="71">
      <x:c r="A71" s="170"/>
      <x:c r="B71" s="170"/>
      <x:c r="C71" s="170"/>
      <x:c r="D71" s="170"/>
      <x:c r="E71" s="170"/>
      <x:c r="F71" s="170"/>
      <x:c r="G71" s="170"/>
      <x:c r="H71" s="171"/>
      <x:c r="I71" s="170"/>
      <x:c r="J71" s="170"/>
      <x:c r="K71" s="170"/>
      <x:c r="L71" s="235" t="str">
        <x:f>IF($B71="","",IF($I71="停用","停用",IF($I71="退回補件","退回補件",IF(COUNTIFS($A$7:$A$156,$A71)&gt;1,"規則編號重複",IF(OR($A71="",$C71="",$D71="",$E71="",$F71="",$G71="",$H71="",$J71=""),IF($I71="已核定","已核定但資料未完整","待補欄位或核定"),IF(OR($M71="",$N71=""),IF($I71="已核定","已核定但缺來源依據","待補來源依據"),IF($I71="已核定","可發布","待主管核定")))))))</x:f>
      </x:c>
      <x:c r="M71" s="421"/>
      <x:c r="N71" s="421"/>
    </x:row>
    <x:row r="72">
      <x:c r="A72" s="170"/>
      <x:c r="B72" s="170"/>
      <x:c r="C72" s="170"/>
      <x:c r="D72" s="170"/>
      <x:c r="E72" s="170"/>
      <x:c r="F72" s="170"/>
      <x:c r="G72" s="170"/>
      <x:c r="H72" s="171"/>
      <x:c r="I72" s="170"/>
      <x:c r="J72" s="170"/>
      <x:c r="K72" s="170"/>
      <x:c r="L72" s="235" t="str">
        <x:f>IF($B72="","",IF($I72="停用","停用",IF($I72="退回補件","退回補件",IF(COUNTIFS($A$7:$A$156,$A72)&gt;1,"規則編號重複",IF(OR($A72="",$C72="",$D72="",$E72="",$F72="",$G72="",$H72="",$J72=""),IF($I72="已核定","已核定但資料未完整","待補欄位或核定"),IF(OR($M72="",$N72=""),IF($I72="已核定","已核定但缺來源依據","待補來源依據"),IF($I72="已核定","可發布","待主管核定")))))))</x:f>
      </x:c>
      <x:c r="M72" s="421"/>
      <x:c r="N72" s="421"/>
    </x:row>
    <x:row r="73">
      <x:c r="A73" s="170"/>
      <x:c r="B73" s="170"/>
      <x:c r="C73" s="170"/>
      <x:c r="D73" s="170"/>
      <x:c r="E73" s="170"/>
      <x:c r="F73" s="170"/>
      <x:c r="G73" s="170"/>
      <x:c r="H73" s="171"/>
      <x:c r="I73" s="170"/>
      <x:c r="J73" s="170"/>
      <x:c r="K73" s="170"/>
      <x:c r="L73" s="235" t="str">
        <x:f>IF($B73="","",IF($I73="停用","停用",IF($I73="退回補件","退回補件",IF(COUNTIFS($A$7:$A$156,$A73)&gt;1,"規則編號重複",IF(OR($A73="",$C73="",$D73="",$E73="",$F73="",$G73="",$H73="",$J73=""),IF($I73="已核定","已核定但資料未完整","待補欄位或核定"),IF(OR($M73="",$N73=""),IF($I73="已核定","已核定但缺來源依據","待補來源依據"),IF($I73="已核定","可發布","待主管核定")))))))</x:f>
      </x:c>
      <x:c r="M73" s="421"/>
      <x:c r="N73" s="421"/>
    </x:row>
    <x:row r="74">
      <x:c r="A74" s="170"/>
      <x:c r="B74" s="170"/>
      <x:c r="C74" s="170"/>
      <x:c r="D74" s="170"/>
      <x:c r="E74" s="170"/>
      <x:c r="F74" s="170"/>
      <x:c r="G74" s="170"/>
      <x:c r="H74" s="171"/>
      <x:c r="I74" s="170"/>
      <x:c r="J74" s="170"/>
      <x:c r="K74" s="170"/>
      <x:c r="L74" s="235" t="str">
        <x:f>IF($B74="","",IF($I74="停用","停用",IF($I74="退回補件","退回補件",IF(COUNTIFS($A$7:$A$156,$A74)&gt;1,"規則編號重複",IF(OR($A74="",$C74="",$D74="",$E74="",$F74="",$G74="",$H74="",$J74=""),IF($I74="已核定","已核定但資料未完整","待補欄位或核定"),IF(OR($M74="",$N74=""),IF($I74="已核定","已核定但缺來源依據","待補來源依據"),IF($I74="已核定","可發布","待主管核定")))))))</x:f>
      </x:c>
      <x:c r="M74" s="421"/>
      <x:c r="N74" s="421"/>
    </x:row>
    <x:row r="75">
      <x:c r="A75" s="170"/>
      <x:c r="B75" s="170"/>
      <x:c r="C75" s="170"/>
      <x:c r="D75" s="170"/>
      <x:c r="E75" s="170"/>
      <x:c r="F75" s="170"/>
      <x:c r="G75" s="170"/>
      <x:c r="H75" s="171"/>
      <x:c r="I75" s="170"/>
      <x:c r="J75" s="170"/>
      <x:c r="K75" s="170"/>
      <x:c r="L75" s="235" t="str">
        <x:f>IF($B75="","",IF($I75="停用","停用",IF($I75="退回補件","退回補件",IF(COUNTIFS($A$7:$A$156,$A75)&gt;1,"規則編號重複",IF(OR($A75="",$C75="",$D75="",$E75="",$F75="",$G75="",$H75="",$J75=""),IF($I75="已核定","已核定但資料未完整","待補欄位或核定"),IF(OR($M75="",$N75=""),IF($I75="已核定","已核定但缺來源依據","待補來源依據"),IF($I75="已核定","可發布","待主管核定")))))))</x:f>
      </x:c>
      <x:c r="M75" s="421"/>
      <x:c r="N75" s="421"/>
    </x:row>
    <x:row r="76">
      <x:c r="A76" s="170"/>
      <x:c r="B76" s="170"/>
      <x:c r="C76" s="170"/>
      <x:c r="D76" s="170"/>
      <x:c r="E76" s="170"/>
      <x:c r="F76" s="170"/>
      <x:c r="G76" s="170"/>
      <x:c r="H76" s="171"/>
      <x:c r="I76" s="170"/>
      <x:c r="J76" s="170"/>
      <x:c r="K76" s="170"/>
      <x:c r="L76" s="235" t="str">
        <x:f>IF($B76="","",IF($I76="停用","停用",IF($I76="退回補件","退回補件",IF(COUNTIFS($A$7:$A$156,$A76)&gt;1,"規則編號重複",IF(OR($A76="",$C76="",$D76="",$E76="",$F76="",$G76="",$H76="",$J76=""),IF($I76="已核定","已核定但資料未完整","待補欄位或核定"),IF(OR($M76="",$N76=""),IF($I76="已核定","已核定但缺來源依據","待補來源依據"),IF($I76="已核定","可發布","待主管核定")))))))</x:f>
      </x:c>
      <x:c r="M76" s="421"/>
      <x:c r="N76" s="421"/>
    </x:row>
    <x:row r="77">
      <x:c r="A77" s="170"/>
      <x:c r="B77" s="170"/>
      <x:c r="C77" s="170"/>
      <x:c r="D77" s="170"/>
      <x:c r="E77" s="170"/>
      <x:c r="F77" s="170"/>
      <x:c r="G77" s="170"/>
      <x:c r="H77" s="171"/>
      <x:c r="I77" s="170"/>
      <x:c r="J77" s="170"/>
      <x:c r="K77" s="170"/>
      <x:c r="L77" s="235" t="str">
        <x:f>IF($B77="","",IF($I77="停用","停用",IF($I77="退回補件","退回補件",IF(COUNTIFS($A$7:$A$156,$A77)&gt;1,"規則編號重複",IF(OR($A77="",$C77="",$D77="",$E77="",$F77="",$G77="",$H77="",$J77=""),IF($I77="已核定","已核定但資料未完整","待補欄位或核定"),IF(OR($M77="",$N77=""),IF($I77="已核定","已核定但缺來源依據","待補來源依據"),IF($I77="已核定","可發布","待主管核定")))))))</x:f>
      </x:c>
      <x:c r="M77" s="421"/>
      <x:c r="N77" s="421"/>
    </x:row>
    <x:row r="78">
      <x:c r="A78" s="170"/>
      <x:c r="B78" s="170"/>
      <x:c r="C78" s="170"/>
      <x:c r="D78" s="170"/>
      <x:c r="E78" s="170"/>
      <x:c r="F78" s="170"/>
      <x:c r="G78" s="170"/>
      <x:c r="H78" s="171"/>
      <x:c r="I78" s="170"/>
      <x:c r="J78" s="170"/>
      <x:c r="K78" s="170"/>
      <x:c r="L78" s="235" t="str">
        <x:f>IF($B78="","",IF($I78="停用","停用",IF($I78="退回補件","退回補件",IF(COUNTIFS($A$7:$A$156,$A78)&gt;1,"規則編號重複",IF(OR($A78="",$C78="",$D78="",$E78="",$F78="",$G78="",$H78="",$J78=""),IF($I78="已核定","已核定但資料未完整","待補欄位或核定"),IF(OR($M78="",$N78=""),IF($I78="已核定","已核定但缺來源依據","待補來源依據"),IF($I78="已核定","可發布","待主管核定")))))))</x:f>
      </x:c>
      <x:c r="M78" s="421"/>
      <x:c r="N78" s="421"/>
    </x:row>
    <x:row r="79">
      <x:c r="A79" s="170"/>
      <x:c r="B79" s="170"/>
      <x:c r="C79" s="170"/>
      <x:c r="D79" s="170"/>
      <x:c r="E79" s="170"/>
      <x:c r="F79" s="170"/>
      <x:c r="G79" s="170"/>
      <x:c r="H79" s="171"/>
      <x:c r="I79" s="170"/>
      <x:c r="J79" s="170"/>
      <x:c r="K79" s="170"/>
      <x:c r="L79" s="235" t="str">
        <x:f>IF($B79="","",IF($I79="停用","停用",IF($I79="退回補件","退回補件",IF(COUNTIFS($A$7:$A$156,$A79)&gt;1,"規則編號重複",IF(OR($A79="",$C79="",$D79="",$E79="",$F79="",$G79="",$H79="",$J79=""),IF($I79="已核定","已核定但資料未完整","待補欄位或核定"),IF(OR($M79="",$N79=""),IF($I79="已核定","已核定但缺來源依據","待補來源依據"),IF($I79="已核定","可發布","待主管核定")))))))</x:f>
      </x:c>
      <x:c r="M79" s="421"/>
      <x:c r="N79" s="421"/>
    </x:row>
    <x:row r="80">
      <x:c r="A80" s="170"/>
      <x:c r="B80" s="170"/>
      <x:c r="C80" s="170"/>
      <x:c r="D80" s="170"/>
      <x:c r="E80" s="170"/>
      <x:c r="F80" s="170"/>
      <x:c r="G80" s="170"/>
      <x:c r="H80" s="171"/>
      <x:c r="I80" s="170"/>
      <x:c r="J80" s="170"/>
      <x:c r="K80" s="170"/>
      <x:c r="L80" s="235" t="str">
        <x:f>IF($B80="","",IF($I80="停用","停用",IF($I80="退回補件","退回補件",IF(COUNTIFS($A$7:$A$156,$A80)&gt;1,"規則編號重複",IF(OR($A80="",$C80="",$D80="",$E80="",$F80="",$G80="",$H80="",$J80=""),IF($I80="已核定","已核定但資料未完整","待補欄位或核定"),IF(OR($M80="",$N80=""),IF($I80="已核定","已核定但缺來源依據","待補來源依據"),IF($I80="已核定","可發布","待主管核定")))))))</x:f>
      </x:c>
      <x:c r="M80" s="421"/>
      <x:c r="N80" s="421"/>
    </x:row>
    <x:row r="81">
      <x:c r="A81" s="170"/>
      <x:c r="B81" s="170"/>
      <x:c r="C81" s="170"/>
      <x:c r="D81" s="170"/>
      <x:c r="E81" s="170"/>
      <x:c r="F81" s="170"/>
      <x:c r="G81" s="170"/>
      <x:c r="H81" s="171"/>
      <x:c r="I81" s="170"/>
      <x:c r="J81" s="170"/>
      <x:c r="K81" s="170"/>
      <x:c r="L81" s="235" t="str">
        <x:f>IF($B81="","",IF($I81="停用","停用",IF($I81="退回補件","退回補件",IF(COUNTIFS($A$7:$A$156,$A81)&gt;1,"規則編號重複",IF(OR($A81="",$C81="",$D81="",$E81="",$F81="",$G81="",$H81="",$J81=""),IF($I81="已核定","已核定但資料未完整","待補欄位或核定"),IF(OR($M81="",$N81=""),IF($I81="已核定","已核定但缺來源依據","待補來源依據"),IF($I81="已核定","可發布","待主管核定")))))))</x:f>
      </x:c>
      <x:c r="M81" s="421"/>
      <x:c r="N81" s="421"/>
    </x:row>
    <x:row r="82">
      <x:c r="A82" s="170"/>
      <x:c r="B82" s="170"/>
      <x:c r="C82" s="170"/>
      <x:c r="D82" s="170"/>
      <x:c r="E82" s="170"/>
      <x:c r="F82" s="170"/>
      <x:c r="G82" s="170"/>
      <x:c r="H82" s="171"/>
      <x:c r="I82" s="170"/>
      <x:c r="J82" s="170"/>
      <x:c r="K82" s="170"/>
      <x:c r="L82" s="235" t="str">
        <x:f>IF($B82="","",IF($I82="停用","停用",IF($I82="退回補件","退回補件",IF(COUNTIFS($A$7:$A$156,$A82)&gt;1,"規則編號重複",IF(OR($A82="",$C82="",$D82="",$E82="",$F82="",$G82="",$H82="",$J82=""),IF($I82="已核定","已核定但資料未完整","待補欄位或核定"),IF(OR($M82="",$N82=""),IF($I82="已核定","已核定但缺來源依據","待補來源依據"),IF($I82="已核定","可發布","待主管核定")))))))</x:f>
      </x:c>
      <x:c r="M82" s="421"/>
      <x:c r="N82" s="421"/>
    </x:row>
    <x:row r="83">
      <x:c r="A83" s="170"/>
      <x:c r="B83" s="170"/>
      <x:c r="C83" s="170"/>
      <x:c r="D83" s="170"/>
      <x:c r="E83" s="170"/>
      <x:c r="F83" s="170"/>
      <x:c r="G83" s="170"/>
      <x:c r="H83" s="171"/>
      <x:c r="I83" s="170"/>
      <x:c r="J83" s="170"/>
      <x:c r="K83" s="170"/>
      <x:c r="L83" s="235" t="str">
        <x:f>IF($B83="","",IF($I83="停用","停用",IF($I83="退回補件","退回補件",IF(COUNTIFS($A$7:$A$156,$A83)&gt;1,"規則編號重複",IF(OR($A83="",$C83="",$D83="",$E83="",$F83="",$G83="",$H83="",$J83=""),IF($I83="已核定","已核定但資料未完整","待補欄位或核定"),IF(OR($M83="",$N83=""),IF($I83="已核定","已核定但缺來源依據","待補來源依據"),IF($I83="已核定","可發布","待主管核定")))))))</x:f>
      </x:c>
      <x:c r="M83" s="421"/>
      <x:c r="N83" s="421"/>
    </x:row>
    <x:row r="84">
      <x:c r="A84" s="170"/>
      <x:c r="B84" s="170"/>
      <x:c r="C84" s="170"/>
      <x:c r="D84" s="170"/>
      <x:c r="E84" s="170"/>
      <x:c r="F84" s="170"/>
      <x:c r="G84" s="170"/>
      <x:c r="H84" s="171"/>
      <x:c r="I84" s="170"/>
      <x:c r="J84" s="170"/>
      <x:c r="K84" s="170"/>
      <x:c r="L84" s="235" t="str">
        <x:f>IF($B84="","",IF($I84="停用","停用",IF($I84="退回補件","退回補件",IF(COUNTIFS($A$7:$A$156,$A84)&gt;1,"規則編號重複",IF(OR($A84="",$C84="",$D84="",$E84="",$F84="",$G84="",$H84="",$J84=""),IF($I84="已核定","已核定但資料未完整","待補欄位或核定"),IF(OR($M84="",$N84=""),IF($I84="已核定","已核定但缺來源依據","待補來源依據"),IF($I84="已核定","可發布","待主管核定")))))))</x:f>
      </x:c>
      <x:c r="M84" s="421"/>
      <x:c r="N84" s="421"/>
    </x:row>
    <x:row r="85">
      <x:c r="A85" s="170"/>
      <x:c r="B85" s="170"/>
      <x:c r="C85" s="170"/>
      <x:c r="D85" s="170"/>
      <x:c r="E85" s="170"/>
      <x:c r="F85" s="170"/>
      <x:c r="G85" s="170"/>
      <x:c r="H85" s="171"/>
      <x:c r="I85" s="170"/>
      <x:c r="J85" s="170"/>
      <x:c r="K85" s="170"/>
      <x:c r="L85" s="235" t="str">
        <x:f>IF($B85="","",IF($I85="停用","停用",IF($I85="退回補件","退回補件",IF(COUNTIFS($A$7:$A$156,$A85)&gt;1,"規則編號重複",IF(OR($A85="",$C85="",$D85="",$E85="",$F85="",$G85="",$H85="",$J85=""),IF($I85="已核定","已核定但資料未完整","待補欄位或核定"),IF(OR($M85="",$N85=""),IF($I85="已核定","已核定但缺來源依據","待補來源依據"),IF($I85="已核定","可發布","待主管核定")))))))</x:f>
      </x:c>
      <x:c r="M85" s="421"/>
      <x:c r="N85" s="421"/>
    </x:row>
    <x:row r="86">
      <x:c r="A86" s="170"/>
      <x:c r="B86" s="170"/>
      <x:c r="C86" s="170"/>
      <x:c r="D86" s="170"/>
      <x:c r="E86" s="170"/>
      <x:c r="F86" s="170"/>
      <x:c r="G86" s="170"/>
      <x:c r="H86" s="171"/>
      <x:c r="I86" s="170"/>
      <x:c r="J86" s="170"/>
      <x:c r="K86" s="170"/>
      <x:c r="L86" s="235" t="str">
        <x:f>IF($B86="","",IF($I86="停用","停用",IF($I86="退回補件","退回補件",IF(COUNTIFS($A$7:$A$156,$A86)&gt;1,"規則編號重複",IF(OR($A86="",$C86="",$D86="",$E86="",$F86="",$G86="",$H86="",$J86=""),IF($I86="已核定","已核定但資料未完整","待補欄位或核定"),IF(OR($M86="",$N86=""),IF($I86="已核定","已核定但缺來源依據","待補來源依據"),IF($I86="已核定","可發布","待主管核定")))))))</x:f>
      </x:c>
      <x:c r="M86" s="421"/>
      <x:c r="N86" s="421"/>
    </x:row>
    <x:row r="87">
      <x:c r="A87" s="170"/>
      <x:c r="B87" s="170"/>
      <x:c r="C87" s="170"/>
      <x:c r="D87" s="170"/>
      <x:c r="E87" s="170"/>
      <x:c r="F87" s="170"/>
      <x:c r="G87" s="170"/>
      <x:c r="H87" s="171"/>
      <x:c r="I87" s="170"/>
      <x:c r="J87" s="170"/>
      <x:c r="K87" s="170"/>
      <x:c r="L87" s="235" t="str">
        <x:f>IF($B87="","",IF($I87="停用","停用",IF($I87="退回補件","退回補件",IF(COUNTIFS($A$7:$A$156,$A87)&gt;1,"規則編號重複",IF(OR($A87="",$C87="",$D87="",$E87="",$F87="",$G87="",$H87="",$J87=""),IF($I87="已核定","已核定但資料未完整","待補欄位或核定"),IF(OR($M87="",$N87=""),IF($I87="已核定","已核定但缺來源依據","待補來源依據"),IF($I87="已核定","可發布","待主管核定")))))))</x:f>
      </x:c>
      <x:c r="M87" s="421"/>
      <x:c r="N87" s="421"/>
    </x:row>
    <x:row r="88">
      <x:c r="A88" s="170"/>
      <x:c r="B88" s="170"/>
      <x:c r="C88" s="170"/>
      <x:c r="D88" s="170"/>
      <x:c r="E88" s="170"/>
      <x:c r="F88" s="170"/>
      <x:c r="G88" s="170"/>
      <x:c r="H88" s="171"/>
      <x:c r="I88" s="170"/>
      <x:c r="J88" s="170"/>
      <x:c r="K88" s="170"/>
      <x:c r="L88" s="235" t="str">
        <x:f>IF($B88="","",IF($I88="停用","停用",IF($I88="退回補件","退回補件",IF(COUNTIFS($A$7:$A$156,$A88)&gt;1,"規則編號重複",IF(OR($A88="",$C88="",$D88="",$E88="",$F88="",$G88="",$H88="",$J88=""),IF($I88="已核定","已核定但資料未完整","待補欄位或核定"),IF(OR($M88="",$N88=""),IF($I88="已核定","已核定但缺來源依據","待補來源依據"),IF($I88="已核定","可發布","待主管核定")))))))</x:f>
      </x:c>
      <x:c r="M88" s="421"/>
      <x:c r="N88" s="421"/>
    </x:row>
    <x:row r="89">
      <x:c r="A89" s="170"/>
      <x:c r="B89" s="170"/>
      <x:c r="C89" s="170"/>
      <x:c r="D89" s="170"/>
      <x:c r="E89" s="170"/>
      <x:c r="F89" s="170"/>
      <x:c r="G89" s="170"/>
      <x:c r="H89" s="171"/>
      <x:c r="I89" s="170"/>
      <x:c r="J89" s="170"/>
      <x:c r="K89" s="170"/>
      <x:c r="L89" s="235" t="str">
        <x:f>IF($B89="","",IF($I89="停用","停用",IF($I89="退回補件","退回補件",IF(COUNTIFS($A$7:$A$156,$A89)&gt;1,"規則編號重複",IF(OR($A89="",$C89="",$D89="",$E89="",$F89="",$G89="",$H89="",$J89=""),IF($I89="已核定","已核定但資料未完整","待補欄位或核定"),IF(OR($M89="",$N89=""),IF($I89="已核定","已核定但缺來源依據","待補來源依據"),IF($I89="已核定","可發布","待主管核定")))))))</x:f>
      </x:c>
      <x:c r="M89" s="421"/>
      <x:c r="N89" s="421"/>
    </x:row>
    <x:row r="90">
      <x:c r="A90" s="170"/>
      <x:c r="B90" s="170"/>
      <x:c r="C90" s="170"/>
      <x:c r="D90" s="170"/>
      <x:c r="E90" s="170"/>
      <x:c r="F90" s="170"/>
      <x:c r="G90" s="170"/>
      <x:c r="H90" s="171"/>
      <x:c r="I90" s="170"/>
      <x:c r="J90" s="170"/>
      <x:c r="K90" s="170"/>
      <x:c r="L90" s="235" t="str">
        <x:f>IF($B90="","",IF($I90="停用","停用",IF($I90="退回補件","退回補件",IF(COUNTIFS($A$7:$A$156,$A90)&gt;1,"規則編號重複",IF(OR($A90="",$C90="",$D90="",$E90="",$F90="",$G90="",$H90="",$J90=""),IF($I90="已核定","已核定但資料未完整","待補欄位或核定"),IF(OR($M90="",$N90=""),IF($I90="已核定","已核定但缺來源依據","待補來源依據"),IF($I90="已核定","可發布","待主管核定")))))))</x:f>
      </x:c>
      <x:c r="M90" s="421"/>
      <x:c r="N90" s="421"/>
    </x:row>
    <x:row r="91">
      <x:c r="A91" s="170"/>
      <x:c r="B91" s="170"/>
      <x:c r="C91" s="170"/>
      <x:c r="D91" s="170"/>
      <x:c r="E91" s="170"/>
      <x:c r="F91" s="170"/>
      <x:c r="G91" s="170"/>
      <x:c r="H91" s="171"/>
      <x:c r="I91" s="170"/>
      <x:c r="J91" s="170"/>
      <x:c r="K91" s="170"/>
      <x:c r="L91" s="235" t="str">
        <x:f>IF($B91="","",IF($I91="停用","停用",IF($I91="退回補件","退回補件",IF(COUNTIFS($A$7:$A$156,$A91)&gt;1,"規則編號重複",IF(OR($A91="",$C91="",$D91="",$E91="",$F91="",$G91="",$H91="",$J91=""),IF($I91="已核定","已核定但資料未完整","待補欄位或核定"),IF(OR($M91="",$N91=""),IF($I91="已核定","已核定但缺來源依據","待補來源依據"),IF($I91="已核定","可發布","待主管核定")))))))</x:f>
      </x:c>
      <x:c r="M91" s="421"/>
      <x:c r="N91" s="421"/>
    </x:row>
    <x:row r="92">
      <x:c r="A92" s="170"/>
      <x:c r="B92" s="170"/>
      <x:c r="C92" s="170"/>
      <x:c r="D92" s="170"/>
      <x:c r="E92" s="170"/>
      <x:c r="F92" s="170"/>
      <x:c r="G92" s="170"/>
      <x:c r="H92" s="171"/>
      <x:c r="I92" s="170"/>
      <x:c r="J92" s="170"/>
      <x:c r="K92" s="170"/>
      <x:c r="L92" s="235" t="str">
        <x:f>IF($B92="","",IF($I92="停用","停用",IF($I92="退回補件","退回補件",IF(COUNTIFS($A$7:$A$156,$A92)&gt;1,"規則編號重複",IF(OR($A92="",$C92="",$D92="",$E92="",$F92="",$G92="",$H92="",$J92=""),IF($I92="已核定","已核定但資料未完整","待補欄位或核定"),IF(OR($M92="",$N92=""),IF($I92="已核定","已核定但缺來源依據","待補來源依據"),IF($I92="已核定","可發布","待主管核定")))))))</x:f>
      </x:c>
      <x:c r="M92" s="421"/>
      <x:c r="N92" s="421"/>
    </x:row>
    <x:row r="93">
      <x:c r="A93" s="170"/>
      <x:c r="B93" s="170"/>
      <x:c r="C93" s="170"/>
      <x:c r="D93" s="170"/>
      <x:c r="E93" s="170"/>
      <x:c r="F93" s="170"/>
      <x:c r="G93" s="170"/>
      <x:c r="H93" s="171"/>
      <x:c r="I93" s="170"/>
      <x:c r="J93" s="170"/>
      <x:c r="K93" s="170"/>
      <x:c r="L93" s="235" t="str">
        <x:f>IF($B93="","",IF($I93="停用","停用",IF($I93="退回補件","退回補件",IF(COUNTIFS($A$7:$A$156,$A93)&gt;1,"規則編號重複",IF(OR($A93="",$C93="",$D93="",$E93="",$F93="",$G93="",$H93="",$J93=""),IF($I93="已核定","已核定但資料未完整","待補欄位或核定"),IF(OR($M93="",$N93=""),IF($I93="已核定","已核定但缺來源依據","待補來源依據"),IF($I93="已核定","可發布","待主管核定")))))))</x:f>
      </x:c>
      <x:c r="M93" s="421"/>
      <x:c r="N93" s="421"/>
    </x:row>
    <x:row r="94">
      <x:c r="A94" s="170"/>
      <x:c r="B94" s="170"/>
      <x:c r="C94" s="170"/>
      <x:c r="D94" s="170"/>
      <x:c r="E94" s="170"/>
      <x:c r="F94" s="170"/>
      <x:c r="G94" s="170"/>
      <x:c r="H94" s="171"/>
      <x:c r="I94" s="170"/>
      <x:c r="J94" s="170"/>
      <x:c r="K94" s="170"/>
      <x:c r="L94" s="235" t="str">
        <x:f>IF($B94="","",IF($I94="停用","停用",IF($I94="退回補件","退回補件",IF(COUNTIFS($A$7:$A$156,$A94)&gt;1,"規則編號重複",IF(OR($A94="",$C94="",$D94="",$E94="",$F94="",$G94="",$H94="",$J94=""),IF($I94="已核定","已核定但資料未完整","待補欄位或核定"),IF(OR($M94="",$N94=""),IF($I94="已核定","已核定但缺來源依據","待補來源依據"),IF($I94="已核定","可發布","待主管核定")))))))</x:f>
      </x:c>
      <x:c r="M94" s="421"/>
      <x:c r="N94" s="421"/>
    </x:row>
    <x:row r="95">
      <x:c r="A95" s="170"/>
      <x:c r="B95" s="170"/>
      <x:c r="C95" s="170"/>
      <x:c r="D95" s="170"/>
      <x:c r="E95" s="170"/>
      <x:c r="F95" s="170"/>
      <x:c r="G95" s="170"/>
      <x:c r="H95" s="171"/>
      <x:c r="I95" s="170"/>
      <x:c r="J95" s="170"/>
      <x:c r="K95" s="170"/>
      <x:c r="L95" s="235" t="str">
        <x:f>IF($B95="","",IF($I95="停用","停用",IF($I95="退回補件","退回補件",IF(COUNTIFS($A$7:$A$156,$A95)&gt;1,"規則編號重複",IF(OR($A95="",$C95="",$D95="",$E95="",$F95="",$G95="",$H95="",$J95=""),IF($I95="已核定","已核定但資料未完整","待補欄位或核定"),IF(OR($M95="",$N95=""),IF($I95="已核定","已核定但缺來源依據","待補來源依據"),IF($I95="已核定","可發布","待主管核定")))))))</x:f>
      </x:c>
      <x:c r="M95" s="421"/>
      <x:c r="N95" s="421"/>
    </x:row>
    <x:row r="96">
      <x:c r="A96" s="170"/>
      <x:c r="B96" s="170"/>
      <x:c r="C96" s="170"/>
      <x:c r="D96" s="170"/>
      <x:c r="E96" s="170"/>
      <x:c r="F96" s="170"/>
      <x:c r="G96" s="170"/>
      <x:c r="H96" s="171"/>
      <x:c r="I96" s="170"/>
      <x:c r="J96" s="170"/>
      <x:c r="K96" s="170"/>
      <x:c r="L96" s="235" t="str">
        <x:f>IF($B96="","",IF($I96="停用","停用",IF($I96="退回補件","退回補件",IF(COUNTIFS($A$7:$A$156,$A96)&gt;1,"規則編號重複",IF(OR($A96="",$C96="",$D96="",$E96="",$F96="",$G96="",$H96="",$J96=""),IF($I96="已核定","已核定但資料未完整","待補欄位或核定"),IF(OR($M96="",$N96=""),IF($I96="已核定","已核定但缺來源依據","待補來源依據"),IF($I96="已核定","可發布","待主管核定")))))))</x:f>
      </x:c>
      <x:c r="M96" s="421"/>
      <x:c r="N96" s="421"/>
    </x:row>
    <x:row r="97">
      <x:c r="A97" s="170"/>
      <x:c r="B97" s="170"/>
      <x:c r="C97" s="170"/>
      <x:c r="D97" s="170"/>
      <x:c r="E97" s="170"/>
      <x:c r="F97" s="170"/>
      <x:c r="G97" s="170"/>
      <x:c r="H97" s="171"/>
      <x:c r="I97" s="170"/>
      <x:c r="J97" s="170"/>
      <x:c r="K97" s="170"/>
      <x:c r="L97" s="235" t="str">
        <x:f>IF($B97="","",IF($I97="停用","停用",IF($I97="退回補件","退回補件",IF(COUNTIFS($A$7:$A$156,$A97)&gt;1,"規則編號重複",IF(OR($A97="",$C97="",$D97="",$E97="",$F97="",$G97="",$H97="",$J97=""),IF($I97="已核定","已核定但資料未完整","待補欄位或核定"),IF(OR($M97="",$N97=""),IF($I97="已核定","已核定但缺來源依據","待補來源依據"),IF($I97="已核定","可發布","待主管核定")))))))</x:f>
      </x:c>
      <x:c r="M97" s="421"/>
      <x:c r="N97" s="421"/>
    </x:row>
    <x:row r="98">
      <x:c r="A98" s="170"/>
      <x:c r="B98" s="170"/>
      <x:c r="C98" s="170"/>
      <x:c r="D98" s="170"/>
      <x:c r="E98" s="170"/>
      <x:c r="F98" s="170"/>
      <x:c r="G98" s="170"/>
      <x:c r="H98" s="171"/>
      <x:c r="I98" s="170"/>
      <x:c r="J98" s="170"/>
      <x:c r="K98" s="170"/>
      <x:c r="L98" s="235" t="str">
        <x:f>IF($B98="","",IF($I98="停用","停用",IF($I98="退回補件","退回補件",IF(COUNTIFS($A$7:$A$156,$A98)&gt;1,"規則編號重複",IF(OR($A98="",$C98="",$D98="",$E98="",$F98="",$G98="",$H98="",$J98=""),IF($I98="已核定","已核定但資料未完整","待補欄位或核定"),IF(OR($M98="",$N98=""),IF($I98="已核定","已核定但缺來源依據","待補來源依據"),IF($I98="已核定","可發布","待主管核定")))))))</x:f>
      </x:c>
      <x:c r="M98" s="421"/>
      <x:c r="N98" s="421"/>
    </x:row>
    <x:row r="99">
      <x:c r="A99" s="170"/>
      <x:c r="B99" s="170"/>
      <x:c r="C99" s="170"/>
      <x:c r="D99" s="170"/>
      <x:c r="E99" s="170"/>
      <x:c r="F99" s="170"/>
      <x:c r="G99" s="170"/>
      <x:c r="H99" s="171"/>
      <x:c r="I99" s="170"/>
      <x:c r="J99" s="170"/>
      <x:c r="K99" s="170"/>
      <x:c r="L99" s="235" t="str">
        <x:f>IF($B99="","",IF($I99="停用","停用",IF($I99="退回補件","退回補件",IF(COUNTIFS($A$7:$A$156,$A99)&gt;1,"規則編號重複",IF(OR($A99="",$C99="",$D99="",$E99="",$F99="",$G99="",$H99="",$J99=""),IF($I99="已核定","已核定但資料未完整","待補欄位或核定"),IF(OR($M99="",$N99=""),IF($I99="已核定","已核定但缺來源依據","待補來源依據"),IF($I99="已核定","可發布","待主管核定")))))))</x:f>
      </x:c>
      <x:c r="M99" s="421"/>
      <x:c r="N99" s="421"/>
    </x:row>
    <x:row r="100">
      <x:c r="A100" s="170"/>
      <x:c r="B100" s="170"/>
      <x:c r="C100" s="170"/>
      <x:c r="D100" s="170"/>
      <x:c r="E100" s="170"/>
      <x:c r="F100" s="170"/>
      <x:c r="G100" s="170"/>
      <x:c r="H100" s="171"/>
      <x:c r="I100" s="170"/>
      <x:c r="J100" s="170"/>
      <x:c r="K100" s="170"/>
      <x:c r="L100" s="235" t="str">
        <x:f>IF($B100="","",IF($I100="停用","停用",IF($I100="退回補件","退回補件",IF(COUNTIFS($A$7:$A$156,$A100)&gt;1,"規則編號重複",IF(OR($A100="",$C100="",$D100="",$E100="",$F100="",$G100="",$H100="",$J100=""),IF($I100="已核定","已核定但資料未完整","待補欄位或核定"),IF(OR($M100="",$N100=""),IF($I100="已核定","已核定但缺來源依據","待補來源依據"),IF($I100="已核定","可發布","待主管核定")))))))</x:f>
      </x:c>
      <x:c r="M100" s="421"/>
      <x:c r="N100" s="421"/>
    </x:row>
    <x:row r="101">
      <x:c r="A101" s="170"/>
      <x:c r="B101" s="170"/>
      <x:c r="C101" s="170"/>
      <x:c r="D101" s="170"/>
      <x:c r="E101" s="170"/>
      <x:c r="F101" s="170"/>
      <x:c r="G101" s="170"/>
      <x:c r="H101" s="171"/>
      <x:c r="I101" s="170"/>
      <x:c r="J101" s="170"/>
      <x:c r="K101" s="170"/>
      <x:c r="L101" s="235" t="str">
        <x:f>IF($B101="","",IF($I101="停用","停用",IF($I101="退回補件","退回補件",IF(COUNTIFS($A$7:$A$156,$A101)&gt;1,"規則編號重複",IF(OR($A101="",$C101="",$D101="",$E101="",$F101="",$G101="",$H101="",$J101=""),IF($I101="已核定","已核定但資料未完整","待補欄位或核定"),IF(OR($M101="",$N101=""),IF($I101="已核定","已核定但缺來源依據","待補來源依據"),IF($I101="已核定","可發布","待主管核定")))))))</x:f>
      </x:c>
      <x:c r="M101" s="421"/>
      <x:c r="N101" s="421"/>
    </x:row>
    <x:row r="102">
      <x:c r="A102" s="170"/>
      <x:c r="B102" s="170"/>
      <x:c r="C102" s="170"/>
      <x:c r="D102" s="170"/>
      <x:c r="E102" s="170"/>
      <x:c r="F102" s="170"/>
      <x:c r="G102" s="170"/>
      <x:c r="H102" s="171"/>
      <x:c r="I102" s="170"/>
      <x:c r="J102" s="170"/>
      <x:c r="K102" s="170"/>
      <x:c r="L102" s="235" t="str">
        <x:f>IF($B102="","",IF($I102="停用","停用",IF($I102="退回補件","退回補件",IF(COUNTIFS($A$7:$A$156,$A102)&gt;1,"規則編號重複",IF(OR($A102="",$C102="",$D102="",$E102="",$F102="",$G102="",$H102="",$J102=""),IF($I102="已核定","已核定但資料未完整","待補欄位或核定"),IF(OR($M102="",$N102=""),IF($I102="已核定","已核定但缺來源依據","待補來源依據"),IF($I102="已核定","可發布","待主管核定")))))))</x:f>
      </x:c>
      <x:c r="M102" s="421"/>
      <x:c r="N102" s="421"/>
    </x:row>
    <x:row r="103">
      <x:c r="A103" s="170"/>
      <x:c r="B103" s="170"/>
      <x:c r="C103" s="170"/>
      <x:c r="D103" s="170"/>
      <x:c r="E103" s="170"/>
      <x:c r="F103" s="170"/>
      <x:c r="G103" s="170"/>
      <x:c r="H103" s="171"/>
      <x:c r="I103" s="170"/>
      <x:c r="J103" s="170"/>
      <x:c r="K103" s="170"/>
      <x:c r="L103" s="235" t="str">
        <x:f>IF($B103="","",IF($I103="停用","停用",IF($I103="退回補件","退回補件",IF(COUNTIFS($A$7:$A$156,$A103)&gt;1,"規則編號重複",IF(OR($A103="",$C103="",$D103="",$E103="",$F103="",$G103="",$H103="",$J103=""),IF($I103="已核定","已核定但資料未完整","待補欄位或核定"),IF(OR($M103="",$N103=""),IF($I103="已核定","已核定但缺來源依據","待補來源依據"),IF($I103="已核定","可發布","待主管核定")))))))</x:f>
      </x:c>
      <x:c r="M103" s="421"/>
      <x:c r="N103" s="421"/>
    </x:row>
    <x:row r="104">
      <x:c r="A104" s="170"/>
      <x:c r="B104" s="170"/>
      <x:c r="C104" s="170"/>
      <x:c r="D104" s="170"/>
      <x:c r="E104" s="170"/>
      <x:c r="F104" s="170"/>
      <x:c r="G104" s="170"/>
      <x:c r="H104" s="171"/>
      <x:c r="I104" s="170"/>
      <x:c r="J104" s="170"/>
      <x:c r="K104" s="170"/>
      <x:c r="L104" s="235" t="str">
        <x:f>IF($B104="","",IF($I104="停用","停用",IF($I104="退回補件","退回補件",IF(COUNTIFS($A$7:$A$156,$A104)&gt;1,"規則編號重複",IF(OR($A104="",$C104="",$D104="",$E104="",$F104="",$G104="",$H104="",$J104=""),IF($I104="已核定","已核定但資料未完整","待補欄位或核定"),IF(OR($M104="",$N104=""),IF($I104="已核定","已核定但缺來源依據","待補來源依據"),IF($I104="已核定","可發布","待主管核定")))))))</x:f>
      </x:c>
      <x:c r="M104" s="421"/>
      <x:c r="N104" s="421"/>
    </x:row>
    <x:row r="105">
      <x:c r="A105" s="170"/>
      <x:c r="B105" s="170"/>
      <x:c r="C105" s="170"/>
      <x:c r="D105" s="170"/>
      <x:c r="E105" s="170"/>
      <x:c r="F105" s="170"/>
      <x:c r="G105" s="170"/>
      <x:c r="H105" s="171"/>
      <x:c r="I105" s="170"/>
      <x:c r="J105" s="170"/>
      <x:c r="K105" s="170"/>
      <x:c r="L105" s="235" t="str">
        <x:f>IF($B105="","",IF($I105="停用","停用",IF($I105="退回補件","退回補件",IF(COUNTIFS($A$7:$A$156,$A105)&gt;1,"規則編號重複",IF(OR($A105="",$C105="",$D105="",$E105="",$F105="",$G105="",$H105="",$J105=""),IF($I105="已核定","已核定但資料未完整","待補欄位或核定"),IF(OR($M105="",$N105=""),IF($I105="已核定","已核定但缺來源依據","待補來源依據"),IF($I105="已核定","可發布","待主管核定")))))))</x:f>
      </x:c>
      <x:c r="M105" s="421"/>
      <x:c r="N105" s="421"/>
    </x:row>
    <x:row r="106">
      <x:c r="A106" s="170"/>
      <x:c r="B106" s="170"/>
      <x:c r="C106" s="170"/>
      <x:c r="D106" s="170"/>
      <x:c r="E106" s="170"/>
      <x:c r="F106" s="170"/>
      <x:c r="G106" s="170"/>
      <x:c r="H106" s="171"/>
      <x:c r="I106" s="170"/>
      <x:c r="J106" s="170"/>
      <x:c r="K106" s="170"/>
      <x:c r="L106" s="235" t="str">
        <x:f>IF($B106="","",IF($I106="停用","停用",IF($I106="退回補件","退回補件",IF(COUNTIFS($A$7:$A$156,$A106)&gt;1,"規則編號重複",IF(OR($A106="",$C106="",$D106="",$E106="",$F106="",$G106="",$H106="",$J106=""),IF($I106="已核定","已核定但資料未完整","待補欄位或核定"),IF(OR($M106="",$N106=""),IF($I106="已核定","已核定但缺來源依據","待補來源依據"),IF($I106="已核定","可發布","待主管核定")))))))</x:f>
      </x:c>
      <x:c r="M106" s="421"/>
      <x:c r="N106" s="421"/>
    </x:row>
    <x:row r="107">
      <x:c r="A107" s="170"/>
      <x:c r="B107" s="170"/>
      <x:c r="C107" s="170"/>
      <x:c r="D107" s="170"/>
      <x:c r="E107" s="170"/>
      <x:c r="F107" s="170"/>
      <x:c r="G107" s="170"/>
      <x:c r="H107" s="171"/>
      <x:c r="I107" s="170"/>
      <x:c r="J107" s="170"/>
      <x:c r="K107" s="170"/>
      <x:c r="L107" s="235" t="str">
        <x:f>IF($B107="","",IF($I107="停用","停用",IF($I107="退回補件","退回補件",IF(COUNTIFS($A$7:$A$156,$A107)&gt;1,"規則編號重複",IF(OR($A107="",$C107="",$D107="",$E107="",$F107="",$G107="",$H107="",$J107=""),IF($I107="已核定","已核定但資料未完整","待補欄位或核定"),IF(OR($M107="",$N107=""),IF($I107="已核定","已核定但缺來源依據","待補來源依據"),IF($I107="已核定","可發布","待主管核定")))))))</x:f>
      </x:c>
      <x:c r="M107" s="421"/>
      <x:c r="N107" s="421"/>
    </x:row>
    <x:row r="108">
      <x:c r="A108" s="170"/>
      <x:c r="B108" s="170"/>
      <x:c r="C108" s="170"/>
      <x:c r="D108" s="170"/>
      <x:c r="E108" s="170"/>
      <x:c r="F108" s="170"/>
      <x:c r="G108" s="170"/>
      <x:c r="H108" s="171"/>
      <x:c r="I108" s="170"/>
      <x:c r="J108" s="170"/>
      <x:c r="K108" s="170"/>
      <x:c r="L108" s="235" t="str">
        <x:f>IF($B108="","",IF($I108="停用","停用",IF($I108="退回補件","退回補件",IF(COUNTIFS($A$7:$A$156,$A108)&gt;1,"規則編號重複",IF(OR($A108="",$C108="",$D108="",$E108="",$F108="",$G108="",$H108="",$J108=""),IF($I108="已核定","已核定但資料未完整","待補欄位或核定"),IF(OR($M108="",$N108=""),IF($I108="已核定","已核定但缺來源依據","待補來源依據"),IF($I108="已核定","可發布","待主管核定")))))))</x:f>
      </x:c>
      <x:c r="M108" s="421"/>
      <x:c r="N108" s="421"/>
    </x:row>
    <x:row r="109">
      <x:c r="A109" s="170"/>
      <x:c r="B109" s="170"/>
      <x:c r="C109" s="170"/>
      <x:c r="D109" s="170"/>
      <x:c r="E109" s="170"/>
      <x:c r="F109" s="170"/>
      <x:c r="G109" s="170"/>
      <x:c r="H109" s="171"/>
      <x:c r="I109" s="170"/>
      <x:c r="J109" s="170"/>
      <x:c r="K109" s="170"/>
      <x:c r="L109" s="235" t="str">
        <x:f>IF($B109="","",IF($I109="停用","停用",IF($I109="退回補件","退回補件",IF(COUNTIFS($A$7:$A$156,$A109)&gt;1,"規則編號重複",IF(OR($A109="",$C109="",$D109="",$E109="",$F109="",$G109="",$H109="",$J109=""),IF($I109="已核定","已核定但資料未完整","待補欄位或核定"),IF(OR($M109="",$N109=""),IF($I109="已核定","已核定但缺來源依據","待補來源依據"),IF($I109="已核定","可發布","待主管核定")))))))</x:f>
      </x:c>
      <x:c r="M109" s="421"/>
      <x:c r="N109" s="421"/>
    </x:row>
    <x:row r="110">
      <x:c r="A110" s="170"/>
      <x:c r="B110" s="170"/>
      <x:c r="C110" s="170"/>
      <x:c r="D110" s="170"/>
      <x:c r="E110" s="170"/>
      <x:c r="F110" s="170"/>
      <x:c r="G110" s="170"/>
      <x:c r="H110" s="171"/>
      <x:c r="I110" s="170"/>
      <x:c r="J110" s="170"/>
      <x:c r="K110" s="170"/>
      <x:c r="L110" s="235" t="str">
        <x:f>IF($B110="","",IF($I110="停用","停用",IF($I110="退回補件","退回補件",IF(COUNTIFS($A$7:$A$156,$A110)&gt;1,"規則編號重複",IF(OR($A110="",$C110="",$D110="",$E110="",$F110="",$G110="",$H110="",$J110=""),IF($I110="已核定","已核定但資料未完整","待補欄位或核定"),IF(OR($M110="",$N110=""),IF($I110="已核定","已核定但缺來源依據","待補來源依據"),IF($I110="已核定","可發布","待主管核定")))))))</x:f>
      </x:c>
      <x:c r="M110" s="421"/>
      <x:c r="N110" s="421"/>
    </x:row>
    <x:row r="111">
      <x:c r="A111" s="170"/>
      <x:c r="B111" s="170"/>
      <x:c r="C111" s="170"/>
      <x:c r="D111" s="170"/>
      <x:c r="E111" s="170"/>
      <x:c r="F111" s="170"/>
      <x:c r="G111" s="170"/>
      <x:c r="H111" s="171"/>
      <x:c r="I111" s="170"/>
      <x:c r="J111" s="170"/>
      <x:c r="K111" s="170"/>
      <x:c r="L111" s="235" t="str">
        <x:f>IF($B111="","",IF($I111="停用","停用",IF($I111="退回補件","退回補件",IF(COUNTIFS($A$7:$A$156,$A111)&gt;1,"規則編號重複",IF(OR($A111="",$C111="",$D111="",$E111="",$F111="",$G111="",$H111="",$J111=""),IF($I111="已核定","已核定但資料未完整","待補欄位或核定"),IF(OR($M111="",$N111=""),IF($I111="已核定","已核定但缺來源依據","待補來源依據"),IF($I111="已核定","可發布","待主管核定")))))))</x:f>
      </x:c>
      <x:c r="M111" s="421"/>
      <x:c r="N111" s="421"/>
    </x:row>
    <x:row r="112">
      <x:c r="A112" s="170"/>
      <x:c r="B112" s="170"/>
      <x:c r="C112" s="170"/>
      <x:c r="D112" s="170"/>
      <x:c r="E112" s="170"/>
      <x:c r="F112" s="170"/>
      <x:c r="G112" s="170"/>
      <x:c r="H112" s="171"/>
      <x:c r="I112" s="170"/>
      <x:c r="J112" s="170"/>
      <x:c r="K112" s="170"/>
      <x:c r="L112" s="235" t="str">
        <x:f>IF($B112="","",IF($I112="停用","停用",IF($I112="退回補件","退回補件",IF(COUNTIFS($A$7:$A$156,$A112)&gt;1,"規則編號重複",IF(OR($A112="",$C112="",$D112="",$E112="",$F112="",$G112="",$H112="",$J112=""),IF($I112="已核定","已核定但資料未完整","待補欄位或核定"),IF(OR($M112="",$N112=""),IF($I112="已核定","已核定但缺來源依據","待補來源依據"),IF($I112="已核定","可發布","待主管核定")))))))</x:f>
      </x:c>
      <x:c r="M112" s="421"/>
      <x:c r="N112" s="421"/>
    </x:row>
    <x:row r="113">
      <x:c r="A113" s="170"/>
      <x:c r="B113" s="170"/>
      <x:c r="C113" s="170"/>
      <x:c r="D113" s="170"/>
      <x:c r="E113" s="170"/>
      <x:c r="F113" s="170"/>
      <x:c r="G113" s="170"/>
      <x:c r="H113" s="171"/>
      <x:c r="I113" s="170"/>
      <x:c r="J113" s="170"/>
      <x:c r="K113" s="170"/>
      <x:c r="L113" s="235" t="str">
        <x:f>IF($B113="","",IF($I113="停用","停用",IF($I113="退回補件","退回補件",IF(COUNTIFS($A$7:$A$156,$A113)&gt;1,"規則編號重複",IF(OR($A113="",$C113="",$D113="",$E113="",$F113="",$G113="",$H113="",$J113=""),IF($I113="已核定","已核定但資料未完整","待補欄位或核定"),IF(OR($M113="",$N113=""),IF($I113="已核定","已核定但缺來源依據","待補來源依據"),IF($I113="已核定","可發布","待主管核定")))))))</x:f>
      </x:c>
      <x:c r="M113" s="421"/>
      <x:c r="N113" s="421"/>
    </x:row>
    <x:row r="114">
      <x:c r="A114" s="170"/>
      <x:c r="B114" s="170"/>
      <x:c r="C114" s="170"/>
      <x:c r="D114" s="170"/>
      <x:c r="E114" s="170"/>
      <x:c r="F114" s="170"/>
      <x:c r="G114" s="170"/>
      <x:c r="H114" s="171"/>
      <x:c r="I114" s="170"/>
      <x:c r="J114" s="170"/>
      <x:c r="K114" s="170"/>
      <x:c r="L114" s="235" t="str">
        <x:f>IF($B114="","",IF($I114="停用","停用",IF($I114="退回補件","退回補件",IF(COUNTIFS($A$7:$A$156,$A114)&gt;1,"規則編號重複",IF(OR($A114="",$C114="",$D114="",$E114="",$F114="",$G114="",$H114="",$J114=""),IF($I114="已核定","已核定但資料未完整","待補欄位或核定"),IF(OR($M114="",$N114=""),IF($I114="已核定","已核定但缺來源依據","待補來源依據"),IF($I114="已核定","可發布","待主管核定")))))))</x:f>
      </x:c>
      <x:c r="M114" s="421"/>
      <x:c r="N114" s="421"/>
    </x:row>
    <x:row r="115">
      <x:c r="A115" s="170"/>
      <x:c r="B115" s="170"/>
      <x:c r="C115" s="170"/>
      <x:c r="D115" s="170"/>
      <x:c r="E115" s="170"/>
      <x:c r="F115" s="170"/>
      <x:c r="G115" s="170"/>
      <x:c r="H115" s="171"/>
      <x:c r="I115" s="170"/>
      <x:c r="J115" s="170"/>
      <x:c r="K115" s="170"/>
      <x:c r="L115" s="235" t="str">
        <x:f>IF($B115="","",IF($I115="停用","停用",IF($I115="退回補件","退回補件",IF(COUNTIFS($A$7:$A$156,$A115)&gt;1,"規則編號重複",IF(OR($A115="",$C115="",$D115="",$E115="",$F115="",$G115="",$H115="",$J115=""),IF($I115="已核定","已核定但資料未完整","待補欄位或核定"),IF(OR($M115="",$N115=""),IF($I115="已核定","已核定但缺來源依據","待補來源依據"),IF($I115="已核定","可發布","待主管核定")))))))</x:f>
      </x:c>
      <x:c r="M115" s="421"/>
      <x:c r="N115" s="421"/>
    </x:row>
    <x:row r="116">
      <x:c r="A116" s="170"/>
      <x:c r="B116" s="170"/>
      <x:c r="C116" s="170"/>
      <x:c r="D116" s="170"/>
      <x:c r="E116" s="170"/>
      <x:c r="F116" s="170"/>
      <x:c r="G116" s="170"/>
      <x:c r="H116" s="171"/>
      <x:c r="I116" s="170"/>
      <x:c r="J116" s="170"/>
      <x:c r="K116" s="170"/>
      <x:c r="L116" s="235" t="str">
        <x:f>IF($B116="","",IF($I116="停用","停用",IF($I116="退回補件","退回補件",IF(COUNTIFS($A$7:$A$156,$A116)&gt;1,"規則編號重複",IF(OR($A116="",$C116="",$D116="",$E116="",$F116="",$G116="",$H116="",$J116=""),IF($I116="已核定","已核定但資料未完整","待補欄位或核定"),IF(OR($M116="",$N116=""),IF($I116="已核定","已核定但缺來源依據","待補來源依據"),IF($I116="已核定","可發布","待主管核定")))))))</x:f>
      </x:c>
      <x:c r="M116" s="421"/>
      <x:c r="N116" s="421"/>
    </x:row>
    <x:row r="117">
      <x:c r="A117" s="170"/>
      <x:c r="B117" s="170"/>
      <x:c r="C117" s="170"/>
      <x:c r="D117" s="170"/>
      <x:c r="E117" s="170"/>
      <x:c r="F117" s="170"/>
      <x:c r="G117" s="170"/>
      <x:c r="H117" s="171"/>
      <x:c r="I117" s="170"/>
      <x:c r="J117" s="170"/>
      <x:c r="K117" s="170"/>
      <x:c r="L117" s="235" t="str">
        <x:f>IF($B117="","",IF($I117="停用","停用",IF($I117="退回補件","退回補件",IF(COUNTIFS($A$7:$A$156,$A117)&gt;1,"規則編號重複",IF(OR($A117="",$C117="",$D117="",$E117="",$F117="",$G117="",$H117="",$J117=""),IF($I117="已核定","已核定但資料未完整","待補欄位或核定"),IF(OR($M117="",$N117=""),IF($I117="已核定","已核定但缺來源依據","待補來源依據"),IF($I117="已核定","可發布","待主管核定")))))))</x:f>
      </x:c>
      <x:c r="M117" s="421"/>
      <x:c r="N117" s="421"/>
    </x:row>
    <x:row r="118">
      <x:c r="A118" s="170"/>
      <x:c r="B118" s="170"/>
      <x:c r="C118" s="170"/>
      <x:c r="D118" s="170"/>
      <x:c r="E118" s="170"/>
      <x:c r="F118" s="170"/>
      <x:c r="G118" s="170"/>
      <x:c r="H118" s="171"/>
      <x:c r="I118" s="170"/>
      <x:c r="J118" s="170"/>
      <x:c r="K118" s="170"/>
      <x:c r="L118" s="235" t="str">
        <x:f>IF($B118="","",IF($I118="停用","停用",IF($I118="退回補件","退回補件",IF(COUNTIFS($A$7:$A$156,$A118)&gt;1,"規則編號重複",IF(OR($A118="",$C118="",$D118="",$E118="",$F118="",$G118="",$H118="",$J118=""),IF($I118="已核定","已核定但資料未完整","待補欄位或核定"),IF(OR($M118="",$N118=""),IF($I118="已核定","已核定但缺來源依據","待補來源依據"),IF($I118="已核定","可發布","待主管核定")))))))</x:f>
      </x:c>
      <x:c r="M118" s="421"/>
      <x:c r="N118" s="421"/>
    </x:row>
    <x:row r="119">
      <x:c r="A119" s="170"/>
      <x:c r="B119" s="170"/>
      <x:c r="C119" s="170"/>
      <x:c r="D119" s="170"/>
      <x:c r="E119" s="170"/>
      <x:c r="F119" s="170"/>
      <x:c r="G119" s="170"/>
      <x:c r="H119" s="171"/>
      <x:c r="I119" s="170"/>
      <x:c r="J119" s="170"/>
      <x:c r="K119" s="170"/>
      <x:c r="L119" s="235" t="str">
        <x:f>IF($B119="","",IF($I119="停用","停用",IF($I119="退回補件","退回補件",IF(COUNTIFS($A$7:$A$156,$A119)&gt;1,"規則編號重複",IF(OR($A119="",$C119="",$D119="",$E119="",$F119="",$G119="",$H119="",$J119=""),IF($I119="已核定","已核定但資料未完整","待補欄位或核定"),IF(OR($M119="",$N119=""),IF($I119="已核定","已核定但缺來源依據","待補來源依據"),IF($I119="已核定","可發布","待主管核定")))))))</x:f>
      </x:c>
      <x:c r="M119" s="421"/>
      <x:c r="N119" s="421"/>
    </x:row>
    <x:row r="120">
      <x:c r="A120" s="170"/>
      <x:c r="B120" s="170"/>
      <x:c r="C120" s="170"/>
      <x:c r="D120" s="170"/>
      <x:c r="E120" s="170"/>
      <x:c r="F120" s="170"/>
      <x:c r="G120" s="170"/>
      <x:c r="H120" s="171"/>
      <x:c r="I120" s="170"/>
      <x:c r="J120" s="170"/>
      <x:c r="K120" s="170"/>
      <x:c r="L120" s="235" t="str">
        <x:f>IF($B120="","",IF($I120="停用","停用",IF($I120="退回補件","退回補件",IF(COUNTIFS($A$7:$A$156,$A120)&gt;1,"規則編號重複",IF(OR($A120="",$C120="",$D120="",$E120="",$F120="",$G120="",$H120="",$J120=""),IF($I120="已核定","已核定但資料未完整","待補欄位或核定"),IF(OR($M120="",$N120=""),IF($I120="已核定","已核定但缺來源依據","待補來源依據"),IF($I120="已核定","可發布","待主管核定")))))))</x:f>
      </x:c>
      <x:c r="M120" s="421"/>
      <x:c r="N120" s="421"/>
    </x:row>
    <x:row r="121">
      <x:c r="A121" s="170"/>
      <x:c r="B121" s="170"/>
      <x:c r="C121" s="170"/>
      <x:c r="D121" s="170"/>
      <x:c r="E121" s="170"/>
      <x:c r="F121" s="170"/>
      <x:c r="G121" s="170"/>
      <x:c r="H121" s="171"/>
      <x:c r="I121" s="170"/>
      <x:c r="J121" s="170"/>
      <x:c r="K121" s="170"/>
      <x:c r="L121" s="235" t="str">
        <x:f>IF($B121="","",IF($I121="停用","停用",IF($I121="退回補件","退回補件",IF(COUNTIFS($A$7:$A$156,$A121)&gt;1,"規則編號重複",IF(OR($A121="",$C121="",$D121="",$E121="",$F121="",$G121="",$H121="",$J121=""),IF($I121="已核定","已核定但資料未完整","待補欄位或核定"),IF(OR($M121="",$N121=""),IF($I121="已核定","已核定但缺來源依據","待補來源依據"),IF($I121="已核定","可發布","待主管核定")))))))</x:f>
      </x:c>
      <x:c r="M121" s="421"/>
      <x:c r="N121" s="421"/>
    </x:row>
    <x:row r="122">
      <x:c r="A122" s="170"/>
      <x:c r="B122" s="170"/>
      <x:c r="C122" s="170"/>
      <x:c r="D122" s="170"/>
      <x:c r="E122" s="170"/>
      <x:c r="F122" s="170"/>
      <x:c r="G122" s="170"/>
      <x:c r="H122" s="171"/>
      <x:c r="I122" s="170"/>
      <x:c r="J122" s="170"/>
      <x:c r="K122" s="170"/>
      <x:c r="L122" s="235" t="str">
        <x:f>IF($B122="","",IF($I122="停用","停用",IF($I122="退回補件","退回補件",IF(COUNTIFS($A$7:$A$156,$A122)&gt;1,"規則編號重複",IF(OR($A122="",$C122="",$D122="",$E122="",$F122="",$G122="",$H122="",$J122=""),IF($I122="已核定","已核定但資料未完整","待補欄位或核定"),IF(OR($M122="",$N122=""),IF($I122="已核定","已核定但缺來源依據","待補來源依據"),IF($I122="已核定","可發布","待主管核定")))))))</x:f>
      </x:c>
      <x:c r="M122" s="421"/>
      <x:c r="N122" s="421"/>
    </x:row>
    <x:row r="123">
      <x:c r="A123" s="170"/>
      <x:c r="B123" s="170"/>
      <x:c r="C123" s="170"/>
      <x:c r="D123" s="170"/>
      <x:c r="E123" s="170"/>
      <x:c r="F123" s="170"/>
      <x:c r="G123" s="170"/>
      <x:c r="H123" s="171"/>
      <x:c r="I123" s="170"/>
      <x:c r="J123" s="170"/>
      <x:c r="K123" s="170"/>
      <x:c r="L123" s="235" t="str">
        <x:f>IF($B123="","",IF($I123="停用","停用",IF($I123="退回補件","退回補件",IF(COUNTIFS($A$7:$A$156,$A123)&gt;1,"規則編號重複",IF(OR($A123="",$C123="",$D123="",$E123="",$F123="",$G123="",$H123="",$J123=""),IF($I123="已核定","已核定但資料未完整","待補欄位或核定"),IF(OR($M123="",$N123=""),IF($I123="已核定","已核定但缺來源依據","待補來源依據"),IF($I123="已核定","可發布","待主管核定")))))))</x:f>
      </x:c>
      <x:c r="M123" s="421"/>
      <x:c r="N123" s="421"/>
    </x:row>
    <x:row r="124">
      <x:c r="A124" s="170"/>
      <x:c r="B124" s="170"/>
      <x:c r="C124" s="170"/>
      <x:c r="D124" s="170"/>
      <x:c r="E124" s="170"/>
      <x:c r="F124" s="170"/>
      <x:c r="G124" s="170"/>
      <x:c r="H124" s="171"/>
      <x:c r="I124" s="170"/>
      <x:c r="J124" s="170"/>
      <x:c r="K124" s="170"/>
      <x:c r="L124" s="235" t="str">
        <x:f>IF($B124="","",IF($I124="停用","停用",IF($I124="退回補件","退回補件",IF(COUNTIFS($A$7:$A$156,$A124)&gt;1,"規則編號重複",IF(OR($A124="",$C124="",$D124="",$E124="",$F124="",$G124="",$H124="",$J124=""),IF($I124="已核定","已核定但資料未完整","待補欄位或核定"),IF(OR($M124="",$N124=""),IF($I124="已核定","已核定但缺來源依據","待補來源依據"),IF($I124="已核定","可發布","待主管核定")))))))</x:f>
      </x:c>
      <x:c r="M124" s="421"/>
      <x:c r="N124" s="421"/>
    </x:row>
    <x:row r="125">
      <x:c r="A125" s="170"/>
      <x:c r="B125" s="170"/>
      <x:c r="C125" s="170"/>
      <x:c r="D125" s="170"/>
      <x:c r="E125" s="170"/>
      <x:c r="F125" s="170"/>
      <x:c r="G125" s="170"/>
      <x:c r="H125" s="171"/>
      <x:c r="I125" s="170"/>
      <x:c r="J125" s="170"/>
      <x:c r="K125" s="170"/>
      <x:c r="L125" s="235" t="str">
        <x:f>IF($B125="","",IF($I125="停用","停用",IF($I125="退回補件","退回補件",IF(COUNTIFS($A$7:$A$156,$A125)&gt;1,"規則編號重複",IF(OR($A125="",$C125="",$D125="",$E125="",$F125="",$G125="",$H125="",$J125=""),IF($I125="已核定","已核定但資料未完整","待補欄位或核定"),IF(OR($M125="",$N125=""),IF($I125="已核定","已核定但缺來源依據","待補來源依據"),IF($I125="已核定","可發布","待主管核定")))))))</x:f>
      </x:c>
      <x:c r="M125" s="421"/>
      <x:c r="N125" s="421"/>
    </x:row>
    <x:row r="126">
      <x:c r="A126" s="170"/>
      <x:c r="B126" s="170"/>
      <x:c r="C126" s="170"/>
      <x:c r="D126" s="170"/>
      <x:c r="E126" s="170"/>
      <x:c r="F126" s="170"/>
      <x:c r="G126" s="170"/>
      <x:c r="H126" s="171"/>
      <x:c r="I126" s="170"/>
      <x:c r="J126" s="170"/>
      <x:c r="K126" s="170"/>
      <x:c r="L126" s="235" t="str">
        <x:f>IF($B126="","",IF($I126="停用","停用",IF($I126="退回補件","退回補件",IF(COUNTIFS($A$7:$A$156,$A126)&gt;1,"規則編號重複",IF(OR($A126="",$C126="",$D126="",$E126="",$F126="",$G126="",$H126="",$J126=""),IF($I126="已核定","已核定但資料未完整","待補欄位或核定"),IF(OR($M126="",$N126=""),IF($I126="已核定","已核定但缺來源依據","待補來源依據"),IF($I126="已核定","可發布","待主管核定")))))))</x:f>
      </x:c>
      <x:c r="M126" s="421"/>
      <x:c r="N126" s="421"/>
    </x:row>
    <x:row r="127">
      <x:c r="A127" s="170"/>
      <x:c r="B127" s="170"/>
      <x:c r="C127" s="170"/>
      <x:c r="D127" s="170"/>
      <x:c r="E127" s="170"/>
      <x:c r="F127" s="170"/>
      <x:c r="G127" s="170"/>
      <x:c r="H127" s="171"/>
      <x:c r="I127" s="170"/>
      <x:c r="J127" s="170"/>
      <x:c r="K127" s="170"/>
      <x:c r="L127" s="235" t="str">
        <x:f>IF($B127="","",IF($I127="停用","停用",IF($I127="退回補件","退回補件",IF(COUNTIFS($A$7:$A$156,$A127)&gt;1,"規則編號重複",IF(OR($A127="",$C127="",$D127="",$E127="",$F127="",$G127="",$H127="",$J127=""),IF($I127="已核定","已核定但資料未完整","待補欄位或核定"),IF(OR($M127="",$N127=""),IF($I127="已核定","已核定但缺來源依據","待補來源依據"),IF($I127="已核定","可發布","待主管核定")))))))</x:f>
      </x:c>
      <x:c r="M127" s="421"/>
      <x:c r="N127" s="421"/>
    </x:row>
    <x:row r="128">
      <x:c r="A128" s="170"/>
      <x:c r="B128" s="170"/>
      <x:c r="C128" s="170"/>
      <x:c r="D128" s="170"/>
      <x:c r="E128" s="170"/>
      <x:c r="F128" s="170"/>
      <x:c r="G128" s="170"/>
      <x:c r="H128" s="171"/>
      <x:c r="I128" s="170"/>
      <x:c r="J128" s="170"/>
      <x:c r="K128" s="170"/>
      <x:c r="L128" s="235" t="str">
        <x:f>IF($B128="","",IF($I128="停用","停用",IF($I128="退回補件","退回補件",IF(COUNTIFS($A$7:$A$156,$A128)&gt;1,"規則編號重複",IF(OR($A128="",$C128="",$D128="",$E128="",$F128="",$G128="",$H128="",$J128=""),IF($I128="已核定","已核定但資料未完整","待補欄位或核定"),IF(OR($M128="",$N128=""),IF($I128="已核定","已核定但缺來源依據","待補來源依據"),IF($I128="已核定","可發布","待主管核定")))))))</x:f>
      </x:c>
      <x:c r="M128" s="421"/>
      <x:c r="N128" s="421"/>
    </x:row>
    <x:row r="129">
      <x:c r="A129" s="170"/>
      <x:c r="B129" s="170"/>
      <x:c r="C129" s="170"/>
      <x:c r="D129" s="170"/>
      <x:c r="E129" s="170"/>
      <x:c r="F129" s="170"/>
      <x:c r="G129" s="170"/>
      <x:c r="H129" s="171"/>
      <x:c r="I129" s="170"/>
      <x:c r="J129" s="170"/>
      <x:c r="K129" s="170"/>
      <x:c r="L129" s="235" t="str">
        <x:f>IF($B129="","",IF($I129="停用","停用",IF($I129="退回補件","退回補件",IF(COUNTIFS($A$7:$A$156,$A129)&gt;1,"規則編號重複",IF(OR($A129="",$C129="",$D129="",$E129="",$F129="",$G129="",$H129="",$J129=""),IF($I129="已核定","已核定但資料未完整","待補欄位或核定"),IF(OR($M129="",$N129=""),IF($I129="已核定","已核定但缺來源依據","待補來源依據"),IF($I129="已核定","可發布","待主管核定")))))))</x:f>
      </x:c>
      <x:c r="M129" s="421"/>
      <x:c r="N129" s="421"/>
    </x:row>
    <x:row r="130">
      <x:c r="A130" s="170"/>
      <x:c r="B130" s="170"/>
      <x:c r="C130" s="170"/>
      <x:c r="D130" s="170"/>
      <x:c r="E130" s="170"/>
      <x:c r="F130" s="170"/>
      <x:c r="G130" s="170"/>
      <x:c r="H130" s="171"/>
      <x:c r="I130" s="170"/>
      <x:c r="J130" s="170"/>
      <x:c r="K130" s="170"/>
      <x:c r="L130" s="235" t="str">
        <x:f>IF($B130="","",IF($I130="停用","停用",IF($I130="退回補件","退回補件",IF(COUNTIFS($A$7:$A$156,$A130)&gt;1,"規則編號重複",IF(OR($A130="",$C130="",$D130="",$E130="",$F130="",$G130="",$H130="",$J130=""),IF($I130="已核定","已核定但資料未完整","待補欄位或核定"),IF(OR($M130="",$N130=""),IF($I130="已核定","已核定但缺來源依據","待補來源依據"),IF($I130="已核定","可發布","待主管核定")))))))</x:f>
      </x:c>
      <x:c r="M130" s="421"/>
      <x:c r="N130" s="421"/>
    </x:row>
    <x:row r="131">
      <x:c r="A131" s="170"/>
      <x:c r="B131" s="170"/>
      <x:c r="C131" s="170"/>
      <x:c r="D131" s="170"/>
      <x:c r="E131" s="170"/>
      <x:c r="F131" s="170"/>
      <x:c r="G131" s="170"/>
      <x:c r="H131" s="171"/>
      <x:c r="I131" s="170"/>
      <x:c r="J131" s="170"/>
      <x:c r="K131" s="170"/>
      <x:c r="L131" s="235" t="str">
        <x:f>IF($B131="","",IF($I131="停用","停用",IF($I131="退回補件","退回補件",IF(COUNTIFS($A$7:$A$156,$A131)&gt;1,"規則編號重複",IF(OR($A131="",$C131="",$D131="",$E131="",$F131="",$G131="",$H131="",$J131=""),IF($I131="已核定","已核定但資料未完整","待補欄位或核定"),IF(OR($M131="",$N131=""),IF($I131="已核定","已核定但缺來源依據","待補來源依據"),IF($I131="已核定","可發布","待主管核定")))))))</x:f>
      </x:c>
      <x:c r="M131" s="421"/>
      <x:c r="N131" s="421"/>
    </x:row>
    <x:row r="132">
      <x:c r="A132" s="170"/>
      <x:c r="B132" s="170"/>
      <x:c r="C132" s="170"/>
      <x:c r="D132" s="170"/>
      <x:c r="E132" s="170"/>
      <x:c r="F132" s="170"/>
      <x:c r="G132" s="170"/>
      <x:c r="H132" s="171"/>
      <x:c r="I132" s="170"/>
      <x:c r="J132" s="170"/>
      <x:c r="K132" s="170"/>
      <x:c r="L132" s="235" t="str">
        <x:f>IF($B132="","",IF($I132="停用","停用",IF($I132="退回補件","退回補件",IF(COUNTIFS($A$7:$A$156,$A132)&gt;1,"規則編號重複",IF(OR($A132="",$C132="",$D132="",$E132="",$F132="",$G132="",$H132="",$J132=""),IF($I132="已核定","已核定但資料未完整","待補欄位或核定"),IF(OR($M132="",$N132=""),IF($I132="已核定","已核定但缺來源依據","待補來源依據"),IF($I132="已核定","可發布","待主管核定")))))))</x:f>
      </x:c>
      <x:c r="M132" s="421"/>
      <x:c r="N132" s="421"/>
    </x:row>
    <x:row r="133">
      <x:c r="A133" s="170"/>
      <x:c r="B133" s="170"/>
      <x:c r="C133" s="170"/>
      <x:c r="D133" s="170"/>
      <x:c r="E133" s="170"/>
      <x:c r="F133" s="170"/>
      <x:c r="G133" s="170"/>
      <x:c r="H133" s="171"/>
      <x:c r="I133" s="170"/>
      <x:c r="J133" s="170"/>
      <x:c r="K133" s="170"/>
      <x:c r="L133" s="235" t="str">
        <x:f>IF($B133="","",IF($I133="停用","停用",IF($I133="退回補件","退回補件",IF(COUNTIFS($A$7:$A$156,$A133)&gt;1,"規則編號重複",IF(OR($A133="",$C133="",$D133="",$E133="",$F133="",$G133="",$H133="",$J133=""),IF($I133="已核定","已核定但資料未完整","待補欄位或核定"),IF(OR($M133="",$N133=""),IF($I133="已核定","已核定但缺來源依據","待補來源依據"),IF($I133="已核定","可發布","待主管核定")))))))</x:f>
      </x:c>
      <x:c r="M133" s="421"/>
      <x:c r="N133" s="421"/>
    </x:row>
    <x:row r="134">
      <x:c r="A134" s="170"/>
      <x:c r="B134" s="170"/>
      <x:c r="C134" s="170"/>
      <x:c r="D134" s="170"/>
      <x:c r="E134" s="170"/>
      <x:c r="F134" s="170"/>
      <x:c r="G134" s="170"/>
      <x:c r="H134" s="171"/>
      <x:c r="I134" s="170"/>
      <x:c r="J134" s="170"/>
      <x:c r="K134" s="170"/>
      <x:c r="L134" s="235" t="str">
        <x:f>IF($B134="","",IF($I134="停用","停用",IF($I134="退回補件","退回補件",IF(COUNTIFS($A$7:$A$156,$A134)&gt;1,"規則編號重複",IF(OR($A134="",$C134="",$D134="",$E134="",$F134="",$G134="",$H134="",$J134=""),IF($I134="已核定","已核定但資料未完整","待補欄位或核定"),IF(OR($M134="",$N134=""),IF($I134="已核定","已核定但缺來源依據","待補來源依據"),IF($I134="已核定","可發布","待主管核定")))))))</x:f>
      </x:c>
      <x:c r="M134" s="421"/>
      <x:c r="N134" s="421"/>
    </x:row>
    <x:row r="135">
      <x:c r="A135" s="170"/>
      <x:c r="B135" s="170"/>
      <x:c r="C135" s="170"/>
      <x:c r="D135" s="170"/>
      <x:c r="E135" s="170"/>
      <x:c r="F135" s="170"/>
      <x:c r="G135" s="170"/>
      <x:c r="H135" s="171"/>
      <x:c r="I135" s="170"/>
      <x:c r="J135" s="170"/>
      <x:c r="K135" s="170"/>
      <x:c r="L135" s="235" t="str">
        <x:f>IF($B135="","",IF($I135="停用","停用",IF($I135="退回補件","退回補件",IF(COUNTIFS($A$7:$A$156,$A135)&gt;1,"規則編號重複",IF(OR($A135="",$C135="",$D135="",$E135="",$F135="",$G135="",$H135="",$J135=""),IF($I135="已核定","已核定但資料未完整","待補欄位或核定"),IF(OR($M135="",$N135=""),IF($I135="已核定","已核定但缺來源依據","待補來源依據"),IF($I135="已核定","可發布","待主管核定")))))))</x:f>
      </x:c>
      <x:c r="M135" s="421"/>
      <x:c r="N135" s="421"/>
    </x:row>
    <x:row r="136">
      <x:c r="A136" s="170"/>
      <x:c r="B136" s="170"/>
      <x:c r="C136" s="170"/>
      <x:c r="D136" s="170"/>
      <x:c r="E136" s="170"/>
      <x:c r="F136" s="170"/>
      <x:c r="G136" s="170"/>
      <x:c r="H136" s="171"/>
      <x:c r="I136" s="170"/>
      <x:c r="J136" s="170"/>
      <x:c r="K136" s="170"/>
      <x:c r="L136" s="235" t="str">
        <x:f>IF($B136="","",IF($I136="停用","停用",IF($I136="退回補件","退回補件",IF(COUNTIFS($A$7:$A$156,$A136)&gt;1,"規則編號重複",IF(OR($A136="",$C136="",$D136="",$E136="",$F136="",$G136="",$H136="",$J136=""),IF($I136="已核定","已核定但資料未完整","待補欄位或核定"),IF(OR($M136="",$N136=""),IF($I136="已核定","已核定但缺來源依據","待補來源依據"),IF($I136="已核定","可發布","待主管核定")))))))</x:f>
      </x:c>
      <x:c r="M136" s="421"/>
      <x:c r="N136" s="421"/>
    </x:row>
    <x:row r="137">
      <x:c r="A137" s="170"/>
      <x:c r="B137" s="170"/>
      <x:c r="C137" s="170"/>
      <x:c r="D137" s="170"/>
      <x:c r="E137" s="170"/>
      <x:c r="F137" s="170"/>
      <x:c r="G137" s="170"/>
      <x:c r="H137" s="171"/>
      <x:c r="I137" s="170"/>
      <x:c r="J137" s="170"/>
      <x:c r="K137" s="170"/>
      <x:c r="L137" s="235" t="str">
        <x:f>IF($B137="","",IF($I137="停用","停用",IF($I137="退回補件","退回補件",IF(COUNTIFS($A$7:$A$156,$A137)&gt;1,"規則編號重複",IF(OR($A137="",$C137="",$D137="",$E137="",$F137="",$G137="",$H137="",$J137=""),IF($I137="已核定","已核定但資料未完整","待補欄位或核定"),IF(OR($M137="",$N137=""),IF($I137="已核定","已核定但缺來源依據","待補來源依據"),IF($I137="已核定","可發布","待主管核定")))))))</x:f>
      </x:c>
      <x:c r="M137" s="421"/>
      <x:c r="N137" s="421"/>
    </x:row>
    <x:row r="138">
      <x:c r="A138" s="170"/>
      <x:c r="B138" s="170"/>
      <x:c r="C138" s="170"/>
      <x:c r="D138" s="170"/>
      <x:c r="E138" s="170"/>
      <x:c r="F138" s="170"/>
      <x:c r="G138" s="170"/>
      <x:c r="H138" s="171"/>
      <x:c r="I138" s="170"/>
      <x:c r="J138" s="170"/>
      <x:c r="K138" s="170"/>
      <x:c r="L138" s="235" t="str">
        <x:f>IF($B138="","",IF($I138="停用","停用",IF($I138="退回補件","退回補件",IF(COUNTIFS($A$7:$A$156,$A138)&gt;1,"規則編號重複",IF(OR($A138="",$C138="",$D138="",$E138="",$F138="",$G138="",$H138="",$J138=""),IF($I138="已核定","已核定但資料未完整","待補欄位或核定"),IF(OR($M138="",$N138=""),IF($I138="已核定","已核定但缺來源依據","待補來源依據"),IF($I138="已核定","可發布","待主管核定")))))))</x:f>
      </x:c>
      <x:c r="M138" s="421"/>
      <x:c r="N138" s="421"/>
    </x:row>
    <x:row r="139">
      <x:c r="A139" s="170"/>
      <x:c r="B139" s="170"/>
      <x:c r="C139" s="170"/>
      <x:c r="D139" s="170"/>
      <x:c r="E139" s="170"/>
      <x:c r="F139" s="170"/>
      <x:c r="G139" s="170"/>
      <x:c r="H139" s="171"/>
      <x:c r="I139" s="170"/>
      <x:c r="J139" s="170"/>
      <x:c r="K139" s="170"/>
      <x:c r="L139" s="235" t="str">
        <x:f>IF($B139="","",IF($I139="停用","停用",IF($I139="退回補件","退回補件",IF(COUNTIFS($A$7:$A$156,$A139)&gt;1,"規則編號重複",IF(OR($A139="",$C139="",$D139="",$E139="",$F139="",$G139="",$H139="",$J139=""),IF($I139="已核定","已核定但資料未完整","待補欄位或核定"),IF(OR($M139="",$N139=""),IF($I139="已核定","已核定但缺來源依據","待補來源依據"),IF($I139="已核定","可發布","待主管核定")))))))</x:f>
      </x:c>
      <x:c r="M139" s="421"/>
      <x:c r="N139" s="421"/>
    </x:row>
    <x:row r="140">
      <x:c r="A140" s="170"/>
      <x:c r="B140" s="170"/>
      <x:c r="C140" s="170"/>
      <x:c r="D140" s="170"/>
      <x:c r="E140" s="170"/>
      <x:c r="F140" s="170"/>
      <x:c r="G140" s="170"/>
      <x:c r="H140" s="171"/>
      <x:c r="I140" s="170"/>
      <x:c r="J140" s="170"/>
      <x:c r="K140" s="170"/>
      <x:c r="L140" s="235" t="str">
        <x:f>IF($B140="","",IF($I140="停用","停用",IF($I140="退回補件","退回補件",IF(COUNTIFS($A$7:$A$156,$A140)&gt;1,"規則編號重複",IF(OR($A140="",$C140="",$D140="",$E140="",$F140="",$G140="",$H140="",$J140=""),IF($I140="已核定","已核定但資料未完整","待補欄位或核定"),IF(OR($M140="",$N140=""),IF($I140="已核定","已核定但缺來源依據","待補來源依據"),IF($I140="已核定","可發布","待主管核定")))))))</x:f>
      </x:c>
      <x:c r="M140" s="421"/>
      <x:c r="N140" s="421"/>
    </x:row>
    <x:row r="141">
      <x:c r="A141" s="170"/>
      <x:c r="B141" s="170"/>
      <x:c r="C141" s="170"/>
      <x:c r="D141" s="170"/>
      <x:c r="E141" s="170"/>
      <x:c r="F141" s="170"/>
      <x:c r="G141" s="170"/>
      <x:c r="H141" s="171"/>
      <x:c r="I141" s="170"/>
      <x:c r="J141" s="170"/>
      <x:c r="K141" s="170"/>
      <x:c r="L141" s="235" t="str">
        <x:f>IF($B141="","",IF($I141="停用","停用",IF($I141="退回補件","退回補件",IF(COUNTIFS($A$7:$A$156,$A141)&gt;1,"規則編號重複",IF(OR($A141="",$C141="",$D141="",$E141="",$F141="",$G141="",$H141="",$J141=""),IF($I141="已核定","已核定但資料未完整","待補欄位或核定"),IF(OR($M141="",$N141=""),IF($I141="已核定","已核定但缺來源依據","待補來源依據"),IF($I141="已核定","可發布","待主管核定")))))))</x:f>
      </x:c>
      <x:c r="M141" s="421"/>
      <x:c r="N141" s="421"/>
    </x:row>
    <x:row r="142">
      <x:c r="A142" s="170"/>
      <x:c r="B142" s="170"/>
      <x:c r="C142" s="170"/>
      <x:c r="D142" s="170"/>
      <x:c r="E142" s="170"/>
      <x:c r="F142" s="170"/>
      <x:c r="G142" s="170"/>
      <x:c r="H142" s="171"/>
      <x:c r="I142" s="170"/>
      <x:c r="J142" s="170"/>
      <x:c r="K142" s="170"/>
      <x:c r="L142" s="235" t="str">
        <x:f>IF($B142="","",IF($I142="停用","停用",IF($I142="退回補件","退回補件",IF(COUNTIFS($A$7:$A$156,$A142)&gt;1,"規則編號重複",IF(OR($A142="",$C142="",$D142="",$E142="",$F142="",$G142="",$H142="",$J142=""),IF($I142="已核定","已核定但資料未完整","待補欄位或核定"),IF(OR($M142="",$N142=""),IF($I142="已核定","已核定但缺來源依據","待補來源依據"),IF($I142="已核定","可發布","待主管核定")))))))</x:f>
      </x:c>
      <x:c r="M142" s="421"/>
      <x:c r="N142" s="421"/>
    </x:row>
    <x:row r="143">
      <x:c r="A143" s="170"/>
      <x:c r="B143" s="170"/>
      <x:c r="C143" s="170"/>
      <x:c r="D143" s="170"/>
      <x:c r="E143" s="170"/>
      <x:c r="F143" s="170"/>
      <x:c r="G143" s="170"/>
      <x:c r="H143" s="171"/>
      <x:c r="I143" s="170"/>
      <x:c r="J143" s="170"/>
      <x:c r="K143" s="170"/>
      <x:c r="L143" s="235" t="str">
        <x:f>IF($B143="","",IF($I143="停用","停用",IF($I143="退回補件","退回補件",IF(COUNTIFS($A$7:$A$156,$A143)&gt;1,"規則編號重複",IF(OR($A143="",$C143="",$D143="",$E143="",$F143="",$G143="",$H143="",$J143=""),IF($I143="已核定","已核定但資料未完整","待補欄位或核定"),IF(OR($M143="",$N143=""),IF($I143="已核定","已核定但缺來源依據","待補來源依據"),IF($I143="已核定","可發布","待主管核定")))))))</x:f>
      </x:c>
      <x:c r="M143" s="421"/>
      <x:c r="N143" s="421"/>
    </x:row>
    <x:row r="144">
      <x:c r="A144" s="170"/>
      <x:c r="B144" s="170"/>
      <x:c r="C144" s="170"/>
      <x:c r="D144" s="170"/>
      <x:c r="E144" s="170"/>
      <x:c r="F144" s="170"/>
      <x:c r="G144" s="170"/>
      <x:c r="H144" s="171"/>
      <x:c r="I144" s="170"/>
      <x:c r="J144" s="170"/>
      <x:c r="K144" s="170"/>
      <x:c r="L144" s="235" t="str">
        <x:f>IF($B144="","",IF($I144="停用","停用",IF($I144="退回補件","退回補件",IF(COUNTIFS($A$7:$A$156,$A144)&gt;1,"規則編號重複",IF(OR($A144="",$C144="",$D144="",$E144="",$F144="",$G144="",$H144="",$J144=""),IF($I144="已核定","已核定但資料未完整","待補欄位或核定"),IF(OR($M144="",$N144=""),IF($I144="已核定","已核定但缺來源依據","待補來源依據"),IF($I144="已核定","可發布","待主管核定")))))))</x:f>
      </x:c>
      <x:c r="M144" s="421"/>
      <x:c r="N144" s="421"/>
    </x:row>
    <x:row r="145">
      <x:c r="A145" s="170"/>
      <x:c r="B145" s="170"/>
      <x:c r="C145" s="170"/>
      <x:c r="D145" s="170"/>
      <x:c r="E145" s="170"/>
      <x:c r="F145" s="170"/>
      <x:c r="G145" s="170"/>
      <x:c r="H145" s="171"/>
      <x:c r="I145" s="170"/>
      <x:c r="J145" s="170"/>
      <x:c r="K145" s="170"/>
      <x:c r="L145" s="235" t="str">
        <x:f>IF($B145="","",IF($I145="停用","停用",IF($I145="退回補件","退回補件",IF(COUNTIFS($A$7:$A$156,$A145)&gt;1,"規則編號重複",IF(OR($A145="",$C145="",$D145="",$E145="",$F145="",$G145="",$H145="",$J145=""),IF($I145="已核定","已核定但資料未完整","待補欄位或核定"),IF(OR($M145="",$N145=""),IF($I145="已核定","已核定但缺來源依據","待補來源依據"),IF($I145="已核定","可發布","待主管核定")))))))</x:f>
      </x:c>
      <x:c r="M145" s="421"/>
      <x:c r="N145" s="421"/>
    </x:row>
    <x:row r="146">
      <x:c r="A146" s="170"/>
      <x:c r="B146" s="170"/>
      <x:c r="C146" s="170"/>
      <x:c r="D146" s="170"/>
      <x:c r="E146" s="170"/>
      <x:c r="F146" s="170"/>
      <x:c r="G146" s="170"/>
      <x:c r="H146" s="171"/>
      <x:c r="I146" s="170"/>
      <x:c r="J146" s="170"/>
      <x:c r="K146" s="170"/>
      <x:c r="L146" s="235" t="str">
        <x:f>IF($B146="","",IF($I146="停用","停用",IF($I146="退回補件","退回補件",IF(COUNTIFS($A$7:$A$156,$A146)&gt;1,"規則編號重複",IF(OR($A146="",$C146="",$D146="",$E146="",$F146="",$G146="",$H146="",$J146=""),IF($I146="已核定","已核定但資料未完整","待補欄位或核定"),IF(OR($M146="",$N146=""),IF($I146="已核定","已核定但缺來源依據","待補來源依據"),IF($I146="已核定","可發布","待主管核定")))))))</x:f>
      </x:c>
      <x:c r="M146" s="421"/>
      <x:c r="N146" s="421"/>
    </x:row>
    <x:row r="147">
      <x:c r="A147" s="170"/>
      <x:c r="B147" s="170"/>
      <x:c r="C147" s="170"/>
      <x:c r="D147" s="170"/>
      <x:c r="E147" s="170"/>
      <x:c r="F147" s="170"/>
      <x:c r="G147" s="170"/>
      <x:c r="H147" s="171"/>
      <x:c r="I147" s="170"/>
      <x:c r="J147" s="170"/>
      <x:c r="K147" s="170"/>
      <x:c r="L147" s="235" t="str">
        <x:f>IF($B147="","",IF($I147="停用","停用",IF($I147="退回補件","退回補件",IF(COUNTIFS($A$7:$A$156,$A147)&gt;1,"規則編號重複",IF(OR($A147="",$C147="",$D147="",$E147="",$F147="",$G147="",$H147="",$J147=""),IF($I147="已核定","已核定但資料未完整","待補欄位或核定"),IF(OR($M147="",$N147=""),IF($I147="已核定","已核定但缺來源依據","待補來源依據"),IF($I147="已核定","可發布","待主管核定")))))))</x:f>
      </x:c>
      <x:c r="M147" s="421"/>
      <x:c r="N147" s="421"/>
    </x:row>
    <x:row r="148">
      <x:c r="A148" s="170"/>
      <x:c r="B148" s="170"/>
      <x:c r="C148" s="170"/>
      <x:c r="D148" s="170"/>
      <x:c r="E148" s="170"/>
      <x:c r="F148" s="170"/>
      <x:c r="G148" s="170"/>
      <x:c r="H148" s="171"/>
      <x:c r="I148" s="170"/>
      <x:c r="J148" s="170"/>
      <x:c r="K148" s="170"/>
      <x:c r="L148" s="235" t="str">
        <x:f>IF($B148="","",IF($I148="停用","停用",IF($I148="退回補件","退回補件",IF(COUNTIFS($A$7:$A$156,$A148)&gt;1,"規則編號重複",IF(OR($A148="",$C148="",$D148="",$E148="",$F148="",$G148="",$H148="",$J148=""),IF($I148="已核定","已核定但資料未完整","待補欄位或核定"),IF(OR($M148="",$N148=""),IF($I148="已核定","已核定但缺來源依據","待補來源依據"),IF($I148="已核定","可發布","待主管核定")))))))</x:f>
      </x:c>
      <x:c r="M148" s="421"/>
      <x:c r="N148" s="421"/>
    </x:row>
    <x:row r="149">
      <x:c r="A149" s="170"/>
      <x:c r="B149" s="170"/>
      <x:c r="C149" s="170"/>
      <x:c r="D149" s="170"/>
      <x:c r="E149" s="170"/>
      <x:c r="F149" s="170"/>
      <x:c r="G149" s="170"/>
      <x:c r="H149" s="171"/>
      <x:c r="I149" s="170"/>
      <x:c r="J149" s="170"/>
      <x:c r="K149" s="170"/>
      <x:c r="L149" s="235" t="str">
        <x:f>IF($B149="","",IF($I149="停用","停用",IF($I149="退回補件","退回補件",IF(COUNTIFS($A$7:$A$156,$A149)&gt;1,"規則編號重複",IF(OR($A149="",$C149="",$D149="",$E149="",$F149="",$G149="",$H149="",$J149=""),IF($I149="已核定","已核定但資料未完整","待補欄位或核定"),IF(OR($M149="",$N149=""),IF($I149="已核定","已核定但缺來源依據","待補來源依據"),IF($I149="已核定","可發布","待主管核定")))))))</x:f>
      </x:c>
      <x:c r="M149" s="421"/>
      <x:c r="N149" s="421"/>
    </x:row>
    <x:row r="150">
      <x:c r="A150" s="170"/>
      <x:c r="B150" s="170"/>
      <x:c r="C150" s="170"/>
      <x:c r="D150" s="170"/>
      <x:c r="E150" s="170"/>
      <x:c r="F150" s="170"/>
      <x:c r="G150" s="170"/>
      <x:c r="H150" s="171"/>
      <x:c r="I150" s="170"/>
      <x:c r="J150" s="170"/>
      <x:c r="K150" s="170"/>
      <x:c r="L150" s="235" t="str">
        <x:f>IF($B150="","",IF($I150="停用","停用",IF($I150="退回補件","退回補件",IF(COUNTIFS($A$7:$A$156,$A150)&gt;1,"規則編號重複",IF(OR($A150="",$C150="",$D150="",$E150="",$F150="",$G150="",$H150="",$J150=""),IF($I150="已核定","已核定但資料未完整","待補欄位或核定"),IF(OR($M150="",$N150=""),IF($I150="已核定","已核定但缺來源依據","待補來源依據"),IF($I150="已核定","可發布","待主管核定")))))))</x:f>
      </x:c>
      <x:c r="M150" s="421"/>
      <x:c r="N150" s="421"/>
    </x:row>
    <x:row r="151">
      <x:c r="A151" s="170"/>
      <x:c r="B151" s="170"/>
      <x:c r="C151" s="170"/>
      <x:c r="D151" s="170"/>
      <x:c r="E151" s="170"/>
      <x:c r="F151" s="170"/>
      <x:c r="G151" s="170"/>
      <x:c r="H151" s="171"/>
      <x:c r="I151" s="170"/>
      <x:c r="J151" s="170"/>
      <x:c r="K151" s="170"/>
      <x:c r="L151" s="235" t="str">
        <x:f>IF($B151="","",IF($I151="停用","停用",IF($I151="退回補件","退回補件",IF(COUNTIFS($A$7:$A$156,$A151)&gt;1,"規則編號重複",IF(OR($A151="",$C151="",$D151="",$E151="",$F151="",$G151="",$H151="",$J151=""),IF($I151="已核定","已核定但資料未完整","待補欄位或核定"),IF(OR($M151="",$N151=""),IF($I151="已核定","已核定但缺來源依據","待補來源依據"),IF($I151="已核定","可發布","待主管核定")))))))</x:f>
      </x:c>
      <x:c r="M151" s="421"/>
      <x:c r="N151" s="421"/>
    </x:row>
    <x:row r="152">
      <x:c r="A152" s="170"/>
      <x:c r="B152" s="170"/>
      <x:c r="C152" s="170"/>
      <x:c r="D152" s="170"/>
      <x:c r="E152" s="170"/>
      <x:c r="F152" s="170"/>
      <x:c r="G152" s="170"/>
      <x:c r="H152" s="171"/>
      <x:c r="I152" s="170"/>
      <x:c r="J152" s="170"/>
      <x:c r="K152" s="170"/>
      <x:c r="L152" s="235" t="str">
        <x:f>IF($B152="","",IF($I152="停用","停用",IF($I152="退回補件","退回補件",IF(COUNTIFS($A$7:$A$156,$A152)&gt;1,"規則編號重複",IF(OR($A152="",$C152="",$D152="",$E152="",$F152="",$G152="",$H152="",$J152=""),IF($I152="已核定","已核定但資料未完整","待補欄位或核定"),IF(OR($M152="",$N152=""),IF($I152="已核定","已核定但缺來源依據","待補來源依據"),IF($I152="已核定","可發布","待主管核定")))))))</x:f>
      </x:c>
      <x:c r="M152" s="421"/>
      <x:c r="N152" s="421"/>
    </x:row>
    <x:row r="153">
      <x:c r="A153" s="170"/>
      <x:c r="B153" s="170"/>
      <x:c r="C153" s="170"/>
      <x:c r="D153" s="170"/>
      <x:c r="E153" s="170"/>
      <x:c r="F153" s="170"/>
      <x:c r="G153" s="170"/>
      <x:c r="H153" s="171"/>
      <x:c r="I153" s="170"/>
      <x:c r="J153" s="170"/>
      <x:c r="K153" s="170"/>
      <x:c r="L153" s="235" t="str">
        <x:f>IF($B153="","",IF($I153="停用","停用",IF($I153="退回補件","退回補件",IF(COUNTIFS($A$7:$A$156,$A153)&gt;1,"規則編號重複",IF(OR($A153="",$C153="",$D153="",$E153="",$F153="",$G153="",$H153="",$J153=""),IF($I153="已核定","已核定但資料未完整","待補欄位或核定"),IF(OR($M153="",$N153=""),IF($I153="已核定","已核定但缺來源依據","待補來源依據"),IF($I153="已核定","可發布","待主管核定")))))))</x:f>
      </x:c>
      <x:c r="M153" s="421"/>
      <x:c r="N153" s="421"/>
    </x:row>
    <x:row r="154">
      <x:c r="A154" s="170"/>
      <x:c r="B154" s="170"/>
      <x:c r="C154" s="170"/>
      <x:c r="D154" s="170"/>
      <x:c r="E154" s="170"/>
      <x:c r="F154" s="170"/>
      <x:c r="G154" s="170"/>
      <x:c r="H154" s="171"/>
      <x:c r="I154" s="170"/>
      <x:c r="J154" s="170"/>
      <x:c r="K154" s="170"/>
      <x:c r="L154" s="235" t="str">
        <x:f>IF($B154="","",IF($I154="停用","停用",IF($I154="退回補件","退回補件",IF(COUNTIFS($A$7:$A$156,$A154)&gt;1,"規則編號重複",IF(OR($A154="",$C154="",$D154="",$E154="",$F154="",$G154="",$H154="",$J154=""),IF($I154="已核定","已核定但資料未完整","待補欄位或核定"),IF(OR($M154="",$N154=""),IF($I154="已核定","已核定但缺來源依據","待補來源依據"),IF($I154="已核定","可發布","待主管核定")))))))</x:f>
      </x:c>
      <x:c r="M154" s="421"/>
      <x:c r="N154" s="421"/>
    </x:row>
    <x:row r="155">
      <x:c r="A155" s="170"/>
      <x:c r="B155" s="170"/>
      <x:c r="C155" s="170"/>
      <x:c r="D155" s="170"/>
      <x:c r="E155" s="170"/>
      <x:c r="F155" s="170"/>
      <x:c r="G155" s="170"/>
      <x:c r="H155" s="171"/>
      <x:c r="I155" s="170"/>
      <x:c r="J155" s="170"/>
      <x:c r="K155" s="170"/>
      <x:c r="L155" s="235" t="str">
        <x:f>IF($B155="","",IF($I155="停用","停用",IF($I155="退回補件","退回補件",IF(COUNTIFS($A$7:$A$156,$A155)&gt;1,"規則編號重複",IF(OR($A155="",$C155="",$D155="",$E155="",$F155="",$G155="",$H155="",$J155=""),IF($I155="已核定","已核定但資料未完整","待補欄位或核定"),IF(OR($M155="",$N155=""),IF($I155="已核定","已核定但缺來源依據","待補來源依據"),IF($I155="已核定","可發布","待主管核定")))))))</x:f>
      </x:c>
      <x:c r="M155" s="421"/>
      <x:c r="N155" s="421"/>
    </x:row>
    <x:row r="156">
      <x:c r="A156" s="170"/>
      <x:c r="B156" s="170"/>
      <x:c r="C156" s="170"/>
      <x:c r="D156" s="170"/>
      <x:c r="E156" s="170"/>
      <x:c r="F156" s="170"/>
      <x:c r="G156" s="170"/>
      <x:c r="H156" s="171"/>
      <x:c r="I156" s="170"/>
      <x:c r="J156" s="170"/>
      <x:c r="K156" s="170"/>
      <x:c r="L156" s="235" t="str">
        <x:f>IF($B156="","",IF($I156="停用","停用",IF($I156="退回補件","退回補件",IF(COUNTIFS($A$7:$A$156,$A156)&gt;1,"規則編號重複",IF(OR($A156="",$C156="",$D156="",$E156="",$F156="",$G156="",$H156="",$J156=""),IF($I156="已核定","已核定但資料未完整","待補欄位或核定"),IF(OR($M156="",$N156=""),IF($I156="已核定","已核定但缺來源依據","待補來源依據"),IF($I156="已核定","可發布","待主管核定")))))))</x:f>
      </x:c>
      <x:c r="M156" s="421"/>
      <x:c r="N156" s="421"/>
    </x:row>
  </x:sheetData>
  <x:mergeCells>
    <x:mergeCell ref="A2:N2"/>
    <x:mergeCell ref="A4:N4"/>
  </x:mergeCells>
  <x:conditionalFormatting sqref="I7:I156">
    <x:cfRule type="containsText" dxfId="51" priority="1" operator="containsText" text="已核定"/>
    <x:cfRule type="containsText" dxfId="52" priority="2" operator="containsText" text="退回"/>
  </x:conditionalFormatting>
  <x:conditionalFormatting sqref="L7:L156">
    <x:cfRule type="containsText" dxfId="118" priority="3" operator="containsText" text="可發布"/>
    <x:cfRule type="containsText" dxfId="119" priority="4" operator="containsText" text="重複"/>
    <x:cfRule type="containsText" dxfId="120" priority="5" operator="containsText" text="已核定但"/>
    <x:cfRule type="containsText" dxfId="121" priority="6" operator="containsText" text="待補來源"/>
  </x:conditionalFormatting>
  <x:dataValidations count="4">
    <x:dataValidation type="list" sqref="B7:B156">
      <x:formula1>"Lv.1,Lv.2,Lv.3,Lv.4,Lv.5,Lv.6,Lv.7,Lv.8,Lv.9,Lv.10"</x:formula1>
    </x:dataValidation>
    <x:dataValidation type="list" sqref="C7:C156">
      <x:formula1>"技能,流動級別,正式考核,經驗條件,主管核定條件,其他"</x:formula1>
    </x:dataValidation>
    <x:dataValidation type="list" sqref="F7:F156">
      <x:formula1>"必備,參考"</x:formula1>
    </x:dataValidation>
    <x:dataValidation type="list" sqref="I7:I156">
      <x:formula1>"待確認,已核定,退回補件,停用"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18f18ec8da4730"/>
  </x:tableParts>
</x:worksheet>
</file>

<file path=xl/worksheets/sheet33.xml><?xml version="1.0" encoding="utf-8"?>
<x:worksheet xmlns:x="http://schemas.openxmlformats.org/spreadsheetml/2006/main">
  <x:sheetPr>
    <x:tabColor rgb="FF1F5E78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8" hidden="0" customWidth="1"/>
    <x:col min="7" max="7" width="22" hidden="0" customWidth="1"/>
    <x:col min="8" max="8" width="24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16" hidden="0" customWidth="1"/>
    <x:col min="18" max="18" width="18" hidden="0" customWidth="1"/>
    <x:col min="19" max="19" width="22" hidden="0" customWidth="1"/>
    <x:col min="20" max="20" width="38" hidden="0" customWidth="1"/>
  </x:cols>
  <x:sheetData>
    <x:row r="2">
      <x:c r="A2" s="74" t="str">
        <x:v>諮詢組療程與排班確認視圖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</x:row>
    <x:row r="4">
      <x:c r="A4" s="75" t="str">
        <x:v>顯示療程、人力需求、支援條件、確認進度與最終發布狀態；例外細節仍只由助理主管處理，不顯示個別考核、事件或面談內容。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</x:row>
    <x:row r="6">
      <x:c r="A6" s="198" t="str">
        <x:v>正式需求</x:v>
      </x:c>
      <x:c r="B6" s="198"/>
      <x:c r="D6" s="198" t="str">
        <x:v>可發布</x:v>
      </x:c>
      <x:c r="E6" s="198"/>
      <x:c r="G6" s="198" t="str">
        <x:v>諮詢組待處理</x:v>
      </x:c>
      <x:c r="H6" s="198"/>
      <x:c r="J6" s="198" t="str">
        <x:v>助理主管待處理</x:v>
      </x:c>
      <x:c r="K6" s="198"/>
      <x:c r="M6" s="198" t="str">
        <x:v>已釋出人力</x:v>
      </x:c>
      <x:c r="N6" s="198"/>
    </x:row>
    <x:row r="7">
      <x:c r="A7" s="203" t="n">
        <x:f>COUNTIFS($B$11:$B$40,"正式")</x:f>
        <x:v>0</x:v>
      </x:c>
      <x:c r="B7" s="203"/>
      <x:c r="D7" s="203" t="n">
        <x:f>COUNTIFS($B$11:$B$40,"正式",$S$11:$S$40,"可發布")+COUNTIFS($B$11:$B$40,"正式",$S$11:$S$40,"例外核定可發布")</x:f>
        <x:v>0</x:v>
      </x:c>
      <x:c r="E7" s="203"/>
      <x:c r="G7" s="203" t="n">
        <x:f>COUNTIFS($B$11:$B$40,"正式",$T$11:$T$40,"完成三週前療程標記")+COUNTIFS($B$11:$B$40,"正式",$T$11:$T$40,"完成一週前診前確認")</x:f>
        <x:v>0</x:v>
      </x:c>
      <x:c r="H7" s="203"/>
      <x:c r="J7" s="203" t="n">
        <x:f>COUNTIFS($B$11:$B$40,"正式",$T$11:$T$40,"通知助理主管處理人力異動")+COUNTIFS($B$11:$B$40,"正式",$T$11:$T$40,"等候助理主管完成人力或資格檢核")</x:f>
        <x:v>0</x:v>
      </x:c>
      <x:c r="K7" s="203"/>
      <x:c r="M7" s="203" t="n">
        <x:f>COUNTIFS($B$11:$B$40,"正式",$S$11:$S$40,"人力已釋出")</x:f>
        <x:v>0</x:v>
      </x:c>
      <x:c r="N7" s="203"/>
    </x:row>
    <x:row r="8">
      <x:c r="A8" s="207" t="str">
        <x:f>IF(A7=0,"尚無正式需求","筆")</x:f>
        <x:v>尚無正式需求</x:v>
      </x:c>
      <x:c r="B8" s="207"/>
      <x:c r="D8" s="207" t="str">
        <x:f>IF(D7=0,"尚無可發布班次","筆")</x:f>
        <x:v>尚無可發布班次</x:v>
      </x:c>
      <x:c r="E8" s="207"/>
      <x:c r="G8" s="207" t="str">
        <x:f>IF(G7=0,"無待確認項目","筆")</x:f>
        <x:v>無待確認項目</x:v>
      </x:c>
      <x:c r="H8" s="207"/>
      <x:c r="J8" s="207" t="str">
        <x:f>IF(J7=0,"無待處理項目","筆")</x:f>
        <x:v>無待處理項目</x:v>
      </x:c>
      <x:c r="K8" s="207"/>
      <x:c r="M8" s="207" t="str">
        <x:f>IF(M7=0,"無釋出項目","筆")</x:f>
        <x:v>無釋出項目</x:v>
      </x:c>
      <x:c r="N8" s="207"/>
    </x:row>
    <x:row r="10">
      <x:c r="A10" s="210" t="str">
        <x:v>需求編號</x:v>
      </x:c>
      <x:c r="B10" s="210" t="str">
        <x:v>資料狀態</x:v>
      </x:c>
      <x:c r="C10" s="210" t="str">
        <x:v>日期</x:v>
      </x:c>
      <x:c r="D10" s="210" t="str">
        <x:v>開始</x:v>
      </x:c>
      <x:c r="E10" s="210" t="str">
        <x:v>結束</x:v>
      </x:c>
      <x:c r="F10" s="210" t="str">
        <x:v>醫師</x:v>
      </x:c>
      <x:c r="G10" s="210" t="str">
        <x:v>治療項目</x:v>
      </x:c>
      <x:c r="H10" s="210" t="str">
        <x:v>模式代碼</x:v>
      </x:c>
      <x:c r="I10" s="210" t="str">
        <x:v>療程確認</x:v>
      </x:c>
      <x:c r="J10" s="210" t="str">
        <x:v>主跟診需求</x:v>
      </x:c>
      <x:c r="K10" s="210" t="str">
        <x:v>支援需求名額</x:v>
      </x:c>
      <x:c r="L10" s="210" t="str">
        <x:v>短時支援人數</x:v>
      </x:c>
      <x:c r="M10" s="210" t="str">
        <x:v>支援分鐘</x:v>
      </x:c>
      <x:c r="N10" s="210" t="str">
        <x:v>三週截止日</x:v>
      </x:c>
      <x:c r="O10" s="210" t="str">
        <x:v>一週截止日</x:v>
      </x:c>
      <x:c r="P10" s="210" t="str">
        <x:v>確認流程</x:v>
      </x:c>
      <x:c r="Q10" s="210" t="str">
        <x:v>異動類型</x:v>
      </x:c>
      <x:c r="R10" s="210" t="str">
        <x:v>人力處理狀態</x:v>
      </x:c>
      <x:c r="S10" s="210" t="str">
        <x:v>發布狀態</x:v>
      </x:c>
      <x:c r="T10" s="210" t="str">
        <x:v>下一步</x:v>
      </x:c>
    </x:row>
    <x:row r="11">
      <x:c r="A11" s="80" t="str">
        <x:f>IF('班次需求輸入'!A7="","",'班次需求輸入'!A7)</x:f>
        <x:v>S001</x:v>
      </x:c>
      <x:c r="B11" s="80" t="str">
        <x:f>IF($A11="","",'班次需求輸入'!K7)</x:f>
        <x:v>範例</x:v>
      </x:c>
      <x:c r="C11" s="211" t="n">
        <x:f>IF($A11="","",'班次需求輸入'!B7)</x:f>
        <x:v>46286</x:v>
      </x:c>
      <x:c r="D11" s="212" t="n">
        <x:f>IF($A11="","",'班次需求輸入'!C7)</x:f>
        <x:v>0.375</x:v>
      </x:c>
      <x:c r="E11" s="212" t="n">
        <x:f>IF($A11="","",'班次需求輸入'!D7)</x:f>
        <x:v>0.5</x:v>
      </x:c>
      <x:c r="F11" s="80" t="str">
        <x:f>IF($A11="","",'班次需求輸入'!E7)</x:f>
        <x:v>李侑津醫師</x:v>
      </x:c>
      <x:c r="G11" s="80" t="str">
        <x:f>IF($A11="","",_xlfn.XLOOKUP($A11,'班次檢核總覽'!$A$7:$A$36,'班次檢核總覽'!$F$7:$F$36,"",0))</x:f>
        <x:v>洗牙</x:v>
      </x:c>
      <x:c r="H11" s="80" t="str">
        <x:f>IF($A11="","",'班次需求輸入'!F7)</x:f>
        <x:v>LJT-SCALING</x:v>
      </x:c>
      <x:c r="I11" s="80" t="str">
        <x:f>IF($A11="","",'班次需求輸入'!G7)</x:f>
        <x:v>一般診已確認</x:v>
      </x:c>
      <x:c r="J11" s="213" t="n">
        <x:f>IF($A11="","",'班次需求輸入'!H7)</x:f>
        <x:v>1</x:v>
      </x:c>
      <x:c r="K11" s="213" t="n">
        <x:f>IF($A11="","",_xlfn.XLOOKUP($A11,'班次檢核總覽'!$A$7:$A$36,'班次檢核總覽'!$L$7:$L$36,0,0))</x:f>
        <x:v>0</x:v>
      </x:c>
      <x:c r="L11" s="213" t="n">
        <x:f>IF($A11="","",_xlfn.XLOOKUP($A11,'班次檢核總覽'!$A$7:$A$36,'班次檢核總覽'!$N$7:$N$36,0,0))</x:f>
        <x:v>0</x:v>
      </x:c>
      <x:c r="M11" s="213" t="str">
        <x:f>IF($A11="","",'班次需求輸入'!J7)</x:f>
      </x:c>
      <x:c r="N11" s="211" t="n">
        <x:f>IF($A11="","",'班次需求輸入'!M7)</x:f>
        <x:v>46265</x:v>
      </x:c>
      <x:c r="O11" s="211" t="n">
        <x:f>IF($A11="","",'班次需求輸入'!P7)</x:f>
        <x:v>46279</x:v>
      </x:c>
      <x:c r="P11" s="80" t="str">
        <x:f>IF($A11="","",'班次需求輸入'!X7)</x:f>
        <x:v>待三週前標記</x:v>
      </x:c>
      <x:c r="Q11" s="80" t="str">
        <x:f>IF($A11="","",_xlfn.XLOOKUP($A11,'班次需求輸入'!$A$7:$A$36,'班次需求輸入'!$T$7:$T$36,"",0))</x:f>
      </x:c>
      <x:c r="R11" s="80" t="str">
        <x:f>IF($A11="","",_xlfn.XLOOKUP($A11,'班次需求輸入'!$A$7:$A$36,'班次需求輸入'!$V$7:$V$36,"",0))</x:f>
      </x:c>
      <x:c r="S11" s="80" t="str">
        <x:f>IF($A11="","",_xlfn.XLOOKUP($A11,'班次檢核總覽'!$A$7:$A$36,'班次檢核總覽'!$W$7:$W$36,"",0))</x:f>
        <x:v>範例，不發布</x:v>
      </x:c>
      <x:c r="T11" s="80" t="str">
        <x:f>IF($A11="","",IF($B11="範例","範例，不需處理",IF(OR($S11="可發布",$S11="例外核定可發布"),"完成",IF($S11="人力已釋出","確認改派或結案",IF($P11="待三週前標記","完成三週前療程標記",IF($P11="待一週前確認","完成一週前診前確認",IF(OR($P11="人力異動待處理",$P11="人力釋出待處理"),"通知助理主管處理人力異動","等候助理主管完成人力或資格檢核")))))))</x:f>
        <x:v>範例，不需處理</x:v>
      </x:c>
    </x:row>
    <x:row r="12">
      <x:c r="A12" s="80" t="str">
        <x:f>IF('班次需求輸入'!A8="","",'班次需求輸入'!A8)</x:f>
        <x:v>S002</x:v>
      </x:c>
      <x:c r="B12" s="80" t="str">
        <x:f>IF($A12="","",'班次需求輸入'!K8)</x:f>
        <x:v>範例</x:v>
      </x:c>
      <x:c r="C12" s="211" t="n">
        <x:f>IF($A12="","",'班次需求輸入'!B8)</x:f>
        <x:v>46286</x:v>
      </x:c>
      <x:c r="D12" s="212" t="n">
        <x:f>IF($A12="","",'班次需求輸入'!C8)</x:f>
        <x:v>0.5833333333333334</x:v>
      </x:c>
      <x:c r="E12" s="212" t="n">
        <x:f>IF($A12="","",'班次需求輸入'!D8)</x:f>
        <x:v>0.7083333333333334</x:v>
      </x:c>
      <x:c r="F12" s="80" t="str">
        <x:f>IF($A12="","",'班次需求輸入'!E8)</x:f>
        <x:v>李侑津醫師</x:v>
      </x:c>
      <x:c r="G12" s="80" t="str">
        <x:f>IF($A12="","",_xlfn.XLOOKUP($A12,'班次檢核總覽'!$A$7:$A$36,'班次檢核總覽'!$F$7:$F$36,"",0))</x:f>
        <x:v>植牙</x:v>
      </x:c>
      <x:c r="H12" s="80" t="str">
        <x:f>IF($A12="","",'班次需求輸入'!F8)</x:f>
        <x:v>LJT-IMPLANT</x:v>
      </x:c>
      <x:c r="I12" s="80" t="str">
        <x:f>IF($A12="","",'班次需求輸入'!G8)</x:f>
        <x:v>特殊療程已確認</x:v>
      </x:c>
      <x:c r="J12" s="213" t="n">
        <x:f>IF($A12="","",'班次需求輸入'!H8)</x:f>
        <x:v>1</x:v>
      </x:c>
      <x:c r="K12" s="213" t="n">
        <x:f>IF($A12="","",_xlfn.XLOOKUP($A12,'班次檢核總覽'!$A$7:$A$36,'班次檢核總覽'!$L$7:$L$36,0,0))</x:f>
        <x:v>0</x:v>
      </x:c>
      <x:c r="L12" s="213" t="n">
        <x:f>IF($A12="","",_xlfn.XLOOKUP($A12,'班次檢核總覽'!$A$7:$A$36,'班次檢核總覽'!$N$7:$N$36,0,0))</x:f>
        <x:v>0</x:v>
      </x:c>
      <x:c r="M12" s="213" t="n">
        <x:f>IF($A12="","",'班次需求輸入'!J8)</x:f>
        <x:v>0</x:v>
      </x:c>
      <x:c r="N12" s="211" t="n">
        <x:f>IF($A12="","",'班次需求輸入'!M8)</x:f>
        <x:v>46265</x:v>
      </x:c>
      <x:c r="O12" s="211" t="n">
        <x:f>IF($A12="","",'班次需求輸入'!P8)</x:f>
        <x:v>46279</x:v>
      </x:c>
      <x:c r="P12" s="80" t="str">
        <x:f>IF($A12="","",'班次需求輸入'!X8)</x:f>
        <x:v>待三週前標記</x:v>
      </x:c>
      <x:c r="Q12" s="80" t="str">
        <x:f>IF($A12="","",_xlfn.XLOOKUP($A12,'班次需求輸入'!$A$7:$A$36,'班次需求輸入'!$T$7:$T$36,"",0))</x:f>
      </x:c>
      <x:c r="R12" s="80" t="str">
        <x:f>IF($A12="","",_xlfn.XLOOKUP($A12,'班次需求輸入'!$A$7:$A$36,'班次需求輸入'!$V$7:$V$36,"",0))</x:f>
      </x:c>
      <x:c r="S12" s="80" t="str">
        <x:f>IF($A12="","",_xlfn.XLOOKUP($A12,'班次檢核總覽'!$A$7:$A$36,'班次檢核總覽'!$W$7:$W$36,"",0))</x:f>
        <x:v>範例，不發布</x:v>
      </x:c>
      <x:c r="T12" s="80" t="str">
        <x:f>IF($A12="","",IF($B12="範例","範例，不需處理",IF(OR($S12="可發布",$S12="例外核定可發布"),"完成",IF($S12="人力已釋出","確認改派或結案",IF($P12="待三週前標記","完成三週前療程標記",IF($P12="待一週前確認","完成一週前診前確認",IF(OR($P12="人力異動待處理",$P12="人力釋出待處理"),"通知助理主管處理人力異動","等候助理主管完成人力或資格檢核")))))))</x:f>
        <x:v>範例，不需處理</x:v>
      </x:c>
    </x:row>
    <x:row r="13">
      <x:c r="A13" s="80" t="str">
        <x:f>IF('班次需求輸入'!A9="","",'班次需求輸入'!A9)</x:f>
        <x:v>S003</x:v>
      </x:c>
      <x:c r="B13" s="80" t="str">
        <x:f>IF($A13="","",'班次需求輸入'!K9)</x:f>
        <x:v>範例</x:v>
      </x:c>
      <x:c r="C13" s="211" t="n">
        <x:f>IF($A13="","",'班次需求輸入'!B9)</x:f>
        <x:v>46286</x:v>
      </x:c>
      <x:c r="D13" s="212" t="n">
        <x:f>IF($A13="","",'班次需求輸入'!C9)</x:f>
        <x:v>0.7083333333333334</x:v>
      </x:c>
      <x:c r="E13" s="212" t="n">
        <x:f>IF($A13="","",'班次需求輸入'!D9)</x:f>
        <x:v>0.7291666666666666</x:v>
      </x:c>
      <x:c r="F13" s="80" t="str">
        <x:f>IF($A13="","",'班次需求輸入'!E9)</x:f>
        <x:v>李侑津醫師</x:v>
      </x:c>
      <x:c r="G13" s="80" t="str">
        <x:f>IF($A13="","",_xlfn.XLOOKUP($A13,'班次檢核總覽'!$A$7:$A$36,'班次檢核總覽'!$F$7:$F$36,"",0))</x:f>
        <x:v>RPD</x:v>
      </x:c>
      <x:c r="H13" s="80" t="str">
        <x:f>IF($A13="","",'班次需求輸入'!F9)</x:f>
        <x:v>LJT-RPD-FINAL</x:v>
      </x:c>
      <x:c r="I13" s="80" t="str">
        <x:f>IF($A13="","",'班次需求輸入'!G9)</x:f>
        <x:v>特殊療程已確認</x:v>
      </x:c>
      <x:c r="J13" s="213" t="n">
        <x:f>IF($A13="","",'班次需求輸入'!H9)</x:f>
        <x:v>1</x:v>
      </x:c>
      <x:c r="K13" s="213" t="n">
        <x:f>IF($A13="","",_xlfn.XLOOKUP($A13,'班次檢核總覽'!$A$7:$A$36,'班次檢核總覽'!$L$7:$L$36,0,0))</x:f>
        <x:v>1</x:v>
      </x:c>
      <x:c r="L13" s="213" t="n">
        <x:f>IF($A13="","",_xlfn.XLOOKUP($A13,'班次檢核總覽'!$A$7:$A$36,'班次檢核總覽'!$N$7:$N$36,0,0))</x:f>
        <x:v>1</x:v>
      </x:c>
      <x:c r="M13" s="213" t="n">
        <x:f>IF($A13="","",'班次需求輸入'!J9)</x:f>
        <x:v>30</x:v>
      </x:c>
      <x:c r="N13" s="211" t="n">
        <x:f>IF($A13="","",'班次需求輸入'!M9)</x:f>
        <x:v>46265</x:v>
      </x:c>
      <x:c r="O13" s="211" t="n">
        <x:f>IF($A13="","",'班次需求輸入'!P9)</x:f>
        <x:v>46279</x:v>
      </x:c>
      <x:c r="P13" s="80" t="str">
        <x:f>IF($A13="","",'班次需求輸入'!X9)</x:f>
        <x:v>待三週前標記</x:v>
      </x:c>
      <x:c r="Q13" s="80" t="str">
        <x:f>IF($A13="","",_xlfn.XLOOKUP($A13,'班次需求輸入'!$A$7:$A$36,'班次需求輸入'!$T$7:$T$36,"",0))</x:f>
      </x:c>
      <x:c r="R13" s="80" t="str">
        <x:f>IF($A13="","",_xlfn.XLOOKUP($A13,'班次需求輸入'!$A$7:$A$36,'班次需求輸入'!$V$7:$V$36,"",0))</x:f>
      </x:c>
      <x:c r="S13" s="80" t="str">
        <x:f>IF($A13="","",_xlfn.XLOOKUP($A13,'班次檢核總覽'!$A$7:$A$36,'班次檢核總覽'!$W$7:$W$36,"",0))</x:f>
        <x:v>範例，不發布</x:v>
      </x:c>
      <x:c r="T13" s="80" t="str">
        <x:f>IF($A13="","",IF($B13="範例","範例，不需處理",IF(OR($S13="可發布",$S13="例外核定可發布"),"完成",IF($S13="人力已釋出","確認改派或結案",IF($P13="待三週前標記","完成三週前療程標記",IF($P13="待一週前確認","完成一週前診前確認",IF(OR($P13="人力異動待處理",$P13="人力釋出待處理"),"通知助理主管處理人力異動","等候助理主管完成人力或資格檢核")))))))</x:f>
        <x:v>範例，不需處理</x:v>
      </x:c>
    </x:row>
    <x:row r="14">
      <x:c r="A14" s="80" t="str">
        <x:f>IF('班次需求輸入'!A10="","",'班次需求輸入'!A10)</x:f>
      </x:c>
      <x:c r="B14" s="80" t="str">
        <x:f>IF($A14="","",'班次需求輸入'!K10)</x:f>
      </x:c>
      <x:c r="C14" s="211" t="str">
        <x:f>IF($A14="","",'班次需求輸入'!B10)</x:f>
      </x:c>
      <x:c r="D14" s="212" t="str">
        <x:f>IF($A14="","",'班次需求輸入'!C10)</x:f>
      </x:c>
      <x:c r="E14" s="212" t="str">
        <x:f>IF($A14="","",'班次需求輸入'!D10)</x:f>
      </x:c>
      <x:c r="F14" s="80" t="str">
        <x:f>IF($A14="","",'班次需求輸入'!E10)</x:f>
      </x:c>
      <x:c r="G14" s="80" t="str">
        <x:f>IF($A14="","",_xlfn.XLOOKUP($A14,'班次檢核總覽'!$A$7:$A$36,'班次檢核總覽'!$F$7:$F$36,"",0))</x:f>
      </x:c>
      <x:c r="H14" s="80" t="str">
        <x:f>IF($A14="","",'班次需求輸入'!F10)</x:f>
      </x:c>
      <x:c r="I14" s="80" t="str">
        <x:f>IF($A14="","",'班次需求輸入'!G10)</x:f>
      </x:c>
      <x:c r="J14" s="213" t="str">
        <x:f>IF($A14="","",'班次需求輸入'!H10)</x:f>
      </x:c>
      <x:c r="K14" s="213" t="str">
        <x:f>IF($A14="","",_xlfn.XLOOKUP($A14,'班次檢核總覽'!$A$7:$A$36,'班次檢核總覽'!$L$7:$L$36,0,0))</x:f>
      </x:c>
      <x:c r="L14" s="213" t="str">
        <x:f>IF($A14="","",_xlfn.XLOOKUP($A14,'班次檢核總覽'!$A$7:$A$36,'班次檢核總覽'!$N$7:$N$36,0,0))</x:f>
      </x:c>
      <x:c r="M14" s="213" t="str">
        <x:f>IF($A14="","",'班次需求輸入'!J10)</x:f>
      </x:c>
      <x:c r="N14" s="211" t="str">
        <x:f>IF($A14="","",'班次需求輸入'!M10)</x:f>
      </x:c>
      <x:c r="O14" s="211" t="str">
        <x:f>IF($A14="","",'班次需求輸入'!P10)</x:f>
      </x:c>
      <x:c r="P14" s="80" t="str">
        <x:f>IF($A14="","",'班次需求輸入'!X10)</x:f>
      </x:c>
      <x:c r="Q14" s="80" t="str">
        <x:f>IF($A14="","",_xlfn.XLOOKUP($A14,'班次需求輸入'!$A$7:$A$36,'班次需求輸入'!$T$7:$T$36,"",0))</x:f>
      </x:c>
      <x:c r="R14" s="80" t="str">
        <x:f>IF($A14="","",_xlfn.XLOOKUP($A14,'班次需求輸入'!$A$7:$A$36,'班次需求輸入'!$V$7:$V$36,"",0))</x:f>
      </x:c>
      <x:c r="S14" s="80" t="str">
        <x:f>IF($A14="","",_xlfn.XLOOKUP($A14,'班次檢核總覽'!$A$7:$A$36,'班次檢核總覽'!$W$7:$W$36,"",0))</x:f>
      </x:c>
      <x:c r="T14" s="80" t="str">
        <x:f>IF($A14="","",IF($B14="範例","範例，不需處理",IF(OR($S14="可發布",$S14="例外核定可發布"),"完成",IF($S14="人力已釋出","確認改派或結案",IF($P14="待三週前標記","完成三週前療程標記",IF($P14="待一週前確認","完成一週前診前確認",IF(OR($P14="人力異動待處理",$P14="人力釋出待處理"),"通知助理主管處理人力異動","等候助理主管完成人力或資格檢核")))))))</x:f>
      </x:c>
    </x:row>
    <x:row r="15">
      <x:c r="A15" s="80" t="str">
        <x:f>IF('班次需求輸入'!A11="","",'班次需求輸入'!A11)</x:f>
      </x:c>
      <x:c r="B15" s="80" t="str">
        <x:f>IF($A15="","",'班次需求輸入'!K11)</x:f>
      </x:c>
      <x:c r="C15" s="211" t="str">
        <x:f>IF($A15="","",'班次需求輸入'!B11)</x:f>
      </x:c>
      <x:c r="D15" s="212" t="str">
        <x:f>IF($A15="","",'班次需求輸入'!C11)</x:f>
      </x:c>
      <x:c r="E15" s="212" t="str">
        <x:f>IF($A15="","",'班次需求輸入'!D11)</x:f>
      </x:c>
      <x:c r="F15" s="80" t="str">
        <x:f>IF($A15="","",'班次需求輸入'!E11)</x:f>
      </x:c>
      <x:c r="G15" s="80" t="str">
        <x:f>IF($A15="","",_xlfn.XLOOKUP($A15,'班次檢核總覽'!$A$7:$A$36,'班次檢核總覽'!$F$7:$F$36,"",0))</x:f>
      </x:c>
      <x:c r="H15" s="80" t="str">
        <x:f>IF($A15="","",'班次需求輸入'!F11)</x:f>
      </x:c>
      <x:c r="I15" s="80" t="str">
        <x:f>IF($A15="","",'班次需求輸入'!G11)</x:f>
      </x:c>
      <x:c r="J15" s="213" t="str">
        <x:f>IF($A15="","",'班次需求輸入'!H11)</x:f>
      </x:c>
      <x:c r="K15" s="213" t="str">
        <x:f>IF($A15="","",_xlfn.XLOOKUP($A15,'班次檢核總覽'!$A$7:$A$36,'班次檢核總覽'!$L$7:$L$36,0,0))</x:f>
      </x:c>
      <x:c r="L15" s="213" t="str">
        <x:f>IF($A15="","",_xlfn.XLOOKUP($A15,'班次檢核總覽'!$A$7:$A$36,'班次檢核總覽'!$N$7:$N$36,0,0))</x:f>
      </x:c>
      <x:c r="M15" s="213" t="str">
        <x:f>IF($A15="","",'班次需求輸入'!J11)</x:f>
      </x:c>
      <x:c r="N15" s="211" t="str">
        <x:f>IF($A15="","",'班次需求輸入'!M11)</x:f>
      </x:c>
      <x:c r="O15" s="211" t="str">
        <x:f>IF($A15="","",'班次需求輸入'!P11)</x:f>
      </x:c>
      <x:c r="P15" s="80" t="str">
        <x:f>IF($A15="","",'班次需求輸入'!X11)</x:f>
      </x:c>
      <x:c r="Q15" s="80" t="str">
        <x:f>IF($A15="","",_xlfn.XLOOKUP($A15,'班次需求輸入'!$A$7:$A$36,'班次需求輸入'!$T$7:$T$36,"",0))</x:f>
      </x:c>
      <x:c r="R15" s="80" t="str">
        <x:f>IF($A15="","",_xlfn.XLOOKUP($A15,'班次需求輸入'!$A$7:$A$36,'班次需求輸入'!$V$7:$V$36,"",0))</x:f>
      </x:c>
      <x:c r="S15" s="80" t="str">
        <x:f>IF($A15="","",_xlfn.XLOOKUP($A15,'班次檢核總覽'!$A$7:$A$36,'班次檢核總覽'!$W$7:$W$36,"",0))</x:f>
      </x:c>
      <x:c r="T15" s="80" t="str">
        <x:f>IF($A15="","",IF($B15="範例","範例，不需處理",IF(OR($S15="可發布",$S15="例外核定可發布"),"完成",IF($S15="人力已釋出","確認改派或結案",IF($P15="待三週前標記","完成三週前療程標記",IF($P15="待一週前確認","完成一週前診前確認",IF(OR($P15="人力異動待處理",$P15="人力釋出待處理"),"通知助理主管處理人力異動","等候助理主管完成人力或資格檢核")))))))</x:f>
      </x:c>
    </x:row>
    <x:row r="16">
      <x:c r="A16" s="80" t="str">
        <x:f>IF('班次需求輸入'!A12="","",'班次需求輸入'!A12)</x:f>
      </x:c>
      <x:c r="B16" s="80" t="str">
        <x:f>IF($A16="","",'班次需求輸入'!K12)</x:f>
      </x:c>
      <x:c r="C16" s="211" t="str">
        <x:f>IF($A16="","",'班次需求輸入'!B12)</x:f>
      </x:c>
      <x:c r="D16" s="212" t="str">
        <x:f>IF($A16="","",'班次需求輸入'!C12)</x:f>
      </x:c>
      <x:c r="E16" s="212" t="str">
        <x:f>IF($A16="","",'班次需求輸入'!D12)</x:f>
      </x:c>
      <x:c r="F16" s="80" t="str">
        <x:f>IF($A16="","",'班次需求輸入'!E12)</x:f>
      </x:c>
      <x:c r="G16" s="80" t="str">
        <x:f>IF($A16="","",_xlfn.XLOOKUP($A16,'班次檢核總覽'!$A$7:$A$36,'班次檢核總覽'!$F$7:$F$36,"",0))</x:f>
      </x:c>
      <x:c r="H16" s="80" t="str">
        <x:f>IF($A16="","",'班次需求輸入'!F12)</x:f>
      </x:c>
      <x:c r="I16" s="80" t="str">
        <x:f>IF($A16="","",'班次需求輸入'!G12)</x:f>
      </x:c>
      <x:c r="J16" s="213" t="str">
        <x:f>IF($A16="","",'班次需求輸入'!H12)</x:f>
      </x:c>
      <x:c r="K16" s="213" t="str">
        <x:f>IF($A16="","",_xlfn.XLOOKUP($A16,'班次檢核總覽'!$A$7:$A$36,'班次檢核總覽'!$L$7:$L$36,0,0))</x:f>
      </x:c>
      <x:c r="L16" s="213" t="str">
        <x:f>IF($A16="","",_xlfn.XLOOKUP($A16,'班次檢核總覽'!$A$7:$A$36,'班次檢核總覽'!$N$7:$N$36,0,0))</x:f>
      </x:c>
      <x:c r="M16" s="213" t="str">
        <x:f>IF($A16="","",'班次需求輸入'!J12)</x:f>
      </x:c>
      <x:c r="N16" s="211" t="str">
        <x:f>IF($A16="","",'班次需求輸入'!M12)</x:f>
      </x:c>
      <x:c r="O16" s="211" t="str">
        <x:f>IF($A16="","",'班次需求輸入'!P12)</x:f>
      </x:c>
      <x:c r="P16" s="80" t="str">
        <x:f>IF($A16="","",'班次需求輸入'!X12)</x:f>
      </x:c>
      <x:c r="Q16" s="80" t="str">
        <x:f>IF($A16="","",_xlfn.XLOOKUP($A16,'班次需求輸入'!$A$7:$A$36,'班次需求輸入'!$T$7:$T$36,"",0))</x:f>
      </x:c>
      <x:c r="R16" s="80" t="str">
        <x:f>IF($A16="","",_xlfn.XLOOKUP($A16,'班次需求輸入'!$A$7:$A$36,'班次需求輸入'!$V$7:$V$36,"",0))</x:f>
      </x:c>
      <x:c r="S16" s="80" t="str">
        <x:f>IF($A16="","",_xlfn.XLOOKUP($A16,'班次檢核總覽'!$A$7:$A$36,'班次檢核總覽'!$W$7:$W$36,"",0))</x:f>
      </x:c>
      <x:c r="T16" s="80" t="str">
        <x:f>IF($A16="","",IF($B16="範例","範例，不需處理",IF(OR($S16="可發布",$S16="例外核定可發布"),"完成",IF($S16="人力已釋出","確認改派或結案",IF($P16="待三週前標記","完成三週前療程標記",IF($P16="待一週前確認","完成一週前診前確認",IF(OR($P16="人力異動待處理",$P16="人力釋出待處理"),"通知助理主管處理人力異動","等候助理主管完成人力或資格檢核")))))))</x:f>
      </x:c>
    </x:row>
    <x:row r="17">
      <x:c r="A17" s="80" t="str">
        <x:f>IF('班次需求輸入'!A13="","",'班次需求輸入'!A13)</x:f>
      </x:c>
      <x:c r="B17" s="80" t="str">
        <x:f>IF($A17="","",'班次需求輸入'!K13)</x:f>
      </x:c>
      <x:c r="C17" s="211" t="str">
        <x:f>IF($A17="","",'班次需求輸入'!B13)</x:f>
      </x:c>
      <x:c r="D17" s="212" t="str">
        <x:f>IF($A17="","",'班次需求輸入'!C13)</x:f>
      </x:c>
      <x:c r="E17" s="212" t="str">
        <x:f>IF($A17="","",'班次需求輸入'!D13)</x:f>
      </x:c>
      <x:c r="F17" s="80" t="str">
        <x:f>IF($A17="","",'班次需求輸入'!E13)</x:f>
      </x:c>
      <x:c r="G17" s="80" t="str">
        <x:f>IF($A17="","",_xlfn.XLOOKUP($A17,'班次檢核總覽'!$A$7:$A$36,'班次檢核總覽'!$F$7:$F$36,"",0))</x:f>
      </x:c>
      <x:c r="H17" s="80" t="str">
        <x:f>IF($A17="","",'班次需求輸入'!F13)</x:f>
      </x:c>
      <x:c r="I17" s="80" t="str">
        <x:f>IF($A17="","",'班次需求輸入'!G13)</x:f>
      </x:c>
      <x:c r="J17" s="213" t="str">
        <x:f>IF($A17="","",'班次需求輸入'!H13)</x:f>
      </x:c>
      <x:c r="K17" s="213" t="str">
        <x:f>IF($A17="","",_xlfn.XLOOKUP($A17,'班次檢核總覽'!$A$7:$A$36,'班次檢核總覽'!$L$7:$L$36,0,0))</x:f>
      </x:c>
      <x:c r="L17" s="213" t="str">
        <x:f>IF($A17="","",_xlfn.XLOOKUP($A17,'班次檢核總覽'!$A$7:$A$36,'班次檢核總覽'!$N$7:$N$36,0,0))</x:f>
      </x:c>
      <x:c r="M17" s="213" t="str">
        <x:f>IF($A17="","",'班次需求輸入'!J13)</x:f>
      </x:c>
      <x:c r="N17" s="211" t="str">
        <x:f>IF($A17="","",'班次需求輸入'!M13)</x:f>
      </x:c>
      <x:c r="O17" s="211" t="str">
        <x:f>IF($A17="","",'班次需求輸入'!P13)</x:f>
      </x:c>
      <x:c r="P17" s="80" t="str">
        <x:f>IF($A17="","",'班次需求輸入'!X13)</x:f>
      </x:c>
      <x:c r="Q17" s="80" t="str">
        <x:f>IF($A17="","",_xlfn.XLOOKUP($A17,'班次需求輸入'!$A$7:$A$36,'班次需求輸入'!$T$7:$T$36,"",0))</x:f>
      </x:c>
      <x:c r="R17" s="80" t="str">
        <x:f>IF($A17="","",_xlfn.XLOOKUP($A17,'班次需求輸入'!$A$7:$A$36,'班次需求輸入'!$V$7:$V$36,"",0))</x:f>
      </x:c>
      <x:c r="S17" s="80" t="str">
        <x:f>IF($A17="","",_xlfn.XLOOKUP($A17,'班次檢核總覽'!$A$7:$A$36,'班次檢核總覽'!$W$7:$W$36,"",0))</x:f>
      </x:c>
      <x:c r="T17" s="80" t="str">
        <x:f>IF($A17="","",IF($B17="範例","範例，不需處理",IF(OR($S17="可發布",$S17="例外核定可發布"),"完成",IF($S17="人力已釋出","確認改派或結案",IF($P17="待三週前標記","完成三週前療程標記",IF($P17="待一週前確認","完成一週前診前確認",IF(OR($P17="人力異動待處理",$P17="人力釋出待處理"),"通知助理主管處理人力異動","等候助理主管完成人力或資格檢核")))))))</x:f>
      </x:c>
    </x:row>
    <x:row r="18">
      <x:c r="A18" s="80" t="str">
        <x:f>IF('班次需求輸入'!A14="","",'班次需求輸入'!A14)</x:f>
      </x:c>
      <x:c r="B18" s="80" t="str">
        <x:f>IF($A18="","",'班次需求輸入'!K14)</x:f>
      </x:c>
      <x:c r="C18" s="211" t="str">
        <x:f>IF($A18="","",'班次需求輸入'!B14)</x:f>
      </x:c>
      <x:c r="D18" s="212" t="str">
        <x:f>IF($A18="","",'班次需求輸入'!C14)</x:f>
      </x:c>
      <x:c r="E18" s="212" t="str">
        <x:f>IF($A18="","",'班次需求輸入'!D14)</x:f>
      </x:c>
      <x:c r="F18" s="80" t="str">
        <x:f>IF($A18="","",'班次需求輸入'!E14)</x:f>
      </x:c>
      <x:c r="G18" s="80" t="str">
        <x:f>IF($A18="","",_xlfn.XLOOKUP($A18,'班次檢核總覽'!$A$7:$A$36,'班次檢核總覽'!$F$7:$F$36,"",0))</x:f>
      </x:c>
      <x:c r="H18" s="80" t="str">
        <x:f>IF($A18="","",'班次需求輸入'!F14)</x:f>
      </x:c>
      <x:c r="I18" s="80" t="str">
        <x:f>IF($A18="","",'班次需求輸入'!G14)</x:f>
      </x:c>
      <x:c r="J18" s="213" t="str">
        <x:f>IF($A18="","",'班次需求輸入'!H14)</x:f>
      </x:c>
      <x:c r="K18" s="213" t="str">
        <x:f>IF($A18="","",_xlfn.XLOOKUP($A18,'班次檢核總覽'!$A$7:$A$36,'班次檢核總覽'!$L$7:$L$36,0,0))</x:f>
      </x:c>
      <x:c r="L18" s="213" t="str">
        <x:f>IF($A18="","",_xlfn.XLOOKUP($A18,'班次檢核總覽'!$A$7:$A$36,'班次檢核總覽'!$N$7:$N$36,0,0))</x:f>
      </x:c>
      <x:c r="M18" s="213" t="str">
        <x:f>IF($A18="","",'班次需求輸入'!J14)</x:f>
      </x:c>
      <x:c r="N18" s="211" t="str">
        <x:f>IF($A18="","",'班次需求輸入'!M14)</x:f>
      </x:c>
      <x:c r="O18" s="211" t="str">
        <x:f>IF($A18="","",'班次需求輸入'!P14)</x:f>
      </x:c>
      <x:c r="P18" s="80" t="str">
        <x:f>IF($A18="","",'班次需求輸入'!X14)</x:f>
      </x:c>
      <x:c r="Q18" s="80" t="str">
        <x:f>IF($A18="","",_xlfn.XLOOKUP($A18,'班次需求輸入'!$A$7:$A$36,'班次需求輸入'!$T$7:$T$36,"",0))</x:f>
      </x:c>
      <x:c r="R18" s="80" t="str">
        <x:f>IF($A18="","",_xlfn.XLOOKUP($A18,'班次需求輸入'!$A$7:$A$36,'班次需求輸入'!$V$7:$V$36,"",0))</x:f>
      </x:c>
      <x:c r="S18" s="80" t="str">
        <x:f>IF($A18="","",_xlfn.XLOOKUP($A18,'班次檢核總覽'!$A$7:$A$36,'班次檢核總覽'!$W$7:$W$36,"",0))</x:f>
      </x:c>
      <x:c r="T18" s="80" t="str">
        <x:f>IF($A18="","",IF($B18="範例","範例，不需處理",IF(OR($S18="可發布",$S18="例外核定可發布"),"完成",IF($S18="人力已釋出","確認改派或結案",IF($P18="待三週前標記","完成三週前療程標記",IF($P18="待一週前確認","完成一週前診前確認",IF(OR($P18="人力異動待處理",$P18="人力釋出待處理"),"通知助理主管處理人力異動","等候助理主管完成人力或資格檢核")))))))</x:f>
      </x:c>
    </x:row>
    <x:row r="19">
      <x:c r="A19" s="80" t="str">
        <x:f>IF('班次需求輸入'!A15="","",'班次需求輸入'!A15)</x:f>
      </x:c>
      <x:c r="B19" s="80" t="str">
        <x:f>IF($A19="","",'班次需求輸入'!K15)</x:f>
      </x:c>
      <x:c r="C19" s="211" t="str">
        <x:f>IF($A19="","",'班次需求輸入'!B15)</x:f>
      </x:c>
      <x:c r="D19" s="212" t="str">
        <x:f>IF($A19="","",'班次需求輸入'!C15)</x:f>
      </x:c>
      <x:c r="E19" s="212" t="str">
        <x:f>IF($A19="","",'班次需求輸入'!D15)</x:f>
      </x:c>
      <x:c r="F19" s="80" t="str">
        <x:f>IF($A19="","",'班次需求輸入'!E15)</x:f>
      </x:c>
      <x:c r="G19" s="80" t="str">
        <x:f>IF($A19="","",_xlfn.XLOOKUP($A19,'班次檢核總覽'!$A$7:$A$36,'班次檢核總覽'!$F$7:$F$36,"",0))</x:f>
      </x:c>
      <x:c r="H19" s="80" t="str">
        <x:f>IF($A19="","",'班次需求輸入'!F15)</x:f>
      </x:c>
      <x:c r="I19" s="80" t="str">
        <x:f>IF($A19="","",'班次需求輸入'!G15)</x:f>
      </x:c>
      <x:c r="J19" s="213" t="str">
        <x:f>IF($A19="","",'班次需求輸入'!H15)</x:f>
      </x:c>
      <x:c r="K19" s="213" t="str">
        <x:f>IF($A19="","",_xlfn.XLOOKUP($A19,'班次檢核總覽'!$A$7:$A$36,'班次檢核總覽'!$L$7:$L$36,0,0))</x:f>
      </x:c>
      <x:c r="L19" s="213" t="str">
        <x:f>IF($A19="","",_xlfn.XLOOKUP($A19,'班次檢核總覽'!$A$7:$A$36,'班次檢核總覽'!$N$7:$N$36,0,0))</x:f>
      </x:c>
      <x:c r="M19" s="213" t="str">
        <x:f>IF($A19="","",'班次需求輸入'!J15)</x:f>
      </x:c>
      <x:c r="N19" s="211" t="str">
        <x:f>IF($A19="","",'班次需求輸入'!M15)</x:f>
      </x:c>
      <x:c r="O19" s="211" t="str">
        <x:f>IF($A19="","",'班次需求輸入'!P15)</x:f>
      </x:c>
      <x:c r="P19" s="80" t="str">
        <x:f>IF($A19="","",'班次需求輸入'!X15)</x:f>
      </x:c>
      <x:c r="Q19" s="80" t="str">
        <x:f>IF($A19="","",_xlfn.XLOOKUP($A19,'班次需求輸入'!$A$7:$A$36,'班次需求輸入'!$T$7:$T$36,"",0))</x:f>
      </x:c>
      <x:c r="R19" s="80" t="str">
        <x:f>IF($A19="","",_xlfn.XLOOKUP($A19,'班次需求輸入'!$A$7:$A$36,'班次需求輸入'!$V$7:$V$36,"",0))</x:f>
      </x:c>
      <x:c r="S19" s="80" t="str">
        <x:f>IF($A19="","",_xlfn.XLOOKUP($A19,'班次檢核總覽'!$A$7:$A$36,'班次檢核總覽'!$W$7:$W$36,"",0))</x:f>
      </x:c>
      <x:c r="T19" s="80" t="str">
        <x:f>IF($A19="","",IF($B19="範例","範例，不需處理",IF(OR($S19="可發布",$S19="例外核定可發布"),"完成",IF($S19="人力已釋出","確認改派或結案",IF($P19="待三週前標記","完成三週前療程標記",IF($P19="待一週前確認","完成一週前診前確認",IF(OR($P19="人力異動待處理",$P19="人力釋出待處理"),"通知助理主管處理人力異動","等候助理主管完成人力或資格檢核")))))))</x:f>
      </x:c>
    </x:row>
    <x:row r="20">
      <x:c r="A20" s="80" t="str">
        <x:f>IF('班次需求輸入'!A16="","",'班次需求輸入'!A16)</x:f>
      </x:c>
      <x:c r="B20" s="80" t="str">
        <x:f>IF($A20="","",'班次需求輸入'!K16)</x:f>
      </x:c>
      <x:c r="C20" s="211" t="str">
        <x:f>IF($A20="","",'班次需求輸入'!B16)</x:f>
      </x:c>
      <x:c r="D20" s="212" t="str">
        <x:f>IF($A20="","",'班次需求輸入'!C16)</x:f>
      </x:c>
      <x:c r="E20" s="212" t="str">
        <x:f>IF($A20="","",'班次需求輸入'!D16)</x:f>
      </x:c>
      <x:c r="F20" s="80" t="str">
        <x:f>IF($A20="","",'班次需求輸入'!E16)</x:f>
      </x:c>
      <x:c r="G20" s="80" t="str">
        <x:f>IF($A20="","",_xlfn.XLOOKUP($A20,'班次檢核總覽'!$A$7:$A$36,'班次檢核總覽'!$F$7:$F$36,"",0))</x:f>
      </x:c>
      <x:c r="H20" s="80" t="str">
        <x:f>IF($A20="","",'班次需求輸入'!F16)</x:f>
      </x:c>
      <x:c r="I20" s="80" t="str">
        <x:f>IF($A20="","",'班次需求輸入'!G16)</x:f>
      </x:c>
      <x:c r="J20" s="213" t="str">
        <x:f>IF($A20="","",'班次需求輸入'!H16)</x:f>
      </x:c>
      <x:c r="K20" s="213" t="str">
        <x:f>IF($A20="","",_xlfn.XLOOKUP($A20,'班次檢核總覽'!$A$7:$A$36,'班次檢核總覽'!$L$7:$L$36,0,0))</x:f>
      </x:c>
      <x:c r="L20" s="213" t="str">
        <x:f>IF($A20="","",_xlfn.XLOOKUP($A20,'班次檢核總覽'!$A$7:$A$36,'班次檢核總覽'!$N$7:$N$36,0,0))</x:f>
      </x:c>
      <x:c r="M20" s="213" t="str">
        <x:f>IF($A20="","",'班次需求輸入'!J16)</x:f>
      </x:c>
      <x:c r="N20" s="211" t="str">
        <x:f>IF($A20="","",'班次需求輸入'!M16)</x:f>
      </x:c>
      <x:c r="O20" s="211" t="str">
        <x:f>IF($A20="","",'班次需求輸入'!P16)</x:f>
      </x:c>
      <x:c r="P20" s="80" t="str">
        <x:f>IF($A20="","",'班次需求輸入'!X16)</x:f>
      </x:c>
      <x:c r="Q20" s="80" t="str">
        <x:f>IF($A20="","",_xlfn.XLOOKUP($A20,'班次需求輸入'!$A$7:$A$36,'班次需求輸入'!$T$7:$T$36,"",0))</x:f>
      </x:c>
      <x:c r="R20" s="80" t="str">
        <x:f>IF($A20="","",_xlfn.XLOOKUP($A20,'班次需求輸入'!$A$7:$A$36,'班次需求輸入'!$V$7:$V$36,"",0))</x:f>
      </x:c>
      <x:c r="S20" s="80" t="str">
        <x:f>IF($A20="","",_xlfn.XLOOKUP($A20,'班次檢核總覽'!$A$7:$A$36,'班次檢核總覽'!$W$7:$W$36,"",0))</x:f>
      </x:c>
      <x:c r="T20" s="80" t="str">
        <x:f>IF($A20="","",IF($B20="範例","範例，不需處理",IF(OR($S20="可發布",$S20="例外核定可發布"),"完成",IF($S20="人力已釋出","確認改派或結案",IF($P20="待三週前標記","完成三週前療程標記",IF($P20="待一週前確認","完成一週前診前確認",IF(OR($P20="人力異動待處理",$P20="人力釋出待處理"),"通知助理主管處理人力異動","等候助理主管完成人力或資格檢核")))))))</x:f>
      </x:c>
    </x:row>
    <x:row r="21">
      <x:c r="A21" s="80" t="str">
        <x:f>IF('班次需求輸入'!A17="","",'班次需求輸入'!A17)</x:f>
      </x:c>
      <x:c r="B21" s="80" t="str">
        <x:f>IF($A21="","",'班次需求輸入'!K17)</x:f>
      </x:c>
      <x:c r="C21" s="211" t="str">
        <x:f>IF($A21="","",'班次需求輸入'!B17)</x:f>
      </x:c>
      <x:c r="D21" s="212" t="str">
        <x:f>IF($A21="","",'班次需求輸入'!C17)</x:f>
      </x:c>
      <x:c r="E21" s="212" t="str">
        <x:f>IF($A21="","",'班次需求輸入'!D17)</x:f>
      </x:c>
      <x:c r="F21" s="80" t="str">
        <x:f>IF($A21="","",'班次需求輸入'!E17)</x:f>
      </x:c>
      <x:c r="G21" s="80" t="str">
        <x:f>IF($A21="","",_xlfn.XLOOKUP($A21,'班次檢核總覽'!$A$7:$A$36,'班次檢核總覽'!$F$7:$F$36,"",0))</x:f>
      </x:c>
      <x:c r="H21" s="80" t="str">
        <x:f>IF($A21="","",'班次需求輸入'!F17)</x:f>
      </x:c>
      <x:c r="I21" s="80" t="str">
        <x:f>IF($A21="","",'班次需求輸入'!G17)</x:f>
      </x:c>
      <x:c r="J21" s="213" t="str">
        <x:f>IF($A21="","",'班次需求輸入'!H17)</x:f>
      </x:c>
      <x:c r="K21" s="213" t="str">
        <x:f>IF($A21="","",_xlfn.XLOOKUP($A21,'班次檢核總覽'!$A$7:$A$36,'班次檢核總覽'!$L$7:$L$36,0,0))</x:f>
      </x:c>
      <x:c r="L21" s="213" t="str">
        <x:f>IF($A21="","",_xlfn.XLOOKUP($A21,'班次檢核總覽'!$A$7:$A$36,'班次檢核總覽'!$N$7:$N$36,0,0))</x:f>
      </x:c>
      <x:c r="M21" s="213" t="str">
        <x:f>IF($A21="","",'班次需求輸入'!J17)</x:f>
      </x:c>
      <x:c r="N21" s="211" t="str">
        <x:f>IF($A21="","",'班次需求輸入'!M17)</x:f>
      </x:c>
      <x:c r="O21" s="211" t="str">
        <x:f>IF($A21="","",'班次需求輸入'!P17)</x:f>
      </x:c>
      <x:c r="P21" s="80" t="str">
        <x:f>IF($A21="","",'班次需求輸入'!X17)</x:f>
      </x:c>
      <x:c r="Q21" s="80" t="str">
        <x:f>IF($A21="","",_xlfn.XLOOKUP($A21,'班次需求輸入'!$A$7:$A$36,'班次需求輸入'!$T$7:$T$36,"",0))</x:f>
      </x:c>
      <x:c r="R21" s="80" t="str">
        <x:f>IF($A21="","",_xlfn.XLOOKUP($A21,'班次需求輸入'!$A$7:$A$36,'班次需求輸入'!$V$7:$V$36,"",0))</x:f>
      </x:c>
      <x:c r="S21" s="80" t="str">
        <x:f>IF($A21="","",_xlfn.XLOOKUP($A21,'班次檢核總覽'!$A$7:$A$36,'班次檢核總覽'!$W$7:$W$36,"",0))</x:f>
      </x:c>
      <x:c r="T21" s="80" t="str">
        <x:f>IF($A21="","",IF($B21="範例","範例，不需處理",IF(OR($S21="可發布",$S21="例外核定可發布"),"完成",IF($S21="人力已釋出","確認改派或結案",IF($P21="待三週前標記","完成三週前療程標記",IF($P21="待一週前確認","完成一週前診前確認",IF(OR($P21="人力異動待處理",$P21="人力釋出待處理"),"通知助理主管處理人力異動","等候助理主管完成人力或資格檢核")))))))</x:f>
      </x:c>
    </x:row>
    <x:row r="22">
      <x:c r="A22" s="80" t="str">
        <x:f>IF('班次需求輸入'!A18="","",'班次需求輸入'!A18)</x:f>
      </x:c>
      <x:c r="B22" s="80" t="str">
        <x:f>IF($A22="","",'班次需求輸入'!K18)</x:f>
      </x:c>
      <x:c r="C22" s="211" t="str">
        <x:f>IF($A22="","",'班次需求輸入'!B18)</x:f>
      </x:c>
      <x:c r="D22" s="212" t="str">
        <x:f>IF($A22="","",'班次需求輸入'!C18)</x:f>
      </x:c>
      <x:c r="E22" s="212" t="str">
        <x:f>IF($A22="","",'班次需求輸入'!D18)</x:f>
      </x:c>
      <x:c r="F22" s="80" t="str">
        <x:f>IF($A22="","",'班次需求輸入'!E18)</x:f>
      </x:c>
      <x:c r="G22" s="80" t="str">
        <x:f>IF($A22="","",_xlfn.XLOOKUP($A22,'班次檢核總覽'!$A$7:$A$36,'班次檢核總覽'!$F$7:$F$36,"",0))</x:f>
      </x:c>
      <x:c r="H22" s="80" t="str">
        <x:f>IF($A22="","",'班次需求輸入'!F18)</x:f>
      </x:c>
      <x:c r="I22" s="80" t="str">
        <x:f>IF($A22="","",'班次需求輸入'!G18)</x:f>
      </x:c>
      <x:c r="J22" s="213" t="str">
        <x:f>IF($A22="","",'班次需求輸入'!H18)</x:f>
      </x:c>
      <x:c r="K22" s="213" t="str">
        <x:f>IF($A22="","",_xlfn.XLOOKUP($A22,'班次檢核總覽'!$A$7:$A$36,'班次檢核總覽'!$L$7:$L$36,0,0))</x:f>
      </x:c>
      <x:c r="L22" s="213" t="str">
        <x:f>IF($A22="","",_xlfn.XLOOKUP($A22,'班次檢核總覽'!$A$7:$A$36,'班次檢核總覽'!$N$7:$N$36,0,0))</x:f>
      </x:c>
      <x:c r="M22" s="213" t="str">
        <x:f>IF($A22="","",'班次需求輸入'!J18)</x:f>
      </x:c>
      <x:c r="N22" s="211" t="str">
        <x:f>IF($A22="","",'班次需求輸入'!M18)</x:f>
      </x:c>
      <x:c r="O22" s="211" t="str">
        <x:f>IF($A22="","",'班次需求輸入'!P18)</x:f>
      </x:c>
      <x:c r="P22" s="80" t="str">
        <x:f>IF($A22="","",'班次需求輸入'!X18)</x:f>
      </x:c>
      <x:c r="Q22" s="80" t="str">
        <x:f>IF($A22="","",_xlfn.XLOOKUP($A22,'班次需求輸入'!$A$7:$A$36,'班次需求輸入'!$T$7:$T$36,"",0))</x:f>
      </x:c>
      <x:c r="R22" s="80" t="str">
        <x:f>IF($A22="","",_xlfn.XLOOKUP($A22,'班次需求輸入'!$A$7:$A$36,'班次需求輸入'!$V$7:$V$36,"",0))</x:f>
      </x:c>
      <x:c r="S22" s="80" t="str">
        <x:f>IF($A22="","",_xlfn.XLOOKUP($A22,'班次檢核總覽'!$A$7:$A$36,'班次檢核總覽'!$W$7:$W$36,"",0))</x:f>
      </x:c>
      <x:c r="T22" s="80" t="str">
        <x:f>IF($A22="","",IF($B22="範例","範例，不需處理",IF(OR($S22="可發布",$S22="例外核定可發布"),"完成",IF($S22="人力已釋出","確認改派或結案",IF($P22="待三週前標記","完成三週前療程標記",IF($P22="待一週前確認","完成一週前診前確認",IF(OR($P22="人力異動待處理",$P22="人力釋出待處理"),"通知助理主管處理人力異動","等候助理主管完成人力或資格檢核")))))))</x:f>
      </x:c>
    </x:row>
    <x:row r="23">
      <x:c r="A23" s="80" t="str">
        <x:f>IF('班次需求輸入'!A19="","",'班次需求輸入'!A19)</x:f>
      </x:c>
      <x:c r="B23" s="80" t="str">
        <x:f>IF($A23="","",'班次需求輸入'!K19)</x:f>
      </x:c>
      <x:c r="C23" s="211" t="str">
        <x:f>IF($A23="","",'班次需求輸入'!B19)</x:f>
      </x:c>
      <x:c r="D23" s="212" t="str">
        <x:f>IF($A23="","",'班次需求輸入'!C19)</x:f>
      </x:c>
      <x:c r="E23" s="212" t="str">
        <x:f>IF($A23="","",'班次需求輸入'!D19)</x:f>
      </x:c>
      <x:c r="F23" s="80" t="str">
        <x:f>IF($A23="","",'班次需求輸入'!E19)</x:f>
      </x:c>
      <x:c r="G23" s="80" t="str">
        <x:f>IF($A23="","",_xlfn.XLOOKUP($A23,'班次檢核總覽'!$A$7:$A$36,'班次檢核總覽'!$F$7:$F$36,"",0))</x:f>
      </x:c>
      <x:c r="H23" s="80" t="str">
        <x:f>IF($A23="","",'班次需求輸入'!F19)</x:f>
      </x:c>
      <x:c r="I23" s="80" t="str">
        <x:f>IF($A23="","",'班次需求輸入'!G19)</x:f>
      </x:c>
      <x:c r="J23" s="213" t="str">
        <x:f>IF($A23="","",'班次需求輸入'!H19)</x:f>
      </x:c>
      <x:c r="K23" s="213" t="str">
        <x:f>IF($A23="","",_xlfn.XLOOKUP($A23,'班次檢核總覽'!$A$7:$A$36,'班次檢核總覽'!$L$7:$L$36,0,0))</x:f>
      </x:c>
      <x:c r="L23" s="213" t="str">
        <x:f>IF($A23="","",_xlfn.XLOOKUP($A23,'班次檢核總覽'!$A$7:$A$36,'班次檢核總覽'!$N$7:$N$36,0,0))</x:f>
      </x:c>
      <x:c r="M23" s="213" t="str">
        <x:f>IF($A23="","",'班次需求輸入'!J19)</x:f>
      </x:c>
      <x:c r="N23" s="211" t="str">
        <x:f>IF($A23="","",'班次需求輸入'!M19)</x:f>
      </x:c>
      <x:c r="O23" s="211" t="str">
        <x:f>IF($A23="","",'班次需求輸入'!P19)</x:f>
      </x:c>
      <x:c r="P23" s="80" t="str">
        <x:f>IF($A23="","",'班次需求輸入'!X19)</x:f>
      </x:c>
      <x:c r="Q23" s="80" t="str">
        <x:f>IF($A23="","",_xlfn.XLOOKUP($A23,'班次需求輸入'!$A$7:$A$36,'班次需求輸入'!$T$7:$T$36,"",0))</x:f>
      </x:c>
      <x:c r="R23" s="80" t="str">
        <x:f>IF($A23="","",_xlfn.XLOOKUP($A23,'班次需求輸入'!$A$7:$A$36,'班次需求輸入'!$V$7:$V$36,"",0))</x:f>
      </x:c>
      <x:c r="S23" s="80" t="str">
        <x:f>IF($A23="","",_xlfn.XLOOKUP($A23,'班次檢核總覽'!$A$7:$A$36,'班次檢核總覽'!$W$7:$W$36,"",0))</x:f>
      </x:c>
      <x:c r="T23" s="80" t="str">
        <x:f>IF($A23="","",IF($B23="範例","範例，不需處理",IF(OR($S23="可發布",$S23="例外核定可發布"),"完成",IF($S23="人力已釋出","確認改派或結案",IF($P23="待三週前標記","完成三週前療程標記",IF($P23="待一週前確認","完成一週前診前確認",IF(OR($P23="人力異動待處理",$P23="人力釋出待處理"),"通知助理主管處理人力異動","等候助理主管完成人力或資格檢核")))))))</x:f>
      </x:c>
    </x:row>
    <x:row r="24">
      <x:c r="A24" s="80" t="str">
        <x:f>IF('班次需求輸入'!A20="","",'班次需求輸入'!A20)</x:f>
      </x:c>
      <x:c r="B24" s="80" t="str">
        <x:f>IF($A24="","",'班次需求輸入'!K20)</x:f>
      </x:c>
      <x:c r="C24" s="211" t="str">
        <x:f>IF($A24="","",'班次需求輸入'!B20)</x:f>
      </x:c>
      <x:c r="D24" s="212" t="str">
        <x:f>IF($A24="","",'班次需求輸入'!C20)</x:f>
      </x:c>
      <x:c r="E24" s="212" t="str">
        <x:f>IF($A24="","",'班次需求輸入'!D20)</x:f>
      </x:c>
      <x:c r="F24" s="80" t="str">
        <x:f>IF($A24="","",'班次需求輸入'!E20)</x:f>
      </x:c>
      <x:c r="G24" s="80" t="str">
        <x:f>IF($A24="","",_xlfn.XLOOKUP($A24,'班次檢核總覽'!$A$7:$A$36,'班次檢核總覽'!$F$7:$F$36,"",0))</x:f>
      </x:c>
      <x:c r="H24" s="80" t="str">
        <x:f>IF($A24="","",'班次需求輸入'!F20)</x:f>
      </x:c>
      <x:c r="I24" s="80" t="str">
        <x:f>IF($A24="","",'班次需求輸入'!G20)</x:f>
      </x:c>
      <x:c r="J24" s="213" t="str">
        <x:f>IF($A24="","",'班次需求輸入'!H20)</x:f>
      </x:c>
      <x:c r="K24" s="213" t="str">
        <x:f>IF($A24="","",_xlfn.XLOOKUP($A24,'班次檢核總覽'!$A$7:$A$36,'班次檢核總覽'!$L$7:$L$36,0,0))</x:f>
      </x:c>
      <x:c r="L24" s="213" t="str">
        <x:f>IF($A24="","",_xlfn.XLOOKUP($A24,'班次檢核總覽'!$A$7:$A$36,'班次檢核總覽'!$N$7:$N$36,0,0))</x:f>
      </x:c>
      <x:c r="M24" s="213" t="str">
        <x:f>IF($A24="","",'班次需求輸入'!J20)</x:f>
      </x:c>
      <x:c r="N24" s="211" t="str">
        <x:f>IF($A24="","",'班次需求輸入'!M20)</x:f>
      </x:c>
      <x:c r="O24" s="211" t="str">
        <x:f>IF($A24="","",'班次需求輸入'!P20)</x:f>
      </x:c>
      <x:c r="P24" s="80" t="str">
        <x:f>IF($A24="","",'班次需求輸入'!X20)</x:f>
      </x:c>
      <x:c r="Q24" s="80" t="str">
        <x:f>IF($A24="","",_xlfn.XLOOKUP($A24,'班次需求輸入'!$A$7:$A$36,'班次需求輸入'!$T$7:$T$36,"",0))</x:f>
      </x:c>
      <x:c r="R24" s="80" t="str">
        <x:f>IF($A24="","",_xlfn.XLOOKUP($A24,'班次需求輸入'!$A$7:$A$36,'班次需求輸入'!$V$7:$V$36,"",0))</x:f>
      </x:c>
      <x:c r="S24" s="80" t="str">
        <x:f>IF($A24="","",_xlfn.XLOOKUP($A24,'班次檢核總覽'!$A$7:$A$36,'班次檢核總覽'!$W$7:$W$36,"",0))</x:f>
      </x:c>
      <x:c r="T24" s="80" t="str">
        <x:f>IF($A24="","",IF($B24="範例","範例，不需處理",IF(OR($S24="可發布",$S24="例外核定可發布"),"完成",IF($S24="人力已釋出","確認改派或結案",IF($P24="待三週前標記","完成三週前療程標記",IF($P24="待一週前確認","完成一週前診前確認",IF(OR($P24="人力異動待處理",$P24="人力釋出待處理"),"通知助理主管處理人力異動","等候助理主管完成人力或資格檢核")))))))</x:f>
      </x:c>
    </x:row>
    <x:row r="25">
      <x:c r="A25" s="80" t="str">
        <x:f>IF('班次需求輸入'!A21="","",'班次需求輸入'!A21)</x:f>
      </x:c>
      <x:c r="B25" s="80" t="str">
        <x:f>IF($A25="","",'班次需求輸入'!K21)</x:f>
      </x:c>
      <x:c r="C25" s="211" t="str">
        <x:f>IF($A25="","",'班次需求輸入'!B21)</x:f>
      </x:c>
      <x:c r="D25" s="212" t="str">
        <x:f>IF($A25="","",'班次需求輸入'!C21)</x:f>
      </x:c>
      <x:c r="E25" s="212" t="str">
        <x:f>IF($A25="","",'班次需求輸入'!D21)</x:f>
      </x:c>
      <x:c r="F25" s="80" t="str">
        <x:f>IF($A25="","",'班次需求輸入'!E21)</x:f>
      </x:c>
      <x:c r="G25" s="80" t="str">
        <x:f>IF($A25="","",_xlfn.XLOOKUP($A25,'班次檢核總覽'!$A$7:$A$36,'班次檢核總覽'!$F$7:$F$36,"",0))</x:f>
      </x:c>
      <x:c r="H25" s="80" t="str">
        <x:f>IF($A25="","",'班次需求輸入'!F21)</x:f>
      </x:c>
      <x:c r="I25" s="80" t="str">
        <x:f>IF($A25="","",'班次需求輸入'!G21)</x:f>
      </x:c>
      <x:c r="J25" s="213" t="str">
        <x:f>IF($A25="","",'班次需求輸入'!H21)</x:f>
      </x:c>
      <x:c r="K25" s="213" t="str">
        <x:f>IF($A25="","",_xlfn.XLOOKUP($A25,'班次檢核總覽'!$A$7:$A$36,'班次檢核總覽'!$L$7:$L$36,0,0))</x:f>
      </x:c>
      <x:c r="L25" s="213" t="str">
        <x:f>IF($A25="","",_xlfn.XLOOKUP($A25,'班次檢核總覽'!$A$7:$A$36,'班次檢核總覽'!$N$7:$N$36,0,0))</x:f>
      </x:c>
      <x:c r="M25" s="213" t="str">
        <x:f>IF($A25="","",'班次需求輸入'!J21)</x:f>
      </x:c>
      <x:c r="N25" s="211" t="str">
        <x:f>IF($A25="","",'班次需求輸入'!M21)</x:f>
      </x:c>
      <x:c r="O25" s="211" t="str">
        <x:f>IF($A25="","",'班次需求輸入'!P21)</x:f>
      </x:c>
      <x:c r="P25" s="80" t="str">
        <x:f>IF($A25="","",'班次需求輸入'!X21)</x:f>
      </x:c>
      <x:c r="Q25" s="80" t="str">
        <x:f>IF($A25="","",_xlfn.XLOOKUP($A25,'班次需求輸入'!$A$7:$A$36,'班次需求輸入'!$T$7:$T$36,"",0))</x:f>
      </x:c>
      <x:c r="R25" s="80" t="str">
        <x:f>IF($A25="","",_xlfn.XLOOKUP($A25,'班次需求輸入'!$A$7:$A$36,'班次需求輸入'!$V$7:$V$36,"",0))</x:f>
      </x:c>
      <x:c r="S25" s="80" t="str">
        <x:f>IF($A25="","",_xlfn.XLOOKUP($A25,'班次檢核總覽'!$A$7:$A$36,'班次檢核總覽'!$W$7:$W$36,"",0))</x:f>
      </x:c>
      <x:c r="T25" s="80" t="str">
        <x:f>IF($A25="","",IF($B25="範例","範例，不需處理",IF(OR($S25="可發布",$S25="例外核定可發布"),"完成",IF($S25="人力已釋出","確認改派或結案",IF($P25="待三週前標記","完成三週前療程標記",IF($P25="待一週前確認","完成一週前診前確認",IF(OR($P25="人力異動待處理",$P25="人力釋出待處理"),"通知助理主管處理人力異動","等候助理主管完成人力或資格檢核")))))))</x:f>
      </x:c>
    </x:row>
    <x:row r="26">
      <x:c r="A26" s="80" t="str">
        <x:f>IF('班次需求輸入'!A22="","",'班次需求輸入'!A22)</x:f>
      </x:c>
      <x:c r="B26" s="80" t="str">
        <x:f>IF($A26="","",'班次需求輸入'!K22)</x:f>
      </x:c>
      <x:c r="C26" s="211" t="str">
        <x:f>IF($A26="","",'班次需求輸入'!B22)</x:f>
      </x:c>
      <x:c r="D26" s="212" t="str">
        <x:f>IF($A26="","",'班次需求輸入'!C22)</x:f>
      </x:c>
      <x:c r="E26" s="212" t="str">
        <x:f>IF($A26="","",'班次需求輸入'!D22)</x:f>
      </x:c>
      <x:c r="F26" s="80" t="str">
        <x:f>IF($A26="","",'班次需求輸入'!E22)</x:f>
      </x:c>
      <x:c r="G26" s="80" t="str">
        <x:f>IF($A26="","",_xlfn.XLOOKUP($A26,'班次檢核總覽'!$A$7:$A$36,'班次檢核總覽'!$F$7:$F$36,"",0))</x:f>
      </x:c>
      <x:c r="H26" s="80" t="str">
        <x:f>IF($A26="","",'班次需求輸入'!F22)</x:f>
      </x:c>
      <x:c r="I26" s="80" t="str">
        <x:f>IF($A26="","",'班次需求輸入'!G22)</x:f>
      </x:c>
      <x:c r="J26" s="213" t="str">
        <x:f>IF($A26="","",'班次需求輸入'!H22)</x:f>
      </x:c>
      <x:c r="K26" s="213" t="str">
        <x:f>IF($A26="","",_xlfn.XLOOKUP($A26,'班次檢核總覽'!$A$7:$A$36,'班次檢核總覽'!$L$7:$L$36,0,0))</x:f>
      </x:c>
      <x:c r="L26" s="213" t="str">
        <x:f>IF($A26="","",_xlfn.XLOOKUP($A26,'班次檢核總覽'!$A$7:$A$36,'班次檢核總覽'!$N$7:$N$36,0,0))</x:f>
      </x:c>
      <x:c r="M26" s="213" t="str">
        <x:f>IF($A26="","",'班次需求輸入'!J22)</x:f>
      </x:c>
      <x:c r="N26" s="211" t="str">
        <x:f>IF($A26="","",'班次需求輸入'!M22)</x:f>
      </x:c>
      <x:c r="O26" s="211" t="str">
        <x:f>IF($A26="","",'班次需求輸入'!P22)</x:f>
      </x:c>
      <x:c r="P26" s="80" t="str">
        <x:f>IF($A26="","",'班次需求輸入'!X22)</x:f>
      </x:c>
      <x:c r="Q26" s="80" t="str">
        <x:f>IF($A26="","",_xlfn.XLOOKUP($A26,'班次需求輸入'!$A$7:$A$36,'班次需求輸入'!$T$7:$T$36,"",0))</x:f>
      </x:c>
      <x:c r="R26" s="80" t="str">
        <x:f>IF($A26="","",_xlfn.XLOOKUP($A26,'班次需求輸入'!$A$7:$A$36,'班次需求輸入'!$V$7:$V$36,"",0))</x:f>
      </x:c>
      <x:c r="S26" s="80" t="str">
        <x:f>IF($A26="","",_xlfn.XLOOKUP($A26,'班次檢核總覽'!$A$7:$A$36,'班次檢核總覽'!$W$7:$W$36,"",0))</x:f>
      </x:c>
      <x:c r="T26" s="80" t="str">
        <x:f>IF($A26="","",IF($B26="範例","範例，不需處理",IF(OR($S26="可發布",$S26="例外核定可發布"),"完成",IF($S26="人力已釋出","確認改派或結案",IF($P26="待三週前標記","完成三週前療程標記",IF($P26="待一週前確認","完成一週前診前確認",IF(OR($P26="人力異動待處理",$P26="人力釋出待處理"),"通知助理主管處理人力異動","等候助理主管完成人力或資格檢核")))))))</x:f>
      </x:c>
    </x:row>
    <x:row r="27">
      <x:c r="A27" s="80" t="str">
        <x:f>IF('班次需求輸入'!A23="","",'班次需求輸入'!A23)</x:f>
      </x:c>
      <x:c r="B27" s="80" t="str">
        <x:f>IF($A27="","",'班次需求輸入'!K23)</x:f>
      </x:c>
      <x:c r="C27" s="211" t="str">
        <x:f>IF($A27="","",'班次需求輸入'!B23)</x:f>
      </x:c>
      <x:c r="D27" s="212" t="str">
        <x:f>IF($A27="","",'班次需求輸入'!C23)</x:f>
      </x:c>
      <x:c r="E27" s="212" t="str">
        <x:f>IF($A27="","",'班次需求輸入'!D23)</x:f>
      </x:c>
      <x:c r="F27" s="80" t="str">
        <x:f>IF($A27="","",'班次需求輸入'!E23)</x:f>
      </x:c>
      <x:c r="G27" s="80" t="str">
        <x:f>IF($A27="","",_xlfn.XLOOKUP($A27,'班次檢核總覽'!$A$7:$A$36,'班次檢核總覽'!$F$7:$F$36,"",0))</x:f>
      </x:c>
      <x:c r="H27" s="80" t="str">
        <x:f>IF($A27="","",'班次需求輸入'!F23)</x:f>
      </x:c>
      <x:c r="I27" s="80" t="str">
        <x:f>IF($A27="","",'班次需求輸入'!G23)</x:f>
      </x:c>
      <x:c r="J27" s="213" t="str">
        <x:f>IF($A27="","",'班次需求輸入'!H23)</x:f>
      </x:c>
      <x:c r="K27" s="213" t="str">
        <x:f>IF($A27="","",_xlfn.XLOOKUP($A27,'班次檢核總覽'!$A$7:$A$36,'班次檢核總覽'!$L$7:$L$36,0,0))</x:f>
      </x:c>
      <x:c r="L27" s="213" t="str">
        <x:f>IF($A27="","",_xlfn.XLOOKUP($A27,'班次檢核總覽'!$A$7:$A$36,'班次檢核總覽'!$N$7:$N$36,0,0))</x:f>
      </x:c>
      <x:c r="M27" s="213" t="str">
        <x:f>IF($A27="","",'班次需求輸入'!J23)</x:f>
      </x:c>
      <x:c r="N27" s="211" t="str">
        <x:f>IF($A27="","",'班次需求輸入'!M23)</x:f>
      </x:c>
      <x:c r="O27" s="211" t="str">
        <x:f>IF($A27="","",'班次需求輸入'!P23)</x:f>
      </x:c>
      <x:c r="P27" s="80" t="str">
        <x:f>IF($A27="","",'班次需求輸入'!X23)</x:f>
      </x:c>
      <x:c r="Q27" s="80" t="str">
        <x:f>IF($A27="","",_xlfn.XLOOKUP($A27,'班次需求輸入'!$A$7:$A$36,'班次需求輸入'!$T$7:$T$36,"",0))</x:f>
      </x:c>
      <x:c r="R27" s="80" t="str">
        <x:f>IF($A27="","",_xlfn.XLOOKUP($A27,'班次需求輸入'!$A$7:$A$36,'班次需求輸入'!$V$7:$V$36,"",0))</x:f>
      </x:c>
      <x:c r="S27" s="80" t="str">
        <x:f>IF($A27="","",_xlfn.XLOOKUP($A27,'班次檢核總覽'!$A$7:$A$36,'班次檢核總覽'!$W$7:$W$36,"",0))</x:f>
      </x:c>
      <x:c r="T27" s="80" t="str">
        <x:f>IF($A27="","",IF($B27="範例","範例，不需處理",IF(OR($S27="可發布",$S27="例外核定可發布"),"完成",IF($S27="人力已釋出","確認改派或結案",IF($P27="待三週前標記","完成三週前療程標記",IF($P27="待一週前確認","完成一週前診前確認",IF(OR($P27="人力異動待處理",$P27="人力釋出待處理"),"通知助理主管處理人力異動","等候助理主管完成人力或資格檢核")))))))</x:f>
      </x:c>
    </x:row>
    <x:row r="28">
      <x:c r="A28" s="80" t="str">
        <x:f>IF('班次需求輸入'!A24="","",'班次需求輸入'!A24)</x:f>
      </x:c>
      <x:c r="B28" s="80" t="str">
        <x:f>IF($A28="","",'班次需求輸入'!K24)</x:f>
      </x:c>
      <x:c r="C28" s="211" t="str">
        <x:f>IF($A28="","",'班次需求輸入'!B24)</x:f>
      </x:c>
      <x:c r="D28" s="212" t="str">
        <x:f>IF($A28="","",'班次需求輸入'!C24)</x:f>
      </x:c>
      <x:c r="E28" s="212" t="str">
        <x:f>IF($A28="","",'班次需求輸入'!D24)</x:f>
      </x:c>
      <x:c r="F28" s="80" t="str">
        <x:f>IF($A28="","",'班次需求輸入'!E24)</x:f>
      </x:c>
      <x:c r="G28" s="80" t="str">
        <x:f>IF($A28="","",_xlfn.XLOOKUP($A28,'班次檢核總覽'!$A$7:$A$36,'班次檢核總覽'!$F$7:$F$36,"",0))</x:f>
      </x:c>
      <x:c r="H28" s="80" t="str">
        <x:f>IF($A28="","",'班次需求輸入'!F24)</x:f>
      </x:c>
      <x:c r="I28" s="80" t="str">
        <x:f>IF($A28="","",'班次需求輸入'!G24)</x:f>
      </x:c>
      <x:c r="J28" s="213" t="str">
        <x:f>IF($A28="","",'班次需求輸入'!H24)</x:f>
      </x:c>
      <x:c r="K28" s="213" t="str">
        <x:f>IF($A28="","",_xlfn.XLOOKUP($A28,'班次檢核總覽'!$A$7:$A$36,'班次檢核總覽'!$L$7:$L$36,0,0))</x:f>
      </x:c>
      <x:c r="L28" s="213" t="str">
        <x:f>IF($A28="","",_xlfn.XLOOKUP($A28,'班次檢核總覽'!$A$7:$A$36,'班次檢核總覽'!$N$7:$N$36,0,0))</x:f>
      </x:c>
      <x:c r="M28" s="213" t="str">
        <x:f>IF($A28="","",'班次需求輸入'!J24)</x:f>
      </x:c>
      <x:c r="N28" s="211" t="str">
        <x:f>IF($A28="","",'班次需求輸入'!M24)</x:f>
      </x:c>
      <x:c r="O28" s="211" t="str">
        <x:f>IF($A28="","",'班次需求輸入'!P24)</x:f>
      </x:c>
      <x:c r="P28" s="80" t="str">
        <x:f>IF($A28="","",'班次需求輸入'!X24)</x:f>
      </x:c>
      <x:c r="Q28" s="80" t="str">
        <x:f>IF($A28="","",_xlfn.XLOOKUP($A28,'班次需求輸入'!$A$7:$A$36,'班次需求輸入'!$T$7:$T$36,"",0))</x:f>
      </x:c>
      <x:c r="R28" s="80" t="str">
        <x:f>IF($A28="","",_xlfn.XLOOKUP($A28,'班次需求輸入'!$A$7:$A$36,'班次需求輸入'!$V$7:$V$36,"",0))</x:f>
      </x:c>
      <x:c r="S28" s="80" t="str">
        <x:f>IF($A28="","",_xlfn.XLOOKUP($A28,'班次檢核總覽'!$A$7:$A$36,'班次檢核總覽'!$W$7:$W$36,"",0))</x:f>
      </x:c>
      <x:c r="T28" s="80" t="str">
        <x:f>IF($A28="","",IF($B28="範例","範例，不需處理",IF(OR($S28="可發布",$S28="例外核定可發布"),"完成",IF($S28="人力已釋出","確認改派或結案",IF($P28="待三週前標記","完成三週前療程標記",IF($P28="待一週前確認","完成一週前診前確認",IF(OR($P28="人力異動待處理",$P28="人力釋出待處理"),"通知助理主管處理人力異動","等候助理主管完成人力或資格檢核")))))))</x:f>
      </x:c>
    </x:row>
    <x:row r="29">
      <x:c r="A29" s="80" t="str">
        <x:f>IF('班次需求輸入'!A25="","",'班次需求輸入'!A25)</x:f>
      </x:c>
      <x:c r="B29" s="80" t="str">
        <x:f>IF($A29="","",'班次需求輸入'!K25)</x:f>
      </x:c>
      <x:c r="C29" s="211" t="str">
        <x:f>IF($A29="","",'班次需求輸入'!B25)</x:f>
      </x:c>
      <x:c r="D29" s="212" t="str">
        <x:f>IF($A29="","",'班次需求輸入'!C25)</x:f>
      </x:c>
      <x:c r="E29" s="212" t="str">
        <x:f>IF($A29="","",'班次需求輸入'!D25)</x:f>
      </x:c>
      <x:c r="F29" s="80" t="str">
        <x:f>IF($A29="","",'班次需求輸入'!E25)</x:f>
      </x:c>
      <x:c r="G29" s="80" t="str">
        <x:f>IF($A29="","",_xlfn.XLOOKUP($A29,'班次檢核總覽'!$A$7:$A$36,'班次檢核總覽'!$F$7:$F$36,"",0))</x:f>
      </x:c>
      <x:c r="H29" s="80" t="str">
        <x:f>IF($A29="","",'班次需求輸入'!F25)</x:f>
      </x:c>
      <x:c r="I29" s="80" t="str">
        <x:f>IF($A29="","",'班次需求輸入'!G25)</x:f>
      </x:c>
      <x:c r="J29" s="213" t="str">
        <x:f>IF($A29="","",'班次需求輸入'!H25)</x:f>
      </x:c>
      <x:c r="K29" s="213" t="str">
        <x:f>IF($A29="","",_xlfn.XLOOKUP($A29,'班次檢核總覽'!$A$7:$A$36,'班次檢核總覽'!$L$7:$L$36,0,0))</x:f>
      </x:c>
      <x:c r="L29" s="213" t="str">
        <x:f>IF($A29="","",_xlfn.XLOOKUP($A29,'班次檢核總覽'!$A$7:$A$36,'班次檢核總覽'!$N$7:$N$36,0,0))</x:f>
      </x:c>
      <x:c r="M29" s="213" t="str">
        <x:f>IF($A29="","",'班次需求輸入'!J25)</x:f>
      </x:c>
      <x:c r="N29" s="211" t="str">
        <x:f>IF($A29="","",'班次需求輸入'!M25)</x:f>
      </x:c>
      <x:c r="O29" s="211" t="str">
        <x:f>IF($A29="","",'班次需求輸入'!P25)</x:f>
      </x:c>
      <x:c r="P29" s="80" t="str">
        <x:f>IF($A29="","",'班次需求輸入'!X25)</x:f>
      </x:c>
      <x:c r="Q29" s="80" t="str">
        <x:f>IF($A29="","",_xlfn.XLOOKUP($A29,'班次需求輸入'!$A$7:$A$36,'班次需求輸入'!$T$7:$T$36,"",0))</x:f>
      </x:c>
      <x:c r="R29" s="80" t="str">
        <x:f>IF($A29="","",_xlfn.XLOOKUP($A29,'班次需求輸入'!$A$7:$A$36,'班次需求輸入'!$V$7:$V$36,"",0))</x:f>
      </x:c>
      <x:c r="S29" s="80" t="str">
        <x:f>IF($A29="","",_xlfn.XLOOKUP($A29,'班次檢核總覽'!$A$7:$A$36,'班次檢核總覽'!$W$7:$W$36,"",0))</x:f>
      </x:c>
      <x:c r="T29" s="80" t="str">
        <x:f>IF($A29="","",IF($B29="範例","範例，不需處理",IF(OR($S29="可發布",$S29="例外核定可發布"),"完成",IF($S29="人力已釋出","確認改派或結案",IF($P29="待三週前標記","完成三週前療程標記",IF($P29="待一週前確認","完成一週前診前確認",IF(OR($P29="人力異動待處理",$P29="人力釋出待處理"),"通知助理主管處理人力異動","等候助理主管完成人力或資格檢核")))))))</x:f>
      </x:c>
    </x:row>
    <x:row r="30">
      <x:c r="A30" s="80" t="str">
        <x:f>IF('班次需求輸入'!A26="","",'班次需求輸入'!A26)</x:f>
      </x:c>
      <x:c r="B30" s="80" t="str">
        <x:f>IF($A30="","",'班次需求輸入'!K26)</x:f>
      </x:c>
      <x:c r="C30" s="211" t="str">
        <x:f>IF($A30="","",'班次需求輸入'!B26)</x:f>
      </x:c>
      <x:c r="D30" s="212" t="str">
        <x:f>IF($A30="","",'班次需求輸入'!C26)</x:f>
      </x:c>
      <x:c r="E30" s="212" t="str">
        <x:f>IF($A30="","",'班次需求輸入'!D26)</x:f>
      </x:c>
      <x:c r="F30" s="80" t="str">
        <x:f>IF($A30="","",'班次需求輸入'!E26)</x:f>
      </x:c>
      <x:c r="G30" s="80" t="str">
        <x:f>IF($A30="","",_xlfn.XLOOKUP($A30,'班次檢核總覽'!$A$7:$A$36,'班次檢核總覽'!$F$7:$F$36,"",0))</x:f>
      </x:c>
      <x:c r="H30" s="80" t="str">
        <x:f>IF($A30="","",'班次需求輸入'!F26)</x:f>
      </x:c>
      <x:c r="I30" s="80" t="str">
        <x:f>IF($A30="","",'班次需求輸入'!G26)</x:f>
      </x:c>
      <x:c r="J30" s="213" t="str">
        <x:f>IF($A30="","",'班次需求輸入'!H26)</x:f>
      </x:c>
      <x:c r="K30" s="213" t="str">
        <x:f>IF($A30="","",_xlfn.XLOOKUP($A30,'班次檢核總覽'!$A$7:$A$36,'班次檢核總覽'!$L$7:$L$36,0,0))</x:f>
      </x:c>
      <x:c r="L30" s="213" t="str">
        <x:f>IF($A30="","",_xlfn.XLOOKUP($A30,'班次檢核總覽'!$A$7:$A$36,'班次檢核總覽'!$N$7:$N$36,0,0))</x:f>
      </x:c>
      <x:c r="M30" s="213" t="str">
        <x:f>IF($A30="","",'班次需求輸入'!J26)</x:f>
      </x:c>
      <x:c r="N30" s="211" t="str">
        <x:f>IF($A30="","",'班次需求輸入'!M26)</x:f>
      </x:c>
      <x:c r="O30" s="211" t="str">
        <x:f>IF($A30="","",'班次需求輸入'!P26)</x:f>
      </x:c>
      <x:c r="P30" s="80" t="str">
        <x:f>IF($A30="","",'班次需求輸入'!X26)</x:f>
      </x:c>
      <x:c r="Q30" s="80" t="str">
        <x:f>IF($A30="","",_xlfn.XLOOKUP($A30,'班次需求輸入'!$A$7:$A$36,'班次需求輸入'!$T$7:$T$36,"",0))</x:f>
      </x:c>
      <x:c r="R30" s="80" t="str">
        <x:f>IF($A30="","",_xlfn.XLOOKUP($A30,'班次需求輸入'!$A$7:$A$36,'班次需求輸入'!$V$7:$V$36,"",0))</x:f>
      </x:c>
      <x:c r="S30" s="80" t="str">
        <x:f>IF($A30="","",_xlfn.XLOOKUP($A30,'班次檢核總覽'!$A$7:$A$36,'班次檢核總覽'!$W$7:$W$36,"",0))</x:f>
      </x:c>
      <x:c r="T30" s="80" t="str">
        <x:f>IF($A30="","",IF($B30="範例","範例，不需處理",IF(OR($S30="可發布",$S30="例外核定可發布"),"完成",IF($S30="人力已釋出","確認改派或結案",IF($P30="待三週前標記","完成三週前療程標記",IF($P30="待一週前確認","完成一週前診前確認",IF(OR($P30="人力異動待處理",$P30="人力釋出待處理"),"通知助理主管處理人力異動","等候助理主管完成人力或資格檢核")))))))</x:f>
      </x:c>
    </x:row>
    <x:row r="31">
      <x:c r="A31" s="80" t="str">
        <x:f>IF('班次需求輸入'!A27="","",'班次需求輸入'!A27)</x:f>
      </x:c>
      <x:c r="B31" s="80" t="str">
        <x:f>IF($A31="","",'班次需求輸入'!K27)</x:f>
      </x:c>
      <x:c r="C31" s="211" t="str">
        <x:f>IF($A31="","",'班次需求輸入'!B27)</x:f>
      </x:c>
      <x:c r="D31" s="212" t="str">
        <x:f>IF($A31="","",'班次需求輸入'!C27)</x:f>
      </x:c>
      <x:c r="E31" s="212" t="str">
        <x:f>IF($A31="","",'班次需求輸入'!D27)</x:f>
      </x:c>
      <x:c r="F31" s="80" t="str">
        <x:f>IF($A31="","",'班次需求輸入'!E27)</x:f>
      </x:c>
      <x:c r="G31" s="80" t="str">
        <x:f>IF($A31="","",_xlfn.XLOOKUP($A31,'班次檢核總覽'!$A$7:$A$36,'班次檢核總覽'!$F$7:$F$36,"",0))</x:f>
      </x:c>
      <x:c r="H31" s="80" t="str">
        <x:f>IF($A31="","",'班次需求輸入'!F27)</x:f>
      </x:c>
      <x:c r="I31" s="80" t="str">
        <x:f>IF($A31="","",'班次需求輸入'!G27)</x:f>
      </x:c>
      <x:c r="J31" s="213" t="str">
        <x:f>IF($A31="","",'班次需求輸入'!H27)</x:f>
      </x:c>
      <x:c r="K31" s="213" t="str">
        <x:f>IF($A31="","",_xlfn.XLOOKUP($A31,'班次檢核總覽'!$A$7:$A$36,'班次檢核總覽'!$L$7:$L$36,0,0))</x:f>
      </x:c>
      <x:c r="L31" s="213" t="str">
        <x:f>IF($A31="","",_xlfn.XLOOKUP($A31,'班次檢核總覽'!$A$7:$A$36,'班次檢核總覽'!$N$7:$N$36,0,0))</x:f>
      </x:c>
      <x:c r="M31" s="213" t="str">
        <x:f>IF($A31="","",'班次需求輸入'!J27)</x:f>
      </x:c>
      <x:c r="N31" s="211" t="str">
        <x:f>IF($A31="","",'班次需求輸入'!M27)</x:f>
      </x:c>
      <x:c r="O31" s="211" t="str">
        <x:f>IF($A31="","",'班次需求輸入'!P27)</x:f>
      </x:c>
      <x:c r="P31" s="80" t="str">
        <x:f>IF($A31="","",'班次需求輸入'!X27)</x:f>
      </x:c>
      <x:c r="Q31" s="80" t="str">
        <x:f>IF($A31="","",_xlfn.XLOOKUP($A31,'班次需求輸入'!$A$7:$A$36,'班次需求輸入'!$T$7:$T$36,"",0))</x:f>
      </x:c>
      <x:c r="R31" s="80" t="str">
        <x:f>IF($A31="","",_xlfn.XLOOKUP($A31,'班次需求輸入'!$A$7:$A$36,'班次需求輸入'!$V$7:$V$36,"",0))</x:f>
      </x:c>
      <x:c r="S31" s="80" t="str">
        <x:f>IF($A31="","",_xlfn.XLOOKUP($A31,'班次檢核總覽'!$A$7:$A$36,'班次檢核總覽'!$W$7:$W$36,"",0))</x:f>
      </x:c>
      <x:c r="T31" s="80" t="str">
        <x:f>IF($A31="","",IF($B31="範例","範例，不需處理",IF(OR($S31="可發布",$S31="例外核定可發布"),"完成",IF($S31="人力已釋出","確認改派或結案",IF($P31="待三週前標記","完成三週前療程標記",IF($P31="待一週前確認","完成一週前診前確認",IF(OR($P31="人力異動待處理",$P31="人力釋出待處理"),"通知助理主管處理人力異動","等候助理主管完成人力或資格檢核")))))))</x:f>
      </x:c>
    </x:row>
    <x:row r="32">
      <x:c r="A32" s="80" t="str">
        <x:f>IF('班次需求輸入'!A28="","",'班次需求輸入'!A28)</x:f>
      </x:c>
      <x:c r="B32" s="80" t="str">
        <x:f>IF($A32="","",'班次需求輸入'!K28)</x:f>
      </x:c>
      <x:c r="C32" s="211" t="str">
        <x:f>IF($A32="","",'班次需求輸入'!B28)</x:f>
      </x:c>
      <x:c r="D32" s="212" t="str">
        <x:f>IF($A32="","",'班次需求輸入'!C28)</x:f>
      </x:c>
      <x:c r="E32" s="212" t="str">
        <x:f>IF($A32="","",'班次需求輸入'!D28)</x:f>
      </x:c>
      <x:c r="F32" s="80" t="str">
        <x:f>IF($A32="","",'班次需求輸入'!E28)</x:f>
      </x:c>
      <x:c r="G32" s="80" t="str">
        <x:f>IF($A32="","",_xlfn.XLOOKUP($A32,'班次檢核總覽'!$A$7:$A$36,'班次檢核總覽'!$F$7:$F$36,"",0))</x:f>
      </x:c>
      <x:c r="H32" s="80" t="str">
        <x:f>IF($A32="","",'班次需求輸入'!F28)</x:f>
      </x:c>
      <x:c r="I32" s="80" t="str">
        <x:f>IF($A32="","",'班次需求輸入'!G28)</x:f>
      </x:c>
      <x:c r="J32" s="213" t="str">
        <x:f>IF($A32="","",'班次需求輸入'!H28)</x:f>
      </x:c>
      <x:c r="K32" s="213" t="str">
        <x:f>IF($A32="","",_xlfn.XLOOKUP($A32,'班次檢核總覽'!$A$7:$A$36,'班次檢核總覽'!$L$7:$L$36,0,0))</x:f>
      </x:c>
      <x:c r="L32" s="213" t="str">
        <x:f>IF($A32="","",_xlfn.XLOOKUP($A32,'班次檢核總覽'!$A$7:$A$36,'班次檢核總覽'!$N$7:$N$36,0,0))</x:f>
      </x:c>
      <x:c r="M32" s="213" t="str">
        <x:f>IF($A32="","",'班次需求輸入'!J28)</x:f>
      </x:c>
      <x:c r="N32" s="211" t="str">
        <x:f>IF($A32="","",'班次需求輸入'!M28)</x:f>
      </x:c>
      <x:c r="O32" s="211" t="str">
        <x:f>IF($A32="","",'班次需求輸入'!P28)</x:f>
      </x:c>
      <x:c r="P32" s="80" t="str">
        <x:f>IF($A32="","",'班次需求輸入'!X28)</x:f>
      </x:c>
      <x:c r="Q32" s="80" t="str">
        <x:f>IF($A32="","",_xlfn.XLOOKUP($A32,'班次需求輸入'!$A$7:$A$36,'班次需求輸入'!$T$7:$T$36,"",0))</x:f>
      </x:c>
      <x:c r="R32" s="80" t="str">
        <x:f>IF($A32="","",_xlfn.XLOOKUP($A32,'班次需求輸入'!$A$7:$A$36,'班次需求輸入'!$V$7:$V$36,"",0))</x:f>
      </x:c>
      <x:c r="S32" s="80" t="str">
        <x:f>IF($A32="","",_xlfn.XLOOKUP($A32,'班次檢核總覽'!$A$7:$A$36,'班次檢核總覽'!$W$7:$W$36,"",0))</x:f>
      </x:c>
      <x:c r="T32" s="80" t="str">
        <x:f>IF($A32="","",IF($B32="範例","範例，不需處理",IF(OR($S32="可發布",$S32="例外核定可發布"),"完成",IF($S32="人力已釋出","確認改派或結案",IF($P32="待三週前標記","完成三週前療程標記",IF($P32="待一週前確認","完成一週前診前確認",IF(OR($P32="人力異動待處理",$P32="人力釋出待處理"),"通知助理主管處理人力異動","等候助理主管完成人力或資格檢核")))))))</x:f>
      </x:c>
    </x:row>
    <x:row r="33">
      <x:c r="A33" s="80" t="str">
        <x:f>IF('班次需求輸入'!A29="","",'班次需求輸入'!A29)</x:f>
      </x:c>
      <x:c r="B33" s="80" t="str">
        <x:f>IF($A33="","",'班次需求輸入'!K29)</x:f>
      </x:c>
      <x:c r="C33" s="211" t="str">
        <x:f>IF($A33="","",'班次需求輸入'!B29)</x:f>
      </x:c>
      <x:c r="D33" s="212" t="str">
        <x:f>IF($A33="","",'班次需求輸入'!C29)</x:f>
      </x:c>
      <x:c r="E33" s="212" t="str">
        <x:f>IF($A33="","",'班次需求輸入'!D29)</x:f>
      </x:c>
      <x:c r="F33" s="80" t="str">
        <x:f>IF($A33="","",'班次需求輸入'!E29)</x:f>
      </x:c>
      <x:c r="G33" s="80" t="str">
        <x:f>IF($A33="","",_xlfn.XLOOKUP($A33,'班次檢核總覽'!$A$7:$A$36,'班次檢核總覽'!$F$7:$F$36,"",0))</x:f>
      </x:c>
      <x:c r="H33" s="80" t="str">
        <x:f>IF($A33="","",'班次需求輸入'!F29)</x:f>
      </x:c>
      <x:c r="I33" s="80" t="str">
        <x:f>IF($A33="","",'班次需求輸入'!G29)</x:f>
      </x:c>
      <x:c r="J33" s="213" t="str">
        <x:f>IF($A33="","",'班次需求輸入'!H29)</x:f>
      </x:c>
      <x:c r="K33" s="213" t="str">
        <x:f>IF($A33="","",_xlfn.XLOOKUP($A33,'班次檢核總覽'!$A$7:$A$36,'班次檢核總覽'!$L$7:$L$36,0,0))</x:f>
      </x:c>
      <x:c r="L33" s="213" t="str">
        <x:f>IF($A33="","",_xlfn.XLOOKUP($A33,'班次檢核總覽'!$A$7:$A$36,'班次檢核總覽'!$N$7:$N$36,0,0))</x:f>
      </x:c>
      <x:c r="M33" s="213" t="str">
        <x:f>IF($A33="","",'班次需求輸入'!J29)</x:f>
      </x:c>
      <x:c r="N33" s="211" t="str">
        <x:f>IF($A33="","",'班次需求輸入'!M29)</x:f>
      </x:c>
      <x:c r="O33" s="211" t="str">
        <x:f>IF($A33="","",'班次需求輸入'!P29)</x:f>
      </x:c>
      <x:c r="P33" s="80" t="str">
        <x:f>IF($A33="","",'班次需求輸入'!X29)</x:f>
      </x:c>
      <x:c r="Q33" s="80" t="str">
        <x:f>IF($A33="","",_xlfn.XLOOKUP($A33,'班次需求輸入'!$A$7:$A$36,'班次需求輸入'!$T$7:$T$36,"",0))</x:f>
      </x:c>
      <x:c r="R33" s="80" t="str">
        <x:f>IF($A33="","",_xlfn.XLOOKUP($A33,'班次需求輸入'!$A$7:$A$36,'班次需求輸入'!$V$7:$V$36,"",0))</x:f>
      </x:c>
      <x:c r="S33" s="80" t="str">
        <x:f>IF($A33="","",_xlfn.XLOOKUP($A33,'班次檢核總覽'!$A$7:$A$36,'班次檢核總覽'!$W$7:$W$36,"",0))</x:f>
      </x:c>
      <x:c r="T33" s="80" t="str">
        <x:f>IF($A33="","",IF($B33="範例","範例，不需處理",IF(OR($S33="可發布",$S33="例外核定可發布"),"完成",IF($S33="人力已釋出","確認改派或結案",IF($P33="待三週前標記","完成三週前療程標記",IF($P33="待一週前確認","完成一週前診前確認",IF(OR($P33="人力異動待處理",$P33="人力釋出待處理"),"通知助理主管處理人力異動","等候助理主管完成人力或資格檢核")))))))</x:f>
      </x:c>
    </x:row>
    <x:row r="34">
      <x:c r="A34" s="80" t="str">
        <x:f>IF('班次需求輸入'!A30="","",'班次需求輸入'!A30)</x:f>
      </x:c>
      <x:c r="B34" s="80" t="str">
        <x:f>IF($A34="","",'班次需求輸入'!K30)</x:f>
      </x:c>
      <x:c r="C34" s="211" t="str">
        <x:f>IF($A34="","",'班次需求輸入'!B30)</x:f>
      </x:c>
      <x:c r="D34" s="212" t="str">
        <x:f>IF($A34="","",'班次需求輸入'!C30)</x:f>
      </x:c>
      <x:c r="E34" s="212" t="str">
        <x:f>IF($A34="","",'班次需求輸入'!D30)</x:f>
      </x:c>
      <x:c r="F34" s="80" t="str">
        <x:f>IF($A34="","",'班次需求輸入'!E30)</x:f>
      </x:c>
      <x:c r="G34" s="80" t="str">
        <x:f>IF($A34="","",_xlfn.XLOOKUP($A34,'班次檢核總覽'!$A$7:$A$36,'班次檢核總覽'!$F$7:$F$36,"",0))</x:f>
      </x:c>
      <x:c r="H34" s="80" t="str">
        <x:f>IF($A34="","",'班次需求輸入'!F30)</x:f>
      </x:c>
      <x:c r="I34" s="80" t="str">
        <x:f>IF($A34="","",'班次需求輸入'!G30)</x:f>
      </x:c>
      <x:c r="J34" s="213" t="str">
        <x:f>IF($A34="","",'班次需求輸入'!H30)</x:f>
      </x:c>
      <x:c r="K34" s="213" t="str">
        <x:f>IF($A34="","",_xlfn.XLOOKUP($A34,'班次檢核總覽'!$A$7:$A$36,'班次檢核總覽'!$L$7:$L$36,0,0))</x:f>
      </x:c>
      <x:c r="L34" s="213" t="str">
        <x:f>IF($A34="","",_xlfn.XLOOKUP($A34,'班次檢核總覽'!$A$7:$A$36,'班次檢核總覽'!$N$7:$N$36,0,0))</x:f>
      </x:c>
      <x:c r="M34" s="213" t="str">
        <x:f>IF($A34="","",'班次需求輸入'!J30)</x:f>
      </x:c>
      <x:c r="N34" s="211" t="str">
        <x:f>IF($A34="","",'班次需求輸入'!M30)</x:f>
      </x:c>
      <x:c r="O34" s="211" t="str">
        <x:f>IF($A34="","",'班次需求輸入'!P30)</x:f>
      </x:c>
      <x:c r="P34" s="80" t="str">
        <x:f>IF($A34="","",'班次需求輸入'!X30)</x:f>
      </x:c>
      <x:c r="Q34" s="80" t="str">
        <x:f>IF($A34="","",_xlfn.XLOOKUP($A34,'班次需求輸入'!$A$7:$A$36,'班次需求輸入'!$T$7:$T$36,"",0))</x:f>
      </x:c>
      <x:c r="R34" s="80" t="str">
        <x:f>IF($A34="","",_xlfn.XLOOKUP($A34,'班次需求輸入'!$A$7:$A$36,'班次需求輸入'!$V$7:$V$36,"",0))</x:f>
      </x:c>
      <x:c r="S34" s="80" t="str">
        <x:f>IF($A34="","",_xlfn.XLOOKUP($A34,'班次檢核總覽'!$A$7:$A$36,'班次檢核總覽'!$W$7:$W$36,"",0))</x:f>
      </x:c>
      <x:c r="T34" s="80" t="str">
        <x:f>IF($A34="","",IF($B34="範例","範例，不需處理",IF(OR($S34="可發布",$S34="例外核定可發布"),"完成",IF($S34="人力已釋出","確認改派或結案",IF($P34="待三週前標記","完成三週前療程標記",IF($P34="待一週前確認","完成一週前診前確認",IF(OR($P34="人力異動待處理",$P34="人力釋出待處理"),"通知助理主管處理人力異動","等候助理主管完成人力或資格檢核")))))))</x:f>
      </x:c>
    </x:row>
    <x:row r="35">
      <x:c r="A35" s="80" t="str">
        <x:f>IF('班次需求輸入'!A31="","",'班次需求輸入'!A31)</x:f>
      </x:c>
      <x:c r="B35" s="80" t="str">
        <x:f>IF($A35="","",'班次需求輸入'!K31)</x:f>
      </x:c>
      <x:c r="C35" s="211" t="str">
        <x:f>IF($A35="","",'班次需求輸入'!B31)</x:f>
      </x:c>
      <x:c r="D35" s="212" t="str">
        <x:f>IF($A35="","",'班次需求輸入'!C31)</x:f>
      </x:c>
      <x:c r="E35" s="212" t="str">
        <x:f>IF($A35="","",'班次需求輸入'!D31)</x:f>
      </x:c>
      <x:c r="F35" s="80" t="str">
        <x:f>IF($A35="","",'班次需求輸入'!E31)</x:f>
      </x:c>
      <x:c r="G35" s="80" t="str">
        <x:f>IF($A35="","",_xlfn.XLOOKUP($A35,'班次檢核總覽'!$A$7:$A$36,'班次檢核總覽'!$F$7:$F$36,"",0))</x:f>
      </x:c>
      <x:c r="H35" s="80" t="str">
        <x:f>IF($A35="","",'班次需求輸入'!F31)</x:f>
      </x:c>
      <x:c r="I35" s="80" t="str">
        <x:f>IF($A35="","",'班次需求輸入'!G31)</x:f>
      </x:c>
      <x:c r="J35" s="213" t="str">
        <x:f>IF($A35="","",'班次需求輸入'!H31)</x:f>
      </x:c>
      <x:c r="K35" s="213" t="str">
        <x:f>IF($A35="","",_xlfn.XLOOKUP($A35,'班次檢核總覽'!$A$7:$A$36,'班次檢核總覽'!$L$7:$L$36,0,0))</x:f>
      </x:c>
      <x:c r="L35" s="213" t="str">
        <x:f>IF($A35="","",_xlfn.XLOOKUP($A35,'班次檢核總覽'!$A$7:$A$36,'班次檢核總覽'!$N$7:$N$36,0,0))</x:f>
      </x:c>
      <x:c r="M35" s="213" t="str">
        <x:f>IF($A35="","",'班次需求輸入'!J31)</x:f>
      </x:c>
      <x:c r="N35" s="211" t="str">
        <x:f>IF($A35="","",'班次需求輸入'!M31)</x:f>
      </x:c>
      <x:c r="O35" s="211" t="str">
        <x:f>IF($A35="","",'班次需求輸入'!P31)</x:f>
      </x:c>
      <x:c r="P35" s="80" t="str">
        <x:f>IF($A35="","",'班次需求輸入'!X31)</x:f>
      </x:c>
      <x:c r="Q35" s="80" t="str">
        <x:f>IF($A35="","",_xlfn.XLOOKUP($A35,'班次需求輸入'!$A$7:$A$36,'班次需求輸入'!$T$7:$T$36,"",0))</x:f>
      </x:c>
      <x:c r="R35" s="80" t="str">
        <x:f>IF($A35="","",_xlfn.XLOOKUP($A35,'班次需求輸入'!$A$7:$A$36,'班次需求輸入'!$V$7:$V$36,"",0))</x:f>
      </x:c>
      <x:c r="S35" s="80" t="str">
        <x:f>IF($A35="","",_xlfn.XLOOKUP($A35,'班次檢核總覽'!$A$7:$A$36,'班次檢核總覽'!$W$7:$W$36,"",0))</x:f>
      </x:c>
      <x:c r="T35" s="80" t="str">
        <x:f>IF($A35="","",IF($B35="範例","範例，不需處理",IF(OR($S35="可發布",$S35="例外核定可發布"),"完成",IF($S35="人力已釋出","確認改派或結案",IF($P35="待三週前標記","完成三週前療程標記",IF($P35="待一週前確認","完成一週前診前確認",IF(OR($P35="人力異動待處理",$P35="人力釋出待處理"),"通知助理主管處理人力異動","等候助理主管完成人力或資格檢核")))))))</x:f>
      </x:c>
    </x:row>
    <x:row r="36">
      <x:c r="A36" s="80" t="str">
        <x:f>IF('班次需求輸入'!A32="","",'班次需求輸入'!A32)</x:f>
      </x:c>
      <x:c r="B36" s="80" t="str">
        <x:f>IF($A36="","",'班次需求輸入'!K32)</x:f>
      </x:c>
      <x:c r="C36" s="211" t="str">
        <x:f>IF($A36="","",'班次需求輸入'!B32)</x:f>
      </x:c>
      <x:c r="D36" s="212" t="str">
        <x:f>IF($A36="","",'班次需求輸入'!C32)</x:f>
      </x:c>
      <x:c r="E36" s="212" t="str">
        <x:f>IF($A36="","",'班次需求輸入'!D32)</x:f>
      </x:c>
      <x:c r="F36" s="80" t="str">
        <x:f>IF($A36="","",'班次需求輸入'!E32)</x:f>
      </x:c>
      <x:c r="G36" s="80" t="str">
        <x:f>IF($A36="","",_xlfn.XLOOKUP($A36,'班次檢核總覽'!$A$7:$A$36,'班次檢核總覽'!$F$7:$F$36,"",0))</x:f>
      </x:c>
      <x:c r="H36" s="80" t="str">
        <x:f>IF($A36="","",'班次需求輸入'!F32)</x:f>
      </x:c>
      <x:c r="I36" s="80" t="str">
        <x:f>IF($A36="","",'班次需求輸入'!G32)</x:f>
      </x:c>
      <x:c r="J36" s="213" t="str">
        <x:f>IF($A36="","",'班次需求輸入'!H32)</x:f>
      </x:c>
      <x:c r="K36" s="213" t="str">
        <x:f>IF($A36="","",_xlfn.XLOOKUP($A36,'班次檢核總覽'!$A$7:$A$36,'班次檢核總覽'!$L$7:$L$36,0,0))</x:f>
      </x:c>
      <x:c r="L36" s="213" t="str">
        <x:f>IF($A36="","",_xlfn.XLOOKUP($A36,'班次檢核總覽'!$A$7:$A$36,'班次檢核總覽'!$N$7:$N$36,0,0))</x:f>
      </x:c>
      <x:c r="M36" s="213" t="str">
        <x:f>IF($A36="","",'班次需求輸入'!J32)</x:f>
      </x:c>
      <x:c r="N36" s="211" t="str">
        <x:f>IF($A36="","",'班次需求輸入'!M32)</x:f>
      </x:c>
      <x:c r="O36" s="211" t="str">
        <x:f>IF($A36="","",'班次需求輸入'!P32)</x:f>
      </x:c>
      <x:c r="P36" s="80" t="str">
        <x:f>IF($A36="","",'班次需求輸入'!X32)</x:f>
      </x:c>
      <x:c r="Q36" s="80" t="str">
        <x:f>IF($A36="","",_xlfn.XLOOKUP($A36,'班次需求輸入'!$A$7:$A$36,'班次需求輸入'!$T$7:$T$36,"",0))</x:f>
      </x:c>
      <x:c r="R36" s="80" t="str">
        <x:f>IF($A36="","",_xlfn.XLOOKUP($A36,'班次需求輸入'!$A$7:$A$36,'班次需求輸入'!$V$7:$V$36,"",0))</x:f>
      </x:c>
      <x:c r="S36" s="80" t="str">
        <x:f>IF($A36="","",_xlfn.XLOOKUP($A36,'班次檢核總覽'!$A$7:$A$36,'班次檢核總覽'!$W$7:$W$36,"",0))</x:f>
      </x:c>
      <x:c r="T36" s="80" t="str">
        <x:f>IF($A36="","",IF($B36="範例","範例，不需處理",IF(OR($S36="可發布",$S36="例外核定可發布"),"完成",IF($S36="人力已釋出","確認改派或結案",IF($P36="待三週前標記","完成三週前療程標記",IF($P36="待一週前確認","完成一週前診前確認",IF(OR($P36="人力異動待處理",$P36="人力釋出待處理"),"通知助理主管處理人力異動","等候助理主管完成人力或資格檢核")))))))</x:f>
      </x:c>
    </x:row>
    <x:row r="37">
      <x:c r="A37" s="80" t="str">
        <x:f>IF('班次需求輸入'!A33="","",'班次需求輸入'!A33)</x:f>
      </x:c>
      <x:c r="B37" s="80" t="str">
        <x:f>IF($A37="","",'班次需求輸入'!K33)</x:f>
      </x:c>
      <x:c r="C37" s="211" t="str">
        <x:f>IF($A37="","",'班次需求輸入'!B33)</x:f>
      </x:c>
      <x:c r="D37" s="212" t="str">
        <x:f>IF($A37="","",'班次需求輸入'!C33)</x:f>
      </x:c>
      <x:c r="E37" s="212" t="str">
        <x:f>IF($A37="","",'班次需求輸入'!D33)</x:f>
      </x:c>
      <x:c r="F37" s="80" t="str">
        <x:f>IF($A37="","",'班次需求輸入'!E33)</x:f>
      </x:c>
      <x:c r="G37" s="80" t="str">
        <x:f>IF($A37="","",_xlfn.XLOOKUP($A37,'班次檢核總覽'!$A$7:$A$36,'班次檢核總覽'!$F$7:$F$36,"",0))</x:f>
      </x:c>
      <x:c r="H37" s="80" t="str">
        <x:f>IF($A37="","",'班次需求輸入'!F33)</x:f>
      </x:c>
      <x:c r="I37" s="80" t="str">
        <x:f>IF($A37="","",'班次需求輸入'!G33)</x:f>
      </x:c>
      <x:c r="J37" s="213" t="str">
        <x:f>IF($A37="","",'班次需求輸入'!H33)</x:f>
      </x:c>
      <x:c r="K37" s="213" t="str">
        <x:f>IF($A37="","",_xlfn.XLOOKUP($A37,'班次檢核總覽'!$A$7:$A$36,'班次檢核總覽'!$L$7:$L$36,0,0))</x:f>
      </x:c>
      <x:c r="L37" s="213" t="str">
        <x:f>IF($A37="","",_xlfn.XLOOKUP($A37,'班次檢核總覽'!$A$7:$A$36,'班次檢核總覽'!$N$7:$N$36,0,0))</x:f>
      </x:c>
      <x:c r="M37" s="213" t="str">
        <x:f>IF($A37="","",'班次需求輸入'!J33)</x:f>
      </x:c>
      <x:c r="N37" s="211" t="str">
        <x:f>IF($A37="","",'班次需求輸入'!M33)</x:f>
      </x:c>
      <x:c r="O37" s="211" t="str">
        <x:f>IF($A37="","",'班次需求輸入'!P33)</x:f>
      </x:c>
      <x:c r="P37" s="80" t="str">
        <x:f>IF($A37="","",'班次需求輸入'!X33)</x:f>
      </x:c>
      <x:c r="Q37" s="80" t="str">
        <x:f>IF($A37="","",_xlfn.XLOOKUP($A37,'班次需求輸入'!$A$7:$A$36,'班次需求輸入'!$T$7:$T$36,"",0))</x:f>
      </x:c>
      <x:c r="R37" s="80" t="str">
        <x:f>IF($A37="","",_xlfn.XLOOKUP($A37,'班次需求輸入'!$A$7:$A$36,'班次需求輸入'!$V$7:$V$36,"",0))</x:f>
      </x:c>
      <x:c r="S37" s="80" t="str">
        <x:f>IF($A37="","",_xlfn.XLOOKUP($A37,'班次檢核總覽'!$A$7:$A$36,'班次檢核總覽'!$W$7:$W$36,"",0))</x:f>
      </x:c>
      <x:c r="T37" s="80" t="str">
        <x:f>IF($A37="","",IF($B37="範例","範例，不需處理",IF(OR($S37="可發布",$S37="例外核定可發布"),"完成",IF($S37="人力已釋出","確認改派或結案",IF($P37="待三週前標記","完成三週前療程標記",IF($P37="待一週前確認","完成一週前診前確認",IF(OR($P37="人力異動待處理",$P37="人力釋出待處理"),"通知助理主管處理人力異動","等候助理主管完成人力或資格檢核")))))))</x:f>
      </x:c>
    </x:row>
    <x:row r="38">
      <x:c r="A38" s="80" t="str">
        <x:f>IF('班次需求輸入'!A34="","",'班次需求輸入'!A34)</x:f>
      </x:c>
      <x:c r="B38" s="80" t="str">
        <x:f>IF($A38="","",'班次需求輸入'!K34)</x:f>
      </x:c>
      <x:c r="C38" s="211" t="str">
        <x:f>IF($A38="","",'班次需求輸入'!B34)</x:f>
      </x:c>
      <x:c r="D38" s="212" t="str">
        <x:f>IF($A38="","",'班次需求輸入'!C34)</x:f>
      </x:c>
      <x:c r="E38" s="212" t="str">
        <x:f>IF($A38="","",'班次需求輸入'!D34)</x:f>
      </x:c>
      <x:c r="F38" s="80" t="str">
        <x:f>IF($A38="","",'班次需求輸入'!E34)</x:f>
      </x:c>
      <x:c r="G38" s="80" t="str">
        <x:f>IF($A38="","",_xlfn.XLOOKUP($A38,'班次檢核總覽'!$A$7:$A$36,'班次檢核總覽'!$F$7:$F$36,"",0))</x:f>
      </x:c>
      <x:c r="H38" s="80" t="str">
        <x:f>IF($A38="","",'班次需求輸入'!F34)</x:f>
      </x:c>
      <x:c r="I38" s="80" t="str">
        <x:f>IF($A38="","",'班次需求輸入'!G34)</x:f>
      </x:c>
      <x:c r="J38" s="213" t="str">
        <x:f>IF($A38="","",'班次需求輸入'!H34)</x:f>
      </x:c>
      <x:c r="K38" s="213" t="str">
        <x:f>IF($A38="","",_xlfn.XLOOKUP($A38,'班次檢核總覽'!$A$7:$A$36,'班次檢核總覽'!$L$7:$L$36,0,0))</x:f>
      </x:c>
      <x:c r="L38" s="213" t="str">
        <x:f>IF($A38="","",_xlfn.XLOOKUP($A38,'班次檢核總覽'!$A$7:$A$36,'班次檢核總覽'!$N$7:$N$36,0,0))</x:f>
      </x:c>
      <x:c r="M38" s="213" t="str">
        <x:f>IF($A38="","",'班次需求輸入'!J34)</x:f>
      </x:c>
      <x:c r="N38" s="211" t="str">
        <x:f>IF($A38="","",'班次需求輸入'!M34)</x:f>
      </x:c>
      <x:c r="O38" s="211" t="str">
        <x:f>IF($A38="","",'班次需求輸入'!P34)</x:f>
      </x:c>
      <x:c r="P38" s="80" t="str">
        <x:f>IF($A38="","",'班次需求輸入'!X34)</x:f>
      </x:c>
      <x:c r="Q38" s="80" t="str">
        <x:f>IF($A38="","",_xlfn.XLOOKUP($A38,'班次需求輸入'!$A$7:$A$36,'班次需求輸入'!$T$7:$T$36,"",0))</x:f>
      </x:c>
      <x:c r="R38" s="80" t="str">
        <x:f>IF($A38="","",_xlfn.XLOOKUP($A38,'班次需求輸入'!$A$7:$A$36,'班次需求輸入'!$V$7:$V$36,"",0))</x:f>
      </x:c>
      <x:c r="S38" s="80" t="str">
        <x:f>IF($A38="","",_xlfn.XLOOKUP($A38,'班次檢核總覽'!$A$7:$A$36,'班次檢核總覽'!$W$7:$W$36,"",0))</x:f>
      </x:c>
      <x:c r="T38" s="80" t="str">
        <x:f>IF($A38="","",IF($B38="範例","範例，不需處理",IF(OR($S38="可發布",$S38="例外核定可發布"),"完成",IF($S38="人力已釋出","確認改派或結案",IF($P38="待三週前標記","完成三週前療程標記",IF($P38="待一週前確認","完成一週前診前確認",IF(OR($P38="人力異動待處理",$P38="人力釋出待處理"),"通知助理主管處理人力異動","等候助理主管完成人力或資格檢核")))))))</x:f>
      </x:c>
    </x:row>
    <x:row r="39">
      <x:c r="A39" s="80" t="str">
        <x:f>IF('班次需求輸入'!A35="","",'班次需求輸入'!A35)</x:f>
      </x:c>
      <x:c r="B39" s="80" t="str">
        <x:f>IF($A39="","",'班次需求輸入'!K35)</x:f>
      </x:c>
      <x:c r="C39" s="211" t="str">
        <x:f>IF($A39="","",'班次需求輸入'!B35)</x:f>
      </x:c>
      <x:c r="D39" s="212" t="str">
        <x:f>IF($A39="","",'班次需求輸入'!C35)</x:f>
      </x:c>
      <x:c r="E39" s="212" t="str">
        <x:f>IF($A39="","",'班次需求輸入'!D35)</x:f>
      </x:c>
      <x:c r="F39" s="80" t="str">
        <x:f>IF($A39="","",'班次需求輸入'!E35)</x:f>
      </x:c>
      <x:c r="G39" s="80" t="str">
        <x:f>IF($A39="","",_xlfn.XLOOKUP($A39,'班次檢核總覽'!$A$7:$A$36,'班次檢核總覽'!$F$7:$F$36,"",0))</x:f>
      </x:c>
      <x:c r="H39" s="80" t="str">
        <x:f>IF($A39="","",'班次需求輸入'!F35)</x:f>
      </x:c>
      <x:c r="I39" s="80" t="str">
        <x:f>IF($A39="","",'班次需求輸入'!G35)</x:f>
      </x:c>
      <x:c r="J39" s="213" t="str">
        <x:f>IF($A39="","",'班次需求輸入'!H35)</x:f>
      </x:c>
      <x:c r="K39" s="213" t="str">
        <x:f>IF($A39="","",_xlfn.XLOOKUP($A39,'班次檢核總覽'!$A$7:$A$36,'班次檢核總覽'!$L$7:$L$36,0,0))</x:f>
      </x:c>
      <x:c r="L39" s="213" t="str">
        <x:f>IF($A39="","",_xlfn.XLOOKUP($A39,'班次檢核總覽'!$A$7:$A$36,'班次檢核總覽'!$N$7:$N$36,0,0))</x:f>
      </x:c>
      <x:c r="M39" s="213" t="str">
        <x:f>IF($A39="","",'班次需求輸入'!J35)</x:f>
      </x:c>
      <x:c r="N39" s="211" t="str">
        <x:f>IF($A39="","",'班次需求輸入'!M35)</x:f>
      </x:c>
      <x:c r="O39" s="211" t="str">
        <x:f>IF($A39="","",'班次需求輸入'!P35)</x:f>
      </x:c>
      <x:c r="P39" s="80" t="str">
        <x:f>IF($A39="","",'班次需求輸入'!X35)</x:f>
      </x:c>
      <x:c r="Q39" s="80" t="str">
        <x:f>IF($A39="","",_xlfn.XLOOKUP($A39,'班次需求輸入'!$A$7:$A$36,'班次需求輸入'!$T$7:$T$36,"",0))</x:f>
      </x:c>
      <x:c r="R39" s="80" t="str">
        <x:f>IF($A39="","",_xlfn.XLOOKUP($A39,'班次需求輸入'!$A$7:$A$36,'班次需求輸入'!$V$7:$V$36,"",0))</x:f>
      </x:c>
      <x:c r="S39" s="80" t="str">
        <x:f>IF($A39="","",_xlfn.XLOOKUP($A39,'班次檢核總覽'!$A$7:$A$36,'班次檢核總覽'!$W$7:$W$36,"",0))</x:f>
      </x:c>
      <x:c r="T39" s="80" t="str">
        <x:f>IF($A39="","",IF($B39="範例","範例，不需處理",IF(OR($S39="可發布",$S39="例外核定可發布"),"完成",IF($S39="人力已釋出","確認改派或結案",IF($P39="待三週前標記","完成三週前療程標記",IF($P39="待一週前確認","完成一週前診前確認",IF(OR($P39="人力異動待處理",$P39="人力釋出待處理"),"通知助理主管處理人力異動","等候助理主管完成人力或資格檢核")))))))</x:f>
      </x:c>
    </x:row>
    <x:row r="40">
      <x:c r="A40" s="80" t="str">
        <x:f>IF('班次需求輸入'!A36="","",'班次需求輸入'!A36)</x:f>
      </x:c>
      <x:c r="B40" s="80" t="str">
        <x:f>IF($A40="","",'班次需求輸入'!K36)</x:f>
      </x:c>
      <x:c r="C40" s="211" t="str">
        <x:f>IF($A40="","",'班次需求輸入'!B36)</x:f>
      </x:c>
      <x:c r="D40" s="212" t="str">
        <x:f>IF($A40="","",'班次需求輸入'!C36)</x:f>
      </x:c>
      <x:c r="E40" s="212" t="str">
        <x:f>IF($A40="","",'班次需求輸入'!D36)</x:f>
      </x:c>
      <x:c r="F40" s="80" t="str">
        <x:f>IF($A40="","",'班次需求輸入'!E36)</x:f>
      </x:c>
      <x:c r="G40" s="80" t="str">
        <x:f>IF($A40="","",_xlfn.XLOOKUP($A40,'班次檢核總覽'!$A$7:$A$36,'班次檢核總覽'!$F$7:$F$36,"",0))</x:f>
      </x:c>
      <x:c r="H40" s="80" t="str">
        <x:f>IF($A40="","",'班次需求輸入'!F36)</x:f>
      </x:c>
      <x:c r="I40" s="80" t="str">
        <x:f>IF($A40="","",'班次需求輸入'!G36)</x:f>
      </x:c>
      <x:c r="J40" s="213" t="str">
        <x:f>IF($A40="","",'班次需求輸入'!H36)</x:f>
      </x:c>
      <x:c r="K40" s="213" t="str">
        <x:f>IF($A40="","",_xlfn.XLOOKUP($A40,'班次檢核總覽'!$A$7:$A$36,'班次檢核總覽'!$L$7:$L$36,0,0))</x:f>
      </x:c>
      <x:c r="L40" s="213" t="str">
        <x:f>IF($A40="","",_xlfn.XLOOKUP($A40,'班次檢核總覽'!$A$7:$A$36,'班次檢核總覽'!$N$7:$N$36,0,0))</x:f>
      </x:c>
      <x:c r="M40" s="213" t="str">
        <x:f>IF($A40="","",'班次需求輸入'!J36)</x:f>
      </x:c>
      <x:c r="N40" s="211" t="str">
        <x:f>IF($A40="","",'班次需求輸入'!M36)</x:f>
      </x:c>
      <x:c r="O40" s="211" t="str">
        <x:f>IF($A40="","",'班次需求輸入'!P36)</x:f>
      </x:c>
      <x:c r="P40" s="80" t="str">
        <x:f>IF($A40="","",'班次需求輸入'!X36)</x:f>
      </x:c>
      <x:c r="Q40" s="80" t="str">
        <x:f>IF($A40="","",_xlfn.XLOOKUP($A40,'班次需求輸入'!$A$7:$A$36,'班次需求輸入'!$T$7:$T$36,"",0))</x:f>
      </x:c>
      <x:c r="R40" s="80" t="str">
        <x:f>IF($A40="","",_xlfn.XLOOKUP($A40,'班次需求輸入'!$A$7:$A$36,'班次需求輸入'!$V$7:$V$36,"",0))</x:f>
      </x:c>
      <x:c r="S40" s="80" t="str">
        <x:f>IF($A40="","",_xlfn.XLOOKUP($A40,'班次檢核總覽'!$A$7:$A$36,'班次檢核總覽'!$W$7:$W$36,"",0))</x:f>
      </x:c>
      <x:c r="T40" s="80" t="str">
        <x:f>IF($A40="","",IF($B40="範例","範例，不需處理",IF(OR($S40="可發布",$S40="例外核定可發布"),"完成",IF($S40="人力已釋出","確認改派或結案",IF($P40="待三週前標記","完成三週前療程標記",IF($P40="待一週前確認","完成一週前診前確認",IF(OR($P40="人力異動待處理",$P40="人力釋出待處理"),"通知助理主管處理人力異動","等候助理主管完成人力或資格檢核")))))))</x:f>
      </x:c>
    </x:row>
  </x:sheetData>
  <x:mergeCells>
    <x:mergeCell ref="A6:B6"/>
    <x:mergeCell ref="A7:B7"/>
    <x:mergeCell ref="A8:B8"/>
    <x:mergeCell ref="D6:E6"/>
    <x:mergeCell ref="D7:E7"/>
    <x:mergeCell ref="D8:E8"/>
    <x:mergeCell ref="G6:H6"/>
    <x:mergeCell ref="G7:H7"/>
    <x:mergeCell ref="G8:H8"/>
    <x:mergeCell ref="J6:K6"/>
    <x:mergeCell ref="J7:K7"/>
    <x:mergeCell ref="J8:K8"/>
    <x:mergeCell ref="M6:N6"/>
    <x:mergeCell ref="M7:N7"/>
    <x:mergeCell ref="M8:N8"/>
  </x:mergeCells>
  <x:conditionalFormatting sqref="T11:T40">
    <x:cfRule type="containsText" dxfId="37" priority="1" operator="containsText" text="完成三週"/>
    <x:cfRule type="containsText" dxfId="38" priority="2" operator="containsText" text="完成一週"/>
    <x:cfRule type="containsText" dxfId="39" priority="3" operator="containsText" text="通知助理主管"/>
    <x:cfRule type="containsText" dxfId="40" priority="4" operator="containsText" text="等候助理主管"/>
  </x:conditionalFormatting>
  <x:pageMargins left="0.7" right="0.7" top="0.75" bottom="0.75" header="0.3" footer="0.3"/>
  <x:tableParts count="1">
    <x:tablePart xmlns:r="http://schemas.openxmlformats.org/officeDocument/2006/relationships" r:id="Rb81a7d3a1e6b497c"/>
  </x:tableParts>
</x:worksheet>
</file>

<file path=xl/worksheets/sheet34.xml><?xml version="1.0" encoding="utf-8"?>
<x:worksheet xmlns:x="http://schemas.openxmlformats.org/spreadsheetml/2006/main">
  <x:sheetPr>
    <x:tabColor rgb="FF1F5E7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6" hidden="0" customWidth="1"/>
    <x:col min="4" max="4" width="24" hidden="0" customWidth="1"/>
    <x:col min="5" max="5" width="22" hidden="0" customWidth="1"/>
    <x:col min="6" max="6" width="16" hidden="0" customWidth="1"/>
    <x:col min="7" max="7" width="22" hidden="0" customWidth="1"/>
    <x:col min="8" max="8" width="28" hidden="0" customWidth="1"/>
    <x:col min="9" max="9" width="20" hidden="0" customWidth="1"/>
    <x:col min="10" max="10" width="22" hidden="0" customWidth="1"/>
    <x:col min="11" max="11" width="14" hidden="0" customWidth="1"/>
    <x:col min="12" max="12" width="16" hidden="0" customWidth="1"/>
    <x:col min="13" max="13" width="36" hidden="0" customWidth="1"/>
    <x:col min="14" max="14" width="20" hidden="0" customWidth="1"/>
    <x:col min="15" max="15" width="16" hidden="0" customWidth="1"/>
    <x:col min="16" max="16" width="20" hidden="0" customWidth="1"/>
  </x:cols>
  <x:sheetData>
    <x:row r="2">
      <x:c r="A2" s="74" t="str">
        <x:v>完整支援者與技術備援者資格核定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75" t="str">
        <x:v>完整支援者最多 2 個一般名額並可支援高複雜度；技術備援者最多 1 個一般名額，不能支援高複雜度。最終資格由主管核定。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</x:row>
    <x:row r="6">
      <x:c r="A6" s="218" t="str">
        <x:v>支援資格鍵</x:v>
      </x:c>
      <x:c r="B6" s="218" t="str">
        <x:v>員工編號</x:v>
      </x:c>
      <x:c r="C6" s="218" t="str">
        <x:v>姓名</x:v>
      </x:c>
      <x:c r="D6" s="218" t="str">
        <x:v>模式代碼</x:v>
      </x:c>
      <x:c r="E6" s="218" t="str">
        <x:v>治療項目</x:v>
      </x:c>
      <x:c r="F6" s="218" t="str">
        <x:v>複雜度</x:v>
      </x:c>
      <x:c r="G6" s="218" t="str">
        <x:v>能力試算結果</x:v>
      </x:c>
      <x:c r="H6" s="218" t="str">
        <x:v>正式適配狀態</x:v>
      </x:c>
      <x:c r="I6" s="218" t="str">
        <x:v>建議支援類型</x:v>
      </x:c>
      <x:c r="J6" s="218" t="str">
        <x:v>主管決定</x:v>
      </x:c>
      <x:c r="K6" s="218" t="str">
        <x:v>生效日</x:v>
      </x:c>
      <x:c r="L6" s="218" t="str">
        <x:v>核定人</x:v>
      </x:c>
      <x:c r="M6" s="218" t="str">
        <x:v>核定備註</x:v>
      </x:c>
      <x:c r="N6" s="218" t="str">
        <x:v>支援資格結果</x:v>
      </x:c>
      <x:c r="O6" s="218" t="str">
        <x:v>核定名額上限</x:v>
      </x:c>
      <x:c r="P6" s="218" t="str">
        <x:v>可支援高複雜度</x:v>
      </x:c>
    </x:row>
    <x:row r="7">
      <x:c r="A7" s="79" t="str">
        <x:v>SUP|1001|LJT-SCALING</x:v>
      </x:c>
      <x:c r="B7" s="79" t="str">
        <x:v>1001</x:v>
      </x:c>
      <x:c r="C7" s="79" t="str"/>
      <x:c r="D7" s="79" t="str">
        <x:v>LJT-SCALING</x:v>
      </x:c>
      <x:c r="E7" s="79" t="str">
        <x:v>洗牙</x:v>
      </x:c>
      <x:c r="F7" s="79" t="str">
        <x:v>一般</x:v>
      </x:c>
      <x:c r="G7" s="79" t="str">
        <x:v>初步可獨立</x:v>
      </x:c>
      <x:c r="H7" s="79" t="str">
        <x:v>待確認共通技能門檻</x:v>
      </x:c>
      <x:c r="I7" s="219" t="str">
        <x:f>IF($G7&lt;&gt;"初步可獨立","不建議",IF($H7="初步可獨立","完整支援者","技術備援者"))</x:f>
        <x:v>技術備援者</x:v>
      </x:c>
      <x:c r="J7" s="220" t="str">
        <x:v>待核定</x:v>
      </x:c>
      <x:c r="K7" s="221"/>
      <x:c r="L7" s="220"/>
      <x:c r="M7" s="220"/>
      <x:c r="N7" s="219" t="str">
        <x:f>IF($J7="暫停","資格暫停",IF($J7="不核定","不核定",IF($J7="核定完整支援者",IF($I7&lt;&gt;"完整支援者","核定條件未達",IF(OR($K7="",$L7=""),"核定資料未完整","完整支援者")),IF($J7="核定技術備援者",IF(AND($I7&lt;&gt;"完整支援者",$I7&lt;&gt;"技術備援者"),"核定條件未達",IF(OR($K7="",$L7=""),"核定資料未完整","技術備援者")),"待主管核定"))))</x:f>
        <x:v>待主管核定</x:v>
      </x:c>
      <x:c r="O7" s="219" t="n">
        <x:f>IF($N7="完整支援者",2,IF($N7="技術備援者",1,0))</x:f>
        <x:v>0</x:v>
      </x:c>
      <x:c r="P7" s="219" t="str">
        <x:f>IF($N7="完整支援者","是","否")</x:f>
        <x:v>否</x:v>
      </x:c>
    </x:row>
    <x:row r="8">
      <x:c r="A8" s="79" t="str">
        <x:v>SUP|1001|LJT-FILLING</x:v>
      </x:c>
      <x:c r="B8" s="79" t="str">
        <x:v>1001</x:v>
      </x:c>
      <x:c r="C8" s="79" t="str"/>
      <x:c r="D8" s="79" t="str">
        <x:v>LJT-FILLING</x:v>
      </x:c>
      <x:c r="E8" s="79" t="str">
        <x:v>補牙</x:v>
      </x:c>
      <x:c r="F8" s="79" t="str">
        <x:v>一般</x:v>
      </x:c>
      <x:c r="G8" s="79" t="str">
        <x:v>初步可獨立</x:v>
      </x:c>
      <x:c r="H8" s="79" t="str">
        <x:v>待確認共通技能門檻</x:v>
      </x:c>
      <x:c r="I8" s="219" t="str">
        <x:f>IF($G8&lt;&gt;"初步可獨立","不建議",IF($H8="初步可獨立","完整支援者","技術備援者"))</x:f>
        <x:v>技術備援者</x:v>
      </x:c>
      <x:c r="J8" s="220" t="str">
        <x:v>待核定</x:v>
      </x:c>
      <x:c r="K8" s="221"/>
      <x:c r="L8" s="220"/>
      <x:c r="M8" s="220"/>
      <x:c r="N8" s="219" t="str">
        <x:f>IF($J8="暫停","資格暫停",IF($J8="不核定","不核定",IF($J8="核定完整支援者",IF($I8&lt;&gt;"完整支援者","核定條件未達",IF(OR($K8="",$L8=""),"核定資料未完整","完整支援者")),IF($J8="核定技術備援者",IF(AND($I8&lt;&gt;"完整支援者",$I8&lt;&gt;"技術備援者"),"核定條件未達",IF(OR($K8="",$L8=""),"核定資料未完整","技術備援者")),"待主管核定"))))</x:f>
        <x:v>待主管核定</x:v>
      </x:c>
      <x:c r="O8" s="219" t="n">
        <x:f>IF($N8="完整支援者",2,IF($N8="技術備援者",1,0))</x:f>
        <x:v>0</x:v>
      </x:c>
      <x:c r="P8" s="219" t="str">
        <x:f>IF($N8="完整支援者","是","否")</x:f>
        <x:v>否</x:v>
      </x:c>
    </x:row>
    <x:row r="9">
      <x:c r="A9" s="79" t="str">
        <x:v>SUP|1001|LJT-PERIO</x:v>
      </x:c>
      <x:c r="B9" s="79" t="str">
        <x:v>1001</x:v>
      </x:c>
      <x:c r="C9" s="79" t="str"/>
      <x:c r="D9" s="79" t="str">
        <x:v>LJT-PERIO</x:v>
      </x:c>
      <x:c r="E9" s="79" t="str">
        <x:v>牙周統合</x:v>
      </x:c>
      <x:c r="F9" s="79" t="str">
        <x:v>一般</x:v>
      </x:c>
      <x:c r="G9" s="79" t="str">
        <x:v>初步可獨立</x:v>
      </x:c>
      <x:c r="H9" s="79" t="str">
        <x:v>待確認共通技能門檻</x:v>
      </x:c>
      <x:c r="I9" s="219" t="str">
        <x:f>IF($G9&lt;&gt;"初步可獨立","不建議",IF($H9="初步可獨立","完整支援者","技術備援者"))</x:f>
        <x:v>技術備援者</x:v>
      </x:c>
      <x:c r="J9" s="220" t="str">
        <x:v>待核定</x:v>
      </x:c>
      <x:c r="K9" s="221"/>
      <x:c r="L9" s="220"/>
      <x:c r="M9" s="220"/>
      <x:c r="N9" s="219" t="str">
        <x:f>IF($J9="暫停","資格暫停",IF($J9="不核定","不核定",IF($J9="核定完整支援者",IF($I9&lt;&gt;"完整支援者","核定條件未達",IF(OR($K9="",$L9=""),"核定資料未完整","完整支援者")),IF($J9="核定技術備援者",IF(AND($I9&lt;&gt;"完整支援者",$I9&lt;&gt;"技術備援者"),"核定條件未達",IF(OR($K9="",$L9=""),"核定資料未完整","技術備援者")),"待主管核定"))))</x:f>
        <x:v>待主管核定</x:v>
      </x:c>
      <x:c r="O9" s="219" t="n">
        <x:f>IF($N9="完整支援者",2,IF($N9="技術備援者",1,0))</x:f>
        <x:v>0</x:v>
      </x:c>
      <x:c r="P9" s="219" t="str">
        <x:f>IF($N9="完整支援者","是","否")</x:f>
        <x:v>否</x:v>
      </x:c>
    </x:row>
    <x:row r="10">
      <x:c r="A10" s="79" t="str">
        <x:v>SUP|1001|LJT-RCT</x:v>
      </x:c>
      <x:c r="B10" s="79" t="str">
        <x:v>1001</x:v>
      </x:c>
      <x:c r="C10" s="79" t="str"/>
      <x:c r="D10" s="79" t="str">
        <x:v>LJT-RCT</x:v>
      </x:c>
      <x:c r="E10" s="79" t="str">
        <x:v>一般根管治療</x:v>
      </x:c>
      <x:c r="F10" s="79" t="str">
        <x:v>一般</x:v>
      </x:c>
      <x:c r="G10" s="79" t="str">
        <x:v>初步可獨立</x:v>
      </x:c>
      <x:c r="H10" s="79" t="str">
        <x:v>待確認共通技能門檻</x:v>
      </x:c>
      <x:c r="I10" s="219" t="str">
        <x:f>IF($G10&lt;&gt;"初步可獨立","不建議",IF($H10="初步可獨立","完整支援者","技術備援者"))</x:f>
        <x:v>技術備援者</x:v>
      </x:c>
      <x:c r="J10" s="220" t="str">
        <x:v>待核定</x:v>
      </x:c>
      <x:c r="K10" s="221"/>
      <x:c r="L10" s="220"/>
      <x:c r="M10" s="220"/>
      <x:c r="N10" s="219" t="str">
        <x:f>IF($J10="暫停","資格暫停",IF($J10="不核定","不核定",IF($J10="核定完整支援者",IF($I10&lt;&gt;"完整支援者","核定條件未達",IF(OR($K10="",$L10=""),"核定資料未完整","完整支援者")),IF($J10="核定技術備援者",IF(AND($I10&lt;&gt;"完整支援者",$I10&lt;&gt;"技術備援者"),"核定條件未達",IF(OR($K10="",$L10=""),"核定資料未完整","技術備援者")),"待主管核定"))))</x:f>
        <x:v>待主管核定</x:v>
      </x:c>
      <x:c r="O10" s="219" t="n">
        <x:f>IF($N10="完整支援者",2,IF($N10="技術備援者",1,0))</x:f>
        <x:v>0</x:v>
      </x:c>
      <x:c r="P10" s="219" t="str">
        <x:f>IF($N10="完整支援者","是","否")</x:f>
        <x:v>否</x:v>
      </x:c>
    </x:row>
    <x:row r="11">
      <x:c r="A11" s="79" t="str">
        <x:v>SUP|1001|LJT-EXTRACTION</x:v>
      </x:c>
      <x:c r="B11" s="79" t="str">
        <x:v>1001</x:v>
      </x:c>
      <x:c r="C11" s="79" t="str"/>
      <x:c r="D11" s="79" t="str">
        <x:v>LJT-EXTRACTION</x:v>
      </x:c>
      <x:c r="E11" s="79" t="str">
        <x:v>拔牙</x:v>
      </x:c>
      <x:c r="F11" s="79" t="str">
        <x:v>一般</x:v>
      </x:c>
      <x:c r="G11" s="79" t="str">
        <x:v>初步可獨立</x:v>
      </x:c>
      <x:c r="H11" s="79" t="str">
        <x:v>待確認共通技能門檻</x:v>
      </x:c>
      <x:c r="I11" s="219" t="str">
        <x:f>IF($G11&lt;&gt;"初步可獨立","不建議",IF($H11="初步可獨立","完整支援者","技術備援者"))</x:f>
        <x:v>技術備援者</x:v>
      </x:c>
      <x:c r="J11" s="220" t="str">
        <x:v>待核定</x:v>
      </x:c>
      <x:c r="K11" s="221"/>
      <x:c r="L11" s="220"/>
      <x:c r="M11" s="220"/>
      <x:c r="N11" s="219" t="str">
        <x:f>IF($J11="暫停","資格暫停",IF($J11="不核定","不核定",IF($J11="核定完整支援者",IF($I11&lt;&gt;"完整支援者","核定條件未達",IF(OR($K11="",$L11=""),"核定資料未完整","完整支援者")),IF($J11="核定技術備援者",IF(AND($I11&lt;&gt;"完整支援者",$I11&lt;&gt;"技術備援者"),"核定條件未達",IF(OR($K11="",$L11=""),"核定資料未完整","技術備援者")),"待主管核定"))))</x:f>
        <x:v>待主管核定</x:v>
      </x:c>
      <x:c r="O11" s="219" t="n">
        <x:f>IF($N11="完整支援者",2,IF($N11="技術備援者",1,0))</x:f>
        <x:v>0</x:v>
      </x:c>
      <x:c r="P11" s="219" t="str">
        <x:f>IF($N11="完整支援者","是","否")</x:f>
        <x:v>否</x:v>
      </x:c>
    </x:row>
    <x:row r="12">
      <x:c r="A12" s="79" t="str">
        <x:v>SUP|1001|LJT-CROWNPOST</x:v>
      </x:c>
      <x:c r="B12" s="79" t="str">
        <x:v>1001</x:v>
      </x:c>
      <x:c r="C12" s="79" t="str"/>
      <x:c r="D12" s="79" t="str">
        <x:v>LJT-CROWNPOST</x:v>
      </x:c>
      <x:c r="E12" s="79" t="str">
        <x:v>拆 crown/post</x:v>
      </x:c>
      <x:c r="F12" s="79" t="str">
        <x:v>一般</x:v>
      </x:c>
      <x:c r="G12" s="79" t="str">
        <x:v>初步可獨立</x:v>
      </x:c>
      <x:c r="H12" s="79" t="str">
        <x:v>待確認共通技能門檻</x:v>
      </x:c>
      <x:c r="I12" s="219" t="str">
        <x:f>IF($G12&lt;&gt;"初步可獨立","不建議",IF($H12="初步可獨立","完整支援者","技術備援者"))</x:f>
        <x:v>技術備援者</x:v>
      </x:c>
      <x:c r="J12" s="220" t="str">
        <x:v>待核定</x:v>
      </x:c>
      <x:c r="K12" s="221"/>
      <x:c r="L12" s="220"/>
      <x:c r="M12" s="220"/>
      <x:c r="N12" s="219" t="str">
        <x:f>IF($J12="暫停","資格暫停",IF($J12="不核定","不核定",IF($J12="核定完整支援者",IF($I12&lt;&gt;"完整支援者","核定條件未達",IF(OR($K12="",$L12=""),"核定資料未完整","完整支援者")),IF($J12="核定技術備援者",IF(AND($I12&lt;&gt;"完整支援者",$I12&lt;&gt;"技術備援者"),"核定條件未達",IF(OR($K12="",$L12=""),"核定資料未完整","技術備援者")),"待主管核定"))))</x:f>
        <x:v>待主管核定</x:v>
      </x:c>
      <x:c r="O12" s="219" t="n">
        <x:f>IF($N12="完整支援者",2,IF($N12="技術備援者",1,0))</x:f>
        <x:v>0</x:v>
      </x:c>
      <x:c r="P12" s="219" t="str">
        <x:f>IF($N12="完整支援者","是","否")</x:f>
        <x:v>否</x:v>
      </x:c>
    </x:row>
    <x:row r="13">
      <x:c r="A13" s="79" t="str">
        <x:v>SUP|1001|LJT-CROWN</x:v>
      </x:c>
      <x:c r="B13" s="79" t="str">
        <x:v>1001</x:v>
      </x:c>
      <x:c r="C13" s="79" t="str"/>
      <x:c r="D13" s="79" t="str">
        <x:v>LJT-CROWN</x:v>
      </x:c>
      <x:c r="E13" s="79" t="str">
        <x:v>固定假牙</x:v>
      </x:c>
      <x:c r="F13" s="79" t="str">
        <x:v>一般</x:v>
      </x:c>
      <x:c r="G13" s="79" t="str">
        <x:v>初步可獨立</x:v>
      </x:c>
      <x:c r="H13" s="79" t="str">
        <x:v>待確認共通技能門檻</x:v>
      </x:c>
      <x:c r="I13" s="219" t="str">
        <x:f>IF($G13&lt;&gt;"初步可獨立","不建議",IF($H13="初步可獨立","完整支援者","技術備援者"))</x:f>
        <x:v>技術備援者</x:v>
      </x:c>
      <x:c r="J13" s="220" t="str">
        <x:v>待核定</x:v>
      </x:c>
      <x:c r="K13" s="221"/>
      <x:c r="L13" s="220"/>
      <x:c r="M13" s="220"/>
      <x:c r="N13" s="219" t="str">
        <x:f>IF($J13="暫停","資格暫停",IF($J13="不核定","不核定",IF($J13="核定完整支援者",IF($I13&lt;&gt;"完整支援者","核定條件未達",IF(OR($K13="",$L13=""),"核定資料未完整","完整支援者")),IF($J13="核定技術備援者",IF(AND($I13&lt;&gt;"完整支援者",$I13&lt;&gt;"技術備援者"),"核定條件未達",IF(OR($K13="",$L13=""),"核定資料未完整","技術備援者")),"待主管核定"))))</x:f>
        <x:v>待主管核定</x:v>
      </x:c>
      <x:c r="O13" s="219" t="n">
        <x:f>IF($N13="完整支援者",2,IF($N13="技術備援者",1,0))</x:f>
        <x:v>0</x:v>
      </x:c>
      <x:c r="P13" s="219" t="str">
        <x:f>IF($N13="完整支援者","是","否")</x:f>
        <x:v>否</x:v>
      </x:c>
    </x:row>
    <x:row r="14">
      <x:c r="A14" s="79" t="str">
        <x:v>SUP|1001|LJT-RPD</x:v>
      </x:c>
      <x:c r="B14" s="79" t="str">
        <x:v>1001</x:v>
      </x:c>
      <x:c r="C14" s="79" t="str"/>
      <x:c r="D14" s="79" t="str">
        <x:v>LJT-RPD</x:v>
      </x:c>
      <x:c r="E14" s="79" t="str">
        <x:v>RPD</x:v>
      </x:c>
      <x:c r="F14" s="79" t="str">
        <x:v>一般</x:v>
      </x:c>
      <x:c r="G14" s="79" t="str">
        <x:v>初步可獨立</x:v>
      </x:c>
      <x:c r="H14" s="79" t="str">
        <x:v>待確認共通技能門檻</x:v>
      </x:c>
      <x:c r="I14" s="219" t="str">
        <x:f>IF($G14&lt;&gt;"初步可獨立","不建議",IF($H14="初步可獨立","完整支援者","技術備援者"))</x:f>
        <x:v>技術備援者</x:v>
      </x:c>
      <x:c r="J14" s="220" t="str">
        <x:v>待核定</x:v>
      </x:c>
      <x:c r="K14" s="221"/>
      <x:c r="L14" s="220"/>
      <x:c r="M14" s="220"/>
      <x:c r="N14" s="219" t="str">
        <x:f>IF($J14="暫停","資格暫停",IF($J14="不核定","不核定",IF($J14="核定完整支援者",IF($I14&lt;&gt;"完整支援者","核定條件未達",IF(OR($K14="",$L14=""),"核定資料未完整","完整支援者")),IF($J14="核定技術備援者",IF(AND($I14&lt;&gt;"完整支援者",$I14&lt;&gt;"技術備援者"),"核定條件未達",IF(OR($K14="",$L14=""),"核定資料未完整","技術備援者")),"待主管核定"))))</x:f>
        <x:v>待主管核定</x:v>
      </x:c>
      <x:c r="O14" s="219" t="n">
        <x:f>IF($N14="完整支援者",2,IF($N14="技術備援者",1,0))</x:f>
        <x:v>0</x:v>
      </x:c>
      <x:c r="P14" s="219" t="str">
        <x:f>IF($N14="完整支援者","是","否")</x:f>
        <x:v>否</x:v>
      </x:c>
    </x:row>
    <x:row r="15">
      <x:c r="A15" s="79" t="str">
        <x:v>SUP|1001|LJT-RPD-FINAL</x:v>
      </x:c>
      <x:c r="B15" s="79" t="str">
        <x:v>1001</x:v>
      </x:c>
      <x:c r="C15" s="79" t="str"/>
      <x:c r="D15" s="79" t="str">
        <x:v>LJT-RPD-FINAL</x:v>
      </x:c>
      <x:c r="E15" s="79" t="str">
        <x:v>RPD</x:v>
      </x:c>
      <x:c r="F15" s="79" t="str">
        <x:v>特殊階段</x:v>
      </x:c>
      <x:c r="G15" s="79" t="str">
        <x:v>初步可獨立</x:v>
      </x:c>
      <x:c r="H15" s="79" t="str">
        <x:v>待確認共通技能門檻</x:v>
      </x:c>
      <x:c r="I15" s="219" t="str">
        <x:f>IF($G15&lt;&gt;"初步可獨立","不建議",IF($H15="初步可獨立","完整支援者","技術備援者"))</x:f>
        <x:v>技術備援者</x:v>
      </x:c>
      <x:c r="J15" s="220" t="str">
        <x:v>待核定</x:v>
      </x:c>
      <x:c r="K15" s="221"/>
      <x:c r="L15" s="220"/>
      <x:c r="M15" s="220"/>
      <x:c r="N15" s="219" t="str">
        <x:f>IF($J15="暫停","資格暫停",IF($J15="不核定","不核定",IF($J15="核定完整支援者",IF($I15&lt;&gt;"完整支援者","核定條件未達",IF(OR($K15="",$L15=""),"核定資料未完整","完整支援者")),IF($J15="核定技術備援者",IF(AND($I15&lt;&gt;"完整支援者",$I15&lt;&gt;"技術備援者"),"核定條件未達",IF(OR($K15="",$L15=""),"核定資料未完整","技術備援者")),"待主管核定"))))</x:f>
        <x:v>待主管核定</x:v>
      </x:c>
      <x:c r="O15" s="219" t="n">
        <x:f>IF($N15="完整支援者",2,IF($N15="技術備援者",1,0))</x:f>
        <x:v>0</x:v>
      </x:c>
      <x:c r="P15" s="219" t="str">
        <x:f>IF($N15="完整支援者","是","否")</x:f>
        <x:v>否</x:v>
      </x:c>
    </x:row>
    <x:row r="16">
      <x:c r="A16" s="79" t="str">
        <x:v>SUP|1001|LJT-AIRPOLISH</x:v>
      </x:c>
      <x:c r="B16" s="79" t="str">
        <x:v>1001</x:v>
      </x:c>
      <x:c r="C16" s="79" t="str"/>
      <x:c r="D16" s="79" t="str">
        <x:v>LJT-AIRPOLISH</x:v>
      </x:c>
      <x:c r="E16" s="79" t="str">
        <x:v>噴砂美白</x:v>
      </x:c>
      <x:c r="F16" s="79" t="str">
        <x:v>一般</x:v>
      </x:c>
      <x:c r="G16" s="79" t="str">
        <x:v>初步可獨立</x:v>
      </x:c>
      <x:c r="H16" s="79" t="str">
        <x:v>待確認共通技能門檻</x:v>
      </x:c>
      <x:c r="I16" s="219" t="str">
        <x:f>IF($G16&lt;&gt;"初步可獨立","不建議",IF($H16="初步可獨立","完整支援者","技術備援者"))</x:f>
        <x:v>技術備援者</x:v>
      </x:c>
      <x:c r="J16" s="220" t="str">
        <x:v>待核定</x:v>
      </x:c>
      <x:c r="K16" s="221"/>
      <x:c r="L16" s="220"/>
      <x:c r="M16" s="220"/>
      <x:c r="N16" s="219" t="str">
        <x:f>IF($J16="暫停","資格暫停",IF($J16="不核定","不核定",IF($J16="核定完整支援者",IF($I16&lt;&gt;"完整支援者","核定條件未達",IF(OR($K16="",$L16=""),"核定資料未完整","完整支援者")),IF($J16="核定技術備援者",IF(AND($I16&lt;&gt;"完整支援者",$I16&lt;&gt;"技術備援者"),"核定條件未達",IF(OR($K16="",$L16=""),"核定資料未完整","技術備援者")),"待主管核定"))))</x:f>
        <x:v>待主管核定</x:v>
      </x:c>
      <x:c r="O16" s="219" t="n">
        <x:f>IF($N16="完整支援者",2,IF($N16="技術備援者",1,0))</x:f>
        <x:v>0</x:v>
      </x:c>
      <x:c r="P16" s="219" t="str">
        <x:f>IF($N16="完整支援者","是","否")</x:f>
        <x:v>否</x:v>
      </x:c>
    </x:row>
    <x:row r="17">
      <x:c r="A17" s="79" t="str">
        <x:v>SUP|1001|LJT-PERIOSURG</x:v>
      </x:c>
      <x:c r="B17" s="79" t="str">
        <x:v>1001</x:v>
      </x:c>
      <x:c r="C17" s="79" t="str"/>
      <x:c r="D17" s="79" t="str">
        <x:v>LJT-PERIOSURG</x:v>
      </x:c>
      <x:c r="E17" s="79" t="str">
        <x:v>牙周手術</x:v>
      </x:c>
      <x:c r="F17" s="79" t="str">
        <x:v>高複雜度</x:v>
      </x:c>
      <x:c r="G17" s="79" t="str">
        <x:v>初步可獨立</x:v>
      </x:c>
      <x:c r="H17" s="79" t="str">
        <x:v>待確認共通技能門檻</x:v>
      </x:c>
      <x:c r="I17" s="219" t="str">
        <x:f>IF($G17&lt;&gt;"初步可獨立","不建議",IF($H17="初步可獨立","完整支援者","技術備援者"))</x:f>
        <x:v>技術備援者</x:v>
      </x:c>
      <x:c r="J17" s="220" t="str">
        <x:v>待核定</x:v>
      </x:c>
      <x:c r="K17" s="221"/>
      <x:c r="L17" s="220"/>
      <x:c r="M17" s="220"/>
      <x:c r="N17" s="219" t="str">
        <x:f>IF($J17="暫停","資格暫停",IF($J17="不核定","不核定",IF($J17="核定完整支援者",IF($I17&lt;&gt;"完整支援者","核定條件未達",IF(OR($K17="",$L17=""),"核定資料未完整","完整支援者")),IF($J17="核定技術備援者",IF(AND($I17&lt;&gt;"完整支援者",$I17&lt;&gt;"技術備援者"),"核定條件未達",IF(OR($K17="",$L17=""),"核定資料未完整","技術備援者")),"待主管核定"))))</x:f>
        <x:v>待主管核定</x:v>
      </x:c>
      <x:c r="O17" s="219" t="n">
        <x:f>IF($N17="完整支援者",2,IF($N17="技術備援者",1,0))</x:f>
        <x:v>0</x:v>
      </x:c>
      <x:c r="P17" s="219" t="str">
        <x:f>IF($N17="完整支援者","是","否")</x:f>
        <x:v>否</x:v>
      </x:c>
    </x:row>
    <x:row r="18">
      <x:c r="A18" s="79" t="str">
        <x:v>SUP|1001|LJT-MICROENDO</x:v>
      </x:c>
      <x:c r="B18" s="79" t="str">
        <x:v>1001</x:v>
      </x:c>
      <x:c r="C18" s="79" t="str"/>
      <x:c r="D18" s="79" t="str">
        <x:v>LJT-MICROENDO</x:v>
      </x:c>
      <x:c r="E18" s="79" t="str">
        <x:v>顯微根管</x:v>
      </x:c>
      <x:c r="F18" s="79" t="str">
        <x:v>高複雜度</x:v>
      </x:c>
      <x:c r="G18" s="79" t="str">
        <x:v>初步可獨立</x:v>
      </x:c>
      <x:c r="H18" s="79" t="str">
        <x:v>待確認共通技能門檻</x:v>
      </x:c>
      <x:c r="I18" s="219" t="str">
        <x:f>IF($G18&lt;&gt;"初步可獨立","不建議",IF($H18="初步可獨立","完整支援者","技術備援者"))</x:f>
        <x:v>技術備援者</x:v>
      </x:c>
      <x:c r="J18" s="220" t="str">
        <x:v>待核定</x:v>
      </x:c>
      <x:c r="K18" s="221"/>
      <x:c r="L18" s="220"/>
      <x:c r="M18" s="220"/>
      <x:c r="N18" s="219" t="str">
        <x:f>IF($J18="暫停","資格暫停",IF($J18="不核定","不核定",IF($J18="核定完整支援者",IF($I18&lt;&gt;"完整支援者","核定條件未達",IF(OR($K18="",$L18=""),"核定資料未完整","完整支援者")),IF($J18="核定技術備援者",IF(AND($I18&lt;&gt;"完整支援者",$I18&lt;&gt;"技術備援者"),"核定條件未達",IF(OR($K18="",$L18=""),"核定資料未完整","技術備援者")),"待主管核定"))))</x:f>
        <x:v>待主管核定</x:v>
      </x:c>
      <x:c r="O18" s="219" t="n">
        <x:f>IF($N18="完整支援者",2,IF($N18="技術備援者",1,0))</x:f>
        <x:v>0</x:v>
      </x:c>
      <x:c r="P18" s="219" t="str">
        <x:f>IF($N18="完整支援者","是","否")</x:f>
        <x:v>否</x:v>
      </x:c>
    </x:row>
    <x:row r="19">
      <x:c r="A19" s="79" t="str">
        <x:v>SUP|1001|LJT-IMPLANT</x:v>
      </x:c>
      <x:c r="B19" s="79" t="str">
        <x:v>1001</x:v>
      </x:c>
      <x:c r="C19" s="79" t="str"/>
      <x:c r="D19" s="79" t="str">
        <x:v>LJT-IMPLANT</x:v>
      </x:c>
      <x:c r="E19" s="79" t="str">
        <x:v>植牙</x:v>
      </x:c>
      <x:c r="F19" s="79" t="str">
        <x:v>高複雜度</x:v>
      </x:c>
      <x:c r="G19" s="79" t="str">
        <x:v>初步可獨立</x:v>
      </x:c>
      <x:c r="H19" s="79" t="str">
        <x:v>待確認共通技能門檻</x:v>
      </x:c>
      <x:c r="I19" s="219" t="str">
        <x:f>IF($G19&lt;&gt;"初步可獨立","不建議",IF($H19="初步可獨立","完整支援者","技術備援者"))</x:f>
        <x:v>技術備援者</x:v>
      </x:c>
      <x:c r="J19" s="220" t="str">
        <x:v>待核定</x:v>
      </x:c>
      <x:c r="K19" s="221"/>
      <x:c r="L19" s="220"/>
      <x:c r="M19" s="220"/>
      <x:c r="N19" s="219" t="str">
        <x:f>IF($J19="暫停","資格暫停",IF($J19="不核定","不核定",IF($J19="核定完整支援者",IF($I19&lt;&gt;"完整支援者","核定條件未達",IF(OR($K19="",$L19=""),"核定資料未完整","完整支援者")),IF($J19="核定技術備援者",IF(AND($I19&lt;&gt;"完整支援者",$I19&lt;&gt;"技術備援者"),"核定條件未達",IF(OR($K19="",$L19=""),"核定資料未完整","技術備援者")),"待主管核定"))))</x:f>
        <x:v>待主管核定</x:v>
      </x:c>
      <x:c r="O19" s="219" t="n">
        <x:f>IF($N19="完整支援者",2,IF($N19="技術備援者",1,0))</x:f>
        <x:v>0</x:v>
      </x:c>
      <x:c r="P19" s="219" t="str">
        <x:f>IF($N19="完整支援者","是","否")</x:f>
        <x:v>否</x:v>
      </x:c>
    </x:row>
    <x:row r="20">
      <x:c r="A20" s="79" t="str">
        <x:v>SUP|1004|LJT-SCALING</x:v>
      </x:c>
      <x:c r="B20" s="79" t="str">
        <x:v>1004</x:v>
      </x:c>
      <x:c r="C20" s="79" t="str"/>
      <x:c r="D20" s="79" t="str">
        <x:v>LJT-SCALING</x:v>
      </x:c>
      <x:c r="E20" s="79" t="str">
        <x:v>洗牙</x:v>
      </x:c>
      <x:c r="F20" s="79" t="str">
        <x:v>一般</x:v>
      </x:c>
      <x:c r="G20" s="79" t="str">
        <x:v>初步可獨立</x:v>
      </x:c>
      <x:c r="H20" s="79" t="str">
        <x:v>待確認共通技能門檻</x:v>
      </x:c>
      <x:c r="I20" s="219" t="str">
        <x:f>IF($G20&lt;&gt;"初步可獨立","不建議",IF($H20="初步可獨立","完整支援者","技術備援者"))</x:f>
        <x:v>技術備援者</x:v>
      </x:c>
      <x:c r="J20" s="220" t="str">
        <x:v>待核定</x:v>
      </x:c>
      <x:c r="K20" s="221"/>
      <x:c r="L20" s="220"/>
      <x:c r="M20" s="220"/>
      <x:c r="N20" s="219" t="str">
        <x:f>IF($J20="暫停","資格暫停",IF($J20="不核定","不核定",IF($J20="核定完整支援者",IF($I20&lt;&gt;"完整支援者","核定條件未達",IF(OR($K20="",$L20=""),"核定資料未完整","完整支援者")),IF($J20="核定技術備援者",IF(AND($I20&lt;&gt;"完整支援者",$I20&lt;&gt;"技術備援者"),"核定條件未達",IF(OR($K20="",$L20=""),"核定資料未完整","技術備援者")),"待主管核定"))))</x:f>
        <x:v>待主管核定</x:v>
      </x:c>
      <x:c r="O20" s="219" t="n">
        <x:f>IF($N20="完整支援者",2,IF($N20="技術備援者",1,0))</x:f>
        <x:v>0</x:v>
      </x:c>
      <x:c r="P20" s="219" t="str">
        <x:f>IF($N20="完整支援者","是","否")</x:f>
        <x:v>否</x:v>
      </x:c>
    </x:row>
    <x:row r="21">
      <x:c r="A21" s="79" t="str">
        <x:v>SUP|1004|LJT-FILLING</x:v>
      </x:c>
      <x:c r="B21" s="79" t="str">
        <x:v>1004</x:v>
      </x:c>
      <x:c r="C21" s="79" t="str"/>
      <x:c r="D21" s="79" t="str">
        <x:v>LJT-FILLING</x:v>
      </x:c>
      <x:c r="E21" s="79" t="str">
        <x:v>補牙</x:v>
      </x:c>
      <x:c r="F21" s="79" t="str">
        <x:v>一般</x:v>
      </x:c>
      <x:c r="G21" s="79" t="str">
        <x:v>初步可獨立</x:v>
      </x:c>
      <x:c r="H21" s="79" t="str">
        <x:v>待確認共通技能門檻</x:v>
      </x:c>
      <x:c r="I21" s="219" t="str">
        <x:f>IF($G21&lt;&gt;"初步可獨立","不建議",IF($H21="初步可獨立","完整支援者","技術備援者"))</x:f>
        <x:v>技術備援者</x:v>
      </x:c>
      <x:c r="J21" s="220" t="str">
        <x:v>待核定</x:v>
      </x:c>
      <x:c r="K21" s="221"/>
      <x:c r="L21" s="220"/>
      <x:c r="M21" s="220"/>
      <x:c r="N21" s="219" t="str">
        <x:f>IF($J21="暫停","資格暫停",IF($J21="不核定","不核定",IF($J21="核定完整支援者",IF($I21&lt;&gt;"完整支援者","核定條件未達",IF(OR($K21="",$L21=""),"核定資料未完整","完整支援者")),IF($J21="核定技術備援者",IF(AND($I21&lt;&gt;"完整支援者",$I21&lt;&gt;"技術備援者"),"核定條件未達",IF(OR($K21="",$L21=""),"核定資料未完整","技術備援者")),"待主管核定"))))</x:f>
        <x:v>待主管核定</x:v>
      </x:c>
      <x:c r="O21" s="219" t="n">
        <x:f>IF($N21="完整支援者",2,IF($N21="技術備援者",1,0))</x:f>
        <x:v>0</x:v>
      </x:c>
      <x:c r="P21" s="219" t="str">
        <x:f>IF($N21="完整支援者","是","否")</x:f>
        <x:v>否</x:v>
      </x:c>
    </x:row>
    <x:row r="22">
      <x:c r="A22" s="79" t="str">
        <x:v>SUP|1004|LJT-PERIO</x:v>
      </x:c>
      <x:c r="B22" s="79" t="str">
        <x:v>1004</x:v>
      </x:c>
      <x:c r="C22" s="79" t="str"/>
      <x:c r="D22" s="79" t="str">
        <x:v>LJT-PERIO</x:v>
      </x:c>
      <x:c r="E22" s="79" t="str">
        <x:v>牙周統合</x:v>
      </x:c>
      <x:c r="F22" s="79" t="str">
        <x:v>一般</x:v>
      </x:c>
      <x:c r="G22" s="79" t="str">
        <x:v>初步可獨立</x:v>
      </x:c>
      <x:c r="H22" s="79" t="str">
        <x:v>待確認共通技能門檻</x:v>
      </x:c>
      <x:c r="I22" s="219" t="str">
        <x:f>IF($G22&lt;&gt;"初步可獨立","不建議",IF($H22="初步可獨立","完整支援者","技術備援者"))</x:f>
        <x:v>技術備援者</x:v>
      </x:c>
      <x:c r="J22" s="220" t="str">
        <x:v>待核定</x:v>
      </x:c>
      <x:c r="K22" s="221"/>
      <x:c r="L22" s="220"/>
      <x:c r="M22" s="220"/>
      <x:c r="N22" s="219" t="str">
        <x:f>IF($J22="暫停","資格暫停",IF($J22="不核定","不核定",IF($J22="核定完整支援者",IF($I22&lt;&gt;"完整支援者","核定條件未達",IF(OR($K22="",$L22=""),"核定資料未完整","完整支援者")),IF($J22="核定技術備援者",IF(AND($I22&lt;&gt;"完整支援者",$I22&lt;&gt;"技術備援者"),"核定條件未達",IF(OR($K22="",$L22=""),"核定資料未完整","技術備援者")),"待主管核定"))))</x:f>
        <x:v>待主管核定</x:v>
      </x:c>
      <x:c r="O22" s="219" t="n">
        <x:f>IF($N22="完整支援者",2,IF($N22="技術備援者",1,0))</x:f>
        <x:v>0</x:v>
      </x:c>
      <x:c r="P22" s="219" t="str">
        <x:f>IF($N22="完整支援者","是","否")</x:f>
        <x:v>否</x:v>
      </x:c>
    </x:row>
    <x:row r="23">
      <x:c r="A23" s="79" t="str">
        <x:v>SUP|1004|LJT-RCT</x:v>
      </x:c>
      <x:c r="B23" s="79" t="str">
        <x:v>1004</x:v>
      </x:c>
      <x:c r="C23" s="79" t="str"/>
      <x:c r="D23" s="79" t="str">
        <x:v>LJT-RCT</x:v>
      </x:c>
      <x:c r="E23" s="79" t="str">
        <x:v>一般根管治療</x:v>
      </x:c>
      <x:c r="F23" s="79" t="str">
        <x:v>一般</x:v>
      </x:c>
      <x:c r="G23" s="79" t="str">
        <x:v>初步可獨立</x:v>
      </x:c>
      <x:c r="H23" s="79" t="str">
        <x:v>待確認共通技能門檻</x:v>
      </x:c>
      <x:c r="I23" s="219" t="str">
        <x:f>IF($G23&lt;&gt;"初步可獨立","不建議",IF($H23="初步可獨立","完整支援者","技術備援者"))</x:f>
        <x:v>技術備援者</x:v>
      </x:c>
      <x:c r="J23" s="220" t="str">
        <x:v>待核定</x:v>
      </x:c>
      <x:c r="K23" s="221"/>
      <x:c r="L23" s="220"/>
      <x:c r="M23" s="220"/>
      <x:c r="N23" s="219" t="str">
        <x:f>IF($J23="暫停","資格暫停",IF($J23="不核定","不核定",IF($J23="核定完整支援者",IF($I23&lt;&gt;"完整支援者","核定條件未達",IF(OR($K23="",$L23=""),"核定資料未完整","完整支援者")),IF($J23="核定技術備援者",IF(AND($I23&lt;&gt;"完整支援者",$I23&lt;&gt;"技術備援者"),"核定條件未達",IF(OR($K23="",$L23=""),"核定資料未完整","技術備援者")),"待主管核定"))))</x:f>
        <x:v>待主管核定</x:v>
      </x:c>
      <x:c r="O23" s="219" t="n">
        <x:f>IF($N23="完整支援者",2,IF($N23="技術備援者",1,0))</x:f>
        <x:v>0</x:v>
      </x:c>
      <x:c r="P23" s="219" t="str">
        <x:f>IF($N23="完整支援者","是","否")</x:f>
        <x:v>否</x:v>
      </x:c>
    </x:row>
    <x:row r="24">
      <x:c r="A24" s="79" t="str">
        <x:v>SUP|1004|LJT-EXTRACTION</x:v>
      </x:c>
      <x:c r="B24" s="79" t="str">
        <x:v>1004</x:v>
      </x:c>
      <x:c r="C24" s="79" t="str"/>
      <x:c r="D24" s="79" t="str">
        <x:v>LJT-EXTRACTION</x:v>
      </x:c>
      <x:c r="E24" s="79" t="str">
        <x:v>拔牙</x:v>
      </x:c>
      <x:c r="F24" s="79" t="str">
        <x:v>一般</x:v>
      </x:c>
      <x:c r="G24" s="79" t="str">
        <x:v>初步可獨立</x:v>
      </x:c>
      <x:c r="H24" s="79" t="str">
        <x:v>待確認共通技能門檻</x:v>
      </x:c>
      <x:c r="I24" s="219" t="str">
        <x:f>IF($G24&lt;&gt;"初步可獨立","不建議",IF($H24="初步可獨立","完整支援者","技術備援者"))</x:f>
        <x:v>技術備援者</x:v>
      </x:c>
      <x:c r="J24" s="220" t="str">
        <x:v>待核定</x:v>
      </x:c>
      <x:c r="K24" s="221"/>
      <x:c r="L24" s="220"/>
      <x:c r="M24" s="220"/>
      <x:c r="N24" s="219" t="str">
        <x:f>IF($J24="暫停","資格暫停",IF($J24="不核定","不核定",IF($J24="核定完整支援者",IF($I24&lt;&gt;"完整支援者","核定條件未達",IF(OR($K24="",$L24=""),"核定資料未完整","完整支援者")),IF($J24="核定技術備援者",IF(AND($I24&lt;&gt;"完整支援者",$I24&lt;&gt;"技術備援者"),"核定條件未達",IF(OR($K24="",$L24=""),"核定資料未完整","技術備援者")),"待主管核定"))))</x:f>
        <x:v>待主管核定</x:v>
      </x:c>
      <x:c r="O24" s="219" t="n">
        <x:f>IF($N24="完整支援者",2,IF($N24="技術備援者",1,0))</x:f>
        <x:v>0</x:v>
      </x:c>
      <x:c r="P24" s="219" t="str">
        <x:f>IF($N24="完整支援者","是","否")</x:f>
        <x:v>否</x:v>
      </x:c>
    </x:row>
    <x:row r="25">
      <x:c r="A25" s="79" t="str">
        <x:v>SUP|1004|LJT-CROWNPOST</x:v>
      </x:c>
      <x:c r="B25" s="79" t="str">
        <x:v>1004</x:v>
      </x:c>
      <x:c r="C25" s="79" t="str"/>
      <x:c r="D25" s="79" t="str">
        <x:v>LJT-CROWNPOST</x:v>
      </x:c>
      <x:c r="E25" s="79" t="str">
        <x:v>拆 crown/post</x:v>
      </x:c>
      <x:c r="F25" s="79" t="str">
        <x:v>一般</x:v>
      </x:c>
      <x:c r="G25" s="79" t="str">
        <x:v>初步可獨立</x:v>
      </x:c>
      <x:c r="H25" s="79" t="str">
        <x:v>待確認共通技能門檻</x:v>
      </x:c>
      <x:c r="I25" s="219" t="str">
        <x:f>IF($G25&lt;&gt;"初步可獨立","不建議",IF($H25="初步可獨立","完整支援者","技術備援者"))</x:f>
        <x:v>技術備援者</x:v>
      </x:c>
      <x:c r="J25" s="220" t="str">
        <x:v>待核定</x:v>
      </x:c>
      <x:c r="K25" s="221"/>
      <x:c r="L25" s="220"/>
      <x:c r="M25" s="220"/>
      <x:c r="N25" s="219" t="str">
        <x:f>IF($J25="暫停","資格暫停",IF($J25="不核定","不核定",IF($J25="核定完整支援者",IF($I25&lt;&gt;"完整支援者","核定條件未達",IF(OR($K25="",$L25=""),"核定資料未完整","完整支援者")),IF($J25="核定技術備援者",IF(AND($I25&lt;&gt;"完整支援者",$I25&lt;&gt;"技術備援者"),"核定條件未達",IF(OR($K25="",$L25=""),"核定資料未完整","技術備援者")),"待主管核定"))))</x:f>
        <x:v>待主管核定</x:v>
      </x:c>
      <x:c r="O25" s="219" t="n">
        <x:f>IF($N25="完整支援者",2,IF($N25="技術備援者",1,0))</x:f>
        <x:v>0</x:v>
      </x:c>
      <x:c r="P25" s="219" t="str">
        <x:f>IF($N25="完整支援者","是","否")</x:f>
        <x:v>否</x:v>
      </x:c>
    </x:row>
    <x:row r="26">
      <x:c r="A26" s="79" t="str">
        <x:v>SUP|1004|LJT-CROWN</x:v>
      </x:c>
      <x:c r="B26" s="79" t="str">
        <x:v>1004</x:v>
      </x:c>
      <x:c r="C26" s="79" t="str"/>
      <x:c r="D26" s="79" t="str">
        <x:v>LJT-CROWN</x:v>
      </x:c>
      <x:c r="E26" s="79" t="str">
        <x:v>固定假牙</x:v>
      </x:c>
      <x:c r="F26" s="79" t="str">
        <x:v>一般</x:v>
      </x:c>
      <x:c r="G26" s="79" t="str">
        <x:v>初步可獨立</x:v>
      </x:c>
      <x:c r="H26" s="79" t="str">
        <x:v>待確認共通技能門檻</x:v>
      </x:c>
      <x:c r="I26" s="219" t="str">
        <x:f>IF($G26&lt;&gt;"初步可獨立","不建議",IF($H26="初步可獨立","完整支援者","技術備援者"))</x:f>
        <x:v>技術備援者</x:v>
      </x:c>
      <x:c r="J26" s="220" t="str">
        <x:v>待核定</x:v>
      </x:c>
      <x:c r="K26" s="221"/>
      <x:c r="L26" s="220"/>
      <x:c r="M26" s="220"/>
      <x:c r="N26" s="219" t="str">
        <x:f>IF($J26="暫停","資格暫停",IF($J26="不核定","不核定",IF($J26="核定完整支援者",IF($I26&lt;&gt;"完整支援者","核定條件未達",IF(OR($K26="",$L26=""),"核定資料未完整","完整支援者")),IF($J26="核定技術備援者",IF(AND($I26&lt;&gt;"完整支援者",$I26&lt;&gt;"技術備援者"),"核定條件未達",IF(OR($K26="",$L26=""),"核定資料未完整","技術備援者")),"待主管核定"))))</x:f>
        <x:v>待主管核定</x:v>
      </x:c>
      <x:c r="O26" s="219" t="n">
        <x:f>IF($N26="完整支援者",2,IF($N26="技術備援者",1,0))</x:f>
        <x:v>0</x:v>
      </x:c>
      <x:c r="P26" s="219" t="str">
        <x:f>IF($N26="完整支援者","是","否")</x:f>
        <x:v>否</x:v>
      </x:c>
    </x:row>
    <x:row r="27">
      <x:c r="A27" s="79" t="str">
        <x:v>SUP|1004|LJT-RPD</x:v>
      </x:c>
      <x:c r="B27" s="79" t="str">
        <x:v>1004</x:v>
      </x:c>
      <x:c r="C27" s="79" t="str"/>
      <x:c r="D27" s="79" t="str">
        <x:v>LJT-RPD</x:v>
      </x:c>
      <x:c r="E27" s="79" t="str">
        <x:v>RPD</x:v>
      </x:c>
      <x:c r="F27" s="79" t="str">
        <x:v>一般</x:v>
      </x:c>
      <x:c r="G27" s="79" t="str">
        <x:v>初步可獨立</x:v>
      </x:c>
      <x:c r="H27" s="79" t="str">
        <x:v>待確認共通技能門檻</x:v>
      </x:c>
      <x:c r="I27" s="219" t="str">
        <x:f>IF($G27&lt;&gt;"初步可獨立","不建議",IF($H27="初步可獨立","完整支援者","技術備援者"))</x:f>
        <x:v>技術備援者</x:v>
      </x:c>
      <x:c r="J27" s="220" t="str">
        <x:v>待核定</x:v>
      </x:c>
      <x:c r="K27" s="221"/>
      <x:c r="L27" s="220"/>
      <x:c r="M27" s="220"/>
      <x:c r="N27" s="219" t="str">
        <x:f>IF($J27="暫停","資格暫停",IF($J27="不核定","不核定",IF($J27="核定完整支援者",IF($I27&lt;&gt;"完整支援者","核定條件未達",IF(OR($K27="",$L27=""),"核定資料未完整","完整支援者")),IF($J27="核定技術備援者",IF(AND($I27&lt;&gt;"完整支援者",$I27&lt;&gt;"技術備援者"),"核定條件未達",IF(OR($K27="",$L27=""),"核定資料未完整","技術備援者")),"待主管核定"))))</x:f>
        <x:v>待主管核定</x:v>
      </x:c>
      <x:c r="O27" s="219" t="n">
        <x:f>IF($N27="完整支援者",2,IF($N27="技術備援者",1,0))</x:f>
        <x:v>0</x:v>
      </x:c>
      <x:c r="P27" s="219" t="str">
        <x:f>IF($N27="完整支援者","是","否")</x:f>
        <x:v>否</x:v>
      </x:c>
    </x:row>
    <x:row r="28">
      <x:c r="A28" s="79" t="str">
        <x:v>SUP|1004|LJT-RPD-FINAL</x:v>
      </x:c>
      <x:c r="B28" s="79" t="str">
        <x:v>1004</x:v>
      </x:c>
      <x:c r="C28" s="79" t="str"/>
      <x:c r="D28" s="79" t="str">
        <x:v>LJT-RPD-FINAL</x:v>
      </x:c>
      <x:c r="E28" s="79" t="str">
        <x:v>RPD</x:v>
      </x:c>
      <x:c r="F28" s="79" t="str">
        <x:v>特殊階段</x:v>
      </x:c>
      <x:c r="G28" s="79" t="str">
        <x:v>初步可獨立</x:v>
      </x:c>
      <x:c r="H28" s="79" t="str">
        <x:v>待確認共通技能門檻</x:v>
      </x:c>
      <x:c r="I28" s="219" t="str">
        <x:f>IF($G28&lt;&gt;"初步可獨立","不建議",IF($H28="初步可獨立","完整支援者","技術備援者"))</x:f>
        <x:v>技術備援者</x:v>
      </x:c>
      <x:c r="J28" s="220" t="str">
        <x:v>待核定</x:v>
      </x:c>
      <x:c r="K28" s="221"/>
      <x:c r="L28" s="220"/>
      <x:c r="M28" s="220"/>
      <x:c r="N28" s="219" t="str">
        <x:f>IF($J28="暫停","資格暫停",IF($J28="不核定","不核定",IF($J28="核定完整支援者",IF($I28&lt;&gt;"完整支援者","核定條件未達",IF(OR($K28="",$L28=""),"核定資料未完整","完整支援者")),IF($J28="核定技術備援者",IF(AND($I28&lt;&gt;"完整支援者",$I28&lt;&gt;"技術備援者"),"核定條件未達",IF(OR($K28="",$L28=""),"核定資料未完整","技術備援者")),"待主管核定"))))</x:f>
        <x:v>待主管核定</x:v>
      </x:c>
      <x:c r="O28" s="219" t="n">
        <x:f>IF($N28="完整支援者",2,IF($N28="技術備援者",1,0))</x:f>
        <x:v>0</x:v>
      </x:c>
      <x:c r="P28" s="219" t="str">
        <x:f>IF($N28="完整支援者","是","否")</x:f>
        <x:v>否</x:v>
      </x:c>
    </x:row>
    <x:row r="29">
      <x:c r="A29" s="79" t="str">
        <x:v>SUP|1004|LJT-AIRPOLISH</x:v>
      </x:c>
      <x:c r="B29" s="79" t="str">
        <x:v>1004</x:v>
      </x:c>
      <x:c r="C29" s="79" t="str"/>
      <x:c r="D29" s="79" t="str">
        <x:v>LJT-AIRPOLISH</x:v>
      </x:c>
      <x:c r="E29" s="79" t="str">
        <x:v>噴砂美白</x:v>
      </x:c>
      <x:c r="F29" s="79" t="str">
        <x:v>一般</x:v>
      </x:c>
      <x:c r="G29" s="79" t="str">
        <x:v>初步可獨立</x:v>
      </x:c>
      <x:c r="H29" s="79" t="str">
        <x:v>待確認共通技能門檻</x:v>
      </x:c>
      <x:c r="I29" s="219" t="str">
        <x:f>IF($G29&lt;&gt;"初步可獨立","不建議",IF($H29="初步可獨立","完整支援者","技術備援者"))</x:f>
        <x:v>技術備援者</x:v>
      </x:c>
      <x:c r="J29" s="220" t="str">
        <x:v>待核定</x:v>
      </x:c>
      <x:c r="K29" s="221"/>
      <x:c r="L29" s="220"/>
      <x:c r="M29" s="220"/>
      <x:c r="N29" s="219" t="str">
        <x:f>IF($J29="暫停","資格暫停",IF($J29="不核定","不核定",IF($J29="核定完整支援者",IF($I29&lt;&gt;"完整支援者","核定條件未達",IF(OR($K29="",$L29=""),"核定資料未完整","完整支援者")),IF($J29="核定技術備援者",IF(AND($I29&lt;&gt;"完整支援者",$I29&lt;&gt;"技術備援者"),"核定條件未達",IF(OR($K29="",$L29=""),"核定資料未完整","技術備援者")),"待主管核定"))))</x:f>
        <x:v>待主管核定</x:v>
      </x:c>
      <x:c r="O29" s="219" t="n">
        <x:f>IF($N29="完整支援者",2,IF($N29="技術備援者",1,0))</x:f>
        <x:v>0</x:v>
      </x:c>
      <x:c r="P29" s="219" t="str">
        <x:f>IF($N29="完整支援者","是","否")</x:f>
        <x:v>否</x:v>
      </x:c>
    </x:row>
    <x:row r="30">
      <x:c r="A30" s="79" t="str">
        <x:v>SUP|1004|LJT-PERIOSURG</x:v>
      </x:c>
      <x:c r="B30" s="79" t="str">
        <x:v>1004</x:v>
      </x:c>
      <x:c r="C30" s="79" t="str"/>
      <x:c r="D30" s="79" t="str">
        <x:v>LJT-PERIOSURG</x:v>
      </x:c>
      <x:c r="E30" s="79" t="str">
        <x:v>牙周手術</x:v>
      </x:c>
      <x:c r="F30" s="79" t="str">
        <x:v>高複雜度</x:v>
      </x:c>
      <x:c r="G30" s="79" t="str">
        <x:v>初步可獨立</x:v>
      </x:c>
      <x:c r="H30" s="79" t="str">
        <x:v>待確認共通技能門檻</x:v>
      </x:c>
      <x:c r="I30" s="219" t="str">
        <x:f>IF($G30&lt;&gt;"初步可獨立","不建議",IF($H30="初步可獨立","完整支援者","技術備援者"))</x:f>
        <x:v>技術備援者</x:v>
      </x:c>
      <x:c r="J30" s="220" t="str">
        <x:v>待核定</x:v>
      </x:c>
      <x:c r="K30" s="221"/>
      <x:c r="L30" s="220"/>
      <x:c r="M30" s="220"/>
      <x:c r="N30" s="219" t="str">
        <x:f>IF($J30="暫停","資格暫停",IF($J30="不核定","不核定",IF($J30="核定完整支援者",IF($I30&lt;&gt;"完整支援者","核定條件未達",IF(OR($K30="",$L30=""),"核定資料未完整","完整支援者")),IF($J30="核定技術備援者",IF(AND($I30&lt;&gt;"完整支援者",$I30&lt;&gt;"技術備援者"),"核定條件未達",IF(OR($K30="",$L30=""),"核定資料未完整","技術備援者")),"待主管核定"))))</x:f>
        <x:v>待主管核定</x:v>
      </x:c>
      <x:c r="O30" s="219" t="n">
        <x:f>IF($N30="完整支援者",2,IF($N30="技術備援者",1,0))</x:f>
        <x:v>0</x:v>
      </x:c>
      <x:c r="P30" s="219" t="str">
        <x:f>IF($N30="完整支援者","是","否")</x:f>
        <x:v>否</x:v>
      </x:c>
    </x:row>
    <x:row r="31">
      <x:c r="A31" s="79" t="str">
        <x:v>SUP|1004|LJT-MICROENDO</x:v>
      </x:c>
      <x:c r="B31" s="79" t="str">
        <x:v>1004</x:v>
      </x:c>
      <x:c r="C31" s="79" t="str"/>
      <x:c r="D31" s="79" t="str">
        <x:v>LJT-MICROENDO</x:v>
      </x:c>
      <x:c r="E31" s="79" t="str">
        <x:v>顯微根管</x:v>
      </x:c>
      <x:c r="F31" s="79" t="str">
        <x:v>高複雜度</x:v>
      </x:c>
      <x:c r="G31" s="79" t="str">
        <x:v>初步可獨立</x:v>
      </x:c>
      <x:c r="H31" s="79" t="str">
        <x:v>待確認共通技能門檻</x:v>
      </x:c>
      <x:c r="I31" s="219" t="str">
        <x:f>IF($G31&lt;&gt;"初步可獨立","不建議",IF($H31="初步可獨立","完整支援者","技術備援者"))</x:f>
        <x:v>技術備援者</x:v>
      </x:c>
      <x:c r="J31" s="220" t="str">
        <x:v>待核定</x:v>
      </x:c>
      <x:c r="K31" s="221"/>
      <x:c r="L31" s="220"/>
      <x:c r="M31" s="220"/>
      <x:c r="N31" s="219" t="str">
        <x:f>IF($J31="暫停","資格暫停",IF($J31="不核定","不核定",IF($J31="核定完整支援者",IF($I31&lt;&gt;"完整支援者","核定條件未達",IF(OR($K31="",$L31=""),"核定資料未完整","完整支援者")),IF($J31="核定技術備援者",IF(AND($I31&lt;&gt;"完整支援者",$I31&lt;&gt;"技術備援者"),"核定條件未達",IF(OR($K31="",$L31=""),"核定資料未完整","技術備援者")),"待主管核定"))))</x:f>
        <x:v>待主管核定</x:v>
      </x:c>
      <x:c r="O31" s="219" t="n">
        <x:f>IF($N31="完整支援者",2,IF($N31="技術備援者",1,0))</x:f>
        <x:v>0</x:v>
      </x:c>
      <x:c r="P31" s="219" t="str">
        <x:f>IF($N31="完整支援者","是","否")</x:f>
        <x:v>否</x:v>
      </x:c>
    </x:row>
    <x:row r="32">
      <x:c r="A32" s="79" t="str">
        <x:v>SUP|1004|LJT-IMPLANT</x:v>
      </x:c>
      <x:c r="B32" s="79" t="str">
        <x:v>1004</x:v>
      </x:c>
      <x:c r="C32" s="79" t="str"/>
      <x:c r="D32" s="79" t="str">
        <x:v>LJT-IMPLANT</x:v>
      </x:c>
      <x:c r="E32" s="79" t="str">
        <x:v>植牙</x:v>
      </x:c>
      <x:c r="F32" s="79" t="str">
        <x:v>高複雜度</x:v>
      </x:c>
      <x:c r="G32" s="79" t="str">
        <x:v>初步可獨立</x:v>
      </x:c>
      <x:c r="H32" s="79" t="str">
        <x:v>待確認共通技能門檻</x:v>
      </x:c>
      <x:c r="I32" s="219" t="str">
        <x:f>IF($G32&lt;&gt;"初步可獨立","不建議",IF($H32="初步可獨立","完整支援者","技術備援者"))</x:f>
        <x:v>技術備援者</x:v>
      </x:c>
      <x:c r="J32" s="220" t="str">
        <x:v>待核定</x:v>
      </x:c>
      <x:c r="K32" s="221"/>
      <x:c r="L32" s="220"/>
      <x:c r="M32" s="220"/>
      <x:c r="N32" s="219" t="str">
        <x:f>IF($J32="暫停","資格暫停",IF($J32="不核定","不核定",IF($J32="核定完整支援者",IF($I32&lt;&gt;"完整支援者","核定條件未達",IF(OR($K32="",$L32=""),"核定資料未完整","完整支援者")),IF($J32="核定技術備援者",IF(AND($I32&lt;&gt;"完整支援者",$I32&lt;&gt;"技術備援者"),"核定條件未達",IF(OR($K32="",$L32=""),"核定資料未完整","技術備援者")),"待主管核定"))))</x:f>
        <x:v>待主管核定</x:v>
      </x:c>
      <x:c r="O32" s="219" t="n">
        <x:f>IF($N32="完整支援者",2,IF($N32="技術備援者",1,0))</x:f>
        <x:v>0</x:v>
      </x:c>
      <x:c r="P32" s="219" t="str">
        <x:f>IF($N32="完整支援者","是","否")</x:f>
        <x:v>否</x:v>
      </x:c>
    </x:row>
    <x:row r="33">
      <x:c r="A33" s="79" t="str">
        <x:v>SUP|1013|LJT-SCALING</x:v>
      </x:c>
      <x:c r="B33" s="79" t="str">
        <x:v>1013</x:v>
      </x:c>
      <x:c r="C33" s="79" t="str"/>
      <x:c r="D33" s="79" t="str">
        <x:v>LJT-SCALING</x:v>
      </x:c>
      <x:c r="E33" s="79" t="str">
        <x:v>洗牙</x:v>
      </x:c>
      <x:c r="F33" s="79" t="str">
        <x:v>一般</x:v>
      </x:c>
      <x:c r="G33" s="79" t="str">
        <x:v>初步可獨立</x:v>
      </x:c>
      <x:c r="H33" s="79" t="str">
        <x:v>待確認共通技能門檻</x:v>
      </x:c>
      <x:c r="I33" s="219" t="str">
        <x:f>IF($G33&lt;&gt;"初步可獨立","不建議",IF($H33="初步可獨立","完整支援者","技術備援者"))</x:f>
        <x:v>技術備援者</x:v>
      </x:c>
      <x:c r="J33" s="220" t="str">
        <x:v>待核定</x:v>
      </x:c>
      <x:c r="K33" s="221"/>
      <x:c r="L33" s="220"/>
      <x:c r="M33" s="220"/>
      <x:c r="N33" s="219" t="str">
        <x:f>IF($J33="暫停","資格暫停",IF($J33="不核定","不核定",IF($J33="核定完整支援者",IF($I33&lt;&gt;"完整支援者","核定條件未達",IF(OR($K33="",$L33=""),"核定資料未完整","完整支援者")),IF($J33="核定技術備援者",IF(AND($I33&lt;&gt;"完整支援者",$I33&lt;&gt;"技術備援者"),"核定條件未達",IF(OR($K33="",$L33=""),"核定資料未完整","技術備援者")),"待主管核定"))))</x:f>
        <x:v>待主管核定</x:v>
      </x:c>
      <x:c r="O33" s="219" t="n">
        <x:f>IF($N33="完整支援者",2,IF($N33="技術備援者",1,0))</x:f>
        <x:v>0</x:v>
      </x:c>
      <x:c r="P33" s="219" t="str">
        <x:f>IF($N33="完整支援者","是","否")</x:f>
        <x:v>否</x:v>
      </x:c>
    </x:row>
    <x:row r="34">
      <x:c r="A34" s="79" t="str">
        <x:v>SUP|1013|LJT-FILLING</x:v>
      </x:c>
      <x:c r="B34" s="79" t="str">
        <x:v>1013</x:v>
      </x:c>
      <x:c r="C34" s="79" t="str"/>
      <x:c r="D34" s="79" t="str">
        <x:v>LJT-FILLING</x:v>
      </x:c>
      <x:c r="E34" s="79" t="str">
        <x:v>補牙</x:v>
      </x:c>
      <x:c r="F34" s="79" t="str">
        <x:v>一般</x:v>
      </x:c>
      <x:c r="G34" s="79" t="str">
        <x:v>初步可獨立</x:v>
      </x:c>
      <x:c r="H34" s="79" t="str">
        <x:v>待確認共通技能門檻</x:v>
      </x:c>
      <x:c r="I34" s="219" t="str">
        <x:f>IF($G34&lt;&gt;"初步可獨立","不建議",IF($H34="初步可獨立","完整支援者","技術備援者"))</x:f>
        <x:v>技術備援者</x:v>
      </x:c>
      <x:c r="J34" s="220" t="str">
        <x:v>待核定</x:v>
      </x:c>
      <x:c r="K34" s="221"/>
      <x:c r="L34" s="220"/>
      <x:c r="M34" s="220"/>
      <x:c r="N34" s="219" t="str">
        <x:f>IF($J34="暫停","資格暫停",IF($J34="不核定","不核定",IF($J34="核定完整支援者",IF($I34&lt;&gt;"完整支援者","核定條件未達",IF(OR($K34="",$L34=""),"核定資料未完整","完整支援者")),IF($J34="核定技術備援者",IF(AND($I34&lt;&gt;"完整支援者",$I34&lt;&gt;"技術備援者"),"核定條件未達",IF(OR($K34="",$L34=""),"核定資料未完整","技術備援者")),"待主管核定"))))</x:f>
        <x:v>待主管核定</x:v>
      </x:c>
      <x:c r="O34" s="219" t="n">
        <x:f>IF($N34="完整支援者",2,IF($N34="技術備援者",1,0))</x:f>
        <x:v>0</x:v>
      </x:c>
      <x:c r="P34" s="219" t="str">
        <x:f>IF($N34="完整支援者","是","否")</x:f>
        <x:v>否</x:v>
      </x:c>
    </x:row>
    <x:row r="35">
      <x:c r="A35" s="79" t="str">
        <x:v>SUP|1013|LJT-PERIO</x:v>
      </x:c>
      <x:c r="B35" s="79" t="str">
        <x:v>1013</x:v>
      </x:c>
      <x:c r="C35" s="79" t="str"/>
      <x:c r="D35" s="79" t="str">
        <x:v>LJT-PERIO</x:v>
      </x:c>
      <x:c r="E35" s="79" t="str">
        <x:v>牙周統合</x:v>
      </x:c>
      <x:c r="F35" s="79" t="str">
        <x:v>一般</x:v>
      </x:c>
      <x:c r="G35" s="79" t="str">
        <x:v>初步可獨立</x:v>
      </x:c>
      <x:c r="H35" s="79" t="str">
        <x:v>待確認共通技能門檻</x:v>
      </x:c>
      <x:c r="I35" s="219" t="str">
        <x:f>IF($G35&lt;&gt;"初步可獨立","不建議",IF($H35="初步可獨立","完整支援者","技術備援者"))</x:f>
        <x:v>技術備援者</x:v>
      </x:c>
      <x:c r="J35" s="220" t="str">
        <x:v>待核定</x:v>
      </x:c>
      <x:c r="K35" s="221"/>
      <x:c r="L35" s="220"/>
      <x:c r="M35" s="220"/>
      <x:c r="N35" s="219" t="str">
        <x:f>IF($J35="暫停","資格暫停",IF($J35="不核定","不核定",IF($J35="核定完整支援者",IF($I35&lt;&gt;"完整支援者","核定條件未達",IF(OR($K35="",$L35=""),"核定資料未完整","完整支援者")),IF($J35="核定技術備援者",IF(AND($I35&lt;&gt;"完整支援者",$I35&lt;&gt;"技術備援者"),"核定條件未達",IF(OR($K35="",$L35=""),"核定資料未完整","技術備援者")),"待主管核定"))))</x:f>
        <x:v>待主管核定</x:v>
      </x:c>
      <x:c r="O35" s="219" t="n">
        <x:f>IF($N35="完整支援者",2,IF($N35="技術備援者",1,0))</x:f>
        <x:v>0</x:v>
      </x:c>
      <x:c r="P35" s="219" t="str">
        <x:f>IF($N35="完整支援者","是","否")</x:f>
        <x:v>否</x:v>
      </x:c>
    </x:row>
    <x:row r="36">
      <x:c r="A36" s="79" t="str">
        <x:v>SUP|1013|LJT-RCT</x:v>
      </x:c>
      <x:c r="B36" s="79" t="str">
        <x:v>1013</x:v>
      </x:c>
      <x:c r="C36" s="79" t="str"/>
      <x:c r="D36" s="79" t="str">
        <x:v>LJT-RCT</x:v>
      </x:c>
      <x:c r="E36" s="79" t="str">
        <x:v>一般根管治療</x:v>
      </x:c>
      <x:c r="F36" s="79" t="str">
        <x:v>一般</x:v>
      </x:c>
      <x:c r="G36" s="79" t="str">
        <x:v>初步可獨立</x:v>
      </x:c>
      <x:c r="H36" s="79" t="str">
        <x:v>待確認共通技能門檻</x:v>
      </x:c>
      <x:c r="I36" s="219" t="str">
        <x:f>IF($G36&lt;&gt;"初步可獨立","不建議",IF($H36="初步可獨立","完整支援者","技術備援者"))</x:f>
        <x:v>技術備援者</x:v>
      </x:c>
      <x:c r="J36" s="220" t="str">
        <x:v>待核定</x:v>
      </x:c>
      <x:c r="K36" s="221"/>
      <x:c r="L36" s="220"/>
      <x:c r="M36" s="220"/>
      <x:c r="N36" s="219" t="str">
        <x:f>IF($J36="暫停","資格暫停",IF($J36="不核定","不核定",IF($J36="核定完整支援者",IF($I36&lt;&gt;"完整支援者","核定條件未達",IF(OR($K36="",$L36=""),"核定資料未完整","完整支援者")),IF($J36="核定技術備援者",IF(AND($I36&lt;&gt;"完整支援者",$I36&lt;&gt;"技術備援者"),"核定條件未達",IF(OR($K36="",$L36=""),"核定資料未完整","技術備援者")),"待主管核定"))))</x:f>
        <x:v>待主管核定</x:v>
      </x:c>
      <x:c r="O36" s="219" t="n">
        <x:f>IF($N36="完整支援者",2,IF($N36="技術備援者",1,0))</x:f>
        <x:v>0</x:v>
      </x:c>
      <x:c r="P36" s="219" t="str">
        <x:f>IF($N36="完整支援者","是","否")</x:f>
        <x:v>否</x:v>
      </x:c>
    </x:row>
    <x:row r="37">
      <x:c r="A37" s="79" t="str">
        <x:v>SUP|1013|LJT-EXTRACTION</x:v>
      </x:c>
      <x:c r="B37" s="79" t="str">
        <x:v>1013</x:v>
      </x:c>
      <x:c r="C37" s="79" t="str"/>
      <x:c r="D37" s="79" t="str">
        <x:v>LJT-EXTRACTION</x:v>
      </x:c>
      <x:c r="E37" s="79" t="str">
        <x:v>拔牙</x:v>
      </x:c>
      <x:c r="F37" s="79" t="str">
        <x:v>一般</x:v>
      </x:c>
      <x:c r="G37" s="79" t="str">
        <x:v>初步可獨立</x:v>
      </x:c>
      <x:c r="H37" s="79" t="str">
        <x:v>待確認共通技能門檻</x:v>
      </x:c>
      <x:c r="I37" s="219" t="str">
        <x:f>IF($G37&lt;&gt;"初步可獨立","不建議",IF($H37="初步可獨立","完整支援者","技術備援者"))</x:f>
        <x:v>技術備援者</x:v>
      </x:c>
      <x:c r="J37" s="220" t="str">
        <x:v>待核定</x:v>
      </x:c>
      <x:c r="K37" s="221"/>
      <x:c r="L37" s="220"/>
      <x:c r="M37" s="220"/>
      <x:c r="N37" s="219" t="str">
        <x:f>IF($J37="暫停","資格暫停",IF($J37="不核定","不核定",IF($J37="核定完整支援者",IF($I37&lt;&gt;"完整支援者","核定條件未達",IF(OR($K37="",$L37=""),"核定資料未完整","完整支援者")),IF($J37="核定技術備援者",IF(AND($I37&lt;&gt;"完整支援者",$I37&lt;&gt;"技術備援者"),"核定條件未達",IF(OR($K37="",$L37=""),"核定資料未完整","技術備援者")),"待主管核定"))))</x:f>
        <x:v>待主管核定</x:v>
      </x:c>
      <x:c r="O37" s="219" t="n">
        <x:f>IF($N37="完整支援者",2,IF($N37="技術備援者",1,0))</x:f>
        <x:v>0</x:v>
      </x:c>
      <x:c r="P37" s="219" t="str">
        <x:f>IF($N37="完整支援者","是","否")</x:f>
        <x:v>否</x:v>
      </x:c>
    </x:row>
    <x:row r="38">
      <x:c r="A38" s="79" t="str">
        <x:v>SUP|1013|LJT-CROWNPOST</x:v>
      </x:c>
      <x:c r="B38" s="79" t="str">
        <x:v>1013</x:v>
      </x:c>
      <x:c r="C38" s="79" t="str"/>
      <x:c r="D38" s="79" t="str">
        <x:v>LJT-CROWNPOST</x:v>
      </x:c>
      <x:c r="E38" s="79" t="str">
        <x:v>拆 crown/post</x:v>
      </x:c>
      <x:c r="F38" s="79" t="str">
        <x:v>一般</x:v>
      </x:c>
      <x:c r="G38" s="79" t="str">
        <x:v>初步可獨立</x:v>
      </x:c>
      <x:c r="H38" s="79" t="str">
        <x:v>待確認共通技能門檻</x:v>
      </x:c>
      <x:c r="I38" s="219" t="str">
        <x:f>IF($G38&lt;&gt;"初步可獨立","不建議",IF($H38="初步可獨立","完整支援者","技術備援者"))</x:f>
        <x:v>技術備援者</x:v>
      </x:c>
      <x:c r="J38" s="220" t="str">
        <x:v>待核定</x:v>
      </x:c>
      <x:c r="K38" s="221"/>
      <x:c r="L38" s="220"/>
      <x:c r="M38" s="220"/>
      <x:c r="N38" s="219" t="str">
        <x:f>IF($J38="暫停","資格暫停",IF($J38="不核定","不核定",IF($J38="核定完整支援者",IF($I38&lt;&gt;"完整支援者","核定條件未達",IF(OR($K38="",$L38=""),"核定資料未完整","完整支援者")),IF($J38="核定技術備援者",IF(AND($I38&lt;&gt;"完整支援者",$I38&lt;&gt;"技術備援者"),"核定條件未達",IF(OR($K38="",$L38=""),"核定資料未完整","技術備援者")),"待主管核定"))))</x:f>
        <x:v>待主管核定</x:v>
      </x:c>
      <x:c r="O38" s="219" t="n">
        <x:f>IF($N38="完整支援者",2,IF($N38="技術備援者",1,0))</x:f>
        <x:v>0</x:v>
      </x:c>
      <x:c r="P38" s="219" t="str">
        <x:f>IF($N38="完整支援者","是","否")</x:f>
        <x:v>否</x:v>
      </x:c>
    </x:row>
    <x:row r="39">
      <x:c r="A39" s="79" t="str">
        <x:v>SUP|1013|LJT-CROWN</x:v>
      </x:c>
      <x:c r="B39" s="79" t="str">
        <x:v>1013</x:v>
      </x:c>
      <x:c r="C39" s="79" t="str"/>
      <x:c r="D39" s="79" t="str">
        <x:v>LJT-CROWN</x:v>
      </x:c>
      <x:c r="E39" s="79" t="str">
        <x:v>固定假牙</x:v>
      </x:c>
      <x:c r="F39" s="79" t="str">
        <x:v>一般</x:v>
      </x:c>
      <x:c r="G39" s="79" t="str">
        <x:v>初步可獨立</x:v>
      </x:c>
      <x:c r="H39" s="79" t="str">
        <x:v>待確認共通技能門檻</x:v>
      </x:c>
      <x:c r="I39" s="219" t="str">
        <x:f>IF($G39&lt;&gt;"初步可獨立","不建議",IF($H39="初步可獨立","完整支援者","技術備援者"))</x:f>
        <x:v>技術備援者</x:v>
      </x:c>
      <x:c r="J39" s="220" t="str">
        <x:v>待核定</x:v>
      </x:c>
      <x:c r="K39" s="221"/>
      <x:c r="L39" s="220"/>
      <x:c r="M39" s="220"/>
      <x:c r="N39" s="219" t="str">
        <x:f>IF($J39="暫停","資格暫停",IF($J39="不核定","不核定",IF($J39="核定完整支援者",IF($I39&lt;&gt;"完整支援者","核定條件未達",IF(OR($K39="",$L39=""),"核定資料未完整","完整支援者")),IF($J39="核定技術備援者",IF(AND($I39&lt;&gt;"完整支援者",$I39&lt;&gt;"技術備援者"),"核定條件未達",IF(OR($K39="",$L39=""),"核定資料未完整","技術備援者")),"待主管核定"))))</x:f>
        <x:v>待主管核定</x:v>
      </x:c>
      <x:c r="O39" s="219" t="n">
        <x:f>IF($N39="完整支援者",2,IF($N39="技術備援者",1,0))</x:f>
        <x:v>0</x:v>
      </x:c>
      <x:c r="P39" s="219" t="str">
        <x:f>IF($N39="完整支援者","是","否")</x:f>
        <x:v>否</x:v>
      </x:c>
    </x:row>
    <x:row r="40">
      <x:c r="A40" s="79" t="str">
        <x:v>SUP|1013|LJT-RPD</x:v>
      </x:c>
      <x:c r="B40" s="79" t="str">
        <x:v>1013</x:v>
      </x:c>
      <x:c r="C40" s="79" t="str"/>
      <x:c r="D40" s="79" t="str">
        <x:v>LJT-RPD</x:v>
      </x:c>
      <x:c r="E40" s="79" t="str">
        <x:v>RPD</x:v>
      </x:c>
      <x:c r="F40" s="79" t="str">
        <x:v>一般</x:v>
      </x:c>
      <x:c r="G40" s="79" t="str">
        <x:v>初步可獨立</x:v>
      </x:c>
      <x:c r="H40" s="79" t="str">
        <x:v>待確認共通技能門檻</x:v>
      </x:c>
      <x:c r="I40" s="219" t="str">
        <x:f>IF($G40&lt;&gt;"初步可獨立","不建議",IF($H40="初步可獨立","完整支援者","技術備援者"))</x:f>
        <x:v>技術備援者</x:v>
      </x:c>
      <x:c r="J40" s="220" t="str">
        <x:v>待核定</x:v>
      </x:c>
      <x:c r="K40" s="221"/>
      <x:c r="L40" s="220"/>
      <x:c r="M40" s="220"/>
      <x:c r="N40" s="219" t="str">
        <x:f>IF($J40="暫停","資格暫停",IF($J40="不核定","不核定",IF($J40="核定完整支援者",IF($I40&lt;&gt;"完整支援者","核定條件未達",IF(OR($K40="",$L40=""),"核定資料未完整","完整支援者")),IF($J40="核定技術備援者",IF(AND($I40&lt;&gt;"完整支援者",$I40&lt;&gt;"技術備援者"),"核定條件未達",IF(OR($K40="",$L40=""),"核定資料未完整","技術備援者")),"待主管核定"))))</x:f>
        <x:v>待主管核定</x:v>
      </x:c>
      <x:c r="O40" s="219" t="n">
        <x:f>IF($N40="完整支援者",2,IF($N40="技術備援者",1,0))</x:f>
        <x:v>0</x:v>
      </x:c>
      <x:c r="P40" s="219" t="str">
        <x:f>IF($N40="完整支援者","是","否")</x:f>
        <x:v>否</x:v>
      </x:c>
    </x:row>
    <x:row r="41">
      <x:c r="A41" s="79" t="str">
        <x:v>SUP|1013|LJT-RPD-FINAL</x:v>
      </x:c>
      <x:c r="B41" s="79" t="str">
        <x:v>1013</x:v>
      </x:c>
      <x:c r="C41" s="79" t="str"/>
      <x:c r="D41" s="79" t="str">
        <x:v>LJT-RPD-FINAL</x:v>
      </x:c>
      <x:c r="E41" s="79" t="str">
        <x:v>RPD</x:v>
      </x:c>
      <x:c r="F41" s="79" t="str">
        <x:v>特殊階段</x:v>
      </x:c>
      <x:c r="G41" s="79" t="str">
        <x:v>初步可獨立</x:v>
      </x:c>
      <x:c r="H41" s="79" t="str">
        <x:v>待確認共通技能門檻</x:v>
      </x:c>
      <x:c r="I41" s="219" t="str">
        <x:f>IF($G41&lt;&gt;"初步可獨立","不建議",IF($H41="初步可獨立","完整支援者","技術備援者"))</x:f>
        <x:v>技術備援者</x:v>
      </x:c>
      <x:c r="J41" s="220" t="str">
        <x:v>待核定</x:v>
      </x:c>
      <x:c r="K41" s="221"/>
      <x:c r="L41" s="220"/>
      <x:c r="M41" s="220"/>
      <x:c r="N41" s="219" t="str">
        <x:f>IF($J41="暫停","資格暫停",IF($J41="不核定","不核定",IF($J41="核定完整支援者",IF($I41&lt;&gt;"完整支援者","核定條件未達",IF(OR($K41="",$L41=""),"核定資料未完整","完整支援者")),IF($J41="核定技術備援者",IF(AND($I41&lt;&gt;"完整支援者",$I41&lt;&gt;"技術備援者"),"核定條件未達",IF(OR($K41="",$L41=""),"核定資料未完整","技術備援者")),"待主管核定"))))</x:f>
        <x:v>待主管核定</x:v>
      </x:c>
      <x:c r="O41" s="219" t="n">
        <x:f>IF($N41="完整支援者",2,IF($N41="技術備援者",1,0))</x:f>
        <x:v>0</x:v>
      </x:c>
      <x:c r="P41" s="219" t="str">
        <x:f>IF($N41="完整支援者","是","否")</x:f>
        <x:v>否</x:v>
      </x:c>
    </x:row>
    <x:row r="42">
      <x:c r="A42" s="79" t="str">
        <x:v>SUP|1013|LJT-AIRPOLISH</x:v>
      </x:c>
      <x:c r="B42" s="79" t="str">
        <x:v>1013</x:v>
      </x:c>
      <x:c r="C42" s="79" t="str"/>
      <x:c r="D42" s="79" t="str">
        <x:v>LJT-AIRPOLISH</x:v>
      </x:c>
      <x:c r="E42" s="79" t="str">
        <x:v>噴砂美白</x:v>
      </x:c>
      <x:c r="F42" s="79" t="str">
        <x:v>一般</x:v>
      </x:c>
      <x:c r="G42" s="79" t="str">
        <x:v>初步可獨立</x:v>
      </x:c>
      <x:c r="H42" s="79" t="str">
        <x:v>待確認共通技能門檻</x:v>
      </x:c>
      <x:c r="I42" s="219" t="str">
        <x:f>IF($G42&lt;&gt;"初步可獨立","不建議",IF($H42="初步可獨立","完整支援者","技術備援者"))</x:f>
        <x:v>技術備援者</x:v>
      </x:c>
      <x:c r="J42" s="220" t="str">
        <x:v>待核定</x:v>
      </x:c>
      <x:c r="K42" s="221"/>
      <x:c r="L42" s="220"/>
      <x:c r="M42" s="220"/>
      <x:c r="N42" s="219" t="str">
        <x:f>IF($J42="暫停","資格暫停",IF($J42="不核定","不核定",IF($J42="核定完整支援者",IF($I42&lt;&gt;"完整支援者","核定條件未達",IF(OR($K42="",$L42=""),"核定資料未完整","完整支援者")),IF($J42="核定技術備援者",IF(AND($I42&lt;&gt;"完整支援者",$I42&lt;&gt;"技術備援者"),"核定條件未達",IF(OR($K42="",$L42=""),"核定資料未完整","技術備援者")),"待主管核定"))))</x:f>
        <x:v>待主管核定</x:v>
      </x:c>
      <x:c r="O42" s="219" t="n">
        <x:f>IF($N42="完整支援者",2,IF($N42="技術備援者",1,0))</x:f>
        <x:v>0</x:v>
      </x:c>
      <x:c r="P42" s="219" t="str">
        <x:f>IF($N42="完整支援者","是","否")</x:f>
        <x:v>否</x:v>
      </x:c>
    </x:row>
    <x:row r="43">
      <x:c r="A43" s="79" t="str">
        <x:v>SUP|1013|LJT-PERIOSURG</x:v>
      </x:c>
      <x:c r="B43" s="79" t="str">
        <x:v>1013</x:v>
      </x:c>
      <x:c r="C43" s="79" t="str"/>
      <x:c r="D43" s="79" t="str">
        <x:v>LJT-PERIOSURG</x:v>
      </x:c>
      <x:c r="E43" s="79" t="str">
        <x:v>牙周手術</x:v>
      </x:c>
      <x:c r="F43" s="79" t="str">
        <x:v>高複雜度</x:v>
      </x:c>
      <x:c r="G43" s="79" t="str">
        <x:v>初步可獨立</x:v>
      </x:c>
      <x:c r="H43" s="79" t="str">
        <x:v>待確認共通技能門檻</x:v>
      </x:c>
      <x:c r="I43" s="219" t="str">
        <x:f>IF($G43&lt;&gt;"初步可獨立","不建議",IF($H43="初步可獨立","完整支援者","技術備援者"))</x:f>
        <x:v>技術備援者</x:v>
      </x:c>
      <x:c r="J43" s="220" t="str">
        <x:v>待核定</x:v>
      </x:c>
      <x:c r="K43" s="221"/>
      <x:c r="L43" s="220"/>
      <x:c r="M43" s="220"/>
      <x:c r="N43" s="219" t="str">
        <x:f>IF($J43="暫停","資格暫停",IF($J43="不核定","不核定",IF($J43="核定完整支援者",IF($I43&lt;&gt;"完整支援者","核定條件未達",IF(OR($K43="",$L43=""),"核定資料未完整","完整支援者")),IF($J43="核定技術備援者",IF(AND($I43&lt;&gt;"完整支援者",$I43&lt;&gt;"技術備援者"),"核定條件未達",IF(OR($K43="",$L43=""),"核定資料未完整","技術備援者")),"待主管核定"))))</x:f>
        <x:v>待主管核定</x:v>
      </x:c>
      <x:c r="O43" s="219" t="n">
        <x:f>IF($N43="完整支援者",2,IF($N43="技術備援者",1,0))</x:f>
        <x:v>0</x:v>
      </x:c>
      <x:c r="P43" s="219" t="str">
        <x:f>IF($N43="完整支援者","是","否")</x:f>
        <x:v>否</x:v>
      </x:c>
    </x:row>
    <x:row r="44">
      <x:c r="A44" s="79" t="str">
        <x:v>SUP|1013|LJT-MICROENDO</x:v>
      </x:c>
      <x:c r="B44" s="79" t="str">
        <x:v>1013</x:v>
      </x:c>
      <x:c r="C44" s="79" t="str"/>
      <x:c r="D44" s="79" t="str">
        <x:v>LJT-MICROENDO</x:v>
      </x:c>
      <x:c r="E44" s="79" t="str">
        <x:v>顯微根管</x:v>
      </x:c>
      <x:c r="F44" s="79" t="str">
        <x:v>高複雜度</x:v>
      </x:c>
      <x:c r="G44" s="79" t="str">
        <x:v>初步可獨立</x:v>
      </x:c>
      <x:c r="H44" s="79" t="str">
        <x:v>待確認共通技能門檻</x:v>
      </x:c>
      <x:c r="I44" s="219" t="str">
        <x:f>IF($G44&lt;&gt;"初步可獨立","不建議",IF($H44="初步可獨立","完整支援者","技術備援者"))</x:f>
        <x:v>技術備援者</x:v>
      </x:c>
      <x:c r="J44" s="220" t="str">
        <x:v>待核定</x:v>
      </x:c>
      <x:c r="K44" s="221"/>
      <x:c r="L44" s="220"/>
      <x:c r="M44" s="220"/>
      <x:c r="N44" s="219" t="str">
        <x:f>IF($J44="暫停","資格暫停",IF($J44="不核定","不核定",IF($J44="核定完整支援者",IF($I44&lt;&gt;"完整支援者","核定條件未達",IF(OR($K44="",$L44=""),"核定資料未完整","完整支援者")),IF($J44="核定技術備援者",IF(AND($I44&lt;&gt;"完整支援者",$I44&lt;&gt;"技術備援者"),"核定條件未達",IF(OR($K44="",$L44=""),"核定資料未完整","技術備援者")),"待主管核定"))))</x:f>
        <x:v>待主管核定</x:v>
      </x:c>
      <x:c r="O44" s="219" t="n">
        <x:f>IF($N44="完整支援者",2,IF($N44="技術備援者",1,0))</x:f>
        <x:v>0</x:v>
      </x:c>
      <x:c r="P44" s="219" t="str">
        <x:f>IF($N44="完整支援者","是","否")</x:f>
        <x:v>否</x:v>
      </x:c>
    </x:row>
    <x:row r="45">
      <x:c r="A45" s="79" t="str">
        <x:v>SUP|1013|LJT-IMPLANT</x:v>
      </x:c>
      <x:c r="B45" s="79" t="str">
        <x:v>1013</x:v>
      </x:c>
      <x:c r="C45" s="79" t="str"/>
      <x:c r="D45" s="79" t="str">
        <x:v>LJT-IMPLANT</x:v>
      </x:c>
      <x:c r="E45" s="79" t="str">
        <x:v>植牙</x:v>
      </x:c>
      <x:c r="F45" s="79" t="str">
        <x:v>高複雜度</x:v>
      </x:c>
      <x:c r="G45" s="79" t="str">
        <x:v>初步可獨立</x:v>
      </x:c>
      <x:c r="H45" s="79" t="str">
        <x:v>待確認共通技能門檻</x:v>
      </x:c>
      <x:c r="I45" s="219" t="str">
        <x:f>IF($G45&lt;&gt;"初步可獨立","不建議",IF($H45="初步可獨立","完整支援者","技術備援者"))</x:f>
        <x:v>技術備援者</x:v>
      </x:c>
      <x:c r="J45" s="220" t="str">
        <x:v>待核定</x:v>
      </x:c>
      <x:c r="K45" s="221"/>
      <x:c r="L45" s="220"/>
      <x:c r="M45" s="220"/>
      <x:c r="N45" s="219" t="str">
        <x:f>IF($J45="暫停","資格暫停",IF($J45="不核定","不核定",IF($J45="核定完整支援者",IF($I45&lt;&gt;"完整支援者","核定條件未達",IF(OR($K45="",$L45=""),"核定資料未完整","完整支援者")),IF($J45="核定技術備援者",IF(AND($I45&lt;&gt;"完整支援者",$I45&lt;&gt;"技術備援者"),"核定條件未達",IF(OR($K45="",$L45=""),"核定資料未完整","技術備援者")),"待主管核定"))))</x:f>
        <x:v>待主管核定</x:v>
      </x:c>
      <x:c r="O45" s="219" t="n">
        <x:f>IF($N45="完整支援者",2,IF($N45="技術備援者",1,0))</x:f>
        <x:v>0</x:v>
      </x:c>
      <x:c r="P45" s="219" t="str">
        <x:f>IF($N45="完整支援者","是","否")</x:f>
        <x:v>否</x:v>
      </x:c>
    </x:row>
    <x:row r="46">
      <x:c r="A46" s="79" t="str">
        <x:v>SUP|1019|LJT-SCALING</x:v>
      </x:c>
      <x:c r="B46" s="79" t="str">
        <x:v>1019</x:v>
      </x:c>
      <x:c r="C46" s="79" t="str"/>
      <x:c r="D46" s="79" t="str">
        <x:v>LJT-SCALING</x:v>
      </x:c>
      <x:c r="E46" s="79" t="str">
        <x:v>洗牙</x:v>
      </x:c>
      <x:c r="F46" s="79" t="str">
        <x:v>一般</x:v>
      </x:c>
      <x:c r="G46" s="79" t="str">
        <x:v>初步可獨立</x:v>
      </x:c>
      <x:c r="H46" s="79" t="str">
        <x:v>待確認共通技能門檻</x:v>
      </x:c>
      <x:c r="I46" s="219" t="str">
        <x:f>IF($G46&lt;&gt;"初步可獨立","不建議",IF($H46="初步可獨立","完整支援者","技術備援者"))</x:f>
        <x:v>技術備援者</x:v>
      </x:c>
      <x:c r="J46" s="220" t="str">
        <x:v>待核定</x:v>
      </x:c>
      <x:c r="K46" s="221"/>
      <x:c r="L46" s="220"/>
      <x:c r="M46" s="220"/>
      <x:c r="N46" s="219" t="str">
        <x:f>IF($J46="暫停","資格暫停",IF($J46="不核定","不核定",IF($J46="核定完整支援者",IF($I46&lt;&gt;"完整支援者","核定條件未達",IF(OR($K46="",$L46=""),"核定資料未完整","完整支援者")),IF($J46="核定技術備援者",IF(AND($I46&lt;&gt;"完整支援者",$I46&lt;&gt;"技術備援者"),"核定條件未達",IF(OR($K46="",$L46=""),"核定資料未完整","技術備援者")),"待主管核定"))))</x:f>
        <x:v>待主管核定</x:v>
      </x:c>
      <x:c r="O46" s="219" t="n">
        <x:f>IF($N46="完整支援者",2,IF($N46="技術備援者",1,0))</x:f>
        <x:v>0</x:v>
      </x:c>
      <x:c r="P46" s="219" t="str">
        <x:f>IF($N46="完整支援者","是","否")</x:f>
        <x:v>否</x:v>
      </x:c>
    </x:row>
    <x:row r="47">
      <x:c r="A47" s="79" t="str">
        <x:v>SUP|1019|LJT-FILLING</x:v>
      </x:c>
      <x:c r="B47" s="79" t="str">
        <x:v>1019</x:v>
      </x:c>
      <x:c r="C47" s="79" t="str"/>
      <x:c r="D47" s="79" t="str">
        <x:v>LJT-FILLING</x:v>
      </x:c>
      <x:c r="E47" s="79" t="str">
        <x:v>補牙</x:v>
      </x:c>
      <x:c r="F47" s="79" t="str">
        <x:v>一般</x:v>
      </x:c>
      <x:c r="G47" s="79" t="str">
        <x:v>初步可獨立</x:v>
      </x:c>
      <x:c r="H47" s="79" t="str">
        <x:v>待確認共通技能門檻</x:v>
      </x:c>
      <x:c r="I47" s="219" t="str">
        <x:f>IF($G47&lt;&gt;"初步可獨立","不建議",IF($H47="初步可獨立","完整支援者","技術備援者"))</x:f>
        <x:v>技術備援者</x:v>
      </x:c>
      <x:c r="J47" s="220" t="str">
        <x:v>待核定</x:v>
      </x:c>
      <x:c r="K47" s="221"/>
      <x:c r="L47" s="220"/>
      <x:c r="M47" s="220"/>
      <x:c r="N47" s="219" t="str">
        <x:f>IF($J47="暫停","資格暫停",IF($J47="不核定","不核定",IF($J47="核定完整支援者",IF($I47&lt;&gt;"完整支援者","核定條件未達",IF(OR($K47="",$L47=""),"核定資料未完整","完整支援者")),IF($J47="核定技術備援者",IF(AND($I47&lt;&gt;"完整支援者",$I47&lt;&gt;"技術備援者"),"核定條件未達",IF(OR($K47="",$L47=""),"核定資料未完整","技術備援者")),"待主管核定"))))</x:f>
        <x:v>待主管核定</x:v>
      </x:c>
      <x:c r="O47" s="219" t="n">
        <x:f>IF($N47="完整支援者",2,IF($N47="技術備援者",1,0))</x:f>
        <x:v>0</x:v>
      </x:c>
      <x:c r="P47" s="219" t="str">
        <x:f>IF($N47="完整支援者","是","否")</x:f>
        <x:v>否</x:v>
      </x:c>
    </x:row>
    <x:row r="48">
      <x:c r="A48" s="79" t="str">
        <x:v>SUP|1019|LJT-PERIO</x:v>
      </x:c>
      <x:c r="B48" s="79" t="str">
        <x:v>1019</x:v>
      </x:c>
      <x:c r="C48" s="79" t="str"/>
      <x:c r="D48" s="79" t="str">
        <x:v>LJT-PERIO</x:v>
      </x:c>
      <x:c r="E48" s="79" t="str">
        <x:v>牙周統合</x:v>
      </x:c>
      <x:c r="F48" s="79" t="str">
        <x:v>一般</x:v>
      </x:c>
      <x:c r="G48" s="79" t="str">
        <x:v>初步可獨立</x:v>
      </x:c>
      <x:c r="H48" s="79" t="str">
        <x:v>待確認共通技能門檻</x:v>
      </x:c>
      <x:c r="I48" s="219" t="str">
        <x:f>IF($G48&lt;&gt;"初步可獨立","不建議",IF($H48="初步可獨立","完整支援者","技術備援者"))</x:f>
        <x:v>技術備援者</x:v>
      </x:c>
      <x:c r="J48" s="220" t="str">
        <x:v>待核定</x:v>
      </x:c>
      <x:c r="K48" s="221"/>
      <x:c r="L48" s="220"/>
      <x:c r="M48" s="220"/>
      <x:c r="N48" s="219" t="str">
        <x:f>IF($J48="暫停","資格暫停",IF($J48="不核定","不核定",IF($J48="核定完整支援者",IF($I48&lt;&gt;"完整支援者","核定條件未達",IF(OR($K48="",$L48=""),"核定資料未完整","完整支援者")),IF($J48="核定技術備援者",IF(AND($I48&lt;&gt;"完整支援者",$I48&lt;&gt;"技術備援者"),"核定條件未達",IF(OR($K48="",$L48=""),"核定資料未完整","技術備援者")),"待主管核定"))))</x:f>
        <x:v>待主管核定</x:v>
      </x:c>
      <x:c r="O48" s="219" t="n">
        <x:f>IF($N48="完整支援者",2,IF($N48="技術備援者",1,0))</x:f>
        <x:v>0</x:v>
      </x:c>
      <x:c r="P48" s="219" t="str">
        <x:f>IF($N48="完整支援者","是","否")</x:f>
        <x:v>否</x:v>
      </x:c>
    </x:row>
    <x:row r="49">
      <x:c r="A49" s="79" t="str">
        <x:v>SUP|1019|LJT-RCT</x:v>
      </x:c>
      <x:c r="B49" s="79" t="str">
        <x:v>1019</x:v>
      </x:c>
      <x:c r="C49" s="79" t="str"/>
      <x:c r="D49" s="79" t="str">
        <x:v>LJT-RCT</x:v>
      </x:c>
      <x:c r="E49" s="79" t="str">
        <x:v>一般根管治療</x:v>
      </x:c>
      <x:c r="F49" s="79" t="str">
        <x:v>一般</x:v>
      </x:c>
      <x:c r="G49" s="79" t="str">
        <x:v>初步可獨立</x:v>
      </x:c>
      <x:c r="H49" s="79" t="str">
        <x:v>待確認共通技能門檻</x:v>
      </x:c>
      <x:c r="I49" s="219" t="str">
        <x:f>IF($G49&lt;&gt;"初步可獨立","不建議",IF($H49="初步可獨立","完整支援者","技術備援者"))</x:f>
        <x:v>技術備援者</x:v>
      </x:c>
      <x:c r="J49" s="220" t="str">
        <x:v>待核定</x:v>
      </x:c>
      <x:c r="K49" s="221"/>
      <x:c r="L49" s="220"/>
      <x:c r="M49" s="220"/>
      <x:c r="N49" s="219" t="str">
        <x:f>IF($J49="暫停","資格暫停",IF($J49="不核定","不核定",IF($J49="核定完整支援者",IF($I49&lt;&gt;"完整支援者","核定條件未達",IF(OR($K49="",$L49=""),"核定資料未完整","完整支援者")),IF($J49="核定技術備援者",IF(AND($I49&lt;&gt;"完整支援者",$I49&lt;&gt;"技術備援者"),"核定條件未達",IF(OR($K49="",$L49=""),"核定資料未完整","技術備援者")),"待主管核定"))))</x:f>
        <x:v>待主管核定</x:v>
      </x:c>
      <x:c r="O49" s="219" t="n">
        <x:f>IF($N49="完整支援者",2,IF($N49="技術備援者",1,0))</x:f>
        <x:v>0</x:v>
      </x:c>
      <x:c r="P49" s="219" t="str">
        <x:f>IF($N49="完整支援者","是","否")</x:f>
        <x:v>否</x:v>
      </x:c>
    </x:row>
    <x:row r="50">
      <x:c r="A50" s="79" t="str">
        <x:v>SUP|1019|LJT-EXTRACTION</x:v>
      </x:c>
      <x:c r="B50" s="79" t="str">
        <x:v>1019</x:v>
      </x:c>
      <x:c r="C50" s="79" t="str"/>
      <x:c r="D50" s="79" t="str">
        <x:v>LJT-EXTRACTION</x:v>
      </x:c>
      <x:c r="E50" s="79" t="str">
        <x:v>拔牙</x:v>
      </x:c>
      <x:c r="F50" s="79" t="str">
        <x:v>一般</x:v>
      </x:c>
      <x:c r="G50" s="79" t="str">
        <x:v>初步可獨立</x:v>
      </x:c>
      <x:c r="H50" s="79" t="str">
        <x:v>待確認共通技能門檻</x:v>
      </x:c>
      <x:c r="I50" s="219" t="str">
        <x:f>IF($G50&lt;&gt;"初步可獨立","不建議",IF($H50="初步可獨立","完整支援者","技術備援者"))</x:f>
        <x:v>技術備援者</x:v>
      </x:c>
      <x:c r="J50" s="220" t="str">
        <x:v>待核定</x:v>
      </x:c>
      <x:c r="K50" s="221"/>
      <x:c r="L50" s="220"/>
      <x:c r="M50" s="220"/>
      <x:c r="N50" s="219" t="str">
        <x:f>IF($J50="暫停","資格暫停",IF($J50="不核定","不核定",IF($J50="核定完整支援者",IF($I50&lt;&gt;"完整支援者","核定條件未達",IF(OR($K50="",$L50=""),"核定資料未完整","完整支援者")),IF($J50="核定技術備援者",IF(AND($I50&lt;&gt;"完整支援者",$I50&lt;&gt;"技術備援者"),"核定條件未達",IF(OR($K50="",$L50=""),"核定資料未完整","技術備援者")),"待主管核定"))))</x:f>
        <x:v>待主管核定</x:v>
      </x:c>
      <x:c r="O50" s="219" t="n">
        <x:f>IF($N50="完整支援者",2,IF($N50="技術備援者",1,0))</x:f>
        <x:v>0</x:v>
      </x:c>
      <x:c r="P50" s="219" t="str">
        <x:f>IF($N50="完整支援者","是","否")</x:f>
        <x:v>否</x:v>
      </x:c>
    </x:row>
    <x:row r="51">
      <x:c r="A51" s="79" t="str">
        <x:v>SUP|1019|LJT-CROWNPOST</x:v>
      </x:c>
      <x:c r="B51" s="79" t="str">
        <x:v>1019</x:v>
      </x:c>
      <x:c r="C51" s="79" t="str"/>
      <x:c r="D51" s="79" t="str">
        <x:v>LJT-CROWNPOST</x:v>
      </x:c>
      <x:c r="E51" s="79" t="str">
        <x:v>拆 crown/post</x:v>
      </x:c>
      <x:c r="F51" s="79" t="str">
        <x:v>一般</x:v>
      </x:c>
      <x:c r="G51" s="79" t="str">
        <x:v>初步可獨立</x:v>
      </x:c>
      <x:c r="H51" s="79" t="str">
        <x:v>待確認共通技能門檻</x:v>
      </x:c>
      <x:c r="I51" s="219" t="str">
        <x:f>IF($G51&lt;&gt;"初步可獨立","不建議",IF($H51="初步可獨立","完整支援者","技術備援者"))</x:f>
        <x:v>技術備援者</x:v>
      </x:c>
      <x:c r="J51" s="220" t="str">
        <x:v>待核定</x:v>
      </x:c>
      <x:c r="K51" s="221"/>
      <x:c r="L51" s="220"/>
      <x:c r="M51" s="220"/>
      <x:c r="N51" s="219" t="str">
        <x:f>IF($J51="暫停","資格暫停",IF($J51="不核定","不核定",IF($J51="核定完整支援者",IF($I51&lt;&gt;"完整支援者","核定條件未達",IF(OR($K51="",$L51=""),"核定資料未完整","完整支援者")),IF($J51="核定技術備援者",IF(AND($I51&lt;&gt;"完整支援者",$I51&lt;&gt;"技術備援者"),"核定條件未達",IF(OR($K51="",$L51=""),"核定資料未完整","技術備援者")),"待主管核定"))))</x:f>
        <x:v>待主管核定</x:v>
      </x:c>
      <x:c r="O51" s="219" t="n">
        <x:f>IF($N51="完整支援者",2,IF($N51="技術備援者",1,0))</x:f>
        <x:v>0</x:v>
      </x:c>
      <x:c r="P51" s="219" t="str">
        <x:f>IF($N51="完整支援者","是","否")</x:f>
        <x:v>否</x:v>
      </x:c>
    </x:row>
    <x:row r="52">
      <x:c r="A52" s="79" t="str">
        <x:v>SUP|1019|LJT-CROWN</x:v>
      </x:c>
      <x:c r="B52" s="79" t="str">
        <x:v>1019</x:v>
      </x:c>
      <x:c r="C52" s="79" t="str"/>
      <x:c r="D52" s="79" t="str">
        <x:v>LJT-CROWN</x:v>
      </x:c>
      <x:c r="E52" s="79" t="str">
        <x:v>固定假牙</x:v>
      </x:c>
      <x:c r="F52" s="79" t="str">
        <x:v>一般</x:v>
      </x:c>
      <x:c r="G52" s="79" t="str">
        <x:v>初步可獨立</x:v>
      </x:c>
      <x:c r="H52" s="79" t="str">
        <x:v>待確認共通技能門檻</x:v>
      </x:c>
      <x:c r="I52" s="219" t="str">
        <x:f>IF($G52&lt;&gt;"初步可獨立","不建議",IF($H52="初步可獨立","完整支援者","技術備援者"))</x:f>
        <x:v>技術備援者</x:v>
      </x:c>
      <x:c r="J52" s="220" t="str">
        <x:v>待核定</x:v>
      </x:c>
      <x:c r="K52" s="221"/>
      <x:c r="L52" s="220"/>
      <x:c r="M52" s="220"/>
      <x:c r="N52" s="219" t="str">
        <x:f>IF($J52="暫停","資格暫停",IF($J52="不核定","不核定",IF($J52="核定完整支援者",IF($I52&lt;&gt;"完整支援者","核定條件未達",IF(OR($K52="",$L52=""),"核定資料未完整","完整支援者")),IF($J52="核定技術備援者",IF(AND($I52&lt;&gt;"完整支援者",$I52&lt;&gt;"技術備援者"),"核定條件未達",IF(OR($K52="",$L52=""),"核定資料未完整","技術備援者")),"待主管核定"))))</x:f>
        <x:v>待主管核定</x:v>
      </x:c>
      <x:c r="O52" s="219" t="n">
        <x:f>IF($N52="完整支援者",2,IF($N52="技術備援者",1,0))</x:f>
        <x:v>0</x:v>
      </x:c>
      <x:c r="P52" s="219" t="str">
        <x:f>IF($N52="完整支援者","是","否")</x:f>
        <x:v>否</x:v>
      </x:c>
    </x:row>
    <x:row r="53">
      <x:c r="A53" s="79" t="str">
        <x:v>SUP|1019|LJT-RPD</x:v>
      </x:c>
      <x:c r="B53" s="79" t="str">
        <x:v>1019</x:v>
      </x:c>
      <x:c r="C53" s="79" t="str"/>
      <x:c r="D53" s="79" t="str">
        <x:v>LJT-RPD</x:v>
      </x:c>
      <x:c r="E53" s="79" t="str">
        <x:v>RPD</x:v>
      </x:c>
      <x:c r="F53" s="79" t="str">
        <x:v>一般</x:v>
      </x:c>
      <x:c r="G53" s="79" t="str">
        <x:v>初步可獨立</x:v>
      </x:c>
      <x:c r="H53" s="79" t="str">
        <x:v>待確認共通技能門檻</x:v>
      </x:c>
      <x:c r="I53" s="219" t="str">
        <x:f>IF($G53&lt;&gt;"初步可獨立","不建議",IF($H53="初步可獨立","完整支援者","技術備援者"))</x:f>
        <x:v>技術備援者</x:v>
      </x:c>
      <x:c r="J53" s="220" t="str">
        <x:v>待核定</x:v>
      </x:c>
      <x:c r="K53" s="221"/>
      <x:c r="L53" s="220"/>
      <x:c r="M53" s="220"/>
      <x:c r="N53" s="219" t="str">
        <x:f>IF($J53="暫停","資格暫停",IF($J53="不核定","不核定",IF($J53="核定完整支援者",IF($I53&lt;&gt;"完整支援者","核定條件未達",IF(OR($K53="",$L53=""),"核定資料未完整","完整支援者")),IF($J53="核定技術備援者",IF(AND($I53&lt;&gt;"完整支援者",$I53&lt;&gt;"技術備援者"),"核定條件未達",IF(OR($K53="",$L53=""),"核定資料未完整","技術備援者")),"待主管核定"))))</x:f>
        <x:v>待主管核定</x:v>
      </x:c>
      <x:c r="O53" s="219" t="n">
        <x:f>IF($N53="完整支援者",2,IF($N53="技術備援者",1,0))</x:f>
        <x:v>0</x:v>
      </x:c>
      <x:c r="P53" s="219" t="str">
        <x:f>IF($N53="完整支援者","是","否")</x:f>
        <x:v>否</x:v>
      </x:c>
    </x:row>
    <x:row r="54">
      <x:c r="A54" s="79" t="str">
        <x:v>SUP|1019|LJT-RPD-FINAL</x:v>
      </x:c>
      <x:c r="B54" s="79" t="str">
        <x:v>1019</x:v>
      </x:c>
      <x:c r="C54" s="79" t="str"/>
      <x:c r="D54" s="79" t="str">
        <x:v>LJT-RPD-FINAL</x:v>
      </x:c>
      <x:c r="E54" s="79" t="str">
        <x:v>RPD</x:v>
      </x:c>
      <x:c r="F54" s="79" t="str">
        <x:v>特殊階段</x:v>
      </x:c>
      <x:c r="G54" s="79" t="str">
        <x:v>初步可獨立</x:v>
      </x:c>
      <x:c r="H54" s="79" t="str">
        <x:v>待確認共通技能門檻</x:v>
      </x:c>
      <x:c r="I54" s="219" t="str">
        <x:f>IF($G54&lt;&gt;"初步可獨立","不建議",IF($H54="初步可獨立","完整支援者","技術備援者"))</x:f>
        <x:v>技術備援者</x:v>
      </x:c>
      <x:c r="J54" s="220" t="str">
        <x:v>待核定</x:v>
      </x:c>
      <x:c r="K54" s="221"/>
      <x:c r="L54" s="220"/>
      <x:c r="M54" s="220"/>
      <x:c r="N54" s="219" t="str">
        <x:f>IF($J54="暫停","資格暫停",IF($J54="不核定","不核定",IF($J54="核定完整支援者",IF($I54&lt;&gt;"完整支援者","核定條件未達",IF(OR($K54="",$L54=""),"核定資料未完整","完整支援者")),IF($J54="核定技術備援者",IF(AND($I54&lt;&gt;"完整支援者",$I54&lt;&gt;"技術備援者"),"核定條件未達",IF(OR($K54="",$L54=""),"核定資料未完整","技術備援者")),"待主管核定"))))</x:f>
        <x:v>待主管核定</x:v>
      </x:c>
      <x:c r="O54" s="219" t="n">
        <x:f>IF($N54="完整支援者",2,IF($N54="技術備援者",1,0))</x:f>
        <x:v>0</x:v>
      </x:c>
      <x:c r="P54" s="219" t="str">
        <x:f>IF($N54="完整支援者","是","否")</x:f>
        <x:v>否</x:v>
      </x:c>
    </x:row>
    <x:row r="55">
      <x:c r="A55" s="79" t="str">
        <x:v>SUP|1019|LJT-AIRPOLISH</x:v>
      </x:c>
      <x:c r="B55" s="79" t="str">
        <x:v>1019</x:v>
      </x:c>
      <x:c r="C55" s="79" t="str"/>
      <x:c r="D55" s="79" t="str">
        <x:v>LJT-AIRPOLISH</x:v>
      </x:c>
      <x:c r="E55" s="79" t="str">
        <x:v>噴砂美白</x:v>
      </x:c>
      <x:c r="F55" s="79" t="str">
        <x:v>一般</x:v>
      </x:c>
      <x:c r="G55" s="79" t="str">
        <x:v>初步可獨立</x:v>
      </x:c>
      <x:c r="H55" s="79" t="str">
        <x:v>待確認共通技能門檻</x:v>
      </x:c>
      <x:c r="I55" s="219" t="str">
        <x:f>IF($G55&lt;&gt;"初步可獨立","不建議",IF($H55="初步可獨立","完整支援者","技術備援者"))</x:f>
        <x:v>技術備援者</x:v>
      </x:c>
      <x:c r="J55" s="220" t="str">
        <x:v>待核定</x:v>
      </x:c>
      <x:c r="K55" s="221"/>
      <x:c r="L55" s="220"/>
      <x:c r="M55" s="220"/>
      <x:c r="N55" s="219" t="str">
        <x:f>IF($J55="暫停","資格暫停",IF($J55="不核定","不核定",IF($J55="核定完整支援者",IF($I55&lt;&gt;"完整支援者","核定條件未達",IF(OR($K55="",$L55=""),"核定資料未完整","完整支援者")),IF($J55="核定技術備援者",IF(AND($I55&lt;&gt;"完整支援者",$I55&lt;&gt;"技術備援者"),"核定條件未達",IF(OR($K55="",$L55=""),"核定資料未完整","技術備援者")),"待主管核定"))))</x:f>
        <x:v>待主管核定</x:v>
      </x:c>
      <x:c r="O55" s="219" t="n">
        <x:f>IF($N55="完整支援者",2,IF($N55="技術備援者",1,0))</x:f>
        <x:v>0</x:v>
      </x:c>
      <x:c r="P55" s="219" t="str">
        <x:f>IF($N55="完整支援者","是","否")</x:f>
        <x:v>否</x:v>
      </x:c>
    </x:row>
    <x:row r="56">
      <x:c r="A56" s="79" t="str">
        <x:v>SUP|1019|LJT-PERIOSURG</x:v>
      </x:c>
      <x:c r="B56" s="79" t="str">
        <x:v>1019</x:v>
      </x:c>
      <x:c r="C56" s="79" t="str"/>
      <x:c r="D56" s="79" t="str">
        <x:v>LJT-PERIOSURG</x:v>
      </x:c>
      <x:c r="E56" s="79" t="str">
        <x:v>牙周手術</x:v>
      </x:c>
      <x:c r="F56" s="79" t="str">
        <x:v>高複雜度</x:v>
      </x:c>
      <x:c r="G56" s="79" t="str">
        <x:v>初步可獨立</x:v>
      </x:c>
      <x:c r="H56" s="79" t="str">
        <x:v>待確認共通技能門檻</x:v>
      </x:c>
      <x:c r="I56" s="219" t="str">
        <x:f>IF($G56&lt;&gt;"初步可獨立","不建議",IF($H56="初步可獨立","完整支援者","技術備援者"))</x:f>
        <x:v>技術備援者</x:v>
      </x:c>
      <x:c r="J56" s="220" t="str">
        <x:v>待核定</x:v>
      </x:c>
      <x:c r="K56" s="221"/>
      <x:c r="L56" s="220"/>
      <x:c r="M56" s="220"/>
      <x:c r="N56" s="219" t="str">
        <x:f>IF($J56="暫停","資格暫停",IF($J56="不核定","不核定",IF($J56="核定完整支援者",IF($I56&lt;&gt;"完整支援者","核定條件未達",IF(OR($K56="",$L56=""),"核定資料未完整","完整支援者")),IF($J56="核定技術備援者",IF(AND($I56&lt;&gt;"完整支援者",$I56&lt;&gt;"技術備援者"),"核定條件未達",IF(OR($K56="",$L56=""),"核定資料未完整","技術備援者")),"待主管核定"))))</x:f>
        <x:v>待主管核定</x:v>
      </x:c>
      <x:c r="O56" s="219" t="n">
        <x:f>IF($N56="完整支援者",2,IF($N56="技術備援者",1,0))</x:f>
        <x:v>0</x:v>
      </x:c>
      <x:c r="P56" s="219" t="str">
        <x:f>IF($N56="完整支援者","是","否")</x:f>
        <x:v>否</x:v>
      </x:c>
    </x:row>
    <x:row r="57">
      <x:c r="A57" s="79" t="str">
        <x:v>SUP|1019|LJT-MICROENDO</x:v>
      </x:c>
      <x:c r="B57" s="79" t="str">
        <x:v>1019</x:v>
      </x:c>
      <x:c r="C57" s="79" t="str"/>
      <x:c r="D57" s="79" t="str">
        <x:v>LJT-MICROENDO</x:v>
      </x:c>
      <x:c r="E57" s="79" t="str">
        <x:v>顯微根管</x:v>
      </x:c>
      <x:c r="F57" s="79" t="str">
        <x:v>高複雜度</x:v>
      </x:c>
      <x:c r="G57" s="79" t="str">
        <x:v>初步可獨立</x:v>
      </x:c>
      <x:c r="H57" s="79" t="str">
        <x:v>待確認共通技能門檻</x:v>
      </x:c>
      <x:c r="I57" s="219" t="str">
        <x:f>IF($G57&lt;&gt;"初步可獨立","不建議",IF($H57="初步可獨立","完整支援者","技術備援者"))</x:f>
        <x:v>技術備援者</x:v>
      </x:c>
      <x:c r="J57" s="220" t="str">
        <x:v>待核定</x:v>
      </x:c>
      <x:c r="K57" s="221"/>
      <x:c r="L57" s="220"/>
      <x:c r="M57" s="220"/>
      <x:c r="N57" s="219" t="str">
        <x:f>IF($J57="暫停","資格暫停",IF($J57="不核定","不核定",IF($J57="核定完整支援者",IF($I57&lt;&gt;"完整支援者","核定條件未達",IF(OR($K57="",$L57=""),"核定資料未完整","完整支援者")),IF($J57="核定技術備援者",IF(AND($I57&lt;&gt;"完整支援者",$I57&lt;&gt;"技術備援者"),"核定條件未達",IF(OR($K57="",$L57=""),"核定資料未完整","技術備援者")),"待主管核定"))))</x:f>
        <x:v>待主管核定</x:v>
      </x:c>
      <x:c r="O57" s="219" t="n">
        <x:f>IF($N57="完整支援者",2,IF($N57="技術備援者",1,0))</x:f>
        <x:v>0</x:v>
      </x:c>
      <x:c r="P57" s="219" t="str">
        <x:f>IF($N57="完整支援者","是","否")</x:f>
        <x:v>否</x:v>
      </x:c>
    </x:row>
    <x:row r="58">
      <x:c r="A58" s="79" t="str">
        <x:v>SUP|1019|LJT-IMPLANT</x:v>
      </x:c>
      <x:c r="B58" s="79" t="str">
        <x:v>1019</x:v>
      </x:c>
      <x:c r="C58" s="79" t="str"/>
      <x:c r="D58" s="79" t="str">
        <x:v>LJT-IMPLANT</x:v>
      </x:c>
      <x:c r="E58" s="79" t="str">
        <x:v>植牙</x:v>
      </x:c>
      <x:c r="F58" s="79" t="str">
        <x:v>高複雜度</x:v>
      </x:c>
      <x:c r="G58" s="79" t="str">
        <x:v>初步可獨立</x:v>
      </x:c>
      <x:c r="H58" s="79" t="str">
        <x:v>待確認共通技能門檻</x:v>
      </x:c>
      <x:c r="I58" s="219" t="str">
        <x:f>IF($G58&lt;&gt;"初步可獨立","不建議",IF($H58="初步可獨立","完整支援者","技術備援者"))</x:f>
        <x:v>技術備援者</x:v>
      </x:c>
      <x:c r="J58" s="220" t="str">
        <x:v>待核定</x:v>
      </x:c>
      <x:c r="K58" s="221"/>
      <x:c r="L58" s="220"/>
      <x:c r="M58" s="220"/>
      <x:c r="N58" s="219" t="str">
        <x:f>IF($J58="暫停","資格暫停",IF($J58="不核定","不核定",IF($J58="核定完整支援者",IF($I58&lt;&gt;"完整支援者","核定條件未達",IF(OR($K58="",$L58=""),"核定資料未完整","完整支援者")),IF($J58="核定技術備援者",IF(AND($I58&lt;&gt;"完整支援者",$I58&lt;&gt;"技術備援者"),"核定條件未達",IF(OR($K58="",$L58=""),"核定資料未完整","技術備援者")),"待主管核定"))))</x:f>
        <x:v>待主管核定</x:v>
      </x:c>
      <x:c r="O58" s="219" t="n">
        <x:f>IF($N58="完整支援者",2,IF($N58="技術備援者",1,0))</x:f>
        <x:v>0</x:v>
      </x:c>
      <x:c r="P58" s="219" t="str">
        <x:f>IF($N58="完整支援者","是","否")</x:f>
        <x:v>否</x:v>
      </x:c>
    </x:row>
    <x:row r="59">
      <x:c r="A59" s="79" t="str">
        <x:v>SUP|1020|LJT-SCALING</x:v>
      </x:c>
      <x:c r="B59" s="79" t="str">
        <x:v>1020</x:v>
      </x:c>
      <x:c r="C59" s="79" t="str"/>
      <x:c r="D59" s="79" t="str">
        <x:v>LJT-SCALING</x:v>
      </x:c>
      <x:c r="E59" s="79" t="str">
        <x:v>洗牙</x:v>
      </x:c>
      <x:c r="F59" s="79" t="str">
        <x:v>一般</x:v>
      </x:c>
      <x:c r="G59" s="79" t="str">
        <x:v>初步可獨立</x:v>
      </x:c>
      <x:c r="H59" s="79" t="str">
        <x:v>待確認共通技能門檻</x:v>
      </x:c>
      <x:c r="I59" s="219" t="str">
        <x:f>IF($G59&lt;&gt;"初步可獨立","不建議",IF($H59="初步可獨立","完整支援者","技術備援者"))</x:f>
        <x:v>技術備援者</x:v>
      </x:c>
      <x:c r="J59" s="220" t="str">
        <x:v>待核定</x:v>
      </x:c>
      <x:c r="K59" s="221"/>
      <x:c r="L59" s="220"/>
      <x:c r="M59" s="220"/>
      <x:c r="N59" s="219" t="str">
        <x:f>IF($J59="暫停","資格暫停",IF($J59="不核定","不核定",IF($J59="核定完整支援者",IF($I59&lt;&gt;"完整支援者","核定條件未達",IF(OR($K59="",$L59=""),"核定資料未完整","完整支援者")),IF($J59="核定技術備援者",IF(AND($I59&lt;&gt;"完整支援者",$I59&lt;&gt;"技術備援者"),"核定條件未達",IF(OR($K59="",$L59=""),"核定資料未完整","技術備援者")),"待主管核定"))))</x:f>
        <x:v>待主管核定</x:v>
      </x:c>
      <x:c r="O59" s="219" t="n">
        <x:f>IF($N59="完整支援者",2,IF($N59="技術備援者",1,0))</x:f>
        <x:v>0</x:v>
      </x:c>
      <x:c r="P59" s="219" t="str">
        <x:f>IF($N59="完整支援者","是","否")</x:f>
        <x:v>否</x:v>
      </x:c>
    </x:row>
    <x:row r="60">
      <x:c r="A60" s="79" t="str">
        <x:v>SUP|1020|LJT-FILLING</x:v>
      </x:c>
      <x:c r="B60" s="79" t="str">
        <x:v>1020</x:v>
      </x:c>
      <x:c r="C60" s="79" t="str"/>
      <x:c r="D60" s="79" t="str">
        <x:v>LJT-FILLING</x:v>
      </x:c>
      <x:c r="E60" s="79" t="str">
        <x:v>補牙</x:v>
      </x:c>
      <x:c r="F60" s="79" t="str">
        <x:v>一般</x:v>
      </x:c>
      <x:c r="G60" s="79" t="str">
        <x:v>初步可獨立</x:v>
      </x:c>
      <x:c r="H60" s="79" t="str">
        <x:v>待確認共通技能門檻</x:v>
      </x:c>
      <x:c r="I60" s="219" t="str">
        <x:f>IF($G60&lt;&gt;"初步可獨立","不建議",IF($H60="初步可獨立","完整支援者","技術備援者"))</x:f>
        <x:v>技術備援者</x:v>
      </x:c>
      <x:c r="J60" s="220" t="str">
        <x:v>待核定</x:v>
      </x:c>
      <x:c r="K60" s="221"/>
      <x:c r="L60" s="220"/>
      <x:c r="M60" s="220"/>
      <x:c r="N60" s="219" t="str">
        <x:f>IF($J60="暫停","資格暫停",IF($J60="不核定","不核定",IF($J60="核定完整支援者",IF($I60&lt;&gt;"完整支援者","核定條件未達",IF(OR($K60="",$L60=""),"核定資料未完整","完整支援者")),IF($J60="核定技術備援者",IF(AND($I60&lt;&gt;"完整支援者",$I60&lt;&gt;"技術備援者"),"核定條件未達",IF(OR($K60="",$L60=""),"核定資料未完整","技術備援者")),"待主管核定"))))</x:f>
        <x:v>待主管核定</x:v>
      </x:c>
      <x:c r="O60" s="219" t="n">
        <x:f>IF($N60="完整支援者",2,IF($N60="技術備援者",1,0))</x:f>
        <x:v>0</x:v>
      </x:c>
      <x:c r="P60" s="219" t="str">
        <x:f>IF($N60="完整支援者","是","否")</x:f>
        <x:v>否</x:v>
      </x:c>
    </x:row>
    <x:row r="61">
      <x:c r="A61" s="79" t="str">
        <x:v>SUP|1020|LJT-PERIO</x:v>
      </x:c>
      <x:c r="B61" s="79" t="str">
        <x:v>1020</x:v>
      </x:c>
      <x:c r="C61" s="79" t="str"/>
      <x:c r="D61" s="79" t="str">
        <x:v>LJT-PERIO</x:v>
      </x:c>
      <x:c r="E61" s="79" t="str">
        <x:v>牙周統合</x:v>
      </x:c>
      <x:c r="F61" s="79" t="str">
        <x:v>一般</x:v>
      </x:c>
      <x:c r="G61" s="79" t="str">
        <x:v>初步可獨立</x:v>
      </x:c>
      <x:c r="H61" s="79" t="str">
        <x:v>待確認共通技能門檻</x:v>
      </x:c>
      <x:c r="I61" s="219" t="str">
        <x:f>IF($G61&lt;&gt;"初步可獨立","不建議",IF($H61="初步可獨立","完整支援者","技術備援者"))</x:f>
        <x:v>技術備援者</x:v>
      </x:c>
      <x:c r="J61" s="220" t="str">
        <x:v>待核定</x:v>
      </x:c>
      <x:c r="K61" s="221"/>
      <x:c r="L61" s="220"/>
      <x:c r="M61" s="220"/>
      <x:c r="N61" s="219" t="str">
        <x:f>IF($J61="暫停","資格暫停",IF($J61="不核定","不核定",IF($J61="核定完整支援者",IF($I61&lt;&gt;"完整支援者","核定條件未達",IF(OR($K61="",$L61=""),"核定資料未完整","完整支援者")),IF($J61="核定技術備援者",IF(AND($I61&lt;&gt;"完整支援者",$I61&lt;&gt;"技術備援者"),"核定條件未達",IF(OR($K61="",$L61=""),"核定資料未完整","技術備援者")),"待主管核定"))))</x:f>
        <x:v>待主管核定</x:v>
      </x:c>
      <x:c r="O61" s="219" t="n">
        <x:f>IF($N61="完整支援者",2,IF($N61="技術備援者",1,0))</x:f>
        <x:v>0</x:v>
      </x:c>
      <x:c r="P61" s="219" t="str">
        <x:f>IF($N61="完整支援者","是","否")</x:f>
        <x:v>否</x:v>
      </x:c>
    </x:row>
    <x:row r="62">
      <x:c r="A62" s="79" t="str">
        <x:v>SUP|1020|LJT-RCT</x:v>
      </x:c>
      <x:c r="B62" s="79" t="str">
        <x:v>1020</x:v>
      </x:c>
      <x:c r="C62" s="79" t="str"/>
      <x:c r="D62" s="79" t="str">
        <x:v>LJT-RCT</x:v>
      </x:c>
      <x:c r="E62" s="79" t="str">
        <x:v>一般根管治療</x:v>
      </x:c>
      <x:c r="F62" s="79" t="str">
        <x:v>一般</x:v>
      </x:c>
      <x:c r="G62" s="79" t="str">
        <x:v>初步可獨立</x:v>
      </x:c>
      <x:c r="H62" s="79" t="str">
        <x:v>待確認共通技能門檻</x:v>
      </x:c>
      <x:c r="I62" s="219" t="str">
        <x:f>IF($G62&lt;&gt;"初步可獨立","不建議",IF($H62="初步可獨立","完整支援者","技術備援者"))</x:f>
        <x:v>技術備援者</x:v>
      </x:c>
      <x:c r="J62" s="220" t="str">
        <x:v>待核定</x:v>
      </x:c>
      <x:c r="K62" s="221"/>
      <x:c r="L62" s="220"/>
      <x:c r="M62" s="220"/>
      <x:c r="N62" s="219" t="str">
        <x:f>IF($J62="暫停","資格暫停",IF($J62="不核定","不核定",IF($J62="核定完整支援者",IF($I62&lt;&gt;"完整支援者","核定條件未達",IF(OR($K62="",$L62=""),"核定資料未完整","完整支援者")),IF($J62="核定技術備援者",IF(AND($I62&lt;&gt;"完整支援者",$I62&lt;&gt;"技術備援者"),"核定條件未達",IF(OR($K62="",$L62=""),"核定資料未完整","技術備援者")),"待主管核定"))))</x:f>
        <x:v>待主管核定</x:v>
      </x:c>
      <x:c r="O62" s="219" t="n">
        <x:f>IF($N62="完整支援者",2,IF($N62="技術備援者",1,0))</x:f>
        <x:v>0</x:v>
      </x:c>
      <x:c r="P62" s="219" t="str">
        <x:f>IF($N62="完整支援者","是","否")</x:f>
        <x:v>否</x:v>
      </x:c>
    </x:row>
    <x:row r="63">
      <x:c r="A63" s="79" t="str">
        <x:v>SUP|1020|LJT-EXTRACTION</x:v>
      </x:c>
      <x:c r="B63" s="79" t="str">
        <x:v>1020</x:v>
      </x:c>
      <x:c r="C63" s="79" t="str"/>
      <x:c r="D63" s="79" t="str">
        <x:v>LJT-EXTRACTION</x:v>
      </x:c>
      <x:c r="E63" s="79" t="str">
        <x:v>拔牙</x:v>
      </x:c>
      <x:c r="F63" s="79" t="str">
        <x:v>一般</x:v>
      </x:c>
      <x:c r="G63" s="79" t="str">
        <x:v>初步可獨立</x:v>
      </x:c>
      <x:c r="H63" s="79" t="str">
        <x:v>待確認共通技能門檻</x:v>
      </x:c>
      <x:c r="I63" s="219" t="str">
        <x:f>IF($G63&lt;&gt;"初步可獨立","不建議",IF($H63="初步可獨立","完整支援者","技術備援者"))</x:f>
        <x:v>技術備援者</x:v>
      </x:c>
      <x:c r="J63" s="220" t="str">
        <x:v>待核定</x:v>
      </x:c>
      <x:c r="K63" s="221"/>
      <x:c r="L63" s="220"/>
      <x:c r="M63" s="220"/>
      <x:c r="N63" s="219" t="str">
        <x:f>IF($J63="暫停","資格暫停",IF($J63="不核定","不核定",IF($J63="核定完整支援者",IF($I63&lt;&gt;"完整支援者","核定條件未達",IF(OR($K63="",$L63=""),"核定資料未完整","完整支援者")),IF($J63="核定技術備援者",IF(AND($I63&lt;&gt;"完整支援者",$I63&lt;&gt;"技術備援者"),"核定條件未達",IF(OR($K63="",$L63=""),"核定資料未完整","技術備援者")),"待主管核定"))))</x:f>
        <x:v>待主管核定</x:v>
      </x:c>
      <x:c r="O63" s="219" t="n">
        <x:f>IF($N63="完整支援者",2,IF($N63="技術備援者",1,0))</x:f>
        <x:v>0</x:v>
      </x:c>
      <x:c r="P63" s="219" t="str">
        <x:f>IF($N63="完整支援者","是","否")</x:f>
        <x:v>否</x:v>
      </x:c>
    </x:row>
    <x:row r="64">
      <x:c r="A64" s="79" t="str">
        <x:v>SUP|1020|LJT-CROWNPOST</x:v>
      </x:c>
      <x:c r="B64" s="79" t="str">
        <x:v>1020</x:v>
      </x:c>
      <x:c r="C64" s="79" t="str"/>
      <x:c r="D64" s="79" t="str">
        <x:v>LJT-CROWNPOST</x:v>
      </x:c>
      <x:c r="E64" s="79" t="str">
        <x:v>拆 crown/post</x:v>
      </x:c>
      <x:c r="F64" s="79" t="str">
        <x:v>一般</x:v>
      </x:c>
      <x:c r="G64" s="79" t="str">
        <x:v>初步可獨立</x:v>
      </x:c>
      <x:c r="H64" s="79" t="str">
        <x:v>待確認共通技能門檻</x:v>
      </x:c>
      <x:c r="I64" s="219" t="str">
        <x:f>IF($G64&lt;&gt;"初步可獨立","不建議",IF($H64="初步可獨立","完整支援者","技術備援者"))</x:f>
        <x:v>技術備援者</x:v>
      </x:c>
      <x:c r="J64" s="220" t="str">
        <x:v>待核定</x:v>
      </x:c>
      <x:c r="K64" s="221"/>
      <x:c r="L64" s="220"/>
      <x:c r="M64" s="220"/>
      <x:c r="N64" s="219" t="str">
        <x:f>IF($J64="暫停","資格暫停",IF($J64="不核定","不核定",IF($J64="核定完整支援者",IF($I64&lt;&gt;"完整支援者","核定條件未達",IF(OR($K64="",$L64=""),"核定資料未完整","完整支援者")),IF($J64="核定技術備援者",IF(AND($I64&lt;&gt;"完整支援者",$I64&lt;&gt;"技術備援者"),"核定條件未達",IF(OR($K64="",$L64=""),"核定資料未完整","技術備援者")),"待主管核定"))))</x:f>
        <x:v>待主管核定</x:v>
      </x:c>
      <x:c r="O64" s="219" t="n">
        <x:f>IF($N64="完整支援者",2,IF($N64="技術備援者",1,0))</x:f>
        <x:v>0</x:v>
      </x:c>
      <x:c r="P64" s="219" t="str">
        <x:f>IF($N64="完整支援者","是","否")</x:f>
        <x:v>否</x:v>
      </x:c>
    </x:row>
    <x:row r="65">
      <x:c r="A65" s="79" t="str">
        <x:v>SUP|1020|LJT-CROWN</x:v>
      </x:c>
      <x:c r="B65" s="79" t="str">
        <x:v>1020</x:v>
      </x:c>
      <x:c r="C65" s="79" t="str"/>
      <x:c r="D65" s="79" t="str">
        <x:v>LJT-CROWN</x:v>
      </x:c>
      <x:c r="E65" s="79" t="str">
        <x:v>固定假牙</x:v>
      </x:c>
      <x:c r="F65" s="79" t="str">
        <x:v>一般</x:v>
      </x:c>
      <x:c r="G65" s="79" t="str">
        <x:v>初步可獨立</x:v>
      </x:c>
      <x:c r="H65" s="79" t="str">
        <x:v>待確認共通技能門檻</x:v>
      </x:c>
      <x:c r="I65" s="219" t="str">
        <x:f>IF($G65&lt;&gt;"初步可獨立","不建議",IF($H65="初步可獨立","完整支援者","技術備援者"))</x:f>
        <x:v>技術備援者</x:v>
      </x:c>
      <x:c r="J65" s="220" t="str">
        <x:v>待核定</x:v>
      </x:c>
      <x:c r="K65" s="221"/>
      <x:c r="L65" s="220"/>
      <x:c r="M65" s="220"/>
      <x:c r="N65" s="219" t="str">
        <x:f>IF($J65="暫停","資格暫停",IF($J65="不核定","不核定",IF($J65="核定完整支援者",IF($I65&lt;&gt;"完整支援者","核定條件未達",IF(OR($K65="",$L65=""),"核定資料未完整","完整支援者")),IF($J65="核定技術備援者",IF(AND($I65&lt;&gt;"完整支援者",$I65&lt;&gt;"技術備援者"),"核定條件未達",IF(OR($K65="",$L65=""),"核定資料未完整","技術備援者")),"待主管核定"))))</x:f>
        <x:v>待主管核定</x:v>
      </x:c>
      <x:c r="O65" s="219" t="n">
        <x:f>IF($N65="完整支援者",2,IF($N65="技術備援者",1,0))</x:f>
        <x:v>0</x:v>
      </x:c>
      <x:c r="P65" s="219" t="str">
        <x:f>IF($N65="完整支援者","是","否")</x:f>
        <x:v>否</x:v>
      </x:c>
    </x:row>
    <x:row r="66">
      <x:c r="A66" s="79" t="str">
        <x:v>SUP|1020|LJT-RPD</x:v>
      </x:c>
      <x:c r="B66" s="79" t="str">
        <x:v>1020</x:v>
      </x:c>
      <x:c r="C66" s="79" t="str"/>
      <x:c r="D66" s="79" t="str">
        <x:v>LJT-RPD</x:v>
      </x:c>
      <x:c r="E66" s="79" t="str">
        <x:v>RPD</x:v>
      </x:c>
      <x:c r="F66" s="79" t="str">
        <x:v>一般</x:v>
      </x:c>
      <x:c r="G66" s="79" t="str">
        <x:v>初步可獨立</x:v>
      </x:c>
      <x:c r="H66" s="79" t="str">
        <x:v>待確認共通技能門檻</x:v>
      </x:c>
      <x:c r="I66" s="219" t="str">
        <x:f>IF($G66&lt;&gt;"初步可獨立","不建議",IF($H66="初步可獨立","完整支援者","技術備援者"))</x:f>
        <x:v>技術備援者</x:v>
      </x:c>
      <x:c r="J66" s="220" t="str">
        <x:v>待核定</x:v>
      </x:c>
      <x:c r="K66" s="221"/>
      <x:c r="L66" s="220"/>
      <x:c r="M66" s="220"/>
      <x:c r="N66" s="219" t="str">
        <x:f>IF($J66="暫停","資格暫停",IF($J66="不核定","不核定",IF($J66="核定完整支援者",IF($I66&lt;&gt;"完整支援者","核定條件未達",IF(OR($K66="",$L66=""),"核定資料未完整","完整支援者")),IF($J66="核定技術備援者",IF(AND($I66&lt;&gt;"完整支援者",$I66&lt;&gt;"技術備援者"),"核定條件未達",IF(OR($K66="",$L66=""),"核定資料未完整","技術備援者")),"待主管核定"))))</x:f>
        <x:v>待主管核定</x:v>
      </x:c>
      <x:c r="O66" s="219" t="n">
        <x:f>IF($N66="完整支援者",2,IF($N66="技術備援者",1,0))</x:f>
        <x:v>0</x:v>
      </x:c>
      <x:c r="P66" s="219" t="str">
        <x:f>IF($N66="完整支援者","是","否")</x:f>
        <x:v>否</x:v>
      </x:c>
    </x:row>
    <x:row r="67">
      <x:c r="A67" s="79" t="str">
        <x:v>SUP|1020|LJT-RPD-FINAL</x:v>
      </x:c>
      <x:c r="B67" s="79" t="str">
        <x:v>1020</x:v>
      </x:c>
      <x:c r="C67" s="79" t="str"/>
      <x:c r="D67" s="79" t="str">
        <x:v>LJT-RPD-FINAL</x:v>
      </x:c>
      <x:c r="E67" s="79" t="str">
        <x:v>RPD</x:v>
      </x:c>
      <x:c r="F67" s="79" t="str">
        <x:v>特殊階段</x:v>
      </x:c>
      <x:c r="G67" s="79" t="str">
        <x:v>初步可獨立</x:v>
      </x:c>
      <x:c r="H67" s="79" t="str">
        <x:v>待確認共通技能門檻</x:v>
      </x:c>
      <x:c r="I67" s="219" t="str">
        <x:f>IF($G67&lt;&gt;"初步可獨立","不建議",IF($H67="初步可獨立","完整支援者","技術備援者"))</x:f>
        <x:v>技術備援者</x:v>
      </x:c>
      <x:c r="J67" s="220" t="str">
        <x:v>待核定</x:v>
      </x:c>
      <x:c r="K67" s="221"/>
      <x:c r="L67" s="220"/>
      <x:c r="M67" s="220"/>
      <x:c r="N67" s="219" t="str">
        <x:f>IF($J67="暫停","資格暫停",IF($J67="不核定","不核定",IF($J67="核定完整支援者",IF($I67&lt;&gt;"完整支援者","核定條件未達",IF(OR($K67="",$L67=""),"核定資料未完整","完整支援者")),IF($J67="核定技術備援者",IF(AND($I67&lt;&gt;"完整支援者",$I67&lt;&gt;"技術備援者"),"核定條件未達",IF(OR($K67="",$L67=""),"核定資料未完整","技術備援者")),"待主管核定"))))</x:f>
        <x:v>待主管核定</x:v>
      </x:c>
      <x:c r="O67" s="219" t="n">
        <x:f>IF($N67="完整支援者",2,IF($N67="技術備援者",1,0))</x:f>
        <x:v>0</x:v>
      </x:c>
      <x:c r="P67" s="219" t="str">
        <x:f>IF($N67="完整支援者","是","否")</x:f>
        <x:v>否</x:v>
      </x:c>
    </x:row>
    <x:row r="68">
      <x:c r="A68" s="79" t="str">
        <x:v>SUP|1020|LJT-AIRPOLISH</x:v>
      </x:c>
      <x:c r="B68" s="79" t="str">
        <x:v>1020</x:v>
      </x:c>
      <x:c r="C68" s="79" t="str"/>
      <x:c r="D68" s="79" t="str">
        <x:v>LJT-AIRPOLISH</x:v>
      </x:c>
      <x:c r="E68" s="79" t="str">
        <x:v>噴砂美白</x:v>
      </x:c>
      <x:c r="F68" s="79" t="str">
        <x:v>一般</x:v>
      </x:c>
      <x:c r="G68" s="79" t="str">
        <x:v>初步可獨立</x:v>
      </x:c>
      <x:c r="H68" s="79" t="str">
        <x:v>待確認共通技能門檻</x:v>
      </x:c>
      <x:c r="I68" s="219" t="str">
        <x:f>IF($G68&lt;&gt;"初步可獨立","不建議",IF($H68="初步可獨立","完整支援者","技術備援者"))</x:f>
        <x:v>技術備援者</x:v>
      </x:c>
      <x:c r="J68" s="220" t="str">
        <x:v>待核定</x:v>
      </x:c>
      <x:c r="K68" s="221"/>
      <x:c r="L68" s="220"/>
      <x:c r="M68" s="220"/>
      <x:c r="N68" s="219" t="str">
        <x:f>IF($J68="暫停","資格暫停",IF($J68="不核定","不核定",IF($J68="核定完整支援者",IF($I68&lt;&gt;"完整支援者","核定條件未達",IF(OR($K68="",$L68=""),"核定資料未完整","完整支援者")),IF($J68="核定技術備援者",IF(AND($I68&lt;&gt;"完整支援者",$I68&lt;&gt;"技術備援者"),"核定條件未達",IF(OR($K68="",$L68=""),"核定資料未完整","技術備援者")),"待主管核定"))))</x:f>
        <x:v>待主管核定</x:v>
      </x:c>
      <x:c r="O68" s="219" t="n">
        <x:f>IF($N68="完整支援者",2,IF($N68="技術備援者",1,0))</x:f>
        <x:v>0</x:v>
      </x:c>
      <x:c r="P68" s="219" t="str">
        <x:f>IF($N68="完整支援者","是","否")</x:f>
        <x:v>否</x:v>
      </x:c>
    </x:row>
    <x:row r="69">
      <x:c r="A69" s="79" t="str">
        <x:v>SUP|1020|LJT-PERIOSURG</x:v>
      </x:c>
      <x:c r="B69" s="79" t="str">
        <x:v>1020</x:v>
      </x:c>
      <x:c r="C69" s="79" t="str"/>
      <x:c r="D69" s="79" t="str">
        <x:v>LJT-PERIOSURG</x:v>
      </x:c>
      <x:c r="E69" s="79" t="str">
        <x:v>牙周手術</x:v>
      </x:c>
      <x:c r="F69" s="79" t="str">
        <x:v>高複雜度</x:v>
      </x:c>
      <x:c r="G69" s="79" t="str">
        <x:v>初步可獨立</x:v>
      </x:c>
      <x:c r="H69" s="79" t="str">
        <x:v>待確認共通技能門檻</x:v>
      </x:c>
      <x:c r="I69" s="219" t="str">
        <x:f>IF($G69&lt;&gt;"初步可獨立","不建議",IF($H69="初步可獨立","完整支援者","技術備援者"))</x:f>
        <x:v>技術備援者</x:v>
      </x:c>
      <x:c r="J69" s="220" t="str">
        <x:v>待核定</x:v>
      </x:c>
      <x:c r="K69" s="221"/>
      <x:c r="L69" s="220"/>
      <x:c r="M69" s="220"/>
      <x:c r="N69" s="219" t="str">
        <x:f>IF($J69="暫停","資格暫停",IF($J69="不核定","不核定",IF($J69="核定完整支援者",IF($I69&lt;&gt;"完整支援者","核定條件未達",IF(OR($K69="",$L69=""),"核定資料未完整","完整支援者")),IF($J69="核定技術備援者",IF(AND($I69&lt;&gt;"完整支援者",$I69&lt;&gt;"技術備援者"),"核定條件未達",IF(OR($K69="",$L69=""),"核定資料未完整","技術備援者")),"待主管核定"))))</x:f>
        <x:v>待主管核定</x:v>
      </x:c>
      <x:c r="O69" s="219" t="n">
        <x:f>IF($N69="完整支援者",2,IF($N69="技術備援者",1,0))</x:f>
        <x:v>0</x:v>
      </x:c>
      <x:c r="P69" s="219" t="str">
        <x:f>IF($N69="完整支援者","是","否")</x:f>
        <x:v>否</x:v>
      </x:c>
    </x:row>
    <x:row r="70">
      <x:c r="A70" s="79" t="str">
        <x:v>SUP|1020|LJT-MICROENDO</x:v>
      </x:c>
      <x:c r="B70" s="79" t="str">
        <x:v>1020</x:v>
      </x:c>
      <x:c r="C70" s="79" t="str"/>
      <x:c r="D70" s="79" t="str">
        <x:v>LJT-MICROENDO</x:v>
      </x:c>
      <x:c r="E70" s="79" t="str">
        <x:v>顯微根管</x:v>
      </x:c>
      <x:c r="F70" s="79" t="str">
        <x:v>高複雜度</x:v>
      </x:c>
      <x:c r="G70" s="79" t="str">
        <x:v>初步可獨立</x:v>
      </x:c>
      <x:c r="H70" s="79" t="str">
        <x:v>待確認共通技能門檻</x:v>
      </x:c>
      <x:c r="I70" s="219" t="str">
        <x:f>IF($G70&lt;&gt;"初步可獨立","不建議",IF($H70="初步可獨立","完整支援者","技術備援者"))</x:f>
        <x:v>技術備援者</x:v>
      </x:c>
      <x:c r="J70" s="220" t="str">
        <x:v>待核定</x:v>
      </x:c>
      <x:c r="K70" s="221"/>
      <x:c r="L70" s="220"/>
      <x:c r="M70" s="220"/>
      <x:c r="N70" s="219" t="str">
        <x:f>IF($J70="暫停","資格暫停",IF($J70="不核定","不核定",IF($J70="核定完整支援者",IF($I70&lt;&gt;"完整支援者","核定條件未達",IF(OR($K70="",$L70=""),"核定資料未完整","完整支援者")),IF($J70="核定技術備援者",IF(AND($I70&lt;&gt;"完整支援者",$I70&lt;&gt;"技術備援者"),"核定條件未達",IF(OR($K70="",$L70=""),"核定資料未完整","技術備援者")),"待主管核定"))))</x:f>
        <x:v>待主管核定</x:v>
      </x:c>
      <x:c r="O70" s="219" t="n">
        <x:f>IF($N70="完整支援者",2,IF($N70="技術備援者",1,0))</x:f>
        <x:v>0</x:v>
      </x:c>
      <x:c r="P70" s="219" t="str">
        <x:f>IF($N70="完整支援者","是","否")</x:f>
        <x:v>否</x:v>
      </x:c>
    </x:row>
    <x:row r="71">
      <x:c r="A71" s="79" t="str">
        <x:v>SUP|1020|LJT-IMPLANT</x:v>
      </x:c>
      <x:c r="B71" s="79" t="str">
        <x:v>1020</x:v>
      </x:c>
      <x:c r="C71" s="79" t="str"/>
      <x:c r="D71" s="79" t="str">
        <x:v>LJT-IMPLANT</x:v>
      </x:c>
      <x:c r="E71" s="79" t="str">
        <x:v>植牙</x:v>
      </x:c>
      <x:c r="F71" s="79" t="str">
        <x:v>高複雜度</x:v>
      </x:c>
      <x:c r="G71" s="79" t="str">
        <x:v>初步可獨立</x:v>
      </x:c>
      <x:c r="H71" s="79" t="str">
        <x:v>待確認共通技能門檻</x:v>
      </x:c>
      <x:c r="I71" s="219" t="str">
        <x:f>IF($G71&lt;&gt;"初步可獨立","不建議",IF($H71="初步可獨立","完整支援者","技術備援者"))</x:f>
        <x:v>技術備援者</x:v>
      </x:c>
      <x:c r="J71" s="220" t="str">
        <x:v>待核定</x:v>
      </x:c>
      <x:c r="K71" s="221"/>
      <x:c r="L71" s="220"/>
      <x:c r="M71" s="220"/>
      <x:c r="N71" s="219" t="str">
        <x:f>IF($J71="暫停","資格暫停",IF($J71="不核定","不核定",IF($J71="核定完整支援者",IF($I71&lt;&gt;"完整支援者","核定條件未達",IF(OR($K71="",$L71=""),"核定資料未完整","完整支援者")),IF($J71="核定技術備援者",IF(AND($I71&lt;&gt;"完整支援者",$I71&lt;&gt;"技術備援者"),"核定條件未達",IF(OR($K71="",$L71=""),"核定資料未完整","技術備援者")),"待主管核定"))))</x:f>
        <x:v>待主管核定</x:v>
      </x:c>
      <x:c r="O71" s="219" t="n">
        <x:f>IF($N71="完整支援者",2,IF($N71="技術備援者",1,0))</x:f>
        <x:v>0</x:v>
      </x:c>
      <x:c r="P71" s="219" t="str">
        <x:f>IF($N71="完整支援者","是","否")</x:f>
        <x:v>否</x:v>
      </x:c>
    </x:row>
    <x:row r="72">
      <x:c r="A72" s="79" t="str">
        <x:v>SUP|1025|LJT-SCALING</x:v>
      </x:c>
      <x:c r="B72" s="79" t="str">
        <x:v>1025</x:v>
      </x:c>
      <x:c r="C72" s="79" t="str"/>
      <x:c r="D72" s="79" t="str">
        <x:v>LJT-SCALING</x:v>
      </x:c>
      <x:c r="E72" s="79" t="str">
        <x:v>洗牙</x:v>
      </x:c>
      <x:c r="F72" s="79" t="str">
        <x:v>一般</x:v>
      </x:c>
      <x:c r="G72" s="79" t="str">
        <x:v>不可正式排</x:v>
      </x:c>
      <x:c r="H72" s="79" t="str">
        <x:v>待確認共通技能門檻</x:v>
      </x:c>
      <x:c r="I72" s="219" t="str">
        <x:f>IF($G72&lt;&gt;"初步可獨立","不建議",IF($H72="初步可獨立","完整支援者","技術備援者"))</x:f>
        <x:v>不建議</x:v>
      </x:c>
      <x:c r="J72" s="220" t="str">
        <x:v>待核定</x:v>
      </x:c>
      <x:c r="K72" s="221"/>
      <x:c r="L72" s="220"/>
      <x:c r="M72" s="220"/>
      <x:c r="N72" s="219" t="str">
        <x:f>IF($J72="暫停","資格暫停",IF($J72="不核定","不核定",IF($J72="核定完整支援者",IF($I72&lt;&gt;"完整支援者","核定條件未達",IF(OR($K72="",$L72=""),"核定資料未完整","完整支援者")),IF($J72="核定技術備援者",IF(AND($I72&lt;&gt;"完整支援者",$I72&lt;&gt;"技術備援者"),"核定條件未達",IF(OR($K72="",$L72=""),"核定資料未完整","技術備援者")),"待主管核定"))))</x:f>
        <x:v>待主管核定</x:v>
      </x:c>
      <x:c r="O72" s="219" t="n">
        <x:f>IF($N72="完整支援者",2,IF($N72="技術備援者",1,0))</x:f>
        <x:v>0</x:v>
      </x:c>
      <x:c r="P72" s="219" t="str">
        <x:f>IF($N72="完整支援者","是","否")</x:f>
        <x:v>否</x:v>
      </x:c>
    </x:row>
    <x:row r="73">
      <x:c r="A73" s="79" t="str">
        <x:v>SUP|1025|LJT-FILLING</x:v>
      </x:c>
      <x:c r="B73" s="79" t="str">
        <x:v>1025</x:v>
      </x:c>
      <x:c r="C73" s="79" t="str"/>
      <x:c r="D73" s="79" t="str">
        <x:v>LJT-FILLING</x:v>
      </x:c>
      <x:c r="E73" s="79" t="str">
        <x:v>補牙</x:v>
      </x:c>
      <x:c r="F73" s="79" t="str">
        <x:v>一般</x:v>
      </x:c>
      <x:c r="G73" s="79" t="str">
        <x:v>不可正式排</x:v>
      </x:c>
      <x:c r="H73" s="79" t="str">
        <x:v>待確認共通技能門檻</x:v>
      </x:c>
      <x:c r="I73" s="219" t="str">
        <x:f>IF($G73&lt;&gt;"初步可獨立","不建議",IF($H73="初步可獨立","完整支援者","技術備援者"))</x:f>
        <x:v>不建議</x:v>
      </x:c>
      <x:c r="J73" s="220" t="str">
        <x:v>待核定</x:v>
      </x:c>
      <x:c r="K73" s="221"/>
      <x:c r="L73" s="220"/>
      <x:c r="M73" s="220"/>
      <x:c r="N73" s="219" t="str">
        <x:f>IF($J73="暫停","資格暫停",IF($J73="不核定","不核定",IF($J73="核定完整支援者",IF($I73&lt;&gt;"完整支援者","核定條件未達",IF(OR($K73="",$L73=""),"核定資料未完整","完整支援者")),IF($J73="核定技術備援者",IF(AND($I73&lt;&gt;"完整支援者",$I73&lt;&gt;"技術備援者"),"核定條件未達",IF(OR($K73="",$L73=""),"核定資料未完整","技術備援者")),"待主管核定"))))</x:f>
        <x:v>待主管核定</x:v>
      </x:c>
      <x:c r="O73" s="219" t="n">
        <x:f>IF($N73="完整支援者",2,IF($N73="技術備援者",1,0))</x:f>
        <x:v>0</x:v>
      </x:c>
      <x:c r="P73" s="219" t="str">
        <x:f>IF($N73="完整支援者","是","否")</x:f>
        <x:v>否</x:v>
      </x:c>
    </x:row>
    <x:row r="74">
      <x:c r="A74" s="79" t="str">
        <x:v>SUP|1025|LJT-PERIO</x:v>
      </x:c>
      <x:c r="B74" s="79" t="str">
        <x:v>1025</x:v>
      </x:c>
      <x:c r="C74" s="79" t="str"/>
      <x:c r="D74" s="79" t="str">
        <x:v>LJT-PERIO</x:v>
      </x:c>
      <x:c r="E74" s="79" t="str">
        <x:v>牙周統合</x:v>
      </x:c>
      <x:c r="F74" s="79" t="str">
        <x:v>一般</x:v>
      </x:c>
      <x:c r="G74" s="79" t="str">
        <x:v>不可正式排</x:v>
      </x:c>
      <x:c r="H74" s="79" t="str">
        <x:v>待確認共通技能門檻</x:v>
      </x:c>
      <x:c r="I74" s="219" t="str">
        <x:f>IF($G74&lt;&gt;"初步可獨立","不建議",IF($H74="初步可獨立","完整支援者","技術備援者"))</x:f>
        <x:v>不建議</x:v>
      </x:c>
      <x:c r="J74" s="220" t="str">
        <x:v>待核定</x:v>
      </x:c>
      <x:c r="K74" s="221"/>
      <x:c r="L74" s="220"/>
      <x:c r="M74" s="220"/>
      <x:c r="N74" s="219" t="str">
        <x:f>IF($J74="暫停","資格暫停",IF($J74="不核定","不核定",IF($J74="核定完整支援者",IF($I74&lt;&gt;"完整支援者","核定條件未達",IF(OR($K74="",$L74=""),"核定資料未完整","完整支援者")),IF($J74="核定技術備援者",IF(AND($I74&lt;&gt;"完整支援者",$I74&lt;&gt;"技術備援者"),"核定條件未達",IF(OR($K74="",$L74=""),"核定資料未完整","技術備援者")),"待主管核定"))))</x:f>
        <x:v>待主管核定</x:v>
      </x:c>
      <x:c r="O74" s="219" t="n">
        <x:f>IF($N74="完整支援者",2,IF($N74="技術備援者",1,0))</x:f>
        <x:v>0</x:v>
      </x:c>
      <x:c r="P74" s="219" t="str">
        <x:f>IF($N74="完整支援者","是","否")</x:f>
        <x:v>否</x:v>
      </x:c>
    </x:row>
    <x:row r="75">
      <x:c r="A75" s="79" t="str">
        <x:v>SUP|1025|LJT-RCT</x:v>
      </x:c>
      <x:c r="B75" s="79" t="str">
        <x:v>1025</x:v>
      </x:c>
      <x:c r="C75" s="79" t="str"/>
      <x:c r="D75" s="79" t="str">
        <x:v>LJT-RCT</x:v>
      </x:c>
      <x:c r="E75" s="79" t="str">
        <x:v>一般根管治療</x:v>
      </x:c>
      <x:c r="F75" s="79" t="str">
        <x:v>一般</x:v>
      </x:c>
      <x:c r="G75" s="79" t="str">
        <x:v>不可正式排</x:v>
      </x:c>
      <x:c r="H75" s="79" t="str">
        <x:v>待確認共通技能門檻</x:v>
      </x:c>
      <x:c r="I75" s="219" t="str">
        <x:f>IF($G75&lt;&gt;"初步可獨立","不建議",IF($H75="初步可獨立","完整支援者","技術備援者"))</x:f>
        <x:v>不建議</x:v>
      </x:c>
      <x:c r="J75" s="220" t="str">
        <x:v>待核定</x:v>
      </x:c>
      <x:c r="K75" s="221"/>
      <x:c r="L75" s="220"/>
      <x:c r="M75" s="220"/>
      <x:c r="N75" s="219" t="str">
        <x:f>IF($J75="暫停","資格暫停",IF($J75="不核定","不核定",IF($J75="核定完整支援者",IF($I75&lt;&gt;"完整支援者","核定條件未達",IF(OR($K75="",$L75=""),"核定資料未完整","完整支援者")),IF($J75="核定技術備援者",IF(AND($I75&lt;&gt;"完整支援者",$I75&lt;&gt;"技術備援者"),"核定條件未達",IF(OR($K75="",$L75=""),"核定資料未完整","技術備援者")),"待主管核定"))))</x:f>
        <x:v>待主管核定</x:v>
      </x:c>
      <x:c r="O75" s="219" t="n">
        <x:f>IF($N75="完整支援者",2,IF($N75="技術備援者",1,0))</x:f>
        <x:v>0</x:v>
      </x:c>
      <x:c r="P75" s="219" t="str">
        <x:f>IF($N75="完整支援者","是","否")</x:f>
        <x:v>否</x:v>
      </x:c>
    </x:row>
    <x:row r="76">
      <x:c r="A76" s="79" t="str">
        <x:v>SUP|1025|LJT-EXTRACTION</x:v>
      </x:c>
      <x:c r="B76" s="79" t="str">
        <x:v>1025</x:v>
      </x:c>
      <x:c r="C76" s="79" t="str"/>
      <x:c r="D76" s="79" t="str">
        <x:v>LJT-EXTRACTION</x:v>
      </x:c>
      <x:c r="E76" s="79" t="str">
        <x:v>拔牙</x:v>
      </x:c>
      <x:c r="F76" s="79" t="str">
        <x:v>一般</x:v>
      </x:c>
      <x:c r="G76" s="79" t="str">
        <x:v>不可正式排</x:v>
      </x:c>
      <x:c r="H76" s="79" t="str">
        <x:v>待確認共通技能門檻</x:v>
      </x:c>
      <x:c r="I76" s="219" t="str">
        <x:f>IF($G76&lt;&gt;"初步可獨立","不建議",IF($H76="初步可獨立","完整支援者","技術備援者"))</x:f>
        <x:v>不建議</x:v>
      </x:c>
      <x:c r="J76" s="220" t="str">
        <x:v>待核定</x:v>
      </x:c>
      <x:c r="K76" s="221"/>
      <x:c r="L76" s="220"/>
      <x:c r="M76" s="220"/>
      <x:c r="N76" s="219" t="str">
        <x:f>IF($J76="暫停","資格暫停",IF($J76="不核定","不核定",IF($J76="核定完整支援者",IF($I76&lt;&gt;"完整支援者","核定條件未達",IF(OR($K76="",$L76=""),"核定資料未完整","完整支援者")),IF($J76="核定技術備援者",IF(AND($I76&lt;&gt;"完整支援者",$I76&lt;&gt;"技術備援者"),"核定條件未達",IF(OR($K76="",$L76=""),"核定資料未完整","技術備援者")),"待主管核定"))))</x:f>
        <x:v>待主管核定</x:v>
      </x:c>
      <x:c r="O76" s="219" t="n">
        <x:f>IF($N76="完整支援者",2,IF($N76="技術備援者",1,0))</x:f>
        <x:v>0</x:v>
      </x:c>
      <x:c r="P76" s="219" t="str">
        <x:f>IF($N76="完整支援者","是","否")</x:f>
        <x:v>否</x:v>
      </x:c>
    </x:row>
    <x:row r="77">
      <x:c r="A77" s="79" t="str">
        <x:v>SUP|1025|LJT-CROWNPOST</x:v>
      </x:c>
      <x:c r="B77" s="79" t="str">
        <x:v>1025</x:v>
      </x:c>
      <x:c r="C77" s="79" t="str"/>
      <x:c r="D77" s="79" t="str">
        <x:v>LJT-CROWNPOST</x:v>
      </x:c>
      <x:c r="E77" s="79" t="str">
        <x:v>拆 crown/post</x:v>
      </x:c>
      <x:c r="F77" s="79" t="str">
        <x:v>一般</x:v>
      </x:c>
      <x:c r="G77" s="79" t="str">
        <x:v>不可正式排</x:v>
      </x:c>
      <x:c r="H77" s="79" t="str">
        <x:v>待確認共通技能門檻</x:v>
      </x:c>
      <x:c r="I77" s="219" t="str">
        <x:f>IF($G77&lt;&gt;"初步可獨立","不建議",IF($H77="初步可獨立","完整支援者","技術備援者"))</x:f>
        <x:v>不建議</x:v>
      </x:c>
      <x:c r="J77" s="220" t="str">
        <x:v>待核定</x:v>
      </x:c>
      <x:c r="K77" s="221"/>
      <x:c r="L77" s="220"/>
      <x:c r="M77" s="220"/>
      <x:c r="N77" s="219" t="str">
        <x:f>IF($J77="暫停","資格暫停",IF($J77="不核定","不核定",IF($J77="核定完整支援者",IF($I77&lt;&gt;"完整支援者","核定條件未達",IF(OR($K77="",$L77=""),"核定資料未完整","完整支援者")),IF($J77="核定技術備援者",IF(AND($I77&lt;&gt;"完整支援者",$I77&lt;&gt;"技術備援者"),"核定條件未達",IF(OR($K77="",$L77=""),"核定資料未完整","技術備援者")),"待主管核定"))))</x:f>
        <x:v>待主管核定</x:v>
      </x:c>
      <x:c r="O77" s="219" t="n">
        <x:f>IF($N77="完整支援者",2,IF($N77="技術備援者",1,0))</x:f>
        <x:v>0</x:v>
      </x:c>
      <x:c r="P77" s="219" t="str">
        <x:f>IF($N77="完整支援者","是","否")</x:f>
        <x:v>否</x:v>
      </x:c>
    </x:row>
    <x:row r="78">
      <x:c r="A78" s="79" t="str">
        <x:v>SUP|1025|LJT-CROWN</x:v>
      </x:c>
      <x:c r="B78" s="79" t="str">
        <x:v>1025</x:v>
      </x:c>
      <x:c r="C78" s="79" t="str"/>
      <x:c r="D78" s="79" t="str">
        <x:v>LJT-CROWN</x:v>
      </x:c>
      <x:c r="E78" s="79" t="str">
        <x:v>固定假牙</x:v>
      </x:c>
      <x:c r="F78" s="79" t="str">
        <x:v>一般</x:v>
      </x:c>
      <x:c r="G78" s="79" t="str">
        <x:v>不可正式排</x:v>
      </x:c>
      <x:c r="H78" s="79" t="str">
        <x:v>待確認共通技能門檻</x:v>
      </x:c>
      <x:c r="I78" s="219" t="str">
        <x:f>IF($G78&lt;&gt;"初步可獨立","不建議",IF($H78="初步可獨立","完整支援者","技術備援者"))</x:f>
        <x:v>不建議</x:v>
      </x:c>
      <x:c r="J78" s="220" t="str">
        <x:v>待核定</x:v>
      </x:c>
      <x:c r="K78" s="221"/>
      <x:c r="L78" s="220"/>
      <x:c r="M78" s="220"/>
      <x:c r="N78" s="219" t="str">
        <x:f>IF($J78="暫停","資格暫停",IF($J78="不核定","不核定",IF($J78="核定完整支援者",IF($I78&lt;&gt;"完整支援者","核定條件未達",IF(OR($K78="",$L78=""),"核定資料未完整","完整支援者")),IF($J78="核定技術備援者",IF(AND($I78&lt;&gt;"完整支援者",$I78&lt;&gt;"技術備援者"),"核定條件未達",IF(OR($K78="",$L78=""),"核定資料未完整","技術備援者")),"待主管核定"))))</x:f>
        <x:v>待主管核定</x:v>
      </x:c>
      <x:c r="O78" s="219" t="n">
        <x:f>IF($N78="完整支援者",2,IF($N78="技術備援者",1,0))</x:f>
        <x:v>0</x:v>
      </x:c>
      <x:c r="P78" s="219" t="str">
        <x:f>IF($N78="完整支援者","是","否")</x:f>
        <x:v>否</x:v>
      </x:c>
    </x:row>
    <x:row r="79">
      <x:c r="A79" s="79" t="str">
        <x:v>SUP|1025|LJT-RPD</x:v>
      </x:c>
      <x:c r="B79" s="79" t="str">
        <x:v>1025</x:v>
      </x:c>
      <x:c r="C79" s="79" t="str"/>
      <x:c r="D79" s="79" t="str">
        <x:v>LJT-RPD</x:v>
      </x:c>
      <x:c r="E79" s="79" t="str">
        <x:v>RPD</x:v>
      </x:c>
      <x:c r="F79" s="79" t="str">
        <x:v>一般</x:v>
      </x:c>
      <x:c r="G79" s="79" t="str">
        <x:v>不可正式排</x:v>
      </x:c>
      <x:c r="H79" s="79" t="str">
        <x:v>待確認共通技能門檻</x:v>
      </x:c>
      <x:c r="I79" s="219" t="str">
        <x:f>IF($G79&lt;&gt;"初步可獨立","不建議",IF($H79="初步可獨立","完整支援者","技術備援者"))</x:f>
        <x:v>不建議</x:v>
      </x:c>
      <x:c r="J79" s="220" t="str">
        <x:v>待核定</x:v>
      </x:c>
      <x:c r="K79" s="221"/>
      <x:c r="L79" s="220"/>
      <x:c r="M79" s="220"/>
      <x:c r="N79" s="219" t="str">
        <x:f>IF($J79="暫停","資格暫停",IF($J79="不核定","不核定",IF($J79="核定完整支援者",IF($I79&lt;&gt;"完整支援者","核定條件未達",IF(OR($K79="",$L79=""),"核定資料未完整","完整支援者")),IF($J79="核定技術備援者",IF(AND($I79&lt;&gt;"完整支援者",$I79&lt;&gt;"技術備援者"),"核定條件未達",IF(OR($K79="",$L79=""),"核定資料未完整","技術備援者")),"待主管核定"))))</x:f>
        <x:v>待主管核定</x:v>
      </x:c>
      <x:c r="O79" s="219" t="n">
        <x:f>IF($N79="完整支援者",2,IF($N79="技術備援者",1,0))</x:f>
        <x:v>0</x:v>
      </x:c>
      <x:c r="P79" s="219" t="str">
        <x:f>IF($N79="完整支援者","是","否")</x:f>
        <x:v>否</x:v>
      </x:c>
    </x:row>
    <x:row r="80">
      <x:c r="A80" s="79" t="str">
        <x:v>SUP|1025|LJT-RPD-FINAL</x:v>
      </x:c>
      <x:c r="B80" s="79" t="str">
        <x:v>1025</x:v>
      </x:c>
      <x:c r="C80" s="79" t="str"/>
      <x:c r="D80" s="79" t="str">
        <x:v>LJT-RPD-FINAL</x:v>
      </x:c>
      <x:c r="E80" s="79" t="str">
        <x:v>RPD</x:v>
      </x:c>
      <x:c r="F80" s="79" t="str">
        <x:v>特殊階段</x:v>
      </x:c>
      <x:c r="G80" s="79" t="str">
        <x:v>不可正式排</x:v>
      </x:c>
      <x:c r="H80" s="79" t="str">
        <x:v>待確認共通技能門檻</x:v>
      </x:c>
      <x:c r="I80" s="219" t="str">
        <x:f>IF($G80&lt;&gt;"初步可獨立","不建議",IF($H80="初步可獨立","完整支援者","技術備援者"))</x:f>
        <x:v>不建議</x:v>
      </x:c>
      <x:c r="J80" s="220" t="str">
        <x:v>待核定</x:v>
      </x:c>
      <x:c r="K80" s="221"/>
      <x:c r="L80" s="220"/>
      <x:c r="M80" s="220"/>
      <x:c r="N80" s="219" t="str">
        <x:f>IF($J80="暫停","資格暫停",IF($J80="不核定","不核定",IF($J80="核定完整支援者",IF($I80&lt;&gt;"完整支援者","核定條件未達",IF(OR($K80="",$L80=""),"核定資料未完整","完整支援者")),IF($J80="核定技術備援者",IF(AND($I80&lt;&gt;"完整支援者",$I80&lt;&gt;"技術備援者"),"核定條件未達",IF(OR($K80="",$L80=""),"核定資料未完整","技術備援者")),"待主管核定"))))</x:f>
        <x:v>待主管核定</x:v>
      </x:c>
      <x:c r="O80" s="219" t="n">
        <x:f>IF($N80="完整支援者",2,IF($N80="技術備援者",1,0))</x:f>
        <x:v>0</x:v>
      </x:c>
      <x:c r="P80" s="219" t="str">
        <x:f>IF($N80="完整支援者","是","否")</x:f>
        <x:v>否</x:v>
      </x:c>
    </x:row>
    <x:row r="81">
      <x:c r="A81" s="79" t="str">
        <x:v>SUP|1025|LJT-AIRPOLISH</x:v>
      </x:c>
      <x:c r="B81" s="79" t="str">
        <x:v>1025</x:v>
      </x:c>
      <x:c r="C81" s="79" t="str"/>
      <x:c r="D81" s="79" t="str">
        <x:v>LJT-AIRPOLISH</x:v>
      </x:c>
      <x:c r="E81" s="79" t="str">
        <x:v>噴砂美白</x:v>
      </x:c>
      <x:c r="F81" s="79" t="str">
        <x:v>一般</x:v>
      </x:c>
      <x:c r="G81" s="79" t="str">
        <x:v>不可正式排</x:v>
      </x:c>
      <x:c r="H81" s="79" t="str">
        <x:v>待確認共通技能門檻</x:v>
      </x:c>
      <x:c r="I81" s="219" t="str">
        <x:f>IF($G81&lt;&gt;"初步可獨立","不建議",IF($H81="初步可獨立","完整支援者","技術備援者"))</x:f>
        <x:v>不建議</x:v>
      </x:c>
      <x:c r="J81" s="220" t="str">
        <x:v>待核定</x:v>
      </x:c>
      <x:c r="K81" s="221"/>
      <x:c r="L81" s="220"/>
      <x:c r="M81" s="220"/>
      <x:c r="N81" s="219" t="str">
        <x:f>IF($J81="暫停","資格暫停",IF($J81="不核定","不核定",IF($J81="核定完整支援者",IF($I81&lt;&gt;"完整支援者","核定條件未達",IF(OR($K81="",$L81=""),"核定資料未完整","完整支援者")),IF($J81="核定技術備援者",IF(AND($I81&lt;&gt;"完整支援者",$I81&lt;&gt;"技術備援者"),"核定條件未達",IF(OR($K81="",$L81=""),"核定資料未完整","技術備援者")),"待主管核定"))))</x:f>
        <x:v>待主管核定</x:v>
      </x:c>
      <x:c r="O81" s="219" t="n">
        <x:f>IF($N81="完整支援者",2,IF($N81="技術備援者",1,0))</x:f>
        <x:v>0</x:v>
      </x:c>
      <x:c r="P81" s="219" t="str">
        <x:f>IF($N81="完整支援者","是","否")</x:f>
        <x:v>否</x:v>
      </x:c>
    </x:row>
    <x:row r="82">
      <x:c r="A82" s="79" t="str">
        <x:v>SUP|1025|LJT-PERIOSURG</x:v>
      </x:c>
      <x:c r="B82" s="79" t="str">
        <x:v>1025</x:v>
      </x:c>
      <x:c r="C82" s="79" t="str"/>
      <x:c r="D82" s="79" t="str">
        <x:v>LJT-PERIOSURG</x:v>
      </x:c>
      <x:c r="E82" s="79" t="str">
        <x:v>牙周手術</x:v>
      </x:c>
      <x:c r="F82" s="79" t="str">
        <x:v>高複雜度</x:v>
      </x:c>
      <x:c r="G82" s="79" t="str">
        <x:v>不可正式排</x:v>
      </x:c>
      <x:c r="H82" s="79" t="str">
        <x:v>待確認共通技能門檻</x:v>
      </x:c>
      <x:c r="I82" s="219" t="str">
        <x:f>IF($G82&lt;&gt;"初步可獨立","不建議",IF($H82="初步可獨立","完整支援者","技術備援者"))</x:f>
        <x:v>不建議</x:v>
      </x:c>
      <x:c r="J82" s="220" t="str">
        <x:v>待核定</x:v>
      </x:c>
      <x:c r="K82" s="221"/>
      <x:c r="L82" s="220"/>
      <x:c r="M82" s="220"/>
      <x:c r="N82" s="219" t="str">
        <x:f>IF($J82="暫停","資格暫停",IF($J82="不核定","不核定",IF($J82="核定完整支援者",IF($I82&lt;&gt;"完整支援者","核定條件未達",IF(OR($K82="",$L82=""),"核定資料未完整","完整支援者")),IF($J82="核定技術備援者",IF(AND($I82&lt;&gt;"完整支援者",$I82&lt;&gt;"技術備援者"),"核定條件未達",IF(OR($K82="",$L82=""),"核定資料未完整","技術備援者")),"待主管核定"))))</x:f>
        <x:v>待主管核定</x:v>
      </x:c>
      <x:c r="O82" s="219" t="n">
        <x:f>IF($N82="完整支援者",2,IF($N82="技術備援者",1,0))</x:f>
        <x:v>0</x:v>
      </x:c>
      <x:c r="P82" s="219" t="str">
        <x:f>IF($N82="完整支援者","是","否")</x:f>
        <x:v>否</x:v>
      </x:c>
    </x:row>
    <x:row r="83">
      <x:c r="A83" s="79" t="str">
        <x:v>SUP|1025|LJT-MICROENDO</x:v>
      </x:c>
      <x:c r="B83" s="79" t="str">
        <x:v>1025</x:v>
      </x:c>
      <x:c r="C83" s="79" t="str"/>
      <x:c r="D83" s="79" t="str">
        <x:v>LJT-MICROENDO</x:v>
      </x:c>
      <x:c r="E83" s="79" t="str">
        <x:v>顯微根管</x:v>
      </x:c>
      <x:c r="F83" s="79" t="str">
        <x:v>高複雜度</x:v>
      </x:c>
      <x:c r="G83" s="79" t="str">
        <x:v>不可正式排</x:v>
      </x:c>
      <x:c r="H83" s="79" t="str">
        <x:v>待確認共通技能門檻</x:v>
      </x:c>
      <x:c r="I83" s="219" t="str">
        <x:f>IF($G83&lt;&gt;"初步可獨立","不建議",IF($H83="初步可獨立","完整支援者","技術備援者"))</x:f>
        <x:v>不建議</x:v>
      </x:c>
      <x:c r="J83" s="220" t="str">
        <x:v>待核定</x:v>
      </x:c>
      <x:c r="K83" s="221"/>
      <x:c r="L83" s="220"/>
      <x:c r="M83" s="220"/>
      <x:c r="N83" s="219" t="str">
        <x:f>IF($J83="暫停","資格暫停",IF($J83="不核定","不核定",IF($J83="核定完整支援者",IF($I83&lt;&gt;"完整支援者","核定條件未達",IF(OR($K83="",$L83=""),"核定資料未完整","完整支援者")),IF($J83="核定技術備援者",IF(AND($I83&lt;&gt;"完整支援者",$I83&lt;&gt;"技術備援者"),"核定條件未達",IF(OR($K83="",$L83=""),"核定資料未完整","技術備援者")),"待主管核定"))))</x:f>
        <x:v>待主管核定</x:v>
      </x:c>
      <x:c r="O83" s="219" t="n">
        <x:f>IF($N83="完整支援者",2,IF($N83="技術備援者",1,0))</x:f>
        <x:v>0</x:v>
      </x:c>
      <x:c r="P83" s="219" t="str">
        <x:f>IF($N83="完整支援者","是","否")</x:f>
        <x:v>否</x:v>
      </x:c>
    </x:row>
    <x:row r="84">
      <x:c r="A84" s="79" t="str">
        <x:v>SUP|1025|LJT-IMPLANT</x:v>
      </x:c>
      <x:c r="B84" s="79" t="str">
        <x:v>1025</x:v>
      </x:c>
      <x:c r="C84" s="79" t="str"/>
      <x:c r="D84" s="79" t="str">
        <x:v>LJT-IMPLANT</x:v>
      </x:c>
      <x:c r="E84" s="79" t="str">
        <x:v>植牙</x:v>
      </x:c>
      <x:c r="F84" s="79" t="str">
        <x:v>高複雜度</x:v>
      </x:c>
      <x:c r="G84" s="79" t="str">
        <x:v>不可正式排</x:v>
      </x:c>
      <x:c r="H84" s="79" t="str">
        <x:v>待確認共通技能門檻</x:v>
      </x:c>
      <x:c r="I84" s="219" t="str">
        <x:f>IF($G84&lt;&gt;"初步可獨立","不建議",IF($H84="初步可獨立","完整支援者","技術備援者"))</x:f>
        <x:v>不建議</x:v>
      </x:c>
      <x:c r="J84" s="220" t="str">
        <x:v>待核定</x:v>
      </x:c>
      <x:c r="K84" s="221"/>
      <x:c r="L84" s="220"/>
      <x:c r="M84" s="220"/>
      <x:c r="N84" s="219" t="str">
        <x:f>IF($J84="暫停","資格暫停",IF($J84="不核定","不核定",IF($J84="核定完整支援者",IF($I84&lt;&gt;"完整支援者","核定條件未達",IF(OR($K84="",$L84=""),"核定資料未完整","完整支援者")),IF($J84="核定技術備援者",IF(AND($I84&lt;&gt;"完整支援者",$I84&lt;&gt;"技術備援者"),"核定條件未達",IF(OR($K84="",$L84=""),"核定資料未完整","技術備援者")),"待主管核定"))))</x:f>
        <x:v>待主管核定</x:v>
      </x:c>
      <x:c r="O84" s="219" t="n">
        <x:f>IF($N84="完整支援者",2,IF($N84="技術備援者",1,0))</x:f>
        <x:v>0</x:v>
      </x:c>
      <x:c r="P84" s="219" t="str">
        <x:f>IF($N84="完整支援者","是","否")</x:f>
        <x:v>否</x:v>
      </x:c>
    </x:row>
    <x:row r="85">
      <x:c r="A85" s="79" t="str">
        <x:v>SUP|1026|LJT-SCALING</x:v>
      </x:c>
      <x:c r="B85" s="79" t="str">
        <x:v>1026</x:v>
      </x:c>
      <x:c r="C85" s="79" t="str"/>
      <x:c r="D85" s="79" t="str">
        <x:v>LJT-SCALING</x:v>
      </x:c>
      <x:c r="E85" s="79" t="str">
        <x:v>洗牙</x:v>
      </x:c>
      <x:c r="F85" s="79" t="str">
        <x:v>一般</x:v>
      </x:c>
      <x:c r="G85" s="79" t="str">
        <x:v>不可正式排</x:v>
      </x:c>
      <x:c r="H85" s="79" t="str">
        <x:v>待確認共通技能門檻</x:v>
      </x:c>
      <x:c r="I85" s="219" t="str">
        <x:f>IF($G85&lt;&gt;"初步可獨立","不建議",IF($H85="初步可獨立","完整支援者","技術備援者"))</x:f>
        <x:v>不建議</x:v>
      </x:c>
      <x:c r="J85" s="220" t="str">
        <x:v>待核定</x:v>
      </x:c>
      <x:c r="K85" s="221"/>
      <x:c r="L85" s="220"/>
      <x:c r="M85" s="220"/>
      <x:c r="N85" s="219" t="str">
        <x:f>IF($J85="暫停","資格暫停",IF($J85="不核定","不核定",IF($J85="核定完整支援者",IF($I85&lt;&gt;"完整支援者","核定條件未達",IF(OR($K85="",$L85=""),"核定資料未完整","完整支援者")),IF($J85="核定技術備援者",IF(AND($I85&lt;&gt;"完整支援者",$I85&lt;&gt;"技術備援者"),"核定條件未達",IF(OR($K85="",$L85=""),"核定資料未完整","技術備援者")),"待主管核定"))))</x:f>
        <x:v>待主管核定</x:v>
      </x:c>
      <x:c r="O85" s="219" t="n">
        <x:f>IF($N85="完整支援者",2,IF($N85="技術備援者",1,0))</x:f>
        <x:v>0</x:v>
      </x:c>
      <x:c r="P85" s="219" t="str">
        <x:f>IF($N85="完整支援者","是","否")</x:f>
        <x:v>否</x:v>
      </x:c>
    </x:row>
    <x:row r="86">
      <x:c r="A86" s="79" t="str">
        <x:v>SUP|1026|LJT-FILLING</x:v>
      </x:c>
      <x:c r="B86" s="79" t="str">
        <x:v>1026</x:v>
      </x:c>
      <x:c r="C86" s="79" t="str"/>
      <x:c r="D86" s="79" t="str">
        <x:v>LJT-FILLING</x:v>
      </x:c>
      <x:c r="E86" s="79" t="str">
        <x:v>補牙</x:v>
      </x:c>
      <x:c r="F86" s="79" t="str">
        <x:v>一般</x:v>
      </x:c>
      <x:c r="G86" s="79" t="str">
        <x:v>不可正式排</x:v>
      </x:c>
      <x:c r="H86" s="79" t="str">
        <x:v>待確認共通技能門檻</x:v>
      </x:c>
      <x:c r="I86" s="219" t="str">
        <x:f>IF($G86&lt;&gt;"初步可獨立","不建議",IF($H86="初步可獨立","完整支援者","技術備援者"))</x:f>
        <x:v>不建議</x:v>
      </x:c>
      <x:c r="J86" s="220" t="str">
        <x:v>待核定</x:v>
      </x:c>
      <x:c r="K86" s="221"/>
      <x:c r="L86" s="220"/>
      <x:c r="M86" s="220"/>
      <x:c r="N86" s="219" t="str">
        <x:f>IF($J86="暫停","資格暫停",IF($J86="不核定","不核定",IF($J86="核定完整支援者",IF($I86&lt;&gt;"完整支援者","核定條件未達",IF(OR($K86="",$L86=""),"核定資料未完整","完整支援者")),IF($J86="核定技術備援者",IF(AND($I86&lt;&gt;"完整支援者",$I86&lt;&gt;"技術備援者"),"核定條件未達",IF(OR($K86="",$L86=""),"核定資料未完整","技術備援者")),"待主管核定"))))</x:f>
        <x:v>待主管核定</x:v>
      </x:c>
      <x:c r="O86" s="219" t="n">
        <x:f>IF($N86="完整支援者",2,IF($N86="技術備援者",1,0))</x:f>
        <x:v>0</x:v>
      </x:c>
      <x:c r="P86" s="219" t="str">
        <x:f>IF($N86="完整支援者","是","否")</x:f>
        <x:v>否</x:v>
      </x:c>
    </x:row>
    <x:row r="87">
      <x:c r="A87" s="79" t="str">
        <x:v>SUP|1026|LJT-PERIO</x:v>
      </x:c>
      <x:c r="B87" s="79" t="str">
        <x:v>1026</x:v>
      </x:c>
      <x:c r="C87" s="79" t="str"/>
      <x:c r="D87" s="79" t="str">
        <x:v>LJT-PERIO</x:v>
      </x:c>
      <x:c r="E87" s="79" t="str">
        <x:v>牙周統合</x:v>
      </x:c>
      <x:c r="F87" s="79" t="str">
        <x:v>一般</x:v>
      </x:c>
      <x:c r="G87" s="79" t="str">
        <x:v>不可正式排</x:v>
      </x:c>
      <x:c r="H87" s="79" t="str">
        <x:v>待確認共通技能門檻</x:v>
      </x:c>
      <x:c r="I87" s="219" t="str">
        <x:f>IF($G87&lt;&gt;"初步可獨立","不建議",IF($H87="初步可獨立","完整支援者","技術備援者"))</x:f>
        <x:v>不建議</x:v>
      </x:c>
      <x:c r="J87" s="220" t="str">
        <x:v>待核定</x:v>
      </x:c>
      <x:c r="K87" s="221"/>
      <x:c r="L87" s="220"/>
      <x:c r="M87" s="220"/>
      <x:c r="N87" s="219" t="str">
        <x:f>IF($J87="暫停","資格暫停",IF($J87="不核定","不核定",IF($J87="核定完整支援者",IF($I87&lt;&gt;"完整支援者","核定條件未達",IF(OR($K87="",$L87=""),"核定資料未完整","完整支援者")),IF($J87="核定技術備援者",IF(AND($I87&lt;&gt;"完整支援者",$I87&lt;&gt;"技術備援者"),"核定條件未達",IF(OR($K87="",$L87=""),"核定資料未完整","技術備援者")),"待主管核定"))))</x:f>
        <x:v>待主管核定</x:v>
      </x:c>
      <x:c r="O87" s="219" t="n">
        <x:f>IF($N87="完整支援者",2,IF($N87="技術備援者",1,0))</x:f>
        <x:v>0</x:v>
      </x:c>
      <x:c r="P87" s="219" t="str">
        <x:f>IF($N87="完整支援者","是","否")</x:f>
        <x:v>否</x:v>
      </x:c>
    </x:row>
    <x:row r="88">
      <x:c r="A88" s="79" t="str">
        <x:v>SUP|1026|LJT-RCT</x:v>
      </x:c>
      <x:c r="B88" s="79" t="str">
        <x:v>1026</x:v>
      </x:c>
      <x:c r="C88" s="79" t="str"/>
      <x:c r="D88" s="79" t="str">
        <x:v>LJT-RCT</x:v>
      </x:c>
      <x:c r="E88" s="79" t="str">
        <x:v>一般根管治療</x:v>
      </x:c>
      <x:c r="F88" s="79" t="str">
        <x:v>一般</x:v>
      </x:c>
      <x:c r="G88" s="79" t="str">
        <x:v>不可正式排</x:v>
      </x:c>
      <x:c r="H88" s="79" t="str">
        <x:v>待確認共通技能門檻</x:v>
      </x:c>
      <x:c r="I88" s="219" t="str">
        <x:f>IF($G88&lt;&gt;"初步可獨立","不建議",IF($H88="初步可獨立","完整支援者","技術備援者"))</x:f>
        <x:v>不建議</x:v>
      </x:c>
      <x:c r="J88" s="220" t="str">
        <x:v>待核定</x:v>
      </x:c>
      <x:c r="K88" s="221"/>
      <x:c r="L88" s="220"/>
      <x:c r="M88" s="220"/>
      <x:c r="N88" s="219" t="str">
        <x:f>IF($J88="暫停","資格暫停",IF($J88="不核定","不核定",IF($J88="核定完整支援者",IF($I88&lt;&gt;"完整支援者","核定條件未達",IF(OR($K88="",$L88=""),"核定資料未完整","完整支援者")),IF($J88="核定技術備援者",IF(AND($I88&lt;&gt;"完整支援者",$I88&lt;&gt;"技術備援者"),"核定條件未達",IF(OR($K88="",$L88=""),"核定資料未完整","技術備援者")),"待主管核定"))))</x:f>
        <x:v>待主管核定</x:v>
      </x:c>
      <x:c r="O88" s="219" t="n">
        <x:f>IF($N88="完整支援者",2,IF($N88="技術備援者",1,0))</x:f>
        <x:v>0</x:v>
      </x:c>
      <x:c r="P88" s="219" t="str">
        <x:f>IF($N88="完整支援者","是","否")</x:f>
        <x:v>否</x:v>
      </x:c>
    </x:row>
    <x:row r="89">
      <x:c r="A89" s="79" t="str">
        <x:v>SUP|1026|LJT-EXTRACTION</x:v>
      </x:c>
      <x:c r="B89" s="79" t="str">
        <x:v>1026</x:v>
      </x:c>
      <x:c r="C89" s="79" t="str"/>
      <x:c r="D89" s="79" t="str">
        <x:v>LJT-EXTRACTION</x:v>
      </x:c>
      <x:c r="E89" s="79" t="str">
        <x:v>拔牙</x:v>
      </x:c>
      <x:c r="F89" s="79" t="str">
        <x:v>一般</x:v>
      </x:c>
      <x:c r="G89" s="79" t="str">
        <x:v>不可正式排</x:v>
      </x:c>
      <x:c r="H89" s="79" t="str">
        <x:v>待確認共通技能門檻</x:v>
      </x:c>
      <x:c r="I89" s="219" t="str">
        <x:f>IF($G89&lt;&gt;"初步可獨立","不建議",IF($H89="初步可獨立","完整支援者","技術備援者"))</x:f>
        <x:v>不建議</x:v>
      </x:c>
      <x:c r="J89" s="220" t="str">
        <x:v>待核定</x:v>
      </x:c>
      <x:c r="K89" s="221"/>
      <x:c r="L89" s="220"/>
      <x:c r="M89" s="220"/>
      <x:c r="N89" s="219" t="str">
        <x:f>IF($J89="暫停","資格暫停",IF($J89="不核定","不核定",IF($J89="核定完整支援者",IF($I89&lt;&gt;"完整支援者","核定條件未達",IF(OR($K89="",$L89=""),"核定資料未完整","完整支援者")),IF($J89="核定技術備援者",IF(AND($I89&lt;&gt;"完整支援者",$I89&lt;&gt;"技術備援者"),"核定條件未達",IF(OR($K89="",$L89=""),"核定資料未完整","技術備援者")),"待主管核定"))))</x:f>
        <x:v>待主管核定</x:v>
      </x:c>
      <x:c r="O89" s="219" t="n">
        <x:f>IF($N89="完整支援者",2,IF($N89="技術備援者",1,0))</x:f>
        <x:v>0</x:v>
      </x:c>
      <x:c r="P89" s="219" t="str">
        <x:f>IF($N89="完整支援者","是","否")</x:f>
        <x:v>否</x:v>
      </x:c>
    </x:row>
    <x:row r="90">
      <x:c r="A90" s="79" t="str">
        <x:v>SUP|1026|LJT-CROWNPOST</x:v>
      </x:c>
      <x:c r="B90" s="79" t="str">
        <x:v>1026</x:v>
      </x:c>
      <x:c r="C90" s="79" t="str"/>
      <x:c r="D90" s="79" t="str">
        <x:v>LJT-CROWNPOST</x:v>
      </x:c>
      <x:c r="E90" s="79" t="str">
        <x:v>拆 crown/post</x:v>
      </x:c>
      <x:c r="F90" s="79" t="str">
        <x:v>一般</x:v>
      </x:c>
      <x:c r="G90" s="79" t="str">
        <x:v>不可正式排</x:v>
      </x:c>
      <x:c r="H90" s="79" t="str">
        <x:v>待確認共通技能門檻</x:v>
      </x:c>
      <x:c r="I90" s="219" t="str">
        <x:f>IF($G90&lt;&gt;"初步可獨立","不建議",IF($H90="初步可獨立","完整支援者","技術備援者"))</x:f>
        <x:v>不建議</x:v>
      </x:c>
      <x:c r="J90" s="220" t="str">
        <x:v>待核定</x:v>
      </x:c>
      <x:c r="K90" s="221"/>
      <x:c r="L90" s="220"/>
      <x:c r="M90" s="220"/>
      <x:c r="N90" s="219" t="str">
        <x:f>IF($J90="暫停","資格暫停",IF($J90="不核定","不核定",IF($J90="核定完整支援者",IF($I90&lt;&gt;"完整支援者","核定條件未達",IF(OR($K90="",$L90=""),"核定資料未完整","完整支援者")),IF($J90="核定技術備援者",IF(AND($I90&lt;&gt;"完整支援者",$I90&lt;&gt;"技術備援者"),"核定條件未達",IF(OR($K90="",$L90=""),"核定資料未完整","技術備援者")),"待主管核定"))))</x:f>
        <x:v>待主管核定</x:v>
      </x:c>
      <x:c r="O90" s="219" t="n">
        <x:f>IF($N90="完整支援者",2,IF($N90="技術備援者",1,0))</x:f>
        <x:v>0</x:v>
      </x:c>
      <x:c r="P90" s="219" t="str">
        <x:f>IF($N90="完整支援者","是","否")</x:f>
        <x:v>否</x:v>
      </x:c>
    </x:row>
    <x:row r="91">
      <x:c r="A91" s="79" t="str">
        <x:v>SUP|1026|LJT-CROWN</x:v>
      </x:c>
      <x:c r="B91" s="79" t="str">
        <x:v>1026</x:v>
      </x:c>
      <x:c r="C91" s="79" t="str"/>
      <x:c r="D91" s="79" t="str">
        <x:v>LJT-CROWN</x:v>
      </x:c>
      <x:c r="E91" s="79" t="str">
        <x:v>固定假牙</x:v>
      </x:c>
      <x:c r="F91" s="79" t="str">
        <x:v>一般</x:v>
      </x:c>
      <x:c r="G91" s="79" t="str">
        <x:v>不可正式排</x:v>
      </x:c>
      <x:c r="H91" s="79" t="str">
        <x:v>待確認共通技能門檻</x:v>
      </x:c>
      <x:c r="I91" s="219" t="str">
        <x:f>IF($G91&lt;&gt;"初步可獨立","不建議",IF($H91="初步可獨立","完整支援者","技術備援者"))</x:f>
        <x:v>不建議</x:v>
      </x:c>
      <x:c r="J91" s="220" t="str">
        <x:v>待核定</x:v>
      </x:c>
      <x:c r="K91" s="221"/>
      <x:c r="L91" s="220"/>
      <x:c r="M91" s="220"/>
      <x:c r="N91" s="219" t="str">
        <x:f>IF($J91="暫停","資格暫停",IF($J91="不核定","不核定",IF($J91="核定完整支援者",IF($I91&lt;&gt;"完整支援者","核定條件未達",IF(OR($K91="",$L91=""),"核定資料未完整","完整支援者")),IF($J91="核定技術備援者",IF(AND($I91&lt;&gt;"完整支援者",$I91&lt;&gt;"技術備援者"),"核定條件未達",IF(OR($K91="",$L91=""),"核定資料未完整","技術備援者")),"待主管核定"))))</x:f>
        <x:v>待主管核定</x:v>
      </x:c>
      <x:c r="O91" s="219" t="n">
        <x:f>IF($N91="完整支援者",2,IF($N91="技術備援者",1,0))</x:f>
        <x:v>0</x:v>
      </x:c>
      <x:c r="P91" s="219" t="str">
        <x:f>IF($N91="完整支援者","是","否")</x:f>
        <x:v>否</x:v>
      </x:c>
    </x:row>
    <x:row r="92">
      <x:c r="A92" s="79" t="str">
        <x:v>SUP|1026|LJT-RPD</x:v>
      </x:c>
      <x:c r="B92" s="79" t="str">
        <x:v>1026</x:v>
      </x:c>
      <x:c r="C92" s="79" t="str"/>
      <x:c r="D92" s="79" t="str">
        <x:v>LJT-RPD</x:v>
      </x:c>
      <x:c r="E92" s="79" t="str">
        <x:v>RPD</x:v>
      </x:c>
      <x:c r="F92" s="79" t="str">
        <x:v>一般</x:v>
      </x:c>
      <x:c r="G92" s="79" t="str">
        <x:v>不可正式排</x:v>
      </x:c>
      <x:c r="H92" s="79" t="str">
        <x:v>待確認共通技能門檻</x:v>
      </x:c>
      <x:c r="I92" s="219" t="str">
        <x:f>IF($G92&lt;&gt;"初步可獨立","不建議",IF($H92="初步可獨立","完整支援者","技術備援者"))</x:f>
        <x:v>不建議</x:v>
      </x:c>
      <x:c r="J92" s="220" t="str">
        <x:v>待核定</x:v>
      </x:c>
      <x:c r="K92" s="221"/>
      <x:c r="L92" s="220"/>
      <x:c r="M92" s="220"/>
      <x:c r="N92" s="219" t="str">
        <x:f>IF($J92="暫停","資格暫停",IF($J92="不核定","不核定",IF($J92="核定完整支援者",IF($I92&lt;&gt;"完整支援者","核定條件未達",IF(OR($K92="",$L92=""),"核定資料未完整","完整支援者")),IF($J92="核定技術備援者",IF(AND($I92&lt;&gt;"完整支援者",$I92&lt;&gt;"技術備援者"),"核定條件未達",IF(OR($K92="",$L92=""),"核定資料未完整","技術備援者")),"待主管核定"))))</x:f>
        <x:v>待主管核定</x:v>
      </x:c>
      <x:c r="O92" s="219" t="n">
        <x:f>IF($N92="完整支援者",2,IF($N92="技術備援者",1,0))</x:f>
        <x:v>0</x:v>
      </x:c>
      <x:c r="P92" s="219" t="str">
        <x:f>IF($N92="完整支援者","是","否")</x:f>
        <x:v>否</x:v>
      </x:c>
    </x:row>
    <x:row r="93">
      <x:c r="A93" s="79" t="str">
        <x:v>SUP|1026|LJT-RPD-FINAL</x:v>
      </x:c>
      <x:c r="B93" s="79" t="str">
        <x:v>1026</x:v>
      </x:c>
      <x:c r="C93" s="79" t="str"/>
      <x:c r="D93" s="79" t="str">
        <x:v>LJT-RPD-FINAL</x:v>
      </x:c>
      <x:c r="E93" s="79" t="str">
        <x:v>RPD</x:v>
      </x:c>
      <x:c r="F93" s="79" t="str">
        <x:v>特殊階段</x:v>
      </x:c>
      <x:c r="G93" s="79" t="str">
        <x:v>不可正式排</x:v>
      </x:c>
      <x:c r="H93" s="79" t="str">
        <x:v>待確認共通技能門檻</x:v>
      </x:c>
      <x:c r="I93" s="219" t="str">
        <x:f>IF($G93&lt;&gt;"初步可獨立","不建議",IF($H93="初步可獨立","完整支援者","技術備援者"))</x:f>
        <x:v>不建議</x:v>
      </x:c>
      <x:c r="J93" s="220" t="str">
        <x:v>待核定</x:v>
      </x:c>
      <x:c r="K93" s="221"/>
      <x:c r="L93" s="220"/>
      <x:c r="M93" s="220"/>
      <x:c r="N93" s="219" t="str">
        <x:f>IF($J93="暫停","資格暫停",IF($J93="不核定","不核定",IF($J93="核定完整支援者",IF($I93&lt;&gt;"完整支援者","核定條件未達",IF(OR($K93="",$L93=""),"核定資料未完整","完整支援者")),IF($J93="核定技術備援者",IF(AND($I93&lt;&gt;"完整支援者",$I93&lt;&gt;"技術備援者"),"核定條件未達",IF(OR($K93="",$L93=""),"核定資料未完整","技術備援者")),"待主管核定"))))</x:f>
        <x:v>待主管核定</x:v>
      </x:c>
      <x:c r="O93" s="219" t="n">
        <x:f>IF($N93="完整支援者",2,IF($N93="技術備援者",1,0))</x:f>
        <x:v>0</x:v>
      </x:c>
      <x:c r="P93" s="219" t="str">
        <x:f>IF($N93="完整支援者","是","否")</x:f>
        <x:v>否</x:v>
      </x:c>
    </x:row>
    <x:row r="94">
      <x:c r="A94" s="79" t="str">
        <x:v>SUP|1026|LJT-AIRPOLISH</x:v>
      </x:c>
      <x:c r="B94" s="79" t="str">
        <x:v>1026</x:v>
      </x:c>
      <x:c r="C94" s="79" t="str"/>
      <x:c r="D94" s="79" t="str">
        <x:v>LJT-AIRPOLISH</x:v>
      </x:c>
      <x:c r="E94" s="79" t="str">
        <x:v>噴砂美白</x:v>
      </x:c>
      <x:c r="F94" s="79" t="str">
        <x:v>一般</x:v>
      </x:c>
      <x:c r="G94" s="79" t="str">
        <x:v>不可正式排</x:v>
      </x:c>
      <x:c r="H94" s="79" t="str">
        <x:v>待確認共通技能門檻</x:v>
      </x:c>
      <x:c r="I94" s="219" t="str">
        <x:f>IF($G94&lt;&gt;"初步可獨立","不建議",IF($H94="初步可獨立","完整支援者","技術備援者"))</x:f>
        <x:v>不建議</x:v>
      </x:c>
      <x:c r="J94" s="220" t="str">
        <x:v>待核定</x:v>
      </x:c>
      <x:c r="K94" s="221"/>
      <x:c r="L94" s="220"/>
      <x:c r="M94" s="220"/>
      <x:c r="N94" s="219" t="str">
        <x:f>IF($J94="暫停","資格暫停",IF($J94="不核定","不核定",IF($J94="核定完整支援者",IF($I94&lt;&gt;"完整支援者","核定條件未達",IF(OR($K94="",$L94=""),"核定資料未完整","完整支援者")),IF($J94="核定技術備援者",IF(AND($I94&lt;&gt;"完整支援者",$I94&lt;&gt;"技術備援者"),"核定條件未達",IF(OR($K94="",$L94=""),"核定資料未完整","技術備援者")),"待主管核定"))))</x:f>
        <x:v>待主管核定</x:v>
      </x:c>
      <x:c r="O94" s="219" t="n">
        <x:f>IF($N94="完整支援者",2,IF($N94="技術備援者",1,0))</x:f>
        <x:v>0</x:v>
      </x:c>
      <x:c r="P94" s="219" t="str">
        <x:f>IF($N94="完整支援者","是","否")</x:f>
        <x:v>否</x:v>
      </x:c>
    </x:row>
    <x:row r="95">
      <x:c r="A95" s="79" t="str">
        <x:v>SUP|1026|LJT-PERIOSURG</x:v>
      </x:c>
      <x:c r="B95" s="79" t="str">
        <x:v>1026</x:v>
      </x:c>
      <x:c r="C95" s="79" t="str"/>
      <x:c r="D95" s="79" t="str">
        <x:v>LJT-PERIOSURG</x:v>
      </x:c>
      <x:c r="E95" s="79" t="str">
        <x:v>牙周手術</x:v>
      </x:c>
      <x:c r="F95" s="79" t="str">
        <x:v>高複雜度</x:v>
      </x:c>
      <x:c r="G95" s="79" t="str">
        <x:v>不可正式排</x:v>
      </x:c>
      <x:c r="H95" s="79" t="str">
        <x:v>待確認共通技能門檻</x:v>
      </x:c>
      <x:c r="I95" s="219" t="str">
        <x:f>IF($G95&lt;&gt;"初步可獨立","不建議",IF($H95="初步可獨立","完整支援者","技術備援者"))</x:f>
        <x:v>不建議</x:v>
      </x:c>
      <x:c r="J95" s="220" t="str">
        <x:v>待核定</x:v>
      </x:c>
      <x:c r="K95" s="221"/>
      <x:c r="L95" s="220"/>
      <x:c r="M95" s="220"/>
      <x:c r="N95" s="219" t="str">
        <x:f>IF($J95="暫停","資格暫停",IF($J95="不核定","不核定",IF($J95="核定完整支援者",IF($I95&lt;&gt;"完整支援者","核定條件未達",IF(OR($K95="",$L95=""),"核定資料未完整","完整支援者")),IF($J95="核定技術備援者",IF(AND($I95&lt;&gt;"完整支援者",$I95&lt;&gt;"技術備援者"),"核定條件未達",IF(OR($K95="",$L95=""),"核定資料未完整","技術備援者")),"待主管核定"))))</x:f>
        <x:v>待主管核定</x:v>
      </x:c>
      <x:c r="O95" s="219" t="n">
        <x:f>IF($N95="完整支援者",2,IF($N95="技術備援者",1,0))</x:f>
        <x:v>0</x:v>
      </x:c>
      <x:c r="P95" s="219" t="str">
        <x:f>IF($N95="完整支援者","是","否")</x:f>
        <x:v>否</x:v>
      </x:c>
    </x:row>
    <x:row r="96">
      <x:c r="A96" s="79" t="str">
        <x:v>SUP|1026|LJT-MICROENDO</x:v>
      </x:c>
      <x:c r="B96" s="79" t="str">
        <x:v>1026</x:v>
      </x:c>
      <x:c r="C96" s="79" t="str"/>
      <x:c r="D96" s="79" t="str">
        <x:v>LJT-MICROENDO</x:v>
      </x:c>
      <x:c r="E96" s="79" t="str">
        <x:v>顯微根管</x:v>
      </x:c>
      <x:c r="F96" s="79" t="str">
        <x:v>高複雜度</x:v>
      </x:c>
      <x:c r="G96" s="79" t="str">
        <x:v>不可正式排</x:v>
      </x:c>
      <x:c r="H96" s="79" t="str">
        <x:v>待確認共通技能門檻</x:v>
      </x:c>
      <x:c r="I96" s="219" t="str">
        <x:f>IF($G96&lt;&gt;"初步可獨立","不建議",IF($H96="初步可獨立","完整支援者","技術備援者"))</x:f>
        <x:v>不建議</x:v>
      </x:c>
      <x:c r="J96" s="220" t="str">
        <x:v>待核定</x:v>
      </x:c>
      <x:c r="K96" s="221"/>
      <x:c r="L96" s="220"/>
      <x:c r="M96" s="220"/>
      <x:c r="N96" s="219" t="str">
        <x:f>IF($J96="暫停","資格暫停",IF($J96="不核定","不核定",IF($J96="核定完整支援者",IF($I96&lt;&gt;"完整支援者","核定條件未達",IF(OR($K96="",$L96=""),"核定資料未完整","完整支援者")),IF($J96="核定技術備援者",IF(AND($I96&lt;&gt;"完整支援者",$I96&lt;&gt;"技術備援者"),"核定條件未達",IF(OR($K96="",$L96=""),"核定資料未完整","技術備援者")),"待主管核定"))))</x:f>
        <x:v>待主管核定</x:v>
      </x:c>
      <x:c r="O96" s="219" t="n">
        <x:f>IF($N96="完整支援者",2,IF($N96="技術備援者",1,0))</x:f>
        <x:v>0</x:v>
      </x:c>
      <x:c r="P96" s="219" t="str">
        <x:f>IF($N96="完整支援者","是","否")</x:f>
        <x:v>否</x:v>
      </x:c>
    </x:row>
    <x:row r="97">
      <x:c r="A97" s="79" t="str">
        <x:v>SUP|1026|LJT-IMPLANT</x:v>
      </x:c>
      <x:c r="B97" s="79" t="str">
        <x:v>1026</x:v>
      </x:c>
      <x:c r="C97" s="79" t="str"/>
      <x:c r="D97" s="79" t="str">
        <x:v>LJT-IMPLANT</x:v>
      </x:c>
      <x:c r="E97" s="79" t="str">
        <x:v>植牙</x:v>
      </x:c>
      <x:c r="F97" s="79" t="str">
        <x:v>高複雜度</x:v>
      </x:c>
      <x:c r="G97" s="79" t="str">
        <x:v>不可正式排</x:v>
      </x:c>
      <x:c r="H97" s="79" t="str">
        <x:v>待確認共通技能門檻</x:v>
      </x:c>
      <x:c r="I97" s="219" t="str">
        <x:f>IF($G97&lt;&gt;"初步可獨立","不建議",IF($H97="初步可獨立","完整支援者","技術備援者"))</x:f>
        <x:v>不建議</x:v>
      </x:c>
      <x:c r="J97" s="220" t="str">
        <x:v>待核定</x:v>
      </x:c>
      <x:c r="K97" s="221"/>
      <x:c r="L97" s="220"/>
      <x:c r="M97" s="220"/>
      <x:c r="N97" s="219" t="str">
        <x:f>IF($J97="暫停","資格暫停",IF($J97="不核定","不核定",IF($J97="核定完整支援者",IF($I97&lt;&gt;"完整支援者","核定條件未達",IF(OR($K97="",$L97=""),"核定資料未完整","完整支援者")),IF($J97="核定技術備援者",IF(AND($I97&lt;&gt;"完整支援者",$I97&lt;&gt;"技術備援者"),"核定條件未達",IF(OR($K97="",$L97=""),"核定資料未完整","技術備援者")),"待主管核定"))))</x:f>
        <x:v>待主管核定</x:v>
      </x:c>
      <x:c r="O97" s="219" t="n">
        <x:f>IF($N97="完整支援者",2,IF($N97="技術備援者",1,0))</x:f>
        <x:v>0</x:v>
      </x:c>
      <x:c r="P97" s="219" t="str">
        <x:f>IF($N97="完整支援者","是","否")</x:f>
        <x:v>否</x:v>
      </x:c>
    </x:row>
    <x:row r="98">
      <x:c r="A98" s="79" t="str">
        <x:v>SUP|1027|LJT-SCALING</x:v>
      </x:c>
      <x:c r="B98" s="79" t="str">
        <x:v>1027</x:v>
      </x:c>
      <x:c r="C98" s="79" t="str"/>
      <x:c r="D98" s="79" t="str">
        <x:v>LJT-SCALING</x:v>
      </x:c>
      <x:c r="E98" s="79" t="str">
        <x:v>洗牙</x:v>
      </x:c>
      <x:c r="F98" s="79" t="str">
        <x:v>一般</x:v>
      </x:c>
      <x:c r="G98" s="79" t="str">
        <x:v>初步可條件排</x:v>
      </x:c>
      <x:c r="H98" s="79" t="str">
        <x:v>待確認共通技能門檻</x:v>
      </x:c>
      <x:c r="I98" s="219" t="str">
        <x:f>IF($G98&lt;&gt;"初步可獨立","不建議",IF($H98="初步可獨立","完整支援者","技術備援者"))</x:f>
        <x:v>不建議</x:v>
      </x:c>
      <x:c r="J98" s="220" t="str">
        <x:v>待核定</x:v>
      </x:c>
      <x:c r="K98" s="221"/>
      <x:c r="L98" s="220"/>
      <x:c r="M98" s="220"/>
      <x:c r="N98" s="219" t="str">
        <x:f>IF($J98="暫停","資格暫停",IF($J98="不核定","不核定",IF($J98="核定完整支援者",IF($I98&lt;&gt;"完整支援者","核定條件未達",IF(OR($K98="",$L98=""),"核定資料未完整","完整支援者")),IF($J98="核定技術備援者",IF(AND($I98&lt;&gt;"完整支援者",$I98&lt;&gt;"技術備援者"),"核定條件未達",IF(OR($K98="",$L98=""),"核定資料未完整","技術備援者")),"待主管核定"))))</x:f>
        <x:v>待主管核定</x:v>
      </x:c>
      <x:c r="O98" s="219" t="n">
        <x:f>IF($N98="完整支援者",2,IF($N98="技術備援者",1,0))</x:f>
        <x:v>0</x:v>
      </x:c>
      <x:c r="P98" s="219" t="str">
        <x:f>IF($N98="完整支援者","是","否")</x:f>
        <x:v>否</x:v>
      </x:c>
    </x:row>
    <x:row r="99">
      <x:c r="A99" s="79" t="str">
        <x:v>SUP|1027|LJT-FILLING</x:v>
      </x:c>
      <x:c r="B99" s="79" t="str">
        <x:v>1027</x:v>
      </x:c>
      <x:c r="C99" s="79" t="str"/>
      <x:c r="D99" s="79" t="str">
        <x:v>LJT-FILLING</x:v>
      </x:c>
      <x:c r="E99" s="79" t="str">
        <x:v>補牙</x:v>
      </x:c>
      <x:c r="F99" s="79" t="str">
        <x:v>一般</x:v>
      </x:c>
      <x:c r="G99" s="79" t="str">
        <x:v>初步可條件排</x:v>
      </x:c>
      <x:c r="H99" s="79" t="str">
        <x:v>待確認共通技能門檻</x:v>
      </x:c>
      <x:c r="I99" s="219" t="str">
        <x:f>IF($G99&lt;&gt;"初步可獨立","不建議",IF($H99="初步可獨立","完整支援者","技術備援者"))</x:f>
        <x:v>不建議</x:v>
      </x:c>
      <x:c r="J99" s="220" t="str">
        <x:v>待核定</x:v>
      </x:c>
      <x:c r="K99" s="221"/>
      <x:c r="L99" s="220"/>
      <x:c r="M99" s="220"/>
      <x:c r="N99" s="219" t="str">
        <x:f>IF($J99="暫停","資格暫停",IF($J99="不核定","不核定",IF($J99="核定完整支援者",IF($I99&lt;&gt;"完整支援者","核定條件未達",IF(OR($K99="",$L99=""),"核定資料未完整","完整支援者")),IF($J99="核定技術備援者",IF(AND($I99&lt;&gt;"完整支援者",$I99&lt;&gt;"技術備援者"),"核定條件未達",IF(OR($K99="",$L99=""),"核定資料未完整","技術備援者")),"待主管核定"))))</x:f>
        <x:v>待主管核定</x:v>
      </x:c>
      <x:c r="O99" s="219" t="n">
        <x:f>IF($N99="完整支援者",2,IF($N99="技術備援者",1,0))</x:f>
        <x:v>0</x:v>
      </x:c>
      <x:c r="P99" s="219" t="str">
        <x:f>IF($N99="完整支援者","是","否")</x:f>
        <x:v>否</x:v>
      </x:c>
    </x:row>
    <x:row r="100">
      <x:c r="A100" s="79" t="str">
        <x:v>SUP|1027|LJT-PERIO</x:v>
      </x:c>
      <x:c r="B100" s="79" t="str">
        <x:v>1027</x:v>
      </x:c>
      <x:c r="C100" s="79" t="str"/>
      <x:c r="D100" s="79" t="str">
        <x:v>LJT-PERIO</x:v>
      </x:c>
      <x:c r="E100" s="79" t="str">
        <x:v>牙周統合</x:v>
      </x:c>
      <x:c r="F100" s="79" t="str">
        <x:v>一般</x:v>
      </x:c>
      <x:c r="G100" s="79" t="str">
        <x:v>初步可條件排</x:v>
      </x:c>
      <x:c r="H100" s="79" t="str">
        <x:v>待確認共通技能門檻</x:v>
      </x:c>
      <x:c r="I100" s="219" t="str">
        <x:f>IF($G100&lt;&gt;"初步可獨立","不建議",IF($H100="初步可獨立","完整支援者","技術備援者"))</x:f>
        <x:v>不建議</x:v>
      </x:c>
      <x:c r="J100" s="220" t="str">
        <x:v>待核定</x:v>
      </x:c>
      <x:c r="K100" s="221"/>
      <x:c r="L100" s="220"/>
      <x:c r="M100" s="220"/>
      <x:c r="N100" s="219" t="str">
        <x:f>IF($J100="暫停","資格暫停",IF($J100="不核定","不核定",IF($J100="核定完整支援者",IF($I100&lt;&gt;"完整支援者","核定條件未達",IF(OR($K100="",$L100=""),"核定資料未完整","完整支援者")),IF($J100="核定技術備援者",IF(AND($I100&lt;&gt;"完整支援者",$I100&lt;&gt;"技術備援者"),"核定條件未達",IF(OR($K100="",$L100=""),"核定資料未完整","技術備援者")),"待主管核定"))))</x:f>
        <x:v>待主管核定</x:v>
      </x:c>
      <x:c r="O100" s="219" t="n">
        <x:f>IF($N100="完整支援者",2,IF($N100="技術備援者",1,0))</x:f>
        <x:v>0</x:v>
      </x:c>
      <x:c r="P100" s="219" t="str">
        <x:f>IF($N100="完整支援者","是","否")</x:f>
        <x:v>否</x:v>
      </x:c>
    </x:row>
    <x:row r="101">
      <x:c r="A101" s="79" t="str">
        <x:v>SUP|1027|LJT-RCT</x:v>
      </x:c>
      <x:c r="B101" s="79" t="str">
        <x:v>1027</x:v>
      </x:c>
      <x:c r="C101" s="79" t="str"/>
      <x:c r="D101" s="79" t="str">
        <x:v>LJT-RCT</x:v>
      </x:c>
      <x:c r="E101" s="79" t="str">
        <x:v>一般根管治療</x:v>
      </x:c>
      <x:c r="F101" s="79" t="str">
        <x:v>一般</x:v>
      </x:c>
      <x:c r="G101" s="79" t="str">
        <x:v>初步可條件排</x:v>
      </x:c>
      <x:c r="H101" s="79" t="str">
        <x:v>待確認共通技能門檻</x:v>
      </x:c>
      <x:c r="I101" s="219" t="str">
        <x:f>IF($G101&lt;&gt;"初步可獨立","不建議",IF($H101="初步可獨立","完整支援者","技術備援者"))</x:f>
        <x:v>不建議</x:v>
      </x:c>
      <x:c r="J101" s="220" t="str">
        <x:v>待核定</x:v>
      </x:c>
      <x:c r="K101" s="221"/>
      <x:c r="L101" s="220"/>
      <x:c r="M101" s="220"/>
      <x:c r="N101" s="219" t="str">
        <x:f>IF($J101="暫停","資格暫停",IF($J101="不核定","不核定",IF($J101="核定完整支援者",IF($I101&lt;&gt;"完整支援者","核定條件未達",IF(OR($K101="",$L101=""),"核定資料未完整","完整支援者")),IF($J101="核定技術備援者",IF(AND($I101&lt;&gt;"完整支援者",$I101&lt;&gt;"技術備援者"),"核定條件未達",IF(OR($K101="",$L101=""),"核定資料未完整","技術備援者")),"待主管核定"))))</x:f>
        <x:v>待主管核定</x:v>
      </x:c>
      <x:c r="O101" s="219" t="n">
        <x:f>IF($N101="完整支援者",2,IF($N101="技術備援者",1,0))</x:f>
        <x:v>0</x:v>
      </x:c>
      <x:c r="P101" s="219" t="str">
        <x:f>IF($N101="完整支援者","是","否")</x:f>
        <x:v>否</x:v>
      </x:c>
    </x:row>
    <x:row r="102">
      <x:c r="A102" s="79" t="str">
        <x:v>SUP|1027|LJT-EXTRACTION</x:v>
      </x:c>
      <x:c r="B102" s="79" t="str">
        <x:v>1027</x:v>
      </x:c>
      <x:c r="C102" s="79" t="str"/>
      <x:c r="D102" s="79" t="str">
        <x:v>LJT-EXTRACTION</x:v>
      </x:c>
      <x:c r="E102" s="79" t="str">
        <x:v>拔牙</x:v>
      </x:c>
      <x:c r="F102" s="79" t="str">
        <x:v>一般</x:v>
      </x:c>
      <x:c r="G102" s="79" t="str">
        <x:v>不可正式排</x:v>
      </x:c>
      <x:c r="H102" s="79" t="str">
        <x:v>待確認共通技能門檻</x:v>
      </x:c>
      <x:c r="I102" s="219" t="str">
        <x:f>IF($G102&lt;&gt;"初步可獨立","不建議",IF($H102="初步可獨立","完整支援者","技術備援者"))</x:f>
        <x:v>不建議</x:v>
      </x:c>
      <x:c r="J102" s="220" t="str">
        <x:v>待核定</x:v>
      </x:c>
      <x:c r="K102" s="221"/>
      <x:c r="L102" s="220"/>
      <x:c r="M102" s="220"/>
      <x:c r="N102" s="219" t="str">
        <x:f>IF($J102="暫停","資格暫停",IF($J102="不核定","不核定",IF($J102="核定完整支援者",IF($I102&lt;&gt;"完整支援者","核定條件未達",IF(OR($K102="",$L102=""),"核定資料未完整","完整支援者")),IF($J102="核定技術備援者",IF(AND($I102&lt;&gt;"完整支援者",$I102&lt;&gt;"技術備援者"),"核定條件未達",IF(OR($K102="",$L102=""),"核定資料未完整","技術備援者")),"待主管核定"))))</x:f>
        <x:v>待主管核定</x:v>
      </x:c>
      <x:c r="O102" s="219" t="n">
        <x:f>IF($N102="完整支援者",2,IF($N102="技術備援者",1,0))</x:f>
        <x:v>0</x:v>
      </x:c>
      <x:c r="P102" s="219" t="str">
        <x:f>IF($N102="完整支援者","是","否")</x:f>
        <x:v>否</x:v>
      </x:c>
    </x:row>
    <x:row r="103">
      <x:c r="A103" s="79" t="str">
        <x:v>SUP|1027|LJT-CROWNPOST</x:v>
      </x:c>
      <x:c r="B103" s="79" t="str">
        <x:v>1027</x:v>
      </x:c>
      <x:c r="C103" s="79" t="str"/>
      <x:c r="D103" s="79" t="str">
        <x:v>LJT-CROWNPOST</x:v>
      </x:c>
      <x:c r="E103" s="79" t="str">
        <x:v>拆 crown/post</x:v>
      </x:c>
      <x:c r="F103" s="79" t="str">
        <x:v>一般</x:v>
      </x:c>
      <x:c r="G103" s="79" t="str">
        <x:v>初步可條件排</x:v>
      </x:c>
      <x:c r="H103" s="79" t="str">
        <x:v>待確認共通技能門檻</x:v>
      </x:c>
      <x:c r="I103" s="219" t="str">
        <x:f>IF($G103&lt;&gt;"初步可獨立","不建議",IF($H103="初步可獨立","完整支援者","技術備援者"))</x:f>
        <x:v>不建議</x:v>
      </x:c>
      <x:c r="J103" s="220" t="str">
        <x:v>待核定</x:v>
      </x:c>
      <x:c r="K103" s="221"/>
      <x:c r="L103" s="220"/>
      <x:c r="M103" s="220"/>
      <x:c r="N103" s="219" t="str">
        <x:f>IF($J103="暫停","資格暫停",IF($J103="不核定","不核定",IF($J103="核定完整支援者",IF($I103&lt;&gt;"完整支援者","核定條件未達",IF(OR($K103="",$L103=""),"核定資料未完整","完整支援者")),IF($J103="核定技術備援者",IF(AND($I103&lt;&gt;"完整支援者",$I103&lt;&gt;"技術備援者"),"核定條件未達",IF(OR($K103="",$L103=""),"核定資料未完整","技術備援者")),"待主管核定"))))</x:f>
        <x:v>待主管核定</x:v>
      </x:c>
      <x:c r="O103" s="219" t="n">
        <x:f>IF($N103="完整支援者",2,IF($N103="技術備援者",1,0))</x:f>
        <x:v>0</x:v>
      </x:c>
      <x:c r="P103" s="219" t="str">
        <x:f>IF($N103="完整支援者","是","否")</x:f>
        <x:v>否</x:v>
      </x:c>
    </x:row>
    <x:row r="104">
      <x:c r="A104" s="79" t="str">
        <x:v>SUP|1027|LJT-CROWN</x:v>
      </x:c>
      <x:c r="B104" s="79" t="str">
        <x:v>1027</x:v>
      </x:c>
      <x:c r="C104" s="79" t="str"/>
      <x:c r="D104" s="79" t="str">
        <x:v>LJT-CROWN</x:v>
      </x:c>
      <x:c r="E104" s="79" t="str">
        <x:v>固定假牙</x:v>
      </x:c>
      <x:c r="F104" s="79" t="str">
        <x:v>一般</x:v>
      </x:c>
      <x:c r="G104" s="79" t="str">
        <x:v>初步可條件排</x:v>
      </x:c>
      <x:c r="H104" s="79" t="str">
        <x:v>待確認共通技能門檻</x:v>
      </x:c>
      <x:c r="I104" s="219" t="str">
        <x:f>IF($G104&lt;&gt;"初步可獨立","不建議",IF($H104="初步可獨立","完整支援者","技術備援者"))</x:f>
        <x:v>不建議</x:v>
      </x:c>
      <x:c r="J104" s="220" t="str">
        <x:v>待核定</x:v>
      </x:c>
      <x:c r="K104" s="221"/>
      <x:c r="L104" s="220"/>
      <x:c r="M104" s="220"/>
      <x:c r="N104" s="219" t="str">
        <x:f>IF($J104="暫停","資格暫停",IF($J104="不核定","不核定",IF($J104="核定完整支援者",IF($I104&lt;&gt;"完整支援者","核定條件未達",IF(OR($K104="",$L104=""),"核定資料未完整","完整支援者")),IF($J104="核定技術備援者",IF(AND($I104&lt;&gt;"完整支援者",$I104&lt;&gt;"技術備援者"),"核定條件未達",IF(OR($K104="",$L104=""),"核定資料未完整","技術備援者")),"待主管核定"))))</x:f>
        <x:v>待主管核定</x:v>
      </x:c>
      <x:c r="O104" s="219" t="n">
        <x:f>IF($N104="完整支援者",2,IF($N104="技術備援者",1,0))</x:f>
        <x:v>0</x:v>
      </x:c>
      <x:c r="P104" s="219" t="str">
        <x:f>IF($N104="完整支援者","是","否")</x:f>
        <x:v>否</x:v>
      </x:c>
    </x:row>
    <x:row r="105">
      <x:c r="A105" s="79" t="str">
        <x:v>SUP|1027|LJT-RPD</x:v>
      </x:c>
      <x:c r="B105" s="79" t="str">
        <x:v>1027</x:v>
      </x:c>
      <x:c r="C105" s="79" t="str"/>
      <x:c r="D105" s="79" t="str">
        <x:v>LJT-RPD</x:v>
      </x:c>
      <x:c r="E105" s="79" t="str">
        <x:v>RPD</x:v>
      </x:c>
      <x:c r="F105" s="79" t="str">
        <x:v>一般</x:v>
      </x:c>
      <x:c r="G105" s="79" t="str">
        <x:v>不可正式排</x:v>
      </x:c>
      <x:c r="H105" s="79" t="str">
        <x:v>待確認共通技能門檻</x:v>
      </x:c>
      <x:c r="I105" s="219" t="str">
        <x:f>IF($G105&lt;&gt;"初步可獨立","不建議",IF($H105="初步可獨立","完整支援者","技術備援者"))</x:f>
        <x:v>不建議</x:v>
      </x:c>
      <x:c r="J105" s="220" t="str">
        <x:v>待核定</x:v>
      </x:c>
      <x:c r="K105" s="221"/>
      <x:c r="L105" s="220"/>
      <x:c r="M105" s="220"/>
      <x:c r="N105" s="219" t="str">
        <x:f>IF($J105="暫停","資格暫停",IF($J105="不核定","不核定",IF($J105="核定完整支援者",IF($I105&lt;&gt;"完整支援者","核定條件未達",IF(OR($K105="",$L105=""),"核定資料未完整","完整支援者")),IF($J105="核定技術備援者",IF(AND($I105&lt;&gt;"完整支援者",$I105&lt;&gt;"技術備援者"),"核定條件未達",IF(OR($K105="",$L105=""),"核定資料未完整","技術備援者")),"待主管核定"))))</x:f>
        <x:v>待主管核定</x:v>
      </x:c>
      <x:c r="O105" s="219" t="n">
        <x:f>IF($N105="完整支援者",2,IF($N105="技術備援者",1,0))</x:f>
        <x:v>0</x:v>
      </x:c>
      <x:c r="P105" s="219" t="str">
        <x:f>IF($N105="完整支援者","是","否")</x:f>
        <x:v>否</x:v>
      </x:c>
    </x:row>
    <x:row r="106">
      <x:c r="A106" s="79" t="str">
        <x:v>SUP|1027|LJT-RPD-FINAL</x:v>
      </x:c>
      <x:c r="B106" s="79" t="str">
        <x:v>1027</x:v>
      </x:c>
      <x:c r="C106" s="79" t="str"/>
      <x:c r="D106" s="79" t="str">
        <x:v>LJT-RPD-FINAL</x:v>
      </x:c>
      <x:c r="E106" s="79" t="str">
        <x:v>RPD</x:v>
      </x:c>
      <x:c r="F106" s="79" t="str">
        <x:v>特殊階段</x:v>
      </x:c>
      <x:c r="G106" s="79" t="str">
        <x:v>不可正式排</x:v>
      </x:c>
      <x:c r="H106" s="79" t="str">
        <x:v>待確認共通技能門檻</x:v>
      </x:c>
      <x:c r="I106" s="219" t="str">
        <x:f>IF($G106&lt;&gt;"初步可獨立","不建議",IF($H106="初步可獨立","完整支援者","技術備援者"))</x:f>
        <x:v>不建議</x:v>
      </x:c>
      <x:c r="J106" s="220" t="str">
        <x:v>待核定</x:v>
      </x:c>
      <x:c r="K106" s="221"/>
      <x:c r="L106" s="220"/>
      <x:c r="M106" s="220"/>
      <x:c r="N106" s="219" t="str">
        <x:f>IF($J106="暫停","資格暫停",IF($J106="不核定","不核定",IF($J106="核定完整支援者",IF($I106&lt;&gt;"完整支援者","核定條件未達",IF(OR($K106="",$L106=""),"核定資料未完整","完整支援者")),IF($J106="核定技術備援者",IF(AND($I106&lt;&gt;"完整支援者",$I106&lt;&gt;"技術備援者"),"核定條件未達",IF(OR($K106="",$L106=""),"核定資料未完整","技術備援者")),"待主管核定"))))</x:f>
        <x:v>待主管核定</x:v>
      </x:c>
      <x:c r="O106" s="219" t="n">
        <x:f>IF($N106="完整支援者",2,IF($N106="技術備援者",1,0))</x:f>
        <x:v>0</x:v>
      </x:c>
      <x:c r="P106" s="219" t="str">
        <x:f>IF($N106="完整支援者","是","否")</x:f>
        <x:v>否</x:v>
      </x:c>
    </x:row>
    <x:row r="107">
      <x:c r="A107" s="79" t="str">
        <x:v>SUP|1027|LJT-AIRPOLISH</x:v>
      </x:c>
      <x:c r="B107" s="79" t="str">
        <x:v>1027</x:v>
      </x:c>
      <x:c r="C107" s="79" t="str"/>
      <x:c r="D107" s="79" t="str">
        <x:v>LJT-AIRPOLISH</x:v>
      </x:c>
      <x:c r="E107" s="79" t="str">
        <x:v>噴砂美白</x:v>
      </x:c>
      <x:c r="F107" s="79" t="str">
        <x:v>一般</x:v>
      </x:c>
      <x:c r="G107" s="79" t="str">
        <x:v>不可正式排</x:v>
      </x:c>
      <x:c r="H107" s="79" t="str">
        <x:v>待確認共通技能門檻</x:v>
      </x:c>
      <x:c r="I107" s="219" t="str">
        <x:f>IF($G107&lt;&gt;"初步可獨立","不建議",IF($H107="初步可獨立","完整支援者","技術備援者"))</x:f>
        <x:v>不建議</x:v>
      </x:c>
      <x:c r="J107" s="220" t="str">
        <x:v>待核定</x:v>
      </x:c>
      <x:c r="K107" s="221"/>
      <x:c r="L107" s="220"/>
      <x:c r="M107" s="220"/>
      <x:c r="N107" s="219" t="str">
        <x:f>IF($J107="暫停","資格暫停",IF($J107="不核定","不核定",IF($J107="核定完整支援者",IF($I107&lt;&gt;"完整支援者","核定條件未達",IF(OR($K107="",$L107=""),"核定資料未完整","完整支援者")),IF($J107="核定技術備援者",IF(AND($I107&lt;&gt;"完整支援者",$I107&lt;&gt;"技術備援者"),"核定條件未達",IF(OR($K107="",$L107=""),"核定資料未完整","技術備援者")),"待主管核定"))))</x:f>
        <x:v>待主管核定</x:v>
      </x:c>
      <x:c r="O107" s="219" t="n">
        <x:f>IF($N107="完整支援者",2,IF($N107="技術備援者",1,0))</x:f>
        <x:v>0</x:v>
      </x:c>
      <x:c r="P107" s="219" t="str">
        <x:f>IF($N107="完整支援者","是","否")</x:f>
        <x:v>否</x:v>
      </x:c>
    </x:row>
    <x:row r="108">
      <x:c r="A108" s="79" t="str">
        <x:v>SUP|1027|LJT-PERIOSURG</x:v>
      </x:c>
      <x:c r="B108" s="79" t="str">
        <x:v>1027</x:v>
      </x:c>
      <x:c r="C108" s="79" t="str"/>
      <x:c r="D108" s="79" t="str">
        <x:v>LJT-PERIOSURG</x:v>
      </x:c>
      <x:c r="E108" s="79" t="str">
        <x:v>牙周手術</x:v>
      </x:c>
      <x:c r="F108" s="79" t="str">
        <x:v>高複雜度</x:v>
      </x:c>
      <x:c r="G108" s="79" t="str">
        <x:v>不可正式排</x:v>
      </x:c>
      <x:c r="H108" s="79" t="str">
        <x:v>待確認共通技能門檻</x:v>
      </x:c>
      <x:c r="I108" s="219" t="str">
        <x:f>IF($G108&lt;&gt;"初步可獨立","不建議",IF($H108="初步可獨立","完整支援者","技術備援者"))</x:f>
        <x:v>不建議</x:v>
      </x:c>
      <x:c r="J108" s="220" t="str">
        <x:v>待核定</x:v>
      </x:c>
      <x:c r="K108" s="221"/>
      <x:c r="L108" s="220"/>
      <x:c r="M108" s="220"/>
      <x:c r="N108" s="219" t="str">
        <x:f>IF($J108="暫停","資格暫停",IF($J108="不核定","不核定",IF($J108="核定完整支援者",IF($I108&lt;&gt;"完整支援者","核定條件未達",IF(OR($K108="",$L108=""),"核定資料未完整","完整支援者")),IF($J108="核定技術備援者",IF(AND($I108&lt;&gt;"完整支援者",$I108&lt;&gt;"技術備援者"),"核定條件未達",IF(OR($K108="",$L108=""),"核定資料未完整","技術備援者")),"待主管核定"))))</x:f>
        <x:v>待主管核定</x:v>
      </x:c>
      <x:c r="O108" s="219" t="n">
        <x:f>IF($N108="完整支援者",2,IF($N108="技術備援者",1,0))</x:f>
        <x:v>0</x:v>
      </x:c>
      <x:c r="P108" s="219" t="str">
        <x:f>IF($N108="完整支援者","是","否")</x:f>
        <x:v>否</x:v>
      </x:c>
    </x:row>
    <x:row r="109">
      <x:c r="A109" s="79" t="str">
        <x:v>SUP|1027|LJT-MICROENDO</x:v>
      </x:c>
      <x:c r="B109" s="79" t="str">
        <x:v>1027</x:v>
      </x:c>
      <x:c r="C109" s="79" t="str"/>
      <x:c r="D109" s="79" t="str">
        <x:v>LJT-MICROENDO</x:v>
      </x:c>
      <x:c r="E109" s="79" t="str">
        <x:v>顯微根管</x:v>
      </x:c>
      <x:c r="F109" s="79" t="str">
        <x:v>高複雜度</x:v>
      </x:c>
      <x:c r="G109" s="79" t="str">
        <x:v>不可正式排</x:v>
      </x:c>
      <x:c r="H109" s="79" t="str">
        <x:v>待確認共通技能門檻</x:v>
      </x:c>
      <x:c r="I109" s="219" t="str">
        <x:f>IF($G109&lt;&gt;"初步可獨立","不建議",IF($H109="初步可獨立","完整支援者","技術備援者"))</x:f>
        <x:v>不建議</x:v>
      </x:c>
      <x:c r="J109" s="220" t="str">
        <x:v>待核定</x:v>
      </x:c>
      <x:c r="K109" s="221"/>
      <x:c r="L109" s="220"/>
      <x:c r="M109" s="220"/>
      <x:c r="N109" s="219" t="str">
        <x:f>IF($J109="暫停","資格暫停",IF($J109="不核定","不核定",IF($J109="核定完整支援者",IF($I109&lt;&gt;"完整支援者","核定條件未達",IF(OR($K109="",$L109=""),"核定資料未完整","完整支援者")),IF($J109="核定技術備援者",IF(AND($I109&lt;&gt;"完整支援者",$I109&lt;&gt;"技術備援者"),"核定條件未達",IF(OR($K109="",$L109=""),"核定資料未完整","技術備援者")),"待主管核定"))))</x:f>
        <x:v>待主管核定</x:v>
      </x:c>
      <x:c r="O109" s="219" t="n">
        <x:f>IF($N109="完整支援者",2,IF($N109="技術備援者",1,0))</x:f>
        <x:v>0</x:v>
      </x:c>
      <x:c r="P109" s="219" t="str">
        <x:f>IF($N109="完整支援者","是","否")</x:f>
        <x:v>否</x:v>
      </x:c>
    </x:row>
    <x:row r="110">
      <x:c r="A110" s="79" t="str">
        <x:v>SUP|1027|LJT-IMPLANT</x:v>
      </x:c>
      <x:c r="B110" s="79" t="str">
        <x:v>1027</x:v>
      </x:c>
      <x:c r="C110" s="79" t="str"/>
      <x:c r="D110" s="79" t="str">
        <x:v>LJT-IMPLANT</x:v>
      </x:c>
      <x:c r="E110" s="79" t="str">
        <x:v>植牙</x:v>
      </x:c>
      <x:c r="F110" s="79" t="str">
        <x:v>高複雜度</x:v>
      </x:c>
      <x:c r="G110" s="79" t="str">
        <x:v>不可正式排</x:v>
      </x:c>
      <x:c r="H110" s="79" t="str">
        <x:v>待確認共通技能門檻</x:v>
      </x:c>
      <x:c r="I110" s="219" t="str">
        <x:f>IF($G110&lt;&gt;"初步可獨立","不建議",IF($H110="初步可獨立","完整支援者","技術備援者"))</x:f>
        <x:v>不建議</x:v>
      </x:c>
      <x:c r="J110" s="220" t="str">
        <x:v>待核定</x:v>
      </x:c>
      <x:c r="K110" s="221"/>
      <x:c r="L110" s="220"/>
      <x:c r="M110" s="220"/>
      <x:c r="N110" s="219" t="str">
        <x:f>IF($J110="暫停","資格暫停",IF($J110="不核定","不核定",IF($J110="核定完整支援者",IF($I110&lt;&gt;"完整支援者","核定條件未達",IF(OR($K110="",$L110=""),"核定資料未完整","完整支援者")),IF($J110="核定技術備援者",IF(AND($I110&lt;&gt;"完整支援者",$I110&lt;&gt;"技術備援者"),"核定條件未達",IF(OR($K110="",$L110=""),"核定資料未完整","技術備援者")),"待主管核定"))))</x:f>
        <x:v>待主管核定</x:v>
      </x:c>
      <x:c r="O110" s="219" t="n">
        <x:f>IF($N110="完整支援者",2,IF($N110="技術備援者",1,0))</x:f>
        <x:v>0</x:v>
      </x:c>
      <x:c r="P110" s="219" t="str">
        <x:f>IF($N110="完整支援者","是","否")</x:f>
        <x:v>否</x:v>
      </x:c>
    </x:row>
    <x:row r="111">
      <x:c r="A111" s="79" t="str">
        <x:v>SUP|1028|LJT-SCALING</x:v>
      </x:c>
      <x:c r="B111" s="79" t="str">
        <x:v>1028</x:v>
      </x:c>
      <x:c r="C111" s="79" t="str"/>
      <x:c r="D111" s="79" t="str">
        <x:v>LJT-SCALING</x:v>
      </x:c>
      <x:c r="E111" s="79" t="str">
        <x:v>洗牙</x:v>
      </x:c>
      <x:c r="F111" s="79" t="str">
        <x:v>一般</x:v>
      </x:c>
      <x:c r="G111" s="79" t="str">
        <x:v>不可正式排</x:v>
      </x:c>
      <x:c r="H111" s="79" t="str">
        <x:v>待確認共通技能門檻</x:v>
      </x:c>
      <x:c r="I111" s="219" t="str">
        <x:f>IF($G111&lt;&gt;"初步可獨立","不建議",IF($H111="初步可獨立","完整支援者","技術備援者"))</x:f>
        <x:v>不建議</x:v>
      </x:c>
      <x:c r="J111" s="220" t="str">
        <x:v>待核定</x:v>
      </x:c>
      <x:c r="K111" s="221"/>
      <x:c r="L111" s="220"/>
      <x:c r="M111" s="220"/>
      <x:c r="N111" s="219" t="str">
        <x:f>IF($J111="暫停","資格暫停",IF($J111="不核定","不核定",IF($J111="核定完整支援者",IF($I111&lt;&gt;"完整支援者","核定條件未達",IF(OR($K111="",$L111=""),"核定資料未完整","完整支援者")),IF($J111="核定技術備援者",IF(AND($I111&lt;&gt;"完整支援者",$I111&lt;&gt;"技術備援者"),"核定條件未達",IF(OR($K111="",$L111=""),"核定資料未完整","技術備援者")),"待主管核定"))))</x:f>
        <x:v>待主管核定</x:v>
      </x:c>
      <x:c r="O111" s="219" t="n">
        <x:f>IF($N111="完整支援者",2,IF($N111="技術備援者",1,0))</x:f>
        <x:v>0</x:v>
      </x:c>
      <x:c r="P111" s="219" t="str">
        <x:f>IF($N111="完整支援者","是","否")</x:f>
        <x:v>否</x:v>
      </x:c>
    </x:row>
    <x:row r="112">
      <x:c r="A112" s="79" t="str">
        <x:v>SUP|1028|LJT-FILLING</x:v>
      </x:c>
      <x:c r="B112" s="79" t="str">
        <x:v>1028</x:v>
      </x:c>
      <x:c r="C112" s="79" t="str"/>
      <x:c r="D112" s="79" t="str">
        <x:v>LJT-FILLING</x:v>
      </x:c>
      <x:c r="E112" s="79" t="str">
        <x:v>補牙</x:v>
      </x:c>
      <x:c r="F112" s="79" t="str">
        <x:v>一般</x:v>
      </x:c>
      <x:c r="G112" s="79" t="str">
        <x:v>不可正式排</x:v>
      </x:c>
      <x:c r="H112" s="79" t="str">
        <x:v>待確認共通技能門檻</x:v>
      </x:c>
      <x:c r="I112" s="219" t="str">
        <x:f>IF($G112&lt;&gt;"初步可獨立","不建議",IF($H112="初步可獨立","完整支援者","技術備援者"))</x:f>
        <x:v>不建議</x:v>
      </x:c>
      <x:c r="J112" s="220" t="str">
        <x:v>待核定</x:v>
      </x:c>
      <x:c r="K112" s="221"/>
      <x:c r="L112" s="220"/>
      <x:c r="M112" s="220"/>
      <x:c r="N112" s="219" t="str">
        <x:f>IF($J112="暫停","資格暫停",IF($J112="不核定","不核定",IF($J112="核定完整支援者",IF($I112&lt;&gt;"完整支援者","核定條件未達",IF(OR($K112="",$L112=""),"核定資料未完整","完整支援者")),IF($J112="核定技術備援者",IF(AND($I112&lt;&gt;"完整支援者",$I112&lt;&gt;"技術備援者"),"核定條件未達",IF(OR($K112="",$L112=""),"核定資料未完整","技術備援者")),"待主管核定"))))</x:f>
        <x:v>待主管核定</x:v>
      </x:c>
      <x:c r="O112" s="219" t="n">
        <x:f>IF($N112="完整支援者",2,IF($N112="技術備援者",1,0))</x:f>
        <x:v>0</x:v>
      </x:c>
      <x:c r="P112" s="219" t="str">
        <x:f>IF($N112="完整支援者","是","否")</x:f>
        <x:v>否</x:v>
      </x:c>
    </x:row>
    <x:row r="113">
      <x:c r="A113" s="79" t="str">
        <x:v>SUP|1028|LJT-PERIO</x:v>
      </x:c>
      <x:c r="B113" s="79" t="str">
        <x:v>1028</x:v>
      </x:c>
      <x:c r="C113" s="79" t="str"/>
      <x:c r="D113" s="79" t="str">
        <x:v>LJT-PERIO</x:v>
      </x:c>
      <x:c r="E113" s="79" t="str">
        <x:v>牙周統合</x:v>
      </x:c>
      <x:c r="F113" s="79" t="str">
        <x:v>一般</x:v>
      </x:c>
      <x:c r="G113" s="79" t="str">
        <x:v>不可正式排</x:v>
      </x:c>
      <x:c r="H113" s="79" t="str">
        <x:v>待確認共通技能門檻</x:v>
      </x:c>
      <x:c r="I113" s="219" t="str">
        <x:f>IF($G113&lt;&gt;"初步可獨立","不建議",IF($H113="初步可獨立","完整支援者","技術備援者"))</x:f>
        <x:v>不建議</x:v>
      </x:c>
      <x:c r="J113" s="220" t="str">
        <x:v>待核定</x:v>
      </x:c>
      <x:c r="K113" s="221"/>
      <x:c r="L113" s="220"/>
      <x:c r="M113" s="220"/>
      <x:c r="N113" s="219" t="str">
        <x:f>IF($J113="暫停","資格暫停",IF($J113="不核定","不核定",IF($J113="核定完整支援者",IF($I113&lt;&gt;"完整支援者","核定條件未達",IF(OR($K113="",$L113=""),"核定資料未完整","完整支援者")),IF($J113="核定技術備援者",IF(AND($I113&lt;&gt;"完整支援者",$I113&lt;&gt;"技術備援者"),"核定條件未達",IF(OR($K113="",$L113=""),"核定資料未完整","技術備援者")),"待主管核定"))))</x:f>
        <x:v>待主管核定</x:v>
      </x:c>
      <x:c r="O113" s="219" t="n">
        <x:f>IF($N113="完整支援者",2,IF($N113="技術備援者",1,0))</x:f>
        <x:v>0</x:v>
      </x:c>
      <x:c r="P113" s="219" t="str">
        <x:f>IF($N113="完整支援者","是","否")</x:f>
        <x:v>否</x:v>
      </x:c>
    </x:row>
    <x:row r="114">
      <x:c r="A114" s="79" t="str">
        <x:v>SUP|1028|LJT-RCT</x:v>
      </x:c>
      <x:c r="B114" s="79" t="str">
        <x:v>1028</x:v>
      </x:c>
      <x:c r="C114" s="79" t="str"/>
      <x:c r="D114" s="79" t="str">
        <x:v>LJT-RCT</x:v>
      </x:c>
      <x:c r="E114" s="79" t="str">
        <x:v>一般根管治療</x:v>
      </x:c>
      <x:c r="F114" s="79" t="str">
        <x:v>一般</x:v>
      </x:c>
      <x:c r="G114" s="79" t="str">
        <x:v>不可正式排</x:v>
      </x:c>
      <x:c r="H114" s="79" t="str">
        <x:v>待確認共通技能門檻</x:v>
      </x:c>
      <x:c r="I114" s="219" t="str">
        <x:f>IF($G114&lt;&gt;"初步可獨立","不建議",IF($H114="初步可獨立","完整支援者","技術備援者"))</x:f>
        <x:v>不建議</x:v>
      </x:c>
      <x:c r="J114" s="220" t="str">
        <x:v>待核定</x:v>
      </x:c>
      <x:c r="K114" s="221"/>
      <x:c r="L114" s="220"/>
      <x:c r="M114" s="220"/>
      <x:c r="N114" s="219" t="str">
        <x:f>IF($J114="暫停","資格暫停",IF($J114="不核定","不核定",IF($J114="核定完整支援者",IF($I114&lt;&gt;"完整支援者","核定條件未達",IF(OR($K114="",$L114=""),"核定資料未完整","完整支援者")),IF($J114="核定技術備援者",IF(AND($I114&lt;&gt;"完整支援者",$I114&lt;&gt;"技術備援者"),"核定條件未達",IF(OR($K114="",$L114=""),"核定資料未完整","技術備援者")),"待主管核定"))))</x:f>
        <x:v>待主管核定</x:v>
      </x:c>
      <x:c r="O114" s="219" t="n">
        <x:f>IF($N114="完整支援者",2,IF($N114="技術備援者",1,0))</x:f>
        <x:v>0</x:v>
      </x:c>
      <x:c r="P114" s="219" t="str">
        <x:f>IF($N114="完整支援者","是","否")</x:f>
        <x:v>否</x:v>
      </x:c>
    </x:row>
    <x:row r="115">
      <x:c r="A115" s="79" t="str">
        <x:v>SUP|1028|LJT-EXTRACTION</x:v>
      </x:c>
      <x:c r="B115" s="79" t="str">
        <x:v>1028</x:v>
      </x:c>
      <x:c r="C115" s="79" t="str"/>
      <x:c r="D115" s="79" t="str">
        <x:v>LJT-EXTRACTION</x:v>
      </x:c>
      <x:c r="E115" s="79" t="str">
        <x:v>拔牙</x:v>
      </x:c>
      <x:c r="F115" s="79" t="str">
        <x:v>一般</x:v>
      </x:c>
      <x:c r="G115" s="79" t="str">
        <x:v>不可正式排</x:v>
      </x:c>
      <x:c r="H115" s="79" t="str">
        <x:v>待確認共通技能門檻</x:v>
      </x:c>
      <x:c r="I115" s="219" t="str">
        <x:f>IF($G115&lt;&gt;"初步可獨立","不建議",IF($H115="初步可獨立","完整支援者","技術備援者"))</x:f>
        <x:v>不建議</x:v>
      </x:c>
      <x:c r="J115" s="220" t="str">
        <x:v>待核定</x:v>
      </x:c>
      <x:c r="K115" s="221"/>
      <x:c r="L115" s="220"/>
      <x:c r="M115" s="220"/>
      <x:c r="N115" s="219" t="str">
        <x:f>IF($J115="暫停","資格暫停",IF($J115="不核定","不核定",IF($J115="核定完整支援者",IF($I115&lt;&gt;"完整支援者","核定條件未達",IF(OR($K115="",$L115=""),"核定資料未完整","完整支援者")),IF($J115="核定技術備援者",IF(AND($I115&lt;&gt;"完整支援者",$I115&lt;&gt;"技術備援者"),"核定條件未達",IF(OR($K115="",$L115=""),"核定資料未完整","技術備援者")),"待主管核定"))))</x:f>
        <x:v>待主管核定</x:v>
      </x:c>
      <x:c r="O115" s="219" t="n">
        <x:f>IF($N115="完整支援者",2,IF($N115="技術備援者",1,0))</x:f>
        <x:v>0</x:v>
      </x:c>
      <x:c r="P115" s="219" t="str">
        <x:f>IF($N115="完整支援者","是","否")</x:f>
        <x:v>否</x:v>
      </x:c>
    </x:row>
    <x:row r="116">
      <x:c r="A116" s="79" t="str">
        <x:v>SUP|1028|LJT-CROWNPOST</x:v>
      </x:c>
      <x:c r="B116" s="79" t="str">
        <x:v>1028</x:v>
      </x:c>
      <x:c r="C116" s="79" t="str"/>
      <x:c r="D116" s="79" t="str">
        <x:v>LJT-CROWNPOST</x:v>
      </x:c>
      <x:c r="E116" s="79" t="str">
        <x:v>拆 crown/post</x:v>
      </x:c>
      <x:c r="F116" s="79" t="str">
        <x:v>一般</x:v>
      </x:c>
      <x:c r="G116" s="79" t="str">
        <x:v>不可正式排</x:v>
      </x:c>
      <x:c r="H116" s="79" t="str">
        <x:v>待確認共通技能門檻</x:v>
      </x:c>
      <x:c r="I116" s="219" t="str">
        <x:f>IF($G116&lt;&gt;"初步可獨立","不建議",IF($H116="初步可獨立","完整支援者","技術備援者"))</x:f>
        <x:v>不建議</x:v>
      </x:c>
      <x:c r="J116" s="220" t="str">
        <x:v>待核定</x:v>
      </x:c>
      <x:c r="K116" s="221"/>
      <x:c r="L116" s="220"/>
      <x:c r="M116" s="220"/>
      <x:c r="N116" s="219" t="str">
        <x:f>IF($J116="暫停","資格暫停",IF($J116="不核定","不核定",IF($J116="核定完整支援者",IF($I116&lt;&gt;"完整支援者","核定條件未達",IF(OR($K116="",$L116=""),"核定資料未完整","完整支援者")),IF($J116="核定技術備援者",IF(AND($I116&lt;&gt;"完整支援者",$I116&lt;&gt;"技術備援者"),"核定條件未達",IF(OR($K116="",$L116=""),"核定資料未完整","技術備援者")),"待主管核定"))))</x:f>
        <x:v>待主管核定</x:v>
      </x:c>
      <x:c r="O116" s="219" t="n">
        <x:f>IF($N116="完整支援者",2,IF($N116="技術備援者",1,0))</x:f>
        <x:v>0</x:v>
      </x:c>
      <x:c r="P116" s="219" t="str">
        <x:f>IF($N116="完整支援者","是","否")</x:f>
        <x:v>否</x:v>
      </x:c>
    </x:row>
    <x:row r="117">
      <x:c r="A117" s="79" t="str">
        <x:v>SUP|1028|LJT-CROWN</x:v>
      </x:c>
      <x:c r="B117" s="79" t="str">
        <x:v>1028</x:v>
      </x:c>
      <x:c r="C117" s="79" t="str"/>
      <x:c r="D117" s="79" t="str">
        <x:v>LJT-CROWN</x:v>
      </x:c>
      <x:c r="E117" s="79" t="str">
        <x:v>固定假牙</x:v>
      </x:c>
      <x:c r="F117" s="79" t="str">
        <x:v>一般</x:v>
      </x:c>
      <x:c r="G117" s="79" t="str">
        <x:v>不可正式排</x:v>
      </x:c>
      <x:c r="H117" s="79" t="str">
        <x:v>待確認共通技能門檻</x:v>
      </x:c>
      <x:c r="I117" s="219" t="str">
        <x:f>IF($G117&lt;&gt;"初步可獨立","不建議",IF($H117="初步可獨立","完整支援者","技術備援者"))</x:f>
        <x:v>不建議</x:v>
      </x:c>
      <x:c r="J117" s="220" t="str">
        <x:v>待核定</x:v>
      </x:c>
      <x:c r="K117" s="221"/>
      <x:c r="L117" s="220"/>
      <x:c r="M117" s="220"/>
      <x:c r="N117" s="219" t="str">
        <x:f>IF($J117="暫停","資格暫停",IF($J117="不核定","不核定",IF($J117="核定完整支援者",IF($I117&lt;&gt;"完整支援者","核定條件未達",IF(OR($K117="",$L117=""),"核定資料未完整","完整支援者")),IF($J117="核定技術備援者",IF(AND($I117&lt;&gt;"完整支援者",$I117&lt;&gt;"技術備援者"),"核定條件未達",IF(OR($K117="",$L117=""),"核定資料未完整","技術備援者")),"待主管核定"))))</x:f>
        <x:v>待主管核定</x:v>
      </x:c>
      <x:c r="O117" s="219" t="n">
        <x:f>IF($N117="完整支援者",2,IF($N117="技術備援者",1,0))</x:f>
        <x:v>0</x:v>
      </x:c>
      <x:c r="P117" s="219" t="str">
        <x:f>IF($N117="完整支援者","是","否")</x:f>
        <x:v>否</x:v>
      </x:c>
    </x:row>
    <x:row r="118">
      <x:c r="A118" s="79" t="str">
        <x:v>SUP|1028|LJT-RPD</x:v>
      </x:c>
      <x:c r="B118" s="79" t="str">
        <x:v>1028</x:v>
      </x:c>
      <x:c r="C118" s="79" t="str"/>
      <x:c r="D118" s="79" t="str">
        <x:v>LJT-RPD</x:v>
      </x:c>
      <x:c r="E118" s="79" t="str">
        <x:v>RPD</x:v>
      </x:c>
      <x:c r="F118" s="79" t="str">
        <x:v>一般</x:v>
      </x:c>
      <x:c r="G118" s="79" t="str">
        <x:v>不可正式排</x:v>
      </x:c>
      <x:c r="H118" s="79" t="str">
        <x:v>待確認共通技能門檻</x:v>
      </x:c>
      <x:c r="I118" s="219" t="str">
        <x:f>IF($G118&lt;&gt;"初步可獨立","不建議",IF($H118="初步可獨立","完整支援者","技術備援者"))</x:f>
        <x:v>不建議</x:v>
      </x:c>
      <x:c r="J118" s="220" t="str">
        <x:v>待核定</x:v>
      </x:c>
      <x:c r="K118" s="221"/>
      <x:c r="L118" s="220"/>
      <x:c r="M118" s="220"/>
      <x:c r="N118" s="219" t="str">
        <x:f>IF($J118="暫停","資格暫停",IF($J118="不核定","不核定",IF($J118="核定完整支援者",IF($I118&lt;&gt;"完整支援者","核定條件未達",IF(OR($K118="",$L118=""),"核定資料未完整","完整支援者")),IF($J118="核定技術備援者",IF(AND($I118&lt;&gt;"完整支援者",$I118&lt;&gt;"技術備援者"),"核定條件未達",IF(OR($K118="",$L118=""),"核定資料未完整","技術備援者")),"待主管核定"))))</x:f>
        <x:v>待主管核定</x:v>
      </x:c>
      <x:c r="O118" s="219" t="n">
        <x:f>IF($N118="完整支援者",2,IF($N118="技術備援者",1,0))</x:f>
        <x:v>0</x:v>
      </x:c>
      <x:c r="P118" s="219" t="str">
        <x:f>IF($N118="完整支援者","是","否")</x:f>
        <x:v>否</x:v>
      </x:c>
    </x:row>
    <x:row r="119">
      <x:c r="A119" s="79" t="str">
        <x:v>SUP|1028|LJT-RPD-FINAL</x:v>
      </x:c>
      <x:c r="B119" s="79" t="str">
        <x:v>1028</x:v>
      </x:c>
      <x:c r="C119" s="79" t="str"/>
      <x:c r="D119" s="79" t="str">
        <x:v>LJT-RPD-FINAL</x:v>
      </x:c>
      <x:c r="E119" s="79" t="str">
        <x:v>RPD</x:v>
      </x:c>
      <x:c r="F119" s="79" t="str">
        <x:v>特殊階段</x:v>
      </x:c>
      <x:c r="G119" s="79" t="str">
        <x:v>不可正式排</x:v>
      </x:c>
      <x:c r="H119" s="79" t="str">
        <x:v>待確認共通技能門檻</x:v>
      </x:c>
      <x:c r="I119" s="219" t="str">
        <x:f>IF($G119&lt;&gt;"初步可獨立","不建議",IF($H119="初步可獨立","完整支援者","技術備援者"))</x:f>
        <x:v>不建議</x:v>
      </x:c>
      <x:c r="J119" s="220" t="str">
        <x:v>待核定</x:v>
      </x:c>
      <x:c r="K119" s="221"/>
      <x:c r="L119" s="220"/>
      <x:c r="M119" s="220"/>
      <x:c r="N119" s="219" t="str">
        <x:f>IF($J119="暫停","資格暫停",IF($J119="不核定","不核定",IF($J119="核定完整支援者",IF($I119&lt;&gt;"完整支援者","核定條件未達",IF(OR($K119="",$L119=""),"核定資料未完整","完整支援者")),IF($J119="核定技術備援者",IF(AND($I119&lt;&gt;"完整支援者",$I119&lt;&gt;"技術備援者"),"核定條件未達",IF(OR($K119="",$L119=""),"核定資料未完整","技術備援者")),"待主管核定"))))</x:f>
        <x:v>待主管核定</x:v>
      </x:c>
      <x:c r="O119" s="219" t="n">
        <x:f>IF($N119="完整支援者",2,IF($N119="技術備援者",1,0))</x:f>
        <x:v>0</x:v>
      </x:c>
      <x:c r="P119" s="219" t="str">
        <x:f>IF($N119="完整支援者","是","否")</x:f>
        <x:v>否</x:v>
      </x:c>
    </x:row>
    <x:row r="120">
      <x:c r="A120" s="79" t="str">
        <x:v>SUP|1028|LJT-AIRPOLISH</x:v>
      </x:c>
      <x:c r="B120" s="79" t="str">
        <x:v>1028</x:v>
      </x:c>
      <x:c r="C120" s="79" t="str"/>
      <x:c r="D120" s="79" t="str">
        <x:v>LJT-AIRPOLISH</x:v>
      </x:c>
      <x:c r="E120" s="79" t="str">
        <x:v>噴砂美白</x:v>
      </x:c>
      <x:c r="F120" s="79" t="str">
        <x:v>一般</x:v>
      </x:c>
      <x:c r="G120" s="79" t="str">
        <x:v>不可正式排</x:v>
      </x:c>
      <x:c r="H120" s="79" t="str">
        <x:v>待確認共通技能門檻</x:v>
      </x:c>
      <x:c r="I120" s="219" t="str">
        <x:f>IF($G120&lt;&gt;"初步可獨立","不建議",IF($H120="初步可獨立","完整支援者","技術備援者"))</x:f>
        <x:v>不建議</x:v>
      </x:c>
      <x:c r="J120" s="220" t="str">
        <x:v>待核定</x:v>
      </x:c>
      <x:c r="K120" s="221"/>
      <x:c r="L120" s="220"/>
      <x:c r="M120" s="220"/>
      <x:c r="N120" s="219" t="str">
        <x:f>IF($J120="暫停","資格暫停",IF($J120="不核定","不核定",IF($J120="核定完整支援者",IF($I120&lt;&gt;"完整支援者","核定條件未達",IF(OR($K120="",$L120=""),"核定資料未完整","完整支援者")),IF($J120="核定技術備援者",IF(AND($I120&lt;&gt;"完整支援者",$I120&lt;&gt;"技術備援者"),"核定條件未達",IF(OR($K120="",$L120=""),"核定資料未完整","技術備援者")),"待主管核定"))))</x:f>
        <x:v>待主管核定</x:v>
      </x:c>
      <x:c r="O120" s="219" t="n">
        <x:f>IF($N120="完整支援者",2,IF($N120="技術備援者",1,0))</x:f>
        <x:v>0</x:v>
      </x:c>
      <x:c r="P120" s="219" t="str">
        <x:f>IF($N120="完整支援者","是","否")</x:f>
        <x:v>否</x:v>
      </x:c>
    </x:row>
    <x:row r="121">
      <x:c r="A121" s="79" t="str">
        <x:v>SUP|1028|LJT-PERIOSURG</x:v>
      </x:c>
      <x:c r="B121" s="79" t="str">
        <x:v>1028</x:v>
      </x:c>
      <x:c r="C121" s="79" t="str"/>
      <x:c r="D121" s="79" t="str">
        <x:v>LJT-PERIOSURG</x:v>
      </x:c>
      <x:c r="E121" s="79" t="str">
        <x:v>牙周手術</x:v>
      </x:c>
      <x:c r="F121" s="79" t="str">
        <x:v>高複雜度</x:v>
      </x:c>
      <x:c r="G121" s="79" t="str">
        <x:v>不可正式排</x:v>
      </x:c>
      <x:c r="H121" s="79" t="str">
        <x:v>待確認共通技能門檻</x:v>
      </x:c>
      <x:c r="I121" s="219" t="str">
        <x:f>IF($G121&lt;&gt;"初步可獨立","不建議",IF($H121="初步可獨立","完整支援者","技術備援者"))</x:f>
        <x:v>不建議</x:v>
      </x:c>
      <x:c r="J121" s="220" t="str">
        <x:v>待核定</x:v>
      </x:c>
      <x:c r="K121" s="221"/>
      <x:c r="L121" s="220"/>
      <x:c r="M121" s="220"/>
      <x:c r="N121" s="219" t="str">
        <x:f>IF($J121="暫停","資格暫停",IF($J121="不核定","不核定",IF($J121="核定完整支援者",IF($I121&lt;&gt;"完整支援者","核定條件未達",IF(OR($K121="",$L121=""),"核定資料未完整","完整支援者")),IF($J121="核定技術備援者",IF(AND($I121&lt;&gt;"完整支援者",$I121&lt;&gt;"技術備援者"),"核定條件未達",IF(OR($K121="",$L121=""),"核定資料未完整","技術備援者")),"待主管核定"))))</x:f>
        <x:v>待主管核定</x:v>
      </x:c>
      <x:c r="O121" s="219" t="n">
        <x:f>IF($N121="完整支援者",2,IF($N121="技術備援者",1,0))</x:f>
        <x:v>0</x:v>
      </x:c>
      <x:c r="P121" s="219" t="str">
        <x:f>IF($N121="完整支援者","是","否")</x:f>
        <x:v>否</x:v>
      </x:c>
    </x:row>
    <x:row r="122">
      <x:c r="A122" s="79" t="str">
        <x:v>SUP|1028|LJT-MICROENDO</x:v>
      </x:c>
      <x:c r="B122" s="79" t="str">
        <x:v>1028</x:v>
      </x:c>
      <x:c r="C122" s="79" t="str"/>
      <x:c r="D122" s="79" t="str">
        <x:v>LJT-MICROENDO</x:v>
      </x:c>
      <x:c r="E122" s="79" t="str">
        <x:v>顯微根管</x:v>
      </x:c>
      <x:c r="F122" s="79" t="str">
        <x:v>高複雜度</x:v>
      </x:c>
      <x:c r="G122" s="79" t="str">
        <x:v>不可正式排</x:v>
      </x:c>
      <x:c r="H122" s="79" t="str">
        <x:v>待確認共通技能門檻</x:v>
      </x:c>
      <x:c r="I122" s="219" t="str">
        <x:f>IF($G122&lt;&gt;"初步可獨立","不建議",IF($H122="初步可獨立","完整支援者","技術備援者"))</x:f>
        <x:v>不建議</x:v>
      </x:c>
      <x:c r="J122" s="220" t="str">
        <x:v>待核定</x:v>
      </x:c>
      <x:c r="K122" s="221"/>
      <x:c r="L122" s="220"/>
      <x:c r="M122" s="220"/>
      <x:c r="N122" s="219" t="str">
        <x:f>IF($J122="暫停","資格暫停",IF($J122="不核定","不核定",IF($J122="核定完整支援者",IF($I122&lt;&gt;"完整支援者","核定條件未達",IF(OR($K122="",$L122=""),"核定資料未完整","完整支援者")),IF($J122="核定技術備援者",IF(AND($I122&lt;&gt;"完整支援者",$I122&lt;&gt;"技術備援者"),"核定條件未達",IF(OR($K122="",$L122=""),"核定資料未完整","技術備援者")),"待主管核定"))))</x:f>
        <x:v>待主管核定</x:v>
      </x:c>
      <x:c r="O122" s="219" t="n">
        <x:f>IF($N122="完整支援者",2,IF($N122="技術備援者",1,0))</x:f>
        <x:v>0</x:v>
      </x:c>
      <x:c r="P122" s="219" t="str">
        <x:f>IF($N122="完整支援者","是","否")</x:f>
        <x:v>否</x:v>
      </x:c>
    </x:row>
    <x:row r="123">
      <x:c r="A123" s="79" t="str">
        <x:v>SUP|1028|LJT-IMPLANT</x:v>
      </x:c>
      <x:c r="B123" s="79" t="str">
        <x:v>1028</x:v>
      </x:c>
      <x:c r="C123" s="79" t="str"/>
      <x:c r="D123" s="79" t="str">
        <x:v>LJT-IMPLANT</x:v>
      </x:c>
      <x:c r="E123" s="79" t="str">
        <x:v>植牙</x:v>
      </x:c>
      <x:c r="F123" s="79" t="str">
        <x:v>高複雜度</x:v>
      </x:c>
      <x:c r="G123" s="79" t="str">
        <x:v>不可正式排</x:v>
      </x:c>
      <x:c r="H123" s="79" t="str">
        <x:v>待確認共通技能門檻</x:v>
      </x:c>
      <x:c r="I123" s="219" t="str">
        <x:f>IF($G123&lt;&gt;"初步可獨立","不建議",IF($H123="初步可獨立","完整支援者","技術備援者"))</x:f>
        <x:v>不建議</x:v>
      </x:c>
      <x:c r="J123" s="220" t="str">
        <x:v>待核定</x:v>
      </x:c>
      <x:c r="K123" s="221"/>
      <x:c r="L123" s="220"/>
      <x:c r="M123" s="220"/>
      <x:c r="N123" s="219" t="str">
        <x:f>IF($J123="暫停","資格暫停",IF($J123="不核定","不核定",IF($J123="核定完整支援者",IF($I123&lt;&gt;"完整支援者","核定條件未達",IF(OR($K123="",$L123=""),"核定資料未完整","完整支援者")),IF($J123="核定技術備援者",IF(AND($I123&lt;&gt;"完整支援者",$I123&lt;&gt;"技術備援者"),"核定條件未達",IF(OR($K123="",$L123=""),"核定資料未完整","技術備援者")),"待主管核定"))))</x:f>
        <x:v>待主管核定</x:v>
      </x:c>
      <x:c r="O123" s="219" t="n">
        <x:f>IF($N123="完整支援者",2,IF($N123="技術備援者",1,0))</x:f>
        <x:v>0</x:v>
      </x:c>
      <x:c r="P123" s="219" t="str">
        <x:f>IF($N123="完整支援者","是","否")</x:f>
        <x:v>否</x:v>
      </x:c>
    </x:row>
    <x:row r="124">
      <x:c r="A124" s="79" t="str">
        <x:v>SUP|1029|LJT-SCALING</x:v>
      </x:c>
      <x:c r="B124" s="79" t="str">
        <x:v>1029</x:v>
      </x:c>
      <x:c r="C124" s="79" t="str"/>
      <x:c r="D124" s="79" t="str">
        <x:v>LJT-SCALING</x:v>
      </x:c>
      <x:c r="E124" s="79" t="str">
        <x:v>洗牙</x:v>
      </x:c>
      <x:c r="F124" s="79" t="str">
        <x:v>一般</x:v>
      </x:c>
      <x:c r="G124" s="79" t="str">
        <x:v>不可正式排</x:v>
      </x:c>
      <x:c r="H124" s="79" t="str">
        <x:v>待確認共通技能門檻</x:v>
      </x:c>
      <x:c r="I124" s="219" t="str">
        <x:f>IF($G124&lt;&gt;"初步可獨立","不建議",IF($H124="初步可獨立","完整支援者","技術備援者"))</x:f>
        <x:v>不建議</x:v>
      </x:c>
      <x:c r="J124" s="220" t="str">
        <x:v>待核定</x:v>
      </x:c>
      <x:c r="K124" s="221"/>
      <x:c r="L124" s="220"/>
      <x:c r="M124" s="220"/>
      <x:c r="N124" s="219" t="str">
        <x:f>IF($J124="暫停","資格暫停",IF($J124="不核定","不核定",IF($J124="核定完整支援者",IF($I124&lt;&gt;"完整支援者","核定條件未達",IF(OR($K124="",$L124=""),"核定資料未完整","完整支援者")),IF($J124="核定技術備援者",IF(AND($I124&lt;&gt;"完整支援者",$I124&lt;&gt;"技術備援者"),"核定條件未達",IF(OR($K124="",$L124=""),"核定資料未完整","技術備援者")),"待主管核定"))))</x:f>
        <x:v>待主管核定</x:v>
      </x:c>
      <x:c r="O124" s="219" t="n">
        <x:f>IF($N124="完整支援者",2,IF($N124="技術備援者",1,0))</x:f>
        <x:v>0</x:v>
      </x:c>
      <x:c r="P124" s="219" t="str">
        <x:f>IF($N124="完整支援者","是","否")</x:f>
        <x:v>否</x:v>
      </x:c>
    </x:row>
    <x:row r="125">
      <x:c r="A125" s="79" t="str">
        <x:v>SUP|1029|LJT-FILLING</x:v>
      </x:c>
      <x:c r="B125" s="79" t="str">
        <x:v>1029</x:v>
      </x:c>
      <x:c r="C125" s="79" t="str"/>
      <x:c r="D125" s="79" t="str">
        <x:v>LJT-FILLING</x:v>
      </x:c>
      <x:c r="E125" s="79" t="str">
        <x:v>補牙</x:v>
      </x:c>
      <x:c r="F125" s="79" t="str">
        <x:v>一般</x:v>
      </x:c>
      <x:c r="G125" s="79" t="str">
        <x:v>不可正式排</x:v>
      </x:c>
      <x:c r="H125" s="79" t="str">
        <x:v>待確認共通技能門檻</x:v>
      </x:c>
      <x:c r="I125" s="219" t="str">
        <x:f>IF($G125&lt;&gt;"初步可獨立","不建議",IF($H125="初步可獨立","完整支援者","技術備援者"))</x:f>
        <x:v>不建議</x:v>
      </x:c>
      <x:c r="J125" s="220" t="str">
        <x:v>待核定</x:v>
      </x:c>
      <x:c r="K125" s="221"/>
      <x:c r="L125" s="220"/>
      <x:c r="M125" s="220"/>
      <x:c r="N125" s="219" t="str">
        <x:f>IF($J125="暫停","資格暫停",IF($J125="不核定","不核定",IF($J125="核定完整支援者",IF($I125&lt;&gt;"完整支援者","核定條件未達",IF(OR($K125="",$L125=""),"核定資料未完整","完整支援者")),IF($J125="核定技術備援者",IF(AND($I125&lt;&gt;"完整支援者",$I125&lt;&gt;"技術備援者"),"核定條件未達",IF(OR($K125="",$L125=""),"核定資料未完整","技術備援者")),"待主管核定"))))</x:f>
        <x:v>待主管核定</x:v>
      </x:c>
      <x:c r="O125" s="219" t="n">
        <x:f>IF($N125="完整支援者",2,IF($N125="技術備援者",1,0))</x:f>
        <x:v>0</x:v>
      </x:c>
      <x:c r="P125" s="219" t="str">
        <x:f>IF($N125="完整支援者","是","否")</x:f>
        <x:v>否</x:v>
      </x:c>
    </x:row>
    <x:row r="126">
      <x:c r="A126" s="79" t="str">
        <x:v>SUP|1029|LJT-PERIO</x:v>
      </x:c>
      <x:c r="B126" s="79" t="str">
        <x:v>1029</x:v>
      </x:c>
      <x:c r="C126" s="79" t="str"/>
      <x:c r="D126" s="79" t="str">
        <x:v>LJT-PERIO</x:v>
      </x:c>
      <x:c r="E126" s="79" t="str">
        <x:v>牙周統合</x:v>
      </x:c>
      <x:c r="F126" s="79" t="str">
        <x:v>一般</x:v>
      </x:c>
      <x:c r="G126" s="79" t="str">
        <x:v>不可正式排</x:v>
      </x:c>
      <x:c r="H126" s="79" t="str">
        <x:v>待確認共通技能門檻</x:v>
      </x:c>
      <x:c r="I126" s="219" t="str">
        <x:f>IF($G126&lt;&gt;"初步可獨立","不建議",IF($H126="初步可獨立","完整支援者","技術備援者"))</x:f>
        <x:v>不建議</x:v>
      </x:c>
      <x:c r="J126" s="220" t="str">
        <x:v>待核定</x:v>
      </x:c>
      <x:c r="K126" s="221"/>
      <x:c r="L126" s="220"/>
      <x:c r="M126" s="220"/>
      <x:c r="N126" s="219" t="str">
        <x:f>IF($J126="暫停","資格暫停",IF($J126="不核定","不核定",IF($J126="核定完整支援者",IF($I126&lt;&gt;"完整支援者","核定條件未達",IF(OR($K126="",$L126=""),"核定資料未完整","完整支援者")),IF($J126="核定技術備援者",IF(AND($I126&lt;&gt;"完整支援者",$I126&lt;&gt;"技術備援者"),"核定條件未達",IF(OR($K126="",$L126=""),"核定資料未完整","技術備援者")),"待主管核定"))))</x:f>
        <x:v>待主管核定</x:v>
      </x:c>
      <x:c r="O126" s="219" t="n">
        <x:f>IF($N126="完整支援者",2,IF($N126="技術備援者",1,0))</x:f>
        <x:v>0</x:v>
      </x:c>
      <x:c r="P126" s="219" t="str">
        <x:f>IF($N126="完整支援者","是","否")</x:f>
        <x:v>否</x:v>
      </x:c>
    </x:row>
    <x:row r="127">
      <x:c r="A127" s="79" t="str">
        <x:v>SUP|1029|LJT-RCT</x:v>
      </x:c>
      <x:c r="B127" s="79" t="str">
        <x:v>1029</x:v>
      </x:c>
      <x:c r="C127" s="79" t="str"/>
      <x:c r="D127" s="79" t="str">
        <x:v>LJT-RCT</x:v>
      </x:c>
      <x:c r="E127" s="79" t="str">
        <x:v>一般根管治療</x:v>
      </x:c>
      <x:c r="F127" s="79" t="str">
        <x:v>一般</x:v>
      </x:c>
      <x:c r="G127" s="79" t="str">
        <x:v>不可正式排</x:v>
      </x:c>
      <x:c r="H127" s="79" t="str">
        <x:v>待確認共通技能門檻</x:v>
      </x:c>
      <x:c r="I127" s="219" t="str">
        <x:f>IF($G127&lt;&gt;"初步可獨立","不建議",IF($H127="初步可獨立","完整支援者","技術備援者"))</x:f>
        <x:v>不建議</x:v>
      </x:c>
      <x:c r="J127" s="220" t="str">
        <x:v>待核定</x:v>
      </x:c>
      <x:c r="K127" s="221"/>
      <x:c r="L127" s="220"/>
      <x:c r="M127" s="220"/>
      <x:c r="N127" s="219" t="str">
        <x:f>IF($J127="暫停","資格暫停",IF($J127="不核定","不核定",IF($J127="核定完整支援者",IF($I127&lt;&gt;"完整支援者","核定條件未達",IF(OR($K127="",$L127=""),"核定資料未完整","完整支援者")),IF($J127="核定技術備援者",IF(AND($I127&lt;&gt;"完整支援者",$I127&lt;&gt;"技術備援者"),"核定條件未達",IF(OR($K127="",$L127=""),"核定資料未完整","技術備援者")),"待主管核定"))))</x:f>
        <x:v>待主管核定</x:v>
      </x:c>
      <x:c r="O127" s="219" t="n">
        <x:f>IF($N127="完整支援者",2,IF($N127="技術備援者",1,0))</x:f>
        <x:v>0</x:v>
      </x:c>
      <x:c r="P127" s="219" t="str">
        <x:f>IF($N127="完整支援者","是","否")</x:f>
        <x:v>否</x:v>
      </x:c>
    </x:row>
    <x:row r="128">
      <x:c r="A128" s="79" t="str">
        <x:v>SUP|1029|LJT-EXTRACTION</x:v>
      </x:c>
      <x:c r="B128" s="79" t="str">
        <x:v>1029</x:v>
      </x:c>
      <x:c r="C128" s="79" t="str"/>
      <x:c r="D128" s="79" t="str">
        <x:v>LJT-EXTRACTION</x:v>
      </x:c>
      <x:c r="E128" s="79" t="str">
        <x:v>拔牙</x:v>
      </x:c>
      <x:c r="F128" s="79" t="str">
        <x:v>一般</x:v>
      </x:c>
      <x:c r="G128" s="79" t="str">
        <x:v>不可正式排</x:v>
      </x:c>
      <x:c r="H128" s="79" t="str">
        <x:v>待確認共通技能門檻</x:v>
      </x:c>
      <x:c r="I128" s="219" t="str">
        <x:f>IF($G128&lt;&gt;"初步可獨立","不建議",IF($H128="初步可獨立","完整支援者","技術備援者"))</x:f>
        <x:v>不建議</x:v>
      </x:c>
      <x:c r="J128" s="220" t="str">
        <x:v>待核定</x:v>
      </x:c>
      <x:c r="K128" s="221"/>
      <x:c r="L128" s="220"/>
      <x:c r="M128" s="220"/>
      <x:c r="N128" s="219" t="str">
        <x:f>IF($J128="暫停","資格暫停",IF($J128="不核定","不核定",IF($J128="核定完整支援者",IF($I128&lt;&gt;"完整支援者","核定條件未達",IF(OR($K128="",$L128=""),"核定資料未完整","完整支援者")),IF($J128="核定技術備援者",IF(AND($I128&lt;&gt;"完整支援者",$I128&lt;&gt;"技術備援者"),"核定條件未達",IF(OR($K128="",$L128=""),"核定資料未完整","技術備援者")),"待主管核定"))))</x:f>
        <x:v>待主管核定</x:v>
      </x:c>
      <x:c r="O128" s="219" t="n">
        <x:f>IF($N128="完整支援者",2,IF($N128="技術備援者",1,0))</x:f>
        <x:v>0</x:v>
      </x:c>
      <x:c r="P128" s="219" t="str">
        <x:f>IF($N128="完整支援者","是","否")</x:f>
        <x:v>否</x:v>
      </x:c>
    </x:row>
    <x:row r="129">
      <x:c r="A129" s="79" t="str">
        <x:v>SUP|1029|LJT-CROWNPOST</x:v>
      </x:c>
      <x:c r="B129" s="79" t="str">
        <x:v>1029</x:v>
      </x:c>
      <x:c r="C129" s="79" t="str"/>
      <x:c r="D129" s="79" t="str">
        <x:v>LJT-CROWNPOST</x:v>
      </x:c>
      <x:c r="E129" s="79" t="str">
        <x:v>拆 crown/post</x:v>
      </x:c>
      <x:c r="F129" s="79" t="str">
        <x:v>一般</x:v>
      </x:c>
      <x:c r="G129" s="79" t="str">
        <x:v>不可正式排</x:v>
      </x:c>
      <x:c r="H129" s="79" t="str">
        <x:v>待確認共通技能門檻</x:v>
      </x:c>
      <x:c r="I129" s="219" t="str">
        <x:f>IF($G129&lt;&gt;"初步可獨立","不建議",IF($H129="初步可獨立","完整支援者","技術備援者"))</x:f>
        <x:v>不建議</x:v>
      </x:c>
      <x:c r="J129" s="220" t="str">
        <x:v>待核定</x:v>
      </x:c>
      <x:c r="K129" s="221"/>
      <x:c r="L129" s="220"/>
      <x:c r="M129" s="220"/>
      <x:c r="N129" s="219" t="str">
        <x:f>IF($J129="暫停","資格暫停",IF($J129="不核定","不核定",IF($J129="核定完整支援者",IF($I129&lt;&gt;"完整支援者","核定條件未達",IF(OR($K129="",$L129=""),"核定資料未完整","完整支援者")),IF($J129="核定技術備援者",IF(AND($I129&lt;&gt;"完整支援者",$I129&lt;&gt;"技術備援者"),"核定條件未達",IF(OR($K129="",$L129=""),"核定資料未完整","技術備援者")),"待主管核定"))))</x:f>
        <x:v>待主管核定</x:v>
      </x:c>
      <x:c r="O129" s="219" t="n">
        <x:f>IF($N129="完整支援者",2,IF($N129="技術備援者",1,0))</x:f>
        <x:v>0</x:v>
      </x:c>
      <x:c r="P129" s="219" t="str">
        <x:f>IF($N129="完整支援者","是","否")</x:f>
        <x:v>否</x:v>
      </x:c>
    </x:row>
    <x:row r="130">
      <x:c r="A130" s="79" t="str">
        <x:v>SUP|1029|LJT-CROWN</x:v>
      </x:c>
      <x:c r="B130" s="79" t="str">
        <x:v>1029</x:v>
      </x:c>
      <x:c r="C130" s="79" t="str"/>
      <x:c r="D130" s="79" t="str">
        <x:v>LJT-CROWN</x:v>
      </x:c>
      <x:c r="E130" s="79" t="str">
        <x:v>固定假牙</x:v>
      </x:c>
      <x:c r="F130" s="79" t="str">
        <x:v>一般</x:v>
      </x:c>
      <x:c r="G130" s="79" t="str">
        <x:v>不可正式排</x:v>
      </x:c>
      <x:c r="H130" s="79" t="str">
        <x:v>待確認共通技能門檻</x:v>
      </x:c>
      <x:c r="I130" s="219" t="str">
        <x:f>IF($G130&lt;&gt;"初步可獨立","不建議",IF($H130="初步可獨立","完整支援者","技術備援者"))</x:f>
        <x:v>不建議</x:v>
      </x:c>
      <x:c r="J130" s="220" t="str">
        <x:v>待核定</x:v>
      </x:c>
      <x:c r="K130" s="221"/>
      <x:c r="L130" s="220"/>
      <x:c r="M130" s="220"/>
      <x:c r="N130" s="219" t="str">
        <x:f>IF($J130="暫停","資格暫停",IF($J130="不核定","不核定",IF($J130="核定完整支援者",IF($I130&lt;&gt;"完整支援者","核定條件未達",IF(OR($K130="",$L130=""),"核定資料未完整","完整支援者")),IF($J130="核定技術備援者",IF(AND($I130&lt;&gt;"完整支援者",$I130&lt;&gt;"技術備援者"),"核定條件未達",IF(OR($K130="",$L130=""),"核定資料未完整","技術備援者")),"待主管核定"))))</x:f>
        <x:v>待主管核定</x:v>
      </x:c>
      <x:c r="O130" s="219" t="n">
        <x:f>IF($N130="完整支援者",2,IF($N130="技術備援者",1,0))</x:f>
        <x:v>0</x:v>
      </x:c>
      <x:c r="P130" s="219" t="str">
        <x:f>IF($N130="完整支援者","是","否")</x:f>
        <x:v>否</x:v>
      </x:c>
    </x:row>
    <x:row r="131">
      <x:c r="A131" s="79" t="str">
        <x:v>SUP|1029|LJT-RPD</x:v>
      </x:c>
      <x:c r="B131" s="79" t="str">
        <x:v>1029</x:v>
      </x:c>
      <x:c r="C131" s="79" t="str"/>
      <x:c r="D131" s="79" t="str">
        <x:v>LJT-RPD</x:v>
      </x:c>
      <x:c r="E131" s="79" t="str">
        <x:v>RPD</x:v>
      </x:c>
      <x:c r="F131" s="79" t="str">
        <x:v>一般</x:v>
      </x:c>
      <x:c r="G131" s="79" t="str">
        <x:v>不可正式排</x:v>
      </x:c>
      <x:c r="H131" s="79" t="str">
        <x:v>待確認共通技能門檻</x:v>
      </x:c>
      <x:c r="I131" s="219" t="str">
        <x:f>IF($G131&lt;&gt;"初步可獨立","不建議",IF($H131="初步可獨立","完整支援者","技術備援者"))</x:f>
        <x:v>不建議</x:v>
      </x:c>
      <x:c r="J131" s="220" t="str">
        <x:v>待核定</x:v>
      </x:c>
      <x:c r="K131" s="221"/>
      <x:c r="L131" s="220"/>
      <x:c r="M131" s="220"/>
      <x:c r="N131" s="219" t="str">
        <x:f>IF($J131="暫停","資格暫停",IF($J131="不核定","不核定",IF($J131="核定完整支援者",IF($I131&lt;&gt;"完整支援者","核定條件未達",IF(OR($K131="",$L131=""),"核定資料未完整","完整支援者")),IF($J131="核定技術備援者",IF(AND($I131&lt;&gt;"完整支援者",$I131&lt;&gt;"技術備援者"),"核定條件未達",IF(OR($K131="",$L131=""),"核定資料未完整","技術備援者")),"待主管核定"))))</x:f>
        <x:v>待主管核定</x:v>
      </x:c>
      <x:c r="O131" s="219" t="n">
        <x:f>IF($N131="完整支援者",2,IF($N131="技術備援者",1,0))</x:f>
        <x:v>0</x:v>
      </x:c>
      <x:c r="P131" s="219" t="str">
        <x:f>IF($N131="完整支援者","是","否")</x:f>
        <x:v>否</x:v>
      </x:c>
    </x:row>
    <x:row r="132">
      <x:c r="A132" s="79" t="str">
        <x:v>SUP|1029|LJT-RPD-FINAL</x:v>
      </x:c>
      <x:c r="B132" s="79" t="str">
        <x:v>1029</x:v>
      </x:c>
      <x:c r="C132" s="79" t="str"/>
      <x:c r="D132" s="79" t="str">
        <x:v>LJT-RPD-FINAL</x:v>
      </x:c>
      <x:c r="E132" s="79" t="str">
        <x:v>RPD</x:v>
      </x:c>
      <x:c r="F132" s="79" t="str">
        <x:v>特殊階段</x:v>
      </x:c>
      <x:c r="G132" s="79" t="str">
        <x:v>不可正式排</x:v>
      </x:c>
      <x:c r="H132" s="79" t="str">
        <x:v>待確認共通技能門檻</x:v>
      </x:c>
      <x:c r="I132" s="219" t="str">
        <x:f>IF($G132&lt;&gt;"初步可獨立","不建議",IF($H132="初步可獨立","完整支援者","技術備援者"))</x:f>
        <x:v>不建議</x:v>
      </x:c>
      <x:c r="J132" s="220" t="str">
        <x:v>待核定</x:v>
      </x:c>
      <x:c r="K132" s="221"/>
      <x:c r="L132" s="220"/>
      <x:c r="M132" s="220"/>
      <x:c r="N132" s="219" t="str">
        <x:f>IF($J132="暫停","資格暫停",IF($J132="不核定","不核定",IF($J132="核定完整支援者",IF($I132&lt;&gt;"完整支援者","核定條件未達",IF(OR($K132="",$L132=""),"核定資料未完整","完整支援者")),IF($J132="核定技術備援者",IF(AND($I132&lt;&gt;"完整支援者",$I132&lt;&gt;"技術備援者"),"核定條件未達",IF(OR($K132="",$L132=""),"核定資料未完整","技術備援者")),"待主管核定"))))</x:f>
        <x:v>待主管核定</x:v>
      </x:c>
      <x:c r="O132" s="219" t="n">
        <x:f>IF($N132="完整支援者",2,IF($N132="技術備援者",1,0))</x:f>
        <x:v>0</x:v>
      </x:c>
      <x:c r="P132" s="219" t="str">
        <x:f>IF($N132="完整支援者","是","否")</x:f>
        <x:v>否</x:v>
      </x:c>
    </x:row>
    <x:row r="133">
      <x:c r="A133" s="79" t="str">
        <x:v>SUP|1029|LJT-AIRPOLISH</x:v>
      </x:c>
      <x:c r="B133" s="79" t="str">
        <x:v>1029</x:v>
      </x:c>
      <x:c r="C133" s="79" t="str"/>
      <x:c r="D133" s="79" t="str">
        <x:v>LJT-AIRPOLISH</x:v>
      </x:c>
      <x:c r="E133" s="79" t="str">
        <x:v>噴砂美白</x:v>
      </x:c>
      <x:c r="F133" s="79" t="str">
        <x:v>一般</x:v>
      </x:c>
      <x:c r="G133" s="79" t="str">
        <x:v>不可正式排</x:v>
      </x:c>
      <x:c r="H133" s="79" t="str">
        <x:v>待確認共通技能門檻</x:v>
      </x:c>
      <x:c r="I133" s="219" t="str">
        <x:f>IF($G133&lt;&gt;"初步可獨立","不建議",IF($H133="初步可獨立","完整支援者","技術備援者"))</x:f>
        <x:v>不建議</x:v>
      </x:c>
      <x:c r="J133" s="220" t="str">
        <x:v>待核定</x:v>
      </x:c>
      <x:c r="K133" s="221"/>
      <x:c r="L133" s="220"/>
      <x:c r="M133" s="220"/>
      <x:c r="N133" s="219" t="str">
        <x:f>IF($J133="暫停","資格暫停",IF($J133="不核定","不核定",IF($J133="核定完整支援者",IF($I133&lt;&gt;"完整支援者","核定條件未達",IF(OR($K133="",$L133=""),"核定資料未完整","完整支援者")),IF($J133="核定技術備援者",IF(AND($I133&lt;&gt;"完整支援者",$I133&lt;&gt;"技術備援者"),"核定條件未達",IF(OR($K133="",$L133=""),"核定資料未完整","技術備援者")),"待主管核定"))))</x:f>
        <x:v>待主管核定</x:v>
      </x:c>
      <x:c r="O133" s="219" t="n">
        <x:f>IF($N133="完整支援者",2,IF($N133="技術備援者",1,0))</x:f>
        <x:v>0</x:v>
      </x:c>
      <x:c r="P133" s="219" t="str">
        <x:f>IF($N133="完整支援者","是","否")</x:f>
        <x:v>否</x:v>
      </x:c>
    </x:row>
    <x:row r="134">
      <x:c r="A134" s="79" t="str">
        <x:v>SUP|1029|LJT-PERIOSURG</x:v>
      </x:c>
      <x:c r="B134" s="79" t="str">
        <x:v>1029</x:v>
      </x:c>
      <x:c r="C134" s="79" t="str"/>
      <x:c r="D134" s="79" t="str">
        <x:v>LJT-PERIOSURG</x:v>
      </x:c>
      <x:c r="E134" s="79" t="str">
        <x:v>牙周手術</x:v>
      </x:c>
      <x:c r="F134" s="79" t="str">
        <x:v>高複雜度</x:v>
      </x:c>
      <x:c r="G134" s="79" t="str">
        <x:v>不可正式排</x:v>
      </x:c>
      <x:c r="H134" s="79" t="str">
        <x:v>待確認共通技能門檻</x:v>
      </x:c>
      <x:c r="I134" s="219" t="str">
        <x:f>IF($G134&lt;&gt;"初步可獨立","不建議",IF($H134="初步可獨立","完整支援者","技術備援者"))</x:f>
        <x:v>不建議</x:v>
      </x:c>
      <x:c r="J134" s="220" t="str">
        <x:v>待核定</x:v>
      </x:c>
      <x:c r="K134" s="221"/>
      <x:c r="L134" s="220"/>
      <x:c r="M134" s="220"/>
      <x:c r="N134" s="219" t="str">
        <x:f>IF($J134="暫停","資格暫停",IF($J134="不核定","不核定",IF($J134="核定完整支援者",IF($I134&lt;&gt;"完整支援者","核定條件未達",IF(OR($K134="",$L134=""),"核定資料未完整","完整支援者")),IF($J134="核定技術備援者",IF(AND($I134&lt;&gt;"完整支援者",$I134&lt;&gt;"技術備援者"),"核定條件未達",IF(OR($K134="",$L134=""),"核定資料未完整","技術備援者")),"待主管核定"))))</x:f>
        <x:v>待主管核定</x:v>
      </x:c>
      <x:c r="O134" s="219" t="n">
        <x:f>IF($N134="完整支援者",2,IF($N134="技術備援者",1,0))</x:f>
        <x:v>0</x:v>
      </x:c>
      <x:c r="P134" s="219" t="str">
        <x:f>IF($N134="完整支援者","是","否")</x:f>
        <x:v>否</x:v>
      </x:c>
    </x:row>
    <x:row r="135">
      <x:c r="A135" s="79" t="str">
        <x:v>SUP|1029|LJT-MICROENDO</x:v>
      </x:c>
      <x:c r="B135" s="79" t="str">
        <x:v>1029</x:v>
      </x:c>
      <x:c r="C135" s="79" t="str"/>
      <x:c r="D135" s="79" t="str">
        <x:v>LJT-MICROENDO</x:v>
      </x:c>
      <x:c r="E135" s="79" t="str">
        <x:v>顯微根管</x:v>
      </x:c>
      <x:c r="F135" s="79" t="str">
        <x:v>高複雜度</x:v>
      </x:c>
      <x:c r="G135" s="79" t="str">
        <x:v>不可正式排</x:v>
      </x:c>
      <x:c r="H135" s="79" t="str">
        <x:v>待確認共通技能門檻</x:v>
      </x:c>
      <x:c r="I135" s="219" t="str">
        <x:f>IF($G135&lt;&gt;"初步可獨立","不建議",IF($H135="初步可獨立","完整支援者","技術備援者"))</x:f>
        <x:v>不建議</x:v>
      </x:c>
      <x:c r="J135" s="220" t="str">
        <x:v>待核定</x:v>
      </x:c>
      <x:c r="K135" s="221"/>
      <x:c r="L135" s="220"/>
      <x:c r="M135" s="220"/>
      <x:c r="N135" s="219" t="str">
        <x:f>IF($J135="暫停","資格暫停",IF($J135="不核定","不核定",IF($J135="核定完整支援者",IF($I135&lt;&gt;"完整支援者","核定條件未達",IF(OR($K135="",$L135=""),"核定資料未完整","完整支援者")),IF($J135="核定技術備援者",IF(AND($I135&lt;&gt;"完整支援者",$I135&lt;&gt;"技術備援者"),"核定條件未達",IF(OR($K135="",$L135=""),"核定資料未完整","技術備援者")),"待主管核定"))))</x:f>
        <x:v>待主管核定</x:v>
      </x:c>
      <x:c r="O135" s="219" t="n">
        <x:f>IF($N135="完整支援者",2,IF($N135="技術備援者",1,0))</x:f>
        <x:v>0</x:v>
      </x:c>
      <x:c r="P135" s="219" t="str">
        <x:f>IF($N135="完整支援者","是","否")</x:f>
        <x:v>否</x:v>
      </x:c>
    </x:row>
    <x:row r="136">
      <x:c r="A136" s="79" t="str">
        <x:v>SUP|1029|LJT-IMPLANT</x:v>
      </x:c>
      <x:c r="B136" s="79" t="str">
        <x:v>1029</x:v>
      </x:c>
      <x:c r="C136" s="79" t="str"/>
      <x:c r="D136" s="79" t="str">
        <x:v>LJT-IMPLANT</x:v>
      </x:c>
      <x:c r="E136" s="79" t="str">
        <x:v>植牙</x:v>
      </x:c>
      <x:c r="F136" s="79" t="str">
        <x:v>高複雜度</x:v>
      </x:c>
      <x:c r="G136" s="79" t="str">
        <x:v>不可正式排</x:v>
      </x:c>
      <x:c r="H136" s="79" t="str">
        <x:v>待確認共通技能門檻</x:v>
      </x:c>
      <x:c r="I136" s="219" t="str">
        <x:f>IF($G136&lt;&gt;"初步可獨立","不建議",IF($H136="初步可獨立","完整支援者","技術備援者"))</x:f>
        <x:v>不建議</x:v>
      </x:c>
      <x:c r="J136" s="220" t="str">
        <x:v>待核定</x:v>
      </x:c>
      <x:c r="K136" s="221"/>
      <x:c r="L136" s="220"/>
      <x:c r="M136" s="220"/>
      <x:c r="N136" s="219" t="str">
        <x:f>IF($J136="暫停","資格暫停",IF($J136="不核定","不核定",IF($J136="核定完整支援者",IF($I136&lt;&gt;"完整支援者","核定條件未達",IF(OR($K136="",$L136=""),"核定資料未完整","完整支援者")),IF($J136="核定技術備援者",IF(AND($I136&lt;&gt;"完整支援者",$I136&lt;&gt;"技術備援者"),"核定條件未達",IF(OR($K136="",$L136=""),"核定資料未完整","技術備援者")),"待主管核定"))))</x:f>
        <x:v>待主管核定</x:v>
      </x:c>
      <x:c r="O136" s="219" t="n">
        <x:f>IF($N136="完整支援者",2,IF($N136="技術備援者",1,0))</x:f>
        <x:v>0</x:v>
      </x:c>
      <x:c r="P136" s="219" t="str">
        <x:f>IF($N136="完整支援者","是","否")</x:f>
        <x:v>否</x:v>
      </x:c>
    </x:row>
    <x:row r="137">
      <x:c r="A137" s="79" t="str">
        <x:v>SUP|1030|LJT-SCALING</x:v>
      </x:c>
      <x:c r="B137" s="79" t="str">
        <x:v>1030</x:v>
      </x:c>
      <x:c r="C137" s="79" t="str"/>
      <x:c r="D137" s="79" t="str">
        <x:v>LJT-SCALING</x:v>
      </x:c>
      <x:c r="E137" s="79" t="str">
        <x:v>洗牙</x:v>
      </x:c>
      <x:c r="F137" s="79" t="str">
        <x:v>一般</x:v>
      </x:c>
      <x:c r="G137" s="79" t="str">
        <x:v>不可正式排</x:v>
      </x:c>
      <x:c r="H137" s="79" t="str">
        <x:v>待確認共通技能門檻</x:v>
      </x:c>
      <x:c r="I137" s="219" t="str">
        <x:f>IF($G137&lt;&gt;"初步可獨立","不建議",IF($H137="初步可獨立","完整支援者","技術備援者"))</x:f>
        <x:v>不建議</x:v>
      </x:c>
      <x:c r="J137" s="220" t="str">
        <x:v>待核定</x:v>
      </x:c>
      <x:c r="K137" s="221"/>
      <x:c r="L137" s="220"/>
      <x:c r="M137" s="220"/>
      <x:c r="N137" s="219" t="str">
        <x:f>IF($J137="暫停","資格暫停",IF($J137="不核定","不核定",IF($J137="核定完整支援者",IF($I137&lt;&gt;"完整支援者","核定條件未達",IF(OR($K137="",$L137=""),"核定資料未完整","完整支援者")),IF($J137="核定技術備援者",IF(AND($I137&lt;&gt;"完整支援者",$I137&lt;&gt;"技術備援者"),"核定條件未達",IF(OR($K137="",$L137=""),"核定資料未完整","技術備援者")),"待主管核定"))))</x:f>
        <x:v>待主管核定</x:v>
      </x:c>
      <x:c r="O137" s="219" t="n">
        <x:f>IF($N137="完整支援者",2,IF($N137="技術備援者",1,0))</x:f>
        <x:v>0</x:v>
      </x:c>
      <x:c r="P137" s="219" t="str">
        <x:f>IF($N137="完整支援者","是","否")</x:f>
        <x:v>否</x:v>
      </x:c>
    </x:row>
    <x:row r="138">
      <x:c r="A138" s="79" t="str">
        <x:v>SUP|1030|LJT-FILLING</x:v>
      </x:c>
      <x:c r="B138" s="79" t="str">
        <x:v>1030</x:v>
      </x:c>
      <x:c r="C138" s="79" t="str"/>
      <x:c r="D138" s="79" t="str">
        <x:v>LJT-FILLING</x:v>
      </x:c>
      <x:c r="E138" s="79" t="str">
        <x:v>補牙</x:v>
      </x:c>
      <x:c r="F138" s="79" t="str">
        <x:v>一般</x:v>
      </x:c>
      <x:c r="G138" s="79" t="str">
        <x:v>不可正式排</x:v>
      </x:c>
      <x:c r="H138" s="79" t="str">
        <x:v>待確認共通技能門檻</x:v>
      </x:c>
      <x:c r="I138" s="219" t="str">
        <x:f>IF($G138&lt;&gt;"初步可獨立","不建議",IF($H138="初步可獨立","完整支援者","技術備援者"))</x:f>
        <x:v>不建議</x:v>
      </x:c>
      <x:c r="J138" s="220" t="str">
        <x:v>待核定</x:v>
      </x:c>
      <x:c r="K138" s="221"/>
      <x:c r="L138" s="220"/>
      <x:c r="M138" s="220"/>
      <x:c r="N138" s="219" t="str">
        <x:f>IF($J138="暫停","資格暫停",IF($J138="不核定","不核定",IF($J138="核定完整支援者",IF($I138&lt;&gt;"完整支援者","核定條件未達",IF(OR($K138="",$L138=""),"核定資料未完整","完整支援者")),IF($J138="核定技術備援者",IF(AND($I138&lt;&gt;"完整支援者",$I138&lt;&gt;"技術備援者"),"核定條件未達",IF(OR($K138="",$L138=""),"核定資料未完整","技術備援者")),"待主管核定"))))</x:f>
        <x:v>待主管核定</x:v>
      </x:c>
      <x:c r="O138" s="219" t="n">
        <x:f>IF($N138="完整支援者",2,IF($N138="技術備援者",1,0))</x:f>
        <x:v>0</x:v>
      </x:c>
      <x:c r="P138" s="219" t="str">
        <x:f>IF($N138="完整支援者","是","否")</x:f>
        <x:v>否</x:v>
      </x:c>
    </x:row>
    <x:row r="139">
      <x:c r="A139" s="79" t="str">
        <x:v>SUP|1030|LJT-PERIO</x:v>
      </x:c>
      <x:c r="B139" s="79" t="str">
        <x:v>1030</x:v>
      </x:c>
      <x:c r="C139" s="79" t="str"/>
      <x:c r="D139" s="79" t="str">
        <x:v>LJT-PERIO</x:v>
      </x:c>
      <x:c r="E139" s="79" t="str">
        <x:v>牙周統合</x:v>
      </x:c>
      <x:c r="F139" s="79" t="str">
        <x:v>一般</x:v>
      </x:c>
      <x:c r="G139" s="79" t="str">
        <x:v>不可正式排</x:v>
      </x:c>
      <x:c r="H139" s="79" t="str">
        <x:v>待確認共通技能門檻</x:v>
      </x:c>
      <x:c r="I139" s="219" t="str">
        <x:f>IF($G139&lt;&gt;"初步可獨立","不建議",IF($H139="初步可獨立","完整支援者","技術備援者"))</x:f>
        <x:v>不建議</x:v>
      </x:c>
      <x:c r="J139" s="220" t="str">
        <x:v>待核定</x:v>
      </x:c>
      <x:c r="K139" s="221"/>
      <x:c r="L139" s="220"/>
      <x:c r="M139" s="220"/>
      <x:c r="N139" s="219" t="str">
        <x:f>IF($J139="暫停","資格暫停",IF($J139="不核定","不核定",IF($J139="核定完整支援者",IF($I139&lt;&gt;"完整支援者","核定條件未達",IF(OR($K139="",$L139=""),"核定資料未完整","完整支援者")),IF($J139="核定技術備援者",IF(AND($I139&lt;&gt;"完整支援者",$I139&lt;&gt;"技術備援者"),"核定條件未達",IF(OR($K139="",$L139=""),"核定資料未完整","技術備援者")),"待主管核定"))))</x:f>
        <x:v>待主管核定</x:v>
      </x:c>
      <x:c r="O139" s="219" t="n">
        <x:f>IF($N139="完整支援者",2,IF($N139="技術備援者",1,0))</x:f>
        <x:v>0</x:v>
      </x:c>
      <x:c r="P139" s="219" t="str">
        <x:f>IF($N139="完整支援者","是","否")</x:f>
        <x:v>否</x:v>
      </x:c>
    </x:row>
    <x:row r="140">
      <x:c r="A140" s="79" t="str">
        <x:v>SUP|1030|LJT-RCT</x:v>
      </x:c>
      <x:c r="B140" s="79" t="str">
        <x:v>1030</x:v>
      </x:c>
      <x:c r="C140" s="79" t="str"/>
      <x:c r="D140" s="79" t="str">
        <x:v>LJT-RCT</x:v>
      </x:c>
      <x:c r="E140" s="79" t="str">
        <x:v>一般根管治療</x:v>
      </x:c>
      <x:c r="F140" s="79" t="str">
        <x:v>一般</x:v>
      </x:c>
      <x:c r="G140" s="79" t="str">
        <x:v>不可正式排</x:v>
      </x:c>
      <x:c r="H140" s="79" t="str">
        <x:v>待確認共通技能門檻</x:v>
      </x:c>
      <x:c r="I140" s="219" t="str">
        <x:f>IF($G140&lt;&gt;"初步可獨立","不建議",IF($H140="初步可獨立","完整支援者","技術備援者"))</x:f>
        <x:v>不建議</x:v>
      </x:c>
      <x:c r="J140" s="220" t="str">
        <x:v>待核定</x:v>
      </x:c>
      <x:c r="K140" s="221"/>
      <x:c r="L140" s="220"/>
      <x:c r="M140" s="220"/>
      <x:c r="N140" s="219" t="str">
        <x:f>IF($J140="暫停","資格暫停",IF($J140="不核定","不核定",IF($J140="核定完整支援者",IF($I140&lt;&gt;"完整支援者","核定條件未達",IF(OR($K140="",$L140=""),"核定資料未完整","完整支援者")),IF($J140="核定技術備援者",IF(AND($I140&lt;&gt;"完整支援者",$I140&lt;&gt;"技術備援者"),"核定條件未達",IF(OR($K140="",$L140=""),"核定資料未完整","技術備援者")),"待主管核定"))))</x:f>
        <x:v>待主管核定</x:v>
      </x:c>
      <x:c r="O140" s="219" t="n">
        <x:f>IF($N140="完整支援者",2,IF($N140="技術備援者",1,0))</x:f>
        <x:v>0</x:v>
      </x:c>
      <x:c r="P140" s="219" t="str">
        <x:f>IF($N140="完整支援者","是","否")</x:f>
        <x:v>否</x:v>
      </x:c>
    </x:row>
    <x:row r="141">
      <x:c r="A141" s="79" t="str">
        <x:v>SUP|1030|LJT-EXTRACTION</x:v>
      </x:c>
      <x:c r="B141" s="79" t="str">
        <x:v>1030</x:v>
      </x:c>
      <x:c r="C141" s="79" t="str"/>
      <x:c r="D141" s="79" t="str">
        <x:v>LJT-EXTRACTION</x:v>
      </x:c>
      <x:c r="E141" s="79" t="str">
        <x:v>拔牙</x:v>
      </x:c>
      <x:c r="F141" s="79" t="str">
        <x:v>一般</x:v>
      </x:c>
      <x:c r="G141" s="79" t="str">
        <x:v>不可正式排</x:v>
      </x:c>
      <x:c r="H141" s="79" t="str">
        <x:v>待確認共通技能門檻</x:v>
      </x:c>
      <x:c r="I141" s="219" t="str">
        <x:f>IF($G141&lt;&gt;"初步可獨立","不建議",IF($H141="初步可獨立","完整支援者","技術備援者"))</x:f>
        <x:v>不建議</x:v>
      </x:c>
      <x:c r="J141" s="220" t="str">
        <x:v>待核定</x:v>
      </x:c>
      <x:c r="K141" s="221"/>
      <x:c r="L141" s="220"/>
      <x:c r="M141" s="220"/>
      <x:c r="N141" s="219" t="str">
        <x:f>IF($J141="暫停","資格暫停",IF($J141="不核定","不核定",IF($J141="核定完整支援者",IF($I141&lt;&gt;"完整支援者","核定條件未達",IF(OR($K141="",$L141=""),"核定資料未完整","完整支援者")),IF($J141="核定技術備援者",IF(AND($I141&lt;&gt;"完整支援者",$I141&lt;&gt;"技術備援者"),"核定條件未達",IF(OR($K141="",$L141=""),"核定資料未完整","技術備援者")),"待主管核定"))))</x:f>
        <x:v>待主管核定</x:v>
      </x:c>
      <x:c r="O141" s="219" t="n">
        <x:f>IF($N141="完整支援者",2,IF($N141="技術備援者",1,0))</x:f>
        <x:v>0</x:v>
      </x:c>
      <x:c r="P141" s="219" t="str">
        <x:f>IF($N141="完整支援者","是","否")</x:f>
        <x:v>否</x:v>
      </x:c>
    </x:row>
    <x:row r="142">
      <x:c r="A142" s="79" t="str">
        <x:v>SUP|1030|LJT-CROWNPOST</x:v>
      </x:c>
      <x:c r="B142" s="79" t="str">
        <x:v>1030</x:v>
      </x:c>
      <x:c r="C142" s="79" t="str"/>
      <x:c r="D142" s="79" t="str">
        <x:v>LJT-CROWNPOST</x:v>
      </x:c>
      <x:c r="E142" s="79" t="str">
        <x:v>拆 crown/post</x:v>
      </x:c>
      <x:c r="F142" s="79" t="str">
        <x:v>一般</x:v>
      </x:c>
      <x:c r="G142" s="79" t="str">
        <x:v>不可正式排</x:v>
      </x:c>
      <x:c r="H142" s="79" t="str">
        <x:v>待確認共通技能門檻</x:v>
      </x:c>
      <x:c r="I142" s="219" t="str">
        <x:f>IF($G142&lt;&gt;"初步可獨立","不建議",IF($H142="初步可獨立","完整支援者","技術備援者"))</x:f>
        <x:v>不建議</x:v>
      </x:c>
      <x:c r="J142" s="220" t="str">
        <x:v>待核定</x:v>
      </x:c>
      <x:c r="K142" s="221"/>
      <x:c r="L142" s="220"/>
      <x:c r="M142" s="220"/>
      <x:c r="N142" s="219" t="str">
        <x:f>IF($J142="暫停","資格暫停",IF($J142="不核定","不核定",IF($J142="核定完整支援者",IF($I142&lt;&gt;"完整支援者","核定條件未達",IF(OR($K142="",$L142=""),"核定資料未完整","完整支援者")),IF($J142="核定技術備援者",IF(AND($I142&lt;&gt;"完整支援者",$I142&lt;&gt;"技術備援者"),"核定條件未達",IF(OR($K142="",$L142=""),"核定資料未完整","技術備援者")),"待主管核定"))))</x:f>
        <x:v>待主管核定</x:v>
      </x:c>
      <x:c r="O142" s="219" t="n">
        <x:f>IF($N142="完整支援者",2,IF($N142="技術備援者",1,0))</x:f>
        <x:v>0</x:v>
      </x:c>
      <x:c r="P142" s="219" t="str">
        <x:f>IF($N142="完整支援者","是","否")</x:f>
        <x:v>否</x:v>
      </x:c>
    </x:row>
    <x:row r="143">
      <x:c r="A143" s="79" t="str">
        <x:v>SUP|1030|LJT-CROWN</x:v>
      </x:c>
      <x:c r="B143" s="79" t="str">
        <x:v>1030</x:v>
      </x:c>
      <x:c r="C143" s="79" t="str"/>
      <x:c r="D143" s="79" t="str">
        <x:v>LJT-CROWN</x:v>
      </x:c>
      <x:c r="E143" s="79" t="str">
        <x:v>固定假牙</x:v>
      </x:c>
      <x:c r="F143" s="79" t="str">
        <x:v>一般</x:v>
      </x:c>
      <x:c r="G143" s="79" t="str">
        <x:v>不可正式排</x:v>
      </x:c>
      <x:c r="H143" s="79" t="str">
        <x:v>待確認共通技能門檻</x:v>
      </x:c>
      <x:c r="I143" s="219" t="str">
        <x:f>IF($G143&lt;&gt;"初步可獨立","不建議",IF($H143="初步可獨立","完整支援者","技術備援者"))</x:f>
        <x:v>不建議</x:v>
      </x:c>
      <x:c r="J143" s="220" t="str">
        <x:v>待核定</x:v>
      </x:c>
      <x:c r="K143" s="221"/>
      <x:c r="L143" s="220"/>
      <x:c r="M143" s="220"/>
      <x:c r="N143" s="219" t="str">
        <x:f>IF($J143="暫停","資格暫停",IF($J143="不核定","不核定",IF($J143="核定完整支援者",IF($I143&lt;&gt;"完整支援者","核定條件未達",IF(OR($K143="",$L143=""),"核定資料未完整","完整支援者")),IF($J143="核定技術備援者",IF(AND($I143&lt;&gt;"完整支援者",$I143&lt;&gt;"技術備援者"),"核定條件未達",IF(OR($K143="",$L143=""),"核定資料未完整","技術備援者")),"待主管核定"))))</x:f>
        <x:v>待主管核定</x:v>
      </x:c>
      <x:c r="O143" s="219" t="n">
        <x:f>IF($N143="完整支援者",2,IF($N143="技術備援者",1,0))</x:f>
        <x:v>0</x:v>
      </x:c>
      <x:c r="P143" s="219" t="str">
        <x:f>IF($N143="完整支援者","是","否")</x:f>
        <x:v>否</x:v>
      </x:c>
    </x:row>
    <x:row r="144">
      <x:c r="A144" s="79" t="str">
        <x:v>SUP|1030|LJT-RPD</x:v>
      </x:c>
      <x:c r="B144" s="79" t="str">
        <x:v>1030</x:v>
      </x:c>
      <x:c r="C144" s="79" t="str"/>
      <x:c r="D144" s="79" t="str">
        <x:v>LJT-RPD</x:v>
      </x:c>
      <x:c r="E144" s="79" t="str">
        <x:v>RPD</x:v>
      </x:c>
      <x:c r="F144" s="79" t="str">
        <x:v>一般</x:v>
      </x:c>
      <x:c r="G144" s="79" t="str">
        <x:v>不可正式排</x:v>
      </x:c>
      <x:c r="H144" s="79" t="str">
        <x:v>待確認共通技能門檻</x:v>
      </x:c>
      <x:c r="I144" s="219" t="str">
        <x:f>IF($G144&lt;&gt;"初步可獨立","不建議",IF($H144="初步可獨立","完整支援者","技術備援者"))</x:f>
        <x:v>不建議</x:v>
      </x:c>
      <x:c r="J144" s="220" t="str">
        <x:v>待核定</x:v>
      </x:c>
      <x:c r="K144" s="221"/>
      <x:c r="L144" s="220"/>
      <x:c r="M144" s="220"/>
      <x:c r="N144" s="219" t="str">
        <x:f>IF($J144="暫停","資格暫停",IF($J144="不核定","不核定",IF($J144="核定完整支援者",IF($I144&lt;&gt;"完整支援者","核定條件未達",IF(OR($K144="",$L144=""),"核定資料未完整","完整支援者")),IF($J144="核定技術備援者",IF(AND($I144&lt;&gt;"完整支援者",$I144&lt;&gt;"技術備援者"),"核定條件未達",IF(OR($K144="",$L144=""),"核定資料未完整","技術備援者")),"待主管核定"))))</x:f>
        <x:v>待主管核定</x:v>
      </x:c>
      <x:c r="O144" s="219" t="n">
        <x:f>IF($N144="完整支援者",2,IF($N144="技術備援者",1,0))</x:f>
        <x:v>0</x:v>
      </x:c>
      <x:c r="P144" s="219" t="str">
        <x:f>IF($N144="完整支援者","是","否")</x:f>
        <x:v>否</x:v>
      </x:c>
    </x:row>
    <x:row r="145">
      <x:c r="A145" s="79" t="str">
        <x:v>SUP|1030|LJT-RPD-FINAL</x:v>
      </x:c>
      <x:c r="B145" s="79" t="str">
        <x:v>1030</x:v>
      </x:c>
      <x:c r="C145" s="79" t="str"/>
      <x:c r="D145" s="79" t="str">
        <x:v>LJT-RPD-FINAL</x:v>
      </x:c>
      <x:c r="E145" s="79" t="str">
        <x:v>RPD</x:v>
      </x:c>
      <x:c r="F145" s="79" t="str">
        <x:v>特殊階段</x:v>
      </x:c>
      <x:c r="G145" s="79" t="str">
        <x:v>不可正式排</x:v>
      </x:c>
      <x:c r="H145" s="79" t="str">
        <x:v>待確認共通技能門檻</x:v>
      </x:c>
      <x:c r="I145" s="219" t="str">
        <x:f>IF($G145&lt;&gt;"初步可獨立","不建議",IF($H145="初步可獨立","完整支援者","技術備援者"))</x:f>
        <x:v>不建議</x:v>
      </x:c>
      <x:c r="J145" s="220" t="str">
        <x:v>待核定</x:v>
      </x:c>
      <x:c r="K145" s="221"/>
      <x:c r="L145" s="220"/>
      <x:c r="M145" s="220"/>
      <x:c r="N145" s="219" t="str">
        <x:f>IF($J145="暫停","資格暫停",IF($J145="不核定","不核定",IF($J145="核定完整支援者",IF($I145&lt;&gt;"完整支援者","核定條件未達",IF(OR($K145="",$L145=""),"核定資料未完整","完整支援者")),IF($J145="核定技術備援者",IF(AND($I145&lt;&gt;"完整支援者",$I145&lt;&gt;"技術備援者"),"核定條件未達",IF(OR($K145="",$L145=""),"核定資料未完整","技術備援者")),"待主管核定"))))</x:f>
        <x:v>待主管核定</x:v>
      </x:c>
      <x:c r="O145" s="219" t="n">
        <x:f>IF($N145="完整支援者",2,IF($N145="技術備援者",1,0))</x:f>
        <x:v>0</x:v>
      </x:c>
      <x:c r="P145" s="219" t="str">
        <x:f>IF($N145="完整支援者","是","否")</x:f>
        <x:v>否</x:v>
      </x:c>
    </x:row>
    <x:row r="146">
      <x:c r="A146" s="79" t="str">
        <x:v>SUP|1030|LJT-AIRPOLISH</x:v>
      </x:c>
      <x:c r="B146" s="79" t="str">
        <x:v>1030</x:v>
      </x:c>
      <x:c r="C146" s="79" t="str"/>
      <x:c r="D146" s="79" t="str">
        <x:v>LJT-AIRPOLISH</x:v>
      </x:c>
      <x:c r="E146" s="79" t="str">
        <x:v>噴砂美白</x:v>
      </x:c>
      <x:c r="F146" s="79" t="str">
        <x:v>一般</x:v>
      </x:c>
      <x:c r="G146" s="79" t="str">
        <x:v>不可正式排</x:v>
      </x:c>
      <x:c r="H146" s="79" t="str">
        <x:v>待確認共通技能門檻</x:v>
      </x:c>
      <x:c r="I146" s="219" t="str">
        <x:f>IF($G146&lt;&gt;"初步可獨立","不建議",IF($H146="初步可獨立","完整支援者","技術備援者"))</x:f>
        <x:v>不建議</x:v>
      </x:c>
      <x:c r="J146" s="220" t="str">
        <x:v>待核定</x:v>
      </x:c>
      <x:c r="K146" s="221"/>
      <x:c r="L146" s="220"/>
      <x:c r="M146" s="220"/>
      <x:c r="N146" s="219" t="str">
        <x:f>IF($J146="暫停","資格暫停",IF($J146="不核定","不核定",IF($J146="核定完整支援者",IF($I146&lt;&gt;"完整支援者","核定條件未達",IF(OR($K146="",$L146=""),"核定資料未完整","完整支援者")),IF($J146="核定技術備援者",IF(AND($I146&lt;&gt;"完整支援者",$I146&lt;&gt;"技術備援者"),"核定條件未達",IF(OR($K146="",$L146=""),"核定資料未完整","技術備援者")),"待主管核定"))))</x:f>
        <x:v>待主管核定</x:v>
      </x:c>
      <x:c r="O146" s="219" t="n">
        <x:f>IF($N146="完整支援者",2,IF($N146="技術備援者",1,0))</x:f>
        <x:v>0</x:v>
      </x:c>
      <x:c r="P146" s="219" t="str">
        <x:f>IF($N146="完整支援者","是","否")</x:f>
        <x:v>否</x:v>
      </x:c>
    </x:row>
    <x:row r="147">
      <x:c r="A147" s="79" t="str">
        <x:v>SUP|1030|LJT-PERIOSURG</x:v>
      </x:c>
      <x:c r="B147" s="79" t="str">
        <x:v>1030</x:v>
      </x:c>
      <x:c r="C147" s="79" t="str"/>
      <x:c r="D147" s="79" t="str">
        <x:v>LJT-PERIOSURG</x:v>
      </x:c>
      <x:c r="E147" s="79" t="str">
        <x:v>牙周手術</x:v>
      </x:c>
      <x:c r="F147" s="79" t="str">
        <x:v>高複雜度</x:v>
      </x:c>
      <x:c r="G147" s="79" t="str">
        <x:v>不可正式排</x:v>
      </x:c>
      <x:c r="H147" s="79" t="str">
        <x:v>待確認共通技能門檻</x:v>
      </x:c>
      <x:c r="I147" s="219" t="str">
        <x:f>IF($G147&lt;&gt;"初步可獨立","不建議",IF($H147="初步可獨立","完整支援者","技術備援者"))</x:f>
        <x:v>不建議</x:v>
      </x:c>
      <x:c r="J147" s="220" t="str">
        <x:v>待核定</x:v>
      </x:c>
      <x:c r="K147" s="221"/>
      <x:c r="L147" s="220"/>
      <x:c r="M147" s="220"/>
      <x:c r="N147" s="219" t="str">
        <x:f>IF($J147="暫停","資格暫停",IF($J147="不核定","不核定",IF($J147="核定完整支援者",IF($I147&lt;&gt;"完整支援者","核定條件未達",IF(OR($K147="",$L147=""),"核定資料未完整","完整支援者")),IF($J147="核定技術備援者",IF(AND($I147&lt;&gt;"完整支援者",$I147&lt;&gt;"技術備援者"),"核定條件未達",IF(OR($K147="",$L147=""),"核定資料未完整","技術備援者")),"待主管核定"))))</x:f>
        <x:v>待主管核定</x:v>
      </x:c>
      <x:c r="O147" s="219" t="n">
        <x:f>IF($N147="完整支援者",2,IF($N147="技術備援者",1,0))</x:f>
        <x:v>0</x:v>
      </x:c>
      <x:c r="P147" s="219" t="str">
        <x:f>IF($N147="完整支援者","是","否")</x:f>
        <x:v>否</x:v>
      </x:c>
    </x:row>
    <x:row r="148">
      <x:c r="A148" s="79" t="str">
        <x:v>SUP|1030|LJT-MICROENDO</x:v>
      </x:c>
      <x:c r="B148" s="79" t="str">
        <x:v>1030</x:v>
      </x:c>
      <x:c r="C148" s="79" t="str"/>
      <x:c r="D148" s="79" t="str">
        <x:v>LJT-MICROENDO</x:v>
      </x:c>
      <x:c r="E148" s="79" t="str">
        <x:v>顯微根管</x:v>
      </x:c>
      <x:c r="F148" s="79" t="str">
        <x:v>高複雜度</x:v>
      </x:c>
      <x:c r="G148" s="79" t="str">
        <x:v>不可正式排</x:v>
      </x:c>
      <x:c r="H148" s="79" t="str">
        <x:v>待確認共通技能門檻</x:v>
      </x:c>
      <x:c r="I148" s="219" t="str">
        <x:f>IF($G148&lt;&gt;"初步可獨立","不建議",IF($H148="初步可獨立","完整支援者","技術備援者"))</x:f>
        <x:v>不建議</x:v>
      </x:c>
      <x:c r="J148" s="220" t="str">
        <x:v>待核定</x:v>
      </x:c>
      <x:c r="K148" s="221"/>
      <x:c r="L148" s="220"/>
      <x:c r="M148" s="220"/>
      <x:c r="N148" s="219" t="str">
        <x:f>IF($J148="暫停","資格暫停",IF($J148="不核定","不核定",IF($J148="核定完整支援者",IF($I148&lt;&gt;"完整支援者","核定條件未達",IF(OR($K148="",$L148=""),"核定資料未完整","完整支援者")),IF($J148="核定技術備援者",IF(AND($I148&lt;&gt;"完整支援者",$I148&lt;&gt;"技術備援者"),"核定條件未達",IF(OR($K148="",$L148=""),"核定資料未完整","技術備援者")),"待主管核定"))))</x:f>
        <x:v>待主管核定</x:v>
      </x:c>
      <x:c r="O148" s="219" t="n">
        <x:f>IF($N148="完整支援者",2,IF($N148="技術備援者",1,0))</x:f>
        <x:v>0</x:v>
      </x:c>
      <x:c r="P148" s="219" t="str">
        <x:f>IF($N148="完整支援者","是","否")</x:f>
        <x:v>否</x:v>
      </x:c>
    </x:row>
    <x:row r="149">
      <x:c r="A149" s="79" t="str">
        <x:v>SUP|1030|LJT-IMPLANT</x:v>
      </x:c>
      <x:c r="B149" s="79" t="str">
        <x:v>1030</x:v>
      </x:c>
      <x:c r="C149" s="79" t="str"/>
      <x:c r="D149" s="79" t="str">
        <x:v>LJT-IMPLANT</x:v>
      </x:c>
      <x:c r="E149" s="79" t="str">
        <x:v>植牙</x:v>
      </x:c>
      <x:c r="F149" s="79" t="str">
        <x:v>高複雜度</x:v>
      </x:c>
      <x:c r="G149" s="79" t="str">
        <x:v>不可正式排</x:v>
      </x:c>
      <x:c r="H149" s="79" t="str">
        <x:v>待確認共通技能門檻</x:v>
      </x:c>
      <x:c r="I149" s="219" t="str">
        <x:f>IF($G149&lt;&gt;"初步可獨立","不建議",IF($H149="初步可獨立","完整支援者","技術備援者"))</x:f>
        <x:v>不建議</x:v>
      </x:c>
      <x:c r="J149" s="220" t="str">
        <x:v>待核定</x:v>
      </x:c>
      <x:c r="K149" s="221"/>
      <x:c r="L149" s="220"/>
      <x:c r="M149" s="220"/>
      <x:c r="N149" s="219" t="str">
        <x:f>IF($J149="暫停","資格暫停",IF($J149="不核定","不核定",IF($J149="核定完整支援者",IF($I149&lt;&gt;"完整支援者","核定條件未達",IF(OR($K149="",$L149=""),"核定資料未完整","完整支援者")),IF($J149="核定技術備援者",IF(AND($I149&lt;&gt;"完整支援者",$I149&lt;&gt;"技術備援者"),"核定條件未達",IF(OR($K149="",$L149=""),"核定資料未完整","技術備援者")),"待主管核定"))))</x:f>
        <x:v>待主管核定</x:v>
      </x:c>
      <x:c r="O149" s="219" t="n">
        <x:f>IF($N149="完整支援者",2,IF($N149="技術備援者",1,0))</x:f>
        <x:v>0</x:v>
      </x:c>
      <x:c r="P149" s="219" t="str">
        <x:f>IF($N149="完整支援者","是","否")</x:f>
        <x:v>否</x:v>
      </x:c>
    </x:row>
    <x:row r="150">
      <x:c r="A150" s="79" t="str">
        <x:v>SUP|1031|LJT-SCALING</x:v>
      </x:c>
      <x:c r="B150" s="79" t="str">
        <x:v>1031</x:v>
      </x:c>
      <x:c r="C150" s="79" t="str"/>
      <x:c r="D150" s="79" t="str">
        <x:v>LJT-SCALING</x:v>
      </x:c>
      <x:c r="E150" s="79" t="str">
        <x:v>洗牙</x:v>
      </x:c>
      <x:c r="F150" s="79" t="str">
        <x:v>一般</x:v>
      </x:c>
      <x:c r="G150" s="79" t="str">
        <x:v>不可正式排</x:v>
      </x:c>
      <x:c r="H150" s="79" t="str">
        <x:v>待確認共通技能門檻</x:v>
      </x:c>
      <x:c r="I150" s="219" t="str">
        <x:f>IF($G150&lt;&gt;"初步可獨立","不建議",IF($H150="初步可獨立","完整支援者","技術備援者"))</x:f>
        <x:v>不建議</x:v>
      </x:c>
      <x:c r="J150" s="220" t="str">
        <x:v>待核定</x:v>
      </x:c>
      <x:c r="K150" s="221"/>
      <x:c r="L150" s="220"/>
      <x:c r="M150" s="220"/>
      <x:c r="N150" s="219" t="str">
        <x:f>IF($J150="暫停","資格暫停",IF($J150="不核定","不核定",IF($J150="核定完整支援者",IF($I150&lt;&gt;"完整支援者","核定條件未達",IF(OR($K150="",$L150=""),"核定資料未完整","完整支援者")),IF($J150="核定技術備援者",IF(AND($I150&lt;&gt;"完整支援者",$I150&lt;&gt;"技術備援者"),"核定條件未達",IF(OR($K150="",$L150=""),"核定資料未完整","技術備援者")),"待主管核定"))))</x:f>
        <x:v>待主管核定</x:v>
      </x:c>
      <x:c r="O150" s="219" t="n">
        <x:f>IF($N150="完整支援者",2,IF($N150="技術備援者",1,0))</x:f>
        <x:v>0</x:v>
      </x:c>
      <x:c r="P150" s="219" t="str">
        <x:f>IF($N150="完整支援者","是","否")</x:f>
        <x:v>否</x:v>
      </x:c>
    </x:row>
    <x:row r="151">
      <x:c r="A151" s="79" t="str">
        <x:v>SUP|1031|LJT-FILLING</x:v>
      </x:c>
      <x:c r="B151" s="79" t="str">
        <x:v>1031</x:v>
      </x:c>
      <x:c r="C151" s="79" t="str"/>
      <x:c r="D151" s="79" t="str">
        <x:v>LJT-FILLING</x:v>
      </x:c>
      <x:c r="E151" s="79" t="str">
        <x:v>補牙</x:v>
      </x:c>
      <x:c r="F151" s="79" t="str">
        <x:v>一般</x:v>
      </x:c>
      <x:c r="G151" s="79" t="str">
        <x:v>不可正式排</x:v>
      </x:c>
      <x:c r="H151" s="79" t="str">
        <x:v>待確認共通技能門檻</x:v>
      </x:c>
      <x:c r="I151" s="219" t="str">
        <x:f>IF($G151&lt;&gt;"初步可獨立","不建議",IF($H151="初步可獨立","完整支援者","技術備援者"))</x:f>
        <x:v>不建議</x:v>
      </x:c>
      <x:c r="J151" s="220" t="str">
        <x:v>待核定</x:v>
      </x:c>
      <x:c r="K151" s="221"/>
      <x:c r="L151" s="220"/>
      <x:c r="M151" s="220"/>
      <x:c r="N151" s="219" t="str">
        <x:f>IF($J151="暫停","資格暫停",IF($J151="不核定","不核定",IF($J151="核定完整支援者",IF($I151&lt;&gt;"完整支援者","核定條件未達",IF(OR($K151="",$L151=""),"核定資料未完整","完整支援者")),IF($J151="核定技術備援者",IF(AND($I151&lt;&gt;"完整支援者",$I151&lt;&gt;"技術備援者"),"核定條件未達",IF(OR($K151="",$L151=""),"核定資料未完整","技術備援者")),"待主管核定"))))</x:f>
        <x:v>待主管核定</x:v>
      </x:c>
      <x:c r="O151" s="219" t="n">
        <x:f>IF($N151="完整支援者",2,IF($N151="技術備援者",1,0))</x:f>
        <x:v>0</x:v>
      </x:c>
      <x:c r="P151" s="219" t="str">
        <x:f>IF($N151="完整支援者","是","否")</x:f>
        <x:v>否</x:v>
      </x:c>
    </x:row>
    <x:row r="152">
      <x:c r="A152" s="79" t="str">
        <x:v>SUP|1031|LJT-PERIO</x:v>
      </x:c>
      <x:c r="B152" s="79" t="str">
        <x:v>1031</x:v>
      </x:c>
      <x:c r="C152" s="79" t="str"/>
      <x:c r="D152" s="79" t="str">
        <x:v>LJT-PERIO</x:v>
      </x:c>
      <x:c r="E152" s="79" t="str">
        <x:v>牙周統合</x:v>
      </x:c>
      <x:c r="F152" s="79" t="str">
        <x:v>一般</x:v>
      </x:c>
      <x:c r="G152" s="79" t="str">
        <x:v>不可正式排</x:v>
      </x:c>
      <x:c r="H152" s="79" t="str">
        <x:v>待確認共通技能門檻</x:v>
      </x:c>
      <x:c r="I152" s="219" t="str">
        <x:f>IF($G152&lt;&gt;"初步可獨立","不建議",IF($H152="初步可獨立","完整支援者","技術備援者"))</x:f>
        <x:v>不建議</x:v>
      </x:c>
      <x:c r="J152" s="220" t="str">
        <x:v>待核定</x:v>
      </x:c>
      <x:c r="K152" s="221"/>
      <x:c r="L152" s="220"/>
      <x:c r="M152" s="220"/>
      <x:c r="N152" s="219" t="str">
        <x:f>IF($J152="暫停","資格暫停",IF($J152="不核定","不核定",IF($J152="核定完整支援者",IF($I152&lt;&gt;"完整支援者","核定條件未達",IF(OR($K152="",$L152=""),"核定資料未完整","完整支援者")),IF($J152="核定技術備援者",IF(AND($I152&lt;&gt;"完整支援者",$I152&lt;&gt;"技術備援者"),"核定條件未達",IF(OR($K152="",$L152=""),"核定資料未完整","技術備援者")),"待主管核定"))))</x:f>
        <x:v>待主管核定</x:v>
      </x:c>
      <x:c r="O152" s="219" t="n">
        <x:f>IF($N152="完整支援者",2,IF($N152="技術備援者",1,0))</x:f>
        <x:v>0</x:v>
      </x:c>
      <x:c r="P152" s="219" t="str">
        <x:f>IF($N152="完整支援者","是","否")</x:f>
        <x:v>否</x:v>
      </x:c>
    </x:row>
    <x:row r="153">
      <x:c r="A153" s="79" t="str">
        <x:v>SUP|1031|LJT-RCT</x:v>
      </x:c>
      <x:c r="B153" s="79" t="str">
        <x:v>1031</x:v>
      </x:c>
      <x:c r="C153" s="79" t="str"/>
      <x:c r="D153" s="79" t="str">
        <x:v>LJT-RCT</x:v>
      </x:c>
      <x:c r="E153" s="79" t="str">
        <x:v>一般根管治療</x:v>
      </x:c>
      <x:c r="F153" s="79" t="str">
        <x:v>一般</x:v>
      </x:c>
      <x:c r="G153" s="79" t="str">
        <x:v>不可正式排</x:v>
      </x:c>
      <x:c r="H153" s="79" t="str">
        <x:v>待確認共通技能門檻</x:v>
      </x:c>
      <x:c r="I153" s="219" t="str">
        <x:f>IF($G153&lt;&gt;"初步可獨立","不建議",IF($H153="初步可獨立","完整支援者","技術備援者"))</x:f>
        <x:v>不建議</x:v>
      </x:c>
      <x:c r="J153" s="220" t="str">
        <x:v>待核定</x:v>
      </x:c>
      <x:c r="K153" s="221"/>
      <x:c r="L153" s="220"/>
      <x:c r="M153" s="220"/>
      <x:c r="N153" s="219" t="str">
        <x:f>IF($J153="暫停","資格暫停",IF($J153="不核定","不核定",IF($J153="核定完整支援者",IF($I153&lt;&gt;"完整支援者","核定條件未達",IF(OR($K153="",$L153=""),"核定資料未完整","完整支援者")),IF($J153="核定技術備援者",IF(AND($I153&lt;&gt;"完整支援者",$I153&lt;&gt;"技術備援者"),"核定條件未達",IF(OR($K153="",$L153=""),"核定資料未完整","技術備援者")),"待主管核定"))))</x:f>
        <x:v>待主管核定</x:v>
      </x:c>
      <x:c r="O153" s="219" t="n">
        <x:f>IF($N153="完整支援者",2,IF($N153="技術備援者",1,0))</x:f>
        <x:v>0</x:v>
      </x:c>
      <x:c r="P153" s="219" t="str">
        <x:f>IF($N153="完整支援者","是","否")</x:f>
        <x:v>否</x:v>
      </x:c>
    </x:row>
    <x:row r="154">
      <x:c r="A154" s="79" t="str">
        <x:v>SUP|1031|LJT-EXTRACTION</x:v>
      </x:c>
      <x:c r="B154" s="79" t="str">
        <x:v>1031</x:v>
      </x:c>
      <x:c r="C154" s="79" t="str"/>
      <x:c r="D154" s="79" t="str">
        <x:v>LJT-EXTRACTION</x:v>
      </x:c>
      <x:c r="E154" s="79" t="str">
        <x:v>拔牙</x:v>
      </x:c>
      <x:c r="F154" s="79" t="str">
        <x:v>一般</x:v>
      </x:c>
      <x:c r="G154" s="79" t="str">
        <x:v>不可正式排</x:v>
      </x:c>
      <x:c r="H154" s="79" t="str">
        <x:v>待確認共通技能門檻</x:v>
      </x:c>
      <x:c r="I154" s="219" t="str">
        <x:f>IF($G154&lt;&gt;"初步可獨立","不建議",IF($H154="初步可獨立","完整支援者","技術備援者"))</x:f>
        <x:v>不建議</x:v>
      </x:c>
      <x:c r="J154" s="220" t="str">
        <x:v>待核定</x:v>
      </x:c>
      <x:c r="K154" s="221"/>
      <x:c r="L154" s="220"/>
      <x:c r="M154" s="220"/>
      <x:c r="N154" s="219" t="str">
        <x:f>IF($J154="暫停","資格暫停",IF($J154="不核定","不核定",IF($J154="核定完整支援者",IF($I154&lt;&gt;"完整支援者","核定條件未達",IF(OR($K154="",$L154=""),"核定資料未完整","完整支援者")),IF($J154="核定技術備援者",IF(AND($I154&lt;&gt;"完整支援者",$I154&lt;&gt;"技術備援者"),"核定條件未達",IF(OR($K154="",$L154=""),"核定資料未完整","技術備援者")),"待主管核定"))))</x:f>
        <x:v>待主管核定</x:v>
      </x:c>
      <x:c r="O154" s="219" t="n">
        <x:f>IF($N154="完整支援者",2,IF($N154="技術備援者",1,0))</x:f>
        <x:v>0</x:v>
      </x:c>
      <x:c r="P154" s="219" t="str">
        <x:f>IF($N154="完整支援者","是","否")</x:f>
        <x:v>否</x:v>
      </x:c>
    </x:row>
    <x:row r="155">
      <x:c r="A155" s="79" t="str">
        <x:v>SUP|1031|LJT-CROWNPOST</x:v>
      </x:c>
      <x:c r="B155" s="79" t="str">
        <x:v>1031</x:v>
      </x:c>
      <x:c r="C155" s="79" t="str"/>
      <x:c r="D155" s="79" t="str">
        <x:v>LJT-CROWNPOST</x:v>
      </x:c>
      <x:c r="E155" s="79" t="str">
        <x:v>拆 crown/post</x:v>
      </x:c>
      <x:c r="F155" s="79" t="str">
        <x:v>一般</x:v>
      </x:c>
      <x:c r="G155" s="79" t="str">
        <x:v>不可正式排</x:v>
      </x:c>
      <x:c r="H155" s="79" t="str">
        <x:v>待確認共通技能門檻</x:v>
      </x:c>
      <x:c r="I155" s="219" t="str">
        <x:f>IF($G155&lt;&gt;"初步可獨立","不建議",IF($H155="初步可獨立","完整支援者","技術備援者"))</x:f>
        <x:v>不建議</x:v>
      </x:c>
      <x:c r="J155" s="220" t="str">
        <x:v>待核定</x:v>
      </x:c>
      <x:c r="K155" s="221"/>
      <x:c r="L155" s="220"/>
      <x:c r="M155" s="220"/>
      <x:c r="N155" s="219" t="str">
        <x:f>IF($J155="暫停","資格暫停",IF($J155="不核定","不核定",IF($J155="核定完整支援者",IF($I155&lt;&gt;"完整支援者","核定條件未達",IF(OR($K155="",$L155=""),"核定資料未完整","完整支援者")),IF($J155="核定技術備援者",IF(AND($I155&lt;&gt;"完整支援者",$I155&lt;&gt;"技術備援者"),"核定條件未達",IF(OR($K155="",$L155=""),"核定資料未完整","技術備援者")),"待主管核定"))))</x:f>
        <x:v>待主管核定</x:v>
      </x:c>
      <x:c r="O155" s="219" t="n">
        <x:f>IF($N155="完整支援者",2,IF($N155="技術備援者",1,0))</x:f>
        <x:v>0</x:v>
      </x:c>
      <x:c r="P155" s="219" t="str">
        <x:f>IF($N155="完整支援者","是","否")</x:f>
        <x:v>否</x:v>
      </x:c>
    </x:row>
    <x:row r="156">
      <x:c r="A156" s="79" t="str">
        <x:v>SUP|1031|LJT-CROWN</x:v>
      </x:c>
      <x:c r="B156" s="79" t="str">
        <x:v>1031</x:v>
      </x:c>
      <x:c r="C156" s="79" t="str"/>
      <x:c r="D156" s="79" t="str">
        <x:v>LJT-CROWN</x:v>
      </x:c>
      <x:c r="E156" s="79" t="str">
        <x:v>固定假牙</x:v>
      </x:c>
      <x:c r="F156" s="79" t="str">
        <x:v>一般</x:v>
      </x:c>
      <x:c r="G156" s="79" t="str">
        <x:v>不可正式排</x:v>
      </x:c>
      <x:c r="H156" s="79" t="str">
        <x:v>待確認共通技能門檻</x:v>
      </x:c>
      <x:c r="I156" s="219" t="str">
        <x:f>IF($G156&lt;&gt;"初步可獨立","不建議",IF($H156="初步可獨立","完整支援者","技術備援者"))</x:f>
        <x:v>不建議</x:v>
      </x:c>
      <x:c r="J156" s="220" t="str">
        <x:v>待核定</x:v>
      </x:c>
      <x:c r="K156" s="221"/>
      <x:c r="L156" s="220"/>
      <x:c r="M156" s="220"/>
      <x:c r="N156" s="219" t="str">
        <x:f>IF($J156="暫停","資格暫停",IF($J156="不核定","不核定",IF($J156="核定完整支援者",IF($I156&lt;&gt;"完整支援者","核定條件未達",IF(OR($K156="",$L156=""),"核定資料未完整","完整支援者")),IF($J156="核定技術備援者",IF(AND($I156&lt;&gt;"完整支援者",$I156&lt;&gt;"技術備援者"),"核定條件未達",IF(OR($K156="",$L156=""),"核定資料未完整","技術備援者")),"待主管核定"))))</x:f>
        <x:v>待主管核定</x:v>
      </x:c>
      <x:c r="O156" s="219" t="n">
        <x:f>IF($N156="完整支援者",2,IF($N156="技術備援者",1,0))</x:f>
        <x:v>0</x:v>
      </x:c>
      <x:c r="P156" s="219" t="str">
        <x:f>IF($N156="完整支援者","是","否")</x:f>
        <x:v>否</x:v>
      </x:c>
    </x:row>
    <x:row r="157">
      <x:c r="A157" s="79" t="str">
        <x:v>SUP|1031|LJT-RPD</x:v>
      </x:c>
      <x:c r="B157" s="79" t="str">
        <x:v>1031</x:v>
      </x:c>
      <x:c r="C157" s="79" t="str"/>
      <x:c r="D157" s="79" t="str">
        <x:v>LJT-RPD</x:v>
      </x:c>
      <x:c r="E157" s="79" t="str">
        <x:v>RPD</x:v>
      </x:c>
      <x:c r="F157" s="79" t="str">
        <x:v>一般</x:v>
      </x:c>
      <x:c r="G157" s="79" t="str">
        <x:v>不可正式排</x:v>
      </x:c>
      <x:c r="H157" s="79" t="str">
        <x:v>待確認共通技能門檻</x:v>
      </x:c>
      <x:c r="I157" s="219" t="str">
        <x:f>IF($G157&lt;&gt;"初步可獨立","不建議",IF($H157="初步可獨立","完整支援者","技術備援者"))</x:f>
        <x:v>不建議</x:v>
      </x:c>
      <x:c r="J157" s="220" t="str">
        <x:v>待核定</x:v>
      </x:c>
      <x:c r="K157" s="221"/>
      <x:c r="L157" s="220"/>
      <x:c r="M157" s="220"/>
      <x:c r="N157" s="219" t="str">
        <x:f>IF($J157="暫停","資格暫停",IF($J157="不核定","不核定",IF($J157="核定完整支援者",IF($I157&lt;&gt;"完整支援者","核定條件未達",IF(OR($K157="",$L157=""),"核定資料未完整","完整支援者")),IF($J157="核定技術備援者",IF(AND($I157&lt;&gt;"完整支援者",$I157&lt;&gt;"技術備援者"),"核定條件未達",IF(OR($K157="",$L157=""),"核定資料未完整","技術備援者")),"待主管核定"))))</x:f>
        <x:v>待主管核定</x:v>
      </x:c>
      <x:c r="O157" s="219" t="n">
        <x:f>IF($N157="完整支援者",2,IF($N157="技術備援者",1,0))</x:f>
        <x:v>0</x:v>
      </x:c>
      <x:c r="P157" s="219" t="str">
        <x:f>IF($N157="完整支援者","是","否")</x:f>
        <x:v>否</x:v>
      </x:c>
    </x:row>
    <x:row r="158">
      <x:c r="A158" s="79" t="str">
        <x:v>SUP|1031|LJT-RPD-FINAL</x:v>
      </x:c>
      <x:c r="B158" s="79" t="str">
        <x:v>1031</x:v>
      </x:c>
      <x:c r="C158" s="79" t="str"/>
      <x:c r="D158" s="79" t="str">
        <x:v>LJT-RPD-FINAL</x:v>
      </x:c>
      <x:c r="E158" s="79" t="str">
        <x:v>RPD</x:v>
      </x:c>
      <x:c r="F158" s="79" t="str">
        <x:v>特殊階段</x:v>
      </x:c>
      <x:c r="G158" s="79" t="str">
        <x:v>不可正式排</x:v>
      </x:c>
      <x:c r="H158" s="79" t="str">
        <x:v>待確認共通技能門檻</x:v>
      </x:c>
      <x:c r="I158" s="219" t="str">
        <x:f>IF($G158&lt;&gt;"初步可獨立","不建議",IF($H158="初步可獨立","完整支援者","技術備援者"))</x:f>
        <x:v>不建議</x:v>
      </x:c>
      <x:c r="J158" s="220" t="str">
        <x:v>待核定</x:v>
      </x:c>
      <x:c r="K158" s="221"/>
      <x:c r="L158" s="220"/>
      <x:c r="M158" s="220"/>
      <x:c r="N158" s="219" t="str">
        <x:f>IF($J158="暫停","資格暫停",IF($J158="不核定","不核定",IF($J158="核定完整支援者",IF($I158&lt;&gt;"完整支援者","核定條件未達",IF(OR($K158="",$L158=""),"核定資料未完整","完整支援者")),IF($J158="核定技術備援者",IF(AND($I158&lt;&gt;"完整支援者",$I158&lt;&gt;"技術備援者"),"核定條件未達",IF(OR($K158="",$L158=""),"核定資料未完整","技術備援者")),"待主管核定"))))</x:f>
        <x:v>待主管核定</x:v>
      </x:c>
      <x:c r="O158" s="219" t="n">
        <x:f>IF($N158="完整支援者",2,IF($N158="技術備援者",1,0))</x:f>
        <x:v>0</x:v>
      </x:c>
      <x:c r="P158" s="219" t="str">
        <x:f>IF($N158="完整支援者","是","否")</x:f>
        <x:v>否</x:v>
      </x:c>
    </x:row>
    <x:row r="159">
      <x:c r="A159" s="79" t="str">
        <x:v>SUP|1031|LJT-AIRPOLISH</x:v>
      </x:c>
      <x:c r="B159" s="79" t="str">
        <x:v>1031</x:v>
      </x:c>
      <x:c r="C159" s="79" t="str"/>
      <x:c r="D159" s="79" t="str">
        <x:v>LJT-AIRPOLISH</x:v>
      </x:c>
      <x:c r="E159" s="79" t="str">
        <x:v>噴砂美白</x:v>
      </x:c>
      <x:c r="F159" s="79" t="str">
        <x:v>一般</x:v>
      </x:c>
      <x:c r="G159" s="79" t="str">
        <x:v>不可正式排</x:v>
      </x:c>
      <x:c r="H159" s="79" t="str">
        <x:v>待確認共通技能門檻</x:v>
      </x:c>
      <x:c r="I159" s="219" t="str">
        <x:f>IF($G159&lt;&gt;"初步可獨立","不建議",IF($H159="初步可獨立","完整支援者","技術備援者"))</x:f>
        <x:v>不建議</x:v>
      </x:c>
      <x:c r="J159" s="220" t="str">
        <x:v>待核定</x:v>
      </x:c>
      <x:c r="K159" s="221"/>
      <x:c r="L159" s="220"/>
      <x:c r="M159" s="220"/>
      <x:c r="N159" s="219" t="str">
        <x:f>IF($J159="暫停","資格暫停",IF($J159="不核定","不核定",IF($J159="核定完整支援者",IF($I159&lt;&gt;"完整支援者","核定條件未達",IF(OR($K159="",$L159=""),"核定資料未完整","完整支援者")),IF($J159="核定技術備援者",IF(AND($I159&lt;&gt;"完整支援者",$I159&lt;&gt;"技術備援者"),"核定條件未達",IF(OR($K159="",$L159=""),"核定資料未完整","技術備援者")),"待主管核定"))))</x:f>
        <x:v>待主管核定</x:v>
      </x:c>
      <x:c r="O159" s="219" t="n">
        <x:f>IF($N159="完整支援者",2,IF($N159="技術備援者",1,0))</x:f>
        <x:v>0</x:v>
      </x:c>
      <x:c r="P159" s="219" t="str">
        <x:f>IF($N159="完整支援者","是","否")</x:f>
        <x:v>否</x:v>
      </x:c>
    </x:row>
    <x:row r="160">
      <x:c r="A160" s="79" t="str">
        <x:v>SUP|1031|LJT-PERIOSURG</x:v>
      </x:c>
      <x:c r="B160" s="79" t="str">
        <x:v>1031</x:v>
      </x:c>
      <x:c r="C160" s="79" t="str"/>
      <x:c r="D160" s="79" t="str">
        <x:v>LJT-PERIOSURG</x:v>
      </x:c>
      <x:c r="E160" s="79" t="str">
        <x:v>牙周手術</x:v>
      </x:c>
      <x:c r="F160" s="79" t="str">
        <x:v>高複雜度</x:v>
      </x:c>
      <x:c r="G160" s="79" t="str">
        <x:v>不可正式排</x:v>
      </x:c>
      <x:c r="H160" s="79" t="str">
        <x:v>待確認共通技能門檻</x:v>
      </x:c>
      <x:c r="I160" s="219" t="str">
        <x:f>IF($G160&lt;&gt;"初步可獨立","不建議",IF($H160="初步可獨立","完整支援者","技術備援者"))</x:f>
        <x:v>不建議</x:v>
      </x:c>
      <x:c r="J160" s="220" t="str">
        <x:v>待核定</x:v>
      </x:c>
      <x:c r="K160" s="221"/>
      <x:c r="L160" s="220"/>
      <x:c r="M160" s="220"/>
      <x:c r="N160" s="219" t="str">
        <x:f>IF($J160="暫停","資格暫停",IF($J160="不核定","不核定",IF($J160="核定完整支援者",IF($I160&lt;&gt;"完整支援者","核定條件未達",IF(OR($K160="",$L160=""),"核定資料未完整","完整支援者")),IF($J160="核定技術備援者",IF(AND($I160&lt;&gt;"完整支援者",$I160&lt;&gt;"技術備援者"),"核定條件未達",IF(OR($K160="",$L160=""),"核定資料未完整","技術備援者")),"待主管核定"))))</x:f>
        <x:v>待主管核定</x:v>
      </x:c>
      <x:c r="O160" s="219" t="n">
        <x:f>IF($N160="完整支援者",2,IF($N160="技術備援者",1,0))</x:f>
        <x:v>0</x:v>
      </x:c>
      <x:c r="P160" s="219" t="str">
        <x:f>IF($N160="完整支援者","是","否")</x:f>
        <x:v>否</x:v>
      </x:c>
    </x:row>
    <x:row r="161">
      <x:c r="A161" s="79" t="str">
        <x:v>SUP|1031|LJT-MICROENDO</x:v>
      </x:c>
      <x:c r="B161" s="79" t="str">
        <x:v>1031</x:v>
      </x:c>
      <x:c r="C161" s="79" t="str"/>
      <x:c r="D161" s="79" t="str">
        <x:v>LJT-MICROENDO</x:v>
      </x:c>
      <x:c r="E161" s="79" t="str">
        <x:v>顯微根管</x:v>
      </x:c>
      <x:c r="F161" s="79" t="str">
        <x:v>高複雜度</x:v>
      </x:c>
      <x:c r="G161" s="79" t="str">
        <x:v>不可正式排</x:v>
      </x:c>
      <x:c r="H161" s="79" t="str">
        <x:v>待確認共通技能門檻</x:v>
      </x:c>
      <x:c r="I161" s="219" t="str">
        <x:f>IF($G161&lt;&gt;"初步可獨立","不建議",IF($H161="初步可獨立","完整支援者","技術備援者"))</x:f>
        <x:v>不建議</x:v>
      </x:c>
      <x:c r="J161" s="220" t="str">
        <x:v>待核定</x:v>
      </x:c>
      <x:c r="K161" s="221"/>
      <x:c r="L161" s="220"/>
      <x:c r="M161" s="220"/>
      <x:c r="N161" s="219" t="str">
        <x:f>IF($J161="暫停","資格暫停",IF($J161="不核定","不核定",IF($J161="核定完整支援者",IF($I161&lt;&gt;"完整支援者","核定條件未達",IF(OR($K161="",$L161=""),"核定資料未完整","完整支援者")),IF($J161="核定技術備援者",IF(AND($I161&lt;&gt;"完整支援者",$I161&lt;&gt;"技術備援者"),"核定條件未達",IF(OR($K161="",$L161=""),"核定資料未完整","技術備援者")),"待主管核定"))))</x:f>
        <x:v>待主管核定</x:v>
      </x:c>
      <x:c r="O161" s="219" t="n">
        <x:f>IF($N161="完整支援者",2,IF($N161="技術備援者",1,0))</x:f>
        <x:v>0</x:v>
      </x:c>
      <x:c r="P161" s="219" t="str">
        <x:f>IF($N161="完整支援者","是","否")</x:f>
        <x:v>否</x:v>
      </x:c>
    </x:row>
    <x:row r="162">
      <x:c r="A162" s="79" t="str">
        <x:v>SUP|1031|LJT-IMPLANT</x:v>
      </x:c>
      <x:c r="B162" s="79" t="str">
        <x:v>1031</x:v>
      </x:c>
      <x:c r="C162" s="79" t="str"/>
      <x:c r="D162" s="79" t="str">
        <x:v>LJT-IMPLANT</x:v>
      </x:c>
      <x:c r="E162" s="79" t="str">
        <x:v>植牙</x:v>
      </x:c>
      <x:c r="F162" s="79" t="str">
        <x:v>高複雜度</x:v>
      </x:c>
      <x:c r="G162" s="79" t="str">
        <x:v>不可正式排</x:v>
      </x:c>
      <x:c r="H162" s="79" t="str">
        <x:v>待確認共通技能門檻</x:v>
      </x:c>
      <x:c r="I162" s="219" t="str">
        <x:f>IF($G162&lt;&gt;"初步可獨立","不建議",IF($H162="初步可獨立","完整支援者","技術備援者"))</x:f>
        <x:v>不建議</x:v>
      </x:c>
      <x:c r="J162" s="220" t="str">
        <x:v>待核定</x:v>
      </x:c>
      <x:c r="K162" s="221"/>
      <x:c r="L162" s="220"/>
      <x:c r="M162" s="220"/>
      <x:c r="N162" s="219" t="str">
        <x:f>IF($J162="暫停","資格暫停",IF($J162="不核定","不核定",IF($J162="核定完整支援者",IF($I162&lt;&gt;"完整支援者","核定條件未達",IF(OR($K162="",$L162=""),"核定資料未完整","完整支援者")),IF($J162="核定技術備援者",IF(AND($I162&lt;&gt;"完整支援者",$I162&lt;&gt;"技術備援者"),"核定條件未達",IF(OR($K162="",$L162=""),"核定資料未完整","技術備援者")),"待主管核定"))))</x:f>
        <x:v>待主管核定</x:v>
      </x:c>
      <x:c r="O162" s="219" t="n">
        <x:f>IF($N162="完整支援者",2,IF($N162="技術備援者",1,0))</x:f>
        <x:v>0</x:v>
      </x:c>
      <x:c r="P162" s="219" t="str">
        <x:f>IF($N162="完整支援者","是","否")</x:f>
        <x:v>否</x:v>
      </x:c>
    </x:row>
    <x:row r="163">
      <x:c r="A163" s="79" t="str">
        <x:v>SUP|2006|LJT-SCALING</x:v>
      </x:c>
      <x:c r="B163" s="79" t="str">
        <x:v>2006</x:v>
      </x:c>
      <x:c r="C163" s="79" t="str"/>
      <x:c r="D163" s="79" t="str">
        <x:v>LJT-SCALING</x:v>
      </x:c>
      <x:c r="E163" s="79" t="str">
        <x:v>洗牙</x:v>
      </x:c>
      <x:c r="F163" s="79" t="str">
        <x:v>一般</x:v>
      </x:c>
      <x:c r="G163" s="79" t="str">
        <x:v>不可正式排</x:v>
      </x:c>
      <x:c r="H163" s="79" t="str">
        <x:v>待確認共通技能門檻</x:v>
      </x:c>
      <x:c r="I163" s="219" t="str">
        <x:f>IF($G163&lt;&gt;"初步可獨立","不建議",IF($H163="初步可獨立","完整支援者","技術備援者"))</x:f>
        <x:v>不建議</x:v>
      </x:c>
      <x:c r="J163" s="220" t="str">
        <x:v>待核定</x:v>
      </x:c>
      <x:c r="K163" s="221"/>
      <x:c r="L163" s="220"/>
      <x:c r="M163" s="220"/>
      <x:c r="N163" s="219" t="str">
        <x:f>IF($J163="暫停","資格暫停",IF($J163="不核定","不核定",IF($J163="核定完整支援者",IF($I163&lt;&gt;"完整支援者","核定條件未達",IF(OR($K163="",$L163=""),"核定資料未完整","完整支援者")),IF($J163="核定技術備援者",IF(AND($I163&lt;&gt;"完整支援者",$I163&lt;&gt;"技術備援者"),"核定條件未達",IF(OR($K163="",$L163=""),"核定資料未完整","技術備援者")),"待主管核定"))))</x:f>
        <x:v>待主管核定</x:v>
      </x:c>
      <x:c r="O163" s="219" t="n">
        <x:f>IF($N163="完整支援者",2,IF($N163="技術備援者",1,0))</x:f>
        <x:v>0</x:v>
      </x:c>
      <x:c r="P163" s="219" t="str">
        <x:f>IF($N163="完整支援者","是","否")</x:f>
        <x:v>否</x:v>
      </x:c>
    </x:row>
    <x:row r="164">
      <x:c r="A164" s="79" t="str">
        <x:v>SUP|2006|LJT-FILLING</x:v>
      </x:c>
      <x:c r="B164" s="79" t="str">
        <x:v>2006</x:v>
      </x:c>
      <x:c r="C164" s="79" t="str"/>
      <x:c r="D164" s="79" t="str">
        <x:v>LJT-FILLING</x:v>
      </x:c>
      <x:c r="E164" s="79" t="str">
        <x:v>補牙</x:v>
      </x:c>
      <x:c r="F164" s="79" t="str">
        <x:v>一般</x:v>
      </x:c>
      <x:c r="G164" s="79" t="str">
        <x:v>不可正式排</x:v>
      </x:c>
      <x:c r="H164" s="79" t="str">
        <x:v>待確認共通技能門檻</x:v>
      </x:c>
      <x:c r="I164" s="219" t="str">
        <x:f>IF($G164&lt;&gt;"初步可獨立","不建議",IF($H164="初步可獨立","完整支援者","技術備援者"))</x:f>
        <x:v>不建議</x:v>
      </x:c>
      <x:c r="J164" s="220" t="str">
        <x:v>待核定</x:v>
      </x:c>
      <x:c r="K164" s="221"/>
      <x:c r="L164" s="220"/>
      <x:c r="M164" s="220"/>
      <x:c r="N164" s="219" t="str">
        <x:f>IF($J164="暫停","資格暫停",IF($J164="不核定","不核定",IF($J164="核定完整支援者",IF($I164&lt;&gt;"完整支援者","核定條件未達",IF(OR($K164="",$L164=""),"核定資料未完整","完整支援者")),IF($J164="核定技術備援者",IF(AND($I164&lt;&gt;"完整支援者",$I164&lt;&gt;"技術備援者"),"核定條件未達",IF(OR($K164="",$L164=""),"核定資料未完整","技術備援者")),"待主管核定"))))</x:f>
        <x:v>待主管核定</x:v>
      </x:c>
      <x:c r="O164" s="219" t="n">
        <x:f>IF($N164="完整支援者",2,IF($N164="技術備援者",1,0))</x:f>
        <x:v>0</x:v>
      </x:c>
      <x:c r="P164" s="219" t="str">
        <x:f>IF($N164="完整支援者","是","否")</x:f>
        <x:v>否</x:v>
      </x:c>
    </x:row>
    <x:row r="165">
      <x:c r="A165" s="79" t="str">
        <x:v>SUP|2006|LJT-PERIO</x:v>
      </x:c>
      <x:c r="B165" s="79" t="str">
        <x:v>2006</x:v>
      </x:c>
      <x:c r="C165" s="79" t="str"/>
      <x:c r="D165" s="79" t="str">
        <x:v>LJT-PERIO</x:v>
      </x:c>
      <x:c r="E165" s="79" t="str">
        <x:v>牙周統合</x:v>
      </x:c>
      <x:c r="F165" s="79" t="str">
        <x:v>一般</x:v>
      </x:c>
      <x:c r="G165" s="79" t="str">
        <x:v>不可正式排</x:v>
      </x:c>
      <x:c r="H165" s="79" t="str">
        <x:v>待確認共通技能門檻</x:v>
      </x:c>
      <x:c r="I165" s="219" t="str">
        <x:f>IF($G165&lt;&gt;"初步可獨立","不建議",IF($H165="初步可獨立","完整支援者","技術備援者"))</x:f>
        <x:v>不建議</x:v>
      </x:c>
      <x:c r="J165" s="220" t="str">
        <x:v>待核定</x:v>
      </x:c>
      <x:c r="K165" s="221"/>
      <x:c r="L165" s="220"/>
      <x:c r="M165" s="220"/>
      <x:c r="N165" s="219" t="str">
        <x:f>IF($J165="暫停","資格暫停",IF($J165="不核定","不核定",IF($J165="核定完整支援者",IF($I165&lt;&gt;"完整支援者","核定條件未達",IF(OR($K165="",$L165=""),"核定資料未完整","完整支援者")),IF($J165="核定技術備援者",IF(AND($I165&lt;&gt;"完整支援者",$I165&lt;&gt;"技術備援者"),"核定條件未達",IF(OR($K165="",$L165=""),"核定資料未完整","技術備援者")),"待主管核定"))))</x:f>
        <x:v>待主管核定</x:v>
      </x:c>
      <x:c r="O165" s="219" t="n">
        <x:f>IF($N165="完整支援者",2,IF($N165="技術備援者",1,0))</x:f>
        <x:v>0</x:v>
      </x:c>
      <x:c r="P165" s="219" t="str">
        <x:f>IF($N165="完整支援者","是","否")</x:f>
        <x:v>否</x:v>
      </x:c>
    </x:row>
    <x:row r="166">
      <x:c r="A166" s="79" t="str">
        <x:v>SUP|2006|LJT-RCT</x:v>
      </x:c>
      <x:c r="B166" s="79" t="str">
        <x:v>2006</x:v>
      </x:c>
      <x:c r="C166" s="79" t="str"/>
      <x:c r="D166" s="79" t="str">
        <x:v>LJT-RCT</x:v>
      </x:c>
      <x:c r="E166" s="79" t="str">
        <x:v>一般根管治療</x:v>
      </x:c>
      <x:c r="F166" s="79" t="str">
        <x:v>一般</x:v>
      </x:c>
      <x:c r="G166" s="79" t="str">
        <x:v>不可正式排</x:v>
      </x:c>
      <x:c r="H166" s="79" t="str">
        <x:v>待確認共通技能門檻</x:v>
      </x:c>
      <x:c r="I166" s="219" t="str">
        <x:f>IF($G166&lt;&gt;"初步可獨立","不建議",IF($H166="初步可獨立","完整支援者","技術備援者"))</x:f>
        <x:v>不建議</x:v>
      </x:c>
      <x:c r="J166" s="220" t="str">
        <x:v>待核定</x:v>
      </x:c>
      <x:c r="K166" s="221"/>
      <x:c r="L166" s="220"/>
      <x:c r="M166" s="220"/>
      <x:c r="N166" s="219" t="str">
        <x:f>IF($J166="暫停","資格暫停",IF($J166="不核定","不核定",IF($J166="核定完整支援者",IF($I166&lt;&gt;"完整支援者","核定條件未達",IF(OR($K166="",$L166=""),"核定資料未完整","完整支援者")),IF($J166="核定技術備援者",IF(AND($I166&lt;&gt;"完整支援者",$I166&lt;&gt;"技術備援者"),"核定條件未達",IF(OR($K166="",$L166=""),"核定資料未完整","技術備援者")),"待主管核定"))))</x:f>
        <x:v>待主管核定</x:v>
      </x:c>
      <x:c r="O166" s="219" t="n">
        <x:f>IF($N166="完整支援者",2,IF($N166="技術備援者",1,0))</x:f>
        <x:v>0</x:v>
      </x:c>
      <x:c r="P166" s="219" t="str">
        <x:f>IF($N166="完整支援者","是","否")</x:f>
        <x:v>否</x:v>
      </x:c>
    </x:row>
    <x:row r="167">
      <x:c r="A167" s="79" t="str">
        <x:v>SUP|2006|LJT-EXTRACTION</x:v>
      </x:c>
      <x:c r="B167" s="79" t="str">
        <x:v>2006</x:v>
      </x:c>
      <x:c r="C167" s="79" t="str"/>
      <x:c r="D167" s="79" t="str">
        <x:v>LJT-EXTRACTION</x:v>
      </x:c>
      <x:c r="E167" s="79" t="str">
        <x:v>拔牙</x:v>
      </x:c>
      <x:c r="F167" s="79" t="str">
        <x:v>一般</x:v>
      </x:c>
      <x:c r="G167" s="79" t="str">
        <x:v>不可正式排</x:v>
      </x:c>
      <x:c r="H167" s="79" t="str">
        <x:v>待確認共通技能門檻</x:v>
      </x:c>
      <x:c r="I167" s="219" t="str">
        <x:f>IF($G167&lt;&gt;"初步可獨立","不建議",IF($H167="初步可獨立","完整支援者","技術備援者"))</x:f>
        <x:v>不建議</x:v>
      </x:c>
      <x:c r="J167" s="220" t="str">
        <x:v>待核定</x:v>
      </x:c>
      <x:c r="K167" s="221"/>
      <x:c r="L167" s="220"/>
      <x:c r="M167" s="220"/>
      <x:c r="N167" s="219" t="str">
        <x:f>IF($J167="暫停","資格暫停",IF($J167="不核定","不核定",IF($J167="核定完整支援者",IF($I167&lt;&gt;"完整支援者","核定條件未達",IF(OR($K167="",$L167=""),"核定資料未完整","完整支援者")),IF($J167="核定技術備援者",IF(AND($I167&lt;&gt;"完整支援者",$I167&lt;&gt;"技術備援者"),"核定條件未達",IF(OR($K167="",$L167=""),"核定資料未完整","技術備援者")),"待主管核定"))))</x:f>
        <x:v>待主管核定</x:v>
      </x:c>
      <x:c r="O167" s="219" t="n">
        <x:f>IF($N167="完整支援者",2,IF($N167="技術備援者",1,0))</x:f>
        <x:v>0</x:v>
      </x:c>
      <x:c r="P167" s="219" t="str">
        <x:f>IF($N167="完整支援者","是","否")</x:f>
        <x:v>否</x:v>
      </x:c>
    </x:row>
    <x:row r="168">
      <x:c r="A168" s="79" t="str">
        <x:v>SUP|2006|LJT-CROWNPOST</x:v>
      </x:c>
      <x:c r="B168" s="79" t="str">
        <x:v>2006</x:v>
      </x:c>
      <x:c r="C168" s="79" t="str"/>
      <x:c r="D168" s="79" t="str">
        <x:v>LJT-CROWNPOST</x:v>
      </x:c>
      <x:c r="E168" s="79" t="str">
        <x:v>拆 crown/post</x:v>
      </x:c>
      <x:c r="F168" s="79" t="str">
        <x:v>一般</x:v>
      </x:c>
      <x:c r="G168" s="79" t="str">
        <x:v>不可正式排</x:v>
      </x:c>
      <x:c r="H168" s="79" t="str">
        <x:v>待確認共通技能門檻</x:v>
      </x:c>
      <x:c r="I168" s="219" t="str">
        <x:f>IF($G168&lt;&gt;"初步可獨立","不建議",IF($H168="初步可獨立","完整支援者","技術備援者"))</x:f>
        <x:v>不建議</x:v>
      </x:c>
      <x:c r="J168" s="220" t="str">
        <x:v>待核定</x:v>
      </x:c>
      <x:c r="K168" s="221"/>
      <x:c r="L168" s="220"/>
      <x:c r="M168" s="220"/>
      <x:c r="N168" s="219" t="str">
        <x:f>IF($J168="暫停","資格暫停",IF($J168="不核定","不核定",IF($J168="核定完整支援者",IF($I168&lt;&gt;"完整支援者","核定條件未達",IF(OR($K168="",$L168=""),"核定資料未完整","完整支援者")),IF($J168="核定技術備援者",IF(AND($I168&lt;&gt;"完整支援者",$I168&lt;&gt;"技術備援者"),"核定條件未達",IF(OR($K168="",$L168=""),"核定資料未完整","技術備援者")),"待主管核定"))))</x:f>
        <x:v>待主管核定</x:v>
      </x:c>
      <x:c r="O168" s="219" t="n">
        <x:f>IF($N168="完整支援者",2,IF($N168="技術備援者",1,0))</x:f>
        <x:v>0</x:v>
      </x:c>
      <x:c r="P168" s="219" t="str">
        <x:f>IF($N168="完整支援者","是","否")</x:f>
        <x:v>否</x:v>
      </x:c>
    </x:row>
    <x:row r="169">
      <x:c r="A169" s="79" t="str">
        <x:v>SUP|2006|LJT-CROWN</x:v>
      </x:c>
      <x:c r="B169" s="79" t="str">
        <x:v>2006</x:v>
      </x:c>
      <x:c r="C169" s="79" t="str"/>
      <x:c r="D169" s="79" t="str">
        <x:v>LJT-CROWN</x:v>
      </x:c>
      <x:c r="E169" s="79" t="str">
        <x:v>固定假牙</x:v>
      </x:c>
      <x:c r="F169" s="79" t="str">
        <x:v>一般</x:v>
      </x:c>
      <x:c r="G169" s="79" t="str">
        <x:v>不可正式排</x:v>
      </x:c>
      <x:c r="H169" s="79" t="str">
        <x:v>待確認共通技能門檻</x:v>
      </x:c>
      <x:c r="I169" s="219" t="str">
        <x:f>IF($G169&lt;&gt;"初步可獨立","不建議",IF($H169="初步可獨立","完整支援者","技術備援者"))</x:f>
        <x:v>不建議</x:v>
      </x:c>
      <x:c r="J169" s="220" t="str">
        <x:v>待核定</x:v>
      </x:c>
      <x:c r="K169" s="221"/>
      <x:c r="L169" s="220"/>
      <x:c r="M169" s="220"/>
      <x:c r="N169" s="219" t="str">
        <x:f>IF($J169="暫停","資格暫停",IF($J169="不核定","不核定",IF($J169="核定完整支援者",IF($I169&lt;&gt;"完整支援者","核定條件未達",IF(OR($K169="",$L169=""),"核定資料未完整","完整支援者")),IF($J169="核定技術備援者",IF(AND($I169&lt;&gt;"完整支援者",$I169&lt;&gt;"技術備援者"),"核定條件未達",IF(OR($K169="",$L169=""),"核定資料未完整","技術備援者")),"待主管核定"))))</x:f>
        <x:v>待主管核定</x:v>
      </x:c>
      <x:c r="O169" s="219" t="n">
        <x:f>IF($N169="完整支援者",2,IF($N169="技術備援者",1,0))</x:f>
        <x:v>0</x:v>
      </x:c>
      <x:c r="P169" s="219" t="str">
        <x:f>IF($N169="完整支援者","是","否")</x:f>
        <x:v>否</x:v>
      </x:c>
    </x:row>
    <x:row r="170">
      <x:c r="A170" s="79" t="str">
        <x:v>SUP|2006|LJT-RPD</x:v>
      </x:c>
      <x:c r="B170" s="79" t="str">
        <x:v>2006</x:v>
      </x:c>
      <x:c r="C170" s="79" t="str"/>
      <x:c r="D170" s="79" t="str">
        <x:v>LJT-RPD</x:v>
      </x:c>
      <x:c r="E170" s="79" t="str">
        <x:v>RPD</x:v>
      </x:c>
      <x:c r="F170" s="79" t="str">
        <x:v>一般</x:v>
      </x:c>
      <x:c r="G170" s="79" t="str">
        <x:v>不可正式排</x:v>
      </x:c>
      <x:c r="H170" s="79" t="str">
        <x:v>待確認共通技能門檻</x:v>
      </x:c>
      <x:c r="I170" s="219" t="str">
        <x:f>IF($G170&lt;&gt;"初步可獨立","不建議",IF($H170="初步可獨立","完整支援者","技術備援者"))</x:f>
        <x:v>不建議</x:v>
      </x:c>
      <x:c r="J170" s="220" t="str">
        <x:v>待核定</x:v>
      </x:c>
      <x:c r="K170" s="221"/>
      <x:c r="L170" s="220"/>
      <x:c r="M170" s="220"/>
      <x:c r="N170" s="219" t="str">
        <x:f>IF($J170="暫停","資格暫停",IF($J170="不核定","不核定",IF($J170="核定完整支援者",IF($I170&lt;&gt;"完整支援者","核定條件未達",IF(OR($K170="",$L170=""),"核定資料未完整","完整支援者")),IF($J170="核定技術備援者",IF(AND($I170&lt;&gt;"完整支援者",$I170&lt;&gt;"技術備援者"),"核定條件未達",IF(OR($K170="",$L170=""),"核定資料未完整","技術備援者")),"待主管核定"))))</x:f>
        <x:v>待主管核定</x:v>
      </x:c>
      <x:c r="O170" s="219" t="n">
        <x:f>IF($N170="完整支援者",2,IF($N170="技術備援者",1,0))</x:f>
        <x:v>0</x:v>
      </x:c>
      <x:c r="P170" s="219" t="str">
        <x:f>IF($N170="完整支援者","是","否")</x:f>
        <x:v>否</x:v>
      </x:c>
    </x:row>
    <x:row r="171">
      <x:c r="A171" s="79" t="str">
        <x:v>SUP|2006|LJT-RPD-FINAL</x:v>
      </x:c>
      <x:c r="B171" s="79" t="str">
        <x:v>2006</x:v>
      </x:c>
      <x:c r="C171" s="79" t="str"/>
      <x:c r="D171" s="79" t="str">
        <x:v>LJT-RPD-FINAL</x:v>
      </x:c>
      <x:c r="E171" s="79" t="str">
        <x:v>RPD</x:v>
      </x:c>
      <x:c r="F171" s="79" t="str">
        <x:v>特殊階段</x:v>
      </x:c>
      <x:c r="G171" s="79" t="str">
        <x:v>不可正式排</x:v>
      </x:c>
      <x:c r="H171" s="79" t="str">
        <x:v>待確認共通技能門檻</x:v>
      </x:c>
      <x:c r="I171" s="219" t="str">
        <x:f>IF($G171&lt;&gt;"初步可獨立","不建議",IF($H171="初步可獨立","完整支援者","技術備援者"))</x:f>
        <x:v>不建議</x:v>
      </x:c>
      <x:c r="J171" s="220" t="str">
        <x:v>待核定</x:v>
      </x:c>
      <x:c r="K171" s="221"/>
      <x:c r="L171" s="220"/>
      <x:c r="M171" s="220"/>
      <x:c r="N171" s="219" t="str">
        <x:f>IF($J171="暫停","資格暫停",IF($J171="不核定","不核定",IF($J171="核定完整支援者",IF($I171&lt;&gt;"完整支援者","核定條件未達",IF(OR($K171="",$L171=""),"核定資料未完整","完整支援者")),IF($J171="核定技術備援者",IF(AND($I171&lt;&gt;"完整支援者",$I171&lt;&gt;"技術備援者"),"核定條件未達",IF(OR($K171="",$L171=""),"核定資料未完整","技術備援者")),"待主管核定"))))</x:f>
        <x:v>待主管核定</x:v>
      </x:c>
      <x:c r="O171" s="219" t="n">
        <x:f>IF($N171="完整支援者",2,IF($N171="技術備援者",1,0))</x:f>
        <x:v>0</x:v>
      </x:c>
      <x:c r="P171" s="219" t="str">
        <x:f>IF($N171="完整支援者","是","否")</x:f>
        <x:v>否</x:v>
      </x:c>
    </x:row>
    <x:row r="172">
      <x:c r="A172" s="79" t="str">
        <x:v>SUP|2006|LJT-AIRPOLISH</x:v>
      </x:c>
      <x:c r="B172" s="79" t="str">
        <x:v>2006</x:v>
      </x:c>
      <x:c r="C172" s="79" t="str"/>
      <x:c r="D172" s="79" t="str">
        <x:v>LJT-AIRPOLISH</x:v>
      </x:c>
      <x:c r="E172" s="79" t="str">
        <x:v>噴砂美白</x:v>
      </x:c>
      <x:c r="F172" s="79" t="str">
        <x:v>一般</x:v>
      </x:c>
      <x:c r="G172" s="79" t="str">
        <x:v>不可正式排</x:v>
      </x:c>
      <x:c r="H172" s="79" t="str">
        <x:v>待確認共通技能門檻</x:v>
      </x:c>
      <x:c r="I172" s="219" t="str">
        <x:f>IF($G172&lt;&gt;"初步可獨立","不建議",IF($H172="初步可獨立","完整支援者","技術備援者"))</x:f>
        <x:v>不建議</x:v>
      </x:c>
      <x:c r="J172" s="220" t="str">
        <x:v>待核定</x:v>
      </x:c>
      <x:c r="K172" s="221"/>
      <x:c r="L172" s="220"/>
      <x:c r="M172" s="220"/>
      <x:c r="N172" s="219" t="str">
        <x:f>IF($J172="暫停","資格暫停",IF($J172="不核定","不核定",IF($J172="核定完整支援者",IF($I172&lt;&gt;"完整支援者","核定條件未達",IF(OR($K172="",$L172=""),"核定資料未完整","完整支援者")),IF($J172="核定技術備援者",IF(AND($I172&lt;&gt;"完整支援者",$I172&lt;&gt;"技術備援者"),"核定條件未達",IF(OR($K172="",$L172=""),"核定資料未完整","技術備援者")),"待主管核定"))))</x:f>
        <x:v>待主管核定</x:v>
      </x:c>
      <x:c r="O172" s="219" t="n">
        <x:f>IF($N172="完整支援者",2,IF($N172="技術備援者",1,0))</x:f>
        <x:v>0</x:v>
      </x:c>
      <x:c r="P172" s="219" t="str">
        <x:f>IF($N172="完整支援者","是","否")</x:f>
        <x:v>否</x:v>
      </x:c>
    </x:row>
    <x:row r="173">
      <x:c r="A173" s="79" t="str">
        <x:v>SUP|2006|LJT-PERIOSURG</x:v>
      </x:c>
      <x:c r="B173" s="79" t="str">
        <x:v>2006</x:v>
      </x:c>
      <x:c r="C173" s="79" t="str"/>
      <x:c r="D173" s="79" t="str">
        <x:v>LJT-PERIOSURG</x:v>
      </x:c>
      <x:c r="E173" s="79" t="str">
        <x:v>牙周手術</x:v>
      </x:c>
      <x:c r="F173" s="79" t="str">
        <x:v>高複雜度</x:v>
      </x:c>
      <x:c r="G173" s="79" t="str">
        <x:v>不可正式排</x:v>
      </x:c>
      <x:c r="H173" s="79" t="str">
        <x:v>待確認共通技能門檻</x:v>
      </x:c>
      <x:c r="I173" s="219" t="str">
        <x:f>IF($G173&lt;&gt;"初步可獨立","不建議",IF($H173="初步可獨立","完整支援者","技術備援者"))</x:f>
        <x:v>不建議</x:v>
      </x:c>
      <x:c r="J173" s="220" t="str">
        <x:v>待核定</x:v>
      </x:c>
      <x:c r="K173" s="221"/>
      <x:c r="L173" s="220"/>
      <x:c r="M173" s="220"/>
      <x:c r="N173" s="219" t="str">
        <x:f>IF($J173="暫停","資格暫停",IF($J173="不核定","不核定",IF($J173="核定完整支援者",IF($I173&lt;&gt;"完整支援者","核定條件未達",IF(OR($K173="",$L173=""),"核定資料未完整","完整支援者")),IF($J173="核定技術備援者",IF(AND($I173&lt;&gt;"完整支援者",$I173&lt;&gt;"技術備援者"),"核定條件未達",IF(OR($K173="",$L173=""),"核定資料未完整","技術備援者")),"待主管核定"))))</x:f>
        <x:v>待主管核定</x:v>
      </x:c>
      <x:c r="O173" s="219" t="n">
        <x:f>IF($N173="完整支援者",2,IF($N173="技術備援者",1,0))</x:f>
        <x:v>0</x:v>
      </x:c>
      <x:c r="P173" s="219" t="str">
        <x:f>IF($N173="完整支援者","是","否")</x:f>
        <x:v>否</x:v>
      </x:c>
    </x:row>
    <x:row r="174">
      <x:c r="A174" s="79" t="str">
        <x:v>SUP|2006|LJT-MICROENDO</x:v>
      </x:c>
      <x:c r="B174" s="79" t="str">
        <x:v>2006</x:v>
      </x:c>
      <x:c r="C174" s="79" t="str"/>
      <x:c r="D174" s="79" t="str">
        <x:v>LJT-MICROENDO</x:v>
      </x:c>
      <x:c r="E174" s="79" t="str">
        <x:v>顯微根管</x:v>
      </x:c>
      <x:c r="F174" s="79" t="str">
        <x:v>高複雜度</x:v>
      </x:c>
      <x:c r="G174" s="79" t="str">
        <x:v>不可正式排</x:v>
      </x:c>
      <x:c r="H174" s="79" t="str">
        <x:v>待確認共通技能門檻</x:v>
      </x:c>
      <x:c r="I174" s="219" t="str">
        <x:f>IF($G174&lt;&gt;"初步可獨立","不建議",IF($H174="初步可獨立","完整支援者","技術備援者"))</x:f>
        <x:v>不建議</x:v>
      </x:c>
      <x:c r="J174" s="220" t="str">
        <x:v>待核定</x:v>
      </x:c>
      <x:c r="K174" s="221"/>
      <x:c r="L174" s="220"/>
      <x:c r="M174" s="220"/>
      <x:c r="N174" s="219" t="str">
        <x:f>IF($J174="暫停","資格暫停",IF($J174="不核定","不核定",IF($J174="核定完整支援者",IF($I174&lt;&gt;"完整支援者","核定條件未達",IF(OR($K174="",$L174=""),"核定資料未完整","完整支援者")),IF($J174="核定技術備援者",IF(AND($I174&lt;&gt;"完整支援者",$I174&lt;&gt;"技術備援者"),"核定條件未達",IF(OR($K174="",$L174=""),"核定資料未完整","技術備援者")),"待主管核定"))))</x:f>
        <x:v>待主管核定</x:v>
      </x:c>
      <x:c r="O174" s="219" t="n">
        <x:f>IF($N174="完整支援者",2,IF($N174="技術備援者",1,0))</x:f>
        <x:v>0</x:v>
      </x:c>
      <x:c r="P174" s="219" t="str">
        <x:f>IF($N174="完整支援者","是","否")</x:f>
        <x:v>否</x:v>
      </x:c>
    </x:row>
    <x:row r="175">
      <x:c r="A175" s="79" t="str">
        <x:v>SUP|2006|LJT-IMPLANT</x:v>
      </x:c>
      <x:c r="B175" s="79" t="str">
        <x:v>2006</x:v>
      </x:c>
      <x:c r="C175" s="79" t="str"/>
      <x:c r="D175" s="79" t="str">
        <x:v>LJT-IMPLANT</x:v>
      </x:c>
      <x:c r="E175" s="79" t="str">
        <x:v>植牙</x:v>
      </x:c>
      <x:c r="F175" s="79" t="str">
        <x:v>高複雜度</x:v>
      </x:c>
      <x:c r="G175" s="79" t="str">
        <x:v>不可正式排</x:v>
      </x:c>
      <x:c r="H175" s="79" t="str">
        <x:v>待確認共通技能門檻</x:v>
      </x:c>
      <x:c r="I175" s="219" t="str">
        <x:f>IF($G175&lt;&gt;"初步可獨立","不建議",IF($H175="初步可獨立","完整支援者","技術備援者"))</x:f>
        <x:v>不建議</x:v>
      </x:c>
      <x:c r="J175" s="220" t="str">
        <x:v>待核定</x:v>
      </x:c>
      <x:c r="K175" s="221"/>
      <x:c r="L175" s="220"/>
      <x:c r="M175" s="220"/>
      <x:c r="N175" s="219" t="str">
        <x:f>IF($J175="暫停","資格暫停",IF($J175="不核定","不核定",IF($J175="核定完整支援者",IF($I175&lt;&gt;"完整支援者","核定條件未達",IF(OR($K175="",$L175=""),"核定資料未完整","完整支援者")),IF($J175="核定技術備援者",IF(AND($I175&lt;&gt;"完整支援者",$I175&lt;&gt;"技術備援者"),"核定條件未達",IF(OR($K175="",$L175=""),"核定資料未完整","技術備援者")),"待主管核定"))))</x:f>
        <x:v>待主管核定</x:v>
      </x:c>
      <x:c r="O175" s="219" t="n">
        <x:f>IF($N175="完整支援者",2,IF($N175="技術備援者",1,0))</x:f>
        <x:v>0</x:v>
      </x:c>
      <x:c r="P175" s="219" t="str">
        <x:f>IF($N175="完整支援者","是","否")</x:f>
        <x:v>否</x:v>
      </x:c>
    </x:row>
    <x:row r="176">
      <x:c r="A176" s="79" t="str">
        <x:v>SUP|2007|LJT-SCALING</x:v>
      </x:c>
      <x:c r="B176" s="79" t="str">
        <x:v>2007</x:v>
      </x:c>
      <x:c r="C176" s="79" t="str"/>
      <x:c r="D176" s="79" t="str">
        <x:v>LJT-SCALING</x:v>
      </x:c>
      <x:c r="E176" s="79" t="str">
        <x:v>洗牙</x:v>
      </x:c>
      <x:c r="F176" s="79" t="str">
        <x:v>一般</x:v>
      </x:c>
      <x:c r="G176" s="79" t="str">
        <x:v>不可正式排</x:v>
      </x:c>
      <x:c r="H176" s="79" t="str">
        <x:v>待確認共通技能門檻</x:v>
      </x:c>
      <x:c r="I176" s="219" t="str">
        <x:f>IF($G176&lt;&gt;"初步可獨立","不建議",IF($H176="初步可獨立","完整支援者","技術備援者"))</x:f>
        <x:v>不建議</x:v>
      </x:c>
      <x:c r="J176" s="220" t="str">
        <x:v>待核定</x:v>
      </x:c>
      <x:c r="K176" s="221"/>
      <x:c r="L176" s="220"/>
      <x:c r="M176" s="220"/>
      <x:c r="N176" s="219" t="str">
        <x:f>IF($J176="暫停","資格暫停",IF($J176="不核定","不核定",IF($J176="核定完整支援者",IF($I176&lt;&gt;"完整支援者","核定條件未達",IF(OR($K176="",$L176=""),"核定資料未完整","完整支援者")),IF($J176="核定技術備援者",IF(AND($I176&lt;&gt;"完整支援者",$I176&lt;&gt;"技術備援者"),"核定條件未達",IF(OR($K176="",$L176=""),"核定資料未完整","技術備援者")),"待主管核定"))))</x:f>
        <x:v>待主管核定</x:v>
      </x:c>
      <x:c r="O176" s="219" t="n">
        <x:f>IF($N176="完整支援者",2,IF($N176="技術備援者",1,0))</x:f>
        <x:v>0</x:v>
      </x:c>
      <x:c r="P176" s="219" t="str">
        <x:f>IF($N176="完整支援者","是","否")</x:f>
        <x:v>否</x:v>
      </x:c>
    </x:row>
    <x:row r="177">
      <x:c r="A177" s="79" t="str">
        <x:v>SUP|2007|LJT-FILLING</x:v>
      </x:c>
      <x:c r="B177" s="79" t="str">
        <x:v>2007</x:v>
      </x:c>
      <x:c r="C177" s="79" t="str"/>
      <x:c r="D177" s="79" t="str">
        <x:v>LJT-FILLING</x:v>
      </x:c>
      <x:c r="E177" s="79" t="str">
        <x:v>補牙</x:v>
      </x:c>
      <x:c r="F177" s="79" t="str">
        <x:v>一般</x:v>
      </x:c>
      <x:c r="G177" s="79" t="str">
        <x:v>不可正式排</x:v>
      </x:c>
      <x:c r="H177" s="79" t="str">
        <x:v>待確認共通技能門檻</x:v>
      </x:c>
      <x:c r="I177" s="219" t="str">
        <x:f>IF($G177&lt;&gt;"初步可獨立","不建議",IF($H177="初步可獨立","完整支援者","技術備援者"))</x:f>
        <x:v>不建議</x:v>
      </x:c>
      <x:c r="J177" s="220" t="str">
        <x:v>待核定</x:v>
      </x:c>
      <x:c r="K177" s="221"/>
      <x:c r="L177" s="220"/>
      <x:c r="M177" s="220"/>
      <x:c r="N177" s="219" t="str">
        <x:f>IF($J177="暫停","資格暫停",IF($J177="不核定","不核定",IF($J177="核定完整支援者",IF($I177&lt;&gt;"完整支援者","核定條件未達",IF(OR($K177="",$L177=""),"核定資料未完整","完整支援者")),IF($J177="核定技術備援者",IF(AND($I177&lt;&gt;"完整支援者",$I177&lt;&gt;"技術備援者"),"核定條件未達",IF(OR($K177="",$L177=""),"核定資料未完整","技術備援者")),"待主管核定"))))</x:f>
        <x:v>待主管核定</x:v>
      </x:c>
      <x:c r="O177" s="219" t="n">
        <x:f>IF($N177="完整支援者",2,IF($N177="技術備援者",1,0))</x:f>
        <x:v>0</x:v>
      </x:c>
      <x:c r="P177" s="219" t="str">
        <x:f>IF($N177="完整支援者","是","否")</x:f>
        <x:v>否</x:v>
      </x:c>
    </x:row>
    <x:row r="178">
      <x:c r="A178" s="79" t="str">
        <x:v>SUP|2007|LJT-PERIO</x:v>
      </x:c>
      <x:c r="B178" s="79" t="str">
        <x:v>2007</x:v>
      </x:c>
      <x:c r="C178" s="79" t="str"/>
      <x:c r="D178" s="79" t="str">
        <x:v>LJT-PERIO</x:v>
      </x:c>
      <x:c r="E178" s="79" t="str">
        <x:v>牙周統合</x:v>
      </x:c>
      <x:c r="F178" s="79" t="str">
        <x:v>一般</x:v>
      </x:c>
      <x:c r="G178" s="79" t="str">
        <x:v>不可正式排</x:v>
      </x:c>
      <x:c r="H178" s="79" t="str">
        <x:v>待確認共通技能門檻</x:v>
      </x:c>
      <x:c r="I178" s="219" t="str">
        <x:f>IF($G178&lt;&gt;"初步可獨立","不建議",IF($H178="初步可獨立","完整支援者","技術備援者"))</x:f>
        <x:v>不建議</x:v>
      </x:c>
      <x:c r="J178" s="220" t="str">
        <x:v>待核定</x:v>
      </x:c>
      <x:c r="K178" s="221"/>
      <x:c r="L178" s="220"/>
      <x:c r="M178" s="220"/>
      <x:c r="N178" s="219" t="str">
        <x:f>IF($J178="暫停","資格暫停",IF($J178="不核定","不核定",IF($J178="核定完整支援者",IF($I178&lt;&gt;"完整支援者","核定條件未達",IF(OR($K178="",$L178=""),"核定資料未完整","完整支援者")),IF($J178="核定技術備援者",IF(AND($I178&lt;&gt;"完整支援者",$I178&lt;&gt;"技術備援者"),"核定條件未達",IF(OR($K178="",$L178=""),"核定資料未完整","技術備援者")),"待主管核定"))))</x:f>
        <x:v>待主管核定</x:v>
      </x:c>
      <x:c r="O178" s="219" t="n">
        <x:f>IF($N178="完整支援者",2,IF($N178="技術備援者",1,0))</x:f>
        <x:v>0</x:v>
      </x:c>
      <x:c r="P178" s="219" t="str">
        <x:f>IF($N178="完整支援者","是","否")</x:f>
        <x:v>否</x:v>
      </x:c>
    </x:row>
    <x:row r="179">
      <x:c r="A179" s="79" t="str">
        <x:v>SUP|2007|LJT-RCT</x:v>
      </x:c>
      <x:c r="B179" s="79" t="str">
        <x:v>2007</x:v>
      </x:c>
      <x:c r="C179" s="79" t="str"/>
      <x:c r="D179" s="79" t="str">
        <x:v>LJT-RCT</x:v>
      </x:c>
      <x:c r="E179" s="79" t="str">
        <x:v>一般根管治療</x:v>
      </x:c>
      <x:c r="F179" s="79" t="str">
        <x:v>一般</x:v>
      </x:c>
      <x:c r="G179" s="79" t="str">
        <x:v>不可正式排</x:v>
      </x:c>
      <x:c r="H179" s="79" t="str">
        <x:v>待確認共通技能門檻</x:v>
      </x:c>
      <x:c r="I179" s="219" t="str">
        <x:f>IF($G179&lt;&gt;"初步可獨立","不建議",IF($H179="初步可獨立","完整支援者","技術備援者"))</x:f>
        <x:v>不建議</x:v>
      </x:c>
      <x:c r="J179" s="220" t="str">
        <x:v>待核定</x:v>
      </x:c>
      <x:c r="K179" s="221"/>
      <x:c r="L179" s="220"/>
      <x:c r="M179" s="220"/>
      <x:c r="N179" s="219" t="str">
        <x:f>IF($J179="暫停","資格暫停",IF($J179="不核定","不核定",IF($J179="核定完整支援者",IF($I179&lt;&gt;"完整支援者","核定條件未達",IF(OR($K179="",$L179=""),"核定資料未完整","完整支援者")),IF($J179="核定技術備援者",IF(AND($I179&lt;&gt;"完整支援者",$I179&lt;&gt;"技術備援者"),"核定條件未達",IF(OR($K179="",$L179=""),"核定資料未完整","技術備援者")),"待主管核定"))))</x:f>
        <x:v>待主管核定</x:v>
      </x:c>
      <x:c r="O179" s="219" t="n">
        <x:f>IF($N179="完整支援者",2,IF($N179="技術備援者",1,0))</x:f>
        <x:v>0</x:v>
      </x:c>
      <x:c r="P179" s="219" t="str">
        <x:f>IF($N179="完整支援者","是","否")</x:f>
        <x:v>否</x:v>
      </x:c>
    </x:row>
    <x:row r="180">
      <x:c r="A180" s="79" t="str">
        <x:v>SUP|2007|LJT-EXTRACTION</x:v>
      </x:c>
      <x:c r="B180" s="79" t="str">
        <x:v>2007</x:v>
      </x:c>
      <x:c r="C180" s="79" t="str"/>
      <x:c r="D180" s="79" t="str">
        <x:v>LJT-EXTRACTION</x:v>
      </x:c>
      <x:c r="E180" s="79" t="str">
        <x:v>拔牙</x:v>
      </x:c>
      <x:c r="F180" s="79" t="str">
        <x:v>一般</x:v>
      </x:c>
      <x:c r="G180" s="79" t="str">
        <x:v>不可正式排</x:v>
      </x:c>
      <x:c r="H180" s="79" t="str">
        <x:v>待確認共通技能門檻</x:v>
      </x:c>
      <x:c r="I180" s="219" t="str">
        <x:f>IF($G180&lt;&gt;"初步可獨立","不建議",IF($H180="初步可獨立","完整支援者","技術備援者"))</x:f>
        <x:v>不建議</x:v>
      </x:c>
      <x:c r="J180" s="220" t="str">
        <x:v>待核定</x:v>
      </x:c>
      <x:c r="K180" s="221"/>
      <x:c r="L180" s="220"/>
      <x:c r="M180" s="220"/>
      <x:c r="N180" s="219" t="str">
        <x:f>IF($J180="暫停","資格暫停",IF($J180="不核定","不核定",IF($J180="核定完整支援者",IF($I180&lt;&gt;"完整支援者","核定條件未達",IF(OR($K180="",$L180=""),"核定資料未完整","完整支援者")),IF($J180="核定技術備援者",IF(AND($I180&lt;&gt;"完整支援者",$I180&lt;&gt;"技術備援者"),"核定條件未達",IF(OR($K180="",$L180=""),"核定資料未完整","技術備援者")),"待主管核定"))))</x:f>
        <x:v>待主管核定</x:v>
      </x:c>
      <x:c r="O180" s="219" t="n">
        <x:f>IF($N180="完整支援者",2,IF($N180="技術備援者",1,0))</x:f>
        <x:v>0</x:v>
      </x:c>
      <x:c r="P180" s="219" t="str">
        <x:f>IF($N180="完整支援者","是","否")</x:f>
        <x:v>否</x:v>
      </x:c>
    </x:row>
    <x:row r="181">
      <x:c r="A181" s="79" t="str">
        <x:v>SUP|2007|LJT-CROWNPOST</x:v>
      </x:c>
      <x:c r="B181" s="79" t="str">
        <x:v>2007</x:v>
      </x:c>
      <x:c r="C181" s="79" t="str"/>
      <x:c r="D181" s="79" t="str">
        <x:v>LJT-CROWNPOST</x:v>
      </x:c>
      <x:c r="E181" s="79" t="str">
        <x:v>拆 crown/post</x:v>
      </x:c>
      <x:c r="F181" s="79" t="str">
        <x:v>一般</x:v>
      </x:c>
      <x:c r="G181" s="79" t="str">
        <x:v>不可正式排</x:v>
      </x:c>
      <x:c r="H181" s="79" t="str">
        <x:v>待確認共通技能門檻</x:v>
      </x:c>
      <x:c r="I181" s="219" t="str">
        <x:f>IF($G181&lt;&gt;"初步可獨立","不建議",IF($H181="初步可獨立","完整支援者","技術備援者"))</x:f>
        <x:v>不建議</x:v>
      </x:c>
      <x:c r="J181" s="220" t="str">
        <x:v>待核定</x:v>
      </x:c>
      <x:c r="K181" s="221"/>
      <x:c r="L181" s="220"/>
      <x:c r="M181" s="220"/>
      <x:c r="N181" s="219" t="str">
        <x:f>IF($J181="暫停","資格暫停",IF($J181="不核定","不核定",IF($J181="核定完整支援者",IF($I181&lt;&gt;"完整支援者","核定條件未達",IF(OR($K181="",$L181=""),"核定資料未完整","完整支援者")),IF($J181="核定技術備援者",IF(AND($I181&lt;&gt;"完整支援者",$I181&lt;&gt;"技術備援者"),"核定條件未達",IF(OR($K181="",$L181=""),"核定資料未完整","技術備援者")),"待主管核定"))))</x:f>
        <x:v>待主管核定</x:v>
      </x:c>
      <x:c r="O181" s="219" t="n">
        <x:f>IF($N181="完整支援者",2,IF($N181="技術備援者",1,0))</x:f>
        <x:v>0</x:v>
      </x:c>
      <x:c r="P181" s="219" t="str">
        <x:f>IF($N181="完整支援者","是","否")</x:f>
        <x:v>否</x:v>
      </x:c>
    </x:row>
    <x:row r="182">
      <x:c r="A182" s="79" t="str">
        <x:v>SUP|2007|LJT-CROWN</x:v>
      </x:c>
      <x:c r="B182" s="79" t="str">
        <x:v>2007</x:v>
      </x:c>
      <x:c r="C182" s="79" t="str"/>
      <x:c r="D182" s="79" t="str">
        <x:v>LJT-CROWN</x:v>
      </x:c>
      <x:c r="E182" s="79" t="str">
        <x:v>固定假牙</x:v>
      </x:c>
      <x:c r="F182" s="79" t="str">
        <x:v>一般</x:v>
      </x:c>
      <x:c r="G182" s="79" t="str">
        <x:v>不可正式排</x:v>
      </x:c>
      <x:c r="H182" s="79" t="str">
        <x:v>待確認共通技能門檻</x:v>
      </x:c>
      <x:c r="I182" s="219" t="str">
        <x:f>IF($G182&lt;&gt;"初步可獨立","不建議",IF($H182="初步可獨立","完整支援者","技術備援者"))</x:f>
        <x:v>不建議</x:v>
      </x:c>
      <x:c r="J182" s="220" t="str">
        <x:v>待核定</x:v>
      </x:c>
      <x:c r="K182" s="221"/>
      <x:c r="L182" s="220"/>
      <x:c r="M182" s="220"/>
      <x:c r="N182" s="219" t="str">
        <x:f>IF($J182="暫停","資格暫停",IF($J182="不核定","不核定",IF($J182="核定完整支援者",IF($I182&lt;&gt;"完整支援者","核定條件未達",IF(OR($K182="",$L182=""),"核定資料未完整","完整支援者")),IF($J182="核定技術備援者",IF(AND($I182&lt;&gt;"完整支援者",$I182&lt;&gt;"技術備援者"),"核定條件未達",IF(OR($K182="",$L182=""),"核定資料未完整","技術備援者")),"待主管核定"))))</x:f>
        <x:v>待主管核定</x:v>
      </x:c>
      <x:c r="O182" s="219" t="n">
        <x:f>IF($N182="完整支援者",2,IF($N182="技術備援者",1,0))</x:f>
        <x:v>0</x:v>
      </x:c>
      <x:c r="P182" s="219" t="str">
        <x:f>IF($N182="完整支援者","是","否")</x:f>
        <x:v>否</x:v>
      </x:c>
    </x:row>
    <x:row r="183">
      <x:c r="A183" s="79" t="str">
        <x:v>SUP|2007|LJT-RPD</x:v>
      </x:c>
      <x:c r="B183" s="79" t="str">
        <x:v>2007</x:v>
      </x:c>
      <x:c r="C183" s="79" t="str"/>
      <x:c r="D183" s="79" t="str">
        <x:v>LJT-RPD</x:v>
      </x:c>
      <x:c r="E183" s="79" t="str">
        <x:v>RPD</x:v>
      </x:c>
      <x:c r="F183" s="79" t="str">
        <x:v>一般</x:v>
      </x:c>
      <x:c r="G183" s="79" t="str">
        <x:v>不可正式排</x:v>
      </x:c>
      <x:c r="H183" s="79" t="str">
        <x:v>待確認共通技能門檻</x:v>
      </x:c>
      <x:c r="I183" s="219" t="str">
        <x:f>IF($G183&lt;&gt;"初步可獨立","不建議",IF($H183="初步可獨立","完整支援者","技術備援者"))</x:f>
        <x:v>不建議</x:v>
      </x:c>
      <x:c r="J183" s="220" t="str">
        <x:v>待核定</x:v>
      </x:c>
      <x:c r="K183" s="221"/>
      <x:c r="L183" s="220"/>
      <x:c r="M183" s="220"/>
      <x:c r="N183" s="219" t="str">
        <x:f>IF($J183="暫停","資格暫停",IF($J183="不核定","不核定",IF($J183="核定完整支援者",IF($I183&lt;&gt;"完整支援者","核定條件未達",IF(OR($K183="",$L183=""),"核定資料未完整","完整支援者")),IF($J183="核定技術備援者",IF(AND($I183&lt;&gt;"完整支援者",$I183&lt;&gt;"技術備援者"),"核定條件未達",IF(OR($K183="",$L183=""),"核定資料未完整","技術備援者")),"待主管核定"))))</x:f>
        <x:v>待主管核定</x:v>
      </x:c>
      <x:c r="O183" s="219" t="n">
        <x:f>IF($N183="完整支援者",2,IF($N183="技術備援者",1,0))</x:f>
        <x:v>0</x:v>
      </x:c>
      <x:c r="P183" s="219" t="str">
        <x:f>IF($N183="完整支援者","是","否")</x:f>
        <x:v>否</x:v>
      </x:c>
    </x:row>
    <x:row r="184">
      <x:c r="A184" s="79" t="str">
        <x:v>SUP|2007|LJT-RPD-FINAL</x:v>
      </x:c>
      <x:c r="B184" s="79" t="str">
        <x:v>2007</x:v>
      </x:c>
      <x:c r="C184" s="79" t="str"/>
      <x:c r="D184" s="79" t="str">
        <x:v>LJT-RPD-FINAL</x:v>
      </x:c>
      <x:c r="E184" s="79" t="str">
        <x:v>RPD</x:v>
      </x:c>
      <x:c r="F184" s="79" t="str">
        <x:v>特殊階段</x:v>
      </x:c>
      <x:c r="G184" s="79" t="str">
        <x:v>不可正式排</x:v>
      </x:c>
      <x:c r="H184" s="79" t="str">
        <x:v>待確認共通技能門檻</x:v>
      </x:c>
      <x:c r="I184" s="219" t="str">
        <x:f>IF($G184&lt;&gt;"初步可獨立","不建議",IF($H184="初步可獨立","完整支援者","技術備援者"))</x:f>
        <x:v>不建議</x:v>
      </x:c>
      <x:c r="J184" s="220" t="str">
        <x:v>待核定</x:v>
      </x:c>
      <x:c r="K184" s="221"/>
      <x:c r="L184" s="220"/>
      <x:c r="M184" s="220"/>
      <x:c r="N184" s="219" t="str">
        <x:f>IF($J184="暫停","資格暫停",IF($J184="不核定","不核定",IF($J184="核定完整支援者",IF($I184&lt;&gt;"完整支援者","核定條件未達",IF(OR($K184="",$L184=""),"核定資料未完整","完整支援者")),IF($J184="核定技術備援者",IF(AND($I184&lt;&gt;"完整支援者",$I184&lt;&gt;"技術備援者"),"核定條件未達",IF(OR($K184="",$L184=""),"核定資料未完整","技術備援者")),"待主管核定"))))</x:f>
        <x:v>待主管核定</x:v>
      </x:c>
      <x:c r="O184" s="219" t="n">
        <x:f>IF($N184="完整支援者",2,IF($N184="技術備援者",1,0))</x:f>
        <x:v>0</x:v>
      </x:c>
      <x:c r="P184" s="219" t="str">
        <x:f>IF($N184="完整支援者","是","否")</x:f>
        <x:v>否</x:v>
      </x:c>
    </x:row>
    <x:row r="185">
      <x:c r="A185" s="79" t="str">
        <x:v>SUP|2007|LJT-AIRPOLISH</x:v>
      </x:c>
      <x:c r="B185" s="79" t="str">
        <x:v>2007</x:v>
      </x:c>
      <x:c r="C185" s="79" t="str"/>
      <x:c r="D185" s="79" t="str">
        <x:v>LJT-AIRPOLISH</x:v>
      </x:c>
      <x:c r="E185" s="79" t="str">
        <x:v>噴砂美白</x:v>
      </x:c>
      <x:c r="F185" s="79" t="str">
        <x:v>一般</x:v>
      </x:c>
      <x:c r="G185" s="79" t="str">
        <x:v>不可正式排</x:v>
      </x:c>
      <x:c r="H185" s="79" t="str">
        <x:v>待確認共通技能門檻</x:v>
      </x:c>
      <x:c r="I185" s="219" t="str">
        <x:f>IF($G185&lt;&gt;"初步可獨立","不建議",IF($H185="初步可獨立","完整支援者","技術備援者"))</x:f>
        <x:v>不建議</x:v>
      </x:c>
      <x:c r="J185" s="220" t="str">
        <x:v>待核定</x:v>
      </x:c>
      <x:c r="K185" s="221"/>
      <x:c r="L185" s="220"/>
      <x:c r="M185" s="220"/>
      <x:c r="N185" s="219" t="str">
        <x:f>IF($J185="暫停","資格暫停",IF($J185="不核定","不核定",IF($J185="核定完整支援者",IF($I185&lt;&gt;"完整支援者","核定條件未達",IF(OR($K185="",$L185=""),"核定資料未完整","完整支援者")),IF($J185="核定技術備援者",IF(AND($I185&lt;&gt;"完整支援者",$I185&lt;&gt;"技術備援者"),"核定條件未達",IF(OR($K185="",$L185=""),"核定資料未完整","技術備援者")),"待主管核定"))))</x:f>
        <x:v>待主管核定</x:v>
      </x:c>
      <x:c r="O185" s="219" t="n">
        <x:f>IF($N185="完整支援者",2,IF($N185="技術備援者",1,0))</x:f>
        <x:v>0</x:v>
      </x:c>
      <x:c r="P185" s="219" t="str">
        <x:f>IF($N185="完整支援者","是","否")</x:f>
        <x:v>否</x:v>
      </x:c>
    </x:row>
    <x:row r="186">
      <x:c r="A186" s="79" t="str">
        <x:v>SUP|2007|LJT-PERIOSURG</x:v>
      </x:c>
      <x:c r="B186" s="79" t="str">
        <x:v>2007</x:v>
      </x:c>
      <x:c r="C186" s="79" t="str"/>
      <x:c r="D186" s="79" t="str">
        <x:v>LJT-PERIOSURG</x:v>
      </x:c>
      <x:c r="E186" s="79" t="str">
        <x:v>牙周手術</x:v>
      </x:c>
      <x:c r="F186" s="79" t="str">
        <x:v>高複雜度</x:v>
      </x:c>
      <x:c r="G186" s="79" t="str">
        <x:v>不可正式排</x:v>
      </x:c>
      <x:c r="H186" s="79" t="str">
        <x:v>待確認共通技能門檻</x:v>
      </x:c>
      <x:c r="I186" s="219" t="str">
        <x:f>IF($G186&lt;&gt;"初步可獨立","不建議",IF($H186="初步可獨立","完整支援者","技術備援者"))</x:f>
        <x:v>不建議</x:v>
      </x:c>
      <x:c r="J186" s="220" t="str">
        <x:v>待核定</x:v>
      </x:c>
      <x:c r="K186" s="221"/>
      <x:c r="L186" s="220"/>
      <x:c r="M186" s="220"/>
      <x:c r="N186" s="219" t="str">
        <x:f>IF($J186="暫停","資格暫停",IF($J186="不核定","不核定",IF($J186="核定完整支援者",IF($I186&lt;&gt;"完整支援者","核定條件未達",IF(OR($K186="",$L186=""),"核定資料未完整","完整支援者")),IF($J186="核定技術備援者",IF(AND($I186&lt;&gt;"完整支援者",$I186&lt;&gt;"技術備援者"),"核定條件未達",IF(OR($K186="",$L186=""),"核定資料未完整","技術備援者")),"待主管核定"))))</x:f>
        <x:v>待主管核定</x:v>
      </x:c>
      <x:c r="O186" s="219" t="n">
        <x:f>IF($N186="完整支援者",2,IF($N186="技術備援者",1,0))</x:f>
        <x:v>0</x:v>
      </x:c>
      <x:c r="P186" s="219" t="str">
        <x:f>IF($N186="完整支援者","是","否")</x:f>
        <x:v>否</x:v>
      </x:c>
    </x:row>
    <x:row r="187">
      <x:c r="A187" s="79" t="str">
        <x:v>SUP|2007|LJT-MICROENDO</x:v>
      </x:c>
      <x:c r="B187" s="79" t="str">
        <x:v>2007</x:v>
      </x:c>
      <x:c r="C187" s="79" t="str"/>
      <x:c r="D187" s="79" t="str">
        <x:v>LJT-MICROENDO</x:v>
      </x:c>
      <x:c r="E187" s="79" t="str">
        <x:v>顯微根管</x:v>
      </x:c>
      <x:c r="F187" s="79" t="str">
        <x:v>高複雜度</x:v>
      </x:c>
      <x:c r="G187" s="79" t="str">
        <x:v>不可正式排</x:v>
      </x:c>
      <x:c r="H187" s="79" t="str">
        <x:v>待確認共通技能門檻</x:v>
      </x:c>
      <x:c r="I187" s="219" t="str">
        <x:f>IF($G187&lt;&gt;"初步可獨立","不建議",IF($H187="初步可獨立","完整支援者","技術備援者"))</x:f>
        <x:v>不建議</x:v>
      </x:c>
      <x:c r="J187" s="220" t="str">
        <x:v>待核定</x:v>
      </x:c>
      <x:c r="K187" s="221"/>
      <x:c r="L187" s="220"/>
      <x:c r="M187" s="220"/>
      <x:c r="N187" s="219" t="str">
        <x:f>IF($J187="暫停","資格暫停",IF($J187="不核定","不核定",IF($J187="核定完整支援者",IF($I187&lt;&gt;"完整支援者","核定條件未達",IF(OR($K187="",$L187=""),"核定資料未完整","完整支援者")),IF($J187="核定技術備援者",IF(AND($I187&lt;&gt;"完整支援者",$I187&lt;&gt;"技術備援者"),"核定條件未達",IF(OR($K187="",$L187=""),"核定資料未完整","技術備援者")),"待主管核定"))))</x:f>
        <x:v>待主管核定</x:v>
      </x:c>
      <x:c r="O187" s="219" t="n">
        <x:f>IF($N187="完整支援者",2,IF($N187="技術備援者",1,0))</x:f>
        <x:v>0</x:v>
      </x:c>
      <x:c r="P187" s="219" t="str">
        <x:f>IF($N187="完整支援者","是","否")</x:f>
        <x:v>否</x:v>
      </x:c>
    </x:row>
    <x:row r="188">
      <x:c r="A188" s="79" t="str">
        <x:v>SUP|2007|LJT-IMPLANT</x:v>
      </x:c>
      <x:c r="B188" s="79" t="str">
        <x:v>2007</x:v>
      </x:c>
      <x:c r="C188" s="79" t="str"/>
      <x:c r="D188" s="79" t="str">
        <x:v>LJT-IMPLANT</x:v>
      </x:c>
      <x:c r="E188" s="79" t="str">
        <x:v>植牙</x:v>
      </x:c>
      <x:c r="F188" s="79" t="str">
        <x:v>高複雜度</x:v>
      </x:c>
      <x:c r="G188" s="79" t="str">
        <x:v>不可正式排</x:v>
      </x:c>
      <x:c r="H188" s="79" t="str">
        <x:v>待確認共通技能門檻</x:v>
      </x:c>
      <x:c r="I188" s="219" t="str">
        <x:f>IF($G188&lt;&gt;"初步可獨立","不建議",IF($H188="初步可獨立","完整支援者","技術備援者"))</x:f>
        <x:v>不建議</x:v>
      </x:c>
      <x:c r="J188" s="220" t="str">
        <x:v>待核定</x:v>
      </x:c>
      <x:c r="K188" s="221"/>
      <x:c r="L188" s="220"/>
      <x:c r="M188" s="220"/>
      <x:c r="N188" s="219" t="str">
        <x:f>IF($J188="暫停","資格暫停",IF($J188="不核定","不核定",IF($J188="核定完整支援者",IF($I188&lt;&gt;"完整支援者","核定條件未達",IF(OR($K188="",$L188=""),"核定資料未完整","完整支援者")),IF($J188="核定技術備援者",IF(AND($I188&lt;&gt;"完整支援者",$I188&lt;&gt;"技術備援者"),"核定條件未達",IF(OR($K188="",$L188=""),"核定資料未完整","技術備援者")),"待主管核定"))))</x:f>
        <x:v>待主管核定</x:v>
      </x:c>
      <x:c r="O188" s="219" t="n">
        <x:f>IF($N188="完整支援者",2,IF($N188="技術備援者",1,0))</x:f>
        <x:v>0</x:v>
      </x:c>
      <x:c r="P188" s="219" t="str">
        <x:f>IF($N188="完整支援者","是","否")</x:f>
        <x:v>否</x:v>
      </x:c>
    </x:row>
  </x:sheetData>
  <x:conditionalFormatting sqref="N7:N188">
    <x:cfRule type="containsText" dxfId="41" priority="1" operator="containsText" text="完整支援者"/>
    <x:cfRule type="containsText" dxfId="42" priority="2" operator="containsText" text="未達"/>
    <x:cfRule type="containsText" dxfId="43" priority="3" operator="containsText" text="未完整"/>
  </x:conditionalFormatting>
  <x:dataValidations count="1">
    <x:dataValidation type="list" sqref="J7:J188">
      <x:formula1>"待核定,核定完整支援者,核定技術備援者,不核定,暫停"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6e74a146a4446c"/>
  </x:tableParts>
</x:worksheet>
</file>

<file path=xl/worksheets/sheet35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22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6" hidden="0" customWidth="1"/>
    <x:col min="12" max="12" width="16" hidden="0" customWidth="1"/>
    <x:col min="13" max="13" width="36" hidden="0" customWidth="1"/>
    <x:col min="14" max="14" width="24" hidden="0" customWidth="1"/>
    <x:col min="15" max="15" width="22" hidden="0" customWidth="1"/>
    <x:col min="16" max="16" width="18" hidden="0" customWidth="1"/>
  </x:cols>
  <x:sheetData>
    <x:row r="2">
      <x:c r="A2" s="74" t="str">
        <x:v>員工能力路徑、培訓歸屬與正式職級核定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75" t="str">
        <x:v>每次異動新增一筆，不覆蓋舊紀錄。能力路徑、組別、主管與正式職級都須人工核定；正式職級不直接作為排班放行條件。兩位兼職中有一人適用正職能力標準，身分仍待主管指定。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</x:row>
    <x:row r="6">
      <x:c r="A6" s="240" t="str">
        <x:v>治理紀錄鍵</x:v>
      </x:c>
      <x:c r="B6" s="240" t="str">
        <x:v>員工編號</x:v>
      </x:c>
      <x:c r="C6" s="240" t="str">
        <x:v>姓名</x:v>
      </x:c>
      <x:c r="D6" s="240" t="str">
        <x:v>聘用型態</x:v>
      </x:c>
      <x:c r="E6" s="240" t="str">
        <x:v>原表職級</x:v>
      </x:c>
      <x:c r="F6" s="240" t="str">
        <x:v>核定能力路徑</x:v>
      </x:c>
      <x:c r="G6" s="240" t="str">
        <x:v>主要培訓組</x:v>
      </x:c>
      <x:c r="H6" s="240" t="str">
        <x:v>日常主管</x:v>
      </x:c>
      <x:c r="I6" s="240" t="str">
        <x:v>新正式職級</x:v>
      </x:c>
      <x:c r="J6" s="240" t="str">
        <x:v>生效日</x:v>
      </x:c>
      <x:c r="K6" s="240" t="str">
        <x:v>核定狀態</x:v>
      </x:c>
      <x:c r="L6" s="240" t="str">
        <x:v>核定人</x:v>
      </x:c>
      <x:c r="M6" s="240" t="str">
        <x:v>核定原因</x:v>
      </x:c>
      <x:c r="N6" s="240" t="str">
        <x:v>收件檢核</x:v>
      </x:c>
      <x:c r="O6" s="240" t="str">
        <x:v>歷程狀態</x:v>
      </x:c>
      <x:c r="P6" s="240" t="str">
        <x:v>生效員工鍵</x:v>
      </x:c>
    </x:row>
    <x:row r="7">
      <x:c r="A7" s="241" t="str">
        <x:v>GOV-1001-001</x:v>
      </x:c>
      <x:c r="B7" s="241" t="str">
        <x:v>1001</x:v>
      </x:c>
      <x:c r="C7" s="242" t="str">
        <x:f>IF($B7="","",_xlfn.XLOOKUP($B7,'試行員工主檔'!$A$7:$A$20,'試行員工主檔'!$B$7:$B$20,"未建立",0))</x:f>
      </x:c>
      <x:c r="D7" s="242" t="str">
        <x:f>IF($B7="","",_xlfn.XLOOKUP($B7,'試行員工主檔'!$A$7:$A$20,'試行員工主檔'!$C$7:$C$20,"未建立",0))</x:f>
        <x:v>正職</x:v>
      </x:c>
      <x:c r="E7" s="242" t="str">
        <x:f>IF($B7="","",_xlfn.XLOOKUP($B7,'試行員工主檔'!$A$7:$A$20,'試行員工主檔'!$D$7:$D$20,"未建立",0))</x:f>
        <x:v>Lv.10</x:v>
      </x:c>
      <x:c r="F7" s="241"/>
      <x:c r="G7" s="241"/>
      <x:c r="H7" s="241"/>
      <x:c r="I7" s="241"/>
      <x:c r="J7" s="243"/>
      <x:c r="K7" s="241" t="str">
        <x:v>待核定</x:v>
      </x:c>
      <x:c r="L7" s="241"/>
      <x:c r="M7" s="241"/>
      <x:c r="N7" s="242" t="str">
        <x:f>IF($B7="","",IF($K7="停用","停用",IF($K7="退回補件","退回補件",IF(OR($A7="",$F7="",$G7="",$H7="",$I7="",$J7="",$L7="",$M7=""),IF($K7="已核定","已核定但資料未完整","待補欄位或核定"),IF($K7="已核定","可生效","待主管核定")))))</x:f>
        <x:v>待補欄位或核定</x:v>
      </x:c>
      <x:c r="O7" s="242" t="str">
        <x:f>IF($B7="","",IF($N7&lt;&gt;"可生效","未生效",IF(COUNTIFS($B$7:$B$106,$B7,$J$7:$J$106,$J7,$N$7:$N$106,"可生效")&gt;1,"同日重複核定",IF($J7&gt;TODAY(),"待生效",IF(COUNTIFS($B$7:$B$106,$B7,$N$7:$N$106,"可生效",$J$7:$J$106,"&gt;"&amp;$J7,$J$7:$J$106,"&lt;="&amp;TODAY())&gt;0,"已由後續紀錄取代","生效中")))))</x:f>
        <x:v>未生效</x:v>
      </x:c>
      <x:c r="P7" s="242" t="str">
        <x:f>IF($O7="生效中",$B7,"")</x:f>
      </x:c>
    </x:row>
    <x:row r="8">
      <x:c r="A8" s="241" t="str">
        <x:v>GOV-1004-001</x:v>
      </x:c>
      <x:c r="B8" s="241" t="str">
        <x:v>1004</x:v>
      </x:c>
      <x:c r="C8" s="242" t="str">
        <x:f>IF($B8="","",_xlfn.XLOOKUP($B8,'試行員工主檔'!$A$7:$A$20,'試行員工主檔'!$B$7:$B$20,"未建立",0))</x:f>
      </x:c>
      <x:c r="D8" s="242" t="str">
        <x:f>IF($B8="","",_xlfn.XLOOKUP($B8,'試行員工主檔'!$A$7:$A$20,'試行員工主檔'!$C$7:$C$20,"未建立",0))</x:f>
        <x:v>正職</x:v>
      </x:c>
      <x:c r="E8" s="242" t="str">
        <x:f>IF($B8="","",_xlfn.XLOOKUP($B8,'試行員工主檔'!$A$7:$A$20,'試行員工主檔'!$D$7:$D$20,"未建立",0))</x:f>
        <x:v>Lv.8</x:v>
      </x:c>
      <x:c r="F8" s="241"/>
      <x:c r="G8" s="241"/>
      <x:c r="H8" s="241"/>
      <x:c r="I8" s="241"/>
      <x:c r="J8" s="243"/>
      <x:c r="K8" s="241" t="str">
        <x:v>待核定</x:v>
      </x:c>
      <x:c r="L8" s="241"/>
      <x:c r="M8" s="241"/>
      <x:c r="N8" s="242" t="str">
        <x:f>IF($B8="","",IF($K8="停用","停用",IF($K8="退回補件","退回補件",IF(OR($A8="",$F8="",$G8="",$H8="",$I8="",$J8="",$L8="",$M8=""),IF($K8="已核定","已核定但資料未完整","待補欄位或核定"),IF($K8="已核定","可生效","待主管核定")))))</x:f>
        <x:v>待補欄位或核定</x:v>
      </x:c>
      <x:c r="O8" s="242" t="str">
        <x:f>IF($B8="","",IF($N8&lt;&gt;"可生效","未生效",IF(COUNTIFS($B$7:$B$106,$B8,$J$7:$J$106,$J8,$N$7:$N$106,"可生效")&gt;1,"同日重複核定",IF($J8&gt;TODAY(),"待生效",IF(COUNTIFS($B$7:$B$106,$B8,$N$7:$N$106,"可生效",$J$7:$J$106,"&gt;"&amp;$J8,$J$7:$J$106,"&lt;="&amp;TODAY())&gt;0,"已由後續紀錄取代","生效中")))))</x:f>
        <x:v>未生效</x:v>
      </x:c>
      <x:c r="P8" s="242" t="str">
        <x:f>IF($O8="生效中",$B8,"")</x:f>
      </x:c>
    </x:row>
    <x:row r="9">
      <x:c r="A9" s="241" t="str">
        <x:v>GOV-1013-001</x:v>
      </x:c>
      <x:c r="B9" s="241" t="str">
        <x:v>1013</x:v>
      </x:c>
      <x:c r="C9" s="242" t="str">
        <x:f>IF($B9="","",_xlfn.XLOOKUP($B9,'試行員工主檔'!$A$7:$A$20,'試行員工主檔'!$B$7:$B$20,"未建立",0))</x:f>
      </x:c>
      <x:c r="D9" s="242" t="str">
        <x:f>IF($B9="","",_xlfn.XLOOKUP($B9,'試行員工主檔'!$A$7:$A$20,'試行員工主檔'!$C$7:$C$20,"未建立",0))</x:f>
        <x:v>正職</x:v>
      </x:c>
      <x:c r="E9" s="242" t="str">
        <x:f>IF($B9="","",_xlfn.XLOOKUP($B9,'試行員工主檔'!$A$7:$A$20,'試行員工主檔'!$D$7:$D$20,"未建立",0))</x:f>
        <x:v>Lv.7</x:v>
      </x:c>
      <x:c r="F9" s="241"/>
      <x:c r="G9" s="241"/>
      <x:c r="H9" s="241"/>
      <x:c r="I9" s="241"/>
      <x:c r="J9" s="243"/>
      <x:c r="K9" s="241" t="str">
        <x:v>待核定</x:v>
      </x:c>
      <x:c r="L9" s="241"/>
      <x:c r="M9" s="241"/>
      <x:c r="N9" s="242" t="str">
        <x:f>IF($B9="","",IF($K9="停用","停用",IF($K9="退回補件","退回補件",IF(OR($A9="",$F9="",$G9="",$H9="",$I9="",$J9="",$L9="",$M9=""),IF($K9="已核定","已核定但資料未完整","待補欄位或核定"),IF($K9="已核定","可生效","待主管核定")))))</x:f>
        <x:v>待補欄位或核定</x:v>
      </x:c>
      <x:c r="O9" s="242" t="str">
        <x:f>IF($B9="","",IF($N9&lt;&gt;"可生效","未生效",IF(COUNTIFS($B$7:$B$106,$B9,$J$7:$J$106,$J9,$N$7:$N$106,"可生效")&gt;1,"同日重複核定",IF($J9&gt;TODAY(),"待生效",IF(COUNTIFS($B$7:$B$106,$B9,$N$7:$N$106,"可生效",$J$7:$J$106,"&gt;"&amp;$J9,$J$7:$J$106,"&lt;="&amp;TODAY())&gt;0,"已由後續紀錄取代","生效中")))))</x:f>
        <x:v>未生效</x:v>
      </x:c>
      <x:c r="P9" s="242" t="str">
        <x:f>IF($O9="生效中",$B9,"")</x:f>
      </x:c>
    </x:row>
    <x:row r="10">
      <x:c r="A10" s="241" t="str">
        <x:v>GOV-1019-001</x:v>
      </x:c>
      <x:c r="B10" s="241" t="str">
        <x:v>1019</x:v>
      </x:c>
      <x:c r="C10" s="242" t="str">
        <x:f>IF($B10="","",_xlfn.XLOOKUP($B10,'試行員工主檔'!$A$7:$A$20,'試行員工主檔'!$B$7:$B$20,"未建立",0))</x:f>
      </x:c>
      <x:c r="D10" s="242" t="str">
        <x:f>IF($B10="","",_xlfn.XLOOKUP($B10,'試行員工主檔'!$A$7:$A$20,'試行員工主檔'!$C$7:$C$20,"未建立",0))</x:f>
        <x:v>正職</x:v>
      </x:c>
      <x:c r="E10" s="242" t="str">
        <x:f>IF($B10="","",_xlfn.XLOOKUP($B10,'試行員工主檔'!$A$7:$A$20,'試行員工主檔'!$D$7:$D$20,"未建立",0))</x:f>
        <x:v>Lv.6</x:v>
      </x:c>
      <x:c r="F10" s="241"/>
      <x:c r="G10" s="241"/>
      <x:c r="H10" s="241"/>
      <x:c r="I10" s="241"/>
      <x:c r="J10" s="243"/>
      <x:c r="K10" s="241" t="str">
        <x:v>待核定</x:v>
      </x:c>
      <x:c r="L10" s="241"/>
      <x:c r="M10" s="241"/>
      <x:c r="N10" s="242" t="str">
        <x:f>IF($B10="","",IF($K10="停用","停用",IF($K10="退回補件","退回補件",IF(OR($A10="",$F10="",$G10="",$H10="",$I10="",$J10="",$L10="",$M10=""),IF($K10="已核定","已核定但資料未完整","待補欄位或核定"),IF($K10="已核定","可生效","待主管核定")))))</x:f>
        <x:v>待補欄位或核定</x:v>
      </x:c>
      <x:c r="O10" s="242" t="str">
        <x:f>IF($B10="","",IF($N10&lt;&gt;"可生效","未生效",IF(COUNTIFS($B$7:$B$106,$B10,$J$7:$J$106,$J10,$N$7:$N$106,"可生效")&gt;1,"同日重複核定",IF($J10&gt;TODAY(),"待生效",IF(COUNTIFS($B$7:$B$106,$B10,$N$7:$N$106,"可生效",$J$7:$J$106,"&gt;"&amp;$J10,$J$7:$J$106,"&lt;="&amp;TODAY())&gt;0,"已由後續紀錄取代","生效中")))))</x:f>
        <x:v>未生效</x:v>
      </x:c>
      <x:c r="P10" s="242" t="str">
        <x:f>IF($O10="生效中",$B10,"")</x:f>
      </x:c>
    </x:row>
    <x:row r="11">
      <x:c r="A11" s="241" t="str">
        <x:v>GOV-1020-001</x:v>
      </x:c>
      <x:c r="B11" s="241" t="str">
        <x:v>1020</x:v>
      </x:c>
      <x:c r="C11" s="242" t="str">
        <x:f>IF($B11="","",_xlfn.XLOOKUP($B11,'試行員工主檔'!$A$7:$A$20,'試行員工主檔'!$B$7:$B$20,"未建立",0))</x:f>
      </x:c>
      <x:c r="D11" s="242" t="str">
        <x:f>IF($B11="","",_xlfn.XLOOKUP($B11,'試行員工主檔'!$A$7:$A$20,'試行員工主檔'!$C$7:$C$20,"未建立",0))</x:f>
        <x:v>正職</x:v>
      </x:c>
      <x:c r="E11" s="242" t="str">
        <x:f>IF($B11="","",_xlfn.XLOOKUP($B11,'試行員工主檔'!$A$7:$A$20,'試行員工主檔'!$D$7:$D$20,"未建立",0))</x:f>
        <x:v>Lv.5</x:v>
      </x:c>
      <x:c r="F11" s="241"/>
      <x:c r="G11" s="241"/>
      <x:c r="H11" s="241"/>
      <x:c r="I11" s="241"/>
      <x:c r="J11" s="243"/>
      <x:c r="K11" s="241" t="str">
        <x:v>待核定</x:v>
      </x:c>
      <x:c r="L11" s="241"/>
      <x:c r="M11" s="241"/>
      <x:c r="N11" s="242" t="str">
        <x:f>IF($B11="","",IF($K11="停用","停用",IF($K11="退回補件","退回補件",IF(OR($A11="",$F11="",$G11="",$H11="",$I11="",$J11="",$L11="",$M11=""),IF($K11="已核定","已核定但資料未完整","待補欄位或核定"),IF($K11="已核定","可生效","待主管核定")))))</x:f>
        <x:v>待補欄位或核定</x:v>
      </x:c>
      <x:c r="O11" s="242" t="str">
        <x:f>IF($B11="","",IF($N11&lt;&gt;"可生效","未生效",IF(COUNTIFS($B$7:$B$106,$B11,$J$7:$J$106,$J11,$N$7:$N$106,"可生效")&gt;1,"同日重複核定",IF($J11&gt;TODAY(),"待生效",IF(COUNTIFS($B$7:$B$106,$B11,$N$7:$N$106,"可生效",$J$7:$J$106,"&gt;"&amp;$J11,$J$7:$J$106,"&lt;="&amp;TODAY())&gt;0,"已由後續紀錄取代","生效中")))))</x:f>
        <x:v>未生效</x:v>
      </x:c>
      <x:c r="P11" s="242" t="str">
        <x:f>IF($O11="生效中",$B11,"")</x:f>
      </x:c>
    </x:row>
    <x:row r="12">
      <x:c r="A12" s="241" t="str">
        <x:v>GOV-1025-001</x:v>
      </x:c>
      <x:c r="B12" s="241" t="str">
        <x:v>1025</x:v>
      </x:c>
      <x:c r="C12" s="242" t="str">
        <x:f>IF($B12="","",_xlfn.XLOOKUP($B12,'試行員工主檔'!$A$7:$A$20,'試行員工主檔'!$B$7:$B$20,"未建立",0))</x:f>
      </x:c>
      <x:c r="D12" s="242" t="str">
        <x:f>IF($B12="","",_xlfn.XLOOKUP($B12,'試行員工主檔'!$A$7:$A$20,'試行員工主檔'!$C$7:$C$20,"未建立",0))</x:f>
        <x:v>正職</x:v>
      </x:c>
      <x:c r="E12" s="242" t="str">
        <x:f>IF($B12="","",_xlfn.XLOOKUP($B12,'試行員工主檔'!$A$7:$A$20,'試行員工主檔'!$D$7:$D$20,"未建立",0))</x:f>
        <x:v>Lv.3</x:v>
      </x:c>
      <x:c r="F12" s="241"/>
      <x:c r="G12" s="241"/>
      <x:c r="H12" s="241"/>
      <x:c r="I12" s="241"/>
      <x:c r="J12" s="243"/>
      <x:c r="K12" s="241" t="str">
        <x:v>待核定</x:v>
      </x:c>
      <x:c r="L12" s="241"/>
      <x:c r="M12" s="241"/>
      <x:c r="N12" s="242" t="str">
        <x:f>IF($B12="","",IF($K12="停用","停用",IF($K12="退回補件","退回補件",IF(OR($A12="",$F12="",$G12="",$H12="",$I12="",$J12="",$L12="",$M12=""),IF($K12="已核定","已核定但資料未完整","待補欄位或核定"),IF($K12="已核定","可生效","待主管核定")))))</x:f>
        <x:v>待補欄位或核定</x:v>
      </x:c>
      <x:c r="O12" s="242" t="str">
        <x:f>IF($B12="","",IF($N12&lt;&gt;"可生效","未生效",IF(COUNTIFS($B$7:$B$106,$B12,$J$7:$J$106,$J12,$N$7:$N$106,"可生效")&gt;1,"同日重複核定",IF($J12&gt;TODAY(),"待生效",IF(COUNTIFS($B$7:$B$106,$B12,$N$7:$N$106,"可生效",$J$7:$J$106,"&gt;"&amp;$J12,$J$7:$J$106,"&lt;="&amp;TODAY())&gt;0,"已由後續紀錄取代","生效中")))))</x:f>
        <x:v>未生效</x:v>
      </x:c>
      <x:c r="P12" s="242" t="str">
        <x:f>IF($O12="生效中",$B12,"")</x:f>
      </x:c>
    </x:row>
    <x:row r="13">
      <x:c r="A13" s="241" t="str">
        <x:v>GOV-1026-001</x:v>
      </x:c>
      <x:c r="B13" s="241" t="str">
        <x:v>1026</x:v>
      </x:c>
      <x:c r="C13" s="242" t="str">
        <x:f>IF($B13="","",_xlfn.XLOOKUP($B13,'試行員工主檔'!$A$7:$A$20,'試行員工主檔'!$B$7:$B$20,"未建立",0))</x:f>
      </x:c>
      <x:c r="D13" s="242" t="str">
        <x:f>IF($B13="","",_xlfn.XLOOKUP($B13,'試行員工主檔'!$A$7:$A$20,'試行員工主檔'!$C$7:$C$20,"未建立",0))</x:f>
        <x:v>正職</x:v>
      </x:c>
      <x:c r="E13" s="242" t="str">
        <x:f>IF($B13="","",_xlfn.XLOOKUP($B13,'試行員工主檔'!$A$7:$A$20,'試行員工主檔'!$D$7:$D$20,"未建立",0))</x:f>
        <x:v>Lv.2</x:v>
      </x:c>
      <x:c r="F13" s="241"/>
      <x:c r="G13" s="241"/>
      <x:c r="H13" s="241"/>
      <x:c r="I13" s="241"/>
      <x:c r="J13" s="243"/>
      <x:c r="K13" s="241" t="str">
        <x:v>待核定</x:v>
      </x:c>
      <x:c r="L13" s="241"/>
      <x:c r="M13" s="241"/>
      <x:c r="N13" s="242" t="str">
        <x:f>IF($B13="","",IF($K13="停用","停用",IF($K13="退回補件","退回補件",IF(OR($A13="",$F13="",$G13="",$H13="",$I13="",$J13="",$L13="",$M13=""),IF($K13="已核定","已核定但資料未完整","待補欄位或核定"),IF($K13="已核定","可生效","待主管核定")))))</x:f>
        <x:v>待補欄位或核定</x:v>
      </x:c>
      <x:c r="O13" s="242" t="str">
        <x:f>IF($B13="","",IF($N13&lt;&gt;"可生效","未生效",IF(COUNTIFS($B$7:$B$106,$B13,$J$7:$J$106,$J13,$N$7:$N$106,"可生效")&gt;1,"同日重複核定",IF($J13&gt;TODAY(),"待生效",IF(COUNTIFS($B$7:$B$106,$B13,$N$7:$N$106,"可生效",$J$7:$J$106,"&gt;"&amp;$J13,$J$7:$J$106,"&lt;="&amp;TODAY())&gt;0,"已由後續紀錄取代","生效中")))))</x:f>
        <x:v>未生效</x:v>
      </x:c>
      <x:c r="P13" s="242" t="str">
        <x:f>IF($O13="生效中",$B13,"")</x:f>
      </x:c>
    </x:row>
    <x:row r="14">
      <x:c r="A14" s="241" t="str">
        <x:v>GOV-1027-001</x:v>
      </x:c>
      <x:c r="B14" s="241" t="str">
        <x:v>1027</x:v>
      </x:c>
      <x:c r="C14" s="242" t="str">
        <x:f>IF($B14="","",_xlfn.XLOOKUP($B14,'試行員工主檔'!$A$7:$A$20,'試行員工主檔'!$B$7:$B$20,"未建立",0))</x:f>
      </x:c>
      <x:c r="D14" s="242" t="str">
        <x:f>IF($B14="","",_xlfn.XLOOKUP($B14,'試行員工主檔'!$A$7:$A$20,'試行員工主檔'!$C$7:$C$20,"未建立",0))</x:f>
        <x:v>正職</x:v>
      </x:c>
      <x:c r="E14" s="242" t="str">
        <x:f>IF($B14="","",_xlfn.XLOOKUP($B14,'試行員工主檔'!$A$7:$A$20,'試行員工主檔'!$D$7:$D$20,"未建立",0))</x:f>
        <x:v>Lv.3</x:v>
      </x:c>
      <x:c r="F14" s="241"/>
      <x:c r="G14" s="241"/>
      <x:c r="H14" s="241"/>
      <x:c r="I14" s="241"/>
      <x:c r="J14" s="243"/>
      <x:c r="K14" s="241" t="str">
        <x:v>待核定</x:v>
      </x:c>
      <x:c r="L14" s="241"/>
      <x:c r="M14" s="241"/>
      <x:c r="N14" s="242" t="str">
        <x:f>IF($B14="","",IF($K14="停用","停用",IF($K14="退回補件","退回補件",IF(OR($A14="",$F14="",$G14="",$H14="",$I14="",$J14="",$L14="",$M14=""),IF($K14="已核定","已核定但資料未完整","待補欄位或核定"),IF($K14="已核定","可生效","待主管核定")))))</x:f>
        <x:v>待補欄位或核定</x:v>
      </x:c>
      <x:c r="O14" s="242" t="str">
        <x:f>IF($B14="","",IF($N14&lt;&gt;"可生效","未生效",IF(COUNTIFS($B$7:$B$106,$B14,$J$7:$J$106,$J14,$N$7:$N$106,"可生效")&gt;1,"同日重複核定",IF($J14&gt;TODAY(),"待生效",IF(COUNTIFS($B$7:$B$106,$B14,$N$7:$N$106,"可生效",$J$7:$J$106,"&gt;"&amp;$J14,$J$7:$J$106,"&lt;="&amp;TODAY())&gt;0,"已由後續紀錄取代","生效中")))))</x:f>
        <x:v>未生效</x:v>
      </x:c>
      <x:c r="P14" s="242" t="str">
        <x:f>IF($O14="生效中",$B14,"")</x:f>
      </x:c>
    </x:row>
    <x:row r="15">
      <x:c r="A15" s="241" t="str">
        <x:v>GOV-1028-001</x:v>
      </x:c>
      <x:c r="B15" s="241" t="str">
        <x:v>1028</x:v>
      </x:c>
      <x:c r="C15" s="242" t="str">
        <x:f>IF($B15="","",_xlfn.XLOOKUP($B15,'試行員工主檔'!$A$7:$A$20,'試行員工主檔'!$B$7:$B$20,"未建立",0))</x:f>
      </x:c>
      <x:c r="D15" s="242" t="str">
        <x:f>IF($B15="","",_xlfn.XLOOKUP($B15,'試行員工主檔'!$A$7:$A$20,'試行員工主檔'!$C$7:$C$20,"未建立",0))</x:f>
        <x:v>正職</x:v>
      </x:c>
      <x:c r="E15" s="242" t="str">
        <x:f>IF($B15="","",_xlfn.XLOOKUP($B15,'試行員工主檔'!$A$7:$A$20,'試行員工主檔'!$D$7:$D$20,"未建立",0))</x:f>
        <x:v>Lv.2</x:v>
      </x:c>
      <x:c r="F15" s="241"/>
      <x:c r="G15" s="241"/>
      <x:c r="H15" s="241"/>
      <x:c r="I15" s="241"/>
      <x:c r="J15" s="243"/>
      <x:c r="K15" s="241" t="str">
        <x:v>待核定</x:v>
      </x:c>
      <x:c r="L15" s="241"/>
      <x:c r="M15" s="241"/>
      <x:c r="N15" s="242" t="str">
        <x:f>IF($B15="","",IF($K15="停用","停用",IF($K15="退回補件","退回補件",IF(OR($A15="",$F15="",$G15="",$H15="",$I15="",$J15="",$L15="",$M15=""),IF($K15="已核定","已核定但資料未完整","待補欄位或核定"),IF($K15="已核定","可生效","待主管核定")))))</x:f>
        <x:v>待補欄位或核定</x:v>
      </x:c>
      <x:c r="O15" s="242" t="str">
        <x:f>IF($B15="","",IF($N15&lt;&gt;"可生效","未生效",IF(COUNTIFS($B$7:$B$106,$B15,$J$7:$J$106,$J15,$N$7:$N$106,"可生效")&gt;1,"同日重複核定",IF($J15&gt;TODAY(),"待生效",IF(COUNTIFS($B$7:$B$106,$B15,$N$7:$N$106,"可生效",$J$7:$J$106,"&gt;"&amp;$J15,$J$7:$J$106,"&lt;="&amp;TODAY())&gt;0,"已由後續紀錄取代","生效中")))))</x:f>
        <x:v>未生效</x:v>
      </x:c>
      <x:c r="P15" s="242" t="str">
        <x:f>IF($O15="生效中",$B15,"")</x:f>
      </x:c>
    </x:row>
    <x:row r="16">
      <x:c r="A16" s="241" t="str">
        <x:v>GOV-1029-001</x:v>
      </x:c>
      <x:c r="B16" s="241" t="str">
        <x:v>1029</x:v>
      </x:c>
      <x:c r="C16" s="242" t="str">
        <x:f>IF($B16="","",_xlfn.XLOOKUP($B16,'試行員工主檔'!$A$7:$A$20,'試行員工主檔'!$B$7:$B$20,"未建立",0))</x:f>
      </x:c>
      <x:c r="D16" s="242" t="str">
        <x:f>IF($B16="","",_xlfn.XLOOKUP($B16,'試行員工主檔'!$A$7:$A$20,'試行員工主檔'!$C$7:$C$20,"未建立",0))</x:f>
        <x:v>正職</x:v>
      </x:c>
      <x:c r="E16" s="242" t="str">
        <x:f>IF($B16="","",_xlfn.XLOOKUP($B16,'試行員工主檔'!$A$7:$A$20,'試行員工主檔'!$D$7:$D$20,"未建立",0))</x:f>
        <x:v>Lv.1</x:v>
      </x:c>
      <x:c r="F16" s="241"/>
      <x:c r="G16" s="241"/>
      <x:c r="H16" s="241"/>
      <x:c r="I16" s="241"/>
      <x:c r="J16" s="243"/>
      <x:c r="K16" s="241" t="str">
        <x:v>待核定</x:v>
      </x:c>
      <x:c r="L16" s="241"/>
      <x:c r="M16" s="241"/>
      <x:c r="N16" s="242" t="str">
        <x:f>IF($B16="","",IF($K16="停用","停用",IF($K16="退回補件","退回補件",IF(OR($A16="",$F16="",$G16="",$H16="",$I16="",$J16="",$L16="",$M16=""),IF($K16="已核定","已核定但資料未完整","待補欄位或核定"),IF($K16="已核定","可生效","待主管核定")))))</x:f>
        <x:v>待補欄位或核定</x:v>
      </x:c>
      <x:c r="O16" s="242" t="str">
        <x:f>IF($B16="","",IF($N16&lt;&gt;"可生效","未生效",IF(COUNTIFS($B$7:$B$106,$B16,$J$7:$J$106,$J16,$N$7:$N$106,"可生效")&gt;1,"同日重複核定",IF($J16&gt;TODAY(),"待生效",IF(COUNTIFS($B$7:$B$106,$B16,$N$7:$N$106,"可生效",$J$7:$J$106,"&gt;"&amp;$J16,$J$7:$J$106,"&lt;="&amp;TODAY())&gt;0,"已由後續紀錄取代","生效中")))))</x:f>
        <x:v>未生效</x:v>
      </x:c>
      <x:c r="P16" s="242" t="str">
        <x:f>IF($O16="生效中",$B16,"")</x:f>
      </x:c>
    </x:row>
    <x:row r="17">
      <x:c r="A17" s="241" t="str">
        <x:v>GOV-1030-001</x:v>
      </x:c>
      <x:c r="B17" s="241" t="str">
        <x:v>1030</x:v>
      </x:c>
      <x:c r="C17" s="242" t="str">
        <x:f>IF($B17="","",_xlfn.XLOOKUP($B17,'試行員工主檔'!$A$7:$A$20,'試行員工主檔'!$B$7:$B$20,"未建立",0))</x:f>
      </x:c>
      <x:c r="D17" s="242" t="str">
        <x:f>IF($B17="","",_xlfn.XLOOKUP($B17,'試行員工主檔'!$A$7:$A$20,'試行員工主檔'!$C$7:$C$20,"未建立",0))</x:f>
        <x:v>正職</x:v>
      </x:c>
      <x:c r="E17" s="242" t="str">
        <x:f>IF($B17="","",_xlfn.XLOOKUP($B17,'試行員工主檔'!$A$7:$A$20,'試行員工主檔'!$D$7:$D$20,"未建立",0))</x:f>
        <x:v>Lv.1</x:v>
      </x:c>
      <x:c r="F17" s="241"/>
      <x:c r="G17" s="241"/>
      <x:c r="H17" s="241"/>
      <x:c r="I17" s="241"/>
      <x:c r="J17" s="243"/>
      <x:c r="K17" s="241" t="str">
        <x:v>待核定</x:v>
      </x:c>
      <x:c r="L17" s="241"/>
      <x:c r="M17" s="241"/>
      <x:c r="N17" s="242" t="str">
        <x:f>IF($B17="","",IF($K17="停用","停用",IF($K17="退回補件","退回補件",IF(OR($A17="",$F17="",$G17="",$H17="",$I17="",$J17="",$L17="",$M17=""),IF($K17="已核定","已核定但資料未完整","待補欄位或核定"),IF($K17="已核定","可生效","待主管核定")))))</x:f>
        <x:v>待補欄位或核定</x:v>
      </x:c>
      <x:c r="O17" s="242" t="str">
        <x:f>IF($B17="","",IF($N17&lt;&gt;"可生效","未生效",IF(COUNTIFS($B$7:$B$106,$B17,$J$7:$J$106,$J17,$N$7:$N$106,"可生效")&gt;1,"同日重複核定",IF($J17&gt;TODAY(),"待生效",IF(COUNTIFS($B$7:$B$106,$B17,$N$7:$N$106,"可生效",$J$7:$J$106,"&gt;"&amp;$J17,$J$7:$J$106,"&lt;="&amp;TODAY())&gt;0,"已由後續紀錄取代","生效中")))))</x:f>
        <x:v>未生效</x:v>
      </x:c>
      <x:c r="P17" s="242" t="str">
        <x:f>IF($O17="生效中",$B17,"")</x:f>
      </x:c>
    </x:row>
    <x:row r="18">
      <x:c r="A18" s="241" t="str">
        <x:v>GOV-1031-001</x:v>
      </x:c>
      <x:c r="B18" s="241" t="str">
        <x:v>1031</x:v>
      </x:c>
      <x:c r="C18" s="242" t="str">
        <x:f>IF($B18="","",_xlfn.XLOOKUP($B18,'試行員工主檔'!$A$7:$A$20,'試行員工主檔'!$B$7:$B$20,"未建立",0))</x:f>
      </x:c>
      <x:c r="D18" s="242" t="str">
        <x:f>IF($B18="","",_xlfn.XLOOKUP($B18,'試行員工主檔'!$A$7:$A$20,'試行員工主檔'!$C$7:$C$20,"未建立",0))</x:f>
        <x:v>正職</x:v>
      </x:c>
      <x:c r="E18" s="242" t="str">
        <x:f>IF($B18="","",_xlfn.XLOOKUP($B18,'試行員工主檔'!$A$7:$A$20,'試行員工主檔'!$D$7:$D$20,"未建立",0))</x:f>
        <x:v>未評分</x:v>
      </x:c>
      <x:c r="F18" s="241"/>
      <x:c r="G18" s="241"/>
      <x:c r="H18" s="241"/>
      <x:c r="I18" s="241"/>
      <x:c r="J18" s="243"/>
      <x:c r="K18" s="241" t="str">
        <x:v>待核定</x:v>
      </x:c>
      <x:c r="L18" s="241"/>
      <x:c r="M18" s="241"/>
      <x:c r="N18" s="242" t="str">
        <x:f>IF($B18="","",IF($K18="停用","停用",IF($K18="退回補件","退回補件",IF(OR($A18="",$F18="",$G18="",$H18="",$I18="",$J18="",$L18="",$M18=""),IF($K18="已核定","已核定但資料未完整","待補欄位或核定"),IF($K18="已核定","可生效","待主管核定")))))</x:f>
        <x:v>待補欄位或核定</x:v>
      </x:c>
      <x:c r="O18" s="242" t="str">
        <x:f>IF($B18="","",IF($N18&lt;&gt;"可生效","未生效",IF(COUNTIFS($B$7:$B$106,$B18,$J$7:$J$106,$J18,$N$7:$N$106,"可生效")&gt;1,"同日重複核定",IF($J18&gt;TODAY(),"待生效",IF(COUNTIFS($B$7:$B$106,$B18,$N$7:$N$106,"可生效",$J$7:$J$106,"&gt;"&amp;$J18,$J$7:$J$106,"&lt;="&amp;TODAY())&gt;0,"已由後續紀錄取代","生效中")))))</x:f>
        <x:v>未生效</x:v>
      </x:c>
      <x:c r="P18" s="242" t="str">
        <x:f>IF($O18="生效中",$B18,"")</x:f>
      </x:c>
    </x:row>
    <x:row r="19">
      <x:c r="A19" s="241" t="str">
        <x:v>GOV-2006-001</x:v>
      </x:c>
      <x:c r="B19" s="241" t="str">
        <x:v>2006</x:v>
      </x:c>
      <x:c r="C19" s="242" t="str">
        <x:f>IF($B19="","",_xlfn.XLOOKUP($B19,'試行員工主檔'!$A$7:$A$20,'試行員工主檔'!$B$7:$B$20,"未建立",0))</x:f>
      </x:c>
      <x:c r="D19" s="242" t="str">
        <x:f>IF($B19="","",_xlfn.XLOOKUP($B19,'試行員工主檔'!$A$7:$A$20,'試行員工主檔'!$C$7:$C$20,"未建立",0))</x:f>
        <x:v>兼職</x:v>
      </x:c>
      <x:c r="E19" s="242" t="str">
        <x:f>IF($B19="","",_xlfn.XLOOKUP($B19,'試行員工主檔'!$A$7:$A$20,'試行員工主檔'!$D$7:$D$20,"未建立",0))</x:f>
        <x:v>Lv.2</x:v>
      </x:c>
      <x:c r="F19" s="241"/>
      <x:c r="G19" s="241"/>
      <x:c r="H19" s="241"/>
      <x:c r="I19" s="241"/>
      <x:c r="J19" s="243"/>
      <x:c r="K19" s="241" t="str">
        <x:v>待核定</x:v>
      </x:c>
      <x:c r="L19" s="241"/>
      <x:c r="M19" s="241"/>
      <x:c r="N19" s="242" t="str">
        <x:f>IF($B19="","",IF($K19="停用","停用",IF($K19="退回補件","退回補件",IF(OR($A19="",$F19="",$G19="",$H19="",$I19="",$J19="",$L19="",$M19=""),IF($K19="已核定","已核定但資料未完整","待補欄位或核定"),IF($K19="已核定","可生效","待主管核定")))))</x:f>
        <x:v>待補欄位或核定</x:v>
      </x:c>
      <x:c r="O19" s="242" t="str">
        <x:f>IF($B19="","",IF($N19&lt;&gt;"可生效","未生效",IF(COUNTIFS($B$7:$B$106,$B19,$J$7:$J$106,$J19,$N$7:$N$106,"可生效")&gt;1,"同日重複核定",IF($J19&gt;TODAY(),"待生效",IF(COUNTIFS($B$7:$B$106,$B19,$N$7:$N$106,"可生效",$J$7:$J$106,"&gt;"&amp;$J19,$J$7:$J$106,"&lt;="&amp;TODAY())&gt;0,"已由後續紀錄取代","生效中")))))</x:f>
        <x:v>未生效</x:v>
      </x:c>
      <x:c r="P19" s="242" t="str">
        <x:f>IF($O19="生效中",$B19,"")</x:f>
      </x:c>
    </x:row>
    <x:row r="20">
      <x:c r="A20" s="241" t="str">
        <x:v>GOV-2007-001</x:v>
      </x:c>
      <x:c r="B20" s="241" t="str">
        <x:v>2007</x:v>
      </x:c>
      <x:c r="C20" s="242" t="str">
        <x:f>IF($B20="","",_xlfn.XLOOKUP($B20,'試行員工主檔'!$A$7:$A$20,'試行員工主檔'!$B$7:$B$20,"未建立",0))</x:f>
      </x:c>
      <x:c r="D20" s="242" t="str">
        <x:f>IF($B20="","",_xlfn.XLOOKUP($B20,'試行員工主檔'!$A$7:$A$20,'試行員工主檔'!$C$7:$C$20,"未建立",0))</x:f>
        <x:v>兼職</x:v>
      </x:c>
      <x:c r="E20" s="242" t="str">
        <x:f>IF($B20="","",_xlfn.XLOOKUP($B20,'試行員工主檔'!$A$7:$A$20,'試行員工主檔'!$D$7:$D$20,"未建立",0))</x:f>
        <x:v>Lv.8</x:v>
      </x:c>
      <x:c r="F20" s="241"/>
      <x:c r="G20" s="241"/>
      <x:c r="H20" s="241"/>
      <x:c r="I20" s="241"/>
      <x:c r="J20" s="243"/>
      <x:c r="K20" s="241" t="str">
        <x:v>待核定</x:v>
      </x:c>
      <x:c r="L20" s="241"/>
      <x:c r="M20" s="241"/>
      <x:c r="N20" s="242" t="str">
        <x:f>IF($B20="","",IF($K20="停用","停用",IF($K20="退回補件","退回補件",IF(OR($A20="",$F20="",$G20="",$H20="",$I20="",$J20="",$L20="",$M20=""),IF($K20="已核定","已核定但資料未完整","待補欄位或核定"),IF($K20="已核定","可生效","待主管核定")))))</x:f>
        <x:v>待補欄位或核定</x:v>
      </x:c>
      <x:c r="O20" s="242" t="str">
        <x:f>IF($B20="","",IF($N20&lt;&gt;"可生效","未生效",IF(COUNTIFS($B$7:$B$106,$B20,$J$7:$J$106,$J20,$N$7:$N$106,"可生效")&gt;1,"同日重複核定",IF($J20&gt;TODAY(),"待生效",IF(COUNTIFS($B$7:$B$106,$B20,$N$7:$N$106,"可生效",$J$7:$J$106,"&gt;"&amp;$J20,$J$7:$J$106,"&lt;="&amp;TODAY())&gt;0,"已由後續紀錄取代","生效中")))))</x:f>
        <x:v>未生效</x:v>
      </x:c>
      <x:c r="P20" s="242" t="str">
        <x:f>IF($O20="生效中",$B20,"")</x:f>
      </x:c>
    </x:row>
    <x:row r="21">
      <x:c r="A21" s="241"/>
      <x:c r="B21" s="241"/>
      <x:c r="C21" s="242" t="str">
        <x:f>IF($B21="","",_xlfn.XLOOKUP($B21,'試行員工主檔'!$A$7:$A$20,'試行員工主檔'!$B$7:$B$20,"未建立",0))</x:f>
      </x:c>
      <x:c r="D21" s="242" t="str">
        <x:f>IF($B21="","",_xlfn.XLOOKUP($B21,'試行員工主檔'!$A$7:$A$20,'試行員工主檔'!$C$7:$C$20,"未建立",0))</x:f>
      </x:c>
      <x:c r="E21" s="242" t="str">
        <x:f>IF($B21="","",_xlfn.XLOOKUP($B21,'試行員工主檔'!$A$7:$A$20,'試行員工主檔'!$D$7:$D$20,"未建立",0))</x:f>
      </x:c>
      <x:c r="F21" s="241"/>
      <x:c r="G21" s="241"/>
      <x:c r="H21" s="241"/>
      <x:c r="I21" s="241"/>
      <x:c r="J21" s="243"/>
      <x:c r="K21" s="241"/>
      <x:c r="L21" s="241"/>
      <x:c r="M21" s="241"/>
      <x:c r="N21" s="242" t="str">
        <x:f>IF($B21="","",IF($K21="停用","停用",IF($K21="退回補件","退回補件",IF(OR($A21="",$F21="",$G21="",$H21="",$I21="",$J21="",$L21="",$M21=""),IF($K21="已核定","已核定但資料未完整","待補欄位或核定"),IF($K21="已核定","可生效","待主管核定")))))</x:f>
      </x:c>
      <x:c r="O21" s="242" t="str">
        <x:f>IF($B21="","",IF($N21&lt;&gt;"可生效","未生效",IF(COUNTIFS($B$7:$B$106,$B21,$J$7:$J$106,$J21,$N$7:$N$106,"可生效")&gt;1,"同日重複核定",IF($J21&gt;TODAY(),"待生效",IF(COUNTIFS($B$7:$B$106,$B21,$N$7:$N$106,"可生效",$J$7:$J$106,"&gt;"&amp;$J21,$J$7:$J$106,"&lt;="&amp;TODAY())&gt;0,"已由後續紀錄取代","生效中")))))</x:f>
      </x:c>
      <x:c r="P21" s="242" t="str">
        <x:f>IF($O21="生效中",$B21,"")</x:f>
      </x:c>
    </x:row>
    <x:row r="22">
      <x:c r="A22" s="241"/>
      <x:c r="B22" s="241"/>
      <x:c r="C22" s="242" t="str">
        <x:f>IF($B22="","",_xlfn.XLOOKUP($B22,'試行員工主檔'!$A$7:$A$20,'試行員工主檔'!$B$7:$B$20,"未建立",0))</x:f>
      </x:c>
      <x:c r="D22" s="242" t="str">
        <x:f>IF($B22="","",_xlfn.XLOOKUP($B22,'試行員工主檔'!$A$7:$A$20,'試行員工主檔'!$C$7:$C$20,"未建立",0))</x:f>
      </x:c>
      <x:c r="E22" s="242" t="str">
        <x:f>IF($B22="","",_xlfn.XLOOKUP($B22,'試行員工主檔'!$A$7:$A$20,'試行員工主檔'!$D$7:$D$20,"未建立",0))</x:f>
      </x:c>
      <x:c r="F22" s="241"/>
      <x:c r="G22" s="241"/>
      <x:c r="H22" s="241"/>
      <x:c r="I22" s="241"/>
      <x:c r="J22" s="243"/>
      <x:c r="K22" s="241"/>
      <x:c r="L22" s="241"/>
      <x:c r="M22" s="241"/>
      <x:c r="N22" s="242" t="str">
        <x:f>IF($B22="","",IF($K22="停用","停用",IF($K22="退回補件","退回補件",IF(OR($A22="",$F22="",$G22="",$H22="",$I22="",$J22="",$L22="",$M22=""),IF($K22="已核定","已核定但資料未完整","待補欄位或核定"),IF($K22="已核定","可生效","待主管核定")))))</x:f>
      </x:c>
      <x:c r="O22" s="242" t="str">
        <x:f>IF($B22="","",IF($N22&lt;&gt;"可生效","未生效",IF(COUNTIFS($B$7:$B$106,$B22,$J$7:$J$106,$J22,$N$7:$N$106,"可生效")&gt;1,"同日重複核定",IF($J22&gt;TODAY(),"待生效",IF(COUNTIFS($B$7:$B$106,$B22,$N$7:$N$106,"可生效",$J$7:$J$106,"&gt;"&amp;$J22,$J$7:$J$106,"&lt;="&amp;TODAY())&gt;0,"已由後續紀錄取代","生效中")))))</x:f>
      </x:c>
      <x:c r="P22" s="242" t="str">
        <x:f>IF($O22="生效中",$B22,"")</x:f>
      </x:c>
    </x:row>
    <x:row r="23">
      <x:c r="A23" s="241"/>
      <x:c r="B23" s="241"/>
      <x:c r="C23" s="242" t="str">
        <x:f>IF($B23="","",_xlfn.XLOOKUP($B23,'試行員工主檔'!$A$7:$A$20,'試行員工主檔'!$B$7:$B$20,"未建立",0))</x:f>
      </x:c>
      <x:c r="D23" s="242" t="str">
        <x:f>IF($B23="","",_xlfn.XLOOKUP($B23,'試行員工主檔'!$A$7:$A$20,'試行員工主檔'!$C$7:$C$20,"未建立",0))</x:f>
      </x:c>
      <x:c r="E23" s="242" t="str">
        <x:f>IF($B23="","",_xlfn.XLOOKUP($B23,'試行員工主檔'!$A$7:$A$20,'試行員工主檔'!$D$7:$D$20,"未建立",0))</x:f>
      </x:c>
      <x:c r="F23" s="241"/>
      <x:c r="G23" s="241"/>
      <x:c r="H23" s="241"/>
      <x:c r="I23" s="241"/>
      <x:c r="J23" s="243"/>
      <x:c r="K23" s="241"/>
      <x:c r="L23" s="241"/>
      <x:c r="M23" s="241"/>
      <x:c r="N23" s="242" t="str">
        <x:f>IF($B23="","",IF($K23="停用","停用",IF($K23="退回補件","退回補件",IF(OR($A23="",$F23="",$G23="",$H23="",$I23="",$J23="",$L23="",$M23=""),IF($K23="已核定","已核定但資料未完整","待補欄位或核定"),IF($K23="已核定","可生效","待主管核定")))))</x:f>
      </x:c>
      <x:c r="O23" s="242" t="str">
        <x:f>IF($B23="","",IF($N23&lt;&gt;"可生效","未生效",IF(COUNTIFS($B$7:$B$106,$B23,$J$7:$J$106,$J23,$N$7:$N$106,"可生效")&gt;1,"同日重複核定",IF($J23&gt;TODAY(),"待生效",IF(COUNTIFS($B$7:$B$106,$B23,$N$7:$N$106,"可生效",$J$7:$J$106,"&gt;"&amp;$J23,$J$7:$J$106,"&lt;="&amp;TODAY())&gt;0,"已由後續紀錄取代","生效中")))))</x:f>
      </x:c>
      <x:c r="P23" s="242" t="str">
        <x:f>IF($O23="生效中",$B23,"")</x:f>
      </x:c>
    </x:row>
    <x:row r="24">
      <x:c r="A24" s="241"/>
      <x:c r="B24" s="241"/>
      <x:c r="C24" s="242" t="str">
        <x:f>IF($B24="","",_xlfn.XLOOKUP($B24,'試行員工主檔'!$A$7:$A$20,'試行員工主檔'!$B$7:$B$20,"未建立",0))</x:f>
      </x:c>
      <x:c r="D24" s="242" t="str">
        <x:f>IF($B24="","",_xlfn.XLOOKUP($B24,'試行員工主檔'!$A$7:$A$20,'試行員工主檔'!$C$7:$C$20,"未建立",0))</x:f>
      </x:c>
      <x:c r="E24" s="242" t="str">
        <x:f>IF($B24="","",_xlfn.XLOOKUP($B24,'試行員工主檔'!$A$7:$A$20,'試行員工主檔'!$D$7:$D$20,"未建立",0))</x:f>
      </x:c>
      <x:c r="F24" s="241"/>
      <x:c r="G24" s="241"/>
      <x:c r="H24" s="241"/>
      <x:c r="I24" s="241"/>
      <x:c r="J24" s="243"/>
      <x:c r="K24" s="241"/>
      <x:c r="L24" s="241"/>
      <x:c r="M24" s="241"/>
      <x:c r="N24" s="242" t="str">
        <x:f>IF($B24="","",IF($K24="停用","停用",IF($K24="退回補件","退回補件",IF(OR($A24="",$F24="",$G24="",$H24="",$I24="",$J24="",$L24="",$M24=""),IF($K24="已核定","已核定但資料未完整","待補欄位或核定"),IF($K24="已核定","可生效","待主管核定")))))</x:f>
      </x:c>
      <x:c r="O24" s="242" t="str">
        <x:f>IF($B24="","",IF($N24&lt;&gt;"可生效","未生效",IF(COUNTIFS($B$7:$B$106,$B24,$J$7:$J$106,$J24,$N$7:$N$106,"可生效")&gt;1,"同日重複核定",IF($J24&gt;TODAY(),"待生效",IF(COUNTIFS($B$7:$B$106,$B24,$N$7:$N$106,"可生效",$J$7:$J$106,"&gt;"&amp;$J24,$J$7:$J$106,"&lt;="&amp;TODAY())&gt;0,"已由後續紀錄取代","生效中")))))</x:f>
      </x:c>
      <x:c r="P24" s="242" t="str">
        <x:f>IF($O24="生效中",$B24,"")</x:f>
      </x:c>
    </x:row>
    <x:row r="25">
      <x:c r="A25" s="241"/>
      <x:c r="B25" s="241"/>
      <x:c r="C25" s="242" t="str">
        <x:f>IF($B25="","",_xlfn.XLOOKUP($B25,'試行員工主檔'!$A$7:$A$20,'試行員工主檔'!$B$7:$B$20,"未建立",0))</x:f>
      </x:c>
      <x:c r="D25" s="242" t="str">
        <x:f>IF($B25="","",_xlfn.XLOOKUP($B25,'試行員工主檔'!$A$7:$A$20,'試行員工主檔'!$C$7:$C$20,"未建立",0))</x:f>
      </x:c>
      <x:c r="E25" s="242" t="str">
        <x:f>IF($B25="","",_xlfn.XLOOKUP($B25,'試行員工主檔'!$A$7:$A$20,'試行員工主檔'!$D$7:$D$20,"未建立",0))</x:f>
      </x:c>
      <x:c r="F25" s="241"/>
      <x:c r="G25" s="241"/>
      <x:c r="H25" s="241"/>
      <x:c r="I25" s="241"/>
      <x:c r="J25" s="243"/>
      <x:c r="K25" s="241"/>
      <x:c r="L25" s="241"/>
      <x:c r="M25" s="241"/>
      <x:c r="N25" s="242" t="str">
        <x:f>IF($B25="","",IF($K25="停用","停用",IF($K25="退回補件","退回補件",IF(OR($A25="",$F25="",$G25="",$H25="",$I25="",$J25="",$L25="",$M25=""),IF($K25="已核定","已核定但資料未完整","待補欄位或核定"),IF($K25="已核定","可生效","待主管核定")))))</x:f>
      </x:c>
      <x:c r="O25" s="242" t="str">
        <x:f>IF($B25="","",IF($N25&lt;&gt;"可生效","未生效",IF(COUNTIFS($B$7:$B$106,$B25,$J$7:$J$106,$J25,$N$7:$N$106,"可生效")&gt;1,"同日重複核定",IF($J25&gt;TODAY(),"待生效",IF(COUNTIFS($B$7:$B$106,$B25,$N$7:$N$106,"可生效",$J$7:$J$106,"&gt;"&amp;$J25,$J$7:$J$106,"&lt;="&amp;TODAY())&gt;0,"已由後續紀錄取代","生效中")))))</x:f>
      </x:c>
      <x:c r="P25" s="242" t="str">
        <x:f>IF($O25="生效中",$B25,"")</x:f>
      </x:c>
    </x:row>
    <x:row r="26">
      <x:c r="A26" s="241"/>
      <x:c r="B26" s="241"/>
      <x:c r="C26" s="242" t="str">
        <x:f>IF($B26="","",_xlfn.XLOOKUP($B26,'試行員工主檔'!$A$7:$A$20,'試行員工主檔'!$B$7:$B$20,"未建立",0))</x:f>
      </x:c>
      <x:c r="D26" s="242" t="str">
        <x:f>IF($B26="","",_xlfn.XLOOKUP($B26,'試行員工主檔'!$A$7:$A$20,'試行員工主檔'!$C$7:$C$20,"未建立",0))</x:f>
      </x:c>
      <x:c r="E26" s="242" t="str">
        <x:f>IF($B26="","",_xlfn.XLOOKUP($B26,'試行員工主檔'!$A$7:$A$20,'試行員工主檔'!$D$7:$D$20,"未建立",0))</x:f>
      </x:c>
      <x:c r="F26" s="241"/>
      <x:c r="G26" s="241"/>
      <x:c r="H26" s="241"/>
      <x:c r="I26" s="241"/>
      <x:c r="J26" s="243"/>
      <x:c r="K26" s="241"/>
      <x:c r="L26" s="241"/>
      <x:c r="M26" s="241"/>
      <x:c r="N26" s="242" t="str">
        <x:f>IF($B26="","",IF($K26="停用","停用",IF($K26="退回補件","退回補件",IF(OR($A26="",$F26="",$G26="",$H26="",$I26="",$J26="",$L26="",$M26=""),IF($K26="已核定","已核定但資料未完整","待補欄位或核定"),IF($K26="已核定","可生效","待主管核定")))))</x:f>
      </x:c>
      <x:c r="O26" s="242" t="str">
        <x:f>IF($B26="","",IF($N26&lt;&gt;"可生效","未生效",IF(COUNTIFS($B$7:$B$106,$B26,$J$7:$J$106,$J26,$N$7:$N$106,"可生效")&gt;1,"同日重複核定",IF($J26&gt;TODAY(),"待生效",IF(COUNTIFS($B$7:$B$106,$B26,$N$7:$N$106,"可生效",$J$7:$J$106,"&gt;"&amp;$J26,$J$7:$J$106,"&lt;="&amp;TODAY())&gt;0,"已由後續紀錄取代","生效中")))))</x:f>
      </x:c>
      <x:c r="P26" s="242" t="str">
        <x:f>IF($O26="生效中",$B26,"")</x:f>
      </x:c>
    </x:row>
    <x:row r="27">
      <x:c r="A27" s="241"/>
      <x:c r="B27" s="241"/>
      <x:c r="C27" s="242" t="str">
        <x:f>IF($B27="","",_xlfn.XLOOKUP($B27,'試行員工主檔'!$A$7:$A$20,'試行員工主檔'!$B$7:$B$20,"未建立",0))</x:f>
      </x:c>
      <x:c r="D27" s="242" t="str">
        <x:f>IF($B27="","",_xlfn.XLOOKUP($B27,'試行員工主檔'!$A$7:$A$20,'試行員工主檔'!$C$7:$C$20,"未建立",0))</x:f>
      </x:c>
      <x:c r="E27" s="242" t="str">
        <x:f>IF($B27="","",_xlfn.XLOOKUP($B27,'試行員工主檔'!$A$7:$A$20,'試行員工主檔'!$D$7:$D$20,"未建立",0))</x:f>
      </x:c>
      <x:c r="F27" s="241"/>
      <x:c r="G27" s="241"/>
      <x:c r="H27" s="241"/>
      <x:c r="I27" s="241"/>
      <x:c r="J27" s="243"/>
      <x:c r="K27" s="241"/>
      <x:c r="L27" s="241"/>
      <x:c r="M27" s="241"/>
      <x:c r="N27" s="242" t="str">
        <x:f>IF($B27="","",IF($K27="停用","停用",IF($K27="退回補件","退回補件",IF(OR($A27="",$F27="",$G27="",$H27="",$I27="",$J27="",$L27="",$M27=""),IF($K27="已核定","已核定但資料未完整","待補欄位或核定"),IF($K27="已核定","可生效","待主管核定")))))</x:f>
      </x:c>
      <x:c r="O27" s="242" t="str">
        <x:f>IF($B27="","",IF($N27&lt;&gt;"可生效","未生效",IF(COUNTIFS($B$7:$B$106,$B27,$J$7:$J$106,$J27,$N$7:$N$106,"可生效")&gt;1,"同日重複核定",IF($J27&gt;TODAY(),"待生效",IF(COUNTIFS($B$7:$B$106,$B27,$N$7:$N$106,"可生效",$J$7:$J$106,"&gt;"&amp;$J27,$J$7:$J$106,"&lt;="&amp;TODAY())&gt;0,"已由後續紀錄取代","生效中")))))</x:f>
      </x:c>
      <x:c r="P27" s="242" t="str">
        <x:f>IF($O27="生效中",$B27,"")</x:f>
      </x:c>
    </x:row>
    <x:row r="28">
      <x:c r="A28" s="241"/>
      <x:c r="B28" s="241"/>
      <x:c r="C28" s="242" t="str">
        <x:f>IF($B28="","",_xlfn.XLOOKUP($B28,'試行員工主檔'!$A$7:$A$20,'試行員工主檔'!$B$7:$B$20,"未建立",0))</x:f>
      </x:c>
      <x:c r="D28" s="242" t="str">
        <x:f>IF($B28="","",_xlfn.XLOOKUP($B28,'試行員工主檔'!$A$7:$A$20,'試行員工主檔'!$C$7:$C$20,"未建立",0))</x:f>
      </x:c>
      <x:c r="E28" s="242" t="str">
        <x:f>IF($B28="","",_xlfn.XLOOKUP($B28,'試行員工主檔'!$A$7:$A$20,'試行員工主檔'!$D$7:$D$20,"未建立",0))</x:f>
      </x:c>
      <x:c r="F28" s="241"/>
      <x:c r="G28" s="241"/>
      <x:c r="H28" s="241"/>
      <x:c r="I28" s="241"/>
      <x:c r="J28" s="243"/>
      <x:c r="K28" s="241"/>
      <x:c r="L28" s="241"/>
      <x:c r="M28" s="241"/>
      <x:c r="N28" s="242" t="str">
        <x:f>IF($B28="","",IF($K28="停用","停用",IF($K28="退回補件","退回補件",IF(OR($A28="",$F28="",$G28="",$H28="",$I28="",$J28="",$L28="",$M28=""),IF($K28="已核定","已核定但資料未完整","待補欄位或核定"),IF($K28="已核定","可生效","待主管核定")))))</x:f>
      </x:c>
      <x:c r="O28" s="242" t="str">
        <x:f>IF($B28="","",IF($N28&lt;&gt;"可生效","未生效",IF(COUNTIFS($B$7:$B$106,$B28,$J$7:$J$106,$J28,$N$7:$N$106,"可生效")&gt;1,"同日重複核定",IF($J28&gt;TODAY(),"待生效",IF(COUNTIFS($B$7:$B$106,$B28,$N$7:$N$106,"可生效",$J$7:$J$106,"&gt;"&amp;$J28,$J$7:$J$106,"&lt;="&amp;TODAY())&gt;0,"已由後續紀錄取代","生效中")))))</x:f>
      </x:c>
      <x:c r="P28" s="242" t="str">
        <x:f>IF($O28="生效中",$B28,"")</x:f>
      </x:c>
    </x:row>
    <x:row r="29">
      <x:c r="A29" s="241"/>
      <x:c r="B29" s="241"/>
      <x:c r="C29" s="242" t="str">
        <x:f>IF($B29="","",_xlfn.XLOOKUP($B29,'試行員工主檔'!$A$7:$A$20,'試行員工主檔'!$B$7:$B$20,"未建立",0))</x:f>
      </x:c>
      <x:c r="D29" s="242" t="str">
        <x:f>IF($B29="","",_xlfn.XLOOKUP($B29,'試行員工主檔'!$A$7:$A$20,'試行員工主檔'!$C$7:$C$20,"未建立",0))</x:f>
      </x:c>
      <x:c r="E29" s="242" t="str">
        <x:f>IF($B29="","",_xlfn.XLOOKUP($B29,'試行員工主檔'!$A$7:$A$20,'試行員工主檔'!$D$7:$D$20,"未建立",0))</x:f>
      </x:c>
      <x:c r="F29" s="241"/>
      <x:c r="G29" s="241"/>
      <x:c r="H29" s="241"/>
      <x:c r="I29" s="241"/>
      <x:c r="J29" s="243"/>
      <x:c r="K29" s="241"/>
      <x:c r="L29" s="241"/>
      <x:c r="M29" s="241"/>
      <x:c r="N29" s="242" t="str">
        <x:f>IF($B29="","",IF($K29="停用","停用",IF($K29="退回補件","退回補件",IF(OR($A29="",$F29="",$G29="",$H29="",$I29="",$J29="",$L29="",$M29=""),IF($K29="已核定","已核定但資料未完整","待補欄位或核定"),IF($K29="已核定","可生效","待主管核定")))))</x:f>
      </x:c>
      <x:c r="O29" s="242" t="str">
        <x:f>IF($B29="","",IF($N29&lt;&gt;"可生效","未生效",IF(COUNTIFS($B$7:$B$106,$B29,$J$7:$J$106,$J29,$N$7:$N$106,"可生效")&gt;1,"同日重複核定",IF($J29&gt;TODAY(),"待生效",IF(COUNTIFS($B$7:$B$106,$B29,$N$7:$N$106,"可生效",$J$7:$J$106,"&gt;"&amp;$J29,$J$7:$J$106,"&lt;="&amp;TODAY())&gt;0,"已由後續紀錄取代","生效中")))))</x:f>
      </x:c>
      <x:c r="P29" s="242" t="str">
        <x:f>IF($O29="生效中",$B29,"")</x:f>
      </x:c>
    </x:row>
    <x:row r="30">
      <x:c r="A30" s="241"/>
      <x:c r="B30" s="241"/>
      <x:c r="C30" s="242" t="str">
        <x:f>IF($B30="","",_xlfn.XLOOKUP($B30,'試行員工主檔'!$A$7:$A$20,'試行員工主檔'!$B$7:$B$20,"未建立",0))</x:f>
      </x:c>
      <x:c r="D30" s="242" t="str">
        <x:f>IF($B30="","",_xlfn.XLOOKUP($B30,'試行員工主檔'!$A$7:$A$20,'試行員工主檔'!$C$7:$C$20,"未建立",0))</x:f>
      </x:c>
      <x:c r="E30" s="242" t="str">
        <x:f>IF($B30="","",_xlfn.XLOOKUP($B30,'試行員工主檔'!$A$7:$A$20,'試行員工主檔'!$D$7:$D$20,"未建立",0))</x:f>
      </x:c>
      <x:c r="F30" s="241"/>
      <x:c r="G30" s="241"/>
      <x:c r="H30" s="241"/>
      <x:c r="I30" s="241"/>
      <x:c r="J30" s="243"/>
      <x:c r="K30" s="241"/>
      <x:c r="L30" s="241"/>
      <x:c r="M30" s="241"/>
      <x:c r="N30" s="242" t="str">
        <x:f>IF($B30="","",IF($K30="停用","停用",IF($K30="退回補件","退回補件",IF(OR($A30="",$F30="",$G30="",$H30="",$I30="",$J30="",$L30="",$M30=""),IF($K30="已核定","已核定但資料未完整","待補欄位或核定"),IF($K30="已核定","可生效","待主管核定")))))</x:f>
      </x:c>
      <x:c r="O30" s="242" t="str">
        <x:f>IF($B30="","",IF($N30&lt;&gt;"可生效","未生效",IF(COUNTIFS($B$7:$B$106,$B30,$J$7:$J$106,$J30,$N$7:$N$106,"可生效")&gt;1,"同日重複核定",IF($J30&gt;TODAY(),"待生效",IF(COUNTIFS($B$7:$B$106,$B30,$N$7:$N$106,"可生效",$J$7:$J$106,"&gt;"&amp;$J30,$J$7:$J$106,"&lt;="&amp;TODAY())&gt;0,"已由後續紀錄取代","生效中")))))</x:f>
      </x:c>
      <x:c r="P30" s="242" t="str">
        <x:f>IF($O30="生效中",$B30,"")</x:f>
      </x:c>
    </x:row>
    <x:row r="31">
      <x:c r="A31" s="241"/>
      <x:c r="B31" s="241"/>
      <x:c r="C31" s="242" t="str">
        <x:f>IF($B31="","",_xlfn.XLOOKUP($B31,'試行員工主檔'!$A$7:$A$20,'試行員工主檔'!$B$7:$B$20,"未建立",0))</x:f>
      </x:c>
      <x:c r="D31" s="242" t="str">
        <x:f>IF($B31="","",_xlfn.XLOOKUP($B31,'試行員工主檔'!$A$7:$A$20,'試行員工主檔'!$C$7:$C$20,"未建立",0))</x:f>
      </x:c>
      <x:c r="E31" s="242" t="str">
        <x:f>IF($B31="","",_xlfn.XLOOKUP($B31,'試行員工主檔'!$A$7:$A$20,'試行員工主檔'!$D$7:$D$20,"未建立",0))</x:f>
      </x:c>
      <x:c r="F31" s="241"/>
      <x:c r="G31" s="241"/>
      <x:c r="H31" s="241"/>
      <x:c r="I31" s="241"/>
      <x:c r="J31" s="243"/>
      <x:c r="K31" s="241"/>
      <x:c r="L31" s="241"/>
      <x:c r="M31" s="241"/>
      <x:c r="N31" s="242" t="str">
        <x:f>IF($B31="","",IF($K31="停用","停用",IF($K31="退回補件","退回補件",IF(OR($A31="",$F31="",$G31="",$H31="",$I31="",$J31="",$L31="",$M31=""),IF($K31="已核定","已核定但資料未完整","待補欄位或核定"),IF($K31="已核定","可生效","待主管核定")))))</x:f>
      </x:c>
      <x:c r="O31" s="242" t="str">
        <x:f>IF($B31="","",IF($N31&lt;&gt;"可生效","未生效",IF(COUNTIFS($B$7:$B$106,$B31,$J$7:$J$106,$J31,$N$7:$N$106,"可生效")&gt;1,"同日重複核定",IF($J31&gt;TODAY(),"待生效",IF(COUNTIFS($B$7:$B$106,$B31,$N$7:$N$106,"可生效",$J$7:$J$106,"&gt;"&amp;$J31,$J$7:$J$106,"&lt;="&amp;TODAY())&gt;0,"已由後續紀錄取代","生效中")))))</x:f>
      </x:c>
      <x:c r="P31" s="242" t="str">
        <x:f>IF($O31="生效中",$B31,"")</x:f>
      </x:c>
    </x:row>
    <x:row r="32">
      <x:c r="A32" s="241"/>
      <x:c r="B32" s="241"/>
      <x:c r="C32" s="242" t="str">
        <x:f>IF($B32="","",_xlfn.XLOOKUP($B32,'試行員工主檔'!$A$7:$A$20,'試行員工主檔'!$B$7:$B$20,"未建立",0))</x:f>
      </x:c>
      <x:c r="D32" s="242" t="str">
        <x:f>IF($B32="","",_xlfn.XLOOKUP($B32,'試行員工主檔'!$A$7:$A$20,'試行員工主檔'!$C$7:$C$20,"未建立",0))</x:f>
      </x:c>
      <x:c r="E32" s="242" t="str">
        <x:f>IF($B32="","",_xlfn.XLOOKUP($B32,'試行員工主檔'!$A$7:$A$20,'試行員工主檔'!$D$7:$D$20,"未建立",0))</x:f>
      </x:c>
      <x:c r="F32" s="241"/>
      <x:c r="G32" s="241"/>
      <x:c r="H32" s="241"/>
      <x:c r="I32" s="241"/>
      <x:c r="J32" s="243"/>
      <x:c r="K32" s="241"/>
      <x:c r="L32" s="241"/>
      <x:c r="M32" s="241"/>
      <x:c r="N32" s="242" t="str">
        <x:f>IF($B32="","",IF($K32="停用","停用",IF($K32="退回補件","退回補件",IF(OR($A32="",$F32="",$G32="",$H32="",$I32="",$J32="",$L32="",$M32=""),IF($K32="已核定","已核定但資料未完整","待補欄位或核定"),IF($K32="已核定","可生效","待主管核定")))))</x:f>
      </x:c>
      <x:c r="O32" s="242" t="str">
        <x:f>IF($B32="","",IF($N32&lt;&gt;"可生效","未生效",IF(COUNTIFS($B$7:$B$106,$B32,$J$7:$J$106,$J32,$N$7:$N$106,"可生效")&gt;1,"同日重複核定",IF($J32&gt;TODAY(),"待生效",IF(COUNTIFS($B$7:$B$106,$B32,$N$7:$N$106,"可生效",$J$7:$J$106,"&gt;"&amp;$J32,$J$7:$J$106,"&lt;="&amp;TODAY())&gt;0,"已由後續紀錄取代","生效中")))))</x:f>
      </x:c>
      <x:c r="P32" s="242" t="str">
        <x:f>IF($O32="生效中",$B32,"")</x:f>
      </x:c>
    </x:row>
    <x:row r="33">
      <x:c r="A33" s="241"/>
      <x:c r="B33" s="241"/>
      <x:c r="C33" s="242" t="str">
        <x:f>IF($B33="","",_xlfn.XLOOKUP($B33,'試行員工主檔'!$A$7:$A$20,'試行員工主檔'!$B$7:$B$20,"未建立",0))</x:f>
      </x:c>
      <x:c r="D33" s="242" t="str">
        <x:f>IF($B33="","",_xlfn.XLOOKUP($B33,'試行員工主檔'!$A$7:$A$20,'試行員工主檔'!$C$7:$C$20,"未建立",0))</x:f>
      </x:c>
      <x:c r="E33" s="242" t="str">
        <x:f>IF($B33="","",_xlfn.XLOOKUP($B33,'試行員工主檔'!$A$7:$A$20,'試行員工主檔'!$D$7:$D$20,"未建立",0))</x:f>
      </x:c>
      <x:c r="F33" s="241"/>
      <x:c r="G33" s="241"/>
      <x:c r="H33" s="241"/>
      <x:c r="I33" s="241"/>
      <x:c r="J33" s="243"/>
      <x:c r="K33" s="241"/>
      <x:c r="L33" s="241"/>
      <x:c r="M33" s="241"/>
      <x:c r="N33" s="242" t="str">
        <x:f>IF($B33="","",IF($K33="停用","停用",IF($K33="退回補件","退回補件",IF(OR($A33="",$F33="",$G33="",$H33="",$I33="",$J33="",$L33="",$M33=""),IF($K33="已核定","已核定但資料未完整","待補欄位或核定"),IF($K33="已核定","可生效","待主管核定")))))</x:f>
      </x:c>
      <x:c r="O33" s="242" t="str">
        <x:f>IF($B33="","",IF($N33&lt;&gt;"可生效","未生效",IF(COUNTIFS($B$7:$B$106,$B33,$J$7:$J$106,$J33,$N$7:$N$106,"可生效")&gt;1,"同日重複核定",IF($J33&gt;TODAY(),"待生效",IF(COUNTIFS($B$7:$B$106,$B33,$N$7:$N$106,"可生效",$J$7:$J$106,"&gt;"&amp;$J33,$J$7:$J$106,"&lt;="&amp;TODAY())&gt;0,"已由後續紀錄取代","生效中")))))</x:f>
      </x:c>
      <x:c r="P33" s="242" t="str">
        <x:f>IF($O33="生效中",$B33,"")</x:f>
      </x:c>
    </x:row>
    <x:row r="34">
      <x:c r="A34" s="241"/>
      <x:c r="B34" s="241"/>
      <x:c r="C34" s="242" t="str">
        <x:f>IF($B34="","",_xlfn.XLOOKUP($B34,'試行員工主檔'!$A$7:$A$20,'試行員工主檔'!$B$7:$B$20,"未建立",0))</x:f>
      </x:c>
      <x:c r="D34" s="242" t="str">
        <x:f>IF($B34="","",_xlfn.XLOOKUP($B34,'試行員工主檔'!$A$7:$A$20,'試行員工主檔'!$C$7:$C$20,"未建立",0))</x:f>
      </x:c>
      <x:c r="E34" s="242" t="str">
        <x:f>IF($B34="","",_xlfn.XLOOKUP($B34,'試行員工主檔'!$A$7:$A$20,'試行員工主檔'!$D$7:$D$20,"未建立",0))</x:f>
      </x:c>
      <x:c r="F34" s="241"/>
      <x:c r="G34" s="241"/>
      <x:c r="H34" s="241"/>
      <x:c r="I34" s="241"/>
      <x:c r="J34" s="243"/>
      <x:c r="K34" s="241"/>
      <x:c r="L34" s="241"/>
      <x:c r="M34" s="241"/>
      <x:c r="N34" s="242" t="str">
        <x:f>IF($B34="","",IF($K34="停用","停用",IF($K34="退回補件","退回補件",IF(OR($A34="",$F34="",$G34="",$H34="",$I34="",$J34="",$L34="",$M34=""),IF($K34="已核定","已核定但資料未完整","待補欄位或核定"),IF($K34="已核定","可生效","待主管核定")))))</x:f>
      </x:c>
      <x:c r="O34" s="242" t="str">
        <x:f>IF($B34="","",IF($N34&lt;&gt;"可生效","未生效",IF(COUNTIFS($B$7:$B$106,$B34,$J$7:$J$106,$J34,$N$7:$N$106,"可生效")&gt;1,"同日重複核定",IF($J34&gt;TODAY(),"待生效",IF(COUNTIFS($B$7:$B$106,$B34,$N$7:$N$106,"可生效",$J$7:$J$106,"&gt;"&amp;$J34,$J$7:$J$106,"&lt;="&amp;TODAY())&gt;0,"已由後續紀錄取代","生效中")))))</x:f>
      </x:c>
      <x:c r="P34" s="242" t="str">
        <x:f>IF($O34="生效中",$B34,"")</x:f>
      </x:c>
    </x:row>
    <x:row r="35">
      <x:c r="A35" s="241"/>
      <x:c r="B35" s="241"/>
      <x:c r="C35" s="242" t="str">
        <x:f>IF($B35="","",_xlfn.XLOOKUP($B35,'試行員工主檔'!$A$7:$A$20,'試行員工主檔'!$B$7:$B$20,"未建立",0))</x:f>
      </x:c>
      <x:c r="D35" s="242" t="str">
        <x:f>IF($B35="","",_xlfn.XLOOKUP($B35,'試行員工主檔'!$A$7:$A$20,'試行員工主檔'!$C$7:$C$20,"未建立",0))</x:f>
      </x:c>
      <x:c r="E35" s="242" t="str">
        <x:f>IF($B35="","",_xlfn.XLOOKUP($B35,'試行員工主檔'!$A$7:$A$20,'試行員工主檔'!$D$7:$D$20,"未建立",0))</x:f>
      </x:c>
      <x:c r="F35" s="241"/>
      <x:c r="G35" s="241"/>
      <x:c r="H35" s="241"/>
      <x:c r="I35" s="241"/>
      <x:c r="J35" s="243"/>
      <x:c r="K35" s="241"/>
      <x:c r="L35" s="241"/>
      <x:c r="M35" s="241"/>
      <x:c r="N35" s="242" t="str">
        <x:f>IF($B35="","",IF($K35="停用","停用",IF($K35="退回補件","退回補件",IF(OR($A35="",$F35="",$G35="",$H35="",$I35="",$J35="",$L35="",$M35=""),IF($K35="已核定","已核定但資料未完整","待補欄位或核定"),IF($K35="已核定","可生效","待主管核定")))))</x:f>
      </x:c>
      <x:c r="O35" s="242" t="str">
        <x:f>IF($B35="","",IF($N35&lt;&gt;"可生效","未生效",IF(COUNTIFS($B$7:$B$106,$B35,$J$7:$J$106,$J35,$N$7:$N$106,"可生效")&gt;1,"同日重複核定",IF($J35&gt;TODAY(),"待生效",IF(COUNTIFS($B$7:$B$106,$B35,$N$7:$N$106,"可生效",$J$7:$J$106,"&gt;"&amp;$J35,$J$7:$J$106,"&lt;="&amp;TODAY())&gt;0,"已由後續紀錄取代","生效中")))))</x:f>
      </x:c>
      <x:c r="P35" s="242" t="str">
        <x:f>IF($O35="生效中",$B35,"")</x:f>
      </x:c>
    </x:row>
    <x:row r="36">
      <x:c r="A36" s="241"/>
      <x:c r="B36" s="241"/>
      <x:c r="C36" s="242" t="str">
        <x:f>IF($B36="","",_xlfn.XLOOKUP($B36,'試行員工主檔'!$A$7:$A$20,'試行員工主檔'!$B$7:$B$20,"未建立",0))</x:f>
      </x:c>
      <x:c r="D36" s="242" t="str">
        <x:f>IF($B36="","",_xlfn.XLOOKUP($B36,'試行員工主檔'!$A$7:$A$20,'試行員工主檔'!$C$7:$C$20,"未建立",0))</x:f>
      </x:c>
      <x:c r="E36" s="242" t="str">
        <x:f>IF($B36="","",_xlfn.XLOOKUP($B36,'試行員工主檔'!$A$7:$A$20,'試行員工主檔'!$D$7:$D$20,"未建立",0))</x:f>
      </x:c>
      <x:c r="F36" s="241"/>
      <x:c r="G36" s="241"/>
      <x:c r="H36" s="241"/>
      <x:c r="I36" s="241"/>
      <x:c r="J36" s="243"/>
      <x:c r="K36" s="241"/>
      <x:c r="L36" s="241"/>
      <x:c r="M36" s="241"/>
      <x:c r="N36" s="242" t="str">
        <x:f>IF($B36="","",IF($K36="停用","停用",IF($K36="退回補件","退回補件",IF(OR($A36="",$F36="",$G36="",$H36="",$I36="",$J36="",$L36="",$M36=""),IF($K36="已核定","已核定但資料未完整","待補欄位或核定"),IF($K36="已核定","可生效","待主管核定")))))</x:f>
      </x:c>
      <x:c r="O36" s="242" t="str">
        <x:f>IF($B36="","",IF($N36&lt;&gt;"可生效","未生效",IF(COUNTIFS($B$7:$B$106,$B36,$J$7:$J$106,$J36,$N$7:$N$106,"可生效")&gt;1,"同日重複核定",IF($J36&gt;TODAY(),"待生效",IF(COUNTIFS($B$7:$B$106,$B36,$N$7:$N$106,"可生效",$J$7:$J$106,"&gt;"&amp;$J36,$J$7:$J$106,"&lt;="&amp;TODAY())&gt;0,"已由後續紀錄取代","生效中")))))</x:f>
      </x:c>
      <x:c r="P36" s="242" t="str">
        <x:f>IF($O36="生效中",$B36,"")</x:f>
      </x:c>
    </x:row>
    <x:row r="37">
      <x:c r="A37" s="241"/>
      <x:c r="B37" s="241"/>
      <x:c r="C37" s="242" t="str">
        <x:f>IF($B37="","",_xlfn.XLOOKUP($B37,'試行員工主檔'!$A$7:$A$20,'試行員工主檔'!$B$7:$B$20,"未建立",0))</x:f>
      </x:c>
      <x:c r="D37" s="242" t="str">
        <x:f>IF($B37="","",_xlfn.XLOOKUP($B37,'試行員工主檔'!$A$7:$A$20,'試行員工主檔'!$C$7:$C$20,"未建立",0))</x:f>
      </x:c>
      <x:c r="E37" s="242" t="str">
        <x:f>IF($B37="","",_xlfn.XLOOKUP($B37,'試行員工主檔'!$A$7:$A$20,'試行員工主檔'!$D$7:$D$20,"未建立",0))</x:f>
      </x:c>
      <x:c r="F37" s="241"/>
      <x:c r="G37" s="241"/>
      <x:c r="H37" s="241"/>
      <x:c r="I37" s="241"/>
      <x:c r="J37" s="243"/>
      <x:c r="K37" s="241"/>
      <x:c r="L37" s="241"/>
      <x:c r="M37" s="241"/>
      <x:c r="N37" s="242" t="str">
        <x:f>IF($B37="","",IF($K37="停用","停用",IF($K37="退回補件","退回補件",IF(OR($A37="",$F37="",$G37="",$H37="",$I37="",$J37="",$L37="",$M37=""),IF($K37="已核定","已核定但資料未完整","待補欄位或核定"),IF($K37="已核定","可生效","待主管核定")))))</x:f>
      </x:c>
      <x:c r="O37" s="242" t="str">
        <x:f>IF($B37="","",IF($N37&lt;&gt;"可生效","未生效",IF(COUNTIFS($B$7:$B$106,$B37,$J$7:$J$106,$J37,$N$7:$N$106,"可生效")&gt;1,"同日重複核定",IF($J37&gt;TODAY(),"待生效",IF(COUNTIFS($B$7:$B$106,$B37,$N$7:$N$106,"可生效",$J$7:$J$106,"&gt;"&amp;$J37,$J$7:$J$106,"&lt;="&amp;TODAY())&gt;0,"已由後續紀錄取代","生效中")))))</x:f>
      </x:c>
      <x:c r="P37" s="242" t="str">
        <x:f>IF($O37="生效中",$B37,"")</x:f>
      </x:c>
    </x:row>
    <x:row r="38">
      <x:c r="A38" s="241"/>
      <x:c r="B38" s="241"/>
      <x:c r="C38" s="242" t="str">
        <x:f>IF($B38="","",_xlfn.XLOOKUP($B38,'試行員工主檔'!$A$7:$A$20,'試行員工主檔'!$B$7:$B$20,"未建立",0))</x:f>
      </x:c>
      <x:c r="D38" s="242" t="str">
        <x:f>IF($B38="","",_xlfn.XLOOKUP($B38,'試行員工主檔'!$A$7:$A$20,'試行員工主檔'!$C$7:$C$20,"未建立",0))</x:f>
      </x:c>
      <x:c r="E38" s="242" t="str">
        <x:f>IF($B38="","",_xlfn.XLOOKUP($B38,'試行員工主檔'!$A$7:$A$20,'試行員工主檔'!$D$7:$D$20,"未建立",0))</x:f>
      </x:c>
      <x:c r="F38" s="241"/>
      <x:c r="G38" s="241"/>
      <x:c r="H38" s="241"/>
      <x:c r="I38" s="241"/>
      <x:c r="J38" s="243"/>
      <x:c r="K38" s="241"/>
      <x:c r="L38" s="241"/>
      <x:c r="M38" s="241"/>
      <x:c r="N38" s="242" t="str">
        <x:f>IF($B38="","",IF($K38="停用","停用",IF($K38="退回補件","退回補件",IF(OR($A38="",$F38="",$G38="",$H38="",$I38="",$J38="",$L38="",$M38=""),IF($K38="已核定","已核定但資料未完整","待補欄位或核定"),IF($K38="已核定","可生效","待主管核定")))))</x:f>
      </x:c>
      <x:c r="O38" s="242" t="str">
        <x:f>IF($B38="","",IF($N38&lt;&gt;"可生效","未生效",IF(COUNTIFS($B$7:$B$106,$B38,$J$7:$J$106,$J38,$N$7:$N$106,"可生效")&gt;1,"同日重複核定",IF($J38&gt;TODAY(),"待生效",IF(COUNTIFS($B$7:$B$106,$B38,$N$7:$N$106,"可生效",$J$7:$J$106,"&gt;"&amp;$J38,$J$7:$J$106,"&lt;="&amp;TODAY())&gt;0,"已由後續紀錄取代","生效中")))))</x:f>
      </x:c>
      <x:c r="P38" s="242" t="str">
        <x:f>IF($O38="生效中",$B38,"")</x:f>
      </x:c>
    </x:row>
    <x:row r="39">
      <x:c r="A39" s="241"/>
      <x:c r="B39" s="241"/>
      <x:c r="C39" s="242" t="str">
        <x:f>IF($B39="","",_xlfn.XLOOKUP($B39,'試行員工主檔'!$A$7:$A$20,'試行員工主檔'!$B$7:$B$20,"未建立",0))</x:f>
      </x:c>
      <x:c r="D39" s="242" t="str">
        <x:f>IF($B39="","",_xlfn.XLOOKUP($B39,'試行員工主檔'!$A$7:$A$20,'試行員工主檔'!$C$7:$C$20,"未建立",0))</x:f>
      </x:c>
      <x:c r="E39" s="242" t="str">
        <x:f>IF($B39="","",_xlfn.XLOOKUP($B39,'試行員工主檔'!$A$7:$A$20,'試行員工主檔'!$D$7:$D$20,"未建立",0))</x:f>
      </x:c>
      <x:c r="F39" s="241"/>
      <x:c r="G39" s="241"/>
      <x:c r="H39" s="241"/>
      <x:c r="I39" s="241"/>
      <x:c r="J39" s="243"/>
      <x:c r="K39" s="241"/>
      <x:c r="L39" s="241"/>
      <x:c r="M39" s="241"/>
      <x:c r="N39" s="242" t="str">
        <x:f>IF($B39="","",IF($K39="停用","停用",IF($K39="退回補件","退回補件",IF(OR($A39="",$F39="",$G39="",$H39="",$I39="",$J39="",$L39="",$M39=""),IF($K39="已核定","已核定但資料未完整","待補欄位或核定"),IF($K39="已核定","可生效","待主管核定")))))</x:f>
      </x:c>
      <x:c r="O39" s="242" t="str">
        <x:f>IF($B39="","",IF($N39&lt;&gt;"可生效","未生效",IF(COUNTIFS($B$7:$B$106,$B39,$J$7:$J$106,$J39,$N$7:$N$106,"可生效")&gt;1,"同日重複核定",IF($J39&gt;TODAY(),"待生效",IF(COUNTIFS($B$7:$B$106,$B39,$N$7:$N$106,"可生效",$J$7:$J$106,"&gt;"&amp;$J39,$J$7:$J$106,"&lt;="&amp;TODAY())&gt;0,"已由後續紀錄取代","生效中")))))</x:f>
      </x:c>
      <x:c r="P39" s="242" t="str">
        <x:f>IF($O39="生效中",$B39,"")</x:f>
      </x:c>
    </x:row>
    <x:row r="40">
      <x:c r="A40" s="241"/>
      <x:c r="B40" s="241"/>
      <x:c r="C40" s="242" t="str">
        <x:f>IF($B40="","",_xlfn.XLOOKUP($B40,'試行員工主檔'!$A$7:$A$20,'試行員工主檔'!$B$7:$B$20,"未建立",0))</x:f>
      </x:c>
      <x:c r="D40" s="242" t="str">
        <x:f>IF($B40="","",_xlfn.XLOOKUP($B40,'試行員工主檔'!$A$7:$A$20,'試行員工主檔'!$C$7:$C$20,"未建立",0))</x:f>
      </x:c>
      <x:c r="E40" s="242" t="str">
        <x:f>IF($B40="","",_xlfn.XLOOKUP($B40,'試行員工主檔'!$A$7:$A$20,'試行員工主檔'!$D$7:$D$20,"未建立",0))</x:f>
      </x:c>
      <x:c r="F40" s="241"/>
      <x:c r="G40" s="241"/>
      <x:c r="H40" s="241"/>
      <x:c r="I40" s="241"/>
      <x:c r="J40" s="243"/>
      <x:c r="K40" s="241"/>
      <x:c r="L40" s="241"/>
      <x:c r="M40" s="241"/>
      <x:c r="N40" s="242" t="str">
        <x:f>IF($B40="","",IF($K40="停用","停用",IF($K40="退回補件","退回補件",IF(OR($A40="",$F40="",$G40="",$H40="",$I40="",$J40="",$L40="",$M40=""),IF($K40="已核定","已核定但資料未完整","待補欄位或核定"),IF($K40="已核定","可生效","待主管核定")))))</x:f>
      </x:c>
      <x:c r="O40" s="242" t="str">
        <x:f>IF($B40="","",IF($N40&lt;&gt;"可生效","未生效",IF(COUNTIFS($B$7:$B$106,$B40,$J$7:$J$106,$J40,$N$7:$N$106,"可生效")&gt;1,"同日重複核定",IF($J40&gt;TODAY(),"待生效",IF(COUNTIFS($B$7:$B$106,$B40,$N$7:$N$106,"可生效",$J$7:$J$106,"&gt;"&amp;$J40,$J$7:$J$106,"&lt;="&amp;TODAY())&gt;0,"已由後續紀錄取代","生效中")))))</x:f>
      </x:c>
      <x:c r="P40" s="242" t="str">
        <x:f>IF($O40="生效中",$B40,"")</x:f>
      </x:c>
    </x:row>
    <x:row r="41">
      <x:c r="A41" s="241"/>
      <x:c r="B41" s="241"/>
      <x:c r="C41" s="242" t="str">
        <x:f>IF($B41="","",_xlfn.XLOOKUP($B41,'試行員工主檔'!$A$7:$A$20,'試行員工主檔'!$B$7:$B$20,"未建立",0))</x:f>
      </x:c>
      <x:c r="D41" s="242" t="str">
        <x:f>IF($B41="","",_xlfn.XLOOKUP($B41,'試行員工主檔'!$A$7:$A$20,'試行員工主檔'!$C$7:$C$20,"未建立",0))</x:f>
      </x:c>
      <x:c r="E41" s="242" t="str">
        <x:f>IF($B41="","",_xlfn.XLOOKUP($B41,'試行員工主檔'!$A$7:$A$20,'試行員工主檔'!$D$7:$D$20,"未建立",0))</x:f>
      </x:c>
      <x:c r="F41" s="241"/>
      <x:c r="G41" s="241"/>
      <x:c r="H41" s="241"/>
      <x:c r="I41" s="241"/>
      <x:c r="J41" s="243"/>
      <x:c r="K41" s="241"/>
      <x:c r="L41" s="241"/>
      <x:c r="M41" s="241"/>
      <x:c r="N41" s="242" t="str">
        <x:f>IF($B41="","",IF($K41="停用","停用",IF($K41="退回補件","退回補件",IF(OR($A41="",$F41="",$G41="",$H41="",$I41="",$J41="",$L41="",$M41=""),IF($K41="已核定","已核定但資料未完整","待補欄位或核定"),IF($K41="已核定","可生效","待主管核定")))))</x:f>
      </x:c>
      <x:c r="O41" s="242" t="str">
        <x:f>IF($B41="","",IF($N41&lt;&gt;"可生效","未生效",IF(COUNTIFS($B$7:$B$106,$B41,$J$7:$J$106,$J41,$N$7:$N$106,"可生效")&gt;1,"同日重複核定",IF($J41&gt;TODAY(),"待生效",IF(COUNTIFS($B$7:$B$106,$B41,$N$7:$N$106,"可生效",$J$7:$J$106,"&gt;"&amp;$J41,$J$7:$J$106,"&lt;="&amp;TODAY())&gt;0,"已由後續紀錄取代","生效中")))))</x:f>
      </x:c>
      <x:c r="P41" s="242" t="str">
        <x:f>IF($O41="生效中",$B41,"")</x:f>
      </x:c>
    </x:row>
    <x:row r="42">
      <x:c r="A42" s="241"/>
      <x:c r="B42" s="241"/>
      <x:c r="C42" s="242" t="str">
        <x:f>IF($B42="","",_xlfn.XLOOKUP($B42,'試行員工主檔'!$A$7:$A$20,'試行員工主檔'!$B$7:$B$20,"未建立",0))</x:f>
      </x:c>
      <x:c r="D42" s="242" t="str">
        <x:f>IF($B42="","",_xlfn.XLOOKUP($B42,'試行員工主檔'!$A$7:$A$20,'試行員工主檔'!$C$7:$C$20,"未建立",0))</x:f>
      </x:c>
      <x:c r="E42" s="242" t="str">
        <x:f>IF($B42="","",_xlfn.XLOOKUP($B42,'試行員工主檔'!$A$7:$A$20,'試行員工主檔'!$D$7:$D$20,"未建立",0))</x:f>
      </x:c>
      <x:c r="F42" s="241"/>
      <x:c r="G42" s="241"/>
      <x:c r="H42" s="241"/>
      <x:c r="I42" s="241"/>
      <x:c r="J42" s="243"/>
      <x:c r="K42" s="241"/>
      <x:c r="L42" s="241"/>
      <x:c r="M42" s="241"/>
      <x:c r="N42" s="242" t="str">
        <x:f>IF($B42="","",IF($K42="停用","停用",IF($K42="退回補件","退回補件",IF(OR($A42="",$F42="",$G42="",$H42="",$I42="",$J42="",$L42="",$M42=""),IF($K42="已核定","已核定但資料未完整","待補欄位或核定"),IF($K42="已核定","可生效","待主管核定")))))</x:f>
      </x:c>
      <x:c r="O42" s="242" t="str">
        <x:f>IF($B42="","",IF($N42&lt;&gt;"可生效","未生效",IF(COUNTIFS($B$7:$B$106,$B42,$J$7:$J$106,$J42,$N$7:$N$106,"可生效")&gt;1,"同日重複核定",IF($J42&gt;TODAY(),"待生效",IF(COUNTIFS($B$7:$B$106,$B42,$N$7:$N$106,"可生效",$J$7:$J$106,"&gt;"&amp;$J42,$J$7:$J$106,"&lt;="&amp;TODAY())&gt;0,"已由後續紀錄取代","生效中")))))</x:f>
      </x:c>
      <x:c r="P42" s="242" t="str">
        <x:f>IF($O42="生效中",$B42,"")</x:f>
      </x:c>
    </x:row>
    <x:row r="43">
      <x:c r="A43" s="241"/>
      <x:c r="B43" s="241"/>
      <x:c r="C43" s="242" t="str">
        <x:f>IF($B43="","",_xlfn.XLOOKUP($B43,'試行員工主檔'!$A$7:$A$20,'試行員工主檔'!$B$7:$B$20,"未建立",0))</x:f>
      </x:c>
      <x:c r="D43" s="242" t="str">
        <x:f>IF($B43="","",_xlfn.XLOOKUP($B43,'試行員工主檔'!$A$7:$A$20,'試行員工主檔'!$C$7:$C$20,"未建立",0))</x:f>
      </x:c>
      <x:c r="E43" s="242" t="str">
        <x:f>IF($B43="","",_xlfn.XLOOKUP($B43,'試行員工主檔'!$A$7:$A$20,'試行員工主檔'!$D$7:$D$20,"未建立",0))</x:f>
      </x:c>
      <x:c r="F43" s="241"/>
      <x:c r="G43" s="241"/>
      <x:c r="H43" s="241"/>
      <x:c r="I43" s="241"/>
      <x:c r="J43" s="243"/>
      <x:c r="K43" s="241"/>
      <x:c r="L43" s="241"/>
      <x:c r="M43" s="241"/>
      <x:c r="N43" s="242" t="str">
        <x:f>IF($B43="","",IF($K43="停用","停用",IF($K43="退回補件","退回補件",IF(OR($A43="",$F43="",$G43="",$H43="",$I43="",$J43="",$L43="",$M43=""),IF($K43="已核定","已核定但資料未完整","待補欄位或核定"),IF($K43="已核定","可生效","待主管核定")))))</x:f>
      </x:c>
      <x:c r="O43" s="242" t="str">
        <x:f>IF($B43="","",IF($N43&lt;&gt;"可生效","未生效",IF(COUNTIFS($B$7:$B$106,$B43,$J$7:$J$106,$J43,$N$7:$N$106,"可生效")&gt;1,"同日重複核定",IF($J43&gt;TODAY(),"待生效",IF(COUNTIFS($B$7:$B$106,$B43,$N$7:$N$106,"可生效",$J$7:$J$106,"&gt;"&amp;$J43,$J$7:$J$106,"&lt;="&amp;TODAY())&gt;0,"已由後續紀錄取代","生效中")))))</x:f>
      </x:c>
      <x:c r="P43" s="242" t="str">
        <x:f>IF($O43="生效中",$B43,"")</x:f>
      </x:c>
    </x:row>
    <x:row r="44">
      <x:c r="A44" s="241"/>
      <x:c r="B44" s="241"/>
      <x:c r="C44" s="242" t="str">
        <x:f>IF($B44="","",_xlfn.XLOOKUP($B44,'試行員工主檔'!$A$7:$A$20,'試行員工主檔'!$B$7:$B$20,"未建立",0))</x:f>
      </x:c>
      <x:c r="D44" s="242" t="str">
        <x:f>IF($B44="","",_xlfn.XLOOKUP($B44,'試行員工主檔'!$A$7:$A$20,'試行員工主檔'!$C$7:$C$20,"未建立",0))</x:f>
      </x:c>
      <x:c r="E44" s="242" t="str">
        <x:f>IF($B44="","",_xlfn.XLOOKUP($B44,'試行員工主檔'!$A$7:$A$20,'試行員工主檔'!$D$7:$D$20,"未建立",0))</x:f>
      </x:c>
      <x:c r="F44" s="241"/>
      <x:c r="G44" s="241"/>
      <x:c r="H44" s="241"/>
      <x:c r="I44" s="241"/>
      <x:c r="J44" s="243"/>
      <x:c r="K44" s="241"/>
      <x:c r="L44" s="241"/>
      <x:c r="M44" s="241"/>
      <x:c r="N44" s="242" t="str">
        <x:f>IF($B44="","",IF($K44="停用","停用",IF($K44="退回補件","退回補件",IF(OR($A44="",$F44="",$G44="",$H44="",$I44="",$J44="",$L44="",$M44=""),IF($K44="已核定","已核定但資料未完整","待補欄位或核定"),IF($K44="已核定","可生效","待主管核定")))))</x:f>
      </x:c>
      <x:c r="O44" s="242" t="str">
        <x:f>IF($B44="","",IF($N44&lt;&gt;"可生效","未生效",IF(COUNTIFS($B$7:$B$106,$B44,$J$7:$J$106,$J44,$N$7:$N$106,"可生效")&gt;1,"同日重複核定",IF($J44&gt;TODAY(),"待生效",IF(COUNTIFS($B$7:$B$106,$B44,$N$7:$N$106,"可生效",$J$7:$J$106,"&gt;"&amp;$J44,$J$7:$J$106,"&lt;="&amp;TODAY())&gt;0,"已由後續紀錄取代","生效中")))))</x:f>
      </x:c>
      <x:c r="P44" s="242" t="str">
        <x:f>IF($O44="生效中",$B44,"")</x:f>
      </x:c>
    </x:row>
    <x:row r="45">
      <x:c r="A45" s="241"/>
      <x:c r="B45" s="241"/>
      <x:c r="C45" s="242" t="str">
        <x:f>IF($B45="","",_xlfn.XLOOKUP($B45,'試行員工主檔'!$A$7:$A$20,'試行員工主檔'!$B$7:$B$20,"未建立",0))</x:f>
      </x:c>
      <x:c r="D45" s="242" t="str">
        <x:f>IF($B45="","",_xlfn.XLOOKUP($B45,'試行員工主檔'!$A$7:$A$20,'試行員工主檔'!$C$7:$C$20,"未建立",0))</x:f>
      </x:c>
      <x:c r="E45" s="242" t="str">
        <x:f>IF($B45="","",_xlfn.XLOOKUP($B45,'試行員工主檔'!$A$7:$A$20,'試行員工主檔'!$D$7:$D$20,"未建立",0))</x:f>
      </x:c>
      <x:c r="F45" s="241"/>
      <x:c r="G45" s="241"/>
      <x:c r="H45" s="241"/>
      <x:c r="I45" s="241"/>
      <x:c r="J45" s="243"/>
      <x:c r="K45" s="241"/>
      <x:c r="L45" s="241"/>
      <x:c r="M45" s="241"/>
      <x:c r="N45" s="242" t="str">
        <x:f>IF($B45="","",IF($K45="停用","停用",IF($K45="退回補件","退回補件",IF(OR($A45="",$F45="",$G45="",$H45="",$I45="",$J45="",$L45="",$M45=""),IF($K45="已核定","已核定但資料未完整","待補欄位或核定"),IF($K45="已核定","可生效","待主管核定")))))</x:f>
      </x:c>
      <x:c r="O45" s="242" t="str">
        <x:f>IF($B45="","",IF($N45&lt;&gt;"可生效","未生效",IF(COUNTIFS($B$7:$B$106,$B45,$J$7:$J$106,$J45,$N$7:$N$106,"可生效")&gt;1,"同日重複核定",IF($J45&gt;TODAY(),"待生效",IF(COUNTIFS($B$7:$B$106,$B45,$N$7:$N$106,"可生效",$J$7:$J$106,"&gt;"&amp;$J45,$J$7:$J$106,"&lt;="&amp;TODAY())&gt;0,"已由後續紀錄取代","生效中")))))</x:f>
      </x:c>
      <x:c r="P45" s="242" t="str">
        <x:f>IF($O45="生效中",$B45,"")</x:f>
      </x:c>
    </x:row>
    <x:row r="46">
      <x:c r="A46" s="241"/>
      <x:c r="B46" s="241"/>
      <x:c r="C46" s="242" t="str">
        <x:f>IF($B46="","",_xlfn.XLOOKUP($B46,'試行員工主檔'!$A$7:$A$20,'試行員工主檔'!$B$7:$B$20,"未建立",0))</x:f>
      </x:c>
      <x:c r="D46" s="242" t="str">
        <x:f>IF($B46="","",_xlfn.XLOOKUP($B46,'試行員工主檔'!$A$7:$A$20,'試行員工主檔'!$C$7:$C$20,"未建立",0))</x:f>
      </x:c>
      <x:c r="E46" s="242" t="str">
        <x:f>IF($B46="","",_xlfn.XLOOKUP($B46,'試行員工主檔'!$A$7:$A$20,'試行員工主檔'!$D$7:$D$20,"未建立",0))</x:f>
      </x:c>
      <x:c r="F46" s="241"/>
      <x:c r="G46" s="241"/>
      <x:c r="H46" s="241"/>
      <x:c r="I46" s="241"/>
      <x:c r="J46" s="243"/>
      <x:c r="K46" s="241"/>
      <x:c r="L46" s="241"/>
      <x:c r="M46" s="241"/>
      <x:c r="N46" s="242" t="str">
        <x:f>IF($B46="","",IF($K46="停用","停用",IF($K46="退回補件","退回補件",IF(OR($A46="",$F46="",$G46="",$H46="",$I46="",$J46="",$L46="",$M46=""),IF($K46="已核定","已核定但資料未完整","待補欄位或核定"),IF($K46="已核定","可生效","待主管核定")))))</x:f>
      </x:c>
      <x:c r="O46" s="242" t="str">
        <x:f>IF($B46="","",IF($N46&lt;&gt;"可生效","未生效",IF(COUNTIFS($B$7:$B$106,$B46,$J$7:$J$106,$J46,$N$7:$N$106,"可生效")&gt;1,"同日重複核定",IF($J46&gt;TODAY(),"待生效",IF(COUNTIFS($B$7:$B$106,$B46,$N$7:$N$106,"可生效",$J$7:$J$106,"&gt;"&amp;$J46,$J$7:$J$106,"&lt;="&amp;TODAY())&gt;0,"已由後續紀錄取代","生效中")))))</x:f>
      </x:c>
      <x:c r="P46" s="242" t="str">
        <x:f>IF($O46="生效中",$B46,"")</x:f>
      </x:c>
    </x:row>
    <x:row r="47">
      <x:c r="A47" s="241"/>
      <x:c r="B47" s="241"/>
      <x:c r="C47" s="242" t="str">
        <x:f>IF($B47="","",_xlfn.XLOOKUP($B47,'試行員工主檔'!$A$7:$A$20,'試行員工主檔'!$B$7:$B$20,"未建立",0))</x:f>
      </x:c>
      <x:c r="D47" s="242" t="str">
        <x:f>IF($B47="","",_xlfn.XLOOKUP($B47,'試行員工主檔'!$A$7:$A$20,'試行員工主檔'!$C$7:$C$20,"未建立",0))</x:f>
      </x:c>
      <x:c r="E47" s="242" t="str">
        <x:f>IF($B47="","",_xlfn.XLOOKUP($B47,'試行員工主檔'!$A$7:$A$20,'試行員工主檔'!$D$7:$D$20,"未建立",0))</x:f>
      </x:c>
      <x:c r="F47" s="241"/>
      <x:c r="G47" s="241"/>
      <x:c r="H47" s="241"/>
      <x:c r="I47" s="241"/>
      <x:c r="J47" s="243"/>
      <x:c r="K47" s="241"/>
      <x:c r="L47" s="241"/>
      <x:c r="M47" s="241"/>
      <x:c r="N47" s="242" t="str">
        <x:f>IF($B47="","",IF($K47="停用","停用",IF($K47="退回補件","退回補件",IF(OR($A47="",$F47="",$G47="",$H47="",$I47="",$J47="",$L47="",$M47=""),IF($K47="已核定","已核定但資料未完整","待補欄位或核定"),IF($K47="已核定","可生效","待主管核定")))))</x:f>
      </x:c>
      <x:c r="O47" s="242" t="str">
        <x:f>IF($B47="","",IF($N47&lt;&gt;"可生效","未生效",IF(COUNTIFS($B$7:$B$106,$B47,$J$7:$J$106,$J47,$N$7:$N$106,"可生效")&gt;1,"同日重複核定",IF($J47&gt;TODAY(),"待生效",IF(COUNTIFS($B$7:$B$106,$B47,$N$7:$N$106,"可生效",$J$7:$J$106,"&gt;"&amp;$J47,$J$7:$J$106,"&lt;="&amp;TODAY())&gt;0,"已由後續紀錄取代","生效中")))))</x:f>
      </x:c>
      <x:c r="P47" s="242" t="str">
        <x:f>IF($O47="生效中",$B47,"")</x:f>
      </x:c>
    </x:row>
    <x:row r="48">
      <x:c r="A48" s="241"/>
      <x:c r="B48" s="241"/>
      <x:c r="C48" s="242" t="str">
        <x:f>IF($B48="","",_xlfn.XLOOKUP($B48,'試行員工主檔'!$A$7:$A$20,'試行員工主檔'!$B$7:$B$20,"未建立",0))</x:f>
      </x:c>
      <x:c r="D48" s="242" t="str">
        <x:f>IF($B48="","",_xlfn.XLOOKUP($B48,'試行員工主檔'!$A$7:$A$20,'試行員工主檔'!$C$7:$C$20,"未建立",0))</x:f>
      </x:c>
      <x:c r="E48" s="242" t="str">
        <x:f>IF($B48="","",_xlfn.XLOOKUP($B48,'試行員工主檔'!$A$7:$A$20,'試行員工主檔'!$D$7:$D$20,"未建立",0))</x:f>
      </x:c>
      <x:c r="F48" s="241"/>
      <x:c r="G48" s="241"/>
      <x:c r="H48" s="241"/>
      <x:c r="I48" s="241"/>
      <x:c r="J48" s="243"/>
      <x:c r="K48" s="241"/>
      <x:c r="L48" s="241"/>
      <x:c r="M48" s="241"/>
      <x:c r="N48" s="242" t="str">
        <x:f>IF($B48="","",IF($K48="停用","停用",IF($K48="退回補件","退回補件",IF(OR($A48="",$F48="",$G48="",$H48="",$I48="",$J48="",$L48="",$M48=""),IF($K48="已核定","已核定但資料未完整","待補欄位或核定"),IF($K48="已核定","可生效","待主管核定")))))</x:f>
      </x:c>
      <x:c r="O48" s="242" t="str">
        <x:f>IF($B48="","",IF($N48&lt;&gt;"可生效","未生效",IF(COUNTIFS($B$7:$B$106,$B48,$J$7:$J$106,$J48,$N$7:$N$106,"可生效")&gt;1,"同日重複核定",IF($J48&gt;TODAY(),"待生效",IF(COUNTIFS($B$7:$B$106,$B48,$N$7:$N$106,"可生效",$J$7:$J$106,"&gt;"&amp;$J48,$J$7:$J$106,"&lt;="&amp;TODAY())&gt;0,"已由後續紀錄取代","生效中")))))</x:f>
      </x:c>
      <x:c r="P48" s="242" t="str">
        <x:f>IF($O48="生效中",$B48,"")</x:f>
      </x:c>
    </x:row>
    <x:row r="49">
      <x:c r="A49" s="241"/>
      <x:c r="B49" s="241"/>
      <x:c r="C49" s="242" t="str">
        <x:f>IF($B49="","",_xlfn.XLOOKUP($B49,'試行員工主檔'!$A$7:$A$20,'試行員工主檔'!$B$7:$B$20,"未建立",0))</x:f>
      </x:c>
      <x:c r="D49" s="242" t="str">
        <x:f>IF($B49="","",_xlfn.XLOOKUP($B49,'試行員工主檔'!$A$7:$A$20,'試行員工主檔'!$C$7:$C$20,"未建立",0))</x:f>
      </x:c>
      <x:c r="E49" s="242" t="str">
        <x:f>IF($B49="","",_xlfn.XLOOKUP($B49,'試行員工主檔'!$A$7:$A$20,'試行員工主檔'!$D$7:$D$20,"未建立",0))</x:f>
      </x:c>
      <x:c r="F49" s="241"/>
      <x:c r="G49" s="241"/>
      <x:c r="H49" s="241"/>
      <x:c r="I49" s="241"/>
      <x:c r="J49" s="243"/>
      <x:c r="K49" s="241"/>
      <x:c r="L49" s="241"/>
      <x:c r="M49" s="241"/>
      <x:c r="N49" s="242" t="str">
        <x:f>IF($B49="","",IF($K49="停用","停用",IF($K49="退回補件","退回補件",IF(OR($A49="",$F49="",$G49="",$H49="",$I49="",$J49="",$L49="",$M49=""),IF($K49="已核定","已核定但資料未完整","待補欄位或核定"),IF($K49="已核定","可生效","待主管核定")))))</x:f>
      </x:c>
      <x:c r="O49" s="242" t="str">
        <x:f>IF($B49="","",IF($N49&lt;&gt;"可生效","未生效",IF(COUNTIFS($B$7:$B$106,$B49,$J$7:$J$106,$J49,$N$7:$N$106,"可生效")&gt;1,"同日重複核定",IF($J49&gt;TODAY(),"待生效",IF(COUNTIFS($B$7:$B$106,$B49,$N$7:$N$106,"可生效",$J$7:$J$106,"&gt;"&amp;$J49,$J$7:$J$106,"&lt;="&amp;TODAY())&gt;0,"已由後續紀錄取代","生效中")))))</x:f>
      </x:c>
      <x:c r="P49" s="242" t="str">
        <x:f>IF($O49="生效中",$B49,"")</x:f>
      </x:c>
    </x:row>
    <x:row r="50">
      <x:c r="A50" s="241"/>
      <x:c r="B50" s="241"/>
      <x:c r="C50" s="242" t="str">
        <x:f>IF($B50="","",_xlfn.XLOOKUP($B50,'試行員工主檔'!$A$7:$A$20,'試行員工主檔'!$B$7:$B$20,"未建立",0))</x:f>
      </x:c>
      <x:c r="D50" s="242" t="str">
        <x:f>IF($B50="","",_xlfn.XLOOKUP($B50,'試行員工主檔'!$A$7:$A$20,'試行員工主檔'!$C$7:$C$20,"未建立",0))</x:f>
      </x:c>
      <x:c r="E50" s="242" t="str">
        <x:f>IF($B50="","",_xlfn.XLOOKUP($B50,'試行員工主檔'!$A$7:$A$20,'試行員工主檔'!$D$7:$D$20,"未建立",0))</x:f>
      </x:c>
      <x:c r="F50" s="241"/>
      <x:c r="G50" s="241"/>
      <x:c r="H50" s="241"/>
      <x:c r="I50" s="241"/>
      <x:c r="J50" s="243"/>
      <x:c r="K50" s="241"/>
      <x:c r="L50" s="241"/>
      <x:c r="M50" s="241"/>
      <x:c r="N50" s="242" t="str">
        <x:f>IF($B50="","",IF($K50="停用","停用",IF($K50="退回補件","退回補件",IF(OR($A50="",$F50="",$G50="",$H50="",$I50="",$J50="",$L50="",$M50=""),IF($K50="已核定","已核定但資料未完整","待補欄位或核定"),IF($K50="已核定","可生效","待主管核定")))))</x:f>
      </x:c>
      <x:c r="O50" s="242" t="str">
        <x:f>IF($B50="","",IF($N50&lt;&gt;"可生效","未生效",IF(COUNTIFS($B$7:$B$106,$B50,$J$7:$J$106,$J50,$N$7:$N$106,"可生效")&gt;1,"同日重複核定",IF($J50&gt;TODAY(),"待生效",IF(COUNTIFS($B$7:$B$106,$B50,$N$7:$N$106,"可生效",$J$7:$J$106,"&gt;"&amp;$J50,$J$7:$J$106,"&lt;="&amp;TODAY())&gt;0,"已由後續紀錄取代","生效中")))))</x:f>
      </x:c>
      <x:c r="P50" s="242" t="str">
        <x:f>IF($O50="生效中",$B50,"")</x:f>
      </x:c>
    </x:row>
    <x:row r="51">
      <x:c r="A51" s="241"/>
      <x:c r="B51" s="241"/>
      <x:c r="C51" s="242" t="str">
        <x:f>IF($B51="","",_xlfn.XLOOKUP($B51,'試行員工主檔'!$A$7:$A$20,'試行員工主檔'!$B$7:$B$20,"未建立",0))</x:f>
      </x:c>
      <x:c r="D51" s="242" t="str">
        <x:f>IF($B51="","",_xlfn.XLOOKUP($B51,'試行員工主檔'!$A$7:$A$20,'試行員工主檔'!$C$7:$C$20,"未建立",0))</x:f>
      </x:c>
      <x:c r="E51" s="242" t="str">
        <x:f>IF($B51="","",_xlfn.XLOOKUP($B51,'試行員工主檔'!$A$7:$A$20,'試行員工主檔'!$D$7:$D$20,"未建立",0))</x:f>
      </x:c>
      <x:c r="F51" s="241"/>
      <x:c r="G51" s="241"/>
      <x:c r="H51" s="241"/>
      <x:c r="I51" s="241"/>
      <x:c r="J51" s="243"/>
      <x:c r="K51" s="241"/>
      <x:c r="L51" s="241"/>
      <x:c r="M51" s="241"/>
      <x:c r="N51" s="242" t="str">
        <x:f>IF($B51="","",IF($K51="停用","停用",IF($K51="退回補件","退回補件",IF(OR($A51="",$F51="",$G51="",$H51="",$I51="",$J51="",$L51="",$M51=""),IF($K51="已核定","已核定但資料未完整","待補欄位或核定"),IF($K51="已核定","可生效","待主管核定")))))</x:f>
      </x:c>
      <x:c r="O51" s="242" t="str">
        <x:f>IF($B51="","",IF($N51&lt;&gt;"可生效","未生效",IF(COUNTIFS($B$7:$B$106,$B51,$J$7:$J$106,$J51,$N$7:$N$106,"可生效")&gt;1,"同日重複核定",IF($J51&gt;TODAY(),"待生效",IF(COUNTIFS($B$7:$B$106,$B51,$N$7:$N$106,"可生效",$J$7:$J$106,"&gt;"&amp;$J51,$J$7:$J$106,"&lt;="&amp;TODAY())&gt;0,"已由後續紀錄取代","生效中")))))</x:f>
      </x:c>
      <x:c r="P51" s="242" t="str">
        <x:f>IF($O51="生效中",$B51,"")</x:f>
      </x:c>
    </x:row>
    <x:row r="52">
      <x:c r="A52" s="241"/>
      <x:c r="B52" s="241"/>
      <x:c r="C52" s="242" t="str">
        <x:f>IF($B52="","",_xlfn.XLOOKUP($B52,'試行員工主檔'!$A$7:$A$20,'試行員工主檔'!$B$7:$B$20,"未建立",0))</x:f>
      </x:c>
      <x:c r="D52" s="242" t="str">
        <x:f>IF($B52="","",_xlfn.XLOOKUP($B52,'試行員工主檔'!$A$7:$A$20,'試行員工主檔'!$C$7:$C$20,"未建立",0))</x:f>
      </x:c>
      <x:c r="E52" s="242" t="str">
        <x:f>IF($B52="","",_xlfn.XLOOKUP($B52,'試行員工主檔'!$A$7:$A$20,'試行員工主檔'!$D$7:$D$20,"未建立",0))</x:f>
      </x:c>
      <x:c r="F52" s="241"/>
      <x:c r="G52" s="241"/>
      <x:c r="H52" s="241"/>
      <x:c r="I52" s="241"/>
      <x:c r="J52" s="243"/>
      <x:c r="K52" s="241"/>
      <x:c r="L52" s="241"/>
      <x:c r="M52" s="241"/>
      <x:c r="N52" s="242" t="str">
        <x:f>IF($B52="","",IF($K52="停用","停用",IF($K52="退回補件","退回補件",IF(OR($A52="",$F52="",$G52="",$H52="",$I52="",$J52="",$L52="",$M52=""),IF($K52="已核定","已核定但資料未完整","待補欄位或核定"),IF($K52="已核定","可生效","待主管核定")))))</x:f>
      </x:c>
      <x:c r="O52" s="242" t="str">
        <x:f>IF($B52="","",IF($N52&lt;&gt;"可生效","未生效",IF(COUNTIFS($B$7:$B$106,$B52,$J$7:$J$106,$J52,$N$7:$N$106,"可生效")&gt;1,"同日重複核定",IF($J52&gt;TODAY(),"待生效",IF(COUNTIFS($B$7:$B$106,$B52,$N$7:$N$106,"可生效",$J$7:$J$106,"&gt;"&amp;$J52,$J$7:$J$106,"&lt;="&amp;TODAY())&gt;0,"已由後續紀錄取代","生效中")))))</x:f>
      </x:c>
      <x:c r="P52" s="242" t="str">
        <x:f>IF($O52="生效中",$B52,"")</x:f>
      </x:c>
    </x:row>
    <x:row r="53">
      <x:c r="A53" s="241"/>
      <x:c r="B53" s="241"/>
      <x:c r="C53" s="242" t="str">
        <x:f>IF($B53="","",_xlfn.XLOOKUP($B53,'試行員工主檔'!$A$7:$A$20,'試行員工主檔'!$B$7:$B$20,"未建立",0))</x:f>
      </x:c>
      <x:c r="D53" s="242" t="str">
        <x:f>IF($B53="","",_xlfn.XLOOKUP($B53,'試行員工主檔'!$A$7:$A$20,'試行員工主檔'!$C$7:$C$20,"未建立",0))</x:f>
      </x:c>
      <x:c r="E53" s="242" t="str">
        <x:f>IF($B53="","",_xlfn.XLOOKUP($B53,'試行員工主檔'!$A$7:$A$20,'試行員工主檔'!$D$7:$D$20,"未建立",0))</x:f>
      </x:c>
      <x:c r="F53" s="241"/>
      <x:c r="G53" s="241"/>
      <x:c r="H53" s="241"/>
      <x:c r="I53" s="241"/>
      <x:c r="J53" s="243"/>
      <x:c r="K53" s="241"/>
      <x:c r="L53" s="241"/>
      <x:c r="M53" s="241"/>
      <x:c r="N53" s="242" t="str">
        <x:f>IF($B53="","",IF($K53="停用","停用",IF($K53="退回補件","退回補件",IF(OR($A53="",$F53="",$G53="",$H53="",$I53="",$J53="",$L53="",$M53=""),IF($K53="已核定","已核定但資料未完整","待補欄位或核定"),IF($K53="已核定","可生效","待主管核定")))))</x:f>
      </x:c>
      <x:c r="O53" s="242" t="str">
        <x:f>IF($B53="","",IF($N53&lt;&gt;"可生效","未生效",IF(COUNTIFS($B$7:$B$106,$B53,$J$7:$J$106,$J53,$N$7:$N$106,"可生效")&gt;1,"同日重複核定",IF($J53&gt;TODAY(),"待生效",IF(COUNTIFS($B$7:$B$106,$B53,$N$7:$N$106,"可生效",$J$7:$J$106,"&gt;"&amp;$J53,$J$7:$J$106,"&lt;="&amp;TODAY())&gt;0,"已由後續紀錄取代","生效中")))))</x:f>
      </x:c>
      <x:c r="P53" s="242" t="str">
        <x:f>IF($O53="生效中",$B53,"")</x:f>
      </x:c>
    </x:row>
    <x:row r="54">
      <x:c r="A54" s="241"/>
      <x:c r="B54" s="241"/>
      <x:c r="C54" s="242" t="str">
        <x:f>IF($B54="","",_xlfn.XLOOKUP($B54,'試行員工主檔'!$A$7:$A$20,'試行員工主檔'!$B$7:$B$20,"未建立",0))</x:f>
      </x:c>
      <x:c r="D54" s="242" t="str">
        <x:f>IF($B54="","",_xlfn.XLOOKUP($B54,'試行員工主檔'!$A$7:$A$20,'試行員工主檔'!$C$7:$C$20,"未建立",0))</x:f>
      </x:c>
      <x:c r="E54" s="242" t="str">
        <x:f>IF($B54="","",_xlfn.XLOOKUP($B54,'試行員工主檔'!$A$7:$A$20,'試行員工主檔'!$D$7:$D$20,"未建立",0))</x:f>
      </x:c>
      <x:c r="F54" s="241"/>
      <x:c r="G54" s="241"/>
      <x:c r="H54" s="241"/>
      <x:c r="I54" s="241"/>
      <x:c r="J54" s="243"/>
      <x:c r="K54" s="241"/>
      <x:c r="L54" s="241"/>
      <x:c r="M54" s="241"/>
      <x:c r="N54" s="242" t="str">
        <x:f>IF($B54="","",IF($K54="停用","停用",IF($K54="退回補件","退回補件",IF(OR($A54="",$F54="",$G54="",$H54="",$I54="",$J54="",$L54="",$M54=""),IF($K54="已核定","已核定但資料未完整","待補欄位或核定"),IF($K54="已核定","可生效","待主管核定")))))</x:f>
      </x:c>
      <x:c r="O54" s="242" t="str">
        <x:f>IF($B54="","",IF($N54&lt;&gt;"可生效","未生效",IF(COUNTIFS($B$7:$B$106,$B54,$J$7:$J$106,$J54,$N$7:$N$106,"可生效")&gt;1,"同日重複核定",IF($J54&gt;TODAY(),"待生效",IF(COUNTIFS($B$7:$B$106,$B54,$N$7:$N$106,"可生效",$J$7:$J$106,"&gt;"&amp;$J54,$J$7:$J$106,"&lt;="&amp;TODAY())&gt;0,"已由後續紀錄取代","生效中")))))</x:f>
      </x:c>
      <x:c r="P54" s="242" t="str">
        <x:f>IF($O54="生效中",$B54,"")</x:f>
      </x:c>
    </x:row>
    <x:row r="55">
      <x:c r="A55" s="241"/>
      <x:c r="B55" s="241"/>
      <x:c r="C55" s="242" t="str">
        <x:f>IF($B55="","",_xlfn.XLOOKUP($B55,'試行員工主檔'!$A$7:$A$20,'試行員工主檔'!$B$7:$B$20,"未建立",0))</x:f>
      </x:c>
      <x:c r="D55" s="242" t="str">
        <x:f>IF($B55="","",_xlfn.XLOOKUP($B55,'試行員工主檔'!$A$7:$A$20,'試行員工主檔'!$C$7:$C$20,"未建立",0))</x:f>
      </x:c>
      <x:c r="E55" s="242" t="str">
        <x:f>IF($B55="","",_xlfn.XLOOKUP($B55,'試行員工主檔'!$A$7:$A$20,'試行員工主檔'!$D$7:$D$20,"未建立",0))</x:f>
      </x:c>
      <x:c r="F55" s="241"/>
      <x:c r="G55" s="241"/>
      <x:c r="H55" s="241"/>
      <x:c r="I55" s="241"/>
      <x:c r="J55" s="243"/>
      <x:c r="K55" s="241"/>
      <x:c r="L55" s="241"/>
      <x:c r="M55" s="241"/>
      <x:c r="N55" s="242" t="str">
        <x:f>IF($B55="","",IF($K55="停用","停用",IF($K55="退回補件","退回補件",IF(OR($A55="",$F55="",$G55="",$H55="",$I55="",$J55="",$L55="",$M55=""),IF($K55="已核定","已核定但資料未完整","待補欄位或核定"),IF($K55="已核定","可生效","待主管核定")))))</x:f>
      </x:c>
      <x:c r="O55" s="242" t="str">
        <x:f>IF($B55="","",IF($N55&lt;&gt;"可生效","未生效",IF(COUNTIFS($B$7:$B$106,$B55,$J$7:$J$106,$J55,$N$7:$N$106,"可生效")&gt;1,"同日重複核定",IF($J55&gt;TODAY(),"待生效",IF(COUNTIFS($B$7:$B$106,$B55,$N$7:$N$106,"可生效",$J$7:$J$106,"&gt;"&amp;$J55,$J$7:$J$106,"&lt;="&amp;TODAY())&gt;0,"已由後續紀錄取代","生效中")))))</x:f>
      </x:c>
      <x:c r="P55" s="242" t="str">
        <x:f>IF($O55="生效中",$B55,"")</x:f>
      </x:c>
    </x:row>
    <x:row r="56">
      <x:c r="A56" s="241"/>
      <x:c r="B56" s="241"/>
      <x:c r="C56" s="242" t="str">
        <x:f>IF($B56="","",_xlfn.XLOOKUP($B56,'試行員工主檔'!$A$7:$A$20,'試行員工主檔'!$B$7:$B$20,"未建立",0))</x:f>
      </x:c>
      <x:c r="D56" s="242" t="str">
        <x:f>IF($B56="","",_xlfn.XLOOKUP($B56,'試行員工主檔'!$A$7:$A$20,'試行員工主檔'!$C$7:$C$20,"未建立",0))</x:f>
      </x:c>
      <x:c r="E56" s="242" t="str">
        <x:f>IF($B56="","",_xlfn.XLOOKUP($B56,'試行員工主檔'!$A$7:$A$20,'試行員工主檔'!$D$7:$D$20,"未建立",0))</x:f>
      </x:c>
      <x:c r="F56" s="241"/>
      <x:c r="G56" s="241"/>
      <x:c r="H56" s="241"/>
      <x:c r="I56" s="241"/>
      <x:c r="J56" s="243"/>
      <x:c r="K56" s="241"/>
      <x:c r="L56" s="241"/>
      <x:c r="M56" s="241"/>
      <x:c r="N56" s="242" t="str">
        <x:f>IF($B56="","",IF($K56="停用","停用",IF($K56="退回補件","退回補件",IF(OR($A56="",$F56="",$G56="",$H56="",$I56="",$J56="",$L56="",$M56=""),IF($K56="已核定","已核定但資料未完整","待補欄位或核定"),IF($K56="已核定","可生效","待主管核定")))))</x:f>
      </x:c>
      <x:c r="O56" s="242" t="str">
        <x:f>IF($B56="","",IF($N56&lt;&gt;"可生效","未生效",IF(COUNTIFS($B$7:$B$106,$B56,$J$7:$J$106,$J56,$N$7:$N$106,"可生效")&gt;1,"同日重複核定",IF($J56&gt;TODAY(),"待生效",IF(COUNTIFS($B$7:$B$106,$B56,$N$7:$N$106,"可生效",$J$7:$J$106,"&gt;"&amp;$J56,$J$7:$J$106,"&lt;="&amp;TODAY())&gt;0,"已由後續紀錄取代","生效中")))))</x:f>
      </x:c>
      <x:c r="P56" s="242" t="str">
        <x:f>IF($O56="生效中",$B56,"")</x:f>
      </x:c>
    </x:row>
    <x:row r="57">
      <x:c r="A57" s="241"/>
      <x:c r="B57" s="241"/>
      <x:c r="C57" s="242" t="str">
        <x:f>IF($B57="","",_xlfn.XLOOKUP($B57,'試行員工主檔'!$A$7:$A$20,'試行員工主檔'!$B$7:$B$20,"未建立",0))</x:f>
      </x:c>
      <x:c r="D57" s="242" t="str">
        <x:f>IF($B57="","",_xlfn.XLOOKUP($B57,'試行員工主檔'!$A$7:$A$20,'試行員工主檔'!$C$7:$C$20,"未建立",0))</x:f>
      </x:c>
      <x:c r="E57" s="242" t="str">
        <x:f>IF($B57="","",_xlfn.XLOOKUP($B57,'試行員工主檔'!$A$7:$A$20,'試行員工主檔'!$D$7:$D$20,"未建立",0))</x:f>
      </x:c>
      <x:c r="F57" s="241"/>
      <x:c r="G57" s="241"/>
      <x:c r="H57" s="241"/>
      <x:c r="I57" s="241"/>
      <x:c r="J57" s="243"/>
      <x:c r="K57" s="241"/>
      <x:c r="L57" s="241"/>
      <x:c r="M57" s="241"/>
      <x:c r="N57" s="242" t="str">
        <x:f>IF($B57="","",IF($K57="停用","停用",IF($K57="退回補件","退回補件",IF(OR($A57="",$F57="",$G57="",$H57="",$I57="",$J57="",$L57="",$M57=""),IF($K57="已核定","已核定但資料未完整","待補欄位或核定"),IF($K57="已核定","可生效","待主管核定")))))</x:f>
      </x:c>
      <x:c r="O57" s="242" t="str">
        <x:f>IF($B57="","",IF($N57&lt;&gt;"可生效","未生效",IF(COUNTIFS($B$7:$B$106,$B57,$J$7:$J$106,$J57,$N$7:$N$106,"可生效")&gt;1,"同日重複核定",IF($J57&gt;TODAY(),"待生效",IF(COUNTIFS($B$7:$B$106,$B57,$N$7:$N$106,"可生效",$J$7:$J$106,"&gt;"&amp;$J57,$J$7:$J$106,"&lt;="&amp;TODAY())&gt;0,"已由後續紀錄取代","生效中")))))</x:f>
      </x:c>
      <x:c r="P57" s="242" t="str">
        <x:f>IF($O57="生效中",$B57,"")</x:f>
      </x:c>
    </x:row>
    <x:row r="58">
      <x:c r="A58" s="241"/>
      <x:c r="B58" s="241"/>
      <x:c r="C58" s="242" t="str">
        <x:f>IF($B58="","",_xlfn.XLOOKUP($B58,'試行員工主檔'!$A$7:$A$20,'試行員工主檔'!$B$7:$B$20,"未建立",0))</x:f>
      </x:c>
      <x:c r="D58" s="242" t="str">
        <x:f>IF($B58="","",_xlfn.XLOOKUP($B58,'試行員工主檔'!$A$7:$A$20,'試行員工主檔'!$C$7:$C$20,"未建立",0))</x:f>
      </x:c>
      <x:c r="E58" s="242" t="str">
        <x:f>IF($B58="","",_xlfn.XLOOKUP($B58,'試行員工主檔'!$A$7:$A$20,'試行員工主檔'!$D$7:$D$20,"未建立",0))</x:f>
      </x:c>
      <x:c r="F58" s="241"/>
      <x:c r="G58" s="241"/>
      <x:c r="H58" s="241"/>
      <x:c r="I58" s="241"/>
      <x:c r="J58" s="243"/>
      <x:c r="K58" s="241"/>
      <x:c r="L58" s="241"/>
      <x:c r="M58" s="241"/>
      <x:c r="N58" s="242" t="str">
        <x:f>IF($B58="","",IF($K58="停用","停用",IF($K58="退回補件","退回補件",IF(OR($A58="",$F58="",$G58="",$H58="",$I58="",$J58="",$L58="",$M58=""),IF($K58="已核定","已核定但資料未完整","待補欄位或核定"),IF($K58="已核定","可生效","待主管核定")))))</x:f>
      </x:c>
      <x:c r="O58" s="242" t="str">
        <x:f>IF($B58="","",IF($N58&lt;&gt;"可生效","未生效",IF(COUNTIFS($B$7:$B$106,$B58,$J$7:$J$106,$J58,$N$7:$N$106,"可生效")&gt;1,"同日重複核定",IF($J58&gt;TODAY(),"待生效",IF(COUNTIFS($B$7:$B$106,$B58,$N$7:$N$106,"可生效",$J$7:$J$106,"&gt;"&amp;$J58,$J$7:$J$106,"&lt;="&amp;TODAY())&gt;0,"已由後續紀錄取代","生效中")))))</x:f>
      </x:c>
      <x:c r="P58" s="242" t="str">
        <x:f>IF($O58="生效中",$B58,"")</x:f>
      </x:c>
    </x:row>
    <x:row r="59">
      <x:c r="A59" s="241"/>
      <x:c r="B59" s="241"/>
      <x:c r="C59" s="242" t="str">
        <x:f>IF($B59="","",_xlfn.XLOOKUP($B59,'試行員工主檔'!$A$7:$A$20,'試行員工主檔'!$B$7:$B$20,"未建立",0))</x:f>
      </x:c>
      <x:c r="D59" s="242" t="str">
        <x:f>IF($B59="","",_xlfn.XLOOKUP($B59,'試行員工主檔'!$A$7:$A$20,'試行員工主檔'!$C$7:$C$20,"未建立",0))</x:f>
      </x:c>
      <x:c r="E59" s="242" t="str">
        <x:f>IF($B59="","",_xlfn.XLOOKUP($B59,'試行員工主檔'!$A$7:$A$20,'試行員工主檔'!$D$7:$D$20,"未建立",0))</x:f>
      </x:c>
      <x:c r="F59" s="241"/>
      <x:c r="G59" s="241"/>
      <x:c r="H59" s="241"/>
      <x:c r="I59" s="241"/>
      <x:c r="J59" s="243"/>
      <x:c r="K59" s="241"/>
      <x:c r="L59" s="241"/>
      <x:c r="M59" s="241"/>
      <x:c r="N59" s="242" t="str">
        <x:f>IF($B59="","",IF($K59="停用","停用",IF($K59="退回補件","退回補件",IF(OR($A59="",$F59="",$G59="",$H59="",$I59="",$J59="",$L59="",$M59=""),IF($K59="已核定","已核定但資料未完整","待補欄位或核定"),IF($K59="已核定","可生效","待主管核定")))))</x:f>
      </x:c>
      <x:c r="O59" s="242" t="str">
        <x:f>IF($B59="","",IF($N59&lt;&gt;"可生效","未生效",IF(COUNTIFS($B$7:$B$106,$B59,$J$7:$J$106,$J59,$N$7:$N$106,"可生效")&gt;1,"同日重複核定",IF($J59&gt;TODAY(),"待生效",IF(COUNTIFS($B$7:$B$106,$B59,$N$7:$N$106,"可生效",$J$7:$J$106,"&gt;"&amp;$J59,$J$7:$J$106,"&lt;="&amp;TODAY())&gt;0,"已由後續紀錄取代","生效中")))))</x:f>
      </x:c>
      <x:c r="P59" s="242" t="str">
        <x:f>IF($O59="生效中",$B59,"")</x:f>
      </x:c>
    </x:row>
    <x:row r="60">
      <x:c r="A60" s="241"/>
      <x:c r="B60" s="241"/>
      <x:c r="C60" s="242" t="str">
        <x:f>IF($B60="","",_xlfn.XLOOKUP($B60,'試行員工主檔'!$A$7:$A$20,'試行員工主檔'!$B$7:$B$20,"未建立",0))</x:f>
      </x:c>
      <x:c r="D60" s="242" t="str">
        <x:f>IF($B60="","",_xlfn.XLOOKUP($B60,'試行員工主檔'!$A$7:$A$20,'試行員工主檔'!$C$7:$C$20,"未建立",0))</x:f>
      </x:c>
      <x:c r="E60" s="242" t="str">
        <x:f>IF($B60="","",_xlfn.XLOOKUP($B60,'試行員工主檔'!$A$7:$A$20,'試行員工主檔'!$D$7:$D$20,"未建立",0))</x:f>
      </x:c>
      <x:c r="F60" s="241"/>
      <x:c r="G60" s="241"/>
      <x:c r="H60" s="241"/>
      <x:c r="I60" s="241"/>
      <x:c r="J60" s="243"/>
      <x:c r="K60" s="241"/>
      <x:c r="L60" s="241"/>
      <x:c r="M60" s="241"/>
      <x:c r="N60" s="242" t="str">
        <x:f>IF($B60="","",IF($K60="停用","停用",IF($K60="退回補件","退回補件",IF(OR($A60="",$F60="",$G60="",$H60="",$I60="",$J60="",$L60="",$M60=""),IF($K60="已核定","已核定但資料未完整","待補欄位或核定"),IF($K60="已核定","可生效","待主管核定")))))</x:f>
      </x:c>
      <x:c r="O60" s="242" t="str">
        <x:f>IF($B60="","",IF($N60&lt;&gt;"可生效","未生效",IF(COUNTIFS($B$7:$B$106,$B60,$J$7:$J$106,$J60,$N$7:$N$106,"可生效")&gt;1,"同日重複核定",IF($J60&gt;TODAY(),"待生效",IF(COUNTIFS($B$7:$B$106,$B60,$N$7:$N$106,"可生效",$J$7:$J$106,"&gt;"&amp;$J60,$J$7:$J$106,"&lt;="&amp;TODAY())&gt;0,"已由後續紀錄取代","生效中")))))</x:f>
      </x:c>
      <x:c r="P60" s="242" t="str">
        <x:f>IF($O60="生效中",$B60,"")</x:f>
      </x:c>
    </x:row>
    <x:row r="61">
      <x:c r="A61" s="241"/>
      <x:c r="B61" s="241"/>
      <x:c r="C61" s="242" t="str">
        <x:f>IF($B61="","",_xlfn.XLOOKUP($B61,'試行員工主檔'!$A$7:$A$20,'試行員工主檔'!$B$7:$B$20,"未建立",0))</x:f>
      </x:c>
      <x:c r="D61" s="242" t="str">
        <x:f>IF($B61="","",_xlfn.XLOOKUP($B61,'試行員工主檔'!$A$7:$A$20,'試行員工主檔'!$C$7:$C$20,"未建立",0))</x:f>
      </x:c>
      <x:c r="E61" s="242" t="str">
        <x:f>IF($B61="","",_xlfn.XLOOKUP($B61,'試行員工主檔'!$A$7:$A$20,'試行員工主檔'!$D$7:$D$20,"未建立",0))</x:f>
      </x:c>
      <x:c r="F61" s="241"/>
      <x:c r="G61" s="241"/>
      <x:c r="H61" s="241"/>
      <x:c r="I61" s="241"/>
      <x:c r="J61" s="243"/>
      <x:c r="K61" s="241"/>
      <x:c r="L61" s="241"/>
      <x:c r="M61" s="241"/>
      <x:c r="N61" s="242" t="str">
        <x:f>IF($B61="","",IF($K61="停用","停用",IF($K61="退回補件","退回補件",IF(OR($A61="",$F61="",$G61="",$H61="",$I61="",$J61="",$L61="",$M61=""),IF($K61="已核定","已核定但資料未完整","待補欄位或核定"),IF($K61="已核定","可生效","待主管核定")))))</x:f>
      </x:c>
      <x:c r="O61" s="242" t="str">
        <x:f>IF($B61="","",IF($N61&lt;&gt;"可生效","未生效",IF(COUNTIFS($B$7:$B$106,$B61,$J$7:$J$106,$J61,$N$7:$N$106,"可生效")&gt;1,"同日重複核定",IF($J61&gt;TODAY(),"待生效",IF(COUNTIFS($B$7:$B$106,$B61,$N$7:$N$106,"可生效",$J$7:$J$106,"&gt;"&amp;$J61,$J$7:$J$106,"&lt;="&amp;TODAY())&gt;0,"已由後續紀錄取代","生效中")))))</x:f>
      </x:c>
      <x:c r="P61" s="242" t="str">
        <x:f>IF($O61="生效中",$B61,"")</x:f>
      </x:c>
    </x:row>
    <x:row r="62">
      <x:c r="A62" s="241"/>
      <x:c r="B62" s="241"/>
      <x:c r="C62" s="242" t="str">
        <x:f>IF($B62="","",_xlfn.XLOOKUP($B62,'試行員工主檔'!$A$7:$A$20,'試行員工主檔'!$B$7:$B$20,"未建立",0))</x:f>
      </x:c>
      <x:c r="D62" s="242" t="str">
        <x:f>IF($B62="","",_xlfn.XLOOKUP($B62,'試行員工主檔'!$A$7:$A$20,'試行員工主檔'!$C$7:$C$20,"未建立",0))</x:f>
      </x:c>
      <x:c r="E62" s="242" t="str">
        <x:f>IF($B62="","",_xlfn.XLOOKUP($B62,'試行員工主檔'!$A$7:$A$20,'試行員工主檔'!$D$7:$D$20,"未建立",0))</x:f>
      </x:c>
      <x:c r="F62" s="241"/>
      <x:c r="G62" s="241"/>
      <x:c r="H62" s="241"/>
      <x:c r="I62" s="241"/>
      <x:c r="J62" s="243"/>
      <x:c r="K62" s="241"/>
      <x:c r="L62" s="241"/>
      <x:c r="M62" s="241"/>
      <x:c r="N62" s="242" t="str">
        <x:f>IF($B62="","",IF($K62="停用","停用",IF($K62="退回補件","退回補件",IF(OR($A62="",$F62="",$G62="",$H62="",$I62="",$J62="",$L62="",$M62=""),IF($K62="已核定","已核定但資料未完整","待補欄位或核定"),IF($K62="已核定","可生效","待主管核定")))))</x:f>
      </x:c>
      <x:c r="O62" s="242" t="str">
        <x:f>IF($B62="","",IF($N62&lt;&gt;"可生效","未生效",IF(COUNTIFS($B$7:$B$106,$B62,$J$7:$J$106,$J62,$N$7:$N$106,"可生效")&gt;1,"同日重複核定",IF($J62&gt;TODAY(),"待生效",IF(COUNTIFS($B$7:$B$106,$B62,$N$7:$N$106,"可生效",$J$7:$J$106,"&gt;"&amp;$J62,$J$7:$J$106,"&lt;="&amp;TODAY())&gt;0,"已由後續紀錄取代","生效中")))))</x:f>
      </x:c>
      <x:c r="P62" s="242" t="str">
        <x:f>IF($O62="生效中",$B62,"")</x:f>
      </x:c>
    </x:row>
    <x:row r="63">
      <x:c r="A63" s="241"/>
      <x:c r="B63" s="241"/>
      <x:c r="C63" s="242" t="str">
        <x:f>IF($B63="","",_xlfn.XLOOKUP($B63,'試行員工主檔'!$A$7:$A$20,'試行員工主檔'!$B$7:$B$20,"未建立",0))</x:f>
      </x:c>
      <x:c r="D63" s="242" t="str">
        <x:f>IF($B63="","",_xlfn.XLOOKUP($B63,'試行員工主檔'!$A$7:$A$20,'試行員工主檔'!$C$7:$C$20,"未建立",0))</x:f>
      </x:c>
      <x:c r="E63" s="242" t="str">
        <x:f>IF($B63="","",_xlfn.XLOOKUP($B63,'試行員工主檔'!$A$7:$A$20,'試行員工主檔'!$D$7:$D$20,"未建立",0))</x:f>
      </x:c>
      <x:c r="F63" s="241"/>
      <x:c r="G63" s="241"/>
      <x:c r="H63" s="241"/>
      <x:c r="I63" s="241"/>
      <x:c r="J63" s="243"/>
      <x:c r="K63" s="241"/>
      <x:c r="L63" s="241"/>
      <x:c r="M63" s="241"/>
      <x:c r="N63" s="242" t="str">
        <x:f>IF($B63="","",IF($K63="停用","停用",IF($K63="退回補件","退回補件",IF(OR($A63="",$F63="",$G63="",$H63="",$I63="",$J63="",$L63="",$M63=""),IF($K63="已核定","已核定但資料未完整","待補欄位或核定"),IF($K63="已核定","可生效","待主管核定")))))</x:f>
      </x:c>
      <x:c r="O63" s="242" t="str">
        <x:f>IF($B63="","",IF($N63&lt;&gt;"可生效","未生效",IF(COUNTIFS($B$7:$B$106,$B63,$J$7:$J$106,$J63,$N$7:$N$106,"可生效")&gt;1,"同日重複核定",IF($J63&gt;TODAY(),"待生效",IF(COUNTIFS($B$7:$B$106,$B63,$N$7:$N$106,"可生效",$J$7:$J$106,"&gt;"&amp;$J63,$J$7:$J$106,"&lt;="&amp;TODAY())&gt;0,"已由後續紀錄取代","生效中")))))</x:f>
      </x:c>
      <x:c r="P63" s="242" t="str">
        <x:f>IF($O63="生效中",$B63,"")</x:f>
      </x:c>
    </x:row>
    <x:row r="64">
      <x:c r="A64" s="241"/>
      <x:c r="B64" s="241"/>
      <x:c r="C64" s="242" t="str">
        <x:f>IF($B64="","",_xlfn.XLOOKUP($B64,'試行員工主檔'!$A$7:$A$20,'試行員工主檔'!$B$7:$B$20,"未建立",0))</x:f>
      </x:c>
      <x:c r="D64" s="242" t="str">
        <x:f>IF($B64="","",_xlfn.XLOOKUP($B64,'試行員工主檔'!$A$7:$A$20,'試行員工主檔'!$C$7:$C$20,"未建立",0))</x:f>
      </x:c>
      <x:c r="E64" s="242" t="str">
        <x:f>IF($B64="","",_xlfn.XLOOKUP($B64,'試行員工主檔'!$A$7:$A$20,'試行員工主檔'!$D$7:$D$20,"未建立",0))</x:f>
      </x:c>
      <x:c r="F64" s="241"/>
      <x:c r="G64" s="241"/>
      <x:c r="H64" s="241"/>
      <x:c r="I64" s="241"/>
      <x:c r="J64" s="243"/>
      <x:c r="K64" s="241"/>
      <x:c r="L64" s="241"/>
      <x:c r="M64" s="241"/>
      <x:c r="N64" s="242" t="str">
        <x:f>IF($B64="","",IF($K64="停用","停用",IF($K64="退回補件","退回補件",IF(OR($A64="",$F64="",$G64="",$H64="",$I64="",$J64="",$L64="",$M64=""),IF($K64="已核定","已核定但資料未完整","待補欄位或核定"),IF($K64="已核定","可生效","待主管核定")))))</x:f>
      </x:c>
      <x:c r="O64" s="242" t="str">
        <x:f>IF($B64="","",IF($N64&lt;&gt;"可生效","未生效",IF(COUNTIFS($B$7:$B$106,$B64,$J$7:$J$106,$J64,$N$7:$N$106,"可生效")&gt;1,"同日重複核定",IF($J64&gt;TODAY(),"待生效",IF(COUNTIFS($B$7:$B$106,$B64,$N$7:$N$106,"可生效",$J$7:$J$106,"&gt;"&amp;$J64,$J$7:$J$106,"&lt;="&amp;TODAY())&gt;0,"已由後續紀錄取代","生效中")))))</x:f>
      </x:c>
      <x:c r="P64" s="242" t="str">
        <x:f>IF($O64="生效中",$B64,"")</x:f>
      </x:c>
    </x:row>
    <x:row r="65">
      <x:c r="A65" s="241"/>
      <x:c r="B65" s="241"/>
      <x:c r="C65" s="242" t="str">
        <x:f>IF($B65="","",_xlfn.XLOOKUP($B65,'試行員工主檔'!$A$7:$A$20,'試行員工主檔'!$B$7:$B$20,"未建立",0))</x:f>
      </x:c>
      <x:c r="D65" s="242" t="str">
        <x:f>IF($B65="","",_xlfn.XLOOKUP($B65,'試行員工主檔'!$A$7:$A$20,'試行員工主檔'!$C$7:$C$20,"未建立",0))</x:f>
      </x:c>
      <x:c r="E65" s="242" t="str">
        <x:f>IF($B65="","",_xlfn.XLOOKUP($B65,'試行員工主檔'!$A$7:$A$20,'試行員工主檔'!$D$7:$D$20,"未建立",0))</x:f>
      </x:c>
      <x:c r="F65" s="241"/>
      <x:c r="G65" s="241"/>
      <x:c r="H65" s="241"/>
      <x:c r="I65" s="241"/>
      <x:c r="J65" s="243"/>
      <x:c r="K65" s="241"/>
      <x:c r="L65" s="241"/>
      <x:c r="M65" s="241"/>
      <x:c r="N65" s="242" t="str">
        <x:f>IF($B65="","",IF($K65="停用","停用",IF($K65="退回補件","退回補件",IF(OR($A65="",$F65="",$G65="",$H65="",$I65="",$J65="",$L65="",$M65=""),IF($K65="已核定","已核定但資料未完整","待補欄位或核定"),IF($K65="已核定","可生效","待主管核定")))))</x:f>
      </x:c>
      <x:c r="O65" s="242" t="str">
        <x:f>IF($B65="","",IF($N65&lt;&gt;"可生效","未生效",IF(COUNTIFS($B$7:$B$106,$B65,$J$7:$J$106,$J65,$N$7:$N$106,"可生效")&gt;1,"同日重複核定",IF($J65&gt;TODAY(),"待生效",IF(COUNTIFS($B$7:$B$106,$B65,$N$7:$N$106,"可生效",$J$7:$J$106,"&gt;"&amp;$J65,$J$7:$J$106,"&lt;="&amp;TODAY())&gt;0,"已由後續紀錄取代","生效中")))))</x:f>
      </x:c>
      <x:c r="P65" s="242" t="str">
        <x:f>IF($O65="生效中",$B65,"")</x:f>
      </x:c>
    </x:row>
    <x:row r="66">
      <x:c r="A66" s="241"/>
      <x:c r="B66" s="241"/>
      <x:c r="C66" s="242" t="str">
        <x:f>IF($B66="","",_xlfn.XLOOKUP($B66,'試行員工主檔'!$A$7:$A$20,'試行員工主檔'!$B$7:$B$20,"未建立",0))</x:f>
      </x:c>
      <x:c r="D66" s="242" t="str">
        <x:f>IF($B66="","",_xlfn.XLOOKUP($B66,'試行員工主檔'!$A$7:$A$20,'試行員工主檔'!$C$7:$C$20,"未建立",0))</x:f>
      </x:c>
      <x:c r="E66" s="242" t="str">
        <x:f>IF($B66="","",_xlfn.XLOOKUP($B66,'試行員工主檔'!$A$7:$A$20,'試行員工主檔'!$D$7:$D$20,"未建立",0))</x:f>
      </x:c>
      <x:c r="F66" s="241"/>
      <x:c r="G66" s="241"/>
      <x:c r="H66" s="241"/>
      <x:c r="I66" s="241"/>
      <x:c r="J66" s="243"/>
      <x:c r="K66" s="241"/>
      <x:c r="L66" s="241"/>
      <x:c r="M66" s="241"/>
      <x:c r="N66" s="242" t="str">
        <x:f>IF($B66="","",IF($K66="停用","停用",IF($K66="退回補件","退回補件",IF(OR($A66="",$F66="",$G66="",$H66="",$I66="",$J66="",$L66="",$M66=""),IF($K66="已核定","已核定但資料未完整","待補欄位或核定"),IF($K66="已核定","可生效","待主管核定")))))</x:f>
      </x:c>
      <x:c r="O66" s="242" t="str">
        <x:f>IF($B66="","",IF($N66&lt;&gt;"可生效","未生效",IF(COUNTIFS($B$7:$B$106,$B66,$J$7:$J$106,$J66,$N$7:$N$106,"可生效")&gt;1,"同日重複核定",IF($J66&gt;TODAY(),"待生效",IF(COUNTIFS($B$7:$B$106,$B66,$N$7:$N$106,"可生效",$J$7:$J$106,"&gt;"&amp;$J66,$J$7:$J$106,"&lt;="&amp;TODAY())&gt;0,"已由後續紀錄取代","生效中")))))</x:f>
      </x:c>
      <x:c r="P66" s="242" t="str">
        <x:f>IF($O66="生效中",$B66,"")</x:f>
      </x:c>
    </x:row>
    <x:row r="67">
      <x:c r="A67" s="241"/>
      <x:c r="B67" s="241"/>
      <x:c r="C67" s="242" t="str">
        <x:f>IF($B67="","",_xlfn.XLOOKUP($B67,'試行員工主檔'!$A$7:$A$20,'試行員工主檔'!$B$7:$B$20,"未建立",0))</x:f>
      </x:c>
      <x:c r="D67" s="242" t="str">
        <x:f>IF($B67="","",_xlfn.XLOOKUP($B67,'試行員工主檔'!$A$7:$A$20,'試行員工主檔'!$C$7:$C$20,"未建立",0))</x:f>
      </x:c>
      <x:c r="E67" s="242" t="str">
        <x:f>IF($B67="","",_xlfn.XLOOKUP($B67,'試行員工主檔'!$A$7:$A$20,'試行員工主檔'!$D$7:$D$20,"未建立",0))</x:f>
      </x:c>
      <x:c r="F67" s="241"/>
      <x:c r="G67" s="241"/>
      <x:c r="H67" s="241"/>
      <x:c r="I67" s="241"/>
      <x:c r="J67" s="243"/>
      <x:c r="K67" s="241"/>
      <x:c r="L67" s="241"/>
      <x:c r="M67" s="241"/>
      <x:c r="N67" s="242" t="str">
        <x:f>IF($B67="","",IF($K67="停用","停用",IF($K67="退回補件","退回補件",IF(OR($A67="",$F67="",$G67="",$H67="",$I67="",$J67="",$L67="",$M67=""),IF($K67="已核定","已核定但資料未完整","待補欄位或核定"),IF($K67="已核定","可生效","待主管核定")))))</x:f>
      </x:c>
      <x:c r="O67" s="242" t="str">
        <x:f>IF($B67="","",IF($N67&lt;&gt;"可生效","未生效",IF(COUNTIFS($B$7:$B$106,$B67,$J$7:$J$106,$J67,$N$7:$N$106,"可生效")&gt;1,"同日重複核定",IF($J67&gt;TODAY(),"待生效",IF(COUNTIFS($B$7:$B$106,$B67,$N$7:$N$106,"可生效",$J$7:$J$106,"&gt;"&amp;$J67,$J$7:$J$106,"&lt;="&amp;TODAY())&gt;0,"已由後續紀錄取代","生效中")))))</x:f>
      </x:c>
      <x:c r="P67" s="242" t="str">
        <x:f>IF($O67="生效中",$B67,"")</x:f>
      </x:c>
    </x:row>
    <x:row r="68">
      <x:c r="A68" s="241"/>
      <x:c r="B68" s="241"/>
      <x:c r="C68" s="242" t="str">
        <x:f>IF($B68="","",_xlfn.XLOOKUP($B68,'試行員工主檔'!$A$7:$A$20,'試行員工主檔'!$B$7:$B$20,"未建立",0))</x:f>
      </x:c>
      <x:c r="D68" s="242" t="str">
        <x:f>IF($B68="","",_xlfn.XLOOKUP($B68,'試行員工主檔'!$A$7:$A$20,'試行員工主檔'!$C$7:$C$20,"未建立",0))</x:f>
      </x:c>
      <x:c r="E68" s="242" t="str">
        <x:f>IF($B68="","",_xlfn.XLOOKUP($B68,'試行員工主檔'!$A$7:$A$20,'試行員工主檔'!$D$7:$D$20,"未建立",0))</x:f>
      </x:c>
      <x:c r="F68" s="241"/>
      <x:c r="G68" s="241"/>
      <x:c r="H68" s="241"/>
      <x:c r="I68" s="241"/>
      <x:c r="J68" s="243"/>
      <x:c r="K68" s="241"/>
      <x:c r="L68" s="241"/>
      <x:c r="M68" s="241"/>
      <x:c r="N68" s="242" t="str">
        <x:f>IF($B68="","",IF($K68="停用","停用",IF($K68="退回補件","退回補件",IF(OR($A68="",$F68="",$G68="",$H68="",$I68="",$J68="",$L68="",$M68=""),IF($K68="已核定","已核定但資料未完整","待補欄位或核定"),IF($K68="已核定","可生效","待主管核定")))))</x:f>
      </x:c>
      <x:c r="O68" s="242" t="str">
        <x:f>IF($B68="","",IF($N68&lt;&gt;"可生效","未生效",IF(COUNTIFS($B$7:$B$106,$B68,$J$7:$J$106,$J68,$N$7:$N$106,"可生效")&gt;1,"同日重複核定",IF($J68&gt;TODAY(),"待生效",IF(COUNTIFS($B$7:$B$106,$B68,$N$7:$N$106,"可生效",$J$7:$J$106,"&gt;"&amp;$J68,$J$7:$J$106,"&lt;="&amp;TODAY())&gt;0,"已由後續紀錄取代","生效中")))))</x:f>
      </x:c>
      <x:c r="P68" s="242" t="str">
        <x:f>IF($O68="生效中",$B68,"")</x:f>
      </x:c>
    </x:row>
    <x:row r="69">
      <x:c r="A69" s="241"/>
      <x:c r="B69" s="241"/>
      <x:c r="C69" s="242" t="str">
        <x:f>IF($B69="","",_xlfn.XLOOKUP($B69,'試行員工主檔'!$A$7:$A$20,'試行員工主檔'!$B$7:$B$20,"未建立",0))</x:f>
      </x:c>
      <x:c r="D69" s="242" t="str">
        <x:f>IF($B69="","",_xlfn.XLOOKUP($B69,'試行員工主檔'!$A$7:$A$20,'試行員工主檔'!$C$7:$C$20,"未建立",0))</x:f>
      </x:c>
      <x:c r="E69" s="242" t="str">
        <x:f>IF($B69="","",_xlfn.XLOOKUP($B69,'試行員工主檔'!$A$7:$A$20,'試行員工主檔'!$D$7:$D$20,"未建立",0))</x:f>
      </x:c>
      <x:c r="F69" s="241"/>
      <x:c r="G69" s="241"/>
      <x:c r="H69" s="241"/>
      <x:c r="I69" s="241"/>
      <x:c r="J69" s="243"/>
      <x:c r="K69" s="241"/>
      <x:c r="L69" s="241"/>
      <x:c r="M69" s="241"/>
      <x:c r="N69" s="242" t="str">
        <x:f>IF($B69="","",IF($K69="停用","停用",IF($K69="退回補件","退回補件",IF(OR($A69="",$F69="",$G69="",$H69="",$I69="",$J69="",$L69="",$M69=""),IF($K69="已核定","已核定但資料未完整","待補欄位或核定"),IF($K69="已核定","可生效","待主管核定")))))</x:f>
      </x:c>
      <x:c r="O69" s="242" t="str">
        <x:f>IF($B69="","",IF($N69&lt;&gt;"可生效","未生效",IF(COUNTIFS($B$7:$B$106,$B69,$J$7:$J$106,$J69,$N$7:$N$106,"可生效")&gt;1,"同日重複核定",IF($J69&gt;TODAY(),"待生效",IF(COUNTIFS($B$7:$B$106,$B69,$N$7:$N$106,"可生效",$J$7:$J$106,"&gt;"&amp;$J69,$J$7:$J$106,"&lt;="&amp;TODAY())&gt;0,"已由後續紀錄取代","生效中")))))</x:f>
      </x:c>
      <x:c r="P69" s="242" t="str">
        <x:f>IF($O69="生效中",$B69,"")</x:f>
      </x:c>
    </x:row>
    <x:row r="70">
      <x:c r="A70" s="241"/>
      <x:c r="B70" s="241"/>
      <x:c r="C70" s="242" t="str">
        <x:f>IF($B70="","",_xlfn.XLOOKUP($B70,'試行員工主檔'!$A$7:$A$20,'試行員工主檔'!$B$7:$B$20,"未建立",0))</x:f>
      </x:c>
      <x:c r="D70" s="242" t="str">
        <x:f>IF($B70="","",_xlfn.XLOOKUP($B70,'試行員工主檔'!$A$7:$A$20,'試行員工主檔'!$C$7:$C$20,"未建立",0))</x:f>
      </x:c>
      <x:c r="E70" s="242" t="str">
        <x:f>IF($B70="","",_xlfn.XLOOKUP($B70,'試行員工主檔'!$A$7:$A$20,'試行員工主檔'!$D$7:$D$20,"未建立",0))</x:f>
      </x:c>
      <x:c r="F70" s="241"/>
      <x:c r="G70" s="241"/>
      <x:c r="H70" s="241"/>
      <x:c r="I70" s="241"/>
      <x:c r="J70" s="243"/>
      <x:c r="K70" s="241"/>
      <x:c r="L70" s="241"/>
      <x:c r="M70" s="241"/>
      <x:c r="N70" s="242" t="str">
        <x:f>IF($B70="","",IF($K70="停用","停用",IF($K70="退回補件","退回補件",IF(OR($A70="",$F70="",$G70="",$H70="",$I70="",$J70="",$L70="",$M70=""),IF($K70="已核定","已核定但資料未完整","待補欄位或核定"),IF($K70="已核定","可生效","待主管核定")))))</x:f>
      </x:c>
      <x:c r="O70" s="242" t="str">
        <x:f>IF($B70="","",IF($N70&lt;&gt;"可生效","未生效",IF(COUNTIFS($B$7:$B$106,$B70,$J$7:$J$106,$J70,$N$7:$N$106,"可生效")&gt;1,"同日重複核定",IF($J70&gt;TODAY(),"待生效",IF(COUNTIFS($B$7:$B$106,$B70,$N$7:$N$106,"可生效",$J$7:$J$106,"&gt;"&amp;$J70,$J$7:$J$106,"&lt;="&amp;TODAY())&gt;0,"已由後續紀錄取代","生效中")))))</x:f>
      </x:c>
      <x:c r="P70" s="242" t="str">
        <x:f>IF($O70="生效中",$B70,"")</x:f>
      </x:c>
    </x:row>
    <x:row r="71">
      <x:c r="A71" s="241"/>
      <x:c r="B71" s="241"/>
      <x:c r="C71" s="242" t="str">
        <x:f>IF($B71="","",_xlfn.XLOOKUP($B71,'試行員工主檔'!$A$7:$A$20,'試行員工主檔'!$B$7:$B$20,"未建立",0))</x:f>
      </x:c>
      <x:c r="D71" s="242" t="str">
        <x:f>IF($B71="","",_xlfn.XLOOKUP($B71,'試行員工主檔'!$A$7:$A$20,'試行員工主檔'!$C$7:$C$20,"未建立",0))</x:f>
      </x:c>
      <x:c r="E71" s="242" t="str">
        <x:f>IF($B71="","",_xlfn.XLOOKUP($B71,'試行員工主檔'!$A$7:$A$20,'試行員工主檔'!$D$7:$D$20,"未建立",0))</x:f>
      </x:c>
      <x:c r="F71" s="241"/>
      <x:c r="G71" s="241"/>
      <x:c r="H71" s="241"/>
      <x:c r="I71" s="241"/>
      <x:c r="J71" s="243"/>
      <x:c r="K71" s="241"/>
      <x:c r="L71" s="241"/>
      <x:c r="M71" s="241"/>
      <x:c r="N71" s="242" t="str">
        <x:f>IF($B71="","",IF($K71="停用","停用",IF($K71="退回補件","退回補件",IF(OR($A71="",$F71="",$G71="",$H71="",$I71="",$J71="",$L71="",$M71=""),IF($K71="已核定","已核定但資料未完整","待補欄位或核定"),IF($K71="已核定","可生效","待主管核定")))))</x:f>
      </x:c>
      <x:c r="O71" s="242" t="str">
        <x:f>IF($B71="","",IF($N71&lt;&gt;"可生效","未生效",IF(COUNTIFS($B$7:$B$106,$B71,$J$7:$J$106,$J71,$N$7:$N$106,"可生效")&gt;1,"同日重複核定",IF($J71&gt;TODAY(),"待生效",IF(COUNTIFS($B$7:$B$106,$B71,$N$7:$N$106,"可生效",$J$7:$J$106,"&gt;"&amp;$J71,$J$7:$J$106,"&lt;="&amp;TODAY())&gt;0,"已由後續紀錄取代","生效中")))))</x:f>
      </x:c>
      <x:c r="P71" s="242" t="str">
        <x:f>IF($O71="生效中",$B71,"")</x:f>
      </x:c>
    </x:row>
    <x:row r="72">
      <x:c r="A72" s="241"/>
      <x:c r="B72" s="241"/>
      <x:c r="C72" s="242" t="str">
        <x:f>IF($B72="","",_xlfn.XLOOKUP($B72,'試行員工主檔'!$A$7:$A$20,'試行員工主檔'!$B$7:$B$20,"未建立",0))</x:f>
      </x:c>
      <x:c r="D72" s="242" t="str">
        <x:f>IF($B72="","",_xlfn.XLOOKUP($B72,'試行員工主檔'!$A$7:$A$20,'試行員工主檔'!$C$7:$C$20,"未建立",0))</x:f>
      </x:c>
      <x:c r="E72" s="242" t="str">
        <x:f>IF($B72="","",_xlfn.XLOOKUP($B72,'試行員工主檔'!$A$7:$A$20,'試行員工主檔'!$D$7:$D$20,"未建立",0))</x:f>
      </x:c>
      <x:c r="F72" s="241"/>
      <x:c r="G72" s="241"/>
      <x:c r="H72" s="241"/>
      <x:c r="I72" s="241"/>
      <x:c r="J72" s="243"/>
      <x:c r="K72" s="241"/>
      <x:c r="L72" s="241"/>
      <x:c r="M72" s="241"/>
      <x:c r="N72" s="242" t="str">
        <x:f>IF($B72="","",IF($K72="停用","停用",IF($K72="退回補件","退回補件",IF(OR($A72="",$F72="",$G72="",$H72="",$I72="",$J72="",$L72="",$M72=""),IF($K72="已核定","已核定但資料未完整","待補欄位或核定"),IF($K72="已核定","可生效","待主管核定")))))</x:f>
      </x:c>
      <x:c r="O72" s="242" t="str">
        <x:f>IF($B72="","",IF($N72&lt;&gt;"可生效","未生效",IF(COUNTIFS($B$7:$B$106,$B72,$J$7:$J$106,$J72,$N$7:$N$106,"可生效")&gt;1,"同日重複核定",IF($J72&gt;TODAY(),"待生效",IF(COUNTIFS($B$7:$B$106,$B72,$N$7:$N$106,"可生效",$J$7:$J$106,"&gt;"&amp;$J72,$J$7:$J$106,"&lt;="&amp;TODAY())&gt;0,"已由後續紀錄取代","生效中")))))</x:f>
      </x:c>
      <x:c r="P72" s="242" t="str">
        <x:f>IF($O72="生效中",$B72,"")</x:f>
      </x:c>
    </x:row>
    <x:row r="73">
      <x:c r="A73" s="241"/>
      <x:c r="B73" s="241"/>
      <x:c r="C73" s="242" t="str">
        <x:f>IF($B73="","",_xlfn.XLOOKUP($B73,'試行員工主檔'!$A$7:$A$20,'試行員工主檔'!$B$7:$B$20,"未建立",0))</x:f>
      </x:c>
      <x:c r="D73" s="242" t="str">
        <x:f>IF($B73="","",_xlfn.XLOOKUP($B73,'試行員工主檔'!$A$7:$A$20,'試行員工主檔'!$C$7:$C$20,"未建立",0))</x:f>
      </x:c>
      <x:c r="E73" s="242" t="str">
        <x:f>IF($B73="","",_xlfn.XLOOKUP($B73,'試行員工主檔'!$A$7:$A$20,'試行員工主檔'!$D$7:$D$20,"未建立",0))</x:f>
      </x:c>
      <x:c r="F73" s="241"/>
      <x:c r="G73" s="241"/>
      <x:c r="H73" s="241"/>
      <x:c r="I73" s="241"/>
      <x:c r="J73" s="243"/>
      <x:c r="K73" s="241"/>
      <x:c r="L73" s="241"/>
      <x:c r="M73" s="241"/>
      <x:c r="N73" s="242" t="str">
        <x:f>IF($B73="","",IF($K73="停用","停用",IF($K73="退回補件","退回補件",IF(OR($A73="",$F73="",$G73="",$H73="",$I73="",$J73="",$L73="",$M73=""),IF($K73="已核定","已核定但資料未完整","待補欄位或核定"),IF($K73="已核定","可生效","待主管核定")))))</x:f>
      </x:c>
      <x:c r="O73" s="242" t="str">
        <x:f>IF($B73="","",IF($N73&lt;&gt;"可生效","未生效",IF(COUNTIFS($B$7:$B$106,$B73,$J$7:$J$106,$J73,$N$7:$N$106,"可生效")&gt;1,"同日重複核定",IF($J73&gt;TODAY(),"待生效",IF(COUNTIFS($B$7:$B$106,$B73,$N$7:$N$106,"可生效",$J$7:$J$106,"&gt;"&amp;$J73,$J$7:$J$106,"&lt;="&amp;TODAY())&gt;0,"已由後續紀錄取代","生效中")))))</x:f>
      </x:c>
      <x:c r="P73" s="242" t="str">
        <x:f>IF($O73="生效中",$B73,"")</x:f>
      </x:c>
    </x:row>
    <x:row r="74">
      <x:c r="A74" s="241"/>
      <x:c r="B74" s="241"/>
      <x:c r="C74" s="242" t="str">
        <x:f>IF($B74="","",_xlfn.XLOOKUP($B74,'試行員工主檔'!$A$7:$A$20,'試行員工主檔'!$B$7:$B$20,"未建立",0))</x:f>
      </x:c>
      <x:c r="D74" s="242" t="str">
        <x:f>IF($B74="","",_xlfn.XLOOKUP($B74,'試行員工主檔'!$A$7:$A$20,'試行員工主檔'!$C$7:$C$20,"未建立",0))</x:f>
      </x:c>
      <x:c r="E74" s="242" t="str">
        <x:f>IF($B74="","",_xlfn.XLOOKUP($B74,'試行員工主檔'!$A$7:$A$20,'試行員工主檔'!$D$7:$D$20,"未建立",0))</x:f>
      </x:c>
      <x:c r="F74" s="241"/>
      <x:c r="G74" s="241"/>
      <x:c r="H74" s="241"/>
      <x:c r="I74" s="241"/>
      <x:c r="J74" s="243"/>
      <x:c r="K74" s="241"/>
      <x:c r="L74" s="241"/>
      <x:c r="M74" s="241"/>
      <x:c r="N74" s="242" t="str">
        <x:f>IF($B74="","",IF($K74="停用","停用",IF($K74="退回補件","退回補件",IF(OR($A74="",$F74="",$G74="",$H74="",$I74="",$J74="",$L74="",$M74=""),IF($K74="已核定","已核定但資料未完整","待補欄位或核定"),IF($K74="已核定","可生效","待主管核定")))))</x:f>
      </x:c>
      <x:c r="O74" s="242" t="str">
        <x:f>IF($B74="","",IF($N74&lt;&gt;"可生效","未生效",IF(COUNTIFS($B$7:$B$106,$B74,$J$7:$J$106,$J74,$N$7:$N$106,"可生效")&gt;1,"同日重複核定",IF($J74&gt;TODAY(),"待生效",IF(COUNTIFS($B$7:$B$106,$B74,$N$7:$N$106,"可生效",$J$7:$J$106,"&gt;"&amp;$J74,$J$7:$J$106,"&lt;="&amp;TODAY())&gt;0,"已由後續紀錄取代","生效中")))))</x:f>
      </x:c>
      <x:c r="P74" s="242" t="str">
        <x:f>IF($O74="生效中",$B74,"")</x:f>
      </x:c>
    </x:row>
    <x:row r="75">
      <x:c r="A75" s="241"/>
      <x:c r="B75" s="241"/>
      <x:c r="C75" s="242" t="str">
        <x:f>IF($B75="","",_xlfn.XLOOKUP($B75,'試行員工主檔'!$A$7:$A$20,'試行員工主檔'!$B$7:$B$20,"未建立",0))</x:f>
      </x:c>
      <x:c r="D75" s="242" t="str">
        <x:f>IF($B75="","",_xlfn.XLOOKUP($B75,'試行員工主檔'!$A$7:$A$20,'試行員工主檔'!$C$7:$C$20,"未建立",0))</x:f>
      </x:c>
      <x:c r="E75" s="242" t="str">
        <x:f>IF($B75="","",_xlfn.XLOOKUP($B75,'試行員工主檔'!$A$7:$A$20,'試行員工主檔'!$D$7:$D$20,"未建立",0))</x:f>
      </x:c>
      <x:c r="F75" s="241"/>
      <x:c r="G75" s="241"/>
      <x:c r="H75" s="241"/>
      <x:c r="I75" s="241"/>
      <x:c r="J75" s="243"/>
      <x:c r="K75" s="241"/>
      <x:c r="L75" s="241"/>
      <x:c r="M75" s="241"/>
      <x:c r="N75" s="242" t="str">
        <x:f>IF($B75="","",IF($K75="停用","停用",IF($K75="退回補件","退回補件",IF(OR($A75="",$F75="",$G75="",$H75="",$I75="",$J75="",$L75="",$M75=""),IF($K75="已核定","已核定但資料未完整","待補欄位或核定"),IF($K75="已核定","可生效","待主管核定")))))</x:f>
      </x:c>
      <x:c r="O75" s="242" t="str">
        <x:f>IF($B75="","",IF($N75&lt;&gt;"可生效","未生效",IF(COUNTIFS($B$7:$B$106,$B75,$J$7:$J$106,$J75,$N$7:$N$106,"可生效")&gt;1,"同日重複核定",IF($J75&gt;TODAY(),"待生效",IF(COUNTIFS($B$7:$B$106,$B75,$N$7:$N$106,"可生效",$J$7:$J$106,"&gt;"&amp;$J75,$J$7:$J$106,"&lt;="&amp;TODAY())&gt;0,"已由後續紀錄取代","生效中")))))</x:f>
      </x:c>
      <x:c r="P75" s="242" t="str">
        <x:f>IF($O75="生效中",$B75,"")</x:f>
      </x:c>
    </x:row>
    <x:row r="76">
      <x:c r="A76" s="241"/>
      <x:c r="B76" s="241"/>
      <x:c r="C76" s="242" t="str">
        <x:f>IF($B76="","",_xlfn.XLOOKUP($B76,'試行員工主檔'!$A$7:$A$20,'試行員工主檔'!$B$7:$B$20,"未建立",0))</x:f>
      </x:c>
      <x:c r="D76" s="242" t="str">
        <x:f>IF($B76="","",_xlfn.XLOOKUP($B76,'試行員工主檔'!$A$7:$A$20,'試行員工主檔'!$C$7:$C$20,"未建立",0))</x:f>
      </x:c>
      <x:c r="E76" s="242" t="str">
        <x:f>IF($B76="","",_xlfn.XLOOKUP($B76,'試行員工主檔'!$A$7:$A$20,'試行員工主檔'!$D$7:$D$20,"未建立",0))</x:f>
      </x:c>
      <x:c r="F76" s="241"/>
      <x:c r="G76" s="241"/>
      <x:c r="H76" s="241"/>
      <x:c r="I76" s="241"/>
      <x:c r="J76" s="243"/>
      <x:c r="K76" s="241"/>
      <x:c r="L76" s="241"/>
      <x:c r="M76" s="241"/>
      <x:c r="N76" s="242" t="str">
        <x:f>IF($B76="","",IF($K76="停用","停用",IF($K76="退回補件","退回補件",IF(OR($A76="",$F76="",$G76="",$H76="",$I76="",$J76="",$L76="",$M76=""),IF($K76="已核定","已核定但資料未完整","待補欄位或核定"),IF($K76="已核定","可生效","待主管核定")))))</x:f>
      </x:c>
      <x:c r="O76" s="242" t="str">
        <x:f>IF($B76="","",IF($N76&lt;&gt;"可生效","未生效",IF(COUNTIFS($B$7:$B$106,$B76,$J$7:$J$106,$J76,$N$7:$N$106,"可生效")&gt;1,"同日重複核定",IF($J76&gt;TODAY(),"待生效",IF(COUNTIFS($B$7:$B$106,$B76,$N$7:$N$106,"可生效",$J$7:$J$106,"&gt;"&amp;$J76,$J$7:$J$106,"&lt;="&amp;TODAY())&gt;0,"已由後續紀錄取代","生效中")))))</x:f>
      </x:c>
      <x:c r="P76" s="242" t="str">
        <x:f>IF($O76="生效中",$B76,"")</x:f>
      </x:c>
    </x:row>
    <x:row r="77">
      <x:c r="A77" s="241"/>
      <x:c r="B77" s="241"/>
      <x:c r="C77" s="242" t="str">
        <x:f>IF($B77="","",_xlfn.XLOOKUP($B77,'試行員工主檔'!$A$7:$A$20,'試行員工主檔'!$B$7:$B$20,"未建立",0))</x:f>
      </x:c>
      <x:c r="D77" s="242" t="str">
        <x:f>IF($B77="","",_xlfn.XLOOKUP($B77,'試行員工主檔'!$A$7:$A$20,'試行員工主檔'!$C$7:$C$20,"未建立",0))</x:f>
      </x:c>
      <x:c r="E77" s="242" t="str">
        <x:f>IF($B77="","",_xlfn.XLOOKUP($B77,'試行員工主檔'!$A$7:$A$20,'試行員工主檔'!$D$7:$D$20,"未建立",0))</x:f>
      </x:c>
      <x:c r="F77" s="241"/>
      <x:c r="G77" s="241"/>
      <x:c r="H77" s="241"/>
      <x:c r="I77" s="241"/>
      <x:c r="J77" s="243"/>
      <x:c r="K77" s="241"/>
      <x:c r="L77" s="241"/>
      <x:c r="M77" s="241"/>
      <x:c r="N77" s="242" t="str">
        <x:f>IF($B77="","",IF($K77="停用","停用",IF($K77="退回補件","退回補件",IF(OR($A77="",$F77="",$G77="",$H77="",$I77="",$J77="",$L77="",$M77=""),IF($K77="已核定","已核定但資料未完整","待補欄位或核定"),IF($K77="已核定","可生效","待主管核定")))))</x:f>
      </x:c>
      <x:c r="O77" s="242" t="str">
        <x:f>IF($B77="","",IF($N77&lt;&gt;"可生效","未生效",IF(COUNTIFS($B$7:$B$106,$B77,$J$7:$J$106,$J77,$N$7:$N$106,"可生效")&gt;1,"同日重複核定",IF($J77&gt;TODAY(),"待生效",IF(COUNTIFS($B$7:$B$106,$B77,$N$7:$N$106,"可生效",$J$7:$J$106,"&gt;"&amp;$J77,$J$7:$J$106,"&lt;="&amp;TODAY())&gt;0,"已由後續紀錄取代","生效中")))))</x:f>
      </x:c>
      <x:c r="P77" s="242" t="str">
        <x:f>IF($O77="生效中",$B77,"")</x:f>
      </x:c>
    </x:row>
    <x:row r="78">
      <x:c r="A78" s="241"/>
      <x:c r="B78" s="241"/>
      <x:c r="C78" s="242" t="str">
        <x:f>IF($B78="","",_xlfn.XLOOKUP($B78,'試行員工主檔'!$A$7:$A$20,'試行員工主檔'!$B$7:$B$20,"未建立",0))</x:f>
      </x:c>
      <x:c r="D78" s="242" t="str">
        <x:f>IF($B78="","",_xlfn.XLOOKUP($B78,'試行員工主檔'!$A$7:$A$20,'試行員工主檔'!$C$7:$C$20,"未建立",0))</x:f>
      </x:c>
      <x:c r="E78" s="242" t="str">
        <x:f>IF($B78="","",_xlfn.XLOOKUP($B78,'試行員工主檔'!$A$7:$A$20,'試行員工主檔'!$D$7:$D$20,"未建立",0))</x:f>
      </x:c>
      <x:c r="F78" s="241"/>
      <x:c r="G78" s="241"/>
      <x:c r="H78" s="241"/>
      <x:c r="I78" s="241"/>
      <x:c r="J78" s="243"/>
      <x:c r="K78" s="241"/>
      <x:c r="L78" s="241"/>
      <x:c r="M78" s="241"/>
      <x:c r="N78" s="242" t="str">
        <x:f>IF($B78="","",IF($K78="停用","停用",IF($K78="退回補件","退回補件",IF(OR($A78="",$F78="",$G78="",$H78="",$I78="",$J78="",$L78="",$M78=""),IF($K78="已核定","已核定但資料未完整","待補欄位或核定"),IF($K78="已核定","可生效","待主管核定")))))</x:f>
      </x:c>
      <x:c r="O78" s="242" t="str">
        <x:f>IF($B78="","",IF($N78&lt;&gt;"可生效","未生效",IF(COUNTIFS($B$7:$B$106,$B78,$J$7:$J$106,$J78,$N$7:$N$106,"可生效")&gt;1,"同日重複核定",IF($J78&gt;TODAY(),"待生效",IF(COUNTIFS($B$7:$B$106,$B78,$N$7:$N$106,"可生效",$J$7:$J$106,"&gt;"&amp;$J78,$J$7:$J$106,"&lt;="&amp;TODAY())&gt;0,"已由後續紀錄取代","生效中")))))</x:f>
      </x:c>
      <x:c r="P78" s="242" t="str">
        <x:f>IF($O78="生效中",$B78,"")</x:f>
      </x:c>
    </x:row>
    <x:row r="79">
      <x:c r="A79" s="241"/>
      <x:c r="B79" s="241"/>
      <x:c r="C79" s="242" t="str">
        <x:f>IF($B79="","",_xlfn.XLOOKUP($B79,'試行員工主檔'!$A$7:$A$20,'試行員工主檔'!$B$7:$B$20,"未建立",0))</x:f>
      </x:c>
      <x:c r="D79" s="242" t="str">
        <x:f>IF($B79="","",_xlfn.XLOOKUP($B79,'試行員工主檔'!$A$7:$A$20,'試行員工主檔'!$C$7:$C$20,"未建立",0))</x:f>
      </x:c>
      <x:c r="E79" s="242" t="str">
        <x:f>IF($B79="","",_xlfn.XLOOKUP($B79,'試行員工主檔'!$A$7:$A$20,'試行員工主檔'!$D$7:$D$20,"未建立",0))</x:f>
      </x:c>
      <x:c r="F79" s="241"/>
      <x:c r="G79" s="241"/>
      <x:c r="H79" s="241"/>
      <x:c r="I79" s="241"/>
      <x:c r="J79" s="243"/>
      <x:c r="K79" s="241"/>
      <x:c r="L79" s="241"/>
      <x:c r="M79" s="241"/>
      <x:c r="N79" s="242" t="str">
        <x:f>IF($B79="","",IF($K79="停用","停用",IF($K79="退回補件","退回補件",IF(OR($A79="",$F79="",$G79="",$H79="",$I79="",$J79="",$L79="",$M79=""),IF($K79="已核定","已核定但資料未完整","待補欄位或核定"),IF($K79="已核定","可生效","待主管核定")))))</x:f>
      </x:c>
      <x:c r="O79" s="242" t="str">
        <x:f>IF($B79="","",IF($N79&lt;&gt;"可生效","未生效",IF(COUNTIFS($B$7:$B$106,$B79,$J$7:$J$106,$J79,$N$7:$N$106,"可生效")&gt;1,"同日重複核定",IF($J79&gt;TODAY(),"待生效",IF(COUNTIFS($B$7:$B$106,$B79,$N$7:$N$106,"可生效",$J$7:$J$106,"&gt;"&amp;$J79,$J$7:$J$106,"&lt;="&amp;TODAY())&gt;0,"已由後續紀錄取代","生效中")))))</x:f>
      </x:c>
      <x:c r="P79" s="242" t="str">
        <x:f>IF($O79="生效中",$B79,"")</x:f>
      </x:c>
    </x:row>
    <x:row r="80">
      <x:c r="A80" s="241"/>
      <x:c r="B80" s="241"/>
      <x:c r="C80" s="242" t="str">
        <x:f>IF($B80="","",_xlfn.XLOOKUP($B80,'試行員工主檔'!$A$7:$A$20,'試行員工主檔'!$B$7:$B$20,"未建立",0))</x:f>
      </x:c>
      <x:c r="D80" s="242" t="str">
        <x:f>IF($B80="","",_xlfn.XLOOKUP($B80,'試行員工主檔'!$A$7:$A$20,'試行員工主檔'!$C$7:$C$20,"未建立",0))</x:f>
      </x:c>
      <x:c r="E80" s="242" t="str">
        <x:f>IF($B80="","",_xlfn.XLOOKUP($B80,'試行員工主檔'!$A$7:$A$20,'試行員工主檔'!$D$7:$D$20,"未建立",0))</x:f>
      </x:c>
      <x:c r="F80" s="241"/>
      <x:c r="G80" s="241"/>
      <x:c r="H80" s="241"/>
      <x:c r="I80" s="241"/>
      <x:c r="J80" s="243"/>
      <x:c r="K80" s="241"/>
      <x:c r="L80" s="241"/>
      <x:c r="M80" s="241"/>
      <x:c r="N80" s="242" t="str">
        <x:f>IF($B80="","",IF($K80="停用","停用",IF($K80="退回補件","退回補件",IF(OR($A80="",$F80="",$G80="",$H80="",$I80="",$J80="",$L80="",$M80=""),IF($K80="已核定","已核定但資料未完整","待補欄位或核定"),IF($K80="已核定","可生效","待主管核定")))))</x:f>
      </x:c>
      <x:c r="O80" s="242" t="str">
        <x:f>IF($B80="","",IF($N80&lt;&gt;"可生效","未生效",IF(COUNTIFS($B$7:$B$106,$B80,$J$7:$J$106,$J80,$N$7:$N$106,"可生效")&gt;1,"同日重複核定",IF($J80&gt;TODAY(),"待生效",IF(COUNTIFS($B$7:$B$106,$B80,$N$7:$N$106,"可生效",$J$7:$J$106,"&gt;"&amp;$J80,$J$7:$J$106,"&lt;="&amp;TODAY())&gt;0,"已由後續紀錄取代","生效中")))))</x:f>
      </x:c>
      <x:c r="P80" s="242" t="str">
        <x:f>IF($O80="生效中",$B80,"")</x:f>
      </x:c>
    </x:row>
    <x:row r="81">
      <x:c r="A81" s="241"/>
      <x:c r="B81" s="241"/>
      <x:c r="C81" s="242" t="str">
        <x:f>IF($B81="","",_xlfn.XLOOKUP($B81,'試行員工主檔'!$A$7:$A$20,'試行員工主檔'!$B$7:$B$20,"未建立",0))</x:f>
      </x:c>
      <x:c r="D81" s="242" t="str">
        <x:f>IF($B81="","",_xlfn.XLOOKUP($B81,'試行員工主檔'!$A$7:$A$20,'試行員工主檔'!$C$7:$C$20,"未建立",0))</x:f>
      </x:c>
      <x:c r="E81" s="242" t="str">
        <x:f>IF($B81="","",_xlfn.XLOOKUP($B81,'試行員工主檔'!$A$7:$A$20,'試行員工主檔'!$D$7:$D$20,"未建立",0))</x:f>
      </x:c>
      <x:c r="F81" s="241"/>
      <x:c r="G81" s="241"/>
      <x:c r="H81" s="241"/>
      <x:c r="I81" s="241"/>
      <x:c r="J81" s="243"/>
      <x:c r="K81" s="241"/>
      <x:c r="L81" s="241"/>
      <x:c r="M81" s="241"/>
      <x:c r="N81" s="242" t="str">
        <x:f>IF($B81="","",IF($K81="停用","停用",IF($K81="退回補件","退回補件",IF(OR($A81="",$F81="",$G81="",$H81="",$I81="",$J81="",$L81="",$M81=""),IF($K81="已核定","已核定但資料未完整","待補欄位或核定"),IF($K81="已核定","可生效","待主管核定")))))</x:f>
      </x:c>
      <x:c r="O81" s="242" t="str">
        <x:f>IF($B81="","",IF($N81&lt;&gt;"可生效","未生效",IF(COUNTIFS($B$7:$B$106,$B81,$J$7:$J$106,$J81,$N$7:$N$106,"可生效")&gt;1,"同日重複核定",IF($J81&gt;TODAY(),"待生效",IF(COUNTIFS($B$7:$B$106,$B81,$N$7:$N$106,"可生效",$J$7:$J$106,"&gt;"&amp;$J81,$J$7:$J$106,"&lt;="&amp;TODAY())&gt;0,"已由後續紀錄取代","生效中")))))</x:f>
      </x:c>
      <x:c r="P81" s="242" t="str">
        <x:f>IF($O81="生效中",$B81,"")</x:f>
      </x:c>
    </x:row>
    <x:row r="82">
      <x:c r="A82" s="241"/>
      <x:c r="B82" s="241"/>
      <x:c r="C82" s="242" t="str">
        <x:f>IF($B82="","",_xlfn.XLOOKUP($B82,'試行員工主檔'!$A$7:$A$20,'試行員工主檔'!$B$7:$B$20,"未建立",0))</x:f>
      </x:c>
      <x:c r="D82" s="242" t="str">
        <x:f>IF($B82="","",_xlfn.XLOOKUP($B82,'試行員工主檔'!$A$7:$A$20,'試行員工主檔'!$C$7:$C$20,"未建立",0))</x:f>
      </x:c>
      <x:c r="E82" s="242" t="str">
        <x:f>IF($B82="","",_xlfn.XLOOKUP($B82,'試行員工主檔'!$A$7:$A$20,'試行員工主檔'!$D$7:$D$20,"未建立",0))</x:f>
      </x:c>
      <x:c r="F82" s="241"/>
      <x:c r="G82" s="241"/>
      <x:c r="H82" s="241"/>
      <x:c r="I82" s="241"/>
      <x:c r="J82" s="243"/>
      <x:c r="K82" s="241"/>
      <x:c r="L82" s="241"/>
      <x:c r="M82" s="241"/>
      <x:c r="N82" s="242" t="str">
        <x:f>IF($B82="","",IF($K82="停用","停用",IF($K82="退回補件","退回補件",IF(OR($A82="",$F82="",$G82="",$H82="",$I82="",$J82="",$L82="",$M82=""),IF($K82="已核定","已核定但資料未完整","待補欄位或核定"),IF($K82="已核定","可生效","待主管核定")))))</x:f>
      </x:c>
      <x:c r="O82" s="242" t="str">
        <x:f>IF($B82="","",IF($N82&lt;&gt;"可生效","未生效",IF(COUNTIFS($B$7:$B$106,$B82,$J$7:$J$106,$J82,$N$7:$N$106,"可生效")&gt;1,"同日重複核定",IF($J82&gt;TODAY(),"待生效",IF(COUNTIFS($B$7:$B$106,$B82,$N$7:$N$106,"可生效",$J$7:$J$106,"&gt;"&amp;$J82,$J$7:$J$106,"&lt;="&amp;TODAY())&gt;0,"已由後續紀錄取代","生效中")))))</x:f>
      </x:c>
      <x:c r="P82" s="242" t="str">
        <x:f>IF($O82="生效中",$B82,"")</x:f>
      </x:c>
    </x:row>
    <x:row r="83">
      <x:c r="A83" s="241"/>
      <x:c r="B83" s="241"/>
      <x:c r="C83" s="242" t="str">
        <x:f>IF($B83="","",_xlfn.XLOOKUP($B83,'試行員工主檔'!$A$7:$A$20,'試行員工主檔'!$B$7:$B$20,"未建立",0))</x:f>
      </x:c>
      <x:c r="D83" s="242" t="str">
        <x:f>IF($B83="","",_xlfn.XLOOKUP($B83,'試行員工主檔'!$A$7:$A$20,'試行員工主檔'!$C$7:$C$20,"未建立",0))</x:f>
      </x:c>
      <x:c r="E83" s="242" t="str">
        <x:f>IF($B83="","",_xlfn.XLOOKUP($B83,'試行員工主檔'!$A$7:$A$20,'試行員工主檔'!$D$7:$D$20,"未建立",0))</x:f>
      </x:c>
      <x:c r="F83" s="241"/>
      <x:c r="G83" s="241"/>
      <x:c r="H83" s="241"/>
      <x:c r="I83" s="241"/>
      <x:c r="J83" s="243"/>
      <x:c r="K83" s="241"/>
      <x:c r="L83" s="241"/>
      <x:c r="M83" s="241"/>
      <x:c r="N83" s="242" t="str">
        <x:f>IF($B83="","",IF($K83="停用","停用",IF($K83="退回補件","退回補件",IF(OR($A83="",$F83="",$G83="",$H83="",$I83="",$J83="",$L83="",$M83=""),IF($K83="已核定","已核定但資料未完整","待補欄位或核定"),IF($K83="已核定","可生效","待主管核定")))))</x:f>
      </x:c>
      <x:c r="O83" s="242" t="str">
        <x:f>IF($B83="","",IF($N83&lt;&gt;"可生效","未生效",IF(COUNTIFS($B$7:$B$106,$B83,$J$7:$J$106,$J83,$N$7:$N$106,"可生效")&gt;1,"同日重複核定",IF($J83&gt;TODAY(),"待生效",IF(COUNTIFS($B$7:$B$106,$B83,$N$7:$N$106,"可生效",$J$7:$J$106,"&gt;"&amp;$J83,$J$7:$J$106,"&lt;="&amp;TODAY())&gt;0,"已由後續紀錄取代","生效中")))))</x:f>
      </x:c>
      <x:c r="P83" s="242" t="str">
        <x:f>IF($O83="生效中",$B83,"")</x:f>
      </x:c>
    </x:row>
    <x:row r="84">
      <x:c r="A84" s="241"/>
      <x:c r="B84" s="241"/>
      <x:c r="C84" s="242" t="str">
        <x:f>IF($B84="","",_xlfn.XLOOKUP($B84,'試行員工主檔'!$A$7:$A$20,'試行員工主檔'!$B$7:$B$20,"未建立",0))</x:f>
      </x:c>
      <x:c r="D84" s="242" t="str">
        <x:f>IF($B84="","",_xlfn.XLOOKUP($B84,'試行員工主檔'!$A$7:$A$20,'試行員工主檔'!$C$7:$C$20,"未建立",0))</x:f>
      </x:c>
      <x:c r="E84" s="242" t="str">
        <x:f>IF($B84="","",_xlfn.XLOOKUP($B84,'試行員工主檔'!$A$7:$A$20,'試行員工主檔'!$D$7:$D$20,"未建立",0))</x:f>
      </x:c>
      <x:c r="F84" s="241"/>
      <x:c r="G84" s="241"/>
      <x:c r="H84" s="241"/>
      <x:c r="I84" s="241"/>
      <x:c r="J84" s="243"/>
      <x:c r="K84" s="241"/>
      <x:c r="L84" s="241"/>
      <x:c r="M84" s="241"/>
      <x:c r="N84" s="242" t="str">
        <x:f>IF($B84="","",IF($K84="停用","停用",IF($K84="退回補件","退回補件",IF(OR($A84="",$F84="",$G84="",$H84="",$I84="",$J84="",$L84="",$M84=""),IF($K84="已核定","已核定但資料未完整","待補欄位或核定"),IF($K84="已核定","可生效","待主管核定")))))</x:f>
      </x:c>
      <x:c r="O84" s="242" t="str">
        <x:f>IF($B84="","",IF($N84&lt;&gt;"可生效","未生效",IF(COUNTIFS($B$7:$B$106,$B84,$J$7:$J$106,$J84,$N$7:$N$106,"可生效")&gt;1,"同日重複核定",IF($J84&gt;TODAY(),"待生效",IF(COUNTIFS($B$7:$B$106,$B84,$N$7:$N$106,"可生效",$J$7:$J$106,"&gt;"&amp;$J84,$J$7:$J$106,"&lt;="&amp;TODAY())&gt;0,"已由後續紀錄取代","生效中")))))</x:f>
      </x:c>
      <x:c r="P84" s="242" t="str">
        <x:f>IF($O84="生效中",$B84,"")</x:f>
      </x:c>
    </x:row>
    <x:row r="85">
      <x:c r="A85" s="241"/>
      <x:c r="B85" s="241"/>
      <x:c r="C85" s="242" t="str">
        <x:f>IF($B85="","",_xlfn.XLOOKUP($B85,'試行員工主檔'!$A$7:$A$20,'試行員工主檔'!$B$7:$B$20,"未建立",0))</x:f>
      </x:c>
      <x:c r="D85" s="242" t="str">
        <x:f>IF($B85="","",_xlfn.XLOOKUP($B85,'試行員工主檔'!$A$7:$A$20,'試行員工主檔'!$C$7:$C$20,"未建立",0))</x:f>
      </x:c>
      <x:c r="E85" s="242" t="str">
        <x:f>IF($B85="","",_xlfn.XLOOKUP($B85,'試行員工主檔'!$A$7:$A$20,'試行員工主檔'!$D$7:$D$20,"未建立",0))</x:f>
      </x:c>
      <x:c r="F85" s="241"/>
      <x:c r="G85" s="241"/>
      <x:c r="H85" s="241"/>
      <x:c r="I85" s="241"/>
      <x:c r="J85" s="243"/>
      <x:c r="K85" s="241"/>
      <x:c r="L85" s="241"/>
      <x:c r="M85" s="241"/>
      <x:c r="N85" s="242" t="str">
        <x:f>IF($B85="","",IF($K85="停用","停用",IF($K85="退回補件","退回補件",IF(OR($A85="",$F85="",$G85="",$H85="",$I85="",$J85="",$L85="",$M85=""),IF($K85="已核定","已核定但資料未完整","待補欄位或核定"),IF($K85="已核定","可生效","待主管核定")))))</x:f>
      </x:c>
      <x:c r="O85" s="242" t="str">
        <x:f>IF($B85="","",IF($N85&lt;&gt;"可生效","未生效",IF(COUNTIFS($B$7:$B$106,$B85,$J$7:$J$106,$J85,$N$7:$N$106,"可生效")&gt;1,"同日重複核定",IF($J85&gt;TODAY(),"待生效",IF(COUNTIFS($B$7:$B$106,$B85,$N$7:$N$106,"可生效",$J$7:$J$106,"&gt;"&amp;$J85,$J$7:$J$106,"&lt;="&amp;TODAY())&gt;0,"已由後續紀錄取代","生效中")))))</x:f>
      </x:c>
      <x:c r="P85" s="242" t="str">
        <x:f>IF($O85="生效中",$B85,"")</x:f>
      </x:c>
    </x:row>
    <x:row r="86">
      <x:c r="A86" s="241"/>
      <x:c r="B86" s="241"/>
      <x:c r="C86" s="242" t="str">
        <x:f>IF($B86="","",_xlfn.XLOOKUP($B86,'試行員工主檔'!$A$7:$A$20,'試行員工主檔'!$B$7:$B$20,"未建立",0))</x:f>
      </x:c>
      <x:c r="D86" s="242" t="str">
        <x:f>IF($B86="","",_xlfn.XLOOKUP($B86,'試行員工主檔'!$A$7:$A$20,'試行員工主檔'!$C$7:$C$20,"未建立",0))</x:f>
      </x:c>
      <x:c r="E86" s="242" t="str">
        <x:f>IF($B86="","",_xlfn.XLOOKUP($B86,'試行員工主檔'!$A$7:$A$20,'試行員工主檔'!$D$7:$D$20,"未建立",0))</x:f>
      </x:c>
      <x:c r="F86" s="241"/>
      <x:c r="G86" s="241"/>
      <x:c r="H86" s="241"/>
      <x:c r="I86" s="241"/>
      <x:c r="J86" s="243"/>
      <x:c r="K86" s="241"/>
      <x:c r="L86" s="241"/>
      <x:c r="M86" s="241"/>
      <x:c r="N86" s="242" t="str">
        <x:f>IF($B86="","",IF($K86="停用","停用",IF($K86="退回補件","退回補件",IF(OR($A86="",$F86="",$G86="",$H86="",$I86="",$J86="",$L86="",$M86=""),IF($K86="已核定","已核定但資料未完整","待補欄位或核定"),IF($K86="已核定","可生效","待主管核定")))))</x:f>
      </x:c>
      <x:c r="O86" s="242" t="str">
        <x:f>IF($B86="","",IF($N86&lt;&gt;"可生效","未生效",IF(COUNTIFS($B$7:$B$106,$B86,$J$7:$J$106,$J86,$N$7:$N$106,"可生效")&gt;1,"同日重複核定",IF($J86&gt;TODAY(),"待生效",IF(COUNTIFS($B$7:$B$106,$B86,$N$7:$N$106,"可生效",$J$7:$J$106,"&gt;"&amp;$J86,$J$7:$J$106,"&lt;="&amp;TODAY())&gt;0,"已由後續紀錄取代","生效中")))))</x:f>
      </x:c>
      <x:c r="P86" s="242" t="str">
        <x:f>IF($O86="生效中",$B86,"")</x:f>
      </x:c>
    </x:row>
    <x:row r="87">
      <x:c r="A87" s="241"/>
      <x:c r="B87" s="241"/>
      <x:c r="C87" s="242" t="str">
        <x:f>IF($B87="","",_xlfn.XLOOKUP($B87,'試行員工主檔'!$A$7:$A$20,'試行員工主檔'!$B$7:$B$20,"未建立",0))</x:f>
      </x:c>
      <x:c r="D87" s="242" t="str">
        <x:f>IF($B87="","",_xlfn.XLOOKUP($B87,'試行員工主檔'!$A$7:$A$20,'試行員工主檔'!$C$7:$C$20,"未建立",0))</x:f>
      </x:c>
      <x:c r="E87" s="242" t="str">
        <x:f>IF($B87="","",_xlfn.XLOOKUP($B87,'試行員工主檔'!$A$7:$A$20,'試行員工主檔'!$D$7:$D$20,"未建立",0))</x:f>
      </x:c>
      <x:c r="F87" s="241"/>
      <x:c r="G87" s="241"/>
      <x:c r="H87" s="241"/>
      <x:c r="I87" s="241"/>
      <x:c r="J87" s="243"/>
      <x:c r="K87" s="241"/>
      <x:c r="L87" s="241"/>
      <x:c r="M87" s="241"/>
      <x:c r="N87" s="242" t="str">
        <x:f>IF($B87="","",IF($K87="停用","停用",IF($K87="退回補件","退回補件",IF(OR($A87="",$F87="",$G87="",$H87="",$I87="",$J87="",$L87="",$M87=""),IF($K87="已核定","已核定但資料未完整","待補欄位或核定"),IF($K87="已核定","可生效","待主管核定")))))</x:f>
      </x:c>
      <x:c r="O87" s="242" t="str">
        <x:f>IF($B87="","",IF($N87&lt;&gt;"可生效","未生效",IF(COUNTIFS($B$7:$B$106,$B87,$J$7:$J$106,$J87,$N$7:$N$106,"可生效")&gt;1,"同日重複核定",IF($J87&gt;TODAY(),"待生效",IF(COUNTIFS($B$7:$B$106,$B87,$N$7:$N$106,"可生效",$J$7:$J$106,"&gt;"&amp;$J87,$J$7:$J$106,"&lt;="&amp;TODAY())&gt;0,"已由後續紀錄取代","生效中")))))</x:f>
      </x:c>
      <x:c r="P87" s="242" t="str">
        <x:f>IF($O87="生效中",$B87,"")</x:f>
      </x:c>
    </x:row>
    <x:row r="88">
      <x:c r="A88" s="241"/>
      <x:c r="B88" s="241"/>
      <x:c r="C88" s="242" t="str">
        <x:f>IF($B88="","",_xlfn.XLOOKUP($B88,'試行員工主檔'!$A$7:$A$20,'試行員工主檔'!$B$7:$B$20,"未建立",0))</x:f>
      </x:c>
      <x:c r="D88" s="242" t="str">
        <x:f>IF($B88="","",_xlfn.XLOOKUP($B88,'試行員工主檔'!$A$7:$A$20,'試行員工主檔'!$C$7:$C$20,"未建立",0))</x:f>
      </x:c>
      <x:c r="E88" s="242" t="str">
        <x:f>IF($B88="","",_xlfn.XLOOKUP($B88,'試行員工主檔'!$A$7:$A$20,'試行員工主檔'!$D$7:$D$20,"未建立",0))</x:f>
      </x:c>
      <x:c r="F88" s="241"/>
      <x:c r="G88" s="241"/>
      <x:c r="H88" s="241"/>
      <x:c r="I88" s="241"/>
      <x:c r="J88" s="243"/>
      <x:c r="K88" s="241"/>
      <x:c r="L88" s="241"/>
      <x:c r="M88" s="241"/>
      <x:c r="N88" s="242" t="str">
        <x:f>IF($B88="","",IF($K88="停用","停用",IF($K88="退回補件","退回補件",IF(OR($A88="",$F88="",$G88="",$H88="",$I88="",$J88="",$L88="",$M88=""),IF($K88="已核定","已核定但資料未完整","待補欄位或核定"),IF($K88="已核定","可生效","待主管核定")))))</x:f>
      </x:c>
      <x:c r="O88" s="242" t="str">
        <x:f>IF($B88="","",IF($N88&lt;&gt;"可生效","未生效",IF(COUNTIFS($B$7:$B$106,$B88,$J$7:$J$106,$J88,$N$7:$N$106,"可生效")&gt;1,"同日重複核定",IF($J88&gt;TODAY(),"待生效",IF(COUNTIFS($B$7:$B$106,$B88,$N$7:$N$106,"可生效",$J$7:$J$106,"&gt;"&amp;$J88,$J$7:$J$106,"&lt;="&amp;TODAY())&gt;0,"已由後續紀錄取代","生效中")))))</x:f>
      </x:c>
      <x:c r="P88" s="242" t="str">
        <x:f>IF($O88="生效中",$B88,"")</x:f>
      </x:c>
    </x:row>
    <x:row r="89">
      <x:c r="A89" s="241"/>
      <x:c r="B89" s="241"/>
      <x:c r="C89" s="242" t="str">
        <x:f>IF($B89="","",_xlfn.XLOOKUP($B89,'試行員工主檔'!$A$7:$A$20,'試行員工主檔'!$B$7:$B$20,"未建立",0))</x:f>
      </x:c>
      <x:c r="D89" s="242" t="str">
        <x:f>IF($B89="","",_xlfn.XLOOKUP($B89,'試行員工主檔'!$A$7:$A$20,'試行員工主檔'!$C$7:$C$20,"未建立",0))</x:f>
      </x:c>
      <x:c r="E89" s="242" t="str">
        <x:f>IF($B89="","",_xlfn.XLOOKUP($B89,'試行員工主檔'!$A$7:$A$20,'試行員工主檔'!$D$7:$D$20,"未建立",0))</x:f>
      </x:c>
      <x:c r="F89" s="241"/>
      <x:c r="G89" s="241"/>
      <x:c r="H89" s="241"/>
      <x:c r="I89" s="241"/>
      <x:c r="J89" s="243"/>
      <x:c r="K89" s="241"/>
      <x:c r="L89" s="241"/>
      <x:c r="M89" s="241"/>
      <x:c r="N89" s="242" t="str">
        <x:f>IF($B89="","",IF($K89="停用","停用",IF($K89="退回補件","退回補件",IF(OR($A89="",$F89="",$G89="",$H89="",$I89="",$J89="",$L89="",$M89=""),IF($K89="已核定","已核定但資料未完整","待補欄位或核定"),IF($K89="已核定","可生效","待主管核定")))))</x:f>
      </x:c>
      <x:c r="O89" s="242" t="str">
        <x:f>IF($B89="","",IF($N89&lt;&gt;"可生效","未生效",IF(COUNTIFS($B$7:$B$106,$B89,$J$7:$J$106,$J89,$N$7:$N$106,"可生效")&gt;1,"同日重複核定",IF($J89&gt;TODAY(),"待生效",IF(COUNTIFS($B$7:$B$106,$B89,$N$7:$N$106,"可生效",$J$7:$J$106,"&gt;"&amp;$J89,$J$7:$J$106,"&lt;="&amp;TODAY())&gt;0,"已由後續紀錄取代","生效中")))))</x:f>
      </x:c>
      <x:c r="P89" s="242" t="str">
        <x:f>IF($O89="生效中",$B89,"")</x:f>
      </x:c>
    </x:row>
    <x:row r="90">
      <x:c r="A90" s="241"/>
      <x:c r="B90" s="241"/>
      <x:c r="C90" s="242" t="str">
        <x:f>IF($B90="","",_xlfn.XLOOKUP($B90,'試行員工主檔'!$A$7:$A$20,'試行員工主檔'!$B$7:$B$20,"未建立",0))</x:f>
      </x:c>
      <x:c r="D90" s="242" t="str">
        <x:f>IF($B90="","",_xlfn.XLOOKUP($B90,'試行員工主檔'!$A$7:$A$20,'試行員工主檔'!$C$7:$C$20,"未建立",0))</x:f>
      </x:c>
      <x:c r="E90" s="242" t="str">
        <x:f>IF($B90="","",_xlfn.XLOOKUP($B90,'試行員工主檔'!$A$7:$A$20,'試行員工主檔'!$D$7:$D$20,"未建立",0))</x:f>
      </x:c>
      <x:c r="F90" s="241"/>
      <x:c r="G90" s="241"/>
      <x:c r="H90" s="241"/>
      <x:c r="I90" s="241"/>
      <x:c r="J90" s="243"/>
      <x:c r="K90" s="241"/>
      <x:c r="L90" s="241"/>
      <x:c r="M90" s="241"/>
      <x:c r="N90" s="242" t="str">
        <x:f>IF($B90="","",IF($K90="停用","停用",IF($K90="退回補件","退回補件",IF(OR($A90="",$F90="",$G90="",$H90="",$I90="",$J90="",$L90="",$M90=""),IF($K90="已核定","已核定但資料未完整","待補欄位或核定"),IF($K90="已核定","可生效","待主管核定")))))</x:f>
      </x:c>
      <x:c r="O90" s="242" t="str">
        <x:f>IF($B90="","",IF($N90&lt;&gt;"可生效","未生效",IF(COUNTIFS($B$7:$B$106,$B90,$J$7:$J$106,$J90,$N$7:$N$106,"可生效")&gt;1,"同日重複核定",IF($J90&gt;TODAY(),"待生效",IF(COUNTIFS($B$7:$B$106,$B90,$N$7:$N$106,"可生效",$J$7:$J$106,"&gt;"&amp;$J90,$J$7:$J$106,"&lt;="&amp;TODAY())&gt;0,"已由後續紀錄取代","生效中")))))</x:f>
      </x:c>
      <x:c r="P90" s="242" t="str">
        <x:f>IF($O90="生效中",$B90,"")</x:f>
      </x:c>
    </x:row>
    <x:row r="91">
      <x:c r="A91" s="241"/>
      <x:c r="B91" s="241"/>
      <x:c r="C91" s="242" t="str">
        <x:f>IF($B91="","",_xlfn.XLOOKUP($B91,'試行員工主檔'!$A$7:$A$20,'試行員工主檔'!$B$7:$B$20,"未建立",0))</x:f>
      </x:c>
      <x:c r="D91" s="242" t="str">
        <x:f>IF($B91="","",_xlfn.XLOOKUP($B91,'試行員工主檔'!$A$7:$A$20,'試行員工主檔'!$C$7:$C$20,"未建立",0))</x:f>
      </x:c>
      <x:c r="E91" s="242" t="str">
        <x:f>IF($B91="","",_xlfn.XLOOKUP($B91,'試行員工主檔'!$A$7:$A$20,'試行員工主檔'!$D$7:$D$20,"未建立",0))</x:f>
      </x:c>
      <x:c r="F91" s="241"/>
      <x:c r="G91" s="241"/>
      <x:c r="H91" s="241"/>
      <x:c r="I91" s="241"/>
      <x:c r="J91" s="243"/>
      <x:c r="K91" s="241"/>
      <x:c r="L91" s="241"/>
      <x:c r="M91" s="241"/>
      <x:c r="N91" s="242" t="str">
        <x:f>IF($B91="","",IF($K91="停用","停用",IF($K91="退回補件","退回補件",IF(OR($A91="",$F91="",$G91="",$H91="",$I91="",$J91="",$L91="",$M91=""),IF($K91="已核定","已核定但資料未完整","待補欄位或核定"),IF($K91="已核定","可生效","待主管核定")))))</x:f>
      </x:c>
      <x:c r="O91" s="242" t="str">
        <x:f>IF($B91="","",IF($N91&lt;&gt;"可生效","未生效",IF(COUNTIFS($B$7:$B$106,$B91,$J$7:$J$106,$J91,$N$7:$N$106,"可生效")&gt;1,"同日重複核定",IF($J91&gt;TODAY(),"待生效",IF(COUNTIFS($B$7:$B$106,$B91,$N$7:$N$106,"可生效",$J$7:$J$106,"&gt;"&amp;$J91,$J$7:$J$106,"&lt;="&amp;TODAY())&gt;0,"已由後續紀錄取代","生效中")))))</x:f>
      </x:c>
      <x:c r="P91" s="242" t="str">
        <x:f>IF($O91="生效中",$B91,"")</x:f>
      </x:c>
    </x:row>
    <x:row r="92">
      <x:c r="A92" s="241"/>
      <x:c r="B92" s="241"/>
      <x:c r="C92" s="242" t="str">
        <x:f>IF($B92="","",_xlfn.XLOOKUP($B92,'試行員工主檔'!$A$7:$A$20,'試行員工主檔'!$B$7:$B$20,"未建立",0))</x:f>
      </x:c>
      <x:c r="D92" s="242" t="str">
        <x:f>IF($B92="","",_xlfn.XLOOKUP($B92,'試行員工主檔'!$A$7:$A$20,'試行員工主檔'!$C$7:$C$20,"未建立",0))</x:f>
      </x:c>
      <x:c r="E92" s="242" t="str">
        <x:f>IF($B92="","",_xlfn.XLOOKUP($B92,'試行員工主檔'!$A$7:$A$20,'試行員工主檔'!$D$7:$D$20,"未建立",0))</x:f>
      </x:c>
      <x:c r="F92" s="241"/>
      <x:c r="G92" s="241"/>
      <x:c r="H92" s="241"/>
      <x:c r="I92" s="241"/>
      <x:c r="J92" s="243"/>
      <x:c r="K92" s="241"/>
      <x:c r="L92" s="241"/>
      <x:c r="M92" s="241"/>
      <x:c r="N92" s="242" t="str">
        <x:f>IF($B92="","",IF($K92="停用","停用",IF($K92="退回補件","退回補件",IF(OR($A92="",$F92="",$G92="",$H92="",$I92="",$J92="",$L92="",$M92=""),IF($K92="已核定","已核定但資料未完整","待補欄位或核定"),IF($K92="已核定","可生效","待主管核定")))))</x:f>
      </x:c>
      <x:c r="O92" s="242" t="str">
        <x:f>IF($B92="","",IF($N92&lt;&gt;"可生效","未生效",IF(COUNTIFS($B$7:$B$106,$B92,$J$7:$J$106,$J92,$N$7:$N$106,"可生效")&gt;1,"同日重複核定",IF($J92&gt;TODAY(),"待生效",IF(COUNTIFS($B$7:$B$106,$B92,$N$7:$N$106,"可生效",$J$7:$J$106,"&gt;"&amp;$J92,$J$7:$J$106,"&lt;="&amp;TODAY())&gt;0,"已由後續紀錄取代","生效中")))))</x:f>
      </x:c>
      <x:c r="P92" s="242" t="str">
        <x:f>IF($O92="生效中",$B92,"")</x:f>
      </x:c>
    </x:row>
    <x:row r="93">
      <x:c r="A93" s="241"/>
      <x:c r="B93" s="241"/>
      <x:c r="C93" s="242" t="str">
        <x:f>IF($B93="","",_xlfn.XLOOKUP($B93,'試行員工主檔'!$A$7:$A$20,'試行員工主檔'!$B$7:$B$20,"未建立",0))</x:f>
      </x:c>
      <x:c r="D93" s="242" t="str">
        <x:f>IF($B93="","",_xlfn.XLOOKUP($B93,'試行員工主檔'!$A$7:$A$20,'試行員工主檔'!$C$7:$C$20,"未建立",0))</x:f>
      </x:c>
      <x:c r="E93" s="242" t="str">
        <x:f>IF($B93="","",_xlfn.XLOOKUP($B93,'試行員工主檔'!$A$7:$A$20,'試行員工主檔'!$D$7:$D$20,"未建立",0))</x:f>
      </x:c>
      <x:c r="F93" s="241"/>
      <x:c r="G93" s="241"/>
      <x:c r="H93" s="241"/>
      <x:c r="I93" s="241"/>
      <x:c r="J93" s="243"/>
      <x:c r="K93" s="241"/>
      <x:c r="L93" s="241"/>
      <x:c r="M93" s="241"/>
      <x:c r="N93" s="242" t="str">
        <x:f>IF($B93="","",IF($K93="停用","停用",IF($K93="退回補件","退回補件",IF(OR($A93="",$F93="",$G93="",$H93="",$I93="",$J93="",$L93="",$M93=""),IF($K93="已核定","已核定但資料未完整","待補欄位或核定"),IF($K93="已核定","可生效","待主管核定")))))</x:f>
      </x:c>
      <x:c r="O93" s="242" t="str">
        <x:f>IF($B93="","",IF($N93&lt;&gt;"可生效","未生效",IF(COUNTIFS($B$7:$B$106,$B93,$J$7:$J$106,$J93,$N$7:$N$106,"可生效")&gt;1,"同日重複核定",IF($J93&gt;TODAY(),"待生效",IF(COUNTIFS($B$7:$B$106,$B93,$N$7:$N$106,"可生效",$J$7:$J$106,"&gt;"&amp;$J93,$J$7:$J$106,"&lt;="&amp;TODAY())&gt;0,"已由後續紀錄取代","生效中")))))</x:f>
      </x:c>
      <x:c r="P93" s="242" t="str">
        <x:f>IF($O93="生效中",$B93,"")</x:f>
      </x:c>
    </x:row>
    <x:row r="94">
      <x:c r="A94" s="241"/>
      <x:c r="B94" s="241"/>
      <x:c r="C94" s="242" t="str">
        <x:f>IF($B94="","",_xlfn.XLOOKUP($B94,'試行員工主檔'!$A$7:$A$20,'試行員工主檔'!$B$7:$B$20,"未建立",0))</x:f>
      </x:c>
      <x:c r="D94" s="242" t="str">
        <x:f>IF($B94="","",_xlfn.XLOOKUP($B94,'試行員工主檔'!$A$7:$A$20,'試行員工主檔'!$C$7:$C$20,"未建立",0))</x:f>
      </x:c>
      <x:c r="E94" s="242" t="str">
        <x:f>IF($B94="","",_xlfn.XLOOKUP($B94,'試行員工主檔'!$A$7:$A$20,'試行員工主檔'!$D$7:$D$20,"未建立",0))</x:f>
      </x:c>
      <x:c r="F94" s="241"/>
      <x:c r="G94" s="241"/>
      <x:c r="H94" s="241"/>
      <x:c r="I94" s="241"/>
      <x:c r="J94" s="243"/>
      <x:c r="K94" s="241"/>
      <x:c r="L94" s="241"/>
      <x:c r="M94" s="241"/>
      <x:c r="N94" s="242" t="str">
        <x:f>IF($B94="","",IF($K94="停用","停用",IF($K94="退回補件","退回補件",IF(OR($A94="",$F94="",$G94="",$H94="",$I94="",$J94="",$L94="",$M94=""),IF($K94="已核定","已核定但資料未完整","待補欄位或核定"),IF($K94="已核定","可生效","待主管核定")))))</x:f>
      </x:c>
      <x:c r="O94" s="242" t="str">
        <x:f>IF($B94="","",IF($N94&lt;&gt;"可生效","未生效",IF(COUNTIFS($B$7:$B$106,$B94,$J$7:$J$106,$J94,$N$7:$N$106,"可生效")&gt;1,"同日重複核定",IF($J94&gt;TODAY(),"待生效",IF(COUNTIFS($B$7:$B$106,$B94,$N$7:$N$106,"可生效",$J$7:$J$106,"&gt;"&amp;$J94,$J$7:$J$106,"&lt;="&amp;TODAY())&gt;0,"已由後續紀錄取代","生效中")))))</x:f>
      </x:c>
      <x:c r="P94" s="242" t="str">
        <x:f>IF($O94="生效中",$B94,"")</x:f>
      </x:c>
    </x:row>
    <x:row r="95">
      <x:c r="A95" s="241"/>
      <x:c r="B95" s="241"/>
      <x:c r="C95" s="242" t="str">
        <x:f>IF($B95="","",_xlfn.XLOOKUP($B95,'試行員工主檔'!$A$7:$A$20,'試行員工主檔'!$B$7:$B$20,"未建立",0))</x:f>
      </x:c>
      <x:c r="D95" s="242" t="str">
        <x:f>IF($B95="","",_xlfn.XLOOKUP($B95,'試行員工主檔'!$A$7:$A$20,'試行員工主檔'!$C$7:$C$20,"未建立",0))</x:f>
      </x:c>
      <x:c r="E95" s="242" t="str">
        <x:f>IF($B95="","",_xlfn.XLOOKUP($B95,'試行員工主檔'!$A$7:$A$20,'試行員工主檔'!$D$7:$D$20,"未建立",0))</x:f>
      </x:c>
      <x:c r="F95" s="241"/>
      <x:c r="G95" s="241"/>
      <x:c r="H95" s="241"/>
      <x:c r="I95" s="241"/>
      <x:c r="J95" s="243"/>
      <x:c r="K95" s="241"/>
      <x:c r="L95" s="241"/>
      <x:c r="M95" s="241"/>
      <x:c r="N95" s="242" t="str">
        <x:f>IF($B95="","",IF($K95="停用","停用",IF($K95="退回補件","退回補件",IF(OR($A95="",$F95="",$G95="",$H95="",$I95="",$J95="",$L95="",$M95=""),IF($K95="已核定","已核定但資料未完整","待補欄位或核定"),IF($K95="已核定","可生效","待主管核定")))))</x:f>
      </x:c>
      <x:c r="O95" s="242" t="str">
        <x:f>IF($B95="","",IF($N95&lt;&gt;"可生效","未生效",IF(COUNTIFS($B$7:$B$106,$B95,$J$7:$J$106,$J95,$N$7:$N$106,"可生效")&gt;1,"同日重複核定",IF($J95&gt;TODAY(),"待生效",IF(COUNTIFS($B$7:$B$106,$B95,$N$7:$N$106,"可生效",$J$7:$J$106,"&gt;"&amp;$J95,$J$7:$J$106,"&lt;="&amp;TODAY())&gt;0,"已由後續紀錄取代","生效中")))))</x:f>
      </x:c>
      <x:c r="P95" s="242" t="str">
        <x:f>IF($O95="生效中",$B95,"")</x:f>
      </x:c>
    </x:row>
    <x:row r="96">
      <x:c r="A96" s="241"/>
      <x:c r="B96" s="241"/>
      <x:c r="C96" s="242" t="str">
        <x:f>IF($B96="","",_xlfn.XLOOKUP($B96,'試行員工主檔'!$A$7:$A$20,'試行員工主檔'!$B$7:$B$20,"未建立",0))</x:f>
      </x:c>
      <x:c r="D96" s="242" t="str">
        <x:f>IF($B96="","",_xlfn.XLOOKUP($B96,'試行員工主檔'!$A$7:$A$20,'試行員工主檔'!$C$7:$C$20,"未建立",0))</x:f>
      </x:c>
      <x:c r="E96" s="242" t="str">
        <x:f>IF($B96="","",_xlfn.XLOOKUP($B96,'試行員工主檔'!$A$7:$A$20,'試行員工主檔'!$D$7:$D$20,"未建立",0))</x:f>
      </x:c>
      <x:c r="F96" s="241"/>
      <x:c r="G96" s="241"/>
      <x:c r="H96" s="241"/>
      <x:c r="I96" s="241"/>
      <x:c r="J96" s="243"/>
      <x:c r="K96" s="241"/>
      <x:c r="L96" s="241"/>
      <x:c r="M96" s="241"/>
      <x:c r="N96" s="242" t="str">
        <x:f>IF($B96="","",IF($K96="停用","停用",IF($K96="退回補件","退回補件",IF(OR($A96="",$F96="",$G96="",$H96="",$I96="",$J96="",$L96="",$M96=""),IF($K96="已核定","已核定但資料未完整","待補欄位或核定"),IF($K96="已核定","可生效","待主管核定")))))</x:f>
      </x:c>
      <x:c r="O96" s="242" t="str">
        <x:f>IF($B96="","",IF($N96&lt;&gt;"可生效","未生效",IF(COUNTIFS($B$7:$B$106,$B96,$J$7:$J$106,$J96,$N$7:$N$106,"可生效")&gt;1,"同日重複核定",IF($J96&gt;TODAY(),"待生效",IF(COUNTIFS($B$7:$B$106,$B96,$N$7:$N$106,"可生效",$J$7:$J$106,"&gt;"&amp;$J96,$J$7:$J$106,"&lt;="&amp;TODAY())&gt;0,"已由後續紀錄取代","生效中")))))</x:f>
      </x:c>
      <x:c r="P96" s="242" t="str">
        <x:f>IF($O96="生效中",$B96,"")</x:f>
      </x:c>
    </x:row>
    <x:row r="97">
      <x:c r="A97" s="241"/>
      <x:c r="B97" s="241"/>
      <x:c r="C97" s="242" t="str">
        <x:f>IF($B97="","",_xlfn.XLOOKUP($B97,'試行員工主檔'!$A$7:$A$20,'試行員工主檔'!$B$7:$B$20,"未建立",0))</x:f>
      </x:c>
      <x:c r="D97" s="242" t="str">
        <x:f>IF($B97="","",_xlfn.XLOOKUP($B97,'試行員工主檔'!$A$7:$A$20,'試行員工主檔'!$C$7:$C$20,"未建立",0))</x:f>
      </x:c>
      <x:c r="E97" s="242" t="str">
        <x:f>IF($B97="","",_xlfn.XLOOKUP($B97,'試行員工主檔'!$A$7:$A$20,'試行員工主檔'!$D$7:$D$20,"未建立",0))</x:f>
      </x:c>
      <x:c r="F97" s="241"/>
      <x:c r="G97" s="241"/>
      <x:c r="H97" s="241"/>
      <x:c r="I97" s="241"/>
      <x:c r="J97" s="243"/>
      <x:c r="K97" s="241"/>
      <x:c r="L97" s="241"/>
      <x:c r="M97" s="241"/>
      <x:c r="N97" s="242" t="str">
        <x:f>IF($B97="","",IF($K97="停用","停用",IF($K97="退回補件","退回補件",IF(OR($A97="",$F97="",$G97="",$H97="",$I97="",$J97="",$L97="",$M97=""),IF($K97="已核定","已核定但資料未完整","待補欄位或核定"),IF($K97="已核定","可生效","待主管核定")))))</x:f>
      </x:c>
      <x:c r="O97" s="242" t="str">
        <x:f>IF($B97="","",IF($N97&lt;&gt;"可生效","未生效",IF(COUNTIFS($B$7:$B$106,$B97,$J$7:$J$106,$J97,$N$7:$N$106,"可生效")&gt;1,"同日重複核定",IF($J97&gt;TODAY(),"待生效",IF(COUNTIFS($B$7:$B$106,$B97,$N$7:$N$106,"可生效",$J$7:$J$106,"&gt;"&amp;$J97,$J$7:$J$106,"&lt;="&amp;TODAY())&gt;0,"已由後續紀錄取代","生效中")))))</x:f>
      </x:c>
      <x:c r="P97" s="242" t="str">
        <x:f>IF($O97="生效中",$B97,"")</x:f>
      </x:c>
    </x:row>
    <x:row r="98">
      <x:c r="A98" s="241"/>
      <x:c r="B98" s="241"/>
      <x:c r="C98" s="242" t="str">
        <x:f>IF($B98="","",_xlfn.XLOOKUP($B98,'試行員工主檔'!$A$7:$A$20,'試行員工主檔'!$B$7:$B$20,"未建立",0))</x:f>
      </x:c>
      <x:c r="D98" s="242" t="str">
        <x:f>IF($B98="","",_xlfn.XLOOKUP($B98,'試行員工主檔'!$A$7:$A$20,'試行員工主檔'!$C$7:$C$20,"未建立",0))</x:f>
      </x:c>
      <x:c r="E98" s="242" t="str">
        <x:f>IF($B98="","",_xlfn.XLOOKUP($B98,'試行員工主檔'!$A$7:$A$20,'試行員工主檔'!$D$7:$D$20,"未建立",0))</x:f>
      </x:c>
      <x:c r="F98" s="241"/>
      <x:c r="G98" s="241"/>
      <x:c r="H98" s="241"/>
      <x:c r="I98" s="241"/>
      <x:c r="J98" s="243"/>
      <x:c r="K98" s="241"/>
      <x:c r="L98" s="241"/>
      <x:c r="M98" s="241"/>
      <x:c r="N98" s="242" t="str">
        <x:f>IF($B98="","",IF($K98="停用","停用",IF($K98="退回補件","退回補件",IF(OR($A98="",$F98="",$G98="",$H98="",$I98="",$J98="",$L98="",$M98=""),IF($K98="已核定","已核定但資料未完整","待補欄位或核定"),IF($K98="已核定","可生效","待主管核定")))))</x:f>
      </x:c>
      <x:c r="O98" s="242" t="str">
        <x:f>IF($B98="","",IF($N98&lt;&gt;"可生效","未生效",IF(COUNTIFS($B$7:$B$106,$B98,$J$7:$J$106,$J98,$N$7:$N$106,"可生效")&gt;1,"同日重複核定",IF($J98&gt;TODAY(),"待生效",IF(COUNTIFS($B$7:$B$106,$B98,$N$7:$N$106,"可生效",$J$7:$J$106,"&gt;"&amp;$J98,$J$7:$J$106,"&lt;="&amp;TODAY())&gt;0,"已由後續紀錄取代","生效中")))))</x:f>
      </x:c>
      <x:c r="P98" s="242" t="str">
        <x:f>IF($O98="生效中",$B98,"")</x:f>
      </x:c>
    </x:row>
    <x:row r="99">
      <x:c r="A99" s="241"/>
      <x:c r="B99" s="241"/>
      <x:c r="C99" s="242" t="str">
        <x:f>IF($B99="","",_xlfn.XLOOKUP($B99,'試行員工主檔'!$A$7:$A$20,'試行員工主檔'!$B$7:$B$20,"未建立",0))</x:f>
      </x:c>
      <x:c r="D99" s="242" t="str">
        <x:f>IF($B99="","",_xlfn.XLOOKUP($B99,'試行員工主檔'!$A$7:$A$20,'試行員工主檔'!$C$7:$C$20,"未建立",0))</x:f>
      </x:c>
      <x:c r="E99" s="242" t="str">
        <x:f>IF($B99="","",_xlfn.XLOOKUP($B99,'試行員工主檔'!$A$7:$A$20,'試行員工主檔'!$D$7:$D$20,"未建立",0))</x:f>
      </x:c>
      <x:c r="F99" s="241"/>
      <x:c r="G99" s="241"/>
      <x:c r="H99" s="241"/>
      <x:c r="I99" s="241"/>
      <x:c r="J99" s="243"/>
      <x:c r="K99" s="241"/>
      <x:c r="L99" s="241"/>
      <x:c r="M99" s="241"/>
      <x:c r="N99" s="242" t="str">
        <x:f>IF($B99="","",IF($K99="停用","停用",IF($K99="退回補件","退回補件",IF(OR($A99="",$F99="",$G99="",$H99="",$I99="",$J99="",$L99="",$M99=""),IF($K99="已核定","已核定但資料未完整","待補欄位或核定"),IF($K99="已核定","可生效","待主管核定")))))</x:f>
      </x:c>
      <x:c r="O99" s="242" t="str">
        <x:f>IF($B99="","",IF($N99&lt;&gt;"可生效","未生效",IF(COUNTIFS($B$7:$B$106,$B99,$J$7:$J$106,$J99,$N$7:$N$106,"可生效")&gt;1,"同日重複核定",IF($J99&gt;TODAY(),"待生效",IF(COUNTIFS($B$7:$B$106,$B99,$N$7:$N$106,"可生效",$J$7:$J$106,"&gt;"&amp;$J99,$J$7:$J$106,"&lt;="&amp;TODAY())&gt;0,"已由後續紀錄取代","生效中")))))</x:f>
      </x:c>
      <x:c r="P99" s="242" t="str">
        <x:f>IF($O99="生效中",$B99,"")</x:f>
      </x:c>
    </x:row>
    <x:row r="100">
      <x:c r="A100" s="241"/>
      <x:c r="B100" s="241"/>
      <x:c r="C100" s="242" t="str">
        <x:f>IF($B100="","",_xlfn.XLOOKUP($B100,'試行員工主檔'!$A$7:$A$20,'試行員工主檔'!$B$7:$B$20,"未建立",0))</x:f>
      </x:c>
      <x:c r="D100" s="242" t="str">
        <x:f>IF($B100="","",_xlfn.XLOOKUP($B100,'試行員工主檔'!$A$7:$A$20,'試行員工主檔'!$C$7:$C$20,"未建立",0))</x:f>
      </x:c>
      <x:c r="E100" s="242" t="str">
        <x:f>IF($B100="","",_xlfn.XLOOKUP($B100,'試行員工主檔'!$A$7:$A$20,'試行員工主檔'!$D$7:$D$20,"未建立",0))</x:f>
      </x:c>
      <x:c r="F100" s="241"/>
      <x:c r="G100" s="241"/>
      <x:c r="H100" s="241"/>
      <x:c r="I100" s="241"/>
      <x:c r="J100" s="243"/>
      <x:c r="K100" s="241"/>
      <x:c r="L100" s="241"/>
      <x:c r="M100" s="241"/>
      <x:c r="N100" s="242" t="str">
        <x:f>IF($B100="","",IF($K100="停用","停用",IF($K100="退回補件","退回補件",IF(OR($A100="",$F100="",$G100="",$H100="",$I100="",$J100="",$L100="",$M100=""),IF($K100="已核定","已核定但資料未完整","待補欄位或核定"),IF($K100="已核定","可生效","待主管核定")))))</x:f>
      </x:c>
      <x:c r="O100" s="242" t="str">
        <x:f>IF($B100="","",IF($N100&lt;&gt;"可生效","未生效",IF(COUNTIFS($B$7:$B$106,$B100,$J$7:$J$106,$J100,$N$7:$N$106,"可生效")&gt;1,"同日重複核定",IF($J100&gt;TODAY(),"待生效",IF(COUNTIFS($B$7:$B$106,$B100,$N$7:$N$106,"可生效",$J$7:$J$106,"&gt;"&amp;$J100,$J$7:$J$106,"&lt;="&amp;TODAY())&gt;0,"已由後續紀錄取代","生效中")))))</x:f>
      </x:c>
      <x:c r="P100" s="242" t="str">
        <x:f>IF($O100="生效中",$B100,"")</x:f>
      </x:c>
    </x:row>
    <x:row r="101">
      <x:c r="A101" s="241"/>
      <x:c r="B101" s="241"/>
      <x:c r="C101" s="242" t="str">
        <x:f>IF($B101="","",_xlfn.XLOOKUP($B101,'試行員工主檔'!$A$7:$A$20,'試行員工主檔'!$B$7:$B$20,"未建立",0))</x:f>
      </x:c>
      <x:c r="D101" s="242" t="str">
        <x:f>IF($B101="","",_xlfn.XLOOKUP($B101,'試行員工主檔'!$A$7:$A$20,'試行員工主檔'!$C$7:$C$20,"未建立",0))</x:f>
      </x:c>
      <x:c r="E101" s="242" t="str">
        <x:f>IF($B101="","",_xlfn.XLOOKUP($B101,'試行員工主檔'!$A$7:$A$20,'試行員工主檔'!$D$7:$D$20,"未建立",0))</x:f>
      </x:c>
      <x:c r="F101" s="241"/>
      <x:c r="G101" s="241"/>
      <x:c r="H101" s="241"/>
      <x:c r="I101" s="241"/>
      <x:c r="J101" s="243"/>
      <x:c r="K101" s="241"/>
      <x:c r="L101" s="241"/>
      <x:c r="M101" s="241"/>
      <x:c r="N101" s="242" t="str">
        <x:f>IF($B101="","",IF($K101="停用","停用",IF($K101="退回補件","退回補件",IF(OR($A101="",$F101="",$G101="",$H101="",$I101="",$J101="",$L101="",$M101=""),IF($K101="已核定","已核定但資料未完整","待補欄位或核定"),IF($K101="已核定","可生效","待主管核定")))))</x:f>
      </x:c>
      <x:c r="O101" s="242" t="str">
        <x:f>IF($B101="","",IF($N101&lt;&gt;"可生效","未生效",IF(COUNTIFS($B$7:$B$106,$B101,$J$7:$J$106,$J101,$N$7:$N$106,"可生效")&gt;1,"同日重複核定",IF($J101&gt;TODAY(),"待生效",IF(COUNTIFS($B$7:$B$106,$B101,$N$7:$N$106,"可生效",$J$7:$J$106,"&gt;"&amp;$J101,$J$7:$J$106,"&lt;="&amp;TODAY())&gt;0,"已由後續紀錄取代","生效中")))))</x:f>
      </x:c>
      <x:c r="P101" s="242" t="str">
        <x:f>IF($O101="生效中",$B101,"")</x:f>
      </x:c>
    </x:row>
    <x:row r="102">
      <x:c r="A102" s="241"/>
      <x:c r="B102" s="241"/>
      <x:c r="C102" s="242" t="str">
        <x:f>IF($B102="","",_xlfn.XLOOKUP($B102,'試行員工主檔'!$A$7:$A$20,'試行員工主檔'!$B$7:$B$20,"未建立",0))</x:f>
      </x:c>
      <x:c r="D102" s="242" t="str">
        <x:f>IF($B102="","",_xlfn.XLOOKUP($B102,'試行員工主檔'!$A$7:$A$20,'試行員工主檔'!$C$7:$C$20,"未建立",0))</x:f>
      </x:c>
      <x:c r="E102" s="242" t="str">
        <x:f>IF($B102="","",_xlfn.XLOOKUP($B102,'試行員工主檔'!$A$7:$A$20,'試行員工主檔'!$D$7:$D$20,"未建立",0))</x:f>
      </x:c>
      <x:c r="F102" s="241"/>
      <x:c r="G102" s="241"/>
      <x:c r="H102" s="241"/>
      <x:c r="I102" s="241"/>
      <x:c r="J102" s="243"/>
      <x:c r="K102" s="241"/>
      <x:c r="L102" s="241"/>
      <x:c r="M102" s="241"/>
      <x:c r="N102" s="242" t="str">
        <x:f>IF($B102="","",IF($K102="停用","停用",IF($K102="退回補件","退回補件",IF(OR($A102="",$F102="",$G102="",$H102="",$I102="",$J102="",$L102="",$M102=""),IF($K102="已核定","已核定但資料未完整","待補欄位或核定"),IF($K102="已核定","可生效","待主管核定")))))</x:f>
      </x:c>
      <x:c r="O102" s="242" t="str">
        <x:f>IF($B102="","",IF($N102&lt;&gt;"可生效","未生效",IF(COUNTIFS($B$7:$B$106,$B102,$J$7:$J$106,$J102,$N$7:$N$106,"可生效")&gt;1,"同日重複核定",IF($J102&gt;TODAY(),"待生效",IF(COUNTIFS($B$7:$B$106,$B102,$N$7:$N$106,"可生效",$J$7:$J$106,"&gt;"&amp;$J102,$J$7:$J$106,"&lt;="&amp;TODAY())&gt;0,"已由後續紀錄取代","生效中")))))</x:f>
      </x:c>
      <x:c r="P102" s="242" t="str">
        <x:f>IF($O102="生效中",$B102,"")</x:f>
      </x:c>
    </x:row>
    <x:row r="103">
      <x:c r="A103" s="241"/>
      <x:c r="B103" s="241"/>
      <x:c r="C103" s="242" t="str">
        <x:f>IF($B103="","",_xlfn.XLOOKUP($B103,'試行員工主檔'!$A$7:$A$20,'試行員工主檔'!$B$7:$B$20,"未建立",0))</x:f>
      </x:c>
      <x:c r="D103" s="242" t="str">
        <x:f>IF($B103="","",_xlfn.XLOOKUP($B103,'試行員工主檔'!$A$7:$A$20,'試行員工主檔'!$C$7:$C$20,"未建立",0))</x:f>
      </x:c>
      <x:c r="E103" s="242" t="str">
        <x:f>IF($B103="","",_xlfn.XLOOKUP($B103,'試行員工主檔'!$A$7:$A$20,'試行員工主檔'!$D$7:$D$20,"未建立",0))</x:f>
      </x:c>
      <x:c r="F103" s="241"/>
      <x:c r="G103" s="241"/>
      <x:c r="H103" s="241"/>
      <x:c r="I103" s="241"/>
      <x:c r="J103" s="243"/>
      <x:c r="K103" s="241"/>
      <x:c r="L103" s="241"/>
      <x:c r="M103" s="241"/>
      <x:c r="N103" s="242" t="str">
        <x:f>IF($B103="","",IF($K103="停用","停用",IF($K103="退回補件","退回補件",IF(OR($A103="",$F103="",$G103="",$H103="",$I103="",$J103="",$L103="",$M103=""),IF($K103="已核定","已核定但資料未完整","待補欄位或核定"),IF($K103="已核定","可生效","待主管核定")))))</x:f>
      </x:c>
      <x:c r="O103" s="242" t="str">
        <x:f>IF($B103="","",IF($N103&lt;&gt;"可生效","未生效",IF(COUNTIFS($B$7:$B$106,$B103,$J$7:$J$106,$J103,$N$7:$N$106,"可生效")&gt;1,"同日重複核定",IF($J103&gt;TODAY(),"待生效",IF(COUNTIFS($B$7:$B$106,$B103,$N$7:$N$106,"可生效",$J$7:$J$106,"&gt;"&amp;$J103,$J$7:$J$106,"&lt;="&amp;TODAY())&gt;0,"已由後續紀錄取代","生效中")))))</x:f>
      </x:c>
      <x:c r="P103" s="242" t="str">
        <x:f>IF($O103="生效中",$B103,"")</x:f>
      </x:c>
    </x:row>
    <x:row r="104">
      <x:c r="A104" s="241"/>
      <x:c r="B104" s="241"/>
      <x:c r="C104" s="242" t="str">
        <x:f>IF($B104="","",_xlfn.XLOOKUP($B104,'試行員工主檔'!$A$7:$A$20,'試行員工主檔'!$B$7:$B$20,"未建立",0))</x:f>
      </x:c>
      <x:c r="D104" s="242" t="str">
        <x:f>IF($B104="","",_xlfn.XLOOKUP($B104,'試行員工主檔'!$A$7:$A$20,'試行員工主檔'!$C$7:$C$20,"未建立",0))</x:f>
      </x:c>
      <x:c r="E104" s="242" t="str">
        <x:f>IF($B104="","",_xlfn.XLOOKUP($B104,'試行員工主檔'!$A$7:$A$20,'試行員工主檔'!$D$7:$D$20,"未建立",0))</x:f>
      </x:c>
      <x:c r="F104" s="241"/>
      <x:c r="G104" s="241"/>
      <x:c r="H104" s="241"/>
      <x:c r="I104" s="241"/>
      <x:c r="J104" s="243"/>
      <x:c r="K104" s="241"/>
      <x:c r="L104" s="241"/>
      <x:c r="M104" s="241"/>
      <x:c r="N104" s="242" t="str">
        <x:f>IF($B104="","",IF($K104="停用","停用",IF($K104="退回補件","退回補件",IF(OR($A104="",$F104="",$G104="",$H104="",$I104="",$J104="",$L104="",$M104=""),IF($K104="已核定","已核定但資料未完整","待補欄位或核定"),IF($K104="已核定","可生效","待主管核定")))))</x:f>
      </x:c>
      <x:c r="O104" s="242" t="str">
        <x:f>IF($B104="","",IF($N104&lt;&gt;"可生效","未生效",IF(COUNTIFS($B$7:$B$106,$B104,$J$7:$J$106,$J104,$N$7:$N$106,"可生效")&gt;1,"同日重複核定",IF($J104&gt;TODAY(),"待生效",IF(COUNTIFS($B$7:$B$106,$B104,$N$7:$N$106,"可生效",$J$7:$J$106,"&gt;"&amp;$J104,$J$7:$J$106,"&lt;="&amp;TODAY())&gt;0,"已由後續紀錄取代","生效中")))))</x:f>
      </x:c>
      <x:c r="P104" s="242" t="str">
        <x:f>IF($O104="生效中",$B104,"")</x:f>
      </x:c>
    </x:row>
    <x:row r="105">
      <x:c r="A105" s="241"/>
      <x:c r="B105" s="241"/>
      <x:c r="C105" s="242" t="str">
        <x:f>IF($B105="","",_xlfn.XLOOKUP($B105,'試行員工主檔'!$A$7:$A$20,'試行員工主檔'!$B$7:$B$20,"未建立",0))</x:f>
      </x:c>
      <x:c r="D105" s="242" t="str">
        <x:f>IF($B105="","",_xlfn.XLOOKUP($B105,'試行員工主檔'!$A$7:$A$20,'試行員工主檔'!$C$7:$C$20,"未建立",0))</x:f>
      </x:c>
      <x:c r="E105" s="242" t="str">
        <x:f>IF($B105="","",_xlfn.XLOOKUP($B105,'試行員工主檔'!$A$7:$A$20,'試行員工主檔'!$D$7:$D$20,"未建立",0))</x:f>
      </x:c>
      <x:c r="F105" s="241"/>
      <x:c r="G105" s="241"/>
      <x:c r="H105" s="241"/>
      <x:c r="I105" s="241"/>
      <x:c r="J105" s="243"/>
      <x:c r="K105" s="241"/>
      <x:c r="L105" s="241"/>
      <x:c r="M105" s="241"/>
      <x:c r="N105" s="242" t="str">
        <x:f>IF($B105="","",IF($K105="停用","停用",IF($K105="退回補件","退回補件",IF(OR($A105="",$F105="",$G105="",$H105="",$I105="",$J105="",$L105="",$M105=""),IF($K105="已核定","已核定但資料未完整","待補欄位或核定"),IF($K105="已核定","可生效","待主管核定")))))</x:f>
      </x:c>
      <x:c r="O105" s="242" t="str">
        <x:f>IF($B105="","",IF($N105&lt;&gt;"可生效","未生效",IF(COUNTIFS($B$7:$B$106,$B105,$J$7:$J$106,$J105,$N$7:$N$106,"可生效")&gt;1,"同日重複核定",IF($J105&gt;TODAY(),"待生效",IF(COUNTIFS($B$7:$B$106,$B105,$N$7:$N$106,"可生效",$J$7:$J$106,"&gt;"&amp;$J105,$J$7:$J$106,"&lt;="&amp;TODAY())&gt;0,"已由後續紀錄取代","生效中")))))</x:f>
      </x:c>
      <x:c r="P105" s="242" t="str">
        <x:f>IF($O105="生效中",$B105,"")</x:f>
      </x:c>
    </x:row>
    <x:row r="106">
      <x:c r="A106" s="241"/>
      <x:c r="B106" s="241"/>
      <x:c r="C106" s="242" t="str">
        <x:f>IF($B106="","",_xlfn.XLOOKUP($B106,'試行員工主檔'!$A$7:$A$20,'試行員工主檔'!$B$7:$B$20,"未建立",0))</x:f>
      </x:c>
      <x:c r="D106" s="242" t="str">
        <x:f>IF($B106="","",_xlfn.XLOOKUP($B106,'試行員工主檔'!$A$7:$A$20,'試行員工主檔'!$C$7:$C$20,"未建立",0))</x:f>
      </x:c>
      <x:c r="E106" s="242" t="str">
        <x:f>IF($B106="","",_xlfn.XLOOKUP($B106,'試行員工主檔'!$A$7:$A$20,'試行員工主檔'!$D$7:$D$20,"未建立",0))</x:f>
      </x:c>
      <x:c r="F106" s="241"/>
      <x:c r="G106" s="241"/>
      <x:c r="H106" s="241"/>
      <x:c r="I106" s="241"/>
      <x:c r="J106" s="243"/>
      <x:c r="K106" s="241"/>
      <x:c r="L106" s="241"/>
      <x:c r="M106" s="241"/>
      <x:c r="N106" s="242" t="str">
        <x:f>IF($B106="","",IF($K106="停用","停用",IF($K106="退回補件","退回補件",IF(OR($A106="",$F106="",$G106="",$H106="",$I106="",$J106="",$L106="",$M106=""),IF($K106="已核定","已核定但資料未完整","待補欄位或核定"),IF($K106="已核定","可生效","待主管核定")))))</x:f>
      </x:c>
      <x:c r="O106" s="242" t="str">
        <x:f>IF($B106="","",IF($N106&lt;&gt;"可生效","未生效",IF(COUNTIFS($B$7:$B$106,$B106,$J$7:$J$106,$J106,$N$7:$N$106,"可生效")&gt;1,"同日重複核定",IF($J106&gt;TODAY(),"待生效",IF(COUNTIFS($B$7:$B$106,$B106,$N$7:$N$106,"可生效",$J$7:$J$106,"&gt;"&amp;$J106,$J$7:$J$106,"&lt;="&amp;TODAY())&gt;0,"已由後續紀錄取代","生效中")))))</x:f>
      </x:c>
      <x:c r="P106" s="242" t="str">
        <x:f>IF($O106="生效中",$B106,"")</x:f>
      </x:c>
    </x:row>
  </x:sheetData>
  <x:conditionalFormatting sqref="N7:N106">
    <x:cfRule type="containsText" dxfId="62" priority="1" operator="containsText" text="可生效"/>
    <x:cfRule type="containsText" dxfId="63" priority="2" operator="containsText" text="未完整"/>
    <x:cfRule type="containsText" dxfId="64" priority="3" operator="containsText" text="待補"/>
  </x:conditionalFormatting>
  <x:conditionalFormatting sqref="O7:O106">
    <x:cfRule type="containsText" dxfId="65" priority="4" operator="containsText" text="生效中"/>
    <x:cfRule type="containsText" dxfId="66" priority="5" operator="containsText" text="重複"/>
  </x:conditionalFormatting>
  <x:dataValidations count="3">
    <x:dataValidation type="list" sqref="F7:F106">
      <x:formula1>"正職助理路徑,兼職流動路徑,主管指定其他路徑"</x:formula1>
    </x:dataValidation>
    <x:dataValidation type="list" sqref="I7:I106">
      <x:formula1>"Lv.1,Lv.2,Lv.3,Lv.4,Lv.5,Lv.6,Lv.7,Lv.8,Lv.9,Lv.10"</x:formula1>
    </x:dataValidation>
    <x:dataValidation type="list" sqref="K7:K106">
      <x:formula1>"待核定,已核定,退回補件,停用"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da8fa2666246a3"/>
  </x:tableParts>
</x:worksheet>
</file>

<file path=xl/worksheets/sheet36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34" hidden="0" customWidth="1"/>
    <x:col min="5" max="5" width="12" hidden="0" customWidth="1"/>
    <x:col min="6" max="6" width="12" hidden="0" customWidth="1"/>
    <x:col min="7" max="7" width="18" hidden="0" customWidth="1"/>
    <x:col min="8" max="8" width="32" hidden="0" customWidth="1"/>
    <x:col min="9" max="9" width="20" hidden="0" customWidth="1"/>
    <x:col min="10" max="10" width="24" hidden="0" customWidth="1"/>
    <x:col min="11" max="11" width="20" hidden="0" customWidth="1"/>
    <x:col min="12" max="12" width="20" hidden="0" customWidth="1"/>
    <x:col min="13" max="13" width="32" hidden="0" customWidth="1"/>
    <x:col min="14" max="14" width="24" hidden="0" customWidth="1"/>
    <x:col min="15" max="15" width="14" hidden="0" customWidth="1"/>
    <x:col min="16" max="16" width="16" hidden="0" customWidth="1"/>
    <x:col min="17" max="17" width="30" hidden="0" customWidth="1"/>
    <x:col min="18" max="18" width="28" hidden="0" customWidth="1"/>
    <x:col min="19" max="19" width="32" hidden="0" customWidth="1"/>
    <x:col min="20" max="20" width="24" hidden="0" customWidth="1"/>
    <x:col min="21" max="21" width="22" hidden="0" customWidth="1"/>
    <x:col min="22" max="22" width="22" hidden="0" customWidth="1"/>
  </x:cols>
  <x:sheetData>
    <x:row r="2">
      <x:c r="A2" s="74" t="str">
        <x:v>技能標準名稱與來源文字對照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</x:row>
    <x:row r="4">
      <x:c r="A4" s="75" t="str">
        <x:v>每個工作區塊、分類與原始技能文字各保留一列。主管核定前不合併；複合影像項目須先拆分。跟診順暢度只路由至跟診熟悉度，不作為能力技能。黃色為主管輸入，藍色為系統計算或來源欄位。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</x:row>
    <x:row r="6">
      <x:c r="A6" s="258" t="str">
        <x:v>對照鍵</x:v>
      </x:c>
      <x:c r="B6" s="258" t="str">
        <x:v>來源工作區塊</x:v>
      </x:c>
      <x:c r="C6" s="258" t="str">
        <x:v>來源分類</x:v>
      </x:c>
      <x:c r="D6" s="258" t="str">
        <x:v>來源技能文字</x:v>
      </x:c>
      <x:c r="E6" s="258" t="str">
        <x:v>納入員工數</x:v>
      </x:c>
      <x:c r="F6" s="258" t="str">
        <x:v>有評等人數</x:v>
      </x:c>
      <x:c r="G6" s="258" t="str">
        <x:v>原表列號</x:v>
      </x:c>
      <x:c r="H6" s="258" t="str">
        <x:v>建議標準名稱</x:v>
      </x:c>
      <x:c r="I6" s="258" t="str">
        <x:v>建議類型</x:v>
      </x:c>
      <x:c r="J6" s="258" t="str">
        <x:v>建議標準代碼</x:v>
      </x:c>
      <x:c r="K6" s="258" t="str">
        <x:v>建議處理</x:v>
      </x:c>
      <x:c r="L6" s="258" t="str">
        <x:v>主管決定</x:v>
      </x:c>
      <x:c r="M6" s="258" t="str">
        <x:v>核定標準名稱</x:v>
      </x:c>
      <x:c r="N6" s="258" t="str">
        <x:v>核定標準代碼</x:v>
      </x:c>
      <x:c r="O6" s="258" t="str">
        <x:v>生效日</x:v>
      </x:c>
      <x:c r="P6" s="258" t="str">
        <x:v>核定人</x:v>
      </x:c>
      <x:c r="Q6" s="258" t="str">
        <x:v>備註</x:v>
      </x:c>
      <x:c r="R6" s="258" t="str">
        <x:v>收件檢核</x:v>
      </x:c>
      <x:c r="S6" s="258" t="str">
        <x:v>最終標準名稱</x:v>
      </x:c>
      <x:c r="T6" s="258" t="str">
        <x:v>最終標準代碼</x:v>
      </x:c>
      <x:c r="U6" s="258" t="str">
        <x:v>代碼檢核</x:v>
      </x:c>
      <x:c r="V6" s="258" t="str">
        <x:v>發布狀態</x:v>
      </x:c>
    </x:row>
    <x:row r="7">
      <x:c r="A7" s="262" t="str">
        <x:v>MAP-001</x:v>
      </x:c>
      <x:c r="B7" s="262" t="str">
        <x:v>流動工作</x:v>
      </x:c>
      <x:c r="C7" s="262"/>
      <x:c r="D7" s="262" t="str">
        <x:v>撤備台</x:v>
      </x:c>
      <x:c r="E7" s="262" t="n">
        <x:v>14</x:v>
      </x:c>
      <x:c r="F7" s="262" t="n">
        <x:v>13</x:v>
      </x:c>
      <x:c r="G7" s="262" t="str">
        <x:v>5</x:v>
      </x:c>
      <x:c r="H7" s="262" t="str">
        <x:v>撤台與備台</x:v>
      </x:c>
      <x:c r="I7" s="262" t="str">
        <x:v>流程技能</x:v>
      </x:c>
      <x:c r="J7" s="262" t="str">
        <x:v>FLOW-SETUP-CLEAR</x:v>
      </x:c>
      <x:c r="K7" s="262" t="str">
        <x:v>建立新標準</x:v>
      </x:c>
      <x:c r="L7" s="263" t="str">
        <x:v>待核定</x:v>
      </x:c>
      <x:c r="M7" s="263"/>
      <x:c r="N7" s="263"/>
      <x:c r="O7" s="264"/>
      <x:c r="P7" s="263"/>
      <x:c r="Q7" s="263"/>
      <x:c r="R7" s="262" t="str">
        <x:f>IF($A7="","",IF($L7="待核定","待主管核定",IF($L7="停用","停用",IF($L7="採用建議",IF($K7="需拆分","需完成拆分",IF(OR($H7="",$I7="",$J7="",$O7="",$P7=""),"待補建議或核定資料","可發布")),IF($L7="路由跟診熟悉度",IF(OR($H7="",$J7="",$O7="",$P7=""),"待補核定資料","可發布"),IF(OR($L7="另訂標準",$L7="不合併"),IF(OR($M7="",$N7="",$O7="",$P7=""),"待補最終名稱、代碼或核定資料","可發布"),"待主管核定"))))))</x:f>
        <x:v>待主管核定</x:v>
      </x:c>
      <x:c r="S7" s="262" t="str">
        <x:f>IF($R7&lt;&gt;"可發布","",IF(OR($L7="採用建議",$L7="路由跟診熟悉度"),$H7,$M7))</x:f>
      </x:c>
      <x:c r="T7" s="262" t="str">
        <x:f>IF($R7&lt;&gt;"可發布","",IF(OR($L7="採用建議",$L7="路由跟診熟悉度"),$J7,$N7))</x:f>
      </x:c>
      <x:c r="U7" s="262" t="str">
        <x:f>IF($R7&lt;&gt;"可發布","未檢核",IF($T7="","缺少代碼",IF(COUNTIFS($T$7:$T$123,$T7,$R$7:$R$123,"可發布",$S$7:$S$123,"&lt;&gt;"&amp;$S7)&gt;0,"代碼對應多名稱","一致")))</x:f>
        <x:v>未檢核</x:v>
      </x:c>
      <x:c r="V7" s="262" t="str">
        <x:f>IF($A7="","",IF($R7&lt;&gt;"可發布",$R7,IF($U7="一致","已發布",$U7)))</x:f>
        <x:v>待主管核定</x:v>
      </x:c>
    </x:row>
    <x:row r="8">
      <x:c r="A8" s="262" t="str">
        <x:v>MAP-002</x:v>
      </x:c>
      <x:c r="B8" s="262" t="str">
        <x:v>流動工作</x:v>
      </x:c>
      <x:c r="C8" s="262"/>
      <x:c r="D8" s="262" t="str">
        <x:v>器械清消流程</x:v>
      </x:c>
      <x:c r="E8" s="262" t="n">
        <x:v>14</x:v>
      </x:c>
      <x:c r="F8" s="262" t="n">
        <x:v>13</x:v>
      </x:c>
      <x:c r="G8" s="262" t="str">
        <x:v>6</x:v>
      </x:c>
      <x:c r="H8" s="262" t="str">
        <x:v>器械清潔消毒流程</x:v>
      </x:c>
      <x:c r="I8" s="262" t="str">
        <x:v>流程技能</x:v>
      </x:c>
      <x:c r="J8" s="262" t="str">
        <x:v>FLOW-STERILIZATION</x:v>
      </x:c>
      <x:c r="K8" s="262" t="str">
        <x:v>建立新標準</x:v>
      </x:c>
      <x:c r="L8" s="263" t="str">
        <x:v>待核定</x:v>
      </x:c>
      <x:c r="M8" s="263"/>
      <x:c r="N8" s="263"/>
      <x:c r="O8" s="264"/>
      <x:c r="P8" s="263"/>
      <x:c r="Q8" s="263"/>
      <x:c r="R8" s="262" t="str">
        <x:f>IF($A8="","",IF($L8="待核定","待主管核定",IF($L8="停用","停用",IF($L8="採用建議",IF($K8="需拆分","需完成拆分",IF(OR($H8="",$I8="",$J8="",$O8="",$P8=""),"待補建議或核定資料","可發布")),IF($L8="路由跟診熟悉度",IF(OR($H8="",$J8="",$O8="",$P8=""),"待補核定資料","可發布"),IF(OR($L8="另訂標準",$L8="不合併"),IF(OR($M8="",$N8="",$O8="",$P8=""),"待補最終名稱、代碼或核定資料","可發布"),"待主管核定"))))))</x:f>
        <x:v>待主管核定</x:v>
      </x:c>
      <x:c r="S8" s="262" t="str">
        <x:f>IF($R8&lt;&gt;"可發布","",IF(OR($L8="採用建議",$L8="路由跟診熟悉度"),$H8,$M8))</x:f>
      </x:c>
      <x:c r="T8" s="262" t="str">
        <x:f>IF($R8&lt;&gt;"可發布","",IF(OR($L8="採用建議",$L8="路由跟診熟悉度"),$J8,$N8))</x:f>
      </x:c>
      <x:c r="U8" s="262" t="str">
        <x:f>IF($R8&lt;&gt;"可發布","未檢核",IF($T8="","缺少代碼",IF(COUNTIFS($T$7:$T$123,$T8,$R$7:$R$123,"可發布",$S$7:$S$123,"&lt;&gt;"&amp;$S8)&gt;0,"代碼對應多名稱","一致")))</x:f>
        <x:v>未檢核</x:v>
      </x:c>
      <x:c r="V8" s="262" t="str">
        <x:f>IF($A8="","",IF($R8&lt;&gt;"可發布",$R8,IF($U8="一致","已發布",$U8)))</x:f>
        <x:v>待主管核定</x:v>
      </x:c>
    </x:row>
    <x:row r="9">
      <x:c r="A9" s="262" t="str">
        <x:v>MAP-003</x:v>
      </x:c>
      <x:c r="B9" s="262" t="str">
        <x:v>流動工作</x:v>
      </x:c>
      <x:c r="C9" s="262"/>
      <x:c r="D9" s="262" t="str">
        <x:v>認識治療項目</x:v>
      </x:c>
      <x:c r="E9" s="262" t="n">
        <x:v>14</x:v>
      </x:c>
      <x:c r="F9" s="262" t="n">
        <x:v>13</x:v>
      </x:c>
      <x:c r="G9" s="262" t="str">
        <x:v>7</x:v>
      </x:c>
      <x:c r="H9" s="262" t="str">
        <x:v>治療項目辨識</x:v>
      </x:c>
      <x:c r="I9" s="262" t="str">
        <x:v>流程技能</x:v>
      </x:c>
      <x:c r="J9" s="262" t="str">
        <x:v>FLOW-TREATMENT-RECOGNITION</x:v>
      </x:c>
      <x:c r="K9" s="262" t="str">
        <x:v>建立新標準</x:v>
      </x:c>
      <x:c r="L9" s="263" t="str">
        <x:v>待核定</x:v>
      </x:c>
      <x:c r="M9" s="263"/>
      <x:c r="N9" s="263"/>
      <x:c r="O9" s="264"/>
      <x:c r="P9" s="263"/>
      <x:c r="Q9" s="263"/>
      <x:c r="R9" s="262" t="str">
        <x:f>IF($A9="","",IF($L9="待核定","待主管核定",IF($L9="停用","停用",IF($L9="採用建議",IF($K9="需拆分","需完成拆分",IF(OR($H9="",$I9="",$J9="",$O9="",$P9=""),"待補建議或核定資料","可發布")),IF($L9="路由跟診熟悉度",IF(OR($H9="",$J9="",$O9="",$P9=""),"待補核定資料","可發布"),IF(OR($L9="另訂標準",$L9="不合併"),IF(OR($M9="",$N9="",$O9="",$P9=""),"待補最終名稱、代碼或核定資料","可發布"),"待主管核定"))))))</x:f>
        <x:v>待主管核定</x:v>
      </x:c>
      <x:c r="S9" s="262" t="str">
        <x:f>IF($R9&lt;&gt;"可發布","",IF(OR($L9="採用建議",$L9="路由跟診熟悉度"),$H9,$M9))</x:f>
      </x:c>
      <x:c r="T9" s="262" t="str">
        <x:f>IF($R9&lt;&gt;"可發布","",IF(OR($L9="採用建議",$L9="路由跟診熟悉度"),$J9,$N9))</x:f>
      </x:c>
      <x:c r="U9" s="262" t="str">
        <x:f>IF($R9&lt;&gt;"可發布","未檢核",IF($T9="","缺少代碼",IF(COUNTIFS($T$7:$T$123,$T9,$R$7:$R$123,"可發布",$S$7:$S$123,"&lt;&gt;"&amp;$S9)&gt;0,"代碼對應多名稱","一致")))</x:f>
        <x:v>未檢核</x:v>
      </x:c>
      <x:c r="V9" s="262" t="str">
        <x:f>IF($A9="","",IF($R9&lt;&gt;"可發布",$R9,IF($U9="一致","已發布",$U9)))</x:f>
        <x:v>待主管核定</x:v>
      </x:c>
    </x:row>
    <x:row r="10">
      <x:c r="A10" s="262" t="str">
        <x:v>MAP-004</x:v>
      </x:c>
      <x:c r="B10" s="262" t="str">
        <x:v>流動工作</x:v>
      </x:c>
      <x:c r="C10" s="262"/>
      <x:c r="D10" s="262" t="str">
        <x:v>替代跟診人員灌模</x:v>
      </x:c>
      <x:c r="E10" s="262" t="n">
        <x:v>14</x:v>
      </x:c>
      <x:c r="F10" s="262" t="n">
        <x:v>13</x:v>
      </x:c>
      <x:c r="G10" s="262" t="str">
        <x:v>8</x:v>
      </x:c>
      <x:c r="H10" s="262" t="str">
        <x:v>替代跟診灌模</x:v>
      </x:c>
      <x:c r="I10" s="262" t="str">
        <x:v>流程技能</x:v>
      </x:c>
      <x:c r="J10" s="262" t="str">
        <x:v>FLOW-CASTING</x:v>
      </x:c>
      <x:c r="K10" s="262" t="str">
        <x:v>建立新標準</x:v>
      </x:c>
      <x:c r="L10" s="263" t="str">
        <x:v>待核定</x:v>
      </x:c>
      <x:c r="M10" s="263"/>
      <x:c r="N10" s="263"/>
      <x:c r="O10" s="264"/>
      <x:c r="P10" s="263"/>
      <x:c r="Q10" s="263"/>
      <x:c r="R10" s="262" t="str">
        <x:f>IF($A10="","",IF($L10="待核定","待主管核定",IF($L10="停用","停用",IF($L10="採用建議",IF($K10="需拆分","需完成拆分",IF(OR($H10="",$I10="",$J10="",$O10="",$P10=""),"待補建議或核定資料","可發布")),IF($L10="路由跟診熟悉度",IF(OR($H10="",$J10="",$O10="",$P10=""),"待補核定資料","可發布"),IF(OR($L10="另訂標準",$L10="不合併"),IF(OR($M10="",$N10="",$O10="",$P10=""),"待補最終名稱、代碼或核定資料","可發布"),"待主管核定"))))))</x:f>
        <x:v>待主管核定</x:v>
      </x:c>
      <x:c r="S10" s="262" t="str">
        <x:f>IF($R10&lt;&gt;"可發布","",IF(OR($L10="採用建議",$L10="路由跟診熟悉度"),$H10,$M10))</x:f>
      </x:c>
      <x:c r="T10" s="262" t="str">
        <x:f>IF($R10&lt;&gt;"可發布","",IF(OR($L10="採用建議",$L10="路由跟診熟悉度"),$J10,$N10))</x:f>
      </x:c>
      <x:c r="U10" s="262" t="str">
        <x:f>IF($R10&lt;&gt;"可發布","未檢核",IF($T10="","缺少代碼",IF(COUNTIFS($T$7:$T$123,$T10,$R$7:$R$123,"可發布",$S$7:$S$123,"&lt;&gt;"&amp;$S10)&gt;0,"代碼對應多名稱","一致")))</x:f>
        <x:v>未檢核</x:v>
      </x:c>
      <x:c r="V10" s="262" t="str">
        <x:f>IF($A10="","",IF($R10&lt;&gt;"可發布",$R10,IF($U10="一致","已發布",$U10)))</x:f>
        <x:v>待主管核定</x:v>
      </x:c>
    </x:row>
    <x:row r="11">
      <x:c r="A11" s="262" t="str">
        <x:v>MAP-005</x:v>
      </x:c>
      <x:c r="B11" s="262" t="str">
        <x:v>流動工作</x:v>
      </x:c>
      <x:c r="C11" s="262"/>
      <x:c r="D11" s="262" t="str">
        <x:v>拍攝X光片(PANO)</x:v>
      </x:c>
      <x:c r="E11" s="262" t="n">
        <x:v>14</x:v>
      </x:c>
      <x:c r="F11" s="262" t="n">
        <x:v>13</x:v>
      </x:c>
      <x:c r="G11" s="262" t="str">
        <x:v>9</x:v>
      </x:c>
      <x:c r="H11" s="262" t="str">
        <x:v>PANO 影像操作</x:v>
      </x:c>
      <x:c r="I11" s="262" t="str">
        <x:v>共通技術</x:v>
      </x:c>
      <x:c r="J11" s="262" t="str">
        <x:v>COMMON-PANO</x:v>
      </x:c>
      <x:c r="K11" s="262" t="str">
        <x:v>建立新標準</x:v>
      </x:c>
      <x:c r="L11" s="263" t="str">
        <x:v>待核定</x:v>
      </x:c>
      <x:c r="M11" s="263"/>
      <x:c r="N11" s="263"/>
      <x:c r="O11" s="264"/>
      <x:c r="P11" s="263"/>
      <x:c r="Q11" s="263"/>
      <x:c r="R11" s="262" t="str">
        <x:f>IF($A11="","",IF($L11="待核定","待主管核定",IF($L11="停用","停用",IF($L11="採用建議",IF($K11="需拆分","需完成拆分",IF(OR($H11="",$I11="",$J11="",$O11="",$P11=""),"待補建議或核定資料","可發布")),IF($L11="路由跟診熟悉度",IF(OR($H11="",$J11="",$O11="",$P11=""),"待補核定資料","可發布"),IF(OR($L11="另訂標準",$L11="不合併"),IF(OR($M11="",$N11="",$O11="",$P11=""),"待補最終名稱、代碼或核定資料","可發布"),"待主管核定"))))))</x:f>
        <x:v>待主管核定</x:v>
      </x:c>
      <x:c r="S11" s="262" t="str">
        <x:f>IF($R11&lt;&gt;"可發布","",IF(OR($L11="採用建議",$L11="路由跟診熟悉度"),$H11,$M11))</x:f>
      </x:c>
      <x:c r="T11" s="262" t="str">
        <x:f>IF($R11&lt;&gt;"可發布","",IF(OR($L11="採用建議",$L11="路由跟診熟悉度"),$J11,$N11))</x:f>
      </x:c>
      <x:c r="U11" s="262" t="str">
        <x:f>IF($R11&lt;&gt;"可發布","未檢核",IF($T11="","缺少代碼",IF(COUNTIFS($T$7:$T$123,$T11,$R$7:$R$123,"可發布",$S$7:$S$123,"&lt;&gt;"&amp;$S11)&gt;0,"代碼對應多名稱","一致")))</x:f>
        <x:v>未檢核</x:v>
      </x:c>
      <x:c r="V11" s="262" t="str">
        <x:f>IF($A11="","",IF($R11&lt;&gt;"可發布",$R11,IF($U11="一致","已發布",$U11)))</x:f>
        <x:v>待主管核定</x:v>
      </x:c>
    </x:row>
    <x:row r="12">
      <x:c r="A12" s="262" t="str">
        <x:v>MAP-006</x:v>
      </x:c>
      <x:c r="B12" s="262" t="str">
        <x:v>流動工作</x:v>
      </x:c>
      <x:c r="C12" s="262"/>
      <x:c r="D12" s="262" t="str">
        <x:v>拍攝根尖片(用鱷魚夾)</x:v>
      </x:c>
      <x:c r="E12" s="262" t="n">
        <x:v>14</x:v>
      </x:c>
      <x:c r="F12" s="262" t="n">
        <x:v>13</x:v>
      </x:c>
      <x:c r="G12" s="262" t="str">
        <x:v>10</x:v>
      </x:c>
      <x:c r="H12" s="262" t="str">
        <x:v>PA 影像操作（鱷魚夾）</x:v>
      </x:c>
      <x:c r="I12" s="262" t="str">
        <x:v>共通技術</x:v>
      </x:c>
      <x:c r="J12" s="262" t="str">
        <x:v>COMMON-PA-CLAMP</x:v>
      </x:c>
      <x:c r="K12" s="262" t="str">
        <x:v>建立新標準</x:v>
      </x:c>
      <x:c r="L12" s="263" t="str">
        <x:v>待核定</x:v>
      </x:c>
      <x:c r="M12" s="263"/>
      <x:c r="N12" s="263"/>
      <x:c r="O12" s="264"/>
      <x:c r="P12" s="263"/>
      <x:c r="Q12" s="263"/>
      <x:c r="R12" s="262" t="str">
        <x:f>IF($A12="","",IF($L12="待核定","待主管核定",IF($L12="停用","停用",IF($L12="採用建議",IF($K12="需拆分","需完成拆分",IF(OR($H12="",$I12="",$J12="",$O12="",$P12=""),"待補建議或核定資料","可發布")),IF($L12="路由跟診熟悉度",IF(OR($H12="",$J12="",$O12="",$P12=""),"待補核定資料","可發布"),IF(OR($L12="另訂標準",$L12="不合併"),IF(OR($M12="",$N12="",$O12="",$P12=""),"待補最終名稱、代碼或核定資料","可發布"),"待主管核定"))))))</x:f>
        <x:v>待主管核定</x:v>
      </x:c>
      <x:c r="S12" s="262" t="str">
        <x:f>IF($R12&lt;&gt;"可發布","",IF(OR($L12="採用建議",$L12="路由跟診熟悉度"),$H12,$M12))</x:f>
      </x:c>
      <x:c r="T12" s="262" t="str">
        <x:f>IF($R12&lt;&gt;"可發布","",IF(OR($L12="採用建議",$L12="路由跟診熟悉度"),$J12,$N12))</x:f>
      </x:c>
      <x:c r="U12" s="262" t="str">
        <x:f>IF($R12&lt;&gt;"可發布","未檢核",IF($T12="","缺少代碼",IF(COUNTIFS($T$7:$T$123,$T12,$R$7:$R$123,"可發布",$S$7:$S$123,"&lt;&gt;"&amp;$S12)&gt;0,"代碼對應多名稱","一致")))</x:f>
        <x:v>未檢核</x:v>
      </x:c>
      <x:c r="V12" s="262" t="str">
        <x:f>IF($A12="","",IF($R12&lt;&gt;"可發布",$R12,IF($U12="一致","已發布",$U12)))</x:f>
        <x:v>待主管核定</x:v>
      </x:c>
    </x:row>
    <x:row r="13">
      <x:c r="A13" s="262" t="str">
        <x:v>MAP-007</x:v>
      </x:c>
      <x:c r="B13" s="262" t="str">
        <x:v>流動工作</x:v>
      </x:c>
      <x:c r="C13" s="262"/>
      <x:c r="D13" s="262" t="str">
        <x:v>拍攝根尖片(手壓片)</x:v>
      </x:c>
      <x:c r="E13" s="262" t="n">
        <x:v>14</x:v>
      </x:c>
      <x:c r="F13" s="262" t="n">
        <x:v>13</x:v>
      </x:c>
      <x:c r="G13" s="262" t="str">
        <x:v>11</x:v>
      </x:c>
      <x:c r="H13" s="262" t="str">
        <x:v>PA 影像操作（手壓片）</x:v>
      </x:c>
      <x:c r="I13" s="262" t="str">
        <x:v>共通技術</x:v>
      </x:c>
      <x:c r="J13" s="262" t="str">
        <x:v>COMMON-PA-HAND</x:v>
      </x:c>
      <x:c r="K13" s="262" t="str">
        <x:v>建立新標準</x:v>
      </x:c>
      <x:c r="L13" s="263" t="str">
        <x:v>待核定</x:v>
      </x:c>
      <x:c r="M13" s="263"/>
      <x:c r="N13" s="263"/>
      <x:c r="O13" s="264"/>
      <x:c r="P13" s="263"/>
      <x:c r="Q13" s="263"/>
      <x:c r="R13" s="262" t="str">
        <x:f>IF($A13="","",IF($L13="待核定","待主管核定",IF($L13="停用","停用",IF($L13="採用建議",IF($K13="需拆分","需完成拆分",IF(OR($H13="",$I13="",$J13="",$O13="",$P13=""),"待補建議或核定資料","可發布")),IF($L13="路由跟診熟悉度",IF(OR($H13="",$J13="",$O13="",$P13=""),"待補核定資料","可發布"),IF(OR($L13="另訂標準",$L13="不合併"),IF(OR($M13="",$N13="",$O13="",$P13=""),"待補最終名稱、代碼或核定資料","可發布"),"待主管核定"))))))</x:f>
        <x:v>待主管核定</x:v>
      </x:c>
      <x:c r="S13" s="262" t="str">
        <x:f>IF($R13&lt;&gt;"可發布","",IF(OR($L13="採用建議",$L13="路由跟診熟悉度"),$H13,$M13))</x:f>
      </x:c>
      <x:c r="T13" s="262" t="str">
        <x:f>IF($R13&lt;&gt;"可發布","",IF(OR($L13="採用建議",$L13="路由跟診熟悉度"),$J13,$N13))</x:f>
      </x:c>
      <x:c r="U13" s="262" t="str">
        <x:f>IF($R13&lt;&gt;"可發布","未檢核",IF($T13="","缺少代碼",IF(COUNTIFS($T$7:$T$123,$T13,$R$7:$R$123,"可發布",$S$7:$S$123,"&lt;&gt;"&amp;$S13)&gt;0,"代碼對應多名稱","一致")))</x:f>
        <x:v>未檢核</x:v>
      </x:c>
      <x:c r="V13" s="262" t="str">
        <x:f>IF($A13="","",IF($R13&lt;&gt;"可發布",$R13,IF($U13="一致","已發布",$U13)))</x:f>
        <x:v>待主管核定</x:v>
      </x:c>
    </x:row>
    <x:row r="14">
      <x:c r="A14" s="262" t="str">
        <x:v>MAP-008</x:v>
      </x:c>
      <x:c r="B14" s="262" t="str">
        <x:v>流動工作</x:v>
      </x:c>
      <x:c r="C14" s="262"/>
      <x:c r="D14" s="262" t="str">
        <x:v>開、關診工作</x:v>
      </x:c>
      <x:c r="E14" s="262" t="n">
        <x:v>14</x:v>
      </x:c>
      <x:c r="F14" s="262" t="n">
        <x:v>13</x:v>
      </x:c>
      <x:c r="G14" s="262" t="str">
        <x:v>12</x:v>
      </x:c>
      <x:c r="H14" s="262" t="str">
        <x:v>開診與關診</x:v>
      </x:c>
      <x:c r="I14" s="262" t="str">
        <x:v>流程技能</x:v>
      </x:c>
      <x:c r="J14" s="262" t="str">
        <x:v>FLOW-OPEN-CLOSE</x:v>
      </x:c>
      <x:c r="K14" s="262" t="str">
        <x:v>建立新標準</x:v>
      </x:c>
      <x:c r="L14" s="263" t="str">
        <x:v>待核定</x:v>
      </x:c>
      <x:c r="M14" s="263"/>
      <x:c r="N14" s="263"/>
      <x:c r="O14" s="264"/>
      <x:c r="P14" s="263"/>
      <x:c r="Q14" s="263"/>
      <x:c r="R14" s="262" t="str">
        <x:f>IF($A14="","",IF($L14="待核定","待主管核定",IF($L14="停用","停用",IF($L14="採用建議",IF($K14="需拆分","需完成拆分",IF(OR($H14="",$I14="",$J14="",$O14="",$P14=""),"待補建議或核定資料","可發布")),IF($L14="路由跟診熟悉度",IF(OR($H14="",$J14="",$O14="",$P14=""),"待補核定資料","可發布"),IF(OR($L14="另訂標準",$L14="不合併"),IF(OR($M14="",$N14="",$O14="",$P14=""),"待補最終名稱、代碼或核定資料","可發布"),"待主管核定"))))))</x:f>
        <x:v>待主管核定</x:v>
      </x:c>
      <x:c r="S14" s="262" t="str">
        <x:f>IF($R14&lt;&gt;"可發布","",IF(OR($L14="採用建議",$L14="路由跟診熟悉度"),$H14,$M14))</x:f>
      </x:c>
      <x:c r="T14" s="262" t="str">
        <x:f>IF($R14&lt;&gt;"可發布","",IF(OR($L14="採用建議",$L14="路由跟診熟悉度"),$J14,$N14))</x:f>
      </x:c>
      <x:c r="U14" s="262" t="str">
        <x:f>IF($R14&lt;&gt;"可發布","未檢核",IF($T14="","缺少代碼",IF(COUNTIFS($T$7:$T$123,$T14,$R$7:$R$123,"可發布",$S$7:$S$123,"&lt;&gt;"&amp;$S14)&gt;0,"代碼對應多名稱","一致")))</x:f>
        <x:v>未檢核</x:v>
      </x:c>
      <x:c r="V14" s="262" t="str">
        <x:f>IF($A14="","",IF($R14&lt;&gt;"可發布",$R14,IF($U14="一致","已發布",$U14)))</x:f>
        <x:v>待主管核定</x:v>
      </x:c>
    </x:row>
    <x:row r="15">
      <x:c r="A15" s="262" t="str">
        <x:v>MAP-009</x:v>
      </x:c>
      <x:c r="B15" s="262" t="str">
        <x:v>流動工作</x:v>
      </x:c>
      <x:c r="C15" s="262"/>
      <x:c r="D15" s="262" t="str">
        <x:v>備品補充+器械安全庫存</x:v>
      </x:c>
      <x:c r="E15" s="262" t="n">
        <x:v>14</x:v>
      </x:c>
      <x:c r="F15" s="262" t="n">
        <x:v>13</x:v>
      </x:c>
      <x:c r="G15" s="262" t="str">
        <x:v>13</x:v>
      </x:c>
      <x:c r="H15" s="262" t="str">
        <x:v>備品補充與器械安全庫存</x:v>
      </x:c>
      <x:c r="I15" s="262" t="str">
        <x:v>流程技能</x:v>
      </x:c>
      <x:c r="J15" s="262" t="str">
        <x:v>FLOW-SUPPLY-INVENTORY</x:v>
      </x:c>
      <x:c r="K15" s="262" t="str">
        <x:v>建立新標準</x:v>
      </x:c>
      <x:c r="L15" s="263" t="str">
        <x:v>待核定</x:v>
      </x:c>
      <x:c r="M15" s="263"/>
      <x:c r="N15" s="263"/>
      <x:c r="O15" s="264"/>
      <x:c r="P15" s="263"/>
      <x:c r="Q15" s="263"/>
      <x:c r="R15" s="262" t="str">
        <x:f>IF($A15="","",IF($L15="待核定","待主管核定",IF($L15="停用","停用",IF($L15="採用建議",IF($K15="需拆分","需完成拆分",IF(OR($H15="",$I15="",$J15="",$O15="",$P15=""),"待補建議或核定資料","可發布")),IF($L15="路由跟診熟悉度",IF(OR($H15="",$J15="",$O15="",$P15=""),"待補核定資料","可發布"),IF(OR($L15="另訂標準",$L15="不合併"),IF(OR($M15="",$N15="",$O15="",$P15=""),"待補最終名稱、代碼或核定資料","可發布"),"待主管核定"))))))</x:f>
        <x:v>待主管核定</x:v>
      </x:c>
      <x:c r="S15" s="262" t="str">
        <x:f>IF($R15&lt;&gt;"可發布","",IF(OR($L15="採用建議",$L15="路由跟診熟悉度"),$H15,$M15))</x:f>
      </x:c>
      <x:c r="T15" s="262" t="str">
        <x:f>IF($R15&lt;&gt;"可發布","",IF(OR($L15="採用建議",$L15="路由跟診熟悉度"),$J15,$N15))</x:f>
      </x:c>
      <x:c r="U15" s="262" t="str">
        <x:f>IF($R15&lt;&gt;"可發布","未檢核",IF($T15="","缺少代碼",IF(COUNTIFS($T$7:$T$123,$T15,$R$7:$R$123,"可發布",$S$7:$S$123,"&lt;&gt;"&amp;$S15)&gt;0,"代碼對應多名稱","一致")))</x:f>
        <x:v>未檢核</x:v>
      </x:c>
      <x:c r="V15" s="262" t="str">
        <x:f>IF($A15="","",IF($R15&lt;&gt;"可發布",$R15,IF($U15="一致","已發布",$U15)))</x:f>
        <x:v>待主管核定</x:v>
      </x:c>
    </x:row>
    <x:row r="16">
      <x:c r="A16" s="262" t="str">
        <x:v>MAP-010</x:v>
      </x:c>
      <x:c r="B16" s="262" t="str">
        <x:v>衛教</x:v>
      </x:c>
      <x:c r="C16" s="262"/>
      <x:c r="D16" s="262" t="str">
        <x:v>基礎衛教</x:v>
      </x:c>
      <x:c r="E16" s="262" t="n">
        <x:v>14</x:v>
      </x:c>
      <x:c r="F16" s="262" t="n">
        <x:v>13</x:v>
      </x:c>
      <x:c r="G16" s="262" t="str">
        <x:v>14</x:v>
      </x:c>
      <x:c r="H16" s="262" t="str">
        <x:v>基礎衛教</x:v>
      </x:c>
      <x:c r="I16" s="262" t="str">
        <x:v>衛教技能</x:v>
      </x:c>
      <x:c r="J16" s="262" t="str">
        <x:v>EDU-BASIC</x:v>
      </x:c>
      <x:c r="K16" s="262" t="str">
        <x:v>建立新標準</x:v>
      </x:c>
      <x:c r="L16" s="263" t="str">
        <x:v>待核定</x:v>
      </x:c>
      <x:c r="M16" s="263"/>
      <x:c r="N16" s="263"/>
      <x:c r="O16" s="264"/>
      <x:c r="P16" s="263"/>
      <x:c r="Q16" s="263"/>
      <x:c r="R16" s="262" t="str">
        <x:f>IF($A16="","",IF($L16="待核定","待主管核定",IF($L16="停用","停用",IF($L16="採用建議",IF($K16="需拆分","需完成拆分",IF(OR($H16="",$I16="",$J16="",$O16="",$P16=""),"待補建議或核定資料","可發布")),IF($L16="路由跟診熟悉度",IF(OR($H16="",$J16="",$O16="",$P16=""),"待補核定資料","可發布"),IF(OR($L16="另訂標準",$L16="不合併"),IF(OR($M16="",$N16="",$O16="",$P16=""),"待補最終名稱、代碼或核定資料","可發布"),"待主管核定"))))))</x:f>
        <x:v>待主管核定</x:v>
      </x:c>
      <x:c r="S16" s="262" t="str">
        <x:f>IF($R16&lt;&gt;"可發布","",IF(OR($L16="採用建議",$L16="路由跟診熟悉度"),$H16,$M16))</x:f>
      </x:c>
      <x:c r="T16" s="262" t="str">
        <x:f>IF($R16&lt;&gt;"可發布","",IF(OR($L16="採用建議",$L16="路由跟診熟悉度"),$J16,$N16))</x:f>
      </x:c>
      <x:c r="U16" s="262" t="str">
        <x:f>IF($R16&lt;&gt;"可發布","未檢核",IF($T16="","缺少代碼",IF(COUNTIFS($T$7:$T$123,$T16,$R$7:$R$123,"可發布",$S$7:$S$123,"&lt;&gt;"&amp;$S16)&gt;0,"代碼對應多名稱","一致")))</x:f>
        <x:v>未檢核</x:v>
      </x:c>
      <x:c r="V16" s="262" t="str">
        <x:f>IF($A16="","",IF($R16&lt;&gt;"可發布",$R16,IF($U16="一致","已發布",$U16)))</x:f>
        <x:v>待主管核定</x:v>
      </x:c>
    </x:row>
    <x:row r="17">
      <x:c r="A17" s="262" t="str">
        <x:v>MAP-011</x:v>
      </x:c>
      <x:c r="B17" s="262" t="str">
        <x:v>衛教</x:v>
      </x:c>
      <x:c r="C17" s="262"/>
      <x:c r="D17" s="262" t="str">
        <x:v>進階衛教</x:v>
      </x:c>
      <x:c r="E17" s="262" t="n">
        <x:v>14</x:v>
      </x:c>
      <x:c r="F17" s="262" t="n">
        <x:v>13</x:v>
      </x:c>
      <x:c r="G17" s="262" t="str">
        <x:v>15</x:v>
      </x:c>
      <x:c r="H17" s="262" t="str">
        <x:v>進階衛教</x:v>
      </x:c>
      <x:c r="I17" s="262" t="str">
        <x:v>衛教技能</x:v>
      </x:c>
      <x:c r="J17" s="262" t="str">
        <x:v>EDU-ADVANCED</x:v>
      </x:c>
      <x:c r="K17" s="262" t="str">
        <x:v>建立新標準</x:v>
      </x:c>
      <x:c r="L17" s="263" t="str">
        <x:v>待核定</x:v>
      </x:c>
      <x:c r="M17" s="263"/>
      <x:c r="N17" s="263"/>
      <x:c r="O17" s="264"/>
      <x:c r="P17" s="263"/>
      <x:c r="Q17" s="263"/>
      <x:c r="R17" s="262" t="str">
        <x:f>IF($A17="","",IF($L17="待核定","待主管核定",IF($L17="停用","停用",IF($L17="採用建議",IF($K17="需拆分","需完成拆分",IF(OR($H17="",$I17="",$J17="",$O17="",$P17=""),"待補建議或核定資料","可發布")),IF($L17="路由跟診熟悉度",IF(OR($H17="",$J17="",$O17="",$P17=""),"待補核定資料","可發布"),IF(OR($L17="另訂標準",$L17="不合併"),IF(OR($M17="",$N17="",$O17="",$P17=""),"待補最終名稱、代碼或核定資料","可發布"),"待主管核定"))))))</x:f>
        <x:v>待主管核定</x:v>
      </x:c>
      <x:c r="S17" s="262" t="str">
        <x:f>IF($R17&lt;&gt;"可發布","",IF(OR($L17="採用建議",$L17="路由跟診熟悉度"),$H17,$M17))</x:f>
      </x:c>
      <x:c r="T17" s="262" t="str">
        <x:f>IF($R17&lt;&gt;"可發布","",IF(OR($L17="採用建議",$L17="路由跟診熟悉度"),$J17,$N17))</x:f>
      </x:c>
      <x:c r="U17" s="262" t="str">
        <x:f>IF($R17&lt;&gt;"可發布","未檢核",IF($T17="","缺少代碼",IF(COUNTIFS($T$7:$T$123,$T17,$R$7:$R$123,"可發布",$S$7:$S$123,"&lt;&gt;"&amp;$S17)&gt;0,"代碼對應多名稱","一致")))</x:f>
        <x:v>未檢核</x:v>
      </x:c>
      <x:c r="V17" s="262" t="str">
        <x:f>IF($A17="","",IF($R17&lt;&gt;"可發布",$R17,IF($U17="一致","已發布",$U17)))</x:f>
        <x:v>待主管核定</x:v>
      </x:c>
    </x:row>
    <x:row r="18">
      <x:c r="A18" s="262" t="str">
        <x:v>MAP-012</x:v>
      </x:c>
      <x:c r="B18" s="262" t="str">
        <x:v>李柄輝醫師</x:v>
      </x:c>
      <x:c r="C18" s="262" t="str">
        <x:v>器械準備</x:v>
      </x:c>
      <x:c r="D18" s="262" t="str">
        <x:v>洗牙</x:v>
      </x:c>
      <x:c r="E18" s="262" t="n">
        <x:v>14</x:v>
      </x:c>
      <x:c r="F18" s="262" t="n">
        <x:v>11</x:v>
      </x:c>
      <x:c r="G18" s="262" t="str">
        <x:v>16</x:v>
      </x:c>
      <x:c r="H18" s="262" t="str">
        <x:v>李柄輝醫師－洗牙</x:v>
      </x:c>
      <x:c r="I18" s="262" t="str">
        <x:v>醫師＋治療專屬</x:v>
      </x:c>
      <x:c r="J18" s="262"/>
      <x:c r="K18" s="262" t="str">
        <x:v>待確認是否合併</x:v>
      </x:c>
      <x:c r="L18" s="263" t="str">
        <x:v>待核定</x:v>
      </x:c>
      <x:c r="M18" s="263"/>
      <x:c r="N18" s="263"/>
      <x:c r="O18" s="264"/>
      <x:c r="P18" s="263"/>
      <x:c r="Q18" s="263"/>
      <x:c r="R18" s="262" t="str">
        <x:f>IF($A18="","",IF($L18="待核定","待主管核定",IF($L18="停用","停用",IF($L18="採用建議",IF($K18="需拆分","需完成拆分",IF(OR($H18="",$I18="",$J18="",$O18="",$P18=""),"待補建議或核定資料","可發布")),IF($L18="路由跟診熟悉度",IF(OR($H18="",$J18="",$O18="",$P18=""),"待補核定資料","可發布"),IF(OR($L18="另訂標準",$L18="不合併"),IF(OR($M18="",$N18="",$O18="",$P18=""),"待補最終名稱、代碼或核定資料","可發布"),"待主管核定"))))))</x:f>
        <x:v>待主管核定</x:v>
      </x:c>
      <x:c r="S18" s="262" t="str">
        <x:f>IF($R18&lt;&gt;"可發布","",IF(OR($L18="採用建議",$L18="路由跟診熟悉度"),$H18,$M18))</x:f>
      </x:c>
      <x:c r="T18" s="262" t="str">
        <x:f>IF($R18&lt;&gt;"可發布","",IF(OR($L18="採用建議",$L18="路由跟診熟悉度"),$J18,$N18))</x:f>
      </x:c>
      <x:c r="U18" s="262" t="str">
        <x:f>IF($R18&lt;&gt;"可發布","未檢核",IF($T18="","缺少代碼",IF(COUNTIFS($T$7:$T$123,$T18,$R$7:$R$123,"可發布",$S$7:$S$123,"&lt;&gt;"&amp;$S18)&gt;0,"代碼對應多名稱","一致")))</x:f>
        <x:v>未檢核</x:v>
      </x:c>
      <x:c r="V18" s="262" t="str">
        <x:f>IF($A18="","",IF($R18&lt;&gt;"可發布",$R18,IF($U18="一致","已發布",$U18)))</x:f>
        <x:v>待主管核定</x:v>
      </x:c>
    </x:row>
    <x:row r="19">
      <x:c r="A19" s="262" t="str">
        <x:v>MAP-013</x:v>
      </x:c>
      <x:c r="B19" s="262" t="str">
        <x:v>李柄輝醫師</x:v>
      </x:c>
      <x:c r="C19" s="262" t="str">
        <x:v>器械準備</x:v>
      </x:c>
      <x:c r="D19" s="262" t="str">
        <x:v>補牙</x:v>
      </x:c>
      <x:c r="E19" s="262" t="n">
        <x:v>14</x:v>
      </x:c>
      <x:c r="F19" s="262" t="n">
        <x:v>11</x:v>
      </x:c>
      <x:c r="G19" s="262" t="str">
        <x:v>17</x:v>
      </x:c>
      <x:c r="H19" s="262" t="str">
        <x:v>李柄輝醫師－補牙</x:v>
      </x:c>
      <x:c r="I19" s="262" t="str">
        <x:v>醫師＋治療專屬</x:v>
      </x:c>
      <x:c r="J19" s="262"/>
      <x:c r="K19" s="262" t="str">
        <x:v>待確認是否合併</x:v>
      </x:c>
      <x:c r="L19" s="263" t="str">
        <x:v>待核定</x:v>
      </x:c>
      <x:c r="M19" s="263"/>
      <x:c r="N19" s="263"/>
      <x:c r="O19" s="264"/>
      <x:c r="P19" s="263"/>
      <x:c r="Q19" s="263"/>
      <x:c r="R19" s="262" t="str">
        <x:f>IF($A19="","",IF($L19="待核定","待主管核定",IF($L19="停用","停用",IF($L19="採用建議",IF($K19="需拆分","需完成拆分",IF(OR($H19="",$I19="",$J19="",$O19="",$P19=""),"待補建議或核定資料","可發布")),IF($L19="路由跟診熟悉度",IF(OR($H19="",$J19="",$O19="",$P19=""),"待補核定資料","可發布"),IF(OR($L19="另訂標準",$L19="不合併"),IF(OR($M19="",$N19="",$O19="",$P19=""),"待補最終名稱、代碼或核定資料","可發布"),"待主管核定"))))))</x:f>
        <x:v>待主管核定</x:v>
      </x:c>
      <x:c r="S19" s="262" t="str">
        <x:f>IF($R19&lt;&gt;"可發布","",IF(OR($L19="採用建議",$L19="路由跟診熟悉度"),$H19,$M19))</x:f>
      </x:c>
      <x:c r="T19" s="262" t="str">
        <x:f>IF($R19&lt;&gt;"可發布","",IF(OR($L19="採用建議",$L19="路由跟診熟悉度"),$J19,$N19))</x:f>
      </x:c>
      <x:c r="U19" s="262" t="str">
        <x:f>IF($R19&lt;&gt;"可發布","未檢核",IF($T19="","缺少代碼",IF(COUNTIFS($T$7:$T$123,$T19,$R$7:$R$123,"可發布",$S$7:$S$123,"&lt;&gt;"&amp;$S19)&gt;0,"代碼對應多名稱","一致")))</x:f>
        <x:v>未檢核</x:v>
      </x:c>
      <x:c r="V19" s="262" t="str">
        <x:f>IF($A19="","",IF($R19&lt;&gt;"可發布",$R19,IF($U19="一致","已發布",$U19)))</x:f>
        <x:v>待主管核定</x:v>
      </x:c>
    </x:row>
    <x:row r="20">
      <x:c r="A20" s="262" t="str">
        <x:v>MAP-014</x:v>
      </x:c>
      <x:c r="B20" s="262" t="str">
        <x:v>李柄輝醫師</x:v>
      </x:c>
      <x:c r="C20" s="262" t="str">
        <x:v>器械準備</x:v>
      </x:c>
      <x:c r="D20" s="262" t="str">
        <x:v>牙周統合</x:v>
      </x:c>
      <x:c r="E20" s="262" t="n">
        <x:v>14</x:v>
      </x:c>
      <x:c r="F20" s="262" t="n">
        <x:v>11</x:v>
      </x:c>
      <x:c r="G20" s="262" t="str">
        <x:v>18</x:v>
      </x:c>
      <x:c r="H20" s="262" t="str">
        <x:v>李柄輝醫師－牙周統合</x:v>
      </x:c>
      <x:c r="I20" s="262" t="str">
        <x:v>醫師＋治療專屬</x:v>
      </x:c>
      <x:c r="J20" s="262"/>
      <x:c r="K20" s="262" t="str">
        <x:v>待確認是否合併</x:v>
      </x:c>
      <x:c r="L20" s="263" t="str">
        <x:v>待核定</x:v>
      </x:c>
      <x:c r="M20" s="263"/>
      <x:c r="N20" s="263"/>
      <x:c r="O20" s="264"/>
      <x:c r="P20" s="263"/>
      <x:c r="Q20" s="263"/>
      <x:c r="R20" s="262" t="str">
        <x:f>IF($A20="","",IF($L20="待核定","待主管核定",IF($L20="停用","停用",IF($L20="採用建議",IF($K20="需拆分","需完成拆分",IF(OR($H20="",$I20="",$J20="",$O20="",$P20=""),"待補建議或核定資料","可發布")),IF($L20="路由跟診熟悉度",IF(OR($H20="",$J20="",$O20="",$P20=""),"待補核定資料","可發布"),IF(OR($L20="另訂標準",$L20="不合併"),IF(OR($M20="",$N20="",$O20="",$P20=""),"待補最終名稱、代碼或核定資料","可發布"),"待主管核定"))))))</x:f>
        <x:v>待主管核定</x:v>
      </x:c>
      <x:c r="S20" s="262" t="str">
        <x:f>IF($R20&lt;&gt;"可發布","",IF(OR($L20="採用建議",$L20="路由跟診熟悉度"),$H20,$M20))</x:f>
      </x:c>
      <x:c r="T20" s="262" t="str">
        <x:f>IF($R20&lt;&gt;"可發布","",IF(OR($L20="採用建議",$L20="路由跟診熟悉度"),$J20,$N20))</x:f>
      </x:c>
      <x:c r="U20" s="262" t="str">
        <x:f>IF($R20&lt;&gt;"可發布","未檢核",IF($T20="","缺少代碼",IF(COUNTIFS($T$7:$T$123,$T20,$R$7:$R$123,"可發布",$S$7:$S$123,"&lt;&gt;"&amp;$S20)&gt;0,"代碼對應多名稱","一致")))</x:f>
        <x:v>未檢核</x:v>
      </x:c>
      <x:c r="V20" s="262" t="str">
        <x:f>IF($A20="","",IF($R20&lt;&gt;"可發布",$R20,IF($U20="一致","已發布",$U20)))</x:f>
        <x:v>待主管核定</x:v>
      </x:c>
    </x:row>
    <x:row r="21">
      <x:c r="A21" s="262" t="str">
        <x:v>MAP-015</x:v>
      </x:c>
      <x:c r="B21" s="262" t="str">
        <x:v>李柄輝醫師</x:v>
      </x:c>
      <x:c r="C21" s="262" t="str">
        <x:v>器械準備</x:v>
      </x:c>
      <x:c r="D21" s="262" t="str">
        <x:v>根管治療(插針照)</x:v>
      </x:c>
      <x:c r="E21" s="262" t="n">
        <x:v>14</x:v>
      </x:c>
      <x:c r="F21" s="262" t="n">
        <x:v>11</x:v>
      </x:c>
      <x:c r="G21" s="262" t="str">
        <x:v>19</x:v>
      </x:c>
      <x:c r="H21" s="262" t="str">
        <x:v>李柄輝醫師－根管治療(插針照)</x:v>
      </x:c>
      <x:c r="I21" s="262" t="str">
        <x:v>醫師＋治療專屬</x:v>
      </x:c>
      <x:c r="J21" s="262"/>
      <x:c r="K21" s="262" t="str">
        <x:v>待確認是否合併</x:v>
      </x:c>
      <x:c r="L21" s="263" t="str">
        <x:v>待核定</x:v>
      </x:c>
      <x:c r="M21" s="263"/>
      <x:c r="N21" s="263"/>
      <x:c r="O21" s="264"/>
      <x:c r="P21" s="263"/>
      <x:c r="Q21" s="263"/>
      <x:c r="R21" s="262" t="str">
        <x:f>IF($A21="","",IF($L21="待核定","待主管核定",IF($L21="停用","停用",IF($L21="採用建議",IF($K21="需拆分","需完成拆分",IF(OR($H21="",$I21="",$J21="",$O21="",$P21=""),"待補建議或核定資料","可發布")),IF($L21="路由跟診熟悉度",IF(OR($H21="",$J21="",$O21="",$P21=""),"待補核定資料","可發布"),IF(OR($L21="另訂標準",$L21="不合併"),IF(OR($M21="",$N21="",$O21="",$P21=""),"待補最終名稱、代碼或核定資料","可發布"),"待主管核定"))))))</x:f>
        <x:v>待主管核定</x:v>
      </x:c>
      <x:c r="S21" s="262" t="str">
        <x:f>IF($R21&lt;&gt;"可發布","",IF(OR($L21="採用建議",$L21="路由跟診熟悉度"),$H21,$M21))</x:f>
      </x:c>
      <x:c r="T21" s="262" t="str">
        <x:f>IF($R21&lt;&gt;"可發布","",IF(OR($L21="採用建議",$L21="路由跟診熟悉度"),$J21,$N21))</x:f>
      </x:c>
      <x:c r="U21" s="262" t="str">
        <x:f>IF($R21&lt;&gt;"可發布","未檢核",IF($T21="","缺少代碼",IF(COUNTIFS($T$7:$T$123,$T21,$R$7:$R$123,"可發布",$S$7:$S$123,"&lt;&gt;"&amp;$S21)&gt;0,"代碼對應多名稱","一致")))</x:f>
        <x:v>未檢核</x:v>
      </x:c>
      <x:c r="V21" s="262" t="str">
        <x:f>IF($A21="","",IF($R21&lt;&gt;"可發布",$R21,IF($U21="一致","已發布",$U21)))</x:f>
        <x:v>待主管核定</x:v>
      </x:c>
    </x:row>
    <x:row r="22">
      <x:c r="A22" s="262" t="str">
        <x:v>MAP-016</x:v>
      </x:c>
      <x:c r="B22" s="262" t="str">
        <x:v>李柄輝醫師</x:v>
      </x:c>
      <x:c r="C22" s="262" t="str">
        <x:v>器械準備</x:v>
      </x:c>
      <x:c r="D22" s="262" t="str">
        <x:v>拆crown/post</x:v>
      </x:c>
      <x:c r="E22" s="262" t="n">
        <x:v>14</x:v>
      </x:c>
      <x:c r="F22" s="262" t="n">
        <x:v>11</x:v>
      </x:c>
      <x:c r="G22" s="262" t="str">
        <x:v>20</x:v>
      </x:c>
      <x:c r="H22" s="262" t="str">
        <x:v>李柄輝醫師－拆crown/post</x:v>
      </x:c>
      <x:c r="I22" s="262" t="str">
        <x:v>醫師＋治療專屬</x:v>
      </x:c>
      <x:c r="J22" s="262"/>
      <x:c r="K22" s="262" t="str">
        <x:v>待確認是否合併</x:v>
      </x:c>
      <x:c r="L22" s="263" t="str">
        <x:v>待核定</x:v>
      </x:c>
      <x:c r="M22" s="263"/>
      <x:c r="N22" s="263"/>
      <x:c r="O22" s="264"/>
      <x:c r="P22" s="263"/>
      <x:c r="Q22" s="263"/>
      <x:c r="R22" s="262" t="str">
        <x:f>IF($A22="","",IF($L22="待核定","待主管核定",IF($L22="停用","停用",IF($L22="採用建議",IF($K22="需拆分","需完成拆分",IF(OR($H22="",$I22="",$J22="",$O22="",$P22=""),"待補建議或核定資料","可發布")),IF($L22="路由跟診熟悉度",IF(OR($H22="",$J22="",$O22="",$P22=""),"待補核定資料","可發布"),IF(OR($L22="另訂標準",$L22="不合併"),IF(OR($M22="",$N22="",$O22="",$P22=""),"待補最終名稱、代碼或核定資料","可發布"),"待主管核定"))))))</x:f>
        <x:v>待主管核定</x:v>
      </x:c>
      <x:c r="S22" s="262" t="str">
        <x:f>IF($R22&lt;&gt;"可發布","",IF(OR($L22="採用建議",$L22="路由跟診熟悉度"),$H22,$M22))</x:f>
      </x:c>
      <x:c r="T22" s="262" t="str">
        <x:f>IF($R22&lt;&gt;"可發布","",IF(OR($L22="採用建議",$L22="路由跟診熟悉度"),$J22,$N22))</x:f>
      </x:c>
      <x:c r="U22" s="262" t="str">
        <x:f>IF($R22&lt;&gt;"可發布","未檢核",IF($T22="","缺少代碼",IF(COUNTIFS($T$7:$T$123,$T22,$R$7:$R$123,"可發布",$S$7:$S$123,"&lt;&gt;"&amp;$S22)&gt;0,"代碼對應多名稱","一致")))</x:f>
        <x:v>未檢核</x:v>
      </x:c>
      <x:c r="V22" s="262" t="str">
        <x:f>IF($A22="","",IF($R22&lt;&gt;"可發布",$R22,IF($U22="一致","已發布",$U22)))</x:f>
        <x:v>待主管核定</x:v>
      </x:c>
    </x:row>
    <x:row r="23">
      <x:c r="A23" s="262" t="str">
        <x:v>MAP-017</x:v>
      </x:c>
      <x:c r="B23" s="262" t="str">
        <x:v>李柄輝醫師</x:v>
      </x:c>
      <x:c r="C23" s="262" t="str">
        <x:v>器械準備</x:v>
      </x:c>
      <x:c r="D23" s="262" t="str">
        <x:v>拔牙</x:v>
      </x:c>
      <x:c r="E23" s="262" t="n">
        <x:v>14</x:v>
      </x:c>
      <x:c r="F23" s="262" t="n">
        <x:v>11</x:v>
      </x:c>
      <x:c r="G23" s="262" t="str">
        <x:v>21</x:v>
      </x:c>
      <x:c r="H23" s="262" t="str">
        <x:v>李柄輝醫師－拔牙</x:v>
      </x:c>
      <x:c r="I23" s="262" t="str">
        <x:v>醫師＋治療專屬</x:v>
      </x:c>
      <x:c r="J23" s="262"/>
      <x:c r="K23" s="262" t="str">
        <x:v>待確認是否合併</x:v>
      </x:c>
      <x:c r="L23" s="263" t="str">
        <x:v>待核定</x:v>
      </x:c>
      <x:c r="M23" s="263"/>
      <x:c r="N23" s="263"/>
      <x:c r="O23" s="264"/>
      <x:c r="P23" s="263"/>
      <x:c r="Q23" s="263"/>
      <x:c r="R23" s="262" t="str">
        <x:f>IF($A23="","",IF($L23="待核定","待主管核定",IF($L23="停用","停用",IF($L23="採用建議",IF($K23="需拆分","需完成拆分",IF(OR($H23="",$I23="",$J23="",$O23="",$P23=""),"待補建議或核定資料","可發布")),IF($L23="路由跟診熟悉度",IF(OR($H23="",$J23="",$O23="",$P23=""),"待補核定資料","可發布"),IF(OR($L23="另訂標準",$L23="不合併"),IF(OR($M23="",$N23="",$O23="",$P23=""),"待補最終名稱、代碼或核定資料","可發布"),"待主管核定"))))))</x:f>
        <x:v>待主管核定</x:v>
      </x:c>
      <x:c r="S23" s="262" t="str">
        <x:f>IF($R23&lt;&gt;"可發布","",IF(OR($L23="採用建議",$L23="路由跟診熟悉度"),$H23,$M23))</x:f>
      </x:c>
      <x:c r="T23" s="262" t="str">
        <x:f>IF($R23&lt;&gt;"可發布","",IF(OR($L23="採用建議",$L23="路由跟診熟悉度"),$J23,$N23))</x:f>
      </x:c>
      <x:c r="U23" s="262" t="str">
        <x:f>IF($R23&lt;&gt;"可發布","未檢核",IF($T23="","缺少代碼",IF(COUNTIFS($T$7:$T$123,$T23,$R$7:$R$123,"可發布",$S$7:$S$123,"&lt;&gt;"&amp;$S23)&gt;0,"代碼對應多名稱","一致")))</x:f>
        <x:v>未檢核</x:v>
      </x:c>
      <x:c r="V23" s="262" t="str">
        <x:f>IF($A23="","",IF($R23&lt;&gt;"可發布",$R23,IF($U23="一致","已發布",$U23)))</x:f>
        <x:v>待主管核定</x:v>
      </x:c>
    </x:row>
    <x:row r="24">
      <x:c r="A24" s="262" t="str">
        <x:v>MAP-018</x:v>
      </x:c>
      <x:c r="B24" s="262" t="str">
        <x:v>李柄輝醫師</x:v>
      </x:c>
      <x:c r="C24" s="262" t="str">
        <x:v>自費</x:v>
      </x:c>
      <x:c r="D24" s="262" t="str">
        <x:v>固定假牙(黏著劑)</x:v>
      </x:c>
      <x:c r="E24" s="262" t="n">
        <x:v>14</x:v>
      </x:c>
      <x:c r="F24" s="262" t="n">
        <x:v>11</x:v>
      </x:c>
      <x:c r="G24" s="262" t="str">
        <x:v>22</x:v>
      </x:c>
      <x:c r="H24" s="262" t="str">
        <x:v>李柄輝醫師－固定假牙(黏著劑)</x:v>
      </x:c>
      <x:c r="I24" s="262" t="str">
        <x:v>醫師＋治療專屬</x:v>
      </x:c>
      <x:c r="J24" s="262"/>
      <x:c r="K24" s="262" t="str">
        <x:v>待確認是否合併</x:v>
      </x:c>
      <x:c r="L24" s="263" t="str">
        <x:v>待核定</x:v>
      </x:c>
      <x:c r="M24" s="263"/>
      <x:c r="N24" s="263"/>
      <x:c r="O24" s="264"/>
      <x:c r="P24" s="263"/>
      <x:c r="Q24" s="263"/>
      <x:c r="R24" s="262" t="str">
        <x:f>IF($A24="","",IF($L24="待核定","待主管核定",IF($L24="停用","停用",IF($L24="採用建議",IF($K24="需拆分","需完成拆分",IF(OR($H24="",$I24="",$J24="",$O24="",$P24=""),"待補建議或核定資料","可發布")),IF($L24="路由跟診熟悉度",IF(OR($H24="",$J24="",$O24="",$P24=""),"待補核定資料","可發布"),IF(OR($L24="另訂標準",$L24="不合併"),IF(OR($M24="",$N24="",$O24="",$P24=""),"待補最終名稱、代碼或核定資料","可發布"),"待主管核定"))))))</x:f>
        <x:v>待主管核定</x:v>
      </x:c>
      <x:c r="S24" s="262" t="str">
        <x:f>IF($R24&lt;&gt;"可發布","",IF(OR($L24="採用建議",$L24="路由跟診熟悉度"),$H24,$M24))</x:f>
      </x:c>
      <x:c r="T24" s="262" t="str">
        <x:f>IF($R24&lt;&gt;"可發布","",IF(OR($L24="採用建議",$L24="路由跟診熟悉度"),$J24,$N24))</x:f>
      </x:c>
      <x:c r="U24" s="262" t="str">
        <x:f>IF($R24&lt;&gt;"可發布","未檢核",IF($T24="","缺少代碼",IF(COUNTIFS($T$7:$T$123,$T24,$R$7:$R$123,"可發布",$S$7:$S$123,"&lt;&gt;"&amp;$S24)&gt;0,"代碼對應多名稱","一致")))</x:f>
        <x:v>未檢核</x:v>
      </x:c>
      <x:c r="V24" s="262" t="str">
        <x:f>IF($A24="","",IF($R24&lt;&gt;"可發布",$R24,IF($U24="一致","已發布",$U24)))</x:f>
        <x:v>待主管核定</x:v>
      </x:c>
    </x:row>
    <x:row r="25">
      <x:c r="A25" s="262" t="str">
        <x:v>MAP-019</x:v>
      </x:c>
      <x:c r="B25" s="262" t="str">
        <x:v>李柄輝醫師</x:v>
      </x:c>
      <x:c r="C25" s="262"/>
      <x:c r="D25" s="262" t="str">
        <x:v>跟診順暢度</x:v>
      </x:c>
      <x:c r="E25" s="262" t="n">
        <x:v>14</x:v>
      </x:c>
      <x:c r="F25" s="262" t="n">
        <x:v>11</x:v>
      </x:c>
      <x:c r="G25" s="262" t="str">
        <x:v>23</x:v>
      </x:c>
      <x:c r="H25" s="262" t="str">
        <x:v>李柄輝醫師跟診熟悉度</x:v>
      </x:c>
      <x:c r="I25" s="262" t="str">
        <x:v>跟診熟悉度</x:v>
      </x:c>
      <x:c r="J25" s="262" t="str">
        <x:v>FAM|PENDING-DOC-01</x:v>
      </x:c>
      <x:c r="K25" s="262" t="str">
        <x:v>路由跟診熟悉度</x:v>
      </x:c>
      <x:c r="L25" s="263" t="str">
        <x:v>待核定</x:v>
      </x:c>
      <x:c r="M25" s="263"/>
      <x:c r="N25" s="263"/>
      <x:c r="O25" s="264"/>
      <x:c r="P25" s="263"/>
      <x:c r="Q25" s="263"/>
      <x:c r="R25" s="262" t="str">
        <x:f>IF($A25="","",IF($L25="待核定","待主管核定",IF($L25="停用","停用",IF($L25="採用建議",IF($K25="需拆分","需完成拆分",IF(OR($H25="",$I25="",$J25="",$O25="",$P25=""),"待補建議或核定資料","可發布")),IF($L25="路由跟診熟悉度",IF(OR($H25="",$J25="",$O25="",$P25=""),"待補核定資料","可發布"),IF(OR($L25="另訂標準",$L25="不合併"),IF(OR($M25="",$N25="",$O25="",$P25=""),"待補最終名稱、代碼或核定資料","可發布"),"待主管核定"))))))</x:f>
        <x:v>待主管核定</x:v>
      </x:c>
      <x:c r="S25" s="262" t="str">
        <x:f>IF($R25&lt;&gt;"可發布","",IF(OR($L25="採用建議",$L25="路由跟診熟悉度"),$H25,$M25))</x:f>
      </x:c>
      <x:c r="T25" s="262" t="str">
        <x:f>IF($R25&lt;&gt;"可發布","",IF(OR($L25="採用建議",$L25="路由跟診熟悉度"),$J25,$N25))</x:f>
      </x:c>
      <x:c r="U25" s="262" t="str">
        <x:f>IF($R25&lt;&gt;"可發布","未檢核",IF($T25="","缺少代碼",IF(COUNTIFS($T$7:$T$123,$T25,$R$7:$R$123,"可發布",$S$7:$S$123,"&lt;&gt;"&amp;$S25)&gt;0,"代碼對應多名稱","一致")))</x:f>
        <x:v>未檢核</x:v>
      </x:c>
      <x:c r="V25" s="262" t="str">
        <x:f>IF($A25="","",IF($R25&lt;&gt;"可發布",$R25,IF($U25="一致","已發布",$U25)))</x:f>
        <x:v>待主管核定</x:v>
      </x:c>
    </x:row>
    <x:row r="26">
      <x:c r="A26" s="262" t="str">
        <x:v>MAP-020</x:v>
      </x:c>
      <x:c r="B26" s="262" t="str">
        <x:v>李柄輝醫師</x:v>
      </x:c>
      <x:c r="C26" s="262"/>
      <x:c r="D26" s="262" t="str">
        <x:v>病歷紀錄</x:v>
      </x:c>
      <x:c r="E26" s="262" t="n">
        <x:v>14</x:v>
      </x:c>
      <x:c r="F26" s="262" t="n">
        <x:v>11</x:v>
      </x:c>
      <x:c r="G26" s="262" t="str">
        <x:v>24</x:v>
      </x:c>
      <x:c r="H26" s="262" t="str">
        <x:v>病歷基本操作</x:v>
      </x:c>
      <x:c r="I26" s="262" t="str">
        <x:v>共通技能</x:v>
      </x:c>
      <x:c r="J26" s="262" t="str">
        <x:v>COMMON-RECORD</x:v>
      </x:c>
      <x:c r="K26" s="262" t="str">
        <x:v>已有既有對照</x:v>
      </x:c>
      <x:c r="L26" s="263" t="str">
        <x:v>待核定</x:v>
      </x:c>
      <x:c r="M26" s="263"/>
      <x:c r="N26" s="263"/>
      <x:c r="O26" s="264"/>
      <x:c r="P26" s="263"/>
      <x:c r="Q26" s="263"/>
      <x:c r="R26" s="262" t="str">
        <x:f>IF($A26="","",IF($L26="待核定","待主管核定",IF($L26="停用","停用",IF($L26="採用建議",IF($K26="需拆分","需完成拆分",IF(OR($H26="",$I26="",$J26="",$O26="",$P26=""),"待補建議或核定資料","可發布")),IF($L26="路由跟診熟悉度",IF(OR($H26="",$J26="",$O26="",$P26=""),"待補核定資料","可發布"),IF(OR($L26="另訂標準",$L26="不合併"),IF(OR($M26="",$N26="",$O26="",$P26=""),"待補最終名稱、代碼或核定資料","可發布"),"待主管核定"))))))</x:f>
        <x:v>待主管核定</x:v>
      </x:c>
      <x:c r="S26" s="262" t="str">
        <x:f>IF($R26&lt;&gt;"可發布","",IF(OR($L26="採用建議",$L26="路由跟診熟悉度"),$H26,$M26))</x:f>
      </x:c>
      <x:c r="T26" s="262" t="str">
        <x:f>IF($R26&lt;&gt;"可發布","",IF(OR($L26="採用建議",$L26="路由跟診熟悉度"),$J26,$N26))</x:f>
      </x:c>
      <x:c r="U26" s="262" t="str">
        <x:f>IF($R26&lt;&gt;"可發布","未檢核",IF($T26="","缺少代碼",IF(COUNTIFS($T$7:$T$123,$T26,$R$7:$R$123,"可發布",$S$7:$S$123,"&lt;&gt;"&amp;$S26)&gt;0,"代碼對應多名稱","一致")))</x:f>
        <x:v>未檢核</x:v>
      </x:c>
      <x:c r="V26" s="262" t="str">
        <x:f>IF($A26="","",IF($R26&lt;&gt;"可發布",$R26,IF($U26="一致","已發布",$U26)))</x:f>
        <x:v>待主管核定</x:v>
      </x:c>
    </x:row>
    <x:row r="27">
      <x:c r="A27" s="262" t="str">
        <x:v>MAP-021</x:v>
      </x:c>
      <x:c r="B27" s="262" t="str">
        <x:v>李柄輝醫師</x:v>
      </x:c>
      <x:c r="C27" s="262"/>
      <x:c r="D27" s="262" t="str">
        <x:v>健保申報</x:v>
      </x:c>
      <x:c r="E27" s="262" t="n">
        <x:v>14</x:v>
      </x:c>
      <x:c r="F27" s="262" t="n">
        <x:v>11</x:v>
      </x:c>
      <x:c r="G27" s="262" t="str">
        <x:v>25</x:v>
      </x:c>
      <x:c r="H27" s="262" t="str">
        <x:v>健保申報</x:v>
      </x:c>
      <x:c r="I27" s="262" t="str">
        <x:v>共通技能</x:v>
      </x:c>
      <x:c r="J27" s="262" t="str">
        <x:v>COMMON-INSURANCE</x:v>
      </x:c>
      <x:c r="K27" s="262" t="str">
        <x:v>已有既有對照</x:v>
      </x:c>
      <x:c r="L27" s="263" t="str">
        <x:v>待核定</x:v>
      </x:c>
      <x:c r="M27" s="263"/>
      <x:c r="N27" s="263"/>
      <x:c r="O27" s="264"/>
      <x:c r="P27" s="263"/>
      <x:c r="Q27" s="263"/>
      <x:c r="R27" s="262" t="str">
        <x:f>IF($A27="","",IF($L27="待核定","待主管核定",IF($L27="停用","停用",IF($L27="採用建議",IF($K27="需拆分","需完成拆分",IF(OR($H27="",$I27="",$J27="",$O27="",$P27=""),"待補建議或核定資料","可發布")),IF($L27="路由跟診熟悉度",IF(OR($H27="",$J27="",$O27="",$P27=""),"待補核定資料","可發布"),IF(OR($L27="另訂標準",$L27="不合併"),IF(OR($M27="",$N27="",$O27="",$P27=""),"待補最終名稱、代碼或核定資料","可發布"),"待主管核定"))))))</x:f>
        <x:v>待主管核定</x:v>
      </x:c>
      <x:c r="S27" s="262" t="str">
        <x:f>IF($R27&lt;&gt;"可發布","",IF(OR($L27="採用建議",$L27="路由跟診熟悉度"),$H27,$M27))</x:f>
      </x:c>
      <x:c r="T27" s="262" t="str">
        <x:f>IF($R27&lt;&gt;"可發布","",IF(OR($L27="採用建議",$L27="路由跟診熟悉度"),$J27,$N27))</x:f>
      </x:c>
      <x:c r="U27" s="262" t="str">
        <x:f>IF($R27&lt;&gt;"可發布","未檢核",IF($T27="","缺少代碼",IF(COUNTIFS($T$7:$T$123,$T27,$R$7:$R$123,"可發布",$S$7:$S$123,"&lt;&gt;"&amp;$S27)&gt;0,"代碼對應多名稱","一致")))</x:f>
        <x:v>未檢核</x:v>
      </x:c>
      <x:c r="V27" s="262" t="str">
        <x:f>IF($A27="","",IF($R27&lt;&gt;"可發布",$R27,IF($U27="一致","已發布",$U27)))</x:f>
        <x:v>待主管核定</x:v>
      </x:c>
    </x:row>
    <x:row r="28">
      <x:c r="A28" s="262" t="str">
        <x:v>MAP-022</x:v>
      </x:c>
      <x:c r="B28" s="262" t="str">
        <x:v>李柄輝醫師</x:v>
      </x:c>
      <x:c r="C28" s="262"/>
      <x:c r="D28" s="262" t="str">
        <x:v>X光片紀錄</x:v>
      </x:c>
      <x:c r="E28" s="262" t="n">
        <x:v>14</x:v>
      </x:c>
      <x:c r="F28" s="262" t="n">
        <x:v>11</x:v>
      </x:c>
      <x:c r="G28" s="262" t="str">
        <x:v>26</x:v>
      </x:c>
      <x:c r="H28" s="262" t="str">
        <x:v>X 光片紀錄</x:v>
      </x:c>
      <x:c r="I28" s="262" t="str">
        <x:v>共通技能</x:v>
      </x:c>
      <x:c r="J28" s="262" t="str">
        <x:v>COMMON-XRAY-RECORD</x:v>
      </x:c>
      <x:c r="K28" s="262" t="str">
        <x:v>已有既有對照</x:v>
      </x:c>
      <x:c r="L28" s="263" t="str">
        <x:v>待核定</x:v>
      </x:c>
      <x:c r="M28" s="263"/>
      <x:c r="N28" s="263"/>
      <x:c r="O28" s="264"/>
      <x:c r="P28" s="263"/>
      <x:c r="Q28" s="263"/>
      <x:c r="R28" s="262" t="str">
        <x:f>IF($A28="","",IF($L28="待核定","待主管核定",IF($L28="停用","停用",IF($L28="採用建議",IF($K28="需拆分","需完成拆分",IF(OR($H28="",$I28="",$J28="",$O28="",$P28=""),"待補建議或核定資料","可發布")),IF($L28="路由跟診熟悉度",IF(OR($H28="",$J28="",$O28="",$P28=""),"待補核定資料","可發布"),IF(OR($L28="另訂標準",$L28="不合併"),IF(OR($M28="",$N28="",$O28="",$P28=""),"待補最終名稱、代碼或核定資料","可發布"),"待主管核定"))))))</x:f>
        <x:v>待主管核定</x:v>
      </x:c>
      <x:c r="S28" s="262" t="str">
        <x:f>IF($R28&lt;&gt;"可發布","",IF(OR($L28="採用建議",$L28="路由跟診熟悉度"),$H28,$M28))</x:f>
      </x:c>
      <x:c r="T28" s="262" t="str">
        <x:f>IF($R28&lt;&gt;"可發布","",IF(OR($L28="採用建議",$L28="路由跟診熟悉度"),$J28,$N28))</x:f>
      </x:c>
      <x:c r="U28" s="262" t="str">
        <x:f>IF($R28&lt;&gt;"可發布","未檢核",IF($T28="","缺少代碼",IF(COUNTIFS($T$7:$T$123,$T28,$R$7:$R$123,"可發布",$S$7:$S$123,"&lt;&gt;"&amp;$S28)&gt;0,"代碼對應多名稱","一致")))</x:f>
        <x:v>未檢核</x:v>
      </x:c>
      <x:c r="V28" s="262" t="str">
        <x:f>IF($A28="","",IF($R28&lt;&gt;"可發布",$R28,IF($U28="一致","已發布",$U28)))</x:f>
        <x:v>待主管核定</x:v>
      </x:c>
    </x:row>
    <x:row r="29">
      <x:c r="A29" s="262" t="str">
        <x:v>MAP-023</x:v>
      </x:c>
      <x:c r="B29" s="262" t="str">
        <x:v>李柄輝醫師</x:v>
      </x:c>
      <x:c r="C29" s="262"/>
      <x:c r="D29" s="262" t="str">
        <x:v>拍PA</x:v>
      </x:c>
      <x:c r="E29" s="262" t="n">
        <x:v>14</x:v>
      </x:c>
      <x:c r="F29" s="262" t="n">
        <x:v>11</x:v>
      </x:c>
      <x:c r="G29" s="262" t="str">
        <x:v>27</x:v>
      </x:c>
      <x:c r="H29" s="262" t="str">
        <x:v>拍 PA</x:v>
      </x:c>
      <x:c r="I29" s="262" t="str">
        <x:v>共通技術</x:v>
      </x:c>
      <x:c r="J29" s="262" t="str">
        <x:v>COMMON-PA</x:v>
      </x:c>
      <x:c r="K29" s="262" t="str">
        <x:v>已有既有對照</x:v>
      </x:c>
      <x:c r="L29" s="263" t="str">
        <x:v>待核定</x:v>
      </x:c>
      <x:c r="M29" s="263"/>
      <x:c r="N29" s="263"/>
      <x:c r="O29" s="264"/>
      <x:c r="P29" s="263"/>
      <x:c r="Q29" s="263"/>
      <x:c r="R29" s="262" t="str">
        <x:f>IF($A29="","",IF($L29="待核定","待主管核定",IF($L29="停用","停用",IF($L29="採用建議",IF($K29="需拆分","需完成拆分",IF(OR($H29="",$I29="",$J29="",$O29="",$P29=""),"待補建議或核定資料","可發布")),IF($L29="路由跟診熟悉度",IF(OR($H29="",$J29="",$O29="",$P29=""),"待補核定資料","可發布"),IF(OR($L29="另訂標準",$L29="不合併"),IF(OR($M29="",$N29="",$O29="",$P29=""),"待補最終名稱、代碼或核定資料","可發布"),"待主管核定"))))))</x:f>
        <x:v>待主管核定</x:v>
      </x:c>
      <x:c r="S29" s="262" t="str">
        <x:f>IF($R29&lt;&gt;"可發布","",IF(OR($L29="採用建議",$L29="路由跟診熟悉度"),$H29,$M29))</x:f>
      </x:c>
      <x:c r="T29" s="262" t="str">
        <x:f>IF($R29&lt;&gt;"可發布","",IF(OR($L29="採用建議",$L29="路由跟診熟悉度"),$J29,$N29))</x:f>
      </x:c>
      <x:c r="U29" s="262" t="str">
        <x:f>IF($R29&lt;&gt;"可發布","未檢核",IF($T29="","缺少代碼",IF(COUNTIFS($T$7:$T$123,$T29,$R$7:$R$123,"可發布",$S$7:$S$123,"&lt;&gt;"&amp;$S29)&gt;0,"代碼對應多名稱","一致")))</x:f>
        <x:v>未檢核</x:v>
      </x:c>
      <x:c r="V29" s="262" t="str">
        <x:f>IF($A29="","",IF($R29&lt;&gt;"可發布",$R29,IF($U29="一致","已發布",$U29)))</x:f>
        <x:v>待主管核定</x:v>
      </x:c>
    </x:row>
    <x:row r="30">
      <x:c r="A30" s="262" t="str">
        <x:v>MAP-024</x:v>
      </x:c>
      <x:c r="B30" s="262" t="str">
        <x:v>李侑津醫師</x:v>
      </x:c>
      <x:c r="C30" s="262" t="str">
        <x:v>器械準備</x:v>
      </x:c>
      <x:c r="D30" s="262" t="str">
        <x:v>洗牙</x:v>
      </x:c>
      <x:c r="E30" s="262" t="n">
        <x:v>14</x:v>
      </x:c>
      <x:c r="F30" s="262" t="n">
        <x:v>9</x:v>
      </x:c>
      <x:c r="G30" s="262" t="str">
        <x:v>28</x:v>
      </x:c>
      <x:c r="H30" s="262" t="str">
        <x:v>洗牙器械準備</x:v>
      </x:c>
      <x:c r="I30" s="262" t="str">
        <x:v>醫師＋治療專屬</x:v>
      </x:c>
      <x:c r="J30" s="262" t="str">
        <x:v>LJT-PREP-SCALING</x:v>
      </x:c>
      <x:c r="K30" s="262" t="str">
        <x:v>已有既有對照</x:v>
      </x:c>
      <x:c r="L30" s="263" t="str">
        <x:v>待核定</x:v>
      </x:c>
      <x:c r="M30" s="263"/>
      <x:c r="N30" s="263"/>
      <x:c r="O30" s="264"/>
      <x:c r="P30" s="263"/>
      <x:c r="Q30" s="263"/>
      <x:c r="R30" s="262" t="str">
        <x:f>IF($A30="","",IF($L30="待核定","待主管核定",IF($L30="停用","停用",IF($L30="採用建議",IF($K30="需拆分","需完成拆分",IF(OR($H30="",$I30="",$J30="",$O30="",$P30=""),"待補建議或核定資料","可發布")),IF($L30="路由跟診熟悉度",IF(OR($H30="",$J30="",$O30="",$P30=""),"待補核定資料","可發布"),IF(OR($L30="另訂標準",$L30="不合併"),IF(OR($M30="",$N30="",$O30="",$P30=""),"待補最終名稱、代碼或核定資料","可發布"),"待主管核定"))))))</x:f>
        <x:v>待主管核定</x:v>
      </x:c>
      <x:c r="S30" s="262" t="str">
        <x:f>IF($R30&lt;&gt;"可發布","",IF(OR($L30="採用建議",$L30="路由跟診熟悉度"),$H30,$M30))</x:f>
      </x:c>
      <x:c r="T30" s="262" t="str">
        <x:f>IF($R30&lt;&gt;"可發布","",IF(OR($L30="採用建議",$L30="路由跟診熟悉度"),$J30,$N30))</x:f>
      </x:c>
      <x:c r="U30" s="262" t="str">
        <x:f>IF($R30&lt;&gt;"可發布","未檢核",IF($T30="","缺少代碼",IF(COUNTIFS($T$7:$T$123,$T30,$R$7:$R$123,"可發布",$S$7:$S$123,"&lt;&gt;"&amp;$S30)&gt;0,"代碼對應多名稱","一致")))</x:f>
        <x:v>未檢核</x:v>
      </x:c>
      <x:c r="V30" s="262" t="str">
        <x:f>IF($A30="","",IF($R30&lt;&gt;"可發布",$R30,IF($U30="一致","已發布",$U30)))</x:f>
        <x:v>待主管核定</x:v>
      </x:c>
    </x:row>
    <x:row r="31">
      <x:c r="A31" s="262" t="str">
        <x:v>MAP-025</x:v>
      </x:c>
      <x:c r="B31" s="262" t="str">
        <x:v>李侑津醫師</x:v>
      </x:c>
      <x:c r="C31" s="262" t="str">
        <x:v>器械準備</x:v>
      </x:c>
      <x:c r="D31" s="262" t="str">
        <x:v>補牙</x:v>
      </x:c>
      <x:c r="E31" s="262" t="n">
        <x:v>14</x:v>
      </x:c>
      <x:c r="F31" s="262" t="n">
        <x:v>9</x:v>
      </x:c>
      <x:c r="G31" s="262" t="str">
        <x:v>29</x:v>
      </x:c>
      <x:c r="H31" s="262" t="str">
        <x:v>補牙器械準備</x:v>
      </x:c>
      <x:c r="I31" s="262" t="str">
        <x:v>醫師＋治療專屬</x:v>
      </x:c>
      <x:c r="J31" s="262" t="str">
        <x:v>LJT-PREP-FILLING</x:v>
      </x:c>
      <x:c r="K31" s="262" t="str">
        <x:v>已有既有對照</x:v>
      </x:c>
      <x:c r="L31" s="263" t="str">
        <x:v>待核定</x:v>
      </x:c>
      <x:c r="M31" s="263"/>
      <x:c r="N31" s="263"/>
      <x:c r="O31" s="264"/>
      <x:c r="P31" s="263"/>
      <x:c r="Q31" s="263"/>
      <x:c r="R31" s="262" t="str">
        <x:f>IF($A31="","",IF($L31="待核定","待主管核定",IF($L31="停用","停用",IF($L31="採用建議",IF($K31="需拆分","需完成拆分",IF(OR($H31="",$I31="",$J31="",$O31="",$P31=""),"待補建議或核定資料","可發布")),IF($L31="路由跟診熟悉度",IF(OR($H31="",$J31="",$O31="",$P31=""),"待補核定資料","可發布"),IF(OR($L31="另訂標準",$L31="不合併"),IF(OR($M31="",$N31="",$O31="",$P31=""),"待補最終名稱、代碼或核定資料","可發布"),"待主管核定"))))))</x:f>
        <x:v>待主管核定</x:v>
      </x:c>
      <x:c r="S31" s="262" t="str">
        <x:f>IF($R31&lt;&gt;"可發布","",IF(OR($L31="採用建議",$L31="路由跟診熟悉度"),$H31,$M31))</x:f>
      </x:c>
      <x:c r="T31" s="262" t="str">
        <x:f>IF($R31&lt;&gt;"可發布","",IF(OR($L31="採用建議",$L31="路由跟診熟悉度"),$J31,$N31))</x:f>
      </x:c>
      <x:c r="U31" s="262" t="str">
        <x:f>IF($R31&lt;&gt;"可發布","未檢核",IF($T31="","缺少代碼",IF(COUNTIFS($T$7:$T$123,$T31,$R$7:$R$123,"可發布",$S$7:$S$123,"&lt;&gt;"&amp;$S31)&gt;0,"代碼對應多名稱","一致")))</x:f>
        <x:v>未檢核</x:v>
      </x:c>
      <x:c r="V31" s="262" t="str">
        <x:f>IF($A31="","",IF($R31&lt;&gt;"可發布",$R31,IF($U31="一致","已發布",$U31)))</x:f>
        <x:v>待主管核定</x:v>
      </x:c>
    </x:row>
    <x:row r="32">
      <x:c r="A32" s="262" t="str">
        <x:v>MAP-026</x:v>
      </x:c>
      <x:c r="B32" s="262" t="str">
        <x:v>李侑津醫師</x:v>
      </x:c>
      <x:c r="C32" s="262" t="str">
        <x:v>器械準備</x:v>
      </x:c>
      <x:c r="D32" s="262" t="str">
        <x:v>牙周統合</x:v>
      </x:c>
      <x:c r="E32" s="262" t="n">
        <x:v>14</x:v>
      </x:c>
      <x:c r="F32" s="262" t="n">
        <x:v>9</x:v>
      </x:c>
      <x:c r="G32" s="262" t="str">
        <x:v>30</x:v>
      </x:c>
      <x:c r="H32" s="262" t="str">
        <x:v>牙周統合器械準備</x:v>
      </x:c>
      <x:c r="I32" s="262" t="str">
        <x:v>醫師＋治療專屬</x:v>
      </x:c>
      <x:c r="J32" s="262" t="str">
        <x:v>LJT-PREP-PERIO</x:v>
      </x:c>
      <x:c r="K32" s="262" t="str">
        <x:v>已有既有對照</x:v>
      </x:c>
      <x:c r="L32" s="263" t="str">
        <x:v>待核定</x:v>
      </x:c>
      <x:c r="M32" s="263"/>
      <x:c r="N32" s="263"/>
      <x:c r="O32" s="264"/>
      <x:c r="P32" s="263"/>
      <x:c r="Q32" s="263"/>
      <x:c r="R32" s="262" t="str">
        <x:f>IF($A32="","",IF($L32="待核定","待主管核定",IF($L32="停用","停用",IF($L32="採用建議",IF($K32="需拆分","需完成拆分",IF(OR($H32="",$I32="",$J32="",$O32="",$P32=""),"待補建議或核定資料","可發布")),IF($L32="路由跟診熟悉度",IF(OR($H32="",$J32="",$O32="",$P32=""),"待補核定資料","可發布"),IF(OR($L32="另訂標準",$L32="不合併"),IF(OR($M32="",$N32="",$O32="",$P32=""),"待補最終名稱、代碼或核定資料","可發布"),"待主管核定"))))))</x:f>
        <x:v>待主管核定</x:v>
      </x:c>
      <x:c r="S32" s="262" t="str">
        <x:f>IF($R32&lt;&gt;"可發布","",IF(OR($L32="採用建議",$L32="路由跟診熟悉度"),$H32,$M32))</x:f>
      </x:c>
      <x:c r="T32" s="262" t="str">
        <x:f>IF($R32&lt;&gt;"可發布","",IF(OR($L32="採用建議",$L32="路由跟診熟悉度"),$J32,$N32))</x:f>
      </x:c>
      <x:c r="U32" s="262" t="str">
        <x:f>IF($R32&lt;&gt;"可發布","未檢核",IF($T32="","缺少代碼",IF(COUNTIFS($T$7:$T$123,$T32,$R$7:$R$123,"可發布",$S$7:$S$123,"&lt;&gt;"&amp;$S32)&gt;0,"代碼對應多名稱","一致")))</x:f>
        <x:v>未檢核</x:v>
      </x:c>
      <x:c r="V32" s="262" t="str">
        <x:f>IF($A32="","",IF($R32&lt;&gt;"可發布",$R32,IF($U32="一致","已發布",$U32)))</x:f>
        <x:v>待主管核定</x:v>
      </x:c>
    </x:row>
    <x:row r="33">
      <x:c r="A33" s="262" t="str">
        <x:v>MAP-027</x:v>
      </x:c>
      <x:c r="B33" s="262" t="str">
        <x:v>李侑津醫師</x:v>
      </x:c>
      <x:c r="C33" s="262" t="str">
        <x:v>器械準備</x:v>
      </x:c>
      <x:c r="D33" s="262" t="str">
        <x:v>根管治療</x:v>
      </x:c>
      <x:c r="E33" s="262" t="n">
        <x:v>14</x:v>
      </x:c>
      <x:c r="F33" s="262" t="n">
        <x:v>9</x:v>
      </x:c>
      <x:c r="G33" s="262" t="str">
        <x:v>31</x:v>
      </x:c>
      <x:c r="H33" s="262" t="str">
        <x:v>一般根管器械準備</x:v>
      </x:c>
      <x:c r="I33" s="262" t="str">
        <x:v>醫師＋治療專屬</x:v>
      </x:c>
      <x:c r="J33" s="262" t="str">
        <x:v>LJT-PREP-RCT</x:v>
      </x:c>
      <x:c r="K33" s="262" t="str">
        <x:v>已有既有對照</x:v>
      </x:c>
      <x:c r="L33" s="263" t="str">
        <x:v>待核定</x:v>
      </x:c>
      <x:c r="M33" s="263"/>
      <x:c r="N33" s="263"/>
      <x:c r="O33" s="264"/>
      <x:c r="P33" s="263"/>
      <x:c r="Q33" s="263"/>
      <x:c r="R33" s="262" t="str">
        <x:f>IF($A33="","",IF($L33="待核定","待主管核定",IF($L33="停用","停用",IF($L33="採用建議",IF($K33="需拆分","需完成拆分",IF(OR($H33="",$I33="",$J33="",$O33="",$P33=""),"待補建議或核定資料","可發布")),IF($L33="路由跟診熟悉度",IF(OR($H33="",$J33="",$O33="",$P33=""),"待補核定資料","可發布"),IF(OR($L33="另訂標準",$L33="不合併"),IF(OR($M33="",$N33="",$O33="",$P33=""),"待補最終名稱、代碼或核定資料","可發布"),"待主管核定"))))))</x:f>
        <x:v>待主管核定</x:v>
      </x:c>
      <x:c r="S33" s="262" t="str">
        <x:f>IF($R33&lt;&gt;"可發布","",IF(OR($L33="採用建議",$L33="路由跟診熟悉度"),$H33,$M33))</x:f>
      </x:c>
      <x:c r="T33" s="262" t="str">
        <x:f>IF($R33&lt;&gt;"可發布","",IF(OR($L33="採用建議",$L33="路由跟診熟悉度"),$J33,$N33))</x:f>
      </x:c>
      <x:c r="U33" s="262" t="str">
        <x:f>IF($R33&lt;&gt;"可發布","未檢核",IF($T33="","缺少代碼",IF(COUNTIFS($T$7:$T$123,$T33,$R$7:$R$123,"可發布",$S$7:$S$123,"&lt;&gt;"&amp;$S33)&gt;0,"代碼對應多名稱","一致")))</x:f>
        <x:v>未檢核</x:v>
      </x:c>
      <x:c r="V33" s="262" t="str">
        <x:f>IF($A33="","",IF($R33&lt;&gt;"可發布",$R33,IF($U33="一致","已發布",$U33)))</x:f>
        <x:v>待主管核定</x:v>
      </x:c>
    </x:row>
    <x:row r="34">
      <x:c r="A34" s="262" t="str">
        <x:v>MAP-028</x:v>
      </x:c>
      <x:c r="B34" s="262" t="str">
        <x:v>李侑津醫師</x:v>
      </x:c>
      <x:c r="C34" s="262" t="str">
        <x:v>器械準備</x:v>
      </x:c>
      <x:c r="D34" s="262" t="str">
        <x:v>拔牙</x:v>
      </x:c>
      <x:c r="E34" s="262" t="n">
        <x:v>14</x:v>
      </x:c>
      <x:c r="F34" s="262" t="n">
        <x:v>9</x:v>
      </x:c>
      <x:c r="G34" s="262" t="str">
        <x:v>32</x:v>
      </x:c>
      <x:c r="H34" s="262" t="str">
        <x:v>拔牙器械準備</x:v>
      </x:c>
      <x:c r="I34" s="262" t="str">
        <x:v>醫師＋治療專屬</x:v>
      </x:c>
      <x:c r="J34" s="262" t="str">
        <x:v>LJT-PREP-EXTRACTION</x:v>
      </x:c>
      <x:c r="K34" s="262" t="str">
        <x:v>已有既有對照</x:v>
      </x:c>
      <x:c r="L34" s="263" t="str">
        <x:v>待核定</x:v>
      </x:c>
      <x:c r="M34" s="263"/>
      <x:c r="N34" s="263"/>
      <x:c r="O34" s="264"/>
      <x:c r="P34" s="263"/>
      <x:c r="Q34" s="263"/>
      <x:c r="R34" s="262" t="str">
        <x:f>IF($A34="","",IF($L34="待核定","待主管核定",IF($L34="停用","停用",IF($L34="採用建議",IF($K34="需拆分","需完成拆分",IF(OR($H34="",$I34="",$J34="",$O34="",$P34=""),"待補建議或核定資料","可發布")),IF($L34="路由跟診熟悉度",IF(OR($H34="",$J34="",$O34="",$P34=""),"待補核定資料","可發布"),IF(OR($L34="另訂標準",$L34="不合併"),IF(OR($M34="",$N34="",$O34="",$P34=""),"待補最終名稱、代碼或核定資料","可發布"),"待主管核定"))))))</x:f>
        <x:v>待主管核定</x:v>
      </x:c>
      <x:c r="S34" s="262" t="str">
        <x:f>IF($R34&lt;&gt;"可發布","",IF(OR($L34="採用建議",$L34="路由跟診熟悉度"),$H34,$M34))</x:f>
      </x:c>
      <x:c r="T34" s="262" t="str">
        <x:f>IF($R34&lt;&gt;"可發布","",IF(OR($L34="採用建議",$L34="路由跟診熟悉度"),$J34,$N34))</x:f>
      </x:c>
      <x:c r="U34" s="262" t="str">
        <x:f>IF($R34&lt;&gt;"可發布","未檢核",IF($T34="","缺少代碼",IF(COUNTIFS($T$7:$T$123,$T34,$R$7:$R$123,"可發布",$S$7:$S$123,"&lt;&gt;"&amp;$S34)&gt;0,"代碼對應多名稱","一致")))</x:f>
        <x:v>未檢核</x:v>
      </x:c>
      <x:c r="V34" s="262" t="str">
        <x:f>IF($A34="","",IF($R34&lt;&gt;"可發布",$R34,IF($U34="一致","已發布",$U34)))</x:f>
        <x:v>待主管核定</x:v>
      </x:c>
    </x:row>
    <x:row r="35">
      <x:c r="A35" s="262" t="str">
        <x:v>MAP-029</x:v>
      </x:c>
      <x:c r="B35" s="262" t="str">
        <x:v>李侑津醫師</x:v>
      </x:c>
      <x:c r="C35" s="262" t="str">
        <x:v>器械準備</x:v>
      </x:c>
      <x:c r="D35" s="262" t="str">
        <x:v>拆 crown/post</x:v>
      </x:c>
      <x:c r="E35" s="262" t="n">
        <x:v>14</x:v>
      </x:c>
      <x:c r="F35" s="262" t="n">
        <x:v>9</x:v>
      </x:c>
      <x:c r="G35" s="262" t="str">
        <x:v>33</x:v>
      </x:c>
      <x:c r="H35" s="262" t="str">
        <x:v>拆 crown/post 器械準備</x:v>
      </x:c>
      <x:c r="I35" s="262" t="str">
        <x:v>醫師＋治療專屬</x:v>
      </x:c>
      <x:c r="J35" s="262" t="str">
        <x:v>LJT-PREP-CROWNPOST</x:v>
      </x:c>
      <x:c r="K35" s="262" t="str">
        <x:v>已有既有對照</x:v>
      </x:c>
      <x:c r="L35" s="263" t="str">
        <x:v>待核定</x:v>
      </x:c>
      <x:c r="M35" s="263"/>
      <x:c r="N35" s="263"/>
      <x:c r="O35" s="264"/>
      <x:c r="P35" s="263"/>
      <x:c r="Q35" s="263"/>
      <x:c r="R35" s="262" t="str">
        <x:f>IF($A35="","",IF($L35="待核定","待主管核定",IF($L35="停用","停用",IF($L35="採用建議",IF($K35="需拆分","需完成拆分",IF(OR($H35="",$I35="",$J35="",$O35="",$P35=""),"待補建議或核定資料","可發布")),IF($L35="路由跟診熟悉度",IF(OR($H35="",$J35="",$O35="",$P35=""),"待補核定資料","可發布"),IF(OR($L35="另訂標準",$L35="不合併"),IF(OR($M35="",$N35="",$O35="",$P35=""),"待補最終名稱、代碼或核定資料","可發布"),"待主管核定"))))))</x:f>
        <x:v>待主管核定</x:v>
      </x:c>
      <x:c r="S35" s="262" t="str">
        <x:f>IF($R35&lt;&gt;"可發布","",IF(OR($L35="採用建議",$L35="路由跟診熟悉度"),$H35,$M35))</x:f>
      </x:c>
      <x:c r="T35" s="262" t="str">
        <x:f>IF($R35&lt;&gt;"可發布","",IF(OR($L35="採用建議",$L35="路由跟診熟悉度"),$J35,$N35))</x:f>
      </x:c>
      <x:c r="U35" s="262" t="str">
        <x:f>IF($R35&lt;&gt;"可發布","未檢核",IF($T35="","缺少代碼",IF(COUNTIFS($T$7:$T$123,$T35,$R$7:$R$123,"可發布",$S$7:$S$123,"&lt;&gt;"&amp;$S35)&gt;0,"代碼對應多名稱","一致")))</x:f>
        <x:v>未檢核</x:v>
      </x:c>
      <x:c r="V35" s="262" t="str">
        <x:f>IF($A35="","",IF($R35&lt;&gt;"可發布",$R35,IF($U35="一致","已發布",$U35)))</x:f>
        <x:v>待主管核定</x:v>
      </x:c>
    </x:row>
    <x:row r="36">
      <x:c r="A36" s="262" t="str">
        <x:v>MAP-030</x:v>
      </x:c>
      <x:c r="B36" s="262" t="str">
        <x:v>李侑津醫師</x:v>
      </x:c>
      <x:c r="C36" s="262" t="str">
        <x:v>自費</x:v>
      </x:c>
      <x:c r="D36" s="262" t="str">
        <x:v>固定假牙</x:v>
      </x:c>
      <x:c r="E36" s="262" t="n">
        <x:v>14</x:v>
      </x:c>
      <x:c r="F36" s="262" t="n">
        <x:v>9</x:v>
      </x:c>
      <x:c r="G36" s="262" t="str">
        <x:v>34</x:v>
      </x:c>
      <x:c r="H36" s="262" t="str">
        <x:v>固定假牙器械準備</x:v>
      </x:c>
      <x:c r="I36" s="262" t="str">
        <x:v>醫師＋治療專屬</x:v>
      </x:c>
      <x:c r="J36" s="262" t="str">
        <x:v>LJT-PREP-CROWN</x:v>
      </x:c>
      <x:c r="K36" s="262" t="str">
        <x:v>已有既有對照</x:v>
      </x:c>
      <x:c r="L36" s="263" t="str">
        <x:v>待核定</x:v>
      </x:c>
      <x:c r="M36" s="263"/>
      <x:c r="N36" s="263"/>
      <x:c r="O36" s="264"/>
      <x:c r="P36" s="263"/>
      <x:c r="Q36" s="263"/>
      <x:c r="R36" s="262" t="str">
        <x:f>IF($A36="","",IF($L36="待核定","待主管核定",IF($L36="停用","停用",IF($L36="採用建議",IF($K36="需拆分","需完成拆分",IF(OR($H36="",$I36="",$J36="",$O36="",$P36=""),"待補建議或核定資料","可發布")),IF($L36="路由跟診熟悉度",IF(OR($H36="",$J36="",$O36="",$P36=""),"待補核定資料","可發布"),IF(OR($L36="另訂標準",$L36="不合併"),IF(OR($M36="",$N36="",$O36="",$P36=""),"待補最終名稱、代碼或核定資料","可發布"),"待主管核定"))))))</x:f>
        <x:v>待主管核定</x:v>
      </x:c>
      <x:c r="S36" s="262" t="str">
        <x:f>IF($R36&lt;&gt;"可發布","",IF(OR($L36="採用建議",$L36="路由跟診熟悉度"),$H36,$M36))</x:f>
      </x:c>
      <x:c r="T36" s="262" t="str">
        <x:f>IF($R36&lt;&gt;"可發布","",IF(OR($L36="採用建議",$L36="路由跟診熟悉度"),$J36,$N36))</x:f>
      </x:c>
      <x:c r="U36" s="262" t="str">
        <x:f>IF($R36&lt;&gt;"可發布","未檢核",IF($T36="","缺少代碼",IF(COUNTIFS($T$7:$T$123,$T36,$R$7:$R$123,"可發布",$S$7:$S$123,"&lt;&gt;"&amp;$S36)&gt;0,"代碼對應多名稱","一致")))</x:f>
        <x:v>未檢核</x:v>
      </x:c>
      <x:c r="V36" s="262" t="str">
        <x:f>IF($A36="","",IF($R36&lt;&gt;"可發布",$R36,IF($U36="一致","已發布",$U36)))</x:f>
        <x:v>待主管核定</x:v>
      </x:c>
    </x:row>
    <x:row r="37">
      <x:c r="A37" s="262" t="str">
        <x:v>MAP-031</x:v>
      </x:c>
      <x:c r="B37" s="262" t="str">
        <x:v>李侑津醫師</x:v>
      </x:c>
      <x:c r="C37" s="262" t="str">
        <x:v>自費</x:v>
      </x:c>
      <x:c r="D37" s="262" t="str">
        <x:v>RPD</x:v>
      </x:c>
      <x:c r="E37" s="262" t="n">
        <x:v>14</x:v>
      </x:c>
      <x:c r="F37" s="262" t="n">
        <x:v>9</x:v>
      </x:c>
      <x:c r="G37" s="262" t="str">
        <x:v>35</x:v>
      </x:c>
      <x:c r="H37" s="262" t="str">
        <x:v>RPD 器械準備</x:v>
      </x:c>
      <x:c r="I37" s="262" t="str">
        <x:v>醫師＋治療專屬</x:v>
      </x:c>
      <x:c r="J37" s="262" t="str">
        <x:v>LJT-PREP-RPD</x:v>
      </x:c>
      <x:c r="K37" s="262" t="str">
        <x:v>已有既有對照</x:v>
      </x:c>
      <x:c r="L37" s="263" t="str">
        <x:v>待核定</x:v>
      </x:c>
      <x:c r="M37" s="263"/>
      <x:c r="N37" s="263"/>
      <x:c r="O37" s="264"/>
      <x:c r="P37" s="263"/>
      <x:c r="Q37" s="263"/>
      <x:c r="R37" s="262" t="str">
        <x:f>IF($A37="","",IF($L37="待核定","待主管核定",IF($L37="停用","停用",IF($L37="採用建議",IF($K37="需拆分","需完成拆分",IF(OR($H37="",$I37="",$J37="",$O37="",$P37=""),"待補建議或核定資料","可發布")),IF($L37="路由跟診熟悉度",IF(OR($H37="",$J37="",$O37="",$P37=""),"待補核定資料","可發布"),IF(OR($L37="另訂標準",$L37="不合併"),IF(OR($M37="",$N37="",$O37="",$P37=""),"待補最終名稱、代碼或核定資料","可發布"),"待主管核定"))))))</x:f>
        <x:v>待主管核定</x:v>
      </x:c>
      <x:c r="S37" s="262" t="str">
        <x:f>IF($R37&lt;&gt;"可發布","",IF(OR($L37="採用建議",$L37="路由跟診熟悉度"),$H37,$M37))</x:f>
      </x:c>
      <x:c r="T37" s="262" t="str">
        <x:f>IF($R37&lt;&gt;"可發布","",IF(OR($L37="採用建議",$L37="路由跟診熟悉度"),$J37,$N37))</x:f>
      </x:c>
      <x:c r="U37" s="262" t="str">
        <x:f>IF($R37&lt;&gt;"可發布","未檢核",IF($T37="","缺少代碼",IF(COUNTIFS($T$7:$T$123,$T37,$R$7:$R$123,"可發布",$S$7:$S$123,"&lt;&gt;"&amp;$S37)&gt;0,"代碼對應多名稱","一致")))</x:f>
        <x:v>未檢核</x:v>
      </x:c>
      <x:c r="V37" s="262" t="str">
        <x:f>IF($A37="","",IF($R37&lt;&gt;"可發布",$R37,IF($U37="一致","已發布",$U37)))</x:f>
        <x:v>待主管核定</x:v>
      </x:c>
    </x:row>
    <x:row r="38">
      <x:c r="A38" s="262" t="str">
        <x:v>MAP-032</x:v>
      </x:c>
      <x:c r="B38" s="262" t="str">
        <x:v>李侑津醫師</x:v>
      </x:c>
      <x:c r="C38" s="262" t="str">
        <x:v>自費</x:v>
      </x:c>
      <x:c r="D38" s="262" t="str">
        <x:v>噴砂美白</x:v>
      </x:c>
      <x:c r="E38" s="262" t="n">
        <x:v>14</x:v>
      </x:c>
      <x:c r="F38" s="262" t="n">
        <x:v>9</x:v>
      </x:c>
      <x:c r="G38" s="262" t="str">
        <x:v>36</x:v>
      </x:c>
      <x:c r="H38" s="262" t="str">
        <x:v>噴砂美白器械準備</x:v>
      </x:c>
      <x:c r="I38" s="262" t="str">
        <x:v>醫師＋治療專屬</x:v>
      </x:c>
      <x:c r="J38" s="262" t="str">
        <x:v>LJT-PREP-AIRPOLISH</x:v>
      </x:c>
      <x:c r="K38" s="262" t="str">
        <x:v>已有既有對照</x:v>
      </x:c>
      <x:c r="L38" s="263" t="str">
        <x:v>待核定</x:v>
      </x:c>
      <x:c r="M38" s="263"/>
      <x:c r="N38" s="263"/>
      <x:c r="O38" s="264"/>
      <x:c r="P38" s="263"/>
      <x:c r="Q38" s="263"/>
      <x:c r="R38" s="262" t="str">
        <x:f>IF($A38="","",IF($L38="待核定","待主管核定",IF($L38="停用","停用",IF($L38="採用建議",IF($K38="需拆分","需完成拆分",IF(OR($H38="",$I38="",$J38="",$O38="",$P38=""),"待補建議或核定資料","可發布")),IF($L38="路由跟診熟悉度",IF(OR($H38="",$J38="",$O38="",$P38=""),"待補核定資料","可發布"),IF(OR($L38="另訂標準",$L38="不合併"),IF(OR($M38="",$N38="",$O38="",$P38=""),"待補最終名稱、代碼或核定資料","可發布"),"待主管核定"))))))</x:f>
        <x:v>待主管核定</x:v>
      </x:c>
      <x:c r="S38" s="262" t="str">
        <x:f>IF($R38&lt;&gt;"可發布","",IF(OR($L38="採用建議",$L38="路由跟診熟悉度"),$H38,$M38))</x:f>
      </x:c>
      <x:c r="T38" s="262" t="str">
        <x:f>IF($R38&lt;&gt;"可發布","",IF(OR($L38="採用建議",$L38="路由跟診熟悉度"),$J38,$N38))</x:f>
      </x:c>
      <x:c r="U38" s="262" t="str">
        <x:f>IF($R38&lt;&gt;"可發布","未檢核",IF($T38="","缺少代碼",IF(COUNTIFS($T$7:$T$123,$T38,$R$7:$R$123,"可發布",$S$7:$S$123,"&lt;&gt;"&amp;$S38)&gt;0,"代碼對應多名稱","一致")))</x:f>
        <x:v>未檢核</x:v>
      </x:c>
      <x:c r="V38" s="262" t="str">
        <x:f>IF($A38="","",IF($R38&lt;&gt;"可發布",$R38,IF($U38="一致","已發布",$U38)))</x:f>
        <x:v>待主管核定</x:v>
      </x:c>
    </x:row>
    <x:row r="39">
      <x:c r="A39" s="262" t="str">
        <x:v>MAP-033</x:v>
      </x:c>
      <x:c r="B39" s="262" t="str">
        <x:v>李侑津醫師</x:v>
      </x:c>
      <x:c r="C39" s="262" t="str">
        <x:v>手術</x:v>
      </x:c>
      <x:c r="D39" s="262" t="str">
        <x:v>牙周手術</x:v>
      </x:c>
      <x:c r="E39" s="262" t="n">
        <x:v>14</x:v>
      </x:c>
      <x:c r="F39" s="262" t="n">
        <x:v>9</x:v>
      </x:c>
      <x:c r="G39" s="262" t="str">
        <x:v>37</x:v>
      </x:c>
      <x:c r="H39" s="262" t="str">
        <x:v>牙周手術相關準備</x:v>
      </x:c>
      <x:c r="I39" s="262" t="str">
        <x:v>高複雜度技術</x:v>
      </x:c>
      <x:c r="J39" s="262" t="str">
        <x:v>LJT-PREP-PERIOSURG</x:v>
      </x:c>
      <x:c r="K39" s="262" t="str">
        <x:v>已有既有對照</x:v>
      </x:c>
      <x:c r="L39" s="263" t="str">
        <x:v>待核定</x:v>
      </x:c>
      <x:c r="M39" s="263"/>
      <x:c r="N39" s="263"/>
      <x:c r="O39" s="264"/>
      <x:c r="P39" s="263"/>
      <x:c r="Q39" s="263"/>
      <x:c r="R39" s="262" t="str">
        <x:f>IF($A39="","",IF($L39="待核定","待主管核定",IF($L39="停用","停用",IF($L39="採用建議",IF($K39="需拆分","需完成拆分",IF(OR($H39="",$I39="",$J39="",$O39="",$P39=""),"待補建議或核定資料","可發布")),IF($L39="路由跟診熟悉度",IF(OR($H39="",$J39="",$O39="",$P39=""),"待補核定資料","可發布"),IF(OR($L39="另訂標準",$L39="不合併"),IF(OR($M39="",$N39="",$O39="",$P39=""),"待補最終名稱、代碼或核定資料","可發布"),"待主管核定"))))))</x:f>
        <x:v>待主管核定</x:v>
      </x:c>
      <x:c r="S39" s="262" t="str">
        <x:f>IF($R39&lt;&gt;"可發布","",IF(OR($L39="採用建議",$L39="路由跟診熟悉度"),$H39,$M39))</x:f>
      </x:c>
      <x:c r="T39" s="262" t="str">
        <x:f>IF($R39&lt;&gt;"可發布","",IF(OR($L39="採用建議",$L39="路由跟診熟悉度"),$J39,$N39))</x:f>
      </x:c>
      <x:c r="U39" s="262" t="str">
        <x:f>IF($R39&lt;&gt;"可發布","未檢核",IF($T39="","缺少代碼",IF(COUNTIFS($T$7:$T$123,$T39,$R$7:$R$123,"可發布",$S$7:$S$123,"&lt;&gt;"&amp;$S39)&gt;0,"代碼對應多名稱","一致")))</x:f>
        <x:v>未檢核</x:v>
      </x:c>
      <x:c r="V39" s="262" t="str">
        <x:f>IF($A39="","",IF($R39&lt;&gt;"可發布",$R39,IF($U39="一致","已發布",$U39)))</x:f>
        <x:v>待主管核定</x:v>
      </x:c>
    </x:row>
    <x:row r="40">
      <x:c r="A40" s="262" t="str">
        <x:v>MAP-034</x:v>
      </x:c>
      <x:c r="B40" s="262" t="str">
        <x:v>李侑津醫師</x:v>
      </x:c>
      <x:c r="C40" s="262" t="str">
        <x:v>手術</x:v>
      </x:c>
      <x:c r="D40" s="262" t="str">
        <x:v>顯微根管</x:v>
      </x:c>
      <x:c r="E40" s="262" t="n">
        <x:v>14</x:v>
      </x:c>
      <x:c r="F40" s="262" t="n">
        <x:v>9</x:v>
      </x:c>
      <x:c r="G40" s="262" t="str">
        <x:v>38</x:v>
      </x:c>
      <x:c r="H40" s="262" t="str">
        <x:v>顯微根管相關準備</x:v>
      </x:c>
      <x:c r="I40" s="262" t="str">
        <x:v>高複雜度技術</x:v>
      </x:c>
      <x:c r="J40" s="262" t="str">
        <x:v>LJT-PREP-MICROENDO</x:v>
      </x:c>
      <x:c r="K40" s="262" t="str">
        <x:v>已有既有對照</x:v>
      </x:c>
      <x:c r="L40" s="263" t="str">
        <x:v>待核定</x:v>
      </x:c>
      <x:c r="M40" s="263"/>
      <x:c r="N40" s="263"/>
      <x:c r="O40" s="264"/>
      <x:c r="P40" s="263"/>
      <x:c r="Q40" s="263"/>
      <x:c r="R40" s="262" t="str">
        <x:f>IF($A40="","",IF($L40="待核定","待主管核定",IF($L40="停用","停用",IF($L40="採用建議",IF($K40="需拆分","需完成拆分",IF(OR($H40="",$I40="",$J40="",$O40="",$P40=""),"待補建議或核定資料","可發布")),IF($L40="路由跟診熟悉度",IF(OR($H40="",$J40="",$O40="",$P40=""),"待補核定資料","可發布"),IF(OR($L40="另訂標準",$L40="不合併"),IF(OR($M40="",$N40="",$O40="",$P40=""),"待補最終名稱、代碼或核定資料","可發布"),"待主管核定"))))))</x:f>
        <x:v>待主管核定</x:v>
      </x:c>
      <x:c r="S40" s="262" t="str">
        <x:f>IF($R40&lt;&gt;"可發布","",IF(OR($L40="採用建議",$L40="路由跟診熟悉度"),$H40,$M40))</x:f>
      </x:c>
      <x:c r="T40" s="262" t="str">
        <x:f>IF($R40&lt;&gt;"可發布","",IF(OR($L40="採用建議",$L40="路由跟診熟悉度"),$J40,$N40))</x:f>
      </x:c>
      <x:c r="U40" s="262" t="str">
        <x:f>IF($R40&lt;&gt;"可發布","未檢核",IF($T40="","缺少代碼",IF(COUNTIFS($T$7:$T$123,$T40,$R$7:$R$123,"可發布",$S$7:$S$123,"&lt;&gt;"&amp;$S40)&gt;0,"代碼對應多名稱","一致")))</x:f>
        <x:v>未檢核</x:v>
      </x:c>
      <x:c r="V40" s="262" t="str">
        <x:f>IF($A40="","",IF($R40&lt;&gt;"可發布",$R40,IF($U40="一致","已發布",$U40)))</x:f>
        <x:v>待主管核定</x:v>
      </x:c>
    </x:row>
    <x:row r="41">
      <x:c r="A41" s="262" t="str">
        <x:v>MAP-035</x:v>
      </x:c>
      <x:c r="B41" s="262" t="str">
        <x:v>李侑津醫師</x:v>
      </x:c>
      <x:c r="C41" s="262" t="str">
        <x:v>手術</x:v>
      </x:c>
      <x:c r="D41" s="262" t="str">
        <x:v>植 牙</x:v>
      </x:c>
      <x:c r="E41" s="262" t="n">
        <x:v>14</x:v>
      </x:c>
      <x:c r="F41" s="262" t="n">
        <x:v>9</x:v>
      </x:c>
      <x:c r="G41" s="262" t="str">
        <x:v>39</x:v>
      </x:c>
      <x:c r="H41" s="262" t="str">
        <x:v>植牙相關準備</x:v>
      </x:c>
      <x:c r="I41" s="262" t="str">
        <x:v>高複雜度技術</x:v>
      </x:c>
      <x:c r="J41" s="262" t="str">
        <x:v>LJT-PREP-IMPLANT</x:v>
      </x:c>
      <x:c r="K41" s="262" t="str">
        <x:v>已有既有對照</x:v>
      </x:c>
      <x:c r="L41" s="263" t="str">
        <x:v>待核定</x:v>
      </x:c>
      <x:c r="M41" s="263"/>
      <x:c r="N41" s="263"/>
      <x:c r="O41" s="264"/>
      <x:c r="P41" s="263"/>
      <x:c r="Q41" s="263"/>
      <x:c r="R41" s="262" t="str">
        <x:f>IF($A41="","",IF($L41="待核定","待主管核定",IF($L41="停用","停用",IF($L41="採用建議",IF($K41="需拆分","需完成拆分",IF(OR($H41="",$I41="",$J41="",$O41="",$P41=""),"待補建議或核定資料","可發布")),IF($L41="路由跟診熟悉度",IF(OR($H41="",$J41="",$O41="",$P41=""),"待補核定資料","可發布"),IF(OR($L41="另訂標準",$L41="不合併"),IF(OR($M41="",$N41="",$O41="",$P41=""),"待補最終名稱、代碼或核定資料","可發布"),"待主管核定"))))))</x:f>
        <x:v>待主管核定</x:v>
      </x:c>
      <x:c r="S41" s="262" t="str">
        <x:f>IF($R41&lt;&gt;"可發布","",IF(OR($L41="採用建議",$L41="路由跟診熟悉度"),$H41,$M41))</x:f>
      </x:c>
      <x:c r="T41" s="262" t="str">
        <x:f>IF($R41&lt;&gt;"可發布","",IF(OR($L41="採用建議",$L41="路由跟診熟悉度"),$J41,$N41))</x:f>
      </x:c>
      <x:c r="U41" s="262" t="str">
        <x:f>IF($R41&lt;&gt;"可發布","未檢核",IF($T41="","缺少代碼",IF(COUNTIFS($T$7:$T$123,$T41,$R$7:$R$123,"可發布",$S$7:$S$123,"&lt;&gt;"&amp;$S41)&gt;0,"代碼對應多名稱","一致")))</x:f>
        <x:v>未檢核</x:v>
      </x:c>
      <x:c r="V41" s="262" t="str">
        <x:f>IF($A41="","",IF($R41&lt;&gt;"可發布",$R41,IF($U41="一致","已發布",$U41)))</x:f>
        <x:v>待主管核定</x:v>
      </x:c>
    </x:row>
    <x:row r="42">
      <x:c r="A42" s="262" t="str">
        <x:v>MAP-036</x:v>
      </x:c>
      <x:c r="B42" s="262" t="str">
        <x:v>李侑津醫師</x:v>
      </x:c>
      <x:c r="C42" s="262"/>
      <x:c r="D42" s="262" t="str">
        <x:v>跟診順暢度</x:v>
      </x:c>
      <x:c r="E42" s="262" t="n">
        <x:v>14</x:v>
      </x:c>
      <x:c r="F42" s="262" t="n">
        <x:v>9</x:v>
      </x:c>
      <x:c r="G42" s="262" t="str">
        <x:v>40</x:v>
      </x:c>
      <x:c r="H42" s="262" t="str">
        <x:v>李侑津醫師跟診熟悉度</x:v>
      </x:c>
      <x:c r="I42" s="262" t="str">
        <x:v>跟診熟悉度</x:v>
      </x:c>
      <x:c r="J42" s="262" t="str">
        <x:v>FAM|LJT</x:v>
      </x:c>
      <x:c r="K42" s="262" t="str">
        <x:v>路由跟診熟悉度</x:v>
      </x:c>
      <x:c r="L42" s="263" t="str">
        <x:v>待核定</x:v>
      </x:c>
      <x:c r="M42" s="263"/>
      <x:c r="N42" s="263"/>
      <x:c r="O42" s="264"/>
      <x:c r="P42" s="263"/>
      <x:c r="Q42" s="263"/>
      <x:c r="R42" s="262" t="str">
        <x:f>IF($A42="","",IF($L42="待核定","待主管核定",IF($L42="停用","停用",IF($L42="採用建議",IF($K42="需拆分","需完成拆分",IF(OR($H42="",$I42="",$J42="",$O42="",$P42=""),"待補建議或核定資料","可發布")),IF($L42="路由跟診熟悉度",IF(OR($H42="",$J42="",$O42="",$P42=""),"待補核定資料","可發布"),IF(OR($L42="另訂標準",$L42="不合併"),IF(OR($M42="",$N42="",$O42="",$P42=""),"待補最終名稱、代碼或核定資料","可發布"),"待主管核定"))))))</x:f>
        <x:v>待主管核定</x:v>
      </x:c>
      <x:c r="S42" s="262" t="str">
        <x:f>IF($R42&lt;&gt;"可發布","",IF(OR($L42="採用建議",$L42="路由跟診熟悉度"),$H42,$M42))</x:f>
      </x:c>
      <x:c r="T42" s="262" t="str">
        <x:f>IF($R42&lt;&gt;"可發布","",IF(OR($L42="採用建議",$L42="路由跟診熟悉度"),$J42,$N42))</x:f>
      </x:c>
      <x:c r="U42" s="262" t="str">
        <x:f>IF($R42&lt;&gt;"可發布","未檢核",IF($T42="","缺少代碼",IF(COUNTIFS($T$7:$T$123,$T42,$R$7:$R$123,"可發布",$S$7:$S$123,"&lt;&gt;"&amp;$S42)&gt;0,"代碼對應多名稱","一致")))</x:f>
        <x:v>未檢核</x:v>
      </x:c>
      <x:c r="V42" s="262" t="str">
        <x:f>IF($A42="","",IF($R42&lt;&gt;"可發布",$R42,IF($U42="一致","已發布",$U42)))</x:f>
        <x:v>待主管核定</x:v>
      </x:c>
    </x:row>
    <x:row r="43">
      <x:c r="A43" s="262" t="str">
        <x:v>MAP-037</x:v>
      </x:c>
      <x:c r="B43" s="262" t="str">
        <x:v>李侑津醫師</x:v>
      </x:c>
      <x:c r="C43" s="262"/>
      <x:c r="D43" s="262" t="str">
        <x:v>病歷紀錄</x:v>
      </x:c>
      <x:c r="E43" s="262" t="n">
        <x:v>14</x:v>
      </x:c>
      <x:c r="F43" s="262" t="n">
        <x:v>9</x:v>
      </x:c>
      <x:c r="G43" s="262" t="str">
        <x:v>41</x:v>
      </x:c>
      <x:c r="H43" s="262" t="str">
        <x:v>病歷基本操作</x:v>
      </x:c>
      <x:c r="I43" s="262" t="str">
        <x:v>共通技能</x:v>
      </x:c>
      <x:c r="J43" s="262" t="str">
        <x:v>COMMON-RECORD</x:v>
      </x:c>
      <x:c r="K43" s="262" t="str">
        <x:v>已有既有對照</x:v>
      </x:c>
      <x:c r="L43" s="263" t="str">
        <x:v>待核定</x:v>
      </x:c>
      <x:c r="M43" s="263"/>
      <x:c r="N43" s="263"/>
      <x:c r="O43" s="264"/>
      <x:c r="P43" s="263"/>
      <x:c r="Q43" s="263"/>
      <x:c r="R43" s="262" t="str">
        <x:f>IF($A43="","",IF($L43="待核定","待主管核定",IF($L43="停用","停用",IF($L43="採用建議",IF($K43="需拆分","需完成拆分",IF(OR($H43="",$I43="",$J43="",$O43="",$P43=""),"待補建議或核定資料","可發布")),IF($L43="路由跟診熟悉度",IF(OR($H43="",$J43="",$O43="",$P43=""),"待補核定資料","可發布"),IF(OR($L43="另訂標準",$L43="不合併"),IF(OR($M43="",$N43="",$O43="",$P43=""),"待補最終名稱、代碼或核定資料","可發布"),"待主管核定"))))))</x:f>
        <x:v>待主管核定</x:v>
      </x:c>
      <x:c r="S43" s="262" t="str">
        <x:f>IF($R43&lt;&gt;"可發布","",IF(OR($L43="採用建議",$L43="路由跟診熟悉度"),$H43,$M43))</x:f>
      </x:c>
      <x:c r="T43" s="262" t="str">
        <x:f>IF($R43&lt;&gt;"可發布","",IF(OR($L43="採用建議",$L43="路由跟診熟悉度"),$J43,$N43))</x:f>
      </x:c>
      <x:c r="U43" s="262" t="str">
        <x:f>IF($R43&lt;&gt;"可發布","未檢核",IF($T43="","缺少代碼",IF(COUNTIFS($T$7:$T$123,$T43,$R$7:$R$123,"可發布",$S$7:$S$123,"&lt;&gt;"&amp;$S43)&gt;0,"代碼對應多名稱","一致")))</x:f>
        <x:v>未檢核</x:v>
      </x:c>
      <x:c r="V43" s="262" t="str">
        <x:f>IF($A43="","",IF($R43&lt;&gt;"可發布",$R43,IF($U43="一致","已發布",$U43)))</x:f>
        <x:v>待主管核定</x:v>
      </x:c>
    </x:row>
    <x:row r="44">
      <x:c r="A44" s="262" t="str">
        <x:v>MAP-038</x:v>
      </x:c>
      <x:c r="B44" s="262" t="str">
        <x:v>李侑津醫師</x:v>
      </x:c>
      <x:c r="C44" s="262"/>
      <x:c r="D44" s="262" t="str">
        <x:v>健保申報</x:v>
      </x:c>
      <x:c r="E44" s="262" t="n">
        <x:v>14</x:v>
      </x:c>
      <x:c r="F44" s="262" t="n">
        <x:v>9</x:v>
      </x:c>
      <x:c r="G44" s="262" t="str">
        <x:v>42</x:v>
      </x:c>
      <x:c r="H44" s="262" t="str">
        <x:v>健保申報</x:v>
      </x:c>
      <x:c r="I44" s="262" t="str">
        <x:v>共通技能</x:v>
      </x:c>
      <x:c r="J44" s="262" t="str">
        <x:v>COMMON-INSURANCE</x:v>
      </x:c>
      <x:c r="K44" s="262" t="str">
        <x:v>已有既有對照</x:v>
      </x:c>
      <x:c r="L44" s="263" t="str">
        <x:v>待核定</x:v>
      </x:c>
      <x:c r="M44" s="263"/>
      <x:c r="N44" s="263"/>
      <x:c r="O44" s="264"/>
      <x:c r="P44" s="263"/>
      <x:c r="Q44" s="263"/>
      <x:c r="R44" s="262" t="str">
        <x:f>IF($A44="","",IF($L44="待核定","待主管核定",IF($L44="停用","停用",IF($L44="採用建議",IF($K44="需拆分","需完成拆分",IF(OR($H44="",$I44="",$J44="",$O44="",$P44=""),"待補建議或核定資料","可發布")),IF($L44="路由跟診熟悉度",IF(OR($H44="",$J44="",$O44="",$P44=""),"待補核定資料","可發布"),IF(OR($L44="另訂標準",$L44="不合併"),IF(OR($M44="",$N44="",$O44="",$P44=""),"待補最終名稱、代碼或核定資料","可發布"),"待主管核定"))))))</x:f>
        <x:v>待主管核定</x:v>
      </x:c>
      <x:c r="S44" s="262" t="str">
        <x:f>IF($R44&lt;&gt;"可發布","",IF(OR($L44="採用建議",$L44="路由跟診熟悉度"),$H44,$M44))</x:f>
      </x:c>
      <x:c r="T44" s="262" t="str">
        <x:f>IF($R44&lt;&gt;"可發布","",IF(OR($L44="採用建議",$L44="路由跟診熟悉度"),$J44,$N44))</x:f>
      </x:c>
      <x:c r="U44" s="262" t="str">
        <x:f>IF($R44&lt;&gt;"可發布","未檢核",IF($T44="","缺少代碼",IF(COUNTIFS($T$7:$T$123,$T44,$R$7:$R$123,"可發布",$S$7:$S$123,"&lt;&gt;"&amp;$S44)&gt;0,"代碼對應多名稱","一致")))</x:f>
        <x:v>未檢核</x:v>
      </x:c>
      <x:c r="V44" s="262" t="str">
        <x:f>IF($A44="","",IF($R44&lt;&gt;"可發布",$R44,IF($U44="一致","已發布",$U44)))</x:f>
        <x:v>待主管核定</x:v>
      </x:c>
    </x:row>
    <x:row r="45">
      <x:c r="A45" s="262" t="str">
        <x:v>MAP-039</x:v>
      </x:c>
      <x:c r="B45" s="262" t="str">
        <x:v>李侑津醫師</x:v>
      </x:c>
      <x:c r="C45" s="262"/>
      <x:c r="D45" s="262" t="str">
        <x:v>X光片紀錄</x:v>
      </x:c>
      <x:c r="E45" s="262" t="n">
        <x:v>14</x:v>
      </x:c>
      <x:c r="F45" s="262" t="n">
        <x:v>9</x:v>
      </x:c>
      <x:c r="G45" s="262" t="str">
        <x:v>43</x:v>
      </x:c>
      <x:c r="H45" s="262" t="str">
        <x:v>X 光片紀錄</x:v>
      </x:c>
      <x:c r="I45" s="262" t="str">
        <x:v>共通技能</x:v>
      </x:c>
      <x:c r="J45" s="262" t="str">
        <x:v>COMMON-XRAY-RECORD</x:v>
      </x:c>
      <x:c r="K45" s="262" t="str">
        <x:v>已有既有對照</x:v>
      </x:c>
      <x:c r="L45" s="263" t="str">
        <x:v>待核定</x:v>
      </x:c>
      <x:c r="M45" s="263"/>
      <x:c r="N45" s="263"/>
      <x:c r="O45" s="264"/>
      <x:c r="P45" s="263"/>
      <x:c r="Q45" s="263"/>
      <x:c r="R45" s="262" t="str">
        <x:f>IF($A45="","",IF($L45="待核定","待主管核定",IF($L45="停用","停用",IF($L45="採用建議",IF($K45="需拆分","需完成拆分",IF(OR($H45="",$I45="",$J45="",$O45="",$P45=""),"待補建議或核定資料","可發布")),IF($L45="路由跟診熟悉度",IF(OR($H45="",$J45="",$O45="",$P45=""),"待補核定資料","可發布"),IF(OR($L45="另訂標準",$L45="不合併"),IF(OR($M45="",$N45="",$O45="",$P45=""),"待補最終名稱、代碼或核定資料","可發布"),"待主管核定"))))))</x:f>
        <x:v>待主管核定</x:v>
      </x:c>
      <x:c r="S45" s="262" t="str">
        <x:f>IF($R45&lt;&gt;"可發布","",IF(OR($L45="採用建議",$L45="路由跟診熟悉度"),$H45,$M45))</x:f>
      </x:c>
      <x:c r="T45" s="262" t="str">
        <x:f>IF($R45&lt;&gt;"可發布","",IF(OR($L45="採用建議",$L45="路由跟診熟悉度"),$J45,$N45))</x:f>
      </x:c>
      <x:c r="U45" s="262" t="str">
        <x:f>IF($R45&lt;&gt;"可發布","未檢核",IF($T45="","缺少代碼",IF(COUNTIFS($T$7:$T$123,$T45,$R$7:$R$123,"可發布",$S$7:$S$123,"&lt;&gt;"&amp;$S45)&gt;0,"代碼對應多名稱","一致")))</x:f>
        <x:v>未檢核</x:v>
      </x:c>
      <x:c r="V45" s="262" t="str">
        <x:f>IF($A45="","",IF($R45&lt;&gt;"可發布",$R45,IF($U45="一致","已發布",$U45)))</x:f>
        <x:v>待主管核定</x:v>
      </x:c>
    </x:row>
    <x:row r="46">
      <x:c r="A46" s="262" t="str">
        <x:v>MAP-040</x:v>
      </x:c>
      <x:c r="B46" s="262" t="str">
        <x:v>李侑津醫師</x:v>
      </x:c>
      <x:c r="C46" s="262"/>
      <x:c r="D46" s="262" t="str">
        <x:v>拍PA</x:v>
      </x:c>
      <x:c r="E46" s="262" t="n">
        <x:v>14</x:v>
      </x:c>
      <x:c r="F46" s="262" t="n">
        <x:v>9</x:v>
      </x:c>
      <x:c r="G46" s="262" t="str">
        <x:v>44</x:v>
      </x:c>
      <x:c r="H46" s="262" t="str">
        <x:v>拍 PA</x:v>
      </x:c>
      <x:c r="I46" s="262" t="str">
        <x:v>共通技術</x:v>
      </x:c>
      <x:c r="J46" s="262" t="str">
        <x:v>COMMON-PA</x:v>
      </x:c>
      <x:c r="K46" s="262" t="str">
        <x:v>已有既有對照</x:v>
      </x:c>
      <x:c r="L46" s="263" t="str">
        <x:v>待核定</x:v>
      </x:c>
      <x:c r="M46" s="263"/>
      <x:c r="N46" s="263"/>
      <x:c r="O46" s="264"/>
      <x:c r="P46" s="263"/>
      <x:c r="Q46" s="263"/>
      <x:c r="R46" s="262" t="str">
        <x:f>IF($A46="","",IF($L46="待核定","待主管核定",IF($L46="停用","停用",IF($L46="採用建議",IF($K46="需拆分","需完成拆分",IF(OR($H46="",$I46="",$J46="",$O46="",$P46=""),"待補建議或核定資料","可發布")),IF($L46="路由跟診熟悉度",IF(OR($H46="",$J46="",$O46="",$P46=""),"待補核定資料","可發布"),IF(OR($L46="另訂標準",$L46="不合併"),IF(OR($M46="",$N46="",$O46="",$P46=""),"待補最終名稱、代碼或核定資料","可發布"),"待主管核定"))))))</x:f>
        <x:v>待主管核定</x:v>
      </x:c>
      <x:c r="S46" s="262" t="str">
        <x:f>IF($R46&lt;&gt;"可發布","",IF(OR($L46="採用建議",$L46="路由跟診熟悉度"),$H46,$M46))</x:f>
      </x:c>
      <x:c r="T46" s="262" t="str">
        <x:f>IF($R46&lt;&gt;"可發布","",IF(OR($L46="採用建議",$L46="路由跟診熟悉度"),$J46,$N46))</x:f>
      </x:c>
      <x:c r="U46" s="262" t="str">
        <x:f>IF($R46&lt;&gt;"可發布","未檢核",IF($T46="","缺少代碼",IF(COUNTIFS($T$7:$T$123,$T46,$R$7:$R$123,"可發布",$S$7:$S$123,"&lt;&gt;"&amp;$S46)&gt;0,"代碼對應多名稱","一致")))</x:f>
        <x:v>未檢核</x:v>
      </x:c>
      <x:c r="V46" s="262" t="str">
        <x:f>IF($A46="","",IF($R46&lt;&gt;"可發布",$R46,IF($U46="一致","已發布",$U46)))</x:f>
        <x:v>待主管核定</x:v>
      </x:c>
    </x:row>
    <x:row r="47">
      <x:c r="A47" s="262" t="str">
        <x:v>MAP-041</x:v>
      </x:c>
      <x:c r="B47" s="262" t="str">
        <x:v>李侑津醫師</x:v>
      </x:c>
      <x:c r="C47" s="262"/>
      <x:c r="D47" s="262" t="str">
        <x:v>口掃機運用</x:v>
      </x:c>
      <x:c r="E47" s="262" t="n">
        <x:v>14</x:v>
      </x:c>
      <x:c r="F47" s="262" t="n">
        <x:v>9</x:v>
      </x:c>
      <x:c r="G47" s="262" t="str">
        <x:v>45</x:v>
      </x:c>
      <x:c r="H47" s="262" t="str">
        <x:v>口掃機運用</x:v>
      </x:c>
      <x:c r="I47" s="262" t="str">
        <x:v>共通技術</x:v>
      </x:c>
      <x:c r="J47" s="262" t="str">
        <x:v>COMMON-IOS</x:v>
      </x:c>
      <x:c r="K47" s="262" t="str">
        <x:v>已有既有對照</x:v>
      </x:c>
      <x:c r="L47" s="263" t="str">
        <x:v>待核定</x:v>
      </x:c>
      <x:c r="M47" s="263"/>
      <x:c r="N47" s="263"/>
      <x:c r="O47" s="264"/>
      <x:c r="P47" s="263"/>
      <x:c r="Q47" s="263"/>
      <x:c r="R47" s="262" t="str">
        <x:f>IF($A47="","",IF($L47="待核定","待主管核定",IF($L47="停用","停用",IF($L47="採用建議",IF($K47="需拆分","需完成拆分",IF(OR($H47="",$I47="",$J47="",$O47="",$P47=""),"待補建議或核定資料","可發布")),IF($L47="路由跟診熟悉度",IF(OR($H47="",$J47="",$O47="",$P47=""),"待補核定資料","可發布"),IF(OR($L47="另訂標準",$L47="不合併"),IF(OR($M47="",$N47="",$O47="",$P47=""),"待補最終名稱、代碼或核定資料","可發布"),"待主管核定"))))))</x:f>
        <x:v>待主管核定</x:v>
      </x:c>
      <x:c r="S47" s="262" t="str">
        <x:f>IF($R47&lt;&gt;"可發布","",IF(OR($L47="採用建議",$L47="路由跟診熟悉度"),$H47,$M47))</x:f>
      </x:c>
      <x:c r="T47" s="262" t="str">
        <x:f>IF($R47&lt;&gt;"可發布","",IF(OR($L47="採用建議",$L47="路由跟診熟悉度"),$J47,$N47))</x:f>
      </x:c>
      <x:c r="U47" s="262" t="str">
        <x:f>IF($R47&lt;&gt;"可發布","未檢核",IF($T47="","缺少代碼",IF(COUNTIFS($T$7:$T$123,$T47,$R$7:$R$123,"可發布",$S$7:$S$123,"&lt;&gt;"&amp;$S47)&gt;0,"代碼對應多名稱","一致")))</x:f>
        <x:v>未檢核</x:v>
      </x:c>
      <x:c r="V47" s="262" t="str">
        <x:f>IF($A47="","",IF($R47&lt;&gt;"可發布",$R47,IF($U47="一致","已發布",$U47)))</x:f>
        <x:v>待主管核定</x:v>
      </x:c>
    </x:row>
    <x:row r="48">
      <x:c r="A48" s="262" t="str">
        <x:v>MAP-042</x:v>
      </x:c>
      <x:c r="B48" s="262" t="str">
        <x:v>廖立揚醫師</x:v>
      </x:c>
      <x:c r="C48" s="262"/>
      <x:c r="D48" s="262" t="str">
        <x:v>器械熟悉度</x:v>
      </x:c>
      <x:c r="E48" s="262" t="n">
        <x:v>14</x:v>
      </x:c>
      <x:c r="F48" s="262" t="n">
        <x:v>9</x:v>
      </x:c>
      <x:c r="G48" s="262" t="str">
        <x:v>46</x:v>
      </x:c>
      <x:c r="H48" s="262" t="str">
        <x:v>廖立揚醫師－器械熟悉度</x:v>
      </x:c>
      <x:c r="I48" s="262" t="str">
        <x:v>醫師＋治療專屬</x:v>
      </x:c>
      <x:c r="J48" s="262"/>
      <x:c r="K48" s="262" t="str">
        <x:v>待確認是否合併</x:v>
      </x:c>
      <x:c r="L48" s="263" t="str">
        <x:v>待核定</x:v>
      </x:c>
      <x:c r="M48" s="263"/>
      <x:c r="N48" s="263"/>
      <x:c r="O48" s="264"/>
      <x:c r="P48" s="263"/>
      <x:c r="Q48" s="263"/>
      <x:c r="R48" s="262" t="str">
        <x:f>IF($A48="","",IF($L48="待核定","待主管核定",IF($L48="停用","停用",IF($L48="採用建議",IF($K48="需拆分","需完成拆分",IF(OR($H48="",$I48="",$J48="",$O48="",$P48=""),"待補建議或核定資料","可發布")),IF($L48="路由跟診熟悉度",IF(OR($H48="",$J48="",$O48="",$P48=""),"待補核定資料","可發布"),IF(OR($L48="另訂標準",$L48="不合併"),IF(OR($M48="",$N48="",$O48="",$P48=""),"待補最終名稱、代碼或核定資料","可發布"),"待主管核定"))))))</x:f>
        <x:v>待主管核定</x:v>
      </x:c>
      <x:c r="S48" s="262" t="str">
        <x:f>IF($R48&lt;&gt;"可發布","",IF(OR($L48="採用建議",$L48="路由跟診熟悉度"),$H48,$M48))</x:f>
      </x:c>
      <x:c r="T48" s="262" t="str">
        <x:f>IF($R48&lt;&gt;"可發布","",IF(OR($L48="採用建議",$L48="路由跟診熟悉度"),$J48,$N48))</x:f>
      </x:c>
      <x:c r="U48" s="262" t="str">
        <x:f>IF($R48&lt;&gt;"可發布","未檢核",IF($T48="","缺少代碼",IF(COUNTIFS($T$7:$T$123,$T48,$R$7:$R$123,"可發布",$S$7:$S$123,"&lt;&gt;"&amp;$S48)&gt;0,"代碼對應多名稱","一致")))</x:f>
        <x:v>未檢核</x:v>
      </x:c>
      <x:c r="V48" s="262" t="str">
        <x:f>IF($A48="","",IF($R48&lt;&gt;"可發布",$R48,IF($U48="一致","已發布",$U48)))</x:f>
        <x:v>待主管核定</x:v>
      </x:c>
    </x:row>
    <x:row r="49">
      <x:c r="A49" s="262" t="str">
        <x:v>MAP-043</x:v>
      </x:c>
      <x:c r="B49" s="262" t="str">
        <x:v>廖立揚醫師</x:v>
      </x:c>
      <x:c r="C49" s="262"/>
      <x:c r="D49" s="262" t="str">
        <x:v>跟診順暢度</x:v>
      </x:c>
      <x:c r="E49" s="262" t="n">
        <x:v>14</x:v>
      </x:c>
      <x:c r="F49" s="262" t="n">
        <x:v>9</x:v>
      </x:c>
      <x:c r="G49" s="262" t="str">
        <x:v>47</x:v>
      </x:c>
      <x:c r="H49" s="262" t="str">
        <x:v>廖立揚醫師跟診熟悉度</x:v>
      </x:c>
      <x:c r="I49" s="262" t="str">
        <x:v>跟診熟悉度</x:v>
      </x:c>
      <x:c r="J49" s="262" t="str">
        <x:v>FAM|PENDING-DOC-02</x:v>
      </x:c>
      <x:c r="K49" s="262" t="str">
        <x:v>路由跟診熟悉度</x:v>
      </x:c>
      <x:c r="L49" s="263" t="str">
        <x:v>待核定</x:v>
      </x:c>
      <x:c r="M49" s="263"/>
      <x:c r="N49" s="263"/>
      <x:c r="O49" s="264"/>
      <x:c r="P49" s="263"/>
      <x:c r="Q49" s="263"/>
      <x:c r="R49" s="262" t="str">
        <x:f>IF($A49="","",IF($L49="待核定","待主管核定",IF($L49="停用","停用",IF($L49="採用建議",IF($K49="需拆分","需完成拆分",IF(OR($H49="",$I49="",$J49="",$O49="",$P49=""),"待補建議或核定資料","可發布")),IF($L49="路由跟診熟悉度",IF(OR($H49="",$J49="",$O49="",$P49=""),"待補核定資料","可發布"),IF(OR($L49="另訂標準",$L49="不合併"),IF(OR($M49="",$N49="",$O49="",$P49=""),"待補最終名稱、代碼或核定資料","可發布"),"待主管核定"))))))</x:f>
        <x:v>待主管核定</x:v>
      </x:c>
      <x:c r="S49" s="262" t="str">
        <x:f>IF($R49&lt;&gt;"可發布","",IF(OR($L49="採用建議",$L49="路由跟診熟悉度"),$H49,$M49))</x:f>
      </x:c>
      <x:c r="T49" s="262" t="str">
        <x:f>IF($R49&lt;&gt;"可發布","",IF(OR($L49="採用建議",$L49="路由跟診熟悉度"),$J49,$N49))</x:f>
      </x:c>
      <x:c r="U49" s="262" t="str">
        <x:f>IF($R49&lt;&gt;"可發布","未檢核",IF($T49="","缺少代碼",IF(COUNTIFS($T$7:$T$123,$T49,$R$7:$R$123,"可發布",$S$7:$S$123,"&lt;&gt;"&amp;$S49)&gt;0,"代碼對應多名稱","一致")))</x:f>
        <x:v>未檢核</x:v>
      </x:c>
      <x:c r="V49" s="262" t="str">
        <x:f>IF($A49="","",IF($R49&lt;&gt;"可發布",$R49,IF($U49="一致","已發布",$U49)))</x:f>
        <x:v>待主管核定</x:v>
      </x:c>
    </x:row>
    <x:row r="50">
      <x:c r="A50" s="262" t="str">
        <x:v>MAP-044</x:v>
      </x:c>
      <x:c r="B50" s="262" t="str">
        <x:v>廖立揚醫師</x:v>
      </x:c>
      <x:c r="C50" s="262"/>
      <x:c r="D50" s="262" t="str">
        <x:v>病歷紀錄</x:v>
      </x:c>
      <x:c r="E50" s="262" t="n">
        <x:v>14</x:v>
      </x:c>
      <x:c r="F50" s="262" t="n">
        <x:v>9</x:v>
      </x:c>
      <x:c r="G50" s="262" t="str">
        <x:v>48</x:v>
      </x:c>
      <x:c r="H50" s="262" t="str">
        <x:v>病歷基本操作</x:v>
      </x:c>
      <x:c r="I50" s="262" t="str">
        <x:v>共通技能</x:v>
      </x:c>
      <x:c r="J50" s="262" t="str">
        <x:v>COMMON-RECORD</x:v>
      </x:c>
      <x:c r="K50" s="262" t="str">
        <x:v>已有既有對照</x:v>
      </x:c>
      <x:c r="L50" s="263" t="str">
        <x:v>待核定</x:v>
      </x:c>
      <x:c r="M50" s="263"/>
      <x:c r="N50" s="263"/>
      <x:c r="O50" s="264"/>
      <x:c r="P50" s="263"/>
      <x:c r="Q50" s="263"/>
      <x:c r="R50" s="262" t="str">
        <x:f>IF($A50="","",IF($L50="待核定","待主管核定",IF($L50="停用","停用",IF($L50="採用建議",IF($K50="需拆分","需完成拆分",IF(OR($H50="",$I50="",$J50="",$O50="",$P50=""),"待補建議或核定資料","可發布")),IF($L50="路由跟診熟悉度",IF(OR($H50="",$J50="",$O50="",$P50=""),"待補核定資料","可發布"),IF(OR($L50="另訂標準",$L50="不合併"),IF(OR($M50="",$N50="",$O50="",$P50=""),"待補最終名稱、代碼或核定資料","可發布"),"待主管核定"))))))</x:f>
        <x:v>待主管核定</x:v>
      </x:c>
      <x:c r="S50" s="262" t="str">
        <x:f>IF($R50&lt;&gt;"可發布","",IF(OR($L50="採用建議",$L50="路由跟診熟悉度"),$H50,$M50))</x:f>
      </x:c>
      <x:c r="T50" s="262" t="str">
        <x:f>IF($R50&lt;&gt;"可發布","",IF(OR($L50="採用建議",$L50="路由跟診熟悉度"),$J50,$N50))</x:f>
      </x:c>
      <x:c r="U50" s="262" t="str">
        <x:f>IF($R50&lt;&gt;"可發布","未檢核",IF($T50="","缺少代碼",IF(COUNTIFS($T$7:$T$123,$T50,$R$7:$R$123,"可發布",$S$7:$S$123,"&lt;&gt;"&amp;$S50)&gt;0,"代碼對應多名稱","一致")))</x:f>
        <x:v>未檢核</x:v>
      </x:c>
      <x:c r="V50" s="262" t="str">
        <x:f>IF($A50="","",IF($R50&lt;&gt;"可發布",$R50,IF($U50="一致","已發布",$U50)))</x:f>
        <x:v>待主管核定</x:v>
      </x:c>
    </x:row>
    <x:row r="51">
      <x:c r="A51" s="262" t="str">
        <x:v>MAP-045</x:v>
      </x:c>
      <x:c r="B51" s="262" t="str">
        <x:v>廖立揚醫師</x:v>
      </x:c>
      <x:c r="C51" s="262"/>
      <x:c r="D51" s="262" t="str">
        <x:v>健保申報(初診pano)</x:v>
      </x:c>
      <x:c r="E51" s="262" t="n">
        <x:v>14</x:v>
      </x:c>
      <x:c r="F51" s="262" t="n">
        <x:v>9</x:v>
      </x:c>
      <x:c r="G51" s="262" t="str">
        <x:v>49</x:v>
      </x:c>
      <x:c r="H51" s="262" t="str">
        <x:v>初診健保申報與 PANO</x:v>
      </x:c>
      <x:c r="I51" s="262" t="str">
        <x:v>共通技能</x:v>
      </x:c>
      <x:c r="J51" s="262"/>
      <x:c r="K51" s="262" t="str">
        <x:v>待確認是否合併</x:v>
      </x:c>
      <x:c r="L51" s="263" t="str">
        <x:v>待核定</x:v>
      </x:c>
      <x:c r="M51" s="263"/>
      <x:c r="N51" s="263"/>
      <x:c r="O51" s="264"/>
      <x:c r="P51" s="263"/>
      <x:c r="Q51" s="263"/>
      <x:c r="R51" s="262" t="str">
        <x:f>IF($A51="","",IF($L51="待核定","待主管核定",IF($L51="停用","停用",IF($L51="採用建議",IF($K51="需拆分","需完成拆分",IF(OR($H51="",$I51="",$J51="",$O51="",$P51=""),"待補建議或核定資料","可發布")),IF($L51="路由跟診熟悉度",IF(OR($H51="",$J51="",$O51="",$P51=""),"待補核定資料","可發布"),IF(OR($L51="另訂標準",$L51="不合併"),IF(OR($M51="",$N51="",$O51="",$P51=""),"待補最終名稱、代碼或核定資料","可發布"),"待主管核定"))))))</x:f>
        <x:v>待主管核定</x:v>
      </x:c>
      <x:c r="S51" s="262" t="str">
        <x:f>IF($R51&lt;&gt;"可發布","",IF(OR($L51="採用建議",$L51="路由跟診熟悉度"),$H51,$M51))</x:f>
      </x:c>
      <x:c r="T51" s="262" t="str">
        <x:f>IF($R51&lt;&gt;"可發布","",IF(OR($L51="採用建議",$L51="路由跟診熟悉度"),$J51,$N51))</x:f>
      </x:c>
      <x:c r="U51" s="262" t="str">
        <x:f>IF($R51&lt;&gt;"可發布","未檢核",IF($T51="","缺少代碼",IF(COUNTIFS($T$7:$T$123,$T51,$R$7:$R$123,"可發布",$S$7:$S$123,"&lt;&gt;"&amp;$S51)&gt;0,"代碼對應多名稱","一致")))</x:f>
        <x:v>未檢核</x:v>
      </x:c>
      <x:c r="V51" s="262" t="str">
        <x:f>IF($A51="","",IF($R51&lt;&gt;"可發布",$R51,IF($U51="一致","已發布",$U51)))</x:f>
        <x:v>待主管核定</x:v>
      </x:c>
    </x:row>
    <x:row r="52">
      <x:c r="A52" s="262" t="str">
        <x:v>MAP-046</x:v>
      </x:c>
      <x:c r="B52" s="262" t="str">
        <x:v>廖立揚醫師</x:v>
      </x:c>
      <x:c r="C52" s="262"/>
      <x:c r="D52" s="262" t="str">
        <x:v>X光片紀錄</x:v>
      </x:c>
      <x:c r="E52" s="262" t="n">
        <x:v>14</x:v>
      </x:c>
      <x:c r="F52" s="262" t="n">
        <x:v>9</x:v>
      </x:c>
      <x:c r="G52" s="262" t="str">
        <x:v>50</x:v>
      </x:c>
      <x:c r="H52" s="262" t="str">
        <x:v>X 光片紀錄</x:v>
      </x:c>
      <x:c r="I52" s="262" t="str">
        <x:v>共通技能</x:v>
      </x:c>
      <x:c r="J52" s="262" t="str">
        <x:v>COMMON-XRAY-RECORD</x:v>
      </x:c>
      <x:c r="K52" s="262" t="str">
        <x:v>已有既有對照</x:v>
      </x:c>
      <x:c r="L52" s="263" t="str">
        <x:v>待核定</x:v>
      </x:c>
      <x:c r="M52" s="263"/>
      <x:c r="N52" s="263"/>
      <x:c r="O52" s="264"/>
      <x:c r="P52" s="263"/>
      <x:c r="Q52" s="263"/>
      <x:c r="R52" s="262" t="str">
        <x:f>IF($A52="","",IF($L52="待核定","待主管核定",IF($L52="停用","停用",IF($L52="採用建議",IF($K52="需拆分","需完成拆分",IF(OR($H52="",$I52="",$J52="",$O52="",$P52=""),"待補建議或核定資料","可發布")),IF($L52="路由跟診熟悉度",IF(OR($H52="",$J52="",$O52="",$P52=""),"待補核定資料","可發布"),IF(OR($L52="另訂標準",$L52="不合併"),IF(OR($M52="",$N52="",$O52="",$P52=""),"待補最終名稱、代碼或核定資料","可發布"),"待主管核定"))))))</x:f>
        <x:v>待主管核定</x:v>
      </x:c>
      <x:c r="S52" s="262" t="str">
        <x:f>IF($R52&lt;&gt;"可發布","",IF(OR($L52="採用建議",$L52="路由跟診熟悉度"),$H52,$M52))</x:f>
      </x:c>
      <x:c r="T52" s="262" t="str">
        <x:f>IF($R52&lt;&gt;"可發布","",IF(OR($L52="採用建議",$L52="路由跟診熟悉度"),$J52,$N52))</x:f>
      </x:c>
      <x:c r="U52" s="262" t="str">
        <x:f>IF($R52&lt;&gt;"可發布","未檢核",IF($T52="","缺少代碼",IF(COUNTIFS($T$7:$T$123,$T52,$R$7:$R$123,"可發布",$S$7:$S$123,"&lt;&gt;"&amp;$S52)&gt;0,"代碼對應多名稱","一致")))</x:f>
        <x:v>未檢核</x:v>
      </x:c>
      <x:c r="V52" s="262" t="str">
        <x:f>IF($A52="","",IF($R52&lt;&gt;"可發布",$R52,IF($U52="一致","已發布",$U52)))</x:f>
        <x:v>待主管核定</x:v>
      </x:c>
    </x:row>
    <x:row r="53">
      <x:c r="A53" s="262" t="str">
        <x:v>MAP-047</x:v>
      </x:c>
      <x:c r="B53" s="262" t="str">
        <x:v>廖立揚醫師</x:v>
      </x:c>
      <x:c r="C53" s="262"/>
      <x:c r="D53" s="262" t="str">
        <x:v>拍PANO、PA</x:v>
      </x:c>
      <x:c r="E53" s="262" t="n">
        <x:v>14</x:v>
      </x:c>
      <x:c r="F53" s="262" t="n">
        <x:v>9</x:v>
      </x:c>
      <x:c r="G53" s="262" t="str">
        <x:v>51</x:v>
      </x:c>
      <x:c r="H53" s="262" t="str">
        <x:v>PANO 與 PA 影像操作</x:v>
      </x:c>
      <x:c r="I53" s="262" t="str">
        <x:v>共通技術</x:v>
      </x:c>
      <x:c r="J53" s="262"/>
      <x:c r="K53" s="262" t="str">
        <x:v>需拆分</x:v>
      </x:c>
      <x:c r="L53" s="263" t="str">
        <x:v>待核定</x:v>
      </x:c>
      <x:c r="M53" s="263"/>
      <x:c r="N53" s="263"/>
      <x:c r="O53" s="264"/>
      <x:c r="P53" s="263"/>
      <x:c r="Q53" s="263"/>
      <x:c r="R53" s="262" t="str">
        <x:f>IF($A53="","",IF($L53="待核定","待主管核定",IF($L53="停用","停用",IF($L53="採用建議",IF($K53="需拆分","需完成拆分",IF(OR($H53="",$I53="",$J53="",$O53="",$P53=""),"待補建議或核定資料","可發布")),IF($L53="路由跟診熟悉度",IF(OR($H53="",$J53="",$O53="",$P53=""),"待補核定資料","可發布"),IF(OR($L53="另訂標準",$L53="不合併"),IF(OR($M53="",$N53="",$O53="",$P53=""),"待補最終名稱、代碼或核定資料","可發布"),"待主管核定"))))))</x:f>
        <x:v>待主管核定</x:v>
      </x:c>
      <x:c r="S53" s="262" t="str">
        <x:f>IF($R53&lt;&gt;"可發布","",IF(OR($L53="採用建議",$L53="路由跟診熟悉度"),$H53,$M53))</x:f>
      </x:c>
      <x:c r="T53" s="262" t="str">
        <x:f>IF($R53&lt;&gt;"可發布","",IF(OR($L53="採用建議",$L53="路由跟診熟悉度"),$J53,$N53))</x:f>
      </x:c>
      <x:c r="U53" s="262" t="str">
        <x:f>IF($R53&lt;&gt;"可發布","未檢核",IF($T53="","缺少代碼",IF(COUNTIFS($T$7:$T$123,$T53,$R$7:$R$123,"可發布",$S$7:$S$123,"&lt;&gt;"&amp;$S53)&gt;0,"代碼對應多名稱","一致")))</x:f>
        <x:v>未檢核</x:v>
      </x:c>
      <x:c r="V53" s="262" t="str">
        <x:f>IF($A53="","",IF($R53&lt;&gt;"可發布",$R53,IF($U53="一致","已發布",$U53)))</x:f>
        <x:v>待主管核定</x:v>
      </x:c>
    </x:row>
    <x:row r="54">
      <x:c r="A54" s="262" t="str">
        <x:v>MAP-048</x:v>
      </x:c>
      <x:c r="B54" s="262" t="str">
        <x:v>廖立揚醫師</x:v>
      </x:c>
      <x:c r="C54" s="262"/>
      <x:c r="D54" s="262" t="str">
        <x:v>CT照</x:v>
      </x:c>
      <x:c r="E54" s="262" t="n">
        <x:v>14</x:v>
      </x:c>
      <x:c r="F54" s="262" t="n">
        <x:v>9</x:v>
      </x:c>
      <x:c r="G54" s="262" t="str">
        <x:v>52</x:v>
      </x:c>
      <x:c r="H54" s="262" t="str">
        <x:v>CT 影像操作</x:v>
      </x:c>
      <x:c r="I54" s="262" t="str">
        <x:v>共通技術</x:v>
      </x:c>
      <x:c r="J54" s="262" t="str">
        <x:v>COMMON-CT</x:v>
      </x:c>
      <x:c r="K54" s="262" t="str">
        <x:v>建立新標準</x:v>
      </x:c>
      <x:c r="L54" s="263" t="str">
        <x:v>待核定</x:v>
      </x:c>
      <x:c r="M54" s="263"/>
      <x:c r="N54" s="263"/>
      <x:c r="O54" s="264"/>
      <x:c r="P54" s="263"/>
      <x:c r="Q54" s="263"/>
      <x:c r="R54" s="262" t="str">
        <x:f>IF($A54="","",IF($L54="待核定","待主管核定",IF($L54="停用","停用",IF($L54="採用建議",IF($K54="需拆分","需完成拆分",IF(OR($H54="",$I54="",$J54="",$O54="",$P54=""),"待補建議或核定資料","可發布")),IF($L54="路由跟診熟悉度",IF(OR($H54="",$J54="",$O54="",$P54=""),"待補核定資料","可發布"),IF(OR($L54="另訂標準",$L54="不合併"),IF(OR($M54="",$N54="",$O54="",$P54=""),"待補最終名稱、代碼或核定資料","可發布"),"待主管核定"))))))</x:f>
        <x:v>待主管核定</x:v>
      </x:c>
      <x:c r="S54" s="262" t="str">
        <x:f>IF($R54&lt;&gt;"可發布","",IF(OR($L54="採用建議",$L54="路由跟診熟悉度"),$H54,$M54))</x:f>
      </x:c>
      <x:c r="T54" s="262" t="str">
        <x:f>IF($R54&lt;&gt;"可發布","",IF(OR($L54="採用建議",$L54="路由跟診熟悉度"),$J54,$N54))</x:f>
      </x:c>
      <x:c r="U54" s="262" t="str">
        <x:f>IF($R54&lt;&gt;"可發布","未檢核",IF($T54="","缺少代碼",IF(COUNTIFS($T$7:$T$123,$T54,$R$7:$R$123,"可發布",$S$7:$S$123,"&lt;&gt;"&amp;$S54)&gt;0,"代碼對應多名稱","一致")))</x:f>
        <x:v>未檢核</x:v>
      </x:c>
      <x:c r="V54" s="262" t="str">
        <x:f>IF($A54="","",IF($R54&lt;&gt;"可發布",$R54,IF($U54="一致","已發布",$U54)))</x:f>
        <x:v>待主管核定</x:v>
      </x:c>
    </x:row>
    <x:row r="55">
      <x:c r="A55" s="262" t="str">
        <x:v>MAP-049</x:v>
      </x:c>
      <x:c r="B55" s="262" t="str">
        <x:v>廖立揚醫師</x:v>
      </x:c>
      <x:c r="C55" s="262"/>
      <x:c r="D55" s="262" t="str">
        <x:v>側頭顱照</x:v>
      </x:c>
      <x:c r="E55" s="262" t="n">
        <x:v>14</x:v>
      </x:c>
      <x:c r="F55" s="262" t="n">
        <x:v>9</x:v>
      </x:c>
      <x:c r="G55" s="262" t="str">
        <x:v>53</x:v>
      </x:c>
      <x:c r="H55" s="262" t="str">
        <x:v>側頭顱影像操作</x:v>
      </x:c>
      <x:c r="I55" s="262" t="str">
        <x:v>共通技術</x:v>
      </x:c>
      <x:c r="J55" s="262" t="str">
        <x:v>COMMON-CEPH</x:v>
      </x:c>
      <x:c r="K55" s="262" t="str">
        <x:v>建立新標準</x:v>
      </x:c>
      <x:c r="L55" s="263" t="str">
        <x:v>待核定</x:v>
      </x:c>
      <x:c r="M55" s="263"/>
      <x:c r="N55" s="263"/>
      <x:c r="O55" s="264"/>
      <x:c r="P55" s="263"/>
      <x:c r="Q55" s="263"/>
      <x:c r="R55" s="262" t="str">
        <x:f>IF($A55="","",IF($L55="待核定","待主管核定",IF($L55="停用","停用",IF($L55="採用建議",IF($K55="需拆分","需完成拆分",IF(OR($H55="",$I55="",$J55="",$O55="",$P55=""),"待補建議或核定資料","可發布")),IF($L55="路由跟診熟悉度",IF(OR($H55="",$J55="",$O55="",$P55=""),"待補核定資料","可發布"),IF(OR($L55="另訂標準",$L55="不合併"),IF(OR($M55="",$N55="",$O55="",$P55=""),"待補最終名稱、代碼或核定資料","可發布"),"待主管核定"))))))</x:f>
        <x:v>待主管核定</x:v>
      </x:c>
      <x:c r="S55" s="262" t="str">
        <x:f>IF($R55&lt;&gt;"可發布","",IF(OR($L55="採用建議",$L55="路由跟診熟悉度"),$H55,$M55))</x:f>
      </x:c>
      <x:c r="T55" s="262" t="str">
        <x:f>IF($R55&lt;&gt;"可發布","",IF(OR($L55="採用建議",$L55="路由跟診熟悉度"),$J55,$N55))</x:f>
      </x:c>
      <x:c r="U55" s="262" t="str">
        <x:f>IF($R55&lt;&gt;"可發布","未檢核",IF($T55="","缺少代碼",IF(COUNTIFS($T$7:$T$123,$T55,$R$7:$R$123,"可發布",$S$7:$S$123,"&lt;&gt;"&amp;$S55)&gt;0,"代碼對應多名稱","一致")))</x:f>
        <x:v>未檢核</x:v>
      </x:c>
      <x:c r="V55" s="262" t="str">
        <x:f>IF($A55="","",IF($R55&lt;&gt;"可發布",$R55,IF($U55="一致","已發布",$U55)))</x:f>
        <x:v>待主管核定</x:v>
      </x:c>
    </x:row>
    <x:row r="56">
      <x:c r="A56" s="262" t="str">
        <x:v>MAP-050</x:v>
      </x:c>
      <x:c r="B56" s="262" t="str">
        <x:v>廖立揚醫師</x:v>
      </x:c>
      <x:c r="C56" s="262"/>
      <x:c r="D56" s="262" t="str">
        <x:v>口掃機運用</x:v>
      </x:c>
      <x:c r="E56" s="262" t="n">
        <x:v>14</x:v>
      </x:c>
      <x:c r="F56" s="262" t="n">
        <x:v>9</x:v>
      </x:c>
      <x:c r="G56" s="262" t="str">
        <x:v>54</x:v>
      </x:c>
      <x:c r="H56" s="262" t="str">
        <x:v>口掃機運用</x:v>
      </x:c>
      <x:c r="I56" s="262" t="str">
        <x:v>共通技術</x:v>
      </x:c>
      <x:c r="J56" s="262" t="str">
        <x:v>COMMON-IOS</x:v>
      </x:c>
      <x:c r="K56" s="262" t="str">
        <x:v>已有既有對照</x:v>
      </x:c>
      <x:c r="L56" s="263" t="str">
        <x:v>待核定</x:v>
      </x:c>
      <x:c r="M56" s="263"/>
      <x:c r="N56" s="263"/>
      <x:c r="O56" s="264"/>
      <x:c r="P56" s="263"/>
      <x:c r="Q56" s="263"/>
      <x:c r="R56" s="262" t="str">
        <x:f>IF($A56="","",IF($L56="待核定","待主管核定",IF($L56="停用","停用",IF($L56="採用建議",IF($K56="需拆分","需完成拆分",IF(OR($H56="",$I56="",$J56="",$O56="",$P56=""),"待補建議或核定資料","可發布")),IF($L56="路由跟診熟悉度",IF(OR($H56="",$J56="",$O56="",$P56=""),"待補核定資料","可發布"),IF(OR($L56="另訂標準",$L56="不合併"),IF(OR($M56="",$N56="",$O56="",$P56=""),"待補最終名稱、代碼或核定資料","可發布"),"待主管核定"))))))</x:f>
        <x:v>待主管核定</x:v>
      </x:c>
      <x:c r="S56" s="262" t="str">
        <x:f>IF($R56&lt;&gt;"可發布","",IF(OR($L56="採用建議",$L56="路由跟診熟悉度"),$H56,$M56))</x:f>
      </x:c>
      <x:c r="T56" s="262" t="str">
        <x:f>IF($R56&lt;&gt;"可發布","",IF(OR($L56="採用建議",$L56="路由跟診熟悉度"),$J56,$N56))</x:f>
      </x:c>
      <x:c r="U56" s="262" t="str">
        <x:f>IF($R56&lt;&gt;"可發布","未檢核",IF($T56="","缺少代碼",IF(COUNTIFS($T$7:$T$123,$T56,$R$7:$R$123,"可發布",$S$7:$S$123,"&lt;&gt;"&amp;$S56)&gt;0,"代碼對應多名稱","一致")))</x:f>
        <x:v>未檢核</x:v>
      </x:c>
      <x:c r="V56" s="262" t="str">
        <x:f>IF($A56="","",IF($R56&lt;&gt;"可發布",$R56,IF($U56="一致","已發布",$U56)))</x:f>
        <x:v>待主管核定</x:v>
      </x:c>
    </x:row>
    <x:row r="57">
      <x:c r="A57" s="262" t="str">
        <x:v>MAP-051</x:v>
      </x:c>
      <x:c r="B57" s="262" t="str">
        <x:v>楊小瑩醫師</x:v>
      </x:c>
      <x:c r="C57" s="262" t="str">
        <x:v>器械準備</x:v>
      </x:c>
      <x:c r="D57" s="262" t="str">
        <x:v>洗牙</x:v>
      </x:c>
      <x:c r="E57" s="262" t="n">
        <x:v>14</x:v>
      </x:c>
      <x:c r="F57" s="262" t="n">
        <x:v>9</x:v>
      </x:c>
      <x:c r="G57" s="262" t="str">
        <x:v>55</x:v>
      </x:c>
      <x:c r="H57" s="262" t="str">
        <x:v>楊小瑩醫師－洗牙</x:v>
      </x:c>
      <x:c r="I57" s="262" t="str">
        <x:v>醫師＋治療專屬</x:v>
      </x:c>
      <x:c r="J57" s="262"/>
      <x:c r="K57" s="262" t="str">
        <x:v>待確認是否合併</x:v>
      </x:c>
      <x:c r="L57" s="263" t="str">
        <x:v>待核定</x:v>
      </x:c>
      <x:c r="M57" s="263"/>
      <x:c r="N57" s="263"/>
      <x:c r="O57" s="264"/>
      <x:c r="P57" s="263"/>
      <x:c r="Q57" s="263"/>
      <x:c r="R57" s="262" t="str">
        <x:f>IF($A57="","",IF($L57="待核定","待主管核定",IF($L57="停用","停用",IF($L57="採用建議",IF($K57="需拆分","需完成拆分",IF(OR($H57="",$I57="",$J57="",$O57="",$P57=""),"待補建議或核定資料","可發布")),IF($L57="路由跟診熟悉度",IF(OR($H57="",$J57="",$O57="",$P57=""),"待補核定資料","可發布"),IF(OR($L57="另訂標準",$L57="不合併"),IF(OR($M57="",$N57="",$O57="",$P57=""),"待補最終名稱、代碼或核定資料","可發布"),"待主管核定"))))))</x:f>
        <x:v>待主管核定</x:v>
      </x:c>
      <x:c r="S57" s="262" t="str">
        <x:f>IF($R57&lt;&gt;"可發布","",IF(OR($L57="採用建議",$L57="路由跟診熟悉度"),$H57,$M57))</x:f>
      </x:c>
      <x:c r="T57" s="262" t="str">
        <x:f>IF($R57&lt;&gt;"可發布","",IF(OR($L57="採用建議",$L57="路由跟診熟悉度"),$J57,$N57))</x:f>
      </x:c>
      <x:c r="U57" s="262" t="str">
        <x:f>IF($R57&lt;&gt;"可發布","未檢核",IF($T57="","缺少代碼",IF(COUNTIFS($T$7:$T$123,$T57,$R$7:$R$123,"可發布",$S$7:$S$123,"&lt;&gt;"&amp;$S57)&gt;0,"代碼對應多名稱","一致")))</x:f>
        <x:v>未檢核</x:v>
      </x:c>
      <x:c r="V57" s="262" t="str">
        <x:f>IF($A57="","",IF($R57&lt;&gt;"可發布",$R57,IF($U57="一致","已發布",$U57)))</x:f>
        <x:v>待主管核定</x:v>
      </x:c>
    </x:row>
    <x:row r="58">
      <x:c r="A58" s="262" t="str">
        <x:v>MAP-052</x:v>
      </x:c>
      <x:c r="B58" s="262" t="str">
        <x:v>楊小瑩醫師</x:v>
      </x:c>
      <x:c r="C58" s="262" t="str">
        <x:v>器械準備</x:v>
      </x:c>
      <x:c r="D58" s="262" t="str">
        <x:v>補牙</x:v>
      </x:c>
      <x:c r="E58" s="262" t="n">
        <x:v>14</x:v>
      </x:c>
      <x:c r="F58" s="262" t="n">
        <x:v>9</x:v>
      </x:c>
      <x:c r="G58" s="262" t="str">
        <x:v>56</x:v>
      </x:c>
      <x:c r="H58" s="262" t="str">
        <x:v>楊小瑩醫師－補牙</x:v>
      </x:c>
      <x:c r="I58" s="262" t="str">
        <x:v>醫師＋治療專屬</x:v>
      </x:c>
      <x:c r="J58" s="262"/>
      <x:c r="K58" s="262" t="str">
        <x:v>待確認是否合併</x:v>
      </x:c>
      <x:c r="L58" s="263" t="str">
        <x:v>待核定</x:v>
      </x:c>
      <x:c r="M58" s="263"/>
      <x:c r="N58" s="263"/>
      <x:c r="O58" s="264"/>
      <x:c r="P58" s="263"/>
      <x:c r="Q58" s="263"/>
      <x:c r="R58" s="262" t="str">
        <x:f>IF($A58="","",IF($L58="待核定","待主管核定",IF($L58="停用","停用",IF($L58="採用建議",IF($K58="需拆分","需完成拆分",IF(OR($H58="",$I58="",$J58="",$O58="",$P58=""),"待補建議或核定資料","可發布")),IF($L58="路由跟診熟悉度",IF(OR($H58="",$J58="",$O58="",$P58=""),"待補核定資料","可發布"),IF(OR($L58="另訂標準",$L58="不合併"),IF(OR($M58="",$N58="",$O58="",$P58=""),"待補最終名稱、代碼或核定資料","可發布"),"待主管核定"))))))</x:f>
        <x:v>待主管核定</x:v>
      </x:c>
      <x:c r="S58" s="262" t="str">
        <x:f>IF($R58&lt;&gt;"可發布","",IF(OR($L58="採用建議",$L58="路由跟診熟悉度"),$H58,$M58))</x:f>
      </x:c>
      <x:c r="T58" s="262" t="str">
        <x:f>IF($R58&lt;&gt;"可發布","",IF(OR($L58="採用建議",$L58="路由跟診熟悉度"),$J58,$N58))</x:f>
      </x:c>
      <x:c r="U58" s="262" t="str">
        <x:f>IF($R58&lt;&gt;"可發布","未檢核",IF($T58="","缺少代碼",IF(COUNTIFS($T$7:$T$123,$T58,$R$7:$R$123,"可發布",$S$7:$S$123,"&lt;&gt;"&amp;$S58)&gt;0,"代碼對應多名稱","一致")))</x:f>
        <x:v>未檢核</x:v>
      </x:c>
      <x:c r="V58" s="262" t="str">
        <x:f>IF($A58="","",IF($R58&lt;&gt;"可發布",$R58,IF($U58="一致","已發布",$U58)))</x:f>
        <x:v>待主管核定</x:v>
      </x:c>
    </x:row>
    <x:row r="59">
      <x:c r="A59" s="262" t="str">
        <x:v>MAP-053</x:v>
      </x:c>
      <x:c r="B59" s="262" t="str">
        <x:v>楊小瑩醫師</x:v>
      </x:c>
      <x:c r="C59" s="262" t="str">
        <x:v>器械準備</x:v>
      </x:c>
      <x:c r="D59" s="262" t="str">
        <x:v>根管治療</x:v>
      </x:c>
      <x:c r="E59" s="262" t="n">
        <x:v>14</x:v>
      </x:c>
      <x:c r="F59" s="262" t="n">
        <x:v>9</x:v>
      </x:c>
      <x:c r="G59" s="262" t="str">
        <x:v>57</x:v>
      </x:c>
      <x:c r="H59" s="262" t="str">
        <x:v>楊小瑩醫師－根管治療</x:v>
      </x:c>
      <x:c r="I59" s="262" t="str">
        <x:v>醫師＋治療專屬</x:v>
      </x:c>
      <x:c r="J59" s="262"/>
      <x:c r="K59" s="262" t="str">
        <x:v>待確認是否合併</x:v>
      </x:c>
      <x:c r="L59" s="263" t="str">
        <x:v>待核定</x:v>
      </x:c>
      <x:c r="M59" s="263"/>
      <x:c r="N59" s="263"/>
      <x:c r="O59" s="264"/>
      <x:c r="P59" s="263"/>
      <x:c r="Q59" s="263"/>
      <x:c r="R59" s="262" t="str">
        <x:f>IF($A59="","",IF($L59="待核定","待主管核定",IF($L59="停用","停用",IF($L59="採用建議",IF($K59="需拆分","需完成拆分",IF(OR($H59="",$I59="",$J59="",$O59="",$P59=""),"待補建議或核定資料","可發布")),IF($L59="路由跟診熟悉度",IF(OR($H59="",$J59="",$O59="",$P59=""),"待補核定資料","可發布"),IF(OR($L59="另訂標準",$L59="不合併"),IF(OR($M59="",$N59="",$O59="",$P59=""),"待補最終名稱、代碼或核定資料","可發布"),"待主管核定"))))))</x:f>
        <x:v>待主管核定</x:v>
      </x:c>
      <x:c r="S59" s="262" t="str">
        <x:f>IF($R59&lt;&gt;"可發布","",IF(OR($L59="採用建議",$L59="路由跟診熟悉度"),$H59,$M59))</x:f>
      </x:c>
      <x:c r="T59" s="262" t="str">
        <x:f>IF($R59&lt;&gt;"可發布","",IF(OR($L59="採用建議",$L59="路由跟診熟悉度"),$J59,$N59))</x:f>
      </x:c>
      <x:c r="U59" s="262" t="str">
        <x:f>IF($R59&lt;&gt;"可發布","未檢核",IF($T59="","缺少代碼",IF(COUNTIFS($T$7:$T$123,$T59,$R$7:$R$123,"可發布",$S$7:$S$123,"&lt;&gt;"&amp;$S59)&gt;0,"代碼對應多名稱","一致")))</x:f>
        <x:v>未檢核</x:v>
      </x:c>
      <x:c r="V59" s="262" t="str">
        <x:f>IF($A59="","",IF($R59&lt;&gt;"可發布",$R59,IF($U59="一致","已發布",$U59)))</x:f>
        <x:v>待主管核定</x:v>
      </x:c>
    </x:row>
    <x:row r="60">
      <x:c r="A60" s="262" t="str">
        <x:v>MAP-054</x:v>
      </x:c>
      <x:c r="B60" s="262" t="str">
        <x:v>楊小瑩醫師</x:v>
      </x:c>
      <x:c r="C60" s="262" t="str">
        <x:v>器械準備</x:v>
      </x:c>
      <x:c r="D60" s="262" t="str">
        <x:v>拔牙</x:v>
      </x:c>
      <x:c r="E60" s="262" t="n">
        <x:v>14</x:v>
      </x:c>
      <x:c r="F60" s="262" t="n">
        <x:v>9</x:v>
      </x:c>
      <x:c r="G60" s="262" t="str">
        <x:v>58</x:v>
      </x:c>
      <x:c r="H60" s="262" t="str">
        <x:v>楊小瑩醫師－拔牙</x:v>
      </x:c>
      <x:c r="I60" s="262" t="str">
        <x:v>醫師＋治療專屬</x:v>
      </x:c>
      <x:c r="J60" s="262"/>
      <x:c r="K60" s="262" t="str">
        <x:v>待確認是否合併</x:v>
      </x:c>
      <x:c r="L60" s="263" t="str">
        <x:v>待核定</x:v>
      </x:c>
      <x:c r="M60" s="263"/>
      <x:c r="N60" s="263"/>
      <x:c r="O60" s="264"/>
      <x:c r="P60" s="263"/>
      <x:c r="Q60" s="263"/>
      <x:c r="R60" s="262" t="str">
        <x:f>IF($A60="","",IF($L60="待核定","待主管核定",IF($L60="停用","停用",IF($L60="採用建議",IF($K60="需拆分","需完成拆分",IF(OR($H60="",$I60="",$J60="",$O60="",$P60=""),"待補建議或核定資料","可發布")),IF($L60="路由跟診熟悉度",IF(OR($H60="",$J60="",$O60="",$P60=""),"待補核定資料","可發布"),IF(OR($L60="另訂標準",$L60="不合併"),IF(OR($M60="",$N60="",$O60="",$P60=""),"待補最終名稱、代碼或核定資料","可發布"),"待主管核定"))))))</x:f>
        <x:v>待主管核定</x:v>
      </x:c>
      <x:c r="S60" s="262" t="str">
        <x:f>IF($R60&lt;&gt;"可發布","",IF(OR($L60="採用建議",$L60="路由跟診熟悉度"),$H60,$M60))</x:f>
      </x:c>
      <x:c r="T60" s="262" t="str">
        <x:f>IF($R60&lt;&gt;"可發布","",IF(OR($L60="採用建議",$L60="路由跟診熟悉度"),$J60,$N60))</x:f>
      </x:c>
      <x:c r="U60" s="262" t="str">
        <x:f>IF($R60&lt;&gt;"可發布","未檢核",IF($T60="","缺少代碼",IF(COUNTIFS($T$7:$T$123,$T60,$R$7:$R$123,"可發布",$S$7:$S$123,"&lt;&gt;"&amp;$S60)&gt;0,"代碼對應多名稱","一致")))</x:f>
        <x:v>未檢核</x:v>
      </x:c>
      <x:c r="V60" s="262" t="str">
        <x:f>IF($A60="","",IF($R60&lt;&gt;"可發布",$R60,IF($U60="一致","已發布",$U60)))</x:f>
        <x:v>待主管核定</x:v>
      </x:c>
    </x:row>
    <x:row r="61">
      <x:c r="A61" s="262" t="str">
        <x:v>MAP-055</x:v>
      </x:c>
      <x:c r="B61" s="262" t="str">
        <x:v>楊小瑩醫師</x:v>
      </x:c>
      <x:c r="C61" s="262" t="str">
        <x:v>器械準備</x:v>
      </x:c>
      <x:c r="D61" s="262" t="str">
        <x:v>拆 crown/post</x:v>
      </x:c>
      <x:c r="E61" s="262" t="n">
        <x:v>14</x:v>
      </x:c>
      <x:c r="F61" s="262" t="n">
        <x:v>9</x:v>
      </x:c>
      <x:c r="G61" s="262" t="str">
        <x:v>59</x:v>
      </x:c>
      <x:c r="H61" s="262" t="str">
        <x:v>楊小瑩醫師－拆 crown/post</x:v>
      </x:c>
      <x:c r="I61" s="262" t="str">
        <x:v>醫師＋治療專屬</x:v>
      </x:c>
      <x:c r="J61" s="262"/>
      <x:c r="K61" s="262" t="str">
        <x:v>待確認是否合併</x:v>
      </x:c>
      <x:c r="L61" s="263" t="str">
        <x:v>待核定</x:v>
      </x:c>
      <x:c r="M61" s="263"/>
      <x:c r="N61" s="263"/>
      <x:c r="O61" s="264"/>
      <x:c r="P61" s="263"/>
      <x:c r="Q61" s="263"/>
      <x:c r="R61" s="262" t="str">
        <x:f>IF($A61="","",IF($L61="待核定","待主管核定",IF($L61="停用","停用",IF($L61="採用建議",IF($K61="需拆分","需完成拆分",IF(OR($H61="",$I61="",$J61="",$O61="",$P61=""),"待補建議或核定資料","可發布")),IF($L61="路由跟診熟悉度",IF(OR($H61="",$J61="",$O61="",$P61=""),"待補核定資料","可發布"),IF(OR($L61="另訂標準",$L61="不合併"),IF(OR($M61="",$N61="",$O61="",$P61=""),"待補最終名稱、代碼或核定資料","可發布"),"待主管核定"))))))</x:f>
        <x:v>待主管核定</x:v>
      </x:c>
      <x:c r="S61" s="262" t="str">
        <x:f>IF($R61&lt;&gt;"可發布","",IF(OR($L61="採用建議",$L61="路由跟診熟悉度"),$H61,$M61))</x:f>
      </x:c>
      <x:c r="T61" s="262" t="str">
        <x:f>IF($R61&lt;&gt;"可發布","",IF(OR($L61="採用建議",$L61="路由跟診熟悉度"),$J61,$N61))</x:f>
      </x:c>
      <x:c r="U61" s="262" t="str">
        <x:f>IF($R61&lt;&gt;"可發布","未檢核",IF($T61="","缺少代碼",IF(COUNTIFS($T$7:$T$123,$T61,$R$7:$R$123,"可發布",$S$7:$S$123,"&lt;&gt;"&amp;$S61)&gt;0,"代碼對應多名稱","一致")))</x:f>
        <x:v>未檢核</x:v>
      </x:c>
      <x:c r="V61" s="262" t="str">
        <x:f>IF($A61="","",IF($R61&lt;&gt;"可發布",$R61,IF($U61="一致","已發布",$U61)))</x:f>
        <x:v>待主管核定</x:v>
      </x:c>
    </x:row>
    <x:row r="62">
      <x:c r="A62" s="262" t="str">
        <x:v>MAP-056</x:v>
      </x:c>
      <x:c r="B62" s="262" t="str">
        <x:v>楊小瑩醫師</x:v>
      </x:c>
      <x:c r="C62" s="262" t="str">
        <x:v>自費</x:v>
      </x:c>
      <x:c r="D62" s="262" t="str">
        <x:v>固定假牙</x:v>
      </x:c>
      <x:c r="E62" s="262" t="n">
        <x:v>14</x:v>
      </x:c>
      <x:c r="F62" s="262" t="n">
        <x:v>9</x:v>
      </x:c>
      <x:c r="G62" s="262" t="str">
        <x:v>60</x:v>
      </x:c>
      <x:c r="H62" s="262" t="str">
        <x:v>楊小瑩醫師－固定假牙</x:v>
      </x:c>
      <x:c r="I62" s="262" t="str">
        <x:v>醫師＋治療專屬</x:v>
      </x:c>
      <x:c r="J62" s="262"/>
      <x:c r="K62" s="262" t="str">
        <x:v>待確認是否合併</x:v>
      </x:c>
      <x:c r="L62" s="263" t="str">
        <x:v>待核定</x:v>
      </x:c>
      <x:c r="M62" s="263"/>
      <x:c r="N62" s="263"/>
      <x:c r="O62" s="264"/>
      <x:c r="P62" s="263"/>
      <x:c r="Q62" s="263"/>
      <x:c r="R62" s="262" t="str">
        <x:f>IF($A62="","",IF($L62="待核定","待主管核定",IF($L62="停用","停用",IF($L62="採用建議",IF($K62="需拆分","需完成拆分",IF(OR($H62="",$I62="",$J62="",$O62="",$P62=""),"待補建議或核定資料","可發布")),IF($L62="路由跟診熟悉度",IF(OR($H62="",$J62="",$O62="",$P62=""),"待補核定資料","可發布"),IF(OR($L62="另訂標準",$L62="不合併"),IF(OR($M62="",$N62="",$O62="",$P62=""),"待補最終名稱、代碼或核定資料","可發布"),"待主管核定"))))))</x:f>
        <x:v>待主管核定</x:v>
      </x:c>
      <x:c r="S62" s="262" t="str">
        <x:f>IF($R62&lt;&gt;"可發布","",IF(OR($L62="採用建議",$L62="路由跟診熟悉度"),$H62,$M62))</x:f>
      </x:c>
      <x:c r="T62" s="262" t="str">
        <x:f>IF($R62&lt;&gt;"可發布","",IF(OR($L62="採用建議",$L62="路由跟診熟悉度"),$J62,$N62))</x:f>
      </x:c>
      <x:c r="U62" s="262" t="str">
        <x:f>IF($R62&lt;&gt;"可發布","未檢核",IF($T62="","缺少代碼",IF(COUNTIFS($T$7:$T$123,$T62,$R$7:$R$123,"可發布",$S$7:$S$123,"&lt;&gt;"&amp;$S62)&gt;0,"代碼對應多名稱","一致")))</x:f>
        <x:v>未檢核</x:v>
      </x:c>
      <x:c r="V62" s="262" t="str">
        <x:f>IF($A62="","",IF($R62&lt;&gt;"可發布",$R62,IF($U62="一致","已發布",$U62)))</x:f>
        <x:v>待主管核定</x:v>
      </x:c>
    </x:row>
    <x:row r="63">
      <x:c r="A63" s="262" t="str">
        <x:v>MAP-057</x:v>
      </x:c>
      <x:c r="B63" s="262" t="str">
        <x:v>楊小瑩醫師</x:v>
      </x:c>
      <x:c r="C63" s="262" t="str">
        <x:v>自費</x:v>
      </x:c>
      <x:c r="D63" s="262" t="str">
        <x:v>RPD</x:v>
      </x:c>
      <x:c r="E63" s="262" t="n">
        <x:v>14</x:v>
      </x:c>
      <x:c r="F63" s="262" t="n">
        <x:v>9</x:v>
      </x:c>
      <x:c r="G63" s="262" t="str">
        <x:v>61</x:v>
      </x:c>
      <x:c r="H63" s="262" t="str">
        <x:v>楊小瑩醫師－RPD</x:v>
      </x:c>
      <x:c r="I63" s="262" t="str">
        <x:v>醫師＋治療專屬</x:v>
      </x:c>
      <x:c r="J63" s="262"/>
      <x:c r="K63" s="262" t="str">
        <x:v>待確認是否合併</x:v>
      </x:c>
      <x:c r="L63" s="263" t="str">
        <x:v>待核定</x:v>
      </x:c>
      <x:c r="M63" s="263"/>
      <x:c r="N63" s="263"/>
      <x:c r="O63" s="264"/>
      <x:c r="P63" s="263"/>
      <x:c r="Q63" s="263"/>
      <x:c r="R63" s="262" t="str">
        <x:f>IF($A63="","",IF($L63="待核定","待主管核定",IF($L63="停用","停用",IF($L63="採用建議",IF($K63="需拆分","需完成拆分",IF(OR($H63="",$I63="",$J63="",$O63="",$P63=""),"待補建議或核定資料","可發布")),IF($L63="路由跟診熟悉度",IF(OR($H63="",$J63="",$O63="",$P63=""),"待補核定資料","可發布"),IF(OR($L63="另訂標準",$L63="不合併"),IF(OR($M63="",$N63="",$O63="",$P63=""),"待補最終名稱、代碼或核定資料","可發布"),"待主管核定"))))))</x:f>
        <x:v>待主管核定</x:v>
      </x:c>
      <x:c r="S63" s="262" t="str">
        <x:f>IF($R63&lt;&gt;"可發布","",IF(OR($L63="採用建議",$L63="路由跟診熟悉度"),$H63,$M63))</x:f>
      </x:c>
      <x:c r="T63" s="262" t="str">
        <x:f>IF($R63&lt;&gt;"可發布","",IF(OR($L63="採用建議",$L63="路由跟診熟悉度"),$J63,$N63))</x:f>
      </x:c>
      <x:c r="U63" s="262" t="str">
        <x:f>IF($R63&lt;&gt;"可發布","未檢核",IF($T63="","缺少代碼",IF(COUNTIFS($T$7:$T$123,$T63,$R$7:$R$123,"可發布",$S$7:$S$123,"&lt;&gt;"&amp;$S63)&gt;0,"代碼對應多名稱","一致")))</x:f>
        <x:v>未檢核</x:v>
      </x:c>
      <x:c r="V63" s="262" t="str">
        <x:f>IF($A63="","",IF($R63&lt;&gt;"可發布",$R63,IF($U63="一致","已發布",$U63)))</x:f>
        <x:v>待主管核定</x:v>
      </x:c>
    </x:row>
    <x:row r="64">
      <x:c r="A64" s="262" t="str">
        <x:v>MAP-058</x:v>
      </x:c>
      <x:c r="B64" s="262" t="str">
        <x:v>楊小瑩醫師</x:v>
      </x:c>
      <x:c r="C64" s="262" t="str">
        <x:v>自費</x:v>
      </x:c>
      <x:c r="D64" s="262" t="str">
        <x:v>噴砂美白</x:v>
      </x:c>
      <x:c r="E64" s="262" t="n">
        <x:v>14</x:v>
      </x:c>
      <x:c r="F64" s="262" t="n">
        <x:v>9</x:v>
      </x:c>
      <x:c r="G64" s="262" t="str">
        <x:v>62</x:v>
      </x:c>
      <x:c r="H64" s="262" t="str">
        <x:v>楊小瑩醫師－噴砂美白</x:v>
      </x:c>
      <x:c r="I64" s="262" t="str">
        <x:v>醫師＋治療專屬</x:v>
      </x:c>
      <x:c r="J64" s="262"/>
      <x:c r="K64" s="262" t="str">
        <x:v>待確認是否合併</x:v>
      </x:c>
      <x:c r="L64" s="263" t="str">
        <x:v>待核定</x:v>
      </x:c>
      <x:c r="M64" s="263"/>
      <x:c r="N64" s="263"/>
      <x:c r="O64" s="264"/>
      <x:c r="P64" s="263"/>
      <x:c r="Q64" s="263"/>
      <x:c r="R64" s="262" t="str">
        <x:f>IF($A64="","",IF($L64="待核定","待主管核定",IF($L64="停用","停用",IF($L64="採用建議",IF($K64="需拆分","需完成拆分",IF(OR($H64="",$I64="",$J64="",$O64="",$P64=""),"待補建議或核定資料","可發布")),IF($L64="路由跟診熟悉度",IF(OR($H64="",$J64="",$O64="",$P64=""),"待補核定資料","可發布"),IF(OR($L64="另訂標準",$L64="不合併"),IF(OR($M64="",$N64="",$O64="",$P64=""),"待補最終名稱、代碼或核定資料","可發布"),"待主管核定"))))))</x:f>
        <x:v>待主管核定</x:v>
      </x:c>
      <x:c r="S64" s="262" t="str">
        <x:f>IF($R64&lt;&gt;"可發布","",IF(OR($L64="採用建議",$L64="路由跟診熟悉度"),$H64,$M64))</x:f>
      </x:c>
      <x:c r="T64" s="262" t="str">
        <x:f>IF($R64&lt;&gt;"可發布","",IF(OR($L64="採用建議",$L64="路由跟診熟悉度"),$J64,$N64))</x:f>
      </x:c>
      <x:c r="U64" s="262" t="str">
        <x:f>IF($R64&lt;&gt;"可發布","未檢核",IF($T64="","缺少代碼",IF(COUNTIFS($T$7:$T$123,$T64,$R$7:$R$123,"可發布",$S$7:$S$123,"&lt;&gt;"&amp;$S64)&gt;0,"代碼對應多名稱","一致")))</x:f>
        <x:v>未檢核</x:v>
      </x:c>
      <x:c r="V64" s="262" t="str">
        <x:f>IF($A64="","",IF($R64&lt;&gt;"可發布",$R64,IF($U64="一致","已發布",$U64)))</x:f>
        <x:v>待主管核定</x:v>
      </x:c>
    </x:row>
    <x:row r="65">
      <x:c r="A65" s="262" t="str">
        <x:v>MAP-059</x:v>
      </x:c>
      <x:c r="B65" s="262" t="str">
        <x:v>楊小瑩醫師</x:v>
      </x:c>
      <x:c r="C65" s="262"/>
      <x:c r="D65" s="262" t="str">
        <x:v>跟診順暢度</x:v>
      </x:c>
      <x:c r="E65" s="262" t="n">
        <x:v>14</x:v>
      </x:c>
      <x:c r="F65" s="262" t="n">
        <x:v>9</x:v>
      </x:c>
      <x:c r="G65" s="262" t="str">
        <x:v>63</x:v>
      </x:c>
      <x:c r="H65" s="262" t="str">
        <x:v>楊小瑩醫師跟診熟悉度</x:v>
      </x:c>
      <x:c r="I65" s="262" t="str">
        <x:v>跟診熟悉度</x:v>
      </x:c>
      <x:c r="J65" s="262" t="str">
        <x:v>FAM|PENDING-DOC-03</x:v>
      </x:c>
      <x:c r="K65" s="262" t="str">
        <x:v>路由跟診熟悉度</x:v>
      </x:c>
      <x:c r="L65" s="263" t="str">
        <x:v>待核定</x:v>
      </x:c>
      <x:c r="M65" s="263"/>
      <x:c r="N65" s="263"/>
      <x:c r="O65" s="264"/>
      <x:c r="P65" s="263"/>
      <x:c r="Q65" s="263"/>
      <x:c r="R65" s="262" t="str">
        <x:f>IF($A65="","",IF($L65="待核定","待主管核定",IF($L65="停用","停用",IF($L65="採用建議",IF($K65="需拆分","需完成拆分",IF(OR($H65="",$I65="",$J65="",$O65="",$P65=""),"待補建議或核定資料","可發布")),IF($L65="路由跟診熟悉度",IF(OR($H65="",$J65="",$O65="",$P65=""),"待補核定資料","可發布"),IF(OR($L65="另訂標準",$L65="不合併"),IF(OR($M65="",$N65="",$O65="",$P65=""),"待補最終名稱、代碼或核定資料","可發布"),"待主管核定"))))))</x:f>
        <x:v>待主管核定</x:v>
      </x:c>
      <x:c r="S65" s="262" t="str">
        <x:f>IF($R65&lt;&gt;"可發布","",IF(OR($L65="採用建議",$L65="路由跟診熟悉度"),$H65,$M65))</x:f>
      </x:c>
      <x:c r="T65" s="262" t="str">
        <x:f>IF($R65&lt;&gt;"可發布","",IF(OR($L65="採用建議",$L65="路由跟診熟悉度"),$J65,$N65))</x:f>
      </x:c>
      <x:c r="U65" s="262" t="str">
        <x:f>IF($R65&lt;&gt;"可發布","未檢核",IF($T65="","缺少代碼",IF(COUNTIFS($T$7:$T$123,$T65,$R$7:$R$123,"可發布",$S$7:$S$123,"&lt;&gt;"&amp;$S65)&gt;0,"代碼對應多名稱","一致")))</x:f>
        <x:v>未檢核</x:v>
      </x:c>
      <x:c r="V65" s="262" t="str">
        <x:f>IF($A65="","",IF($R65&lt;&gt;"可發布",$R65,IF($U65="一致","已發布",$U65)))</x:f>
        <x:v>待主管核定</x:v>
      </x:c>
    </x:row>
    <x:row r="66">
      <x:c r="A66" s="262" t="str">
        <x:v>MAP-060</x:v>
      </x:c>
      <x:c r="B66" s="262" t="str">
        <x:v>楊小瑩醫師</x:v>
      </x:c>
      <x:c r="C66" s="262"/>
      <x:c r="D66" s="262" t="str">
        <x:v>病歷紀錄</x:v>
      </x:c>
      <x:c r="E66" s="262" t="n">
        <x:v>14</x:v>
      </x:c>
      <x:c r="F66" s="262" t="n">
        <x:v>9</x:v>
      </x:c>
      <x:c r="G66" s="262" t="str">
        <x:v>64</x:v>
      </x:c>
      <x:c r="H66" s="262" t="str">
        <x:v>病歷基本操作</x:v>
      </x:c>
      <x:c r="I66" s="262" t="str">
        <x:v>共通技能</x:v>
      </x:c>
      <x:c r="J66" s="262" t="str">
        <x:v>COMMON-RECORD</x:v>
      </x:c>
      <x:c r="K66" s="262" t="str">
        <x:v>已有既有對照</x:v>
      </x:c>
      <x:c r="L66" s="263" t="str">
        <x:v>待核定</x:v>
      </x:c>
      <x:c r="M66" s="263"/>
      <x:c r="N66" s="263"/>
      <x:c r="O66" s="264"/>
      <x:c r="P66" s="263"/>
      <x:c r="Q66" s="263"/>
      <x:c r="R66" s="262" t="str">
        <x:f>IF($A66="","",IF($L66="待核定","待主管核定",IF($L66="停用","停用",IF($L66="採用建議",IF($K66="需拆分","需完成拆分",IF(OR($H66="",$I66="",$J66="",$O66="",$P66=""),"待補建議或核定資料","可發布")),IF($L66="路由跟診熟悉度",IF(OR($H66="",$J66="",$O66="",$P66=""),"待補核定資料","可發布"),IF(OR($L66="另訂標準",$L66="不合併"),IF(OR($M66="",$N66="",$O66="",$P66=""),"待補最終名稱、代碼或核定資料","可發布"),"待主管核定"))))))</x:f>
        <x:v>待主管核定</x:v>
      </x:c>
      <x:c r="S66" s="262" t="str">
        <x:f>IF($R66&lt;&gt;"可發布","",IF(OR($L66="採用建議",$L66="路由跟診熟悉度"),$H66,$M66))</x:f>
      </x:c>
      <x:c r="T66" s="262" t="str">
        <x:f>IF($R66&lt;&gt;"可發布","",IF(OR($L66="採用建議",$L66="路由跟診熟悉度"),$J66,$N66))</x:f>
      </x:c>
      <x:c r="U66" s="262" t="str">
        <x:f>IF($R66&lt;&gt;"可發布","未檢核",IF($T66="","缺少代碼",IF(COUNTIFS($T$7:$T$123,$T66,$R$7:$R$123,"可發布",$S$7:$S$123,"&lt;&gt;"&amp;$S66)&gt;0,"代碼對應多名稱","一致")))</x:f>
        <x:v>未檢核</x:v>
      </x:c>
      <x:c r="V66" s="262" t="str">
        <x:f>IF($A66="","",IF($R66&lt;&gt;"可發布",$R66,IF($U66="一致","已發布",$U66)))</x:f>
        <x:v>待主管核定</x:v>
      </x:c>
    </x:row>
    <x:row r="67">
      <x:c r="A67" s="262" t="str">
        <x:v>MAP-061</x:v>
      </x:c>
      <x:c r="B67" s="262" t="str">
        <x:v>楊小瑩醫師</x:v>
      </x:c>
      <x:c r="C67" s="262"/>
      <x:c r="D67" s="262" t="str">
        <x:v>健保申報</x:v>
      </x:c>
      <x:c r="E67" s="262" t="n">
        <x:v>14</x:v>
      </x:c>
      <x:c r="F67" s="262" t="n">
        <x:v>9</x:v>
      </x:c>
      <x:c r="G67" s="262" t="str">
        <x:v>65</x:v>
      </x:c>
      <x:c r="H67" s="262" t="str">
        <x:v>健保申報</x:v>
      </x:c>
      <x:c r="I67" s="262" t="str">
        <x:v>共通技能</x:v>
      </x:c>
      <x:c r="J67" s="262" t="str">
        <x:v>COMMON-INSURANCE</x:v>
      </x:c>
      <x:c r="K67" s="262" t="str">
        <x:v>已有既有對照</x:v>
      </x:c>
      <x:c r="L67" s="263" t="str">
        <x:v>待核定</x:v>
      </x:c>
      <x:c r="M67" s="263"/>
      <x:c r="N67" s="263"/>
      <x:c r="O67" s="264"/>
      <x:c r="P67" s="263"/>
      <x:c r="Q67" s="263"/>
      <x:c r="R67" s="262" t="str">
        <x:f>IF($A67="","",IF($L67="待核定","待主管核定",IF($L67="停用","停用",IF($L67="採用建議",IF($K67="需拆分","需完成拆分",IF(OR($H67="",$I67="",$J67="",$O67="",$P67=""),"待補建議或核定資料","可發布")),IF($L67="路由跟診熟悉度",IF(OR($H67="",$J67="",$O67="",$P67=""),"待補核定資料","可發布"),IF(OR($L67="另訂標準",$L67="不合併"),IF(OR($M67="",$N67="",$O67="",$P67=""),"待補最終名稱、代碼或核定資料","可發布"),"待主管核定"))))))</x:f>
        <x:v>待主管核定</x:v>
      </x:c>
      <x:c r="S67" s="262" t="str">
        <x:f>IF($R67&lt;&gt;"可發布","",IF(OR($L67="採用建議",$L67="路由跟診熟悉度"),$H67,$M67))</x:f>
      </x:c>
      <x:c r="T67" s="262" t="str">
        <x:f>IF($R67&lt;&gt;"可發布","",IF(OR($L67="採用建議",$L67="路由跟診熟悉度"),$J67,$N67))</x:f>
      </x:c>
      <x:c r="U67" s="262" t="str">
        <x:f>IF($R67&lt;&gt;"可發布","未檢核",IF($T67="","缺少代碼",IF(COUNTIFS($T$7:$T$123,$T67,$R$7:$R$123,"可發布",$S$7:$S$123,"&lt;&gt;"&amp;$S67)&gt;0,"代碼對應多名稱","一致")))</x:f>
        <x:v>未檢核</x:v>
      </x:c>
      <x:c r="V67" s="262" t="str">
        <x:f>IF($A67="","",IF($R67&lt;&gt;"可發布",$R67,IF($U67="一致","已發布",$U67)))</x:f>
        <x:v>待主管核定</x:v>
      </x:c>
    </x:row>
    <x:row r="68">
      <x:c r="A68" s="262" t="str">
        <x:v>MAP-062</x:v>
      </x:c>
      <x:c r="B68" s="262" t="str">
        <x:v>楊小瑩醫師</x:v>
      </x:c>
      <x:c r="C68" s="262"/>
      <x:c r="D68" s="262" t="str">
        <x:v>X光片紀錄</x:v>
      </x:c>
      <x:c r="E68" s="262" t="n">
        <x:v>14</x:v>
      </x:c>
      <x:c r="F68" s="262" t="n">
        <x:v>9</x:v>
      </x:c>
      <x:c r="G68" s="262" t="str">
        <x:v>66</x:v>
      </x:c>
      <x:c r="H68" s="262" t="str">
        <x:v>X 光片紀錄</x:v>
      </x:c>
      <x:c r="I68" s="262" t="str">
        <x:v>共通技能</x:v>
      </x:c>
      <x:c r="J68" s="262" t="str">
        <x:v>COMMON-XRAY-RECORD</x:v>
      </x:c>
      <x:c r="K68" s="262" t="str">
        <x:v>已有既有對照</x:v>
      </x:c>
      <x:c r="L68" s="263" t="str">
        <x:v>待核定</x:v>
      </x:c>
      <x:c r="M68" s="263"/>
      <x:c r="N68" s="263"/>
      <x:c r="O68" s="264"/>
      <x:c r="P68" s="263"/>
      <x:c r="Q68" s="263"/>
      <x:c r="R68" s="262" t="str">
        <x:f>IF($A68="","",IF($L68="待核定","待主管核定",IF($L68="停用","停用",IF($L68="採用建議",IF($K68="需拆分","需完成拆分",IF(OR($H68="",$I68="",$J68="",$O68="",$P68=""),"待補建議或核定資料","可發布")),IF($L68="路由跟診熟悉度",IF(OR($H68="",$J68="",$O68="",$P68=""),"待補核定資料","可發布"),IF(OR($L68="另訂標準",$L68="不合併"),IF(OR($M68="",$N68="",$O68="",$P68=""),"待補最終名稱、代碼或核定資料","可發布"),"待主管核定"))))))</x:f>
        <x:v>待主管核定</x:v>
      </x:c>
      <x:c r="S68" s="262" t="str">
        <x:f>IF($R68&lt;&gt;"可發布","",IF(OR($L68="採用建議",$L68="路由跟診熟悉度"),$H68,$M68))</x:f>
      </x:c>
      <x:c r="T68" s="262" t="str">
        <x:f>IF($R68&lt;&gt;"可發布","",IF(OR($L68="採用建議",$L68="路由跟診熟悉度"),$J68,$N68))</x:f>
      </x:c>
      <x:c r="U68" s="262" t="str">
        <x:f>IF($R68&lt;&gt;"可發布","未檢核",IF($T68="","缺少代碼",IF(COUNTIFS($T$7:$T$123,$T68,$R$7:$R$123,"可發布",$S$7:$S$123,"&lt;&gt;"&amp;$S68)&gt;0,"代碼對應多名稱","一致")))</x:f>
        <x:v>未檢核</x:v>
      </x:c>
      <x:c r="V68" s="262" t="str">
        <x:f>IF($A68="","",IF($R68&lt;&gt;"可發布",$R68,IF($U68="一致","已發布",$U68)))</x:f>
        <x:v>待主管核定</x:v>
      </x:c>
    </x:row>
    <x:row r="69">
      <x:c r="A69" s="262" t="str">
        <x:v>MAP-063</x:v>
      </x:c>
      <x:c r="B69" s="262" t="str">
        <x:v>楊小瑩醫師</x:v>
      </x:c>
      <x:c r="C69" s="262"/>
      <x:c r="D69" s="262" t="str">
        <x:v>拍PA</x:v>
      </x:c>
      <x:c r="E69" s="262" t="n">
        <x:v>14</x:v>
      </x:c>
      <x:c r="F69" s="262" t="n">
        <x:v>9</x:v>
      </x:c>
      <x:c r="G69" s="262" t="str">
        <x:v>67</x:v>
      </x:c>
      <x:c r="H69" s="262" t="str">
        <x:v>拍 PA</x:v>
      </x:c>
      <x:c r="I69" s="262" t="str">
        <x:v>共通技術</x:v>
      </x:c>
      <x:c r="J69" s="262" t="str">
        <x:v>COMMON-PA</x:v>
      </x:c>
      <x:c r="K69" s="262" t="str">
        <x:v>已有既有對照</x:v>
      </x:c>
      <x:c r="L69" s="263" t="str">
        <x:v>待核定</x:v>
      </x:c>
      <x:c r="M69" s="263"/>
      <x:c r="N69" s="263"/>
      <x:c r="O69" s="264"/>
      <x:c r="P69" s="263"/>
      <x:c r="Q69" s="263"/>
      <x:c r="R69" s="262" t="str">
        <x:f>IF($A69="","",IF($L69="待核定","待主管核定",IF($L69="停用","停用",IF($L69="採用建議",IF($K69="需拆分","需完成拆分",IF(OR($H69="",$I69="",$J69="",$O69="",$P69=""),"待補建議或核定資料","可發布")),IF($L69="路由跟診熟悉度",IF(OR($H69="",$J69="",$O69="",$P69=""),"待補核定資料","可發布"),IF(OR($L69="另訂標準",$L69="不合併"),IF(OR($M69="",$N69="",$O69="",$P69=""),"待補最終名稱、代碼或核定資料","可發布"),"待主管核定"))))))</x:f>
        <x:v>待主管核定</x:v>
      </x:c>
      <x:c r="S69" s="262" t="str">
        <x:f>IF($R69&lt;&gt;"可發布","",IF(OR($L69="採用建議",$L69="路由跟診熟悉度"),$H69,$M69))</x:f>
      </x:c>
      <x:c r="T69" s="262" t="str">
        <x:f>IF($R69&lt;&gt;"可發布","",IF(OR($L69="採用建議",$L69="路由跟診熟悉度"),$J69,$N69))</x:f>
      </x:c>
      <x:c r="U69" s="262" t="str">
        <x:f>IF($R69&lt;&gt;"可發布","未檢核",IF($T69="","缺少代碼",IF(COUNTIFS($T$7:$T$123,$T69,$R$7:$R$123,"可發布",$S$7:$S$123,"&lt;&gt;"&amp;$S69)&gt;0,"代碼對應多名稱","一致")))</x:f>
        <x:v>未檢核</x:v>
      </x:c>
      <x:c r="V69" s="262" t="str">
        <x:f>IF($A69="","",IF($R69&lt;&gt;"可發布",$R69,IF($U69="一致","已發布",$U69)))</x:f>
        <x:v>待主管核定</x:v>
      </x:c>
    </x:row>
    <x:row r="70">
      <x:c r="A70" s="262" t="str">
        <x:v>MAP-064</x:v>
      </x:c>
      <x:c r="B70" s="262" t="str">
        <x:v>王俊偉醫師</x:v>
      </x:c>
      <x:c r="C70" s="262"/>
      <x:c r="D70" s="262" t="str">
        <x:v>器械熟悉度</x:v>
      </x:c>
      <x:c r="E70" s="262" t="n">
        <x:v>14</x:v>
      </x:c>
      <x:c r="F70" s="262" t="n">
        <x:v>8</x:v>
      </x:c>
      <x:c r="G70" s="262" t="str">
        <x:v>68</x:v>
      </x:c>
      <x:c r="H70" s="262" t="str">
        <x:v>王俊偉醫師－器械熟悉度</x:v>
      </x:c>
      <x:c r="I70" s="262" t="str">
        <x:v>醫師＋治療專屬</x:v>
      </x:c>
      <x:c r="J70" s="262"/>
      <x:c r="K70" s="262" t="str">
        <x:v>待確認是否合併</x:v>
      </x:c>
      <x:c r="L70" s="263" t="str">
        <x:v>待核定</x:v>
      </x:c>
      <x:c r="M70" s="263"/>
      <x:c r="N70" s="263"/>
      <x:c r="O70" s="264"/>
      <x:c r="P70" s="263"/>
      <x:c r="Q70" s="263"/>
      <x:c r="R70" s="262" t="str">
        <x:f>IF($A70="","",IF($L70="待核定","待主管核定",IF($L70="停用","停用",IF($L70="採用建議",IF($K70="需拆分","需完成拆分",IF(OR($H70="",$I70="",$J70="",$O70="",$P70=""),"待補建議或核定資料","可發布")),IF($L70="路由跟診熟悉度",IF(OR($H70="",$J70="",$O70="",$P70=""),"待補核定資料","可發布"),IF(OR($L70="另訂標準",$L70="不合併"),IF(OR($M70="",$N70="",$O70="",$P70=""),"待補最終名稱、代碼或核定資料","可發布"),"待主管核定"))))))</x:f>
        <x:v>待主管核定</x:v>
      </x:c>
      <x:c r="S70" s="262" t="str">
        <x:f>IF($R70&lt;&gt;"可發布","",IF(OR($L70="採用建議",$L70="路由跟診熟悉度"),$H70,$M70))</x:f>
      </x:c>
      <x:c r="T70" s="262" t="str">
        <x:f>IF($R70&lt;&gt;"可發布","",IF(OR($L70="採用建議",$L70="路由跟診熟悉度"),$J70,$N70))</x:f>
      </x:c>
      <x:c r="U70" s="262" t="str">
        <x:f>IF($R70&lt;&gt;"可發布","未檢核",IF($T70="","缺少代碼",IF(COUNTIFS($T$7:$T$123,$T70,$R$7:$R$123,"可發布",$S$7:$S$123,"&lt;&gt;"&amp;$S70)&gt;0,"代碼對應多名稱","一致")))</x:f>
        <x:v>未檢核</x:v>
      </x:c>
      <x:c r="V70" s="262" t="str">
        <x:f>IF($A70="","",IF($R70&lt;&gt;"可發布",$R70,IF($U70="一致","已發布",$U70)))</x:f>
        <x:v>待主管核定</x:v>
      </x:c>
    </x:row>
    <x:row r="71">
      <x:c r="A71" s="262" t="str">
        <x:v>MAP-065</x:v>
      </x:c>
      <x:c r="B71" s="262" t="str">
        <x:v>王俊偉醫師</x:v>
      </x:c>
      <x:c r="C71" s="262"/>
      <x:c r="D71" s="262" t="str">
        <x:v>跟診順暢度</x:v>
      </x:c>
      <x:c r="E71" s="262" t="n">
        <x:v>14</x:v>
      </x:c>
      <x:c r="F71" s="262" t="n">
        <x:v>8</x:v>
      </x:c>
      <x:c r="G71" s="262" t="str">
        <x:v>69</x:v>
      </x:c>
      <x:c r="H71" s="262" t="str">
        <x:v>王俊偉醫師跟診熟悉度</x:v>
      </x:c>
      <x:c r="I71" s="262" t="str">
        <x:v>跟診熟悉度</x:v>
      </x:c>
      <x:c r="J71" s="262" t="str">
        <x:v>FAM|PENDING-DOC-04</x:v>
      </x:c>
      <x:c r="K71" s="262" t="str">
        <x:v>路由跟診熟悉度</x:v>
      </x:c>
      <x:c r="L71" s="263" t="str">
        <x:v>待核定</x:v>
      </x:c>
      <x:c r="M71" s="263"/>
      <x:c r="N71" s="263"/>
      <x:c r="O71" s="264"/>
      <x:c r="P71" s="263"/>
      <x:c r="Q71" s="263"/>
      <x:c r="R71" s="262" t="str">
        <x:f>IF($A71="","",IF($L71="待核定","待主管核定",IF($L71="停用","停用",IF($L71="採用建議",IF($K71="需拆分","需完成拆分",IF(OR($H71="",$I71="",$J71="",$O71="",$P71=""),"待補建議或核定資料","可發布")),IF($L71="路由跟診熟悉度",IF(OR($H71="",$J71="",$O71="",$P71=""),"待補核定資料","可發布"),IF(OR($L71="另訂標準",$L71="不合併"),IF(OR($M71="",$N71="",$O71="",$P71=""),"待補最終名稱、代碼或核定資料","可發布"),"待主管核定"))))))</x:f>
        <x:v>待主管核定</x:v>
      </x:c>
      <x:c r="S71" s="262" t="str">
        <x:f>IF($R71&lt;&gt;"可發布","",IF(OR($L71="採用建議",$L71="路由跟診熟悉度"),$H71,$M71))</x:f>
      </x:c>
      <x:c r="T71" s="262" t="str">
        <x:f>IF($R71&lt;&gt;"可發布","",IF(OR($L71="採用建議",$L71="路由跟診熟悉度"),$J71,$N71))</x:f>
      </x:c>
      <x:c r="U71" s="262" t="str">
        <x:f>IF($R71&lt;&gt;"可發布","未檢核",IF($T71="","缺少代碼",IF(COUNTIFS($T$7:$T$123,$T71,$R$7:$R$123,"可發布",$S$7:$S$123,"&lt;&gt;"&amp;$S71)&gt;0,"代碼對應多名稱","一致")))</x:f>
        <x:v>未檢核</x:v>
      </x:c>
      <x:c r="V71" s="262" t="str">
        <x:f>IF($A71="","",IF($R71&lt;&gt;"可發布",$R71,IF($U71="一致","已發布",$U71)))</x:f>
        <x:v>待主管核定</x:v>
      </x:c>
    </x:row>
    <x:row r="72">
      <x:c r="A72" s="262" t="str">
        <x:v>MAP-066</x:v>
      </x:c>
      <x:c r="B72" s="262" t="str">
        <x:v>王俊偉醫師</x:v>
      </x:c>
      <x:c r="C72" s="262"/>
      <x:c r="D72" s="262" t="str">
        <x:v>病歷紀錄</x:v>
      </x:c>
      <x:c r="E72" s="262" t="n">
        <x:v>14</x:v>
      </x:c>
      <x:c r="F72" s="262" t="n">
        <x:v>8</x:v>
      </x:c>
      <x:c r="G72" s="262" t="str">
        <x:v>70</x:v>
      </x:c>
      <x:c r="H72" s="262" t="str">
        <x:v>病歷基本操作</x:v>
      </x:c>
      <x:c r="I72" s="262" t="str">
        <x:v>共通技能</x:v>
      </x:c>
      <x:c r="J72" s="262" t="str">
        <x:v>COMMON-RECORD</x:v>
      </x:c>
      <x:c r="K72" s="262" t="str">
        <x:v>已有既有對照</x:v>
      </x:c>
      <x:c r="L72" s="263" t="str">
        <x:v>待核定</x:v>
      </x:c>
      <x:c r="M72" s="263"/>
      <x:c r="N72" s="263"/>
      <x:c r="O72" s="264"/>
      <x:c r="P72" s="263"/>
      <x:c r="Q72" s="263"/>
      <x:c r="R72" s="262" t="str">
        <x:f>IF($A72="","",IF($L72="待核定","待主管核定",IF($L72="停用","停用",IF($L72="採用建議",IF($K72="需拆分","需完成拆分",IF(OR($H72="",$I72="",$J72="",$O72="",$P72=""),"待補建議或核定資料","可發布")),IF($L72="路由跟診熟悉度",IF(OR($H72="",$J72="",$O72="",$P72=""),"待補核定資料","可發布"),IF(OR($L72="另訂標準",$L72="不合併"),IF(OR($M72="",$N72="",$O72="",$P72=""),"待補最終名稱、代碼或核定資料","可發布"),"待主管核定"))))))</x:f>
        <x:v>待主管核定</x:v>
      </x:c>
      <x:c r="S72" s="262" t="str">
        <x:f>IF($R72&lt;&gt;"可發布","",IF(OR($L72="採用建議",$L72="路由跟診熟悉度"),$H72,$M72))</x:f>
      </x:c>
      <x:c r="T72" s="262" t="str">
        <x:f>IF($R72&lt;&gt;"可發布","",IF(OR($L72="採用建議",$L72="路由跟診熟悉度"),$J72,$N72))</x:f>
      </x:c>
      <x:c r="U72" s="262" t="str">
        <x:f>IF($R72&lt;&gt;"可發布","未檢核",IF($T72="","缺少代碼",IF(COUNTIFS($T$7:$T$123,$T72,$R$7:$R$123,"可發布",$S$7:$S$123,"&lt;&gt;"&amp;$S72)&gt;0,"代碼對應多名稱","一致")))</x:f>
        <x:v>未檢核</x:v>
      </x:c>
      <x:c r="V72" s="262" t="str">
        <x:f>IF($A72="","",IF($R72&lt;&gt;"可發布",$R72,IF($U72="一致","已發布",$U72)))</x:f>
        <x:v>待主管核定</x:v>
      </x:c>
    </x:row>
    <x:row r="73">
      <x:c r="A73" s="262" t="str">
        <x:v>MAP-067</x:v>
      </x:c>
      <x:c r="B73" s="262" t="str">
        <x:v>王俊偉醫師</x:v>
      </x:c>
      <x:c r="C73" s="262"/>
      <x:c r="D73" s="262" t="str">
        <x:v>健保申報</x:v>
      </x:c>
      <x:c r="E73" s="262" t="n">
        <x:v>14</x:v>
      </x:c>
      <x:c r="F73" s="262" t="n">
        <x:v>8</x:v>
      </x:c>
      <x:c r="G73" s="262" t="str">
        <x:v>71</x:v>
      </x:c>
      <x:c r="H73" s="262" t="str">
        <x:v>健保申報</x:v>
      </x:c>
      <x:c r="I73" s="262" t="str">
        <x:v>共通技能</x:v>
      </x:c>
      <x:c r="J73" s="262" t="str">
        <x:v>COMMON-INSURANCE</x:v>
      </x:c>
      <x:c r="K73" s="262" t="str">
        <x:v>已有既有對照</x:v>
      </x:c>
      <x:c r="L73" s="263" t="str">
        <x:v>待核定</x:v>
      </x:c>
      <x:c r="M73" s="263"/>
      <x:c r="N73" s="263"/>
      <x:c r="O73" s="264"/>
      <x:c r="P73" s="263"/>
      <x:c r="Q73" s="263"/>
      <x:c r="R73" s="262" t="str">
        <x:f>IF($A73="","",IF($L73="待核定","待主管核定",IF($L73="停用","停用",IF($L73="採用建議",IF($K73="需拆分","需完成拆分",IF(OR($H73="",$I73="",$J73="",$O73="",$P73=""),"待補建議或核定資料","可發布")),IF($L73="路由跟診熟悉度",IF(OR($H73="",$J73="",$O73="",$P73=""),"待補核定資料","可發布"),IF(OR($L73="另訂標準",$L73="不合併"),IF(OR($M73="",$N73="",$O73="",$P73=""),"待補最終名稱、代碼或核定資料","可發布"),"待主管核定"))))))</x:f>
        <x:v>待主管核定</x:v>
      </x:c>
      <x:c r="S73" s="262" t="str">
        <x:f>IF($R73&lt;&gt;"可發布","",IF(OR($L73="採用建議",$L73="路由跟診熟悉度"),$H73,$M73))</x:f>
      </x:c>
      <x:c r="T73" s="262" t="str">
        <x:f>IF($R73&lt;&gt;"可發布","",IF(OR($L73="採用建議",$L73="路由跟診熟悉度"),$J73,$N73))</x:f>
      </x:c>
      <x:c r="U73" s="262" t="str">
        <x:f>IF($R73&lt;&gt;"可發布","未檢核",IF($T73="","缺少代碼",IF(COUNTIFS($T$7:$T$123,$T73,$R$7:$R$123,"可發布",$S$7:$S$123,"&lt;&gt;"&amp;$S73)&gt;0,"代碼對應多名稱","一致")))</x:f>
        <x:v>未檢核</x:v>
      </x:c>
      <x:c r="V73" s="262" t="str">
        <x:f>IF($A73="","",IF($R73&lt;&gt;"可發布",$R73,IF($U73="一致","已發布",$U73)))</x:f>
        <x:v>待主管核定</x:v>
      </x:c>
    </x:row>
    <x:row r="74">
      <x:c r="A74" s="262" t="str">
        <x:v>MAP-068</x:v>
      </x:c>
      <x:c r="B74" s="262" t="str">
        <x:v>王俊偉醫師</x:v>
      </x:c>
      <x:c r="C74" s="262"/>
      <x:c r="D74" s="262" t="str">
        <x:v>X光片紀錄</x:v>
      </x:c>
      <x:c r="E74" s="262" t="n">
        <x:v>14</x:v>
      </x:c>
      <x:c r="F74" s="262" t="n">
        <x:v>8</x:v>
      </x:c>
      <x:c r="G74" s="262" t="str">
        <x:v>72</x:v>
      </x:c>
      <x:c r="H74" s="262" t="str">
        <x:v>X 光片紀錄</x:v>
      </x:c>
      <x:c r="I74" s="262" t="str">
        <x:v>共通技能</x:v>
      </x:c>
      <x:c r="J74" s="262" t="str">
        <x:v>COMMON-XRAY-RECORD</x:v>
      </x:c>
      <x:c r="K74" s="262" t="str">
        <x:v>已有既有對照</x:v>
      </x:c>
      <x:c r="L74" s="263" t="str">
        <x:v>待核定</x:v>
      </x:c>
      <x:c r="M74" s="263"/>
      <x:c r="N74" s="263"/>
      <x:c r="O74" s="264"/>
      <x:c r="P74" s="263"/>
      <x:c r="Q74" s="263"/>
      <x:c r="R74" s="262" t="str">
        <x:f>IF($A74="","",IF($L74="待核定","待主管核定",IF($L74="停用","停用",IF($L74="採用建議",IF($K74="需拆分","需完成拆分",IF(OR($H74="",$I74="",$J74="",$O74="",$P74=""),"待補建議或核定資料","可發布")),IF($L74="路由跟診熟悉度",IF(OR($H74="",$J74="",$O74="",$P74=""),"待補核定資料","可發布"),IF(OR($L74="另訂標準",$L74="不合併"),IF(OR($M74="",$N74="",$O74="",$P74=""),"待補最終名稱、代碼或核定資料","可發布"),"待主管核定"))))))</x:f>
        <x:v>待主管核定</x:v>
      </x:c>
      <x:c r="S74" s="262" t="str">
        <x:f>IF($R74&lt;&gt;"可發布","",IF(OR($L74="採用建議",$L74="路由跟診熟悉度"),$H74,$M74))</x:f>
      </x:c>
      <x:c r="T74" s="262" t="str">
        <x:f>IF($R74&lt;&gt;"可發布","",IF(OR($L74="採用建議",$L74="路由跟診熟悉度"),$J74,$N74))</x:f>
      </x:c>
      <x:c r="U74" s="262" t="str">
        <x:f>IF($R74&lt;&gt;"可發布","未檢核",IF($T74="","缺少代碼",IF(COUNTIFS($T$7:$T$123,$T74,$R$7:$R$123,"可發布",$S$7:$S$123,"&lt;&gt;"&amp;$S74)&gt;0,"代碼對應多名稱","一致")))</x:f>
        <x:v>未檢核</x:v>
      </x:c>
      <x:c r="V74" s="262" t="str">
        <x:f>IF($A74="","",IF($R74&lt;&gt;"可發布",$R74,IF($U74="一致","已發布",$U74)))</x:f>
        <x:v>待主管核定</x:v>
      </x:c>
    </x:row>
    <x:row r="75">
      <x:c r="A75" s="262" t="str">
        <x:v>MAP-069</x:v>
      </x:c>
      <x:c r="B75" s="262" t="str">
        <x:v>王俊偉醫師</x:v>
      </x:c>
      <x:c r="C75" s="262"/>
      <x:c r="D75" s="262" t="str">
        <x:v>拍PANO、PA</x:v>
      </x:c>
      <x:c r="E75" s="262" t="n">
        <x:v>14</x:v>
      </x:c>
      <x:c r="F75" s="262" t="n">
        <x:v>8</x:v>
      </x:c>
      <x:c r="G75" s="262" t="str">
        <x:v>73</x:v>
      </x:c>
      <x:c r="H75" s="262" t="str">
        <x:v>PANO 與 PA 影像操作</x:v>
      </x:c>
      <x:c r="I75" s="262" t="str">
        <x:v>共通技術</x:v>
      </x:c>
      <x:c r="J75" s="262"/>
      <x:c r="K75" s="262" t="str">
        <x:v>需拆分</x:v>
      </x:c>
      <x:c r="L75" s="263" t="str">
        <x:v>待核定</x:v>
      </x:c>
      <x:c r="M75" s="263"/>
      <x:c r="N75" s="263"/>
      <x:c r="O75" s="264"/>
      <x:c r="P75" s="263"/>
      <x:c r="Q75" s="263"/>
      <x:c r="R75" s="262" t="str">
        <x:f>IF($A75="","",IF($L75="待核定","待主管核定",IF($L75="停用","停用",IF($L75="採用建議",IF($K75="需拆分","需完成拆分",IF(OR($H75="",$I75="",$J75="",$O75="",$P75=""),"待補建議或核定資料","可發布")),IF($L75="路由跟診熟悉度",IF(OR($H75="",$J75="",$O75="",$P75=""),"待補核定資料","可發布"),IF(OR($L75="另訂標準",$L75="不合併"),IF(OR($M75="",$N75="",$O75="",$P75=""),"待補最終名稱、代碼或核定資料","可發布"),"待主管核定"))))))</x:f>
        <x:v>待主管核定</x:v>
      </x:c>
      <x:c r="S75" s="262" t="str">
        <x:f>IF($R75&lt;&gt;"可發布","",IF(OR($L75="採用建議",$L75="路由跟診熟悉度"),$H75,$M75))</x:f>
      </x:c>
      <x:c r="T75" s="262" t="str">
        <x:f>IF($R75&lt;&gt;"可發布","",IF(OR($L75="採用建議",$L75="路由跟診熟悉度"),$J75,$N75))</x:f>
      </x:c>
      <x:c r="U75" s="262" t="str">
        <x:f>IF($R75&lt;&gt;"可發布","未檢核",IF($T75="","缺少代碼",IF(COUNTIFS($T$7:$T$123,$T75,$R$7:$R$123,"可發布",$S$7:$S$123,"&lt;&gt;"&amp;$S75)&gt;0,"代碼對應多名稱","一致")))</x:f>
        <x:v>未檢核</x:v>
      </x:c>
      <x:c r="V75" s="262" t="str">
        <x:f>IF($A75="","",IF($R75&lt;&gt;"可發布",$R75,IF($U75="一致","已發布",$U75)))</x:f>
        <x:v>待主管核定</x:v>
      </x:c>
    </x:row>
    <x:row r="76">
      <x:c r="A76" s="262" t="str">
        <x:v>MAP-070</x:v>
      </x:c>
      <x:c r="B76" s="262" t="str">
        <x:v>王俊偉醫師</x:v>
      </x:c>
      <x:c r="C76" s="262"/>
      <x:c r="D76" s="262" t="str">
        <x:v>CT照</x:v>
      </x:c>
      <x:c r="E76" s="262" t="n">
        <x:v>14</x:v>
      </x:c>
      <x:c r="F76" s="262" t="n">
        <x:v>8</x:v>
      </x:c>
      <x:c r="G76" s="262" t="str">
        <x:v>74</x:v>
      </x:c>
      <x:c r="H76" s="262" t="str">
        <x:v>CT 影像操作</x:v>
      </x:c>
      <x:c r="I76" s="262" t="str">
        <x:v>共通技術</x:v>
      </x:c>
      <x:c r="J76" s="262" t="str">
        <x:v>COMMON-CT</x:v>
      </x:c>
      <x:c r="K76" s="262" t="str">
        <x:v>建立新標準</x:v>
      </x:c>
      <x:c r="L76" s="263" t="str">
        <x:v>待核定</x:v>
      </x:c>
      <x:c r="M76" s="263"/>
      <x:c r="N76" s="263"/>
      <x:c r="O76" s="264"/>
      <x:c r="P76" s="263"/>
      <x:c r="Q76" s="263"/>
      <x:c r="R76" s="262" t="str">
        <x:f>IF($A76="","",IF($L76="待核定","待主管核定",IF($L76="停用","停用",IF($L76="採用建議",IF($K76="需拆分","需完成拆分",IF(OR($H76="",$I76="",$J76="",$O76="",$P76=""),"待補建議或核定資料","可發布")),IF($L76="路由跟診熟悉度",IF(OR($H76="",$J76="",$O76="",$P76=""),"待補核定資料","可發布"),IF(OR($L76="另訂標準",$L76="不合併"),IF(OR($M76="",$N76="",$O76="",$P76=""),"待補最終名稱、代碼或核定資料","可發布"),"待主管核定"))))))</x:f>
        <x:v>待主管核定</x:v>
      </x:c>
      <x:c r="S76" s="262" t="str">
        <x:f>IF($R76&lt;&gt;"可發布","",IF(OR($L76="採用建議",$L76="路由跟診熟悉度"),$H76,$M76))</x:f>
      </x:c>
      <x:c r="T76" s="262" t="str">
        <x:f>IF($R76&lt;&gt;"可發布","",IF(OR($L76="採用建議",$L76="路由跟診熟悉度"),$J76,$N76))</x:f>
      </x:c>
      <x:c r="U76" s="262" t="str">
        <x:f>IF($R76&lt;&gt;"可發布","未檢核",IF($T76="","缺少代碼",IF(COUNTIFS($T$7:$T$123,$T76,$R$7:$R$123,"可發布",$S$7:$S$123,"&lt;&gt;"&amp;$S76)&gt;0,"代碼對應多名稱","一致")))</x:f>
        <x:v>未檢核</x:v>
      </x:c>
      <x:c r="V76" s="262" t="str">
        <x:f>IF($A76="","",IF($R76&lt;&gt;"可發布",$R76,IF($U76="一致","已發布",$U76)))</x:f>
        <x:v>待主管核定</x:v>
      </x:c>
    </x:row>
    <x:row r="77">
      <x:c r="A77" s="262" t="str">
        <x:v>MAP-071</x:v>
      </x:c>
      <x:c r="B77" s="262" t="str">
        <x:v>王俊偉醫師</x:v>
      </x:c>
      <x:c r="C77" s="262"/>
      <x:c r="D77" s="262" t="str">
        <x:v>側頭顱照</x:v>
      </x:c>
      <x:c r="E77" s="262" t="n">
        <x:v>14</x:v>
      </x:c>
      <x:c r="F77" s="262" t="n">
        <x:v>8</x:v>
      </x:c>
      <x:c r="G77" s="262" t="str">
        <x:v>75</x:v>
      </x:c>
      <x:c r="H77" s="262" t="str">
        <x:v>側頭顱影像操作</x:v>
      </x:c>
      <x:c r="I77" s="262" t="str">
        <x:v>共通技術</x:v>
      </x:c>
      <x:c r="J77" s="262" t="str">
        <x:v>COMMON-CEPH</x:v>
      </x:c>
      <x:c r="K77" s="262" t="str">
        <x:v>建立新標準</x:v>
      </x:c>
      <x:c r="L77" s="263" t="str">
        <x:v>待核定</x:v>
      </x:c>
      <x:c r="M77" s="263"/>
      <x:c r="N77" s="263"/>
      <x:c r="O77" s="264"/>
      <x:c r="P77" s="263"/>
      <x:c r="Q77" s="263"/>
      <x:c r="R77" s="262" t="str">
        <x:f>IF($A77="","",IF($L77="待核定","待主管核定",IF($L77="停用","停用",IF($L77="採用建議",IF($K77="需拆分","需完成拆分",IF(OR($H77="",$I77="",$J77="",$O77="",$P77=""),"待補建議或核定資料","可發布")),IF($L77="路由跟診熟悉度",IF(OR($H77="",$J77="",$O77="",$P77=""),"待補核定資料","可發布"),IF(OR($L77="另訂標準",$L77="不合併"),IF(OR($M77="",$N77="",$O77="",$P77=""),"待補最終名稱、代碼或核定資料","可發布"),"待主管核定"))))))</x:f>
        <x:v>待主管核定</x:v>
      </x:c>
      <x:c r="S77" s="262" t="str">
        <x:f>IF($R77&lt;&gt;"可發布","",IF(OR($L77="採用建議",$L77="路由跟診熟悉度"),$H77,$M77))</x:f>
      </x:c>
      <x:c r="T77" s="262" t="str">
        <x:f>IF($R77&lt;&gt;"可發布","",IF(OR($L77="採用建議",$L77="路由跟診熟悉度"),$J77,$N77))</x:f>
      </x:c>
      <x:c r="U77" s="262" t="str">
        <x:f>IF($R77&lt;&gt;"可發布","未檢核",IF($T77="","缺少代碼",IF(COUNTIFS($T$7:$T$123,$T77,$R$7:$R$123,"可發布",$S$7:$S$123,"&lt;&gt;"&amp;$S77)&gt;0,"代碼對應多名稱","一致")))</x:f>
        <x:v>未檢核</x:v>
      </x:c>
      <x:c r="V77" s="262" t="str">
        <x:f>IF($A77="","",IF($R77&lt;&gt;"可發布",$R77,IF($U77="一致","已發布",$U77)))</x:f>
        <x:v>待主管核定</x:v>
      </x:c>
    </x:row>
    <x:row r="78">
      <x:c r="A78" s="262" t="str">
        <x:v>MAP-072</x:v>
      </x:c>
      <x:c r="B78" s="262" t="str">
        <x:v>王俊偉醫師</x:v>
      </x:c>
      <x:c r="C78" s="262"/>
      <x:c r="D78" s="262" t="str">
        <x:v>口掃機運用</x:v>
      </x:c>
      <x:c r="E78" s="262" t="n">
        <x:v>14</x:v>
      </x:c>
      <x:c r="F78" s="262" t="n">
        <x:v>8</x:v>
      </x:c>
      <x:c r="G78" s="262" t="str">
        <x:v>76</x:v>
      </x:c>
      <x:c r="H78" s="262" t="str">
        <x:v>口掃機運用</x:v>
      </x:c>
      <x:c r="I78" s="262" t="str">
        <x:v>共通技術</x:v>
      </x:c>
      <x:c r="J78" s="262" t="str">
        <x:v>COMMON-IOS</x:v>
      </x:c>
      <x:c r="K78" s="262" t="str">
        <x:v>已有既有對照</x:v>
      </x:c>
      <x:c r="L78" s="263" t="str">
        <x:v>待核定</x:v>
      </x:c>
      <x:c r="M78" s="263"/>
      <x:c r="N78" s="263"/>
      <x:c r="O78" s="264"/>
      <x:c r="P78" s="263"/>
      <x:c r="Q78" s="263"/>
      <x:c r="R78" s="262" t="str">
        <x:f>IF($A78="","",IF($L78="待核定","待主管核定",IF($L78="停用","停用",IF($L78="採用建議",IF($K78="需拆分","需完成拆分",IF(OR($H78="",$I78="",$J78="",$O78="",$P78=""),"待補建議或核定資料","可發布")),IF($L78="路由跟診熟悉度",IF(OR($H78="",$J78="",$O78="",$P78=""),"待補核定資料","可發布"),IF(OR($L78="另訂標準",$L78="不合併"),IF(OR($M78="",$N78="",$O78="",$P78=""),"待補最終名稱、代碼或核定資料","可發布"),"待主管核定"))))))</x:f>
        <x:v>待主管核定</x:v>
      </x:c>
      <x:c r="S78" s="262" t="str">
        <x:f>IF($R78&lt;&gt;"可發布","",IF(OR($L78="採用建議",$L78="路由跟診熟悉度"),$H78,$M78))</x:f>
      </x:c>
      <x:c r="T78" s="262" t="str">
        <x:f>IF($R78&lt;&gt;"可發布","",IF(OR($L78="採用建議",$L78="路由跟診熟悉度"),$J78,$N78))</x:f>
      </x:c>
      <x:c r="U78" s="262" t="str">
        <x:f>IF($R78&lt;&gt;"可發布","未檢核",IF($T78="","缺少代碼",IF(COUNTIFS($T$7:$T$123,$T78,$R$7:$R$123,"可發布",$S$7:$S$123,"&lt;&gt;"&amp;$S78)&gt;0,"代碼對應多名稱","一致")))</x:f>
        <x:v>未檢核</x:v>
      </x:c>
      <x:c r="V78" s="262" t="str">
        <x:f>IF($A78="","",IF($R78&lt;&gt;"可發布",$R78,IF($U78="一致","已發布",$U78)))</x:f>
        <x:v>待主管核定</x:v>
      </x:c>
    </x:row>
    <x:row r="79">
      <x:c r="A79" s="262" t="str">
        <x:v>MAP-073</x:v>
      </x:c>
      <x:c r="B79" s="262" t="str">
        <x:v>許馨文醫師</x:v>
      </x:c>
      <x:c r="C79" s="262"/>
      <x:c r="D79" s="262" t="str">
        <x:v>器械熟悉度</x:v>
      </x:c>
      <x:c r="E79" s="262" t="n">
        <x:v>14</x:v>
      </x:c>
      <x:c r="F79" s="262" t="n">
        <x:v>11</x:v>
      </x:c>
      <x:c r="G79" s="262" t="str">
        <x:v>77</x:v>
      </x:c>
      <x:c r="H79" s="262" t="str">
        <x:v>許馨文醫師－器械熟悉度</x:v>
      </x:c>
      <x:c r="I79" s="262" t="str">
        <x:v>醫師＋治療專屬</x:v>
      </x:c>
      <x:c r="J79" s="262"/>
      <x:c r="K79" s="262" t="str">
        <x:v>待確認是否合併</x:v>
      </x:c>
      <x:c r="L79" s="263" t="str">
        <x:v>待核定</x:v>
      </x:c>
      <x:c r="M79" s="263"/>
      <x:c r="N79" s="263"/>
      <x:c r="O79" s="264"/>
      <x:c r="P79" s="263"/>
      <x:c r="Q79" s="263"/>
      <x:c r="R79" s="262" t="str">
        <x:f>IF($A79="","",IF($L79="待核定","待主管核定",IF($L79="停用","停用",IF($L79="採用建議",IF($K79="需拆分","需完成拆分",IF(OR($H79="",$I79="",$J79="",$O79="",$P79=""),"待補建議或核定資料","可發布")),IF($L79="路由跟診熟悉度",IF(OR($H79="",$J79="",$O79="",$P79=""),"待補核定資料","可發布"),IF(OR($L79="另訂標準",$L79="不合併"),IF(OR($M79="",$N79="",$O79="",$P79=""),"待補最終名稱、代碼或核定資料","可發布"),"待主管核定"))))))</x:f>
        <x:v>待主管核定</x:v>
      </x:c>
      <x:c r="S79" s="262" t="str">
        <x:f>IF($R79&lt;&gt;"可發布","",IF(OR($L79="採用建議",$L79="路由跟診熟悉度"),$H79,$M79))</x:f>
      </x:c>
      <x:c r="T79" s="262" t="str">
        <x:f>IF($R79&lt;&gt;"可發布","",IF(OR($L79="採用建議",$L79="路由跟診熟悉度"),$J79,$N79))</x:f>
      </x:c>
      <x:c r="U79" s="262" t="str">
        <x:f>IF($R79&lt;&gt;"可發布","未檢核",IF($T79="","缺少代碼",IF(COUNTIFS($T$7:$T$123,$T79,$R$7:$R$123,"可發布",$S$7:$S$123,"&lt;&gt;"&amp;$S79)&gt;0,"代碼對應多名稱","一致")))</x:f>
        <x:v>未檢核</x:v>
      </x:c>
      <x:c r="V79" s="262" t="str">
        <x:f>IF($A79="","",IF($R79&lt;&gt;"可發布",$R79,IF($U79="一致","已發布",$U79)))</x:f>
        <x:v>待主管核定</x:v>
      </x:c>
    </x:row>
    <x:row r="80">
      <x:c r="A80" s="262" t="str">
        <x:v>MAP-074</x:v>
      </x:c>
      <x:c r="B80" s="262" t="str">
        <x:v>許馨文醫師</x:v>
      </x:c>
      <x:c r="C80" s="262"/>
      <x:c r="D80" s="262" t="str">
        <x:v>吸口水技巧</x:v>
      </x:c>
      <x:c r="E80" s="262" t="n">
        <x:v>14</x:v>
      </x:c>
      <x:c r="F80" s="262" t="n">
        <x:v>11</x:v>
      </x:c>
      <x:c r="G80" s="262" t="str">
        <x:v>78</x:v>
      </x:c>
      <x:c r="H80" s="262" t="str">
        <x:v>許馨文醫師－吸口水技巧</x:v>
      </x:c>
      <x:c r="I80" s="262" t="str">
        <x:v>醫師＋治療專屬</x:v>
      </x:c>
      <x:c r="J80" s="262"/>
      <x:c r="K80" s="262" t="str">
        <x:v>待確認是否合併</x:v>
      </x:c>
      <x:c r="L80" s="263" t="str">
        <x:v>待核定</x:v>
      </x:c>
      <x:c r="M80" s="263"/>
      <x:c r="N80" s="263"/>
      <x:c r="O80" s="264"/>
      <x:c r="P80" s="263"/>
      <x:c r="Q80" s="263"/>
      <x:c r="R80" s="262" t="str">
        <x:f>IF($A80="","",IF($L80="待核定","待主管核定",IF($L80="停用","停用",IF($L80="採用建議",IF($K80="需拆分","需完成拆分",IF(OR($H80="",$I80="",$J80="",$O80="",$P80=""),"待補建議或核定資料","可發布")),IF($L80="路由跟診熟悉度",IF(OR($H80="",$J80="",$O80="",$P80=""),"待補核定資料","可發布"),IF(OR($L80="另訂標準",$L80="不合併"),IF(OR($M80="",$N80="",$O80="",$P80=""),"待補最終名稱、代碼或核定資料","可發布"),"待主管核定"))))))</x:f>
        <x:v>待主管核定</x:v>
      </x:c>
      <x:c r="S80" s="262" t="str">
        <x:f>IF($R80&lt;&gt;"可發布","",IF(OR($L80="採用建議",$L80="路由跟診熟悉度"),$H80,$M80))</x:f>
      </x:c>
      <x:c r="T80" s="262" t="str">
        <x:f>IF($R80&lt;&gt;"可發布","",IF(OR($L80="採用建議",$L80="路由跟診熟悉度"),$J80,$N80))</x:f>
      </x:c>
      <x:c r="U80" s="262" t="str">
        <x:f>IF($R80&lt;&gt;"可發布","未檢核",IF($T80="","缺少代碼",IF(COUNTIFS($T$7:$T$123,$T80,$R$7:$R$123,"可發布",$S$7:$S$123,"&lt;&gt;"&amp;$S80)&gt;0,"代碼對應多名稱","一致")))</x:f>
        <x:v>未檢核</x:v>
      </x:c>
      <x:c r="V80" s="262" t="str">
        <x:f>IF($A80="","",IF($R80&lt;&gt;"可發布",$R80,IF($U80="一致","已發布",$U80)))</x:f>
        <x:v>待主管核定</x:v>
      </x:c>
    </x:row>
    <x:row r="81">
      <x:c r="A81" s="262" t="str">
        <x:v>MAP-075</x:v>
      </x:c>
      <x:c r="B81" s="262" t="str">
        <x:v>許馨文醫師</x:v>
      </x:c>
      <x:c r="C81" s="262"/>
      <x:c r="D81" s="262" t="str">
        <x:v>病歷紀錄</x:v>
      </x:c>
      <x:c r="E81" s="262" t="n">
        <x:v>14</x:v>
      </x:c>
      <x:c r="F81" s="262" t="n">
        <x:v>11</x:v>
      </x:c>
      <x:c r="G81" s="262" t="str">
        <x:v>79</x:v>
      </x:c>
      <x:c r="H81" s="262" t="str">
        <x:v>病歷基本操作</x:v>
      </x:c>
      <x:c r="I81" s="262" t="str">
        <x:v>共通技能</x:v>
      </x:c>
      <x:c r="J81" s="262" t="str">
        <x:v>COMMON-RECORD</x:v>
      </x:c>
      <x:c r="K81" s="262" t="str">
        <x:v>已有既有對照</x:v>
      </x:c>
      <x:c r="L81" s="263" t="str">
        <x:v>待核定</x:v>
      </x:c>
      <x:c r="M81" s="263"/>
      <x:c r="N81" s="263"/>
      <x:c r="O81" s="264"/>
      <x:c r="P81" s="263"/>
      <x:c r="Q81" s="263"/>
      <x:c r="R81" s="262" t="str">
        <x:f>IF($A81="","",IF($L81="待核定","待主管核定",IF($L81="停用","停用",IF($L81="採用建議",IF($K81="需拆分","需完成拆分",IF(OR($H81="",$I81="",$J81="",$O81="",$P81=""),"待補建議或核定資料","可發布")),IF($L81="路由跟診熟悉度",IF(OR($H81="",$J81="",$O81="",$P81=""),"待補核定資料","可發布"),IF(OR($L81="另訂標準",$L81="不合併"),IF(OR($M81="",$N81="",$O81="",$P81=""),"待補最終名稱、代碼或核定資料","可發布"),"待主管核定"))))))</x:f>
        <x:v>待主管核定</x:v>
      </x:c>
      <x:c r="S81" s="262" t="str">
        <x:f>IF($R81&lt;&gt;"可發布","",IF(OR($L81="採用建議",$L81="路由跟診熟悉度"),$H81,$M81))</x:f>
      </x:c>
      <x:c r="T81" s="262" t="str">
        <x:f>IF($R81&lt;&gt;"可發布","",IF(OR($L81="採用建議",$L81="路由跟診熟悉度"),$J81,$N81))</x:f>
      </x:c>
      <x:c r="U81" s="262" t="str">
        <x:f>IF($R81&lt;&gt;"可發布","未檢核",IF($T81="","缺少代碼",IF(COUNTIFS($T$7:$T$123,$T81,$R$7:$R$123,"可發布",$S$7:$S$123,"&lt;&gt;"&amp;$S81)&gt;0,"代碼對應多名稱","一致")))</x:f>
        <x:v>未檢核</x:v>
      </x:c>
      <x:c r="V81" s="262" t="str">
        <x:f>IF($A81="","",IF($R81&lt;&gt;"可發布",$R81,IF($U81="一致","已發布",$U81)))</x:f>
        <x:v>待主管核定</x:v>
      </x:c>
    </x:row>
    <x:row r="82">
      <x:c r="A82" s="262" t="str">
        <x:v>MAP-076</x:v>
      </x:c>
      <x:c r="B82" s="262" t="str">
        <x:v>許馨文醫師</x:v>
      </x:c>
      <x:c r="C82" s="262"/>
      <x:c r="D82" s="262" t="str">
        <x:v>健保申報</x:v>
      </x:c>
      <x:c r="E82" s="262" t="n">
        <x:v>14</x:v>
      </x:c>
      <x:c r="F82" s="262" t="n">
        <x:v>11</x:v>
      </x:c>
      <x:c r="G82" s="262" t="str">
        <x:v>80</x:v>
      </x:c>
      <x:c r="H82" s="262" t="str">
        <x:v>健保申報</x:v>
      </x:c>
      <x:c r="I82" s="262" t="str">
        <x:v>共通技能</x:v>
      </x:c>
      <x:c r="J82" s="262" t="str">
        <x:v>COMMON-INSURANCE</x:v>
      </x:c>
      <x:c r="K82" s="262" t="str">
        <x:v>已有既有對照</x:v>
      </x:c>
      <x:c r="L82" s="263" t="str">
        <x:v>待核定</x:v>
      </x:c>
      <x:c r="M82" s="263"/>
      <x:c r="N82" s="263"/>
      <x:c r="O82" s="264"/>
      <x:c r="P82" s="263"/>
      <x:c r="Q82" s="263"/>
      <x:c r="R82" s="262" t="str">
        <x:f>IF($A82="","",IF($L82="待核定","待主管核定",IF($L82="停用","停用",IF($L82="採用建議",IF($K82="需拆分","需完成拆分",IF(OR($H82="",$I82="",$J82="",$O82="",$P82=""),"待補建議或核定資料","可發布")),IF($L82="路由跟診熟悉度",IF(OR($H82="",$J82="",$O82="",$P82=""),"待補核定資料","可發布"),IF(OR($L82="另訂標準",$L82="不合併"),IF(OR($M82="",$N82="",$O82="",$P82=""),"待補最終名稱、代碼或核定資料","可發布"),"待主管核定"))))))</x:f>
        <x:v>待主管核定</x:v>
      </x:c>
      <x:c r="S82" s="262" t="str">
        <x:f>IF($R82&lt;&gt;"可發布","",IF(OR($L82="採用建議",$L82="路由跟診熟悉度"),$H82,$M82))</x:f>
      </x:c>
      <x:c r="T82" s="262" t="str">
        <x:f>IF($R82&lt;&gt;"可發布","",IF(OR($L82="採用建議",$L82="路由跟診熟悉度"),$J82,$N82))</x:f>
      </x:c>
      <x:c r="U82" s="262" t="str">
        <x:f>IF($R82&lt;&gt;"可發布","未檢核",IF($T82="","缺少代碼",IF(COUNTIFS($T$7:$T$123,$T82,$R$7:$R$123,"可發布",$S$7:$S$123,"&lt;&gt;"&amp;$S82)&gt;0,"代碼對應多名稱","一致")))</x:f>
        <x:v>未檢核</x:v>
      </x:c>
      <x:c r="V82" s="262" t="str">
        <x:f>IF($A82="","",IF($R82&lt;&gt;"可發布",$R82,IF($U82="一致","已發布",$U82)))</x:f>
        <x:v>待主管核定</x:v>
      </x:c>
    </x:row>
    <x:row r="83">
      <x:c r="A83" s="262" t="str">
        <x:v>MAP-077</x:v>
      </x:c>
      <x:c r="B83" s="262" t="str">
        <x:v>許馨文醫師</x:v>
      </x:c>
      <x:c r="C83" s="262"/>
      <x:c r="D83" s="262" t="str">
        <x:v>X光片紀錄</x:v>
      </x:c>
      <x:c r="E83" s="262" t="n">
        <x:v>14</x:v>
      </x:c>
      <x:c r="F83" s="262" t="n">
        <x:v>11</x:v>
      </x:c>
      <x:c r="G83" s="262" t="str">
        <x:v>81</x:v>
      </x:c>
      <x:c r="H83" s="262" t="str">
        <x:v>X 光片紀錄</x:v>
      </x:c>
      <x:c r="I83" s="262" t="str">
        <x:v>共通技能</x:v>
      </x:c>
      <x:c r="J83" s="262" t="str">
        <x:v>COMMON-XRAY-RECORD</x:v>
      </x:c>
      <x:c r="K83" s="262" t="str">
        <x:v>已有既有對照</x:v>
      </x:c>
      <x:c r="L83" s="263" t="str">
        <x:v>待核定</x:v>
      </x:c>
      <x:c r="M83" s="263"/>
      <x:c r="N83" s="263"/>
      <x:c r="O83" s="264"/>
      <x:c r="P83" s="263"/>
      <x:c r="Q83" s="263"/>
      <x:c r="R83" s="262" t="str">
        <x:f>IF($A83="","",IF($L83="待核定","待主管核定",IF($L83="停用","停用",IF($L83="採用建議",IF($K83="需拆分","需完成拆分",IF(OR($H83="",$I83="",$J83="",$O83="",$P83=""),"待補建議或核定資料","可發布")),IF($L83="路由跟診熟悉度",IF(OR($H83="",$J83="",$O83="",$P83=""),"待補核定資料","可發布"),IF(OR($L83="另訂標準",$L83="不合併"),IF(OR($M83="",$N83="",$O83="",$P83=""),"待補最終名稱、代碼或核定資料","可發布"),"待主管核定"))))))</x:f>
        <x:v>待主管核定</x:v>
      </x:c>
      <x:c r="S83" s="262" t="str">
        <x:f>IF($R83&lt;&gt;"可發布","",IF(OR($L83="採用建議",$L83="路由跟診熟悉度"),$H83,$M83))</x:f>
      </x:c>
      <x:c r="T83" s="262" t="str">
        <x:f>IF($R83&lt;&gt;"可發布","",IF(OR($L83="採用建議",$L83="路由跟診熟悉度"),$J83,$N83))</x:f>
      </x:c>
      <x:c r="U83" s="262" t="str">
        <x:f>IF($R83&lt;&gt;"可發布","未檢核",IF($T83="","缺少代碼",IF(COUNTIFS($T$7:$T$123,$T83,$R$7:$R$123,"可發布",$S$7:$S$123,"&lt;&gt;"&amp;$S83)&gt;0,"代碼對應多名稱","一致")))</x:f>
        <x:v>未檢核</x:v>
      </x:c>
      <x:c r="V83" s="262" t="str">
        <x:f>IF($A83="","",IF($R83&lt;&gt;"可發布",$R83,IF($U83="一致","已發布",$U83)))</x:f>
        <x:v>待主管核定</x:v>
      </x:c>
    </x:row>
    <x:row r="84">
      <x:c r="A84" s="262" t="str">
        <x:v>MAP-078</x:v>
      </x:c>
      <x:c r="B84" s="262" t="str">
        <x:v>許馨文醫師</x:v>
      </x:c>
      <x:c r="C84" s="262"/>
      <x:c r="D84" s="262" t="str">
        <x:v>拍PANO、PA</x:v>
      </x:c>
      <x:c r="E84" s="262" t="n">
        <x:v>14</x:v>
      </x:c>
      <x:c r="F84" s="262" t="n">
        <x:v>11</x:v>
      </x:c>
      <x:c r="G84" s="262" t="str">
        <x:v>82</x:v>
      </x:c>
      <x:c r="H84" s="262" t="str">
        <x:v>PANO 與 PA 影像操作</x:v>
      </x:c>
      <x:c r="I84" s="262" t="str">
        <x:v>共通技術</x:v>
      </x:c>
      <x:c r="J84" s="262"/>
      <x:c r="K84" s="262" t="str">
        <x:v>需拆分</x:v>
      </x:c>
      <x:c r="L84" s="263" t="str">
        <x:v>待核定</x:v>
      </x:c>
      <x:c r="M84" s="263"/>
      <x:c r="N84" s="263"/>
      <x:c r="O84" s="264"/>
      <x:c r="P84" s="263"/>
      <x:c r="Q84" s="263"/>
      <x:c r="R84" s="262" t="str">
        <x:f>IF($A84="","",IF($L84="待核定","待主管核定",IF($L84="停用","停用",IF($L84="採用建議",IF($K84="需拆分","需完成拆分",IF(OR($H84="",$I84="",$J84="",$O84="",$P84=""),"待補建議或核定資料","可發布")),IF($L84="路由跟診熟悉度",IF(OR($H84="",$J84="",$O84="",$P84=""),"待補核定資料","可發布"),IF(OR($L84="另訂標準",$L84="不合併"),IF(OR($M84="",$N84="",$O84="",$P84=""),"待補最終名稱、代碼或核定資料","可發布"),"待主管核定"))))))</x:f>
        <x:v>待主管核定</x:v>
      </x:c>
      <x:c r="S84" s="262" t="str">
        <x:f>IF($R84&lt;&gt;"可發布","",IF(OR($L84="採用建議",$L84="路由跟診熟悉度"),$H84,$M84))</x:f>
      </x:c>
      <x:c r="T84" s="262" t="str">
        <x:f>IF($R84&lt;&gt;"可發布","",IF(OR($L84="採用建議",$L84="路由跟診熟悉度"),$J84,$N84))</x:f>
      </x:c>
      <x:c r="U84" s="262" t="str">
        <x:f>IF($R84&lt;&gt;"可發布","未檢核",IF($T84="","缺少代碼",IF(COUNTIFS($T$7:$T$123,$T84,$R$7:$R$123,"可發布",$S$7:$S$123,"&lt;&gt;"&amp;$S84)&gt;0,"代碼對應多名稱","一致")))</x:f>
        <x:v>未檢核</x:v>
      </x:c>
      <x:c r="V84" s="262" t="str">
        <x:f>IF($A84="","",IF($R84&lt;&gt;"可發布",$R84,IF($U84="一致","已發布",$U84)))</x:f>
        <x:v>待主管核定</x:v>
      </x:c>
    </x:row>
    <x:row r="85">
      <x:c r="A85" s="262" t="str">
        <x:v>MAP-079</x:v>
      </x:c>
      <x:c r="B85" s="262" t="str">
        <x:v>林晏妤醫師</x:v>
      </x:c>
      <x:c r="C85" s="262"/>
      <x:c r="D85" s="262" t="str">
        <x:v>器械熟悉度</x:v>
      </x:c>
      <x:c r="E85" s="262" t="n">
        <x:v>14</x:v>
      </x:c>
      <x:c r="F85" s="262" t="n">
        <x:v>11</x:v>
      </x:c>
      <x:c r="G85" s="262" t="str">
        <x:v>83</x:v>
      </x:c>
      <x:c r="H85" s="262" t="str">
        <x:v>林晏妤醫師－器械熟悉度</x:v>
      </x:c>
      <x:c r="I85" s="262" t="str">
        <x:v>醫師＋治療專屬</x:v>
      </x:c>
      <x:c r="J85" s="262"/>
      <x:c r="K85" s="262" t="str">
        <x:v>待確認是否合併</x:v>
      </x:c>
      <x:c r="L85" s="263" t="str">
        <x:v>待核定</x:v>
      </x:c>
      <x:c r="M85" s="263"/>
      <x:c r="N85" s="263"/>
      <x:c r="O85" s="264"/>
      <x:c r="P85" s="263"/>
      <x:c r="Q85" s="263"/>
      <x:c r="R85" s="262" t="str">
        <x:f>IF($A85="","",IF($L85="待核定","待主管核定",IF($L85="停用","停用",IF($L85="採用建議",IF($K85="需拆分","需完成拆分",IF(OR($H85="",$I85="",$J85="",$O85="",$P85=""),"待補建議或核定資料","可發布")),IF($L85="路由跟診熟悉度",IF(OR($H85="",$J85="",$O85="",$P85=""),"待補核定資料","可發布"),IF(OR($L85="另訂標準",$L85="不合併"),IF(OR($M85="",$N85="",$O85="",$P85=""),"待補最終名稱、代碼或核定資料","可發布"),"待主管核定"))))))</x:f>
        <x:v>待主管核定</x:v>
      </x:c>
      <x:c r="S85" s="262" t="str">
        <x:f>IF($R85&lt;&gt;"可發布","",IF(OR($L85="採用建議",$L85="路由跟診熟悉度"),$H85,$M85))</x:f>
      </x:c>
      <x:c r="T85" s="262" t="str">
        <x:f>IF($R85&lt;&gt;"可發布","",IF(OR($L85="採用建議",$L85="路由跟診熟悉度"),$J85,$N85))</x:f>
      </x:c>
      <x:c r="U85" s="262" t="str">
        <x:f>IF($R85&lt;&gt;"可發布","未檢核",IF($T85="","缺少代碼",IF(COUNTIFS($T$7:$T$123,$T85,$R$7:$R$123,"可發布",$S$7:$S$123,"&lt;&gt;"&amp;$S85)&gt;0,"代碼對應多名稱","一致")))</x:f>
        <x:v>未檢核</x:v>
      </x:c>
      <x:c r="V85" s="262" t="str">
        <x:f>IF($A85="","",IF($R85&lt;&gt;"可發布",$R85,IF($U85="一致","已發布",$U85)))</x:f>
        <x:v>待主管核定</x:v>
      </x:c>
    </x:row>
    <x:row r="86">
      <x:c r="A86" s="262" t="str">
        <x:v>MAP-080</x:v>
      </x:c>
      <x:c r="B86" s="262" t="str">
        <x:v>林晏妤醫師</x:v>
      </x:c>
      <x:c r="C86" s="262"/>
      <x:c r="D86" s="262" t="str">
        <x:v>跟診順暢度</x:v>
      </x:c>
      <x:c r="E86" s="262" t="n">
        <x:v>14</x:v>
      </x:c>
      <x:c r="F86" s="262" t="n">
        <x:v>11</x:v>
      </x:c>
      <x:c r="G86" s="262" t="str">
        <x:v>84</x:v>
      </x:c>
      <x:c r="H86" s="262" t="str">
        <x:v>林晏妤醫師跟診熟悉度</x:v>
      </x:c>
      <x:c r="I86" s="262" t="str">
        <x:v>跟診熟悉度</x:v>
      </x:c>
      <x:c r="J86" s="262" t="str">
        <x:v>FAM|PENDING-DOC-06</x:v>
      </x:c>
      <x:c r="K86" s="262" t="str">
        <x:v>路由跟診熟悉度</x:v>
      </x:c>
      <x:c r="L86" s="263" t="str">
        <x:v>待核定</x:v>
      </x:c>
      <x:c r="M86" s="263"/>
      <x:c r="N86" s="263"/>
      <x:c r="O86" s="264"/>
      <x:c r="P86" s="263"/>
      <x:c r="Q86" s="263"/>
      <x:c r="R86" s="262" t="str">
        <x:f>IF($A86="","",IF($L86="待核定","待主管核定",IF($L86="停用","停用",IF($L86="採用建議",IF($K86="需拆分","需完成拆分",IF(OR($H86="",$I86="",$J86="",$O86="",$P86=""),"待補建議或核定資料","可發布")),IF($L86="路由跟診熟悉度",IF(OR($H86="",$J86="",$O86="",$P86=""),"待補核定資料","可發布"),IF(OR($L86="另訂標準",$L86="不合併"),IF(OR($M86="",$N86="",$O86="",$P86=""),"待補最終名稱、代碼或核定資料","可發布"),"待主管核定"))))))</x:f>
        <x:v>待主管核定</x:v>
      </x:c>
      <x:c r="S86" s="262" t="str">
        <x:f>IF($R86&lt;&gt;"可發布","",IF(OR($L86="採用建議",$L86="路由跟診熟悉度"),$H86,$M86))</x:f>
      </x:c>
      <x:c r="T86" s="262" t="str">
        <x:f>IF($R86&lt;&gt;"可發布","",IF(OR($L86="採用建議",$L86="路由跟診熟悉度"),$J86,$N86))</x:f>
      </x:c>
      <x:c r="U86" s="262" t="str">
        <x:f>IF($R86&lt;&gt;"可發布","未檢核",IF($T86="","缺少代碼",IF(COUNTIFS($T$7:$T$123,$T86,$R$7:$R$123,"可發布",$S$7:$S$123,"&lt;&gt;"&amp;$S86)&gt;0,"代碼對應多名稱","一致")))</x:f>
        <x:v>未檢核</x:v>
      </x:c>
      <x:c r="V86" s="262" t="str">
        <x:f>IF($A86="","",IF($R86&lt;&gt;"可發布",$R86,IF($U86="一致","已發布",$U86)))</x:f>
        <x:v>待主管核定</x:v>
      </x:c>
    </x:row>
    <x:row r="87">
      <x:c r="A87" s="262" t="str">
        <x:v>MAP-081</x:v>
      </x:c>
      <x:c r="B87" s="262" t="str">
        <x:v>林晏妤醫師</x:v>
      </x:c>
      <x:c r="C87" s="262"/>
      <x:c r="D87" s="262" t="str">
        <x:v>病歷紀錄</x:v>
      </x:c>
      <x:c r="E87" s="262" t="n">
        <x:v>14</x:v>
      </x:c>
      <x:c r="F87" s="262" t="n">
        <x:v>11</x:v>
      </x:c>
      <x:c r="G87" s="262" t="str">
        <x:v>85</x:v>
      </x:c>
      <x:c r="H87" s="262" t="str">
        <x:v>病歷基本操作</x:v>
      </x:c>
      <x:c r="I87" s="262" t="str">
        <x:v>共通技能</x:v>
      </x:c>
      <x:c r="J87" s="262" t="str">
        <x:v>COMMON-RECORD</x:v>
      </x:c>
      <x:c r="K87" s="262" t="str">
        <x:v>已有既有對照</x:v>
      </x:c>
      <x:c r="L87" s="263" t="str">
        <x:v>待核定</x:v>
      </x:c>
      <x:c r="M87" s="263"/>
      <x:c r="N87" s="263"/>
      <x:c r="O87" s="264"/>
      <x:c r="P87" s="263"/>
      <x:c r="Q87" s="263"/>
      <x:c r="R87" s="262" t="str">
        <x:f>IF($A87="","",IF($L87="待核定","待主管核定",IF($L87="停用","停用",IF($L87="採用建議",IF($K87="需拆分","需完成拆分",IF(OR($H87="",$I87="",$J87="",$O87="",$P87=""),"待補建議或核定資料","可發布")),IF($L87="路由跟診熟悉度",IF(OR($H87="",$J87="",$O87="",$P87=""),"待補核定資料","可發布"),IF(OR($L87="另訂標準",$L87="不合併"),IF(OR($M87="",$N87="",$O87="",$P87=""),"待補最終名稱、代碼或核定資料","可發布"),"待主管核定"))))))</x:f>
        <x:v>待主管核定</x:v>
      </x:c>
      <x:c r="S87" s="262" t="str">
        <x:f>IF($R87&lt;&gt;"可發布","",IF(OR($L87="採用建議",$L87="路由跟診熟悉度"),$H87,$M87))</x:f>
      </x:c>
      <x:c r="T87" s="262" t="str">
        <x:f>IF($R87&lt;&gt;"可發布","",IF(OR($L87="採用建議",$L87="路由跟診熟悉度"),$J87,$N87))</x:f>
      </x:c>
      <x:c r="U87" s="262" t="str">
        <x:f>IF($R87&lt;&gt;"可發布","未檢核",IF($T87="","缺少代碼",IF(COUNTIFS($T$7:$T$123,$T87,$R$7:$R$123,"可發布",$S$7:$S$123,"&lt;&gt;"&amp;$S87)&gt;0,"代碼對應多名稱","一致")))</x:f>
        <x:v>未檢核</x:v>
      </x:c>
      <x:c r="V87" s="262" t="str">
        <x:f>IF($A87="","",IF($R87&lt;&gt;"可發布",$R87,IF($U87="一致","已發布",$U87)))</x:f>
        <x:v>待主管核定</x:v>
      </x:c>
    </x:row>
    <x:row r="88">
      <x:c r="A88" s="262" t="str">
        <x:v>MAP-082</x:v>
      </x:c>
      <x:c r="B88" s="262" t="str">
        <x:v>林晏妤醫師</x:v>
      </x:c>
      <x:c r="C88" s="262"/>
      <x:c r="D88" s="262" t="str">
        <x:v>X光片紀錄</x:v>
      </x:c>
      <x:c r="E88" s="262" t="n">
        <x:v>14</x:v>
      </x:c>
      <x:c r="F88" s="262" t="n">
        <x:v>11</x:v>
      </x:c>
      <x:c r="G88" s="262" t="str">
        <x:v>86</x:v>
      </x:c>
      <x:c r="H88" s="262" t="str">
        <x:v>X 光片紀錄</x:v>
      </x:c>
      <x:c r="I88" s="262" t="str">
        <x:v>共通技能</x:v>
      </x:c>
      <x:c r="J88" s="262" t="str">
        <x:v>COMMON-XRAY-RECORD</x:v>
      </x:c>
      <x:c r="K88" s="262" t="str">
        <x:v>已有既有對照</x:v>
      </x:c>
      <x:c r="L88" s="263" t="str">
        <x:v>待核定</x:v>
      </x:c>
      <x:c r="M88" s="263"/>
      <x:c r="N88" s="263"/>
      <x:c r="O88" s="264"/>
      <x:c r="P88" s="263"/>
      <x:c r="Q88" s="263"/>
      <x:c r="R88" s="262" t="str">
        <x:f>IF($A88="","",IF($L88="待核定","待主管核定",IF($L88="停用","停用",IF($L88="採用建議",IF($K88="需拆分","需完成拆分",IF(OR($H88="",$I88="",$J88="",$O88="",$P88=""),"待補建議或核定資料","可發布")),IF($L88="路由跟診熟悉度",IF(OR($H88="",$J88="",$O88="",$P88=""),"待補核定資料","可發布"),IF(OR($L88="另訂標準",$L88="不合併"),IF(OR($M88="",$N88="",$O88="",$P88=""),"待補最終名稱、代碼或核定資料","可發布"),"待主管核定"))))))</x:f>
        <x:v>待主管核定</x:v>
      </x:c>
      <x:c r="S88" s="262" t="str">
        <x:f>IF($R88&lt;&gt;"可發布","",IF(OR($L88="採用建議",$L88="路由跟診熟悉度"),$H88,$M88))</x:f>
      </x:c>
      <x:c r="T88" s="262" t="str">
        <x:f>IF($R88&lt;&gt;"可發布","",IF(OR($L88="採用建議",$L88="路由跟診熟悉度"),$J88,$N88))</x:f>
      </x:c>
      <x:c r="U88" s="262" t="str">
        <x:f>IF($R88&lt;&gt;"可發布","未檢核",IF($T88="","缺少代碼",IF(COUNTIFS($T$7:$T$123,$T88,$R$7:$R$123,"可發布",$S$7:$S$123,"&lt;&gt;"&amp;$S88)&gt;0,"代碼對應多名稱","一致")))</x:f>
        <x:v>未檢核</x:v>
      </x:c>
      <x:c r="V88" s="262" t="str">
        <x:f>IF($A88="","",IF($R88&lt;&gt;"可發布",$R88,IF($U88="一致","已發布",$U88)))</x:f>
        <x:v>待主管核定</x:v>
      </x:c>
    </x:row>
    <x:row r="89">
      <x:c r="A89" s="262" t="str">
        <x:v>MAP-083</x:v>
      </x:c>
      <x:c r="B89" s="262" t="str">
        <x:v>林晏妤醫師</x:v>
      </x:c>
      <x:c r="C89" s="262"/>
      <x:c r="D89" s="262" t="str">
        <x:v>手持X光機</x:v>
      </x:c>
      <x:c r="E89" s="262" t="n">
        <x:v>14</x:v>
      </x:c>
      <x:c r="F89" s="262" t="n">
        <x:v>11</x:v>
      </x:c>
      <x:c r="G89" s="262" t="str">
        <x:v>87</x:v>
      </x:c>
      <x:c r="H89" s="262" t="str">
        <x:v>手持 X 光機操作</x:v>
      </x:c>
      <x:c r="I89" s="262" t="str">
        <x:v>共通技術</x:v>
      </x:c>
      <x:c r="J89" s="262" t="str">
        <x:v>COMMON-HANDHELD-XRAY</x:v>
      </x:c>
      <x:c r="K89" s="262" t="str">
        <x:v>建立新標準</x:v>
      </x:c>
      <x:c r="L89" s="263" t="str">
        <x:v>待核定</x:v>
      </x:c>
      <x:c r="M89" s="263"/>
      <x:c r="N89" s="263"/>
      <x:c r="O89" s="264"/>
      <x:c r="P89" s="263"/>
      <x:c r="Q89" s="263"/>
      <x:c r="R89" s="262" t="str">
        <x:f>IF($A89="","",IF($L89="待核定","待主管核定",IF($L89="停用","停用",IF($L89="採用建議",IF($K89="需拆分","需完成拆分",IF(OR($H89="",$I89="",$J89="",$O89="",$P89=""),"待補建議或核定資料","可發布")),IF($L89="路由跟診熟悉度",IF(OR($H89="",$J89="",$O89="",$P89=""),"待補核定資料","可發布"),IF(OR($L89="另訂標準",$L89="不合併"),IF(OR($M89="",$N89="",$O89="",$P89=""),"待補最終名稱、代碼或核定資料","可發布"),"待主管核定"))))))</x:f>
        <x:v>待主管核定</x:v>
      </x:c>
      <x:c r="S89" s="262" t="str">
        <x:f>IF($R89&lt;&gt;"可發布","",IF(OR($L89="採用建議",$L89="路由跟診熟悉度"),$H89,$M89))</x:f>
      </x:c>
      <x:c r="T89" s="262" t="str">
        <x:f>IF($R89&lt;&gt;"可發布","",IF(OR($L89="採用建議",$L89="路由跟診熟悉度"),$J89,$N89))</x:f>
      </x:c>
      <x:c r="U89" s="262" t="str">
        <x:f>IF($R89&lt;&gt;"可發布","未檢核",IF($T89="","缺少代碼",IF(COUNTIFS($T$7:$T$123,$T89,$R$7:$R$123,"可發布",$S$7:$S$123,"&lt;&gt;"&amp;$S89)&gt;0,"代碼對應多名稱","一致")))</x:f>
        <x:v>未檢核</x:v>
      </x:c>
      <x:c r="V89" s="262" t="str">
        <x:f>IF($A89="","",IF($R89&lt;&gt;"可發布",$R89,IF($U89="一致","已發布",$U89)))</x:f>
        <x:v>待主管核定</x:v>
      </x:c>
    </x:row>
    <x:row r="90">
      <x:c r="A90" s="262" t="str">
        <x:v>MAP-084</x:v>
      </x:c>
      <x:c r="B90" s="262" t="str">
        <x:v>林晏妤醫師</x:v>
      </x:c>
      <x:c r="C90" s="262"/>
      <x:c r="D90" s="262" t="str">
        <x:v>健保申報</x:v>
      </x:c>
      <x:c r="E90" s="262" t="n">
        <x:v>14</x:v>
      </x:c>
      <x:c r="F90" s="262" t="n">
        <x:v>11</x:v>
      </x:c>
      <x:c r="G90" s="262" t="str">
        <x:v>88</x:v>
      </x:c>
      <x:c r="H90" s="262" t="str">
        <x:v>健保申報</x:v>
      </x:c>
      <x:c r="I90" s="262" t="str">
        <x:v>共通技能</x:v>
      </x:c>
      <x:c r="J90" s="262" t="str">
        <x:v>COMMON-INSURANCE</x:v>
      </x:c>
      <x:c r="K90" s="262" t="str">
        <x:v>已有既有對照</x:v>
      </x:c>
      <x:c r="L90" s="263" t="str">
        <x:v>待核定</x:v>
      </x:c>
      <x:c r="M90" s="263"/>
      <x:c r="N90" s="263"/>
      <x:c r="O90" s="264"/>
      <x:c r="P90" s="263"/>
      <x:c r="Q90" s="263"/>
      <x:c r="R90" s="262" t="str">
        <x:f>IF($A90="","",IF($L90="待核定","待主管核定",IF($L90="停用","停用",IF($L90="採用建議",IF($K90="需拆分","需完成拆分",IF(OR($H90="",$I90="",$J90="",$O90="",$P90=""),"待補建議或核定資料","可發布")),IF($L90="路由跟診熟悉度",IF(OR($H90="",$J90="",$O90="",$P90=""),"待補核定資料","可發布"),IF(OR($L90="另訂標準",$L90="不合併"),IF(OR($M90="",$N90="",$O90="",$P90=""),"待補最終名稱、代碼或核定資料","可發布"),"待主管核定"))))))</x:f>
        <x:v>待主管核定</x:v>
      </x:c>
      <x:c r="S90" s="262" t="str">
        <x:f>IF($R90&lt;&gt;"可發布","",IF(OR($L90="採用建議",$L90="路由跟診熟悉度"),$H90,$M90))</x:f>
      </x:c>
      <x:c r="T90" s="262" t="str">
        <x:f>IF($R90&lt;&gt;"可發布","",IF(OR($L90="採用建議",$L90="路由跟診熟悉度"),$J90,$N90))</x:f>
      </x:c>
      <x:c r="U90" s="262" t="str">
        <x:f>IF($R90&lt;&gt;"可發布","未檢核",IF($T90="","缺少代碼",IF(COUNTIFS($T$7:$T$123,$T90,$R$7:$R$123,"可發布",$S$7:$S$123,"&lt;&gt;"&amp;$S90)&gt;0,"代碼對應多名稱","一致")))</x:f>
        <x:v>未檢核</x:v>
      </x:c>
      <x:c r="V90" s="262" t="str">
        <x:f>IF($A90="","",IF($R90&lt;&gt;"可發布",$R90,IF($U90="一致","已發布",$U90)))</x:f>
        <x:v>待主管核定</x:v>
      </x:c>
    </x:row>
    <x:row r="91">
      <x:c r="A91" s="262" t="str">
        <x:v>MAP-085</x:v>
      </x:c>
      <x:c r="B91" s="262" t="str">
        <x:v>林晏妤醫師</x:v>
      </x:c>
      <x:c r="C91" s="262"/>
      <x:c r="D91" s="262" t="str">
        <x:v>舒眠手術</x:v>
      </x:c>
      <x:c r="E91" s="262" t="n">
        <x:v>14</x:v>
      </x:c>
      <x:c r="F91" s="262" t="n">
        <x:v>8</x:v>
      </x:c>
      <x:c r="G91" s="262" t="str">
        <x:v>89</x:v>
      </x:c>
      <x:c r="H91" s="262" t="str">
        <x:v>舒眠手術相關準備</x:v>
      </x:c>
      <x:c r="I91" s="262" t="str">
        <x:v>高風險共通技術</x:v>
      </x:c>
      <x:c r="J91" s="262" t="str">
        <x:v>COMMON-SEDATION-PREP</x:v>
      </x:c>
      <x:c r="K91" s="262" t="str">
        <x:v>建立新標準</x:v>
      </x:c>
      <x:c r="L91" s="263" t="str">
        <x:v>待核定</x:v>
      </x:c>
      <x:c r="M91" s="263"/>
      <x:c r="N91" s="263"/>
      <x:c r="O91" s="264"/>
      <x:c r="P91" s="263"/>
      <x:c r="Q91" s="263"/>
      <x:c r="R91" s="262" t="str">
        <x:f>IF($A91="","",IF($L91="待核定","待主管核定",IF($L91="停用","停用",IF($L91="採用建議",IF($K91="需拆分","需完成拆分",IF(OR($H91="",$I91="",$J91="",$O91="",$P91=""),"待補建議或核定資料","可發布")),IF($L91="路由跟診熟悉度",IF(OR($H91="",$J91="",$O91="",$P91=""),"待補核定資料","可發布"),IF(OR($L91="另訂標準",$L91="不合併"),IF(OR($M91="",$N91="",$O91="",$P91=""),"待補最終名稱、代碼或核定資料","可發布"),"待主管核定"))))))</x:f>
        <x:v>待主管核定</x:v>
      </x:c>
      <x:c r="S91" s="262" t="str">
        <x:f>IF($R91&lt;&gt;"可發布","",IF(OR($L91="採用建議",$L91="路由跟診熟悉度"),$H91,$M91))</x:f>
      </x:c>
      <x:c r="T91" s="262" t="str">
        <x:f>IF($R91&lt;&gt;"可發布","",IF(OR($L91="採用建議",$L91="路由跟診熟悉度"),$J91,$N91))</x:f>
      </x:c>
      <x:c r="U91" s="262" t="str">
        <x:f>IF($R91&lt;&gt;"可發布","未檢核",IF($T91="","缺少代碼",IF(COUNTIFS($T$7:$T$123,$T91,$R$7:$R$123,"可發布",$S$7:$S$123,"&lt;&gt;"&amp;$S91)&gt;0,"代碼對應多名稱","一致")))</x:f>
        <x:v>未檢核</x:v>
      </x:c>
      <x:c r="V91" s="262" t="str">
        <x:f>IF($A91="","",IF($R91&lt;&gt;"可發布",$R91,IF($U91="一致","已發布",$U91)))</x:f>
        <x:v>待主管核定</x:v>
      </x:c>
    </x:row>
    <x:row r="92">
      <x:c r="A92" s="262" t="str">
        <x:v>MAP-086</x:v>
      </x:c>
      <x:c r="B92" s="262" t="str">
        <x:v>謝耀慶醫師</x:v>
      </x:c>
      <x:c r="C92" s="262" t="str">
        <x:v>器械準備</x:v>
      </x:c>
      <x:c r="D92" s="262" t="str">
        <x:v>洗牙</x:v>
      </x:c>
      <x:c r="E92" s="262" t="n">
        <x:v>14</x:v>
      </x:c>
      <x:c r="F92" s="262" t="n">
        <x:v>11</x:v>
      </x:c>
      <x:c r="G92" s="262" t="str">
        <x:v>90</x:v>
      </x:c>
      <x:c r="H92" s="262" t="str">
        <x:v>謝耀慶醫師－洗牙</x:v>
      </x:c>
      <x:c r="I92" s="262" t="str">
        <x:v>醫師＋治療專屬</x:v>
      </x:c>
      <x:c r="J92" s="262"/>
      <x:c r="K92" s="262" t="str">
        <x:v>待確認是否合併</x:v>
      </x:c>
      <x:c r="L92" s="263" t="str">
        <x:v>待核定</x:v>
      </x:c>
      <x:c r="M92" s="263"/>
      <x:c r="N92" s="263"/>
      <x:c r="O92" s="264"/>
      <x:c r="P92" s="263"/>
      <x:c r="Q92" s="263"/>
      <x:c r="R92" s="262" t="str">
        <x:f>IF($A92="","",IF($L92="待核定","待主管核定",IF($L92="停用","停用",IF($L92="採用建議",IF($K92="需拆分","需完成拆分",IF(OR($H92="",$I92="",$J92="",$O92="",$P92=""),"待補建議或核定資料","可發布")),IF($L92="路由跟診熟悉度",IF(OR($H92="",$J92="",$O92="",$P92=""),"待補核定資料","可發布"),IF(OR($L92="另訂標準",$L92="不合併"),IF(OR($M92="",$N92="",$O92="",$P92=""),"待補最終名稱、代碼或核定資料","可發布"),"待主管核定"))))))</x:f>
        <x:v>待主管核定</x:v>
      </x:c>
      <x:c r="S92" s="262" t="str">
        <x:f>IF($R92&lt;&gt;"可發布","",IF(OR($L92="採用建議",$L92="路由跟診熟悉度"),$H92,$M92))</x:f>
      </x:c>
      <x:c r="T92" s="262" t="str">
        <x:f>IF($R92&lt;&gt;"可發布","",IF(OR($L92="採用建議",$L92="路由跟診熟悉度"),$J92,$N92))</x:f>
      </x:c>
      <x:c r="U92" s="262" t="str">
        <x:f>IF($R92&lt;&gt;"可發布","未檢核",IF($T92="","缺少代碼",IF(COUNTIFS($T$7:$T$123,$T92,$R$7:$R$123,"可發布",$S$7:$S$123,"&lt;&gt;"&amp;$S92)&gt;0,"代碼對應多名稱","一致")))</x:f>
        <x:v>未檢核</x:v>
      </x:c>
      <x:c r="V92" s="262" t="str">
        <x:f>IF($A92="","",IF($R92&lt;&gt;"可發布",$R92,IF($U92="一致","已發布",$U92)))</x:f>
        <x:v>待主管核定</x:v>
      </x:c>
    </x:row>
    <x:row r="93">
      <x:c r="A93" s="262" t="str">
        <x:v>MAP-087</x:v>
      </x:c>
      <x:c r="B93" s="262" t="str">
        <x:v>謝耀慶醫師</x:v>
      </x:c>
      <x:c r="C93" s="262" t="str">
        <x:v>器械準備</x:v>
      </x:c>
      <x:c r="D93" s="262" t="str">
        <x:v>補牙</x:v>
      </x:c>
      <x:c r="E93" s="262" t="n">
        <x:v>14</x:v>
      </x:c>
      <x:c r="F93" s="262" t="n">
        <x:v>11</x:v>
      </x:c>
      <x:c r="G93" s="262" t="str">
        <x:v>91</x:v>
      </x:c>
      <x:c r="H93" s="262" t="str">
        <x:v>謝耀慶醫師－補牙</x:v>
      </x:c>
      <x:c r="I93" s="262" t="str">
        <x:v>醫師＋治療專屬</x:v>
      </x:c>
      <x:c r="J93" s="262"/>
      <x:c r="K93" s="262" t="str">
        <x:v>待確認是否合併</x:v>
      </x:c>
      <x:c r="L93" s="263" t="str">
        <x:v>待核定</x:v>
      </x:c>
      <x:c r="M93" s="263"/>
      <x:c r="N93" s="263"/>
      <x:c r="O93" s="264"/>
      <x:c r="P93" s="263"/>
      <x:c r="Q93" s="263"/>
      <x:c r="R93" s="262" t="str">
        <x:f>IF($A93="","",IF($L93="待核定","待主管核定",IF($L93="停用","停用",IF($L93="採用建議",IF($K93="需拆分","需完成拆分",IF(OR($H93="",$I93="",$J93="",$O93="",$P93=""),"待補建議或核定資料","可發布")),IF($L93="路由跟診熟悉度",IF(OR($H93="",$J93="",$O93="",$P93=""),"待補核定資料","可發布"),IF(OR($L93="另訂標準",$L93="不合併"),IF(OR($M93="",$N93="",$O93="",$P93=""),"待補最終名稱、代碼或核定資料","可發布"),"待主管核定"))))))</x:f>
        <x:v>待主管核定</x:v>
      </x:c>
      <x:c r="S93" s="262" t="str">
        <x:f>IF($R93&lt;&gt;"可發布","",IF(OR($L93="採用建議",$L93="路由跟診熟悉度"),$H93,$M93))</x:f>
      </x:c>
      <x:c r="T93" s="262" t="str">
        <x:f>IF($R93&lt;&gt;"可發布","",IF(OR($L93="採用建議",$L93="路由跟診熟悉度"),$J93,$N93))</x:f>
      </x:c>
      <x:c r="U93" s="262" t="str">
        <x:f>IF($R93&lt;&gt;"可發布","未檢核",IF($T93="","缺少代碼",IF(COUNTIFS($T$7:$T$123,$T93,$R$7:$R$123,"可發布",$S$7:$S$123,"&lt;&gt;"&amp;$S93)&gt;0,"代碼對應多名稱","一致")))</x:f>
        <x:v>未檢核</x:v>
      </x:c>
      <x:c r="V93" s="262" t="str">
        <x:f>IF($A93="","",IF($R93&lt;&gt;"可發布",$R93,IF($U93="一致","已發布",$U93)))</x:f>
        <x:v>待主管核定</x:v>
      </x:c>
    </x:row>
    <x:row r="94">
      <x:c r="A94" s="262" t="str">
        <x:v>MAP-088</x:v>
      </x:c>
      <x:c r="B94" s="262" t="str">
        <x:v>謝耀慶醫師</x:v>
      </x:c>
      <x:c r="C94" s="262" t="str">
        <x:v>器械準備</x:v>
      </x:c>
      <x:c r="D94" s="262" t="str">
        <x:v>牙周統合治療</x:v>
      </x:c>
      <x:c r="E94" s="262" t="n">
        <x:v>14</x:v>
      </x:c>
      <x:c r="F94" s="262" t="n">
        <x:v>0</x:v>
      </x:c>
      <x:c r="G94" s="262" t="str">
        <x:v>92</x:v>
      </x:c>
      <x:c r="H94" s="262" t="str">
        <x:v>謝耀慶醫師－牙周統合治療</x:v>
      </x:c>
      <x:c r="I94" s="262" t="str">
        <x:v>醫師＋治療專屬</x:v>
      </x:c>
      <x:c r="J94" s="262"/>
      <x:c r="K94" s="262" t="str">
        <x:v>待確認是否合併</x:v>
      </x:c>
      <x:c r="L94" s="263" t="str">
        <x:v>待核定</x:v>
      </x:c>
      <x:c r="M94" s="263"/>
      <x:c r="N94" s="263"/>
      <x:c r="O94" s="264"/>
      <x:c r="P94" s="263"/>
      <x:c r="Q94" s="263"/>
      <x:c r="R94" s="262" t="str">
        <x:f>IF($A94="","",IF($L94="待核定","待主管核定",IF($L94="停用","停用",IF($L94="採用建議",IF($K94="需拆分","需完成拆分",IF(OR($H94="",$I94="",$J94="",$O94="",$P94=""),"待補建議或核定資料","可發布")),IF($L94="路由跟診熟悉度",IF(OR($H94="",$J94="",$O94="",$P94=""),"待補核定資料","可發布"),IF(OR($L94="另訂標準",$L94="不合併"),IF(OR($M94="",$N94="",$O94="",$P94=""),"待補最終名稱、代碼或核定資料","可發布"),"待主管核定"))))))</x:f>
        <x:v>待主管核定</x:v>
      </x:c>
      <x:c r="S94" s="262" t="str">
        <x:f>IF($R94&lt;&gt;"可發布","",IF(OR($L94="採用建議",$L94="路由跟診熟悉度"),$H94,$M94))</x:f>
      </x:c>
      <x:c r="T94" s="262" t="str">
        <x:f>IF($R94&lt;&gt;"可發布","",IF(OR($L94="採用建議",$L94="路由跟診熟悉度"),$J94,$N94))</x:f>
      </x:c>
      <x:c r="U94" s="262" t="str">
        <x:f>IF($R94&lt;&gt;"可發布","未檢核",IF($T94="","缺少代碼",IF(COUNTIFS($T$7:$T$123,$T94,$R$7:$R$123,"可發布",$S$7:$S$123,"&lt;&gt;"&amp;$S94)&gt;0,"代碼對應多名稱","一致")))</x:f>
        <x:v>未檢核</x:v>
      </x:c>
      <x:c r="V94" s="262" t="str">
        <x:f>IF($A94="","",IF($R94&lt;&gt;"可發布",$R94,IF($U94="一致","已發布",$U94)))</x:f>
        <x:v>待主管核定</x:v>
      </x:c>
    </x:row>
    <x:row r="95">
      <x:c r="A95" s="262" t="str">
        <x:v>MAP-089</x:v>
      </x:c>
      <x:c r="B95" s="262" t="str">
        <x:v>謝耀慶醫師</x:v>
      </x:c>
      <x:c r="C95" s="262" t="str">
        <x:v>器械準備</x:v>
      </x:c>
      <x:c r="D95" s="262" t="str">
        <x:v>簡單拔牙</x:v>
      </x:c>
      <x:c r="E95" s="262" t="n">
        <x:v>14</x:v>
      </x:c>
      <x:c r="F95" s="262" t="n">
        <x:v>0</x:v>
      </x:c>
      <x:c r="G95" s="262" t="str">
        <x:v>93</x:v>
      </x:c>
      <x:c r="H95" s="262" t="str">
        <x:v>謝耀慶醫師－簡單拔牙</x:v>
      </x:c>
      <x:c r="I95" s="262" t="str">
        <x:v>醫師＋治療專屬</x:v>
      </x:c>
      <x:c r="J95" s="262"/>
      <x:c r="K95" s="262" t="str">
        <x:v>待確認是否合併</x:v>
      </x:c>
      <x:c r="L95" s="263" t="str">
        <x:v>待核定</x:v>
      </x:c>
      <x:c r="M95" s="263"/>
      <x:c r="N95" s="263"/>
      <x:c r="O95" s="264"/>
      <x:c r="P95" s="263"/>
      <x:c r="Q95" s="263"/>
      <x:c r="R95" s="262" t="str">
        <x:f>IF($A95="","",IF($L95="待核定","待主管核定",IF($L95="停用","停用",IF($L95="採用建議",IF($K95="需拆分","需完成拆分",IF(OR($H95="",$I95="",$J95="",$O95="",$P95=""),"待補建議或核定資料","可發布")),IF($L95="路由跟診熟悉度",IF(OR($H95="",$J95="",$O95="",$P95=""),"待補核定資料","可發布"),IF(OR($L95="另訂標準",$L95="不合併"),IF(OR($M95="",$N95="",$O95="",$P95=""),"待補最終名稱、代碼或核定資料","可發布"),"待主管核定"))))))</x:f>
        <x:v>待主管核定</x:v>
      </x:c>
      <x:c r="S95" s="262" t="str">
        <x:f>IF($R95&lt;&gt;"可發布","",IF(OR($L95="採用建議",$L95="路由跟診熟悉度"),$H95,$M95))</x:f>
      </x:c>
      <x:c r="T95" s="262" t="str">
        <x:f>IF($R95&lt;&gt;"可發布","",IF(OR($L95="採用建議",$L95="路由跟診熟悉度"),$J95,$N95))</x:f>
      </x:c>
      <x:c r="U95" s="262" t="str">
        <x:f>IF($R95&lt;&gt;"可發布","未檢核",IF($T95="","缺少代碼",IF(COUNTIFS($T$7:$T$123,$T95,$R$7:$R$123,"可發布",$S$7:$S$123,"&lt;&gt;"&amp;$S95)&gt;0,"代碼對應多名稱","一致")))</x:f>
        <x:v>未檢核</x:v>
      </x:c>
      <x:c r="V95" s="262" t="str">
        <x:f>IF($A95="","",IF($R95&lt;&gt;"可發布",$R95,IF($U95="一致","已發布",$U95)))</x:f>
        <x:v>待主管核定</x:v>
      </x:c>
    </x:row>
    <x:row r="96">
      <x:c r="A96" s="262" t="str">
        <x:v>MAP-090</x:v>
      </x:c>
      <x:c r="B96" s="262" t="str">
        <x:v>謝耀慶醫師</x:v>
      </x:c>
      <x:c r="C96" s="262"/>
      <x:c r="D96" s="262" t="str">
        <x:v>器械熟悉度</x:v>
      </x:c>
      <x:c r="E96" s="262" t="n">
        <x:v>14</x:v>
      </x:c>
      <x:c r="F96" s="262" t="n">
        <x:v>11</x:v>
      </x:c>
      <x:c r="G96" s="262" t="str">
        <x:v>94</x:v>
      </x:c>
      <x:c r="H96" s="262" t="str">
        <x:v>謝耀慶醫師－器械熟悉度</x:v>
      </x:c>
      <x:c r="I96" s="262" t="str">
        <x:v>醫師＋治療專屬</x:v>
      </x:c>
      <x:c r="J96" s="262"/>
      <x:c r="K96" s="262" t="str">
        <x:v>待確認是否合併</x:v>
      </x:c>
      <x:c r="L96" s="263" t="str">
        <x:v>待核定</x:v>
      </x:c>
      <x:c r="M96" s="263"/>
      <x:c r="N96" s="263"/>
      <x:c r="O96" s="264"/>
      <x:c r="P96" s="263"/>
      <x:c r="Q96" s="263"/>
      <x:c r="R96" s="262" t="str">
        <x:f>IF($A96="","",IF($L96="待核定","待主管核定",IF($L96="停用","停用",IF($L96="採用建議",IF($K96="需拆分","需完成拆分",IF(OR($H96="",$I96="",$J96="",$O96="",$P96=""),"待補建議或核定資料","可發布")),IF($L96="路由跟診熟悉度",IF(OR($H96="",$J96="",$O96="",$P96=""),"待補核定資料","可發布"),IF(OR($L96="另訂標準",$L96="不合併"),IF(OR($M96="",$N96="",$O96="",$P96=""),"待補最終名稱、代碼或核定資料","可發布"),"待主管核定"))))))</x:f>
        <x:v>待主管核定</x:v>
      </x:c>
      <x:c r="S96" s="262" t="str">
        <x:f>IF($R96&lt;&gt;"可發布","",IF(OR($L96="採用建議",$L96="路由跟診熟悉度"),$H96,$M96))</x:f>
      </x:c>
      <x:c r="T96" s="262" t="str">
        <x:f>IF($R96&lt;&gt;"可發布","",IF(OR($L96="採用建議",$L96="路由跟診熟悉度"),$J96,$N96))</x:f>
      </x:c>
      <x:c r="U96" s="262" t="str">
        <x:f>IF($R96&lt;&gt;"可發布","未檢核",IF($T96="","缺少代碼",IF(COUNTIFS($T$7:$T$123,$T96,$R$7:$R$123,"可發布",$S$7:$S$123,"&lt;&gt;"&amp;$S96)&gt;0,"代碼對應多名稱","一致")))</x:f>
        <x:v>未檢核</x:v>
      </x:c>
      <x:c r="V96" s="262" t="str">
        <x:f>IF($A96="","",IF($R96&lt;&gt;"可發布",$R96,IF($U96="一致","已發布",$U96)))</x:f>
        <x:v>待主管核定</x:v>
      </x:c>
    </x:row>
    <x:row r="97">
      <x:c r="A97" s="262" t="str">
        <x:v>MAP-091</x:v>
      </x:c>
      <x:c r="B97" s="262" t="str">
        <x:v>謝耀慶醫師</x:v>
      </x:c>
      <x:c r="C97" s="262"/>
      <x:c r="D97" s="262" t="str">
        <x:v>跟診順暢度</x:v>
      </x:c>
      <x:c r="E97" s="262" t="n">
        <x:v>14</x:v>
      </x:c>
      <x:c r="F97" s="262" t="n">
        <x:v>11</x:v>
      </x:c>
      <x:c r="G97" s="262" t="str">
        <x:v>95</x:v>
      </x:c>
      <x:c r="H97" s="262" t="str">
        <x:v>謝耀慶醫師跟診熟悉度</x:v>
      </x:c>
      <x:c r="I97" s="262" t="str">
        <x:v>跟診熟悉度</x:v>
      </x:c>
      <x:c r="J97" s="262" t="str">
        <x:v>FAM|PENDING-DOC-07</x:v>
      </x:c>
      <x:c r="K97" s="262" t="str">
        <x:v>路由跟診熟悉度</x:v>
      </x:c>
      <x:c r="L97" s="263" t="str">
        <x:v>待核定</x:v>
      </x:c>
      <x:c r="M97" s="263"/>
      <x:c r="N97" s="263"/>
      <x:c r="O97" s="264"/>
      <x:c r="P97" s="263"/>
      <x:c r="Q97" s="263"/>
      <x:c r="R97" s="262" t="str">
        <x:f>IF($A97="","",IF($L97="待核定","待主管核定",IF($L97="停用","停用",IF($L97="採用建議",IF($K97="需拆分","需完成拆分",IF(OR($H97="",$I97="",$J97="",$O97="",$P97=""),"待補建議或核定資料","可發布")),IF($L97="路由跟診熟悉度",IF(OR($H97="",$J97="",$O97="",$P97=""),"待補核定資料","可發布"),IF(OR($L97="另訂標準",$L97="不合併"),IF(OR($M97="",$N97="",$O97="",$P97=""),"待補最終名稱、代碼或核定資料","可發布"),"待主管核定"))))))</x:f>
        <x:v>待主管核定</x:v>
      </x:c>
      <x:c r="S97" s="262" t="str">
        <x:f>IF($R97&lt;&gt;"可發布","",IF(OR($L97="採用建議",$L97="路由跟診熟悉度"),$H97,$M97))</x:f>
      </x:c>
      <x:c r="T97" s="262" t="str">
        <x:f>IF($R97&lt;&gt;"可發布","",IF(OR($L97="採用建議",$L97="路由跟診熟悉度"),$J97,$N97))</x:f>
      </x:c>
      <x:c r="U97" s="262" t="str">
        <x:f>IF($R97&lt;&gt;"可發布","未檢核",IF($T97="","缺少代碼",IF(COUNTIFS($T$7:$T$123,$T97,$R$7:$R$123,"可發布",$S$7:$S$123,"&lt;&gt;"&amp;$S97)&gt;0,"代碼對應多名稱","一致")))</x:f>
        <x:v>未檢核</x:v>
      </x:c>
      <x:c r="V97" s="262" t="str">
        <x:f>IF($A97="","",IF($R97&lt;&gt;"可發布",$R97,IF($U97="一致","已發布",$U97)))</x:f>
        <x:v>待主管核定</x:v>
      </x:c>
    </x:row>
    <x:row r="98">
      <x:c r="A98" s="262" t="str">
        <x:v>MAP-092</x:v>
      </x:c>
      <x:c r="B98" s="262" t="str">
        <x:v>謝耀慶醫師</x:v>
      </x:c>
      <x:c r="C98" s="262"/>
      <x:c r="D98" s="262" t="str">
        <x:v>病歷紀錄</x:v>
      </x:c>
      <x:c r="E98" s="262" t="n">
        <x:v>14</x:v>
      </x:c>
      <x:c r="F98" s="262" t="n">
        <x:v>11</x:v>
      </x:c>
      <x:c r="G98" s="262" t="str">
        <x:v>96</x:v>
      </x:c>
      <x:c r="H98" s="262" t="str">
        <x:v>病歷基本操作</x:v>
      </x:c>
      <x:c r="I98" s="262" t="str">
        <x:v>共通技能</x:v>
      </x:c>
      <x:c r="J98" s="262" t="str">
        <x:v>COMMON-RECORD</x:v>
      </x:c>
      <x:c r="K98" s="262" t="str">
        <x:v>已有既有對照</x:v>
      </x:c>
      <x:c r="L98" s="263" t="str">
        <x:v>待核定</x:v>
      </x:c>
      <x:c r="M98" s="263"/>
      <x:c r="N98" s="263"/>
      <x:c r="O98" s="264"/>
      <x:c r="P98" s="263"/>
      <x:c r="Q98" s="263"/>
      <x:c r="R98" s="262" t="str">
        <x:f>IF($A98="","",IF($L98="待核定","待主管核定",IF($L98="停用","停用",IF($L98="採用建議",IF($K98="需拆分","需完成拆分",IF(OR($H98="",$I98="",$J98="",$O98="",$P98=""),"待補建議或核定資料","可發布")),IF($L98="路由跟診熟悉度",IF(OR($H98="",$J98="",$O98="",$P98=""),"待補核定資料","可發布"),IF(OR($L98="另訂標準",$L98="不合併"),IF(OR($M98="",$N98="",$O98="",$P98=""),"待補最終名稱、代碼或核定資料","可發布"),"待主管核定"))))))</x:f>
        <x:v>待主管核定</x:v>
      </x:c>
      <x:c r="S98" s="262" t="str">
        <x:f>IF($R98&lt;&gt;"可發布","",IF(OR($L98="採用建議",$L98="路由跟診熟悉度"),$H98,$M98))</x:f>
      </x:c>
      <x:c r="T98" s="262" t="str">
        <x:f>IF($R98&lt;&gt;"可發布","",IF(OR($L98="採用建議",$L98="路由跟診熟悉度"),$J98,$N98))</x:f>
      </x:c>
      <x:c r="U98" s="262" t="str">
        <x:f>IF($R98&lt;&gt;"可發布","未檢核",IF($T98="","缺少代碼",IF(COUNTIFS($T$7:$T$123,$T98,$R$7:$R$123,"可發布",$S$7:$S$123,"&lt;&gt;"&amp;$S98)&gt;0,"代碼對應多名稱","一致")))</x:f>
        <x:v>未檢核</x:v>
      </x:c>
      <x:c r="V98" s="262" t="str">
        <x:f>IF($A98="","",IF($R98&lt;&gt;"可發布",$R98,IF($U98="一致","已發布",$U98)))</x:f>
        <x:v>待主管核定</x:v>
      </x:c>
    </x:row>
    <x:row r="99">
      <x:c r="A99" s="262" t="str">
        <x:v>MAP-093</x:v>
      </x:c>
      <x:c r="B99" s="262" t="str">
        <x:v>謝耀慶醫師</x:v>
      </x:c>
      <x:c r="C99" s="262"/>
      <x:c r="D99" s="262" t="str">
        <x:v>X光片紀錄</x:v>
      </x:c>
      <x:c r="E99" s="262" t="n">
        <x:v>14</x:v>
      </x:c>
      <x:c r="F99" s="262" t="n">
        <x:v>11</x:v>
      </x:c>
      <x:c r="G99" s="262" t="str">
        <x:v>97</x:v>
      </x:c>
      <x:c r="H99" s="262" t="str">
        <x:v>X 光片紀錄</x:v>
      </x:c>
      <x:c r="I99" s="262" t="str">
        <x:v>共通技能</x:v>
      </x:c>
      <x:c r="J99" s="262" t="str">
        <x:v>COMMON-XRAY-RECORD</x:v>
      </x:c>
      <x:c r="K99" s="262" t="str">
        <x:v>已有既有對照</x:v>
      </x:c>
      <x:c r="L99" s="263" t="str">
        <x:v>待核定</x:v>
      </x:c>
      <x:c r="M99" s="263"/>
      <x:c r="N99" s="263"/>
      <x:c r="O99" s="264"/>
      <x:c r="P99" s="263"/>
      <x:c r="Q99" s="263"/>
      <x:c r="R99" s="262" t="str">
        <x:f>IF($A99="","",IF($L99="待核定","待主管核定",IF($L99="停用","停用",IF($L99="採用建議",IF($K99="需拆分","需完成拆分",IF(OR($H99="",$I99="",$J99="",$O99="",$P99=""),"待補建議或核定資料","可發布")),IF($L99="路由跟診熟悉度",IF(OR($H99="",$J99="",$O99="",$P99=""),"待補核定資料","可發布"),IF(OR($L99="另訂標準",$L99="不合併"),IF(OR($M99="",$N99="",$O99="",$P99=""),"待補最終名稱、代碼或核定資料","可發布"),"待主管核定"))))))</x:f>
        <x:v>待主管核定</x:v>
      </x:c>
      <x:c r="S99" s="262" t="str">
        <x:f>IF($R99&lt;&gt;"可發布","",IF(OR($L99="採用建議",$L99="路由跟診熟悉度"),$H99,$M99))</x:f>
      </x:c>
      <x:c r="T99" s="262" t="str">
        <x:f>IF($R99&lt;&gt;"可發布","",IF(OR($L99="採用建議",$L99="路由跟診熟悉度"),$J99,$N99))</x:f>
      </x:c>
      <x:c r="U99" s="262" t="str">
        <x:f>IF($R99&lt;&gt;"可發布","未檢核",IF($T99="","缺少代碼",IF(COUNTIFS($T$7:$T$123,$T99,$R$7:$R$123,"可發布",$S$7:$S$123,"&lt;&gt;"&amp;$S99)&gt;0,"代碼對應多名稱","一致")))</x:f>
        <x:v>未檢核</x:v>
      </x:c>
      <x:c r="V99" s="262" t="str">
        <x:f>IF($A99="","",IF($R99&lt;&gt;"可發布",$R99,IF($U99="一致","已發布",$U99)))</x:f>
        <x:v>待主管核定</x:v>
      </x:c>
    </x:row>
    <x:row r="100">
      <x:c r="A100" s="262" t="str">
        <x:v>MAP-094</x:v>
      </x:c>
      <x:c r="B100" s="262" t="str">
        <x:v>謝耀慶醫師</x:v>
      </x:c>
      <x:c r="C100" s="262"/>
      <x:c r="D100" s="262" t="str">
        <x:v>手持X光機</x:v>
      </x:c>
      <x:c r="E100" s="262" t="n">
        <x:v>14</x:v>
      </x:c>
      <x:c r="F100" s="262" t="n">
        <x:v>11</x:v>
      </x:c>
      <x:c r="G100" s="262" t="str">
        <x:v>98</x:v>
      </x:c>
      <x:c r="H100" s="262" t="str">
        <x:v>手持 X 光機操作</x:v>
      </x:c>
      <x:c r="I100" s="262" t="str">
        <x:v>共通技術</x:v>
      </x:c>
      <x:c r="J100" s="262" t="str">
        <x:v>COMMON-HANDHELD-XRAY</x:v>
      </x:c>
      <x:c r="K100" s="262" t="str">
        <x:v>建立新標準</x:v>
      </x:c>
      <x:c r="L100" s="263" t="str">
        <x:v>待核定</x:v>
      </x:c>
      <x:c r="M100" s="263"/>
      <x:c r="N100" s="263"/>
      <x:c r="O100" s="264"/>
      <x:c r="P100" s="263"/>
      <x:c r="Q100" s="263"/>
      <x:c r="R100" s="262" t="str">
        <x:f>IF($A100="","",IF($L100="待核定","待主管核定",IF($L100="停用","停用",IF($L100="採用建議",IF($K100="需拆分","需完成拆分",IF(OR($H100="",$I100="",$J100="",$O100="",$P100=""),"待補建議或核定資料","可發布")),IF($L100="路由跟診熟悉度",IF(OR($H100="",$J100="",$O100="",$P100=""),"待補核定資料","可發布"),IF(OR($L100="另訂標準",$L100="不合併"),IF(OR($M100="",$N100="",$O100="",$P100=""),"待補最終名稱、代碼或核定資料","可發布"),"待主管核定"))))))</x:f>
        <x:v>待主管核定</x:v>
      </x:c>
      <x:c r="S100" s="262" t="str">
        <x:f>IF($R100&lt;&gt;"可發布","",IF(OR($L100="採用建議",$L100="路由跟診熟悉度"),$H100,$M100))</x:f>
      </x:c>
      <x:c r="T100" s="262" t="str">
        <x:f>IF($R100&lt;&gt;"可發布","",IF(OR($L100="採用建議",$L100="路由跟診熟悉度"),$J100,$N100))</x:f>
      </x:c>
      <x:c r="U100" s="262" t="str">
        <x:f>IF($R100&lt;&gt;"可發布","未檢核",IF($T100="","缺少代碼",IF(COUNTIFS($T$7:$T$123,$T100,$R$7:$R$123,"可發布",$S$7:$S$123,"&lt;&gt;"&amp;$S100)&gt;0,"代碼對應多名稱","一致")))</x:f>
        <x:v>未檢核</x:v>
      </x:c>
      <x:c r="V100" s="262" t="str">
        <x:f>IF($A100="","",IF($R100&lt;&gt;"可發布",$R100,IF($U100="一致","已發布",$U100)))</x:f>
        <x:v>待主管核定</x:v>
      </x:c>
    </x:row>
    <x:row r="101">
      <x:c r="A101" s="262" t="str">
        <x:v>MAP-095</x:v>
      </x:c>
      <x:c r="B101" s="262" t="str">
        <x:v>謝耀慶醫師</x:v>
      </x:c>
      <x:c r="C101" s="262"/>
      <x:c r="D101" s="262" t="str">
        <x:v>健保申報</x:v>
      </x:c>
      <x:c r="E101" s="262" t="n">
        <x:v>14</x:v>
      </x:c>
      <x:c r="F101" s="262" t="n">
        <x:v>11</x:v>
      </x:c>
      <x:c r="G101" s="262" t="str">
        <x:v>99</x:v>
      </x:c>
      <x:c r="H101" s="262" t="str">
        <x:v>健保申報</x:v>
      </x:c>
      <x:c r="I101" s="262" t="str">
        <x:v>共通技能</x:v>
      </x:c>
      <x:c r="J101" s="262" t="str">
        <x:v>COMMON-INSURANCE</x:v>
      </x:c>
      <x:c r="K101" s="262" t="str">
        <x:v>已有既有對照</x:v>
      </x:c>
      <x:c r="L101" s="263" t="str">
        <x:v>待核定</x:v>
      </x:c>
      <x:c r="M101" s="263"/>
      <x:c r="N101" s="263"/>
      <x:c r="O101" s="264"/>
      <x:c r="P101" s="263"/>
      <x:c r="Q101" s="263"/>
      <x:c r="R101" s="262" t="str">
        <x:f>IF($A101="","",IF($L101="待核定","待主管核定",IF($L101="停用","停用",IF($L101="採用建議",IF($K101="需拆分","需完成拆分",IF(OR($H101="",$I101="",$J101="",$O101="",$P101=""),"待補建議或核定資料","可發布")),IF($L101="路由跟診熟悉度",IF(OR($H101="",$J101="",$O101="",$P101=""),"待補核定資料","可發布"),IF(OR($L101="另訂標準",$L101="不合併"),IF(OR($M101="",$N101="",$O101="",$P101=""),"待補最終名稱、代碼或核定資料","可發布"),"待主管核定"))))))</x:f>
        <x:v>待主管核定</x:v>
      </x:c>
      <x:c r="S101" s="262" t="str">
        <x:f>IF($R101&lt;&gt;"可發布","",IF(OR($L101="採用建議",$L101="路由跟診熟悉度"),$H101,$M101))</x:f>
      </x:c>
      <x:c r="T101" s="262" t="str">
        <x:f>IF($R101&lt;&gt;"可發布","",IF(OR($L101="採用建議",$L101="路由跟診熟悉度"),$J101,$N101))</x:f>
      </x:c>
      <x:c r="U101" s="262" t="str">
        <x:f>IF($R101&lt;&gt;"可發布","未檢核",IF($T101="","缺少代碼",IF(COUNTIFS($T$7:$T$123,$T101,$R$7:$R$123,"可發布",$S$7:$S$123,"&lt;&gt;"&amp;$S101)&gt;0,"代碼對應多名稱","一致")))</x:f>
        <x:v>未檢核</x:v>
      </x:c>
      <x:c r="V101" s="262" t="str">
        <x:f>IF($A101="","",IF($R101&lt;&gt;"可發布",$R101,IF($U101="一致","已發布",$U101)))</x:f>
        <x:v>待主管核定</x:v>
      </x:c>
    </x:row>
    <x:row r="102">
      <x:c r="A102" s="262" t="str">
        <x:v>MAP-096</x:v>
      </x:c>
      <x:c r="B102" s="262" t="str">
        <x:v>謝耀慶醫師</x:v>
      </x:c>
      <x:c r="C102" s="262"/>
      <x:c r="D102" s="262" t="str">
        <x:v>舒眠手術</x:v>
      </x:c>
      <x:c r="E102" s="262" t="n">
        <x:v>14</x:v>
      </x:c>
      <x:c r="F102" s="262" t="n">
        <x:v>8</x:v>
      </x:c>
      <x:c r="G102" s="262" t="str">
        <x:v>100</x:v>
      </x:c>
      <x:c r="H102" s="262" t="str">
        <x:v>舒眠手術相關準備</x:v>
      </x:c>
      <x:c r="I102" s="262" t="str">
        <x:v>高風險共通技術</x:v>
      </x:c>
      <x:c r="J102" s="262" t="str">
        <x:v>COMMON-SEDATION-PREP</x:v>
      </x:c>
      <x:c r="K102" s="262" t="str">
        <x:v>建立新標準</x:v>
      </x:c>
      <x:c r="L102" s="263" t="str">
        <x:v>待核定</x:v>
      </x:c>
      <x:c r="M102" s="263"/>
      <x:c r="N102" s="263"/>
      <x:c r="O102" s="264"/>
      <x:c r="P102" s="263"/>
      <x:c r="Q102" s="263"/>
      <x:c r="R102" s="262" t="str">
        <x:f>IF($A102="","",IF($L102="待核定","待主管核定",IF($L102="停用","停用",IF($L102="採用建議",IF($K102="需拆分","需完成拆分",IF(OR($H102="",$I102="",$J102="",$O102="",$P102=""),"待補建議或核定資料","可發布")),IF($L102="路由跟診熟悉度",IF(OR($H102="",$J102="",$O102="",$P102=""),"待補核定資料","可發布"),IF(OR($L102="另訂標準",$L102="不合併"),IF(OR($M102="",$N102="",$O102="",$P102=""),"待補最終名稱、代碼或核定資料","可發布"),"待主管核定"))))))</x:f>
        <x:v>待主管核定</x:v>
      </x:c>
      <x:c r="S102" s="262" t="str">
        <x:f>IF($R102&lt;&gt;"可發布","",IF(OR($L102="採用建議",$L102="路由跟診熟悉度"),$H102,$M102))</x:f>
      </x:c>
      <x:c r="T102" s="262" t="str">
        <x:f>IF($R102&lt;&gt;"可發布","",IF(OR($L102="採用建議",$L102="路由跟診熟悉度"),$J102,$N102))</x:f>
      </x:c>
      <x:c r="U102" s="262" t="str">
        <x:f>IF($R102&lt;&gt;"可發布","未檢核",IF($T102="","缺少代碼",IF(COUNTIFS($T$7:$T$123,$T102,$R$7:$R$123,"可發布",$S$7:$S$123,"&lt;&gt;"&amp;$S102)&gt;0,"代碼對應多名稱","一致")))</x:f>
        <x:v>未檢核</x:v>
      </x:c>
      <x:c r="V102" s="262" t="str">
        <x:f>IF($A102="","",IF($R102&lt;&gt;"可發布",$R102,IF($U102="一致","已發布",$U102)))</x:f>
        <x:v>待主管核定</x:v>
      </x:c>
    </x:row>
    <x:row r="103">
      <x:c r="A103" s="262" t="str">
        <x:v>MAP-097</x:v>
      </x:c>
      <x:c r="B103" s="262" t="str">
        <x:v>陳醫師</x:v>
      </x:c>
      <x:c r="C103" s="262" t="str">
        <x:v>器械準備</x:v>
      </x:c>
      <x:c r="D103" s="262" t="str">
        <x:v>洗牙</x:v>
      </x:c>
      <x:c r="E103" s="262" t="n">
        <x:v>14</x:v>
      </x:c>
      <x:c r="F103" s="262" t="n">
        <x:v>6</x:v>
      </x:c>
      <x:c r="G103" s="262" t="str">
        <x:v>101</x:v>
      </x:c>
      <x:c r="H103" s="262" t="str">
        <x:v>陳醫師－洗牙</x:v>
      </x:c>
      <x:c r="I103" s="262" t="str">
        <x:v>醫師＋治療專屬</x:v>
      </x:c>
      <x:c r="J103" s="262"/>
      <x:c r="K103" s="262" t="str">
        <x:v>待確認是否合併</x:v>
      </x:c>
      <x:c r="L103" s="263" t="str">
        <x:v>待核定</x:v>
      </x:c>
      <x:c r="M103" s="263"/>
      <x:c r="N103" s="263"/>
      <x:c r="O103" s="264"/>
      <x:c r="P103" s="263"/>
      <x:c r="Q103" s="263"/>
      <x:c r="R103" s="262" t="str">
        <x:f>IF($A103="","",IF($L103="待核定","待主管核定",IF($L103="停用","停用",IF($L103="採用建議",IF($K103="需拆分","需完成拆分",IF(OR($H103="",$I103="",$J103="",$O103="",$P103=""),"待補建議或核定資料","可發布")),IF($L103="路由跟診熟悉度",IF(OR($H103="",$J103="",$O103="",$P103=""),"待補核定資料","可發布"),IF(OR($L103="另訂標準",$L103="不合併"),IF(OR($M103="",$N103="",$O103="",$P103=""),"待補最終名稱、代碼或核定資料","可發布"),"待主管核定"))))))</x:f>
        <x:v>待主管核定</x:v>
      </x:c>
      <x:c r="S103" s="262" t="str">
        <x:f>IF($R103&lt;&gt;"可發布","",IF(OR($L103="採用建議",$L103="路由跟診熟悉度"),$H103,$M103))</x:f>
      </x:c>
      <x:c r="T103" s="262" t="str">
        <x:f>IF($R103&lt;&gt;"可發布","",IF(OR($L103="採用建議",$L103="路由跟診熟悉度"),$J103,$N103))</x:f>
      </x:c>
      <x:c r="U103" s="262" t="str">
        <x:f>IF($R103&lt;&gt;"可發布","未檢核",IF($T103="","缺少代碼",IF(COUNTIFS($T$7:$T$123,$T103,$R$7:$R$123,"可發布",$S$7:$S$123,"&lt;&gt;"&amp;$S103)&gt;0,"代碼對應多名稱","一致")))</x:f>
        <x:v>未檢核</x:v>
      </x:c>
      <x:c r="V103" s="262" t="str">
        <x:f>IF($A103="","",IF($R103&lt;&gt;"可發布",$R103,IF($U103="一致","已發布",$U103)))</x:f>
        <x:v>待主管核定</x:v>
      </x:c>
    </x:row>
    <x:row r="104">
      <x:c r="A104" s="262" t="str">
        <x:v>MAP-098</x:v>
      </x:c>
      <x:c r="B104" s="262" t="str">
        <x:v>陳醫師</x:v>
      </x:c>
      <x:c r="C104" s="262" t="str">
        <x:v>器械準備</x:v>
      </x:c>
      <x:c r="D104" s="262" t="str">
        <x:v>補牙</x:v>
      </x:c>
      <x:c r="E104" s="262" t="n">
        <x:v>14</x:v>
      </x:c>
      <x:c r="F104" s="262" t="n">
        <x:v>6</x:v>
      </x:c>
      <x:c r="G104" s="262" t="str">
        <x:v>102</x:v>
      </x:c>
      <x:c r="H104" s="262" t="str">
        <x:v>陳醫師－補牙</x:v>
      </x:c>
      <x:c r="I104" s="262" t="str">
        <x:v>醫師＋治療專屬</x:v>
      </x:c>
      <x:c r="J104" s="262"/>
      <x:c r="K104" s="262" t="str">
        <x:v>待確認是否合併</x:v>
      </x:c>
      <x:c r="L104" s="263" t="str">
        <x:v>待核定</x:v>
      </x:c>
      <x:c r="M104" s="263"/>
      <x:c r="N104" s="263"/>
      <x:c r="O104" s="264"/>
      <x:c r="P104" s="263"/>
      <x:c r="Q104" s="263"/>
      <x:c r="R104" s="262" t="str">
        <x:f>IF($A104="","",IF($L104="待核定","待主管核定",IF($L104="停用","停用",IF($L104="採用建議",IF($K104="需拆分","需完成拆分",IF(OR($H104="",$I104="",$J104="",$O104="",$P104=""),"待補建議或核定資料","可發布")),IF($L104="路由跟診熟悉度",IF(OR($H104="",$J104="",$O104="",$P104=""),"待補核定資料","可發布"),IF(OR($L104="另訂標準",$L104="不合併"),IF(OR($M104="",$N104="",$O104="",$P104=""),"待補最終名稱、代碼或核定資料","可發布"),"待主管核定"))))))</x:f>
        <x:v>待主管核定</x:v>
      </x:c>
      <x:c r="S104" s="262" t="str">
        <x:f>IF($R104&lt;&gt;"可發布","",IF(OR($L104="採用建議",$L104="路由跟診熟悉度"),$H104,$M104))</x:f>
      </x:c>
      <x:c r="T104" s="262" t="str">
        <x:f>IF($R104&lt;&gt;"可發布","",IF(OR($L104="採用建議",$L104="路由跟診熟悉度"),$J104,$N104))</x:f>
      </x:c>
      <x:c r="U104" s="262" t="str">
        <x:f>IF($R104&lt;&gt;"可發布","未檢核",IF($T104="","缺少代碼",IF(COUNTIFS($T$7:$T$123,$T104,$R$7:$R$123,"可發布",$S$7:$S$123,"&lt;&gt;"&amp;$S104)&gt;0,"代碼對應多名稱","一致")))</x:f>
        <x:v>未檢核</x:v>
      </x:c>
      <x:c r="V104" s="262" t="str">
        <x:f>IF($A104="","",IF($R104&lt;&gt;"可發布",$R104,IF($U104="一致","已發布",$U104)))</x:f>
        <x:v>待主管核定</x:v>
      </x:c>
    </x:row>
    <x:row r="105">
      <x:c r="A105" s="262" t="str">
        <x:v>MAP-099</x:v>
      </x:c>
      <x:c r="B105" s="262" t="str">
        <x:v>陳醫師</x:v>
      </x:c>
      <x:c r="C105" s="262" t="str">
        <x:v>器械準備</x:v>
      </x:c>
      <x:c r="D105" s="262" t="str">
        <x:v>根管治療</x:v>
      </x:c>
      <x:c r="E105" s="262" t="n">
        <x:v>14</x:v>
      </x:c>
      <x:c r="F105" s="262" t="n">
        <x:v>6</x:v>
      </x:c>
      <x:c r="G105" s="262" t="str">
        <x:v>103</x:v>
      </x:c>
      <x:c r="H105" s="262" t="str">
        <x:v>陳醫師－根管治療</x:v>
      </x:c>
      <x:c r="I105" s="262" t="str">
        <x:v>醫師＋治療專屬</x:v>
      </x:c>
      <x:c r="J105" s="262"/>
      <x:c r="K105" s="262" t="str">
        <x:v>待確認是否合併</x:v>
      </x:c>
      <x:c r="L105" s="263" t="str">
        <x:v>待核定</x:v>
      </x:c>
      <x:c r="M105" s="263"/>
      <x:c r="N105" s="263"/>
      <x:c r="O105" s="264"/>
      <x:c r="P105" s="263"/>
      <x:c r="Q105" s="263"/>
      <x:c r="R105" s="262" t="str">
        <x:f>IF($A105="","",IF($L105="待核定","待主管核定",IF($L105="停用","停用",IF($L105="採用建議",IF($K105="需拆分","需完成拆分",IF(OR($H105="",$I105="",$J105="",$O105="",$P105=""),"待補建議或核定資料","可發布")),IF($L105="路由跟診熟悉度",IF(OR($H105="",$J105="",$O105="",$P105=""),"待補核定資料","可發布"),IF(OR($L105="另訂標準",$L105="不合併"),IF(OR($M105="",$N105="",$O105="",$P105=""),"待補最終名稱、代碼或核定資料","可發布"),"待主管核定"))))))</x:f>
        <x:v>待主管核定</x:v>
      </x:c>
      <x:c r="S105" s="262" t="str">
        <x:f>IF($R105&lt;&gt;"可發布","",IF(OR($L105="採用建議",$L105="路由跟診熟悉度"),$H105,$M105))</x:f>
      </x:c>
      <x:c r="T105" s="262" t="str">
        <x:f>IF($R105&lt;&gt;"可發布","",IF(OR($L105="採用建議",$L105="路由跟診熟悉度"),$J105,$N105))</x:f>
      </x:c>
      <x:c r="U105" s="262" t="str">
        <x:f>IF($R105&lt;&gt;"可發布","未檢核",IF($T105="","缺少代碼",IF(COUNTIFS($T$7:$T$123,$T105,$R$7:$R$123,"可發布",$S$7:$S$123,"&lt;&gt;"&amp;$S105)&gt;0,"代碼對應多名稱","一致")))</x:f>
        <x:v>未檢核</x:v>
      </x:c>
      <x:c r="V105" s="262" t="str">
        <x:f>IF($A105="","",IF($R105&lt;&gt;"可發布",$R105,IF($U105="一致","已發布",$U105)))</x:f>
        <x:v>待主管核定</x:v>
      </x:c>
    </x:row>
    <x:row r="106">
      <x:c r="A106" s="262" t="str">
        <x:v>MAP-100</x:v>
      </x:c>
      <x:c r="B106" s="262" t="str">
        <x:v>陳醫師</x:v>
      </x:c>
      <x:c r="C106" s="262"/>
      <x:c r="D106" s="262" t="str">
        <x:v>跟診順暢度</x:v>
      </x:c>
      <x:c r="E106" s="262" t="n">
        <x:v>14</x:v>
      </x:c>
      <x:c r="F106" s="262" t="n">
        <x:v>6</x:v>
      </x:c>
      <x:c r="G106" s="262" t="str">
        <x:v>104</x:v>
      </x:c>
      <x:c r="H106" s="262" t="str">
        <x:v>陳醫師跟診熟悉度</x:v>
      </x:c>
      <x:c r="I106" s="262" t="str">
        <x:v>跟診熟悉度</x:v>
      </x:c>
      <x:c r="J106" s="262" t="str">
        <x:v>FAM|PENDING-DOC-08</x:v>
      </x:c>
      <x:c r="K106" s="262" t="str">
        <x:v>路由跟診熟悉度</x:v>
      </x:c>
      <x:c r="L106" s="263" t="str">
        <x:v>待核定</x:v>
      </x:c>
      <x:c r="M106" s="263"/>
      <x:c r="N106" s="263"/>
      <x:c r="O106" s="264"/>
      <x:c r="P106" s="263"/>
      <x:c r="Q106" s="263"/>
      <x:c r="R106" s="262" t="str">
        <x:f>IF($A106="","",IF($L106="待核定","待主管核定",IF($L106="停用","停用",IF($L106="採用建議",IF($K106="需拆分","需完成拆分",IF(OR($H106="",$I106="",$J106="",$O106="",$P106=""),"待補建議或核定資料","可發布")),IF($L106="路由跟診熟悉度",IF(OR($H106="",$J106="",$O106="",$P106=""),"待補核定資料","可發布"),IF(OR($L106="另訂標準",$L106="不合併"),IF(OR($M106="",$N106="",$O106="",$P106=""),"待補最終名稱、代碼或核定資料","可發布"),"待主管核定"))))))</x:f>
        <x:v>待主管核定</x:v>
      </x:c>
      <x:c r="S106" s="262" t="str">
        <x:f>IF($R106&lt;&gt;"可發布","",IF(OR($L106="採用建議",$L106="路由跟診熟悉度"),$H106,$M106))</x:f>
      </x:c>
      <x:c r="T106" s="262" t="str">
        <x:f>IF($R106&lt;&gt;"可發布","",IF(OR($L106="採用建議",$L106="路由跟診熟悉度"),$J106,$N106))</x:f>
      </x:c>
      <x:c r="U106" s="262" t="str">
        <x:f>IF($R106&lt;&gt;"可發布","未檢核",IF($T106="","缺少代碼",IF(COUNTIFS($T$7:$T$123,$T106,$R$7:$R$123,"可發布",$S$7:$S$123,"&lt;&gt;"&amp;$S106)&gt;0,"代碼對應多名稱","一致")))</x:f>
        <x:v>未檢核</x:v>
      </x:c>
      <x:c r="V106" s="262" t="str">
        <x:f>IF($A106="","",IF($R106&lt;&gt;"可發布",$R106,IF($U106="一致","已發布",$U106)))</x:f>
        <x:v>待主管核定</x:v>
      </x:c>
    </x:row>
    <x:row r="107">
      <x:c r="A107" s="262" t="str">
        <x:v>MAP-101</x:v>
      </x:c>
      <x:c r="B107" s="262" t="str">
        <x:v>陳醫師</x:v>
      </x:c>
      <x:c r="C107" s="262"/>
      <x:c r="D107" s="262" t="str">
        <x:v>病歷紀錄</x:v>
      </x:c>
      <x:c r="E107" s="262" t="n">
        <x:v>14</x:v>
      </x:c>
      <x:c r="F107" s="262" t="n">
        <x:v>6</x:v>
      </x:c>
      <x:c r="G107" s="262" t="str">
        <x:v>105</x:v>
      </x:c>
      <x:c r="H107" s="262" t="str">
        <x:v>病歷基本操作</x:v>
      </x:c>
      <x:c r="I107" s="262" t="str">
        <x:v>共通技能</x:v>
      </x:c>
      <x:c r="J107" s="262" t="str">
        <x:v>COMMON-RECORD</x:v>
      </x:c>
      <x:c r="K107" s="262" t="str">
        <x:v>已有既有對照</x:v>
      </x:c>
      <x:c r="L107" s="263" t="str">
        <x:v>待核定</x:v>
      </x:c>
      <x:c r="M107" s="263"/>
      <x:c r="N107" s="263"/>
      <x:c r="O107" s="264"/>
      <x:c r="P107" s="263"/>
      <x:c r="Q107" s="263"/>
      <x:c r="R107" s="262" t="str">
        <x:f>IF($A107="","",IF($L107="待核定","待主管核定",IF($L107="停用","停用",IF($L107="採用建議",IF($K107="需拆分","需完成拆分",IF(OR($H107="",$I107="",$J107="",$O107="",$P107=""),"待補建議或核定資料","可發布")),IF($L107="路由跟診熟悉度",IF(OR($H107="",$J107="",$O107="",$P107=""),"待補核定資料","可發布"),IF(OR($L107="另訂標準",$L107="不合併"),IF(OR($M107="",$N107="",$O107="",$P107=""),"待補最終名稱、代碼或核定資料","可發布"),"待主管核定"))))))</x:f>
        <x:v>待主管核定</x:v>
      </x:c>
      <x:c r="S107" s="262" t="str">
        <x:f>IF($R107&lt;&gt;"可發布","",IF(OR($L107="採用建議",$L107="路由跟診熟悉度"),$H107,$M107))</x:f>
      </x:c>
      <x:c r="T107" s="262" t="str">
        <x:f>IF($R107&lt;&gt;"可發布","",IF(OR($L107="採用建議",$L107="路由跟診熟悉度"),$J107,$N107))</x:f>
      </x:c>
      <x:c r="U107" s="262" t="str">
        <x:f>IF($R107&lt;&gt;"可發布","未檢核",IF($T107="","缺少代碼",IF(COUNTIFS($T$7:$T$123,$T107,$R$7:$R$123,"可發布",$S$7:$S$123,"&lt;&gt;"&amp;$S107)&gt;0,"代碼對應多名稱","一致")))</x:f>
        <x:v>未檢核</x:v>
      </x:c>
      <x:c r="V107" s="262" t="str">
        <x:f>IF($A107="","",IF($R107&lt;&gt;"可發布",$R107,IF($U107="一致","已發布",$U107)))</x:f>
        <x:v>待主管核定</x:v>
      </x:c>
    </x:row>
    <x:row r="108">
      <x:c r="A108" s="262" t="str">
        <x:v>MAP-102</x:v>
      </x:c>
      <x:c r="B108" s="262" t="str">
        <x:v>陳醫師</x:v>
      </x:c>
      <x:c r="C108" s="262"/>
      <x:c r="D108" s="262" t="str">
        <x:v>拍PANO、PA</x:v>
      </x:c>
      <x:c r="E108" s="262" t="n">
        <x:v>14</x:v>
      </x:c>
      <x:c r="F108" s="262" t="n">
        <x:v>6</x:v>
      </x:c>
      <x:c r="G108" s="262" t="str">
        <x:v>106</x:v>
      </x:c>
      <x:c r="H108" s="262" t="str">
        <x:v>PANO 與 PA 影像操作</x:v>
      </x:c>
      <x:c r="I108" s="262" t="str">
        <x:v>共通技術</x:v>
      </x:c>
      <x:c r="J108" s="262"/>
      <x:c r="K108" s="262" t="str">
        <x:v>需拆分</x:v>
      </x:c>
      <x:c r="L108" s="263" t="str">
        <x:v>待核定</x:v>
      </x:c>
      <x:c r="M108" s="263"/>
      <x:c r="N108" s="263"/>
      <x:c r="O108" s="264"/>
      <x:c r="P108" s="263"/>
      <x:c r="Q108" s="263"/>
      <x:c r="R108" s="262" t="str">
        <x:f>IF($A108="","",IF($L108="待核定","待主管核定",IF($L108="停用","停用",IF($L108="採用建議",IF($K108="需拆分","需完成拆分",IF(OR($H108="",$I108="",$J108="",$O108="",$P108=""),"待補建議或核定資料","可發布")),IF($L108="路由跟診熟悉度",IF(OR($H108="",$J108="",$O108="",$P108=""),"待補核定資料","可發布"),IF(OR($L108="另訂標準",$L108="不合併"),IF(OR($M108="",$N108="",$O108="",$P108=""),"待補最終名稱、代碼或核定資料","可發布"),"待主管核定"))))))</x:f>
        <x:v>待主管核定</x:v>
      </x:c>
      <x:c r="S108" s="262" t="str">
        <x:f>IF($R108&lt;&gt;"可發布","",IF(OR($L108="採用建議",$L108="路由跟診熟悉度"),$H108,$M108))</x:f>
      </x:c>
      <x:c r="T108" s="262" t="str">
        <x:f>IF($R108&lt;&gt;"可發布","",IF(OR($L108="採用建議",$L108="路由跟診熟悉度"),$J108,$N108))</x:f>
      </x:c>
      <x:c r="U108" s="262" t="str">
        <x:f>IF($R108&lt;&gt;"可發布","未檢核",IF($T108="","缺少代碼",IF(COUNTIFS($T$7:$T$123,$T108,$R$7:$R$123,"可發布",$S$7:$S$123,"&lt;&gt;"&amp;$S108)&gt;0,"代碼對應多名稱","一致")))</x:f>
        <x:v>未檢核</x:v>
      </x:c>
      <x:c r="V108" s="262" t="str">
        <x:f>IF($A108="","",IF($R108&lt;&gt;"可發布",$R108,IF($U108="一致","已發布",$U108)))</x:f>
        <x:v>待主管核定</x:v>
      </x:c>
    </x:row>
    <x:row r="109">
      <x:c r="A109" s="262" t="str">
        <x:v>MAP-103</x:v>
      </x:c>
      <x:c r="B109" s="262" t="str">
        <x:v>陳醫師</x:v>
      </x:c>
      <x:c r="C109" s="262"/>
      <x:c r="D109" s="262" t="str">
        <x:v>X光片紀錄</x:v>
      </x:c>
      <x:c r="E109" s="262" t="n">
        <x:v>14</x:v>
      </x:c>
      <x:c r="F109" s="262" t="n">
        <x:v>6</x:v>
      </x:c>
      <x:c r="G109" s="262" t="str">
        <x:v>107</x:v>
      </x:c>
      <x:c r="H109" s="262" t="str">
        <x:v>X 光片紀錄</x:v>
      </x:c>
      <x:c r="I109" s="262" t="str">
        <x:v>共通技能</x:v>
      </x:c>
      <x:c r="J109" s="262" t="str">
        <x:v>COMMON-XRAY-RECORD</x:v>
      </x:c>
      <x:c r="K109" s="262" t="str">
        <x:v>已有既有對照</x:v>
      </x:c>
      <x:c r="L109" s="263" t="str">
        <x:v>待核定</x:v>
      </x:c>
      <x:c r="M109" s="263"/>
      <x:c r="N109" s="263"/>
      <x:c r="O109" s="264"/>
      <x:c r="P109" s="263"/>
      <x:c r="Q109" s="263"/>
      <x:c r="R109" s="262" t="str">
        <x:f>IF($A109="","",IF($L109="待核定","待主管核定",IF($L109="停用","停用",IF($L109="採用建議",IF($K109="需拆分","需完成拆分",IF(OR($H109="",$I109="",$J109="",$O109="",$P109=""),"待補建議或核定資料","可發布")),IF($L109="路由跟診熟悉度",IF(OR($H109="",$J109="",$O109="",$P109=""),"待補核定資料","可發布"),IF(OR($L109="另訂標準",$L109="不合併"),IF(OR($M109="",$N109="",$O109="",$P109=""),"待補最終名稱、代碼或核定資料","可發布"),"待主管核定"))))))</x:f>
        <x:v>待主管核定</x:v>
      </x:c>
      <x:c r="S109" s="262" t="str">
        <x:f>IF($R109&lt;&gt;"可發布","",IF(OR($L109="採用建議",$L109="路由跟診熟悉度"),$H109,$M109))</x:f>
      </x:c>
      <x:c r="T109" s="262" t="str">
        <x:f>IF($R109&lt;&gt;"可發布","",IF(OR($L109="採用建議",$L109="路由跟診熟悉度"),$J109,$N109))</x:f>
      </x:c>
      <x:c r="U109" s="262" t="str">
        <x:f>IF($R109&lt;&gt;"可發布","未檢核",IF($T109="","缺少代碼",IF(COUNTIFS($T$7:$T$123,$T109,$R$7:$R$123,"可發布",$S$7:$S$123,"&lt;&gt;"&amp;$S109)&gt;0,"代碼對應多名稱","一致")))</x:f>
        <x:v>未檢核</x:v>
      </x:c>
      <x:c r="V109" s="262" t="str">
        <x:f>IF($A109="","",IF($R109&lt;&gt;"可發布",$R109,IF($U109="一致","已發布",$U109)))</x:f>
        <x:v>待主管核定</x:v>
      </x:c>
    </x:row>
    <x:row r="110">
      <x:c r="A110" s="262" t="str">
        <x:v>MAP-104</x:v>
      </x:c>
      <x:c r="B110" s="262" t="str">
        <x:v>陳醫師</x:v>
      </x:c>
      <x:c r="C110" s="262"/>
      <x:c r="D110" s="262" t="str">
        <x:v>健保申報</x:v>
      </x:c>
      <x:c r="E110" s="262" t="n">
        <x:v>14</x:v>
      </x:c>
      <x:c r="F110" s="262" t="n">
        <x:v>6</x:v>
      </x:c>
      <x:c r="G110" s="262" t="str">
        <x:v>108</x:v>
      </x:c>
      <x:c r="H110" s="262" t="str">
        <x:v>健保申報</x:v>
      </x:c>
      <x:c r="I110" s="262" t="str">
        <x:v>共通技能</x:v>
      </x:c>
      <x:c r="J110" s="262" t="str">
        <x:v>COMMON-INSURANCE</x:v>
      </x:c>
      <x:c r="K110" s="262" t="str">
        <x:v>已有既有對照</x:v>
      </x:c>
      <x:c r="L110" s="263" t="str">
        <x:v>待核定</x:v>
      </x:c>
      <x:c r="M110" s="263"/>
      <x:c r="N110" s="263"/>
      <x:c r="O110" s="264"/>
      <x:c r="P110" s="263"/>
      <x:c r="Q110" s="263"/>
      <x:c r="R110" s="262" t="str">
        <x:f>IF($A110="","",IF($L110="待核定","待主管核定",IF($L110="停用","停用",IF($L110="採用建議",IF($K110="需拆分","需完成拆分",IF(OR($H110="",$I110="",$J110="",$O110="",$P110=""),"待補建議或核定資料","可發布")),IF($L110="路由跟診熟悉度",IF(OR($H110="",$J110="",$O110="",$P110=""),"待補核定資料","可發布"),IF(OR($L110="另訂標準",$L110="不合併"),IF(OR($M110="",$N110="",$O110="",$P110=""),"待補最終名稱、代碼或核定資料","可發布"),"待主管核定"))))))</x:f>
        <x:v>待主管核定</x:v>
      </x:c>
      <x:c r="S110" s="262" t="str">
        <x:f>IF($R110&lt;&gt;"可發布","",IF(OR($L110="採用建議",$L110="路由跟診熟悉度"),$H110,$M110))</x:f>
      </x:c>
      <x:c r="T110" s="262" t="str">
        <x:f>IF($R110&lt;&gt;"可發布","",IF(OR($L110="採用建議",$L110="路由跟診熟悉度"),$J110,$N110))</x:f>
      </x:c>
      <x:c r="U110" s="262" t="str">
        <x:f>IF($R110&lt;&gt;"可發布","未檢核",IF($T110="","缺少代碼",IF(COUNTIFS($T$7:$T$123,$T110,$R$7:$R$123,"可發布",$S$7:$S$123,"&lt;&gt;"&amp;$S110)&gt;0,"代碼對應多名稱","一致")))</x:f>
        <x:v>未檢核</x:v>
      </x:c>
      <x:c r="V110" s="262" t="str">
        <x:f>IF($A110="","",IF($R110&lt;&gt;"可發布",$R110,IF($U110="一致","已發布",$U110)))</x:f>
        <x:v>待主管核定</x:v>
      </x:c>
    </x:row>
    <x:row r="111">
      <x:c r="A111" s="262" t="str">
        <x:v>MAP-105</x:v>
      </x:c>
      <x:c r="B111" s="262" t="str">
        <x:v>陳醫師</x:v>
      </x:c>
      <x:c r="C111" s="262"/>
      <x:c r="D111" s="262" t="str">
        <x:v>固定假牙</x:v>
      </x:c>
      <x:c r="E111" s="262" t="n">
        <x:v>14</x:v>
      </x:c>
      <x:c r="F111" s="262" t="n">
        <x:v>6</x:v>
      </x:c>
      <x:c r="G111" s="262" t="str">
        <x:v>109</x:v>
      </x:c>
      <x:c r="H111" s="262" t="str">
        <x:v>陳醫師－固定假牙</x:v>
      </x:c>
      <x:c r="I111" s="262" t="str">
        <x:v>醫師＋治療專屬</x:v>
      </x:c>
      <x:c r="J111" s="262"/>
      <x:c r="K111" s="262" t="str">
        <x:v>待確認是否合併</x:v>
      </x:c>
      <x:c r="L111" s="263" t="str">
        <x:v>待核定</x:v>
      </x:c>
      <x:c r="M111" s="263"/>
      <x:c r="N111" s="263"/>
      <x:c r="O111" s="264"/>
      <x:c r="P111" s="263"/>
      <x:c r="Q111" s="263"/>
      <x:c r="R111" s="262" t="str">
        <x:f>IF($A111="","",IF($L111="待核定","待主管核定",IF($L111="停用","停用",IF($L111="採用建議",IF($K111="需拆分","需完成拆分",IF(OR($H111="",$I111="",$J111="",$O111="",$P111=""),"待補建議或核定資料","可發布")),IF($L111="路由跟診熟悉度",IF(OR($H111="",$J111="",$O111="",$P111=""),"待補核定資料","可發布"),IF(OR($L111="另訂標準",$L111="不合併"),IF(OR($M111="",$N111="",$O111="",$P111=""),"待補最終名稱、代碼或核定資料","可發布"),"待主管核定"))))))</x:f>
        <x:v>待主管核定</x:v>
      </x:c>
      <x:c r="S111" s="262" t="str">
        <x:f>IF($R111&lt;&gt;"可發布","",IF(OR($L111="採用建議",$L111="路由跟診熟悉度"),$H111,$M111))</x:f>
      </x:c>
      <x:c r="T111" s="262" t="str">
        <x:f>IF($R111&lt;&gt;"可發布","",IF(OR($L111="採用建議",$L111="路由跟診熟悉度"),$J111,$N111))</x:f>
      </x:c>
      <x:c r="U111" s="262" t="str">
        <x:f>IF($R111&lt;&gt;"可發布","未檢核",IF($T111="","缺少代碼",IF(COUNTIFS($T$7:$T$123,$T111,$R$7:$R$123,"可發布",$S$7:$S$123,"&lt;&gt;"&amp;$S111)&gt;0,"代碼對應多名稱","一致")))</x:f>
        <x:v>未檢核</x:v>
      </x:c>
      <x:c r="V111" s="262" t="str">
        <x:f>IF($A111="","",IF($R111&lt;&gt;"可發布",$R111,IF($U111="一致","已發布",$U111)))</x:f>
        <x:v>待主管核定</x:v>
      </x:c>
    </x:row>
    <x:row r="112">
      <x:c r="A112" s="262" t="str">
        <x:v>MAP-106</x:v>
      </x:c>
      <x:c r="B112" s="262" t="str">
        <x:v>陳醫師</x:v>
      </x:c>
      <x:c r="C112" s="262"/>
      <x:c r="D112" s="262" t="str">
        <x:v>顯微根管</x:v>
      </x:c>
      <x:c r="E112" s="262" t="n">
        <x:v>14</x:v>
      </x:c>
      <x:c r="F112" s="262" t="n">
        <x:v>6</x:v>
      </x:c>
      <x:c r="G112" s="262" t="str">
        <x:v>110</x:v>
      </x:c>
      <x:c r="H112" s="262" t="str">
        <x:v>陳醫師－顯微根管</x:v>
      </x:c>
      <x:c r="I112" s="262" t="str">
        <x:v>醫師＋治療專屬</x:v>
      </x:c>
      <x:c r="J112" s="262"/>
      <x:c r="K112" s="262" t="str">
        <x:v>待確認是否合併</x:v>
      </x:c>
      <x:c r="L112" s="263" t="str">
        <x:v>待核定</x:v>
      </x:c>
      <x:c r="M112" s="263"/>
      <x:c r="N112" s="263"/>
      <x:c r="O112" s="264"/>
      <x:c r="P112" s="263"/>
      <x:c r="Q112" s="263"/>
      <x:c r="R112" s="262" t="str">
        <x:f>IF($A112="","",IF($L112="待核定","待主管核定",IF($L112="停用","停用",IF($L112="採用建議",IF($K112="需拆分","需完成拆分",IF(OR($H112="",$I112="",$J112="",$O112="",$P112=""),"待補建議或核定資料","可發布")),IF($L112="路由跟診熟悉度",IF(OR($H112="",$J112="",$O112="",$P112=""),"待補核定資料","可發布"),IF(OR($L112="另訂標準",$L112="不合併"),IF(OR($M112="",$N112="",$O112="",$P112=""),"待補最終名稱、代碼或核定資料","可發布"),"待主管核定"))))))</x:f>
        <x:v>待主管核定</x:v>
      </x:c>
      <x:c r="S112" s="262" t="str">
        <x:f>IF($R112&lt;&gt;"可發布","",IF(OR($L112="採用建議",$L112="路由跟診熟悉度"),$H112,$M112))</x:f>
      </x:c>
      <x:c r="T112" s="262" t="str">
        <x:f>IF($R112&lt;&gt;"可發布","",IF(OR($L112="採用建議",$L112="路由跟診熟悉度"),$J112,$N112))</x:f>
      </x:c>
      <x:c r="U112" s="262" t="str">
        <x:f>IF($R112&lt;&gt;"可發布","未檢核",IF($T112="","缺少代碼",IF(COUNTIFS($T$7:$T$123,$T112,$R$7:$R$123,"可發布",$S$7:$S$123,"&lt;&gt;"&amp;$S112)&gt;0,"代碼對應多名稱","一致")))</x:f>
        <x:v>未檢核</x:v>
      </x:c>
      <x:c r="V112" s="262" t="str">
        <x:f>IF($A112="","",IF($R112&lt;&gt;"可發布",$R112,IF($U112="一致","已發布",$U112)))</x:f>
        <x:v>待主管核定</x:v>
      </x:c>
    </x:row>
    <x:row r="113">
      <x:c r="A113" s="262" t="str">
        <x:v>MAP-107</x:v>
      </x:c>
      <x:c r="B113" s="262" t="str">
        <x:v>櫃台</x:v>
      </x:c>
      <x:c r="C113" s="262"/>
      <x:c r="D113" s="262" t="str">
        <x:v>掛號處理(含初診處理)開立一般收據及藥單</x:v>
      </x:c>
      <x:c r="E113" s="262" t="n">
        <x:v>14</x:v>
      </x:c>
      <x:c r="F113" s="262" t="n">
        <x:v>12</x:v>
      </x:c>
      <x:c r="G113" s="262" t="str">
        <x:v>111</x:v>
      </x:c>
      <x:c r="H113" s="262" t="str">
        <x:v>掛號、初診、一般收據與藥單處理</x:v>
      </x:c>
      <x:c r="I113" s="262" t="str">
        <x:v>櫃台技能</x:v>
      </x:c>
      <x:c r="J113" s="262" t="str">
        <x:v>FRONT-REGISTRATION</x:v>
      </x:c>
      <x:c r="K113" s="262" t="str">
        <x:v>建立新標準</x:v>
      </x:c>
      <x:c r="L113" s="263" t="str">
        <x:v>待核定</x:v>
      </x:c>
      <x:c r="M113" s="263"/>
      <x:c r="N113" s="263"/>
      <x:c r="O113" s="264"/>
      <x:c r="P113" s="263"/>
      <x:c r="Q113" s="263"/>
      <x:c r="R113" s="262" t="str">
        <x:f>IF($A113="","",IF($L113="待核定","待主管核定",IF($L113="停用","停用",IF($L113="採用建議",IF($K113="需拆分","需完成拆分",IF(OR($H113="",$I113="",$J113="",$O113="",$P113=""),"待補建議或核定資料","可發布")),IF($L113="路由跟診熟悉度",IF(OR($H113="",$J113="",$O113="",$P113=""),"待補核定資料","可發布"),IF(OR($L113="另訂標準",$L113="不合併"),IF(OR($M113="",$N113="",$O113="",$P113=""),"待補最終名稱、代碼或核定資料","可發布"),"待主管核定"))))))</x:f>
        <x:v>待主管核定</x:v>
      </x:c>
      <x:c r="S113" s="262" t="str">
        <x:f>IF($R113&lt;&gt;"可發布","",IF(OR($L113="採用建議",$L113="路由跟診熟悉度"),$H113,$M113))</x:f>
      </x:c>
      <x:c r="T113" s="262" t="str">
        <x:f>IF($R113&lt;&gt;"可發布","",IF(OR($L113="採用建議",$L113="路由跟診熟悉度"),$J113,$N113))</x:f>
      </x:c>
      <x:c r="U113" s="262" t="str">
        <x:f>IF($R113&lt;&gt;"可發布","未檢核",IF($T113="","缺少代碼",IF(COUNTIFS($T$7:$T$123,$T113,$R$7:$R$123,"可發布",$S$7:$S$123,"&lt;&gt;"&amp;$S113)&gt;0,"代碼對應多名稱","一致")))</x:f>
        <x:v>未檢核</x:v>
      </x:c>
      <x:c r="V113" s="262" t="str">
        <x:f>IF($A113="","",IF($R113&lt;&gt;"可發布",$R113,IF($U113="一致","已發布",$U113)))</x:f>
        <x:v>待主管核定</x:v>
      </x:c>
    </x:row>
    <x:row r="114">
      <x:c r="A114" s="262" t="str">
        <x:v>MAP-108</x:v>
      </x:c>
      <x:c r="B114" s="262" t="str">
        <x:v>櫃台</x:v>
      </x:c>
      <x:c r="C114" s="262"/>
      <x:c r="D114" s="262" t="str">
        <x:v>收費紀錄</x:v>
      </x:c>
      <x:c r="E114" s="262" t="n">
        <x:v>14</x:v>
      </x:c>
      <x:c r="F114" s="262" t="n">
        <x:v>12</x:v>
      </x:c>
      <x:c r="G114" s="262" t="str">
        <x:v>112</x:v>
      </x:c>
      <x:c r="H114" s="262" t="str">
        <x:v>收費紀錄</x:v>
      </x:c>
      <x:c r="I114" s="262" t="str">
        <x:v>櫃台技能</x:v>
      </x:c>
      <x:c r="J114" s="262" t="str">
        <x:v>FRONT-PAYMENT</x:v>
      </x:c>
      <x:c r="K114" s="262" t="str">
        <x:v>建立新標準</x:v>
      </x:c>
      <x:c r="L114" s="263" t="str">
        <x:v>待核定</x:v>
      </x:c>
      <x:c r="M114" s="263"/>
      <x:c r="N114" s="263"/>
      <x:c r="O114" s="264"/>
      <x:c r="P114" s="263"/>
      <x:c r="Q114" s="263"/>
      <x:c r="R114" s="262" t="str">
        <x:f>IF($A114="","",IF($L114="待核定","待主管核定",IF($L114="停用","停用",IF($L114="採用建議",IF($K114="需拆分","需完成拆分",IF(OR($H114="",$I114="",$J114="",$O114="",$P114=""),"待補建議或核定資料","可發布")),IF($L114="路由跟診熟悉度",IF(OR($H114="",$J114="",$O114="",$P114=""),"待補核定資料","可發布"),IF(OR($L114="另訂標準",$L114="不合併"),IF(OR($M114="",$N114="",$O114="",$P114=""),"待補最終名稱、代碼或核定資料","可發布"),"待主管核定"))))))</x:f>
        <x:v>待主管核定</x:v>
      </x:c>
      <x:c r="S114" s="262" t="str">
        <x:f>IF($R114&lt;&gt;"可發布","",IF(OR($L114="採用建議",$L114="路由跟診熟悉度"),$H114,$M114))</x:f>
      </x:c>
      <x:c r="T114" s="262" t="str">
        <x:f>IF($R114&lt;&gt;"可發布","",IF(OR($L114="採用建議",$L114="路由跟診熟悉度"),$J114,$N114))</x:f>
      </x:c>
      <x:c r="U114" s="262" t="str">
        <x:f>IF($R114&lt;&gt;"可發布","未檢核",IF($T114="","缺少代碼",IF(COUNTIFS($T$7:$T$123,$T114,$R$7:$R$123,"可發布",$S$7:$S$123,"&lt;&gt;"&amp;$S114)&gt;0,"代碼對應多名稱","一致")))</x:f>
        <x:v>未檢核</x:v>
      </x:c>
      <x:c r="V114" s="262" t="str">
        <x:f>IF($A114="","",IF($R114&lt;&gt;"可發布",$R114,IF($U114="一致","已發布",$U114)))</x:f>
        <x:v>待主管核定</x:v>
      </x:c>
    </x:row>
    <x:row r="115">
      <x:c r="A115" s="262" t="str">
        <x:v>MAP-109</x:v>
      </x:c>
      <x:c r="B115" s="262" t="str">
        <x:v>櫃台</x:v>
      </x:c>
      <x:c r="C115" s="262"/>
      <x:c r="D115" s="262" t="str">
        <x:v>病歷整理</x:v>
      </x:c>
      <x:c r="E115" s="262" t="n">
        <x:v>14</x:v>
      </x:c>
      <x:c r="F115" s="262" t="n">
        <x:v>12</x:v>
      </x:c>
      <x:c r="G115" s="262" t="str">
        <x:v>113</x:v>
      </x:c>
      <x:c r="H115" s="262" t="str">
        <x:v>病歷整理</x:v>
      </x:c>
      <x:c r="I115" s="262" t="str">
        <x:v>櫃台技能</x:v>
      </x:c>
      <x:c r="J115" s="262" t="str">
        <x:v>FRONT-RECORDS</x:v>
      </x:c>
      <x:c r="K115" s="262" t="str">
        <x:v>建立新標準</x:v>
      </x:c>
      <x:c r="L115" s="263" t="str">
        <x:v>待核定</x:v>
      </x:c>
      <x:c r="M115" s="263"/>
      <x:c r="N115" s="263"/>
      <x:c r="O115" s="264"/>
      <x:c r="P115" s="263"/>
      <x:c r="Q115" s="263"/>
      <x:c r="R115" s="262" t="str">
        <x:f>IF($A115="","",IF($L115="待核定","待主管核定",IF($L115="停用","停用",IF($L115="採用建議",IF($K115="需拆分","需完成拆分",IF(OR($H115="",$I115="",$J115="",$O115="",$P115=""),"待補建議或核定資料","可發布")),IF($L115="路由跟診熟悉度",IF(OR($H115="",$J115="",$O115="",$P115=""),"待補核定資料","可發布"),IF(OR($L115="另訂標準",$L115="不合併"),IF(OR($M115="",$N115="",$O115="",$P115=""),"待補最終名稱、代碼或核定資料","可發布"),"待主管核定"))))))</x:f>
        <x:v>待主管核定</x:v>
      </x:c>
      <x:c r="S115" s="262" t="str">
        <x:f>IF($R115&lt;&gt;"可發布","",IF(OR($L115="採用建議",$L115="路由跟診熟悉度"),$H115,$M115))</x:f>
      </x:c>
      <x:c r="T115" s="262" t="str">
        <x:f>IF($R115&lt;&gt;"可發布","",IF(OR($L115="採用建議",$L115="路由跟診熟悉度"),$J115,$N115))</x:f>
      </x:c>
      <x:c r="U115" s="262" t="str">
        <x:f>IF($R115&lt;&gt;"可發布","未檢核",IF($T115="","缺少代碼",IF(COUNTIFS($T$7:$T$123,$T115,$R$7:$R$123,"可發布",$S$7:$S$123,"&lt;&gt;"&amp;$S115)&gt;0,"代碼對應多名稱","一致")))</x:f>
        <x:v>未檢核</x:v>
      </x:c>
      <x:c r="V115" s="262" t="str">
        <x:f>IF($A115="","",IF($R115&lt;&gt;"可發布",$R115,IF($U115="一致","已發布",$U115)))</x:f>
        <x:v>待主管核定</x:v>
      </x:c>
    </x:row>
    <x:row r="116">
      <x:c r="A116" s="262" t="str">
        <x:v>MAP-110</x:v>
      </x:c>
      <x:c r="B116" s="262" t="str">
        <x:v>櫃台</x:v>
      </x:c>
      <x:c r="C116" s="262"/>
      <x:c r="D116" s="262" t="str">
        <x:v>治療同意書填寫</x:v>
      </x:c>
      <x:c r="E116" s="262" t="n">
        <x:v>14</x:v>
      </x:c>
      <x:c r="F116" s="262" t="n">
        <x:v>12</x:v>
      </x:c>
      <x:c r="G116" s="262" t="str">
        <x:v>114</x:v>
      </x:c>
      <x:c r="H116" s="262" t="str">
        <x:v>治療同意書填寫</x:v>
      </x:c>
      <x:c r="I116" s="262" t="str">
        <x:v>櫃台技能</x:v>
      </x:c>
      <x:c r="J116" s="262" t="str">
        <x:v>FRONT-CONSENT</x:v>
      </x:c>
      <x:c r="K116" s="262" t="str">
        <x:v>建立新標準</x:v>
      </x:c>
      <x:c r="L116" s="263" t="str">
        <x:v>待核定</x:v>
      </x:c>
      <x:c r="M116" s="263"/>
      <x:c r="N116" s="263"/>
      <x:c r="O116" s="264"/>
      <x:c r="P116" s="263"/>
      <x:c r="Q116" s="263"/>
      <x:c r="R116" s="262" t="str">
        <x:f>IF($A116="","",IF($L116="待核定","待主管核定",IF($L116="停用","停用",IF($L116="採用建議",IF($K116="需拆分","需完成拆分",IF(OR($H116="",$I116="",$J116="",$O116="",$P116=""),"待補建議或核定資料","可發布")),IF($L116="路由跟診熟悉度",IF(OR($H116="",$J116="",$O116="",$P116=""),"待補核定資料","可發布"),IF(OR($L116="另訂標準",$L116="不合併"),IF(OR($M116="",$N116="",$O116="",$P116=""),"待補最終名稱、代碼或核定資料","可發布"),"待主管核定"))))))</x:f>
        <x:v>待主管核定</x:v>
      </x:c>
      <x:c r="S116" s="262" t="str">
        <x:f>IF($R116&lt;&gt;"可發布","",IF(OR($L116="採用建議",$L116="路由跟診熟悉度"),$H116,$M116))</x:f>
      </x:c>
      <x:c r="T116" s="262" t="str">
        <x:f>IF($R116&lt;&gt;"可發布","",IF(OR($L116="採用建議",$L116="路由跟診熟悉度"),$J116,$N116))</x:f>
      </x:c>
      <x:c r="U116" s="262" t="str">
        <x:f>IF($R116&lt;&gt;"可發布","未檢核",IF($T116="","缺少代碼",IF(COUNTIFS($T$7:$T$123,$T116,$R$7:$R$123,"可發布",$S$7:$S$123,"&lt;&gt;"&amp;$S116)&gt;0,"代碼對應多名稱","一致")))</x:f>
        <x:v>未檢核</x:v>
      </x:c>
      <x:c r="V116" s="262" t="str">
        <x:f>IF($A116="","",IF($R116&lt;&gt;"可發布",$R116,IF($U116="一致","已發布",$U116)))</x:f>
        <x:v>待主管核定</x:v>
      </x:c>
    </x:row>
    <x:row r="117">
      <x:c r="A117" s="262" t="str">
        <x:v>MAP-111</x:v>
      </x:c>
      <x:c r="B117" s="262" t="str">
        <x:v>櫃台</x:v>
      </x:c>
      <x:c r="C117" s="262"/>
      <x:c r="D117" s="262" t="str">
        <x:v>與患者應對</x:v>
      </x:c>
      <x:c r="E117" s="262" t="n">
        <x:v>14</x:v>
      </x:c>
      <x:c r="F117" s="262" t="n">
        <x:v>12</x:v>
      </x:c>
      <x:c r="G117" s="262" t="str">
        <x:v>115</x:v>
      </x:c>
      <x:c r="H117" s="262" t="str">
        <x:v>患者應對</x:v>
      </x:c>
      <x:c r="I117" s="262" t="str">
        <x:v>櫃台技能</x:v>
      </x:c>
      <x:c r="J117" s="262" t="str">
        <x:v>FRONT-PATIENT-COMM</x:v>
      </x:c>
      <x:c r="K117" s="262" t="str">
        <x:v>建立新標準</x:v>
      </x:c>
      <x:c r="L117" s="263" t="str">
        <x:v>待核定</x:v>
      </x:c>
      <x:c r="M117" s="263"/>
      <x:c r="N117" s="263"/>
      <x:c r="O117" s="264"/>
      <x:c r="P117" s="263"/>
      <x:c r="Q117" s="263"/>
      <x:c r="R117" s="262" t="str">
        <x:f>IF($A117="","",IF($L117="待核定","待主管核定",IF($L117="停用","停用",IF($L117="採用建議",IF($K117="需拆分","需完成拆分",IF(OR($H117="",$I117="",$J117="",$O117="",$P117=""),"待補建議或核定資料","可發布")),IF($L117="路由跟診熟悉度",IF(OR($H117="",$J117="",$O117="",$P117=""),"待補核定資料","可發布"),IF(OR($L117="另訂標準",$L117="不合併"),IF(OR($M117="",$N117="",$O117="",$P117=""),"待補最終名稱、代碼或核定資料","可發布"),"待主管核定"))))))</x:f>
        <x:v>待主管核定</x:v>
      </x:c>
      <x:c r="S117" s="262" t="str">
        <x:f>IF($R117&lt;&gt;"可發布","",IF(OR($L117="採用建議",$L117="路由跟診熟悉度"),$H117,$M117))</x:f>
      </x:c>
      <x:c r="T117" s="262" t="str">
        <x:f>IF($R117&lt;&gt;"可發布","",IF(OR($L117="採用建議",$L117="路由跟診熟悉度"),$J117,$N117))</x:f>
      </x:c>
      <x:c r="U117" s="262" t="str">
        <x:f>IF($R117&lt;&gt;"可發布","未檢核",IF($T117="","缺少代碼",IF(COUNTIFS($T$7:$T$123,$T117,$R$7:$R$123,"可發布",$S$7:$S$123,"&lt;&gt;"&amp;$S117)&gt;0,"代碼對應多名稱","一致")))</x:f>
        <x:v>未檢核</x:v>
      </x:c>
      <x:c r="V117" s="262" t="str">
        <x:f>IF($A117="","",IF($R117&lt;&gt;"可發布",$R117,IF($U117="一致","已發布",$U117)))</x:f>
        <x:v>待主管核定</x:v>
      </x:c>
    </x:row>
    <x:row r="118">
      <x:c r="A118" s="262" t="str">
        <x:v>MAP-112</x:v>
      </x:c>
      <x:c r="B118" s="262" t="str">
        <x:v>櫃台</x:v>
      </x:c>
      <x:c r="C118" s="262"/>
      <x:c r="D118" s="262" t="str">
        <x:v>約診</x:v>
      </x:c>
      <x:c r="E118" s="262" t="n">
        <x:v>14</x:v>
      </x:c>
      <x:c r="F118" s="262" t="n">
        <x:v>12</x:v>
      </x:c>
      <x:c r="G118" s="262" t="str">
        <x:v>116</x:v>
      </x:c>
      <x:c r="H118" s="262" t="str">
        <x:v>約診處理</x:v>
      </x:c>
      <x:c r="I118" s="262" t="str">
        <x:v>櫃台技能</x:v>
      </x:c>
      <x:c r="J118" s="262" t="str">
        <x:v>FRONT-APPOINTMENT</x:v>
      </x:c>
      <x:c r="K118" s="262" t="str">
        <x:v>建立新標準</x:v>
      </x:c>
      <x:c r="L118" s="263" t="str">
        <x:v>待核定</x:v>
      </x:c>
      <x:c r="M118" s="263"/>
      <x:c r="N118" s="263"/>
      <x:c r="O118" s="264"/>
      <x:c r="P118" s="263"/>
      <x:c r="Q118" s="263"/>
      <x:c r="R118" s="262" t="str">
        <x:f>IF($A118="","",IF($L118="待核定","待主管核定",IF($L118="停用","停用",IF($L118="採用建議",IF($K118="需拆分","需完成拆分",IF(OR($H118="",$I118="",$J118="",$O118="",$P118=""),"待補建議或核定資料","可發布")),IF($L118="路由跟診熟悉度",IF(OR($H118="",$J118="",$O118="",$P118=""),"待補核定資料","可發布"),IF(OR($L118="另訂標準",$L118="不合併"),IF(OR($M118="",$N118="",$O118="",$P118=""),"待補最終名稱、代碼或核定資料","可發布"),"待主管核定"))))))</x:f>
        <x:v>待主管核定</x:v>
      </x:c>
      <x:c r="S118" s="262" t="str">
        <x:f>IF($R118&lt;&gt;"可發布","",IF(OR($L118="採用建議",$L118="路由跟診熟悉度"),$H118,$M118))</x:f>
      </x:c>
      <x:c r="T118" s="262" t="str">
        <x:f>IF($R118&lt;&gt;"可發布","",IF(OR($L118="採用建議",$L118="路由跟診熟悉度"),$J118,$N118))</x:f>
      </x:c>
      <x:c r="U118" s="262" t="str">
        <x:f>IF($R118&lt;&gt;"可發布","未檢核",IF($T118="","缺少代碼",IF(COUNTIFS($T$7:$T$123,$T118,$R$7:$R$123,"可發布",$S$7:$S$123,"&lt;&gt;"&amp;$S118)&gt;0,"代碼對應多名稱","一致")))</x:f>
        <x:v>未檢核</x:v>
      </x:c>
      <x:c r="V118" s="262" t="str">
        <x:f>IF($A118="","",IF($R118&lt;&gt;"可發布",$R118,IF($U118="一致","已發布",$U118)))</x:f>
        <x:v>待主管核定</x:v>
      </x:c>
    </x:row>
    <x:row r="119">
      <x:c r="A119" s="262" t="str">
        <x:v>MAP-113</x:v>
      </x:c>
      <x:c r="B119" s="262" t="str">
        <x:v>櫃台</x:v>
      </x:c>
      <x:c r="C119" s="262"/>
      <x:c r="D119" s="262" t="str">
        <x:v>報表製作</x:v>
      </x:c>
      <x:c r="E119" s="262" t="n">
        <x:v>14</x:v>
      </x:c>
      <x:c r="F119" s="262" t="n">
        <x:v>12</x:v>
      </x:c>
      <x:c r="G119" s="262" t="str">
        <x:v>117</x:v>
      </x:c>
      <x:c r="H119" s="262" t="str">
        <x:v>報表製作</x:v>
      </x:c>
      <x:c r="I119" s="262" t="str">
        <x:v>櫃台技能</x:v>
      </x:c>
      <x:c r="J119" s="262" t="str">
        <x:v>FRONT-REPORT</x:v>
      </x:c>
      <x:c r="K119" s="262" t="str">
        <x:v>建立新標準</x:v>
      </x:c>
      <x:c r="L119" s="263" t="str">
        <x:v>待核定</x:v>
      </x:c>
      <x:c r="M119" s="263"/>
      <x:c r="N119" s="263"/>
      <x:c r="O119" s="264"/>
      <x:c r="P119" s="263"/>
      <x:c r="Q119" s="263"/>
      <x:c r="R119" s="262" t="str">
        <x:f>IF($A119="","",IF($L119="待核定","待主管核定",IF($L119="停用","停用",IF($L119="採用建議",IF($K119="需拆分","需完成拆分",IF(OR($H119="",$I119="",$J119="",$O119="",$P119=""),"待補建議或核定資料","可發布")),IF($L119="路由跟診熟悉度",IF(OR($H119="",$J119="",$O119="",$P119=""),"待補核定資料","可發布"),IF(OR($L119="另訂標準",$L119="不合併"),IF(OR($M119="",$N119="",$O119="",$P119=""),"待補最終名稱、代碼或核定資料","可發布"),"待主管核定"))))))</x:f>
        <x:v>待主管核定</x:v>
      </x:c>
      <x:c r="S119" s="262" t="str">
        <x:f>IF($R119&lt;&gt;"可發布","",IF(OR($L119="採用建議",$L119="路由跟診熟悉度"),$H119,$M119))</x:f>
      </x:c>
      <x:c r="T119" s="262" t="str">
        <x:f>IF($R119&lt;&gt;"可發布","",IF(OR($L119="採用建議",$L119="路由跟診熟悉度"),$J119,$N119))</x:f>
      </x:c>
      <x:c r="U119" s="262" t="str">
        <x:f>IF($R119&lt;&gt;"可發布","未檢核",IF($T119="","缺少代碼",IF(COUNTIFS($T$7:$T$123,$T119,$R$7:$R$123,"可發布",$S$7:$S$123,"&lt;&gt;"&amp;$S119)&gt;0,"代碼對應多名稱","一致")))</x:f>
        <x:v>未檢核</x:v>
      </x:c>
      <x:c r="V119" s="262" t="str">
        <x:f>IF($A119="","",IF($R119&lt;&gt;"可發布",$R119,IF($U119="一致","已發布",$U119)))</x:f>
        <x:v>待主管核定</x:v>
      </x:c>
    </x:row>
    <x:row r="120">
      <x:c r="A120" s="262" t="str">
        <x:v>MAP-114</x:v>
      </x:c>
      <x:c r="B120" s="262" t="str">
        <x:v>櫃台</x:v>
      </x:c>
      <x:c r="C120" s="262"/>
      <x:c r="D120" s="262" t="str">
        <x:v>診斷證明書</x:v>
      </x:c>
      <x:c r="E120" s="262" t="n">
        <x:v>14</x:v>
      </x:c>
      <x:c r="F120" s="262" t="n">
        <x:v>9</x:v>
      </x:c>
      <x:c r="G120" s="262" t="str">
        <x:v>118</x:v>
      </x:c>
      <x:c r="H120" s="262" t="str">
        <x:v>診斷證明書處理</x:v>
      </x:c>
      <x:c r="I120" s="262" t="str">
        <x:v>櫃台技能</x:v>
      </x:c>
      <x:c r="J120" s="262" t="str">
        <x:v>FRONT-CERTIFICATE</x:v>
      </x:c>
      <x:c r="K120" s="262" t="str">
        <x:v>建立新標準</x:v>
      </x:c>
      <x:c r="L120" s="263" t="str">
        <x:v>待核定</x:v>
      </x:c>
      <x:c r="M120" s="263"/>
      <x:c r="N120" s="263"/>
      <x:c r="O120" s="264"/>
      <x:c r="P120" s="263"/>
      <x:c r="Q120" s="263"/>
      <x:c r="R120" s="262" t="str">
        <x:f>IF($A120="","",IF($L120="待核定","待主管核定",IF($L120="停用","停用",IF($L120="採用建議",IF($K120="需拆分","需完成拆分",IF(OR($H120="",$I120="",$J120="",$O120="",$P120=""),"待補建議或核定資料","可發布")),IF($L120="路由跟診熟悉度",IF(OR($H120="",$J120="",$O120="",$P120=""),"待補核定資料","可發布"),IF(OR($L120="另訂標準",$L120="不合併"),IF(OR($M120="",$N120="",$O120="",$P120=""),"待補最終名稱、代碼或核定資料","可發布"),"待主管核定"))))))</x:f>
        <x:v>待主管核定</x:v>
      </x:c>
      <x:c r="S120" s="262" t="str">
        <x:f>IF($R120&lt;&gt;"可發布","",IF(OR($L120="採用建議",$L120="路由跟診熟悉度"),$H120,$M120))</x:f>
      </x:c>
      <x:c r="T120" s="262" t="str">
        <x:f>IF($R120&lt;&gt;"可發布","",IF(OR($L120="採用建議",$L120="路由跟診熟悉度"),$J120,$N120))</x:f>
      </x:c>
      <x:c r="U120" s="262" t="str">
        <x:f>IF($R120&lt;&gt;"可發布","未檢核",IF($T120="","缺少代碼",IF(COUNTIFS($T$7:$T$123,$T120,$R$7:$R$123,"可發布",$S$7:$S$123,"&lt;&gt;"&amp;$S120)&gt;0,"代碼對應多名稱","一致")))</x:f>
        <x:v>未檢核</x:v>
      </x:c>
      <x:c r="V120" s="262" t="str">
        <x:f>IF($A120="","",IF($R120&lt;&gt;"可發布",$R120,IF($U120="一致","已發布",$U120)))</x:f>
        <x:v>待主管核定</x:v>
      </x:c>
    </x:row>
    <x:row r="121">
      <x:c r="A121" s="262" t="str">
        <x:v>MAP-115</x:v>
      </x:c>
      <x:c r="B121" s="262" t="str">
        <x:v>櫃台</x:v>
      </x:c>
      <x:c r="C121" s="262"/>
      <x:c r="D121" s="262" t="str">
        <x:v>牙統VPN</x:v>
      </x:c>
      <x:c r="E121" s="262" t="n">
        <x:v>14</x:v>
      </x:c>
      <x:c r="F121" s="262" t="n">
        <x:v>12</x:v>
      </x:c>
      <x:c r="G121" s="262" t="str">
        <x:v>119</x:v>
      </x:c>
      <x:c r="H121" s="262" t="str">
        <x:v>牙統 VPN 操作</x:v>
      </x:c>
      <x:c r="I121" s="262" t="str">
        <x:v>櫃台技能</x:v>
      </x:c>
      <x:c r="J121" s="262" t="str">
        <x:v>FRONT-DENTAL-VPN</x:v>
      </x:c>
      <x:c r="K121" s="262" t="str">
        <x:v>建立新標準</x:v>
      </x:c>
      <x:c r="L121" s="263" t="str">
        <x:v>待核定</x:v>
      </x:c>
      <x:c r="M121" s="263"/>
      <x:c r="N121" s="263"/>
      <x:c r="O121" s="264"/>
      <x:c r="P121" s="263"/>
      <x:c r="Q121" s="263"/>
      <x:c r="R121" s="262" t="str">
        <x:f>IF($A121="","",IF($L121="待核定","待主管核定",IF($L121="停用","停用",IF($L121="採用建議",IF($K121="需拆分","需完成拆分",IF(OR($H121="",$I121="",$J121="",$O121="",$P121=""),"待補建議或核定資料","可發布")),IF($L121="路由跟診熟悉度",IF(OR($H121="",$J121="",$O121="",$P121=""),"待補核定資料","可發布"),IF(OR($L121="另訂標準",$L121="不合併"),IF(OR($M121="",$N121="",$O121="",$P121=""),"待補最終名稱、代碼或核定資料","可發布"),"待主管核定"))))))</x:f>
        <x:v>待主管核定</x:v>
      </x:c>
      <x:c r="S121" s="262" t="str">
        <x:f>IF($R121&lt;&gt;"可發布","",IF(OR($L121="採用建議",$L121="路由跟診熟悉度"),$H121,$M121))</x:f>
      </x:c>
      <x:c r="T121" s="262" t="str">
        <x:f>IF($R121&lt;&gt;"可發布","",IF(OR($L121="採用建議",$L121="路由跟診熟悉度"),$J121,$N121))</x:f>
      </x:c>
      <x:c r="U121" s="262" t="str">
        <x:f>IF($R121&lt;&gt;"可發布","未檢核",IF($T121="","缺少代碼",IF(COUNTIFS($T$7:$T$123,$T121,$R$7:$R$123,"可發布",$S$7:$S$123,"&lt;&gt;"&amp;$S121)&gt;0,"代碼對應多名稱","一致")))</x:f>
        <x:v>未檢核</x:v>
      </x:c>
      <x:c r="V121" s="262" t="str">
        <x:f>IF($A121="","",IF($R121&lt;&gt;"可發布",$R121,IF($U121="一致","已發布",$U121)))</x:f>
        <x:v>待主管核定</x:v>
      </x:c>
    </x:row>
    <x:row r="122">
      <x:c r="A122" s="262" t="str">
        <x:v>MAP-116</x:v>
      </x:c>
      <x:c r="B122" s="262" t="str">
        <x:v>櫃台</x:v>
      </x:c>
      <x:c r="C122" s="262"/>
      <x:c r="D122" s="262" t="str">
        <x:v>病歷檢查核對</x:v>
      </x:c>
      <x:c r="E122" s="262" t="n">
        <x:v>14</x:v>
      </x:c>
      <x:c r="F122" s="262" t="n">
        <x:v>5</x:v>
      </x:c>
      <x:c r="G122" s="262" t="str">
        <x:v>120</x:v>
      </x:c>
      <x:c r="H122" s="262" t="str">
        <x:v>病歷檢查核對</x:v>
      </x:c>
      <x:c r="I122" s="262" t="str">
        <x:v>櫃台技能</x:v>
      </x:c>
      <x:c r="J122" s="262" t="str">
        <x:v>FRONT-RECORD-AUDIT</x:v>
      </x:c>
      <x:c r="K122" s="262" t="str">
        <x:v>建立新標準</x:v>
      </x:c>
      <x:c r="L122" s="263" t="str">
        <x:v>待核定</x:v>
      </x:c>
      <x:c r="M122" s="263"/>
      <x:c r="N122" s="263"/>
      <x:c r="O122" s="264"/>
      <x:c r="P122" s="263"/>
      <x:c r="Q122" s="263"/>
      <x:c r="R122" s="262" t="str">
        <x:f>IF($A122="","",IF($L122="待核定","待主管核定",IF($L122="停用","停用",IF($L122="採用建議",IF($K122="需拆分","需完成拆分",IF(OR($H122="",$I122="",$J122="",$O122="",$P122=""),"待補建議或核定資料","可發布")),IF($L122="路由跟診熟悉度",IF(OR($H122="",$J122="",$O122="",$P122=""),"待補核定資料","可發布"),IF(OR($L122="另訂標準",$L122="不合併"),IF(OR($M122="",$N122="",$O122="",$P122=""),"待補最終名稱、代碼或核定資料","可發布"),"待主管核定"))))))</x:f>
        <x:v>待主管核定</x:v>
      </x:c>
      <x:c r="S122" s="262" t="str">
        <x:f>IF($R122&lt;&gt;"可發布","",IF(OR($L122="採用建議",$L122="路由跟診熟悉度"),$H122,$M122))</x:f>
      </x:c>
      <x:c r="T122" s="262" t="str">
        <x:f>IF($R122&lt;&gt;"可發布","",IF(OR($L122="採用建議",$L122="路由跟診熟悉度"),$J122,$N122))</x:f>
      </x:c>
      <x:c r="U122" s="262" t="str">
        <x:f>IF($R122&lt;&gt;"可發布","未檢核",IF($T122="","缺少代碼",IF(COUNTIFS($T$7:$T$123,$T122,$R$7:$R$123,"可發布",$S$7:$S$123,"&lt;&gt;"&amp;$S122)&gt;0,"代碼對應多名稱","一致")))</x:f>
        <x:v>未檢核</x:v>
      </x:c>
      <x:c r="V122" s="262" t="str">
        <x:f>IF($A122="","",IF($R122&lt;&gt;"可發布",$R122,IF($U122="一致","已發布",$U122)))</x:f>
        <x:v>待主管核定</x:v>
      </x:c>
    </x:row>
    <x:row r="123">
      <x:c r="A123" s="262" t="str">
        <x:v>MAP-117</x:v>
      </x:c>
      <x:c r="B123" s="262" t="str">
        <x:v>櫃台</x:v>
      </x:c>
      <x:c r="C123" s="262"/>
      <x:c r="D123" s="262" t="str">
        <x:v>抽審資料處理</x:v>
      </x:c>
      <x:c r="E123" s="262" t="n">
        <x:v>14</x:v>
      </x:c>
      <x:c r="F123" s="262" t="n">
        <x:v>5</x:v>
      </x:c>
      <x:c r="G123" s="262" t="str">
        <x:v>121</x:v>
      </x:c>
      <x:c r="H123" s="262" t="str">
        <x:v>抽審資料處理</x:v>
      </x:c>
      <x:c r="I123" s="262" t="str">
        <x:v>櫃台技能</x:v>
      </x:c>
      <x:c r="J123" s="262" t="str">
        <x:v>FRONT-REVIEW-DOCS</x:v>
      </x:c>
      <x:c r="K123" s="262" t="str">
        <x:v>建立新標準</x:v>
      </x:c>
      <x:c r="L123" s="263" t="str">
        <x:v>待核定</x:v>
      </x:c>
      <x:c r="M123" s="263"/>
      <x:c r="N123" s="263"/>
      <x:c r="O123" s="264"/>
      <x:c r="P123" s="263"/>
      <x:c r="Q123" s="263"/>
      <x:c r="R123" s="262" t="str">
        <x:f>IF($A123="","",IF($L123="待核定","待主管核定",IF($L123="停用","停用",IF($L123="採用建議",IF($K123="需拆分","需完成拆分",IF(OR($H123="",$I123="",$J123="",$O123="",$P123=""),"待補建議或核定資料","可發布")),IF($L123="路由跟診熟悉度",IF(OR($H123="",$J123="",$O123="",$P123=""),"待補核定資料","可發布"),IF(OR($L123="另訂標準",$L123="不合併"),IF(OR($M123="",$N123="",$O123="",$P123=""),"待補最終名稱、代碼或核定資料","可發布"),"待主管核定"))))))</x:f>
        <x:v>待主管核定</x:v>
      </x:c>
      <x:c r="S123" s="262" t="str">
        <x:f>IF($R123&lt;&gt;"可發布","",IF(OR($L123="採用建議",$L123="路由跟診熟悉度"),$H123,$M123))</x:f>
      </x:c>
      <x:c r="T123" s="262" t="str">
        <x:f>IF($R123&lt;&gt;"可發布","",IF(OR($L123="採用建議",$L123="路由跟診熟悉度"),$J123,$N123))</x:f>
      </x:c>
      <x:c r="U123" s="262" t="str">
        <x:f>IF($R123&lt;&gt;"可發布","未檢核",IF($T123="","缺少代碼",IF(COUNTIFS($T$7:$T$123,$T123,$R$7:$R$123,"可發布",$S$7:$S$123,"&lt;&gt;"&amp;$S123)&gt;0,"代碼對應多名稱","一致")))</x:f>
        <x:v>未檢核</x:v>
      </x:c>
      <x:c r="V123" s="262" t="str">
        <x:f>IF($A123="","",IF($R123&lt;&gt;"可發布",$R123,IF($U123="一致","已發布",$U123)))</x:f>
        <x:v>待主管核定</x:v>
      </x:c>
    </x:row>
  </x:sheetData>
  <x:mergeCells>
    <x:mergeCell ref="A2:V2"/>
    <x:mergeCell ref="A4:V4"/>
  </x:mergeCells>
  <x:conditionalFormatting sqref="R7:R123">
    <x:cfRule type="containsText" dxfId="67" priority="1" operator="containsText" text="可發布"/>
    <x:cfRule type="containsText" dxfId="68" priority="2" operator="containsText" text="需完成拆分"/>
  </x:conditionalFormatting>
  <x:conditionalFormatting sqref="U7:V123">
    <x:cfRule type="containsText" dxfId="69" priority="3" operator="containsText" text="代碼對應多名稱"/>
  </x:conditionalFormatting>
  <x:conditionalFormatting sqref="V7:V123">
    <x:cfRule type="containsText" dxfId="70" priority="4" operator="containsText" text="已發布"/>
  </x:conditionalFormatting>
  <x:dataValidations count="1">
    <x:dataValidation type="list" sqref="L7:L123">
      <x:formula1>"待核定,採用建議,另訂標準,不合併,路由跟診熟悉度,停用"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a9256b1eb24d8c"/>
  </x:tableParts>
</x:worksheet>
</file>

<file path=xl/worksheets/sheet37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14" hidden="0" customWidth="1"/>
    <x:col min="5" max="5" width="22" hidden="0" customWidth="1"/>
    <x:col min="6" max="6" width="10" hidden="0" customWidth="1"/>
    <x:col min="7" max="7" width="16" hidden="0" customWidth="1"/>
    <x:col min="8" max="8" width="40" hidden="0" customWidth="1"/>
    <x:col min="9" max="9" width="38" hidden="0" customWidth="1"/>
    <x:col min="10" max="10" width="28" hidden="0" customWidth="1"/>
    <x:col min="11" max="11" width="10" hidden="0" customWidth="1"/>
    <x:col min="12" max="12" width="16" hidden="0" customWidth="1"/>
    <x:col min="13" max="13" width="14" hidden="0" customWidth="1"/>
    <x:col min="14" max="14" width="16" hidden="0" customWidth="1"/>
    <x:col min="15" max="15" width="30" hidden="0" customWidth="1"/>
    <x:col min="16" max="16" width="24" hidden="0" customWidth="1"/>
    <x:col min="17" max="17" width="34" hidden="0" customWidth="1"/>
    <x:col min="18" max="18" width="28" hidden="0" customWidth="1"/>
  </x:cols>
  <x:sheetData>
    <x:row r="2">
      <x:c r="A2" s="74" t="str">
        <x:v>半年複評操作檢核項目輸入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75" t="str">
        <x:v>黃色欄位由主管填寫。系統只預列七類與五項影像分項，不提供臨床步驟；每個項目需保存來源文件與來源定位。操作項目、通過標準、證據方式、核定與來源都完整後，才會計入版本發布；修訂時請新增版本與項目列，不覆寫舊版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</x:row>
    <x:row r="6">
      <x:c r="A6" s="271" t="str">
        <x:v>項目鍵</x:v>
      </x:c>
      <x:c r="B6" s="271" t="str">
        <x:v>檢核表代碼</x:v>
      </x:c>
      <x:c r="C6" s="271" t="str">
        <x:v>適用技能／類別</x:v>
      </x:c>
      <x:c r="D6" s="271" t="str">
        <x:v>版本</x:v>
      </x:c>
      <x:c r="E6" s="271" t="str">
        <x:v>技能分項</x:v>
      </x:c>
      <x:c r="F6" s="271" t="str">
        <x:v>項次</x:v>
      </x:c>
      <x:c r="G6" s="271" t="str">
        <x:v>項目類型</x:v>
      </x:c>
      <x:c r="H6" s="271" t="str">
        <x:v>操作檢核項目</x:v>
      </x:c>
      <x:c r="I6" s="271" t="str">
        <x:v>通過標準</x:v>
      </x:c>
      <x:c r="J6" s="271" t="str">
        <x:v>證據／紀錄方式</x:v>
      </x:c>
      <x:c r="K6" s="271" t="str">
        <x:v>啟用</x:v>
      </x:c>
      <x:c r="L6" s="271" t="str">
        <x:v>主管決定</x:v>
      </x:c>
      <x:c r="M6" s="271" t="str">
        <x:v>生效日</x:v>
      </x:c>
      <x:c r="N6" s="271" t="str">
        <x:v>核定人</x:v>
      </x:c>
      <x:c r="O6" s="271" t="str">
        <x:v>備註</x:v>
      </x:c>
      <x:c r="P6" s="271" t="str">
        <x:v>收件檢核</x:v>
      </x:c>
      <x:c r="Q6" s="420" t="str">
        <x:v>來源文件／版本</x:v>
      </x:c>
      <x:c r="R6" s="420" t="str">
        <x:v>來源定位</x:v>
      </x:c>
    </x:row>
    <x:row r="7">
      <x:c r="A7" s="281" t="str">
        <x:v>ITEM-001</x:v>
      </x:c>
      <x:c r="B7" s="281" t="str">
        <x:v>CHK-STERIL-01</x:v>
      </x:c>
      <x:c r="C7" s="283" t="str">
        <x:f>IF($B7="","",_xlfn.XLOOKUP($B7,'檢核表版本'!$A$7:$A$13,'檢核表版本'!$B$7:$B$13,"未建立",0))</x:f>
        <x:v>器械清消流程</x:v>
      </x:c>
      <x:c r="D7" s="283" t="str">
        <x:f>IF($B7="","",_xlfn.XLOOKUP($B7,'檢核表版本'!$A$7:$A$13,'檢核表版本'!$C$7:$C$13,"未建立",0))</x:f>
        <x:v>V1 草案</x:v>
      </x:c>
      <x:c r="E7" s="281" t="str">
        <x:v>器械清消流程</x:v>
      </x:c>
      <x:c r="F7" s="281" t="n">
        <x:v>1</x:v>
      </x:c>
      <x:c r="G7" s="281"/>
      <x:c r="H7" s="281"/>
      <x:c r="I7" s="281"/>
      <x:c r="J7" s="281"/>
      <x:c r="K7" s="281" t="str">
        <x:v>是</x:v>
      </x:c>
      <x:c r="L7" s="281" t="str">
        <x:v>待核定</x:v>
      </x:c>
      <x:c r="M7" s="282"/>
      <x:c r="N7" s="281"/>
      <x:c r="O7" s="281"/>
      <x:c r="P7" s="283" t="str">
        <x:f>IF($A7="","",IF($K7="否","停用項目",IF(COUNTIFS($A$7:$A$106,$A7)&gt;1,"項目鍵重複",IF(OR($B7="",$C7="",$C7="未建立",$D7="",$D7="未建立",$E7="",$F7="",$G7="",$H7="",$I7="",$J7="",$L7="",$M7="",$N7=""),IF($L7="已核定","已核定但資料未完整","待補欄位或核定"),IF(OR($Q7="",$R7=""),IF($L7="已核定","已核定但缺來源依據","待補來源依據"),IF($L7&lt;&gt;"已核定","待主管核定",IF(COUNTIFS($B$7:$B$106,$B7,$D$7:$D$106,$D7,$E$7:$E$106,$E7,$F$7:$F$106,$F7,$K$7:$K$106,"是")&gt;1,"項次重複","可發布")))))))</x:f>
        <x:v>待補欄位或核定</x:v>
      </x:c>
      <x:c r="Q7" s="421"/>
      <x:c r="R7" s="421"/>
    </x:row>
    <x:row r="8">
      <x:c r="A8" s="281" t="str">
        <x:v>ITEM-002</x:v>
      </x:c>
      <x:c r="B8" s="281" t="str">
        <x:v>CHK-IMAGE-01</x:v>
      </x:c>
      <x:c r="C8" s="283" t="str">
        <x:f>IF($B8="","",_xlfn.XLOOKUP($B8,'檢核表版本'!$A$7:$A$13,'檢核表版本'!$B$7:$B$13,"未建立",0))</x:f>
        <x:v>影像操作（分項）</x:v>
      </x:c>
      <x:c r="D8" s="283" t="str">
        <x:f>IF($B8="","",_xlfn.XLOOKUP($B8,'檢核表版本'!$A$7:$A$13,'檢核表版本'!$C$7:$C$13,"未建立",0))</x:f>
        <x:v>V1 草案</x:v>
      </x:c>
      <x:c r="E8" s="281" t="str">
        <x:v>PA</x:v>
      </x:c>
      <x:c r="F8" s="281" t="n">
        <x:v>1</x:v>
      </x:c>
      <x:c r="G8" s="281"/>
      <x:c r="H8" s="281"/>
      <x:c r="I8" s="281"/>
      <x:c r="J8" s="281"/>
      <x:c r="K8" s="281" t="str">
        <x:v>是</x:v>
      </x:c>
      <x:c r="L8" s="281" t="str">
        <x:v>待核定</x:v>
      </x:c>
      <x:c r="M8" s="282"/>
      <x:c r="N8" s="281"/>
      <x:c r="O8" s="281"/>
      <x:c r="P8" s="283" t="str">
        <x:f>IF($A8="","",IF($K8="否","停用項目",IF(COUNTIFS($A$7:$A$106,$A8)&gt;1,"項目鍵重複",IF(OR($B8="",$C8="",$C8="未建立",$D8="",$D8="未建立",$E8="",$F8="",$G8="",$H8="",$I8="",$J8="",$L8="",$M8="",$N8=""),IF($L8="已核定","已核定但資料未完整","待補欄位或核定"),IF(OR($Q8="",$R8=""),IF($L8="已核定","已核定但缺來源依據","待補來源依據"),IF($L8&lt;&gt;"已核定","待主管核定",IF(COUNTIFS($B$7:$B$106,$B8,$D$7:$D$106,$D8,$E$7:$E$106,$E8,$F$7:$F$106,$F8,$K$7:$K$106,"是")&gt;1,"項次重複","可發布")))))))</x:f>
        <x:v>待補欄位或核定</x:v>
      </x:c>
      <x:c r="Q8" s="421"/>
      <x:c r="R8" s="421"/>
    </x:row>
    <x:row r="9">
      <x:c r="A9" s="281" t="str">
        <x:v>ITEM-003</x:v>
      </x:c>
      <x:c r="B9" s="281" t="str">
        <x:v>CHK-IMAGE-01</x:v>
      </x:c>
      <x:c r="C9" s="283" t="str">
        <x:f>IF($B9="","",_xlfn.XLOOKUP($B9,'檢核表版本'!$A$7:$A$13,'檢核表版本'!$B$7:$B$13,"未建立",0))</x:f>
        <x:v>影像操作（分項）</x:v>
      </x:c>
      <x:c r="D9" s="283" t="str">
        <x:f>IF($B9="","",_xlfn.XLOOKUP($B9,'檢核表版本'!$A$7:$A$13,'檢核表版本'!$C$7:$C$13,"未建立",0))</x:f>
        <x:v>V1 草案</x:v>
      </x:c>
      <x:c r="E9" s="281" t="str">
        <x:v>PANO</x:v>
      </x:c>
      <x:c r="F9" s="281" t="n">
        <x:v>1</x:v>
      </x:c>
      <x:c r="G9" s="281"/>
      <x:c r="H9" s="281"/>
      <x:c r="I9" s="281"/>
      <x:c r="J9" s="281"/>
      <x:c r="K9" s="281" t="str">
        <x:v>是</x:v>
      </x:c>
      <x:c r="L9" s="281" t="str">
        <x:v>待核定</x:v>
      </x:c>
      <x:c r="M9" s="282"/>
      <x:c r="N9" s="281"/>
      <x:c r="O9" s="281"/>
      <x:c r="P9" s="283" t="str">
        <x:f>IF($A9="","",IF($K9="否","停用項目",IF(COUNTIFS($A$7:$A$106,$A9)&gt;1,"項目鍵重複",IF(OR($B9="",$C9="",$C9="未建立",$D9="",$D9="未建立",$E9="",$F9="",$G9="",$H9="",$I9="",$J9="",$L9="",$M9="",$N9=""),IF($L9="已核定","已核定但資料未完整","待補欄位或核定"),IF(OR($Q9="",$R9=""),IF($L9="已核定","已核定但缺來源依據","待補來源依據"),IF($L9&lt;&gt;"已核定","待主管核定",IF(COUNTIFS($B$7:$B$106,$B9,$D$7:$D$106,$D9,$E$7:$E$106,$E9,$F$7:$F$106,$F9,$K$7:$K$106,"是")&gt;1,"項次重複","可發布")))))))</x:f>
        <x:v>待補欄位或核定</x:v>
      </x:c>
      <x:c r="Q9" s="421"/>
      <x:c r="R9" s="421"/>
    </x:row>
    <x:row r="10">
      <x:c r="A10" s="281" t="str">
        <x:v>ITEM-004</x:v>
      </x:c>
      <x:c r="B10" s="281" t="str">
        <x:v>CHK-IMAGE-01</x:v>
      </x:c>
      <x:c r="C10" s="283" t="str">
        <x:f>IF($B10="","",_xlfn.XLOOKUP($B10,'檢核表版本'!$A$7:$A$13,'檢核表版本'!$B$7:$B$13,"未建立",0))</x:f>
        <x:v>影像操作（分項）</x:v>
      </x:c>
      <x:c r="D10" s="283" t="str">
        <x:f>IF($B10="","",_xlfn.XLOOKUP($B10,'檢核表版本'!$A$7:$A$13,'檢核表版本'!$C$7:$C$13,"未建立",0))</x:f>
        <x:v>V1 草案</x:v>
      </x:c>
      <x:c r="E10" s="281" t="str">
        <x:v>CT</x:v>
      </x:c>
      <x:c r="F10" s="281" t="n">
        <x:v>1</x:v>
      </x:c>
      <x:c r="G10" s="281"/>
      <x:c r="H10" s="281"/>
      <x:c r="I10" s="281"/>
      <x:c r="J10" s="281"/>
      <x:c r="K10" s="281" t="str">
        <x:v>是</x:v>
      </x:c>
      <x:c r="L10" s="281" t="str">
        <x:v>待核定</x:v>
      </x:c>
      <x:c r="M10" s="282"/>
      <x:c r="N10" s="281"/>
      <x:c r="O10" s="281"/>
      <x:c r="P10" s="283" t="str">
        <x:f>IF($A10="","",IF($K10="否","停用項目",IF(COUNTIFS($A$7:$A$106,$A10)&gt;1,"項目鍵重複",IF(OR($B10="",$C10="",$C10="未建立",$D10="",$D10="未建立",$E10="",$F10="",$G10="",$H10="",$I10="",$J10="",$L10="",$M10="",$N10=""),IF($L10="已核定","已核定但資料未完整","待補欄位或核定"),IF(OR($Q10="",$R10=""),IF($L10="已核定","已核定但缺來源依據","待補來源依據"),IF($L10&lt;&gt;"已核定","待主管核定",IF(COUNTIFS($B$7:$B$106,$B10,$D$7:$D$106,$D10,$E$7:$E$106,$E10,$F$7:$F$106,$F10,$K$7:$K$106,"是")&gt;1,"項次重複","可發布")))))))</x:f>
        <x:v>待補欄位或核定</x:v>
      </x:c>
      <x:c r="Q10" s="421"/>
      <x:c r="R10" s="421"/>
    </x:row>
    <x:row r="11">
      <x:c r="A11" s="281" t="str">
        <x:v>ITEM-005</x:v>
      </x:c>
      <x:c r="B11" s="281" t="str">
        <x:v>CHK-IMAGE-01</x:v>
      </x:c>
      <x:c r="C11" s="283" t="str">
        <x:f>IF($B11="","",_xlfn.XLOOKUP($B11,'檢核表版本'!$A$7:$A$13,'檢核表版本'!$B$7:$B$13,"未建立",0))</x:f>
        <x:v>影像操作（分項）</x:v>
      </x:c>
      <x:c r="D11" s="283" t="str">
        <x:f>IF($B11="","",_xlfn.XLOOKUP($B11,'檢核表版本'!$A$7:$A$13,'檢核表版本'!$C$7:$C$13,"未建立",0))</x:f>
        <x:v>V1 草案</x:v>
      </x:c>
      <x:c r="E11" s="281" t="str">
        <x:v>側頭顱</x:v>
      </x:c>
      <x:c r="F11" s="281" t="n">
        <x:v>1</x:v>
      </x:c>
      <x:c r="G11" s="281"/>
      <x:c r="H11" s="281"/>
      <x:c r="I11" s="281"/>
      <x:c r="J11" s="281"/>
      <x:c r="K11" s="281" t="str">
        <x:v>是</x:v>
      </x:c>
      <x:c r="L11" s="281" t="str">
        <x:v>待核定</x:v>
      </x:c>
      <x:c r="M11" s="282"/>
      <x:c r="N11" s="281"/>
      <x:c r="O11" s="281"/>
      <x:c r="P11" s="283" t="str">
        <x:f>IF($A11="","",IF($K11="否","停用項目",IF(COUNTIFS($A$7:$A$106,$A11)&gt;1,"項目鍵重複",IF(OR($B11="",$C11="",$C11="未建立",$D11="",$D11="未建立",$E11="",$F11="",$G11="",$H11="",$I11="",$J11="",$L11="",$M11="",$N11=""),IF($L11="已核定","已核定但資料未完整","待補欄位或核定"),IF(OR($Q11="",$R11=""),IF($L11="已核定","已核定但缺來源依據","待補來源依據"),IF($L11&lt;&gt;"已核定","待主管核定",IF(COUNTIFS($B$7:$B$106,$B11,$D$7:$D$106,$D11,$E$7:$E$106,$E11,$F$7:$F$106,$F11,$K$7:$K$106,"是")&gt;1,"項次重複","可發布")))))))</x:f>
        <x:v>待補欄位或核定</x:v>
      </x:c>
      <x:c r="Q11" s="421"/>
      <x:c r="R11" s="421"/>
    </x:row>
    <x:row r="12">
      <x:c r="A12" s="281" t="str">
        <x:v>ITEM-006</x:v>
      </x:c>
      <x:c r="B12" s="281" t="str">
        <x:v>CHK-IMAGE-01</x:v>
      </x:c>
      <x:c r="C12" s="283" t="str">
        <x:f>IF($B12="","",_xlfn.XLOOKUP($B12,'檢核表版本'!$A$7:$A$13,'檢核表版本'!$B$7:$B$13,"未建立",0))</x:f>
        <x:v>影像操作（分項）</x:v>
      </x:c>
      <x:c r="D12" s="283" t="str">
        <x:f>IF($B12="","",_xlfn.XLOOKUP($B12,'檢核表版本'!$A$7:$A$13,'檢核表版本'!$C$7:$C$13,"未建立",0))</x:f>
        <x:v>V1 草案</x:v>
      </x:c>
      <x:c r="E12" s="281" t="str">
        <x:v>手持 X 光機</x:v>
      </x:c>
      <x:c r="F12" s="281" t="n">
        <x:v>1</x:v>
      </x:c>
      <x:c r="G12" s="281"/>
      <x:c r="H12" s="281"/>
      <x:c r="I12" s="281"/>
      <x:c r="J12" s="281"/>
      <x:c r="K12" s="281" t="str">
        <x:v>是</x:v>
      </x:c>
      <x:c r="L12" s="281" t="str">
        <x:v>待核定</x:v>
      </x:c>
      <x:c r="M12" s="282"/>
      <x:c r="N12" s="281"/>
      <x:c r="O12" s="281"/>
      <x:c r="P12" s="283" t="str">
        <x:f>IF($A12="","",IF($K12="否","停用項目",IF(COUNTIFS($A$7:$A$106,$A12)&gt;1,"項目鍵重複",IF(OR($B12="",$C12="",$C12="未建立",$D12="",$D12="未建立",$E12="",$F12="",$G12="",$H12="",$I12="",$J12="",$L12="",$M12="",$N12=""),IF($L12="已核定","已核定但資料未完整","待補欄位或核定"),IF(OR($Q12="",$R12=""),IF($L12="已核定","已核定但缺來源依據","待補來源依據"),IF($L12&lt;&gt;"已核定","待主管核定",IF(COUNTIFS($B$7:$B$106,$B12,$D$7:$D$106,$D12,$E$7:$E$106,$E12,$F$7:$F$106,$F12,$K$7:$K$106,"是")&gt;1,"項次重複","可發布")))))))</x:f>
        <x:v>待補欄位或核定</x:v>
      </x:c>
      <x:c r="Q12" s="421"/>
      <x:c r="R12" s="421"/>
    </x:row>
    <x:row r="13">
      <x:c r="A13" s="281" t="str">
        <x:v>ITEM-007</x:v>
      </x:c>
      <x:c r="B13" s="281" t="str">
        <x:v>CHK-IMPLANT-01</x:v>
      </x:c>
      <x:c r="C13" s="283" t="str">
        <x:f>IF($B13="","",_xlfn.XLOOKUP($B13,'檢核表版本'!$A$7:$A$13,'檢核表版本'!$B$7:$B$13,"未建立",0))</x:f>
        <x:v>植牙相關準備</x:v>
      </x:c>
      <x:c r="D13" s="283" t="str">
        <x:f>IF($B13="","",_xlfn.XLOOKUP($B13,'檢核表版本'!$A$7:$A$13,'檢核表版本'!$C$7:$C$13,"未建立",0))</x:f>
        <x:v>V1 草案</x:v>
      </x:c>
      <x:c r="E13" s="281" t="str">
        <x:v>植牙相關準備</x:v>
      </x:c>
      <x:c r="F13" s="281" t="n">
        <x:v>1</x:v>
      </x:c>
      <x:c r="G13" s="281"/>
      <x:c r="H13" s="281"/>
      <x:c r="I13" s="281"/>
      <x:c r="J13" s="281"/>
      <x:c r="K13" s="281" t="str">
        <x:v>是</x:v>
      </x:c>
      <x:c r="L13" s="281" t="str">
        <x:v>待核定</x:v>
      </x:c>
      <x:c r="M13" s="282"/>
      <x:c r="N13" s="281"/>
      <x:c r="O13" s="281"/>
      <x:c r="P13" s="283" t="str">
        <x:f>IF($A13="","",IF($K13="否","停用項目",IF(COUNTIFS($A$7:$A$106,$A13)&gt;1,"項目鍵重複",IF(OR($B13="",$C13="",$C13="未建立",$D13="",$D13="未建立",$E13="",$F13="",$G13="",$H13="",$I13="",$J13="",$L13="",$M13="",$N13=""),IF($L13="已核定","已核定但資料未完整","待補欄位或核定"),IF(OR($Q13="",$R13=""),IF($L13="已核定","已核定但缺來源依據","待補來源依據"),IF($L13&lt;&gt;"已核定","待主管核定",IF(COUNTIFS($B$7:$B$106,$B13,$D$7:$D$106,$D13,$E$7:$E$106,$E13,$F$7:$F$106,$F13,$K$7:$K$106,"是")&gt;1,"項次重複","可發布")))))))</x:f>
        <x:v>待補欄位或核定</x:v>
      </x:c>
      <x:c r="Q13" s="421"/>
      <x:c r="R13" s="421"/>
    </x:row>
    <x:row r="14">
      <x:c r="A14" s="281" t="str">
        <x:v>ITEM-008</x:v>
      </x:c>
      <x:c r="B14" s="281" t="str">
        <x:v>CHK-PERIOSURG-01</x:v>
      </x:c>
      <x:c r="C14" s="283" t="str">
        <x:f>IF($B14="","",_xlfn.XLOOKUP($B14,'檢核表版本'!$A$7:$A$13,'檢核表版本'!$B$7:$B$13,"未建立",0))</x:f>
        <x:v>牙周手術相關準備</x:v>
      </x:c>
      <x:c r="D14" s="283" t="str">
        <x:f>IF($B14="","",_xlfn.XLOOKUP($B14,'檢核表版本'!$A$7:$A$13,'檢核表版本'!$C$7:$C$13,"未建立",0))</x:f>
        <x:v>V1 草案</x:v>
      </x:c>
      <x:c r="E14" s="281" t="str">
        <x:v>牙周手術相關準備</x:v>
      </x:c>
      <x:c r="F14" s="281" t="n">
        <x:v>1</x:v>
      </x:c>
      <x:c r="G14" s="281"/>
      <x:c r="H14" s="281"/>
      <x:c r="I14" s="281"/>
      <x:c r="J14" s="281"/>
      <x:c r="K14" s="281" t="str">
        <x:v>是</x:v>
      </x:c>
      <x:c r="L14" s="281" t="str">
        <x:v>待核定</x:v>
      </x:c>
      <x:c r="M14" s="282"/>
      <x:c r="N14" s="281"/>
      <x:c r="O14" s="281"/>
      <x:c r="P14" s="283" t="str">
        <x:f>IF($A14="","",IF($K14="否","停用項目",IF(COUNTIFS($A$7:$A$106,$A14)&gt;1,"項目鍵重複",IF(OR($B14="",$C14="",$C14="未建立",$D14="",$D14="未建立",$E14="",$F14="",$G14="",$H14="",$I14="",$J14="",$L14="",$M14="",$N14=""),IF($L14="已核定","已核定但資料未完整","待補欄位或核定"),IF(OR($Q14="",$R14=""),IF($L14="已核定","已核定但缺來源依據","待補來源依據"),IF($L14&lt;&gt;"已核定","待主管核定",IF(COUNTIFS($B$7:$B$106,$B14,$D$7:$D$106,$D14,$E$7:$E$106,$E14,$F$7:$F$106,$F14,$K$7:$K$106,"是")&gt;1,"項次重複","可發布")))))))</x:f>
        <x:v>待補欄位或核定</x:v>
      </x:c>
      <x:c r="Q14" s="421"/>
      <x:c r="R14" s="421"/>
    </x:row>
    <x:row r="15">
      <x:c r="A15" s="281" t="str">
        <x:v>ITEM-009</x:v>
      </x:c>
      <x:c r="B15" s="281" t="str">
        <x:v>CHK-MICROENDO-01</x:v>
      </x:c>
      <x:c r="C15" s="283" t="str">
        <x:f>IF($B15="","",_xlfn.XLOOKUP($B15,'檢核表版本'!$A$7:$A$13,'檢核表版本'!$B$7:$B$13,"未建立",0))</x:f>
        <x:v>顯微根管相關準備</x:v>
      </x:c>
      <x:c r="D15" s="283" t="str">
        <x:f>IF($B15="","",_xlfn.XLOOKUP($B15,'檢核表版本'!$A$7:$A$13,'檢核表版本'!$C$7:$C$13,"未建立",0))</x:f>
        <x:v>V1 草案</x:v>
      </x:c>
      <x:c r="E15" s="281" t="str">
        <x:v>顯微根管相關準備</x:v>
      </x:c>
      <x:c r="F15" s="281" t="n">
        <x:v>1</x:v>
      </x:c>
      <x:c r="G15" s="281"/>
      <x:c r="H15" s="281"/>
      <x:c r="I15" s="281"/>
      <x:c r="J15" s="281"/>
      <x:c r="K15" s="281" t="str">
        <x:v>是</x:v>
      </x:c>
      <x:c r="L15" s="281" t="str">
        <x:v>待核定</x:v>
      </x:c>
      <x:c r="M15" s="282"/>
      <x:c r="N15" s="281"/>
      <x:c r="O15" s="281"/>
      <x:c r="P15" s="283" t="str">
        <x:f>IF($A15="","",IF($K15="否","停用項目",IF(COUNTIFS($A$7:$A$106,$A15)&gt;1,"項目鍵重複",IF(OR($B15="",$C15="",$C15="未建立",$D15="",$D15="未建立",$E15="",$F15="",$G15="",$H15="",$I15="",$J15="",$L15="",$M15="",$N15=""),IF($L15="已核定","已核定但資料未完整","待補欄位或核定"),IF(OR($Q15="",$R15=""),IF($L15="已核定","已核定但缺來源依據","待補來源依據"),IF($L15&lt;&gt;"已核定","待主管核定",IF(COUNTIFS($B$7:$B$106,$B15,$D$7:$D$106,$D15,$E$7:$E$106,$E15,$F$7:$F$106,$F15,$K$7:$K$106,"是")&gt;1,"項次重複","可發布")))))))</x:f>
        <x:v>待補欄位或核定</x:v>
      </x:c>
      <x:c r="Q15" s="421"/>
      <x:c r="R15" s="421"/>
    </x:row>
    <x:row r="16">
      <x:c r="A16" s="281" t="str">
        <x:v>ITEM-010</x:v>
      </x:c>
      <x:c r="B16" s="281" t="str">
        <x:v>CHK-SEDATION-01</x:v>
      </x:c>
      <x:c r="C16" s="283" t="str">
        <x:f>IF($B16="","",_xlfn.XLOOKUP($B16,'檢核表版本'!$A$7:$A$13,'檢核表版本'!$B$7:$B$13,"未建立",0))</x:f>
        <x:v>舒眠手術相關準備</x:v>
      </x:c>
      <x:c r="D16" s="283" t="str">
        <x:f>IF($B16="","",_xlfn.XLOOKUP($B16,'檢核表版本'!$A$7:$A$13,'檢核表版本'!$C$7:$C$13,"未建立",0))</x:f>
        <x:v>V1 草案</x:v>
      </x:c>
      <x:c r="E16" s="281" t="str">
        <x:v>舒眠手術相關準備</x:v>
      </x:c>
      <x:c r="F16" s="281" t="n">
        <x:v>1</x:v>
      </x:c>
      <x:c r="G16" s="281"/>
      <x:c r="H16" s="281"/>
      <x:c r="I16" s="281"/>
      <x:c r="J16" s="281"/>
      <x:c r="K16" s="281" t="str">
        <x:v>是</x:v>
      </x:c>
      <x:c r="L16" s="281" t="str">
        <x:v>待核定</x:v>
      </x:c>
      <x:c r="M16" s="282"/>
      <x:c r="N16" s="281"/>
      <x:c r="O16" s="281"/>
      <x:c r="P16" s="283" t="str">
        <x:f>IF($A16="","",IF($K16="否","停用項目",IF(COUNTIFS($A$7:$A$106,$A16)&gt;1,"項目鍵重複",IF(OR($B16="",$C16="",$C16="未建立",$D16="",$D16="未建立",$E16="",$F16="",$G16="",$H16="",$I16="",$J16="",$L16="",$M16="",$N16=""),IF($L16="已核定","已核定但資料未完整","待補欄位或核定"),IF(OR($Q16="",$R16=""),IF($L16="已核定","已核定但缺來源依據","待補來源依據"),IF($L16&lt;&gt;"已核定","待主管核定",IF(COUNTIFS($B$7:$B$106,$B16,$D$7:$D$106,$D16,$E$7:$E$106,$E16,$F$7:$F$106,$F16,$K$7:$K$106,"是")&gt;1,"項次重複","可發布")))))))</x:f>
        <x:v>待補欄位或核定</x:v>
      </x:c>
      <x:c r="Q16" s="421"/>
      <x:c r="R16" s="421"/>
    </x:row>
    <x:row r="17">
      <x:c r="A17" s="281" t="str">
        <x:v>ITEM-011</x:v>
      </x:c>
      <x:c r="B17" s="281" t="str">
        <x:v>CHK-RPD-FINAL-01</x:v>
      </x:c>
      <x:c r="C17" s="283" t="str">
        <x:f>IF($B17="","",_xlfn.XLOOKUP($B17,'檢核表版本'!$A$7:$A$13,'檢核表版本'!$B$7:$B$13,"未建立",0))</x:f>
        <x:v>RPD 印最終模</x:v>
      </x:c>
      <x:c r="D17" s="283" t="str">
        <x:f>IF($B17="","",_xlfn.XLOOKUP($B17,'檢核表版本'!$A$7:$A$13,'檢核表版本'!$C$7:$C$13,"未建立",0))</x:f>
        <x:v>V1 草案</x:v>
      </x:c>
      <x:c r="E17" s="281" t="str">
        <x:v>RPD 印最終模</x:v>
      </x:c>
      <x:c r="F17" s="281" t="n">
        <x:v>1</x:v>
      </x:c>
      <x:c r="G17" s="281"/>
      <x:c r="H17" s="281"/>
      <x:c r="I17" s="281"/>
      <x:c r="J17" s="281"/>
      <x:c r="K17" s="281" t="str">
        <x:v>是</x:v>
      </x:c>
      <x:c r="L17" s="281" t="str">
        <x:v>待核定</x:v>
      </x:c>
      <x:c r="M17" s="282"/>
      <x:c r="N17" s="281"/>
      <x:c r="O17" s="281"/>
      <x:c r="P17" s="283" t="str">
        <x:f>IF($A17="","",IF($K17="否","停用項目",IF(COUNTIFS($A$7:$A$106,$A17)&gt;1,"項目鍵重複",IF(OR($B17="",$C17="",$C17="未建立",$D17="",$D17="未建立",$E17="",$F17="",$G17="",$H17="",$I17="",$J17="",$L17="",$M17="",$N17=""),IF($L17="已核定","已核定但資料未完整","待補欄位或核定"),IF(OR($Q17="",$R17=""),IF($L17="已核定","已核定但缺來源依據","待補來源依據"),IF($L17&lt;&gt;"已核定","待主管核定",IF(COUNTIFS($B$7:$B$106,$B17,$D$7:$D$106,$D17,$E$7:$E$106,$E17,$F$7:$F$106,$F17,$K$7:$K$106,"是")&gt;1,"項次重複","可發布")))))))</x:f>
        <x:v>待補欄位或核定</x:v>
      </x:c>
      <x:c r="Q17" s="421"/>
      <x:c r="R17" s="421"/>
    </x:row>
    <x:row r="18">
      <x:c r="A18" s="281"/>
      <x:c r="B18" s="281"/>
      <x:c r="C18" s="283" t="str">
        <x:f>IF($B18="","",_xlfn.XLOOKUP($B18,'檢核表版本'!$A$7:$A$13,'檢核表版本'!$B$7:$B$13,"未建立",0))</x:f>
      </x:c>
      <x:c r="D18" s="283" t="str">
        <x:f>IF($B18="","",_xlfn.XLOOKUP($B18,'檢核表版本'!$A$7:$A$13,'檢核表版本'!$C$7:$C$13,"未建立",0))</x:f>
      </x:c>
      <x:c r="E18" s="281"/>
      <x:c r="F18" s="281"/>
      <x:c r="G18" s="281"/>
      <x:c r="H18" s="281"/>
      <x:c r="I18" s="281"/>
      <x:c r="J18" s="281"/>
      <x:c r="K18" s="281"/>
      <x:c r="L18" s="281"/>
      <x:c r="M18" s="282"/>
      <x:c r="N18" s="281"/>
      <x:c r="O18" s="281"/>
      <x:c r="P18" s="283" t="str">
        <x:f>IF($A18="","",IF($K18="否","停用項目",IF(COUNTIFS($A$7:$A$106,$A18)&gt;1,"項目鍵重複",IF(OR($B18="",$C18="",$C18="未建立",$D18="",$D18="未建立",$E18="",$F18="",$G18="",$H18="",$I18="",$J18="",$L18="",$M18="",$N18=""),IF($L18="已核定","已核定但資料未完整","待補欄位或核定"),IF(OR($Q18="",$R18=""),IF($L18="已核定","已核定但缺來源依據","待補來源依據"),IF($L18&lt;&gt;"已核定","待主管核定",IF(COUNTIFS($B$7:$B$106,$B18,$D$7:$D$106,$D18,$E$7:$E$106,$E18,$F$7:$F$106,$F18,$K$7:$K$106,"是")&gt;1,"項次重複","可發布")))))))</x:f>
      </x:c>
      <x:c r="Q18" s="421"/>
      <x:c r="R18" s="421"/>
    </x:row>
    <x:row r="19">
      <x:c r="A19" s="281"/>
      <x:c r="B19" s="281"/>
      <x:c r="C19" s="283" t="str">
        <x:f>IF($B19="","",_xlfn.XLOOKUP($B19,'檢核表版本'!$A$7:$A$13,'檢核表版本'!$B$7:$B$13,"未建立",0))</x:f>
      </x:c>
      <x:c r="D19" s="283" t="str">
        <x:f>IF($B19="","",_xlfn.XLOOKUP($B19,'檢核表版本'!$A$7:$A$13,'檢核表版本'!$C$7:$C$13,"未建立",0))</x:f>
      </x:c>
      <x:c r="E19" s="281"/>
      <x:c r="F19" s="281"/>
      <x:c r="G19" s="281"/>
      <x:c r="H19" s="281"/>
      <x:c r="I19" s="281"/>
      <x:c r="J19" s="281"/>
      <x:c r="K19" s="281"/>
      <x:c r="L19" s="281"/>
      <x:c r="M19" s="282"/>
      <x:c r="N19" s="281"/>
      <x:c r="O19" s="281"/>
      <x:c r="P19" s="283" t="str">
        <x:f>IF($A19="","",IF($K19="否","停用項目",IF(COUNTIFS($A$7:$A$106,$A19)&gt;1,"項目鍵重複",IF(OR($B19="",$C19="",$C19="未建立",$D19="",$D19="未建立",$E19="",$F19="",$G19="",$H19="",$I19="",$J19="",$L19="",$M19="",$N19=""),IF($L19="已核定","已核定但資料未完整","待補欄位或核定"),IF(OR($Q19="",$R19=""),IF($L19="已核定","已核定但缺來源依據","待補來源依據"),IF($L19&lt;&gt;"已核定","待主管核定",IF(COUNTIFS($B$7:$B$106,$B19,$D$7:$D$106,$D19,$E$7:$E$106,$E19,$F$7:$F$106,$F19,$K$7:$K$106,"是")&gt;1,"項次重複","可發布")))))))</x:f>
      </x:c>
      <x:c r="Q19" s="421"/>
      <x:c r="R19" s="421"/>
    </x:row>
    <x:row r="20">
      <x:c r="A20" s="281"/>
      <x:c r="B20" s="281"/>
      <x:c r="C20" s="283" t="str">
        <x:f>IF($B20="","",_xlfn.XLOOKUP($B20,'檢核表版本'!$A$7:$A$13,'檢核表版本'!$B$7:$B$13,"未建立",0))</x:f>
      </x:c>
      <x:c r="D20" s="283" t="str">
        <x:f>IF($B20="","",_xlfn.XLOOKUP($B20,'檢核表版本'!$A$7:$A$13,'檢核表版本'!$C$7:$C$13,"未建立",0))</x:f>
      </x:c>
      <x:c r="E20" s="281"/>
      <x:c r="F20" s="281"/>
      <x:c r="G20" s="281"/>
      <x:c r="H20" s="281"/>
      <x:c r="I20" s="281"/>
      <x:c r="J20" s="281"/>
      <x:c r="K20" s="281"/>
      <x:c r="L20" s="281"/>
      <x:c r="M20" s="282"/>
      <x:c r="N20" s="281"/>
      <x:c r="O20" s="281"/>
      <x:c r="P20" s="283" t="str">
        <x:f>IF($A20="","",IF($K20="否","停用項目",IF(COUNTIFS($A$7:$A$106,$A20)&gt;1,"項目鍵重複",IF(OR($B20="",$C20="",$C20="未建立",$D20="",$D20="未建立",$E20="",$F20="",$G20="",$H20="",$I20="",$J20="",$L20="",$M20="",$N20=""),IF($L20="已核定","已核定但資料未完整","待補欄位或核定"),IF(OR($Q20="",$R20=""),IF($L20="已核定","已核定但缺來源依據","待補來源依據"),IF($L20&lt;&gt;"已核定","待主管核定",IF(COUNTIFS($B$7:$B$106,$B20,$D$7:$D$106,$D20,$E$7:$E$106,$E20,$F$7:$F$106,$F20,$K$7:$K$106,"是")&gt;1,"項次重複","可發布")))))))</x:f>
      </x:c>
      <x:c r="Q20" s="421"/>
      <x:c r="R20" s="421"/>
    </x:row>
    <x:row r="21">
      <x:c r="A21" s="281"/>
      <x:c r="B21" s="281"/>
      <x:c r="C21" s="283" t="str">
        <x:f>IF($B21="","",_xlfn.XLOOKUP($B21,'檢核表版本'!$A$7:$A$13,'檢核表版本'!$B$7:$B$13,"未建立",0))</x:f>
      </x:c>
      <x:c r="D21" s="283" t="str">
        <x:f>IF($B21="","",_xlfn.XLOOKUP($B21,'檢核表版本'!$A$7:$A$13,'檢核表版本'!$C$7:$C$13,"未建立",0))</x:f>
      </x:c>
      <x:c r="E21" s="281"/>
      <x:c r="F21" s="281"/>
      <x:c r="G21" s="281"/>
      <x:c r="H21" s="281"/>
      <x:c r="I21" s="281"/>
      <x:c r="J21" s="281"/>
      <x:c r="K21" s="281"/>
      <x:c r="L21" s="281"/>
      <x:c r="M21" s="282"/>
      <x:c r="N21" s="281"/>
      <x:c r="O21" s="281"/>
      <x:c r="P21" s="283" t="str">
        <x:f>IF($A21="","",IF($K21="否","停用項目",IF(COUNTIFS($A$7:$A$106,$A21)&gt;1,"項目鍵重複",IF(OR($B21="",$C21="",$C21="未建立",$D21="",$D21="未建立",$E21="",$F21="",$G21="",$H21="",$I21="",$J21="",$L21="",$M21="",$N21=""),IF($L21="已核定","已核定但資料未完整","待補欄位或核定"),IF(OR($Q21="",$R21=""),IF($L21="已核定","已核定但缺來源依據","待補來源依據"),IF($L21&lt;&gt;"已核定","待主管核定",IF(COUNTIFS($B$7:$B$106,$B21,$D$7:$D$106,$D21,$E$7:$E$106,$E21,$F$7:$F$106,$F21,$K$7:$K$106,"是")&gt;1,"項次重複","可發布")))))))</x:f>
      </x:c>
      <x:c r="Q21" s="421"/>
      <x:c r="R21" s="421"/>
    </x:row>
    <x:row r="22">
      <x:c r="A22" s="281"/>
      <x:c r="B22" s="281"/>
      <x:c r="C22" s="283" t="str">
        <x:f>IF($B22="","",_xlfn.XLOOKUP($B22,'檢核表版本'!$A$7:$A$13,'檢核表版本'!$B$7:$B$13,"未建立",0))</x:f>
      </x:c>
      <x:c r="D22" s="283" t="str">
        <x:f>IF($B22="","",_xlfn.XLOOKUP($B22,'檢核表版本'!$A$7:$A$13,'檢核表版本'!$C$7:$C$13,"未建立",0))</x:f>
      </x:c>
      <x:c r="E22" s="281"/>
      <x:c r="F22" s="281"/>
      <x:c r="G22" s="281"/>
      <x:c r="H22" s="281"/>
      <x:c r="I22" s="281"/>
      <x:c r="J22" s="281"/>
      <x:c r="K22" s="281"/>
      <x:c r="L22" s="281"/>
      <x:c r="M22" s="282"/>
      <x:c r="N22" s="281"/>
      <x:c r="O22" s="281"/>
      <x:c r="P22" s="283" t="str">
        <x:f>IF($A22="","",IF($K22="否","停用項目",IF(COUNTIFS($A$7:$A$106,$A22)&gt;1,"項目鍵重複",IF(OR($B22="",$C22="",$C22="未建立",$D22="",$D22="未建立",$E22="",$F22="",$G22="",$H22="",$I22="",$J22="",$L22="",$M22="",$N22=""),IF($L22="已核定","已核定但資料未完整","待補欄位或核定"),IF(OR($Q22="",$R22=""),IF($L22="已核定","已核定但缺來源依據","待補來源依據"),IF($L22&lt;&gt;"已核定","待主管核定",IF(COUNTIFS($B$7:$B$106,$B22,$D$7:$D$106,$D22,$E$7:$E$106,$E22,$F$7:$F$106,$F22,$K$7:$K$106,"是")&gt;1,"項次重複","可發布")))))))</x:f>
      </x:c>
      <x:c r="Q22" s="421"/>
      <x:c r="R22" s="421"/>
    </x:row>
    <x:row r="23">
      <x:c r="A23" s="281"/>
      <x:c r="B23" s="281"/>
      <x:c r="C23" s="283" t="str">
        <x:f>IF($B23="","",_xlfn.XLOOKUP($B23,'檢核表版本'!$A$7:$A$13,'檢核表版本'!$B$7:$B$13,"未建立",0))</x:f>
      </x:c>
      <x:c r="D23" s="283" t="str">
        <x:f>IF($B23="","",_xlfn.XLOOKUP($B23,'檢核表版本'!$A$7:$A$13,'檢核表版本'!$C$7:$C$13,"未建立",0))</x:f>
      </x:c>
      <x:c r="E23" s="281"/>
      <x:c r="F23" s="281"/>
      <x:c r="G23" s="281"/>
      <x:c r="H23" s="281"/>
      <x:c r="I23" s="281"/>
      <x:c r="J23" s="281"/>
      <x:c r="K23" s="281"/>
      <x:c r="L23" s="281"/>
      <x:c r="M23" s="282"/>
      <x:c r="N23" s="281"/>
      <x:c r="O23" s="281"/>
      <x:c r="P23" s="283" t="str">
        <x:f>IF($A23="","",IF($K23="否","停用項目",IF(COUNTIFS($A$7:$A$106,$A23)&gt;1,"項目鍵重複",IF(OR($B23="",$C23="",$C23="未建立",$D23="",$D23="未建立",$E23="",$F23="",$G23="",$H23="",$I23="",$J23="",$L23="",$M23="",$N23=""),IF($L23="已核定","已核定但資料未完整","待補欄位或核定"),IF(OR($Q23="",$R23=""),IF($L23="已核定","已核定但缺來源依據","待補來源依據"),IF($L23&lt;&gt;"已核定","待主管核定",IF(COUNTIFS($B$7:$B$106,$B23,$D$7:$D$106,$D23,$E$7:$E$106,$E23,$F$7:$F$106,$F23,$K$7:$K$106,"是")&gt;1,"項次重複","可發布")))))))</x:f>
      </x:c>
      <x:c r="Q23" s="421"/>
      <x:c r="R23" s="421"/>
    </x:row>
    <x:row r="24">
      <x:c r="A24" s="281"/>
      <x:c r="B24" s="281"/>
      <x:c r="C24" s="283" t="str">
        <x:f>IF($B24="","",_xlfn.XLOOKUP($B24,'檢核表版本'!$A$7:$A$13,'檢核表版本'!$B$7:$B$13,"未建立",0))</x:f>
      </x:c>
      <x:c r="D24" s="283" t="str">
        <x:f>IF($B24="","",_xlfn.XLOOKUP($B24,'檢核表版本'!$A$7:$A$13,'檢核表版本'!$C$7:$C$13,"未建立",0))</x:f>
      </x:c>
      <x:c r="E24" s="281"/>
      <x:c r="F24" s="281"/>
      <x:c r="G24" s="281"/>
      <x:c r="H24" s="281"/>
      <x:c r="I24" s="281"/>
      <x:c r="J24" s="281"/>
      <x:c r="K24" s="281"/>
      <x:c r="L24" s="281"/>
      <x:c r="M24" s="282"/>
      <x:c r="N24" s="281"/>
      <x:c r="O24" s="281"/>
      <x:c r="P24" s="283" t="str">
        <x:f>IF($A24="","",IF($K24="否","停用項目",IF(COUNTIFS($A$7:$A$106,$A24)&gt;1,"項目鍵重複",IF(OR($B24="",$C24="",$C24="未建立",$D24="",$D24="未建立",$E24="",$F24="",$G24="",$H24="",$I24="",$J24="",$L24="",$M24="",$N24=""),IF($L24="已核定","已核定但資料未完整","待補欄位或核定"),IF(OR($Q24="",$R24=""),IF($L24="已核定","已核定但缺來源依據","待補來源依據"),IF($L24&lt;&gt;"已核定","待主管核定",IF(COUNTIFS($B$7:$B$106,$B24,$D$7:$D$106,$D24,$E$7:$E$106,$E24,$F$7:$F$106,$F24,$K$7:$K$106,"是")&gt;1,"項次重複","可發布")))))))</x:f>
      </x:c>
      <x:c r="Q24" s="421"/>
      <x:c r="R24" s="421"/>
    </x:row>
    <x:row r="25">
      <x:c r="A25" s="281"/>
      <x:c r="B25" s="281"/>
      <x:c r="C25" s="283" t="str">
        <x:f>IF($B25="","",_xlfn.XLOOKUP($B25,'檢核表版本'!$A$7:$A$13,'檢核表版本'!$B$7:$B$13,"未建立",0))</x:f>
      </x:c>
      <x:c r="D25" s="283" t="str">
        <x:f>IF($B25="","",_xlfn.XLOOKUP($B25,'檢核表版本'!$A$7:$A$13,'檢核表版本'!$C$7:$C$13,"未建立",0))</x:f>
      </x:c>
      <x:c r="E25" s="281"/>
      <x:c r="F25" s="281"/>
      <x:c r="G25" s="281"/>
      <x:c r="H25" s="281"/>
      <x:c r="I25" s="281"/>
      <x:c r="J25" s="281"/>
      <x:c r="K25" s="281"/>
      <x:c r="L25" s="281"/>
      <x:c r="M25" s="282"/>
      <x:c r="N25" s="281"/>
      <x:c r="O25" s="281"/>
      <x:c r="P25" s="283" t="str">
        <x:f>IF($A25="","",IF($K25="否","停用項目",IF(COUNTIFS($A$7:$A$106,$A25)&gt;1,"項目鍵重複",IF(OR($B25="",$C25="",$C25="未建立",$D25="",$D25="未建立",$E25="",$F25="",$G25="",$H25="",$I25="",$J25="",$L25="",$M25="",$N25=""),IF($L25="已核定","已核定但資料未完整","待補欄位或核定"),IF(OR($Q25="",$R25=""),IF($L25="已核定","已核定但缺來源依據","待補來源依據"),IF($L25&lt;&gt;"已核定","待主管核定",IF(COUNTIFS($B$7:$B$106,$B25,$D$7:$D$106,$D25,$E$7:$E$106,$E25,$F$7:$F$106,$F25,$K$7:$K$106,"是")&gt;1,"項次重複","可發布")))))))</x:f>
      </x:c>
      <x:c r="Q25" s="421"/>
      <x:c r="R25" s="421"/>
    </x:row>
    <x:row r="26">
      <x:c r="A26" s="281"/>
      <x:c r="B26" s="281"/>
      <x:c r="C26" s="283" t="str">
        <x:f>IF($B26="","",_xlfn.XLOOKUP($B26,'檢核表版本'!$A$7:$A$13,'檢核表版本'!$B$7:$B$13,"未建立",0))</x:f>
      </x:c>
      <x:c r="D26" s="283" t="str">
        <x:f>IF($B26="","",_xlfn.XLOOKUP($B26,'檢核表版本'!$A$7:$A$13,'檢核表版本'!$C$7:$C$13,"未建立",0))</x:f>
      </x:c>
      <x:c r="E26" s="281"/>
      <x:c r="F26" s="281"/>
      <x:c r="G26" s="281"/>
      <x:c r="H26" s="281"/>
      <x:c r="I26" s="281"/>
      <x:c r="J26" s="281"/>
      <x:c r="K26" s="281"/>
      <x:c r="L26" s="281"/>
      <x:c r="M26" s="282"/>
      <x:c r="N26" s="281"/>
      <x:c r="O26" s="281"/>
      <x:c r="P26" s="283" t="str">
        <x:f>IF($A26="","",IF($K26="否","停用項目",IF(COUNTIFS($A$7:$A$106,$A26)&gt;1,"項目鍵重複",IF(OR($B26="",$C26="",$C26="未建立",$D26="",$D26="未建立",$E26="",$F26="",$G26="",$H26="",$I26="",$J26="",$L26="",$M26="",$N26=""),IF($L26="已核定","已核定但資料未完整","待補欄位或核定"),IF(OR($Q26="",$R26=""),IF($L26="已核定","已核定但缺來源依據","待補來源依據"),IF($L26&lt;&gt;"已核定","待主管核定",IF(COUNTIFS($B$7:$B$106,$B26,$D$7:$D$106,$D26,$E$7:$E$106,$E26,$F$7:$F$106,$F26,$K$7:$K$106,"是")&gt;1,"項次重複","可發布")))))))</x:f>
      </x:c>
      <x:c r="Q26" s="421"/>
      <x:c r="R26" s="421"/>
    </x:row>
    <x:row r="27">
      <x:c r="A27" s="281"/>
      <x:c r="B27" s="281"/>
      <x:c r="C27" s="283" t="str">
        <x:f>IF($B27="","",_xlfn.XLOOKUP($B27,'檢核表版本'!$A$7:$A$13,'檢核表版本'!$B$7:$B$13,"未建立",0))</x:f>
      </x:c>
      <x:c r="D27" s="283" t="str">
        <x:f>IF($B27="","",_xlfn.XLOOKUP($B27,'檢核表版本'!$A$7:$A$13,'檢核表版本'!$C$7:$C$13,"未建立",0))</x:f>
      </x:c>
      <x:c r="E27" s="281"/>
      <x:c r="F27" s="281"/>
      <x:c r="G27" s="281"/>
      <x:c r="H27" s="281"/>
      <x:c r="I27" s="281"/>
      <x:c r="J27" s="281"/>
      <x:c r="K27" s="281"/>
      <x:c r="L27" s="281"/>
      <x:c r="M27" s="282"/>
      <x:c r="N27" s="281"/>
      <x:c r="O27" s="281"/>
      <x:c r="P27" s="283" t="str">
        <x:f>IF($A27="","",IF($K27="否","停用項目",IF(COUNTIFS($A$7:$A$106,$A27)&gt;1,"項目鍵重複",IF(OR($B27="",$C27="",$C27="未建立",$D27="",$D27="未建立",$E27="",$F27="",$G27="",$H27="",$I27="",$J27="",$L27="",$M27="",$N27=""),IF($L27="已核定","已核定但資料未完整","待補欄位或核定"),IF(OR($Q27="",$R27=""),IF($L27="已核定","已核定但缺來源依據","待補來源依據"),IF($L27&lt;&gt;"已核定","待主管核定",IF(COUNTIFS($B$7:$B$106,$B27,$D$7:$D$106,$D27,$E$7:$E$106,$E27,$F$7:$F$106,$F27,$K$7:$K$106,"是")&gt;1,"項次重複","可發布")))))))</x:f>
      </x:c>
      <x:c r="Q27" s="421"/>
      <x:c r="R27" s="421"/>
    </x:row>
    <x:row r="28">
      <x:c r="A28" s="281"/>
      <x:c r="B28" s="281"/>
      <x:c r="C28" s="283" t="str">
        <x:f>IF($B28="","",_xlfn.XLOOKUP($B28,'檢核表版本'!$A$7:$A$13,'檢核表版本'!$B$7:$B$13,"未建立",0))</x:f>
      </x:c>
      <x:c r="D28" s="283" t="str">
        <x:f>IF($B28="","",_xlfn.XLOOKUP($B28,'檢核表版本'!$A$7:$A$13,'檢核表版本'!$C$7:$C$13,"未建立",0))</x:f>
      </x:c>
      <x:c r="E28" s="281"/>
      <x:c r="F28" s="281"/>
      <x:c r="G28" s="281"/>
      <x:c r="H28" s="281"/>
      <x:c r="I28" s="281"/>
      <x:c r="J28" s="281"/>
      <x:c r="K28" s="281"/>
      <x:c r="L28" s="281"/>
      <x:c r="M28" s="282"/>
      <x:c r="N28" s="281"/>
      <x:c r="O28" s="281"/>
      <x:c r="P28" s="283" t="str">
        <x:f>IF($A28="","",IF($K28="否","停用項目",IF(COUNTIFS($A$7:$A$106,$A28)&gt;1,"項目鍵重複",IF(OR($B28="",$C28="",$C28="未建立",$D28="",$D28="未建立",$E28="",$F28="",$G28="",$H28="",$I28="",$J28="",$L28="",$M28="",$N28=""),IF($L28="已核定","已核定但資料未完整","待補欄位或核定"),IF(OR($Q28="",$R28=""),IF($L28="已核定","已核定但缺來源依據","待補來源依據"),IF($L28&lt;&gt;"已核定","待主管核定",IF(COUNTIFS($B$7:$B$106,$B28,$D$7:$D$106,$D28,$E$7:$E$106,$E28,$F$7:$F$106,$F28,$K$7:$K$106,"是")&gt;1,"項次重複","可發布")))))))</x:f>
      </x:c>
      <x:c r="Q28" s="421"/>
      <x:c r="R28" s="421"/>
    </x:row>
    <x:row r="29">
      <x:c r="A29" s="281"/>
      <x:c r="B29" s="281"/>
      <x:c r="C29" s="283" t="str">
        <x:f>IF($B29="","",_xlfn.XLOOKUP($B29,'檢核表版本'!$A$7:$A$13,'檢核表版本'!$B$7:$B$13,"未建立",0))</x:f>
      </x:c>
      <x:c r="D29" s="283" t="str">
        <x:f>IF($B29="","",_xlfn.XLOOKUP($B29,'檢核表版本'!$A$7:$A$13,'檢核表版本'!$C$7:$C$13,"未建立",0))</x:f>
      </x:c>
      <x:c r="E29" s="281"/>
      <x:c r="F29" s="281"/>
      <x:c r="G29" s="281"/>
      <x:c r="H29" s="281"/>
      <x:c r="I29" s="281"/>
      <x:c r="J29" s="281"/>
      <x:c r="K29" s="281"/>
      <x:c r="L29" s="281"/>
      <x:c r="M29" s="282"/>
      <x:c r="N29" s="281"/>
      <x:c r="O29" s="281"/>
      <x:c r="P29" s="283" t="str">
        <x:f>IF($A29="","",IF($K29="否","停用項目",IF(COUNTIFS($A$7:$A$106,$A29)&gt;1,"項目鍵重複",IF(OR($B29="",$C29="",$C29="未建立",$D29="",$D29="未建立",$E29="",$F29="",$G29="",$H29="",$I29="",$J29="",$L29="",$M29="",$N29=""),IF($L29="已核定","已核定但資料未完整","待補欄位或核定"),IF(OR($Q29="",$R29=""),IF($L29="已核定","已核定但缺來源依據","待補來源依據"),IF($L29&lt;&gt;"已核定","待主管核定",IF(COUNTIFS($B$7:$B$106,$B29,$D$7:$D$106,$D29,$E$7:$E$106,$E29,$F$7:$F$106,$F29,$K$7:$K$106,"是")&gt;1,"項次重複","可發布")))))))</x:f>
      </x:c>
      <x:c r="Q29" s="421"/>
      <x:c r="R29" s="421"/>
    </x:row>
    <x:row r="30">
      <x:c r="A30" s="281"/>
      <x:c r="B30" s="281"/>
      <x:c r="C30" s="283" t="str">
        <x:f>IF($B30="","",_xlfn.XLOOKUP($B30,'檢核表版本'!$A$7:$A$13,'檢核表版本'!$B$7:$B$13,"未建立",0))</x:f>
      </x:c>
      <x:c r="D30" s="283" t="str">
        <x:f>IF($B30="","",_xlfn.XLOOKUP($B30,'檢核表版本'!$A$7:$A$13,'檢核表版本'!$C$7:$C$13,"未建立",0))</x:f>
      </x:c>
      <x:c r="E30" s="281"/>
      <x:c r="F30" s="281"/>
      <x:c r="G30" s="281"/>
      <x:c r="H30" s="281"/>
      <x:c r="I30" s="281"/>
      <x:c r="J30" s="281"/>
      <x:c r="K30" s="281"/>
      <x:c r="L30" s="281"/>
      <x:c r="M30" s="282"/>
      <x:c r="N30" s="281"/>
      <x:c r="O30" s="281"/>
      <x:c r="P30" s="283" t="str">
        <x:f>IF($A30="","",IF($K30="否","停用項目",IF(COUNTIFS($A$7:$A$106,$A30)&gt;1,"項目鍵重複",IF(OR($B30="",$C30="",$C30="未建立",$D30="",$D30="未建立",$E30="",$F30="",$G30="",$H30="",$I30="",$J30="",$L30="",$M30="",$N30=""),IF($L30="已核定","已核定但資料未完整","待補欄位或核定"),IF(OR($Q30="",$R30=""),IF($L30="已核定","已核定但缺來源依據","待補來源依據"),IF($L30&lt;&gt;"已核定","待主管核定",IF(COUNTIFS($B$7:$B$106,$B30,$D$7:$D$106,$D30,$E$7:$E$106,$E30,$F$7:$F$106,$F30,$K$7:$K$106,"是")&gt;1,"項次重複","可發布")))))))</x:f>
      </x:c>
      <x:c r="Q30" s="421"/>
      <x:c r="R30" s="421"/>
    </x:row>
    <x:row r="31">
      <x:c r="A31" s="281"/>
      <x:c r="B31" s="281"/>
      <x:c r="C31" s="283" t="str">
        <x:f>IF($B31="","",_xlfn.XLOOKUP($B31,'檢核表版本'!$A$7:$A$13,'檢核表版本'!$B$7:$B$13,"未建立",0))</x:f>
      </x:c>
      <x:c r="D31" s="283" t="str">
        <x:f>IF($B31="","",_xlfn.XLOOKUP($B31,'檢核表版本'!$A$7:$A$13,'檢核表版本'!$C$7:$C$13,"未建立",0))</x:f>
      </x:c>
      <x:c r="E31" s="281"/>
      <x:c r="F31" s="281"/>
      <x:c r="G31" s="281"/>
      <x:c r="H31" s="281"/>
      <x:c r="I31" s="281"/>
      <x:c r="J31" s="281"/>
      <x:c r="K31" s="281"/>
      <x:c r="L31" s="281"/>
      <x:c r="M31" s="282"/>
      <x:c r="N31" s="281"/>
      <x:c r="O31" s="281"/>
      <x:c r="P31" s="283" t="str">
        <x:f>IF($A31="","",IF($K31="否","停用項目",IF(COUNTIFS($A$7:$A$106,$A31)&gt;1,"項目鍵重複",IF(OR($B31="",$C31="",$C31="未建立",$D31="",$D31="未建立",$E31="",$F31="",$G31="",$H31="",$I31="",$J31="",$L31="",$M31="",$N31=""),IF($L31="已核定","已核定但資料未完整","待補欄位或核定"),IF(OR($Q31="",$R31=""),IF($L31="已核定","已核定但缺來源依據","待補來源依據"),IF($L31&lt;&gt;"已核定","待主管核定",IF(COUNTIFS($B$7:$B$106,$B31,$D$7:$D$106,$D31,$E$7:$E$106,$E31,$F$7:$F$106,$F31,$K$7:$K$106,"是")&gt;1,"項次重複","可發布")))))))</x:f>
      </x:c>
      <x:c r="Q31" s="421"/>
      <x:c r="R31" s="421"/>
    </x:row>
    <x:row r="32">
      <x:c r="A32" s="281"/>
      <x:c r="B32" s="281"/>
      <x:c r="C32" s="283" t="str">
        <x:f>IF($B32="","",_xlfn.XLOOKUP($B32,'檢核表版本'!$A$7:$A$13,'檢核表版本'!$B$7:$B$13,"未建立",0))</x:f>
      </x:c>
      <x:c r="D32" s="283" t="str">
        <x:f>IF($B32="","",_xlfn.XLOOKUP($B32,'檢核表版本'!$A$7:$A$13,'檢核表版本'!$C$7:$C$13,"未建立",0))</x:f>
      </x:c>
      <x:c r="E32" s="281"/>
      <x:c r="F32" s="281"/>
      <x:c r="G32" s="281"/>
      <x:c r="H32" s="281"/>
      <x:c r="I32" s="281"/>
      <x:c r="J32" s="281"/>
      <x:c r="K32" s="281"/>
      <x:c r="L32" s="281"/>
      <x:c r="M32" s="282"/>
      <x:c r="N32" s="281"/>
      <x:c r="O32" s="281"/>
      <x:c r="P32" s="283" t="str">
        <x:f>IF($A32="","",IF($K32="否","停用項目",IF(COUNTIFS($A$7:$A$106,$A32)&gt;1,"項目鍵重複",IF(OR($B32="",$C32="",$C32="未建立",$D32="",$D32="未建立",$E32="",$F32="",$G32="",$H32="",$I32="",$J32="",$L32="",$M32="",$N32=""),IF($L32="已核定","已核定但資料未完整","待補欄位或核定"),IF(OR($Q32="",$R32=""),IF($L32="已核定","已核定但缺來源依據","待補來源依據"),IF($L32&lt;&gt;"已核定","待主管核定",IF(COUNTIFS($B$7:$B$106,$B32,$D$7:$D$106,$D32,$E$7:$E$106,$E32,$F$7:$F$106,$F32,$K$7:$K$106,"是")&gt;1,"項次重複","可發布")))))))</x:f>
      </x:c>
      <x:c r="Q32" s="421"/>
      <x:c r="R32" s="421"/>
    </x:row>
    <x:row r="33">
      <x:c r="A33" s="281"/>
      <x:c r="B33" s="281"/>
      <x:c r="C33" s="283" t="str">
        <x:f>IF($B33="","",_xlfn.XLOOKUP($B33,'檢核表版本'!$A$7:$A$13,'檢核表版本'!$B$7:$B$13,"未建立",0))</x:f>
      </x:c>
      <x:c r="D33" s="283" t="str">
        <x:f>IF($B33="","",_xlfn.XLOOKUP($B33,'檢核表版本'!$A$7:$A$13,'檢核表版本'!$C$7:$C$13,"未建立",0))</x:f>
      </x:c>
      <x:c r="E33" s="281"/>
      <x:c r="F33" s="281"/>
      <x:c r="G33" s="281"/>
      <x:c r="H33" s="281"/>
      <x:c r="I33" s="281"/>
      <x:c r="J33" s="281"/>
      <x:c r="K33" s="281"/>
      <x:c r="L33" s="281"/>
      <x:c r="M33" s="282"/>
      <x:c r="N33" s="281"/>
      <x:c r="O33" s="281"/>
      <x:c r="P33" s="283" t="str">
        <x:f>IF($A33="","",IF($K33="否","停用項目",IF(COUNTIFS($A$7:$A$106,$A33)&gt;1,"項目鍵重複",IF(OR($B33="",$C33="",$C33="未建立",$D33="",$D33="未建立",$E33="",$F33="",$G33="",$H33="",$I33="",$J33="",$L33="",$M33="",$N33=""),IF($L33="已核定","已核定但資料未完整","待補欄位或核定"),IF(OR($Q33="",$R33=""),IF($L33="已核定","已核定但缺來源依據","待補來源依據"),IF($L33&lt;&gt;"已核定","待主管核定",IF(COUNTIFS($B$7:$B$106,$B33,$D$7:$D$106,$D33,$E$7:$E$106,$E33,$F$7:$F$106,$F33,$K$7:$K$106,"是")&gt;1,"項次重複","可發布")))))))</x:f>
      </x:c>
      <x:c r="Q33" s="421"/>
      <x:c r="R33" s="421"/>
    </x:row>
    <x:row r="34">
      <x:c r="A34" s="281"/>
      <x:c r="B34" s="281"/>
      <x:c r="C34" s="283" t="str">
        <x:f>IF($B34="","",_xlfn.XLOOKUP($B34,'檢核表版本'!$A$7:$A$13,'檢核表版本'!$B$7:$B$13,"未建立",0))</x:f>
      </x:c>
      <x:c r="D34" s="283" t="str">
        <x:f>IF($B34="","",_xlfn.XLOOKUP($B34,'檢核表版本'!$A$7:$A$13,'檢核表版本'!$C$7:$C$13,"未建立",0))</x:f>
      </x:c>
      <x:c r="E34" s="281"/>
      <x:c r="F34" s="281"/>
      <x:c r="G34" s="281"/>
      <x:c r="H34" s="281"/>
      <x:c r="I34" s="281"/>
      <x:c r="J34" s="281"/>
      <x:c r="K34" s="281"/>
      <x:c r="L34" s="281"/>
      <x:c r="M34" s="282"/>
      <x:c r="N34" s="281"/>
      <x:c r="O34" s="281"/>
      <x:c r="P34" s="283" t="str">
        <x:f>IF($A34="","",IF($K34="否","停用項目",IF(COUNTIFS($A$7:$A$106,$A34)&gt;1,"項目鍵重複",IF(OR($B34="",$C34="",$C34="未建立",$D34="",$D34="未建立",$E34="",$F34="",$G34="",$H34="",$I34="",$J34="",$L34="",$M34="",$N34=""),IF($L34="已核定","已核定但資料未完整","待補欄位或核定"),IF(OR($Q34="",$R34=""),IF($L34="已核定","已核定但缺來源依據","待補來源依據"),IF($L34&lt;&gt;"已核定","待主管核定",IF(COUNTIFS($B$7:$B$106,$B34,$D$7:$D$106,$D34,$E$7:$E$106,$E34,$F$7:$F$106,$F34,$K$7:$K$106,"是")&gt;1,"項次重複","可發布")))))))</x:f>
      </x:c>
      <x:c r="Q34" s="421"/>
      <x:c r="R34" s="421"/>
    </x:row>
    <x:row r="35">
      <x:c r="A35" s="281"/>
      <x:c r="B35" s="281"/>
      <x:c r="C35" s="283" t="str">
        <x:f>IF($B35="","",_xlfn.XLOOKUP($B35,'檢核表版本'!$A$7:$A$13,'檢核表版本'!$B$7:$B$13,"未建立",0))</x:f>
      </x:c>
      <x:c r="D35" s="283" t="str">
        <x:f>IF($B35="","",_xlfn.XLOOKUP($B35,'檢核表版本'!$A$7:$A$13,'檢核表版本'!$C$7:$C$13,"未建立",0))</x:f>
      </x:c>
      <x:c r="E35" s="281"/>
      <x:c r="F35" s="281"/>
      <x:c r="G35" s="281"/>
      <x:c r="H35" s="281"/>
      <x:c r="I35" s="281"/>
      <x:c r="J35" s="281"/>
      <x:c r="K35" s="281"/>
      <x:c r="L35" s="281"/>
      <x:c r="M35" s="282"/>
      <x:c r="N35" s="281"/>
      <x:c r="O35" s="281"/>
      <x:c r="P35" s="283" t="str">
        <x:f>IF($A35="","",IF($K35="否","停用項目",IF(COUNTIFS($A$7:$A$106,$A35)&gt;1,"項目鍵重複",IF(OR($B35="",$C35="",$C35="未建立",$D35="",$D35="未建立",$E35="",$F35="",$G35="",$H35="",$I35="",$J35="",$L35="",$M35="",$N35=""),IF($L35="已核定","已核定但資料未完整","待補欄位或核定"),IF(OR($Q35="",$R35=""),IF($L35="已核定","已核定但缺來源依據","待補來源依據"),IF($L35&lt;&gt;"已核定","待主管核定",IF(COUNTIFS($B$7:$B$106,$B35,$D$7:$D$106,$D35,$E$7:$E$106,$E35,$F$7:$F$106,$F35,$K$7:$K$106,"是")&gt;1,"項次重複","可發布")))))))</x:f>
      </x:c>
      <x:c r="Q35" s="421"/>
      <x:c r="R35" s="421"/>
    </x:row>
    <x:row r="36">
      <x:c r="A36" s="281"/>
      <x:c r="B36" s="281"/>
      <x:c r="C36" s="283" t="str">
        <x:f>IF($B36="","",_xlfn.XLOOKUP($B36,'檢核表版本'!$A$7:$A$13,'檢核表版本'!$B$7:$B$13,"未建立",0))</x:f>
      </x:c>
      <x:c r="D36" s="283" t="str">
        <x:f>IF($B36="","",_xlfn.XLOOKUP($B36,'檢核表版本'!$A$7:$A$13,'檢核表版本'!$C$7:$C$13,"未建立",0))</x:f>
      </x:c>
      <x:c r="E36" s="281"/>
      <x:c r="F36" s="281"/>
      <x:c r="G36" s="281"/>
      <x:c r="H36" s="281"/>
      <x:c r="I36" s="281"/>
      <x:c r="J36" s="281"/>
      <x:c r="K36" s="281"/>
      <x:c r="L36" s="281"/>
      <x:c r="M36" s="282"/>
      <x:c r="N36" s="281"/>
      <x:c r="O36" s="281"/>
      <x:c r="P36" s="283" t="str">
        <x:f>IF($A36="","",IF($K36="否","停用項目",IF(COUNTIFS($A$7:$A$106,$A36)&gt;1,"項目鍵重複",IF(OR($B36="",$C36="",$C36="未建立",$D36="",$D36="未建立",$E36="",$F36="",$G36="",$H36="",$I36="",$J36="",$L36="",$M36="",$N36=""),IF($L36="已核定","已核定但資料未完整","待補欄位或核定"),IF(OR($Q36="",$R36=""),IF($L36="已核定","已核定但缺來源依據","待補來源依據"),IF($L36&lt;&gt;"已核定","待主管核定",IF(COUNTIFS($B$7:$B$106,$B36,$D$7:$D$106,$D36,$E$7:$E$106,$E36,$F$7:$F$106,$F36,$K$7:$K$106,"是")&gt;1,"項次重複","可發布")))))))</x:f>
      </x:c>
      <x:c r="Q36" s="421"/>
      <x:c r="R36" s="421"/>
    </x:row>
    <x:row r="37">
      <x:c r="A37" s="281"/>
      <x:c r="B37" s="281"/>
      <x:c r="C37" s="283" t="str">
        <x:f>IF($B37="","",_xlfn.XLOOKUP($B37,'檢核表版本'!$A$7:$A$13,'檢核表版本'!$B$7:$B$13,"未建立",0))</x:f>
      </x:c>
      <x:c r="D37" s="283" t="str">
        <x:f>IF($B37="","",_xlfn.XLOOKUP($B37,'檢核表版本'!$A$7:$A$13,'檢核表版本'!$C$7:$C$13,"未建立",0))</x:f>
      </x:c>
      <x:c r="E37" s="281"/>
      <x:c r="F37" s="281"/>
      <x:c r="G37" s="281"/>
      <x:c r="H37" s="281"/>
      <x:c r="I37" s="281"/>
      <x:c r="J37" s="281"/>
      <x:c r="K37" s="281"/>
      <x:c r="L37" s="281"/>
      <x:c r="M37" s="282"/>
      <x:c r="N37" s="281"/>
      <x:c r="O37" s="281"/>
      <x:c r="P37" s="283" t="str">
        <x:f>IF($A37="","",IF($K37="否","停用項目",IF(COUNTIFS($A$7:$A$106,$A37)&gt;1,"項目鍵重複",IF(OR($B37="",$C37="",$C37="未建立",$D37="",$D37="未建立",$E37="",$F37="",$G37="",$H37="",$I37="",$J37="",$L37="",$M37="",$N37=""),IF($L37="已核定","已核定但資料未完整","待補欄位或核定"),IF(OR($Q37="",$R37=""),IF($L37="已核定","已核定但缺來源依據","待補來源依據"),IF($L37&lt;&gt;"已核定","待主管核定",IF(COUNTIFS($B$7:$B$106,$B37,$D$7:$D$106,$D37,$E$7:$E$106,$E37,$F$7:$F$106,$F37,$K$7:$K$106,"是")&gt;1,"項次重複","可發布")))))))</x:f>
      </x:c>
      <x:c r="Q37" s="421"/>
      <x:c r="R37" s="421"/>
    </x:row>
    <x:row r="38">
      <x:c r="A38" s="281"/>
      <x:c r="B38" s="281"/>
      <x:c r="C38" s="283" t="str">
        <x:f>IF($B38="","",_xlfn.XLOOKUP($B38,'檢核表版本'!$A$7:$A$13,'檢核表版本'!$B$7:$B$13,"未建立",0))</x:f>
      </x:c>
      <x:c r="D38" s="283" t="str">
        <x:f>IF($B38="","",_xlfn.XLOOKUP($B38,'檢核表版本'!$A$7:$A$13,'檢核表版本'!$C$7:$C$13,"未建立",0))</x:f>
      </x:c>
      <x:c r="E38" s="281"/>
      <x:c r="F38" s="281"/>
      <x:c r="G38" s="281"/>
      <x:c r="H38" s="281"/>
      <x:c r="I38" s="281"/>
      <x:c r="J38" s="281"/>
      <x:c r="K38" s="281"/>
      <x:c r="L38" s="281"/>
      <x:c r="M38" s="282"/>
      <x:c r="N38" s="281"/>
      <x:c r="O38" s="281"/>
      <x:c r="P38" s="283" t="str">
        <x:f>IF($A38="","",IF($K38="否","停用項目",IF(COUNTIFS($A$7:$A$106,$A38)&gt;1,"項目鍵重複",IF(OR($B38="",$C38="",$C38="未建立",$D38="",$D38="未建立",$E38="",$F38="",$G38="",$H38="",$I38="",$J38="",$L38="",$M38="",$N38=""),IF($L38="已核定","已核定但資料未完整","待補欄位或核定"),IF(OR($Q38="",$R38=""),IF($L38="已核定","已核定但缺來源依據","待補來源依據"),IF($L38&lt;&gt;"已核定","待主管核定",IF(COUNTIFS($B$7:$B$106,$B38,$D$7:$D$106,$D38,$E$7:$E$106,$E38,$F$7:$F$106,$F38,$K$7:$K$106,"是")&gt;1,"項次重複","可發布")))))))</x:f>
      </x:c>
      <x:c r="Q38" s="421"/>
      <x:c r="R38" s="421"/>
    </x:row>
    <x:row r="39">
      <x:c r="A39" s="281"/>
      <x:c r="B39" s="281"/>
      <x:c r="C39" s="283" t="str">
        <x:f>IF($B39="","",_xlfn.XLOOKUP($B39,'檢核表版本'!$A$7:$A$13,'檢核表版本'!$B$7:$B$13,"未建立",0))</x:f>
      </x:c>
      <x:c r="D39" s="283" t="str">
        <x:f>IF($B39="","",_xlfn.XLOOKUP($B39,'檢核表版本'!$A$7:$A$13,'檢核表版本'!$C$7:$C$13,"未建立",0))</x:f>
      </x:c>
      <x:c r="E39" s="281"/>
      <x:c r="F39" s="281"/>
      <x:c r="G39" s="281"/>
      <x:c r="H39" s="281"/>
      <x:c r="I39" s="281"/>
      <x:c r="J39" s="281"/>
      <x:c r="K39" s="281"/>
      <x:c r="L39" s="281"/>
      <x:c r="M39" s="282"/>
      <x:c r="N39" s="281"/>
      <x:c r="O39" s="281"/>
      <x:c r="P39" s="283" t="str">
        <x:f>IF($A39="","",IF($K39="否","停用項目",IF(COUNTIFS($A$7:$A$106,$A39)&gt;1,"項目鍵重複",IF(OR($B39="",$C39="",$C39="未建立",$D39="",$D39="未建立",$E39="",$F39="",$G39="",$H39="",$I39="",$J39="",$L39="",$M39="",$N39=""),IF($L39="已核定","已核定但資料未完整","待補欄位或核定"),IF(OR($Q39="",$R39=""),IF($L39="已核定","已核定但缺來源依據","待補來源依據"),IF($L39&lt;&gt;"已核定","待主管核定",IF(COUNTIFS($B$7:$B$106,$B39,$D$7:$D$106,$D39,$E$7:$E$106,$E39,$F$7:$F$106,$F39,$K$7:$K$106,"是")&gt;1,"項次重複","可發布")))))))</x:f>
      </x:c>
      <x:c r="Q39" s="421"/>
      <x:c r="R39" s="421"/>
    </x:row>
    <x:row r="40">
      <x:c r="A40" s="281"/>
      <x:c r="B40" s="281"/>
      <x:c r="C40" s="283" t="str">
        <x:f>IF($B40="","",_xlfn.XLOOKUP($B40,'檢核表版本'!$A$7:$A$13,'檢核表版本'!$B$7:$B$13,"未建立",0))</x:f>
      </x:c>
      <x:c r="D40" s="283" t="str">
        <x:f>IF($B40="","",_xlfn.XLOOKUP($B40,'檢核表版本'!$A$7:$A$13,'檢核表版本'!$C$7:$C$13,"未建立",0))</x:f>
      </x:c>
      <x:c r="E40" s="281"/>
      <x:c r="F40" s="281"/>
      <x:c r="G40" s="281"/>
      <x:c r="H40" s="281"/>
      <x:c r="I40" s="281"/>
      <x:c r="J40" s="281"/>
      <x:c r="K40" s="281"/>
      <x:c r="L40" s="281"/>
      <x:c r="M40" s="282"/>
      <x:c r="N40" s="281"/>
      <x:c r="O40" s="281"/>
      <x:c r="P40" s="283" t="str">
        <x:f>IF($A40="","",IF($K40="否","停用項目",IF(COUNTIFS($A$7:$A$106,$A40)&gt;1,"項目鍵重複",IF(OR($B40="",$C40="",$C40="未建立",$D40="",$D40="未建立",$E40="",$F40="",$G40="",$H40="",$I40="",$J40="",$L40="",$M40="",$N40=""),IF($L40="已核定","已核定但資料未完整","待補欄位或核定"),IF(OR($Q40="",$R40=""),IF($L40="已核定","已核定但缺來源依據","待補來源依據"),IF($L40&lt;&gt;"已核定","待主管核定",IF(COUNTIFS($B$7:$B$106,$B40,$D$7:$D$106,$D40,$E$7:$E$106,$E40,$F$7:$F$106,$F40,$K$7:$K$106,"是")&gt;1,"項次重複","可發布")))))))</x:f>
      </x:c>
      <x:c r="Q40" s="421"/>
      <x:c r="R40" s="421"/>
    </x:row>
    <x:row r="41">
      <x:c r="A41" s="281"/>
      <x:c r="B41" s="281"/>
      <x:c r="C41" s="283" t="str">
        <x:f>IF($B41="","",_xlfn.XLOOKUP($B41,'檢核表版本'!$A$7:$A$13,'檢核表版本'!$B$7:$B$13,"未建立",0))</x:f>
      </x:c>
      <x:c r="D41" s="283" t="str">
        <x:f>IF($B41="","",_xlfn.XLOOKUP($B41,'檢核表版本'!$A$7:$A$13,'檢核表版本'!$C$7:$C$13,"未建立",0))</x:f>
      </x:c>
      <x:c r="E41" s="281"/>
      <x:c r="F41" s="281"/>
      <x:c r="G41" s="281"/>
      <x:c r="H41" s="281"/>
      <x:c r="I41" s="281"/>
      <x:c r="J41" s="281"/>
      <x:c r="K41" s="281"/>
      <x:c r="L41" s="281"/>
      <x:c r="M41" s="282"/>
      <x:c r="N41" s="281"/>
      <x:c r="O41" s="281"/>
      <x:c r="P41" s="283" t="str">
        <x:f>IF($A41="","",IF($K41="否","停用項目",IF(COUNTIFS($A$7:$A$106,$A41)&gt;1,"項目鍵重複",IF(OR($B41="",$C41="",$C41="未建立",$D41="",$D41="未建立",$E41="",$F41="",$G41="",$H41="",$I41="",$J41="",$L41="",$M41="",$N41=""),IF($L41="已核定","已核定但資料未完整","待補欄位或核定"),IF(OR($Q41="",$R41=""),IF($L41="已核定","已核定但缺來源依據","待補來源依據"),IF($L41&lt;&gt;"已核定","待主管核定",IF(COUNTIFS($B$7:$B$106,$B41,$D$7:$D$106,$D41,$E$7:$E$106,$E41,$F$7:$F$106,$F41,$K$7:$K$106,"是")&gt;1,"項次重複","可發布")))))))</x:f>
      </x:c>
      <x:c r="Q41" s="421"/>
      <x:c r="R41" s="421"/>
    </x:row>
    <x:row r="42">
      <x:c r="A42" s="281"/>
      <x:c r="B42" s="281"/>
      <x:c r="C42" s="283" t="str">
        <x:f>IF($B42="","",_xlfn.XLOOKUP($B42,'檢核表版本'!$A$7:$A$13,'檢核表版本'!$B$7:$B$13,"未建立",0))</x:f>
      </x:c>
      <x:c r="D42" s="283" t="str">
        <x:f>IF($B42="","",_xlfn.XLOOKUP($B42,'檢核表版本'!$A$7:$A$13,'檢核表版本'!$C$7:$C$13,"未建立",0))</x:f>
      </x:c>
      <x:c r="E42" s="281"/>
      <x:c r="F42" s="281"/>
      <x:c r="G42" s="281"/>
      <x:c r="H42" s="281"/>
      <x:c r="I42" s="281"/>
      <x:c r="J42" s="281"/>
      <x:c r="K42" s="281"/>
      <x:c r="L42" s="281"/>
      <x:c r="M42" s="282"/>
      <x:c r="N42" s="281"/>
      <x:c r="O42" s="281"/>
      <x:c r="P42" s="283" t="str">
        <x:f>IF($A42="","",IF($K42="否","停用項目",IF(COUNTIFS($A$7:$A$106,$A42)&gt;1,"項目鍵重複",IF(OR($B42="",$C42="",$C42="未建立",$D42="",$D42="未建立",$E42="",$F42="",$G42="",$H42="",$I42="",$J42="",$L42="",$M42="",$N42=""),IF($L42="已核定","已核定但資料未完整","待補欄位或核定"),IF(OR($Q42="",$R42=""),IF($L42="已核定","已核定但缺來源依據","待補來源依據"),IF($L42&lt;&gt;"已核定","待主管核定",IF(COUNTIFS($B$7:$B$106,$B42,$D$7:$D$106,$D42,$E$7:$E$106,$E42,$F$7:$F$106,$F42,$K$7:$K$106,"是")&gt;1,"項次重複","可發布")))))))</x:f>
      </x:c>
      <x:c r="Q42" s="421"/>
      <x:c r="R42" s="421"/>
    </x:row>
    <x:row r="43">
      <x:c r="A43" s="281"/>
      <x:c r="B43" s="281"/>
      <x:c r="C43" s="283" t="str">
        <x:f>IF($B43="","",_xlfn.XLOOKUP($B43,'檢核表版本'!$A$7:$A$13,'檢核表版本'!$B$7:$B$13,"未建立",0))</x:f>
      </x:c>
      <x:c r="D43" s="283" t="str">
        <x:f>IF($B43="","",_xlfn.XLOOKUP($B43,'檢核表版本'!$A$7:$A$13,'檢核表版本'!$C$7:$C$13,"未建立",0))</x:f>
      </x:c>
      <x:c r="E43" s="281"/>
      <x:c r="F43" s="281"/>
      <x:c r="G43" s="281"/>
      <x:c r="H43" s="281"/>
      <x:c r="I43" s="281"/>
      <x:c r="J43" s="281"/>
      <x:c r="K43" s="281"/>
      <x:c r="L43" s="281"/>
      <x:c r="M43" s="282"/>
      <x:c r="N43" s="281"/>
      <x:c r="O43" s="281"/>
      <x:c r="P43" s="283" t="str">
        <x:f>IF($A43="","",IF($K43="否","停用項目",IF(COUNTIFS($A$7:$A$106,$A43)&gt;1,"項目鍵重複",IF(OR($B43="",$C43="",$C43="未建立",$D43="",$D43="未建立",$E43="",$F43="",$G43="",$H43="",$I43="",$J43="",$L43="",$M43="",$N43=""),IF($L43="已核定","已核定但資料未完整","待補欄位或核定"),IF(OR($Q43="",$R43=""),IF($L43="已核定","已核定但缺來源依據","待補來源依據"),IF($L43&lt;&gt;"已核定","待主管核定",IF(COUNTIFS($B$7:$B$106,$B43,$D$7:$D$106,$D43,$E$7:$E$106,$E43,$F$7:$F$106,$F43,$K$7:$K$106,"是")&gt;1,"項次重複","可發布")))))))</x:f>
      </x:c>
      <x:c r="Q43" s="421"/>
      <x:c r="R43" s="421"/>
    </x:row>
    <x:row r="44">
      <x:c r="A44" s="281"/>
      <x:c r="B44" s="281"/>
      <x:c r="C44" s="283" t="str">
        <x:f>IF($B44="","",_xlfn.XLOOKUP($B44,'檢核表版本'!$A$7:$A$13,'檢核表版本'!$B$7:$B$13,"未建立",0))</x:f>
      </x:c>
      <x:c r="D44" s="283" t="str">
        <x:f>IF($B44="","",_xlfn.XLOOKUP($B44,'檢核表版本'!$A$7:$A$13,'檢核表版本'!$C$7:$C$13,"未建立",0))</x:f>
      </x:c>
      <x:c r="E44" s="281"/>
      <x:c r="F44" s="281"/>
      <x:c r="G44" s="281"/>
      <x:c r="H44" s="281"/>
      <x:c r="I44" s="281"/>
      <x:c r="J44" s="281"/>
      <x:c r="K44" s="281"/>
      <x:c r="L44" s="281"/>
      <x:c r="M44" s="282"/>
      <x:c r="N44" s="281"/>
      <x:c r="O44" s="281"/>
      <x:c r="P44" s="283" t="str">
        <x:f>IF($A44="","",IF($K44="否","停用項目",IF(COUNTIFS($A$7:$A$106,$A44)&gt;1,"項目鍵重複",IF(OR($B44="",$C44="",$C44="未建立",$D44="",$D44="未建立",$E44="",$F44="",$G44="",$H44="",$I44="",$J44="",$L44="",$M44="",$N44=""),IF($L44="已核定","已核定但資料未完整","待補欄位或核定"),IF(OR($Q44="",$R44=""),IF($L44="已核定","已核定但缺來源依據","待補來源依據"),IF($L44&lt;&gt;"已核定","待主管核定",IF(COUNTIFS($B$7:$B$106,$B44,$D$7:$D$106,$D44,$E$7:$E$106,$E44,$F$7:$F$106,$F44,$K$7:$K$106,"是")&gt;1,"項次重複","可發布")))))))</x:f>
      </x:c>
      <x:c r="Q44" s="421"/>
      <x:c r="R44" s="421"/>
    </x:row>
    <x:row r="45">
      <x:c r="A45" s="281"/>
      <x:c r="B45" s="281"/>
      <x:c r="C45" s="283" t="str">
        <x:f>IF($B45="","",_xlfn.XLOOKUP($B45,'檢核表版本'!$A$7:$A$13,'檢核表版本'!$B$7:$B$13,"未建立",0))</x:f>
      </x:c>
      <x:c r="D45" s="283" t="str">
        <x:f>IF($B45="","",_xlfn.XLOOKUP($B45,'檢核表版本'!$A$7:$A$13,'檢核表版本'!$C$7:$C$13,"未建立",0))</x:f>
      </x:c>
      <x:c r="E45" s="281"/>
      <x:c r="F45" s="281"/>
      <x:c r="G45" s="281"/>
      <x:c r="H45" s="281"/>
      <x:c r="I45" s="281"/>
      <x:c r="J45" s="281"/>
      <x:c r="K45" s="281"/>
      <x:c r="L45" s="281"/>
      <x:c r="M45" s="282"/>
      <x:c r="N45" s="281"/>
      <x:c r="O45" s="281"/>
      <x:c r="P45" s="283" t="str">
        <x:f>IF($A45="","",IF($K45="否","停用項目",IF(COUNTIFS($A$7:$A$106,$A45)&gt;1,"項目鍵重複",IF(OR($B45="",$C45="",$C45="未建立",$D45="",$D45="未建立",$E45="",$F45="",$G45="",$H45="",$I45="",$J45="",$L45="",$M45="",$N45=""),IF($L45="已核定","已核定但資料未完整","待補欄位或核定"),IF(OR($Q45="",$R45=""),IF($L45="已核定","已核定但缺來源依據","待補來源依據"),IF($L45&lt;&gt;"已核定","待主管核定",IF(COUNTIFS($B$7:$B$106,$B45,$D$7:$D$106,$D45,$E$7:$E$106,$E45,$F$7:$F$106,$F45,$K$7:$K$106,"是")&gt;1,"項次重複","可發布")))))))</x:f>
      </x:c>
      <x:c r="Q45" s="421"/>
      <x:c r="R45" s="421"/>
    </x:row>
    <x:row r="46">
      <x:c r="A46" s="281"/>
      <x:c r="B46" s="281"/>
      <x:c r="C46" s="283" t="str">
        <x:f>IF($B46="","",_xlfn.XLOOKUP($B46,'檢核表版本'!$A$7:$A$13,'檢核表版本'!$B$7:$B$13,"未建立",0))</x:f>
      </x:c>
      <x:c r="D46" s="283" t="str">
        <x:f>IF($B46="","",_xlfn.XLOOKUP($B46,'檢核表版本'!$A$7:$A$13,'檢核表版本'!$C$7:$C$13,"未建立",0))</x:f>
      </x:c>
      <x:c r="E46" s="281"/>
      <x:c r="F46" s="281"/>
      <x:c r="G46" s="281"/>
      <x:c r="H46" s="281"/>
      <x:c r="I46" s="281"/>
      <x:c r="J46" s="281"/>
      <x:c r="K46" s="281"/>
      <x:c r="L46" s="281"/>
      <x:c r="M46" s="282"/>
      <x:c r="N46" s="281"/>
      <x:c r="O46" s="281"/>
      <x:c r="P46" s="283" t="str">
        <x:f>IF($A46="","",IF($K46="否","停用項目",IF(COUNTIFS($A$7:$A$106,$A46)&gt;1,"項目鍵重複",IF(OR($B46="",$C46="",$C46="未建立",$D46="",$D46="未建立",$E46="",$F46="",$G46="",$H46="",$I46="",$J46="",$L46="",$M46="",$N46=""),IF($L46="已核定","已核定但資料未完整","待補欄位或核定"),IF(OR($Q46="",$R46=""),IF($L46="已核定","已核定但缺來源依據","待補來源依據"),IF($L46&lt;&gt;"已核定","待主管核定",IF(COUNTIFS($B$7:$B$106,$B46,$D$7:$D$106,$D46,$E$7:$E$106,$E46,$F$7:$F$106,$F46,$K$7:$K$106,"是")&gt;1,"項次重複","可發布")))))))</x:f>
      </x:c>
      <x:c r="Q46" s="421"/>
      <x:c r="R46" s="421"/>
    </x:row>
    <x:row r="47">
      <x:c r="A47" s="281"/>
      <x:c r="B47" s="281"/>
      <x:c r="C47" s="283" t="str">
        <x:f>IF($B47="","",_xlfn.XLOOKUP($B47,'檢核表版本'!$A$7:$A$13,'檢核表版本'!$B$7:$B$13,"未建立",0))</x:f>
      </x:c>
      <x:c r="D47" s="283" t="str">
        <x:f>IF($B47="","",_xlfn.XLOOKUP($B47,'檢核表版本'!$A$7:$A$13,'檢核表版本'!$C$7:$C$13,"未建立",0))</x:f>
      </x:c>
      <x:c r="E47" s="281"/>
      <x:c r="F47" s="281"/>
      <x:c r="G47" s="281"/>
      <x:c r="H47" s="281"/>
      <x:c r="I47" s="281"/>
      <x:c r="J47" s="281"/>
      <x:c r="K47" s="281"/>
      <x:c r="L47" s="281"/>
      <x:c r="M47" s="282"/>
      <x:c r="N47" s="281"/>
      <x:c r="O47" s="281"/>
      <x:c r="P47" s="283" t="str">
        <x:f>IF($A47="","",IF($K47="否","停用項目",IF(COUNTIFS($A$7:$A$106,$A47)&gt;1,"項目鍵重複",IF(OR($B47="",$C47="",$C47="未建立",$D47="",$D47="未建立",$E47="",$F47="",$G47="",$H47="",$I47="",$J47="",$L47="",$M47="",$N47=""),IF($L47="已核定","已核定但資料未完整","待補欄位或核定"),IF(OR($Q47="",$R47=""),IF($L47="已核定","已核定但缺來源依據","待補來源依據"),IF($L47&lt;&gt;"已核定","待主管核定",IF(COUNTIFS($B$7:$B$106,$B47,$D$7:$D$106,$D47,$E$7:$E$106,$E47,$F$7:$F$106,$F47,$K$7:$K$106,"是")&gt;1,"項次重複","可發布")))))))</x:f>
      </x:c>
      <x:c r="Q47" s="421"/>
      <x:c r="R47" s="421"/>
    </x:row>
    <x:row r="48">
      <x:c r="A48" s="281"/>
      <x:c r="B48" s="281"/>
      <x:c r="C48" s="283" t="str">
        <x:f>IF($B48="","",_xlfn.XLOOKUP($B48,'檢核表版本'!$A$7:$A$13,'檢核表版本'!$B$7:$B$13,"未建立",0))</x:f>
      </x:c>
      <x:c r="D48" s="283" t="str">
        <x:f>IF($B48="","",_xlfn.XLOOKUP($B48,'檢核表版本'!$A$7:$A$13,'檢核表版本'!$C$7:$C$13,"未建立",0))</x:f>
      </x:c>
      <x:c r="E48" s="281"/>
      <x:c r="F48" s="281"/>
      <x:c r="G48" s="281"/>
      <x:c r="H48" s="281"/>
      <x:c r="I48" s="281"/>
      <x:c r="J48" s="281"/>
      <x:c r="K48" s="281"/>
      <x:c r="L48" s="281"/>
      <x:c r="M48" s="282"/>
      <x:c r="N48" s="281"/>
      <x:c r="O48" s="281"/>
      <x:c r="P48" s="283" t="str">
        <x:f>IF($A48="","",IF($K48="否","停用項目",IF(COUNTIFS($A$7:$A$106,$A48)&gt;1,"項目鍵重複",IF(OR($B48="",$C48="",$C48="未建立",$D48="",$D48="未建立",$E48="",$F48="",$G48="",$H48="",$I48="",$J48="",$L48="",$M48="",$N48=""),IF($L48="已核定","已核定但資料未完整","待補欄位或核定"),IF(OR($Q48="",$R48=""),IF($L48="已核定","已核定但缺來源依據","待補來源依據"),IF($L48&lt;&gt;"已核定","待主管核定",IF(COUNTIFS($B$7:$B$106,$B48,$D$7:$D$106,$D48,$E$7:$E$106,$E48,$F$7:$F$106,$F48,$K$7:$K$106,"是")&gt;1,"項次重複","可發布")))))))</x:f>
      </x:c>
      <x:c r="Q48" s="421"/>
      <x:c r="R48" s="421"/>
    </x:row>
    <x:row r="49">
      <x:c r="A49" s="281"/>
      <x:c r="B49" s="281"/>
      <x:c r="C49" s="283" t="str">
        <x:f>IF($B49="","",_xlfn.XLOOKUP($B49,'檢核表版本'!$A$7:$A$13,'檢核表版本'!$B$7:$B$13,"未建立",0))</x:f>
      </x:c>
      <x:c r="D49" s="283" t="str">
        <x:f>IF($B49="","",_xlfn.XLOOKUP($B49,'檢核表版本'!$A$7:$A$13,'檢核表版本'!$C$7:$C$13,"未建立",0))</x:f>
      </x:c>
      <x:c r="E49" s="281"/>
      <x:c r="F49" s="281"/>
      <x:c r="G49" s="281"/>
      <x:c r="H49" s="281"/>
      <x:c r="I49" s="281"/>
      <x:c r="J49" s="281"/>
      <x:c r="K49" s="281"/>
      <x:c r="L49" s="281"/>
      <x:c r="M49" s="282"/>
      <x:c r="N49" s="281"/>
      <x:c r="O49" s="281"/>
      <x:c r="P49" s="283" t="str">
        <x:f>IF($A49="","",IF($K49="否","停用項目",IF(COUNTIFS($A$7:$A$106,$A49)&gt;1,"項目鍵重複",IF(OR($B49="",$C49="",$C49="未建立",$D49="",$D49="未建立",$E49="",$F49="",$G49="",$H49="",$I49="",$J49="",$L49="",$M49="",$N49=""),IF($L49="已核定","已核定但資料未完整","待補欄位或核定"),IF(OR($Q49="",$R49=""),IF($L49="已核定","已核定但缺來源依據","待補來源依據"),IF($L49&lt;&gt;"已核定","待主管核定",IF(COUNTIFS($B$7:$B$106,$B49,$D$7:$D$106,$D49,$E$7:$E$106,$E49,$F$7:$F$106,$F49,$K$7:$K$106,"是")&gt;1,"項次重複","可發布")))))))</x:f>
      </x:c>
      <x:c r="Q49" s="421"/>
      <x:c r="R49" s="421"/>
    </x:row>
    <x:row r="50">
      <x:c r="A50" s="281"/>
      <x:c r="B50" s="281"/>
      <x:c r="C50" s="283" t="str">
        <x:f>IF($B50="","",_xlfn.XLOOKUP($B50,'檢核表版本'!$A$7:$A$13,'檢核表版本'!$B$7:$B$13,"未建立",0))</x:f>
      </x:c>
      <x:c r="D50" s="283" t="str">
        <x:f>IF($B50="","",_xlfn.XLOOKUP($B50,'檢核表版本'!$A$7:$A$13,'檢核表版本'!$C$7:$C$13,"未建立",0))</x:f>
      </x:c>
      <x:c r="E50" s="281"/>
      <x:c r="F50" s="281"/>
      <x:c r="G50" s="281"/>
      <x:c r="H50" s="281"/>
      <x:c r="I50" s="281"/>
      <x:c r="J50" s="281"/>
      <x:c r="K50" s="281"/>
      <x:c r="L50" s="281"/>
      <x:c r="M50" s="282"/>
      <x:c r="N50" s="281"/>
      <x:c r="O50" s="281"/>
      <x:c r="P50" s="283" t="str">
        <x:f>IF($A50="","",IF($K50="否","停用項目",IF(COUNTIFS($A$7:$A$106,$A50)&gt;1,"項目鍵重複",IF(OR($B50="",$C50="",$C50="未建立",$D50="",$D50="未建立",$E50="",$F50="",$G50="",$H50="",$I50="",$J50="",$L50="",$M50="",$N50=""),IF($L50="已核定","已核定但資料未完整","待補欄位或核定"),IF(OR($Q50="",$R50=""),IF($L50="已核定","已核定但缺來源依據","待補來源依據"),IF($L50&lt;&gt;"已核定","待主管核定",IF(COUNTIFS($B$7:$B$106,$B50,$D$7:$D$106,$D50,$E$7:$E$106,$E50,$F$7:$F$106,$F50,$K$7:$K$106,"是")&gt;1,"項次重複","可發布")))))))</x:f>
      </x:c>
      <x:c r="Q50" s="421"/>
      <x:c r="R50" s="421"/>
    </x:row>
    <x:row r="51">
      <x:c r="A51" s="281"/>
      <x:c r="B51" s="281"/>
      <x:c r="C51" s="283" t="str">
        <x:f>IF($B51="","",_xlfn.XLOOKUP($B51,'檢核表版本'!$A$7:$A$13,'檢核表版本'!$B$7:$B$13,"未建立",0))</x:f>
      </x:c>
      <x:c r="D51" s="283" t="str">
        <x:f>IF($B51="","",_xlfn.XLOOKUP($B51,'檢核表版本'!$A$7:$A$13,'檢核表版本'!$C$7:$C$13,"未建立",0))</x:f>
      </x:c>
      <x:c r="E51" s="281"/>
      <x:c r="F51" s="281"/>
      <x:c r="G51" s="281"/>
      <x:c r="H51" s="281"/>
      <x:c r="I51" s="281"/>
      <x:c r="J51" s="281"/>
      <x:c r="K51" s="281"/>
      <x:c r="L51" s="281"/>
      <x:c r="M51" s="282"/>
      <x:c r="N51" s="281"/>
      <x:c r="O51" s="281"/>
      <x:c r="P51" s="283" t="str">
        <x:f>IF($A51="","",IF($K51="否","停用項目",IF(COUNTIFS($A$7:$A$106,$A51)&gt;1,"項目鍵重複",IF(OR($B51="",$C51="",$C51="未建立",$D51="",$D51="未建立",$E51="",$F51="",$G51="",$H51="",$I51="",$J51="",$L51="",$M51="",$N51=""),IF($L51="已核定","已核定但資料未完整","待補欄位或核定"),IF(OR($Q51="",$R51=""),IF($L51="已核定","已核定但缺來源依據","待補來源依據"),IF($L51&lt;&gt;"已核定","待主管核定",IF(COUNTIFS($B$7:$B$106,$B51,$D$7:$D$106,$D51,$E$7:$E$106,$E51,$F$7:$F$106,$F51,$K$7:$K$106,"是")&gt;1,"項次重複","可發布")))))))</x:f>
      </x:c>
      <x:c r="Q51" s="421"/>
      <x:c r="R51" s="421"/>
    </x:row>
    <x:row r="52">
      <x:c r="A52" s="281"/>
      <x:c r="B52" s="281"/>
      <x:c r="C52" s="283" t="str">
        <x:f>IF($B52="","",_xlfn.XLOOKUP($B52,'檢核表版本'!$A$7:$A$13,'檢核表版本'!$B$7:$B$13,"未建立",0))</x:f>
      </x:c>
      <x:c r="D52" s="283" t="str">
        <x:f>IF($B52="","",_xlfn.XLOOKUP($B52,'檢核表版本'!$A$7:$A$13,'檢核表版本'!$C$7:$C$13,"未建立",0))</x:f>
      </x:c>
      <x:c r="E52" s="281"/>
      <x:c r="F52" s="281"/>
      <x:c r="G52" s="281"/>
      <x:c r="H52" s="281"/>
      <x:c r="I52" s="281"/>
      <x:c r="J52" s="281"/>
      <x:c r="K52" s="281"/>
      <x:c r="L52" s="281"/>
      <x:c r="M52" s="282"/>
      <x:c r="N52" s="281"/>
      <x:c r="O52" s="281"/>
      <x:c r="P52" s="283" t="str">
        <x:f>IF($A52="","",IF($K52="否","停用項目",IF(COUNTIFS($A$7:$A$106,$A52)&gt;1,"項目鍵重複",IF(OR($B52="",$C52="",$C52="未建立",$D52="",$D52="未建立",$E52="",$F52="",$G52="",$H52="",$I52="",$J52="",$L52="",$M52="",$N52=""),IF($L52="已核定","已核定但資料未完整","待補欄位或核定"),IF(OR($Q52="",$R52=""),IF($L52="已核定","已核定但缺來源依據","待補來源依據"),IF($L52&lt;&gt;"已核定","待主管核定",IF(COUNTIFS($B$7:$B$106,$B52,$D$7:$D$106,$D52,$E$7:$E$106,$E52,$F$7:$F$106,$F52,$K$7:$K$106,"是")&gt;1,"項次重複","可發布")))))))</x:f>
      </x:c>
      <x:c r="Q52" s="421"/>
      <x:c r="R52" s="421"/>
    </x:row>
    <x:row r="53">
      <x:c r="A53" s="281"/>
      <x:c r="B53" s="281"/>
      <x:c r="C53" s="283" t="str">
        <x:f>IF($B53="","",_xlfn.XLOOKUP($B53,'檢核表版本'!$A$7:$A$13,'檢核表版本'!$B$7:$B$13,"未建立",0))</x:f>
      </x:c>
      <x:c r="D53" s="283" t="str">
        <x:f>IF($B53="","",_xlfn.XLOOKUP($B53,'檢核表版本'!$A$7:$A$13,'檢核表版本'!$C$7:$C$13,"未建立",0))</x:f>
      </x:c>
      <x:c r="E53" s="281"/>
      <x:c r="F53" s="281"/>
      <x:c r="G53" s="281"/>
      <x:c r="H53" s="281"/>
      <x:c r="I53" s="281"/>
      <x:c r="J53" s="281"/>
      <x:c r="K53" s="281"/>
      <x:c r="L53" s="281"/>
      <x:c r="M53" s="282"/>
      <x:c r="N53" s="281"/>
      <x:c r="O53" s="281"/>
      <x:c r="P53" s="283" t="str">
        <x:f>IF($A53="","",IF($K53="否","停用項目",IF(COUNTIFS($A$7:$A$106,$A53)&gt;1,"項目鍵重複",IF(OR($B53="",$C53="",$C53="未建立",$D53="",$D53="未建立",$E53="",$F53="",$G53="",$H53="",$I53="",$J53="",$L53="",$M53="",$N53=""),IF($L53="已核定","已核定但資料未完整","待補欄位或核定"),IF(OR($Q53="",$R53=""),IF($L53="已核定","已核定但缺來源依據","待補來源依據"),IF($L53&lt;&gt;"已核定","待主管核定",IF(COUNTIFS($B$7:$B$106,$B53,$D$7:$D$106,$D53,$E$7:$E$106,$E53,$F$7:$F$106,$F53,$K$7:$K$106,"是")&gt;1,"項次重複","可發布")))))))</x:f>
      </x:c>
      <x:c r="Q53" s="421"/>
      <x:c r="R53" s="421"/>
    </x:row>
    <x:row r="54">
      <x:c r="A54" s="281"/>
      <x:c r="B54" s="281"/>
      <x:c r="C54" s="283" t="str">
        <x:f>IF($B54="","",_xlfn.XLOOKUP($B54,'檢核表版本'!$A$7:$A$13,'檢核表版本'!$B$7:$B$13,"未建立",0))</x:f>
      </x:c>
      <x:c r="D54" s="283" t="str">
        <x:f>IF($B54="","",_xlfn.XLOOKUP($B54,'檢核表版本'!$A$7:$A$13,'檢核表版本'!$C$7:$C$13,"未建立",0))</x:f>
      </x:c>
      <x:c r="E54" s="281"/>
      <x:c r="F54" s="281"/>
      <x:c r="G54" s="281"/>
      <x:c r="H54" s="281"/>
      <x:c r="I54" s="281"/>
      <x:c r="J54" s="281"/>
      <x:c r="K54" s="281"/>
      <x:c r="L54" s="281"/>
      <x:c r="M54" s="282"/>
      <x:c r="N54" s="281"/>
      <x:c r="O54" s="281"/>
      <x:c r="P54" s="283" t="str">
        <x:f>IF($A54="","",IF($K54="否","停用項目",IF(COUNTIFS($A$7:$A$106,$A54)&gt;1,"項目鍵重複",IF(OR($B54="",$C54="",$C54="未建立",$D54="",$D54="未建立",$E54="",$F54="",$G54="",$H54="",$I54="",$J54="",$L54="",$M54="",$N54=""),IF($L54="已核定","已核定但資料未完整","待補欄位或核定"),IF(OR($Q54="",$R54=""),IF($L54="已核定","已核定但缺來源依據","待補來源依據"),IF($L54&lt;&gt;"已核定","待主管核定",IF(COUNTIFS($B$7:$B$106,$B54,$D$7:$D$106,$D54,$E$7:$E$106,$E54,$F$7:$F$106,$F54,$K$7:$K$106,"是")&gt;1,"項次重複","可發布")))))))</x:f>
      </x:c>
      <x:c r="Q54" s="421"/>
      <x:c r="R54" s="421"/>
    </x:row>
    <x:row r="55">
      <x:c r="A55" s="281"/>
      <x:c r="B55" s="281"/>
      <x:c r="C55" s="283" t="str">
        <x:f>IF($B55="","",_xlfn.XLOOKUP($B55,'檢核表版本'!$A$7:$A$13,'檢核表版本'!$B$7:$B$13,"未建立",0))</x:f>
      </x:c>
      <x:c r="D55" s="283" t="str">
        <x:f>IF($B55="","",_xlfn.XLOOKUP($B55,'檢核表版本'!$A$7:$A$13,'檢核表版本'!$C$7:$C$13,"未建立",0))</x:f>
      </x:c>
      <x:c r="E55" s="281"/>
      <x:c r="F55" s="281"/>
      <x:c r="G55" s="281"/>
      <x:c r="H55" s="281"/>
      <x:c r="I55" s="281"/>
      <x:c r="J55" s="281"/>
      <x:c r="K55" s="281"/>
      <x:c r="L55" s="281"/>
      <x:c r="M55" s="282"/>
      <x:c r="N55" s="281"/>
      <x:c r="O55" s="281"/>
      <x:c r="P55" s="283" t="str">
        <x:f>IF($A55="","",IF($K55="否","停用項目",IF(COUNTIFS($A$7:$A$106,$A55)&gt;1,"項目鍵重複",IF(OR($B55="",$C55="",$C55="未建立",$D55="",$D55="未建立",$E55="",$F55="",$G55="",$H55="",$I55="",$J55="",$L55="",$M55="",$N55=""),IF($L55="已核定","已核定但資料未完整","待補欄位或核定"),IF(OR($Q55="",$R55=""),IF($L55="已核定","已核定但缺來源依據","待補來源依據"),IF($L55&lt;&gt;"已核定","待主管核定",IF(COUNTIFS($B$7:$B$106,$B55,$D$7:$D$106,$D55,$E$7:$E$106,$E55,$F$7:$F$106,$F55,$K$7:$K$106,"是")&gt;1,"項次重複","可發布")))))))</x:f>
      </x:c>
      <x:c r="Q55" s="421"/>
      <x:c r="R55" s="421"/>
    </x:row>
    <x:row r="56">
      <x:c r="A56" s="281"/>
      <x:c r="B56" s="281"/>
      <x:c r="C56" s="283" t="str">
        <x:f>IF($B56="","",_xlfn.XLOOKUP($B56,'檢核表版本'!$A$7:$A$13,'檢核表版本'!$B$7:$B$13,"未建立",0))</x:f>
      </x:c>
      <x:c r="D56" s="283" t="str">
        <x:f>IF($B56="","",_xlfn.XLOOKUP($B56,'檢核表版本'!$A$7:$A$13,'檢核表版本'!$C$7:$C$13,"未建立",0))</x:f>
      </x:c>
      <x:c r="E56" s="281"/>
      <x:c r="F56" s="281"/>
      <x:c r="G56" s="281"/>
      <x:c r="H56" s="281"/>
      <x:c r="I56" s="281"/>
      <x:c r="J56" s="281"/>
      <x:c r="K56" s="281"/>
      <x:c r="L56" s="281"/>
      <x:c r="M56" s="282"/>
      <x:c r="N56" s="281"/>
      <x:c r="O56" s="281"/>
      <x:c r="P56" s="283" t="str">
        <x:f>IF($A56="","",IF($K56="否","停用項目",IF(COUNTIFS($A$7:$A$106,$A56)&gt;1,"項目鍵重複",IF(OR($B56="",$C56="",$C56="未建立",$D56="",$D56="未建立",$E56="",$F56="",$G56="",$H56="",$I56="",$J56="",$L56="",$M56="",$N56=""),IF($L56="已核定","已核定但資料未完整","待補欄位或核定"),IF(OR($Q56="",$R56=""),IF($L56="已核定","已核定但缺來源依據","待補來源依據"),IF($L56&lt;&gt;"已核定","待主管核定",IF(COUNTIFS($B$7:$B$106,$B56,$D$7:$D$106,$D56,$E$7:$E$106,$E56,$F$7:$F$106,$F56,$K$7:$K$106,"是")&gt;1,"項次重複","可發布")))))))</x:f>
      </x:c>
      <x:c r="Q56" s="421"/>
      <x:c r="R56" s="421"/>
    </x:row>
    <x:row r="57">
      <x:c r="A57" s="281"/>
      <x:c r="B57" s="281"/>
      <x:c r="C57" s="283" t="str">
        <x:f>IF($B57="","",_xlfn.XLOOKUP($B57,'檢核表版本'!$A$7:$A$13,'檢核表版本'!$B$7:$B$13,"未建立",0))</x:f>
      </x:c>
      <x:c r="D57" s="283" t="str">
        <x:f>IF($B57="","",_xlfn.XLOOKUP($B57,'檢核表版本'!$A$7:$A$13,'檢核表版本'!$C$7:$C$13,"未建立",0))</x:f>
      </x:c>
      <x:c r="E57" s="281"/>
      <x:c r="F57" s="281"/>
      <x:c r="G57" s="281"/>
      <x:c r="H57" s="281"/>
      <x:c r="I57" s="281"/>
      <x:c r="J57" s="281"/>
      <x:c r="K57" s="281"/>
      <x:c r="L57" s="281"/>
      <x:c r="M57" s="282"/>
      <x:c r="N57" s="281"/>
      <x:c r="O57" s="281"/>
      <x:c r="P57" s="283" t="str">
        <x:f>IF($A57="","",IF($K57="否","停用項目",IF(COUNTIFS($A$7:$A$106,$A57)&gt;1,"項目鍵重複",IF(OR($B57="",$C57="",$C57="未建立",$D57="",$D57="未建立",$E57="",$F57="",$G57="",$H57="",$I57="",$J57="",$L57="",$M57="",$N57=""),IF($L57="已核定","已核定但資料未完整","待補欄位或核定"),IF(OR($Q57="",$R57=""),IF($L57="已核定","已核定但缺來源依據","待補來源依據"),IF($L57&lt;&gt;"已核定","待主管核定",IF(COUNTIFS($B$7:$B$106,$B57,$D$7:$D$106,$D57,$E$7:$E$106,$E57,$F$7:$F$106,$F57,$K$7:$K$106,"是")&gt;1,"項次重複","可發布")))))))</x:f>
      </x:c>
      <x:c r="Q57" s="421"/>
      <x:c r="R57" s="421"/>
    </x:row>
    <x:row r="58">
      <x:c r="A58" s="281"/>
      <x:c r="B58" s="281"/>
      <x:c r="C58" s="283" t="str">
        <x:f>IF($B58="","",_xlfn.XLOOKUP($B58,'檢核表版本'!$A$7:$A$13,'檢核表版本'!$B$7:$B$13,"未建立",0))</x:f>
      </x:c>
      <x:c r="D58" s="283" t="str">
        <x:f>IF($B58="","",_xlfn.XLOOKUP($B58,'檢核表版本'!$A$7:$A$13,'檢核表版本'!$C$7:$C$13,"未建立",0))</x:f>
      </x:c>
      <x:c r="E58" s="281"/>
      <x:c r="F58" s="281"/>
      <x:c r="G58" s="281"/>
      <x:c r="H58" s="281"/>
      <x:c r="I58" s="281"/>
      <x:c r="J58" s="281"/>
      <x:c r="K58" s="281"/>
      <x:c r="L58" s="281"/>
      <x:c r="M58" s="282"/>
      <x:c r="N58" s="281"/>
      <x:c r="O58" s="281"/>
      <x:c r="P58" s="283" t="str">
        <x:f>IF($A58="","",IF($K58="否","停用項目",IF(COUNTIFS($A$7:$A$106,$A58)&gt;1,"項目鍵重複",IF(OR($B58="",$C58="",$C58="未建立",$D58="",$D58="未建立",$E58="",$F58="",$G58="",$H58="",$I58="",$J58="",$L58="",$M58="",$N58=""),IF($L58="已核定","已核定但資料未完整","待補欄位或核定"),IF(OR($Q58="",$R58=""),IF($L58="已核定","已核定但缺來源依據","待補來源依據"),IF($L58&lt;&gt;"已核定","待主管核定",IF(COUNTIFS($B$7:$B$106,$B58,$D$7:$D$106,$D58,$E$7:$E$106,$E58,$F$7:$F$106,$F58,$K$7:$K$106,"是")&gt;1,"項次重複","可發布")))))))</x:f>
      </x:c>
      <x:c r="Q58" s="421"/>
      <x:c r="R58" s="421"/>
    </x:row>
    <x:row r="59">
      <x:c r="A59" s="281"/>
      <x:c r="B59" s="281"/>
      <x:c r="C59" s="283" t="str">
        <x:f>IF($B59="","",_xlfn.XLOOKUP($B59,'檢核表版本'!$A$7:$A$13,'檢核表版本'!$B$7:$B$13,"未建立",0))</x:f>
      </x:c>
      <x:c r="D59" s="283" t="str">
        <x:f>IF($B59="","",_xlfn.XLOOKUP($B59,'檢核表版本'!$A$7:$A$13,'檢核表版本'!$C$7:$C$13,"未建立",0))</x:f>
      </x:c>
      <x:c r="E59" s="281"/>
      <x:c r="F59" s="281"/>
      <x:c r="G59" s="281"/>
      <x:c r="H59" s="281"/>
      <x:c r="I59" s="281"/>
      <x:c r="J59" s="281"/>
      <x:c r="K59" s="281"/>
      <x:c r="L59" s="281"/>
      <x:c r="M59" s="282"/>
      <x:c r="N59" s="281"/>
      <x:c r="O59" s="281"/>
      <x:c r="P59" s="283" t="str">
        <x:f>IF($A59="","",IF($K59="否","停用項目",IF(COUNTIFS($A$7:$A$106,$A59)&gt;1,"項目鍵重複",IF(OR($B59="",$C59="",$C59="未建立",$D59="",$D59="未建立",$E59="",$F59="",$G59="",$H59="",$I59="",$J59="",$L59="",$M59="",$N59=""),IF($L59="已核定","已核定但資料未完整","待補欄位或核定"),IF(OR($Q59="",$R59=""),IF($L59="已核定","已核定但缺來源依據","待補來源依據"),IF($L59&lt;&gt;"已核定","待主管核定",IF(COUNTIFS($B$7:$B$106,$B59,$D$7:$D$106,$D59,$E$7:$E$106,$E59,$F$7:$F$106,$F59,$K$7:$K$106,"是")&gt;1,"項次重複","可發布")))))))</x:f>
      </x:c>
      <x:c r="Q59" s="421"/>
      <x:c r="R59" s="421"/>
    </x:row>
    <x:row r="60">
      <x:c r="A60" s="281"/>
      <x:c r="B60" s="281"/>
      <x:c r="C60" s="283" t="str">
        <x:f>IF($B60="","",_xlfn.XLOOKUP($B60,'檢核表版本'!$A$7:$A$13,'檢核表版本'!$B$7:$B$13,"未建立",0))</x:f>
      </x:c>
      <x:c r="D60" s="283" t="str">
        <x:f>IF($B60="","",_xlfn.XLOOKUP($B60,'檢核表版本'!$A$7:$A$13,'檢核表版本'!$C$7:$C$13,"未建立",0))</x:f>
      </x:c>
      <x:c r="E60" s="281"/>
      <x:c r="F60" s="281"/>
      <x:c r="G60" s="281"/>
      <x:c r="H60" s="281"/>
      <x:c r="I60" s="281"/>
      <x:c r="J60" s="281"/>
      <x:c r="K60" s="281"/>
      <x:c r="L60" s="281"/>
      <x:c r="M60" s="282"/>
      <x:c r="N60" s="281"/>
      <x:c r="O60" s="281"/>
      <x:c r="P60" s="283" t="str">
        <x:f>IF($A60="","",IF($K60="否","停用項目",IF(COUNTIFS($A$7:$A$106,$A60)&gt;1,"項目鍵重複",IF(OR($B60="",$C60="",$C60="未建立",$D60="",$D60="未建立",$E60="",$F60="",$G60="",$H60="",$I60="",$J60="",$L60="",$M60="",$N60=""),IF($L60="已核定","已核定但資料未完整","待補欄位或核定"),IF(OR($Q60="",$R60=""),IF($L60="已核定","已核定但缺來源依據","待補來源依據"),IF($L60&lt;&gt;"已核定","待主管核定",IF(COUNTIFS($B$7:$B$106,$B60,$D$7:$D$106,$D60,$E$7:$E$106,$E60,$F$7:$F$106,$F60,$K$7:$K$106,"是")&gt;1,"項次重複","可發布")))))))</x:f>
      </x:c>
      <x:c r="Q60" s="421"/>
      <x:c r="R60" s="421"/>
    </x:row>
    <x:row r="61">
      <x:c r="A61" s="281"/>
      <x:c r="B61" s="281"/>
      <x:c r="C61" s="283" t="str">
        <x:f>IF($B61="","",_xlfn.XLOOKUP($B61,'檢核表版本'!$A$7:$A$13,'檢核表版本'!$B$7:$B$13,"未建立",0))</x:f>
      </x:c>
      <x:c r="D61" s="283" t="str">
        <x:f>IF($B61="","",_xlfn.XLOOKUP($B61,'檢核表版本'!$A$7:$A$13,'檢核表版本'!$C$7:$C$13,"未建立",0))</x:f>
      </x:c>
      <x:c r="E61" s="281"/>
      <x:c r="F61" s="281"/>
      <x:c r="G61" s="281"/>
      <x:c r="H61" s="281"/>
      <x:c r="I61" s="281"/>
      <x:c r="J61" s="281"/>
      <x:c r="K61" s="281"/>
      <x:c r="L61" s="281"/>
      <x:c r="M61" s="282"/>
      <x:c r="N61" s="281"/>
      <x:c r="O61" s="281"/>
      <x:c r="P61" s="283" t="str">
        <x:f>IF($A61="","",IF($K61="否","停用項目",IF(COUNTIFS($A$7:$A$106,$A61)&gt;1,"項目鍵重複",IF(OR($B61="",$C61="",$C61="未建立",$D61="",$D61="未建立",$E61="",$F61="",$G61="",$H61="",$I61="",$J61="",$L61="",$M61="",$N61=""),IF($L61="已核定","已核定但資料未完整","待補欄位或核定"),IF(OR($Q61="",$R61=""),IF($L61="已核定","已核定但缺來源依據","待補來源依據"),IF($L61&lt;&gt;"已核定","待主管核定",IF(COUNTIFS($B$7:$B$106,$B61,$D$7:$D$106,$D61,$E$7:$E$106,$E61,$F$7:$F$106,$F61,$K$7:$K$106,"是")&gt;1,"項次重複","可發布")))))))</x:f>
      </x:c>
      <x:c r="Q61" s="421"/>
      <x:c r="R61" s="421"/>
    </x:row>
    <x:row r="62">
      <x:c r="A62" s="281"/>
      <x:c r="B62" s="281"/>
      <x:c r="C62" s="283" t="str">
        <x:f>IF($B62="","",_xlfn.XLOOKUP($B62,'檢核表版本'!$A$7:$A$13,'檢核表版本'!$B$7:$B$13,"未建立",0))</x:f>
      </x:c>
      <x:c r="D62" s="283" t="str">
        <x:f>IF($B62="","",_xlfn.XLOOKUP($B62,'檢核表版本'!$A$7:$A$13,'檢核表版本'!$C$7:$C$13,"未建立",0))</x:f>
      </x:c>
      <x:c r="E62" s="281"/>
      <x:c r="F62" s="281"/>
      <x:c r="G62" s="281"/>
      <x:c r="H62" s="281"/>
      <x:c r="I62" s="281"/>
      <x:c r="J62" s="281"/>
      <x:c r="K62" s="281"/>
      <x:c r="L62" s="281"/>
      <x:c r="M62" s="282"/>
      <x:c r="N62" s="281"/>
      <x:c r="O62" s="281"/>
      <x:c r="P62" s="283" t="str">
        <x:f>IF($A62="","",IF($K62="否","停用項目",IF(COUNTIFS($A$7:$A$106,$A62)&gt;1,"項目鍵重複",IF(OR($B62="",$C62="",$C62="未建立",$D62="",$D62="未建立",$E62="",$F62="",$G62="",$H62="",$I62="",$J62="",$L62="",$M62="",$N62=""),IF($L62="已核定","已核定但資料未完整","待補欄位或核定"),IF(OR($Q62="",$R62=""),IF($L62="已核定","已核定但缺來源依據","待補來源依據"),IF($L62&lt;&gt;"已核定","待主管核定",IF(COUNTIFS($B$7:$B$106,$B62,$D$7:$D$106,$D62,$E$7:$E$106,$E62,$F$7:$F$106,$F62,$K$7:$K$106,"是")&gt;1,"項次重複","可發布")))))))</x:f>
      </x:c>
      <x:c r="Q62" s="421"/>
      <x:c r="R62" s="421"/>
    </x:row>
    <x:row r="63">
      <x:c r="A63" s="281"/>
      <x:c r="B63" s="281"/>
      <x:c r="C63" s="283" t="str">
        <x:f>IF($B63="","",_xlfn.XLOOKUP($B63,'檢核表版本'!$A$7:$A$13,'檢核表版本'!$B$7:$B$13,"未建立",0))</x:f>
      </x:c>
      <x:c r="D63" s="283" t="str">
        <x:f>IF($B63="","",_xlfn.XLOOKUP($B63,'檢核表版本'!$A$7:$A$13,'檢核表版本'!$C$7:$C$13,"未建立",0))</x:f>
      </x:c>
      <x:c r="E63" s="281"/>
      <x:c r="F63" s="281"/>
      <x:c r="G63" s="281"/>
      <x:c r="H63" s="281"/>
      <x:c r="I63" s="281"/>
      <x:c r="J63" s="281"/>
      <x:c r="K63" s="281"/>
      <x:c r="L63" s="281"/>
      <x:c r="M63" s="282"/>
      <x:c r="N63" s="281"/>
      <x:c r="O63" s="281"/>
      <x:c r="P63" s="283" t="str">
        <x:f>IF($A63="","",IF($K63="否","停用項目",IF(COUNTIFS($A$7:$A$106,$A63)&gt;1,"項目鍵重複",IF(OR($B63="",$C63="",$C63="未建立",$D63="",$D63="未建立",$E63="",$F63="",$G63="",$H63="",$I63="",$J63="",$L63="",$M63="",$N63=""),IF($L63="已核定","已核定但資料未完整","待補欄位或核定"),IF(OR($Q63="",$R63=""),IF($L63="已核定","已核定但缺來源依據","待補來源依據"),IF($L63&lt;&gt;"已核定","待主管核定",IF(COUNTIFS($B$7:$B$106,$B63,$D$7:$D$106,$D63,$E$7:$E$106,$E63,$F$7:$F$106,$F63,$K$7:$K$106,"是")&gt;1,"項次重複","可發布")))))))</x:f>
      </x:c>
      <x:c r="Q63" s="421"/>
      <x:c r="R63" s="421"/>
    </x:row>
    <x:row r="64">
      <x:c r="A64" s="281"/>
      <x:c r="B64" s="281"/>
      <x:c r="C64" s="283" t="str">
        <x:f>IF($B64="","",_xlfn.XLOOKUP($B64,'檢核表版本'!$A$7:$A$13,'檢核表版本'!$B$7:$B$13,"未建立",0))</x:f>
      </x:c>
      <x:c r="D64" s="283" t="str">
        <x:f>IF($B64="","",_xlfn.XLOOKUP($B64,'檢核表版本'!$A$7:$A$13,'檢核表版本'!$C$7:$C$13,"未建立",0))</x:f>
      </x:c>
      <x:c r="E64" s="281"/>
      <x:c r="F64" s="281"/>
      <x:c r="G64" s="281"/>
      <x:c r="H64" s="281"/>
      <x:c r="I64" s="281"/>
      <x:c r="J64" s="281"/>
      <x:c r="K64" s="281"/>
      <x:c r="L64" s="281"/>
      <x:c r="M64" s="282"/>
      <x:c r="N64" s="281"/>
      <x:c r="O64" s="281"/>
      <x:c r="P64" s="283" t="str">
        <x:f>IF($A64="","",IF($K64="否","停用項目",IF(COUNTIFS($A$7:$A$106,$A64)&gt;1,"項目鍵重複",IF(OR($B64="",$C64="",$C64="未建立",$D64="",$D64="未建立",$E64="",$F64="",$G64="",$H64="",$I64="",$J64="",$L64="",$M64="",$N64=""),IF($L64="已核定","已核定但資料未完整","待補欄位或核定"),IF(OR($Q64="",$R64=""),IF($L64="已核定","已核定但缺來源依據","待補來源依據"),IF($L64&lt;&gt;"已核定","待主管核定",IF(COUNTIFS($B$7:$B$106,$B64,$D$7:$D$106,$D64,$E$7:$E$106,$E64,$F$7:$F$106,$F64,$K$7:$K$106,"是")&gt;1,"項次重複","可發布")))))))</x:f>
      </x:c>
      <x:c r="Q64" s="421"/>
      <x:c r="R64" s="421"/>
    </x:row>
    <x:row r="65">
      <x:c r="A65" s="281"/>
      <x:c r="B65" s="281"/>
      <x:c r="C65" s="283" t="str">
        <x:f>IF($B65="","",_xlfn.XLOOKUP($B65,'檢核表版本'!$A$7:$A$13,'檢核表版本'!$B$7:$B$13,"未建立",0))</x:f>
      </x:c>
      <x:c r="D65" s="283" t="str">
        <x:f>IF($B65="","",_xlfn.XLOOKUP($B65,'檢核表版本'!$A$7:$A$13,'檢核表版本'!$C$7:$C$13,"未建立",0))</x:f>
      </x:c>
      <x:c r="E65" s="281"/>
      <x:c r="F65" s="281"/>
      <x:c r="G65" s="281"/>
      <x:c r="H65" s="281"/>
      <x:c r="I65" s="281"/>
      <x:c r="J65" s="281"/>
      <x:c r="K65" s="281"/>
      <x:c r="L65" s="281"/>
      <x:c r="M65" s="282"/>
      <x:c r="N65" s="281"/>
      <x:c r="O65" s="281"/>
      <x:c r="P65" s="283" t="str">
        <x:f>IF($A65="","",IF($K65="否","停用項目",IF(COUNTIFS($A$7:$A$106,$A65)&gt;1,"項目鍵重複",IF(OR($B65="",$C65="",$C65="未建立",$D65="",$D65="未建立",$E65="",$F65="",$G65="",$H65="",$I65="",$J65="",$L65="",$M65="",$N65=""),IF($L65="已核定","已核定但資料未完整","待補欄位或核定"),IF(OR($Q65="",$R65=""),IF($L65="已核定","已核定但缺來源依據","待補來源依據"),IF($L65&lt;&gt;"已核定","待主管核定",IF(COUNTIFS($B$7:$B$106,$B65,$D$7:$D$106,$D65,$E$7:$E$106,$E65,$F$7:$F$106,$F65,$K$7:$K$106,"是")&gt;1,"項次重複","可發布")))))))</x:f>
      </x:c>
      <x:c r="Q65" s="421"/>
      <x:c r="R65" s="421"/>
    </x:row>
    <x:row r="66">
      <x:c r="A66" s="281"/>
      <x:c r="B66" s="281"/>
      <x:c r="C66" s="283" t="str">
        <x:f>IF($B66="","",_xlfn.XLOOKUP($B66,'檢核表版本'!$A$7:$A$13,'檢核表版本'!$B$7:$B$13,"未建立",0))</x:f>
      </x:c>
      <x:c r="D66" s="283" t="str">
        <x:f>IF($B66="","",_xlfn.XLOOKUP($B66,'檢核表版本'!$A$7:$A$13,'檢核表版本'!$C$7:$C$13,"未建立",0))</x:f>
      </x:c>
      <x:c r="E66" s="281"/>
      <x:c r="F66" s="281"/>
      <x:c r="G66" s="281"/>
      <x:c r="H66" s="281"/>
      <x:c r="I66" s="281"/>
      <x:c r="J66" s="281"/>
      <x:c r="K66" s="281"/>
      <x:c r="L66" s="281"/>
      <x:c r="M66" s="282"/>
      <x:c r="N66" s="281"/>
      <x:c r="O66" s="281"/>
      <x:c r="P66" s="283" t="str">
        <x:f>IF($A66="","",IF($K66="否","停用項目",IF(COUNTIFS($A$7:$A$106,$A66)&gt;1,"項目鍵重複",IF(OR($B66="",$C66="",$C66="未建立",$D66="",$D66="未建立",$E66="",$F66="",$G66="",$H66="",$I66="",$J66="",$L66="",$M66="",$N66=""),IF($L66="已核定","已核定但資料未完整","待補欄位或核定"),IF(OR($Q66="",$R66=""),IF($L66="已核定","已核定但缺來源依據","待補來源依據"),IF($L66&lt;&gt;"已核定","待主管核定",IF(COUNTIFS($B$7:$B$106,$B66,$D$7:$D$106,$D66,$E$7:$E$106,$E66,$F$7:$F$106,$F66,$K$7:$K$106,"是")&gt;1,"項次重複","可發布")))))))</x:f>
      </x:c>
      <x:c r="Q66" s="421"/>
      <x:c r="R66" s="421"/>
    </x:row>
    <x:row r="67">
      <x:c r="A67" s="281"/>
      <x:c r="B67" s="281"/>
      <x:c r="C67" s="283" t="str">
        <x:f>IF($B67="","",_xlfn.XLOOKUP($B67,'檢核表版本'!$A$7:$A$13,'檢核表版本'!$B$7:$B$13,"未建立",0))</x:f>
      </x:c>
      <x:c r="D67" s="283" t="str">
        <x:f>IF($B67="","",_xlfn.XLOOKUP($B67,'檢核表版本'!$A$7:$A$13,'檢核表版本'!$C$7:$C$13,"未建立",0))</x:f>
      </x:c>
      <x:c r="E67" s="281"/>
      <x:c r="F67" s="281"/>
      <x:c r="G67" s="281"/>
      <x:c r="H67" s="281"/>
      <x:c r="I67" s="281"/>
      <x:c r="J67" s="281"/>
      <x:c r="K67" s="281"/>
      <x:c r="L67" s="281"/>
      <x:c r="M67" s="282"/>
      <x:c r="N67" s="281"/>
      <x:c r="O67" s="281"/>
      <x:c r="P67" s="283" t="str">
        <x:f>IF($A67="","",IF($K67="否","停用項目",IF(COUNTIFS($A$7:$A$106,$A67)&gt;1,"項目鍵重複",IF(OR($B67="",$C67="",$C67="未建立",$D67="",$D67="未建立",$E67="",$F67="",$G67="",$H67="",$I67="",$J67="",$L67="",$M67="",$N67=""),IF($L67="已核定","已核定但資料未完整","待補欄位或核定"),IF(OR($Q67="",$R67=""),IF($L67="已核定","已核定但缺來源依據","待補來源依據"),IF($L67&lt;&gt;"已核定","待主管核定",IF(COUNTIFS($B$7:$B$106,$B67,$D$7:$D$106,$D67,$E$7:$E$106,$E67,$F$7:$F$106,$F67,$K$7:$K$106,"是")&gt;1,"項次重複","可發布")))))))</x:f>
      </x:c>
      <x:c r="Q67" s="421"/>
      <x:c r="R67" s="421"/>
    </x:row>
    <x:row r="68">
      <x:c r="A68" s="281"/>
      <x:c r="B68" s="281"/>
      <x:c r="C68" s="283" t="str">
        <x:f>IF($B68="","",_xlfn.XLOOKUP($B68,'檢核表版本'!$A$7:$A$13,'檢核表版本'!$B$7:$B$13,"未建立",0))</x:f>
      </x:c>
      <x:c r="D68" s="283" t="str">
        <x:f>IF($B68="","",_xlfn.XLOOKUP($B68,'檢核表版本'!$A$7:$A$13,'檢核表版本'!$C$7:$C$13,"未建立",0))</x:f>
      </x:c>
      <x:c r="E68" s="281"/>
      <x:c r="F68" s="281"/>
      <x:c r="G68" s="281"/>
      <x:c r="H68" s="281"/>
      <x:c r="I68" s="281"/>
      <x:c r="J68" s="281"/>
      <x:c r="K68" s="281"/>
      <x:c r="L68" s="281"/>
      <x:c r="M68" s="282"/>
      <x:c r="N68" s="281"/>
      <x:c r="O68" s="281"/>
      <x:c r="P68" s="283" t="str">
        <x:f>IF($A68="","",IF($K68="否","停用項目",IF(COUNTIFS($A$7:$A$106,$A68)&gt;1,"項目鍵重複",IF(OR($B68="",$C68="",$C68="未建立",$D68="",$D68="未建立",$E68="",$F68="",$G68="",$H68="",$I68="",$J68="",$L68="",$M68="",$N68=""),IF($L68="已核定","已核定但資料未完整","待補欄位或核定"),IF(OR($Q68="",$R68=""),IF($L68="已核定","已核定但缺來源依據","待補來源依據"),IF($L68&lt;&gt;"已核定","待主管核定",IF(COUNTIFS($B$7:$B$106,$B68,$D$7:$D$106,$D68,$E$7:$E$106,$E68,$F$7:$F$106,$F68,$K$7:$K$106,"是")&gt;1,"項次重複","可發布")))))))</x:f>
      </x:c>
      <x:c r="Q68" s="421"/>
      <x:c r="R68" s="421"/>
    </x:row>
    <x:row r="69">
      <x:c r="A69" s="281"/>
      <x:c r="B69" s="281"/>
      <x:c r="C69" s="283" t="str">
        <x:f>IF($B69="","",_xlfn.XLOOKUP($B69,'檢核表版本'!$A$7:$A$13,'檢核表版本'!$B$7:$B$13,"未建立",0))</x:f>
      </x:c>
      <x:c r="D69" s="283" t="str">
        <x:f>IF($B69="","",_xlfn.XLOOKUP($B69,'檢核表版本'!$A$7:$A$13,'檢核表版本'!$C$7:$C$13,"未建立",0))</x:f>
      </x:c>
      <x:c r="E69" s="281"/>
      <x:c r="F69" s="281"/>
      <x:c r="G69" s="281"/>
      <x:c r="H69" s="281"/>
      <x:c r="I69" s="281"/>
      <x:c r="J69" s="281"/>
      <x:c r="K69" s="281"/>
      <x:c r="L69" s="281"/>
      <x:c r="M69" s="282"/>
      <x:c r="N69" s="281"/>
      <x:c r="O69" s="281"/>
      <x:c r="P69" s="283" t="str">
        <x:f>IF($A69="","",IF($K69="否","停用項目",IF(COUNTIFS($A$7:$A$106,$A69)&gt;1,"項目鍵重複",IF(OR($B69="",$C69="",$C69="未建立",$D69="",$D69="未建立",$E69="",$F69="",$G69="",$H69="",$I69="",$J69="",$L69="",$M69="",$N69=""),IF($L69="已核定","已核定但資料未完整","待補欄位或核定"),IF(OR($Q69="",$R69=""),IF($L69="已核定","已核定但缺來源依據","待補來源依據"),IF($L69&lt;&gt;"已核定","待主管核定",IF(COUNTIFS($B$7:$B$106,$B69,$D$7:$D$106,$D69,$E$7:$E$106,$E69,$F$7:$F$106,$F69,$K$7:$K$106,"是")&gt;1,"項次重複","可發布")))))))</x:f>
      </x:c>
      <x:c r="Q69" s="421"/>
      <x:c r="R69" s="421"/>
    </x:row>
    <x:row r="70">
      <x:c r="A70" s="281"/>
      <x:c r="B70" s="281"/>
      <x:c r="C70" s="283" t="str">
        <x:f>IF($B70="","",_xlfn.XLOOKUP($B70,'檢核表版本'!$A$7:$A$13,'檢核表版本'!$B$7:$B$13,"未建立",0))</x:f>
      </x:c>
      <x:c r="D70" s="283" t="str">
        <x:f>IF($B70="","",_xlfn.XLOOKUP($B70,'檢核表版本'!$A$7:$A$13,'檢核表版本'!$C$7:$C$13,"未建立",0))</x:f>
      </x:c>
      <x:c r="E70" s="281"/>
      <x:c r="F70" s="281"/>
      <x:c r="G70" s="281"/>
      <x:c r="H70" s="281"/>
      <x:c r="I70" s="281"/>
      <x:c r="J70" s="281"/>
      <x:c r="K70" s="281"/>
      <x:c r="L70" s="281"/>
      <x:c r="M70" s="282"/>
      <x:c r="N70" s="281"/>
      <x:c r="O70" s="281"/>
      <x:c r="P70" s="283" t="str">
        <x:f>IF($A70="","",IF($K70="否","停用項目",IF(COUNTIFS($A$7:$A$106,$A70)&gt;1,"項目鍵重複",IF(OR($B70="",$C70="",$C70="未建立",$D70="",$D70="未建立",$E70="",$F70="",$G70="",$H70="",$I70="",$J70="",$L70="",$M70="",$N70=""),IF($L70="已核定","已核定但資料未完整","待補欄位或核定"),IF(OR($Q70="",$R70=""),IF($L70="已核定","已核定但缺來源依據","待補來源依據"),IF($L70&lt;&gt;"已核定","待主管核定",IF(COUNTIFS($B$7:$B$106,$B70,$D$7:$D$106,$D70,$E$7:$E$106,$E70,$F$7:$F$106,$F70,$K$7:$K$106,"是")&gt;1,"項次重複","可發布")))))))</x:f>
      </x:c>
      <x:c r="Q70" s="421"/>
      <x:c r="R70" s="421"/>
    </x:row>
    <x:row r="71">
      <x:c r="A71" s="281"/>
      <x:c r="B71" s="281"/>
      <x:c r="C71" s="283" t="str">
        <x:f>IF($B71="","",_xlfn.XLOOKUP($B71,'檢核表版本'!$A$7:$A$13,'檢核表版本'!$B$7:$B$13,"未建立",0))</x:f>
      </x:c>
      <x:c r="D71" s="283" t="str">
        <x:f>IF($B71="","",_xlfn.XLOOKUP($B71,'檢核表版本'!$A$7:$A$13,'檢核表版本'!$C$7:$C$13,"未建立",0))</x:f>
      </x:c>
      <x:c r="E71" s="281"/>
      <x:c r="F71" s="281"/>
      <x:c r="G71" s="281"/>
      <x:c r="H71" s="281"/>
      <x:c r="I71" s="281"/>
      <x:c r="J71" s="281"/>
      <x:c r="K71" s="281"/>
      <x:c r="L71" s="281"/>
      <x:c r="M71" s="282"/>
      <x:c r="N71" s="281"/>
      <x:c r="O71" s="281"/>
      <x:c r="P71" s="283" t="str">
        <x:f>IF($A71="","",IF($K71="否","停用項目",IF(COUNTIFS($A$7:$A$106,$A71)&gt;1,"項目鍵重複",IF(OR($B71="",$C71="",$C71="未建立",$D71="",$D71="未建立",$E71="",$F71="",$G71="",$H71="",$I71="",$J71="",$L71="",$M71="",$N71=""),IF($L71="已核定","已核定但資料未完整","待補欄位或核定"),IF(OR($Q71="",$R71=""),IF($L71="已核定","已核定但缺來源依據","待補來源依據"),IF($L71&lt;&gt;"已核定","待主管核定",IF(COUNTIFS($B$7:$B$106,$B71,$D$7:$D$106,$D71,$E$7:$E$106,$E71,$F$7:$F$106,$F71,$K$7:$K$106,"是")&gt;1,"項次重複","可發布")))))))</x:f>
      </x:c>
      <x:c r="Q71" s="421"/>
      <x:c r="R71" s="421"/>
    </x:row>
    <x:row r="72">
      <x:c r="A72" s="281"/>
      <x:c r="B72" s="281"/>
      <x:c r="C72" s="283" t="str">
        <x:f>IF($B72="","",_xlfn.XLOOKUP($B72,'檢核表版本'!$A$7:$A$13,'檢核表版本'!$B$7:$B$13,"未建立",0))</x:f>
      </x:c>
      <x:c r="D72" s="283" t="str">
        <x:f>IF($B72="","",_xlfn.XLOOKUP($B72,'檢核表版本'!$A$7:$A$13,'檢核表版本'!$C$7:$C$13,"未建立",0))</x:f>
      </x:c>
      <x:c r="E72" s="281"/>
      <x:c r="F72" s="281"/>
      <x:c r="G72" s="281"/>
      <x:c r="H72" s="281"/>
      <x:c r="I72" s="281"/>
      <x:c r="J72" s="281"/>
      <x:c r="K72" s="281"/>
      <x:c r="L72" s="281"/>
      <x:c r="M72" s="282"/>
      <x:c r="N72" s="281"/>
      <x:c r="O72" s="281"/>
      <x:c r="P72" s="283" t="str">
        <x:f>IF($A72="","",IF($K72="否","停用項目",IF(COUNTIFS($A$7:$A$106,$A72)&gt;1,"項目鍵重複",IF(OR($B72="",$C72="",$C72="未建立",$D72="",$D72="未建立",$E72="",$F72="",$G72="",$H72="",$I72="",$J72="",$L72="",$M72="",$N72=""),IF($L72="已核定","已核定但資料未完整","待補欄位或核定"),IF(OR($Q72="",$R72=""),IF($L72="已核定","已核定但缺來源依據","待補來源依據"),IF($L72&lt;&gt;"已核定","待主管核定",IF(COUNTIFS($B$7:$B$106,$B72,$D$7:$D$106,$D72,$E$7:$E$106,$E72,$F$7:$F$106,$F72,$K$7:$K$106,"是")&gt;1,"項次重複","可發布")))))))</x:f>
      </x:c>
      <x:c r="Q72" s="421"/>
      <x:c r="R72" s="421"/>
    </x:row>
    <x:row r="73">
      <x:c r="A73" s="281"/>
      <x:c r="B73" s="281"/>
      <x:c r="C73" s="283" t="str">
        <x:f>IF($B73="","",_xlfn.XLOOKUP($B73,'檢核表版本'!$A$7:$A$13,'檢核表版本'!$B$7:$B$13,"未建立",0))</x:f>
      </x:c>
      <x:c r="D73" s="283" t="str">
        <x:f>IF($B73="","",_xlfn.XLOOKUP($B73,'檢核表版本'!$A$7:$A$13,'檢核表版本'!$C$7:$C$13,"未建立",0))</x:f>
      </x:c>
      <x:c r="E73" s="281"/>
      <x:c r="F73" s="281"/>
      <x:c r="G73" s="281"/>
      <x:c r="H73" s="281"/>
      <x:c r="I73" s="281"/>
      <x:c r="J73" s="281"/>
      <x:c r="K73" s="281"/>
      <x:c r="L73" s="281"/>
      <x:c r="M73" s="282"/>
      <x:c r="N73" s="281"/>
      <x:c r="O73" s="281"/>
      <x:c r="P73" s="283" t="str">
        <x:f>IF($A73="","",IF($K73="否","停用項目",IF(COUNTIFS($A$7:$A$106,$A73)&gt;1,"項目鍵重複",IF(OR($B73="",$C73="",$C73="未建立",$D73="",$D73="未建立",$E73="",$F73="",$G73="",$H73="",$I73="",$J73="",$L73="",$M73="",$N73=""),IF($L73="已核定","已核定但資料未完整","待補欄位或核定"),IF(OR($Q73="",$R73=""),IF($L73="已核定","已核定但缺來源依據","待補來源依據"),IF($L73&lt;&gt;"已核定","待主管核定",IF(COUNTIFS($B$7:$B$106,$B73,$D$7:$D$106,$D73,$E$7:$E$106,$E73,$F$7:$F$106,$F73,$K$7:$K$106,"是")&gt;1,"項次重複","可發布")))))))</x:f>
      </x:c>
      <x:c r="Q73" s="421"/>
      <x:c r="R73" s="421"/>
    </x:row>
    <x:row r="74">
      <x:c r="A74" s="281"/>
      <x:c r="B74" s="281"/>
      <x:c r="C74" s="283" t="str">
        <x:f>IF($B74="","",_xlfn.XLOOKUP($B74,'檢核表版本'!$A$7:$A$13,'檢核表版本'!$B$7:$B$13,"未建立",0))</x:f>
      </x:c>
      <x:c r="D74" s="283" t="str">
        <x:f>IF($B74="","",_xlfn.XLOOKUP($B74,'檢核表版本'!$A$7:$A$13,'檢核表版本'!$C$7:$C$13,"未建立",0))</x:f>
      </x:c>
      <x:c r="E74" s="281"/>
      <x:c r="F74" s="281"/>
      <x:c r="G74" s="281"/>
      <x:c r="H74" s="281"/>
      <x:c r="I74" s="281"/>
      <x:c r="J74" s="281"/>
      <x:c r="K74" s="281"/>
      <x:c r="L74" s="281"/>
      <x:c r="M74" s="282"/>
      <x:c r="N74" s="281"/>
      <x:c r="O74" s="281"/>
      <x:c r="P74" s="283" t="str">
        <x:f>IF($A74="","",IF($K74="否","停用項目",IF(COUNTIFS($A$7:$A$106,$A74)&gt;1,"項目鍵重複",IF(OR($B74="",$C74="",$C74="未建立",$D74="",$D74="未建立",$E74="",$F74="",$G74="",$H74="",$I74="",$J74="",$L74="",$M74="",$N74=""),IF($L74="已核定","已核定但資料未完整","待補欄位或核定"),IF(OR($Q74="",$R74=""),IF($L74="已核定","已核定但缺來源依據","待補來源依據"),IF($L74&lt;&gt;"已核定","待主管核定",IF(COUNTIFS($B$7:$B$106,$B74,$D$7:$D$106,$D74,$E$7:$E$106,$E74,$F$7:$F$106,$F74,$K$7:$K$106,"是")&gt;1,"項次重複","可發布")))))))</x:f>
      </x:c>
      <x:c r="Q74" s="421"/>
      <x:c r="R74" s="421"/>
    </x:row>
    <x:row r="75">
      <x:c r="A75" s="281"/>
      <x:c r="B75" s="281"/>
      <x:c r="C75" s="283" t="str">
        <x:f>IF($B75="","",_xlfn.XLOOKUP($B75,'檢核表版本'!$A$7:$A$13,'檢核表版本'!$B$7:$B$13,"未建立",0))</x:f>
      </x:c>
      <x:c r="D75" s="283" t="str">
        <x:f>IF($B75="","",_xlfn.XLOOKUP($B75,'檢核表版本'!$A$7:$A$13,'檢核表版本'!$C$7:$C$13,"未建立",0))</x:f>
      </x:c>
      <x:c r="E75" s="281"/>
      <x:c r="F75" s="281"/>
      <x:c r="G75" s="281"/>
      <x:c r="H75" s="281"/>
      <x:c r="I75" s="281"/>
      <x:c r="J75" s="281"/>
      <x:c r="K75" s="281"/>
      <x:c r="L75" s="281"/>
      <x:c r="M75" s="282"/>
      <x:c r="N75" s="281"/>
      <x:c r="O75" s="281"/>
      <x:c r="P75" s="283" t="str">
        <x:f>IF($A75="","",IF($K75="否","停用項目",IF(COUNTIFS($A$7:$A$106,$A75)&gt;1,"項目鍵重複",IF(OR($B75="",$C75="",$C75="未建立",$D75="",$D75="未建立",$E75="",$F75="",$G75="",$H75="",$I75="",$J75="",$L75="",$M75="",$N75=""),IF($L75="已核定","已核定但資料未完整","待補欄位或核定"),IF(OR($Q75="",$R75=""),IF($L75="已核定","已核定但缺來源依據","待補來源依據"),IF($L75&lt;&gt;"已核定","待主管核定",IF(COUNTIFS($B$7:$B$106,$B75,$D$7:$D$106,$D75,$E$7:$E$106,$E75,$F$7:$F$106,$F75,$K$7:$K$106,"是")&gt;1,"項次重複","可發布")))))))</x:f>
      </x:c>
      <x:c r="Q75" s="421"/>
      <x:c r="R75" s="421"/>
    </x:row>
    <x:row r="76">
      <x:c r="A76" s="281"/>
      <x:c r="B76" s="281"/>
      <x:c r="C76" s="283" t="str">
        <x:f>IF($B76="","",_xlfn.XLOOKUP($B76,'檢核表版本'!$A$7:$A$13,'檢核表版本'!$B$7:$B$13,"未建立",0))</x:f>
      </x:c>
      <x:c r="D76" s="283" t="str">
        <x:f>IF($B76="","",_xlfn.XLOOKUP($B76,'檢核表版本'!$A$7:$A$13,'檢核表版本'!$C$7:$C$13,"未建立",0))</x:f>
      </x:c>
      <x:c r="E76" s="281"/>
      <x:c r="F76" s="281"/>
      <x:c r="G76" s="281"/>
      <x:c r="H76" s="281"/>
      <x:c r="I76" s="281"/>
      <x:c r="J76" s="281"/>
      <x:c r="K76" s="281"/>
      <x:c r="L76" s="281"/>
      <x:c r="M76" s="282"/>
      <x:c r="N76" s="281"/>
      <x:c r="O76" s="281"/>
      <x:c r="P76" s="283" t="str">
        <x:f>IF($A76="","",IF($K76="否","停用項目",IF(COUNTIFS($A$7:$A$106,$A76)&gt;1,"項目鍵重複",IF(OR($B76="",$C76="",$C76="未建立",$D76="",$D76="未建立",$E76="",$F76="",$G76="",$H76="",$I76="",$J76="",$L76="",$M76="",$N76=""),IF($L76="已核定","已核定但資料未完整","待補欄位或核定"),IF(OR($Q76="",$R76=""),IF($L76="已核定","已核定但缺來源依據","待補來源依據"),IF($L76&lt;&gt;"已核定","待主管核定",IF(COUNTIFS($B$7:$B$106,$B76,$D$7:$D$106,$D76,$E$7:$E$106,$E76,$F$7:$F$106,$F76,$K$7:$K$106,"是")&gt;1,"項次重複","可發布")))))))</x:f>
      </x:c>
      <x:c r="Q76" s="421"/>
      <x:c r="R76" s="421"/>
    </x:row>
    <x:row r="77">
      <x:c r="A77" s="281"/>
      <x:c r="B77" s="281"/>
      <x:c r="C77" s="283" t="str">
        <x:f>IF($B77="","",_xlfn.XLOOKUP($B77,'檢核表版本'!$A$7:$A$13,'檢核表版本'!$B$7:$B$13,"未建立",0))</x:f>
      </x:c>
      <x:c r="D77" s="283" t="str">
        <x:f>IF($B77="","",_xlfn.XLOOKUP($B77,'檢核表版本'!$A$7:$A$13,'檢核表版本'!$C$7:$C$13,"未建立",0))</x:f>
      </x:c>
      <x:c r="E77" s="281"/>
      <x:c r="F77" s="281"/>
      <x:c r="G77" s="281"/>
      <x:c r="H77" s="281"/>
      <x:c r="I77" s="281"/>
      <x:c r="J77" s="281"/>
      <x:c r="K77" s="281"/>
      <x:c r="L77" s="281"/>
      <x:c r="M77" s="282"/>
      <x:c r="N77" s="281"/>
      <x:c r="O77" s="281"/>
      <x:c r="P77" s="283" t="str">
        <x:f>IF($A77="","",IF($K77="否","停用項目",IF(COUNTIFS($A$7:$A$106,$A77)&gt;1,"項目鍵重複",IF(OR($B77="",$C77="",$C77="未建立",$D77="",$D77="未建立",$E77="",$F77="",$G77="",$H77="",$I77="",$J77="",$L77="",$M77="",$N77=""),IF($L77="已核定","已核定但資料未完整","待補欄位或核定"),IF(OR($Q77="",$R77=""),IF($L77="已核定","已核定但缺來源依據","待補來源依據"),IF($L77&lt;&gt;"已核定","待主管核定",IF(COUNTIFS($B$7:$B$106,$B77,$D$7:$D$106,$D77,$E$7:$E$106,$E77,$F$7:$F$106,$F77,$K$7:$K$106,"是")&gt;1,"項次重複","可發布")))))))</x:f>
      </x:c>
      <x:c r="Q77" s="421"/>
      <x:c r="R77" s="421"/>
    </x:row>
    <x:row r="78">
      <x:c r="A78" s="281"/>
      <x:c r="B78" s="281"/>
      <x:c r="C78" s="283" t="str">
        <x:f>IF($B78="","",_xlfn.XLOOKUP($B78,'檢核表版本'!$A$7:$A$13,'檢核表版本'!$B$7:$B$13,"未建立",0))</x:f>
      </x:c>
      <x:c r="D78" s="283" t="str">
        <x:f>IF($B78="","",_xlfn.XLOOKUP($B78,'檢核表版本'!$A$7:$A$13,'檢核表版本'!$C$7:$C$13,"未建立",0))</x:f>
      </x:c>
      <x:c r="E78" s="281"/>
      <x:c r="F78" s="281"/>
      <x:c r="G78" s="281"/>
      <x:c r="H78" s="281"/>
      <x:c r="I78" s="281"/>
      <x:c r="J78" s="281"/>
      <x:c r="K78" s="281"/>
      <x:c r="L78" s="281"/>
      <x:c r="M78" s="282"/>
      <x:c r="N78" s="281"/>
      <x:c r="O78" s="281"/>
      <x:c r="P78" s="283" t="str">
        <x:f>IF($A78="","",IF($K78="否","停用項目",IF(COUNTIFS($A$7:$A$106,$A78)&gt;1,"項目鍵重複",IF(OR($B78="",$C78="",$C78="未建立",$D78="",$D78="未建立",$E78="",$F78="",$G78="",$H78="",$I78="",$J78="",$L78="",$M78="",$N78=""),IF($L78="已核定","已核定但資料未完整","待補欄位或核定"),IF(OR($Q78="",$R78=""),IF($L78="已核定","已核定但缺來源依據","待補來源依據"),IF($L78&lt;&gt;"已核定","待主管核定",IF(COUNTIFS($B$7:$B$106,$B78,$D$7:$D$106,$D78,$E$7:$E$106,$E78,$F$7:$F$106,$F78,$K$7:$K$106,"是")&gt;1,"項次重複","可發布")))))))</x:f>
      </x:c>
      <x:c r="Q78" s="421"/>
      <x:c r="R78" s="421"/>
    </x:row>
    <x:row r="79">
      <x:c r="A79" s="281"/>
      <x:c r="B79" s="281"/>
      <x:c r="C79" s="283" t="str">
        <x:f>IF($B79="","",_xlfn.XLOOKUP($B79,'檢核表版本'!$A$7:$A$13,'檢核表版本'!$B$7:$B$13,"未建立",0))</x:f>
      </x:c>
      <x:c r="D79" s="283" t="str">
        <x:f>IF($B79="","",_xlfn.XLOOKUP($B79,'檢核表版本'!$A$7:$A$13,'檢核表版本'!$C$7:$C$13,"未建立",0))</x:f>
      </x:c>
      <x:c r="E79" s="281"/>
      <x:c r="F79" s="281"/>
      <x:c r="G79" s="281"/>
      <x:c r="H79" s="281"/>
      <x:c r="I79" s="281"/>
      <x:c r="J79" s="281"/>
      <x:c r="K79" s="281"/>
      <x:c r="L79" s="281"/>
      <x:c r="M79" s="282"/>
      <x:c r="N79" s="281"/>
      <x:c r="O79" s="281"/>
      <x:c r="P79" s="283" t="str">
        <x:f>IF($A79="","",IF($K79="否","停用項目",IF(COUNTIFS($A$7:$A$106,$A79)&gt;1,"項目鍵重複",IF(OR($B79="",$C79="",$C79="未建立",$D79="",$D79="未建立",$E79="",$F79="",$G79="",$H79="",$I79="",$J79="",$L79="",$M79="",$N79=""),IF($L79="已核定","已核定但資料未完整","待補欄位或核定"),IF(OR($Q79="",$R79=""),IF($L79="已核定","已核定但缺來源依據","待補來源依據"),IF($L79&lt;&gt;"已核定","待主管核定",IF(COUNTIFS($B$7:$B$106,$B79,$D$7:$D$106,$D79,$E$7:$E$106,$E79,$F$7:$F$106,$F79,$K$7:$K$106,"是")&gt;1,"項次重複","可發布")))))))</x:f>
      </x:c>
      <x:c r="Q79" s="421"/>
      <x:c r="R79" s="421"/>
    </x:row>
    <x:row r="80">
      <x:c r="A80" s="281"/>
      <x:c r="B80" s="281"/>
      <x:c r="C80" s="283" t="str">
        <x:f>IF($B80="","",_xlfn.XLOOKUP($B80,'檢核表版本'!$A$7:$A$13,'檢核表版本'!$B$7:$B$13,"未建立",0))</x:f>
      </x:c>
      <x:c r="D80" s="283" t="str">
        <x:f>IF($B80="","",_xlfn.XLOOKUP($B80,'檢核表版本'!$A$7:$A$13,'檢核表版本'!$C$7:$C$13,"未建立",0))</x:f>
      </x:c>
      <x:c r="E80" s="281"/>
      <x:c r="F80" s="281"/>
      <x:c r="G80" s="281"/>
      <x:c r="H80" s="281"/>
      <x:c r="I80" s="281"/>
      <x:c r="J80" s="281"/>
      <x:c r="K80" s="281"/>
      <x:c r="L80" s="281"/>
      <x:c r="M80" s="282"/>
      <x:c r="N80" s="281"/>
      <x:c r="O80" s="281"/>
      <x:c r="P80" s="283" t="str">
        <x:f>IF($A80="","",IF($K80="否","停用項目",IF(COUNTIFS($A$7:$A$106,$A80)&gt;1,"項目鍵重複",IF(OR($B80="",$C80="",$C80="未建立",$D80="",$D80="未建立",$E80="",$F80="",$G80="",$H80="",$I80="",$J80="",$L80="",$M80="",$N80=""),IF($L80="已核定","已核定但資料未完整","待補欄位或核定"),IF(OR($Q80="",$R80=""),IF($L80="已核定","已核定但缺來源依據","待補來源依據"),IF($L80&lt;&gt;"已核定","待主管核定",IF(COUNTIFS($B$7:$B$106,$B80,$D$7:$D$106,$D80,$E$7:$E$106,$E80,$F$7:$F$106,$F80,$K$7:$K$106,"是")&gt;1,"項次重複","可發布")))))))</x:f>
      </x:c>
      <x:c r="Q80" s="421"/>
      <x:c r="R80" s="421"/>
    </x:row>
    <x:row r="81">
      <x:c r="A81" s="281"/>
      <x:c r="B81" s="281"/>
      <x:c r="C81" s="283" t="str">
        <x:f>IF($B81="","",_xlfn.XLOOKUP($B81,'檢核表版本'!$A$7:$A$13,'檢核表版本'!$B$7:$B$13,"未建立",0))</x:f>
      </x:c>
      <x:c r="D81" s="283" t="str">
        <x:f>IF($B81="","",_xlfn.XLOOKUP($B81,'檢核表版本'!$A$7:$A$13,'檢核表版本'!$C$7:$C$13,"未建立",0))</x:f>
      </x:c>
      <x:c r="E81" s="281"/>
      <x:c r="F81" s="281"/>
      <x:c r="G81" s="281"/>
      <x:c r="H81" s="281"/>
      <x:c r="I81" s="281"/>
      <x:c r="J81" s="281"/>
      <x:c r="K81" s="281"/>
      <x:c r="L81" s="281"/>
      <x:c r="M81" s="282"/>
      <x:c r="N81" s="281"/>
      <x:c r="O81" s="281"/>
      <x:c r="P81" s="283" t="str">
        <x:f>IF($A81="","",IF($K81="否","停用項目",IF(COUNTIFS($A$7:$A$106,$A81)&gt;1,"項目鍵重複",IF(OR($B81="",$C81="",$C81="未建立",$D81="",$D81="未建立",$E81="",$F81="",$G81="",$H81="",$I81="",$J81="",$L81="",$M81="",$N81=""),IF($L81="已核定","已核定但資料未完整","待補欄位或核定"),IF(OR($Q81="",$R81=""),IF($L81="已核定","已核定但缺來源依據","待補來源依據"),IF($L81&lt;&gt;"已核定","待主管核定",IF(COUNTIFS($B$7:$B$106,$B81,$D$7:$D$106,$D81,$E$7:$E$106,$E81,$F$7:$F$106,$F81,$K$7:$K$106,"是")&gt;1,"項次重複","可發布")))))))</x:f>
      </x:c>
      <x:c r="Q81" s="421"/>
      <x:c r="R81" s="421"/>
    </x:row>
    <x:row r="82">
      <x:c r="A82" s="281"/>
      <x:c r="B82" s="281"/>
      <x:c r="C82" s="283" t="str">
        <x:f>IF($B82="","",_xlfn.XLOOKUP($B82,'檢核表版本'!$A$7:$A$13,'檢核表版本'!$B$7:$B$13,"未建立",0))</x:f>
      </x:c>
      <x:c r="D82" s="283" t="str">
        <x:f>IF($B82="","",_xlfn.XLOOKUP($B82,'檢核表版本'!$A$7:$A$13,'檢核表版本'!$C$7:$C$13,"未建立",0))</x:f>
      </x:c>
      <x:c r="E82" s="281"/>
      <x:c r="F82" s="281"/>
      <x:c r="G82" s="281"/>
      <x:c r="H82" s="281"/>
      <x:c r="I82" s="281"/>
      <x:c r="J82" s="281"/>
      <x:c r="K82" s="281"/>
      <x:c r="L82" s="281"/>
      <x:c r="M82" s="282"/>
      <x:c r="N82" s="281"/>
      <x:c r="O82" s="281"/>
      <x:c r="P82" s="283" t="str">
        <x:f>IF($A82="","",IF($K82="否","停用項目",IF(COUNTIFS($A$7:$A$106,$A82)&gt;1,"項目鍵重複",IF(OR($B82="",$C82="",$C82="未建立",$D82="",$D82="未建立",$E82="",$F82="",$G82="",$H82="",$I82="",$J82="",$L82="",$M82="",$N82=""),IF($L82="已核定","已核定但資料未完整","待補欄位或核定"),IF(OR($Q82="",$R82=""),IF($L82="已核定","已核定但缺來源依據","待補來源依據"),IF($L82&lt;&gt;"已核定","待主管核定",IF(COUNTIFS($B$7:$B$106,$B82,$D$7:$D$106,$D82,$E$7:$E$106,$E82,$F$7:$F$106,$F82,$K$7:$K$106,"是")&gt;1,"項次重複","可發布")))))))</x:f>
      </x:c>
      <x:c r="Q82" s="421"/>
      <x:c r="R82" s="421"/>
    </x:row>
    <x:row r="83">
      <x:c r="A83" s="281"/>
      <x:c r="B83" s="281"/>
      <x:c r="C83" s="283" t="str">
        <x:f>IF($B83="","",_xlfn.XLOOKUP($B83,'檢核表版本'!$A$7:$A$13,'檢核表版本'!$B$7:$B$13,"未建立",0))</x:f>
      </x:c>
      <x:c r="D83" s="283" t="str">
        <x:f>IF($B83="","",_xlfn.XLOOKUP($B83,'檢核表版本'!$A$7:$A$13,'檢核表版本'!$C$7:$C$13,"未建立",0))</x:f>
      </x:c>
      <x:c r="E83" s="281"/>
      <x:c r="F83" s="281"/>
      <x:c r="G83" s="281"/>
      <x:c r="H83" s="281"/>
      <x:c r="I83" s="281"/>
      <x:c r="J83" s="281"/>
      <x:c r="K83" s="281"/>
      <x:c r="L83" s="281"/>
      <x:c r="M83" s="282"/>
      <x:c r="N83" s="281"/>
      <x:c r="O83" s="281"/>
      <x:c r="P83" s="283" t="str">
        <x:f>IF($A83="","",IF($K83="否","停用項目",IF(COUNTIFS($A$7:$A$106,$A83)&gt;1,"項目鍵重複",IF(OR($B83="",$C83="",$C83="未建立",$D83="",$D83="未建立",$E83="",$F83="",$G83="",$H83="",$I83="",$J83="",$L83="",$M83="",$N83=""),IF($L83="已核定","已核定但資料未完整","待補欄位或核定"),IF(OR($Q83="",$R83=""),IF($L83="已核定","已核定但缺來源依據","待補來源依據"),IF($L83&lt;&gt;"已核定","待主管核定",IF(COUNTIFS($B$7:$B$106,$B83,$D$7:$D$106,$D83,$E$7:$E$106,$E83,$F$7:$F$106,$F83,$K$7:$K$106,"是")&gt;1,"項次重複","可發布")))))))</x:f>
      </x:c>
      <x:c r="Q83" s="421"/>
      <x:c r="R83" s="421"/>
    </x:row>
    <x:row r="84">
      <x:c r="A84" s="281"/>
      <x:c r="B84" s="281"/>
      <x:c r="C84" s="283" t="str">
        <x:f>IF($B84="","",_xlfn.XLOOKUP($B84,'檢核表版本'!$A$7:$A$13,'檢核表版本'!$B$7:$B$13,"未建立",0))</x:f>
      </x:c>
      <x:c r="D84" s="283" t="str">
        <x:f>IF($B84="","",_xlfn.XLOOKUP($B84,'檢核表版本'!$A$7:$A$13,'檢核表版本'!$C$7:$C$13,"未建立",0))</x:f>
      </x:c>
      <x:c r="E84" s="281"/>
      <x:c r="F84" s="281"/>
      <x:c r="G84" s="281"/>
      <x:c r="H84" s="281"/>
      <x:c r="I84" s="281"/>
      <x:c r="J84" s="281"/>
      <x:c r="K84" s="281"/>
      <x:c r="L84" s="281"/>
      <x:c r="M84" s="282"/>
      <x:c r="N84" s="281"/>
      <x:c r="O84" s="281"/>
      <x:c r="P84" s="283" t="str">
        <x:f>IF($A84="","",IF($K84="否","停用項目",IF(COUNTIFS($A$7:$A$106,$A84)&gt;1,"項目鍵重複",IF(OR($B84="",$C84="",$C84="未建立",$D84="",$D84="未建立",$E84="",$F84="",$G84="",$H84="",$I84="",$J84="",$L84="",$M84="",$N84=""),IF($L84="已核定","已核定但資料未完整","待補欄位或核定"),IF(OR($Q84="",$R84=""),IF($L84="已核定","已核定但缺來源依據","待補來源依據"),IF($L84&lt;&gt;"已核定","待主管核定",IF(COUNTIFS($B$7:$B$106,$B84,$D$7:$D$106,$D84,$E$7:$E$106,$E84,$F$7:$F$106,$F84,$K$7:$K$106,"是")&gt;1,"項次重複","可發布")))))))</x:f>
      </x:c>
      <x:c r="Q84" s="421"/>
      <x:c r="R84" s="421"/>
    </x:row>
    <x:row r="85">
      <x:c r="A85" s="281"/>
      <x:c r="B85" s="281"/>
      <x:c r="C85" s="283" t="str">
        <x:f>IF($B85="","",_xlfn.XLOOKUP($B85,'檢核表版本'!$A$7:$A$13,'檢核表版本'!$B$7:$B$13,"未建立",0))</x:f>
      </x:c>
      <x:c r="D85" s="283" t="str">
        <x:f>IF($B85="","",_xlfn.XLOOKUP($B85,'檢核表版本'!$A$7:$A$13,'檢核表版本'!$C$7:$C$13,"未建立",0))</x:f>
      </x:c>
      <x:c r="E85" s="281"/>
      <x:c r="F85" s="281"/>
      <x:c r="G85" s="281"/>
      <x:c r="H85" s="281"/>
      <x:c r="I85" s="281"/>
      <x:c r="J85" s="281"/>
      <x:c r="K85" s="281"/>
      <x:c r="L85" s="281"/>
      <x:c r="M85" s="282"/>
      <x:c r="N85" s="281"/>
      <x:c r="O85" s="281"/>
      <x:c r="P85" s="283" t="str">
        <x:f>IF($A85="","",IF($K85="否","停用項目",IF(COUNTIFS($A$7:$A$106,$A85)&gt;1,"項目鍵重複",IF(OR($B85="",$C85="",$C85="未建立",$D85="",$D85="未建立",$E85="",$F85="",$G85="",$H85="",$I85="",$J85="",$L85="",$M85="",$N85=""),IF($L85="已核定","已核定但資料未完整","待補欄位或核定"),IF(OR($Q85="",$R85=""),IF($L85="已核定","已核定但缺來源依據","待補來源依據"),IF($L85&lt;&gt;"已核定","待主管核定",IF(COUNTIFS($B$7:$B$106,$B85,$D$7:$D$106,$D85,$E$7:$E$106,$E85,$F$7:$F$106,$F85,$K$7:$K$106,"是")&gt;1,"項次重複","可發布")))))))</x:f>
      </x:c>
      <x:c r="Q85" s="421"/>
      <x:c r="R85" s="421"/>
    </x:row>
    <x:row r="86">
      <x:c r="A86" s="281"/>
      <x:c r="B86" s="281"/>
      <x:c r="C86" s="283" t="str">
        <x:f>IF($B86="","",_xlfn.XLOOKUP($B86,'檢核表版本'!$A$7:$A$13,'檢核表版本'!$B$7:$B$13,"未建立",0))</x:f>
      </x:c>
      <x:c r="D86" s="283" t="str">
        <x:f>IF($B86="","",_xlfn.XLOOKUP($B86,'檢核表版本'!$A$7:$A$13,'檢核表版本'!$C$7:$C$13,"未建立",0))</x:f>
      </x:c>
      <x:c r="E86" s="281"/>
      <x:c r="F86" s="281"/>
      <x:c r="G86" s="281"/>
      <x:c r="H86" s="281"/>
      <x:c r="I86" s="281"/>
      <x:c r="J86" s="281"/>
      <x:c r="K86" s="281"/>
      <x:c r="L86" s="281"/>
      <x:c r="M86" s="282"/>
      <x:c r="N86" s="281"/>
      <x:c r="O86" s="281"/>
      <x:c r="P86" s="283" t="str">
        <x:f>IF($A86="","",IF($K86="否","停用項目",IF(COUNTIFS($A$7:$A$106,$A86)&gt;1,"項目鍵重複",IF(OR($B86="",$C86="",$C86="未建立",$D86="",$D86="未建立",$E86="",$F86="",$G86="",$H86="",$I86="",$J86="",$L86="",$M86="",$N86=""),IF($L86="已核定","已核定但資料未完整","待補欄位或核定"),IF(OR($Q86="",$R86=""),IF($L86="已核定","已核定但缺來源依據","待補來源依據"),IF($L86&lt;&gt;"已核定","待主管核定",IF(COUNTIFS($B$7:$B$106,$B86,$D$7:$D$106,$D86,$E$7:$E$106,$E86,$F$7:$F$106,$F86,$K$7:$K$106,"是")&gt;1,"項次重複","可發布")))))))</x:f>
      </x:c>
      <x:c r="Q86" s="421"/>
      <x:c r="R86" s="421"/>
    </x:row>
    <x:row r="87">
      <x:c r="A87" s="281"/>
      <x:c r="B87" s="281"/>
      <x:c r="C87" s="283" t="str">
        <x:f>IF($B87="","",_xlfn.XLOOKUP($B87,'檢核表版本'!$A$7:$A$13,'檢核表版本'!$B$7:$B$13,"未建立",0))</x:f>
      </x:c>
      <x:c r="D87" s="283" t="str">
        <x:f>IF($B87="","",_xlfn.XLOOKUP($B87,'檢核表版本'!$A$7:$A$13,'檢核表版本'!$C$7:$C$13,"未建立",0))</x:f>
      </x:c>
      <x:c r="E87" s="281"/>
      <x:c r="F87" s="281"/>
      <x:c r="G87" s="281"/>
      <x:c r="H87" s="281"/>
      <x:c r="I87" s="281"/>
      <x:c r="J87" s="281"/>
      <x:c r="K87" s="281"/>
      <x:c r="L87" s="281"/>
      <x:c r="M87" s="282"/>
      <x:c r="N87" s="281"/>
      <x:c r="O87" s="281"/>
      <x:c r="P87" s="283" t="str">
        <x:f>IF($A87="","",IF($K87="否","停用項目",IF(COUNTIFS($A$7:$A$106,$A87)&gt;1,"項目鍵重複",IF(OR($B87="",$C87="",$C87="未建立",$D87="",$D87="未建立",$E87="",$F87="",$G87="",$H87="",$I87="",$J87="",$L87="",$M87="",$N87=""),IF($L87="已核定","已核定但資料未完整","待補欄位或核定"),IF(OR($Q87="",$R87=""),IF($L87="已核定","已核定但缺來源依據","待補來源依據"),IF($L87&lt;&gt;"已核定","待主管核定",IF(COUNTIFS($B$7:$B$106,$B87,$D$7:$D$106,$D87,$E$7:$E$106,$E87,$F$7:$F$106,$F87,$K$7:$K$106,"是")&gt;1,"項次重複","可發布")))))))</x:f>
      </x:c>
      <x:c r="Q87" s="421"/>
      <x:c r="R87" s="421"/>
    </x:row>
    <x:row r="88">
      <x:c r="A88" s="281"/>
      <x:c r="B88" s="281"/>
      <x:c r="C88" s="283" t="str">
        <x:f>IF($B88="","",_xlfn.XLOOKUP($B88,'檢核表版本'!$A$7:$A$13,'檢核表版本'!$B$7:$B$13,"未建立",0))</x:f>
      </x:c>
      <x:c r="D88" s="283" t="str">
        <x:f>IF($B88="","",_xlfn.XLOOKUP($B88,'檢核表版本'!$A$7:$A$13,'檢核表版本'!$C$7:$C$13,"未建立",0))</x:f>
      </x:c>
      <x:c r="E88" s="281"/>
      <x:c r="F88" s="281"/>
      <x:c r="G88" s="281"/>
      <x:c r="H88" s="281"/>
      <x:c r="I88" s="281"/>
      <x:c r="J88" s="281"/>
      <x:c r="K88" s="281"/>
      <x:c r="L88" s="281"/>
      <x:c r="M88" s="282"/>
      <x:c r="N88" s="281"/>
      <x:c r="O88" s="281"/>
      <x:c r="P88" s="283" t="str">
        <x:f>IF($A88="","",IF($K88="否","停用項目",IF(COUNTIFS($A$7:$A$106,$A88)&gt;1,"項目鍵重複",IF(OR($B88="",$C88="",$C88="未建立",$D88="",$D88="未建立",$E88="",$F88="",$G88="",$H88="",$I88="",$J88="",$L88="",$M88="",$N88=""),IF($L88="已核定","已核定但資料未完整","待補欄位或核定"),IF(OR($Q88="",$R88=""),IF($L88="已核定","已核定但缺來源依據","待補來源依據"),IF($L88&lt;&gt;"已核定","待主管核定",IF(COUNTIFS($B$7:$B$106,$B88,$D$7:$D$106,$D88,$E$7:$E$106,$E88,$F$7:$F$106,$F88,$K$7:$K$106,"是")&gt;1,"項次重複","可發布")))))))</x:f>
      </x:c>
      <x:c r="Q88" s="421"/>
      <x:c r="R88" s="421"/>
    </x:row>
    <x:row r="89">
      <x:c r="A89" s="281"/>
      <x:c r="B89" s="281"/>
      <x:c r="C89" s="283" t="str">
        <x:f>IF($B89="","",_xlfn.XLOOKUP($B89,'檢核表版本'!$A$7:$A$13,'檢核表版本'!$B$7:$B$13,"未建立",0))</x:f>
      </x:c>
      <x:c r="D89" s="283" t="str">
        <x:f>IF($B89="","",_xlfn.XLOOKUP($B89,'檢核表版本'!$A$7:$A$13,'檢核表版本'!$C$7:$C$13,"未建立",0))</x:f>
      </x:c>
      <x:c r="E89" s="281"/>
      <x:c r="F89" s="281"/>
      <x:c r="G89" s="281"/>
      <x:c r="H89" s="281"/>
      <x:c r="I89" s="281"/>
      <x:c r="J89" s="281"/>
      <x:c r="K89" s="281"/>
      <x:c r="L89" s="281"/>
      <x:c r="M89" s="282"/>
      <x:c r="N89" s="281"/>
      <x:c r="O89" s="281"/>
      <x:c r="P89" s="283" t="str">
        <x:f>IF($A89="","",IF($K89="否","停用項目",IF(COUNTIFS($A$7:$A$106,$A89)&gt;1,"項目鍵重複",IF(OR($B89="",$C89="",$C89="未建立",$D89="",$D89="未建立",$E89="",$F89="",$G89="",$H89="",$I89="",$J89="",$L89="",$M89="",$N89=""),IF($L89="已核定","已核定但資料未完整","待補欄位或核定"),IF(OR($Q89="",$R89=""),IF($L89="已核定","已核定但缺來源依據","待補來源依據"),IF($L89&lt;&gt;"已核定","待主管核定",IF(COUNTIFS($B$7:$B$106,$B89,$D$7:$D$106,$D89,$E$7:$E$106,$E89,$F$7:$F$106,$F89,$K$7:$K$106,"是")&gt;1,"項次重複","可發布")))))))</x:f>
      </x:c>
      <x:c r="Q89" s="421"/>
      <x:c r="R89" s="421"/>
    </x:row>
    <x:row r="90">
      <x:c r="A90" s="281"/>
      <x:c r="B90" s="281"/>
      <x:c r="C90" s="283" t="str">
        <x:f>IF($B90="","",_xlfn.XLOOKUP($B90,'檢核表版本'!$A$7:$A$13,'檢核表版本'!$B$7:$B$13,"未建立",0))</x:f>
      </x:c>
      <x:c r="D90" s="283" t="str">
        <x:f>IF($B90="","",_xlfn.XLOOKUP($B90,'檢核表版本'!$A$7:$A$13,'檢核表版本'!$C$7:$C$13,"未建立",0))</x:f>
      </x:c>
      <x:c r="E90" s="281"/>
      <x:c r="F90" s="281"/>
      <x:c r="G90" s="281"/>
      <x:c r="H90" s="281"/>
      <x:c r="I90" s="281"/>
      <x:c r="J90" s="281"/>
      <x:c r="K90" s="281"/>
      <x:c r="L90" s="281"/>
      <x:c r="M90" s="282"/>
      <x:c r="N90" s="281"/>
      <x:c r="O90" s="281"/>
      <x:c r="P90" s="283" t="str">
        <x:f>IF($A90="","",IF($K90="否","停用項目",IF(COUNTIFS($A$7:$A$106,$A90)&gt;1,"項目鍵重複",IF(OR($B90="",$C90="",$C90="未建立",$D90="",$D90="未建立",$E90="",$F90="",$G90="",$H90="",$I90="",$J90="",$L90="",$M90="",$N90=""),IF($L90="已核定","已核定但資料未完整","待補欄位或核定"),IF(OR($Q90="",$R90=""),IF($L90="已核定","已核定但缺來源依據","待補來源依據"),IF($L90&lt;&gt;"已核定","待主管核定",IF(COUNTIFS($B$7:$B$106,$B90,$D$7:$D$106,$D90,$E$7:$E$106,$E90,$F$7:$F$106,$F90,$K$7:$K$106,"是")&gt;1,"項次重複","可發布")))))))</x:f>
      </x:c>
      <x:c r="Q90" s="421"/>
      <x:c r="R90" s="421"/>
    </x:row>
    <x:row r="91">
      <x:c r="A91" s="281"/>
      <x:c r="B91" s="281"/>
      <x:c r="C91" s="283" t="str">
        <x:f>IF($B91="","",_xlfn.XLOOKUP($B91,'檢核表版本'!$A$7:$A$13,'檢核表版本'!$B$7:$B$13,"未建立",0))</x:f>
      </x:c>
      <x:c r="D91" s="283" t="str">
        <x:f>IF($B91="","",_xlfn.XLOOKUP($B91,'檢核表版本'!$A$7:$A$13,'檢核表版本'!$C$7:$C$13,"未建立",0))</x:f>
      </x:c>
      <x:c r="E91" s="281"/>
      <x:c r="F91" s="281"/>
      <x:c r="G91" s="281"/>
      <x:c r="H91" s="281"/>
      <x:c r="I91" s="281"/>
      <x:c r="J91" s="281"/>
      <x:c r="K91" s="281"/>
      <x:c r="L91" s="281"/>
      <x:c r="M91" s="282"/>
      <x:c r="N91" s="281"/>
      <x:c r="O91" s="281"/>
      <x:c r="P91" s="283" t="str">
        <x:f>IF($A91="","",IF($K91="否","停用項目",IF(COUNTIFS($A$7:$A$106,$A91)&gt;1,"項目鍵重複",IF(OR($B91="",$C91="",$C91="未建立",$D91="",$D91="未建立",$E91="",$F91="",$G91="",$H91="",$I91="",$J91="",$L91="",$M91="",$N91=""),IF($L91="已核定","已核定但資料未完整","待補欄位或核定"),IF(OR($Q91="",$R91=""),IF($L91="已核定","已核定但缺來源依據","待補來源依據"),IF($L91&lt;&gt;"已核定","待主管核定",IF(COUNTIFS($B$7:$B$106,$B91,$D$7:$D$106,$D91,$E$7:$E$106,$E91,$F$7:$F$106,$F91,$K$7:$K$106,"是")&gt;1,"項次重複","可發布")))))))</x:f>
      </x:c>
      <x:c r="Q91" s="421"/>
      <x:c r="R91" s="421"/>
    </x:row>
    <x:row r="92">
      <x:c r="A92" s="281"/>
      <x:c r="B92" s="281"/>
      <x:c r="C92" s="283" t="str">
        <x:f>IF($B92="","",_xlfn.XLOOKUP($B92,'檢核表版本'!$A$7:$A$13,'檢核表版本'!$B$7:$B$13,"未建立",0))</x:f>
      </x:c>
      <x:c r="D92" s="283" t="str">
        <x:f>IF($B92="","",_xlfn.XLOOKUP($B92,'檢核表版本'!$A$7:$A$13,'檢核表版本'!$C$7:$C$13,"未建立",0))</x:f>
      </x:c>
      <x:c r="E92" s="281"/>
      <x:c r="F92" s="281"/>
      <x:c r="G92" s="281"/>
      <x:c r="H92" s="281"/>
      <x:c r="I92" s="281"/>
      <x:c r="J92" s="281"/>
      <x:c r="K92" s="281"/>
      <x:c r="L92" s="281"/>
      <x:c r="M92" s="282"/>
      <x:c r="N92" s="281"/>
      <x:c r="O92" s="281"/>
      <x:c r="P92" s="283" t="str">
        <x:f>IF($A92="","",IF($K92="否","停用項目",IF(COUNTIFS($A$7:$A$106,$A92)&gt;1,"項目鍵重複",IF(OR($B92="",$C92="",$C92="未建立",$D92="",$D92="未建立",$E92="",$F92="",$G92="",$H92="",$I92="",$J92="",$L92="",$M92="",$N92=""),IF($L92="已核定","已核定但資料未完整","待補欄位或核定"),IF(OR($Q92="",$R92=""),IF($L92="已核定","已核定但缺來源依據","待補來源依據"),IF($L92&lt;&gt;"已核定","待主管核定",IF(COUNTIFS($B$7:$B$106,$B92,$D$7:$D$106,$D92,$E$7:$E$106,$E92,$F$7:$F$106,$F92,$K$7:$K$106,"是")&gt;1,"項次重複","可發布")))))))</x:f>
      </x:c>
      <x:c r="Q92" s="421"/>
      <x:c r="R92" s="421"/>
    </x:row>
    <x:row r="93">
      <x:c r="A93" s="281"/>
      <x:c r="B93" s="281"/>
      <x:c r="C93" s="283" t="str">
        <x:f>IF($B93="","",_xlfn.XLOOKUP($B93,'檢核表版本'!$A$7:$A$13,'檢核表版本'!$B$7:$B$13,"未建立",0))</x:f>
      </x:c>
      <x:c r="D93" s="283" t="str">
        <x:f>IF($B93="","",_xlfn.XLOOKUP($B93,'檢核表版本'!$A$7:$A$13,'檢核表版本'!$C$7:$C$13,"未建立",0))</x:f>
      </x:c>
      <x:c r="E93" s="281"/>
      <x:c r="F93" s="281"/>
      <x:c r="G93" s="281"/>
      <x:c r="H93" s="281"/>
      <x:c r="I93" s="281"/>
      <x:c r="J93" s="281"/>
      <x:c r="K93" s="281"/>
      <x:c r="L93" s="281"/>
      <x:c r="M93" s="282"/>
      <x:c r="N93" s="281"/>
      <x:c r="O93" s="281"/>
      <x:c r="P93" s="283" t="str">
        <x:f>IF($A93="","",IF($K93="否","停用項目",IF(COUNTIFS($A$7:$A$106,$A93)&gt;1,"項目鍵重複",IF(OR($B93="",$C93="",$C93="未建立",$D93="",$D93="未建立",$E93="",$F93="",$G93="",$H93="",$I93="",$J93="",$L93="",$M93="",$N93=""),IF($L93="已核定","已核定但資料未完整","待補欄位或核定"),IF(OR($Q93="",$R93=""),IF($L93="已核定","已核定但缺來源依據","待補來源依據"),IF($L93&lt;&gt;"已核定","待主管核定",IF(COUNTIFS($B$7:$B$106,$B93,$D$7:$D$106,$D93,$E$7:$E$106,$E93,$F$7:$F$106,$F93,$K$7:$K$106,"是")&gt;1,"項次重複","可發布")))))))</x:f>
      </x:c>
      <x:c r="Q93" s="421"/>
      <x:c r="R93" s="421"/>
    </x:row>
    <x:row r="94">
      <x:c r="A94" s="281"/>
      <x:c r="B94" s="281"/>
      <x:c r="C94" s="283" t="str">
        <x:f>IF($B94="","",_xlfn.XLOOKUP($B94,'檢核表版本'!$A$7:$A$13,'檢核表版本'!$B$7:$B$13,"未建立",0))</x:f>
      </x:c>
      <x:c r="D94" s="283" t="str">
        <x:f>IF($B94="","",_xlfn.XLOOKUP($B94,'檢核表版本'!$A$7:$A$13,'檢核表版本'!$C$7:$C$13,"未建立",0))</x:f>
      </x:c>
      <x:c r="E94" s="281"/>
      <x:c r="F94" s="281"/>
      <x:c r="G94" s="281"/>
      <x:c r="H94" s="281"/>
      <x:c r="I94" s="281"/>
      <x:c r="J94" s="281"/>
      <x:c r="K94" s="281"/>
      <x:c r="L94" s="281"/>
      <x:c r="M94" s="282"/>
      <x:c r="N94" s="281"/>
      <x:c r="O94" s="281"/>
      <x:c r="P94" s="283" t="str">
        <x:f>IF($A94="","",IF($K94="否","停用項目",IF(COUNTIFS($A$7:$A$106,$A94)&gt;1,"項目鍵重複",IF(OR($B94="",$C94="",$C94="未建立",$D94="",$D94="未建立",$E94="",$F94="",$G94="",$H94="",$I94="",$J94="",$L94="",$M94="",$N94=""),IF($L94="已核定","已核定但資料未完整","待補欄位或核定"),IF(OR($Q94="",$R94=""),IF($L94="已核定","已核定但缺來源依據","待補來源依據"),IF($L94&lt;&gt;"已核定","待主管核定",IF(COUNTIFS($B$7:$B$106,$B94,$D$7:$D$106,$D94,$E$7:$E$106,$E94,$F$7:$F$106,$F94,$K$7:$K$106,"是")&gt;1,"項次重複","可發布")))))))</x:f>
      </x:c>
      <x:c r="Q94" s="421"/>
      <x:c r="R94" s="421"/>
    </x:row>
    <x:row r="95">
      <x:c r="A95" s="281"/>
      <x:c r="B95" s="281"/>
      <x:c r="C95" s="283" t="str">
        <x:f>IF($B95="","",_xlfn.XLOOKUP($B95,'檢核表版本'!$A$7:$A$13,'檢核表版本'!$B$7:$B$13,"未建立",0))</x:f>
      </x:c>
      <x:c r="D95" s="283" t="str">
        <x:f>IF($B95="","",_xlfn.XLOOKUP($B95,'檢核表版本'!$A$7:$A$13,'檢核表版本'!$C$7:$C$13,"未建立",0))</x:f>
      </x:c>
      <x:c r="E95" s="281"/>
      <x:c r="F95" s="281"/>
      <x:c r="G95" s="281"/>
      <x:c r="H95" s="281"/>
      <x:c r="I95" s="281"/>
      <x:c r="J95" s="281"/>
      <x:c r="K95" s="281"/>
      <x:c r="L95" s="281"/>
      <x:c r="M95" s="282"/>
      <x:c r="N95" s="281"/>
      <x:c r="O95" s="281"/>
      <x:c r="P95" s="283" t="str">
        <x:f>IF($A95="","",IF($K95="否","停用項目",IF(COUNTIFS($A$7:$A$106,$A95)&gt;1,"項目鍵重複",IF(OR($B95="",$C95="",$C95="未建立",$D95="",$D95="未建立",$E95="",$F95="",$G95="",$H95="",$I95="",$J95="",$L95="",$M95="",$N95=""),IF($L95="已核定","已核定但資料未完整","待補欄位或核定"),IF(OR($Q95="",$R95=""),IF($L95="已核定","已核定但缺來源依據","待補來源依據"),IF($L95&lt;&gt;"已核定","待主管核定",IF(COUNTIFS($B$7:$B$106,$B95,$D$7:$D$106,$D95,$E$7:$E$106,$E95,$F$7:$F$106,$F95,$K$7:$K$106,"是")&gt;1,"項次重複","可發布")))))))</x:f>
      </x:c>
      <x:c r="Q95" s="421"/>
      <x:c r="R95" s="421"/>
    </x:row>
    <x:row r="96">
      <x:c r="A96" s="281"/>
      <x:c r="B96" s="281"/>
      <x:c r="C96" s="283" t="str">
        <x:f>IF($B96="","",_xlfn.XLOOKUP($B96,'檢核表版本'!$A$7:$A$13,'檢核表版本'!$B$7:$B$13,"未建立",0))</x:f>
      </x:c>
      <x:c r="D96" s="283" t="str">
        <x:f>IF($B96="","",_xlfn.XLOOKUP($B96,'檢核表版本'!$A$7:$A$13,'檢核表版本'!$C$7:$C$13,"未建立",0))</x:f>
      </x:c>
      <x:c r="E96" s="281"/>
      <x:c r="F96" s="281"/>
      <x:c r="G96" s="281"/>
      <x:c r="H96" s="281"/>
      <x:c r="I96" s="281"/>
      <x:c r="J96" s="281"/>
      <x:c r="K96" s="281"/>
      <x:c r="L96" s="281"/>
      <x:c r="M96" s="282"/>
      <x:c r="N96" s="281"/>
      <x:c r="O96" s="281"/>
      <x:c r="P96" s="283" t="str">
        <x:f>IF($A96="","",IF($K96="否","停用項目",IF(COUNTIFS($A$7:$A$106,$A96)&gt;1,"項目鍵重複",IF(OR($B96="",$C96="",$C96="未建立",$D96="",$D96="未建立",$E96="",$F96="",$G96="",$H96="",$I96="",$J96="",$L96="",$M96="",$N96=""),IF($L96="已核定","已核定但資料未完整","待補欄位或核定"),IF(OR($Q96="",$R96=""),IF($L96="已核定","已核定但缺來源依據","待補來源依據"),IF($L96&lt;&gt;"已核定","待主管核定",IF(COUNTIFS($B$7:$B$106,$B96,$D$7:$D$106,$D96,$E$7:$E$106,$E96,$F$7:$F$106,$F96,$K$7:$K$106,"是")&gt;1,"項次重複","可發布")))))))</x:f>
      </x:c>
      <x:c r="Q96" s="421"/>
      <x:c r="R96" s="421"/>
    </x:row>
    <x:row r="97">
      <x:c r="A97" s="281"/>
      <x:c r="B97" s="281"/>
      <x:c r="C97" s="283" t="str">
        <x:f>IF($B97="","",_xlfn.XLOOKUP($B97,'檢核表版本'!$A$7:$A$13,'檢核表版本'!$B$7:$B$13,"未建立",0))</x:f>
      </x:c>
      <x:c r="D97" s="283" t="str">
        <x:f>IF($B97="","",_xlfn.XLOOKUP($B97,'檢核表版本'!$A$7:$A$13,'檢核表版本'!$C$7:$C$13,"未建立",0))</x:f>
      </x:c>
      <x:c r="E97" s="281"/>
      <x:c r="F97" s="281"/>
      <x:c r="G97" s="281"/>
      <x:c r="H97" s="281"/>
      <x:c r="I97" s="281"/>
      <x:c r="J97" s="281"/>
      <x:c r="K97" s="281"/>
      <x:c r="L97" s="281"/>
      <x:c r="M97" s="282"/>
      <x:c r="N97" s="281"/>
      <x:c r="O97" s="281"/>
      <x:c r="P97" s="283" t="str">
        <x:f>IF($A97="","",IF($K97="否","停用項目",IF(COUNTIFS($A$7:$A$106,$A97)&gt;1,"項目鍵重複",IF(OR($B97="",$C97="",$C97="未建立",$D97="",$D97="未建立",$E97="",$F97="",$G97="",$H97="",$I97="",$J97="",$L97="",$M97="",$N97=""),IF($L97="已核定","已核定但資料未完整","待補欄位或核定"),IF(OR($Q97="",$R97=""),IF($L97="已核定","已核定但缺來源依據","待補來源依據"),IF($L97&lt;&gt;"已核定","待主管核定",IF(COUNTIFS($B$7:$B$106,$B97,$D$7:$D$106,$D97,$E$7:$E$106,$E97,$F$7:$F$106,$F97,$K$7:$K$106,"是")&gt;1,"項次重複","可發布")))))))</x:f>
      </x:c>
      <x:c r="Q97" s="421"/>
      <x:c r="R97" s="421"/>
    </x:row>
    <x:row r="98">
      <x:c r="A98" s="281"/>
      <x:c r="B98" s="281"/>
      <x:c r="C98" s="283" t="str">
        <x:f>IF($B98="","",_xlfn.XLOOKUP($B98,'檢核表版本'!$A$7:$A$13,'檢核表版本'!$B$7:$B$13,"未建立",0))</x:f>
      </x:c>
      <x:c r="D98" s="283" t="str">
        <x:f>IF($B98="","",_xlfn.XLOOKUP($B98,'檢核表版本'!$A$7:$A$13,'檢核表版本'!$C$7:$C$13,"未建立",0))</x:f>
      </x:c>
      <x:c r="E98" s="281"/>
      <x:c r="F98" s="281"/>
      <x:c r="G98" s="281"/>
      <x:c r="H98" s="281"/>
      <x:c r="I98" s="281"/>
      <x:c r="J98" s="281"/>
      <x:c r="K98" s="281"/>
      <x:c r="L98" s="281"/>
      <x:c r="M98" s="282"/>
      <x:c r="N98" s="281"/>
      <x:c r="O98" s="281"/>
      <x:c r="P98" s="283" t="str">
        <x:f>IF($A98="","",IF($K98="否","停用項目",IF(COUNTIFS($A$7:$A$106,$A98)&gt;1,"項目鍵重複",IF(OR($B98="",$C98="",$C98="未建立",$D98="",$D98="未建立",$E98="",$F98="",$G98="",$H98="",$I98="",$J98="",$L98="",$M98="",$N98=""),IF($L98="已核定","已核定但資料未完整","待補欄位或核定"),IF(OR($Q98="",$R98=""),IF($L98="已核定","已核定但缺來源依據","待補來源依據"),IF($L98&lt;&gt;"已核定","待主管核定",IF(COUNTIFS($B$7:$B$106,$B98,$D$7:$D$106,$D98,$E$7:$E$106,$E98,$F$7:$F$106,$F98,$K$7:$K$106,"是")&gt;1,"項次重複","可發布")))))))</x:f>
      </x:c>
      <x:c r="Q98" s="421"/>
      <x:c r="R98" s="421"/>
    </x:row>
    <x:row r="99">
      <x:c r="A99" s="281"/>
      <x:c r="B99" s="281"/>
      <x:c r="C99" s="283" t="str">
        <x:f>IF($B99="","",_xlfn.XLOOKUP($B99,'檢核表版本'!$A$7:$A$13,'檢核表版本'!$B$7:$B$13,"未建立",0))</x:f>
      </x:c>
      <x:c r="D99" s="283" t="str">
        <x:f>IF($B99="","",_xlfn.XLOOKUP($B99,'檢核表版本'!$A$7:$A$13,'檢核表版本'!$C$7:$C$13,"未建立",0))</x:f>
      </x:c>
      <x:c r="E99" s="281"/>
      <x:c r="F99" s="281"/>
      <x:c r="G99" s="281"/>
      <x:c r="H99" s="281"/>
      <x:c r="I99" s="281"/>
      <x:c r="J99" s="281"/>
      <x:c r="K99" s="281"/>
      <x:c r="L99" s="281"/>
      <x:c r="M99" s="282"/>
      <x:c r="N99" s="281"/>
      <x:c r="O99" s="281"/>
      <x:c r="P99" s="283" t="str">
        <x:f>IF($A99="","",IF($K99="否","停用項目",IF(COUNTIFS($A$7:$A$106,$A99)&gt;1,"項目鍵重複",IF(OR($B99="",$C99="",$C99="未建立",$D99="",$D99="未建立",$E99="",$F99="",$G99="",$H99="",$I99="",$J99="",$L99="",$M99="",$N99=""),IF($L99="已核定","已核定但資料未完整","待補欄位或核定"),IF(OR($Q99="",$R99=""),IF($L99="已核定","已核定但缺來源依據","待補來源依據"),IF($L99&lt;&gt;"已核定","待主管核定",IF(COUNTIFS($B$7:$B$106,$B99,$D$7:$D$106,$D99,$E$7:$E$106,$E99,$F$7:$F$106,$F99,$K$7:$K$106,"是")&gt;1,"項次重複","可發布")))))))</x:f>
      </x:c>
      <x:c r="Q99" s="421"/>
      <x:c r="R99" s="421"/>
    </x:row>
    <x:row r="100">
      <x:c r="A100" s="281"/>
      <x:c r="B100" s="281"/>
      <x:c r="C100" s="283" t="str">
        <x:f>IF($B100="","",_xlfn.XLOOKUP($B100,'檢核表版本'!$A$7:$A$13,'檢核表版本'!$B$7:$B$13,"未建立",0))</x:f>
      </x:c>
      <x:c r="D100" s="283" t="str">
        <x:f>IF($B100="","",_xlfn.XLOOKUP($B100,'檢核表版本'!$A$7:$A$13,'檢核表版本'!$C$7:$C$13,"未建立",0))</x:f>
      </x:c>
      <x:c r="E100" s="281"/>
      <x:c r="F100" s="281"/>
      <x:c r="G100" s="281"/>
      <x:c r="H100" s="281"/>
      <x:c r="I100" s="281"/>
      <x:c r="J100" s="281"/>
      <x:c r="K100" s="281"/>
      <x:c r="L100" s="281"/>
      <x:c r="M100" s="282"/>
      <x:c r="N100" s="281"/>
      <x:c r="O100" s="281"/>
      <x:c r="P100" s="283" t="str">
        <x:f>IF($A100="","",IF($K100="否","停用項目",IF(COUNTIFS($A$7:$A$106,$A100)&gt;1,"項目鍵重複",IF(OR($B100="",$C100="",$C100="未建立",$D100="",$D100="未建立",$E100="",$F100="",$G100="",$H100="",$I100="",$J100="",$L100="",$M100="",$N100=""),IF($L100="已核定","已核定但資料未完整","待補欄位或核定"),IF(OR($Q100="",$R100=""),IF($L100="已核定","已核定但缺來源依據","待補來源依據"),IF($L100&lt;&gt;"已核定","待主管核定",IF(COUNTIFS($B$7:$B$106,$B100,$D$7:$D$106,$D100,$E$7:$E$106,$E100,$F$7:$F$106,$F100,$K$7:$K$106,"是")&gt;1,"項次重複","可發布")))))))</x:f>
      </x:c>
      <x:c r="Q100" s="421"/>
      <x:c r="R100" s="421"/>
    </x:row>
    <x:row r="101">
      <x:c r="A101" s="281"/>
      <x:c r="B101" s="281"/>
      <x:c r="C101" s="283" t="str">
        <x:f>IF($B101="","",_xlfn.XLOOKUP($B101,'檢核表版本'!$A$7:$A$13,'檢核表版本'!$B$7:$B$13,"未建立",0))</x:f>
      </x:c>
      <x:c r="D101" s="283" t="str">
        <x:f>IF($B101="","",_xlfn.XLOOKUP($B101,'檢核表版本'!$A$7:$A$13,'檢核表版本'!$C$7:$C$13,"未建立",0))</x:f>
      </x:c>
      <x:c r="E101" s="281"/>
      <x:c r="F101" s="281"/>
      <x:c r="G101" s="281"/>
      <x:c r="H101" s="281"/>
      <x:c r="I101" s="281"/>
      <x:c r="J101" s="281"/>
      <x:c r="K101" s="281"/>
      <x:c r="L101" s="281"/>
      <x:c r="M101" s="282"/>
      <x:c r="N101" s="281"/>
      <x:c r="O101" s="281"/>
      <x:c r="P101" s="283" t="str">
        <x:f>IF($A101="","",IF($K101="否","停用項目",IF(COUNTIFS($A$7:$A$106,$A101)&gt;1,"項目鍵重複",IF(OR($B101="",$C101="",$C101="未建立",$D101="",$D101="未建立",$E101="",$F101="",$G101="",$H101="",$I101="",$J101="",$L101="",$M101="",$N101=""),IF($L101="已核定","已核定但資料未完整","待補欄位或核定"),IF(OR($Q101="",$R101=""),IF($L101="已核定","已核定但缺來源依據","待補來源依據"),IF($L101&lt;&gt;"已核定","待主管核定",IF(COUNTIFS($B$7:$B$106,$B101,$D$7:$D$106,$D101,$E$7:$E$106,$E101,$F$7:$F$106,$F101,$K$7:$K$106,"是")&gt;1,"項次重複","可發布")))))))</x:f>
      </x:c>
      <x:c r="Q101" s="421"/>
      <x:c r="R101" s="421"/>
    </x:row>
    <x:row r="102">
      <x:c r="A102" s="281"/>
      <x:c r="B102" s="281"/>
      <x:c r="C102" s="283" t="str">
        <x:f>IF($B102="","",_xlfn.XLOOKUP($B102,'檢核表版本'!$A$7:$A$13,'檢核表版本'!$B$7:$B$13,"未建立",0))</x:f>
      </x:c>
      <x:c r="D102" s="283" t="str">
        <x:f>IF($B102="","",_xlfn.XLOOKUP($B102,'檢核表版本'!$A$7:$A$13,'檢核表版本'!$C$7:$C$13,"未建立",0))</x:f>
      </x:c>
      <x:c r="E102" s="281"/>
      <x:c r="F102" s="281"/>
      <x:c r="G102" s="281"/>
      <x:c r="H102" s="281"/>
      <x:c r="I102" s="281"/>
      <x:c r="J102" s="281"/>
      <x:c r="K102" s="281"/>
      <x:c r="L102" s="281"/>
      <x:c r="M102" s="282"/>
      <x:c r="N102" s="281"/>
      <x:c r="O102" s="281"/>
      <x:c r="P102" s="283" t="str">
        <x:f>IF($A102="","",IF($K102="否","停用項目",IF(COUNTIFS($A$7:$A$106,$A102)&gt;1,"項目鍵重複",IF(OR($B102="",$C102="",$C102="未建立",$D102="",$D102="未建立",$E102="",$F102="",$G102="",$H102="",$I102="",$J102="",$L102="",$M102="",$N102=""),IF($L102="已核定","已核定但資料未完整","待補欄位或核定"),IF(OR($Q102="",$R102=""),IF($L102="已核定","已核定但缺來源依據","待補來源依據"),IF($L102&lt;&gt;"已核定","待主管核定",IF(COUNTIFS($B$7:$B$106,$B102,$D$7:$D$106,$D102,$E$7:$E$106,$E102,$F$7:$F$106,$F102,$K$7:$K$106,"是")&gt;1,"項次重複","可發布")))))))</x:f>
      </x:c>
      <x:c r="Q102" s="421"/>
      <x:c r="R102" s="421"/>
    </x:row>
    <x:row r="103">
      <x:c r="A103" s="281"/>
      <x:c r="B103" s="281"/>
      <x:c r="C103" s="283" t="str">
        <x:f>IF($B103="","",_xlfn.XLOOKUP($B103,'檢核表版本'!$A$7:$A$13,'檢核表版本'!$B$7:$B$13,"未建立",0))</x:f>
      </x:c>
      <x:c r="D103" s="283" t="str">
        <x:f>IF($B103="","",_xlfn.XLOOKUP($B103,'檢核表版本'!$A$7:$A$13,'檢核表版本'!$C$7:$C$13,"未建立",0))</x:f>
      </x:c>
      <x:c r="E103" s="281"/>
      <x:c r="F103" s="281"/>
      <x:c r="G103" s="281"/>
      <x:c r="H103" s="281"/>
      <x:c r="I103" s="281"/>
      <x:c r="J103" s="281"/>
      <x:c r="K103" s="281"/>
      <x:c r="L103" s="281"/>
      <x:c r="M103" s="282"/>
      <x:c r="N103" s="281"/>
      <x:c r="O103" s="281"/>
      <x:c r="P103" s="283" t="str">
        <x:f>IF($A103="","",IF($K103="否","停用項目",IF(COUNTIFS($A$7:$A$106,$A103)&gt;1,"項目鍵重複",IF(OR($B103="",$C103="",$C103="未建立",$D103="",$D103="未建立",$E103="",$F103="",$G103="",$H103="",$I103="",$J103="",$L103="",$M103="",$N103=""),IF($L103="已核定","已核定但資料未完整","待補欄位或核定"),IF(OR($Q103="",$R103=""),IF($L103="已核定","已核定但缺來源依據","待補來源依據"),IF($L103&lt;&gt;"已核定","待主管核定",IF(COUNTIFS($B$7:$B$106,$B103,$D$7:$D$106,$D103,$E$7:$E$106,$E103,$F$7:$F$106,$F103,$K$7:$K$106,"是")&gt;1,"項次重複","可發布")))))))</x:f>
      </x:c>
      <x:c r="Q103" s="421"/>
      <x:c r="R103" s="421"/>
    </x:row>
    <x:row r="104">
      <x:c r="A104" s="281"/>
      <x:c r="B104" s="281"/>
      <x:c r="C104" s="283" t="str">
        <x:f>IF($B104="","",_xlfn.XLOOKUP($B104,'檢核表版本'!$A$7:$A$13,'檢核表版本'!$B$7:$B$13,"未建立",0))</x:f>
      </x:c>
      <x:c r="D104" s="283" t="str">
        <x:f>IF($B104="","",_xlfn.XLOOKUP($B104,'檢核表版本'!$A$7:$A$13,'檢核表版本'!$C$7:$C$13,"未建立",0))</x:f>
      </x:c>
      <x:c r="E104" s="281"/>
      <x:c r="F104" s="281"/>
      <x:c r="G104" s="281"/>
      <x:c r="H104" s="281"/>
      <x:c r="I104" s="281"/>
      <x:c r="J104" s="281"/>
      <x:c r="K104" s="281"/>
      <x:c r="L104" s="281"/>
      <x:c r="M104" s="282"/>
      <x:c r="N104" s="281"/>
      <x:c r="O104" s="281"/>
      <x:c r="P104" s="283" t="str">
        <x:f>IF($A104="","",IF($K104="否","停用項目",IF(COUNTIFS($A$7:$A$106,$A104)&gt;1,"項目鍵重複",IF(OR($B104="",$C104="",$C104="未建立",$D104="",$D104="未建立",$E104="",$F104="",$G104="",$H104="",$I104="",$J104="",$L104="",$M104="",$N104=""),IF($L104="已核定","已核定但資料未完整","待補欄位或核定"),IF(OR($Q104="",$R104=""),IF($L104="已核定","已核定但缺來源依據","待補來源依據"),IF($L104&lt;&gt;"已核定","待主管核定",IF(COUNTIFS($B$7:$B$106,$B104,$D$7:$D$106,$D104,$E$7:$E$106,$E104,$F$7:$F$106,$F104,$K$7:$K$106,"是")&gt;1,"項次重複","可發布")))))))</x:f>
      </x:c>
      <x:c r="Q104" s="421"/>
      <x:c r="R104" s="421"/>
    </x:row>
    <x:row r="105">
      <x:c r="A105" s="281"/>
      <x:c r="B105" s="281"/>
      <x:c r="C105" s="283" t="str">
        <x:f>IF($B105="","",_xlfn.XLOOKUP($B105,'檢核表版本'!$A$7:$A$13,'檢核表版本'!$B$7:$B$13,"未建立",0))</x:f>
      </x:c>
      <x:c r="D105" s="283" t="str">
        <x:f>IF($B105="","",_xlfn.XLOOKUP($B105,'檢核表版本'!$A$7:$A$13,'檢核表版本'!$C$7:$C$13,"未建立",0))</x:f>
      </x:c>
      <x:c r="E105" s="281"/>
      <x:c r="F105" s="281"/>
      <x:c r="G105" s="281"/>
      <x:c r="H105" s="281"/>
      <x:c r="I105" s="281"/>
      <x:c r="J105" s="281"/>
      <x:c r="K105" s="281"/>
      <x:c r="L105" s="281"/>
      <x:c r="M105" s="282"/>
      <x:c r="N105" s="281"/>
      <x:c r="O105" s="281"/>
      <x:c r="P105" s="283" t="str">
        <x:f>IF($A105="","",IF($K105="否","停用項目",IF(COUNTIFS($A$7:$A$106,$A105)&gt;1,"項目鍵重複",IF(OR($B105="",$C105="",$C105="未建立",$D105="",$D105="未建立",$E105="",$F105="",$G105="",$H105="",$I105="",$J105="",$L105="",$M105="",$N105=""),IF($L105="已核定","已核定但資料未完整","待補欄位或核定"),IF(OR($Q105="",$R105=""),IF($L105="已核定","已核定但缺來源依據","待補來源依據"),IF($L105&lt;&gt;"已核定","待主管核定",IF(COUNTIFS($B$7:$B$106,$B105,$D$7:$D$106,$D105,$E$7:$E$106,$E105,$F$7:$F$106,$F105,$K$7:$K$106,"是")&gt;1,"項次重複","可發布")))))))</x:f>
      </x:c>
      <x:c r="Q105" s="421"/>
      <x:c r="R105" s="421"/>
    </x:row>
    <x:row r="106">
      <x:c r="A106" s="281"/>
      <x:c r="B106" s="281"/>
      <x:c r="C106" s="283" t="str">
        <x:f>IF($B106="","",_xlfn.XLOOKUP($B106,'檢核表版本'!$A$7:$A$13,'檢核表版本'!$B$7:$B$13,"未建立",0))</x:f>
      </x:c>
      <x:c r="D106" s="283" t="str">
        <x:f>IF($B106="","",_xlfn.XLOOKUP($B106,'檢核表版本'!$A$7:$A$13,'檢核表版本'!$C$7:$C$13,"未建立",0))</x:f>
      </x:c>
      <x:c r="E106" s="281"/>
      <x:c r="F106" s="281"/>
      <x:c r="G106" s="281"/>
      <x:c r="H106" s="281"/>
      <x:c r="I106" s="281"/>
      <x:c r="J106" s="281"/>
      <x:c r="K106" s="281"/>
      <x:c r="L106" s="281"/>
      <x:c r="M106" s="282"/>
      <x:c r="N106" s="281"/>
      <x:c r="O106" s="281"/>
      <x:c r="P106" s="283" t="str">
        <x:f>IF($A106="","",IF($K106="否","停用項目",IF(COUNTIFS($A$7:$A$106,$A106)&gt;1,"項目鍵重複",IF(OR($B106="",$C106="",$C106="未建立",$D106="",$D106="未建立",$E106="",$F106="",$G106="",$H106="",$I106="",$J106="",$L106="",$M106="",$N106=""),IF($L106="已核定","已核定但資料未完整","待補欄位或核定"),IF(OR($Q106="",$R106=""),IF($L106="已核定","已核定但缺來源依據","待補來源依據"),IF($L106&lt;&gt;"已核定","待主管核定",IF(COUNTIFS($B$7:$B$106,$B106,$D$7:$D$106,$D106,$E$7:$E$106,$E106,$F$7:$F$106,$F106,$K$7:$K$106,"是")&gt;1,"項次重複","可發布")))))))</x:f>
      </x:c>
      <x:c r="Q106" s="421"/>
      <x:c r="R106" s="421"/>
    </x:row>
  </x:sheetData>
  <x:mergeCells>
    <x:mergeCell ref="A2:R2"/>
    <x:mergeCell ref="A4:R4"/>
  </x:mergeCells>
  <x:conditionalFormatting sqref="P7:P106">
    <x:cfRule type="containsText" dxfId="122" priority="1" operator="containsText" text="可發布"/>
    <x:cfRule type="containsText" dxfId="123" priority="2" operator="containsText" text="重複"/>
    <x:cfRule type="containsText" dxfId="124" priority="3" operator="containsText" text="已核定但"/>
    <x:cfRule type="containsText" dxfId="125" priority="4" operator="containsText" text="待補來源"/>
  </x:conditionalFormatting>
  <x:dataValidations count="3">
    <x:dataValidation type="list" sqref="G7:G106">
      <x:formula1>"關鍵必要,一般必要,觀察項目"</x:formula1>
    </x:dataValidation>
    <x:dataValidation type="list" sqref="K7:K106">
      <x:formula1>"是,否"</x:formula1>
    </x:dataValidation>
    <x:dataValidation type="list" sqref="L7:L106">
      <x:formula1>"待核定,已核定,退回補件"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4ae9892e594a6e"/>
  </x:tableParts>
</x:worksheet>
</file>

<file path=xl/worksheets/sheet38.xml><?xml version="1.0" encoding="utf-8"?>
<x:worksheet xmlns:x="http://schemas.openxmlformats.org/spreadsheetml/2006/main">
  <x:sheetPr>
    <x:tabColor rgb="FFC55A1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2" hidden="0" customWidth="1"/>
    <x:col min="5" max="5" width="24" hidden="0" customWidth="1"/>
    <x:col min="6" max="6" width="24" hidden="0" customWidth="1"/>
    <x:col min="7" max="7" width="38" hidden="0" customWidth="1"/>
    <x:col min="8" max="8" width="38" hidden="0" customWidth="1"/>
    <x:col min="9" max="9" width="18" hidden="0" customWidth="1"/>
    <x:col min="10" max="10" width="34" hidden="0" customWidth="1"/>
    <x:col min="11" max="11" width="16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14" hidden="0" customWidth="1"/>
    <x:col min="17" max="17" width="14" hidden="0" customWidth="1"/>
    <x:col min="18" max="18" width="24" hidden="0" customWidth="1"/>
    <x:col min="19" max="19" width="28" hidden="0" customWidth="1"/>
    <x:col min="20" max="20" width="26" hidden="0" customWidth="1"/>
    <x:col min="21" max="21" width="18" hidden="0" customWidth="1"/>
  </x:cols>
  <x:sheetData>
    <x:row r="2">
      <x:c r="A2" s="74" t="str">
        <x:v>排班例外核定與安全閘門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>
      <x:c r="A4" s="75" t="str">
        <x:v>例外只處理已核定資料尚未回寫，或已另行核定的緊急規則，而且只限單一班次。缺主跟診、缺短時支援、支援容量不足、時段衝突及療程未確認一律不可例外；三週／一週確認流程仍須完成。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</x:row>
    <x:row r="6">
      <x:c r="A6" s="298" t="str">
        <x:v>例外紀錄鍵</x:v>
      </x:c>
      <x:c r="B6" s="298" t="str">
        <x:v>需求編號</x:v>
      </x:c>
      <x:c r="C6" s="298" t="str">
        <x:v>班次日期</x:v>
      </x:c>
      <x:c r="D6" s="298" t="str">
        <x:v>原班次結果</x:v>
      </x:c>
      <x:c r="E6" s="298" t="str">
        <x:v>原發布狀態</x:v>
      </x:c>
      <x:c r="F6" s="298" t="str">
        <x:v>例外類型</x:v>
      </x:c>
      <x:c r="G6" s="298" t="str">
        <x:v>例外原因</x:v>
      </x:c>
      <x:c r="H6" s="298" t="str">
        <x:v>補償措施</x:v>
      </x:c>
      <x:c r="I6" s="298" t="str">
        <x:v>相關配置編號</x:v>
      </x:c>
      <x:c r="J6" s="298" t="str">
        <x:v>佐證／核定依據</x:v>
      </x:c>
      <x:c r="K6" s="298" t="str">
        <x:v>申請人</x:v>
      </x:c>
      <x:c r="L6" s="298" t="str">
        <x:v>申請日</x:v>
      </x:c>
      <x:c r="M6" s="298" t="str">
        <x:v>有效日期</x:v>
      </x:c>
      <x:c r="N6" s="298" t="str">
        <x:v>主管決定</x:v>
      </x:c>
      <x:c r="O6" s="298" t="str">
        <x:v>核定人</x:v>
      </x:c>
      <x:c r="P6" s="298" t="str">
        <x:v>核定日</x:v>
      </x:c>
      <x:c r="Q6" s="298" t="str">
        <x:v>紀錄狀態</x:v>
      </x:c>
      <x:c r="R6" s="298" t="str">
        <x:v>收件檢核</x:v>
      </x:c>
      <x:c r="S6" s="298" t="str">
        <x:v>安全閘門</x:v>
      </x:c>
      <x:c r="T6" s="298" t="str">
        <x:v>生效狀態</x:v>
      </x:c>
      <x:c r="U6" s="298" t="str">
        <x:v>生效需求鍵</x:v>
      </x:c>
    </x:row>
    <x:row r="7">
      <x:c r="A7" s="305"/>
      <x:c r="B7" s="305"/>
      <x:c r="C7" s="306" t="str">
        <x:f>IF($B7="","",_xlfn.XLOOKUP($B7,'班次檢核總覽'!$A$7:$A$36,'班次檢核總覽'!$B$7:$B$36,"需求未建立",0))</x:f>
      </x:c>
      <x:c r="D7" s="307" t="str">
        <x:f>IF($B7="","",_xlfn.XLOOKUP($B7,'班次檢核總覽'!$A$7:$A$36,'班次檢核總覽'!$Q$7:$Q$36,"需求未建立",0))</x:f>
      </x:c>
      <x:c r="E7" s="307" t="str">
        <x:f>IF($B7="","",_xlfn.XLOOKUP($B7,'班次檢核總覽'!$A$7:$A$36,'班次檢核總覽'!$U$7:$U$36,"需求未建立",0))</x:f>
      </x:c>
      <x:c r="F7" s="305"/>
      <x:c r="G7" s="305"/>
      <x:c r="H7" s="305"/>
      <x:c r="I7" s="305"/>
      <x:c r="J7" s="305"/>
      <x:c r="K7" s="305"/>
      <x:c r="L7" s="308"/>
      <x:c r="M7" s="308"/>
      <x:c r="N7" s="305"/>
      <x:c r="O7" s="305"/>
      <x:c r="P7" s="308"/>
      <x:c r="Q7" s="305"/>
      <x:c r="R7" s="307" t="str">
        <x:f>IF($A7="","",IF(OR($Q7="已撤銷",$Q7="已結案"),$Q7,IF(OR(LEN($B7)=0,LEN($F7)=0,LEN($G7)=0,LEN($H7)=0,LEN($I7)=0,LEN($J7)=0,LEN($K7)=0,LEN($L7)=0,LEN($M7)=0,LEN($N7)=0,LEN($O7)=0,LEN($P7)=0,LEN($Q7)=0),"待補欄位",IF($N7&lt;&gt;"已核定","待主管核定",IF($P7&lt;$L7,"核定日早於申請日",IF($M7&lt;&gt;$C7,"有效日須等於班次日期","資料完整"))))))</x:f>
      </x:c>
      <x:c r="S7" s="307" t="str">
        <x:f>IF($A7="","",IF($R7&lt;&gt;"資料完整",$R7,IF($D7="通過","無需例外",IF(OR($D7="療程待確認",$D7="缺主跟診配置",$D7="缺短時支援",$D7="支援容量不足",$D7="人員時段衝突"),"不可例外："&amp;$D7,IF($D7="正式資格未完成",IF(OR($F7="已核定資料待回寫",$F7="緊急規則已另行核定"),"可限時核定","不可例外：類型不符"),"不可例外：未定義原因")))))</x:f>
      </x:c>
      <x:c r="T7" s="307" t="str">
        <x:f>IF($A7="","",IF($Q7&lt;&gt;"生效",$Q7,IF($S7&lt;&gt;"可限時核定",$S7,IF($M7&lt;TODAY(),"已到期",IF(COUNTIFS($B$7:$B$106,$B7,$N$7:$N$106,"已核定",$Q$7:$Q$106,"生效",$S$7:$S$106,"可限時核定",$M$7:$M$106,"&gt;="&amp;TODAY())&gt;1,"同一需求重複生效","例外有效")))))</x:f>
      </x:c>
      <x:c r="U7" s="307" t="str">
        <x:f>IF($T7="例外有效",$B7,"")</x:f>
      </x:c>
    </x:row>
    <x:row r="8">
      <x:c r="A8" s="305"/>
      <x:c r="B8" s="305"/>
      <x:c r="C8" s="306" t="str">
        <x:f>IF($B8="","",_xlfn.XLOOKUP($B8,'班次檢核總覽'!$A$7:$A$36,'班次檢核總覽'!$B$7:$B$36,"需求未建立",0))</x:f>
      </x:c>
      <x:c r="D8" s="307" t="str">
        <x:f>IF($B8="","",_xlfn.XLOOKUP($B8,'班次檢核總覽'!$A$7:$A$36,'班次檢核總覽'!$Q$7:$Q$36,"需求未建立",0))</x:f>
      </x:c>
      <x:c r="E8" s="307" t="str">
        <x:f>IF($B8="","",_xlfn.XLOOKUP($B8,'班次檢核總覽'!$A$7:$A$36,'班次檢核總覽'!$U$7:$U$36,"需求未建立",0))</x:f>
      </x:c>
      <x:c r="F8" s="305"/>
      <x:c r="G8" s="305"/>
      <x:c r="H8" s="305"/>
      <x:c r="I8" s="305"/>
      <x:c r="J8" s="305"/>
      <x:c r="K8" s="305"/>
      <x:c r="L8" s="308"/>
      <x:c r="M8" s="308"/>
      <x:c r="N8" s="305"/>
      <x:c r="O8" s="305"/>
      <x:c r="P8" s="308"/>
      <x:c r="Q8" s="305"/>
      <x:c r="R8" s="307" t="str">
        <x:f>IF($A8="","",IF(OR($Q8="已撤銷",$Q8="已結案"),$Q8,IF(OR(LEN($B8)=0,LEN($F8)=0,LEN($G8)=0,LEN($H8)=0,LEN($I8)=0,LEN($J8)=0,LEN($K8)=0,LEN($L8)=0,LEN($M8)=0,LEN($N8)=0,LEN($O8)=0,LEN($P8)=0,LEN($Q8)=0),"待補欄位",IF($N8&lt;&gt;"已核定","待主管核定",IF($P8&lt;$L8,"核定日早於申請日",IF($M8&lt;&gt;$C8,"有效日須等於班次日期","資料完整"))))))</x:f>
      </x:c>
      <x:c r="S8" s="307" t="str">
        <x:f>IF($A8="","",IF($R8&lt;&gt;"資料完整",$R8,IF($D8="通過","無需例外",IF(OR($D8="療程待確認",$D8="缺主跟診配置",$D8="缺短時支援",$D8="支援容量不足",$D8="人員時段衝突"),"不可例外："&amp;$D8,IF($D8="正式資格未完成",IF(OR($F8="已核定資料待回寫",$F8="緊急規則已另行核定"),"可限時核定","不可例外：類型不符"),"不可例外：未定義原因")))))</x:f>
      </x:c>
      <x:c r="T8" s="307" t="str">
        <x:f>IF($A8="","",IF($Q8&lt;&gt;"生效",$Q8,IF($S8&lt;&gt;"可限時核定",$S8,IF($M8&lt;TODAY(),"已到期",IF(COUNTIFS($B$7:$B$106,$B8,$N$7:$N$106,"已核定",$Q$7:$Q$106,"生效",$S$7:$S$106,"可限時核定",$M$7:$M$106,"&gt;="&amp;TODAY())&gt;1,"同一需求重複生效","例外有效")))))</x:f>
      </x:c>
      <x:c r="U8" s="307" t="str">
        <x:f>IF($T8="例外有效",$B8,"")</x:f>
      </x:c>
    </x:row>
    <x:row r="9">
      <x:c r="A9" s="305"/>
      <x:c r="B9" s="305"/>
      <x:c r="C9" s="306" t="str">
        <x:f>IF($B9="","",_xlfn.XLOOKUP($B9,'班次檢核總覽'!$A$7:$A$36,'班次檢核總覽'!$B$7:$B$36,"需求未建立",0))</x:f>
      </x:c>
      <x:c r="D9" s="307" t="str">
        <x:f>IF($B9="","",_xlfn.XLOOKUP($B9,'班次檢核總覽'!$A$7:$A$36,'班次檢核總覽'!$Q$7:$Q$36,"需求未建立",0))</x:f>
      </x:c>
      <x:c r="E9" s="307" t="str">
        <x:f>IF($B9="","",_xlfn.XLOOKUP($B9,'班次檢核總覽'!$A$7:$A$36,'班次檢核總覽'!$U$7:$U$36,"需求未建立",0))</x:f>
      </x:c>
      <x:c r="F9" s="305"/>
      <x:c r="G9" s="305"/>
      <x:c r="H9" s="305"/>
      <x:c r="I9" s="305"/>
      <x:c r="J9" s="305"/>
      <x:c r="K9" s="305"/>
      <x:c r="L9" s="308"/>
      <x:c r="M9" s="308"/>
      <x:c r="N9" s="305"/>
      <x:c r="O9" s="305"/>
      <x:c r="P9" s="308"/>
      <x:c r="Q9" s="305"/>
      <x:c r="R9" s="307" t="str">
        <x:f>IF($A9="","",IF(OR($Q9="已撤銷",$Q9="已結案"),$Q9,IF(OR(LEN($B9)=0,LEN($F9)=0,LEN($G9)=0,LEN($H9)=0,LEN($I9)=0,LEN($J9)=0,LEN($K9)=0,LEN($L9)=0,LEN($M9)=0,LEN($N9)=0,LEN($O9)=0,LEN($P9)=0,LEN($Q9)=0),"待補欄位",IF($N9&lt;&gt;"已核定","待主管核定",IF($P9&lt;$L9,"核定日早於申請日",IF($M9&lt;&gt;$C9,"有效日須等於班次日期","資料完整"))))))</x:f>
      </x:c>
      <x:c r="S9" s="307" t="str">
        <x:f>IF($A9="","",IF($R9&lt;&gt;"資料完整",$R9,IF($D9="通過","無需例外",IF(OR($D9="療程待確認",$D9="缺主跟診配置",$D9="缺短時支援",$D9="支援容量不足",$D9="人員時段衝突"),"不可例外："&amp;$D9,IF($D9="正式資格未完成",IF(OR($F9="已核定資料待回寫",$F9="緊急規則已另行核定"),"可限時核定","不可例外：類型不符"),"不可例外：未定義原因")))))</x:f>
      </x:c>
      <x:c r="T9" s="307" t="str">
        <x:f>IF($A9="","",IF($Q9&lt;&gt;"生效",$Q9,IF($S9&lt;&gt;"可限時核定",$S9,IF($M9&lt;TODAY(),"已到期",IF(COUNTIFS($B$7:$B$106,$B9,$N$7:$N$106,"已核定",$Q$7:$Q$106,"生效",$S$7:$S$106,"可限時核定",$M$7:$M$106,"&gt;="&amp;TODAY())&gt;1,"同一需求重複生效","例外有效")))))</x:f>
      </x:c>
      <x:c r="U9" s="307" t="str">
        <x:f>IF($T9="例外有效",$B9,"")</x:f>
      </x:c>
    </x:row>
    <x:row r="10">
      <x:c r="A10" s="305"/>
      <x:c r="B10" s="305"/>
      <x:c r="C10" s="306" t="str">
        <x:f>IF($B10="","",_xlfn.XLOOKUP($B10,'班次檢核總覽'!$A$7:$A$36,'班次檢核總覽'!$B$7:$B$36,"需求未建立",0))</x:f>
      </x:c>
      <x:c r="D10" s="307" t="str">
        <x:f>IF($B10="","",_xlfn.XLOOKUP($B10,'班次檢核總覽'!$A$7:$A$36,'班次檢核總覽'!$Q$7:$Q$36,"需求未建立",0))</x:f>
      </x:c>
      <x:c r="E10" s="307" t="str">
        <x:f>IF($B10="","",_xlfn.XLOOKUP($B10,'班次檢核總覽'!$A$7:$A$36,'班次檢核總覽'!$U$7:$U$36,"需求未建立",0))</x:f>
      </x:c>
      <x:c r="F10" s="305"/>
      <x:c r="G10" s="305"/>
      <x:c r="H10" s="305"/>
      <x:c r="I10" s="305"/>
      <x:c r="J10" s="305"/>
      <x:c r="K10" s="305"/>
      <x:c r="L10" s="308"/>
      <x:c r="M10" s="308"/>
      <x:c r="N10" s="305"/>
      <x:c r="O10" s="305"/>
      <x:c r="P10" s="308"/>
      <x:c r="Q10" s="305"/>
      <x:c r="R10" s="307" t="str">
        <x:f>IF($A10="","",IF(OR($Q10="已撤銷",$Q10="已結案"),$Q10,IF(OR(LEN($B10)=0,LEN($F10)=0,LEN($G10)=0,LEN($H10)=0,LEN($I10)=0,LEN($J10)=0,LEN($K10)=0,LEN($L10)=0,LEN($M10)=0,LEN($N10)=0,LEN($O10)=0,LEN($P10)=0,LEN($Q10)=0),"待補欄位",IF($N10&lt;&gt;"已核定","待主管核定",IF($P10&lt;$L10,"核定日早於申請日",IF($M10&lt;&gt;$C10,"有效日須等於班次日期","資料完整"))))))</x:f>
      </x:c>
      <x:c r="S10" s="307" t="str">
        <x:f>IF($A10="","",IF($R10&lt;&gt;"資料完整",$R10,IF($D10="通過","無需例外",IF(OR($D10="療程待確認",$D10="缺主跟診配置",$D10="缺短時支援",$D10="支援容量不足",$D10="人員時段衝突"),"不可例外："&amp;$D10,IF($D10="正式資格未完成",IF(OR($F10="已核定資料待回寫",$F10="緊急規則已另行核定"),"可限時核定","不可例外：類型不符"),"不可例外：未定義原因")))))</x:f>
      </x:c>
      <x:c r="T10" s="307" t="str">
        <x:f>IF($A10="","",IF($Q10&lt;&gt;"生效",$Q10,IF($S10&lt;&gt;"可限時核定",$S10,IF($M10&lt;TODAY(),"已到期",IF(COUNTIFS($B$7:$B$106,$B10,$N$7:$N$106,"已核定",$Q$7:$Q$106,"生效",$S$7:$S$106,"可限時核定",$M$7:$M$106,"&gt;="&amp;TODAY())&gt;1,"同一需求重複生效","例外有效")))))</x:f>
      </x:c>
      <x:c r="U10" s="307" t="str">
        <x:f>IF($T10="例外有效",$B10,"")</x:f>
      </x:c>
    </x:row>
    <x:row r="11">
      <x:c r="A11" s="305"/>
      <x:c r="B11" s="305"/>
      <x:c r="C11" s="306" t="str">
        <x:f>IF($B11="","",_xlfn.XLOOKUP($B11,'班次檢核總覽'!$A$7:$A$36,'班次檢核總覽'!$B$7:$B$36,"需求未建立",0))</x:f>
      </x:c>
      <x:c r="D11" s="307" t="str">
        <x:f>IF($B11="","",_xlfn.XLOOKUP($B11,'班次檢核總覽'!$A$7:$A$36,'班次檢核總覽'!$Q$7:$Q$36,"需求未建立",0))</x:f>
      </x:c>
      <x:c r="E11" s="307" t="str">
        <x:f>IF($B11="","",_xlfn.XLOOKUP($B11,'班次檢核總覽'!$A$7:$A$36,'班次檢核總覽'!$U$7:$U$36,"需求未建立",0))</x:f>
      </x:c>
      <x:c r="F11" s="305"/>
      <x:c r="G11" s="305"/>
      <x:c r="H11" s="305"/>
      <x:c r="I11" s="305"/>
      <x:c r="J11" s="305"/>
      <x:c r="K11" s="305"/>
      <x:c r="L11" s="308"/>
      <x:c r="M11" s="308"/>
      <x:c r="N11" s="305"/>
      <x:c r="O11" s="305"/>
      <x:c r="P11" s="308"/>
      <x:c r="Q11" s="305"/>
      <x:c r="R11" s="307" t="str">
        <x:f>IF($A11="","",IF(OR($Q11="已撤銷",$Q11="已結案"),$Q11,IF(OR(LEN($B11)=0,LEN($F11)=0,LEN($G11)=0,LEN($H11)=0,LEN($I11)=0,LEN($J11)=0,LEN($K11)=0,LEN($L11)=0,LEN($M11)=0,LEN($N11)=0,LEN($O11)=0,LEN($P11)=0,LEN($Q11)=0),"待補欄位",IF($N11&lt;&gt;"已核定","待主管核定",IF($P11&lt;$L11,"核定日早於申請日",IF($M11&lt;&gt;$C11,"有效日須等於班次日期","資料完整"))))))</x:f>
      </x:c>
      <x:c r="S11" s="307" t="str">
        <x:f>IF($A11="","",IF($R11&lt;&gt;"資料完整",$R11,IF($D11="通過","無需例外",IF(OR($D11="療程待確認",$D11="缺主跟診配置",$D11="缺短時支援",$D11="支援容量不足",$D11="人員時段衝突"),"不可例外："&amp;$D11,IF($D11="正式資格未完成",IF(OR($F11="已核定資料待回寫",$F11="緊急規則已另行核定"),"可限時核定","不可例外：類型不符"),"不可例外：未定義原因")))))</x:f>
      </x:c>
      <x:c r="T11" s="307" t="str">
        <x:f>IF($A11="","",IF($Q11&lt;&gt;"生效",$Q11,IF($S11&lt;&gt;"可限時核定",$S11,IF($M11&lt;TODAY(),"已到期",IF(COUNTIFS($B$7:$B$106,$B11,$N$7:$N$106,"已核定",$Q$7:$Q$106,"生效",$S$7:$S$106,"可限時核定",$M$7:$M$106,"&gt;="&amp;TODAY())&gt;1,"同一需求重複生效","例外有效")))))</x:f>
      </x:c>
      <x:c r="U11" s="307" t="str">
        <x:f>IF($T11="例外有效",$B11,"")</x:f>
      </x:c>
    </x:row>
    <x:row r="12">
      <x:c r="A12" s="305"/>
      <x:c r="B12" s="305"/>
      <x:c r="C12" s="306" t="str">
        <x:f>IF($B12="","",_xlfn.XLOOKUP($B12,'班次檢核總覽'!$A$7:$A$36,'班次檢核總覽'!$B$7:$B$36,"需求未建立",0))</x:f>
      </x:c>
      <x:c r="D12" s="307" t="str">
        <x:f>IF($B12="","",_xlfn.XLOOKUP($B12,'班次檢核總覽'!$A$7:$A$36,'班次檢核總覽'!$Q$7:$Q$36,"需求未建立",0))</x:f>
      </x:c>
      <x:c r="E12" s="307" t="str">
        <x:f>IF($B12="","",_xlfn.XLOOKUP($B12,'班次檢核總覽'!$A$7:$A$36,'班次檢核總覽'!$U$7:$U$36,"需求未建立",0))</x:f>
      </x:c>
      <x:c r="F12" s="305"/>
      <x:c r="G12" s="305"/>
      <x:c r="H12" s="305"/>
      <x:c r="I12" s="305"/>
      <x:c r="J12" s="305"/>
      <x:c r="K12" s="305"/>
      <x:c r="L12" s="308"/>
      <x:c r="M12" s="308"/>
      <x:c r="N12" s="305"/>
      <x:c r="O12" s="305"/>
      <x:c r="P12" s="308"/>
      <x:c r="Q12" s="305"/>
      <x:c r="R12" s="307" t="str">
        <x:f>IF($A12="","",IF(OR($Q12="已撤銷",$Q12="已結案"),$Q12,IF(OR(LEN($B12)=0,LEN($F12)=0,LEN($G12)=0,LEN($H12)=0,LEN($I12)=0,LEN($J12)=0,LEN($K12)=0,LEN($L12)=0,LEN($M12)=0,LEN($N12)=0,LEN($O12)=0,LEN($P12)=0,LEN($Q12)=0),"待補欄位",IF($N12&lt;&gt;"已核定","待主管核定",IF($P12&lt;$L12,"核定日早於申請日",IF($M12&lt;&gt;$C12,"有效日須等於班次日期","資料完整"))))))</x:f>
      </x:c>
      <x:c r="S12" s="307" t="str">
        <x:f>IF($A12="","",IF($R12&lt;&gt;"資料完整",$R12,IF($D12="通過","無需例外",IF(OR($D12="療程待確認",$D12="缺主跟診配置",$D12="缺短時支援",$D12="支援容量不足",$D12="人員時段衝突"),"不可例外："&amp;$D12,IF($D12="正式資格未完成",IF(OR($F12="已核定資料待回寫",$F12="緊急規則已另行核定"),"可限時核定","不可例外：類型不符"),"不可例外：未定義原因")))))</x:f>
      </x:c>
      <x:c r="T12" s="307" t="str">
        <x:f>IF($A12="","",IF($Q12&lt;&gt;"生效",$Q12,IF($S12&lt;&gt;"可限時核定",$S12,IF($M12&lt;TODAY(),"已到期",IF(COUNTIFS($B$7:$B$106,$B12,$N$7:$N$106,"已核定",$Q$7:$Q$106,"生效",$S$7:$S$106,"可限時核定",$M$7:$M$106,"&gt;="&amp;TODAY())&gt;1,"同一需求重複生效","例外有效")))))</x:f>
      </x:c>
      <x:c r="U12" s="307" t="str">
        <x:f>IF($T12="例外有效",$B12,"")</x:f>
      </x:c>
    </x:row>
    <x:row r="13">
      <x:c r="A13" s="305"/>
      <x:c r="B13" s="305"/>
      <x:c r="C13" s="306" t="str">
        <x:f>IF($B13="","",_xlfn.XLOOKUP($B13,'班次檢核總覽'!$A$7:$A$36,'班次檢核總覽'!$B$7:$B$36,"需求未建立",0))</x:f>
      </x:c>
      <x:c r="D13" s="307" t="str">
        <x:f>IF($B13="","",_xlfn.XLOOKUP($B13,'班次檢核總覽'!$A$7:$A$36,'班次檢核總覽'!$Q$7:$Q$36,"需求未建立",0))</x:f>
      </x:c>
      <x:c r="E13" s="307" t="str">
        <x:f>IF($B13="","",_xlfn.XLOOKUP($B13,'班次檢核總覽'!$A$7:$A$36,'班次檢核總覽'!$U$7:$U$36,"需求未建立",0))</x:f>
      </x:c>
      <x:c r="F13" s="305"/>
      <x:c r="G13" s="305"/>
      <x:c r="H13" s="305"/>
      <x:c r="I13" s="305"/>
      <x:c r="J13" s="305"/>
      <x:c r="K13" s="305"/>
      <x:c r="L13" s="308"/>
      <x:c r="M13" s="308"/>
      <x:c r="N13" s="305"/>
      <x:c r="O13" s="305"/>
      <x:c r="P13" s="308"/>
      <x:c r="Q13" s="305"/>
      <x:c r="R13" s="307" t="str">
        <x:f>IF($A13="","",IF(OR($Q13="已撤銷",$Q13="已結案"),$Q13,IF(OR(LEN($B13)=0,LEN($F13)=0,LEN($G13)=0,LEN($H13)=0,LEN($I13)=0,LEN($J13)=0,LEN($K13)=0,LEN($L13)=0,LEN($M13)=0,LEN($N13)=0,LEN($O13)=0,LEN($P13)=0,LEN($Q13)=0),"待補欄位",IF($N13&lt;&gt;"已核定","待主管核定",IF($P13&lt;$L13,"核定日早於申請日",IF($M13&lt;&gt;$C13,"有效日須等於班次日期","資料完整"))))))</x:f>
      </x:c>
      <x:c r="S13" s="307" t="str">
        <x:f>IF($A13="","",IF($R13&lt;&gt;"資料完整",$R13,IF($D13="通過","無需例外",IF(OR($D13="療程待確認",$D13="缺主跟診配置",$D13="缺短時支援",$D13="支援容量不足",$D13="人員時段衝突"),"不可例外："&amp;$D13,IF($D13="正式資格未完成",IF(OR($F13="已核定資料待回寫",$F13="緊急規則已另行核定"),"可限時核定","不可例外：類型不符"),"不可例外：未定義原因")))))</x:f>
      </x:c>
      <x:c r="T13" s="307" t="str">
        <x:f>IF($A13="","",IF($Q13&lt;&gt;"生效",$Q13,IF($S13&lt;&gt;"可限時核定",$S13,IF($M13&lt;TODAY(),"已到期",IF(COUNTIFS($B$7:$B$106,$B13,$N$7:$N$106,"已核定",$Q$7:$Q$106,"生效",$S$7:$S$106,"可限時核定",$M$7:$M$106,"&gt;="&amp;TODAY())&gt;1,"同一需求重複生效","例外有效")))))</x:f>
      </x:c>
      <x:c r="U13" s="307" t="str">
        <x:f>IF($T13="例外有效",$B13,"")</x:f>
      </x:c>
    </x:row>
    <x:row r="14">
      <x:c r="A14" s="305"/>
      <x:c r="B14" s="305"/>
      <x:c r="C14" s="306" t="str">
        <x:f>IF($B14="","",_xlfn.XLOOKUP($B14,'班次檢核總覽'!$A$7:$A$36,'班次檢核總覽'!$B$7:$B$36,"需求未建立",0))</x:f>
      </x:c>
      <x:c r="D14" s="307" t="str">
        <x:f>IF($B14="","",_xlfn.XLOOKUP($B14,'班次檢核總覽'!$A$7:$A$36,'班次檢核總覽'!$Q$7:$Q$36,"需求未建立",0))</x:f>
      </x:c>
      <x:c r="E14" s="307" t="str">
        <x:f>IF($B14="","",_xlfn.XLOOKUP($B14,'班次檢核總覽'!$A$7:$A$36,'班次檢核總覽'!$U$7:$U$36,"需求未建立",0))</x:f>
      </x:c>
      <x:c r="F14" s="305"/>
      <x:c r="G14" s="305"/>
      <x:c r="H14" s="305"/>
      <x:c r="I14" s="305"/>
      <x:c r="J14" s="305"/>
      <x:c r="K14" s="305"/>
      <x:c r="L14" s="308"/>
      <x:c r="M14" s="308"/>
      <x:c r="N14" s="305"/>
      <x:c r="O14" s="305"/>
      <x:c r="P14" s="308"/>
      <x:c r="Q14" s="305"/>
      <x:c r="R14" s="307" t="str">
        <x:f>IF($A14="","",IF(OR($Q14="已撤銷",$Q14="已結案"),$Q14,IF(OR(LEN($B14)=0,LEN($F14)=0,LEN($G14)=0,LEN($H14)=0,LEN($I14)=0,LEN($J14)=0,LEN($K14)=0,LEN($L14)=0,LEN($M14)=0,LEN($N14)=0,LEN($O14)=0,LEN($P14)=0,LEN($Q14)=0),"待補欄位",IF($N14&lt;&gt;"已核定","待主管核定",IF($P14&lt;$L14,"核定日早於申請日",IF($M14&lt;&gt;$C14,"有效日須等於班次日期","資料完整"))))))</x:f>
      </x:c>
      <x:c r="S14" s="307" t="str">
        <x:f>IF($A14="","",IF($R14&lt;&gt;"資料完整",$R14,IF($D14="通過","無需例外",IF(OR($D14="療程待確認",$D14="缺主跟診配置",$D14="缺短時支援",$D14="支援容量不足",$D14="人員時段衝突"),"不可例外："&amp;$D14,IF($D14="正式資格未完成",IF(OR($F14="已核定資料待回寫",$F14="緊急規則已另行核定"),"可限時核定","不可例外：類型不符"),"不可例外：未定義原因")))))</x:f>
      </x:c>
      <x:c r="T14" s="307" t="str">
        <x:f>IF($A14="","",IF($Q14&lt;&gt;"生效",$Q14,IF($S14&lt;&gt;"可限時核定",$S14,IF($M14&lt;TODAY(),"已到期",IF(COUNTIFS($B$7:$B$106,$B14,$N$7:$N$106,"已核定",$Q$7:$Q$106,"生效",$S$7:$S$106,"可限時核定",$M$7:$M$106,"&gt;="&amp;TODAY())&gt;1,"同一需求重複生效","例外有效")))))</x:f>
      </x:c>
      <x:c r="U14" s="307" t="str">
        <x:f>IF($T14="例外有效",$B14,"")</x:f>
      </x:c>
    </x:row>
    <x:row r="15">
      <x:c r="A15" s="305"/>
      <x:c r="B15" s="305"/>
      <x:c r="C15" s="306" t="str">
        <x:f>IF($B15="","",_xlfn.XLOOKUP($B15,'班次檢核總覽'!$A$7:$A$36,'班次檢核總覽'!$B$7:$B$36,"需求未建立",0))</x:f>
      </x:c>
      <x:c r="D15" s="307" t="str">
        <x:f>IF($B15="","",_xlfn.XLOOKUP($B15,'班次檢核總覽'!$A$7:$A$36,'班次檢核總覽'!$Q$7:$Q$36,"需求未建立",0))</x:f>
      </x:c>
      <x:c r="E15" s="307" t="str">
        <x:f>IF($B15="","",_xlfn.XLOOKUP($B15,'班次檢核總覽'!$A$7:$A$36,'班次檢核總覽'!$U$7:$U$36,"需求未建立",0))</x:f>
      </x:c>
      <x:c r="F15" s="305"/>
      <x:c r="G15" s="305"/>
      <x:c r="H15" s="305"/>
      <x:c r="I15" s="305"/>
      <x:c r="J15" s="305"/>
      <x:c r="K15" s="305"/>
      <x:c r="L15" s="308"/>
      <x:c r="M15" s="308"/>
      <x:c r="N15" s="305"/>
      <x:c r="O15" s="305"/>
      <x:c r="P15" s="308"/>
      <x:c r="Q15" s="305"/>
      <x:c r="R15" s="307" t="str">
        <x:f>IF($A15="","",IF(OR($Q15="已撤銷",$Q15="已結案"),$Q15,IF(OR(LEN($B15)=0,LEN($F15)=0,LEN($G15)=0,LEN($H15)=0,LEN($I15)=0,LEN($J15)=0,LEN($K15)=0,LEN($L15)=0,LEN($M15)=0,LEN($N15)=0,LEN($O15)=0,LEN($P15)=0,LEN($Q15)=0),"待補欄位",IF($N15&lt;&gt;"已核定","待主管核定",IF($P15&lt;$L15,"核定日早於申請日",IF($M15&lt;&gt;$C15,"有效日須等於班次日期","資料完整"))))))</x:f>
      </x:c>
      <x:c r="S15" s="307" t="str">
        <x:f>IF($A15="","",IF($R15&lt;&gt;"資料完整",$R15,IF($D15="通過","無需例外",IF(OR($D15="療程待確認",$D15="缺主跟診配置",$D15="缺短時支援",$D15="支援容量不足",$D15="人員時段衝突"),"不可例外："&amp;$D15,IF($D15="正式資格未完成",IF(OR($F15="已核定資料待回寫",$F15="緊急規則已另行核定"),"可限時核定","不可例外：類型不符"),"不可例外：未定義原因")))))</x:f>
      </x:c>
      <x:c r="T15" s="307" t="str">
        <x:f>IF($A15="","",IF($Q15&lt;&gt;"生效",$Q15,IF($S15&lt;&gt;"可限時核定",$S15,IF($M15&lt;TODAY(),"已到期",IF(COUNTIFS($B$7:$B$106,$B15,$N$7:$N$106,"已核定",$Q$7:$Q$106,"生效",$S$7:$S$106,"可限時核定",$M$7:$M$106,"&gt;="&amp;TODAY())&gt;1,"同一需求重複生效","例外有效")))))</x:f>
      </x:c>
      <x:c r="U15" s="307" t="str">
        <x:f>IF($T15="例外有效",$B15,"")</x:f>
      </x:c>
    </x:row>
    <x:row r="16">
      <x:c r="A16" s="305"/>
      <x:c r="B16" s="305"/>
      <x:c r="C16" s="306" t="str">
        <x:f>IF($B16="","",_xlfn.XLOOKUP($B16,'班次檢核總覽'!$A$7:$A$36,'班次檢核總覽'!$B$7:$B$36,"需求未建立",0))</x:f>
      </x:c>
      <x:c r="D16" s="307" t="str">
        <x:f>IF($B16="","",_xlfn.XLOOKUP($B16,'班次檢核總覽'!$A$7:$A$36,'班次檢核總覽'!$Q$7:$Q$36,"需求未建立",0))</x:f>
      </x:c>
      <x:c r="E16" s="307" t="str">
        <x:f>IF($B16="","",_xlfn.XLOOKUP($B16,'班次檢核總覽'!$A$7:$A$36,'班次檢核總覽'!$U$7:$U$36,"需求未建立",0))</x:f>
      </x:c>
      <x:c r="F16" s="305"/>
      <x:c r="G16" s="305"/>
      <x:c r="H16" s="305"/>
      <x:c r="I16" s="305"/>
      <x:c r="J16" s="305"/>
      <x:c r="K16" s="305"/>
      <x:c r="L16" s="308"/>
      <x:c r="M16" s="308"/>
      <x:c r="N16" s="305"/>
      <x:c r="O16" s="305"/>
      <x:c r="P16" s="308"/>
      <x:c r="Q16" s="305"/>
      <x:c r="R16" s="307" t="str">
        <x:f>IF($A16="","",IF(OR($Q16="已撤銷",$Q16="已結案"),$Q16,IF(OR(LEN($B16)=0,LEN($F16)=0,LEN($G16)=0,LEN($H16)=0,LEN($I16)=0,LEN($J16)=0,LEN($K16)=0,LEN($L16)=0,LEN($M16)=0,LEN($N16)=0,LEN($O16)=0,LEN($P16)=0,LEN($Q16)=0),"待補欄位",IF($N16&lt;&gt;"已核定","待主管核定",IF($P16&lt;$L16,"核定日早於申請日",IF($M16&lt;&gt;$C16,"有效日須等於班次日期","資料完整"))))))</x:f>
      </x:c>
      <x:c r="S16" s="307" t="str">
        <x:f>IF($A16="","",IF($R16&lt;&gt;"資料完整",$R16,IF($D16="通過","無需例外",IF(OR($D16="療程待確認",$D16="缺主跟診配置",$D16="缺短時支援",$D16="支援容量不足",$D16="人員時段衝突"),"不可例外："&amp;$D16,IF($D16="正式資格未完成",IF(OR($F16="已核定資料待回寫",$F16="緊急規則已另行核定"),"可限時核定","不可例外：類型不符"),"不可例外：未定義原因")))))</x:f>
      </x:c>
      <x:c r="T16" s="307" t="str">
        <x:f>IF($A16="","",IF($Q16&lt;&gt;"生效",$Q16,IF($S16&lt;&gt;"可限時核定",$S16,IF($M16&lt;TODAY(),"已到期",IF(COUNTIFS($B$7:$B$106,$B16,$N$7:$N$106,"已核定",$Q$7:$Q$106,"生效",$S$7:$S$106,"可限時核定",$M$7:$M$106,"&gt;="&amp;TODAY())&gt;1,"同一需求重複生效","例外有效")))))</x:f>
      </x:c>
      <x:c r="U16" s="307" t="str">
        <x:f>IF($T16="例外有效",$B16,"")</x:f>
      </x:c>
    </x:row>
    <x:row r="17">
      <x:c r="A17" s="305"/>
      <x:c r="B17" s="305"/>
      <x:c r="C17" s="306" t="str">
        <x:f>IF($B17="","",_xlfn.XLOOKUP($B17,'班次檢核總覽'!$A$7:$A$36,'班次檢核總覽'!$B$7:$B$36,"需求未建立",0))</x:f>
      </x:c>
      <x:c r="D17" s="307" t="str">
        <x:f>IF($B17="","",_xlfn.XLOOKUP($B17,'班次檢核總覽'!$A$7:$A$36,'班次檢核總覽'!$Q$7:$Q$36,"需求未建立",0))</x:f>
      </x:c>
      <x:c r="E17" s="307" t="str">
        <x:f>IF($B17="","",_xlfn.XLOOKUP($B17,'班次檢核總覽'!$A$7:$A$36,'班次檢核總覽'!$U$7:$U$36,"需求未建立",0))</x:f>
      </x:c>
      <x:c r="F17" s="305"/>
      <x:c r="G17" s="305"/>
      <x:c r="H17" s="305"/>
      <x:c r="I17" s="305"/>
      <x:c r="J17" s="305"/>
      <x:c r="K17" s="305"/>
      <x:c r="L17" s="308"/>
      <x:c r="M17" s="308"/>
      <x:c r="N17" s="305"/>
      <x:c r="O17" s="305"/>
      <x:c r="P17" s="308"/>
      <x:c r="Q17" s="305"/>
      <x:c r="R17" s="307" t="str">
        <x:f>IF($A17="","",IF(OR($Q17="已撤銷",$Q17="已結案"),$Q17,IF(OR(LEN($B17)=0,LEN($F17)=0,LEN($G17)=0,LEN($H17)=0,LEN($I17)=0,LEN($J17)=0,LEN($K17)=0,LEN($L17)=0,LEN($M17)=0,LEN($N17)=0,LEN($O17)=0,LEN($P17)=0,LEN($Q17)=0),"待補欄位",IF($N17&lt;&gt;"已核定","待主管核定",IF($P17&lt;$L17,"核定日早於申請日",IF($M17&lt;&gt;$C17,"有效日須等於班次日期","資料完整"))))))</x:f>
      </x:c>
      <x:c r="S17" s="307" t="str">
        <x:f>IF($A17="","",IF($R17&lt;&gt;"資料完整",$R17,IF($D17="通過","無需例外",IF(OR($D17="療程待確認",$D17="缺主跟診配置",$D17="缺短時支援",$D17="支援容量不足",$D17="人員時段衝突"),"不可例外："&amp;$D17,IF($D17="正式資格未完成",IF(OR($F17="已核定資料待回寫",$F17="緊急規則已另行核定"),"可限時核定","不可例外：類型不符"),"不可例外：未定義原因")))))</x:f>
      </x:c>
      <x:c r="T17" s="307" t="str">
        <x:f>IF($A17="","",IF($Q17&lt;&gt;"生效",$Q17,IF($S17&lt;&gt;"可限時核定",$S17,IF($M17&lt;TODAY(),"已到期",IF(COUNTIFS($B$7:$B$106,$B17,$N$7:$N$106,"已核定",$Q$7:$Q$106,"生效",$S$7:$S$106,"可限時核定",$M$7:$M$106,"&gt;="&amp;TODAY())&gt;1,"同一需求重複生效","例外有效")))))</x:f>
      </x:c>
      <x:c r="U17" s="307" t="str">
        <x:f>IF($T17="例外有效",$B17,"")</x:f>
      </x:c>
    </x:row>
    <x:row r="18">
      <x:c r="A18" s="305"/>
      <x:c r="B18" s="305"/>
      <x:c r="C18" s="306" t="str">
        <x:f>IF($B18="","",_xlfn.XLOOKUP($B18,'班次檢核總覽'!$A$7:$A$36,'班次檢核總覽'!$B$7:$B$36,"需求未建立",0))</x:f>
      </x:c>
      <x:c r="D18" s="307" t="str">
        <x:f>IF($B18="","",_xlfn.XLOOKUP($B18,'班次檢核總覽'!$A$7:$A$36,'班次檢核總覽'!$Q$7:$Q$36,"需求未建立",0))</x:f>
      </x:c>
      <x:c r="E18" s="307" t="str">
        <x:f>IF($B18="","",_xlfn.XLOOKUP($B18,'班次檢核總覽'!$A$7:$A$36,'班次檢核總覽'!$U$7:$U$36,"需求未建立",0))</x:f>
      </x:c>
      <x:c r="F18" s="305"/>
      <x:c r="G18" s="305"/>
      <x:c r="H18" s="305"/>
      <x:c r="I18" s="305"/>
      <x:c r="J18" s="305"/>
      <x:c r="K18" s="305"/>
      <x:c r="L18" s="308"/>
      <x:c r="M18" s="308"/>
      <x:c r="N18" s="305"/>
      <x:c r="O18" s="305"/>
      <x:c r="P18" s="308"/>
      <x:c r="Q18" s="305"/>
      <x:c r="R18" s="307" t="str">
        <x:f>IF($A18="","",IF(OR($Q18="已撤銷",$Q18="已結案"),$Q18,IF(OR(LEN($B18)=0,LEN($F18)=0,LEN($G18)=0,LEN($H18)=0,LEN($I18)=0,LEN($J18)=0,LEN($K18)=0,LEN($L18)=0,LEN($M18)=0,LEN($N18)=0,LEN($O18)=0,LEN($P18)=0,LEN($Q18)=0),"待補欄位",IF($N18&lt;&gt;"已核定","待主管核定",IF($P18&lt;$L18,"核定日早於申請日",IF($M18&lt;&gt;$C18,"有效日須等於班次日期","資料完整"))))))</x:f>
      </x:c>
      <x:c r="S18" s="307" t="str">
        <x:f>IF($A18="","",IF($R18&lt;&gt;"資料完整",$R18,IF($D18="通過","無需例外",IF(OR($D18="療程待確認",$D18="缺主跟診配置",$D18="缺短時支援",$D18="支援容量不足",$D18="人員時段衝突"),"不可例外："&amp;$D18,IF($D18="正式資格未完成",IF(OR($F18="已核定資料待回寫",$F18="緊急規則已另行核定"),"可限時核定","不可例外：類型不符"),"不可例外：未定義原因")))))</x:f>
      </x:c>
      <x:c r="T18" s="307" t="str">
        <x:f>IF($A18="","",IF($Q18&lt;&gt;"生效",$Q18,IF($S18&lt;&gt;"可限時核定",$S18,IF($M18&lt;TODAY(),"已到期",IF(COUNTIFS($B$7:$B$106,$B18,$N$7:$N$106,"已核定",$Q$7:$Q$106,"生效",$S$7:$S$106,"可限時核定",$M$7:$M$106,"&gt;="&amp;TODAY())&gt;1,"同一需求重複生效","例外有效")))))</x:f>
      </x:c>
      <x:c r="U18" s="307" t="str">
        <x:f>IF($T18="例外有效",$B18,"")</x:f>
      </x:c>
    </x:row>
    <x:row r="19">
      <x:c r="A19" s="305"/>
      <x:c r="B19" s="305"/>
      <x:c r="C19" s="306" t="str">
        <x:f>IF($B19="","",_xlfn.XLOOKUP($B19,'班次檢核總覽'!$A$7:$A$36,'班次檢核總覽'!$B$7:$B$36,"需求未建立",0))</x:f>
      </x:c>
      <x:c r="D19" s="307" t="str">
        <x:f>IF($B19="","",_xlfn.XLOOKUP($B19,'班次檢核總覽'!$A$7:$A$36,'班次檢核總覽'!$Q$7:$Q$36,"需求未建立",0))</x:f>
      </x:c>
      <x:c r="E19" s="307" t="str">
        <x:f>IF($B19="","",_xlfn.XLOOKUP($B19,'班次檢核總覽'!$A$7:$A$36,'班次檢核總覽'!$U$7:$U$36,"需求未建立",0))</x:f>
      </x:c>
      <x:c r="F19" s="305"/>
      <x:c r="G19" s="305"/>
      <x:c r="H19" s="305"/>
      <x:c r="I19" s="305"/>
      <x:c r="J19" s="305"/>
      <x:c r="K19" s="305"/>
      <x:c r="L19" s="308"/>
      <x:c r="M19" s="308"/>
      <x:c r="N19" s="305"/>
      <x:c r="O19" s="305"/>
      <x:c r="P19" s="308"/>
      <x:c r="Q19" s="305"/>
      <x:c r="R19" s="307" t="str">
        <x:f>IF($A19="","",IF(OR($Q19="已撤銷",$Q19="已結案"),$Q19,IF(OR(LEN($B19)=0,LEN($F19)=0,LEN($G19)=0,LEN($H19)=0,LEN($I19)=0,LEN($J19)=0,LEN($K19)=0,LEN($L19)=0,LEN($M19)=0,LEN($N19)=0,LEN($O19)=0,LEN($P19)=0,LEN($Q19)=0),"待補欄位",IF($N19&lt;&gt;"已核定","待主管核定",IF($P19&lt;$L19,"核定日早於申請日",IF($M19&lt;&gt;$C19,"有效日須等於班次日期","資料完整"))))))</x:f>
      </x:c>
      <x:c r="S19" s="307" t="str">
        <x:f>IF($A19="","",IF($R19&lt;&gt;"資料完整",$R19,IF($D19="通過","無需例外",IF(OR($D19="療程待確認",$D19="缺主跟診配置",$D19="缺短時支援",$D19="支援容量不足",$D19="人員時段衝突"),"不可例外："&amp;$D19,IF($D19="正式資格未完成",IF(OR($F19="已核定資料待回寫",$F19="緊急規則已另行核定"),"可限時核定","不可例外：類型不符"),"不可例外：未定義原因")))))</x:f>
      </x:c>
      <x:c r="T19" s="307" t="str">
        <x:f>IF($A19="","",IF($Q19&lt;&gt;"生效",$Q19,IF($S19&lt;&gt;"可限時核定",$S19,IF($M19&lt;TODAY(),"已到期",IF(COUNTIFS($B$7:$B$106,$B19,$N$7:$N$106,"已核定",$Q$7:$Q$106,"生效",$S$7:$S$106,"可限時核定",$M$7:$M$106,"&gt;="&amp;TODAY())&gt;1,"同一需求重複生效","例外有效")))))</x:f>
      </x:c>
      <x:c r="U19" s="307" t="str">
        <x:f>IF($T19="例外有效",$B19,"")</x:f>
      </x:c>
    </x:row>
    <x:row r="20">
      <x:c r="A20" s="305"/>
      <x:c r="B20" s="305"/>
      <x:c r="C20" s="306" t="str">
        <x:f>IF($B20="","",_xlfn.XLOOKUP($B20,'班次檢核總覽'!$A$7:$A$36,'班次檢核總覽'!$B$7:$B$36,"需求未建立",0))</x:f>
      </x:c>
      <x:c r="D20" s="307" t="str">
        <x:f>IF($B20="","",_xlfn.XLOOKUP($B20,'班次檢核總覽'!$A$7:$A$36,'班次檢核總覽'!$Q$7:$Q$36,"需求未建立",0))</x:f>
      </x:c>
      <x:c r="E20" s="307" t="str">
        <x:f>IF($B20="","",_xlfn.XLOOKUP($B20,'班次檢核總覽'!$A$7:$A$36,'班次檢核總覽'!$U$7:$U$36,"需求未建立",0))</x:f>
      </x:c>
      <x:c r="F20" s="305"/>
      <x:c r="G20" s="305"/>
      <x:c r="H20" s="305"/>
      <x:c r="I20" s="305"/>
      <x:c r="J20" s="305"/>
      <x:c r="K20" s="305"/>
      <x:c r="L20" s="308"/>
      <x:c r="M20" s="308"/>
      <x:c r="N20" s="305"/>
      <x:c r="O20" s="305"/>
      <x:c r="P20" s="308"/>
      <x:c r="Q20" s="305"/>
      <x:c r="R20" s="307" t="str">
        <x:f>IF($A20="","",IF(OR($Q20="已撤銷",$Q20="已結案"),$Q20,IF(OR(LEN($B20)=0,LEN($F20)=0,LEN($G20)=0,LEN($H20)=0,LEN($I20)=0,LEN($J20)=0,LEN($K20)=0,LEN($L20)=0,LEN($M20)=0,LEN($N20)=0,LEN($O20)=0,LEN($P20)=0,LEN($Q20)=0),"待補欄位",IF($N20&lt;&gt;"已核定","待主管核定",IF($P20&lt;$L20,"核定日早於申請日",IF($M20&lt;&gt;$C20,"有效日須等於班次日期","資料完整"))))))</x:f>
      </x:c>
      <x:c r="S20" s="307" t="str">
        <x:f>IF($A20="","",IF($R20&lt;&gt;"資料完整",$R20,IF($D20="通過","無需例外",IF(OR($D20="療程待確認",$D20="缺主跟診配置",$D20="缺短時支援",$D20="支援容量不足",$D20="人員時段衝突"),"不可例外："&amp;$D20,IF($D20="正式資格未完成",IF(OR($F20="已核定資料待回寫",$F20="緊急規則已另行核定"),"可限時核定","不可例外：類型不符"),"不可例外：未定義原因")))))</x:f>
      </x:c>
      <x:c r="T20" s="307" t="str">
        <x:f>IF($A20="","",IF($Q20&lt;&gt;"生效",$Q20,IF($S20&lt;&gt;"可限時核定",$S20,IF($M20&lt;TODAY(),"已到期",IF(COUNTIFS($B$7:$B$106,$B20,$N$7:$N$106,"已核定",$Q$7:$Q$106,"生效",$S$7:$S$106,"可限時核定",$M$7:$M$106,"&gt;="&amp;TODAY())&gt;1,"同一需求重複生效","例外有效")))))</x:f>
      </x:c>
      <x:c r="U20" s="307" t="str">
        <x:f>IF($T20="例外有效",$B20,"")</x:f>
      </x:c>
    </x:row>
    <x:row r="21">
      <x:c r="A21" s="305"/>
      <x:c r="B21" s="305"/>
      <x:c r="C21" s="306" t="str">
        <x:f>IF($B21="","",_xlfn.XLOOKUP($B21,'班次檢核總覽'!$A$7:$A$36,'班次檢核總覽'!$B$7:$B$36,"需求未建立",0))</x:f>
      </x:c>
      <x:c r="D21" s="307" t="str">
        <x:f>IF($B21="","",_xlfn.XLOOKUP($B21,'班次檢核總覽'!$A$7:$A$36,'班次檢核總覽'!$Q$7:$Q$36,"需求未建立",0))</x:f>
      </x:c>
      <x:c r="E21" s="307" t="str">
        <x:f>IF($B21="","",_xlfn.XLOOKUP($B21,'班次檢核總覽'!$A$7:$A$36,'班次檢核總覽'!$U$7:$U$36,"需求未建立",0))</x:f>
      </x:c>
      <x:c r="F21" s="305"/>
      <x:c r="G21" s="305"/>
      <x:c r="H21" s="305"/>
      <x:c r="I21" s="305"/>
      <x:c r="J21" s="305"/>
      <x:c r="K21" s="305"/>
      <x:c r="L21" s="308"/>
      <x:c r="M21" s="308"/>
      <x:c r="N21" s="305"/>
      <x:c r="O21" s="305"/>
      <x:c r="P21" s="308"/>
      <x:c r="Q21" s="305"/>
      <x:c r="R21" s="307" t="str">
        <x:f>IF($A21="","",IF(OR($Q21="已撤銷",$Q21="已結案"),$Q21,IF(OR(LEN($B21)=0,LEN($F21)=0,LEN($G21)=0,LEN($H21)=0,LEN($I21)=0,LEN($J21)=0,LEN($K21)=0,LEN($L21)=0,LEN($M21)=0,LEN($N21)=0,LEN($O21)=0,LEN($P21)=0,LEN($Q21)=0),"待補欄位",IF($N21&lt;&gt;"已核定","待主管核定",IF($P21&lt;$L21,"核定日早於申請日",IF($M21&lt;&gt;$C21,"有效日須等於班次日期","資料完整"))))))</x:f>
      </x:c>
      <x:c r="S21" s="307" t="str">
        <x:f>IF($A21="","",IF($R21&lt;&gt;"資料完整",$R21,IF($D21="通過","無需例外",IF(OR($D21="療程待確認",$D21="缺主跟診配置",$D21="缺短時支援",$D21="支援容量不足",$D21="人員時段衝突"),"不可例外："&amp;$D21,IF($D21="正式資格未完成",IF(OR($F21="已核定資料待回寫",$F21="緊急規則已另行核定"),"可限時核定","不可例外：類型不符"),"不可例外：未定義原因")))))</x:f>
      </x:c>
      <x:c r="T21" s="307" t="str">
        <x:f>IF($A21="","",IF($Q21&lt;&gt;"生效",$Q21,IF($S21&lt;&gt;"可限時核定",$S21,IF($M21&lt;TODAY(),"已到期",IF(COUNTIFS($B$7:$B$106,$B21,$N$7:$N$106,"已核定",$Q$7:$Q$106,"生效",$S$7:$S$106,"可限時核定",$M$7:$M$106,"&gt;="&amp;TODAY())&gt;1,"同一需求重複生效","例外有效")))))</x:f>
      </x:c>
      <x:c r="U21" s="307" t="str">
        <x:f>IF($T21="例外有效",$B21,"")</x:f>
      </x:c>
    </x:row>
    <x:row r="22">
      <x:c r="A22" s="305"/>
      <x:c r="B22" s="305"/>
      <x:c r="C22" s="306" t="str">
        <x:f>IF($B22="","",_xlfn.XLOOKUP($B22,'班次檢核總覽'!$A$7:$A$36,'班次檢核總覽'!$B$7:$B$36,"需求未建立",0))</x:f>
      </x:c>
      <x:c r="D22" s="307" t="str">
        <x:f>IF($B22="","",_xlfn.XLOOKUP($B22,'班次檢核總覽'!$A$7:$A$36,'班次檢核總覽'!$Q$7:$Q$36,"需求未建立",0))</x:f>
      </x:c>
      <x:c r="E22" s="307" t="str">
        <x:f>IF($B22="","",_xlfn.XLOOKUP($B22,'班次檢核總覽'!$A$7:$A$36,'班次檢核總覽'!$U$7:$U$36,"需求未建立",0))</x:f>
      </x:c>
      <x:c r="F22" s="305"/>
      <x:c r="G22" s="305"/>
      <x:c r="H22" s="305"/>
      <x:c r="I22" s="305"/>
      <x:c r="J22" s="305"/>
      <x:c r="K22" s="305"/>
      <x:c r="L22" s="308"/>
      <x:c r="M22" s="308"/>
      <x:c r="N22" s="305"/>
      <x:c r="O22" s="305"/>
      <x:c r="P22" s="308"/>
      <x:c r="Q22" s="305"/>
      <x:c r="R22" s="307" t="str">
        <x:f>IF($A22="","",IF(OR($Q22="已撤銷",$Q22="已結案"),$Q22,IF(OR(LEN($B22)=0,LEN($F22)=0,LEN($G22)=0,LEN($H22)=0,LEN($I22)=0,LEN($J22)=0,LEN($K22)=0,LEN($L22)=0,LEN($M22)=0,LEN($N22)=0,LEN($O22)=0,LEN($P22)=0,LEN($Q22)=0),"待補欄位",IF($N22&lt;&gt;"已核定","待主管核定",IF($P22&lt;$L22,"核定日早於申請日",IF($M22&lt;&gt;$C22,"有效日須等於班次日期","資料完整"))))))</x:f>
      </x:c>
      <x:c r="S22" s="307" t="str">
        <x:f>IF($A22="","",IF($R22&lt;&gt;"資料完整",$R22,IF($D22="通過","無需例外",IF(OR($D22="療程待確認",$D22="缺主跟診配置",$D22="缺短時支援",$D22="支援容量不足",$D22="人員時段衝突"),"不可例外："&amp;$D22,IF($D22="正式資格未完成",IF(OR($F22="已核定資料待回寫",$F22="緊急規則已另行核定"),"可限時核定","不可例外：類型不符"),"不可例外：未定義原因")))))</x:f>
      </x:c>
      <x:c r="T22" s="307" t="str">
        <x:f>IF($A22="","",IF($Q22&lt;&gt;"生效",$Q22,IF($S22&lt;&gt;"可限時核定",$S22,IF($M22&lt;TODAY(),"已到期",IF(COUNTIFS($B$7:$B$106,$B22,$N$7:$N$106,"已核定",$Q$7:$Q$106,"生效",$S$7:$S$106,"可限時核定",$M$7:$M$106,"&gt;="&amp;TODAY())&gt;1,"同一需求重複生效","例外有效")))))</x:f>
      </x:c>
      <x:c r="U22" s="307" t="str">
        <x:f>IF($T22="例外有效",$B22,"")</x:f>
      </x:c>
    </x:row>
    <x:row r="23">
      <x:c r="A23" s="305"/>
      <x:c r="B23" s="305"/>
      <x:c r="C23" s="306" t="str">
        <x:f>IF($B23="","",_xlfn.XLOOKUP($B23,'班次檢核總覽'!$A$7:$A$36,'班次檢核總覽'!$B$7:$B$36,"需求未建立",0))</x:f>
      </x:c>
      <x:c r="D23" s="307" t="str">
        <x:f>IF($B23="","",_xlfn.XLOOKUP($B23,'班次檢核總覽'!$A$7:$A$36,'班次檢核總覽'!$Q$7:$Q$36,"需求未建立",0))</x:f>
      </x:c>
      <x:c r="E23" s="307" t="str">
        <x:f>IF($B23="","",_xlfn.XLOOKUP($B23,'班次檢核總覽'!$A$7:$A$36,'班次檢核總覽'!$U$7:$U$36,"需求未建立",0))</x:f>
      </x:c>
      <x:c r="F23" s="305"/>
      <x:c r="G23" s="305"/>
      <x:c r="H23" s="305"/>
      <x:c r="I23" s="305"/>
      <x:c r="J23" s="305"/>
      <x:c r="K23" s="305"/>
      <x:c r="L23" s="308"/>
      <x:c r="M23" s="308"/>
      <x:c r="N23" s="305"/>
      <x:c r="O23" s="305"/>
      <x:c r="P23" s="308"/>
      <x:c r="Q23" s="305"/>
      <x:c r="R23" s="307" t="str">
        <x:f>IF($A23="","",IF(OR($Q23="已撤銷",$Q23="已結案"),$Q23,IF(OR(LEN($B23)=0,LEN($F23)=0,LEN($G23)=0,LEN($H23)=0,LEN($I23)=0,LEN($J23)=0,LEN($K23)=0,LEN($L23)=0,LEN($M23)=0,LEN($N23)=0,LEN($O23)=0,LEN($P23)=0,LEN($Q23)=0),"待補欄位",IF($N23&lt;&gt;"已核定","待主管核定",IF($P23&lt;$L23,"核定日早於申請日",IF($M23&lt;&gt;$C23,"有效日須等於班次日期","資料完整"))))))</x:f>
      </x:c>
      <x:c r="S23" s="307" t="str">
        <x:f>IF($A23="","",IF($R23&lt;&gt;"資料完整",$R23,IF($D23="通過","無需例外",IF(OR($D23="療程待確認",$D23="缺主跟診配置",$D23="缺短時支援",$D23="支援容量不足",$D23="人員時段衝突"),"不可例外："&amp;$D23,IF($D23="正式資格未完成",IF(OR($F23="已核定資料待回寫",$F23="緊急規則已另行核定"),"可限時核定","不可例外：類型不符"),"不可例外：未定義原因")))))</x:f>
      </x:c>
      <x:c r="T23" s="307" t="str">
        <x:f>IF($A23="","",IF($Q23&lt;&gt;"生效",$Q23,IF($S23&lt;&gt;"可限時核定",$S23,IF($M23&lt;TODAY(),"已到期",IF(COUNTIFS($B$7:$B$106,$B23,$N$7:$N$106,"已核定",$Q$7:$Q$106,"生效",$S$7:$S$106,"可限時核定",$M$7:$M$106,"&gt;="&amp;TODAY())&gt;1,"同一需求重複生效","例外有效")))))</x:f>
      </x:c>
      <x:c r="U23" s="307" t="str">
        <x:f>IF($T23="例外有效",$B23,"")</x:f>
      </x:c>
    </x:row>
    <x:row r="24">
      <x:c r="A24" s="305"/>
      <x:c r="B24" s="305"/>
      <x:c r="C24" s="306" t="str">
        <x:f>IF($B24="","",_xlfn.XLOOKUP($B24,'班次檢核總覽'!$A$7:$A$36,'班次檢核總覽'!$B$7:$B$36,"需求未建立",0))</x:f>
      </x:c>
      <x:c r="D24" s="307" t="str">
        <x:f>IF($B24="","",_xlfn.XLOOKUP($B24,'班次檢核總覽'!$A$7:$A$36,'班次檢核總覽'!$Q$7:$Q$36,"需求未建立",0))</x:f>
      </x:c>
      <x:c r="E24" s="307" t="str">
        <x:f>IF($B24="","",_xlfn.XLOOKUP($B24,'班次檢核總覽'!$A$7:$A$36,'班次檢核總覽'!$U$7:$U$36,"需求未建立",0))</x:f>
      </x:c>
      <x:c r="F24" s="305"/>
      <x:c r="G24" s="305"/>
      <x:c r="H24" s="305"/>
      <x:c r="I24" s="305"/>
      <x:c r="J24" s="305"/>
      <x:c r="K24" s="305"/>
      <x:c r="L24" s="308"/>
      <x:c r="M24" s="308"/>
      <x:c r="N24" s="305"/>
      <x:c r="O24" s="305"/>
      <x:c r="P24" s="308"/>
      <x:c r="Q24" s="305"/>
      <x:c r="R24" s="307" t="str">
        <x:f>IF($A24="","",IF(OR($Q24="已撤銷",$Q24="已結案"),$Q24,IF(OR(LEN($B24)=0,LEN($F24)=0,LEN($G24)=0,LEN($H24)=0,LEN($I24)=0,LEN($J24)=0,LEN($K24)=0,LEN($L24)=0,LEN($M24)=0,LEN($N24)=0,LEN($O24)=0,LEN($P24)=0,LEN($Q24)=0),"待補欄位",IF($N24&lt;&gt;"已核定","待主管核定",IF($P24&lt;$L24,"核定日早於申請日",IF($M24&lt;&gt;$C24,"有效日須等於班次日期","資料完整"))))))</x:f>
      </x:c>
      <x:c r="S24" s="307" t="str">
        <x:f>IF($A24="","",IF($R24&lt;&gt;"資料完整",$R24,IF($D24="通過","無需例外",IF(OR($D24="療程待確認",$D24="缺主跟診配置",$D24="缺短時支援",$D24="支援容量不足",$D24="人員時段衝突"),"不可例外："&amp;$D24,IF($D24="正式資格未完成",IF(OR($F24="已核定資料待回寫",$F24="緊急規則已另行核定"),"可限時核定","不可例外：類型不符"),"不可例外：未定義原因")))))</x:f>
      </x:c>
      <x:c r="T24" s="307" t="str">
        <x:f>IF($A24="","",IF($Q24&lt;&gt;"生效",$Q24,IF($S24&lt;&gt;"可限時核定",$S24,IF($M24&lt;TODAY(),"已到期",IF(COUNTIFS($B$7:$B$106,$B24,$N$7:$N$106,"已核定",$Q$7:$Q$106,"生效",$S$7:$S$106,"可限時核定",$M$7:$M$106,"&gt;="&amp;TODAY())&gt;1,"同一需求重複生效","例外有效")))))</x:f>
      </x:c>
      <x:c r="U24" s="307" t="str">
        <x:f>IF($T24="例外有效",$B24,"")</x:f>
      </x:c>
    </x:row>
    <x:row r="25">
      <x:c r="A25" s="305"/>
      <x:c r="B25" s="305"/>
      <x:c r="C25" s="306" t="str">
        <x:f>IF($B25="","",_xlfn.XLOOKUP($B25,'班次檢核總覽'!$A$7:$A$36,'班次檢核總覽'!$B$7:$B$36,"需求未建立",0))</x:f>
      </x:c>
      <x:c r="D25" s="307" t="str">
        <x:f>IF($B25="","",_xlfn.XLOOKUP($B25,'班次檢核總覽'!$A$7:$A$36,'班次檢核總覽'!$Q$7:$Q$36,"需求未建立",0))</x:f>
      </x:c>
      <x:c r="E25" s="307" t="str">
        <x:f>IF($B25="","",_xlfn.XLOOKUP($B25,'班次檢核總覽'!$A$7:$A$36,'班次檢核總覽'!$U$7:$U$36,"需求未建立",0))</x:f>
      </x:c>
      <x:c r="F25" s="305"/>
      <x:c r="G25" s="305"/>
      <x:c r="H25" s="305"/>
      <x:c r="I25" s="305"/>
      <x:c r="J25" s="305"/>
      <x:c r="K25" s="305"/>
      <x:c r="L25" s="308"/>
      <x:c r="M25" s="308"/>
      <x:c r="N25" s="305"/>
      <x:c r="O25" s="305"/>
      <x:c r="P25" s="308"/>
      <x:c r="Q25" s="305"/>
      <x:c r="R25" s="307" t="str">
        <x:f>IF($A25="","",IF(OR($Q25="已撤銷",$Q25="已結案"),$Q25,IF(OR(LEN($B25)=0,LEN($F25)=0,LEN($G25)=0,LEN($H25)=0,LEN($I25)=0,LEN($J25)=0,LEN($K25)=0,LEN($L25)=0,LEN($M25)=0,LEN($N25)=0,LEN($O25)=0,LEN($P25)=0,LEN($Q25)=0),"待補欄位",IF($N25&lt;&gt;"已核定","待主管核定",IF($P25&lt;$L25,"核定日早於申請日",IF($M25&lt;&gt;$C25,"有效日須等於班次日期","資料完整"))))))</x:f>
      </x:c>
      <x:c r="S25" s="307" t="str">
        <x:f>IF($A25="","",IF($R25&lt;&gt;"資料完整",$R25,IF($D25="通過","無需例外",IF(OR($D25="療程待確認",$D25="缺主跟診配置",$D25="缺短時支援",$D25="支援容量不足",$D25="人員時段衝突"),"不可例外："&amp;$D25,IF($D25="正式資格未完成",IF(OR($F25="已核定資料待回寫",$F25="緊急規則已另行核定"),"可限時核定","不可例外：類型不符"),"不可例外：未定義原因")))))</x:f>
      </x:c>
      <x:c r="T25" s="307" t="str">
        <x:f>IF($A25="","",IF($Q25&lt;&gt;"生效",$Q25,IF($S25&lt;&gt;"可限時核定",$S25,IF($M25&lt;TODAY(),"已到期",IF(COUNTIFS($B$7:$B$106,$B25,$N$7:$N$106,"已核定",$Q$7:$Q$106,"生效",$S$7:$S$106,"可限時核定",$M$7:$M$106,"&gt;="&amp;TODAY())&gt;1,"同一需求重複生效","例外有效")))))</x:f>
      </x:c>
      <x:c r="U25" s="307" t="str">
        <x:f>IF($T25="例外有效",$B25,"")</x:f>
      </x:c>
    </x:row>
    <x:row r="26">
      <x:c r="A26" s="305"/>
      <x:c r="B26" s="305"/>
      <x:c r="C26" s="306" t="str">
        <x:f>IF($B26="","",_xlfn.XLOOKUP($B26,'班次檢核總覽'!$A$7:$A$36,'班次檢核總覽'!$B$7:$B$36,"需求未建立",0))</x:f>
      </x:c>
      <x:c r="D26" s="307" t="str">
        <x:f>IF($B26="","",_xlfn.XLOOKUP($B26,'班次檢核總覽'!$A$7:$A$36,'班次檢核總覽'!$Q$7:$Q$36,"需求未建立",0))</x:f>
      </x:c>
      <x:c r="E26" s="307" t="str">
        <x:f>IF($B26="","",_xlfn.XLOOKUP($B26,'班次檢核總覽'!$A$7:$A$36,'班次檢核總覽'!$U$7:$U$36,"需求未建立",0))</x:f>
      </x:c>
      <x:c r="F26" s="305"/>
      <x:c r="G26" s="305"/>
      <x:c r="H26" s="305"/>
      <x:c r="I26" s="305"/>
      <x:c r="J26" s="305"/>
      <x:c r="K26" s="305"/>
      <x:c r="L26" s="308"/>
      <x:c r="M26" s="308"/>
      <x:c r="N26" s="305"/>
      <x:c r="O26" s="305"/>
      <x:c r="P26" s="308"/>
      <x:c r="Q26" s="305"/>
      <x:c r="R26" s="307" t="str">
        <x:f>IF($A26="","",IF(OR($Q26="已撤銷",$Q26="已結案"),$Q26,IF(OR(LEN($B26)=0,LEN($F26)=0,LEN($G26)=0,LEN($H26)=0,LEN($I26)=0,LEN($J26)=0,LEN($K26)=0,LEN($L26)=0,LEN($M26)=0,LEN($N26)=0,LEN($O26)=0,LEN($P26)=0,LEN($Q26)=0),"待補欄位",IF($N26&lt;&gt;"已核定","待主管核定",IF($P26&lt;$L26,"核定日早於申請日",IF($M26&lt;&gt;$C26,"有效日須等於班次日期","資料完整"))))))</x:f>
      </x:c>
      <x:c r="S26" s="307" t="str">
        <x:f>IF($A26="","",IF($R26&lt;&gt;"資料完整",$R26,IF($D26="通過","無需例外",IF(OR($D26="療程待確認",$D26="缺主跟診配置",$D26="缺短時支援",$D26="支援容量不足",$D26="人員時段衝突"),"不可例外："&amp;$D26,IF($D26="正式資格未完成",IF(OR($F26="已核定資料待回寫",$F26="緊急規則已另行核定"),"可限時核定","不可例外：類型不符"),"不可例外：未定義原因")))))</x:f>
      </x:c>
      <x:c r="T26" s="307" t="str">
        <x:f>IF($A26="","",IF($Q26&lt;&gt;"生效",$Q26,IF($S26&lt;&gt;"可限時核定",$S26,IF($M26&lt;TODAY(),"已到期",IF(COUNTIFS($B$7:$B$106,$B26,$N$7:$N$106,"已核定",$Q$7:$Q$106,"生效",$S$7:$S$106,"可限時核定",$M$7:$M$106,"&gt;="&amp;TODAY())&gt;1,"同一需求重複生效","例外有效")))))</x:f>
      </x:c>
      <x:c r="U26" s="307" t="str">
        <x:f>IF($T26="例外有效",$B26,"")</x:f>
      </x:c>
    </x:row>
    <x:row r="27">
      <x:c r="A27" s="305"/>
      <x:c r="B27" s="305"/>
      <x:c r="C27" s="306" t="str">
        <x:f>IF($B27="","",_xlfn.XLOOKUP($B27,'班次檢核總覽'!$A$7:$A$36,'班次檢核總覽'!$B$7:$B$36,"需求未建立",0))</x:f>
      </x:c>
      <x:c r="D27" s="307" t="str">
        <x:f>IF($B27="","",_xlfn.XLOOKUP($B27,'班次檢核總覽'!$A$7:$A$36,'班次檢核總覽'!$Q$7:$Q$36,"需求未建立",0))</x:f>
      </x:c>
      <x:c r="E27" s="307" t="str">
        <x:f>IF($B27="","",_xlfn.XLOOKUP($B27,'班次檢核總覽'!$A$7:$A$36,'班次檢核總覽'!$U$7:$U$36,"需求未建立",0))</x:f>
      </x:c>
      <x:c r="F27" s="305"/>
      <x:c r="G27" s="305"/>
      <x:c r="H27" s="305"/>
      <x:c r="I27" s="305"/>
      <x:c r="J27" s="305"/>
      <x:c r="K27" s="305"/>
      <x:c r="L27" s="308"/>
      <x:c r="M27" s="308"/>
      <x:c r="N27" s="305"/>
      <x:c r="O27" s="305"/>
      <x:c r="P27" s="308"/>
      <x:c r="Q27" s="305"/>
      <x:c r="R27" s="307" t="str">
        <x:f>IF($A27="","",IF(OR($Q27="已撤銷",$Q27="已結案"),$Q27,IF(OR(LEN($B27)=0,LEN($F27)=0,LEN($G27)=0,LEN($H27)=0,LEN($I27)=0,LEN($J27)=0,LEN($K27)=0,LEN($L27)=0,LEN($M27)=0,LEN($N27)=0,LEN($O27)=0,LEN($P27)=0,LEN($Q27)=0),"待補欄位",IF($N27&lt;&gt;"已核定","待主管核定",IF($P27&lt;$L27,"核定日早於申請日",IF($M27&lt;&gt;$C27,"有效日須等於班次日期","資料完整"))))))</x:f>
      </x:c>
      <x:c r="S27" s="307" t="str">
        <x:f>IF($A27="","",IF($R27&lt;&gt;"資料完整",$R27,IF($D27="通過","無需例外",IF(OR($D27="療程待確認",$D27="缺主跟診配置",$D27="缺短時支援",$D27="支援容量不足",$D27="人員時段衝突"),"不可例外："&amp;$D27,IF($D27="正式資格未完成",IF(OR($F27="已核定資料待回寫",$F27="緊急規則已另行核定"),"可限時核定","不可例外：類型不符"),"不可例外：未定義原因")))))</x:f>
      </x:c>
      <x:c r="T27" s="307" t="str">
        <x:f>IF($A27="","",IF($Q27&lt;&gt;"生效",$Q27,IF($S27&lt;&gt;"可限時核定",$S27,IF($M27&lt;TODAY(),"已到期",IF(COUNTIFS($B$7:$B$106,$B27,$N$7:$N$106,"已核定",$Q$7:$Q$106,"生效",$S$7:$S$106,"可限時核定",$M$7:$M$106,"&gt;="&amp;TODAY())&gt;1,"同一需求重複生效","例外有效")))))</x:f>
      </x:c>
      <x:c r="U27" s="307" t="str">
        <x:f>IF($T27="例外有效",$B27,"")</x:f>
      </x:c>
    </x:row>
    <x:row r="28">
      <x:c r="A28" s="305"/>
      <x:c r="B28" s="305"/>
      <x:c r="C28" s="306" t="str">
        <x:f>IF($B28="","",_xlfn.XLOOKUP($B28,'班次檢核總覽'!$A$7:$A$36,'班次檢核總覽'!$B$7:$B$36,"需求未建立",0))</x:f>
      </x:c>
      <x:c r="D28" s="307" t="str">
        <x:f>IF($B28="","",_xlfn.XLOOKUP($B28,'班次檢核總覽'!$A$7:$A$36,'班次檢核總覽'!$Q$7:$Q$36,"需求未建立",0))</x:f>
      </x:c>
      <x:c r="E28" s="307" t="str">
        <x:f>IF($B28="","",_xlfn.XLOOKUP($B28,'班次檢核總覽'!$A$7:$A$36,'班次檢核總覽'!$U$7:$U$36,"需求未建立",0))</x:f>
      </x:c>
      <x:c r="F28" s="305"/>
      <x:c r="G28" s="305"/>
      <x:c r="H28" s="305"/>
      <x:c r="I28" s="305"/>
      <x:c r="J28" s="305"/>
      <x:c r="K28" s="305"/>
      <x:c r="L28" s="308"/>
      <x:c r="M28" s="308"/>
      <x:c r="N28" s="305"/>
      <x:c r="O28" s="305"/>
      <x:c r="P28" s="308"/>
      <x:c r="Q28" s="305"/>
      <x:c r="R28" s="307" t="str">
        <x:f>IF($A28="","",IF(OR($Q28="已撤銷",$Q28="已結案"),$Q28,IF(OR(LEN($B28)=0,LEN($F28)=0,LEN($G28)=0,LEN($H28)=0,LEN($I28)=0,LEN($J28)=0,LEN($K28)=0,LEN($L28)=0,LEN($M28)=0,LEN($N28)=0,LEN($O28)=0,LEN($P28)=0,LEN($Q28)=0),"待補欄位",IF($N28&lt;&gt;"已核定","待主管核定",IF($P28&lt;$L28,"核定日早於申請日",IF($M28&lt;&gt;$C28,"有效日須等於班次日期","資料完整"))))))</x:f>
      </x:c>
      <x:c r="S28" s="307" t="str">
        <x:f>IF($A28="","",IF($R28&lt;&gt;"資料完整",$R28,IF($D28="通過","無需例外",IF(OR($D28="療程待確認",$D28="缺主跟診配置",$D28="缺短時支援",$D28="支援容量不足",$D28="人員時段衝突"),"不可例外："&amp;$D28,IF($D28="正式資格未完成",IF(OR($F28="已核定資料待回寫",$F28="緊急規則已另行核定"),"可限時核定","不可例外：類型不符"),"不可例外：未定義原因")))))</x:f>
      </x:c>
      <x:c r="T28" s="307" t="str">
        <x:f>IF($A28="","",IF($Q28&lt;&gt;"生效",$Q28,IF($S28&lt;&gt;"可限時核定",$S28,IF($M28&lt;TODAY(),"已到期",IF(COUNTIFS($B$7:$B$106,$B28,$N$7:$N$106,"已核定",$Q$7:$Q$106,"生效",$S$7:$S$106,"可限時核定",$M$7:$M$106,"&gt;="&amp;TODAY())&gt;1,"同一需求重複生效","例外有效")))))</x:f>
      </x:c>
      <x:c r="U28" s="307" t="str">
        <x:f>IF($T28="例外有效",$B28,"")</x:f>
      </x:c>
    </x:row>
    <x:row r="29">
      <x:c r="A29" s="305"/>
      <x:c r="B29" s="305"/>
      <x:c r="C29" s="306" t="str">
        <x:f>IF($B29="","",_xlfn.XLOOKUP($B29,'班次檢核總覽'!$A$7:$A$36,'班次檢核總覽'!$B$7:$B$36,"需求未建立",0))</x:f>
      </x:c>
      <x:c r="D29" s="307" t="str">
        <x:f>IF($B29="","",_xlfn.XLOOKUP($B29,'班次檢核總覽'!$A$7:$A$36,'班次檢核總覽'!$Q$7:$Q$36,"需求未建立",0))</x:f>
      </x:c>
      <x:c r="E29" s="307" t="str">
        <x:f>IF($B29="","",_xlfn.XLOOKUP($B29,'班次檢核總覽'!$A$7:$A$36,'班次檢核總覽'!$U$7:$U$36,"需求未建立",0))</x:f>
      </x:c>
      <x:c r="F29" s="305"/>
      <x:c r="G29" s="305"/>
      <x:c r="H29" s="305"/>
      <x:c r="I29" s="305"/>
      <x:c r="J29" s="305"/>
      <x:c r="K29" s="305"/>
      <x:c r="L29" s="308"/>
      <x:c r="M29" s="308"/>
      <x:c r="N29" s="305"/>
      <x:c r="O29" s="305"/>
      <x:c r="P29" s="308"/>
      <x:c r="Q29" s="305"/>
      <x:c r="R29" s="307" t="str">
        <x:f>IF($A29="","",IF(OR($Q29="已撤銷",$Q29="已結案"),$Q29,IF(OR(LEN($B29)=0,LEN($F29)=0,LEN($G29)=0,LEN($H29)=0,LEN($I29)=0,LEN($J29)=0,LEN($K29)=0,LEN($L29)=0,LEN($M29)=0,LEN($N29)=0,LEN($O29)=0,LEN($P29)=0,LEN($Q29)=0),"待補欄位",IF($N29&lt;&gt;"已核定","待主管核定",IF($P29&lt;$L29,"核定日早於申請日",IF($M29&lt;&gt;$C29,"有效日須等於班次日期","資料完整"))))))</x:f>
      </x:c>
      <x:c r="S29" s="307" t="str">
        <x:f>IF($A29="","",IF($R29&lt;&gt;"資料完整",$R29,IF($D29="通過","無需例外",IF(OR($D29="療程待確認",$D29="缺主跟診配置",$D29="缺短時支援",$D29="支援容量不足",$D29="人員時段衝突"),"不可例外："&amp;$D29,IF($D29="正式資格未完成",IF(OR($F29="已核定資料待回寫",$F29="緊急規則已另行核定"),"可限時核定","不可例外：類型不符"),"不可例外：未定義原因")))))</x:f>
      </x:c>
      <x:c r="T29" s="307" t="str">
        <x:f>IF($A29="","",IF($Q29&lt;&gt;"生效",$Q29,IF($S29&lt;&gt;"可限時核定",$S29,IF($M29&lt;TODAY(),"已到期",IF(COUNTIFS($B$7:$B$106,$B29,$N$7:$N$106,"已核定",$Q$7:$Q$106,"生效",$S$7:$S$106,"可限時核定",$M$7:$M$106,"&gt;="&amp;TODAY())&gt;1,"同一需求重複生效","例外有效")))))</x:f>
      </x:c>
      <x:c r="U29" s="307" t="str">
        <x:f>IF($T29="例外有效",$B29,"")</x:f>
      </x:c>
    </x:row>
    <x:row r="30">
      <x:c r="A30" s="305"/>
      <x:c r="B30" s="305"/>
      <x:c r="C30" s="306" t="str">
        <x:f>IF($B30="","",_xlfn.XLOOKUP($B30,'班次檢核總覽'!$A$7:$A$36,'班次檢核總覽'!$B$7:$B$36,"需求未建立",0))</x:f>
      </x:c>
      <x:c r="D30" s="307" t="str">
        <x:f>IF($B30="","",_xlfn.XLOOKUP($B30,'班次檢核總覽'!$A$7:$A$36,'班次檢核總覽'!$Q$7:$Q$36,"需求未建立",0))</x:f>
      </x:c>
      <x:c r="E30" s="307" t="str">
        <x:f>IF($B30="","",_xlfn.XLOOKUP($B30,'班次檢核總覽'!$A$7:$A$36,'班次檢核總覽'!$U$7:$U$36,"需求未建立",0))</x:f>
      </x:c>
      <x:c r="F30" s="305"/>
      <x:c r="G30" s="305"/>
      <x:c r="H30" s="305"/>
      <x:c r="I30" s="305"/>
      <x:c r="J30" s="305"/>
      <x:c r="K30" s="305"/>
      <x:c r="L30" s="308"/>
      <x:c r="M30" s="308"/>
      <x:c r="N30" s="305"/>
      <x:c r="O30" s="305"/>
      <x:c r="P30" s="308"/>
      <x:c r="Q30" s="305"/>
      <x:c r="R30" s="307" t="str">
        <x:f>IF($A30="","",IF(OR($Q30="已撤銷",$Q30="已結案"),$Q30,IF(OR(LEN($B30)=0,LEN($F30)=0,LEN($G30)=0,LEN($H30)=0,LEN($I30)=0,LEN($J30)=0,LEN($K30)=0,LEN($L30)=0,LEN($M30)=0,LEN($N30)=0,LEN($O30)=0,LEN($P30)=0,LEN($Q30)=0),"待補欄位",IF($N30&lt;&gt;"已核定","待主管核定",IF($P30&lt;$L30,"核定日早於申請日",IF($M30&lt;&gt;$C30,"有效日須等於班次日期","資料完整"))))))</x:f>
      </x:c>
      <x:c r="S30" s="307" t="str">
        <x:f>IF($A30="","",IF($R30&lt;&gt;"資料完整",$R30,IF($D30="通過","無需例外",IF(OR($D30="療程待確認",$D30="缺主跟診配置",$D30="缺短時支援",$D30="支援容量不足",$D30="人員時段衝突"),"不可例外："&amp;$D30,IF($D30="正式資格未完成",IF(OR($F30="已核定資料待回寫",$F30="緊急規則已另行核定"),"可限時核定","不可例外：類型不符"),"不可例外：未定義原因")))))</x:f>
      </x:c>
      <x:c r="T30" s="307" t="str">
        <x:f>IF($A30="","",IF($Q30&lt;&gt;"生效",$Q30,IF($S30&lt;&gt;"可限時核定",$S30,IF($M30&lt;TODAY(),"已到期",IF(COUNTIFS($B$7:$B$106,$B30,$N$7:$N$106,"已核定",$Q$7:$Q$106,"生效",$S$7:$S$106,"可限時核定",$M$7:$M$106,"&gt;="&amp;TODAY())&gt;1,"同一需求重複生效","例外有效")))))</x:f>
      </x:c>
      <x:c r="U30" s="307" t="str">
        <x:f>IF($T30="例外有效",$B30,"")</x:f>
      </x:c>
    </x:row>
    <x:row r="31">
      <x:c r="A31" s="305"/>
      <x:c r="B31" s="305"/>
      <x:c r="C31" s="306" t="str">
        <x:f>IF($B31="","",_xlfn.XLOOKUP($B31,'班次檢核總覽'!$A$7:$A$36,'班次檢核總覽'!$B$7:$B$36,"需求未建立",0))</x:f>
      </x:c>
      <x:c r="D31" s="307" t="str">
        <x:f>IF($B31="","",_xlfn.XLOOKUP($B31,'班次檢核總覽'!$A$7:$A$36,'班次檢核總覽'!$Q$7:$Q$36,"需求未建立",0))</x:f>
      </x:c>
      <x:c r="E31" s="307" t="str">
        <x:f>IF($B31="","",_xlfn.XLOOKUP($B31,'班次檢核總覽'!$A$7:$A$36,'班次檢核總覽'!$U$7:$U$36,"需求未建立",0))</x:f>
      </x:c>
      <x:c r="F31" s="305"/>
      <x:c r="G31" s="305"/>
      <x:c r="H31" s="305"/>
      <x:c r="I31" s="305"/>
      <x:c r="J31" s="305"/>
      <x:c r="K31" s="305"/>
      <x:c r="L31" s="308"/>
      <x:c r="M31" s="308"/>
      <x:c r="N31" s="305"/>
      <x:c r="O31" s="305"/>
      <x:c r="P31" s="308"/>
      <x:c r="Q31" s="305"/>
      <x:c r="R31" s="307" t="str">
        <x:f>IF($A31="","",IF(OR($Q31="已撤銷",$Q31="已結案"),$Q31,IF(OR(LEN($B31)=0,LEN($F31)=0,LEN($G31)=0,LEN($H31)=0,LEN($I31)=0,LEN($J31)=0,LEN($K31)=0,LEN($L31)=0,LEN($M31)=0,LEN($N31)=0,LEN($O31)=0,LEN($P31)=0,LEN($Q31)=0),"待補欄位",IF($N31&lt;&gt;"已核定","待主管核定",IF($P31&lt;$L31,"核定日早於申請日",IF($M31&lt;&gt;$C31,"有效日須等於班次日期","資料完整"))))))</x:f>
      </x:c>
      <x:c r="S31" s="307" t="str">
        <x:f>IF($A31="","",IF($R31&lt;&gt;"資料完整",$R31,IF($D31="通過","無需例外",IF(OR($D31="療程待確認",$D31="缺主跟診配置",$D31="缺短時支援",$D31="支援容量不足",$D31="人員時段衝突"),"不可例外："&amp;$D31,IF($D31="正式資格未完成",IF(OR($F31="已核定資料待回寫",$F31="緊急規則已另行核定"),"可限時核定","不可例外：類型不符"),"不可例外：未定義原因")))))</x:f>
      </x:c>
      <x:c r="T31" s="307" t="str">
        <x:f>IF($A31="","",IF($Q31&lt;&gt;"生效",$Q31,IF($S31&lt;&gt;"可限時核定",$S31,IF($M31&lt;TODAY(),"已到期",IF(COUNTIFS($B$7:$B$106,$B31,$N$7:$N$106,"已核定",$Q$7:$Q$106,"生效",$S$7:$S$106,"可限時核定",$M$7:$M$106,"&gt;="&amp;TODAY())&gt;1,"同一需求重複生效","例外有效")))))</x:f>
      </x:c>
      <x:c r="U31" s="307" t="str">
        <x:f>IF($T31="例外有效",$B31,"")</x:f>
      </x:c>
    </x:row>
    <x:row r="32">
      <x:c r="A32" s="305"/>
      <x:c r="B32" s="305"/>
      <x:c r="C32" s="306" t="str">
        <x:f>IF($B32="","",_xlfn.XLOOKUP($B32,'班次檢核總覽'!$A$7:$A$36,'班次檢核總覽'!$B$7:$B$36,"需求未建立",0))</x:f>
      </x:c>
      <x:c r="D32" s="307" t="str">
        <x:f>IF($B32="","",_xlfn.XLOOKUP($B32,'班次檢核總覽'!$A$7:$A$36,'班次檢核總覽'!$Q$7:$Q$36,"需求未建立",0))</x:f>
      </x:c>
      <x:c r="E32" s="307" t="str">
        <x:f>IF($B32="","",_xlfn.XLOOKUP($B32,'班次檢核總覽'!$A$7:$A$36,'班次檢核總覽'!$U$7:$U$36,"需求未建立",0))</x:f>
      </x:c>
      <x:c r="F32" s="305"/>
      <x:c r="G32" s="305"/>
      <x:c r="H32" s="305"/>
      <x:c r="I32" s="305"/>
      <x:c r="J32" s="305"/>
      <x:c r="K32" s="305"/>
      <x:c r="L32" s="308"/>
      <x:c r="M32" s="308"/>
      <x:c r="N32" s="305"/>
      <x:c r="O32" s="305"/>
      <x:c r="P32" s="308"/>
      <x:c r="Q32" s="305"/>
      <x:c r="R32" s="307" t="str">
        <x:f>IF($A32="","",IF(OR($Q32="已撤銷",$Q32="已結案"),$Q32,IF(OR(LEN($B32)=0,LEN($F32)=0,LEN($G32)=0,LEN($H32)=0,LEN($I32)=0,LEN($J32)=0,LEN($K32)=0,LEN($L32)=0,LEN($M32)=0,LEN($N32)=0,LEN($O32)=0,LEN($P32)=0,LEN($Q32)=0),"待補欄位",IF($N32&lt;&gt;"已核定","待主管核定",IF($P32&lt;$L32,"核定日早於申請日",IF($M32&lt;&gt;$C32,"有效日須等於班次日期","資料完整"))))))</x:f>
      </x:c>
      <x:c r="S32" s="307" t="str">
        <x:f>IF($A32="","",IF($R32&lt;&gt;"資料完整",$R32,IF($D32="通過","無需例外",IF(OR($D32="療程待確認",$D32="缺主跟診配置",$D32="缺短時支援",$D32="支援容量不足",$D32="人員時段衝突"),"不可例外："&amp;$D32,IF($D32="正式資格未完成",IF(OR($F32="已核定資料待回寫",$F32="緊急規則已另行核定"),"可限時核定","不可例外：類型不符"),"不可例外：未定義原因")))))</x:f>
      </x:c>
      <x:c r="T32" s="307" t="str">
        <x:f>IF($A32="","",IF($Q32&lt;&gt;"生效",$Q32,IF($S32&lt;&gt;"可限時核定",$S32,IF($M32&lt;TODAY(),"已到期",IF(COUNTIFS($B$7:$B$106,$B32,$N$7:$N$106,"已核定",$Q$7:$Q$106,"生效",$S$7:$S$106,"可限時核定",$M$7:$M$106,"&gt;="&amp;TODAY())&gt;1,"同一需求重複生效","例外有效")))))</x:f>
      </x:c>
      <x:c r="U32" s="307" t="str">
        <x:f>IF($T32="例外有效",$B32,"")</x:f>
      </x:c>
    </x:row>
    <x:row r="33">
      <x:c r="A33" s="305"/>
      <x:c r="B33" s="305"/>
      <x:c r="C33" s="306" t="str">
        <x:f>IF($B33="","",_xlfn.XLOOKUP($B33,'班次檢核總覽'!$A$7:$A$36,'班次檢核總覽'!$B$7:$B$36,"需求未建立",0))</x:f>
      </x:c>
      <x:c r="D33" s="307" t="str">
        <x:f>IF($B33="","",_xlfn.XLOOKUP($B33,'班次檢核總覽'!$A$7:$A$36,'班次檢核總覽'!$Q$7:$Q$36,"需求未建立",0))</x:f>
      </x:c>
      <x:c r="E33" s="307" t="str">
        <x:f>IF($B33="","",_xlfn.XLOOKUP($B33,'班次檢核總覽'!$A$7:$A$36,'班次檢核總覽'!$U$7:$U$36,"需求未建立",0))</x:f>
      </x:c>
      <x:c r="F33" s="305"/>
      <x:c r="G33" s="305"/>
      <x:c r="H33" s="305"/>
      <x:c r="I33" s="305"/>
      <x:c r="J33" s="305"/>
      <x:c r="K33" s="305"/>
      <x:c r="L33" s="308"/>
      <x:c r="M33" s="308"/>
      <x:c r="N33" s="305"/>
      <x:c r="O33" s="305"/>
      <x:c r="P33" s="308"/>
      <x:c r="Q33" s="305"/>
      <x:c r="R33" s="307" t="str">
        <x:f>IF($A33="","",IF(OR($Q33="已撤銷",$Q33="已結案"),$Q33,IF(OR(LEN($B33)=0,LEN($F33)=0,LEN($G33)=0,LEN($H33)=0,LEN($I33)=0,LEN($J33)=0,LEN($K33)=0,LEN($L33)=0,LEN($M33)=0,LEN($N33)=0,LEN($O33)=0,LEN($P33)=0,LEN($Q33)=0),"待補欄位",IF($N33&lt;&gt;"已核定","待主管核定",IF($P33&lt;$L33,"核定日早於申請日",IF($M33&lt;&gt;$C33,"有效日須等於班次日期","資料完整"))))))</x:f>
      </x:c>
      <x:c r="S33" s="307" t="str">
        <x:f>IF($A33="","",IF($R33&lt;&gt;"資料完整",$R33,IF($D33="通過","無需例外",IF(OR($D33="療程待確認",$D33="缺主跟診配置",$D33="缺短時支援",$D33="支援容量不足",$D33="人員時段衝突"),"不可例外："&amp;$D33,IF($D33="正式資格未完成",IF(OR($F33="已核定資料待回寫",$F33="緊急規則已另行核定"),"可限時核定","不可例外：類型不符"),"不可例外：未定義原因")))))</x:f>
      </x:c>
      <x:c r="T33" s="307" t="str">
        <x:f>IF($A33="","",IF($Q33&lt;&gt;"生效",$Q33,IF($S33&lt;&gt;"可限時核定",$S33,IF($M33&lt;TODAY(),"已到期",IF(COUNTIFS($B$7:$B$106,$B33,$N$7:$N$106,"已核定",$Q$7:$Q$106,"生效",$S$7:$S$106,"可限時核定",$M$7:$M$106,"&gt;="&amp;TODAY())&gt;1,"同一需求重複生效","例外有效")))))</x:f>
      </x:c>
      <x:c r="U33" s="307" t="str">
        <x:f>IF($T33="例外有效",$B33,"")</x:f>
      </x:c>
    </x:row>
    <x:row r="34">
      <x:c r="A34" s="305"/>
      <x:c r="B34" s="305"/>
      <x:c r="C34" s="306" t="str">
        <x:f>IF($B34="","",_xlfn.XLOOKUP($B34,'班次檢核總覽'!$A$7:$A$36,'班次檢核總覽'!$B$7:$B$36,"需求未建立",0))</x:f>
      </x:c>
      <x:c r="D34" s="307" t="str">
        <x:f>IF($B34="","",_xlfn.XLOOKUP($B34,'班次檢核總覽'!$A$7:$A$36,'班次檢核總覽'!$Q$7:$Q$36,"需求未建立",0))</x:f>
      </x:c>
      <x:c r="E34" s="307" t="str">
        <x:f>IF($B34="","",_xlfn.XLOOKUP($B34,'班次檢核總覽'!$A$7:$A$36,'班次檢核總覽'!$U$7:$U$36,"需求未建立",0))</x:f>
      </x:c>
      <x:c r="F34" s="305"/>
      <x:c r="G34" s="305"/>
      <x:c r="H34" s="305"/>
      <x:c r="I34" s="305"/>
      <x:c r="J34" s="305"/>
      <x:c r="K34" s="305"/>
      <x:c r="L34" s="308"/>
      <x:c r="M34" s="308"/>
      <x:c r="N34" s="305"/>
      <x:c r="O34" s="305"/>
      <x:c r="P34" s="308"/>
      <x:c r="Q34" s="305"/>
      <x:c r="R34" s="307" t="str">
        <x:f>IF($A34="","",IF(OR($Q34="已撤銷",$Q34="已結案"),$Q34,IF(OR(LEN($B34)=0,LEN($F34)=0,LEN($G34)=0,LEN($H34)=0,LEN($I34)=0,LEN($J34)=0,LEN($K34)=0,LEN($L34)=0,LEN($M34)=0,LEN($N34)=0,LEN($O34)=0,LEN($P34)=0,LEN($Q34)=0),"待補欄位",IF($N34&lt;&gt;"已核定","待主管核定",IF($P34&lt;$L34,"核定日早於申請日",IF($M34&lt;&gt;$C34,"有效日須等於班次日期","資料完整"))))))</x:f>
      </x:c>
      <x:c r="S34" s="307" t="str">
        <x:f>IF($A34="","",IF($R34&lt;&gt;"資料完整",$R34,IF($D34="通過","無需例外",IF(OR($D34="療程待確認",$D34="缺主跟診配置",$D34="缺短時支援",$D34="支援容量不足",$D34="人員時段衝突"),"不可例外："&amp;$D34,IF($D34="正式資格未完成",IF(OR($F34="已核定資料待回寫",$F34="緊急規則已另行核定"),"可限時核定","不可例外：類型不符"),"不可例外：未定義原因")))))</x:f>
      </x:c>
      <x:c r="T34" s="307" t="str">
        <x:f>IF($A34="","",IF($Q34&lt;&gt;"生效",$Q34,IF($S34&lt;&gt;"可限時核定",$S34,IF($M34&lt;TODAY(),"已到期",IF(COUNTIFS($B$7:$B$106,$B34,$N$7:$N$106,"已核定",$Q$7:$Q$106,"生效",$S$7:$S$106,"可限時核定",$M$7:$M$106,"&gt;="&amp;TODAY())&gt;1,"同一需求重複生效","例外有效")))))</x:f>
      </x:c>
      <x:c r="U34" s="307" t="str">
        <x:f>IF($T34="例外有效",$B34,"")</x:f>
      </x:c>
    </x:row>
    <x:row r="35">
      <x:c r="A35" s="305"/>
      <x:c r="B35" s="305"/>
      <x:c r="C35" s="306" t="str">
        <x:f>IF($B35="","",_xlfn.XLOOKUP($B35,'班次檢核總覽'!$A$7:$A$36,'班次檢核總覽'!$B$7:$B$36,"需求未建立",0))</x:f>
      </x:c>
      <x:c r="D35" s="307" t="str">
        <x:f>IF($B35="","",_xlfn.XLOOKUP($B35,'班次檢核總覽'!$A$7:$A$36,'班次檢核總覽'!$Q$7:$Q$36,"需求未建立",0))</x:f>
      </x:c>
      <x:c r="E35" s="307" t="str">
        <x:f>IF($B35="","",_xlfn.XLOOKUP($B35,'班次檢核總覽'!$A$7:$A$36,'班次檢核總覽'!$U$7:$U$36,"需求未建立",0))</x:f>
      </x:c>
      <x:c r="F35" s="305"/>
      <x:c r="G35" s="305"/>
      <x:c r="H35" s="305"/>
      <x:c r="I35" s="305"/>
      <x:c r="J35" s="305"/>
      <x:c r="K35" s="305"/>
      <x:c r="L35" s="308"/>
      <x:c r="M35" s="308"/>
      <x:c r="N35" s="305"/>
      <x:c r="O35" s="305"/>
      <x:c r="P35" s="308"/>
      <x:c r="Q35" s="305"/>
      <x:c r="R35" s="307" t="str">
        <x:f>IF($A35="","",IF(OR($Q35="已撤銷",$Q35="已結案"),$Q35,IF(OR(LEN($B35)=0,LEN($F35)=0,LEN($G35)=0,LEN($H35)=0,LEN($I35)=0,LEN($J35)=0,LEN($K35)=0,LEN($L35)=0,LEN($M35)=0,LEN($N35)=0,LEN($O35)=0,LEN($P35)=0,LEN($Q35)=0),"待補欄位",IF($N35&lt;&gt;"已核定","待主管核定",IF($P35&lt;$L35,"核定日早於申請日",IF($M35&lt;&gt;$C35,"有效日須等於班次日期","資料完整"))))))</x:f>
      </x:c>
      <x:c r="S35" s="307" t="str">
        <x:f>IF($A35="","",IF($R35&lt;&gt;"資料完整",$R35,IF($D35="通過","無需例外",IF(OR($D35="療程待確認",$D35="缺主跟診配置",$D35="缺短時支援",$D35="支援容量不足",$D35="人員時段衝突"),"不可例外："&amp;$D35,IF($D35="正式資格未完成",IF(OR($F35="已核定資料待回寫",$F35="緊急規則已另行核定"),"可限時核定","不可例外：類型不符"),"不可例外：未定義原因")))))</x:f>
      </x:c>
      <x:c r="T35" s="307" t="str">
        <x:f>IF($A35="","",IF($Q35&lt;&gt;"生效",$Q35,IF($S35&lt;&gt;"可限時核定",$S35,IF($M35&lt;TODAY(),"已到期",IF(COUNTIFS($B$7:$B$106,$B35,$N$7:$N$106,"已核定",$Q$7:$Q$106,"生效",$S$7:$S$106,"可限時核定",$M$7:$M$106,"&gt;="&amp;TODAY())&gt;1,"同一需求重複生效","例外有效")))))</x:f>
      </x:c>
      <x:c r="U35" s="307" t="str">
        <x:f>IF($T35="例外有效",$B35,"")</x:f>
      </x:c>
    </x:row>
    <x:row r="36">
      <x:c r="A36" s="305"/>
      <x:c r="B36" s="305"/>
      <x:c r="C36" s="306" t="str">
        <x:f>IF($B36="","",_xlfn.XLOOKUP($B36,'班次檢核總覽'!$A$7:$A$36,'班次檢核總覽'!$B$7:$B$36,"需求未建立",0))</x:f>
      </x:c>
      <x:c r="D36" s="307" t="str">
        <x:f>IF($B36="","",_xlfn.XLOOKUP($B36,'班次檢核總覽'!$A$7:$A$36,'班次檢核總覽'!$Q$7:$Q$36,"需求未建立",0))</x:f>
      </x:c>
      <x:c r="E36" s="307" t="str">
        <x:f>IF($B36="","",_xlfn.XLOOKUP($B36,'班次檢核總覽'!$A$7:$A$36,'班次檢核總覽'!$U$7:$U$36,"需求未建立",0))</x:f>
      </x:c>
      <x:c r="F36" s="305"/>
      <x:c r="G36" s="305"/>
      <x:c r="H36" s="305"/>
      <x:c r="I36" s="305"/>
      <x:c r="J36" s="305"/>
      <x:c r="K36" s="305"/>
      <x:c r="L36" s="308"/>
      <x:c r="M36" s="308"/>
      <x:c r="N36" s="305"/>
      <x:c r="O36" s="305"/>
      <x:c r="P36" s="308"/>
      <x:c r="Q36" s="305"/>
      <x:c r="R36" s="307" t="str">
        <x:f>IF($A36="","",IF(OR($Q36="已撤銷",$Q36="已結案"),$Q36,IF(OR(LEN($B36)=0,LEN($F36)=0,LEN($G36)=0,LEN($H36)=0,LEN($I36)=0,LEN($J36)=0,LEN($K36)=0,LEN($L36)=0,LEN($M36)=0,LEN($N36)=0,LEN($O36)=0,LEN($P36)=0,LEN($Q36)=0),"待補欄位",IF($N36&lt;&gt;"已核定","待主管核定",IF($P36&lt;$L36,"核定日早於申請日",IF($M36&lt;&gt;$C36,"有效日須等於班次日期","資料完整"))))))</x:f>
      </x:c>
      <x:c r="S36" s="307" t="str">
        <x:f>IF($A36="","",IF($R36&lt;&gt;"資料完整",$R36,IF($D36="通過","無需例外",IF(OR($D36="療程待確認",$D36="缺主跟診配置",$D36="缺短時支援",$D36="支援容量不足",$D36="人員時段衝突"),"不可例外："&amp;$D36,IF($D36="正式資格未完成",IF(OR($F36="已核定資料待回寫",$F36="緊急規則已另行核定"),"可限時核定","不可例外：類型不符"),"不可例外：未定義原因")))))</x:f>
      </x:c>
      <x:c r="T36" s="307" t="str">
        <x:f>IF($A36="","",IF($Q36&lt;&gt;"生效",$Q36,IF($S36&lt;&gt;"可限時核定",$S36,IF($M36&lt;TODAY(),"已到期",IF(COUNTIFS($B$7:$B$106,$B36,$N$7:$N$106,"已核定",$Q$7:$Q$106,"生效",$S$7:$S$106,"可限時核定",$M$7:$M$106,"&gt;="&amp;TODAY())&gt;1,"同一需求重複生效","例外有效")))))</x:f>
      </x:c>
      <x:c r="U36" s="307" t="str">
        <x:f>IF($T36="例外有效",$B36,"")</x:f>
      </x:c>
    </x:row>
    <x:row r="37">
      <x:c r="A37" s="305"/>
      <x:c r="B37" s="305"/>
      <x:c r="C37" s="306" t="str">
        <x:f>IF($B37="","",_xlfn.XLOOKUP($B37,'班次檢核總覽'!$A$7:$A$36,'班次檢核總覽'!$B$7:$B$36,"需求未建立",0))</x:f>
      </x:c>
      <x:c r="D37" s="307" t="str">
        <x:f>IF($B37="","",_xlfn.XLOOKUP($B37,'班次檢核總覽'!$A$7:$A$36,'班次檢核總覽'!$Q$7:$Q$36,"需求未建立",0))</x:f>
      </x:c>
      <x:c r="E37" s="307" t="str">
        <x:f>IF($B37="","",_xlfn.XLOOKUP($B37,'班次檢核總覽'!$A$7:$A$36,'班次檢核總覽'!$U$7:$U$36,"需求未建立",0))</x:f>
      </x:c>
      <x:c r="F37" s="305"/>
      <x:c r="G37" s="305"/>
      <x:c r="H37" s="305"/>
      <x:c r="I37" s="305"/>
      <x:c r="J37" s="305"/>
      <x:c r="K37" s="305"/>
      <x:c r="L37" s="308"/>
      <x:c r="M37" s="308"/>
      <x:c r="N37" s="305"/>
      <x:c r="O37" s="305"/>
      <x:c r="P37" s="308"/>
      <x:c r="Q37" s="305"/>
      <x:c r="R37" s="307" t="str">
        <x:f>IF($A37="","",IF(OR($Q37="已撤銷",$Q37="已結案"),$Q37,IF(OR(LEN($B37)=0,LEN($F37)=0,LEN($G37)=0,LEN($H37)=0,LEN($I37)=0,LEN($J37)=0,LEN($K37)=0,LEN($L37)=0,LEN($M37)=0,LEN($N37)=0,LEN($O37)=0,LEN($P37)=0,LEN($Q37)=0),"待補欄位",IF($N37&lt;&gt;"已核定","待主管核定",IF($P37&lt;$L37,"核定日早於申請日",IF($M37&lt;&gt;$C37,"有效日須等於班次日期","資料完整"))))))</x:f>
      </x:c>
      <x:c r="S37" s="307" t="str">
        <x:f>IF($A37="","",IF($R37&lt;&gt;"資料完整",$R37,IF($D37="通過","無需例外",IF(OR($D37="療程待確認",$D37="缺主跟診配置",$D37="缺短時支援",$D37="支援容量不足",$D37="人員時段衝突"),"不可例外："&amp;$D37,IF($D37="正式資格未完成",IF(OR($F37="已核定資料待回寫",$F37="緊急規則已另行核定"),"可限時核定","不可例外：類型不符"),"不可例外：未定義原因")))))</x:f>
      </x:c>
      <x:c r="T37" s="307" t="str">
        <x:f>IF($A37="","",IF($Q37&lt;&gt;"生效",$Q37,IF($S37&lt;&gt;"可限時核定",$S37,IF($M37&lt;TODAY(),"已到期",IF(COUNTIFS($B$7:$B$106,$B37,$N$7:$N$106,"已核定",$Q$7:$Q$106,"生效",$S$7:$S$106,"可限時核定",$M$7:$M$106,"&gt;="&amp;TODAY())&gt;1,"同一需求重複生效","例外有效")))))</x:f>
      </x:c>
      <x:c r="U37" s="307" t="str">
        <x:f>IF($T37="例外有效",$B37,"")</x:f>
      </x:c>
    </x:row>
    <x:row r="38">
      <x:c r="A38" s="305"/>
      <x:c r="B38" s="305"/>
      <x:c r="C38" s="306" t="str">
        <x:f>IF($B38="","",_xlfn.XLOOKUP($B38,'班次檢核總覽'!$A$7:$A$36,'班次檢核總覽'!$B$7:$B$36,"需求未建立",0))</x:f>
      </x:c>
      <x:c r="D38" s="307" t="str">
        <x:f>IF($B38="","",_xlfn.XLOOKUP($B38,'班次檢核總覽'!$A$7:$A$36,'班次檢核總覽'!$Q$7:$Q$36,"需求未建立",0))</x:f>
      </x:c>
      <x:c r="E38" s="307" t="str">
        <x:f>IF($B38="","",_xlfn.XLOOKUP($B38,'班次檢核總覽'!$A$7:$A$36,'班次檢核總覽'!$U$7:$U$36,"需求未建立",0))</x:f>
      </x:c>
      <x:c r="F38" s="305"/>
      <x:c r="G38" s="305"/>
      <x:c r="H38" s="305"/>
      <x:c r="I38" s="305"/>
      <x:c r="J38" s="305"/>
      <x:c r="K38" s="305"/>
      <x:c r="L38" s="308"/>
      <x:c r="M38" s="308"/>
      <x:c r="N38" s="305"/>
      <x:c r="O38" s="305"/>
      <x:c r="P38" s="308"/>
      <x:c r="Q38" s="305"/>
      <x:c r="R38" s="307" t="str">
        <x:f>IF($A38="","",IF(OR($Q38="已撤銷",$Q38="已結案"),$Q38,IF(OR(LEN($B38)=0,LEN($F38)=0,LEN($G38)=0,LEN($H38)=0,LEN($I38)=0,LEN($J38)=0,LEN($K38)=0,LEN($L38)=0,LEN($M38)=0,LEN($N38)=0,LEN($O38)=0,LEN($P38)=0,LEN($Q38)=0),"待補欄位",IF($N38&lt;&gt;"已核定","待主管核定",IF($P38&lt;$L38,"核定日早於申請日",IF($M38&lt;&gt;$C38,"有效日須等於班次日期","資料完整"))))))</x:f>
      </x:c>
      <x:c r="S38" s="307" t="str">
        <x:f>IF($A38="","",IF($R38&lt;&gt;"資料完整",$R38,IF($D38="通過","無需例外",IF(OR($D38="療程待確認",$D38="缺主跟診配置",$D38="缺短時支援",$D38="支援容量不足",$D38="人員時段衝突"),"不可例外："&amp;$D38,IF($D38="正式資格未完成",IF(OR($F38="已核定資料待回寫",$F38="緊急規則已另行核定"),"可限時核定","不可例外：類型不符"),"不可例外：未定義原因")))))</x:f>
      </x:c>
      <x:c r="T38" s="307" t="str">
        <x:f>IF($A38="","",IF($Q38&lt;&gt;"生效",$Q38,IF($S38&lt;&gt;"可限時核定",$S38,IF($M38&lt;TODAY(),"已到期",IF(COUNTIFS($B$7:$B$106,$B38,$N$7:$N$106,"已核定",$Q$7:$Q$106,"生效",$S$7:$S$106,"可限時核定",$M$7:$M$106,"&gt;="&amp;TODAY())&gt;1,"同一需求重複生效","例外有效")))))</x:f>
      </x:c>
      <x:c r="U38" s="307" t="str">
        <x:f>IF($T38="例外有效",$B38,"")</x:f>
      </x:c>
    </x:row>
    <x:row r="39">
      <x:c r="A39" s="305"/>
      <x:c r="B39" s="305"/>
      <x:c r="C39" s="306" t="str">
        <x:f>IF($B39="","",_xlfn.XLOOKUP($B39,'班次檢核總覽'!$A$7:$A$36,'班次檢核總覽'!$B$7:$B$36,"需求未建立",0))</x:f>
      </x:c>
      <x:c r="D39" s="307" t="str">
        <x:f>IF($B39="","",_xlfn.XLOOKUP($B39,'班次檢核總覽'!$A$7:$A$36,'班次檢核總覽'!$Q$7:$Q$36,"需求未建立",0))</x:f>
      </x:c>
      <x:c r="E39" s="307" t="str">
        <x:f>IF($B39="","",_xlfn.XLOOKUP($B39,'班次檢核總覽'!$A$7:$A$36,'班次檢核總覽'!$U$7:$U$36,"需求未建立",0))</x:f>
      </x:c>
      <x:c r="F39" s="305"/>
      <x:c r="G39" s="305"/>
      <x:c r="H39" s="305"/>
      <x:c r="I39" s="305"/>
      <x:c r="J39" s="305"/>
      <x:c r="K39" s="305"/>
      <x:c r="L39" s="308"/>
      <x:c r="M39" s="308"/>
      <x:c r="N39" s="305"/>
      <x:c r="O39" s="305"/>
      <x:c r="P39" s="308"/>
      <x:c r="Q39" s="305"/>
      <x:c r="R39" s="307" t="str">
        <x:f>IF($A39="","",IF(OR($Q39="已撤銷",$Q39="已結案"),$Q39,IF(OR(LEN($B39)=0,LEN($F39)=0,LEN($G39)=0,LEN($H39)=0,LEN($I39)=0,LEN($J39)=0,LEN($K39)=0,LEN($L39)=0,LEN($M39)=0,LEN($N39)=0,LEN($O39)=0,LEN($P39)=0,LEN($Q39)=0),"待補欄位",IF($N39&lt;&gt;"已核定","待主管核定",IF($P39&lt;$L39,"核定日早於申請日",IF($M39&lt;&gt;$C39,"有效日須等於班次日期","資料完整"))))))</x:f>
      </x:c>
      <x:c r="S39" s="307" t="str">
        <x:f>IF($A39="","",IF($R39&lt;&gt;"資料完整",$R39,IF($D39="通過","無需例外",IF(OR($D39="療程待確認",$D39="缺主跟診配置",$D39="缺短時支援",$D39="支援容量不足",$D39="人員時段衝突"),"不可例外："&amp;$D39,IF($D39="正式資格未完成",IF(OR($F39="已核定資料待回寫",$F39="緊急規則已另行核定"),"可限時核定","不可例外：類型不符"),"不可例外：未定義原因")))))</x:f>
      </x:c>
      <x:c r="T39" s="307" t="str">
        <x:f>IF($A39="","",IF($Q39&lt;&gt;"生效",$Q39,IF($S39&lt;&gt;"可限時核定",$S39,IF($M39&lt;TODAY(),"已到期",IF(COUNTIFS($B$7:$B$106,$B39,$N$7:$N$106,"已核定",$Q$7:$Q$106,"生效",$S$7:$S$106,"可限時核定",$M$7:$M$106,"&gt;="&amp;TODAY())&gt;1,"同一需求重複生效","例外有效")))))</x:f>
      </x:c>
      <x:c r="U39" s="307" t="str">
        <x:f>IF($T39="例外有效",$B39,"")</x:f>
      </x:c>
    </x:row>
    <x:row r="40">
      <x:c r="A40" s="305"/>
      <x:c r="B40" s="305"/>
      <x:c r="C40" s="306" t="str">
        <x:f>IF($B40="","",_xlfn.XLOOKUP($B40,'班次檢核總覽'!$A$7:$A$36,'班次檢核總覽'!$B$7:$B$36,"需求未建立",0))</x:f>
      </x:c>
      <x:c r="D40" s="307" t="str">
        <x:f>IF($B40="","",_xlfn.XLOOKUP($B40,'班次檢核總覽'!$A$7:$A$36,'班次檢核總覽'!$Q$7:$Q$36,"需求未建立",0))</x:f>
      </x:c>
      <x:c r="E40" s="307" t="str">
        <x:f>IF($B40="","",_xlfn.XLOOKUP($B40,'班次檢核總覽'!$A$7:$A$36,'班次檢核總覽'!$U$7:$U$36,"需求未建立",0))</x:f>
      </x:c>
      <x:c r="F40" s="305"/>
      <x:c r="G40" s="305"/>
      <x:c r="H40" s="305"/>
      <x:c r="I40" s="305"/>
      <x:c r="J40" s="305"/>
      <x:c r="K40" s="305"/>
      <x:c r="L40" s="308"/>
      <x:c r="M40" s="308"/>
      <x:c r="N40" s="305"/>
      <x:c r="O40" s="305"/>
      <x:c r="P40" s="308"/>
      <x:c r="Q40" s="305"/>
      <x:c r="R40" s="307" t="str">
        <x:f>IF($A40="","",IF(OR($Q40="已撤銷",$Q40="已結案"),$Q40,IF(OR(LEN($B40)=0,LEN($F40)=0,LEN($G40)=0,LEN($H40)=0,LEN($I40)=0,LEN($J40)=0,LEN($K40)=0,LEN($L40)=0,LEN($M40)=0,LEN($N40)=0,LEN($O40)=0,LEN($P40)=0,LEN($Q40)=0),"待補欄位",IF($N40&lt;&gt;"已核定","待主管核定",IF($P40&lt;$L40,"核定日早於申請日",IF($M40&lt;&gt;$C40,"有效日須等於班次日期","資料完整"))))))</x:f>
      </x:c>
      <x:c r="S40" s="307" t="str">
        <x:f>IF($A40="","",IF($R40&lt;&gt;"資料完整",$R40,IF($D40="通過","無需例外",IF(OR($D40="療程待確認",$D40="缺主跟診配置",$D40="缺短時支援",$D40="支援容量不足",$D40="人員時段衝突"),"不可例外："&amp;$D40,IF($D40="正式資格未完成",IF(OR($F40="已核定資料待回寫",$F40="緊急規則已另行核定"),"可限時核定","不可例外：類型不符"),"不可例外：未定義原因")))))</x:f>
      </x:c>
      <x:c r="T40" s="307" t="str">
        <x:f>IF($A40="","",IF($Q40&lt;&gt;"生效",$Q40,IF($S40&lt;&gt;"可限時核定",$S40,IF($M40&lt;TODAY(),"已到期",IF(COUNTIFS($B$7:$B$106,$B40,$N$7:$N$106,"已核定",$Q$7:$Q$106,"生效",$S$7:$S$106,"可限時核定",$M$7:$M$106,"&gt;="&amp;TODAY())&gt;1,"同一需求重複生效","例外有效")))))</x:f>
      </x:c>
      <x:c r="U40" s="307" t="str">
        <x:f>IF($T40="例外有效",$B40,"")</x:f>
      </x:c>
    </x:row>
    <x:row r="41">
      <x:c r="A41" s="305"/>
      <x:c r="B41" s="305"/>
      <x:c r="C41" s="306" t="str">
        <x:f>IF($B41="","",_xlfn.XLOOKUP($B41,'班次檢核總覽'!$A$7:$A$36,'班次檢核總覽'!$B$7:$B$36,"需求未建立",0))</x:f>
      </x:c>
      <x:c r="D41" s="307" t="str">
        <x:f>IF($B41="","",_xlfn.XLOOKUP($B41,'班次檢核總覽'!$A$7:$A$36,'班次檢核總覽'!$Q$7:$Q$36,"需求未建立",0))</x:f>
      </x:c>
      <x:c r="E41" s="307" t="str">
        <x:f>IF($B41="","",_xlfn.XLOOKUP($B41,'班次檢核總覽'!$A$7:$A$36,'班次檢核總覽'!$U$7:$U$36,"需求未建立",0))</x:f>
      </x:c>
      <x:c r="F41" s="305"/>
      <x:c r="G41" s="305"/>
      <x:c r="H41" s="305"/>
      <x:c r="I41" s="305"/>
      <x:c r="J41" s="305"/>
      <x:c r="K41" s="305"/>
      <x:c r="L41" s="308"/>
      <x:c r="M41" s="308"/>
      <x:c r="N41" s="305"/>
      <x:c r="O41" s="305"/>
      <x:c r="P41" s="308"/>
      <x:c r="Q41" s="305"/>
      <x:c r="R41" s="307" t="str">
        <x:f>IF($A41="","",IF(OR($Q41="已撤銷",$Q41="已結案"),$Q41,IF(OR(LEN($B41)=0,LEN($F41)=0,LEN($G41)=0,LEN($H41)=0,LEN($I41)=0,LEN($J41)=0,LEN($K41)=0,LEN($L41)=0,LEN($M41)=0,LEN($N41)=0,LEN($O41)=0,LEN($P41)=0,LEN($Q41)=0),"待補欄位",IF($N41&lt;&gt;"已核定","待主管核定",IF($P41&lt;$L41,"核定日早於申請日",IF($M41&lt;&gt;$C41,"有效日須等於班次日期","資料完整"))))))</x:f>
      </x:c>
      <x:c r="S41" s="307" t="str">
        <x:f>IF($A41="","",IF($R41&lt;&gt;"資料完整",$R41,IF($D41="通過","無需例外",IF(OR($D41="療程待確認",$D41="缺主跟診配置",$D41="缺短時支援",$D41="支援容量不足",$D41="人員時段衝突"),"不可例外："&amp;$D41,IF($D41="正式資格未完成",IF(OR($F41="已核定資料待回寫",$F41="緊急規則已另行核定"),"可限時核定","不可例外：類型不符"),"不可例外：未定義原因")))))</x:f>
      </x:c>
      <x:c r="T41" s="307" t="str">
        <x:f>IF($A41="","",IF($Q41&lt;&gt;"生效",$Q41,IF($S41&lt;&gt;"可限時核定",$S41,IF($M41&lt;TODAY(),"已到期",IF(COUNTIFS($B$7:$B$106,$B41,$N$7:$N$106,"已核定",$Q$7:$Q$106,"生效",$S$7:$S$106,"可限時核定",$M$7:$M$106,"&gt;="&amp;TODAY())&gt;1,"同一需求重複生效","例外有效")))))</x:f>
      </x:c>
      <x:c r="U41" s="307" t="str">
        <x:f>IF($T41="例外有效",$B41,"")</x:f>
      </x:c>
    </x:row>
    <x:row r="42">
      <x:c r="A42" s="305"/>
      <x:c r="B42" s="305"/>
      <x:c r="C42" s="306" t="str">
        <x:f>IF($B42="","",_xlfn.XLOOKUP($B42,'班次檢核總覽'!$A$7:$A$36,'班次檢核總覽'!$B$7:$B$36,"需求未建立",0))</x:f>
      </x:c>
      <x:c r="D42" s="307" t="str">
        <x:f>IF($B42="","",_xlfn.XLOOKUP($B42,'班次檢核總覽'!$A$7:$A$36,'班次檢核總覽'!$Q$7:$Q$36,"需求未建立",0))</x:f>
      </x:c>
      <x:c r="E42" s="307" t="str">
        <x:f>IF($B42="","",_xlfn.XLOOKUP($B42,'班次檢核總覽'!$A$7:$A$36,'班次檢核總覽'!$U$7:$U$36,"需求未建立",0))</x:f>
      </x:c>
      <x:c r="F42" s="305"/>
      <x:c r="G42" s="305"/>
      <x:c r="H42" s="305"/>
      <x:c r="I42" s="305"/>
      <x:c r="J42" s="305"/>
      <x:c r="K42" s="305"/>
      <x:c r="L42" s="308"/>
      <x:c r="M42" s="308"/>
      <x:c r="N42" s="305"/>
      <x:c r="O42" s="305"/>
      <x:c r="P42" s="308"/>
      <x:c r="Q42" s="305"/>
      <x:c r="R42" s="307" t="str">
        <x:f>IF($A42="","",IF(OR($Q42="已撤銷",$Q42="已結案"),$Q42,IF(OR(LEN($B42)=0,LEN($F42)=0,LEN($G42)=0,LEN($H42)=0,LEN($I42)=0,LEN($J42)=0,LEN($K42)=0,LEN($L42)=0,LEN($M42)=0,LEN($N42)=0,LEN($O42)=0,LEN($P42)=0,LEN($Q42)=0),"待補欄位",IF($N42&lt;&gt;"已核定","待主管核定",IF($P42&lt;$L42,"核定日早於申請日",IF($M42&lt;&gt;$C42,"有效日須等於班次日期","資料完整"))))))</x:f>
      </x:c>
      <x:c r="S42" s="307" t="str">
        <x:f>IF($A42="","",IF($R42&lt;&gt;"資料完整",$R42,IF($D42="通過","無需例外",IF(OR($D42="療程待確認",$D42="缺主跟診配置",$D42="缺短時支援",$D42="支援容量不足",$D42="人員時段衝突"),"不可例外："&amp;$D42,IF($D42="正式資格未完成",IF(OR($F42="已核定資料待回寫",$F42="緊急規則已另行核定"),"可限時核定","不可例外：類型不符"),"不可例外：未定義原因")))))</x:f>
      </x:c>
      <x:c r="T42" s="307" t="str">
        <x:f>IF($A42="","",IF($Q42&lt;&gt;"生效",$Q42,IF($S42&lt;&gt;"可限時核定",$S42,IF($M42&lt;TODAY(),"已到期",IF(COUNTIFS($B$7:$B$106,$B42,$N$7:$N$106,"已核定",$Q$7:$Q$106,"生效",$S$7:$S$106,"可限時核定",$M$7:$M$106,"&gt;="&amp;TODAY())&gt;1,"同一需求重複生效","例外有效")))))</x:f>
      </x:c>
      <x:c r="U42" s="307" t="str">
        <x:f>IF($T42="例外有效",$B42,"")</x:f>
      </x:c>
    </x:row>
    <x:row r="43">
      <x:c r="A43" s="305"/>
      <x:c r="B43" s="305"/>
      <x:c r="C43" s="306" t="str">
        <x:f>IF($B43="","",_xlfn.XLOOKUP($B43,'班次檢核總覽'!$A$7:$A$36,'班次檢核總覽'!$B$7:$B$36,"需求未建立",0))</x:f>
      </x:c>
      <x:c r="D43" s="307" t="str">
        <x:f>IF($B43="","",_xlfn.XLOOKUP($B43,'班次檢核總覽'!$A$7:$A$36,'班次檢核總覽'!$Q$7:$Q$36,"需求未建立",0))</x:f>
      </x:c>
      <x:c r="E43" s="307" t="str">
        <x:f>IF($B43="","",_xlfn.XLOOKUP($B43,'班次檢核總覽'!$A$7:$A$36,'班次檢核總覽'!$U$7:$U$36,"需求未建立",0))</x:f>
      </x:c>
      <x:c r="F43" s="305"/>
      <x:c r="G43" s="305"/>
      <x:c r="H43" s="305"/>
      <x:c r="I43" s="305"/>
      <x:c r="J43" s="305"/>
      <x:c r="K43" s="305"/>
      <x:c r="L43" s="308"/>
      <x:c r="M43" s="308"/>
      <x:c r="N43" s="305"/>
      <x:c r="O43" s="305"/>
      <x:c r="P43" s="308"/>
      <x:c r="Q43" s="305"/>
      <x:c r="R43" s="307" t="str">
        <x:f>IF($A43="","",IF(OR($Q43="已撤銷",$Q43="已結案"),$Q43,IF(OR(LEN($B43)=0,LEN($F43)=0,LEN($G43)=0,LEN($H43)=0,LEN($I43)=0,LEN($J43)=0,LEN($K43)=0,LEN($L43)=0,LEN($M43)=0,LEN($N43)=0,LEN($O43)=0,LEN($P43)=0,LEN($Q43)=0),"待補欄位",IF($N43&lt;&gt;"已核定","待主管核定",IF($P43&lt;$L43,"核定日早於申請日",IF($M43&lt;&gt;$C43,"有效日須等於班次日期","資料完整"))))))</x:f>
      </x:c>
      <x:c r="S43" s="307" t="str">
        <x:f>IF($A43="","",IF($R43&lt;&gt;"資料完整",$R43,IF($D43="通過","無需例外",IF(OR($D43="療程待確認",$D43="缺主跟診配置",$D43="缺短時支援",$D43="支援容量不足",$D43="人員時段衝突"),"不可例外："&amp;$D43,IF($D43="正式資格未完成",IF(OR($F43="已核定資料待回寫",$F43="緊急規則已另行核定"),"可限時核定","不可例外：類型不符"),"不可例外：未定義原因")))))</x:f>
      </x:c>
      <x:c r="T43" s="307" t="str">
        <x:f>IF($A43="","",IF($Q43&lt;&gt;"生效",$Q43,IF($S43&lt;&gt;"可限時核定",$S43,IF($M43&lt;TODAY(),"已到期",IF(COUNTIFS($B$7:$B$106,$B43,$N$7:$N$106,"已核定",$Q$7:$Q$106,"生效",$S$7:$S$106,"可限時核定",$M$7:$M$106,"&gt;="&amp;TODAY())&gt;1,"同一需求重複生效","例外有效")))))</x:f>
      </x:c>
      <x:c r="U43" s="307" t="str">
        <x:f>IF($T43="例外有效",$B43,"")</x:f>
      </x:c>
    </x:row>
    <x:row r="44">
      <x:c r="A44" s="305"/>
      <x:c r="B44" s="305"/>
      <x:c r="C44" s="306" t="str">
        <x:f>IF($B44="","",_xlfn.XLOOKUP($B44,'班次檢核總覽'!$A$7:$A$36,'班次檢核總覽'!$B$7:$B$36,"需求未建立",0))</x:f>
      </x:c>
      <x:c r="D44" s="307" t="str">
        <x:f>IF($B44="","",_xlfn.XLOOKUP($B44,'班次檢核總覽'!$A$7:$A$36,'班次檢核總覽'!$Q$7:$Q$36,"需求未建立",0))</x:f>
      </x:c>
      <x:c r="E44" s="307" t="str">
        <x:f>IF($B44="","",_xlfn.XLOOKUP($B44,'班次檢核總覽'!$A$7:$A$36,'班次檢核總覽'!$U$7:$U$36,"需求未建立",0))</x:f>
      </x:c>
      <x:c r="F44" s="305"/>
      <x:c r="G44" s="305"/>
      <x:c r="H44" s="305"/>
      <x:c r="I44" s="305"/>
      <x:c r="J44" s="305"/>
      <x:c r="K44" s="305"/>
      <x:c r="L44" s="308"/>
      <x:c r="M44" s="308"/>
      <x:c r="N44" s="305"/>
      <x:c r="O44" s="305"/>
      <x:c r="P44" s="308"/>
      <x:c r="Q44" s="305"/>
      <x:c r="R44" s="307" t="str">
        <x:f>IF($A44="","",IF(OR($Q44="已撤銷",$Q44="已結案"),$Q44,IF(OR(LEN($B44)=0,LEN($F44)=0,LEN($G44)=0,LEN($H44)=0,LEN($I44)=0,LEN($J44)=0,LEN($K44)=0,LEN($L44)=0,LEN($M44)=0,LEN($N44)=0,LEN($O44)=0,LEN($P44)=0,LEN($Q44)=0),"待補欄位",IF($N44&lt;&gt;"已核定","待主管核定",IF($P44&lt;$L44,"核定日早於申請日",IF($M44&lt;&gt;$C44,"有效日須等於班次日期","資料完整"))))))</x:f>
      </x:c>
      <x:c r="S44" s="307" t="str">
        <x:f>IF($A44="","",IF($R44&lt;&gt;"資料完整",$R44,IF($D44="通過","無需例外",IF(OR($D44="療程待確認",$D44="缺主跟診配置",$D44="缺短時支援",$D44="支援容量不足",$D44="人員時段衝突"),"不可例外："&amp;$D44,IF($D44="正式資格未完成",IF(OR($F44="已核定資料待回寫",$F44="緊急規則已另行核定"),"可限時核定","不可例外：類型不符"),"不可例外：未定義原因")))))</x:f>
      </x:c>
      <x:c r="T44" s="307" t="str">
        <x:f>IF($A44="","",IF($Q44&lt;&gt;"生效",$Q44,IF($S44&lt;&gt;"可限時核定",$S44,IF($M44&lt;TODAY(),"已到期",IF(COUNTIFS($B$7:$B$106,$B44,$N$7:$N$106,"已核定",$Q$7:$Q$106,"生效",$S$7:$S$106,"可限時核定",$M$7:$M$106,"&gt;="&amp;TODAY())&gt;1,"同一需求重複生效","例外有效")))))</x:f>
      </x:c>
      <x:c r="U44" s="307" t="str">
        <x:f>IF($T44="例外有效",$B44,"")</x:f>
      </x:c>
    </x:row>
    <x:row r="45">
      <x:c r="A45" s="305"/>
      <x:c r="B45" s="305"/>
      <x:c r="C45" s="306" t="str">
        <x:f>IF($B45="","",_xlfn.XLOOKUP($B45,'班次檢核總覽'!$A$7:$A$36,'班次檢核總覽'!$B$7:$B$36,"需求未建立",0))</x:f>
      </x:c>
      <x:c r="D45" s="307" t="str">
        <x:f>IF($B45="","",_xlfn.XLOOKUP($B45,'班次檢核總覽'!$A$7:$A$36,'班次檢核總覽'!$Q$7:$Q$36,"需求未建立",0))</x:f>
      </x:c>
      <x:c r="E45" s="307" t="str">
        <x:f>IF($B45="","",_xlfn.XLOOKUP($B45,'班次檢核總覽'!$A$7:$A$36,'班次檢核總覽'!$U$7:$U$36,"需求未建立",0))</x:f>
      </x:c>
      <x:c r="F45" s="305"/>
      <x:c r="G45" s="305"/>
      <x:c r="H45" s="305"/>
      <x:c r="I45" s="305"/>
      <x:c r="J45" s="305"/>
      <x:c r="K45" s="305"/>
      <x:c r="L45" s="308"/>
      <x:c r="M45" s="308"/>
      <x:c r="N45" s="305"/>
      <x:c r="O45" s="305"/>
      <x:c r="P45" s="308"/>
      <x:c r="Q45" s="305"/>
      <x:c r="R45" s="307" t="str">
        <x:f>IF($A45="","",IF(OR($Q45="已撤銷",$Q45="已結案"),$Q45,IF(OR(LEN($B45)=0,LEN($F45)=0,LEN($G45)=0,LEN($H45)=0,LEN($I45)=0,LEN($J45)=0,LEN($K45)=0,LEN($L45)=0,LEN($M45)=0,LEN($N45)=0,LEN($O45)=0,LEN($P45)=0,LEN($Q45)=0),"待補欄位",IF($N45&lt;&gt;"已核定","待主管核定",IF($P45&lt;$L45,"核定日早於申請日",IF($M45&lt;&gt;$C45,"有效日須等於班次日期","資料完整"))))))</x:f>
      </x:c>
      <x:c r="S45" s="307" t="str">
        <x:f>IF($A45="","",IF($R45&lt;&gt;"資料完整",$R45,IF($D45="通過","無需例外",IF(OR($D45="療程待確認",$D45="缺主跟診配置",$D45="缺短時支援",$D45="支援容量不足",$D45="人員時段衝突"),"不可例外："&amp;$D45,IF($D45="正式資格未完成",IF(OR($F45="已核定資料待回寫",$F45="緊急規則已另行核定"),"可限時核定","不可例外：類型不符"),"不可例外：未定義原因")))))</x:f>
      </x:c>
      <x:c r="T45" s="307" t="str">
        <x:f>IF($A45="","",IF($Q45&lt;&gt;"生效",$Q45,IF($S45&lt;&gt;"可限時核定",$S45,IF($M45&lt;TODAY(),"已到期",IF(COUNTIFS($B$7:$B$106,$B45,$N$7:$N$106,"已核定",$Q$7:$Q$106,"生效",$S$7:$S$106,"可限時核定",$M$7:$M$106,"&gt;="&amp;TODAY())&gt;1,"同一需求重複生效","例外有效")))))</x:f>
      </x:c>
      <x:c r="U45" s="307" t="str">
        <x:f>IF($T45="例外有效",$B45,"")</x:f>
      </x:c>
    </x:row>
    <x:row r="46">
      <x:c r="A46" s="305"/>
      <x:c r="B46" s="305"/>
      <x:c r="C46" s="306" t="str">
        <x:f>IF($B46="","",_xlfn.XLOOKUP($B46,'班次檢核總覽'!$A$7:$A$36,'班次檢核總覽'!$B$7:$B$36,"需求未建立",0))</x:f>
      </x:c>
      <x:c r="D46" s="307" t="str">
        <x:f>IF($B46="","",_xlfn.XLOOKUP($B46,'班次檢核總覽'!$A$7:$A$36,'班次檢核總覽'!$Q$7:$Q$36,"需求未建立",0))</x:f>
      </x:c>
      <x:c r="E46" s="307" t="str">
        <x:f>IF($B46="","",_xlfn.XLOOKUP($B46,'班次檢核總覽'!$A$7:$A$36,'班次檢核總覽'!$U$7:$U$36,"需求未建立",0))</x:f>
      </x:c>
      <x:c r="F46" s="305"/>
      <x:c r="G46" s="305"/>
      <x:c r="H46" s="305"/>
      <x:c r="I46" s="305"/>
      <x:c r="J46" s="305"/>
      <x:c r="K46" s="305"/>
      <x:c r="L46" s="308"/>
      <x:c r="M46" s="308"/>
      <x:c r="N46" s="305"/>
      <x:c r="O46" s="305"/>
      <x:c r="P46" s="308"/>
      <x:c r="Q46" s="305"/>
      <x:c r="R46" s="307" t="str">
        <x:f>IF($A46="","",IF(OR($Q46="已撤銷",$Q46="已結案"),$Q46,IF(OR(LEN($B46)=0,LEN($F46)=0,LEN($G46)=0,LEN($H46)=0,LEN($I46)=0,LEN($J46)=0,LEN($K46)=0,LEN($L46)=0,LEN($M46)=0,LEN($N46)=0,LEN($O46)=0,LEN($P46)=0,LEN($Q46)=0),"待補欄位",IF($N46&lt;&gt;"已核定","待主管核定",IF($P46&lt;$L46,"核定日早於申請日",IF($M46&lt;&gt;$C46,"有效日須等於班次日期","資料完整"))))))</x:f>
      </x:c>
      <x:c r="S46" s="307" t="str">
        <x:f>IF($A46="","",IF($R46&lt;&gt;"資料完整",$R46,IF($D46="通過","無需例外",IF(OR($D46="療程待確認",$D46="缺主跟診配置",$D46="缺短時支援",$D46="支援容量不足",$D46="人員時段衝突"),"不可例外："&amp;$D46,IF($D46="正式資格未完成",IF(OR($F46="已核定資料待回寫",$F46="緊急規則已另行核定"),"可限時核定","不可例外：類型不符"),"不可例外：未定義原因")))))</x:f>
      </x:c>
      <x:c r="T46" s="307" t="str">
        <x:f>IF($A46="","",IF($Q46&lt;&gt;"生效",$Q46,IF($S46&lt;&gt;"可限時核定",$S46,IF($M46&lt;TODAY(),"已到期",IF(COUNTIFS($B$7:$B$106,$B46,$N$7:$N$106,"已核定",$Q$7:$Q$106,"生效",$S$7:$S$106,"可限時核定",$M$7:$M$106,"&gt;="&amp;TODAY())&gt;1,"同一需求重複生效","例外有效")))))</x:f>
      </x:c>
      <x:c r="U46" s="307" t="str">
        <x:f>IF($T46="例外有效",$B46,"")</x:f>
      </x:c>
    </x:row>
    <x:row r="47">
      <x:c r="A47" s="305"/>
      <x:c r="B47" s="305"/>
      <x:c r="C47" s="306" t="str">
        <x:f>IF($B47="","",_xlfn.XLOOKUP($B47,'班次檢核總覽'!$A$7:$A$36,'班次檢核總覽'!$B$7:$B$36,"需求未建立",0))</x:f>
      </x:c>
      <x:c r="D47" s="307" t="str">
        <x:f>IF($B47="","",_xlfn.XLOOKUP($B47,'班次檢核總覽'!$A$7:$A$36,'班次檢核總覽'!$Q$7:$Q$36,"需求未建立",0))</x:f>
      </x:c>
      <x:c r="E47" s="307" t="str">
        <x:f>IF($B47="","",_xlfn.XLOOKUP($B47,'班次檢核總覽'!$A$7:$A$36,'班次檢核總覽'!$U$7:$U$36,"需求未建立",0))</x:f>
      </x:c>
      <x:c r="F47" s="305"/>
      <x:c r="G47" s="305"/>
      <x:c r="H47" s="305"/>
      <x:c r="I47" s="305"/>
      <x:c r="J47" s="305"/>
      <x:c r="K47" s="305"/>
      <x:c r="L47" s="308"/>
      <x:c r="M47" s="308"/>
      <x:c r="N47" s="305"/>
      <x:c r="O47" s="305"/>
      <x:c r="P47" s="308"/>
      <x:c r="Q47" s="305"/>
      <x:c r="R47" s="307" t="str">
        <x:f>IF($A47="","",IF(OR($Q47="已撤銷",$Q47="已結案"),$Q47,IF(OR(LEN($B47)=0,LEN($F47)=0,LEN($G47)=0,LEN($H47)=0,LEN($I47)=0,LEN($J47)=0,LEN($K47)=0,LEN($L47)=0,LEN($M47)=0,LEN($N47)=0,LEN($O47)=0,LEN($P47)=0,LEN($Q47)=0),"待補欄位",IF($N47&lt;&gt;"已核定","待主管核定",IF($P47&lt;$L47,"核定日早於申請日",IF($M47&lt;&gt;$C47,"有效日須等於班次日期","資料完整"))))))</x:f>
      </x:c>
      <x:c r="S47" s="307" t="str">
        <x:f>IF($A47="","",IF($R47&lt;&gt;"資料完整",$R47,IF($D47="通過","無需例外",IF(OR($D47="療程待確認",$D47="缺主跟診配置",$D47="缺短時支援",$D47="支援容量不足",$D47="人員時段衝突"),"不可例外："&amp;$D47,IF($D47="正式資格未完成",IF(OR($F47="已核定資料待回寫",$F47="緊急規則已另行核定"),"可限時核定","不可例外：類型不符"),"不可例外：未定義原因")))))</x:f>
      </x:c>
      <x:c r="T47" s="307" t="str">
        <x:f>IF($A47="","",IF($Q47&lt;&gt;"生效",$Q47,IF($S47&lt;&gt;"可限時核定",$S47,IF($M47&lt;TODAY(),"已到期",IF(COUNTIFS($B$7:$B$106,$B47,$N$7:$N$106,"已核定",$Q$7:$Q$106,"生效",$S$7:$S$106,"可限時核定",$M$7:$M$106,"&gt;="&amp;TODAY())&gt;1,"同一需求重複生效","例外有效")))))</x:f>
      </x:c>
      <x:c r="U47" s="307" t="str">
        <x:f>IF($T47="例外有效",$B47,"")</x:f>
      </x:c>
    </x:row>
    <x:row r="48">
      <x:c r="A48" s="305"/>
      <x:c r="B48" s="305"/>
      <x:c r="C48" s="306" t="str">
        <x:f>IF($B48="","",_xlfn.XLOOKUP($B48,'班次檢核總覽'!$A$7:$A$36,'班次檢核總覽'!$B$7:$B$36,"需求未建立",0))</x:f>
      </x:c>
      <x:c r="D48" s="307" t="str">
        <x:f>IF($B48="","",_xlfn.XLOOKUP($B48,'班次檢核總覽'!$A$7:$A$36,'班次檢核總覽'!$Q$7:$Q$36,"需求未建立",0))</x:f>
      </x:c>
      <x:c r="E48" s="307" t="str">
        <x:f>IF($B48="","",_xlfn.XLOOKUP($B48,'班次檢核總覽'!$A$7:$A$36,'班次檢核總覽'!$U$7:$U$36,"需求未建立",0))</x:f>
      </x:c>
      <x:c r="F48" s="305"/>
      <x:c r="G48" s="305"/>
      <x:c r="H48" s="305"/>
      <x:c r="I48" s="305"/>
      <x:c r="J48" s="305"/>
      <x:c r="K48" s="305"/>
      <x:c r="L48" s="308"/>
      <x:c r="M48" s="308"/>
      <x:c r="N48" s="305"/>
      <x:c r="O48" s="305"/>
      <x:c r="P48" s="308"/>
      <x:c r="Q48" s="305"/>
      <x:c r="R48" s="307" t="str">
        <x:f>IF($A48="","",IF(OR($Q48="已撤銷",$Q48="已結案"),$Q48,IF(OR(LEN($B48)=0,LEN($F48)=0,LEN($G48)=0,LEN($H48)=0,LEN($I48)=0,LEN($J48)=0,LEN($K48)=0,LEN($L48)=0,LEN($M48)=0,LEN($N48)=0,LEN($O48)=0,LEN($P48)=0,LEN($Q48)=0),"待補欄位",IF($N48&lt;&gt;"已核定","待主管核定",IF($P48&lt;$L48,"核定日早於申請日",IF($M48&lt;&gt;$C48,"有效日須等於班次日期","資料完整"))))))</x:f>
      </x:c>
      <x:c r="S48" s="307" t="str">
        <x:f>IF($A48="","",IF($R48&lt;&gt;"資料完整",$R48,IF($D48="通過","無需例外",IF(OR($D48="療程待確認",$D48="缺主跟診配置",$D48="缺短時支援",$D48="支援容量不足",$D48="人員時段衝突"),"不可例外："&amp;$D48,IF($D48="正式資格未完成",IF(OR($F48="已核定資料待回寫",$F48="緊急規則已另行核定"),"可限時核定","不可例外：類型不符"),"不可例外：未定義原因")))))</x:f>
      </x:c>
      <x:c r="T48" s="307" t="str">
        <x:f>IF($A48="","",IF($Q48&lt;&gt;"生效",$Q48,IF($S48&lt;&gt;"可限時核定",$S48,IF($M48&lt;TODAY(),"已到期",IF(COUNTIFS($B$7:$B$106,$B48,$N$7:$N$106,"已核定",$Q$7:$Q$106,"生效",$S$7:$S$106,"可限時核定",$M$7:$M$106,"&gt;="&amp;TODAY())&gt;1,"同一需求重複生效","例外有效")))))</x:f>
      </x:c>
      <x:c r="U48" s="307" t="str">
        <x:f>IF($T48="例外有效",$B48,"")</x:f>
      </x:c>
    </x:row>
    <x:row r="49">
      <x:c r="A49" s="305"/>
      <x:c r="B49" s="305"/>
      <x:c r="C49" s="306" t="str">
        <x:f>IF($B49="","",_xlfn.XLOOKUP($B49,'班次檢核總覽'!$A$7:$A$36,'班次檢核總覽'!$B$7:$B$36,"需求未建立",0))</x:f>
      </x:c>
      <x:c r="D49" s="307" t="str">
        <x:f>IF($B49="","",_xlfn.XLOOKUP($B49,'班次檢核總覽'!$A$7:$A$36,'班次檢核總覽'!$Q$7:$Q$36,"需求未建立",0))</x:f>
      </x:c>
      <x:c r="E49" s="307" t="str">
        <x:f>IF($B49="","",_xlfn.XLOOKUP($B49,'班次檢核總覽'!$A$7:$A$36,'班次檢核總覽'!$U$7:$U$36,"需求未建立",0))</x:f>
      </x:c>
      <x:c r="F49" s="305"/>
      <x:c r="G49" s="305"/>
      <x:c r="H49" s="305"/>
      <x:c r="I49" s="305"/>
      <x:c r="J49" s="305"/>
      <x:c r="K49" s="305"/>
      <x:c r="L49" s="308"/>
      <x:c r="M49" s="308"/>
      <x:c r="N49" s="305"/>
      <x:c r="O49" s="305"/>
      <x:c r="P49" s="308"/>
      <x:c r="Q49" s="305"/>
      <x:c r="R49" s="307" t="str">
        <x:f>IF($A49="","",IF(OR($Q49="已撤銷",$Q49="已結案"),$Q49,IF(OR(LEN($B49)=0,LEN($F49)=0,LEN($G49)=0,LEN($H49)=0,LEN($I49)=0,LEN($J49)=0,LEN($K49)=0,LEN($L49)=0,LEN($M49)=0,LEN($N49)=0,LEN($O49)=0,LEN($P49)=0,LEN($Q49)=0),"待補欄位",IF($N49&lt;&gt;"已核定","待主管核定",IF($P49&lt;$L49,"核定日早於申請日",IF($M49&lt;&gt;$C49,"有效日須等於班次日期","資料完整"))))))</x:f>
      </x:c>
      <x:c r="S49" s="307" t="str">
        <x:f>IF($A49="","",IF($R49&lt;&gt;"資料完整",$R49,IF($D49="通過","無需例外",IF(OR($D49="療程待確認",$D49="缺主跟診配置",$D49="缺短時支援",$D49="支援容量不足",$D49="人員時段衝突"),"不可例外："&amp;$D49,IF($D49="正式資格未完成",IF(OR($F49="已核定資料待回寫",$F49="緊急規則已另行核定"),"可限時核定","不可例外：類型不符"),"不可例外：未定義原因")))))</x:f>
      </x:c>
      <x:c r="T49" s="307" t="str">
        <x:f>IF($A49="","",IF($Q49&lt;&gt;"生效",$Q49,IF($S49&lt;&gt;"可限時核定",$S49,IF($M49&lt;TODAY(),"已到期",IF(COUNTIFS($B$7:$B$106,$B49,$N$7:$N$106,"已核定",$Q$7:$Q$106,"生效",$S$7:$S$106,"可限時核定",$M$7:$M$106,"&gt;="&amp;TODAY())&gt;1,"同一需求重複生效","例外有效")))))</x:f>
      </x:c>
      <x:c r="U49" s="307" t="str">
        <x:f>IF($T49="例外有效",$B49,"")</x:f>
      </x:c>
    </x:row>
    <x:row r="50">
      <x:c r="A50" s="305"/>
      <x:c r="B50" s="305"/>
      <x:c r="C50" s="306" t="str">
        <x:f>IF($B50="","",_xlfn.XLOOKUP($B50,'班次檢核總覽'!$A$7:$A$36,'班次檢核總覽'!$B$7:$B$36,"需求未建立",0))</x:f>
      </x:c>
      <x:c r="D50" s="307" t="str">
        <x:f>IF($B50="","",_xlfn.XLOOKUP($B50,'班次檢核總覽'!$A$7:$A$36,'班次檢核總覽'!$Q$7:$Q$36,"需求未建立",0))</x:f>
      </x:c>
      <x:c r="E50" s="307" t="str">
        <x:f>IF($B50="","",_xlfn.XLOOKUP($B50,'班次檢核總覽'!$A$7:$A$36,'班次檢核總覽'!$U$7:$U$36,"需求未建立",0))</x:f>
      </x:c>
      <x:c r="F50" s="305"/>
      <x:c r="G50" s="305"/>
      <x:c r="H50" s="305"/>
      <x:c r="I50" s="305"/>
      <x:c r="J50" s="305"/>
      <x:c r="K50" s="305"/>
      <x:c r="L50" s="308"/>
      <x:c r="M50" s="308"/>
      <x:c r="N50" s="305"/>
      <x:c r="O50" s="305"/>
      <x:c r="P50" s="308"/>
      <x:c r="Q50" s="305"/>
      <x:c r="R50" s="307" t="str">
        <x:f>IF($A50="","",IF(OR($Q50="已撤銷",$Q50="已結案"),$Q50,IF(OR(LEN($B50)=0,LEN($F50)=0,LEN($G50)=0,LEN($H50)=0,LEN($I50)=0,LEN($J50)=0,LEN($K50)=0,LEN($L50)=0,LEN($M50)=0,LEN($N50)=0,LEN($O50)=0,LEN($P50)=0,LEN($Q50)=0),"待補欄位",IF($N50&lt;&gt;"已核定","待主管核定",IF($P50&lt;$L50,"核定日早於申請日",IF($M50&lt;&gt;$C50,"有效日須等於班次日期","資料完整"))))))</x:f>
      </x:c>
      <x:c r="S50" s="307" t="str">
        <x:f>IF($A50="","",IF($R50&lt;&gt;"資料完整",$R50,IF($D50="通過","無需例外",IF(OR($D50="療程待確認",$D50="缺主跟診配置",$D50="缺短時支援",$D50="支援容量不足",$D50="人員時段衝突"),"不可例外："&amp;$D50,IF($D50="正式資格未完成",IF(OR($F50="已核定資料待回寫",$F50="緊急規則已另行核定"),"可限時核定","不可例外：類型不符"),"不可例外：未定義原因")))))</x:f>
      </x:c>
      <x:c r="T50" s="307" t="str">
        <x:f>IF($A50="","",IF($Q50&lt;&gt;"生效",$Q50,IF($S50&lt;&gt;"可限時核定",$S50,IF($M50&lt;TODAY(),"已到期",IF(COUNTIFS($B$7:$B$106,$B50,$N$7:$N$106,"已核定",$Q$7:$Q$106,"生效",$S$7:$S$106,"可限時核定",$M$7:$M$106,"&gt;="&amp;TODAY())&gt;1,"同一需求重複生效","例外有效")))))</x:f>
      </x:c>
      <x:c r="U50" s="307" t="str">
        <x:f>IF($T50="例外有效",$B50,"")</x:f>
      </x:c>
    </x:row>
    <x:row r="51">
      <x:c r="A51" s="305"/>
      <x:c r="B51" s="305"/>
      <x:c r="C51" s="306" t="str">
        <x:f>IF($B51="","",_xlfn.XLOOKUP($B51,'班次檢核總覽'!$A$7:$A$36,'班次檢核總覽'!$B$7:$B$36,"需求未建立",0))</x:f>
      </x:c>
      <x:c r="D51" s="307" t="str">
        <x:f>IF($B51="","",_xlfn.XLOOKUP($B51,'班次檢核總覽'!$A$7:$A$36,'班次檢核總覽'!$Q$7:$Q$36,"需求未建立",0))</x:f>
      </x:c>
      <x:c r="E51" s="307" t="str">
        <x:f>IF($B51="","",_xlfn.XLOOKUP($B51,'班次檢核總覽'!$A$7:$A$36,'班次檢核總覽'!$U$7:$U$36,"需求未建立",0))</x:f>
      </x:c>
      <x:c r="F51" s="305"/>
      <x:c r="G51" s="305"/>
      <x:c r="H51" s="305"/>
      <x:c r="I51" s="305"/>
      <x:c r="J51" s="305"/>
      <x:c r="K51" s="305"/>
      <x:c r="L51" s="308"/>
      <x:c r="M51" s="308"/>
      <x:c r="N51" s="305"/>
      <x:c r="O51" s="305"/>
      <x:c r="P51" s="308"/>
      <x:c r="Q51" s="305"/>
      <x:c r="R51" s="307" t="str">
        <x:f>IF($A51="","",IF(OR($Q51="已撤銷",$Q51="已結案"),$Q51,IF(OR(LEN($B51)=0,LEN($F51)=0,LEN($G51)=0,LEN($H51)=0,LEN($I51)=0,LEN($J51)=0,LEN($K51)=0,LEN($L51)=0,LEN($M51)=0,LEN($N51)=0,LEN($O51)=0,LEN($P51)=0,LEN($Q51)=0),"待補欄位",IF($N51&lt;&gt;"已核定","待主管核定",IF($P51&lt;$L51,"核定日早於申請日",IF($M51&lt;&gt;$C51,"有效日須等於班次日期","資料完整"))))))</x:f>
      </x:c>
      <x:c r="S51" s="307" t="str">
        <x:f>IF($A51="","",IF($R51&lt;&gt;"資料完整",$R51,IF($D51="通過","無需例外",IF(OR($D51="療程待確認",$D51="缺主跟診配置",$D51="缺短時支援",$D51="支援容量不足",$D51="人員時段衝突"),"不可例外："&amp;$D51,IF($D51="正式資格未完成",IF(OR($F51="已核定資料待回寫",$F51="緊急規則已另行核定"),"可限時核定","不可例外：類型不符"),"不可例外：未定義原因")))))</x:f>
      </x:c>
      <x:c r="T51" s="307" t="str">
        <x:f>IF($A51="","",IF($Q51&lt;&gt;"生效",$Q51,IF($S51&lt;&gt;"可限時核定",$S51,IF($M51&lt;TODAY(),"已到期",IF(COUNTIFS($B$7:$B$106,$B51,$N$7:$N$106,"已核定",$Q$7:$Q$106,"生效",$S$7:$S$106,"可限時核定",$M$7:$M$106,"&gt;="&amp;TODAY())&gt;1,"同一需求重複生效","例外有效")))))</x:f>
      </x:c>
      <x:c r="U51" s="307" t="str">
        <x:f>IF($T51="例外有效",$B51,"")</x:f>
      </x:c>
    </x:row>
    <x:row r="52">
      <x:c r="A52" s="305"/>
      <x:c r="B52" s="305"/>
      <x:c r="C52" s="306" t="str">
        <x:f>IF($B52="","",_xlfn.XLOOKUP($B52,'班次檢核總覽'!$A$7:$A$36,'班次檢核總覽'!$B$7:$B$36,"需求未建立",0))</x:f>
      </x:c>
      <x:c r="D52" s="307" t="str">
        <x:f>IF($B52="","",_xlfn.XLOOKUP($B52,'班次檢核總覽'!$A$7:$A$36,'班次檢核總覽'!$Q$7:$Q$36,"需求未建立",0))</x:f>
      </x:c>
      <x:c r="E52" s="307" t="str">
        <x:f>IF($B52="","",_xlfn.XLOOKUP($B52,'班次檢核總覽'!$A$7:$A$36,'班次檢核總覽'!$U$7:$U$36,"需求未建立",0))</x:f>
      </x:c>
      <x:c r="F52" s="305"/>
      <x:c r="G52" s="305"/>
      <x:c r="H52" s="305"/>
      <x:c r="I52" s="305"/>
      <x:c r="J52" s="305"/>
      <x:c r="K52" s="305"/>
      <x:c r="L52" s="308"/>
      <x:c r="M52" s="308"/>
      <x:c r="N52" s="305"/>
      <x:c r="O52" s="305"/>
      <x:c r="P52" s="308"/>
      <x:c r="Q52" s="305"/>
      <x:c r="R52" s="307" t="str">
        <x:f>IF($A52="","",IF(OR($Q52="已撤銷",$Q52="已結案"),$Q52,IF(OR(LEN($B52)=0,LEN($F52)=0,LEN($G52)=0,LEN($H52)=0,LEN($I52)=0,LEN($J52)=0,LEN($K52)=0,LEN($L52)=0,LEN($M52)=0,LEN($N52)=0,LEN($O52)=0,LEN($P52)=0,LEN($Q52)=0),"待補欄位",IF($N52&lt;&gt;"已核定","待主管核定",IF($P52&lt;$L52,"核定日早於申請日",IF($M52&lt;&gt;$C52,"有效日須等於班次日期","資料完整"))))))</x:f>
      </x:c>
      <x:c r="S52" s="307" t="str">
        <x:f>IF($A52="","",IF($R52&lt;&gt;"資料完整",$R52,IF($D52="通過","無需例外",IF(OR($D52="療程待確認",$D52="缺主跟診配置",$D52="缺短時支援",$D52="支援容量不足",$D52="人員時段衝突"),"不可例外："&amp;$D52,IF($D52="正式資格未完成",IF(OR($F52="已核定資料待回寫",$F52="緊急規則已另行核定"),"可限時核定","不可例外：類型不符"),"不可例外：未定義原因")))))</x:f>
      </x:c>
      <x:c r="T52" s="307" t="str">
        <x:f>IF($A52="","",IF($Q52&lt;&gt;"生效",$Q52,IF($S52&lt;&gt;"可限時核定",$S52,IF($M52&lt;TODAY(),"已到期",IF(COUNTIFS($B$7:$B$106,$B52,$N$7:$N$106,"已核定",$Q$7:$Q$106,"生效",$S$7:$S$106,"可限時核定",$M$7:$M$106,"&gt;="&amp;TODAY())&gt;1,"同一需求重複生效","例外有效")))))</x:f>
      </x:c>
      <x:c r="U52" s="307" t="str">
        <x:f>IF($T52="例外有效",$B52,"")</x:f>
      </x:c>
    </x:row>
    <x:row r="53">
      <x:c r="A53" s="305"/>
      <x:c r="B53" s="305"/>
      <x:c r="C53" s="306" t="str">
        <x:f>IF($B53="","",_xlfn.XLOOKUP($B53,'班次檢核總覽'!$A$7:$A$36,'班次檢核總覽'!$B$7:$B$36,"需求未建立",0))</x:f>
      </x:c>
      <x:c r="D53" s="307" t="str">
        <x:f>IF($B53="","",_xlfn.XLOOKUP($B53,'班次檢核總覽'!$A$7:$A$36,'班次檢核總覽'!$Q$7:$Q$36,"需求未建立",0))</x:f>
      </x:c>
      <x:c r="E53" s="307" t="str">
        <x:f>IF($B53="","",_xlfn.XLOOKUP($B53,'班次檢核總覽'!$A$7:$A$36,'班次檢核總覽'!$U$7:$U$36,"需求未建立",0))</x:f>
      </x:c>
      <x:c r="F53" s="305"/>
      <x:c r="G53" s="305"/>
      <x:c r="H53" s="305"/>
      <x:c r="I53" s="305"/>
      <x:c r="J53" s="305"/>
      <x:c r="K53" s="305"/>
      <x:c r="L53" s="308"/>
      <x:c r="M53" s="308"/>
      <x:c r="N53" s="305"/>
      <x:c r="O53" s="305"/>
      <x:c r="P53" s="308"/>
      <x:c r="Q53" s="305"/>
      <x:c r="R53" s="307" t="str">
        <x:f>IF($A53="","",IF(OR($Q53="已撤銷",$Q53="已結案"),$Q53,IF(OR(LEN($B53)=0,LEN($F53)=0,LEN($G53)=0,LEN($H53)=0,LEN($I53)=0,LEN($J53)=0,LEN($K53)=0,LEN($L53)=0,LEN($M53)=0,LEN($N53)=0,LEN($O53)=0,LEN($P53)=0,LEN($Q53)=0),"待補欄位",IF($N53&lt;&gt;"已核定","待主管核定",IF($P53&lt;$L53,"核定日早於申請日",IF($M53&lt;&gt;$C53,"有效日須等於班次日期","資料完整"))))))</x:f>
      </x:c>
      <x:c r="S53" s="307" t="str">
        <x:f>IF($A53="","",IF($R53&lt;&gt;"資料完整",$R53,IF($D53="通過","無需例外",IF(OR($D53="療程待確認",$D53="缺主跟診配置",$D53="缺短時支援",$D53="支援容量不足",$D53="人員時段衝突"),"不可例外："&amp;$D53,IF($D53="正式資格未完成",IF(OR($F53="已核定資料待回寫",$F53="緊急規則已另行核定"),"可限時核定","不可例外：類型不符"),"不可例外：未定義原因")))))</x:f>
      </x:c>
      <x:c r="T53" s="307" t="str">
        <x:f>IF($A53="","",IF($Q53&lt;&gt;"生效",$Q53,IF($S53&lt;&gt;"可限時核定",$S53,IF($M53&lt;TODAY(),"已到期",IF(COUNTIFS($B$7:$B$106,$B53,$N$7:$N$106,"已核定",$Q$7:$Q$106,"生效",$S$7:$S$106,"可限時核定",$M$7:$M$106,"&gt;="&amp;TODAY())&gt;1,"同一需求重複生效","例外有效")))))</x:f>
      </x:c>
      <x:c r="U53" s="307" t="str">
        <x:f>IF($T53="例外有效",$B53,"")</x:f>
      </x:c>
    </x:row>
    <x:row r="54">
      <x:c r="A54" s="305"/>
      <x:c r="B54" s="305"/>
      <x:c r="C54" s="306" t="str">
        <x:f>IF($B54="","",_xlfn.XLOOKUP($B54,'班次檢核總覽'!$A$7:$A$36,'班次檢核總覽'!$B$7:$B$36,"需求未建立",0))</x:f>
      </x:c>
      <x:c r="D54" s="307" t="str">
        <x:f>IF($B54="","",_xlfn.XLOOKUP($B54,'班次檢核總覽'!$A$7:$A$36,'班次檢核總覽'!$Q$7:$Q$36,"需求未建立",0))</x:f>
      </x:c>
      <x:c r="E54" s="307" t="str">
        <x:f>IF($B54="","",_xlfn.XLOOKUP($B54,'班次檢核總覽'!$A$7:$A$36,'班次檢核總覽'!$U$7:$U$36,"需求未建立",0))</x:f>
      </x:c>
      <x:c r="F54" s="305"/>
      <x:c r="G54" s="305"/>
      <x:c r="H54" s="305"/>
      <x:c r="I54" s="305"/>
      <x:c r="J54" s="305"/>
      <x:c r="K54" s="305"/>
      <x:c r="L54" s="308"/>
      <x:c r="M54" s="308"/>
      <x:c r="N54" s="305"/>
      <x:c r="O54" s="305"/>
      <x:c r="P54" s="308"/>
      <x:c r="Q54" s="305"/>
      <x:c r="R54" s="307" t="str">
        <x:f>IF($A54="","",IF(OR($Q54="已撤銷",$Q54="已結案"),$Q54,IF(OR(LEN($B54)=0,LEN($F54)=0,LEN($G54)=0,LEN($H54)=0,LEN($I54)=0,LEN($J54)=0,LEN($K54)=0,LEN($L54)=0,LEN($M54)=0,LEN($N54)=0,LEN($O54)=0,LEN($P54)=0,LEN($Q54)=0),"待補欄位",IF($N54&lt;&gt;"已核定","待主管核定",IF($P54&lt;$L54,"核定日早於申請日",IF($M54&lt;&gt;$C54,"有效日須等於班次日期","資料完整"))))))</x:f>
      </x:c>
      <x:c r="S54" s="307" t="str">
        <x:f>IF($A54="","",IF($R54&lt;&gt;"資料完整",$R54,IF($D54="通過","無需例外",IF(OR($D54="療程待確認",$D54="缺主跟診配置",$D54="缺短時支援",$D54="支援容量不足",$D54="人員時段衝突"),"不可例外："&amp;$D54,IF($D54="正式資格未完成",IF(OR($F54="已核定資料待回寫",$F54="緊急規則已另行核定"),"可限時核定","不可例外：類型不符"),"不可例外：未定義原因")))))</x:f>
      </x:c>
      <x:c r="T54" s="307" t="str">
        <x:f>IF($A54="","",IF($Q54&lt;&gt;"生效",$Q54,IF($S54&lt;&gt;"可限時核定",$S54,IF($M54&lt;TODAY(),"已到期",IF(COUNTIFS($B$7:$B$106,$B54,$N$7:$N$106,"已核定",$Q$7:$Q$106,"生效",$S$7:$S$106,"可限時核定",$M$7:$M$106,"&gt;="&amp;TODAY())&gt;1,"同一需求重複生效","例外有效")))))</x:f>
      </x:c>
      <x:c r="U54" s="307" t="str">
        <x:f>IF($T54="例外有效",$B54,"")</x:f>
      </x:c>
    </x:row>
    <x:row r="55">
      <x:c r="A55" s="305"/>
      <x:c r="B55" s="305"/>
      <x:c r="C55" s="306" t="str">
        <x:f>IF($B55="","",_xlfn.XLOOKUP($B55,'班次檢核總覽'!$A$7:$A$36,'班次檢核總覽'!$B$7:$B$36,"需求未建立",0))</x:f>
      </x:c>
      <x:c r="D55" s="307" t="str">
        <x:f>IF($B55="","",_xlfn.XLOOKUP($B55,'班次檢核總覽'!$A$7:$A$36,'班次檢核總覽'!$Q$7:$Q$36,"需求未建立",0))</x:f>
      </x:c>
      <x:c r="E55" s="307" t="str">
        <x:f>IF($B55="","",_xlfn.XLOOKUP($B55,'班次檢核總覽'!$A$7:$A$36,'班次檢核總覽'!$U$7:$U$36,"需求未建立",0))</x:f>
      </x:c>
      <x:c r="F55" s="305"/>
      <x:c r="G55" s="305"/>
      <x:c r="H55" s="305"/>
      <x:c r="I55" s="305"/>
      <x:c r="J55" s="305"/>
      <x:c r="K55" s="305"/>
      <x:c r="L55" s="308"/>
      <x:c r="M55" s="308"/>
      <x:c r="N55" s="305"/>
      <x:c r="O55" s="305"/>
      <x:c r="P55" s="308"/>
      <x:c r="Q55" s="305"/>
      <x:c r="R55" s="307" t="str">
        <x:f>IF($A55="","",IF(OR($Q55="已撤銷",$Q55="已結案"),$Q55,IF(OR(LEN($B55)=0,LEN($F55)=0,LEN($G55)=0,LEN($H55)=0,LEN($I55)=0,LEN($J55)=0,LEN($K55)=0,LEN($L55)=0,LEN($M55)=0,LEN($N55)=0,LEN($O55)=0,LEN($P55)=0,LEN($Q55)=0),"待補欄位",IF($N55&lt;&gt;"已核定","待主管核定",IF($P55&lt;$L55,"核定日早於申請日",IF($M55&lt;&gt;$C55,"有效日須等於班次日期","資料完整"))))))</x:f>
      </x:c>
      <x:c r="S55" s="307" t="str">
        <x:f>IF($A55="","",IF($R55&lt;&gt;"資料完整",$R55,IF($D55="通過","無需例外",IF(OR($D55="療程待確認",$D55="缺主跟診配置",$D55="缺短時支援",$D55="支援容量不足",$D55="人員時段衝突"),"不可例外："&amp;$D55,IF($D55="正式資格未完成",IF(OR($F55="已核定資料待回寫",$F55="緊急規則已另行核定"),"可限時核定","不可例外：類型不符"),"不可例外：未定義原因")))))</x:f>
      </x:c>
      <x:c r="T55" s="307" t="str">
        <x:f>IF($A55="","",IF($Q55&lt;&gt;"生效",$Q55,IF($S55&lt;&gt;"可限時核定",$S55,IF($M55&lt;TODAY(),"已到期",IF(COUNTIFS($B$7:$B$106,$B55,$N$7:$N$106,"已核定",$Q$7:$Q$106,"生效",$S$7:$S$106,"可限時核定",$M$7:$M$106,"&gt;="&amp;TODAY())&gt;1,"同一需求重複生效","例外有效")))))</x:f>
      </x:c>
      <x:c r="U55" s="307" t="str">
        <x:f>IF($T55="例外有效",$B55,"")</x:f>
      </x:c>
    </x:row>
    <x:row r="56">
      <x:c r="A56" s="305"/>
      <x:c r="B56" s="305"/>
      <x:c r="C56" s="306" t="str">
        <x:f>IF($B56="","",_xlfn.XLOOKUP($B56,'班次檢核總覽'!$A$7:$A$36,'班次檢核總覽'!$B$7:$B$36,"需求未建立",0))</x:f>
      </x:c>
      <x:c r="D56" s="307" t="str">
        <x:f>IF($B56="","",_xlfn.XLOOKUP($B56,'班次檢核總覽'!$A$7:$A$36,'班次檢核總覽'!$Q$7:$Q$36,"需求未建立",0))</x:f>
      </x:c>
      <x:c r="E56" s="307" t="str">
        <x:f>IF($B56="","",_xlfn.XLOOKUP($B56,'班次檢核總覽'!$A$7:$A$36,'班次檢核總覽'!$U$7:$U$36,"需求未建立",0))</x:f>
      </x:c>
      <x:c r="F56" s="305"/>
      <x:c r="G56" s="305"/>
      <x:c r="H56" s="305"/>
      <x:c r="I56" s="305"/>
      <x:c r="J56" s="305"/>
      <x:c r="K56" s="305"/>
      <x:c r="L56" s="308"/>
      <x:c r="M56" s="308"/>
      <x:c r="N56" s="305"/>
      <x:c r="O56" s="305"/>
      <x:c r="P56" s="308"/>
      <x:c r="Q56" s="305"/>
      <x:c r="R56" s="307" t="str">
        <x:f>IF($A56="","",IF(OR($Q56="已撤銷",$Q56="已結案"),$Q56,IF(OR(LEN($B56)=0,LEN($F56)=0,LEN($G56)=0,LEN($H56)=0,LEN($I56)=0,LEN($J56)=0,LEN($K56)=0,LEN($L56)=0,LEN($M56)=0,LEN($N56)=0,LEN($O56)=0,LEN($P56)=0,LEN($Q56)=0),"待補欄位",IF($N56&lt;&gt;"已核定","待主管核定",IF($P56&lt;$L56,"核定日早於申請日",IF($M56&lt;&gt;$C56,"有效日須等於班次日期","資料完整"))))))</x:f>
      </x:c>
      <x:c r="S56" s="307" t="str">
        <x:f>IF($A56="","",IF($R56&lt;&gt;"資料完整",$R56,IF($D56="通過","無需例外",IF(OR($D56="療程待確認",$D56="缺主跟診配置",$D56="缺短時支援",$D56="支援容量不足",$D56="人員時段衝突"),"不可例外："&amp;$D56,IF($D56="正式資格未完成",IF(OR($F56="已核定資料待回寫",$F56="緊急規則已另行核定"),"可限時核定","不可例外：類型不符"),"不可例外：未定義原因")))))</x:f>
      </x:c>
      <x:c r="T56" s="307" t="str">
        <x:f>IF($A56="","",IF($Q56&lt;&gt;"生效",$Q56,IF($S56&lt;&gt;"可限時核定",$S56,IF($M56&lt;TODAY(),"已到期",IF(COUNTIFS($B$7:$B$106,$B56,$N$7:$N$106,"已核定",$Q$7:$Q$106,"生效",$S$7:$S$106,"可限時核定",$M$7:$M$106,"&gt;="&amp;TODAY())&gt;1,"同一需求重複生效","例外有效")))))</x:f>
      </x:c>
      <x:c r="U56" s="307" t="str">
        <x:f>IF($T56="例外有效",$B56,"")</x:f>
      </x:c>
    </x:row>
    <x:row r="57">
      <x:c r="A57" s="305"/>
      <x:c r="B57" s="305"/>
      <x:c r="C57" s="306" t="str">
        <x:f>IF($B57="","",_xlfn.XLOOKUP($B57,'班次檢核總覽'!$A$7:$A$36,'班次檢核總覽'!$B$7:$B$36,"需求未建立",0))</x:f>
      </x:c>
      <x:c r="D57" s="307" t="str">
        <x:f>IF($B57="","",_xlfn.XLOOKUP($B57,'班次檢核總覽'!$A$7:$A$36,'班次檢核總覽'!$Q$7:$Q$36,"需求未建立",0))</x:f>
      </x:c>
      <x:c r="E57" s="307" t="str">
        <x:f>IF($B57="","",_xlfn.XLOOKUP($B57,'班次檢核總覽'!$A$7:$A$36,'班次檢核總覽'!$U$7:$U$36,"需求未建立",0))</x:f>
      </x:c>
      <x:c r="F57" s="305"/>
      <x:c r="G57" s="305"/>
      <x:c r="H57" s="305"/>
      <x:c r="I57" s="305"/>
      <x:c r="J57" s="305"/>
      <x:c r="K57" s="305"/>
      <x:c r="L57" s="308"/>
      <x:c r="M57" s="308"/>
      <x:c r="N57" s="305"/>
      <x:c r="O57" s="305"/>
      <x:c r="P57" s="308"/>
      <x:c r="Q57" s="305"/>
      <x:c r="R57" s="307" t="str">
        <x:f>IF($A57="","",IF(OR($Q57="已撤銷",$Q57="已結案"),$Q57,IF(OR(LEN($B57)=0,LEN($F57)=0,LEN($G57)=0,LEN($H57)=0,LEN($I57)=0,LEN($J57)=0,LEN($K57)=0,LEN($L57)=0,LEN($M57)=0,LEN($N57)=0,LEN($O57)=0,LEN($P57)=0,LEN($Q57)=0),"待補欄位",IF($N57&lt;&gt;"已核定","待主管核定",IF($P57&lt;$L57,"核定日早於申請日",IF($M57&lt;&gt;$C57,"有效日須等於班次日期","資料完整"))))))</x:f>
      </x:c>
      <x:c r="S57" s="307" t="str">
        <x:f>IF($A57="","",IF($R57&lt;&gt;"資料完整",$R57,IF($D57="通過","無需例外",IF(OR($D57="療程待確認",$D57="缺主跟診配置",$D57="缺短時支援",$D57="支援容量不足",$D57="人員時段衝突"),"不可例外："&amp;$D57,IF($D57="正式資格未完成",IF(OR($F57="已核定資料待回寫",$F57="緊急規則已另行核定"),"可限時核定","不可例外：類型不符"),"不可例外：未定義原因")))))</x:f>
      </x:c>
      <x:c r="T57" s="307" t="str">
        <x:f>IF($A57="","",IF($Q57&lt;&gt;"生效",$Q57,IF($S57&lt;&gt;"可限時核定",$S57,IF($M57&lt;TODAY(),"已到期",IF(COUNTIFS($B$7:$B$106,$B57,$N$7:$N$106,"已核定",$Q$7:$Q$106,"生效",$S$7:$S$106,"可限時核定",$M$7:$M$106,"&gt;="&amp;TODAY())&gt;1,"同一需求重複生效","例外有效")))))</x:f>
      </x:c>
      <x:c r="U57" s="307" t="str">
        <x:f>IF($T57="例外有效",$B57,"")</x:f>
      </x:c>
    </x:row>
    <x:row r="58">
      <x:c r="A58" s="305"/>
      <x:c r="B58" s="305"/>
      <x:c r="C58" s="306" t="str">
        <x:f>IF($B58="","",_xlfn.XLOOKUP($B58,'班次檢核總覽'!$A$7:$A$36,'班次檢核總覽'!$B$7:$B$36,"需求未建立",0))</x:f>
      </x:c>
      <x:c r="D58" s="307" t="str">
        <x:f>IF($B58="","",_xlfn.XLOOKUP($B58,'班次檢核總覽'!$A$7:$A$36,'班次檢核總覽'!$Q$7:$Q$36,"需求未建立",0))</x:f>
      </x:c>
      <x:c r="E58" s="307" t="str">
        <x:f>IF($B58="","",_xlfn.XLOOKUP($B58,'班次檢核總覽'!$A$7:$A$36,'班次檢核總覽'!$U$7:$U$36,"需求未建立",0))</x:f>
      </x:c>
      <x:c r="F58" s="305"/>
      <x:c r="G58" s="305"/>
      <x:c r="H58" s="305"/>
      <x:c r="I58" s="305"/>
      <x:c r="J58" s="305"/>
      <x:c r="K58" s="305"/>
      <x:c r="L58" s="308"/>
      <x:c r="M58" s="308"/>
      <x:c r="N58" s="305"/>
      <x:c r="O58" s="305"/>
      <x:c r="P58" s="308"/>
      <x:c r="Q58" s="305"/>
      <x:c r="R58" s="307" t="str">
        <x:f>IF($A58="","",IF(OR($Q58="已撤銷",$Q58="已結案"),$Q58,IF(OR(LEN($B58)=0,LEN($F58)=0,LEN($G58)=0,LEN($H58)=0,LEN($I58)=0,LEN($J58)=0,LEN($K58)=0,LEN($L58)=0,LEN($M58)=0,LEN($N58)=0,LEN($O58)=0,LEN($P58)=0,LEN($Q58)=0),"待補欄位",IF($N58&lt;&gt;"已核定","待主管核定",IF($P58&lt;$L58,"核定日早於申請日",IF($M58&lt;&gt;$C58,"有效日須等於班次日期","資料完整"))))))</x:f>
      </x:c>
      <x:c r="S58" s="307" t="str">
        <x:f>IF($A58="","",IF($R58&lt;&gt;"資料完整",$R58,IF($D58="通過","無需例外",IF(OR($D58="療程待確認",$D58="缺主跟診配置",$D58="缺短時支援",$D58="支援容量不足",$D58="人員時段衝突"),"不可例外："&amp;$D58,IF($D58="正式資格未完成",IF(OR($F58="已核定資料待回寫",$F58="緊急規則已另行核定"),"可限時核定","不可例外：類型不符"),"不可例外：未定義原因")))))</x:f>
      </x:c>
      <x:c r="T58" s="307" t="str">
        <x:f>IF($A58="","",IF($Q58&lt;&gt;"生效",$Q58,IF($S58&lt;&gt;"可限時核定",$S58,IF($M58&lt;TODAY(),"已到期",IF(COUNTIFS($B$7:$B$106,$B58,$N$7:$N$106,"已核定",$Q$7:$Q$106,"生效",$S$7:$S$106,"可限時核定",$M$7:$M$106,"&gt;="&amp;TODAY())&gt;1,"同一需求重複生效","例外有效")))))</x:f>
      </x:c>
      <x:c r="U58" s="307" t="str">
        <x:f>IF($T58="例外有效",$B58,"")</x:f>
      </x:c>
    </x:row>
    <x:row r="59">
      <x:c r="A59" s="305"/>
      <x:c r="B59" s="305"/>
      <x:c r="C59" s="306" t="str">
        <x:f>IF($B59="","",_xlfn.XLOOKUP($B59,'班次檢核總覽'!$A$7:$A$36,'班次檢核總覽'!$B$7:$B$36,"需求未建立",0))</x:f>
      </x:c>
      <x:c r="D59" s="307" t="str">
        <x:f>IF($B59="","",_xlfn.XLOOKUP($B59,'班次檢核總覽'!$A$7:$A$36,'班次檢核總覽'!$Q$7:$Q$36,"需求未建立",0))</x:f>
      </x:c>
      <x:c r="E59" s="307" t="str">
        <x:f>IF($B59="","",_xlfn.XLOOKUP($B59,'班次檢核總覽'!$A$7:$A$36,'班次檢核總覽'!$U$7:$U$36,"需求未建立",0))</x:f>
      </x:c>
      <x:c r="F59" s="305"/>
      <x:c r="G59" s="305"/>
      <x:c r="H59" s="305"/>
      <x:c r="I59" s="305"/>
      <x:c r="J59" s="305"/>
      <x:c r="K59" s="305"/>
      <x:c r="L59" s="308"/>
      <x:c r="M59" s="308"/>
      <x:c r="N59" s="305"/>
      <x:c r="O59" s="305"/>
      <x:c r="P59" s="308"/>
      <x:c r="Q59" s="305"/>
      <x:c r="R59" s="307" t="str">
        <x:f>IF($A59="","",IF(OR($Q59="已撤銷",$Q59="已結案"),$Q59,IF(OR(LEN($B59)=0,LEN($F59)=0,LEN($G59)=0,LEN($H59)=0,LEN($I59)=0,LEN($J59)=0,LEN($K59)=0,LEN($L59)=0,LEN($M59)=0,LEN($N59)=0,LEN($O59)=0,LEN($P59)=0,LEN($Q59)=0),"待補欄位",IF($N59&lt;&gt;"已核定","待主管核定",IF($P59&lt;$L59,"核定日早於申請日",IF($M59&lt;&gt;$C59,"有效日須等於班次日期","資料完整"))))))</x:f>
      </x:c>
      <x:c r="S59" s="307" t="str">
        <x:f>IF($A59="","",IF($R59&lt;&gt;"資料完整",$R59,IF($D59="通過","無需例外",IF(OR($D59="療程待確認",$D59="缺主跟診配置",$D59="缺短時支援",$D59="支援容量不足",$D59="人員時段衝突"),"不可例外："&amp;$D59,IF($D59="正式資格未完成",IF(OR($F59="已核定資料待回寫",$F59="緊急規則已另行核定"),"可限時核定","不可例外：類型不符"),"不可例外：未定義原因")))))</x:f>
      </x:c>
      <x:c r="T59" s="307" t="str">
        <x:f>IF($A59="","",IF($Q59&lt;&gt;"生效",$Q59,IF($S59&lt;&gt;"可限時核定",$S59,IF($M59&lt;TODAY(),"已到期",IF(COUNTIFS($B$7:$B$106,$B59,$N$7:$N$106,"已核定",$Q$7:$Q$106,"生效",$S$7:$S$106,"可限時核定",$M$7:$M$106,"&gt;="&amp;TODAY())&gt;1,"同一需求重複生效","例外有效")))))</x:f>
      </x:c>
      <x:c r="U59" s="307" t="str">
        <x:f>IF($T59="例外有效",$B59,"")</x:f>
      </x:c>
    </x:row>
    <x:row r="60">
      <x:c r="A60" s="305"/>
      <x:c r="B60" s="305"/>
      <x:c r="C60" s="306" t="str">
        <x:f>IF($B60="","",_xlfn.XLOOKUP($B60,'班次檢核總覽'!$A$7:$A$36,'班次檢核總覽'!$B$7:$B$36,"需求未建立",0))</x:f>
      </x:c>
      <x:c r="D60" s="307" t="str">
        <x:f>IF($B60="","",_xlfn.XLOOKUP($B60,'班次檢核總覽'!$A$7:$A$36,'班次檢核總覽'!$Q$7:$Q$36,"需求未建立",0))</x:f>
      </x:c>
      <x:c r="E60" s="307" t="str">
        <x:f>IF($B60="","",_xlfn.XLOOKUP($B60,'班次檢核總覽'!$A$7:$A$36,'班次檢核總覽'!$U$7:$U$36,"需求未建立",0))</x:f>
      </x:c>
      <x:c r="F60" s="305"/>
      <x:c r="G60" s="305"/>
      <x:c r="H60" s="305"/>
      <x:c r="I60" s="305"/>
      <x:c r="J60" s="305"/>
      <x:c r="K60" s="305"/>
      <x:c r="L60" s="308"/>
      <x:c r="M60" s="308"/>
      <x:c r="N60" s="305"/>
      <x:c r="O60" s="305"/>
      <x:c r="P60" s="308"/>
      <x:c r="Q60" s="305"/>
      <x:c r="R60" s="307" t="str">
        <x:f>IF($A60="","",IF(OR($Q60="已撤銷",$Q60="已結案"),$Q60,IF(OR(LEN($B60)=0,LEN($F60)=0,LEN($G60)=0,LEN($H60)=0,LEN($I60)=0,LEN($J60)=0,LEN($K60)=0,LEN($L60)=0,LEN($M60)=0,LEN($N60)=0,LEN($O60)=0,LEN($P60)=0,LEN($Q60)=0),"待補欄位",IF($N60&lt;&gt;"已核定","待主管核定",IF($P60&lt;$L60,"核定日早於申請日",IF($M60&lt;&gt;$C60,"有效日須等於班次日期","資料完整"))))))</x:f>
      </x:c>
      <x:c r="S60" s="307" t="str">
        <x:f>IF($A60="","",IF($R60&lt;&gt;"資料完整",$R60,IF($D60="通過","無需例外",IF(OR($D60="療程待確認",$D60="缺主跟診配置",$D60="缺短時支援",$D60="支援容量不足",$D60="人員時段衝突"),"不可例外："&amp;$D60,IF($D60="正式資格未完成",IF(OR($F60="已核定資料待回寫",$F60="緊急規則已另行核定"),"可限時核定","不可例外：類型不符"),"不可例外：未定義原因")))))</x:f>
      </x:c>
      <x:c r="T60" s="307" t="str">
        <x:f>IF($A60="","",IF($Q60&lt;&gt;"生效",$Q60,IF($S60&lt;&gt;"可限時核定",$S60,IF($M60&lt;TODAY(),"已到期",IF(COUNTIFS($B$7:$B$106,$B60,$N$7:$N$106,"已核定",$Q$7:$Q$106,"生效",$S$7:$S$106,"可限時核定",$M$7:$M$106,"&gt;="&amp;TODAY())&gt;1,"同一需求重複生效","例外有效")))))</x:f>
      </x:c>
      <x:c r="U60" s="307" t="str">
        <x:f>IF($T60="例外有效",$B60,"")</x:f>
      </x:c>
    </x:row>
    <x:row r="61">
      <x:c r="A61" s="305"/>
      <x:c r="B61" s="305"/>
      <x:c r="C61" s="306" t="str">
        <x:f>IF($B61="","",_xlfn.XLOOKUP($B61,'班次檢核總覽'!$A$7:$A$36,'班次檢核總覽'!$B$7:$B$36,"需求未建立",0))</x:f>
      </x:c>
      <x:c r="D61" s="307" t="str">
        <x:f>IF($B61="","",_xlfn.XLOOKUP($B61,'班次檢核總覽'!$A$7:$A$36,'班次檢核總覽'!$Q$7:$Q$36,"需求未建立",0))</x:f>
      </x:c>
      <x:c r="E61" s="307" t="str">
        <x:f>IF($B61="","",_xlfn.XLOOKUP($B61,'班次檢核總覽'!$A$7:$A$36,'班次檢核總覽'!$U$7:$U$36,"需求未建立",0))</x:f>
      </x:c>
      <x:c r="F61" s="305"/>
      <x:c r="G61" s="305"/>
      <x:c r="H61" s="305"/>
      <x:c r="I61" s="305"/>
      <x:c r="J61" s="305"/>
      <x:c r="K61" s="305"/>
      <x:c r="L61" s="308"/>
      <x:c r="M61" s="308"/>
      <x:c r="N61" s="305"/>
      <x:c r="O61" s="305"/>
      <x:c r="P61" s="308"/>
      <x:c r="Q61" s="305"/>
      <x:c r="R61" s="307" t="str">
        <x:f>IF($A61="","",IF(OR($Q61="已撤銷",$Q61="已結案"),$Q61,IF(OR(LEN($B61)=0,LEN($F61)=0,LEN($G61)=0,LEN($H61)=0,LEN($I61)=0,LEN($J61)=0,LEN($K61)=0,LEN($L61)=0,LEN($M61)=0,LEN($N61)=0,LEN($O61)=0,LEN($P61)=0,LEN($Q61)=0),"待補欄位",IF($N61&lt;&gt;"已核定","待主管核定",IF($P61&lt;$L61,"核定日早於申請日",IF($M61&lt;&gt;$C61,"有效日須等於班次日期","資料完整"))))))</x:f>
      </x:c>
      <x:c r="S61" s="307" t="str">
        <x:f>IF($A61="","",IF($R61&lt;&gt;"資料完整",$R61,IF($D61="通過","無需例外",IF(OR($D61="療程待確認",$D61="缺主跟診配置",$D61="缺短時支援",$D61="支援容量不足",$D61="人員時段衝突"),"不可例外："&amp;$D61,IF($D61="正式資格未完成",IF(OR($F61="已核定資料待回寫",$F61="緊急規則已另行核定"),"可限時核定","不可例外：類型不符"),"不可例外：未定義原因")))))</x:f>
      </x:c>
      <x:c r="T61" s="307" t="str">
        <x:f>IF($A61="","",IF($Q61&lt;&gt;"生效",$Q61,IF($S61&lt;&gt;"可限時核定",$S61,IF($M61&lt;TODAY(),"已到期",IF(COUNTIFS($B$7:$B$106,$B61,$N$7:$N$106,"已核定",$Q$7:$Q$106,"生效",$S$7:$S$106,"可限時核定",$M$7:$M$106,"&gt;="&amp;TODAY())&gt;1,"同一需求重複生效","例外有效")))))</x:f>
      </x:c>
      <x:c r="U61" s="307" t="str">
        <x:f>IF($T61="例外有效",$B61,"")</x:f>
      </x:c>
    </x:row>
    <x:row r="62">
      <x:c r="A62" s="305"/>
      <x:c r="B62" s="305"/>
      <x:c r="C62" s="306" t="str">
        <x:f>IF($B62="","",_xlfn.XLOOKUP($B62,'班次檢核總覽'!$A$7:$A$36,'班次檢核總覽'!$B$7:$B$36,"需求未建立",0))</x:f>
      </x:c>
      <x:c r="D62" s="307" t="str">
        <x:f>IF($B62="","",_xlfn.XLOOKUP($B62,'班次檢核總覽'!$A$7:$A$36,'班次檢核總覽'!$Q$7:$Q$36,"需求未建立",0))</x:f>
      </x:c>
      <x:c r="E62" s="307" t="str">
        <x:f>IF($B62="","",_xlfn.XLOOKUP($B62,'班次檢核總覽'!$A$7:$A$36,'班次檢核總覽'!$U$7:$U$36,"需求未建立",0))</x:f>
      </x:c>
      <x:c r="F62" s="305"/>
      <x:c r="G62" s="305"/>
      <x:c r="H62" s="305"/>
      <x:c r="I62" s="305"/>
      <x:c r="J62" s="305"/>
      <x:c r="K62" s="305"/>
      <x:c r="L62" s="308"/>
      <x:c r="M62" s="308"/>
      <x:c r="N62" s="305"/>
      <x:c r="O62" s="305"/>
      <x:c r="P62" s="308"/>
      <x:c r="Q62" s="305"/>
      <x:c r="R62" s="307" t="str">
        <x:f>IF($A62="","",IF(OR($Q62="已撤銷",$Q62="已結案"),$Q62,IF(OR(LEN($B62)=0,LEN($F62)=0,LEN($G62)=0,LEN($H62)=0,LEN($I62)=0,LEN($J62)=0,LEN($K62)=0,LEN($L62)=0,LEN($M62)=0,LEN($N62)=0,LEN($O62)=0,LEN($P62)=0,LEN($Q62)=0),"待補欄位",IF($N62&lt;&gt;"已核定","待主管核定",IF($P62&lt;$L62,"核定日早於申請日",IF($M62&lt;&gt;$C62,"有效日須等於班次日期","資料完整"))))))</x:f>
      </x:c>
      <x:c r="S62" s="307" t="str">
        <x:f>IF($A62="","",IF($R62&lt;&gt;"資料完整",$R62,IF($D62="通過","無需例外",IF(OR($D62="療程待確認",$D62="缺主跟診配置",$D62="缺短時支援",$D62="支援容量不足",$D62="人員時段衝突"),"不可例外："&amp;$D62,IF($D62="正式資格未完成",IF(OR($F62="已核定資料待回寫",$F62="緊急規則已另行核定"),"可限時核定","不可例外：類型不符"),"不可例外：未定義原因")))))</x:f>
      </x:c>
      <x:c r="T62" s="307" t="str">
        <x:f>IF($A62="","",IF($Q62&lt;&gt;"生效",$Q62,IF($S62&lt;&gt;"可限時核定",$S62,IF($M62&lt;TODAY(),"已到期",IF(COUNTIFS($B$7:$B$106,$B62,$N$7:$N$106,"已核定",$Q$7:$Q$106,"生效",$S$7:$S$106,"可限時核定",$M$7:$M$106,"&gt;="&amp;TODAY())&gt;1,"同一需求重複生效","例外有效")))))</x:f>
      </x:c>
      <x:c r="U62" s="307" t="str">
        <x:f>IF($T62="例外有效",$B62,"")</x:f>
      </x:c>
    </x:row>
    <x:row r="63">
      <x:c r="A63" s="305"/>
      <x:c r="B63" s="305"/>
      <x:c r="C63" s="306" t="str">
        <x:f>IF($B63="","",_xlfn.XLOOKUP($B63,'班次檢核總覽'!$A$7:$A$36,'班次檢核總覽'!$B$7:$B$36,"需求未建立",0))</x:f>
      </x:c>
      <x:c r="D63" s="307" t="str">
        <x:f>IF($B63="","",_xlfn.XLOOKUP($B63,'班次檢核總覽'!$A$7:$A$36,'班次檢核總覽'!$Q$7:$Q$36,"需求未建立",0))</x:f>
      </x:c>
      <x:c r="E63" s="307" t="str">
        <x:f>IF($B63="","",_xlfn.XLOOKUP($B63,'班次檢核總覽'!$A$7:$A$36,'班次檢核總覽'!$U$7:$U$36,"需求未建立",0))</x:f>
      </x:c>
      <x:c r="F63" s="305"/>
      <x:c r="G63" s="305"/>
      <x:c r="H63" s="305"/>
      <x:c r="I63" s="305"/>
      <x:c r="J63" s="305"/>
      <x:c r="K63" s="305"/>
      <x:c r="L63" s="308"/>
      <x:c r="M63" s="308"/>
      <x:c r="N63" s="305"/>
      <x:c r="O63" s="305"/>
      <x:c r="P63" s="308"/>
      <x:c r="Q63" s="305"/>
      <x:c r="R63" s="307" t="str">
        <x:f>IF($A63="","",IF(OR($Q63="已撤銷",$Q63="已結案"),$Q63,IF(OR(LEN($B63)=0,LEN($F63)=0,LEN($G63)=0,LEN($H63)=0,LEN($I63)=0,LEN($J63)=0,LEN($K63)=0,LEN($L63)=0,LEN($M63)=0,LEN($N63)=0,LEN($O63)=0,LEN($P63)=0,LEN($Q63)=0),"待補欄位",IF($N63&lt;&gt;"已核定","待主管核定",IF($P63&lt;$L63,"核定日早於申請日",IF($M63&lt;&gt;$C63,"有效日須等於班次日期","資料完整"))))))</x:f>
      </x:c>
      <x:c r="S63" s="307" t="str">
        <x:f>IF($A63="","",IF($R63&lt;&gt;"資料完整",$R63,IF($D63="通過","無需例外",IF(OR($D63="療程待確認",$D63="缺主跟診配置",$D63="缺短時支援",$D63="支援容量不足",$D63="人員時段衝突"),"不可例外："&amp;$D63,IF($D63="正式資格未完成",IF(OR($F63="已核定資料待回寫",$F63="緊急規則已另行核定"),"可限時核定","不可例外：類型不符"),"不可例外：未定義原因")))))</x:f>
      </x:c>
      <x:c r="T63" s="307" t="str">
        <x:f>IF($A63="","",IF($Q63&lt;&gt;"生效",$Q63,IF($S63&lt;&gt;"可限時核定",$S63,IF($M63&lt;TODAY(),"已到期",IF(COUNTIFS($B$7:$B$106,$B63,$N$7:$N$106,"已核定",$Q$7:$Q$106,"生效",$S$7:$S$106,"可限時核定",$M$7:$M$106,"&gt;="&amp;TODAY())&gt;1,"同一需求重複生效","例外有效")))))</x:f>
      </x:c>
      <x:c r="U63" s="307" t="str">
        <x:f>IF($T63="例外有效",$B63,"")</x:f>
      </x:c>
    </x:row>
    <x:row r="64">
      <x:c r="A64" s="305"/>
      <x:c r="B64" s="305"/>
      <x:c r="C64" s="306" t="str">
        <x:f>IF($B64="","",_xlfn.XLOOKUP($B64,'班次檢核總覽'!$A$7:$A$36,'班次檢核總覽'!$B$7:$B$36,"需求未建立",0))</x:f>
      </x:c>
      <x:c r="D64" s="307" t="str">
        <x:f>IF($B64="","",_xlfn.XLOOKUP($B64,'班次檢核總覽'!$A$7:$A$36,'班次檢核總覽'!$Q$7:$Q$36,"需求未建立",0))</x:f>
      </x:c>
      <x:c r="E64" s="307" t="str">
        <x:f>IF($B64="","",_xlfn.XLOOKUP($B64,'班次檢核總覽'!$A$7:$A$36,'班次檢核總覽'!$U$7:$U$36,"需求未建立",0))</x:f>
      </x:c>
      <x:c r="F64" s="305"/>
      <x:c r="G64" s="305"/>
      <x:c r="H64" s="305"/>
      <x:c r="I64" s="305"/>
      <x:c r="J64" s="305"/>
      <x:c r="K64" s="305"/>
      <x:c r="L64" s="308"/>
      <x:c r="M64" s="308"/>
      <x:c r="N64" s="305"/>
      <x:c r="O64" s="305"/>
      <x:c r="P64" s="308"/>
      <x:c r="Q64" s="305"/>
      <x:c r="R64" s="307" t="str">
        <x:f>IF($A64="","",IF(OR($Q64="已撤銷",$Q64="已結案"),$Q64,IF(OR(LEN($B64)=0,LEN($F64)=0,LEN($G64)=0,LEN($H64)=0,LEN($I64)=0,LEN($J64)=0,LEN($K64)=0,LEN($L64)=0,LEN($M64)=0,LEN($N64)=0,LEN($O64)=0,LEN($P64)=0,LEN($Q64)=0),"待補欄位",IF($N64&lt;&gt;"已核定","待主管核定",IF($P64&lt;$L64,"核定日早於申請日",IF($M64&lt;&gt;$C64,"有效日須等於班次日期","資料完整"))))))</x:f>
      </x:c>
      <x:c r="S64" s="307" t="str">
        <x:f>IF($A64="","",IF($R64&lt;&gt;"資料完整",$R64,IF($D64="通過","無需例外",IF(OR($D64="療程待確認",$D64="缺主跟診配置",$D64="缺短時支援",$D64="支援容量不足",$D64="人員時段衝突"),"不可例外："&amp;$D64,IF($D64="正式資格未完成",IF(OR($F64="已核定資料待回寫",$F64="緊急規則已另行核定"),"可限時核定","不可例外：類型不符"),"不可例外：未定義原因")))))</x:f>
      </x:c>
      <x:c r="T64" s="307" t="str">
        <x:f>IF($A64="","",IF($Q64&lt;&gt;"生效",$Q64,IF($S64&lt;&gt;"可限時核定",$S64,IF($M64&lt;TODAY(),"已到期",IF(COUNTIFS($B$7:$B$106,$B64,$N$7:$N$106,"已核定",$Q$7:$Q$106,"生效",$S$7:$S$106,"可限時核定",$M$7:$M$106,"&gt;="&amp;TODAY())&gt;1,"同一需求重複生效","例外有效")))))</x:f>
      </x:c>
      <x:c r="U64" s="307" t="str">
        <x:f>IF($T64="例外有效",$B64,"")</x:f>
      </x:c>
    </x:row>
    <x:row r="65">
      <x:c r="A65" s="305"/>
      <x:c r="B65" s="305"/>
      <x:c r="C65" s="306" t="str">
        <x:f>IF($B65="","",_xlfn.XLOOKUP($B65,'班次檢核總覽'!$A$7:$A$36,'班次檢核總覽'!$B$7:$B$36,"需求未建立",0))</x:f>
      </x:c>
      <x:c r="D65" s="307" t="str">
        <x:f>IF($B65="","",_xlfn.XLOOKUP($B65,'班次檢核總覽'!$A$7:$A$36,'班次檢核總覽'!$Q$7:$Q$36,"需求未建立",0))</x:f>
      </x:c>
      <x:c r="E65" s="307" t="str">
        <x:f>IF($B65="","",_xlfn.XLOOKUP($B65,'班次檢核總覽'!$A$7:$A$36,'班次檢核總覽'!$U$7:$U$36,"需求未建立",0))</x:f>
      </x:c>
      <x:c r="F65" s="305"/>
      <x:c r="G65" s="305"/>
      <x:c r="H65" s="305"/>
      <x:c r="I65" s="305"/>
      <x:c r="J65" s="305"/>
      <x:c r="K65" s="305"/>
      <x:c r="L65" s="308"/>
      <x:c r="M65" s="308"/>
      <x:c r="N65" s="305"/>
      <x:c r="O65" s="305"/>
      <x:c r="P65" s="308"/>
      <x:c r="Q65" s="305"/>
      <x:c r="R65" s="307" t="str">
        <x:f>IF($A65="","",IF(OR($Q65="已撤銷",$Q65="已結案"),$Q65,IF(OR(LEN($B65)=0,LEN($F65)=0,LEN($G65)=0,LEN($H65)=0,LEN($I65)=0,LEN($J65)=0,LEN($K65)=0,LEN($L65)=0,LEN($M65)=0,LEN($N65)=0,LEN($O65)=0,LEN($P65)=0,LEN($Q65)=0),"待補欄位",IF($N65&lt;&gt;"已核定","待主管核定",IF($P65&lt;$L65,"核定日早於申請日",IF($M65&lt;&gt;$C65,"有效日須等於班次日期","資料完整"))))))</x:f>
      </x:c>
      <x:c r="S65" s="307" t="str">
        <x:f>IF($A65="","",IF($R65&lt;&gt;"資料完整",$R65,IF($D65="通過","無需例外",IF(OR($D65="療程待確認",$D65="缺主跟診配置",$D65="缺短時支援",$D65="支援容量不足",$D65="人員時段衝突"),"不可例外："&amp;$D65,IF($D65="正式資格未完成",IF(OR($F65="已核定資料待回寫",$F65="緊急規則已另行核定"),"可限時核定","不可例外：類型不符"),"不可例外：未定義原因")))))</x:f>
      </x:c>
      <x:c r="T65" s="307" t="str">
        <x:f>IF($A65="","",IF($Q65&lt;&gt;"生效",$Q65,IF($S65&lt;&gt;"可限時核定",$S65,IF($M65&lt;TODAY(),"已到期",IF(COUNTIFS($B$7:$B$106,$B65,$N$7:$N$106,"已核定",$Q$7:$Q$106,"生效",$S$7:$S$106,"可限時核定",$M$7:$M$106,"&gt;="&amp;TODAY())&gt;1,"同一需求重複生效","例外有效")))))</x:f>
      </x:c>
      <x:c r="U65" s="307" t="str">
        <x:f>IF($T65="例外有效",$B65,"")</x:f>
      </x:c>
    </x:row>
    <x:row r="66">
      <x:c r="A66" s="305"/>
      <x:c r="B66" s="305"/>
      <x:c r="C66" s="306" t="str">
        <x:f>IF($B66="","",_xlfn.XLOOKUP($B66,'班次檢核總覽'!$A$7:$A$36,'班次檢核總覽'!$B$7:$B$36,"需求未建立",0))</x:f>
      </x:c>
      <x:c r="D66" s="307" t="str">
        <x:f>IF($B66="","",_xlfn.XLOOKUP($B66,'班次檢核總覽'!$A$7:$A$36,'班次檢核總覽'!$Q$7:$Q$36,"需求未建立",0))</x:f>
      </x:c>
      <x:c r="E66" s="307" t="str">
        <x:f>IF($B66="","",_xlfn.XLOOKUP($B66,'班次檢核總覽'!$A$7:$A$36,'班次檢核總覽'!$U$7:$U$36,"需求未建立",0))</x:f>
      </x:c>
      <x:c r="F66" s="305"/>
      <x:c r="G66" s="305"/>
      <x:c r="H66" s="305"/>
      <x:c r="I66" s="305"/>
      <x:c r="J66" s="305"/>
      <x:c r="K66" s="305"/>
      <x:c r="L66" s="308"/>
      <x:c r="M66" s="308"/>
      <x:c r="N66" s="305"/>
      <x:c r="O66" s="305"/>
      <x:c r="P66" s="308"/>
      <x:c r="Q66" s="305"/>
      <x:c r="R66" s="307" t="str">
        <x:f>IF($A66="","",IF(OR($Q66="已撤銷",$Q66="已結案"),$Q66,IF(OR(LEN($B66)=0,LEN($F66)=0,LEN($G66)=0,LEN($H66)=0,LEN($I66)=0,LEN($J66)=0,LEN($K66)=0,LEN($L66)=0,LEN($M66)=0,LEN($N66)=0,LEN($O66)=0,LEN($P66)=0,LEN($Q66)=0),"待補欄位",IF($N66&lt;&gt;"已核定","待主管核定",IF($P66&lt;$L66,"核定日早於申請日",IF($M66&lt;&gt;$C66,"有效日須等於班次日期","資料完整"))))))</x:f>
      </x:c>
      <x:c r="S66" s="307" t="str">
        <x:f>IF($A66="","",IF($R66&lt;&gt;"資料完整",$R66,IF($D66="通過","無需例外",IF(OR($D66="療程待確認",$D66="缺主跟診配置",$D66="缺短時支援",$D66="支援容量不足",$D66="人員時段衝突"),"不可例外："&amp;$D66,IF($D66="正式資格未完成",IF(OR($F66="已核定資料待回寫",$F66="緊急規則已另行核定"),"可限時核定","不可例外：類型不符"),"不可例外：未定義原因")))))</x:f>
      </x:c>
      <x:c r="T66" s="307" t="str">
        <x:f>IF($A66="","",IF($Q66&lt;&gt;"生效",$Q66,IF($S66&lt;&gt;"可限時核定",$S66,IF($M66&lt;TODAY(),"已到期",IF(COUNTIFS($B$7:$B$106,$B66,$N$7:$N$106,"已核定",$Q$7:$Q$106,"生效",$S$7:$S$106,"可限時核定",$M$7:$M$106,"&gt;="&amp;TODAY())&gt;1,"同一需求重複生效","例外有效")))))</x:f>
      </x:c>
      <x:c r="U66" s="307" t="str">
        <x:f>IF($T66="例外有效",$B66,"")</x:f>
      </x:c>
    </x:row>
    <x:row r="67">
      <x:c r="A67" s="305"/>
      <x:c r="B67" s="305"/>
      <x:c r="C67" s="306" t="str">
        <x:f>IF($B67="","",_xlfn.XLOOKUP($B67,'班次檢核總覽'!$A$7:$A$36,'班次檢核總覽'!$B$7:$B$36,"需求未建立",0))</x:f>
      </x:c>
      <x:c r="D67" s="307" t="str">
        <x:f>IF($B67="","",_xlfn.XLOOKUP($B67,'班次檢核總覽'!$A$7:$A$36,'班次檢核總覽'!$Q$7:$Q$36,"需求未建立",0))</x:f>
      </x:c>
      <x:c r="E67" s="307" t="str">
        <x:f>IF($B67="","",_xlfn.XLOOKUP($B67,'班次檢核總覽'!$A$7:$A$36,'班次檢核總覽'!$U$7:$U$36,"需求未建立",0))</x:f>
      </x:c>
      <x:c r="F67" s="305"/>
      <x:c r="G67" s="305"/>
      <x:c r="H67" s="305"/>
      <x:c r="I67" s="305"/>
      <x:c r="J67" s="305"/>
      <x:c r="K67" s="305"/>
      <x:c r="L67" s="308"/>
      <x:c r="M67" s="308"/>
      <x:c r="N67" s="305"/>
      <x:c r="O67" s="305"/>
      <x:c r="P67" s="308"/>
      <x:c r="Q67" s="305"/>
      <x:c r="R67" s="307" t="str">
        <x:f>IF($A67="","",IF(OR($Q67="已撤銷",$Q67="已結案"),$Q67,IF(OR(LEN($B67)=0,LEN($F67)=0,LEN($G67)=0,LEN($H67)=0,LEN($I67)=0,LEN($J67)=0,LEN($K67)=0,LEN($L67)=0,LEN($M67)=0,LEN($N67)=0,LEN($O67)=0,LEN($P67)=0,LEN($Q67)=0),"待補欄位",IF($N67&lt;&gt;"已核定","待主管核定",IF($P67&lt;$L67,"核定日早於申請日",IF($M67&lt;&gt;$C67,"有效日須等於班次日期","資料完整"))))))</x:f>
      </x:c>
      <x:c r="S67" s="307" t="str">
        <x:f>IF($A67="","",IF($R67&lt;&gt;"資料完整",$R67,IF($D67="通過","無需例外",IF(OR($D67="療程待確認",$D67="缺主跟診配置",$D67="缺短時支援",$D67="支援容量不足",$D67="人員時段衝突"),"不可例外："&amp;$D67,IF($D67="正式資格未完成",IF(OR($F67="已核定資料待回寫",$F67="緊急規則已另行核定"),"可限時核定","不可例外：類型不符"),"不可例外：未定義原因")))))</x:f>
      </x:c>
      <x:c r="T67" s="307" t="str">
        <x:f>IF($A67="","",IF($Q67&lt;&gt;"生效",$Q67,IF($S67&lt;&gt;"可限時核定",$S67,IF($M67&lt;TODAY(),"已到期",IF(COUNTIFS($B$7:$B$106,$B67,$N$7:$N$106,"已核定",$Q$7:$Q$106,"生效",$S$7:$S$106,"可限時核定",$M$7:$M$106,"&gt;="&amp;TODAY())&gt;1,"同一需求重複生效","例外有效")))))</x:f>
      </x:c>
      <x:c r="U67" s="307" t="str">
        <x:f>IF($T67="例外有效",$B67,"")</x:f>
      </x:c>
    </x:row>
    <x:row r="68">
      <x:c r="A68" s="305"/>
      <x:c r="B68" s="305"/>
      <x:c r="C68" s="306" t="str">
        <x:f>IF($B68="","",_xlfn.XLOOKUP($B68,'班次檢核總覽'!$A$7:$A$36,'班次檢核總覽'!$B$7:$B$36,"需求未建立",0))</x:f>
      </x:c>
      <x:c r="D68" s="307" t="str">
        <x:f>IF($B68="","",_xlfn.XLOOKUP($B68,'班次檢核總覽'!$A$7:$A$36,'班次檢核總覽'!$Q$7:$Q$36,"需求未建立",0))</x:f>
      </x:c>
      <x:c r="E68" s="307" t="str">
        <x:f>IF($B68="","",_xlfn.XLOOKUP($B68,'班次檢核總覽'!$A$7:$A$36,'班次檢核總覽'!$U$7:$U$36,"需求未建立",0))</x:f>
      </x:c>
      <x:c r="F68" s="305"/>
      <x:c r="G68" s="305"/>
      <x:c r="H68" s="305"/>
      <x:c r="I68" s="305"/>
      <x:c r="J68" s="305"/>
      <x:c r="K68" s="305"/>
      <x:c r="L68" s="308"/>
      <x:c r="M68" s="308"/>
      <x:c r="N68" s="305"/>
      <x:c r="O68" s="305"/>
      <x:c r="P68" s="308"/>
      <x:c r="Q68" s="305"/>
      <x:c r="R68" s="307" t="str">
        <x:f>IF($A68="","",IF(OR($Q68="已撤銷",$Q68="已結案"),$Q68,IF(OR(LEN($B68)=0,LEN($F68)=0,LEN($G68)=0,LEN($H68)=0,LEN($I68)=0,LEN($J68)=0,LEN($K68)=0,LEN($L68)=0,LEN($M68)=0,LEN($N68)=0,LEN($O68)=0,LEN($P68)=0,LEN($Q68)=0),"待補欄位",IF($N68&lt;&gt;"已核定","待主管核定",IF($P68&lt;$L68,"核定日早於申請日",IF($M68&lt;&gt;$C68,"有效日須等於班次日期","資料完整"))))))</x:f>
      </x:c>
      <x:c r="S68" s="307" t="str">
        <x:f>IF($A68="","",IF($R68&lt;&gt;"資料完整",$R68,IF($D68="通過","無需例外",IF(OR($D68="療程待確認",$D68="缺主跟診配置",$D68="缺短時支援",$D68="支援容量不足",$D68="人員時段衝突"),"不可例外："&amp;$D68,IF($D68="正式資格未完成",IF(OR($F68="已核定資料待回寫",$F68="緊急規則已另行核定"),"可限時核定","不可例外：類型不符"),"不可例外：未定義原因")))))</x:f>
      </x:c>
      <x:c r="T68" s="307" t="str">
        <x:f>IF($A68="","",IF($Q68&lt;&gt;"生效",$Q68,IF($S68&lt;&gt;"可限時核定",$S68,IF($M68&lt;TODAY(),"已到期",IF(COUNTIFS($B$7:$B$106,$B68,$N$7:$N$106,"已核定",$Q$7:$Q$106,"生效",$S$7:$S$106,"可限時核定",$M$7:$M$106,"&gt;="&amp;TODAY())&gt;1,"同一需求重複生效","例外有效")))))</x:f>
      </x:c>
      <x:c r="U68" s="307" t="str">
        <x:f>IF($T68="例外有效",$B68,"")</x:f>
      </x:c>
    </x:row>
    <x:row r="69">
      <x:c r="A69" s="305"/>
      <x:c r="B69" s="305"/>
      <x:c r="C69" s="306" t="str">
        <x:f>IF($B69="","",_xlfn.XLOOKUP($B69,'班次檢核總覽'!$A$7:$A$36,'班次檢核總覽'!$B$7:$B$36,"需求未建立",0))</x:f>
      </x:c>
      <x:c r="D69" s="307" t="str">
        <x:f>IF($B69="","",_xlfn.XLOOKUP($B69,'班次檢核總覽'!$A$7:$A$36,'班次檢核總覽'!$Q$7:$Q$36,"需求未建立",0))</x:f>
      </x:c>
      <x:c r="E69" s="307" t="str">
        <x:f>IF($B69="","",_xlfn.XLOOKUP($B69,'班次檢核總覽'!$A$7:$A$36,'班次檢核總覽'!$U$7:$U$36,"需求未建立",0))</x:f>
      </x:c>
      <x:c r="F69" s="305"/>
      <x:c r="G69" s="305"/>
      <x:c r="H69" s="305"/>
      <x:c r="I69" s="305"/>
      <x:c r="J69" s="305"/>
      <x:c r="K69" s="305"/>
      <x:c r="L69" s="308"/>
      <x:c r="M69" s="308"/>
      <x:c r="N69" s="305"/>
      <x:c r="O69" s="305"/>
      <x:c r="P69" s="308"/>
      <x:c r="Q69" s="305"/>
      <x:c r="R69" s="307" t="str">
        <x:f>IF($A69="","",IF(OR($Q69="已撤銷",$Q69="已結案"),$Q69,IF(OR(LEN($B69)=0,LEN($F69)=0,LEN($G69)=0,LEN($H69)=0,LEN($I69)=0,LEN($J69)=0,LEN($K69)=0,LEN($L69)=0,LEN($M69)=0,LEN($N69)=0,LEN($O69)=0,LEN($P69)=0,LEN($Q69)=0),"待補欄位",IF($N69&lt;&gt;"已核定","待主管核定",IF($P69&lt;$L69,"核定日早於申請日",IF($M69&lt;&gt;$C69,"有效日須等於班次日期","資料完整"))))))</x:f>
      </x:c>
      <x:c r="S69" s="307" t="str">
        <x:f>IF($A69="","",IF($R69&lt;&gt;"資料完整",$R69,IF($D69="通過","無需例外",IF(OR($D69="療程待確認",$D69="缺主跟診配置",$D69="缺短時支援",$D69="支援容量不足",$D69="人員時段衝突"),"不可例外："&amp;$D69,IF($D69="正式資格未完成",IF(OR($F69="已核定資料待回寫",$F69="緊急規則已另行核定"),"可限時核定","不可例外：類型不符"),"不可例外：未定義原因")))))</x:f>
      </x:c>
      <x:c r="T69" s="307" t="str">
        <x:f>IF($A69="","",IF($Q69&lt;&gt;"生效",$Q69,IF($S69&lt;&gt;"可限時核定",$S69,IF($M69&lt;TODAY(),"已到期",IF(COUNTIFS($B$7:$B$106,$B69,$N$7:$N$106,"已核定",$Q$7:$Q$106,"生效",$S$7:$S$106,"可限時核定",$M$7:$M$106,"&gt;="&amp;TODAY())&gt;1,"同一需求重複生效","例外有效")))))</x:f>
      </x:c>
      <x:c r="U69" s="307" t="str">
        <x:f>IF($T69="例外有效",$B69,"")</x:f>
      </x:c>
    </x:row>
    <x:row r="70">
      <x:c r="A70" s="305"/>
      <x:c r="B70" s="305"/>
      <x:c r="C70" s="306" t="str">
        <x:f>IF($B70="","",_xlfn.XLOOKUP($B70,'班次檢核總覽'!$A$7:$A$36,'班次檢核總覽'!$B$7:$B$36,"需求未建立",0))</x:f>
      </x:c>
      <x:c r="D70" s="307" t="str">
        <x:f>IF($B70="","",_xlfn.XLOOKUP($B70,'班次檢核總覽'!$A$7:$A$36,'班次檢核總覽'!$Q$7:$Q$36,"需求未建立",0))</x:f>
      </x:c>
      <x:c r="E70" s="307" t="str">
        <x:f>IF($B70="","",_xlfn.XLOOKUP($B70,'班次檢核總覽'!$A$7:$A$36,'班次檢核總覽'!$U$7:$U$36,"需求未建立",0))</x:f>
      </x:c>
      <x:c r="F70" s="305"/>
      <x:c r="G70" s="305"/>
      <x:c r="H70" s="305"/>
      <x:c r="I70" s="305"/>
      <x:c r="J70" s="305"/>
      <x:c r="K70" s="305"/>
      <x:c r="L70" s="308"/>
      <x:c r="M70" s="308"/>
      <x:c r="N70" s="305"/>
      <x:c r="O70" s="305"/>
      <x:c r="P70" s="308"/>
      <x:c r="Q70" s="305"/>
      <x:c r="R70" s="307" t="str">
        <x:f>IF($A70="","",IF(OR($Q70="已撤銷",$Q70="已結案"),$Q70,IF(OR(LEN($B70)=0,LEN($F70)=0,LEN($G70)=0,LEN($H70)=0,LEN($I70)=0,LEN($J70)=0,LEN($K70)=0,LEN($L70)=0,LEN($M70)=0,LEN($N70)=0,LEN($O70)=0,LEN($P70)=0,LEN($Q70)=0),"待補欄位",IF($N70&lt;&gt;"已核定","待主管核定",IF($P70&lt;$L70,"核定日早於申請日",IF($M70&lt;&gt;$C70,"有效日須等於班次日期","資料完整"))))))</x:f>
      </x:c>
      <x:c r="S70" s="307" t="str">
        <x:f>IF($A70="","",IF($R70&lt;&gt;"資料完整",$R70,IF($D70="通過","無需例外",IF(OR($D70="療程待確認",$D70="缺主跟診配置",$D70="缺短時支援",$D70="支援容量不足",$D70="人員時段衝突"),"不可例外："&amp;$D70,IF($D70="正式資格未完成",IF(OR($F70="已核定資料待回寫",$F70="緊急規則已另行核定"),"可限時核定","不可例外：類型不符"),"不可例外：未定義原因")))))</x:f>
      </x:c>
      <x:c r="T70" s="307" t="str">
        <x:f>IF($A70="","",IF($Q70&lt;&gt;"生效",$Q70,IF($S70&lt;&gt;"可限時核定",$S70,IF($M70&lt;TODAY(),"已到期",IF(COUNTIFS($B$7:$B$106,$B70,$N$7:$N$106,"已核定",$Q$7:$Q$106,"生效",$S$7:$S$106,"可限時核定",$M$7:$M$106,"&gt;="&amp;TODAY())&gt;1,"同一需求重複生效","例外有效")))))</x:f>
      </x:c>
      <x:c r="U70" s="307" t="str">
        <x:f>IF($T70="例外有效",$B70,"")</x:f>
      </x:c>
    </x:row>
    <x:row r="71">
      <x:c r="A71" s="305"/>
      <x:c r="B71" s="305"/>
      <x:c r="C71" s="306" t="str">
        <x:f>IF($B71="","",_xlfn.XLOOKUP($B71,'班次檢核總覽'!$A$7:$A$36,'班次檢核總覽'!$B$7:$B$36,"需求未建立",0))</x:f>
      </x:c>
      <x:c r="D71" s="307" t="str">
        <x:f>IF($B71="","",_xlfn.XLOOKUP($B71,'班次檢核總覽'!$A$7:$A$36,'班次檢核總覽'!$Q$7:$Q$36,"需求未建立",0))</x:f>
      </x:c>
      <x:c r="E71" s="307" t="str">
        <x:f>IF($B71="","",_xlfn.XLOOKUP($B71,'班次檢核總覽'!$A$7:$A$36,'班次檢核總覽'!$U$7:$U$36,"需求未建立",0))</x:f>
      </x:c>
      <x:c r="F71" s="305"/>
      <x:c r="G71" s="305"/>
      <x:c r="H71" s="305"/>
      <x:c r="I71" s="305"/>
      <x:c r="J71" s="305"/>
      <x:c r="K71" s="305"/>
      <x:c r="L71" s="308"/>
      <x:c r="M71" s="308"/>
      <x:c r="N71" s="305"/>
      <x:c r="O71" s="305"/>
      <x:c r="P71" s="308"/>
      <x:c r="Q71" s="305"/>
      <x:c r="R71" s="307" t="str">
        <x:f>IF($A71="","",IF(OR($Q71="已撤銷",$Q71="已結案"),$Q71,IF(OR(LEN($B71)=0,LEN($F71)=0,LEN($G71)=0,LEN($H71)=0,LEN($I71)=0,LEN($J71)=0,LEN($K71)=0,LEN($L71)=0,LEN($M71)=0,LEN($N71)=0,LEN($O71)=0,LEN($P71)=0,LEN($Q71)=0),"待補欄位",IF($N71&lt;&gt;"已核定","待主管核定",IF($P71&lt;$L71,"核定日早於申請日",IF($M71&lt;&gt;$C71,"有效日須等於班次日期","資料完整"))))))</x:f>
      </x:c>
      <x:c r="S71" s="307" t="str">
        <x:f>IF($A71="","",IF($R71&lt;&gt;"資料完整",$R71,IF($D71="通過","無需例外",IF(OR($D71="療程待確認",$D71="缺主跟診配置",$D71="缺短時支援",$D71="支援容量不足",$D71="人員時段衝突"),"不可例外："&amp;$D71,IF($D71="正式資格未完成",IF(OR($F71="已核定資料待回寫",$F71="緊急規則已另行核定"),"可限時核定","不可例外：類型不符"),"不可例外：未定義原因")))))</x:f>
      </x:c>
      <x:c r="T71" s="307" t="str">
        <x:f>IF($A71="","",IF($Q71&lt;&gt;"生效",$Q71,IF($S71&lt;&gt;"可限時核定",$S71,IF($M71&lt;TODAY(),"已到期",IF(COUNTIFS($B$7:$B$106,$B71,$N$7:$N$106,"已核定",$Q$7:$Q$106,"生效",$S$7:$S$106,"可限時核定",$M$7:$M$106,"&gt;="&amp;TODAY())&gt;1,"同一需求重複生效","例外有效")))))</x:f>
      </x:c>
      <x:c r="U71" s="307" t="str">
        <x:f>IF($T71="例外有效",$B71,"")</x:f>
      </x:c>
    </x:row>
    <x:row r="72">
      <x:c r="A72" s="305"/>
      <x:c r="B72" s="305"/>
      <x:c r="C72" s="306" t="str">
        <x:f>IF($B72="","",_xlfn.XLOOKUP($B72,'班次檢核總覽'!$A$7:$A$36,'班次檢核總覽'!$B$7:$B$36,"需求未建立",0))</x:f>
      </x:c>
      <x:c r="D72" s="307" t="str">
        <x:f>IF($B72="","",_xlfn.XLOOKUP($B72,'班次檢核總覽'!$A$7:$A$36,'班次檢核總覽'!$Q$7:$Q$36,"需求未建立",0))</x:f>
      </x:c>
      <x:c r="E72" s="307" t="str">
        <x:f>IF($B72="","",_xlfn.XLOOKUP($B72,'班次檢核總覽'!$A$7:$A$36,'班次檢核總覽'!$U$7:$U$36,"需求未建立",0))</x:f>
      </x:c>
      <x:c r="F72" s="305"/>
      <x:c r="G72" s="305"/>
      <x:c r="H72" s="305"/>
      <x:c r="I72" s="305"/>
      <x:c r="J72" s="305"/>
      <x:c r="K72" s="305"/>
      <x:c r="L72" s="308"/>
      <x:c r="M72" s="308"/>
      <x:c r="N72" s="305"/>
      <x:c r="O72" s="305"/>
      <x:c r="P72" s="308"/>
      <x:c r="Q72" s="305"/>
      <x:c r="R72" s="307" t="str">
        <x:f>IF($A72="","",IF(OR($Q72="已撤銷",$Q72="已結案"),$Q72,IF(OR(LEN($B72)=0,LEN($F72)=0,LEN($G72)=0,LEN($H72)=0,LEN($I72)=0,LEN($J72)=0,LEN($K72)=0,LEN($L72)=0,LEN($M72)=0,LEN($N72)=0,LEN($O72)=0,LEN($P72)=0,LEN($Q72)=0),"待補欄位",IF($N72&lt;&gt;"已核定","待主管核定",IF($P72&lt;$L72,"核定日早於申請日",IF($M72&lt;&gt;$C72,"有效日須等於班次日期","資料完整"))))))</x:f>
      </x:c>
      <x:c r="S72" s="307" t="str">
        <x:f>IF($A72="","",IF($R72&lt;&gt;"資料完整",$R72,IF($D72="通過","無需例外",IF(OR($D72="療程待確認",$D72="缺主跟診配置",$D72="缺短時支援",$D72="支援容量不足",$D72="人員時段衝突"),"不可例外："&amp;$D72,IF($D72="正式資格未完成",IF(OR($F72="已核定資料待回寫",$F72="緊急規則已另行核定"),"可限時核定","不可例外：類型不符"),"不可例外：未定義原因")))))</x:f>
      </x:c>
      <x:c r="T72" s="307" t="str">
        <x:f>IF($A72="","",IF($Q72&lt;&gt;"生效",$Q72,IF($S72&lt;&gt;"可限時核定",$S72,IF($M72&lt;TODAY(),"已到期",IF(COUNTIFS($B$7:$B$106,$B72,$N$7:$N$106,"已核定",$Q$7:$Q$106,"生效",$S$7:$S$106,"可限時核定",$M$7:$M$106,"&gt;="&amp;TODAY())&gt;1,"同一需求重複生效","例外有效")))))</x:f>
      </x:c>
      <x:c r="U72" s="307" t="str">
        <x:f>IF($T72="例外有效",$B72,"")</x:f>
      </x:c>
    </x:row>
    <x:row r="73">
      <x:c r="A73" s="305"/>
      <x:c r="B73" s="305"/>
      <x:c r="C73" s="306" t="str">
        <x:f>IF($B73="","",_xlfn.XLOOKUP($B73,'班次檢核總覽'!$A$7:$A$36,'班次檢核總覽'!$B$7:$B$36,"需求未建立",0))</x:f>
      </x:c>
      <x:c r="D73" s="307" t="str">
        <x:f>IF($B73="","",_xlfn.XLOOKUP($B73,'班次檢核總覽'!$A$7:$A$36,'班次檢核總覽'!$Q$7:$Q$36,"需求未建立",0))</x:f>
      </x:c>
      <x:c r="E73" s="307" t="str">
        <x:f>IF($B73="","",_xlfn.XLOOKUP($B73,'班次檢核總覽'!$A$7:$A$36,'班次檢核總覽'!$U$7:$U$36,"需求未建立",0))</x:f>
      </x:c>
      <x:c r="F73" s="305"/>
      <x:c r="G73" s="305"/>
      <x:c r="H73" s="305"/>
      <x:c r="I73" s="305"/>
      <x:c r="J73" s="305"/>
      <x:c r="K73" s="305"/>
      <x:c r="L73" s="308"/>
      <x:c r="M73" s="308"/>
      <x:c r="N73" s="305"/>
      <x:c r="O73" s="305"/>
      <x:c r="P73" s="308"/>
      <x:c r="Q73" s="305"/>
      <x:c r="R73" s="307" t="str">
        <x:f>IF($A73="","",IF(OR($Q73="已撤銷",$Q73="已結案"),$Q73,IF(OR(LEN($B73)=0,LEN($F73)=0,LEN($G73)=0,LEN($H73)=0,LEN($I73)=0,LEN($J73)=0,LEN($K73)=0,LEN($L73)=0,LEN($M73)=0,LEN($N73)=0,LEN($O73)=0,LEN($P73)=0,LEN($Q73)=0),"待補欄位",IF($N73&lt;&gt;"已核定","待主管核定",IF($P73&lt;$L73,"核定日早於申請日",IF($M73&lt;&gt;$C73,"有效日須等於班次日期","資料完整"))))))</x:f>
      </x:c>
      <x:c r="S73" s="307" t="str">
        <x:f>IF($A73="","",IF($R73&lt;&gt;"資料完整",$R73,IF($D73="通過","無需例外",IF(OR($D73="療程待確認",$D73="缺主跟診配置",$D73="缺短時支援",$D73="支援容量不足",$D73="人員時段衝突"),"不可例外："&amp;$D73,IF($D73="正式資格未完成",IF(OR($F73="已核定資料待回寫",$F73="緊急規則已另行核定"),"可限時核定","不可例外：類型不符"),"不可例外：未定義原因")))))</x:f>
      </x:c>
      <x:c r="T73" s="307" t="str">
        <x:f>IF($A73="","",IF($Q73&lt;&gt;"生效",$Q73,IF($S73&lt;&gt;"可限時核定",$S73,IF($M73&lt;TODAY(),"已到期",IF(COUNTIFS($B$7:$B$106,$B73,$N$7:$N$106,"已核定",$Q$7:$Q$106,"生效",$S$7:$S$106,"可限時核定",$M$7:$M$106,"&gt;="&amp;TODAY())&gt;1,"同一需求重複生效","例外有效")))))</x:f>
      </x:c>
      <x:c r="U73" s="307" t="str">
        <x:f>IF($T73="例外有效",$B73,"")</x:f>
      </x:c>
    </x:row>
    <x:row r="74">
      <x:c r="A74" s="305"/>
      <x:c r="B74" s="305"/>
      <x:c r="C74" s="306" t="str">
        <x:f>IF($B74="","",_xlfn.XLOOKUP($B74,'班次檢核總覽'!$A$7:$A$36,'班次檢核總覽'!$B$7:$B$36,"需求未建立",0))</x:f>
      </x:c>
      <x:c r="D74" s="307" t="str">
        <x:f>IF($B74="","",_xlfn.XLOOKUP($B74,'班次檢核總覽'!$A$7:$A$36,'班次檢核總覽'!$Q$7:$Q$36,"需求未建立",0))</x:f>
      </x:c>
      <x:c r="E74" s="307" t="str">
        <x:f>IF($B74="","",_xlfn.XLOOKUP($B74,'班次檢核總覽'!$A$7:$A$36,'班次檢核總覽'!$U$7:$U$36,"需求未建立",0))</x:f>
      </x:c>
      <x:c r="F74" s="305"/>
      <x:c r="G74" s="305"/>
      <x:c r="H74" s="305"/>
      <x:c r="I74" s="305"/>
      <x:c r="J74" s="305"/>
      <x:c r="K74" s="305"/>
      <x:c r="L74" s="308"/>
      <x:c r="M74" s="308"/>
      <x:c r="N74" s="305"/>
      <x:c r="O74" s="305"/>
      <x:c r="P74" s="308"/>
      <x:c r="Q74" s="305"/>
      <x:c r="R74" s="307" t="str">
        <x:f>IF($A74="","",IF(OR($Q74="已撤銷",$Q74="已結案"),$Q74,IF(OR(LEN($B74)=0,LEN($F74)=0,LEN($G74)=0,LEN($H74)=0,LEN($I74)=0,LEN($J74)=0,LEN($K74)=0,LEN($L74)=0,LEN($M74)=0,LEN($N74)=0,LEN($O74)=0,LEN($P74)=0,LEN($Q74)=0),"待補欄位",IF($N74&lt;&gt;"已核定","待主管核定",IF($P74&lt;$L74,"核定日早於申請日",IF($M74&lt;&gt;$C74,"有效日須等於班次日期","資料完整"))))))</x:f>
      </x:c>
      <x:c r="S74" s="307" t="str">
        <x:f>IF($A74="","",IF($R74&lt;&gt;"資料完整",$R74,IF($D74="通過","無需例外",IF(OR($D74="療程待確認",$D74="缺主跟診配置",$D74="缺短時支援",$D74="支援容量不足",$D74="人員時段衝突"),"不可例外："&amp;$D74,IF($D74="正式資格未完成",IF(OR($F74="已核定資料待回寫",$F74="緊急規則已另行核定"),"可限時核定","不可例外：類型不符"),"不可例外：未定義原因")))))</x:f>
      </x:c>
      <x:c r="T74" s="307" t="str">
        <x:f>IF($A74="","",IF($Q74&lt;&gt;"生效",$Q74,IF($S74&lt;&gt;"可限時核定",$S74,IF($M74&lt;TODAY(),"已到期",IF(COUNTIFS($B$7:$B$106,$B74,$N$7:$N$106,"已核定",$Q$7:$Q$106,"生效",$S$7:$S$106,"可限時核定",$M$7:$M$106,"&gt;="&amp;TODAY())&gt;1,"同一需求重複生效","例外有效")))))</x:f>
      </x:c>
      <x:c r="U74" s="307" t="str">
        <x:f>IF($T74="例外有效",$B74,"")</x:f>
      </x:c>
    </x:row>
    <x:row r="75">
      <x:c r="A75" s="305"/>
      <x:c r="B75" s="305"/>
      <x:c r="C75" s="306" t="str">
        <x:f>IF($B75="","",_xlfn.XLOOKUP($B75,'班次檢核總覽'!$A$7:$A$36,'班次檢核總覽'!$B$7:$B$36,"需求未建立",0))</x:f>
      </x:c>
      <x:c r="D75" s="307" t="str">
        <x:f>IF($B75="","",_xlfn.XLOOKUP($B75,'班次檢核總覽'!$A$7:$A$36,'班次檢核總覽'!$Q$7:$Q$36,"需求未建立",0))</x:f>
      </x:c>
      <x:c r="E75" s="307" t="str">
        <x:f>IF($B75="","",_xlfn.XLOOKUP($B75,'班次檢核總覽'!$A$7:$A$36,'班次檢核總覽'!$U$7:$U$36,"需求未建立",0))</x:f>
      </x:c>
      <x:c r="F75" s="305"/>
      <x:c r="G75" s="305"/>
      <x:c r="H75" s="305"/>
      <x:c r="I75" s="305"/>
      <x:c r="J75" s="305"/>
      <x:c r="K75" s="305"/>
      <x:c r="L75" s="308"/>
      <x:c r="M75" s="308"/>
      <x:c r="N75" s="305"/>
      <x:c r="O75" s="305"/>
      <x:c r="P75" s="308"/>
      <x:c r="Q75" s="305"/>
      <x:c r="R75" s="307" t="str">
        <x:f>IF($A75="","",IF(OR($Q75="已撤銷",$Q75="已結案"),$Q75,IF(OR(LEN($B75)=0,LEN($F75)=0,LEN($G75)=0,LEN($H75)=0,LEN($I75)=0,LEN($J75)=0,LEN($K75)=0,LEN($L75)=0,LEN($M75)=0,LEN($N75)=0,LEN($O75)=0,LEN($P75)=0,LEN($Q75)=0),"待補欄位",IF($N75&lt;&gt;"已核定","待主管核定",IF($P75&lt;$L75,"核定日早於申請日",IF($M75&lt;&gt;$C75,"有效日須等於班次日期","資料完整"))))))</x:f>
      </x:c>
      <x:c r="S75" s="307" t="str">
        <x:f>IF($A75="","",IF($R75&lt;&gt;"資料完整",$R75,IF($D75="通過","無需例外",IF(OR($D75="療程待確認",$D75="缺主跟診配置",$D75="缺短時支援",$D75="支援容量不足",$D75="人員時段衝突"),"不可例外："&amp;$D75,IF($D75="正式資格未完成",IF(OR($F75="已核定資料待回寫",$F75="緊急規則已另行核定"),"可限時核定","不可例外：類型不符"),"不可例外：未定義原因")))))</x:f>
      </x:c>
      <x:c r="T75" s="307" t="str">
        <x:f>IF($A75="","",IF($Q75&lt;&gt;"生效",$Q75,IF($S75&lt;&gt;"可限時核定",$S75,IF($M75&lt;TODAY(),"已到期",IF(COUNTIFS($B$7:$B$106,$B75,$N$7:$N$106,"已核定",$Q$7:$Q$106,"生效",$S$7:$S$106,"可限時核定",$M$7:$M$106,"&gt;="&amp;TODAY())&gt;1,"同一需求重複生效","例外有效")))))</x:f>
      </x:c>
      <x:c r="U75" s="307" t="str">
        <x:f>IF($T75="例外有效",$B75,"")</x:f>
      </x:c>
    </x:row>
    <x:row r="76">
      <x:c r="A76" s="305"/>
      <x:c r="B76" s="305"/>
      <x:c r="C76" s="306" t="str">
        <x:f>IF($B76="","",_xlfn.XLOOKUP($B76,'班次檢核總覽'!$A$7:$A$36,'班次檢核總覽'!$B$7:$B$36,"需求未建立",0))</x:f>
      </x:c>
      <x:c r="D76" s="307" t="str">
        <x:f>IF($B76="","",_xlfn.XLOOKUP($B76,'班次檢核總覽'!$A$7:$A$36,'班次檢核總覽'!$Q$7:$Q$36,"需求未建立",0))</x:f>
      </x:c>
      <x:c r="E76" s="307" t="str">
        <x:f>IF($B76="","",_xlfn.XLOOKUP($B76,'班次檢核總覽'!$A$7:$A$36,'班次檢核總覽'!$U$7:$U$36,"需求未建立",0))</x:f>
      </x:c>
      <x:c r="F76" s="305"/>
      <x:c r="G76" s="305"/>
      <x:c r="H76" s="305"/>
      <x:c r="I76" s="305"/>
      <x:c r="J76" s="305"/>
      <x:c r="K76" s="305"/>
      <x:c r="L76" s="308"/>
      <x:c r="M76" s="308"/>
      <x:c r="N76" s="305"/>
      <x:c r="O76" s="305"/>
      <x:c r="P76" s="308"/>
      <x:c r="Q76" s="305"/>
      <x:c r="R76" s="307" t="str">
        <x:f>IF($A76="","",IF(OR($Q76="已撤銷",$Q76="已結案"),$Q76,IF(OR(LEN($B76)=0,LEN($F76)=0,LEN($G76)=0,LEN($H76)=0,LEN($I76)=0,LEN($J76)=0,LEN($K76)=0,LEN($L76)=0,LEN($M76)=0,LEN($N76)=0,LEN($O76)=0,LEN($P76)=0,LEN($Q76)=0),"待補欄位",IF($N76&lt;&gt;"已核定","待主管核定",IF($P76&lt;$L76,"核定日早於申請日",IF($M76&lt;&gt;$C76,"有效日須等於班次日期","資料完整"))))))</x:f>
      </x:c>
      <x:c r="S76" s="307" t="str">
        <x:f>IF($A76="","",IF($R76&lt;&gt;"資料完整",$R76,IF($D76="通過","無需例外",IF(OR($D76="療程待確認",$D76="缺主跟診配置",$D76="缺短時支援",$D76="支援容量不足",$D76="人員時段衝突"),"不可例外："&amp;$D76,IF($D76="正式資格未完成",IF(OR($F76="已核定資料待回寫",$F76="緊急規則已另行核定"),"可限時核定","不可例外：類型不符"),"不可例外：未定義原因")))))</x:f>
      </x:c>
      <x:c r="T76" s="307" t="str">
        <x:f>IF($A76="","",IF($Q76&lt;&gt;"生效",$Q76,IF($S76&lt;&gt;"可限時核定",$S76,IF($M76&lt;TODAY(),"已到期",IF(COUNTIFS($B$7:$B$106,$B76,$N$7:$N$106,"已核定",$Q$7:$Q$106,"生效",$S$7:$S$106,"可限時核定",$M$7:$M$106,"&gt;="&amp;TODAY())&gt;1,"同一需求重複生效","例外有效")))))</x:f>
      </x:c>
      <x:c r="U76" s="307" t="str">
        <x:f>IF($T76="例外有效",$B76,"")</x:f>
      </x:c>
    </x:row>
    <x:row r="77">
      <x:c r="A77" s="305"/>
      <x:c r="B77" s="305"/>
      <x:c r="C77" s="306" t="str">
        <x:f>IF($B77="","",_xlfn.XLOOKUP($B77,'班次檢核總覽'!$A$7:$A$36,'班次檢核總覽'!$B$7:$B$36,"需求未建立",0))</x:f>
      </x:c>
      <x:c r="D77" s="307" t="str">
        <x:f>IF($B77="","",_xlfn.XLOOKUP($B77,'班次檢核總覽'!$A$7:$A$36,'班次檢核總覽'!$Q$7:$Q$36,"需求未建立",0))</x:f>
      </x:c>
      <x:c r="E77" s="307" t="str">
        <x:f>IF($B77="","",_xlfn.XLOOKUP($B77,'班次檢核總覽'!$A$7:$A$36,'班次檢核總覽'!$U$7:$U$36,"需求未建立",0))</x:f>
      </x:c>
      <x:c r="F77" s="305"/>
      <x:c r="G77" s="305"/>
      <x:c r="H77" s="305"/>
      <x:c r="I77" s="305"/>
      <x:c r="J77" s="305"/>
      <x:c r="K77" s="305"/>
      <x:c r="L77" s="308"/>
      <x:c r="M77" s="308"/>
      <x:c r="N77" s="305"/>
      <x:c r="O77" s="305"/>
      <x:c r="P77" s="308"/>
      <x:c r="Q77" s="305"/>
      <x:c r="R77" s="307" t="str">
        <x:f>IF($A77="","",IF(OR($Q77="已撤銷",$Q77="已結案"),$Q77,IF(OR(LEN($B77)=0,LEN($F77)=0,LEN($G77)=0,LEN($H77)=0,LEN($I77)=0,LEN($J77)=0,LEN($K77)=0,LEN($L77)=0,LEN($M77)=0,LEN($N77)=0,LEN($O77)=0,LEN($P77)=0,LEN($Q77)=0),"待補欄位",IF($N77&lt;&gt;"已核定","待主管核定",IF($P77&lt;$L77,"核定日早於申請日",IF($M77&lt;&gt;$C77,"有效日須等於班次日期","資料完整"))))))</x:f>
      </x:c>
      <x:c r="S77" s="307" t="str">
        <x:f>IF($A77="","",IF($R77&lt;&gt;"資料完整",$R77,IF($D77="通過","無需例外",IF(OR($D77="療程待確認",$D77="缺主跟診配置",$D77="缺短時支援",$D77="支援容量不足",$D77="人員時段衝突"),"不可例外："&amp;$D77,IF($D77="正式資格未完成",IF(OR($F77="已核定資料待回寫",$F77="緊急規則已另行核定"),"可限時核定","不可例外：類型不符"),"不可例外：未定義原因")))))</x:f>
      </x:c>
      <x:c r="T77" s="307" t="str">
        <x:f>IF($A77="","",IF($Q77&lt;&gt;"生效",$Q77,IF($S77&lt;&gt;"可限時核定",$S77,IF($M77&lt;TODAY(),"已到期",IF(COUNTIFS($B$7:$B$106,$B77,$N$7:$N$106,"已核定",$Q$7:$Q$106,"生效",$S$7:$S$106,"可限時核定",$M$7:$M$106,"&gt;="&amp;TODAY())&gt;1,"同一需求重複生效","例外有效")))))</x:f>
      </x:c>
      <x:c r="U77" s="307" t="str">
        <x:f>IF($T77="例外有效",$B77,"")</x:f>
      </x:c>
    </x:row>
    <x:row r="78">
      <x:c r="A78" s="305"/>
      <x:c r="B78" s="305"/>
      <x:c r="C78" s="306" t="str">
        <x:f>IF($B78="","",_xlfn.XLOOKUP($B78,'班次檢核總覽'!$A$7:$A$36,'班次檢核總覽'!$B$7:$B$36,"需求未建立",0))</x:f>
      </x:c>
      <x:c r="D78" s="307" t="str">
        <x:f>IF($B78="","",_xlfn.XLOOKUP($B78,'班次檢核總覽'!$A$7:$A$36,'班次檢核總覽'!$Q$7:$Q$36,"需求未建立",0))</x:f>
      </x:c>
      <x:c r="E78" s="307" t="str">
        <x:f>IF($B78="","",_xlfn.XLOOKUP($B78,'班次檢核總覽'!$A$7:$A$36,'班次檢核總覽'!$U$7:$U$36,"需求未建立",0))</x:f>
      </x:c>
      <x:c r="F78" s="305"/>
      <x:c r="G78" s="305"/>
      <x:c r="H78" s="305"/>
      <x:c r="I78" s="305"/>
      <x:c r="J78" s="305"/>
      <x:c r="K78" s="305"/>
      <x:c r="L78" s="308"/>
      <x:c r="M78" s="308"/>
      <x:c r="N78" s="305"/>
      <x:c r="O78" s="305"/>
      <x:c r="P78" s="308"/>
      <x:c r="Q78" s="305"/>
      <x:c r="R78" s="307" t="str">
        <x:f>IF($A78="","",IF(OR($Q78="已撤銷",$Q78="已結案"),$Q78,IF(OR(LEN($B78)=0,LEN($F78)=0,LEN($G78)=0,LEN($H78)=0,LEN($I78)=0,LEN($J78)=0,LEN($K78)=0,LEN($L78)=0,LEN($M78)=0,LEN($N78)=0,LEN($O78)=0,LEN($P78)=0,LEN($Q78)=0),"待補欄位",IF($N78&lt;&gt;"已核定","待主管核定",IF($P78&lt;$L78,"核定日早於申請日",IF($M78&lt;&gt;$C78,"有效日須等於班次日期","資料完整"))))))</x:f>
      </x:c>
      <x:c r="S78" s="307" t="str">
        <x:f>IF($A78="","",IF($R78&lt;&gt;"資料完整",$R78,IF($D78="通過","無需例外",IF(OR($D78="療程待確認",$D78="缺主跟診配置",$D78="缺短時支援",$D78="支援容量不足",$D78="人員時段衝突"),"不可例外："&amp;$D78,IF($D78="正式資格未完成",IF(OR($F78="已核定資料待回寫",$F78="緊急規則已另行核定"),"可限時核定","不可例外：類型不符"),"不可例外：未定義原因")))))</x:f>
      </x:c>
      <x:c r="T78" s="307" t="str">
        <x:f>IF($A78="","",IF($Q78&lt;&gt;"生效",$Q78,IF($S78&lt;&gt;"可限時核定",$S78,IF($M78&lt;TODAY(),"已到期",IF(COUNTIFS($B$7:$B$106,$B78,$N$7:$N$106,"已核定",$Q$7:$Q$106,"生效",$S$7:$S$106,"可限時核定",$M$7:$M$106,"&gt;="&amp;TODAY())&gt;1,"同一需求重複生效","例外有效")))))</x:f>
      </x:c>
      <x:c r="U78" s="307" t="str">
        <x:f>IF($T78="例外有效",$B78,"")</x:f>
      </x:c>
    </x:row>
    <x:row r="79">
      <x:c r="A79" s="305"/>
      <x:c r="B79" s="305"/>
      <x:c r="C79" s="306" t="str">
        <x:f>IF($B79="","",_xlfn.XLOOKUP($B79,'班次檢核總覽'!$A$7:$A$36,'班次檢核總覽'!$B$7:$B$36,"需求未建立",0))</x:f>
      </x:c>
      <x:c r="D79" s="307" t="str">
        <x:f>IF($B79="","",_xlfn.XLOOKUP($B79,'班次檢核總覽'!$A$7:$A$36,'班次檢核總覽'!$Q$7:$Q$36,"需求未建立",0))</x:f>
      </x:c>
      <x:c r="E79" s="307" t="str">
        <x:f>IF($B79="","",_xlfn.XLOOKUP($B79,'班次檢核總覽'!$A$7:$A$36,'班次檢核總覽'!$U$7:$U$36,"需求未建立",0))</x:f>
      </x:c>
      <x:c r="F79" s="305"/>
      <x:c r="G79" s="305"/>
      <x:c r="H79" s="305"/>
      <x:c r="I79" s="305"/>
      <x:c r="J79" s="305"/>
      <x:c r="K79" s="305"/>
      <x:c r="L79" s="308"/>
      <x:c r="M79" s="308"/>
      <x:c r="N79" s="305"/>
      <x:c r="O79" s="305"/>
      <x:c r="P79" s="308"/>
      <x:c r="Q79" s="305"/>
      <x:c r="R79" s="307" t="str">
        <x:f>IF($A79="","",IF(OR($Q79="已撤銷",$Q79="已結案"),$Q79,IF(OR(LEN($B79)=0,LEN($F79)=0,LEN($G79)=0,LEN($H79)=0,LEN($I79)=0,LEN($J79)=0,LEN($K79)=0,LEN($L79)=0,LEN($M79)=0,LEN($N79)=0,LEN($O79)=0,LEN($P79)=0,LEN($Q79)=0),"待補欄位",IF($N79&lt;&gt;"已核定","待主管核定",IF($P79&lt;$L79,"核定日早於申請日",IF($M79&lt;&gt;$C79,"有效日須等於班次日期","資料完整"))))))</x:f>
      </x:c>
      <x:c r="S79" s="307" t="str">
        <x:f>IF($A79="","",IF($R79&lt;&gt;"資料完整",$R79,IF($D79="通過","無需例外",IF(OR($D79="療程待確認",$D79="缺主跟診配置",$D79="缺短時支援",$D79="支援容量不足",$D79="人員時段衝突"),"不可例外："&amp;$D79,IF($D79="正式資格未完成",IF(OR($F79="已核定資料待回寫",$F79="緊急規則已另行核定"),"可限時核定","不可例外：類型不符"),"不可例外：未定義原因")))))</x:f>
      </x:c>
      <x:c r="T79" s="307" t="str">
        <x:f>IF($A79="","",IF($Q79&lt;&gt;"生效",$Q79,IF($S79&lt;&gt;"可限時核定",$S79,IF($M79&lt;TODAY(),"已到期",IF(COUNTIFS($B$7:$B$106,$B79,$N$7:$N$106,"已核定",$Q$7:$Q$106,"生效",$S$7:$S$106,"可限時核定",$M$7:$M$106,"&gt;="&amp;TODAY())&gt;1,"同一需求重複生效","例外有效")))))</x:f>
      </x:c>
      <x:c r="U79" s="307" t="str">
        <x:f>IF($T79="例外有效",$B79,"")</x:f>
      </x:c>
    </x:row>
    <x:row r="80">
      <x:c r="A80" s="305"/>
      <x:c r="B80" s="305"/>
      <x:c r="C80" s="306" t="str">
        <x:f>IF($B80="","",_xlfn.XLOOKUP($B80,'班次檢核總覽'!$A$7:$A$36,'班次檢核總覽'!$B$7:$B$36,"需求未建立",0))</x:f>
      </x:c>
      <x:c r="D80" s="307" t="str">
        <x:f>IF($B80="","",_xlfn.XLOOKUP($B80,'班次檢核總覽'!$A$7:$A$36,'班次檢核總覽'!$Q$7:$Q$36,"需求未建立",0))</x:f>
      </x:c>
      <x:c r="E80" s="307" t="str">
        <x:f>IF($B80="","",_xlfn.XLOOKUP($B80,'班次檢核總覽'!$A$7:$A$36,'班次檢核總覽'!$U$7:$U$36,"需求未建立",0))</x:f>
      </x:c>
      <x:c r="F80" s="305"/>
      <x:c r="G80" s="305"/>
      <x:c r="H80" s="305"/>
      <x:c r="I80" s="305"/>
      <x:c r="J80" s="305"/>
      <x:c r="K80" s="305"/>
      <x:c r="L80" s="308"/>
      <x:c r="M80" s="308"/>
      <x:c r="N80" s="305"/>
      <x:c r="O80" s="305"/>
      <x:c r="P80" s="308"/>
      <x:c r="Q80" s="305"/>
      <x:c r="R80" s="307" t="str">
        <x:f>IF($A80="","",IF(OR($Q80="已撤銷",$Q80="已結案"),$Q80,IF(OR(LEN($B80)=0,LEN($F80)=0,LEN($G80)=0,LEN($H80)=0,LEN($I80)=0,LEN($J80)=0,LEN($K80)=0,LEN($L80)=0,LEN($M80)=0,LEN($N80)=0,LEN($O80)=0,LEN($P80)=0,LEN($Q80)=0),"待補欄位",IF($N80&lt;&gt;"已核定","待主管核定",IF($P80&lt;$L80,"核定日早於申請日",IF($M80&lt;&gt;$C80,"有效日須等於班次日期","資料完整"))))))</x:f>
      </x:c>
      <x:c r="S80" s="307" t="str">
        <x:f>IF($A80="","",IF($R80&lt;&gt;"資料完整",$R80,IF($D80="通過","無需例外",IF(OR($D80="療程待確認",$D80="缺主跟診配置",$D80="缺短時支援",$D80="支援容量不足",$D80="人員時段衝突"),"不可例外："&amp;$D80,IF($D80="正式資格未完成",IF(OR($F80="已核定資料待回寫",$F80="緊急規則已另行核定"),"可限時核定","不可例外：類型不符"),"不可例外：未定義原因")))))</x:f>
      </x:c>
      <x:c r="T80" s="307" t="str">
        <x:f>IF($A80="","",IF($Q80&lt;&gt;"生效",$Q80,IF($S80&lt;&gt;"可限時核定",$S80,IF($M80&lt;TODAY(),"已到期",IF(COUNTIFS($B$7:$B$106,$B80,$N$7:$N$106,"已核定",$Q$7:$Q$106,"生效",$S$7:$S$106,"可限時核定",$M$7:$M$106,"&gt;="&amp;TODAY())&gt;1,"同一需求重複生效","例外有效")))))</x:f>
      </x:c>
      <x:c r="U80" s="307" t="str">
        <x:f>IF($T80="例外有效",$B80,"")</x:f>
      </x:c>
    </x:row>
    <x:row r="81">
      <x:c r="A81" s="305"/>
      <x:c r="B81" s="305"/>
      <x:c r="C81" s="306" t="str">
        <x:f>IF($B81="","",_xlfn.XLOOKUP($B81,'班次檢核總覽'!$A$7:$A$36,'班次檢核總覽'!$B$7:$B$36,"需求未建立",0))</x:f>
      </x:c>
      <x:c r="D81" s="307" t="str">
        <x:f>IF($B81="","",_xlfn.XLOOKUP($B81,'班次檢核總覽'!$A$7:$A$36,'班次檢核總覽'!$Q$7:$Q$36,"需求未建立",0))</x:f>
      </x:c>
      <x:c r="E81" s="307" t="str">
        <x:f>IF($B81="","",_xlfn.XLOOKUP($B81,'班次檢核總覽'!$A$7:$A$36,'班次檢核總覽'!$U$7:$U$36,"需求未建立",0))</x:f>
      </x:c>
      <x:c r="F81" s="305"/>
      <x:c r="G81" s="305"/>
      <x:c r="H81" s="305"/>
      <x:c r="I81" s="305"/>
      <x:c r="J81" s="305"/>
      <x:c r="K81" s="305"/>
      <x:c r="L81" s="308"/>
      <x:c r="M81" s="308"/>
      <x:c r="N81" s="305"/>
      <x:c r="O81" s="305"/>
      <x:c r="P81" s="308"/>
      <x:c r="Q81" s="305"/>
      <x:c r="R81" s="307" t="str">
        <x:f>IF($A81="","",IF(OR($Q81="已撤銷",$Q81="已結案"),$Q81,IF(OR(LEN($B81)=0,LEN($F81)=0,LEN($G81)=0,LEN($H81)=0,LEN($I81)=0,LEN($J81)=0,LEN($K81)=0,LEN($L81)=0,LEN($M81)=0,LEN($N81)=0,LEN($O81)=0,LEN($P81)=0,LEN($Q81)=0),"待補欄位",IF($N81&lt;&gt;"已核定","待主管核定",IF($P81&lt;$L81,"核定日早於申請日",IF($M81&lt;&gt;$C81,"有效日須等於班次日期","資料完整"))))))</x:f>
      </x:c>
      <x:c r="S81" s="307" t="str">
        <x:f>IF($A81="","",IF($R81&lt;&gt;"資料完整",$R81,IF($D81="通過","無需例外",IF(OR($D81="療程待確認",$D81="缺主跟診配置",$D81="缺短時支援",$D81="支援容量不足",$D81="人員時段衝突"),"不可例外："&amp;$D81,IF($D81="正式資格未完成",IF(OR($F81="已核定資料待回寫",$F81="緊急規則已另行核定"),"可限時核定","不可例外：類型不符"),"不可例外：未定義原因")))))</x:f>
      </x:c>
      <x:c r="T81" s="307" t="str">
        <x:f>IF($A81="","",IF($Q81&lt;&gt;"生效",$Q81,IF($S81&lt;&gt;"可限時核定",$S81,IF($M81&lt;TODAY(),"已到期",IF(COUNTIFS($B$7:$B$106,$B81,$N$7:$N$106,"已核定",$Q$7:$Q$106,"生效",$S$7:$S$106,"可限時核定",$M$7:$M$106,"&gt;="&amp;TODAY())&gt;1,"同一需求重複生效","例外有效")))))</x:f>
      </x:c>
      <x:c r="U81" s="307" t="str">
        <x:f>IF($T81="例外有效",$B81,"")</x:f>
      </x:c>
    </x:row>
    <x:row r="82">
      <x:c r="A82" s="305"/>
      <x:c r="B82" s="305"/>
      <x:c r="C82" s="306" t="str">
        <x:f>IF($B82="","",_xlfn.XLOOKUP($B82,'班次檢核總覽'!$A$7:$A$36,'班次檢核總覽'!$B$7:$B$36,"需求未建立",0))</x:f>
      </x:c>
      <x:c r="D82" s="307" t="str">
        <x:f>IF($B82="","",_xlfn.XLOOKUP($B82,'班次檢核總覽'!$A$7:$A$36,'班次檢核總覽'!$Q$7:$Q$36,"需求未建立",0))</x:f>
      </x:c>
      <x:c r="E82" s="307" t="str">
        <x:f>IF($B82="","",_xlfn.XLOOKUP($B82,'班次檢核總覽'!$A$7:$A$36,'班次檢核總覽'!$U$7:$U$36,"需求未建立",0))</x:f>
      </x:c>
      <x:c r="F82" s="305"/>
      <x:c r="G82" s="305"/>
      <x:c r="H82" s="305"/>
      <x:c r="I82" s="305"/>
      <x:c r="J82" s="305"/>
      <x:c r="K82" s="305"/>
      <x:c r="L82" s="308"/>
      <x:c r="M82" s="308"/>
      <x:c r="N82" s="305"/>
      <x:c r="O82" s="305"/>
      <x:c r="P82" s="308"/>
      <x:c r="Q82" s="305"/>
      <x:c r="R82" s="307" t="str">
        <x:f>IF($A82="","",IF(OR($Q82="已撤銷",$Q82="已結案"),$Q82,IF(OR(LEN($B82)=0,LEN($F82)=0,LEN($G82)=0,LEN($H82)=0,LEN($I82)=0,LEN($J82)=0,LEN($K82)=0,LEN($L82)=0,LEN($M82)=0,LEN($N82)=0,LEN($O82)=0,LEN($P82)=0,LEN($Q82)=0),"待補欄位",IF($N82&lt;&gt;"已核定","待主管核定",IF($P82&lt;$L82,"核定日早於申請日",IF($M82&lt;&gt;$C82,"有效日須等於班次日期","資料完整"))))))</x:f>
      </x:c>
      <x:c r="S82" s="307" t="str">
        <x:f>IF($A82="","",IF($R82&lt;&gt;"資料完整",$R82,IF($D82="通過","無需例外",IF(OR($D82="療程待確認",$D82="缺主跟診配置",$D82="缺短時支援",$D82="支援容量不足",$D82="人員時段衝突"),"不可例外："&amp;$D82,IF($D82="正式資格未完成",IF(OR($F82="已核定資料待回寫",$F82="緊急規則已另行核定"),"可限時核定","不可例外：類型不符"),"不可例外：未定義原因")))))</x:f>
      </x:c>
      <x:c r="T82" s="307" t="str">
        <x:f>IF($A82="","",IF($Q82&lt;&gt;"生效",$Q82,IF($S82&lt;&gt;"可限時核定",$S82,IF($M82&lt;TODAY(),"已到期",IF(COUNTIFS($B$7:$B$106,$B82,$N$7:$N$106,"已核定",$Q$7:$Q$106,"生效",$S$7:$S$106,"可限時核定",$M$7:$M$106,"&gt;="&amp;TODAY())&gt;1,"同一需求重複生效","例外有效")))))</x:f>
      </x:c>
      <x:c r="U82" s="307" t="str">
        <x:f>IF($T82="例外有效",$B82,"")</x:f>
      </x:c>
    </x:row>
    <x:row r="83">
      <x:c r="A83" s="305"/>
      <x:c r="B83" s="305"/>
      <x:c r="C83" s="306" t="str">
        <x:f>IF($B83="","",_xlfn.XLOOKUP($B83,'班次檢核總覽'!$A$7:$A$36,'班次檢核總覽'!$B$7:$B$36,"需求未建立",0))</x:f>
      </x:c>
      <x:c r="D83" s="307" t="str">
        <x:f>IF($B83="","",_xlfn.XLOOKUP($B83,'班次檢核總覽'!$A$7:$A$36,'班次檢核總覽'!$Q$7:$Q$36,"需求未建立",0))</x:f>
      </x:c>
      <x:c r="E83" s="307" t="str">
        <x:f>IF($B83="","",_xlfn.XLOOKUP($B83,'班次檢核總覽'!$A$7:$A$36,'班次檢核總覽'!$U$7:$U$36,"需求未建立",0))</x:f>
      </x:c>
      <x:c r="F83" s="305"/>
      <x:c r="G83" s="305"/>
      <x:c r="H83" s="305"/>
      <x:c r="I83" s="305"/>
      <x:c r="J83" s="305"/>
      <x:c r="K83" s="305"/>
      <x:c r="L83" s="308"/>
      <x:c r="M83" s="308"/>
      <x:c r="N83" s="305"/>
      <x:c r="O83" s="305"/>
      <x:c r="P83" s="308"/>
      <x:c r="Q83" s="305"/>
      <x:c r="R83" s="307" t="str">
        <x:f>IF($A83="","",IF(OR($Q83="已撤銷",$Q83="已結案"),$Q83,IF(OR(LEN($B83)=0,LEN($F83)=0,LEN($G83)=0,LEN($H83)=0,LEN($I83)=0,LEN($J83)=0,LEN($K83)=0,LEN($L83)=0,LEN($M83)=0,LEN($N83)=0,LEN($O83)=0,LEN($P83)=0,LEN($Q83)=0),"待補欄位",IF($N83&lt;&gt;"已核定","待主管核定",IF($P83&lt;$L83,"核定日早於申請日",IF($M83&lt;&gt;$C83,"有效日須等於班次日期","資料完整"))))))</x:f>
      </x:c>
      <x:c r="S83" s="307" t="str">
        <x:f>IF($A83="","",IF($R83&lt;&gt;"資料完整",$R83,IF($D83="通過","無需例外",IF(OR($D83="療程待確認",$D83="缺主跟診配置",$D83="缺短時支援",$D83="支援容量不足",$D83="人員時段衝突"),"不可例外："&amp;$D83,IF($D83="正式資格未完成",IF(OR($F83="已核定資料待回寫",$F83="緊急規則已另行核定"),"可限時核定","不可例外：類型不符"),"不可例外：未定義原因")))))</x:f>
      </x:c>
      <x:c r="T83" s="307" t="str">
        <x:f>IF($A83="","",IF($Q83&lt;&gt;"生效",$Q83,IF($S83&lt;&gt;"可限時核定",$S83,IF($M83&lt;TODAY(),"已到期",IF(COUNTIFS($B$7:$B$106,$B83,$N$7:$N$106,"已核定",$Q$7:$Q$106,"生效",$S$7:$S$106,"可限時核定",$M$7:$M$106,"&gt;="&amp;TODAY())&gt;1,"同一需求重複生效","例外有效")))))</x:f>
      </x:c>
      <x:c r="U83" s="307" t="str">
        <x:f>IF($T83="例外有效",$B83,"")</x:f>
      </x:c>
    </x:row>
    <x:row r="84">
      <x:c r="A84" s="305"/>
      <x:c r="B84" s="305"/>
      <x:c r="C84" s="306" t="str">
        <x:f>IF($B84="","",_xlfn.XLOOKUP($B84,'班次檢核總覽'!$A$7:$A$36,'班次檢核總覽'!$B$7:$B$36,"需求未建立",0))</x:f>
      </x:c>
      <x:c r="D84" s="307" t="str">
        <x:f>IF($B84="","",_xlfn.XLOOKUP($B84,'班次檢核總覽'!$A$7:$A$36,'班次檢核總覽'!$Q$7:$Q$36,"需求未建立",0))</x:f>
      </x:c>
      <x:c r="E84" s="307" t="str">
        <x:f>IF($B84="","",_xlfn.XLOOKUP($B84,'班次檢核總覽'!$A$7:$A$36,'班次檢核總覽'!$U$7:$U$36,"需求未建立",0))</x:f>
      </x:c>
      <x:c r="F84" s="305"/>
      <x:c r="G84" s="305"/>
      <x:c r="H84" s="305"/>
      <x:c r="I84" s="305"/>
      <x:c r="J84" s="305"/>
      <x:c r="K84" s="305"/>
      <x:c r="L84" s="308"/>
      <x:c r="M84" s="308"/>
      <x:c r="N84" s="305"/>
      <x:c r="O84" s="305"/>
      <x:c r="P84" s="308"/>
      <x:c r="Q84" s="305"/>
      <x:c r="R84" s="307" t="str">
        <x:f>IF($A84="","",IF(OR($Q84="已撤銷",$Q84="已結案"),$Q84,IF(OR(LEN($B84)=0,LEN($F84)=0,LEN($G84)=0,LEN($H84)=0,LEN($I84)=0,LEN($J84)=0,LEN($K84)=0,LEN($L84)=0,LEN($M84)=0,LEN($N84)=0,LEN($O84)=0,LEN($P84)=0,LEN($Q84)=0),"待補欄位",IF($N84&lt;&gt;"已核定","待主管核定",IF($P84&lt;$L84,"核定日早於申請日",IF($M84&lt;&gt;$C84,"有效日須等於班次日期","資料完整"))))))</x:f>
      </x:c>
      <x:c r="S84" s="307" t="str">
        <x:f>IF($A84="","",IF($R84&lt;&gt;"資料完整",$R84,IF($D84="通過","無需例外",IF(OR($D84="療程待確認",$D84="缺主跟診配置",$D84="缺短時支援",$D84="支援容量不足",$D84="人員時段衝突"),"不可例外："&amp;$D84,IF($D84="正式資格未完成",IF(OR($F84="已核定資料待回寫",$F84="緊急規則已另行核定"),"可限時核定","不可例外：類型不符"),"不可例外：未定義原因")))))</x:f>
      </x:c>
      <x:c r="T84" s="307" t="str">
        <x:f>IF($A84="","",IF($Q84&lt;&gt;"生效",$Q84,IF($S84&lt;&gt;"可限時核定",$S84,IF($M84&lt;TODAY(),"已到期",IF(COUNTIFS($B$7:$B$106,$B84,$N$7:$N$106,"已核定",$Q$7:$Q$106,"生效",$S$7:$S$106,"可限時核定",$M$7:$M$106,"&gt;="&amp;TODAY())&gt;1,"同一需求重複生效","例外有效")))))</x:f>
      </x:c>
      <x:c r="U84" s="307" t="str">
        <x:f>IF($T84="例外有效",$B84,"")</x:f>
      </x:c>
    </x:row>
    <x:row r="85">
      <x:c r="A85" s="305"/>
      <x:c r="B85" s="305"/>
      <x:c r="C85" s="306" t="str">
        <x:f>IF($B85="","",_xlfn.XLOOKUP($B85,'班次檢核總覽'!$A$7:$A$36,'班次檢核總覽'!$B$7:$B$36,"需求未建立",0))</x:f>
      </x:c>
      <x:c r="D85" s="307" t="str">
        <x:f>IF($B85="","",_xlfn.XLOOKUP($B85,'班次檢核總覽'!$A$7:$A$36,'班次檢核總覽'!$Q$7:$Q$36,"需求未建立",0))</x:f>
      </x:c>
      <x:c r="E85" s="307" t="str">
        <x:f>IF($B85="","",_xlfn.XLOOKUP($B85,'班次檢核總覽'!$A$7:$A$36,'班次檢核總覽'!$U$7:$U$36,"需求未建立",0))</x:f>
      </x:c>
      <x:c r="F85" s="305"/>
      <x:c r="G85" s="305"/>
      <x:c r="H85" s="305"/>
      <x:c r="I85" s="305"/>
      <x:c r="J85" s="305"/>
      <x:c r="K85" s="305"/>
      <x:c r="L85" s="308"/>
      <x:c r="M85" s="308"/>
      <x:c r="N85" s="305"/>
      <x:c r="O85" s="305"/>
      <x:c r="P85" s="308"/>
      <x:c r="Q85" s="305"/>
      <x:c r="R85" s="307" t="str">
        <x:f>IF($A85="","",IF(OR($Q85="已撤銷",$Q85="已結案"),$Q85,IF(OR(LEN($B85)=0,LEN($F85)=0,LEN($G85)=0,LEN($H85)=0,LEN($I85)=0,LEN($J85)=0,LEN($K85)=0,LEN($L85)=0,LEN($M85)=0,LEN($N85)=0,LEN($O85)=0,LEN($P85)=0,LEN($Q85)=0),"待補欄位",IF($N85&lt;&gt;"已核定","待主管核定",IF($P85&lt;$L85,"核定日早於申請日",IF($M85&lt;&gt;$C85,"有效日須等於班次日期","資料完整"))))))</x:f>
      </x:c>
      <x:c r="S85" s="307" t="str">
        <x:f>IF($A85="","",IF($R85&lt;&gt;"資料完整",$R85,IF($D85="通過","無需例外",IF(OR($D85="療程待確認",$D85="缺主跟診配置",$D85="缺短時支援",$D85="支援容量不足",$D85="人員時段衝突"),"不可例外："&amp;$D85,IF($D85="正式資格未完成",IF(OR($F85="已核定資料待回寫",$F85="緊急規則已另行核定"),"可限時核定","不可例外：類型不符"),"不可例外：未定義原因")))))</x:f>
      </x:c>
      <x:c r="T85" s="307" t="str">
        <x:f>IF($A85="","",IF($Q85&lt;&gt;"生效",$Q85,IF($S85&lt;&gt;"可限時核定",$S85,IF($M85&lt;TODAY(),"已到期",IF(COUNTIFS($B$7:$B$106,$B85,$N$7:$N$106,"已核定",$Q$7:$Q$106,"生效",$S$7:$S$106,"可限時核定",$M$7:$M$106,"&gt;="&amp;TODAY())&gt;1,"同一需求重複生效","例外有效")))))</x:f>
      </x:c>
      <x:c r="U85" s="307" t="str">
        <x:f>IF($T85="例外有效",$B85,"")</x:f>
      </x:c>
    </x:row>
    <x:row r="86">
      <x:c r="A86" s="305"/>
      <x:c r="B86" s="305"/>
      <x:c r="C86" s="306" t="str">
        <x:f>IF($B86="","",_xlfn.XLOOKUP($B86,'班次檢核總覽'!$A$7:$A$36,'班次檢核總覽'!$B$7:$B$36,"需求未建立",0))</x:f>
      </x:c>
      <x:c r="D86" s="307" t="str">
        <x:f>IF($B86="","",_xlfn.XLOOKUP($B86,'班次檢核總覽'!$A$7:$A$36,'班次檢核總覽'!$Q$7:$Q$36,"需求未建立",0))</x:f>
      </x:c>
      <x:c r="E86" s="307" t="str">
        <x:f>IF($B86="","",_xlfn.XLOOKUP($B86,'班次檢核總覽'!$A$7:$A$36,'班次檢核總覽'!$U$7:$U$36,"需求未建立",0))</x:f>
      </x:c>
      <x:c r="F86" s="305"/>
      <x:c r="G86" s="305"/>
      <x:c r="H86" s="305"/>
      <x:c r="I86" s="305"/>
      <x:c r="J86" s="305"/>
      <x:c r="K86" s="305"/>
      <x:c r="L86" s="308"/>
      <x:c r="M86" s="308"/>
      <x:c r="N86" s="305"/>
      <x:c r="O86" s="305"/>
      <x:c r="P86" s="308"/>
      <x:c r="Q86" s="305"/>
      <x:c r="R86" s="307" t="str">
        <x:f>IF($A86="","",IF(OR($Q86="已撤銷",$Q86="已結案"),$Q86,IF(OR(LEN($B86)=0,LEN($F86)=0,LEN($G86)=0,LEN($H86)=0,LEN($I86)=0,LEN($J86)=0,LEN($K86)=0,LEN($L86)=0,LEN($M86)=0,LEN($N86)=0,LEN($O86)=0,LEN($P86)=0,LEN($Q86)=0),"待補欄位",IF($N86&lt;&gt;"已核定","待主管核定",IF($P86&lt;$L86,"核定日早於申請日",IF($M86&lt;&gt;$C86,"有效日須等於班次日期","資料完整"))))))</x:f>
      </x:c>
      <x:c r="S86" s="307" t="str">
        <x:f>IF($A86="","",IF($R86&lt;&gt;"資料完整",$R86,IF($D86="通過","無需例外",IF(OR($D86="療程待確認",$D86="缺主跟診配置",$D86="缺短時支援",$D86="支援容量不足",$D86="人員時段衝突"),"不可例外："&amp;$D86,IF($D86="正式資格未完成",IF(OR($F86="已核定資料待回寫",$F86="緊急規則已另行核定"),"可限時核定","不可例外：類型不符"),"不可例外：未定義原因")))))</x:f>
      </x:c>
      <x:c r="T86" s="307" t="str">
        <x:f>IF($A86="","",IF($Q86&lt;&gt;"生效",$Q86,IF($S86&lt;&gt;"可限時核定",$S86,IF($M86&lt;TODAY(),"已到期",IF(COUNTIFS($B$7:$B$106,$B86,$N$7:$N$106,"已核定",$Q$7:$Q$106,"生效",$S$7:$S$106,"可限時核定",$M$7:$M$106,"&gt;="&amp;TODAY())&gt;1,"同一需求重複生效","例外有效")))))</x:f>
      </x:c>
      <x:c r="U86" s="307" t="str">
        <x:f>IF($T86="例外有效",$B86,"")</x:f>
      </x:c>
    </x:row>
    <x:row r="87">
      <x:c r="A87" s="305"/>
      <x:c r="B87" s="305"/>
      <x:c r="C87" s="306" t="str">
        <x:f>IF($B87="","",_xlfn.XLOOKUP($B87,'班次檢核總覽'!$A$7:$A$36,'班次檢核總覽'!$B$7:$B$36,"需求未建立",0))</x:f>
      </x:c>
      <x:c r="D87" s="307" t="str">
        <x:f>IF($B87="","",_xlfn.XLOOKUP($B87,'班次檢核總覽'!$A$7:$A$36,'班次檢核總覽'!$Q$7:$Q$36,"需求未建立",0))</x:f>
      </x:c>
      <x:c r="E87" s="307" t="str">
        <x:f>IF($B87="","",_xlfn.XLOOKUP($B87,'班次檢核總覽'!$A$7:$A$36,'班次檢核總覽'!$U$7:$U$36,"需求未建立",0))</x:f>
      </x:c>
      <x:c r="F87" s="305"/>
      <x:c r="G87" s="305"/>
      <x:c r="H87" s="305"/>
      <x:c r="I87" s="305"/>
      <x:c r="J87" s="305"/>
      <x:c r="K87" s="305"/>
      <x:c r="L87" s="308"/>
      <x:c r="M87" s="308"/>
      <x:c r="N87" s="305"/>
      <x:c r="O87" s="305"/>
      <x:c r="P87" s="308"/>
      <x:c r="Q87" s="305"/>
      <x:c r="R87" s="307" t="str">
        <x:f>IF($A87="","",IF(OR($Q87="已撤銷",$Q87="已結案"),$Q87,IF(OR(LEN($B87)=0,LEN($F87)=0,LEN($G87)=0,LEN($H87)=0,LEN($I87)=0,LEN($J87)=0,LEN($K87)=0,LEN($L87)=0,LEN($M87)=0,LEN($N87)=0,LEN($O87)=0,LEN($P87)=0,LEN($Q87)=0),"待補欄位",IF($N87&lt;&gt;"已核定","待主管核定",IF($P87&lt;$L87,"核定日早於申請日",IF($M87&lt;&gt;$C87,"有效日須等於班次日期","資料完整"))))))</x:f>
      </x:c>
      <x:c r="S87" s="307" t="str">
        <x:f>IF($A87="","",IF($R87&lt;&gt;"資料完整",$R87,IF($D87="通過","無需例外",IF(OR($D87="療程待確認",$D87="缺主跟診配置",$D87="缺短時支援",$D87="支援容量不足",$D87="人員時段衝突"),"不可例外："&amp;$D87,IF($D87="正式資格未完成",IF(OR($F87="已核定資料待回寫",$F87="緊急規則已另行核定"),"可限時核定","不可例外：類型不符"),"不可例外：未定義原因")))))</x:f>
      </x:c>
      <x:c r="T87" s="307" t="str">
        <x:f>IF($A87="","",IF($Q87&lt;&gt;"生效",$Q87,IF($S87&lt;&gt;"可限時核定",$S87,IF($M87&lt;TODAY(),"已到期",IF(COUNTIFS($B$7:$B$106,$B87,$N$7:$N$106,"已核定",$Q$7:$Q$106,"生效",$S$7:$S$106,"可限時核定",$M$7:$M$106,"&gt;="&amp;TODAY())&gt;1,"同一需求重複生效","例外有效")))))</x:f>
      </x:c>
      <x:c r="U87" s="307" t="str">
        <x:f>IF($T87="例外有效",$B87,"")</x:f>
      </x:c>
    </x:row>
    <x:row r="88">
      <x:c r="A88" s="305"/>
      <x:c r="B88" s="305"/>
      <x:c r="C88" s="306" t="str">
        <x:f>IF($B88="","",_xlfn.XLOOKUP($B88,'班次檢核總覽'!$A$7:$A$36,'班次檢核總覽'!$B$7:$B$36,"需求未建立",0))</x:f>
      </x:c>
      <x:c r="D88" s="307" t="str">
        <x:f>IF($B88="","",_xlfn.XLOOKUP($B88,'班次檢核總覽'!$A$7:$A$36,'班次檢核總覽'!$Q$7:$Q$36,"需求未建立",0))</x:f>
      </x:c>
      <x:c r="E88" s="307" t="str">
        <x:f>IF($B88="","",_xlfn.XLOOKUP($B88,'班次檢核總覽'!$A$7:$A$36,'班次檢核總覽'!$U$7:$U$36,"需求未建立",0))</x:f>
      </x:c>
      <x:c r="F88" s="305"/>
      <x:c r="G88" s="305"/>
      <x:c r="H88" s="305"/>
      <x:c r="I88" s="305"/>
      <x:c r="J88" s="305"/>
      <x:c r="K88" s="305"/>
      <x:c r="L88" s="308"/>
      <x:c r="M88" s="308"/>
      <x:c r="N88" s="305"/>
      <x:c r="O88" s="305"/>
      <x:c r="P88" s="308"/>
      <x:c r="Q88" s="305"/>
      <x:c r="R88" s="307" t="str">
        <x:f>IF($A88="","",IF(OR($Q88="已撤銷",$Q88="已結案"),$Q88,IF(OR(LEN($B88)=0,LEN($F88)=0,LEN($G88)=0,LEN($H88)=0,LEN($I88)=0,LEN($J88)=0,LEN($K88)=0,LEN($L88)=0,LEN($M88)=0,LEN($N88)=0,LEN($O88)=0,LEN($P88)=0,LEN($Q88)=0),"待補欄位",IF($N88&lt;&gt;"已核定","待主管核定",IF($P88&lt;$L88,"核定日早於申請日",IF($M88&lt;&gt;$C88,"有效日須等於班次日期","資料完整"))))))</x:f>
      </x:c>
      <x:c r="S88" s="307" t="str">
        <x:f>IF($A88="","",IF($R88&lt;&gt;"資料完整",$R88,IF($D88="通過","無需例外",IF(OR($D88="療程待確認",$D88="缺主跟診配置",$D88="缺短時支援",$D88="支援容量不足",$D88="人員時段衝突"),"不可例外："&amp;$D88,IF($D88="正式資格未完成",IF(OR($F88="已核定資料待回寫",$F88="緊急規則已另行核定"),"可限時核定","不可例外：類型不符"),"不可例外：未定義原因")))))</x:f>
      </x:c>
      <x:c r="T88" s="307" t="str">
        <x:f>IF($A88="","",IF($Q88&lt;&gt;"生效",$Q88,IF($S88&lt;&gt;"可限時核定",$S88,IF($M88&lt;TODAY(),"已到期",IF(COUNTIFS($B$7:$B$106,$B88,$N$7:$N$106,"已核定",$Q$7:$Q$106,"生效",$S$7:$S$106,"可限時核定",$M$7:$M$106,"&gt;="&amp;TODAY())&gt;1,"同一需求重複生效","例外有效")))))</x:f>
      </x:c>
      <x:c r="U88" s="307" t="str">
        <x:f>IF($T88="例外有效",$B88,"")</x:f>
      </x:c>
    </x:row>
    <x:row r="89">
      <x:c r="A89" s="305"/>
      <x:c r="B89" s="305"/>
      <x:c r="C89" s="306" t="str">
        <x:f>IF($B89="","",_xlfn.XLOOKUP($B89,'班次檢核總覽'!$A$7:$A$36,'班次檢核總覽'!$B$7:$B$36,"需求未建立",0))</x:f>
      </x:c>
      <x:c r="D89" s="307" t="str">
        <x:f>IF($B89="","",_xlfn.XLOOKUP($B89,'班次檢核總覽'!$A$7:$A$36,'班次檢核總覽'!$Q$7:$Q$36,"需求未建立",0))</x:f>
      </x:c>
      <x:c r="E89" s="307" t="str">
        <x:f>IF($B89="","",_xlfn.XLOOKUP($B89,'班次檢核總覽'!$A$7:$A$36,'班次檢核總覽'!$U$7:$U$36,"需求未建立",0))</x:f>
      </x:c>
      <x:c r="F89" s="305"/>
      <x:c r="G89" s="305"/>
      <x:c r="H89" s="305"/>
      <x:c r="I89" s="305"/>
      <x:c r="J89" s="305"/>
      <x:c r="K89" s="305"/>
      <x:c r="L89" s="308"/>
      <x:c r="M89" s="308"/>
      <x:c r="N89" s="305"/>
      <x:c r="O89" s="305"/>
      <x:c r="P89" s="308"/>
      <x:c r="Q89" s="305"/>
      <x:c r="R89" s="307" t="str">
        <x:f>IF($A89="","",IF(OR($Q89="已撤銷",$Q89="已結案"),$Q89,IF(OR(LEN($B89)=0,LEN($F89)=0,LEN($G89)=0,LEN($H89)=0,LEN($I89)=0,LEN($J89)=0,LEN($K89)=0,LEN($L89)=0,LEN($M89)=0,LEN($N89)=0,LEN($O89)=0,LEN($P89)=0,LEN($Q89)=0),"待補欄位",IF($N89&lt;&gt;"已核定","待主管核定",IF($P89&lt;$L89,"核定日早於申請日",IF($M89&lt;&gt;$C89,"有效日須等於班次日期","資料完整"))))))</x:f>
      </x:c>
      <x:c r="S89" s="307" t="str">
        <x:f>IF($A89="","",IF($R89&lt;&gt;"資料完整",$R89,IF($D89="通過","無需例外",IF(OR($D89="療程待確認",$D89="缺主跟診配置",$D89="缺短時支援",$D89="支援容量不足",$D89="人員時段衝突"),"不可例外："&amp;$D89,IF($D89="正式資格未完成",IF(OR($F89="已核定資料待回寫",$F89="緊急規則已另行核定"),"可限時核定","不可例外：類型不符"),"不可例外：未定義原因")))))</x:f>
      </x:c>
      <x:c r="T89" s="307" t="str">
        <x:f>IF($A89="","",IF($Q89&lt;&gt;"生效",$Q89,IF($S89&lt;&gt;"可限時核定",$S89,IF($M89&lt;TODAY(),"已到期",IF(COUNTIFS($B$7:$B$106,$B89,$N$7:$N$106,"已核定",$Q$7:$Q$106,"生效",$S$7:$S$106,"可限時核定",$M$7:$M$106,"&gt;="&amp;TODAY())&gt;1,"同一需求重複生效","例外有效")))))</x:f>
      </x:c>
      <x:c r="U89" s="307" t="str">
        <x:f>IF($T89="例外有效",$B89,"")</x:f>
      </x:c>
    </x:row>
    <x:row r="90">
      <x:c r="A90" s="305"/>
      <x:c r="B90" s="305"/>
      <x:c r="C90" s="306" t="str">
        <x:f>IF($B90="","",_xlfn.XLOOKUP($B90,'班次檢核總覽'!$A$7:$A$36,'班次檢核總覽'!$B$7:$B$36,"需求未建立",0))</x:f>
      </x:c>
      <x:c r="D90" s="307" t="str">
        <x:f>IF($B90="","",_xlfn.XLOOKUP($B90,'班次檢核總覽'!$A$7:$A$36,'班次檢核總覽'!$Q$7:$Q$36,"需求未建立",0))</x:f>
      </x:c>
      <x:c r="E90" s="307" t="str">
        <x:f>IF($B90="","",_xlfn.XLOOKUP($B90,'班次檢核總覽'!$A$7:$A$36,'班次檢核總覽'!$U$7:$U$36,"需求未建立",0))</x:f>
      </x:c>
      <x:c r="F90" s="305"/>
      <x:c r="G90" s="305"/>
      <x:c r="H90" s="305"/>
      <x:c r="I90" s="305"/>
      <x:c r="J90" s="305"/>
      <x:c r="K90" s="305"/>
      <x:c r="L90" s="308"/>
      <x:c r="M90" s="308"/>
      <x:c r="N90" s="305"/>
      <x:c r="O90" s="305"/>
      <x:c r="P90" s="308"/>
      <x:c r="Q90" s="305"/>
      <x:c r="R90" s="307" t="str">
        <x:f>IF($A90="","",IF(OR($Q90="已撤銷",$Q90="已結案"),$Q90,IF(OR(LEN($B90)=0,LEN($F90)=0,LEN($G90)=0,LEN($H90)=0,LEN($I90)=0,LEN($J90)=0,LEN($K90)=0,LEN($L90)=0,LEN($M90)=0,LEN($N90)=0,LEN($O90)=0,LEN($P90)=0,LEN($Q90)=0),"待補欄位",IF($N90&lt;&gt;"已核定","待主管核定",IF($P90&lt;$L90,"核定日早於申請日",IF($M90&lt;&gt;$C90,"有效日須等於班次日期","資料完整"))))))</x:f>
      </x:c>
      <x:c r="S90" s="307" t="str">
        <x:f>IF($A90="","",IF($R90&lt;&gt;"資料完整",$R90,IF($D90="通過","無需例外",IF(OR($D90="療程待確認",$D90="缺主跟診配置",$D90="缺短時支援",$D90="支援容量不足",$D90="人員時段衝突"),"不可例外："&amp;$D90,IF($D90="正式資格未完成",IF(OR($F90="已核定資料待回寫",$F90="緊急規則已另行核定"),"可限時核定","不可例外：類型不符"),"不可例外：未定義原因")))))</x:f>
      </x:c>
      <x:c r="T90" s="307" t="str">
        <x:f>IF($A90="","",IF($Q90&lt;&gt;"生效",$Q90,IF($S90&lt;&gt;"可限時核定",$S90,IF($M90&lt;TODAY(),"已到期",IF(COUNTIFS($B$7:$B$106,$B90,$N$7:$N$106,"已核定",$Q$7:$Q$106,"生效",$S$7:$S$106,"可限時核定",$M$7:$M$106,"&gt;="&amp;TODAY())&gt;1,"同一需求重複生效","例外有效")))))</x:f>
      </x:c>
      <x:c r="U90" s="307" t="str">
        <x:f>IF($T90="例外有效",$B90,"")</x:f>
      </x:c>
    </x:row>
    <x:row r="91">
      <x:c r="A91" s="305"/>
      <x:c r="B91" s="305"/>
      <x:c r="C91" s="306" t="str">
        <x:f>IF($B91="","",_xlfn.XLOOKUP($B91,'班次檢核總覽'!$A$7:$A$36,'班次檢核總覽'!$B$7:$B$36,"需求未建立",0))</x:f>
      </x:c>
      <x:c r="D91" s="307" t="str">
        <x:f>IF($B91="","",_xlfn.XLOOKUP($B91,'班次檢核總覽'!$A$7:$A$36,'班次檢核總覽'!$Q$7:$Q$36,"需求未建立",0))</x:f>
      </x:c>
      <x:c r="E91" s="307" t="str">
        <x:f>IF($B91="","",_xlfn.XLOOKUP($B91,'班次檢核總覽'!$A$7:$A$36,'班次檢核總覽'!$U$7:$U$36,"需求未建立",0))</x:f>
      </x:c>
      <x:c r="F91" s="305"/>
      <x:c r="G91" s="305"/>
      <x:c r="H91" s="305"/>
      <x:c r="I91" s="305"/>
      <x:c r="J91" s="305"/>
      <x:c r="K91" s="305"/>
      <x:c r="L91" s="308"/>
      <x:c r="M91" s="308"/>
      <x:c r="N91" s="305"/>
      <x:c r="O91" s="305"/>
      <x:c r="P91" s="308"/>
      <x:c r="Q91" s="305"/>
      <x:c r="R91" s="307" t="str">
        <x:f>IF($A91="","",IF(OR($Q91="已撤銷",$Q91="已結案"),$Q91,IF(OR(LEN($B91)=0,LEN($F91)=0,LEN($G91)=0,LEN($H91)=0,LEN($I91)=0,LEN($J91)=0,LEN($K91)=0,LEN($L91)=0,LEN($M91)=0,LEN($N91)=0,LEN($O91)=0,LEN($P91)=0,LEN($Q91)=0),"待補欄位",IF($N91&lt;&gt;"已核定","待主管核定",IF($P91&lt;$L91,"核定日早於申請日",IF($M91&lt;&gt;$C91,"有效日須等於班次日期","資料完整"))))))</x:f>
      </x:c>
      <x:c r="S91" s="307" t="str">
        <x:f>IF($A91="","",IF($R91&lt;&gt;"資料完整",$R91,IF($D91="通過","無需例外",IF(OR($D91="療程待確認",$D91="缺主跟診配置",$D91="缺短時支援",$D91="支援容量不足",$D91="人員時段衝突"),"不可例外："&amp;$D91,IF($D91="正式資格未完成",IF(OR($F91="已核定資料待回寫",$F91="緊急規則已另行核定"),"可限時核定","不可例外：類型不符"),"不可例外：未定義原因")))))</x:f>
      </x:c>
      <x:c r="T91" s="307" t="str">
        <x:f>IF($A91="","",IF($Q91&lt;&gt;"生效",$Q91,IF($S91&lt;&gt;"可限時核定",$S91,IF($M91&lt;TODAY(),"已到期",IF(COUNTIFS($B$7:$B$106,$B91,$N$7:$N$106,"已核定",$Q$7:$Q$106,"生效",$S$7:$S$106,"可限時核定",$M$7:$M$106,"&gt;="&amp;TODAY())&gt;1,"同一需求重複生效","例外有效")))))</x:f>
      </x:c>
      <x:c r="U91" s="307" t="str">
        <x:f>IF($T91="例外有效",$B91,"")</x:f>
      </x:c>
    </x:row>
    <x:row r="92">
      <x:c r="A92" s="305"/>
      <x:c r="B92" s="305"/>
      <x:c r="C92" s="306" t="str">
        <x:f>IF($B92="","",_xlfn.XLOOKUP($B92,'班次檢核總覽'!$A$7:$A$36,'班次檢核總覽'!$B$7:$B$36,"需求未建立",0))</x:f>
      </x:c>
      <x:c r="D92" s="307" t="str">
        <x:f>IF($B92="","",_xlfn.XLOOKUP($B92,'班次檢核總覽'!$A$7:$A$36,'班次檢核總覽'!$Q$7:$Q$36,"需求未建立",0))</x:f>
      </x:c>
      <x:c r="E92" s="307" t="str">
        <x:f>IF($B92="","",_xlfn.XLOOKUP($B92,'班次檢核總覽'!$A$7:$A$36,'班次檢核總覽'!$U$7:$U$36,"需求未建立",0))</x:f>
      </x:c>
      <x:c r="F92" s="305"/>
      <x:c r="G92" s="305"/>
      <x:c r="H92" s="305"/>
      <x:c r="I92" s="305"/>
      <x:c r="J92" s="305"/>
      <x:c r="K92" s="305"/>
      <x:c r="L92" s="308"/>
      <x:c r="M92" s="308"/>
      <x:c r="N92" s="305"/>
      <x:c r="O92" s="305"/>
      <x:c r="P92" s="308"/>
      <x:c r="Q92" s="305"/>
      <x:c r="R92" s="307" t="str">
        <x:f>IF($A92="","",IF(OR($Q92="已撤銷",$Q92="已結案"),$Q92,IF(OR(LEN($B92)=0,LEN($F92)=0,LEN($G92)=0,LEN($H92)=0,LEN($I92)=0,LEN($J92)=0,LEN($K92)=0,LEN($L92)=0,LEN($M92)=0,LEN($N92)=0,LEN($O92)=0,LEN($P92)=0,LEN($Q92)=0),"待補欄位",IF($N92&lt;&gt;"已核定","待主管核定",IF($P92&lt;$L92,"核定日早於申請日",IF($M92&lt;&gt;$C92,"有效日須等於班次日期","資料完整"))))))</x:f>
      </x:c>
      <x:c r="S92" s="307" t="str">
        <x:f>IF($A92="","",IF($R92&lt;&gt;"資料完整",$R92,IF($D92="通過","無需例外",IF(OR($D92="療程待確認",$D92="缺主跟診配置",$D92="缺短時支援",$D92="支援容量不足",$D92="人員時段衝突"),"不可例外："&amp;$D92,IF($D92="正式資格未完成",IF(OR($F92="已核定資料待回寫",$F92="緊急規則已另行核定"),"可限時核定","不可例外：類型不符"),"不可例外：未定義原因")))))</x:f>
      </x:c>
      <x:c r="T92" s="307" t="str">
        <x:f>IF($A92="","",IF($Q92&lt;&gt;"生效",$Q92,IF($S92&lt;&gt;"可限時核定",$S92,IF($M92&lt;TODAY(),"已到期",IF(COUNTIFS($B$7:$B$106,$B92,$N$7:$N$106,"已核定",$Q$7:$Q$106,"生效",$S$7:$S$106,"可限時核定",$M$7:$M$106,"&gt;="&amp;TODAY())&gt;1,"同一需求重複生效","例外有效")))))</x:f>
      </x:c>
      <x:c r="U92" s="307" t="str">
        <x:f>IF($T92="例外有效",$B92,"")</x:f>
      </x:c>
    </x:row>
    <x:row r="93">
      <x:c r="A93" s="305"/>
      <x:c r="B93" s="305"/>
      <x:c r="C93" s="306" t="str">
        <x:f>IF($B93="","",_xlfn.XLOOKUP($B93,'班次檢核總覽'!$A$7:$A$36,'班次檢核總覽'!$B$7:$B$36,"需求未建立",0))</x:f>
      </x:c>
      <x:c r="D93" s="307" t="str">
        <x:f>IF($B93="","",_xlfn.XLOOKUP($B93,'班次檢核總覽'!$A$7:$A$36,'班次檢核總覽'!$Q$7:$Q$36,"需求未建立",0))</x:f>
      </x:c>
      <x:c r="E93" s="307" t="str">
        <x:f>IF($B93="","",_xlfn.XLOOKUP($B93,'班次檢核總覽'!$A$7:$A$36,'班次檢核總覽'!$U$7:$U$36,"需求未建立",0))</x:f>
      </x:c>
      <x:c r="F93" s="305"/>
      <x:c r="G93" s="305"/>
      <x:c r="H93" s="305"/>
      <x:c r="I93" s="305"/>
      <x:c r="J93" s="305"/>
      <x:c r="K93" s="305"/>
      <x:c r="L93" s="308"/>
      <x:c r="M93" s="308"/>
      <x:c r="N93" s="305"/>
      <x:c r="O93" s="305"/>
      <x:c r="P93" s="308"/>
      <x:c r="Q93" s="305"/>
      <x:c r="R93" s="307" t="str">
        <x:f>IF($A93="","",IF(OR($Q93="已撤銷",$Q93="已結案"),$Q93,IF(OR(LEN($B93)=0,LEN($F93)=0,LEN($G93)=0,LEN($H93)=0,LEN($I93)=0,LEN($J93)=0,LEN($K93)=0,LEN($L93)=0,LEN($M93)=0,LEN($N93)=0,LEN($O93)=0,LEN($P93)=0,LEN($Q93)=0),"待補欄位",IF($N93&lt;&gt;"已核定","待主管核定",IF($P93&lt;$L93,"核定日早於申請日",IF($M93&lt;&gt;$C93,"有效日須等於班次日期","資料完整"))))))</x:f>
      </x:c>
      <x:c r="S93" s="307" t="str">
        <x:f>IF($A93="","",IF($R93&lt;&gt;"資料完整",$R93,IF($D93="通過","無需例外",IF(OR($D93="療程待確認",$D93="缺主跟診配置",$D93="缺短時支援",$D93="支援容量不足",$D93="人員時段衝突"),"不可例外："&amp;$D93,IF($D93="正式資格未完成",IF(OR($F93="已核定資料待回寫",$F93="緊急規則已另行核定"),"可限時核定","不可例外：類型不符"),"不可例外：未定義原因")))))</x:f>
      </x:c>
      <x:c r="T93" s="307" t="str">
        <x:f>IF($A93="","",IF($Q93&lt;&gt;"生效",$Q93,IF($S93&lt;&gt;"可限時核定",$S93,IF($M93&lt;TODAY(),"已到期",IF(COUNTIFS($B$7:$B$106,$B93,$N$7:$N$106,"已核定",$Q$7:$Q$106,"生效",$S$7:$S$106,"可限時核定",$M$7:$M$106,"&gt;="&amp;TODAY())&gt;1,"同一需求重複生效","例外有效")))))</x:f>
      </x:c>
      <x:c r="U93" s="307" t="str">
        <x:f>IF($T93="例外有效",$B93,"")</x:f>
      </x:c>
    </x:row>
    <x:row r="94">
      <x:c r="A94" s="305"/>
      <x:c r="B94" s="305"/>
      <x:c r="C94" s="306" t="str">
        <x:f>IF($B94="","",_xlfn.XLOOKUP($B94,'班次檢核總覽'!$A$7:$A$36,'班次檢核總覽'!$B$7:$B$36,"需求未建立",0))</x:f>
      </x:c>
      <x:c r="D94" s="307" t="str">
        <x:f>IF($B94="","",_xlfn.XLOOKUP($B94,'班次檢核總覽'!$A$7:$A$36,'班次檢核總覽'!$Q$7:$Q$36,"需求未建立",0))</x:f>
      </x:c>
      <x:c r="E94" s="307" t="str">
        <x:f>IF($B94="","",_xlfn.XLOOKUP($B94,'班次檢核總覽'!$A$7:$A$36,'班次檢核總覽'!$U$7:$U$36,"需求未建立",0))</x:f>
      </x:c>
      <x:c r="F94" s="305"/>
      <x:c r="G94" s="305"/>
      <x:c r="H94" s="305"/>
      <x:c r="I94" s="305"/>
      <x:c r="J94" s="305"/>
      <x:c r="K94" s="305"/>
      <x:c r="L94" s="308"/>
      <x:c r="M94" s="308"/>
      <x:c r="N94" s="305"/>
      <x:c r="O94" s="305"/>
      <x:c r="P94" s="308"/>
      <x:c r="Q94" s="305"/>
      <x:c r="R94" s="307" t="str">
        <x:f>IF($A94="","",IF(OR($Q94="已撤銷",$Q94="已結案"),$Q94,IF(OR(LEN($B94)=0,LEN($F94)=0,LEN($G94)=0,LEN($H94)=0,LEN($I94)=0,LEN($J94)=0,LEN($K94)=0,LEN($L94)=0,LEN($M94)=0,LEN($N94)=0,LEN($O94)=0,LEN($P94)=0,LEN($Q94)=0),"待補欄位",IF($N94&lt;&gt;"已核定","待主管核定",IF($P94&lt;$L94,"核定日早於申請日",IF($M94&lt;&gt;$C94,"有效日須等於班次日期","資料完整"))))))</x:f>
      </x:c>
      <x:c r="S94" s="307" t="str">
        <x:f>IF($A94="","",IF($R94&lt;&gt;"資料完整",$R94,IF($D94="通過","無需例外",IF(OR($D94="療程待確認",$D94="缺主跟診配置",$D94="缺短時支援",$D94="支援容量不足",$D94="人員時段衝突"),"不可例外："&amp;$D94,IF($D94="正式資格未完成",IF(OR($F94="已核定資料待回寫",$F94="緊急規則已另行核定"),"可限時核定","不可例外：類型不符"),"不可例外：未定義原因")))))</x:f>
      </x:c>
      <x:c r="T94" s="307" t="str">
        <x:f>IF($A94="","",IF($Q94&lt;&gt;"生效",$Q94,IF($S94&lt;&gt;"可限時核定",$S94,IF($M94&lt;TODAY(),"已到期",IF(COUNTIFS($B$7:$B$106,$B94,$N$7:$N$106,"已核定",$Q$7:$Q$106,"生效",$S$7:$S$106,"可限時核定",$M$7:$M$106,"&gt;="&amp;TODAY())&gt;1,"同一需求重複生效","例外有效")))))</x:f>
      </x:c>
      <x:c r="U94" s="307" t="str">
        <x:f>IF($T94="例外有效",$B94,"")</x:f>
      </x:c>
    </x:row>
    <x:row r="95">
      <x:c r="A95" s="305"/>
      <x:c r="B95" s="305"/>
      <x:c r="C95" s="306" t="str">
        <x:f>IF($B95="","",_xlfn.XLOOKUP($B95,'班次檢核總覽'!$A$7:$A$36,'班次檢核總覽'!$B$7:$B$36,"需求未建立",0))</x:f>
      </x:c>
      <x:c r="D95" s="307" t="str">
        <x:f>IF($B95="","",_xlfn.XLOOKUP($B95,'班次檢核總覽'!$A$7:$A$36,'班次檢核總覽'!$Q$7:$Q$36,"需求未建立",0))</x:f>
      </x:c>
      <x:c r="E95" s="307" t="str">
        <x:f>IF($B95="","",_xlfn.XLOOKUP($B95,'班次檢核總覽'!$A$7:$A$36,'班次檢核總覽'!$U$7:$U$36,"需求未建立",0))</x:f>
      </x:c>
      <x:c r="F95" s="305"/>
      <x:c r="G95" s="305"/>
      <x:c r="H95" s="305"/>
      <x:c r="I95" s="305"/>
      <x:c r="J95" s="305"/>
      <x:c r="K95" s="305"/>
      <x:c r="L95" s="308"/>
      <x:c r="M95" s="308"/>
      <x:c r="N95" s="305"/>
      <x:c r="O95" s="305"/>
      <x:c r="P95" s="308"/>
      <x:c r="Q95" s="305"/>
      <x:c r="R95" s="307" t="str">
        <x:f>IF($A95="","",IF(OR($Q95="已撤銷",$Q95="已結案"),$Q95,IF(OR(LEN($B95)=0,LEN($F95)=0,LEN($G95)=0,LEN($H95)=0,LEN($I95)=0,LEN($J95)=0,LEN($K95)=0,LEN($L95)=0,LEN($M95)=0,LEN($N95)=0,LEN($O95)=0,LEN($P95)=0,LEN($Q95)=0),"待補欄位",IF($N95&lt;&gt;"已核定","待主管核定",IF($P95&lt;$L95,"核定日早於申請日",IF($M95&lt;&gt;$C95,"有效日須等於班次日期","資料完整"))))))</x:f>
      </x:c>
      <x:c r="S95" s="307" t="str">
        <x:f>IF($A95="","",IF($R95&lt;&gt;"資料完整",$R95,IF($D95="通過","無需例外",IF(OR($D95="療程待確認",$D95="缺主跟診配置",$D95="缺短時支援",$D95="支援容量不足",$D95="人員時段衝突"),"不可例外："&amp;$D95,IF($D95="正式資格未完成",IF(OR($F95="已核定資料待回寫",$F95="緊急規則已另行核定"),"可限時核定","不可例外：類型不符"),"不可例外：未定義原因")))))</x:f>
      </x:c>
      <x:c r="T95" s="307" t="str">
        <x:f>IF($A95="","",IF($Q95&lt;&gt;"生效",$Q95,IF($S95&lt;&gt;"可限時核定",$S95,IF($M95&lt;TODAY(),"已到期",IF(COUNTIFS($B$7:$B$106,$B95,$N$7:$N$106,"已核定",$Q$7:$Q$106,"生效",$S$7:$S$106,"可限時核定",$M$7:$M$106,"&gt;="&amp;TODAY())&gt;1,"同一需求重複生效","例外有效")))))</x:f>
      </x:c>
      <x:c r="U95" s="307" t="str">
        <x:f>IF($T95="例外有效",$B95,"")</x:f>
      </x:c>
    </x:row>
    <x:row r="96">
      <x:c r="A96" s="305"/>
      <x:c r="B96" s="305"/>
      <x:c r="C96" s="306" t="str">
        <x:f>IF($B96="","",_xlfn.XLOOKUP($B96,'班次檢核總覽'!$A$7:$A$36,'班次檢核總覽'!$B$7:$B$36,"需求未建立",0))</x:f>
      </x:c>
      <x:c r="D96" s="307" t="str">
        <x:f>IF($B96="","",_xlfn.XLOOKUP($B96,'班次檢核總覽'!$A$7:$A$36,'班次檢核總覽'!$Q$7:$Q$36,"需求未建立",0))</x:f>
      </x:c>
      <x:c r="E96" s="307" t="str">
        <x:f>IF($B96="","",_xlfn.XLOOKUP($B96,'班次檢核總覽'!$A$7:$A$36,'班次檢核總覽'!$U$7:$U$36,"需求未建立",0))</x:f>
      </x:c>
      <x:c r="F96" s="305"/>
      <x:c r="G96" s="305"/>
      <x:c r="H96" s="305"/>
      <x:c r="I96" s="305"/>
      <x:c r="J96" s="305"/>
      <x:c r="K96" s="305"/>
      <x:c r="L96" s="308"/>
      <x:c r="M96" s="308"/>
      <x:c r="N96" s="305"/>
      <x:c r="O96" s="305"/>
      <x:c r="P96" s="308"/>
      <x:c r="Q96" s="305"/>
      <x:c r="R96" s="307" t="str">
        <x:f>IF($A96="","",IF(OR($Q96="已撤銷",$Q96="已結案"),$Q96,IF(OR(LEN($B96)=0,LEN($F96)=0,LEN($G96)=0,LEN($H96)=0,LEN($I96)=0,LEN($J96)=0,LEN($K96)=0,LEN($L96)=0,LEN($M96)=0,LEN($N96)=0,LEN($O96)=0,LEN($P96)=0,LEN($Q96)=0),"待補欄位",IF($N96&lt;&gt;"已核定","待主管核定",IF($P96&lt;$L96,"核定日早於申請日",IF($M96&lt;&gt;$C96,"有效日須等於班次日期","資料完整"))))))</x:f>
      </x:c>
      <x:c r="S96" s="307" t="str">
        <x:f>IF($A96="","",IF($R96&lt;&gt;"資料完整",$R96,IF($D96="通過","無需例外",IF(OR($D96="療程待確認",$D96="缺主跟診配置",$D96="缺短時支援",$D96="支援容量不足",$D96="人員時段衝突"),"不可例外："&amp;$D96,IF($D96="正式資格未完成",IF(OR($F96="已核定資料待回寫",$F96="緊急規則已另行核定"),"可限時核定","不可例外：類型不符"),"不可例外：未定義原因")))))</x:f>
      </x:c>
      <x:c r="T96" s="307" t="str">
        <x:f>IF($A96="","",IF($Q96&lt;&gt;"生效",$Q96,IF($S96&lt;&gt;"可限時核定",$S96,IF($M96&lt;TODAY(),"已到期",IF(COUNTIFS($B$7:$B$106,$B96,$N$7:$N$106,"已核定",$Q$7:$Q$106,"生效",$S$7:$S$106,"可限時核定",$M$7:$M$106,"&gt;="&amp;TODAY())&gt;1,"同一需求重複生效","例外有效")))))</x:f>
      </x:c>
      <x:c r="U96" s="307" t="str">
        <x:f>IF($T96="例外有效",$B96,"")</x:f>
      </x:c>
    </x:row>
    <x:row r="97">
      <x:c r="A97" s="305"/>
      <x:c r="B97" s="305"/>
      <x:c r="C97" s="306" t="str">
        <x:f>IF($B97="","",_xlfn.XLOOKUP($B97,'班次檢核總覽'!$A$7:$A$36,'班次檢核總覽'!$B$7:$B$36,"需求未建立",0))</x:f>
      </x:c>
      <x:c r="D97" s="307" t="str">
        <x:f>IF($B97="","",_xlfn.XLOOKUP($B97,'班次檢核總覽'!$A$7:$A$36,'班次檢核總覽'!$Q$7:$Q$36,"需求未建立",0))</x:f>
      </x:c>
      <x:c r="E97" s="307" t="str">
        <x:f>IF($B97="","",_xlfn.XLOOKUP($B97,'班次檢核總覽'!$A$7:$A$36,'班次檢核總覽'!$U$7:$U$36,"需求未建立",0))</x:f>
      </x:c>
      <x:c r="F97" s="305"/>
      <x:c r="G97" s="305"/>
      <x:c r="H97" s="305"/>
      <x:c r="I97" s="305"/>
      <x:c r="J97" s="305"/>
      <x:c r="K97" s="305"/>
      <x:c r="L97" s="308"/>
      <x:c r="M97" s="308"/>
      <x:c r="N97" s="305"/>
      <x:c r="O97" s="305"/>
      <x:c r="P97" s="308"/>
      <x:c r="Q97" s="305"/>
      <x:c r="R97" s="307" t="str">
        <x:f>IF($A97="","",IF(OR($Q97="已撤銷",$Q97="已結案"),$Q97,IF(OR(LEN($B97)=0,LEN($F97)=0,LEN($G97)=0,LEN($H97)=0,LEN($I97)=0,LEN($J97)=0,LEN($K97)=0,LEN($L97)=0,LEN($M97)=0,LEN($N97)=0,LEN($O97)=0,LEN($P97)=0,LEN($Q97)=0),"待補欄位",IF($N97&lt;&gt;"已核定","待主管核定",IF($P97&lt;$L97,"核定日早於申請日",IF($M97&lt;&gt;$C97,"有效日須等於班次日期","資料完整"))))))</x:f>
      </x:c>
      <x:c r="S97" s="307" t="str">
        <x:f>IF($A97="","",IF($R97&lt;&gt;"資料完整",$R97,IF($D97="通過","無需例外",IF(OR($D97="療程待確認",$D97="缺主跟診配置",$D97="缺短時支援",$D97="支援容量不足",$D97="人員時段衝突"),"不可例外："&amp;$D97,IF($D97="正式資格未完成",IF(OR($F97="已核定資料待回寫",$F97="緊急規則已另行核定"),"可限時核定","不可例外：類型不符"),"不可例外：未定義原因")))))</x:f>
      </x:c>
      <x:c r="T97" s="307" t="str">
        <x:f>IF($A97="","",IF($Q97&lt;&gt;"生效",$Q97,IF($S97&lt;&gt;"可限時核定",$S97,IF($M97&lt;TODAY(),"已到期",IF(COUNTIFS($B$7:$B$106,$B97,$N$7:$N$106,"已核定",$Q$7:$Q$106,"生效",$S$7:$S$106,"可限時核定",$M$7:$M$106,"&gt;="&amp;TODAY())&gt;1,"同一需求重複生效","例外有效")))))</x:f>
      </x:c>
      <x:c r="U97" s="307" t="str">
        <x:f>IF($T97="例外有效",$B97,"")</x:f>
      </x:c>
    </x:row>
    <x:row r="98">
      <x:c r="A98" s="305"/>
      <x:c r="B98" s="305"/>
      <x:c r="C98" s="306" t="str">
        <x:f>IF($B98="","",_xlfn.XLOOKUP($B98,'班次檢核總覽'!$A$7:$A$36,'班次檢核總覽'!$B$7:$B$36,"需求未建立",0))</x:f>
      </x:c>
      <x:c r="D98" s="307" t="str">
        <x:f>IF($B98="","",_xlfn.XLOOKUP($B98,'班次檢核總覽'!$A$7:$A$36,'班次檢核總覽'!$Q$7:$Q$36,"需求未建立",0))</x:f>
      </x:c>
      <x:c r="E98" s="307" t="str">
        <x:f>IF($B98="","",_xlfn.XLOOKUP($B98,'班次檢核總覽'!$A$7:$A$36,'班次檢核總覽'!$U$7:$U$36,"需求未建立",0))</x:f>
      </x:c>
      <x:c r="F98" s="305"/>
      <x:c r="G98" s="305"/>
      <x:c r="H98" s="305"/>
      <x:c r="I98" s="305"/>
      <x:c r="J98" s="305"/>
      <x:c r="K98" s="305"/>
      <x:c r="L98" s="308"/>
      <x:c r="M98" s="308"/>
      <x:c r="N98" s="305"/>
      <x:c r="O98" s="305"/>
      <x:c r="P98" s="308"/>
      <x:c r="Q98" s="305"/>
      <x:c r="R98" s="307" t="str">
        <x:f>IF($A98="","",IF(OR($Q98="已撤銷",$Q98="已結案"),$Q98,IF(OR(LEN($B98)=0,LEN($F98)=0,LEN($G98)=0,LEN($H98)=0,LEN($I98)=0,LEN($J98)=0,LEN($K98)=0,LEN($L98)=0,LEN($M98)=0,LEN($N98)=0,LEN($O98)=0,LEN($P98)=0,LEN($Q98)=0),"待補欄位",IF($N98&lt;&gt;"已核定","待主管核定",IF($P98&lt;$L98,"核定日早於申請日",IF($M98&lt;&gt;$C98,"有效日須等於班次日期","資料完整"))))))</x:f>
      </x:c>
      <x:c r="S98" s="307" t="str">
        <x:f>IF($A98="","",IF($R98&lt;&gt;"資料完整",$R98,IF($D98="通過","無需例外",IF(OR($D98="療程待確認",$D98="缺主跟診配置",$D98="缺短時支援",$D98="支援容量不足",$D98="人員時段衝突"),"不可例外："&amp;$D98,IF($D98="正式資格未完成",IF(OR($F98="已核定資料待回寫",$F98="緊急規則已另行核定"),"可限時核定","不可例外：類型不符"),"不可例外：未定義原因")))))</x:f>
      </x:c>
      <x:c r="T98" s="307" t="str">
        <x:f>IF($A98="","",IF($Q98&lt;&gt;"生效",$Q98,IF($S98&lt;&gt;"可限時核定",$S98,IF($M98&lt;TODAY(),"已到期",IF(COUNTIFS($B$7:$B$106,$B98,$N$7:$N$106,"已核定",$Q$7:$Q$106,"生效",$S$7:$S$106,"可限時核定",$M$7:$M$106,"&gt;="&amp;TODAY())&gt;1,"同一需求重複生效","例外有效")))))</x:f>
      </x:c>
      <x:c r="U98" s="307" t="str">
        <x:f>IF($T98="例外有效",$B98,"")</x:f>
      </x:c>
    </x:row>
    <x:row r="99">
      <x:c r="A99" s="305"/>
      <x:c r="B99" s="305"/>
      <x:c r="C99" s="306" t="str">
        <x:f>IF($B99="","",_xlfn.XLOOKUP($B99,'班次檢核總覽'!$A$7:$A$36,'班次檢核總覽'!$B$7:$B$36,"需求未建立",0))</x:f>
      </x:c>
      <x:c r="D99" s="307" t="str">
        <x:f>IF($B99="","",_xlfn.XLOOKUP($B99,'班次檢核總覽'!$A$7:$A$36,'班次檢核總覽'!$Q$7:$Q$36,"需求未建立",0))</x:f>
      </x:c>
      <x:c r="E99" s="307" t="str">
        <x:f>IF($B99="","",_xlfn.XLOOKUP($B99,'班次檢核總覽'!$A$7:$A$36,'班次檢核總覽'!$U$7:$U$36,"需求未建立",0))</x:f>
      </x:c>
      <x:c r="F99" s="305"/>
      <x:c r="G99" s="305"/>
      <x:c r="H99" s="305"/>
      <x:c r="I99" s="305"/>
      <x:c r="J99" s="305"/>
      <x:c r="K99" s="305"/>
      <x:c r="L99" s="308"/>
      <x:c r="M99" s="308"/>
      <x:c r="N99" s="305"/>
      <x:c r="O99" s="305"/>
      <x:c r="P99" s="308"/>
      <x:c r="Q99" s="305"/>
      <x:c r="R99" s="307" t="str">
        <x:f>IF($A99="","",IF(OR($Q99="已撤銷",$Q99="已結案"),$Q99,IF(OR(LEN($B99)=0,LEN($F99)=0,LEN($G99)=0,LEN($H99)=0,LEN($I99)=0,LEN($J99)=0,LEN($K99)=0,LEN($L99)=0,LEN($M99)=0,LEN($N99)=0,LEN($O99)=0,LEN($P99)=0,LEN($Q99)=0),"待補欄位",IF($N99&lt;&gt;"已核定","待主管核定",IF($P99&lt;$L99,"核定日早於申請日",IF($M99&lt;&gt;$C99,"有效日須等於班次日期","資料完整"))))))</x:f>
      </x:c>
      <x:c r="S99" s="307" t="str">
        <x:f>IF($A99="","",IF($R99&lt;&gt;"資料完整",$R99,IF($D99="通過","無需例外",IF(OR($D99="療程待確認",$D99="缺主跟診配置",$D99="缺短時支援",$D99="支援容量不足",$D99="人員時段衝突"),"不可例外："&amp;$D99,IF($D99="正式資格未完成",IF(OR($F99="已核定資料待回寫",$F99="緊急規則已另行核定"),"可限時核定","不可例外：類型不符"),"不可例外：未定義原因")))))</x:f>
      </x:c>
      <x:c r="T99" s="307" t="str">
        <x:f>IF($A99="","",IF($Q99&lt;&gt;"生效",$Q99,IF($S99&lt;&gt;"可限時核定",$S99,IF($M99&lt;TODAY(),"已到期",IF(COUNTIFS($B$7:$B$106,$B99,$N$7:$N$106,"已核定",$Q$7:$Q$106,"生效",$S$7:$S$106,"可限時核定",$M$7:$M$106,"&gt;="&amp;TODAY())&gt;1,"同一需求重複生效","例外有效")))))</x:f>
      </x:c>
      <x:c r="U99" s="307" t="str">
        <x:f>IF($T99="例外有效",$B99,"")</x:f>
      </x:c>
    </x:row>
    <x:row r="100">
      <x:c r="A100" s="305"/>
      <x:c r="B100" s="305"/>
      <x:c r="C100" s="306" t="str">
        <x:f>IF($B100="","",_xlfn.XLOOKUP($B100,'班次檢核總覽'!$A$7:$A$36,'班次檢核總覽'!$B$7:$B$36,"需求未建立",0))</x:f>
      </x:c>
      <x:c r="D100" s="307" t="str">
        <x:f>IF($B100="","",_xlfn.XLOOKUP($B100,'班次檢核總覽'!$A$7:$A$36,'班次檢核總覽'!$Q$7:$Q$36,"需求未建立",0))</x:f>
      </x:c>
      <x:c r="E100" s="307" t="str">
        <x:f>IF($B100="","",_xlfn.XLOOKUP($B100,'班次檢核總覽'!$A$7:$A$36,'班次檢核總覽'!$U$7:$U$36,"需求未建立",0))</x:f>
      </x:c>
      <x:c r="F100" s="305"/>
      <x:c r="G100" s="305"/>
      <x:c r="H100" s="305"/>
      <x:c r="I100" s="305"/>
      <x:c r="J100" s="305"/>
      <x:c r="K100" s="305"/>
      <x:c r="L100" s="308"/>
      <x:c r="M100" s="308"/>
      <x:c r="N100" s="305"/>
      <x:c r="O100" s="305"/>
      <x:c r="P100" s="308"/>
      <x:c r="Q100" s="305"/>
      <x:c r="R100" s="307" t="str">
        <x:f>IF($A100="","",IF(OR($Q100="已撤銷",$Q100="已結案"),$Q100,IF(OR(LEN($B100)=0,LEN($F100)=0,LEN($G100)=0,LEN($H100)=0,LEN($I100)=0,LEN($J100)=0,LEN($K100)=0,LEN($L100)=0,LEN($M100)=0,LEN($N100)=0,LEN($O100)=0,LEN($P100)=0,LEN($Q100)=0),"待補欄位",IF($N100&lt;&gt;"已核定","待主管核定",IF($P100&lt;$L100,"核定日早於申請日",IF($M100&lt;&gt;$C100,"有效日須等於班次日期","資料完整"))))))</x:f>
      </x:c>
      <x:c r="S100" s="307" t="str">
        <x:f>IF($A100="","",IF($R100&lt;&gt;"資料完整",$R100,IF($D100="通過","無需例外",IF(OR($D100="療程待確認",$D100="缺主跟診配置",$D100="缺短時支援",$D100="支援容量不足",$D100="人員時段衝突"),"不可例外："&amp;$D100,IF($D100="正式資格未完成",IF(OR($F100="已核定資料待回寫",$F100="緊急規則已另行核定"),"可限時核定","不可例外：類型不符"),"不可例外：未定義原因")))))</x:f>
      </x:c>
      <x:c r="T100" s="307" t="str">
        <x:f>IF($A100="","",IF($Q100&lt;&gt;"生效",$Q100,IF($S100&lt;&gt;"可限時核定",$S100,IF($M100&lt;TODAY(),"已到期",IF(COUNTIFS($B$7:$B$106,$B100,$N$7:$N$106,"已核定",$Q$7:$Q$106,"生效",$S$7:$S$106,"可限時核定",$M$7:$M$106,"&gt;="&amp;TODAY())&gt;1,"同一需求重複生效","例外有效")))))</x:f>
      </x:c>
      <x:c r="U100" s="307" t="str">
        <x:f>IF($T100="例外有效",$B100,"")</x:f>
      </x:c>
    </x:row>
    <x:row r="101">
      <x:c r="A101" s="305"/>
      <x:c r="B101" s="305"/>
      <x:c r="C101" s="306" t="str">
        <x:f>IF($B101="","",_xlfn.XLOOKUP($B101,'班次檢核總覽'!$A$7:$A$36,'班次檢核總覽'!$B$7:$B$36,"需求未建立",0))</x:f>
      </x:c>
      <x:c r="D101" s="307" t="str">
        <x:f>IF($B101="","",_xlfn.XLOOKUP($B101,'班次檢核總覽'!$A$7:$A$36,'班次檢核總覽'!$Q$7:$Q$36,"需求未建立",0))</x:f>
      </x:c>
      <x:c r="E101" s="307" t="str">
        <x:f>IF($B101="","",_xlfn.XLOOKUP($B101,'班次檢核總覽'!$A$7:$A$36,'班次檢核總覽'!$U$7:$U$36,"需求未建立",0))</x:f>
      </x:c>
      <x:c r="F101" s="305"/>
      <x:c r="G101" s="305"/>
      <x:c r="H101" s="305"/>
      <x:c r="I101" s="305"/>
      <x:c r="J101" s="305"/>
      <x:c r="K101" s="305"/>
      <x:c r="L101" s="308"/>
      <x:c r="M101" s="308"/>
      <x:c r="N101" s="305"/>
      <x:c r="O101" s="305"/>
      <x:c r="P101" s="308"/>
      <x:c r="Q101" s="305"/>
      <x:c r="R101" s="307" t="str">
        <x:f>IF($A101="","",IF(OR($Q101="已撤銷",$Q101="已結案"),$Q101,IF(OR(LEN($B101)=0,LEN($F101)=0,LEN($G101)=0,LEN($H101)=0,LEN($I101)=0,LEN($J101)=0,LEN($K101)=0,LEN($L101)=0,LEN($M101)=0,LEN($N101)=0,LEN($O101)=0,LEN($P101)=0,LEN($Q101)=0),"待補欄位",IF($N101&lt;&gt;"已核定","待主管核定",IF($P101&lt;$L101,"核定日早於申請日",IF($M101&lt;&gt;$C101,"有效日須等於班次日期","資料完整"))))))</x:f>
      </x:c>
      <x:c r="S101" s="307" t="str">
        <x:f>IF($A101="","",IF($R101&lt;&gt;"資料完整",$R101,IF($D101="通過","無需例外",IF(OR($D101="療程待確認",$D101="缺主跟診配置",$D101="缺短時支援",$D101="支援容量不足",$D101="人員時段衝突"),"不可例外："&amp;$D101,IF($D101="正式資格未完成",IF(OR($F101="已核定資料待回寫",$F101="緊急規則已另行核定"),"可限時核定","不可例外：類型不符"),"不可例外：未定義原因")))))</x:f>
      </x:c>
      <x:c r="T101" s="307" t="str">
        <x:f>IF($A101="","",IF($Q101&lt;&gt;"生效",$Q101,IF($S101&lt;&gt;"可限時核定",$S101,IF($M101&lt;TODAY(),"已到期",IF(COUNTIFS($B$7:$B$106,$B101,$N$7:$N$106,"已核定",$Q$7:$Q$106,"生效",$S$7:$S$106,"可限時核定",$M$7:$M$106,"&gt;="&amp;TODAY())&gt;1,"同一需求重複生效","例外有效")))))</x:f>
      </x:c>
      <x:c r="U101" s="307" t="str">
        <x:f>IF($T101="例外有效",$B101,"")</x:f>
      </x:c>
    </x:row>
    <x:row r="102">
      <x:c r="A102" s="305"/>
      <x:c r="B102" s="305"/>
      <x:c r="C102" s="306" t="str">
        <x:f>IF($B102="","",_xlfn.XLOOKUP($B102,'班次檢核總覽'!$A$7:$A$36,'班次檢核總覽'!$B$7:$B$36,"需求未建立",0))</x:f>
      </x:c>
      <x:c r="D102" s="307" t="str">
        <x:f>IF($B102="","",_xlfn.XLOOKUP($B102,'班次檢核總覽'!$A$7:$A$36,'班次檢核總覽'!$Q$7:$Q$36,"需求未建立",0))</x:f>
      </x:c>
      <x:c r="E102" s="307" t="str">
        <x:f>IF($B102="","",_xlfn.XLOOKUP($B102,'班次檢核總覽'!$A$7:$A$36,'班次檢核總覽'!$U$7:$U$36,"需求未建立",0))</x:f>
      </x:c>
      <x:c r="F102" s="305"/>
      <x:c r="G102" s="305"/>
      <x:c r="H102" s="305"/>
      <x:c r="I102" s="305"/>
      <x:c r="J102" s="305"/>
      <x:c r="K102" s="305"/>
      <x:c r="L102" s="308"/>
      <x:c r="M102" s="308"/>
      <x:c r="N102" s="305"/>
      <x:c r="O102" s="305"/>
      <x:c r="P102" s="308"/>
      <x:c r="Q102" s="305"/>
      <x:c r="R102" s="307" t="str">
        <x:f>IF($A102="","",IF(OR($Q102="已撤銷",$Q102="已結案"),$Q102,IF(OR(LEN($B102)=0,LEN($F102)=0,LEN($G102)=0,LEN($H102)=0,LEN($I102)=0,LEN($J102)=0,LEN($K102)=0,LEN($L102)=0,LEN($M102)=0,LEN($N102)=0,LEN($O102)=0,LEN($P102)=0,LEN($Q102)=0),"待補欄位",IF($N102&lt;&gt;"已核定","待主管核定",IF($P102&lt;$L102,"核定日早於申請日",IF($M102&lt;&gt;$C102,"有效日須等於班次日期","資料完整"))))))</x:f>
      </x:c>
      <x:c r="S102" s="307" t="str">
        <x:f>IF($A102="","",IF($R102&lt;&gt;"資料完整",$R102,IF($D102="通過","無需例外",IF(OR($D102="療程待確認",$D102="缺主跟診配置",$D102="缺短時支援",$D102="支援容量不足",$D102="人員時段衝突"),"不可例外："&amp;$D102,IF($D102="正式資格未完成",IF(OR($F102="已核定資料待回寫",$F102="緊急規則已另行核定"),"可限時核定","不可例外：類型不符"),"不可例外：未定義原因")))))</x:f>
      </x:c>
      <x:c r="T102" s="307" t="str">
        <x:f>IF($A102="","",IF($Q102&lt;&gt;"生效",$Q102,IF($S102&lt;&gt;"可限時核定",$S102,IF($M102&lt;TODAY(),"已到期",IF(COUNTIFS($B$7:$B$106,$B102,$N$7:$N$106,"已核定",$Q$7:$Q$106,"生效",$S$7:$S$106,"可限時核定",$M$7:$M$106,"&gt;="&amp;TODAY())&gt;1,"同一需求重複生效","例外有效")))))</x:f>
      </x:c>
      <x:c r="U102" s="307" t="str">
        <x:f>IF($T102="例外有效",$B102,"")</x:f>
      </x:c>
    </x:row>
    <x:row r="103">
      <x:c r="A103" s="305"/>
      <x:c r="B103" s="305"/>
      <x:c r="C103" s="306" t="str">
        <x:f>IF($B103="","",_xlfn.XLOOKUP($B103,'班次檢核總覽'!$A$7:$A$36,'班次檢核總覽'!$B$7:$B$36,"需求未建立",0))</x:f>
      </x:c>
      <x:c r="D103" s="307" t="str">
        <x:f>IF($B103="","",_xlfn.XLOOKUP($B103,'班次檢核總覽'!$A$7:$A$36,'班次檢核總覽'!$Q$7:$Q$36,"需求未建立",0))</x:f>
      </x:c>
      <x:c r="E103" s="307" t="str">
        <x:f>IF($B103="","",_xlfn.XLOOKUP($B103,'班次檢核總覽'!$A$7:$A$36,'班次檢核總覽'!$U$7:$U$36,"需求未建立",0))</x:f>
      </x:c>
      <x:c r="F103" s="305"/>
      <x:c r="G103" s="305"/>
      <x:c r="H103" s="305"/>
      <x:c r="I103" s="305"/>
      <x:c r="J103" s="305"/>
      <x:c r="K103" s="305"/>
      <x:c r="L103" s="308"/>
      <x:c r="M103" s="308"/>
      <x:c r="N103" s="305"/>
      <x:c r="O103" s="305"/>
      <x:c r="P103" s="308"/>
      <x:c r="Q103" s="305"/>
      <x:c r="R103" s="307" t="str">
        <x:f>IF($A103="","",IF(OR($Q103="已撤銷",$Q103="已結案"),$Q103,IF(OR(LEN($B103)=0,LEN($F103)=0,LEN($G103)=0,LEN($H103)=0,LEN($I103)=0,LEN($J103)=0,LEN($K103)=0,LEN($L103)=0,LEN($M103)=0,LEN($N103)=0,LEN($O103)=0,LEN($P103)=0,LEN($Q103)=0),"待補欄位",IF($N103&lt;&gt;"已核定","待主管核定",IF($P103&lt;$L103,"核定日早於申請日",IF($M103&lt;&gt;$C103,"有效日須等於班次日期","資料完整"))))))</x:f>
      </x:c>
      <x:c r="S103" s="307" t="str">
        <x:f>IF($A103="","",IF($R103&lt;&gt;"資料完整",$R103,IF($D103="通過","無需例外",IF(OR($D103="療程待確認",$D103="缺主跟診配置",$D103="缺短時支援",$D103="支援容量不足",$D103="人員時段衝突"),"不可例外："&amp;$D103,IF($D103="正式資格未完成",IF(OR($F103="已核定資料待回寫",$F103="緊急規則已另行核定"),"可限時核定","不可例外：類型不符"),"不可例外：未定義原因")))))</x:f>
      </x:c>
      <x:c r="T103" s="307" t="str">
        <x:f>IF($A103="","",IF($Q103&lt;&gt;"生效",$Q103,IF($S103&lt;&gt;"可限時核定",$S103,IF($M103&lt;TODAY(),"已到期",IF(COUNTIFS($B$7:$B$106,$B103,$N$7:$N$106,"已核定",$Q$7:$Q$106,"生效",$S$7:$S$106,"可限時核定",$M$7:$M$106,"&gt;="&amp;TODAY())&gt;1,"同一需求重複生效","例外有效")))))</x:f>
      </x:c>
      <x:c r="U103" s="307" t="str">
        <x:f>IF($T103="例外有效",$B103,"")</x:f>
      </x:c>
    </x:row>
    <x:row r="104">
      <x:c r="A104" s="305"/>
      <x:c r="B104" s="305"/>
      <x:c r="C104" s="306" t="str">
        <x:f>IF($B104="","",_xlfn.XLOOKUP($B104,'班次檢核總覽'!$A$7:$A$36,'班次檢核總覽'!$B$7:$B$36,"需求未建立",0))</x:f>
      </x:c>
      <x:c r="D104" s="307" t="str">
        <x:f>IF($B104="","",_xlfn.XLOOKUP($B104,'班次檢核總覽'!$A$7:$A$36,'班次檢核總覽'!$Q$7:$Q$36,"需求未建立",0))</x:f>
      </x:c>
      <x:c r="E104" s="307" t="str">
        <x:f>IF($B104="","",_xlfn.XLOOKUP($B104,'班次檢核總覽'!$A$7:$A$36,'班次檢核總覽'!$U$7:$U$36,"需求未建立",0))</x:f>
      </x:c>
      <x:c r="F104" s="305"/>
      <x:c r="G104" s="305"/>
      <x:c r="H104" s="305"/>
      <x:c r="I104" s="305"/>
      <x:c r="J104" s="305"/>
      <x:c r="K104" s="305"/>
      <x:c r="L104" s="308"/>
      <x:c r="M104" s="308"/>
      <x:c r="N104" s="305"/>
      <x:c r="O104" s="305"/>
      <x:c r="P104" s="308"/>
      <x:c r="Q104" s="305"/>
      <x:c r="R104" s="307" t="str">
        <x:f>IF($A104="","",IF(OR($Q104="已撤銷",$Q104="已結案"),$Q104,IF(OR(LEN($B104)=0,LEN($F104)=0,LEN($G104)=0,LEN($H104)=0,LEN($I104)=0,LEN($J104)=0,LEN($K104)=0,LEN($L104)=0,LEN($M104)=0,LEN($N104)=0,LEN($O104)=0,LEN($P104)=0,LEN($Q104)=0),"待補欄位",IF($N104&lt;&gt;"已核定","待主管核定",IF($P104&lt;$L104,"核定日早於申請日",IF($M104&lt;&gt;$C104,"有效日須等於班次日期","資料完整"))))))</x:f>
      </x:c>
      <x:c r="S104" s="307" t="str">
        <x:f>IF($A104="","",IF($R104&lt;&gt;"資料完整",$R104,IF($D104="通過","無需例外",IF(OR($D104="療程待確認",$D104="缺主跟診配置",$D104="缺短時支援",$D104="支援容量不足",$D104="人員時段衝突"),"不可例外："&amp;$D104,IF($D104="正式資格未完成",IF(OR($F104="已核定資料待回寫",$F104="緊急規則已另行核定"),"可限時核定","不可例外：類型不符"),"不可例外：未定義原因")))))</x:f>
      </x:c>
      <x:c r="T104" s="307" t="str">
        <x:f>IF($A104="","",IF($Q104&lt;&gt;"生效",$Q104,IF($S104&lt;&gt;"可限時核定",$S104,IF($M104&lt;TODAY(),"已到期",IF(COUNTIFS($B$7:$B$106,$B104,$N$7:$N$106,"已核定",$Q$7:$Q$106,"生效",$S$7:$S$106,"可限時核定",$M$7:$M$106,"&gt;="&amp;TODAY())&gt;1,"同一需求重複生效","例外有效")))))</x:f>
      </x:c>
      <x:c r="U104" s="307" t="str">
        <x:f>IF($T104="例外有效",$B104,"")</x:f>
      </x:c>
    </x:row>
    <x:row r="105">
      <x:c r="A105" s="305"/>
      <x:c r="B105" s="305"/>
      <x:c r="C105" s="306" t="str">
        <x:f>IF($B105="","",_xlfn.XLOOKUP($B105,'班次檢核總覽'!$A$7:$A$36,'班次檢核總覽'!$B$7:$B$36,"需求未建立",0))</x:f>
      </x:c>
      <x:c r="D105" s="307" t="str">
        <x:f>IF($B105="","",_xlfn.XLOOKUP($B105,'班次檢核總覽'!$A$7:$A$36,'班次檢核總覽'!$Q$7:$Q$36,"需求未建立",0))</x:f>
      </x:c>
      <x:c r="E105" s="307" t="str">
        <x:f>IF($B105="","",_xlfn.XLOOKUP($B105,'班次檢核總覽'!$A$7:$A$36,'班次檢核總覽'!$U$7:$U$36,"需求未建立",0))</x:f>
      </x:c>
      <x:c r="F105" s="305"/>
      <x:c r="G105" s="305"/>
      <x:c r="H105" s="305"/>
      <x:c r="I105" s="305"/>
      <x:c r="J105" s="305"/>
      <x:c r="K105" s="305"/>
      <x:c r="L105" s="308"/>
      <x:c r="M105" s="308"/>
      <x:c r="N105" s="305"/>
      <x:c r="O105" s="305"/>
      <x:c r="P105" s="308"/>
      <x:c r="Q105" s="305"/>
      <x:c r="R105" s="307" t="str">
        <x:f>IF($A105="","",IF(OR($Q105="已撤銷",$Q105="已結案"),$Q105,IF(OR(LEN($B105)=0,LEN($F105)=0,LEN($G105)=0,LEN($H105)=0,LEN($I105)=0,LEN($J105)=0,LEN($K105)=0,LEN($L105)=0,LEN($M105)=0,LEN($N105)=0,LEN($O105)=0,LEN($P105)=0,LEN($Q105)=0),"待補欄位",IF($N105&lt;&gt;"已核定","待主管核定",IF($P105&lt;$L105,"核定日早於申請日",IF($M105&lt;&gt;$C105,"有效日須等於班次日期","資料完整"))))))</x:f>
      </x:c>
      <x:c r="S105" s="307" t="str">
        <x:f>IF($A105="","",IF($R105&lt;&gt;"資料完整",$R105,IF($D105="通過","無需例外",IF(OR($D105="療程待確認",$D105="缺主跟診配置",$D105="缺短時支援",$D105="支援容量不足",$D105="人員時段衝突"),"不可例外："&amp;$D105,IF($D105="正式資格未完成",IF(OR($F105="已核定資料待回寫",$F105="緊急規則已另行核定"),"可限時核定","不可例外：類型不符"),"不可例外：未定義原因")))))</x:f>
      </x:c>
      <x:c r="T105" s="307" t="str">
        <x:f>IF($A105="","",IF($Q105&lt;&gt;"生效",$Q105,IF($S105&lt;&gt;"可限時核定",$S105,IF($M105&lt;TODAY(),"已到期",IF(COUNTIFS($B$7:$B$106,$B105,$N$7:$N$106,"已核定",$Q$7:$Q$106,"生效",$S$7:$S$106,"可限時核定",$M$7:$M$106,"&gt;="&amp;TODAY())&gt;1,"同一需求重複生效","例外有效")))))</x:f>
      </x:c>
      <x:c r="U105" s="307" t="str">
        <x:f>IF($T105="例外有效",$B105,"")</x:f>
      </x:c>
    </x:row>
    <x:row r="106">
      <x:c r="A106" s="305"/>
      <x:c r="B106" s="305"/>
      <x:c r="C106" s="306" t="str">
        <x:f>IF($B106="","",_xlfn.XLOOKUP($B106,'班次檢核總覽'!$A$7:$A$36,'班次檢核總覽'!$B$7:$B$36,"需求未建立",0))</x:f>
      </x:c>
      <x:c r="D106" s="307" t="str">
        <x:f>IF($B106="","",_xlfn.XLOOKUP($B106,'班次檢核總覽'!$A$7:$A$36,'班次檢核總覽'!$Q$7:$Q$36,"需求未建立",0))</x:f>
      </x:c>
      <x:c r="E106" s="307" t="str">
        <x:f>IF($B106="","",_xlfn.XLOOKUP($B106,'班次檢核總覽'!$A$7:$A$36,'班次檢核總覽'!$U$7:$U$36,"需求未建立",0))</x:f>
      </x:c>
      <x:c r="F106" s="305"/>
      <x:c r="G106" s="305"/>
      <x:c r="H106" s="305"/>
      <x:c r="I106" s="305"/>
      <x:c r="J106" s="305"/>
      <x:c r="K106" s="305"/>
      <x:c r="L106" s="308"/>
      <x:c r="M106" s="308"/>
      <x:c r="N106" s="305"/>
      <x:c r="O106" s="305"/>
      <x:c r="P106" s="308"/>
      <x:c r="Q106" s="305"/>
      <x:c r="R106" s="307" t="str">
        <x:f>IF($A106="","",IF(OR($Q106="已撤銷",$Q106="已結案"),$Q106,IF(OR(LEN($B106)=0,LEN($F106)=0,LEN($G106)=0,LEN($H106)=0,LEN($I106)=0,LEN($J106)=0,LEN($K106)=0,LEN($L106)=0,LEN($M106)=0,LEN($N106)=0,LEN($O106)=0,LEN($P106)=0,LEN($Q106)=0),"待補欄位",IF($N106&lt;&gt;"已核定","待主管核定",IF($P106&lt;$L106,"核定日早於申請日",IF($M106&lt;&gt;$C106,"有效日須等於班次日期","資料完整"))))))</x:f>
      </x:c>
      <x:c r="S106" s="307" t="str">
        <x:f>IF($A106="","",IF($R106&lt;&gt;"資料完整",$R106,IF($D106="通過","無需例外",IF(OR($D106="療程待確認",$D106="缺主跟診配置",$D106="缺短時支援",$D106="支援容量不足",$D106="人員時段衝突"),"不可例外："&amp;$D106,IF($D106="正式資格未完成",IF(OR($F106="已核定資料待回寫",$F106="緊急規則已另行核定"),"可限時核定","不可例外：類型不符"),"不可例外：未定義原因")))))</x:f>
      </x:c>
      <x:c r="T106" s="307" t="str">
        <x:f>IF($A106="","",IF($Q106&lt;&gt;"生效",$Q106,IF($S106&lt;&gt;"可限時核定",$S106,IF($M106&lt;TODAY(),"已到期",IF(COUNTIFS($B$7:$B$106,$B106,$N$7:$N$106,"已核定",$Q$7:$Q$106,"生效",$S$7:$S$106,"可限時核定",$M$7:$M$106,"&gt;="&amp;TODAY())&gt;1,"同一需求重複生效","例外有效")))))</x:f>
      </x:c>
      <x:c r="U106" s="307" t="str">
        <x:f>IF($T106="例外有效",$B106,"")</x:f>
      </x:c>
    </x:row>
  </x:sheetData>
  <x:mergeCells>
    <x:mergeCell ref="A2:U2"/>
    <x:mergeCell ref="A4:U4"/>
  </x:mergeCells>
  <x:conditionalFormatting sqref="S7:T106">
    <x:cfRule type="containsText" dxfId="78" priority="1" operator="containsText" text="不可例外"/>
  </x:conditionalFormatting>
  <x:conditionalFormatting sqref="T7:T106">
    <x:cfRule type="containsText" dxfId="79" priority="2" operator="containsText" text="例外有效"/>
  </x:conditionalFormatting>
  <x:conditionalFormatting sqref="R7:R106">
    <x:cfRule type="containsText" dxfId="80" priority="3" operator="containsText" text="待補"/>
  </x:conditionalFormatting>
  <x:dataValidations count="3">
    <x:dataValidation type="list" sqref="F7:F106">
      <x:formula1>"已核定資料待回寫,緊急規則已另行核定"</x:formula1>
    </x:dataValidation>
    <x:dataValidation type="list" sqref="N7:N106">
      <x:formula1>"待核定,已核定,退回補件"</x:formula1>
    </x:dataValidation>
    <x:dataValidation type="list" sqref="Q7:Q106">
      <x:formula1>"生效,已撤銷,已結案"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ce86452feb4cba"/>
  </x:tableParts>
</x:worksheet>
</file>

<file path=xl/worksheets/sheet3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2" hidden="0" customWidth="1"/>
    <x:col min="5" max="5" width="30" hidden="0" customWidth="1"/>
    <x:col min="6" max="6" width="22" hidden="0" customWidth="1"/>
    <x:col min="7" max="7" width="38" hidden="0" customWidth="1"/>
    <x:col min="8" max="8" width="34" hidden="0" customWidth="1"/>
    <x:col min="9" max="9" width="34" hidden="0" customWidth="1"/>
    <x:col min="10" max="10" width="24" hidden="0" customWidth="1"/>
    <x:col min="11" max="11" width="16" hidden="0" customWidth="1"/>
  </x:cols>
  <x:sheetData>
    <x:row r="1">
      <x:c r="A1" s="346"/>
      <x:c r="B1" s="346"/>
      <x:c r="C1" s="346"/>
      <x:c r="D1" s="346"/>
      <x:c r="E1" s="346"/>
      <x:c r="F1" s="346"/>
      <x:c r="G1" s="346"/>
      <x:c r="H1" s="346"/>
      <x:c r="I1" s="346"/>
      <x:c r="J1" s="346"/>
      <x:c r="K1" s="346"/>
    </x:row>
    <x:row r="2">
      <x:c r="A2" s="119" t="str">
        <x:v>診所助理排班工具－主管操作導引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>
      <x:c r="A4" s="75" t="str">
        <x:v>從目前待辦開始，依序完成療程確認、資料核定、人力配置、安全檢核與發布。黃色工作表通常需要人工輸入；藍色欄位與狀態由系統計算。正式規則、資格、考核與例外都必須保留核定紀錄。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</x:row>
    <x:row r="6">
      <x:c r="A6" s="324" t="str">
        <x:v>目前最優先</x:v>
      </x:c>
      <x:c r="B6" s="328" t="str">
        <x:f>'主管工作台'!$I$20</x:f>
        <x:v>先收齊診所正式資料</x:v>
      </x:c>
      <x:c r="C6" s="328"/>
      <x:c r="D6" s="328"/>
      <x:c r="E6" s="328"/>
      <x:c r="F6" s="328"/>
      <x:c r="G6" s="328"/>
      <x:c r="H6" s="328"/>
      <x:c r="I6" s="328"/>
      <x:c r="J6" s="328"/>
      <x:c r="K6" s="328"/>
    </x:row>
    <x:row r="7">
      <x:c r="A7" s="324" t="str">
        <x:v>處理位置</x:v>
      </x:c>
      <x:c r="B7" s="328" t="str">
        <x:f>'主管工作台'!$I$21</x:f>
        <x:v>正式資料收件</x:v>
      </x:c>
      <x:c r="C7" s="328"/>
      <x:c r="D7" s="328"/>
      <x:c r="E7" s="328"/>
      <x:c r="F7" s="328"/>
      <x:c r="G7" s="328"/>
      <x:c r="H7" s="328"/>
      <x:c r="I7" s="328"/>
      <x:c r="J7" s="328"/>
      <x:c r="K7" s="328"/>
    </x:row>
    <x:row r="8">
      <x:c r="A8" s="324" t="str">
        <x:v>完成條件</x:v>
      </x:c>
      <x:c r="B8" s="328" t="str">
        <x:f>'主管工作台'!$I$22</x:f>
        <x:v>外部資料包已提供，且收件日與收件人完整</x:v>
      </x:c>
      <x:c r="C8" s="328"/>
      <x:c r="D8" s="328"/>
      <x:c r="E8" s="328"/>
      <x:c r="F8" s="328"/>
      <x:c r="G8" s="328"/>
      <x:c r="H8" s="328"/>
      <x:c r="I8" s="328"/>
      <x:c r="J8" s="328"/>
      <x:c r="K8" s="328"/>
    </x:row>
    <x:row r="11">
      <x:c r="A11" s="331" t="str">
        <x:v>順序</x:v>
      </x:c>
      <x:c r="B11" s="331" t="str">
        <x:v>處理時點</x:v>
      </x:c>
      <x:c r="C11" s="331" t="str">
        <x:v>工作項目</x:v>
      </x:c>
      <x:c r="D11" s="331" t="str">
        <x:v>待辦數</x:v>
      </x:c>
      <x:c r="E11" s="331" t="str">
        <x:v>主要操作位置</x:v>
      </x:c>
      <x:c r="F11" s="331" t="str">
        <x:v>負責角色</x:v>
      </x:c>
      <x:c r="G11" s="331" t="str">
        <x:v>必要輸入／動作</x:v>
      </x:c>
      <x:c r="H11" s="331" t="str">
        <x:v>完成條件</x:v>
      </x:c>
      <x:c r="I11" s="331" t="str">
        <x:v>不可略過</x:v>
      </x:c>
      <x:c r="J11" s="331" t="str">
        <x:v>完成後流向</x:v>
      </x:c>
      <x:c r="K11" s="331" t="str">
        <x:v>目前狀態</x:v>
      </x:c>
    </x:row>
    <x:row r="12">
      <x:c r="A12" s="334" t="n">
        <x:v>1</x:v>
      </x:c>
      <x:c r="B12" s="334" t="str">
        <x:v>每日／三週前</x:v>
      </x:c>
      <x:c r="C12" s="334" t="str">
        <x:v>療程標記與一般診確認</x:v>
      </x:c>
      <x:c r="D12" s="335" t="n">
        <x:f>COUNTIFS('班次需求輸入'!$A$7:$A$36,"&lt;&gt;",'班次需求輸入'!$K$7:$K$36,"正式",'班次需求輸入'!$X$7:$X$36,"待三週前標記")</x:f>
        <x:v>0</x:v>
      </x:c>
      <x:c r="E12" s="336" t="str">
        <x:v>諮詢排班視圖、班次需求輸入</x:v>
      </x:c>
      <x:c r="F12" s="336" t="str">
        <x:v>諮詢組</x:v>
      </x:c>
      <x:c r="G12" s="336" t="str">
        <x:v>特殊療程或一般診明確標記；填標記人與日期</x:v>
      </x:c>
      <x:c r="H12" s="336" t="str">
        <x:v>三週標記資料完整</x:v>
      </x:c>
      <x:c r="I12" s="336" t="str">
        <x:v>空白不能視為一般診</x:v>
      </x:c>
      <x:c r="J12" s="336" t="str">
        <x:v>一週前診前確認</x:v>
      </x:c>
      <x:c r="K12" s="337" t="str">
        <x:f>IF($D12=0,"完成／無待辦","待處理")</x:f>
        <x:v>完成／無待辦</x:v>
      </x:c>
    </x:row>
    <x:row r="13">
      <x:c r="A13" s="334" t="n">
        <x:v>2</x:v>
      </x:c>
      <x:c r="B13" s="334" t="str">
        <x:v>一週前／異動時</x:v>
      </x:c>
      <x:c r="C13" s="334" t="str">
        <x:v>診前確認與人力異動</x:v>
      </x:c>
      <x:c r="D13" s="335" t="n">
        <x:f>COUNTIFS('班次需求輸入'!$A$7:$A$36,"&lt;&gt;",'班次需求輸入'!$K$7:$K$36,"正式",'班次需求輸入'!$X$7:$X$36,"待一週前確認")+COUNTIFS('班次需求輸入'!$A$7:$A$36,"&lt;&gt;",'班次需求輸入'!$K$7:$K$36,"正式",'班次需求輸入'!$X$7:$X$36,"*待處理*")</x:f>
        <x:v>0</x:v>
      </x:c>
      <x:c r="E13" s="336" t="str">
        <x:v>班次需求輸入、諮詢排班視圖</x:v>
      </x:c>
      <x:c r="F13" s="336" t="str">
        <x:v>跟診助理／諮詢組／助理主管</x:v>
      </x:c>
      <x:c r="G13" s="336" t="str">
        <x:v>確認療程、器械與注意事項；影響人力時重新檢查</x:v>
      </x:c>
      <x:c r="H13" s="336" t="str">
        <x:v>確認流程狀態為確認完成</x:v>
      </x:c>
      <x:c r="I13" s="336" t="str">
        <x:v>諮詢組不直接指定助理</x:v>
      </x:c>
      <x:c r="J13" s="336" t="str">
        <x:v>班次與支援配置</x:v>
      </x:c>
      <x:c r="K13" s="337" t="str">
        <x:f>IF($D13=0,"完成／無待辦","待處理")</x:f>
        <x:v>完成／無待辦</x:v>
      </x:c>
    </x:row>
    <x:row r="14">
      <x:c r="A14" s="334" t="n">
        <x:v>3</x:v>
      </x:c>
      <x:c r="B14" s="334" t="str">
        <x:v>上線前／資料變更</x:v>
      </x:c>
      <x:c r="C14" s="334" t="str">
        <x:v>能力、熟悉度、資格與支援核定</x:v>
      </x:c>
      <x:c r="D14" s="335" t="n">
        <x:f>'主管工作台'!$A$7+'主管工作台'!$B$24+'主管工作台'!$B$25+'主管工作台'!$B$26</x:f>
        <x:v>674</x:v>
      </x:c>
      <x:c r="E14" s="336" t="str">
        <x:v>主管核定批次、主管核定中心、支援者資格核定</x:v>
      </x:c>
      <x:c r="F14" s="336" t="str">
        <x:v>助理主管／助理長</x:v>
      </x:c>
      <x:c r="G14" s="336" t="str">
        <x:v>依建議單批量拆分，寫明各批範圍，再填實際負責人與期限並逐筆核定</x:v>
      </x:c>
      <x:c r="H14" s="336" t="str">
        <x:v>有效批次規劃量涵蓋全部待辦，且必要核定紀錄可生效</x:v>
      </x:c>
      <x:c r="I14" s="336" t="str">
        <x:v>未核定資料不可正式排班</x:v>
      </x:c>
      <x:c r="J14" s="336" t="str">
        <x:v>班次適配與配置</x:v>
      </x:c>
      <x:c r="K14" s="337" t="str">
        <x:f>IF($D14=0,"完成／無待辦","待處理")</x:f>
        <x:v>待處理</x:v>
      </x:c>
    </x:row>
    <x:row r="15">
      <x:c r="A15" s="334" t="n">
        <x:v>4</x:v>
      </x:c>
      <x:c r="B15" s="334" t="str">
        <x:v>收到正式制度時</x:v>
      </x:c>
      <x:c r="C15" s="334" t="str">
        <x:v>正式規則與檢核表內容收件</x:v>
      </x:c>
      <x:c r="D15" s="335" t="n">
        <x:f>COUNTIFS('正式資料收件'!$B$12:$B$20,"外部正式資料",'正式資料收件'!$M$12:$M$20,"&lt;&gt;已完成")</x:f>
        <x:v>4</x:v>
      </x:c>
      <x:c r="E15" s="336" t="str">
        <x:v>正式資料收件、醫師模式規則輸入、模式能力要求輸入、排班模式清單、流動層級規則輸入、職級矩陣規則輸入、檢核表項目輸入</x:v>
      </x:c>
      <x:c r="F15" s="336" t="str">
        <x:v>助理長／各組主管</x:v>
      </x:c>
      <x:c r="G15" s="336" t="str">
        <x:v>先登記收件，逐列填入模式規則與能力／資格要求，完成來源、核定及要求集完整性確認</x:v>
      </x:c>
      <x:c r="H15" s="336" t="str">
        <x:v>模式規則與所有能力要求均可發布，要求集標記已完整，模式才出現在排班下拉清單</x:v>
      </x:c>
      <x:c r="I15" s="336" t="str">
        <x:v>不得推定缺少的臨床門檻</x:v>
      </x:c>
      <x:c r="J15" s="336" t="str">
        <x:v>規則與檢核表版本發布</x:v>
      </x:c>
      <x:c r="K15" s="337" t="str">
        <x:f>IF($D15=0,"完成／無待辦","待處理")</x:f>
        <x:v>待處理</x:v>
      </x:c>
    </x:row>
    <x:row r="16">
      <x:c r="A16" s="334" t="n">
        <x:v>5</x:v>
      </x:c>
      <x:c r="B16" s="334" t="str">
        <x:v>排班前／異動後</x:v>
      </x:c>
      <x:c r="C16" s="334" t="str">
        <x:v>班次、人力與支援檢核</x:v>
      </x:c>
      <x:c r="D16" s="335" t="n">
        <x:f>'主管工作台'!$D$7</x:f>
        <x:v>0</x:v>
      </x:c>
      <x:c r="E16" s="336" t="str">
        <x:v>班次需求輸入、排班配置輸入、班次檢核總覽</x:v>
      </x:c>
      <x:c r="F16" s="336" t="str">
        <x:v>助理主管</x:v>
      </x:c>
      <x:c r="G16" s="336" t="str">
        <x:v>先完成正式班次基本建檔，再配置主跟診與支援者；排除資格、容量與時間衝突</x:v>
      </x:c>
      <x:c r="H16" s="336" t="str">
        <x:v>基本建檔狀態可進入排班，且最終發布判定可發布；正式試排另完成驗收簽核</x:v>
      </x:c>
      <x:c r="I16" s="336" t="str">
        <x:v>學習觀摩不計正式人力</x:v>
      </x:c>
      <x:c r="J16" s="336" t="str">
        <x:v>諮詢組查看發布結果</x:v>
      </x:c>
      <x:c r="K16" s="337" t="str">
        <x:f>IF($D16=0,"完成／無待辦","待處理")</x:f>
        <x:v>完成／無待辦</x:v>
      </x:c>
    </x:row>
    <x:row r="17">
      <x:c r="A17" s="334" t="n">
        <x:v>6</x:v>
      </x:c>
      <x:c r="B17" s="334" t="str">
        <x:v>僅限資料差異</x:v>
      </x:c>
      <x:c r="C17" s="334" t="str">
        <x:v>排班例外核定</x:v>
      </x:c>
      <x:c r="D17" s="335" t="n">
        <x:f>'主管工作台'!$B$28</x:f>
        <x:v>0</x:v>
      </x:c>
      <x:c r="E17" s="336" t="str">
        <x:v>排班例外核定</x:v>
      </x:c>
      <x:c r="F17" s="336" t="str">
        <x:v>助理主管／助理長</x:v>
      </x:c>
      <x:c r="G17" s="336" t="str">
        <x:v>填佐證、補償措施、有效日與核定資料</x:v>
      </x:c>
      <x:c r="H17" s="336" t="str">
        <x:v>例外有效且限單一班次</x:v>
      </x:c>
      <x:c r="I17" s="336" t="str">
        <x:v>缺人、缺支援、容量不足、衝突不可例外</x:v>
      </x:c>
      <x:c r="J17" s="336" t="str">
        <x:v>例外核定可發布</x:v>
      </x:c>
      <x:c r="K17" s="337" t="str">
        <x:f>IF($D17=0,"完成／無待辦","待處理")</x:f>
        <x:v>完成／無待辦</x:v>
      </x:c>
    </x:row>
    <x:row r="18">
      <x:c r="A18" s="334" t="n">
        <x:v>7</x:v>
      </x:c>
      <x:c r="B18" s="334" t="str">
        <x:v>新技能／未建立資格</x:v>
      </x:c>
      <x:c r="C18" s="334" t="str">
        <x:v>正式考核與檢核表版本</x:v>
      </x:c>
      <x:c r="D18" s="335" t="n">
        <x:f>'主管工作台'!$B$17+'主管工作台'!$B$27</x:f>
        <x:v>36</x:v>
      </x:c>
      <x:c r="E18" s="336" t="str">
        <x:v>檢核表版本、檢核表項目輸入、考核紀錄輸入</x:v>
      </x:c>
      <x:c r="F18" s="336" t="str">
        <x:v>考核人／助理主管</x:v>
      </x:c>
      <x:c r="G18" s="336" t="str">
        <x:v>先發布檢核表，再登錄正式考核與知悉</x:v>
      </x:c>
      <x:c r="H18" s="336" t="str">
        <x:v>考核可送主管核定</x:v>
      </x:c>
      <x:c r="I18" s="336" t="str">
        <x:v>必要步驟需提醒即未通過</x:v>
      </x:c>
      <x:c r="J18" s="336" t="str">
        <x:v>主管核定中心</x:v>
      </x:c>
      <x:c r="K18" s="337" t="str">
        <x:f>IF($D18=0,"完成／無待辦","待處理")</x:f>
        <x:v>待處理</x:v>
      </x:c>
    </x:row>
    <x:row r="19">
      <x:c r="A19" s="334" t="n">
        <x:v>8</x:v>
      </x:c>
      <x:c r="B19" s="334" t="str">
        <x:v>到期前／未通過後</x:v>
      </x:c>
      <x:c r="C19" s="334" t="str">
        <x:v>半年複評與資格恢復</x:v>
      </x:c>
      <x:c r="D19" s="335" t="n">
        <x:f>'主管工作台'!$G$7+'主管工作台'!$M$7+'主管工作台'!$B$16</x:f>
        <x:v>0</x:v>
      </x:c>
      <x:c r="E19" s="336" t="str">
        <x:v>複評待辦、資格恢復處理</x:v>
      </x:c>
      <x:c r="F19" s="336" t="str">
        <x:v>助理主管</x:v>
      </x:c>
      <x:c r="G19" s="336" t="str">
        <x:v>安排複評或補考；完成補訓、複評與核定</x:v>
      </x:c>
      <x:c r="H19" s="336" t="str">
        <x:v>資格有效或已恢復</x:v>
      </x:c>
      <x:c r="I19" s="336" t="str">
        <x:v>低頻高風險逾期無寬限</x:v>
      </x:c>
      <x:c r="J19" s="336" t="str">
        <x:v>回到排班適配</x:v>
      </x:c>
      <x:c r="K19" s="337" t="str">
        <x:f>IF($D19=0,"完成／無待辦","待處理")</x:f>
        <x:v>完成／無待辦</x:v>
      </x:c>
    </x:row>
    <x:row r="20">
      <x:c r="A20" s="334" t="n">
        <x:v>9</x:v>
      </x:c>
      <x:c r="B20" s="334" t="str">
        <x:v>符合證據門檻時</x:v>
      </x:c>
      <x:c r="C20" s="334" t="str">
        <x:v>能力 Ø 升 ◎</x:v>
      </x:c>
      <x:c r="D20" s="335" t="n">
        <x:f>'主管工作台'!$J$7</x:f>
        <x:v>0</x:v>
      </x:c>
      <x:c r="E20" s="336" t="str">
        <x:v>工作觀察輸入、面談與異議、能力升級候選</x:v>
      </x:c>
      <x:c r="F20" s="336" t="str">
        <x:v>助理主管</x:v>
      </x:c>
      <x:c r="G20" s="336" t="str">
        <x:v>三次成功觀察、至少兩日、一次面談且無關鍵遺漏</x:v>
      </x:c>
      <x:c r="H20" s="336" t="str">
        <x:v>主管人工核定升級</x:v>
      </x:c>
      <x:c r="I20" s="336" t="str">
        <x:v>條件達成不自動升級</x:v>
      </x:c>
      <x:c r="J20" s="336" t="str">
        <x:v>更新能力狀態</x:v>
      </x:c>
      <x:c r="K20" s="337" t="str">
        <x:f>IF($D20=0,"完成／無待辦","待處理")</x:f>
        <x:v>完成／無待辦</x:v>
      </x:c>
    </x:row>
    <x:row r="21">
      <x:c r="A21" s="334" t="n">
        <x:v>10</x:v>
      </x:c>
      <x:c r="B21" s="334" t="str">
        <x:v>事件發生／限制解除</x:v>
      </x:c>
      <x:c r="C21" s="334" t="str">
        <x:v>事件、限制與異議</x:v>
      </x:c>
      <x:c r="D21" s="335" t="n">
        <x:f>'主管工作台'!$B$18</x:f>
        <x:v>0</x:v>
      </x:c>
      <x:c r="E21" s="336" t="str">
        <x:v>事件與限制、面談與異議</x:v>
      </x:c>
      <x:c r="F21" s="336" t="str">
        <x:v>助理主管／助理長</x:v>
      </x:c>
      <x:c r="G21" s="336" t="str">
        <x:v>保存事件、影響技能、補訓、複評與最終決定</x:v>
      </x:c>
      <x:c r="H21" s="336" t="str">
        <x:v>限制已處理或依法維持</x:v>
      </x:c>
      <x:c r="I21" s="336" t="str">
        <x:v>只限制直接相關技能；安全暫停複核前維持</x:v>
      </x:c>
      <x:c r="J21" s="336" t="str">
        <x:v>資格恢復或持續限制</x:v>
      </x:c>
      <x:c r="K21" s="337" t="str">
        <x:f>IF($D21=0,"完成／無待辦","待處理")</x:f>
        <x:v>完成／無待辦</x:v>
      </x:c>
    </x:row>
    <x:row r="22">
      <x:c r="A22" s="385" t="n">
        <x:v>11</x:v>
      </x:c>
      <x:c r="B22" s="385" t="str">
        <x:v>正式上線前</x:v>
      </x:c>
      <x:c r="C22" s="385" t="str">
        <x:v>上線準備閘門</x:v>
      </x:c>
      <x:c r="D22" s="386" t="n">
        <x:f>'主管工作台'!$B$29</x:f>
        <x:v>14</x:v>
      </x:c>
      <x:c r="E22" s="387" t="str">
        <x:v>正式試排驗收、上線準備</x:v>
      </x:c>
      <x:c r="F22" s="387" t="str">
        <x:v>助理主管／助理長／診所負責人</x:v>
      </x:c>
      <x:c r="G22" s="387" t="str">
        <x:v>完成正式試排、系統條件、權限、備份與教育確認</x:v>
      </x:c>
      <x:c r="H22" s="387" t="str">
        <x:v>正式試排驗收通過，且所有上線閘門均完成</x:v>
      </x:c>
      <x:c r="I22" s="387" t="str">
        <x:v>不得以流程骨架取代正式資料</x:v>
      </x:c>
      <x:c r="J22" s="387" t="str">
        <x:v>安排正式上線日期</x:v>
      </x:c>
      <x:c r="K22" s="388" t="str">
        <x:f>IF($D22=0,"已完成","待處理")</x:f>
        <x:v>待處理</x:v>
      </x:c>
    </x:row>
    <x:row r="24">
      <x:c r="A24" s="330" t="str">
        <x:v>角色</x:v>
      </x:c>
      <x:c r="B24" s="330" t="str">
        <x:v>主要介面</x:v>
      </x:c>
      <x:c r="C24" s="330" t="str">
        <x:v>可以查看</x:v>
      </x:c>
      <x:c r="D24" s="330" t="str">
        <x:v>不可查看</x:v>
      </x:c>
      <x:c r="E24" s="330" t="str">
        <x:v>可做決定</x:v>
      </x:c>
      <x:c r="F24" s="330" t="str">
        <x:v>交接對象</x:v>
      </x:c>
      <x:c r="H24" s="340" t="str">
        <x:v>安全底線</x:v>
      </x:c>
      <x:c r="I24" s="340"/>
      <x:c r="J24" s="340"/>
      <x:c r="K24" s="340"/>
    </x:row>
    <x:row r="25">
      <x:c r="A25" s="334" t="str">
        <x:v>諮詢組</x:v>
      </x:c>
      <x:c r="B25" s="334" t="str">
        <x:v>諮詢排班視圖、班次需求輸入</x:v>
      </x:c>
      <x:c r="C25" s="334" t="str">
        <x:v>療程、人數、支援條件、確認與發布狀態</x:v>
      </x:c>
      <x:c r="D25" s="334" t="str">
        <x:v>個別考核、事件、面談細節</x:v>
      </x:c>
      <x:c r="E25" s="334" t="str">
        <x:v>標記療程、處理取消及通知人力需求</x:v>
      </x:c>
      <x:c r="F25" s="334" t="str">
        <x:v>助理主管</x:v>
      </x:c>
      <x:c r="H25" s="345" t="str">
        <x:v>1</x:v>
      </x:c>
      <x:c r="I25" s="344" t="str">
        <x:v>未經主管核定的能力、資格與規則，不得作為正式排班放行依據。</x:v>
      </x:c>
      <x:c r="J25" s="344"/>
      <x:c r="K25" s="344"/>
    </x:row>
    <x:row r="26">
      <x:c r="A26" s="334" t="str">
        <x:v>助理主管</x:v>
      </x:c>
      <x:c r="B26" s="334" t="str">
        <x:v>主管工作台與各核定表</x:v>
      </x:c>
      <x:c r="C26" s="334" t="str">
        <x:v>能力、考核、觀察、事件、面談與排班資格</x:v>
      </x:c>
      <x:c r="D26" s="334" t="str">
        <x:v>依權限外資料</x:v>
      </x:c>
      <x:c r="E26" s="334" t="str">
        <x:v>日常核定、排班、支援、複評與限制</x:v>
      </x:c>
      <x:c r="F26" s="334" t="str">
        <x:v>助理長</x:v>
      </x:c>
      <x:c r="H26" s="345" t="str">
        <x:v>2</x:v>
      </x:c>
      <x:c r="I26" s="344" t="str">
        <x:v>△、※、未評估或資格暫停者，只能安排學習觀摩，不占正式人力。</x:v>
      </x:c>
      <x:c r="J26" s="344"/>
      <x:c r="K26" s="344"/>
    </x:row>
    <x:row r="27">
      <x:c r="A27" s="334" t="str">
        <x:v>助理長</x:v>
      </x:c>
      <x:c r="B27" s="334" t="str">
        <x:v>主管工作台、版本與規則輸入</x:v>
      </x:c>
      <x:c r="C27" s="334" t="str">
        <x:v>全部治理與核定資料</x:v>
      </x:c>
      <x:c r="D27" s="334" t="str">
        <x:v>無</x:v>
      </x:c>
      <x:c r="E27" s="334" t="str">
        <x:v>發布規則、最終異議與重大例外</x:v>
      </x:c>
      <x:c r="F27" s="334" t="str">
        <x:v>診所負責人</x:v>
      </x:c>
      <x:c r="H27" s="345" t="str">
        <x:v>3</x:v>
      </x:c>
      <x:c r="I27" s="344" t="str">
        <x:v>高複雜度 Ø 必須有完整支援者 1:1；技術備援者不可替代。</x:v>
      </x:c>
      <x:c r="J27" s="344"/>
      <x:c r="K27" s="344"/>
    </x:row>
    <x:row r="28">
      <x:c r="A28" s="334" t="str">
        <x:v>醫師</x:v>
      </x:c>
      <x:c r="B28" s="334" t="str">
        <x:v>不使用完整能力矩陣</x:v>
      </x:c>
      <x:c r="C28" s="334" t="str">
        <x:v>重大事件所需的具體資訊</x:v>
      </x:c>
      <x:c r="D28" s="334" t="str">
        <x:v>完整能力、考核與面談紀錄</x:v>
      </x:c>
      <x:c r="E28" s="334" t="str">
        <x:v>提供重大事件具體意見</x:v>
      </x:c>
      <x:c r="F28" s="334" t="str">
        <x:v>助理主管</x:v>
      </x:c>
      <x:c r="H28" s="345" t="str">
        <x:v>4</x:v>
      </x:c>
      <x:c r="I28" s="344" t="str">
        <x:v>缺主跟診、缺短時支援、支援容量不足、時段衝突及療程未確認不可例外。</x:v>
      </x:c>
      <x:c r="J28" s="344"/>
      <x:c r="K28" s="344"/>
    </x:row>
    <x:row r="29">
      <x:c r="A29" s="334" t="str">
        <x:v>一般排班人員</x:v>
      </x:c>
      <x:c r="B29" s="334" t="str">
        <x:v>班次檢核總覽</x:v>
      </x:c>
      <x:c r="C29" s="334" t="str">
        <x:v>可獨立、可條件、不可排及所需支援</x:v>
      </x:c>
      <x:c r="D29" s="334" t="str">
        <x:v>個別考核、事件、面談細節</x:v>
      </x:c>
      <x:c r="E29" s="334" t="str">
        <x:v>依已發布結果排班</x:v>
      </x:c>
      <x:c r="F29" s="334" t="str">
        <x:v>助理主管</x:v>
      </x:c>
      <x:c r="H29" s="345" t="str">
        <x:v>5</x:v>
      </x:c>
      <x:c r="I29" s="344" t="str">
        <x:v>正式職級 Lv.1–Lv.10 不直接代表當前排班資格。</x:v>
      </x:c>
      <x:c r="J29" s="344"/>
      <x:c r="K29" s="344"/>
    </x:row>
    <x:row r="30">
      <x:c r="H30" s="345" t="str">
        <x:v>6</x:v>
      </x:c>
      <x:c r="I30" s="344" t="str">
        <x:v>事件原則上只限制直接相關技能；安全暫停在複核完成前維持。</x:v>
      </x:c>
      <x:c r="J30" s="344"/>
      <x:c r="K30" s="344"/>
    </x:row>
  </x:sheetData>
  <x:mergeCells>
    <x:mergeCell ref="A2:K2"/>
    <x:mergeCell ref="A4:K4"/>
    <x:mergeCell ref="B6:K6"/>
    <x:mergeCell ref="B7:K7"/>
    <x:mergeCell ref="B8:K8"/>
    <x:mergeCell ref="H24:K24"/>
    <x:mergeCell ref="I25:K25"/>
    <x:mergeCell ref="I26:K26"/>
    <x:mergeCell ref="I27:K27"/>
    <x:mergeCell ref="I28:K28"/>
    <x:mergeCell ref="I29:K29"/>
    <x:mergeCell ref="I30:K30"/>
  </x:mergeCells>
  <x:conditionalFormatting sqref="K12:K21">
    <x:cfRule type="containsText" dxfId="82" priority="1" operator="containsText" text="完成"/>
    <x:cfRule type="containsText" dxfId="83" priority="2" operator="containsText" text="待處理"/>
  </x:conditionalFormatting>
  <x:conditionalFormatting sqref="K22:K22">
    <x:cfRule type="containsText" dxfId="87" priority="3" operator="containsText" text="已完成"/>
    <x:cfRule type="containsText" dxfId="88" priority="4" operator="containsText" text="待處理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40" hidden="0" customWidth="1"/>
    <x:col min="4" max="4" width="12" hidden="0" customWidth="1"/>
    <x:col min="5" max="5" width="16" hidden="0" customWidth="1"/>
    <x:col min="6" max="6" width="18" hidden="0" customWidth="1"/>
    <x:col min="7" max="7" width="34" hidden="0" customWidth="1"/>
    <x:col min="8" max="8" width="22" hidden="0" customWidth="1"/>
    <x:col min="9" max="9" width="14" hidden="0" customWidth="1"/>
    <x:col min="10" max="10" width="16" hidden="0" customWidth="1"/>
    <x:col min="11" max="11" width="14" hidden="0" customWidth="1"/>
    <x:col min="12" max="12" width="16" hidden="0" customWidth="1"/>
    <x:col min="13" max="13" width="18" hidden="0" customWidth="1"/>
    <x:col min="14" max="14" width="42" hidden="0" customWidth="1"/>
  </x:cols>
  <x:sheetData>
    <x:row r="2">
      <x:c r="A2" s="119" t="str">
        <x:v>診所助理排班工具－正式上線準備閘門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75" t="str">
        <x:v>系統條件與人工營運確認都完成後，才可進入正式上線。此頁只判斷準備程度，不會改寫能力、資格、排班或發布結果；未提供的正式臨床規則仍須由助理長與主管補齊。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</x:row>
    <x:row r="6">
      <x:c r="A6" s="352" t="str">
        <x:v>整體狀態</x:v>
      </x:c>
      <x:c r="B6" s="355" t="str">
        <x:f>IF(COUNTIFS($M$12:$M$25,"&lt;&gt;已完成")=0,"可進入正式上線","尚有 "&amp;COUNTIFS($M$12:$M$25,"&lt;&gt;已完成")&amp;" 項未完成")</x:f>
        <x:v>尚有 14 項未完成</x:v>
      </x:c>
      <x:c r="C6" s="355"/>
      <x:c r="D6" s="355"/>
      <x:c r="E6" s="355"/>
      <x:c r="F6" s="355"/>
      <x:c r="G6" s="356" t="str">
        <x:v>系統阻擋</x:v>
      </x:c>
      <x:c r="H6" s="356"/>
      <x:c r="I6" s="356" t="str">
        <x:v>人工待確認</x:v>
      </x:c>
      <x:c r="J6" s="356"/>
      <x:c r="K6" s="356" t="str">
        <x:v>已通過正式試排</x:v>
      </x:c>
      <x:c r="L6" s="356"/>
    </x:row>
    <x:row r="7">
      <x:c r="A7" s="352" t="str">
        <x:v>下一步</x:v>
      </x:c>
      <x:c r="B7" s="355" t="str">
        <x:f>IF('正式資料收件'!$G$7&gt;0,"先收齊診所正式資料",IF(COUNTIFS($M$12:$M$21,"未完成")&gt;0,"完成正式內容建檔、核定與正式試排",IF(COUNTIFS($M$22:$M$25,"&lt;&gt;已完成")&gt;0,"完成主管人工確認","安排正式上線日期與責任人")))</x:f>
        <x:v>先收齊診所正式資料</x:v>
      </x:c>
      <x:c r="C7" s="355"/>
      <x:c r="D7" s="355"/>
      <x:c r="E7" s="355"/>
      <x:c r="F7" s="355"/>
      <x:c r="G7" s="359" t="n">
        <x:f>COUNTIFS($I$12:$I$25,"否",$M$12:$M$25,"&lt;&gt;已完成")</x:f>
        <x:v>10</x:v>
      </x:c>
      <x:c r="H7" s="359"/>
      <x:c r="I7" s="359" t="n">
        <x:f>COUNTIFS($I$12:$I$25,"是",$M$12:$M$25,"&lt;&gt;已完成")</x:f>
        <x:v>4</x:v>
      </x:c>
      <x:c r="J7" s="359"/>
      <x:c r="K7" s="359" t="n">
        <x:f>$D$21</x:f>
        <x:v>0</x:v>
      </x:c>
      <x:c r="L7" s="359"/>
    </x:row>
    <x:row r="11">
      <x:c r="A11" s="362" t="str">
        <x:v>閘門編號</x:v>
      </x:c>
      <x:c r="B11" s="362" t="str">
        <x:v>類別</x:v>
      </x:c>
      <x:c r="C11" s="362" t="str">
        <x:v>上線前條件</x:v>
      </x:c>
      <x:c r="D11" s="362" t="str">
        <x:v>目前值</x:v>
      </x:c>
      <x:c r="E11" s="362" t="str">
        <x:v>目標／標準</x:v>
      </x:c>
      <x:c r="F11" s="362" t="str">
        <x:v>系統判定</x:v>
      </x:c>
      <x:c r="G11" s="362" t="str">
        <x:v>處理位置</x:v>
      </x:c>
      <x:c r="H11" s="362" t="str">
        <x:v>負責角色</x:v>
      </x:c>
      <x:c r="I11" s="362" t="str">
        <x:v>需人工確認</x:v>
      </x:c>
      <x:c r="J11" s="362" t="str">
        <x:v>人工確認</x:v>
      </x:c>
      <x:c r="K11" s="362" t="str">
        <x:v>確認日</x:v>
      </x:c>
      <x:c r="L11" s="362" t="str">
        <x:v>確認人</x:v>
      </x:c>
      <x:c r="M11" s="362" t="str">
        <x:v>最終狀態</x:v>
      </x:c>
      <x:c r="N11" s="362" t="str">
        <x:v>下一步／說明</x:v>
      </x:c>
    </x:row>
    <x:row r="12">
      <x:c r="A12" s="363" t="str">
        <x:v>GL-01</x:v>
      </x:c>
      <x:c r="B12" s="363" t="str">
        <x:v>資料治理</x:v>
      </x:c>
      <x:c r="C12" s="363" t="str">
        <x:v>初始能力、熟悉度、要求與資格全部核定</x:v>
      </x:c>
      <x:c r="D12" s="363" t="n">
        <x:f>'主管工作台'!$A$7</x:f>
        <x:v>361</x:v>
      </x:c>
      <x:c r="E12" s="363" t="n">
        <x:v>0</x:v>
      </x:c>
      <x:c r="F12" s="363" t="str">
        <x:f>IF($D12&lt;=$E12,"系統條件完成","未完成")</x:f>
        <x:v>未完成</x:v>
      </x:c>
      <x:c r="G12" s="363" t="str">
        <x:v>主管核定中心</x:v>
      </x:c>
      <x:c r="H12" s="363" t="str">
        <x:v>助理主管／助理長</x:v>
      </x:c>
      <x:c r="I12" s="364" t="str">
        <x:v>否</x:v>
      </x:c>
      <x:c r="J12" s="364" t="str">
        <x:v>系統判定</x:v>
      </x:c>
      <x:c r="K12" s="364"/>
      <x:c r="L12" s="364"/>
      <x:c r="M12" s="365" t="str">
        <x:f>IF($I12="否",IF($F12="系統條件完成","已完成","未完成"),IF(AND($J12="已完成",$K12&lt;&gt;"",$L12&lt;&gt;""),"已完成",IF($J12="退回","未完成","待人工確認")))</x:f>
        <x:v>未完成</x:v>
      </x:c>
      <x:c r="N12" s="365" t="str">
        <x:v>完成主管決定、生效日與核定人</x:v>
      </x:c>
    </x:row>
    <x:row r="13">
      <x:c r="A13" s="363" t="str">
        <x:v>GL-02</x:v>
      </x:c>
      <x:c r="B13" s="363" t="str">
        <x:v>員工治理</x:v>
      </x:c>
      <x:c r="C13" s="363" t="str">
        <x:v>能力路徑、培訓組、主管與正式職級核定</x:v>
      </x:c>
      <x:c r="D13" s="363" t="n">
        <x:f>'主管工作台'!$B$25</x:f>
        <x:v>14</x:v>
      </x:c>
      <x:c r="E13" s="363" t="n">
        <x:v>0</x:v>
      </x:c>
      <x:c r="F13" s="363" t="str">
        <x:f>IF($D13&lt;=$E13,"系統條件完成","未完成")</x:f>
        <x:v>未完成</x:v>
      </x:c>
      <x:c r="G13" s="363" t="str">
        <x:v>員工治理核定</x:v>
      </x:c>
      <x:c r="H13" s="363" t="str">
        <x:v>助理主管／助理長</x:v>
      </x:c>
      <x:c r="I13" s="364" t="str">
        <x:v>否</x:v>
      </x:c>
      <x:c r="J13" s="364" t="str">
        <x:v>系統判定</x:v>
      </x:c>
      <x:c r="K13" s="364"/>
      <x:c r="L13" s="364"/>
      <x:c r="M13" s="365" t="str">
        <x:f>IF($I13="否",IF($F13="系統條件完成","已完成","未完成"),IF(AND($J13="已完成",$K13&lt;&gt;"",$L13&lt;&gt;""),"已完成",IF($J13="退回","未完成","待人工確認")))</x:f>
        <x:v>未完成</x:v>
      </x:c>
      <x:c r="N13" s="365" t="str">
        <x:v>補齊 14 位員工治理資料</x:v>
      </x:c>
    </x:row>
    <x:row r="14">
      <x:c r="A14" s="363" t="str">
        <x:v>GL-03</x:v>
      </x:c>
      <x:c r="B14" s="363" t="str">
        <x:v>技能治理</x:v>
      </x:c>
      <x:c r="C14" s="363" t="str">
        <x:v>技能來源名稱完成核定、拆分與發布</x:v>
      </x:c>
      <x:c r="D14" s="363" t="n">
        <x:f>'主管工作台'!$B$26</x:f>
        <x:v>117</x:v>
      </x:c>
      <x:c r="E14" s="363" t="n">
        <x:v>0</x:v>
      </x:c>
      <x:c r="F14" s="363" t="str">
        <x:f>IF($D14&lt;=$E14,"系統條件完成","未完成")</x:f>
        <x:v>未完成</x:v>
      </x:c>
      <x:c r="G14" s="363" t="str">
        <x:v>技能名稱對照</x:v>
      </x:c>
      <x:c r="H14" s="363" t="str">
        <x:v>助理長／各組主管</x:v>
      </x:c>
      <x:c r="I14" s="364" t="str">
        <x:v>否</x:v>
      </x:c>
      <x:c r="J14" s="364" t="str">
        <x:v>系統判定</x:v>
      </x:c>
      <x:c r="K14" s="364"/>
      <x:c r="L14" s="364"/>
      <x:c r="M14" s="365" t="str">
        <x:f>IF($I14="否",IF($F14="系統條件完成","已完成","未完成"),IF(AND($J14="已完成",$K14&lt;&gt;"",$L14&lt;&gt;""),"已完成",IF($J14="退回","未完成","待人工確認")))</x:f>
        <x:v>未完成</x:v>
      </x:c>
      <x:c r="N14" s="365" t="str">
        <x:v>處理同義名稱、複合項目與代碼衝突</x:v>
      </x:c>
    </x:row>
    <x:row r="15">
      <x:c r="A15" s="363" t="str">
        <x:v>GL-04</x:v>
      </x:c>
      <x:c r="B15" s="363" t="str">
        <x:v>考核治理</x:v>
      </x:c>
      <x:c r="C15" s="363" t="str">
        <x:v>七類半年複評檢核表全部發布</x:v>
      </x:c>
      <x:c r="D15" s="363" t="n">
        <x:f>'主管工作台'!$B$27</x:f>
        <x:v>7</x:v>
      </x:c>
      <x:c r="E15" s="363" t="n">
        <x:v>0</x:v>
      </x:c>
      <x:c r="F15" s="363" t="str">
        <x:f>IF($D15&lt;=$E15,"系統條件完成","未完成")</x:f>
        <x:v>未完成</x:v>
      </x:c>
      <x:c r="G15" s="363" t="str">
        <x:v>正式資料收件、檢核表項目輸入、檢核表版本</x:v>
      </x:c>
      <x:c r="H15" s="363" t="str">
        <x:v>助理主管／助理長</x:v>
      </x:c>
      <x:c r="I15" s="364" t="str">
        <x:v>否</x:v>
      </x:c>
      <x:c r="J15" s="364" t="str">
        <x:v>系統判定</x:v>
      </x:c>
      <x:c r="K15" s="364"/>
      <x:c r="L15" s="364"/>
      <x:c r="M15" s="365" t="str">
        <x:f>IF($I15="否",IF($F15="系統條件完成","已完成","未完成"),IF(AND($J15="已完成",$K15&lt;&gt;"",$L15&lt;&gt;""),"已完成",IF($J15="退回","未完成","待人工確認")))</x:f>
        <x:v>未完成</x:v>
      </x:c>
      <x:c r="N15" s="365" t="str">
        <x:v>填入正式操作項目、標準與證據方式</x:v>
      </x:c>
    </x:row>
    <x:row r="16">
      <x:c r="A16" s="363" t="str">
        <x:v>GL-05</x:v>
      </x:c>
      <x:c r="B16" s="363" t="str">
        <x:v>支援治理</x:v>
      </x:c>
      <x:c r="C16" s="363" t="str">
        <x:v>支援者種類、名額與生效資料全部核定</x:v>
      </x:c>
      <x:c r="D16" s="363" t="n">
        <x:f>'主管工作台'!$B$24</x:f>
        <x:v>182</x:v>
      </x:c>
      <x:c r="E16" s="363" t="n">
        <x:v>0</x:v>
      </x:c>
      <x:c r="F16" s="363" t="str">
        <x:f>IF($D16&lt;=$E16,"系統條件完成","未完成")</x:f>
        <x:v>未完成</x:v>
      </x:c>
      <x:c r="G16" s="363" t="str">
        <x:v>支援者資格核定</x:v>
      </x:c>
      <x:c r="H16" s="363" t="str">
        <x:v>助理主管</x:v>
      </x:c>
      <x:c r="I16" s="364" t="str">
        <x:v>否</x:v>
      </x:c>
      <x:c r="J16" s="364" t="str">
        <x:v>系統判定</x:v>
      </x:c>
      <x:c r="K16" s="364"/>
      <x:c r="L16" s="364"/>
      <x:c r="M16" s="365" t="str">
        <x:f>IF($I16="否",IF($F16="系統條件完成","已完成","未完成"),IF(AND($J16="已完成",$K16&lt;&gt;"",$L16&lt;&gt;""),"已完成",IF($J16="退回","未完成","待人工確認")))</x:f>
        <x:v>未完成</x:v>
      </x:c>
      <x:c r="N16" s="365" t="str">
        <x:v>完成完整支援者與技術備援者核定</x:v>
      </x:c>
    </x:row>
    <x:row r="17">
      <x:c r="A17" s="363" t="str">
        <x:v>GL-06</x:v>
      </x:c>
      <x:c r="B17" s="363" t="str">
        <x:v>醫師規則</x:v>
      </x:c>
      <x:c r="C17" s="363" t="str">
        <x:v>其餘 8 位醫師正式治療模式規則核定</x:v>
      </x:c>
      <x:c r="D17" s="363" t="n">
        <x:f>'主管工作台'!$B$20</x:f>
        <x:v>8</x:v>
      </x:c>
      <x:c r="E17" s="363" t="n">
        <x:v>0</x:v>
      </x:c>
      <x:c r="F17" s="363" t="str">
        <x:f>IF($D17&lt;=$E17,"系統條件完成","未完成")</x:f>
        <x:v>未完成</x:v>
      </x:c>
      <x:c r="G17" s="363" t="str">
        <x:v>正式資料收件、醫師模式規則輸入</x:v>
      </x:c>
      <x:c r="H17" s="363" t="str">
        <x:v>助理長／各組主管</x:v>
      </x:c>
      <x:c r="I17" s="364" t="str">
        <x:v>否</x:v>
      </x:c>
      <x:c r="J17" s="364" t="str">
        <x:v>系統判定</x:v>
      </x:c>
      <x:c r="K17" s="364"/>
      <x:c r="L17" s="364"/>
      <x:c r="M17" s="365" t="str">
        <x:f>IF($I17="否",IF($F17="系統條件完成","已完成","未完成"),IF(AND($J17="已完成",$K17&lt;&gt;"",$L17&lt;&gt;""),"已完成",IF($J17="退回","未完成","待人工確認")))</x:f>
        <x:v>未完成</x:v>
      </x:c>
      <x:c r="N17" s="365" t="str">
        <x:v>匯入正式治療、階段與支援要求</x:v>
      </x:c>
    </x:row>
    <x:row r="18">
      <x:c r="A18" s="363" t="str">
        <x:v>GL-07</x:v>
      </x:c>
      <x:c r="B18" s="363" t="str">
        <x:v>流動規則</x:v>
      </x:c>
      <x:c r="C18" s="363" t="str">
        <x:v>正職 3 級與兼職 6 級流動規則核定</x:v>
      </x:c>
      <x:c r="D18" s="363" t="n">
        <x:f>'主管工作台'!$B$21</x:f>
        <x:v>9</x:v>
      </x:c>
      <x:c r="E18" s="363" t="n">
        <x:v>0</x:v>
      </x:c>
      <x:c r="F18" s="363" t="str">
        <x:f>IF($D18&lt;=$E18,"系統條件完成","未完成")</x:f>
        <x:v>未完成</x:v>
      </x:c>
      <x:c r="G18" s="363" t="str">
        <x:v>正式資料收件、流動層級規則輸入</x:v>
      </x:c>
      <x:c r="H18" s="363" t="str">
        <x:v>助理長／各組主管</x:v>
      </x:c>
      <x:c r="I18" s="364" t="str">
        <x:v>否</x:v>
      </x:c>
      <x:c r="J18" s="364" t="str">
        <x:v>系統判定</x:v>
      </x:c>
      <x:c r="K18" s="364"/>
      <x:c r="L18" s="364"/>
      <x:c r="M18" s="365" t="str">
        <x:f>IF($I18="否",IF($F18="系統條件完成","已完成","未完成"),IF(AND($J18="已完成",$K18&lt;&gt;"",$L18&lt;&gt;""),"已完成",IF($J18="退回","未完成","待人工確認")))</x:f>
        <x:v>未完成</x:v>
      </x:c>
      <x:c r="N18" s="365" t="str">
        <x:v>匯入正式任務條件與升級標準</x:v>
      </x:c>
    </x:row>
    <x:row r="19">
      <x:c r="A19" s="363" t="str">
        <x:v>GL-08</x:v>
      </x:c>
      <x:c r="B19" s="363" t="str">
        <x:v>職級規則</x:v>
      </x:c>
      <x:c r="C19" s="363" t="str">
        <x:v>Lv.1–Lv.10 正式職級矩陣核定</x:v>
      </x:c>
      <x:c r="D19" s="363" t="n">
        <x:f>'主管工作台'!$B$22</x:f>
        <x:v>10</x:v>
      </x:c>
      <x:c r="E19" s="363" t="n">
        <x:v>0</x:v>
      </x:c>
      <x:c r="F19" s="363" t="str">
        <x:f>IF($D19&lt;=$E19,"系統條件完成","未完成")</x:f>
        <x:v>未完成</x:v>
      </x:c>
      <x:c r="G19" s="363" t="str">
        <x:v>正式資料收件、職級矩陣規則輸入</x:v>
      </x:c>
      <x:c r="H19" s="363" t="str">
        <x:v>助理長</x:v>
      </x:c>
      <x:c r="I19" s="364" t="str">
        <x:v>否</x:v>
      </x:c>
      <x:c r="J19" s="364" t="str">
        <x:v>系統判定</x:v>
      </x:c>
      <x:c r="K19" s="364"/>
      <x:c r="L19" s="364"/>
      <x:c r="M19" s="365" t="str">
        <x:f>IF($I19="否",IF($F19="系統條件完成","已完成","未完成"),IF(AND($J19="已完成",$K19&lt;&gt;"",$L19&lt;&gt;""),"已完成",IF($J19="退回","未完成","待人工確認")))</x:f>
        <x:v>未完成</x:v>
      </x:c>
      <x:c r="N19" s="365" t="str">
        <x:v>匯入既有正式升級條件</x:v>
      </x:c>
    </x:row>
    <x:row r="20">
      <x:c r="A20" s="363" t="str">
        <x:v>GL-09</x:v>
      </x:c>
      <x:c r="B20" s="363" t="str">
        <x:v>資格建置</x:v>
      </x:c>
      <x:c r="C20" s="363" t="str">
        <x:v>不得有未建立的必要資格</x:v>
      </x:c>
      <x:c r="D20" s="363" t="n">
        <x:f>'主管工作台'!$B$17</x:f>
        <x:v>29</x:v>
      </x:c>
      <x:c r="E20" s="363" t="n">
        <x:v>0</x:v>
      </x:c>
      <x:c r="F20" s="363" t="str">
        <x:f>IF($D20&lt;=$E20,"系統條件完成","未完成")</x:f>
        <x:v>未完成</x:v>
      </x:c>
      <x:c r="G20" s="363" t="str">
        <x:v>考核紀錄輸入、資格有效性</x:v>
      </x:c>
      <x:c r="H20" s="363" t="str">
        <x:v>助理主管</x:v>
      </x:c>
      <x:c r="I20" s="364" t="str">
        <x:v>否</x:v>
      </x:c>
      <x:c r="J20" s="364" t="str">
        <x:v>系統判定</x:v>
      </x:c>
      <x:c r="K20" s="364"/>
      <x:c r="L20" s="364"/>
      <x:c r="M20" s="365" t="str">
        <x:f>IF($I20="否",IF($F20="系統條件完成","已完成","未完成"),IF(AND($J20="已完成",$K20&lt;&gt;"",$L20&lt;&gt;""),"已完成",IF($J20="退回","未完成","待人工確認")))</x:f>
        <x:v>未完成</x:v>
      </x:c>
      <x:c r="N20" s="365" t="str">
        <x:v>先完成正式考核與資格核定</x:v>
      </x:c>
    </x:row>
    <x:row r="21">
      <x:c r="A21" s="363" t="str">
        <x:v>GL-10</x:v>
      </x:c>
      <x:c r="B21" s="363" t="str">
        <x:v>端到端試排</x:v>
      </x:c>
      <x:c r="C21" s="363" t="str">
        <x:v>至少一筆正式班次完成需求、配置、支援、確認與發布</x:v>
      </x:c>
      <x:c r="D21" s="363" t="n">
        <x:f>IF('正式試排驗收'!$M$7="驗收通過",1,0)</x:f>
        <x:v>0</x:v>
      </x:c>
      <x:c r="E21" s="363" t="n">
        <x:v>1</x:v>
      </x:c>
      <x:c r="F21" s="363" t="str">
        <x:f>IF($D21&gt;=$E21,"系統條件完成","未完成")</x:f>
        <x:v>未完成</x:v>
      </x:c>
      <x:c r="G21" s="363" t="str">
        <x:v>正式試排驗收</x:v>
      </x:c>
      <x:c r="H21" s="363" t="str">
        <x:v>助理主管／諮詢組</x:v>
      </x:c>
      <x:c r="I21" s="364" t="str">
        <x:v>否</x:v>
      </x:c>
      <x:c r="J21" s="364" t="str">
        <x:v>系統判定</x:v>
      </x:c>
      <x:c r="K21" s="364"/>
      <x:c r="L21" s="364"/>
      <x:c r="M21" s="365" t="str">
        <x:f>IF($I21="否",IF($F21="系統條件完成","已完成","未完成"),IF(AND($J21="已完成",$K21&lt;&gt;"",$L21&lt;&gt;""),"已完成",IF($J21="退回","未完成","待人工確認")))</x:f>
        <x:v>未完成</x:v>
      </x:c>
      <x:c r="N21" s="365" t="str">
        <x:v>選擇一筆非範例正式班次，完成十二項系統檢查與主管簽核</x:v>
      </x:c>
    </x:row>
    <x:row r="22">
      <x:c r="A22" s="363" t="str">
        <x:v>GL-11</x:v>
      </x:c>
      <x:c r="B22" s="363" t="str">
        <x:v>操作確認</x:v>
      </x:c>
      <x:c r="C22" s="363" t="str">
        <x:v>主管已逐步演練主管操作導引</x:v>
      </x:c>
      <x:c r="D22" s="363"/>
      <x:c r="E22" s="363" t="str">
        <x:v>人工確認</x:v>
      </x:c>
      <x:c r="F22" s="363" t="str">
        <x:v>需人工確認</x:v>
      </x:c>
      <x:c r="G22" s="363" t="str">
        <x:v>主管操作導引</x:v>
      </x:c>
      <x:c r="H22" s="363" t="str">
        <x:v>助理主管／助理長</x:v>
      </x:c>
      <x:c r="I22" s="364" t="str">
        <x:v>是</x:v>
      </x:c>
      <x:c r="J22" s="364" t="str">
        <x:v>待確認</x:v>
      </x:c>
      <x:c r="K22" s="366"/>
      <x:c r="L22" s="364"/>
      <x:c r="M22" s="365" t="str">
        <x:f>IF($I22="否",IF($F22="系統條件完成","已完成","未完成"),IF(AND($J22="已完成",$K22&lt;&gt;"",$L22&lt;&gt;""),"已完成",IF($J22="退回","未完成","待人工確認")))</x:f>
        <x:v>待人工確認</x:v>
      </x:c>
      <x:c r="N22" s="365" t="str">
        <x:v>依十一步流程完成桌上演練</x:v>
      </x:c>
    </x:row>
    <x:row r="23">
      <x:c r="A23" s="363" t="str">
        <x:v>GL-12</x:v>
      </x:c>
      <x:c r="B23" s="363" t="str">
        <x:v>權限確認</x:v>
      </x:c>
      <x:c r="C23" s="363" t="str">
        <x:v>各角色可見範圍與操作權限已確認</x:v>
      </x:c>
      <x:c r="D23" s="363"/>
      <x:c r="E23" s="363" t="str">
        <x:v>人工確認</x:v>
      </x:c>
      <x:c r="F23" s="363" t="str">
        <x:v>需人工確認</x:v>
      </x:c>
      <x:c r="G23" s="363" t="str">
        <x:v>主管操作導引、諮詢排班視圖</x:v>
      </x:c>
      <x:c r="H23" s="363" t="str">
        <x:v>助理長</x:v>
      </x:c>
      <x:c r="I23" s="364" t="str">
        <x:v>是</x:v>
      </x:c>
      <x:c r="J23" s="364" t="str">
        <x:v>待確認</x:v>
      </x:c>
      <x:c r="K23" s="366"/>
      <x:c r="L23" s="364"/>
      <x:c r="M23" s="365" t="str">
        <x:f>IF($I23="否",IF($F23="系統條件完成","已完成","未完成"),IF(AND($J23="已完成",$K23&lt;&gt;"",$L23&lt;&gt;""),"已完成",IF($J23="退回","未完成","待人工確認")))</x:f>
        <x:v>待人工確認</x:v>
      </x:c>
      <x:c r="N23" s="365" t="str">
        <x:v>確認諮詢組、醫師與排班人員的可見範圍</x:v>
      </x:c>
    </x:row>
    <x:row r="24">
      <x:c r="A24" s="363" t="str">
        <x:v>GL-13</x:v>
      </x:c>
      <x:c r="B24" s="363" t="str">
        <x:v>版本備份</x:v>
      </x:c>
      <x:c r="C24" s="363" t="str">
        <x:v>正式上線檔已備份並指定版本保管人</x:v>
      </x:c>
      <x:c r="D24" s="363"/>
      <x:c r="E24" s="363" t="str">
        <x:v>人工確認</x:v>
      </x:c>
      <x:c r="F24" s="363" t="str">
        <x:v>需人工確認</x:v>
      </x:c>
      <x:c r="G24" s="363" t="str">
        <x:v>診所檔案管理位置</x:v>
      </x:c>
      <x:c r="H24" s="363" t="str">
        <x:v>助理長／診所負責人</x:v>
      </x:c>
      <x:c r="I24" s="364" t="str">
        <x:v>是</x:v>
      </x:c>
      <x:c r="J24" s="364" t="str">
        <x:v>待確認</x:v>
      </x:c>
      <x:c r="K24" s="366"/>
      <x:c r="L24" s="364"/>
      <x:c r="M24" s="365" t="str">
        <x:f>IF($I24="否",IF($F24="系統條件完成","已完成","未完成"),IF(AND($J24="已完成",$K24&lt;&gt;"",$L24&lt;&gt;""),"已完成",IF($J24="退回","未完成","待人工確認")))</x:f>
        <x:v>待人工確認</x:v>
      </x:c>
      <x:c r="N24" s="365" t="str">
        <x:v>建立唯讀備份與版本命名方式</x:v>
      </x:c>
    </x:row>
    <x:row r="25">
      <x:c r="A25" s="363" t="str">
        <x:v>GL-14</x:v>
      </x:c>
      <x:c r="B25" s="363" t="str">
        <x:v>教育與責任</x:v>
      </x:c>
      <x:c r="C25" s="363" t="str">
        <x:v>使用人員已完成說明並指定異常處理責任人</x:v>
      </x:c>
      <x:c r="D25" s="363"/>
      <x:c r="E25" s="363" t="str">
        <x:v>人工確認</x:v>
      </x:c>
      <x:c r="F25" s="363" t="str">
        <x:v>需人工確認</x:v>
      </x:c>
      <x:c r="G25" s="363" t="str">
        <x:v>主管操作導引</x:v>
      </x:c>
      <x:c r="H25" s="363" t="str">
        <x:v>助理長／各組主管</x:v>
      </x:c>
      <x:c r="I25" s="364" t="str">
        <x:v>是</x:v>
      </x:c>
      <x:c r="J25" s="364" t="str">
        <x:v>待確認</x:v>
      </x:c>
      <x:c r="K25" s="366"/>
      <x:c r="L25" s="364"/>
      <x:c r="M25" s="365" t="str">
        <x:f>IF($I25="否",IF($F25="系統條件完成","已完成","未完成"),IF(AND($J25="已完成",$K25&lt;&gt;"",$L25&lt;&gt;""),"已完成",IF($J25="退回","未完成","待人工確認")))</x:f>
        <x:v>待人工確認</x:v>
      </x:c>
      <x:c r="N25" s="365" t="str">
        <x:v>完成說明、回報管道與上線日期</x:v>
      </x:c>
    </x:row>
  </x:sheetData>
  <x:mergeCells>
    <x:mergeCell ref="A2:N2"/>
    <x:mergeCell ref="A4:N4"/>
    <x:mergeCell ref="B6:F6"/>
    <x:mergeCell ref="B7:F7"/>
    <x:mergeCell ref="G6:H6"/>
    <x:mergeCell ref="I6:J6"/>
    <x:mergeCell ref="K6:L6"/>
    <x:mergeCell ref="G7:H7"/>
    <x:mergeCell ref="I7:J7"/>
    <x:mergeCell ref="K7:L7"/>
  </x:mergeCells>
  <x:conditionalFormatting sqref="M12:M25">
    <x:cfRule type="containsText" dxfId="84" priority="1" operator="containsText" text="已完成"/>
    <x:cfRule type="containsText" dxfId="85" priority="2" operator="containsText" text="未完成"/>
    <x:cfRule type="containsText" dxfId="86" priority="3" operator="containsText" text="待人工確認"/>
  </x:conditionalFormatting>
  <x:dataValidations count="1">
    <x:dataValidation type="list" sqref="J22:J25">
      <x:formula1>"待確認,已完成,退回"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3" ySplit="11" topLeftCell="D12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34" hidden="0" customWidth="1"/>
    <x:col min="4" max="4" width="12" hidden="0" customWidth="1"/>
    <x:col min="5" max="5" width="30" hidden="0" customWidth="1"/>
    <x:col min="6" max="6" width="56" hidden="0" customWidth="1"/>
    <x:col min="7" max="7" width="38" hidden="0" customWidth="1"/>
    <x:col min="8" max="8" width="24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20" hidden="0" customWidth="1"/>
    <x:col min="14" max="14" width="34" hidden="0" customWidth="1"/>
  </x:cols>
  <x:sheetData>
    <x:row r="2">
      <x:c r="A2" s="119" t="str">
        <x:v>診所助理排班工具－正式資料收件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75" t="str">
        <x:v>此頁只管理資料包是否收到及後續處理狀態，不代替臨床內容或主管核定。外部正式資料請先登記收件日與收件人，再到指定工作表逐列建檔、核定與發布；內部核定與正式試排則直接依既有流程完成。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</x:row>
    <x:row r="6">
      <x:c r="A6" s="392" t="str">
        <x:v>待完成資料包</x:v>
      </x:c>
      <x:c r="B6" s="392"/>
      <x:c r="C6" s="392" t="str">
        <x:v>目前下一步</x:v>
      </x:c>
      <x:c r="D6" s="392"/>
      <x:c r="E6" s="392"/>
      <x:c r="F6" s="392"/>
      <x:c r="G6" s="392" t="str">
        <x:v>外部待提供</x:v>
      </x:c>
      <x:c r="H6" s="392"/>
      <x:c r="I6" s="392" t="str">
        <x:v>已收待核定</x:v>
      </x:c>
      <x:c r="J6" s="392"/>
      <x:c r="K6" s="392" t="str">
        <x:v>內部／試排待處理</x:v>
      </x:c>
      <x:c r="L6" s="392"/>
      <x:c r="M6" s="392" t="str">
        <x:v>已完成</x:v>
      </x:c>
      <x:c r="N6" s="392"/>
    </x:row>
    <x:row r="7">
      <x:c r="A7" s="397" t="n">
        <x:f>COUNTIFS($M$12:$M$20,"&lt;&gt;已完成")</x:f>
        <x:v>9</x:v>
      </x:c>
      <x:c r="B7" s="397"/>
      <x:c r="C7" s="397" t="str">
        <x:f>IF($G$7&gt;0,"先收齊診所正式資料",IF($I$7&gt;0,"完成正式內容建檔與核定",IF($K$7&gt;0,"完成內部核定與正式試排","所有收件工作完成")))</x:f>
        <x:v>先收齊診所正式資料</x:v>
      </x:c>
      <x:c r="D7" s="397"/>
      <x:c r="E7" s="397"/>
      <x:c r="F7" s="397"/>
      <x:c r="G7" s="397" t="n">
        <x:f>COUNTIFS($B$12:$B$20,"外部正式資料",$I$12:$I$20,"&lt;&gt;已提供",$M$12:$M$20,"&lt;&gt;已完成")</x:f>
        <x:v>4</x:v>
      </x:c>
      <x:c r="H7" s="397"/>
      <x:c r="I7" s="397" t="n">
        <x:f>COUNTIFS($M$12:$M$20,"已收件，待核定")</x:f>
        <x:v>0</x:v>
      </x:c>
      <x:c r="J7" s="397"/>
      <x:c r="K7" s="397" t="n">
        <x:f>COUNTIFS($B$12:$B$20,"&lt;&gt;外部正式資料",$M$12:$M$20,"&lt;&gt;已完成")</x:f>
        <x:v>5</x:v>
      </x:c>
      <x:c r="L7" s="397"/>
      <x:c r="M7" s="397" t="n">
        <x:f>COUNTIFS($M$12:$M$20,"已完成")</x:f>
        <x:v>0</x:v>
      </x:c>
      <x:c r="N7" s="397"/>
    </x:row>
    <x:row r="11">
      <x:c r="A11" s="400" t="str">
        <x:v>收件編號</x:v>
      </x:c>
      <x:c r="B11" s="400" t="str">
        <x:v>類型</x:v>
      </x:c>
      <x:c r="C11" s="400" t="str">
        <x:v>資料包／工作</x:v>
      </x:c>
      <x:c r="D11" s="400" t="str">
        <x:v>目前缺口</x:v>
      </x:c>
      <x:c r="E11" s="400" t="str">
        <x:v>預期數量／完成標準</x:v>
      </x:c>
      <x:c r="F11" s="400" t="str">
        <x:v>必填內容</x:v>
      </x:c>
      <x:c r="G11" s="400" t="str">
        <x:v>輸入／處理位置</x:v>
      </x:c>
      <x:c r="H11" s="400" t="str">
        <x:v>負責角色</x:v>
      </x:c>
      <x:c r="I11" s="400" t="str">
        <x:v>收件狀態</x:v>
      </x:c>
      <x:c r="J11" s="400" t="str">
        <x:v>收件日</x:v>
      </x:c>
      <x:c r="K11" s="400" t="str">
        <x:v>收件人</x:v>
      </x:c>
      <x:c r="L11" s="400" t="str">
        <x:v>系統完整性</x:v>
      </x:c>
      <x:c r="M11" s="400" t="str">
        <x:v>最終狀態</x:v>
      </x:c>
      <x:c r="N11" s="400" t="str">
        <x:v>下一步</x:v>
      </x:c>
    </x:row>
    <x:row r="12">
      <x:c r="A12" s="401" t="str">
        <x:v>PKG-01</x:v>
      </x:c>
      <x:c r="B12" s="401" t="str">
        <x:v>外部正式資料</x:v>
      </x:c>
      <x:c r="C12" s="401" t="str">
        <x:v>其餘 8 位醫師正式治療模式</x:v>
      </x:c>
      <x:c r="D12" s="401" t="n">
        <x:f>'主管工作台'!$B$20</x:f>
        <x:v>8</x:v>
      </x:c>
      <x:c r="E12" s="401" t="str">
        <x:v>8 位醫師皆完成正式規則核定</x:v>
      </x:c>
      <x:c r="F12" s="401" t="str">
        <x:v>醫師型態、模式代碼、治療項目、療程階段、複雜度、主跟診／支援人數、短時支援分鐘、確認提前天數、版本、生效日、核定狀態、來源文件、來源定位</x:v>
      </x:c>
      <x:c r="G12" s="401" t="str">
        <x:v>醫師模式規則輸入</x:v>
      </x:c>
      <x:c r="H12" s="401" t="str">
        <x:v>助理長／各組主管</x:v>
      </x:c>
      <x:c r="I12" s="402" t="str">
        <x:v>未提供</x:v>
      </x:c>
      <x:c r="J12" s="404"/>
      <x:c r="K12" s="402"/>
      <x:c r="L12" s="403" t="str">
        <x:f>IF($D12=0,"系統條件完成","尚有缺口")</x:f>
        <x:v>尚有缺口</x:v>
      </x:c>
      <x:c r="M12" s="403" t="str">
        <x:f>IF($L12="系統條件完成","已完成",IF($B12="外部正式資料",IF($I12="已提供",IF(AND($J12&lt;&gt;"",$K12&lt;&gt;""),"已收件，待核定","待補收件資料"),IF($I12="不適用","待提供","待提供")),"待內部處理"))</x:f>
        <x:v>待提供</x:v>
      </x:c>
      <x:c r="N12" s="403" t="str">
        <x:f>IF($M12="已完成","保存正式來源、來源定位與核定紀錄",IF($M12="待提供","向診所索取正式資料包",IF($M12="待補收件資料","補填收件日與收件人",IF($M12="已收件，待核定","到指定工作表逐列建檔、補來源依據、核定與發布","到指定流程完成內部處理"))))</x:f>
        <x:v>向診所索取正式資料包</x:v>
      </x:c>
    </x:row>
    <x:row r="13">
      <x:c r="A13" s="401" t="str">
        <x:v>PKG-02</x:v>
      </x:c>
      <x:c r="B13" s="401" t="str">
        <x:v>外部正式資料</x:v>
      </x:c>
      <x:c r="C13" s="401" t="str">
        <x:v>正職 3 級＋兼職 6 級流動規則</x:v>
      </x:c>
      <x:c r="D13" s="401" t="n">
        <x:f>'主管工作台'!$B$21</x:f>
        <x:v>9</x:v>
      </x:c>
      <x:c r="E13" s="401" t="str">
        <x:v>9 個層級皆完成正式規則核定</x:v>
      </x:c>
      <x:c r="F13" s="401" t="str">
        <x:v>能力路徑、層級、必要任務組合、最低評等、單人流動限制、備援要求、升級條件、版本、生效日、核定狀態、來源文件、來源定位</x:v>
      </x:c>
      <x:c r="G13" s="401" t="str">
        <x:v>流動層級規則輸入</x:v>
      </x:c>
      <x:c r="H13" s="401" t="str">
        <x:v>助理長／各組主管</x:v>
      </x:c>
      <x:c r="I13" s="402" t="str">
        <x:v>未提供</x:v>
      </x:c>
      <x:c r="J13" s="404"/>
      <x:c r="K13" s="402"/>
      <x:c r="L13" s="403" t="str">
        <x:f>IF($D13=0,"系統條件完成","尚有缺口")</x:f>
        <x:v>尚有缺口</x:v>
      </x:c>
      <x:c r="M13" s="403" t="str">
        <x:f>IF($L13="系統條件完成","已完成",IF($B13="外部正式資料",IF($I13="已提供",IF(AND($J13&lt;&gt;"",$K13&lt;&gt;""),"已收件，待核定","待補收件資料"),IF($I13="不適用","待提供","待提供")),"待內部處理"))</x:f>
        <x:v>待提供</x:v>
      </x:c>
      <x:c r="N13" s="403" t="str">
        <x:f>IF($M13="已完成","保存正式來源、來源定位與核定紀錄",IF($M13="待提供","向診所索取正式資料包",IF($M13="待補收件資料","補填收件日與收件人",IF($M13="已收件，待核定","到指定工作表逐列建檔、補來源依據、核定與發布","到指定流程完成內部處理"))))</x:f>
        <x:v>向診所索取正式資料包</x:v>
      </x:c>
    </x:row>
    <x:row r="14">
      <x:c r="A14" s="401" t="str">
        <x:v>PKG-03</x:v>
      </x:c>
      <x:c r="B14" s="401" t="str">
        <x:v>外部正式資料</x:v>
      </x:c>
      <x:c r="C14" s="401" t="str">
        <x:v>Lv.1–Lv.10 正式職級矩陣</x:v>
      </x:c>
      <x:c r="D14" s="401" t="n">
        <x:f>'主管工作台'!$B$22</x:f>
        <x:v>10</x:v>
      </x:c>
      <x:c r="E14" s="401" t="str">
        <x:v>10 個職級皆完成正式規則核定</x:v>
      </x:c>
      <x:c r="F14" s="401" t="str">
        <x:v>職級、必要能力路徑、技能／考核／培訓要求、核定、理由、生效日、版本、來源文件、來源定位</x:v>
      </x:c>
      <x:c r="G14" s="401" t="str">
        <x:v>職級矩陣規則輸入</x:v>
      </x:c>
      <x:c r="H14" s="401" t="str">
        <x:v>助理長</x:v>
      </x:c>
      <x:c r="I14" s="402" t="str">
        <x:v>未提供</x:v>
      </x:c>
      <x:c r="J14" s="404"/>
      <x:c r="K14" s="402"/>
      <x:c r="L14" s="403" t="str">
        <x:f>IF($D14=0,"系統條件完成","尚有缺口")</x:f>
        <x:v>尚有缺口</x:v>
      </x:c>
      <x:c r="M14" s="403" t="str">
        <x:f>IF($L14="系統條件完成","已完成",IF($B14="外部正式資料",IF($I14="已提供",IF(AND($J14&lt;&gt;"",$K14&lt;&gt;""),"已收件，待核定","待補收件資料"),IF($I14="不適用","待提供","待提供")),"待內部處理"))</x:f>
        <x:v>待提供</x:v>
      </x:c>
      <x:c r="N14" s="403" t="str">
        <x:f>IF($M14="已完成","保存正式來源、來源定位與核定紀錄",IF($M14="待提供","向診所索取正式資料包",IF($M14="待補收件資料","補填收件日與收件人",IF($M14="已收件，待核定","到指定工作表逐列建檔、補來源依據、核定與發布","到指定流程完成內部處理"))))</x:f>
        <x:v>向診所索取正式資料包</x:v>
      </x:c>
    </x:row>
    <x:row r="15">
      <x:c r="A15" s="401" t="str">
        <x:v>PKG-04</x:v>
      </x:c>
      <x:c r="B15" s="401" t="str">
        <x:v>外部正式資料</x:v>
      </x:c>
      <x:c r="C15" s="401" t="str">
        <x:v>七類半年複評檢核表臨床內容</x:v>
      </x:c>
      <x:c r="D15" s="401" t="n">
        <x:f>'主管工作台'!$B$27</x:f>
        <x:v>7</x:v>
      </x:c>
      <x:c r="E15" s="401" t="str">
        <x:v>7 類檢核表皆完成內容核定與發布</x:v>
      </x:c>
      <x:c r="F15" s="401" t="str">
        <x:v>項目類型、操作項目、通過標準、證據方式、生效日、核定人、來源文件、來源定位</x:v>
      </x:c>
      <x:c r="G15" s="401" t="str">
        <x:v>檢核表項目輸入／檢核表版本</x:v>
      </x:c>
      <x:c r="H15" s="401" t="str">
        <x:v>助理主管／助理長</x:v>
      </x:c>
      <x:c r="I15" s="402" t="str">
        <x:v>未提供</x:v>
      </x:c>
      <x:c r="J15" s="404"/>
      <x:c r="K15" s="402"/>
      <x:c r="L15" s="403" t="str">
        <x:f>IF($D15=0,"系統條件完成","尚有缺口")</x:f>
        <x:v>尚有缺口</x:v>
      </x:c>
      <x:c r="M15" s="403" t="str">
        <x:f>IF($L15="系統條件完成","已完成",IF($B15="外部正式資料",IF($I15="已提供",IF(AND($J15&lt;&gt;"",$K15&lt;&gt;""),"已收件，待核定","待補收件資料"),IF($I15="不適用","待提供","待提供")),"待內部處理"))</x:f>
        <x:v>待提供</x:v>
      </x:c>
      <x:c r="N15" s="403" t="str">
        <x:f>IF($M15="已完成","保存正式來源、來源定位與核定紀錄",IF($M15="待提供","向診所索取正式資料包",IF($M15="待補收件資料","補填收件日與收件人",IF($M15="已收件，待核定","到指定工作表逐列建檔、補來源依據、核定與發布","到指定流程完成內部處理"))))</x:f>
        <x:v>向診所索取正式資料包</x:v>
      </x:c>
    </x:row>
    <x:row r="16">
      <x:c r="A16" s="401" t="str">
        <x:v>PKG-05</x:v>
      </x:c>
      <x:c r="B16" s="401" t="str">
        <x:v>內部核定</x:v>
      </x:c>
      <x:c r="C16" s="401" t="str">
        <x:v>技能來源名稱對照</x:v>
      </x:c>
      <x:c r="D16" s="401" t="n">
        <x:f>'主管工作台'!$B$26</x:f>
        <x:v>117</x:v>
      </x:c>
      <x:c r="E16" s="401" t="str">
        <x:v>所有來源組合完成核定、拆分與發布</x:v>
      </x:c>
      <x:c r="F16" s="401" t="str">
        <x:v>標準技能代碼、主管決定、拆分方式、生效日、核定人</x:v>
      </x:c>
      <x:c r="G16" s="401" t="str">
        <x:v>技能名稱對照</x:v>
      </x:c>
      <x:c r="H16" s="401" t="str">
        <x:v>助理長／各組主管</x:v>
      </x:c>
      <x:c r="I16" s="402" t="str">
        <x:v>不適用</x:v>
      </x:c>
      <x:c r="J16" s="404"/>
      <x:c r="K16" s="402"/>
      <x:c r="L16" s="403" t="str">
        <x:f>IF($D16=0,"系統條件完成","尚有缺口")</x:f>
        <x:v>尚有缺口</x:v>
      </x:c>
      <x:c r="M16" s="403" t="str">
        <x:f>IF($L16="系統條件完成","已完成",IF($B16="外部正式資料",IF($I16="已提供",IF(AND($J16&lt;&gt;"",$K16&lt;&gt;""),"已收件，待核定","待補收件資料"),IF($I16="不適用","待提供","待提供")),"待內部處理"))</x:f>
        <x:v>待內部處理</x:v>
      </x:c>
      <x:c r="N16" s="403" t="str">
        <x:f>IF($M16="已完成","保存正式來源與核定紀錄",IF($M16="待提供","向診所索取正式資料包",IF($M16="待補收件資料","補填收件日與收件人",IF($M16="已收件，待核定","到指定工作表逐列建檔、核定與發布","到指定流程完成內部處理"))))</x:f>
        <x:v>到指定流程完成內部處理</x:v>
      </x:c>
    </x:row>
    <x:row r="17">
      <x:c r="A17" s="401" t="str">
        <x:v>PKG-06</x:v>
      </x:c>
      <x:c r="B17" s="401" t="str">
        <x:v>內部核定</x:v>
      </x:c>
      <x:c r="C17" s="401" t="str">
        <x:v>員工治理資料</x:v>
      </x:c>
      <x:c r="D17" s="401" t="n">
        <x:f>'主管工作台'!$B$25</x:f>
        <x:v>14</x:v>
      </x:c>
      <x:c r="E17" s="401" t="str">
        <x:v>14 位員工治理資料完成核定</x:v>
      </x:c>
      <x:c r="F17" s="401" t="str">
        <x:v>能力路徑、培訓組、主管、正式職級、生效日、核定人</x:v>
      </x:c>
      <x:c r="G17" s="401" t="str">
        <x:v>員工治理核定</x:v>
      </x:c>
      <x:c r="H17" s="401" t="str">
        <x:v>助理主管／助理長</x:v>
      </x:c>
      <x:c r="I17" s="402" t="str">
        <x:v>不適用</x:v>
      </x:c>
      <x:c r="J17" s="404"/>
      <x:c r="K17" s="402"/>
      <x:c r="L17" s="403" t="str">
        <x:f>IF($D17=0,"系統條件完成","尚有缺口")</x:f>
        <x:v>尚有缺口</x:v>
      </x:c>
      <x:c r="M17" s="403" t="str">
        <x:f>IF($L17="系統條件完成","已完成",IF($B17="外部正式資料",IF($I17="已提供",IF(AND($J17&lt;&gt;"",$K17&lt;&gt;""),"已收件，待核定","待補收件資料"),IF($I17="不適用","待提供","待提供")),"待內部處理"))</x:f>
        <x:v>待內部處理</x:v>
      </x:c>
      <x:c r="N17" s="403" t="str">
        <x:f>IF($M17="已完成","保存正式來源與核定紀錄",IF($M17="待提供","向診所索取正式資料包",IF($M17="待補收件資料","補填收件日與收件人",IF($M17="已收件，待核定","到指定工作表逐列建檔、核定與發布","到指定流程完成內部處理"))))</x:f>
        <x:v>到指定流程完成內部處理</x:v>
      </x:c>
    </x:row>
    <x:row r="18">
      <x:c r="A18" s="401" t="str">
        <x:v>PKG-07</x:v>
      </x:c>
      <x:c r="B18" s="401" t="str">
        <x:v>內部核定</x:v>
      </x:c>
      <x:c r="C18" s="401" t="str">
        <x:v>支援者資格資料</x:v>
      </x:c>
      <x:c r="D18" s="401" t="n">
        <x:f>'主管工作台'!$B$24</x:f>
        <x:v>182</x:v>
      </x:c>
      <x:c r="E18" s="401" t="str">
        <x:v>所有支援資格完成核定</x:v>
      </x:c>
      <x:c r="F18" s="401" t="str">
        <x:v>支援種類、名額、有效期間、核定人</x:v>
      </x:c>
      <x:c r="G18" s="401" t="str">
        <x:v>支援者資格核定</x:v>
      </x:c>
      <x:c r="H18" s="401" t="str">
        <x:v>助理主管</x:v>
      </x:c>
      <x:c r="I18" s="402" t="str">
        <x:v>不適用</x:v>
      </x:c>
      <x:c r="J18" s="404"/>
      <x:c r="K18" s="402"/>
      <x:c r="L18" s="403" t="str">
        <x:f>IF($D18=0,"系統條件完成","尚有缺口")</x:f>
        <x:v>尚有缺口</x:v>
      </x:c>
      <x:c r="M18" s="403" t="str">
        <x:f>IF($L18="系統條件完成","已完成",IF($B18="外部正式資料",IF($I18="已提供",IF(AND($J18&lt;&gt;"",$K18&lt;&gt;""),"已收件，待核定","待補收件資料"),IF($I18="不適用","待提供","待提供")),"待內部處理"))</x:f>
        <x:v>待內部處理</x:v>
      </x:c>
      <x:c r="N18" s="403" t="str">
        <x:f>IF($M18="已完成","保存正式來源與核定紀錄",IF($M18="待提供","向診所索取正式資料包",IF($M18="待補收件資料","補填收件日與收件人",IF($M18="已收件，待核定","到指定工作表逐列建檔、核定與發布","到指定流程完成內部處理"))))</x:f>
        <x:v>到指定流程完成內部處理</x:v>
      </x:c>
    </x:row>
    <x:row r="19">
      <x:c r="A19" s="401" t="str">
        <x:v>PKG-08</x:v>
      </x:c>
      <x:c r="B19" s="401" t="str">
        <x:v>內部核定</x:v>
      </x:c>
      <x:c r="C19" s="401" t="str">
        <x:v>初始能力、熟悉度、要求與資格</x:v>
      </x:c>
      <x:c r="D19" s="401" t="n">
        <x:f>'主管工作台'!$A$7</x:f>
        <x:v>361</x:v>
      </x:c>
      <x:c r="E19" s="401" t="str">
        <x:v>所有初始資料完成主管核定</x:v>
      </x:c>
      <x:c r="F19" s="401" t="str">
        <x:v>主管決定、生效日、核定人及必要說明</x:v>
      </x:c>
      <x:c r="G19" s="401" t="str">
        <x:v>主管核定中心</x:v>
      </x:c>
      <x:c r="H19" s="401" t="str">
        <x:v>助理主管／助理長</x:v>
      </x:c>
      <x:c r="I19" s="402" t="str">
        <x:v>不適用</x:v>
      </x:c>
      <x:c r="J19" s="404"/>
      <x:c r="K19" s="402"/>
      <x:c r="L19" s="403" t="str">
        <x:f>IF($D19=0,"系統條件完成","尚有缺口")</x:f>
        <x:v>尚有缺口</x:v>
      </x:c>
      <x:c r="M19" s="403" t="str">
        <x:f>IF($L19="系統條件完成","已完成",IF($B19="外部正式資料",IF($I19="已提供",IF(AND($J19&lt;&gt;"",$K19&lt;&gt;""),"已收件，待核定","待補收件資料"),IF($I19="不適用","待提供","待提供")),"待內部處理"))</x:f>
        <x:v>待內部處理</x:v>
      </x:c>
      <x:c r="N19" s="403" t="str">
        <x:f>IF($M19="已完成","保存正式來源與核定紀錄",IF($M19="待提供","向診所索取正式資料包",IF($M19="待補收件資料","補填收件日與收件人",IF($M19="已收件，待核定","到指定工作表逐列建檔、核定與發布","到指定流程完成內部處理"))))</x:f>
        <x:v>到指定流程完成內部處理</x:v>
      </x:c>
    </x:row>
    <x:row r="20">
      <x:c r="A20" s="401" t="str">
        <x:v>PKG-09</x:v>
      </x:c>
      <x:c r="B20" s="401" t="str">
        <x:v>正式試排</x:v>
      </x:c>
      <x:c r="C20" s="401" t="str">
        <x:v>一筆非範例端到端正式班次</x:v>
      </x:c>
      <x:c r="D20" s="401" t="n">
        <x:f>IF('上線準備'!$D$21&gt;=1,0,1)</x:f>
        <x:v>1</x:v>
      </x:c>
      <x:c r="E20" s="401" t="str">
        <x:v>至少 1 筆正式班次完成需求、配置、支援、確認與發布</x:v>
      </x:c>
      <x:c r="F20" s="401" t="str">
        <x:v>非範例正式班次、療程確認、主跟診與支援配置、容量與衝突檢查、三週／一週確認、最終發布、主管驗收簽核</x:v>
      </x:c>
      <x:c r="G20" s="401" t="str">
        <x:v>正式試排驗收／班次需求輸入／排班配置輸入／班次檢核總覽</x:v>
      </x:c>
      <x:c r="H20" s="401" t="str">
        <x:v>助理主管／諮詢組</x:v>
      </x:c>
      <x:c r="I20" s="402" t="str">
        <x:v>不適用</x:v>
      </x:c>
      <x:c r="J20" s="404"/>
      <x:c r="K20" s="402"/>
      <x:c r="L20" s="403" t="str">
        <x:f>IF($D20=0,"系統條件完成","尚有缺口")</x:f>
        <x:v>尚有缺口</x:v>
      </x:c>
      <x:c r="M20" s="403" t="str">
        <x:f>IF($L20="系統條件完成","已完成",IF($B20="外部正式資料",IF($I20="已提供",IF(AND($J20&lt;&gt;"",$K20&lt;&gt;""),"已收件，待核定","待補收件資料"),IF($I20="不適用","待提供","待提供")),"待內部處理"))</x:f>
        <x:v>待內部處理</x:v>
      </x:c>
      <x:c r="N20" s="403" t="str">
        <x:f>IF($M20="已完成","保存正式來源與核定紀錄",IF($M20="待提供","向診所索取正式資料包",IF($M20="待補收件資料","補填收件日與收件人",IF($M20="已收件，待核定","到指定工作表逐列建檔、核定與發布","到指定流程完成內部處理"))))</x:f>
        <x:v>到指定流程完成內部處理</x:v>
      </x:c>
    </x:row>
  </x:sheetData>
  <x:mergeCells>
    <x:mergeCell ref="A2:N2"/>
    <x:mergeCell ref="A4:N4"/>
    <x:mergeCell ref="A6:B6"/>
    <x:mergeCell ref="C6:F6"/>
    <x:mergeCell ref="G6:H6"/>
    <x:mergeCell ref="I6:J6"/>
    <x:mergeCell ref="K6:L6"/>
    <x:mergeCell ref="M6:N6"/>
    <x:mergeCell ref="A7:B7"/>
    <x:mergeCell ref="C7:F7"/>
    <x:mergeCell ref="G7:H7"/>
    <x:mergeCell ref="I7:J7"/>
    <x:mergeCell ref="K7:L7"/>
    <x:mergeCell ref="M7:N7"/>
  </x:mergeCells>
  <x:conditionalFormatting sqref="M12:M20">
    <x:cfRule type="containsText" dxfId="89" priority="1" operator="containsText" text="已完成"/>
    <x:cfRule type="containsText" dxfId="90" priority="2" operator="containsText" text="待提供"/>
    <x:cfRule type="containsText" dxfId="91" priority="3" operator="containsText" text="待補"/>
    <x:cfRule type="containsText" dxfId="92" priority="4" operator="containsText" text="待核定"/>
    <x:cfRule type="containsText" dxfId="93" priority="5" operator="containsText" text="待內部"/>
  </x:conditionalFormatting>
  <x:dataValidations count="1">
    <x:dataValidation type="list" sqref="I12:I20">
      <x:formula1>"未提供,已提供,不適用"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2">
      <x:c r="A2" s="119" t="str">
        <x:v>診所助理排班工具－正式試排驗收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75" t="str">
        <x:v>選擇一筆非範例正式班次。系統條件全部通過後，再由主管完成驗收簽核。例外核定可支援個別班次營運，但不能取代正式試排；只有無例外且最終可發布的班次才能計入上線準備。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</x:row>
    <x:row r="6">
      <x:c r="A6" s="425" t="str">
        <x:v>驗收班次編號</x:v>
      </x:c>
      <x:c r="B6" s="425"/>
      <x:c r="C6" s="425" t="str">
        <x:v>目前下一步</x:v>
      </x:c>
      <x:c r="D6" s="425"/>
      <x:c r="E6" s="425"/>
      <x:c r="F6" s="425"/>
      <x:c r="G6" s="425" t="str">
        <x:v>系統通過</x:v>
      </x:c>
      <x:c r="H6" s="425"/>
      <x:c r="I6" s="425" t="str">
        <x:v>系統未通過</x:v>
      </x:c>
      <x:c r="J6" s="425"/>
      <x:c r="K6" s="425" t="str">
        <x:v>人工簽核</x:v>
      </x:c>
      <x:c r="L6" s="425"/>
      <x:c r="M6" s="425" t="str">
        <x:v>最終驗收</x:v>
      </x:c>
      <x:c r="N6" s="425"/>
    </x:row>
    <x:row r="7">
      <x:c r="A7" s="429"/>
      <x:c r="B7" s="429"/>
      <x:c r="C7" s="434" t="str">
        <x:f>IF($A$7="","先選擇非範例正式班次",IF($I$7&gt;0,"依下方未通過項目補齊班次資料",IF($K$7&lt;&gt;"已簽核","完成主管人工驗收與簽核","正式試排已完成")))</x:f>
        <x:v>先選擇非範例正式班次</x:v>
      </x:c>
      <x:c r="D7" s="434"/>
      <x:c r="E7" s="434"/>
      <x:c r="F7" s="434"/>
      <x:c r="G7" s="434" t="n">
        <x:f>IF($A$7="",0,COUNTIFS($J$14:$J$25,"通過"))</x:f>
        <x:v>0</x:v>
      </x:c>
      <x:c r="H7" s="434"/>
      <x:c r="I7" s="434" t="n">
        <x:f>IF($A$7="",12,COUNTIFS($J$14:$J$25,"&lt;&gt;通過"))</x:f>
        <x:v>12</x:v>
      </x:c>
      <x:c r="J7" s="434"/>
      <x:c r="K7" s="434" t="str">
        <x:f>IF($A$7="","待驗收",IF(AND($C$28&lt;&gt;"",$C$28&lt;&gt;$A$7),"核定班次不一致",IF($C$29="退回","已退回",IF(AND($C$28=$A$7,$G$28&lt;&gt;"",$K$28&lt;&gt;"",$N$28&lt;&gt;"",$C$29="通過",$G$29&lt;&gt;""),"已簽核","待簽核"))))</x:f>
        <x:v>待驗收</x:v>
      </x:c>
      <x:c r="L7" s="434"/>
      <x:c r="M7" s="434" t="str">
        <x:f>IF($A$7="","待選擇班次",IF($I$7&gt;0,"系統條件未完成",IF($K$7&lt;&gt;"已簽核","待人工驗收","驗收通過")))</x:f>
        <x:v>待選擇班次</x:v>
      </x:c>
      <x:c r="N7" s="434"/>
    </x:row>
    <x:row r="9">
      <x:c r="A9" s="436" t="str">
        <x:v>所選班次摘要</x:v>
      </x:c>
      <x:c r="B9" s="436"/>
      <x:c r="C9" s="436"/>
      <x:c r="D9" s="436"/>
      <x:c r="E9" s="436"/>
      <x:c r="F9" s="436"/>
      <x:c r="G9" s="436"/>
      <x:c r="H9" s="436"/>
      <x:c r="I9" s="436"/>
      <x:c r="J9" s="436"/>
      <x:c r="K9" s="436"/>
      <x:c r="L9" s="436"/>
      <x:c r="M9" s="436"/>
      <x:c r="N9" s="436"/>
    </x:row>
    <x:row r="10">
      <x:c r="A10" s="438" t="str">
        <x:v>日期</x:v>
      </x:c>
      <x:c r="B10" s="211" t="str">
        <x:f>IF($A$7="","",_xlfn.XLOOKUP($A$7,'班次檢核總覽'!$A$7:$A$36,'班次檢核總覽'!$B$7:$B$36,"",0))</x:f>
      </x:c>
      <x:c r="C10" s="211"/>
      <x:c r="D10" s="438" t="str">
        <x:v>開始</x:v>
      </x:c>
      <x:c r="E10" s="212" t="str">
        <x:f>IF($A$7="","",_xlfn.XLOOKUP($A$7,'班次檢核總覽'!$A$7:$A$36,'班次檢核總覽'!$C$7:$C$36,"",0))</x:f>
      </x:c>
      <x:c r="F10" s="212"/>
      <x:c r="G10" s="438" t="str">
        <x:v>結束</x:v>
      </x:c>
      <x:c r="H10" s="212" t="str">
        <x:f>IF($A$7="","",_xlfn.XLOOKUP($A$7,'班次檢核總覽'!$A$7:$A$36,'班次檢核總覽'!$D$7:$D$36,"",0))</x:f>
      </x:c>
      <x:c r="I10" s="212"/>
      <x:c r="J10" s="438" t="str">
        <x:v>模式代碼</x:v>
      </x:c>
      <x:c r="K10" s="80" t="str">
        <x:f>IF($A$7="","",_xlfn.XLOOKUP($A$7,'班次檢核總覽'!$A$7:$A$36,'班次檢核總覽'!$E$7:$E$36,"",0))</x:f>
      </x:c>
      <x:c r="L10" s="80"/>
      <x:c r="M10" s="438" t="str">
        <x:v>治療項目</x:v>
      </x:c>
      <x:c r="N10" s="80" t="str">
        <x:f>IF($A$7="","",_xlfn.XLOOKUP($A$7,'班次檢核總覽'!$A$7:$A$36,'班次檢核總覽'!$F$7:$F$36,"",0))</x:f>
      </x:c>
    </x:row>
    <x:row r="13">
      <x:c r="A13" s="441" t="str">
        <x:v>順序</x:v>
      </x:c>
      <x:c r="B13" s="441" t="str">
        <x:v>驗收條件</x:v>
      </x:c>
      <x:c r="C13" s="441"/>
      <x:c r="D13" s="441"/>
      <x:c r="E13" s="441"/>
      <x:c r="F13" s="441" t="str">
        <x:v>目前值</x:v>
      </x:c>
      <x:c r="G13" s="441"/>
      <x:c r="H13" s="441"/>
      <x:c r="I13" s="441"/>
      <x:c r="J13" s="441" t="str">
        <x:v>判定</x:v>
      </x:c>
      <x:c r="K13" s="441"/>
      <x:c r="L13" s="441" t="str">
        <x:v>未通過時處理</x:v>
      </x:c>
      <x:c r="M13" s="441"/>
      <x:c r="N13" s="441"/>
    </x:row>
    <x:row r="14">
      <x:c r="A14" s="442" t="n">
        <x:v>1</x:v>
      </x:c>
      <x:c r="B14" s="442" t="str">
        <x:v>班次編號存在且唯一</x:v>
      </x:c>
      <x:c r="C14" s="442"/>
      <x:c r="D14" s="442"/>
      <x:c r="E14" s="442"/>
      <x:c r="F14" s="443" t="str">
        <x:f>IF($A$7="","",COUNTIFS('班次檢核總覽'!$A$7:$A$36,$A$7))</x:f>
      </x:c>
      <x:c r="G14" s="443"/>
      <x:c r="H14" s="443"/>
      <x:c r="I14" s="443"/>
      <x:c r="J14" s="444" t="str">
        <x:f>IF($A$7="","待檢查",IF($F14=1,"通過","未通過"))</x:f>
        <x:v>待檢查</x:v>
      </x:c>
      <x:c r="K14" s="444"/>
      <x:c r="L14" s="445" t="str">
        <x:v>回到班次需求輸入確認編號</x:v>
      </x:c>
      <x:c r="M14" s="445"/>
      <x:c r="N14" s="445"/>
    </x:row>
    <x:row r="15">
      <x:c r="A15" s="442" t="n">
        <x:v>2</x:v>
      </x:c>
      <x:c r="B15" s="442" t="str">
        <x:v>資料狀態為正式</x:v>
      </x:c>
      <x:c r="C15" s="442"/>
      <x:c r="D15" s="442"/>
      <x:c r="E15" s="442"/>
      <x:c r="F15" s="443" t="str">
        <x:f>IF($A$7="","",_xlfn.XLOOKUP($A$7,'班次檢核總覽'!$A$7:$A$36,'班次檢核總覽'!$R$7:$R$36,"未找到",0))</x:f>
      </x:c>
      <x:c r="G15" s="443"/>
      <x:c r="H15" s="443"/>
      <x:c r="I15" s="443"/>
      <x:c r="J15" s="444" t="str">
        <x:f>IF($A$7="","待檢查",IF($F15="正式","通過","未通過"))</x:f>
        <x:v>待檢查</x:v>
      </x:c>
      <x:c r="K15" s="444"/>
      <x:c r="L15" s="445" t="str">
        <x:v>將資料狀態改為正式</x:v>
      </x:c>
      <x:c r="M15" s="445"/>
      <x:c r="N15" s="445"/>
    </x:row>
    <x:row r="16">
      <x:c r="A16" s="442" t="n">
        <x:v>3</x:v>
      </x:c>
      <x:c r="B16" s="442" t="str">
        <x:v>療程已明確確認</x:v>
      </x:c>
      <x:c r="C16" s="442"/>
      <x:c r="D16" s="442"/>
      <x:c r="E16" s="442"/>
      <x:c r="F16" s="443" t="str">
        <x:f>IF($A$7="","",_xlfn.XLOOKUP($A$7,'班次檢核總覽'!$A$7:$A$36,'班次檢核總覽'!$G$7:$G$36,"未找到",0))</x:f>
      </x:c>
      <x:c r="G16" s="443"/>
      <x:c r="H16" s="443"/>
      <x:c r="I16" s="443"/>
      <x:c r="J16" s="444" t="str">
        <x:f>IF($A$7="","待檢查",IF(OR($F16="一般診已確認",$F16="特殊療程已確認"),"通過","未通過"))</x:f>
        <x:v>待檢查</x:v>
      </x:c>
      <x:c r="K16" s="444"/>
      <x:c r="L16" s="445" t="str">
        <x:v>完成一般診或特殊療程確認</x:v>
      </x:c>
      <x:c r="M16" s="445"/>
      <x:c r="N16" s="445"/>
    </x:row>
    <x:row r="17">
      <x:c r="A17" s="442" t="n">
        <x:v>4</x:v>
      </x:c>
      <x:c r="B17" s="442" t="str">
        <x:v>三週與一週確認流程完成</x:v>
      </x:c>
      <x:c r="C17" s="442"/>
      <x:c r="D17" s="442"/>
      <x:c r="E17" s="442"/>
      <x:c r="F17" s="443" t="str">
        <x:f>IF($A$7="","",_xlfn.XLOOKUP($A$7,'班次檢核總覽'!$A$7:$A$36,'班次檢核總覽'!$S$7:$S$36,"未找到",0))</x:f>
      </x:c>
      <x:c r="G17" s="443"/>
      <x:c r="H17" s="443"/>
      <x:c r="I17" s="443"/>
      <x:c r="J17" s="444" t="str">
        <x:f>IF($A$7="","待檢查",IF($F17="確認完成","通過","未通過"))</x:f>
        <x:v>待檢查</x:v>
      </x:c>
      <x:c r="K17" s="444"/>
      <x:c r="L17" s="445" t="str">
        <x:v>補齊三週標記與一週確認</x:v>
      </x:c>
      <x:c r="M17" s="445"/>
      <x:c r="N17" s="445"/>
    </x:row>
    <x:row r="18">
      <x:c r="A18" s="442" t="n">
        <x:v>5</x:v>
      </x:c>
      <x:c r="B18" s="442" t="str">
        <x:v>主跟診配置數達需求</x:v>
      </x:c>
      <x:c r="C18" s="442"/>
      <x:c r="D18" s="442"/>
      <x:c r="E18" s="442"/>
      <x:c r="F18" s="443" t="str">
        <x:f>IF($A$7="","",_xlfn.XLOOKUP($A$7,'班次檢核總覽'!$A$7:$A$36,'班次檢核總覽'!$I$7:$I$36,0,0)&amp;"／"&amp;_xlfn.XLOOKUP($A$7,'班次檢核總覽'!$A$7:$A$36,'班次檢核總覽'!$H$7:$H$36,0,0))</x:f>
      </x:c>
      <x:c r="G18" s="443"/>
      <x:c r="H18" s="443"/>
      <x:c r="I18" s="443"/>
      <x:c r="J18" s="444" t="str">
        <x:f>IF($A$7="","待檢查",IF(_xlfn.XLOOKUP($A$7,'班次檢核總覽'!$A$7:$A$36,'班次檢核總覽'!$I$7:$I$36,0,0)&gt;=_xlfn.XLOOKUP($A$7,'班次檢核總覽'!$A$7:$A$36,'班次檢核總覽'!$H$7:$H$36,0,0),"通過","未通過"))</x:f>
        <x:v>待檢查</x:v>
      </x:c>
      <x:c r="K18" s="444"/>
      <x:c r="L18" s="445" t="str">
        <x:v>補足主跟診配置</x:v>
      </x:c>
      <x:c r="M18" s="445"/>
      <x:c r="N18" s="445"/>
    </x:row>
    <x:row r="19">
      <x:c r="A19" s="442" t="n">
        <x:v>6</x:v>
      </x:c>
      <x:c r="B19" s="442" t="str">
        <x:v>正式可用主跟診達需求</x:v>
      </x:c>
      <x:c r="C19" s="442"/>
      <x:c r="D19" s="442"/>
      <x:c r="E19" s="442"/>
      <x:c r="F19" s="443" t="str">
        <x:f>IF($A$7="","",_xlfn.XLOOKUP($A$7,'班次檢核總覽'!$A$7:$A$36,'班次檢核總覽'!$K$7:$K$36,0,0)&amp;"／"&amp;_xlfn.XLOOKUP($A$7,'班次檢核總覽'!$A$7:$A$36,'班次檢核總覽'!$H$7:$H$36,0,0))</x:f>
      </x:c>
      <x:c r="G19" s="443"/>
      <x:c r="H19" s="443"/>
      <x:c r="I19" s="443"/>
      <x:c r="J19" s="444" t="str">
        <x:f>IF($A$7="","待檢查",IF(_xlfn.XLOOKUP($A$7,'班次檢核總覽'!$A$7:$A$36,'班次檢核總覽'!$K$7:$K$36,0,0)&gt;=_xlfn.XLOOKUP($A$7,'班次檢核總覽'!$A$7:$A$36,'班次檢核總覽'!$H$7:$H$36,0,0),"通過","未通過"))</x:f>
        <x:v>待檢查</x:v>
      </x:c>
      <x:c r="K19" s="444"/>
      <x:c r="L19" s="445" t="str">
        <x:v>完成主跟診資格與正式狀態核定</x:v>
      </x:c>
      <x:c r="M19" s="445"/>
      <x:c r="N19" s="445"/>
    </x:row>
    <x:row r="20">
      <x:c r="A20" s="442" t="n">
        <x:v>7</x:v>
      </x:c>
      <x:c r="B20" s="442" t="str">
        <x:v>短時支援配置數達需求</x:v>
      </x:c>
      <x:c r="C20" s="442"/>
      <x:c r="D20" s="442"/>
      <x:c r="E20" s="442"/>
      <x:c r="F20" s="443" t="str">
        <x:f>IF($A$7="","",_xlfn.XLOOKUP($A$7,'班次檢核總覽'!$A$7:$A$36,'班次檢核總覽'!$O$7:$O$36,0,0)&amp;"／"&amp;_xlfn.XLOOKUP($A$7,'班次檢核總覽'!$A$7:$A$36,'班次檢核總覽'!$N$7:$N$36,0,0))</x:f>
      </x:c>
      <x:c r="G20" s="443"/>
      <x:c r="H20" s="443"/>
      <x:c r="I20" s="443"/>
      <x:c r="J20" s="444" t="str">
        <x:f>IF($A$7="","待檢查",IF(_xlfn.XLOOKUP($A$7,'班次檢核總覽'!$A$7:$A$36,'班次檢核總覽'!$O$7:$O$36,0,0)&gt;=_xlfn.XLOOKUP($A$7,'班次檢核總覽'!$A$7:$A$36,'班次檢核總覽'!$N$7:$N$36,0,0),"通過","未通過"))</x:f>
        <x:v>待檢查</x:v>
      </x:c>
      <x:c r="K20" s="444"/>
      <x:c r="L20" s="445" t="str">
        <x:v>補足短時支援配置</x:v>
      </x:c>
      <x:c r="M20" s="445"/>
      <x:c r="N20" s="445"/>
    </x:row>
    <x:row r="21">
      <x:c r="A21" s="442" t="n">
        <x:v>8</x:v>
      </x:c>
      <x:c r="B21" s="442" t="str">
        <x:v>支援容量達需求</x:v>
      </x:c>
      <x:c r="C21" s="442"/>
      <x:c r="D21" s="442"/>
      <x:c r="E21" s="442"/>
      <x:c r="F21" s="443" t="str">
        <x:f>IF($A$7="","",_xlfn.XLOOKUP($A$7,'班次檢核總覽'!$A$7:$A$36,'班次檢核總覽'!$M$7:$M$36,0,0)&amp;"／"&amp;_xlfn.XLOOKUP($A$7,'班次檢核總覽'!$A$7:$A$36,'班次檢核總覽'!$L$7:$L$36,0,0))</x:f>
      </x:c>
      <x:c r="G21" s="443"/>
      <x:c r="H21" s="443"/>
      <x:c r="I21" s="443"/>
      <x:c r="J21" s="444" t="str">
        <x:f>IF($A$7="","待檢查",IF(_xlfn.XLOOKUP($A$7,'班次檢核總覽'!$A$7:$A$36,'班次檢核總覽'!$M$7:$M$36,0,0)&gt;=_xlfn.XLOOKUP($A$7,'班次檢核總覽'!$A$7:$A$36,'班次檢核總覽'!$L$7:$L$36,0,0),"通過","未通過"))</x:f>
        <x:v>待檢查</x:v>
      </x:c>
      <x:c r="K21" s="444"/>
      <x:c r="L21" s="445" t="str">
        <x:v>改派或增加具資格的支援者</x:v>
      </x:c>
      <x:c r="M21" s="445"/>
      <x:c r="N21" s="445"/>
    </x:row>
    <x:row r="22">
      <x:c r="A22" s="442" t="n">
        <x:v>9</x:v>
      </x:c>
      <x:c r="B22" s="442" t="str">
        <x:v>無人員時段衝突</x:v>
      </x:c>
      <x:c r="C22" s="442"/>
      <x:c r="D22" s="442"/>
      <x:c r="E22" s="442"/>
      <x:c r="F22" s="443" t="str">
        <x:f>IF($A$7="","",_xlfn.XLOOKUP($A$7,'班次檢核總覽'!$A$7:$A$36,'班次檢核總覽'!$P$7:$P$36,"未找到",0))</x:f>
      </x:c>
      <x:c r="G22" s="443"/>
      <x:c r="H22" s="443"/>
      <x:c r="I22" s="443"/>
      <x:c r="J22" s="444" t="str">
        <x:f>IF($A$7="","待檢查",IF($F22=0,"通過","未通過"))</x:f>
        <x:v>待檢查</x:v>
      </x:c>
      <x:c r="K22" s="444"/>
      <x:c r="L22" s="445" t="str">
        <x:v>解除重疊配置</x:v>
      </x:c>
      <x:c r="M22" s="445"/>
      <x:c r="N22" s="445"/>
    </x:row>
    <x:row r="23">
      <x:c r="A23" s="442" t="n">
        <x:v>10</x:v>
      </x:c>
      <x:c r="B23" s="442" t="str">
        <x:v>班次安全結果通過</x:v>
      </x:c>
      <x:c r="C23" s="442"/>
      <x:c r="D23" s="442"/>
      <x:c r="E23" s="442"/>
      <x:c r="F23" s="443" t="str">
        <x:f>IF($A$7="","",_xlfn.XLOOKUP($A$7,'班次檢核總覽'!$A$7:$A$36,'班次檢核總覽'!$Q$7:$Q$36,"未找到",0))</x:f>
      </x:c>
      <x:c r="G23" s="443"/>
      <x:c r="H23" s="443"/>
      <x:c r="I23" s="443"/>
      <x:c r="J23" s="444" t="str">
        <x:f>IF($A$7="","待檢查",IF($F23="通過","通過","未通過"))</x:f>
        <x:v>待檢查</x:v>
      </x:c>
      <x:c r="K23" s="444"/>
      <x:c r="L23" s="445" t="str">
        <x:v>依班次檢核結果修正人力與支援</x:v>
      </x:c>
      <x:c r="M23" s="445"/>
      <x:c r="N23" s="445"/>
    </x:row>
    <x:row r="24">
      <x:c r="A24" s="442" t="n">
        <x:v>11</x:v>
      </x:c>
      <x:c r="B24" s="442" t="str">
        <x:v>未使用排班例外</x:v>
      </x:c>
      <x:c r="C24" s="442"/>
      <x:c r="D24" s="442"/>
      <x:c r="E24" s="442"/>
      <x:c r="F24" s="443" t="str">
        <x:f>IF($A$7="","",_xlfn.XLOOKUP($A$7,'班次檢核總覽'!$A$7:$A$36,'班次檢核總覽'!$V$7:$V$36,"未找到",0))</x:f>
      </x:c>
      <x:c r="G24" s="443"/>
      <x:c r="H24" s="443"/>
      <x:c r="I24" s="443"/>
      <x:c r="J24" s="444" t="str">
        <x:f>IF($A$7="","待檢查",IF($F24="無例外","通過","未通過"))</x:f>
        <x:v>待檢查</x:v>
      </x:c>
      <x:c r="K24" s="444"/>
      <x:c r="L24" s="445" t="str">
        <x:v>改用不需例外的正式班次</x:v>
      </x:c>
      <x:c r="M24" s="445"/>
      <x:c r="N24" s="445"/>
    </x:row>
    <x:row r="25">
      <x:c r="A25" s="442" t="n">
        <x:v>12</x:v>
      </x:c>
      <x:c r="B25" s="442" t="str">
        <x:v>最終發布判定為可發布</x:v>
      </x:c>
      <x:c r="C25" s="442"/>
      <x:c r="D25" s="442"/>
      <x:c r="E25" s="442"/>
      <x:c r="F25" s="443" t="str">
        <x:f>IF($A$7="","",_xlfn.XLOOKUP($A$7,'班次檢核總覽'!$A$7:$A$36,'班次檢核總覽'!$W$7:$W$36,"未找到",0))</x:f>
      </x:c>
      <x:c r="G25" s="443"/>
      <x:c r="H25" s="443"/>
      <x:c r="I25" s="443"/>
      <x:c r="J25" s="444" t="str">
        <x:f>IF($A$7="","待檢查",IF($F25="可發布","通過","未通過"))</x:f>
        <x:v>待檢查</x:v>
      </x:c>
      <x:c r="K25" s="444"/>
      <x:c r="L25" s="445" t="str">
        <x:v>排除所有阻擋後重新發布</x:v>
      </x:c>
      <x:c r="M25" s="445"/>
      <x:c r="N25" s="445"/>
    </x:row>
    <x:row r="27">
      <x:c r="A27" s="436" t="str">
        <x:v>主管人工驗收與簽核</x:v>
      </x:c>
      <x:c r="B27" s="436"/>
      <x:c r="C27" s="436"/>
      <x:c r="D27" s="436"/>
      <x:c r="E27" s="436"/>
      <x:c r="F27" s="436"/>
      <x:c r="G27" s="436"/>
      <x:c r="H27" s="436"/>
      <x:c r="I27" s="436"/>
      <x:c r="J27" s="436"/>
      <x:c r="K27" s="436"/>
      <x:c r="L27" s="436"/>
      <x:c r="M27" s="436"/>
      <x:c r="N27" s="436"/>
    </x:row>
    <x:row r="28">
      <x:c r="A28" s="447" t="str">
        <x:v>核定班次編號</x:v>
      </x:c>
      <x:c r="B28" s="447"/>
      <x:c r="C28" s="449"/>
      <x:c r="D28" s="449"/>
      <x:c r="E28" s="447" t="str">
        <x:v>執行人</x:v>
      </x:c>
      <x:c r="F28" s="447"/>
      <x:c r="G28" s="449"/>
      <x:c r="H28" s="449"/>
      <x:c r="I28" s="447" t="str">
        <x:v>執行日</x:v>
      </x:c>
      <x:c r="J28" s="447"/>
      <x:c r="K28" s="452"/>
      <x:c r="L28" s="452"/>
      <x:c r="M28" s="462" t="str">
        <x:v>核定日</x:v>
      </x:c>
      <x:c r="N28" s="464"/>
    </x:row>
    <x:row r="29">
      <x:c r="A29" s="447" t="str">
        <x:v>主管決定</x:v>
      </x:c>
      <x:c r="B29" s="447"/>
      <x:c r="C29" s="449"/>
      <x:c r="D29" s="449"/>
      <x:c r="E29" s="447" t="str">
        <x:v>核定人</x:v>
      </x:c>
      <x:c r="F29" s="447"/>
      <x:c r="G29" s="449"/>
      <x:c r="H29" s="449"/>
      <x:c r="I29" s="447" t="str">
        <x:v>備註</x:v>
      </x:c>
      <x:c r="J29" s="447"/>
      <x:c r="K29" s="449"/>
      <x:c r="L29" s="449"/>
      <x:c r="M29" s="449"/>
      <x:c r="N29" s="449"/>
    </x:row>
    <x:row r="31">
      <x:c r="A31" s="454" t="str">
        <x:v>先在 A7 選擇正式班次。十二項均通過後，在黃色簽核欄填入相同班次編號、執行人、執行日、主管決定、核定人與核定日。</x:v>
      </x:c>
      <x:c r="B31" s="454"/>
      <x:c r="C31" s="454"/>
      <x:c r="D31" s="454"/>
      <x:c r="E31" s="454"/>
      <x:c r="F31" s="454"/>
      <x:c r="G31" s="454"/>
      <x:c r="H31" s="454"/>
      <x:c r="I31" s="454"/>
      <x:c r="J31" s="454"/>
      <x:c r="K31" s="454"/>
      <x:c r="L31" s="454"/>
      <x:c r="M31" s="454"/>
      <x:c r="N31" s="454"/>
    </x:row>
    <x:row r="32">
      <x:c r="A32" s="454" t="str">
        <x:v>主管決定為通過且簽核資料完整後，正式試排才會計入上線準備；更換 A7 班次時，原簽核不會自動套用。</x:v>
      </x:c>
      <x:c r="B32" s="454"/>
      <x:c r="C32" s="454"/>
      <x:c r="D32" s="454"/>
      <x:c r="E32" s="454"/>
      <x:c r="F32" s="454"/>
      <x:c r="G32" s="454"/>
      <x:c r="H32" s="454"/>
      <x:c r="I32" s="454"/>
      <x:c r="J32" s="454"/>
      <x:c r="K32" s="454"/>
      <x:c r="L32" s="454"/>
      <x:c r="M32" s="454"/>
      <x:c r="N32" s="454"/>
    </x:row>
  </x:sheetData>
  <x:mergeCells>
    <x:mergeCell ref="A2:N2"/>
    <x:mergeCell ref="A4:N4"/>
    <x:mergeCell ref="A6:B6"/>
    <x:mergeCell ref="C6:F6"/>
    <x:mergeCell ref="G6:H6"/>
    <x:mergeCell ref="I6:J6"/>
    <x:mergeCell ref="K6:L6"/>
    <x:mergeCell ref="M6:N6"/>
    <x:mergeCell ref="A7:B7"/>
    <x:mergeCell ref="C7:F7"/>
    <x:mergeCell ref="G7:H7"/>
    <x:mergeCell ref="I7:J7"/>
    <x:mergeCell ref="K7:L7"/>
    <x:mergeCell ref="M7:N7"/>
    <x:mergeCell ref="A9:N9"/>
    <x:mergeCell ref="B10:C10"/>
    <x:mergeCell ref="E10:F10"/>
    <x:mergeCell ref="H10:I10"/>
    <x:mergeCell ref="K10:L10"/>
    <x:mergeCell ref="B13:E13"/>
    <x:mergeCell ref="F13:I13"/>
    <x:mergeCell ref="J13:K13"/>
    <x:mergeCell ref="L13:N13"/>
    <x:mergeCell ref="B14:E14"/>
    <x:mergeCell ref="F14:I14"/>
    <x:mergeCell ref="J14:K14"/>
    <x:mergeCell ref="L14:N14"/>
    <x:mergeCell ref="B15:E15"/>
    <x:mergeCell ref="F15:I15"/>
    <x:mergeCell ref="J15:K15"/>
    <x:mergeCell ref="L15:N15"/>
    <x:mergeCell ref="B16:E16"/>
    <x:mergeCell ref="F16:I16"/>
    <x:mergeCell ref="J16:K16"/>
    <x:mergeCell ref="L16:N16"/>
    <x:mergeCell ref="B17:E17"/>
    <x:mergeCell ref="F17:I17"/>
    <x:mergeCell ref="J17:K17"/>
    <x:mergeCell ref="L17:N17"/>
    <x:mergeCell ref="B18:E18"/>
    <x:mergeCell ref="F18:I18"/>
    <x:mergeCell ref="J18:K18"/>
    <x:mergeCell ref="L18:N18"/>
    <x:mergeCell ref="B19:E19"/>
    <x:mergeCell ref="F19:I19"/>
    <x:mergeCell ref="J19:K19"/>
    <x:mergeCell ref="L19:N19"/>
    <x:mergeCell ref="B20:E20"/>
    <x:mergeCell ref="F20:I20"/>
    <x:mergeCell ref="J20:K20"/>
    <x:mergeCell ref="L20:N20"/>
    <x:mergeCell ref="B21:E21"/>
    <x:mergeCell ref="F21:I21"/>
    <x:mergeCell ref="J21:K21"/>
    <x:mergeCell ref="L21:N21"/>
    <x:mergeCell ref="B22:E22"/>
    <x:mergeCell ref="F22:I22"/>
    <x:mergeCell ref="J22:K22"/>
    <x:mergeCell ref="L22:N22"/>
    <x:mergeCell ref="B23:E23"/>
    <x:mergeCell ref="F23:I23"/>
    <x:mergeCell ref="J23:K23"/>
    <x:mergeCell ref="L23:N23"/>
    <x:mergeCell ref="B24:E24"/>
    <x:mergeCell ref="F24:I24"/>
    <x:mergeCell ref="J24:K24"/>
    <x:mergeCell ref="L24:N24"/>
    <x:mergeCell ref="B25:E25"/>
    <x:mergeCell ref="F25:I25"/>
    <x:mergeCell ref="J25:K25"/>
    <x:mergeCell ref="L25:N25"/>
    <x:mergeCell ref="A27:N27"/>
    <x:mergeCell ref="A28:B28"/>
    <x:mergeCell ref="C28:D28"/>
    <x:mergeCell ref="E28:F28"/>
    <x:mergeCell ref="G28:H28"/>
    <x:mergeCell ref="I28:J28"/>
    <x:mergeCell ref="K28:L28"/>
    <x:mergeCell ref="A29:B29"/>
    <x:mergeCell ref="C29:D29"/>
    <x:mergeCell ref="E29:F29"/>
    <x:mergeCell ref="G29:H29"/>
    <x:mergeCell ref="I29:J29"/>
    <x:mergeCell ref="K29:N29"/>
    <x:mergeCell ref="A31:N31"/>
    <x:mergeCell ref="A32:N32"/>
  </x:mergeCells>
  <x:conditionalFormatting sqref="M7:N7">
    <x:cfRule type="containsText" dxfId="126" priority="1" operator="containsText" text="驗收通過"/>
    <x:cfRule type="containsText" dxfId="127" priority="2" operator="containsText" text="未完成"/>
  </x:conditionalFormatting>
  <x:conditionalFormatting sqref="J14:K25">
    <x:cfRule type="containsText" dxfId="128" priority="3" operator="containsText" text="通過"/>
    <x:cfRule type="containsText" dxfId="129" priority="4" operator="containsText" text="未通過"/>
  </x:conditionalFormatting>
  <x:dataValidations count="2">
    <x:dataValidation type="list" sqref="A7">
      <x:formula1>'班次檢核總覽'!$A$7:$A$36</x:formula1>
    </x:dataValidation>
    <x:dataValidation type="list" sqref="C29">
      <x:formula1>"待驗收,通過,退回"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3" ySplit="22" topLeftCell="D23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34" hidden="0" customWidth="1"/>
    <x:col min="12" max="12" width="16" hidden="0" customWidth="1"/>
    <x:col min="13" max="13" width="24" hidden="0" customWidth="1"/>
    <x:col min="14" max="14" width="34" hidden="0" customWidth="1"/>
    <x:col min="15" max="15" width="22" hidden="0" customWidth="1"/>
    <x:col min="16" max="16" width="30" hidden="0" customWidth="1"/>
  </x:cols>
  <x:sheetData>
    <x:row r="2">
      <x:c r="A2" s="119" t="str">
        <x:v>診所助理排班工具－主管核定批次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75" t="str">
        <x:v>先依建議單批量拆分工作，再到原核定表逐筆處理。建議值只用於規劃，不代填負責人、期限或主管決定；每批必須寫明範圍，且系統待辦歸零才代表工作流完成。</x:v>
      </x:c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</x:row>
    <x:row r="6">
      <x:c r="A6" s="468" t="str">
        <x:v>尚未涵蓋流程</x:v>
      </x:c>
      <x:c r="B6" s="468"/>
      <x:c r="C6" s="468" t="str">
        <x:v>目前優先安排</x:v>
      </x:c>
      <x:c r="D6" s="468"/>
      <x:c r="E6" s="468"/>
      <x:c r="F6" s="468"/>
      <x:c r="G6" s="468" t="str">
        <x:v>已有有效批次</x:v>
      </x:c>
      <x:c r="H6" s="468"/>
      <x:c r="I6" s="468" t="str">
        <x:v>執行中批次</x:v>
      </x:c>
      <x:c r="J6" s="468"/>
      <x:c r="K6" s="468" t="str">
        <x:v>系統已完成流程</x:v>
      </x:c>
      <x:c r="L6" s="468"/>
      <x:c r="M6" s="468" t="str">
        <x:v>待辦項次合計</x:v>
      </x:c>
      <x:c r="N6" s="468"/>
      <x:c r="O6" s="540" t="str">
        <x:v>目前建議批次</x:v>
      </x:c>
      <x:c r="P6" s="540"/>
    </x:row>
    <x:row r="7">
      <x:c r="A7" s="473" t="n">
        <x:f>COUNTIFS($N$11:$N$18,"&gt;0")</x:f>
        <x:v>6</x:v>
      </x:c>
      <x:c r="B7" s="473"/>
      <x:c r="C7" s="473" t="str">
        <x:f>IF($N$11&gt;0,$C$11,IF($N$12&gt;0,$C$12,IF($N$13&gt;0,$C$13,IF($N$14&gt;0,$C$14,IF($N$15&gt;0,$C$15,IF($N$16&gt;0,$C$16,IF($N$17&gt;0,$C$17,IF($N$18&gt;0,$C$18,IF($I$7&gt;0,"持續完成執行中批次","目前無未規劃流程")))))))))</x:f>
        <x:v>未建立必要資格</x:v>
      </x:c>
      <x:c r="D7" s="473"/>
      <x:c r="E7" s="473"/>
      <x:c r="F7" s="473"/>
      <x:c r="G7" s="473" t="n">
        <x:f>COUNTIFS($E$11:$E$18,"&gt;0")</x:f>
        <x:v>0</x:v>
      </x:c>
      <x:c r="H7" s="473"/>
      <x:c r="I7" s="473" t="n">
        <x:f>COUNTIFS($G$23:$G$82,"執行中",$M$23:$M$82,"批次有效")</x:f>
        <x:v>0</x:v>
      </x:c>
      <x:c r="J7" s="473"/>
      <x:c r="K7" s="473" t="n">
        <x:f>COUNTIFS($G$11:$G$18,"系統已完成")</x:f>
        <x:v>2</x:v>
      </x:c>
      <x:c r="L7" s="473"/>
      <x:c r="M7" s="473" t="n">
        <x:f>SUM($D$11:$D$18)</x:f>
        <x:v>710</x:v>
      </x:c>
      <x:c r="N7" s="473"/>
      <x:c r="O7" s="544" t="n">
        <x:f>SUM($J$11:$J$18)</x:f>
        <x:v>38</x:v>
      </x:c>
      <x:c r="P7" s="544"/>
    </x:row>
    <x:row r="10">
      <x:c r="A10" s="476" t="str">
        <x:v>工作流代碼</x:v>
      </x:c>
      <x:c r="B10" s="476" t="str">
        <x:v>優先序</x:v>
      </x:c>
      <x:c r="C10" s="476" t="str">
        <x:v>核定工作流</x:v>
      </x:c>
      <x:c r="D10" s="476" t="str">
        <x:v>系統待辦</x:v>
      </x:c>
      <x:c r="E10" s="476" t="str">
        <x:v>有效批次數</x:v>
      </x:c>
      <x:c r="F10" s="476" t="str">
        <x:v>主要操作位置</x:v>
      </x:c>
      <x:c r="G10" s="476" t="str">
        <x:v>安排狀態</x:v>
      </x:c>
      <x:c r="H10" s="476" t="str">
        <x:v>下一步</x:v>
      </x:c>
      <x:c r="I10" s="476" t="str">
        <x:v>建議單批量</x:v>
      </x:c>
      <x:c r="J10" s="476" t="str">
        <x:v>建議批數</x:v>
      </x:c>
      <x:c r="K10" s="476" t="str">
        <x:v>建議啟動順序</x:v>
      </x:c>
      <x:c r="L10" s="476" t="str">
        <x:v>建議依據</x:v>
      </x:c>
      <x:c r="M10" s="476" t="str">
        <x:v>有效規劃量</x:v>
      </x:c>
      <x:c r="N10" s="476" t="str">
        <x:v>未規劃量</x:v>
      </x:c>
    </x:row>
    <x:row r="11">
      <x:c r="A11" s="547" t="str">
        <x:v>AP-01</x:v>
      </x:c>
      <x:c r="B11" s="547" t="n">
        <x:v>1</x:v>
      </x:c>
      <x:c r="C11" s="547" t="str">
        <x:v>資格暫停或逾期</x:v>
      </x:c>
      <x:c r="D11" s="548" t="n">
        <x:f>'主管工作台'!$M$7</x:f>
        <x:v>0</x:v>
      </x:c>
      <x:c r="E11" s="548" t="n">
        <x:f>COUNTIFS($B$23:$B$82,$A11,$G$23:$G$82,"未開始",$M$23:$M$82,"批次有效")+COUNTIFS($B$23:$B$82,$A11,$G$23:$G$82,"執行中",$M$23:$M$82,"批次有效")</x:f>
        <x:v>0</x:v>
      </x:c>
      <x:c r="F11" s="547" t="str">
        <x:v>資格恢復處理／資格有效性</x:v>
      </x:c>
      <x:c r="G11" s="549" t="str">
        <x:f>IF($D11=0,"系統已完成",IF($N11=0,"規劃已涵蓋",IF($M11&gt;0,"部分已規劃","未安排")))</x:f>
        <x:v>系統已完成</x:v>
      </x:c>
      <x:c r="H11" s="550" t="str">
        <x:f>IF($D11=0,"保存既有核定紀錄",IF($N11=0,"依批次負責人與期限執行原核定表",IF($M11=0,"建立第一筆核定批次","續建批次，補足 "&amp;$N11&amp;" 項未規劃量")))</x:f>
        <x:v>保存既有核定紀錄</x:v>
      </x:c>
      <x:c r="I11" s="553" t="n">
        <x:v>5</x:v>
      </x:c>
      <x:c r="J11" s="555" t="n">
        <x:f>IF($D11=0,0,ROUNDUP($D11/$I11,0))</x:f>
        <x:v>0</x:v>
      </x:c>
      <x:c r="K11" s="554" t="str">
        <x:f>IF($D11=0,"不需啟動",IF($N11=0,"已完整規劃","第 "&amp;$B11&amp;" 順序"))</x:f>
        <x:v>不需啟動</x:v>
      </x:c>
      <x:c r="L11" s="550" t="str">
        <x:v>安全停排案件優先，小批逐筆確認恢復條件</x:v>
      </x:c>
      <x:c r="M11" s="548" t="n">
        <x:f>SUMIFS($D$23:$D$82,$B$23:$B$82,$A11,$G$23:$G$82,"未開始",$M$23:$M$82,"批次有效")+SUMIFS($D$23:$D$82,$B$23:$B$82,$A11,$G$23:$G$82,"執行中",$M$23:$M$82,"批次有效")</x:f>
        <x:v>0</x:v>
      </x:c>
      <x:c r="N11" s="548" t="n">
        <x:f>IF($D11=0,0,MAX(0,$D11-$M11))</x:f>
        <x:v>0</x:v>
      </x:c>
    </x:row>
    <x:row r="12">
      <x:c r="A12" s="547" t="str">
        <x:v>AP-02</x:v>
      </x:c>
      <x:c r="B12" s="547" t="n">
        <x:v>2</x:v>
      </x:c>
      <x:c r="C12" s="547" t="str">
        <x:v>未建立必要資格</x:v>
      </x:c>
      <x:c r="D12" s="548" t="n">
        <x:f>'主管工作台'!$B$17</x:f>
        <x:v>29</x:v>
      </x:c>
      <x:c r="E12" s="548" t="n">
        <x:f>COUNTIFS($B$23:$B$82,$A12,$G$23:$G$82,"未開始",$M$23:$M$82,"批次有效")+COUNTIFS($B$23:$B$82,$A12,$G$23:$G$82,"執行中",$M$23:$M$82,"批次有效")</x:f>
        <x:v>0</x:v>
      </x:c>
      <x:c r="F12" s="547" t="str">
        <x:v>考核紀錄輸入／主管核定中心</x:v>
      </x:c>
      <x:c r="G12" s="549" t="str">
        <x:f>IF($D12=0,"系統已完成",IF($N12=0,"規劃已涵蓋",IF($M12&gt;0,"部分已規劃","未安排")))</x:f>
        <x:v>未安排</x:v>
      </x:c>
      <x:c r="H12" s="550" t="str">
        <x:f>IF($D12=0,"保存既有核定紀錄",IF($N12=0,"依批次負責人與期限執行原核定表",IF($M12=0,"建立第一筆核定批次","續建批次，補足 "&amp;$N12&amp;" 項未規劃量")))</x:f>
        <x:v>建立第一筆核定批次</x:v>
      </x:c>
      <x:c r="I12" s="553" t="n">
        <x:v>10</x:v>
      </x:c>
      <x:c r="J12" s="555" t="n">
        <x:f>IF($D12=0,0,ROUNDUP($D12/$I12,0))</x:f>
        <x:v>3</x:v>
      </x:c>
      <x:c r="K12" s="554" t="str">
        <x:f>IF($D12=0,"不需啟動",IF($N12=0,"已完整規劃","第 "&amp;$B12&amp;" 順序"))</x:f>
        <x:v>第 2 順序</x:v>
      </x:c>
      <x:c r="L12" s="550" t="str">
        <x:v>先以十項驗證考核與資格流程，再延續後續批次</x:v>
      </x:c>
      <x:c r="M12" s="548" t="n">
        <x:f>SUMIFS($D$23:$D$82,$B$23:$B$82,$A12,$G$23:$G$82,"未開始",$M$23:$M$82,"批次有效")+SUMIFS($D$23:$D$82,$B$23:$B$82,$A12,$G$23:$G$82,"執行中",$M$23:$M$82,"批次有效")</x:f>
        <x:v>0</x:v>
      </x:c>
      <x:c r="N12" s="548" t="n">
        <x:f>IF($D12=0,0,MAX(0,$D12-$M12))</x:f>
        <x:v>29</x:v>
      </x:c>
    </x:row>
    <x:row r="13">
      <x:c r="A13" s="547" t="str">
        <x:v>AP-03</x:v>
      </x:c>
      <x:c r="B13" s="547" t="n">
        <x:v>3</x:v>
      </x:c>
      <x:c r="C13" s="547" t="str">
        <x:v>支援者資格核定</x:v>
      </x:c>
      <x:c r="D13" s="548" t="n">
        <x:f>'主管工作台'!$B$24</x:f>
        <x:v>182</x:v>
      </x:c>
      <x:c r="E13" s="548" t="n">
        <x:f>COUNTIFS($B$23:$B$82,$A13,$G$23:$G$82,"未開始",$M$23:$M$82,"批次有效")+COUNTIFS($B$23:$B$82,$A13,$G$23:$G$82,"執行中",$M$23:$M$82,"批次有效")</x:f>
        <x:v>0</x:v>
      </x:c>
      <x:c r="F13" s="547" t="str">
        <x:v>支援者資格核定</x:v>
      </x:c>
      <x:c r="G13" s="549" t="str">
        <x:f>IF($D13=0,"系統已完成",IF($N13=0,"規劃已涵蓋",IF($M13&gt;0,"部分已規劃","未安排")))</x:f>
        <x:v>未安排</x:v>
      </x:c>
      <x:c r="H13" s="550" t="str">
        <x:f>IF($D13=0,"保存既有核定紀錄",IF($N13=0,"依批次負責人與期限執行原核定表",IF($M13=0,"建立第一筆核定批次","續建批次，補足 "&amp;$N13&amp;" 項未規劃量")))</x:f>
        <x:v>建立第一筆核定批次</x:v>
      </x:c>
      <x:c r="I13" s="553" t="n">
        <x:v>25</x:v>
      </x:c>
      <x:c r="J13" s="555" t="n">
        <x:f>IF($D13=0,0,ROUNDUP($D13/$I13,0))</x:f>
        <x:v>8</x:v>
      </x:c>
      <x:c r="K13" s="554" t="str">
        <x:f>IF($D13=0,"不需啟動",IF($N13=0,"已完整規劃","第 "&amp;$B13&amp;" 順序"))</x:f>
        <x:v>第 3 順序</x:v>
      </x:c>
      <x:c r="L13" s="550" t="str">
        <x:v>支援資格需核對類型與生效資料，建議每批二十五項</x:v>
      </x:c>
      <x:c r="M13" s="548" t="n">
        <x:f>SUMIFS($D$23:$D$82,$B$23:$B$82,$A13,$G$23:$G$82,"未開始",$M$23:$M$82,"批次有效")+SUMIFS($D$23:$D$82,$B$23:$B$82,$A13,$G$23:$G$82,"執行中",$M$23:$M$82,"批次有效")</x:f>
        <x:v>0</x:v>
      </x:c>
      <x:c r="N13" s="548" t="n">
        <x:f>IF($D13=0,0,MAX(0,$D13-$M13))</x:f>
        <x:v>182</x:v>
      </x:c>
    </x:row>
    <x:row r="14">
      <x:c r="A14" s="547" t="str">
        <x:v>AP-04</x:v>
      </x:c>
      <x:c r="B14" s="547" t="n">
        <x:v>4</x:v>
      </x:c>
      <x:c r="C14" s="547" t="str">
        <x:v>初始能力、熟悉度、要求與資格</x:v>
      </x:c>
      <x:c r="D14" s="548" t="n">
        <x:f>'主管工作台'!$A$7</x:f>
        <x:v>361</x:v>
      </x:c>
      <x:c r="E14" s="548" t="n">
        <x:f>COUNTIFS($B$23:$B$82,$A14,$G$23:$G$82,"未開始",$M$23:$M$82,"批次有效")+COUNTIFS($B$23:$B$82,$A14,$G$23:$G$82,"執行中",$M$23:$M$82,"批次有效")</x:f>
        <x:v>0</x:v>
      </x:c>
      <x:c r="F14" s="547" t="str">
        <x:v>主管核定中心</x:v>
      </x:c>
      <x:c r="G14" s="549" t="str">
        <x:f>IF($D14=0,"系統已完成",IF($N14=0,"規劃已涵蓋",IF($M14&gt;0,"部分已規劃","未安排")))</x:f>
        <x:v>未安排</x:v>
      </x:c>
      <x:c r="H14" s="550" t="str">
        <x:f>IF($D14=0,"保存既有核定紀錄",IF($N14=0,"依批次負責人與期限執行原核定表",IF($M14=0,"建立第一筆核定批次","續建批次，補足 "&amp;$N14&amp;" 項未規劃量")))</x:f>
        <x:v>建立第一筆核定批次</x:v>
      </x:c>
      <x:c r="I14" s="553" t="n">
        <x:v>30</x:v>
      </x:c>
      <x:c r="J14" s="555" t="n">
        <x:f>IF($D14=0,0,ROUNDUP($D14/$I14,0))</x:f>
        <x:v>13</x:v>
      </x:c>
      <x:c r="K14" s="554" t="str">
        <x:f>IF($D14=0,"不需啟動",IF($N14=0,"已完整規劃","第 "&amp;$B14&amp;" 順序"))</x:f>
        <x:v>第 4 順序</x:v>
      </x:c>
      <x:c r="L14" s="550" t="str">
        <x:v>工作量最大，建議每批三十項並固定抽查範圍</x:v>
      </x:c>
      <x:c r="M14" s="548" t="n">
        <x:f>SUMIFS($D$23:$D$82,$B$23:$B$82,$A14,$G$23:$G$82,"未開始",$M$23:$M$82,"批次有效")+SUMIFS($D$23:$D$82,$B$23:$B$82,$A14,$G$23:$G$82,"執行中",$M$23:$M$82,"批次有效")</x:f>
        <x:v>0</x:v>
      </x:c>
      <x:c r="N14" s="548" t="n">
        <x:f>IF($D14=0,0,MAX(0,$D14-$M14))</x:f>
        <x:v>361</x:v>
      </x:c>
    </x:row>
    <x:row r="15">
      <x:c r="A15" s="547" t="str">
        <x:v>AP-05</x:v>
      </x:c>
      <x:c r="B15" s="547" t="n">
        <x:v>5</x:v>
      </x:c>
      <x:c r="C15" s="547" t="str">
        <x:v>七類檢核表內容與版本</x:v>
      </x:c>
      <x:c r="D15" s="548" t="n">
        <x:f>'主管工作台'!$B$27</x:f>
        <x:v>7</x:v>
      </x:c>
      <x:c r="E15" s="548" t="n">
        <x:f>COUNTIFS($B$23:$B$82,$A15,$G$23:$G$82,"未開始",$M$23:$M$82,"批次有效")+COUNTIFS($B$23:$B$82,$A15,$G$23:$G$82,"執行中",$M$23:$M$82,"批次有效")</x:f>
        <x:v>0</x:v>
      </x:c>
      <x:c r="F15" s="547" t="str">
        <x:v>檢核表項目輸入／檢核表版本</x:v>
      </x:c>
      <x:c r="G15" s="549" t="str">
        <x:f>IF($D15=0,"系統已完成",IF($N15=0,"規劃已涵蓋",IF($M15&gt;0,"部分已規劃","未安排")))</x:f>
        <x:v>未安排</x:v>
      </x:c>
      <x:c r="H15" s="550" t="str">
        <x:f>IF($D15=0,"保存既有核定紀錄",IF($N15=0,"依批次負責人與期限執行原核定表",IF($M15=0,"建立第一筆核定批次","續建批次，補足 "&amp;$N15&amp;" 項未規劃量")))</x:f>
        <x:v>建立第一筆核定批次</x:v>
      </x:c>
      <x:c r="I15" s="553" t="n">
        <x:v>1</x:v>
      </x:c>
      <x:c r="J15" s="555" t="n">
        <x:f>IF($D15=0,0,ROUNDUP($D15/$I15,0))</x:f>
        <x:v>7</x:v>
      </x:c>
      <x:c r="K15" s="554" t="str">
        <x:f>IF($D15=0,"不需啟動",IF($N15=0,"已完整規劃","第 "&amp;$B15&amp;" 順序"))</x:f>
        <x:v>第 5 順序</x:v>
      </x:c>
      <x:c r="L15" s="550" t="str">
        <x:v>七類檢核表各自核定，建議每一類獨立一批</x:v>
      </x:c>
      <x:c r="M15" s="548" t="n">
        <x:f>SUMIFS($D$23:$D$82,$B$23:$B$82,$A15,$G$23:$G$82,"未開始",$M$23:$M$82,"批次有效")+SUMIFS($D$23:$D$82,$B$23:$B$82,$A15,$G$23:$G$82,"執行中",$M$23:$M$82,"批次有效")</x:f>
        <x:v>0</x:v>
      </x:c>
      <x:c r="N15" s="548" t="n">
        <x:f>IF($D15=0,0,MAX(0,$D15-$M15))</x:f>
        <x:v>7</x:v>
      </x:c>
    </x:row>
    <x:row r="16">
      <x:c r="A16" s="547" t="str">
        <x:v>AP-06</x:v>
      </x:c>
      <x:c r="B16" s="547" t="n">
        <x:v>6</x:v>
      </x:c>
      <x:c r="C16" s="547" t="str">
        <x:v>員工治理核定</x:v>
      </x:c>
      <x:c r="D16" s="548" t="n">
        <x:f>'主管工作台'!$B$25</x:f>
        <x:v>14</x:v>
      </x:c>
      <x:c r="E16" s="548" t="n">
        <x:f>COUNTIFS($B$23:$B$82,$A16,$G$23:$G$82,"未開始",$M$23:$M$82,"批次有效")+COUNTIFS($B$23:$B$82,$A16,$G$23:$G$82,"執行中",$M$23:$M$82,"批次有效")</x:f>
        <x:v>0</x:v>
      </x:c>
      <x:c r="F16" s="547" t="str">
        <x:v>員工治理核定</x:v>
      </x:c>
      <x:c r="G16" s="549" t="str">
        <x:f>IF($D16=0,"系統已完成",IF($N16=0,"規劃已涵蓋",IF($M16&gt;0,"部分已規劃","未安排")))</x:f>
        <x:v>未安排</x:v>
      </x:c>
      <x:c r="H16" s="550" t="str">
        <x:f>IF($D16=0,"保存既有核定紀錄",IF($N16=0,"依批次負責人與期限執行原核定表",IF($M16=0,"建立第一筆核定批次","續建批次，補足 "&amp;$N16&amp;" 項未規劃量")))</x:f>
        <x:v>建立第一筆核定批次</x:v>
      </x:c>
      <x:c r="I16" s="553" t="n">
        <x:v>7</x:v>
      </x:c>
      <x:c r="J16" s="555" t="n">
        <x:f>IF($D16=0,0,ROUNDUP($D16/$I16,0))</x:f>
        <x:v>2</x:v>
      </x:c>
      <x:c r="K16" s="554" t="str">
        <x:f>IF($D16=0,"不需啟動",IF($N16=0,"已完整規劃","第 "&amp;$B16&amp;" 順序"))</x:f>
        <x:v>第 6 順序</x:v>
      </x:c>
      <x:c r="L16" s="550" t="str">
        <x:v>依員工小組分批，建議每批七人</x:v>
      </x:c>
      <x:c r="M16" s="548" t="n">
        <x:f>SUMIFS($D$23:$D$82,$B$23:$B$82,$A16,$G$23:$G$82,"未開始",$M$23:$M$82,"批次有效")+SUMIFS($D$23:$D$82,$B$23:$B$82,$A16,$G$23:$G$82,"執行中",$M$23:$M$82,"批次有效")</x:f>
        <x:v>0</x:v>
      </x:c>
      <x:c r="N16" s="548" t="n">
        <x:f>IF($D16=0,0,MAX(0,$D16-$M16))</x:f>
        <x:v>14</x:v>
      </x:c>
    </x:row>
    <x:row r="17">
      <x:c r="A17" s="547" t="str">
        <x:v>AP-07</x:v>
      </x:c>
      <x:c r="B17" s="547" t="n">
        <x:v>7</x:v>
      </x:c>
      <x:c r="C17" s="547" t="str">
        <x:v>技能名稱對照</x:v>
      </x:c>
      <x:c r="D17" s="548" t="n">
        <x:f>'主管工作台'!$B$26</x:f>
        <x:v>117</x:v>
      </x:c>
      <x:c r="E17" s="548" t="n">
        <x:f>COUNTIFS($B$23:$B$82,$A17,$G$23:$G$82,"未開始",$M$23:$M$82,"批次有效")+COUNTIFS($B$23:$B$82,$A17,$G$23:$G$82,"執行中",$M$23:$M$82,"批次有效")</x:f>
        <x:v>0</x:v>
      </x:c>
      <x:c r="F17" s="547" t="str">
        <x:v>技能名稱對照</x:v>
      </x:c>
      <x:c r="G17" s="549" t="str">
        <x:f>IF($D17=0,"系統已完成",IF($N17=0,"規劃已涵蓋",IF($M17&gt;0,"部分已規劃","未安排")))</x:f>
        <x:v>未安排</x:v>
      </x:c>
      <x:c r="H17" s="550" t="str">
        <x:f>IF($D17=0,"保存既有核定紀錄",IF($N17=0,"依批次負責人與期限執行原核定表",IF($M17=0,"建立第一筆核定批次","續建批次，補足 "&amp;$N17&amp;" 項未規劃量")))</x:f>
        <x:v>建立第一筆核定批次</x:v>
      </x:c>
      <x:c r="I17" s="553" t="n">
        <x:v>25</x:v>
      </x:c>
      <x:c r="J17" s="555" t="n">
        <x:f>IF($D17=0,0,ROUNDUP($D17/$I17,0))</x:f>
        <x:v>5</x:v>
      </x:c>
      <x:c r="K17" s="554" t="str">
        <x:f>IF($D17=0,"不需啟動",IF($N17=0,"已完整規劃","第 "&amp;$B17&amp;" 順序"))</x:f>
        <x:v>第 7 順序</x:v>
      </x:c>
      <x:c r="L17" s="550" t="str">
        <x:v>名稱對照可批量覆核；複合項目仍須逐項拆分</x:v>
      </x:c>
      <x:c r="M17" s="548" t="n">
        <x:f>SUMIFS($D$23:$D$82,$B$23:$B$82,$A17,$G$23:$G$82,"未開始",$M$23:$M$82,"批次有效")+SUMIFS($D$23:$D$82,$B$23:$B$82,$A17,$G$23:$G$82,"執行中",$M$23:$M$82,"批次有效")</x:f>
        <x:v>0</x:v>
      </x:c>
      <x:c r="N17" s="548" t="n">
        <x:f>IF($D17=0,0,MAX(0,$D17-$M17))</x:f>
        <x:v>117</x:v>
      </x:c>
    </x:row>
    <x:row r="18">
      <x:c r="A18" s="547" t="str">
        <x:v>AP-08</x:v>
      </x:c>
      <x:c r="B18" s="547" t="n">
        <x:v>8</x:v>
      </x:c>
      <x:c r="C18" s="547" t="str">
        <x:v>能力升級候選</x:v>
      </x:c>
      <x:c r="D18" s="548" t="n">
        <x:f>'主管工作台'!$J$7</x:f>
        <x:v>0</x:v>
      </x:c>
      <x:c r="E18" s="548" t="n">
        <x:f>COUNTIFS($B$23:$B$82,$A18,$G$23:$G$82,"未開始",$M$23:$M$82,"批次有效")+COUNTIFS($B$23:$B$82,$A18,$G$23:$G$82,"執行中",$M$23:$M$82,"批次有效")</x:f>
        <x:v>0</x:v>
      </x:c>
      <x:c r="F18" s="547" t="str">
        <x:v>能力升級候選</x:v>
      </x:c>
      <x:c r="G18" s="549" t="str">
        <x:f>IF($D18=0,"系統已完成",IF($N18=0,"規劃已涵蓋",IF($M18&gt;0,"部分已規劃","未安排")))</x:f>
        <x:v>系統已完成</x:v>
      </x:c>
      <x:c r="H18" s="550" t="str">
        <x:f>IF($D18=0,"保存既有核定紀錄",IF($N18=0,"依批次負責人與期限執行原核定表",IF($M18=0,"建立第一筆核定批次","續建批次，補足 "&amp;$N18&amp;" 項未規劃量")))</x:f>
        <x:v>保存既有核定紀錄</x:v>
      </x:c>
      <x:c r="I18" s="553" t="n">
        <x:v>5</x:v>
      </x:c>
      <x:c r="J18" s="555" t="n">
        <x:f>IF($D18=0,0,ROUNDUP($D18/$I18,0))</x:f>
        <x:v>0</x:v>
      </x:c>
      <x:c r="K18" s="554" t="str">
        <x:f>IF($D18=0,"不需啟動",IF($N18=0,"已完整規劃","第 "&amp;$B18&amp;" 順序"))</x:f>
        <x:v>不需啟動</x:v>
      </x:c>
      <x:c r="L18" s="550" t="str">
        <x:v>有候選時採小批處理，保留觀察與面談證據</x:v>
      </x:c>
      <x:c r="M18" s="548" t="n">
        <x:f>SUMIFS($D$23:$D$82,$B$23:$B$82,$A18,$G$23:$G$82,"未開始",$M$23:$M$82,"批次有效")+SUMIFS($D$23:$D$82,$B$23:$B$82,$A18,$G$23:$G$82,"執行中",$M$23:$M$82,"批次有效")</x:f>
        <x:v>0</x:v>
      </x:c>
      <x:c r="N18" s="548" t="n">
        <x:f>IF($D18=0,0,MAX(0,$D18-$M18))</x:f>
        <x:v>0</x:v>
      </x:c>
    </x:row>
    <x:row r="19">
      <x:c r="A19" s="454" t="str">
        <x:v>建議單批量可由主管調整。建議批數依目前工作流待辦計算；不同工作流可能對應同一人。有效規劃量只計入資料完整且未開始或執行中的批次，各批範圍不得重疊。</x:v>
      </x:c>
      <x:c r="B19" s="454"/>
      <x:c r="C19" s="454"/>
      <x:c r="D19" s="454"/>
      <x:c r="E19" s="454"/>
      <x:c r="F19" s="454"/>
      <x:c r="G19" s="454"/>
      <x:c r="H19" s="454"/>
      <x:c r="I19" s="454"/>
      <x:c r="J19" s="454"/>
      <x:c r="K19" s="454"/>
      <x:c r="L19" s="454"/>
      <x:c r="M19" s="454"/>
      <x:c r="N19" s="454"/>
    </x:row>
    <x:row r="21">
      <x:c r="A21" s="558" t="str">
        <x:v>核定批次紀錄</x:v>
      </x:c>
      <x:c r="B21" s="558"/>
      <x:c r="C21" s="558"/>
      <x:c r="D21" s="558"/>
      <x:c r="E21" s="558"/>
      <x:c r="F21" s="558"/>
      <x:c r="G21" s="558"/>
      <x:c r="H21" s="558"/>
      <x:c r="I21" s="558"/>
      <x:c r="J21" s="558"/>
      <x:c r="K21" s="558"/>
      <x:c r="L21" s="558"/>
      <x:c r="M21" s="558"/>
      <x:c r="N21" s="558"/>
      <x:c r="O21" s="558"/>
      <x:c r="P21" s="558"/>
    </x:row>
    <x:row r="22">
      <x:c r="A22" s="560" t="str">
        <x:v>批次編號</x:v>
      </x:c>
      <x:c r="B22" s="560" t="str">
        <x:v>工作流代碼</x:v>
      </x:c>
      <x:c r="C22" s="560" t="str">
        <x:v>核定工作流</x:v>
      </x:c>
      <x:c r="D22" s="560" t="str">
        <x:v>預計處理量</x:v>
      </x:c>
      <x:c r="E22" s="560" t="str">
        <x:v>批次負責人</x:v>
      </x:c>
      <x:c r="F22" s="560" t="str">
        <x:v>預計完成日</x:v>
      </x:c>
      <x:c r="G22" s="560" t="str">
        <x:v>批次狀態</x:v>
      </x:c>
      <x:c r="H22" s="560" t="str">
        <x:v>完成日</x:v>
      </x:c>
      <x:c r="I22" s="560" t="str">
        <x:v>實際完成量</x:v>
      </x:c>
      <x:c r="J22" s="560" t="str">
        <x:v>複核人</x:v>
      </x:c>
      <x:c r="K22" s="560" t="str">
        <x:v>批次範圍／項目</x:v>
      </x:c>
      <x:c r="L22" s="560" t="str">
        <x:v>建立時待辦</x:v>
      </x:c>
      <x:c r="M22" s="560" t="str">
        <x:v>批次檢核</x:v>
      </x:c>
      <x:c r="N22" s="560" t="str">
        <x:v>下一步</x:v>
      </x:c>
      <x:c r="O22" s="560" t="str">
        <x:v>批量提示</x:v>
      </x:c>
      <x:c r="P22" s="560" t="str">
        <x:v>備註</x:v>
      </x:c>
    </x:row>
    <x:row r="23">
      <x:c r="A23" s="549"/>
      <x:c r="B23" s="549"/>
      <x:c r="C23" s="554" t="str">
        <x:f>IF($B23="","",_xlfn.XLOOKUP($B23,$A$11:$A$18,$C$11:$C$18,"工作流未建立",0))</x:f>
      </x:c>
      <x:c r="D23" s="566"/>
      <x:c r="E23" s="549"/>
      <x:c r="F23" s="567"/>
      <x:c r="G23" s="549"/>
      <x:c r="H23" s="567"/>
      <x:c r="I23" s="566"/>
      <x:c r="J23" s="549"/>
      <x:c r="K23" s="549"/>
      <x:c r="L23" s="566"/>
      <x:c r="M23" s="554" t="str">
        <x:f>IF($A23="","",IF(COUNTIFS($A$23:$A$82,$A23)&gt;1,"批次編號重複",IF(OR($B23="",$D23="",$E23="",$F23="",$G23="",$K23="",$L23=""),"待補批次資料",IF($D23&lt;=0,"處理量需大於 0",IF($D23&gt;$L23,"處理量超過建立時待辦",IF($G23="已完成",IF(OR($H23="",$I23="",$J23=""),"待補完成證據","批次有效"),IF(OR($H23&lt;&gt;"",$I23&lt;&gt;"",$J23&lt;&gt;""),"完成證據與狀態不一致","批次有效")))))))</x:f>
      </x:c>
      <x:c r="N23" s="554" t="str">
        <x:f>IF($A23="","",IF($M23="批次有效",IF($G23="已完成","回到工作流摘要確認剩餘待辦","依期限到原核定表逐筆處理"),IF($M23="批次編號重複","更換批次編號",IF($M23="待補完成證據","補填完成日、實際完成量與複核人","依批次檢核補齊或修正資料"))))</x:f>
      </x:c>
      <x:c r="O23" s="554" t="str">
        <x:f>IF($A23="","",IF($M23&lt;&gt;"批次有效","先完成批次檢核",IF($D23&gt;_xlfn.XLOOKUP($B23,$A$11:$A$18,$I$11:$I$18,0,0),"高於建議單批量","在建議單批量內")))</x:f>
      </x:c>
      <x:c r="P23" s="549"/>
    </x:row>
    <x:row r="24">
      <x:c r="A24" s="549"/>
      <x:c r="B24" s="549"/>
      <x:c r="C24" s="554" t="str">
        <x:f>IF($B24="","",_xlfn.XLOOKUP($B24,$A$11:$A$18,$C$11:$C$18,"工作流未建立",0))</x:f>
      </x:c>
      <x:c r="D24" s="566"/>
      <x:c r="E24" s="549"/>
      <x:c r="F24" s="567"/>
      <x:c r="G24" s="549"/>
      <x:c r="H24" s="567"/>
      <x:c r="I24" s="566"/>
      <x:c r="J24" s="549"/>
      <x:c r="K24" s="549"/>
      <x:c r="L24" s="566"/>
      <x:c r="M24" s="554" t="str">
        <x:f>IF($A24="","",IF(COUNTIFS($A$23:$A$82,$A24)&gt;1,"批次編號重複",IF(OR($B24="",$D24="",$E24="",$F24="",$G24="",$K24="",$L24=""),"待補批次資料",IF($D24&lt;=0,"處理量需大於 0",IF($D24&gt;$L24,"處理量超過建立時待辦",IF($G24="已完成",IF(OR($H24="",$I24="",$J24=""),"待補完成證據","批次有效"),IF(OR($H24&lt;&gt;"",$I24&lt;&gt;"",$J24&lt;&gt;""),"完成證據與狀態不一致","批次有效")))))))</x:f>
      </x:c>
      <x:c r="N24" s="554" t="str">
        <x:f>IF($A24="","",IF($M24="批次有效",IF($G24="已完成","回到工作流摘要確認剩餘待辦","依期限到原核定表逐筆處理"),IF($M24="批次編號重複","更換批次編號",IF($M24="待補完成證據","補填完成日、實際完成量與複核人","依批次檢核補齊或修正資料"))))</x:f>
      </x:c>
      <x:c r="O24" s="554" t="str">
        <x:f>IF($A24="","",IF($M24&lt;&gt;"批次有效","先完成批次檢核",IF($D24&gt;_xlfn.XLOOKUP($B24,$A$11:$A$18,$I$11:$I$18,0,0),"高於建議單批量","在建議單批量內")))</x:f>
      </x:c>
      <x:c r="P24" s="549"/>
    </x:row>
    <x:row r="25">
      <x:c r="A25" s="549"/>
      <x:c r="B25" s="549"/>
      <x:c r="C25" s="554" t="str">
        <x:f>IF($B25="","",_xlfn.XLOOKUP($B25,$A$11:$A$18,$C$11:$C$18,"工作流未建立",0))</x:f>
      </x:c>
      <x:c r="D25" s="566"/>
      <x:c r="E25" s="549"/>
      <x:c r="F25" s="567"/>
      <x:c r="G25" s="549"/>
      <x:c r="H25" s="567"/>
      <x:c r="I25" s="566"/>
      <x:c r="J25" s="549"/>
      <x:c r="K25" s="549"/>
      <x:c r="L25" s="566"/>
      <x:c r="M25" s="554" t="str">
        <x:f>IF($A25="","",IF(COUNTIFS($A$23:$A$82,$A25)&gt;1,"批次編號重複",IF(OR($B25="",$D25="",$E25="",$F25="",$G25="",$K25="",$L25=""),"待補批次資料",IF($D25&lt;=0,"處理量需大於 0",IF($D25&gt;$L25,"處理量超過建立時待辦",IF($G25="已完成",IF(OR($H25="",$I25="",$J25=""),"待補完成證據","批次有效"),IF(OR($H25&lt;&gt;"",$I25&lt;&gt;"",$J25&lt;&gt;""),"完成證據與狀態不一致","批次有效")))))))</x:f>
      </x:c>
      <x:c r="N25" s="554" t="str">
        <x:f>IF($A25="","",IF($M25="批次有效",IF($G25="已完成","回到工作流摘要確認剩餘待辦","依期限到原核定表逐筆處理"),IF($M25="批次編號重複","更換批次編號",IF($M25="待補完成證據","補填完成日、實際完成量與複核人","依批次檢核補齊或修正資料"))))</x:f>
      </x:c>
      <x:c r="O25" s="554" t="str">
        <x:f>IF($A25="","",IF($M25&lt;&gt;"批次有效","先完成批次檢核",IF($D25&gt;_xlfn.XLOOKUP($B25,$A$11:$A$18,$I$11:$I$18,0,0),"高於建議單批量","在建議單批量內")))</x:f>
      </x:c>
      <x:c r="P25" s="549"/>
    </x:row>
    <x:row r="26">
      <x:c r="A26" s="549"/>
      <x:c r="B26" s="549"/>
      <x:c r="C26" s="554" t="str">
        <x:f>IF($B26="","",_xlfn.XLOOKUP($B26,$A$11:$A$18,$C$11:$C$18,"工作流未建立",0))</x:f>
      </x:c>
      <x:c r="D26" s="566"/>
      <x:c r="E26" s="549"/>
      <x:c r="F26" s="567"/>
      <x:c r="G26" s="549"/>
      <x:c r="H26" s="567"/>
      <x:c r="I26" s="566"/>
      <x:c r="J26" s="549"/>
      <x:c r="K26" s="549"/>
      <x:c r="L26" s="566"/>
      <x:c r="M26" s="554" t="str">
        <x:f>IF($A26="","",IF(COUNTIFS($A$23:$A$82,$A26)&gt;1,"批次編號重複",IF(OR($B26="",$D26="",$E26="",$F26="",$G26="",$K26="",$L26=""),"待補批次資料",IF($D26&lt;=0,"處理量需大於 0",IF($D26&gt;$L26,"處理量超過建立時待辦",IF($G26="已完成",IF(OR($H26="",$I26="",$J26=""),"待補完成證據","批次有效"),IF(OR($H26&lt;&gt;"",$I26&lt;&gt;"",$J26&lt;&gt;""),"完成證據與狀態不一致","批次有效")))))))</x:f>
      </x:c>
      <x:c r="N26" s="554" t="str">
        <x:f>IF($A26="","",IF($M26="批次有效",IF($G26="已完成","回到工作流摘要確認剩餘待辦","依期限到原核定表逐筆處理"),IF($M26="批次編號重複","更換批次編號",IF($M26="待補完成證據","補填完成日、實際完成量與複核人","依批次檢核補齊或修正資料"))))</x:f>
      </x:c>
      <x:c r="O26" s="554" t="str">
        <x:f>IF($A26="","",IF($M26&lt;&gt;"批次有效","先完成批次檢核",IF($D26&gt;_xlfn.XLOOKUP($B26,$A$11:$A$18,$I$11:$I$18,0,0),"高於建議單批量","在建議單批量內")))</x:f>
      </x:c>
      <x:c r="P26" s="549"/>
    </x:row>
    <x:row r="27">
      <x:c r="A27" s="549"/>
      <x:c r="B27" s="549"/>
      <x:c r="C27" s="554" t="str">
        <x:f>IF($B27="","",_xlfn.XLOOKUP($B27,$A$11:$A$18,$C$11:$C$18,"工作流未建立",0))</x:f>
      </x:c>
      <x:c r="D27" s="566"/>
      <x:c r="E27" s="549"/>
      <x:c r="F27" s="567"/>
      <x:c r="G27" s="549"/>
      <x:c r="H27" s="567"/>
      <x:c r="I27" s="566"/>
      <x:c r="J27" s="549"/>
      <x:c r="K27" s="549"/>
      <x:c r="L27" s="566"/>
      <x:c r="M27" s="554" t="str">
        <x:f>IF($A27="","",IF(COUNTIFS($A$23:$A$82,$A27)&gt;1,"批次編號重複",IF(OR($B27="",$D27="",$E27="",$F27="",$G27="",$K27="",$L27=""),"待補批次資料",IF($D27&lt;=0,"處理量需大於 0",IF($D27&gt;$L27,"處理量超過建立時待辦",IF($G27="已完成",IF(OR($H27="",$I27="",$J27=""),"待補完成證據","批次有效"),IF(OR($H27&lt;&gt;"",$I27&lt;&gt;"",$J27&lt;&gt;""),"完成證據與狀態不一致","批次有效")))))))</x:f>
      </x:c>
      <x:c r="N27" s="554" t="str">
        <x:f>IF($A27="","",IF($M27="批次有效",IF($G27="已完成","回到工作流摘要確認剩餘待辦","依期限到原核定表逐筆處理"),IF($M27="批次編號重複","更換批次編號",IF($M27="待補完成證據","補填完成日、實際完成量與複核人","依批次檢核補齊或修正資料"))))</x:f>
      </x:c>
      <x:c r="O27" s="554" t="str">
        <x:f>IF($A27="","",IF($M27&lt;&gt;"批次有效","先完成批次檢核",IF($D27&gt;_xlfn.XLOOKUP($B27,$A$11:$A$18,$I$11:$I$18,0,0),"高於建議單批量","在建議單批量內")))</x:f>
      </x:c>
      <x:c r="P27" s="549"/>
    </x:row>
    <x:row r="28">
      <x:c r="A28" s="549"/>
      <x:c r="B28" s="549"/>
      <x:c r="C28" s="554" t="str">
        <x:f>IF($B28="","",_xlfn.XLOOKUP($B28,$A$11:$A$18,$C$11:$C$18,"工作流未建立",0))</x:f>
      </x:c>
      <x:c r="D28" s="566"/>
      <x:c r="E28" s="549"/>
      <x:c r="F28" s="567"/>
      <x:c r="G28" s="549"/>
      <x:c r="H28" s="567"/>
      <x:c r="I28" s="566"/>
      <x:c r="J28" s="549"/>
      <x:c r="K28" s="549"/>
      <x:c r="L28" s="566"/>
      <x:c r="M28" s="554" t="str">
        <x:f>IF($A28="","",IF(COUNTIFS($A$23:$A$82,$A28)&gt;1,"批次編號重複",IF(OR($B28="",$D28="",$E28="",$F28="",$G28="",$K28="",$L28=""),"待補批次資料",IF($D28&lt;=0,"處理量需大於 0",IF($D28&gt;$L28,"處理量超過建立時待辦",IF($G28="已完成",IF(OR($H28="",$I28="",$J28=""),"待補完成證據","批次有效"),IF(OR($H28&lt;&gt;"",$I28&lt;&gt;"",$J28&lt;&gt;""),"完成證據與狀態不一致","批次有效")))))))</x:f>
      </x:c>
      <x:c r="N28" s="554" t="str">
        <x:f>IF($A28="","",IF($M28="批次有效",IF($G28="已完成","回到工作流摘要確認剩餘待辦","依期限到原核定表逐筆處理"),IF($M28="批次編號重複","更換批次編號",IF($M28="待補完成證據","補填完成日、實際完成量與複核人","依批次檢核補齊或修正資料"))))</x:f>
      </x:c>
      <x:c r="O28" s="554" t="str">
        <x:f>IF($A28="","",IF($M28&lt;&gt;"批次有效","先完成批次檢核",IF($D28&gt;_xlfn.XLOOKUP($B28,$A$11:$A$18,$I$11:$I$18,0,0),"高於建議單批量","在建議單批量內")))</x:f>
      </x:c>
      <x:c r="P28" s="549"/>
    </x:row>
    <x:row r="29">
      <x:c r="A29" s="549"/>
      <x:c r="B29" s="549"/>
      <x:c r="C29" s="554" t="str">
        <x:f>IF($B29="","",_xlfn.XLOOKUP($B29,$A$11:$A$18,$C$11:$C$18,"工作流未建立",0))</x:f>
      </x:c>
      <x:c r="D29" s="566"/>
      <x:c r="E29" s="549"/>
      <x:c r="F29" s="567"/>
      <x:c r="G29" s="549"/>
      <x:c r="H29" s="567"/>
      <x:c r="I29" s="566"/>
      <x:c r="J29" s="549"/>
      <x:c r="K29" s="549"/>
      <x:c r="L29" s="566"/>
      <x:c r="M29" s="554" t="str">
        <x:f>IF($A29="","",IF(COUNTIFS($A$23:$A$82,$A29)&gt;1,"批次編號重複",IF(OR($B29="",$D29="",$E29="",$F29="",$G29="",$K29="",$L29=""),"待補批次資料",IF($D29&lt;=0,"處理量需大於 0",IF($D29&gt;$L29,"處理量超過建立時待辦",IF($G29="已完成",IF(OR($H29="",$I29="",$J29=""),"待補完成證據","批次有效"),IF(OR($H29&lt;&gt;"",$I29&lt;&gt;"",$J29&lt;&gt;""),"完成證據與狀態不一致","批次有效")))))))</x:f>
      </x:c>
      <x:c r="N29" s="554" t="str">
        <x:f>IF($A29="","",IF($M29="批次有效",IF($G29="已完成","回到工作流摘要確認剩餘待辦","依期限到原核定表逐筆處理"),IF($M29="批次編號重複","更換批次編號",IF($M29="待補完成證據","補填完成日、實際完成量與複核人","依批次檢核補齊或修正資料"))))</x:f>
      </x:c>
      <x:c r="O29" s="554" t="str">
        <x:f>IF($A29="","",IF($M29&lt;&gt;"批次有效","先完成批次檢核",IF($D29&gt;_xlfn.XLOOKUP($B29,$A$11:$A$18,$I$11:$I$18,0,0),"高於建議單批量","在建議單批量內")))</x:f>
      </x:c>
      <x:c r="P29" s="549"/>
    </x:row>
    <x:row r="30">
      <x:c r="A30" s="549"/>
      <x:c r="B30" s="549"/>
      <x:c r="C30" s="554" t="str">
        <x:f>IF($B30="","",_xlfn.XLOOKUP($B30,$A$11:$A$18,$C$11:$C$18,"工作流未建立",0))</x:f>
      </x:c>
      <x:c r="D30" s="566"/>
      <x:c r="E30" s="549"/>
      <x:c r="F30" s="567"/>
      <x:c r="G30" s="549"/>
      <x:c r="H30" s="567"/>
      <x:c r="I30" s="566"/>
      <x:c r="J30" s="549"/>
      <x:c r="K30" s="549"/>
      <x:c r="L30" s="566"/>
      <x:c r="M30" s="554" t="str">
        <x:f>IF($A30="","",IF(COUNTIFS($A$23:$A$82,$A30)&gt;1,"批次編號重複",IF(OR($B30="",$D30="",$E30="",$F30="",$G30="",$K30="",$L30=""),"待補批次資料",IF($D30&lt;=0,"處理量需大於 0",IF($D30&gt;$L30,"處理量超過建立時待辦",IF($G30="已完成",IF(OR($H30="",$I30="",$J30=""),"待補完成證據","批次有效"),IF(OR($H30&lt;&gt;"",$I30&lt;&gt;"",$J30&lt;&gt;""),"完成證據與狀態不一致","批次有效")))))))</x:f>
      </x:c>
      <x:c r="N30" s="554" t="str">
        <x:f>IF($A30="","",IF($M30="批次有效",IF($G30="已完成","回到工作流摘要確認剩餘待辦","依期限到原核定表逐筆處理"),IF($M30="批次編號重複","更換批次編號",IF($M30="待補完成證據","補填完成日、實際完成量與複核人","依批次檢核補齊或修正資料"))))</x:f>
      </x:c>
      <x:c r="O30" s="554" t="str">
        <x:f>IF($A30="","",IF($M30&lt;&gt;"批次有效","先完成批次檢核",IF($D30&gt;_xlfn.XLOOKUP($B30,$A$11:$A$18,$I$11:$I$18,0,0),"高於建議單批量","在建議單批量內")))</x:f>
      </x:c>
      <x:c r="P30" s="549"/>
    </x:row>
    <x:row r="31">
      <x:c r="A31" s="549"/>
      <x:c r="B31" s="549"/>
      <x:c r="C31" s="554" t="str">
        <x:f>IF($B31="","",_xlfn.XLOOKUP($B31,$A$11:$A$18,$C$11:$C$18,"工作流未建立",0))</x:f>
      </x:c>
      <x:c r="D31" s="566"/>
      <x:c r="E31" s="549"/>
      <x:c r="F31" s="567"/>
      <x:c r="G31" s="549"/>
      <x:c r="H31" s="567"/>
      <x:c r="I31" s="566"/>
      <x:c r="J31" s="549"/>
      <x:c r="K31" s="549"/>
      <x:c r="L31" s="566"/>
      <x:c r="M31" s="554" t="str">
        <x:f>IF($A31="","",IF(COUNTIFS($A$23:$A$82,$A31)&gt;1,"批次編號重複",IF(OR($B31="",$D31="",$E31="",$F31="",$G31="",$K31="",$L31=""),"待補批次資料",IF($D31&lt;=0,"處理量需大於 0",IF($D31&gt;$L31,"處理量超過建立時待辦",IF($G31="已完成",IF(OR($H31="",$I31="",$J31=""),"待補完成證據","批次有效"),IF(OR($H31&lt;&gt;"",$I31&lt;&gt;"",$J31&lt;&gt;""),"完成證據與狀態不一致","批次有效")))))))</x:f>
      </x:c>
      <x:c r="N31" s="554" t="str">
        <x:f>IF($A31="","",IF($M31="批次有效",IF($G31="已完成","回到工作流摘要確認剩餘待辦","依期限到原核定表逐筆處理"),IF($M31="批次編號重複","更換批次編號",IF($M31="待補完成證據","補填完成日、實際完成量與複核人","依批次檢核補齊或修正資料"))))</x:f>
      </x:c>
      <x:c r="O31" s="554" t="str">
        <x:f>IF($A31="","",IF($M31&lt;&gt;"批次有效","先完成批次檢核",IF($D31&gt;_xlfn.XLOOKUP($B31,$A$11:$A$18,$I$11:$I$18,0,0),"高於建議單批量","在建議單批量內")))</x:f>
      </x:c>
      <x:c r="P31" s="549"/>
    </x:row>
    <x:row r="32">
      <x:c r="A32" s="549"/>
      <x:c r="B32" s="549"/>
      <x:c r="C32" s="554" t="str">
        <x:f>IF($B32="","",_xlfn.XLOOKUP($B32,$A$11:$A$18,$C$11:$C$18,"工作流未建立",0))</x:f>
      </x:c>
      <x:c r="D32" s="566"/>
      <x:c r="E32" s="549"/>
      <x:c r="F32" s="567"/>
      <x:c r="G32" s="549"/>
      <x:c r="H32" s="567"/>
      <x:c r="I32" s="566"/>
      <x:c r="J32" s="549"/>
      <x:c r="K32" s="549"/>
      <x:c r="L32" s="566"/>
      <x:c r="M32" s="554" t="str">
        <x:f>IF($A32="","",IF(COUNTIFS($A$23:$A$82,$A32)&gt;1,"批次編號重複",IF(OR($B32="",$D32="",$E32="",$F32="",$G32="",$K32="",$L32=""),"待補批次資料",IF($D32&lt;=0,"處理量需大於 0",IF($D32&gt;$L32,"處理量超過建立時待辦",IF($G32="已完成",IF(OR($H32="",$I32="",$J32=""),"待補完成證據","批次有效"),IF(OR($H32&lt;&gt;"",$I32&lt;&gt;"",$J32&lt;&gt;""),"完成證據與狀態不一致","批次有效")))))))</x:f>
      </x:c>
      <x:c r="N32" s="554" t="str">
        <x:f>IF($A32="","",IF($M32="批次有效",IF($G32="已完成","回到工作流摘要確認剩餘待辦","依期限到原核定表逐筆處理"),IF($M32="批次編號重複","更換批次編號",IF($M32="待補完成證據","補填完成日、實際完成量與複核人","依批次檢核補齊或修正資料"))))</x:f>
      </x:c>
      <x:c r="O32" s="554" t="str">
        <x:f>IF($A32="","",IF($M32&lt;&gt;"批次有效","先完成批次檢核",IF($D32&gt;_xlfn.XLOOKUP($B32,$A$11:$A$18,$I$11:$I$18,0,0),"高於建議單批量","在建議單批量內")))</x:f>
      </x:c>
      <x:c r="P32" s="549"/>
    </x:row>
    <x:row r="33">
      <x:c r="A33" s="549"/>
      <x:c r="B33" s="549"/>
      <x:c r="C33" s="554" t="str">
        <x:f>IF($B33="","",_xlfn.XLOOKUP($B33,$A$11:$A$18,$C$11:$C$18,"工作流未建立",0))</x:f>
      </x:c>
      <x:c r="D33" s="566"/>
      <x:c r="E33" s="549"/>
      <x:c r="F33" s="567"/>
      <x:c r="G33" s="549"/>
      <x:c r="H33" s="567"/>
      <x:c r="I33" s="566"/>
      <x:c r="J33" s="549"/>
      <x:c r="K33" s="549"/>
      <x:c r="L33" s="566"/>
      <x:c r="M33" s="554" t="str">
        <x:f>IF($A33="","",IF(COUNTIFS($A$23:$A$82,$A33)&gt;1,"批次編號重複",IF(OR($B33="",$D33="",$E33="",$F33="",$G33="",$K33="",$L33=""),"待補批次資料",IF($D33&lt;=0,"處理量需大於 0",IF($D33&gt;$L33,"處理量超過建立時待辦",IF($G33="已完成",IF(OR($H33="",$I33="",$J33=""),"待補完成證據","批次有效"),IF(OR($H33&lt;&gt;"",$I33&lt;&gt;"",$J33&lt;&gt;""),"完成證據與狀態不一致","批次有效")))))))</x:f>
      </x:c>
      <x:c r="N33" s="554" t="str">
        <x:f>IF($A33="","",IF($M33="批次有效",IF($G33="已完成","回到工作流摘要確認剩餘待辦","依期限到原核定表逐筆處理"),IF($M33="批次編號重複","更換批次編號",IF($M33="待補完成證據","補填完成日、實際完成量與複核人","依批次檢核補齊或修正資料"))))</x:f>
      </x:c>
      <x:c r="O33" s="554" t="str">
        <x:f>IF($A33="","",IF($M33&lt;&gt;"批次有效","先完成批次檢核",IF($D33&gt;_xlfn.XLOOKUP($B33,$A$11:$A$18,$I$11:$I$18,0,0),"高於建議單批量","在建議單批量內")))</x:f>
      </x:c>
      <x:c r="P33" s="549"/>
    </x:row>
    <x:row r="34">
      <x:c r="A34" s="549"/>
      <x:c r="B34" s="549"/>
      <x:c r="C34" s="554" t="str">
        <x:f>IF($B34="","",_xlfn.XLOOKUP($B34,$A$11:$A$18,$C$11:$C$18,"工作流未建立",0))</x:f>
      </x:c>
      <x:c r="D34" s="566"/>
      <x:c r="E34" s="549"/>
      <x:c r="F34" s="567"/>
      <x:c r="G34" s="549"/>
      <x:c r="H34" s="567"/>
      <x:c r="I34" s="566"/>
      <x:c r="J34" s="549"/>
      <x:c r="K34" s="549"/>
      <x:c r="L34" s="566"/>
      <x:c r="M34" s="554" t="str">
        <x:f>IF($A34="","",IF(COUNTIFS($A$23:$A$82,$A34)&gt;1,"批次編號重複",IF(OR($B34="",$D34="",$E34="",$F34="",$G34="",$K34="",$L34=""),"待補批次資料",IF($D34&lt;=0,"處理量需大於 0",IF($D34&gt;$L34,"處理量超過建立時待辦",IF($G34="已完成",IF(OR($H34="",$I34="",$J34=""),"待補完成證據","批次有效"),IF(OR($H34&lt;&gt;"",$I34&lt;&gt;"",$J34&lt;&gt;""),"完成證據與狀態不一致","批次有效")))))))</x:f>
      </x:c>
      <x:c r="N34" s="554" t="str">
        <x:f>IF($A34="","",IF($M34="批次有效",IF($G34="已完成","回到工作流摘要確認剩餘待辦","依期限到原核定表逐筆處理"),IF($M34="批次編號重複","更換批次編號",IF($M34="待補完成證據","補填完成日、實際完成量與複核人","依批次檢核補齊或修正資料"))))</x:f>
      </x:c>
      <x:c r="O34" s="554" t="str">
        <x:f>IF($A34="","",IF($M34&lt;&gt;"批次有效","先完成批次檢核",IF($D34&gt;_xlfn.XLOOKUP($B34,$A$11:$A$18,$I$11:$I$18,0,0),"高於建議單批量","在建議單批量內")))</x:f>
      </x:c>
      <x:c r="P34" s="549"/>
    </x:row>
    <x:row r="35">
      <x:c r="A35" s="549"/>
      <x:c r="B35" s="549"/>
      <x:c r="C35" s="554" t="str">
        <x:f>IF($B35="","",_xlfn.XLOOKUP($B35,$A$11:$A$18,$C$11:$C$18,"工作流未建立",0))</x:f>
      </x:c>
      <x:c r="D35" s="566"/>
      <x:c r="E35" s="549"/>
      <x:c r="F35" s="567"/>
      <x:c r="G35" s="549"/>
      <x:c r="H35" s="567"/>
      <x:c r="I35" s="566"/>
      <x:c r="J35" s="549"/>
      <x:c r="K35" s="549"/>
      <x:c r="L35" s="566"/>
      <x:c r="M35" s="554" t="str">
        <x:f>IF($A35="","",IF(COUNTIFS($A$23:$A$82,$A35)&gt;1,"批次編號重複",IF(OR($B35="",$D35="",$E35="",$F35="",$G35="",$K35="",$L35=""),"待補批次資料",IF($D35&lt;=0,"處理量需大於 0",IF($D35&gt;$L35,"處理量超過建立時待辦",IF($G35="已完成",IF(OR($H35="",$I35="",$J35=""),"待補完成證據","批次有效"),IF(OR($H35&lt;&gt;"",$I35&lt;&gt;"",$J35&lt;&gt;""),"完成證據與狀態不一致","批次有效")))))))</x:f>
      </x:c>
      <x:c r="N35" s="554" t="str">
        <x:f>IF($A35="","",IF($M35="批次有效",IF($G35="已完成","回到工作流摘要確認剩餘待辦","依期限到原核定表逐筆處理"),IF($M35="批次編號重複","更換批次編號",IF($M35="待補完成證據","補填完成日、實際完成量與複核人","依批次檢核補齊或修正資料"))))</x:f>
      </x:c>
      <x:c r="O35" s="554" t="str">
        <x:f>IF($A35="","",IF($M35&lt;&gt;"批次有效","先完成批次檢核",IF($D35&gt;_xlfn.XLOOKUP($B35,$A$11:$A$18,$I$11:$I$18,0,0),"高於建議單批量","在建議單批量內")))</x:f>
      </x:c>
      <x:c r="P35" s="549"/>
    </x:row>
    <x:row r="36">
      <x:c r="A36" s="549"/>
      <x:c r="B36" s="549"/>
      <x:c r="C36" s="554" t="str">
        <x:f>IF($B36="","",_xlfn.XLOOKUP($B36,$A$11:$A$18,$C$11:$C$18,"工作流未建立",0))</x:f>
      </x:c>
      <x:c r="D36" s="566"/>
      <x:c r="E36" s="549"/>
      <x:c r="F36" s="567"/>
      <x:c r="G36" s="549"/>
      <x:c r="H36" s="567"/>
      <x:c r="I36" s="566"/>
      <x:c r="J36" s="549"/>
      <x:c r="K36" s="549"/>
      <x:c r="L36" s="566"/>
      <x:c r="M36" s="554" t="str">
        <x:f>IF($A36="","",IF(COUNTIFS($A$23:$A$82,$A36)&gt;1,"批次編號重複",IF(OR($B36="",$D36="",$E36="",$F36="",$G36="",$K36="",$L36=""),"待補批次資料",IF($D36&lt;=0,"處理量需大於 0",IF($D36&gt;$L36,"處理量超過建立時待辦",IF($G36="已完成",IF(OR($H36="",$I36="",$J36=""),"待補完成證據","批次有效"),IF(OR($H36&lt;&gt;"",$I36&lt;&gt;"",$J36&lt;&gt;""),"完成證據與狀態不一致","批次有效")))))))</x:f>
      </x:c>
      <x:c r="N36" s="554" t="str">
        <x:f>IF($A36="","",IF($M36="批次有效",IF($G36="已完成","回到工作流摘要確認剩餘待辦","依期限到原核定表逐筆處理"),IF($M36="批次編號重複","更換批次編號",IF($M36="待補完成證據","補填完成日、實際完成量與複核人","依批次檢核補齊或修正資料"))))</x:f>
      </x:c>
      <x:c r="O36" s="554" t="str">
        <x:f>IF($A36="","",IF($M36&lt;&gt;"批次有效","先完成批次檢核",IF($D36&gt;_xlfn.XLOOKUP($B36,$A$11:$A$18,$I$11:$I$18,0,0),"高於建議單批量","在建議單批量內")))</x:f>
      </x:c>
      <x:c r="P36" s="549"/>
    </x:row>
    <x:row r="37">
      <x:c r="A37" s="549"/>
      <x:c r="B37" s="549"/>
      <x:c r="C37" s="554" t="str">
        <x:f>IF($B37="","",_xlfn.XLOOKUP($B37,$A$11:$A$18,$C$11:$C$18,"工作流未建立",0))</x:f>
      </x:c>
      <x:c r="D37" s="566"/>
      <x:c r="E37" s="549"/>
      <x:c r="F37" s="567"/>
      <x:c r="G37" s="549"/>
      <x:c r="H37" s="567"/>
      <x:c r="I37" s="566"/>
      <x:c r="J37" s="549"/>
      <x:c r="K37" s="549"/>
      <x:c r="L37" s="566"/>
      <x:c r="M37" s="554" t="str">
        <x:f>IF($A37="","",IF(COUNTIFS($A$23:$A$82,$A37)&gt;1,"批次編號重複",IF(OR($B37="",$D37="",$E37="",$F37="",$G37="",$K37="",$L37=""),"待補批次資料",IF($D37&lt;=0,"處理量需大於 0",IF($D37&gt;$L37,"處理量超過建立時待辦",IF($G37="已完成",IF(OR($H37="",$I37="",$J37=""),"待補完成證據","批次有效"),IF(OR($H37&lt;&gt;"",$I37&lt;&gt;"",$J37&lt;&gt;""),"完成證據與狀態不一致","批次有效")))))))</x:f>
      </x:c>
      <x:c r="N37" s="554" t="str">
        <x:f>IF($A37="","",IF($M37="批次有效",IF($G37="已完成","回到工作流摘要確認剩餘待辦","依期限到原核定表逐筆處理"),IF($M37="批次編號重複","更換批次編號",IF($M37="待補完成證據","補填完成日、實際完成量與複核人","依批次檢核補齊或修正資料"))))</x:f>
      </x:c>
      <x:c r="O37" s="554" t="str">
        <x:f>IF($A37="","",IF($M37&lt;&gt;"批次有效","先完成批次檢核",IF($D37&gt;_xlfn.XLOOKUP($B37,$A$11:$A$18,$I$11:$I$18,0,0),"高於建議單批量","在建議單批量內")))</x:f>
      </x:c>
      <x:c r="P37" s="549"/>
    </x:row>
    <x:row r="38">
      <x:c r="A38" s="549"/>
      <x:c r="B38" s="549"/>
      <x:c r="C38" s="554" t="str">
        <x:f>IF($B38="","",_xlfn.XLOOKUP($B38,$A$11:$A$18,$C$11:$C$18,"工作流未建立",0))</x:f>
      </x:c>
      <x:c r="D38" s="566"/>
      <x:c r="E38" s="549"/>
      <x:c r="F38" s="567"/>
      <x:c r="G38" s="549"/>
      <x:c r="H38" s="567"/>
      <x:c r="I38" s="566"/>
      <x:c r="J38" s="549"/>
      <x:c r="K38" s="549"/>
      <x:c r="L38" s="566"/>
      <x:c r="M38" s="554" t="str">
        <x:f>IF($A38="","",IF(COUNTIFS($A$23:$A$82,$A38)&gt;1,"批次編號重複",IF(OR($B38="",$D38="",$E38="",$F38="",$G38="",$K38="",$L38=""),"待補批次資料",IF($D38&lt;=0,"處理量需大於 0",IF($D38&gt;$L38,"處理量超過建立時待辦",IF($G38="已完成",IF(OR($H38="",$I38="",$J38=""),"待補完成證據","批次有效"),IF(OR($H38&lt;&gt;"",$I38&lt;&gt;"",$J38&lt;&gt;""),"完成證據與狀態不一致","批次有效")))))))</x:f>
      </x:c>
      <x:c r="N38" s="554" t="str">
        <x:f>IF($A38="","",IF($M38="批次有效",IF($G38="已完成","回到工作流摘要確認剩餘待辦","依期限到原核定表逐筆處理"),IF($M38="批次編號重複","更換批次編號",IF($M38="待補完成證據","補填完成日、實際完成量與複核人","依批次檢核補齊或修正資料"))))</x:f>
      </x:c>
      <x:c r="O38" s="554" t="str">
        <x:f>IF($A38="","",IF($M38&lt;&gt;"批次有效","先完成批次檢核",IF($D38&gt;_xlfn.XLOOKUP($B38,$A$11:$A$18,$I$11:$I$18,0,0),"高於建議單批量","在建議單批量內")))</x:f>
      </x:c>
      <x:c r="P38" s="549"/>
    </x:row>
    <x:row r="39">
      <x:c r="A39" s="549"/>
      <x:c r="B39" s="549"/>
      <x:c r="C39" s="554" t="str">
        <x:f>IF($B39="","",_xlfn.XLOOKUP($B39,$A$11:$A$18,$C$11:$C$18,"工作流未建立",0))</x:f>
      </x:c>
      <x:c r="D39" s="566"/>
      <x:c r="E39" s="549"/>
      <x:c r="F39" s="567"/>
      <x:c r="G39" s="549"/>
      <x:c r="H39" s="567"/>
      <x:c r="I39" s="566"/>
      <x:c r="J39" s="549"/>
      <x:c r="K39" s="549"/>
      <x:c r="L39" s="566"/>
      <x:c r="M39" s="554" t="str">
        <x:f>IF($A39="","",IF(COUNTIFS($A$23:$A$82,$A39)&gt;1,"批次編號重複",IF(OR($B39="",$D39="",$E39="",$F39="",$G39="",$K39="",$L39=""),"待補批次資料",IF($D39&lt;=0,"處理量需大於 0",IF($D39&gt;$L39,"處理量超過建立時待辦",IF($G39="已完成",IF(OR($H39="",$I39="",$J39=""),"待補完成證據","批次有效"),IF(OR($H39&lt;&gt;"",$I39&lt;&gt;"",$J39&lt;&gt;""),"完成證據與狀態不一致","批次有效")))))))</x:f>
      </x:c>
      <x:c r="N39" s="554" t="str">
        <x:f>IF($A39="","",IF($M39="批次有效",IF($G39="已完成","回到工作流摘要確認剩餘待辦","依期限到原核定表逐筆處理"),IF($M39="批次編號重複","更換批次編號",IF($M39="待補完成證據","補填完成日、實際完成量與複核人","依批次檢核補齊或修正資料"))))</x:f>
      </x:c>
      <x:c r="O39" s="554" t="str">
        <x:f>IF($A39="","",IF($M39&lt;&gt;"批次有效","先完成批次檢核",IF($D39&gt;_xlfn.XLOOKUP($B39,$A$11:$A$18,$I$11:$I$18,0,0),"高於建議單批量","在建議單批量內")))</x:f>
      </x:c>
      <x:c r="P39" s="549"/>
    </x:row>
    <x:row r="40">
      <x:c r="A40" s="549"/>
      <x:c r="B40" s="549"/>
      <x:c r="C40" s="554" t="str">
        <x:f>IF($B40="","",_xlfn.XLOOKUP($B40,$A$11:$A$18,$C$11:$C$18,"工作流未建立",0))</x:f>
      </x:c>
      <x:c r="D40" s="566"/>
      <x:c r="E40" s="549"/>
      <x:c r="F40" s="567"/>
      <x:c r="G40" s="549"/>
      <x:c r="H40" s="567"/>
      <x:c r="I40" s="566"/>
      <x:c r="J40" s="549"/>
      <x:c r="K40" s="549"/>
      <x:c r="L40" s="566"/>
      <x:c r="M40" s="554" t="str">
        <x:f>IF($A40="","",IF(COUNTIFS($A$23:$A$82,$A40)&gt;1,"批次編號重複",IF(OR($B40="",$D40="",$E40="",$F40="",$G40="",$K40="",$L40=""),"待補批次資料",IF($D40&lt;=0,"處理量需大於 0",IF($D40&gt;$L40,"處理量超過建立時待辦",IF($G40="已完成",IF(OR($H40="",$I40="",$J40=""),"待補完成證據","批次有效"),IF(OR($H40&lt;&gt;"",$I40&lt;&gt;"",$J40&lt;&gt;""),"完成證據與狀態不一致","批次有效")))))))</x:f>
      </x:c>
      <x:c r="N40" s="554" t="str">
        <x:f>IF($A40="","",IF($M40="批次有效",IF($G40="已完成","回到工作流摘要確認剩餘待辦","依期限到原核定表逐筆處理"),IF($M40="批次編號重複","更換批次編號",IF($M40="待補完成證據","補填完成日、實際完成量與複核人","依批次檢核補齊或修正資料"))))</x:f>
      </x:c>
      <x:c r="O40" s="554" t="str">
        <x:f>IF($A40="","",IF($M40&lt;&gt;"批次有效","先完成批次檢核",IF($D40&gt;_xlfn.XLOOKUP($B40,$A$11:$A$18,$I$11:$I$18,0,0),"高於建議單批量","在建議單批量內")))</x:f>
      </x:c>
      <x:c r="P40" s="549"/>
    </x:row>
    <x:row r="41">
      <x:c r="A41" s="549"/>
      <x:c r="B41" s="549"/>
      <x:c r="C41" s="554" t="str">
        <x:f>IF($B41="","",_xlfn.XLOOKUP($B41,$A$11:$A$18,$C$11:$C$18,"工作流未建立",0))</x:f>
      </x:c>
      <x:c r="D41" s="566"/>
      <x:c r="E41" s="549"/>
      <x:c r="F41" s="567"/>
      <x:c r="G41" s="549"/>
      <x:c r="H41" s="567"/>
      <x:c r="I41" s="566"/>
      <x:c r="J41" s="549"/>
      <x:c r="K41" s="549"/>
      <x:c r="L41" s="566"/>
      <x:c r="M41" s="554" t="str">
        <x:f>IF($A41="","",IF(COUNTIFS($A$23:$A$82,$A41)&gt;1,"批次編號重複",IF(OR($B41="",$D41="",$E41="",$F41="",$G41="",$K41="",$L41=""),"待補批次資料",IF($D41&lt;=0,"處理量需大於 0",IF($D41&gt;$L41,"處理量超過建立時待辦",IF($G41="已完成",IF(OR($H41="",$I41="",$J41=""),"待補完成證據","批次有效"),IF(OR($H41&lt;&gt;"",$I41&lt;&gt;"",$J41&lt;&gt;""),"完成證據與狀態不一致","批次有效")))))))</x:f>
      </x:c>
      <x:c r="N41" s="554" t="str">
        <x:f>IF($A41="","",IF($M41="批次有效",IF($G41="已完成","回到工作流摘要確認剩餘待辦","依期限到原核定表逐筆處理"),IF($M41="批次編號重複","更換批次編號",IF($M41="待補完成證據","補填完成日、實際完成量與複核人","依批次檢核補齊或修正資料"))))</x:f>
      </x:c>
      <x:c r="O41" s="554" t="str">
        <x:f>IF($A41="","",IF($M41&lt;&gt;"批次有效","先完成批次檢核",IF($D41&gt;_xlfn.XLOOKUP($B41,$A$11:$A$18,$I$11:$I$18,0,0),"高於建議單批量","在建議單批量內")))</x:f>
      </x:c>
      <x:c r="P41" s="549"/>
    </x:row>
    <x:row r="42">
      <x:c r="A42" s="549"/>
      <x:c r="B42" s="549"/>
      <x:c r="C42" s="554" t="str">
        <x:f>IF($B42="","",_xlfn.XLOOKUP($B42,$A$11:$A$18,$C$11:$C$18,"工作流未建立",0))</x:f>
      </x:c>
      <x:c r="D42" s="566"/>
      <x:c r="E42" s="549"/>
      <x:c r="F42" s="567"/>
      <x:c r="G42" s="549"/>
      <x:c r="H42" s="567"/>
      <x:c r="I42" s="566"/>
      <x:c r="J42" s="549"/>
      <x:c r="K42" s="549"/>
      <x:c r="L42" s="566"/>
      <x:c r="M42" s="554" t="str">
        <x:f>IF($A42="","",IF(COUNTIFS($A$23:$A$82,$A42)&gt;1,"批次編號重複",IF(OR($B42="",$D42="",$E42="",$F42="",$G42="",$K42="",$L42=""),"待補批次資料",IF($D42&lt;=0,"處理量需大於 0",IF($D42&gt;$L42,"處理量超過建立時待辦",IF($G42="已完成",IF(OR($H42="",$I42="",$J42=""),"待補完成證據","批次有效"),IF(OR($H42&lt;&gt;"",$I42&lt;&gt;"",$J42&lt;&gt;""),"完成證據與狀態不一致","批次有效")))))))</x:f>
      </x:c>
      <x:c r="N42" s="554" t="str">
        <x:f>IF($A42="","",IF($M42="批次有效",IF($G42="已完成","回到工作流摘要確認剩餘待辦","依期限到原核定表逐筆處理"),IF($M42="批次編號重複","更換批次編號",IF($M42="待補完成證據","補填完成日、實際完成量與複核人","依批次檢核補齊或修正資料"))))</x:f>
      </x:c>
      <x:c r="O42" s="554" t="str">
        <x:f>IF($A42="","",IF($M42&lt;&gt;"批次有效","先完成批次檢核",IF($D42&gt;_xlfn.XLOOKUP($B42,$A$11:$A$18,$I$11:$I$18,0,0),"高於建議單批量","在建議單批量內")))</x:f>
      </x:c>
      <x:c r="P42" s="549"/>
    </x:row>
    <x:row r="43">
      <x:c r="A43" s="549"/>
      <x:c r="B43" s="549"/>
      <x:c r="C43" s="554" t="str">
        <x:f>IF($B43="","",_xlfn.XLOOKUP($B43,$A$11:$A$18,$C$11:$C$18,"工作流未建立",0))</x:f>
      </x:c>
      <x:c r="D43" s="566"/>
      <x:c r="E43" s="549"/>
      <x:c r="F43" s="567"/>
      <x:c r="G43" s="549"/>
      <x:c r="H43" s="567"/>
      <x:c r="I43" s="566"/>
      <x:c r="J43" s="549"/>
      <x:c r="K43" s="549"/>
      <x:c r="L43" s="566"/>
      <x:c r="M43" s="554" t="str">
        <x:f>IF($A43="","",IF(COUNTIFS($A$23:$A$82,$A43)&gt;1,"批次編號重複",IF(OR($B43="",$D43="",$E43="",$F43="",$G43="",$K43="",$L43=""),"待補批次資料",IF($D43&lt;=0,"處理量需大於 0",IF($D43&gt;$L43,"處理量超過建立時待辦",IF($G43="已完成",IF(OR($H43="",$I43="",$J43=""),"待補完成證據","批次有效"),IF(OR($H43&lt;&gt;"",$I43&lt;&gt;"",$J43&lt;&gt;""),"完成證據與狀態不一致","批次有效")))))))</x:f>
      </x:c>
      <x:c r="N43" s="554" t="str">
        <x:f>IF($A43="","",IF($M43="批次有效",IF($G43="已完成","回到工作流摘要確認剩餘待辦","依期限到原核定表逐筆處理"),IF($M43="批次編號重複","更換批次編號",IF($M43="待補完成證據","補填完成日、實際完成量與複核人","依批次檢核補齊或修正資料"))))</x:f>
      </x:c>
      <x:c r="O43" s="554" t="str">
        <x:f>IF($A43="","",IF($M43&lt;&gt;"批次有效","先完成批次檢核",IF($D43&gt;_xlfn.XLOOKUP($B43,$A$11:$A$18,$I$11:$I$18,0,0),"高於建議單批量","在建議單批量內")))</x:f>
      </x:c>
      <x:c r="P43" s="549"/>
    </x:row>
    <x:row r="44">
      <x:c r="A44" s="549"/>
      <x:c r="B44" s="549"/>
      <x:c r="C44" s="554" t="str">
        <x:f>IF($B44="","",_xlfn.XLOOKUP($B44,$A$11:$A$18,$C$11:$C$18,"工作流未建立",0))</x:f>
      </x:c>
      <x:c r="D44" s="566"/>
      <x:c r="E44" s="549"/>
      <x:c r="F44" s="567"/>
      <x:c r="G44" s="549"/>
      <x:c r="H44" s="567"/>
      <x:c r="I44" s="566"/>
      <x:c r="J44" s="549"/>
      <x:c r="K44" s="549"/>
      <x:c r="L44" s="566"/>
      <x:c r="M44" s="554" t="str">
        <x:f>IF($A44="","",IF(COUNTIFS($A$23:$A$82,$A44)&gt;1,"批次編號重複",IF(OR($B44="",$D44="",$E44="",$F44="",$G44="",$K44="",$L44=""),"待補批次資料",IF($D44&lt;=0,"處理量需大於 0",IF($D44&gt;$L44,"處理量超過建立時待辦",IF($G44="已完成",IF(OR($H44="",$I44="",$J44=""),"待補完成證據","批次有效"),IF(OR($H44&lt;&gt;"",$I44&lt;&gt;"",$J44&lt;&gt;""),"完成證據與狀態不一致","批次有效")))))))</x:f>
      </x:c>
      <x:c r="N44" s="554" t="str">
        <x:f>IF($A44="","",IF($M44="批次有效",IF($G44="已完成","回到工作流摘要確認剩餘待辦","依期限到原核定表逐筆處理"),IF($M44="批次編號重複","更換批次編號",IF($M44="待補完成證據","補填完成日、實際完成量與複核人","依批次檢核補齊或修正資料"))))</x:f>
      </x:c>
      <x:c r="O44" s="554" t="str">
        <x:f>IF($A44="","",IF($M44&lt;&gt;"批次有效","先完成批次檢核",IF($D44&gt;_xlfn.XLOOKUP($B44,$A$11:$A$18,$I$11:$I$18,0,0),"高於建議單批量","在建議單批量內")))</x:f>
      </x:c>
      <x:c r="P44" s="549"/>
    </x:row>
    <x:row r="45">
      <x:c r="A45" s="549"/>
      <x:c r="B45" s="549"/>
      <x:c r="C45" s="554" t="str">
        <x:f>IF($B45="","",_xlfn.XLOOKUP($B45,$A$11:$A$18,$C$11:$C$18,"工作流未建立",0))</x:f>
      </x:c>
      <x:c r="D45" s="566"/>
      <x:c r="E45" s="549"/>
      <x:c r="F45" s="567"/>
      <x:c r="G45" s="549"/>
      <x:c r="H45" s="567"/>
      <x:c r="I45" s="566"/>
      <x:c r="J45" s="549"/>
      <x:c r="K45" s="549"/>
      <x:c r="L45" s="566"/>
      <x:c r="M45" s="554" t="str">
        <x:f>IF($A45="","",IF(COUNTIFS($A$23:$A$82,$A45)&gt;1,"批次編號重複",IF(OR($B45="",$D45="",$E45="",$F45="",$G45="",$K45="",$L45=""),"待補批次資料",IF($D45&lt;=0,"處理量需大於 0",IF($D45&gt;$L45,"處理量超過建立時待辦",IF($G45="已完成",IF(OR($H45="",$I45="",$J45=""),"待補完成證據","批次有效"),IF(OR($H45&lt;&gt;"",$I45&lt;&gt;"",$J45&lt;&gt;""),"完成證據與狀態不一致","批次有效")))))))</x:f>
      </x:c>
      <x:c r="N45" s="554" t="str">
        <x:f>IF($A45="","",IF($M45="批次有效",IF($G45="已完成","回到工作流摘要確認剩餘待辦","依期限到原核定表逐筆處理"),IF($M45="批次編號重複","更換批次編號",IF($M45="待補完成證據","補填完成日、實際完成量與複核人","依批次檢核補齊或修正資料"))))</x:f>
      </x:c>
      <x:c r="O45" s="554" t="str">
        <x:f>IF($A45="","",IF($M45&lt;&gt;"批次有效","先完成批次檢核",IF($D45&gt;_xlfn.XLOOKUP($B45,$A$11:$A$18,$I$11:$I$18,0,0),"高於建議單批量","在建議單批量內")))</x:f>
      </x:c>
      <x:c r="P45" s="549"/>
    </x:row>
    <x:row r="46">
      <x:c r="A46" s="549"/>
      <x:c r="B46" s="549"/>
      <x:c r="C46" s="554" t="str">
        <x:f>IF($B46="","",_xlfn.XLOOKUP($B46,$A$11:$A$18,$C$11:$C$18,"工作流未建立",0))</x:f>
      </x:c>
      <x:c r="D46" s="566"/>
      <x:c r="E46" s="549"/>
      <x:c r="F46" s="567"/>
      <x:c r="G46" s="549"/>
      <x:c r="H46" s="567"/>
      <x:c r="I46" s="566"/>
      <x:c r="J46" s="549"/>
      <x:c r="K46" s="549"/>
      <x:c r="L46" s="566"/>
      <x:c r="M46" s="554" t="str">
        <x:f>IF($A46="","",IF(COUNTIFS($A$23:$A$82,$A46)&gt;1,"批次編號重複",IF(OR($B46="",$D46="",$E46="",$F46="",$G46="",$K46="",$L46=""),"待補批次資料",IF($D46&lt;=0,"處理量需大於 0",IF($D46&gt;$L46,"處理量超過建立時待辦",IF($G46="已完成",IF(OR($H46="",$I46="",$J46=""),"待補完成證據","批次有效"),IF(OR($H46&lt;&gt;"",$I46&lt;&gt;"",$J46&lt;&gt;""),"完成證據與狀態不一致","批次有效")))))))</x:f>
      </x:c>
      <x:c r="N46" s="554" t="str">
        <x:f>IF($A46="","",IF($M46="批次有效",IF($G46="已完成","回到工作流摘要確認剩餘待辦","依期限到原核定表逐筆處理"),IF($M46="批次編號重複","更換批次編號",IF($M46="待補完成證據","補填完成日、實際完成量與複核人","依批次檢核補齊或修正資料"))))</x:f>
      </x:c>
      <x:c r="O46" s="554" t="str">
        <x:f>IF($A46="","",IF($M46&lt;&gt;"批次有效","先完成批次檢核",IF($D46&gt;_xlfn.XLOOKUP($B46,$A$11:$A$18,$I$11:$I$18,0,0),"高於建議單批量","在建議單批量內")))</x:f>
      </x:c>
      <x:c r="P46" s="549"/>
    </x:row>
    <x:row r="47">
      <x:c r="A47" s="549"/>
      <x:c r="B47" s="549"/>
      <x:c r="C47" s="554" t="str">
        <x:f>IF($B47="","",_xlfn.XLOOKUP($B47,$A$11:$A$18,$C$11:$C$18,"工作流未建立",0))</x:f>
      </x:c>
      <x:c r="D47" s="566"/>
      <x:c r="E47" s="549"/>
      <x:c r="F47" s="567"/>
      <x:c r="G47" s="549"/>
      <x:c r="H47" s="567"/>
      <x:c r="I47" s="566"/>
      <x:c r="J47" s="549"/>
      <x:c r="K47" s="549"/>
      <x:c r="L47" s="566"/>
      <x:c r="M47" s="554" t="str">
        <x:f>IF($A47="","",IF(COUNTIFS($A$23:$A$82,$A47)&gt;1,"批次編號重複",IF(OR($B47="",$D47="",$E47="",$F47="",$G47="",$K47="",$L47=""),"待補批次資料",IF($D47&lt;=0,"處理量需大於 0",IF($D47&gt;$L47,"處理量超過建立時待辦",IF($G47="已完成",IF(OR($H47="",$I47="",$J47=""),"待補完成證據","批次有效"),IF(OR($H47&lt;&gt;"",$I47&lt;&gt;"",$J47&lt;&gt;""),"完成證據與狀態不一致","批次有效")))))))</x:f>
      </x:c>
      <x:c r="N47" s="554" t="str">
        <x:f>IF($A47="","",IF($M47="批次有效",IF($G47="已完成","回到工作流摘要確認剩餘待辦","依期限到原核定表逐筆處理"),IF($M47="批次編號重複","更換批次編號",IF($M47="待補完成證據","補填完成日、實際完成量與複核人","依批次檢核補齊或修正資料"))))</x:f>
      </x:c>
      <x:c r="O47" s="554" t="str">
        <x:f>IF($A47="","",IF($M47&lt;&gt;"批次有效","先完成批次檢核",IF($D47&gt;_xlfn.XLOOKUP($B47,$A$11:$A$18,$I$11:$I$18,0,0),"高於建議單批量","在建議單批量內")))</x:f>
      </x:c>
      <x:c r="P47" s="549"/>
    </x:row>
    <x:row r="48">
      <x:c r="A48" s="549"/>
      <x:c r="B48" s="549"/>
      <x:c r="C48" s="554" t="str">
        <x:f>IF($B48="","",_xlfn.XLOOKUP($B48,$A$11:$A$18,$C$11:$C$18,"工作流未建立",0))</x:f>
      </x:c>
      <x:c r="D48" s="566"/>
      <x:c r="E48" s="549"/>
      <x:c r="F48" s="567"/>
      <x:c r="G48" s="549"/>
      <x:c r="H48" s="567"/>
      <x:c r="I48" s="566"/>
      <x:c r="J48" s="549"/>
      <x:c r="K48" s="549"/>
      <x:c r="L48" s="566"/>
      <x:c r="M48" s="554" t="str">
        <x:f>IF($A48="","",IF(COUNTIFS($A$23:$A$82,$A48)&gt;1,"批次編號重複",IF(OR($B48="",$D48="",$E48="",$F48="",$G48="",$K48="",$L48=""),"待補批次資料",IF($D48&lt;=0,"處理量需大於 0",IF($D48&gt;$L48,"處理量超過建立時待辦",IF($G48="已完成",IF(OR($H48="",$I48="",$J48=""),"待補完成證據","批次有效"),IF(OR($H48&lt;&gt;"",$I48&lt;&gt;"",$J48&lt;&gt;""),"完成證據與狀態不一致","批次有效")))))))</x:f>
      </x:c>
      <x:c r="N48" s="554" t="str">
        <x:f>IF($A48="","",IF($M48="批次有效",IF($G48="已完成","回到工作流摘要確認剩餘待辦","依期限到原核定表逐筆處理"),IF($M48="批次編號重複","更換批次編號",IF($M48="待補完成證據","補填完成日、實際完成量與複核人","依批次檢核補齊或修正資料"))))</x:f>
      </x:c>
      <x:c r="O48" s="554" t="str">
        <x:f>IF($A48="","",IF($M48&lt;&gt;"批次有效","先完成批次檢核",IF($D48&gt;_xlfn.XLOOKUP($B48,$A$11:$A$18,$I$11:$I$18,0,0),"高於建議單批量","在建議單批量內")))</x:f>
      </x:c>
      <x:c r="P48" s="549"/>
    </x:row>
    <x:row r="49">
      <x:c r="A49" s="549"/>
      <x:c r="B49" s="549"/>
      <x:c r="C49" s="554" t="str">
        <x:f>IF($B49="","",_xlfn.XLOOKUP($B49,$A$11:$A$18,$C$11:$C$18,"工作流未建立",0))</x:f>
      </x:c>
      <x:c r="D49" s="566"/>
      <x:c r="E49" s="549"/>
      <x:c r="F49" s="567"/>
      <x:c r="G49" s="549"/>
      <x:c r="H49" s="567"/>
      <x:c r="I49" s="566"/>
      <x:c r="J49" s="549"/>
      <x:c r="K49" s="549"/>
      <x:c r="L49" s="566"/>
      <x:c r="M49" s="554" t="str">
        <x:f>IF($A49="","",IF(COUNTIFS($A$23:$A$82,$A49)&gt;1,"批次編號重複",IF(OR($B49="",$D49="",$E49="",$F49="",$G49="",$K49="",$L49=""),"待補批次資料",IF($D49&lt;=0,"處理量需大於 0",IF($D49&gt;$L49,"處理量超過建立時待辦",IF($G49="已完成",IF(OR($H49="",$I49="",$J49=""),"待補完成證據","批次有效"),IF(OR($H49&lt;&gt;"",$I49&lt;&gt;"",$J49&lt;&gt;""),"完成證據與狀態不一致","批次有效")))))))</x:f>
      </x:c>
      <x:c r="N49" s="554" t="str">
        <x:f>IF($A49="","",IF($M49="批次有效",IF($G49="已完成","回到工作流摘要確認剩餘待辦","依期限到原核定表逐筆處理"),IF($M49="批次編號重複","更換批次編號",IF($M49="待補完成證據","補填完成日、實際完成量與複核人","依批次檢核補齊或修正資料"))))</x:f>
      </x:c>
      <x:c r="O49" s="554" t="str">
        <x:f>IF($A49="","",IF($M49&lt;&gt;"批次有效","先完成批次檢核",IF($D49&gt;_xlfn.XLOOKUP($B49,$A$11:$A$18,$I$11:$I$18,0,0),"高於建議單批量","在建議單批量內")))</x:f>
      </x:c>
      <x:c r="P49" s="549"/>
    </x:row>
    <x:row r="50">
      <x:c r="A50" s="549"/>
      <x:c r="B50" s="549"/>
      <x:c r="C50" s="554" t="str">
        <x:f>IF($B50="","",_xlfn.XLOOKUP($B50,$A$11:$A$18,$C$11:$C$18,"工作流未建立",0))</x:f>
      </x:c>
      <x:c r="D50" s="566"/>
      <x:c r="E50" s="549"/>
      <x:c r="F50" s="567"/>
      <x:c r="G50" s="549"/>
      <x:c r="H50" s="567"/>
      <x:c r="I50" s="566"/>
      <x:c r="J50" s="549"/>
      <x:c r="K50" s="549"/>
      <x:c r="L50" s="566"/>
      <x:c r="M50" s="554" t="str">
        <x:f>IF($A50="","",IF(COUNTIFS($A$23:$A$82,$A50)&gt;1,"批次編號重複",IF(OR($B50="",$D50="",$E50="",$F50="",$G50="",$K50="",$L50=""),"待補批次資料",IF($D50&lt;=0,"處理量需大於 0",IF($D50&gt;$L50,"處理量超過建立時待辦",IF($G50="已完成",IF(OR($H50="",$I50="",$J50=""),"待補完成證據","批次有效"),IF(OR($H50&lt;&gt;"",$I50&lt;&gt;"",$J50&lt;&gt;""),"完成證據與狀態不一致","批次有效")))))))</x:f>
      </x:c>
      <x:c r="N50" s="554" t="str">
        <x:f>IF($A50="","",IF($M50="批次有效",IF($G50="已完成","回到工作流摘要確認剩餘待辦","依期限到原核定表逐筆處理"),IF($M50="批次編號重複","更換批次編號",IF($M50="待補完成證據","補填完成日、實際完成量與複核人","依批次檢核補齊或修正資料"))))</x:f>
      </x:c>
      <x:c r="O50" s="554" t="str">
        <x:f>IF($A50="","",IF($M50&lt;&gt;"批次有效","先完成批次檢核",IF($D50&gt;_xlfn.XLOOKUP($B50,$A$11:$A$18,$I$11:$I$18,0,0),"高於建議單批量","在建議單批量內")))</x:f>
      </x:c>
      <x:c r="P50" s="549"/>
    </x:row>
    <x:row r="51">
      <x:c r="A51" s="549"/>
      <x:c r="B51" s="549"/>
      <x:c r="C51" s="554" t="str">
        <x:f>IF($B51="","",_xlfn.XLOOKUP($B51,$A$11:$A$18,$C$11:$C$18,"工作流未建立",0))</x:f>
      </x:c>
      <x:c r="D51" s="566"/>
      <x:c r="E51" s="549"/>
      <x:c r="F51" s="567"/>
      <x:c r="G51" s="549"/>
      <x:c r="H51" s="567"/>
      <x:c r="I51" s="566"/>
      <x:c r="J51" s="549"/>
      <x:c r="K51" s="549"/>
      <x:c r="L51" s="566"/>
      <x:c r="M51" s="554" t="str">
        <x:f>IF($A51="","",IF(COUNTIFS($A$23:$A$82,$A51)&gt;1,"批次編號重複",IF(OR($B51="",$D51="",$E51="",$F51="",$G51="",$K51="",$L51=""),"待補批次資料",IF($D51&lt;=0,"處理量需大於 0",IF($D51&gt;$L51,"處理量超過建立時待辦",IF($G51="已完成",IF(OR($H51="",$I51="",$J51=""),"待補完成證據","批次有效"),IF(OR($H51&lt;&gt;"",$I51&lt;&gt;"",$J51&lt;&gt;""),"完成證據與狀態不一致","批次有效")))))))</x:f>
      </x:c>
      <x:c r="N51" s="554" t="str">
        <x:f>IF($A51="","",IF($M51="批次有效",IF($G51="已完成","回到工作流摘要確認剩餘待辦","依期限到原核定表逐筆處理"),IF($M51="批次編號重複","更換批次編號",IF($M51="待補完成證據","補填完成日、實際完成量與複核人","依批次檢核補齊或修正資料"))))</x:f>
      </x:c>
      <x:c r="O51" s="554" t="str">
        <x:f>IF($A51="","",IF($M51&lt;&gt;"批次有效","先完成批次檢核",IF($D51&gt;_xlfn.XLOOKUP($B51,$A$11:$A$18,$I$11:$I$18,0,0),"高於建議單批量","在建議單批量內")))</x:f>
      </x:c>
      <x:c r="P51" s="549"/>
    </x:row>
    <x:row r="52">
      <x:c r="A52" s="549"/>
      <x:c r="B52" s="549"/>
      <x:c r="C52" s="554" t="str">
        <x:f>IF($B52="","",_xlfn.XLOOKUP($B52,$A$11:$A$18,$C$11:$C$18,"工作流未建立",0))</x:f>
      </x:c>
      <x:c r="D52" s="566"/>
      <x:c r="E52" s="549"/>
      <x:c r="F52" s="567"/>
      <x:c r="G52" s="549"/>
      <x:c r="H52" s="567"/>
      <x:c r="I52" s="566"/>
      <x:c r="J52" s="549"/>
      <x:c r="K52" s="549"/>
      <x:c r="L52" s="566"/>
      <x:c r="M52" s="554" t="str">
        <x:f>IF($A52="","",IF(COUNTIFS($A$23:$A$82,$A52)&gt;1,"批次編號重複",IF(OR($B52="",$D52="",$E52="",$F52="",$G52="",$K52="",$L52=""),"待補批次資料",IF($D52&lt;=0,"處理量需大於 0",IF($D52&gt;$L52,"處理量超過建立時待辦",IF($G52="已完成",IF(OR($H52="",$I52="",$J52=""),"待補完成證據","批次有效"),IF(OR($H52&lt;&gt;"",$I52&lt;&gt;"",$J52&lt;&gt;""),"完成證據與狀態不一致","批次有效")))))))</x:f>
      </x:c>
      <x:c r="N52" s="554" t="str">
        <x:f>IF($A52="","",IF($M52="批次有效",IF($G52="已完成","回到工作流摘要確認剩餘待辦","依期限到原核定表逐筆處理"),IF($M52="批次編號重複","更換批次編號",IF($M52="待補完成證據","補填完成日、實際完成量與複核人","依批次檢核補齊或修正資料"))))</x:f>
      </x:c>
      <x:c r="O52" s="554" t="str">
        <x:f>IF($A52="","",IF($M52&lt;&gt;"批次有效","先完成批次檢核",IF($D52&gt;_xlfn.XLOOKUP($B52,$A$11:$A$18,$I$11:$I$18,0,0),"高於建議單批量","在建議單批量內")))</x:f>
      </x:c>
      <x:c r="P52" s="549"/>
    </x:row>
    <x:row r="53">
      <x:c r="A53" s="549"/>
      <x:c r="B53" s="549"/>
      <x:c r="C53" s="554" t="str">
        <x:f>IF($B53="","",_xlfn.XLOOKUP($B53,$A$11:$A$18,$C$11:$C$18,"工作流未建立",0))</x:f>
      </x:c>
      <x:c r="D53" s="566"/>
      <x:c r="E53" s="549"/>
      <x:c r="F53" s="567"/>
      <x:c r="G53" s="549"/>
      <x:c r="H53" s="567"/>
      <x:c r="I53" s="566"/>
      <x:c r="J53" s="549"/>
      <x:c r="K53" s="549"/>
      <x:c r="L53" s="566"/>
      <x:c r="M53" s="554" t="str">
        <x:f>IF($A53="","",IF(COUNTIFS($A$23:$A$82,$A53)&gt;1,"批次編號重複",IF(OR($B53="",$D53="",$E53="",$F53="",$G53="",$K53="",$L53=""),"待補批次資料",IF($D53&lt;=0,"處理量需大於 0",IF($D53&gt;$L53,"處理量超過建立時待辦",IF($G53="已完成",IF(OR($H53="",$I53="",$J53=""),"待補完成證據","批次有效"),IF(OR($H53&lt;&gt;"",$I53&lt;&gt;"",$J53&lt;&gt;""),"完成證據與狀態不一致","批次有效")))))))</x:f>
      </x:c>
      <x:c r="N53" s="554" t="str">
        <x:f>IF($A53="","",IF($M53="批次有效",IF($G53="已完成","回到工作流摘要確認剩餘待辦","依期限到原核定表逐筆處理"),IF($M53="批次編號重複","更換批次編號",IF($M53="待補完成證據","補填完成日、實際完成量與複核人","依批次檢核補齊或修正資料"))))</x:f>
      </x:c>
      <x:c r="O53" s="554" t="str">
        <x:f>IF($A53="","",IF($M53&lt;&gt;"批次有效","先完成批次檢核",IF($D53&gt;_xlfn.XLOOKUP($B53,$A$11:$A$18,$I$11:$I$18,0,0),"高於建議單批量","在建議單批量內")))</x:f>
      </x:c>
      <x:c r="P53" s="549"/>
    </x:row>
    <x:row r="54">
      <x:c r="A54" s="549"/>
      <x:c r="B54" s="549"/>
      <x:c r="C54" s="554" t="str">
        <x:f>IF($B54="","",_xlfn.XLOOKUP($B54,$A$11:$A$18,$C$11:$C$18,"工作流未建立",0))</x:f>
      </x:c>
      <x:c r="D54" s="566"/>
      <x:c r="E54" s="549"/>
      <x:c r="F54" s="567"/>
      <x:c r="G54" s="549"/>
      <x:c r="H54" s="567"/>
      <x:c r="I54" s="566"/>
      <x:c r="J54" s="549"/>
      <x:c r="K54" s="549"/>
      <x:c r="L54" s="566"/>
      <x:c r="M54" s="554" t="str">
        <x:f>IF($A54="","",IF(COUNTIFS($A$23:$A$82,$A54)&gt;1,"批次編號重複",IF(OR($B54="",$D54="",$E54="",$F54="",$G54="",$K54="",$L54=""),"待補批次資料",IF($D54&lt;=0,"處理量需大於 0",IF($D54&gt;$L54,"處理量超過建立時待辦",IF($G54="已完成",IF(OR($H54="",$I54="",$J54=""),"待補完成證據","批次有效"),IF(OR($H54&lt;&gt;"",$I54&lt;&gt;"",$J54&lt;&gt;""),"完成證據與狀態不一致","批次有效")))))))</x:f>
      </x:c>
      <x:c r="N54" s="554" t="str">
        <x:f>IF($A54="","",IF($M54="批次有效",IF($G54="已完成","回到工作流摘要確認剩餘待辦","依期限到原核定表逐筆處理"),IF($M54="批次編號重複","更換批次編號",IF($M54="待補完成證據","補填完成日、實際完成量與複核人","依批次檢核補齊或修正資料"))))</x:f>
      </x:c>
      <x:c r="O54" s="554" t="str">
        <x:f>IF($A54="","",IF($M54&lt;&gt;"批次有效","先完成批次檢核",IF($D54&gt;_xlfn.XLOOKUP($B54,$A$11:$A$18,$I$11:$I$18,0,0),"高於建議單批量","在建議單批量內")))</x:f>
      </x:c>
      <x:c r="P54" s="549"/>
    </x:row>
    <x:row r="55">
      <x:c r="A55" s="549"/>
      <x:c r="B55" s="549"/>
      <x:c r="C55" s="554" t="str">
        <x:f>IF($B55="","",_xlfn.XLOOKUP($B55,$A$11:$A$18,$C$11:$C$18,"工作流未建立",0))</x:f>
      </x:c>
      <x:c r="D55" s="566"/>
      <x:c r="E55" s="549"/>
      <x:c r="F55" s="567"/>
      <x:c r="G55" s="549"/>
      <x:c r="H55" s="567"/>
      <x:c r="I55" s="566"/>
      <x:c r="J55" s="549"/>
      <x:c r="K55" s="549"/>
      <x:c r="L55" s="566"/>
      <x:c r="M55" s="554" t="str">
        <x:f>IF($A55="","",IF(COUNTIFS($A$23:$A$82,$A55)&gt;1,"批次編號重複",IF(OR($B55="",$D55="",$E55="",$F55="",$G55="",$K55="",$L55=""),"待補批次資料",IF($D55&lt;=0,"處理量需大於 0",IF($D55&gt;$L55,"處理量超過建立時待辦",IF($G55="已完成",IF(OR($H55="",$I55="",$J55=""),"待補完成證據","批次有效"),IF(OR($H55&lt;&gt;"",$I55&lt;&gt;"",$J55&lt;&gt;""),"完成證據與狀態不一致","批次有效")))))))</x:f>
      </x:c>
      <x:c r="N55" s="554" t="str">
        <x:f>IF($A55="","",IF($M55="批次有效",IF($G55="已完成","回到工作流摘要確認剩餘待辦","依期限到原核定表逐筆處理"),IF($M55="批次編號重複","更換批次編號",IF($M55="待補完成證據","補填完成日、實際完成量與複核人","依批次檢核補齊或修正資料"))))</x:f>
      </x:c>
      <x:c r="O55" s="554" t="str">
        <x:f>IF($A55="","",IF($M55&lt;&gt;"批次有效","先完成批次檢核",IF($D55&gt;_xlfn.XLOOKUP($B55,$A$11:$A$18,$I$11:$I$18,0,0),"高於建議單批量","在建議單批量內")))</x:f>
      </x:c>
      <x:c r="P55" s="549"/>
    </x:row>
    <x:row r="56">
      <x:c r="A56" s="549"/>
      <x:c r="B56" s="549"/>
      <x:c r="C56" s="554" t="str">
        <x:f>IF($B56="","",_xlfn.XLOOKUP($B56,$A$11:$A$18,$C$11:$C$18,"工作流未建立",0))</x:f>
      </x:c>
      <x:c r="D56" s="566"/>
      <x:c r="E56" s="549"/>
      <x:c r="F56" s="567"/>
      <x:c r="G56" s="549"/>
      <x:c r="H56" s="567"/>
      <x:c r="I56" s="566"/>
      <x:c r="J56" s="549"/>
      <x:c r="K56" s="549"/>
      <x:c r="L56" s="566"/>
      <x:c r="M56" s="554" t="str">
        <x:f>IF($A56="","",IF(COUNTIFS($A$23:$A$82,$A56)&gt;1,"批次編號重複",IF(OR($B56="",$D56="",$E56="",$F56="",$G56="",$K56="",$L56=""),"待補批次資料",IF($D56&lt;=0,"處理量需大於 0",IF($D56&gt;$L56,"處理量超過建立時待辦",IF($G56="已完成",IF(OR($H56="",$I56="",$J56=""),"待補完成證據","批次有效"),IF(OR($H56&lt;&gt;"",$I56&lt;&gt;"",$J56&lt;&gt;""),"完成證據與狀態不一致","批次有效")))))))</x:f>
      </x:c>
      <x:c r="N56" s="554" t="str">
        <x:f>IF($A56="","",IF($M56="批次有效",IF($G56="已完成","回到工作流摘要確認剩餘待辦","依期限到原核定表逐筆處理"),IF($M56="批次編號重複","更換批次編號",IF($M56="待補完成證據","補填完成日、實際完成量與複核人","依批次檢核補齊或修正資料"))))</x:f>
      </x:c>
      <x:c r="O56" s="554" t="str">
        <x:f>IF($A56="","",IF($M56&lt;&gt;"批次有效","先完成批次檢核",IF($D56&gt;_xlfn.XLOOKUP($B56,$A$11:$A$18,$I$11:$I$18,0,0),"高於建議單批量","在建議單批量內")))</x:f>
      </x:c>
      <x:c r="P56" s="549"/>
    </x:row>
    <x:row r="57">
      <x:c r="A57" s="549"/>
      <x:c r="B57" s="549"/>
      <x:c r="C57" s="554" t="str">
        <x:f>IF($B57="","",_xlfn.XLOOKUP($B57,$A$11:$A$18,$C$11:$C$18,"工作流未建立",0))</x:f>
      </x:c>
      <x:c r="D57" s="566"/>
      <x:c r="E57" s="549"/>
      <x:c r="F57" s="567"/>
      <x:c r="G57" s="549"/>
      <x:c r="H57" s="567"/>
      <x:c r="I57" s="566"/>
      <x:c r="J57" s="549"/>
      <x:c r="K57" s="549"/>
      <x:c r="L57" s="566"/>
      <x:c r="M57" s="554" t="str">
        <x:f>IF($A57="","",IF(COUNTIFS($A$23:$A$82,$A57)&gt;1,"批次編號重複",IF(OR($B57="",$D57="",$E57="",$F57="",$G57="",$K57="",$L57=""),"待補批次資料",IF($D57&lt;=0,"處理量需大於 0",IF($D57&gt;$L57,"處理量超過建立時待辦",IF($G57="已完成",IF(OR($H57="",$I57="",$J57=""),"待補完成證據","批次有效"),IF(OR($H57&lt;&gt;"",$I57&lt;&gt;"",$J57&lt;&gt;""),"完成證據與狀態不一致","批次有效")))))))</x:f>
      </x:c>
      <x:c r="N57" s="554" t="str">
        <x:f>IF($A57="","",IF($M57="批次有效",IF($G57="已完成","回到工作流摘要確認剩餘待辦","依期限到原核定表逐筆處理"),IF($M57="批次編號重複","更換批次編號",IF($M57="待補完成證據","補填完成日、實際完成量與複核人","依批次檢核補齊或修正資料"))))</x:f>
      </x:c>
      <x:c r="O57" s="554" t="str">
        <x:f>IF($A57="","",IF($M57&lt;&gt;"批次有效","先完成批次檢核",IF($D57&gt;_xlfn.XLOOKUP($B57,$A$11:$A$18,$I$11:$I$18,0,0),"高於建議單批量","在建議單批量內")))</x:f>
      </x:c>
      <x:c r="P57" s="549"/>
    </x:row>
    <x:row r="58">
      <x:c r="A58" s="549"/>
      <x:c r="B58" s="549"/>
      <x:c r="C58" s="554" t="str">
        <x:f>IF($B58="","",_xlfn.XLOOKUP($B58,$A$11:$A$18,$C$11:$C$18,"工作流未建立",0))</x:f>
      </x:c>
      <x:c r="D58" s="566"/>
      <x:c r="E58" s="549"/>
      <x:c r="F58" s="567"/>
      <x:c r="G58" s="549"/>
      <x:c r="H58" s="567"/>
      <x:c r="I58" s="566"/>
      <x:c r="J58" s="549"/>
      <x:c r="K58" s="549"/>
      <x:c r="L58" s="566"/>
      <x:c r="M58" s="554" t="str">
        <x:f>IF($A58="","",IF(COUNTIFS($A$23:$A$82,$A58)&gt;1,"批次編號重複",IF(OR($B58="",$D58="",$E58="",$F58="",$G58="",$K58="",$L58=""),"待補批次資料",IF($D58&lt;=0,"處理量需大於 0",IF($D58&gt;$L58,"處理量超過建立時待辦",IF($G58="已完成",IF(OR($H58="",$I58="",$J58=""),"待補完成證據","批次有效"),IF(OR($H58&lt;&gt;"",$I58&lt;&gt;"",$J58&lt;&gt;""),"完成證據與狀態不一致","批次有效")))))))</x:f>
      </x:c>
      <x:c r="N58" s="554" t="str">
        <x:f>IF($A58="","",IF($M58="批次有效",IF($G58="已完成","回到工作流摘要確認剩餘待辦","依期限到原核定表逐筆處理"),IF($M58="批次編號重複","更換批次編號",IF($M58="待補完成證據","補填完成日、實際完成量與複核人","依批次檢核補齊或修正資料"))))</x:f>
      </x:c>
      <x:c r="O58" s="554" t="str">
        <x:f>IF($A58="","",IF($M58&lt;&gt;"批次有效","先完成批次檢核",IF($D58&gt;_xlfn.XLOOKUP($B58,$A$11:$A$18,$I$11:$I$18,0,0),"高於建議單批量","在建議單批量內")))</x:f>
      </x:c>
      <x:c r="P58" s="549"/>
    </x:row>
    <x:row r="59">
      <x:c r="A59" s="549"/>
      <x:c r="B59" s="549"/>
      <x:c r="C59" s="554" t="str">
        <x:f>IF($B59="","",_xlfn.XLOOKUP($B59,$A$11:$A$18,$C$11:$C$18,"工作流未建立",0))</x:f>
      </x:c>
      <x:c r="D59" s="566"/>
      <x:c r="E59" s="549"/>
      <x:c r="F59" s="567"/>
      <x:c r="G59" s="549"/>
      <x:c r="H59" s="567"/>
      <x:c r="I59" s="566"/>
      <x:c r="J59" s="549"/>
      <x:c r="K59" s="549"/>
      <x:c r="L59" s="566"/>
      <x:c r="M59" s="554" t="str">
        <x:f>IF($A59="","",IF(COUNTIFS($A$23:$A$82,$A59)&gt;1,"批次編號重複",IF(OR($B59="",$D59="",$E59="",$F59="",$G59="",$K59="",$L59=""),"待補批次資料",IF($D59&lt;=0,"處理量需大於 0",IF($D59&gt;$L59,"處理量超過建立時待辦",IF($G59="已完成",IF(OR($H59="",$I59="",$J59=""),"待補完成證據","批次有效"),IF(OR($H59&lt;&gt;"",$I59&lt;&gt;"",$J59&lt;&gt;""),"完成證據與狀態不一致","批次有效")))))))</x:f>
      </x:c>
      <x:c r="N59" s="554" t="str">
        <x:f>IF($A59="","",IF($M59="批次有效",IF($G59="已完成","回到工作流摘要確認剩餘待辦","依期限到原核定表逐筆處理"),IF($M59="批次編號重複","更換批次編號",IF($M59="待補完成證據","補填完成日、實際完成量與複核人","依批次檢核補齊或修正資料"))))</x:f>
      </x:c>
      <x:c r="O59" s="554" t="str">
        <x:f>IF($A59="","",IF($M59&lt;&gt;"批次有效","先完成批次檢核",IF($D59&gt;_xlfn.XLOOKUP($B59,$A$11:$A$18,$I$11:$I$18,0,0),"高於建議單批量","在建議單批量內")))</x:f>
      </x:c>
      <x:c r="P59" s="549"/>
    </x:row>
    <x:row r="60">
      <x:c r="A60" s="549"/>
      <x:c r="B60" s="549"/>
      <x:c r="C60" s="554" t="str">
        <x:f>IF($B60="","",_xlfn.XLOOKUP($B60,$A$11:$A$18,$C$11:$C$18,"工作流未建立",0))</x:f>
      </x:c>
      <x:c r="D60" s="566"/>
      <x:c r="E60" s="549"/>
      <x:c r="F60" s="567"/>
      <x:c r="G60" s="549"/>
      <x:c r="H60" s="567"/>
      <x:c r="I60" s="566"/>
      <x:c r="J60" s="549"/>
      <x:c r="K60" s="549"/>
      <x:c r="L60" s="566"/>
      <x:c r="M60" s="554" t="str">
        <x:f>IF($A60="","",IF(COUNTIFS($A$23:$A$82,$A60)&gt;1,"批次編號重複",IF(OR($B60="",$D60="",$E60="",$F60="",$G60="",$K60="",$L60=""),"待補批次資料",IF($D60&lt;=0,"處理量需大於 0",IF($D60&gt;$L60,"處理量超過建立時待辦",IF($G60="已完成",IF(OR($H60="",$I60="",$J60=""),"待補完成證據","批次有效"),IF(OR($H60&lt;&gt;"",$I60&lt;&gt;"",$J60&lt;&gt;""),"完成證據與狀態不一致","批次有效")))))))</x:f>
      </x:c>
      <x:c r="N60" s="554" t="str">
        <x:f>IF($A60="","",IF($M60="批次有效",IF($G60="已完成","回到工作流摘要確認剩餘待辦","依期限到原核定表逐筆處理"),IF($M60="批次編號重複","更換批次編號",IF($M60="待補完成證據","補填完成日、實際完成量與複核人","依批次檢核補齊或修正資料"))))</x:f>
      </x:c>
      <x:c r="O60" s="554" t="str">
        <x:f>IF($A60="","",IF($M60&lt;&gt;"批次有效","先完成批次檢核",IF($D60&gt;_xlfn.XLOOKUP($B60,$A$11:$A$18,$I$11:$I$18,0,0),"高於建議單批量","在建議單批量內")))</x:f>
      </x:c>
      <x:c r="P60" s="549"/>
    </x:row>
    <x:row r="61">
      <x:c r="A61" s="549"/>
      <x:c r="B61" s="549"/>
      <x:c r="C61" s="554" t="str">
        <x:f>IF($B61="","",_xlfn.XLOOKUP($B61,$A$11:$A$18,$C$11:$C$18,"工作流未建立",0))</x:f>
      </x:c>
      <x:c r="D61" s="566"/>
      <x:c r="E61" s="549"/>
      <x:c r="F61" s="567"/>
      <x:c r="G61" s="549"/>
      <x:c r="H61" s="567"/>
      <x:c r="I61" s="566"/>
      <x:c r="J61" s="549"/>
      <x:c r="K61" s="549"/>
      <x:c r="L61" s="566"/>
      <x:c r="M61" s="554" t="str">
        <x:f>IF($A61="","",IF(COUNTIFS($A$23:$A$82,$A61)&gt;1,"批次編號重複",IF(OR($B61="",$D61="",$E61="",$F61="",$G61="",$K61="",$L61=""),"待補批次資料",IF($D61&lt;=0,"處理量需大於 0",IF($D61&gt;$L61,"處理量超過建立時待辦",IF($G61="已完成",IF(OR($H61="",$I61="",$J61=""),"待補完成證據","批次有效"),IF(OR($H61&lt;&gt;"",$I61&lt;&gt;"",$J61&lt;&gt;""),"完成證據與狀態不一致","批次有效")))))))</x:f>
      </x:c>
      <x:c r="N61" s="554" t="str">
        <x:f>IF($A61="","",IF($M61="批次有效",IF($G61="已完成","回到工作流摘要確認剩餘待辦","依期限到原核定表逐筆處理"),IF($M61="批次編號重複","更換批次編號",IF($M61="待補完成證據","補填完成日、實際完成量與複核人","依批次檢核補齊或修正資料"))))</x:f>
      </x:c>
      <x:c r="O61" s="554" t="str">
        <x:f>IF($A61="","",IF($M61&lt;&gt;"批次有效","先完成批次檢核",IF($D61&gt;_xlfn.XLOOKUP($B61,$A$11:$A$18,$I$11:$I$18,0,0),"高於建議單批量","在建議單批量內")))</x:f>
      </x:c>
      <x:c r="P61" s="549"/>
    </x:row>
    <x:row r="62">
      <x:c r="A62" s="549"/>
      <x:c r="B62" s="549"/>
      <x:c r="C62" s="554" t="str">
        <x:f>IF($B62="","",_xlfn.XLOOKUP($B62,$A$11:$A$18,$C$11:$C$18,"工作流未建立",0))</x:f>
      </x:c>
      <x:c r="D62" s="566"/>
      <x:c r="E62" s="549"/>
      <x:c r="F62" s="567"/>
      <x:c r="G62" s="549"/>
      <x:c r="H62" s="567"/>
      <x:c r="I62" s="566"/>
      <x:c r="J62" s="549"/>
      <x:c r="K62" s="549"/>
      <x:c r="L62" s="566"/>
      <x:c r="M62" s="554" t="str">
        <x:f>IF($A62="","",IF(COUNTIFS($A$23:$A$82,$A62)&gt;1,"批次編號重複",IF(OR($B62="",$D62="",$E62="",$F62="",$G62="",$K62="",$L62=""),"待補批次資料",IF($D62&lt;=0,"處理量需大於 0",IF($D62&gt;$L62,"處理量超過建立時待辦",IF($G62="已完成",IF(OR($H62="",$I62="",$J62=""),"待補完成證據","批次有效"),IF(OR($H62&lt;&gt;"",$I62&lt;&gt;"",$J62&lt;&gt;""),"完成證據與狀態不一致","批次有效")))))))</x:f>
      </x:c>
      <x:c r="N62" s="554" t="str">
        <x:f>IF($A62="","",IF($M62="批次有效",IF($G62="已完成","回到工作流摘要確認剩餘待辦","依期限到原核定表逐筆處理"),IF($M62="批次編號重複","更換批次編號",IF($M62="待補完成證據","補填完成日、實際完成量與複核人","依批次檢核補齊或修正資料"))))</x:f>
      </x:c>
      <x:c r="O62" s="554" t="str">
        <x:f>IF($A62="","",IF($M62&lt;&gt;"批次有效","先完成批次檢核",IF($D62&gt;_xlfn.XLOOKUP($B62,$A$11:$A$18,$I$11:$I$18,0,0),"高於建議單批量","在建議單批量內")))</x:f>
      </x:c>
      <x:c r="P62" s="549"/>
    </x:row>
    <x:row r="63">
      <x:c r="A63" s="549"/>
      <x:c r="B63" s="549"/>
      <x:c r="C63" s="554" t="str">
        <x:f>IF($B63="","",_xlfn.XLOOKUP($B63,$A$11:$A$18,$C$11:$C$18,"工作流未建立",0))</x:f>
      </x:c>
      <x:c r="D63" s="566"/>
      <x:c r="E63" s="549"/>
      <x:c r="F63" s="567"/>
      <x:c r="G63" s="549"/>
      <x:c r="H63" s="567"/>
      <x:c r="I63" s="566"/>
      <x:c r="J63" s="549"/>
      <x:c r="K63" s="549"/>
      <x:c r="L63" s="566"/>
      <x:c r="M63" s="554" t="str">
        <x:f>IF($A63="","",IF(COUNTIFS($A$23:$A$82,$A63)&gt;1,"批次編號重複",IF(OR($B63="",$D63="",$E63="",$F63="",$G63="",$K63="",$L63=""),"待補批次資料",IF($D63&lt;=0,"處理量需大於 0",IF($D63&gt;$L63,"處理量超過建立時待辦",IF($G63="已完成",IF(OR($H63="",$I63="",$J63=""),"待補完成證據","批次有效"),IF(OR($H63&lt;&gt;"",$I63&lt;&gt;"",$J63&lt;&gt;""),"完成證據與狀態不一致","批次有效")))))))</x:f>
      </x:c>
      <x:c r="N63" s="554" t="str">
        <x:f>IF($A63="","",IF($M63="批次有效",IF($G63="已完成","回到工作流摘要確認剩餘待辦","依期限到原核定表逐筆處理"),IF($M63="批次編號重複","更換批次編號",IF($M63="待補完成證據","補填完成日、實際完成量與複核人","依批次檢核補齊或修正資料"))))</x:f>
      </x:c>
      <x:c r="O63" s="554" t="str">
        <x:f>IF($A63="","",IF($M63&lt;&gt;"批次有效","先完成批次檢核",IF($D63&gt;_xlfn.XLOOKUP($B63,$A$11:$A$18,$I$11:$I$18,0,0),"高於建議單批量","在建議單批量內")))</x:f>
      </x:c>
      <x:c r="P63" s="549"/>
    </x:row>
    <x:row r="64">
      <x:c r="A64" s="549"/>
      <x:c r="B64" s="549"/>
      <x:c r="C64" s="554" t="str">
        <x:f>IF($B64="","",_xlfn.XLOOKUP($B64,$A$11:$A$18,$C$11:$C$18,"工作流未建立",0))</x:f>
      </x:c>
      <x:c r="D64" s="566"/>
      <x:c r="E64" s="549"/>
      <x:c r="F64" s="567"/>
      <x:c r="G64" s="549"/>
      <x:c r="H64" s="567"/>
      <x:c r="I64" s="566"/>
      <x:c r="J64" s="549"/>
      <x:c r="K64" s="549"/>
      <x:c r="L64" s="566"/>
      <x:c r="M64" s="554" t="str">
        <x:f>IF($A64="","",IF(COUNTIFS($A$23:$A$82,$A64)&gt;1,"批次編號重複",IF(OR($B64="",$D64="",$E64="",$F64="",$G64="",$K64="",$L64=""),"待補批次資料",IF($D64&lt;=0,"處理量需大於 0",IF($D64&gt;$L64,"處理量超過建立時待辦",IF($G64="已完成",IF(OR($H64="",$I64="",$J64=""),"待補完成證據","批次有效"),IF(OR($H64&lt;&gt;"",$I64&lt;&gt;"",$J64&lt;&gt;""),"完成證據與狀態不一致","批次有效")))))))</x:f>
      </x:c>
      <x:c r="N64" s="554" t="str">
        <x:f>IF($A64="","",IF($M64="批次有效",IF($G64="已完成","回到工作流摘要確認剩餘待辦","依期限到原核定表逐筆處理"),IF($M64="批次編號重複","更換批次編號",IF($M64="待補完成證據","補填完成日、實際完成量與複核人","依批次檢核補齊或修正資料"))))</x:f>
      </x:c>
      <x:c r="O64" s="554" t="str">
        <x:f>IF($A64="","",IF($M64&lt;&gt;"批次有效","先完成批次檢核",IF($D64&gt;_xlfn.XLOOKUP($B64,$A$11:$A$18,$I$11:$I$18,0,0),"高於建議單批量","在建議單批量內")))</x:f>
      </x:c>
      <x:c r="P64" s="549"/>
    </x:row>
    <x:row r="65">
      <x:c r="A65" s="549"/>
      <x:c r="B65" s="549"/>
      <x:c r="C65" s="554" t="str">
        <x:f>IF($B65="","",_xlfn.XLOOKUP($B65,$A$11:$A$18,$C$11:$C$18,"工作流未建立",0))</x:f>
      </x:c>
      <x:c r="D65" s="566"/>
      <x:c r="E65" s="549"/>
      <x:c r="F65" s="567"/>
      <x:c r="G65" s="549"/>
      <x:c r="H65" s="567"/>
      <x:c r="I65" s="566"/>
      <x:c r="J65" s="549"/>
      <x:c r="K65" s="549"/>
      <x:c r="L65" s="566"/>
      <x:c r="M65" s="554" t="str">
        <x:f>IF($A65="","",IF(COUNTIFS($A$23:$A$82,$A65)&gt;1,"批次編號重複",IF(OR($B65="",$D65="",$E65="",$F65="",$G65="",$K65="",$L65=""),"待補批次資料",IF($D65&lt;=0,"處理量需大於 0",IF($D65&gt;$L65,"處理量超過建立時待辦",IF($G65="已完成",IF(OR($H65="",$I65="",$J65=""),"待補完成證據","批次有效"),IF(OR($H65&lt;&gt;"",$I65&lt;&gt;"",$J65&lt;&gt;""),"完成證據與狀態不一致","批次有效")))))))</x:f>
      </x:c>
      <x:c r="N65" s="554" t="str">
        <x:f>IF($A65="","",IF($M65="批次有效",IF($G65="已完成","回到工作流摘要確認剩餘待辦","依期限到原核定表逐筆處理"),IF($M65="批次編號重複","更換批次編號",IF($M65="待補完成證據","補填完成日、實際完成量與複核人","依批次檢核補齊或修正資料"))))</x:f>
      </x:c>
      <x:c r="O65" s="554" t="str">
        <x:f>IF($A65="","",IF($M65&lt;&gt;"批次有效","先完成批次檢核",IF($D65&gt;_xlfn.XLOOKUP($B65,$A$11:$A$18,$I$11:$I$18,0,0),"高於建議單批量","在建議單批量內")))</x:f>
      </x:c>
      <x:c r="P65" s="549"/>
    </x:row>
    <x:row r="66">
      <x:c r="A66" s="549"/>
      <x:c r="B66" s="549"/>
      <x:c r="C66" s="554" t="str">
        <x:f>IF($B66="","",_xlfn.XLOOKUP($B66,$A$11:$A$18,$C$11:$C$18,"工作流未建立",0))</x:f>
      </x:c>
      <x:c r="D66" s="566"/>
      <x:c r="E66" s="549"/>
      <x:c r="F66" s="567"/>
      <x:c r="G66" s="549"/>
      <x:c r="H66" s="567"/>
      <x:c r="I66" s="566"/>
      <x:c r="J66" s="549"/>
      <x:c r="K66" s="549"/>
      <x:c r="L66" s="566"/>
      <x:c r="M66" s="554" t="str">
        <x:f>IF($A66="","",IF(COUNTIFS($A$23:$A$82,$A66)&gt;1,"批次編號重複",IF(OR($B66="",$D66="",$E66="",$F66="",$G66="",$K66="",$L66=""),"待補批次資料",IF($D66&lt;=0,"處理量需大於 0",IF($D66&gt;$L66,"處理量超過建立時待辦",IF($G66="已完成",IF(OR($H66="",$I66="",$J66=""),"待補完成證據","批次有效"),IF(OR($H66&lt;&gt;"",$I66&lt;&gt;"",$J66&lt;&gt;""),"完成證據與狀態不一致","批次有效")))))))</x:f>
      </x:c>
      <x:c r="N66" s="554" t="str">
        <x:f>IF($A66="","",IF($M66="批次有效",IF($G66="已完成","回到工作流摘要確認剩餘待辦","依期限到原核定表逐筆處理"),IF($M66="批次編號重複","更換批次編號",IF($M66="待補完成證據","補填完成日、實際完成量與複核人","依批次檢核補齊或修正資料"))))</x:f>
      </x:c>
      <x:c r="O66" s="554" t="str">
        <x:f>IF($A66="","",IF($M66&lt;&gt;"批次有效","先完成批次檢核",IF($D66&gt;_xlfn.XLOOKUP($B66,$A$11:$A$18,$I$11:$I$18,0,0),"高於建議單批量","在建議單批量內")))</x:f>
      </x:c>
      <x:c r="P66" s="549"/>
    </x:row>
    <x:row r="67">
      <x:c r="A67" s="549"/>
      <x:c r="B67" s="549"/>
      <x:c r="C67" s="554" t="str">
        <x:f>IF($B67="","",_xlfn.XLOOKUP($B67,$A$11:$A$18,$C$11:$C$18,"工作流未建立",0))</x:f>
      </x:c>
      <x:c r="D67" s="566"/>
      <x:c r="E67" s="549"/>
      <x:c r="F67" s="567"/>
      <x:c r="G67" s="549"/>
      <x:c r="H67" s="567"/>
      <x:c r="I67" s="566"/>
      <x:c r="J67" s="549"/>
      <x:c r="K67" s="549"/>
      <x:c r="L67" s="566"/>
      <x:c r="M67" s="554" t="str">
        <x:f>IF($A67="","",IF(COUNTIFS($A$23:$A$82,$A67)&gt;1,"批次編號重複",IF(OR($B67="",$D67="",$E67="",$F67="",$G67="",$K67="",$L67=""),"待補批次資料",IF($D67&lt;=0,"處理量需大於 0",IF($D67&gt;$L67,"處理量超過建立時待辦",IF($G67="已完成",IF(OR($H67="",$I67="",$J67=""),"待補完成證據","批次有效"),IF(OR($H67&lt;&gt;"",$I67&lt;&gt;"",$J67&lt;&gt;""),"完成證據與狀態不一致","批次有效")))))))</x:f>
      </x:c>
      <x:c r="N67" s="554" t="str">
        <x:f>IF($A67="","",IF($M67="批次有效",IF($G67="已完成","回到工作流摘要確認剩餘待辦","依期限到原核定表逐筆處理"),IF($M67="批次編號重複","更換批次編號",IF($M67="待補完成證據","補填完成日、實際完成量與複核人","依批次檢核補齊或修正資料"))))</x:f>
      </x:c>
      <x:c r="O67" s="554" t="str">
        <x:f>IF($A67="","",IF($M67&lt;&gt;"批次有效","先完成批次檢核",IF($D67&gt;_xlfn.XLOOKUP($B67,$A$11:$A$18,$I$11:$I$18,0,0),"高於建議單批量","在建議單批量內")))</x:f>
      </x:c>
      <x:c r="P67" s="549"/>
    </x:row>
    <x:row r="68">
      <x:c r="A68" s="549"/>
      <x:c r="B68" s="549"/>
      <x:c r="C68" s="554" t="str">
        <x:f>IF($B68="","",_xlfn.XLOOKUP($B68,$A$11:$A$18,$C$11:$C$18,"工作流未建立",0))</x:f>
      </x:c>
      <x:c r="D68" s="566"/>
      <x:c r="E68" s="549"/>
      <x:c r="F68" s="567"/>
      <x:c r="G68" s="549"/>
      <x:c r="H68" s="567"/>
      <x:c r="I68" s="566"/>
      <x:c r="J68" s="549"/>
      <x:c r="K68" s="549"/>
      <x:c r="L68" s="566"/>
      <x:c r="M68" s="554" t="str">
        <x:f>IF($A68="","",IF(COUNTIFS($A$23:$A$82,$A68)&gt;1,"批次編號重複",IF(OR($B68="",$D68="",$E68="",$F68="",$G68="",$K68="",$L68=""),"待補批次資料",IF($D68&lt;=0,"處理量需大於 0",IF($D68&gt;$L68,"處理量超過建立時待辦",IF($G68="已完成",IF(OR($H68="",$I68="",$J68=""),"待補完成證據","批次有效"),IF(OR($H68&lt;&gt;"",$I68&lt;&gt;"",$J68&lt;&gt;""),"完成證據與狀態不一致","批次有效")))))))</x:f>
      </x:c>
      <x:c r="N68" s="554" t="str">
        <x:f>IF($A68="","",IF($M68="批次有效",IF($G68="已完成","回到工作流摘要確認剩餘待辦","依期限到原核定表逐筆處理"),IF($M68="批次編號重複","更換批次編號",IF($M68="待補完成證據","補填完成日、實際完成量與複核人","依批次檢核補齊或修正資料"))))</x:f>
      </x:c>
      <x:c r="O68" s="554" t="str">
        <x:f>IF($A68="","",IF($M68&lt;&gt;"批次有效","先完成批次檢核",IF($D68&gt;_xlfn.XLOOKUP($B68,$A$11:$A$18,$I$11:$I$18,0,0),"高於建議單批量","在建議單批量內")))</x:f>
      </x:c>
      <x:c r="P68" s="549"/>
    </x:row>
    <x:row r="69">
      <x:c r="A69" s="549"/>
      <x:c r="B69" s="549"/>
      <x:c r="C69" s="554" t="str">
        <x:f>IF($B69="","",_xlfn.XLOOKUP($B69,$A$11:$A$18,$C$11:$C$18,"工作流未建立",0))</x:f>
      </x:c>
      <x:c r="D69" s="566"/>
      <x:c r="E69" s="549"/>
      <x:c r="F69" s="567"/>
      <x:c r="G69" s="549"/>
      <x:c r="H69" s="567"/>
      <x:c r="I69" s="566"/>
      <x:c r="J69" s="549"/>
      <x:c r="K69" s="549"/>
      <x:c r="L69" s="566"/>
      <x:c r="M69" s="554" t="str">
        <x:f>IF($A69="","",IF(COUNTIFS($A$23:$A$82,$A69)&gt;1,"批次編號重複",IF(OR($B69="",$D69="",$E69="",$F69="",$G69="",$K69="",$L69=""),"待補批次資料",IF($D69&lt;=0,"處理量需大於 0",IF($D69&gt;$L69,"處理量超過建立時待辦",IF($G69="已完成",IF(OR($H69="",$I69="",$J69=""),"待補完成證據","批次有效"),IF(OR($H69&lt;&gt;"",$I69&lt;&gt;"",$J69&lt;&gt;""),"完成證據與狀態不一致","批次有效")))))))</x:f>
      </x:c>
      <x:c r="N69" s="554" t="str">
        <x:f>IF($A69="","",IF($M69="批次有效",IF($G69="已完成","回到工作流摘要確認剩餘待辦","依期限到原核定表逐筆處理"),IF($M69="批次編號重複","更換批次編號",IF($M69="待補完成證據","補填完成日、實際完成量與複核人","依批次檢核補齊或修正資料"))))</x:f>
      </x:c>
      <x:c r="O69" s="554" t="str">
        <x:f>IF($A69="","",IF($M69&lt;&gt;"批次有效","先完成批次檢核",IF($D69&gt;_xlfn.XLOOKUP($B69,$A$11:$A$18,$I$11:$I$18,0,0),"高於建議單批量","在建議單批量內")))</x:f>
      </x:c>
      <x:c r="P69" s="549"/>
    </x:row>
    <x:row r="70">
      <x:c r="A70" s="549"/>
      <x:c r="B70" s="549"/>
      <x:c r="C70" s="554" t="str">
        <x:f>IF($B70="","",_xlfn.XLOOKUP($B70,$A$11:$A$18,$C$11:$C$18,"工作流未建立",0))</x:f>
      </x:c>
      <x:c r="D70" s="566"/>
      <x:c r="E70" s="549"/>
      <x:c r="F70" s="567"/>
      <x:c r="G70" s="549"/>
      <x:c r="H70" s="567"/>
      <x:c r="I70" s="566"/>
      <x:c r="J70" s="549"/>
      <x:c r="K70" s="549"/>
      <x:c r="L70" s="566"/>
      <x:c r="M70" s="554" t="str">
        <x:f>IF($A70="","",IF(COUNTIFS($A$23:$A$82,$A70)&gt;1,"批次編號重複",IF(OR($B70="",$D70="",$E70="",$F70="",$G70="",$K70="",$L70=""),"待補批次資料",IF($D70&lt;=0,"處理量需大於 0",IF($D70&gt;$L70,"處理量超過建立時待辦",IF($G70="已完成",IF(OR($H70="",$I70="",$J70=""),"待補完成證據","批次有效"),IF(OR($H70&lt;&gt;"",$I70&lt;&gt;"",$J70&lt;&gt;""),"完成證據與狀態不一致","批次有效")))))))</x:f>
      </x:c>
      <x:c r="N70" s="554" t="str">
        <x:f>IF($A70="","",IF($M70="批次有效",IF($G70="已完成","回到工作流摘要確認剩餘待辦","依期限到原核定表逐筆處理"),IF($M70="批次編號重複","更換批次編號",IF($M70="待補完成證據","補填完成日、實際完成量與複核人","依批次檢核補齊或修正資料"))))</x:f>
      </x:c>
      <x:c r="O70" s="554" t="str">
        <x:f>IF($A70="","",IF($M70&lt;&gt;"批次有效","先完成批次檢核",IF($D70&gt;_xlfn.XLOOKUP($B70,$A$11:$A$18,$I$11:$I$18,0,0),"高於建議單批量","在建議單批量內")))</x:f>
      </x:c>
      <x:c r="P70" s="549"/>
    </x:row>
    <x:row r="71">
      <x:c r="A71" s="549"/>
      <x:c r="B71" s="549"/>
      <x:c r="C71" s="554" t="str">
        <x:f>IF($B71="","",_xlfn.XLOOKUP($B71,$A$11:$A$18,$C$11:$C$18,"工作流未建立",0))</x:f>
      </x:c>
      <x:c r="D71" s="566"/>
      <x:c r="E71" s="549"/>
      <x:c r="F71" s="567"/>
      <x:c r="G71" s="549"/>
      <x:c r="H71" s="567"/>
      <x:c r="I71" s="566"/>
      <x:c r="J71" s="549"/>
      <x:c r="K71" s="549"/>
      <x:c r="L71" s="566"/>
      <x:c r="M71" s="554" t="str">
        <x:f>IF($A71="","",IF(COUNTIFS($A$23:$A$82,$A71)&gt;1,"批次編號重複",IF(OR($B71="",$D71="",$E71="",$F71="",$G71="",$K71="",$L71=""),"待補批次資料",IF($D71&lt;=0,"處理量需大於 0",IF($D71&gt;$L71,"處理量超過建立時待辦",IF($G71="已完成",IF(OR($H71="",$I71="",$J71=""),"待補完成證據","批次有效"),IF(OR($H71&lt;&gt;"",$I71&lt;&gt;"",$J71&lt;&gt;""),"完成證據與狀態不一致","批次有效")))))))</x:f>
      </x:c>
      <x:c r="N71" s="554" t="str">
        <x:f>IF($A71="","",IF($M71="批次有效",IF($G71="已完成","回到工作流摘要確認剩餘待辦","依期限到原核定表逐筆處理"),IF($M71="批次編號重複","更換批次編號",IF($M71="待補完成證據","補填完成日、實際完成量與複核人","依批次檢核補齊或修正資料"))))</x:f>
      </x:c>
      <x:c r="O71" s="554" t="str">
        <x:f>IF($A71="","",IF($M71&lt;&gt;"批次有效","先完成批次檢核",IF($D71&gt;_xlfn.XLOOKUP($B71,$A$11:$A$18,$I$11:$I$18,0,0),"高於建議單批量","在建議單批量內")))</x:f>
      </x:c>
      <x:c r="P71" s="549"/>
    </x:row>
    <x:row r="72">
      <x:c r="A72" s="549"/>
      <x:c r="B72" s="549"/>
      <x:c r="C72" s="554" t="str">
        <x:f>IF($B72="","",_xlfn.XLOOKUP($B72,$A$11:$A$18,$C$11:$C$18,"工作流未建立",0))</x:f>
      </x:c>
      <x:c r="D72" s="566"/>
      <x:c r="E72" s="549"/>
      <x:c r="F72" s="567"/>
      <x:c r="G72" s="549"/>
      <x:c r="H72" s="567"/>
      <x:c r="I72" s="566"/>
      <x:c r="J72" s="549"/>
      <x:c r="K72" s="549"/>
      <x:c r="L72" s="566"/>
      <x:c r="M72" s="554" t="str">
        <x:f>IF($A72="","",IF(COUNTIFS($A$23:$A$82,$A72)&gt;1,"批次編號重複",IF(OR($B72="",$D72="",$E72="",$F72="",$G72="",$K72="",$L72=""),"待補批次資料",IF($D72&lt;=0,"處理量需大於 0",IF($D72&gt;$L72,"處理量超過建立時待辦",IF($G72="已完成",IF(OR($H72="",$I72="",$J72=""),"待補完成證據","批次有效"),IF(OR($H72&lt;&gt;"",$I72&lt;&gt;"",$J72&lt;&gt;""),"完成證據與狀態不一致","批次有效")))))))</x:f>
      </x:c>
      <x:c r="N72" s="554" t="str">
        <x:f>IF($A72="","",IF($M72="批次有效",IF($G72="已完成","回到工作流摘要確認剩餘待辦","依期限到原核定表逐筆處理"),IF($M72="批次編號重複","更換批次編號",IF($M72="待補完成證據","補填完成日、實際完成量與複核人","依批次檢核補齊或修正資料"))))</x:f>
      </x:c>
      <x:c r="O72" s="554" t="str">
        <x:f>IF($A72="","",IF($M72&lt;&gt;"批次有效","先完成批次檢核",IF($D72&gt;_xlfn.XLOOKUP($B72,$A$11:$A$18,$I$11:$I$18,0,0),"高於建議單批量","在建議單批量內")))</x:f>
      </x:c>
      <x:c r="P72" s="549"/>
    </x:row>
    <x:row r="73">
      <x:c r="A73" s="549"/>
      <x:c r="B73" s="549"/>
      <x:c r="C73" s="554" t="str">
        <x:f>IF($B73="","",_xlfn.XLOOKUP($B73,$A$11:$A$18,$C$11:$C$18,"工作流未建立",0))</x:f>
      </x:c>
      <x:c r="D73" s="566"/>
      <x:c r="E73" s="549"/>
      <x:c r="F73" s="567"/>
      <x:c r="G73" s="549"/>
      <x:c r="H73" s="567"/>
      <x:c r="I73" s="566"/>
      <x:c r="J73" s="549"/>
      <x:c r="K73" s="549"/>
      <x:c r="L73" s="566"/>
      <x:c r="M73" s="554" t="str">
        <x:f>IF($A73="","",IF(COUNTIFS($A$23:$A$82,$A73)&gt;1,"批次編號重複",IF(OR($B73="",$D73="",$E73="",$F73="",$G73="",$K73="",$L73=""),"待補批次資料",IF($D73&lt;=0,"處理量需大於 0",IF($D73&gt;$L73,"處理量超過建立時待辦",IF($G73="已完成",IF(OR($H73="",$I73="",$J73=""),"待補完成證據","批次有效"),IF(OR($H73&lt;&gt;"",$I73&lt;&gt;"",$J73&lt;&gt;""),"完成證據與狀態不一致","批次有效")))))))</x:f>
      </x:c>
      <x:c r="N73" s="554" t="str">
        <x:f>IF($A73="","",IF($M73="批次有效",IF($G73="已完成","回到工作流摘要確認剩餘待辦","依期限到原核定表逐筆處理"),IF($M73="批次編號重複","更換批次編號",IF($M73="待補完成證據","補填完成日、實際完成量與複核人","依批次檢核補齊或修正資料"))))</x:f>
      </x:c>
      <x:c r="O73" s="554" t="str">
        <x:f>IF($A73="","",IF($M73&lt;&gt;"批次有效","先完成批次檢核",IF($D73&gt;_xlfn.XLOOKUP($B73,$A$11:$A$18,$I$11:$I$18,0,0),"高於建議單批量","在建議單批量內")))</x:f>
      </x:c>
      <x:c r="P73" s="549"/>
    </x:row>
    <x:row r="74">
      <x:c r="A74" s="549"/>
      <x:c r="B74" s="549"/>
      <x:c r="C74" s="554" t="str">
        <x:f>IF($B74="","",_xlfn.XLOOKUP($B74,$A$11:$A$18,$C$11:$C$18,"工作流未建立",0))</x:f>
      </x:c>
      <x:c r="D74" s="566"/>
      <x:c r="E74" s="549"/>
      <x:c r="F74" s="567"/>
      <x:c r="G74" s="549"/>
      <x:c r="H74" s="567"/>
      <x:c r="I74" s="566"/>
      <x:c r="J74" s="549"/>
      <x:c r="K74" s="549"/>
      <x:c r="L74" s="566"/>
      <x:c r="M74" s="554" t="str">
        <x:f>IF($A74="","",IF(COUNTIFS($A$23:$A$82,$A74)&gt;1,"批次編號重複",IF(OR($B74="",$D74="",$E74="",$F74="",$G74="",$K74="",$L74=""),"待補批次資料",IF($D74&lt;=0,"處理量需大於 0",IF($D74&gt;$L74,"處理量超過建立時待辦",IF($G74="已完成",IF(OR($H74="",$I74="",$J74=""),"待補完成證據","批次有效"),IF(OR($H74&lt;&gt;"",$I74&lt;&gt;"",$J74&lt;&gt;""),"完成證據與狀態不一致","批次有效")))))))</x:f>
      </x:c>
      <x:c r="N74" s="554" t="str">
        <x:f>IF($A74="","",IF($M74="批次有效",IF($G74="已完成","回到工作流摘要確認剩餘待辦","依期限到原核定表逐筆處理"),IF($M74="批次編號重複","更換批次編號",IF($M74="待補完成證據","補填完成日、實際完成量與複核人","依批次檢核補齊或修正資料"))))</x:f>
      </x:c>
      <x:c r="O74" s="554" t="str">
        <x:f>IF($A74="","",IF($M74&lt;&gt;"批次有效","先完成批次檢核",IF($D74&gt;_xlfn.XLOOKUP($B74,$A$11:$A$18,$I$11:$I$18,0,0),"高於建議單批量","在建議單批量內")))</x:f>
      </x:c>
      <x:c r="P74" s="549"/>
    </x:row>
    <x:row r="75">
      <x:c r="A75" s="549"/>
      <x:c r="B75" s="549"/>
      <x:c r="C75" s="554" t="str">
        <x:f>IF($B75="","",_xlfn.XLOOKUP($B75,$A$11:$A$18,$C$11:$C$18,"工作流未建立",0))</x:f>
      </x:c>
      <x:c r="D75" s="566"/>
      <x:c r="E75" s="549"/>
      <x:c r="F75" s="567"/>
      <x:c r="G75" s="549"/>
      <x:c r="H75" s="567"/>
      <x:c r="I75" s="566"/>
      <x:c r="J75" s="549"/>
      <x:c r="K75" s="549"/>
      <x:c r="L75" s="566"/>
      <x:c r="M75" s="554" t="str">
        <x:f>IF($A75="","",IF(COUNTIFS($A$23:$A$82,$A75)&gt;1,"批次編號重複",IF(OR($B75="",$D75="",$E75="",$F75="",$G75="",$K75="",$L75=""),"待補批次資料",IF($D75&lt;=0,"處理量需大於 0",IF($D75&gt;$L75,"處理量超過建立時待辦",IF($G75="已完成",IF(OR($H75="",$I75="",$J75=""),"待補完成證據","批次有效"),IF(OR($H75&lt;&gt;"",$I75&lt;&gt;"",$J75&lt;&gt;""),"完成證據與狀態不一致","批次有效")))))))</x:f>
      </x:c>
      <x:c r="N75" s="554" t="str">
        <x:f>IF($A75="","",IF($M75="批次有效",IF($G75="已完成","回到工作流摘要確認剩餘待辦","依期限到原核定表逐筆處理"),IF($M75="批次編號重複","更換批次編號",IF($M75="待補完成證據","補填完成日、實際完成量與複核人","依批次檢核補齊或修正資料"))))</x:f>
      </x:c>
      <x:c r="O75" s="554" t="str">
        <x:f>IF($A75="","",IF($M75&lt;&gt;"批次有效","先完成批次檢核",IF($D75&gt;_xlfn.XLOOKUP($B75,$A$11:$A$18,$I$11:$I$18,0,0),"高於建議單批量","在建議單批量內")))</x:f>
      </x:c>
      <x:c r="P75" s="549"/>
    </x:row>
    <x:row r="76">
      <x:c r="A76" s="549"/>
      <x:c r="B76" s="549"/>
      <x:c r="C76" s="554" t="str">
        <x:f>IF($B76="","",_xlfn.XLOOKUP($B76,$A$11:$A$18,$C$11:$C$18,"工作流未建立",0))</x:f>
      </x:c>
      <x:c r="D76" s="566"/>
      <x:c r="E76" s="549"/>
      <x:c r="F76" s="567"/>
      <x:c r="G76" s="549"/>
      <x:c r="H76" s="567"/>
      <x:c r="I76" s="566"/>
      <x:c r="J76" s="549"/>
      <x:c r="K76" s="549"/>
      <x:c r="L76" s="566"/>
      <x:c r="M76" s="554" t="str">
        <x:f>IF($A76="","",IF(COUNTIFS($A$23:$A$82,$A76)&gt;1,"批次編號重複",IF(OR($B76="",$D76="",$E76="",$F76="",$G76="",$K76="",$L76=""),"待補批次資料",IF($D76&lt;=0,"處理量需大於 0",IF($D76&gt;$L76,"處理量超過建立時待辦",IF($G76="已完成",IF(OR($H76="",$I76="",$J76=""),"待補完成證據","批次有效"),IF(OR($H76&lt;&gt;"",$I76&lt;&gt;"",$J76&lt;&gt;""),"完成證據與狀態不一致","批次有效")))))))</x:f>
      </x:c>
      <x:c r="N76" s="554" t="str">
        <x:f>IF($A76="","",IF($M76="批次有效",IF($G76="已完成","回到工作流摘要確認剩餘待辦","依期限到原核定表逐筆處理"),IF($M76="批次編號重複","更換批次編號",IF($M76="待補完成證據","補填完成日、實際完成量與複核人","依批次檢核補齊或修正資料"))))</x:f>
      </x:c>
      <x:c r="O76" s="554" t="str">
        <x:f>IF($A76="","",IF($M76&lt;&gt;"批次有效","先完成批次檢核",IF($D76&gt;_xlfn.XLOOKUP($B76,$A$11:$A$18,$I$11:$I$18,0,0),"高於建議單批量","在建議單批量內")))</x:f>
      </x:c>
      <x:c r="P76" s="549"/>
    </x:row>
    <x:row r="77">
      <x:c r="A77" s="549"/>
      <x:c r="B77" s="549"/>
      <x:c r="C77" s="554" t="str">
        <x:f>IF($B77="","",_xlfn.XLOOKUP($B77,$A$11:$A$18,$C$11:$C$18,"工作流未建立",0))</x:f>
      </x:c>
      <x:c r="D77" s="566"/>
      <x:c r="E77" s="549"/>
      <x:c r="F77" s="567"/>
      <x:c r="G77" s="549"/>
      <x:c r="H77" s="567"/>
      <x:c r="I77" s="566"/>
      <x:c r="J77" s="549"/>
      <x:c r="K77" s="549"/>
      <x:c r="L77" s="566"/>
      <x:c r="M77" s="554" t="str">
        <x:f>IF($A77="","",IF(COUNTIFS($A$23:$A$82,$A77)&gt;1,"批次編號重複",IF(OR($B77="",$D77="",$E77="",$F77="",$G77="",$K77="",$L77=""),"待補批次資料",IF($D77&lt;=0,"處理量需大於 0",IF($D77&gt;$L77,"處理量超過建立時待辦",IF($G77="已完成",IF(OR($H77="",$I77="",$J77=""),"待補完成證據","批次有效"),IF(OR($H77&lt;&gt;"",$I77&lt;&gt;"",$J77&lt;&gt;""),"完成證據與狀態不一致","批次有效")))))))</x:f>
      </x:c>
      <x:c r="N77" s="554" t="str">
        <x:f>IF($A77="","",IF($M77="批次有效",IF($G77="已完成","回到工作流摘要確認剩餘待辦","依期限到原核定表逐筆處理"),IF($M77="批次編號重複","更換批次編號",IF($M77="待補完成證據","補填完成日、實際完成量與複核人","依批次檢核補齊或修正資料"))))</x:f>
      </x:c>
      <x:c r="O77" s="554" t="str">
        <x:f>IF($A77="","",IF($M77&lt;&gt;"批次有效","先完成批次檢核",IF($D77&gt;_xlfn.XLOOKUP($B77,$A$11:$A$18,$I$11:$I$18,0,0),"高於建議單批量","在建議單批量內")))</x:f>
      </x:c>
      <x:c r="P77" s="549"/>
    </x:row>
    <x:row r="78">
      <x:c r="A78" s="549"/>
      <x:c r="B78" s="549"/>
      <x:c r="C78" s="554" t="str">
        <x:f>IF($B78="","",_xlfn.XLOOKUP($B78,$A$11:$A$18,$C$11:$C$18,"工作流未建立",0))</x:f>
      </x:c>
      <x:c r="D78" s="566"/>
      <x:c r="E78" s="549"/>
      <x:c r="F78" s="567"/>
      <x:c r="G78" s="549"/>
      <x:c r="H78" s="567"/>
      <x:c r="I78" s="566"/>
      <x:c r="J78" s="549"/>
      <x:c r="K78" s="549"/>
      <x:c r="L78" s="566"/>
      <x:c r="M78" s="554" t="str">
        <x:f>IF($A78="","",IF(COUNTIFS($A$23:$A$82,$A78)&gt;1,"批次編號重複",IF(OR($B78="",$D78="",$E78="",$F78="",$G78="",$K78="",$L78=""),"待補批次資料",IF($D78&lt;=0,"處理量需大於 0",IF($D78&gt;$L78,"處理量超過建立時待辦",IF($G78="已完成",IF(OR($H78="",$I78="",$J78=""),"待補完成證據","批次有效"),IF(OR($H78&lt;&gt;"",$I78&lt;&gt;"",$J78&lt;&gt;""),"完成證據與狀態不一致","批次有效")))))))</x:f>
      </x:c>
      <x:c r="N78" s="554" t="str">
        <x:f>IF($A78="","",IF($M78="批次有效",IF($G78="已完成","回到工作流摘要確認剩餘待辦","依期限到原核定表逐筆處理"),IF($M78="批次編號重複","更換批次編號",IF($M78="待補完成證據","補填完成日、實際完成量與複核人","依批次檢核補齊或修正資料"))))</x:f>
      </x:c>
      <x:c r="O78" s="554" t="str">
        <x:f>IF($A78="","",IF($M78&lt;&gt;"批次有效","先完成批次檢核",IF($D78&gt;_xlfn.XLOOKUP($B78,$A$11:$A$18,$I$11:$I$18,0,0),"高於建議單批量","在建議單批量內")))</x:f>
      </x:c>
      <x:c r="P78" s="549"/>
    </x:row>
    <x:row r="79">
      <x:c r="A79" s="549"/>
      <x:c r="B79" s="549"/>
      <x:c r="C79" s="554" t="str">
        <x:f>IF($B79="","",_xlfn.XLOOKUP($B79,$A$11:$A$18,$C$11:$C$18,"工作流未建立",0))</x:f>
      </x:c>
      <x:c r="D79" s="566"/>
      <x:c r="E79" s="549"/>
      <x:c r="F79" s="567"/>
      <x:c r="G79" s="549"/>
      <x:c r="H79" s="567"/>
      <x:c r="I79" s="566"/>
      <x:c r="J79" s="549"/>
      <x:c r="K79" s="549"/>
      <x:c r="L79" s="566"/>
      <x:c r="M79" s="554" t="str">
        <x:f>IF($A79="","",IF(COUNTIFS($A$23:$A$82,$A79)&gt;1,"批次編號重複",IF(OR($B79="",$D79="",$E79="",$F79="",$G79="",$K79="",$L79=""),"待補批次資料",IF($D79&lt;=0,"處理量需大於 0",IF($D79&gt;$L79,"處理量超過建立時待辦",IF($G79="已完成",IF(OR($H79="",$I79="",$J79=""),"待補完成證據","批次有效"),IF(OR($H79&lt;&gt;"",$I79&lt;&gt;"",$J79&lt;&gt;""),"完成證據與狀態不一致","批次有效")))))))</x:f>
      </x:c>
      <x:c r="N79" s="554" t="str">
        <x:f>IF($A79="","",IF($M79="批次有效",IF($G79="已完成","回到工作流摘要確認剩餘待辦","依期限到原核定表逐筆處理"),IF($M79="批次編號重複","更換批次編號",IF($M79="待補完成證據","補填完成日、實際完成量與複核人","依批次檢核補齊或修正資料"))))</x:f>
      </x:c>
      <x:c r="O79" s="554" t="str">
        <x:f>IF($A79="","",IF($M79&lt;&gt;"批次有效","先完成批次檢核",IF($D79&gt;_xlfn.XLOOKUP($B79,$A$11:$A$18,$I$11:$I$18,0,0),"高於建議單批量","在建議單批量內")))</x:f>
      </x:c>
      <x:c r="P79" s="549"/>
    </x:row>
    <x:row r="80">
      <x:c r="A80" s="549"/>
      <x:c r="B80" s="549"/>
      <x:c r="C80" s="554" t="str">
        <x:f>IF($B80="","",_xlfn.XLOOKUP($B80,$A$11:$A$18,$C$11:$C$18,"工作流未建立",0))</x:f>
      </x:c>
      <x:c r="D80" s="566"/>
      <x:c r="E80" s="549"/>
      <x:c r="F80" s="567"/>
      <x:c r="G80" s="549"/>
      <x:c r="H80" s="567"/>
      <x:c r="I80" s="566"/>
      <x:c r="J80" s="549"/>
      <x:c r="K80" s="549"/>
      <x:c r="L80" s="566"/>
      <x:c r="M80" s="554" t="str">
        <x:f>IF($A80="","",IF(COUNTIFS($A$23:$A$82,$A80)&gt;1,"批次編號重複",IF(OR($B80="",$D80="",$E80="",$F80="",$G80="",$K80="",$L80=""),"待補批次資料",IF($D80&lt;=0,"處理量需大於 0",IF($D80&gt;$L80,"處理量超過建立時待辦",IF($G80="已完成",IF(OR($H80="",$I80="",$J80=""),"待補完成證據","批次有效"),IF(OR($H80&lt;&gt;"",$I80&lt;&gt;"",$J80&lt;&gt;""),"完成證據與狀態不一致","批次有效")))))))</x:f>
      </x:c>
      <x:c r="N80" s="554" t="str">
        <x:f>IF($A80="","",IF($M80="批次有效",IF($G80="已完成","回到工作流摘要確認剩餘待辦","依期限到原核定表逐筆處理"),IF($M80="批次編號重複","更換批次編號",IF($M80="待補完成證據","補填完成日、實際完成量與複核人","依批次檢核補齊或修正資料"))))</x:f>
      </x:c>
      <x:c r="O80" s="554" t="str">
        <x:f>IF($A80="","",IF($M80&lt;&gt;"批次有效","先完成批次檢核",IF($D80&gt;_xlfn.XLOOKUP($B80,$A$11:$A$18,$I$11:$I$18,0,0),"高於建議單批量","在建議單批量內")))</x:f>
      </x:c>
      <x:c r="P80" s="549"/>
    </x:row>
    <x:row r="81">
      <x:c r="A81" s="549"/>
      <x:c r="B81" s="549"/>
      <x:c r="C81" s="554" t="str">
        <x:f>IF($B81="","",_xlfn.XLOOKUP($B81,$A$11:$A$18,$C$11:$C$18,"工作流未建立",0))</x:f>
      </x:c>
      <x:c r="D81" s="566"/>
      <x:c r="E81" s="549"/>
      <x:c r="F81" s="567"/>
      <x:c r="G81" s="549"/>
      <x:c r="H81" s="567"/>
      <x:c r="I81" s="566"/>
      <x:c r="J81" s="549"/>
      <x:c r="K81" s="549"/>
      <x:c r="L81" s="566"/>
      <x:c r="M81" s="554" t="str">
        <x:f>IF($A81="","",IF(COUNTIFS($A$23:$A$82,$A81)&gt;1,"批次編號重複",IF(OR($B81="",$D81="",$E81="",$F81="",$G81="",$K81="",$L81=""),"待補批次資料",IF($D81&lt;=0,"處理量需大於 0",IF($D81&gt;$L81,"處理量超過建立時待辦",IF($G81="已完成",IF(OR($H81="",$I81="",$J81=""),"待補完成證據","批次有效"),IF(OR($H81&lt;&gt;"",$I81&lt;&gt;"",$J81&lt;&gt;""),"完成證據與狀態不一致","批次有效")))))))</x:f>
      </x:c>
      <x:c r="N81" s="554" t="str">
        <x:f>IF($A81="","",IF($M81="批次有效",IF($G81="已完成","回到工作流摘要確認剩餘待辦","依期限到原核定表逐筆處理"),IF($M81="批次編號重複","更換批次編號",IF($M81="待補完成證據","補填完成日、實際完成量與複核人","依批次檢核補齊或修正資料"))))</x:f>
      </x:c>
      <x:c r="O81" s="554" t="str">
        <x:f>IF($A81="","",IF($M81&lt;&gt;"批次有效","先完成批次檢核",IF($D81&gt;_xlfn.XLOOKUP($B81,$A$11:$A$18,$I$11:$I$18,0,0),"高於建議單批量","在建議單批量內")))</x:f>
      </x:c>
      <x:c r="P81" s="549"/>
    </x:row>
    <x:row r="82">
      <x:c r="A82" s="549"/>
      <x:c r="B82" s="549"/>
      <x:c r="C82" s="554" t="str">
        <x:f>IF($B82="","",_xlfn.XLOOKUP($B82,$A$11:$A$18,$C$11:$C$18,"工作流未建立",0))</x:f>
      </x:c>
      <x:c r="D82" s="566"/>
      <x:c r="E82" s="549"/>
      <x:c r="F82" s="567"/>
      <x:c r="G82" s="549"/>
      <x:c r="H82" s="567"/>
      <x:c r="I82" s="566"/>
      <x:c r="J82" s="549"/>
      <x:c r="K82" s="549"/>
      <x:c r="L82" s="566"/>
      <x:c r="M82" s="554" t="str">
        <x:f>IF($A82="","",IF(COUNTIFS($A$23:$A$82,$A82)&gt;1,"批次編號重複",IF(OR($B82="",$D82="",$E82="",$F82="",$G82="",$K82="",$L82=""),"待補批次資料",IF($D82&lt;=0,"處理量需大於 0",IF($D82&gt;$L82,"處理量超過建立時待辦",IF($G82="已完成",IF(OR($H82="",$I82="",$J82=""),"待補完成證據","批次有效"),IF(OR($H82&lt;&gt;"",$I82&lt;&gt;"",$J82&lt;&gt;""),"完成證據與狀態不一致","批次有效")))))))</x:f>
      </x:c>
      <x:c r="N82" s="554" t="str">
        <x:f>IF($A82="","",IF($M82="批次有效",IF($G82="已完成","回到工作流摘要確認剩餘待辦","依期限到原核定表逐筆處理"),IF($M82="批次編號重複","更換批次編號",IF($M82="待補完成證據","補填完成日、實際完成量與複核人","依批次檢核補齊或修正資料"))))</x:f>
      </x:c>
      <x:c r="O82" s="554" t="str">
        <x:f>IF($A82="","",IF($M82&lt;&gt;"批次有效","先完成批次檢核",IF($D82&gt;_xlfn.XLOOKUP($B82,$A$11:$A$18,$I$11:$I$18,0,0),"高於建議單批量","在建議單批量內")))</x:f>
      </x:c>
      <x:c r="P82" s="549"/>
    </x:row>
  </x:sheetData>
  <x:mergeCells>
    <x:mergeCell ref="A6:B6"/>
    <x:mergeCell ref="C6:F6"/>
    <x:mergeCell ref="G6:H6"/>
    <x:mergeCell ref="I6:J6"/>
    <x:mergeCell ref="K6:L6"/>
    <x:mergeCell ref="M6:N6"/>
    <x:mergeCell ref="A7:B7"/>
    <x:mergeCell ref="C7:F7"/>
    <x:mergeCell ref="G7:H7"/>
    <x:mergeCell ref="I7:J7"/>
    <x:mergeCell ref="K7:L7"/>
    <x:mergeCell ref="M7:N7"/>
    <x:mergeCell ref="A2:P2"/>
    <x:mergeCell ref="A4:P4"/>
    <x:mergeCell ref="O6:P6"/>
    <x:mergeCell ref="O7:P7"/>
    <x:mergeCell ref="A19:N19"/>
    <x:mergeCell ref="A21:P21"/>
  </x:mergeCells>
  <x:conditionalFormatting sqref="G11:G18">
    <x:cfRule type="containsText" dxfId="130" priority="1" operator="containsText" text="系統已完成"/>
    <x:cfRule type="containsText" dxfId="131" priority="2" operator="containsText" text="未安排"/>
    <x:cfRule type="containsText" dxfId="170" priority="6" operator="containsText" text="規劃已涵蓋"/>
    <x:cfRule type="containsText" dxfId="171" priority="7" operator="containsText" text="部分已規劃"/>
  </x:conditionalFormatting>
  <x:conditionalFormatting sqref="M23:M42">
    <x:cfRule type="containsText" dxfId="132" priority="3" operator="containsText" text="批次有效"/>
    <x:cfRule type="containsText" dxfId="133" priority="4" operator="containsText" text="重複"/>
    <x:cfRule type="containsText" dxfId="134" priority="5" operator="containsText" text="不一致"/>
  </x:conditionalFormatting>
  <x:conditionalFormatting sqref="M23:M82">
    <x:cfRule type="containsText" dxfId="172" priority="8" operator="containsText" text="批次有效"/>
    <x:cfRule type="containsText" dxfId="173" priority="9" operator="containsText" text="重複"/>
    <x:cfRule type="containsText" dxfId="174" priority="10" operator="containsText" text="不一致"/>
  </x:conditionalFormatting>
  <x:conditionalFormatting sqref="O23:O82">
    <x:cfRule type="containsText" dxfId="175" priority="11" operator="containsText" text="高於"/>
  </x:conditionalFormatting>
  <x:dataValidations count="4">
    <x:dataValidation type="list" sqref="B23:B42">
      <x:formula1>'主管核定批次'!$A$11:$A$18</x:formula1>
    </x:dataValidation>
    <x:dataValidation type="list" sqref="G23:G42">
      <x:formula1>"未開始,執行中,已完成,取消"</x:formula1>
    </x:dataValidation>
    <x:dataValidation type="list" sqref="B23:B82">
      <x:formula1>'主管核定批次'!$A$11:$A$18</x:formula1>
    </x:dataValidation>
    <x:dataValidation type="list" sqref="G23:G82">
      <x:formula1>"未開始,執行中,已完成,取消"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F4B183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8" hidden="0" customWidth="1"/>
    <x:col min="5" max="5" width="18" hidden="0" customWidth="1"/>
    <x:col min="6" max="6" width="14" hidden="0" customWidth="1"/>
    <x:col min="7" max="7" width="18" hidden="0" customWidth="1"/>
    <x:col min="8" max="8" width="20" hidden="0" customWidth="1"/>
    <x:col min="9" max="9" width="18" hidden="0" customWidth="1"/>
    <x:col min="10" max="10" width="38" hidden="0" customWidth="1"/>
    <x:col min="11" max="11" width="14" hidden="0" customWidth="1"/>
    <x:col min="12" max="12" width="14" hidden="0" customWidth="1"/>
    <x:col min="13" max="13" width="16" hidden="0" customWidth="1"/>
    <x:col min="14" max="14" width="16" hidden="0" customWidth="1"/>
    <x:col min="15" max="15" width="32" hidden="0" customWidth="1"/>
    <x:col min="16" max="16" width="28" hidden="0" customWidth="1"/>
    <x:col min="17" max="17" width="38" hidden="0" customWidth="1"/>
    <x:col min="18" max="18" width="24" hidden="0" customWidth="1"/>
    <x:col min="19" max="19" width="42" hidden="0" customWidth="1"/>
  </x:cols>
  <x:sheetData>
    <x:row r="2">
      <x:c r="A2" s="568" t="str">
        <x:v>其他醫師模式能力與資格要求輸入</x:v>
      </x:c>
      <x:c r="B2" s="568"/>
      <x:c r="C2" s="568"/>
      <x:c r="D2" s="568"/>
      <x:c r="E2" s="568"/>
      <x:c r="F2" s="568"/>
      <x:c r="G2" s="568"/>
      <x:c r="H2" s="568"/>
      <x:c r="I2" s="568"/>
      <x:c r="J2" s="568"/>
      <x:c r="K2" s="568"/>
      <x:c r="L2" s="568"/>
      <x:c r="M2" s="568"/>
      <x:c r="N2" s="568"/>
      <x:c r="O2" s="568"/>
      <x:c r="P2" s="568"/>
      <x:c r="Q2" s="568"/>
      <x:c r="R2" s="568"/>
      <x:c r="S2" s="568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</x:row>
    <x:row r="4">
      <x:c r="A4" s="454" t="str">
        <x:v>每列只登記一個模式×技能×角色要求。模式規則已發布、所有要求逐列發布，且醫師主管將該模式的要求集標記為已完整後，模式才會進入排班建檔清單；請勿從舊能力表推定門檻。</x:v>
      </x:c>
      <x:c r="B4" s="454"/>
      <x:c r="C4" s="454"/>
      <x:c r="D4" s="454"/>
      <x:c r="E4" s="454"/>
      <x:c r="F4" s="454"/>
      <x:c r="G4" s="454"/>
      <x:c r="H4" s="454"/>
      <x:c r="I4" s="454"/>
      <x:c r="J4" s="454"/>
      <x:c r="K4" s="454"/>
      <x:c r="L4" s="454"/>
      <x:c r="M4" s="454"/>
      <x:c r="N4" s="454"/>
      <x:c r="O4" s="454"/>
      <x:c r="P4" s="454"/>
      <x:c r="Q4" s="454"/>
      <x:c r="R4" s="454"/>
      <x:c r="S4" s="454"/>
    </x:row>
    <x:row r="6">
      <x:c r="A6" s="573" t="str">
        <x:v>要求編號</x:v>
      </x:c>
      <x:c r="B6" s="573" t="str">
        <x:v>模式代碼</x:v>
      </x:c>
      <x:c r="C6" s="573" t="str">
        <x:v>醫師</x:v>
      </x:c>
      <x:c r="D6" s="573" t="str">
        <x:v>技能代碼</x:v>
      </x:c>
      <x:c r="E6" s="573" t="str">
        <x:v>人員角色</x:v>
      </x:c>
      <x:c r="F6" s="573" t="str">
        <x:v>必要性</x:v>
      </x:c>
      <x:c r="G6" s="573" t="str">
        <x:v>獨立最低評等</x:v>
      </x:c>
      <x:c r="H6" s="573" t="str">
        <x:v>條件排最低評等</x:v>
      </x:c>
      <x:c r="I6" s="573" t="str">
        <x:v>資格要求</x:v>
      </x:c>
      <x:c r="J6" s="573" t="str">
        <x:v>支援規則</x:v>
      </x:c>
      <x:c r="K6" s="573" t="str">
        <x:v>版本</x:v>
      </x:c>
      <x:c r="L6" s="573" t="str">
        <x:v>生效日</x:v>
      </x:c>
      <x:c r="M6" s="573" t="str">
        <x:v>核定狀態</x:v>
      </x:c>
      <x:c r="N6" s="573" t="str">
        <x:v>核定人</x:v>
      </x:c>
      <x:c r="O6" s="573" t="str">
        <x:v>來源文件／版本</x:v>
      </x:c>
      <x:c r="P6" s="573" t="str">
        <x:v>來源定位</x:v>
      </x:c>
      <x:c r="Q6" s="573" t="str">
        <x:v>備註</x:v>
      </x:c>
      <x:c r="R6" s="573" t="str">
        <x:v>收件檢核</x:v>
      </x:c>
      <x:c r="S6" s="573" t="str">
        <x:v>下一步</x:v>
      </x:c>
    </x:row>
    <x:row r="7">
      <x:c r="A7" s="577"/>
      <x:c r="B7" s="577"/>
      <x:c r="C7" s="577"/>
      <x:c r="D7" s="577"/>
      <x:c r="E7" s="577"/>
      <x:c r="F7" s="577"/>
      <x:c r="G7" s="577"/>
      <x:c r="H7" s="577"/>
      <x:c r="I7" s="577"/>
      <x:c r="J7" s="577"/>
      <x:c r="K7" s="577"/>
      <x:c r="L7" s="578"/>
      <x:c r="M7" s="577"/>
      <x:c r="N7" s="577"/>
      <x:c r="O7" s="577"/>
      <x:c r="P7" s="577"/>
      <x:c r="Q7" s="577"/>
      <x:c r="R7" s="579" t="str">
        <x:f>IF($B7="","",IF($M7="停用","停用",IF($M7="退回補件","退回補件",IF(COUNTIFS($A$7:$A$306,$A7)&gt;1,"要求編號重複",IF(COUNTIFS('醫師模式規則輸入'!$D$7:$D$156,$B7,'醫師模式規則輸入'!$B$7:$B$156,$C7)&lt;&gt;1,"模式或醫師未建立",IF(COUNTIFS('技能主檔_V1'!$A$7:$A$200,$D7,'技能主檔_V1'!$J$7:$J$200,"啟用")&lt;&gt;1,"技能未在主檔啟用",IF(OR($A7="",$E7="",$F7="",$G7="",$H7="",$I7="",$J7="",$K7="",$L7="",$N7=""),IF($M7="已核定","已核定但資料未完整","待補欄位或核定"),IF(OR($O7="",$P7=""),IF($M7="已核定","已核定但缺來源依據","待補來源依據"),IF($M7="已核定","可發布","待主管核定")))))))))</x:f>
      </x:c>
      <x:c r="S7" s="579" t="str">
        <x:f>IF($B7="","",IF($R7="可發布","回到醫師模式規則輸入，將能力要求集標記為已完整",IF(OR($R7="停用",$R7="退回補件"),"依狀態處理",IF(ISNUMBER(SEARCH("來源",$R7)),"補齊來源文件與定位",IF(ISNUMBER(SEARCH("技能",$R7)),"先完成技能名稱對照並發布技能主檔",IF(ISNUMBER(SEARCH("模式",$R7)),"先建立相符的醫師模式規則","補齊欄位並完成主管核定"))))))</x:f>
      </x:c>
    </x:row>
    <x:row r="8">
      <x:c r="A8" s="577"/>
      <x:c r="B8" s="577"/>
      <x:c r="C8" s="577"/>
      <x:c r="D8" s="577"/>
      <x:c r="E8" s="577"/>
      <x:c r="F8" s="577"/>
      <x:c r="G8" s="577"/>
      <x:c r="H8" s="577"/>
      <x:c r="I8" s="577"/>
      <x:c r="J8" s="577"/>
      <x:c r="K8" s="577"/>
      <x:c r="L8" s="578"/>
      <x:c r="M8" s="577"/>
      <x:c r="N8" s="577"/>
      <x:c r="O8" s="577"/>
      <x:c r="P8" s="577"/>
      <x:c r="Q8" s="577"/>
      <x:c r="R8" s="579" t="str">
        <x:f>IF($B8="","",IF($M8="停用","停用",IF($M8="退回補件","退回補件",IF(COUNTIFS($A$7:$A$306,$A8)&gt;1,"要求編號重複",IF(COUNTIFS('醫師模式規則輸入'!$D$7:$D$156,$B8,'醫師模式規則輸入'!$B$7:$B$156,$C8)&lt;&gt;1,"模式或醫師未建立",IF(COUNTIFS('技能主檔_V1'!$A$7:$A$200,$D8,'技能主檔_V1'!$J$7:$J$200,"啟用")&lt;&gt;1,"技能未在主檔啟用",IF(OR($A8="",$E8="",$F8="",$G8="",$H8="",$I8="",$J8="",$K8="",$L8="",$N8=""),IF($M8="已核定","已核定但資料未完整","待補欄位或核定"),IF(OR($O8="",$P8=""),IF($M8="已核定","已核定但缺來源依據","待補來源依據"),IF($M8="已核定","可發布","待主管核定")))))))))</x:f>
      </x:c>
      <x:c r="S8" s="579" t="str">
        <x:f>IF($B8="","",IF($R8="可發布","回到醫師模式規則輸入，將能力要求集標記為已完整",IF(OR($R8="停用",$R8="退回補件"),"依狀態處理",IF(ISNUMBER(SEARCH("來源",$R8)),"補齊來源文件與定位",IF(ISNUMBER(SEARCH("技能",$R8)),"先完成技能名稱對照並發布技能主檔",IF(ISNUMBER(SEARCH("模式",$R8)),"先建立相符的醫師模式規則","補齊欄位並完成主管核定"))))))</x:f>
      </x:c>
    </x:row>
    <x:row r="9">
      <x:c r="A9" s="577"/>
      <x:c r="B9" s="577"/>
      <x:c r="C9" s="577"/>
      <x:c r="D9" s="577"/>
      <x:c r="E9" s="577"/>
      <x:c r="F9" s="577"/>
      <x:c r="G9" s="577"/>
      <x:c r="H9" s="577"/>
      <x:c r="I9" s="577"/>
      <x:c r="J9" s="577"/>
      <x:c r="K9" s="577"/>
      <x:c r="L9" s="578"/>
      <x:c r="M9" s="577"/>
      <x:c r="N9" s="577"/>
      <x:c r="O9" s="577"/>
      <x:c r="P9" s="577"/>
      <x:c r="Q9" s="577"/>
      <x:c r="R9" s="579" t="str">
        <x:f>IF($B9="","",IF($M9="停用","停用",IF($M9="退回補件","退回補件",IF(COUNTIFS($A$7:$A$306,$A9)&gt;1,"要求編號重複",IF(COUNTIFS('醫師模式規則輸入'!$D$7:$D$156,$B9,'醫師模式規則輸入'!$B$7:$B$156,$C9)&lt;&gt;1,"模式或醫師未建立",IF(COUNTIFS('技能主檔_V1'!$A$7:$A$200,$D9,'技能主檔_V1'!$J$7:$J$200,"啟用")&lt;&gt;1,"技能未在主檔啟用",IF(OR($A9="",$E9="",$F9="",$G9="",$H9="",$I9="",$J9="",$K9="",$L9="",$N9=""),IF($M9="已核定","已核定但資料未完整","待補欄位或核定"),IF(OR($O9="",$P9=""),IF($M9="已核定","已核定但缺來源依據","待補來源依據"),IF($M9="已核定","可發布","待主管核定")))))))))</x:f>
      </x:c>
      <x:c r="S9" s="579" t="str">
        <x:f>IF($B9="","",IF($R9="可發布","回到醫師模式規則輸入，將能力要求集標記為已完整",IF(OR($R9="停用",$R9="退回補件"),"依狀態處理",IF(ISNUMBER(SEARCH("來源",$R9)),"補齊來源文件與定位",IF(ISNUMBER(SEARCH("技能",$R9)),"先完成技能名稱對照並發布技能主檔",IF(ISNUMBER(SEARCH("模式",$R9)),"先建立相符的醫師模式規則","補齊欄位並完成主管核定"))))))</x:f>
      </x:c>
    </x:row>
    <x:row r="10">
      <x:c r="A10" s="577"/>
      <x:c r="B10" s="577"/>
      <x:c r="C10" s="577"/>
      <x:c r="D10" s="577"/>
      <x:c r="E10" s="577"/>
      <x:c r="F10" s="577"/>
      <x:c r="G10" s="577"/>
      <x:c r="H10" s="577"/>
      <x:c r="I10" s="577"/>
      <x:c r="J10" s="577"/>
      <x:c r="K10" s="577"/>
      <x:c r="L10" s="578"/>
      <x:c r="M10" s="577"/>
      <x:c r="N10" s="577"/>
      <x:c r="O10" s="577"/>
      <x:c r="P10" s="577"/>
      <x:c r="Q10" s="577"/>
      <x:c r="R10" s="579" t="str">
        <x:f>IF($B10="","",IF($M10="停用","停用",IF($M10="退回補件","退回補件",IF(COUNTIFS($A$7:$A$306,$A10)&gt;1,"要求編號重複",IF(COUNTIFS('醫師模式規則輸入'!$D$7:$D$156,$B10,'醫師模式規則輸入'!$B$7:$B$156,$C10)&lt;&gt;1,"模式或醫師未建立",IF(COUNTIFS('技能主檔_V1'!$A$7:$A$200,$D10,'技能主檔_V1'!$J$7:$J$200,"啟用")&lt;&gt;1,"技能未在主檔啟用",IF(OR($A10="",$E10="",$F10="",$G10="",$H10="",$I10="",$J10="",$K10="",$L10="",$N10=""),IF($M10="已核定","已核定但資料未完整","待補欄位或核定"),IF(OR($O10="",$P10=""),IF($M10="已核定","已核定但缺來源依據","待補來源依據"),IF($M10="已核定","可發布","待主管核定")))))))))</x:f>
      </x:c>
      <x:c r="S10" s="579" t="str">
        <x:f>IF($B10="","",IF($R10="可發布","回到醫師模式規則輸入，將能力要求集標記為已完整",IF(OR($R10="停用",$R10="退回補件"),"依狀態處理",IF(ISNUMBER(SEARCH("來源",$R10)),"補齊來源文件與定位",IF(ISNUMBER(SEARCH("技能",$R10)),"先完成技能名稱對照並發布技能主檔",IF(ISNUMBER(SEARCH("模式",$R10)),"先建立相符的醫師模式規則","補齊欄位並完成主管核定"))))))</x:f>
      </x:c>
    </x:row>
    <x:row r="11">
      <x:c r="A11" s="577"/>
      <x:c r="B11" s="577"/>
      <x:c r="C11" s="577"/>
      <x:c r="D11" s="577"/>
      <x:c r="E11" s="577"/>
      <x:c r="F11" s="577"/>
      <x:c r="G11" s="577"/>
      <x:c r="H11" s="577"/>
      <x:c r="I11" s="577"/>
      <x:c r="J11" s="577"/>
      <x:c r="K11" s="577"/>
      <x:c r="L11" s="578"/>
      <x:c r="M11" s="577"/>
      <x:c r="N11" s="577"/>
      <x:c r="O11" s="577"/>
      <x:c r="P11" s="577"/>
      <x:c r="Q11" s="577"/>
      <x:c r="R11" s="579" t="str">
        <x:f>IF($B11="","",IF($M11="停用","停用",IF($M11="退回補件","退回補件",IF(COUNTIFS($A$7:$A$306,$A11)&gt;1,"要求編號重複",IF(COUNTIFS('醫師模式規則輸入'!$D$7:$D$156,$B11,'醫師模式規則輸入'!$B$7:$B$156,$C11)&lt;&gt;1,"模式或醫師未建立",IF(COUNTIFS('技能主檔_V1'!$A$7:$A$200,$D11,'技能主檔_V1'!$J$7:$J$200,"啟用")&lt;&gt;1,"技能未在主檔啟用",IF(OR($A11="",$E11="",$F11="",$G11="",$H11="",$I11="",$J11="",$K11="",$L11="",$N11=""),IF($M11="已核定","已核定但資料未完整","待補欄位或核定"),IF(OR($O11="",$P11=""),IF($M11="已核定","已核定但缺來源依據","待補來源依據"),IF($M11="已核定","可發布","待主管核定")))))))))</x:f>
      </x:c>
      <x:c r="S11" s="579" t="str">
        <x:f>IF($B11="","",IF($R11="可發布","回到醫師模式規則輸入，將能力要求集標記為已完整",IF(OR($R11="停用",$R11="退回補件"),"依狀態處理",IF(ISNUMBER(SEARCH("來源",$R11)),"補齊來源文件與定位",IF(ISNUMBER(SEARCH("技能",$R11)),"先完成技能名稱對照並發布技能主檔",IF(ISNUMBER(SEARCH("模式",$R11)),"先建立相符的醫師模式規則","補齊欄位並完成主管核定"))))))</x:f>
      </x:c>
    </x:row>
    <x:row r="12">
      <x:c r="A12" s="577"/>
      <x:c r="B12" s="577"/>
      <x:c r="C12" s="577"/>
      <x:c r="D12" s="577"/>
      <x:c r="E12" s="577"/>
      <x:c r="F12" s="577"/>
      <x:c r="G12" s="577"/>
      <x:c r="H12" s="577"/>
      <x:c r="I12" s="577"/>
      <x:c r="J12" s="577"/>
      <x:c r="K12" s="577"/>
      <x:c r="L12" s="578"/>
      <x:c r="M12" s="577"/>
      <x:c r="N12" s="577"/>
      <x:c r="O12" s="577"/>
      <x:c r="P12" s="577"/>
      <x:c r="Q12" s="577"/>
      <x:c r="R12" s="579" t="str">
        <x:f>IF($B12="","",IF($M12="停用","停用",IF($M12="退回補件","退回補件",IF(COUNTIFS($A$7:$A$306,$A12)&gt;1,"要求編號重複",IF(COUNTIFS('醫師模式規則輸入'!$D$7:$D$156,$B12,'醫師模式規則輸入'!$B$7:$B$156,$C12)&lt;&gt;1,"模式或醫師未建立",IF(COUNTIFS('技能主檔_V1'!$A$7:$A$200,$D12,'技能主檔_V1'!$J$7:$J$200,"啟用")&lt;&gt;1,"技能未在主檔啟用",IF(OR($A12="",$E12="",$F12="",$G12="",$H12="",$I12="",$J12="",$K12="",$L12="",$N12=""),IF($M12="已核定","已核定但資料未完整","待補欄位或核定"),IF(OR($O12="",$P12=""),IF($M12="已核定","已核定但缺來源依據","待補來源依據"),IF($M12="已核定","可發布","待主管核定")))))))))</x:f>
      </x:c>
      <x:c r="S12" s="579" t="str">
        <x:f>IF($B12="","",IF($R12="可發布","回到醫師模式規則輸入，將能力要求集標記為已完整",IF(OR($R12="停用",$R12="退回補件"),"依狀態處理",IF(ISNUMBER(SEARCH("來源",$R12)),"補齊來源文件與定位",IF(ISNUMBER(SEARCH("技能",$R12)),"先完成技能名稱對照並發布技能主檔",IF(ISNUMBER(SEARCH("模式",$R12)),"先建立相符的醫師模式規則","補齊欄位並完成主管核定"))))))</x:f>
      </x:c>
    </x:row>
    <x:row r="13">
      <x:c r="A13" s="577"/>
      <x:c r="B13" s="577"/>
      <x:c r="C13" s="577"/>
      <x:c r="D13" s="577"/>
      <x:c r="E13" s="577"/>
      <x:c r="F13" s="577"/>
      <x:c r="G13" s="577"/>
      <x:c r="H13" s="577"/>
      <x:c r="I13" s="577"/>
      <x:c r="J13" s="577"/>
      <x:c r="K13" s="577"/>
      <x:c r="L13" s="578"/>
      <x:c r="M13" s="577"/>
      <x:c r="N13" s="577"/>
      <x:c r="O13" s="577"/>
      <x:c r="P13" s="577"/>
      <x:c r="Q13" s="577"/>
      <x:c r="R13" s="579" t="str">
        <x:f>IF($B13="","",IF($M13="停用","停用",IF($M13="退回補件","退回補件",IF(COUNTIFS($A$7:$A$306,$A13)&gt;1,"要求編號重複",IF(COUNTIFS('醫師模式規則輸入'!$D$7:$D$156,$B13,'醫師模式規則輸入'!$B$7:$B$156,$C13)&lt;&gt;1,"模式或醫師未建立",IF(COUNTIFS('技能主檔_V1'!$A$7:$A$200,$D13,'技能主檔_V1'!$J$7:$J$200,"啟用")&lt;&gt;1,"技能未在主檔啟用",IF(OR($A13="",$E13="",$F13="",$G13="",$H13="",$I13="",$J13="",$K13="",$L13="",$N13=""),IF($M13="已核定","已核定但資料未完整","待補欄位或核定"),IF(OR($O13="",$P13=""),IF($M13="已核定","已核定但缺來源依據","待補來源依據"),IF($M13="已核定","可發布","待主管核定")))))))))</x:f>
      </x:c>
      <x:c r="S13" s="579" t="str">
        <x:f>IF($B13="","",IF($R13="可發布","回到醫師模式規則輸入，將能力要求集標記為已完整",IF(OR($R13="停用",$R13="退回補件"),"依狀態處理",IF(ISNUMBER(SEARCH("來源",$R13)),"補齊來源文件與定位",IF(ISNUMBER(SEARCH("技能",$R13)),"先完成技能名稱對照並發布技能主檔",IF(ISNUMBER(SEARCH("模式",$R13)),"先建立相符的醫師模式規則","補齊欄位並完成主管核定"))))))</x:f>
      </x:c>
    </x:row>
    <x:row r="14">
      <x:c r="A14" s="577"/>
      <x:c r="B14" s="577"/>
      <x:c r="C14" s="577"/>
      <x:c r="D14" s="577"/>
      <x:c r="E14" s="577"/>
      <x:c r="F14" s="577"/>
      <x:c r="G14" s="577"/>
      <x:c r="H14" s="577"/>
      <x:c r="I14" s="577"/>
      <x:c r="J14" s="577"/>
      <x:c r="K14" s="577"/>
      <x:c r="L14" s="578"/>
      <x:c r="M14" s="577"/>
      <x:c r="N14" s="577"/>
      <x:c r="O14" s="577"/>
      <x:c r="P14" s="577"/>
      <x:c r="Q14" s="577"/>
      <x:c r="R14" s="579" t="str">
        <x:f>IF($B14="","",IF($M14="停用","停用",IF($M14="退回補件","退回補件",IF(COUNTIFS($A$7:$A$306,$A14)&gt;1,"要求編號重複",IF(COUNTIFS('醫師模式規則輸入'!$D$7:$D$156,$B14,'醫師模式規則輸入'!$B$7:$B$156,$C14)&lt;&gt;1,"模式或醫師未建立",IF(COUNTIFS('技能主檔_V1'!$A$7:$A$200,$D14,'技能主檔_V1'!$J$7:$J$200,"啟用")&lt;&gt;1,"技能未在主檔啟用",IF(OR($A14="",$E14="",$F14="",$G14="",$H14="",$I14="",$J14="",$K14="",$L14="",$N14=""),IF($M14="已核定","已核定但資料未完整","待補欄位或核定"),IF(OR($O14="",$P14=""),IF($M14="已核定","已核定但缺來源依據","待補來源依據"),IF($M14="已核定","可發布","待主管核定")))))))))</x:f>
      </x:c>
      <x:c r="S14" s="579" t="str">
        <x:f>IF($B14="","",IF($R14="可發布","回到醫師模式規則輸入，將能力要求集標記為已完整",IF(OR($R14="停用",$R14="退回補件"),"依狀態處理",IF(ISNUMBER(SEARCH("來源",$R14)),"補齊來源文件與定位",IF(ISNUMBER(SEARCH("技能",$R14)),"先完成技能名稱對照並發布技能主檔",IF(ISNUMBER(SEARCH("模式",$R14)),"先建立相符的醫師模式規則","補齊欄位並完成主管核定"))))))</x:f>
      </x:c>
    </x:row>
    <x:row r="15">
      <x:c r="A15" s="577"/>
      <x:c r="B15" s="577"/>
      <x:c r="C15" s="577"/>
      <x:c r="D15" s="577"/>
      <x:c r="E15" s="577"/>
      <x:c r="F15" s="577"/>
      <x:c r="G15" s="577"/>
      <x:c r="H15" s="577"/>
      <x:c r="I15" s="577"/>
      <x:c r="J15" s="577"/>
      <x:c r="K15" s="577"/>
      <x:c r="L15" s="578"/>
      <x:c r="M15" s="577"/>
      <x:c r="N15" s="577"/>
      <x:c r="O15" s="577"/>
      <x:c r="P15" s="577"/>
      <x:c r="Q15" s="577"/>
      <x:c r="R15" s="579" t="str">
        <x:f>IF($B15="","",IF($M15="停用","停用",IF($M15="退回補件","退回補件",IF(COUNTIFS($A$7:$A$306,$A15)&gt;1,"要求編號重複",IF(COUNTIFS('醫師模式規則輸入'!$D$7:$D$156,$B15,'醫師模式規則輸入'!$B$7:$B$156,$C15)&lt;&gt;1,"模式或醫師未建立",IF(COUNTIFS('技能主檔_V1'!$A$7:$A$200,$D15,'技能主檔_V1'!$J$7:$J$200,"啟用")&lt;&gt;1,"技能未在主檔啟用",IF(OR($A15="",$E15="",$F15="",$G15="",$H15="",$I15="",$J15="",$K15="",$L15="",$N15=""),IF($M15="已核定","已核定但資料未完整","待補欄位或核定"),IF(OR($O15="",$P15=""),IF($M15="已核定","已核定但缺來源依據","待補來源依據"),IF($M15="已核定","可發布","待主管核定")))))))))</x:f>
      </x:c>
      <x:c r="S15" s="579" t="str">
        <x:f>IF($B15="","",IF($R15="可發布","回到醫師模式規則輸入，將能力要求集標記為已完整",IF(OR($R15="停用",$R15="退回補件"),"依狀態處理",IF(ISNUMBER(SEARCH("來源",$R15)),"補齊來源文件與定位",IF(ISNUMBER(SEARCH("技能",$R15)),"先完成技能名稱對照並發布技能主檔",IF(ISNUMBER(SEARCH("模式",$R15)),"先建立相符的醫師模式規則","補齊欄位並完成主管核定"))))))</x:f>
      </x:c>
    </x:row>
    <x:row r="16">
      <x:c r="A16" s="577"/>
      <x:c r="B16" s="577"/>
      <x:c r="C16" s="577"/>
      <x:c r="D16" s="577"/>
      <x:c r="E16" s="577"/>
      <x:c r="F16" s="577"/>
      <x:c r="G16" s="577"/>
      <x:c r="H16" s="577"/>
      <x:c r="I16" s="577"/>
      <x:c r="J16" s="577"/>
      <x:c r="K16" s="577"/>
      <x:c r="L16" s="578"/>
      <x:c r="M16" s="577"/>
      <x:c r="N16" s="577"/>
      <x:c r="O16" s="577"/>
      <x:c r="P16" s="577"/>
      <x:c r="Q16" s="577"/>
      <x:c r="R16" s="579" t="str">
        <x:f>IF($B16="","",IF($M16="停用","停用",IF($M16="退回補件","退回補件",IF(COUNTIFS($A$7:$A$306,$A16)&gt;1,"要求編號重複",IF(COUNTIFS('醫師模式規則輸入'!$D$7:$D$156,$B16,'醫師模式規則輸入'!$B$7:$B$156,$C16)&lt;&gt;1,"模式或醫師未建立",IF(COUNTIFS('技能主檔_V1'!$A$7:$A$200,$D16,'技能主檔_V1'!$J$7:$J$200,"啟用")&lt;&gt;1,"技能未在主檔啟用",IF(OR($A16="",$E16="",$F16="",$G16="",$H16="",$I16="",$J16="",$K16="",$L16="",$N16=""),IF($M16="已核定","已核定但資料未完整","待補欄位或核定"),IF(OR($O16="",$P16=""),IF($M16="已核定","已核定但缺來源依據","待補來源依據"),IF($M16="已核定","可發布","待主管核定")))))))))</x:f>
      </x:c>
      <x:c r="S16" s="579" t="str">
        <x:f>IF($B16="","",IF($R16="可發布","回到醫師模式規則輸入，將能力要求集標記為已完整",IF(OR($R16="停用",$R16="退回補件"),"依狀態處理",IF(ISNUMBER(SEARCH("來源",$R16)),"補齊來源文件與定位",IF(ISNUMBER(SEARCH("技能",$R16)),"先完成技能名稱對照並發布技能主檔",IF(ISNUMBER(SEARCH("模式",$R16)),"先建立相符的醫師模式規則","補齊欄位並完成主管核定"))))))</x:f>
      </x:c>
    </x:row>
    <x:row r="17">
      <x:c r="A17" s="577"/>
      <x:c r="B17" s="577"/>
      <x:c r="C17" s="577"/>
      <x:c r="D17" s="577"/>
      <x:c r="E17" s="577"/>
      <x:c r="F17" s="577"/>
      <x:c r="G17" s="577"/>
      <x:c r="H17" s="577"/>
      <x:c r="I17" s="577"/>
      <x:c r="J17" s="577"/>
      <x:c r="K17" s="577"/>
      <x:c r="L17" s="578"/>
      <x:c r="M17" s="577"/>
      <x:c r="N17" s="577"/>
      <x:c r="O17" s="577"/>
      <x:c r="P17" s="577"/>
      <x:c r="Q17" s="577"/>
      <x:c r="R17" s="579" t="str">
        <x:f>IF($B17="","",IF($M17="停用","停用",IF($M17="退回補件","退回補件",IF(COUNTIFS($A$7:$A$306,$A17)&gt;1,"要求編號重複",IF(COUNTIFS('醫師模式規則輸入'!$D$7:$D$156,$B17,'醫師模式規則輸入'!$B$7:$B$156,$C17)&lt;&gt;1,"模式或醫師未建立",IF(COUNTIFS('技能主檔_V1'!$A$7:$A$200,$D17,'技能主檔_V1'!$J$7:$J$200,"啟用")&lt;&gt;1,"技能未在主檔啟用",IF(OR($A17="",$E17="",$F17="",$G17="",$H17="",$I17="",$J17="",$K17="",$L17="",$N17=""),IF($M17="已核定","已核定但資料未完整","待補欄位或核定"),IF(OR($O17="",$P17=""),IF($M17="已核定","已核定但缺來源依據","待補來源依據"),IF($M17="已核定","可發布","待主管核定")))))))))</x:f>
      </x:c>
      <x:c r="S17" s="579" t="str">
        <x:f>IF($B17="","",IF($R17="可發布","回到醫師模式規則輸入，將能力要求集標記為已完整",IF(OR($R17="停用",$R17="退回補件"),"依狀態處理",IF(ISNUMBER(SEARCH("來源",$R17)),"補齊來源文件與定位",IF(ISNUMBER(SEARCH("技能",$R17)),"先完成技能名稱對照並發布技能主檔",IF(ISNUMBER(SEARCH("模式",$R17)),"先建立相符的醫師模式規則","補齊欄位並完成主管核定"))))))</x:f>
      </x:c>
    </x:row>
    <x:row r="18">
      <x:c r="A18" s="577"/>
      <x:c r="B18" s="577"/>
      <x:c r="C18" s="577"/>
      <x:c r="D18" s="577"/>
      <x:c r="E18" s="577"/>
      <x:c r="F18" s="577"/>
      <x:c r="G18" s="577"/>
      <x:c r="H18" s="577"/>
      <x:c r="I18" s="577"/>
      <x:c r="J18" s="577"/>
      <x:c r="K18" s="577"/>
      <x:c r="L18" s="578"/>
      <x:c r="M18" s="577"/>
      <x:c r="N18" s="577"/>
      <x:c r="O18" s="577"/>
      <x:c r="P18" s="577"/>
      <x:c r="Q18" s="577"/>
      <x:c r="R18" s="579" t="str">
        <x:f>IF($B18="","",IF($M18="停用","停用",IF($M18="退回補件","退回補件",IF(COUNTIFS($A$7:$A$306,$A18)&gt;1,"要求編號重複",IF(COUNTIFS('醫師模式規則輸入'!$D$7:$D$156,$B18,'醫師模式規則輸入'!$B$7:$B$156,$C18)&lt;&gt;1,"模式或醫師未建立",IF(COUNTIFS('技能主檔_V1'!$A$7:$A$200,$D18,'技能主檔_V1'!$J$7:$J$200,"啟用")&lt;&gt;1,"技能未在主檔啟用",IF(OR($A18="",$E18="",$F18="",$G18="",$H18="",$I18="",$J18="",$K18="",$L18="",$N18=""),IF($M18="已核定","已核定但資料未完整","待補欄位或核定"),IF(OR($O18="",$P18=""),IF($M18="已核定","已核定但缺來源依據","待補來源依據"),IF($M18="已核定","可發布","待主管核定")))))))))</x:f>
      </x:c>
      <x:c r="S18" s="579" t="str">
        <x:f>IF($B18="","",IF($R18="可發布","回到醫師模式規則輸入，將能力要求集標記為已完整",IF(OR($R18="停用",$R18="退回補件"),"依狀態處理",IF(ISNUMBER(SEARCH("來源",$R18)),"補齊來源文件與定位",IF(ISNUMBER(SEARCH("技能",$R18)),"先完成技能名稱對照並發布技能主檔",IF(ISNUMBER(SEARCH("模式",$R18)),"先建立相符的醫師模式規則","補齊欄位並完成主管核定"))))))</x:f>
      </x:c>
    </x:row>
    <x:row r="19">
      <x:c r="A19" s="577"/>
      <x:c r="B19" s="577"/>
      <x:c r="C19" s="577"/>
      <x:c r="D19" s="577"/>
      <x:c r="E19" s="577"/>
      <x:c r="F19" s="577"/>
      <x:c r="G19" s="577"/>
      <x:c r="H19" s="577"/>
      <x:c r="I19" s="577"/>
      <x:c r="J19" s="577"/>
      <x:c r="K19" s="577"/>
      <x:c r="L19" s="578"/>
      <x:c r="M19" s="577"/>
      <x:c r="N19" s="577"/>
      <x:c r="O19" s="577"/>
      <x:c r="P19" s="577"/>
      <x:c r="Q19" s="577"/>
      <x:c r="R19" s="579" t="str">
        <x:f>IF($B19="","",IF($M19="停用","停用",IF($M19="退回補件","退回補件",IF(COUNTIFS($A$7:$A$306,$A19)&gt;1,"要求編號重複",IF(COUNTIFS('醫師模式規則輸入'!$D$7:$D$156,$B19,'醫師模式規則輸入'!$B$7:$B$156,$C19)&lt;&gt;1,"模式或醫師未建立",IF(COUNTIFS('技能主檔_V1'!$A$7:$A$200,$D19,'技能主檔_V1'!$J$7:$J$200,"啟用")&lt;&gt;1,"技能未在主檔啟用",IF(OR($A19="",$E19="",$F19="",$G19="",$H19="",$I19="",$J19="",$K19="",$L19="",$N19=""),IF($M19="已核定","已核定但資料未完整","待補欄位或核定"),IF(OR($O19="",$P19=""),IF($M19="已核定","已核定但缺來源依據","待補來源依據"),IF($M19="已核定","可發布","待主管核定")))))))))</x:f>
      </x:c>
      <x:c r="S19" s="579" t="str">
        <x:f>IF($B19="","",IF($R19="可發布","回到醫師模式規則輸入，將能力要求集標記為已完整",IF(OR($R19="停用",$R19="退回補件"),"依狀態處理",IF(ISNUMBER(SEARCH("來源",$R19)),"補齊來源文件與定位",IF(ISNUMBER(SEARCH("技能",$R19)),"先完成技能名稱對照並發布技能主檔",IF(ISNUMBER(SEARCH("模式",$R19)),"先建立相符的醫師模式規則","補齊欄位並完成主管核定"))))))</x:f>
      </x:c>
    </x:row>
    <x:row r="20">
      <x:c r="A20" s="577"/>
      <x:c r="B20" s="577"/>
      <x:c r="C20" s="577"/>
      <x:c r="D20" s="577"/>
      <x:c r="E20" s="577"/>
      <x:c r="F20" s="577"/>
      <x:c r="G20" s="577"/>
      <x:c r="H20" s="577"/>
      <x:c r="I20" s="577"/>
      <x:c r="J20" s="577"/>
      <x:c r="K20" s="577"/>
      <x:c r="L20" s="578"/>
      <x:c r="M20" s="577"/>
      <x:c r="N20" s="577"/>
      <x:c r="O20" s="577"/>
      <x:c r="P20" s="577"/>
      <x:c r="Q20" s="577"/>
      <x:c r="R20" s="579" t="str">
        <x:f>IF($B20="","",IF($M20="停用","停用",IF($M20="退回補件","退回補件",IF(COUNTIFS($A$7:$A$306,$A20)&gt;1,"要求編號重複",IF(COUNTIFS('醫師模式規則輸入'!$D$7:$D$156,$B20,'醫師模式規則輸入'!$B$7:$B$156,$C20)&lt;&gt;1,"模式或醫師未建立",IF(COUNTIFS('技能主檔_V1'!$A$7:$A$200,$D20,'技能主檔_V1'!$J$7:$J$200,"啟用")&lt;&gt;1,"技能未在主檔啟用",IF(OR($A20="",$E20="",$F20="",$G20="",$H20="",$I20="",$J20="",$K20="",$L20="",$N20=""),IF($M20="已核定","已核定但資料未完整","待補欄位或核定"),IF(OR($O20="",$P20=""),IF($M20="已核定","已核定但缺來源依據","待補來源依據"),IF($M20="已核定","可發布","待主管核定")))))))))</x:f>
      </x:c>
      <x:c r="S20" s="579" t="str">
        <x:f>IF($B20="","",IF($R20="可發布","回到醫師模式規則輸入，將能力要求集標記為已完整",IF(OR($R20="停用",$R20="退回補件"),"依狀態處理",IF(ISNUMBER(SEARCH("來源",$R20)),"補齊來源文件與定位",IF(ISNUMBER(SEARCH("技能",$R20)),"先完成技能名稱對照並發布技能主檔",IF(ISNUMBER(SEARCH("模式",$R20)),"先建立相符的醫師模式規則","補齊欄位並完成主管核定"))))))</x:f>
      </x:c>
    </x:row>
    <x:row r="21">
      <x:c r="A21" s="577"/>
      <x:c r="B21" s="577"/>
      <x:c r="C21" s="577"/>
      <x:c r="D21" s="577"/>
      <x:c r="E21" s="577"/>
      <x:c r="F21" s="577"/>
      <x:c r="G21" s="577"/>
      <x:c r="H21" s="577"/>
      <x:c r="I21" s="577"/>
      <x:c r="J21" s="577"/>
      <x:c r="K21" s="577"/>
      <x:c r="L21" s="578"/>
      <x:c r="M21" s="577"/>
      <x:c r="N21" s="577"/>
      <x:c r="O21" s="577"/>
      <x:c r="P21" s="577"/>
      <x:c r="Q21" s="577"/>
      <x:c r="R21" s="579" t="str">
        <x:f>IF($B21="","",IF($M21="停用","停用",IF($M21="退回補件","退回補件",IF(COUNTIFS($A$7:$A$306,$A21)&gt;1,"要求編號重複",IF(COUNTIFS('醫師模式規則輸入'!$D$7:$D$156,$B21,'醫師模式規則輸入'!$B$7:$B$156,$C21)&lt;&gt;1,"模式或醫師未建立",IF(COUNTIFS('技能主檔_V1'!$A$7:$A$200,$D21,'技能主檔_V1'!$J$7:$J$200,"啟用")&lt;&gt;1,"技能未在主檔啟用",IF(OR($A21="",$E21="",$F21="",$G21="",$H21="",$I21="",$J21="",$K21="",$L21="",$N21=""),IF($M21="已核定","已核定但資料未完整","待補欄位或核定"),IF(OR($O21="",$P21=""),IF($M21="已核定","已核定但缺來源依據","待補來源依據"),IF($M21="已核定","可發布","待主管核定")))))))))</x:f>
      </x:c>
      <x:c r="S21" s="579" t="str">
        <x:f>IF($B21="","",IF($R21="可發布","回到醫師模式規則輸入，將能力要求集標記為已完整",IF(OR($R21="停用",$R21="退回補件"),"依狀態處理",IF(ISNUMBER(SEARCH("來源",$R21)),"補齊來源文件與定位",IF(ISNUMBER(SEARCH("技能",$R21)),"先完成技能名稱對照並發布技能主檔",IF(ISNUMBER(SEARCH("模式",$R21)),"先建立相符的醫師模式規則","補齊欄位並完成主管核定"))))))</x:f>
      </x:c>
    </x:row>
    <x:row r="22">
      <x:c r="A22" s="577"/>
      <x:c r="B22" s="577"/>
      <x:c r="C22" s="577"/>
      <x:c r="D22" s="577"/>
      <x:c r="E22" s="577"/>
      <x:c r="F22" s="577"/>
      <x:c r="G22" s="577"/>
      <x:c r="H22" s="577"/>
      <x:c r="I22" s="577"/>
      <x:c r="J22" s="577"/>
      <x:c r="K22" s="577"/>
      <x:c r="L22" s="578"/>
      <x:c r="M22" s="577"/>
      <x:c r="N22" s="577"/>
      <x:c r="O22" s="577"/>
      <x:c r="P22" s="577"/>
      <x:c r="Q22" s="577"/>
      <x:c r="R22" s="579" t="str">
        <x:f>IF($B22="","",IF($M22="停用","停用",IF($M22="退回補件","退回補件",IF(COUNTIFS($A$7:$A$306,$A22)&gt;1,"要求編號重複",IF(COUNTIFS('醫師模式規則輸入'!$D$7:$D$156,$B22,'醫師模式規則輸入'!$B$7:$B$156,$C22)&lt;&gt;1,"模式或醫師未建立",IF(COUNTIFS('技能主檔_V1'!$A$7:$A$200,$D22,'技能主檔_V1'!$J$7:$J$200,"啟用")&lt;&gt;1,"技能未在主檔啟用",IF(OR($A22="",$E22="",$F22="",$G22="",$H22="",$I22="",$J22="",$K22="",$L22="",$N22=""),IF($M22="已核定","已核定但資料未完整","待補欄位或核定"),IF(OR($O22="",$P22=""),IF($M22="已核定","已核定但缺來源依據","待補來源依據"),IF($M22="已核定","可發布","待主管核定")))))))))</x:f>
      </x:c>
      <x:c r="S22" s="579" t="str">
        <x:f>IF($B22="","",IF($R22="可發布","回到醫師模式規則輸入，將能力要求集標記為已完整",IF(OR($R22="停用",$R22="退回補件"),"依狀態處理",IF(ISNUMBER(SEARCH("來源",$R22)),"補齊來源文件與定位",IF(ISNUMBER(SEARCH("技能",$R22)),"先完成技能名稱對照並發布技能主檔",IF(ISNUMBER(SEARCH("模式",$R22)),"先建立相符的醫師模式規則","補齊欄位並完成主管核定"))))))</x:f>
      </x:c>
    </x:row>
    <x:row r="23">
      <x:c r="A23" s="577"/>
      <x:c r="B23" s="577"/>
      <x:c r="C23" s="577"/>
      <x:c r="D23" s="577"/>
      <x:c r="E23" s="577"/>
      <x:c r="F23" s="577"/>
      <x:c r="G23" s="577"/>
      <x:c r="H23" s="577"/>
      <x:c r="I23" s="577"/>
      <x:c r="J23" s="577"/>
      <x:c r="K23" s="577"/>
      <x:c r="L23" s="578"/>
      <x:c r="M23" s="577"/>
      <x:c r="N23" s="577"/>
      <x:c r="O23" s="577"/>
      <x:c r="P23" s="577"/>
      <x:c r="Q23" s="577"/>
      <x:c r="R23" s="579" t="str">
        <x:f>IF($B23="","",IF($M23="停用","停用",IF($M23="退回補件","退回補件",IF(COUNTIFS($A$7:$A$306,$A23)&gt;1,"要求編號重複",IF(COUNTIFS('醫師模式規則輸入'!$D$7:$D$156,$B23,'醫師模式規則輸入'!$B$7:$B$156,$C23)&lt;&gt;1,"模式或醫師未建立",IF(COUNTIFS('技能主檔_V1'!$A$7:$A$200,$D23,'技能主檔_V1'!$J$7:$J$200,"啟用")&lt;&gt;1,"技能未在主檔啟用",IF(OR($A23="",$E23="",$F23="",$G23="",$H23="",$I23="",$J23="",$K23="",$L23="",$N23=""),IF($M23="已核定","已核定但資料未完整","待補欄位或核定"),IF(OR($O23="",$P23=""),IF($M23="已核定","已核定但缺來源依據","待補來源依據"),IF($M23="已核定","可發布","待主管核定")))))))))</x:f>
      </x:c>
      <x:c r="S23" s="579" t="str">
        <x:f>IF($B23="","",IF($R23="可發布","回到醫師模式規則輸入，將能力要求集標記為已完整",IF(OR($R23="停用",$R23="退回補件"),"依狀態處理",IF(ISNUMBER(SEARCH("來源",$R23)),"補齊來源文件與定位",IF(ISNUMBER(SEARCH("技能",$R23)),"先完成技能名稱對照並發布技能主檔",IF(ISNUMBER(SEARCH("模式",$R23)),"先建立相符的醫師模式規則","補齊欄位並完成主管核定"))))))</x:f>
      </x:c>
    </x:row>
    <x:row r="24">
      <x:c r="A24" s="577"/>
      <x:c r="B24" s="577"/>
      <x:c r="C24" s="577"/>
      <x:c r="D24" s="577"/>
      <x:c r="E24" s="577"/>
      <x:c r="F24" s="577"/>
      <x:c r="G24" s="577"/>
      <x:c r="H24" s="577"/>
      <x:c r="I24" s="577"/>
      <x:c r="J24" s="577"/>
      <x:c r="K24" s="577"/>
      <x:c r="L24" s="578"/>
      <x:c r="M24" s="577"/>
      <x:c r="N24" s="577"/>
      <x:c r="O24" s="577"/>
      <x:c r="P24" s="577"/>
      <x:c r="Q24" s="577"/>
      <x:c r="R24" s="579" t="str">
        <x:f>IF($B24="","",IF($M24="停用","停用",IF($M24="退回補件","退回補件",IF(COUNTIFS($A$7:$A$306,$A24)&gt;1,"要求編號重複",IF(COUNTIFS('醫師模式規則輸入'!$D$7:$D$156,$B24,'醫師模式規則輸入'!$B$7:$B$156,$C24)&lt;&gt;1,"模式或醫師未建立",IF(COUNTIFS('技能主檔_V1'!$A$7:$A$200,$D24,'技能主檔_V1'!$J$7:$J$200,"啟用")&lt;&gt;1,"技能未在主檔啟用",IF(OR($A24="",$E24="",$F24="",$G24="",$H24="",$I24="",$J24="",$K24="",$L24="",$N24=""),IF($M24="已核定","已核定但資料未完整","待補欄位或核定"),IF(OR($O24="",$P24=""),IF($M24="已核定","已核定但缺來源依據","待補來源依據"),IF($M24="已核定","可發布","待主管核定")))))))))</x:f>
      </x:c>
      <x:c r="S24" s="579" t="str">
        <x:f>IF($B24="","",IF($R24="可發布","回到醫師模式規則輸入，將能力要求集標記為已完整",IF(OR($R24="停用",$R24="退回補件"),"依狀態處理",IF(ISNUMBER(SEARCH("來源",$R24)),"補齊來源文件與定位",IF(ISNUMBER(SEARCH("技能",$R24)),"先完成技能名稱對照並發布技能主檔",IF(ISNUMBER(SEARCH("模式",$R24)),"先建立相符的醫師模式規則","補齊欄位並完成主管核定"))))))</x:f>
      </x:c>
    </x:row>
    <x:row r="25">
      <x:c r="A25" s="577"/>
      <x:c r="B25" s="577"/>
      <x:c r="C25" s="577"/>
      <x:c r="D25" s="577"/>
      <x:c r="E25" s="577"/>
      <x:c r="F25" s="577"/>
      <x:c r="G25" s="577"/>
      <x:c r="H25" s="577"/>
      <x:c r="I25" s="577"/>
      <x:c r="J25" s="577"/>
      <x:c r="K25" s="577"/>
      <x:c r="L25" s="578"/>
      <x:c r="M25" s="577"/>
      <x:c r="N25" s="577"/>
      <x:c r="O25" s="577"/>
      <x:c r="P25" s="577"/>
      <x:c r="Q25" s="577"/>
      <x:c r="R25" s="579" t="str">
        <x:f>IF($B25="","",IF($M25="停用","停用",IF($M25="退回補件","退回補件",IF(COUNTIFS($A$7:$A$306,$A25)&gt;1,"要求編號重複",IF(COUNTIFS('醫師模式規則輸入'!$D$7:$D$156,$B25,'醫師模式規則輸入'!$B$7:$B$156,$C25)&lt;&gt;1,"模式或醫師未建立",IF(COUNTIFS('技能主檔_V1'!$A$7:$A$200,$D25,'技能主檔_V1'!$J$7:$J$200,"啟用")&lt;&gt;1,"技能未在主檔啟用",IF(OR($A25="",$E25="",$F25="",$G25="",$H25="",$I25="",$J25="",$K25="",$L25="",$N25=""),IF($M25="已核定","已核定但資料未完整","待補欄位或核定"),IF(OR($O25="",$P25=""),IF($M25="已核定","已核定但缺來源依據","待補來源依據"),IF($M25="已核定","可發布","待主管核定")))))))))</x:f>
      </x:c>
      <x:c r="S25" s="579" t="str">
        <x:f>IF($B25="","",IF($R25="可發布","回到醫師模式規則輸入，將能力要求集標記為已完整",IF(OR($R25="停用",$R25="退回補件"),"依狀態處理",IF(ISNUMBER(SEARCH("來源",$R25)),"補齊來源文件與定位",IF(ISNUMBER(SEARCH("技能",$R25)),"先完成技能名稱對照並發布技能主檔",IF(ISNUMBER(SEARCH("模式",$R25)),"先建立相符的醫師模式規則","補齊欄位並完成主管核定"))))))</x:f>
      </x:c>
    </x:row>
    <x:row r="26">
      <x:c r="A26" s="577"/>
      <x:c r="B26" s="577"/>
      <x:c r="C26" s="577"/>
      <x:c r="D26" s="577"/>
      <x:c r="E26" s="577"/>
      <x:c r="F26" s="577"/>
      <x:c r="G26" s="577"/>
      <x:c r="H26" s="577"/>
      <x:c r="I26" s="577"/>
      <x:c r="J26" s="577"/>
      <x:c r="K26" s="577"/>
      <x:c r="L26" s="578"/>
      <x:c r="M26" s="577"/>
      <x:c r="N26" s="577"/>
      <x:c r="O26" s="577"/>
      <x:c r="P26" s="577"/>
      <x:c r="Q26" s="577"/>
      <x:c r="R26" s="579" t="str">
        <x:f>IF($B26="","",IF($M26="停用","停用",IF($M26="退回補件","退回補件",IF(COUNTIFS($A$7:$A$306,$A26)&gt;1,"要求編號重複",IF(COUNTIFS('醫師模式規則輸入'!$D$7:$D$156,$B26,'醫師模式規則輸入'!$B$7:$B$156,$C26)&lt;&gt;1,"模式或醫師未建立",IF(COUNTIFS('技能主檔_V1'!$A$7:$A$200,$D26,'技能主檔_V1'!$J$7:$J$200,"啟用")&lt;&gt;1,"技能未在主檔啟用",IF(OR($A26="",$E26="",$F26="",$G26="",$H26="",$I26="",$J26="",$K26="",$L26="",$N26=""),IF($M26="已核定","已核定但資料未完整","待補欄位或核定"),IF(OR($O26="",$P26=""),IF($M26="已核定","已核定但缺來源依據","待補來源依據"),IF($M26="已核定","可發布","待主管核定")))))))))</x:f>
      </x:c>
      <x:c r="S26" s="579" t="str">
        <x:f>IF($B26="","",IF($R26="可發布","回到醫師模式規則輸入，將能力要求集標記為已完整",IF(OR($R26="停用",$R26="退回補件"),"依狀態處理",IF(ISNUMBER(SEARCH("來源",$R26)),"補齊來源文件與定位",IF(ISNUMBER(SEARCH("技能",$R26)),"先完成技能名稱對照並發布技能主檔",IF(ISNUMBER(SEARCH("模式",$R26)),"先建立相符的醫師模式規則","補齊欄位並完成主管核定"))))))</x:f>
      </x:c>
    </x:row>
    <x:row r="27">
      <x:c r="A27" s="577"/>
      <x:c r="B27" s="577"/>
      <x:c r="C27" s="577"/>
      <x:c r="D27" s="577"/>
      <x:c r="E27" s="577"/>
      <x:c r="F27" s="577"/>
      <x:c r="G27" s="577"/>
      <x:c r="H27" s="577"/>
      <x:c r="I27" s="577"/>
      <x:c r="J27" s="577"/>
      <x:c r="K27" s="577"/>
      <x:c r="L27" s="578"/>
      <x:c r="M27" s="577"/>
      <x:c r="N27" s="577"/>
      <x:c r="O27" s="577"/>
      <x:c r="P27" s="577"/>
      <x:c r="Q27" s="577"/>
      <x:c r="R27" s="579" t="str">
        <x:f>IF($B27="","",IF($M27="停用","停用",IF($M27="退回補件","退回補件",IF(COUNTIFS($A$7:$A$306,$A27)&gt;1,"要求編號重複",IF(COUNTIFS('醫師模式規則輸入'!$D$7:$D$156,$B27,'醫師模式規則輸入'!$B$7:$B$156,$C27)&lt;&gt;1,"模式或醫師未建立",IF(COUNTIFS('技能主檔_V1'!$A$7:$A$200,$D27,'技能主檔_V1'!$J$7:$J$200,"啟用")&lt;&gt;1,"技能未在主檔啟用",IF(OR($A27="",$E27="",$F27="",$G27="",$H27="",$I27="",$J27="",$K27="",$L27="",$N27=""),IF($M27="已核定","已核定但資料未完整","待補欄位或核定"),IF(OR($O27="",$P27=""),IF($M27="已核定","已核定但缺來源依據","待補來源依據"),IF($M27="已核定","可發布","待主管核定")))))))))</x:f>
      </x:c>
      <x:c r="S27" s="579" t="str">
        <x:f>IF($B27="","",IF($R27="可發布","回到醫師模式規則輸入，將能力要求集標記為已完整",IF(OR($R27="停用",$R27="退回補件"),"依狀態處理",IF(ISNUMBER(SEARCH("來源",$R27)),"補齊來源文件與定位",IF(ISNUMBER(SEARCH("技能",$R27)),"先完成技能名稱對照並發布技能主檔",IF(ISNUMBER(SEARCH("模式",$R27)),"先建立相符的醫師模式規則","補齊欄位並完成主管核定"))))))</x:f>
      </x:c>
    </x:row>
    <x:row r="28">
      <x:c r="A28" s="577"/>
      <x:c r="B28" s="577"/>
      <x:c r="C28" s="577"/>
      <x:c r="D28" s="577"/>
      <x:c r="E28" s="577"/>
      <x:c r="F28" s="577"/>
      <x:c r="G28" s="577"/>
      <x:c r="H28" s="577"/>
      <x:c r="I28" s="577"/>
      <x:c r="J28" s="577"/>
      <x:c r="K28" s="577"/>
      <x:c r="L28" s="578"/>
      <x:c r="M28" s="577"/>
      <x:c r="N28" s="577"/>
      <x:c r="O28" s="577"/>
      <x:c r="P28" s="577"/>
      <x:c r="Q28" s="577"/>
      <x:c r="R28" s="579" t="str">
        <x:f>IF($B28="","",IF($M28="停用","停用",IF($M28="退回補件","退回補件",IF(COUNTIFS($A$7:$A$306,$A28)&gt;1,"要求編號重複",IF(COUNTIFS('醫師模式規則輸入'!$D$7:$D$156,$B28,'醫師模式規則輸入'!$B$7:$B$156,$C28)&lt;&gt;1,"模式或醫師未建立",IF(COUNTIFS('技能主檔_V1'!$A$7:$A$200,$D28,'技能主檔_V1'!$J$7:$J$200,"啟用")&lt;&gt;1,"技能未在主檔啟用",IF(OR($A28="",$E28="",$F28="",$G28="",$H28="",$I28="",$J28="",$K28="",$L28="",$N28=""),IF($M28="已核定","已核定但資料未完整","待補欄位或核定"),IF(OR($O28="",$P28=""),IF($M28="已核定","已核定但缺來源依據","待補來源依據"),IF($M28="已核定","可發布","待主管核定")))))))))</x:f>
      </x:c>
      <x:c r="S28" s="579" t="str">
        <x:f>IF($B28="","",IF($R28="可發布","回到醫師模式規則輸入，將能力要求集標記為已完整",IF(OR($R28="停用",$R28="退回補件"),"依狀態處理",IF(ISNUMBER(SEARCH("來源",$R28)),"補齊來源文件與定位",IF(ISNUMBER(SEARCH("技能",$R28)),"先完成技能名稱對照並發布技能主檔",IF(ISNUMBER(SEARCH("模式",$R28)),"先建立相符的醫師模式規則","補齊欄位並完成主管核定"))))))</x:f>
      </x:c>
    </x:row>
    <x:row r="29">
      <x:c r="A29" s="577"/>
      <x:c r="B29" s="577"/>
      <x:c r="C29" s="577"/>
      <x:c r="D29" s="577"/>
      <x:c r="E29" s="577"/>
      <x:c r="F29" s="577"/>
      <x:c r="G29" s="577"/>
      <x:c r="H29" s="577"/>
      <x:c r="I29" s="577"/>
      <x:c r="J29" s="577"/>
      <x:c r="K29" s="577"/>
      <x:c r="L29" s="578"/>
      <x:c r="M29" s="577"/>
      <x:c r="N29" s="577"/>
      <x:c r="O29" s="577"/>
      <x:c r="P29" s="577"/>
      <x:c r="Q29" s="577"/>
      <x:c r="R29" s="579" t="str">
        <x:f>IF($B29="","",IF($M29="停用","停用",IF($M29="退回補件","退回補件",IF(COUNTIFS($A$7:$A$306,$A29)&gt;1,"要求編號重複",IF(COUNTIFS('醫師模式規則輸入'!$D$7:$D$156,$B29,'醫師模式規則輸入'!$B$7:$B$156,$C29)&lt;&gt;1,"模式或醫師未建立",IF(COUNTIFS('技能主檔_V1'!$A$7:$A$200,$D29,'技能主檔_V1'!$J$7:$J$200,"啟用")&lt;&gt;1,"技能未在主檔啟用",IF(OR($A29="",$E29="",$F29="",$G29="",$H29="",$I29="",$J29="",$K29="",$L29="",$N29=""),IF($M29="已核定","已核定但資料未完整","待補欄位或核定"),IF(OR($O29="",$P29=""),IF($M29="已核定","已核定但缺來源依據","待補來源依據"),IF($M29="已核定","可發布","待主管核定")))))))))</x:f>
      </x:c>
      <x:c r="S29" s="579" t="str">
        <x:f>IF($B29="","",IF($R29="可發布","回到醫師模式規則輸入，將能力要求集標記為已完整",IF(OR($R29="停用",$R29="退回補件"),"依狀態處理",IF(ISNUMBER(SEARCH("來源",$R29)),"補齊來源文件與定位",IF(ISNUMBER(SEARCH("技能",$R29)),"先完成技能名稱對照並發布技能主檔",IF(ISNUMBER(SEARCH("模式",$R29)),"先建立相符的醫師模式規則","補齊欄位並完成主管核定"))))))</x:f>
      </x:c>
    </x:row>
    <x:row r="30">
      <x:c r="A30" s="577"/>
      <x:c r="B30" s="577"/>
      <x:c r="C30" s="577"/>
      <x:c r="D30" s="577"/>
      <x:c r="E30" s="577"/>
      <x:c r="F30" s="577"/>
      <x:c r="G30" s="577"/>
      <x:c r="H30" s="577"/>
      <x:c r="I30" s="577"/>
      <x:c r="J30" s="577"/>
      <x:c r="K30" s="577"/>
      <x:c r="L30" s="578"/>
      <x:c r="M30" s="577"/>
      <x:c r="N30" s="577"/>
      <x:c r="O30" s="577"/>
      <x:c r="P30" s="577"/>
      <x:c r="Q30" s="577"/>
      <x:c r="R30" s="579" t="str">
        <x:f>IF($B30="","",IF($M30="停用","停用",IF($M30="退回補件","退回補件",IF(COUNTIFS($A$7:$A$306,$A30)&gt;1,"要求編號重複",IF(COUNTIFS('醫師模式規則輸入'!$D$7:$D$156,$B30,'醫師模式規則輸入'!$B$7:$B$156,$C30)&lt;&gt;1,"模式或醫師未建立",IF(COUNTIFS('技能主檔_V1'!$A$7:$A$200,$D30,'技能主檔_V1'!$J$7:$J$200,"啟用")&lt;&gt;1,"技能未在主檔啟用",IF(OR($A30="",$E30="",$F30="",$G30="",$H30="",$I30="",$J30="",$K30="",$L30="",$N30=""),IF($M30="已核定","已核定但資料未完整","待補欄位或核定"),IF(OR($O30="",$P30=""),IF($M30="已核定","已核定但缺來源依據","待補來源依據"),IF($M30="已核定","可發布","待主管核定")))))))))</x:f>
      </x:c>
      <x:c r="S30" s="579" t="str">
        <x:f>IF($B30="","",IF($R30="可發布","回到醫師模式規則輸入，將能力要求集標記為已完整",IF(OR($R30="停用",$R30="退回補件"),"依狀態處理",IF(ISNUMBER(SEARCH("來源",$R30)),"補齊來源文件與定位",IF(ISNUMBER(SEARCH("技能",$R30)),"先完成技能名稱對照並發布技能主檔",IF(ISNUMBER(SEARCH("模式",$R30)),"先建立相符的醫師模式規則","補齊欄位並完成主管核定"))))))</x:f>
      </x:c>
    </x:row>
    <x:row r="31">
      <x:c r="A31" s="577"/>
      <x:c r="B31" s="577"/>
      <x:c r="C31" s="577"/>
      <x:c r="D31" s="577"/>
      <x:c r="E31" s="577"/>
      <x:c r="F31" s="577"/>
      <x:c r="G31" s="577"/>
      <x:c r="H31" s="577"/>
      <x:c r="I31" s="577"/>
      <x:c r="J31" s="577"/>
      <x:c r="K31" s="577"/>
      <x:c r="L31" s="578"/>
      <x:c r="M31" s="577"/>
      <x:c r="N31" s="577"/>
      <x:c r="O31" s="577"/>
      <x:c r="P31" s="577"/>
      <x:c r="Q31" s="577"/>
      <x:c r="R31" s="579" t="str">
        <x:f>IF($B31="","",IF($M31="停用","停用",IF($M31="退回補件","退回補件",IF(COUNTIFS($A$7:$A$306,$A31)&gt;1,"要求編號重複",IF(COUNTIFS('醫師模式規則輸入'!$D$7:$D$156,$B31,'醫師模式規則輸入'!$B$7:$B$156,$C31)&lt;&gt;1,"模式或醫師未建立",IF(COUNTIFS('技能主檔_V1'!$A$7:$A$200,$D31,'技能主檔_V1'!$J$7:$J$200,"啟用")&lt;&gt;1,"技能未在主檔啟用",IF(OR($A31="",$E31="",$F31="",$G31="",$H31="",$I31="",$J31="",$K31="",$L31="",$N31=""),IF($M31="已核定","已核定但資料未完整","待補欄位或核定"),IF(OR($O31="",$P31=""),IF($M31="已核定","已核定但缺來源依據","待補來源依據"),IF($M31="已核定","可發布","待主管核定")))))))))</x:f>
      </x:c>
      <x:c r="S31" s="579" t="str">
        <x:f>IF($B31="","",IF($R31="可發布","回到醫師模式規則輸入，將能力要求集標記為已完整",IF(OR($R31="停用",$R31="退回補件"),"依狀態處理",IF(ISNUMBER(SEARCH("來源",$R31)),"補齊來源文件與定位",IF(ISNUMBER(SEARCH("技能",$R31)),"先完成技能名稱對照並發布技能主檔",IF(ISNUMBER(SEARCH("模式",$R31)),"先建立相符的醫師模式規則","補齊欄位並完成主管核定"))))))</x:f>
      </x:c>
    </x:row>
    <x:row r="32">
      <x:c r="A32" s="577"/>
      <x:c r="B32" s="577"/>
      <x:c r="C32" s="577"/>
      <x:c r="D32" s="577"/>
      <x:c r="E32" s="577"/>
      <x:c r="F32" s="577"/>
      <x:c r="G32" s="577"/>
      <x:c r="H32" s="577"/>
      <x:c r="I32" s="577"/>
      <x:c r="J32" s="577"/>
      <x:c r="K32" s="577"/>
      <x:c r="L32" s="578"/>
      <x:c r="M32" s="577"/>
      <x:c r="N32" s="577"/>
      <x:c r="O32" s="577"/>
      <x:c r="P32" s="577"/>
      <x:c r="Q32" s="577"/>
      <x:c r="R32" s="579" t="str">
        <x:f>IF($B32="","",IF($M32="停用","停用",IF($M32="退回補件","退回補件",IF(COUNTIFS($A$7:$A$306,$A32)&gt;1,"要求編號重複",IF(COUNTIFS('醫師模式規則輸入'!$D$7:$D$156,$B32,'醫師模式規則輸入'!$B$7:$B$156,$C32)&lt;&gt;1,"模式或醫師未建立",IF(COUNTIFS('技能主檔_V1'!$A$7:$A$200,$D32,'技能主檔_V1'!$J$7:$J$200,"啟用")&lt;&gt;1,"技能未在主檔啟用",IF(OR($A32="",$E32="",$F32="",$G32="",$H32="",$I32="",$J32="",$K32="",$L32="",$N32=""),IF($M32="已核定","已核定但資料未完整","待補欄位或核定"),IF(OR($O32="",$P32=""),IF($M32="已核定","已核定但缺來源依據","待補來源依據"),IF($M32="已核定","可發布","待主管核定")))))))))</x:f>
      </x:c>
      <x:c r="S32" s="579" t="str">
        <x:f>IF($B32="","",IF($R32="可發布","回到醫師模式規則輸入，將能力要求集標記為已完整",IF(OR($R32="停用",$R32="退回補件"),"依狀態處理",IF(ISNUMBER(SEARCH("來源",$R32)),"補齊來源文件與定位",IF(ISNUMBER(SEARCH("技能",$R32)),"先完成技能名稱對照並發布技能主檔",IF(ISNUMBER(SEARCH("模式",$R32)),"先建立相符的醫師模式規則","補齊欄位並完成主管核定"))))))</x:f>
      </x:c>
    </x:row>
    <x:row r="33">
      <x:c r="A33" s="577"/>
      <x:c r="B33" s="577"/>
      <x:c r="C33" s="577"/>
      <x:c r="D33" s="577"/>
      <x:c r="E33" s="577"/>
      <x:c r="F33" s="577"/>
      <x:c r="G33" s="577"/>
      <x:c r="H33" s="577"/>
      <x:c r="I33" s="577"/>
      <x:c r="J33" s="577"/>
      <x:c r="K33" s="577"/>
      <x:c r="L33" s="578"/>
      <x:c r="M33" s="577"/>
      <x:c r="N33" s="577"/>
      <x:c r="O33" s="577"/>
      <x:c r="P33" s="577"/>
      <x:c r="Q33" s="577"/>
      <x:c r="R33" s="579" t="str">
        <x:f>IF($B33="","",IF($M33="停用","停用",IF($M33="退回補件","退回補件",IF(COUNTIFS($A$7:$A$306,$A33)&gt;1,"要求編號重複",IF(COUNTIFS('醫師模式規則輸入'!$D$7:$D$156,$B33,'醫師模式規則輸入'!$B$7:$B$156,$C33)&lt;&gt;1,"模式或醫師未建立",IF(COUNTIFS('技能主檔_V1'!$A$7:$A$200,$D33,'技能主檔_V1'!$J$7:$J$200,"啟用")&lt;&gt;1,"技能未在主檔啟用",IF(OR($A33="",$E33="",$F33="",$G33="",$H33="",$I33="",$J33="",$K33="",$L33="",$N33=""),IF($M33="已核定","已核定但資料未完整","待補欄位或核定"),IF(OR($O33="",$P33=""),IF($M33="已核定","已核定但缺來源依據","待補來源依據"),IF($M33="已核定","可發布","待主管核定")))))))))</x:f>
      </x:c>
      <x:c r="S33" s="579" t="str">
        <x:f>IF($B33="","",IF($R33="可發布","回到醫師模式規則輸入，將能力要求集標記為已完整",IF(OR($R33="停用",$R33="退回補件"),"依狀態處理",IF(ISNUMBER(SEARCH("來源",$R33)),"補齊來源文件與定位",IF(ISNUMBER(SEARCH("技能",$R33)),"先完成技能名稱對照並發布技能主檔",IF(ISNUMBER(SEARCH("模式",$R33)),"先建立相符的醫師模式規則","補齊欄位並完成主管核定"))))))</x:f>
      </x:c>
    </x:row>
    <x:row r="34">
      <x:c r="A34" s="577"/>
      <x:c r="B34" s="577"/>
      <x:c r="C34" s="577"/>
      <x:c r="D34" s="577"/>
      <x:c r="E34" s="577"/>
      <x:c r="F34" s="577"/>
      <x:c r="G34" s="577"/>
      <x:c r="H34" s="577"/>
      <x:c r="I34" s="577"/>
      <x:c r="J34" s="577"/>
      <x:c r="K34" s="577"/>
      <x:c r="L34" s="578"/>
      <x:c r="M34" s="577"/>
      <x:c r="N34" s="577"/>
      <x:c r="O34" s="577"/>
      <x:c r="P34" s="577"/>
      <x:c r="Q34" s="577"/>
      <x:c r="R34" s="579" t="str">
        <x:f>IF($B34="","",IF($M34="停用","停用",IF($M34="退回補件","退回補件",IF(COUNTIFS($A$7:$A$306,$A34)&gt;1,"要求編號重複",IF(COUNTIFS('醫師模式規則輸入'!$D$7:$D$156,$B34,'醫師模式規則輸入'!$B$7:$B$156,$C34)&lt;&gt;1,"模式或醫師未建立",IF(COUNTIFS('技能主檔_V1'!$A$7:$A$200,$D34,'技能主檔_V1'!$J$7:$J$200,"啟用")&lt;&gt;1,"技能未在主檔啟用",IF(OR($A34="",$E34="",$F34="",$G34="",$H34="",$I34="",$J34="",$K34="",$L34="",$N34=""),IF($M34="已核定","已核定但資料未完整","待補欄位或核定"),IF(OR($O34="",$P34=""),IF($M34="已核定","已核定但缺來源依據","待補來源依據"),IF($M34="已核定","可發布","待主管核定")))))))))</x:f>
      </x:c>
      <x:c r="S34" s="579" t="str">
        <x:f>IF($B34="","",IF($R34="可發布","回到醫師模式規則輸入，將能力要求集標記為已完整",IF(OR($R34="停用",$R34="退回補件"),"依狀態處理",IF(ISNUMBER(SEARCH("來源",$R34)),"補齊來源文件與定位",IF(ISNUMBER(SEARCH("技能",$R34)),"先完成技能名稱對照並發布技能主檔",IF(ISNUMBER(SEARCH("模式",$R34)),"先建立相符的醫師模式規則","補齊欄位並完成主管核定"))))))</x:f>
      </x:c>
    </x:row>
    <x:row r="35">
      <x:c r="A35" s="577"/>
      <x:c r="B35" s="577"/>
      <x:c r="C35" s="577"/>
      <x:c r="D35" s="577"/>
      <x:c r="E35" s="577"/>
      <x:c r="F35" s="577"/>
      <x:c r="G35" s="577"/>
      <x:c r="H35" s="577"/>
      <x:c r="I35" s="577"/>
      <x:c r="J35" s="577"/>
      <x:c r="K35" s="577"/>
      <x:c r="L35" s="578"/>
      <x:c r="M35" s="577"/>
      <x:c r="N35" s="577"/>
      <x:c r="O35" s="577"/>
      <x:c r="P35" s="577"/>
      <x:c r="Q35" s="577"/>
      <x:c r="R35" s="579" t="str">
        <x:f>IF($B35="","",IF($M35="停用","停用",IF($M35="退回補件","退回補件",IF(COUNTIFS($A$7:$A$306,$A35)&gt;1,"要求編號重複",IF(COUNTIFS('醫師模式規則輸入'!$D$7:$D$156,$B35,'醫師模式規則輸入'!$B$7:$B$156,$C35)&lt;&gt;1,"模式或醫師未建立",IF(COUNTIFS('技能主檔_V1'!$A$7:$A$200,$D35,'技能主檔_V1'!$J$7:$J$200,"啟用")&lt;&gt;1,"技能未在主檔啟用",IF(OR($A35="",$E35="",$F35="",$G35="",$H35="",$I35="",$J35="",$K35="",$L35="",$N35=""),IF($M35="已核定","已核定但資料未完整","待補欄位或核定"),IF(OR($O35="",$P35=""),IF($M35="已核定","已核定但缺來源依據","待補來源依據"),IF($M35="已核定","可發布","待主管核定")))))))))</x:f>
      </x:c>
      <x:c r="S35" s="579" t="str">
        <x:f>IF($B35="","",IF($R35="可發布","回到醫師模式規則輸入，將能力要求集標記為已完整",IF(OR($R35="停用",$R35="退回補件"),"依狀態處理",IF(ISNUMBER(SEARCH("來源",$R35)),"補齊來源文件與定位",IF(ISNUMBER(SEARCH("技能",$R35)),"先完成技能名稱對照並發布技能主檔",IF(ISNUMBER(SEARCH("模式",$R35)),"先建立相符的醫師模式規則","補齊欄位並完成主管核定"))))))</x:f>
      </x:c>
    </x:row>
    <x:row r="36">
      <x:c r="A36" s="577"/>
      <x:c r="B36" s="577"/>
      <x:c r="C36" s="577"/>
      <x:c r="D36" s="577"/>
      <x:c r="E36" s="577"/>
      <x:c r="F36" s="577"/>
      <x:c r="G36" s="577"/>
      <x:c r="H36" s="577"/>
      <x:c r="I36" s="577"/>
      <x:c r="J36" s="577"/>
      <x:c r="K36" s="577"/>
      <x:c r="L36" s="578"/>
      <x:c r="M36" s="577"/>
      <x:c r="N36" s="577"/>
      <x:c r="O36" s="577"/>
      <x:c r="P36" s="577"/>
      <x:c r="Q36" s="577"/>
      <x:c r="R36" s="579" t="str">
        <x:f>IF($B36="","",IF($M36="停用","停用",IF($M36="退回補件","退回補件",IF(COUNTIFS($A$7:$A$306,$A36)&gt;1,"要求編號重複",IF(COUNTIFS('醫師模式規則輸入'!$D$7:$D$156,$B36,'醫師模式規則輸入'!$B$7:$B$156,$C36)&lt;&gt;1,"模式或醫師未建立",IF(COUNTIFS('技能主檔_V1'!$A$7:$A$200,$D36,'技能主檔_V1'!$J$7:$J$200,"啟用")&lt;&gt;1,"技能未在主檔啟用",IF(OR($A36="",$E36="",$F36="",$G36="",$H36="",$I36="",$J36="",$K36="",$L36="",$N36=""),IF($M36="已核定","已核定但資料未完整","待補欄位或核定"),IF(OR($O36="",$P36=""),IF($M36="已核定","已核定但缺來源依據","待補來源依據"),IF($M36="已核定","可發布","待主管核定")))))))))</x:f>
      </x:c>
      <x:c r="S36" s="579" t="str">
        <x:f>IF($B36="","",IF($R36="可發布","回到醫師模式規則輸入，將能力要求集標記為已完整",IF(OR($R36="停用",$R36="退回補件"),"依狀態處理",IF(ISNUMBER(SEARCH("來源",$R36)),"補齊來源文件與定位",IF(ISNUMBER(SEARCH("技能",$R36)),"先完成技能名稱對照並發布技能主檔",IF(ISNUMBER(SEARCH("模式",$R36)),"先建立相符的醫師模式規則","補齊欄位並完成主管核定"))))))</x:f>
      </x:c>
    </x:row>
    <x:row r="37">
      <x:c r="A37" s="577"/>
      <x:c r="B37" s="577"/>
      <x:c r="C37" s="577"/>
      <x:c r="D37" s="577"/>
      <x:c r="E37" s="577"/>
      <x:c r="F37" s="577"/>
      <x:c r="G37" s="577"/>
      <x:c r="H37" s="577"/>
      <x:c r="I37" s="577"/>
      <x:c r="J37" s="577"/>
      <x:c r="K37" s="577"/>
      <x:c r="L37" s="578"/>
      <x:c r="M37" s="577"/>
      <x:c r="N37" s="577"/>
      <x:c r="O37" s="577"/>
      <x:c r="P37" s="577"/>
      <x:c r="Q37" s="577"/>
      <x:c r="R37" s="579" t="str">
        <x:f>IF($B37="","",IF($M37="停用","停用",IF($M37="退回補件","退回補件",IF(COUNTIFS($A$7:$A$306,$A37)&gt;1,"要求編號重複",IF(COUNTIFS('醫師模式規則輸入'!$D$7:$D$156,$B37,'醫師模式規則輸入'!$B$7:$B$156,$C37)&lt;&gt;1,"模式或醫師未建立",IF(COUNTIFS('技能主檔_V1'!$A$7:$A$200,$D37,'技能主檔_V1'!$J$7:$J$200,"啟用")&lt;&gt;1,"技能未在主檔啟用",IF(OR($A37="",$E37="",$F37="",$G37="",$H37="",$I37="",$J37="",$K37="",$L37="",$N37=""),IF($M37="已核定","已核定但資料未完整","待補欄位或核定"),IF(OR($O37="",$P37=""),IF($M37="已核定","已核定但缺來源依據","待補來源依據"),IF($M37="已核定","可發布","待主管核定")))))))))</x:f>
      </x:c>
      <x:c r="S37" s="579" t="str">
        <x:f>IF($B37="","",IF($R37="可發布","回到醫師模式規則輸入，將能力要求集標記為已完整",IF(OR($R37="停用",$R37="退回補件"),"依狀態處理",IF(ISNUMBER(SEARCH("來源",$R37)),"補齊來源文件與定位",IF(ISNUMBER(SEARCH("技能",$R37)),"先完成技能名稱對照並發布技能主檔",IF(ISNUMBER(SEARCH("模式",$R37)),"先建立相符的醫師模式規則","補齊欄位並完成主管核定"))))))</x:f>
      </x:c>
    </x:row>
    <x:row r="38">
      <x:c r="A38" s="577"/>
      <x:c r="B38" s="577"/>
      <x:c r="C38" s="577"/>
      <x:c r="D38" s="577"/>
      <x:c r="E38" s="577"/>
      <x:c r="F38" s="577"/>
      <x:c r="G38" s="577"/>
      <x:c r="H38" s="577"/>
      <x:c r="I38" s="577"/>
      <x:c r="J38" s="577"/>
      <x:c r="K38" s="577"/>
      <x:c r="L38" s="578"/>
      <x:c r="M38" s="577"/>
      <x:c r="N38" s="577"/>
      <x:c r="O38" s="577"/>
      <x:c r="P38" s="577"/>
      <x:c r="Q38" s="577"/>
      <x:c r="R38" s="579" t="str">
        <x:f>IF($B38="","",IF($M38="停用","停用",IF($M38="退回補件","退回補件",IF(COUNTIFS($A$7:$A$306,$A38)&gt;1,"要求編號重複",IF(COUNTIFS('醫師模式規則輸入'!$D$7:$D$156,$B38,'醫師模式規則輸入'!$B$7:$B$156,$C38)&lt;&gt;1,"模式或醫師未建立",IF(COUNTIFS('技能主檔_V1'!$A$7:$A$200,$D38,'技能主檔_V1'!$J$7:$J$200,"啟用")&lt;&gt;1,"技能未在主檔啟用",IF(OR($A38="",$E38="",$F38="",$G38="",$H38="",$I38="",$J38="",$K38="",$L38="",$N38=""),IF($M38="已核定","已核定但資料未完整","待補欄位或核定"),IF(OR($O38="",$P38=""),IF($M38="已核定","已核定但缺來源依據","待補來源依據"),IF($M38="已核定","可發布","待主管核定")))))))))</x:f>
      </x:c>
      <x:c r="S38" s="579" t="str">
        <x:f>IF($B38="","",IF($R38="可發布","回到醫師模式規則輸入，將能力要求集標記為已完整",IF(OR($R38="停用",$R38="退回補件"),"依狀態處理",IF(ISNUMBER(SEARCH("來源",$R38)),"補齊來源文件與定位",IF(ISNUMBER(SEARCH("技能",$R38)),"先完成技能名稱對照並發布技能主檔",IF(ISNUMBER(SEARCH("模式",$R38)),"先建立相符的醫師模式規則","補齊欄位並完成主管核定"))))))</x:f>
      </x:c>
    </x:row>
    <x:row r="39">
      <x:c r="A39" s="577"/>
      <x:c r="B39" s="577"/>
      <x:c r="C39" s="577"/>
      <x:c r="D39" s="577"/>
      <x:c r="E39" s="577"/>
      <x:c r="F39" s="577"/>
      <x:c r="G39" s="577"/>
      <x:c r="H39" s="577"/>
      <x:c r="I39" s="577"/>
      <x:c r="J39" s="577"/>
      <x:c r="K39" s="577"/>
      <x:c r="L39" s="578"/>
      <x:c r="M39" s="577"/>
      <x:c r="N39" s="577"/>
      <x:c r="O39" s="577"/>
      <x:c r="P39" s="577"/>
      <x:c r="Q39" s="577"/>
      <x:c r="R39" s="579" t="str">
        <x:f>IF($B39="","",IF($M39="停用","停用",IF($M39="退回補件","退回補件",IF(COUNTIFS($A$7:$A$306,$A39)&gt;1,"要求編號重複",IF(COUNTIFS('醫師模式規則輸入'!$D$7:$D$156,$B39,'醫師模式規則輸入'!$B$7:$B$156,$C39)&lt;&gt;1,"模式或醫師未建立",IF(COUNTIFS('技能主檔_V1'!$A$7:$A$200,$D39,'技能主檔_V1'!$J$7:$J$200,"啟用")&lt;&gt;1,"技能未在主檔啟用",IF(OR($A39="",$E39="",$F39="",$G39="",$H39="",$I39="",$J39="",$K39="",$L39="",$N39=""),IF($M39="已核定","已核定但資料未完整","待補欄位或核定"),IF(OR($O39="",$P39=""),IF($M39="已核定","已核定但缺來源依據","待補來源依據"),IF($M39="已核定","可發布","待主管核定")))))))))</x:f>
      </x:c>
      <x:c r="S39" s="579" t="str">
        <x:f>IF($B39="","",IF($R39="可發布","回到醫師模式規則輸入，將能力要求集標記為已完整",IF(OR($R39="停用",$R39="退回補件"),"依狀態處理",IF(ISNUMBER(SEARCH("來源",$R39)),"補齊來源文件與定位",IF(ISNUMBER(SEARCH("技能",$R39)),"先完成技能名稱對照並發布技能主檔",IF(ISNUMBER(SEARCH("模式",$R39)),"先建立相符的醫師模式規則","補齊欄位並完成主管核定"))))))</x:f>
      </x:c>
    </x:row>
    <x:row r="40">
      <x:c r="A40" s="577"/>
      <x:c r="B40" s="577"/>
      <x:c r="C40" s="577"/>
      <x:c r="D40" s="577"/>
      <x:c r="E40" s="577"/>
      <x:c r="F40" s="577"/>
      <x:c r="G40" s="577"/>
      <x:c r="H40" s="577"/>
      <x:c r="I40" s="577"/>
      <x:c r="J40" s="577"/>
      <x:c r="K40" s="577"/>
      <x:c r="L40" s="578"/>
      <x:c r="M40" s="577"/>
      <x:c r="N40" s="577"/>
      <x:c r="O40" s="577"/>
      <x:c r="P40" s="577"/>
      <x:c r="Q40" s="577"/>
      <x:c r="R40" s="579" t="str">
        <x:f>IF($B40="","",IF($M40="停用","停用",IF($M40="退回補件","退回補件",IF(COUNTIFS($A$7:$A$306,$A40)&gt;1,"要求編號重複",IF(COUNTIFS('醫師模式規則輸入'!$D$7:$D$156,$B40,'醫師模式規則輸入'!$B$7:$B$156,$C40)&lt;&gt;1,"模式或醫師未建立",IF(COUNTIFS('技能主檔_V1'!$A$7:$A$200,$D40,'技能主檔_V1'!$J$7:$J$200,"啟用")&lt;&gt;1,"技能未在主檔啟用",IF(OR($A40="",$E40="",$F40="",$G40="",$H40="",$I40="",$J40="",$K40="",$L40="",$N40=""),IF($M40="已核定","已核定但資料未完整","待補欄位或核定"),IF(OR($O40="",$P40=""),IF($M40="已核定","已核定但缺來源依據","待補來源依據"),IF($M40="已核定","可發布","待主管核定")))))))))</x:f>
      </x:c>
      <x:c r="S40" s="579" t="str">
        <x:f>IF($B40="","",IF($R40="可發布","回到醫師模式規則輸入，將能力要求集標記為已完整",IF(OR($R40="停用",$R40="退回補件"),"依狀態處理",IF(ISNUMBER(SEARCH("來源",$R40)),"補齊來源文件與定位",IF(ISNUMBER(SEARCH("技能",$R40)),"先完成技能名稱對照並發布技能主檔",IF(ISNUMBER(SEARCH("模式",$R40)),"先建立相符的醫師模式規則","補齊欄位並完成主管核定"))))))</x:f>
      </x:c>
    </x:row>
    <x:row r="41">
      <x:c r="A41" s="577"/>
      <x:c r="B41" s="577"/>
      <x:c r="C41" s="577"/>
      <x:c r="D41" s="577"/>
      <x:c r="E41" s="577"/>
      <x:c r="F41" s="577"/>
      <x:c r="G41" s="577"/>
      <x:c r="H41" s="577"/>
      <x:c r="I41" s="577"/>
      <x:c r="J41" s="577"/>
      <x:c r="K41" s="577"/>
      <x:c r="L41" s="578"/>
      <x:c r="M41" s="577"/>
      <x:c r="N41" s="577"/>
      <x:c r="O41" s="577"/>
      <x:c r="P41" s="577"/>
      <x:c r="Q41" s="577"/>
      <x:c r="R41" s="579" t="str">
        <x:f>IF($B41="","",IF($M41="停用","停用",IF($M41="退回補件","退回補件",IF(COUNTIFS($A$7:$A$306,$A41)&gt;1,"要求編號重複",IF(COUNTIFS('醫師模式規則輸入'!$D$7:$D$156,$B41,'醫師模式規則輸入'!$B$7:$B$156,$C41)&lt;&gt;1,"模式或醫師未建立",IF(COUNTIFS('技能主檔_V1'!$A$7:$A$200,$D41,'技能主檔_V1'!$J$7:$J$200,"啟用")&lt;&gt;1,"技能未在主檔啟用",IF(OR($A41="",$E41="",$F41="",$G41="",$H41="",$I41="",$J41="",$K41="",$L41="",$N41=""),IF($M41="已核定","已核定但資料未完整","待補欄位或核定"),IF(OR($O41="",$P41=""),IF($M41="已核定","已核定但缺來源依據","待補來源依據"),IF($M41="已核定","可發布","待主管核定")))))))))</x:f>
      </x:c>
      <x:c r="S41" s="579" t="str">
        <x:f>IF($B41="","",IF($R41="可發布","回到醫師模式規則輸入，將能力要求集標記為已完整",IF(OR($R41="停用",$R41="退回補件"),"依狀態處理",IF(ISNUMBER(SEARCH("來源",$R41)),"補齊來源文件與定位",IF(ISNUMBER(SEARCH("技能",$R41)),"先完成技能名稱對照並發布技能主檔",IF(ISNUMBER(SEARCH("模式",$R41)),"先建立相符的醫師模式規則","補齊欄位並完成主管核定"))))))</x:f>
      </x:c>
    </x:row>
    <x:row r="42">
      <x:c r="A42" s="577"/>
      <x:c r="B42" s="577"/>
      <x:c r="C42" s="577"/>
      <x:c r="D42" s="577"/>
      <x:c r="E42" s="577"/>
      <x:c r="F42" s="577"/>
      <x:c r="G42" s="577"/>
      <x:c r="H42" s="577"/>
      <x:c r="I42" s="577"/>
      <x:c r="J42" s="577"/>
      <x:c r="K42" s="577"/>
      <x:c r="L42" s="578"/>
      <x:c r="M42" s="577"/>
      <x:c r="N42" s="577"/>
      <x:c r="O42" s="577"/>
      <x:c r="P42" s="577"/>
      <x:c r="Q42" s="577"/>
      <x:c r="R42" s="579" t="str">
        <x:f>IF($B42="","",IF($M42="停用","停用",IF($M42="退回補件","退回補件",IF(COUNTIFS($A$7:$A$306,$A42)&gt;1,"要求編號重複",IF(COUNTIFS('醫師模式規則輸入'!$D$7:$D$156,$B42,'醫師模式規則輸入'!$B$7:$B$156,$C42)&lt;&gt;1,"模式或醫師未建立",IF(COUNTIFS('技能主檔_V1'!$A$7:$A$200,$D42,'技能主檔_V1'!$J$7:$J$200,"啟用")&lt;&gt;1,"技能未在主檔啟用",IF(OR($A42="",$E42="",$F42="",$G42="",$H42="",$I42="",$J42="",$K42="",$L42="",$N42=""),IF($M42="已核定","已核定但資料未完整","待補欄位或核定"),IF(OR($O42="",$P42=""),IF($M42="已核定","已核定但缺來源依據","待補來源依據"),IF($M42="已核定","可發布","待主管核定")))))))))</x:f>
      </x:c>
      <x:c r="S42" s="579" t="str">
        <x:f>IF($B42="","",IF($R42="可發布","回到醫師模式規則輸入，將能力要求集標記為已完整",IF(OR($R42="停用",$R42="退回補件"),"依狀態處理",IF(ISNUMBER(SEARCH("來源",$R42)),"補齊來源文件與定位",IF(ISNUMBER(SEARCH("技能",$R42)),"先完成技能名稱對照並發布技能主檔",IF(ISNUMBER(SEARCH("模式",$R42)),"先建立相符的醫師模式規則","補齊欄位並完成主管核定"))))))</x:f>
      </x:c>
    </x:row>
    <x:row r="43">
      <x:c r="A43" s="577"/>
      <x:c r="B43" s="577"/>
      <x:c r="C43" s="577"/>
      <x:c r="D43" s="577"/>
      <x:c r="E43" s="577"/>
      <x:c r="F43" s="577"/>
      <x:c r="G43" s="577"/>
      <x:c r="H43" s="577"/>
      <x:c r="I43" s="577"/>
      <x:c r="J43" s="577"/>
      <x:c r="K43" s="577"/>
      <x:c r="L43" s="578"/>
      <x:c r="M43" s="577"/>
      <x:c r="N43" s="577"/>
      <x:c r="O43" s="577"/>
      <x:c r="P43" s="577"/>
      <x:c r="Q43" s="577"/>
      <x:c r="R43" s="579" t="str">
        <x:f>IF($B43="","",IF($M43="停用","停用",IF($M43="退回補件","退回補件",IF(COUNTIFS($A$7:$A$306,$A43)&gt;1,"要求編號重複",IF(COUNTIFS('醫師模式規則輸入'!$D$7:$D$156,$B43,'醫師模式規則輸入'!$B$7:$B$156,$C43)&lt;&gt;1,"模式或醫師未建立",IF(COUNTIFS('技能主檔_V1'!$A$7:$A$200,$D43,'技能主檔_V1'!$J$7:$J$200,"啟用")&lt;&gt;1,"技能未在主檔啟用",IF(OR($A43="",$E43="",$F43="",$G43="",$H43="",$I43="",$J43="",$K43="",$L43="",$N43=""),IF($M43="已核定","已核定但資料未完整","待補欄位或核定"),IF(OR($O43="",$P43=""),IF($M43="已核定","已核定但缺來源依據","待補來源依據"),IF($M43="已核定","可發布","待主管核定")))))))))</x:f>
      </x:c>
      <x:c r="S43" s="579" t="str">
        <x:f>IF($B43="","",IF($R43="可發布","回到醫師模式規則輸入，將能力要求集標記為已完整",IF(OR($R43="停用",$R43="退回補件"),"依狀態處理",IF(ISNUMBER(SEARCH("來源",$R43)),"補齊來源文件與定位",IF(ISNUMBER(SEARCH("技能",$R43)),"先完成技能名稱對照並發布技能主檔",IF(ISNUMBER(SEARCH("模式",$R43)),"先建立相符的醫師模式規則","補齊欄位並完成主管核定"))))))</x:f>
      </x:c>
    </x:row>
    <x:row r="44">
      <x:c r="A44" s="577"/>
      <x:c r="B44" s="577"/>
      <x:c r="C44" s="577"/>
      <x:c r="D44" s="577"/>
      <x:c r="E44" s="577"/>
      <x:c r="F44" s="577"/>
      <x:c r="G44" s="577"/>
      <x:c r="H44" s="577"/>
      <x:c r="I44" s="577"/>
      <x:c r="J44" s="577"/>
      <x:c r="K44" s="577"/>
      <x:c r="L44" s="578"/>
      <x:c r="M44" s="577"/>
      <x:c r="N44" s="577"/>
      <x:c r="O44" s="577"/>
      <x:c r="P44" s="577"/>
      <x:c r="Q44" s="577"/>
      <x:c r="R44" s="579" t="str">
        <x:f>IF($B44="","",IF($M44="停用","停用",IF($M44="退回補件","退回補件",IF(COUNTIFS($A$7:$A$306,$A44)&gt;1,"要求編號重複",IF(COUNTIFS('醫師模式規則輸入'!$D$7:$D$156,$B44,'醫師模式規則輸入'!$B$7:$B$156,$C44)&lt;&gt;1,"模式或醫師未建立",IF(COUNTIFS('技能主檔_V1'!$A$7:$A$200,$D44,'技能主檔_V1'!$J$7:$J$200,"啟用")&lt;&gt;1,"技能未在主檔啟用",IF(OR($A44="",$E44="",$F44="",$G44="",$H44="",$I44="",$J44="",$K44="",$L44="",$N44=""),IF($M44="已核定","已核定但資料未完整","待補欄位或核定"),IF(OR($O44="",$P44=""),IF($M44="已核定","已核定但缺來源依據","待補來源依據"),IF($M44="已核定","可發布","待主管核定")))))))))</x:f>
      </x:c>
      <x:c r="S44" s="579" t="str">
        <x:f>IF($B44="","",IF($R44="可發布","回到醫師模式規則輸入，將能力要求集標記為已完整",IF(OR($R44="停用",$R44="退回補件"),"依狀態處理",IF(ISNUMBER(SEARCH("來源",$R44)),"補齊來源文件與定位",IF(ISNUMBER(SEARCH("技能",$R44)),"先完成技能名稱對照並發布技能主檔",IF(ISNUMBER(SEARCH("模式",$R44)),"先建立相符的醫師模式規則","補齊欄位並完成主管核定"))))))</x:f>
      </x:c>
    </x:row>
    <x:row r="45">
      <x:c r="A45" s="577"/>
      <x:c r="B45" s="577"/>
      <x:c r="C45" s="577"/>
      <x:c r="D45" s="577"/>
      <x:c r="E45" s="577"/>
      <x:c r="F45" s="577"/>
      <x:c r="G45" s="577"/>
      <x:c r="H45" s="577"/>
      <x:c r="I45" s="577"/>
      <x:c r="J45" s="577"/>
      <x:c r="K45" s="577"/>
      <x:c r="L45" s="578"/>
      <x:c r="M45" s="577"/>
      <x:c r="N45" s="577"/>
      <x:c r="O45" s="577"/>
      <x:c r="P45" s="577"/>
      <x:c r="Q45" s="577"/>
      <x:c r="R45" s="579" t="str">
        <x:f>IF($B45="","",IF($M45="停用","停用",IF($M45="退回補件","退回補件",IF(COUNTIFS($A$7:$A$306,$A45)&gt;1,"要求編號重複",IF(COUNTIFS('醫師模式規則輸入'!$D$7:$D$156,$B45,'醫師模式規則輸入'!$B$7:$B$156,$C45)&lt;&gt;1,"模式或醫師未建立",IF(COUNTIFS('技能主檔_V1'!$A$7:$A$200,$D45,'技能主檔_V1'!$J$7:$J$200,"啟用")&lt;&gt;1,"技能未在主檔啟用",IF(OR($A45="",$E45="",$F45="",$G45="",$H45="",$I45="",$J45="",$K45="",$L45="",$N45=""),IF($M45="已核定","已核定但資料未完整","待補欄位或核定"),IF(OR($O45="",$P45=""),IF($M45="已核定","已核定但缺來源依據","待補來源依據"),IF($M45="已核定","可發布","待主管核定")))))))))</x:f>
      </x:c>
      <x:c r="S45" s="579" t="str">
        <x:f>IF($B45="","",IF($R45="可發布","回到醫師模式規則輸入，將能力要求集標記為已完整",IF(OR($R45="停用",$R45="退回補件"),"依狀態處理",IF(ISNUMBER(SEARCH("來源",$R45)),"補齊來源文件與定位",IF(ISNUMBER(SEARCH("技能",$R45)),"先完成技能名稱對照並發布技能主檔",IF(ISNUMBER(SEARCH("模式",$R45)),"先建立相符的醫師模式規則","補齊欄位並完成主管核定"))))))</x:f>
      </x:c>
    </x:row>
    <x:row r="46">
      <x:c r="A46" s="577"/>
      <x:c r="B46" s="577"/>
      <x:c r="C46" s="577"/>
      <x:c r="D46" s="577"/>
      <x:c r="E46" s="577"/>
      <x:c r="F46" s="577"/>
      <x:c r="G46" s="577"/>
      <x:c r="H46" s="577"/>
      <x:c r="I46" s="577"/>
      <x:c r="J46" s="577"/>
      <x:c r="K46" s="577"/>
      <x:c r="L46" s="578"/>
      <x:c r="M46" s="577"/>
      <x:c r="N46" s="577"/>
      <x:c r="O46" s="577"/>
      <x:c r="P46" s="577"/>
      <x:c r="Q46" s="577"/>
      <x:c r="R46" s="579" t="str">
        <x:f>IF($B46="","",IF($M46="停用","停用",IF($M46="退回補件","退回補件",IF(COUNTIFS($A$7:$A$306,$A46)&gt;1,"要求編號重複",IF(COUNTIFS('醫師模式規則輸入'!$D$7:$D$156,$B46,'醫師模式規則輸入'!$B$7:$B$156,$C46)&lt;&gt;1,"模式或醫師未建立",IF(COUNTIFS('技能主檔_V1'!$A$7:$A$200,$D46,'技能主檔_V1'!$J$7:$J$200,"啟用")&lt;&gt;1,"技能未在主檔啟用",IF(OR($A46="",$E46="",$F46="",$G46="",$H46="",$I46="",$J46="",$K46="",$L46="",$N46=""),IF($M46="已核定","已核定但資料未完整","待補欄位或核定"),IF(OR($O46="",$P46=""),IF($M46="已核定","已核定但缺來源依據","待補來源依據"),IF($M46="已核定","可發布","待主管核定")))))))))</x:f>
      </x:c>
      <x:c r="S46" s="579" t="str">
        <x:f>IF($B46="","",IF($R46="可發布","回到醫師模式規則輸入，將能力要求集標記為已完整",IF(OR($R46="停用",$R46="退回補件"),"依狀態處理",IF(ISNUMBER(SEARCH("來源",$R46)),"補齊來源文件與定位",IF(ISNUMBER(SEARCH("技能",$R46)),"先完成技能名稱對照並發布技能主檔",IF(ISNUMBER(SEARCH("模式",$R46)),"先建立相符的醫師模式規則","補齊欄位並完成主管核定"))))))</x:f>
      </x:c>
    </x:row>
    <x:row r="47">
      <x:c r="A47" s="577"/>
      <x:c r="B47" s="577"/>
      <x:c r="C47" s="577"/>
      <x:c r="D47" s="577"/>
      <x:c r="E47" s="577"/>
      <x:c r="F47" s="577"/>
      <x:c r="G47" s="577"/>
      <x:c r="H47" s="577"/>
      <x:c r="I47" s="577"/>
      <x:c r="J47" s="577"/>
      <x:c r="K47" s="577"/>
      <x:c r="L47" s="578"/>
      <x:c r="M47" s="577"/>
      <x:c r="N47" s="577"/>
      <x:c r="O47" s="577"/>
      <x:c r="P47" s="577"/>
      <x:c r="Q47" s="577"/>
      <x:c r="R47" s="579" t="str">
        <x:f>IF($B47="","",IF($M47="停用","停用",IF($M47="退回補件","退回補件",IF(COUNTIFS($A$7:$A$306,$A47)&gt;1,"要求編號重複",IF(COUNTIFS('醫師模式規則輸入'!$D$7:$D$156,$B47,'醫師模式規則輸入'!$B$7:$B$156,$C47)&lt;&gt;1,"模式或醫師未建立",IF(COUNTIFS('技能主檔_V1'!$A$7:$A$200,$D47,'技能主檔_V1'!$J$7:$J$200,"啟用")&lt;&gt;1,"技能未在主檔啟用",IF(OR($A47="",$E47="",$F47="",$G47="",$H47="",$I47="",$J47="",$K47="",$L47="",$N47=""),IF($M47="已核定","已核定但資料未完整","待補欄位或核定"),IF(OR($O47="",$P47=""),IF($M47="已核定","已核定但缺來源依據","待補來源依據"),IF($M47="已核定","可發布","待主管核定")))))))))</x:f>
      </x:c>
      <x:c r="S47" s="579" t="str">
        <x:f>IF($B47="","",IF($R47="可發布","回到醫師模式規則輸入，將能力要求集標記為已完整",IF(OR($R47="停用",$R47="退回補件"),"依狀態處理",IF(ISNUMBER(SEARCH("來源",$R47)),"補齊來源文件與定位",IF(ISNUMBER(SEARCH("技能",$R47)),"先完成技能名稱對照並發布技能主檔",IF(ISNUMBER(SEARCH("模式",$R47)),"先建立相符的醫師模式規則","補齊欄位並完成主管核定"))))))</x:f>
      </x:c>
    </x:row>
    <x:row r="48">
      <x:c r="A48" s="577"/>
      <x:c r="B48" s="577"/>
      <x:c r="C48" s="577"/>
      <x:c r="D48" s="577"/>
      <x:c r="E48" s="577"/>
      <x:c r="F48" s="577"/>
      <x:c r="G48" s="577"/>
      <x:c r="H48" s="577"/>
      <x:c r="I48" s="577"/>
      <x:c r="J48" s="577"/>
      <x:c r="K48" s="577"/>
      <x:c r="L48" s="578"/>
      <x:c r="M48" s="577"/>
      <x:c r="N48" s="577"/>
      <x:c r="O48" s="577"/>
      <x:c r="P48" s="577"/>
      <x:c r="Q48" s="577"/>
      <x:c r="R48" s="579" t="str">
        <x:f>IF($B48="","",IF($M48="停用","停用",IF($M48="退回補件","退回補件",IF(COUNTIFS($A$7:$A$306,$A48)&gt;1,"要求編號重複",IF(COUNTIFS('醫師模式規則輸入'!$D$7:$D$156,$B48,'醫師模式規則輸入'!$B$7:$B$156,$C48)&lt;&gt;1,"模式或醫師未建立",IF(COUNTIFS('技能主檔_V1'!$A$7:$A$200,$D48,'技能主檔_V1'!$J$7:$J$200,"啟用")&lt;&gt;1,"技能未在主檔啟用",IF(OR($A48="",$E48="",$F48="",$G48="",$H48="",$I48="",$J48="",$K48="",$L48="",$N48=""),IF($M48="已核定","已核定但資料未完整","待補欄位或核定"),IF(OR($O48="",$P48=""),IF($M48="已核定","已核定但缺來源依據","待補來源依據"),IF($M48="已核定","可發布","待主管核定")))))))))</x:f>
      </x:c>
      <x:c r="S48" s="579" t="str">
        <x:f>IF($B48="","",IF($R48="可發布","回到醫師模式規則輸入，將能力要求集標記為已完整",IF(OR($R48="停用",$R48="退回補件"),"依狀態處理",IF(ISNUMBER(SEARCH("來源",$R48)),"補齊來源文件與定位",IF(ISNUMBER(SEARCH("技能",$R48)),"先完成技能名稱對照並發布技能主檔",IF(ISNUMBER(SEARCH("模式",$R48)),"先建立相符的醫師模式規則","補齊欄位並完成主管核定"))))))</x:f>
      </x:c>
    </x:row>
    <x:row r="49">
      <x:c r="A49" s="577"/>
      <x:c r="B49" s="577"/>
      <x:c r="C49" s="577"/>
      <x:c r="D49" s="577"/>
      <x:c r="E49" s="577"/>
      <x:c r="F49" s="577"/>
      <x:c r="G49" s="577"/>
      <x:c r="H49" s="577"/>
      <x:c r="I49" s="577"/>
      <x:c r="J49" s="577"/>
      <x:c r="K49" s="577"/>
      <x:c r="L49" s="578"/>
      <x:c r="M49" s="577"/>
      <x:c r="N49" s="577"/>
      <x:c r="O49" s="577"/>
      <x:c r="P49" s="577"/>
      <x:c r="Q49" s="577"/>
      <x:c r="R49" s="579" t="str">
        <x:f>IF($B49="","",IF($M49="停用","停用",IF($M49="退回補件","退回補件",IF(COUNTIFS($A$7:$A$306,$A49)&gt;1,"要求編號重複",IF(COUNTIFS('醫師模式規則輸入'!$D$7:$D$156,$B49,'醫師模式規則輸入'!$B$7:$B$156,$C49)&lt;&gt;1,"模式或醫師未建立",IF(COUNTIFS('技能主檔_V1'!$A$7:$A$200,$D49,'技能主檔_V1'!$J$7:$J$200,"啟用")&lt;&gt;1,"技能未在主檔啟用",IF(OR($A49="",$E49="",$F49="",$G49="",$H49="",$I49="",$J49="",$K49="",$L49="",$N49=""),IF($M49="已核定","已核定但資料未完整","待補欄位或核定"),IF(OR($O49="",$P49=""),IF($M49="已核定","已核定但缺來源依據","待補來源依據"),IF($M49="已核定","可發布","待主管核定")))))))))</x:f>
      </x:c>
      <x:c r="S49" s="579" t="str">
        <x:f>IF($B49="","",IF($R49="可發布","回到醫師模式規則輸入，將能力要求集標記為已完整",IF(OR($R49="停用",$R49="退回補件"),"依狀態處理",IF(ISNUMBER(SEARCH("來源",$R49)),"補齊來源文件與定位",IF(ISNUMBER(SEARCH("技能",$R49)),"先完成技能名稱對照並發布技能主檔",IF(ISNUMBER(SEARCH("模式",$R49)),"先建立相符的醫師模式規則","補齊欄位並完成主管核定"))))))</x:f>
      </x:c>
    </x:row>
    <x:row r="50">
      <x:c r="A50" s="577"/>
      <x:c r="B50" s="577"/>
      <x:c r="C50" s="577"/>
      <x:c r="D50" s="577"/>
      <x:c r="E50" s="577"/>
      <x:c r="F50" s="577"/>
      <x:c r="G50" s="577"/>
      <x:c r="H50" s="577"/>
      <x:c r="I50" s="577"/>
      <x:c r="J50" s="577"/>
      <x:c r="K50" s="577"/>
      <x:c r="L50" s="578"/>
      <x:c r="M50" s="577"/>
      <x:c r="N50" s="577"/>
      <x:c r="O50" s="577"/>
      <x:c r="P50" s="577"/>
      <x:c r="Q50" s="577"/>
      <x:c r="R50" s="579" t="str">
        <x:f>IF($B50="","",IF($M50="停用","停用",IF($M50="退回補件","退回補件",IF(COUNTIFS($A$7:$A$306,$A50)&gt;1,"要求編號重複",IF(COUNTIFS('醫師模式規則輸入'!$D$7:$D$156,$B50,'醫師模式規則輸入'!$B$7:$B$156,$C50)&lt;&gt;1,"模式或醫師未建立",IF(COUNTIFS('技能主檔_V1'!$A$7:$A$200,$D50,'技能主檔_V1'!$J$7:$J$200,"啟用")&lt;&gt;1,"技能未在主檔啟用",IF(OR($A50="",$E50="",$F50="",$G50="",$H50="",$I50="",$J50="",$K50="",$L50="",$N50=""),IF($M50="已核定","已核定但資料未完整","待補欄位或核定"),IF(OR($O50="",$P50=""),IF($M50="已核定","已核定但缺來源依據","待補來源依據"),IF($M50="已核定","可發布","待主管核定")))))))))</x:f>
      </x:c>
      <x:c r="S50" s="579" t="str">
        <x:f>IF($B50="","",IF($R50="可發布","回到醫師模式規則輸入，將能力要求集標記為已完整",IF(OR($R50="停用",$R50="退回補件"),"依狀態處理",IF(ISNUMBER(SEARCH("來源",$R50)),"補齊來源文件與定位",IF(ISNUMBER(SEARCH("技能",$R50)),"先完成技能名稱對照並發布技能主檔",IF(ISNUMBER(SEARCH("模式",$R50)),"先建立相符的醫師模式規則","補齊欄位並完成主管核定"))))))</x:f>
      </x:c>
    </x:row>
    <x:row r="51">
      <x:c r="A51" s="577"/>
      <x:c r="B51" s="577"/>
      <x:c r="C51" s="577"/>
      <x:c r="D51" s="577"/>
      <x:c r="E51" s="577"/>
      <x:c r="F51" s="577"/>
      <x:c r="G51" s="577"/>
      <x:c r="H51" s="577"/>
      <x:c r="I51" s="577"/>
      <x:c r="J51" s="577"/>
      <x:c r="K51" s="577"/>
      <x:c r="L51" s="578"/>
      <x:c r="M51" s="577"/>
      <x:c r="N51" s="577"/>
      <x:c r="O51" s="577"/>
      <x:c r="P51" s="577"/>
      <x:c r="Q51" s="577"/>
      <x:c r="R51" s="579" t="str">
        <x:f>IF($B51="","",IF($M51="停用","停用",IF($M51="退回補件","退回補件",IF(COUNTIFS($A$7:$A$306,$A51)&gt;1,"要求編號重複",IF(COUNTIFS('醫師模式規則輸入'!$D$7:$D$156,$B51,'醫師模式規則輸入'!$B$7:$B$156,$C51)&lt;&gt;1,"模式或醫師未建立",IF(COUNTIFS('技能主檔_V1'!$A$7:$A$200,$D51,'技能主檔_V1'!$J$7:$J$200,"啟用")&lt;&gt;1,"技能未在主檔啟用",IF(OR($A51="",$E51="",$F51="",$G51="",$H51="",$I51="",$J51="",$K51="",$L51="",$N51=""),IF($M51="已核定","已核定但資料未完整","待補欄位或核定"),IF(OR($O51="",$P51=""),IF($M51="已核定","已核定但缺來源依據","待補來源依據"),IF($M51="已核定","可發布","待主管核定")))))))))</x:f>
      </x:c>
      <x:c r="S51" s="579" t="str">
        <x:f>IF($B51="","",IF($R51="可發布","回到醫師模式規則輸入，將能力要求集標記為已完整",IF(OR($R51="停用",$R51="退回補件"),"依狀態處理",IF(ISNUMBER(SEARCH("來源",$R51)),"補齊來源文件與定位",IF(ISNUMBER(SEARCH("技能",$R51)),"先完成技能名稱對照並發布技能主檔",IF(ISNUMBER(SEARCH("模式",$R51)),"先建立相符的醫師模式規則","補齊欄位並完成主管核定"))))))</x:f>
      </x:c>
    </x:row>
    <x:row r="52">
      <x:c r="A52" s="577"/>
      <x:c r="B52" s="577"/>
      <x:c r="C52" s="577"/>
      <x:c r="D52" s="577"/>
      <x:c r="E52" s="577"/>
      <x:c r="F52" s="577"/>
      <x:c r="G52" s="577"/>
      <x:c r="H52" s="577"/>
      <x:c r="I52" s="577"/>
      <x:c r="J52" s="577"/>
      <x:c r="K52" s="577"/>
      <x:c r="L52" s="578"/>
      <x:c r="M52" s="577"/>
      <x:c r="N52" s="577"/>
      <x:c r="O52" s="577"/>
      <x:c r="P52" s="577"/>
      <x:c r="Q52" s="577"/>
      <x:c r="R52" s="579" t="str">
        <x:f>IF($B52="","",IF($M52="停用","停用",IF($M52="退回補件","退回補件",IF(COUNTIFS($A$7:$A$306,$A52)&gt;1,"要求編號重複",IF(COUNTIFS('醫師模式規則輸入'!$D$7:$D$156,$B52,'醫師模式規則輸入'!$B$7:$B$156,$C52)&lt;&gt;1,"模式或醫師未建立",IF(COUNTIFS('技能主檔_V1'!$A$7:$A$200,$D52,'技能主檔_V1'!$J$7:$J$200,"啟用")&lt;&gt;1,"技能未在主檔啟用",IF(OR($A52="",$E52="",$F52="",$G52="",$H52="",$I52="",$J52="",$K52="",$L52="",$N52=""),IF($M52="已核定","已核定但資料未完整","待補欄位或核定"),IF(OR($O52="",$P52=""),IF($M52="已核定","已核定但缺來源依據","待補來源依據"),IF($M52="已核定","可發布","待主管核定")))))))))</x:f>
      </x:c>
      <x:c r="S52" s="579" t="str">
        <x:f>IF($B52="","",IF($R52="可發布","回到醫師模式規則輸入，將能力要求集標記為已完整",IF(OR($R52="停用",$R52="退回補件"),"依狀態處理",IF(ISNUMBER(SEARCH("來源",$R52)),"補齊來源文件與定位",IF(ISNUMBER(SEARCH("技能",$R52)),"先完成技能名稱對照並發布技能主檔",IF(ISNUMBER(SEARCH("模式",$R52)),"先建立相符的醫師模式規則","補齊欄位並完成主管核定"))))))</x:f>
      </x:c>
    </x:row>
    <x:row r="53">
      <x:c r="A53" s="577"/>
      <x:c r="B53" s="577"/>
      <x:c r="C53" s="577"/>
      <x:c r="D53" s="577"/>
      <x:c r="E53" s="577"/>
      <x:c r="F53" s="577"/>
      <x:c r="G53" s="577"/>
      <x:c r="H53" s="577"/>
      <x:c r="I53" s="577"/>
      <x:c r="J53" s="577"/>
      <x:c r="K53" s="577"/>
      <x:c r="L53" s="578"/>
      <x:c r="M53" s="577"/>
      <x:c r="N53" s="577"/>
      <x:c r="O53" s="577"/>
      <x:c r="P53" s="577"/>
      <x:c r="Q53" s="577"/>
      <x:c r="R53" s="579" t="str">
        <x:f>IF($B53="","",IF($M53="停用","停用",IF($M53="退回補件","退回補件",IF(COUNTIFS($A$7:$A$306,$A53)&gt;1,"要求編號重複",IF(COUNTIFS('醫師模式規則輸入'!$D$7:$D$156,$B53,'醫師模式規則輸入'!$B$7:$B$156,$C53)&lt;&gt;1,"模式或醫師未建立",IF(COUNTIFS('技能主檔_V1'!$A$7:$A$200,$D53,'技能主檔_V1'!$J$7:$J$200,"啟用")&lt;&gt;1,"技能未在主檔啟用",IF(OR($A53="",$E53="",$F53="",$G53="",$H53="",$I53="",$J53="",$K53="",$L53="",$N53=""),IF($M53="已核定","已核定但資料未完整","待補欄位或核定"),IF(OR($O53="",$P53=""),IF($M53="已核定","已核定但缺來源依據","待補來源依據"),IF($M53="已核定","可發布","待主管核定")))))))))</x:f>
      </x:c>
      <x:c r="S53" s="579" t="str">
        <x:f>IF($B53="","",IF($R53="可發布","回到醫師模式規則輸入，將能力要求集標記為已完整",IF(OR($R53="停用",$R53="退回補件"),"依狀態處理",IF(ISNUMBER(SEARCH("來源",$R53)),"補齊來源文件與定位",IF(ISNUMBER(SEARCH("技能",$R53)),"先完成技能名稱對照並發布技能主檔",IF(ISNUMBER(SEARCH("模式",$R53)),"先建立相符的醫師模式規則","補齊欄位並完成主管核定"))))))</x:f>
      </x:c>
    </x:row>
    <x:row r="54">
      <x:c r="A54" s="577"/>
      <x:c r="B54" s="577"/>
      <x:c r="C54" s="577"/>
      <x:c r="D54" s="577"/>
      <x:c r="E54" s="577"/>
      <x:c r="F54" s="577"/>
      <x:c r="G54" s="577"/>
      <x:c r="H54" s="577"/>
      <x:c r="I54" s="577"/>
      <x:c r="J54" s="577"/>
      <x:c r="K54" s="577"/>
      <x:c r="L54" s="578"/>
      <x:c r="M54" s="577"/>
      <x:c r="N54" s="577"/>
      <x:c r="O54" s="577"/>
      <x:c r="P54" s="577"/>
      <x:c r="Q54" s="577"/>
      <x:c r="R54" s="579" t="str">
        <x:f>IF($B54="","",IF($M54="停用","停用",IF($M54="退回補件","退回補件",IF(COUNTIFS($A$7:$A$306,$A54)&gt;1,"要求編號重複",IF(COUNTIFS('醫師模式規則輸入'!$D$7:$D$156,$B54,'醫師模式規則輸入'!$B$7:$B$156,$C54)&lt;&gt;1,"模式或醫師未建立",IF(COUNTIFS('技能主檔_V1'!$A$7:$A$200,$D54,'技能主檔_V1'!$J$7:$J$200,"啟用")&lt;&gt;1,"技能未在主檔啟用",IF(OR($A54="",$E54="",$F54="",$G54="",$H54="",$I54="",$J54="",$K54="",$L54="",$N54=""),IF($M54="已核定","已核定但資料未完整","待補欄位或核定"),IF(OR($O54="",$P54=""),IF($M54="已核定","已核定但缺來源依據","待補來源依據"),IF($M54="已核定","可發布","待主管核定")))))))))</x:f>
      </x:c>
      <x:c r="S54" s="579" t="str">
        <x:f>IF($B54="","",IF($R54="可發布","回到醫師模式規則輸入，將能力要求集標記為已完整",IF(OR($R54="停用",$R54="退回補件"),"依狀態處理",IF(ISNUMBER(SEARCH("來源",$R54)),"補齊來源文件與定位",IF(ISNUMBER(SEARCH("技能",$R54)),"先完成技能名稱對照並發布技能主檔",IF(ISNUMBER(SEARCH("模式",$R54)),"先建立相符的醫師模式規則","補齊欄位並完成主管核定"))))))</x:f>
      </x:c>
    </x:row>
    <x:row r="55">
      <x:c r="A55" s="577"/>
      <x:c r="B55" s="577"/>
      <x:c r="C55" s="577"/>
      <x:c r="D55" s="577"/>
      <x:c r="E55" s="577"/>
      <x:c r="F55" s="577"/>
      <x:c r="G55" s="577"/>
      <x:c r="H55" s="577"/>
      <x:c r="I55" s="577"/>
      <x:c r="J55" s="577"/>
      <x:c r="K55" s="577"/>
      <x:c r="L55" s="578"/>
      <x:c r="M55" s="577"/>
      <x:c r="N55" s="577"/>
      <x:c r="O55" s="577"/>
      <x:c r="P55" s="577"/>
      <x:c r="Q55" s="577"/>
      <x:c r="R55" s="579" t="str">
        <x:f>IF($B55="","",IF($M55="停用","停用",IF($M55="退回補件","退回補件",IF(COUNTIFS($A$7:$A$306,$A55)&gt;1,"要求編號重複",IF(COUNTIFS('醫師模式規則輸入'!$D$7:$D$156,$B55,'醫師模式規則輸入'!$B$7:$B$156,$C55)&lt;&gt;1,"模式或醫師未建立",IF(COUNTIFS('技能主檔_V1'!$A$7:$A$200,$D55,'技能主檔_V1'!$J$7:$J$200,"啟用")&lt;&gt;1,"技能未在主檔啟用",IF(OR($A55="",$E55="",$F55="",$G55="",$H55="",$I55="",$J55="",$K55="",$L55="",$N55=""),IF($M55="已核定","已核定但資料未完整","待補欄位或核定"),IF(OR($O55="",$P55=""),IF($M55="已核定","已核定但缺來源依據","待補來源依據"),IF($M55="已核定","可發布","待主管核定")))))))))</x:f>
      </x:c>
      <x:c r="S55" s="579" t="str">
        <x:f>IF($B55="","",IF($R55="可發布","回到醫師模式規則輸入，將能力要求集標記為已完整",IF(OR($R55="停用",$R55="退回補件"),"依狀態處理",IF(ISNUMBER(SEARCH("來源",$R55)),"補齊來源文件與定位",IF(ISNUMBER(SEARCH("技能",$R55)),"先完成技能名稱對照並發布技能主檔",IF(ISNUMBER(SEARCH("模式",$R55)),"先建立相符的醫師模式規則","補齊欄位並完成主管核定"))))))</x:f>
      </x:c>
    </x:row>
    <x:row r="56">
      <x:c r="A56" s="577"/>
      <x:c r="B56" s="577"/>
      <x:c r="C56" s="577"/>
      <x:c r="D56" s="577"/>
      <x:c r="E56" s="577"/>
      <x:c r="F56" s="577"/>
      <x:c r="G56" s="577"/>
      <x:c r="H56" s="577"/>
      <x:c r="I56" s="577"/>
      <x:c r="J56" s="577"/>
      <x:c r="K56" s="577"/>
      <x:c r="L56" s="578"/>
      <x:c r="M56" s="577"/>
      <x:c r="N56" s="577"/>
      <x:c r="O56" s="577"/>
      <x:c r="P56" s="577"/>
      <x:c r="Q56" s="577"/>
      <x:c r="R56" s="579" t="str">
        <x:f>IF($B56="","",IF($M56="停用","停用",IF($M56="退回補件","退回補件",IF(COUNTIFS($A$7:$A$306,$A56)&gt;1,"要求編號重複",IF(COUNTIFS('醫師模式規則輸入'!$D$7:$D$156,$B56,'醫師模式規則輸入'!$B$7:$B$156,$C56)&lt;&gt;1,"模式或醫師未建立",IF(COUNTIFS('技能主檔_V1'!$A$7:$A$200,$D56,'技能主檔_V1'!$J$7:$J$200,"啟用")&lt;&gt;1,"技能未在主檔啟用",IF(OR($A56="",$E56="",$F56="",$G56="",$H56="",$I56="",$J56="",$K56="",$L56="",$N56=""),IF($M56="已核定","已核定但資料未完整","待補欄位或核定"),IF(OR($O56="",$P56=""),IF($M56="已核定","已核定但缺來源依據","待補來源依據"),IF($M56="已核定","可發布","待主管核定")))))))))</x:f>
      </x:c>
      <x:c r="S56" s="579" t="str">
        <x:f>IF($B56="","",IF($R56="可發布","回到醫師模式規則輸入，將能力要求集標記為已完整",IF(OR($R56="停用",$R56="退回補件"),"依狀態處理",IF(ISNUMBER(SEARCH("來源",$R56)),"補齊來源文件與定位",IF(ISNUMBER(SEARCH("技能",$R56)),"先完成技能名稱對照並發布技能主檔",IF(ISNUMBER(SEARCH("模式",$R56)),"先建立相符的醫師模式規則","補齊欄位並完成主管核定"))))))</x:f>
      </x:c>
    </x:row>
    <x:row r="57">
      <x:c r="A57" s="577"/>
      <x:c r="B57" s="577"/>
      <x:c r="C57" s="577"/>
      <x:c r="D57" s="577"/>
      <x:c r="E57" s="577"/>
      <x:c r="F57" s="577"/>
      <x:c r="G57" s="577"/>
      <x:c r="H57" s="577"/>
      <x:c r="I57" s="577"/>
      <x:c r="J57" s="577"/>
      <x:c r="K57" s="577"/>
      <x:c r="L57" s="578"/>
      <x:c r="M57" s="577"/>
      <x:c r="N57" s="577"/>
      <x:c r="O57" s="577"/>
      <x:c r="P57" s="577"/>
      <x:c r="Q57" s="577"/>
      <x:c r="R57" s="579" t="str">
        <x:f>IF($B57="","",IF($M57="停用","停用",IF($M57="退回補件","退回補件",IF(COUNTIFS($A$7:$A$306,$A57)&gt;1,"要求編號重複",IF(COUNTIFS('醫師模式規則輸入'!$D$7:$D$156,$B57,'醫師模式規則輸入'!$B$7:$B$156,$C57)&lt;&gt;1,"模式或醫師未建立",IF(COUNTIFS('技能主檔_V1'!$A$7:$A$200,$D57,'技能主檔_V1'!$J$7:$J$200,"啟用")&lt;&gt;1,"技能未在主檔啟用",IF(OR($A57="",$E57="",$F57="",$G57="",$H57="",$I57="",$J57="",$K57="",$L57="",$N57=""),IF($M57="已核定","已核定但資料未完整","待補欄位或核定"),IF(OR($O57="",$P57=""),IF($M57="已核定","已核定但缺來源依據","待補來源依據"),IF($M57="已核定","可發布","待主管核定")))))))))</x:f>
      </x:c>
      <x:c r="S57" s="579" t="str">
        <x:f>IF($B57="","",IF($R57="可發布","回到醫師模式規則輸入，將能力要求集標記為已完整",IF(OR($R57="停用",$R57="退回補件"),"依狀態處理",IF(ISNUMBER(SEARCH("來源",$R57)),"補齊來源文件與定位",IF(ISNUMBER(SEARCH("技能",$R57)),"先完成技能名稱對照並發布技能主檔",IF(ISNUMBER(SEARCH("模式",$R57)),"先建立相符的醫師模式規則","補齊欄位並完成主管核定"))))))</x:f>
      </x:c>
    </x:row>
    <x:row r="58">
      <x:c r="A58" s="577"/>
      <x:c r="B58" s="577"/>
      <x:c r="C58" s="577"/>
      <x:c r="D58" s="577"/>
      <x:c r="E58" s="577"/>
      <x:c r="F58" s="577"/>
      <x:c r="G58" s="577"/>
      <x:c r="H58" s="577"/>
      <x:c r="I58" s="577"/>
      <x:c r="J58" s="577"/>
      <x:c r="K58" s="577"/>
      <x:c r="L58" s="578"/>
      <x:c r="M58" s="577"/>
      <x:c r="N58" s="577"/>
      <x:c r="O58" s="577"/>
      <x:c r="P58" s="577"/>
      <x:c r="Q58" s="577"/>
      <x:c r="R58" s="579" t="str">
        <x:f>IF($B58="","",IF($M58="停用","停用",IF($M58="退回補件","退回補件",IF(COUNTIFS($A$7:$A$306,$A58)&gt;1,"要求編號重複",IF(COUNTIFS('醫師模式規則輸入'!$D$7:$D$156,$B58,'醫師模式規則輸入'!$B$7:$B$156,$C58)&lt;&gt;1,"模式或醫師未建立",IF(COUNTIFS('技能主檔_V1'!$A$7:$A$200,$D58,'技能主檔_V1'!$J$7:$J$200,"啟用")&lt;&gt;1,"技能未在主檔啟用",IF(OR($A58="",$E58="",$F58="",$G58="",$H58="",$I58="",$J58="",$K58="",$L58="",$N58=""),IF($M58="已核定","已核定但資料未完整","待補欄位或核定"),IF(OR($O58="",$P58=""),IF($M58="已核定","已核定但缺來源依據","待補來源依據"),IF($M58="已核定","可發布","待主管核定")))))))))</x:f>
      </x:c>
      <x:c r="S58" s="579" t="str">
        <x:f>IF($B58="","",IF($R58="可發布","回到醫師模式規則輸入，將能力要求集標記為已完整",IF(OR($R58="停用",$R58="退回補件"),"依狀態處理",IF(ISNUMBER(SEARCH("來源",$R58)),"補齊來源文件與定位",IF(ISNUMBER(SEARCH("技能",$R58)),"先完成技能名稱對照並發布技能主檔",IF(ISNUMBER(SEARCH("模式",$R58)),"先建立相符的醫師模式規則","補齊欄位並完成主管核定"))))))</x:f>
      </x:c>
    </x:row>
    <x:row r="59">
      <x:c r="A59" s="577"/>
      <x:c r="B59" s="577"/>
      <x:c r="C59" s="577"/>
      <x:c r="D59" s="577"/>
      <x:c r="E59" s="577"/>
      <x:c r="F59" s="577"/>
      <x:c r="G59" s="577"/>
      <x:c r="H59" s="577"/>
      <x:c r="I59" s="577"/>
      <x:c r="J59" s="577"/>
      <x:c r="K59" s="577"/>
      <x:c r="L59" s="578"/>
      <x:c r="M59" s="577"/>
      <x:c r="N59" s="577"/>
      <x:c r="O59" s="577"/>
      <x:c r="P59" s="577"/>
      <x:c r="Q59" s="577"/>
      <x:c r="R59" s="579" t="str">
        <x:f>IF($B59="","",IF($M59="停用","停用",IF($M59="退回補件","退回補件",IF(COUNTIFS($A$7:$A$306,$A59)&gt;1,"要求編號重複",IF(COUNTIFS('醫師模式規則輸入'!$D$7:$D$156,$B59,'醫師模式規則輸入'!$B$7:$B$156,$C59)&lt;&gt;1,"模式或醫師未建立",IF(COUNTIFS('技能主檔_V1'!$A$7:$A$200,$D59,'技能主檔_V1'!$J$7:$J$200,"啟用")&lt;&gt;1,"技能未在主檔啟用",IF(OR($A59="",$E59="",$F59="",$G59="",$H59="",$I59="",$J59="",$K59="",$L59="",$N59=""),IF($M59="已核定","已核定但資料未完整","待補欄位或核定"),IF(OR($O59="",$P59=""),IF($M59="已核定","已核定但缺來源依據","待補來源依據"),IF($M59="已核定","可發布","待主管核定")))))))))</x:f>
      </x:c>
      <x:c r="S59" s="579" t="str">
        <x:f>IF($B59="","",IF($R59="可發布","回到醫師模式規則輸入，將能力要求集標記為已完整",IF(OR($R59="停用",$R59="退回補件"),"依狀態處理",IF(ISNUMBER(SEARCH("來源",$R59)),"補齊來源文件與定位",IF(ISNUMBER(SEARCH("技能",$R59)),"先完成技能名稱對照並發布技能主檔",IF(ISNUMBER(SEARCH("模式",$R59)),"先建立相符的醫師模式規則","補齊欄位並完成主管核定"))))))</x:f>
      </x:c>
    </x:row>
    <x:row r="60">
      <x:c r="A60" s="577"/>
      <x:c r="B60" s="577"/>
      <x:c r="C60" s="577"/>
      <x:c r="D60" s="577"/>
      <x:c r="E60" s="577"/>
      <x:c r="F60" s="577"/>
      <x:c r="G60" s="577"/>
      <x:c r="H60" s="577"/>
      <x:c r="I60" s="577"/>
      <x:c r="J60" s="577"/>
      <x:c r="K60" s="577"/>
      <x:c r="L60" s="578"/>
      <x:c r="M60" s="577"/>
      <x:c r="N60" s="577"/>
      <x:c r="O60" s="577"/>
      <x:c r="P60" s="577"/>
      <x:c r="Q60" s="577"/>
      <x:c r="R60" s="579" t="str">
        <x:f>IF($B60="","",IF($M60="停用","停用",IF($M60="退回補件","退回補件",IF(COUNTIFS($A$7:$A$306,$A60)&gt;1,"要求編號重複",IF(COUNTIFS('醫師模式規則輸入'!$D$7:$D$156,$B60,'醫師模式規則輸入'!$B$7:$B$156,$C60)&lt;&gt;1,"模式或醫師未建立",IF(COUNTIFS('技能主檔_V1'!$A$7:$A$200,$D60,'技能主檔_V1'!$J$7:$J$200,"啟用")&lt;&gt;1,"技能未在主檔啟用",IF(OR($A60="",$E60="",$F60="",$G60="",$H60="",$I60="",$J60="",$K60="",$L60="",$N60=""),IF($M60="已核定","已核定但資料未完整","待補欄位或核定"),IF(OR($O60="",$P60=""),IF($M60="已核定","已核定但缺來源依據","待補來源依據"),IF($M60="已核定","可發布","待主管核定")))))))))</x:f>
      </x:c>
      <x:c r="S60" s="579" t="str">
        <x:f>IF($B60="","",IF($R60="可發布","回到醫師模式規則輸入，將能力要求集標記為已完整",IF(OR($R60="停用",$R60="退回補件"),"依狀態處理",IF(ISNUMBER(SEARCH("來源",$R60)),"補齊來源文件與定位",IF(ISNUMBER(SEARCH("技能",$R60)),"先完成技能名稱對照並發布技能主檔",IF(ISNUMBER(SEARCH("模式",$R60)),"先建立相符的醫師模式規則","補齊欄位並完成主管核定"))))))</x:f>
      </x:c>
    </x:row>
    <x:row r="61">
      <x:c r="A61" s="577"/>
      <x:c r="B61" s="577"/>
      <x:c r="C61" s="577"/>
      <x:c r="D61" s="577"/>
      <x:c r="E61" s="577"/>
      <x:c r="F61" s="577"/>
      <x:c r="G61" s="577"/>
      <x:c r="H61" s="577"/>
      <x:c r="I61" s="577"/>
      <x:c r="J61" s="577"/>
      <x:c r="K61" s="577"/>
      <x:c r="L61" s="578"/>
      <x:c r="M61" s="577"/>
      <x:c r="N61" s="577"/>
      <x:c r="O61" s="577"/>
      <x:c r="P61" s="577"/>
      <x:c r="Q61" s="577"/>
      <x:c r="R61" s="579" t="str">
        <x:f>IF($B61="","",IF($M61="停用","停用",IF($M61="退回補件","退回補件",IF(COUNTIFS($A$7:$A$306,$A61)&gt;1,"要求編號重複",IF(COUNTIFS('醫師模式規則輸入'!$D$7:$D$156,$B61,'醫師模式規則輸入'!$B$7:$B$156,$C61)&lt;&gt;1,"模式或醫師未建立",IF(COUNTIFS('技能主檔_V1'!$A$7:$A$200,$D61,'技能主檔_V1'!$J$7:$J$200,"啟用")&lt;&gt;1,"技能未在主檔啟用",IF(OR($A61="",$E61="",$F61="",$G61="",$H61="",$I61="",$J61="",$K61="",$L61="",$N61=""),IF($M61="已核定","已核定但資料未完整","待補欄位或核定"),IF(OR($O61="",$P61=""),IF($M61="已核定","已核定但缺來源依據","待補來源依據"),IF($M61="已核定","可發布","待主管核定")))))))))</x:f>
      </x:c>
      <x:c r="S61" s="579" t="str">
        <x:f>IF($B61="","",IF($R61="可發布","回到醫師模式規則輸入，將能力要求集標記為已完整",IF(OR($R61="停用",$R61="退回補件"),"依狀態處理",IF(ISNUMBER(SEARCH("來源",$R61)),"補齊來源文件與定位",IF(ISNUMBER(SEARCH("技能",$R61)),"先完成技能名稱對照並發布技能主檔",IF(ISNUMBER(SEARCH("模式",$R61)),"先建立相符的醫師模式規則","補齊欄位並完成主管核定"))))))</x:f>
      </x:c>
    </x:row>
    <x:row r="62">
      <x:c r="A62" s="577"/>
      <x:c r="B62" s="577"/>
      <x:c r="C62" s="577"/>
      <x:c r="D62" s="577"/>
      <x:c r="E62" s="577"/>
      <x:c r="F62" s="577"/>
      <x:c r="G62" s="577"/>
      <x:c r="H62" s="577"/>
      <x:c r="I62" s="577"/>
      <x:c r="J62" s="577"/>
      <x:c r="K62" s="577"/>
      <x:c r="L62" s="578"/>
      <x:c r="M62" s="577"/>
      <x:c r="N62" s="577"/>
      <x:c r="O62" s="577"/>
      <x:c r="P62" s="577"/>
      <x:c r="Q62" s="577"/>
      <x:c r="R62" s="579" t="str">
        <x:f>IF($B62="","",IF($M62="停用","停用",IF($M62="退回補件","退回補件",IF(COUNTIFS($A$7:$A$306,$A62)&gt;1,"要求編號重複",IF(COUNTIFS('醫師模式規則輸入'!$D$7:$D$156,$B62,'醫師模式規則輸入'!$B$7:$B$156,$C62)&lt;&gt;1,"模式或醫師未建立",IF(COUNTIFS('技能主檔_V1'!$A$7:$A$200,$D62,'技能主檔_V1'!$J$7:$J$200,"啟用")&lt;&gt;1,"技能未在主檔啟用",IF(OR($A62="",$E62="",$F62="",$G62="",$H62="",$I62="",$J62="",$K62="",$L62="",$N62=""),IF($M62="已核定","已核定但資料未完整","待補欄位或核定"),IF(OR($O62="",$P62=""),IF($M62="已核定","已核定但缺來源依據","待補來源依據"),IF($M62="已核定","可發布","待主管核定")))))))))</x:f>
      </x:c>
      <x:c r="S62" s="579" t="str">
        <x:f>IF($B62="","",IF($R62="可發布","回到醫師模式規則輸入，將能力要求集標記為已完整",IF(OR($R62="停用",$R62="退回補件"),"依狀態處理",IF(ISNUMBER(SEARCH("來源",$R62)),"補齊來源文件與定位",IF(ISNUMBER(SEARCH("技能",$R62)),"先完成技能名稱對照並發布技能主檔",IF(ISNUMBER(SEARCH("模式",$R62)),"先建立相符的醫師模式規則","補齊欄位並完成主管核定"))))))</x:f>
      </x:c>
    </x:row>
    <x:row r="63">
      <x:c r="A63" s="577"/>
      <x:c r="B63" s="577"/>
      <x:c r="C63" s="577"/>
      <x:c r="D63" s="577"/>
      <x:c r="E63" s="577"/>
      <x:c r="F63" s="577"/>
      <x:c r="G63" s="577"/>
      <x:c r="H63" s="577"/>
      <x:c r="I63" s="577"/>
      <x:c r="J63" s="577"/>
      <x:c r="K63" s="577"/>
      <x:c r="L63" s="578"/>
      <x:c r="M63" s="577"/>
      <x:c r="N63" s="577"/>
      <x:c r="O63" s="577"/>
      <x:c r="P63" s="577"/>
      <x:c r="Q63" s="577"/>
      <x:c r="R63" s="579" t="str">
        <x:f>IF($B63="","",IF($M63="停用","停用",IF($M63="退回補件","退回補件",IF(COUNTIFS($A$7:$A$306,$A63)&gt;1,"要求編號重複",IF(COUNTIFS('醫師模式規則輸入'!$D$7:$D$156,$B63,'醫師模式規則輸入'!$B$7:$B$156,$C63)&lt;&gt;1,"模式或醫師未建立",IF(COUNTIFS('技能主檔_V1'!$A$7:$A$200,$D63,'技能主檔_V1'!$J$7:$J$200,"啟用")&lt;&gt;1,"技能未在主檔啟用",IF(OR($A63="",$E63="",$F63="",$G63="",$H63="",$I63="",$J63="",$K63="",$L63="",$N63=""),IF($M63="已核定","已核定但資料未完整","待補欄位或核定"),IF(OR($O63="",$P63=""),IF($M63="已核定","已核定但缺來源依據","待補來源依據"),IF($M63="已核定","可發布","待主管核定")))))))))</x:f>
      </x:c>
      <x:c r="S63" s="579" t="str">
        <x:f>IF($B63="","",IF($R63="可發布","回到醫師模式規則輸入，將能力要求集標記為已完整",IF(OR($R63="停用",$R63="退回補件"),"依狀態處理",IF(ISNUMBER(SEARCH("來源",$R63)),"補齊來源文件與定位",IF(ISNUMBER(SEARCH("技能",$R63)),"先完成技能名稱對照並發布技能主檔",IF(ISNUMBER(SEARCH("模式",$R63)),"先建立相符的醫師模式規則","補齊欄位並完成主管核定"))))))</x:f>
      </x:c>
    </x:row>
    <x:row r="64">
      <x:c r="A64" s="577"/>
      <x:c r="B64" s="577"/>
      <x:c r="C64" s="577"/>
      <x:c r="D64" s="577"/>
      <x:c r="E64" s="577"/>
      <x:c r="F64" s="577"/>
      <x:c r="G64" s="577"/>
      <x:c r="H64" s="577"/>
      <x:c r="I64" s="577"/>
      <x:c r="J64" s="577"/>
      <x:c r="K64" s="577"/>
      <x:c r="L64" s="578"/>
      <x:c r="M64" s="577"/>
      <x:c r="N64" s="577"/>
      <x:c r="O64" s="577"/>
      <x:c r="P64" s="577"/>
      <x:c r="Q64" s="577"/>
      <x:c r="R64" s="579" t="str">
        <x:f>IF($B64="","",IF($M64="停用","停用",IF($M64="退回補件","退回補件",IF(COUNTIFS($A$7:$A$306,$A64)&gt;1,"要求編號重複",IF(COUNTIFS('醫師模式規則輸入'!$D$7:$D$156,$B64,'醫師模式規則輸入'!$B$7:$B$156,$C64)&lt;&gt;1,"模式或醫師未建立",IF(COUNTIFS('技能主檔_V1'!$A$7:$A$200,$D64,'技能主檔_V1'!$J$7:$J$200,"啟用")&lt;&gt;1,"技能未在主檔啟用",IF(OR($A64="",$E64="",$F64="",$G64="",$H64="",$I64="",$J64="",$K64="",$L64="",$N64=""),IF($M64="已核定","已核定但資料未完整","待補欄位或核定"),IF(OR($O64="",$P64=""),IF($M64="已核定","已核定但缺來源依據","待補來源依據"),IF($M64="已核定","可發布","待主管核定")))))))))</x:f>
      </x:c>
      <x:c r="S64" s="579" t="str">
        <x:f>IF($B64="","",IF($R64="可發布","回到醫師模式規則輸入，將能力要求集標記為已完整",IF(OR($R64="停用",$R64="退回補件"),"依狀態處理",IF(ISNUMBER(SEARCH("來源",$R64)),"補齊來源文件與定位",IF(ISNUMBER(SEARCH("技能",$R64)),"先完成技能名稱對照並發布技能主檔",IF(ISNUMBER(SEARCH("模式",$R64)),"先建立相符的醫師模式規則","補齊欄位並完成主管核定"))))))</x:f>
      </x:c>
    </x:row>
    <x:row r="65">
      <x:c r="A65" s="577"/>
      <x:c r="B65" s="577"/>
      <x:c r="C65" s="577"/>
      <x:c r="D65" s="577"/>
      <x:c r="E65" s="577"/>
      <x:c r="F65" s="577"/>
      <x:c r="G65" s="577"/>
      <x:c r="H65" s="577"/>
      <x:c r="I65" s="577"/>
      <x:c r="J65" s="577"/>
      <x:c r="K65" s="577"/>
      <x:c r="L65" s="578"/>
      <x:c r="M65" s="577"/>
      <x:c r="N65" s="577"/>
      <x:c r="O65" s="577"/>
      <x:c r="P65" s="577"/>
      <x:c r="Q65" s="577"/>
      <x:c r="R65" s="579" t="str">
        <x:f>IF($B65="","",IF($M65="停用","停用",IF($M65="退回補件","退回補件",IF(COUNTIFS($A$7:$A$306,$A65)&gt;1,"要求編號重複",IF(COUNTIFS('醫師模式規則輸入'!$D$7:$D$156,$B65,'醫師模式規則輸入'!$B$7:$B$156,$C65)&lt;&gt;1,"模式或醫師未建立",IF(COUNTIFS('技能主檔_V1'!$A$7:$A$200,$D65,'技能主檔_V1'!$J$7:$J$200,"啟用")&lt;&gt;1,"技能未在主檔啟用",IF(OR($A65="",$E65="",$F65="",$G65="",$H65="",$I65="",$J65="",$K65="",$L65="",$N65=""),IF($M65="已核定","已核定但資料未完整","待補欄位或核定"),IF(OR($O65="",$P65=""),IF($M65="已核定","已核定但缺來源依據","待補來源依據"),IF($M65="已核定","可發布","待主管核定")))))))))</x:f>
      </x:c>
      <x:c r="S65" s="579" t="str">
        <x:f>IF($B65="","",IF($R65="可發布","回到醫師模式規則輸入，將能力要求集標記為已完整",IF(OR($R65="停用",$R65="退回補件"),"依狀態處理",IF(ISNUMBER(SEARCH("來源",$R65)),"補齊來源文件與定位",IF(ISNUMBER(SEARCH("技能",$R65)),"先完成技能名稱對照並發布技能主檔",IF(ISNUMBER(SEARCH("模式",$R65)),"先建立相符的醫師模式規則","補齊欄位並完成主管核定"))))))</x:f>
      </x:c>
    </x:row>
    <x:row r="66">
      <x:c r="A66" s="577"/>
      <x:c r="B66" s="577"/>
      <x:c r="C66" s="577"/>
      <x:c r="D66" s="577"/>
      <x:c r="E66" s="577"/>
      <x:c r="F66" s="577"/>
      <x:c r="G66" s="577"/>
      <x:c r="H66" s="577"/>
      <x:c r="I66" s="577"/>
      <x:c r="J66" s="577"/>
      <x:c r="K66" s="577"/>
      <x:c r="L66" s="578"/>
      <x:c r="M66" s="577"/>
      <x:c r="N66" s="577"/>
      <x:c r="O66" s="577"/>
      <x:c r="P66" s="577"/>
      <x:c r="Q66" s="577"/>
      <x:c r="R66" s="579" t="str">
        <x:f>IF($B66="","",IF($M66="停用","停用",IF($M66="退回補件","退回補件",IF(COUNTIFS($A$7:$A$306,$A66)&gt;1,"要求編號重複",IF(COUNTIFS('醫師模式規則輸入'!$D$7:$D$156,$B66,'醫師模式規則輸入'!$B$7:$B$156,$C66)&lt;&gt;1,"模式或醫師未建立",IF(COUNTIFS('技能主檔_V1'!$A$7:$A$200,$D66,'技能主檔_V1'!$J$7:$J$200,"啟用")&lt;&gt;1,"技能未在主檔啟用",IF(OR($A66="",$E66="",$F66="",$G66="",$H66="",$I66="",$J66="",$K66="",$L66="",$N66=""),IF($M66="已核定","已核定但資料未完整","待補欄位或核定"),IF(OR($O66="",$P66=""),IF($M66="已核定","已核定但缺來源依據","待補來源依據"),IF($M66="已核定","可發布","待主管核定")))))))))</x:f>
      </x:c>
      <x:c r="S66" s="579" t="str">
        <x:f>IF($B66="","",IF($R66="可發布","回到醫師模式規則輸入，將能力要求集標記為已完整",IF(OR($R66="停用",$R66="退回補件"),"依狀態處理",IF(ISNUMBER(SEARCH("來源",$R66)),"補齊來源文件與定位",IF(ISNUMBER(SEARCH("技能",$R66)),"先完成技能名稱對照並發布技能主檔",IF(ISNUMBER(SEARCH("模式",$R66)),"先建立相符的醫師模式規則","補齊欄位並完成主管核定"))))))</x:f>
      </x:c>
    </x:row>
    <x:row r="67">
      <x:c r="A67" s="577"/>
      <x:c r="B67" s="577"/>
      <x:c r="C67" s="577"/>
      <x:c r="D67" s="577"/>
      <x:c r="E67" s="577"/>
      <x:c r="F67" s="577"/>
      <x:c r="G67" s="577"/>
      <x:c r="H67" s="577"/>
      <x:c r="I67" s="577"/>
      <x:c r="J67" s="577"/>
      <x:c r="K67" s="577"/>
      <x:c r="L67" s="578"/>
      <x:c r="M67" s="577"/>
      <x:c r="N67" s="577"/>
      <x:c r="O67" s="577"/>
      <x:c r="P67" s="577"/>
      <x:c r="Q67" s="577"/>
      <x:c r="R67" s="579" t="str">
        <x:f>IF($B67="","",IF($M67="停用","停用",IF($M67="退回補件","退回補件",IF(COUNTIFS($A$7:$A$306,$A67)&gt;1,"要求編號重複",IF(COUNTIFS('醫師模式規則輸入'!$D$7:$D$156,$B67,'醫師模式規則輸入'!$B$7:$B$156,$C67)&lt;&gt;1,"模式或醫師未建立",IF(COUNTIFS('技能主檔_V1'!$A$7:$A$200,$D67,'技能主檔_V1'!$J$7:$J$200,"啟用")&lt;&gt;1,"技能未在主檔啟用",IF(OR($A67="",$E67="",$F67="",$G67="",$H67="",$I67="",$J67="",$K67="",$L67="",$N67=""),IF($M67="已核定","已核定但資料未完整","待補欄位或核定"),IF(OR($O67="",$P67=""),IF($M67="已核定","已核定但缺來源依據","待補來源依據"),IF($M67="已核定","可發布","待主管核定")))))))))</x:f>
      </x:c>
      <x:c r="S67" s="579" t="str">
        <x:f>IF($B67="","",IF($R67="可發布","回到醫師模式規則輸入，將能力要求集標記為已完整",IF(OR($R67="停用",$R67="退回補件"),"依狀態處理",IF(ISNUMBER(SEARCH("來源",$R67)),"補齊來源文件與定位",IF(ISNUMBER(SEARCH("技能",$R67)),"先完成技能名稱對照並發布技能主檔",IF(ISNUMBER(SEARCH("模式",$R67)),"先建立相符的醫師模式規則","補齊欄位並完成主管核定"))))))</x:f>
      </x:c>
    </x:row>
    <x:row r="68">
      <x:c r="A68" s="577"/>
      <x:c r="B68" s="577"/>
      <x:c r="C68" s="577"/>
      <x:c r="D68" s="577"/>
      <x:c r="E68" s="577"/>
      <x:c r="F68" s="577"/>
      <x:c r="G68" s="577"/>
      <x:c r="H68" s="577"/>
      <x:c r="I68" s="577"/>
      <x:c r="J68" s="577"/>
      <x:c r="K68" s="577"/>
      <x:c r="L68" s="578"/>
      <x:c r="M68" s="577"/>
      <x:c r="N68" s="577"/>
      <x:c r="O68" s="577"/>
      <x:c r="P68" s="577"/>
      <x:c r="Q68" s="577"/>
      <x:c r="R68" s="579" t="str">
        <x:f>IF($B68="","",IF($M68="停用","停用",IF($M68="退回補件","退回補件",IF(COUNTIFS($A$7:$A$306,$A68)&gt;1,"要求編號重複",IF(COUNTIFS('醫師模式規則輸入'!$D$7:$D$156,$B68,'醫師模式規則輸入'!$B$7:$B$156,$C68)&lt;&gt;1,"模式或醫師未建立",IF(COUNTIFS('技能主檔_V1'!$A$7:$A$200,$D68,'技能主檔_V1'!$J$7:$J$200,"啟用")&lt;&gt;1,"技能未在主檔啟用",IF(OR($A68="",$E68="",$F68="",$G68="",$H68="",$I68="",$J68="",$K68="",$L68="",$N68=""),IF($M68="已核定","已核定但資料未完整","待補欄位或核定"),IF(OR($O68="",$P68=""),IF($M68="已核定","已核定但缺來源依據","待補來源依據"),IF($M68="已核定","可發布","待主管核定")))))))))</x:f>
      </x:c>
      <x:c r="S68" s="579" t="str">
        <x:f>IF($B68="","",IF($R68="可發布","回到醫師模式規則輸入，將能力要求集標記為已完整",IF(OR($R68="停用",$R68="退回補件"),"依狀態處理",IF(ISNUMBER(SEARCH("來源",$R68)),"補齊來源文件與定位",IF(ISNUMBER(SEARCH("技能",$R68)),"先完成技能名稱對照並發布技能主檔",IF(ISNUMBER(SEARCH("模式",$R68)),"先建立相符的醫師模式規則","補齊欄位並完成主管核定"))))))</x:f>
      </x:c>
    </x:row>
    <x:row r="69">
      <x:c r="A69" s="577"/>
      <x:c r="B69" s="577"/>
      <x:c r="C69" s="577"/>
      <x:c r="D69" s="577"/>
      <x:c r="E69" s="577"/>
      <x:c r="F69" s="577"/>
      <x:c r="G69" s="577"/>
      <x:c r="H69" s="577"/>
      <x:c r="I69" s="577"/>
      <x:c r="J69" s="577"/>
      <x:c r="K69" s="577"/>
      <x:c r="L69" s="578"/>
      <x:c r="M69" s="577"/>
      <x:c r="N69" s="577"/>
      <x:c r="O69" s="577"/>
      <x:c r="P69" s="577"/>
      <x:c r="Q69" s="577"/>
      <x:c r="R69" s="579" t="str">
        <x:f>IF($B69="","",IF($M69="停用","停用",IF($M69="退回補件","退回補件",IF(COUNTIFS($A$7:$A$306,$A69)&gt;1,"要求編號重複",IF(COUNTIFS('醫師模式規則輸入'!$D$7:$D$156,$B69,'醫師模式規則輸入'!$B$7:$B$156,$C69)&lt;&gt;1,"模式或醫師未建立",IF(COUNTIFS('技能主檔_V1'!$A$7:$A$200,$D69,'技能主檔_V1'!$J$7:$J$200,"啟用")&lt;&gt;1,"技能未在主檔啟用",IF(OR($A69="",$E69="",$F69="",$G69="",$H69="",$I69="",$J69="",$K69="",$L69="",$N69=""),IF($M69="已核定","已核定但資料未完整","待補欄位或核定"),IF(OR($O69="",$P69=""),IF($M69="已核定","已核定但缺來源依據","待補來源依據"),IF($M69="已核定","可發布","待主管核定")))))))))</x:f>
      </x:c>
      <x:c r="S69" s="579" t="str">
        <x:f>IF($B69="","",IF($R69="可發布","回到醫師模式規則輸入，將能力要求集標記為已完整",IF(OR($R69="停用",$R69="退回補件"),"依狀態處理",IF(ISNUMBER(SEARCH("來源",$R69)),"補齊來源文件與定位",IF(ISNUMBER(SEARCH("技能",$R69)),"先完成技能名稱對照並發布技能主檔",IF(ISNUMBER(SEARCH("模式",$R69)),"先建立相符的醫師模式規則","補齊欄位並完成主管核定"))))))</x:f>
      </x:c>
    </x:row>
    <x:row r="70">
      <x:c r="A70" s="577"/>
      <x:c r="B70" s="577"/>
      <x:c r="C70" s="577"/>
      <x:c r="D70" s="577"/>
      <x:c r="E70" s="577"/>
      <x:c r="F70" s="577"/>
      <x:c r="G70" s="577"/>
      <x:c r="H70" s="577"/>
      <x:c r="I70" s="577"/>
      <x:c r="J70" s="577"/>
      <x:c r="K70" s="577"/>
      <x:c r="L70" s="578"/>
      <x:c r="M70" s="577"/>
      <x:c r="N70" s="577"/>
      <x:c r="O70" s="577"/>
      <x:c r="P70" s="577"/>
      <x:c r="Q70" s="577"/>
      <x:c r="R70" s="579" t="str">
        <x:f>IF($B70="","",IF($M70="停用","停用",IF($M70="退回補件","退回補件",IF(COUNTIFS($A$7:$A$306,$A70)&gt;1,"要求編號重複",IF(COUNTIFS('醫師模式規則輸入'!$D$7:$D$156,$B70,'醫師模式規則輸入'!$B$7:$B$156,$C70)&lt;&gt;1,"模式或醫師未建立",IF(COUNTIFS('技能主檔_V1'!$A$7:$A$200,$D70,'技能主檔_V1'!$J$7:$J$200,"啟用")&lt;&gt;1,"技能未在主檔啟用",IF(OR($A70="",$E70="",$F70="",$G70="",$H70="",$I70="",$J70="",$K70="",$L70="",$N70=""),IF($M70="已核定","已核定但資料未完整","待補欄位或核定"),IF(OR($O70="",$P70=""),IF($M70="已核定","已核定但缺來源依據","待補來源依據"),IF($M70="已核定","可發布","待主管核定")))))))))</x:f>
      </x:c>
      <x:c r="S70" s="579" t="str">
        <x:f>IF($B70="","",IF($R70="可發布","回到醫師模式規則輸入，將能力要求集標記為已完整",IF(OR($R70="停用",$R70="退回補件"),"依狀態處理",IF(ISNUMBER(SEARCH("來源",$R70)),"補齊來源文件與定位",IF(ISNUMBER(SEARCH("技能",$R70)),"先完成技能名稱對照並發布技能主檔",IF(ISNUMBER(SEARCH("模式",$R70)),"先建立相符的醫師模式規則","補齊欄位並完成主管核定"))))))</x:f>
      </x:c>
    </x:row>
    <x:row r="71">
      <x:c r="A71" s="577"/>
      <x:c r="B71" s="577"/>
      <x:c r="C71" s="577"/>
      <x:c r="D71" s="577"/>
      <x:c r="E71" s="577"/>
      <x:c r="F71" s="577"/>
      <x:c r="G71" s="577"/>
      <x:c r="H71" s="577"/>
      <x:c r="I71" s="577"/>
      <x:c r="J71" s="577"/>
      <x:c r="K71" s="577"/>
      <x:c r="L71" s="578"/>
      <x:c r="M71" s="577"/>
      <x:c r="N71" s="577"/>
      <x:c r="O71" s="577"/>
      <x:c r="P71" s="577"/>
      <x:c r="Q71" s="577"/>
      <x:c r="R71" s="579" t="str">
        <x:f>IF($B71="","",IF($M71="停用","停用",IF($M71="退回補件","退回補件",IF(COUNTIFS($A$7:$A$306,$A71)&gt;1,"要求編號重複",IF(COUNTIFS('醫師模式規則輸入'!$D$7:$D$156,$B71,'醫師模式規則輸入'!$B$7:$B$156,$C71)&lt;&gt;1,"模式或醫師未建立",IF(COUNTIFS('技能主檔_V1'!$A$7:$A$200,$D71,'技能主檔_V1'!$J$7:$J$200,"啟用")&lt;&gt;1,"技能未在主檔啟用",IF(OR($A71="",$E71="",$F71="",$G71="",$H71="",$I71="",$J71="",$K71="",$L71="",$N71=""),IF($M71="已核定","已核定但資料未完整","待補欄位或核定"),IF(OR($O71="",$P71=""),IF($M71="已核定","已核定但缺來源依據","待補來源依據"),IF($M71="已核定","可發布","待主管核定")))))))))</x:f>
      </x:c>
      <x:c r="S71" s="579" t="str">
        <x:f>IF($B71="","",IF($R71="可發布","回到醫師模式規則輸入，將能力要求集標記為已完整",IF(OR($R71="停用",$R71="退回補件"),"依狀態處理",IF(ISNUMBER(SEARCH("來源",$R71)),"補齊來源文件與定位",IF(ISNUMBER(SEARCH("技能",$R71)),"先完成技能名稱對照並發布技能主檔",IF(ISNUMBER(SEARCH("模式",$R71)),"先建立相符的醫師模式規則","補齊欄位並完成主管核定"))))))</x:f>
      </x:c>
    </x:row>
    <x:row r="72">
      <x:c r="A72" s="577"/>
      <x:c r="B72" s="577"/>
      <x:c r="C72" s="577"/>
      <x:c r="D72" s="577"/>
      <x:c r="E72" s="577"/>
      <x:c r="F72" s="577"/>
      <x:c r="G72" s="577"/>
      <x:c r="H72" s="577"/>
      <x:c r="I72" s="577"/>
      <x:c r="J72" s="577"/>
      <x:c r="K72" s="577"/>
      <x:c r="L72" s="578"/>
      <x:c r="M72" s="577"/>
      <x:c r="N72" s="577"/>
      <x:c r="O72" s="577"/>
      <x:c r="P72" s="577"/>
      <x:c r="Q72" s="577"/>
      <x:c r="R72" s="579" t="str">
        <x:f>IF($B72="","",IF($M72="停用","停用",IF($M72="退回補件","退回補件",IF(COUNTIFS($A$7:$A$306,$A72)&gt;1,"要求編號重複",IF(COUNTIFS('醫師模式規則輸入'!$D$7:$D$156,$B72,'醫師模式規則輸入'!$B$7:$B$156,$C72)&lt;&gt;1,"模式或醫師未建立",IF(COUNTIFS('技能主檔_V1'!$A$7:$A$200,$D72,'技能主檔_V1'!$J$7:$J$200,"啟用")&lt;&gt;1,"技能未在主檔啟用",IF(OR($A72="",$E72="",$F72="",$G72="",$H72="",$I72="",$J72="",$K72="",$L72="",$N72=""),IF($M72="已核定","已核定但資料未完整","待補欄位或核定"),IF(OR($O72="",$P72=""),IF($M72="已核定","已核定但缺來源依據","待補來源依據"),IF($M72="已核定","可發布","待主管核定")))))))))</x:f>
      </x:c>
      <x:c r="S72" s="579" t="str">
        <x:f>IF($B72="","",IF($R72="可發布","回到醫師模式規則輸入，將能力要求集標記為已完整",IF(OR($R72="停用",$R72="退回補件"),"依狀態處理",IF(ISNUMBER(SEARCH("來源",$R72)),"補齊來源文件與定位",IF(ISNUMBER(SEARCH("技能",$R72)),"先完成技能名稱對照並發布技能主檔",IF(ISNUMBER(SEARCH("模式",$R72)),"先建立相符的醫師模式規則","補齊欄位並完成主管核定"))))))</x:f>
      </x:c>
    </x:row>
    <x:row r="73">
      <x:c r="A73" s="577"/>
      <x:c r="B73" s="577"/>
      <x:c r="C73" s="577"/>
      <x:c r="D73" s="577"/>
      <x:c r="E73" s="577"/>
      <x:c r="F73" s="577"/>
      <x:c r="G73" s="577"/>
      <x:c r="H73" s="577"/>
      <x:c r="I73" s="577"/>
      <x:c r="J73" s="577"/>
      <x:c r="K73" s="577"/>
      <x:c r="L73" s="578"/>
      <x:c r="M73" s="577"/>
      <x:c r="N73" s="577"/>
      <x:c r="O73" s="577"/>
      <x:c r="P73" s="577"/>
      <x:c r="Q73" s="577"/>
      <x:c r="R73" s="579" t="str">
        <x:f>IF($B73="","",IF($M73="停用","停用",IF($M73="退回補件","退回補件",IF(COUNTIFS($A$7:$A$306,$A73)&gt;1,"要求編號重複",IF(COUNTIFS('醫師模式規則輸入'!$D$7:$D$156,$B73,'醫師模式規則輸入'!$B$7:$B$156,$C73)&lt;&gt;1,"模式或醫師未建立",IF(COUNTIFS('技能主檔_V1'!$A$7:$A$200,$D73,'技能主檔_V1'!$J$7:$J$200,"啟用")&lt;&gt;1,"技能未在主檔啟用",IF(OR($A73="",$E73="",$F73="",$G73="",$H73="",$I73="",$J73="",$K73="",$L73="",$N73=""),IF($M73="已核定","已核定但資料未完整","待補欄位或核定"),IF(OR($O73="",$P73=""),IF($M73="已核定","已核定但缺來源依據","待補來源依據"),IF($M73="已核定","可發布","待主管核定")))))))))</x:f>
      </x:c>
      <x:c r="S73" s="579" t="str">
        <x:f>IF($B73="","",IF($R73="可發布","回到醫師模式規則輸入，將能力要求集標記為已完整",IF(OR($R73="停用",$R73="退回補件"),"依狀態處理",IF(ISNUMBER(SEARCH("來源",$R73)),"補齊來源文件與定位",IF(ISNUMBER(SEARCH("技能",$R73)),"先完成技能名稱對照並發布技能主檔",IF(ISNUMBER(SEARCH("模式",$R73)),"先建立相符的醫師模式規則","補齊欄位並完成主管核定"))))))</x:f>
      </x:c>
    </x:row>
    <x:row r="74">
      <x:c r="A74" s="577"/>
      <x:c r="B74" s="577"/>
      <x:c r="C74" s="577"/>
      <x:c r="D74" s="577"/>
      <x:c r="E74" s="577"/>
      <x:c r="F74" s="577"/>
      <x:c r="G74" s="577"/>
      <x:c r="H74" s="577"/>
      <x:c r="I74" s="577"/>
      <x:c r="J74" s="577"/>
      <x:c r="K74" s="577"/>
      <x:c r="L74" s="578"/>
      <x:c r="M74" s="577"/>
      <x:c r="N74" s="577"/>
      <x:c r="O74" s="577"/>
      <x:c r="P74" s="577"/>
      <x:c r="Q74" s="577"/>
      <x:c r="R74" s="579" t="str">
        <x:f>IF($B74="","",IF($M74="停用","停用",IF($M74="退回補件","退回補件",IF(COUNTIFS($A$7:$A$306,$A74)&gt;1,"要求編號重複",IF(COUNTIFS('醫師模式規則輸入'!$D$7:$D$156,$B74,'醫師模式規則輸入'!$B$7:$B$156,$C74)&lt;&gt;1,"模式或醫師未建立",IF(COUNTIFS('技能主檔_V1'!$A$7:$A$200,$D74,'技能主檔_V1'!$J$7:$J$200,"啟用")&lt;&gt;1,"技能未在主檔啟用",IF(OR($A74="",$E74="",$F74="",$G74="",$H74="",$I74="",$J74="",$K74="",$L74="",$N74=""),IF($M74="已核定","已核定但資料未完整","待補欄位或核定"),IF(OR($O74="",$P74=""),IF($M74="已核定","已核定但缺來源依據","待補來源依據"),IF($M74="已核定","可發布","待主管核定")))))))))</x:f>
      </x:c>
      <x:c r="S74" s="579" t="str">
        <x:f>IF($B74="","",IF($R74="可發布","回到醫師模式規則輸入，將能力要求集標記為已完整",IF(OR($R74="停用",$R74="退回補件"),"依狀態處理",IF(ISNUMBER(SEARCH("來源",$R74)),"補齊來源文件與定位",IF(ISNUMBER(SEARCH("技能",$R74)),"先完成技能名稱對照並發布技能主檔",IF(ISNUMBER(SEARCH("模式",$R74)),"先建立相符的醫師模式規則","補齊欄位並完成主管核定"))))))</x:f>
      </x:c>
    </x:row>
    <x:row r="75">
      <x:c r="A75" s="577"/>
      <x:c r="B75" s="577"/>
      <x:c r="C75" s="577"/>
      <x:c r="D75" s="577"/>
      <x:c r="E75" s="577"/>
      <x:c r="F75" s="577"/>
      <x:c r="G75" s="577"/>
      <x:c r="H75" s="577"/>
      <x:c r="I75" s="577"/>
      <x:c r="J75" s="577"/>
      <x:c r="K75" s="577"/>
      <x:c r="L75" s="578"/>
      <x:c r="M75" s="577"/>
      <x:c r="N75" s="577"/>
      <x:c r="O75" s="577"/>
      <x:c r="P75" s="577"/>
      <x:c r="Q75" s="577"/>
      <x:c r="R75" s="579" t="str">
        <x:f>IF($B75="","",IF($M75="停用","停用",IF($M75="退回補件","退回補件",IF(COUNTIFS($A$7:$A$306,$A75)&gt;1,"要求編號重複",IF(COUNTIFS('醫師模式規則輸入'!$D$7:$D$156,$B75,'醫師模式規則輸入'!$B$7:$B$156,$C75)&lt;&gt;1,"模式或醫師未建立",IF(COUNTIFS('技能主檔_V1'!$A$7:$A$200,$D75,'技能主檔_V1'!$J$7:$J$200,"啟用")&lt;&gt;1,"技能未在主檔啟用",IF(OR($A75="",$E75="",$F75="",$G75="",$H75="",$I75="",$J75="",$K75="",$L75="",$N75=""),IF($M75="已核定","已核定但資料未完整","待補欄位或核定"),IF(OR($O75="",$P75=""),IF($M75="已核定","已核定但缺來源依據","待補來源依據"),IF($M75="已核定","可發布","待主管核定")))))))))</x:f>
      </x:c>
      <x:c r="S75" s="579" t="str">
        <x:f>IF($B75="","",IF($R75="可發布","回到醫師模式規則輸入，將能力要求集標記為已完整",IF(OR($R75="停用",$R75="退回補件"),"依狀態處理",IF(ISNUMBER(SEARCH("來源",$R75)),"補齊來源文件與定位",IF(ISNUMBER(SEARCH("技能",$R75)),"先完成技能名稱對照並發布技能主檔",IF(ISNUMBER(SEARCH("模式",$R75)),"先建立相符的醫師模式規則","補齊欄位並完成主管核定"))))))</x:f>
      </x:c>
    </x:row>
    <x:row r="76">
      <x:c r="A76" s="577"/>
      <x:c r="B76" s="577"/>
      <x:c r="C76" s="577"/>
      <x:c r="D76" s="577"/>
      <x:c r="E76" s="577"/>
      <x:c r="F76" s="577"/>
      <x:c r="G76" s="577"/>
      <x:c r="H76" s="577"/>
      <x:c r="I76" s="577"/>
      <x:c r="J76" s="577"/>
      <x:c r="K76" s="577"/>
      <x:c r="L76" s="578"/>
      <x:c r="M76" s="577"/>
      <x:c r="N76" s="577"/>
      <x:c r="O76" s="577"/>
      <x:c r="P76" s="577"/>
      <x:c r="Q76" s="577"/>
      <x:c r="R76" s="579" t="str">
        <x:f>IF($B76="","",IF($M76="停用","停用",IF($M76="退回補件","退回補件",IF(COUNTIFS($A$7:$A$306,$A76)&gt;1,"要求編號重複",IF(COUNTIFS('醫師模式規則輸入'!$D$7:$D$156,$B76,'醫師模式規則輸入'!$B$7:$B$156,$C76)&lt;&gt;1,"模式或醫師未建立",IF(COUNTIFS('技能主檔_V1'!$A$7:$A$200,$D76,'技能主檔_V1'!$J$7:$J$200,"啟用")&lt;&gt;1,"技能未在主檔啟用",IF(OR($A76="",$E76="",$F76="",$G76="",$H76="",$I76="",$J76="",$K76="",$L76="",$N76=""),IF($M76="已核定","已核定但資料未完整","待補欄位或核定"),IF(OR($O76="",$P76=""),IF($M76="已核定","已核定但缺來源依據","待補來源依據"),IF($M76="已核定","可發布","待主管核定")))))))))</x:f>
      </x:c>
      <x:c r="S76" s="579" t="str">
        <x:f>IF($B76="","",IF($R76="可發布","回到醫師模式規則輸入，將能力要求集標記為已完整",IF(OR($R76="停用",$R76="退回補件"),"依狀態處理",IF(ISNUMBER(SEARCH("來源",$R76)),"補齊來源文件與定位",IF(ISNUMBER(SEARCH("技能",$R76)),"先完成技能名稱對照並發布技能主檔",IF(ISNUMBER(SEARCH("模式",$R76)),"先建立相符的醫師模式規則","補齊欄位並完成主管核定"))))))</x:f>
      </x:c>
    </x:row>
    <x:row r="77">
      <x:c r="A77" s="577"/>
      <x:c r="B77" s="577"/>
      <x:c r="C77" s="577"/>
      <x:c r="D77" s="577"/>
      <x:c r="E77" s="577"/>
      <x:c r="F77" s="577"/>
      <x:c r="G77" s="577"/>
      <x:c r="H77" s="577"/>
      <x:c r="I77" s="577"/>
      <x:c r="J77" s="577"/>
      <x:c r="K77" s="577"/>
      <x:c r="L77" s="578"/>
      <x:c r="M77" s="577"/>
      <x:c r="N77" s="577"/>
      <x:c r="O77" s="577"/>
      <x:c r="P77" s="577"/>
      <x:c r="Q77" s="577"/>
      <x:c r="R77" s="579" t="str">
        <x:f>IF($B77="","",IF($M77="停用","停用",IF($M77="退回補件","退回補件",IF(COUNTIFS($A$7:$A$306,$A77)&gt;1,"要求編號重複",IF(COUNTIFS('醫師模式規則輸入'!$D$7:$D$156,$B77,'醫師模式規則輸入'!$B$7:$B$156,$C77)&lt;&gt;1,"模式或醫師未建立",IF(COUNTIFS('技能主檔_V1'!$A$7:$A$200,$D77,'技能主檔_V1'!$J$7:$J$200,"啟用")&lt;&gt;1,"技能未在主檔啟用",IF(OR($A77="",$E77="",$F77="",$G77="",$H77="",$I77="",$J77="",$K77="",$L77="",$N77=""),IF($M77="已核定","已核定但資料未完整","待補欄位或核定"),IF(OR($O77="",$P77=""),IF($M77="已核定","已核定但缺來源依據","待補來源依據"),IF($M77="已核定","可發布","待主管核定")))))))))</x:f>
      </x:c>
      <x:c r="S77" s="579" t="str">
        <x:f>IF($B77="","",IF($R77="可發布","回到醫師模式規則輸入，將能力要求集標記為已完整",IF(OR($R77="停用",$R77="退回補件"),"依狀態處理",IF(ISNUMBER(SEARCH("來源",$R77)),"補齊來源文件與定位",IF(ISNUMBER(SEARCH("技能",$R77)),"先完成技能名稱對照並發布技能主檔",IF(ISNUMBER(SEARCH("模式",$R77)),"先建立相符的醫師模式規則","補齊欄位並完成主管核定"))))))</x:f>
      </x:c>
    </x:row>
    <x:row r="78">
      <x:c r="A78" s="577"/>
      <x:c r="B78" s="577"/>
      <x:c r="C78" s="577"/>
      <x:c r="D78" s="577"/>
      <x:c r="E78" s="577"/>
      <x:c r="F78" s="577"/>
      <x:c r="G78" s="577"/>
      <x:c r="H78" s="577"/>
      <x:c r="I78" s="577"/>
      <x:c r="J78" s="577"/>
      <x:c r="K78" s="577"/>
      <x:c r="L78" s="578"/>
      <x:c r="M78" s="577"/>
      <x:c r="N78" s="577"/>
      <x:c r="O78" s="577"/>
      <x:c r="P78" s="577"/>
      <x:c r="Q78" s="577"/>
      <x:c r="R78" s="579" t="str">
        <x:f>IF($B78="","",IF($M78="停用","停用",IF($M78="退回補件","退回補件",IF(COUNTIFS($A$7:$A$306,$A78)&gt;1,"要求編號重複",IF(COUNTIFS('醫師模式規則輸入'!$D$7:$D$156,$B78,'醫師模式規則輸入'!$B$7:$B$156,$C78)&lt;&gt;1,"模式或醫師未建立",IF(COUNTIFS('技能主檔_V1'!$A$7:$A$200,$D78,'技能主檔_V1'!$J$7:$J$200,"啟用")&lt;&gt;1,"技能未在主檔啟用",IF(OR($A78="",$E78="",$F78="",$G78="",$H78="",$I78="",$J78="",$K78="",$L78="",$N78=""),IF($M78="已核定","已核定但資料未完整","待補欄位或核定"),IF(OR($O78="",$P78=""),IF($M78="已核定","已核定但缺來源依據","待補來源依據"),IF($M78="已核定","可發布","待主管核定")))))))))</x:f>
      </x:c>
      <x:c r="S78" s="579" t="str">
        <x:f>IF($B78="","",IF($R78="可發布","回到醫師模式規則輸入，將能力要求集標記為已完整",IF(OR($R78="停用",$R78="退回補件"),"依狀態處理",IF(ISNUMBER(SEARCH("來源",$R78)),"補齊來源文件與定位",IF(ISNUMBER(SEARCH("技能",$R78)),"先完成技能名稱對照並發布技能主檔",IF(ISNUMBER(SEARCH("模式",$R78)),"先建立相符的醫師模式規則","補齊欄位並完成主管核定"))))))</x:f>
      </x:c>
    </x:row>
    <x:row r="79">
      <x:c r="A79" s="577"/>
      <x:c r="B79" s="577"/>
      <x:c r="C79" s="577"/>
      <x:c r="D79" s="577"/>
      <x:c r="E79" s="577"/>
      <x:c r="F79" s="577"/>
      <x:c r="G79" s="577"/>
      <x:c r="H79" s="577"/>
      <x:c r="I79" s="577"/>
      <x:c r="J79" s="577"/>
      <x:c r="K79" s="577"/>
      <x:c r="L79" s="578"/>
      <x:c r="M79" s="577"/>
      <x:c r="N79" s="577"/>
      <x:c r="O79" s="577"/>
      <x:c r="P79" s="577"/>
      <x:c r="Q79" s="577"/>
      <x:c r="R79" s="579" t="str">
        <x:f>IF($B79="","",IF($M79="停用","停用",IF($M79="退回補件","退回補件",IF(COUNTIFS($A$7:$A$306,$A79)&gt;1,"要求編號重複",IF(COUNTIFS('醫師模式規則輸入'!$D$7:$D$156,$B79,'醫師模式規則輸入'!$B$7:$B$156,$C79)&lt;&gt;1,"模式或醫師未建立",IF(COUNTIFS('技能主檔_V1'!$A$7:$A$200,$D79,'技能主檔_V1'!$J$7:$J$200,"啟用")&lt;&gt;1,"技能未在主檔啟用",IF(OR($A79="",$E79="",$F79="",$G79="",$H79="",$I79="",$J79="",$K79="",$L79="",$N79=""),IF($M79="已核定","已核定但資料未完整","待補欄位或核定"),IF(OR($O79="",$P79=""),IF($M79="已核定","已核定但缺來源依據","待補來源依據"),IF($M79="已核定","可發布","待主管核定")))))))))</x:f>
      </x:c>
      <x:c r="S79" s="579" t="str">
        <x:f>IF($B79="","",IF($R79="可發布","回到醫師模式規則輸入，將能力要求集標記為已完整",IF(OR($R79="停用",$R79="退回補件"),"依狀態處理",IF(ISNUMBER(SEARCH("來源",$R79)),"補齊來源文件與定位",IF(ISNUMBER(SEARCH("技能",$R79)),"先完成技能名稱對照並發布技能主檔",IF(ISNUMBER(SEARCH("模式",$R79)),"先建立相符的醫師模式規則","補齊欄位並完成主管核定"))))))</x:f>
      </x:c>
    </x:row>
    <x:row r="80">
      <x:c r="A80" s="577"/>
      <x:c r="B80" s="577"/>
      <x:c r="C80" s="577"/>
      <x:c r="D80" s="577"/>
      <x:c r="E80" s="577"/>
      <x:c r="F80" s="577"/>
      <x:c r="G80" s="577"/>
      <x:c r="H80" s="577"/>
      <x:c r="I80" s="577"/>
      <x:c r="J80" s="577"/>
      <x:c r="K80" s="577"/>
      <x:c r="L80" s="578"/>
      <x:c r="M80" s="577"/>
      <x:c r="N80" s="577"/>
      <x:c r="O80" s="577"/>
      <x:c r="P80" s="577"/>
      <x:c r="Q80" s="577"/>
      <x:c r="R80" s="579" t="str">
        <x:f>IF($B80="","",IF($M80="停用","停用",IF($M80="退回補件","退回補件",IF(COUNTIFS($A$7:$A$306,$A80)&gt;1,"要求編號重複",IF(COUNTIFS('醫師模式規則輸入'!$D$7:$D$156,$B80,'醫師模式規則輸入'!$B$7:$B$156,$C80)&lt;&gt;1,"模式或醫師未建立",IF(COUNTIFS('技能主檔_V1'!$A$7:$A$200,$D80,'技能主檔_V1'!$J$7:$J$200,"啟用")&lt;&gt;1,"技能未在主檔啟用",IF(OR($A80="",$E80="",$F80="",$G80="",$H80="",$I80="",$J80="",$K80="",$L80="",$N80=""),IF($M80="已核定","已核定但資料未完整","待補欄位或核定"),IF(OR($O80="",$P80=""),IF($M80="已核定","已核定但缺來源依據","待補來源依據"),IF($M80="已核定","可發布","待主管核定")))))))))</x:f>
      </x:c>
      <x:c r="S80" s="579" t="str">
        <x:f>IF($B80="","",IF($R80="可發布","回到醫師模式規則輸入，將能力要求集標記為已完整",IF(OR($R80="停用",$R80="退回補件"),"依狀態處理",IF(ISNUMBER(SEARCH("來源",$R80)),"補齊來源文件與定位",IF(ISNUMBER(SEARCH("技能",$R80)),"先完成技能名稱對照並發布技能主檔",IF(ISNUMBER(SEARCH("模式",$R80)),"先建立相符的醫師模式規則","補齊欄位並完成主管核定"))))))</x:f>
      </x:c>
    </x:row>
    <x:row r="81">
      <x:c r="A81" s="577"/>
      <x:c r="B81" s="577"/>
      <x:c r="C81" s="577"/>
      <x:c r="D81" s="577"/>
      <x:c r="E81" s="577"/>
      <x:c r="F81" s="577"/>
      <x:c r="G81" s="577"/>
      <x:c r="H81" s="577"/>
      <x:c r="I81" s="577"/>
      <x:c r="J81" s="577"/>
      <x:c r="K81" s="577"/>
      <x:c r="L81" s="578"/>
      <x:c r="M81" s="577"/>
      <x:c r="N81" s="577"/>
      <x:c r="O81" s="577"/>
      <x:c r="P81" s="577"/>
      <x:c r="Q81" s="577"/>
      <x:c r="R81" s="579" t="str">
        <x:f>IF($B81="","",IF($M81="停用","停用",IF($M81="退回補件","退回補件",IF(COUNTIFS($A$7:$A$306,$A81)&gt;1,"要求編號重複",IF(COUNTIFS('醫師模式規則輸入'!$D$7:$D$156,$B81,'醫師模式規則輸入'!$B$7:$B$156,$C81)&lt;&gt;1,"模式或醫師未建立",IF(COUNTIFS('技能主檔_V1'!$A$7:$A$200,$D81,'技能主檔_V1'!$J$7:$J$200,"啟用")&lt;&gt;1,"技能未在主檔啟用",IF(OR($A81="",$E81="",$F81="",$G81="",$H81="",$I81="",$J81="",$K81="",$L81="",$N81=""),IF($M81="已核定","已核定但資料未完整","待補欄位或核定"),IF(OR($O81="",$P81=""),IF($M81="已核定","已核定但缺來源依據","待補來源依據"),IF($M81="已核定","可發布","待主管核定")))))))))</x:f>
      </x:c>
      <x:c r="S81" s="579" t="str">
        <x:f>IF($B81="","",IF($R81="可發布","回到醫師模式規則輸入，將能力要求集標記為已完整",IF(OR($R81="停用",$R81="退回補件"),"依狀態處理",IF(ISNUMBER(SEARCH("來源",$R81)),"補齊來源文件與定位",IF(ISNUMBER(SEARCH("技能",$R81)),"先完成技能名稱對照並發布技能主檔",IF(ISNUMBER(SEARCH("模式",$R81)),"先建立相符的醫師模式規則","補齊欄位並完成主管核定"))))))</x:f>
      </x:c>
    </x:row>
    <x:row r="82">
      <x:c r="A82" s="577"/>
      <x:c r="B82" s="577"/>
      <x:c r="C82" s="577"/>
      <x:c r="D82" s="577"/>
      <x:c r="E82" s="577"/>
      <x:c r="F82" s="577"/>
      <x:c r="G82" s="577"/>
      <x:c r="H82" s="577"/>
      <x:c r="I82" s="577"/>
      <x:c r="J82" s="577"/>
      <x:c r="K82" s="577"/>
      <x:c r="L82" s="578"/>
      <x:c r="M82" s="577"/>
      <x:c r="N82" s="577"/>
      <x:c r="O82" s="577"/>
      <x:c r="P82" s="577"/>
      <x:c r="Q82" s="577"/>
      <x:c r="R82" s="579" t="str">
        <x:f>IF($B82="","",IF($M82="停用","停用",IF($M82="退回補件","退回補件",IF(COUNTIFS($A$7:$A$306,$A82)&gt;1,"要求編號重複",IF(COUNTIFS('醫師模式規則輸入'!$D$7:$D$156,$B82,'醫師模式規則輸入'!$B$7:$B$156,$C82)&lt;&gt;1,"模式或醫師未建立",IF(COUNTIFS('技能主檔_V1'!$A$7:$A$200,$D82,'技能主檔_V1'!$J$7:$J$200,"啟用")&lt;&gt;1,"技能未在主檔啟用",IF(OR($A82="",$E82="",$F82="",$G82="",$H82="",$I82="",$J82="",$K82="",$L82="",$N82=""),IF($M82="已核定","已核定但資料未完整","待補欄位或核定"),IF(OR($O82="",$P82=""),IF($M82="已核定","已核定但缺來源依據","待補來源依據"),IF($M82="已核定","可發布","待主管核定")))))))))</x:f>
      </x:c>
      <x:c r="S82" s="579" t="str">
        <x:f>IF($B82="","",IF($R82="可發布","回到醫師模式規則輸入，將能力要求集標記為已完整",IF(OR($R82="停用",$R82="退回補件"),"依狀態處理",IF(ISNUMBER(SEARCH("來源",$R82)),"補齊來源文件與定位",IF(ISNUMBER(SEARCH("技能",$R82)),"先完成技能名稱對照並發布技能主檔",IF(ISNUMBER(SEARCH("模式",$R82)),"先建立相符的醫師模式規則","補齊欄位並完成主管核定"))))))</x:f>
      </x:c>
    </x:row>
    <x:row r="83">
      <x:c r="A83" s="577"/>
      <x:c r="B83" s="577"/>
      <x:c r="C83" s="577"/>
      <x:c r="D83" s="577"/>
      <x:c r="E83" s="577"/>
      <x:c r="F83" s="577"/>
      <x:c r="G83" s="577"/>
      <x:c r="H83" s="577"/>
      <x:c r="I83" s="577"/>
      <x:c r="J83" s="577"/>
      <x:c r="K83" s="577"/>
      <x:c r="L83" s="578"/>
      <x:c r="M83" s="577"/>
      <x:c r="N83" s="577"/>
      <x:c r="O83" s="577"/>
      <x:c r="P83" s="577"/>
      <x:c r="Q83" s="577"/>
      <x:c r="R83" s="579" t="str">
        <x:f>IF($B83="","",IF($M83="停用","停用",IF($M83="退回補件","退回補件",IF(COUNTIFS($A$7:$A$306,$A83)&gt;1,"要求編號重複",IF(COUNTIFS('醫師模式規則輸入'!$D$7:$D$156,$B83,'醫師模式規則輸入'!$B$7:$B$156,$C83)&lt;&gt;1,"模式或醫師未建立",IF(COUNTIFS('技能主檔_V1'!$A$7:$A$200,$D83,'技能主檔_V1'!$J$7:$J$200,"啟用")&lt;&gt;1,"技能未在主檔啟用",IF(OR($A83="",$E83="",$F83="",$G83="",$H83="",$I83="",$J83="",$K83="",$L83="",$N83=""),IF($M83="已核定","已核定但資料未完整","待補欄位或核定"),IF(OR($O83="",$P83=""),IF($M83="已核定","已核定但缺來源依據","待補來源依據"),IF($M83="已核定","可發布","待主管核定")))))))))</x:f>
      </x:c>
      <x:c r="S83" s="579" t="str">
        <x:f>IF($B83="","",IF($R83="可發布","回到醫師模式規則輸入，將能力要求集標記為已完整",IF(OR($R83="停用",$R83="退回補件"),"依狀態處理",IF(ISNUMBER(SEARCH("來源",$R83)),"補齊來源文件與定位",IF(ISNUMBER(SEARCH("技能",$R83)),"先完成技能名稱對照並發布技能主檔",IF(ISNUMBER(SEARCH("模式",$R83)),"先建立相符的醫師模式規則","補齊欄位並完成主管核定"))))))</x:f>
      </x:c>
    </x:row>
    <x:row r="84">
      <x:c r="A84" s="577"/>
      <x:c r="B84" s="577"/>
      <x:c r="C84" s="577"/>
      <x:c r="D84" s="577"/>
      <x:c r="E84" s="577"/>
      <x:c r="F84" s="577"/>
      <x:c r="G84" s="577"/>
      <x:c r="H84" s="577"/>
      <x:c r="I84" s="577"/>
      <x:c r="J84" s="577"/>
      <x:c r="K84" s="577"/>
      <x:c r="L84" s="578"/>
      <x:c r="M84" s="577"/>
      <x:c r="N84" s="577"/>
      <x:c r="O84" s="577"/>
      <x:c r="P84" s="577"/>
      <x:c r="Q84" s="577"/>
      <x:c r="R84" s="579" t="str">
        <x:f>IF($B84="","",IF($M84="停用","停用",IF($M84="退回補件","退回補件",IF(COUNTIFS($A$7:$A$306,$A84)&gt;1,"要求編號重複",IF(COUNTIFS('醫師模式規則輸入'!$D$7:$D$156,$B84,'醫師模式規則輸入'!$B$7:$B$156,$C84)&lt;&gt;1,"模式或醫師未建立",IF(COUNTIFS('技能主檔_V1'!$A$7:$A$200,$D84,'技能主檔_V1'!$J$7:$J$200,"啟用")&lt;&gt;1,"技能未在主檔啟用",IF(OR($A84="",$E84="",$F84="",$G84="",$H84="",$I84="",$J84="",$K84="",$L84="",$N84=""),IF($M84="已核定","已核定但資料未完整","待補欄位或核定"),IF(OR($O84="",$P84=""),IF($M84="已核定","已核定但缺來源依據","待補來源依據"),IF($M84="已核定","可發布","待主管核定")))))))))</x:f>
      </x:c>
      <x:c r="S84" s="579" t="str">
        <x:f>IF($B84="","",IF($R84="可發布","回到醫師模式規則輸入，將能力要求集標記為已完整",IF(OR($R84="停用",$R84="退回補件"),"依狀態處理",IF(ISNUMBER(SEARCH("來源",$R84)),"補齊來源文件與定位",IF(ISNUMBER(SEARCH("技能",$R84)),"先完成技能名稱對照並發布技能主檔",IF(ISNUMBER(SEARCH("模式",$R84)),"先建立相符的醫師模式規則","補齊欄位並完成主管核定"))))))</x:f>
      </x:c>
    </x:row>
    <x:row r="85">
      <x:c r="A85" s="577"/>
      <x:c r="B85" s="577"/>
      <x:c r="C85" s="577"/>
      <x:c r="D85" s="577"/>
      <x:c r="E85" s="577"/>
      <x:c r="F85" s="577"/>
      <x:c r="G85" s="577"/>
      <x:c r="H85" s="577"/>
      <x:c r="I85" s="577"/>
      <x:c r="J85" s="577"/>
      <x:c r="K85" s="577"/>
      <x:c r="L85" s="578"/>
      <x:c r="M85" s="577"/>
      <x:c r="N85" s="577"/>
      <x:c r="O85" s="577"/>
      <x:c r="P85" s="577"/>
      <x:c r="Q85" s="577"/>
      <x:c r="R85" s="579" t="str">
        <x:f>IF($B85="","",IF($M85="停用","停用",IF($M85="退回補件","退回補件",IF(COUNTIFS($A$7:$A$306,$A85)&gt;1,"要求編號重複",IF(COUNTIFS('醫師模式規則輸入'!$D$7:$D$156,$B85,'醫師模式規則輸入'!$B$7:$B$156,$C85)&lt;&gt;1,"模式或醫師未建立",IF(COUNTIFS('技能主檔_V1'!$A$7:$A$200,$D85,'技能主檔_V1'!$J$7:$J$200,"啟用")&lt;&gt;1,"技能未在主檔啟用",IF(OR($A85="",$E85="",$F85="",$G85="",$H85="",$I85="",$J85="",$K85="",$L85="",$N85=""),IF($M85="已核定","已核定但資料未完整","待補欄位或核定"),IF(OR($O85="",$P85=""),IF($M85="已核定","已核定但缺來源依據","待補來源依據"),IF($M85="已核定","可發布","待主管核定")))))))))</x:f>
      </x:c>
      <x:c r="S85" s="579" t="str">
        <x:f>IF($B85="","",IF($R85="可發布","回到醫師模式規則輸入，將能力要求集標記為已完整",IF(OR($R85="停用",$R85="退回補件"),"依狀態處理",IF(ISNUMBER(SEARCH("來源",$R85)),"補齊來源文件與定位",IF(ISNUMBER(SEARCH("技能",$R85)),"先完成技能名稱對照並發布技能主檔",IF(ISNUMBER(SEARCH("模式",$R85)),"先建立相符的醫師模式規則","補齊欄位並完成主管核定"))))))</x:f>
      </x:c>
    </x:row>
    <x:row r="86">
      <x:c r="A86" s="577"/>
      <x:c r="B86" s="577"/>
      <x:c r="C86" s="577"/>
      <x:c r="D86" s="577"/>
      <x:c r="E86" s="577"/>
      <x:c r="F86" s="577"/>
      <x:c r="G86" s="577"/>
      <x:c r="H86" s="577"/>
      <x:c r="I86" s="577"/>
      <x:c r="J86" s="577"/>
      <x:c r="K86" s="577"/>
      <x:c r="L86" s="578"/>
      <x:c r="M86" s="577"/>
      <x:c r="N86" s="577"/>
      <x:c r="O86" s="577"/>
      <x:c r="P86" s="577"/>
      <x:c r="Q86" s="577"/>
      <x:c r="R86" s="579" t="str">
        <x:f>IF($B86="","",IF($M86="停用","停用",IF($M86="退回補件","退回補件",IF(COUNTIFS($A$7:$A$306,$A86)&gt;1,"要求編號重複",IF(COUNTIFS('醫師模式規則輸入'!$D$7:$D$156,$B86,'醫師模式規則輸入'!$B$7:$B$156,$C86)&lt;&gt;1,"模式或醫師未建立",IF(COUNTIFS('技能主檔_V1'!$A$7:$A$200,$D86,'技能主檔_V1'!$J$7:$J$200,"啟用")&lt;&gt;1,"技能未在主檔啟用",IF(OR($A86="",$E86="",$F86="",$G86="",$H86="",$I86="",$J86="",$K86="",$L86="",$N86=""),IF($M86="已核定","已核定但資料未完整","待補欄位或核定"),IF(OR($O86="",$P86=""),IF($M86="已核定","已核定但缺來源依據","待補來源依據"),IF($M86="已核定","可發布","待主管核定")))))))))</x:f>
      </x:c>
      <x:c r="S86" s="579" t="str">
        <x:f>IF($B86="","",IF($R86="可發布","回到醫師模式規則輸入，將能力要求集標記為已完整",IF(OR($R86="停用",$R86="退回補件"),"依狀態處理",IF(ISNUMBER(SEARCH("來源",$R86)),"補齊來源文件與定位",IF(ISNUMBER(SEARCH("技能",$R86)),"先完成技能名稱對照並發布技能主檔",IF(ISNUMBER(SEARCH("模式",$R86)),"先建立相符的醫師模式規則","補齊欄位並完成主管核定"))))))</x:f>
      </x:c>
    </x:row>
    <x:row r="87">
      <x:c r="A87" s="577"/>
      <x:c r="B87" s="577"/>
      <x:c r="C87" s="577"/>
      <x:c r="D87" s="577"/>
      <x:c r="E87" s="577"/>
      <x:c r="F87" s="577"/>
      <x:c r="G87" s="577"/>
      <x:c r="H87" s="577"/>
      <x:c r="I87" s="577"/>
      <x:c r="J87" s="577"/>
      <x:c r="K87" s="577"/>
      <x:c r="L87" s="578"/>
      <x:c r="M87" s="577"/>
      <x:c r="N87" s="577"/>
      <x:c r="O87" s="577"/>
      <x:c r="P87" s="577"/>
      <x:c r="Q87" s="577"/>
      <x:c r="R87" s="579" t="str">
        <x:f>IF($B87="","",IF($M87="停用","停用",IF($M87="退回補件","退回補件",IF(COUNTIFS($A$7:$A$306,$A87)&gt;1,"要求編號重複",IF(COUNTIFS('醫師模式規則輸入'!$D$7:$D$156,$B87,'醫師模式規則輸入'!$B$7:$B$156,$C87)&lt;&gt;1,"模式或醫師未建立",IF(COUNTIFS('技能主檔_V1'!$A$7:$A$200,$D87,'技能主檔_V1'!$J$7:$J$200,"啟用")&lt;&gt;1,"技能未在主檔啟用",IF(OR($A87="",$E87="",$F87="",$G87="",$H87="",$I87="",$J87="",$K87="",$L87="",$N87=""),IF($M87="已核定","已核定但資料未完整","待補欄位或核定"),IF(OR($O87="",$P87=""),IF($M87="已核定","已核定但缺來源依據","待補來源依據"),IF($M87="已核定","可發布","待主管核定")))))))))</x:f>
      </x:c>
      <x:c r="S87" s="579" t="str">
        <x:f>IF($B87="","",IF($R87="可發布","回到醫師模式規則輸入，將能力要求集標記為已完整",IF(OR($R87="停用",$R87="退回補件"),"依狀態處理",IF(ISNUMBER(SEARCH("來源",$R87)),"補齊來源文件與定位",IF(ISNUMBER(SEARCH("技能",$R87)),"先完成技能名稱對照並發布技能主檔",IF(ISNUMBER(SEARCH("模式",$R87)),"先建立相符的醫師模式規則","補齊欄位並完成主管核定"))))))</x:f>
      </x:c>
    </x:row>
    <x:row r="88">
      <x:c r="A88" s="577"/>
      <x:c r="B88" s="577"/>
      <x:c r="C88" s="577"/>
      <x:c r="D88" s="577"/>
      <x:c r="E88" s="577"/>
      <x:c r="F88" s="577"/>
      <x:c r="G88" s="577"/>
      <x:c r="H88" s="577"/>
      <x:c r="I88" s="577"/>
      <x:c r="J88" s="577"/>
      <x:c r="K88" s="577"/>
      <x:c r="L88" s="578"/>
      <x:c r="M88" s="577"/>
      <x:c r="N88" s="577"/>
      <x:c r="O88" s="577"/>
      <x:c r="P88" s="577"/>
      <x:c r="Q88" s="577"/>
      <x:c r="R88" s="579" t="str">
        <x:f>IF($B88="","",IF($M88="停用","停用",IF($M88="退回補件","退回補件",IF(COUNTIFS($A$7:$A$306,$A88)&gt;1,"要求編號重複",IF(COUNTIFS('醫師模式規則輸入'!$D$7:$D$156,$B88,'醫師模式規則輸入'!$B$7:$B$156,$C88)&lt;&gt;1,"模式或醫師未建立",IF(COUNTIFS('技能主檔_V1'!$A$7:$A$200,$D88,'技能主檔_V1'!$J$7:$J$200,"啟用")&lt;&gt;1,"技能未在主檔啟用",IF(OR($A88="",$E88="",$F88="",$G88="",$H88="",$I88="",$J88="",$K88="",$L88="",$N88=""),IF($M88="已核定","已核定但資料未完整","待補欄位或核定"),IF(OR($O88="",$P88=""),IF($M88="已核定","已核定但缺來源依據","待補來源依據"),IF($M88="已核定","可發布","待主管核定")))))))))</x:f>
      </x:c>
      <x:c r="S88" s="579" t="str">
        <x:f>IF($B88="","",IF($R88="可發布","回到醫師模式規則輸入，將能力要求集標記為已完整",IF(OR($R88="停用",$R88="退回補件"),"依狀態處理",IF(ISNUMBER(SEARCH("來源",$R88)),"補齊來源文件與定位",IF(ISNUMBER(SEARCH("技能",$R88)),"先完成技能名稱對照並發布技能主檔",IF(ISNUMBER(SEARCH("模式",$R88)),"先建立相符的醫師模式規則","補齊欄位並完成主管核定"))))))</x:f>
      </x:c>
    </x:row>
    <x:row r="89">
      <x:c r="A89" s="577"/>
      <x:c r="B89" s="577"/>
      <x:c r="C89" s="577"/>
      <x:c r="D89" s="577"/>
      <x:c r="E89" s="577"/>
      <x:c r="F89" s="577"/>
      <x:c r="G89" s="577"/>
      <x:c r="H89" s="577"/>
      <x:c r="I89" s="577"/>
      <x:c r="J89" s="577"/>
      <x:c r="K89" s="577"/>
      <x:c r="L89" s="578"/>
      <x:c r="M89" s="577"/>
      <x:c r="N89" s="577"/>
      <x:c r="O89" s="577"/>
      <x:c r="P89" s="577"/>
      <x:c r="Q89" s="577"/>
      <x:c r="R89" s="579" t="str">
        <x:f>IF($B89="","",IF($M89="停用","停用",IF($M89="退回補件","退回補件",IF(COUNTIFS($A$7:$A$306,$A89)&gt;1,"要求編號重複",IF(COUNTIFS('醫師模式規則輸入'!$D$7:$D$156,$B89,'醫師模式規則輸入'!$B$7:$B$156,$C89)&lt;&gt;1,"模式或醫師未建立",IF(COUNTIFS('技能主檔_V1'!$A$7:$A$200,$D89,'技能主檔_V1'!$J$7:$J$200,"啟用")&lt;&gt;1,"技能未在主檔啟用",IF(OR($A89="",$E89="",$F89="",$G89="",$H89="",$I89="",$J89="",$K89="",$L89="",$N89=""),IF($M89="已核定","已核定但資料未完整","待補欄位或核定"),IF(OR($O89="",$P89=""),IF($M89="已核定","已核定但缺來源依據","待補來源依據"),IF($M89="已核定","可發布","待主管核定")))))))))</x:f>
      </x:c>
      <x:c r="S89" s="579" t="str">
        <x:f>IF($B89="","",IF($R89="可發布","回到醫師模式規則輸入，將能力要求集標記為已完整",IF(OR($R89="停用",$R89="退回補件"),"依狀態處理",IF(ISNUMBER(SEARCH("來源",$R89)),"補齊來源文件與定位",IF(ISNUMBER(SEARCH("技能",$R89)),"先完成技能名稱對照並發布技能主檔",IF(ISNUMBER(SEARCH("模式",$R89)),"先建立相符的醫師模式規則","補齊欄位並完成主管核定"))))))</x:f>
      </x:c>
    </x:row>
    <x:row r="90">
      <x:c r="A90" s="577"/>
      <x:c r="B90" s="577"/>
      <x:c r="C90" s="577"/>
      <x:c r="D90" s="577"/>
      <x:c r="E90" s="577"/>
      <x:c r="F90" s="577"/>
      <x:c r="G90" s="577"/>
      <x:c r="H90" s="577"/>
      <x:c r="I90" s="577"/>
      <x:c r="J90" s="577"/>
      <x:c r="K90" s="577"/>
      <x:c r="L90" s="578"/>
      <x:c r="M90" s="577"/>
      <x:c r="N90" s="577"/>
      <x:c r="O90" s="577"/>
      <x:c r="P90" s="577"/>
      <x:c r="Q90" s="577"/>
      <x:c r="R90" s="579" t="str">
        <x:f>IF($B90="","",IF($M90="停用","停用",IF($M90="退回補件","退回補件",IF(COUNTIFS($A$7:$A$306,$A90)&gt;1,"要求編號重複",IF(COUNTIFS('醫師模式規則輸入'!$D$7:$D$156,$B90,'醫師模式規則輸入'!$B$7:$B$156,$C90)&lt;&gt;1,"模式或醫師未建立",IF(COUNTIFS('技能主檔_V1'!$A$7:$A$200,$D90,'技能主檔_V1'!$J$7:$J$200,"啟用")&lt;&gt;1,"技能未在主檔啟用",IF(OR($A90="",$E90="",$F90="",$G90="",$H90="",$I90="",$J90="",$K90="",$L90="",$N90=""),IF($M90="已核定","已核定但資料未完整","待補欄位或核定"),IF(OR($O90="",$P90=""),IF($M90="已核定","已核定但缺來源依據","待補來源依據"),IF($M90="已核定","可發布","待主管核定")))))))))</x:f>
      </x:c>
      <x:c r="S90" s="579" t="str">
        <x:f>IF($B90="","",IF($R90="可發布","回到醫師模式規則輸入，將能力要求集標記為已完整",IF(OR($R90="停用",$R90="退回補件"),"依狀態處理",IF(ISNUMBER(SEARCH("來源",$R90)),"補齊來源文件與定位",IF(ISNUMBER(SEARCH("技能",$R90)),"先完成技能名稱對照並發布技能主檔",IF(ISNUMBER(SEARCH("模式",$R90)),"先建立相符的醫師模式規則","補齊欄位並完成主管核定"))))))</x:f>
      </x:c>
    </x:row>
    <x:row r="91">
      <x:c r="A91" s="577"/>
      <x:c r="B91" s="577"/>
      <x:c r="C91" s="577"/>
      <x:c r="D91" s="577"/>
      <x:c r="E91" s="577"/>
      <x:c r="F91" s="577"/>
      <x:c r="G91" s="577"/>
      <x:c r="H91" s="577"/>
      <x:c r="I91" s="577"/>
      <x:c r="J91" s="577"/>
      <x:c r="K91" s="577"/>
      <x:c r="L91" s="578"/>
      <x:c r="M91" s="577"/>
      <x:c r="N91" s="577"/>
      <x:c r="O91" s="577"/>
      <x:c r="P91" s="577"/>
      <x:c r="Q91" s="577"/>
      <x:c r="R91" s="579" t="str">
        <x:f>IF($B91="","",IF($M91="停用","停用",IF($M91="退回補件","退回補件",IF(COUNTIFS($A$7:$A$306,$A91)&gt;1,"要求編號重複",IF(COUNTIFS('醫師模式規則輸入'!$D$7:$D$156,$B91,'醫師模式規則輸入'!$B$7:$B$156,$C91)&lt;&gt;1,"模式或醫師未建立",IF(COUNTIFS('技能主檔_V1'!$A$7:$A$200,$D91,'技能主檔_V1'!$J$7:$J$200,"啟用")&lt;&gt;1,"技能未在主檔啟用",IF(OR($A91="",$E91="",$F91="",$G91="",$H91="",$I91="",$J91="",$K91="",$L91="",$N91=""),IF($M91="已核定","已核定但資料未完整","待補欄位或核定"),IF(OR($O91="",$P91=""),IF($M91="已核定","已核定但缺來源依據","待補來源依據"),IF($M91="已核定","可發布","待主管核定")))))))))</x:f>
      </x:c>
      <x:c r="S91" s="579" t="str">
        <x:f>IF($B91="","",IF($R91="可發布","回到醫師模式規則輸入，將能力要求集標記為已完整",IF(OR($R91="停用",$R91="退回補件"),"依狀態處理",IF(ISNUMBER(SEARCH("來源",$R91)),"補齊來源文件與定位",IF(ISNUMBER(SEARCH("技能",$R91)),"先完成技能名稱對照並發布技能主檔",IF(ISNUMBER(SEARCH("模式",$R91)),"先建立相符的醫師模式規則","補齊欄位並完成主管核定"))))))</x:f>
      </x:c>
    </x:row>
    <x:row r="92">
      <x:c r="A92" s="577"/>
      <x:c r="B92" s="577"/>
      <x:c r="C92" s="577"/>
      <x:c r="D92" s="577"/>
      <x:c r="E92" s="577"/>
      <x:c r="F92" s="577"/>
      <x:c r="G92" s="577"/>
      <x:c r="H92" s="577"/>
      <x:c r="I92" s="577"/>
      <x:c r="J92" s="577"/>
      <x:c r="K92" s="577"/>
      <x:c r="L92" s="578"/>
      <x:c r="M92" s="577"/>
      <x:c r="N92" s="577"/>
      <x:c r="O92" s="577"/>
      <x:c r="P92" s="577"/>
      <x:c r="Q92" s="577"/>
      <x:c r="R92" s="579" t="str">
        <x:f>IF($B92="","",IF($M92="停用","停用",IF($M92="退回補件","退回補件",IF(COUNTIFS($A$7:$A$306,$A92)&gt;1,"要求編號重複",IF(COUNTIFS('醫師模式規則輸入'!$D$7:$D$156,$B92,'醫師模式規則輸入'!$B$7:$B$156,$C92)&lt;&gt;1,"模式或醫師未建立",IF(COUNTIFS('技能主檔_V1'!$A$7:$A$200,$D92,'技能主檔_V1'!$J$7:$J$200,"啟用")&lt;&gt;1,"技能未在主檔啟用",IF(OR($A92="",$E92="",$F92="",$G92="",$H92="",$I92="",$J92="",$K92="",$L92="",$N92=""),IF($M92="已核定","已核定但資料未完整","待補欄位或核定"),IF(OR($O92="",$P92=""),IF($M92="已核定","已核定但缺來源依據","待補來源依據"),IF($M92="已核定","可發布","待主管核定")))))))))</x:f>
      </x:c>
      <x:c r="S92" s="579" t="str">
        <x:f>IF($B92="","",IF($R92="可發布","回到醫師模式規則輸入，將能力要求集標記為已完整",IF(OR($R92="停用",$R92="退回補件"),"依狀態處理",IF(ISNUMBER(SEARCH("來源",$R92)),"補齊來源文件與定位",IF(ISNUMBER(SEARCH("技能",$R92)),"先完成技能名稱對照並發布技能主檔",IF(ISNUMBER(SEARCH("模式",$R92)),"先建立相符的醫師模式規則","補齊欄位並完成主管核定"))))))</x:f>
      </x:c>
    </x:row>
    <x:row r="93">
      <x:c r="A93" s="577"/>
      <x:c r="B93" s="577"/>
      <x:c r="C93" s="577"/>
      <x:c r="D93" s="577"/>
      <x:c r="E93" s="577"/>
      <x:c r="F93" s="577"/>
      <x:c r="G93" s="577"/>
      <x:c r="H93" s="577"/>
      <x:c r="I93" s="577"/>
      <x:c r="J93" s="577"/>
      <x:c r="K93" s="577"/>
      <x:c r="L93" s="578"/>
      <x:c r="M93" s="577"/>
      <x:c r="N93" s="577"/>
      <x:c r="O93" s="577"/>
      <x:c r="P93" s="577"/>
      <x:c r="Q93" s="577"/>
      <x:c r="R93" s="579" t="str">
        <x:f>IF($B93="","",IF($M93="停用","停用",IF($M93="退回補件","退回補件",IF(COUNTIFS($A$7:$A$306,$A93)&gt;1,"要求編號重複",IF(COUNTIFS('醫師模式規則輸入'!$D$7:$D$156,$B93,'醫師模式規則輸入'!$B$7:$B$156,$C93)&lt;&gt;1,"模式或醫師未建立",IF(COUNTIFS('技能主檔_V1'!$A$7:$A$200,$D93,'技能主檔_V1'!$J$7:$J$200,"啟用")&lt;&gt;1,"技能未在主檔啟用",IF(OR($A93="",$E93="",$F93="",$G93="",$H93="",$I93="",$J93="",$K93="",$L93="",$N93=""),IF($M93="已核定","已核定但資料未完整","待補欄位或核定"),IF(OR($O93="",$P93=""),IF($M93="已核定","已核定但缺來源依據","待補來源依據"),IF($M93="已核定","可發布","待主管核定")))))))))</x:f>
      </x:c>
      <x:c r="S93" s="579" t="str">
        <x:f>IF($B93="","",IF($R93="可發布","回到醫師模式規則輸入，將能力要求集標記為已完整",IF(OR($R93="停用",$R93="退回補件"),"依狀態處理",IF(ISNUMBER(SEARCH("來源",$R93)),"補齊來源文件與定位",IF(ISNUMBER(SEARCH("技能",$R93)),"先完成技能名稱對照並發布技能主檔",IF(ISNUMBER(SEARCH("模式",$R93)),"先建立相符的醫師模式規則","補齊欄位並完成主管核定"))))))</x:f>
      </x:c>
    </x:row>
    <x:row r="94">
      <x:c r="A94" s="577"/>
      <x:c r="B94" s="577"/>
      <x:c r="C94" s="577"/>
      <x:c r="D94" s="577"/>
      <x:c r="E94" s="577"/>
      <x:c r="F94" s="577"/>
      <x:c r="G94" s="577"/>
      <x:c r="H94" s="577"/>
      <x:c r="I94" s="577"/>
      <x:c r="J94" s="577"/>
      <x:c r="K94" s="577"/>
      <x:c r="L94" s="578"/>
      <x:c r="M94" s="577"/>
      <x:c r="N94" s="577"/>
      <x:c r="O94" s="577"/>
      <x:c r="P94" s="577"/>
      <x:c r="Q94" s="577"/>
      <x:c r="R94" s="579" t="str">
        <x:f>IF($B94="","",IF($M94="停用","停用",IF($M94="退回補件","退回補件",IF(COUNTIFS($A$7:$A$306,$A94)&gt;1,"要求編號重複",IF(COUNTIFS('醫師模式規則輸入'!$D$7:$D$156,$B94,'醫師模式規則輸入'!$B$7:$B$156,$C94)&lt;&gt;1,"模式或醫師未建立",IF(COUNTIFS('技能主檔_V1'!$A$7:$A$200,$D94,'技能主檔_V1'!$J$7:$J$200,"啟用")&lt;&gt;1,"技能未在主檔啟用",IF(OR($A94="",$E94="",$F94="",$G94="",$H94="",$I94="",$J94="",$K94="",$L94="",$N94=""),IF($M94="已核定","已核定但資料未完整","待補欄位或核定"),IF(OR($O94="",$P94=""),IF($M94="已核定","已核定但缺來源依據","待補來源依據"),IF($M94="已核定","可發布","待主管核定")))))))))</x:f>
      </x:c>
      <x:c r="S94" s="579" t="str">
        <x:f>IF($B94="","",IF($R94="可發布","回到醫師模式規則輸入，將能力要求集標記為已完整",IF(OR($R94="停用",$R94="退回補件"),"依狀態處理",IF(ISNUMBER(SEARCH("來源",$R94)),"補齊來源文件與定位",IF(ISNUMBER(SEARCH("技能",$R94)),"先完成技能名稱對照並發布技能主檔",IF(ISNUMBER(SEARCH("模式",$R94)),"先建立相符的醫師模式規則","補齊欄位並完成主管核定"))))))</x:f>
      </x:c>
    </x:row>
    <x:row r="95">
      <x:c r="A95" s="577"/>
      <x:c r="B95" s="577"/>
      <x:c r="C95" s="577"/>
      <x:c r="D95" s="577"/>
      <x:c r="E95" s="577"/>
      <x:c r="F95" s="577"/>
      <x:c r="G95" s="577"/>
      <x:c r="H95" s="577"/>
      <x:c r="I95" s="577"/>
      <x:c r="J95" s="577"/>
      <x:c r="K95" s="577"/>
      <x:c r="L95" s="578"/>
      <x:c r="M95" s="577"/>
      <x:c r="N95" s="577"/>
      <x:c r="O95" s="577"/>
      <x:c r="P95" s="577"/>
      <x:c r="Q95" s="577"/>
      <x:c r="R95" s="579" t="str">
        <x:f>IF($B95="","",IF($M95="停用","停用",IF($M95="退回補件","退回補件",IF(COUNTIFS($A$7:$A$306,$A95)&gt;1,"要求編號重複",IF(COUNTIFS('醫師模式規則輸入'!$D$7:$D$156,$B95,'醫師模式規則輸入'!$B$7:$B$156,$C95)&lt;&gt;1,"模式或醫師未建立",IF(COUNTIFS('技能主檔_V1'!$A$7:$A$200,$D95,'技能主檔_V1'!$J$7:$J$200,"啟用")&lt;&gt;1,"技能未在主檔啟用",IF(OR($A95="",$E95="",$F95="",$G95="",$H95="",$I95="",$J95="",$K95="",$L95="",$N95=""),IF($M95="已核定","已核定但資料未完整","待補欄位或核定"),IF(OR($O95="",$P95=""),IF($M95="已核定","已核定但缺來源依據","待補來源依據"),IF($M95="已核定","可發布","待主管核定")))))))))</x:f>
      </x:c>
      <x:c r="S95" s="579" t="str">
        <x:f>IF($B95="","",IF($R95="可發布","回到醫師模式規則輸入，將能力要求集標記為已完整",IF(OR($R95="停用",$R95="退回補件"),"依狀態處理",IF(ISNUMBER(SEARCH("來源",$R95)),"補齊來源文件與定位",IF(ISNUMBER(SEARCH("技能",$R95)),"先完成技能名稱對照並發布技能主檔",IF(ISNUMBER(SEARCH("模式",$R95)),"先建立相符的醫師模式規則","補齊欄位並完成主管核定"))))))</x:f>
      </x:c>
    </x:row>
    <x:row r="96">
      <x:c r="A96" s="577"/>
      <x:c r="B96" s="577"/>
      <x:c r="C96" s="577"/>
      <x:c r="D96" s="577"/>
      <x:c r="E96" s="577"/>
      <x:c r="F96" s="577"/>
      <x:c r="G96" s="577"/>
      <x:c r="H96" s="577"/>
      <x:c r="I96" s="577"/>
      <x:c r="J96" s="577"/>
      <x:c r="K96" s="577"/>
      <x:c r="L96" s="578"/>
      <x:c r="M96" s="577"/>
      <x:c r="N96" s="577"/>
      <x:c r="O96" s="577"/>
      <x:c r="P96" s="577"/>
      <x:c r="Q96" s="577"/>
      <x:c r="R96" s="579" t="str">
        <x:f>IF($B96="","",IF($M96="停用","停用",IF($M96="退回補件","退回補件",IF(COUNTIFS($A$7:$A$306,$A96)&gt;1,"要求編號重複",IF(COUNTIFS('醫師模式規則輸入'!$D$7:$D$156,$B96,'醫師模式規則輸入'!$B$7:$B$156,$C96)&lt;&gt;1,"模式或醫師未建立",IF(COUNTIFS('技能主檔_V1'!$A$7:$A$200,$D96,'技能主檔_V1'!$J$7:$J$200,"啟用")&lt;&gt;1,"技能未在主檔啟用",IF(OR($A96="",$E96="",$F96="",$G96="",$H96="",$I96="",$J96="",$K96="",$L96="",$N96=""),IF($M96="已核定","已核定但資料未完整","待補欄位或核定"),IF(OR($O96="",$P96=""),IF($M96="已核定","已核定但缺來源依據","待補來源依據"),IF($M96="已核定","可發布","待主管核定")))))))))</x:f>
      </x:c>
      <x:c r="S96" s="579" t="str">
        <x:f>IF($B96="","",IF($R96="可發布","回到醫師模式規則輸入，將能力要求集標記為已完整",IF(OR($R96="停用",$R96="退回補件"),"依狀態處理",IF(ISNUMBER(SEARCH("來源",$R96)),"補齊來源文件與定位",IF(ISNUMBER(SEARCH("技能",$R96)),"先完成技能名稱對照並發布技能主檔",IF(ISNUMBER(SEARCH("模式",$R96)),"先建立相符的醫師模式規則","補齊欄位並完成主管核定"))))))</x:f>
      </x:c>
    </x:row>
    <x:row r="97">
      <x:c r="A97" s="577"/>
      <x:c r="B97" s="577"/>
      <x:c r="C97" s="577"/>
      <x:c r="D97" s="577"/>
      <x:c r="E97" s="577"/>
      <x:c r="F97" s="577"/>
      <x:c r="G97" s="577"/>
      <x:c r="H97" s="577"/>
      <x:c r="I97" s="577"/>
      <x:c r="J97" s="577"/>
      <x:c r="K97" s="577"/>
      <x:c r="L97" s="578"/>
      <x:c r="M97" s="577"/>
      <x:c r="N97" s="577"/>
      <x:c r="O97" s="577"/>
      <x:c r="P97" s="577"/>
      <x:c r="Q97" s="577"/>
      <x:c r="R97" s="579" t="str">
        <x:f>IF($B97="","",IF($M97="停用","停用",IF($M97="退回補件","退回補件",IF(COUNTIFS($A$7:$A$306,$A97)&gt;1,"要求編號重複",IF(COUNTIFS('醫師模式規則輸入'!$D$7:$D$156,$B97,'醫師模式規則輸入'!$B$7:$B$156,$C97)&lt;&gt;1,"模式或醫師未建立",IF(COUNTIFS('技能主檔_V1'!$A$7:$A$200,$D97,'技能主檔_V1'!$J$7:$J$200,"啟用")&lt;&gt;1,"技能未在主檔啟用",IF(OR($A97="",$E97="",$F97="",$G97="",$H97="",$I97="",$J97="",$K97="",$L97="",$N97=""),IF($M97="已核定","已核定但資料未完整","待補欄位或核定"),IF(OR($O97="",$P97=""),IF($M97="已核定","已核定但缺來源依據","待補來源依據"),IF($M97="已核定","可發布","待主管核定")))))))))</x:f>
      </x:c>
      <x:c r="S97" s="579" t="str">
        <x:f>IF($B97="","",IF($R97="可發布","回到醫師模式規則輸入，將能力要求集標記為已完整",IF(OR($R97="停用",$R97="退回補件"),"依狀態處理",IF(ISNUMBER(SEARCH("來源",$R97)),"補齊來源文件與定位",IF(ISNUMBER(SEARCH("技能",$R97)),"先完成技能名稱對照並發布技能主檔",IF(ISNUMBER(SEARCH("模式",$R97)),"先建立相符的醫師模式規則","補齊欄位並完成主管核定"))))))</x:f>
      </x:c>
    </x:row>
    <x:row r="98">
      <x:c r="A98" s="577"/>
      <x:c r="B98" s="577"/>
      <x:c r="C98" s="577"/>
      <x:c r="D98" s="577"/>
      <x:c r="E98" s="577"/>
      <x:c r="F98" s="577"/>
      <x:c r="G98" s="577"/>
      <x:c r="H98" s="577"/>
      <x:c r="I98" s="577"/>
      <x:c r="J98" s="577"/>
      <x:c r="K98" s="577"/>
      <x:c r="L98" s="578"/>
      <x:c r="M98" s="577"/>
      <x:c r="N98" s="577"/>
      <x:c r="O98" s="577"/>
      <x:c r="P98" s="577"/>
      <x:c r="Q98" s="577"/>
      <x:c r="R98" s="579" t="str">
        <x:f>IF($B98="","",IF($M98="停用","停用",IF($M98="退回補件","退回補件",IF(COUNTIFS($A$7:$A$306,$A98)&gt;1,"要求編號重複",IF(COUNTIFS('醫師模式規則輸入'!$D$7:$D$156,$B98,'醫師模式規則輸入'!$B$7:$B$156,$C98)&lt;&gt;1,"模式或醫師未建立",IF(COUNTIFS('技能主檔_V1'!$A$7:$A$200,$D98,'技能主檔_V1'!$J$7:$J$200,"啟用")&lt;&gt;1,"技能未在主檔啟用",IF(OR($A98="",$E98="",$F98="",$G98="",$H98="",$I98="",$J98="",$K98="",$L98="",$N98=""),IF($M98="已核定","已核定但資料未完整","待補欄位或核定"),IF(OR($O98="",$P98=""),IF($M98="已核定","已核定但缺來源依據","待補來源依據"),IF($M98="已核定","可發布","待主管核定")))))))))</x:f>
      </x:c>
      <x:c r="S98" s="579" t="str">
        <x:f>IF($B98="","",IF($R98="可發布","回到醫師模式規則輸入，將能力要求集標記為已完整",IF(OR($R98="停用",$R98="退回補件"),"依狀態處理",IF(ISNUMBER(SEARCH("來源",$R98)),"補齊來源文件與定位",IF(ISNUMBER(SEARCH("技能",$R98)),"先完成技能名稱對照並發布技能主檔",IF(ISNUMBER(SEARCH("模式",$R98)),"先建立相符的醫師模式規則","補齊欄位並完成主管核定"))))))</x:f>
      </x:c>
    </x:row>
    <x:row r="99">
      <x:c r="A99" s="577"/>
      <x:c r="B99" s="577"/>
      <x:c r="C99" s="577"/>
      <x:c r="D99" s="577"/>
      <x:c r="E99" s="577"/>
      <x:c r="F99" s="577"/>
      <x:c r="G99" s="577"/>
      <x:c r="H99" s="577"/>
      <x:c r="I99" s="577"/>
      <x:c r="J99" s="577"/>
      <x:c r="K99" s="577"/>
      <x:c r="L99" s="578"/>
      <x:c r="M99" s="577"/>
      <x:c r="N99" s="577"/>
      <x:c r="O99" s="577"/>
      <x:c r="P99" s="577"/>
      <x:c r="Q99" s="577"/>
      <x:c r="R99" s="579" t="str">
        <x:f>IF($B99="","",IF($M99="停用","停用",IF($M99="退回補件","退回補件",IF(COUNTIFS($A$7:$A$306,$A99)&gt;1,"要求編號重複",IF(COUNTIFS('醫師模式規則輸入'!$D$7:$D$156,$B99,'醫師模式規則輸入'!$B$7:$B$156,$C99)&lt;&gt;1,"模式或醫師未建立",IF(COUNTIFS('技能主檔_V1'!$A$7:$A$200,$D99,'技能主檔_V1'!$J$7:$J$200,"啟用")&lt;&gt;1,"技能未在主檔啟用",IF(OR($A99="",$E99="",$F99="",$G99="",$H99="",$I99="",$J99="",$K99="",$L99="",$N99=""),IF($M99="已核定","已核定但資料未完整","待補欄位或核定"),IF(OR($O99="",$P99=""),IF($M99="已核定","已核定但缺來源依據","待補來源依據"),IF($M99="已核定","可發布","待主管核定")))))))))</x:f>
      </x:c>
      <x:c r="S99" s="579" t="str">
        <x:f>IF($B99="","",IF($R99="可發布","回到醫師模式規則輸入，將能力要求集標記為已完整",IF(OR($R99="停用",$R99="退回補件"),"依狀態處理",IF(ISNUMBER(SEARCH("來源",$R99)),"補齊來源文件與定位",IF(ISNUMBER(SEARCH("技能",$R99)),"先完成技能名稱對照並發布技能主檔",IF(ISNUMBER(SEARCH("模式",$R99)),"先建立相符的醫師模式規則","補齊欄位並完成主管核定"))))))</x:f>
      </x:c>
    </x:row>
    <x:row r="100">
      <x:c r="A100" s="577"/>
      <x:c r="B100" s="577"/>
      <x:c r="C100" s="577"/>
      <x:c r="D100" s="577"/>
      <x:c r="E100" s="577"/>
      <x:c r="F100" s="577"/>
      <x:c r="G100" s="577"/>
      <x:c r="H100" s="577"/>
      <x:c r="I100" s="577"/>
      <x:c r="J100" s="577"/>
      <x:c r="K100" s="577"/>
      <x:c r="L100" s="578"/>
      <x:c r="M100" s="577"/>
      <x:c r="N100" s="577"/>
      <x:c r="O100" s="577"/>
      <x:c r="P100" s="577"/>
      <x:c r="Q100" s="577"/>
      <x:c r="R100" s="579" t="str">
        <x:f>IF($B100="","",IF($M100="停用","停用",IF($M100="退回補件","退回補件",IF(COUNTIFS($A$7:$A$306,$A100)&gt;1,"要求編號重複",IF(COUNTIFS('醫師模式規則輸入'!$D$7:$D$156,$B100,'醫師模式規則輸入'!$B$7:$B$156,$C100)&lt;&gt;1,"模式或醫師未建立",IF(COUNTIFS('技能主檔_V1'!$A$7:$A$200,$D100,'技能主檔_V1'!$J$7:$J$200,"啟用")&lt;&gt;1,"技能未在主檔啟用",IF(OR($A100="",$E100="",$F100="",$G100="",$H100="",$I100="",$J100="",$K100="",$L100="",$N100=""),IF($M100="已核定","已核定但資料未完整","待補欄位或核定"),IF(OR($O100="",$P100=""),IF($M100="已核定","已核定但缺來源依據","待補來源依據"),IF($M100="已核定","可發布","待主管核定")))))))))</x:f>
      </x:c>
      <x:c r="S100" s="579" t="str">
        <x:f>IF($B100="","",IF($R100="可發布","回到醫師模式規則輸入，將能力要求集標記為已完整",IF(OR($R100="停用",$R100="退回補件"),"依狀態處理",IF(ISNUMBER(SEARCH("來源",$R100)),"補齊來源文件與定位",IF(ISNUMBER(SEARCH("技能",$R100)),"先完成技能名稱對照並發布技能主檔",IF(ISNUMBER(SEARCH("模式",$R100)),"先建立相符的醫師模式規則","補齊欄位並完成主管核定"))))))</x:f>
      </x:c>
    </x:row>
    <x:row r="101">
      <x:c r="A101" s="577"/>
      <x:c r="B101" s="577"/>
      <x:c r="C101" s="577"/>
      <x:c r="D101" s="577"/>
      <x:c r="E101" s="577"/>
      <x:c r="F101" s="577"/>
      <x:c r="G101" s="577"/>
      <x:c r="H101" s="577"/>
      <x:c r="I101" s="577"/>
      <x:c r="J101" s="577"/>
      <x:c r="K101" s="577"/>
      <x:c r="L101" s="578"/>
      <x:c r="M101" s="577"/>
      <x:c r="N101" s="577"/>
      <x:c r="O101" s="577"/>
      <x:c r="P101" s="577"/>
      <x:c r="Q101" s="577"/>
      <x:c r="R101" s="579" t="str">
        <x:f>IF($B101="","",IF($M101="停用","停用",IF($M101="退回補件","退回補件",IF(COUNTIFS($A$7:$A$306,$A101)&gt;1,"要求編號重複",IF(COUNTIFS('醫師模式規則輸入'!$D$7:$D$156,$B101,'醫師模式規則輸入'!$B$7:$B$156,$C101)&lt;&gt;1,"模式或醫師未建立",IF(COUNTIFS('技能主檔_V1'!$A$7:$A$200,$D101,'技能主檔_V1'!$J$7:$J$200,"啟用")&lt;&gt;1,"技能未在主檔啟用",IF(OR($A101="",$E101="",$F101="",$G101="",$H101="",$I101="",$J101="",$K101="",$L101="",$N101=""),IF($M101="已核定","已核定但資料未完整","待補欄位或核定"),IF(OR($O101="",$P101=""),IF($M101="已核定","已核定但缺來源依據","待補來源依據"),IF($M101="已核定","可發布","待主管核定")))))))))</x:f>
      </x:c>
      <x:c r="S101" s="579" t="str">
        <x:f>IF($B101="","",IF($R101="可發布","回到醫師模式規則輸入，將能力要求集標記為已完整",IF(OR($R101="停用",$R101="退回補件"),"依狀態處理",IF(ISNUMBER(SEARCH("來源",$R101)),"補齊來源文件與定位",IF(ISNUMBER(SEARCH("技能",$R101)),"先完成技能名稱對照並發布技能主檔",IF(ISNUMBER(SEARCH("模式",$R101)),"先建立相符的醫師模式規則","補齊欄位並完成主管核定"))))))</x:f>
      </x:c>
    </x:row>
    <x:row r="102">
      <x:c r="A102" s="577"/>
      <x:c r="B102" s="577"/>
      <x:c r="C102" s="577"/>
      <x:c r="D102" s="577"/>
      <x:c r="E102" s="577"/>
      <x:c r="F102" s="577"/>
      <x:c r="G102" s="577"/>
      <x:c r="H102" s="577"/>
      <x:c r="I102" s="577"/>
      <x:c r="J102" s="577"/>
      <x:c r="K102" s="577"/>
      <x:c r="L102" s="578"/>
      <x:c r="M102" s="577"/>
      <x:c r="N102" s="577"/>
      <x:c r="O102" s="577"/>
      <x:c r="P102" s="577"/>
      <x:c r="Q102" s="577"/>
      <x:c r="R102" s="579" t="str">
        <x:f>IF($B102="","",IF($M102="停用","停用",IF($M102="退回補件","退回補件",IF(COUNTIFS($A$7:$A$306,$A102)&gt;1,"要求編號重複",IF(COUNTIFS('醫師模式規則輸入'!$D$7:$D$156,$B102,'醫師模式規則輸入'!$B$7:$B$156,$C102)&lt;&gt;1,"模式或醫師未建立",IF(COUNTIFS('技能主檔_V1'!$A$7:$A$200,$D102,'技能主檔_V1'!$J$7:$J$200,"啟用")&lt;&gt;1,"技能未在主檔啟用",IF(OR($A102="",$E102="",$F102="",$G102="",$H102="",$I102="",$J102="",$K102="",$L102="",$N102=""),IF($M102="已核定","已核定但資料未完整","待補欄位或核定"),IF(OR($O102="",$P102=""),IF($M102="已核定","已核定但缺來源依據","待補來源依據"),IF($M102="已核定","可發布","待主管核定")))))))))</x:f>
      </x:c>
      <x:c r="S102" s="579" t="str">
        <x:f>IF($B102="","",IF($R102="可發布","回到醫師模式規則輸入，將能力要求集標記為已完整",IF(OR($R102="停用",$R102="退回補件"),"依狀態處理",IF(ISNUMBER(SEARCH("來源",$R102)),"補齊來源文件與定位",IF(ISNUMBER(SEARCH("技能",$R102)),"先完成技能名稱對照並發布技能主檔",IF(ISNUMBER(SEARCH("模式",$R102)),"先建立相符的醫師模式規則","補齊欄位並完成主管核定"))))))</x:f>
      </x:c>
    </x:row>
    <x:row r="103">
      <x:c r="A103" s="577"/>
      <x:c r="B103" s="577"/>
      <x:c r="C103" s="577"/>
      <x:c r="D103" s="577"/>
      <x:c r="E103" s="577"/>
      <x:c r="F103" s="577"/>
      <x:c r="G103" s="577"/>
      <x:c r="H103" s="577"/>
      <x:c r="I103" s="577"/>
      <x:c r="J103" s="577"/>
      <x:c r="K103" s="577"/>
      <x:c r="L103" s="578"/>
      <x:c r="M103" s="577"/>
      <x:c r="N103" s="577"/>
      <x:c r="O103" s="577"/>
      <x:c r="P103" s="577"/>
      <x:c r="Q103" s="577"/>
      <x:c r="R103" s="579" t="str">
        <x:f>IF($B103="","",IF($M103="停用","停用",IF($M103="退回補件","退回補件",IF(COUNTIFS($A$7:$A$306,$A103)&gt;1,"要求編號重複",IF(COUNTIFS('醫師模式規則輸入'!$D$7:$D$156,$B103,'醫師模式規則輸入'!$B$7:$B$156,$C103)&lt;&gt;1,"模式或醫師未建立",IF(COUNTIFS('技能主檔_V1'!$A$7:$A$200,$D103,'技能主檔_V1'!$J$7:$J$200,"啟用")&lt;&gt;1,"技能未在主檔啟用",IF(OR($A103="",$E103="",$F103="",$G103="",$H103="",$I103="",$J103="",$K103="",$L103="",$N103=""),IF($M103="已核定","已核定但資料未完整","待補欄位或核定"),IF(OR($O103="",$P103=""),IF($M103="已核定","已核定但缺來源依據","待補來源依據"),IF($M103="已核定","可發布","待主管核定")))))))))</x:f>
      </x:c>
      <x:c r="S103" s="579" t="str">
        <x:f>IF($B103="","",IF($R103="可發布","回到醫師模式規則輸入，將能力要求集標記為已完整",IF(OR($R103="停用",$R103="退回補件"),"依狀態處理",IF(ISNUMBER(SEARCH("來源",$R103)),"補齊來源文件與定位",IF(ISNUMBER(SEARCH("技能",$R103)),"先完成技能名稱對照並發布技能主檔",IF(ISNUMBER(SEARCH("模式",$R103)),"先建立相符的醫師模式規則","補齊欄位並完成主管核定"))))))</x:f>
      </x:c>
    </x:row>
    <x:row r="104">
      <x:c r="A104" s="577"/>
      <x:c r="B104" s="577"/>
      <x:c r="C104" s="577"/>
      <x:c r="D104" s="577"/>
      <x:c r="E104" s="577"/>
      <x:c r="F104" s="577"/>
      <x:c r="G104" s="577"/>
      <x:c r="H104" s="577"/>
      <x:c r="I104" s="577"/>
      <x:c r="J104" s="577"/>
      <x:c r="K104" s="577"/>
      <x:c r="L104" s="578"/>
      <x:c r="M104" s="577"/>
      <x:c r="N104" s="577"/>
      <x:c r="O104" s="577"/>
      <x:c r="P104" s="577"/>
      <x:c r="Q104" s="577"/>
      <x:c r="R104" s="579" t="str">
        <x:f>IF($B104="","",IF($M104="停用","停用",IF($M104="退回補件","退回補件",IF(COUNTIFS($A$7:$A$306,$A104)&gt;1,"要求編號重複",IF(COUNTIFS('醫師模式規則輸入'!$D$7:$D$156,$B104,'醫師模式規則輸入'!$B$7:$B$156,$C104)&lt;&gt;1,"模式或醫師未建立",IF(COUNTIFS('技能主檔_V1'!$A$7:$A$200,$D104,'技能主檔_V1'!$J$7:$J$200,"啟用")&lt;&gt;1,"技能未在主檔啟用",IF(OR($A104="",$E104="",$F104="",$G104="",$H104="",$I104="",$J104="",$K104="",$L104="",$N104=""),IF($M104="已核定","已核定但資料未完整","待補欄位或核定"),IF(OR($O104="",$P104=""),IF($M104="已核定","已核定但缺來源依據","待補來源依據"),IF($M104="已核定","可發布","待主管核定")))))))))</x:f>
      </x:c>
      <x:c r="S104" s="579" t="str">
        <x:f>IF($B104="","",IF($R104="可發布","回到醫師模式規則輸入，將能力要求集標記為已完整",IF(OR($R104="停用",$R104="退回補件"),"依狀態處理",IF(ISNUMBER(SEARCH("來源",$R104)),"補齊來源文件與定位",IF(ISNUMBER(SEARCH("技能",$R104)),"先完成技能名稱對照並發布技能主檔",IF(ISNUMBER(SEARCH("模式",$R104)),"先建立相符的醫師模式規則","補齊欄位並完成主管核定"))))))</x:f>
      </x:c>
    </x:row>
    <x:row r="105">
      <x:c r="A105" s="577"/>
      <x:c r="B105" s="577"/>
      <x:c r="C105" s="577"/>
      <x:c r="D105" s="577"/>
      <x:c r="E105" s="577"/>
      <x:c r="F105" s="577"/>
      <x:c r="G105" s="577"/>
      <x:c r="H105" s="577"/>
      <x:c r="I105" s="577"/>
      <x:c r="J105" s="577"/>
      <x:c r="K105" s="577"/>
      <x:c r="L105" s="578"/>
      <x:c r="M105" s="577"/>
      <x:c r="N105" s="577"/>
      <x:c r="O105" s="577"/>
      <x:c r="P105" s="577"/>
      <x:c r="Q105" s="577"/>
      <x:c r="R105" s="579" t="str">
        <x:f>IF($B105="","",IF($M105="停用","停用",IF($M105="退回補件","退回補件",IF(COUNTIFS($A$7:$A$306,$A105)&gt;1,"要求編號重複",IF(COUNTIFS('醫師模式規則輸入'!$D$7:$D$156,$B105,'醫師模式規則輸入'!$B$7:$B$156,$C105)&lt;&gt;1,"模式或醫師未建立",IF(COUNTIFS('技能主檔_V1'!$A$7:$A$200,$D105,'技能主檔_V1'!$J$7:$J$200,"啟用")&lt;&gt;1,"技能未在主檔啟用",IF(OR($A105="",$E105="",$F105="",$G105="",$H105="",$I105="",$J105="",$K105="",$L105="",$N105=""),IF($M105="已核定","已核定但資料未完整","待補欄位或核定"),IF(OR($O105="",$P105=""),IF($M105="已核定","已核定但缺來源依據","待補來源依據"),IF($M105="已核定","可發布","待主管核定")))))))))</x:f>
      </x:c>
      <x:c r="S105" s="579" t="str">
        <x:f>IF($B105="","",IF($R105="可發布","回到醫師模式規則輸入，將能力要求集標記為已完整",IF(OR($R105="停用",$R105="退回補件"),"依狀態處理",IF(ISNUMBER(SEARCH("來源",$R105)),"補齊來源文件與定位",IF(ISNUMBER(SEARCH("技能",$R105)),"先完成技能名稱對照並發布技能主檔",IF(ISNUMBER(SEARCH("模式",$R105)),"先建立相符的醫師模式規則","補齊欄位並完成主管核定"))))))</x:f>
      </x:c>
    </x:row>
    <x:row r="106">
      <x:c r="A106" s="577"/>
      <x:c r="B106" s="577"/>
      <x:c r="C106" s="577"/>
      <x:c r="D106" s="577"/>
      <x:c r="E106" s="577"/>
      <x:c r="F106" s="577"/>
      <x:c r="G106" s="577"/>
      <x:c r="H106" s="577"/>
      <x:c r="I106" s="577"/>
      <x:c r="J106" s="577"/>
      <x:c r="K106" s="577"/>
      <x:c r="L106" s="578"/>
      <x:c r="M106" s="577"/>
      <x:c r="N106" s="577"/>
      <x:c r="O106" s="577"/>
      <x:c r="P106" s="577"/>
      <x:c r="Q106" s="577"/>
      <x:c r="R106" s="579" t="str">
        <x:f>IF($B106="","",IF($M106="停用","停用",IF($M106="退回補件","退回補件",IF(COUNTIFS($A$7:$A$306,$A106)&gt;1,"要求編號重複",IF(COUNTIFS('醫師模式規則輸入'!$D$7:$D$156,$B106,'醫師模式規則輸入'!$B$7:$B$156,$C106)&lt;&gt;1,"模式或醫師未建立",IF(COUNTIFS('技能主檔_V1'!$A$7:$A$200,$D106,'技能主檔_V1'!$J$7:$J$200,"啟用")&lt;&gt;1,"技能未在主檔啟用",IF(OR($A106="",$E106="",$F106="",$G106="",$H106="",$I106="",$J106="",$K106="",$L106="",$N106=""),IF($M106="已核定","已核定但資料未完整","待補欄位或核定"),IF(OR($O106="",$P106=""),IF($M106="已核定","已核定但缺來源依據","待補來源依據"),IF($M106="已核定","可發布","待主管核定")))))))))</x:f>
      </x:c>
      <x:c r="S106" s="579" t="str">
        <x:f>IF($B106="","",IF($R106="可發布","回到醫師模式規則輸入，將能力要求集標記為已完整",IF(OR($R106="停用",$R106="退回補件"),"依狀態處理",IF(ISNUMBER(SEARCH("來源",$R106)),"補齊來源文件與定位",IF(ISNUMBER(SEARCH("技能",$R106)),"先完成技能名稱對照並發布技能主檔",IF(ISNUMBER(SEARCH("模式",$R106)),"先建立相符的醫師模式規則","補齊欄位並完成主管核定"))))))</x:f>
      </x:c>
    </x:row>
    <x:row r="107">
      <x:c r="A107" s="577"/>
      <x:c r="B107" s="577"/>
      <x:c r="C107" s="577"/>
      <x:c r="D107" s="577"/>
      <x:c r="E107" s="577"/>
      <x:c r="F107" s="577"/>
      <x:c r="G107" s="577"/>
      <x:c r="H107" s="577"/>
      <x:c r="I107" s="577"/>
      <x:c r="J107" s="577"/>
      <x:c r="K107" s="577"/>
      <x:c r="L107" s="578"/>
      <x:c r="M107" s="577"/>
      <x:c r="N107" s="577"/>
      <x:c r="O107" s="577"/>
      <x:c r="P107" s="577"/>
      <x:c r="Q107" s="577"/>
      <x:c r="R107" s="579" t="str">
        <x:f>IF($B107="","",IF($M107="停用","停用",IF($M107="退回補件","退回補件",IF(COUNTIFS($A$7:$A$306,$A107)&gt;1,"要求編號重複",IF(COUNTIFS('醫師模式規則輸入'!$D$7:$D$156,$B107,'醫師模式規則輸入'!$B$7:$B$156,$C107)&lt;&gt;1,"模式或醫師未建立",IF(COUNTIFS('技能主檔_V1'!$A$7:$A$200,$D107,'技能主檔_V1'!$J$7:$J$200,"啟用")&lt;&gt;1,"技能未在主檔啟用",IF(OR($A107="",$E107="",$F107="",$G107="",$H107="",$I107="",$J107="",$K107="",$L107="",$N107=""),IF($M107="已核定","已核定但資料未完整","待補欄位或核定"),IF(OR($O107="",$P107=""),IF($M107="已核定","已核定但缺來源依據","待補來源依據"),IF($M107="已核定","可發布","待主管核定")))))))))</x:f>
      </x:c>
      <x:c r="S107" s="579" t="str">
        <x:f>IF($B107="","",IF($R107="可發布","回到醫師模式規則輸入，將能力要求集標記為已完整",IF(OR($R107="停用",$R107="退回補件"),"依狀態處理",IF(ISNUMBER(SEARCH("來源",$R107)),"補齊來源文件與定位",IF(ISNUMBER(SEARCH("技能",$R107)),"先完成技能名稱對照並發布技能主檔",IF(ISNUMBER(SEARCH("模式",$R107)),"先建立相符的醫師模式規則","補齊欄位並完成主管核定"))))))</x:f>
      </x:c>
    </x:row>
    <x:row r="108">
      <x:c r="A108" s="577"/>
      <x:c r="B108" s="577"/>
      <x:c r="C108" s="577"/>
      <x:c r="D108" s="577"/>
      <x:c r="E108" s="577"/>
      <x:c r="F108" s="577"/>
      <x:c r="G108" s="577"/>
      <x:c r="H108" s="577"/>
      <x:c r="I108" s="577"/>
      <x:c r="J108" s="577"/>
      <x:c r="K108" s="577"/>
      <x:c r="L108" s="578"/>
      <x:c r="M108" s="577"/>
      <x:c r="N108" s="577"/>
      <x:c r="O108" s="577"/>
      <x:c r="P108" s="577"/>
      <x:c r="Q108" s="577"/>
      <x:c r="R108" s="579" t="str">
        <x:f>IF($B108="","",IF($M108="停用","停用",IF($M108="退回補件","退回補件",IF(COUNTIFS($A$7:$A$306,$A108)&gt;1,"要求編號重複",IF(COUNTIFS('醫師模式規則輸入'!$D$7:$D$156,$B108,'醫師模式規則輸入'!$B$7:$B$156,$C108)&lt;&gt;1,"模式或醫師未建立",IF(COUNTIFS('技能主檔_V1'!$A$7:$A$200,$D108,'技能主檔_V1'!$J$7:$J$200,"啟用")&lt;&gt;1,"技能未在主檔啟用",IF(OR($A108="",$E108="",$F108="",$G108="",$H108="",$I108="",$J108="",$K108="",$L108="",$N108=""),IF($M108="已核定","已核定但資料未完整","待補欄位或核定"),IF(OR($O108="",$P108=""),IF($M108="已核定","已核定但缺來源依據","待補來源依據"),IF($M108="已核定","可發布","待主管核定")))))))))</x:f>
      </x:c>
      <x:c r="S108" s="579" t="str">
        <x:f>IF($B108="","",IF($R108="可發布","回到醫師模式規則輸入，將能力要求集標記為已完整",IF(OR($R108="停用",$R108="退回補件"),"依狀態處理",IF(ISNUMBER(SEARCH("來源",$R108)),"補齊來源文件與定位",IF(ISNUMBER(SEARCH("技能",$R108)),"先完成技能名稱對照並發布技能主檔",IF(ISNUMBER(SEARCH("模式",$R108)),"先建立相符的醫師模式規則","補齊欄位並完成主管核定"))))))</x:f>
      </x:c>
    </x:row>
    <x:row r="109">
      <x:c r="A109" s="577"/>
      <x:c r="B109" s="577"/>
      <x:c r="C109" s="577"/>
      <x:c r="D109" s="577"/>
      <x:c r="E109" s="577"/>
      <x:c r="F109" s="577"/>
      <x:c r="G109" s="577"/>
      <x:c r="H109" s="577"/>
      <x:c r="I109" s="577"/>
      <x:c r="J109" s="577"/>
      <x:c r="K109" s="577"/>
      <x:c r="L109" s="578"/>
      <x:c r="M109" s="577"/>
      <x:c r="N109" s="577"/>
      <x:c r="O109" s="577"/>
      <x:c r="P109" s="577"/>
      <x:c r="Q109" s="577"/>
      <x:c r="R109" s="579" t="str">
        <x:f>IF($B109="","",IF($M109="停用","停用",IF($M109="退回補件","退回補件",IF(COUNTIFS($A$7:$A$306,$A109)&gt;1,"要求編號重複",IF(COUNTIFS('醫師模式規則輸入'!$D$7:$D$156,$B109,'醫師模式規則輸入'!$B$7:$B$156,$C109)&lt;&gt;1,"模式或醫師未建立",IF(COUNTIFS('技能主檔_V1'!$A$7:$A$200,$D109,'技能主檔_V1'!$J$7:$J$200,"啟用")&lt;&gt;1,"技能未在主檔啟用",IF(OR($A109="",$E109="",$F109="",$G109="",$H109="",$I109="",$J109="",$K109="",$L109="",$N109=""),IF($M109="已核定","已核定但資料未完整","待補欄位或核定"),IF(OR($O109="",$P109=""),IF($M109="已核定","已核定但缺來源依據","待補來源依據"),IF($M109="已核定","可發布","待主管核定")))))))))</x:f>
      </x:c>
      <x:c r="S109" s="579" t="str">
        <x:f>IF($B109="","",IF($R109="可發布","回到醫師模式規則輸入，將能力要求集標記為已完整",IF(OR($R109="停用",$R109="退回補件"),"依狀態處理",IF(ISNUMBER(SEARCH("來源",$R109)),"補齊來源文件與定位",IF(ISNUMBER(SEARCH("技能",$R109)),"先完成技能名稱對照並發布技能主檔",IF(ISNUMBER(SEARCH("模式",$R109)),"先建立相符的醫師模式規則","補齊欄位並完成主管核定"))))))</x:f>
      </x:c>
    </x:row>
    <x:row r="110">
      <x:c r="A110" s="577"/>
      <x:c r="B110" s="577"/>
      <x:c r="C110" s="577"/>
      <x:c r="D110" s="577"/>
      <x:c r="E110" s="577"/>
      <x:c r="F110" s="577"/>
      <x:c r="G110" s="577"/>
      <x:c r="H110" s="577"/>
      <x:c r="I110" s="577"/>
      <x:c r="J110" s="577"/>
      <x:c r="K110" s="577"/>
      <x:c r="L110" s="578"/>
      <x:c r="M110" s="577"/>
      <x:c r="N110" s="577"/>
      <x:c r="O110" s="577"/>
      <x:c r="P110" s="577"/>
      <x:c r="Q110" s="577"/>
      <x:c r="R110" s="579" t="str">
        <x:f>IF($B110="","",IF($M110="停用","停用",IF($M110="退回補件","退回補件",IF(COUNTIFS($A$7:$A$306,$A110)&gt;1,"要求編號重複",IF(COUNTIFS('醫師模式規則輸入'!$D$7:$D$156,$B110,'醫師模式規則輸入'!$B$7:$B$156,$C110)&lt;&gt;1,"模式或醫師未建立",IF(COUNTIFS('技能主檔_V1'!$A$7:$A$200,$D110,'技能主檔_V1'!$J$7:$J$200,"啟用")&lt;&gt;1,"技能未在主檔啟用",IF(OR($A110="",$E110="",$F110="",$G110="",$H110="",$I110="",$J110="",$K110="",$L110="",$N110=""),IF($M110="已核定","已核定但資料未完整","待補欄位或核定"),IF(OR($O110="",$P110=""),IF($M110="已核定","已核定但缺來源依據","待補來源依據"),IF($M110="已核定","可發布","待主管核定")))))))))</x:f>
      </x:c>
      <x:c r="S110" s="579" t="str">
        <x:f>IF($B110="","",IF($R110="可發布","回到醫師模式規則輸入，將能力要求集標記為已完整",IF(OR($R110="停用",$R110="退回補件"),"依狀態處理",IF(ISNUMBER(SEARCH("來源",$R110)),"補齊來源文件與定位",IF(ISNUMBER(SEARCH("技能",$R110)),"先完成技能名稱對照並發布技能主檔",IF(ISNUMBER(SEARCH("模式",$R110)),"先建立相符的醫師模式規則","補齊欄位並完成主管核定"))))))</x:f>
      </x:c>
    </x:row>
    <x:row r="111">
      <x:c r="A111" s="577"/>
      <x:c r="B111" s="577"/>
      <x:c r="C111" s="577"/>
      <x:c r="D111" s="577"/>
      <x:c r="E111" s="577"/>
      <x:c r="F111" s="577"/>
      <x:c r="G111" s="577"/>
      <x:c r="H111" s="577"/>
      <x:c r="I111" s="577"/>
      <x:c r="J111" s="577"/>
      <x:c r="K111" s="577"/>
      <x:c r="L111" s="578"/>
      <x:c r="M111" s="577"/>
      <x:c r="N111" s="577"/>
      <x:c r="O111" s="577"/>
      <x:c r="P111" s="577"/>
      <x:c r="Q111" s="577"/>
      <x:c r="R111" s="579" t="str">
        <x:f>IF($B111="","",IF($M111="停用","停用",IF($M111="退回補件","退回補件",IF(COUNTIFS($A$7:$A$306,$A111)&gt;1,"要求編號重複",IF(COUNTIFS('醫師模式規則輸入'!$D$7:$D$156,$B111,'醫師模式規則輸入'!$B$7:$B$156,$C111)&lt;&gt;1,"模式或醫師未建立",IF(COUNTIFS('技能主檔_V1'!$A$7:$A$200,$D111,'技能主檔_V1'!$J$7:$J$200,"啟用")&lt;&gt;1,"技能未在主檔啟用",IF(OR($A111="",$E111="",$F111="",$G111="",$H111="",$I111="",$J111="",$K111="",$L111="",$N111=""),IF($M111="已核定","已核定但資料未完整","待補欄位或核定"),IF(OR($O111="",$P111=""),IF($M111="已核定","已核定但缺來源依據","待補來源依據"),IF($M111="已核定","可發布","待主管核定")))))))))</x:f>
      </x:c>
      <x:c r="S111" s="579" t="str">
        <x:f>IF($B111="","",IF($R111="可發布","回到醫師模式規則輸入，將能力要求集標記為已完整",IF(OR($R111="停用",$R111="退回補件"),"依狀態處理",IF(ISNUMBER(SEARCH("來源",$R111)),"補齊來源文件與定位",IF(ISNUMBER(SEARCH("技能",$R111)),"先完成技能名稱對照並發布技能主檔",IF(ISNUMBER(SEARCH("模式",$R111)),"先建立相符的醫師模式規則","補齊欄位並完成主管核定"))))))</x:f>
      </x:c>
    </x:row>
    <x:row r="112">
      <x:c r="A112" s="577"/>
      <x:c r="B112" s="577"/>
      <x:c r="C112" s="577"/>
      <x:c r="D112" s="577"/>
      <x:c r="E112" s="577"/>
      <x:c r="F112" s="577"/>
      <x:c r="G112" s="577"/>
      <x:c r="H112" s="577"/>
      <x:c r="I112" s="577"/>
      <x:c r="J112" s="577"/>
      <x:c r="K112" s="577"/>
      <x:c r="L112" s="578"/>
      <x:c r="M112" s="577"/>
      <x:c r="N112" s="577"/>
      <x:c r="O112" s="577"/>
      <x:c r="P112" s="577"/>
      <x:c r="Q112" s="577"/>
      <x:c r="R112" s="579" t="str">
        <x:f>IF($B112="","",IF($M112="停用","停用",IF($M112="退回補件","退回補件",IF(COUNTIFS($A$7:$A$306,$A112)&gt;1,"要求編號重複",IF(COUNTIFS('醫師模式規則輸入'!$D$7:$D$156,$B112,'醫師模式規則輸入'!$B$7:$B$156,$C112)&lt;&gt;1,"模式或醫師未建立",IF(COUNTIFS('技能主檔_V1'!$A$7:$A$200,$D112,'技能主檔_V1'!$J$7:$J$200,"啟用")&lt;&gt;1,"技能未在主檔啟用",IF(OR($A112="",$E112="",$F112="",$G112="",$H112="",$I112="",$J112="",$K112="",$L112="",$N112=""),IF($M112="已核定","已核定但資料未完整","待補欄位或核定"),IF(OR($O112="",$P112=""),IF($M112="已核定","已核定但缺來源依據","待補來源依據"),IF($M112="已核定","可發布","待主管核定")))))))))</x:f>
      </x:c>
      <x:c r="S112" s="579" t="str">
        <x:f>IF($B112="","",IF($R112="可發布","回到醫師模式規則輸入，將能力要求集標記為已完整",IF(OR($R112="停用",$R112="退回補件"),"依狀態處理",IF(ISNUMBER(SEARCH("來源",$R112)),"補齊來源文件與定位",IF(ISNUMBER(SEARCH("技能",$R112)),"先完成技能名稱對照並發布技能主檔",IF(ISNUMBER(SEARCH("模式",$R112)),"先建立相符的醫師模式規則","補齊欄位並完成主管核定"))))))</x:f>
      </x:c>
    </x:row>
    <x:row r="113">
      <x:c r="A113" s="577"/>
      <x:c r="B113" s="577"/>
      <x:c r="C113" s="577"/>
      <x:c r="D113" s="577"/>
      <x:c r="E113" s="577"/>
      <x:c r="F113" s="577"/>
      <x:c r="G113" s="577"/>
      <x:c r="H113" s="577"/>
      <x:c r="I113" s="577"/>
      <x:c r="J113" s="577"/>
      <x:c r="K113" s="577"/>
      <x:c r="L113" s="578"/>
      <x:c r="M113" s="577"/>
      <x:c r="N113" s="577"/>
      <x:c r="O113" s="577"/>
      <x:c r="P113" s="577"/>
      <x:c r="Q113" s="577"/>
      <x:c r="R113" s="579" t="str">
        <x:f>IF($B113="","",IF($M113="停用","停用",IF($M113="退回補件","退回補件",IF(COUNTIFS($A$7:$A$306,$A113)&gt;1,"要求編號重複",IF(COUNTIFS('醫師模式規則輸入'!$D$7:$D$156,$B113,'醫師模式規則輸入'!$B$7:$B$156,$C113)&lt;&gt;1,"模式或醫師未建立",IF(COUNTIFS('技能主檔_V1'!$A$7:$A$200,$D113,'技能主檔_V1'!$J$7:$J$200,"啟用")&lt;&gt;1,"技能未在主檔啟用",IF(OR($A113="",$E113="",$F113="",$G113="",$H113="",$I113="",$J113="",$K113="",$L113="",$N113=""),IF($M113="已核定","已核定但資料未完整","待補欄位或核定"),IF(OR($O113="",$P113=""),IF($M113="已核定","已核定但缺來源依據","待補來源依據"),IF($M113="已核定","可發布","待主管核定")))))))))</x:f>
      </x:c>
      <x:c r="S113" s="579" t="str">
        <x:f>IF($B113="","",IF($R113="可發布","回到醫師模式規則輸入，將能力要求集標記為已完整",IF(OR($R113="停用",$R113="退回補件"),"依狀態處理",IF(ISNUMBER(SEARCH("來源",$R113)),"補齊來源文件與定位",IF(ISNUMBER(SEARCH("技能",$R113)),"先完成技能名稱對照並發布技能主檔",IF(ISNUMBER(SEARCH("模式",$R113)),"先建立相符的醫師模式規則","補齊欄位並完成主管核定"))))))</x:f>
      </x:c>
    </x:row>
    <x:row r="114">
      <x:c r="A114" s="577"/>
      <x:c r="B114" s="577"/>
      <x:c r="C114" s="577"/>
      <x:c r="D114" s="577"/>
      <x:c r="E114" s="577"/>
      <x:c r="F114" s="577"/>
      <x:c r="G114" s="577"/>
      <x:c r="H114" s="577"/>
      <x:c r="I114" s="577"/>
      <x:c r="J114" s="577"/>
      <x:c r="K114" s="577"/>
      <x:c r="L114" s="578"/>
      <x:c r="M114" s="577"/>
      <x:c r="N114" s="577"/>
      <x:c r="O114" s="577"/>
      <x:c r="P114" s="577"/>
      <x:c r="Q114" s="577"/>
      <x:c r="R114" s="579" t="str">
        <x:f>IF($B114="","",IF($M114="停用","停用",IF($M114="退回補件","退回補件",IF(COUNTIFS($A$7:$A$306,$A114)&gt;1,"要求編號重複",IF(COUNTIFS('醫師模式規則輸入'!$D$7:$D$156,$B114,'醫師模式規則輸入'!$B$7:$B$156,$C114)&lt;&gt;1,"模式或醫師未建立",IF(COUNTIFS('技能主檔_V1'!$A$7:$A$200,$D114,'技能主檔_V1'!$J$7:$J$200,"啟用")&lt;&gt;1,"技能未在主檔啟用",IF(OR($A114="",$E114="",$F114="",$G114="",$H114="",$I114="",$J114="",$K114="",$L114="",$N114=""),IF($M114="已核定","已核定但資料未完整","待補欄位或核定"),IF(OR($O114="",$P114=""),IF($M114="已核定","已核定但缺來源依據","待補來源依據"),IF($M114="已核定","可發布","待主管核定")))))))))</x:f>
      </x:c>
      <x:c r="S114" s="579" t="str">
        <x:f>IF($B114="","",IF($R114="可發布","回到醫師模式規則輸入，將能力要求集標記為已完整",IF(OR($R114="停用",$R114="退回補件"),"依狀態處理",IF(ISNUMBER(SEARCH("來源",$R114)),"補齊來源文件與定位",IF(ISNUMBER(SEARCH("技能",$R114)),"先完成技能名稱對照並發布技能主檔",IF(ISNUMBER(SEARCH("模式",$R114)),"先建立相符的醫師模式規則","補齊欄位並完成主管核定"))))))</x:f>
      </x:c>
    </x:row>
    <x:row r="115">
      <x:c r="A115" s="577"/>
      <x:c r="B115" s="577"/>
      <x:c r="C115" s="577"/>
      <x:c r="D115" s="577"/>
      <x:c r="E115" s="577"/>
      <x:c r="F115" s="577"/>
      <x:c r="G115" s="577"/>
      <x:c r="H115" s="577"/>
      <x:c r="I115" s="577"/>
      <x:c r="J115" s="577"/>
      <x:c r="K115" s="577"/>
      <x:c r="L115" s="578"/>
      <x:c r="M115" s="577"/>
      <x:c r="N115" s="577"/>
      <x:c r="O115" s="577"/>
      <x:c r="P115" s="577"/>
      <x:c r="Q115" s="577"/>
      <x:c r="R115" s="579" t="str">
        <x:f>IF($B115="","",IF($M115="停用","停用",IF($M115="退回補件","退回補件",IF(COUNTIFS($A$7:$A$306,$A115)&gt;1,"要求編號重複",IF(COUNTIFS('醫師模式規則輸入'!$D$7:$D$156,$B115,'醫師模式規則輸入'!$B$7:$B$156,$C115)&lt;&gt;1,"模式或醫師未建立",IF(COUNTIFS('技能主檔_V1'!$A$7:$A$200,$D115,'技能主檔_V1'!$J$7:$J$200,"啟用")&lt;&gt;1,"技能未在主檔啟用",IF(OR($A115="",$E115="",$F115="",$G115="",$H115="",$I115="",$J115="",$K115="",$L115="",$N115=""),IF($M115="已核定","已核定但資料未完整","待補欄位或核定"),IF(OR($O115="",$P115=""),IF($M115="已核定","已核定但缺來源依據","待補來源依據"),IF($M115="已核定","可發布","待主管核定")))))))))</x:f>
      </x:c>
      <x:c r="S115" s="579" t="str">
        <x:f>IF($B115="","",IF($R115="可發布","回到醫師模式規則輸入，將能力要求集標記為已完整",IF(OR($R115="停用",$R115="退回補件"),"依狀態處理",IF(ISNUMBER(SEARCH("來源",$R115)),"補齊來源文件與定位",IF(ISNUMBER(SEARCH("技能",$R115)),"先完成技能名稱對照並發布技能主檔",IF(ISNUMBER(SEARCH("模式",$R115)),"先建立相符的醫師模式規則","補齊欄位並完成主管核定"))))))</x:f>
      </x:c>
    </x:row>
    <x:row r="116">
      <x:c r="A116" s="577"/>
      <x:c r="B116" s="577"/>
      <x:c r="C116" s="577"/>
      <x:c r="D116" s="577"/>
      <x:c r="E116" s="577"/>
      <x:c r="F116" s="577"/>
      <x:c r="G116" s="577"/>
      <x:c r="H116" s="577"/>
      <x:c r="I116" s="577"/>
      <x:c r="J116" s="577"/>
      <x:c r="K116" s="577"/>
      <x:c r="L116" s="578"/>
      <x:c r="M116" s="577"/>
      <x:c r="N116" s="577"/>
      <x:c r="O116" s="577"/>
      <x:c r="P116" s="577"/>
      <x:c r="Q116" s="577"/>
      <x:c r="R116" s="579" t="str">
        <x:f>IF($B116="","",IF($M116="停用","停用",IF($M116="退回補件","退回補件",IF(COUNTIFS($A$7:$A$306,$A116)&gt;1,"要求編號重複",IF(COUNTIFS('醫師模式規則輸入'!$D$7:$D$156,$B116,'醫師模式規則輸入'!$B$7:$B$156,$C116)&lt;&gt;1,"模式或醫師未建立",IF(COUNTIFS('技能主檔_V1'!$A$7:$A$200,$D116,'技能主檔_V1'!$J$7:$J$200,"啟用")&lt;&gt;1,"技能未在主檔啟用",IF(OR($A116="",$E116="",$F116="",$G116="",$H116="",$I116="",$J116="",$K116="",$L116="",$N116=""),IF($M116="已核定","已核定但資料未完整","待補欄位或核定"),IF(OR($O116="",$P116=""),IF($M116="已核定","已核定但缺來源依據","待補來源依據"),IF($M116="已核定","可發布","待主管核定")))))))))</x:f>
      </x:c>
      <x:c r="S116" s="579" t="str">
        <x:f>IF($B116="","",IF($R116="可發布","回到醫師模式規則輸入，將能力要求集標記為已完整",IF(OR($R116="停用",$R116="退回補件"),"依狀態處理",IF(ISNUMBER(SEARCH("來源",$R116)),"補齊來源文件與定位",IF(ISNUMBER(SEARCH("技能",$R116)),"先完成技能名稱對照並發布技能主檔",IF(ISNUMBER(SEARCH("模式",$R116)),"先建立相符的醫師模式規則","補齊欄位並完成主管核定"))))))</x:f>
      </x:c>
    </x:row>
    <x:row r="117">
      <x:c r="A117" s="577"/>
      <x:c r="B117" s="577"/>
      <x:c r="C117" s="577"/>
      <x:c r="D117" s="577"/>
      <x:c r="E117" s="577"/>
      <x:c r="F117" s="577"/>
      <x:c r="G117" s="577"/>
      <x:c r="H117" s="577"/>
      <x:c r="I117" s="577"/>
      <x:c r="J117" s="577"/>
      <x:c r="K117" s="577"/>
      <x:c r="L117" s="578"/>
      <x:c r="M117" s="577"/>
      <x:c r="N117" s="577"/>
      <x:c r="O117" s="577"/>
      <x:c r="P117" s="577"/>
      <x:c r="Q117" s="577"/>
      <x:c r="R117" s="579" t="str">
        <x:f>IF($B117="","",IF($M117="停用","停用",IF($M117="退回補件","退回補件",IF(COUNTIFS($A$7:$A$306,$A117)&gt;1,"要求編號重複",IF(COUNTIFS('醫師模式規則輸入'!$D$7:$D$156,$B117,'醫師模式規則輸入'!$B$7:$B$156,$C117)&lt;&gt;1,"模式或醫師未建立",IF(COUNTIFS('技能主檔_V1'!$A$7:$A$200,$D117,'技能主檔_V1'!$J$7:$J$200,"啟用")&lt;&gt;1,"技能未在主檔啟用",IF(OR($A117="",$E117="",$F117="",$G117="",$H117="",$I117="",$J117="",$K117="",$L117="",$N117=""),IF($M117="已核定","已核定但資料未完整","待補欄位或核定"),IF(OR($O117="",$P117=""),IF($M117="已核定","已核定但缺來源依據","待補來源依據"),IF($M117="已核定","可發布","待主管核定")))))))))</x:f>
      </x:c>
      <x:c r="S117" s="579" t="str">
        <x:f>IF($B117="","",IF($R117="可發布","回到醫師模式規則輸入，將能力要求集標記為已完整",IF(OR($R117="停用",$R117="退回補件"),"依狀態處理",IF(ISNUMBER(SEARCH("來源",$R117)),"補齊來源文件與定位",IF(ISNUMBER(SEARCH("技能",$R117)),"先完成技能名稱對照並發布技能主檔",IF(ISNUMBER(SEARCH("模式",$R117)),"先建立相符的醫師模式規則","補齊欄位並完成主管核定"))))))</x:f>
      </x:c>
    </x:row>
    <x:row r="118">
      <x:c r="A118" s="577"/>
      <x:c r="B118" s="577"/>
      <x:c r="C118" s="577"/>
      <x:c r="D118" s="577"/>
      <x:c r="E118" s="577"/>
      <x:c r="F118" s="577"/>
      <x:c r="G118" s="577"/>
      <x:c r="H118" s="577"/>
      <x:c r="I118" s="577"/>
      <x:c r="J118" s="577"/>
      <x:c r="K118" s="577"/>
      <x:c r="L118" s="578"/>
      <x:c r="M118" s="577"/>
      <x:c r="N118" s="577"/>
      <x:c r="O118" s="577"/>
      <x:c r="P118" s="577"/>
      <x:c r="Q118" s="577"/>
      <x:c r="R118" s="579" t="str">
        <x:f>IF($B118="","",IF($M118="停用","停用",IF($M118="退回補件","退回補件",IF(COUNTIFS($A$7:$A$306,$A118)&gt;1,"要求編號重複",IF(COUNTIFS('醫師模式規則輸入'!$D$7:$D$156,$B118,'醫師模式規則輸入'!$B$7:$B$156,$C118)&lt;&gt;1,"模式或醫師未建立",IF(COUNTIFS('技能主檔_V1'!$A$7:$A$200,$D118,'技能主檔_V1'!$J$7:$J$200,"啟用")&lt;&gt;1,"技能未在主檔啟用",IF(OR($A118="",$E118="",$F118="",$G118="",$H118="",$I118="",$J118="",$K118="",$L118="",$N118=""),IF($M118="已核定","已核定但資料未完整","待補欄位或核定"),IF(OR($O118="",$P118=""),IF($M118="已核定","已核定但缺來源依據","待補來源依據"),IF($M118="已核定","可發布","待主管核定")))))))))</x:f>
      </x:c>
      <x:c r="S118" s="579" t="str">
        <x:f>IF($B118="","",IF($R118="可發布","回到醫師模式規則輸入，將能力要求集標記為已完整",IF(OR($R118="停用",$R118="退回補件"),"依狀態處理",IF(ISNUMBER(SEARCH("來源",$R118)),"補齊來源文件與定位",IF(ISNUMBER(SEARCH("技能",$R118)),"先完成技能名稱對照並發布技能主檔",IF(ISNUMBER(SEARCH("模式",$R118)),"先建立相符的醫師模式規則","補齊欄位並完成主管核定"))))))</x:f>
      </x:c>
    </x:row>
    <x:row r="119">
      <x:c r="A119" s="577"/>
      <x:c r="B119" s="577"/>
      <x:c r="C119" s="577"/>
      <x:c r="D119" s="577"/>
      <x:c r="E119" s="577"/>
      <x:c r="F119" s="577"/>
      <x:c r="G119" s="577"/>
      <x:c r="H119" s="577"/>
      <x:c r="I119" s="577"/>
      <x:c r="J119" s="577"/>
      <x:c r="K119" s="577"/>
      <x:c r="L119" s="578"/>
      <x:c r="M119" s="577"/>
      <x:c r="N119" s="577"/>
      <x:c r="O119" s="577"/>
      <x:c r="P119" s="577"/>
      <x:c r="Q119" s="577"/>
      <x:c r="R119" s="579" t="str">
        <x:f>IF($B119="","",IF($M119="停用","停用",IF($M119="退回補件","退回補件",IF(COUNTIFS($A$7:$A$306,$A119)&gt;1,"要求編號重複",IF(COUNTIFS('醫師模式規則輸入'!$D$7:$D$156,$B119,'醫師模式規則輸入'!$B$7:$B$156,$C119)&lt;&gt;1,"模式或醫師未建立",IF(COUNTIFS('技能主檔_V1'!$A$7:$A$200,$D119,'技能主檔_V1'!$J$7:$J$200,"啟用")&lt;&gt;1,"技能未在主檔啟用",IF(OR($A119="",$E119="",$F119="",$G119="",$H119="",$I119="",$J119="",$K119="",$L119="",$N119=""),IF($M119="已核定","已核定但資料未完整","待補欄位或核定"),IF(OR($O119="",$P119=""),IF($M119="已核定","已核定但缺來源依據","待補來源依據"),IF($M119="已核定","可發布","待主管核定")))))))))</x:f>
      </x:c>
      <x:c r="S119" s="579" t="str">
        <x:f>IF($B119="","",IF($R119="可發布","回到醫師模式規則輸入，將能力要求集標記為已完整",IF(OR($R119="停用",$R119="退回補件"),"依狀態處理",IF(ISNUMBER(SEARCH("來源",$R119)),"補齊來源文件與定位",IF(ISNUMBER(SEARCH("技能",$R119)),"先完成技能名稱對照並發布技能主檔",IF(ISNUMBER(SEARCH("模式",$R119)),"先建立相符的醫師模式規則","補齊欄位並完成主管核定"))))))</x:f>
      </x:c>
    </x:row>
    <x:row r="120">
      <x:c r="A120" s="577"/>
      <x:c r="B120" s="577"/>
      <x:c r="C120" s="577"/>
      <x:c r="D120" s="577"/>
      <x:c r="E120" s="577"/>
      <x:c r="F120" s="577"/>
      <x:c r="G120" s="577"/>
      <x:c r="H120" s="577"/>
      <x:c r="I120" s="577"/>
      <x:c r="J120" s="577"/>
      <x:c r="K120" s="577"/>
      <x:c r="L120" s="578"/>
      <x:c r="M120" s="577"/>
      <x:c r="N120" s="577"/>
      <x:c r="O120" s="577"/>
      <x:c r="P120" s="577"/>
      <x:c r="Q120" s="577"/>
      <x:c r="R120" s="579" t="str">
        <x:f>IF($B120="","",IF($M120="停用","停用",IF($M120="退回補件","退回補件",IF(COUNTIFS($A$7:$A$306,$A120)&gt;1,"要求編號重複",IF(COUNTIFS('醫師模式規則輸入'!$D$7:$D$156,$B120,'醫師模式規則輸入'!$B$7:$B$156,$C120)&lt;&gt;1,"模式或醫師未建立",IF(COUNTIFS('技能主檔_V1'!$A$7:$A$200,$D120,'技能主檔_V1'!$J$7:$J$200,"啟用")&lt;&gt;1,"技能未在主檔啟用",IF(OR($A120="",$E120="",$F120="",$G120="",$H120="",$I120="",$J120="",$K120="",$L120="",$N120=""),IF($M120="已核定","已核定但資料未完整","待補欄位或核定"),IF(OR($O120="",$P120=""),IF($M120="已核定","已核定但缺來源依據","待補來源依據"),IF($M120="已核定","可發布","待主管核定")))))))))</x:f>
      </x:c>
      <x:c r="S120" s="579" t="str">
        <x:f>IF($B120="","",IF($R120="可發布","回到醫師模式規則輸入，將能力要求集標記為已完整",IF(OR($R120="停用",$R120="退回補件"),"依狀態處理",IF(ISNUMBER(SEARCH("來源",$R120)),"補齊來源文件與定位",IF(ISNUMBER(SEARCH("技能",$R120)),"先完成技能名稱對照並發布技能主檔",IF(ISNUMBER(SEARCH("模式",$R120)),"先建立相符的醫師模式規則","補齊欄位並完成主管核定"))))))</x:f>
      </x:c>
    </x:row>
    <x:row r="121">
      <x:c r="A121" s="577"/>
      <x:c r="B121" s="577"/>
      <x:c r="C121" s="577"/>
      <x:c r="D121" s="577"/>
      <x:c r="E121" s="577"/>
      <x:c r="F121" s="577"/>
      <x:c r="G121" s="577"/>
      <x:c r="H121" s="577"/>
      <x:c r="I121" s="577"/>
      <x:c r="J121" s="577"/>
      <x:c r="K121" s="577"/>
      <x:c r="L121" s="578"/>
      <x:c r="M121" s="577"/>
      <x:c r="N121" s="577"/>
      <x:c r="O121" s="577"/>
      <x:c r="P121" s="577"/>
      <x:c r="Q121" s="577"/>
      <x:c r="R121" s="579" t="str">
        <x:f>IF($B121="","",IF($M121="停用","停用",IF($M121="退回補件","退回補件",IF(COUNTIFS($A$7:$A$306,$A121)&gt;1,"要求編號重複",IF(COUNTIFS('醫師模式規則輸入'!$D$7:$D$156,$B121,'醫師模式規則輸入'!$B$7:$B$156,$C121)&lt;&gt;1,"模式或醫師未建立",IF(COUNTIFS('技能主檔_V1'!$A$7:$A$200,$D121,'技能主檔_V1'!$J$7:$J$200,"啟用")&lt;&gt;1,"技能未在主檔啟用",IF(OR($A121="",$E121="",$F121="",$G121="",$H121="",$I121="",$J121="",$K121="",$L121="",$N121=""),IF($M121="已核定","已核定但資料未完整","待補欄位或核定"),IF(OR($O121="",$P121=""),IF($M121="已核定","已核定但缺來源依據","待補來源依據"),IF($M121="已核定","可發布","待主管核定")))))))))</x:f>
      </x:c>
      <x:c r="S121" s="579" t="str">
        <x:f>IF($B121="","",IF($R121="可發布","回到醫師模式規則輸入，將能力要求集標記為已完整",IF(OR($R121="停用",$R121="退回補件"),"依狀態處理",IF(ISNUMBER(SEARCH("來源",$R121)),"補齊來源文件與定位",IF(ISNUMBER(SEARCH("技能",$R121)),"先完成技能名稱對照並發布技能主檔",IF(ISNUMBER(SEARCH("模式",$R121)),"先建立相符的醫師模式規則","補齊欄位並完成主管核定"))))))</x:f>
      </x:c>
    </x:row>
    <x:row r="122">
      <x:c r="A122" s="577"/>
      <x:c r="B122" s="577"/>
      <x:c r="C122" s="577"/>
      <x:c r="D122" s="577"/>
      <x:c r="E122" s="577"/>
      <x:c r="F122" s="577"/>
      <x:c r="G122" s="577"/>
      <x:c r="H122" s="577"/>
      <x:c r="I122" s="577"/>
      <x:c r="J122" s="577"/>
      <x:c r="K122" s="577"/>
      <x:c r="L122" s="578"/>
      <x:c r="M122" s="577"/>
      <x:c r="N122" s="577"/>
      <x:c r="O122" s="577"/>
      <x:c r="P122" s="577"/>
      <x:c r="Q122" s="577"/>
      <x:c r="R122" s="579" t="str">
        <x:f>IF($B122="","",IF($M122="停用","停用",IF($M122="退回補件","退回補件",IF(COUNTIFS($A$7:$A$306,$A122)&gt;1,"要求編號重複",IF(COUNTIFS('醫師模式規則輸入'!$D$7:$D$156,$B122,'醫師模式規則輸入'!$B$7:$B$156,$C122)&lt;&gt;1,"模式或醫師未建立",IF(COUNTIFS('技能主檔_V1'!$A$7:$A$200,$D122,'技能主檔_V1'!$J$7:$J$200,"啟用")&lt;&gt;1,"技能未在主檔啟用",IF(OR($A122="",$E122="",$F122="",$G122="",$H122="",$I122="",$J122="",$K122="",$L122="",$N122=""),IF($M122="已核定","已核定但資料未完整","待補欄位或核定"),IF(OR($O122="",$P122=""),IF($M122="已核定","已核定但缺來源依據","待補來源依據"),IF($M122="已核定","可發布","待主管核定")))))))))</x:f>
      </x:c>
      <x:c r="S122" s="579" t="str">
        <x:f>IF($B122="","",IF($R122="可發布","回到醫師模式規則輸入，將能力要求集標記為已完整",IF(OR($R122="停用",$R122="退回補件"),"依狀態處理",IF(ISNUMBER(SEARCH("來源",$R122)),"補齊來源文件與定位",IF(ISNUMBER(SEARCH("技能",$R122)),"先完成技能名稱對照並發布技能主檔",IF(ISNUMBER(SEARCH("模式",$R122)),"先建立相符的醫師模式規則","補齊欄位並完成主管核定"))))))</x:f>
      </x:c>
    </x:row>
    <x:row r="123">
      <x:c r="A123" s="577"/>
      <x:c r="B123" s="577"/>
      <x:c r="C123" s="577"/>
      <x:c r="D123" s="577"/>
      <x:c r="E123" s="577"/>
      <x:c r="F123" s="577"/>
      <x:c r="G123" s="577"/>
      <x:c r="H123" s="577"/>
      <x:c r="I123" s="577"/>
      <x:c r="J123" s="577"/>
      <x:c r="K123" s="577"/>
      <x:c r="L123" s="578"/>
      <x:c r="M123" s="577"/>
      <x:c r="N123" s="577"/>
      <x:c r="O123" s="577"/>
      <x:c r="P123" s="577"/>
      <x:c r="Q123" s="577"/>
      <x:c r="R123" s="579" t="str">
        <x:f>IF($B123="","",IF($M123="停用","停用",IF($M123="退回補件","退回補件",IF(COUNTIFS($A$7:$A$306,$A123)&gt;1,"要求編號重複",IF(COUNTIFS('醫師模式規則輸入'!$D$7:$D$156,$B123,'醫師模式規則輸入'!$B$7:$B$156,$C123)&lt;&gt;1,"模式或醫師未建立",IF(COUNTIFS('技能主檔_V1'!$A$7:$A$200,$D123,'技能主檔_V1'!$J$7:$J$200,"啟用")&lt;&gt;1,"技能未在主檔啟用",IF(OR($A123="",$E123="",$F123="",$G123="",$H123="",$I123="",$J123="",$K123="",$L123="",$N123=""),IF($M123="已核定","已核定但資料未完整","待補欄位或核定"),IF(OR($O123="",$P123=""),IF($M123="已核定","已核定但缺來源依據","待補來源依據"),IF($M123="已核定","可發布","待主管核定")))))))))</x:f>
      </x:c>
      <x:c r="S123" s="579" t="str">
        <x:f>IF($B123="","",IF($R123="可發布","回到醫師模式規則輸入，將能力要求集標記為已完整",IF(OR($R123="停用",$R123="退回補件"),"依狀態處理",IF(ISNUMBER(SEARCH("來源",$R123)),"補齊來源文件與定位",IF(ISNUMBER(SEARCH("技能",$R123)),"先完成技能名稱對照並發布技能主檔",IF(ISNUMBER(SEARCH("模式",$R123)),"先建立相符的醫師模式規則","補齊欄位並完成主管核定"))))))</x:f>
      </x:c>
    </x:row>
    <x:row r="124">
      <x:c r="A124" s="577"/>
      <x:c r="B124" s="577"/>
      <x:c r="C124" s="577"/>
      <x:c r="D124" s="577"/>
      <x:c r="E124" s="577"/>
      <x:c r="F124" s="577"/>
      <x:c r="G124" s="577"/>
      <x:c r="H124" s="577"/>
      <x:c r="I124" s="577"/>
      <x:c r="J124" s="577"/>
      <x:c r="K124" s="577"/>
      <x:c r="L124" s="578"/>
      <x:c r="M124" s="577"/>
      <x:c r="N124" s="577"/>
      <x:c r="O124" s="577"/>
      <x:c r="P124" s="577"/>
      <x:c r="Q124" s="577"/>
      <x:c r="R124" s="579" t="str">
        <x:f>IF($B124="","",IF($M124="停用","停用",IF($M124="退回補件","退回補件",IF(COUNTIFS($A$7:$A$306,$A124)&gt;1,"要求編號重複",IF(COUNTIFS('醫師模式規則輸入'!$D$7:$D$156,$B124,'醫師模式規則輸入'!$B$7:$B$156,$C124)&lt;&gt;1,"模式或醫師未建立",IF(COUNTIFS('技能主檔_V1'!$A$7:$A$200,$D124,'技能主檔_V1'!$J$7:$J$200,"啟用")&lt;&gt;1,"技能未在主檔啟用",IF(OR($A124="",$E124="",$F124="",$G124="",$H124="",$I124="",$J124="",$K124="",$L124="",$N124=""),IF($M124="已核定","已核定但資料未完整","待補欄位或核定"),IF(OR($O124="",$P124=""),IF($M124="已核定","已核定但缺來源依據","待補來源依據"),IF($M124="已核定","可發布","待主管核定")))))))))</x:f>
      </x:c>
      <x:c r="S124" s="579" t="str">
        <x:f>IF($B124="","",IF($R124="可發布","回到醫師模式規則輸入，將能力要求集標記為已完整",IF(OR($R124="停用",$R124="退回補件"),"依狀態處理",IF(ISNUMBER(SEARCH("來源",$R124)),"補齊來源文件與定位",IF(ISNUMBER(SEARCH("技能",$R124)),"先完成技能名稱對照並發布技能主檔",IF(ISNUMBER(SEARCH("模式",$R124)),"先建立相符的醫師模式規則","補齊欄位並完成主管核定"))))))</x:f>
      </x:c>
    </x:row>
    <x:row r="125">
      <x:c r="A125" s="577"/>
      <x:c r="B125" s="577"/>
      <x:c r="C125" s="577"/>
      <x:c r="D125" s="577"/>
      <x:c r="E125" s="577"/>
      <x:c r="F125" s="577"/>
      <x:c r="G125" s="577"/>
      <x:c r="H125" s="577"/>
      <x:c r="I125" s="577"/>
      <x:c r="J125" s="577"/>
      <x:c r="K125" s="577"/>
      <x:c r="L125" s="578"/>
      <x:c r="M125" s="577"/>
      <x:c r="N125" s="577"/>
      <x:c r="O125" s="577"/>
      <x:c r="P125" s="577"/>
      <x:c r="Q125" s="577"/>
      <x:c r="R125" s="579" t="str">
        <x:f>IF($B125="","",IF($M125="停用","停用",IF($M125="退回補件","退回補件",IF(COUNTIFS($A$7:$A$306,$A125)&gt;1,"要求編號重複",IF(COUNTIFS('醫師模式規則輸入'!$D$7:$D$156,$B125,'醫師模式規則輸入'!$B$7:$B$156,$C125)&lt;&gt;1,"模式或醫師未建立",IF(COUNTIFS('技能主檔_V1'!$A$7:$A$200,$D125,'技能主檔_V1'!$J$7:$J$200,"啟用")&lt;&gt;1,"技能未在主檔啟用",IF(OR($A125="",$E125="",$F125="",$G125="",$H125="",$I125="",$J125="",$K125="",$L125="",$N125=""),IF($M125="已核定","已核定但資料未完整","待補欄位或核定"),IF(OR($O125="",$P125=""),IF($M125="已核定","已核定但缺來源依據","待補來源依據"),IF($M125="已核定","可發布","待主管核定")))))))))</x:f>
      </x:c>
      <x:c r="S125" s="579" t="str">
        <x:f>IF($B125="","",IF($R125="可發布","回到醫師模式規則輸入，將能力要求集標記為已完整",IF(OR($R125="停用",$R125="退回補件"),"依狀態處理",IF(ISNUMBER(SEARCH("來源",$R125)),"補齊來源文件與定位",IF(ISNUMBER(SEARCH("技能",$R125)),"先完成技能名稱對照並發布技能主檔",IF(ISNUMBER(SEARCH("模式",$R125)),"先建立相符的醫師模式規則","補齊欄位並完成主管核定"))))))</x:f>
      </x:c>
    </x:row>
    <x:row r="126">
      <x:c r="A126" s="577"/>
      <x:c r="B126" s="577"/>
      <x:c r="C126" s="577"/>
      <x:c r="D126" s="577"/>
      <x:c r="E126" s="577"/>
      <x:c r="F126" s="577"/>
      <x:c r="G126" s="577"/>
      <x:c r="H126" s="577"/>
      <x:c r="I126" s="577"/>
      <x:c r="J126" s="577"/>
      <x:c r="K126" s="577"/>
      <x:c r="L126" s="578"/>
      <x:c r="M126" s="577"/>
      <x:c r="N126" s="577"/>
      <x:c r="O126" s="577"/>
      <x:c r="P126" s="577"/>
      <x:c r="Q126" s="577"/>
      <x:c r="R126" s="579" t="str">
        <x:f>IF($B126="","",IF($M126="停用","停用",IF($M126="退回補件","退回補件",IF(COUNTIFS($A$7:$A$306,$A126)&gt;1,"要求編號重複",IF(COUNTIFS('醫師模式規則輸入'!$D$7:$D$156,$B126,'醫師模式規則輸入'!$B$7:$B$156,$C126)&lt;&gt;1,"模式或醫師未建立",IF(COUNTIFS('技能主檔_V1'!$A$7:$A$200,$D126,'技能主檔_V1'!$J$7:$J$200,"啟用")&lt;&gt;1,"技能未在主檔啟用",IF(OR($A126="",$E126="",$F126="",$G126="",$H126="",$I126="",$J126="",$K126="",$L126="",$N126=""),IF($M126="已核定","已核定但資料未完整","待補欄位或核定"),IF(OR($O126="",$P126=""),IF($M126="已核定","已核定但缺來源依據","待補來源依據"),IF($M126="已核定","可發布","待主管核定")))))))))</x:f>
      </x:c>
      <x:c r="S126" s="579" t="str">
        <x:f>IF($B126="","",IF($R126="可發布","回到醫師模式規則輸入，將能力要求集標記為已完整",IF(OR($R126="停用",$R126="退回補件"),"依狀態處理",IF(ISNUMBER(SEARCH("來源",$R126)),"補齊來源文件與定位",IF(ISNUMBER(SEARCH("技能",$R126)),"先完成技能名稱對照並發布技能主檔",IF(ISNUMBER(SEARCH("模式",$R126)),"先建立相符的醫師模式規則","補齊欄位並完成主管核定"))))))</x:f>
      </x:c>
    </x:row>
    <x:row r="127">
      <x:c r="A127" s="577"/>
      <x:c r="B127" s="577"/>
      <x:c r="C127" s="577"/>
      <x:c r="D127" s="577"/>
      <x:c r="E127" s="577"/>
      <x:c r="F127" s="577"/>
      <x:c r="G127" s="577"/>
      <x:c r="H127" s="577"/>
      <x:c r="I127" s="577"/>
      <x:c r="J127" s="577"/>
      <x:c r="K127" s="577"/>
      <x:c r="L127" s="578"/>
      <x:c r="M127" s="577"/>
      <x:c r="N127" s="577"/>
      <x:c r="O127" s="577"/>
      <x:c r="P127" s="577"/>
      <x:c r="Q127" s="577"/>
      <x:c r="R127" s="579" t="str">
        <x:f>IF($B127="","",IF($M127="停用","停用",IF($M127="退回補件","退回補件",IF(COUNTIFS($A$7:$A$306,$A127)&gt;1,"要求編號重複",IF(COUNTIFS('醫師模式規則輸入'!$D$7:$D$156,$B127,'醫師模式規則輸入'!$B$7:$B$156,$C127)&lt;&gt;1,"模式或醫師未建立",IF(COUNTIFS('技能主檔_V1'!$A$7:$A$200,$D127,'技能主檔_V1'!$J$7:$J$200,"啟用")&lt;&gt;1,"技能未在主檔啟用",IF(OR($A127="",$E127="",$F127="",$G127="",$H127="",$I127="",$J127="",$K127="",$L127="",$N127=""),IF($M127="已核定","已核定但資料未完整","待補欄位或核定"),IF(OR($O127="",$P127=""),IF($M127="已核定","已核定但缺來源依據","待補來源依據"),IF($M127="已核定","可發布","待主管核定")))))))))</x:f>
      </x:c>
      <x:c r="S127" s="579" t="str">
        <x:f>IF($B127="","",IF($R127="可發布","回到醫師模式規則輸入，將能力要求集標記為已完整",IF(OR($R127="停用",$R127="退回補件"),"依狀態處理",IF(ISNUMBER(SEARCH("來源",$R127)),"補齊來源文件與定位",IF(ISNUMBER(SEARCH("技能",$R127)),"先完成技能名稱對照並發布技能主檔",IF(ISNUMBER(SEARCH("模式",$R127)),"先建立相符的醫師模式規則","補齊欄位並完成主管核定"))))))</x:f>
      </x:c>
    </x:row>
    <x:row r="128">
      <x:c r="A128" s="577"/>
      <x:c r="B128" s="577"/>
      <x:c r="C128" s="577"/>
      <x:c r="D128" s="577"/>
      <x:c r="E128" s="577"/>
      <x:c r="F128" s="577"/>
      <x:c r="G128" s="577"/>
      <x:c r="H128" s="577"/>
      <x:c r="I128" s="577"/>
      <x:c r="J128" s="577"/>
      <x:c r="K128" s="577"/>
      <x:c r="L128" s="578"/>
      <x:c r="M128" s="577"/>
      <x:c r="N128" s="577"/>
      <x:c r="O128" s="577"/>
      <x:c r="P128" s="577"/>
      <x:c r="Q128" s="577"/>
      <x:c r="R128" s="579" t="str">
        <x:f>IF($B128="","",IF($M128="停用","停用",IF($M128="退回補件","退回補件",IF(COUNTIFS($A$7:$A$306,$A128)&gt;1,"要求編號重複",IF(COUNTIFS('醫師模式規則輸入'!$D$7:$D$156,$B128,'醫師模式規則輸入'!$B$7:$B$156,$C128)&lt;&gt;1,"模式或醫師未建立",IF(COUNTIFS('技能主檔_V1'!$A$7:$A$200,$D128,'技能主檔_V1'!$J$7:$J$200,"啟用")&lt;&gt;1,"技能未在主檔啟用",IF(OR($A128="",$E128="",$F128="",$G128="",$H128="",$I128="",$J128="",$K128="",$L128="",$N128=""),IF($M128="已核定","已核定但資料未完整","待補欄位或核定"),IF(OR($O128="",$P128=""),IF($M128="已核定","已核定但缺來源依據","待補來源依據"),IF($M128="已核定","可發布","待主管核定")))))))))</x:f>
      </x:c>
      <x:c r="S128" s="579" t="str">
        <x:f>IF($B128="","",IF($R128="可發布","回到醫師模式規則輸入，將能力要求集標記為已完整",IF(OR($R128="停用",$R128="退回補件"),"依狀態處理",IF(ISNUMBER(SEARCH("來源",$R128)),"補齊來源文件與定位",IF(ISNUMBER(SEARCH("技能",$R128)),"先完成技能名稱對照並發布技能主檔",IF(ISNUMBER(SEARCH("模式",$R128)),"先建立相符的醫師模式規則","補齊欄位並完成主管核定"))))))</x:f>
      </x:c>
    </x:row>
    <x:row r="129">
      <x:c r="A129" s="577"/>
      <x:c r="B129" s="577"/>
      <x:c r="C129" s="577"/>
      <x:c r="D129" s="577"/>
      <x:c r="E129" s="577"/>
      <x:c r="F129" s="577"/>
      <x:c r="G129" s="577"/>
      <x:c r="H129" s="577"/>
      <x:c r="I129" s="577"/>
      <x:c r="J129" s="577"/>
      <x:c r="K129" s="577"/>
      <x:c r="L129" s="578"/>
      <x:c r="M129" s="577"/>
      <x:c r="N129" s="577"/>
      <x:c r="O129" s="577"/>
      <x:c r="P129" s="577"/>
      <x:c r="Q129" s="577"/>
      <x:c r="R129" s="579" t="str">
        <x:f>IF($B129="","",IF($M129="停用","停用",IF($M129="退回補件","退回補件",IF(COUNTIFS($A$7:$A$306,$A129)&gt;1,"要求編號重複",IF(COUNTIFS('醫師模式規則輸入'!$D$7:$D$156,$B129,'醫師模式規則輸入'!$B$7:$B$156,$C129)&lt;&gt;1,"模式或醫師未建立",IF(COUNTIFS('技能主檔_V1'!$A$7:$A$200,$D129,'技能主檔_V1'!$J$7:$J$200,"啟用")&lt;&gt;1,"技能未在主檔啟用",IF(OR($A129="",$E129="",$F129="",$G129="",$H129="",$I129="",$J129="",$K129="",$L129="",$N129=""),IF($M129="已核定","已核定但資料未完整","待補欄位或核定"),IF(OR($O129="",$P129=""),IF($M129="已核定","已核定但缺來源依據","待補來源依據"),IF($M129="已核定","可發布","待主管核定")))))))))</x:f>
      </x:c>
      <x:c r="S129" s="579" t="str">
        <x:f>IF($B129="","",IF($R129="可發布","回到醫師模式規則輸入，將能力要求集標記為已完整",IF(OR($R129="停用",$R129="退回補件"),"依狀態處理",IF(ISNUMBER(SEARCH("來源",$R129)),"補齊來源文件與定位",IF(ISNUMBER(SEARCH("技能",$R129)),"先完成技能名稱對照並發布技能主檔",IF(ISNUMBER(SEARCH("模式",$R129)),"先建立相符的醫師模式規則","補齊欄位並完成主管核定"))))))</x:f>
      </x:c>
    </x:row>
    <x:row r="130">
      <x:c r="A130" s="577"/>
      <x:c r="B130" s="577"/>
      <x:c r="C130" s="577"/>
      <x:c r="D130" s="577"/>
      <x:c r="E130" s="577"/>
      <x:c r="F130" s="577"/>
      <x:c r="G130" s="577"/>
      <x:c r="H130" s="577"/>
      <x:c r="I130" s="577"/>
      <x:c r="J130" s="577"/>
      <x:c r="K130" s="577"/>
      <x:c r="L130" s="578"/>
      <x:c r="M130" s="577"/>
      <x:c r="N130" s="577"/>
      <x:c r="O130" s="577"/>
      <x:c r="P130" s="577"/>
      <x:c r="Q130" s="577"/>
      <x:c r="R130" s="579" t="str">
        <x:f>IF($B130="","",IF($M130="停用","停用",IF($M130="退回補件","退回補件",IF(COUNTIFS($A$7:$A$306,$A130)&gt;1,"要求編號重複",IF(COUNTIFS('醫師模式規則輸入'!$D$7:$D$156,$B130,'醫師模式規則輸入'!$B$7:$B$156,$C130)&lt;&gt;1,"模式或醫師未建立",IF(COUNTIFS('技能主檔_V1'!$A$7:$A$200,$D130,'技能主檔_V1'!$J$7:$J$200,"啟用")&lt;&gt;1,"技能未在主檔啟用",IF(OR($A130="",$E130="",$F130="",$G130="",$H130="",$I130="",$J130="",$K130="",$L130="",$N130=""),IF($M130="已核定","已核定但資料未完整","待補欄位或核定"),IF(OR($O130="",$P130=""),IF($M130="已核定","已核定但缺來源依據","待補來源依據"),IF($M130="已核定","可發布","待主管核定")))))))))</x:f>
      </x:c>
      <x:c r="S130" s="579" t="str">
        <x:f>IF($B130="","",IF($R130="可發布","回到醫師模式規則輸入，將能力要求集標記為已完整",IF(OR($R130="停用",$R130="退回補件"),"依狀態處理",IF(ISNUMBER(SEARCH("來源",$R130)),"補齊來源文件與定位",IF(ISNUMBER(SEARCH("技能",$R130)),"先完成技能名稱對照並發布技能主檔",IF(ISNUMBER(SEARCH("模式",$R130)),"先建立相符的醫師模式規則","補齊欄位並完成主管核定"))))))</x:f>
      </x:c>
    </x:row>
    <x:row r="131">
      <x:c r="A131" s="577"/>
      <x:c r="B131" s="577"/>
      <x:c r="C131" s="577"/>
      <x:c r="D131" s="577"/>
      <x:c r="E131" s="577"/>
      <x:c r="F131" s="577"/>
      <x:c r="G131" s="577"/>
      <x:c r="H131" s="577"/>
      <x:c r="I131" s="577"/>
      <x:c r="J131" s="577"/>
      <x:c r="K131" s="577"/>
      <x:c r="L131" s="578"/>
      <x:c r="M131" s="577"/>
      <x:c r="N131" s="577"/>
      <x:c r="O131" s="577"/>
      <x:c r="P131" s="577"/>
      <x:c r="Q131" s="577"/>
      <x:c r="R131" s="579" t="str">
        <x:f>IF($B131="","",IF($M131="停用","停用",IF($M131="退回補件","退回補件",IF(COUNTIFS($A$7:$A$306,$A131)&gt;1,"要求編號重複",IF(COUNTIFS('醫師模式規則輸入'!$D$7:$D$156,$B131,'醫師模式規則輸入'!$B$7:$B$156,$C131)&lt;&gt;1,"模式或醫師未建立",IF(COUNTIFS('技能主檔_V1'!$A$7:$A$200,$D131,'技能主檔_V1'!$J$7:$J$200,"啟用")&lt;&gt;1,"技能未在主檔啟用",IF(OR($A131="",$E131="",$F131="",$G131="",$H131="",$I131="",$J131="",$K131="",$L131="",$N131=""),IF($M131="已核定","已核定但資料未完整","待補欄位或核定"),IF(OR($O131="",$P131=""),IF($M131="已核定","已核定但缺來源依據","待補來源依據"),IF($M131="已核定","可發布","待主管核定")))))))))</x:f>
      </x:c>
      <x:c r="S131" s="579" t="str">
        <x:f>IF($B131="","",IF($R131="可發布","回到醫師模式規則輸入，將能力要求集標記為已完整",IF(OR($R131="停用",$R131="退回補件"),"依狀態處理",IF(ISNUMBER(SEARCH("來源",$R131)),"補齊來源文件與定位",IF(ISNUMBER(SEARCH("技能",$R131)),"先完成技能名稱對照並發布技能主檔",IF(ISNUMBER(SEARCH("模式",$R131)),"先建立相符的醫師模式規則","補齊欄位並完成主管核定"))))))</x:f>
      </x:c>
    </x:row>
    <x:row r="132">
      <x:c r="A132" s="577"/>
      <x:c r="B132" s="577"/>
      <x:c r="C132" s="577"/>
      <x:c r="D132" s="577"/>
      <x:c r="E132" s="577"/>
      <x:c r="F132" s="577"/>
      <x:c r="G132" s="577"/>
      <x:c r="H132" s="577"/>
      <x:c r="I132" s="577"/>
      <x:c r="J132" s="577"/>
      <x:c r="K132" s="577"/>
      <x:c r="L132" s="578"/>
      <x:c r="M132" s="577"/>
      <x:c r="N132" s="577"/>
      <x:c r="O132" s="577"/>
      <x:c r="P132" s="577"/>
      <x:c r="Q132" s="577"/>
      <x:c r="R132" s="579" t="str">
        <x:f>IF($B132="","",IF($M132="停用","停用",IF($M132="退回補件","退回補件",IF(COUNTIFS($A$7:$A$306,$A132)&gt;1,"要求編號重複",IF(COUNTIFS('醫師模式規則輸入'!$D$7:$D$156,$B132,'醫師模式規則輸入'!$B$7:$B$156,$C132)&lt;&gt;1,"模式或醫師未建立",IF(COUNTIFS('技能主檔_V1'!$A$7:$A$200,$D132,'技能主檔_V1'!$J$7:$J$200,"啟用")&lt;&gt;1,"技能未在主檔啟用",IF(OR($A132="",$E132="",$F132="",$G132="",$H132="",$I132="",$J132="",$K132="",$L132="",$N132=""),IF($M132="已核定","已核定但資料未完整","待補欄位或核定"),IF(OR($O132="",$P132=""),IF($M132="已核定","已核定但缺來源依據","待補來源依據"),IF($M132="已核定","可發布","待主管核定")))))))))</x:f>
      </x:c>
      <x:c r="S132" s="579" t="str">
        <x:f>IF($B132="","",IF($R132="可發布","回到醫師模式規則輸入，將能力要求集標記為已完整",IF(OR($R132="停用",$R132="退回補件"),"依狀態處理",IF(ISNUMBER(SEARCH("來源",$R132)),"補齊來源文件與定位",IF(ISNUMBER(SEARCH("技能",$R132)),"先完成技能名稱對照並發布技能主檔",IF(ISNUMBER(SEARCH("模式",$R132)),"先建立相符的醫師模式規則","補齊欄位並完成主管核定"))))))</x:f>
      </x:c>
    </x:row>
    <x:row r="133">
      <x:c r="A133" s="577"/>
      <x:c r="B133" s="577"/>
      <x:c r="C133" s="577"/>
      <x:c r="D133" s="577"/>
      <x:c r="E133" s="577"/>
      <x:c r="F133" s="577"/>
      <x:c r="G133" s="577"/>
      <x:c r="H133" s="577"/>
      <x:c r="I133" s="577"/>
      <x:c r="J133" s="577"/>
      <x:c r="K133" s="577"/>
      <x:c r="L133" s="578"/>
      <x:c r="M133" s="577"/>
      <x:c r="N133" s="577"/>
      <x:c r="O133" s="577"/>
      <x:c r="P133" s="577"/>
      <x:c r="Q133" s="577"/>
      <x:c r="R133" s="579" t="str">
        <x:f>IF($B133="","",IF($M133="停用","停用",IF($M133="退回補件","退回補件",IF(COUNTIFS($A$7:$A$306,$A133)&gt;1,"要求編號重複",IF(COUNTIFS('醫師模式規則輸入'!$D$7:$D$156,$B133,'醫師模式規則輸入'!$B$7:$B$156,$C133)&lt;&gt;1,"模式或醫師未建立",IF(COUNTIFS('技能主檔_V1'!$A$7:$A$200,$D133,'技能主檔_V1'!$J$7:$J$200,"啟用")&lt;&gt;1,"技能未在主檔啟用",IF(OR($A133="",$E133="",$F133="",$G133="",$H133="",$I133="",$J133="",$K133="",$L133="",$N133=""),IF($M133="已核定","已核定但資料未完整","待補欄位或核定"),IF(OR($O133="",$P133=""),IF($M133="已核定","已核定但缺來源依據","待補來源依據"),IF($M133="已核定","可發布","待主管核定")))))))))</x:f>
      </x:c>
      <x:c r="S133" s="579" t="str">
        <x:f>IF($B133="","",IF($R133="可發布","回到醫師模式規則輸入，將能力要求集標記為已完整",IF(OR($R133="停用",$R133="退回補件"),"依狀態處理",IF(ISNUMBER(SEARCH("來源",$R133)),"補齊來源文件與定位",IF(ISNUMBER(SEARCH("技能",$R133)),"先完成技能名稱對照並發布技能主檔",IF(ISNUMBER(SEARCH("模式",$R133)),"先建立相符的醫師模式規則","補齊欄位並完成主管核定"))))))</x:f>
      </x:c>
    </x:row>
    <x:row r="134">
      <x:c r="A134" s="577"/>
      <x:c r="B134" s="577"/>
      <x:c r="C134" s="577"/>
      <x:c r="D134" s="577"/>
      <x:c r="E134" s="577"/>
      <x:c r="F134" s="577"/>
      <x:c r="G134" s="577"/>
      <x:c r="H134" s="577"/>
      <x:c r="I134" s="577"/>
      <x:c r="J134" s="577"/>
      <x:c r="K134" s="577"/>
      <x:c r="L134" s="578"/>
      <x:c r="M134" s="577"/>
      <x:c r="N134" s="577"/>
      <x:c r="O134" s="577"/>
      <x:c r="P134" s="577"/>
      <x:c r="Q134" s="577"/>
      <x:c r="R134" s="579" t="str">
        <x:f>IF($B134="","",IF($M134="停用","停用",IF($M134="退回補件","退回補件",IF(COUNTIFS($A$7:$A$306,$A134)&gt;1,"要求編號重複",IF(COUNTIFS('醫師模式規則輸入'!$D$7:$D$156,$B134,'醫師模式規則輸入'!$B$7:$B$156,$C134)&lt;&gt;1,"模式或醫師未建立",IF(COUNTIFS('技能主檔_V1'!$A$7:$A$200,$D134,'技能主檔_V1'!$J$7:$J$200,"啟用")&lt;&gt;1,"技能未在主檔啟用",IF(OR($A134="",$E134="",$F134="",$G134="",$H134="",$I134="",$J134="",$K134="",$L134="",$N134=""),IF($M134="已核定","已核定但資料未完整","待補欄位或核定"),IF(OR($O134="",$P134=""),IF($M134="已核定","已核定但缺來源依據","待補來源依據"),IF($M134="已核定","可發布","待主管核定")))))))))</x:f>
      </x:c>
      <x:c r="S134" s="579" t="str">
        <x:f>IF($B134="","",IF($R134="可發布","回到醫師模式規則輸入，將能力要求集標記為已完整",IF(OR($R134="停用",$R134="退回補件"),"依狀態處理",IF(ISNUMBER(SEARCH("來源",$R134)),"補齊來源文件與定位",IF(ISNUMBER(SEARCH("技能",$R134)),"先完成技能名稱對照並發布技能主檔",IF(ISNUMBER(SEARCH("模式",$R134)),"先建立相符的醫師模式規則","補齊欄位並完成主管核定"))))))</x:f>
      </x:c>
    </x:row>
    <x:row r="135">
      <x:c r="A135" s="577"/>
      <x:c r="B135" s="577"/>
      <x:c r="C135" s="577"/>
      <x:c r="D135" s="577"/>
      <x:c r="E135" s="577"/>
      <x:c r="F135" s="577"/>
      <x:c r="G135" s="577"/>
      <x:c r="H135" s="577"/>
      <x:c r="I135" s="577"/>
      <x:c r="J135" s="577"/>
      <x:c r="K135" s="577"/>
      <x:c r="L135" s="578"/>
      <x:c r="M135" s="577"/>
      <x:c r="N135" s="577"/>
      <x:c r="O135" s="577"/>
      <x:c r="P135" s="577"/>
      <x:c r="Q135" s="577"/>
      <x:c r="R135" s="579" t="str">
        <x:f>IF($B135="","",IF($M135="停用","停用",IF($M135="退回補件","退回補件",IF(COUNTIFS($A$7:$A$306,$A135)&gt;1,"要求編號重複",IF(COUNTIFS('醫師模式規則輸入'!$D$7:$D$156,$B135,'醫師模式規則輸入'!$B$7:$B$156,$C135)&lt;&gt;1,"模式或醫師未建立",IF(COUNTIFS('技能主檔_V1'!$A$7:$A$200,$D135,'技能主檔_V1'!$J$7:$J$200,"啟用")&lt;&gt;1,"技能未在主檔啟用",IF(OR($A135="",$E135="",$F135="",$G135="",$H135="",$I135="",$J135="",$K135="",$L135="",$N135=""),IF($M135="已核定","已核定但資料未完整","待補欄位或核定"),IF(OR($O135="",$P135=""),IF($M135="已核定","已核定但缺來源依據","待補來源依據"),IF($M135="已核定","可發布","待主管核定")))))))))</x:f>
      </x:c>
      <x:c r="S135" s="579" t="str">
        <x:f>IF($B135="","",IF($R135="可發布","回到醫師模式規則輸入，將能力要求集標記為已完整",IF(OR($R135="停用",$R135="退回補件"),"依狀態處理",IF(ISNUMBER(SEARCH("來源",$R135)),"補齊來源文件與定位",IF(ISNUMBER(SEARCH("技能",$R135)),"先完成技能名稱對照並發布技能主檔",IF(ISNUMBER(SEARCH("模式",$R135)),"先建立相符的醫師模式規則","補齊欄位並完成主管核定"))))))</x:f>
      </x:c>
    </x:row>
    <x:row r="136">
      <x:c r="A136" s="577"/>
      <x:c r="B136" s="577"/>
      <x:c r="C136" s="577"/>
      <x:c r="D136" s="577"/>
      <x:c r="E136" s="577"/>
      <x:c r="F136" s="577"/>
      <x:c r="G136" s="577"/>
      <x:c r="H136" s="577"/>
      <x:c r="I136" s="577"/>
      <x:c r="J136" s="577"/>
      <x:c r="K136" s="577"/>
      <x:c r="L136" s="578"/>
      <x:c r="M136" s="577"/>
      <x:c r="N136" s="577"/>
      <x:c r="O136" s="577"/>
      <x:c r="P136" s="577"/>
      <x:c r="Q136" s="577"/>
      <x:c r="R136" s="579" t="str">
        <x:f>IF($B136="","",IF($M136="停用","停用",IF($M136="退回補件","退回補件",IF(COUNTIFS($A$7:$A$306,$A136)&gt;1,"要求編號重複",IF(COUNTIFS('醫師模式規則輸入'!$D$7:$D$156,$B136,'醫師模式規則輸入'!$B$7:$B$156,$C136)&lt;&gt;1,"模式或醫師未建立",IF(COUNTIFS('技能主檔_V1'!$A$7:$A$200,$D136,'技能主檔_V1'!$J$7:$J$200,"啟用")&lt;&gt;1,"技能未在主檔啟用",IF(OR($A136="",$E136="",$F136="",$G136="",$H136="",$I136="",$J136="",$K136="",$L136="",$N136=""),IF($M136="已核定","已核定但資料未完整","待補欄位或核定"),IF(OR($O136="",$P136=""),IF($M136="已核定","已核定但缺來源依據","待補來源依據"),IF($M136="已核定","可發布","待主管核定")))))))))</x:f>
      </x:c>
      <x:c r="S136" s="579" t="str">
        <x:f>IF($B136="","",IF($R136="可發布","回到醫師模式規則輸入，將能力要求集標記為已完整",IF(OR($R136="停用",$R136="退回補件"),"依狀態處理",IF(ISNUMBER(SEARCH("來源",$R136)),"補齊來源文件與定位",IF(ISNUMBER(SEARCH("技能",$R136)),"先完成技能名稱對照並發布技能主檔",IF(ISNUMBER(SEARCH("模式",$R136)),"先建立相符的醫師模式規則","補齊欄位並完成主管核定"))))))</x:f>
      </x:c>
    </x:row>
    <x:row r="137">
      <x:c r="A137" s="577"/>
      <x:c r="B137" s="577"/>
      <x:c r="C137" s="577"/>
      <x:c r="D137" s="577"/>
      <x:c r="E137" s="577"/>
      <x:c r="F137" s="577"/>
      <x:c r="G137" s="577"/>
      <x:c r="H137" s="577"/>
      <x:c r="I137" s="577"/>
      <x:c r="J137" s="577"/>
      <x:c r="K137" s="577"/>
      <x:c r="L137" s="578"/>
      <x:c r="M137" s="577"/>
      <x:c r="N137" s="577"/>
      <x:c r="O137" s="577"/>
      <x:c r="P137" s="577"/>
      <x:c r="Q137" s="577"/>
      <x:c r="R137" s="579" t="str">
        <x:f>IF($B137="","",IF($M137="停用","停用",IF($M137="退回補件","退回補件",IF(COUNTIFS($A$7:$A$306,$A137)&gt;1,"要求編號重複",IF(COUNTIFS('醫師模式規則輸入'!$D$7:$D$156,$B137,'醫師模式規則輸入'!$B$7:$B$156,$C137)&lt;&gt;1,"模式或醫師未建立",IF(COUNTIFS('技能主檔_V1'!$A$7:$A$200,$D137,'技能主檔_V1'!$J$7:$J$200,"啟用")&lt;&gt;1,"技能未在主檔啟用",IF(OR($A137="",$E137="",$F137="",$G137="",$H137="",$I137="",$J137="",$K137="",$L137="",$N137=""),IF($M137="已核定","已核定但資料未完整","待補欄位或核定"),IF(OR($O137="",$P137=""),IF($M137="已核定","已核定但缺來源依據","待補來源依據"),IF($M137="已核定","可發布","待主管核定")))))))))</x:f>
      </x:c>
      <x:c r="S137" s="579" t="str">
        <x:f>IF($B137="","",IF($R137="可發布","回到醫師模式規則輸入，將能力要求集標記為已完整",IF(OR($R137="停用",$R137="退回補件"),"依狀態處理",IF(ISNUMBER(SEARCH("來源",$R137)),"補齊來源文件與定位",IF(ISNUMBER(SEARCH("技能",$R137)),"先完成技能名稱對照並發布技能主檔",IF(ISNUMBER(SEARCH("模式",$R137)),"先建立相符的醫師模式規則","補齊欄位並完成主管核定"))))))</x:f>
      </x:c>
    </x:row>
    <x:row r="138">
      <x:c r="A138" s="577"/>
      <x:c r="B138" s="577"/>
      <x:c r="C138" s="577"/>
      <x:c r="D138" s="577"/>
      <x:c r="E138" s="577"/>
      <x:c r="F138" s="577"/>
      <x:c r="G138" s="577"/>
      <x:c r="H138" s="577"/>
      <x:c r="I138" s="577"/>
      <x:c r="J138" s="577"/>
      <x:c r="K138" s="577"/>
      <x:c r="L138" s="578"/>
      <x:c r="M138" s="577"/>
      <x:c r="N138" s="577"/>
      <x:c r="O138" s="577"/>
      <x:c r="P138" s="577"/>
      <x:c r="Q138" s="577"/>
      <x:c r="R138" s="579" t="str">
        <x:f>IF($B138="","",IF($M138="停用","停用",IF($M138="退回補件","退回補件",IF(COUNTIFS($A$7:$A$306,$A138)&gt;1,"要求編號重複",IF(COUNTIFS('醫師模式規則輸入'!$D$7:$D$156,$B138,'醫師模式規則輸入'!$B$7:$B$156,$C138)&lt;&gt;1,"模式或醫師未建立",IF(COUNTIFS('技能主檔_V1'!$A$7:$A$200,$D138,'技能主檔_V1'!$J$7:$J$200,"啟用")&lt;&gt;1,"技能未在主檔啟用",IF(OR($A138="",$E138="",$F138="",$G138="",$H138="",$I138="",$J138="",$K138="",$L138="",$N138=""),IF($M138="已核定","已核定但資料未完整","待補欄位或核定"),IF(OR($O138="",$P138=""),IF($M138="已核定","已核定但缺來源依據","待補來源依據"),IF($M138="已核定","可發布","待主管核定")))))))))</x:f>
      </x:c>
      <x:c r="S138" s="579" t="str">
        <x:f>IF($B138="","",IF($R138="可發布","回到醫師模式規則輸入，將能力要求集標記為已完整",IF(OR($R138="停用",$R138="退回補件"),"依狀態處理",IF(ISNUMBER(SEARCH("來源",$R138)),"補齊來源文件與定位",IF(ISNUMBER(SEARCH("技能",$R138)),"先完成技能名稱對照並發布技能主檔",IF(ISNUMBER(SEARCH("模式",$R138)),"先建立相符的醫師模式規則","補齊欄位並完成主管核定"))))))</x:f>
      </x:c>
    </x:row>
    <x:row r="139">
      <x:c r="A139" s="577"/>
      <x:c r="B139" s="577"/>
      <x:c r="C139" s="577"/>
      <x:c r="D139" s="577"/>
      <x:c r="E139" s="577"/>
      <x:c r="F139" s="577"/>
      <x:c r="G139" s="577"/>
      <x:c r="H139" s="577"/>
      <x:c r="I139" s="577"/>
      <x:c r="J139" s="577"/>
      <x:c r="K139" s="577"/>
      <x:c r="L139" s="578"/>
      <x:c r="M139" s="577"/>
      <x:c r="N139" s="577"/>
      <x:c r="O139" s="577"/>
      <x:c r="P139" s="577"/>
      <x:c r="Q139" s="577"/>
      <x:c r="R139" s="579" t="str">
        <x:f>IF($B139="","",IF($M139="停用","停用",IF($M139="退回補件","退回補件",IF(COUNTIFS($A$7:$A$306,$A139)&gt;1,"要求編號重複",IF(COUNTIFS('醫師模式規則輸入'!$D$7:$D$156,$B139,'醫師模式規則輸入'!$B$7:$B$156,$C139)&lt;&gt;1,"模式或醫師未建立",IF(COUNTIFS('技能主檔_V1'!$A$7:$A$200,$D139,'技能主檔_V1'!$J$7:$J$200,"啟用")&lt;&gt;1,"技能未在主檔啟用",IF(OR($A139="",$E139="",$F139="",$G139="",$H139="",$I139="",$J139="",$K139="",$L139="",$N139=""),IF($M139="已核定","已核定但資料未完整","待補欄位或核定"),IF(OR($O139="",$P139=""),IF($M139="已核定","已核定但缺來源依據","待補來源依據"),IF($M139="已核定","可發布","待主管核定")))))))))</x:f>
      </x:c>
      <x:c r="S139" s="579" t="str">
        <x:f>IF($B139="","",IF($R139="可發布","回到醫師模式規則輸入，將能力要求集標記為已完整",IF(OR($R139="停用",$R139="退回補件"),"依狀態處理",IF(ISNUMBER(SEARCH("來源",$R139)),"補齊來源文件與定位",IF(ISNUMBER(SEARCH("技能",$R139)),"先完成技能名稱對照並發布技能主檔",IF(ISNUMBER(SEARCH("模式",$R139)),"先建立相符的醫師模式規則","補齊欄位並完成主管核定"))))))</x:f>
      </x:c>
    </x:row>
    <x:row r="140">
      <x:c r="A140" s="577"/>
      <x:c r="B140" s="577"/>
      <x:c r="C140" s="577"/>
      <x:c r="D140" s="577"/>
      <x:c r="E140" s="577"/>
      <x:c r="F140" s="577"/>
      <x:c r="G140" s="577"/>
      <x:c r="H140" s="577"/>
      <x:c r="I140" s="577"/>
      <x:c r="J140" s="577"/>
      <x:c r="K140" s="577"/>
      <x:c r="L140" s="578"/>
      <x:c r="M140" s="577"/>
      <x:c r="N140" s="577"/>
      <x:c r="O140" s="577"/>
      <x:c r="P140" s="577"/>
      <x:c r="Q140" s="577"/>
      <x:c r="R140" s="579" t="str">
        <x:f>IF($B140="","",IF($M140="停用","停用",IF($M140="退回補件","退回補件",IF(COUNTIFS($A$7:$A$306,$A140)&gt;1,"要求編號重複",IF(COUNTIFS('醫師模式規則輸入'!$D$7:$D$156,$B140,'醫師模式規則輸入'!$B$7:$B$156,$C140)&lt;&gt;1,"模式或醫師未建立",IF(COUNTIFS('技能主檔_V1'!$A$7:$A$200,$D140,'技能主檔_V1'!$J$7:$J$200,"啟用")&lt;&gt;1,"技能未在主檔啟用",IF(OR($A140="",$E140="",$F140="",$G140="",$H140="",$I140="",$J140="",$K140="",$L140="",$N140=""),IF($M140="已核定","已核定但資料未完整","待補欄位或核定"),IF(OR($O140="",$P140=""),IF($M140="已核定","已核定但缺來源依據","待補來源依據"),IF($M140="已核定","可發布","待主管核定")))))))))</x:f>
      </x:c>
      <x:c r="S140" s="579" t="str">
        <x:f>IF($B140="","",IF($R140="可發布","回到醫師模式規則輸入，將能力要求集標記為已完整",IF(OR($R140="停用",$R140="退回補件"),"依狀態處理",IF(ISNUMBER(SEARCH("來源",$R140)),"補齊來源文件與定位",IF(ISNUMBER(SEARCH("技能",$R140)),"先完成技能名稱對照並發布技能主檔",IF(ISNUMBER(SEARCH("模式",$R140)),"先建立相符的醫師模式規則","補齊欄位並完成主管核定"))))))</x:f>
      </x:c>
    </x:row>
    <x:row r="141">
      <x:c r="A141" s="577"/>
      <x:c r="B141" s="577"/>
      <x:c r="C141" s="577"/>
      <x:c r="D141" s="577"/>
      <x:c r="E141" s="577"/>
      <x:c r="F141" s="577"/>
      <x:c r="G141" s="577"/>
      <x:c r="H141" s="577"/>
      <x:c r="I141" s="577"/>
      <x:c r="J141" s="577"/>
      <x:c r="K141" s="577"/>
      <x:c r="L141" s="578"/>
      <x:c r="M141" s="577"/>
      <x:c r="N141" s="577"/>
      <x:c r="O141" s="577"/>
      <x:c r="P141" s="577"/>
      <x:c r="Q141" s="577"/>
      <x:c r="R141" s="579" t="str">
        <x:f>IF($B141="","",IF($M141="停用","停用",IF($M141="退回補件","退回補件",IF(COUNTIFS($A$7:$A$306,$A141)&gt;1,"要求編號重複",IF(COUNTIFS('醫師模式規則輸入'!$D$7:$D$156,$B141,'醫師模式規則輸入'!$B$7:$B$156,$C141)&lt;&gt;1,"模式或醫師未建立",IF(COUNTIFS('技能主檔_V1'!$A$7:$A$200,$D141,'技能主檔_V1'!$J$7:$J$200,"啟用")&lt;&gt;1,"技能未在主檔啟用",IF(OR($A141="",$E141="",$F141="",$G141="",$H141="",$I141="",$J141="",$K141="",$L141="",$N141=""),IF($M141="已核定","已核定但資料未完整","待補欄位或核定"),IF(OR($O141="",$P141=""),IF($M141="已核定","已核定但缺來源依據","待補來源依據"),IF($M141="已核定","可發布","待主管核定")))))))))</x:f>
      </x:c>
      <x:c r="S141" s="579" t="str">
        <x:f>IF($B141="","",IF($R141="可發布","回到醫師模式規則輸入，將能力要求集標記為已完整",IF(OR($R141="停用",$R141="退回補件"),"依狀態處理",IF(ISNUMBER(SEARCH("來源",$R141)),"補齊來源文件與定位",IF(ISNUMBER(SEARCH("技能",$R141)),"先完成技能名稱對照並發布技能主檔",IF(ISNUMBER(SEARCH("模式",$R141)),"先建立相符的醫師模式規則","補齊欄位並完成主管核定"))))))</x:f>
      </x:c>
    </x:row>
    <x:row r="142">
      <x:c r="A142" s="577"/>
      <x:c r="B142" s="577"/>
      <x:c r="C142" s="577"/>
      <x:c r="D142" s="577"/>
      <x:c r="E142" s="577"/>
      <x:c r="F142" s="577"/>
      <x:c r="G142" s="577"/>
      <x:c r="H142" s="577"/>
      <x:c r="I142" s="577"/>
      <x:c r="J142" s="577"/>
      <x:c r="K142" s="577"/>
      <x:c r="L142" s="578"/>
      <x:c r="M142" s="577"/>
      <x:c r="N142" s="577"/>
      <x:c r="O142" s="577"/>
      <x:c r="P142" s="577"/>
      <x:c r="Q142" s="577"/>
      <x:c r="R142" s="579" t="str">
        <x:f>IF($B142="","",IF($M142="停用","停用",IF($M142="退回補件","退回補件",IF(COUNTIFS($A$7:$A$306,$A142)&gt;1,"要求編號重複",IF(COUNTIFS('醫師模式規則輸入'!$D$7:$D$156,$B142,'醫師模式規則輸入'!$B$7:$B$156,$C142)&lt;&gt;1,"模式或醫師未建立",IF(COUNTIFS('技能主檔_V1'!$A$7:$A$200,$D142,'技能主檔_V1'!$J$7:$J$200,"啟用")&lt;&gt;1,"技能未在主檔啟用",IF(OR($A142="",$E142="",$F142="",$G142="",$H142="",$I142="",$J142="",$K142="",$L142="",$N142=""),IF($M142="已核定","已核定但資料未完整","待補欄位或核定"),IF(OR($O142="",$P142=""),IF($M142="已核定","已核定但缺來源依據","待補來源依據"),IF($M142="已核定","可發布","待主管核定")))))))))</x:f>
      </x:c>
      <x:c r="S142" s="579" t="str">
        <x:f>IF($B142="","",IF($R142="可發布","回到醫師模式規則輸入，將能力要求集標記為已完整",IF(OR($R142="停用",$R142="退回補件"),"依狀態處理",IF(ISNUMBER(SEARCH("來源",$R142)),"補齊來源文件與定位",IF(ISNUMBER(SEARCH("技能",$R142)),"先完成技能名稱對照並發布技能主檔",IF(ISNUMBER(SEARCH("模式",$R142)),"先建立相符的醫師模式規則","補齊欄位並完成主管核定"))))))</x:f>
      </x:c>
    </x:row>
    <x:row r="143">
      <x:c r="A143" s="577"/>
      <x:c r="B143" s="577"/>
      <x:c r="C143" s="577"/>
      <x:c r="D143" s="577"/>
      <x:c r="E143" s="577"/>
      <x:c r="F143" s="577"/>
      <x:c r="G143" s="577"/>
      <x:c r="H143" s="577"/>
      <x:c r="I143" s="577"/>
      <x:c r="J143" s="577"/>
      <x:c r="K143" s="577"/>
      <x:c r="L143" s="578"/>
      <x:c r="M143" s="577"/>
      <x:c r="N143" s="577"/>
      <x:c r="O143" s="577"/>
      <x:c r="P143" s="577"/>
      <x:c r="Q143" s="577"/>
      <x:c r="R143" s="579" t="str">
        <x:f>IF($B143="","",IF($M143="停用","停用",IF($M143="退回補件","退回補件",IF(COUNTIFS($A$7:$A$306,$A143)&gt;1,"要求編號重複",IF(COUNTIFS('醫師模式規則輸入'!$D$7:$D$156,$B143,'醫師模式規則輸入'!$B$7:$B$156,$C143)&lt;&gt;1,"模式或醫師未建立",IF(COUNTIFS('技能主檔_V1'!$A$7:$A$200,$D143,'技能主檔_V1'!$J$7:$J$200,"啟用")&lt;&gt;1,"技能未在主檔啟用",IF(OR($A143="",$E143="",$F143="",$G143="",$H143="",$I143="",$J143="",$K143="",$L143="",$N143=""),IF($M143="已核定","已核定但資料未完整","待補欄位或核定"),IF(OR($O143="",$P143=""),IF($M143="已核定","已核定但缺來源依據","待補來源依據"),IF($M143="已核定","可發布","待主管核定")))))))))</x:f>
      </x:c>
      <x:c r="S143" s="579" t="str">
        <x:f>IF($B143="","",IF($R143="可發布","回到醫師模式規則輸入，將能力要求集標記為已完整",IF(OR($R143="停用",$R143="退回補件"),"依狀態處理",IF(ISNUMBER(SEARCH("來源",$R143)),"補齊來源文件與定位",IF(ISNUMBER(SEARCH("技能",$R143)),"先完成技能名稱對照並發布技能主檔",IF(ISNUMBER(SEARCH("模式",$R143)),"先建立相符的醫師模式規則","補齊欄位並完成主管核定"))))))</x:f>
      </x:c>
    </x:row>
    <x:row r="144">
      <x:c r="A144" s="577"/>
      <x:c r="B144" s="577"/>
      <x:c r="C144" s="577"/>
      <x:c r="D144" s="577"/>
      <x:c r="E144" s="577"/>
      <x:c r="F144" s="577"/>
      <x:c r="G144" s="577"/>
      <x:c r="H144" s="577"/>
      <x:c r="I144" s="577"/>
      <x:c r="J144" s="577"/>
      <x:c r="K144" s="577"/>
      <x:c r="L144" s="578"/>
      <x:c r="M144" s="577"/>
      <x:c r="N144" s="577"/>
      <x:c r="O144" s="577"/>
      <x:c r="P144" s="577"/>
      <x:c r="Q144" s="577"/>
      <x:c r="R144" s="579" t="str">
        <x:f>IF($B144="","",IF($M144="停用","停用",IF($M144="退回補件","退回補件",IF(COUNTIFS($A$7:$A$306,$A144)&gt;1,"要求編號重複",IF(COUNTIFS('醫師模式規則輸入'!$D$7:$D$156,$B144,'醫師模式規則輸入'!$B$7:$B$156,$C144)&lt;&gt;1,"模式或醫師未建立",IF(COUNTIFS('技能主檔_V1'!$A$7:$A$200,$D144,'技能主檔_V1'!$J$7:$J$200,"啟用")&lt;&gt;1,"技能未在主檔啟用",IF(OR($A144="",$E144="",$F144="",$G144="",$H144="",$I144="",$J144="",$K144="",$L144="",$N144=""),IF($M144="已核定","已核定但資料未完整","待補欄位或核定"),IF(OR($O144="",$P144=""),IF($M144="已核定","已核定但缺來源依據","待補來源依據"),IF($M144="已核定","可發布","待主管核定")))))))))</x:f>
      </x:c>
      <x:c r="S144" s="579" t="str">
        <x:f>IF($B144="","",IF($R144="可發布","回到醫師模式規則輸入，將能力要求集標記為已完整",IF(OR($R144="停用",$R144="退回補件"),"依狀態處理",IF(ISNUMBER(SEARCH("來源",$R144)),"補齊來源文件與定位",IF(ISNUMBER(SEARCH("技能",$R144)),"先完成技能名稱對照並發布技能主檔",IF(ISNUMBER(SEARCH("模式",$R144)),"先建立相符的醫師模式規則","補齊欄位並完成主管核定"))))))</x:f>
      </x:c>
    </x:row>
    <x:row r="145">
      <x:c r="A145" s="577"/>
      <x:c r="B145" s="577"/>
      <x:c r="C145" s="577"/>
      <x:c r="D145" s="577"/>
      <x:c r="E145" s="577"/>
      <x:c r="F145" s="577"/>
      <x:c r="G145" s="577"/>
      <x:c r="H145" s="577"/>
      <x:c r="I145" s="577"/>
      <x:c r="J145" s="577"/>
      <x:c r="K145" s="577"/>
      <x:c r="L145" s="578"/>
      <x:c r="M145" s="577"/>
      <x:c r="N145" s="577"/>
      <x:c r="O145" s="577"/>
      <x:c r="P145" s="577"/>
      <x:c r="Q145" s="577"/>
      <x:c r="R145" s="579" t="str">
        <x:f>IF($B145="","",IF($M145="停用","停用",IF($M145="退回補件","退回補件",IF(COUNTIFS($A$7:$A$306,$A145)&gt;1,"要求編號重複",IF(COUNTIFS('醫師模式規則輸入'!$D$7:$D$156,$B145,'醫師模式規則輸入'!$B$7:$B$156,$C145)&lt;&gt;1,"模式或醫師未建立",IF(COUNTIFS('技能主檔_V1'!$A$7:$A$200,$D145,'技能主檔_V1'!$J$7:$J$200,"啟用")&lt;&gt;1,"技能未在主檔啟用",IF(OR($A145="",$E145="",$F145="",$G145="",$H145="",$I145="",$J145="",$K145="",$L145="",$N145=""),IF($M145="已核定","已核定但資料未完整","待補欄位或核定"),IF(OR($O145="",$P145=""),IF($M145="已核定","已核定但缺來源依據","待補來源依據"),IF($M145="已核定","可發布","待主管核定")))))))))</x:f>
      </x:c>
      <x:c r="S145" s="579" t="str">
        <x:f>IF($B145="","",IF($R145="可發布","回到醫師模式規則輸入，將能力要求集標記為已完整",IF(OR($R145="停用",$R145="退回補件"),"依狀態處理",IF(ISNUMBER(SEARCH("來源",$R145)),"補齊來源文件與定位",IF(ISNUMBER(SEARCH("技能",$R145)),"先完成技能名稱對照並發布技能主檔",IF(ISNUMBER(SEARCH("模式",$R145)),"先建立相符的醫師模式規則","補齊欄位並完成主管核定"))))))</x:f>
      </x:c>
    </x:row>
    <x:row r="146">
      <x:c r="A146" s="577"/>
      <x:c r="B146" s="577"/>
      <x:c r="C146" s="577"/>
      <x:c r="D146" s="577"/>
      <x:c r="E146" s="577"/>
      <x:c r="F146" s="577"/>
      <x:c r="G146" s="577"/>
      <x:c r="H146" s="577"/>
      <x:c r="I146" s="577"/>
      <x:c r="J146" s="577"/>
      <x:c r="K146" s="577"/>
      <x:c r="L146" s="578"/>
      <x:c r="M146" s="577"/>
      <x:c r="N146" s="577"/>
      <x:c r="O146" s="577"/>
      <x:c r="P146" s="577"/>
      <x:c r="Q146" s="577"/>
      <x:c r="R146" s="579" t="str">
        <x:f>IF($B146="","",IF($M146="停用","停用",IF($M146="退回補件","退回補件",IF(COUNTIFS($A$7:$A$306,$A146)&gt;1,"要求編號重複",IF(COUNTIFS('醫師模式規則輸入'!$D$7:$D$156,$B146,'醫師模式規則輸入'!$B$7:$B$156,$C146)&lt;&gt;1,"模式或醫師未建立",IF(COUNTIFS('技能主檔_V1'!$A$7:$A$200,$D146,'技能主檔_V1'!$J$7:$J$200,"啟用")&lt;&gt;1,"技能未在主檔啟用",IF(OR($A146="",$E146="",$F146="",$G146="",$H146="",$I146="",$J146="",$K146="",$L146="",$N146=""),IF($M146="已核定","已核定但資料未完整","待補欄位或核定"),IF(OR($O146="",$P146=""),IF($M146="已核定","已核定但缺來源依據","待補來源依據"),IF($M146="已核定","可發布","待主管核定")))))))))</x:f>
      </x:c>
      <x:c r="S146" s="579" t="str">
        <x:f>IF($B146="","",IF($R146="可發布","回到醫師模式規則輸入，將能力要求集標記為已完整",IF(OR($R146="停用",$R146="退回補件"),"依狀態處理",IF(ISNUMBER(SEARCH("來源",$R146)),"補齊來源文件與定位",IF(ISNUMBER(SEARCH("技能",$R146)),"先完成技能名稱對照並發布技能主檔",IF(ISNUMBER(SEARCH("模式",$R146)),"先建立相符的醫師模式規則","補齊欄位並完成主管核定"))))))</x:f>
      </x:c>
    </x:row>
    <x:row r="147">
      <x:c r="A147" s="577"/>
      <x:c r="B147" s="577"/>
      <x:c r="C147" s="577"/>
      <x:c r="D147" s="577"/>
      <x:c r="E147" s="577"/>
      <x:c r="F147" s="577"/>
      <x:c r="G147" s="577"/>
      <x:c r="H147" s="577"/>
      <x:c r="I147" s="577"/>
      <x:c r="J147" s="577"/>
      <x:c r="K147" s="577"/>
      <x:c r="L147" s="578"/>
      <x:c r="M147" s="577"/>
      <x:c r="N147" s="577"/>
      <x:c r="O147" s="577"/>
      <x:c r="P147" s="577"/>
      <x:c r="Q147" s="577"/>
      <x:c r="R147" s="579" t="str">
        <x:f>IF($B147="","",IF($M147="停用","停用",IF($M147="退回補件","退回補件",IF(COUNTIFS($A$7:$A$306,$A147)&gt;1,"要求編號重複",IF(COUNTIFS('醫師模式規則輸入'!$D$7:$D$156,$B147,'醫師模式規則輸入'!$B$7:$B$156,$C147)&lt;&gt;1,"模式或醫師未建立",IF(COUNTIFS('技能主檔_V1'!$A$7:$A$200,$D147,'技能主檔_V1'!$J$7:$J$200,"啟用")&lt;&gt;1,"技能未在主檔啟用",IF(OR($A147="",$E147="",$F147="",$G147="",$H147="",$I147="",$J147="",$K147="",$L147="",$N147=""),IF($M147="已核定","已核定但資料未完整","待補欄位或核定"),IF(OR($O147="",$P147=""),IF($M147="已核定","已核定但缺來源依據","待補來源依據"),IF($M147="已核定","可發布","待主管核定")))))))))</x:f>
      </x:c>
      <x:c r="S147" s="579" t="str">
        <x:f>IF($B147="","",IF($R147="可發布","回到醫師模式規則輸入，將能力要求集標記為已完整",IF(OR($R147="停用",$R147="退回補件"),"依狀態處理",IF(ISNUMBER(SEARCH("來源",$R147)),"補齊來源文件與定位",IF(ISNUMBER(SEARCH("技能",$R147)),"先完成技能名稱對照並發布技能主檔",IF(ISNUMBER(SEARCH("模式",$R147)),"先建立相符的醫師模式規則","補齊欄位並完成主管核定"))))))</x:f>
      </x:c>
    </x:row>
    <x:row r="148">
      <x:c r="A148" s="577"/>
      <x:c r="B148" s="577"/>
      <x:c r="C148" s="577"/>
      <x:c r="D148" s="577"/>
      <x:c r="E148" s="577"/>
      <x:c r="F148" s="577"/>
      <x:c r="G148" s="577"/>
      <x:c r="H148" s="577"/>
      <x:c r="I148" s="577"/>
      <x:c r="J148" s="577"/>
      <x:c r="K148" s="577"/>
      <x:c r="L148" s="578"/>
      <x:c r="M148" s="577"/>
      <x:c r="N148" s="577"/>
      <x:c r="O148" s="577"/>
      <x:c r="P148" s="577"/>
      <x:c r="Q148" s="577"/>
      <x:c r="R148" s="579" t="str">
        <x:f>IF($B148="","",IF($M148="停用","停用",IF($M148="退回補件","退回補件",IF(COUNTIFS($A$7:$A$306,$A148)&gt;1,"要求編號重複",IF(COUNTIFS('醫師模式規則輸入'!$D$7:$D$156,$B148,'醫師模式規則輸入'!$B$7:$B$156,$C148)&lt;&gt;1,"模式或醫師未建立",IF(COUNTIFS('技能主檔_V1'!$A$7:$A$200,$D148,'技能主檔_V1'!$J$7:$J$200,"啟用")&lt;&gt;1,"技能未在主檔啟用",IF(OR($A148="",$E148="",$F148="",$G148="",$H148="",$I148="",$J148="",$K148="",$L148="",$N148=""),IF($M148="已核定","已核定但資料未完整","待補欄位或核定"),IF(OR($O148="",$P148=""),IF($M148="已核定","已核定但缺來源依據","待補來源依據"),IF($M148="已核定","可發布","待主管核定")))))))))</x:f>
      </x:c>
      <x:c r="S148" s="579" t="str">
        <x:f>IF($B148="","",IF($R148="可發布","回到醫師模式規則輸入，將能力要求集標記為已完整",IF(OR($R148="停用",$R148="退回補件"),"依狀態處理",IF(ISNUMBER(SEARCH("來源",$R148)),"補齊來源文件與定位",IF(ISNUMBER(SEARCH("技能",$R148)),"先完成技能名稱對照並發布技能主檔",IF(ISNUMBER(SEARCH("模式",$R148)),"先建立相符的醫師模式規則","補齊欄位並完成主管核定"))))))</x:f>
      </x:c>
    </x:row>
    <x:row r="149">
      <x:c r="A149" s="577"/>
      <x:c r="B149" s="577"/>
      <x:c r="C149" s="577"/>
      <x:c r="D149" s="577"/>
      <x:c r="E149" s="577"/>
      <x:c r="F149" s="577"/>
      <x:c r="G149" s="577"/>
      <x:c r="H149" s="577"/>
      <x:c r="I149" s="577"/>
      <x:c r="J149" s="577"/>
      <x:c r="K149" s="577"/>
      <x:c r="L149" s="578"/>
      <x:c r="M149" s="577"/>
      <x:c r="N149" s="577"/>
      <x:c r="O149" s="577"/>
      <x:c r="P149" s="577"/>
      <x:c r="Q149" s="577"/>
      <x:c r="R149" s="579" t="str">
        <x:f>IF($B149="","",IF($M149="停用","停用",IF($M149="退回補件","退回補件",IF(COUNTIFS($A$7:$A$306,$A149)&gt;1,"要求編號重複",IF(COUNTIFS('醫師模式規則輸入'!$D$7:$D$156,$B149,'醫師模式規則輸入'!$B$7:$B$156,$C149)&lt;&gt;1,"模式或醫師未建立",IF(COUNTIFS('技能主檔_V1'!$A$7:$A$200,$D149,'技能主檔_V1'!$J$7:$J$200,"啟用")&lt;&gt;1,"技能未在主檔啟用",IF(OR($A149="",$E149="",$F149="",$G149="",$H149="",$I149="",$J149="",$K149="",$L149="",$N149=""),IF($M149="已核定","已核定但資料未完整","待補欄位或核定"),IF(OR($O149="",$P149=""),IF($M149="已核定","已核定但缺來源依據","待補來源依據"),IF($M149="已核定","可發布","待主管核定")))))))))</x:f>
      </x:c>
      <x:c r="S149" s="579" t="str">
        <x:f>IF($B149="","",IF($R149="可發布","回到醫師模式規則輸入，將能力要求集標記為已完整",IF(OR($R149="停用",$R149="退回補件"),"依狀態處理",IF(ISNUMBER(SEARCH("來源",$R149)),"補齊來源文件與定位",IF(ISNUMBER(SEARCH("技能",$R149)),"先完成技能名稱對照並發布技能主檔",IF(ISNUMBER(SEARCH("模式",$R149)),"先建立相符的醫師模式規則","補齊欄位並完成主管核定"))))))</x:f>
      </x:c>
    </x:row>
    <x:row r="150">
      <x:c r="A150" s="577"/>
      <x:c r="B150" s="577"/>
      <x:c r="C150" s="577"/>
      <x:c r="D150" s="577"/>
      <x:c r="E150" s="577"/>
      <x:c r="F150" s="577"/>
      <x:c r="G150" s="577"/>
      <x:c r="H150" s="577"/>
      <x:c r="I150" s="577"/>
      <x:c r="J150" s="577"/>
      <x:c r="K150" s="577"/>
      <x:c r="L150" s="578"/>
      <x:c r="M150" s="577"/>
      <x:c r="N150" s="577"/>
      <x:c r="O150" s="577"/>
      <x:c r="P150" s="577"/>
      <x:c r="Q150" s="577"/>
      <x:c r="R150" s="579" t="str">
        <x:f>IF($B150="","",IF($M150="停用","停用",IF($M150="退回補件","退回補件",IF(COUNTIFS($A$7:$A$306,$A150)&gt;1,"要求編號重複",IF(COUNTIFS('醫師模式規則輸入'!$D$7:$D$156,$B150,'醫師模式規則輸入'!$B$7:$B$156,$C150)&lt;&gt;1,"模式或醫師未建立",IF(COUNTIFS('技能主檔_V1'!$A$7:$A$200,$D150,'技能主檔_V1'!$J$7:$J$200,"啟用")&lt;&gt;1,"技能未在主檔啟用",IF(OR($A150="",$E150="",$F150="",$G150="",$H150="",$I150="",$J150="",$K150="",$L150="",$N150=""),IF($M150="已核定","已核定但資料未完整","待補欄位或核定"),IF(OR($O150="",$P150=""),IF($M150="已核定","已核定但缺來源依據","待補來源依據"),IF($M150="已核定","可發布","待主管核定")))))))))</x:f>
      </x:c>
      <x:c r="S150" s="579" t="str">
        <x:f>IF($B150="","",IF($R150="可發布","回到醫師模式規則輸入，將能力要求集標記為已完整",IF(OR($R150="停用",$R150="退回補件"),"依狀態處理",IF(ISNUMBER(SEARCH("來源",$R150)),"補齊來源文件與定位",IF(ISNUMBER(SEARCH("技能",$R150)),"先完成技能名稱對照並發布技能主檔",IF(ISNUMBER(SEARCH("模式",$R150)),"先建立相符的醫師模式規則","補齊欄位並完成主管核定"))))))</x:f>
      </x:c>
    </x:row>
    <x:row r="151">
      <x:c r="A151" s="577"/>
      <x:c r="B151" s="577"/>
      <x:c r="C151" s="577"/>
      <x:c r="D151" s="577"/>
      <x:c r="E151" s="577"/>
      <x:c r="F151" s="577"/>
      <x:c r="G151" s="577"/>
      <x:c r="H151" s="577"/>
      <x:c r="I151" s="577"/>
      <x:c r="J151" s="577"/>
      <x:c r="K151" s="577"/>
      <x:c r="L151" s="578"/>
      <x:c r="M151" s="577"/>
      <x:c r="N151" s="577"/>
      <x:c r="O151" s="577"/>
      <x:c r="P151" s="577"/>
      <x:c r="Q151" s="577"/>
      <x:c r="R151" s="579" t="str">
        <x:f>IF($B151="","",IF($M151="停用","停用",IF($M151="退回補件","退回補件",IF(COUNTIFS($A$7:$A$306,$A151)&gt;1,"要求編號重複",IF(COUNTIFS('醫師模式規則輸入'!$D$7:$D$156,$B151,'醫師模式規則輸入'!$B$7:$B$156,$C151)&lt;&gt;1,"模式或醫師未建立",IF(COUNTIFS('技能主檔_V1'!$A$7:$A$200,$D151,'技能主檔_V1'!$J$7:$J$200,"啟用")&lt;&gt;1,"技能未在主檔啟用",IF(OR($A151="",$E151="",$F151="",$G151="",$H151="",$I151="",$J151="",$K151="",$L151="",$N151=""),IF($M151="已核定","已核定但資料未完整","待補欄位或核定"),IF(OR($O151="",$P151=""),IF($M151="已核定","已核定但缺來源依據","待補來源依據"),IF($M151="已核定","可發布","待主管核定")))))))))</x:f>
      </x:c>
      <x:c r="S151" s="579" t="str">
        <x:f>IF($B151="","",IF($R151="可發布","回到醫師模式規則輸入，將能力要求集標記為已完整",IF(OR($R151="停用",$R151="退回補件"),"依狀態處理",IF(ISNUMBER(SEARCH("來源",$R151)),"補齊來源文件與定位",IF(ISNUMBER(SEARCH("技能",$R151)),"先完成技能名稱對照並發布技能主檔",IF(ISNUMBER(SEARCH("模式",$R151)),"先建立相符的醫師模式規則","補齊欄位並完成主管核定"))))))</x:f>
      </x:c>
    </x:row>
    <x:row r="152">
      <x:c r="A152" s="577"/>
      <x:c r="B152" s="577"/>
      <x:c r="C152" s="577"/>
      <x:c r="D152" s="577"/>
      <x:c r="E152" s="577"/>
      <x:c r="F152" s="577"/>
      <x:c r="G152" s="577"/>
      <x:c r="H152" s="577"/>
      <x:c r="I152" s="577"/>
      <x:c r="J152" s="577"/>
      <x:c r="K152" s="577"/>
      <x:c r="L152" s="578"/>
      <x:c r="M152" s="577"/>
      <x:c r="N152" s="577"/>
      <x:c r="O152" s="577"/>
      <x:c r="P152" s="577"/>
      <x:c r="Q152" s="577"/>
      <x:c r="R152" s="579" t="str">
        <x:f>IF($B152="","",IF($M152="停用","停用",IF($M152="退回補件","退回補件",IF(COUNTIFS($A$7:$A$306,$A152)&gt;1,"要求編號重複",IF(COUNTIFS('醫師模式規則輸入'!$D$7:$D$156,$B152,'醫師模式規則輸入'!$B$7:$B$156,$C152)&lt;&gt;1,"模式或醫師未建立",IF(COUNTIFS('技能主檔_V1'!$A$7:$A$200,$D152,'技能主檔_V1'!$J$7:$J$200,"啟用")&lt;&gt;1,"技能未在主檔啟用",IF(OR($A152="",$E152="",$F152="",$G152="",$H152="",$I152="",$J152="",$K152="",$L152="",$N152=""),IF($M152="已核定","已核定但資料未完整","待補欄位或核定"),IF(OR($O152="",$P152=""),IF($M152="已核定","已核定但缺來源依據","待補來源依據"),IF($M152="已核定","可發布","待主管核定")))))))))</x:f>
      </x:c>
      <x:c r="S152" s="579" t="str">
        <x:f>IF($B152="","",IF($R152="可發布","回到醫師模式規則輸入，將能力要求集標記為已完整",IF(OR($R152="停用",$R152="退回補件"),"依狀態處理",IF(ISNUMBER(SEARCH("來源",$R152)),"補齊來源文件與定位",IF(ISNUMBER(SEARCH("技能",$R152)),"先完成技能名稱對照並發布技能主檔",IF(ISNUMBER(SEARCH("模式",$R152)),"先建立相符的醫師模式規則","補齊欄位並完成主管核定"))))))</x:f>
      </x:c>
    </x:row>
    <x:row r="153">
      <x:c r="A153" s="577"/>
      <x:c r="B153" s="577"/>
      <x:c r="C153" s="577"/>
      <x:c r="D153" s="577"/>
      <x:c r="E153" s="577"/>
      <x:c r="F153" s="577"/>
      <x:c r="G153" s="577"/>
      <x:c r="H153" s="577"/>
      <x:c r="I153" s="577"/>
      <x:c r="J153" s="577"/>
      <x:c r="K153" s="577"/>
      <x:c r="L153" s="578"/>
      <x:c r="M153" s="577"/>
      <x:c r="N153" s="577"/>
      <x:c r="O153" s="577"/>
      <x:c r="P153" s="577"/>
      <x:c r="Q153" s="577"/>
      <x:c r="R153" s="579" t="str">
        <x:f>IF($B153="","",IF($M153="停用","停用",IF($M153="退回補件","退回補件",IF(COUNTIFS($A$7:$A$306,$A153)&gt;1,"要求編號重複",IF(COUNTIFS('醫師模式規則輸入'!$D$7:$D$156,$B153,'醫師模式規則輸入'!$B$7:$B$156,$C153)&lt;&gt;1,"模式或醫師未建立",IF(COUNTIFS('技能主檔_V1'!$A$7:$A$200,$D153,'技能主檔_V1'!$J$7:$J$200,"啟用")&lt;&gt;1,"技能未在主檔啟用",IF(OR($A153="",$E153="",$F153="",$G153="",$H153="",$I153="",$J153="",$K153="",$L153="",$N153=""),IF($M153="已核定","已核定但資料未完整","待補欄位或核定"),IF(OR($O153="",$P153=""),IF($M153="已核定","已核定但缺來源依據","待補來源依據"),IF($M153="已核定","可發布","待主管核定")))))))))</x:f>
      </x:c>
      <x:c r="S153" s="579" t="str">
        <x:f>IF($B153="","",IF($R153="可發布","回到醫師模式規則輸入，將能力要求集標記為已完整",IF(OR($R153="停用",$R153="退回補件"),"依狀態處理",IF(ISNUMBER(SEARCH("來源",$R153)),"補齊來源文件與定位",IF(ISNUMBER(SEARCH("技能",$R153)),"先完成技能名稱對照並發布技能主檔",IF(ISNUMBER(SEARCH("模式",$R153)),"先建立相符的醫師模式規則","補齊欄位並完成主管核定"))))))</x:f>
      </x:c>
    </x:row>
    <x:row r="154">
      <x:c r="A154" s="577"/>
      <x:c r="B154" s="577"/>
      <x:c r="C154" s="577"/>
      <x:c r="D154" s="577"/>
      <x:c r="E154" s="577"/>
      <x:c r="F154" s="577"/>
      <x:c r="G154" s="577"/>
      <x:c r="H154" s="577"/>
      <x:c r="I154" s="577"/>
      <x:c r="J154" s="577"/>
      <x:c r="K154" s="577"/>
      <x:c r="L154" s="578"/>
      <x:c r="M154" s="577"/>
      <x:c r="N154" s="577"/>
      <x:c r="O154" s="577"/>
      <x:c r="P154" s="577"/>
      <x:c r="Q154" s="577"/>
      <x:c r="R154" s="579" t="str">
        <x:f>IF($B154="","",IF($M154="停用","停用",IF($M154="退回補件","退回補件",IF(COUNTIFS($A$7:$A$306,$A154)&gt;1,"要求編號重複",IF(COUNTIFS('醫師模式規則輸入'!$D$7:$D$156,$B154,'醫師模式規則輸入'!$B$7:$B$156,$C154)&lt;&gt;1,"模式或醫師未建立",IF(COUNTIFS('技能主檔_V1'!$A$7:$A$200,$D154,'技能主檔_V1'!$J$7:$J$200,"啟用")&lt;&gt;1,"技能未在主檔啟用",IF(OR($A154="",$E154="",$F154="",$G154="",$H154="",$I154="",$J154="",$K154="",$L154="",$N154=""),IF($M154="已核定","已核定但資料未完整","待補欄位或核定"),IF(OR($O154="",$P154=""),IF($M154="已核定","已核定但缺來源依據","待補來源依據"),IF($M154="已核定","可發布","待主管核定")))))))))</x:f>
      </x:c>
      <x:c r="S154" s="579" t="str">
        <x:f>IF($B154="","",IF($R154="可發布","回到醫師模式規則輸入，將能力要求集標記為已完整",IF(OR($R154="停用",$R154="退回補件"),"依狀態處理",IF(ISNUMBER(SEARCH("來源",$R154)),"補齊來源文件與定位",IF(ISNUMBER(SEARCH("技能",$R154)),"先完成技能名稱對照並發布技能主檔",IF(ISNUMBER(SEARCH("模式",$R154)),"先建立相符的醫師模式規則","補齊欄位並完成主管核定"))))))</x:f>
      </x:c>
    </x:row>
    <x:row r="155">
      <x:c r="A155" s="577"/>
      <x:c r="B155" s="577"/>
      <x:c r="C155" s="577"/>
      <x:c r="D155" s="577"/>
      <x:c r="E155" s="577"/>
      <x:c r="F155" s="577"/>
      <x:c r="G155" s="577"/>
      <x:c r="H155" s="577"/>
      <x:c r="I155" s="577"/>
      <x:c r="J155" s="577"/>
      <x:c r="K155" s="577"/>
      <x:c r="L155" s="578"/>
      <x:c r="M155" s="577"/>
      <x:c r="N155" s="577"/>
      <x:c r="O155" s="577"/>
      <x:c r="P155" s="577"/>
      <x:c r="Q155" s="577"/>
      <x:c r="R155" s="579" t="str">
        <x:f>IF($B155="","",IF($M155="停用","停用",IF($M155="退回補件","退回補件",IF(COUNTIFS($A$7:$A$306,$A155)&gt;1,"要求編號重複",IF(COUNTIFS('醫師模式規則輸入'!$D$7:$D$156,$B155,'醫師模式規則輸入'!$B$7:$B$156,$C155)&lt;&gt;1,"模式或醫師未建立",IF(COUNTIFS('技能主檔_V1'!$A$7:$A$200,$D155,'技能主檔_V1'!$J$7:$J$200,"啟用")&lt;&gt;1,"技能未在主檔啟用",IF(OR($A155="",$E155="",$F155="",$G155="",$H155="",$I155="",$J155="",$K155="",$L155="",$N155=""),IF($M155="已核定","已核定但資料未完整","待補欄位或核定"),IF(OR($O155="",$P155=""),IF($M155="已核定","已核定但缺來源依據","待補來源依據"),IF($M155="已核定","可發布","待主管核定")))))))))</x:f>
      </x:c>
      <x:c r="S155" s="579" t="str">
        <x:f>IF($B155="","",IF($R155="可發布","回到醫師模式規則輸入，將能力要求集標記為已完整",IF(OR($R155="停用",$R155="退回補件"),"依狀態處理",IF(ISNUMBER(SEARCH("來源",$R155)),"補齊來源文件與定位",IF(ISNUMBER(SEARCH("技能",$R155)),"先完成技能名稱對照並發布技能主檔",IF(ISNUMBER(SEARCH("模式",$R155)),"先建立相符的醫師模式規則","補齊欄位並完成主管核定"))))))</x:f>
      </x:c>
    </x:row>
    <x:row r="156">
      <x:c r="A156" s="577"/>
      <x:c r="B156" s="577"/>
      <x:c r="C156" s="577"/>
      <x:c r="D156" s="577"/>
      <x:c r="E156" s="577"/>
      <x:c r="F156" s="577"/>
      <x:c r="G156" s="577"/>
      <x:c r="H156" s="577"/>
      <x:c r="I156" s="577"/>
      <x:c r="J156" s="577"/>
      <x:c r="K156" s="577"/>
      <x:c r="L156" s="578"/>
      <x:c r="M156" s="577"/>
      <x:c r="N156" s="577"/>
      <x:c r="O156" s="577"/>
      <x:c r="P156" s="577"/>
      <x:c r="Q156" s="577"/>
      <x:c r="R156" s="579" t="str">
        <x:f>IF($B156="","",IF($M156="停用","停用",IF($M156="退回補件","退回補件",IF(COUNTIFS($A$7:$A$306,$A156)&gt;1,"要求編號重複",IF(COUNTIFS('醫師模式規則輸入'!$D$7:$D$156,$B156,'醫師模式規則輸入'!$B$7:$B$156,$C156)&lt;&gt;1,"模式或醫師未建立",IF(COUNTIFS('技能主檔_V1'!$A$7:$A$200,$D156,'技能主檔_V1'!$J$7:$J$200,"啟用")&lt;&gt;1,"技能未在主檔啟用",IF(OR($A156="",$E156="",$F156="",$G156="",$H156="",$I156="",$J156="",$K156="",$L156="",$N156=""),IF($M156="已核定","已核定但資料未完整","待補欄位或核定"),IF(OR($O156="",$P156=""),IF($M156="已核定","已核定但缺來源依據","待補來源依據"),IF($M156="已核定","可發布","待主管核定")))))))))</x:f>
      </x:c>
      <x:c r="S156" s="579" t="str">
        <x:f>IF($B156="","",IF($R156="可發布","回到醫師模式規則輸入，將能力要求集標記為已完整",IF(OR($R156="停用",$R156="退回補件"),"依狀態處理",IF(ISNUMBER(SEARCH("來源",$R156)),"補齊來源文件與定位",IF(ISNUMBER(SEARCH("技能",$R156)),"先完成技能名稱對照並發布技能主檔",IF(ISNUMBER(SEARCH("模式",$R156)),"先建立相符的醫師模式規則","補齊欄位並完成主管核定"))))))</x:f>
      </x:c>
    </x:row>
    <x:row r="157">
      <x:c r="A157" s="577"/>
      <x:c r="B157" s="577"/>
      <x:c r="C157" s="577"/>
      <x:c r="D157" s="577"/>
      <x:c r="E157" s="577"/>
      <x:c r="F157" s="577"/>
      <x:c r="G157" s="577"/>
      <x:c r="H157" s="577"/>
      <x:c r="I157" s="577"/>
      <x:c r="J157" s="577"/>
      <x:c r="K157" s="577"/>
      <x:c r="L157" s="578"/>
      <x:c r="M157" s="577"/>
      <x:c r="N157" s="577"/>
      <x:c r="O157" s="577"/>
      <x:c r="P157" s="577"/>
      <x:c r="Q157" s="577"/>
      <x:c r="R157" s="579" t="str">
        <x:f>IF($B157="","",IF($M157="停用","停用",IF($M157="退回補件","退回補件",IF(COUNTIFS($A$7:$A$306,$A157)&gt;1,"要求編號重複",IF(COUNTIFS('醫師模式規則輸入'!$D$7:$D$156,$B157,'醫師模式規則輸入'!$B$7:$B$156,$C157)&lt;&gt;1,"模式或醫師未建立",IF(COUNTIFS('技能主檔_V1'!$A$7:$A$200,$D157,'技能主檔_V1'!$J$7:$J$200,"啟用")&lt;&gt;1,"技能未在主檔啟用",IF(OR($A157="",$E157="",$F157="",$G157="",$H157="",$I157="",$J157="",$K157="",$L157="",$N157=""),IF($M157="已核定","已核定但資料未完整","待補欄位或核定"),IF(OR($O157="",$P157=""),IF($M157="已核定","已核定但缺來源依據","待補來源依據"),IF($M157="已核定","可發布","待主管核定")))))))))</x:f>
      </x:c>
      <x:c r="S157" s="579" t="str">
        <x:f>IF($B157="","",IF($R157="可發布","回到醫師模式規則輸入，將能力要求集標記為已完整",IF(OR($R157="停用",$R157="退回補件"),"依狀態處理",IF(ISNUMBER(SEARCH("來源",$R157)),"補齊來源文件與定位",IF(ISNUMBER(SEARCH("技能",$R157)),"先完成技能名稱對照並發布技能主檔",IF(ISNUMBER(SEARCH("模式",$R157)),"先建立相符的醫師模式規則","補齊欄位並完成主管核定"))))))</x:f>
      </x:c>
    </x:row>
    <x:row r="158">
      <x:c r="A158" s="577"/>
      <x:c r="B158" s="577"/>
      <x:c r="C158" s="577"/>
      <x:c r="D158" s="577"/>
      <x:c r="E158" s="577"/>
      <x:c r="F158" s="577"/>
      <x:c r="G158" s="577"/>
      <x:c r="H158" s="577"/>
      <x:c r="I158" s="577"/>
      <x:c r="J158" s="577"/>
      <x:c r="K158" s="577"/>
      <x:c r="L158" s="578"/>
      <x:c r="M158" s="577"/>
      <x:c r="N158" s="577"/>
      <x:c r="O158" s="577"/>
      <x:c r="P158" s="577"/>
      <x:c r="Q158" s="577"/>
      <x:c r="R158" s="579" t="str">
        <x:f>IF($B158="","",IF($M158="停用","停用",IF($M158="退回補件","退回補件",IF(COUNTIFS($A$7:$A$306,$A158)&gt;1,"要求編號重複",IF(COUNTIFS('醫師模式規則輸入'!$D$7:$D$156,$B158,'醫師模式規則輸入'!$B$7:$B$156,$C158)&lt;&gt;1,"模式或醫師未建立",IF(COUNTIFS('技能主檔_V1'!$A$7:$A$200,$D158,'技能主檔_V1'!$J$7:$J$200,"啟用")&lt;&gt;1,"技能未在主檔啟用",IF(OR($A158="",$E158="",$F158="",$G158="",$H158="",$I158="",$J158="",$K158="",$L158="",$N158=""),IF($M158="已核定","已核定但資料未完整","待補欄位或核定"),IF(OR($O158="",$P158=""),IF($M158="已核定","已核定但缺來源依據","待補來源依據"),IF($M158="已核定","可發布","待主管核定")))))))))</x:f>
      </x:c>
      <x:c r="S158" s="579" t="str">
        <x:f>IF($B158="","",IF($R158="可發布","回到醫師模式規則輸入，將能力要求集標記為已完整",IF(OR($R158="停用",$R158="退回補件"),"依狀態處理",IF(ISNUMBER(SEARCH("來源",$R158)),"補齊來源文件與定位",IF(ISNUMBER(SEARCH("技能",$R158)),"先完成技能名稱對照並發布技能主檔",IF(ISNUMBER(SEARCH("模式",$R158)),"先建立相符的醫師模式規則","補齊欄位並完成主管核定"))))))</x:f>
      </x:c>
    </x:row>
    <x:row r="159">
      <x:c r="A159" s="577"/>
      <x:c r="B159" s="577"/>
      <x:c r="C159" s="577"/>
      <x:c r="D159" s="577"/>
      <x:c r="E159" s="577"/>
      <x:c r="F159" s="577"/>
      <x:c r="G159" s="577"/>
      <x:c r="H159" s="577"/>
      <x:c r="I159" s="577"/>
      <x:c r="J159" s="577"/>
      <x:c r="K159" s="577"/>
      <x:c r="L159" s="578"/>
      <x:c r="M159" s="577"/>
      <x:c r="N159" s="577"/>
      <x:c r="O159" s="577"/>
      <x:c r="P159" s="577"/>
      <x:c r="Q159" s="577"/>
      <x:c r="R159" s="579" t="str">
        <x:f>IF($B159="","",IF($M159="停用","停用",IF($M159="退回補件","退回補件",IF(COUNTIFS($A$7:$A$306,$A159)&gt;1,"要求編號重複",IF(COUNTIFS('醫師模式規則輸入'!$D$7:$D$156,$B159,'醫師模式規則輸入'!$B$7:$B$156,$C159)&lt;&gt;1,"模式或醫師未建立",IF(COUNTIFS('技能主檔_V1'!$A$7:$A$200,$D159,'技能主檔_V1'!$J$7:$J$200,"啟用")&lt;&gt;1,"技能未在主檔啟用",IF(OR($A159="",$E159="",$F159="",$G159="",$H159="",$I159="",$J159="",$K159="",$L159="",$N159=""),IF($M159="已核定","已核定但資料未完整","待補欄位或核定"),IF(OR($O159="",$P159=""),IF($M159="已核定","已核定但缺來源依據","待補來源依據"),IF($M159="已核定","可發布","待主管核定")))))))))</x:f>
      </x:c>
      <x:c r="S159" s="579" t="str">
        <x:f>IF($B159="","",IF($R159="可發布","回到醫師模式規則輸入，將能力要求集標記為已完整",IF(OR($R159="停用",$R159="退回補件"),"依狀態處理",IF(ISNUMBER(SEARCH("來源",$R159)),"補齊來源文件與定位",IF(ISNUMBER(SEARCH("技能",$R159)),"先完成技能名稱對照並發布技能主檔",IF(ISNUMBER(SEARCH("模式",$R159)),"先建立相符的醫師模式規則","補齊欄位並完成主管核定"))))))</x:f>
      </x:c>
    </x:row>
    <x:row r="160">
      <x:c r="A160" s="577"/>
      <x:c r="B160" s="577"/>
      <x:c r="C160" s="577"/>
      <x:c r="D160" s="577"/>
      <x:c r="E160" s="577"/>
      <x:c r="F160" s="577"/>
      <x:c r="G160" s="577"/>
      <x:c r="H160" s="577"/>
      <x:c r="I160" s="577"/>
      <x:c r="J160" s="577"/>
      <x:c r="K160" s="577"/>
      <x:c r="L160" s="578"/>
      <x:c r="M160" s="577"/>
      <x:c r="N160" s="577"/>
      <x:c r="O160" s="577"/>
      <x:c r="P160" s="577"/>
      <x:c r="Q160" s="577"/>
      <x:c r="R160" s="579" t="str">
        <x:f>IF($B160="","",IF($M160="停用","停用",IF($M160="退回補件","退回補件",IF(COUNTIFS($A$7:$A$306,$A160)&gt;1,"要求編號重複",IF(COUNTIFS('醫師模式規則輸入'!$D$7:$D$156,$B160,'醫師模式規則輸入'!$B$7:$B$156,$C160)&lt;&gt;1,"模式或醫師未建立",IF(COUNTIFS('技能主檔_V1'!$A$7:$A$200,$D160,'技能主檔_V1'!$J$7:$J$200,"啟用")&lt;&gt;1,"技能未在主檔啟用",IF(OR($A160="",$E160="",$F160="",$G160="",$H160="",$I160="",$J160="",$K160="",$L160="",$N160=""),IF($M160="已核定","已核定但資料未完整","待補欄位或核定"),IF(OR($O160="",$P160=""),IF($M160="已核定","已核定但缺來源依據","待補來源依據"),IF($M160="已核定","可發布","待主管核定")))))))))</x:f>
      </x:c>
      <x:c r="S160" s="579" t="str">
        <x:f>IF($B160="","",IF($R160="可發布","回到醫師模式規則輸入，將能力要求集標記為已完整",IF(OR($R160="停用",$R160="退回補件"),"依狀態處理",IF(ISNUMBER(SEARCH("來源",$R160)),"補齊來源文件與定位",IF(ISNUMBER(SEARCH("技能",$R160)),"先完成技能名稱對照並發布技能主檔",IF(ISNUMBER(SEARCH("模式",$R160)),"先建立相符的醫師模式規則","補齊欄位並完成主管核定"))))))</x:f>
      </x:c>
    </x:row>
    <x:row r="161">
      <x:c r="A161" s="577"/>
      <x:c r="B161" s="577"/>
      <x:c r="C161" s="577"/>
      <x:c r="D161" s="577"/>
      <x:c r="E161" s="577"/>
      <x:c r="F161" s="577"/>
      <x:c r="G161" s="577"/>
      <x:c r="H161" s="577"/>
      <x:c r="I161" s="577"/>
      <x:c r="J161" s="577"/>
      <x:c r="K161" s="577"/>
      <x:c r="L161" s="578"/>
      <x:c r="M161" s="577"/>
      <x:c r="N161" s="577"/>
      <x:c r="O161" s="577"/>
      <x:c r="P161" s="577"/>
      <x:c r="Q161" s="577"/>
      <x:c r="R161" s="579" t="str">
        <x:f>IF($B161="","",IF($M161="停用","停用",IF($M161="退回補件","退回補件",IF(COUNTIFS($A$7:$A$306,$A161)&gt;1,"要求編號重複",IF(COUNTIFS('醫師模式規則輸入'!$D$7:$D$156,$B161,'醫師模式規則輸入'!$B$7:$B$156,$C161)&lt;&gt;1,"模式或醫師未建立",IF(COUNTIFS('技能主檔_V1'!$A$7:$A$200,$D161,'技能主檔_V1'!$J$7:$J$200,"啟用")&lt;&gt;1,"技能未在主檔啟用",IF(OR($A161="",$E161="",$F161="",$G161="",$H161="",$I161="",$J161="",$K161="",$L161="",$N161=""),IF($M161="已核定","已核定但資料未完整","待補欄位或核定"),IF(OR($O161="",$P161=""),IF($M161="已核定","已核定但缺來源依據","待補來源依據"),IF($M161="已核定","可發布","待主管核定")))))))))</x:f>
      </x:c>
      <x:c r="S161" s="579" t="str">
        <x:f>IF($B161="","",IF($R161="可發布","回到醫師模式規則輸入，將能力要求集標記為已完整",IF(OR($R161="停用",$R161="退回補件"),"依狀態處理",IF(ISNUMBER(SEARCH("來源",$R161)),"補齊來源文件與定位",IF(ISNUMBER(SEARCH("技能",$R161)),"先完成技能名稱對照並發布技能主檔",IF(ISNUMBER(SEARCH("模式",$R161)),"先建立相符的醫師模式規則","補齊欄位並完成主管核定"))))))</x:f>
      </x:c>
    </x:row>
    <x:row r="162">
      <x:c r="A162" s="577"/>
      <x:c r="B162" s="577"/>
      <x:c r="C162" s="577"/>
      <x:c r="D162" s="577"/>
      <x:c r="E162" s="577"/>
      <x:c r="F162" s="577"/>
      <x:c r="G162" s="577"/>
      <x:c r="H162" s="577"/>
      <x:c r="I162" s="577"/>
      <x:c r="J162" s="577"/>
      <x:c r="K162" s="577"/>
      <x:c r="L162" s="578"/>
      <x:c r="M162" s="577"/>
      <x:c r="N162" s="577"/>
      <x:c r="O162" s="577"/>
      <x:c r="P162" s="577"/>
      <x:c r="Q162" s="577"/>
      <x:c r="R162" s="579" t="str">
        <x:f>IF($B162="","",IF($M162="停用","停用",IF($M162="退回補件","退回補件",IF(COUNTIFS($A$7:$A$306,$A162)&gt;1,"要求編號重複",IF(COUNTIFS('醫師模式規則輸入'!$D$7:$D$156,$B162,'醫師模式規則輸入'!$B$7:$B$156,$C162)&lt;&gt;1,"模式或醫師未建立",IF(COUNTIFS('技能主檔_V1'!$A$7:$A$200,$D162,'技能主檔_V1'!$J$7:$J$200,"啟用")&lt;&gt;1,"技能未在主檔啟用",IF(OR($A162="",$E162="",$F162="",$G162="",$H162="",$I162="",$J162="",$K162="",$L162="",$N162=""),IF($M162="已核定","已核定但資料未完整","待補欄位或核定"),IF(OR($O162="",$P162=""),IF($M162="已核定","已核定但缺來源依據","待補來源依據"),IF($M162="已核定","可發布","待主管核定")))))))))</x:f>
      </x:c>
      <x:c r="S162" s="579" t="str">
        <x:f>IF($B162="","",IF($R162="可發布","回到醫師模式規則輸入，將能力要求集標記為已完整",IF(OR($R162="停用",$R162="退回補件"),"依狀態處理",IF(ISNUMBER(SEARCH("來源",$R162)),"補齊來源文件與定位",IF(ISNUMBER(SEARCH("技能",$R162)),"先完成技能名稱對照並發布技能主檔",IF(ISNUMBER(SEARCH("模式",$R162)),"先建立相符的醫師模式規則","補齊欄位並完成主管核定"))))))</x:f>
      </x:c>
    </x:row>
    <x:row r="163">
      <x:c r="A163" s="577"/>
      <x:c r="B163" s="577"/>
      <x:c r="C163" s="577"/>
      <x:c r="D163" s="577"/>
      <x:c r="E163" s="577"/>
      <x:c r="F163" s="577"/>
      <x:c r="G163" s="577"/>
      <x:c r="H163" s="577"/>
      <x:c r="I163" s="577"/>
      <x:c r="J163" s="577"/>
      <x:c r="K163" s="577"/>
      <x:c r="L163" s="578"/>
      <x:c r="M163" s="577"/>
      <x:c r="N163" s="577"/>
      <x:c r="O163" s="577"/>
      <x:c r="P163" s="577"/>
      <x:c r="Q163" s="577"/>
      <x:c r="R163" s="579" t="str">
        <x:f>IF($B163="","",IF($M163="停用","停用",IF($M163="退回補件","退回補件",IF(COUNTIFS($A$7:$A$306,$A163)&gt;1,"要求編號重複",IF(COUNTIFS('醫師模式規則輸入'!$D$7:$D$156,$B163,'醫師模式規則輸入'!$B$7:$B$156,$C163)&lt;&gt;1,"模式或醫師未建立",IF(COUNTIFS('技能主檔_V1'!$A$7:$A$200,$D163,'技能主檔_V1'!$J$7:$J$200,"啟用")&lt;&gt;1,"技能未在主檔啟用",IF(OR($A163="",$E163="",$F163="",$G163="",$H163="",$I163="",$J163="",$K163="",$L163="",$N163=""),IF($M163="已核定","已核定但資料未完整","待補欄位或核定"),IF(OR($O163="",$P163=""),IF($M163="已核定","已核定但缺來源依據","待補來源依據"),IF($M163="已核定","可發布","待主管核定")))))))))</x:f>
      </x:c>
      <x:c r="S163" s="579" t="str">
        <x:f>IF($B163="","",IF($R163="可發布","回到醫師模式規則輸入，將能力要求集標記為已完整",IF(OR($R163="停用",$R163="退回補件"),"依狀態處理",IF(ISNUMBER(SEARCH("來源",$R163)),"補齊來源文件與定位",IF(ISNUMBER(SEARCH("技能",$R163)),"先完成技能名稱對照並發布技能主檔",IF(ISNUMBER(SEARCH("模式",$R163)),"先建立相符的醫師模式規則","補齊欄位並完成主管核定"))))))</x:f>
      </x:c>
    </x:row>
    <x:row r="164">
      <x:c r="A164" s="577"/>
      <x:c r="B164" s="577"/>
      <x:c r="C164" s="577"/>
      <x:c r="D164" s="577"/>
      <x:c r="E164" s="577"/>
      <x:c r="F164" s="577"/>
      <x:c r="G164" s="577"/>
      <x:c r="H164" s="577"/>
      <x:c r="I164" s="577"/>
      <x:c r="J164" s="577"/>
      <x:c r="K164" s="577"/>
      <x:c r="L164" s="578"/>
      <x:c r="M164" s="577"/>
      <x:c r="N164" s="577"/>
      <x:c r="O164" s="577"/>
      <x:c r="P164" s="577"/>
      <x:c r="Q164" s="577"/>
      <x:c r="R164" s="579" t="str">
        <x:f>IF($B164="","",IF($M164="停用","停用",IF($M164="退回補件","退回補件",IF(COUNTIFS($A$7:$A$306,$A164)&gt;1,"要求編號重複",IF(COUNTIFS('醫師模式規則輸入'!$D$7:$D$156,$B164,'醫師模式規則輸入'!$B$7:$B$156,$C164)&lt;&gt;1,"模式或醫師未建立",IF(COUNTIFS('技能主檔_V1'!$A$7:$A$200,$D164,'技能主檔_V1'!$J$7:$J$200,"啟用")&lt;&gt;1,"技能未在主檔啟用",IF(OR($A164="",$E164="",$F164="",$G164="",$H164="",$I164="",$J164="",$K164="",$L164="",$N164=""),IF($M164="已核定","已核定但資料未完整","待補欄位或核定"),IF(OR($O164="",$P164=""),IF($M164="已核定","已核定但缺來源依據","待補來源依據"),IF($M164="已核定","可發布","待主管核定")))))))))</x:f>
      </x:c>
      <x:c r="S164" s="579" t="str">
        <x:f>IF($B164="","",IF($R164="可發布","回到醫師模式規則輸入，將能力要求集標記為已完整",IF(OR($R164="停用",$R164="退回補件"),"依狀態處理",IF(ISNUMBER(SEARCH("來源",$R164)),"補齊來源文件與定位",IF(ISNUMBER(SEARCH("技能",$R164)),"先完成技能名稱對照並發布技能主檔",IF(ISNUMBER(SEARCH("模式",$R164)),"先建立相符的醫師模式規則","補齊欄位並完成主管核定"))))))</x:f>
      </x:c>
    </x:row>
    <x:row r="165">
      <x:c r="A165" s="577"/>
      <x:c r="B165" s="577"/>
      <x:c r="C165" s="577"/>
      <x:c r="D165" s="577"/>
      <x:c r="E165" s="577"/>
      <x:c r="F165" s="577"/>
      <x:c r="G165" s="577"/>
      <x:c r="H165" s="577"/>
      <x:c r="I165" s="577"/>
      <x:c r="J165" s="577"/>
      <x:c r="K165" s="577"/>
      <x:c r="L165" s="578"/>
      <x:c r="M165" s="577"/>
      <x:c r="N165" s="577"/>
      <x:c r="O165" s="577"/>
      <x:c r="P165" s="577"/>
      <x:c r="Q165" s="577"/>
      <x:c r="R165" s="579" t="str">
        <x:f>IF($B165="","",IF($M165="停用","停用",IF($M165="退回補件","退回補件",IF(COUNTIFS($A$7:$A$306,$A165)&gt;1,"要求編號重複",IF(COUNTIFS('醫師模式規則輸入'!$D$7:$D$156,$B165,'醫師模式規則輸入'!$B$7:$B$156,$C165)&lt;&gt;1,"模式或醫師未建立",IF(COUNTIFS('技能主檔_V1'!$A$7:$A$200,$D165,'技能主檔_V1'!$J$7:$J$200,"啟用")&lt;&gt;1,"技能未在主檔啟用",IF(OR($A165="",$E165="",$F165="",$G165="",$H165="",$I165="",$J165="",$K165="",$L165="",$N165=""),IF($M165="已核定","已核定但資料未完整","待補欄位或核定"),IF(OR($O165="",$P165=""),IF($M165="已核定","已核定但缺來源依據","待補來源依據"),IF($M165="已核定","可發布","待主管核定")))))))))</x:f>
      </x:c>
      <x:c r="S165" s="579" t="str">
        <x:f>IF($B165="","",IF($R165="可發布","回到醫師模式規則輸入，將能力要求集標記為已完整",IF(OR($R165="停用",$R165="退回補件"),"依狀態處理",IF(ISNUMBER(SEARCH("來源",$R165)),"補齊來源文件與定位",IF(ISNUMBER(SEARCH("技能",$R165)),"先完成技能名稱對照並發布技能主檔",IF(ISNUMBER(SEARCH("模式",$R165)),"先建立相符的醫師模式規則","補齊欄位並完成主管核定"))))))</x:f>
      </x:c>
    </x:row>
    <x:row r="166">
      <x:c r="A166" s="577"/>
      <x:c r="B166" s="577"/>
      <x:c r="C166" s="577"/>
      <x:c r="D166" s="577"/>
      <x:c r="E166" s="577"/>
      <x:c r="F166" s="577"/>
      <x:c r="G166" s="577"/>
      <x:c r="H166" s="577"/>
      <x:c r="I166" s="577"/>
      <x:c r="J166" s="577"/>
      <x:c r="K166" s="577"/>
      <x:c r="L166" s="578"/>
      <x:c r="M166" s="577"/>
      <x:c r="N166" s="577"/>
      <x:c r="O166" s="577"/>
      <x:c r="P166" s="577"/>
      <x:c r="Q166" s="577"/>
      <x:c r="R166" s="579" t="str">
        <x:f>IF($B166="","",IF($M166="停用","停用",IF($M166="退回補件","退回補件",IF(COUNTIFS($A$7:$A$306,$A166)&gt;1,"要求編號重複",IF(COUNTIFS('醫師模式規則輸入'!$D$7:$D$156,$B166,'醫師模式規則輸入'!$B$7:$B$156,$C166)&lt;&gt;1,"模式或醫師未建立",IF(COUNTIFS('技能主檔_V1'!$A$7:$A$200,$D166,'技能主檔_V1'!$J$7:$J$200,"啟用")&lt;&gt;1,"技能未在主檔啟用",IF(OR($A166="",$E166="",$F166="",$G166="",$H166="",$I166="",$J166="",$K166="",$L166="",$N166=""),IF($M166="已核定","已核定但資料未完整","待補欄位或核定"),IF(OR($O166="",$P166=""),IF($M166="已核定","已核定但缺來源依據","待補來源依據"),IF($M166="已核定","可發布","待主管核定")))))))))</x:f>
      </x:c>
      <x:c r="S166" s="579" t="str">
        <x:f>IF($B166="","",IF($R166="可發布","回到醫師模式規則輸入，將能力要求集標記為已完整",IF(OR($R166="停用",$R166="退回補件"),"依狀態處理",IF(ISNUMBER(SEARCH("來源",$R166)),"補齊來源文件與定位",IF(ISNUMBER(SEARCH("技能",$R166)),"先完成技能名稱對照並發布技能主檔",IF(ISNUMBER(SEARCH("模式",$R166)),"先建立相符的醫師模式規則","補齊欄位並完成主管核定"))))))</x:f>
      </x:c>
    </x:row>
    <x:row r="167">
      <x:c r="A167" s="577"/>
      <x:c r="B167" s="577"/>
      <x:c r="C167" s="577"/>
      <x:c r="D167" s="577"/>
      <x:c r="E167" s="577"/>
      <x:c r="F167" s="577"/>
      <x:c r="G167" s="577"/>
      <x:c r="H167" s="577"/>
      <x:c r="I167" s="577"/>
      <x:c r="J167" s="577"/>
      <x:c r="K167" s="577"/>
      <x:c r="L167" s="578"/>
      <x:c r="M167" s="577"/>
      <x:c r="N167" s="577"/>
      <x:c r="O167" s="577"/>
      <x:c r="P167" s="577"/>
      <x:c r="Q167" s="577"/>
      <x:c r="R167" s="579" t="str">
        <x:f>IF($B167="","",IF($M167="停用","停用",IF($M167="退回補件","退回補件",IF(COUNTIFS($A$7:$A$306,$A167)&gt;1,"要求編號重複",IF(COUNTIFS('醫師模式規則輸入'!$D$7:$D$156,$B167,'醫師模式規則輸入'!$B$7:$B$156,$C167)&lt;&gt;1,"模式或醫師未建立",IF(COUNTIFS('技能主檔_V1'!$A$7:$A$200,$D167,'技能主檔_V1'!$J$7:$J$200,"啟用")&lt;&gt;1,"技能未在主檔啟用",IF(OR($A167="",$E167="",$F167="",$G167="",$H167="",$I167="",$J167="",$K167="",$L167="",$N167=""),IF($M167="已核定","已核定但資料未完整","待補欄位或核定"),IF(OR($O167="",$P167=""),IF($M167="已核定","已核定但缺來源依據","待補來源依據"),IF($M167="已核定","可發布","待主管核定")))))))))</x:f>
      </x:c>
      <x:c r="S167" s="579" t="str">
        <x:f>IF($B167="","",IF($R167="可發布","回到醫師模式規則輸入，將能力要求集標記為已完整",IF(OR($R167="停用",$R167="退回補件"),"依狀態處理",IF(ISNUMBER(SEARCH("來源",$R167)),"補齊來源文件與定位",IF(ISNUMBER(SEARCH("技能",$R167)),"先完成技能名稱對照並發布技能主檔",IF(ISNUMBER(SEARCH("模式",$R167)),"先建立相符的醫師模式規則","補齊欄位並完成主管核定"))))))</x:f>
      </x:c>
    </x:row>
    <x:row r="168">
      <x:c r="A168" s="577"/>
      <x:c r="B168" s="577"/>
      <x:c r="C168" s="577"/>
      <x:c r="D168" s="577"/>
      <x:c r="E168" s="577"/>
      <x:c r="F168" s="577"/>
      <x:c r="G168" s="577"/>
      <x:c r="H168" s="577"/>
      <x:c r="I168" s="577"/>
      <x:c r="J168" s="577"/>
      <x:c r="K168" s="577"/>
      <x:c r="L168" s="578"/>
      <x:c r="M168" s="577"/>
      <x:c r="N168" s="577"/>
      <x:c r="O168" s="577"/>
      <x:c r="P168" s="577"/>
      <x:c r="Q168" s="577"/>
      <x:c r="R168" s="579" t="str">
        <x:f>IF($B168="","",IF($M168="停用","停用",IF($M168="退回補件","退回補件",IF(COUNTIFS($A$7:$A$306,$A168)&gt;1,"要求編號重複",IF(COUNTIFS('醫師模式規則輸入'!$D$7:$D$156,$B168,'醫師模式規則輸入'!$B$7:$B$156,$C168)&lt;&gt;1,"模式或醫師未建立",IF(COUNTIFS('技能主檔_V1'!$A$7:$A$200,$D168,'技能主檔_V1'!$J$7:$J$200,"啟用")&lt;&gt;1,"技能未在主檔啟用",IF(OR($A168="",$E168="",$F168="",$G168="",$H168="",$I168="",$J168="",$K168="",$L168="",$N168=""),IF($M168="已核定","已核定但資料未完整","待補欄位或核定"),IF(OR($O168="",$P168=""),IF($M168="已核定","已核定但缺來源依據","待補來源依據"),IF($M168="已核定","可發布","待主管核定")))))))))</x:f>
      </x:c>
      <x:c r="S168" s="579" t="str">
        <x:f>IF($B168="","",IF($R168="可發布","回到醫師模式規則輸入，將能力要求集標記為已完整",IF(OR($R168="停用",$R168="退回補件"),"依狀態處理",IF(ISNUMBER(SEARCH("來源",$R168)),"補齊來源文件與定位",IF(ISNUMBER(SEARCH("技能",$R168)),"先完成技能名稱對照並發布技能主檔",IF(ISNUMBER(SEARCH("模式",$R168)),"先建立相符的醫師模式規則","補齊欄位並完成主管核定"))))))</x:f>
      </x:c>
    </x:row>
    <x:row r="169">
      <x:c r="A169" s="577"/>
      <x:c r="B169" s="577"/>
      <x:c r="C169" s="577"/>
      <x:c r="D169" s="577"/>
      <x:c r="E169" s="577"/>
      <x:c r="F169" s="577"/>
      <x:c r="G169" s="577"/>
      <x:c r="H169" s="577"/>
      <x:c r="I169" s="577"/>
      <x:c r="J169" s="577"/>
      <x:c r="K169" s="577"/>
      <x:c r="L169" s="578"/>
      <x:c r="M169" s="577"/>
      <x:c r="N169" s="577"/>
      <x:c r="O169" s="577"/>
      <x:c r="P169" s="577"/>
      <x:c r="Q169" s="577"/>
      <x:c r="R169" s="579" t="str">
        <x:f>IF($B169="","",IF($M169="停用","停用",IF($M169="退回補件","退回補件",IF(COUNTIFS($A$7:$A$306,$A169)&gt;1,"要求編號重複",IF(COUNTIFS('醫師模式規則輸入'!$D$7:$D$156,$B169,'醫師模式規則輸入'!$B$7:$B$156,$C169)&lt;&gt;1,"模式或醫師未建立",IF(COUNTIFS('技能主檔_V1'!$A$7:$A$200,$D169,'技能主檔_V1'!$J$7:$J$200,"啟用")&lt;&gt;1,"技能未在主檔啟用",IF(OR($A169="",$E169="",$F169="",$G169="",$H169="",$I169="",$J169="",$K169="",$L169="",$N169=""),IF($M169="已核定","已核定但資料未完整","待補欄位或核定"),IF(OR($O169="",$P169=""),IF($M169="已核定","已核定但缺來源依據","待補來源依據"),IF($M169="已核定","可發布","待主管核定")))))))))</x:f>
      </x:c>
      <x:c r="S169" s="579" t="str">
        <x:f>IF($B169="","",IF($R169="可發布","回到醫師模式規則輸入，將能力要求集標記為已完整",IF(OR($R169="停用",$R169="退回補件"),"依狀態處理",IF(ISNUMBER(SEARCH("來源",$R169)),"補齊來源文件與定位",IF(ISNUMBER(SEARCH("技能",$R169)),"先完成技能名稱對照並發布技能主檔",IF(ISNUMBER(SEARCH("模式",$R169)),"先建立相符的醫師模式規則","補齊欄位並完成主管核定"))))))</x:f>
      </x:c>
    </x:row>
    <x:row r="170">
      <x:c r="A170" s="577"/>
      <x:c r="B170" s="577"/>
      <x:c r="C170" s="577"/>
      <x:c r="D170" s="577"/>
      <x:c r="E170" s="577"/>
      <x:c r="F170" s="577"/>
      <x:c r="G170" s="577"/>
      <x:c r="H170" s="577"/>
      <x:c r="I170" s="577"/>
      <x:c r="J170" s="577"/>
      <x:c r="K170" s="577"/>
      <x:c r="L170" s="578"/>
      <x:c r="M170" s="577"/>
      <x:c r="N170" s="577"/>
      <x:c r="O170" s="577"/>
      <x:c r="P170" s="577"/>
      <x:c r="Q170" s="577"/>
      <x:c r="R170" s="579" t="str">
        <x:f>IF($B170="","",IF($M170="停用","停用",IF($M170="退回補件","退回補件",IF(COUNTIFS($A$7:$A$306,$A170)&gt;1,"要求編號重複",IF(COUNTIFS('醫師模式規則輸入'!$D$7:$D$156,$B170,'醫師模式規則輸入'!$B$7:$B$156,$C170)&lt;&gt;1,"模式或醫師未建立",IF(COUNTIFS('技能主檔_V1'!$A$7:$A$200,$D170,'技能主檔_V1'!$J$7:$J$200,"啟用")&lt;&gt;1,"技能未在主檔啟用",IF(OR($A170="",$E170="",$F170="",$G170="",$H170="",$I170="",$J170="",$K170="",$L170="",$N170=""),IF($M170="已核定","已核定但資料未完整","待補欄位或核定"),IF(OR($O170="",$P170=""),IF($M170="已核定","已核定但缺來源依據","待補來源依據"),IF($M170="已核定","可發布","待主管核定")))))))))</x:f>
      </x:c>
      <x:c r="S170" s="579" t="str">
        <x:f>IF($B170="","",IF($R170="可發布","回到醫師模式規則輸入，將能力要求集標記為已完整",IF(OR($R170="停用",$R170="退回補件"),"依狀態處理",IF(ISNUMBER(SEARCH("來源",$R170)),"補齊來源文件與定位",IF(ISNUMBER(SEARCH("技能",$R170)),"先完成技能名稱對照並發布技能主檔",IF(ISNUMBER(SEARCH("模式",$R170)),"先建立相符的醫師模式規則","補齊欄位並完成主管核定"))))))</x:f>
      </x:c>
    </x:row>
    <x:row r="171">
      <x:c r="A171" s="577"/>
      <x:c r="B171" s="577"/>
      <x:c r="C171" s="577"/>
      <x:c r="D171" s="577"/>
      <x:c r="E171" s="577"/>
      <x:c r="F171" s="577"/>
      <x:c r="G171" s="577"/>
      <x:c r="H171" s="577"/>
      <x:c r="I171" s="577"/>
      <x:c r="J171" s="577"/>
      <x:c r="K171" s="577"/>
      <x:c r="L171" s="578"/>
      <x:c r="M171" s="577"/>
      <x:c r="N171" s="577"/>
      <x:c r="O171" s="577"/>
      <x:c r="P171" s="577"/>
      <x:c r="Q171" s="577"/>
      <x:c r="R171" s="579" t="str">
        <x:f>IF($B171="","",IF($M171="停用","停用",IF($M171="退回補件","退回補件",IF(COUNTIFS($A$7:$A$306,$A171)&gt;1,"要求編號重複",IF(COUNTIFS('醫師模式規則輸入'!$D$7:$D$156,$B171,'醫師模式規則輸入'!$B$7:$B$156,$C171)&lt;&gt;1,"模式或醫師未建立",IF(COUNTIFS('技能主檔_V1'!$A$7:$A$200,$D171,'技能主檔_V1'!$J$7:$J$200,"啟用")&lt;&gt;1,"技能未在主檔啟用",IF(OR($A171="",$E171="",$F171="",$G171="",$H171="",$I171="",$J171="",$K171="",$L171="",$N171=""),IF($M171="已核定","已核定但資料未完整","待補欄位或核定"),IF(OR($O171="",$P171=""),IF($M171="已核定","已核定但缺來源依據","待補來源依據"),IF($M171="已核定","可發布","待主管核定")))))))))</x:f>
      </x:c>
      <x:c r="S171" s="579" t="str">
        <x:f>IF($B171="","",IF($R171="可發布","回到醫師模式規則輸入，將能力要求集標記為已完整",IF(OR($R171="停用",$R171="退回補件"),"依狀態處理",IF(ISNUMBER(SEARCH("來源",$R171)),"補齊來源文件與定位",IF(ISNUMBER(SEARCH("技能",$R171)),"先完成技能名稱對照並發布技能主檔",IF(ISNUMBER(SEARCH("模式",$R171)),"先建立相符的醫師模式規則","補齊欄位並完成主管核定"))))))</x:f>
      </x:c>
    </x:row>
    <x:row r="172">
      <x:c r="A172" s="577"/>
      <x:c r="B172" s="577"/>
      <x:c r="C172" s="577"/>
      <x:c r="D172" s="577"/>
      <x:c r="E172" s="577"/>
      <x:c r="F172" s="577"/>
      <x:c r="G172" s="577"/>
      <x:c r="H172" s="577"/>
      <x:c r="I172" s="577"/>
      <x:c r="J172" s="577"/>
      <x:c r="K172" s="577"/>
      <x:c r="L172" s="578"/>
      <x:c r="M172" s="577"/>
      <x:c r="N172" s="577"/>
      <x:c r="O172" s="577"/>
      <x:c r="P172" s="577"/>
      <x:c r="Q172" s="577"/>
      <x:c r="R172" s="579" t="str">
        <x:f>IF($B172="","",IF($M172="停用","停用",IF($M172="退回補件","退回補件",IF(COUNTIFS($A$7:$A$306,$A172)&gt;1,"要求編號重複",IF(COUNTIFS('醫師模式規則輸入'!$D$7:$D$156,$B172,'醫師模式規則輸入'!$B$7:$B$156,$C172)&lt;&gt;1,"模式或醫師未建立",IF(COUNTIFS('技能主檔_V1'!$A$7:$A$200,$D172,'技能主檔_V1'!$J$7:$J$200,"啟用")&lt;&gt;1,"技能未在主檔啟用",IF(OR($A172="",$E172="",$F172="",$G172="",$H172="",$I172="",$J172="",$K172="",$L172="",$N172=""),IF($M172="已核定","已核定但資料未完整","待補欄位或核定"),IF(OR($O172="",$P172=""),IF($M172="已核定","已核定但缺來源依據","待補來源依據"),IF($M172="已核定","可發布","待主管核定")))))))))</x:f>
      </x:c>
      <x:c r="S172" s="579" t="str">
        <x:f>IF($B172="","",IF($R172="可發布","回到醫師模式規則輸入，將能力要求集標記為已完整",IF(OR($R172="停用",$R172="退回補件"),"依狀態處理",IF(ISNUMBER(SEARCH("來源",$R172)),"補齊來源文件與定位",IF(ISNUMBER(SEARCH("技能",$R172)),"先完成技能名稱對照並發布技能主檔",IF(ISNUMBER(SEARCH("模式",$R172)),"先建立相符的醫師模式規則","補齊欄位並完成主管核定"))))))</x:f>
      </x:c>
    </x:row>
    <x:row r="173">
      <x:c r="A173" s="577"/>
      <x:c r="B173" s="577"/>
      <x:c r="C173" s="577"/>
      <x:c r="D173" s="577"/>
      <x:c r="E173" s="577"/>
      <x:c r="F173" s="577"/>
      <x:c r="G173" s="577"/>
      <x:c r="H173" s="577"/>
      <x:c r="I173" s="577"/>
      <x:c r="J173" s="577"/>
      <x:c r="K173" s="577"/>
      <x:c r="L173" s="578"/>
      <x:c r="M173" s="577"/>
      <x:c r="N173" s="577"/>
      <x:c r="O173" s="577"/>
      <x:c r="P173" s="577"/>
      <x:c r="Q173" s="577"/>
      <x:c r="R173" s="579" t="str">
        <x:f>IF($B173="","",IF($M173="停用","停用",IF($M173="退回補件","退回補件",IF(COUNTIFS($A$7:$A$306,$A173)&gt;1,"要求編號重複",IF(COUNTIFS('醫師模式規則輸入'!$D$7:$D$156,$B173,'醫師模式規則輸入'!$B$7:$B$156,$C173)&lt;&gt;1,"模式或醫師未建立",IF(COUNTIFS('技能主檔_V1'!$A$7:$A$200,$D173,'技能主檔_V1'!$J$7:$J$200,"啟用")&lt;&gt;1,"技能未在主檔啟用",IF(OR($A173="",$E173="",$F173="",$G173="",$H173="",$I173="",$J173="",$K173="",$L173="",$N173=""),IF($M173="已核定","已核定但資料未完整","待補欄位或核定"),IF(OR($O173="",$P173=""),IF($M173="已核定","已核定但缺來源依據","待補來源依據"),IF($M173="已核定","可發布","待主管核定")))))))))</x:f>
      </x:c>
      <x:c r="S173" s="579" t="str">
        <x:f>IF($B173="","",IF($R173="可發布","回到醫師模式規則輸入，將能力要求集標記為已完整",IF(OR($R173="停用",$R173="退回補件"),"依狀態處理",IF(ISNUMBER(SEARCH("來源",$R173)),"補齊來源文件與定位",IF(ISNUMBER(SEARCH("技能",$R173)),"先完成技能名稱對照並發布技能主檔",IF(ISNUMBER(SEARCH("模式",$R173)),"先建立相符的醫師模式規則","補齊欄位並完成主管核定"))))))</x:f>
      </x:c>
    </x:row>
    <x:row r="174">
      <x:c r="A174" s="577"/>
      <x:c r="B174" s="577"/>
      <x:c r="C174" s="577"/>
      <x:c r="D174" s="577"/>
      <x:c r="E174" s="577"/>
      <x:c r="F174" s="577"/>
      <x:c r="G174" s="577"/>
      <x:c r="H174" s="577"/>
      <x:c r="I174" s="577"/>
      <x:c r="J174" s="577"/>
      <x:c r="K174" s="577"/>
      <x:c r="L174" s="578"/>
      <x:c r="M174" s="577"/>
      <x:c r="N174" s="577"/>
      <x:c r="O174" s="577"/>
      <x:c r="P174" s="577"/>
      <x:c r="Q174" s="577"/>
      <x:c r="R174" s="579" t="str">
        <x:f>IF($B174="","",IF($M174="停用","停用",IF($M174="退回補件","退回補件",IF(COUNTIFS($A$7:$A$306,$A174)&gt;1,"要求編號重複",IF(COUNTIFS('醫師模式規則輸入'!$D$7:$D$156,$B174,'醫師模式規則輸入'!$B$7:$B$156,$C174)&lt;&gt;1,"模式或醫師未建立",IF(COUNTIFS('技能主檔_V1'!$A$7:$A$200,$D174,'技能主檔_V1'!$J$7:$J$200,"啟用")&lt;&gt;1,"技能未在主檔啟用",IF(OR($A174="",$E174="",$F174="",$G174="",$H174="",$I174="",$J174="",$K174="",$L174="",$N174=""),IF($M174="已核定","已核定但資料未完整","待補欄位或核定"),IF(OR($O174="",$P174=""),IF($M174="已核定","已核定但缺來源依據","待補來源依據"),IF($M174="已核定","可發布","待主管核定")))))))))</x:f>
      </x:c>
      <x:c r="S174" s="579" t="str">
        <x:f>IF($B174="","",IF($R174="可發布","回到醫師模式規則輸入，將能力要求集標記為已完整",IF(OR($R174="停用",$R174="退回補件"),"依狀態處理",IF(ISNUMBER(SEARCH("來源",$R174)),"補齊來源文件與定位",IF(ISNUMBER(SEARCH("技能",$R174)),"先完成技能名稱對照並發布技能主檔",IF(ISNUMBER(SEARCH("模式",$R174)),"先建立相符的醫師模式規則","補齊欄位並完成主管核定"))))))</x:f>
      </x:c>
    </x:row>
    <x:row r="175">
      <x:c r="A175" s="577"/>
      <x:c r="B175" s="577"/>
      <x:c r="C175" s="577"/>
      <x:c r="D175" s="577"/>
      <x:c r="E175" s="577"/>
      <x:c r="F175" s="577"/>
      <x:c r="G175" s="577"/>
      <x:c r="H175" s="577"/>
      <x:c r="I175" s="577"/>
      <x:c r="J175" s="577"/>
      <x:c r="K175" s="577"/>
      <x:c r="L175" s="578"/>
      <x:c r="M175" s="577"/>
      <x:c r="N175" s="577"/>
      <x:c r="O175" s="577"/>
      <x:c r="P175" s="577"/>
      <x:c r="Q175" s="577"/>
      <x:c r="R175" s="579" t="str">
        <x:f>IF($B175="","",IF($M175="停用","停用",IF($M175="退回補件","退回補件",IF(COUNTIFS($A$7:$A$306,$A175)&gt;1,"要求編號重複",IF(COUNTIFS('醫師模式規則輸入'!$D$7:$D$156,$B175,'醫師模式規則輸入'!$B$7:$B$156,$C175)&lt;&gt;1,"模式或醫師未建立",IF(COUNTIFS('技能主檔_V1'!$A$7:$A$200,$D175,'技能主檔_V1'!$J$7:$J$200,"啟用")&lt;&gt;1,"技能未在主檔啟用",IF(OR($A175="",$E175="",$F175="",$G175="",$H175="",$I175="",$J175="",$K175="",$L175="",$N175=""),IF($M175="已核定","已核定但資料未完整","待補欄位或核定"),IF(OR($O175="",$P175=""),IF($M175="已核定","已核定但缺來源依據","待補來源依據"),IF($M175="已核定","可發布","待主管核定")))))))))</x:f>
      </x:c>
      <x:c r="S175" s="579" t="str">
        <x:f>IF($B175="","",IF($R175="可發布","回到醫師模式規則輸入，將能力要求集標記為已完整",IF(OR($R175="停用",$R175="退回補件"),"依狀態處理",IF(ISNUMBER(SEARCH("來源",$R175)),"補齊來源文件與定位",IF(ISNUMBER(SEARCH("技能",$R175)),"先完成技能名稱對照並發布技能主檔",IF(ISNUMBER(SEARCH("模式",$R175)),"先建立相符的醫師模式規則","補齊欄位並完成主管核定"))))))</x:f>
      </x:c>
    </x:row>
    <x:row r="176">
      <x:c r="A176" s="577"/>
      <x:c r="B176" s="577"/>
      <x:c r="C176" s="577"/>
      <x:c r="D176" s="577"/>
      <x:c r="E176" s="577"/>
      <x:c r="F176" s="577"/>
      <x:c r="G176" s="577"/>
      <x:c r="H176" s="577"/>
      <x:c r="I176" s="577"/>
      <x:c r="J176" s="577"/>
      <x:c r="K176" s="577"/>
      <x:c r="L176" s="578"/>
      <x:c r="M176" s="577"/>
      <x:c r="N176" s="577"/>
      <x:c r="O176" s="577"/>
      <x:c r="P176" s="577"/>
      <x:c r="Q176" s="577"/>
      <x:c r="R176" s="579" t="str">
        <x:f>IF($B176="","",IF($M176="停用","停用",IF($M176="退回補件","退回補件",IF(COUNTIFS($A$7:$A$306,$A176)&gt;1,"要求編號重複",IF(COUNTIFS('醫師模式規則輸入'!$D$7:$D$156,$B176,'醫師模式規則輸入'!$B$7:$B$156,$C176)&lt;&gt;1,"模式或醫師未建立",IF(COUNTIFS('技能主檔_V1'!$A$7:$A$200,$D176,'技能主檔_V1'!$J$7:$J$200,"啟用")&lt;&gt;1,"技能未在主檔啟用",IF(OR($A176="",$E176="",$F176="",$G176="",$H176="",$I176="",$J176="",$K176="",$L176="",$N176=""),IF($M176="已核定","已核定但資料未完整","待補欄位或核定"),IF(OR($O176="",$P176=""),IF($M176="已核定","已核定但缺來源依據","待補來源依據"),IF($M176="已核定","可發布","待主管核定")))))))))</x:f>
      </x:c>
      <x:c r="S176" s="579" t="str">
        <x:f>IF($B176="","",IF($R176="可發布","回到醫師模式規則輸入，將能力要求集標記為已完整",IF(OR($R176="停用",$R176="退回補件"),"依狀態處理",IF(ISNUMBER(SEARCH("來源",$R176)),"補齊來源文件與定位",IF(ISNUMBER(SEARCH("技能",$R176)),"先完成技能名稱對照並發布技能主檔",IF(ISNUMBER(SEARCH("模式",$R176)),"先建立相符的醫師模式規則","補齊欄位並完成主管核定"))))))</x:f>
      </x:c>
    </x:row>
    <x:row r="177">
      <x:c r="A177" s="577"/>
      <x:c r="B177" s="577"/>
      <x:c r="C177" s="577"/>
      <x:c r="D177" s="577"/>
      <x:c r="E177" s="577"/>
      <x:c r="F177" s="577"/>
      <x:c r="G177" s="577"/>
      <x:c r="H177" s="577"/>
      <x:c r="I177" s="577"/>
      <x:c r="J177" s="577"/>
      <x:c r="K177" s="577"/>
      <x:c r="L177" s="578"/>
      <x:c r="M177" s="577"/>
      <x:c r="N177" s="577"/>
      <x:c r="O177" s="577"/>
      <x:c r="P177" s="577"/>
      <x:c r="Q177" s="577"/>
      <x:c r="R177" s="579" t="str">
        <x:f>IF($B177="","",IF($M177="停用","停用",IF($M177="退回補件","退回補件",IF(COUNTIFS($A$7:$A$306,$A177)&gt;1,"要求編號重複",IF(COUNTIFS('醫師模式規則輸入'!$D$7:$D$156,$B177,'醫師模式規則輸入'!$B$7:$B$156,$C177)&lt;&gt;1,"模式或醫師未建立",IF(COUNTIFS('技能主檔_V1'!$A$7:$A$200,$D177,'技能主檔_V1'!$J$7:$J$200,"啟用")&lt;&gt;1,"技能未在主檔啟用",IF(OR($A177="",$E177="",$F177="",$G177="",$H177="",$I177="",$J177="",$K177="",$L177="",$N177=""),IF($M177="已核定","已核定但資料未完整","待補欄位或核定"),IF(OR($O177="",$P177=""),IF($M177="已核定","已核定但缺來源依據","待補來源依據"),IF($M177="已核定","可發布","待主管核定")))))))))</x:f>
      </x:c>
      <x:c r="S177" s="579" t="str">
        <x:f>IF($B177="","",IF($R177="可發布","回到醫師模式規則輸入，將能力要求集標記為已完整",IF(OR($R177="停用",$R177="退回補件"),"依狀態處理",IF(ISNUMBER(SEARCH("來源",$R177)),"補齊來源文件與定位",IF(ISNUMBER(SEARCH("技能",$R177)),"先完成技能名稱對照並發布技能主檔",IF(ISNUMBER(SEARCH("模式",$R177)),"先建立相符的醫師模式規則","補齊欄位並完成主管核定"))))))</x:f>
      </x:c>
    </x:row>
    <x:row r="178">
      <x:c r="A178" s="577"/>
      <x:c r="B178" s="577"/>
      <x:c r="C178" s="577"/>
      <x:c r="D178" s="577"/>
      <x:c r="E178" s="577"/>
      <x:c r="F178" s="577"/>
      <x:c r="G178" s="577"/>
      <x:c r="H178" s="577"/>
      <x:c r="I178" s="577"/>
      <x:c r="J178" s="577"/>
      <x:c r="K178" s="577"/>
      <x:c r="L178" s="578"/>
      <x:c r="M178" s="577"/>
      <x:c r="N178" s="577"/>
      <x:c r="O178" s="577"/>
      <x:c r="P178" s="577"/>
      <x:c r="Q178" s="577"/>
      <x:c r="R178" s="579" t="str">
        <x:f>IF($B178="","",IF($M178="停用","停用",IF($M178="退回補件","退回補件",IF(COUNTIFS($A$7:$A$306,$A178)&gt;1,"要求編號重複",IF(COUNTIFS('醫師模式規則輸入'!$D$7:$D$156,$B178,'醫師模式規則輸入'!$B$7:$B$156,$C178)&lt;&gt;1,"模式或醫師未建立",IF(COUNTIFS('技能主檔_V1'!$A$7:$A$200,$D178,'技能主檔_V1'!$J$7:$J$200,"啟用")&lt;&gt;1,"技能未在主檔啟用",IF(OR($A178="",$E178="",$F178="",$G178="",$H178="",$I178="",$J178="",$K178="",$L178="",$N178=""),IF($M178="已核定","已核定但資料未完整","待補欄位或核定"),IF(OR($O178="",$P178=""),IF($M178="已核定","已核定但缺來源依據","待補來源依據"),IF($M178="已核定","可發布","待主管核定")))))))))</x:f>
      </x:c>
      <x:c r="S178" s="579" t="str">
        <x:f>IF($B178="","",IF($R178="可發布","回到醫師模式規則輸入，將能力要求集標記為已完整",IF(OR($R178="停用",$R178="退回補件"),"依狀態處理",IF(ISNUMBER(SEARCH("來源",$R178)),"補齊來源文件與定位",IF(ISNUMBER(SEARCH("技能",$R178)),"先完成技能名稱對照並發布技能主檔",IF(ISNUMBER(SEARCH("模式",$R178)),"先建立相符的醫師模式規則","補齊欄位並完成主管核定"))))))</x:f>
      </x:c>
    </x:row>
    <x:row r="179">
      <x:c r="A179" s="577"/>
      <x:c r="B179" s="577"/>
      <x:c r="C179" s="577"/>
      <x:c r="D179" s="577"/>
      <x:c r="E179" s="577"/>
      <x:c r="F179" s="577"/>
      <x:c r="G179" s="577"/>
      <x:c r="H179" s="577"/>
      <x:c r="I179" s="577"/>
      <x:c r="J179" s="577"/>
      <x:c r="K179" s="577"/>
      <x:c r="L179" s="578"/>
      <x:c r="M179" s="577"/>
      <x:c r="N179" s="577"/>
      <x:c r="O179" s="577"/>
      <x:c r="P179" s="577"/>
      <x:c r="Q179" s="577"/>
      <x:c r="R179" s="579" t="str">
        <x:f>IF($B179="","",IF($M179="停用","停用",IF($M179="退回補件","退回補件",IF(COUNTIFS($A$7:$A$306,$A179)&gt;1,"要求編號重複",IF(COUNTIFS('醫師模式規則輸入'!$D$7:$D$156,$B179,'醫師模式規則輸入'!$B$7:$B$156,$C179)&lt;&gt;1,"模式或醫師未建立",IF(COUNTIFS('技能主檔_V1'!$A$7:$A$200,$D179,'技能主檔_V1'!$J$7:$J$200,"啟用")&lt;&gt;1,"技能未在主檔啟用",IF(OR($A179="",$E179="",$F179="",$G179="",$H179="",$I179="",$J179="",$K179="",$L179="",$N179=""),IF($M179="已核定","已核定但資料未完整","待補欄位或核定"),IF(OR($O179="",$P179=""),IF($M179="已核定","已核定但缺來源依據","待補來源依據"),IF($M179="已核定","可發布","待主管核定")))))))))</x:f>
      </x:c>
      <x:c r="S179" s="579" t="str">
        <x:f>IF($B179="","",IF($R179="可發布","回到醫師模式規則輸入，將能力要求集標記為已完整",IF(OR($R179="停用",$R179="退回補件"),"依狀態處理",IF(ISNUMBER(SEARCH("來源",$R179)),"補齊來源文件與定位",IF(ISNUMBER(SEARCH("技能",$R179)),"先完成技能名稱對照並發布技能主檔",IF(ISNUMBER(SEARCH("模式",$R179)),"先建立相符的醫師模式規則","補齊欄位並完成主管核定"))))))</x:f>
      </x:c>
    </x:row>
    <x:row r="180">
      <x:c r="A180" s="577"/>
      <x:c r="B180" s="577"/>
      <x:c r="C180" s="577"/>
      <x:c r="D180" s="577"/>
      <x:c r="E180" s="577"/>
      <x:c r="F180" s="577"/>
      <x:c r="G180" s="577"/>
      <x:c r="H180" s="577"/>
      <x:c r="I180" s="577"/>
      <x:c r="J180" s="577"/>
      <x:c r="K180" s="577"/>
      <x:c r="L180" s="578"/>
      <x:c r="M180" s="577"/>
      <x:c r="N180" s="577"/>
      <x:c r="O180" s="577"/>
      <x:c r="P180" s="577"/>
      <x:c r="Q180" s="577"/>
      <x:c r="R180" s="579" t="str">
        <x:f>IF($B180="","",IF($M180="停用","停用",IF($M180="退回補件","退回補件",IF(COUNTIFS($A$7:$A$306,$A180)&gt;1,"要求編號重複",IF(COUNTIFS('醫師模式規則輸入'!$D$7:$D$156,$B180,'醫師模式規則輸入'!$B$7:$B$156,$C180)&lt;&gt;1,"模式或醫師未建立",IF(COUNTIFS('技能主檔_V1'!$A$7:$A$200,$D180,'技能主檔_V1'!$J$7:$J$200,"啟用")&lt;&gt;1,"技能未在主檔啟用",IF(OR($A180="",$E180="",$F180="",$G180="",$H180="",$I180="",$J180="",$K180="",$L180="",$N180=""),IF($M180="已核定","已核定但資料未完整","待補欄位或核定"),IF(OR($O180="",$P180=""),IF($M180="已核定","已核定但缺來源依據","待補來源依據"),IF($M180="已核定","可發布","待主管核定")))))))))</x:f>
      </x:c>
      <x:c r="S180" s="579" t="str">
        <x:f>IF($B180="","",IF($R180="可發布","回到醫師模式規則輸入，將能力要求集標記為已完整",IF(OR($R180="停用",$R180="退回補件"),"依狀態處理",IF(ISNUMBER(SEARCH("來源",$R180)),"補齊來源文件與定位",IF(ISNUMBER(SEARCH("技能",$R180)),"先完成技能名稱對照並發布技能主檔",IF(ISNUMBER(SEARCH("模式",$R180)),"先建立相符的醫師模式規則","補齊欄位並完成主管核定"))))))</x:f>
      </x:c>
    </x:row>
    <x:row r="181">
      <x:c r="A181" s="577"/>
      <x:c r="B181" s="577"/>
      <x:c r="C181" s="577"/>
      <x:c r="D181" s="577"/>
      <x:c r="E181" s="577"/>
      <x:c r="F181" s="577"/>
      <x:c r="G181" s="577"/>
      <x:c r="H181" s="577"/>
      <x:c r="I181" s="577"/>
      <x:c r="J181" s="577"/>
      <x:c r="K181" s="577"/>
      <x:c r="L181" s="578"/>
      <x:c r="M181" s="577"/>
      <x:c r="N181" s="577"/>
      <x:c r="O181" s="577"/>
      <x:c r="P181" s="577"/>
      <x:c r="Q181" s="577"/>
      <x:c r="R181" s="579" t="str">
        <x:f>IF($B181="","",IF($M181="停用","停用",IF($M181="退回補件","退回補件",IF(COUNTIFS($A$7:$A$306,$A181)&gt;1,"要求編號重複",IF(COUNTIFS('醫師模式規則輸入'!$D$7:$D$156,$B181,'醫師模式規則輸入'!$B$7:$B$156,$C181)&lt;&gt;1,"模式或醫師未建立",IF(COUNTIFS('技能主檔_V1'!$A$7:$A$200,$D181,'技能主檔_V1'!$J$7:$J$200,"啟用")&lt;&gt;1,"技能未在主檔啟用",IF(OR($A181="",$E181="",$F181="",$G181="",$H181="",$I181="",$J181="",$K181="",$L181="",$N181=""),IF($M181="已核定","已核定但資料未完整","待補欄位或核定"),IF(OR($O181="",$P181=""),IF($M181="已核定","已核定但缺來源依據","待補來源依據"),IF($M181="已核定","可發布","待主管核定")))))))))</x:f>
      </x:c>
      <x:c r="S181" s="579" t="str">
        <x:f>IF($B181="","",IF($R181="可發布","回到醫師模式規則輸入，將能力要求集標記為已完整",IF(OR($R181="停用",$R181="退回補件"),"依狀態處理",IF(ISNUMBER(SEARCH("來源",$R181)),"補齊來源文件與定位",IF(ISNUMBER(SEARCH("技能",$R181)),"先完成技能名稱對照並發布技能主檔",IF(ISNUMBER(SEARCH("模式",$R181)),"先建立相符的醫師模式規則","補齊欄位並完成主管核定"))))))</x:f>
      </x:c>
    </x:row>
    <x:row r="182">
      <x:c r="A182" s="577"/>
      <x:c r="B182" s="577"/>
      <x:c r="C182" s="577"/>
      <x:c r="D182" s="577"/>
      <x:c r="E182" s="577"/>
      <x:c r="F182" s="577"/>
      <x:c r="G182" s="577"/>
      <x:c r="H182" s="577"/>
      <x:c r="I182" s="577"/>
      <x:c r="J182" s="577"/>
      <x:c r="K182" s="577"/>
      <x:c r="L182" s="578"/>
      <x:c r="M182" s="577"/>
      <x:c r="N182" s="577"/>
      <x:c r="O182" s="577"/>
      <x:c r="P182" s="577"/>
      <x:c r="Q182" s="577"/>
      <x:c r="R182" s="579" t="str">
        <x:f>IF($B182="","",IF($M182="停用","停用",IF($M182="退回補件","退回補件",IF(COUNTIFS($A$7:$A$306,$A182)&gt;1,"要求編號重複",IF(COUNTIFS('醫師模式規則輸入'!$D$7:$D$156,$B182,'醫師模式規則輸入'!$B$7:$B$156,$C182)&lt;&gt;1,"模式或醫師未建立",IF(COUNTIFS('技能主檔_V1'!$A$7:$A$200,$D182,'技能主檔_V1'!$J$7:$J$200,"啟用")&lt;&gt;1,"技能未在主檔啟用",IF(OR($A182="",$E182="",$F182="",$G182="",$H182="",$I182="",$J182="",$K182="",$L182="",$N182=""),IF($M182="已核定","已核定但資料未完整","待補欄位或核定"),IF(OR($O182="",$P182=""),IF($M182="已核定","已核定但缺來源依據","待補來源依據"),IF($M182="已核定","可發布","待主管核定")))))))))</x:f>
      </x:c>
      <x:c r="S182" s="579" t="str">
        <x:f>IF($B182="","",IF($R182="可發布","回到醫師模式規則輸入，將能力要求集標記為已完整",IF(OR($R182="停用",$R182="退回補件"),"依狀態處理",IF(ISNUMBER(SEARCH("來源",$R182)),"補齊來源文件與定位",IF(ISNUMBER(SEARCH("技能",$R182)),"先完成技能名稱對照並發布技能主檔",IF(ISNUMBER(SEARCH("模式",$R182)),"先建立相符的醫師模式規則","補齊欄位並完成主管核定"))))))</x:f>
      </x:c>
    </x:row>
    <x:row r="183">
      <x:c r="A183" s="577"/>
      <x:c r="B183" s="577"/>
      <x:c r="C183" s="577"/>
      <x:c r="D183" s="577"/>
      <x:c r="E183" s="577"/>
      <x:c r="F183" s="577"/>
      <x:c r="G183" s="577"/>
      <x:c r="H183" s="577"/>
      <x:c r="I183" s="577"/>
      <x:c r="J183" s="577"/>
      <x:c r="K183" s="577"/>
      <x:c r="L183" s="578"/>
      <x:c r="M183" s="577"/>
      <x:c r="N183" s="577"/>
      <x:c r="O183" s="577"/>
      <x:c r="P183" s="577"/>
      <x:c r="Q183" s="577"/>
      <x:c r="R183" s="579" t="str">
        <x:f>IF($B183="","",IF($M183="停用","停用",IF($M183="退回補件","退回補件",IF(COUNTIFS($A$7:$A$306,$A183)&gt;1,"要求編號重複",IF(COUNTIFS('醫師模式規則輸入'!$D$7:$D$156,$B183,'醫師模式規則輸入'!$B$7:$B$156,$C183)&lt;&gt;1,"模式或醫師未建立",IF(COUNTIFS('技能主檔_V1'!$A$7:$A$200,$D183,'技能主檔_V1'!$J$7:$J$200,"啟用")&lt;&gt;1,"技能未在主檔啟用",IF(OR($A183="",$E183="",$F183="",$G183="",$H183="",$I183="",$J183="",$K183="",$L183="",$N183=""),IF($M183="已核定","已核定但資料未完整","待補欄位或核定"),IF(OR($O183="",$P183=""),IF($M183="已核定","已核定但缺來源依據","待補來源依據"),IF($M183="已核定","可發布","待主管核定")))))))))</x:f>
      </x:c>
      <x:c r="S183" s="579" t="str">
        <x:f>IF($B183="","",IF($R183="可發布","回到醫師模式規則輸入，將能力要求集標記為已完整",IF(OR($R183="停用",$R183="退回補件"),"依狀態處理",IF(ISNUMBER(SEARCH("來源",$R183)),"補齊來源文件與定位",IF(ISNUMBER(SEARCH("技能",$R183)),"先完成技能名稱對照並發布技能主檔",IF(ISNUMBER(SEARCH("模式",$R183)),"先建立相符的醫師模式規則","補齊欄位並完成主管核定"))))))</x:f>
      </x:c>
    </x:row>
    <x:row r="184">
      <x:c r="A184" s="577"/>
      <x:c r="B184" s="577"/>
      <x:c r="C184" s="577"/>
      <x:c r="D184" s="577"/>
      <x:c r="E184" s="577"/>
      <x:c r="F184" s="577"/>
      <x:c r="G184" s="577"/>
      <x:c r="H184" s="577"/>
      <x:c r="I184" s="577"/>
      <x:c r="J184" s="577"/>
      <x:c r="K184" s="577"/>
      <x:c r="L184" s="578"/>
      <x:c r="M184" s="577"/>
      <x:c r="N184" s="577"/>
      <x:c r="O184" s="577"/>
      <x:c r="P184" s="577"/>
      <x:c r="Q184" s="577"/>
      <x:c r="R184" s="579" t="str">
        <x:f>IF($B184="","",IF($M184="停用","停用",IF($M184="退回補件","退回補件",IF(COUNTIFS($A$7:$A$306,$A184)&gt;1,"要求編號重複",IF(COUNTIFS('醫師模式規則輸入'!$D$7:$D$156,$B184,'醫師模式規則輸入'!$B$7:$B$156,$C184)&lt;&gt;1,"模式或醫師未建立",IF(COUNTIFS('技能主檔_V1'!$A$7:$A$200,$D184,'技能主檔_V1'!$J$7:$J$200,"啟用")&lt;&gt;1,"技能未在主檔啟用",IF(OR($A184="",$E184="",$F184="",$G184="",$H184="",$I184="",$J184="",$K184="",$L184="",$N184=""),IF($M184="已核定","已核定但資料未完整","待補欄位或核定"),IF(OR($O184="",$P184=""),IF($M184="已核定","已核定但缺來源依據","待補來源依據"),IF($M184="已核定","可發布","待主管核定")))))))))</x:f>
      </x:c>
      <x:c r="S184" s="579" t="str">
        <x:f>IF($B184="","",IF($R184="可發布","回到醫師模式規則輸入，將能力要求集標記為已完整",IF(OR($R184="停用",$R184="退回補件"),"依狀態處理",IF(ISNUMBER(SEARCH("來源",$R184)),"補齊來源文件與定位",IF(ISNUMBER(SEARCH("技能",$R184)),"先完成技能名稱對照並發布技能主檔",IF(ISNUMBER(SEARCH("模式",$R184)),"先建立相符的醫師模式規則","補齊欄位並完成主管核定"))))))</x:f>
      </x:c>
    </x:row>
    <x:row r="185">
      <x:c r="A185" s="577"/>
      <x:c r="B185" s="577"/>
      <x:c r="C185" s="577"/>
      <x:c r="D185" s="577"/>
      <x:c r="E185" s="577"/>
      <x:c r="F185" s="577"/>
      <x:c r="G185" s="577"/>
      <x:c r="H185" s="577"/>
      <x:c r="I185" s="577"/>
      <x:c r="J185" s="577"/>
      <x:c r="K185" s="577"/>
      <x:c r="L185" s="578"/>
      <x:c r="M185" s="577"/>
      <x:c r="N185" s="577"/>
      <x:c r="O185" s="577"/>
      <x:c r="P185" s="577"/>
      <x:c r="Q185" s="577"/>
      <x:c r="R185" s="579" t="str">
        <x:f>IF($B185="","",IF($M185="停用","停用",IF($M185="退回補件","退回補件",IF(COUNTIFS($A$7:$A$306,$A185)&gt;1,"要求編號重複",IF(COUNTIFS('醫師模式規則輸入'!$D$7:$D$156,$B185,'醫師模式規則輸入'!$B$7:$B$156,$C185)&lt;&gt;1,"模式或醫師未建立",IF(COUNTIFS('技能主檔_V1'!$A$7:$A$200,$D185,'技能主檔_V1'!$J$7:$J$200,"啟用")&lt;&gt;1,"技能未在主檔啟用",IF(OR($A185="",$E185="",$F185="",$G185="",$H185="",$I185="",$J185="",$K185="",$L185="",$N185=""),IF($M185="已核定","已核定但資料未完整","待補欄位或核定"),IF(OR($O185="",$P185=""),IF($M185="已核定","已核定但缺來源依據","待補來源依據"),IF($M185="已核定","可發布","待主管核定")))))))))</x:f>
      </x:c>
      <x:c r="S185" s="579" t="str">
        <x:f>IF($B185="","",IF($R185="可發布","回到醫師模式規則輸入，將能力要求集標記為已完整",IF(OR($R185="停用",$R185="退回補件"),"依狀態處理",IF(ISNUMBER(SEARCH("來源",$R185)),"補齊來源文件與定位",IF(ISNUMBER(SEARCH("技能",$R185)),"先完成技能名稱對照並發布技能主檔",IF(ISNUMBER(SEARCH("模式",$R185)),"先建立相符的醫師模式規則","補齊欄位並完成主管核定"))))))</x:f>
      </x:c>
    </x:row>
    <x:row r="186">
      <x:c r="A186" s="577"/>
      <x:c r="B186" s="577"/>
      <x:c r="C186" s="577"/>
      <x:c r="D186" s="577"/>
      <x:c r="E186" s="577"/>
      <x:c r="F186" s="577"/>
      <x:c r="G186" s="577"/>
      <x:c r="H186" s="577"/>
      <x:c r="I186" s="577"/>
      <x:c r="J186" s="577"/>
      <x:c r="K186" s="577"/>
      <x:c r="L186" s="578"/>
      <x:c r="M186" s="577"/>
      <x:c r="N186" s="577"/>
      <x:c r="O186" s="577"/>
      <x:c r="P186" s="577"/>
      <x:c r="Q186" s="577"/>
      <x:c r="R186" s="579" t="str">
        <x:f>IF($B186="","",IF($M186="停用","停用",IF($M186="退回補件","退回補件",IF(COUNTIFS($A$7:$A$306,$A186)&gt;1,"要求編號重複",IF(COUNTIFS('醫師模式規則輸入'!$D$7:$D$156,$B186,'醫師模式規則輸入'!$B$7:$B$156,$C186)&lt;&gt;1,"模式或醫師未建立",IF(COUNTIFS('技能主檔_V1'!$A$7:$A$200,$D186,'技能主檔_V1'!$J$7:$J$200,"啟用")&lt;&gt;1,"技能未在主檔啟用",IF(OR($A186="",$E186="",$F186="",$G186="",$H186="",$I186="",$J186="",$K186="",$L186="",$N186=""),IF($M186="已核定","已核定但資料未完整","待補欄位或核定"),IF(OR($O186="",$P186=""),IF($M186="已核定","已核定但缺來源依據","待補來源依據"),IF($M186="已核定","可發布","待主管核定")))))))))</x:f>
      </x:c>
      <x:c r="S186" s="579" t="str">
        <x:f>IF($B186="","",IF($R186="可發布","回到醫師模式規則輸入，將能力要求集標記為已完整",IF(OR($R186="停用",$R186="退回補件"),"依狀態處理",IF(ISNUMBER(SEARCH("來源",$R186)),"補齊來源文件與定位",IF(ISNUMBER(SEARCH("技能",$R186)),"先完成技能名稱對照並發布技能主檔",IF(ISNUMBER(SEARCH("模式",$R186)),"先建立相符的醫師模式規則","補齊欄位並完成主管核定"))))))</x:f>
      </x:c>
    </x:row>
    <x:row r="187">
      <x:c r="A187" s="577"/>
      <x:c r="B187" s="577"/>
      <x:c r="C187" s="577"/>
      <x:c r="D187" s="577"/>
      <x:c r="E187" s="577"/>
      <x:c r="F187" s="577"/>
      <x:c r="G187" s="577"/>
      <x:c r="H187" s="577"/>
      <x:c r="I187" s="577"/>
      <x:c r="J187" s="577"/>
      <x:c r="K187" s="577"/>
      <x:c r="L187" s="578"/>
      <x:c r="M187" s="577"/>
      <x:c r="N187" s="577"/>
      <x:c r="O187" s="577"/>
      <x:c r="P187" s="577"/>
      <x:c r="Q187" s="577"/>
      <x:c r="R187" s="579" t="str">
        <x:f>IF($B187="","",IF($M187="停用","停用",IF($M187="退回補件","退回補件",IF(COUNTIFS($A$7:$A$306,$A187)&gt;1,"要求編號重複",IF(COUNTIFS('醫師模式規則輸入'!$D$7:$D$156,$B187,'醫師模式規則輸入'!$B$7:$B$156,$C187)&lt;&gt;1,"模式或醫師未建立",IF(COUNTIFS('技能主檔_V1'!$A$7:$A$200,$D187,'技能主檔_V1'!$J$7:$J$200,"啟用")&lt;&gt;1,"技能未在主檔啟用",IF(OR($A187="",$E187="",$F187="",$G187="",$H187="",$I187="",$J187="",$K187="",$L187="",$N187=""),IF($M187="已核定","已核定但資料未完整","待補欄位或核定"),IF(OR($O187="",$P187=""),IF($M187="已核定","已核定但缺來源依據","待補來源依據"),IF($M187="已核定","可發布","待主管核定")))))))))</x:f>
      </x:c>
      <x:c r="S187" s="579" t="str">
        <x:f>IF($B187="","",IF($R187="可發布","回到醫師模式規則輸入，將能力要求集標記為已完整",IF(OR($R187="停用",$R187="退回補件"),"依狀態處理",IF(ISNUMBER(SEARCH("來源",$R187)),"補齊來源文件與定位",IF(ISNUMBER(SEARCH("技能",$R187)),"先完成技能名稱對照並發布技能主檔",IF(ISNUMBER(SEARCH("模式",$R187)),"先建立相符的醫師模式規則","補齊欄位並完成主管核定"))))))</x:f>
      </x:c>
    </x:row>
    <x:row r="188">
      <x:c r="A188" s="577"/>
      <x:c r="B188" s="577"/>
      <x:c r="C188" s="577"/>
      <x:c r="D188" s="577"/>
      <x:c r="E188" s="577"/>
      <x:c r="F188" s="577"/>
      <x:c r="G188" s="577"/>
      <x:c r="H188" s="577"/>
      <x:c r="I188" s="577"/>
      <x:c r="J188" s="577"/>
      <x:c r="K188" s="577"/>
      <x:c r="L188" s="578"/>
      <x:c r="M188" s="577"/>
      <x:c r="N188" s="577"/>
      <x:c r="O188" s="577"/>
      <x:c r="P188" s="577"/>
      <x:c r="Q188" s="577"/>
      <x:c r="R188" s="579" t="str">
        <x:f>IF($B188="","",IF($M188="停用","停用",IF($M188="退回補件","退回補件",IF(COUNTIFS($A$7:$A$306,$A188)&gt;1,"要求編號重複",IF(COUNTIFS('醫師模式規則輸入'!$D$7:$D$156,$B188,'醫師模式規則輸入'!$B$7:$B$156,$C188)&lt;&gt;1,"模式或醫師未建立",IF(COUNTIFS('技能主檔_V1'!$A$7:$A$200,$D188,'技能主檔_V1'!$J$7:$J$200,"啟用")&lt;&gt;1,"技能未在主檔啟用",IF(OR($A188="",$E188="",$F188="",$G188="",$H188="",$I188="",$J188="",$K188="",$L188="",$N188=""),IF($M188="已核定","已核定但資料未完整","待補欄位或核定"),IF(OR($O188="",$P188=""),IF($M188="已核定","已核定但缺來源依據","待補來源依據"),IF($M188="已核定","可發布","待主管核定")))))))))</x:f>
      </x:c>
      <x:c r="S188" s="579" t="str">
        <x:f>IF($B188="","",IF($R188="可發布","回到醫師模式規則輸入，將能力要求集標記為已完整",IF(OR($R188="停用",$R188="退回補件"),"依狀態處理",IF(ISNUMBER(SEARCH("來源",$R188)),"補齊來源文件與定位",IF(ISNUMBER(SEARCH("技能",$R188)),"先完成技能名稱對照並發布技能主檔",IF(ISNUMBER(SEARCH("模式",$R188)),"先建立相符的醫師模式規則","補齊欄位並完成主管核定"))))))</x:f>
      </x:c>
    </x:row>
    <x:row r="189">
      <x:c r="A189" s="577"/>
      <x:c r="B189" s="577"/>
      <x:c r="C189" s="577"/>
      <x:c r="D189" s="577"/>
      <x:c r="E189" s="577"/>
      <x:c r="F189" s="577"/>
      <x:c r="G189" s="577"/>
      <x:c r="H189" s="577"/>
      <x:c r="I189" s="577"/>
      <x:c r="J189" s="577"/>
      <x:c r="K189" s="577"/>
      <x:c r="L189" s="578"/>
      <x:c r="M189" s="577"/>
      <x:c r="N189" s="577"/>
      <x:c r="O189" s="577"/>
      <x:c r="P189" s="577"/>
      <x:c r="Q189" s="577"/>
      <x:c r="R189" s="579" t="str">
        <x:f>IF($B189="","",IF($M189="停用","停用",IF($M189="退回補件","退回補件",IF(COUNTIFS($A$7:$A$306,$A189)&gt;1,"要求編號重複",IF(COUNTIFS('醫師模式規則輸入'!$D$7:$D$156,$B189,'醫師模式規則輸入'!$B$7:$B$156,$C189)&lt;&gt;1,"模式或醫師未建立",IF(COUNTIFS('技能主檔_V1'!$A$7:$A$200,$D189,'技能主檔_V1'!$J$7:$J$200,"啟用")&lt;&gt;1,"技能未在主檔啟用",IF(OR($A189="",$E189="",$F189="",$G189="",$H189="",$I189="",$J189="",$K189="",$L189="",$N189=""),IF($M189="已核定","已核定但資料未完整","待補欄位或核定"),IF(OR($O189="",$P189=""),IF($M189="已核定","已核定但缺來源依據","待補來源依據"),IF($M189="已核定","可發布","待主管核定")))))))))</x:f>
      </x:c>
      <x:c r="S189" s="579" t="str">
        <x:f>IF($B189="","",IF($R189="可發布","回到醫師模式規則輸入，將能力要求集標記為已完整",IF(OR($R189="停用",$R189="退回補件"),"依狀態處理",IF(ISNUMBER(SEARCH("來源",$R189)),"補齊來源文件與定位",IF(ISNUMBER(SEARCH("技能",$R189)),"先完成技能名稱對照並發布技能主檔",IF(ISNUMBER(SEARCH("模式",$R189)),"先建立相符的醫師模式規則","補齊欄位並完成主管核定"))))))</x:f>
      </x:c>
    </x:row>
    <x:row r="190">
      <x:c r="A190" s="577"/>
      <x:c r="B190" s="577"/>
      <x:c r="C190" s="577"/>
      <x:c r="D190" s="577"/>
      <x:c r="E190" s="577"/>
      <x:c r="F190" s="577"/>
      <x:c r="G190" s="577"/>
      <x:c r="H190" s="577"/>
      <x:c r="I190" s="577"/>
      <x:c r="J190" s="577"/>
      <x:c r="K190" s="577"/>
      <x:c r="L190" s="578"/>
      <x:c r="M190" s="577"/>
      <x:c r="N190" s="577"/>
      <x:c r="O190" s="577"/>
      <x:c r="P190" s="577"/>
      <x:c r="Q190" s="577"/>
      <x:c r="R190" s="579" t="str">
        <x:f>IF($B190="","",IF($M190="停用","停用",IF($M190="退回補件","退回補件",IF(COUNTIFS($A$7:$A$306,$A190)&gt;1,"要求編號重複",IF(COUNTIFS('醫師模式規則輸入'!$D$7:$D$156,$B190,'醫師模式規則輸入'!$B$7:$B$156,$C190)&lt;&gt;1,"模式或醫師未建立",IF(COUNTIFS('技能主檔_V1'!$A$7:$A$200,$D190,'技能主檔_V1'!$J$7:$J$200,"啟用")&lt;&gt;1,"技能未在主檔啟用",IF(OR($A190="",$E190="",$F190="",$G190="",$H190="",$I190="",$J190="",$K190="",$L190="",$N190=""),IF($M190="已核定","已核定但資料未完整","待補欄位或核定"),IF(OR($O190="",$P190=""),IF($M190="已核定","已核定但缺來源依據","待補來源依據"),IF($M190="已核定","可發布","待主管核定")))))))))</x:f>
      </x:c>
      <x:c r="S190" s="579" t="str">
        <x:f>IF($B190="","",IF($R190="可發布","回到醫師模式規則輸入，將能力要求集標記為已完整",IF(OR($R190="停用",$R190="退回補件"),"依狀態處理",IF(ISNUMBER(SEARCH("來源",$R190)),"補齊來源文件與定位",IF(ISNUMBER(SEARCH("技能",$R190)),"先完成技能名稱對照並發布技能主檔",IF(ISNUMBER(SEARCH("模式",$R190)),"先建立相符的醫師模式規則","補齊欄位並完成主管核定"))))))</x:f>
      </x:c>
    </x:row>
    <x:row r="191">
      <x:c r="A191" s="577"/>
      <x:c r="B191" s="577"/>
      <x:c r="C191" s="577"/>
      <x:c r="D191" s="577"/>
      <x:c r="E191" s="577"/>
      <x:c r="F191" s="577"/>
      <x:c r="G191" s="577"/>
      <x:c r="H191" s="577"/>
      <x:c r="I191" s="577"/>
      <x:c r="J191" s="577"/>
      <x:c r="K191" s="577"/>
      <x:c r="L191" s="578"/>
      <x:c r="M191" s="577"/>
      <x:c r="N191" s="577"/>
      <x:c r="O191" s="577"/>
      <x:c r="P191" s="577"/>
      <x:c r="Q191" s="577"/>
      <x:c r="R191" s="579" t="str">
        <x:f>IF($B191="","",IF($M191="停用","停用",IF($M191="退回補件","退回補件",IF(COUNTIFS($A$7:$A$306,$A191)&gt;1,"要求編號重複",IF(COUNTIFS('醫師模式規則輸入'!$D$7:$D$156,$B191,'醫師模式規則輸入'!$B$7:$B$156,$C191)&lt;&gt;1,"模式或醫師未建立",IF(COUNTIFS('技能主檔_V1'!$A$7:$A$200,$D191,'技能主檔_V1'!$J$7:$J$200,"啟用")&lt;&gt;1,"技能未在主檔啟用",IF(OR($A191="",$E191="",$F191="",$G191="",$H191="",$I191="",$J191="",$K191="",$L191="",$N191=""),IF($M191="已核定","已核定但資料未完整","待補欄位或核定"),IF(OR($O191="",$P191=""),IF($M191="已核定","已核定但缺來源依據","待補來源依據"),IF($M191="已核定","可發布","待主管核定")))))))))</x:f>
      </x:c>
      <x:c r="S191" s="579" t="str">
        <x:f>IF($B191="","",IF($R191="可發布","回到醫師模式規則輸入，將能力要求集標記為已完整",IF(OR($R191="停用",$R191="退回補件"),"依狀態處理",IF(ISNUMBER(SEARCH("來源",$R191)),"補齊來源文件與定位",IF(ISNUMBER(SEARCH("技能",$R191)),"先完成技能名稱對照並發布技能主檔",IF(ISNUMBER(SEARCH("模式",$R191)),"先建立相符的醫師模式規則","補齊欄位並完成主管核定"))))))</x:f>
      </x:c>
    </x:row>
    <x:row r="192">
      <x:c r="A192" s="577"/>
      <x:c r="B192" s="577"/>
      <x:c r="C192" s="577"/>
      <x:c r="D192" s="577"/>
      <x:c r="E192" s="577"/>
      <x:c r="F192" s="577"/>
      <x:c r="G192" s="577"/>
      <x:c r="H192" s="577"/>
      <x:c r="I192" s="577"/>
      <x:c r="J192" s="577"/>
      <x:c r="K192" s="577"/>
      <x:c r="L192" s="578"/>
      <x:c r="M192" s="577"/>
      <x:c r="N192" s="577"/>
      <x:c r="O192" s="577"/>
      <x:c r="P192" s="577"/>
      <x:c r="Q192" s="577"/>
      <x:c r="R192" s="579" t="str">
        <x:f>IF($B192="","",IF($M192="停用","停用",IF($M192="退回補件","退回補件",IF(COUNTIFS($A$7:$A$306,$A192)&gt;1,"要求編號重複",IF(COUNTIFS('醫師模式規則輸入'!$D$7:$D$156,$B192,'醫師模式規則輸入'!$B$7:$B$156,$C192)&lt;&gt;1,"模式或醫師未建立",IF(COUNTIFS('技能主檔_V1'!$A$7:$A$200,$D192,'技能主檔_V1'!$J$7:$J$200,"啟用")&lt;&gt;1,"技能未在主檔啟用",IF(OR($A192="",$E192="",$F192="",$G192="",$H192="",$I192="",$J192="",$K192="",$L192="",$N192=""),IF($M192="已核定","已核定但資料未完整","待補欄位或核定"),IF(OR($O192="",$P192=""),IF($M192="已核定","已核定但缺來源依據","待補來源依據"),IF($M192="已核定","可發布","待主管核定")))))))))</x:f>
      </x:c>
      <x:c r="S192" s="579" t="str">
        <x:f>IF($B192="","",IF($R192="可發布","回到醫師模式規則輸入，將能力要求集標記為已完整",IF(OR($R192="停用",$R192="退回補件"),"依狀態處理",IF(ISNUMBER(SEARCH("來源",$R192)),"補齊來源文件與定位",IF(ISNUMBER(SEARCH("技能",$R192)),"先完成技能名稱對照並發布技能主檔",IF(ISNUMBER(SEARCH("模式",$R192)),"先建立相符的醫師模式規則","補齊欄位並完成主管核定"))))))</x:f>
      </x:c>
    </x:row>
    <x:row r="193">
      <x:c r="A193" s="577"/>
      <x:c r="B193" s="577"/>
      <x:c r="C193" s="577"/>
      <x:c r="D193" s="577"/>
      <x:c r="E193" s="577"/>
      <x:c r="F193" s="577"/>
      <x:c r="G193" s="577"/>
      <x:c r="H193" s="577"/>
      <x:c r="I193" s="577"/>
      <x:c r="J193" s="577"/>
      <x:c r="K193" s="577"/>
      <x:c r="L193" s="578"/>
      <x:c r="M193" s="577"/>
      <x:c r="N193" s="577"/>
      <x:c r="O193" s="577"/>
      <x:c r="P193" s="577"/>
      <x:c r="Q193" s="577"/>
      <x:c r="R193" s="579" t="str">
        <x:f>IF($B193="","",IF($M193="停用","停用",IF($M193="退回補件","退回補件",IF(COUNTIFS($A$7:$A$306,$A193)&gt;1,"要求編號重複",IF(COUNTIFS('醫師模式規則輸入'!$D$7:$D$156,$B193,'醫師模式規則輸入'!$B$7:$B$156,$C193)&lt;&gt;1,"模式或醫師未建立",IF(COUNTIFS('技能主檔_V1'!$A$7:$A$200,$D193,'技能主檔_V1'!$J$7:$J$200,"啟用")&lt;&gt;1,"技能未在主檔啟用",IF(OR($A193="",$E193="",$F193="",$G193="",$H193="",$I193="",$J193="",$K193="",$L193="",$N193=""),IF($M193="已核定","已核定但資料未完整","待補欄位或核定"),IF(OR($O193="",$P193=""),IF($M193="已核定","已核定但缺來源依據","待補來源依據"),IF($M193="已核定","可發布","待主管核定")))))))))</x:f>
      </x:c>
      <x:c r="S193" s="579" t="str">
        <x:f>IF($B193="","",IF($R193="可發布","回到醫師模式規則輸入，將能力要求集標記為已完整",IF(OR($R193="停用",$R193="退回補件"),"依狀態處理",IF(ISNUMBER(SEARCH("來源",$R193)),"補齊來源文件與定位",IF(ISNUMBER(SEARCH("技能",$R193)),"先完成技能名稱對照並發布技能主檔",IF(ISNUMBER(SEARCH("模式",$R193)),"先建立相符的醫師模式規則","補齊欄位並完成主管核定"))))))</x:f>
      </x:c>
    </x:row>
    <x:row r="194">
      <x:c r="A194" s="577"/>
      <x:c r="B194" s="577"/>
      <x:c r="C194" s="577"/>
      <x:c r="D194" s="577"/>
      <x:c r="E194" s="577"/>
      <x:c r="F194" s="577"/>
      <x:c r="G194" s="577"/>
      <x:c r="H194" s="577"/>
      <x:c r="I194" s="577"/>
      <x:c r="J194" s="577"/>
      <x:c r="K194" s="577"/>
      <x:c r="L194" s="578"/>
      <x:c r="M194" s="577"/>
      <x:c r="N194" s="577"/>
      <x:c r="O194" s="577"/>
      <x:c r="P194" s="577"/>
      <x:c r="Q194" s="577"/>
      <x:c r="R194" s="579" t="str">
        <x:f>IF($B194="","",IF($M194="停用","停用",IF($M194="退回補件","退回補件",IF(COUNTIFS($A$7:$A$306,$A194)&gt;1,"要求編號重複",IF(COUNTIFS('醫師模式規則輸入'!$D$7:$D$156,$B194,'醫師模式規則輸入'!$B$7:$B$156,$C194)&lt;&gt;1,"模式或醫師未建立",IF(COUNTIFS('技能主檔_V1'!$A$7:$A$200,$D194,'技能主檔_V1'!$J$7:$J$200,"啟用")&lt;&gt;1,"技能未在主檔啟用",IF(OR($A194="",$E194="",$F194="",$G194="",$H194="",$I194="",$J194="",$K194="",$L194="",$N194=""),IF($M194="已核定","已核定但資料未完整","待補欄位或核定"),IF(OR($O194="",$P194=""),IF($M194="已核定","已核定但缺來源依據","待補來源依據"),IF($M194="已核定","可發布","待主管核定")))))))))</x:f>
      </x:c>
      <x:c r="S194" s="579" t="str">
        <x:f>IF($B194="","",IF($R194="可發布","回到醫師模式規則輸入，將能力要求集標記為已完整",IF(OR($R194="停用",$R194="退回補件"),"依狀態處理",IF(ISNUMBER(SEARCH("來源",$R194)),"補齊來源文件與定位",IF(ISNUMBER(SEARCH("技能",$R194)),"先完成技能名稱對照並發布技能主檔",IF(ISNUMBER(SEARCH("模式",$R194)),"先建立相符的醫師模式規則","補齊欄位並完成主管核定"))))))</x:f>
      </x:c>
    </x:row>
    <x:row r="195">
      <x:c r="A195" s="577"/>
      <x:c r="B195" s="577"/>
      <x:c r="C195" s="577"/>
      <x:c r="D195" s="577"/>
      <x:c r="E195" s="577"/>
      <x:c r="F195" s="577"/>
      <x:c r="G195" s="577"/>
      <x:c r="H195" s="577"/>
      <x:c r="I195" s="577"/>
      <x:c r="J195" s="577"/>
      <x:c r="K195" s="577"/>
      <x:c r="L195" s="578"/>
      <x:c r="M195" s="577"/>
      <x:c r="N195" s="577"/>
      <x:c r="O195" s="577"/>
      <x:c r="P195" s="577"/>
      <x:c r="Q195" s="577"/>
      <x:c r="R195" s="579" t="str">
        <x:f>IF($B195="","",IF($M195="停用","停用",IF($M195="退回補件","退回補件",IF(COUNTIFS($A$7:$A$306,$A195)&gt;1,"要求編號重複",IF(COUNTIFS('醫師模式規則輸入'!$D$7:$D$156,$B195,'醫師模式規則輸入'!$B$7:$B$156,$C195)&lt;&gt;1,"模式或醫師未建立",IF(COUNTIFS('技能主檔_V1'!$A$7:$A$200,$D195,'技能主檔_V1'!$J$7:$J$200,"啟用")&lt;&gt;1,"技能未在主檔啟用",IF(OR($A195="",$E195="",$F195="",$G195="",$H195="",$I195="",$J195="",$K195="",$L195="",$N195=""),IF($M195="已核定","已核定但資料未完整","待補欄位或核定"),IF(OR($O195="",$P195=""),IF($M195="已核定","已核定但缺來源依據","待補來源依據"),IF($M195="已核定","可發布","待主管核定")))))))))</x:f>
      </x:c>
      <x:c r="S195" s="579" t="str">
        <x:f>IF($B195="","",IF($R195="可發布","回到醫師模式規則輸入，將能力要求集標記為已完整",IF(OR($R195="停用",$R195="退回補件"),"依狀態處理",IF(ISNUMBER(SEARCH("來源",$R195)),"補齊來源文件與定位",IF(ISNUMBER(SEARCH("技能",$R195)),"先完成技能名稱對照並發布技能主檔",IF(ISNUMBER(SEARCH("模式",$R195)),"先建立相符的醫師模式規則","補齊欄位並完成主管核定"))))))</x:f>
      </x:c>
    </x:row>
    <x:row r="196">
      <x:c r="A196" s="577"/>
      <x:c r="B196" s="577"/>
      <x:c r="C196" s="577"/>
      <x:c r="D196" s="577"/>
      <x:c r="E196" s="577"/>
      <x:c r="F196" s="577"/>
      <x:c r="G196" s="577"/>
      <x:c r="H196" s="577"/>
      <x:c r="I196" s="577"/>
      <x:c r="J196" s="577"/>
      <x:c r="K196" s="577"/>
      <x:c r="L196" s="578"/>
      <x:c r="M196" s="577"/>
      <x:c r="N196" s="577"/>
      <x:c r="O196" s="577"/>
      <x:c r="P196" s="577"/>
      <x:c r="Q196" s="577"/>
      <x:c r="R196" s="579" t="str">
        <x:f>IF($B196="","",IF($M196="停用","停用",IF($M196="退回補件","退回補件",IF(COUNTIFS($A$7:$A$306,$A196)&gt;1,"要求編號重複",IF(COUNTIFS('醫師模式規則輸入'!$D$7:$D$156,$B196,'醫師模式規則輸入'!$B$7:$B$156,$C196)&lt;&gt;1,"模式或醫師未建立",IF(COUNTIFS('技能主檔_V1'!$A$7:$A$200,$D196,'技能主檔_V1'!$J$7:$J$200,"啟用")&lt;&gt;1,"技能未在主檔啟用",IF(OR($A196="",$E196="",$F196="",$G196="",$H196="",$I196="",$J196="",$K196="",$L196="",$N196=""),IF($M196="已核定","已核定但資料未完整","待補欄位或核定"),IF(OR($O196="",$P196=""),IF($M196="已核定","已核定但缺來源依據","待補來源依據"),IF($M196="已核定","可發布","待主管核定")))))))))</x:f>
      </x:c>
      <x:c r="S196" s="579" t="str">
        <x:f>IF($B196="","",IF($R196="可發布","回到醫師模式規則輸入，將能力要求集標記為已完整",IF(OR($R196="停用",$R196="退回補件"),"依狀態處理",IF(ISNUMBER(SEARCH("來源",$R196)),"補齊來源文件與定位",IF(ISNUMBER(SEARCH("技能",$R196)),"先完成技能名稱對照並發布技能主檔",IF(ISNUMBER(SEARCH("模式",$R196)),"先建立相符的醫師模式規則","補齊欄位並完成主管核定"))))))</x:f>
      </x:c>
    </x:row>
    <x:row r="197">
      <x:c r="A197" s="577"/>
      <x:c r="B197" s="577"/>
      <x:c r="C197" s="577"/>
      <x:c r="D197" s="577"/>
      <x:c r="E197" s="577"/>
      <x:c r="F197" s="577"/>
      <x:c r="G197" s="577"/>
      <x:c r="H197" s="577"/>
      <x:c r="I197" s="577"/>
      <x:c r="J197" s="577"/>
      <x:c r="K197" s="577"/>
      <x:c r="L197" s="578"/>
      <x:c r="M197" s="577"/>
      <x:c r="N197" s="577"/>
      <x:c r="O197" s="577"/>
      <x:c r="P197" s="577"/>
      <x:c r="Q197" s="577"/>
      <x:c r="R197" s="579" t="str">
        <x:f>IF($B197="","",IF($M197="停用","停用",IF($M197="退回補件","退回補件",IF(COUNTIFS($A$7:$A$306,$A197)&gt;1,"要求編號重複",IF(COUNTIFS('醫師模式規則輸入'!$D$7:$D$156,$B197,'醫師模式規則輸入'!$B$7:$B$156,$C197)&lt;&gt;1,"模式或醫師未建立",IF(COUNTIFS('技能主檔_V1'!$A$7:$A$200,$D197,'技能主檔_V1'!$J$7:$J$200,"啟用")&lt;&gt;1,"技能未在主檔啟用",IF(OR($A197="",$E197="",$F197="",$G197="",$H197="",$I197="",$J197="",$K197="",$L197="",$N197=""),IF($M197="已核定","已核定但資料未完整","待補欄位或核定"),IF(OR($O197="",$P197=""),IF($M197="已核定","已核定但缺來源依據","待補來源依據"),IF($M197="已核定","可發布","待主管核定")))))))))</x:f>
      </x:c>
      <x:c r="S197" s="579" t="str">
        <x:f>IF($B197="","",IF($R197="可發布","回到醫師模式規則輸入，將能力要求集標記為已完整",IF(OR($R197="停用",$R197="退回補件"),"依狀態處理",IF(ISNUMBER(SEARCH("來源",$R197)),"補齊來源文件與定位",IF(ISNUMBER(SEARCH("技能",$R197)),"先完成技能名稱對照並發布技能主檔",IF(ISNUMBER(SEARCH("模式",$R197)),"先建立相符的醫師模式規則","補齊欄位並完成主管核定"))))))</x:f>
      </x:c>
    </x:row>
    <x:row r="198">
      <x:c r="A198" s="577"/>
      <x:c r="B198" s="577"/>
      <x:c r="C198" s="577"/>
      <x:c r="D198" s="577"/>
      <x:c r="E198" s="577"/>
      <x:c r="F198" s="577"/>
      <x:c r="G198" s="577"/>
      <x:c r="H198" s="577"/>
      <x:c r="I198" s="577"/>
      <x:c r="J198" s="577"/>
      <x:c r="K198" s="577"/>
      <x:c r="L198" s="578"/>
      <x:c r="M198" s="577"/>
      <x:c r="N198" s="577"/>
      <x:c r="O198" s="577"/>
      <x:c r="P198" s="577"/>
      <x:c r="Q198" s="577"/>
      <x:c r="R198" s="579" t="str">
        <x:f>IF($B198="","",IF($M198="停用","停用",IF($M198="退回補件","退回補件",IF(COUNTIFS($A$7:$A$306,$A198)&gt;1,"要求編號重複",IF(COUNTIFS('醫師模式規則輸入'!$D$7:$D$156,$B198,'醫師模式規則輸入'!$B$7:$B$156,$C198)&lt;&gt;1,"模式或醫師未建立",IF(COUNTIFS('技能主檔_V1'!$A$7:$A$200,$D198,'技能主檔_V1'!$J$7:$J$200,"啟用")&lt;&gt;1,"技能未在主檔啟用",IF(OR($A198="",$E198="",$F198="",$G198="",$H198="",$I198="",$J198="",$K198="",$L198="",$N198=""),IF($M198="已核定","已核定但資料未完整","待補欄位或核定"),IF(OR($O198="",$P198=""),IF($M198="已核定","已核定但缺來源依據","待補來源依據"),IF($M198="已核定","可發布","待主管核定")))))))))</x:f>
      </x:c>
      <x:c r="S198" s="579" t="str">
        <x:f>IF($B198="","",IF($R198="可發布","回到醫師模式規則輸入，將能力要求集標記為已完整",IF(OR($R198="停用",$R198="退回補件"),"依狀態處理",IF(ISNUMBER(SEARCH("來源",$R198)),"補齊來源文件與定位",IF(ISNUMBER(SEARCH("技能",$R198)),"先完成技能名稱對照並發布技能主檔",IF(ISNUMBER(SEARCH("模式",$R198)),"先建立相符的醫師模式規則","補齊欄位並完成主管核定"))))))</x:f>
      </x:c>
    </x:row>
    <x:row r="199">
      <x:c r="A199" s="577"/>
      <x:c r="B199" s="577"/>
      <x:c r="C199" s="577"/>
      <x:c r="D199" s="577"/>
      <x:c r="E199" s="577"/>
      <x:c r="F199" s="577"/>
      <x:c r="G199" s="577"/>
      <x:c r="H199" s="577"/>
      <x:c r="I199" s="577"/>
      <x:c r="J199" s="577"/>
      <x:c r="K199" s="577"/>
      <x:c r="L199" s="578"/>
      <x:c r="M199" s="577"/>
      <x:c r="N199" s="577"/>
      <x:c r="O199" s="577"/>
      <x:c r="P199" s="577"/>
      <x:c r="Q199" s="577"/>
      <x:c r="R199" s="579" t="str">
        <x:f>IF($B199="","",IF($M199="停用","停用",IF($M199="退回補件","退回補件",IF(COUNTIFS($A$7:$A$306,$A199)&gt;1,"要求編號重複",IF(COUNTIFS('醫師模式規則輸入'!$D$7:$D$156,$B199,'醫師模式規則輸入'!$B$7:$B$156,$C199)&lt;&gt;1,"模式或醫師未建立",IF(COUNTIFS('技能主檔_V1'!$A$7:$A$200,$D199,'技能主檔_V1'!$J$7:$J$200,"啟用")&lt;&gt;1,"技能未在主檔啟用",IF(OR($A199="",$E199="",$F199="",$G199="",$H199="",$I199="",$J199="",$K199="",$L199="",$N199=""),IF($M199="已核定","已核定但資料未完整","待補欄位或核定"),IF(OR($O199="",$P199=""),IF($M199="已核定","已核定但缺來源依據","待補來源依據"),IF($M199="已核定","可發布","待主管核定")))))))))</x:f>
      </x:c>
      <x:c r="S199" s="579" t="str">
        <x:f>IF($B199="","",IF($R199="可發布","回到醫師模式規則輸入，將能力要求集標記為已完整",IF(OR($R199="停用",$R199="退回補件"),"依狀態處理",IF(ISNUMBER(SEARCH("來源",$R199)),"補齊來源文件與定位",IF(ISNUMBER(SEARCH("技能",$R199)),"先完成技能名稱對照並發布技能主檔",IF(ISNUMBER(SEARCH("模式",$R199)),"先建立相符的醫師模式規則","補齊欄位並完成主管核定"))))))</x:f>
      </x:c>
    </x:row>
    <x:row r="200">
      <x:c r="A200" s="577"/>
      <x:c r="B200" s="577"/>
      <x:c r="C200" s="577"/>
      <x:c r="D200" s="577"/>
      <x:c r="E200" s="577"/>
      <x:c r="F200" s="577"/>
      <x:c r="G200" s="577"/>
      <x:c r="H200" s="577"/>
      <x:c r="I200" s="577"/>
      <x:c r="J200" s="577"/>
      <x:c r="K200" s="577"/>
      <x:c r="L200" s="578"/>
      <x:c r="M200" s="577"/>
      <x:c r="N200" s="577"/>
      <x:c r="O200" s="577"/>
      <x:c r="P200" s="577"/>
      <x:c r="Q200" s="577"/>
      <x:c r="R200" s="579" t="str">
        <x:f>IF($B200="","",IF($M200="停用","停用",IF($M200="退回補件","退回補件",IF(COUNTIFS($A$7:$A$306,$A200)&gt;1,"要求編號重複",IF(COUNTIFS('醫師模式規則輸入'!$D$7:$D$156,$B200,'醫師模式規則輸入'!$B$7:$B$156,$C200)&lt;&gt;1,"模式或醫師未建立",IF(COUNTIFS('技能主檔_V1'!$A$7:$A$200,$D200,'技能主檔_V1'!$J$7:$J$200,"啟用")&lt;&gt;1,"技能未在主檔啟用",IF(OR($A200="",$E200="",$F200="",$G200="",$H200="",$I200="",$J200="",$K200="",$L200="",$N200=""),IF($M200="已核定","已核定但資料未完整","待補欄位或核定"),IF(OR($O200="",$P200=""),IF($M200="已核定","已核定但缺來源依據","待補來源依據"),IF($M200="已核定","可發布","待主管核定")))))))))</x:f>
      </x:c>
      <x:c r="S200" s="579" t="str">
        <x:f>IF($B200="","",IF($R200="可發布","回到醫師模式規則輸入，將能力要求集標記為已完整",IF(OR($R200="停用",$R200="退回補件"),"依狀態處理",IF(ISNUMBER(SEARCH("來源",$R200)),"補齊來源文件與定位",IF(ISNUMBER(SEARCH("技能",$R200)),"先完成技能名稱對照並發布技能主檔",IF(ISNUMBER(SEARCH("模式",$R200)),"先建立相符的醫師模式規則","補齊欄位並完成主管核定"))))))</x:f>
      </x:c>
    </x:row>
    <x:row r="201">
      <x:c r="A201" s="577"/>
      <x:c r="B201" s="577"/>
      <x:c r="C201" s="577"/>
      <x:c r="D201" s="577"/>
      <x:c r="E201" s="577"/>
      <x:c r="F201" s="577"/>
      <x:c r="G201" s="577"/>
      <x:c r="H201" s="577"/>
      <x:c r="I201" s="577"/>
      <x:c r="J201" s="577"/>
      <x:c r="K201" s="577"/>
      <x:c r="L201" s="578"/>
      <x:c r="M201" s="577"/>
      <x:c r="N201" s="577"/>
      <x:c r="O201" s="577"/>
      <x:c r="P201" s="577"/>
      <x:c r="Q201" s="577"/>
      <x:c r="R201" s="579" t="str">
        <x:f>IF($B201="","",IF($M201="停用","停用",IF($M201="退回補件","退回補件",IF(COUNTIFS($A$7:$A$306,$A201)&gt;1,"要求編號重複",IF(COUNTIFS('醫師模式規則輸入'!$D$7:$D$156,$B201,'醫師模式規則輸入'!$B$7:$B$156,$C201)&lt;&gt;1,"模式或醫師未建立",IF(COUNTIFS('技能主檔_V1'!$A$7:$A$200,$D201,'技能主檔_V1'!$J$7:$J$200,"啟用")&lt;&gt;1,"技能未在主檔啟用",IF(OR($A201="",$E201="",$F201="",$G201="",$H201="",$I201="",$J201="",$K201="",$L201="",$N201=""),IF($M201="已核定","已核定但資料未完整","待補欄位或核定"),IF(OR($O201="",$P201=""),IF($M201="已核定","已核定但缺來源依據","待補來源依據"),IF($M201="已核定","可發布","待主管核定")))))))))</x:f>
      </x:c>
      <x:c r="S201" s="579" t="str">
        <x:f>IF($B201="","",IF($R201="可發布","回到醫師模式規則輸入，將能力要求集標記為已完整",IF(OR($R201="停用",$R201="退回補件"),"依狀態處理",IF(ISNUMBER(SEARCH("來源",$R201)),"補齊來源文件與定位",IF(ISNUMBER(SEARCH("技能",$R201)),"先完成技能名稱對照並發布技能主檔",IF(ISNUMBER(SEARCH("模式",$R201)),"先建立相符的醫師模式規則","補齊欄位並完成主管核定"))))))</x:f>
      </x:c>
    </x:row>
    <x:row r="202">
      <x:c r="A202" s="577"/>
      <x:c r="B202" s="577"/>
      <x:c r="C202" s="577"/>
      <x:c r="D202" s="577"/>
      <x:c r="E202" s="577"/>
      <x:c r="F202" s="577"/>
      <x:c r="G202" s="577"/>
      <x:c r="H202" s="577"/>
      <x:c r="I202" s="577"/>
      <x:c r="J202" s="577"/>
      <x:c r="K202" s="577"/>
      <x:c r="L202" s="578"/>
      <x:c r="M202" s="577"/>
      <x:c r="N202" s="577"/>
      <x:c r="O202" s="577"/>
      <x:c r="P202" s="577"/>
      <x:c r="Q202" s="577"/>
      <x:c r="R202" s="579" t="str">
        <x:f>IF($B202="","",IF($M202="停用","停用",IF($M202="退回補件","退回補件",IF(COUNTIFS($A$7:$A$306,$A202)&gt;1,"要求編號重複",IF(COUNTIFS('醫師模式規則輸入'!$D$7:$D$156,$B202,'醫師模式規則輸入'!$B$7:$B$156,$C202)&lt;&gt;1,"模式或醫師未建立",IF(COUNTIFS('技能主檔_V1'!$A$7:$A$200,$D202,'技能主檔_V1'!$J$7:$J$200,"啟用")&lt;&gt;1,"技能未在主檔啟用",IF(OR($A202="",$E202="",$F202="",$G202="",$H202="",$I202="",$J202="",$K202="",$L202="",$N202=""),IF($M202="已核定","已核定但資料未完整","待補欄位或核定"),IF(OR($O202="",$P202=""),IF($M202="已核定","已核定但缺來源依據","待補來源依據"),IF($M202="已核定","可發布","待主管核定")))))))))</x:f>
      </x:c>
      <x:c r="S202" s="579" t="str">
        <x:f>IF($B202="","",IF($R202="可發布","回到醫師模式規則輸入，將能力要求集標記為已完整",IF(OR($R202="停用",$R202="退回補件"),"依狀態處理",IF(ISNUMBER(SEARCH("來源",$R202)),"補齊來源文件與定位",IF(ISNUMBER(SEARCH("技能",$R202)),"先完成技能名稱對照並發布技能主檔",IF(ISNUMBER(SEARCH("模式",$R202)),"先建立相符的醫師模式規則","補齊欄位並完成主管核定"))))))</x:f>
      </x:c>
    </x:row>
    <x:row r="203">
      <x:c r="A203" s="577"/>
      <x:c r="B203" s="577"/>
      <x:c r="C203" s="577"/>
      <x:c r="D203" s="577"/>
      <x:c r="E203" s="577"/>
      <x:c r="F203" s="577"/>
      <x:c r="G203" s="577"/>
      <x:c r="H203" s="577"/>
      <x:c r="I203" s="577"/>
      <x:c r="J203" s="577"/>
      <x:c r="K203" s="577"/>
      <x:c r="L203" s="578"/>
      <x:c r="M203" s="577"/>
      <x:c r="N203" s="577"/>
      <x:c r="O203" s="577"/>
      <x:c r="P203" s="577"/>
      <x:c r="Q203" s="577"/>
      <x:c r="R203" s="579" t="str">
        <x:f>IF($B203="","",IF($M203="停用","停用",IF($M203="退回補件","退回補件",IF(COUNTIFS($A$7:$A$306,$A203)&gt;1,"要求編號重複",IF(COUNTIFS('醫師模式規則輸入'!$D$7:$D$156,$B203,'醫師模式規則輸入'!$B$7:$B$156,$C203)&lt;&gt;1,"模式或醫師未建立",IF(COUNTIFS('技能主檔_V1'!$A$7:$A$200,$D203,'技能主檔_V1'!$J$7:$J$200,"啟用")&lt;&gt;1,"技能未在主檔啟用",IF(OR($A203="",$E203="",$F203="",$G203="",$H203="",$I203="",$J203="",$K203="",$L203="",$N203=""),IF($M203="已核定","已核定但資料未完整","待補欄位或核定"),IF(OR($O203="",$P203=""),IF($M203="已核定","已核定但缺來源依據","待補來源依據"),IF($M203="已核定","可發布","待主管核定")))))))))</x:f>
      </x:c>
      <x:c r="S203" s="579" t="str">
        <x:f>IF($B203="","",IF($R203="可發布","回到醫師模式規則輸入，將能力要求集標記為已完整",IF(OR($R203="停用",$R203="退回補件"),"依狀態處理",IF(ISNUMBER(SEARCH("來源",$R203)),"補齊來源文件與定位",IF(ISNUMBER(SEARCH("技能",$R203)),"先完成技能名稱對照並發布技能主檔",IF(ISNUMBER(SEARCH("模式",$R203)),"先建立相符的醫師模式規則","補齊欄位並完成主管核定"))))))</x:f>
      </x:c>
    </x:row>
    <x:row r="204">
      <x:c r="A204" s="577"/>
      <x:c r="B204" s="577"/>
      <x:c r="C204" s="577"/>
      <x:c r="D204" s="577"/>
      <x:c r="E204" s="577"/>
      <x:c r="F204" s="577"/>
      <x:c r="G204" s="577"/>
      <x:c r="H204" s="577"/>
      <x:c r="I204" s="577"/>
      <x:c r="J204" s="577"/>
      <x:c r="K204" s="577"/>
      <x:c r="L204" s="578"/>
      <x:c r="M204" s="577"/>
      <x:c r="N204" s="577"/>
      <x:c r="O204" s="577"/>
      <x:c r="P204" s="577"/>
      <x:c r="Q204" s="577"/>
      <x:c r="R204" s="579" t="str">
        <x:f>IF($B204="","",IF($M204="停用","停用",IF($M204="退回補件","退回補件",IF(COUNTIFS($A$7:$A$306,$A204)&gt;1,"要求編號重複",IF(COUNTIFS('醫師模式規則輸入'!$D$7:$D$156,$B204,'醫師模式規則輸入'!$B$7:$B$156,$C204)&lt;&gt;1,"模式或醫師未建立",IF(COUNTIFS('技能主檔_V1'!$A$7:$A$200,$D204,'技能主檔_V1'!$J$7:$J$200,"啟用")&lt;&gt;1,"技能未在主檔啟用",IF(OR($A204="",$E204="",$F204="",$G204="",$H204="",$I204="",$J204="",$K204="",$L204="",$N204=""),IF($M204="已核定","已核定但資料未完整","待補欄位或核定"),IF(OR($O204="",$P204=""),IF($M204="已核定","已核定但缺來源依據","待補來源依據"),IF($M204="已核定","可發布","待主管核定")))))))))</x:f>
      </x:c>
      <x:c r="S204" s="579" t="str">
        <x:f>IF($B204="","",IF($R204="可發布","回到醫師模式規則輸入，將能力要求集標記為已完整",IF(OR($R204="停用",$R204="退回補件"),"依狀態處理",IF(ISNUMBER(SEARCH("來源",$R204)),"補齊來源文件與定位",IF(ISNUMBER(SEARCH("技能",$R204)),"先完成技能名稱對照並發布技能主檔",IF(ISNUMBER(SEARCH("模式",$R204)),"先建立相符的醫師模式規則","補齊欄位並完成主管核定"))))))</x:f>
      </x:c>
    </x:row>
    <x:row r="205">
      <x:c r="A205" s="577"/>
      <x:c r="B205" s="577"/>
      <x:c r="C205" s="577"/>
      <x:c r="D205" s="577"/>
      <x:c r="E205" s="577"/>
      <x:c r="F205" s="577"/>
      <x:c r="G205" s="577"/>
      <x:c r="H205" s="577"/>
      <x:c r="I205" s="577"/>
      <x:c r="J205" s="577"/>
      <x:c r="K205" s="577"/>
      <x:c r="L205" s="578"/>
      <x:c r="M205" s="577"/>
      <x:c r="N205" s="577"/>
      <x:c r="O205" s="577"/>
      <x:c r="P205" s="577"/>
      <x:c r="Q205" s="577"/>
      <x:c r="R205" s="579" t="str">
        <x:f>IF($B205="","",IF($M205="停用","停用",IF($M205="退回補件","退回補件",IF(COUNTIFS($A$7:$A$306,$A205)&gt;1,"要求編號重複",IF(COUNTIFS('醫師模式規則輸入'!$D$7:$D$156,$B205,'醫師模式規則輸入'!$B$7:$B$156,$C205)&lt;&gt;1,"模式或醫師未建立",IF(COUNTIFS('技能主檔_V1'!$A$7:$A$200,$D205,'技能主檔_V1'!$J$7:$J$200,"啟用")&lt;&gt;1,"技能未在主檔啟用",IF(OR($A205="",$E205="",$F205="",$G205="",$H205="",$I205="",$J205="",$K205="",$L205="",$N205=""),IF($M205="已核定","已核定但資料未完整","待補欄位或核定"),IF(OR($O205="",$P205=""),IF($M205="已核定","已核定但缺來源依據","待補來源依據"),IF($M205="已核定","可發布","待主管核定")))))))))</x:f>
      </x:c>
      <x:c r="S205" s="579" t="str">
        <x:f>IF($B205="","",IF($R205="可發布","回到醫師模式規則輸入，將能力要求集標記為已完整",IF(OR($R205="停用",$R205="退回補件"),"依狀態處理",IF(ISNUMBER(SEARCH("來源",$R205)),"補齊來源文件與定位",IF(ISNUMBER(SEARCH("技能",$R205)),"先完成技能名稱對照並發布技能主檔",IF(ISNUMBER(SEARCH("模式",$R205)),"先建立相符的醫師模式規則","補齊欄位並完成主管核定"))))))</x:f>
      </x:c>
    </x:row>
    <x:row r="206">
      <x:c r="A206" s="577"/>
      <x:c r="B206" s="577"/>
      <x:c r="C206" s="577"/>
      <x:c r="D206" s="577"/>
      <x:c r="E206" s="577"/>
      <x:c r="F206" s="577"/>
      <x:c r="G206" s="577"/>
      <x:c r="H206" s="577"/>
      <x:c r="I206" s="577"/>
      <x:c r="J206" s="577"/>
      <x:c r="K206" s="577"/>
      <x:c r="L206" s="578"/>
      <x:c r="M206" s="577"/>
      <x:c r="N206" s="577"/>
      <x:c r="O206" s="577"/>
      <x:c r="P206" s="577"/>
      <x:c r="Q206" s="577"/>
      <x:c r="R206" s="579" t="str">
        <x:f>IF($B206="","",IF($M206="停用","停用",IF($M206="退回補件","退回補件",IF(COUNTIFS($A$7:$A$306,$A206)&gt;1,"要求編號重複",IF(COUNTIFS('醫師模式規則輸入'!$D$7:$D$156,$B206,'醫師模式規則輸入'!$B$7:$B$156,$C206)&lt;&gt;1,"模式或醫師未建立",IF(COUNTIFS('技能主檔_V1'!$A$7:$A$200,$D206,'技能主檔_V1'!$J$7:$J$200,"啟用")&lt;&gt;1,"技能未在主檔啟用",IF(OR($A206="",$E206="",$F206="",$G206="",$H206="",$I206="",$J206="",$K206="",$L206="",$N206=""),IF($M206="已核定","已核定但資料未完整","待補欄位或核定"),IF(OR($O206="",$P206=""),IF($M206="已核定","已核定但缺來源依據","待補來源依據"),IF($M206="已核定","可發布","待主管核定")))))))))</x:f>
      </x:c>
      <x:c r="S206" s="579" t="str">
        <x:f>IF($B206="","",IF($R206="可發布","回到醫師模式規則輸入，將能力要求集標記為已完整",IF(OR($R206="停用",$R206="退回補件"),"依狀態處理",IF(ISNUMBER(SEARCH("來源",$R206)),"補齊來源文件與定位",IF(ISNUMBER(SEARCH("技能",$R206)),"先完成技能名稱對照並發布技能主檔",IF(ISNUMBER(SEARCH("模式",$R206)),"先建立相符的醫師模式規則","補齊欄位並完成主管核定"))))))</x:f>
      </x:c>
    </x:row>
    <x:row r="207">
      <x:c r="A207" s="577"/>
      <x:c r="B207" s="577"/>
      <x:c r="C207" s="577"/>
      <x:c r="D207" s="577"/>
      <x:c r="E207" s="577"/>
      <x:c r="F207" s="577"/>
      <x:c r="G207" s="577"/>
      <x:c r="H207" s="577"/>
      <x:c r="I207" s="577"/>
      <x:c r="J207" s="577"/>
      <x:c r="K207" s="577"/>
      <x:c r="L207" s="578"/>
      <x:c r="M207" s="577"/>
      <x:c r="N207" s="577"/>
      <x:c r="O207" s="577"/>
      <x:c r="P207" s="577"/>
      <x:c r="Q207" s="577"/>
      <x:c r="R207" s="579" t="str">
        <x:f>IF($B207="","",IF($M207="停用","停用",IF($M207="退回補件","退回補件",IF(COUNTIFS($A$7:$A$306,$A207)&gt;1,"要求編號重複",IF(COUNTIFS('醫師模式規則輸入'!$D$7:$D$156,$B207,'醫師模式規則輸入'!$B$7:$B$156,$C207)&lt;&gt;1,"模式或醫師未建立",IF(COUNTIFS('技能主檔_V1'!$A$7:$A$200,$D207,'技能主檔_V1'!$J$7:$J$200,"啟用")&lt;&gt;1,"技能未在主檔啟用",IF(OR($A207="",$E207="",$F207="",$G207="",$H207="",$I207="",$J207="",$K207="",$L207="",$N207=""),IF($M207="已核定","已核定但資料未完整","待補欄位或核定"),IF(OR($O207="",$P207=""),IF($M207="已核定","已核定但缺來源依據","待補來源依據"),IF($M207="已核定","可發布","待主管核定")))))))))</x:f>
      </x:c>
      <x:c r="S207" s="579" t="str">
        <x:f>IF($B207="","",IF($R207="可發布","回到醫師模式規則輸入，將能力要求集標記為已完整",IF(OR($R207="停用",$R207="退回補件"),"依狀態處理",IF(ISNUMBER(SEARCH("來源",$R207)),"補齊來源文件與定位",IF(ISNUMBER(SEARCH("技能",$R207)),"先完成技能名稱對照並發布技能主檔",IF(ISNUMBER(SEARCH("模式",$R207)),"先建立相符的醫師模式規則","補齊欄位並完成主管核定"))))))</x:f>
      </x:c>
    </x:row>
    <x:row r="208">
      <x:c r="A208" s="577"/>
      <x:c r="B208" s="577"/>
      <x:c r="C208" s="577"/>
      <x:c r="D208" s="577"/>
      <x:c r="E208" s="577"/>
      <x:c r="F208" s="577"/>
      <x:c r="G208" s="577"/>
      <x:c r="H208" s="577"/>
      <x:c r="I208" s="577"/>
      <x:c r="J208" s="577"/>
      <x:c r="K208" s="577"/>
      <x:c r="L208" s="578"/>
      <x:c r="M208" s="577"/>
      <x:c r="N208" s="577"/>
      <x:c r="O208" s="577"/>
      <x:c r="P208" s="577"/>
      <x:c r="Q208" s="577"/>
      <x:c r="R208" s="579" t="str">
        <x:f>IF($B208="","",IF($M208="停用","停用",IF($M208="退回補件","退回補件",IF(COUNTIFS($A$7:$A$306,$A208)&gt;1,"要求編號重複",IF(COUNTIFS('醫師模式規則輸入'!$D$7:$D$156,$B208,'醫師模式規則輸入'!$B$7:$B$156,$C208)&lt;&gt;1,"模式或醫師未建立",IF(COUNTIFS('技能主檔_V1'!$A$7:$A$200,$D208,'技能主檔_V1'!$J$7:$J$200,"啟用")&lt;&gt;1,"技能未在主檔啟用",IF(OR($A208="",$E208="",$F208="",$G208="",$H208="",$I208="",$J208="",$K208="",$L208="",$N208=""),IF($M208="已核定","已核定但資料未完整","待補欄位或核定"),IF(OR($O208="",$P208=""),IF($M208="已核定","已核定但缺來源依據","待補來源依據"),IF($M208="已核定","可發布","待主管核定")))))))))</x:f>
      </x:c>
      <x:c r="S208" s="579" t="str">
        <x:f>IF($B208="","",IF($R208="可發布","回到醫師模式規則輸入，將能力要求集標記為已完整",IF(OR($R208="停用",$R208="退回補件"),"依狀態處理",IF(ISNUMBER(SEARCH("來源",$R208)),"補齊來源文件與定位",IF(ISNUMBER(SEARCH("技能",$R208)),"先完成技能名稱對照並發布技能主檔",IF(ISNUMBER(SEARCH("模式",$R208)),"先建立相符的醫師模式規則","補齊欄位並完成主管核定"))))))</x:f>
      </x:c>
    </x:row>
    <x:row r="209">
      <x:c r="A209" s="577"/>
      <x:c r="B209" s="577"/>
      <x:c r="C209" s="577"/>
      <x:c r="D209" s="577"/>
      <x:c r="E209" s="577"/>
      <x:c r="F209" s="577"/>
      <x:c r="G209" s="577"/>
      <x:c r="H209" s="577"/>
      <x:c r="I209" s="577"/>
      <x:c r="J209" s="577"/>
      <x:c r="K209" s="577"/>
      <x:c r="L209" s="578"/>
      <x:c r="M209" s="577"/>
      <x:c r="N209" s="577"/>
      <x:c r="O209" s="577"/>
      <x:c r="P209" s="577"/>
      <x:c r="Q209" s="577"/>
      <x:c r="R209" s="579" t="str">
        <x:f>IF($B209="","",IF($M209="停用","停用",IF($M209="退回補件","退回補件",IF(COUNTIFS($A$7:$A$306,$A209)&gt;1,"要求編號重複",IF(COUNTIFS('醫師模式規則輸入'!$D$7:$D$156,$B209,'醫師模式規則輸入'!$B$7:$B$156,$C209)&lt;&gt;1,"模式或醫師未建立",IF(COUNTIFS('技能主檔_V1'!$A$7:$A$200,$D209,'技能主檔_V1'!$J$7:$J$200,"啟用")&lt;&gt;1,"技能未在主檔啟用",IF(OR($A209="",$E209="",$F209="",$G209="",$H209="",$I209="",$J209="",$K209="",$L209="",$N209=""),IF($M209="已核定","已核定但資料未完整","待補欄位或核定"),IF(OR($O209="",$P209=""),IF($M209="已核定","已核定但缺來源依據","待補來源依據"),IF($M209="已核定","可發布","待主管核定")))))))))</x:f>
      </x:c>
      <x:c r="S209" s="579" t="str">
        <x:f>IF($B209="","",IF($R209="可發布","回到醫師模式規則輸入，將能力要求集標記為已完整",IF(OR($R209="停用",$R209="退回補件"),"依狀態處理",IF(ISNUMBER(SEARCH("來源",$R209)),"補齊來源文件與定位",IF(ISNUMBER(SEARCH("技能",$R209)),"先完成技能名稱對照並發布技能主檔",IF(ISNUMBER(SEARCH("模式",$R209)),"先建立相符的醫師模式規則","補齊欄位並完成主管核定"))))))</x:f>
      </x:c>
    </x:row>
    <x:row r="210">
      <x:c r="A210" s="577"/>
      <x:c r="B210" s="577"/>
      <x:c r="C210" s="577"/>
      <x:c r="D210" s="577"/>
      <x:c r="E210" s="577"/>
      <x:c r="F210" s="577"/>
      <x:c r="G210" s="577"/>
      <x:c r="H210" s="577"/>
      <x:c r="I210" s="577"/>
      <x:c r="J210" s="577"/>
      <x:c r="K210" s="577"/>
      <x:c r="L210" s="578"/>
      <x:c r="M210" s="577"/>
      <x:c r="N210" s="577"/>
      <x:c r="O210" s="577"/>
      <x:c r="P210" s="577"/>
      <x:c r="Q210" s="577"/>
      <x:c r="R210" s="579" t="str">
        <x:f>IF($B210="","",IF($M210="停用","停用",IF($M210="退回補件","退回補件",IF(COUNTIFS($A$7:$A$306,$A210)&gt;1,"要求編號重複",IF(COUNTIFS('醫師模式規則輸入'!$D$7:$D$156,$B210,'醫師模式規則輸入'!$B$7:$B$156,$C210)&lt;&gt;1,"模式或醫師未建立",IF(COUNTIFS('技能主檔_V1'!$A$7:$A$200,$D210,'技能主檔_V1'!$J$7:$J$200,"啟用")&lt;&gt;1,"技能未在主檔啟用",IF(OR($A210="",$E210="",$F210="",$G210="",$H210="",$I210="",$J210="",$K210="",$L210="",$N210=""),IF($M210="已核定","已核定但資料未完整","待補欄位或核定"),IF(OR($O210="",$P210=""),IF($M210="已核定","已核定但缺來源依據","待補來源依據"),IF($M210="已核定","可發布","待主管核定")))))))))</x:f>
      </x:c>
      <x:c r="S210" s="579" t="str">
        <x:f>IF($B210="","",IF($R210="可發布","回到醫師模式規則輸入，將能力要求集標記為已完整",IF(OR($R210="停用",$R210="退回補件"),"依狀態處理",IF(ISNUMBER(SEARCH("來源",$R210)),"補齊來源文件與定位",IF(ISNUMBER(SEARCH("技能",$R210)),"先完成技能名稱對照並發布技能主檔",IF(ISNUMBER(SEARCH("模式",$R210)),"先建立相符的醫師模式規則","補齊欄位並完成主管核定"))))))</x:f>
      </x:c>
    </x:row>
    <x:row r="211">
      <x:c r="A211" s="577"/>
      <x:c r="B211" s="577"/>
      <x:c r="C211" s="577"/>
      <x:c r="D211" s="577"/>
      <x:c r="E211" s="577"/>
      <x:c r="F211" s="577"/>
      <x:c r="G211" s="577"/>
      <x:c r="H211" s="577"/>
      <x:c r="I211" s="577"/>
      <x:c r="J211" s="577"/>
      <x:c r="K211" s="577"/>
      <x:c r="L211" s="578"/>
      <x:c r="M211" s="577"/>
      <x:c r="N211" s="577"/>
      <x:c r="O211" s="577"/>
      <x:c r="P211" s="577"/>
      <x:c r="Q211" s="577"/>
      <x:c r="R211" s="579" t="str">
        <x:f>IF($B211="","",IF($M211="停用","停用",IF($M211="退回補件","退回補件",IF(COUNTIFS($A$7:$A$306,$A211)&gt;1,"要求編號重複",IF(COUNTIFS('醫師模式規則輸入'!$D$7:$D$156,$B211,'醫師模式規則輸入'!$B$7:$B$156,$C211)&lt;&gt;1,"模式或醫師未建立",IF(COUNTIFS('技能主檔_V1'!$A$7:$A$200,$D211,'技能主檔_V1'!$J$7:$J$200,"啟用")&lt;&gt;1,"技能未在主檔啟用",IF(OR($A211="",$E211="",$F211="",$G211="",$H211="",$I211="",$J211="",$K211="",$L211="",$N211=""),IF($M211="已核定","已核定但資料未完整","待補欄位或核定"),IF(OR($O211="",$P211=""),IF($M211="已核定","已核定但缺來源依據","待補來源依據"),IF($M211="已核定","可發布","待主管核定")))))))))</x:f>
      </x:c>
      <x:c r="S211" s="579" t="str">
        <x:f>IF($B211="","",IF($R211="可發布","回到醫師模式規則輸入，將能力要求集標記為已完整",IF(OR($R211="停用",$R211="退回補件"),"依狀態處理",IF(ISNUMBER(SEARCH("來源",$R211)),"補齊來源文件與定位",IF(ISNUMBER(SEARCH("技能",$R211)),"先完成技能名稱對照並發布技能主檔",IF(ISNUMBER(SEARCH("模式",$R211)),"先建立相符的醫師模式規則","補齊欄位並完成主管核定"))))))</x:f>
      </x:c>
    </x:row>
    <x:row r="212">
      <x:c r="A212" s="577"/>
      <x:c r="B212" s="577"/>
      <x:c r="C212" s="577"/>
      <x:c r="D212" s="577"/>
      <x:c r="E212" s="577"/>
      <x:c r="F212" s="577"/>
      <x:c r="G212" s="577"/>
      <x:c r="H212" s="577"/>
      <x:c r="I212" s="577"/>
      <x:c r="J212" s="577"/>
      <x:c r="K212" s="577"/>
      <x:c r="L212" s="578"/>
      <x:c r="M212" s="577"/>
      <x:c r="N212" s="577"/>
      <x:c r="O212" s="577"/>
      <x:c r="P212" s="577"/>
      <x:c r="Q212" s="577"/>
      <x:c r="R212" s="579" t="str">
        <x:f>IF($B212="","",IF($M212="停用","停用",IF($M212="退回補件","退回補件",IF(COUNTIFS($A$7:$A$306,$A212)&gt;1,"要求編號重複",IF(COUNTIFS('醫師模式規則輸入'!$D$7:$D$156,$B212,'醫師模式規則輸入'!$B$7:$B$156,$C212)&lt;&gt;1,"模式或醫師未建立",IF(COUNTIFS('技能主檔_V1'!$A$7:$A$200,$D212,'技能主檔_V1'!$J$7:$J$200,"啟用")&lt;&gt;1,"技能未在主檔啟用",IF(OR($A212="",$E212="",$F212="",$G212="",$H212="",$I212="",$J212="",$K212="",$L212="",$N212=""),IF($M212="已核定","已核定但資料未完整","待補欄位或核定"),IF(OR($O212="",$P212=""),IF($M212="已核定","已核定但缺來源依據","待補來源依據"),IF($M212="已核定","可發布","待主管核定")))))))))</x:f>
      </x:c>
      <x:c r="S212" s="579" t="str">
        <x:f>IF($B212="","",IF($R212="可發布","回到醫師模式規則輸入，將能力要求集標記為已完整",IF(OR($R212="停用",$R212="退回補件"),"依狀態處理",IF(ISNUMBER(SEARCH("來源",$R212)),"補齊來源文件與定位",IF(ISNUMBER(SEARCH("技能",$R212)),"先完成技能名稱對照並發布技能主檔",IF(ISNUMBER(SEARCH("模式",$R212)),"先建立相符的醫師模式規則","補齊欄位並完成主管核定"))))))</x:f>
      </x:c>
    </x:row>
    <x:row r="213">
      <x:c r="A213" s="577"/>
      <x:c r="B213" s="577"/>
      <x:c r="C213" s="577"/>
      <x:c r="D213" s="577"/>
      <x:c r="E213" s="577"/>
      <x:c r="F213" s="577"/>
      <x:c r="G213" s="577"/>
      <x:c r="H213" s="577"/>
      <x:c r="I213" s="577"/>
      <x:c r="J213" s="577"/>
      <x:c r="K213" s="577"/>
      <x:c r="L213" s="578"/>
      <x:c r="M213" s="577"/>
      <x:c r="N213" s="577"/>
      <x:c r="O213" s="577"/>
      <x:c r="P213" s="577"/>
      <x:c r="Q213" s="577"/>
      <x:c r="R213" s="579" t="str">
        <x:f>IF($B213="","",IF($M213="停用","停用",IF($M213="退回補件","退回補件",IF(COUNTIFS($A$7:$A$306,$A213)&gt;1,"要求編號重複",IF(COUNTIFS('醫師模式規則輸入'!$D$7:$D$156,$B213,'醫師模式規則輸入'!$B$7:$B$156,$C213)&lt;&gt;1,"模式或醫師未建立",IF(COUNTIFS('技能主檔_V1'!$A$7:$A$200,$D213,'技能主檔_V1'!$J$7:$J$200,"啟用")&lt;&gt;1,"技能未在主檔啟用",IF(OR($A213="",$E213="",$F213="",$G213="",$H213="",$I213="",$J213="",$K213="",$L213="",$N213=""),IF($M213="已核定","已核定但資料未完整","待補欄位或核定"),IF(OR($O213="",$P213=""),IF($M213="已核定","已核定但缺來源依據","待補來源依據"),IF($M213="已核定","可發布","待主管核定")))))))))</x:f>
      </x:c>
      <x:c r="S213" s="579" t="str">
        <x:f>IF($B213="","",IF($R213="可發布","回到醫師模式規則輸入，將能力要求集標記為已完整",IF(OR($R213="停用",$R213="退回補件"),"依狀態處理",IF(ISNUMBER(SEARCH("來源",$R213)),"補齊來源文件與定位",IF(ISNUMBER(SEARCH("技能",$R213)),"先完成技能名稱對照並發布技能主檔",IF(ISNUMBER(SEARCH("模式",$R213)),"先建立相符的醫師模式規則","補齊欄位並完成主管核定"))))))</x:f>
      </x:c>
    </x:row>
    <x:row r="214">
      <x:c r="A214" s="577"/>
      <x:c r="B214" s="577"/>
      <x:c r="C214" s="577"/>
      <x:c r="D214" s="577"/>
      <x:c r="E214" s="577"/>
      <x:c r="F214" s="577"/>
      <x:c r="G214" s="577"/>
      <x:c r="H214" s="577"/>
      <x:c r="I214" s="577"/>
      <x:c r="J214" s="577"/>
      <x:c r="K214" s="577"/>
      <x:c r="L214" s="578"/>
      <x:c r="M214" s="577"/>
      <x:c r="N214" s="577"/>
      <x:c r="O214" s="577"/>
      <x:c r="P214" s="577"/>
      <x:c r="Q214" s="577"/>
      <x:c r="R214" s="579" t="str">
        <x:f>IF($B214="","",IF($M214="停用","停用",IF($M214="退回補件","退回補件",IF(COUNTIFS($A$7:$A$306,$A214)&gt;1,"要求編號重複",IF(COUNTIFS('醫師模式規則輸入'!$D$7:$D$156,$B214,'醫師模式規則輸入'!$B$7:$B$156,$C214)&lt;&gt;1,"模式或醫師未建立",IF(COUNTIFS('技能主檔_V1'!$A$7:$A$200,$D214,'技能主檔_V1'!$J$7:$J$200,"啟用")&lt;&gt;1,"技能未在主檔啟用",IF(OR($A214="",$E214="",$F214="",$G214="",$H214="",$I214="",$J214="",$K214="",$L214="",$N214=""),IF($M214="已核定","已核定但資料未完整","待補欄位或核定"),IF(OR($O214="",$P214=""),IF($M214="已核定","已核定但缺來源依據","待補來源依據"),IF($M214="已核定","可發布","待主管核定")))))))))</x:f>
      </x:c>
      <x:c r="S214" s="579" t="str">
        <x:f>IF($B214="","",IF($R214="可發布","回到醫師模式規則輸入，將能力要求集標記為已完整",IF(OR($R214="停用",$R214="退回補件"),"依狀態處理",IF(ISNUMBER(SEARCH("來源",$R214)),"補齊來源文件與定位",IF(ISNUMBER(SEARCH("技能",$R214)),"先完成技能名稱對照並發布技能主檔",IF(ISNUMBER(SEARCH("模式",$R214)),"先建立相符的醫師模式規則","補齊欄位並完成主管核定"))))))</x:f>
      </x:c>
    </x:row>
    <x:row r="215">
      <x:c r="A215" s="577"/>
      <x:c r="B215" s="577"/>
      <x:c r="C215" s="577"/>
      <x:c r="D215" s="577"/>
      <x:c r="E215" s="577"/>
      <x:c r="F215" s="577"/>
      <x:c r="G215" s="577"/>
      <x:c r="H215" s="577"/>
      <x:c r="I215" s="577"/>
      <x:c r="J215" s="577"/>
      <x:c r="K215" s="577"/>
      <x:c r="L215" s="578"/>
      <x:c r="M215" s="577"/>
      <x:c r="N215" s="577"/>
      <x:c r="O215" s="577"/>
      <x:c r="P215" s="577"/>
      <x:c r="Q215" s="577"/>
      <x:c r="R215" s="579" t="str">
        <x:f>IF($B215="","",IF($M215="停用","停用",IF($M215="退回補件","退回補件",IF(COUNTIFS($A$7:$A$306,$A215)&gt;1,"要求編號重複",IF(COUNTIFS('醫師模式規則輸入'!$D$7:$D$156,$B215,'醫師模式規則輸入'!$B$7:$B$156,$C215)&lt;&gt;1,"模式或醫師未建立",IF(COUNTIFS('技能主檔_V1'!$A$7:$A$200,$D215,'技能主檔_V1'!$J$7:$J$200,"啟用")&lt;&gt;1,"技能未在主檔啟用",IF(OR($A215="",$E215="",$F215="",$G215="",$H215="",$I215="",$J215="",$K215="",$L215="",$N215=""),IF($M215="已核定","已核定但資料未完整","待補欄位或核定"),IF(OR($O215="",$P215=""),IF($M215="已核定","已核定但缺來源依據","待補來源依據"),IF($M215="已核定","可發布","待主管核定")))))))))</x:f>
      </x:c>
      <x:c r="S215" s="579" t="str">
        <x:f>IF($B215="","",IF($R215="可發布","回到醫師模式規則輸入，將能力要求集標記為已完整",IF(OR($R215="停用",$R215="退回補件"),"依狀態處理",IF(ISNUMBER(SEARCH("來源",$R215)),"補齊來源文件與定位",IF(ISNUMBER(SEARCH("技能",$R215)),"先完成技能名稱對照並發布技能主檔",IF(ISNUMBER(SEARCH("模式",$R215)),"先建立相符的醫師模式規則","補齊欄位並完成主管核定"))))))</x:f>
      </x:c>
    </x:row>
    <x:row r="216">
      <x:c r="A216" s="577"/>
      <x:c r="B216" s="577"/>
      <x:c r="C216" s="577"/>
      <x:c r="D216" s="577"/>
      <x:c r="E216" s="577"/>
      <x:c r="F216" s="577"/>
      <x:c r="G216" s="577"/>
      <x:c r="H216" s="577"/>
      <x:c r="I216" s="577"/>
      <x:c r="J216" s="577"/>
      <x:c r="K216" s="577"/>
      <x:c r="L216" s="578"/>
      <x:c r="M216" s="577"/>
      <x:c r="N216" s="577"/>
      <x:c r="O216" s="577"/>
      <x:c r="P216" s="577"/>
      <x:c r="Q216" s="577"/>
      <x:c r="R216" s="579" t="str">
        <x:f>IF($B216="","",IF($M216="停用","停用",IF($M216="退回補件","退回補件",IF(COUNTIFS($A$7:$A$306,$A216)&gt;1,"要求編號重複",IF(COUNTIFS('醫師模式規則輸入'!$D$7:$D$156,$B216,'醫師模式規則輸入'!$B$7:$B$156,$C216)&lt;&gt;1,"模式或醫師未建立",IF(COUNTIFS('技能主檔_V1'!$A$7:$A$200,$D216,'技能主檔_V1'!$J$7:$J$200,"啟用")&lt;&gt;1,"技能未在主檔啟用",IF(OR($A216="",$E216="",$F216="",$G216="",$H216="",$I216="",$J216="",$K216="",$L216="",$N216=""),IF($M216="已核定","已核定但資料未完整","待補欄位或核定"),IF(OR($O216="",$P216=""),IF($M216="已核定","已核定但缺來源依據","待補來源依據"),IF($M216="已核定","可發布","待主管核定")))))))))</x:f>
      </x:c>
      <x:c r="S216" s="579" t="str">
        <x:f>IF($B216="","",IF($R216="可發布","回到醫師模式規則輸入，將能力要求集標記為已完整",IF(OR($R216="停用",$R216="退回補件"),"依狀態處理",IF(ISNUMBER(SEARCH("來源",$R216)),"補齊來源文件與定位",IF(ISNUMBER(SEARCH("技能",$R216)),"先完成技能名稱對照並發布技能主檔",IF(ISNUMBER(SEARCH("模式",$R216)),"先建立相符的醫師模式規則","補齊欄位並完成主管核定"))))))</x:f>
      </x:c>
    </x:row>
    <x:row r="217">
      <x:c r="A217" s="577"/>
      <x:c r="B217" s="577"/>
      <x:c r="C217" s="577"/>
      <x:c r="D217" s="577"/>
      <x:c r="E217" s="577"/>
      <x:c r="F217" s="577"/>
      <x:c r="G217" s="577"/>
      <x:c r="H217" s="577"/>
      <x:c r="I217" s="577"/>
      <x:c r="J217" s="577"/>
      <x:c r="K217" s="577"/>
      <x:c r="L217" s="578"/>
      <x:c r="M217" s="577"/>
      <x:c r="N217" s="577"/>
      <x:c r="O217" s="577"/>
      <x:c r="P217" s="577"/>
      <x:c r="Q217" s="577"/>
      <x:c r="R217" s="579" t="str">
        <x:f>IF($B217="","",IF($M217="停用","停用",IF($M217="退回補件","退回補件",IF(COUNTIFS($A$7:$A$306,$A217)&gt;1,"要求編號重複",IF(COUNTIFS('醫師模式規則輸入'!$D$7:$D$156,$B217,'醫師模式規則輸入'!$B$7:$B$156,$C217)&lt;&gt;1,"模式或醫師未建立",IF(COUNTIFS('技能主檔_V1'!$A$7:$A$200,$D217,'技能主檔_V1'!$J$7:$J$200,"啟用")&lt;&gt;1,"技能未在主檔啟用",IF(OR($A217="",$E217="",$F217="",$G217="",$H217="",$I217="",$J217="",$K217="",$L217="",$N217=""),IF($M217="已核定","已核定但資料未完整","待補欄位或核定"),IF(OR($O217="",$P217=""),IF($M217="已核定","已核定但缺來源依據","待補來源依據"),IF($M217="已核定","可發布","待主管核定")))))))))</x:f>
      </x:c>
      <x:c r="S217" s="579" t="str">
        <x:f>IF($B217="","",IF($R217="可發布","回到醫師模式規則輸入，將能力要求集標記為已完整",IF(OR($R217="停用",$R217="退回補件"),"依狀態處理",IF(ISNUMBER(SEARCH("來源",$R217)),"補齊來源文件與定位",IF(ISNUMBER(SEARCH("技能",$R217)),"先完成技能名稱對照並發布技能主檔",IF(ISNUMBER(SEARCH("模式",$R217)),"先建立相符的醫師模式規則","補齊欄位並完成主管核定"))))))</x:f>
      </x:c>
    </x:row>
    <x:row r="218">
      <x:c r="A218" s="577"/>
      <x:c r="B218" s="577"/>
      <x:c r="C218" s="577"/>
      <x:c r="D218" s="577"/>
      <x:c r="E218" s="577"/>
      <x:c r="F218" s="577"/>
      <x:c r="G218" s="577"/>
      <x:c r="H218" s="577"/>
      <x:c r="I218" s="577"/>
      <x:c r="J218" s="577"/>
      <x:c r="K218" s="577"/>
      <x:c r="L218" s="578"/>
      <x:c r="M218" s="577"/>
      <x:c r="N218" s="577"/>
      <x:c r="O218" s="577"/>
      <x:c r="P218" s="577"/>
      <x:c r="Q218" s="577"/>
      <x:c r="R218" s="579" t="str">
        <x:f>IF($B218="","",IF($M218="停用","停用",IF($M218="退回補件","退回補件",IF(COUNTIFS($A$7:$A$306,$A218)&gt;1,"要求編號重複",IF(COUNTIFS('醫師模式規則輸入'!$D$7:$D$156,$B218,'醫師模式規則輸入'!$B$7:$B$156,$C218)&lt;&gt;1,"模式或醫師未建立",IF(COUNTIFS('技能主檔_V1'!$A$7:$A$200,$D218,'技能主檔_V1'!$J$7:$J$200,"啟用")&lt;&gt;1,"技能未在主檔啟用",IF(OR($A218="",$E218="",$F218="",$G218="",$H218="",$I218="",$J218="",$K218="",$L218="",$N218=""),IF($M218="已核定","已核定但資料未完整","待補欄位或核定"),IF(OR($O218="",$P218=""),IF($M218="已核定","已核定但缺來源依據","待補來源依據"),IF($M218="已核定","可發布","待主管核定")))))))))</x:f>
      </x:c>
      <x:c r="S218" s="579" t="str">
        <x:f>IF($B218="","",IF($R218="可發布","回到醫師模式規則輸入，將能力要求集標記為已完整",IF(OR($R218="停用",$R218="退回補件"),"依狀態處理",IF(ISNUMBER(SEARCH("來源",$R218)),"補齊來源文件與定位",IF(ISNUMBER(SEARCH("技能",$R218)),"先完成技能名稱對照並發布技能主檔",IF(ISNUMBER(SEARCH("模式",$R218)),"先建立相符的醫師模式規則","補齊欄位並完成主管核定"))))))</x:f>
      </x:c>
    </x:row>
    <x:row r="219">
      <x:c r="A219" s="577"/>
      <x:c r="B219" s="577"/>
      <x:c r="C219" s="577"/>
      <x:c r="D219" s="577"/>
      <x:c r="E219" s="577"/>
      <x:c r="F219" s="577"/>
      <x:c r="G219" s="577"/>
      <x:c r="H219" s="577"/>
      <x:c r="I219" s="577"/>
      <x:c r="J219" s="577"/>
      <x:c r="K219" s="577"/>
      <x:c r="L219" s="578"/>
      <x:c r="M219" s="577"/>
      <x:c r="N219" s="577"/>
      <x:c r="O219" s="577"/>
      <x:c r="P219" s="577"/>
      <x:c r="Q219" s="577"/>
      <x:c r="R219" s="579" t="str">
        <x:f>IF($B219="","",IF($M219="停用","停用",IF($M219="退回補件","退回補件",IF(COUNTIFS($A$7:$A$306,$A219)&gt;1,"要求編號重複",IF(COUNTIFS('醫師模式規則輸入'!$D$7:$D$156,$B219,'醫師模式規則輸入'!$B$7:$B$156,$C219)&lt;&gt;1,"模式或醫師未建立",IF(COUNTIFS('技能主檔_V1'!$A$7:$A$200,$D219,'技能主檔_V1'!$J$7:$J$200,"啟用")&lt;&gt;1,"技能未在主檔啟用",IF(OR($A219="",$E219="",$F219="",$G219="",$H219="",$I219="",$J219="",$K219="",$L219="",$N219=""),IF($M219="已核定","已核定但資料未完整","待補欄位或核定"),IF(OR($O219="",$P219=""),IF($M219="已核定","已核定但缺來源依據","待補來源依據"),IF($M219="已核定","可發布","待主管核定")))))))))</x:f>
      </x:c>
      <x:c r="S219" s="579" t="str">
        <x:f>IF($B219="","",IF($R219="可發布","回到醫師模式規則輸入，將能力要求集標記為已完整",IF(OR($R219="停用",$R219="退回補件"),"依狀態處理",IF(ISNUMBER(SEARCH("來源",$R219)),"補齊來源文件與定位",IF(ISNUMBER(SEARCH("技能",$R219)),"先完成技能名稱對照並發布技能主檔",IF(ISNUMBER(SEARCH("模式",$R219)),"先建立相符的醫師模式規則","補齊欄位並完成主管核定"))))))</x:f>
      </x:c>
    </x:row>
    <x:row r="220">
      <x:c r="A220" s="577"/>
      <x:c r="B220" s="577"/>
      <x:c r="C220" s="577"/>
      <x:c r="D220" s="577"/>
      <x:c r="E220" s="577"/>
      <x:c r="F220" s="577"/>
      <x:c r="G220" s="577"/>
      <x:c r="H220" s="577"/>
      <x:c r="I220" s="577"/>
      <x:c r="J220" s="577"/>
      <x:c r="K220" s="577"/>
      <x:c r="L220" s="578"/>
      <x:c r="M220" s="577"/>
      <x:c r="N220" s="577"/>
      <x:c r="O220" s="577"/>
      <x:c r="P220" s="577"/>
      <x:c r="Q220" s="577"/>
      <x:c r="R220" s="579" t="str">
        <x:f>IF($B220="","",IF($M220="停用","停用",IF($M220="退回補件","退回補件",IF(COUNTIFS($A$7:$A$306,$A220)&gt;1,"要求編號重複",IF(COUNTIFS('醫師模式規則輸入'!$D$7:$D$156,$B220,'醫師模式規則輸入'!$B$7:$B$156,$C220)&lt;&gt;1,"模式或醫師未建立",IF(COUNTIFS('技能主檔_V1'!$A$7:$A$200,$D220,'技能主檔_V1'!$J$7:$J$200,"啟用")&lt;&gt;1,"技能未在主檔啟用",IF(OR($A220="",$E220="",$F220="",$G220="",$H220="",$I220="",$J220="",$K220="",$L220="",$N220=""),IF($M220="已核定","已核定但資料未完整","待補欄位或核定"),IF(OR($O220="",$P220=""),IF($M220="已核定","已核定但缺來源依據","待補來源依據"),IF($M220="已核定","可發布","待主管核定")))))))))</x:f>
      </x:c>
      <x:c r="S220" s="579" t="str">
        <x:f>IF($B220="","",IF($R220="可發布","回到醫師模式規則輸入，將能力要求集標記為已完整",IF(OR($R220="停用",$R220="退回補件"),"依狀態處理",IF(ISNUMBER(SEARCH("來源",$R220)),"補齊來源文件與定位",IF(ISNUMBER(SEARCH("技能",$R220)),"先完成技能名稱對照並發布技能主檔",IF(ISNUMBER(SEARCH("模式",$R220)),"先建立相符的醫師模式規則","補齊欄位並完成主管核定"))))))</x:f>
      </x:c>
    </x:row>
    <x:row r="221">
      <x:c r="A221" s="577"/>
      <x:c r="B221" s="577"/>
      <x:c r="C221" s="577"/>
      <x:c r="D221" s="577"/>
      <x:c r="E221" s="577"/>
      <x:c r="F221" s="577"/>
      <x:c r="G221" s="577"/>
      <x:c r="H221" s="577"/>
      <x:c r="I221" s="577"/>
      <x:c r="J221" s="577"/>
      <x:c r="K221" s="577"/>
      <x:c r="L221" s="578"/>
      <x:c r="M221" s="577"/>
      <x:c r="N221" s="577"/>
      <x:c r="O221" s="577"/>
      <x:c r="P221" s="577"/>
      <x:c r="Q221" s="577"/>
      <x:c r="R221" s="579" t="str">
        <x:f>IF($B221="","",IF($M221="停用","停用",IF($M221="退回補件","退回補件",IF(COUNTIFS($A$7:$A$306,$A221)&gt;1,"要求編號重複",IF(COUNTIFS('醫師模式規則輸入'!$D$7:$D$156,$B221,'醫師模式規則輸入'!$B$7:$B$156,$C221)&lt;&gt;1,"模式或醫師未建立",IF(COUNTIFS('技能主檔_V1'!$A$7:$A$200,$D221,'技能主檔_V1'!$J$7:$J$200,"啟用")&lt;&gt;1,"技能未在主檔啟用",IF(OR($A221="",$E221="",$F221="",$G221="",$H221="",$I221="",$J221="",$K221="",$L221="",$N221=""),IF($M221="已核定","已核定但資料未完整","待補欄位或核定"),IF(OR($O221="",$P221=""),IF($M221="已核定","已核定但缺來源依據","待補來源依據"),IF($M221="已核定","可發布","待主管核定")))))))))</x:f>
      </x:c>
      <x:c r="S221" s="579" t="str">
        <x:f>IF($B221="","",IF($R221="可發布","回到醫師模式規則輸入，將能力要求集標記為已完整",IF(OR($R221="停用",$R221="退回補件"),"依狀態處理",IF(ISNUMBER(SEARCH("來源",$R221)),"補齊來源文件與定位",IF(ISNUMBER(SEARCH("技能",$R221)),"先完成技能名稱對照並發布技能主檔",IF(ISNUMBER(SEARCH("模式",$R221)),"先建立相符的醫師模式規則","補齊欄位並完成主管核定"))))))</x:f>
      </x:c>
    </x:row>
    <x:row r="222">
      <x:c r="A222" s="577"/>
      <x:c r="B222" s="577"/>
      <x:c r="C222" s="577"/>
      <x:c r="D222" s="577"/>
      <x:c r="E222" s="577"/>
      <x:c r="F222" s="577"/>
      <x:c r="G222" s="577"/>
      <x:c r="H222" s="577"/>
      <x:c r="I222" s="577"/>
      <x:c r="J222" s="577"/>
      <x:c r="K222" s="577"/>
      <x:c r="L222" s="578"/>
      <x:c r="M222" s="577"/>
      <x:c r="N222" s="577"/>
      <x:c r="O222" s="577"/>
      <x:c r="P222" s="577"/>
      <x:c r="Q222" s="577"/>
      <x:c r="R222" s="579" t="str">
        <x:f>IF($B222="","",IF($M222="停用","停用",IF($M222="退回補件","退回補件",IF(COUNTIFS($A$7:$A$306,$A222)&gt;1,"要求編號重複",IF(COUNTIFS('醫師模式規則輸入'!$D$7:$D$156,$B222,'醫師模式規則輸入'!$B$7:$B$156,$C222)&lt;&gt;1,"模式或醫師未建立",IF(COUNTIFS('技能主檔_V1'!$A$7:$A$200,$D222,'技能主檔_V1'!$J$7:$J$200,"啟用")&lt;&gt;1,"技能未在主檔啟用",IF(OR($A222="",$E222="",$F222="",$G222="",$H222="",$I222="",$J222="",$K222="",$L222="",$N222=""),IF($M222="已核定","已核定但資料未完整","待補欄位或核定"),IF(OR($O222="",$P222=""),IF($M222="已核定","已核定但缺來源依據","待補來源依據"),IF($M222="已核定","可發布","待主管核定")))))))))</x:f>
      </x:c>
      <x:c r="S222" s="579" t="str">
        <x:f>IF($B222="","",IF($R222="可發布","回到醫師模式規則輸入，將能力要求集標記為已完整",IF(OR($R222="停用",$R222="退回補件"),"依狀態處理",IF(ISNUMBER(SEARCH("來源",$R222)),"補齊來源文件與定位",IF(ISNUMBER(SEARCH("技能",$R222)),"先完成技能名稱對照並發布技能主檔",IF(ISNUMBER(SEARCH("模式",$R222)),"先建立相符的醫師模式規則","補齊欄位並完成主管核定"))))))</x:f>
      </x:c>
    </x:row>
    <x:row r="223">
      <x:c r="A223" s="577"/>
      <x:c r="B223" s="577"/>
      <x:c r="C223" s="577"/>
      <x:c r="D223" s="577"/>
      <x:c r="E223" s="577"/>
      <x:c r="F223" s="577"/>
      <x:c r="G223" s="577"/>
      <x:c r="H223" s="577"/>
      <x:c r="I223" s="577"/>
      <x:c r="J223" s="577"/>
      <x:c r="K223" s="577"/>
      <x:c r="L223" s="578"/>
      <x:c r="M223" s="577"/>
      <x:c r="N223" s="577"/>
      <x:c r="O223" s="577"/>
      <x:c r="P223" s="577"/>
      <x:c r="Q223" s="577"/>
      <x:c r="R223" s="579" t="str">
        <x:f>IF($B223="","",IF($M223="停用","停用",IF($M223="退回補件","退回補件",IF(COUNTIFS($A$7:$A$306,$A223)&gt;1,"要求編號重複",IF(COUNTIFS('醫師模式規則輸入'!$D$7:$D$156,$B223,'醫師模式規則輸入'!$B$7:$B$156,$C223)&lt;&gt;1,"模式或醫師未建立",IF(COUNTIFS('技能主檔_V1'!$A$7:$A$200,$D223,'技能主檔_V1'!$J$7:$J$200,"啟用")&lt;&gt;1,"技能未在主檔啟用",IF(OR($A223="",$E223="",$F223="",$G223="",$H223="",$I223="",$J223="",$K223="",$L223="",$N223=""),IF($M223="已核定","已核定但資料未完整","待補欄位或核定"),IF(OR($O223="",$P223=""),IF($M223="已核定","已核定但缺來源依據","待補來源依據"),IF($M223="已核定","可發布","待主管核定")))))))))</x:f>
      </x:c>
      <x:c r="S223" s="579" t="str">
        <x:f>IF($B223="","",IF($R223="可發布","回到醫師模式規則輸入，將能力要求集標記為已完整",IF(OR($R223="停用",$R223="退回補件"),"依狀態處理",IF(ISNUMBER(SEARCH("來源",$R223)),"補齊來源文件與定位",IF(ISNUMBER(SEARCH("技能",$R223)),"先完成技能名稱對照並發布技能主檔",IF(ISNUMBER(SEARCH("模式",$R223)),"先建立相符的醫師模式規則","補齊欄位並完成主管核定"))))))</x:f>
      </x:c>
    </x:row>
    <x:row r="224">
      <x:c r="A224" s="577"/>
      <x:c r="B224" s="577"/>
      <x:c r="C224" s="577"/>
      <x:c r="D224" s="577"/>
      <x:c r="E224" s="577"/>
      <x:c r="F224" s="577"/>
      <x:c r="G224" s="577"/>
      <x:c r="H224" s="577"/>
      <x:c r="I224" s="577"/>
      <x:c r="J224" s="577"/>
      <x:c r="K224" s="577"/>
      <x:c r="L224" s="578"/>
      <x:c r="M224" s="577"/>
      <x:c r="N224" s="577"/>
      <x:c r="O224" s="577"/>
      <x:c r="P224" s="577"/>
      <x:c r="Q224" s="577"/>
      <x:c r="R224" s="579" t="str">
        <x:f>IF($B224="","",IF($M224="停用","停用",IF($M224="退回補件","退回補件",IF(COUNTIFS($A$7:$A$306,$A224)&gt;1,"要求編號重複",IF(COUNTIFS('醫師模式規則輸入'!$D$7:$D$156,$B224,'醫師模式規則輸入'!$B$7:$B$156,$C224)&lt;&gt;1,"模式或醫師未建立",IF(COUNTIFS('技能主檔_V1'!$A$7:$A$200,$D224,'技能主檔_V1'!$J$7:$J$200,"啟用")&lt;&gt;1,"技能未在主檔啟用",IF(OR($A224="",$E224="",$F224="",$G224="",$H224="",$I224="",$J224="",$K224="",$L224="",$N224=""),IF($M224="已核定","已核定但資料未完整","待補欄位或核定"),IF(OR($O224="",$P224=""),IF($M224="已核定","已核定但缺來源依據","待補來源依據"),IF($M224="已核定","可發布","待主管核定")))))))))</x:f>
      </x:c>
      <x:c r="S224" s="579" t="str">
        <x:f>IF($B224="","",IF($R224="可發布","回到醫師模式規則輸入，將能力要求集標記為已完整",IF(OR($R224="停用",$R224="退回補件"),"依狀態處理",IF(ISNUMBER(SEARCH("來源",$R224)),"補齊來源文件與定位",IF(ISNUMBER(SEARCH("技能",$R224)),"先完成技能名稱對照並發布技能主檔",IF(ISNUMBER(SEARCH("模式",$R224)),"先建立相符的醫師模式規則","補齊欄位並完成主管核定"))))))</x:f>
      </x:c>
    </x:row>
    <x:row r="225">
      <x:c r="A225" s="577"/>
      <x:c r="B225" s="577"/>
      <x:c r="C225" s="577"/>
      <x:c r="D225" s="577"/>
      <x:c r="E225" s="577"/>
      <x:c r="F225" s="577"/>
      <x:c r="G225" s="577"/>
      <x:c r="H225" s="577"/>
      <x:c r="I225" s="577"/>
      <x:c r="J225" s="577"/>
      <x:c r="K225" s="577"/>
      <x:c r="L225" s="578"/>
      <x:c r="M225" s="577"/>
      <x:c r="N225" s="577"/>
      <x:c r="O225" s="577"/>
      <x:c r="P225" s="577"/>
      <x:c r="Q225" s="577"/>
      <x:c r="R225" s="579" t="str">
        <x:f>IF($B225="","",IF($M225="停用","停用",IF($M225="退回補件","退回補件",IF(COUNTIFS($A$7:$A$306,$A225)&gt;1,"要求編號重複",IF(COUNTIFS('醫師模式規則輸入'!$D$7:$D$156,$B225,'醫師模式規則輸入'!$B$7:$B$156,$C225)&lt;&gt;1,"模式或醫師未建立",IF(COUNTIFS('技能主檔_V1'!$A$7:$A$200,$D225,'技能主檔_V1'!$J$7:$J$200,"啟用")&lt;&gt;1,"技能未在主檔啟用",IF(OR($A225="",$E225="",$F225="",$G225="",$H225="",$I225="",$J225="",$K225="",$L225="",$N225=""),IF($M225="已核定","已核定但資料未完整","待補欄位或核定"),IF(OR($O225="",$P225=""),IF($M225="已核定","已核定但缺來源依據","待補來源依據"),IF($M225="已核定","可發布","待主管核定")))))))))</x:f>
      </x:c>
      <x:c r="S225" s="579" t="str">
        <x:f>IF($B225="","",IF($R225="可發布","回到醫師模式規則輸入，將能力要求集標記為已完整",IF(OR($R225="停用",$R225="退回補件"),"依狀態處理",IF(ISNUMBER(SEARCH("來源",$R225)),"補齊來源文件與定位",IF(ISNUMBER(SEARCH("技能",$R225)),"先完成技能名稱對照並發布技能主檔",IF(ISNUMBER(SEARCH("模式",$R225)),"先建立相符的醫師模式規則","補齊欄位並完成主管核定"))))))</x:f>
      </x:c>
    </x:row>
    <x:row r="226">
      <x:c r="A226" s="577"/>
      <x:c r="B226" s="577"/>
      <x:c r="C226" s="577"/>
      <x:c r="D226" s="577"/>
      <x:c r="E226" s="577"/>
      <x:c r="F226" s="577"/>
      <x:c r="G226" s="577"/>
      <x:c r="H226" s="577"/>
      <x:c r="I226" s="577"/>
      <x:c r="J226" s="577"/>
      <x:c r="K226" s="577"/>
      <x:c r="L226" s="578"/>
      <x:c r="M226" s="577"/>
      <x:c r="N226" s="577"/>
      <x:c r="O226" s="577"/>
      <x:c r="P226" s="577"/>
      <x:c r="Q226" s="577"/>
      <x:c r="R226" s="579" t="str">
        <x:f>IF($B226="","",IF($M226="停用","停用",IF($M226="退回補件","退回補件",IF(COUNTIFS($A$7:$A$306,$A226)&gt;1,"要求編號重複",IF(COUNTIFS('醫師模式規則輸入'!$D$7:$D$156,$B226,'醫師模式規則輸入'!$B$7:$B$156,$C226)&lt;&gt;1,"模式或醫師未建立",IF(COUNTIFS('技能主檔_V1'!$A$7:$A$200,$D226,'技能主檔_V1'!$J$7:$J$200,"啟用")&lt;&gt;1,"技能未在主檔啟用",IF(OR($A226="",$E226="",$F226="",$G226="",$H226="",$I226="",$J226="",$K226="",$L226="",$N226=""),IF($M226="已核定","已核定但資料未完整","待補欄位或核定"),IF(OR($O226="",$P226=""),IF($M226="已核定","已核定但缺來源依據","待補來源依據"),IF($M226="已核定","可發布","待主管核定")))))))))</x:f>
      </x:c>
      <x:c r="S226" s="579" t="str">
        <x:f>IF($B226="","",IF($R226="可發布","回到醫師模式規則輸入，將能力要求集標記為已完整",IF(OR($R226="停用",$R226="退回補件"),"依狀態處理",IF(ISNUMBER(SEARCH("來源",$R226)),"補齊來源文件與定位",IF(ISNUMBER(SEARCH("技能",$R226)),"先完成技能名稱對照並發布技能主檔",IF(ISNUMBER(SEARCH("模式",$R226)),"先建立相符的醫師模式規則","補齊欄位並完成主管核定"))))))</x:f>
      </x:c>
    </x:row>
    <x:row r="227">
      <x:c r="A227" s="577"/>
      <x:c r="B227" s="577"/>
      <x:c r="C227" s="577"/>
      <x:c r="D227" s="577"/>
      <x:c r="E227" s="577"/>
      <x:c r="F227" s="577"/>
      <x:c r="G227" s="577"/>
      <x:c r="H227" s="577"/>
      <x:c r="I227" s="577"/>
      <x:c r="J227" s="577"/>
      <x:c r="K227" s="577"/>
      <x:c r="L227" s="578"/>
      <x:c r="M227" s="577"/>
      <x:c r="N227" s="577"/>
      <x:c r="O227" s="577"/>
      <x:c r="P227" s="577"/>
      <x:c r="Q227" s="577"/>
      <x:c r="R227" s="579" t="str">
        <x:f>IF($B227="","",IF($M227="停用","停用",IF($M227="退回補件","退回補件",IF(COUNTIFS($A$7:$A$306,$A227)&gt;1,"要求編號重複",IF(COUNTIFS('醫師模式規則輸入'!$D$7:$D$156,$B227,'醫師模式規則輸入'!$B$7:$B$156,$C227)&lt;&gt;1,"模式或醫師未建立",IF(COUNTIFS('技能主檔_V1'!$A$7:$A$200,$D227,'技能主檔_V1'!$J$7:$J$200,"啟用")&lt;&gt;1,"技能未在主檔啟用",IF(OR($A227="",$E227="",$F227="",$G227="",$H227="",$I227="",$J227="",$K227="",$L227="",$N227=""),IF($M227="已核定","已核定但資料未完整","待補欄位或核定"),IF(OR($O227="",$P227=""),IF($M227="已核定","已核定但缺來源依據","待補來源依據"),IF($M227="已核定","可發布","待主管核定")))))))))</x:f>
      </x:c>
      <x:c r="S227" s="579" t="str">
        <x:f>IF($B227="","",IF($R227="可發布","回到醫師模式規則輸入，將能力要求集標記為已完整",IF(OR($R227="停用",$R227="退回補件"),"依狀態處理",IF(ISNUMBER(SEARCH("來源",$R227)),"補齊來源文件與定位",IF(ISNUMBER(SEARCH("技能",$R227)),"先完成技能名稱對照並發布技能主檔",IF(ISNUMBER(SEARCH("模式",$R227)),"先建立相符的醫師模式規則","補齊欄位並完成主管核定"))))))</x:f>
      </x:c>
    </x:row>
    <x:row r="228">
      <x:c r="A228" s="577"/>
      <x:c r="B228" s="577"/>
      <x:c r="C228" s="577"/>
      <x:c r="D228" s="577"/>
      <x:c r="E228" s="577"/>
      <x:c r="F228" s="577"/>
      <x:c r="G228" s="577"/>
      <x:c r="H228" s="577"/>
      <x:c r="I228" s="577"/>
      <x:c r="J228" s="577"/>
      <x:c r="K228" s="577"/>
      <x:c r="L228" s="578"/>
      <x:c r="M228" s="577"/>
      <x:c r="N228" s="577"/>
      <x:c r="O228" s="577"/>
      <x:c r="P228" s="577"/>
      <x:c r="Q228" s="577"/>
      <x:c r="R228" s="579" t="str">
        <x:f>IF($B228="","",IF($M228="停用","停用",IF($M228="退回補件","退回補件",IF(COUNTIFS($A$7:$A$306,$A228)&gt;1,"要求編號重複",IF(COUNTIFS('醫師模式規則輸入'!$D$7:$D$156,$B228,'醫師模式規則輸入'!$B$7:$B$156,$C228)&lt;&gt;1,"模式或醫師未建立",IF(COUNTIFS('技能主檔_V1'!$A$7:$A$200,$D228,'技能主檔_V1'!$J$7:$J$200,"啟用")&lt;&gt;1,"技能未在主檔啟用",IF(OR($A228="",$E228="",$F228="",$G228="",$H228="",$I228="",$J228="",$K228="",$L228="",$N228=""),IF($M228="已核定","已核定但資料未完整","待補欄位或核定"),IF(OR($O228="",$P228=""),IF($M228="已核定","已核定但缺來源依據","待補來源依據"),IF($M228="已核定","可發布","待主管核定")))))))))</x:f>
      </x:c>
      <x:c r="S228" s="579" t="str">
        <x:f>IF($B228="","",IF($R228="可發布","回到醫師模式規則輸入，將能力要求集標記為已完整",IF(OR($R228="停用",$R228="退回補件"),"依狀態處理",IF(ISNUMBER(SEARCH("來源",$R228)),"補齊來源文件與定位",IF(ISNUMBER(SEARCH("技能",$R228)),"先完成技能名稱對照並發布技能主檔",IF(ISNUMBER(SEARCH("模式",$R228)),"先建立相符的醫師模式規則","補齊欄位並完成主管核定"))))))</x:f>
      </x:c>
    </x:row>
    <x:row r="229">
      <x:c r="A229" s="577"/>
      <x:c r="B229" s="577"/>
      <x:c r="C229" s="577"/>
      <x:c r="D229" s="577"/>
      <x:c r="E229" s="577"/>
      <x:c r="F229" s="577"/>
      <x:c r="G229" s="577"/>
      <x:c r="H229" s="577"/>
      <x:c r="I229" s="577"/>
      <x:c r="J229" s="577"/>
      <x:c r="K229" s="577"/>
      <x:c r="L229" s="578"/>
      <x:c r="M229" s="577"/>
      <x:c r="N229" s="577"/>
      <x:c r="O229" s="577"/>
      <x:c r="P229" s="577"/>
      <x:c r="Q229" s="577"/>
      <x:c r="R229" s="579" t="str">
        <x:f>IF($B229="","",IF($M229="停用","停用",IF($M229="退回補件","退回補件",IF(COUNTIFS($A$7:$A$306,$A229)&gt;1,"要求編號重複",IF(COUNTIFS('醫師模式規則輸入'!$D$7:$D$156,$B229,'醫師模式規則輸入'!$B$7:$B$156,$C229)&lt;&gt;1,"模式或醫師未建立",IF(COUNTIFS('技能主檔_V1'!$A$7:$A$200,$D229,'技能主檔_V1'!$J$7:$J$200,"啟用")&lt;&gt;1,"技能未在主檔啟用",IF(OR($A229="",$E229="",$F229="",$G229="",$H229="",$I229="",$J229="",$K229="",$L229="",$N229=""),IF($M229="已核定","已核定但資料未完整","待補欄位或核定"),IF(OR($O229="",$P229=""),IF($M229="已核定","已核定但缺來源依據","待補來源依據"),IF($M229="已核定","可發布","待主管核定")))))))))</x:f>
      </x:c>
      <x:c r="S229" s="579" t="str">
        <x:f>IF($B229="","",IF($R229="可發布","回到醫師模式規則輸入，將能力要求集標記為已完整",IF(OR($R229="停用",$R229="退回補件"),"依狀態處理",IF(ISNUMBER(SEARCH("來源",$R229)),"補齊來源文件與定位",IF(ISNUMBER(SEARCH("技能",$R229)),"先完成技能名稱對照並發布技能主檔",IF(ISNUMBER(SEARCH("模式",$R229)),"先建立相符的醫師模式規則","補齊欄位並完成主管核定"))))))</x:f>
      </x:c>
    </x:row>
    <x:row r="230">
      <x:c r="A230" s="577"/>
      <x:c r="B230" s="577"/>
      <x:c r="C230" s="577"/>
      <x:c r="D230" s="577"/>
      <x:c r="E230" s="577"/>
      <x:c r="F230" s="577"/>
      <x:c r="G230" s="577"/>
      <x:c r="H230" s="577"/>
      <x:c r="I230" s="577"/>
      <x:c r="J230" s="577"/>
      <x:c r="K230" s="577"/>
      <x:c r="L230" s="578"/>
      <x:c r="M230" s="577"/>
      <x:c r="N230" s="577"/>
      <x:c r="O230" s="577"/>
      <x:c r="P230" s="577"/>
      <x:c r="Q230" s="577"/>
      <x:c r="R230" s="579" t="str">
        <x:f>IF($B230="","",IF($M230="停用","停用",IF($M230="退回補件","退回補件",IF(COUNTIFS($A$7:$A$306,$A230)&gt;1,"要求編號重複",IF(COUNTIFS('醫師模式規則輸入'!$D$7:$D$156,$B230,'醫師模式規則輸入'!$B$7:$B$156,$C230)&lt;&gt;1,"模式或醫師未建立",IF(COUNTIFS('技能主檔_V1'!$A$7:$A$200,$D230,'技能主檔_V1'!$J$7:$J$200,"啟用")&lt;&gt;1,"技能未在主檔啟用",IF(OR($A230="",$E230="",$F230="",$G230="",$H230="",$I230="",$J230="",$K230="",$L230="",$N230=""),IF($M230="已核定","已核定但資料未完整","待補欄位或核定"),IF(OR($O230="",$P230=""),IF($M230="已核定","已核定但缺來源依據","待補來源依據"),IF($M230="已核定","可發布","待主管核定")))))))))</x:f>
      </x:c>
      <x:c r="S230" s="579" t="str">
        <x:f>IF($B230="","",IF($R230="可發布","回到醫師模式規則輸入，將能力要求集標記為已完整",IF(OR($R230="停用",$R230="退回補件"),"依狀態處理",IF(ISNUMBER(SEARCH("來源",$R230)),"補齊來源文件與定位",IF(ISNUMBER(SEARCH("技能",$R230)),"先完成技能名稱對照並發布技能主檔",IF(ISNUMBER(SEARCH("模式",$R230)),"先建立相符的醫師模式規則","補齊欄位並完成主管核定"))))))</x:f>
      </x:c>
    </x:row>
    <x:row r="231">
      <x:c r="A231" s="577"/>
      <x:c r="B231" s="577"/>
      <x:c r="C231" s="577"/>
      <x:c r="D231" s="577"/>
      <x:c r="E231" s="577"/>
      <x:c r="F231" s="577"/>
      <x:c r="G231" s="577"/>
      <x:c r="H231" s="577"/>
      <x:c r="I231" s="577"/>
      <x:c r="J231" s="577"/>
      <x:c r="K231" s="577"/>
      <x:c r="L231" s="578"/>
      <x:c r="M231" s="577"/>
      <x:c r="N231" s="577"/>
      <x:c r="O231" s="577"/>
      <x:c r="P231" s="577"/>
      <x:c r="Q231" s="577"/>
      <x:c r="R231" s="579" t="str">
        <x:f>IF($B231="","",IF($M231="停用","停用",IF($M231="退回補件","退回補件",IF(COUNTIFS($A$7:$A$306,$A231)&gt;1,"要求編號重複",IF(COUNTIFS('醫師模式規則輸入'!$D$7:$D$156,$B231,'醫師模式規則輸入'!$B$7:$B$156,$C231)&lt;&gt;1,"模式或醫師未建立",IF(COUNTIFS('技能主檔_V1'!$A$7:$A$200,$D231,'技能主檔_V1'!$J$7:$J$200,"啟用")&lt;&gt;1,"技能未在主檔啟用",IF(OR($A231="",$E231="",$F231="",$G231="",$H231="",$I231="",$J231="",$K231="",$L231="",$N231=""),IF($M231="已核定","已核定但資料未完整","待補欄位或核定"),IF(OR($O231="",$P231=""),IF($M231="已核定","已核定但缺來源依據","待補來源依據"),IF($M231="已核定","可發布","待主管核定")))))))))</x:f>
      </x:c>
      <x:c r="S231" s="579" t="str">
        <x:f>IF($B231="","",IF($R231="可發布","回到醫師模式規則輸入，將能力要求集標記為已完整",IF(OR($R231="停用",$R231="退回補件"),"依狀態處理",IF(ISNUMBER(SEARCH("來源",$R231)),"補齊來源文件與定位",IF(ISNUMBER(SEARCH("技能",$R231)),"先完成技能名稱對照並發布技能主檔",IF(ISNUMBER(SEARCH("模式",$R231)),"先建立相符的醫師模式規則","補齊欄位並完成主管核定"))))))</x:f>
      </x:c>
    </x:row>
    <x:row r="232">
      <x:c r="A232" s="577"/>
      <x:c r="B232" s="577"/>
      <x:c r="C232" s="577"/>
      <x:c r="D232" s="577"/>
      <x:c r="E232" s="577"/>
      <x:c r="F232" s="577"/>
      <x:c r="G232" s="577"/>
      <x:c r="H232" s="577"/>
      <x:c r="I232" s="577"/>
      <x:c r="J232" s="577"/>
      <x:c r="K232" s="577"/>
      <x:c r="L232" s="578"/>
      <x:c r="M232" s="577"/>
      <x:c r="N232" s="577"/>
      <x:c r="O232" s="577"/>
      <x:c r="P232" s="577"/>
      <x:c r="Q232" s="577"/>
      <x:c r="R232" s="579" t="str">
        <x:f>IF($B232="","",IF($M232="停用","停用",IF($M232="退回補件","退回補件",IF(COUNTIFS($A$7:$A$306,$A232)&gt;1,"要求編號重複",IF(COUNTIFS('醫師模式規則輸入'!$D$7:$D$156,$B232,'醫師模式規則輸入'!$B$7:$B$156,$C232)&lt;&gt;1,"模式或醫師未建立",IF(COUNTIFS('技能主檔_V1'!$A$7:$A$200,$D232,'技能主檔_V1'!$J$7:$J$200,"啟用")&lt;&gt;1,"技能未在主檔啟用",IF(OR($A232="",$E232="",$F232="",$G232="",$H232="",$I232="",$J232="",$K232="",$L232="",$N232=""),IF($M232="已核定","已核定但資料未完整","待補欄位或核定"),IF(OR($O232="",$P232=""),IF($M232="已核定","已核定但缺來源依據","待補來源依據"),IF($M232="已核定","可發布","待主管核定")))))))))</x:f>
      </x:c>
      <x:c r="S232" s="579" t="str">
        <x:f>IF($B232="","",IF($R232="可發布","回到醫師模式規則輸入，將能力要求集標記為已完整",IF(OR($R232="停用",$R232="退回補件"),"依狀態處理",IF(ISNUMBER(SEARCH("來源",$R232)),"補齊來源文件與定位",IF(ISNUMBER(SEARCH("技能",$R232)),"先完成技能名稱對照並發布技能主檔",IF(ISNUMBER(SEARCH("模式",$R232)),"先建立相符的醫師模式規則","補齊欄位並完成主管核定"))))))</x:f>
      </x:c>
    </x:row>
    <x:row r="233">
      <x:c r="A233" s="577"/>
      <x:c r="B233" s="577"/>
      <x:c r="C233" s="577"/>
      <x:c r="D233" s="577"/>
      <x:c r="E233" s="577"/>
      <x:c r="F233" s="577"/>
      <x:c r="G233" s="577"/>
      <x:c r="H233" s="577"/>
      <x:c r="I233" s="577"/>
      <x:c r="J233" s="577"/>
      <x:c r="K233" s="577"/>
      <x:c r="L233" s="578"/>
      <x:c r="M233" s="577"/>
      <x:c r="N233" s="577"/>
      <x:c r="O233" s="577"/>
      <x:c r="P233" s="577"/>
      <x:c r="Q233" s="577"/>
      <x:c r="R233" s="579" t="str">
        <x:f>IF($B233="","",IF($M233="停用","停用",IF($M233="退回補件","退回補件",IF(COUNTIFS($A$7:$A$306,$A233)&gt;1,"要求編號重複",IF(COUNTIFS('醫師模式規則輸入'!$D$7:$D$156,$B233,'醫師模式規則輸入'!$B$7:$B$156,$C233)&lt;&gt;1,"模式或醫師未建立",IF(COUNTIFS('技能主檔_V1'!$A$7:$A$200,$D233,'技能主檔_V1'!$J$7:$J$200,"啟用")&lt;&gt;1,"技能未在主檔啟用",IF(OR($A233="",$E233="",$F233="",$G233="",$H233="",$I233="",$J233="",$K233="",$L233="",$N233=""),IF($M233="已核定","已核定但資料未完整","待補欄位或核定"),IF(OR($O233="",$P233=""),IF($M233="已核定","已核定但缺來源依據","待補來源依據"),IF($M233="已核定","可發布","待主管核定")))))))))</x:f>
      </x:c>
      <x:c r="S233" s="579" t="str">
        <x:f>IF($B233="","",IF($R233="可發布","回到醫師模式規則輸入，將能力要求集標記為已完整",IF(OR($R233="停用",$R233="退回補件"),"依狀態處理",IF(ISNUMBER(SEARCH("來源",$R233)),"補齊來源文件與定位",IF(ISNUMBER(SEARCH("技能",$R233)),"先完成技能名稱對照並發布技能主檔",IF(ISNUMBER(SEARCH("模式",$R233)),"先建立相符的醫師模式規則","補齊欄位並完成主管核定"))))))</x:f>
      </x:c>
    </x:row>
    <x:row r="234">
      <x:c r="A234" s="577"/>
      <x:c r="B234" s="577"/>
      <x:c r="C234" s="577"/>
      <x:c r="D234" s="577"/>
      <x:c r="E234" s="577"/>
      <x:c r="F234" s="577"/>
      <x:c r="G234" s="577"/>
      <x:c r="H234" s="577"/>
      <x:c r="I234" s="577"/>
      <x:c r="J234" s="577"/>
      <x:c r="K234" s="577"/>
      <x:c r="L234" s="578"/>
      <x:c r="M234" s="577"/>
      <x:c r="N234" s="577"/>
      <x:c r="O234" s="577"/>
      <x:c r="P234" s="577"/>
      <x:c r="Q234" s="577"/>
      <x:c r="R234" s="579" t="str">
        <x:f>IF($B234="","",IF($M234="停用","停用",IF($M234="退回補件","退回補件",IF(COUNTIFS($A$7:$A$306,$A234)&gt;1,"要求編號重複",IF(COUNTIFS('醫師模式規則輸入'!$D$7:$D$156,$B234,'醫師模式規則輸入'!$B$7:$B$156,$C234)&lt;&gt;1,"模式或醫師未建立",IF(COUNTIFS('技能主檔_V1'!$A$7:$A$200,$D234,'技能主檔_V1'!$J$7:$J$200,"啟用")&lt;&gt;1,"技能未在主檔啟用",IF(OR($A234="",$E234="",$F234="",$G234="",$H234="",$I234="",$J234="",$K234="",$L234="",$N234=""),IF($M234="已核定","已核定但資料未完整","待補欄位或核定"),IF(OR($O234="",$P234=""),IF($M234="已核定","已核定但缺來源依據","待補來源依據"),IF($M234="已核定","可發布","待主管核定")))))))))</x:f>
      </x:c>
      <x:c r="S234" s="579" t="str">
        <x:f>IF($B234="","",IF($R234="可發布","回到醫師模式規則輸入，將能力要求集標記為已完整",IF(OR($R234="停用",$R234="退回補件"),"依狀態處理",IF(ISNUMBER(SEARCH("來源",$R234)),"補齊來源文件與定位",IF(ISNUMBER(SEARCH("技能",$R234)),"先完成技能名稱對照並發布技能主檔",IF(ISNUMBER(SEARCH("模式",$R234)),"先建立相符的醫師模式規則","補齊欄位並完成主管核定"))))))</x:f>
      </x:c>
    </x:row>
    <x:row r="235">
      <x:c r="A235" s="577"/>
      <x:c r="B235" s="577"/>
      <x:c r="C235" s="577"/>
      <x:c r="D235" s="577"/>
      <x:c r="E235" s="577"/>
      <x:c r="F235" s="577"/>
      <x:c r="G235" s="577"/>
      <x:c r="H235" s="577"/>
      <x:c r="I235" s="577"/>
      <x:c r="J235" s="577"/>
      <x:c r="K235" s="577"/>
      <x:c r="L235" s="578"/>
      <x:c r="M235" s="577"/>
      <x:c r="N235" s="577"/>
      <x:c r="O235" s="577"/>
      <x:c r="P235" s="577"/>
      <x:c r="Q235" s="577"/>
      <x:c r="R235" s="579" t="str">
        <x:f>IF($B235="","",IF($M235="停用","停用",IF($M235="退回補件","退回補件",IF(COUNTIFS($A$7:$A$306,$A235)&gt;1,"要求編號重複",IF(COUNTIFS('醫師模式規則輸入'!$D$7:$D$156,$B235,'醫師模式規則輸入'!$B$7:$B$156,$C235)&lt;&gt;1,"模式或醫師未建立",IF(COUNTIFS('技能主檔_V1'!$A$7:$A$200,$D235,'技能主檔_V1'!$J$7:$J$200,"啟用")&lt;&gt;1,"技能未在主檔啟用",IF(OR($A235="",$E235="",$F235="",$G235="",$H235="",$I235="",$J235="",$K235="",$L235="",$N235=""),IF($M235="已核定","已核定但資料未完整","待補欄位或核定"),IF(OR($O235="",$P235=""),IF($M235="已核定","已核定但缺來源依據","待補來源依據"),IF($M235="已核定","可發布","待主管核定")))))))))</x:f>
      </x:c>
      <x:c r="S235" s="579" t="str">
        <x:f>IF($B235="","",IF($R235="可發布","回到醫師模式規則輸入，將能力要求集標記為已完整",IF(OR($R235="停用",$R235="退回補件"),"依狀態處理",IF(ISNUMBER(SEARCH("來源",$R235)),"補齊來源文件與定位",IF(ISNUMBER(SEARCH("技能",$R235)),"先完成技能名稱對照並發布技能主檔",IF(ISNUMBER(SEARCH("模式",$R235)),"先建立相符的醫師模式規則","補齊欄位並完成主管核定"))))))</x:f>
      </x:c>
    </x:row>
    <x:row r="236">
      <x:c r="A236" s="577"/>
      <x:c r="B236" s="577"/>
      <x:c r="C236" s="577"/>
      <x:c r="D236" s="577"/>
      <x:c r="E236" s="577"/>
      <x:c r="F236" s="577"/>
      <x:c r="G236" s="577"/>
      <x:c r="H236" s="577"/>
      <x:c r="I236" s="577"/>
      <x:c r="J236" s="577"/>
      <x:c r="K236" s="577"/>
      <x:c r="L236" s="578"/>
      <x:c r="M236" s="577"/>
      <x:c r="N236" s="577"/>
      <x:c r="O236" s="577"/>
      <x:c r="P236" s="577"/>
      <x:c r="Q236" s="577"/>
      <x:c r="R236" s="579" t="str">
        <x:f>IF($B236="","",IF($M236="停用","停用",IF($M236="退回補件","退回補件",IF(COUNTIFS($A$7:$A$306,$A236)&gt;1,"要求編號重複",IF(COUNTIFS('醫師模式規則輸入'!$D$7:$D$156,$B236,'醫師模式規則輸入'!$B$7:$B$156,$C236)&lt;&gt;1,"模式或醫師未建立",IF(COUNTIFS('技能主檔_V1'!$A$7:$A$200,$D236,'技能主檔_V1'!$J$7:$J$200,"啟用")&lt;&gt;1,"技能未在主檔啟用",IF(OR($A236="",$E236="",$F236="",$G236="",$H236="",$I236="",$J236="",$K236="",$L236="",$N236=""),IF($M236="已核定","已核定但資料未完整","待補欄位或核定"),IF(OR($O236="",$P236=""),IF($M236="已核定","已核定但缺來源依據","待補來源依據"),IF($M236="已核定","可發布","待主管核定")))))))))</x:f>
      </x:c>
      <x:c r="S236" s="579" t="str">
        <x:f>IF($B236="","",IF($R236="可發布","回到醫師模式規則輸入，將能力要求集標記為已完整",IF(OR($R236="停用",$R236="退回補件"),"依狀態處理",IF(ISNUMBER(SEARCH("來源",$R236)),"補齊來源文件與定位",IF(ISNUMBER(SEARCH("技能",$R236)),"先完成技能名稱對照並發布技能主檔",IF(ISNUMBER(SEARCH("模式",$R236)),"先建立相符的醫師模式規則","補齊欄位並完成主管核定"))))))</x:f>
      </x:c>
    </x:row>
    <x:row r="237">
      <x:c r="A237" s="577"/>
      <x:c r="B237" s="577"/>
      <x:c r="C237" s="577"/>
      <x:c r="D237" s="577"/>
      <x:c r="E237" s="577"/>
      <x:c r="F237" s="577"/>
      <x:c r="G237" s="577"/>
      <x:c r="H237" s="577"/>
      <x:c r="I237" s="577"/>
      <x:c r="J237" s="577"/>
      <x:c r="K237" s="577"/>
      <x:c r="L237" s="578"/>
      <x:c r="M237" s="577"/>
      <x:c r="N237" s="577"/>
      <x:c r="O237" s="577"/>
      <x:c r="P237" s="577"/>
      <x:c r="Q237" s="577"/>
      <x:c r="R237" s="579" t="str">
        <x:f>IF($B237="","",IF($M237="停用","停用",IF($M237="退回補件","退回補件",IF(COUNTIFS($A$7:$A$306,$A237)&gt;1,"要求編號重複",IF(COUNTIFS('醫師模式規則輸入'!$D$7:$D$156,$B237,'醫師模式規則輸入'!$B$7:$B$156,$C237)&lt;&gt;1,"模式或醫師未建立",IF(COUNTIFS('技能主檔_V1'!$A$7:$A$200,$D237,'技能主檔_V1'!$J$7:$J$200,"啟用")&lt;&gt;1,"技能未在主檔啟用",IF(OR($A237="",$E237="",$F237="",$G237="",$H237="",$I237="",$J237="",$K237="",$L237="",$N237=""),IF($M237="已核定","已核定但資料未完整","待補欄位或核定"),IF(OR($O237="",$P237=""),IF($M237="已核定","已核定但缺來源依據","待補來源依據"),IF($M237="已核定","可發布","待主管核定")))))))))</x:f>
      </x:c>
      <x:c r="S237" s="579" t="str">
        <x:f>IF($B237="","",IF($R237="可發布","回到醫師模式規則輸入，將能力要求集標記為已完整",IF(OR($R237="停用",$R237="退回補件"),"依狀態處理",IF(ISNUMBER(SEARCH("來源",$R237)),"補齊來源文件與定位",IF(ISNUMBER(SEARCH("技能",$R237)),"先完成技能名稱對照並發布技能主檔",IF(ISNUMBER(SEARCH("模式",$R237)),"先建立相符的醫師模式規則","補齊欄位並完成主管核定"))))))</x:f>
      </x:c>
    </x:row>
    <x:row r="238">
      <x:c r="A238" s="577"/>
      <x:c r="B238" s="577"/>
      <x:c r="C238" s="577"/>
      <x:c r="D238" s="577"/>
      <x:c r="E238" s="577"/>
      <x:c r="F238" s="577"/>
      <x:c r="G238" s="577"/>
      <x:c r="H238" s="577"/>
      <x:c r="I238" s="577"/>
      <x:c r="J238" s="577"/>
      <x:c r="K238" s="577"/>
      <x:c r="L238" s="578"/>
      <x:c r="M238" s="577"/>
      <x:c r="N238" s="577"/>
      <x:c r="O238" s="577"/>
      <x:c r="P238" s="577"/>
      <x:c r="Q238" s="577"/>
      <x:c r="R238" s="579" t="str">
        <x:f>IF($B238="","",IF($M238="停用","停用",IF($M238="退回補件","退回補件",IF(COUNTIFS($A$7:$A$306,$A238)&gt;1,"要求編號重複",IF(COUNTIFS('醫師模式規則輸入'!$D$7:$D$156,$B238,'醫師模式規則輸入'!$B$7:$B$156,$C238)&lt;&gt;1,"模式或醫師未建立",IF(COUNTIFS('技能主檔_V1'!$A$7:$A$200,$D238,'技能主檔_V1'!$J$7:$J$200,"啟用")&lt;&gt;1,"技能未在主檔啟用",IF(OR($A238="",$E238="",$F238="",$G238="",$H238="",$I238="",$J238="",$K238="",$L238="",$N238=""),IF($M238="已核定","已核定但資料未完整","待補欄位或核定"),IF(OR($O238="",$P238=""),IF($M238="已核定","已核定但缺來源依據","待補來源依據"),IF($M238="已核定","可發布","待主管核定")))))))))</x:f>
      </x:c>
      <x:c r="S238" s="579" t="str">
        <x:f>IF($B238="","",IF($R238="可發布","回到醫師模式規則輸入，將能力要求集標記為已完整",IF(OR($R238="停用",$R238="退回補件"),"依狀態處理",IF(ISNUMBER(SEARCH("來源",$R238)),"補齊來源文件與定位",IF(ISNUMBER(SEARCH("技能",$R238)),"先完成技能名稱對照並發布技能主檔",IF(ISNUMBER(SEARCH("模式",$R238)),"先建立相符的醫師模式規則","補齊欄位並完成主管核定"))))))</x:f>
      </x:c>
    </x:row>
    <x:row r="239">
      <x:c r="A239" s="577"/>
      <x:c r="B239" s="577"/>
      <x:c r="C239" s="577"/>
      <x:c r="D239" s="577"/>
      <x:c r="E239" s="577"/>
      <x:c r="F239" s="577"/>
      <x:c r="G239" s="577"/>
      <x:c r="H239" s="577"/>
      <x:c r="I239" s="577"/>
      <x:c r="J239" s="577"/>
      <x:c r="K239" s="577"/>
      <x:c r="L239" s="578"/>
      <x:c r="M239" s="577"/>
      <x:c r="N239" s="577"/>
      <x:c r="O239" s="577"/>
      <x:c r="P239" s="577"/>
      <x:c r="Q239" s="577"/>
      <x:c r="R239" s="579" t="str">
        <x:f>IF($B239="","",IF($M239="停用","停用",IF($M239="退回補件","退回補件",IF(COUNTIFS($A$7:$A$306,$A239)&gt;1,"要求編號重複",IF(COUNTIFS('醫師模式規則輸入'!$D$7:$D$156,$B239,'醫師模式規則輸入'!$B$7:$B$156,$C239)&lt;&gt;1,"模式或醫師未建立",IF(COUNTIFS('技能主檔_V1'!$A$7:$A$200,$D239,'技能主檔_V1'!$J$7:$J$200,"啟用")&lt;&gt;1,"技能未在主檔啟用",IF(OR($A239="",$E239="",$F239="",$G239="",$H239="",$I239="",$J239="",$K239="",$L239="",$N239=""),IF($M239="已核定","已核定但資料未完整","待補欄位或核定"),IF(OR($O239="",$P239=""),IF($M239="已核定","已核定但缺來源依據","待補來源依據"),IF($M239="已核定","可發布","待主管核定")))))))))</x:f>
      </x:c>
      <x:c r="S239" s="579" t="str">
        <x:f>IF($B239="","",IF($R239="可發布","回到醫師模式規則輸入，將能力要求集標記為已完整",IF(OR($R239="停用",$R239="退回補件"),"依狀態處理",IF(ISNUMBER(SEARCH("來源",$R239)),"補齊來源文件與定位",IF(ISNUMBER(SEARCH("技能",$R239)),"先完成技能名稱對照並發布技能主檔",IF(ISNUMBER(SEARCH("模式",$R239)),"先建立相符的醫師模式規則","補齊欄位並完成主管核定"))))))</x:f>
      </x:c>
    </x:row>
    <x:row r="240">
      <x:c r="A240" s="577"/>
      <x:c r="B240" s="577"/>
      <x:c r="C240" s="577"/>
      <x:c r="D240" s="577"/>
      <x:c r="E240" s="577"/>
      <x:c r="F240" s="577"/>
      <x:c r="G240" s="577"/>
      <x:c r="H240" s="577"/>
      <x:c r="I240" s="577"/>
      <x:c r="J240" s="577"/>
      <x:c r="K240" s="577"/>
      <x:c r="L240" s="578"/>
      <x:c r="M240" s="577"/>
      <x:c r="N240" s="577"/>
      <x:c r="O240" s="577"/>
      <x:c r="P240" s="577"/>
      <x:c r="Q240" s="577"/>
      <x:c r="R240" s="579" t="str">
        <x:f>IF($B240="","",IF($M240="停用","停用",IF($M240="退回補件","退回補件",IF(COUNTIFS($A$7:$A$306,$A240)&gt;1,"要求編號重複",IF(COUNTIFS('醫師模式規則輸入'!$D$7:$D$156,$B240,'醫師模式規則輸入'!$B$7:$B$156,$C240)&lt;&gt;1,"模式或醫師未建立",IF(COUNTIFS('技能主檔_V1'!$A$7:$A$200,$D240,'技能主檔_V1'!$J$7:$J$200,"啟用")&lt;&gt;1,"技能未在主檔啟用",IF(OR($A240="",$E240="",$F240="",$G240="",$H240="",$I240="",$J240="",$K240="",$L240="",$N240=""),IF($M240="已核定","已核定但資料未完整","待補欄位或核定"),IF(OR($O240="",$P240=""),IF($M240="已核定","已核定但缺來源依據","待補來源依據"),IF($M240="已核定","可發布","待主管核定")))))))))</x:f>
      </x:c>
      <x:c r="S240" s="579" t="str">
        <x:f>IF($B240="","",IF($R240="可發布","回到醫師模式規則輸入，將能力要求集標記為已完整",IF(OR($R240="停用",$R240="退回補件"),"依狀態處理",IF(ISNUMBER(SEARCH("來源",$R240)),"補齊來源文件與定位",IF(ISNUMBER(SEARCH("技能",$R240)),"先完成技能名稱對照並發布技能主檔",IF(ISNUMBER(SEARCH("模式",$R240)),"先建立相符的醫師模式規則","補齊欄位並完成主管核定"))))))</x:f>
      </x:c>
    </x:row>
    <x:row r="241">
      <x:c r="A241" s="577"/>
      <x:c r="B241" s="577"/>
      <x:c r="C241" s="577"/>
      <x:c r="D241" s="577"/>
      <x:c r="E241" s="577"/>
      <x:c r="F241" s="577"/>
      <x:c r="G241" s="577"/>
      <x:c r="H241" s="577"/>
      <x:c r="I241" s="577"/>
      <x:c r="J241" s="577"/>
      <x:c r="K241" s="577"/>
      <x:c r="L241" s="578"/>
      <x:c r="M241" s="577"/>
      <x:c r="N241" s="577"/>
      <x:c r="O241" s="577"/>
      <x:c r="P241" s="577"/>
      <x:c r="Q241" s="577"/>
      <x:c r="R241" s="579" t="str">
        <x:f>IF($B241="","",IF($M241="停用","停用",IF($M241="退回補件","退回補件",IF(COUNTIFS($A$7:$A$306,$A241)&gt;1,"要求編號重複",IF(COUNTIFS('醫師模式規則輸入'!$D$7:$D$156,$B241,'醫師模式規則輸入'!$B$7:$B$156,$C241)&lt;&gt;1,"模式或醫師未建立",IF(COUNTIFS('技能主檔_V1'!$A$7:$A$200,$D241,'技能主檔_V1'!$J$7:$J$200,"啟用")&lt;&gt;1,"技能未在主檔啟用",IF(OR($A241="",$E241="",$F241="",$G241="",$H241="",$I241="",$J241="",$K241="",$L241="",$N241=""),IF($M241="已核定","已核定但資料未完整","待補欄位或核定"),IF(OR($O241="",$P241=""),IF($M241="已核定","已核定但缺來源依據","待補來源依據"),IF($M241="已核定","可發布","待主管核定")))))))))</x:f>
      </x:c>
      <x:c r="S241" s="579" t="str">
        <x:f>IF($B241="","",IF($R241="可發布","回到醫師模式規則輸入，將能力要求集標記為已完整",IF(OR($R241="停用",$R241="退回補件"),"依狀態處理",IF(ISNUMBER(SEARCH("來源",$R241)),"補齊來源文件與定位",IF(ISNUMBER(SEARCH("技能",$R241)),"先完成技能名稱對照並發布技能主檔",IF(ISNUMBER(SEARCH("模式",$R241)),"先建立相符的醫師模式規則","補齊欄位並完成主管核定"))))))</x:f>
      </x:c>
    </x:row>
    <x:row r="242">
      <x:c r="A242" s="577"/>
      <x:c r="B242" s="577"/>
      <x:c r="C242" s="577"/>
      <x:c r="D242" s="577"/>
      <x:c r="E242" s="577"/>
      <x:c r="F242" s="577"/>
      <x:c r="G242" s="577"/>
      <x:c r="H242" s="577"/>
      <x:c r="I242" s="577"/>
      <x:c r="J242" s="577"/>
      <x:c r="K242" s="577"/>
      <x:c r="L242" s="578"/>
      <x:c r="M242" s="577"/>
      <x:c r="N242" s="577"/>
      <x:c r="O242" s="577"/>
      <x:c r="P242" s="577"/>
      <x:c r="Q242" s="577"/>
      <x:c r="R242" s="579" t="str">
        <x:f>IF($B242="","",IF($M242="停用","停用",IF($M242="退回補件","退回補件",IF(COUNTIFS($A$7:$A$306,$A242)&gt;1,"要求編號重複",IF(COUNTIFS('醫師模式規則輸入'!$D$7:$D$156,$B242,'醫師模式規則輸入'!$B$7:$B$156,$C242)&lt;&gt;1,"模式或醫師未建立",IF(COUNTIFS('技能主檔_V1'!$A$7:$A$200,$D242,'技能主檔_V1'!$J$7:$J$200,"啟用")&lt;&gt;1,"技能未在主檔啟用",IF(OR($A242="",$E242="",$F242="",$G242="",$H242="",$I242="",$J242="",$K242="",$L242="",$N242=""),IF($M242="已核定","已核定但資料未完整","待補欄位或核定"),IF(OR($O242="",$P242=""),IF($M242="已核定","已核定但缺來源依據","待補來源依據"),IF($M242="已核定","可發布","待主管核定")))))))))</x:f>
      </x:c>
      <x:c r="S242" s="579" t="str">
        <x:f>IF($B242="","",IF($R242="可發布","回到醫師模式規則輸入，將能力要求集標記為已完整",IF(OR($R242="停用",$R242="退回補件"),"依狀態處理",IF(ISNUMBER(SEARCH("來源",$R242)),"補齊來源文件與定位",IF(ISNUMBER(SEARCH("技能",$R242)),"先完成技能名稱對照並發布技能主檔",IF(ISNUMBER(SEARCH("模式",$R242)),"先建立相符的醫師模式規則","補齊欄位並完成主管核定"))))))</x:f>
      </x:c>
    </x:row>
    <x:row r="243">
      <x:c r="A243" s="577"/>
      <x:c r="B243" s="577"/>
      <x:c r="C243" s="577"/>
      <x:c r="D243" s="577"/>
      <x:c r="E243" s="577"/>
      <x:c r="F243" s="577"/>
      <x:c r="G243" s="577"/>
      <x:c r="H243" s="577"/>
      <x:c r="I243" s="577"/>
      <x:c r="J243" s="577"/>
      <x:c r="K243" s="577"/>
      <x:c r="L243" s="578"/>
      <x:c r="M243" s="577"/>
      <x:c r="N243" s="577"/>
      <x:c r="O243" s="577"/>
      <x:c r="P243" s="577"/>
      <x:c r="Q243" s="577"/>
      <x:c r="R243" s="579" t="str">
        <x:f>IF($B243="","",IF($M243="停用","停用",IF($M243="退回補件","退回補件",IF(COUNTIFS($A$7:$A$306,$A243)&gt;1,"要求編號重複",IF(COUNTIFS('醫師模式規則輸入'!$D$7:$D$156,$B243,'醫師模式規則輸入'!$B$7:$B$156,$C243)&lt;&gt;1,"模式或醫師未建立",IF(COUNTIFS('技能主檔_V1'!$A$7:$A$200,$D243,'技能主檔_V1'!$J$7:$J$200,"啟用")&lt;&gt;1,"技能未在主檔啟用",IF(OR($A243="",$E243="",$F243="",$G243="",$H243="",$I243="",$J243="",$K243="",$L243="",$N243=""),IF($M243="已核定","已核定但資料未完整","待補欄位或核定"),IF(OR($O243="",$P243=""),IF($M243="已核定","已核定但缺來源依據","待補來源依據"),IF($M243="已核定","可發布","待主管核定")))))))))</x:f>
      </x:c>
      <x:c r="S243" s="579" t="str">
        <x:f>IF($B243="","",IF($R243="可發布","回到醫師模式規則輸入，將能力要求集標記為已完整",IF(OR($R243="停用",$R243="退回補件"),"依狀態處理",IF(ISNUMBER(SEARCH("來源",$R243)),"補齊來源文件與定位",IF(ISNUMBER(SEARCH("技能",$R243)),"先完成技能名稱對照並發布技能主檔",IF(ISNUMBER(SEARCH("模式",$R243)),"先建立相符的醫師模式規則","補齊欄位並完成主管核定"))))))</x:f>
      </x:c>
    </x:row>
    <x:row r="244">
      <x:c r="A244" s="577"/>
      <x:c r="B244" s="577"/>
      <x:c r="C244" s="577"/>
      <x:c r="D244" s="577"/>
      <x:c r="E244" s="577"/>
      <x:c r="F244" s="577"/>
      <x:c r="G244" s="577"/>
      <x:c r="H244" s="577"/>
      <x:c r="I244" s="577"/>
      <x:c r="J244" s="577"/>
      <x:c r="K244" s="577"/>
      <x:c r="L244" s="578"/>
      <x:c r="M244" s="577"/>
      <x:c r="N244" s="577"/>
      <x:c r="O244" s="577"/>
      <x:c r="P244" s="577"/>
      <x:c r="Q244" s="577"/>
      <x:c r="R244" s="579" t="str">
        <x:f>IF($B244="","",IF($M244="停用","停用",IF($M244="退回補件","退回補件",IF(COUNTIFS($A$7:$A$306,$A244)&gt;1,"要求編號重複",IF(COUNTIFS('醫師模式規則輸入'!$D$7:$D$156,$B244,'醫師模式規則輸入'!$B$7:$B$156,$C244)&lt;&gt;1,"模式或醫師未建立",IF(COUNTIFS('技能主檔_V1'!$A$7:$A$200,$D244,'技能主檔_V1'!$J$7:$J$200,"啟用")&lt;&gt;1,"技能未在主檔啟用",IF(OR($A244="",$E244="",$F244="",$G244="",$H244="",$I244="",$J244="",$K244="",$L244="",$N244=""),IF($M244="已核定","已核定但資料未完整","待補欄位或核定"),IF(OR($O244="",$P244=""),IF($M244="已核定","已核定但缺來源依據","待補來源依據"),IF($M244="已核定","可發布","待主管核定")))))))))</x:f>
      </x:c>
      <x:c r="S244" s="579" t="str">
        <x:f>IF($B244="","",IF($R244="可發布","回到醫師模式規則輸入，將能力要求集標記為已完整",IF(OR($R244="停用",$R244="退回補件"),"依狀態處理",IF(ISNUMBER(SEARCH("來源",$R244)),"補齊來源文件與定位",IF(ISNUMBER(SEARCH("技能",$R244)),"先完成技能名稱對照並發布技能主檔",IF(ISNUMBER(SEARCH("模式",$R244)),"先建立相符的醫師模式規則","補齊欄位並完成主管核定"))))))</x:f>
      </x:c>
    </x:row>
    <x:row r="245">
      <x:c r="A245" s="577"/>
      <x:c r="B245" s="577"/>
      <x:c r="C245" s="577"/>
      <x:c r="D245" s="577"/>
      <x:c r="E245" s="577"/>
      <x:c r="F245" s="577"/>
      <x:c r="G245" s="577"/>
      <x:c r="H245" s="577"/>
      <x:c r="I245" s="577"/>
      <x:c r="J245" s="577"/>
      <x:c r="K245" s="577"/>
      <x:c r="L245" s="578"/>
      <x:c r="M245" s="577"/>
      <x:c r="N245" s="577"/>
      <x:c r="O245" s="577"/>
      <x:c r="P245" s="577"/>
      <x:c r="Q245" s="577"/>
      <x:c r="R245" s="579" t="str">
        <x:f>IF($B245="","",IF($M245="停用","停用",IF($M245="退回補件","退回補件",IF(COUNTIFS($A$7:$A$306,$A245)&gt;1,"要求編號重複",IF(COUNTIFS('醫師模式規則輸入'!$D$7:$D$156,$B245,'醫師模式規則輸入'!$B$7:$B$156,$C245)&lt;&gt;1,"模式或醫師未建立",IF(COUNTIFS('技能主檔_V1'!$A$7:$A$200,$D245,'技能主檔_V1'!$J$7:$J$200,"啟用")&lt;&gt;1,"技能未在主檔啟用",IF(OR($A245="",$E245="",$F245="",$G245="",$H245="",$I245="",$J245="",$K245="",$L245="",$N245=""),IF($M245="已核定","已核定但資料未完整","待補欄位或核定"),IF(OR($O245="",$P245=""),IF($M245="已核定","已核定但缺來源依據","待補來源依據"),IF($M245="已核定","可發布","待主管核定")))))))))</x:f>
      </x:c>
      <x:c r="S245" s="579" t="str">
        <x:f>IF($B245="","",IF($R245="可發布","回到醫師模式規則輸入，將能力要求集標記為已完整",IF(OR($R245="停用",$R245="退回補件"),"依狀態處理",IF(ISNUMBER(SEARCH("來源",$R245)),"補齊來源文件與定位",IF(ISNUMBER(SEARCH("技能",$R245)),"先完成技能名稱對照並發布技能主檔",IF(ISNUMBER(SEARCH("模式",$R245)),"先建立相符的醫師模式規則","補齊欄位並完成主管核定"))))))</x:f>
      </x:c>
    </x:row>
    <x:row r="246">
      <x:c r="A246" s="577"/>
      <x:c r="B246" s="577"/>
      <x:c r="C246" s="577"/>
      <x:c r="D246" s="577"/>
      <x:c r="E246" s="577"/>
      <x:c r="F246" s="577"/>
      <x:c r="G246" s="577"/>
      <x:c r="H246" s="577"/>
      <x:c r="I246" s="577"/>
      <x:c r="J246" s="577"/>
      <x:c r="K246" s="577"/>
      <x:c r="L246" s="578"/>
      <x:c r="M246" s="577"/>
      <x:c r="N246" s="577"/>
      <x:c r="O246" s="577"/>
      <x:c r="P246" s="577"/>
      <x:c r="Q246" s="577"/>
      <x:c r="R246" s="579" t="str">
        <x:f>IF($B246="","",IF($M246="停用","停用",IF($M246="退回補件","退回補件",IF(COUNTIFS($A$7:$A$306,$A246)&gt;1,"要求編號重複",IF(COUNTIFS('醫師模式規則輸入'!$D$7:$D$156,$B246,'醫師模式規則輸入'!$B$7:$B$156,$C246)&lt;&gt;1,"模式或醫師未建立",IF(COUNTIFS('技能主檔_V1'!$A$7:$A$200,$D246,'技能主檔_V1'!$J$7:$J$200,"啟用")&lt;&gt;1,"技能未在主檔啟用",IF(OR($A246="",$E246="",$F246="",$G246="",$H246="",$I246="",$J246="",$K246="",$L246="",$N246=""),IF($M246="已核定","已核定但資料未完整","待補欄位或核定"),IF(OR($O246="",$P246=""),IF($M246="已核定","已核定但缺來源依據","待補來源依據"),IF($M246="已核定","可發布","待主管核定")))))))))</x:f>
      </x:c>
      <x:c r="S246" s="579" t="str">
        <x:f>IF($B246="","",IF($R246="可發布","回到醫師模式規則輸入，將能力要求集標記為已完整",IF(OR($R246="停用",$R246="退回補件"),"依狀態處理",IF(ISNUMBER(SEARCH("來源",$R246)),"補齊來源文件與定位",IF(ISNUMBER(SEARCH("技能",$R246)),"先完成技能名稱對照並發布技能主檔",IF(ISNUMBER(SEARCH("模式",$R246)),"先建立相符的醫師模式規則","補齊欄位並完成主管核定"))))))</x:f>
      </x:c>
    </x:row>
    <x:row r="247">
      <x:c r="A247" s="577"/>
      <x:c r="B247" s="577"/>
      <x:c r="C247" s="577"/>
      <x:c r="D247" s="577"/>
      <x:c r="E247" s="577"/>
      <x:c r="F247" s="577"/>
      <x:c r="G247" s="577"/>
      <x:c r="H247" s="577"/>
      <x:c r="I247" s="577"/>
      <x:c r="J247" s="577"/>
      <x:c r="K247" s="577"/>
      <x:c r="L247" s="578"/>
      <x:c r="M247" s="577"/>
      <x:c r="N247" s="577"/>
      <x:c r="O247" s="577"/>
      <x:c r="P247" s="577"/>
      <x:c r="Q247" s="577"/>
      <x:c r="R247" s="579" t="str">
        <x:f>IF($B247="","",IF($M247="停用","停用",IF($M247="退回補件","退回補件",IF(COUNTIFS($A$7:$A$306,$A247)&gt;1,"要求編號重複",IF(COUNTIFS('醫師模式規則輸入'!$D$7:$D$156,$B247,'醫師模式規則輸入'!$B$7:$B$156,$C247)&lt;&gt;1,"模式或醫師未建立",IF(COUNTIFS('技能主檔_V1'!$A$7:$A$200,$D247,'技能主檔_V1'!$J$7:$J$200,"啟用")&lt;&gt;1,"技能未在主檔啟用",IF(OR($A247="",$E247="",$F247="",$G247="",$H247="",$I247="",$J247="",$K247="",$L247="",$N247=""),IF($M247="已核定","已核定但資料未完整","待補欄位或核定"),IF(OR($O247="",$P247=""),IF($M247="已核定","已核定但缺來源依據","待補來源依據"),IF($M247="已核定","可發布","待主管核定")))))))))</x:f>
      </x:c>
      <x:c r="S247" s="579" t="str">
        <x:f>IF($B247="","",IF($R247="可發布","回到醫師模式規則輸入，將能力要求集標記為已完整",IF(OR($R247="停用",$R247="退回補件"),"依狀態處理",IF(ISNUMBER(SEARCH("來源",$R247)),"補齊來源文件與定位",IF(ISNUMBER(SEARCH("技能",$R247)),"先完成技能名稱對照並發布技能主檔",IF(ISNUMBER(SEARCH("模式",$R247)),"先建立相符的醫師模式規則","補齊欄位並完成主管核定"))))))</x:f>
      </x:c>
    </x:row>
    <x:row r="248">
      <x:c r="A248" s="577"/>
      <x:c r="B248" s="577"/>
      <x:c r="C248" s="577"/>
      <x:c r="D248" s="577"/>
      <x:c r="E248" s="577"/>
      <x:c r="F248" s="577"/>
      <x:c r="G248" s="577"/>
      <x:c r="H248" s="577"/>
      <x:c r="I248" s="577"/>
      <x:c r="J248" s="577"/>
      <x:c r="K248" s="577"/>
      <x:c r="L248" s="578"/>
      <x:c r="M248" s="577"/>
      <x:c r="N248" s="577"/>
      <x:c r="O248" s="577"/>
      <x:c r="P248" s="577"/>
      <x:c r="Q248" s="577"/>
      <x:c r="R248" s="579" t="str">
        <x:f>IF($B248="","",IF($M248="停用","停用",IF($M248="退回補件","退回補件",IF(COUNTIFS($A$7:$A$306,$A248)&gt;1,"要求編號重複",IF(COUNTIFS('醫師模式規則輸入'!$D$7:$D$156,$B248,'醫師模式規則輸入'!$B$7:$B$156,$C248)&lt;&gt;1,"模式或醫師未建立",IF(COUNTIFS('技能主檔_V1'!$A$7:$A$200,$D248,'技能主檔_V1'!$J$7:$J$200,"啟用")&lt;&gt;1,"技能未在主檔啟用",IF(OR($A248="",$E248="",$F248="",$G248="",$H248="",$I248="",$J248="",$K248="",$L248="",$N248=""),IF($M248="已核定","已核定但資料未完整","待補欄位或核定"),IF(OR($O248="",$P248=""),IF($M248="已核定","已核定但缺來源依據","待補來源依據"),IF($M248="已核定","可發布","待主管核定")))))))))</x:f>
      </x:c>
      <x:c r="S248" s="579" t="str">
        <x:f>IF($B248="","",IF($R248="可發布","回到醫師模式規則輸入，將能力要求集標記為已完整",IF(OR($R248="停用",$R248="退回補件"),"依狀態處理",IF(ISNUMBER(SEARCH("來源",$R248)),"補齊來源文件與定位",IF(ISNUMBER(SEARCH("技能",$R248)),"先完成技能名稱對照並發布技能主檔",IF(ISNUMBER(SEARCH("模式",$R248)),"先建立相符的醫師模式規則","補齊欄位並完成主管核定"))))))</x:f>
      </x:c>
    </x:row>
    <x:row r="249">
      <x:c r="A249" s="577"/>
      <x:c r="B249" s="577"/>
      <x:c r="C249" s="577"/>
      <x:c r="D249" s="577"/>
      <x:c r="E249" s="577"/>
      <x:c r="F249" s="577"/>
      <x:c r="G249" s="577"/>
      <x:c r="H249" s="577"/>
      <x:c r="I249" s="577"/>
      <x:c r="J249" s="577"/>
      <x:c r="K249" s="577"/>
      <x:c r="L249" s="578"/>
      <x:c r="M249" s="577"/>
      <x:c r="N249" s="577"/>
      <x:c r="O249" s="577"/>
      <x:c r="P249" s="577"/>
      <x:c r="Q249" s="577"/>
      <x:c r="R249" s="579" t="str">
        <x:f>IF($B249="","",IF($M249="停用","停用",IF($M249="退回補件","退回補件",IF(COUNTIFS($A$7:$A$306,$A249)&gt;1,"要求編號重複",IF(COUNTIFS('醫師模式規則輸入'!$D$7:$D$156,$B249,'醫師模式規則輸入'!$B$7:$B$156,$C249)&lt;&gt;1,"模式或醫師未建立",IF(COUNTIFS('技能主檔_V1'!$A$7:$A$200,$D249,'技能主檔_V1'!$J$7:$J$200,"啟用")&lt;&gt;1,"技能未在主檔啟用",IF(OR($A249="",$E249="",$F249="",$G249="",$H249="",$I249="",$J249="",$K249="",$L249="",$N249=""),IF($M249="已核定","已核定但資料未完整","待補欄位或核定"),IF(OR($O249="",$P249=""),IF($M249="已核定","已核定但缺來源依據","待補來源依據"),IF($M249="已核定","可發布","待主管核定")))))))))</x:f>
      </x:c>
      <x:c r="S249" s="579" t="str">
        <x:f>IF($B249="","",IF($R249="可發布","回到醫師模式規則輸入，將能力要求集標記為已完整",IF(OR($R249="停用",$R249="退回補件"),"依狀態處理",IF(ISNUMBER(SEARCH("來源",$R249)),"補齊來源文件與定位",IF(ISNUMBER(SEARCH("技能",$R249)),"先完成技能名稱對照並發布技能主檔",IF(ISNUMBER(SEARCH("模式",$R249)),"先建立相符的醫師模式規則","補齊欄位並完成主管核定"))))))</x:f>
      </x:c>
    </x:row>
    <x:row r="250">
      <x:c r="A250" s="577"/>
      <x:c r="B250" s="577"/>
      <x:c r="C250" s="577"/>
      <x:c r="D250" s="577"/>
      <x:c r="E250" s="577"/>
      <x:c r="F250" s="577"/>
      <x:c r="G250" s="577"/>
      <x:c r="H250" s="577"/>
      <x:c r="I250" s="577"/>
      <x:c r="J250" s="577"/>
      <x:c r="K250" s="577"/>
      <x:c r="L250" s="578"/>
      <x:c r="M250" s="577"/>
      <x:c r="N250" s="577"/>
      <x:c r="O250" s="577"/>
      <x:c r="P250" s="577"/>
      <x:c r="Q250" s="577"/>
      <x:c r="R250" s="579" t="str">
        <x:f>IF($B250="","",IF($M250="停用","停用",IF($M250="退回補件","退回補件",IF(COUNTIFS($A$7:$A$306,$A250)&gt;1,"要求編號重複",IF(COUNTIFS('醫師模式規則輸入'!$D$7:$D$156,$B250,'醫師模式規則輸入'!$B$7:$B$156,$C250)&lt;&gt;1,"模式或醫師未建立",IF(COUNTIFS('技能主檔_V1'!$A$7:$A$200,$D250,'技能主檔_V1'!$J$7:$J$200,"啟用")&lt;&gt;1,"技能未在主檔啟用",IF(OR($A250="",$E250="",$F250="",$G250="",$H250="",$I250="",$J250="",$K250="",$L250="",$N250=""),IF($M250="已核定","已核定但資料未完整","待補欄位或核定"),IF(OR($O250="",$P250=""),IF($M250="已核定","已核定但缺來源依據","待補來源依據"),IF($M250="已核定","可發布","待主管核定")))))))))</x:f>
      </x:c>
      <x:c r="S250" s="579" t="str">
        <x:f>IF($B250="","",IF($R250="可發布","回到醫師模式規則輸入，將能力要求集標記為已完整",IF(OR($R250="停用",$R250="退回補件"),"依狀態處理",IF(ISNUMBER(SEARCH("來源",$R250)),"補齊來源文件與定位",IF(ISNUMBER(SEARCH("技能",$R250)),"先完成技能名稱對照並發布技能主檔",IF(ISNUMBER(SEARCH("模式",$R250)),"先建立相符的醫師模式規則","補齊欄位並完成主管核定"))))))</x:f>
      </x:c>
    </x:row>
    <x:row r="251">
      <x:c r="A251" s="577"/>
      <x:c r="B251" s="577"/>
      <x:c r="C251" s="577"/>
      <x:c r="D251" s="577"/>
      <x:c r="E251" s="577"/>
      <x:c r="F251" s="577"/>
      <x:c r="G251" s="577"/>
      <x:c r="H251" s="577"/>
      <x:c r="I251" s="577"/>
      <x:c r="J251" s="577"/>
      <x:c r="K251" s="577"/>
      <x:c r="L251" s="578"/>
      <x:c r="M251" s="577"/>
      <x:c r="N251" s="577"/>
      <x:c r="O251" s="577"/>
      <x:c r="P251" s="577"/>
      <x:c r="Q251" s="577"/>
      <x:c r="R251" s="579" t="str">
        <x:f>IF($B251="","",IF($M251="停用","停用",IF($M251="退回補件","退回補件",IF(COUNTIFS($A$7:$A$306,$A251)&gt;1,"要求編號重複",IF(COUNTIFS('醫師模式規則輸入'!$D$7:$D$156,$B251,'醫師模式規則輸入'!$B$7:$B$156,$C251)&lt;&gt;1,"模式或醫師未建立",IF(COUNTIFS('技能主檔_V1'!$A$7:$A$200,$D251,'技能主檔_V1'!$J$7:$J$200,"啟用")&lt;&gt;1,"技能未在主檔啟用",IF(OR($A251="",$E251="",$F251="",$G251="",$H251="",$I251="",$J251="",$K251="",$L251="",$N251=""),IF($M251="已核定","已核定但資料未完整","待補欄位或核定"),IF(OR($O251="",$P251=""),IF($M251="已核定","已核定但缺來源依據","待補來源依據"),IF($M251="已核定","可發布","待主管核定")))))))))</x:f>
      </x:c>
      <x:c r="S251" s="579" t="str">
        <x:f>IF($B251="","",IF($R251="可發布","回到醫師模式規則輸入，將能力要求集標記為已完整",IF(OR($R251="停用",$R251="退回補件"),"依狀態處理",IF(ISNUMBER(SEARCH("來源",$R251)),"補齊來源文件與定位",IF(ISNUMBER(SEARCH("技能",$R251)),"先完成技能名稱對照並發布技能主檔",IF(ISNUMBER(SEARCH("模式",$R251)),"先建立相符的醫師模式規則","補齊欄位並完成主管核定"))))))</x:f>
      </x:c>
    </x:row>
    <x:row r="252">
      <x:c r="A252" s="577"/>
      <x:c r="B252" s="577"/>
      <x:c r="C252" s="577"/>
      <x:c r="D252" s="577"/>
      <x:c r="E252" s="577"/>
      <x:c r="F252" s="577"/>
      <x:c r="G252" s="577"/>
      <x:c r="H252" s="577"/>
      <x:c r="I252" s="577"/>
      <x:c r="J252" s="577"/>
      <x:c r="K252" s="577"/>
      <x:c r="L252" s="578"/>
      <x:c r="M252" s="577"/>
      <x:c r="N252" s="577"/>
      <x:c r="O252" s="577"/>
      <x:c r="P252" s="577"/>
      <x:c r="Q252" s="577"/>
      <x:c r="R252" s="579" t="str">
        <x:f>IF($B252="","",IF($M252="停用","停用",IF($M252="退回補件","退回補件",IF(COUNTIFS($A$7:$A$306,$A252)&gt;1,"要求編號重複",IF(COUNTIFS('醫師模式規則輸入'!$D$7:$D$156,$B252,'醫師模式規則輸入'!$B$7:$B$156,$C252)&lt;&gt;1,"模式或醫師未建立",IF(COUNTIFS('技能主檔_V1'!$A$7:$A$200,$D252,'技能主檔_V1'!$J$7:$J$200,"啟用")&lt;&gt;1,"技能未在主檔啟用",IF(OR($A252="",$E252="",$F252="",$G252="",$H252="",$I252="",$J252="",$K252="",$L252="",$N252=""),IF($M252="已核定","已核定但資料未完整","待補欄位或核定"),IF(OR($O252="",$P252=""),IF($M252="已核定","已核定但缺來源依據","待補來源依據"),IF($M252="已核定","可發布","待主管核定")))))))))</x:f>
      </x:c>
      <x:c r="S252" s="579" t="str">
        <x:f>IF($B252="","",IF($R252="可發布","回到醫師模式規則輸入，將能力要求集標記為已完整",IF(OR($R252="停用",$R252="退回補件"),"依狀態處理",IF(ISNUMBER(SEARCH("來源",$R252)),"補齊來源文件與定位",IF(ISNUMBER(SEARCH("技能",$R252)),"先完成技能名稱對照並發布技能主檔",IF(ISNUMBER(SEARCH("模式",$R252)),"先建立相符的醫師模式規則","補齊欄位並完成主管核定"))))))</x:f>
      </x:c>
    </x:row>
    <x:row r="253">
      <x:c r="A253" s="577"/>
      <x:c r="B253" s="577"/>
      <x:c r="C253" s="577"/>
      <x:c r="D253" s="577"/>
      <x:c r="E253" s="577"/>
      <x:c r="F253" s="577"/>
      <x:c r="G253" s="577"/>
      <x:c r="H253" s="577"/>
      <x:c r="I253" s="577"/>
      <x:c r="J253" s="577"/>
      <x:c r="K253" s="577"/>
      <x:c r="L253" s="578"/>
      <x:c r="M253" s="577"/>
      <x:c r="N253" s="577"/>
      <x:c r="O253" s="577"/>
      <x:c r="P253" s="577"/>
      <x:c r="Q253" s="577"/>
      <x:c r="R253" s="579" t="str">
        <x:f>IF($B253="","",IF($M253="停用","停用",IF($M253="退回補件","退回補件",IF(COUNTIFS($A$7:$A$306,$A253)&gt;1,"要求編號重複",IF(COUNTIFS('醫師模式規則輸入'!$D$7:$D$156,$B253,'醫師模式規則輸入'!$B$7:$B$156,$C253)&lt;&gt;1,"模式或醫師未建立",IF(COUNTIFS('技能主檔_V1'!$A$7:$A$200,$D253,'技能主檔_V1'!$J$7:$J$200,"啟用")&lt;&gt;1,"技能未在主檔啟用",IF(OR($A253="",$E253="",$F253="",$G253="",$H253="",$I253="",$J253="",$K253="",$L253="",$N253=""),IF($M253="已核定","已核定但資料未完整","待補欄位或核定"),IF(OR($O253="",$P253=""),IF($M253="已核定","已核定但缺來源依據","待補來源依據"),IF($M253="已核定","可發布","待主管核定")))))))))</x:f>
      </x:c>
      <x:c r="S253" s="579" t="str">
        <x:f>IF($B253="","",IF($R253="可發布","回到醫師模式規則輸入，將能力要求集標記為已完整",IF(OR($R253="停用",$R253="退回補件"),"依狀態處理",IF(ISNUMBER(SEARCH("來源",$R253)),"補齊來源文件與定位",IF(ISNUMBER(SEARCH("技能",$R253)),"先完成技能名稱對照並發布技能主檔",IF(ISNUMBER(SEARCH("模式",$R253)),"先建立相符的醫師模式規則","補齊欄位並完成主管核定"))))))</x:f>
      </x:c>
    </x:row>
    <x:row r="254">
      <x:c r="A254" s="577"/>
      <x:c r="B254" s="577"/>
      <x:c r="C254" s="577"/>
      <x:c r="D254" s="577"/>
      <x:c r="E254" s="577"/>
      <x:c r="F254" s="577"/>
      <x:c r="G254" s="577"/>
      <x:c r="H254" s="577"/>
      <x:c r="I254" s="577"/>
      <x:c r="J254" s="577"/>
      <x:c r="K254" s="577"/>
      <x:c r="L254" s="578"/>
      <x:c r="M254" s="577"/>
      <x:c r="N254" s="577"/>
      <x:c r="O254" s="577"/>
      <x:c r="P254" s="577"/>
      <x:c r="Q254" s="577"/>
      <x:c r="R254" s="579" t="str">
        <x:f>IF($B254="","",IF($M254="停用","停用",IF($M254="退回補件","退回補件",IF(COUNTIFS($A$7:$A$306,$A254)&gt;1,"要求編號重複",IF(COUNTIFS('醫師模式規則輸入'!$D$7:$D$156,$B254,'醫師模式規則輸入'!$B$7:$B$156,$C254)&lt;&gt;1,"模式或醫師未建立",IF(COUNTIFS('技能主檔_V1'!$A$7:$A$200,$D254,'技能主檔_V1'!$J$7:$J$200,"啟用")&lt;&gt;1,"技能未在主檔啟用",IF(OR($A254="",$E254="",$F254="",$G254="",$H254="",$I254="",$J254="",$K254="",$L254="",$N254=""),IF($M254="已核定","已核定但資料未完整","待補欄位或核定"),IF(OR($O254="",$P254=""),IF($M254="已核定","已核定但缺來源依據","待補來源依據"),IF($M254="已核定","可發布","待主管核定")))))))))</x:f>
      </x:c>
      <x:c r="S254" s="579" t="str">
        <x:f>IF($B254="","",IF($R254="可發布","回到醫師模式規則輸入，將能力要求集標記為已完整",IF(OR($R254="停用",$R254="退回補件"),"依狀態處理",IF(ISNUMBER(SEARCH("來源",$R254)),"補齊來源文件與定位",IF(ISNUMBER(SEARCH("技能",$R254)),"先完成技能名稱對照並發布技能主檔",IF(ISNUMBER(SEARCH("模式",$R254)),"先建立相符的醫師模式規則","補齊欄位並完成主管核定"))))))</x:f>
      </x:c>
    </x:row>
    <x:row r="255">
      <x:c r="A255" s="577"/>
      <x:c r="B255" s="577"/>
      <x:c r="C255" s="577"/>
      <x:c r="D255" s="577"/>
      <x:c r="E255" s="577"/>
      <x:c r="F255" s="577"/>
      <x:c r="G255" s="577"/>
      <x:c r="H255" s="577"/>
      <x:c r="I255" s="577"/>
      <x:c r="J255" s="577"/>
      <x:c r="K255" s="577"/>
      <x:c r="L255" s="578"/>
      <x:c r="M255" s="577"/>
      <x:c r="N255" s="577"/>
      <x:c r="O255" s="577"/>
      <x:c r="P255" s="577"/>
      <x:c r="Q255" s="577"/>
      <x:c r="R255" s="579" t="str">
        <x:f>IF($B255="","",IF($M255="停用","停用",IF($M255="退回補件","退回補件",IF(COUNTIFS($A$7:$A$306,$A255)&gt;1,"要求編號重複",IF(COUNTIFS('醫師模式規則輸入'!$D$7:$D$156,$B255,'醫師模式規則輸入'!$B$7:$B$156,$C255)&lt;&gt;1,"模式或醫師未建立",IF(COUNTIFS('技能主檔_V1'!$A$7:$A$200,$D255,'技能主檔_V1'!$J$7:$J$200,"啟用")&lt;&gt;1,"技能未在主檔啟用",IF(OR($A255="",$E255="",$F255="",$G255="",$H255="",$I255="",$J255="",$K255="",$L255="",$N255=""),IF($M255="已核定","已核定但資料未完整","待補欄位或核定"),IF(OR($O255="",$P255=""),IF($M255="已核定","已核定但缺來源依據","待補來源依據"),IF($M255="已核定","可發布","待主管核定")))))))))</x:f>
      </x:c>
      <x:c r="S255" s="579" t="str">
        <x:f>IF($B255="","",IF($R255="可發布","回到醫師模式規則輸入，將能力要求集標記為已完整",IF(OR($R255="停用",$R255="退回補件"),"依狀態處理",IF(ISNUMBER(SEARCH("來源",$R255)),"補齊來源文件與定位",IF(ISNUMBER(SEARCH("技能",$R255)),"先完成技能名稱對照並發布技能主檔",IF(ISNUMBER(SEARCH("模式",$R255)),"先建立相符的醫師模式規則","補齊欄位並完成主管核定"))))))</x:f>
      </x:c>
    </x:row>
    <x:row r="256">
      <x:c r="A256" s="577"/>
      <x:c r="B256" s="577"/>
      <x:c r="C256" s="577"/>
      <x:c r="D256" s="577"/>
      <x:c r="E256" s="577"/>
      <x:c r="F256" s="577"/>
      <x:c r="G256" s="577"/>
      <x:c r="H256" s="577"/>
      <x:c r="I256" s="577"/>
      <x:c r="J256" s="577"/>
      <x:c r="K256" s="577"/>
      <x:c r="L256" s="578"/>
      <x:c r="M256" s="577"/>
      <x:c r="N256" s="577"/>
      <x:c r="O256" s="577"/>
      <x:c r="P256" s="577"/>
      <x:c r="Q256" s="577"/>
      <x:c r="R256" s="579" t="str">
        <x:f>IF($B256="","",IF($M256="停用","停用",IF($M256="退回補件","退回補件",IF(COUNTIFS($A$7:$A$306,$A256)&gt;1,"要求編號重複",IF(COUNTIFS('醫師模式規則輸入'!$D$7:$D$156,$B256,'醫師模式規則輸入'!$B$7:$B$156,$C256)&lt;&gt;1,"模式或醫師未建立",IF(COUNTIFS('技能主檔_V1'!$A$7:$A$200,$D256,'技能主檔_V1'!$J$7:$J$200,"啟用")&lt;&gt;1,"技能未在主檔啟用",IF(OR($A256="",$E256="",$F256="",$G256="",$H256="",$I256="",$J256="",$K256="",$L256="",$N256=""),IF($M256="已核定","已核定但資料未完整","待補欄位或核定"),IF(OR($O256="",$P256=""),IF($M256="已核定","已核定但缺來源依據","待補來源依據"),IF($M256="已核定","可發布","待主管核定")))))))))</x:f>
      </x:c>
      <x:c r="S256" s="579" t="str">
        <x:f>IF($B256="","",IF($R256="可發布","回到醫師模式規則輸入，將能力要求集標記為已完整",IF(OR($R256="停用",$R256="退回補件"),"依狀態處理",IF(ISNUMBER(SEARCH("來源",$R256)),"補齊來源文件與定位",IF(ISNUMBER(SEARCH("技能",$R256)),"先完成技能名稱對照並發布技能主檔",IF(ISNUMBER(SEARCH("模式",$R256)),"先建立相符的醫師模式規則","補齊欄位並完成主管核定"))))))</x:f>
      </x:c>
    </x:row>
    <x:row r="257">
      <x:c r="A257" s="577"/>
      <x:c r="B257" s="577"/>
      <x:c r="C257" s="577"/>
      <x:c r="D257" s="577"/>
      <x:c r="E257" s="577"/>
      <x:c r="F257" s="577"/>
      <x:c r="G257" s="577"/>
      <x:c r="H257" s="577"/>
      <x:c r="I257" s="577"/>
      <x:c r="J257" s="577"/>
      <x:c r="K257" s="577"/>
      <x:c r="L257" s="578"/>
      <x:c r="M257" s="577"/>
      <x:c r="N257" s="577"/>
      <x:c r="O257" s="577"/>
      <x:c r="P257" s="577"/>
      <x:c r="Q257" s="577"/>
      <x:c r="R257" s="579" t="str">
        <x:f>IF($B257="","",IF($M257="停用","停用",IF($M257="退回補件","退回補件",IF(COUNTIFS($A$7:$A$306,$A257)&gt;1,"要求編號重複",IF(COUNTIFS('醫師模式規則輸入'!$D$7:$D$156,$B257,'醫師模式規則輸入'!$B$7:$B$156,$C257)&lt;&gt;1,"模式或醫師未建立",IF(COUNTIFS('技能主檔_V1'!$A$7:$A$200,$D257,'技能主檔_V1'!$J$7:$J$200,"啟用")&lt;&gt;1,"技能未在主檔啟用",IF(OR($A257="",$E257="",$F257="",$G257="",$H257="",$I257="",$J257="",$K257="",$L257="",$N257=""),IF($M257="已核定","已核定但資料未完整","待補欄位或核定"),IF(OR($O257="",$P257=""),IF($M257="已核定","已核定但缺來源依據","待補來源依據"),IF($M257="已核定","可發布","待主管核定")))))))))</x:f>
      </x:c>
      <x:c r="S257" s="579" t="str">
        <x:f>IF($B257="","",IF($R257="可發布","回到醫師模式規則輸入，將能力要求集標記為已完整",IF(OR($R257="停用",$R257="退回補件"),"依狀態處理",IF(ISNUMBER(SEARCH("來源",$R257)),"補齊來源文件與定位",IF(ISNUMBER(SEARCH("技能",$R257)),"先完成技能名稱對照並發布技能主檔",IF(ISNUMBER(SEARCH("模式",$R257)),"先建立相符的醫師模式規則","補齊欄位並完成主管核定"))))))</x:f>
      </x:c>
    </x:row>
    <x:row r="258">
      <x:c r="A258" s="577"/>
      <x:c r="B258" s="577"/>
      <x:c r="C258" s="577"/>
      <x:c r="D258" s="577"/>
      <x:c r="E258" s="577"/>
      <x:c r="F258" s="577"/>
      <x:c r="G258" s="577"/>
      <x:c r="H258" s="577"/>
      <x:c r="I258" s="577"/>
      <x:c r="J258" s="577"/>
      <x:c r="K258" s="577"/>
      <x:c r="L258" s="578"/>
      <x:c r="M258" s="577"/>
      <x:c r="N258" s="577"/>
      <x:c r="O258" s="577"/>
      <x:c r="P258" s="577"/>
      <x:c r="Q258" s="577"/>
      <x:c r="R258" s="579" t="str">
        <x:f>IF($B258="","",IF($M258="停用","停用",IF($M258="退回補件","退回補件",IF(COUNTIFS($A$7:$A$306,$A258)&gt;1,"要求編號重複",IF(COUNTIFS('醫師模式規則輸入'!$D$7:$D$156,$B258,'醫師模式規則輸入'!$B$7:$B$156,$C258)&lt;&gt;1,"模式或醫師未建立",IF(COUNTIFS('技能主檔_V1'!$A$7:$A$200,$D258,'技能主檔_V1'!$J$7:$J$200,"啟用")&lt;&gt;1,"技能未在主檔啟用",IF(OR($A258="",$E258="",$F258="",$G258="",$H258="",$I258="",$J258="",$K258="",$L258="",$N258=""),IF($M258="已核定","已核定但資料未完整","待補欄位或核定"),IF(OR($O258="",$P258=""),IF($M258="已核定","已核定但缺來源依據","待補來源依據"),IF($M258="已核定","可發布","待主管核定")))))))))</x:f>
      </x:c>
      <x:c r="S258" s="579" t="str">
        <x:f>IF($B258="","",IF($R258="可發布","回到醫師模式規則輸入，將能力要求集標記為已完整",IF(OR($R258="停用",$R258="退回補件"),"依狀態處理",IF(ISNUMBER(SEARCH("來源",$R258)),"補齊來源文件與定位",IF(ISNUMBER(SEARCH("技能",$R258)),"先完成技能名稱對照並發布技能主檔",IF(ISNUMBER(SEARCH("模式",$R258)),"先建立相符的醫師模式規則","補齊欄位並完成主管核定"))))))</x:f>
      </x:c>
    </x:row>
    <x:row r="259">
      <x:c r="A259" s="577"/>
      <x:c r="B259" s="577"/>
      <x:c r="C259" s="577"/>
      <x:c r="D259" s="577"/>
      <x:c r="E259" s="577"/>
      <x:c r="F259" s="577"/>
      <x:c r="G259" s="577"/>
      <x:c r="H259" s="577"/>
      <x:c r="I259" s="577"/>
      <x:c r="J259" s="577"/>
      <x:c r="K259" s="577"/>
      <x:c r="L259" s="578"/>
      <x:c r="M259" s="577"/>
      <x:c r="N259" s="577"/>
      <x:c r="O259" s="577"/>
      <x:c r="P259" s="577"/>
      <x:c r="Q259" s="577"/>
      <x:c r="R259" s="579" t="str">
        <x:f>IF($B259="","",IF($M259="停用","停用",IF($M259="退回補件","退回補件",IF(COUNTIFS($A$7:$A$306,$A259)&gt;1,"要求編號重複",IF(COUNTIFS('醫師模式規則輸入'!$D$7:$D$156,$B259,'醫師模式規則輸入'!$B$7:$B$156,$C259)&lt;&gt;1,"模式或醫師未建立",IF(COUNTIFS('技能主檔_V1'!$A$7:$A$200,$D259,'技能主檔_V1'!$J$7:$J$200,"啟用")&lt;&gt;1,"技能未在主檔啟用",IF(OR($A259="",$E259="",$F259="",$G259="",$H259="",$I259="",$J259="",$K259="",$L259="",$N259=""),IF($M259="已核定","已核定但資料未完整","待補欄位或核定"),IF(OR($O259="",$P259=""),IF($M259="已核定","已核定但缺來源依據","待補來源依據"),IF($M259="已核定","可發布","待主管核定")))))))))</x:f>
      </x:c>
      <x:c r="S259" s="579" t="str">
        <x:f>IF($B259="","",IF($R259="可發布","回到醫師模式規則輸入，將能力要求集標記為已完整",IF(OR($R259="停用",$R259="退回補件"),"依狀態處理",IF(ISNUMBER(SEARCH("來源",$R259)),"補齊來源文件與定位",IF(ISNUMBER(SEARCH("技能",$R259)),"先完成技能名稱對照並發布技能主檔",IF(ISNUMBER(SEARCH("模式",$R259)),"先建立相符的醫師模式規則","補齊欄位並完成主管核定"))))))</x:f>
      </x:c>
    </x:row>
    <x:row r="260">
      <x:c r="A260" s="577"/>
      <x:c r="B260" s="577"/>
      <x:c r="C260" s="577"/>
      <x:c r="D260" s="577"/>
      <x:c r="E260" s="577"/>
      <x:c r="F260" s="577"/>
      <x:c r="G260" s="577"/>
      <x:c r="H260" s="577"/>
      <x:c r="I260" s="577"/>
      <x:c r="J260" s="577"/>
      <x:c r="K260" s="577"/>
      <x:c r="L260" s="578"/>
      <x:c r="M260" s="577"/>
      <x:c r="N260" s="577"/>
      <x:c r="O260" s="577"/>
      <x:c r="P260" s="577"/>
      <x:c r="Q260" s="577"/>
      <x:c r="R260" s="579" t="str">
        <x:f>IF($B260="","",IF($M260="停用","停用",IF($M260="退回補件","退回補件",IF(COUNTIFS($A$7:$A$306,$A260)&gt;1,"要求編號重複",IF(COUNTIFS('醫師模式規則輸入'!$D$7:$D$156,$B260,'醫師模式規則輸入'!$B$7:$B$156,$C260)&lt;&gt;1,"模式或醫師未建立",IF(COUNTIFS('技能主檔_V1'!$A$7:$A$200,$D260,'技能主檔_V1'!$J$7:$J$200,"啟用")&lt;&gt;1,"技能未在主檔啟用",IF(OR($A260="",$E260="",$F260="",$G260="",$H260="",$I260="",$J260="",$K260="",$L260="",$N260=""),IF($M260="已核定","已核定但資料未完整","待補欄位或核定"),IF(OR($O260="",$P260=""),IF($M260="已核定","已核定但缺來源依據","待補來源依據"),IF($M260="已核定","可發布","待主管核定")))))))))</x:f>
      </x:c>
      <x:c r="S260" s="579" t="str">
        <x:f>IF($B260="","",IF($R260="可發布","回到醫師模式規則輸入，將能力要求集標記為已完整",IF(OR($R260="停用",$R260="退回補件"),"依狀態處理",IF(ISNUMBER(SEARCH("來源",$R260)),"補齊來源文件與定位",IF(ISNUMBER(SEARCH("技能",$R260)),"先完成技能名稱對照並發布技能主檔",IF(ISNUMBER(SEARCH("模式",$R260)),"先建立相符的醫師模式規則","補齊欄位並完成主管核定"))))))</x:f>
      </x:c>
    </x:row>
    <x:row r="261">
      <x:c r="A261" s="577"/>
      <x:c r="B261" s="577"/>
      <x:c r="C261" s="577"/>
      <x:c r="D261" s="577"/>
      <x:c r="E261" s="577"/>
      <x:c r="F261" s="577"/>
      <x:c r="G261" s="577"/>
      <x:c r="H261" s="577"/>
      <x:c r="I261" s="577"/>
      <x:c r="J261" s="577"/>
      <x:c r="K261" s="577"/>
      <x:c r="L261" s="578"/>
      <x:c r="M261" s="577"/>
      <x:c r="N261" s="577"/>
      <x:c r="O261" s="577"/>
      <x:c r="P261" s="577"/>
      <x:c r="Q261" s="577"/>
      <x:c r="R261" s="579" t="str">
        <x:f>IF($B261="","",IF($M261="停用","停用",IF($M261="退回補件","退回補件",IF(COUNTIFS($A$7:$A$306,$A261)&gt;1,"要求編號重複",IF(COUNTIFS('醫師模式規則輸入'!$D$7:$D$156,$B261,'醫師模式規則輸入'!$B$7:$B$156,$C261)&lt;&gt;1,"模式或醫師未建立",IF(COUNTIFS('技能主檔_V1'!$A$7:$A$200,$D261,'技能主檔_V1'!$J$7:$J$200,"啟用")&lt;&gt;1,"技能未在主檔啟用",IF(OR($A261="",$E261="",$F261="",$G261="",$H261="",$I261="",$J261="",$K261="",$L261="",$N261=""),IF($M261="已核定","已核定但資料未完整","待補欄位或核定"),IF(OR($O261="",$P261=""),IF($M261="已核定","已核定但缺來源依據","待補來源依據"),IF($M261="已核定","可發布","待主管核定")))))))))</x:f>
      </x:c>
      <x:c r="S261" s="579" t="str">
        <x:f>IF($B261="","",IF($R261="可發布","回到醫師模式規則輸入，將能力要求集標記為已完整",IF(OR($R261="停用",$R261="退回補件"),"依狀態處理",IF(ISNUMBER(SEARCH("來源",$R261)),"補齊來源文件與定位",IF(ISNUMBER(SEARCH("技能",$R261)),"先完成技能名稱對照並發布技能主檔",IF(ISNUMBER(SEARCH("模式",$R261)),"先建立相符的醫師模式規則","補齊欄位並完成主管核定"))))))</x:f>
      </x:c>
    </x:row>
    <x:row r="262">
      <x:c r="A262" s="577"/>
      <x:c r="B262" s="577"/>
      <x:c r="C262" s="577"/>
      <x:c r="D262" s="577"/>
      <x:c r="E262" s="577"/>
      <x:c r="F262" s="577"/>
      <x:c r="G262" s="577"/>
      <x:c r="H262" s="577"/>
      <x:c r="I262" s="577"/>
      <x:c r="J262" s="577"/>
      <x:c r="K262" s="577"/>
      <x:c r="L262" s="578"/>
      <x:c r="M262" s="577"/>
      <x:c r="N262" s="577"/>
      <x:c r="O262" s="577"/>
      <x:c r="P262" s="577"/>
      <x:c r="Q262" s="577"/>
      <x:c r="R262" s="579" t="str">
        <x:f>IF($B262="","",IF($M262="停用","停用",IF($M262="退回補件","退回補件",IF(COUNTIFS($A$7:$A$306,$A262)&gt;1,"要求編號重複",IF(COUNTIFS('醫師模式規則輸入'!$D$7:$D$156,$B262,'醫師模式規則輸入'!$B$7:$B$156,$C262)&lt;&gt;1,"模式或醫師未建立",IF(COUNTIFS('技能主檔_V1'!$A$7:$A$200,$D262,'技能主檔_V1'!$J$7:$J$200,"啟用")&lt;&gt;1,"技能未在主檔啟用",IF(OR($A262="",$E262="",$F262="",$G262="",$H262="",$I262="",$J262="",$K262="",$L262="",$N262=""),IF($M262="已核定","已核定但資料未完整","待補欄位或核定"),IF(OR($O262="",$P262=""),IF($M262="已核定","已核定但缺來源依據","待補來源依據"),IF($M262="已核定","可發布","待主管核定")))))))))</x:f>
      </x:c>
      <x:c r="S262" s="579" t="str">
        <x:f>IF($B262="","",IF($R262="可發布","回到醫師模式規則輸入，將能力要求集標記為已完整",IF(OR($R262="停用",$R262="退回補件"),"依狀態處理",IF(ISNUMBER(SEARCH("來源",$R262)),"補齊來源文件與定位",IF(ISNUMBER(SEARCH("技能",$R262)),"先完成技能名稱對照並發布技能主檔",IF(ISNUMBER(SEARCH("模式",$R262)),"先建立相符的醫師模式規則","補齊欄位並完成主管核定"))))))</x:f>
      </x:c>
    </x:row>
    <x:row r="263">
      <x:c r="A263" s="577"/>
      <x:c r="B263" s="577"/>
      <x:c r="C263" s="577"/>
      <x:c r="D263" s="577"/>
      <x:c r="E263" s="577"/>
      <x:c r="F263" s="577"/>
      <x:c r="G263" s="577"/>
      <x:c r="H263" s="577"/>
      <x:c r="I263" s="577"/>
      <x:c r="J263" s="577"/>
      <x:c r="K263" s="577"/>
      <x:c r="L263" s="578"/>
      <x:c r="M263" s="577"/>
      <x:c r="N263" s="577"/>
      <x:c r="O263" s="577"/>
      <x:c r="P263" s="577"/>
      <x:c r="Q263" s="577"/>
      <x:c r="R263" s="579" t="str">
        <x:f>IF($B263="","",IF($M263="停用","停用",IF($M263="退回補件","退回補件",IF(COUNTIFS($A$7:$A$306,$A263)&gt;1,"要求編號重複",IF(COUNTIFS('醫師模式規則輸入'!$D$7:$D$156,$B263,'醫師模式規則輸入'!$B$7:$B$156,$C263)&lt;&gt;1,"模式或醫師未建立",IF(COUNTIFS('技能主檔_V1'!$A$7:$A$200,$D263,'技能主檔_V1'!$J$7:$J$200,"啟用")&lt;&gt;1,"技能未在主檔啟用",IF(OR($A263="",$E263="",$F263="",$G263="",$H263="",$I263="",$J263="",$K263="",$L263="",$N263=""),IF($M263="已核定","已核定但資料未完整","待補欄位或核定"),IF(OR($O263="",$P263=""),IF($M263="已核定","已核定但缺來源依據","待補來源依據"),IF($M263="已核定","可發布","待主管核定")))))))))</x:f>
      </x:c>
      <x:c r="S263" s="579" t="str">
        <x:f>IF($B263="","",IF($R263="可發布","回到醫師模式規則輸入，將能力要求集標記為已完整",IF(OR($R263="停用",$R263="退回補件"),"依狀態處理",IF(ISNUMBER(SEARCH("來源",$R263)),"補齊來源文件與定位",IF(ISNUMBER(SEARCH("技能",$R263)),"先完成技能名稱對照並發布技能主檔",IF(ISNUMBER(SEARCH("模式",$R263)),"先建立相符的醫師模式規則","補齊欄位並完成主管核定"))))))</x:f>
      </x:c>
    </x:row>
    <x:row r="264">
      <x:c r="A264" s="577"/>
      <x:c r="B264" s="577"/>
      <x:c r="C264" s="577"/>
      <x:c r="D264" s="577"/>
      <x:c r="E264" s="577"/>
      <x:c r="F264" s="577"/>
      <x:c r="G264" s="577"/>
      <x:c r="H264" s="577"/>
      <x:c r="I264" s="577"/>
      <x:c r="J264" s="577"/>
      <x:c r="K264" s="577"/>
      <x:c r="L264" s="578"/>
      <x:c r="M264" s="577"/>
      <x:c r="N264" s="577"/>
      <x:c r="O264" s="577"/>
      <x:c r="P264" s="577"/>
      <x:c r="Q264" s="577"/>
      <x:c r="R264" s="579" t="str">
        <x:f>IF($B264="","",IF($M264="停用","停用",IF($M264="退回補件","退回補件",IF(COUNTIFS($A$7:$A$306,$A264)&gt;1,"要求編號重複",IF(COUNTIFS('醫師模式規則輸入'!$D$7:$D$156,$B264,'醫師模式規則輸入'!$B$7:$B$156,$C264)&lt;&gt;1,"模式或醫師未建立",IF(COUNTIFS('技能主檔_V1'!$A$7:$A$200,$D264,'技能主檔_V1'!$J$7:$J$200,"啟用")&lt;&gt;1,"技能未在主檔啟用",IF(OR($A264="",$E264="",$F264="",$G264="",$H264="",$I264="",$J264="",$K264="",$L264="",$N264=""),IF($M264="已核定","已核定但資料未完整","待補欄位或核定"),IF(OR($O264="",$P264=""),IF($M264="已核定","已核定但缺來源依據","待補來源依據"),IF($M264="已核定","可發布","待主管核定")))))))))</x:f>
      </x:c>
      <x:c r="S264" s="579" t="str">
        <x:f>IF($B264="","",IF($R264="可發布","回到醫師模式規則輸入，將能力要求集標記為已完整",IF(OR($R264="停用",$R264="退回補件"),"依狀態處理",IF(ISNUMBER(SEARCH("來源",$R264)),"補齊來源文件與定位",IF(ISNUMBER(SEARCH("技能",$R264)),"先完成技能名稱對照並發布技能主檔",IF(ISNUMBER(SEARCH("模式",$R264)),"先建立相符的醫師模式規則","補齊欄位並完成主管核定"))))))</x:f>
      </x:c>
    </x:row>
    <x:row r="265">
      <x:c r="A265" s="577"/>
      <x:c r="B265" s="577"/>
      <x:c r="C265" s="577"/>
      <x:c r="D265" s="577"/>
      <x:c r="E265" s="577"/>
      <x:c r="F265" s="577"/>
      <x:c r="G265" s="577"/>
      <x:c r="H265" s="577"/>
      <x:c r="I265" s="577"/>
      <x:c r="J265" s="577"/>
      <x:c r="K265" s="577"/>
      <x:c r="L265" s="578"/>
      <x:c r="M265" s="577"/>
      <x:c r="N265" s="577"/>
      <x:c r="O265" s="577"/>
      <x:c r="P265" s="577"/>
      <x:c r="Q265" s="577"/>
      <x:c r="R265" s="579" t="str">
        <x:f>IF($B265="","",IF($M265="停用","停用",IF($M265="退回補件","退回補件",IF(COUNTIFS($A$7:$A$306,$A265)&gt;1,"要求編號重複",IF(COUNTIFS('醫師模式規則輸入'!$D$7:$D$156,$B265,'醫師模式規則輸入'!$B$7:$B$156,$C265)&lt;&gt;1,"模式或醫師未建立",IF(COUNTIFS('技能主檔_V1'!$A$7:$A$200,$D265,'技能主檔_V1'!$J$7:$J$200,"啟用")&lt;&gt;1,"技能未在主檔啟用",IF(OR($A265="",$E265="",$F265="",$G265="",$H265="",$I265="",$J265="",$K265="",$L265="",$N265=""),IF($M265="已核定","已核定但資料未完整","待補欄位或核定"),IF(OR($O265="",$P265=""),IF($M265="已核定","已核定但缺來源依據","待補來源依據"),IF($M265="已核定","可發布","待主管核定")))))))))</x:f>
      </x:c>
      <x:c r="S265" s="579" t="str">
        <x:f>IF($B265="","",IF($R265="可發布","回到醫師模式規則輸入，將能力要求集標記為已完整",IF(OR($R265="停用",$R265="退回補件"),"依狀態處理",IF(ISNUMBER(SEARCH("來源",$R265)),"補齊來源文件與定位",IF(ISNUMBER(SEARCH("技能",$R265)),"先完成技能名稱對照並發布技能主檔",IF(ISNUMBER(SEARCH("模式",$R265)),"先建立相符的醫師模式規則","補齊欄位並完成主管核定"))))))</x:f>
      </x:c>
    </x:row>
    <x:row r="266">
      <x:c r="A266" s="577"/>
      <x:c r="B266" s="577"/>
      <x:c r="C266" s="577"/>
      <x:c r="D266" s="577"/>
      <x:c r="E266" s="577"/>
      <x:c r="F266" s="577"/>
      <x:c r="G266" s="577"/>
      <x:c r="H266" s="577"/>
      <x:c r="I266" s="577"/>
      <x:c r="J266" s="577"/>
      <x:c r="K266" s="577"/>
      <x:c r="L266" s="578"/>
      <x:c r="M266" s="577"/>
      <x:c r="N266" s="577"/>
      <x:c r="O266" s="577"/>
      <x:c r="P266" s="577"/>
      <x:c r="Q266" s="577"/>
      <x:c r="R266" s="579" t="str">
        <x:f>IF($B266="","",IF($M266="停用","停用",IF($M266="退回補件","退回補件",IF(COUNTIFS($A$7:$A$306,$A266)&gt;1,"要求編號重複",IF(COUNTIFS('醫師模式規則輸入'!$D$7:$D$156,$B266,'醫師模式規則輸入'!$B$7:$B$156,$C266)&lt;&gt;1,"模式或醫師未建立",IF(COUNTIFS('技能主檔_V1'!$A$7:$A$200,$D266,'技能主檔_V1'!$J$7:$J$200,"啟用")&lt;&gt;1,"技能未在主檔啟用",IF(OR($A266="",$E266="",$F266="",$G266="",$H266="",$I266="",$J266="",$K266="",$L266="",$N266=""),IF($M266="已核定","已核定但資料未完整","待補欄位或核定"),IF(OR($O266="",$P266=""),IF($M266="已核定","已核定但缺來源依據","待補來源依據"),IF($M266="已核定","可發布","待主管核定")))))))))</x:f>
      </x:c>
      <x:c r="S266" s="579" t="str">
        <x:f>IF($B266="","",IF($R266="可發布","回到醫師模式規則輸入，將能力要求集標記為已完整",IF(OR($R266="停用",$R266="退回補件"),"依狀態處理",IF(ISNUMBER(SEARCH("來源",$R266)),"補齊來源文件與定位",IF(ISNUMBER(SEARCH("技能",$R266)),"先完成技能名稱對照並發布技能主檔",IF(ISNUMBER(SEARCH("模式",$R266)),"先建立相符的醫師模式規則","補齊欄位並完成主管核定"))))))</x:f>
      </x:c>
    </x:row>
    <x:row r="267">
      <x:c r="A267" s="577"/>
      <x:c r="B267" s="577"/>
      <x:c r="C267" s="577"/>
      <x:c r="D267" s="577"/>
      <x:c r="E267" s="577"/>
      <x:c r="F267" s="577"/>
      <x:c r="G267" s="577"/>
      <x:c r="H267" s="577"/>
      <x:c r="I267" s="577"/>
      <x:c r="J267" s="577"/>
      <x:c r="K267" s="577"/>
      <x:c r="L267" s="578"/>
      <x:c r="M267" s="577"/>
      <x:c r="N267" s="577"/>
      <x:c r="O267" s="577"/>
      <x:c r="P267" s="577"/>
      <x:c r="Q267" s="577"/>
      <x:c r="R267" s="579" t="str">
        <x:f>IF($B267="","",IF($M267="停用","停用",IF($M267="退回補件","退回補件",IF(COUNTIFS($A$7:$A$306,$A267)&gt;1,"要求編號重複",IF(COUNTIFS('醫師模式規則輸入'!$D$7:$D$156,$B267,'醫師模式規則輸入'!$B$7:$B$156,$C267)&lt;&gt;1,"模式或醫師未建立",IF(COUNTIFS('技能主檔_V1'!$A$7:$A$200,$D267,'技能主檔_V1'!$J$7:$J$200,"啟用")&lt;&gt;1,"技能未在主檔啟用",IF(OR($A267="",$E267="",$F267="",$G267="",$H267="",$I267="",$J267="",$K267="",$L267="",$N267=""),IF($M267="已核定","已核定但資料未完整","待補欄位或核定"),IF(OR($O267="",$P267=""),IF($M267="已核定","已核定但缺來源依據","待補來源依據"),IF($M267="已核定","可發布","待主管核定")))))))))</x:f>
      </x:c>
      <x:c r="S267" s="579" t="str">
        <x:f>IF($B267="","",IF($R267="可發布","回到醫師模式規則輸入，將能力要求集標記為已完整",IF(OR($R267="停用",$R267="退回補件"),"依狀態處理",IF(ISNUMBER(SEARCH("來源",$R267)),"補齊來源文件與定位",IF(ISNUMBER(SEARCH("技能",$R267)),"先完成技能名稱對照並發布技能主檔",IF(ISNUMBER(SEARCH("模式",$R267)),"先建立相符的醫師模式規則","補齊欄位並完成主管核定"))))))</x:f>
      </x:c>
    </x:row>
    <x:row r="268">
      <x:c r="A268" s="577"/>
      <x:c r="B268" s="577"/>
      <x:c r="C268" s="577"/>
      <x:c r="D268" s="577"/>
      <x:c r="E268" s="577"/>
      <x:c r="F268" s="577"/>
      <x:c r="G268" s="577"/>
      <x:c r="H268" s="577"/>
      <x:c r="I268" s="577"/>
      <x:c r="J268" s="577"/>
      <x:c r="K268" s="577"/>
      <x:c r="L268" s="578"/>
      <x:c r="M268" s="577"/>
      <x:c r="N268" s="577"/>
      <x:c r="O268" s="577"/>
      <x:c r="P268" s="577"/>
      <x:c r="Q268" s="577"/>
      <x:c r="R268" s="579" t="str">
        <x:f>IF($B268="","",IF($M268="停用","停用",IF($M268="退回補件","退回補件",IF(COUNTIFS($A$7:$A$306,$A268)&gt;1,"要求編號重複",IF(COUNTIFS('醫師模式規則輸入'!$D$7:$D$156,$B268,'醫師模式規則輸入'!$B$7:$B$156,$C268)&lt;&gt;1,"模式或醫師未建立",IF(COUNTIFS('技能主檔_V1'!$A$7:$A$200,$D268,'技能主檔_V1'!$J$7:$J$200,"啟用")&lt;&gt;1,"技能未在主檔啟用",IF(OR($A268="",$E268="",$F268="",$G268="",$H268="",$I268="",$J268="",$K268="",$L268="",$N268=""),IF($M268="已核定","已核定但資料未完整","待補欄位或核定"),IF(OR($O268="",$P268=""),IF($M268="已核定","已核定但缺來源依據","待補來源依據"),IF($M268="已核定","可發布","待主管核定")))))))))</x:f>
      </x:c>
      <x:c r="S268" s="579" t="str">
        <x:f>IF($B268="","",IF($R268="可發布","回到醫師模式規則輸入，將能力要求集標記為已完整",IF(OR($R268="停用",$R268="退回補件"),"依狀態處理",IF(ISNUMBER(SEARCH("來源",$R268)),"補齊來源文件與定位",IF(ISNUMBER(SEARCH("技能",$R268)),"先完成技能名稱對照並發布技能主檔",IF(ISNUMBER(SEARCH("模式",$R268)),"先建立相符的醫師模式規則","補齊欄位並完成主管核定"))))))</x:f>
      </x:c>
    </x:row>
    <x:row r="269">
      <x:c r="A269" s="577"/>
      <x:c r="B269" s="577"/>
      <x:c r="C269" s="577"/>
      <x:c r="D269" s="577"/>
      <x:c r="E269" s="577"/>
      <x:c r="F269" s="577"/>
      <x:c r="G269" s="577"/>
      <x:c r="H269" s="577"/>
      <x:c r="I269" s="577"/>
      <x:c r="J269" s="577"/>
      <x:c r="K269" s="577"/>
      <x:c r="L269" s="578"/>
      <x:c r="M269" s="577"/>
      <x:c r="N269" s="577"/>
      <x:c r="O269" s="577"/>
      <x:c r="P269" s="577"/>
      <x:c r="Q269" s="577"/>
      <x:c r="R269" s="579" t="str">
        <x:f>IF($B269="","",IF($M269="停用","停用",IF($M269="退回補件","退回補件",IF(COUNTIFS($A$7:$A$306,$A269)&gt;1,"要求編號重複",IF(COUNTIFS('醫師模式規則輸入'!$D$7:$D$156,$B269,'醫師模式規則輸入'!$B$7:$B$156,$C269)&lt;&gt;1,"模式或醫師未建立",IF(COUNTIFS('技能主檔_V1'!$A$7:$A$200,$D269,'技能主檔_V1'!$J$7:$J$200,"啟用")&lt;&gt;1,"技能未在主檔啟用",IF(OR($A269="",$E269="",$F269="",$G269="",$H269="",$I269="",$J269="",$K269="",$L269="",$N269=""),IF($M269="已核定","已核定但資料未完整","待補欄位或核定"),IF(OR($O269="",$P269=""),IF($M269="已核定","已核定但缺來源依據","待補來源依據"),IF($M269="已核定","可發布","待主管核定")))))))))</x:f>
      </x:c>
      <x:c r="S269" s="579" t="str">
        <x:f>IF($B269="","",IF($R269="可發布","回到醫師模式規則輸入，將能力要求集標記為已完整",IF(OR($R269="停用",$R269="退回補件"),"依狀態處理",IF(ISNUMBER(SEARCH("來源",$R269)),"補齊來源文件與定位",IF(ISNUMBER(SEARCH("技能",$R269)),"先完成技能名稱對照並發布技能主檔",IF(ISNUMBER(SEARCH("模式",$R269)),"先建立相符的醫師模式規則","補齊欄位並完成主管核定"))))))</x:f>
      </x:c>
    </x:row>
    <x:row r="270">
      <x:c r="A270" s="577"/>
      <x:c r="B270" s="577"/>
      <x:c r="C270" s="577"/>
      <x:c r="D270" s="577"/>
      <x:c r="E270" s="577"/>
      <x:c r="F270" s="577"/>
      <x:c r="G270" s="577"/>
      <x:c r="H270" s="577"/>
      <x:c r="I270" s="577"/>
      <x:c r="J270" s="577"/>
      <x:c r="K270" s="577"/>
      <x:c r="L270" s="578"/>
      <x:c r="M270" s="577"/>
      <x:c r="N270" s="577"/>
      <x:c r="O270" s="577"/>
      <x:c r="P270" s="577"/>
      <x:c r="Q270" s="577"/>
      <x:c r="R270" s="579" t="str">
        <x:f>IF($B270="","",IF($M270="停用","停用",IF($M270="退回補件","退回補件",IF(COUNTIFS($A$7:$A$306,$A270)&gt;1,"要求編號重複",IF(COUNTIFS('醫師模式規則輸入'!$D$7:$D$156,$B270,'醫師模式規則輸入'!$B$7:$B$156,$C270)&lt;&gt;1,"模式或醫師未建立",IF(COUNTIFS('技能主檔_V1'!$A$7:$A$200,$D270,'技能主檔_V1'!$J$7:$J$200,"啟用")&lt;&gt;1,"技能未在主檔啟用",IF(OR($A270="",$E270="",$F270="",$G270="",$H270="",$I270="",$J270="",$K270="",$L270="",$N270=""),IF($M270="已核定","已核定但資料未完整","待補欄位或核定"),IF(OR($O270="",$P270=""),IF($M270="已核定","已核定但缺來源依據","待補來源依據"),IF($M270="已核定","可發布","待主管核定")))))))))</x:f>
      </x:c>
      <x:c r="S270" s="579" t="str">
        <x:f>IF($B270="","",IF($R270="可發布","回到醫師模式規則輸入，將能力要求集標記為已完整",IF(OR($R270="停用",$R270="退回補件"),"依狀態處理",IF(ISNUMBER(SEARCH("來源",$R270)),"補齊來源文件與定位",IF(ISNUMBER(SEARCH("技能",$R270)),"先完成技能名稱對照並發布技能主檔",IF(ISNUMBER(SEARCH("模式",$R270)),"先建立相符的醫師模式規則","補齊欄位並完成主管核定"))))))</x:f>
      </x:c>
    </x:row>
    <x:row r="271">
      <x:c r="A271" s="577"/>
      <x:c r="B271" s="577"/>
      <x:c r="C271" s="577"/>
      <x:c r="D271" s="577"/>
      <x:c r="E271" s="577"/>
      <x:c r="F271" s="577"/>
      <x:c r="G271" s="577"/>
      <x:c r="H271" s="577"/>
      <x:c r="I271" s="577"/>
      <x:c r="J271" s="577"/>
      <x:c r="K271" s="577"/>
      <x:c r="L271" s="578"/>
      <x:c r="M271" s="577"/>
      <x:c r="N271" s="577"/>
      <x:c r="O271" s="577"/>
      <x:c r="P271" s="577"/>
      <x:c r="Q271" s="577"/>
      <x:c r="R271" s="579" t="str">
        <x:f>IF($B271="","",IF($M271="停用","停用",IF($M271="退回補件","退回補件",IF(COUNTIFS($A$7:$A$306,$A271)&gt;1,"要求編號重複",IF(COUNTIFS('醫師模式規則輸入'!$D$7:$D$156,$B271,'醫師模式規則輸入'!$B$7:$B$156,$C271)&lt;&gt;1,"模式或醫師未建立",IF(COUNTIFS('技能主檔_V1'!$A$7:$A$200,$D271,'技能主檔_V1'!$J$7:$J$200,"啟用")&lt;&gt;1,"技能未在主檔啟用",IF(OR($A271="",$E271="",$F271="",$G271="",$H271="",$I271="",$J271="",$K271="",$L271="",$N271=""),IF($M271="已核定","已核定但資料未完整","待補欄位或核定"),IF(OR($O271="",$P271=""),IF($M271="已核定","已核定但缺來源依據","待補來源依據"),IF($M271="已核定","可發布","待主管核定")))))))))</x:f>
      </x:c>
      <x:c r="S271" s="579" t="str">
        <x:f>IF($B271="","",IF($R271="可發布","回到醫師模式規則輸入，將能力要求集標記為已完整",IF(OR($R271="停用",$R271="退回補件"),"依狀態處理",IF(ISNUMBER(SEARCH("來源",$R271)),"補齊來源文件與定位",IF(ISNUMBER(SEARCH("技能",$R271)),"先完成技能名稱對照並發布技能主檔",IF(ISNUMBER(SEARCH("模式",$R271)),"先建立相符的醫師模式規則","補齊欄位並完成主管核定"))))))</x:f>
      </x:c>
    </x:row>
    <x:row r="272">
      <x:c r="A272" s="577"/>
      <x:c r="B272" s="577"/>
      <x:c r="C272" s="577"/>
      <x:c r="D272" s="577"/>
      <x:c r="E272" s="577"/>
      <x:c r="F272" s="577"/>
      <x:c r="G272" s="577"/>
      <x:c r="H272" s="577"/>
      <x:c r="I272" s="577"/>
      <x:c r="J272" s="577"/>
      <x:c r="K272" s="577"/>
      <x:c r="L272" s="578"/>
      <x:c r="M272" s="577"/>
      <x:c r="N272" s="577"/>
      <x:c r="O272" s="577"/>
      <x:c r="P272" s="577"/>
      <x:c r="Q272" s="577"/>
      <x:c r="R272" s="579" t="str">
        <x:f>IF($B272="","",IF($M272="停用","停用",IF($M272="退回補件","退回補件",IF(COUNTIFS($A$7:$A$306,$A272)&gt;1,"要求編號重複",IF(COUNTIFS('醫師模式規則輸入'!$D$7:$D$156,$B272,'醫師模式規則輸入'!$B$7:$B$156,$C272)&lt;&gt;1,"模式或醫師未建立",IF(COUNTIFS('技能主檔_V1'!$A$7:$A$200,$D272,'技能主檔_V1'!$J$7:$J$200,"啟用")&lt;&gt;1,"技能未在主檔啟用",IF(OR($A272="",$E272="",$F272="",$G272="",$H272="",$I272="",$J272="",$K272="",$L272="",$N272=""),IF($M272="已核定","已核定但資料未完整","待補欄位或核定"),IF(OR($O272="",$P272=""),IF($M272="已核定","已核定但缺來源依據","待補來源依據"),IF($M272="已核定","可發布","待主管核定")))))))))</x:f>
      </x:c>
      <x:c r="S272" s="579" t="str">
        <x:f>IF($B272="","",IF($R272="可發布","回到醫師模式規則輸入，將能力要求集標記為已完整",IF(OR($R272="停用",$R272="退回補件"),"依狀態處理",IF(ISNUMBER(SEARCH("來源",$R272)),"補齊來源文件與定位",IF(ISNUMBER(SEARCH("技能",$R272)),"先完成技能名稱對照並發布技能主檔",IF(ISNUMBER(SEARCH("模式",$R272)),"先建立相符的醫師模式規則","補齊欄位並完成主管核定"))))))</x:f>
      </x:c>
    </x:row>
    <x:row r="273">
      <x:c r="A273" s="577"/>
      <x:c r="B273" s="577"/>
      <x:c r="C273" s="577"/>
      <x:c r="D273" s="577"/>
      <x:c r="E273" s="577"/>
      <x:c r="F273" s="577"/>
      <x:c r="G273" s="577"/>
      <x:c r="H273" s="577"/>
      <x:c r="I273" s="577"/>
      <x:c r="J273" s="577"/>
      <x:c r="K273" s="577"/>
      <x:c r="L273" s="578"/>
      <x:c r="M273" s="577"/>
      <x:c r="N273" s="577"/>
      <x:c r="O273" s="577"/>
      <x:c r="P273" s="577"/>
      <x:c r="Q273" s="577"/>
      <x:c r="R273" s="579" t="str">
        <x:f>IF($B273="","",IF($M273="停用","停用",IF($M273="退回補件","退回補件",IF(COUNTIFS($A$7:$A$306,$A273)&gt;1,"要求編號重複",IF(COUNTIFS('醫師模式規則輸入'!$D$7:$D$156,$B273,'醫師模式規則輸入'!$B$7:$B$156,$C273)&lt;&gt;1,"模式或醫師未建立",IF(COUNTIFS('技能主檔_V1'!$A$7:$A$200,$D273,'技能主檔_V1'!$J$7:$J$200,"啟用")&lt;&gt;1,"技能未在主檔啟用",IF(OR($A273="",$E273="",$F273="",$G273="",$H273="",$I273="",$J273="",$K273="",$L273="",$N273=""),IF($M273="已核定","已核定但資料未完整","待補欄位或核定"),IF(OR($O273="",$P273=""),IF($M273="已核定","已核定但缺來源依據","待補來源依據"),IF($M273="已核定","可發布","待主管核定")))))))))</x:f>
      </x:c>
      <x:c r="S273" s="579" t="str">
        <x:f>IF($B273="","",IF($R273="可發布","回到醫師模式規則輸入，將能力要求集標記為已完整",IF(OR($R273="停用",$R273="退回補件"),"依狀態處理",IF(ISNUMBER(SEARCH("來源",$R273)),"補齊來源文件與定位",IF(ISNUMBER(SEARCH("技能",$R273)),"先完成技能名稱對照並發布技能主檔",IF(ISNUMBER(SEARCH("模式",$R273)),"先建立相符的醫師模式規則","補齊欄位並完成主管核定"))))))</x:f>
      </x:c>
    </x:row>
    <x:row r="274">
      <x:c r="A274" s="577"/>
      <x:c r="B274" s="577"/>
      <x:c r="C274" s="577"/>
      <x:c r="D274" s="577"/>
      <x:c r="E274" s="577"/>
      <x:c r="F274" s="577"/>
      <x:c r="G274" s="577"/>
      <x:c r="H274" s="577"/>
      <x:c r="I274" s="577"/>
      <x:c r="J274" s="577"/>
      <x:c r="K274" s="577"/>
      <x:c r="L274" s="578"/>
      <x:c r="M274" s="577"/>
      <x:c r="N274" s="577"/>
      <x:c r="O274" s="577"/>
      <x:c r="P274" s="577"/>
      <x:c r="Q274" s="577"/>
      <x:c r="R274" s="579" t="str">
        <x:f>IF($B274="","",IF($M274="停用","停用",IF($M274="退回補件","退回補件",IF(COUNTIFS($A$7:$A$306,$A274)&gt;1,"要求編號重複",IF(COUNTIFS('醫師模式規則輸入'!$D$7:$D$156,$B274,'醫師模式規則輸入'!$B$7:$B$156,$C274)&lt;&gt;1,"模式或醫師未建立",IF(COUNTIFS('技能主檔_V1'!$A$7:$A$200,$D274,'技能主檔_V1'!$J$7:$J$200,"啟用")&lt;&gt;1,"技能未在主檔啟用",IF(OR($A274="",$E274="",$F274="",$G274="",$H274="",$I274="",$J274="",$K274="",$L274="",$N274=""),IF($M274="已核定","已核定但資料未完整","待補欄位或核定"),IF(OR($O274="",$P274=""),IF($M274="已核定","已核定但缺來源依據","待補來源依據"),IF($M274="已核定","可發布","待主管核定")))))))))</x:f>
      </x:c>
      <x:c r="S274" s="579" t="str">
        <x:f>IF($B274="","",IF($R274="可發布","回到醫師模式規則輸入，將能力要求集標記為已完整",IF(OR($R274="停用",$R274="退回補件"),"依狀態處理",IF(ISNUMBER(SEARCH("來源",$R274)),"補齊來源文件與定位",IF(ISNUMBER(SEARCH("技能",$R274)),"先完成技能名稱對照並發布技能主檔",IF(ISNUMBER(SEARCH("模式",$R274)),"先建立相符的醫師模式規則","補齊欄位並完成主管核定"))))))</x:f>
      </x:c>
    </x:row>
    <x:row r="275">
      <x:c r="A275" s="577"/>
      <x:c r="B275" s="577"/>
      <x:c r="C275" s="577"/>
      <x:c r="D275" s="577"/>
      <x:c r="E275" s="577"/>
      <x:c r="F275" s="577"/>
      <x:c r="G275" s="577"/>
      <x:c r="H275" s="577"/>
      <x:c r="I275" s="577"/>
      <x:c r="J275" s="577"/>
      <x:c r="K275" s="577"/>
      <x:c r="L275" s="578"/>
      <x:c r="M275" s="577"/>
      <x:c r="N275" s="577"/>
      <x:c r="O275" s="577"/>
      <x:c r="P275" s="577"/>
      <x:c r="Q275" s="577"/>
      <x:c r="R275" s="579" t="str">
        <x:f>IF($B275="","",IF($M275="停用","停用",IF($M275="退回補件","退回補件",IF(COUNTIFS($A$7:$A$306,$A275)&gt;1,"要求編號重複",IF(COUNTIFS('醫師模式規則輸入'!$D$7:$D$156,$B275,'醫師模式規則輸入'!$B$7:$B$156,$C275)&lt;&gt;1,"模式或醫師未建立",IF(COUNTIFS('技能主檔_V1'!$A$7:$A$200,$D275,'技能主檔_V1'!$J$7:$J$200,"啟用")&lt;&gt;1,"技能未在主檔啟用",IF(OR($A275="",$E275="",$F275="",$G275="",$H275="",$I275="",$J275="",$K275="",$L275="",$N275=""),IF($M275="已核定","已核定但資料未完整","待補欄位或核定"),IF(OR($O275="",$P275=""),IF($M275="已核定","已核定但缺來源依據","待補來源依據"),IF($M275="已核定","可發布","待主管核定")))))))))</x:f>
      </x:c>
      <x:c r="S275" s="579" t="str">
        <x:f>IF($B275="","",IF($R275="可發布","回到醫師模式規則輸入，將能力要求集標記為已完整",IF(OR($R275="停用",$R275="退回補件"),"依狀態處理",IF(ISNUMBER(SEARCH("來源",$R275)),"補齊來源文件與定位",IF(ISNUMBER(SEARCH("技能",$R275)),"先完成技能名稱對照並發布技能主檔",IF(ISNUMBER(SEARCH("模式",$R275)),"先建立相符的醫師模式規則","補齊欄位並完成主管核定"))))))</x:f>
      </x:c>
    </x:row>
    <x:row r="276">
      <x:c r="A276" s="577"/>
      <x:c r="B276" s="577"/>
      <x:c r="C276" s="577"/>
      <x:c r="D276" s="577"/>
      <x:c r="E276" s="577"/>
      <x:c r="F276" s="577"/>
      <x:c r="G276" s="577"/>
      <x:c r="H276" s="577"/>
      <x:c r="I276" s="577"/>
      <x:c r="J276" s="577"/>
      <x:c r="K276" s="577"/>
      <x:c r="L276" s="578"/>
      <x:c r="M276" s="577"/>
      <x:c r="N276" s="577"/>
      <x:c r="O276" s="577"/>
      <x:c r="P276" s="577"/>
      <x:c r="Q276" s="577"/>
      <x:c r="R276" s="579" t="str">
        <x:f>IF($B276="","",IF($M276="停用","停用",IF($M276="退回補件","退回補件",IF(COUNTIFS($A$7:$A$306,$A276)&gt;1,"要求編號重複",IF(COUNTIFS('醫師模式規則輸入'!$D$7:$D$156,$B276,'醫師模式規則輸入'!$B$7:$B$156,$C276)&lt;&gt;1,"模式或醫師未建立",IF(COUNTIFS('技能主檔_V1'!$A$7:$A$200,$D276,'技能主檔_V1'!$J$7:$J$200,"啟用")&lt;&gt;1,"技能未在主檔啟用",IF(OR($A276="",$E276="",$F276="",$G276="",$H276="",$I276="",$J276="",$K276="",$L276="",$N276=""),IF($M276="已核定","已核定但資料未完整","待補欄位或核定"),IF(OR($O276="",$P276=""),IF($M276="已核定","已核定但缺來源依據","待補來源依據"),IF($M276="已核定","可發布","待主管核定")))))))))</x:f>
      </x:c>
      <x:c r="S276" s="579" t="str">
        <x:f>IF($B276="","",IF($R276="可發布","回到醫師模式規則輸入，將能力要求集標記為已完整",IF(OR($R276="停用",$R276="退回補件"),"依狀態處理",IF(ISNUMBER(SEARCH("來源",$R276)),"補齊來源文件與定位",IF(ISNUMBER(SEARCH("技能",$R276)),"先完成技能名稱對照並發布技能主檔",IF(ISNUMBER(SEARCH("模式",$R276)),"先建立相符的醫師模式規則","補齊欄位並完成主管核定"))))))</x:f>
      </x:c>
    </x:row>
    <x:row r="277">
      <x:c r="A277" s="577"/>
      <x:c r="B277" s="577"/>
      <x:c r="C277" s="577"/>
      <x:c r="D277" s="577"/>
      <x:c r="E277" s="577"/>
      <x:c r="F277" s="577"/>
      <x:c r="G277" s="577"/>
      <x:c r="H277" s="577"/>
      <x:c r="I277" s="577"/>
      <x:c r="J277" s="577"/>
      <x:c r="K277" s="577"/>
      <x:c r="L277" s="578"/>
      <x:c r="M277" s="577"/>
      <x:c r="N277" s="577"/>
      <x:c r="O277" s="577"/>
      <x:c r="P277" s="577"/>
      <x:c r="Q277" s="577"/>
      <x:c r="R277" s="579" t="str">
        <x:f>IF($B277="","",IF($M277="停用","停用",IF($M277="退回補件","退回補件",IF(COUNTIFS($A$7:$A$306,$A277)&gt;1,"要求編號重複",IF(COUNTIFS('醫師模式規則輸入'!$D$7:$D$156,$B277,'醫師模式規則輸入'!$B$7:$B$156,$C277)&lt;&gt;1,"模式或醫師未建立",IF(COUNTIFS('技能主檔_V1'!$A$7:$A$200,$D277,'技能主檔_V1'!$J$7:$J$200,"啟用")&lt;&gt;1,"技能未在主檔啟用",IF(OR($A277="",$E277="",$F277="",$G277="",$H277="",$I277="",$J277="",$K277="",$L277="",$N277=""),IF($M277="已核定","已核定但資料未完整","待補欄位或核定"),IF(OR($O277="",$P277=""),IF($M277="已核定","已核定但缺來源依據","待補來源依據"),IF($M277="已核定","可發布","待主管核定")))))))))</x:f>
      </x:c>
      <x:c r="S277" s="579" t="str">
        <x:f>IF($B277="","",IF($R277="可發布","回到醫師模式規則輸入，將能力要求集標記為已完整",IF(OR($R277="停用",$R277="退回補件"),"依狀態處理",IF(ISNUMBER(SEARCH("來源",$R277)),"補齊來源文件與定位",IF(ISNUMBER(SEARCH("技能",$R277)),"先完成技能名稱對照並發布技能主檔",IF(ISNUMBER(SEARCH("模式",$R277)),"先建立相符的醫師模式規則","補齊欄位並完成主管核定"))))))</x:f>
      </x:c>
    </x:row>
    <x:row r="278">
      <x:c r="A278" s="577"/>
      <x:c r="B278" s="577"/>
      <x:c r="C278" s="577"/>
      <x:c r="D278" s="577"/>
      <x:c r="E278" s="577"/>
      <x:c r="F278" s="577"/>
      <x:c r="G278" s="577"/>
      <x:c r="H278" s="577"/>
      <x:c r="I278" s="577"/>
      <x:c r="J278" s="577"/>
      <x:c r="K278" s="577"/>
      <x:c r="L278" s="578"/>
      <x:c r="M278" s="577"/>
      <x:c r="N278" s="577"/>
      <x:c r="O278" s="577"/>
      <x:c r="P278" s="577"/>
      <x:c r="Q278" s="577"/>
      <x:c r="R278" s="579" t="str">
        <x:f>IF($B278="","",IF($M278="停用","停用",IF($M278="退回補件","退回補件",IF(COUNTIFS($A$7:$A$306,$A278)&gt;1,"要求編號重複",IF(COUNTIFS('醫師模式規則輸入'!$D$7:$D$156,$B278,'醫師模式規則輸入'!$B$7:$B$156,$C278)&lt;&gt;1,"模式或醫師未建立",IF(COUNTIFS('技能主檔_V1'!$A$7:$A$200,$D278,'技能主檔_V1'!$J$7:$J$200,"啟用")&lt;&gt;1,"技能未在主檔啟用",IF(OR($A278="",$E278="",$F278="",$G278="",$H278="",$I278="",$J278="",$K278="",$L278="",$N278=""),IF($M278="已核定","已核定但資料未完整","待補欄位或核定"),IF(OR($O278="",$P278=""),IF($M278="已核定","已核定但缺來源依據","待補來源依據"),IF($M278="已核定","可發布","待主管核定")))))))))</x:f>
      </x:c>
      <x:c r="S278" s="579" t="str">
        <x:f>IF($B278="","",IF($R278="可發布","回到醫師模式規則輸入，將能力要求集標記為已完整",IF(OR($R278="停用",$R278="退回補件"),"依狀態處理",IF(ISNUMBER(SEARCH("來源",$R278)),"補齊來源文件與定位",IF(ISNUMBER(SEARCH("技能",$R278)),"先完成技能名稱對照並發布技能主檔",IF(ISNUMBER(SEARCH("模式",$R278)),"先建立相符的醫師模式規則","補齊欄位並完成主管核定"))))))</x:f>
      </x:c>
    </x:row>
    <x:row r="279">
      <x:c r="A279" s="577"/>
      <x:c r="B279" s="577"/>
      <x:c r="C279" s="577"/>
      <x:c r="D279" s="577"/>
      <x:c r="E279" s="577"/>
      <x:c r="F279" s="577"/>
      <x:c r="G279" s="577"/>
      <x:c r="H279" s="577"/>
      <x:c r="I279" s="577"/>
      <x:c r="J279" s="577"/>
      <x:c r="K279" s="577"/>
      <x:c r="L279" s="578"/>
      <x:c r="M279" s="577"/>
      <x:c r="N279" s="577"/>
      <x:c r="O279" s="577"/>
      <x:c r="P279" s="577"/>
      <x:c r="Q279" s="577"/>
      <x:c r="R279" s="579" t="str">
        <x:f>IF($B279="","",IF($M279="停用","停用",IF($M279="退回補件","退回補件",IF(COUNTIFS($A$7:$A$306,$A279)&gt;1,"要求編號重複",IF(COUNTIFS('醫師模式規則輸入'!$D$7:$D$156,$B279,'醫師模式規則輸入'!$B$7:$B$156,$C279)&lt;&gt;1,"模式或醫師未建立",IF(COUNTIFS('技能主檔_V1'!$A$7:$A$200,$D279,'技能主檔_V1'!$J$7:$J$200,"啟用")&lt;&gt;1,"技能未在主檔啟用",IF(OR($A279="",$E279="",$F279="",$G279="",$H279="",$I279="",$J279="",$K279="",$L279="",$N279=""),IF($M279="已核定","已核定但資料未完整","待補欄位或核定"),IF(OR($O279="",$P279=""),IF($M279="已核定","已核定但缺來源依據","待補來源依據"),IF($M279="已核定","可發布","待主管核定")))))))))</x:f>
      </x:c>
      <x:c r="S279" s="579" t="str">
        <x:f>IF($B279="","",IF($R279="可發布","回到醫師模式規則輸入，將能力要求集標記為已完整",IF(OR($R279="停用",$R279="退回補件"),"依狀態處理",IF(ISNUMBER(SEARCH("來源",$R279)),"補齊來源文件與定位",IF(ISNUMBER(SEARCH("技能",$R279)),"先完成技能名稱對照並發布技能主檔",IF(ISNUMBER(SEARCH("模式",$R279)),"先建立相符的醫師模式規則","補齊欄位並完成主管核定"))))))</x:f>
      </x:c>
    </x:row>
    <x:row r="280">
      <x:c r="A280" s="577"/>
      <x:c r="B280" s="577"/>
      <x:c r="C280" s="577"/>
      <x:c r="D280" s="577"/>
      <x:c r="E280" s="577"/>
      <x:c r="F280" s="577"/>
      <x:c r="G280" s="577"/>
      <x:c r="H280" s="577"/>
      <x:c r="I280" s="577"/>
      <x:c r="J280" s="577"/>
      <x:c r="K280" s="577"/>
      <x:c r="L280" s="578"/>
      <x:c r="M280" s="577"/>
      <x:c r="N280" s="577"/>
      <x:c r="O280" s="577"/>
      <x:c r="P280" s="577"/>
      <x:c r="Q280" s="577"/>
      <x:c r="R280" s="579" t="str">
        <x:f>IF($B280="","",IF($M280="停用","停用",IF($M280="退回補件","退回補件",IF(COUNTIFS($A$7:$A$306,$A280)&gt;1,"要求編號重複",IF(COUNTIFS('醫師模式規則輸入'!$D$7:$D$156,$B280,'醫師模式規則輸入'!$B$7:$B$156,$C280)&lt;&gt;1,"模式或醫師未建立",IF(COUNTIFS('技能主檔_V1'!$A$7:$A$200,$D280,'技能主檔_V1'!$J$7:$J$200,"啟用")&lt;&gt;1,"技能未在主檔啟用",IF(OR($A280="",$E280="",$F280="",$G280="",$H280="",$I280="",$J280="",$K280="",$L280="",$N280=""),IF($M280="已核定","已核定但資料未完整","待補欄位或核定"),IF(OR($O280="",$P280=""),IF($M280="已核定","已核定但缺來源依據","待補來源依據"),IF($M280="已核定","可發布","待主管核定")))))))))</x:f>
      </x:c>
      <x:c r="S280" s="579" t="str">
        <x:f>IF($B280="","",IF($R280="可發布","回到醫師模式規則輸入，將能力要求集標記為已完整",IF(OR($R280="停用",$R280="退回補件"),"依狀態處理",IF(ISNUMBER(SEARCH("來源",$R280)),"補齊來源文件與定位",IF(ISNUMBER(SEARCH("技能",$R280)),"先完成技能名稱對照並發布技能主檔",IF(ISNUMBER(SEARCH("模式",$R280)),"先建立相符的醫師模式規則","補齊欄位並完成主管核定"))))))</x:f>
      </x:c>
    </x:row>
    <x:row r="281">
      <x:c r="A281" s="577"/>
      <x:c r="B281" s="577"/>
      <x:c r="C281" s="577"/>
      <x:c r="D281" s="577"/>
      <x:c r="E281" s="577"/>
      <x:c r="F281" s="577"/>
      <x:c r="G281" s="577"/>
      <x:c r="H281" s="577"/>
      <x:c r="I281" s="577"/>
      <x:c r="J281" s="577"/>
      <x:c r="K281" s="577"/>
      <x:c r="L281" s="578"/>
      <x:c r="M281" s="577"/>
      <x:c r="N281" s="577"/>
      <x:c r="O281" s="577"/>
      <x:c r="P281" s="577"/>
      <x:c r="Q281" s="577"/>
      <x:c r="R281" s="579" t="str">
        <x:f>IF($B281="","",IF($M281="停用","停用",IF($M281="退回補件","退回補件",IF(COUNTIFS($A$7:$A$306,$A281)&gt;1,"要求編號重複",IF(COUNTIFS('醫師模式規則輸入'!$D$7:$D$156,$B281,'醫師模式規則輸入'!$B$7:$B$156,$C281)&lt;&gt;1,"模式或醫師未建立",IF(COUNTIFS('技能主檔_V1'!$A$7:$A$200,$D281,'技能主檔_V1'!$J$7:$J$200,"啟用")&lt;&gt;1,"技能未在主檔啟用",IF(OR($A281="",$E281="",$F281="",$G281="",$H281="",$I281="",$J281="",$K281="",$L281="",$N281=""),IF($M281="已核定","已核定但資料未完整","待補欄位或核定"),IF(OR($O281="",$P281=""),IF($M281="已核定","已核定但缺來源依據","待補來源依據"),IF($M281="已核定","可發布","待主管核定")))))))))</x:f>
      </x:c>
      <x:c r="S281" s="579" t="str">
        <x:f>IF($B281="","",IF($R281="可發布","回到醫師模式規則輸入，將能力要求集標記為已完整",IF(OR($R281="停用",$R281="退回補件"),"依狀態處理",IF(ISNUMBER(SEARCH("來源",$R281)),"補齊來源文件與定位",IF(ISNUMBER(SEARCH("技能",$R281)),"先完成技能名稱對照並發布技能主檔",IF(ISNUMBER(SEARCH("模式",$R281)),"先建立相符的醫師模式規則","補齊欄位並完成主管核定"))))))</x:f>
      </x:c>
    </x:row>
    <x:row r="282">
      <x:c r="A282" s="577"/>
      <x:c r="B282" s="577"/>
      <x:c r="C282" s="577"/>
      <x:c r="D282" s="577"/>
      <x:c r="E282" s="577"/>
      <x:c r="F282" s="577"/>
      <x:c r="G282" s="577"/>
      <x:c r="H282" s="577"/>
      <x:c r="I282" s="577"/>
      <x:c r="J282" s="577"/>
      <x:c r="K282" s="577"/>
      <x:c r="L282" s="578"/>
      <x:c r="M282" s="577"/>
      <x:c r="N282" s="577"/>
      <x:c r="O282" s="577"/>
      <x:c r="P282" s="577"/>
      <x:c r="Q282" s="577"/>
      <x:c r="R282" s="579" t="str">
        <x:f>IF($B282="","",IF($M282="停用","停用",IF($M282="退回補件","退回補件",IF(COUNTIFS($A$7:$A$306,$A282)&gt;1,"要求編號重複",IF(COUNTIFS('醫師模式規則輸入'!$D$7:$D$156,$B282,'醫師模式規則輸入'!$B$7:$B$156,$C282)&lt;&gt;1,"模式或醫師未建立",IF(COUNTIFS('技能主檔_V1'!$A$7:$A$200,$D282,'技能主檔_V1'!$J$7:$J$200,"啟用")&lt;&gt;1,"技能未在主檔啟用",IF(OR($A282="",$E282="",$F282="",$G282="",$H282="",$I282="",$J282="",$K282="",$L282="",$N282=""),IF($M282="已核定","已核定但資料未完整","待補欄位或核定"),IF(OR($O282="",$P282=""),IF($M282="已核定","已核定但缺來源依據","待補來源依據"),IF($M282="已核定","可發布","待主管核定")))))))))</x:f>
      </x:c>
      <x:c r="S282" s="579" t="str">
        <x:f>IF($B282="","",IF($R282="可發布","回到醫師模式規則輸入，將能力要求集標記為已完整",IF(OR($R282="停用",$R282="退回補件"),"依狀態處理",IF(ISNUMBER(SEARCH("來源",$R282)),"補齊來源文件與定位",IF(ISNUMBER(SEARCH("技能",$R282)),"先完成技能名稱對照並發布技能主檔",IF(ISNUMBER(SEARCH("模式",$R282)),"先建立相符的醫師模式規則","補齊欄位並完成主管核定"))))))</x:f>
      </x:c>
    </x:row>
    <x:row r="283">
      <x:c r="A283" s="577"/>
      <x:c r="B283" s="577"/>
      <x:c r="C283" s="577"/>
      <x:c r="D283" s="577"/>
      <x:c r="E283" s="577"/>
      <x:c r="F283" s="577"/>
      <x:c r="G283" s="577"/>
      <x:c r="H283" s="577"/>
      <x:c r="I283" s="577"/>
      <x:c r="J283" s="577"/>
      <x:c r="K283" s="577"/>
      <x:c r="L283" s="578"/>
      <x:c r="M283" s="577"/>
      <x:c r="N283" s="577"/>
      <x:c r="O283" s="577"/>
      <x:c r="P283" s="577"/>
      <x:c r="Q283" s="577"/>
      <x:c r="R283" s="579" t="str">
        <x:f>IF($B283="","",IF($M283="停用","停用",IF($M283="退回補件","退回補件",IF(COUNTIFS($A$7:$A$306,$A283)&gt;1,"要求編號重複",IF(COUNTIFS('醫師模式規則輸入'!$D$7:$D$156,$B283,'醫師模式規則輸入'!$B$7:$B$156,$C283)&lt;&gt;1,"模式或醫師未建立",IF(COUNTIFS('技能主檔_V1'!$A$7:$A$200,$D283,'技能主檔_V1'!$J$7:$J$200,"啟用")&lt;&gt;1,"技能未在主檔啟用",IF(OR($A283="",$E283="",$F283="",$G283="",$H283="",$I283="",$J283="",$K283="",$L283="",$N283=""),IF($M283="已核定","已核定但資料未完整","待補欄位或核定"),IF(OR($O283="",$P283=""),IF($M283="已核定","已核定但缺來源依據","待補來源依據"),IF($M283="已核定","可發布","待主管核定")))))))))</x:f>
      </x:c>
      <x:c r="S283" s="579" t="str">
        <x:f>IF($B283="","",IF($R283="可發布","回到醫師模式規則輸入，將能力要求集標記為已完整",IF(OR($R283="停用",$R283="退回補件"),"依狀態處理",IF(ISNUMBER(SEARCH("來源",$R283)),"補齊來源文件與定位",IF(ISNUMBER(SEARCH("技能",$R283)),"先完成技能名稱對照並發布技能主檔",IF(ISNUMBER(SEARCH("模式",$R283)),"先建立相符的醫師模式規則","補齊欄位並完成主管核定"))))))</x:f>
      </x:c>
    </x:row>
    <x:row r="284">
      <x:c r="A284" s="577"/>
      <x:c r="B284" s="577"/>
      <x:c r="C284" s="577"/>
      <x:c r="D284" s="577"/>
      <x:c r="E284" s="577"/>
      <x:c r="F284" s="577"/>
      <x:c r="G284" s="577"/>
      <x:c r="H284" s="577"/>
      <x:c r="I284" s="577"/>
      <x:c r="J284" s="577"/>
      <x:c r="K284" s="577"/>
      <x:c r="L284" s="578"/>
      <x:c r="M284" s="577"/>
      <x:c r="N284" s="577"/>
      <x:c r="O284" s="577"/>
      <x:c r="P284" s="577"/>
      <x:c r="Q284" s="577"/>
      <x:c r="R284" s="579" t="str">
        <x:f>IF($B284="","",IF($M284="停用","停用",IF($M284="退回補件","退回補件",IF(COUNTIFS($A$7:$A$306,$A284)&gt;1,"要求編號重複",IF(COUNTIFS('醫師模式規則輸入'!$D$7:$D$156,$B284,'醫師模式規則輸入'!$B$7:$B$156,$C284)&lt;&gt;1,"模式或醫師未建立",IF(COUNTIFS('技能主檔_V1'!$A$7:$A$200,$D284,'技能主檔_V1'!$J$7:$J$200,"啟用")&lt;&gt;1,"技能未在主檔啟用",IF(OR($A284="",$E284="",$F284="",$G284="",$H284="",$I284="",$J284="",$K284="",$L284="",$N284=""),IF($M284="已核定","已核定但資料未完整","待補欄位或核定"),IF(OR($O284="",$P284=""),IF($M284="已核定","已核定但缺來源依據","待補來源依據"),IF($M284="已核定","可發布","待主管核定")))))))))</x:f>
      </x:c>
      <x:c r="S284" s="579" t="str">
        <x:f>IF($B284="","",IF($R284="可發布","回到醫師模式規則輸入，將能力要求集標記為已完整",IF(OR($R284="停用",$R284="退回補件"),"依狀態處理",IF(ISNUMBER(SEARCH("來源",$R284)),"補齊來源文件與定位",IF(ISNUMBER(SEARCH("技能",$R284)),"先完成技能名稱對照並發布技能主檔",IF(ISNUMBER(SEARCH("模式",$R284)),"先建立相符的醫師模式規則","補齊欄位並完成主管核定"))))))</x:f>
      </x:c>
    </x:row>
    <x:row r="285">
      <x:c r="A285" s="577"/>
      <x:c r="B285" s="577"/>
      <x:c r="C285" s="577"/>
      <x:c r="D285" s="577"/>
      <x:c r="E285" s="577"/>
      <x:c r="F285" s="577"/>
      <x:c r="G285" s="577"/>
      <x:c r="H285" s="577"/>
      <x:c r="I285" s="577"/>
      <x:c r="J285" s="577"/>
      <x:c r="K285" s="577"/>
      <x:c r="L285" s="578"/>
      <x:c r="M285" s="577"/>
      <x:c r="N285" s="577"/>
      <x:c r="O285" s="577"/>
      <x:c r="P285" s="577"/>
      <x:c r="Q285" s="577"/>
      <x:c r="R285" s="579" t="str">
        <x:f>IF($B285="","",IF($M285="停用","停用",IF($M285="退回補件","退回補件",IF(COUNTIFS($A$7:$A$306,$A285)&gt;1,"要求編號重複",IF(COUNTIFS('醫師模式規則輸入'!$D$7:$D$156,$B285,'醫師模式規則輸入'!$B$7:$B$156,$C285)&lt;&gt;1,"模式或醫師未建立",IF(COUNTIFS('技能主檔_V1'!$A$7:$A$200,$D285,'技能主檔_V1'!$J$7:$J$200,"啟用")&lt;&gt;1,"技能未在主檔啟用",IF(OR($A285="",$E285="",$F285="",$G285="",$H285="",$I285="",$J285="",$K285="",$L285="",$N285=""),IF($M285="已核定","已核定但資料未完整","待補欄位或核定"),IF(OR($O285="",$P285=""),IF($M285="已核定","已核定但缺來源依據","待補來源依據"),IF($M285="已核定","可發布","待主管核定")))))))))</x:f>
      </x:c>
      <x:c r="S285" s="579" t="str">
        <x:f>IF($B285="","",IF($R285="可發布","回到醫師模式規則輸入，將能力要求集標記為已完整",IF(OR($R285="停用",$R285="退回補件"),"依狀態處理",IF(ISNUMBER(SEARCH("來源",$R285)),"補齊來源文件與定位",IF(ISNUMBER(SEARCH("技能",$R285)),"先完成技能名稱對照並發布技能主檔",IF(ISNUMBER(SEARCH("模式",$R285)),"先建立相符的醫師模式規則","補齊欄位並完成主管核定"))))))</x:f>
      </x:c>
    </x:row>
    <x:row r="286">
      <x:c r="A286" s="577"/>
      <x:c r="B286" s="577"/>
      <x:c r="C286" s="577"/>
      <x:c r="D286" s="577"/>
      <x:c r="E286" s="577"/>
      <x:c r="F286" s="577"/>
      <x:c r="G286" s="577"/>
      <x:c r="H286" s="577"/>
      <x:c r="I286" s="577"/>
      <x:c r="J286" s="577"/>
      <x:c r="K286" s="577"/>
      <x:c r="L286" s="578"/>
      <x:c r="M286" s="577"/>
      <x:c r="N286" s="577"/>
      <x:c r="O286" s="577"/>
      <x:c r="P286" s="577"/>
      <x:c r="Q286" s="577"/>
      <x:c r="R286" s="579" t="str">
        <x:f>IF($B286="","",IF($M286="停用","停用",IF($M286="退回補件","退回補件",IF(COUNTIFS($A$7:$A$306,$A286)&gt;1,"要求編號重複",IF(COUNTIFS('醫師模式規則輸入'!$D$7:$D$156,$B286,'醫師模式規則輸入'!$B$7:$B$156,$C286)&lt;&gt;1,"模式或醫師未建立",IF(COUNTIFS('技能主檔_V1'!$A$7:$A$200,$D286,'技能主檔_V1'!$J$7:$J$200,"啟用")&lt;&gt;1,"技能未在主檔啟用",IF(OR($A286="",$E286="",$F286="",$G286="",$H286="",$I286="",$J286="",$K286="",$L286="",$N286=""),IF($M286="已核定","已核定但資料未完整","待補欄位或核定"),IF(OR($O286="",$P286=""),IF($M286="已核定","已核定但缺來源依據","待補來源依據"),IF($M286="已核定","可發布","待主管核定")))))))))</x:f>
      </x:c>
      <x:c r="S286" s="579" t="str">
        <x:f>IF($B286="","",IF($R286="可發布","回到醫師模式規則輸入，將能力要求集標記為已完整",IF(OR($R286="停用",$R286="退回補件"),"依狀態處理",IF(ISNUMBER(SEARCH("來源",$R286)),"補齊來源文件與定位",IF(ISNUMBER(SEARCH("技能",$R286)),"先完成技能名稱對照並發布技能主檔",IF(ISNUMBER(SEARCH("模式",$R286)),"先建立相符的醫師模式規則","補齊欄位並完成主管核定"))))))</x:f>
      </x:c>
    </x:row>
    <x:row r="287">
      <x:c r="A287" s="577"/>
      <x:c r="B287" s="577"/>
      <x:c r="C287" s="577"/>
      <x:c r="D287" s="577"/>
      <x:c r="E287" s="577"/>
      <x:c r="F287" s="577"/>
      <x:c r="G287" s="577"/>
      <x:c r="H287" s="577"/>
      <x:c r="I287" s="577"/>
      <x:c r="J287" s="577"/>
      <x:c r="K287" s="577"/>
      <x:c r="L287" s="578"/>
      <x:c r="M287" s="577"/>
      <x:c r="N287" s="577"/>
      <x:c r="O287" s="577"/>
      <x:c r="P287" s="577"/>
      <x:c r="Q287" s="577"/>
      <x:c r="R287" s="579" t="str">
        <x:f>IF($B287="","",IF($M287="停用","停用",IF($M287="退回補件","退回補件",IF(COUNTIFS($A$7:$A$306,$A287)&gt;1,"要求編號重複",IF(COUNTIFS('醫師模式規則輸入'!$D$7:$D$156,$B287,'醫師模式規則輸入'!$B$7:$B$156,$C287)&lt;&gt;1,"模式或醫師未建立",IF(COUNTIFS('技能主檔_V1'!$A$7:$A$200,$D287,'技能主檔_V1'!$J$7:$J$200,"啟用")&lt;&gt;1,"技能未在主檔啟用",IF(OR($A287="",$E287="",$F287="",$G287="",$H287="",$I287="",$J287="",$K287="",$L287="",$N287=""),IF($M287="已核定","已核定但資料未完整","待補欄位或核定"),IF(OR($O287="",$P287=""),IF($M287="已核定","已核定但缺來源依據","待補來源依據"),IF($M287="已核定","可發布","待主管核定")))))))))</x:f>
      </x:c>
      <x:c r="S287" s="579" t="str">
        <x:f>IF($B287="","",IF($R287="可發布","回到醫師模式規則輸入，將能力要求集標記為已完整",IF(OR($R287="停用",$R287="退回補件"),"依狀態處理",IF(ISNUMBER(SEARCH("來源",$R287)),"補齊來源文件與定位",IF(ISNUMBER(SEARCH("技能",$R287)),"先完成技能名稱對照並發布技能主檔",IF(ISNUMBER(SEARCH("模式",$R287)),"先建立相符的醫師模式規則","補齊欄位並完成主管核定"))))))</x:f>
      </x:c>
    </x:row>
    <x:row r="288">
      <x:c r="A288" s="577"/>
      <x:c r="B288" s="577"/>
      <x:c r="C288" s="577"/>
      <x:c r="D288" s="577"/>
      <x:c r="E288" s="577"/>
      <x:c r="F288" s="577"/>
      <x:c r="G288" s="577"/>
      <x:c r="H288" s="577"/>
      <x:c r="I288" s="577"/>
      <x:c r="J288" s="577"/>
      <x:c r="K288" s="577"/>
      <x:c r="L288" s="578"/>
      <x:c r="M288" s="577"/>
      <x:c r="N288" s="577"/>
      <x:c r="O288" s="577"/>
      <x:c r="P288" s="577"/>
      <x:c r="Q288" s="577"/>
      <x:c r="R288" s="579" t="str">
        <x:f>IF($B288="","",IF($M288="停用","停用",IF($M288="退回補件","退回補件",IF(COUNTIFS($A$7:$A$306,$A288)&gt;1,"要求編號重複",IF(COUNTIFS('醫師模式規則輸入'!$D$7:$D$156,$B288,'醫師模式規則輸入'!$B$7:$B$156,$C288)&lt;&gt;1,"模式或醫師未建立",IF(COUNTIFS('技能主檔_V1'!$A$7:$A$200,$D288,'技能主檔_V1'!$J$7:$J$200,"啟用")&lt;&gt;1,"技能未在主檔啟用",IF(OR($A288="",$E288="",$F288="",$G288="",$H288="",$I288="",$J288="",$K288="",$L288="",$N288=""),IF($M288="已核定","已核定但資料未完整","待補欄位或核定"),IF(OR($O288="",$P288=""),IF($M288="已核定","已核定但缺來源依據","待補來源依據"),IF($M288="已核定","可發布","待主管核定")))))))))</x:f>
      </x:c>
      <x:c r="S288" s="579" t="str">
        <x:f>IF($B288="","",IF($R288="可發布","回到醫師模式規則輸入，將能力要求集標記為已完整",IF(OR($R288="停用",$R288="退回補件"),"依狀態處理",IF(ISNUMBER(SEARCH("來源",$R288)),"補齊來源文件與定位",IF(ISNUMBER(SEARCH("技能",$R288)),"先完成技能名稱對照並發布技能主檔",IF(ISNUMBER(SEARCH("模式",$R288)),"先建立相符的醫師模式規則","補齊欄位並完成主管核定"))))))</x:f>
      </x:c>
    </x:row>
    <x:row r="289">
      <x:c r="A289" s="577"/>
      <x:c r="B289" s="577"/>
      <x:c r="C289" s="577"/>
      <x:c r="D289" s="577"/>
      <x:c r="E289" s="577"/>
      <x:c r="F289" s="577"/>
      <x:c r="G289" s="577"/>
      <x:c r="H289" s="577"/>
      <x:c r="I289" s="577"/>
      <x:c r="J289" s="577"/>
      <x:c r="K289" s="577"/>
      <x:c r="L289" s="578"/>
      <x:c r="M289" s="577"/>
      <x:c r="N289" s="577"/>
      <x:c r="O289" s="577"/>
      <x:c r="P289" s="577"/>
      <x:c r="Q289" s="577"/>
      <x:c r="R289" s="579" t="str">
        <x:f>IF($B289="","",IF($M289="停用","停用",IF($M289="退回補件","退回補件",IF(COUNTIFS($A$7:$A$306,$A289)&gt;1,"要求編號重複",IF(COUNTIFS('醫師模式規則輸入'!$D$7:$D$156,$B289,'醫師模式規則輸入'!$B$7:$B$156,$C289)&lt;&gt;1,"模式或醫師未建立",IF(COUNTIFS('技能主檔_V1'!$A$7:$A$200,$D289,'技能主檔_V1'!$J$7:$J$200,"啟用")&lt;&gt;1,"技能未在主檔啟用",IF(OR($A289="",$E289="",$F289="",$G289="",$H289="",$I289="",$J289="",$K289="",$L289="",$N289=""),IF($M289="已核定","已核定但資料未完整","待補欄位或核定"),IF(OR($O289="",$P289=""),IF($M289="已核定","已核定但缺來源依據","待補來源依據"),IF($M289="已核定","可發布","待主管核定")))))))))</x:f>
      </x:c>
      <x:c r="S289" s="579" t="str">
        <x:f>IF($B289="","",IF($R289="可發布","回到醫師模式規則輸入，將能力要求集標記為已完整",IF(OR($R289="停用",$R289="退回補件"),"依狀態處理",IF(ISNUMBER(SEARCH("來源",$R289)),"補齊來源文件與定位",IF(ISNUMBER(SEARCH("技能",$R289)),"先完成技能名稱對照並發布技能主檔",IF(ISNUMBER(SEARCH("模式",$R289)),"先建立相符的醫師模式規則","補齊欄位並完成主管核定"))))))</x:f>
      </x:c>
    </x:row>
    <x:row r="290">
      <x:c r="A290" s="577"/>
      <x:c r="B290" s="577"/>
      <x:c r="C290" s="577"/>
      <x:c r="D290" s="577"/>
      <x:c r="E290" s="577"/>
      <x:c r="F290" s="577"/>
      <x:c r="G290" s="577"/>
      <x:c r="H290" s="577"/>
      <x:c r="I290" s="577"/>
      <x:c r="J290" s="577"/>
      <x:c r="K290" s="577"/>
      <x:c r="L290" s="578"/>
      <x:c r="M290" s="577"/>
      <x:c r="N290" s="577"/>
      <x:c r="O290" s="577"/>
      <x:c r="P290" s="577"/>
      <x:c r="Q290" s="577"/>
      <x:c r="R290" s="579" t="str">
        <x:f>IF($B290="","",IF($M290="停用","停用",IF($M290="退回補件","退回補件",IF(COUNTIFS($A$7:$A$306,$A290)&gt;1,"要求編號重複",IF(COUNTIFS('醫師模式規則輸入'!$D$7:$D$156,$B290,'醫師模式規則輸入'!$B$7:$B$156,$C290)&lt;&gt;1,"模式或醫師未建立",IF(COUNTIFS('技能主檔_V1'!$A$7:$A$200,$D290,'技能主檔_V1'!$J$7:$J$200,"啟用")&lt;&gt;1,"技能未在主檔啟用",IF(OR($A290="",$E290="",$F290="",$G290="",$H290="",$I290="",$J290="",$K290="",$L290="",$N290=""),IF($M290="已核定","已核定但資料未完整","待補欄位或核定"),IF(OR($O290="",$P290=""),IF($M290="已核定","已核定但缺來源依據","待補來源依據"),IF($M290="已核定","可發布","待主管核定")))))))))</x:f>
      </x:c>
      <x:c r="S290" s="579" t="str">
        <x:f>IF($B290="","",IF($R290="可發布","回到醫師模式規則輸入，將能力要求集標記為已完整",IF(OR($R290="停用",$R290="退回補件"),"依狀態處理",IF(ISNUMBER(SEARCH("來源",$R290)),"補齊來源文件與定位",IF(ISNUMBER(SEARCH("技能",$R290)),"先完成技能名稱對照並發布技能主檔",IF(ISNUMBER(SEARCH("模式",$R290)),"先建立相符的醫師模式規則","補齊欄位並完成主管核定"))))))</x:f>
      </x:c>
    </x:row>
    <x:row r="291">
      <x:c r="A291" s="577"/>
      <x:c r="B291" s="577"/>
      <x:c r="C291" s="577"/>
      <x:c r="D291" s="577"/>
      <x:c r="E291" s="577"/>
      <x:c r="F291" s="577"/>
      <x:c r="G291" s="577"/>
      <x:c r="H291" s="577"/>
      <x:c r="I291" s="577"/>
      <x:c r="J291" s="577"/>
      <x:c r="K291" s="577"/>
      <x:c r="L291" s="578"/>
      <x:c r="M291" s="577"/>
      <x:c r="N291" s="577"/>
      <x:c r="O291" s="577"/>
      <x:c r="P291" s="577"/>
      <x:c r="Q291" s="577"/>
      <x:c r="R291" s="579" t="str">
        <x:f>IF($B291="","",IF($M291="停用","停用",IF($M291="退回補件","退回補件",IF(COUNTIFS($A$7:$A$306,$A291)&gt;1,"要求編號重複",IF(COUNTIFS('醫師模式規則輸入'!$D$7:$D$156,$B291,'醫師模式規則輸入'!$B$7:$B$156,$C291)&lt;&gt;1,"模式或醫師未建立",IF(COUNTIFS('技能主檔_V1'!$A$7:$A$200,$D291,'技能主檔_V1'!$J$7:$J$200,"啟用")&lt;&gt;1,"技能未在主檔啟用",IF(OR($A291="",$E291="",$F291="",$G291="",$H291="",$I291="",$J291="",$K291="",$L291="",$N291=""),IF($M291="已核定","已核定但資料未完整","待補欄位或核定"),IF(OR($O291="",$P291=""),IF($M291="已核定","已核定但缺來源依據","待補來源依據"),IF($M291="已核定","可發布","待主管核定")))))))))</x:f>
      </x:c>
      <x:c r="S291" s="579" t="str">
        <x:f>IF($B291="","",IF($R291="可發布","回到醫師模式規則輸入，將能力要求集標記為已完整",IF(OR($R291="停用",$R291="退回補件"),"依狀態處理",IF(ISNUMBER(SEARCH("來源",$R291)),"補齊來源文件與定位",IF(ISNUMBER(SEARCH("技能",$R291)),"先完成技能名稱對照並發布技能主檔",IF(ISNUMBER(SEARCH("模式",$R291)),"先建立相符的醫師模式規則","補齊欄位並完成主管核定"))))))</x:f>
      </x:c>
    </x:row>
    <x:row r="292">
      <x:c r="A292" s="577"/>
      <x:c r="B292" s="577"/>
      <x:c r="C292" s="577"/>
      <x:c r="D292" s="577"/>
      <x:c r="E292" s="577"/>
      <x:c r="F292" s="577"/>
      <x:c r="G292" s="577"/>
      <x:c r="H292" s="577"/>
      <x:c r="I292" s="577"/>
      <x:c r="J292" s="577"/>
      <x:c r="K292" s="577"/>
      <x:c r="L292" s="578"/>
      <x:c r="M292" s="577"/>
      <x:c r="N292" s="577"/>
      <x:c r="O292" s="577"/>
      <x:c r="P292" s="577"/>
      <x:c r="Q292" s="577"/>
      <x:c r="R292" s="579" t="str">
        <x:f>IF($B292="","",IF($M292="停用","停用",IF($M292="退回補件","退回補件",IF(COUNTIFS($A$7:$A$306,$A292)&gt;1,"要求編號重複",IF(COUNTIFS('醫師模式規則輸入'!$D$7:$D$156,$B292,'醫師模式規則輸入'!$B$7:$B$156,$C292)&lt;&gt;1,"模式或醫師未建立",IF(COUNTIFS('技能主檔_V1'!$A$7:$A$200,$D292,'技能主檔_V1'!$J$7:$J$200,"啟用")&lt;&gt;1,"技能未在主檔啟用",IF(OR($A292="",$E292="",$F292="",$G292="",$H292="",$I292="",$J292="",$K292="",$L292="",$N292=""),IF($M292="已核定","已核定但資料未完整","待補欄位或核定"),IF(OR($O292="",$P292=""),IF($M292="已核定","已核定但缺來源依據","待補來源依據"),IF($M292="已核定","可發布","待主管核定")))))))))</x:f>
      </x:c>
      <x:c r="S292" s="579" t="str">
        <x:f>IF($B292="","",IF($R292="可發布","回到醫師模式規則輸入，將能力要求集標記為已完整",IF(OR($R292="停用",$R292="退回補件"),"依狀態處理",IF(ISNUMBER(SEARCH("來源",$R292)),"補齊來源文件與定位",IF(ISNUMBER(SEARCH("技能",$R292)),"先完成技能名稱對照並發布技能主檔",IF(ISNUMBER(SEARCH("模式",$R292)),"先建立相符的醫師模式規則","補齊欄位並完成主管核定"))))))</x:f>
      </x:c>
    </x:row>
    <x:row r="293">
      <x:c r="A293" s="577"/>
      <x:c r="B293" s="577"/>
      <x:c r="C293" s="577"/>
      <x:c r="D293" s="577"/>
      <x:c r="E293" s="577"/>
      <x:c r="F293" s="577"/>
      <x:c r="G293" s="577"/>
      <x:c r="H293" s="577"/>
      <x:c r="I293" s="577"/>
      <x:c r="J293" s="577"/>
      <x:c r="K293" s="577"/>
      <x:c r="L293" s="578"/>
      <x:c r="M293" s="577"/>
      <x:c r="N293" s="577"/>
      <x:c r="O293" s="577"/>
      <x:c r="P293" s="577"/>
      <x:c r="Q293" s="577"/>
      <x:c r="R293" s="579" t="str">
        <x:f>IF($B293="","",IF($M293="停用","停用",IF($M293="退回補件","退回補件",IF(COUNTIFS($A$7:$A$306,$A293)&gt;1,"要求編號重複",IF(COUNTIFS('醫師模式規則輸入'!$D$7:$D$156,$B293,'醫師模式規則輸入'!$B$7:$B$156,$C293)&lt;&gt;1,"模式或醫師未建立",IF(COUNTIFS('技能主檔_V1'!$A$7:$A$200,$D293,'技能主檔_V1'!$J$7:$J$200,"啟用")&lt;&gt;1,"技能未在主檔啟用",IF(OR($A293="",$E293="",$F293="",$G293="",$H293="",$I293="",$J293="",$K293="",$L293="",$N293=""),IF($M293="已核定","已核定但資料未完整","待補欄位或核定"),IF(OR($O293="",$P293=""),IF($M293="已核定","已核定但缺來源依據","待補來源依據"),IF($M293="已核定","可發布","待主管核定")))))))))</x:f>
      </x:c>
      <x:c r="S293" s="579" t="str">
        <x:f>IF($B293="","",IF($R293="可發布","回到醫師模式規則輸入，將能力要求集標記為已完整",IF(OR($R293="停用",$R293="退回補件"),"依狀態處理",IF(ISNUMBER(SEARCH("來源",$R293)),"補齊來源文件與定位",IF(ISNUMBER(SEARCH("技能",$R293)),"先完成技能名稱對照並發布技能主檔",IF(ISNUMBER(SEARCH("模式",$R293)),"先建立相符的醫師模式規則","補齊欄位並完成主管核定"))))))</x:f>
      </x:c>
    </x:row>
    <x:row r="294">
      <x:c r="A294" s="577"/>
      <x:c r="B294" s="577"/>
      <x:c r="C294" s="577"/>
      <x:c r="D294" s="577"/>
      <x:c r="E294" s="577"/>
      <x:c r="F294" s="577"/>
      <x:c r="G294" s="577"/>
      <x:c r="H294" s="577"/>
      <x:c r="I294" s="577"/>
      <x:c r="J294" s="577"/>
      <x:c r="K294" s="577"/>
      <x:c r="L294" s="578"/>
      <x:c r="M294" s="577"/>
      <x:c r="N294" s="577"/>
      <x:c r="O294" s="577"/>
      <x:c r="P294" s="577"/>
      <x:c r="Q294" s="577"/>
      <x:c r="R294" s="579" t="str">
        <x:f>IF($B294="","",IF($M294="停用","停用",IF($M294="退回補件","退回補件",IF(COUNTIFS($A$7:$A$306,$A294)&gt;1,"要求編號重複",IF(COUNTIFS('醫師模式規則輸入'!$D$7:$D$156,$B294,'醫師模式規則輸入'!$B$7:$B$156,$C294)&lt;&gt;1,"模式或醫師未建立",IF(COUNTIFS('技能主檔_V1'!$A$7:$A$200,$D294,'技能主檔_V1'!$J$7:$J$200,"啟用")&lt;&gt;1,"技能未在主檔啟用",IF(OR($A294="",$E294="",$F294="",$G294="",$H294="",$I294="",$J294="",$K294="",$L294="",$N294=""),IF($M294="已核定","已核定但資料未完整","待補欄位或核定"),IF(OR($O294="",$P294=""),IF($M294="已核定","已核定但缺來源依據","待補來源依據"),IF($M294="已核定","可發布","待主管核定")))))))))</x:f>
      </x:c>
      <x:c r="S294" s="579" t="str">
        <x:f>IF($B294="","",IF($R294="可發布","回到醫師模式規則輸入，將能力要求集標記為已完整",IF(OR($R294="停用",$R294="退回補件"),"依狀態處理",IF(ISNUMBER(SEARCH("來源",$R294)),"補齊來源文件與定位",IF(ISNUMBER(SEARCH("技能",$R294)),"先完成技能名稱對照並發布技能主檔",IF(ISNUMBER(SEARCH("模式",$R294)),"先建立相符的醫師模式規則","補齊欄位並完成主管核定"))))))</x:f>
      </x:c>
    </x:row>
    <x:row r="295">
      <x:c r="A295" s="577"/>
      <x:c r="B295" s="577"/>
      <x:c r="C295" s="577"/>
      <x:c r="D295" s="577"/>
      <x:c r="E295" s="577"/>
      <x:c r="F295" s="577"/>
      <x:c r="G295" s="577"/>
      <x:c r="H295" s="577"/>
      <x:c r="I295" s="577"/>
      <x:c r="J295" s="577"/>
      <x:c r="K295" s="577"/>
      <x:c r="L295" s="578"/>
      <x:c r="M295" s="577"/>
      <x:c r="N295" s="577"/>
      <x:c r="O295" s="577"/>
      <x:c r="P295" s="577"/>
      <x:c r="Q295" s="577"/>
      <x:c r="R295" s="579" t="str">
        <x:f>IF($B295="","",IF($M295="停用","停用",IF($M295="退回補件","退回補件",IF(COUNTIFS($A$7:$A$306,$A295)&gt;1,"要求編號重複",IF(COUNTIFS('醫師模式規則輸入'!$D$7:$D$156,$B295,'醫師模式規則輸入'!$B$7:$B$156,$C295)&lt;&gt;1,"模式或醫師未建立",IF(COUNTIFS('技能主檔_V1'!$A$7:$A$200,$D295,'技能主檔_V1'!$J$7:$J$200,"啟用")&lt;&gt;1,"技能未在主檔啟用",IF(OR($A295="",$E295="",$F295="",$G295="",$H295="",$I295="",$J295="",$K295="",$L295="",$N295=""),IF($M295="已核定","已核定但資料未完整","待補欄位或核定"),IF(OR($O295="",$P295=""),IF($M295="已核定","已核定但缺來源依據","待補來源依據"),IF($M295="已核定","可發布","待主管核定")))))))))</x:f>
      </x:c>
      <x:c r="S295" s="579" t="str">
        <x:f>IF($B295="","",IF($R295="可發布","回到醫師模式規則輸入，將能力要求集標記為已完整",IF(OR($R295="停用",$R295="退回補件"),"依狀態處理",IF(ISNUMBER(SEARCH("來源",$R295)),"補齊來源文件與定位",IF(ISNUMBER(SEARCH("技能",$R295)),"先完成技能名稱對照並發布技能主檔",IF(ISNUMBER(SEARCH("模式",$R295)),"先建立相符的醫師模式規則","補齊欄位並完成主管核定"))))))</x:f>
      </x:c>
    </x:row>
    <x:row r="296">
      <x:c r="A296" s="577"/>
      <x:c r="B296" s="577"/>
      <x:c r="C296" s="577"/>
      <x:c r="D296" s="577"/>
      <x:c r="E296" s="577"/>
      <x:c r="F296" s="577"/>
      <x:c r="G296" s="577"/>
      <x:c r="H296" s="577"/>
      <x:c r="I296" s="577"/>
      <x:c r="J296" s="577"/>
      <x:c r="K296" s="577"/>
      <x:c r="L296" s="578"/>
      <x:c r="M296" s="577"/>
      <x:c r="N296" s="577"/>
      <x:c r="O296" s="577"/>
      <x:c r="P296" s="577"/>
      <x:c r="Q296" s="577"/>
      <x:c r="R296" s="579" t="str">
        <x:f>IF($B296="","",IF($M296="停用","停用",IF($M296="退回補件","退回補件",IF(COUNTIFS($A$7:$A$306,$A296)&gt;1,"要求編號重複",IF(COUNTIFS('醫師模式規則輸入'!$D$7:$D$156,$B296,'醫師模式規則輸入'!$B$7:$B$156,$C296)&lt;&gt;1,"模式或醫師未建立",IF(COUNTIFS('技能主檔_V1'!$A$7:$A$200,$D296,'技能主檔_V1'!$J$7:$J$200,"啟用")&lt;&gt;1,"技能未在主檔啟用",IF(OR($A296="",$E296="",$F296="",$G296="",$H296="",$I296="",$J296="",$K296="",$L296="",$N296=""),IF($M296="已核定","已核定但資料未完整","待補欄位或核定"),IF(OR($O296="",$P296=""),IF($M296="已核定","已核定但缺來源依據","待補來源依據"),IF($M296="已核定","可發布","待主管核定")))))))))</x:f>
      </x:c>
      <x:c r="S296" s="579" t="str">
        <x:f>IF($B296="","",IF($R296="可發布","回到醫師模式規則輸入，將能力要求集標記為已完整",IF(OR($R296="停用",$R296="退回補件"),"依狀態處理",IF(ISNUMBER(SEARCH("來源",$R296)),"補齊來源文件與定位",IF(ISNUMBER(SEARCH("技能",$R296)),"先完成技能名稱對照並發布技能主檔",IF(ISNUMBER(SEARCH("模式",$R296)),"先建立相符的醫師模式規則","補齊欄位並完成主管核定"))))))</x:f>
      </x:c>
    </x:row>
    <x:row r="297">
      <x:c r="A297" s="577"/>
      <x:c r="B297" s="577"/>
      <x:c r="C297" s="577"/>
      <x:c r="D297" s="577"/>
      <x:c r="E297" s="577"/>
      <x:c r="F297" s="577"/>
      <x:c r="G297" s="577"/>
      <x:c r="H297" s="577"/>
      <x:c r="I297" s="577"/>
      <x:c r="J297" s="577"/>
      <x:c r="K297" s="577"/>
      <x:c r="L297" s="578"/>
      <x:c r="M297" s="577"/>
      <x:c r="N297" s="577"/>
      <x:c r="O297" s="577"/>
      <x:c r="P297" s="577"/>
      <x:c r="Q297" s="577"/>
      <x:c r="R297" s="579" t="str">
        <x:f>IF($B297="","",IF($M297="停用","停用",IF($M297="退回補件","退回補件",IF(COUNTIFS($A$7:$A$306,$A297)&gt;1,"要求編號重複",IF(COUNTIFS('醫師模式規則輸入'!$D$7:$D$156,$B297,'醫師模式規則輸入'!$B$7:$B$156,$C297)&lt;&gt;1,"模式或醫師未建立",IF(COUNTIFS('技能主檔_V1'!$A$7:$A$200,$D297,'技能主檔_V1'!$J$7:$J$200,"啟用")&lt;&gt;1,"技能未在主檔啟用",IF(OR($A297="",$E297="",$F297="",$G297="",$H297="",$I297="",$J297="",$K297="",$L297="",$N297=""),IF($M297="已核定","已核定但資料未完整","待補欄位或核定"),IF(OR($O297="",$P297=""),IF($M297="已核定","已核定但缺來源依據","待補來源依據"),IF($M297="已核定","可發布","待主管核定")))))))))</x:f>
      </x:c>
      <x:c r="S297" s="579" t="str">
        <x:f>IF($B297="","",IF($R297="可發布","回到醫師模式規則輸入，將能力要求集標記為已完整",IF(OR($R297="停用",$R297="退回補件"),"依狀態處理",IF(ISNUMBER(SEARCH("來源",$R297)),"補齊來源文件與定位",IF(ISNUMBER(SEARCH("技能",$R297)),"先完成技能名稱對照並發布技能主檔",IF(ISNUMBER(SEARCH("模式",$R297)),"先建立相符的醫師模式規則","補齊欄位並完成主管核定"))))))</x:f>
      </x:c>
    </x:row>
    <x:row r="298">
      <x:c r="A298" s="577"/>
      <x:c r="B298" s="577"/>
      <x:c r="C298" s="577"/>
      <x:c r="D298" s="577"/>
      <x:c r="E298" s="577"/>
      <x:c r="F298" s="577"/>
      <x:c r="G298" s="577"/>
      <x:c r="H298" s="577"/>
      <x:c r="I298" s="577"/>
      <x:c r="J298" s="577"/>
      <x:c r="K298" s="577"/>
      <x:c r="L298" s="578"/>
      <x:c r="M298" s="577"/>
      <x:c r="N298" s="577"/>
      <x:c r="O298" s="577"/>
      <x:c r="P298" s="577"/>
      <x:c r="Q298" s="577"/>
      <x:c r="R298" s="579" t="str">
        <x:f>IF($B298="","",IF($M298="停用","停用",IF($M298="退回補件","退回補件",IF(COUNTIFS($A$7:$A$306,$A298)&gt;1,"要求編號重複",IF(COUNTIFS('醫師模式規則輸入'!$D$7:$D$156,$B298,'醫師模式規則輸入'!$B$7:$B$156,$C298)&lt;&gt;1,"模式或醫師未建立",IF(COUNTIFS('技能主檔_V1'!$A$7:$A$200,$D298,'技能主檔_V1'!$J$7:$J$200,"啟用")&lt;&gt;1,"技能未在主檔啟用",IF(OR($A298="",$E298="",$F298="",$G298="",$H298="",$I298="",$J298="",$K298="",$L298="",$N298=""),IF($M298="已核定","已核定但資料未完整","待補欄位或核定"),IF(OR($O298="",$P298=""),IF($M298="已核定","已核定但缺來源依據","待補來源依據"),IF($M298="已核定","可發布","待主管核定")))))))))</x:f>
      </x:c>
      <x:c r="S298" s="579" t="str">
        <x:f>IF($B298="","",IF($R298="可發布","回到醫師模式規則輸入，將能力要求集標記為已完整",IF(OR($R298="停用",$R298="退回補件"),"依狀態處理",IF(ISNUMBER(SEARCH("來源",$R298)),"補齊來源文件與定位",IF(ISNUMBER(SEARCH("技能",$R298)),"先完成技能名稱對照並發布技能主檔",IF(ISNUMBER(SEARCH("模式",$R298)),"先建立相符的醫師模式規則","補齊欄位並完成主管核定"))))))</x:f>
      </x:c>
    </x:row>
    <x:row r="299">
      <x:c r="A299" s="577"/>
      <x:c r="B299" s="577"/>
      <x:c r="C299" s="577"/>
      <x:c r="D299" s="577"/>
      <x:c r="E299" s="577"/>
      <x:c r="F299" s="577"/>
      <x:c r="G299" s="577"/>
      <x:c r="H299" s="577"/>
      <x:c r="I299" s="577"/>
      <x:c r="J299" s="577"/>
      <x:c r="K299" s="577"/>
      <x:c r="L299" s="578"/>
      <x:c r="M299" s="577"/>
      <x:c r="N299" s="577"/>
      <x:c r="O299" s="577"/>
      <x:c r="P299" s="577"/>
      <x:c r="Q299" s="577"/>
      <x:c r="R299" s="579" t="str">
        <x:f>IF($B299="","",IF($M299="停用","停用",IF($M299="退回補件","退回補件",IF(COUNTIFS($A$7:$A$306,$A299)&gt;1,"要求編號重複",IF(COUNTIFS('醫師模式規則輸入'!$D$7:$D$156,$B299,'醫師模式規則輸入'!$B$7:$B$156,$C299)&lt;&gt;1,"模式或醫師未建立",IF(COUNTIFS('技能主檔_V1'!$A$7:$A$200,$D299,'技能主檔_V1'!$J$7:$J$200,"啟用")&lt;&gt;1,"技能未在主檔啟用",IF(OR($A299="",$E299="",$F299="",$G299="",$H299="",$I299="",$J299="",$K299="",$L299="",$N299=""),IF($M299="已核定","已核定但資料未完整","待補欄位或核定"),IF(OR($O299="",$P299=""),IF($M299="已核定","已核定但缺來源依據","待補來源依據"),IF($M299="已核定","可發布","待主管核定")))))))))</x:f>
      </x:c>
      <x:c r="S299" s="579" t="str">
        <x:f>IF($B299="","",IF($R299="可發布","回到醫師模式規則輸入，將能力要求集標記為已完整",IF(OR($R299="停用",$R299="退回補件"),"依狀態處理",IF(ISNUMBER(SEARCH("來源",$R299)),"補齊來源文件與定位",IF(ISNUMBER(SEARCH("技能",$R299)),"先完成技能名稱對照並發布技能主檔",IF(ISNUMBER(SEARCH("模式",$R299)),"先建立相符的醫師模式規則","補齊欄位並完成主管核定"))))))</x:f>
      </x:c>
    </x:row>
    <x:row r="300">
      <x:c r="A300" s="577"/>
      <x:c r="B300" s="577"/>
      <x:c r="C300" s="577"/>
      <x:c r="D300" s="577"/>
      <x:c r="E300" s="577"/>
      <x:c r="F300" s="577"/>
      <x:c r="G300" s="577"/>
      <x:c r="H300" s="577"/>
      <x:c r="I300" s="577"/>
      <x:c r="J300" s="577"/>
      <x:c r="K300" s="577"/>
      <x:c r="L300" s="578"/>
      <x:c r="M300" s="577"/>
      <x:c r="N300" s="577"/>
      <x:c r="O300" s="577"/>
      <x:c r="P300" s="577"/>
      <x:c r="Q300" s="577"/>
      <x:c r="R300" s="579" t="str">
        <x:f>IF($B300="","",IF($M300="停用","停用",IF($M300="退回補件","退回補件",IF(COUNTIFS($A$7:$A$306,$A300)&gt;1,"要求編號重複",IF(COUNTIFS('醫師模式規則輸入'!$D$7:$D$156,$B300,'醫師模式規則輸入'!$B$7:$B$156,$C300)&lt;&gt;1,"模式或醫師未建立",IF(COUNTIFS('技能主檔_V1'!$A$7:$A$200,$D300,'技能主檔_V1'!$J$7:$J$200,"啟用")&lt;&gt;1,"技能未在主檔啟用",IF(OR($A300="",$E300="",$F300="",$G300="",$H300="",$I300="",$J300="",$K300="",$L300="",$N300=""),IF($M300="已核定","已核定但資料未完整","待補欄位或核定"),IF(OR($O300="",$P300=""),IF($M300="已核定","已核定但缺來源依據","待補來源依據"),IF($M300="已核定","可發布","待主管核定")))))))))</x:f>
      </x:c>
      <x:c r="S300" s="579" t="str">
        <x:f>IF($B300="","",IF($R300="可發布","回到醫師模式規則輸入，將能力要求集標記為已完整",IF(OR($R300="停用",$R300="退回補件"),"依狀態處理",IF(ISNUMBER(SEARCH("來源",$R300)),"補齊來源文件與定位",IF(ISNUMBER(SEARCH("技能",$R300)),"先完成技能名稱對照並發布技能主檔",IF(ISNUMBER(SEARCH("模式",$R300)),"先建立相符的醫師模式規則","補齊欄位並完成主管核定"))))))</x:f>
      </x:c>
    </x:row>
    <x:row r="301">
      <x:c r="A301" s="577"/>
      <x:c r="B301" s="577"/>
      <x:c r="C301" s="577"/>
      <x:c r="D301" s="577"/>
      <x:c r="E301" s="577"/>
      <x:c r="F301" s="577"/>
      <x:c r="G301" s="577"/>
      <x:c r="H301" s="577"/>
      <x:c r="I301" s="577"/>
      <x:c r="J301" s="577"/>
      <x:c r="K301" s="577"/>
      <x:c r="L301" s="578"/>
      <x:c r="M301" s="577"/>
      <x:c r="N301" s="577"/>
      <x:c r="O301" s="577"/>
      <x:c r="P301" s="577"/>
      <x:c r="Q301" s="577"/>
      <x:c r="R301" s="579" t="str">
        <x:f>IF($B301="","",IF($M301="停用","停用",IF($M301="退回補件","退回補件",IF(COUNTIFS($A$7:$A$306,$A301)&gt;1,"要求編號重複",IF(COUNTIFS('醫師模式規則輸入'!$D$7:$D$156,$B301,'醫師模式規則輸入'!$B$7:$B$156,$C301)&lt;&gt;1,"模式或醫師未建立",IF(COUNTIFS('技能主檔_V1'!$A$7:$A$200,$D301,'技能主檔_V1'!$J$7:$J$200,"啟用")&lt;&gt;1,"技能未在主檔啟用",IF(OR($A301="",$E301="",$F301="",$G301="",$H301="",$I301="",$J301="",$K301="",$L301="",$N301=""),IF($M301="已核定","已核定但資料未完整","待補欄位或核定"),IF(OR($O301="",$P301=""),IF($M301="已核定","已核定但缺來源依據","待補來源依據"),IF($M301="已核定","可發布","待主管核定")))))))))</x:f>
      </x:c>
      <x:c r="S301" s="579" t="str">
        <x:f>IF($B301="","",IF($R301="可發布","回到醫師模式規則輸入，將能力要求集標記為已完整",IF(OR($R301="停用",$R301="退回補件"),"依狀態處理",IF(ISNUMBER(SEARCH("來源",$R301)),"補齊來源文件與定位",IF(ISNUMBER(SEARCH("技能",$R301)),"先完成技能名稱對照並發布技能主檔",IF(ISNUMBER(SEARCH("模式",$R301)),"先建立相符的醫師模式規則","補齊欄位並完成主管核定"))))))</x:f>
      </x:c>
    </x:row>
    <x:row r="302">
      <x:c r="A302" s="577"/>
      <x:c r="B302" s="577"/>
      <x:c r="C302" s="577"/>
      <x:c r="D302" s="577"/>
      <x:c r="E302" s="577"/>
      <x:c r="F302" s="577"/>
      <x:c r="G302" s="577"/>
      <x:c r="H302" s="577"/>
      <x:c r="I302" s="577"/>
      <x:c r="J302" s="577"/>
      <x:c r="K302" s="577"/>
      <x:c r="L302" s="578"/>
      <x:c r="M302" s="577"/>
      <x:c r="N302" s="577"/>
      <x:c r="O302" s="577"/>
      <x:c r="P302" s="577"/>
      <x:c r="Q302" s="577"/>
      <x:c r="R302" s="579" t="str">
        <x:f>IF($B302="","",IF($M302="停用","停用",IF($M302="退回補件","退回補件",IF(COUNTIFS($A$7:$A$306,$A302)&gt;1,"要求編號重複",IF(COUNTIFS('醫師模式規則輸入'!$D$7:$D$156,$B302,'醫師模式規則輸入'!$B$7:$B$156,$C302)&lt;&gt;1,"模式或醫師未建立",IF(COUNTIFS('技能主檔_V1'!$A$7:$A$200,$D302,'技能主檔_V1'!$J$7:$J$200,"啟用")&lt;&gt;1,"技能未在主檔啟用",IF(OR($A302="",$E302="",$F302="",$G302="",$H302="",$I302="",$J302="",$K302="",$L302="",$N302=""),IF($M302="已核定","已核定但資料未完整","待補欄位或核定"),IF(OR($O302="",$P302=""),IF($M302="已核定","已核定但缺來源依據","待補來源依據"),IF($M302="已核定","可發布","待主管核定")))))))))</x:f>
      </x:c>
      <x:c r="S302" s="579" t="str">
        <x:f>IF($B302="","",IF($R302="可發布","回到醫師模式規則輸入，將能力要求集標記為已完整",IF(OR($R302="停用",$R302="退回補件"),"依狀態處理",IF(ISNUMBER(SEARCH("來源",$R302)),"補齊來源文件與定位",IF(ISNUMBER(SEARCH("技能",$R302)),"先完成技能名稱對照並發布技能主檔",IF(ISNUMBER(SEARCH("模式",$R302)),"先建立相符的醫師模式規則","補齊欄位並完成主管核定"))))))</x:f>
      </x:c>
    </x:row>
    <x:row r="303">
      <x:c r="A303" s="577"/>
      <x:c r="B303" s="577"/>
      <x:c r="C303" s="577"/>
      <x:c r="D303" s="577"/>
      <x:c r="E303" s="577"/>
      <x:c r="F303" s="577"/>
      <x:c r="G303" s="577"/>
      <x:c r="H303" s="577"/>
      <x:c r="I303" s="577"/>
      <x:c r="J303" s="577"/>
      <x:c r="K303" s="577"/>
      <x:c r="L303" s="578"/>
      <x:c r="M303" s="577"/>
      <x:c r="N303" s="577"/>
      <x:c r="O303" s="577"/>
      <x:c r="P303" s="577"/>
      <x:c r="Q303" s="577"/>
      <x:c r="R303" s="579" t="str">
        <x:f>IF($B303="","",IF($M303="停用","停用",IF($M303="退回補件","退回補件",IF(COUNTIFS($A$7:$A$306,$A303)&gt;1,"要求編號重複",IF(COUNTIFS('醫師模式規則輸入'!$D$7:$D$156,$B303,'醫師模式規則輸入'!$B$7:$B$156,$C303)&lt;&gt;1,"模式或醫師未建立",IF(COUNTIFS('技能主檔_V1'!$A$7:$A$200,$D303,'技能主檔_V1'!$J$7:$J$200,"啟用")&lt;&gt;1,"技能未在主檔啟用",IF(OR($A303="",$E303="",$F303="",$G303="",$H303="",$I303="",$J303="",$K303="",$L303="",$N303=""),IF($M303="已核定","已核定但資料未完整","待補欄位或核定"),IF(OR($O303="",$P303=""),IF($M303="已核定","已核定但缺來源依據","待補來源依據"),IF($M303="已核定","可發布","待主管核定")))))))))</x:f>
      </x:c>
      <x:c r="S303" s="579" t="str">
        <x:f>IF($B303="","",IF($R303="可發布","回到醫師模式規則輸入，將能力要求集標記為已完整",IF(OR($R303="停用",$R303="退回補件"),"依狀態處理",IF(ISNUMBER(SEARCH("來源",$R303)),"補齊來源文件與定位",IF(ISNUMBER(SEARCH("技能",$R303)),"先完成技能名稱對照並發布技能主檔",IF(ISNUMBER(SEARCH("模式",$R303)),"先建立相符的醫師模式規則","補齊欄位並完成主管核定"))))))</x:f>
      </x:c>
    </x:row>
    <x:row r="304">
      <x:c r="A304" s="577"/>
      <x:c r="B304" s="577"/>
      <x:c r="C304" s="577"/>
      <x:c r="D304" s="577"/>
      <x:c r="E304" s="577"/>
      <x:c r="F304" s="577"/>
      <x:c r="G304" s="577"/>
      <x:c r="H304" s="577"/>
      <x:c r="I304" s="577"/>
      <x:c r="J304" s="577"/>
      <x:c r="K304" s="577"/>
      <x:c r="L304" s="578"/>
      <x:c r="M304" s="577"/>
      <x:c r="N304" s="577"/>
      <x:c r="O304" s="577"/>
      <x:c r="P304" s="577"/>
      <x:c r="Q304" s="577"/>
      <x:c r="R304" s="579" t="str">
        <x:f>IF($B304="","",IF($M304="停用","停用",IF($M304="退回補件","退回補件",IF(COUNTIFS($A$7:$A$306,$A304)&gt;1,"要求編號重複",IF(COUNTIFS('醫師模式規則輸入'!$D$7:$D$156,$B304,'醫師模式規則輸入'!$B$7:$B$156,$C304)&lt;&gt;1,"模式或醫師未建立",IF(COUNTIFS('技能主檔_V1'!$A$7:$A$200,$D304,'技能主檔_V1'!$J$7:$J$200,"啟用")&lt;&gt;1,"技能未在主檔啟用",IF(OR($A304="",$E304="",$F304="",$G304="",$H304="",$I304="",$J304="",$K304="",$L304="",$N304=""),IF($M304="已核定","已核定但資料未完整","待補欄位或核定"),IF(OR($O304="",$P304=""),IF($M304="已核定","已核定但缺來源依據","待補來源依據"),IF($M304="已核定","可發布","待主管核定")))))))))</x:f>
      </x:c>
      <x:c r="S304" s="579" t="str">
        <x:f>IF($B304="","",IF($R304="可發布","回到醫師模式規則輸入，將能力要求集標記為已完整",IF(OR($R304="停用",$R304="退回補件"),"依狀態處理",IF(ISNUMBER(SEARCH("來源",$R304)),"補齊來源文件與定位",IF(ISNUMBER(SEARCH("技能",$R304)),"先完成技能名稱對照並發布技能主檔",IF(ISNUMBER(SEARCH("模式",$R304)),"先建立相符的醫師模式規則","補齊欄位並完成主管核定"))))))</x:f>
      </x:c>
    </x:row>
    <x:row r="305">
      <x:c r="A305" s="577"/>
      <x:c r="B305" s="577"/>
      <x:c r="C305" s="577"/>
      <x:c r="D305" s="577"/>
      <x:c r="E305" s="577"/>
      <x:c r="F305" s="577"/>
      <x:c r="G305" s="577"/>
      <x:c r="H305" s="577"/>
      <x:c r="I305" s="577"/>
      <x:c r="J305" s="577"/>
      <x:c r="K305" s="577"/>
      <x:c r="L305" s="578"/>
      <x:c r="M305" s="577"/>
      <x:c r="N305" s="577"/>
      <x:c r="O305" s="577"/>
      <x:c r="P305" s="577"/>
      <x:c r="Q305" s="577"/>
      <x:c r="R305" s="579" t="str">
        <x:f>IF($B305="","",IF($M305="停用","停用",IF($M305="退回補件","退回補件",IF(COUNTIFS($A$7:$A$306,$A305)&gt;1,"要求編號重複",IF(COUNTIFS('醫師模式規則輸入'!$D$7:$D$156,$B305,'醫師模式規則輸入'!$B$7:$B$156,$C305)&lt;&gt;1,"模式或醫師未建立",IF(COUNTIFS('技能主檔_V1'!$A$7:$A$200,$D305,'技能主檔_V1'!$J$7:$J$200,"啟用")&lt;&gt;1,"技能未在主檔啟用",IF(OR($A305="",$E305="",$F305="",$G305="",$H305="",$I305="",$J305="",$K305="",$L305="",$N305=""),IF($M305="已核定","已核定但資料未完整","待補欄位或核定"),IF(OR($O305="",$P305=""),IF($M305="已核定","已核定但缺來源依據","待補來源依據"),IF($M305="已核定","可發布","待主管核定")))))))))</x:f>
      </x:c>
      <x:c r="S305" s="579" t="str">
        <x:f>IF($B305="","",IF($R305="可發布","回到醫師模式規則輸入，將能力要求集標記為已完整",IF(OR($R305="停用",$R305="退回補件"),"依狀態處理",IF(ISNUMBER(SEARCH("來源",$R305)),"補齊來源文件與定位",IF(ISNUMBER(SEARCH("技能",$R305)),"先完成技能名稱對照並發布技能主檔",IF(ISNUMBER(SEARCH("模式",$R305)),"先建立相符的醫師模式規則","補齊欄位並完成主管核定"))))))</x:f>
      </x:c>
    </x:row>
    <x:row r="306">
      <x:c r="A306" s="577"/>
      <x:c r="B306" s="577"/>
      <x:c r="C306" s="577"/>
      <x:c r="D306" s="577"/>
      <x:c r="E306" s="577"/>
      <x:c r="F306" s="577"/>
      <x:c r="G306" s="577"/>
      <x:c r="H306" s="577"/>
      <x:c r="I306" s="577"/>
      <x:c r="J306" s="577"/>
      <x:c r="K306" s="577"/>
      <x:c r="L306" s="578"/>
      <x:c r="M306" s="577"/>
      <x:c r="N306" s="577"/>
      <x:c r="O306" s="577"/>
      <x:c r="P306" s="577"/>
      <x:c r="Q306" s="577"/>
      <x:c r="R306" s="579" t="str">
        <x:f>IF($B306="","",IF($M306="停用","停用",IF($M306="退回補件","退回補件",IF(COUNTIFS($A$7:$A$306,$A306)&gt;1,"要求編號重複",IF(COUNTIFS('醫師模式規則輸入'!$D$7:$D$156,$B306,'醫師模式規則輸入'!$B$7:$B$156,$C306)&lt;&gt;1,"模式或醫師未建立",IF(COUNTIFS('技能主檔_V1'!$A$7:$A$200,$D306,'技能主檔_V1'!$J$7:$J$200,"啟用")&lt;&gt;1,"技能未在主檔啟用",IF(OR($A306="",$E306="",$F306="",$G306="",$H306="",$I306="",$J306="",$K306="",$L306="",$N306=""),IF($M306="已核定","已核定但資料未完整","待補欄位或核定"),IF(OR($O306="",$P306=""),IF($M306="已核定","已核定但缺來源依據","待補來源依據"),IF($M306="已核定","可發布","待主管核定")))))))))</x:f>
      </x:c>
      <x:c r="S306" s="579" t="str">
        <x:f>IF($B306="","",IF($R306="可發布","回到醫師模式規則輸入，將能力要求集標記為已完整",IF(OR($R306="停用",$R306="退回補件"),"依狀態處理",IF(ISNUMBER(SEARCH("來源",$R306)),"補齊來源文件與定位",IF(ISNUMBER(SEARCH("技能",$R306)),"先完成技能名稱對照並發布技能主檔",IF(ISNUMBER(SEARCH("模式",$R306)),"先建立相符的醫師模式規則","補齊欄位並完成主管核定"))))))</x:f>
      </x:c>
    </x:row>
  </x:sheetData>
  <x:mergeCells>
    <x:mergeCell ref="A2:S2"/>
    <x:mergeCell ref="A4:S4"/>
  </x:mergeCells>
  <x:conditionalFormatting sqref="R7:R306">
    <x:cfRule type="containsText" dxfId="176" priority="1" operator="containsText" text="可發布"/>
    <x:cfRule type="containsText" dxfId="177" priority="2" operator="containsText" text="未"/>
    <x:cfRule type="containsText" dxfId="178" priority="3" operator="containsText" text="待"/>
  </x:conditionalFormatting>
  <x:dataValidations count="5">
    <x:dataValidation type="list" sqref="E7:E306">
      <x:formula1>"主跟診,完整支援,短時支援者"</x:formula1>
    </x:dataValidation>
    <x:dataValidation type="list" sqref="F7:F306">
      <x:formula1>"必備,參考"</x:formula1>
    </x:dataValidation>
    <x:dataValidation type="list" sqref="G7:H306">
      <x:formula1>"※,△,Ø,◎"</x:formula1>
    </x:dataValidation>
    <x:dataValidation type="list" sqref="I7:I306">
      <x:formula1>"不需複評,需有效資格,短時支援資格"</x:formula1>
    </x:dataValidation>
    <x:dataValidation type="list" sqref="M7:M306">
      <x:formula1>"待確認,已核定,退回補件,停用"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e9d151d94a4736"/>
  </x:tableParts>
</x:worksheet>
</file>

<file path=xl/worksheets/sheet4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0" hidden="0" customWidth="1"/>
    <x:col min="11" max="11" width="24" hidden="0" customWidth="1"/>
    <x:col min="12" max="12" width="14" hidden="0" customWidth="1"/>
    <x:col min="13" max="13" width="16" hidden="0" customWidth="1"/>
    <x:col min="14" max="14" width="20" hidden="0" customWidth="1"/>
    <x:col min="15" max="15" width="18" hidden="0" customWidth="1"/>
    <x:col min="16" max="16" width="26" hidden="0" customWidth="1"/>
    <x:col min="17" max="17" width="24" hidden="0" customWidth="1"/>
  </x:cols>
  <x:sheetData>
    <x:row r="2">
      <x:c r="A2" s="74" t="str">
        <x:v>統一排班模式清單與安全匯入閘門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</x:row>
    <x:row r="4">
      <x:c r="A4" s="454" t="str">
        <x:v>李侑津醫師 13 個試行模式維持既有流程。其他醫師模式只有在規則、來源、能力要求與主管完整性確認都通過後，才會出現在 Q 欄的排班下拉清單；人員適配未建立時仍會在配置階段被擋下。</x:v>
      </x:c>
      <x:c r="B4" s="454"/>
      <x:c r="C4" s="454"/>
      <x:c r="D4" s="454"/>
      <x:c r="E4" s="454"/>
      <x:c r="F4" s="454"/>
      <x:c r="G4" s="454"/>
      <x:c r="H4" s="454"/>
      <x:c r="I4" s="454"/>
      <x:c r="J4" s="454"/>
      <x:c r="K4" s="454"/>
      <x:c r="L4" s="454"/>
      <x:c r="M4" s="454"/>
      <x:c r="N4" s="454"/>
      <x:c r="O4" s="454"/>
      <x:c r="P4" s="454"/>
      <x:c r="Q4" s="454"/>
    </x:row>
    <x:row r="6">
      <x:c r="A6" s="573" t="str">
        <x:v>模式代碼</x:v>
      </x:c>
      <x:c r="B6" s="573" t="str">
        <x:v>醫師</x:v>
      </x:c>
      <x:c r="C6" s="573" t="str">
        <x:v>治療項目</x:v>
      </x:c>
      <x:c r="D6" s="573" t="str">
        <x:v>療程階段</x:v>
      </x:c>
      <x:c r="E6" s="573" t="str">
        <x:v>複雜度</x:v>
      </x:c>
      <x:c r="F6" s="573" t="str">
        <x:v>主跟診需求</x:v>
      </x:c>
      <x:c r="G6" s="573" t="str">
        <x:v>支援需求</x:v>
      </x:c>
      <x:c r="H6" s="573" t="str">
        <x:v>支援分鐘</x:v>
      </x:c>
      <x:c r="I6" s="573" t="str">
        <x:v>提前確認天數</x:v>
      </x:c>
      <x:c r="J6" s="573" t="str">
        <x:v>來源規則</x:v>
      </x:c>
      <x:c r="K6" s="573" t="str">
        <x:v>模式規則狀態</x:v>
      </x:c>
      <x:c r="L6" s="573" t="str">
        <x:v>要求總數</x:v>
      </x:c>
      <x:c r="M6" s="573" t="str">
        <x:v>已發布要求</x:v>
      </x:c>
      <x:c r="N6" s="573" t="str">
        <x:v>主跟診必備要求</x:v>
      </x:c>
      <x:c r="O6" s="573" t="str">
        <x:v>要求集狀態</x:v>
      </x:c>
      <x:c r="P6" s="573" t="str">
        <x:v>排班建檔狀態</x:v>
      </x:c>
      <x:c r="Q6" s="573" t="str">
        <x:v>排班下拉代碼</x:v>
      </x:c>
    </x:row>
    <x:row r="7">
      <x:c r="A7" s="579" t="str">
        <x:f>'李醫師治療模式'!A7</x:f>
        <x:v>LJT-SCALING</x:v>
      </x:c>
      <x:c r="B7" s="579" t="str">
        <x:f>'李醫師治療模式'!B7</x:f>
        <x:v>李侑津醫師</x:v>
      </x:c>
      <x:c r="C7" s="579" t="str">
        <x:f>'李醫師治療模式'!D7</x:f>
        <x:v>洗牙</x:v>
      </x:c>
      <x:c r="D7" s="579" t="str">
        <x:f>'李醫師治療模式'!E7</x:f>
        <x:v>一般</x:v>
      </x:c>
      <x:c r="E7" s="579" t="str">
        <x:f>'李醫師治療模式'!F7</x:f>
        <x:v>一般</x:v>
      </x:c>
      <x:c r="F7" s="583" t="n">
        <x:f>'李醫師治療模式'!G7</x:f>
        <x:v>1</x:v>
      </x:c>
      <x:c r="G7" s="583" t="n">
        <x:f>'李醫師治療模式'!I7</x:f>
        <x:v>0</x:v>
      </x:c>
      <x:c r="H7" s="583" t="n">
        <x:f>'李醫師治療模式'!J7</x:f>
        <x:v>0</x:v>
      </x:c>
      <x:c r="I7" s="583" t="n">
        <x:f>IF('李醫師治療模式'!A7="","",21)</x:f>
        <x:v>21</x:v>
      </x:c>
      <x:c r="J7" s="579" t="str">
        <x:f>"李醫師試行V1"</x:f>
        <x:v>李醫師試行V1</x:v>
      </x:c>
      <x:c r="K7" s="579" t="str">
        <x:f>"可發布"</x:f>
        <x:v>可發布</x:v>
      </x:c>
      <x:c r="L7" s="579" t="n">
        <x:f>COUNTIFS('李醫師能力要求'!$B$7:$B$59,$A7)</x:f>
        <x:v>4</x:v>
      </x:c>
      <x:c r="M7" s="579" t="n">
        <x:f>COUNTIFS('李醫師能力要求'!$B$7:$B$59,$A7,'李醫師能力要求'!$K$7:$K$59,"已確認")</x:f>
        <x:v>1</x:v>
      </x:c>
      <x:c r="N7" s="579" t="n">
        <x:f>COUNTIFS('李醫師能力要求'!$B$7:$B$59,$A7,'李醫師能力要求'!$F$7:$F$59,"主跟診",'李醫師能力要求'!$G$7:$G$59,"必備",'李醫師能力要求'!$K$7:$K$59,"已確認")</x:f>
        <x:v>1</x:v>
      </x:c>
      <x:c r="O7" s="579" t="str">
        <x:f>"既有試行"</x:f>
        <x:v>既有試行</x:v>
      </x:c>
      <x:c r="P7" s="579" t="str">
        <x:f>"可供試行排班"</x:f>
        <x:v>可供試行排班</x:v>
      </x:c>
      <x:c r="Q7" s="579" t="str">
        <x:f>$A7</x:f>
        <x:v>LJT-SCALING</x:v>
      </x:c>
    </x:row>
    <x:row r="8">
      <x:c r="A8" s="579" t="str">
        <x:f>'李醫師治療模式'!A8</x:f>
        <x:v>LJT-FILLING</x:v>
      </x:c>
      <x:c r="B8" s="579" t="str">
        <x:f>'李醫師治療模式'!B8</x:f>
        <x:v>李侑津醫師</x:v>
      </x:c>
      <x:c r="C8" s="579" t="str">
        <x:f>'李醫師治療模式'!D8</x:f>
        <x:v>補牙</x:v>
      </x:c>
      <x:c r="D8" s="579" t="str">
        <x:f>'李醫師治療模式'!E8</x:f>
        <x:v>一般</x:v>
      </x:c>
      <x:c r="E8" s="579" t="str">
        <x:f>'李醫師治療模式'!F8</x:f>
        <x:v>一般</x:v>
      </x:c>
      <x:c r="F8" s="583" t="n">
        <x:f>'李醫師治療模式'!G8</x:f>
        <x:v>1</x:v>
      </x:c>
      <x:c r="G8" s="583" t="n">
        <x:f>'李醫師治療模式'!I8</x:f>
        <x:v>0</x:v>
      </x:c>
      <x:c r="H8" s="583" t="n">
        <x:f>'李醫師治療模式'!J8</x:f>
        <x:v>0</x:v>
      </x:c>
      <x:c r="I8" s="583" t="n">
        <x:f>IF('李醫師治療模式'!A8="","",21)</x:f>
        <x:v>21</x:v>
      </x:c>
      <x:c r="J8" s="579" t="str">
        <x:f>"李醫師試行V1"</x:f>
        <x:v>李醫師試行V1</x:v>
      </x:c>
      <x:c r="K8" s="579" t="str">
        <x:f>"可發布"</x:f>
        <x:v>可發布</x:v>
      </x:c>
      <x:c r="L8" s="579" t="n">
        <x:f>COUNTIFS('李醫師能力要求'!$B$7:$B$59,$A8)</x:f>
        <x:v>4</x:v>
      </x:c>
      <x:c r="M8" s="579" t="n">
        <x:f>COUNTIFS('李醫師能力要求'!$B$7:$B$59,$A8,'李醫師能力要求'!$K$7:$K$59,"已確認")</x:f>
        <x:v>1</x:v>
      </x:c>
      <x:c r="N8" s="579" t="n">
        <x:f>COUNTIFS('李醫師能力要求'!$B$7:$B$59,$A8,'李醫師能力要求'!$F$7:$F$59,"主跟診",'李醫師能力要求'!$G$7:$G$59,"必備",'李醫師能力要求'!$K$7:$K$59,"已確認")</x:f>
        <x:v>1</x:v>
      </x:c>
      <x:c r="O8" s="579" t="str">
        <x:f>"既有試行"</x:f>
        <x:v>既有試行</x:v>
      </x:c>
      <x:c r="P8" s="579" t="str">
        <x:f>"可供試行排班"</x:f>
        <x:v>可供試行排班</x:v>
      </x:c>
      <x:c r="Q8" s="579" t="str">
        <x:f>$A8</x:f>
        <x:v>LJT-FILLING</x:v>
      </x:c>
    </x:row>
    <x:row r="9">
      <x:c r="A9" s="579" t="str">
        <x:f>'李醫師治療模式'!A9</x:f>
        <x:v>LJT-PERIO</x:v>
      </x:c>
      <x:c r="B9" s="579" t="str">
        <x:f>'李醫師治療模式'!B9</x:f>
        <x:v>李侑津醫師</x:v>
      </x:c>
      <x:c r="C9" s="579" t="str">
        <x:f>'李醫師治療模式'!D9</x:f>
        <x:v>牙周統合</x:v>
      </x:c>
      <x:c r="D9" s="579" t="str">
        <x:f>'李醫師治療模式'!E9</x:f>
        <x:v>一般</x:v>
      </x:c>
      <x:c r="E9" s="579" t="str">
        <x:f>'李醫師治療模式'!F9</x:f>
        <x:v>一般</x:v>
      </x:c>
      <x:c r="F9" s="583" t="n">
        <x:f>'李醫師治療模式'!G9</x:f>
        <x:v>1</x:v>
      </x:c>
      <x:c r="G9" s="583" t="n">
        <x:f>'李醫師治療模式'!I9</x:f>
        <x:v>0</x:v>
      </x:c>
      <x:c r="H9" s="583" t="n">
        <x:f>'李醫師治療模式'!J9</x:f>
        <x:v>0</x:v>
      </x:c>
      <x:c r="I9" s="583" t="n">
        <x:f>IF('李醫師治療模式'!A9="","",21)</x:f>
        <x:v>21</x:v>
      </x:c>
      <x:c r="J9" s="579" t="str">
        <x:f>"李醫師試行V1"</x:f>
        <x:v>李醫師試行V1</x:v>
      </x:c>
      <x:c r="K9" s="579" t="str">
        <x:f>"可發布"</x:f>
        <x:v>可發布</x:v>
      </x:c>
      <x:c r="L9" s="579" t="n">
        <x:f>COUNTIFS('李醫師能力要求'!$B$7:$B$59,$A9)</x:f>
        <x:v>4</x:v>
      </x:c>
      <x:c r="M9" s="579" t="n">
        <x:f>COUNTIFS('李醫師能力要求'!$B$7:$B$59,$A9,'李醫師能力要求'!$K$7:$K$59,"已確認")</x:f>
        <x:v>1</x:v>
      </x:c>
      <x:c r="N9" s="579" t="n">
        <x:f>COUNTIFS('李醫師能力要求'!$B$7:$B$59,$A9,'李醫師能力要求'!$F$7:$F$59,"主跟診",'李醫師能力要求'!$G$7:$G$59,"必備",'李醫師能力要求'!$K$7:$K$59,"已確認")</x:f>
        <x:v>1</x:v>
      </x:c>
      <x:c r="O9" s="579" t="str">
        <x:f>"既有試行"</x:f>
        <x:v>既有試行</x:v>
      </x:c>
      <x:c r="P9" s="579" t="str">
        <x:f>"可供試行排班"</x:f>
        <x:v>可供試行排班</x:v>
      </x:c>
      <x:c r="Q9" s="579" t="str">
        <x:f>$A9</x:f>
        <x:v>LJT-PERIO</x:v>
      </x:c>
    </x:row>
    <x:row r="10">
      <x:c r="A10" s="579" t="str">
        <x:f>'李醫師治療模式'!A10</x:f>
        <x:v>LJT-RCT</x:v>
      </x:c>
      <x:c r="B10" s="579" t="str">
        <x:f>'李醫師治療模式'!B10</x:f>
        <x:v>李侑津醫師</x:v>
      </x:c>
      <x:c r="C10" s="579" t="str">
        <x:f>'李醫師治療模式'!D10</x:f>
        <x:v>一般根管治療</x:v>
      </x:c>
      <x:c r="D10" s="579" t="str">
        <x:f>'李醫師治療模式'!E10</x:f>
        <x:v>一般</x:v>
      </x:c>
      <x:c r="E10" s="579" t="str">
        <x:f>'李醫師治療模式'!F10</x:f>
        <x:v>一般</x:v>
      </x:c>
      <x:c r="F10" s="583" t="n">
        <x:f>'李醫師治療模式'!G10</x:f>
        <x:v>1</x:v>
      </x:c>
      <x:c r="G10" s="583" t="n">
        <x:f>'李醫師治療模式'!I10</x:f>
        <x:v>0</x:v>
      </x:c>
      <x:c r="H10" s="583" t="n">
        <x:f>'李醫師治療模式'!J10</x:f>
        <x:v>0</x:v>
      </x:c>
      <x:c r="I10" s="583" t="n">
        <x:f>IF('李醫師治療模式'!A10="","",21)</x:f>
        <x:v>21</x:v>
      </x:c>
      <x:c r="J10" s="579" t="str">
        <x:f>"李醫師試行V1"</x:f>
        <x:v>李醫師試行V1</x:v>
      </x:c>
      <x:c r="K10" s="579" t="str">
        <x:f>"可發布"</x:f>
        <x:v>可發布</x:v>
      </x:c>
      <x:c r="L10" s="579" t="n">
        <x:f>COUNTIFS('李醫師能力要求'!$B$7:$B$59,$A10)</x:f>
        <x:v>4</x:v>
      </x:c>
      <x:c r="M10" s="579" t="n">
        <x:f>COUNTIFS('李醫師能力要求'!$B$7:$B$59,$A10,'李醫師能力要求'!$K$7:$K$59,"已確認")</x:f>
        <x:v>1</x:v>
      </x:c>
      <x:c r="N10" s="579" t="n">
        <x:f>COUNTIFS('李醫師能力要求'!$B$7:$B$59,$A10,'李醫師能力要求'!$F$7:$F$59,"主跟診",'李醫師能力要求'!$G$7:$G$59,"必備",'李醫師能力要求'!$K$7:$K$59,"已確認")</x:f>
        <x:v>1</x:v>
      </x:c>
      <x:c r="O10" s="579" t="str">
        <x:f>"既有試行"</x:f>
        <x:v>既有試行</x:v>
      </x:c>
      <x:c r="P10" s="579" t="str">
        <x:f>"可供試行排班"</x:f>
        <x:v>可供試行排班</x:v>
      </x:c>
      <x:c r="Q10" s="579" t="str">
        <x:f>$A10</x:f>
        <x:v>LJT-RCT</x:v>
      </x:c>
    </x:row>
    <x:row r="11">
      <x:c r="A11" s="579" t="str">
        <x:f>'李醫師治療模式'!A11</x:f>
        <x:v>LJT-EXTRACTION</x:v>
      </x:c>
      <x:c r="B11" s="579" t="str">
        <x:f>'李醫師治療模式'!B11</x:f>
        <x:v>李侑津醫師</x:v>
      </x:c>
      <x:c r="C11" s="579" t="str">
        <x:f>'李醫師治療模式'!D11</x:f>
        <x:v>拔牙</x:v>
      </x:c>
      <x:c r="D11" s="579" t="str">
        <x:f>'李醫師治療模式'!E11</x:f>
        <x:v>一般</x:v>
      </x:c>
      <x:c r="E11" s="579" t="str">
        <x:f>'李醫師治療模式'!F11</x:f>
        <x:v>一般</x:v>
      </x:c>
      <x:c r="F11" s="583" t="n">
        <x:f>'李醫師治療模式'!G11</x:f>
        <x:v>1</x:v>
      </x:c>
      <x:c r="G11" s="583" t="n">
        <x:f>'李醫師治療模式'!I11</x:f>
        <x:v>0</x:v>
      </x:c>
      <x:c r="H11" s="583" t="n">
        <x:f>'李醫師治療模式'!J11</x:f>
        <x:v>0</x:v>
      </x:c>
      <x:c r="I11" s="583" t="n">
        <x:f>IF('李醫師治療模式'!A11="","",21)</x:f>
        <x:v>21</x:v>
      </x:c>
      <x:c r="J11" s="579" t="str">
        <x:f>"李醫師試行V1"</x:f>
        <x:v>李醫師試行V1</x:v>
      </x:c>
      <x:c r="K11" s="579" t="str">
        <x:f>"可發布"</x:f>
        <x:v>可發布</x:v>
      </x:c>
      <x:c r="L11" s="579" t="n">
        <x:f>COUNTIFS('李醫師能力要求'!$B$7:$B$59,$A11)</x:f>
        <x:v>4</x:v>
      </x:c>
      <x:c r="M11" s="579" t="n">
        <x:f>COUNTIFS('李醫師能力要求'!$B$7:$B$59,$A11,'李醫師能力要求'!$K$7:$K$59,"已確認")</x:f>
        <x:v>1</x:v>
      </x:c>
      <x:c r="N11" s="579" t="n">
        <x:f>COUNTIFS('李醫師能力要求'!$B$7:$B$59,$A11,'李醫師能力要求'!$F$7:$F$59,"主跟診",'李醫師能力要求'!$G$7:$G$59,"必備",'李醫師能力要求'!$K$7:$K$59,"已確認")</x:f>
        <x:v>1</x:v>
      </x:c>
      <x:c r="O11" s="579" t="str">
        <x:f>"既有試行"</x:f>
        <x:v>既有試行</x:v>
      </x:c>
      <x:c r="P11" s="579" t="str">
        <x:f>"可供試行排班"</x:f>
        <x:v>可供試行排班</x:v>
      </x:c>
      <x:c r="Q11" s="579" t="str">
        <x:f>$A11</x:f>
        <x:v>LJT-EXTRACTION</x:v>
      </x:c>
    </x:row>
    <x:row r="12">
      <x:c r="A12" s="579" t="str">
        <x:f>'李醫師治療模式'!A12</x:f>
        <x:v>LJT-CROWNPOST</x:v>
      </x:c>
      <x:c r="B12" s="579" t="str">
        <x:f>'李醫師治療模式'!B12</x:f>
        <x:v>李侑津醫師</x:v>
      </x:c>
      <x:c r="C12" s="579" t="str">
        <x:f>'李醫師治療模式'!D12</x:f>
        <x:v>拆 crown/post</x:v>
      </x:c>
      <x:c r="D12" s="579" t="str">
        <x:f>'李醫師治療模式'!E12</x:f>
        <x:v>一般</x:v>
      </x:c>
      <x:c r="E12" s="579" t="str">
        <x:f>'李醫師治療模式'!F12</x:f>
        <x:v>一般</x:v>
      </x:c>
      <x:c r="F12" s="583" t="n">
        <x:f>'李醫師治療模式'!G12</x:f>
        <x:v>1</x:v>
      </x:c>
      <x:c r="G12" s="583" t="n">
        <x:f>'李醫師治療模式'!I12</x:f>
        <x:v>0</x:v>
      </x:c>
      <x:c r="H12" s="583" t="n">
        <x:f>'李醫師治療模式'!J12</x:f>
        <x:v>0</x:v>
      </x:c>
      <x:c r="I12" s="583" t="n">
        <x:f>IF('李醫師治療模式'!A12="","",21)</x:f>
        <x:v>21</x:v>
      </x:c>
      <x:c r="J12" s="579" t="str">
        <x:f>"李醫師試行V1"</x:f>
        <x:v>李醫師試行V1</x:v>
      </x:c>
      <x:c r="K12" s="579" t="str">
        <x:f>"可發布"</x:f>
        <x:v>可發布</x:v>
      </x:c>
      <x:c r="L12" s="579" t="n">
        <x:f>COUNTIFS('李醫師能力要求'!$B$7:$B$59,$A12)</x:f>
        <x:v>4</x:v>
      </x:c>
      <x:c r="M12" s="579" t="n">
        <x:f>COUNTIFS('李醫師能力要求'!$B$7:$B$59,$A12,'李醫師能力要求'!$K$7:$K$59,"已確認")</x:f>
        <x:v>1</x:v>
      </x:c>
      <x:c r="N12" s="579" t="n">
        <x:f>COUNTIFS('李醫師能力要求'!$B$7:$B$59,$A12,'李醫師能力要求'!$F$7:$F$59,"主跟診",'李醫師能力要求'!$G$7:$G$59,"必備",'李醫師能力要求'!$K$7:$K$59,"已確認")</x:f>
        <x:v>1</x:v>
      </x:c>
      <x:c r="O12" s="579" t="str">
        <x:f>"既有試行"</x:f>
        <x:v>既有試行</x:v>
      </x:c>
      <x:c r="P12" s="579" t="str">
        <x:f>"可供試行排班"</x:f>
        <x:v>可供試行排班</x:v>
      </x:c>
      <x:c r="Q12" s="579" t="str">
        <x:f>$A12</x:f>
        <x:v>LJT-CROWNPOST</x:v>
      </x:c>
    </x:row>
    <x:row r="13">
      <x:c r="A13" s="579" t="str">
        <x:f>'李醫師治療模式'!A13</x:f>
        <x:v>LJT-CROWN</x:v>
      </x:c>
      <x:c r="B13" s="579" t="str">
        <x:f>'李醫師治療模式'!B13</x:f>
        <x:v>李侑津醫師</x:v>
      </x:c>
      <x:c r="C13" s="579" t="str">
        <x:f>'李醫師治療模式'!D13</x:f>
        <x:v>固定假牙</x:v>
      </x:c>
      <x:c r="D13" s="579" t="str">
        <x:f>'李醫師治療模式'!E13</x:f>
        <x:v>一般</x:v>
      </x:c>
      <x:c r="E13" s="579" t="str">
        <x:f>'李醫師治療模式'!F13</x:f>
        <x:v>一般</x:v>
      </x:c>
      <x:c r="F13" s="583" t="n">
        <x:f>'李醫師治療模式'!G13</x:f>
        <x:v>1</x:v>
      </x:c>
      <x:c r="G13" s="583" t="n">
        <x:f>'李醫師治療模式'!I13</x:f>
        <x:v>0</x:v>
      </x:c>
      <x:c r="H13" s="583" t="n">
        <x:f>'李醫師治療模式'!J13</x:f>
        <x:v>0</x:v>
      </x:c>
      <x:c r="I13" s="583" t="n">
        <x:f>IF('李醫師治療模式'!A13="","",21)</x:f>
        <x:v>21</x:v>
      </x:c>
      <x:c r="J13" s="579" t="str">
        <x:f>"李醫師試行V1"</x:f>
        <x:v>李醫師試行V1</x:v>
      </x:c>
      <x:c r="K13" s="579" t="str">
        <x:f>"可發布"</x:f>
        <x:v>可發布</x:v>
      </x:c>
      <x:c r="L13" s="579" t="n">
        <x:f>COUNTIFS('李醫師能力要求'!$B$7:$B$59,$A13)</x:f>
        <x:v>4</x:v>
      </x:c>
      <x:c r="M13" s="579" t="n">
        <x:f>COUNTIFS('李醫師能力要求'!$B$7:$B$59,$A13,'李醫師能力要求'!$K$7:$K$59,"已確認")</x:f>
        <x:v>1</x:v>
      </x:c>
      <x:c r="N13" s="579" t="n">
        <x:f>COUNTIFS('李醫師能力要求'!$B$7:$B$59,$A13,'李醫師能力要求'!$F$7:$F$59,"主跟診",'李醫師能力要求'!$G$7:$G$59,"必備",'李醫師能力要求'!$K$7:$K$59,"已確認")</x:f>
        <x:v>1</x:v>
      </x:c>
      <x:c r="O13" s="579" t="str">
        <x:f>"既有試行"</x:f>
        <x:v>既有試行</x:v>
      </x:c>
      <x:c r="P13" s="579" t="str">
        <x:f>"可供試行排班"</x:f>
        <x:v>可供試行排班</x:v>
      </x:c>
      <x:c r="Q13" s="579" t="str">
        <x:f>$A13</x:f>
        <x:v>LJT-CROWN</x:v>
      </x:c>
    </x:row>
    <x:row r="14">
      <x:c r="A14" s="579" t="str">
        <x:f>'李醫師治療模式'!A14</x:f>
        <x:v>LJT-RPD</x:v>
      </x:c>
      <x:c r="B14" s="579" t="str">
        <x:f>'李醫師治療模式'!B14</x:f>
        <x:v>李侑津醫師</x:v>
      </x:c>
      <x:c r="C14" s="579" t="str">
        <x:f>'李醫師治療模式'!D14</x:f>
        <x:v>RPD</x:v>
      </x:c>
      <x:c r="D14" s="579" t="str">
        <x:f>'李醫師治療模式'!E14</x:f>
        <x:v>一般步驟</x:v>
      </x:c>
      <x:c r="E14" s="579" t="str">
        <x:f>'李醫師治療模式'!F14</x:f>
        <x:v>一般</x:v>
      </x:c>
      <x:c r="F14" s="583" t="n">
        <x:f>'李醫師治療模式'!G14</x:f>
        <x:v>1</x:v>
      </x:c>
      <x:c r="G14" s="583" t="n">
        <x:f>'李醫師治療模式'!I14</x:f>
        <x:v>0</x:v>
      </x:c>
      <x:c r="H14" s="583" t="n">
        <x:f>'李醫師治療模式'!J14</x:f>
        <x:v>0</x:v>
      </x:c>
      <x:c r="I14" s="583" t="n">
        <x:f>IF('李醫師治療模式'!A14="","",21)</x:f>
        <x:v>21</x:v>
      </x:c>
      <x:c r="J14" s="579" t="str">
        <x:f>"李醫師試行V1"</x:f>
        <x:v>李醫師試行V1</x:v>
      </x:c>
      <x:c r="K14" s="579" t="str">
        <x:f>"可發布"</x:f>
        <x:v>可發布</x:v>
      </x:c>
      <x:c r="L14" s="579" t="n">
        <x:f>COUNTIFS('李醫師能力要求'!$B$7:$B$59,$A14)</x:f>
        <x:v>4</x:v>
      </x:c>
      <x:c r="M14" s="579" t="n">
        <x:f>COUNTIFS('李醫師能力要求'!$B$7:$B$59,$A14,'李醫師能力要求'!$K$7:$K$59,"已確認")</x:f>
        <x:v>1</x:v>
      </x:c>
      <x:c r="N14" s="579" t="n">
        <x:f>COUNTIFS('李醫師能力要求'!$B$7:$B$59,$A14,'李醫師能力要求'!$F$7:$F$59,"主跟診",'李醫師能力要求'!$G$7:$G$59,"必備",'李醫師能力要求'!$K$7:$K$59,"已確認")</x:f>
        <x:v>1</x:v>
      </x:c>
      <x:c r="O14" s="579" t="str">
        <x:f>"既有試行"</x:f>
        <x:v>既有試行</x:v>
      </x:c>
      <x:c r="P14" s="579" t="str">
        <x:f>"可供試行排班"</x:f>
        <x:v>可供試行排班</x:v>
      </x:c>
      <x:c r="Q14" s="579" t="str">
        <x:f>$A14</x:f>
        <x:v>LJT-RPD</x:v>
      </x:c>
    </x:row>
    <x:row r="15">
      <x:c r="A15" s="579" t="str">
        <x:f>'李醫師治療模式'!A15</x:f>
        <x:v>LJT-RPD-FINAL</x:v>
      </x:c>
      <x:c r="B15" s="579" t="str">
        <x:f>'李醫師治療模式'!B15</x:f>
        <x:v>李侑津醫師</x:v>
      </x:c>
      <x:c r="C15" s="579" t="str">
        <x:f>'李醫師治療模式'!D15</x:f>
        <x:v>RPD</x:v>
      </x:c>
      <x:c r="D15" s="579" t="str">
        <x:f>'李醫師治療模式'!E15</x:f>
        <x:v>印最終模</x:v>
      </x:c>
      <x:c r="E15" s="579" t="str">
        <x:f>'李醫師治療模式'!F15</x:f>
        <x:v>特殊階段</x:v>
      </x:c>
      <x:c r="F15" s="583" t="n">
        <x:f>'李醫師治療模式'!G15</x:f>
        <x:v>1</x:v>
      </x:c>
      <x:c r="G15" s="583" t="n">
        <x:f>'李醫師治療模式'!I15</x:f>
        <x:v>1</x:v>
      </x:c>
      <x:c r="H15" s="583" t="n">
        <x:f>'李醫師治療模式'!J15</x:f>
        <x:v>30</x:v>
      </x:c>
      <x:c r="I15" s="583" t="n">
        <x:f>IF('李醫師治療模式'!A15="","",21)</x:f>
        <x:v>21</x:v>
      </x:c>
      <x:c r="J15" s="579" t="str">
        <x:f>"李醫師試行V1"</x:f>
        <x:v>李醫師試行V1</x:v>
      </x:c>
      <x:c r="K15" s="579" t="str">
        <x:f>"可發布"</x:f>
        <x:v>可發布</x:v>
      </x:c>
      <x:c r="L15" s="579" t="n">
        <x:f>COUNTIFS('李醫師能力要求'!$B$7:$B$59,$A15)</x:f>
        <x:v>5</x:v>
      </x:c>
      <x:c r="M15" s="579" t="n">
        <x:f>COUNTIFS('李醫師能力要求'!$B$7:$B$59,$A15,'李醫師能力要求'!$K$7:$K$59,"已確認")</x:f>
        <x:v>2</x:v>
      </x:c>
      <x:c r="N15" s="579" t="n">
        <x:f>COUNTIFS('李醫師能力要求'!$B$7:$B$59,$A15,'李醫師能力要求'!$F$7:$F$59,"主跟診",'李醫師能力要求'!$G$7:$G$59,"必備",'李醫師能力要求'!$K$7:$K$59,"已確認")</x:f>
        <x:v>1</x:v>
      </x:c>
      <x:c r="O15" s="579" t="str">
        <x:f>"既有試行"</x:f>
        <x:v>既有試行</x:v>
      </x:c>
      <x:c r="P15" s="579" t="str">
        <x:f>"可供試行排班"</x:f>
        <x:v>可供試行排班</x:v>
      </x:c>
      <x:c r="Q15" s="579" t="str">
        <x:f>$A15</x:f>
        <x:v>LJT-RPD-FINAL</x:v>
      </x:c>
    </x:row>
    <x:row r="16">
      <x:c r="A16" s="579" t="str">
        <x:f>'李醫師治療模式'!A16</x:f>
        <x:v>LJT-AIRPOLISH</x:v>
      </x:c>
      <x:c r="B16" s="579" t="str">
        <x:f>'李醫師治療模式'!B16</x:f>
        <x:v>李侑津醫師</x:v>
      </x:c>
      <x:c r="C16" s="579" t="str">
        <x:f>'李醫師治療模式'!D16</x:f>
        <x:v>噴砂美白</x:v>
      </x:c>
      <x:c r="D16" s="579" t="str">
        <x:f>'李醫師治療模式'!E16</x:f>
        <x:v>一般</x:v>
      </x:c>
      <x:c r="E16" s="579" t="str">
        <x:f>'李醫師治療模式'!F16</x:f>
        <x:v>一般</x:v>
      </x:c>
      <x:c r="F16" s="583" t="n">
        <x:f>'李醫師治療模式'!G16</x:f>
        <x:v>1</x:v>
      </x:c>
      <x:c r="G16" s="583" t="n">
        <x:f>'李醫師治療模式'!I16</x:f>
        <x:v>0</x:v>
      </x:c>
      <x:c r="H16" s="583" t="n">
        <x:f>'李醫師治療模式'!J16</x:f>
        <x:v>0</x:v>
      </x:c>
      <x:c r="I16" s="583" t="n">
        <x:f>IF('李醫師治療模式'!A16="","",21)</x:f>
        <x:v>21</x:v>
      </x:c>
      <x:c r="J16" s="579" t="str">
        <x:f>"李醫師試行V1"</x:f>
        <x:v>李醫師試行V1</x:v>
      </x:c>
      <x:c r="K16" s="579" t="str">
        <x:f>"可發布"</x:f>
        <x:v>可發布</x:v>
      </x:c>
      <x:c r="L16" s="579" t="n">
        <x:f>COUNTIFS('李醫師能力要求'!$B$7:$B$59,$A16)</x:f>
        <x:v>4</x:v>
      </x:c>
      <x:c r="M16" s="579" t="n">
        <x:f>COUNTIFS('李醫師能力要求'!$B$7:$B$59,$A16,'李醫師能力要求'!$K$7:$K$59,"已確認")</x:f>
        <x:v>1</x:v>
      </x:c>
      <x:c r="N16" s="579" t="n">
        <x:f>COUNTIFS('李醫師能力要求'!$B$7:$B$59,$A16,'李醫師能力要求'!$F$7:$F$59,"主跟診",'李醫師能力要求'!$G$7:$G$59,"必備",'李醫師能力要求'!$K$7:$K$59,"已確認")</x:f>
        <x:v>1</x:v>
      </x:c>
      <x:c r="O16" s="579" t="str">
        <x:f>"既有試行"</x:f>
        <x:v>既有試行</x:v>
      </x:c>
      <x:c r="P16" s="579" t="str">
        <x:f>"可供試行排班"</x:f>
        <x:v>可供試行排班</x:v>
      </x:c>
      <x:c r="Q16" s="579" t="str">
        <x:f>$A16</x:f>
        <x:v>LJT-AIRPOLISH</x:v>
      </x:c>
    </x:row>
    <x:row r="17">
      <x:c r="A17" s="579" t="str">
        <x:f>'李醫師治療模式'!A17</x:f>
        <x:v>LJT-PERIOSURG</x:v>
      </x:c>
      <x:c r="B17" s="579" t="str">
        <x:f>'李醫師治療模式'!B17</x:f>
        <x:v>李侑津醫師</x:v>
      </x:c>
      <x:c r="C17" s="579" t="str">
        <x:f>'李醫師治療模式'!D17</x:f>
        <x:v>牙周手術</x:v>
      </x:c>
      <x:c r="D17" s="579" t="str">
        <x:f>'李醫師治療模式'!E17</x:f>
        <x:v>一般</x:v>
      </x:c>
      <x:c r="E17" s="579" t="str">
        <x:f>'李醫師治療模式'!F17</x:f>
        <x:v>高複雜度</x:v>
      </x:c>
      <x:c r="F17" s="583" t="n">
        <x:f>'李醫師治療模式'!G17</x:f>
        <x:v>1</x:v>
      </x:c>
      <x:c r="G17" s="583" t="n">
        <x:f>'李醫師治療模式'!I17</x:f>
        <x:v>0</x:v>
      </x:c>
      <x:c r="H17" s="583" t="n">
        <x:f>'李醫師治療模式'!J17</x:f>
        <x:v>0</x:v>
      </x:c>
      <x:c r="I17" s="583" t="n">
        <x:f>IF('李醫師治療模式'!A17="","",21)</x:f>
        <x:v>21</x:v>
      </x:c>
      <x:c r="J17" s="579" t="str">
        <x:f>"李醫師試行V1"</x:f>
        <x:v>李醫師試行V1</x:v>
      </x:c>
      <x:c r="K17" s="579" t="str">
        <x:f>"可發布"</x:f>
        <x:v>可發布</x:v>
      </x:c>
      <x:c r="L17" s="579" t="n">
        <x:f>COUNTIFS('李醫師能力要求'!$B$7:$B$59,$A17)</x:f>
        <x:v>4</x:v>
      </x:c>
      <x:c r="M17" s="579" t="n">
        <x:f>COUNTIFS('李醫師能力要求'!$B$7:$B$59,$A17,'李醫師能力要求'!$K$7:$K$59,"已確認")</x:f>
        <x:v>1</x:v>
      </x:c>
      <x:c r="N17" s="579" t="n">
        <x:f>COUNTIFS('李醫師能力要求'!$B$7:$B$59,$A17,'李醫師能力要求'!$F$7:$F$59,"主跟診",'李醫師能力要求'!$G$7:$G$59,"必備",'李醫師能力要求'!$K$7:$K$59,"已確認")</x:f>
        <x:v>1</x:v>
      </x:c>
      <x:c r="O17" s="579" t="str">
        <x:f>"既有試行"</x:f>
        <x:v>既有試行</x:v>
      </x:c>
      <x:c r="P17" s="579" t="str">
        <x:f>"可供試行排班"</x:f>
        <x:v>可供試行排班</x:v>
      </x:c>
      <x:c r="Q17" s="579" t="str">
        <x:f>$A17</x:f>
        <x:v>LJT-PERIOSURG</x:v>
      </x:c>
    </x:row>
    <x:row r="18">
      <x:c r="A18" s="579" t="str">
        <x:f>'李醫師治療模式'!A18</x:f>
        <x:v>LJT-MICROENDO</x:v>
      </x:c>
      <x:c r="B18" s="579" t="str">
        <x:f>'李醫師治療模式'!B18</x:f>
        <x:v>李侑津醫師</x:v>
      </x:c>
      <x:c r="C18" s="579" t="str">
        <x:f>'李醫師治療模式'!D18</x:f>
        <x:v>顯微根管</x:v>
      </x:c>
      <x:c r="D18" s="579" t="str">
        <x:f>'李醫師治療模式'!E18</x:f>
        <x:v>一般</x:v>
      </x:c>
      <x:c r="E18" s="579" t="str">
        <x:f>'李醫師治療模式'!F18</x:f>
        <x:v>高複雜度</x:v>
      </x:c>
      <x:c r="F18" s="583" t="n">
        <x:f>'李醫師治療模式'!G18</x:f>
        <x:v>1</x:v>
      </x:c>
      <x:c r="G18" s="583" t="n">
        <x:f>'李醫師治療模式'!I18</x:f>
        <x:v>0</x:v>
      </x:c>
      <x:c r="H18" s="583" t="n">
        <x:f>'李醫師治療模式'!J18</x:f>
        <x:v>0</x:v>
      </x:c>
      <x:c r="I18" s="583" t="n">
        <x:f>IF('李醫師治療模式'!A18="","",21)</x:f>
        <x:v>21</x:v>
      </x:c>
      <x:c r="J18" s="579" t="str">
        <x:f>"李醫師試行V1"</x:f>
        <x:v>李醫師試行V1</x:v>
      </x:c>
      <x:c r="K18" s="579" t="str">
        <x:f>"可發布"</x:f>
        <x:v>可發布</x:v>
      </x:c>
      <x:c r="L18" s="579" t="n">
        <x:f>COUNTIFS('李醫師能力要求'!$B$7:$B$59,$A18)</x:f>
        <x:v>4</x:v>
      </x:c>
      <x:c r="M18" s="579" t="n">
        <x:f>COUNTIFS('李醫師能力要求'!$B$7:$B$59,$A18,'李醫師能力要求'!$K$7:$K$59,"已確認")</x:f>
        <x:v>1</x:v>
      </x:c>
      <x:c r="N18" s="579" t="n">
        <x:f>COUNTIFS('李醫師能力要求'!$B$7:$B$59,$A18,'李醫師能力要求'!$F$7:$F$59,"主跟診",'李醫師能力要求'!$G$7:$G$59,"必備",'李醫師能力要求'!$K$7:$K$59,"已確認")</x:f>
        <x:v>1</x:v>
      </x:c>
      <x:c r="O18" s="579" t="str">
        <x:f>"既有試行"</x:f>
        <x:v>既有試行</x:v>
      </x:c>
      <x:c r="P18" s="579" t="str">
        <x:f>"可供試行排班"</x:f>
        <x:v>可供試行排班</x:v>
      </x:c>
      <x:c r="Q18" s="579" t="str">
        <x:f>$A18</x:f>
        <x:v>LJT-MICROENDO</x:v>
      </x:c>
    </x:row>
    <x:row r="19">
      <x:c r="A19" s="579" t="str">
        <x:f>'李醫師治療模式'!A19</x:f>
        <x:v>LJT-IMPLANT</x:v>
      </x:c>
      <x:c r="B19" s="579" t="str">
        <x:f>'李醫師治療模式'!B19</x:f>
        <x:v>李侑津醫師</x:v>
      </x:c>
      <x:c r="C19" s="579" t="str">
        <x:f>'李醫師治療模式'!D19</x:f>
        <x:v>植牙</x:v>
      </x:c>
      <x:c r="D19" s="579" t="str">
        <x:f>'李醫師治療模式'!E19</x:f>
        <x:v>一般</x:v>
      </x:c>
      <x:c r="E19" s="579" t="str">
        <x:f>'李醫師治療模式'!F19</x:f>
        <x:v>高複雜度</x:v>
      </x:c>
      <x:c r="F19" s="583" t="n">
        <x:f>'李醫師治療模式'!G19</x:f>
        <x:v>1</x:v>
      </x:c>
      <x:c r="G19" s="583" t="n">
        <x:f>'李醫師治療模式'!I19</x:f>
        <x:v>0</x:v>
      </x:c>
      <x:c r="H19" s="583" t="n">
        <x:f>'李醫師治療模式'!J19</x:f>
        <x:v>0</x:v>
      </x:c>
      <x:c r="I19" s="583" t="n">
        <x:f>IF('李醫師治療模式'!A19="","",21)</x:f>
        <x:v>21</x:v>
      </x:c>
      <x:c r="J19" s="579" t="str">
        <x:f>"李醫師試行V1"</x:f>
        <x:v>李醫師試行V1</x:v>
      </x:c>
      <x:c r="K19" s="579" t="str">
        <x:f>"可發布"</x:f>
        <x:v>可發布</x:v>
      </x:c>
      <x:c r="L19" s="579" t="n">
        <x:f>COUNTIFS('李醫師能力要求'!$B$7:$B$59,$A19)</x:f>
        <x:v>4</x:v>
      </x:c>
      <x:c r="M19" s="579" t="n">
        <x:f>COUNTIFS('李醫師能力要求'!$B$7:$B$59,$A19,'李醫師能力要求'!$K$7:$K$59,"已確認")</x:f>
        <x:v>1</x:v>
      </x:c>
      <x:c r="N19" s="579" t="n">
        <x:f>COUNTIFS('李醫師能力要求'!$B$7:$B$59,$A19,'李醫師能力要求'!$F$7:$F$59,"主跟診",'李醫師能力要求'!$G$7:$G$59,"必備",'李醫師能力要求'!$K$7:$K$59,"已確認")</x:f>
        <x:v>1</x:v>
      </x:c>
      <x:c r="O19" s="579" t="str">
        <x:f>"既有試行"</x:f>
        <x:v>既有試行</x:v>
      </x:c>
      <x:c r="P19" s="579" t="str">
        <x:f>"可供試行排班"</x:f>
        <x:v>可供試行排班</x:v>
      </x:c>
      <x:c r="Q19" s="579" t="str">
        <x:f>$A19</x:f>
        <x:v>LJT-IMPLANT</x:v>
      </x:c>
    </x:row>
    <x:row r="20">
      <x:c r="A20" s="579" t="str">
        <x:f>IF('醫師模式規則輸入'!$D7="","",'醫師模式規則輸入'!$D7)</x:f>
      </x:c>
      <x:c r="B20" s="579" t="str">
        <x:f>IF($A20="","",'醫師模式規則輸入'!$B7)</x:f>
      </x:c>
      <x:c r="C20" s="579" t="str">
        <x:f>IF($A20="","",'醫師模式規則輸入'!$E7)</x:f>
      </x:c>
      <x:c r="D20" s="579" t="str">
        <x:f>IF($A20="","",'醫師模式規則輸入'!$F7)</x:f>
      </x:c>
      <x:c r="E20" s="579" t="str">
        <x:f>IF($A20="","",'醫師模式規則輸入'!$G7)</x:f>
      </x:c>
      <x:c r="F20" s="583" t="str">
        <x:f>IF($A20="","",'醫師模式規則輸入'!$H7)</x:f>
      </x:c>
      <x:c r="G20" s="583" t="str">
        <x:f>IF($A20="","",'醫師模式規則輸入'!$I7)</x:f>
      </x:c>
      <x:c r="H20" s="583" t="str">
        <x:f>IF($A20="","",'醫師模式規則輸入'!$J7)</x:f>
      </x:c>
      <x:c r="I20" s="583" t="str">
        <x:f>IF($A20="","",'醫師模式規則輸入'!$K7)</x:f>
      </x:c>
      <x:c r="J20" s="579" t="str">
        <x:f>IF($A20="","",'醫師模式規則輸入'!$A7)</x:f>
      </x:c>
      <x:c r="K20" s="579" t="str">
        <x:f>IF($A20="","",'醫師模式規則輸入'!$Q7)</x:f>
      </x:c>
      <x:c r="L20" s="579" t="str">
        <x:f>IF($A20="","",COUNTIFS('模式能力要求輸入'!$B$7:$B$306,$A20))</x:f>
      </x:c>
      <x:c r="M20" s="579" t="str">
        <x:f>IF($A20="","",COUNTIFS('模式能力要求輸入'!$B$7:$B$306,$A20,'模式能力要求輸入'!$R$7:$R$306,"可發布"))</x:f>
      </x:c>
      <x:c r="N20" s="579" t="str">
        <x:f>IF($A20="","",COUNTIFS('模式能力要求輸入'!$B$7:$B$306,$A20,'模式能力要求輸入'!$E$7:$E$306,"主跟診",'模式能力要求輸入'!$F$7:$F$306,"必備",'模式能力要求輸入'!$R$7:$R$306,"可發布"))</x:f>
      </x:c>
      <x:c r="O20" s="579" t="str">
        <x:f>IF($A20="","",'醫師模式規則輸入'!$T7)</x:f>
      </x:c>
      <x:c r="P20" s="579" t="str">
        <x:f>IF($A20="","",IF(COUNTIFS($A$7:$A$169,$A20)&gt;1,"模式代碼重複",IF('醫師模式規則輸入'!$U7="可匯入模式清單","可進入排班建檔",'醫師模式規則輸入'!$U7)))</x:f>
      </x:c>
      <x:c r="Q20" s="579" t="str">
        <x:f>IF(OR($P20="可進入排班建檔",$P20="可供試行排班"),$A20,"")</x:f>
      </x:c>
    </x:row>
    <x:row r="21">
      <x:c r="A21" s="579" t="str">
        <x:f>IF('醫師模式規則輸入'!$D8="","",'醫師模式規則輸入'!$D8)</x:f>
      </x:c>
      <x:c r="B21" s="579" t="str">
        <x:f>IF($A21="","",'醫師模式規則輸入'!$B8)</x:f>
      </x:c>
      <x:c r="C21" s="579" t="str">
        <x:f>IF($A21="","",'醫師模式規則輸入'!$E8)</x:f>
      </x:c>
      <x:c r="D21" s="579" t="str">
        <x:f>IF($A21="","",'醫師模式規則輸入'!$F8)</x:f>
      </x:c>
      <x:c r="E21" s="579" t="str">
        <x:f>IF($A21="","",'醫師模式規則輸入'!$G8)</x:f>
      </x:c>
      <x:c r="F21" s="583" t="str">
        <x:f>IF($A21="","",'醫師模式規則輸入'!$H8)</x:f>
      </x:c>
      <x:c r="G21" s="583" t="str">
        <x:f>IF($A21="","",'醫師模式規則輸入'!$I8)</x:f>
      </x:c>
      <x:c r="H21" s="583" t="str">
        <x:f>IF($A21="","",'醫師模式規則輸入'!$J8)</x:f>
      </x:c>
      <x:c r="I21" s="583" t="str">
        <x:f>IF($A21="","",'醫師模式規則輸入'!$K8)</x:f>
      </x:c>
      <x:c r="J21" s="579" t="str">
        <x:f>IF($A21="","",'醫師模式規則輸入'!$A8)</x:f>
      </x:c>
      <x:c r="K21" s="579" t="str">
        <x:f>IF($A21="","",'醫師模式規則輸入'!$Q8)</x:f>
      </x:c>
      <x:c r="L21" s="579" t="str">
        <x:f>IF($A21="","",COUNTIFS('模式能力要求輸入'!$B$7:$B$306,$A21))</x:f>
      </x:c>
      <x:c r="M21" s="579" t="str">
        <x:f>IF($A21="","",COUNTIFS('模式能力要求輸入'!$B$7:$B$306,$A21,'模式能力要求輸入'!$R$7:$R$306,"可發布"))</x:f>
      </x:c>
      <x:c r="N21" s="579" t="str">
        <x:f>IF($A21="","",COUNTIFS('模式能力要求輸入'!$B$7:$B$306,$A21,'模式能力要求輸入'!$E$7:$E$306,"主跟診",'模式能力要求輸入'!$F$7:$F$306,"必備",'模式能力要求輸入'!$R$7:$R$306,"可發布"))</x:f>
      </x:c>
      <x:c r="O21" s="579" t="str">
        <x:f>IF($A21="","",'醫師模式規則輸入'!$T8)</x:f>
      </x:c>
      <x:c r="P21" s="579" t="str">
        <x:f>IF($A21="","",IF(COUNTIFS($A$7:$A$169,$A21)&gt;1,"模式代碼重複",IF('醫師模式規則輸入'!$U8="可匯入模式清單","可進入排班建檔",'醫師模式規則輸入'!$U8)))</x:f>
      </x:c>
      <x:c r="Q21" s="579" t="str">
        <x:f>IF(OR($P21="可進入排班建檔",$P21="可供試行排班"),$A21,"")</x:f>
      </x:c>
    </x:row>
    <x:row r="22">
      <x:c r="A22" s="579" t="str">
        <x:f>IF('醫師模式規則輸入'!$D9="","",'醫師模式規則輸入'!$D9)</x:f>
      </x:c>
      <x:c r="B22" s="579" t="str">
        <x:f>IF($A22="","",'醫師模式規則輸入'!$B9)</x:f>
      </x:c>
      <x:c r="C22" s="579" t="str">
        <x:f>IF($A22="","",'醫師模式規則輸入'!$E9)</x:f>
      </x:c>
      <x:c r="D22" s="579" t="str">
        <x:f>IF($A22="","",'醫師模式規則輸入'!$F9)</x:f>
      </x:c>
      <x:c r="E22" s="579" t="str">
        <x:f>IF($A22="","",'醫師模式規則輸入'!$G9)</x:f>
      </x:c>
      <x:c r="F22" s="583" t="str">
        <x:f>IF($A22="","",'醫師模式規則輸入'!$H9)</x:f>
      </x:c>
      <x:c r="G22" s="583" t="str">
        <x:f>IF($A22="","",'醫師模式規則輸入'!$I9)</x:f>
      </x:c>
      <x:c r="H22" s="583" t="str">
        <x:f>IF($A22="","",'醫師模式規則輸入'!$J9)</x:f>
      </x:c>
      <x:c r="I22" s="583" t="str">
        <x:f>IF($A22="","",'醫師模式規則輸入'!$K9)</x:f>
      </x:c>
      <x:c r="J22" s="579" t="str">
        <x:f>IF($A22="","",'醫師模式規則輸入'!$A9)</x:f>
      </x:c>
      <x:c r="K22" s="579" t="str">
        <x:f>IF($A22="","",'醫師模式規則輸入'!$Q9)</x:f>
      </x:c>
      <x:c r="L22" s="579" t="str">
        <x:f>IF($A22="","",COUNTIFS('模式能力要求輸入'!$B$7:$B$306,$A22))</x:f>
      </x:c>
      <x:c r="M22" s="579" t="str">
        <x:f>IF($A22="","",COUNTIFS('模式能力要求輸入'!$B$7:$B$306,$A22,'模式能力要求輸入'!$R$7:$R$306,"可發布"))</x:f>
      </x:c>
      <x:c r="N22" s="579" t="str">
        <x:f>IF($A22="","",COUNTIFS('模式能力要求輸入'!$B$7:$B$306,$A22,'模式能力要求輸入'!$E$7:$E$306,"主跟診",'模式能力要求輸入'!$F$7:$F$306,"必備",'模式能力要求輸入'!$R$7:$R$306,"可發布"))</x:f>
      </x:c>
      <x:c r="O22" s="579" t="str">
        <x:f>IF($A22="","",'醫師模式規則輸入'!$T9)</x:f>
      </x:c>
      <x:c r="P22" s="579" t="str">
        <x:f>IF($A22="","",IF(COUNTIFS($A$7:$A$169,$A22)&gt;1,"模式代碼重複",IF('醫師模式規則輸入'!$U9="可匯入模式清單","可進入排班建檔",'醫師模式規則輸入'!$U9)))</x:f>
      </x:c>
      <x:c r="Q22" s="579" t="str">
        <x:f>IF(OR($P22="可進入排班建檔",$P22="可供試行排班"),$A22,"")</x:f>
      </x:c>
    </x:row>
    <x:row r="23">
      <x:c r="A23" s="579" t="str">
        <x:f>IF('醫師模式規則輸入'!$D10="","",'醫師模式規則輸入'!$D10)</x:f>
      </x:c>
      <x:c r="B23" s="579" t="str">
        <x:f>IF($A23="","",'醫師模式規則輸入'!$B10)</x:f>
      </x:c>
      <x:c r="C23" s="579" t="str">
        <x:f>IF($A23="","",'醫師模式規則輸入'!$E10)</x:f>
      </x:c>
      <x:c r="D23" s="579" t="str">
        <x:f>IF($A23="","",'醫師模式規則輸入'!$F10)</x:f>
      </x:c>
      <x:c r="E23" s="579" t="str">
        <x:f>IF($A23="","",'醫師模式規則輸入'!$G10)</x:f>
      </x:c>
      <x:c r="F23" s="583" t="str">
        <x:f>IF($A23="","",'醫師模式規則輸入'!$H10)</x:f>
      </x:c>
      <x:c r="G23" s="583" t="str">
        <x:f>IF($A23="","",'醫師模式規則輸入'!$I10)</x:f>
      </x:c>
      <x:c r="H23" s="583" t="str">
        <x:f>IF($A23="","",'醫師模式規則輸入'!$J10)</x:f>
      </x:c>
      <x:c r="I23" s="583" t="str">
        <x:f>IF($A23="","",'醫師模式規則輸入'!$K10)</x:f>
      </x:c>
      <x:c r="J23" s="579" t="str">
        <x:f>IF($A23="","",'醫師模式規則輸入'!$A10)</x:f>
      </x:c>
      <x:c r="K23" s="579" t="str">
        <x:f>IF($A23="","",'醫師模式規則輸入'!$Q10)</x:f>
      </x:c>
      <x:c r="L23" s="579" t="str">
        <x:f>IF($A23="","",COUNTIFS('模式能力要求輸入'!$B$7:$B$306,$A23))</x:f>
      </x:c>
      <x:c r="M23" s="579" t="str">
        <x:f>IF($A23="","",COUNTIFS('模式能力要求輸入'!$B$7:$B$306,$A23,'模式能力要求輸入'!$R$7:$R$306,"可發布"))</x:f>
      </x:c>
      <x:c r="N23" s="579" t="str">
        <x:f>IF($A23="","",COUNTIFS('模式能力要求輸入'!$B$7:$B$306,$A23,'模式能力要求輸入'!$E$7:$E$306,"主跟診",'模式能力要求輸入'!$F$7:$F$306,"必備",'模式能力要求輸入'!$R$7:$R$306,"可發布"))</x:f>
      </x:c>
      <x:c r="O23" s="579" t="str">
        <x:f>IF($A23="","",'醫師模式規則輸入'!$T10)</x:f>
      </x:c>
      <x:c r="P23" s="579" t="str">
        <x:f>IF($A23="","",IF(COUNTIFS($A$7:$A$169,$A23)&gt;1,"模式代碼重複",IF('醫師模式規則輸入'!$U10="可匯入模式清單","可進入排班建檔",'醫師模式規則輸入'!$U10)))</x:f>
      </x:c>
      <x:c r="Q23" s="579" t="str">
        <x:f>IF(OR($P23="可進入排班建檔",$P23="可供試行排班"),$A23,"")</x:f>
      </x:c>
    </x:row>
    <x:row r="24">
      <x:c r="A24" s="579" t="str">
        <x:f>IF('醫師模式規則輸入'!$D11="","",'醫師模式規則輸入'!$D11)</x:f>
      </x:c>
      <x:c r="B24" s="579" t="str">
        <x:f>IF($A24="","",'醫師模式規則輸入'!$B11)</x:f>
      </x:c>
      <x:c r="C24" s="579" t="str">
        <x:f>IF($A24="","",'醫師模式規則輸入'!$E11)</x:f>
      </x:c>
      <x:c r="D24" s="579" t="str">
        <x:f>IF($A24="","",'醫師模式規則輸入'!$F11)</x:f>
      </x:c>
      <x:c r="E24" s="579" t="str">
        <x:f>IF($A24="","",'醫師模式規則輸入'!$G11)</x:f>
      </x:c>
      <x:c r="F24" s="583" t="str">
        <x:f>IF($A24="","",'醫師模式規則輸入'!$H11)</x:f>
      </x:c>
      <x:c r="G24" s="583" t="str">
        <x:f>IF($A24="","",'醫師模式規則輸入'!$I11)</x:f>
      </x:c>
      <x:c r="H24" s="583" t="str">
        <x:f>IF($A24="","",'醫師模式規則輸入'!$J11)</x:f>
      </x:c>
      <x:c r="I24" s="583" t="str">
        <x:f>IF($A24="","",'醫師模式規則輸入'!$K11)</x:f>
      </x:c>
      <x:c r="J24" s="579" t="str">
        <x:f>IF($A24="","",'醫師模式規則輸入'!$A11)</x:f>
      </x:c>
      <x:c r="K24" s="579" t="str">
        <x:f>IF($A24="","",'醫師模式規則輸入'!$Q11)</x:f>
      </x:c>
      <x:c r="L24" s="579" t="str">
        <x:f>IF($A24="","",COUNTIFS('模式能力要求輸入'!$B$7:$B$306,$A24))</x:f>
      </x:c>
      <x:c r="M24" s="579" t="str">
        <x:f>IF($A24="","",COUNTIFS('模式能力要求輸入'!$B$7:$B$306,$A24,'模式能力要求輸入'!$R$7:$R$306,"可發布"))</x:f>
      </x:c>
      <x:c r="N24" s="579" t="str">
        <x:f>IF($A24="","",COUNTIFS('模式能力要求輸入'!$B$7:$B$306,$A24,'模式能力要求輸入'!$E$7:$E$306,"主跟診",'模式能力要求輸入'!$F$7:$F$306,"必備",'模式能力要求輸入'!$R$7:$R$306,"可發布"))</x:f>
      </x:c>
      <x:c r="O24" s="579" t="str">
        <x:f>IF($A24="","",'醫師模式規則輸入'!$T11)</x:f>
      </x:c>
      <x:c r="P24" s="579" t="str">
        <x:f>IF($A24="","",IF(COUNTIFS($A$7:$A$169,$A24)&gt;1,"模式代碼重複",IF('醫師模式規則輸入'!$U11="可匯入模式清單","可進入排班建檔",'醫師模式規則輸入'!$U11)))</x:f>
      </x:c>
      <x:c r="Q24" s="579" t="str">
        <x:f>IF(OR($P24="可進入排班建檔",$P24="可供試行排班"),$A24,"")</x:f>
      </x:c>
    </x:row>
    <x:row r="25">
      <x:c r="A25" s="579" t="str">
        <x:f>IF('醫師模式規則輸入'!$D12="","",'醫師模式規則輸入'!$D12)</x:f>
      </x:c>
      <x:c r="B25" s="579" t="str">
        <x:f>IF($A25="","",'醫師模式規則輸入'!$B12)</x:f>
      </x:c>
      <x:c r="C25" s="579" t="str">
        <x:f>IF($A25="","",'醫師模式規則輸入'!$E12)</x:f>
      </x:c>
      <x:c r="D25" s="579" t="str">
        <x:f>IF($A25="","",'醫師模式規則輸入'!$F12)</x:f>
      </x:c>
      <x:c r="E25" s="579" t="str">
        <x:f>IF($A25="","",'醫師模式規則輸入'!$G12)</x:f>
      </x:c>
      <x:c r="F25" s="583" t="str">
        <x:f>IF($A25="","",'醫師模式規則輸入'!$H12)</x:f>
      </x:c>
      <x:c r="G25" s="583" t="str">
        <x:f>IF($A25="","",'醫師模式規則輸入'!$I12)</x:f>
      </x:c>
      <x:c r="H25" s="583" t="str">
        <x:f>IF($A25="","",'醫師模式規則輸入'!$J12)</x:f>
      </x:c>
      <x:c r="I25" s="583" t="str">
        <x:f>IF($A25="","",'醫師模式規則輸入'!$K12)</x:f>
      </x:c>
      <x:c r="J25" s="579" t="str">
        <x:f>IF($A25="","",'醫師模式規則輸入'!$A12)</x:f>
      </x:c>
      <x:c r="K25" s="579" t="str">
        <x:f>IF($A25="","",'醫師模式規則輸入'!$Q12)</x:f>
      </x:c>
      <x:c r="L25" s="579" t="str">
        <x:f>IF($A25="","",COUNTIFS('模式能力要求輸入'!$B$7:$B$306,$A25))</x:f>
      </x:c>
      <x:c r="M25" s="579" t="str">
        <x:f>IF($A25="","",COUNTIFS('模式能力要求輸入'!$B$7:$B$306,$A25,'模式能力要求輸入'!$R$7:$R$306,"可發布"))</x:f>
      </x:c>
      <x:c r="N25" s="579" t="str">
        <x:f>IF($A25="","",COUNTIFS('模式能力要求輸入'!$B$7:$B$306,$A25,'模式能力要求輸入'!$E$7:$E$306,"主跟診",'模式能力要求輸入'!$F$7:$F$306,"必備",'模式能力要求輸入'!$R$7:$R$306,"可發布"))</x:f>
      </x:c>
      <x:c r="O25" s="579" t="str">
        <x:f>IF($A25="","",'醫師模式規則輸入'!$T12)</x:f>
      </x:c>
      <x:c r="P25" s="579" t="str">
        <x:f>IF($A25="","",IF(COUNTIFS($A$7:$A$169,$A25)&gt;1,"模式代碼重複",IF('醫師模式規則輸入'!$U12="可匯入模式清單","可進入排班建檔",'醫師模式規則輸入'!$U12)))</x:f>
      </x:c>
      <x:c r="Q25" s="579" t="str">
        <x:f>IF(OR($P25="可進入排班建檔",$P25="可供試行排班"),$A25,"")</x:f>
      </x:c>
    </x:row>
    <x:row r="26">
      <x:c r="A26" s="579" t="str">
        <x:f>IF('醫師模式規則輸入'!$D13="","",'醫師模式規則輸入'!$D13)</x:f>
      </x:c>
      <x:c r="B26" s="579" t="str">
        <x:f>IF($A26="","",'醫師模式規則輸入'!$B13)</x:f>
      </x:c>
      <x:c r="C26" s="579" t="str">
        <x:f>IF($A26="","",'醫師模式規則輸入'!$E13)</x:f>
      </x:c>
      <x:c r="D26" s="579" t="str">
        <x:f>IF($A26="","",'醫師模式規則輸入'!$F13)</x:f>
      </x:c>
      <x:c r="E26" s="579" t="str">
        <x:f>IF($A26="","",'醫師模式規則輸入'!$G13)</x:f>
      </x:c>
      <x:c r="F26" s="583" t="str">
        <x:f>IF($A26="","",'醫師模式規則輸入'!$H13)</x:f>
      </x:c>
      <x:c r="G26" s="583" t="str">
        <x:f>IF($A26="","",'醫師模式規則輸入'!$I13)</x:f>
      </x:c>
      <x:c r="H26" s="583" t="str">
        <x:f>IF($A26="","",'醫師模式規則輸入'!$J13)</x:f>
      </x:c>
      <x:c r="I26" s="583" t="str">
        <x:f>IF($A26="","",'醫師模式規則輸入'!$K13)</x:f>
      </x:c>
      <x:c r="J26" s="579" t="str">
        <x:f>IF($A26="","",'醫師模式規則輸入'!$A13)</x:f>
      </x:c>
      <x:c r="K26" s="579" t="str">
        <x:f>IF($A26="","",'醫師模式規則輸入'!$Q13)</x:f>
      </x:c>
      <x:c r="L26" s="579" t="str">
        <x:f>IF($A26="","",COUNTIFS('模式能力要求輸入'!$B$7:$B$306,$A26))</x:f>
      </x:c>
      <x:c r="M26" s="579" t="str">
        <x:f>IF($A26="","",COUNTIFS('模式能力要求輸入'!$B$7:$B$306,$A26,'模式能力要求輸入'!$R$7:$R$306,"可發布"))</x:f>
      </x:c>
      <x:c r="N26" s="579" t="str">
        <x:f>IF($A26="","",COUNTIFS('模式能力要求輸入'!$B$7:$B$306,$A26,'模式能力要求輸入'!$E$7:$E$306,"主跟診",'模式能力要求輸入'!$F$7:$F$306,"必備",'模式能力要求輸入'!$R$7:$R$306,"可發布"))</x:f>
      </x:c>
      <x:c r="O26" s="579" t="str">
        <x:f>IF($A26="","",'醫師模式規則輸入'!$T13)</x:f>
      </x:c>
      <x:c r="P26" s="579" t="str">
        <x:f>IF($A26="","",IF(COUNTIFS($A$7:$A$169,$A26)&gt;1,"模式代碼重複",IF('醫師模式規則輸入'!$U13="可匯入模式清單","可進入排班建檔",'醫師模式規則輸入'!$U13)))</x:f>
      </x:c>
      <x:c r="Q26" s="579" t="str">
        <x:f>IF(OR($P26="可進入排班建檔",$P26="可供試行排班"),$A26,"")</x:f>
      </x:c>
    </x:row>
    <x:row r="27">
      <x:c r="A27" s="579" t="str">
        <x:f>IF('醫師模式規則輸入'!$D14="","",'醫師模式規則輸入'!$D14)</x:f>
      </x:c>
      <x:c r="B27" s="579" t="str">
        <x:f>IF($A27="","",'醫師模式規則輸入'!$B14)</x:f>
      </x:c>
      <x:c r="C27" s="579" t="str">
        <x:f>IF($A27="","",'醫師模式規則輸入'!$E14)</x:f>
      </x:c>
      <x:c r="D27" s="579" t="str">
        <x:f>IF($A27="","",'醫師模式規則輸入'!$F14)</x:f>
      </x:c>
      <x:c r="E27" s="579" t="str">
        <x:f>IF($A27="","",'醫師模式規則輸入'!$G14)</x:f>
      </x:c>
      <x:c r="F27" s="583" t="str">
        <x:f>IF($A27="","",'醫師模式規則輸入'!$H14)</x:f>
      </x:c>
      <x:c r="G27" s="583" t="str">
        <x:f>IF($A27="","",'醫師模式規則輸入'!$I14)</x:f>
      </x:c>
      <x:c r="H27" s="583" t="str">
        <x:f>IF($A27="","",'醫師模式規則輸入'!$J14)</x:f>
      </x:c>
      <x:c r="I27" s="583" t="str">
        <x:f>IF($A27="","",'醫師模式規則輸入'!$K14)</x:f>
      </x:c>
      <x:c r="J27" s="579" t="str">
        <x:f>IF($A27="","",'醫師模式規則輸入'!$A14)</x:f>
      </x:c>
      <x:c r="K27" s="579" t="str">
        <x:f>IF($A27="","",'醫師模式規則輸入'!$Q14)</x:f>
      </x:c>
      <x:c r="L27" s="579" t="str">
        <x:f>IF($A27="","",COUNTIFS('模式能力要求輸入'!$B$7:$B$306,$A27))</x:f>
      </x:c>
      <x:c r="M27" s="579" t="str">
        <x:f>IF($A27="","",COUNTIFS('模式能力要求輸入'!$B$7:$B$306,$A27,'模式能力要求輸入'!$R$7:$R$306,"可發布"))</x:f>
      </x:c>
      <x:c r="N27" s="579" t="str">
        <x:f>IF($A27="","",COUNTIFS('模式能力要求輸入'!$B$7:$B$306,$A27,'模式能力要求輸入'!$E$7:$E$306,"主跟診",'模式能力要求輸入'!$F$7:$F$306,"必備",'模式能力要求輸入'!$R$7:$R$306,"可發布"))</x:f>
      </x:c>
      <x:c r="O27" s="579" t="str">
        <x:f>IF($A27="","",'醫師模式規則輸入'!$T14)</x:f>
      </x:c>
      <x:c r="P27" s="579" t="str">
        <x:f>IF($A27="","",IF(COUNTIFS($A$7:$A$169,$A27)&gt;1,"模式代碼重複",IF('醫師模式規則輸入'!$U14="可匯入模式清單","可進入排班建檔",'醫師模式規則輸入'!$U14)))</x:f>
      </x:c>
      <x:c r="Q27" s="579" t="str">
        <x:f>IF(OR($P27="可進入排班建檔",$P27="可供試行排班"),$A27,"")</x:f>
      </x:c>
    </x:row>
    <x:row r="28">
      <x:c r="A28" s="579" t="str">
        <x:f>IF('醫師模式規則輸入'!$D15="","",'醫師模式規則輸入'!$D15)</x:f>
      </x:c>
      <x:c r="B28" s="579" t="str">
        <x:f>IF($A28="","",'醫師模式規則輸入'!$B15)</x:f>
      </x:c>
      <x:c r="C28" s="579" t="str">
        <x:f>IF($A28="","",'醫師模式規則輸入'!$E15)</x:f>
      </x:c>
      <x:c r="D28" s="579" t="str">
        <x:f>IF($A28="","",'醫師模式規則輸入'!$F15)</x:f>
      </x:c>
      <x:c r="E28" s="579" t="str">
        <x:f>IF($A28="","",'醫師模式規則輸入'!$G15)</x:f>
      </x:c>
      <x:c r="F28" s="583" t="str">
        <x:f>IF($A28="","",'醫師模式規則輸入'!$H15)</x:f>
      </x:c>
      <x:c r="G28" s="583" t="str">
        <x:f>IF($A28="","",'醫師模式規則輸入'!$I15)</x:f>
      </x:c>
      <x:c r="H28" s="583" t="str">
        <x:f>IF($A28="","",'醫師模式規則輸入'!$J15)</x:f>
      </x:c>
      <x:c r="I28" s="583" t="str">
        <x:f>IF($A28="","",'醫師模式規則輸入'!$K15)</x:f>
      </x:c>
      <x:c r="J28" s="579" t="str">
        <x:f>IF($A28="","",'醫師模式規則輸入'!$A15)</x:f>
      </x:c>
      <x:c r="K28" s="579" t="str">
        <x:f>IF($A28="","",'醫師模式規則輸入'!$Q15)</x:f>
      </x:c>
      <x:c r="L28" s="579" t="str">
        <x:f>IF($A28="","",COUNTIFS('模式能力要求輸入'!$B$7:$B$306,$A28))</x:f>
      </x:c>
      <x:c r="M28" s="579" t="str">
        <x:f>IF($A28="","",COUNTIFS('模式能力要求輸入'!$B$7:$B$306,$A28,'模式能力要求輸入'!$R$7:$R$306,"可發布"))</x:f>
      </x:c>
      <x:c r="N28" s="579" t="str">
        <x:f>IF($A28="","",COUNTIFS('模式能力要求輸入'!$B$7:$B$306,$A28,'模式能力要求輸入'!$E$7:$E$306,"主跟診",'模式能力要求輸入'!$F$7:$F$306,"必備",'模式能力要求輸入'!$R$7:$R$306,"可發布"))</x:f>
      </x:c>
      <x:c r="O28" s="579" t="str">
        <x:f>IF($A28="","",'醫師模式規則輸入'!$T15)</x:f>
      </x:c>
      <x:c r="P28" s="579" t="str">
        <x:f>IF($A28="","",IF(COUNTIFS($A$7:$A$169,$A28)&gt;1,"模式代碼重複",IF('醫師模式規則輸入'!$U15="可匯入模式清單","可進入排班建檔",'醫師模式規則輸入'!$U15)))</x:f>
      </x:c>
      <x:c r="Q28" s="579" t="str">
        <x:f>IF(OR($P28="可進入排班建檔",$P28="可供試行排班"),$A28,"")</x:f>
      </x:c>
    </x:row>
    <x:row r="29">
      <x:c r="A29" s="579" t="str">
        <x:f>IF('醫師模式規則輸入'!$D16="","",'醫師模式規則輸入'!$D16)</x:f>
      </x:c>
      <x:c r="B29" s="579" t="str">
        <x:f>IF($A29="","",'醫師模式規則輸入'!$B16)</x:f>
      </x:c>
      <x:c r="C29" s="579" t="str">
        <x:f>IF($A29="","",'醫師模式規則輸入'!$E16)</x:f>
      </x:c>
      <x:c r="D29" s="579" t="str">
        <x:f>IF($A29="","",'醫師模式規則輸入'!$F16)</x:f>
      </x:c>
      <x:c r="E29" s="579" t="str">
        <x:f>IF($A29="","",'醫師模式規則輸入'!$G16)</x:f>
      </x:c>
      <x:c r="F29" s="583" t="str">
        <x:f>IF($A29="","",'醫師模式規則輸入'!$H16)</x:f>
      </x:c>
      <x:c r="G29" s="583" t="str">
        <x:f>IF($A29="","",'醫師模式規則輸入'!$I16)</x:f>
      </x:c>
      <x:c r="H29" s="583" t="str">
        <x:f>IF($A29="","",'醫師模式規則輸入'!$J16)</x:f>
      </x:c>
      <x:c r="I29" s="583" t="str">
        <x:f>IF($A29="","",'醫師模式規則輸入'!$K16)</x:f>
      </x:c>
      <x:c r="J29" s="579" t="str">
        <x:f>IF($A29="","",'醫師模式規則輸入'!$A16)</x:f>
      </x:c>
      <x:c r="K29" s="579" t="str">
        <x:f>IF($A29="","",'醫師模式規則輸入'!$Q16)</x:f>
      </x:c>
      <x:c r="L29" s="579" t="str">
        <x:f>IF($A29="","",COUNTIFS('模式能力要求輸入'!$B$7:$B$306,$A29))</x:f>
      </x:c>
      <x:c r="M29" s="579" t="str">
        <x:f>IF($A29="","",COUNTIFS('模式能力要求輸入'!$B$7:$B$306,$A29,'模式能力要求輸入'!$R$7:$R$306,"可發布"))</x:f>
      </x:c>
      <x:c r="N29" s="579" t="str">
        <x:f>IF($A29="","",COUNTIFS('模式能力要求輸入'!$B$7:$B$306,$A29,'模式能力要求輸入'!$E$7:$E$306,"主跟診",'模式能力要求輸入'!$F$7:$F$306,"必備",'模式能力要求輸入'!$R$7:$R$306,"可發布"))</x:f>
      </x:c>
      <x:c r="O29" s="579" t="str">
        <x:f>IF($A29="","",'醫師模式規則輸入'!$T16)</x:f>
      </x:c>
      <x:c r="P29" s="579" t="str">
        <x:f>IF($A29="","",IF(COUNTIFS($A$7:$A$169,$A29)&gt;1,"模式代碼重複",IF('醫師模式規則輸入'!$U16="可匯入模式清單","可進入排班建檔",'醫師模式規則輸入'!$U16)))</x:f>
      </x:c>
      <x:c r="Q29" s="579" t="str">
        <x:f>IF(OR($P29="可進入排班建檔",$P29="可供試行排班"),$A29,"")</x:f>
      </x:c>
    </x:row>
    <x:row r="30">
      <x:c r="A30" s="579" t="str">
        <x:f>IF('醫師模式規則輸入'!$D17="","",'醫師模式規則輸入'!$D17)</x:f>
      </x:c>
      <x:c r="B30" s="579" t="str">
        <x:f>IF($A30="","",'醫師模式規則輸入'!$B17)</x:f>
      </x:c>
      <x:c r="C30" s="579" t="str">
        <x:f>IF($A30="","",'醫師模式規則輸入'!$E17)</x:f>
      </x:c>
      <x:c r="D30" s="579" t="str">
        <x:f>IF($A30="","",'醫師模式規則輸入'!$F17)</x:f>
      </x:c>
      <x:c r="E30" s="579" t="str">
        <x:f>IF($A30="","",'醫師模式規則輸入'!$G17)</x:f>
      </x:c>
      <x:c r="F30" s="583" t="str">
        <x:f>IF($A30="","",'醫師模式規則輸入'!$H17)</x:f>
      </x:c>
      <x:c r="G30" s="583" t="str">
        <x:f>IF($A30="","",'醫師模式規則輸入'!$I17)</x:f>
      </x:c>
      <x:c r="H30" s="583" t="str">
        <x:f>IF($A30="","",'醫師模式規則輸入'!$J17)</x:f>
      </x:c>
      <x:c r="I30" s="583" t="str">
        <x:f>IF($A30="","",'醫師模式規則輸入'!$K17)</x:f>
      </x:c>
      <x:c r="J30" s="579" t="str">
        <x:f>IF($A30="","",'醫師模式規則輸入'!$A17)</x:f>
      </x:c>
      <x:c r="K30" s="579" t="str">
        <x:f>IF($A30="","",'醫師模式規則輸入'!$Q17)</x:f>
      </x:c>
      <x:c r="L30" s="579" t="str">
        <x:f>IF($A30="","",COUNTIFS('模式能力要求輸入'!$B$7:$B$306,$A30))</x:f>
      </x:c>
      <x:c r="M30" s="579" t="str">
        <x:f>IF($A30="","",COUNTIFS('模式能力要求輸入'!$B$7:$B$306,$A30,'模式能力要求輸入'!$R$7:$R$306,"可發布"))</x:f>
      </x:c>
      <x:c r="N30" s="579" t="str">
        <x:f>IF($A30="","",COUNTIFS('模式能力要求輸入'!$B$7:$B$306,$A30,'模式能力要求輸入'!$E$7:$E$306,"主跟診",'模式能力要求輸入'!$F$7:$F$306,"必備",'模式能力要求輸入'!$R$7:$R$306,"可發布"))</x:f>
      </x:c>
      <x:c r="O30" s="579" t="str">
        <x:f>IF($A30="","",'醫師模式規則輸入'!$T17)</x:f>
      </x:c>
      <x:c r="P30" s="579" t="str">
        <x:f>IF($A30="","",IF(COUNTIFS($A$7:$A$169,$A30)&gt;1,"模式代碼重複",IF('醫師模式規則輸入'!$U17="可匯入模式清單","可進入排班建檔",'醫師模式規則輸入'!$U17)))</x:f>
      </x:c>
      <x:c r="Q30" s="579" t="str">
        <x:f>IF(OR($P30="可進入排班建檔",$P30="可供試行排班"),$A30,"")</x:f>
      </x:c>
    </x:row>
    <x:row r="31">
      <x:c r="A31" s="579" t="str">
        <x:f>IF('醫師模式規則輸入'!$D18="","",'醫師模式規則輸入'!$D18)</x:f>
      </x:c>
      <x:c r="B31" s="579" t="str">
        <x:f>IF($A31="","",'醫師模式規則輸入'!$B18)</x:f>
      </x:c>
      <x:c r="C31" s="579" t="str">
        <x:f>IF($A31="","",'醫師模式規則輸入'!$E18)</x:f>
      </x:c>
      <x:c r="D31" s="579" t="str">
        <x:f>IF($A31="","",'醫師模式規則輸入'!$F18)</x:f>
      </x:c>
      <x:c r="E31" s="579" t="str">
        <x:f>IF($A31="","",'醫師模式規則輸入'!$G18)</x:f>
      </x:c>
      <x:c r="F31" s="583" t="str">
        <x:f>IF($A31="","",'醫師模式規則輸入'!$H18)</x:f>
      </x:c>
      <x:c r="G31" s="583" t="str">
        <x:f>IF($A31="","",'醫師模式規則輸入'!$I18)</x:f>
      </x:c>
      <x:c r="H31" s="583" t="str">
        <x:f>IF($A31="","",'醫師模式規則輸入'!$J18)</x:f>
      </x:c>
      <x:c r="I31" s="583" t="str">
        <x:f>IF($A31="","",'醫師模式規則輸入'!$K18)</x:f>
      </x:c>
      <x:c r="J31" s="579" t="str">
        <x:f>IF($A31="","",'醫師模式規則輸入'!$A18)</x:f>
      </x:c>
      <x:c r="K31" s="579" t="str">
        <x:f>IF($A31="","",'醫師模式規則輸入'!$Q18)</x:f>
      </x:c>
      <x:c r="L31" s="579" t="str">
        <x:f>IF($A31="","",COUNTIFS('模式能力要求輸入'!$B$7:$B$306,$A31))</x:f>
      </x:c>
      <x:c r="M31" s="579" t="str">
        <x:f>IF($A31="","",COUNTIFS('模式能力要求輸入'!$B$7:$B$306,$A31,'模式能力要求輸入'!$R$7:$R$306,"可發布"))</x:f>
      </x:c>
      <x:c r="N31" s="579" t="str">
        <x:f>IF($A31="","",COUNTIFS('模式能力要求輸入'!$B$7:$B$306,$A31,'模式能力要求輸入'!$E$7:$E$306,"主跟診",'模式能力要求輸入'!$F$7:$F$306,"必備",'模式能力要求輸入'!$R$7:$R$306,"可發布"))</x:f>
      </x:c>
      <x:c r="O31" s="579" t="str">
        <x:f>IF($A31="","",'醫師模式規則輸入'!$T18)</x:f>
      </x:c>
      <x:c r="P31" s="579" t="str">
        <x:f>IF($A31="","",IF(COUNTIFS($A$7:$A$169,$A31)&gt;1,"模式代碼重複",IF('醫師模式規則輸入'!$U18="可匯入模式清單","可進入排班建檔",'醫師模式規則輸入'!$U18)))</x:f>
      </x:c>
      <x:c r="Q31" s="579" t="str">
        <x:f>IF(OR($P31="可進入排班建檔",$P31="可供試行排班"),$A31,"")</x:f>
      </x:c>
    </x:row>
    <x:row r="32">
      <x:c r="A32" s="579" t="str">
        <x:f>IF('醫師模式規則輸入'!$D19="","",'醫師模式規則輸入'!$D19)</x:f>
      </x:c>
      <x:c r="B32" s="579" t="str">
        <x:f>IF($A32="","",'醫師模式規則輸入'!$B19)</x:f>
      </x:c>
      <x:c r="C32" s="579" t="str">
        <x:f>IF($A32="","",'醫師模式規則輸入'!$E19)</x:f>
      </x:c>
      <x:c r="D32" s="579" t="str">
        <x:f>IF($A32="","",'醫師模式規則輸入'!$F19)</x:f>
      </x:c>
      <x:c r="E32" s="579" t="str">
        <x:f>IF($A32="","",'醫師模式規則輸入'!$G19)</x:f>
      </x:c>
      <x:c r="F32" s="583" t="str">
        <x:f>IF($A32="","",'醫師模式規則輸入'!$H19)</x:f>
      </x:c>
      <x:c r="G32" s="583" t="str">
        <x:f>IF($A32="","",'醫師模式規則輸入'!$I19)</x:f>
      </x:c>
      <x:c r="H32" s="583" t="str">
        <x:f>IF($A32="","",'醫師模式規則輸入'!$J19)</x:f>
      </x:c>
      <x:c r="I32" s="583" t="str">
        <x:f>IF($A32="","",'醫師模式規則輸入'!$K19)</x:f>
      </x:c>
      <x:c r="J32" s="579" t="str">
        <x:f>IF($A32="","",'醫師模式規則輸入'!$A19)</x:f>
      </x:c>
      <x:c r="K32" s="579" t="str">
        <x:f>IF($A32="","",'醫師模式規則輸入'!$Q19)</x:f>
      </x:c>
      <x:c r="L32" s="579" t="str">
        <x:f>IF($A32="","",COUNTIFS('模式能力要求輸入'!$B$7:$B$306,$A32))</x:f>
      </x:c>
      <x:c r="M32" s="579" t="str">
        <x:f>IF($A32="","",COUNTIFS('模式能力要求輸入'!$B$7:$B$306,$A32,'模式能力要求輸入'!$R$7:$R$306,"可發布"))</x:f>
      </x:c>
      <x:c r="N32" s="579" t="str">
        <x:f>IF($A32="","",COUNTIFS('模式能力要求輸入'!$B$7:$B$306,$A32,'模式能力要求輸入'!$E$7:$E$306,"主跟診",'模式能力要求輸入'!$F$7:$F$306,"必備",'模式能力要求輸入'!$R$7:$R$306,"可發布"))</x:f>
      </x:c>
      <x:c r="O32" s="579" t="str">
        <x:f>IF($A32="","",'醫師模式規則輸入'!$T19)</x:f>
      </x:c>
      <x:c r="P32" s="579" t="str">
        <x:f>IF($A32="","",IF(COUNTIFS($A$7:$A$169,$A32)&gt;1,"模式代碼重複",IF('醫師模式規則輸入'!$U19="可匯入模式清單","可進入排班建檔",'醫師模式規則輸入'!$U19)))</x:f>
      </x:c>
      <x:c r="Q32" s="579" t="str">
        <x:f>IF(OR($P32="可進入排班建檔",$P32="可供試行排班"),$A32,"")</x:f>
      </x:c>
    </x:row>
    <x:row r="33">
      <x:c r="A33" s="579" t="str">
        <x:f>IF('醫師模式規則輸入'!$D20="","",'醫師模式規則輸入'!$D20)</x:f>
      </x:c>
      <x:c r="B33" s="579" t="str">
        <x:f>IF($A33="","",'醫師模式規則輸入'!$B20)</x:f>
      </x:c>
      <x:c r="C33" s="579" t="str">
        <x:f>IF($A33="","",'醫師模式規則輸入'!$E20)</x:f>
      </x:c>
      <x:c r="D33" s="579" t="str">
        <x:f>IF($A33="","",'醫師模式規則輸入'!$F20)</x:f>
      </x:c>
      <x:c r="E33" s="579" t="str">
        <x:f>IF($A33="","",'醫師模式規則輸入'!$G20)</x:f>
      </x:c>
      <x:c r="F33" s="583" t="str">
        <x:f>IF($A33="","",'醫師模式規則輸入'!$H20)</x:f>
      </x:c>
      <x:c r="G33" s="583" t="str">
        <x:f>IF($A33="","",'醫師模式規則輸入'!$I20)</x:f>
      </x:c>
      <x:c r="H33" s="583" t="str">
        <x:f>IF($A33="","",'醫師模式規則輸入'!$J20)</x:f>
      </x:c>
      <x:c r="I33" s="583" t="str">
        <x:f>IF($A33="","",'醫師模式規則輸入'!$K20)</x:f>
      </x:c>
      <x:c r="J33" s="579" t="str">
        <x:f>IF($A33="","",'醫師模式規則輸入'!$A20)</x:f>
      </x:c>
      <x:c r="K33" s="579" t="str">
        <x:f>IF($A33="","",'醫師模式規則輸入'!$Q20)</x:f>
      </x:c>
      <x:c r="L33" s="579" t="str">
        <x:f>IF($A33="","",COUNTIFS('模式能力要求輸入'!$B$7:$B$306,$A33))</x:f>
      </x:c>
      <x:c r="M33" s="579" t="str">
        <x:f>IF($A33="","",COUNTIFS('模式能力要求輸入'!$B$7:$B$306,$A33,'模式能力要求輸入'!$R$7:$R$306,"可發布"))</x:f>
      </x:c>
      <x:c r="N33" s="579" t="str">
        <x:f>IF($A33="","",COUNTIFS('模式能力要求輸入'!$B$7:$B$306,$A33,'模式能力要求輸入'!$E$7:$E$306,"主跟診",'模式能力要求輸入'!$F$7:$F$306,"必備",'模式能力要求輸入'!$R$7:$R$306,"可發布"))</x:f>
      </x:c>
      <x:c r="O33" s="579" t="str">
        <x:f>IF($A33="","",'醫師模式規則輸入'!$T20)</x:f>
      </x:c>
      <x:c r="P33" s="579" t="str">
        <x:f>IF($A33="","",IF(COUNTIFS($A$7:$A$169,$A33)&gt;1,"模式代碼重複",IF('醫師模式規則輸入'!$U20="可匯入模式清單","可進入排班建檔",'醫師模式規則輸入'!$U20)))</x:f>
      </x:c>
      <x:c r="Q33" s="579" t="str">
        <x:f>IF(OR($P33="可進入排班建檔",$P33="可供試行排班"),$A33,"")</x:f>
      </x:c>
    </x:row>
    <x:row r="34">
      <x:c r="A34" s="579" t="str">
        <x:f>IF('醫師模式規則輸入'!$D21="","",'醫師模式規則輸入'!$D21)</x:f>
      </x:c>
      <x:c r="B34" s="579" t="str">
        <x:f>IF($A34="","",'醫師模式規則輸入'!$B21)</x:f>
      </x:c>
      <x:c r="C34" s="579" t="str">
        <x:f>IF($A34="","",'醫師模式規則輸入'!$E21)</x:f>
      </x:c>
      <x:c r="D34" s="579" t="str">
        <x:f>IF($A34="","",'醫師模式規則輸入'!$F21)</x:f>
      </x:c>
      <x:c r="E34" s="579" t="str">
        <x:f>IF($A34="","",'醫師模式規則輸入'!$G21)</x:f>
      </x:c>
      <x:c r="F34" s="583" t="str">
        <x:f>IF($A34="","",'醫師模式規則輸入'!$H21)</x:f>
      </x:c>
      <x:c r="G34" s="583" t="str">
        <x:f>IF($A34="","",'醫師模式規則輸入'!$I21)</x:f>
      </x:c>
      <x:c r="H34" s="583" t="str">
        <x:f>IF($A34="","",'醫師模式規則輸入'!$J21)</x:f>
      </x:c>
      <x:c r="I34" s="583" t="str">
        <x:f>IF($A34="","",'醫師模式規則輸入'!$K21)</x:f>
      </x:c>
      <x:c r="J34" s="579" t="str">
        <x:f>IF($A34="","",'醫師模式規則輸入'!$A21)</x:f>
      </x:c>
      <x:c r="K34" s="579" t="str">
        <x:f>IF($A34="","",'醫師模式規則輸入'!$Q21)</x:f>
      </x:c>
      <x:c r="L34" s="579" t="str">
        <x:f>IF($A34="","",COUNTIFS('模式能力要求輸入'!$B$7:$B$306,$A34))</x:f>
      </x:c>
      <x:c r="M34" s="579" t="str">
        <x:f>IF($A34="","",COUNTIFS('模式能力要求輸入'!$B$7:$B$306,$A34,'模式能力要求輸入'!$R$7:$R$306,"可發布"))</x:f>
      </x:c>
      <x:c r="N34" s="579" t="str">
        <x:f>IF($A34="","",COUNTIFS('模式能力要求輸入'!$B$7:$B$306,$A34,'模式能力要求輸入'!$E$7:$E$306,"主跟診",'模式能力要求輸入'!$F$7:$F$306,"必備",'模式能力要求輸入'!$R$7:$R$306,"可發布"))</x:f>
      </x:c>
      <x:c r="O34" s="579" t="str">
        <x:f>IF($A34="","",'醫師模式規則輸入'!$T21)</x:f>
      </x:c>
      <x:c r="P34" s="579" t="str">
        <x:f>IF($A34="","",IF(COUNTIFS($A$7:$A$169,$A34)&gt;1,"模式代碼重複",IF('醫師模式規則輸入'!$U21="可匯入模式清單","可進入排班建檔",'醫師模式規則輸入'!$U21)))</x:f>
      </x:c>
      <x:c r="Q34" s="579" t="str">
        <x:f>IF(OR($P34="可進入排班建檔",$P34="可供試行排班"),$A34,"")</x:f>
      </x:c>
    </x:row>
    <x:row r="35">
      <x:c r="A35" s="579" t="str">
        <x:f>IF('醫師模式規則輸入'!$D22="","",'醫師模式規則輸入'!$D22)</x:f>
      </x:c>
      <x:c r="B35" s="579" t="str">
        <x:f>IF($A35="","",'醫師模式規則輸入'!$B22)</x:f>
      </x:c>
      <x:c r="C35" s="579" t="str">
        <x:f>IF($A35="","",'醫師模式規則輸入'!$E22)</x:f>
      </x:c>
      <x:c r="D35" s="579" t="str">
        <x:f>IF($A35="","",'醫師模式規則輸入'!$F22)</x:f>
      </x:c>
      <x:c r="E35" s="579" t="str">
        <x:f>IF($A35="","",'醫師模式規則輸入'!$G22)</x:f>
      </x:c>
      <x:c r="F35" s="583" t="str">
        <x:f>IF($A35="","",'醫師模式規則輸入'!$H22)</x:f>
      </x:c>
      <x:c r="G35" s="583" t="str">
        <x:f>IF($A35="","",'醫師模式規則輸入'!$I22)</x:f>
      </x:c>
      <x:c r="H35" s="583" t="str">
        <x:f>IF($A35="","",'醫師模式規則輸入'!$J22)</x:f>
      </x:c>
      <x:c r="I35" s="583" t="str">
        <x:f>IF($A35="","",'醫師模式規則輸入'!$K22)</x:f>
      </x:c>
      <x:c r="J35" s="579" t="str">
        <x:f>IF($A35="","",'醫師模式規則輸入'!$A22)</x:f>
      </x:c>
      <x:c r="K35" s="579" t="str">
        <x:f>IF($A35="","",'醫師模式規則輸入'!$Q22)</x:f>
      </x:c>
      <x:c r="L35" s="579" t="str">
        <x:f>IF($A35="","",COUNTIFS('模式能力要求輸入'!$B$7:$B$306,$A35))</x:f>
      </x:c>
      <x:c r="M35" s="579" t="str">
        <x:f>IF($A35="","",COUNTIFS('模式能力要求輸入'!$B$7:$B$306,$A35,'模式能力要求輸入'!$R$7:$R$306,"可發布"))</x:f>
      </x:c>
      <x:c r="N35" s="579" t="str">
        <x:f>IF($A35="","",COUNTIFS('模式能力要求輸入'!$B$7:$B$306,$A35,'模式能力要求輸入'!$E$7:$E$306,"主跟診",'模式能力要求輸入'!$F$7:$F$306,"必備",'模式能力要求輸入'!$R$7:$R$306,"可發布"))</x:f>
      </x:c>
      <x:c r="O35" s="579" t="str">
        <x:f>IF($A35="","",'醫師模式規則輸入'!$T22)</x:f>
      </x:c>
      <x:c r="P35" s="579" t="str">
        <x:f>IF($A35="","",IF(COUNTIFS($A$7:$A$169,$A35)&gt;1,"模式代碼重複",IF('醫師模式規則輸入'!$U22="可匯入模式清單","可進入排班建檔",'醫師模式規則輸入'!$U22)))</x:f>
      </x:c>
      <x:c r="Q35" s="579" t="str">
        <x:f>IF(OR($P35="可進入排班建檔",$P35="可供試行排班"),$A35,"")</x:f>
      </x:c>
    </x:row>
    <x:row r="36">
      <x:c r="A36" s="579" t="str">
        <x:f>IF('醫師模式規則輸入'!$D23="","",'醫師模式規則輸入'!$D23)</x:f>
      </x:c>
      <x:c r="B36" s="579" t="str">
        <x:f>IF($A36="","",'醫師模式規則輸入'!$B23)</x:f>
      </x:c>
      <x:c r="C36" s="579" t="str">
        <x:f>IF($A36="","",'醫師模式規則輸入'!$E23)</x:f>
      </x:c>
      <x:c r="D36" s="579" t="str">
        <x:f>IF($A36="","",'醫師模式規則輸入'!$F23)</x:f>
      </x:c>
      <x:c r="E36" s="579" t="str">
        <x:f>IF($A36="","",'醫師模式規則輸入'!$G23)</x:f>
      </x:c>
      <x:c r="F36" s="583" t="str">
        <x:f>IF($A36="","",'醫師模式規則輸入'!$H23)</x:f>
      </x:c>
      <x:c r="G36" s="583" t="str">
        <x:f>IF($A36="","",'醫師模式規則輸入'!$I23)</x:f>
      </x:c>
      <x:c r="H36" s="583" t="str">
        <x:f>IF($A36="","",'醫師模式規則輸入'!$J23)</x:f>
      </x:c>
      <x:c r="I36" s="583" t="str">
        <x:f>IF($A36="","",'醫師模式規則輸入'!$K23)</x:f>
      </x:c>
      <x:c r="J36" s="579" t="str">
        <x:f>IF($A36="","",'醫師模式規則輸入'!$A23)</x:f>
      </x:c>
      <x:c r="K36" s="579" t="str">
        <x:f>IF($A36="","",'醫師模式規則輸入'!$Q23)</x:f>
      </x:c>
      <x:c r="L36" s="579" t="str">
        <x:f>IF($A36="","",COUNTIFS('模式能力要求輸入'!$B$7:$B$306,$A36))</x:f>
      </x:c>
      <x:c r="M36" s="579" t="str">
        <x:f>IF($A36="","",COUNTIFS('模式能力要求輸入'!$B$7:$B$306,$A36,'模式能力要求輸入'!$R$7:$R$306,"可發布"))</x:f>
      </x:c>
      <x:c r="N36" s="579" t="str">
        <x:f>IF($A36="","",COUNTIFS('模式能力要求輸入'!$B$7:$B$306,$A36,'模式能力要求輸入'!$E$7:$E$306,"主跟診",'模式能力要求輸入'!$F$7:$F$306,"必備",'模式能力要求輸入'!$R$7:$R$306,"可發布"))</x:f>
      </x:c>
      <x:c r="O36" s="579" t="str">
        <x:f>IF($A36="","",'醫師模式規則輸入'!$T23)</x:f>
      </x:c>
      <x:c r="P36" s="579" t="str">
        <x:f>IF($A36="","",IF(COUNTIFS($A$7:$A$169,$A36)&gt;1,"模式代碼重複",IF('醫師模式規則輸入'!$U23="可匯入模式清單","可進入排班建檔",'醫師模式規則輸入'!$U23)))</x:f>
      </x:c>
      <x:c r="Q36" s="579" t="str">
        <x:f>IF(OR($P36="可進入排班建檔",$P36="可供試行排班"),$A36,"")</x:f>
      </x:c>
    </x:row>
    <x:row r="37">
      <x:c r="A37" s="579" t="str">
        <x:f>IF('醫師模式規則輸入'!$D24="","",'醫師模式規則輸入'!$D24)</x:f>
      </x:c>
      <x:c r="B37" s="579" t="str">
        <x:f>IF($A37="","",'醫師模式規則輸入'!$B24)</x:f>
      </x:c>
      <x:c r="C37" s="579" t="str">
        <x:f>IF($A37="","",'醫師模式規則輸入'!$E24)</x:f>
      </x:c>
      <x:c r="D37" s="579" t="str">
        <x:f>IF($A37="","",'醫師模式規則輸入'!$F24)</x:f>
      </x:c>
      <x:c r="E37" s="579" t="str">
        <x:f>IF($A37="","",'醫師模式規則輸入'!$G24)</x:f>
      </x:c>
      <x:c r="F37" s="583" t="str">
        <x:f>IF($A37="","",'醫師模式規則輸入'!$H24)</x:f>
      </x:c>
      <x:c r="G37" s="583" t="str">
        <x:f>IF($A37="","",'醫師模式規則輸入'!$I24)</x:f>
      </x:c>
      <x:c r="H37" s="583" t="str">
        <x:f>IF($A37="","",'醫師模式規則輸入'!$J24)</x:f>
      </x:c>
      <x:c r="I37" s="583" t="str">
        <x:f>IF($A37="","",'醫師模式規則輸入'!$K24)</x:f>
      </x:c>
      <x:c r="J37" s="579" t="str">
        <x:f>IF($A37="","",'醫師模式規則輸入'!$A24)</x:f>
      </x:c>
      <x:c r="K37" s="579" t="str">
        <x:f>IF($A37="","",'醫師模式規則輸入'!$Q24)</x:f>
      </x:c>
      <x:c r="L37" s="579" t="str">
        <x:f>IF($A37="","",COUNTIFS('模式能力要求輸入'!$B$7:$B$306,$A37))</x:f>
      </x:c>
      <x:c r="M37" s="579" t="str">
        <x:f>IF($A37="","",COUNTIFS('模式能力要求輸入'!$B$7:$B$306,$A37,'模式能力要求輸入'!$R$7:$R$306,"可發布"))</x:f>
      </x:c>
      <x:c r="N37" s="579" t="str">
        <x:f>IF($A37="","",COUNTIFS('模式能力要求輸入'!$B$7:$B$306,$A37,'模式能力要求輸入'!$E$7:$E$306,"主跟診",'模式能力要求輸入'!$F$7:$F$306,"必備",'模式能力要求輸入'!$R$7:$R$306,"可發布"))</x:f>
      </x:c>
      <x:c r="O37" s="579" t="str">
        <x:f>IF($A37="","",'醫師模式規則輸入'!$T24)</x:f>
      </x:c>
      <x:c r="P37" s="579" t="str">
        <x:f>IF($A37="","",IF(COUNTIFS($A$7:$A$169,$A37)&gt;1,"模式代碼重複",IF('醫師模式規則輸入'!$U24="可匯入模式清單","可進入排班建檔",'醫師模式規則輸入'!$U24)))</x:f>
      </x:c>
      <x:c r="Q37" s="579" t="str">
        <x:f>IF(OR($P37="可進入排班建檔",$P37="可供試行排班"),$A37,"")</x:f>
      </x:c>
    </x:row>
    <x:row r="38">
      <x:c r="A38" s="579" t="str">
        <x:f>IF('醫師模式規則輸入'!$D25="","",'醫師模式規則輸入'!$D25)</x:f>
      </x:c>
      <x:c r="B38" s="579" t="str">
        <x:f>IF($A38="","",'醫師模式規則輸入'!$B25)</x:f>
      </x:c>
      <x:c r="C38" s="579" t="str">
        <x:f>IF($A38="","",'醫師模式規則輸入'!$E25)</x:f>
      </x:c>
      <x:c r="D38" s="579" t="str">
        <x:f>IF($A38="","",'醫師模式規則輸入'!$F25)</x:f>
      </x:c>
      <x:c r="E38" s="579" t="str">
        <x:f>IF($A38="","",'醫師模式規則輸入'!$G25)</x:f>
      </x:c>
      <x:c r="F38" s="583" t="str">
        <x:f>IF($A38="","",'醫師模式規則輸入'!$H25)</x:f>
      </x:c>
      <x:c r="G38" s="583" t="str">
        <x:f>IF($A38="","",'醫師模式規則輸入'!$I25)</x:f>
      </x:c>
      <x:c r="H38" s="583" t="str">
        <x:f>IF($A38="","",'醫師模式規則輸入'!$J25)</x:f>
      </x:c>
      <x:c r="I38" s="583" t="str">
        <x:f>IF($A38="","",'醫師模式規則輸入'!$K25)</x:f>
      </x:c>
      <x:c r="J38" s="579" t="str">
        <x:f>IF($A38="","",'醫師模式規則輸入'!$A25)</x:f>
      </x:c>
      <x:c r="K38" s="579" t="str">
        <x:f>IF($A38="","",'醫師模式規則輸入'!$Q25)</x:f>
      </x:c>
      <x:c r="L38" s="579" t="str">
        <x:f>IF($A38="","",COUNTIFS('模式能力要求輸入'!$B$7:$B$306,$A38))</x:f>
      </x:c>
      <x:c r="M38" s="579" t="str">
        <x:f>IF($A38="","",COUNTIFS('模式能力要求輸入'!$B$7:$B$306,$A38,'模式能力要求輸入'!$R$7:$R$306,"可發布"))</x:f>
      </x:c>
      <x:c r="N38" s="579" t="str">
        <x:f>IF($A38="","",COUNTIFS('模式能力要求輸入'!$B$7:$B$306,$A38,'模式能力要求輸入'!$E$7:$E$306,"主跟診",'模式能力要求輸入'!$F$7:$F$306,"必備",'模式能力要求輸入'!$R$7:$R$306,"可發布"))</x:f>
      </x:c>
      <x:c r="O38" s="579" t="str">
        <x:f>IF($A38="","",'醫師模式規則輸入'!$T25)</x:f>
      </x:c>
      <x:c r="P38" s="579" t="str">
        <x:f>IF($A38="","",IF(COUNTIFS($A$7:$A$169,$A38)&gt;1,"模式代碼重複",IF('醫師模式規則輸入'!$U25="可匯入模式清單","可進入排班建檔",'醫師模式規則輸入'!$U25)))</x:f>
      </x:c>
      <x:c r="Q38" s="579" t="str">
        <x:f>IF(OR($P38="可進入排班建檔",$P38="可供試行排班"),$A38,"")</x:f>
      </x:c>
    </x:row>
    <x:row r="39">
      <x:c r="A39" s="579" t="str">
        <x:f>IF('醫師模式規則輸入'!$D26="","",'醫師模式規則輸入'!$D26)</x:f>
      </x:c>
      <x:c r="B39" s="579" t="str">
        <x:f>IF($A39="","",'醫師模式規則輸入'!$B26)</x:f>
      </x:c>
      <x:c r="C39" s="579" t="str">
        <x:f>IF($A39="","",'醫師模式規則輸入'!$E26)</x:f>
      </x:c>
      <x:c r="D39" s="579" t="str">
        <x:f>IF($A39="","",'醫師模式規則輸入'!$F26)</x:f>
      </x:c>
      <x:c r="E39" s="579" t="str">
        <x:f>IF($A39="","",'醫師模式規則輸入'!$G26)</x:f>
      </x:c>
      <x:c r="F39" s="583" t="str">
        <x:f>IF($A39="","",'醫師模式規則輸入'!$H26)</x:f>
      </x:c>
      <x:c r="G39" s="583" t="str">
        <x:f>IF($A39="","",'醫師模式規則輸入'!$I26)</x:f>
      </x:c>
      <x:c r="H39" s="583" t="str">
        <x:f>IF($A39="","",'醫師模式規則輸入'!$J26)</x:f>
      </x:c>
      <x:c r="I39" s="583" t="str">
        <x:f>IF($A39="","",'醫師模式規則輸入'!$K26)</x:f>
      </x:c>
      <x:c r="J39" s="579" t="str">
        <x:f>IF($A39="","",'醫師模式規則輸入'!$A26)</x:f>
      </x:c>
      <x:c r="K39" s="579" t="str">
        <x:f>IF($A39="","",'醫師模式規則輸入'!$Q26)</x:f>
      </x:c>
      <x:c r="L39" s="579" t="str">
        <x:f>IF($A39="","",COUNTIFS('模式能力要求輸入'!$B$7:$B$306,$A39))</x:f>
      </x:c>
      <x:c r="M39" s="579" t="str">
        <x:f>IF($A39="","",COUNTIFS('模式能力要求輸入'!$B$7:$B$306,$A39,'模式能力要求輸入'!$R$7:$R$306,"可發布"))</x:f>
      </x:c>
      <x:c r="N39" s="579" t="str">
        <x:f>IF($A39="","",COUNTIFS('模式能力要求輸入'!$B$7:$B$306,$A39,'模式能力要求輸入'!$E$7:$E$306,"主跟診",'模式能力要求輸入'!$F$7:$F$306,"必備",'模式能力要求輸入'!$R$7:$R$306,"可發布"))</x:f>
      </x:c>
      <x:c r="O39" s="579" t="str">
        <x:f>IF($A39="","",'醫師模式規則輸入'!$T26)</x:f>
      </x:c>
      <x:c r="P39" s="579" t="str">
        <x:f>IF($A39="","",IF(COUNTIFS($A$7:$A$169,$A39)&gt;1,"模式代碼重複",IF('醫師模式規則輸入'!$U26="可匯入模式清單","可進入排班建檔",'醫師模式規則輸入'!$U26)))</x:f>
      </x:c>
      <x:c r="Q39" s="579" t="str">
        <x:f>IF(OR($P39="可進入排班建檔",$P39="可供試行排班"),$A39,"")</x:f>
      </x:c>
    </x:row>
    <x:row r="40">
      <x:c r="A40" s="579" t="str">
        <x:f>IF('醫師模式規則輸入'!$D27="","",'醫師模式規則輸入'!$D27)</x:f>
      </x:c>
      <x:c r="B40" s="579" t="str">
        <x:f>IF($A40="","",'醫師模式規則輸入'!$B27)</x:f>
      </x:c>
      <x:c r="C40" s="579" t="str">
        <x:f>IF($A40="","",'醫師模式規則輸入'!$E27)</x:f>
      </x:c>
      <x:c r="D40" s="579" t="str">
        <x:f>IF($A40="","",'醫師模式規則輸入'!$F27)</x:f>
      </x:c>
      <x:c r="E40" s="579" t="str">
        <x:f>IF($A40="","",'醫師模式規則輸入'!$G27)</x:f>
      </x:c>
      <x:c r="F40" s="583" t="str">
        <x:f>IF($A40="","",'醫師模式規則輸入'!$H27)</x:f>
      </x:c>
      <x:c r="G40" s="583" t="str">
        <x:f>IF($A40="","",'醫師模式規則輸入'!$I27)</x:f>
      </x:c>
      <x:c r="H40" s="583" t="str">
        <x:f>IF($A40="","",'醫師模式規則輸入'!$J27)</x:f>
      </x:c>
      <x:c r="I40" s="583" t="str">
        <x:f>IF($A40="","",'醫師模式規則輸入'!$K27)</x:f>
      </x:c>
      <x:c r="J40" s="579" t="str">
        <x:f>IF($A40="","",'醫師模式規則輸入'!$A27)</x:f>
      </x:c>
      <x:c r="K40" s="579" t="str">
        <x:f>IF($A40="","",'醫師模式規則輸入'!$Q27)</x:f>
      </x:c>
      <x:c r="L40" s="579" t="str">
        <x:f>IF($A40="","",COUNTIFS('模式能力要求輸入'!$B$7:$B$306,$A40))</x:f>
      </x:c>
      <x:c r="M40" s="579" t="str">
        <x:f>IF($A40="","",COUNTIFS('模式能力要求輸入'!$B$7:$B$306,$A40,'模式能力要求輸入'!$R$7:$R$306,"可發布"))</x:f>
      </x:c>
      <x:c r="N40" s="579" t="str">
        <x:f>IF($A40="","",COUNTIFS('模式能力要求輸入'!$B$7:$B$306,$A40,'模式能力要求輸入'!$E$7:$E$306,"主跟診",'模式能力要求輸入'!$F$7:$F$306,"必備",'模式能力要求輸入'!$R$7:$R$306,"可發布"))</x:f>
      </x:c>
      <x:c r="O40" s="579" t="str">
        <x:f>IF($A40="","",'醫師模式規則輸入'!$T27)</x:f>
      </x:c>
      <x:c r="P40" s="579" t="str">
        <x:f>IF($A40="","",IF(COUNTIFS($A$7:$A$169,$A40)&gt;1,"模式代碼重複",IF('醫師模式規則輸入'!$U27="可匯入模式清單","可進入排班建檔",'醫師模式規則輸入'!$U27)))</x:f>
      </x:c>
      <x:c r="Q40" s="579" t="str">
        <x:f>IF(OR($P40="可進入排班建檔",$P40="可供試行排班"),$A40,"")</x:f>
      </x:c>
    </x:row>
    <x:row r="41">
      <x:c r="A41" s="579" t="str">
        <x:f>IF('醫師模式規則輸入'!$D28="","",'醫師模式規則輸入'!$D28)</x:f>
      </x:c>
      <x:c r="B41" s="579" t="str">
        <x:f>IF($A41="","",'醫師模式規則輸入'!$B28)</x:f>
      </x:c>
      <x:c r="C41" s="579" t="str">
        <x:f>IF($A41="","",'醫師模式規則輸入'!$E28)</x:f>
      </x:c>
      <x:c r="D41" s="579" t="str">
        <x:f>IF($A41="","",'醫師模式規則輸入'!$F28)</x:f>
      </x:c>
      <x:c r="E41" s="579" t="str">
        <x:f>IF($A41="","",'醫師模式規則輸入'!$G28)</x:f>
      </x:c>
      <x:c r="F41" s="583" t="str">
        <x:f>IF($A41="","",'醫師模式規則輸入'!$H28)</x:f>
      </x:c>
      <x:c r="G41" s="583" t="str">
        <x:f>IF($A41="","",'醫師模式規則輸入'!$I28)</x:f>
      </x:c>
      <x:c r="H41" s="583" t="str">
        <x:f>IF($A41="","",'醫師模式規則輸入'!$J28)</x:f>
      </x:c>
      <x:c r="I41" s="583" t="str">
        <x:f>IF($A41="","",'醫師模式規則輸入'!$K28)</x:f>
      </x:c>
      <x:c r="J41" s="579" t="str">
        <x:f>IF($A41="","",'醫師模式規則輸入'!$A28)</x:f>
      </x:c>
      <x:c r="K41" s="579" t="str">
        <x:f>IF($A41="","",'醫師模式規則輸入'!$Q28)</x:f>
      </x:c>
      <x:c r="L41" s="579" t="str">
        <x:f>IF($A41="","",COUNTIFS('模式能力要求輸入'!$B$7:$B$306,$A41))</x:f>
      </x:c>
      <x:c r="M41" s="579" t="str">
        <x:f>IF($A41="","",COUNTIFS('模式能力要求輸入'!$B$7:$B$306,$A41,'模式能力要求輸入'!$R$7:$R$306,"可發布"))</x:f>
      </x:c>
      <x:c r="N41" s="579" t="str">
        <x:f>IF($A41="","",COUNTIFS('模式能力要求輸入'!$B$7:$B$306,$A41,'模式能力要求輸入'!$E$7:$E$306,"主跟診",'模式能力要求輸入'!$F$7:$F$306,"必備",'模式能力要求輸入'!$R$7:$R$306,"可發布"))</x:f>
      </x:c>
      <x:c r="O41" s="579" t="str">
        <x:f>IF($A41="","",'醫師模式規則輸入'!$T28)</x:f>
      </x:c>
      <x:c r="P41" s="579" t="str">
        <x:f>IF($A41="","",IF(COUNTIFS($A$7:$A$169,$A41)&gt;1,"模式代碼重複",IF('醫師模式規則輸入'!$U28="可匯入模式清單","可進入排班建檔",'醫師模式規則輸入'!$U28)))</x:f>
      </x:c>
      <x:c r="Q41" s="579" t="str">
        <x:f>IF(OR($P41="可進入排班建檔",$P41="可供試行排班"),$A41,"")</x:f>
      </x:c>
    </x:row>
    <x:row r="42">
      <x:c r="A42" s="579" t="str">
        <x:f>IF('醫師模式規則輸入'!$D29="","",'醫師模式規則輸入'!$D29)</x:f>
      </x:c>
      <x:c r="B42" s="579" t="str">
        <x:f>IF($A42="","",'醫師模式規則輸入'!$B29)</x:f>
      </x:c>
      <x:c r="C42" s="579" t="str">
        <x:f>IF($A42="","",'醫師模式規則輸入'!$E29)</x:f>
      </x:c>
      <x:c r="D42" s="579" t="str">
        <x:f>IF($A42="","",'醫師模式規則輸入'!$F29)</x:f>
      </x:c>
      <x:c r="E42" s="579" t="str">
        <x:f>IF($A42="","",'醫師模式規則輸入'!$G29)</x:f>
      </x:c>
      <x:c r="F42" s="583" t="str">
        <x:f>IF($A42="","",'醫師模式規則輸入'!$H29)</x:f>
      </x:c>
      <x:c r="G42" s="583" t="str">
        <x:f>IF($A42="","",'醫師模式規則輸入'!$I29)</x:f>
      </x:c>
      <x:c r="H42" s="583" t="str">
        <x:f>IF($A42="","",'醫師模式規則輸入'!$J29)</x:f>
      </x:c>
      <x:c r="I42" s="583" t="str">
        <x:f>IF($A42="","",'醫師模式規則輸入'!$K29)</x:f>
      </x:c>
      <x:c r="J42" s="579" t="str">
        <x:f>IF($A42="","",'醫師模式規則輸入'!$A29)</x:f>
      </x:c>
      <x:c r="K42" s="579" t="str">
        <x:f>IF($A42="","",'醫師模式規則輸入'!$Q29)</x:f>
      </x:c>
      <x:c r="L42" s="579" t="str">
        <x:f>IF($A42="","",COUNTIFS('模式能力要求輸入'!$B$7:$B$306,$A42))</x:f>
      </x:c>
      <x:c r="M42" s="579" t="str">
        <x:f>IF($A42="","",COUNTIFS('模式能力要求輸入'!$B$7:$B$306,$A42,'模式能力要求輸入'!$R$7:$R$306,"可發布"))</x:f>
      </x:c>
      <x:c r="N42" s="579" t="str">
        <x:f>IF($A42="","",COUNTIFS('模式能力要求輸入'!$B$7:$B$306,$A42,'模式能力要求輸入'!$E$7:$E$306,"主跟診",'模式能力要求輸入'!$F$7:$F$306,"必備",'模式能力要求輸入'!$R$7:$R$306,"可發布"))</x:f>
      </x:c>
      <x:c r="O42" s="579" t="str">
        <x:f>IF($A42="","",'醫師模式規則輸入'!$T29)</x:f>
      </x:c>
      <x:c r="P42" s="579" t="str">
        <x:f>IF($A42="","",IF(COUNTIFS($A$7:$A$169,$A42)&gt;1,"模式代碼重複",IF('醫師模式規則輸入'!$U29="可匯入模式清單","可進入排班建檔",'醫師模式規則輸入'!$U29)))</x:f>
      </x:c>
      <x:c r="Q42" s="579" t="str">
        <x:f>IF(OR($P42="可進入排班建檔",$P42="可供試行排班"),$A42,"")</x:f>
      </x:c>
    </x:row>
    <x:row r="43">
      <x:c r="A43" s="579" t="str">
        <x:f>IF('醫師模式規則輸入'!$D30="","",'醫師模式規則輸入'!$D30)</x:f>
      </x:c>
      <x:c r="B43" s="579" t="str">
        <x:f>IF($A43="","",'醫師模式規則輸入'!$B30)</x:f>
      </x:c>
      <x:c r="C43" s="579" t="str">
        <x:f>IF($A43="","",'醫師模式規則輸入'!$E30)</x:f>
      </x:c>
      <x:c r="D43" s="579" t="str">
        <x:f>IF($A43="","",'醫師模式規則輸入'!$F30)</x:f>
      </x:c>
      <x:c r="E43" s="579" t="str">
        <x:f>IF($A43="","",'醫師模式規則輸入'!$G30)</x:f>
      </x:c>
      <x:c r="F43" s="583" t="str">
        <x:f>IF($A43="","",'醫師模式規則輸入'!$H30)</x:f>
      </x:c>
      <x:c r="G43" s="583" t="str">
        <x:f>IF($A43="","",'醫師模式規則輸入'!$I30)</x:f>
      </x:c>
      <x:c r="H43" s="583" t="str">
        <x:f>IF($A43="","",'醫師模式規則輸入'!$J30)</x:f>
      </x:c>
      <x:c r="I43" s="583" t="str">
        <x:f>IF($A43="","",'醫師模式規則輸入'!$K30)</x:f>
      </x:c>
      <x:c r="J43" s="579" t="str">
        <x:f>IF($A43="","",'醫師模式規則輸入'!$A30)</x:f>
      </x:c>
      <x:c r="K43" s="579" t="str">
        <x:f>IF($A43="","",'醫師模式規則輸入'!$Q30)</x:f>
      </x:c>
      <x:c r="L43" s="579" t="str">
        <x:f>IF($A43="","",COUNTIFS('模式能力要求輸入'!$B$7:$B$306,$A43))</x:f>
      </x:c>
      <x:c r="M43" s="579" t="str">
        <x:f>IF($A43="","",COUNTIFS('模式能力要求輸入'!$B$7:$B$306,$A43,'模式能力要求輸入'!$R$7:$R$306,"可發布"))</x:f>
      </x:c>
      <x:c r="N43" s="579" t="str">
        <x:f>IF($A43="","",COUNTIFS('模式能力要求輸入'!$B$7:$B$306,$A43,'模式能力要求輸入'!$E$7:$E$306,"主跟診",'模式能力要求輸入'!$F$7:$F$306,"必備",'模式能力要求輸入'!$R$7:$R$306,"可發布"))</x:f>
      </x:c>
      <x:c r="O43" s="579" t="str">
        <x:f>IF($A43="","",'醫師模式規則輸入'!$T30)</x:f>
      </x:c>
      <x:c r="P43" s="579" t="str">
        <x:f>IF($A43="","",IF(COUNTIFS($A$7:$A$169,$A43)&gt;1,"模式代碼重複",IF('醫師模式規則輸入'!$U30="可匯入模式清單","可進入排班建檔",'醫師模式規則輸入'!$U30)))</x:f>
      </x:c>
      <x:c r="Q43" s="579" t="str">
        <x:f>IF(OR($P43="可進入排班建檔",$P43="可供試行排班"),$A43,"")</x:f>
      </x:c>
    </x:row>
    <x:row r="44">
      <x:c r="A44" s="579" t="str">
        <x:f>IF('醫師模式規則輸入'!$D31="","",'醫師模式規則輸入'!$D31)</x:f>
      </x:c>
      <x:c r="B44" s="579" t="str">
        <x:f>IF($A44="","",'醫師模式規則輸入'!$B31)</x:f>
      </x:c>
      <x:c r="C44" s="579" t="str">
        <x:f>IF($A44="","",'醫師模式規則輸入'!$E31)</x:f>
      </x:c>
      <x:c r="D44" s="579" t="str">
        <x:f>IF($A44="","",'醫師模式規則輸入'!$F31)</x:f>
      </x:c>
      <x:c r="E44" s="579" t="str">
        <x:f>IF($A44="","",'醫師模式規則輸入'!$G31)</x:f>
      </x:c>
      <x:c r="F44" s="583" t="str">
        <x:f>IF($A44="","",'醫師模式規則輸入'!$H31)</x:f>
      </x:c>
      <x:c r="G44" s="583" t="str">
        <x:f>IF($A44="","",'醫師模式規則輸入'!$I31)</x:f>
      </x:c>
      <x:c r="H44" s="583" t="str">
        <x:f>IF($A44="","",'醫師模式規則輸入'!$J31)</x:f>
      </x:c>
      <x:c r="I44" s="583" t="str">
        <x:f>IF($A44="","",'醫師模式規則輸入'!$K31)</x:f>
      </x:c>
      <x:c r="J44" s="579" t="str">
        <x:f>IF($A44="","",'醫師模式規則輸入'!$A31)</x:f>
      </x:c>
      <x:c r="K44" s="579" t="str">
        <x:f>IF($A44="","",'醫師模式規則輸入'!$Q31)</x:f>
      </x:c>
      <x:c r="L44" s="579" t="str">
        <x:f>IF($A44="","",COUNTIFS('模式能力要求輸入'!$B$7:$B$306,$A44))</x:f>
      </x:c>
      <x:c r="M44" s="579" t="str">
        <x:f>IF($A44="","",COUNTIFS('模式能力要求輸入'!$B$7:$B$306,$A44,'模式能力要求輸入'!$R$7:$R$306,"可發布"))</x:f>
      </x:c>
      <x:c r="N44" s="579" t="str">
        <x:f>IF($A44="","",COUNTIFS('模式能力要求輸入'!$B$7:$B$306,$A44,'模式能力要求輸入'!$E$7:$E$306,"主跟診",'模式能力要求輸入'!$F$7:$F$306,"必備",'模式能力要求輸入'!$R$7:$R$306,"可發布"))</x:f>
      </x:c>
      <x:c r="O44" s="579" t="str">
        <x:f>IF($A44="","",'醫師模式規則輸入'!$T31)</x:f>
      </x:c>
      <x:c r="P44" s="579" t="str">
        <x:f>IF($A44="","",IF(COUNTIFS($A$7:$A$169,$A44)&gt;1,"模式代碼重複",IF('醫師模式規則輸入'!$U31="可匯入模式清單","可進入排班建檔",'醫師模式規則輸入'!$U31)))</x:f>
      </x:c>
      <x:c r="Q44" s="579" t="str">
        <x:f>IF(OR($P44="可進入排班建檔",$P44="可供試行排班"),$A44,"")</x:f>
      </x:c>
    </x:row>
    <x:row r="45">
      <x:c r="A45" s="579" t="str">
        <x:f>IF('醫師模式規則輸入'!$D32="","",'醫師模式規則輸入'!$D32)</x:f>
      </x:c>
      <x:c r="B45" s="579" t="str">
        <x:f>IF($A45="","",'醫師模式規則輸入'!$B32)</x:f>
      </x:c>
      <x:c r="C45" s="579" t="str">
        <x:f>IF($A45="","",'醫師模式規則輸入'!$E32)</x:f>
      </x:c>
      <x:c r="D45" s="579" t="str">
        <x:f>IF($A45="","",'醫師模式規則輸入'!$F32)</x:f>
      </x:c>
      <x:c r="E45" s="579" t="str">
        <x:f>IF($A45="","",'醫師模式規則輸入'!$G32)</x:f>
      </x:c>
      <x:c r="F45" s="583" t="str">
        <x:f>IF($A45="","",'醫師模式規則輸入'!$H32)</x:f>
      </x:c>
      <x:c r="G45" s="583" t="str">
        <x:f>IF($A45="","",'醫師模式規則輸入'!$I32)</x:f>
      </x:c>
      <x:c r="H45" s="583" t="str">
        <x:f>IF($A45="","",'醫師模式規則輸入'!$J32)</x:f>
      </x:c>
      <x:c r="I45" s="583" t="str">
        <x:f>IF($A45="","",'醫師模式規則輸入'!$K32)</x:f>
      </x:c>
      <x:c r="J45" s="579" t="str">
        <x:f>IF($A45="","",'醫師模式規則輸入'!$A32)</x:f>
      </x:c>
      <x:c r="K45" s="579" t="str">
        <x:f>IF($A45="","",'醫師模式規則輸入'!$Q32)</x:f>
      </x:c>
      <x:c r="L45" s="579" t="str">
        <x:f>IF($A45="","",COUNTIFS('模式能力要求輸入'!$B$7:$B$306,$A45))</x:f>
      </x:c>
      <x:c r="M45" s="579" t="str">
        <x:f>IF($A45="","",COUNTIFS('模式能力要求輸入'!$B$7:$B$306,$A45,'模式能力要求輸入'!$R$7:$R$306,"可發布"))</x:f>
      </x:c>
      <x:c r="N45" s="579" t="str">
        <x:f>IF($A45="","",COUNTIFS('模式能力要求輸入'!$B$7:$B$306,$A45,'模式能力要求輸入'!$E$7:$E$306,"主跟診",'模式能力要求輸入'!$F$7:$F$306,"必備",'模式能力要求輸入'!$R$7:$R$306,"可發布"))</x:f>
      </x:c>
      <x:c r="O45" s="579" t="str">
        <x:f>IF($A45="","",'醫師模式規則輸入'!$T32)</x:f>
      </x:c>
      <x:c r="P45" s="579" t="str">
        <x:f>IF($A45="","",IF(COUNTIFS($A$7:$A$169,$A45)&gt;1,"模式代碼重複",IF('醫師模式規則輸入'!$U32="可匯入模式清單","可進入排班建檔",'醫師模式規則輸入'!$U32)))</x:f>
      </x:c>
      <x:c r="Q45" s="579" t="str">
        <x:f>IF(OR($P45="可進入排班建檔",$P45="可供試行排班"),$A45,"")</x:f>
      </x:c>
    </x:row>
    <x:row r="46">
      <x:c r="A46" s="579" t="str">
        <x:f>IF('醫師模式規則輸入'!$D33="","",'醫師模式規則輸入'!$D33)</x:f>
      </x:c>
      <x:c r="B46" s="579" t="str">
        <x:f>IF($A46="","",'醫師模式規則輸入'!$B33)</x:f>
      </x:c>
      <x:c r="C46" s="579" t="str">
        <x:f>IF($A46="","",'醫師模式規則輸入'!$E33)</x:f>
      </x:c>
      <x:c r="D46" s="579" t="str">
        <x:f>IF($A46="","",'醫師模式規則輸入'!$F33)</x:f>
      </x:c>
      <x:c r="E46" s="579" t="str">
        <x:f>IF($A46="","",'醫師模式規則輸入'!$G33)</x:f>
      </x:c>
      <x:c r="F46" s="583" t="str">
        <x:f>IF($A46="","",'醫師模式規則輸入'!$H33)</x:f>
      </x:c>
      <x:c r="G46" s="583" t="str">
        <x:f>IF($A46="","",'醫師模式規則輸入'!$I33)</x:f>
      </x:c>
      <x:c r="H46" s="583" t="str">
        <x:f>IF($A46="","",'醫師模式規則輸入'!$J33)</x:f>
      </x:c>
      <x:c r="I46" s="583" t="str">
        <x:f>IF($A46="","",'醫師模式規則輸入'!$K33)</x:f>
      </x:c>
      <x:c r="J46" s="579" t="str">
        <x:f>IF($A46="","",'醫師模式規則輸入'!$A33)</x:f>
      </x:c>
      <x:c r="K46" s="579" t="str">
        <x:f>IF($A46="","",'醫師模式規則輸入'!$Q33)</x:f>
      </x:c>
      <x:c r="L46" s="579" t="str">
        <x:f>IF($A46="","",COUNTIFS('模式能力要求輸入'!$B$7:$B$306,$A46))</x:f>
      </x:c>
      <x:c r="M46" s="579" t="str">
        <x:f>IF($A46="","",COUNTIFS('模式能力要求輸入'!$B$7:$B$306,$A46,'模式能力要求輸入'!$R$7:$R$306,"可發布"))</x:f>
      </x:c>
      <x:c r="N46" s="579" t="str">
        <x:f>IF($A46="","",COUNTIFS('模式能力要求輸入'!$B$7:$B$306,$A46,'模式能力要求輸入'!$E$7:$E$306,"主跟診",'模式能力要求輸入'!$F$7:$F$306,"必備",'模式能力要求輸入'!$R$7:$R$306,"可發布"))</x:f>
      </x:c>
      <x:c r="O46" s="579" t="str">
        <x:f>IF($A46="","",'醫師模式規則輸入'!$T33)</x:f>
      </x:c>
      <x:c r="P46" s="579" t="str">
        <x:f>IF($A46="","",IF(COUNTIFS($A$7:$A$169,$A46)&gt;1,"模式代碼重複",IF('醫師模式規則輸入'!$U33="可匯入模式清單","可進入排班建檔",'醫師模式規則輸入'!$U33)))</x:f>
      </x:c>
      <x:c r="Q46" s="579" t="str">
        <x:f>IF(OR($P46="可進入排班建檔",$P46="可供試行排班"),$A46,"")</x:f>
      </x:c>
    </x:row>
    <x:row r="47">
      <x:c r="A47" s="579" t="str">
        <x:f>IF('醫師模式規則輸入'!$D34="","",'醫師模式規則輸入'!$D34)</x:f>
      </x:c>
      <x:c r="B47" s="579" t="str">
        <x:f>IF($A47="","",'醫師模式規則輸入'!$B34)</x:f>
      </x:c>
      <x:c r="C47" s="579" t="str">
        <x:f>IF($A47="","",'醫師模式規則輸入'!$E34)</x:f>
      </x:c>
      <x:c r="D47" s="579" t="str">
        <x:f>IF($A47="","",'醫師模式規則輸入'!$F34)</x:f>
      </x:c>
      <x:c r="E47" s="579" t="str">
        <x:f>IF($A47="","",'醫師模式規則輸入'!$G34)</x:f>
      </x:c>
      <x:c r="F47" s="583" t="str">
        <x:f>IF($A47="","",'醫師模式規則輸入'!$H34)</x:f>
      </x:c>
      <x:c r="G47" s="583" t="str">
        <x:f>IF($A47="","",'醫師模式規則輸入'!$I34)</x:f>
      </x:c>
      <x:c r="H47" s="583" t="str">
        <x:f>IF($A47="","",'醫師模式規則輸入'!$J34)</x:f>
      </x:c>
      <x:c r="I47" s="583" t="str">
        <x:f>IF($A47="","",'醫師模式規則輸入'!$K34)</x:f>
      </x:c>
      <x:c r="J47" s="579" t="str">
        <x:f>IF($A47="","",'醫師模式規則輸入'!$A34)</x:f>
      </x:c>
      <x:c r="K47" s="579" t="str">
        <x:f>IF($A47="","",'醫師模式規則輸入'!$Q34)</x:f>
      </x:c>
      <x:c r="L47" s="579" t="str">
        <x:f>IF($A47="","",COUNTIFS('模式能力要求輸入'!$B$7:$B$306,$A47))</x:f>
      </x:c>
      <x:c r="M47" s="579" t="str">
        <x:f>IF($A47="","",COUNTIFS('模式能力要求輸入'!$B$7:$B$306,$A47,'模式能力要求輸入'!$R$7:$R$306,"可發布"))</x:f>
      </x:c>
      <x:c r="N47" s="579" t="str">
        <x:f>IF($A47="","",COUNTIFS('模式能力要求輸入'!$B$7:$B$306,$A47,'模式能力要求輸入'!$E$7:$E$306,"主跟診",'模式能力要求輸入'!$F$7:$F$306,"必備",'模式能力要求輸入'!$R$7:$R$306,"可發布"))</x:f>
      </x:c>
      <x:c r="O47" s="579" t="str">
        <x:f>IF($A47="","",'醫師模式規則輸入'!$T34)</x:f>
      </x:c>
      <x:c r="P47" s="579" t="str">
        <x:f>IF($A47="","",IF(COUNTIFS($A$7:$A$169,$A47)&gt;1,"模式代碼重複",IF('醫師模式規則輸入'!$U34="可匯入模式清單","可進入排班建檔",'醫師模式規則輸入'!$U34)))</x:f>
      </x:c>
      <x:c r="Q47" s="579" t="str">
        <x:f>IF(OR($P47="可進入排班建檔",$P47="可供試行排班"),$A47,"")</x:f>
      </x:c>
    </x:row>
    <x:row r="48">
      <x:c r="A48" s="579" t="str">
        <x:f>IF('醫師模式規則輸入'!$D35="","",'醫師模式規則輸入'!$D35)</x:f>
      </x:c>
      <x:c r="B48" s="579" t="str">
        <x:f>IF($A48="","",'醫師模式規則輸入'!$B35)</x:f>
      </x:c>
      <x:c r="C48" s="579" t="str">
        <x:f>IF($A48="","",'醫師模式規則輸入'!$E35)</x:f>
      </x:c>
      <x:c r="D48" s="579" t="str">
        <x:f>IF($A48="","",'醫師模式規則輸入'!$F35)</x:f>
      </x:c>
      <x:c r="E48" s="579" t="str">
        <x:f>IF($A48="","",'醫師模式規則輸入'!$G35)</x:f>
      </x:c>
      <x:c r="F48" s="583" t="str">
        <x:f>IF($A48="","",'醫師模式規則輸入'!$H35)</x:f>
      </x:c>
      <x:c r="G48" s="583" t="str">
        <x:f>IF($A48="","",'醫師模式規則輸入'!$I35)</x:f>
      </x:c>
      <x:c r="H48" s="583" t="str">
        <x:f>IF($A48="","",'醫師模式規則輸入'!$J35)</x:f>
      </x:c>
      <x:c r="I48" s="583" t="str">
        <x:f>IF($A48="","",'醫師模式規則輸入'!$K35)</x:f>
      </x:c>
      <x:c r="J48" s="579" t="str">
        <x:f>IF($A48="","",'醫師模式規則輸入'!$A35)</x:f>
      </x:c>
      <x:c r="K48" s="579" t="str">
        <x:f>IF($A48="","",'醫師模式規則輸入'!$Q35)</x:f>
      </x:c>
      <x:c r="L48" s="579" t="str">
        <x:f>IF($A48="","",COUNTIFS('模式能力要求輸入'!$B$7:$B$306,$A48))</x:f>
      </x:c>
      <x:c r="M48" s="579" t="str">
        <x:f>IF($A48="","",COUNTIFS('模式能力要求輸入'!$B$7:$B$306,$A48,'模式能力要求輸入'!$R$7:$R$306,"可發布"))</x:f>
      </x:c>
      <x:c r="N48" s="579" t="str">
        <x:f>IF($A48="","",COUNTIFS('模式能力要求輸入'!$B$7:$B$306,$A48,'模式能力要求輸入'!$E$7:$E$306,"主跟診",'模式能力要求輸入'!$F$7:$F$306,"必備",'模式能力要求輸入'!$R$7:$R$306,"可發布"))</x:f>
      </x:c>
      <x:c r="O48" s="579" t="str">
        <x:f>IF($A48="","",'醫師模式規則輸入'!$T35)</x:f>
      </x:c>
      <x:c r="P48" s="579" t="str">
        <x:f>IF($A48="","",IF(COUNTIFS($A$7:$A$169,$A48)&gt;1,"模式代碼重複",IF('醫師模式規則輸入'!$U35="可匯入模式清單","可進入排班建檔",'醫師模式規則輸入'!$U35)))</x:f>
      </x:c>
      <x:c r="Q48" s="579" t="str">
        <x:f>IF(OR($P48="可進入排班建檔",$P48="可供試行排班"),$A48,"")</x:f>
      </x:c>
    </x:row>
    <x:row r="49">
      <x:c r="A49" s="579" t="str">
        <x:f>IF('醫師模式規則輸入'!$D36="","",'醫師模式規則輸入'!$D36)</x:f>
      </x:c>
      <x:c r="B49" s="579" t="str">
        <x:f>IF($A49="","",'醫師模式規則輸入'!$B36)</x:f>
      </x:c>
      <x:c r="C49" s="579" t="str">
        <x:f>IF($A49="","",'醫師模式規則輸入'!$E36)</x:f>
      </x:c>
      <x:c r="D49" s="579" t="str">
        <x:f>IF($A49="","",'醫師模式規則輸入'!$F36)</x:f>
      </x:c>
      <x:c r="E49" s="579" t="str">
        <x:f>IF($A49="","",'醫師模式規則輸入'!$G36)</x:f>
      </x:c>
      <x:c r="F49" s="583" t="str">
        <x:f>IF($A49="","",'醫師模式規則輸入'!$H36)</x:f>
      </x:c>
      <x:c r="G49" s="583" t="str">
        <x:f>IF($A49="","",'醫師模式規則輸入'!$I36)</x:f>
      </x:c>
      <x:c r="H49" s="583" t="str">
        <x:f>IF($A49="","",'醫師模式規則輸入'!$J36)</x:f>
      </x:c>
      <x:c r="I49" s="583" t="str">
        <x:f>IF($A49="","",'醫師模式規則輸入'!$K36)</x:f>
      </x:c>
      <x:c r="J49" s="579" t="str">
        <x:f>IF($A49="","",'醫師模式規則輸入'!$A36)</x:f>
      </x:c>
      <x:c r="K49" s="579" t="str">
        <x:f>IF($A49="","",'醫師模式規則輸入'!$Q36)</x:f>
      </x:c>
      <x:c r="L49" s="579" t="str">
        <x:f>IF($A49="","",COUNTIFS('模式能力要求輸入'!$B$7:$B$306,$A49))</x:f>
      </x:c>
      <x:c r="M49" s="579" t="str">
        <x:f>IF($A49="","",COUNTIFS('模式能力要求輸入'!$B$7:$B$306,$A49,'模式能力要求輸入'!$R$7:$R$306,"可發布"))</x:f>
      </x:c>
      <x:c r="N49" s="579" t="str">
        <x:f>IF($A49="","",COUNTIFS('模式能力要求輸入'!$B$7:$B$306,$A49,'模式能力要求輸入'!$E$7:$E$306,"主跟診",'模式能力要求輸入'!$F$7:$F$306,"必備",'模式能力要求輸入'!$R$7:$R$306,"可發布"))</x:f>
      </x:c>
      <x:c r="O49" s="579" t="str">
        <x:f>IF($A49="","",'醫師模式規則輸入'!$T36)</x:f>
      </x:c>
      <x:c r="P49" s="579" t="str">
        <x:f>IF($A49="","",IF(COUNTIFS($A$7:$A$169,$A49)&gt;1,"模式代碼重複",IF('醫師模式規則輸入'!$U36="可匯入模式清單","可進入排班建檔",'醫師模式規則輸入'!$U36)))</x:f>
      </x:c>
      <x:c r="Q49" s="579" t="str">
        <x:f>IF(OR($P49="可進入排班建檔",$P49="可供試行排班"),$A49,"")</x:f>
      </x:c>
    </x:row>
    <x:row r="50">
      <x:c r="A50" s="579" t="str">
        <x:f>IF('醫師模式規則輸入'!$D37="","",'醫師模式規則輸入'!$D37)</x:f>
      </x:c>
      <x:c r="B50" s="579" t="str">
        <x:f>IF($A50="","",'醫師模式規則輸入'!$B37)</x:f>
      </x:c>
      <x:c r="C50" s="579" t="str">
        <x:f>IF($A50="","",'醫師模式規則輸入'!$E37)</x:f>
      </x:c>
      <x:c r="D50" s="579" t="str">
        <x:f>IF($A50="","",'醫師模式規則輸入'!$F37)</x:f>
      </x:c>
      <x:c r="E50" s="579" t="str">
        <x:f>IF($A50="","",'醫師模式規則輸入'!$G37)</x:f>
      </x:c>
      <x:c r="F50" s="583" t="str">
        <x:f>IF($A50="","",'醫師模式規則輸入'!$H37)</x:f>
      </x:c>
      <x:c r="G50" s="583" t="str">
        <x:f>IF($A50="","",'醫師模式規則輸入'!$I37)</x:f>
      </x:c>
      <x:c r="H50" s="583" t="str">
        <x:f>IF($A50="","",'醫師模式規則輸入'!$J37)</x:f>
      </x:c>
      <x:c r="I50" s="583" t="str">
        <x:f>IF($A50="","",'醫師模式規則輸入'!$K37)</x:f>
      </x:c>
      <x:c r="J50" s="579" t="str">
        <x:f>IF($A50="","",'醫師模式規則輸入'!$A37)</x:f>
      </x:c>
      <x:c r="K50" s="579" t="str">
        <x:f>IF($A50="","",'醫師模式規則輸入'!$Q37)</x:f>
      </x:c>
      <x:c r="L50" s="579" t="str">
        <x:f>IF($A50="","",COUNTIFS('模式能力要求輸入'!$B$7:$B$306,$A50))</x:f>
      </x:c>
      <x:c r="M50" s="579" t="str">
        <x:f>IF($A50="","",COUNTIFS('模式能力要求輸入'!$B$7:$B$306,$A50,'模式能力要求輸入'!$R$7:$R$306,"可發布"))</x:f>
      </x:c>
      <x:c r="N50" s="579" t="str">
        <x:f>IF($A50="","",COUNTIFS('模式能力要求輸入'!$B$7:$B$306,$A50,'模式能力要求輸入'!$E$7:$E$306,"主跟診",'模式能力要求輸入'!$F$7:$F$306,"必備",'模式能力要求輸入'!$R$7:$R$306,"可發布"))</x:f>
      </x:c>
      <x:c r="O50" s="579" t="str">
        <x:f>IF($A50="","",'醫師模式規則輸入'!$T37)</x:f>
      </x:c>
      <x:c r="P50" s="579" t="str">
        <x:f>IF($A50="","",IF(COUNTIFS($A$7:$A$169,$A50)&gt;1,"模式代碼重複",IF('醫師模式規則輸入'!$U37="可匯入模式清單","可進入排班建檔",'醫師模式規則輸入'!$U37)))</x:f>
      </x:c>
      <x:c r="Q50" s="579" t="str">
        <x:f>IF(OR($P50="可進入排班建檔",$P50="可供試行排班"),$A50,"")</x:f>
      </x:c>
    </x:row>
    <x:row r="51">
      <x:c r="A51" s="579" t="str">
        <x:f>IF('醫師模式規則輸入'!$D38="","",'醫師模式規則輸入'!$D38)</x:f>
      </x:c>
      <x:c r="B51" s="579" t="str">
        <x:f>IF($A51="","",'醫師模式規則輸入'!$B38)</x:f>
      </x:c>
      <x:c r="C51" s="579" t="str">
        <x:f>IF($A51="","",'醫師模式規則輸入'!$E38)</x:f>
      </x:c>
      <x:c r="D51" s="579" t="str">
        <x:f>IF($A51="","",'醫師模式規則輸入'!$F38)</x:f>
      </x:c>
      <x:c r="E51" s="579" t="str">
        <x:f>IF($A51="","",'醫師模式規則輸入'!$G38)</x:f>
      </x:c>
      <x:c r="F51" s="583" t="str">
        <x:f>IF($A51="","",'醫師模式規則輸入'!$H38)</x:f>
      </x:c>
      <x:c r="G51" s="583" t="str">
        <x:f>IF($A51="","",'醫師模式規則輸入'!$I38)</x:f>
      </x:c>
      <x:c r="H51" s="583" t="str">
        <x:f>IF($A51="","",'醫師模式規則輸入'!$J38)</x:f>
      </x:c>
      <x:c r="I51" s="583" t="str">
        <x:f>IF($A51="","",'醫師模式規則輸入'!$K38)</x:f>
      </x:c>
      <x:c r="J51" s="579" t="str">
        <x:f>IF($A51="","",'醫師模式規則輸入'!$A38)</x:f>
      </x:c>
      <x:c r="K51" s="579" t="str">
        <x:f>IF($A51="","",'醫師模式規則輸入'!$Q38)</x:f>
      </x:c>
      <x:c r="L51" s="579" t="str">
        <x:f>IF($A51="","",COUNTIFS('模式能力要求輸入'!$B$7:$B$306,$A51))</x:f>
      </x:c>
      <x:c r="M51" s="579" t="str">
        <x:f>IF($A51="","",COUNTIFS('模式能力要求輸入'!$B$7:$B$306,$A51,'模式能力要求輸入'!$R$7:$R$306,"可發布"))</x:f>
      </x:c>
      <x:c r="N51" s="579" t="str">
        <x:f>IF($A51="","",COUNTIFS('模式能力要求輸入'!$B$7:$B$306,$A51,'模式能力要求輸入'!$E$7:$E$306,"主跟診",'模式能力要求輸入'!$F$7:$F$306,"必備",'模式能力要求輸入'!$R$7:$R$306,"可發布"))</x:f>
      </x:c>
      <x:c r="O51" s="579" t="str">
        <x:f>IF($A51="","",'醫師模式規則輸入'!$T38)</x:f>
      </x:c>
      <x:c r="P51" s="579" t="str">
        <x:f>IF($A51="","",IF(COUNTIFS($A$7:$A$169,$A51)&gt;1,"模式代碼重複",IF('醫師模式規則輸入'!$U38="可匯入模式清單","可進入排班建檔",'醫師模式規則輸入'!$U38)))</x:f>
      </x:c>
      <x:c r="Q51" s="579" t="str">
        <x:f>IF(OR($P51="可進入排班建檔",$P51="可供試行排班"),$A51,"")</x:f>
      </x:c>
    </x:row>
    <x:row r="52">
      <x:c r="A52" s="579" t="str">
        <x:f>IF('醫師模式規則輸入'!$D39="","",'醫師模式規則輸入'!$D39)</x:f>
      </x:c>
      <x:c r="B52" s="579" t="str">
        <x:f>IF($A52="","",'醫師模式規則輸入'!$B39)</x:f>
      </x:c>
      <x:c r="C52" s="579" t="str">
        <x:f>IF($A52="","",'醫師模式規則輸入'!$E39)</x:f>
      </x:c>
      <x:c r="D52" s="579" t="str">
        <x:f>IF($A52="","",'醫師模式規則輸入'!$F39)</x:f>
      </x:c>
      <x:c r="E52" s="579" t="str">
        <x:f>IF($A52="","",'醫師模式規則輸入'!$G39)</x:f>
      </x:c>
      <x:c r="F52" s="583" t="str">
        <x:f>IF($A52="","",'醫師模式規則輸入'!$H39)</x:f>
      </x:c>
      <x:c r="G52" s="583" t="str">
        <x:f>IF($A52="","",'醫師模式規則輸入'!$I39)</x:f>
      </x:c>
      <x:c r="H52" s="583" t="str">
        <x:f>IF($A52="","",'醫師模式規則輸入'!$J39)</x:f>
      </x:c>
      <x:c r="I52" s="583" t="str">
        <x:f>IF($A52="","",'醫師模式規則輸入'!$K39)</x:f>
      </x:c>
      <x:c r="J52" s="579" t="str">
        <x:f>IF($A52="","",'醫師模式規則輸入'!$A39)</x:f>
      </x:c>
      <x:c r="K52" s="579" t="str">
        <x:f>IF($A52="","",'醫師模式規則輸入'!$Q39)</x:f>
      </x:c>
      <x:c r="L52" s="579" t="str">
        <x:f>IF($A52="","",COUNTIFS('模式能力要求輸入'!$B$7:$B$306,$A52))</x:f>
      </x:c>
      <x:c r="M52" s="579" t="str">
        <x:f>IF($A52="","",COUNTIFS('模式能力要求輸入'!$B$7:$B$306,$A52,'模式能力要求輸入'!$R$7:$R$306,"可發布"))</x:f>
      </x:c>
      <x:c r="N52" s="579" t="str">
        <x:f>IF($A52="","",COUNTIFS('模式能力要求輸入'!$B$7:$B$306,$A52,'模式能力要求輸入'!$E$7:$E$306,"主跟診",'模式能力要求輸入'!$F$7:$F$306,"必備",'模式能力要求輸入'!$R$7:$R$306,"可發布"))</x:f>
      </x:c>
      <x:c r="O52" s="579" t="str">
        <x:f>IF($A52="","",'醫師模式規則輸入'!$T39)</x:f>
      </x:c>
      <x:c r="P52" s="579" t="str">
        <x:f>IF($A52="","",IF(COUNTIFS($A$7:$A$169,$A52)&gt;1,"模式代碼重複",IF('醫師模式規則輸入'!$U39="可匯入模式清單","可進入排班建檔",'醫師模式規則輸入'!$U39)))</x:f>
      </x:c>
      <x:c r="Q52" s="579" t="str">
        <x:f>IF(OR($P52="可進入排班建檔",$P52="可供試行排班"),$A52,"")</x:f>
      </x:c>
    </x:row>
    <x:row r="53">
      <x:c r="A53" s="579" t="str">
        <x:f>IF('醫師模式規則輸入'!$D40="","",'醫師模式規則輸入'!$D40)</x:f>
      </x:c>
      <x:c r="B53" s="579" t="str">
        <x:f>IF($A53="","",'醫師模式規則輸入'!$B40)</x:f>
      </x:c>
      <x:c r="C53" s="579" t="str">
        <x:f>IF($A53="","",'醫師模式規則輸入'!$E40)</x:f>
      </x:c>
      <x:c r="D53" s="579" t="str">
        <x:f>IF($A53="","",'醫師模式規則輸入'!$F40)</x:f>
      </x:c>
      <x:c r="E53" s="579" t="str">
        <x:f>IF($A53="","",'醫師模式規則輸入'!$G40)</x:f>
      </x:c>
      <x:c r="F53" s="583" t="str">
        <x:f>IF($A53="","",'醫師模式規則輸入'!$H40)</x:f>
      </x:c>
      <x:c r="G53" s="583" t="str">
        <x:f>IF($A53="","",'醫師模式規則輸入'!$I40)</x:f>
      </x:c>
      <x:c r="H53" s="583" t="str">
        <x:f>IF($A53="","",'醫師模式規則輸入'!$J40)</x:f>
      </x:c>
      <x:c r="I53" s="583" t="str">
        <x:f>IF($A53="","",'醫師模式規則輸入'!$K40)</x:f>
      </x:c>
      <x:c r="J53" s="579" t="str">
        <x:f>IF($A53="","",'醫師模式規則輸入'!$A40)</x:f>
      </x:c>
      <x:c r="K53" s="579" t="str">
        <x:f>IF($A53="","",'醫師模式規則輸入'!$Q40)</x:f>
      </x:c>
      <x:c r="L53" s="579" t="str">
        <x:f>IF($A53="","",COUNTIFS('模式能力要求輸入'!$B$7:$B$306,$A53))</x:f>
      </x:c>
      <x:c r="M53" s="579" t="str">
        <x:f>IF($A53="","",COUNTIFS('模式能力要求輸入'!$B$7:$B$306,$A53,'模式能力要求輸入'!$R$7:$R$306,"可發布"))</x:f>
      </x:c>
      <x:c r="N53" s="579" t="str">
        <x:f>IF($A53="","",COUNTIFS('模式能力要求輸入'!$B$7:$B$306,$A53,'模式能力要求輸入'!$E$7:$E$306,"主跟診",'模式能力要求輸入'!$F$7:$F$306,"必備",'模式能力要求輸入'!$R$7:$R$306,"可發布"))</x:f>
      </x:c>
      <x:c r="O53" s="579" t="str">
        <x:f>IF($A53="","",'醫師模式規則輸入'!$T40)</x:f>
      </x:c>
      <x:c r="P53" s="579" t="str">
        <x:f>IF($A53="","",IF(COUNTIFS($A$7:$A$169,$A53)&gt;1,"模式代碼重複",IF('醫師模式規則輸入'!$U40="可匯入模式清單","可進入排班建檔",'醫師模式規則輸入'!$U40)))</x:f>
      </x:c>
      <x:c r="Q53" s="579" t="str">
        <x:f>IF(OR($P53="可進入排班建檔",$P53="可供試行排班"),$A53,"")</x:f>
      </x:c>
    </x:row>
    <x:row r="54">
      <x:c r="A54" s="579" t="str">
        <x:f>IF('醫師模式規則輸入'!$D41="","",'醫師模式規則輸入'!$D41)</x:f>
      </x:c>
      <x:c r="B54" s="579" t="str">
        <x:f>IF($A54="","",'醫師模式規則輸入'!$B41)</x:f>
      </x:c>
      <x:c r="C54" s="579" t="str">
        <x:f>IF($A54="","",'醫師模式規則輸入'!$E41)</x:f>
      </x:c>
      <x:c r="D54" s="579" t="str">
        <x:f>IF($A54="","",'醫師模式規則輸入'!$F41)</x:f>
      </x:c>
      <x:c r="E54" s="579" t="str">
        <x:f>IF($A54="","",'醫師模式規則輸入'!$G41)</x:f>
      </x:c>
      <x:c r="F54" s="583" t="str">
        <x:f>IF($A54="","",'醫師模式規則輸入'!$H41)</x:f>
      </x:c>
      <x:c r="G54" s="583" t="str">
        <x:f>IF($A54="","",'醫師模式規則輸入'!$I41)</x:f>
      </x:c>
      <x:c r="H54" s="583" t="str">
        <x:f>IF($A54="","",'醫師模式規則輸入'!$J41)</x:f>
      </x:c>
      <x:c r="I54" s="583" t="str">
        <x:f>IF($A54="","",'醫師模式規則輸入'!$K41)</x:f>
      </x:c>
      <x:c r="J54" s="579" t="str">
        <x:f>IF($A54="","",'醫師模式規則輸入'!$A41)</x:f>
      </x:c>
      <x:c r="K54" s="579" t="str">
        <x:f>IF($A54="","",'醫師模式規則輸入'!$Q41)</x:f>
      </x:c>
      <x:c r="L54" s="579" t="str">
        <x:f>IF($A54="","",COUNTIFS('模式能力要求輸入'!$B$7:$B$306,$A54))</x:f>
      </x:c>
      <x:c r="M54" s="579" t="str">
        <x:f>IF($A54="","",COUNTIFS('模式能力要求輸入'!$B$7:$B$306,$A54,'模式能力要求輸入'!$R$7:$R$306,"可發布"))</x:f>
      </x:c>
      <x:c r="N54" s="579" t="str">
        <x:f>IF($A54="","",COUNTIFS('模式能力要求輸入'!$B$7:$B$306,$A54,'模式能力要求輸入'!$E$7:$E$306,"主跟診",'模式能力要求輸入'!$F$7:$F$306,"必備",'模式能力要求輸入'!$R$7:$R$306,"可發布"))</x:f>
      </x:c>
      <x:c r="O54" s="579" t="str">
        <x:f>IF($A54="","",'醫師模式規則輸入'!$T41)</x:f>
      </x:c>
      <x:c r="P54" s="579" t="str">
        <x:f>IF($A54="","",IF(COUNTIFS($A$7:$A$169,$A54)&gt;1,"模式代碼重複",IF('醫師模式規則輸入'!$U41="可匯入模式清單","可進入排班建檔",'醫師模式規則輸入'!$U41)))</x:f>
      </x:c>
      <x:c r="Q54" s="579" t="str">
        <x:f>IF(OR($P54="可進入排班建檔",$P54="可供試行排班"),$A54,"")</x:f>
      </x:c>
    </x:row>
    <x:row r="55">
      <x:c r="A55" s="579" t="str">
        <x:f>IF('醫師模式規則輸入'!$D42="","",'醫師模式規則輸入'!$D42)</x:f>
      </x:c>
      <x:c r="B55" s="579" t="str">
        <x:f>IF($A55="","",'醫師模式規則輸入'!$B42)</x:f>
      </x:c>
      <x:c r="C55" s="579" t="str">
        <x:f>IF($A55="","",'醫師模式規則輸入'!$E42)</x:f>
      </x:c>
      <x:c r="D55" s="579" t="str">
        <x:f>IF($A55="","",'醫師模式規則輸入'!$F42)</x:f>
      </x:c>
      <x:c r="E55" s="579" t="str">
        <x:f>IF($A55="","",'醫師模式規則輸入'!$G42)</x:f>
      </x:c>
      <x:c r="F55" s="583" t="str">
        <x:f>IF($A55="","",'醫師模式規則輸入'!$H42)</x:f>
      </x:c>
      <x:c r="G55" s="583" t="str">
        <x:f>IF($A55="","",'醫師模式規則輸入'!$I42)</x:f>
      </x:c>
      <x:c r="H55" s="583" t="str">
        <x:f>IF($A55="","",'醫師模式規則輸入'!$J42)</x:f>
      </x:c>
      <x:c r="I55" s="583" t="str">
        <x:f>IF($A55="","",'醫師模式規則輸入'!$K42)</x:f>
      </x:c>
      <x:c r="J55" s="579" t="str">
        <x:f>IF($A55="","",'醫師模式規則輸入'!$A42)</x:f>
      </x:c>
      <x:c r="K55" s="579" t="str">
        <x:f>IF($A55="","",'醫師模式規則輸入'!$Q42)</x:f>
      </x:c>
      <x:c r="L55" s="579" t="str">
        <x:f>IF($A55="","",COUNTIFS('模式能力要求輸入'!$B$7:$B$306,$A55))</x:f>
      </x:c>
      <x:c r="M55" s="579" t="str">
        <x:f>IF($A55="","",COUNTIFS('模式能力要求輸入'!$B$7:$B$306,$A55,'模式能力要求輸入'!$R$7:$R$306,"可發布"))</x:f>
      </x:c>
      <x:c r="N55" s="579" t="str">
        <x:f>IF($A55="","",COUNTIFS('模式能力要求輸入'!$B$7:$B$306,$A55,'模式能力要求輸入'!$E$7:$E$306,"主跟診",'模式能力要求輸入'!$F$7:$F$306,"必備",'模式能力要求輸入'!$R$7:$R$306,"可發布"))</x:f>
      </x:c>
      <x:c r="O55" s="579" t="str">
        <x:f>IF($A55="","",'醫師模式規則輸入'!$T42)</x:f>
      </x:c>
      <x:c r="P55" s="579" t="str">
        <x:f>IF($A55="","",IF(COUNTIFS($A$7:$A$169,$A55)&gt;1,"模式代碼重複",IF('醫師模式規則輸入'!$U42="可匯入模式清單","可進入排班建檔",'醫師模式規則輸入'!$U42)))</x:f>
      </x:c>
      <x:c r="Q55" s="579" t="str">
        <x:f>IF(OR($P55="可進入排班建檔",$P55="可供試行排班"),$A55,"")</x:f>
      </x:c>
    </x:row>
    <x:row r="56">
      <x:c r="A56" s="579" t="str">
        <x:f>IF('醫師模式規則輸入'!$D43="","",'醫師模式規則輸入'!$D43)</x:f>
      </x:c>
      <x:c r="B56" s="579" t="str">
        <x:f>IF($A56="","",'醫師模式規則輸入'!$B43)</x:f>
      </x:c>
      <x:c r="C56" s="579" t="str">
        <x:f>IF($A56="","",'醫師模式規則輸入'!$E43)</x:f>
      </x:c>
      <x:c r="D56" s="579" t="str">
        <x:f>IF($A56="","",'醫師模式規則輸入'!$F43)</x:f>
      </x:c>
      <x:c r="E56" s="579" t="str">
        <x:f>IF($A56="","",'醫師模式規則輸入'!$G43)</x:f>
      </x:c>
      <x:c r="F56" s="583" t="str">
        <x:f>IF($A56="","",'醫師模式規則輸入'!$H43)</x:f>
      </x:c>
      <x:c r="G56" s="583" t="str">
        <x:f>IF($A56="","",'醫師模式規則輸入'!$I43)</x:f>
      </x:c>
      <x:c r="H56" s="583" t="str">
        <x:f>IF($A56="","",'醫師模式規則輸入'!$J43)</x:f>
      </x:c>
      <x:c r="I56" s="583" t="str">
        <x:f>IF($A56="","",'醫師模式規則輸入'!$K43)</x:f>
      </x:c>
      <x:c r="J56" s="579" t="str">
        <x:f>IF($A56="","",'醫師模式規則輸入'!$A43)</x:f>
      </x:c>
      <x:c r="K56" s="579" t="str">
        <x:f>IF($A56="","",'醫師模式規則輸入'!$Q43)</x:f>
      </x:c>
      <x:c r="L56" s="579" t="str">
        <x:f>IF($A56="","",COUNTIFS('模式能力要求輸入'!$B$7:$B$306,$A56))</x:f>
      </x:c>
      <x:c r="M56" s="579" t="str">
        <x:f>IF($A56="","",COUNTIFS('模式能力要求輸入'!$B$7:$B$306,$A56,'模式能力要求輸入'!$R$7:$R$306,"可發布"))</x:f>
      </x:c>
      <x:c r="N56" s="579" t="str">
        <x:f>IF($A56="","",COUNTIFS('模式能力要求輸入'!$B$7:$B$306,$A56,'模式能力要求輸入'!$E$7:$E$306,"主跟診",'模式能力要求輸入'!$F$7:$F$306,"必備",'模式能力要求輸入'!$R$7:$R$306,"可發布"))</x:f>
      </x:c>
      <x:c r="O56" s="579" t="str">
        <x:f>IF($A56="","",'醫師模式規則輸入'!$T43)</x:f>
      </x:c>
      <x:c r="P56" s="579" t="str">
        <x:f>IF($A56="","",IF(COUNTIFS($A$7:$A$169,$A56)&gt;1,"模式代碼重複",IF('醫師模式規則輸入'!$U43="可匯入模式清單","可進入排班建檔",'醫師模式規則輸入'!$U43)))</x:f>
      </x:c>
      <x:c r="Q56" s="579" t="str">
        <x:f>IF(OR($P56="可進入排班建檔",$P56="可供試行排班"),$A56,"")</x:f>
      </x:c>
    </x:row>
    <x:row r="57">
      <x:c r="A57" s="579" t="str">
        <x:f>IF('醫師模式規則輸入'!$D44="","",'醫師模式規則輸入'!$D44)</x:f>
      </x:c>
      <x:c r="B57" s="579" t="str">
        <x:f>IF($A57="","",'醫師模式規則輸入'!$B44)</x:f>
      </x:c>
      <x:c r="C57" s="579" t="str">
        <x:f>IF($A57="","",'醫師模式規則輸入'!$E44)</x:f>
      </x:c>
      <x:c r="D57" s="579" t="str">
        <x:f>IF($A57="","",'醫師模式規則輸入'!$F44)</x:f>
      </x:c>
      <x:c r="E57" s="579" t="str">
        <x:f>IF($A57="","",'醫師模式規則輸入'!$G44)</x:f>
      </x:c>
      <x:c r="F57" s="583" t="str">
        <x:f>IF($A57="","",'醫師模式規則輸入'!$H44)</x:f>
      </x:c>
      <x:c r="G57" s="583" t="str">
        <x:f>IF($A57="","",'醫師模式規則輸入'!$I44)</x:f>
      </x:c>
      <x:c r="H57" s="583" t="str">
        <x:f>IF($A57="","",'醫師模式規則輸入'!$J44)</x:f>
      </x:c>
      <x:c r="I57" s="583" t="str">
        <x:f>IF($A57="","",'醫師模式規則輸入'!$K44)</x:f>
      </x:c>
      <x:c r="J57" s="579" t="str">
        <x:f>IF($A57="","",'醫師模式規則輸入'!$A44)</x:f>
      </x:c>
      <x:c r="K57" s="579" t="str">
        <x:f>IF($A57="","",'醫師模式規則輸入'!$Q44)</x:f>
      </x:c>
      <x:c r="L57" s="579" t="str">
        <x:f>IF($A57="","",COUNTIFS('模式能力要求輸入'!$B$7:$B$306,$A57))</x:f>
      </x:c>
      <x:c r="M57" s="579" t="str">
        <x:f>IF($A57="","",COUNTIFS('模式能力要求輸入'!$B$7:$B$306,$A57,'模式能力要求輸入'!$R$7:$R$306,"可發布"))</x:f>
      </x:c>
      <x:c r="N57" s="579" t="str">
        <x:f>IF($A57="","",COUNTIFS('模式能力要求輸入'!$B$7:$B$306,$A57,'模式能力要求輸入'!$E$7:$E$306,"主跟診",'模式能力要求輸入'!$F$7:$F$306,"必備",'模式能力要求輸入'!$R$7:$R$306,"可發布"))</x:f>
      </x:c>
      <x:c r="O57" s="579" t="str">
        <x:f>IF($A57="","",'醫師模式規則輸入'!$T44)</x:f>
      </x:c>
      <x:c r="P57" s="579" t="str">
        <x:f>IF($A57="","",IF(COUNTIFS($A$7:$A$169,$A57)&gt;1,"模式代碼重複",IF('醫師模式規則輸入'!$U44="可匯入模式清單","可進入排班建檔",'醫師模式規則輸入'!$U44)))</x:f>
      </x:c>
      <x:c r="Q57" s="579" t="str">
        <x:f>IF(OR($P57="可進入排班建檔",$P57="可供試行排班"),$A57,"")</x:f>
      </x:c>
    </x:row>
    <x:row r="58">
      <x:c r="A58" s="579" t="str">
        <x:f>IF('醫師模式規則輸入'!$D45="","",'醫師模式規則輸入'!$D45)</x:f>
      </x:c>
      <x:c r="B58" s="579" t="str">
        <x:f>IF($A58="","",'醫師模式規則輸入'!$B45)</x:f>
      </x:c>
      <x:c r="C58" s="579" t="str">
        <x:f>IF($A58="","",'醫師模式規則輸入'!$E45)</x:f>
      </x:c>
      <x:c r="D58" s="579" t="str">
        <x:f>IF($A58="","",'醫師模式規則輸入'!$F45)</x:f>
      </x:c>
      <x:c r="E58" s="579" t="str">
        <x:f>IF($A58="","",'醫師模式規則輸入'!$G45)</x:f>
      </x:c>
      <x:c r="F58" s="583" t="str">
        <x:f>IF($A58="","",'醫師模式規則輸入'!$H45)</x:f>
      </x:c>
      <x:c r="G58" s="583" t="str">
        <x:f>IF($A58="","",'醫師模式規則輸入'!$I45)</x:f>
      </x:c>
      <x:c r="H58" s="583" t="str">
        <x:f>IF($A58="","",'醫師模式規則輸入'!$J45)</x:f>
      </x:c>
      <x:c r="I58" s="583" t="str">
        <x:f>IF($A58="","",'醫師模式規則輸入'!$K45)</x:f>
      </x:c>
      <x:c r="J58" s="579" t="str">
        <x:f>IF($A58="","",'醫師模式規則輸入'!$A45)</x:f>
      </x:c>
      <x:c r="K58" s="579" t="str">
        <x:f>IF($A58="","",'醫師模式規則輸入'!$Q45)</x:f>
      </x:c>
      <x:c r="L58" s="579" t="str">
        <x:f>IF($A58="","",COUNTIFS('模式能力要求輸入'!$B$7:$B$306,$A58))</x:f>
      </x:c>
      <x:c r="M58" s="579" t="str">
        <x:f>IF($A58="","",COUNTIFS('模式能力要求輸入'!$B$7:$B$306,$A58,'模式能力要求輸入'!$R$7:$R$306,"可發布"))</x:f>
      </x:c>
      <x:c r="N58" s="579" t="str">
        <x:f>IF($A58="","",COUNTIFS('模式能力要求輸入'!$B$7:$B$306,$A58,'模式能力要求輸入'!$E$7:$E$306,"主跟診",'模式能力要求輸入'!$F$7:$F$306,"必備",'模式能力要求輸入'!$R$7:$R$306,"可發布"))</x:f>
      </x:c>
      <x:c r="O58" s="579" t="str">
        <x:f>IF($A58="","",'醫師模式規則輸入'!$T45)</x:f>
      </x:c>
      <x:c r="P58" s="579" t="str">
        <x:f>IF($A58="","",IF(COUNTIFS($A$7:$A$169,$A58)&gt;1,"模式代碼重複",IF('醫師模式規則輸入'!$U45="可匯入模式清單","可進入排班建檔",'醫師模式規則輸入'!$U45)))</x:f>
      </x:c>
      <x:c r="Q58" s="579" t="str">
        <x:f>IF(OR($P58="可進入排班建檔",$P58="可供試行排班"),$A58,"")</x:f>
      </x:c>
    </x:row>
    <x:row r="59">
      <x:c r="A59" s="579" t="str">
        <x:f>IF('醫師模式規則輸入'!$D46="","",'醫師模式規則輸入'!$D46)</x:f>
      </x:c>
      <x:c r="B59" s="579" t="str">
        <x:f>IF($A59="","",'醫師模式規則輸入'!$B46)</x:f>
      </x:c>
      <x:c r="C59" s="579" t="str">
        <x:f>IF($A59="","",'醫師模式規則輸入'!$E46)</x:f>
      </x:c>
      <x:c r="D59" s="579" t="str">
        <x:f>IF($A59="","",'醫師模式規則輸入'!$F46)</x:f>
      </x:c>
      <x:c r="E59" s="579" t="str">
        <x:f>IF($A59="","",'醫師模式規則輸入'!$G46)</x:f>
      </x:c>
      <x:c r="F59" s="583" t="str">
        <x:f>IF($A59="","",'醫師模式規則輸入'!$H46)</x:f>
      </x:c>
      <x:c r="G59" s="583" t="str">
        <x:f>IF($A59="","",'醫師模式規則輸入'!$I46)</x:f>
      </x:c>
      <x:c r="H59" s="583" t="str">
        <x:f>IF($A59="","",'醫師模式規則輸入'!$J46)</x:f>
      </x:c>
      <x:c r="I59" s="583" t="str">
        <x:f>IF($A59="","",'醫師模式規則輸入'!$K46)</x:f>
      </x:c>
      <x:c r="J59" s="579" t="str">
        <x:f>IF($A59="","",'醫師模式規則輸入'!$A46)</x:f>
      </x:c>
      <x:c r="K59" s="579" t="str">
        <x:f>IF($A59="","",'醫師模式規則輸入'!$Q46)</x:f>
      </x:c>
      <x:c r="L59" s="579" t="str">
        <x:f>IF($A59="","",COUNTIFS('模式能力要求輸入'!$B$7:$B$306,$A59))</x:f>
      </x:c>
      <x:c r="M59" s="579" t="str">
        <x:f>IF($A59="","",COUNTIFS('模式能力要求輸入'!$B$7:$B$306,$A59,'模式能力要求輸入'!$R$7:$R$306,"可發布"))</x:f>
      </x:c>
      <x:c r="N59" s="579" t="str">
        <x:f>IF($A59="","",COUNTIFS('模式能力要求輸入'!$B$7:$B$306,$A59,'模式能力要求輸入'!$E$7:$E$306,"主跟診",'模式能力要求輸入'!$F$7:$F$306,"必備",'模式能力要求輸入'!$R$7:$R$306,"可發布"))</x:f>
      </x:c>
      <x:c r="O59" s="579" t="str">
        <x:f>IF($A59="","",'醫師模式規則輸入'!$T46)</x:f>
      </x:c>
      <x:c r="P59" s="579" t="str">
        <x:f>IF($A59="","",IF(COUNTIFS($A$7:$A$169,$A59)&gt;1,"模式代碼重複",IF('醫師模式規則輸入'!$U46="可匯入模式清單","可進入排班建檔",'醫師模式規則輸入'!$U46)))</x:f>
      </x:c>
      <x:c r="Q59" s="579" t="str">
        <x:f>IF(OR($P59="可進入排班建檔",$P59="可供試行排班"),$A59,"")</x:f>
      </x:c>
    </x:row>
    <x:row r="60">
      <x:c r="A60" s="579" t="str">
        <x:f>IF('醫師模式規則輸入'!$D47="","",'醫師模式規則輸入'!$D47)</x:f>
      </x:c>
      <x:c r="B60" s="579" t="str">
        <x:f>IF($A60="","",'醫師模式規則輸入'!$B47)</x:f>
      </x:c>
      <x:c r="C60" s="579" t="str">
        <x:f>IF($A60="","",'醫師模式規則輸入'!$E47)</x:f>
      </x:c>
      <x:c r="D60" s="579" t="str">
        <x:f>IF($A60="","",'醫師模式規則輸入'!$F47)</x:f>
      </x:c>
      <x:c r="E60" s="579" t="str">
        <x:f>IF($A60="","",'醫師模式規則輸入'!$G47)</x:f>
      </x:c>
      <x:c r="F60" s="583" t="str">
        <x:f>IF($A60="","",'醫師模式規則輸入'!$H47)</x:f>
      </x:c>
      <x:c r="G60" s="583" t="str">
        <x:f>IF($A60="","",'醫師模式規則輸入'!$I47)</x:f>
      </x:c>
      <x:c r="H60" s="583" t="str">
        <x:f>IF($A60="","",'醫師模式規則輸入'!$J47)</x:f>
      </x:c>
      <x:c r="I60" s="583" t="str">
        <x:f>IF($A60="","",'醫師模式規則輸入'!$K47)</x:f>
      </x:c>
      <x:c r="J60" s="579" t="str">
        <x:f>IF($A60="","",'醫師模式規則輸入'!$A47)</x:f>
      </x:c>
      <x:c r="K60" s="579" t="str">
        <x:f>IF($A60="","",'醫師模式規則輸入'!$Q47)</x:f>
      </x:c>
      <x:c r="L60" s="579" t="str">
        <x:f>IF($A60="","",COUNTIFS('模式能力要求輸入'!$B$7:$B$306,$A60))</x:f>
      </x:c>
      <x:c r="M60" s="579" t="str">
        <x:f>IF($A60="","",COUNTIFS('模式能力要求輸入'!$B$7:$B$306,$A60,'模式能力要求輸入'!$R$7:$R$306,"可發布"))</x:f>
      </x:c>
      <x:c r="N60" s="579" t="str">
        <x:f>IF($A60="","",COUNTIFS('模式能力要求輸入'!$B$7:$B$306,$A60,'模式能力要求輸入'!$E$7:$E$306,"主跟診",'模式能力要求輸入'!$F$7:$F$306,"必備",'模式能力要求輸入'!$R$7:$R$306,"可發布"))</x:f>
      </x:c>
      <x:c r="O60" s="579" t="str">
        <x:f>IF($A60="","",'醫師模式規則輸入'!$T47)</x:f>
      </x:c>
      <x:c r="P60" s="579" t="str">
        <x:f>IF($A60="","",IF(COUNTIFS($A$7:$A$169,$A60)&gt;1,"模式代碼重複",IF('醫師模式規則輸入'!$U47="可匯入模式清單","可進入排班建檔",'醫師模式規則輸入'!$U47)))</x:f>
      </x:c>
      <x:c r="Q60" s="579" t="str">
        <x:f>IF(OR($P60="可進入排班建檔",$P60="可供試行排班"),$A60,"")</x:f>
      </x:c>
    </x:row>
    <x:row r="61">
      <x:c r="A61" s="579" t="str">
        <x:f>IF('醫師模式規則輸入'!$D48="","",'醫師模式規則輸入'!$D48)</x:f>
      </x:c>
      <x:c r="B61" s="579" t="str">
        <x:f>IF($A61="","",'醫師模式規則輸入'!$B48)</x:f>
      </x:c>
      <x:c r="C61" s="579" t="str">
        <x:f>IF($A61="","",'醫師模式規則輸入'!$E48)</x:f>
      </x:c>
      <x:c r="D61" s="579" t="str">
        <x:f>IF($A61="","",'醫師模式規則輸入'!$F48)</x:f>
      </x:c>
      <x:c r="E61" s="579" t="str">
        <x:f>IF($A61="","",'醫師模式規則輸入'!$G48)</x:f>
      </x:c>
      <x:c r="F61" s="583" t="str">
        <x:f>IF($A61="","",'醫師模式規則輸入'!$H48)</x:f>
      </x:c>
      <x:c r="G61" s="583" t="str">
        <x:f>IF($A61="","",'醫師模式規則輸入'!$I48)</x:f>
      </x:c>
      <x:c r="H61" s="583" t="str">
        <x:f>IF($A61="","",'醫師模式規則輸入'!$J48)</x:f>
      </x:c>
      <x:c r="I61" s="583" t="str">
        <x:f>IF($A61="","",'醫師模式規則輸入'!$K48)</x:f>
      </x:c>
      <x:c r="J61" s="579" t="str">
        <x:f>IF($A61="","",'醫師模式規則輸入'!$A48)</x:f>
      </x:c>
      <x:c r="K61" s="579" t="str">
        <x:f>IF($A61="","",'醫師模式規則輸入'!$Q48)</x:f>
      </x:c>
      <x:c r="L61" s="579" t="str">
        <x:f>IF($A61="","",COUNTIFS('模式能力要求輸入'!$B$7:$B$306,$A61))</x:f>
      </x:c>
      <x:c r="M61" s="579" t="str">
        <x:f>IF($A61="","",COUNTIFS('模式能力要求輸入'!$B$7:$B$306,$A61,'模式能力要求輸入'!$R$7:$R$306,"可發布"))</x:f>
      </x:c>
      <x:c r="N61" s="579" t="str">
        <x:f>IF($A61="","",COUNTIFS('模式能力要求輸入'!$B$7:$B$306,$A61,'模式能力要求輸入'!$E$7:$E$306,"主跟診",'模式能力要求輸入'!$F$7:$F$306,"必備",'模式能力要求輸入'!$R$7:$R$306,"可發布"))</x:f>
      </x:c>
      <x:c r="O61" s="579" t="str">
        <x:f>IF($A61="","",'醫師模式規則輸入'!$T48)</x:f>
      </x:c>
      <x:c r="P61" s="579" t="str">
        <x:f>IF($A61="","",IF(COUNTIFS($A$7:$A$169,$A61)&gt;1,"模式代碼重複",IF('醫師模式規則輸入'!$U48="可匯入模式清單","可進入排班建檔",'醫師模式規則輸入'!$U48)))</x:f>
      </x:c>
      <x:c r="Q61" s="579" t="str">
        <x:f>IF(OR($P61="可進入排班建檔",$P61="可供試行排班"),$A61,"")</x:f>
      </x:c>
    </x:row>
    <x:row r="62">
      <x:c r="A62" s="579" t="str">
        <x:f>IF('醫師模式規則輸入'!$D49="","",'醫師模式規則輸入'!$D49)</x:f>
      </x:c>
      <x:c r="B62" s="579" t="str">
        <x:f>IF($A62="","",'醫師模式規則輸入'!$B49)</x:f>
      </x:c>
      <x:c r="C62" s="579" t="str">
        <x:f>IF($A62="","",'醫師模式規則輸入'!$E49)</x:f>
      </x:c>
      <x:c r="D62" s="579" t="str">
        <x:f>IF($A62="","",'醫師模式規則輸入'!$F49)</x:f>
      </x:c>
      <x:c r="E62" s="579" t="str">
        <x:f>IF($A62="","",'醫師模式規則輸入'!$G49)</x:f>
      </x:c>
      <x:c r="F62" s="583" t="str">
        <x:f>IF($A62="","",'醫師模式規則輸入'!$H49)</x:f>
      </x:c>
      <x:c r="G62" s="583" t="str">
        <x:f>IF($A62="","",'醫師模式規則輸入'!$I49)</x:f>
      </x:c>
      <x:c r="H62" s="583" t="str">
        <x:f>IF($A62="","",'醫師模式規則輸入'!$J49)</x:f>
      </x:c>
      <x:c r="I62" s="583" t="str">
        <x:f>IF($A62="","",'醫師模式規則輸入'!$K49)</x:f>
      </x:c>
      <x:c r="J62" s="579" t="str">
        <x:f>IF($A62="","",'醫師模式規則輸入'!$A49)</x:f>
      </x:c>
      <x:c r="K62" s="579" t="str">
        <x:f>IF($A62="","",'醫師模式規則輸入'!$Q49)</x:f>
      </x:c>
      <x:c r="L62" s="579" t="str">
        <x:f>IF($A62="","",COUNTIFS('模式能力要求輸入'!$B$7:$B$306,$A62))</x:f>
      </x:c>
      <x:c r="M62" s="579" t="str">
        <x:f>IF($A62="","",COUNTIFS('模式能力要求輸入'!$B$7:$B$306,$A62,'模式能力要求輸入'!$R$7:$R$306,"可發布"))</x:f>
      </x:c>
      <x:c r="N62" s="579" t="str">
        <x:f>IF($A62="","",COUNTIFS('模式能力要求輸入'!$B$7:$B$306,$A62,'模式能力要求輸入'!$E$7:$E$306,"主跟診",'模式能力要求輸入'!$F$7:$F$306,"必備",'模式能力要求輸入'!$R$7:$R$306,"可發布"))</x:f>
      </x:c>
      <x:c r="O62" s="579" t="str">
        <x:f>IF($A62="","",'醫師模式規則輸入'!$T49)</x:f>
      </x:c>
      <x:c r="P62" s="579" t="str">
        <x:f>IF($A62="","",IF(COUNTIFS($A$7:$A$169,$A62)&gt;1,"模式代碼重複",IF('醫師模式規則輸入'!$U49="可匯入模式清單","可進入排班建檔",'醫師模式規則輸入'!$U49)))</x:f>
      </x:c>
      <x:c r="Q62" s="579" t="str">
        <x:f>IF(OR($P62="可進入排班建檔",$P62="可供試行排班"),$A62,"")</x:f>
      </x:c>
    </x:row>
    <x:row r="63">
      <x:c r="A63" s="579" t="str">
        <x:f>IF('醫師模式規則輸入'!$D50="","",'醫師模式規則輸入'!$D50)</x:f>
      </x:c>
      <x:c r="B63" s="579" t="str">
        <x:f>IF($A63="","",'醫師模式規則輸入'!$B50)</x:f>
      </x:c>
      <x:c r="C63" s="579" t="str">
        <x:f>IF($A63="","",'醫師模式規則輸入'!$E50)</x:f>
      </x:c>
      <x:c r="D63" s="579" t="str">
        <x:f>IF($A63="","",'醫師模式規則輸入'!$F50)</x:f>
      </x:c>
      <x:c r="E63" s="579" t="str">
        <x:f>IF($A63="","",'醫師模式規則輸入'!$G50)</x:f>
      </x:c>
      <x:c r="F63" s="583" t="str">
        <x:f>IF($A63="","",'醫師模式規則輸入'!$H50)</x:f>
      </x:c>
      <x:c r="G63" s="583" t="str">
        <x:f>IF($A63="","",'醫師模式規則輸入'!$I50)</x:f>
      </x:c>
      <x:c r="H63" s="583" t="str">
        <x:f>IF($A63="","",'醫師模式規則輸入'!$J50)</x:f>
      </x:c>
      <x:c r="I63" s="583" t="str">
        <x:f>IF($A63="","",'醫師模式規則輸入'!$K50)</x:f>
      </x:c>
      <x:c r="J63" s="579" t="str">
        <x:f>IF($A63="","",'醫師模式規則輸入'!$A50)</x:f>
      </x:c>
      <x:c r="K63" s="579" t="str">
        <x:f>IF($A63="","",'醫師模式規則輸入'!$Q50)</x:f>
      </x:c>
      <x:c r="L63" s="579" t="str">
        <x:f>IF($A63="","",COUNTIFS('模式能力要求輸入'!$B$7:$B$306,$A63))</x:f>
      </x:c>
      <x:c r="M63" s="579" t="str">
        <x:f>IF($A63="","",COUNTIFS('模式能力要求輸入'!$B$7:$B$306,$A63,'模式能力要求輸入'!$R$7:$R$306,"可發布"))</x:f>
      </x:c>
      <x:c r="N63" s="579" t="str">
        <x:f>IF($A63="","",COUNTIFS('模式能力要求輸入'!$B$7:$B$306,$A63,'模式能力要求輸入'!$E$7:$E$306,"主跟診",'模式能力要求輸入'!$F$7:$F$306,"必備",'模式能力要求輸入'!$R$7:$R$306,"可發布"))</x:f>
      </x:c>
      <x:c r="O63" s="579" t="str">
        <x:f>IF($A63="","",'醫師模式規則輸入'!$T50)</x:f>
      </x:c>
      <x:c r="P63" s="579" t="str">
        <x:f>IF($A63="","",IF(COUNTIFS($A$7:$A$169,$A63)&gt;1,"模式代碼重複",IF('醫師模式規則輸入'!$U50="可匯入模式清單","可進入排班建檔",'醫師模式規則輸入'!$U50)))</x:f>
      </x:c>
      <x:c r="Q63" s="579" t="str">
        <x:f>IF(OR($P63="可進入排班建檔",$P63="可供試行排班"),$A63,"")</x:f>
      </x:c>
    </x:row>
    <x:row r="64">
      <x:c r="A64" s="579" t="str">
        <x:f>IF('醫師模式規則輸入'!$D51="","",'醫師模式規則輸入'!$D51)</x:f>
      </x:c>
      <x:c r="B64" s="579" t="str">
        <x:f>IF($A64="","",'醫師模式規則輸入'!$B51)</x:f>
      </x:c>
      <x:c r="C64" s="579" t="str">
        <x:f>IF($A64="","",'醫師模式規則輸入'!$E51)</x:f>
      </x:c>
      <x:c r="D64" s="579" t="str">
        <x:f>IF($A64="","",'醫師模式規則輸入'!$F51)</x:f>
      </x:c>
      <x:c r="E64" s="579" t="str">
        <x:f>IF($A64="","",'醫師模式規則輸入'!$G51)</x:f>
      </x:c>
      <x:c r="F64" s="583" t="str">
        <x:f>IF($A64="","",'醫師模式規則輸入'!$H51)</x:f>
      </x:c>
      <x:c r="G64" s="583" t="str">
        <x:f>IF($A64="","",'醫師模式規則輸入'!$I51)</x:f>
      </x:c>
      <x:c r="H64" s="583" t="str">
        <x:f>IF($A64="","",'醫師模式規則輸入'!$J51)</x:f>
      </x:c>
      <x:c r="I64" s="583" t="str">
        <x:f>IF($A64="","",'醫師模式規則輸入'!$K51)</x:f>
      </x:c>
      <x:c r="J64" s="579" t="str">
        <x:f>IF($A64="","",'醫師模式規則輸入'!$A51)</x:f>
      </x:c>
      <x:c r="K64" s="579" t="str">
        <x:f>IF($A64="","",'醫師模式規則輸入'!$Q51)</x:f>
      </x:c>
      <x:c r="L64" s="579" t="str">
        <x:f>IF($A64="","",COUNTIFS('模式能力要求輸入'!$B$7:$B$306,$A64))</x:f>
      </x:c>
      <x:c r="M64" s="579" t="str">
        <x:f>IF($A64="","",COUNTIFS('模式能力要求輸入'!$B$7:$B$306,$A64,'模式能力要求輸入'!$R$7:$R$306,"可發布"))</x:f>
      </x:c>
      <x:c r="N64" s="579" t="str">
        <x:f>IF($A64="","",COUNTIFS('模式能力要求輸入'!$B$7:$B$306,$A64,'模式能力要求輸入'!$E$7:$E$306,"主跟診",'模式能力要求輸入'!$F$7:$F$306,"必備",'模式能力要求輸入'!$R$7:$R$306,"可發布"))</x:f>
      </x:c>
      <x:c r="O64" s="579" t="str">
        <x:f>IF($A64="","",'醫師模式規則輸入'!$T51)</x:f>
      </x:c>
      <x:c r="P64" s="579" t="str">
        <x:f>IF($A64="","",IF(COUNTIFS($A$7:$A$169,$A64)&gt;1,"模式代碼重複",IF('醫師模式規則輸入'!$U51="可匯入模式清單","可進入排班建檔",'醫師模式規則輸入'!$U51)))</x:f>
      </x:c>
      <x:c r="Q64" s="579" t="str">
        <x:f>IF(OR($P64="可進入排班建檔",$P64="可供試行排班"),$A64,"")</x:f>
      </x:c>
    </x:row>
    <x:row r="65">
      <x:c r="A65" s="579" t="str">
        <x:f>IF('醫師模式規則輸入'!$D52="","",'醫師模式規則輸入'!$D52)</x:f>
      </x:c>
      <x:c r="B65" s="579" t="str">
        <x:f>IF($A65="","",'醫師模式規則輸入'!$B52)</x:f>
      </x:c>
      <x:c r="C65" s="579" t="str">
        <x:f>IF($A65="","",'醫師模式規則輸入'!$E52)</x:f>
      </x:c>
      <x:c r="D65" s="579" t="str">
        <x:f>IF($A65="","",'醫師模式規則輸入'!$F52)</x:f>
      </x:c>
      <x:c r="E65" s="579" t="str">
        <x:f>IF($A65="","",'醫師模式規則輸入'!$G52)</x:f>
      </x:c>
      <x:c r="F65" s="583" t="str">
        <x:f>IF($A65="","",'醫師模式規則輸入'!$H52)</x:f>
      </x:c>
      <x:c r="G65" s="583" t="str">
        <x:f>IF($A65="","",'醫師模式規則輸入'!$I52)</x:f>
      </x:c>
      <x:c r="H65" s="583" t="str">
        <x:f>IF($A65="","",'醫師模式規則輸入'!$J52)</x:f>
      </x:c>
      <x:c r="I65" s="583" t="str">
        <x:f>IF($A65="","",'醫師模式規則輸入'!$K52)</x:f>
      </x:c>
      <x:c r="J65" s="579" t="str">
        <x:f>IF($A65="","",'醫師模式規則輸入'!$A52)</x:f>
      </x:c>
      <x:c r="K65" s="579" t="str">
        <x:f>IF($A65="","",'醫師模式規則輸入'!$Q52)</x:f>
      </x:c>
      <x:c r="L65" s="579" t="str">
        <x:f>IF($A65="","",COUNTIFS('模式能力要求輸入'!$B$7:$B$306,$A65))</x:f>
      </x:c>
      <x:c r="M65" s="579" t="str">
        <x:f>IF($A65="","",COUNTIFS('模式能力要求輸入'!$B$7:$B$306,$A65,'模式能力要求輸入'!$R$7:$R$306,"可發布"))</x:f>
      </x:c>
      <x:c r="N65" s="579" t="str">
        <x:f>IF($A65="","",COUNTIFS('模式能力要求輸入'!$B$7:$B$306,$A65,'模式能力要求輸入'!$E$7:$E$306,"主跟診",'模式能力要求輸入'!$F$7:$F$306,"必備",'模式能力要求輸入'!$R$7:$R$306,"可發布"))</x:f>
      </x:c>
      <x:c r="O65" s="579" t="str">
        <x:f>IF($A65="","",'醫師模式規則輸入'!$T52)</x:f>
      </x:c>
      <x:c r="P65" s="579" t="str">
        <x:f>IF($A65="","",IF(COUNTIFS($A$7:$A$169,$A65)&gt;1,"模式代碼重複",IF('醫師模式規則輸入'!$U52="可匯入模式清單","可進入排班建檔",'醫師模式規則輸入'!$U52)))</x:f>
      </x:c>
      <x:c r="Q65" s="579" t="str">
        <x:f>IF(OR($P65="可進入排班建檔",$P65="可供試行排班"),$A65,"")</x:f>
      </x:c>
    </x:row>
    <x:row r="66">
      <x:c r="A66" s="579" t="str">
        <x:f>IF('醫師模式規則輸入'!$D53="","",'醫師模式規則輸入'!$D53)</x:f>
      </x:c>
      <x:c r="B66" s="579" t="str">
        <x:f>IF($A66="","",'醫師模式規則輸入'!$B53)</x:f>
      </x:c>
      <x:c r="C66" s="579" t="str">
        <x:f>IF($A66="","",'醫師模式規則輸入'!$E53)</x:f>
      </x:c>
      <x:c r="D66" s="579" t="str">
        <x:f>IF($A66="","",'醫師模式規則輸入'!$F53)</x:f>
      </x:c>
      <x:c r="E66" s="579" t="str">
        <x:f>IF($A66="","",'醫師模式規則輸入'!$G53)</x:f>
      </x:c>
      <x:c r="F66" s="583" t="str">
        <x:f>IF($A66="","",'醫師模式規則輸入'!$H53)</x:f>
      </x:c>
      <x:c r="G66" s="583" t="str">
        <x:f>IF($A66="","",'醫師模式規則輸入'!$I53)</x:f>
      </x:c>
      <x:c r="H66" s="583" t="str">
        <x:f>IF($A66="","",'醫師模式規則輸入'!$J53)</x:f>
      </x:c>
      <x:c r="I66" s="583" t="str">
        <x:f>IF($A66="","",'醫師模式規則輸入'!$K53)</x:f>
      </x:c>
      <x:c r="J66" s="579" t="str">
        <x:f>IF($A66="","",'醫師模式規則輸入'!$A53)</x:f>
      </x:c>
      <x:c r="K66" s="579" t="str">
        <x:f>IF($A66="","",'醫師模式規則輸入'!$Q53)</x:f>
      </x:c>
      <x:c r="L66" s="579" t="str">
        <x:f>IF($A66="","",COUNTIFS('模式能力要求輸入'!$B$7:$B$306,$A66))</x:f>
      </x:c>
      <x:c r="M66" s="579" t="str">
        <x:f>IF($A66="","",COUNTIFS('模式能力要求輸入'!$B$7:$B$306,$A66,'模式能力要求輸入'!$R$7:$R$306,"可發布"))</x:f>
      </x:c>
      <x:c r="N66" s="579" t="str">
        <x:f>IF($A66="","",COUNTIFS('模式能力要求輸入'!$B$7:$B$306,$A66,'模式能力要求輸入'!$E$7:$E$306,"主跟診",'模式能力要求輸入'!$F$7:$F$306,"必備",'模式能力要求輸入'!$R$7:$R$306,"可發布"))</x:f>
      </x:c>
      <x:c r="O66" s="579" t="str">
        <x:f>IF($A66="","",'醫師模式規則輸入'!$T53)</x:f>
      </x:c>
      <x:c r="P66" s="579" t="str">
        <x:f>IF($A66="","",IF(COUNTIFS($A$7:$A$169,$A66)&gt;1,"模式代碼重複",IF('醫師模式規則輸入'!$U53="可匯入模式清單","可進入排班建檔",'醫師模式規則輸入'!$U53)))</x:f>
      </x:c>
      <x:c r="Q66" s="579" t="str">
        <x:f>IF(OR($P66="可進入排班建檔",$P66="可供試行排班"),$A66,"")</x:f>
      </x:c>
    </x:row>
    <x:row r="67">
      <x:c r="A67" s="579" t="str">
        <x:f>IF('醫師模式規則輸入'!$D54="","",'醫師模式規則輸入'!$D54)</x:f>
      </x:c>
      <x:c r="B67" s="579" t="str">
        <x:f>IF($A67="","",'醫師模式規則輸入'!$B54)</x:f>
      </x:c>
      <x:c r="C67" s="579" t="str">
        <x:f>IF($A67="","",'醫師模式規則輸入'!$E54)</x:f>
      </x:c>
      <x:c r="D67" s="579" t="str">
        <x:f>IF($A67="","",'醫師模式規則輸入'!$F54)</x:f>
      </x:c>
      <x:c r="E67" s="579" t="str">
        <x:f>IF($A67="","",'醫師模式規則輸入'!$G54)</x:f>
      </x:c>
      <x:c r="F67" s="583" t="str">
        <x:f>IF($A67="","",'醫師模式規則輸入'!$H54)</x:f>
      </x:c>
      <x:c r="G67" s="583" t="str">
        <x:f>IF($A67="","",'醫師模式規則輸入'!$I54)</x:f>
      </x:c>
      <x:c r="H67" s="583" t="str">
        <x:f>IF($A67="","",'醫師模式規則輸入'!$J54)</x:f>
      </x:c>
      <x:c r="I67" s="583" t="str">
        <x:f>IF($A67="","",'醫師模式規則輸入'!$K54)</x:f>
      </x:c>
      <x:c r="J67" s="579" t="str">
        <x:f>IF($A67="","",'醫師模式規則輸入'!$A54)</x:f>
      </x:c>
      <x:c r="K67" s="579" t="str">
        <x:f>IF($A67="","",'醫師模式規則輸入'!$Q54)</x:f>
      </x:c>
      <x:c r="L67" s="579" t="str">
        <x:f>IF($A67="","",COUNTIFS('模式能力要求輸入'!$B$7:$B$306,$A67))</x:f>
      </x:c>
      <x:c r="M67" s="579" t="str">
        <x:f>IF($A67="","",COUNTIFS('模式能力要求輸入'!$B$7:$B$306,$A67,'模式能力要求輸入'!$R$7:$R$306,"可發布"))</x:f>
      </x:c>
      <x:c r="N67" s="579" t="str">
        <x:f>IF($A67="","",COUNTIFS('模式能力要求輸入'!$B$7:$B$306,$A67,'模式能力要求輸入'!$E$7:$E$306,"主跟診",'模式能力要求輸入'!$F$7:$F$306,"必備",'模式能力要求輸入'!$R$7:$R$306,"可發布"))</x:f>
      </x:c>
      <x:c r="O67" s="579" t="str">
        <x:f>IF($A67="","",'醫師模式規則輸入'!$T54)</x:f>
      </x:c>
      <x:c r="P67" s="579" t="str">
        <x:f>IF($A67="","",IF(COUNTIFS($A$7:$A$169,$A67)&gt;1,"模式代碼重複",IF('醫師模式規則輸入'!$U54="可匯入模式清單","可進入排班建檔",'醫師模式規則輸入'!$U54)))</x:f>
      </x:c>
      <x:c r="Q67" s="579" t="str">
        <x:f>IF(OR($P67="可進入排班建檔",$P67="可供試行排班"),$A67,"")</x:f>
      </x:c>
    </x:row>
    <x:row r="68">
      <x:c r="A68" s="579" t="str">
        <x:f>IF('醫師模式規則輸入'!$D55="","",'醫師模式規則輸入'!$D55)</x:f>
      </x:c>
      <x:c r="B68" s="579" t="str">
        <x:f>IF($A68="","",'醫師模式規則輸入'!$B55)</x:f>
      </x:c>
      <x:c r="C68" s="579" t="str">
        <x:f>IF($A68="","",'醫師模式規則輸入'!$E55)</x:f>
      </x:c>
      <x:c r="D68" s="579" t="str">
        <x:f>IF($A68="","",'醫師模式規則輸入'!$F55)</x:f>
      </x:c>
      <x:c r="E68" s="579" t="str">
        <x:f>IF($A68="","",'醫師模式規則輸入'!$G55)</x:f>
      </x:c>
      <x:c r="F68" s="583" t="str">
        <x:f>IF($A68="","",'醫師模式規則輸入'!$H55)</x:f>
      </x:c>
      <x:c r="G68" s="583" t="str">
        <x:f>IF($A68="","",'醫師模式規則輸入'!$I55)</x:f>
      </x:c>
      <x:c r="H68" s="583" t="str">
        <x:f>IF($A68="","",'醫師模式規則輸入'!$J55)</x:f>
      </x:c>
      <x:c r="I68" s="583" t="str">
        <x:f>IF($A68="","",'醫師模式規則輸入'!$K55)</x:f>
      </x:c>
      <x:c r="J68" s="579" t="str">
        <x:f>IF($A68="","",'醫師模式規則輸入'!$A55)</x:f>
      </x:c>
      <x:c r="K68" s="579" t="str">
        <x:f>IF($A68="","",'醫師模式規則輸入'!$Q55)</x:f>
      </x:c>
      <x:c r="L68" s="579" t="str">
        <x:f>IF($A68="","",COUNTIFS('模式能力要求輸入'!$B$7:$B$306,$A68))</x:f>
      </x:c>
      <x:c r="M68" s="579" t="str">
        <x:f>IF($A68="","",COUNTIFS('模式能力要求輸入'!$B$7:$B$306,$A68,'模式能力要求輸入'!$R$7:$R$306,"可發布"))</x:f>
      </x:c>
      <x:c r="N68" s="579" t="str">
        <x:f>IF($A68="","",COUNTIFS('模式能力要求輸入'!$B$7:$B$306,$A68,'模式能力要求輸入'!$E$7:$E$306,"主跟診",'模式能力要求輸入'!$F$7:$F$306,"必備",'模式能力要求輸入'!$R$7:$R$306,"可發布"))</x:f>
      </x:c>
      <x:c r="O68" s="579" t="str">
        <x:f>IF($A68="","",'醫師模式規則輸入'!$T55)</x:f>
      </x:c>
      <x:c r="P68" s="579" t="str">
        <x:f>IF($A68="","",IF(COUNTIFS($A$7:$A$169,$A68)&gt;1,"模式代碼重複",IF('醫師模式規則輸入'!$U55="可匯入模式清單","可進入排班建檔",'醫師模式規則輸入'!$U55)))</x:f>
      </x:c>
      <x:c r="Q68" s="579" t="str">
        <x:f>IF(OR($P68="可進入排班建檔",$P68="可供試行排班"),$A68,"")</x:f>
      </x:c>
    </x:row>
    <x:row r="69">
      <x:c r="A69" s="579" t="str">
        <x:f>IF('醫師模式規則輸入'!$D56="","",'醫師模式規則輸入'!$D56)</x:f>
      </x:c>
      <x:c r="B69" s="579" t="str">
        <x:f>IF($A69="","",'醫師模式規則輸入'!$B56)</x:f>
      </x:c>
      <x:c r="C69" s="579" t="str">
        <x:f>IF($A69="","",'醫師模式規則輸入'!$E56)</x:f>
      </x:c>
      <x:c r="D69" s="579" t="str">
        <x:f>IF($A69="","",'醫師模式規則輸入'!$F56)</x:f>
      </x:c>
      <x:c r="E69" s="579" t="str">
        <x:f>IF($A69="","",'醫師模式規則輸入'!$G56)</x:f>
      </x:c>
      <x:c r="F69" s="583" t="str">
        <x:f>IF($A69="","",'醫師模式規則輸入'!$H56)</x:f>
      </x:c>
      <x:c r="G69" s="583" t="str">
        <x:f>IF($A69="","",'醫師模式規則輸入'!$I56)</x:f>
      </x:c>
      <x:c r="H69" s="583" t="str">
        <x:f>IF($A69="","",'醫師模式規則輸入'!$J56)</x:f>
      </x:c>
      <x:c r="I69" s="583" t="str">
        <x:f>IF($A69="","",'醫師模式規則輸入'!$K56)</x:f>
      </x:c>
      <x:c r="J69" s="579" t="str">
        <x:f>IF($A69="","",'醫師模式規則輸入'!$A56)</x:f>
      </x:c>
      <x:c r="K69" s="579" t="str">
        <x:f>IF($A69="","",'醫師模式規則輸入'!$Q56)</x:f>
      </x:c>
      <x:c r="L69" s="579" t="str">
        <x:f>IF($A69="","",COUNTIFS('模式能力要求輸入'!$B$7:$B$306,$A69))</x:f>
      </x:c>
      <x:c r="M69" s="579" t="str">
        <x:f>IF($A69="","",COUNTIFS('模式能力要求輸入'!$B$7:$B$306,$A69,'模式能力要求輸入'!$R$7:$R$306,"可發布"))</x:f>
      </x:c>
      <x:c r="N69" s="579" t="str">
        <x:f>IF($A69="","",COUNTIFS('模式能力要求輸入'!$B$7:$B$306,$A69,'模式能力要求輸入'!$E$7:$E$306,"主跟診",'模式能力要求輸入'!$F$7:$F$306,"必備",'模式能力要求輸入'!$R$7:$R$306,"可發布"))</x:f>
      </x:c>
      <x:c r="O69" s="579" t="str">
        <x:f>IF($A69="","",'醫師模式規則輸入'!$T56)</x:f>
      </x:c>
      <x:c r="P69" s="579" t="str">
        <x:f>IF($A69="","",IF(COUNTIFS($A$7:$A$169,$A69)&gt;1,"模式代碼重複",IF('醫師模式規則輸入'!$U56="可匯入模式清單","可進入排班建檔",'醫師模式規則輸入'!$U56)))</x:f>
      </x:c>
      <x:c r="Q69" s="579" t="str">
        <x:f>IF(OR($P69="可進入排班建檔",$P69="可供試行排班"),$A69,"")</x:f>
      </x:c>
    </x:row>
    <x:row r="70">
      <x:c r="A70" s="579" t="str">
        <x:f>IF('醫師模式規則輸入'!$D57="","",'醫師模式規則輸入'!$D57)</x:f>
      </x:c>
      <x:c r="B70" s="579" t="str">
        <x:f>IF($A70="","",'醫師模式規則輸入'!$B57)</x:f>
      </x:c>
      <x:c r="C70" s="579" t="str">
        <x:f>IF($A70="","",'醫師模式規則輸入'!$E57)</x:f>
      </x:c>
      <x:c r="D70" s="579" t="str">
        <x:f>IF($A70="","",'醫師模式規則輸入'!$F57)</x:f>
      </x:c>
      <x:c r="E70" s="579" t="str">
        <x:f>IF($A70="","",'醫師模式規則輸入'!$G57)</x:f>
      </x:c>
      <x:c r="F70" s="583" t="str">
        <x:f>IF($A70="","",'醫師模式規則輸入'!$H57)</x:f>
      </x:c>
      <x:c r="G70" s="583" t="str">
        <x:f>IF($A70="","",'醫師模式規則輸入'!$I57)</x:f>
      </x:c>
      <x:c r="H70" s="583" t="str">
        <x:f>IF($A70="","",'醫師模式規則輸入'!$J57)</x:f>
      </x:c>
      <x:c r="I70" s="583" t="str">
        <x:f>IF($A70="","",'醫師模式規則輸入'!$K57)</x:f>
      </x:c>
      <x:c r="J70" s="579" t="str">
        <x:f>IF($A70="","",'醫師模式規則輸入'!$A57)</x:f>
      </x:c>
      <x:c r="K70" s="579" t="str">
        <x:f>IF($A70="","",'醫師模式規則輸入'!$Q57)</x:f>
      </x:c>
      <x:c r="L70" s="579" t="str">
        <x:f>IF($A70="","",COUNTIFS('模式能力要求輸入'!$B$7:$B$306,$A70))</x:f>
      </x:c>
      <x:c r="M70" s="579" t="str">
        <x:f>IF($A70="","",COUNTIFS('模式能力要求輸入'!$B$7:$B$306,$A70,'模式能力要求輸入'!$R$7:$R$306,"可發布"))</x:f>
      </x:c>
      <x:c r="N70" s="579" t="str">
        <x:f>IF($A70="","",COUNTIFS('模式能力要求輸入'!$B$7:$B$306,$A70,'模式能力要求輸入'!$E$7:$E$306,"主跟診",'模式能力要求輸入'!$F$7:$F$306,"必備",'模式能力要求輸入'!$R$7:$R$306,"可發布"))</x:f>
      </x:c>
      <x:c r="O70" s="579" t="str">
        <x:f>IF($A70="","",'醫師模式規則輸入'!$T57)</x:f>
      </x:c>
      <x:c r="P70" s="579" t="str">
        <x:f>IF($A70="","",IF(COUNTIFS($A$7:$A$169,$A70)&gt;1,"模式代碼重複",IF('醫師模式規則輸入'!$U57="可匯入模式清單","可進入排班建檔",'醫師模式規則輸入'!$U57)))</x:f>
      </x:c>
      <x:c r="Q70" s="579" t="str">
        <x:f>IF(OR($P70="可進入排班建檔",$P70="可供試行排班"),$A70,"")</x:f>
      </x:c>
    </x:row>
    <x:row r="71">
      <x:c r="A71" s="579" t="str">
        <x:f>IF('醫師模式規則輸入'!$D58="","",'醫師模式規則輸入'!$D58)</x:f>
      </x:c>
      <x:c r="B71" s="579" t="str">
        <x:f>IF($A71="","",'醫師模式規則輸入'!$B58)</x:f>
      </x:c>
      <x:c r="C71" s="579" t="str">
        <x:f>IF($A71="","",'醫師模式規則輸入'!$E58)</x:f>
      </x:c>
      <x:c r="D71" s="579" t="str">
        <x:f>IF($A71="","",'醫師模式規則輸入'!$F58)</x:f>
      </x:c>
      <x:c r="E71" s="579" t="str">
        <x:f>IF($A71="","",'醫師模式規則輸入'!$G58)</x:f>
      </x:c>
      <x:c r="F71" s="583" t="str">
        <x:f>IF($A71="","",'醫師模式規則輸入'!$H58)</x:f>
      </x:c>
      <x:c r="G71" s="583" t="str">
        <x:f>IF($A71="","",'醫師模式規則輸入'!$I58)</x:f>
      </x:c>
      <x:c r="H71" s="583" t="str">
        <x:f>IF($A71="","",'醫師模式規則輸入'!$J58)</x:f>
      </x:c>
      <x:c r="I71" s="583" t="str">
        <x:f>IF($A71="","",'醫師模式規則輸入'!$K58)</x:f>
      </x:c>
      <x:c r="J71" s="579" t="str">
        <x:f>IF($A71="","",'醫師模式規則輸入'!$A58)</x:f>
      </x:c>
      <x:c r="K71" s="579" t="str">
        <x:f>IF($A71="","",'醫師模式規則輸入'!$Q58)</x:f>
      </x:c>
      <x:c r="L71" s="579" t="str">
        <x:f>IF($A71="","",COUNTIFS('模式能力要求輸入'!$B$7:$B$306,$A71))</x:f>
      </x:c>
      <x:c r="M71" s="579" t="str">
        <x:f>IF($A71="","",COUNTIFS('模式能力要求輸入'!$B$7:$B$306,$A71,'模式能力要求輸入'!$R$7:$R$306,"可發布"))</x:f>
      </x:c>
      <x:c r="N71" s="579" t="str">
        <x:f>IF($A71="","",COUNTIFS('模式能力要求輸入'!$B$7:$B$306,$A71,'模式能力要求輸入'!$E$7:$E$306,"主跟診",'模式能力要求輸入'!$F$7:$F$306,"必備",'模式能力要求輸入'!$R$7:$R$306,"可發布"))</x:f>
      </x:c>
      <x:c r="O71" s="579" t="str">
        <x:f>IF($A71="","",'醫師模式規則輸入'!$T58)</x:f>
      </x:c>
      <x:c r="P71" s="579" t="str">
        <x:f>IF($A71="","",IF(COUNTIFS($A$7:$A$169,$A71)&gt;1,"模式代碼重複",IF('醫師模式規則輸入'!$U58="可匯入模式清單","可進入排班建檔",'醫師模式規則輸入'!$U58)))</x:f>
      </x:c>
      <x:c r="Q71" s="579" t="str">
        <x:f>IF(OR($P71="可進入排班建檔",$P71="可供試行排班"),$A71,"")</x:f>
      </x:c>
    </x:row>
    <x:row r="72">
      <x:c r="A72" s="579" t="str">
        <x:f>IF('醫師模式規則輸入'!$D59="","",'醫師模式規則輸入'!$D59)</x:f>
      </x:c>
      <x:c r="B72" s="579" t="str">
        <x:f>IF($A72="","",'醫師模式規則輸入'!$B59)</x:f>
      </x:c>
      <x:c r="C72" s="579" t="str">
        <x:f>IF($A72="","",'醫師模式規則輸入'!$E59)</x:f>
      </x:c>
      <x:c r="D72" s="579" t="str">
        <x:f>IF($A72="","",'醫師模式規則輸入'!$F59)</x:f>
      </x:c>
      <x:c r="E72" s="579" t="str">
        <x:f>IF($A72="","",'醫師模式規則輸入'!$G59)</x:f>
      </x:c>
      <x:c r="F72" s="583" t="str">
        <x:f>IF($A72="","",'醫師模式規則輸入'!$H59)</x:f>
      </x:c>
      <x:c r="G72" s="583" t="str">
        <x:f>IF($A72="","",'醫師模式規則輸入'!$I59)</x:f>
      </x:c>
      <x:c r="H72" s="583" t="str">
        <x:f>IF($A72="","",'醫師模式規則輸入'!$J59)</x:f>
      </x:c>
      <x:c r="I72" s="583" t="str">
        <x:f>IF($A72="","",'醫師模式規則輸入'!$K59)</x:f>
      </x:c>
      <x:c r="J72" s="579" t="str">
        <x:f>IF($A72="","",'醫師模式規則輸入'!$A59)</x:f>
      </x:c>
      <x:c r="K72" s="579" t="str">
        <x:f>IF($A72="","",'醫師模式規則輸入'!$Q59)</x:f>
      </x:c>
      <x:c r="L72" s="579" t="str">
        <x:f>IF($A72="","",COUNTIFS('模式能力要求輸入'!$B$7:$B$306,$A72))</x:f>
      </x:c>
      <x:c r="M72" s="579" t="str">
        <x:f>IF($A72="","",COUNTIFS('模式能力要求輸入'!$B$7:$B$306,$A72,'模式能力要求輸入'!$R$7:$R$306,"可發布"))</x:f>
      </x:c>
      <x:c r="N72" s="579" t="str">
        <x:f>IF($A72="","",COUNTIFS('模式能力要求輸入'!$B$7:$B$306,$A72,'模式能力要求輸入'!$E$7:$E$306,"主跟診",'模式能力要求輸入'!$F$7:$F$306,"必備",'模式能力要求輸入'!$R$7:$R$306,"可發布"))</x:f>
      </x:c>
      <x:c r="O72" s="579" t="str">
        <x:f>IF($A72="","",'醫師模式規則輸入'!$T59)</x:f>
      </x:c>
      <x:c r="P72" s="579" t="str">
        <x:f>IF($A72="","",IF(COUNTIFS($A$7:$A$169,$A72)&gt;1,"模式代碼重複",IF('醫師模式規則輸入'!$U59="可匯入模式清單","可進入排班建檔",'醫師模式規則輸入'!$U59)))</x:f>
      </x:c>
      <x:c r="Q72" s="579" t="str">
        <x:f>IF(OR($P72="可進入排班建檔",$P72="可供試行排班"),$A72,"")</x:f>
      </x:c>
    </x:row>
    <x:row r="73">
      <x:c r="A73" s="579" t="str">
        <x:f>IF('醫師模式規則輸入'!$D60="","",'醫師模式規則輸入'!$D60)</x:f>
      </x:c>
      <x:c r="B73" s="579" t="str">
        <x:f>IF($A73="","",'醫師模式規則輸入'!$B60)</x:f>
      </x:c>
      <x:c r="C73" s="579" t="str">
        <x:f>IF($A73="","",'醫師模式規則輸入'!$E60)</x:f>
      </x:c>
      <x:c r="D73" s="579" t="str">
        <x:f>IF($A73="","",'醫師模式規則輸入'!$F60)</x:f>
      </x:c>
      <x:c r="E73" s="579" t="str">
        <x:f>IF($A73="","",'醫師模式規則輸入'!$G60)</x:f>
      </x:c>
      <x:c r="F73" s="583" t="str">
        <x:f>IF($A73="","",'醫師模式規則輸入'!$H60)</x:f>
      </x:c>
      <x:c r="G73" s="583" t="str">
        <x:f>IF($A73="","",'醫師模式規則輸入'!$I60)</x:f>
      </x:c>
      <x:c r="H73" s="583" t="str">
        <x:f>IF($A73="","",'醫師模式規則輸入'!$J60)</x:f>
      </x:c>
      <x:c r="I73" s="583" t="str">
        <x:f>IF($A73="","",'醫師模式規則輸入'!$K60)</x:f>
      </x:c>
      <x:c r="J73" s="579" t="str">
        <x:f>IF($A73="","",'醫師模式規則輸入'!$A60)</x:f>
      </x:c>
      <x:c r="K73" s="579" t="str">
        <x:f>IF($A73="","",'醫師模式規則輸入'!$Q60)</x:f>
      </x:c>
      <x:c r="L73" s="579" t="str">
        <x:f>IF($A73="","",COUNTIFS('模式能力要求輸入'!$B$7:$B$306,$A73))</x:f>
      </x:c>
      <x:c r="M73" s="579" t="str">
        <x:f>IF($A73="","",COUNTIFS('模式能力要求輸入'!$B$7:$B$306,$A73,'模式能力要求輸入'!$R$7:$R$306,"可發布"))</x:f>
      </x:c>
      <x:c r="N73" s="579" t="str">
        <x:f>IF($A73="","",COUNTIFS('模式能力要求輸入'!$B$7:$B$306,$A73,'模式能力要求輸入'!$E$7:$E$306,"主跟診",'模式能力要求輸入'!$F$7:$F$306,"必備",'模式能力要求輸入'!$R$7:$R$306,"可發布"))</x:f>
      </x:c>
      <x:c r="O73" s="579" t="str">
        <x:f>IF($A73="","",'醫師模式規則輸入'!$T60)</x:f>
      </x:c>
      <x:c r="P73" s="579" t="str">
        <x:f>IF($A73="","",IF(COUNTIFS($A$7:$A$169,$A73)&gt;1,"模式代碼重複",IF('醫師模式規則輸入'!$U60="可匯入模式清單","可進入排班建檔",'醫師模式規則輸入'!$U60)))</x:f>
      </x:c>
      <x:c r="Q73" s="579" t="str">
        <x:f>IF(OR($P73="可進入排班建檔",$P73="可供試行排班"),$A73,"")</x:f>
      </x:c>
    </x:row>
    <x:row r="74">
      <x:c r="A74" s="579" t="str">
        <x:f>IF('醫師模式規則輸入'!$D61="","",'醫師模式規則輸入'!$D61)</x:f>
      </x:c>
      <x:c r="B74" s="579" t="str">
        <x:f>IF($A74="","",'醫師模式規則輸入'!$B61)</x:f>
      </x:c>
      <x:c r="C74" s="579" t="str">
        <x:f>IF($A74="","",'醫師模式規則輸入'!$E61)</x:f>
      </x:c>
      <x:c r="D74" s="579" t="str">
        <x:f>IF($A74="","",'醫師模式規則輸入'!$F61)</x:f>
      </x:c>
      <x:c r="E74" s="579" t="str">
        <x:f>IF($A74="","",'醫師模式規則輸入'!$G61)</x:f>
      </x:c>
      <x:c r="F74" s="583" t="str">
        <x:f>IF($A74="","",'醫師模式規則輸入'!$H61)</x:f>
      </x:c>
      <x:c r="G74" s="583" t="str">
        <x:f>IF($A74="","",'醫師模式規則輸入'!$I61)</x:f>
      </x:c>
      <x:c r="H74" s="583" t="str">
        <x:f>IF($A74="","",'醫師模式規則輸入'!$J61)</x:f>
      </x:c>
      <x:c r="I74" s="583" t="str">
        <x:f>IF($A74="","",'醫師模式規則輸入'!$K61)</x:f>
      </x:c>
      <x:c r="J74" s="579" t="str">
        <x:f>IF($A74="","",'醫師模式規則輸入'!$A61)</x:f>
      </x:c>
      <x:c r="K74" s="579" t="str">
        <x:f>IF($A74="","",'醫師模式規則輸入'!$Q61)</x:f>
      </x:c>
      <x:c r="L74" s="579" t="str">
        <x:f>IF($A74="","",COUNTIFS('模式能力要求輸入'!$B$7:$B$306,$A74))</x:f>
      </x:c>
      <x:c r="M74" s="579" t="str">
        <x:f>IF($A74="","",COUNTIFS('模式能力要求輸入'!$B$7:$B$306,$A74,'模式能力要求輸入'!$R$7:$R$306,"可發布"))</x:f>
      </x:c>
      <x:c r="N74" s="579" t="str">
        <x:f>IF($A74="","",COUNTIFS('模式能力要求輸入'!$B$7:$B$306,$A74,'模式能力要求輸入'!$E$7:$E$306,"主跟診",'模式能力要求輸入'!$F$7:$F$306,"必備",'模式能力要求輸入'!$R$7:$R$306,"可發布"))</x:f>
      </x:c>
      <x:c r="O74" s="579" t="str">
        <x:f>IF($A74="","",'醫師模式規則輸入'!$T61)</x:f>
      </x:c>
      <x:c r="P74" s="579" t="str">
        <x:f>IF($A74="","",IF(COUNTIFS($A$7:$A$169,$A74)&gt;1,"模式代碼重複",IF('醫師模式規則輸入'!$U61="可匯入模式清單","可進入排班建檔",'醫師模式規則輸入'!$U61)))</x:f>
      </x:c>
      <x:c r="Q74" s="579" t="str">
        <x:f>IF(OR($P74="可進入排班建檔",$P74="可供試行排班"),$A74,"")</x:f>
      </x:c>
    </x:row>
    <x:row r="75">
      <x:c r="A75" s="579" t="str">
        <x:f>IF('醫師模式規則輸入'!$D62="","",'醫師模式規則輸入'!$D62)</x:f>
      </x:c>
      <x:c r="B75" s="579" t="str">
        <x:f>IF($A75="","",'醫師模式規則輸入'!$B62)</x:f>
      </x:c>
      <x:c r="C75" s="579" t="str">
        <x:f>IF($A75="","",'醫師模式規則輸入'!$E62)</x:f>
      </x:c>
      <x:c r="D75" s="579" t="str">
        <x:f>IF($A75="","",'醫師模式規則輸入'!$F62)</x:f>
      </x:c>
      <x:c r="E75" s="579" t="str">
        <x:f>IF($A75="","",'醫師模式規則輸入'!$G62)</x:f>
      </x:c>
      <x:c r="F75" s="583" t="str">
        <x:f>IF($A75="","",'醫師模式規則輸入'!$H62)</x:f>
      </x:c>
      <x:c r="G75" s="583" t="str">
        <x:f>IF($A75="","",'醫師模式規則輸入'!$I62)</x:f>
      </x:c>
      <x:c r="H75" s="583" t="str">
        <x:f>IF($A75="","",'醫師模式規則輸入'!$J62)</x:f>
      </x:c>
      <x:c r="I75" s="583" t="str">
        <x:f>IF($A75="","",'醫師模式規則輸入'!$K62)</x:f>
      </x:c>
      <x:c r="J75" s="579" t="str">
        <x:f>IF($A75="","",'醫師模式規則輸入'!$A62)</x:f>
      </x:c>
      <x:c r="K75" s="579" t="str">
        <x:f>IF($A75="","",'醫師模式規則輸入'!$Q62)</x:f>
      </x:c>
      <x:c r="L75" s="579" t="str">
        <x:f>IF($A75="","",COUNTIFS('模式能力要求輸入'!$B$7:$B$306,$A75))</x:f>
      </x:c>
      <x:c r="M75" s="579" t="str">
        <x:f>IF($A75="","",COUNTIFS('模式能力要求輸入'!$B$7:$B$306,$A75,'模式能力要求輸入'!$R$7:$R$306,"可發布"))</x:f>
      </x:c>
      <x:c r="N75" s="579" t="str">
        <x:f>IF($A75="","",COUNTIFS('模式能力要求輸入'!$B$7:$B$306,$A75,'模式能力要求輸入'!$E$7:$E$306,"主跟診",'模式能力要求輸入'!$F$7:$F$306,"必備",'模式能力要求輸入'!$R$7:$R$306,"可發布"))</x:f>
      </x:c>
      <x:c r="O75" s="579" t="str">
        <x:f>IF($A75="","",'醫師模式規則輸入'!$T62)</x:f>
      </x:c>
      <x:c r="P75" s="579" t="str">
        <x:f>IF($A75="","",IF(COUNTIFS($A$7:$A$169,$A75)&gt;1,"模式代碼重複",IF('醫師模式規則輸入'!$U62="可匯入模式清單","可進入排班建檔",'醫師模式規則輸入'!$U62)))</x:f>
      </x:c>
      <x:c r="Q75" s="579" t="str">
        <x:f>IF(OR($P75="可進入排班建檔",$P75="可供試行排班"),$A75,"")</x:f>
      </x:c>
    </x:row>
    <x:row r="76">
      <x:c r="A76" s="579" t="str">
        <x:f>IF('醫師模式規則輸入'!$D63="","",'醫師模式規則輸入'!$D63)</x:f>
      </x:c>
      <x:c r="B76" s="579" t="str">
        <x:f>IF($A76="","",'醫師模式規則輸入'!$B63)</x:f>
      </x:c>
      <x:c r="C76" s="579" t="str">
        <x:f>IF($A76="","",'醫師模式規則輸入'!$E63)</x:f>
      </x:c>
      <x:c r="D76" s="579" t="str">
        <x:f>IF($A76="","",'醫師模式規則輸入'!$F63)</x:f>
      </x:c>
      <x:c r="E76" s="579" t="str">
        <x:f>IF($A76="","",'醫師模式規則輸入'!$G63)</x:f>
      </x:c>
      <x:c r="F76" s="583" t="str">
        <x:f>IF($A76="","",'醫師模式規則輸入'!$H63)</x:f>
      </x:c>
      <x:c r="G76" s="583" t="str">
        <x:f>IF($A76="","",'醫師模式規則輸入'!$I63)</x:f>
      </x:c>
      <x:c r="H76" s="583" t="str">
        <x:f>IF($A76="","",'醫師模式規則輸入'!$J63)</x:f>
      </x:c>
      <x:c r="I76" s="583" t="str">
        <x:f>IF($A76="","",'醫師模式規則輸入'!$K63)</x:f>
      </x:c>
      <x:c r="J76" s="579" t="str">
        <x:f>IF($A76="","",'醫師模式規則輸入'!$A63)</x:f>
      </x:c>
      <x:c r="K76" s="579" t="str">
        <x:f>IF($A76="","",'醫師模式規則輸入'!$Q63)</x:f>
      </x:c>
      <x:c r="L76" s="579" t="str">
        <x:f>IF($A76="","",COUNTIFS('模式能力要求輸入'!$B$7:$B$306,$A76))</x:f>
      </x:c>
      <x:c r="M76" s="579" t="str">
        <x:f>IF($A76="","",COUNTIFS('模式能力要求輸入'!$B$7:$B$306,$A76,'模式能力要求輸入'!$R$7:$R$306,"可發布"))</x:f>
      </x:c>
      <x:c r="N76" s="579" t="str">
        <x:f>IF($A76="","",COUNTIFS('模式能力要求輸入'!$B$7:$B$306,$A76,'模式能力要求輸入'!$E$7:$E$306,"主跟診",'模式能力要求輸入'!$F$7:$F$306,"必備",'模式能力要求輸入'!$R$7:$R$306,"可發布"))</x:f>
      </x:c>
      <x:c r="O76" s="579" t="str">
        <x:f>IF($A76="","",'醫師模式規則輸入'!$T63)</x:f>
      </x:c>
      <x:c r="P76" s="579" t="str">
        <x:f>IF($A76="","",IF(COUNTIFS($A$7:$A$169,$A76)&gt;1,"模式代碼重複",IF('醫師模式規則輸入'!$U63="可匯入模式清單","可進入排班建檔",'醫師模式規則輸入'!$U63)))</x:f>
      </x:c>
      <x:c r="Q76" s="579" t="str">
        <x:f>IF(OR($P76="可進入排班建檔",$P76="可供試行排班"),$A76,"")</x:f>
      </x:c>
    </x:row>
    <x:row r="77">
      <x:c r="A77" s="579" t="str">
        <x:f>IF('醫師模式規則輸入'!$D64="","",'醫師模式規則輸入'!$D64)</x:f>
      </x:c>
      <x:c r="B77" s="579" t="str">
        <x:f>IF($A77="","",'醫師模式規則輸入'!$B64)</x:f>
      </x:c>
      <x:c r="C77" s="579" t="str">
        <x:f>IF($A77="","",'醫師模式規則輸入'!$E64)</x:f>
      </x:c>
      <x:c r="D77" s="579" t="str">
        <x:f>IF($A77="","",'醫師模式規則輸入'!$F64)</x:f>
      </x:c>
      <x:c r="E77" s="579" t="str">
        <x:f>IF($A77="","",'醫師模式規則輸入'!$G64)</x:f>
      </x:c>
      <x:c r="F77" s="583" t="str">
        <x:f>IF($A77="","",'醫師模式規則輸入'!$H64)</x:f>
      </x:c>
      <x:c r="G77" s="583" t="str">
        <x:f>IF($A77="","",'醫師模式規則輸入'!$I64)</x:f>
      </x:c>
      <x:c r="H77" s="583" t="str">
        <x:f>IF($A77="","",'醫師模式規則輸入'!$J64)</x:f>
      </x:c>
      <x:c r="I77" s="583" t="str">
        <x:f>IF($A77="","",'醫師模式規則輸入'!$K64)</x:f>
      </x:c>
      <x:c r="J77" s="579" t="str">
        <x:f>IF($A77="","",'醫師模式規則輸入'!$A64)</x:f>
      </x:c>
      <x:c r="K77" s="579" t="str">
        <x:f>IF($A77="","",'醫師模式規則輸入'!$Q64)</x:f>
      </x:c>
      <x:c r="L77" s="579" t="str">
        <x:f>IF($A77="","",COUNTIFS('模式能力要求輸入'!$B$7:$B$306,$A77))</x:f>
      </x:c>
      <x:c r="M77" s="579" t="str">
        <x:f>IF($A77="","",COUNTIFS('模式能力要求輸入'!$B$7:$B$306,$A77,'模式能力要求輸入'!$R$7:$R$306,"可發布"))</x:f>
      </x:c>
      <x:c r="N77" s="579" t="str">
        <x:f>IF($A77="","",COUNTIFS('模式能力要求輸入'!$B$7:$B$306,$A77,'模式能力要求輸入'!$E$7:$E$306,"主跟診",'模式能力要求輸入'!$F$7:$F$306,"必備",'模式能力要求輸入'!$R$7:$R$306,"可發布"))</x:f>
      </x:c>
      <x:c r="O77" s="579" t="str">
        <x:f>IF($A77="","",'醫師模式規則輸入'!$T64)</x:f>
      </x:c>
      <x:c r="P77" s="579" t="str">
        <x:f>IF($A77="","",IF(COUNTIFS($A$7:$A$169,$A77)&gt;1,"模式代碼重複",IF('醫師模式規則輸入'!$U64="可匯入模式清單","可進入排班建檔",'醫師模式規則輸入'!$U64)))</x:f>
      </x:c>
      <x:c r="Q77" s="579" t="str">
        <x:f>IF(OR($P77="可進入排班建檔",$P77="可供試行排班"),$A77,"")</x:f>
      </x:c>
    </x:row>
    <x:row r="78">
      <x:c r="A78" s="579" t="str">
        <x:f>IF('醫師模式規則輸入'!$D65="","",'醫師模式規則輸入'!$D65)</x:f>
      </x:c>
      <x:c r="B78" s="579" t="str">
        <x:f>IF($A78="","",'醫師模式規則輸入'!$B65)</x:f>
      </x:c>
      <x:c r="C78" s="579" t="str">
        <x:f>IF($A78="","",'醫師模式規則輸入'!$E65)</x:f>
      </x:c>
      <x:c r="D78" s="579" t="str">
        <x:f>IF($A78="","",'醫師模式規則輸入'!$F65)</x:f>
      </x:c>
      <x:c r="E78" s="579" t="str">
        <x:f>IF($A78="","",'醫師模式規則輸入'!$G65)</x:f>
      </x:c>
      <x:c r="F78" s="583" t="str">
        <x:f>IF($A78="","",'醫師模式規則輸入'!$H65)</x:f>
      </x:c>
      <x:c r="G78" s="583" t="str">
        <x:f>IF($A78="","",'醫師模式規則輸入'!$I65)</x:f>
      </x:c>
      <x:c r="H78" s="583" t="str">
        <x:f>IF($A78="","",'醫師模式規則輸入'!$J65)</x:f>
      </x:c>
      <x:c r="I78" s="583" t="str">
        <x:f>IF($A78="","",'醫師模式規則輸入'!$K65)</x:f>
      </x:c>
      <x:c r="J78" s="579" t="str">
        <x:f>IF($A78="","",'醫師模式規則輸入'!$A65)</x:f>
      </x:c>
      <x:c r="K78" s="579" t="str">
        <x:f>IF($A78="","",'醫師模式規則輸入'!$Q65)</x:f>
      </x:c>
      <x:c r="L78" s="579" t="str">
        <x:f>IF($A78="","",COUNTIFS('模式能力要求輸入'!$B$7:$B$306,$A78))</x:f>
      </x:c>
      <x:c r="M78" s="579" t="str">
        <x:f>IF($A78="","",COUNTIFS('模式能力要求輸入'!$B$7:$B$306,$A78,'模式能力要求輸入'!$R$7:$R$306,"可發布"))</x:f>
      </x:c>
      <x:c r="N78" s="579" t="str">
        <x:f>IF($A78="","",COUNTIFS('模式能力要求輸入'!$B$7:$B$306,$A78,'模式能力要求輸入'!$E$7:$E$306,"主跟診",'模式能力要求輸入'!$F$7:$F$306,"必備",'模式能力要求輸入'!$R$7:$R$306,"可發布"))</x:f>
      </x:c>
      <x:c r="O78" s="579" t="str">
        <x:f>IF($A78="","",'醫師模式規則輸入'!$T65)</x:f>
      </x:c>
      <x:c r="P78" s="579" t="str">
        <x:f>IF($A78="","",IF(COUNTIFS($A$7:$A$169,$A78)&gt;1,"模式代碼重複",IF('醫師模式規則輸入'!$U65="可匯入模式清單","可進入排班建檔",'醫師模式規則輸入'!$U65)))</x:f>
      </x:c>
      <x:c r="Q78" s="579" t="str">
        <x:f>IF(OR($P78="可進入排班建檔",$P78="可供試行排班"),$A78,"")</x:f>
      </x:c>
    </x:row>
    <x:row r="79">
      <x:c r="A79" s="579" t="str">
        <x:f>IF('醫師模式規則輸入'!$D66="","",'醫師模式規則輸入'!$D66)</x:f>
      </x:c>
      <x:c r="B79" s="579" t="str">
        <x:f>IF($A79="","",'醫師模式規則輸入'!$B66)</x:f>
      </x:c>
      <x:c r="C79" s="579" t="str">
        <x:f>IF($A79="","",'醫師模式規則輸入'!$E66)</x:f>
      </x:c>
      <x:c r="D79" s="579" t="str">
        <x:f>IF($A79="","",'醫師模式規則輸入'!$F66)</x:f>
      </x:c>
      <x:c r="E79" s="579" t="str">
        <x:f>IF($A79="","",'醫師模式規則輸入'!$G66)</x:f>
      </x:c>
      <x:c r="F79" s="583" t="str">
        <x:f>IF($A79="","",'醫師模式規則輸入'!$H66)</x:f>
      </x:c>
      <x:c r="G79" s="583" t="str">
        <x:f>IF($A79="","",'醫師模式規則輸入'!$I66)</x:f>
      </x:c>
      <x:c r="H79" s="583" t="str">
        <x:f>IF($A79="","",'醫師模式規則輸入'!$J66)</x:f>
      </x:c>
      <x:c r="I79" s="583" t="str">
        <x:f>IF($A79="","",'醫師模式規則輸入'!$K66)</x:f>
      </x:c>
      <x:c r="J79" s="579" t="str">
        <x:f>IF($A79="","",'醫師模式規則輸入'!$A66)</x:f>
      </x:c>
      <x:c r="K79" s="579" t="str">
        <x:f>IF($A79="","",'醫師模式規則輸入'!$Q66)</x:f>
      </x:c>
      <x:c r="L79" s="579" t="str">
        <x:f>IF($A79="","",COUNTIFS('模式能力要求輸入'!$B$7:$B$306,$A79))</x:f>
      </x:c>
      <x:c r="M79" s="579" t="str">
        <x:f>IF($A79="","",COUNTIFS('模式能力要求輸入'!$B$7:$B$306,$A79,'模式能力要求輸入'!$R$7:$R$306,"可發布"))</x:f>
      </x:c>
      <x:c r="N79" s="579" t="str">
        <x:f>IF($A79="","",COUNTIFS('模式能力要求輸入'!$B$7:$B$306,$A79,'模式能力要求輸入'!$E$7:$E$306,"主跟診",'模式能力要求輸入'!$F$7:$F$306,"必備",'模式能力要求輸入'!$R$7:$R$306,"可發布"))</x:f>
      </x:c>
      <x:c r="O79" s="579" t="str">
        <x:f>IF($A79="","",'醫師模式規則輸入'!$T66)</x:f>
      </x:c>
      <x:c r="P79" s="579" t="str">
        <x:f>IF($A79="","",IF(COUNTIFS($A$7:$A$169,$A79)&gt;1,"模式代碼重複",IF('醫師模式規則輸入'!$U66="可匯入模式清單","可進入排班建檔",'醫師模式規則輸入'!$U66)))</x:f>
      </x:c>
      <x:c r="Q79" s="579" t="str">
        <x:f>IF(OR($P79="可進入排班建檔",$P79="可供試行排班"),$A79,"")</x:f>
      </x:c>
    </x:row>
    <x:row r="80">
      <x:c r="A80" s="579" t="str">
        <x:f>IF('醫師模式規則輸入'!$D67="","",'醫師模式規則輸入'!$D67)</x:f>
      </x:c>
      <x:c r="B80" s="579" t="str">
        <x:f>IF($A80="","",'醫師模式規則輸入'!$B67)</x:f>
      </x:c>
      <x:c r="C80" s="579" t="str">
        <x:f>IF($A80="","",'醫師模式規則輸入'!$E67)</x:f>
      </x:c>
      <x:c r="D80" s="579" t="str">
        <x:f>IF($A80="","",'醫師模式規則輸入'!$F67)</x:f>
      </x:c>
      <x:c r="E80" s="579" t="str">
        <x:f>IF($A80="","",'醫師模式規則輸入'!$G67)</x:f>
      </x:c>
      <x:c r="F80" s="583" t="str">
        <x:f>IF($A80="","",'醫師模式規則輸入'!$H67)</x:f>
      </x:c>
      <x:c r="G80" s="583" t="str">
        <x:f>IF($A80="","",'醫師模式規則輸入'!$I67)</x:f>
      </x:c>
      <x:c r="H80" s="583" t="str">
        <x:f>IF($A80="","",'醫師模式規則輸入'!$J67)</x:f>
      </x:c>
      <x:c r="I80" s="583" t="str">
        <x:f>IF($A80="","",'醫師模式規則輸入'!$K67)</x:f>
      </x:c>
      <x:c r="J80" s="579" t="str">
        <x:f>IF($A80="","",'醫師模式規則輸入'!$A67)</x:f>
      </x:c>
      <x:c r="K80" s="579" t="str">
        <x:f>IF($A80="","",'醫師模式規則輸入'!$Q67)</x:f>
      </x:c>
      <x:c r="L80" s="579" t="str">
        <x:f>IF($A80="","",COUNTIFS('模式能力要求輸入'!$B$7:$B$306,$A80))</x:f>
      </x:c>
      <x:c r="M80" s="579" t="str">
        <x:f>IF($A80="","",COUNTIFS('模式能力要求輸入'!$B$7:$B$306,$A80,'模式能力要求輸入'!$R$7:$R$306,"可發布"))</x:f>
      </x:c>
      <x:c r="N80" s="579" t="str">
        <x:f>IF($A80="","",COUNTIFS('模式能力要求輸入'!$B$7:$B$306,$A80,'模式能力要求輸入'!$E$7:$E$306,"主跟診",'模式能力要求輸入'!$F$7:$F$306,"必備",'模式能力要求輸入'!$R$7:$R$306,"可發布"))</x:f>
      </x:c>
      <x:c r="O80" s="579" t="str">
        <x:f>IF($A80="","",'醫師模式規則輸入'!$T67)</x:f>
      </x:c>
      <x:c r="P80" s="579" t="str">
        <x:f>IF($A80="","",IF(COUNTIFS($A$7:$A$169,$A80)&gt;1,"模式代碼重複",IF('醫師模式規則輸入'!$U67="可匯入模式清單","可進入排班建檔",'醫師模式規則輸入'!$U67)))</x:f>
      </x:c>
      <x:c r="Q80" s="579" t="str">
        <x:f>IF(OR($P80="可進入排班建檔",$P80="可供試行排班"),$A80,"")</x:f>
      </x:c>
    </x:row>
    <x:row r="81">
      <x:c r="A81" s="579" t="str">
        <x:f>IF('醫師模式規則輸入'!$D68="","",'醫師模式規則輸入'!$D68)</x:f>
      </x:c>
      <x:c r="B81" s="579" t="str">
        <x:f>IF($A81="","",'醫師模式規則輸入'!$B68)</x:f>
      </x:c>
      <x:c r="C81" s="579" t="str">
        <x:f>IF($A81="","",'醫師模式規則輸入'!$E68)</x:f>
      </x:c>
      <x:c r="D81" s="579" t="str">
        <x:f>IF($A81="","",'醫師模式規則輸入'!$F68)</x:f>
      </x:c>
      <x:c r="E81" s="579" t="str">
        <x:f>IF($A81="","",'醫師模式規則輸入'!$G68)</x:f>
      </x:c>
      <x:c r="F81" s="583" t="str">
        <x:f>IF($A81="","",'醫師模式規則輸入'!$H68)</x:f>
      </x:c>
      <x:c r="G81" s="583" t="str">
        <x:f>IF($A81="","",'醫師模式規則輸入'!$I68)</x:f>
      </x:c>
      <x:c r="H81" s="583" t="str">
        <x:f>IF($A81="","",'醫師模式規則輸入'!$J68)</x:f>
      </x:c>
      <x:c r="I81" s="583" t="str">
        <x:f>IF($A81="","",'醫師模式規則輸入'!$K68)</x:f>
      </x:c>
      <x:c r="J81" s="579" t="str">
        <x:f>IF($A81="","",'醫師模式規則輸入'!$A68)</x:f>
      </x:c>
      <x:c r="K81" s="579" t="str">
        <x:f>IF($A81="","",'醫師模式規則輸入'!$Q68)</x:f>
      </x:c>
      <x:c r="L81" s="579" t="str">
        <x:f>IF($A81="","",COUNTIFS('模式能力要求輸入'!$B$7:$B$306,$A81))</x:f>
      </x:c>
      <x:c r="M81" s="579" t="str">
        <x:f>IF($A81="","",COUNTIFS('模式能力要求輸入'!$B$7:$B$306,$A81,'模式能力要求輸入'!$R$7:$R$306,"可發布"))</x:f>
      </x:c>
      <x:c r="N81" s="579" t="str">
        <x:f>IF($A81="","",COUNTIFS('模式能力要求輸入'!$B$7:$B$306,$A81,'模式能力要求輸入'!$E$7:$E$306,"主跟診",'模式能力要求輸入'!$F$7:$F$306,"必備",'模式能力要求輸入'!$R$7:$R$306,"可發布"))</x:f>
      </x:c>
      <x:c r="O81" s="579" t="str">
        <x:f>IF($A81="","",'醫師模式規則輸入'!$T68)</x:f>
      </x:c>
      <x:c r="P81" s="579" t="str">
        <x:f>IF($A81="","",IF(COUNTIFS($A$7:$A$169,$A81)&gt;1,"模式代碼重複",IF('醫師模式規則輸入'!$U68="可匯入模式清單","可進入排班建檔",'醫師模式規則輸入'!$U68)))</x:f>
      </x:c>
      <x:c r="Q81" s="579" t="str">
        <x:f>IF(OR($P81="可進入排班建檔",$P81="可供試行排班"),$A81,"")</x:f>
      </x:c>
    </x:row>
    <x:row r="82">
      <x:c r="A82" s="579" t="str">
        <x:f>IF('醫師模式規則輸入'!$D69="","",'醫師模式規則輸入'!$D69)</x:f>
      </x:c>
      <x:c r="B82" s="579" t="str">
        <x:f>IF($A82="","",'醫師模式規則輸入'!$B69)</x:f>
      </x:c>
      <x:c r="C82" s="579" t="str">
        <x:f>IF($A82="","",'醫師模式規則輸入'!$E69)</x:f>
      </x:c>
      <x:c r="D82" s="579" t="str">
        <x:f>IF($A82="","",'醫師模式規則輸入'!$F69)</x:f>
      </x:c>
      <x:c r="E82" s="579" t="str">
        <x:f>IF($A82="","",'醫師模式規則輸入'!$G69)</x:f>
      </x:c>
      <x:c r="F82" s="583" t="str">
        <x:f>IF($A82="","",'醫師模式規則輸入'!$H69)</x:f>
      </x:c>
      <x:c r="G82" s="583" t="str">
        <x:f>IF($A82="","",'醫師模式規則輸入'!$I69)</x:f>
      </x:c>
      <x:c r="H82" s="583" t="str">
        <x:f>IF($A82="","",'醫師模式規則輸入'!$J69)</x:f>
      </x:c>
      <x:c r="I82" s="583" t="str">
        <x:f>IF($A82="","",'醫師模式規則輸入'!$K69)</x:f>
      </x:c>
      <x:c r="J82" s="579" t="str">
        <x:f>IF($A82="","",'醫師模式規則輸入'!$A69)</x:f>
      </x:c>
      <x:c r="K82" s="579" t="str">
        <x:f>IF($A82="","",'醫師模式規則輸入'!$Q69)</x:f>
      </x:c>
      <x:c r="L82" s="579" t="str">
        <x:f>IF($A82="","",COUNTIFS('模式能力要求輸入'!$B$7:$B$306,$A82))</x:f>
      </x:c>
      <x:c r="M82" s="579" t="str">
        <x:f>IF($A82="","",COUNTIFS('模式能力要求輸入'!$B$7:$B$306,$A82,'模式能力要求輸入'!$R$7:$R$306,"可發布"))</x:f>
      </x:c>
      <x:c r="N82" s="579" t="str">
        <x:f>IF($A82="","",COUNTIFS('模式能力要求輸入'!$B$7:$B$306,$A82,'模式能力要求輸入'!$E$7:$E$306,"主跟診",'模式能力要求輸入'!$F$7:$F$306,"必備",'模式能力要求輸入'!$R$7:$R$306,"可發布"))</x:f>
      </x:c>
      <x:c r="O82" s="579" t="str">
        <x:f>IF($A82="","",'醫師模式規則輸入'!$T69)</x:f>
      </x:c>
      <x:c r="P82" s="579" t="str">
        <x:f>IF($A82="","",IF(COUNTIFS($A$7:$A$169,$A82)&gt;1,"模式代碼重複",IF('醫師模式規則輸入'!$U69="可匯入模式清單","可進入排班建檔",'醫師模式規則輸入'!$U69)))</x:f>
      </x:c>
      <x:c r="Q82" s="579" t="str">
        <x:f>IF(OR($P82="可進入排班建檔",$P82="可供試行排班"),$A82,"")</x:f>
      </x:c>
    </x:row>
    <x:row r="83">
      <x:c r="A83" s="579" t="str">
        <x:f>IF('醫師模式規則輸入'!$D70="","",'醫師模式規則輸入'!$D70)</x:f>
      </x:c>
      <x:c r="B83" s="579" t="str">
        <x:f>IF($A83="","",'醫師模式規則輸入'!$B70)</x:f>
      </x:c>
      <x:c r="C83" s="579" t="str">
        <x:f>IF($A83="","",'醫師模式規則輸入'!$E70)</x:f>
      </x:c>
      <x:c r="D83" s="579" t="str">
        <x:f>IF($A83="","",'醫師模式規則輸入'!$F70)</x:f>
      </x:c>
      <x:c r="E83" s="579" t="str">
        <x:f>IF($A83="","",'醫師模式規則輸入'!$G70)</x:f>
      </x:c>
      <x:c r="F83" s="583" t="str">
        <x:f>IF($A83="","",'醫師模式規則輸入'!$H70)</x:f>
      </x:c>
      <x:c r="G83" s="583" t="str">
        <x:f>IF($A83="","",'醫師模式規則輸入'!$I70)</x:f>
      </x:c>
      <x:c r="H83" s="583" t="str">
        <x:f>IF($A83="","",'醫師模式規則輸入'!$J70)</x:f>
      </x:c>
      <x:c r="I83" s="583" t="str">
        <x:f>IF($A83="","",'醫師模式規則輸入'!$K70)</x:f>
      </x:c>
      <x:c r="J83" s="579" t="str">
        <x:f>IF($A83="","",'醫師模式規則輸入'!$A70)</x:f>
      </x:c>
      <x:c r="K83" s="579" t="str">
        <x:f>IF($A83="","",'醫師模式規則輸入'!$Q70)</x:f>
      </x:c>
      <x:c r="L83" s="579" t="str">
        <x:f>IF($A83="","",COUNTIFS('模式能力要求輸入'!$B$7:$B$306,$A83))</x:f>
      </x:c>
      <x:c r="M83" s="579" t="str">
        <x:f>IF($A83="","",COUNTIFS('模式能力要求輸入'!$B$7:$B$306,$A83,'模式能力要求輸入'!$R$7:$R$306,"可發布"))</x:f>
      </x:c>
      <x:c r="N83" s="579" t="str">
        <x:f>IF($A83="","",COUNTIFS('模式能力要求輸入'!$B$7:$B$306,$A83,'模式能力要求輸入'!$E$7:$E$306,"主跟診",'模式能力要求輸入'!$F$7:$F$306,"必備",'模式能力要求輸入'!$R$7:$R$306,"可發布"))</x:f>
      </x:c>
      <x:c r="O83" s="579" t="str">
        <x:f>IF($A83="","",'醫師模式規則輸入'!$T70)</x:f>
      </x:c>
      <x:c r="P83" s="579" t="str">
        <x:f>IF($A83="","",IF(COUNTIFS($A$7:$A$169,$A83)&gt;1,"模式代碼重複",IF('醫師模式規則輸入'!$U70="可匯入模式清單","可進入排班建檔",'醫師模式規則輸入'!$U70)))</x:f>
      </x:c>
      <x:c r="Q83" s="579" t="str">
        <x:f>IF(OR($P83="可進入排班建檔",$P83="可供試行排班"),$A83,"")</x:f>
      </x:c>
    </x:row>
    <x:row r="84">
      <x:c r="A84" s="579" t="str">
        <x:f>IF('醫師模式規則輸入'!$D71="","",'醫師模式規則輸入'!$D71)</x:f>
      </x:c>
      <x:c r="B84" s="579" t="str">
        <x:f>IF($A84="","",'醫師模式規則輸入'!$B71)</x:f>
      </x:c>
      <x:c r="C84" s="579" t="str">
        <x:f>IF($A84="","",'醫師模式規則輸入'!$E71)</x:f>
      </x:c>
      <x:c r="D84" s="579" t="str">
        <x:f>IF($A84="","",'醫師模式規則輸入'!$F71)</x:f>
      </x:c>
      <x:c r="E84" s="579" t="str">
        <x:f>IF($A84="","",'醫師模式規則輸入'!$G71)</x:f>
      </x:c>
      <x:c r="F84" s="583" t="str">
        <x:f>IF($A84="","",'醫師模式規則輸入'!$H71)</x:f>
      </x:c>
      <x:c r="G84" s="583" t="str">
        <x:f>IF($A84="","",'醫師模式規則輸入'!$I71)</x:f>
      </x:c>
      <x:c r="H84" s="583" t="str">
        <x:f>IF($A84="","",'醫師模式規則輸入'!$J71)</x:f>
      </x:c>
      <x:c r="I84" s="583" t="str">
        <x:f>IF($A84="","",'醫師模式規則輸入'!$K71)</x:f>
      </x:c>
      <x:c r="J84" s="579" t="str">
        <x:f>IF($A84="","",'醫師模式規則輸入'!$A71)</x:f>
      </x:c>
      <x:c r="K84" s="579" t="str">
        <x:f>IF($A84="","",'醫師模式規則輸入'!$Q71)</x:f>
      </x:c>
      <x:c r="L84" s="579" t="str">
        <x:f>IF($A84="","",COUNTIFS('模式能力要求輸入'!$B$7:$B$306,$A84))</x:f>
      </x:c>
      <x:c r="M84" s="579" t="str">
        <x:f>IF($A84="","",COUNTIFS('模式能力要求輸入'!$B$7:$B$306,$A84,'模式能力要求輸入'!$R$7:$R$306,"可發布"))</x:f>
      </x:c>
      <x:c r="N84" s="579" t="str">
        <x:f>IF($A84="","",COUNTIFS('模式能力要求輸入'!$B$7:$B$306,$A84,'模式能力要求輸入'!$E$7:$E$306,"主跟診",'模式能力要求輸入'!$F$7:$F$306,"必備",'模式能力要求輸入'!$R$7:$R$306,"可發布"))</x:f>
      </x:c>
      <x:c r="O84" s="579" t="str">
        <x:f>IF($A84="","",'醫師模式規則輸入'!$T71)</x:f>
      </x:c>
      <x:c r="P84" s="579" t="str">
        <x:f>IF($A84="","",IF(COUNTIFS($A$7:$A$169,$A84)&gt;1,"模式代碼重複",IF('醫師模式規則輸入'!$U71="可匯入模式清單","可進入排班建檔",'醫師模式規則輸入'!$U71)))</x:f>
      </x:c>
      <x:c r="Q84" s="579" t="str">
        <x:f>IF(OR($P84="可進入排班建檔",$P84="可供試行排班"),$A84,"")</x:f>
      </x:c>
    </x:row>
    <x:row r="85">
      <x:c r="A85" s="579" t="str">
        <x:f>IF('醫師模式規則輸入'!$D72="","",'醫師模式規則輸入'!$D72)</x:f>
      </x:c>
      <x:c r="B85" s="579" t="str">
        <x:f>IF($A85="","",'醫師模式規則輸入'!$B72)</x:f>
      </x:c>
      <x:c r="C85" s="579" t="str">
        <x:f>IF($A85="","",'醫師模式規則輸入'!$E72)</x:f>
      </x:c>
      <x:c r="D85" s="579" t="str">
        <x:f>IF($A85="","",'醫師模式規則輸入'!$F72)</x:f>
      </x:c>
      <x:c r="E85" s="579" t="str">
        <x:f>IF($A85="","",'醫師模式規則輸入'!$G72)</x:f>
      </x:c>
      <x:c r="F85" s="583" t="str">
        <x:f>IF($A85="","",'醫師模式規則輸入'!$H72)</x:f>
      </x:c>
      <x:c r="G85" s="583" t="str">
        <x:f>IF($A85="","",'醫師模式規則輸入'!$I72)</x:f>
      </x:c>
      <x:c r="H85" s="583" t="str">
        <x:f>IF($A85="","",'醫師模式規則輸入'!$J72)</x:f>
      </x:c>
      <x:c r="I85" s="583" t="str">
        <x:f>IF($A85="","",'醫師模式規則輸入'!$K72)</x:f>
      </x:c>
      <x:c r="J85" s="579" t="str">
        <x:f>IF($A85="","",'醫師模式規則輸入'!$A72)</x:f>
      </x:c>
      <x:c r="K85" s="579" t="str">
        <x:f>IF($A85="","",'醫師模式規則輸入'!$Q72)</x:f>
      </x:c>
      <x:c r="L85" s="579" t="str">
        <x:f>IF($A85="","",COUNTIFS('模式能力要求輸入'!$B$7:$B$306,$A85))</x:f>
      </x:c>
      <x:c r="M85" s="579" t="str">
        <x:f>IF($A85="","",COUNTIFS('模式能力要求輸入'!$B$7:$B$306,$A85,'模式能力要求輸入'!$R$7:$R$306,"可發布"))</x:f>
      </x:c>
      <x:c r="N85" s="579" t="str">
        <x:f>IF($A85="","",COUNTIFS('模式能力要求輸入'!$B$7:$B$306,$A85,'模式能力要求輸入'!$E$7:$E$306,"主跟診",'模式能力要求輸入'!$F$7:$F$306,"必備",'模式能力要求輸入'!$R$7:$R$306,"可發布"))</x:f>
      </x:c>
      <x:c r="O85" s="579" t="str">
        <x:f>IF($A85="","",'醫師模式規則輸入'!$T72)</x:f>
      </x:c>
      <x:c r="P85" s="579" t="str">
        <x:f>IF($A85="","",IF(COUNTIFS($A$7:$A$169,$A85)&gt;1,"模式代碼重複",IF('醫師模式規則輸入'!$U72="可匯入模式清單","可進入排班建檔",'醫師模式規則輸入'!$U72)))</x:f>
      </x:c>
      <x:c r="Q85" s="579" t="str">
        <x:f>IF(OR($P85="可進入排班建檔",$P85="可供試行排班"),$A85,"")</x:f>
      </x:c>
    </x:row>
    <x:row r="86">
      <x:c r="A86" s="579" t="str">
        <x:f>IF('醫師模式規則輸入'!$D73="","",'醫師模式規則輸入'!$D73)</x:f>
      </x:c>
      <x:c r="B86" s="579" t="str">
        <x:f>IF($A86="","",'醫師模式規則輸入'!$B73)</x:f>
      </x:c>
      <x:c r="C86" s="579" t="str">
        <x:f>IF($A86="","",'醫師模式規則輸入'!$E73)</x:f>
      </x:c>
      <x:c r="D86" s="579" t="str">
        <x:f>IF($A86="","",'醫師模式規則輸入'!$F73)</x:f>
      </x:c>
      <x:c r="E86" s="579" t="str">
        <x:f>IF($A86="","",'醫師模式規則輸入'!$G73)</x:f>
      </x:c>
      <x:c r="F86" s="583" t="str">
        <x:f>IF($A86="","",'醫師模式規則輸入'!$H73)</x:f>
      </x:c>
      <x:c r="G86" s="583" t="str">
        <x:f>IF($A86="","",'醫師模式規則輸入'!$I73)</x:f>
      </x:c>
      <x:c r="H86" s="583" t="str">
        <x:f>IF($A86="","",'醫師模式規則輸入'!$J73)</x:f>
      </x:c>
      <x:c r="I86" s="583" t="str">
        <x:f>IF($A86="","",'醫師模式規則輸入'!$K73)</x:f>
      </x:c>
      <x:c r="J86" s="579" t="str">
        <x:f>IF($A86="","",'醫師模式規則輸入'!$A73)</x:f>
      </x:c>
      <x:c r="K86" s="579" t="str">
        <x:f>IF($A86="","",'醫師模式規則輸入'!$Q73)</x:f>
      </x:c>
      <x:c r="L86" s="579" t="str">
        <x:f>IF($A86="","",COUNTIFS('模式能力要求輸入'!$B$7:$B$306,$A86))</x:f>
      </x:c>
      <x:c r="M86" s="579" t="str">
        <x:f>IF($A86="","",COUNTIFS('模式能力要求輸入'!$B$7:$B$306,$A86,'模式能力要求輸入'!$R$7:$R$306,"可發布"))</x:f>
      </x:c>
      <x:c r="N86" s="579" t="str">
        <x:f>IF($A86="","",COUNTIFS('模式能力要求輸入'!$B$7:$B$306,$A86,'模式能力要求輸入'!$E$7:$E$306,"主跟診",'模式能力要求輸入'!$F$7:$F$306,"必備",'模式能力要求輸入'!$R$7:$R$306,"可發布"))</x:f>
      </x:c>
      <x:c r="O86" s="579" t="str">
        <x:f>IF($A86="","",'醫師模式規則輸入'!$T73)</x:f>
      </x:c>
      <x:c r="P86" s="579" t="str">
        <x:f>IF($A86="","",IF(COUNTIFS($A$7:$A$169,$A86)&gt;1,"模式代碼重複",IF('醫師模式規則輸入'!$U73="可匯入模式清單","可進入排班建檔",'醫師模式規則輸入'!$U73)))</x:f>
      </x:c>
      <x:c r="Q86" s="579" t="str">
        <x:f>IF(OR($P86="可進入排班建檔",$P86="可供試行排班"),$A86,"")</x:f>
      </x:c>
    </x:row>
    <x:row r="87">
      <x:c r="A87" s="579" t="str">
        <x:f>IF('醫師模式規則輸入'!$D74="","",'醫師模式規則輸入'!$D74)</x:f>
      </x:c>
      <x:c r="B87" s="579" t="str">
        <x:f>IF($A87="","",'醫師模式規則輸入'!$B74)</x:f>
      </x:c>
      <x:c r="C87" s="579" t="str">
        <x:f>IF($A87="","",'醫師模式規則輸入'!$E74)</x:f>
      </x:c>
      <x:c r="D87" s="579" t="str">
        <x:f>IF($A87="","",'醫師模式規則輸入'!$F74)</x:f>
      </x:c>
      <x:c r="E87" s="579" t="str">
        <x:f>IF($A87="","",'醫師模式規則輸入'!$G74)</x:f>
      </x:c>
      <x:c r="F87" s="583" t="str">
        <x:f>IF($A87="","",'醫師模式規則輸入'!$H74)</x:f>
      </x:c>
      <x:c r="G87" s="583" t="str">
        <x:f>IF($A87="","",'醫師模式規則輸入'!$I74)</x:f>
      </x:c>
      <x:c r="H87" s="583" t="str">
        <x:f>IF($A87="","",'醫師模式規則輸入'!$J74)</x:f>
      </x:c>
      <x:c r="I87" s="583" t="str">
        <x:f>IF($A87="","",'醫師模式規則輸入'!$K74)</x:f>
      </x:c>
      <x:c r="J87" s="579" t="str">
        <x:f>IF($A87="","",'醫師模式規則輸入'!$A74)</x:f>
      </x:c>
      <x:c r="K87" s="579" t="str">
        <x:f>IF($A87="","",'醫師模式規則輸入'!$Q74)</x:f>
      </x:c>
      <x:c r="L87" s="579" t="str">
        <x:f>IF($A87="","",COUNTIFS('模式能力要求輸入'!$B$7:$B$306,$A87))</x:f>
      </x:c>
      <x:c r="M87" s="579" t="str">
        <x:f>IF($A87="","",COUNTIFS('模式能力要求輸入'!$B$7:$B$306,$A87,'模式能力要求輸入'!$R$7:$R$306,"可發布"))</x:f>
      </x:c>
      <x:c r="N87" s="579" t="str">
        <x:f>IF($A87="","",COUNTIFS('模式能力要求輸入'!$B$7:$B$306,$A87,'模式能力要求輸入'!$E$7:$E$306,"主跟診",'模式能力要求輸入'!$F$7:$F$306,"必備",'模式能力要求輸入'!$R$7:$R$306,"可發布"))</x:f>
      </x:c>
      <x:c r="O87" s="579" t="str">
        <x:f>IF($A87="","",'醫師模式規則輸入'!$T74)</x:f>
      </x:c>
      <x:c r="P87" s="579" t="str">
        <x:f>IF($A87="","",IF(COUNTIFS($A$7:$A$169,$A87)&gt;1,"模式代碼重複",IF('醫師模式規則輸入'!$U74="可匯入模式清單","可進入排班建檔",'醫師模式規則輸入'!$U74)))</x:f>
      </x:c>
      <x:c r="Q87" s="579" t="str">
        <x:f>IF(OR($P87="可進入排班建檔",$P87="可供試行排班"),$A87,"")</x:f>
      </x:c>
    </x:row>
    <x:row r="88">
      <x:c r="A88" s="579" t="str">
        <x:f>IF('醫師模式規則輸入'!$D75="","",'醫師模式規則輸入'!$D75)</x:f>
      </x:c>
      <x:c r="B88" s="579" t="str">
        <x:f>IF($A88="","",'醫師模式規則輸入'!$B75)</x:f>
      </x:c>
      <x:c r="C88" s="579" t="str">
        <x:f>IF($A88="","",'醫師模式規則輸入'!$E75)</x:f>
      </x:c>
      <x:c r="D88" s="579" t="str">
        <x:f>IF($A88="","",'醫師模式規則輸入'!$F75)</x:f>
      </x:c>
      <x:c r="E88" s="579" t="str">
        <x:f>IF($A88="","",'醫師模式規則輸入'!$G75)</x:f>
      </x:c>
      <x:c r="F88" s="583" t="str">
        <x:f>IF($A88="","",'醫師模式規則輸入'!$H75)</x:f>
      </x:c>
      <x:c r="G88" s="583" t="str">
        <x:f>IF($A88="","",'醫師模式規則輸入'!$I75)</x:f>
      </x:c>
      <x:c r="H88" s="583" t="str">
        <x:f>IF($A88="","",'醫師模式規則輸入'!$J75)</x:f>
      </x:c>
      <x:c r="I88" s="583" t="str">
        <x:f>IF($A88="","",'醫師模式規則輸入'!$K75)</x:f>
      </x:c>
      <x:c r="J88" s="579" t="str">
        <x:f>IF($A88="","",'醫師模式規則輸入'!$A75)</x:f>
      </x:c>
      <x:c r="K88" s="579" t="str">
        <x:f>IF($A88="","",'醫師模式規則輸入'!$Q75)</x:f>
      </x:c>
      <x:c r="L88" s="579" t="str">
        <x:f>IF($A88="","",COUNTIFS('模式能力要求輸入'!$B$7:$B$306,$A88))</x:f>
      </x:c>
      <x:c r="M88" s="579" t="str">
        <x:f>IF($A88="","",COUNTIFS('模式能力要求輸入'!$B$7:$B$306,$A88,'模式能力要求輸入'!$R$7:$R$306,"可發布"))</x:f>
      </x:c>
      <x:c r="N88" s="579" t="str">
        <x:f>IF($A88="","",COUNTIFS('模式能力要求輸入'!$B$7:$B$306,$A88,'模式能力要求輸入'!$E$7:$E$306,"主跟診",'模式能力要求輸入'!$F$7:$F$306,"必備",'模式能力要求輸入'!$R$7:$R$306,"可發布"))</x:f>
      </x:c>
      <x:c r="O88" s="579" t="str">
        <x:f>IF($A88="","",'醫師模式規則輸入'!$T75)</x:f>
      </x:c>
      <x:c r="P88" s="579" t="str">
        <x:f>IF($A88="","",IF(COUNTIFS($A$7:$A$169,$A88)&gt;1,"模式代碼重複",IF('醫師模式規則輸入'!$U75="可匯入模式清單","可進入排班建檔",'醫師模式規則輸入'!$U75)))</x:f>
      </x:c>
      <x:c r="Q88" s="579" t="str">
        <x:f>IF(OR($P88="可進入排班建檔",$P88="可供試行排班"),$A88,"")</x:f>
      </x:c>
    </x:row>
    <x:row r="89">
      <x:c r="A89" s="579" t="str">
        <x:f>IF('醫師模式規則輸入'!$D76="","",'醫師模式規則輸入'!$D76)</x:f>
      </x:c>
      <x:c r="B89" s="579" t="str">
        <x:f>IF($A89="","",'醫師模式規則輸入'!$B76)</x:f>
      </x:c>
      <x:c r="C89" s="579" t="str">
        <x:f>IF($A89="","",'醫師模式規則輸入'!$E76)</x:f>
      </x:c>
      <x:c r="D89" s="579" t="str">
        <x:f>IF($A89="","",'醫師模式規則輸入'!$F76)</x:f>
      </x:c>
      <x:c r="E89" s="579" t="str">
        <x:f>IF($A89="","",'醫師模式規則輸入'!$G76)</x:f>
      </x:c>
      <x:c r="F89" s="583" t="str">
        <x:f>IF($A89="","",'醫師模式規則輸入'!$H76)</x:f>
      </x:c>
      <x:c r="G89" s="583" t="str">
        <x:f>IF($A89="","",'醫師模式規則輸入'!$I76)</x:f>
      </x:c>
      <x:c r="H89" s="583" t="str">
        <x:f>IF($A89="","",'醫師模式規則輸入'!$J76)</x:f>
      </x:c>
      <x:c r="I89" s="583" t="str">
        <x:f>IF($A89="","",'醫師模式規則輸入'!$K76)</x:f>
      </x:c>
      <x:c r="J89" s="579" t="str">
        <x:f>IF($A89="","",'醫師模式規則輸入'!$A76)</x:f>
      </x:c>
      <x:c r="K89" s="579" t="str">
        <x:f>IF($A89="","",'醫師模式規則輸入'!$Q76)</x:f>
      </x:c>
      <x:c r="L89" s="579" t="str">
        <x:f>IF($A89="","",COUNTIFS('模式能力要求輸入'!$B$7:$B$306,$A89))</x:f>
      </x:c>
      <x:c r="M89" s="579" t="str">
        <x:f>IF($A89="","",COUNTIFS('模式能力要求輸入'!$B$7:$B$306,$A89,'模式能力要求輸入'!$R$7:$R$306,"可發布"))</x:f>
      </x:c>
      <x:c r="N89" s="579" t="str">
        <x:f>IF($A89="","",COUNTIFS('模式能力要求輸入'!$B$7:$B$306,$A89,'模式能力要求輸入'!$E$7:$E$306,"主跟診",'模式能力要求輸入'!$F$7:$F$306,"必備",'模式能力要求輸入'!$R$7:$R$306,"可發布"))</x:f>
      </x:c>
      <x:c r="O89" s="579" t="str">
        <x:f>IF($A89="","",'醫師模式規則輸入'!$T76)</x:f>
      </x:c>
      <x:c r="P89" s="579" t="str">
        <x:f>IF($A89="","",IF(COUNTIFS($A$7:$A$169,$A89)&gt;1,"模式代碼重複",IF('醫師模式規則輸入'!$U76="可匯入模式清單","可進入排班建檔",'醫師模式規則輸入'!$U76)))</x:f>
      </x:c>
      <x:c r="Q89" s="579" t="str">
        <x:f>IF(OR($P89="可進入排班建檔",$P89="可供試行排班"),$A89,"")</x:f>
      </x:c>
    </x:row>
    <x:row r="90">
      <x:c r="A90" s="579" t="str">
        <x:f>IF('醫師模式規則輸入'!$D77="","",'醫師模式規則輸入'!$D77)</x:f>
      </x:c>
      <x:c r="B90" s="579" t="str">
        <x:f>IF($A90="","",'醫師模式規則輸入'!$B77)</x:f>
      </x:c>
      <x:c r="C90" s="579" t="str">
        <x:f>IF($A90="","",'醫師模式規則輸入'!$E77)</x:f>
      </x:c>
      <x:c r="D90" s="579" t="str">
        <x:f>IF($A90="","",'醫師模式規則輸入'!$F77)</x:f>
      </x:c>
      <x:c r="E90" s="579" t="str">
        <x:f>IF($A90="","",'醫師模式規則輸入'!$G77)</x:f>
      </x:c>
      <x:c r="F90" s="583" t="str">
        <x:f>IF($A90="","",'醫師模式規則輸入'!$H77)</x:f>
      </x:c>
      <x:c r="G90" s="583" t="str">
        <x:f>IF($A90="","",'醫師模式規則輸入'!$I77)</x:f>
      </x:c>
      <x:c r="H90" s="583" t="str">
        <x:f>IF($A90="","",'醫師模式規則輸入'!$J77)</x:f>
      </x:c>
      <x:c r="I90" s="583" t="str">
        <x:f>IF($A90="","",'醫師模式規則輸入'!$K77)</x:f>
      </x:c>
      <x:c r="J90" s="579" t="str">
        <x:f>IF($A90="","",'醫師模式規則輸入'!$A77)</x:f>
      </x:c>
      <x:c r="K90" s="579" t="str">
        <x:f>IF($A90="","",'醫師模式規則輸入'!$Q77)</x:f>
      </x:c>
      <x:c r="L90" s="579" t="str">
        <x:f>IF($A90="","",COUNTIFS('模式能力要求輸入'!$B$7:$B$306,$A90))</x:f>
      </x:c>
      <x:c r="M90" s="579" t="str">
        <x:f>IF($A90="","",COUNTIFS('模式能力要求輸入'!$B$7:$B$306,$A90,'模式能力要求輸入'!$R$7:$R$306,"可發布"))</x:f>
      </x:c>
      <x:c r="N90" s="579" t="str">
        <x:f>IF($A90="","",COUNTIFS('模式能力要求輸入'!$B$7:$B$306,$A90,'模式能力要求輸入'!$E$7:$E$306,"主跟診",'模式能力要求輸入'!$F$7:$F$306,"必備",'模式能力要求輸入'!$R$7:$R$306,"可發布"))</x:f>
      </x:c>
      <x:c r="O90" s="579" t="str">
        <x:f>IF($A90="","",'醫師模式規則輸入'!$T77)</x:f>
      </x:c>
      <x:c r="P90" s="579" t="str">
        <x:f>IF($A90="","",IF(COUNTIFS($A$7:$A$169,$A90)&gt;1,"模式代碼重複",IF('醫師模式規則輸入'!$U77="可匯入模式清單","可進入排班建檔",'醫師模式規則輸入'!$U77)))</x:f>
      </x:c>
      <x:c r="Q90" s="579" t="str">
        <x:f>IF(OR($P90="可進入排班建檔",$P90="可供試行排班"),$A90,"")</x:f>
      </x:c>
    </x:row>
    <x:row r="91">
      <x:c r="A91" s="579" t="str">
        <x:f>IF('醫師模式規則輸入'!$D78="","",'醫師模式規則輸入'!$D78)</x:f>
      </x:c>
      <x:c r="B91" s="579" t="str">
        <x:f>IF($A91="","",'醫師模式規則輸入'!$B78)</x:f>
      </x:c>
      <x:c r="C91" s="579" t="str">
        <x:f>IF($A91="","",'醫師模式規則輸入'!$E78)</x:f>
      </x:c>
      <x:c r="D91" s="579" t="str">
        <x:f>IF($A91="","",'醫師模式規則輸入'!$F78)</x:f>
      </x:c>
      <x:c r="E91" s="579" t="str">
        <x:f>IF($A91="","",'醫師模式規則輸入'!$G78)</x:f>
      </x:c>
      <x:c r="F91" s="583" t="str">
        <x:f>IF($A91="","",'醫師模式規則輸入'!$H78)</x:f>
      </x:c>
      <x:c r="G91" s="583" t="str">
        <x:f>IF($A91="","",'醫師模式規則輸入'!$I78)</x:f>
      </x:c>
      <x:c r="H91" s="583" t="str">
        <x:f>IF($A91="","",'醫師模式規則輸入'!$J78)</x:f>
      </x:c>
      <x:c r="I91" s="583" t="str">
        <x:f>IF($A91="","",'醫師模式規則輸入'!$K78)</x:f>
      </x:c>
      <x:c r="J91" s="579" t="str">
        <x:f>IF($A91="","",'醫師模式規則輸入'!$A78)</x:f>
      </x:c>
      <x:c r="K91" s="579" t="str">
        <x:f>IF($A91="","",'醫師模式規則輸入'!$Q78)</x:f>
      </x:c>
      <x:c r="L91" s="579" t="str">
        <x:f>IF($A91="","",COUNTIFS('模式能力要求輸入'!$B$7:$B$306,$A91))</x:f>
      </x:c>
      <x:c r="M91" s="579" t="str">
        <x:f>IF($A91="","",COUNTIFS('模式能力要求輸入'!$B$7:$B$306,$A91,'模式能力要求輸入'!$R$7:$R$306,"可發布"))</x:f>
      </x:c>
      <x:c r="N91" s="579" t="str">
        <x:f>IF($A91="","",COUNTIFS('模式能力要求輸入'!$B$7:$B$306,$A91,'模式能力要求輸入'!$E$7:$E$306,"主跟診",'模式能力要求輸入'!$F$7:$F$306,"必備",'模式能力要求輸入'!$R$7:$R$306,"可發布"))</x:f>
      </x:c>
      <x:c r="O91" s="579" t="str">
        <x:f>IF($A91="","",'醫師模式規則輸入'!$T78)</x:f>
      </x:c>
      <x:c r="P91" s="579" t="str">
        <x:f>IF($A91="","",IF(COUNTIFS($A$7:$A$169,$A91)&gt;1,"模式代碼重複",IF('醫師模式規則輸入'!$U78="可匯入模式清單","可進入排班建檔",'醫師模式規則輸入'!$U78)))</x:f>
      </x:c>
      <x:c r="Q91" s="579" t="str">
        <x:f>IF(OR($P91="可進入排班建檔",$P91="可供試行排班"),$A91,"")</x:f>
      </x:c>
    </x:row>
    <x:row r="92">
      <x:c r="A92" s="579" t="str">
        <x:f>IF('醫師模式規則輸入'!$D79="","",'醫師模式規則輸入'!$D79)</x:f>
      </x:c>
      <x:c r="B92" s="579" t="str">
        <x:f>IF($A92="","",'醫師模式規則輸入'!$B79)</x:f>
      </x:c>
      <x:c r="C92" s="579" t="str">
        <x:f>IF($A92="","",'醫師模式規則輸入'!$E79)</x:f>
      </x:c>
      <x:c r="D92" s="579" t="str">
        <x:f>IF($A92="","",'醫師模式規則輸入'!$F79)</x:f>
      </x:c>
      <x:c r="E92" s="579" t="str">
        <x:f>IF($A92="","",'醫師模式規則輸入'!$G79)</x:f>
      </x:c>
      <x:c r="F92" s="583" t="str">
        <x:f>IF($A92="","",'醫師模式規則輸入'!$H79)</x:f>
      </x:c>
      <x:c r="G92" s="583" t="str">
        <x:f>IF($A92="","",'醫師模式規則輸入'!$I79)</x:f>
      </x:c>
      <x:c r="H92" s="583" t="str">
        <x:f>IF($A92="","",'醫師模式規則輸入'!$J79)</x:f>
      </x:c>
      <x:c r="I92" s="583" t="str">
        <x:f>IF($A92="","",'醫師模式規則輸入'!$K79)</x:f>
      </x:c>
      <x:c r="J92" s="579" t="str">
        <x:f>IF($A92="","",'醫師模式規則輸入'!$A79)</x:f>
      </x:c>
      <x:c r="K92" s="579" t="str">
        <x:f>IF($A92="","",'醫師模式規則輸入'!$Q79)</x:f>
      </x:c>
      <x:c r="L92" s="579" t="str">
        <x:f>IF($A92="","",COUNTIFS('模式能力要求輸入'!$B$7:$B$306,$A92))</x:f>
      </x:c>
      <x:c r="M92" s="579" t="str">
        <x:f>IF($A92="","",COUNTIFS('模式能力要求輸入'!$B$7:$B$306,$A92,'模式能力要求輸入'!$R$7:$R$306,"可發布"))</x:f>
      </x:c>
      <x:c r="N92" s="579" t="str">
        <x:f>IF($A92="","",COUNTIFS('模式能力要求輸入'!$B$7:$B$306,$A92,'模式能力要求輸入'!$E$7:$E$306,"主跟診",'模式能力要求輸入'!$F$7:$F$306,"必備",'模式能力要求輸入'!$R$7:$R$306,"可發布"))</x:f>
      </x:c>
      <x:c r="O92" s="579" t="str">
        <x:f>IF($A92="","",'醫師模式規則輸入'!$T79)</x:f>
      </x:c>
      <x:c r="P92" s="579" t="str">
        <x:f>IF($A92="","",IF(COUNTIFS($A$7:$A$169,$A92)&gt;1,"模式代碼重複",IF('醫師模式規則輸入'!$U79="可匯入模式清單","可進入排班建檔",'醫師模式規則輸入'!$U79)))</x:f>
      </x:c>
      <x:c r="Q92" s="579" t="str">
        <x:f>IF(OR($P92="可進入排班建檔",$P92="可供試行排班"),$A92,"")</x:f>
      </x:c>
    </x:row>
    <x:row r="93">
      <x:c r="A93" s="579" t="str">
        <x:f>IF('醫師模式規則輸入'!$D80="","",'醫師模式規則輸入'!$D80)</x:f>
      </x:c>
      <x:c r="B93" s="579" t="str">
        <x:f>IF($A93="","",'醫師模式規則輸入'!$B80)</x:f>
      </x:c>
      <x:c r="C93" s="579" t="str">
        <x:f>IF($A93="","",'醫師模式規則輸入'!$E80)</x:f>
      </x:c>
      <x:c r="D93" s="579" t="str">
        <x:f>IF($A93="","",'醫師模式規則輸入'!$F80)</x:f>
      </x:c>
      <x:c r="E93" s="579" t="str">
        <x:f>IF($A93="","",'醫師模式規則輸入'!$G80)</x:f>
      </x:c>
      <x:c r="F93" s="583" t="str">
        <x:f>IF($A93="","",'醫師模式規則輸入'!$H80)</x:f>
      </x:c>
      <x:c r="G93" s="583" t="str">
        <x:f>IF($A93="","",'醫師模式規則輸入'!$I80)</x:f>
      </x:c>
      <x:c r="H93" s="583" t="str">
        <x:f>IF($A93="","",'醫師模式規則輸入'!$J80)</x:f>
      </x:c>
      <x:c r="I93" s="583" t="str">
        <x:f>IF($A93="","",'醫師模式規則輸入'!$K80)</x:f>
      </x:c>
      <x:c r="J93" s="579" t="str">
        <x:f>IF($A93="","",'醫師模式規則輸入'!$A80)</x:f>
      </x:c>
      <x:c r="K93" s="579" t="str">
        <x:f>IF($A93="","",'醫師模式規則輸入'!$Q80)</x:f>
      </x:c>
      <x:c r="L93" s="579" t="str">
        <x:f>IF($A93="","",COUNTIFS('模式能力要求輸入'!$B$7:$B$306,$A93))</x:f>
      </x:c>
      <x:c r="M93" s="579" t="str">
        <x:f>IF($A93="","",COUNTIFS('模式能力要求輸入'!$B$7:$B$306,$A93,'模式能力要求輸入'!$R$7:$R$306,"可發布"))</x:f>
      </x:c>
      <x:c r="N93" s="579" t="str">
        <x:f>IF($A93="","",COUNTIFS('模式能力要求輸入'!$B$7:$B$306,$A93,'模式能力要求輸入'!$E$7:$E$306,"主跟診",'模式能力要求輸入'!$F$7:$F$306,"必備",'模式能力要求輸入'!$R$7:$R$306,"可發布"))</x:f>
      </x:c>
      <x:c r="O93" s="579" t="str">
        <x:f>IF($A93="","",'醫師模式規則輸入'!$T80)</x:f>
      </x:c>
      <x:c r="P93" s="579" t="str">
        <x:f>IF($A93="","",IF(COUNTIFS($A$7:$A$169,$A93)&gt;1,"模式代碼重複",IF('醫師模式規則輸入'!$U80="可匯入模式清單","可進入排班建檔",'醫師模式規則輸入'!$U80)))</x:f>
      </x:c>
      <x:c r="Q93" s="579" t="str">
        <x:f>IF(OR($P93="可進入排班建檔",$P93="可供試行排班"),$A93,"")</x:f>
      </x:c>
    </x:row>
    <x:row r="94">
      <x:c r="A94" s="579" t="str">
        <x:f>IF('醫師模式規則輸入'!$D81="","",'醫師模式規則輸入'!$D81)</x:f>
      </x:c>
      <x:c r="B94" s="579" t="str">
        <x:f>IF($A94="","",'醫師模式規則輸入'!$B81)</x:f>
      </x:c>
      <x:c r="C94" s="579" t="str">
        <x:f>IF($A94="","",'醫師模式規則輸入'!$E81)</x:f>
      </x:c>
      <x:c r="D94" s="579" t="str">
        <x:f>IF($A94="","",'醫師模式規則輸入'!$F81)</x:f>
      </x:c>
      <x:c r="E94" s="579" t="str">
        <x:f>IF($A94="","",'醫師模式規則輸入'!$G81)</x:f>
      </x:c>
      <x:c r="F94" s="583" t="str">
        <x:f>IF($A94="","",'醫師模式規則輸入'!$H81)</x:f>
      </x:c>
      <x:c r="G94" s="583" t="str">
        <x:f>IF($A94="","",'醫師模式規則輸入'!$I81)</x:f>
      </x:c>
      <x:c r="H94" s="583" t="str">
        <x:f>IF($A94="","",'醫師模式規則輸入'!$J81)</x:f>
      </x:c>
      <x:c r="I94" s="583" t="str">
        <x:f>IF($A94="","",'醫師模式規則輸入'!$K81)</x:f>
      </x:c>
      <x:c r="J94" s="579" t="str">
        <x:f>IF($A94="","",'醫師模式規則輸入'!$A81)</x:f>
      </x:c>
      <x:c r="K94" s="579" t="str">
        <x:f>IF($A94="","",'醫師模式規則輸入'!$Q81)</x:f>
      </x:c>
      <x:c r="L94" s="579" t="str">
        <x:f>IF($A94="","",COUNTIFS('模式能力要求輸入'!$B$7:$B$306,$A94))</x:f>
      </x:c>
      <x:c r="M94" s="579" t="str">
        <x:f>IF($A94="","",COUNTIFS('模式能力要求輸入'!$B$7:$B$306,$A94,'模式能力要求輸入'!$R$7:$R$306,"可發布"))</x:f>
      </x:c>
      <x:c r="N94" s="579" t="str">
        <x:f>IF($A94="","",COUNTIFS('模式能力要求輸入'!$B$7:$B$306,$A94,'模式能力要求輸入'!$E$7:$E$306,"主跟診",'模式能力要求輸入'!$F$7:$F$306,"必備",'模式能力要求輸入'!$R$7:$R$306,"可發布"))</x:f>
      </x:c>
      <x:c r="O94" s="579" t="str">
        <x:f>IF($A94="","",'醫師模式規則輸入'!$T81)</x:f>
      </x:c>
      <x:c r="P94" s="579" t="str">
        <x:f>IF($A94="","",IF(COUNTIFS($A$7:$A$169,$A94)&gt;1,"模式代碼重複",IF('醫師模式規則輸入'!$U81="可匯入模式清單","可進入排班建檔",'醫師模式規則輸入'!$U81)))</x:f>
      </x:c>
      <x:c r="Q94" s="579" t="str">
        <x:f>IF(OR($P94="可進入排班建檔",$P94="可供試行排班"),$A94,"")</x:f>
      </x:c>
    </x:row>
    <x:row r="95">
      <x:c r="A95" s="579" t="str">
        <x:f>IF('醫師模式規則輸入'!$D82="","",'醫師模式規則輸入'!$D82)</x:f>
      </x:c>
      <x:c r="B95" s="579" t="str">
        <x:f>IF($A95="","",'醫師模式規則輸入'!$B82)</x:f>
      </x:c>
      <x:c r="C95" s="579" t="str">
        <x:f>IF($A95="","",'醫師模式規則輸入'!$E82)</x:f>
      </x:c>
      <x:c r="D95" s="579" t="str">
        <x:f>IF($A95="","",'醫師模式規則輸入'!$F82)</x:f>
      </x:c>
      <x:c r="E95" s="579" t="str">
        <x:f>IF($A95="","",'醫師模式規則輸入'!$G82)</x:f>
      </x:c>
      <x:c r="F95" s="583" t="str">
        <x:f>IF($A95="","",'醫師模式規則輸入'!$H82)</x:f>
      </x:c>
      <x:c r="G95" s="583" t="str">
        <x:f>IF($A95="","",'醫師模式規則輸入'!$I82)</x:f>
      </x:c>
      <x:c r="H95" s="583" t="str">
        <x:f>IF($A95="","",'醫師模式規則輸入'!$J82)</x:f>
      </x:c>
      <x:c r="I95" s="583" t="str">
        <x:f>IF($A95="","",'醫師模式規則輸入'!$K82)</x:f>
      </x:c>
      <x:c r="J95" s="579" t="str">
        <x:f>IF($A95="","",'醫師模式規則輸入'!$A82)</x:f>
      </x:c>
      <x:c r="K95" s="579" t="str">
        <x:f>IF($A95="","",'醫師模式規則輸入'!$Q82)</x:f>
      </x:c>
      <x:c r="L95" s="579" t="str">
        <x:f>IF($A95="","",COUNTIFS('模式能力要求輸入'!$B$7:$B$306,$A95))</x:f>
      </x:c>
      <x:c r="M95" s="579" t="str">
        <x:f>IF($A95="","",COUNTIFS('模式能力要求輸入'!$B$7:$B$306,$A95,'模式能力要求輸入'!$R$7:$R$306,"可發布"))</x:f>
      </x:c>
      <x:c r="N95" s="579" t="str">
        <x:f>IF($A95="","",COUNTIFS('模式能力要求輸入'!$B$7:$B$306,$A95,'模式能力要求輸入'!$E$7:$E$306,"主跟診",'模式能力要求輸入'!$F$7:$F$306,"必備",'模式能力要求輸入'!$R$7:$R$306,"可發布"))</x:f>
      </x:c>
      <x:c r="O95" s="579" t="str">
        <x:f>IF($A95="","",'醫師模式規則輸入'!$T82)</x:f>
      </x:c>
      <x:c r="P95" s="579" t="str">
        <x:f>IF($A95="","",IF(COUNTIFS($A$7:$A$169,$A95)&gt;1,"模式代碼重複",IF('醫師模式規則輸入'!$U82="可匯入模式清單","可進入排班建檔",'醫師模式規則輸入'!$U82)))</x:f>
      </x:c>
      <x:c r="Q95" s="579" t="str">
        <x:f>IF(OR($P95="可進入排班建檔",$P95="可供試行排班"),$A95,"")</x:f>
      </x:c>
    </x:row>
    <x:row r="96">
      <x:c r="A96" s="579" t="str">
        <x:f>IF('醫師模式規則輸入'!$D83="","",'醫師模式規則輸入'!$D83)</x:f>
      </x:c>
      <x:c r="B96" s="579" t="str">
        <x:f>IF($A96="","",'醫師模式規則輸入'!$B83)</x:f>
      </x:c>
      <x:c r="C96" s="579" t="str">
        <x:f>IF($A96="","",'醫師模式規則輸入'!$E83)</x:f>
      </x:c>
      <x:c r="D96" s="579" t="str">
        <x:f>IF($A96="","",'醫師模式規則輸入'!$F83)</x:f>
      </x:c>
      <x:c r="E96" s="579" t="str">
        <x:f>IF($A96="","",'醫師模式規則輸入'!$G83)</x:f>
      </x:c>
      <x:c r="F96" s="583" t="str">
        <x:f>IF($A96="","",'醫師模式規則輸入'!$H83)</x:f>
      </x:c>
      <x:c r="G96" s="583" t="str">
        <x:f>IF($A96="","",'醫師模式規則輸入'!$I83)</x:f>
      </x:c>
      <x:c r="H96" s="583" t="str">
        <x:f>IF($A96="","",'醫師模式規則輸入'!$J83)</x:f>
      </x:c>
      <x:c r="I96" s="583" t="str">
        <x:f>IF($A96="","",'醫師模式規則輸入'!$K83)</x:f>
      </x:c>
      <x:c r="J96" s="579" t="str">
        <x:f>IF($A96="","",'醫師模式規則輸入'!$A83)</x:f>
      </x:c>
      <x:c r="K96" s="579" t="str">
        <x:f>IF($A96="","",'醫師模式規則輸入'!$Q83)</x:f>
      </x:c>
      <x:c r="L96" s="579" t="str">
        <x:f>IF($A96="","",COUNTIFS('模式能力要求輸入'!$B$7:$B$306,$A96))</x:f>
      </x:c>
      <x:c r="M96" s="579" t="str">
        <x:f>IF($A96="","",COUNTIFS('模式能力要求輸入'!$B$7:$B$306,$A96,'模式能力要求輸入'!$R$7:$R$306,"可發布"))</x:f>
      </x:c>
      <x:c r="N96" s="579" t="str">
        <x:f>IF($A96="","",COUNTIFS('模式能力要求輸入'!$B$7:$B$306,$A96,'模式能力要求輸入'!$E$7:$E$306,"主跟診",'模式能力要求輸入'!$F$7:$F$306,"必備",'模式能力要求輸入'!$R$7:$R$306,"可發布"))</x:f>
      </x:c>
      <x:c r="O96" s="579" t="str">
        <x:f>IF($A96="","",'醫師模式規則輸入'!$T83)</x:f>
      </x:c>
      <x:c r="P96" s="579" t="str">
        <x:f>IF($A96="","",IF(COUNTIFS($A$7:$A$169,$A96)&gt;1,"模式代碼重複",IF('醫師模式規則輸入'!$U83="可匯入模式清單","可進入排班建檔",'醫師模式規則輸入'!$U83)))</x:f>
      </x:c>
      <x:c r="Q96" s="579" t="str">
        <x:f>IF(OR($P96="可進入排班建檔",$P96="可供試行排班"),$A96,"")</x:f>
      </x:c>
    </x:row>
    <x:row r="97">
      <x:c r="A97" s="579" t="str">
        <x:f>IF('醫師模式規則輸入'!$D84="","",'醫師模式規則輸入'!$D84)</x:f>
      </x:c>
      <x:c r="B97" s="579" t="str">
        <x:f>IF($A97="","",'醫師模式規則輸入'!$B84)</x:f>
      </x:c>
      <x:c r="C97" s="579" t="str">
        <x:f>IF($A97="","",'醫師模式規則輸入'!$E84)</x:f>
      </x:c>
      <x:c r="D97" s="579" t="str">
        <x:f>IF($A97="","",'醫師模式規則輸入'!$F84)</x:f>
      </x:c>
      <x:c r="E97" s="579" t="str">
        <x:f>IF($A97="","",'醫師模式規則輸入'!$G84)</x:f>
      </x:c>
      <x:c r="F97" s="583" t="str">
        <x:f>IF($A97="","",'醫師模式規則輸入'!$H84)</x:f>
      </x:c>
      <x:c r="G97" s="583" t="str">
        <x:f>IF($A97="","",'醫師模式規則輸入'!$I84)</x:f>
      </x:c>
      <x:c r="H97" s="583" t="str">
        <x:f>IF($A97="","",'醫師模式規則輸入'!$J84)</x:f>
      </x:c>
      <x:c r="I97" s="583" t="str">
        <x:f>IF($A97="","",'醫師模式規則輸入'!$K84)</x:f>
      </x:c>
      <x:c r="J97" s="579" t="str">
        <x:f>IF($A97="","",'醫師模式規則輸入'!$A84)</x:f>
      </x:c>
      <x:c r="K97" s="579" t="str">
        <x:f>IF($A97="","",'醫師模式規則輸入'!$Q84)</x:f>
      </x:c>
      <x:c r="L97" s="579" t="str">
        <x:f>IF($A97="","",COUNTIFS('模式能力要求輸入'!$B$7:$B$306,$A97))</x:f>
      </x:c>
      <x:c r="M97" s="579" t="str">
        <x:f>IF($A97="","",COUNTIFS('模式能力要求輸入'!$B$7:$B$306,$A97,'模式能力要求輸入'!$R$7:$R$306,"可發布"))</x:f>
      </x:c>
      <x:c r="N97" s="579" t="str">
        <x:f>IF($A97="","",COUNTIFS('模式能力要求輸入'!$B$7:$B$306,$A97,'模式能力要求輸入'!$E$7:$E$306,"主跟診",'模式能力要求輸入'!$F$7:$F$306,"必備",'模式能力要求輸入'!$R$7:$R$306,"可發布"))</x:f>
      </x:c>
      <x:c r="O97" s="579" t="str">
        <x:f>IF($A97="","",'醫師模式規則輸入'!$T84)</x:f>
      </x:c>
      <x:c r="P97" s="579" t="str">
        <x:f>IF($A97="","",IF(COUNTIFS($A$7:$A$169,$A97)&gt;1,"模式代碼重複",IF('醫師模式規則輸入'!$U84="可匯入模式清單","可進入排班建檔",'醫師模式規則輸入'!$U84)))</x:f>
      </x:c>
      <x:c r="Q97" s="579" t="str">
        <x:f>IF(OR($P97="可進入排班建檔",$P97="可供試行排班"),$A97,"")</x:f>
      </x:c>
    </x:row>
    <x:row r="98">
      <x:c r="A98" s="579" t="str">
        <x:f>IF('醫師模式規則輸入'!$D85="","",'醫師模式規則輸入'!$D85)</x:f>
      </x:c>
      <x:c r="B98" s="579" t="str">
        <x:f>IF($A98="","",'醫師模式規則輸入'!$B85)</x:f>
      </x:c>
      <x:c r="C98" s="579" t="str">
        <x:f>IF($A98="","",'醫師模式規則輸入'!$E85)</x:f>
      </x:c>
      <x:c r="D98" s="579" t="str">
        <x:f>IF($A98="","",'醫師模式規則輸入'!$F85)</x:f>
      </x:c>
      <x:c r="E98" s="579" t="str">
        <x:f>IF($A98="","",'醫師模式規則輸入'!$G85)</x:f>
      </x:c>
      <x:c r="F98" s="583" t="str">
        <x:f>IF($A98="","",'醫師模式規則輸入'!$H85)</x:f>
      </x:c>
      <x:c r="G98" s="583" t="str">
        <x:f>IF($A98="","",'醫師模式規則輸入'!$I85)</x:f>
      </x:c>
      <x:c r="H98" s="583" t="str">
        <x:f>IF($A98="","",'醫師模式規則輸入'!$J85)</x:f>
      </x:c>
      <x:c r="I98" s="583" t="str">
        <x:f>IF($A98="","",'醫師模式規則輸入'!$K85)</x:f>
      </x:c>
      <x:c r="J98" s="579" t="str">
        <x:f>IF($A98="","",'醫師模式規則輸入'!$A85)</x:f>
      </x:c>
      <x:c r="K98" s="579" t="str">
        <x:f>IF($A98="","",'醫師模式規則輸入'!$Q85)</x:f>
      </x:c>
      <x:c r="L98" s="579" t="str">
        <x:f>IF($A98="","",COUNTIFS('模式能力要求輸入'!$B$7:$B$306,$A98))</x:f>
      </x:c>
      <x:c r="M98" s="579" t="str">
        <x:f>IF($A98="","",COUNTIFS('模式能力要求輸入'!$B$7:$B$306,$A98,'模式能力要求輸入'!$R$7:$R$306,"可發布"))</x:f>
      </x:c>
      <x:c r="N98" s="579" t="str">
        <x:f>IF($A98="","",COUNTIFS('模式能力要求輸入'!$B$7:$B$306,$A98,'模式能力要求輸入'!$E$7:$E$306,"主跟診",'模式能力要求輸入'!$F$7:$F$306,"必備",'模式能力要求輸入'!$R$7:$R$306,"可發布"))</x:f>
      </x:c>
      <x:c r="O98" s="579" t="str">
        <x:f>IF($A98="","",'醫師模式規則輸入'!$T85)</x:f>
      </x:c>
      <x:c r="P98" s="579" t="str">
        <x:f>IF($A98="","",IF(COUNTIFS($A$7:$A$169,$A98)&gt;1,"模式代碼重複",IF('醫師模式規則輸入'!$U85="可匯入模式清單","可進入排班建檔",'醫師模式規則輸入'!$U85)))</x:f>
      </x:c>
      <x:c r="Q98" s="579" t="str">
        <x:f>IF(OR($P98="可進入排班建檔",$P98="可供試行排班"),$A98,"")</x:f>
      </x:c>
    </x:row>
    <x:row r="99">
      <x:c r="A99" s="579" t="str">
        <x:f>IF('醫師模式規則輸入'!$D86="","",'醫師模式規則輸入'!$D86)</x:f>
      </x:c>
      <x:c r="B99" s="579" t="str">
        <x:f>IF($A99="","",'醫師模式規則輸入'!$B86)</x:f>
      </x:c>
      <x:c r="C99" s="579" t="str">
        <x:f>IF($A99="","",'醫師模式規則輸入'!$E86)</x:f>
      </x:c>
      <x:c r="D99" s="579" t="str">
        <x:f>IF($A99="","",'醫師模式規則輸入'!$F86)</x:f>
      </x:c>
      <x:c r="E99" s="579" t="str">
        <x:f>IF($A99="","",'醫師模式規則輸入'!$G86)</x:f>
      </x:c>
      <x:c r="F99" s="583" t="str">
        <x:f>IF($A99="","",'醫師模式規則輸入'!$H86)</x:f>
      </x:c>
      <x:c r="G99" s="583" t="str">
        <x:f>IF($A99="","",'醫師模式規則輸入'!$I86)</x:f>
      </x:c>
      <x:c r="H99" s="583" t="str">
        <x:f>IF($A99="","",'醫師模式規則輸入'!$J86)</x:f>
      </x:c>
      <x:c r="I99" s="583" t="str">
        <x:f>IF($A99="","",'醫師模式規則輸入'!$K86)</x:f>
      </x:c>
      <x:c r="J99" s="579" t="str">
        <x:f>IF($A99="","",'醫師模式規則輸入'!$A86)</x:f>
      </x:c>
      <x:c r="K99" s="579" t="str">
        <x:f>IF($A99="","",'醫師模式規則輸入'!$Q86)</x:f>
      </x:c>
      <x:c r="L99" s="579" t="str">
        <x:f>IF($A99="","",COUNTIFS('模式能力要求輸入'!$B$7:$B$306,$A99))</x:f>
      </x:c>
      <x:c r="M99" s="579" t="str">
        <x:f>IF($A99="","",COUNTIFS('模式能力要求輸入'!$B$7:$B$306,$A99,'模式能力要求輸入'!$R$7:$R$306,"可發布"))</x:f>
      </x:c>
      <x:c r="N99" s="579" t="str">
        <x:f>IF($A99="","",COUNTIFS('模式能力要求輸入'!$B$7:$B$306,$A99,'模式能力要求輸入'!$E$7:$E$306,"主跟診",'模式能力要求輸入'!$F$7:$F$306,"必備",'模式能力要求輸入'!$R$7:$R$306,"可發布"))</x:f>
      </x:c>
      <x:c r="O99" s="579" t="str">
        <x:f>IF($A99="","",'醫師模式規則輸入'!$T86)</x:f>
      </x:c>
      <x:c r="P99" s="579" t="str">
        <x:f>IF($A99="","",IF(COUNTIFS($A$7:$A$169,$A99)&gt;1,"模式代碼重複",IF('醫師模式規則輸入'!$U86="可匯入模式清單","可進入排班建檔",'醫師模式規則輸入'!$U86)))</x:f>
      </x:c>
      <x:c r="Q99" s="579" t="str">
        <x:f>IF(OR($P99="可進入排班建檔",$P99="可供試行排班"),$A99,"")</x:f>
      </x:c>
    </x:row>
    <x:row r="100">
      <x:c r="A100" s="579" t="str">
        <x:f>IF('醫師模式規則輸入'!$D87="","",'醫師模式規則輸入'!$D87)</x:f>
      </x:c>
      <x:c r="B100" s="579" t="str">
        <x:f>IF($A100="","",'醫師模式規則輸入'!$B87)</x:f>
      </x:c>
      <x:c r="C100" s="579" t="str">
        <x:f>IF($A100="","",'醫師模式規則輸入'!$E87)</x:f>
      </x:c>
      <x:c r="D100" s="579" t="str">
        <x:f>IF($A100="","",'醫師模式規則輸入'!$F87)</x:f>
      </x:c>
      <x:c r="E100" s="579" t="str">
        <x:f>IF($A100="","",'醫師模式規則輸入'!$G87)</x:f>
      </x:c>
      <x:c r="F100" s="583" t="str">
        <x:f>IF($A100="","",'醫師模式規則輸入'!$H87)</x:f>
      </x:c>
      <x:c r="G100" s="583" t="str">
        <x:f>IF($A100="","",'醫師模式規則輸入'!$I87)</x:f>
      </x:c>
      <x:c r="H100" s="583" t="str">
        <x:f>IF($A100="","",'醫師模式規則輸入'!$J87)</x:f>
      </x:c>
      <x:c r="I100" s="583" t="str">
        <x:f>IF($A100="","",'醫師模式規則輸入'!$K87)</x:f>
      </x:c>
      <x:c r="J100" s="579" t="str">
        <x:f>IF($A100="","",'醫師模式規則輸入'!$A87)</x:f>
      </x:c>
      <x:c r="K100" s="579" t="str">
        <x:f>IF($A100="","",'醫師模式規則輸入'!$Q87)</x:f>
      </x:c>
      <x:c r="L100" s="579" t="str">
        <x:f>IF($A100="","",COUNTIFS('模式能力要求輸入'!$B$7:$B$306,$A100))</x:f>
      </x:c>
      <x:c r="M100" s="579" t="str">
        <x:f>IF($A100="","",COUNTIFS('模式能力要求輸入'!$B$7:$B$306,$A100,'模式能力要求輸入'!$R$7:$R$306,"可發布"))</x:f>
      </x:c>
      <x:c r="N100" s="579" t="str">
        <x:f>IF($A100="","",COUNTIFS('模式能力要求輸入'!$B$7:$B$306,$A100,'模式能力要求輸入'!$E$7:$E$306,"主跟診",'模式能力要求輸入'!$F$7:$F$306,"必備",'模式能力要求輸入'!$R$7:$R$306,"可發布"))</x:f>
      </x:c>
      <x:c r="O100" s="579" t="str">
        <x:f>IF($A100="","",'醫師模式規則輸入'!$T87)</x:f>
      </x:c>
      <x:c r="P100" s="579" t="str">
        <x:f>IF($A100="","",IF(COUNTIFS($A$7:$A$169,$A100)&gt;1,"模式代碼重複",IF('醫師模式規則輸入'!$U87="可匯入模式清單","可進入排班建檔",'醫師模式規則輸入'!$U87)))</x:f>
      </x:c>
      <x:c r="Q100" s="579" t="str">
        <x:f>IF(OR($P100="可進入排班建檔",$P100="可供試行排班"),$A100,"")</x:f>
      </x:c>
    </x:row>
    <x:row r="101">
      <x:c r="A101" s="579" t="str">
        <x:f>IF('醫師模式規則輸入'!$D88="","",'醫師模式規則輸入'!$D88)</x:f>
      </x:c>
      <x:c r="B101" s="579" t="str">
        <x:f>IF($A101="","",'醫師模式規則輸入'!$B88)</x:f>
      </x:c>
      <x:c r="C101" s="579" t="str">
        <x:f>IF($A101="","",'醫師模式規則輸入'!$E88)</x:f>
      </x:c>
      <x:c r="D101" s="579" t="str">
        <x:f>IF($A101="","",'醫師模式規則輸入'!$F88)</x:f>
      </x:c>
      <x:c r="E101" s="579" t="str">
        <x:f>IF($A101="","",'醫師模式規則輸入'!$G88)</x:f>
      </x:c>
      <x:c r="F101" s="583" t="str">
        <x:f>IF($A101="","",'醫師模式規則輸入'!$H88)</x:f>
      </x:c>
      <x:c r="G101" s="583" t="str">
        <x:f>IF($A101="","",'醫師模式規則輸入'!$I88)</x:f>
      </x:c>
      <x:c r="H101" s="583" t="str">
        <x:f>IF($A101="","",'醫師模式規則輸入'!$J88)</x:f>
      </x:c>
      <x:c r="I101" s="583" t="str">
        <x:f>IF($A101="","",'醫師模式規則輸入'!$K88)</x:f>
      </x:c>
      <x:c r="J101" s="579" t="str">
        <x:f>IF($A101="","",'醫師模式規則輸入'!$A88)</x:f>
      </x:c>
      <x:c r="K101" s="579" t="str">
        <x:f>IF($A101="","",'醫師模式規則輸入'!$Q88)</x:f>
      </x:c>
      <x:c r="L101" s="579" t="str">
        <x:f>IF($A101="","",COUNTIFS('模式能力要求輸入'!$B$7:$B$306,$A101))</x:f>
      </x:c>
      <x:c r="M101" s="579" t="str">
        <x:f>IF($A101="","",COUNTIFS('模式能力要求輸入'!$B$7:$B$306,$A101,'模式能力要求輸入'!$R$7:$R$306,"可發布"))</x:f>
      </x:c>
      <x:c r="N101" s="579" t="str">
        <x:f>IF($A101="","",COUNTIFS('模式能力要求輸入'!$B$7:$B$306,$A101,'模式能力要求輸入'!$E$7:$E$306,"主跟診",'模式能力要求輸入'!$F$7:$F$306,"必備",'模式能力要求輸入'!$R$7:$R$306,"可發布"))</x:f>
      </x:c>
      <x:c r="O101" s="579" t="str">
        <x:f>IF($A101="","",'醫師模式規則輸入'!$T88)</x:f>
      </x:c>
      <x:c r="P101" s="579" t="str">
        <x:f>IF($A101="","",IF(COUNTIFS($A$7:$A$169,$A101)&gt;1,"模式代碼重複",IF('醫師模式規則輸入'!$U88="可匯入模式清單","可進入排班建檔",'醫師模式規則輸入'!$U88)))</x:f>
      </x:c>
      <x:c r="Q101" s="579" t="str">
        <x:f>IF(OR($P101="可進入排班建檔",$P101="可供試行排班"),$A101,"")</x:f>
      </x:c>
    </x:row>
    <x:row r="102">
      <x:c r="A102" s="579" t="str">
        <x:f>IF('醫師模式規則輸入'!$D89="","",'醫師模式規則輸入'!$D89)</x:f>
      </x:c>
      <x:c r="B102" s="579" t="str">
        <x:f>IF($A102="","",'醫師模式規則輸入'!$B89)</x:f>
      </x:c>
      <x:c r="C102" s="579" t="str">
        <x:f>IF($A102="","",'醫師模式規則輸入'!$E89)</x:f>
      </x:c>
      <x:c r="D102" s="579" t="str">
        <x:f>IF($A102="","",'醫師模式規則輸入'!$F89)</x:f>
      </x:c>
      <x:c r="E102" s="579" t="str">
        <x:f>IF($A102="","",'醫師模式規則輸入'!$G89)</x:f>
      </x:c>
      <x:c r="F102" s="583" t="str">
        <x:f>IF($A102="","",'醫師模式規則輸入'!$H89)</x:f>
      </x:c>
      <x:c r="G102" s="583" t="str">
        <x:f>IF($A102="","",'醫師模式規則輸入'!$I89)</x:f>
      </x:c>
      <x:c r="H102" s="583" t="str">
        <x:f>IF($A102="","",'醫師模式規則輸入'!$J89)</x:f>
      </x:c>
      <x:c r="I102" s="583" t="str">
        <x:f>IF($A102="","",'醫師模式規則輸入'!$K89)</x:f>
      </x:c>
      <x:c r="J102" s="579" t="str">
        <x:f>IF($A102="","",'醫師模式規則輸入'!$A89)</x:f>
      </x:c>
      <x:c r="K102" s="579" t="str">
        <x:f>IF($A102="","",'醫師模式規則輸入'!$Q89)</x:f>
      </x:c>
      <x:c r="L102" s="579" t="str">
        <x:f>IF($A102="","",COUNTIFS('模式能力要求輸入'!$B$7:$B$306,$A102))</x:f>
      </x:c>
      <x:c r="M102" s="579" t="str">
        <x:f>IF($A102="","",COUNTIFS('模式能力要求輸入'!$B$7:$B$306,$A102,'模式能力要求輸入'!$R$7:$R$306,"可發布"))</x:f>
      </x:c>
      <x:c r="N102" s="579" t="str">
        <x:f>IF($A102="","",COUNTIFS('模式能力要求輸入'!$B$7:$B$306,$A102,'模式能力要求輸入'!$E$7:$E$306,"主跟診",'模式能力要求輸入'!$F$7:$F$306,"必備",'模式能力要求輸入'!$R$7:$R$306,"可發布"))</x:f>
      </x:c>
      <x:c r="O102" s="579" t="str">
        <x:f>IF($A102="","",'醫師模式規則輸入'!$T89)</x:f>
      </x:c>
      <x:c r="P102" s="579" t="str">
        <x:f>IF($A102="","",IF(COUNTIFS($A$7:$A$169,$A102)&gt;1,"模式代碼重複",IF('醫師模式規則輸入'!$U89="可匯入模式清單","可進入排班建檔",'醫師模式規則輸入'!$U89)))</x:f>
      </x:c>
      <x:c r="Q102" s="579" t="str">
        <x:f>IF(OR($P102="可進入排班建檔",$P102="可供試行排班"),$A102,"")</x:f>
      </x:c>
    </x:row>
    <x:row r="103">
      <x:c r="A103" s="579" t="str">
        <x:f>IF('醫師模式規則輸入'!$D90="","",'醫師模式規則輸入'!$D90)</x:f>
      </x:c>
      <x:c r="B103" s="579" t="str">
        <x:f>IF($A103="","",'醫師模式規則輸入'!$B90)</x:f>
      </x:c>
      <x:c r="C103" s="579" t="str">
        <x:f>IF($A103="","",'醫師模式規則輸入'!$E90)</x:f>
      </x:c>
      <x:c r="D103" s="579" t="str">
        <x:f>IF($A103="","",'醫師模式規則輸入'!$F90)</x:f>
      </x:c>
      <x:c r="E103" s="579" t="str">
        <x:f>IF($A103="","",'醫師模式規則輸入'!$G90)</x:f>
      </x:c>
      <x:c r="F103" s="583" t="str">
        <x:f>IF($A103="","",'醫師模式規則輸入'!$H90)</x:f>
      </x:c>
      <x:c r="G103" s="583" t="str">
        <x:f>IF($A103="","",'醫師模式規則輸入'!$I90)</x:f>
      </x:c>
      <x:c r="H103" s="583" t="str">
        <x:f>IF($A103="","",'醫師模式規則輸入'!$J90)</x:f>
      </x:c>
      <x:c r="I103" s="583" t="str">
        <x:f>IF($A103="","",'醫師模式規則輸入'!$K90)</x:f>
      </x:c>
      <x:c r="J103" s="579" t="str">
        <x:f>IF($A103="","",'醫師模式規則輸入'!$A90)</x:f>
      </x:c>
      <x:c r="K103" s="579" t="str">
        <x:f>IF($A103="","",'醫師模式規則輸入'!$Q90)</x:f>
      </x:c>
      <x:c r="L103" s="579" t="str">
        <x:f>IF($A103="","",COUNTIFS('模式能力要求輸入'!$B$7:$B$306,$A103))</x:f>
      </x:c>
      <x:c r="M103" s="579" t="str">
        <x:f>IF($A103="","",COUNTIFS('模式能力要求輸入'!$B$7:$B$306,$A103,'模式能力要求輸入'!$R$7:$R$306,"可發布"))</x:f>
      </x:c>
      <x:c r="N103" s="579" t="str">
        <x:f>IF($A103="","",COUNTIFS('模式能力要求輸入'!$B$7:$B$306,$A103,'模式能力要求輸入'!$E$7:$E$306,"主跟診",'模式能力要求輸入'!$F$7:$F$306,"必備",'模式能力要求輸入'!$R$7:$R$306,"可發布"))</x:f>
      </x:c>
      <x:c r="O103" s="579" t="str">
        <x:f>IF($A103="","",'醫師模式規則輸入'!$T90)</x:f>
      </x:c>
      <x:c r="P103" s="579" t="str">
        <x:f>IF($A103="","",IF(COUNTIFS($A$7:$A$169,$A103)&gt;1,"模式代碼重複",IF('醫師模式規則輸入'!$U90="可匯入模式清單","可進入排班建檔",'醫師模式規則輸入'!$U90)))</x:f>
      </x:c>
      <x:c r="Q103" s="579" t="str">
        <x:f>IF(OR($P103="可進入排班建檔",$P103="可供試行排班"),$A103,"")</x:f>
      </x:c>
    </x:row>
    <x:row r="104">
      <x:c r="A104" s="579" t="str">
        <x:f>IF('醫師模式規則輸入'!$D91="","",'醫師模式規則輸入'!$D91)</x:f>
      </x:c>
      <x:c r="B104" s="579" t="str">
        <x:f>IF($A104="","",'醫師模式規則輸入'!$B91)</x:f>
      </x:c>
      <x:c r="C104" s="579" t="str">
        <x:f>IF($A104="","",'醫師模式規則輸入'!$E91)</x:f>
      </x:c>
      <x:c r="D104" s="579" t="str">
        <x:f>IF($A104="","",'醫師模式規則輸入'!$F91)</x:f>
      </x:c>
      <x:c r="E104" s="579" t="str">
        <x:f>IF($A104="","",'醫師模式規則輸入'!$G91)</x:f>
      </x:c>
      <x:c r="F104" s="583" t="str">
        <x:f>IF($A104="","",'醫師模式規則輸入'!$H91)</x:f>
      </x:c>
      <x:c r="G104" s="583" t="str">
        <x:f>IF($A104="","",'醫師模式規則輸入'!$I91)</x:f>
      </x:c>
      <x:c r="H104" s="583" t="str">
        <x:f>IF($A104="","",'醫師模式規則輸入'!$J91)</x:f>
      </x:c>
      <x:c r="I104" s="583" t="str">
        <x:f>IF($A104="","",'醫師模式規則輸入'!$K91)</x:f>
      </x:c>
      <x:c r="J104" s="579" t="str">
        <x:f>IF($A104="","",'醫師模式規則輸入'!$A91)</x:f>
      </x:c>
      <x:c r="K104" s="579" t="str">
        <x:f>IF($A104="","",'醫師模式規則輸入'!$Q91)</x:f>
      </x:c>
      <x:c r="L104" s="579" t="str">
        <x:f>IF($A104="","",COUNTIFS('模式能力要求輸入'!$B$7:$B$306,$A104))</x:f>
      </x:c>
      <x:c r="M104" s="579" t="str">
        <x:f>IF($A104="","",COUNTIFS('模式能力要求輸入'!$B$7:$B$306,$A104,'模式能力要求輸入'!$R$7:$R$306,"可發布"))</x:f>
      </x:c>
      <x:c r="N104" s="579" t="str">
        <x:f>IF($A104="","",COUNTIFS('模式能力要求輸入'!$B$7:$B$306,$A104,'模式能力要求輸入'!$E$7:$E$306,"主跟診",'模式能力要求輸入'!$F$7:$F$306,"必備",'模式能力要求輸入'!$R$7:$R$306,"可發布"))</x:f>
      </x:c>
      <x:c r="O104" s="579" t="str">
        <x:f>IF($A104="","",'醫師模式規則輸入'!$T91)</x:f>
      </x:c>
      <x:c r="P104" s="579" t="str">
        <x:f>IF($A104="","",IF(COUNTIFS($A$7:$A$169,$A104)&gt;1,"模式代碼重複",IF('醫師模式規則輸入'!$U91="可匯入模式清單","可進入排班建檔",'醫師模式規則輸入'!$U91)))</x:f>
      </x:c>
      <x:c r="Q104" s="579" t="str">
        <x:f>IF(OR($P104="可進入排班建檔",$P104="可供試行排班"),$A104,"")</x:f>
      </x:c>
    </x:row>
    <x:row r="105">
      <x:c r="A105" s="579" t="str">
        <x:f>IF('醫師模式規則輸入'!$D92="","",'醫師模式規則輸入'!$D92)</x:f>
      </x:c>
      <x:c r="B105" s="579" t="str">
        <x:f>IF($A105="","",'醫師模式規則輸入'!$B92)</x:f>
      </x:c>
      <x:c r="C105" s="579" t="str">
        <x:f>IF($A105="","",'醫師模式規則輸入'!$E92)</x:f>
      </x:c>
      <x:c r="D105" s="579" t="str">
        <x:f>IF($A105="","",'醫師模式規則輸入'!$F92)</x:f>
      </x:c>
      <x:c r="E105" s="579" t="str">
        <x:f>IF($A105="","",'醫師模式規則輸入'!$G92)</x:f>
      </x:c>
      <x:c r="F105" s="583" t="str">
        <x:f>IF($A105="","",'醫師模式規則輸入'!$H92)</x:f>
      </x:c>
      <x:c r="G105" s="583" t="str">
        <x:f>IF($A105="","",'醫師模式規則輸入'!$I92)</x:f>
      </x:c>
      <x:c r="H105" s="583" t="str">
        <x:f>IF($A105="","",'醫師模式規則輸入'!$J92)</x:f>
      </x:c>
      <x:c r="I105" s="583" t="str">
        <x:f>IF($A105="","",'醫師模式規則輸入'!$K92)</x:f>
      </x:c>
      <x:c r="J105" s="579" t="str">
        <x:f>IF($A105="","",'醫師模式規則輸入'!$A92)</x:f>
      </x:c>
      <x:c r="K105" s="579" t="str">
        <x:f>IF($A105="","",'醫師模式規則輸入'!$Q92)</x:f>
      </x:c>
      <x:c r="L105" s="579" t="str">
        <x:f>IF($A105="","",COUNTIFS('模式能力要求輸入'!$B$7:$B$306,$A105))</x:f>
      </x:c>
      <x:c r="M105" s="579" t="str">
        <x:f>IF($A105="","",COUNTIFS('模式能力要求輸入'!$B$7:$B$306,$A105,'模式能力要求輸入'!$R$7:$R$306,"可發布"))</x:f>
      </x:c>
      <x:c r="N105" s="579" t="str">
        <x:f>IF($A105="","",COUNTIFS('模式能力要求輸入'!$B$7:$B$306,$A105,'模式能力要求輸入'!$E$7:$E$306,"主跟診",'模式能力要求輸入'!$F$7:$F$306,"必備",'模式能力要求輸入'!$R$7:$R$306,"可發布"))</x:f>
      </x:c>
      <x:c r="O105" s="579" t="str">
        <x:f>IF($A105="","",'醫師模式規則輸入'!$T92)</x:f>
      </x:c>
      <x:c r="P105" s="579" t="str">
        <x:f>IF($A105="","",IF(COUNTIFS($A$7:$A$169,$A105)&gt;1,"模式代碼重複",IF('醫師模式規則輸入'!$U92="可匯入模式清單","可進入排班建檔",'醫師模式規則輸入'!$U92)))</x:f>
      </x:c>
      <x:c r="Q105" s="579" t="str">
        <x:f>IF(OR($P105="可進入排班建檔",$P105="可供試行排班"),$A105,"")</x:f>
      </x:c>
    </x:row>
    <x:row r="106">
      <x:c r="A106" s="579" t="str">
        <x:f>IF('醫師模式規則輸入'!$D93="","",'醫師模式規則輸入'!$D93)</x:f>
      </x:c>
      <x:c r="B106" s="579" t="str">
        <x:f>IF($A106="","",'醫師模式規則輸入'!$B93)</x:f>
      </x:c>
      <x:c r="C106" s="579" t="str">
        <x:f>IF($A106="","",'醫師模式規則輸入'!$E93)</x:f>
      </x:c>
      <x:c r="D106" s="579" t="str">
        <x:f>IF($A106="","",'醫師模式規則輸入'!$F93)</x:f>
      </x:c>
      <x:c r="E106" s="579" t="str">
        <x:f>IF($A106="","",'醫師模式規則輸入'!$G93)</x:f>
      </x:c>
      <x:c r="F106" s="583" t="str">
        <x:f>IF($A106="","",'醫師模式規則輸入'!$H93)</x:f>
      </x:c>
      <x:c r="G106" s="583" t="str">
        <x:f>IF($A106="","",'醫師模式規則輸入'!$I93)</x:f>
      </x:c>
      <x:c r="H106" s="583" t="str">
        <x:f>IF($A106="","",'醫師模式規則輸入'!$J93)</x:f>
      </x:c>
      <x:c r="I106" s="583" t="str">
        <x:f>IF($A106="","",'醫師模式規則輸入'!$K93)</x:f>
      </x:c>
      <x:c r="J106" s="579" t="str">
        <x:f>IF($A106="","",'醫師模式規則輸入'!$A93)</x:f>
      </x:c>
      <x:c r="K106" s="579" t="str">
        <x:f>IF($A106="","",'醫師模式規則輸入'!$Q93)</x:f>
      </x:c>
      <x:c r="L106" s="579" t="str">
        <x:f>IF($A106="","",COUNTIFS('模式能力要求輸入'!$B$7:$B$306,$A106))</x:f>
      </x:c>
      <x:c r="M106" s="579" t="str">
        <x:f>IF($A106="","",COUNTIFS('模式能力要求輸入'!$B$7:$B$306,$A106,'模式能力要求輸入'!$R$7:$R$306,"可發布"))</x:f>
      </x:c>
      <x:c r="N106" s="579" t="str">
        <x:f>IF($A106="","",COUNTIFS('模式能力要求輸入'!$B$7:$B$306,$A106,'模式能力要求輸入'!$E$7:$E$306,"主跟診",'模式能力要求輸入'!$F$7:$F$306,"必備",'模式能力要求輸入'!$R$7:$R$306,"可發布"))</x:f>
      </x:c>
      <x:c r="O106" s="579" t="str">
        <x:f>IF($A106="","",'醫師模式規則輸入'!$T93)</x:f>
      </x:c>
      <x:c r="P106" s="579" t="str">
        <x:f>IF($A106="","",IF(COUNTIFS($A$7:$A$169,$A106)&gt;1,"模式代碼重複",IF('醫師模式規則輸入'!$U93="可匯入模式清單","可進入排班建檔",'醫師模式規則輸入'!$U93)))</x:f>
      </x:c>
      <x:c r="Q106" s="579" t="str">
        <x:f>IF(OR($P106="可進入排班建檔",$P106="可供試行排班"),$A106,"")</x:f>
      </x:c>
    </x:row>
    <x:row r="107">
      <x:c r="A107" s="579" t="str">
        <x:f>IF('醫師模式規則輸入'!$D94="","",'醫師模式規則輸入'!$D94)</x:f>
      </x:c>
      <x:c r="B107" s="579" t="str">
        <x:f>IF($A107="","",'醫師模式規則輸入'!$B94)</x:f>
      </x:c>
      <x:c r="C107" s="579" t="str">
        <x:f>IF($A107="","",'醫師模式規則輸入'!$E94)</x:f>
      </x:c>
      <x:c r="D107" s="579" t="str">
        <x:f>IF($A107="","",'醫師模式規則輸入'!$F94)</x:f>
      </x:c>
      <x:c r="E107" s="579" t="str">
        <x:f>IF($A107="","",'醫師模式規則輸入'!$G94)</x:f>
      </x:c>
      <x:c r="F107" s="583" t="str">
        <x:f>IF($A107="","",'醫師模式規則輸入'!$H94)</x:f>
      </x:c>
      <x:c r="G107" s="583" t="str">
        <x:f>IF($A107="","",'醫師模式規則輸入'!$I94)</x:f>
      </x:c>
      <x:c r="H107" s="583" t="str">
        <x:f>IF($A107="","",'醫師模式規則輸入'!$J94)</x:f>
      </x:c>
      <x:c r="I107" s="583" t="str">
        <x:f>IF($A107="","",'醫師模式規則輸入'!$K94)</x:f>
      </x:c>
      <x:c r="J107" s="579" t="str">
        <x:f>IF($A107="","",'醫師模式規則輸入'!$A94)</x:f>
      </x:c>
      <x:c r="K107" s="579" t="str">
        <x:f>IF($A107="","",'醫師模式規則輸入'!$Q94)</x:f>
      </x:c>
      <x:c r="L107" s="579" t="str">
        <x:f>IF($A107="","",COUNTIFS('模式能力要求輸入'!$B$7:$B$306,$A107))</x:f>
      </x:c>
      <x:c r="M107" s="579" t="str">
        <x:f>IF($A107="","",COUNTIFS('模式能力要求輸入'!$B$7:$B$306,$A107,'模式能力要求輸入'!$R$7:$R$306,"可發布"))</x:f>
      </x:c>
      <x:c r="N107" s="579" t="str">
        <x:f>IF($A107="","",COUNTIFS('模式能力要求輸入'!$B$7:$B$306,$A107,'模式能力要求輸入'!$E$7:$E$306,"主跟診",'模式能力要求輸入'!$F$7:$F$306,"必備",'模式能力要求輸入'!$R$7:$R$306,"可發布"))</x:f>
      </x:c>
      <x:c r="O107" s="579" t="str">
        <x:f>IF($A107="","",'醫師模式規則輸入'!$T94)</x:f>
      </x:c>
      <x:c r="P107" s="579" t="str">
        <x:f>IF($A107="","",IF(COUNTIFS($A$7:$A$169,$A107)&gt;1,"模式代碼重複",IF('醫師模式規則輸入'!$U94="可匯入模式清單","可進入排班建檔",'醫師模式規則輸入'!$U94)))</x:f>
      </x:c>
      <x:c r="Q107" s="579" t="str">
        <x:f>IF(OR($P107="可進入排班建檔",$P107="可供試行排班"),$A107,"")</x:f>
      </x:c>
    </x:row>
    <x:row r="108">
      <x:c r="A108" s="579" t="str">
        <x:f>IF('醫師模式規則輸入'!$D95="","",'醫師模式規則輸入'!$D95)</x:f>
      </x:c>
      <x:c r="B108" s="579" t="str">
        <x:f>IF($A108="","",'醫師模式規則輸入'!$B95)</x:f>
      </x:c>
      <x:c r="C108" s="579" t="str">
        <x:f>IF($A108="","",'醫師模式規則輸入'!$E95)</x:f>
      </x:c>
      <x:c r="D108" s="579" t="str">
        <x:f>IF($A108="","",'醫師模式規則輸入'!$F95)</x:f>
      </x:c>
      <x:c r="E108" s="579" t="str">
        <x:f>IF($A108="","",'醫師模式規則輸入'!$G95)</x:f>
      </x:c>
      <x:c r="F108" s="583" t="str">
        <x:f>IF($A108="","",'醫師模式規則輸入'!$H95)</x:f>
      </x:c>
      <x:c r="G108" s="583" t="str">
        <x:f>IF($A108="","",'醫師模式規則輸入'!$I95)</x:f>
      </x:c>
      <x:c r="H108" s="583" t="str">
        <x:f>IF($A108="","",'醫師模式規則輸入'!$J95)</x:f>
      </x:c>
      <x:c r="I108" s="583" t="str">
        <x:f>IF($A108="","",'醫師模式規則輸入'!$K95)</x:f>
      </x:c>
      <x:c r="J108" s="579" t="str">
        <x:f>IF($A108="","",'醫師模式規則輸入'!$A95)</x:f>
      </x:c>
      <x:c r="K108" s="579" t="str">
        <x:f>IF($A108="","",'醫師模式規則輸入'!$Q95)</x:f>
      </x:c>
      <x:c r="L108" s="579" t="str">
        <x:f>IF($A108="","",COUNTIFS('模式能力要求輸入'!$B$7:$B$306,$A108))</x:f>
      </x:c>
      <x:c r="M108" s="579" t="str">
        <x:f>IF($A108="","",COUNTIFS('模式能力要求輸入'!$B$7:$B$306,$A108,'模式能力要求輸入'!$R$7:$R$306,"可發布"))</x:f>
      </x:c>
      <x:c r="N108" s="579" t="str">
        <x:f>IF($A108="","",COUNTIFS('模式能力要求輸入'!$B$7:$B$306,$A108,'模式能力要求輸入'!$E$7:$E$306,"主跟診",'模式能力要求輸入'!$F$7:$F$306,"必備",'模式能力要求輸入'!$R$7:$R$306,"可發布"))</x:f>
      </x:c>
      <x:c r="O108" s="579" t="str">
        <x:f>IF($A108="","",'醫師模式規則輸入'!$T95)</x:f>
      </x:c>
      <x:c r="P108" s="579" t="str">
        <x:f>IF($A108="","",IF(COUNTIFS($A$7:$A$169,$A108)&gt;1,"模式代碼重複",IF('醫師模式規則輸入'!$U95="可匯入模式清單","可進入排班建檔",'醫師模式規則輸入'!$U95)))</x:f>
      </x:c>
      <x:c r="Q108" s="579" t="str">
        <x:f>IF(OR($P108="可進入排班建檔",$P108="可供試行排班"),$A108,"")</x:f>
      </x:c>
    </x:row>
    <x:row r="109">
      <x:c r="A109" s="579" t="str">
        <x:f>IF('醫師模式規則輸入'!$D96="","",'醫師模式規則輸入'!$D96)</x:f>
      </x:c>
      <x:c r="B109" s="579" t="str">
        <x:f>IF($A109="","",'醫師模式規則輸入'!$B96)</x:f>
      </x:c>
      <x:c r="C109" s="579" t="str">
        <x:f>IF($A109="","",'醫師模式規則輸入'!$E96)</x:f>
      </x:c>
      <x:c r="D109" s="579" t="str">
        <x:f>IF($A109="","",'醫師模式規則輸入'!$F96)</x:f>
      </x:c>
      <x:c r="E109" s="579" t="str">
        <x:f>IF($A109="","",'醫師模式規則輸入'!$G96)</x:f>
      </x:c>
      <x:c r="F109" s="583" t="str">
        <x:f>IF($A109="","",'醫師模式規則輸入'!$H96)</x:f>
      </x:c>
      <x:c r="G109" s="583" t="str">
        <x:f>IF($A109="","",'醫師模式規則輸入'!$I96)</x:f>
      </x:c>
      <x:c r="H109" s="583" t="str">
        <x:f>IF($A109="","",'醫師模式規則輸入'!$J96)</x:f>
      </x:c>
      <x:c r="I109" s="583" t="str">
        <x:f>IF($A109="","",'醫師模式規則輸入'!$K96)</x:f>
      </x:c>
      <x:c r="J109" s="579" t="str">
        <x:f>IF($A109="","",'醫師模式規則輸入'!$A96)</x:f>
      </x:c>
      <x:c r="K109" s="579" t="str">
        <x:f>IF($A109="","",'醫師模式規則輸入'!$Q96)</x:f>
      </x:c>
      <x:c r="L109" s="579" t="str">
        <x:f>IF($A109="","",COUNTIFS('模式能力要求輸入'!$B$7:$B$306,$A109))</x:f>
      </x:c>
      <x:c r="M109" s="579" t="str">
        <x:f>IF($A109="","",COUNTIFS('模式能力要求輸入'!$B$7:$B$306,$A109,'模式能力要求輸入'!$R$7:$R$306,"可發布"))</x:f>
      </x:c>
      <x:c r="N109" s="579" t="str">
        <x:f>IF($A109="","",COUNTIFS('模式能力要求輸入'!$B$7:$B$306,$A109,'模式能力要求輸入'!$E$7:$E$306,"主跟診",'模式能力要求輸入'!$F$7:$F$306,"必備",'模式能力要求輸入'!$R$7:$R$306,"可發布"))</x:f>
      </x:c>
      <x:c r="O109" s="579" t="str">
        <x:f>IF($A109="","",'醫師模式規則輸入'!$T96)</x:f>
      </x:c>
      <x:c r="P109" s="579" t="str">
        <x:f>IF($A109="","",IF(COUNTIFS($A$7:$A$169,$A109)&gt;1,"模式代碼重複",IF('醫師模式規則輸入'!$U96="可匯入模式清單","可進入排班建檔",'醫師模式規則輸入'!$U96)))</x:f>
      </x:c>
      <x:c r="Q109" s="579" t="str">
        <x:f>IF(OR($P109="可進入排班建檔",$P109="可供試行排班"),$A109,"")</x:f>
      </x:c>
    </x:row>
    <x:row r="110">
      <x:c r="A110" s="579" t="str">
        <x:f>IF('醫師模式規則輸入'!$D97="","",'醫師模式規則輸入'!$D97)</x:f>
      </x:c>
      <x:c r="B110" s="579" t="str">
        <x:f>IF($A110="","",'醫師模式規則輸入'!$B97)</x:f>
      </x:c>
      <x:c r="C110" s="579" t="str">
        <x:f>IF($A110="","",'醫師模式規則輸入'!$E97)</x:f>
      </x:c>
      <x:c r="D110" s="579" t="str">
        <x:f>IF($A110="","",'醫師模式規則輸入'!$F97)</x:f>
      </x:c>
      <x:c r="E110" s="579" t="str">
        <x:f>IF($A110="","",'醫師模式規則輸入'!$G97)</x:f>
      </x:c>
      <x:c r="F110" s="583" t="str">
        <x:f>IF($A110="","",'醫師模式規則輸入'!$H97)</x:f>
      </x:c>
      <x:c r="G110" s="583" t="str">
        <x:f>IF($A110="","",'醫師模式規則輸入'!$I97)</x:f>
      </x:c>
      <x:c r="H110" s="583" t="str">
        <x:f>IF($A110="","",'醫師模式規則輸入'!$J97)</x:f>
      </x:c>
      <x:c r="I110" s="583" t="str">
        <x:f>IF($A110="","",'醫師模式規則輸入'!$K97)</x:f>
      </x:c>
      <x:c r="J110" s="579" t="str">
        <x:f>IF($A110="","",'醫師模式規則輸入'!$A97)</x:f>
      </x:c>
      <x:c r="K110" s="579" t="str">
        <x:f>IF($A110="","",'醫師模式規則輸入'!$Q97)</x:f>
      </x:c>
      <x:c r="L110" s="579" t="str">
        <x:f>IF($A110="","",COUNTIFS('模式能力要求輸入'!$B$7:$B$306,$A110))</x:f>
      </x:c>
      <x:c r="M110" s="579" t="str">
        <x:f>IF($A110="","",COUNTIFS('模式能力要求輸入'!$B$7:$B$306,$A110,'模式能力要求輸入'!$R$7:$R$306,"可發布"))</x:f>
      </x:c>
      <x:c r="N110" s="579" t="str">
        <x:f>IF($A110="","",COUNTIFS('模式能力要求輸入'!$B$7:$B$306,$A110,'模式能力要求輸入'!$E$7:$E$306,"主跟診",'模式能力要求輸入'!$F$7:$F$306,"必備",'模式能力要求輸入'!$R$7:$R$306,"可發布"))</x:f>
      </x:c>
      <x:c r="O110" s="579" t="str">
        <x:f>IF($A110="","",'醫師模式規則輸入'!$T97)</x:f>
      </x:c>
      <x:c r="P110" s="579" t="str">
        <x:f>IF($A110="","",IF(COUNTIFS($A$7:$A$169,$A110)&gt;1,"模式代碼重複",IF('醫師模式規則輸入'!$U97="可匯入模式清單","可進入排班建檔",'醫師模式規則輸入'!$U97)))</x:f>
      </x:c>
      <x:c r="Q110" s="579" t="str">
        <x:f>IF(OR($P110="可進入排班建檔",$P110="可供試行排班"),$A110,"")</x:f>
      </x:c>
    </x:row>
    <x:row r="111">
      <x:c r="A111" s="579" t="str">
        <x:f>IF('醫師模式規則輸入'!$D98="","",'醫師模式規則輸入'!$D98)</x:f>
      </x:c>
      <x:c r="B111" s="579" t="str">
        <x:f>IF($A111="","",'醫師模式規則輸入'!$B98)</x:f>
      </x:c>
      <x:c r="C111" s="579" t="str">
        <x:f>IF($A111="","",'醫師模式規則輸入'!$E98)</x:f>
      </x:c>
      <x:c r="D111" s="579" t="str">
        <x:f>IF($A111="","",'醫師模式規則輸入'!$F98)</x:f>
      </x:c>
      <x:c r="E111" s="579" t="str">
        <x:f>IF($A111="","",'醫師模式規則輸入'!$G98)</x:f>
      </x:c>
      <x:c r="F111" s="583" t="str">
        <x:f>IF($A111="","",'醫師模式規則輸入'!$H98)</x:f>
      </x:c>
      <x:c r="G111" s="583" t="str">
        <x:f>IF($A111="","",'醫師模式規則輸入'!$I98)</x:f>
      </x:c>
      <x:c r="H111" s="583" t="str">
        <x:f>IF($A111="","",'醫師模式規則輸入'!$J98)</x:f>
      </x:c>
      <x:c r="I111" s="583" t="str">
        <x:f>IF($A111="","",'醫師模式規則輸入'!$K98)</x:f>
      </x:c>
      <x:c r="J111" s="579" t="str">
        <x:f>IF($A111="","",'醫師模式規則輸入'!$A98)</x:f>
      </x:c>
      <x:c r="K111" s="579" t="str">
        <x:f>IF($A111="","",'醫師模式規則輸入'!$Q98)</x:f>
      </x:c>
      <x:c r="L111" s="579" t="str">
        <x:f>IF($A111="","",COUNTIFS('模式能力要求輸入'!$B$7:$B$306,$A111))</x:f>
      </x:c>
      <x:c r="M111" s="579" t="str">
        <x:f>IF($A111="","",COUNTIFS('模式能力要求輸入'!$B$7:$B$306,$A111,'模式能力要求輸入'!$R$7:$R$306,"可發布"))</x:f>
      </x:c>
      <x:c r="N111" s="579" t="str">
        <x:f>IF($A111="","",COUNTIFS('模式能力要求輸入'!$B$7:$B$306,$A111,'模式能力要求輸入'!$E$7:$E$306,"主跟診",'模式能力要求輸入'!$F$7:$F$306,"必備",'模式能力要求輸入'!$R$7:$R$306,"可發布"))</x:f>
      </x:c>
      <x:c r="O111" s="579" t="str">
        <x:f>IF($A111="","",'醫師模式規則輸入'!$T98)</x:f>
      </x:c>
      <x:c r="P111" s="579" t="str">
        <x:f>IF($A111="","",IF(COUNTIFS($A$7:$A$169,$A111)&gt;1,"模式代碼重複",IF('醫師模式規則輸入'!$U98="可匯入模式清單","可進入排班建檔",'醫師模式規則輸入'!$U98)))</x:f>
      </x:c>
      <x:c r="Q111" s="579" t="str">
        <x:f>IF(OR($P111="可進入排班建檔",$P111="可供試行排班"),$A111,"")</x:f>
      </x:c>
    </x:row>
    <x:row r="112">
      <x:c r="A112" s="579" t="str">
        <x:f>IF('醫師模式規則輸入'!$D99="","",'醫師模式規則輸入'!$D99)</x:f>
      </x:c>
      <x:c r="B112" s="579" t="str">
        <x:f>IF($A112="","",'醫師模式規則輸入'!$B99)</x:f>
      </x:c>
      <x:c r="C112" s="579" t="str">
        <x:f>IF($A112="","",'醫師模式規則輸入'!$E99)</x:f>
      </x:c>
      <x:c r="D112" s="579" t="str">
        <x:f>IF($A112="","",'醫師模式規則輸入'!$F99)</x:f>
      </x:c>
      <x:c r="E112" s="579" t="str">
        <x:f>IF($A112="","",'醫師模式規則輸入'!$G99)</x:f>
      </x:c>
      <x:c r="F112" s="583" t="str">
        <x:f>IF($A112="","",'醫師模式規則輸入'!$H99)</x:f>
      </x:c>
      <x:c r="G112" s="583" t="str">
        <x:f>IF($A112="","",'醫師模式規則輸入'!$I99)</x:f>
      </x:c>
      <x:c r="H112" s="583" t="str">
        <x:f>IF($A112="","",'醫師模式規則輸入'!$J99)</x:f>
      </x:c>
      <x:c r="I112" s="583" t="str">
        <x:f>IF($A112="","",'醫師模式規則輸入'!$K99)</x:f>
      </x:c>
      <x:c r="J112" s="579" t="str">
        <x:f>IF($A112="","",'醫師模式規則輸入'!$A99)</x:f>
      </x:c>
      <x:c r="K112" s="579" t="str">
        <x:f>IF($A112="","",'醫師模式規則輸入'!$Q99)</x:f>
      </x:c>
      <x:c r="L112" s="579" t="str">
        <x:f>IF($A112="","",COUNTIFS('模式能力要求輸入'!$B$7:$B$306,$A112))</x:f>
      </x:c>
      <x:c r="M112" s="579" t="str">
        <x:f>IF($A112="","",COUNTIFS('模式能力要求輸入'!$B$7:$B$306,$A112,'模式能力要求輸入'!$R$7:$R$306,"可發布"))</x:f>
      </x:c>
      <x:c r="N112" s="579" t="str">
        <x:f>IF($A112="","",COUNTIFS('模式能力要求輸入'!$B$7:$B$306,$A112,'模式能力要求輸入'!$E$7:$E$306,"主跟診",'模式能力要求輸入'!$F$7:$F$306,"必備",'模式能力要求輸入'!$R$7:$R$306,"可發布"))</x:f>
      </x:c>
      <x:c r="O112" s="579" t="str">
        <x:f>IF($A112="","",'醫師模式規則輸入'!$T99)</x:f>
      </x:c>
      <x:c r="P112" s="579" t="str">
        <x:f>IF($A112="","",IF(COUNTIFS($A$7:$A$169,$A112)&gt;1,"模式代碼重複",IF('醫師模式規則輸入'!$U99="可匯入模式清單","可進入排班建檔",'醫師模式規則輸入'!$U99)))</x:f>
      </x:c>
      <x:c r="Q112" s="579" t="str">
        <x:f>IF(OR($P112="可進入排班建檔",$P112="可供試行排班"),$A112,"")</x:f>
      </x:c>
    </x:row>
    <x:row r="113">
      <x:c r="A113" s="579" t="str">
        <x:f>IF('醫師模式規則輸入'!$D100="","",'醫師模式規則輸入'!$D100)</x:f>
      </x:c>
      <x:c r="B113" s="579" t="str">
        <x:f>IF($A113="","",'醫師模式規則輸入'!$B100)</x:f>
      </x:c>
      <x:c r="C113" s="579" t="str">
        <x:f>IF($A113="","",'醫師模式規則輸入'!$E100)</x:f>
      </x:c>
      <x:c r="D113" s="579" t="str">
        <x:f>IF($A113="","",'醫師模式規則輸入'!$F100)</x:f>
      </x:c>
      <x:c r="E113" s="579" t="str">
        <x:f>IF($A113="","",'醫師模式規則輸入'!$G100)</x:f>
      </x:c>
      <x:c r="F113" s="583" t="str">
        <x:f>IF($A113="","",'醫師模式規則輸入'!$H100)</x:f>
      </x:c>
      <x:c r="G113" s="583" t="str">
        <x:f>IF($A113="","",'醫師模式規則輸入'!$I100)</x:f>
      </x:c>
      <x:c r="H113" s="583" t="str">
        <x:f>IF($A113="","",'醫師模式規則輸入'!$J100)</x:f>
      </x:c>
      <x:c r="I113" s="583" t="str">
        <x:f>IF($A113="","",'醫師模式規則輸入'!$K100)</x:f>
      </x:c>
      <x:c r="J113" s="579" t="str">
        <x:f>IF($A113="","",'醫師模式規則輸入'!$A100)</x:f>
      </x:c>
      <x:c r="K113" s="579" t="str">
        <x:f>IF($A113="","",'醫師模式規則輸入'!$Q100)</x:f>
      </x:c>
      <x:c r="L113" s="579" t="str">
        <x:f>IF($A113="","",COUNTIFS('模式能力要求輸入'!$B$7:$B$306,$A113))</x:f>
      </x:c>
      <x:c r="M113" s="579" t="str">
        <x:f>IF($A113="","",COUNTIFS('模式能力要求輸入'!$B$7:$B$306,$A113,'模式能力要求輸入'!$R$7:$R$306,"可發布"))</x:f>
      </x:c>
      <x:c r="N113" s="579" t="str">
        <x:f>IF($A113="","",COUNTIFS('模式能力要求輸入'!$B$7:$B$306,$A113,'模式能力要求輸入'!$E$7:$E$306,"主跟診",'模式能力要求輸入'!$F$7:$F$306,"必備",'模式能力要求輸入'!$R$7:$R$306,"可發布"))</x:f>
      </x:c>
      <x:c r="O113" s="579" t="str">
        <x:f>IF($A113="","",'醫師模式規則輸入'!$T100)</x:f>
      </x:c>
      <x:c r="P113" s="579" t="str">
        <x:f>IF($A113="","",IF(COUNTIFS($A$7:$A$169,$A113)&gt;1,"模式代碼重複",IF('醫師模式規則輸入'!$U100="可匯入模式清單","可進入排班建檔",'醫師模式規則輸入'!$U100)))</x:f>
      </x:c>
      <x:c r="Q113" s="579" t="str">
        <x:f>IF(OR($P113="可進入排班建檔",$P113="可供試行排班"),$A113,"")</x:f>
      </x:c>
    </x:row>
    <x:row r="114">
      <x:c r="A114" s="579" t="str">
        <x:f>IF('醫師模式規則輸入'!$D101="","",'醫師模式規則輸入'!$D101)</x:f>
      </x:c>
      <x:c r="B114" s="579" t="str">
        <x:f>IF($A114="","",'醫師模式規則輸入'!$B101)</x:f>
      </x:c>
      <x:c r="C114" s="579" t="str">
        <x:f>IF($A114="","",'醫師模式規則輸入'!$E101)</x:f>
      </x:c>
      <x:c r="D114" s="579" t="str">
        <x:f>IF($A114="","",'醫師模式規則輸入'!$F101)</x:f>
      </x:c>
      <x:c r="E114" s="579" t="str">
        <x:f>IF($A114="","",'醫師模式規則輸入'!$G101)</x:f>
      </x:c>
      <x:c r="F114" s="583" t="str">
        <x:f>IF($A114="","",'醫師模式規則輸入'!$H101)</x:f>
      </x:c>
      <x:c r="G114" s="583" t="str">
        <x:f>IF($A114="","",'醫師模式規則輸入'!$I101)</x:f>
      </x:c>
      <x:c r="H114" s="583" t="str">
        <x:f>IF($A114="","",'醫師模式規則輸入'!$J101)</x:f>
      </x:c>
      <x:c r="I114" s="583" t="str">
        <x:f>IF($A114="","",'醫師模式規則輸入'!$K101)</x:f>
      </x:c>
      <x:c r="J114" s="579" t="str">
        <x:f>IF($A114="","",'醫師模式規則輸入'!$A101)</x:f>
      </x:c>
      <x:c r="K114" s="579" t="str">
        <x:f>IF($A114="","",'醫師模式規則輸入'!$Q101)</x:f>
      </x:c>
      <x:c r="L114" s="579" t="str">
        <x:f>IF($A114="","",COUNTIFS('模式能力要求輸入'!$B$7:$B$306,$A114))</x:f>
      </x:c>
      <x:c r="M114" s="579" t="str">
        <x:f>IF($A114="","",COUNTIFS('模式能力要求輸入'!$B$7:$B$306,$A114,'模式能力要求輸入'!$R$7:$R$306,"可發布"))</x:f>
      </x:c>
      <x:c r="N114" s="579" t="str">
        <x:f>IF($A114="","",COUNTIFS('模式能力要求輸入'!$B$7:$B$306,$A114,'模式能力要求輸入'!$E$7:$E$306,"主跟診",'模式能力要求輸入'!$F$7:$F$306,"必備",'模式能力要求輸入'!$R$7:$R$306,"可發布"))</x:f>
      </x:c>
      <x:c r="O114" s="579" t="str">
        <x:f>IF($A114="","",'醫師模式規則輸入'!$T101)</x:f>
      </x:c>
      <x:c r="P114" s="579" t="str">
        <x:f>IF($A114="","",IF(COUNTIFS($A$7:$A$169,$A114)&gt;1,"模式代碼重複",IF('醫師模式規則輸入'!$U101="可匯入模式清單","可進入排班建檔",'醫師模式規則輸入'!$U101)))</x:f>
      </x:c>
      <x:c r="Q114" s="579" t="str">
        <x:f>IF(OR($P114="可進入排班建檔",$P114="可供試行排班"),$A114,"")</x:f>
      </x:c>
    </x:row>
    <x:row r="115">
      <x:c r="A115" s="579" t="str">
        <x:f>IF('醫師模式規則輸入'!$D102="","",'醫師模式規則輸入'!$D102)</x:f>
      </x:c>
      <x:c r="B115" s="579" t="str">
        <x:f>IF($A115="","",'醫師模式規則輸入'!$B102)</x:f>
      </x:c>
      <x:c r="C115" s="579" t="str">
        <x:f>IF($A115="","",'醫師模式規則輸入'!$E102)</x:f>
      </x:c>
      <x:c r="D115" s="579" t="str">
        <x:f>IF($A115="","",'醫師模式規則輸入'!$F102)</x:f>
      </x:c>
      <x:c r="E115" s="579" t="str">
        <x:f>IF($A115="","",'醫師模式規則輸入'!$G102)</x:f>
      </x:c>
      <x:c r="F115" s="583" t="str">
        <x:f>IF($A115="","",'醫師模式規則輸入'!$H102)</x:f>
      </x:c>
      <x:c r="G115" s="583" t="str">
        <x:f>IF($A115="","",'醫師模式規則輸入'!$I102)</x:f>
      </x:c>
      <x:c r="H115" s="583" t="str">
        <x:f>IF($A115="","",'醫師模式規則輸入'!$J102)</x:f>
      </x:c>
      <x:c r="I115" s="583" t="str">
        <x:f>IF($A115="","",'醫師模式規則輸入'!$K102)</x:f>
      </x:c>
      <x:c r="J115" s="579" t="str">
        <x:f>IF($A115="","",'醫師模式規則輸入'!$A102)</x:f>
      </x:c>
      <x:c r="K115" s="579" t="str">
        <x:f>IF($A115="","",'醫師模式規則輸入'!$Q102)</x:f>
      </x:c>
      <x:c r="L115" s="579" t="str">
        <x:f>IF($A115="","",COUNTIFS('模式能力要求輸入'!$B$7:$B$306,$A115))</x:f>
      </x:c>
      <x:c r="M115" s="579" t="str">
        <x:f>IF($A115="","",COUNTIFS('模式能力要求輸入'!$B$7:$B$306,$A115,'模式能力要求輸入'!$R$7:$R$306,"可發布"))</x:f>
      </x:c>
      <x:c r="N115" s="579" t="str">
        <x:f>IF($A115="","",COUNTIFS('模式能力要求輸入'!$B$7:$B$306,$A115,'模式能力要求輸入'!$E$7:$E$306,"主跟診",'模式能力要求輸入'!$F$7:$F$306,"必備",'模式能力要求輸入'!$R$7:$R$306,"可發布"))</x:f>
      </x:c>
      <x:c r="O115" s="579" t="str">
        <x:f>IF($A115="","",'醫師模式規則輸入'!$T102)</x:f>
      </x:c>
      <x:c r="P115" s="579" t="str">
        <x:f>IF($A115="","",IF(COUNTIFS($A$7:$A$169,$A115)&gt;1,"模式代碼重複",IF('醫師模式規則輸入'!$U102="可匯入模式清單","可進入排班建檔",'醫師模式規則輸入'!$U102)))</x:f>
      </x:c>
      <x:c r="Q115" s="579" t="str">
        <x:f>IF(OR($P115="可進入排班建檔",$P115="可供試行排班"),$A115,"")</x:f>
      </x:c>
    </x:row>
    <x:row r="116">
      <x:c r="A116" s="579" t="str">
        <x:f>IF('醫師模式規則輸入'!$D103="","",'醫師模式規則輸入'!$D103)</x:f>
      </x:c>
      <x:c r="B116" s="579" t="str">
        <x:f>IF($A116="","",'醫師模式規則輸入'!$B103)</x:f>
      </x:c>
      <x:c r="C116" s="579" t="str">
        <x:f>IF($A116="","",'醫師模式規則輸入'!$E103)</x:f>
      </x:c>
      <x:c r="D116" s="579" t="str">
        <x:f>IF($A116="","",'醫師模式規則輸入'!$F103)</x:f>
      </x:c>
      <x:c r="E116" s="579" t="str">
        <x:f>IF($A116="","",'醫師模式規則輸入'!$G103)</x:f>
      </x:c>
      <x:c r="F116" s="583" t="str">
        <x:f>IF($A116="","",'醫師模式規則輸入'!$H103)</x:f>
      </x:c>
      <x:c r="G116" s="583" t="str">
        <x:f>IF($A116="","",'醫師模式規則輸入'!$I103)</x:f>
      </x:c>
      <x:c r="H116" s="583" t="str">
        <x:f>IF($A116="","",'醫師模式規則輸入'!$J103)</x:f>
      </x:c>
      <x:c r="I116" s="583" t="str">
        <x:f>IF($A116="","",'醫師模式規則輸入'!$K103)</x:f>
      </x:c>
      <x:c r="J116" s="579" t="str">
        <x:f>IF($A116="","",'醫師模式規則輸入'!$A103)</x:f>
      </x:c>
      <x:c r="K116" s="579" t="str">
        <x:f>IF($A116="","",'醫師模式規則輸入'!$Q103)</x:f>
      </x:c>
      <x:c r="L116" s="579" t="str">
        <x:f>IF($A116="","",COUNTIFS('模式能力要求輸入'!$B$7:$B$306,$A116))</x:f>
      </x:c>
      <x:c r="M116" s="579" t="str">
        <x:f>IF($A116="","",COUNTIFS('模式能力要求輸入'!$B$7:$B$306,$A116,'模式能力要求輸入'!$R$7:$R$306,"可發布"))</x:f>
      </x:c>
      <x:c r="N116" s="579" t="str">
        <x:f>IF($A116="","",COUNTIFS('模式能力要求輸入'!$B$7:$B$306,$A116,'模式能力要求輸入'!$E$7:$E$306,"主跟診",'模式能力要求輸入'!$F$7:$F$306,"必備",'模式能力要求輸入'!$R$7:$R$306,"可發布"))</x:f>
      </x:c>
      <x:c r="O116" s="579" t="str">
        <x:f>IF($A116="","",'醫師模式規則輸入'!$T103)</x:f>
      </x:c>
      <x:c r="P116" s="579" t="str">
        <x:f>IF($A116="","",IF(COUNTIFS($A$7:$A$169,$A116)&gt;1,"模式代碼重複",IF('醫師模式規則輸入'!$U103="可匯入模式清單","可進入排班建檔",'醫師模式規則輸入'!$U103)))</x:f>
      </x:c>
      <x:c r="Q116" s="579" t="str">
        <x:f>IF(OR($P116="可進入排班建檔",$P116="可供試行排班"),$A116,"")</x:f>
      </x:c>
    </x:row>
    <x:row r="117">
      <x:c r="A117" s="579" t="str">
        <x:f>IF('醫師模式規則輸入'!$D104="","",'醫師模式規則輸入'!$D104)</x:f>
      </x:c>
      <x:c r="B117" s="579" t="str">
        <x:f>IF($A117="","",'醫師模式規則輸入'!$B104)</x:f>
      </x:c>
      <x:c r="C117" s="579" t="str">
        <x:f>IF($A117="","",'醫師模式規則輸入'!$E104)</x:f>
      </x:c>
      <x:c r="D117" s="579" t="str">
        <x:f>IF($A117="","",'醫師模式規則輸入'!$F104)</x:f>
      </x:c>
      <x:c r="E117" s="579" t="str">
        <x:f>IF($A117="","",'醫師模式規則輸入'!$G104)</x:f>
      </x:c>
      <x:c r="F117" s="583" t="str">
        <x:f>IF($A117="","",'醫師模式規則輸入'!$H104)</x:f>
      </x:c>
      <x:c r="G117" s="583" t="str">
        <x:f>IF($A117="","",'醫師模式規則輸入'!$I104)</x:f>
      </x:c>
      <x:c r="H117" s="583" t="str">
        <x:f>IF($A117="","",'醫師模式規則輸入'!$J104)</x:f>
      </x:c>
      <x:c r="I117" s="583" t="str">
        <x:f>IF($A117="","",'醫師模式規則輸入'!$K104)</x:f>
      </x:c>
      <x:c r="J117" s="579" t="str">
        <x:f>IF($A117="","",'醫師模式規則輸入'!$A104)</x:f>
      </x:c>
      <x:c r="K117" s="579" t="str">
        <x:f>IF($A117="","",'醫師模式規則輸入'!$Q104)</x:f>
      </x:c>
      <x:c r="L117" s="579" t="str">
        <x:f>IF($A117="","",COUNTIFS('模式能力要求輸入'!$B$7:$B$306,$A117))</x:f>
      </x:c>
      <x:c r="M117" s="579" t="str">
        <x:f>IF($A117="","",COUNTIFS('模式能力要求輸入'!$B$7:$B$306,$A117,'模式能力要求輸入'!$R$7:$R$306,"可發布"))</x:f>
      </x:c>
      <x:c r="N117" s="579" t="str">
        <x:f>IF($A117="","",COUNTIFS('模式能力要求輸入'!$B$7:$B$306,$A117,'模式能力要求輸入'!$E$7:$E$306,"主跟診",'模式能力要求輸入'!$F$7:$F$306,"必備",'模式能力要求輸入'!$R$7:$R$306,"可發布"))</x:f>
      </x:c>
      <x:c r="O117" s="579" t="str">
        <x:f>IF($A117="","",'醫師模式規則輸入'!$T104)</x:f>
      </x:c>
      <x:c r="P117" s="579" t="str">
        <x:f>IF($A117="","",IF(COUNTIFS($A$7:$A$169,$A117)&gt;1,"模式代碼重複",IF('醫師模式規則輸入'!$U104="可匯入模式清單","可進入排班建檔",'醫師模式規則輸入'!$U104)))</x:f>
      </x:c>
      <x:c r="Q117" s="579" t="str">
        <x:f>IF(OR($P117="可進入排班建檔",$P117="可供試行排班"),$A117,"")</x:f>
      </x:c>
    </x:row>
    <x:row r="118">
      <x:c r="A118" s="579" t="str">
        <x:f>IF('醫師模式規則輸入'!$D105="","",'醫師模式規則輸入'!$D105)</x:f>
      </x:c>
      <x:c r="B118" s="579" t="str">
        <x:f>IF($A118="","",'醫師模式規則輸入'!$B105)</x:f>
      </x:c>
      <x:c r="C118" s="579" t="str">
        <x:f>IF($A118="","",'醫師模式規則輸入'!$E105)</x:f>
      </x:c>
      <x:c r="D118" s="579" t="str">
        <x:f>IF($A118="","",'醫師模式規則輸入'!$F105)</x:f>
      </x:c>
      <x:c r="E118" s="579" t="str">
        <x:f>IF($A118="","",'醫師模式規則輸入'!$G105)</x:f>
      </x:c>
      <x:c r="F118" s="583" t="str">
        <x:f>IF($A118="","",'醫師模式規則輸入'!$H105)</x:f>
      </x:c>
      <x:c r="G118" s="583" t="str">
        <x:f>IF($A118="","",'醫師模式規則輸入'!$I105)</x:f>
      </x:c>
      <x:c r="H118" s="583" t="str">
        <x:f>IF($A118="","",'醫師模式規則輸入'!$J105)</x:f>
      </x:c>
      <x:c r="I118" s="583" t="str">
        <x:f>IF($A118="","",'醫師模式規則輸入'!$K105)</x:f>
      </x:c>
      <x:c r="J118" s="579" t="str">
        <x:f>IF($A118="","",'醫師模式規則輸入'!$A105)</x:f>
      </x:c>
      <x:c r="K118" s="579" t="str">
        <x:f>IF($A118="","",'醫師模式規則輸入'!$Q105)</x:f>
      </x:c>
      <x:c r="L118" s="579" t="str">
        <x:f>IF($A118="","",COUNTIFS('模式能力要求輸入'!$B$7:$B$306,$A118))</x:f>
      </x:c>
      <x:c r="M118" s="579" t="str">
        <x:f>IF($A118="","",COUNTIFS('模式能力要求輸入'!$B$7:$B$306,$A118,'模式能力要求輸入'!$R$7:$R$306,"可發布"))</x:f>
      </x:c>
      <x:c r="N118" s="579" t="str">
        <x:f>IF($A118="","",COUNTIFS('模式能力要求輸入'!$B$7:$B$306,$A118,'模式能力要求輸入'!$E$7:$E$306,"主跟診",'模式能力要求輸入'!$F$7:$F$306,"必備",'模式能力要求輸入'!$R$7:$R$306,"可發布"))</x:f>
      </x:c>
      <x:c r="O118" s="579" t="str">
        <x:f>IF($A118="","",'醫師模式規則輸入'!$T105)</x:f>
      </x:c>
      <x:c r="P118" s="579" t="str">
        <x:f>IF($A118="","",IF(COUNTIFS($A$7:$A$169,$A118)&gt;1,"模式代碼重複",IF('醫師模式規則輸入'!$U105="可匯入模式清單","可進入排班建檔",'醫師模式規則輸入'!$U105)))</x:f>
      </x:c>
      <x:c r="Q118" s="579" t="str">
        <x:f>IF(OR($P118="可進入排班建檔",$P118="可供試行排班"),$A118,"")</x:f>
      </x:c>
    </x:row>
    <x:row r="119">
      <x:c r="A119" s="579" t="str">
        <x:f>IF('醫師模式規則輸入'!$D106="","",'醫師模式規則輸入'!$D106)</x:f>
      </x:c>
      <x:c r="B119" s="579" t="str">
        <x:f>IF($A119="","",'醫師模式規則輸入'!$B106)</x:f>
      </x:c>
      <x:c r="C119" s="579" t="str">
        <x:f>IF($A119="","",'醫師模式規則輸入'!$E106)</x:f>
      </x:c>
      <x:c r="D119" s="579" t="str">
        <x:f>IF($A119="","",'醫師模式規則輸入'!$F106)</x:f>
      </x:c>
      <x:c r="E119" s="579" t="str">
        <x:f>IF($A119="","",'醫師模式規則輸入'!$G106)</x:f>
      </x:c>
      <x:c r="F119" s="583" t="str">
        <x:f>IF($A119="","",'醫師模式規則輸入'!$H106)</x:f>
      </x:c>
      <x:c r="G119" s="583" t="str">
        <x:f>IF($A119="","",'醫師模式規則輸入'!$I106)</x:f>
      </x:c>
      <x:c r="H119" s="583" t="str">
        <x:f>IF($A119="","",'醫師模式規則輸入'!$J106)</x:f>
      </x:c>
      <x:c r="I119" s="583" t="str">
        <x:f>IF($A119="","",'醫師模式規則輸入'!$K106)</x:f>
      </x:c>
      <x:c r="J119" s="579" t="str">
        <x:f>IF($A119="","",'醫師模式規則輸入'!$A106)</x:f>
      </x:c>
      <x:c r="K119" s="579" t="str">
        <x:f>IF($A119="","",'醫師模式規則輸入'!$Q106)</x:f>
      </x:c>
      <x:c r="L119" s="579" t="str">
        <x:f>IF($A119="","",COUNTIFS('模式能力要求輸入'!$B$7:$B$306,$A119))</x:f>
      </x:c>
      <x:c r="M119" s="579" t="str">
        <x:f>IF($A119="","",COUNTIFS('模式能力要求輸入'!$B$7:$B$306,$A119,'模式能力要求輸入'!$R$7:$R$306,"可發布"))</x:f>
      </x:c>
      <x:c r="N119" s="579" t="str">
        <x:f>IF($A119="","",COUNTIFS('模式能力要求輸入'!$B$7:$B$306,$A119,'模式能力要求輸入'!$E$7:$E$306,"主跟診",'模式能力要求輸入'!$F$7:$F$306,"必備",'模式能力要求輸入'!$R$7:$R$306,"可發布"))</x:f>
      </x:c>
      <x:c r="O119" s="579" t="str">
        <x:f>IF($A119="","",'醫師模式規則輸入'!$T106)</x:f>
      </x:c>
      <x:c r="P119" s="579" t="str">
        <x:f>IF($A119="","",IF(COUNTIFS($A$7:$A$169,$A119)&gt;1,"模式代碼重複",IF('醫師模式規則輸入'!$U106="可匯入模式清單","可進入排班建檔",'醫師模式規則輸入'!$U106)))</x:f>
      </x:c>
      <x:c r="Q119" s="579" t="str">
        <x:f>IF(OR($P119="可進入排班建檔",$P119="可供試行排班"),$A119,"")</x:f>
      </x:c>
    </x:row>
    <x:row r="120">
      <x:c r="A120" s="579" t="str">
        <x:f>IF('醫師模式規則輸入'!$D107="","",'醫師模式規則輸入'!$D107)</x:f>
      </x:c>
      <x:c r="B120" s="579" t="str">
        <x:f>IF($A120="","",'醫師模式規則輸入'!$B107)</x:f>
      </x:c>
      <x:c r="C120" s="579" t="str">
        <x:f>IF($A120="","",'醫師模式規則輸入'!$E107)</x:f>
      </x:c>
      <x:c r="D120" s="579" t="str">
        <x:f>IF($A120="","",'醫師模式規則輸入'!$F107)</x:f>
      </x:c>
      <x:c r="E120" s="579" t="str">
        <x:f>IF($A120="","",'醫師模式規則輸入'!$G107)</x:f>
      </x:c>
      <x:c r="F120" s="583" t="str">
        <x:f>IF($A120="","",'醫師模式規則輸入'!$H107)</x:f>
      </x:c>
      <x:c r="G120" s="583" t="str">
        <x:f>IF($A120="","",'醫師模式規則輸入'!$I107)</x:f>
      </x:c>
      <x:c r="H120" s="583" t="str">
        <x:f>IF($A120="","",'醫師模式規則輸入'!$J107)</x:f>
      </x:c>
      <x:c r="I120" s="583" t="str">
        <x:f>IF($A120="","",'醫師模式規則輸入'!$K107)</x:f>
      </x:c>
      <x:c r="J120" s="579" t="str">
        <x:f>IF($A120="","",'醫師模式規則輸入'!$A107)</x:f>
      </x:c>
      <x:c r="K120" s="579" t="str">
        <x:f>IF($A120="","",'醫師模式規則輸入'!$Q107)</x:f>
      </x:c>
      <x:c r="L120" s="579" t="str">
        <x:f>IF($A120="","",COUNTIFS('模式能力要求輸入'!$B$7:$B$306,$A120))</x:f>
      </x:c>
      <x:c r="M120" s="579" t="str">
        <x:f>IF($A120="","",COUNTIFS('模式能力要求輸入'!$B$7:$B$306,$A120,'模式能力要求輸入'!$R$7:$R$306,"可發布"))</x:f>
      </x:c>
      <x:c r="N120" s="579" t="str">
        <x:f>IF($A120="","",COUNTIFS('模式能力要求輸入'!$B$7:$B$306,$A120,'模式能力要求輸入'!$E$7:$E$306,"主跟診",'模式能力要求輸入'!$F$7:$F$306,"必備",'模式能力要求輸入'!$R$7:$R$306,"可發布"))</x:f>
      </x:c>
      <x:c r="O120" s="579" t="str">
        <x:f>IF($A120="","",'醫師模式規則輸入'!$T107)</x:f>
      </x:c>
      <x:c r="P120" s="579" t="str">
        <x:f>IF($A120="","",IF(COUNTIFS($A$7:$A$169,$A120)&gt;1,"模式代碼重複",IF('醫師模式規則輸入'!$U107="可匯入模式清單","可進入排班建檔",'醫師模式規則輸入'!$U107)))</x:f>
      </x:c>
      <x:c r="Q120" s="579" t="str">
        <x:f>IF(OR($P120="可進入排班建檔",$P120="可供試行排班"),$A120,"")</x:f>
      </x:c>
    </x:row>
    <x:row r="121">
      <x:c r="A121" s="579" t="str">
        <x:f>IF('醫師模式規則輸入'!$D108="","",'醫師模式規則輸入'!$D108)</x:f>
      </x:c>
      <x:c r="B121" s="579" t="str">
        <x:f>IF($A121="","",'醫師模式規則輸入'!$B108)</x:f>
      </x:c>
      <x:c r="C121" s="579" t="str">
        <x:f>IF($A121="","",'醫師模式規則輸入'!$E108)</x:f>
      </x:c>
      <x:c r="D121" s="579" t="str">
        <x:f>IF($A121="","",'醫師模式規則輸入'!$F108)</x:f>
      </x:c>
      <x:c r="E121" s="579" t="str">
        <x:f>IF($A121="","",'醫師模式規則輸入'!$G108)</x:f>
      </x:c>
      <x:c r="F121" s="583" t="str">
        <x:f>IF($A121="","",'醫師模式規則輸入'!$H108)</x:f>
      </x:c>
      <x:c r="G121" s="583" t="str">
        <x:f>IF($A121="","",'醫師模式規則輸入'!$I108)</x:f>
      </x:c>
      <x:c r="H121" s="583" t="str">
        <x:f>IF($A121="","",'醫師模式規則輸入'!$J108)</x:f>
      </x:c>
      <x:c r="I121" s="583" t="str">
        <x:f>IF($A121="","",'醫師模式規則輸入'!$K108)</x:f>
      </x:c>
      <x:c r="J121" s="579" t="str">
        <x:f>IF($A121="","",'醫師模式規則輸入'!$A108)</x:f>
      </x:c>
      <x:c r="K121" s="579" t="str">
        <x:f>IF($A121="","",'醫師模式規則輸入'!$Q108)</x:f>
      </x:c>
      <x:c r="L121" s="579" t="str">
        <x:f>IF($A121="","",COUNTIFS('模式能力要求輸入'!$B$7:$B$306,$A121))</x:f>
      </x:c>
      <x:c r="M121" s="579" t="str">
        <x:f>IF($A121="","",COUNTIFS('模式能力要求輸入'!$B$7:$B$306,$A121,'模式能力要求輸入'!$R$7:$R$306,"可發布"))</x:f>
      </x:c>
      <x:c r="N121" s="579" t="str">
        <x:f>IF($A121="","",COUNTIFS('模式能力要求輸入'!$B$7:$B$306,$A121,'模式能力要求輸入'!$E$7:$E$306,"主跟診",'模式能力要求輸入'!$F$7:$F$306,"必備",'模式能力要求輸入'!$R$7:$R$306,"可發布"))</x:f>
      </x:c>
      <x:c r="O121" s="579" t="str">
        <x:f>IF($A121="","",'醫師模式規則輸入'!$T108)</x:f>
      </x:c>
      <x:c r="P121" s="579" t="str">
        <x:f>IF($A121="","",IF(COUNTIFS($A$7:$A$169,$A121)&gt;1,"模式代碼重複",IF('醫師模式規則輸入'!$U108="可匯入模式清單","可進入排班建檔",'醫師模式規則輸入'!$U108)))</x:f>
      </x:c>
      <x:c r="Q121" s="579" t="str">
        <x:f>IF(OR($P121="可進入排班建檔",$P121="可供試行排班"),$A121,"")</x:f>
      </x:c>
    </x:row>
    <x:row r="122">
      <x:c r="A122" s="579" t="str">
        <x:f>IF('醫師模式規則輸入'!$D109="","",'醫師模式規則輸入'!$D109)</x:f>
      </x:c>
      <x:c r="B122" s="579" t="str">
        <x:f>IF($A122="","",'醫師模式規則輸入'!$B109)</x:f>
      </x:c>
      <x:c r="C122" s="579" t="str">
        <x:f>IF($A122="","",'醫師模式規則輸入'!$E109)</x:f>
      </x:c>
      <x:c r="D122" s="579" t="str">
        <x:f>IF($A122="","",'醫師模式規則輸入'!$F109)</x:f>
      </x:c>
      <x:c r="E122" s="579" t="str">
        <x:f>IF($A122="","",'醫師模式規則輸入'!$G109)</x:f>
      </x:c>
      <x:c r="F122" s="583" t="str">
        <x:f>IF($A122="","",'醫師模式規則輸入'!$H109)</x:f>
      </x:c>
      <x:c r="G122" s="583" t="str">
        <x:f>IF($A122="","",'醫師模式規則輸入'!$I109)</x:f>
      </x:c>
      <x:c r="H122" s="583" t="str">
        <x:f>IF($A122="","",'醫師模式規則輸入'!$J109)</x:f>
      </x:c>
      <x:c r="I122" s="583" t="str">
        <x:f>IF($A122="","",'醫師模式規則輸入'!$K109)</x:f>
      </x:c>
      <x:c r="J122" s="579" t="str">
        <x:f>IF($A122="","",'醫師模式規則輸入'!$A109)</x:f>
      </x:c>
      <x:c r="K122" s="579" t="str">
        <x:f>IF($A122="","",'醫師模式規則輸入'!$Q109)</x:f>
      </x:c>
      <x:c r="L122" s="579" t="str">
        <x:f>IF($A122="","",COUNTIFS('模式能力要求輸入'!$B$7:$B$306,$A122))</x:f>
      </x:c>
      <x:c r="M122" s="579" t="str">
        <x:f>IF($A122="","",COUNTIFS('模式能力要求輸入'!$B$7:$B$306,$A122,'模式能力要求輸入'!$R$7:$R$306,"可發布"))</x:f>
      </x:c>
      <x:c r="N122" s="579" t="str">
        <x:f>IF($A122="","",COUNTIFS('模式能力要求輸入'!$B$7:$B$306,$A122,'模式能力要求輸入'!$E$7:$E$306,"主跟診",'模式能力要求輸入'!$F$7:$F$306,"必備",'模式能力要求輸入'!$R$7:$R$306,"可發布"))</x:f>
      </x:c>
      <x:c r="O122" s="579" t="str">
        <x:f>IF($A122="","",'醫師模式規則輸入'!$T109)</x:f>
      </x:c>
      <x:c r="P122" s="579" t="str">
        <x:f>IF($A122="","",IF(COUNTIFS($A$7:$A$169,$A122)&gt;1,"模式代碼重複",IF('醫師模式規則輸入'!$U109="可匯入模式清單","可進入排班建檔",'醫師模式規則輸入'!$U109)))</x:f>
      </x:c>
      <x:c r="Q122" s="579" t="str">
        <x:f>IF(OR($P122="可進入排班建檔",$P122="可供試行排班"),$A122,"")</x:f>
      </x:c>
    </x:row>
    <x:row r="123">
      <x:c r="A123" s="579" t="str">
        <x:f>IF('醫師模式規則輸入'!$D110="","",'醫師模式規則輸入'!$D110)</x:f>
      </x:c>
      <x:c r="B123" s="579" t="str">
        <x:f>IF($A123="","",'醫師模式規則輸入'!$B110)</x:f>
      </x:c>
      <x:c r="C123" s="579" t="str">
        <x:f>IF($A123="","",'醫師模式規則輸入'!$E110)</x:f>
      </x:c>
      <x:c r="D123" s="579" t="str">
        <x:f>IF($A123="","",'醫師模式規則輸入'!$F110)</x:f>
      </x:c>
      <x:c r="E123" s="579" t="str">
        <x:f>IF($A123="","",'醫師模式規則輸入'!$G110)</x:f>
      </x:c>
      <x:c r="F123" s="583" t="str">
        <x:f>IF($A123="","",'醫師模式規則輸入'!$H110)</x:f>
      </x:c>
      <x:c r="G123" s="583" t="str">
        <x:f>IF($A123="","",'醫師模式規則輸入'!$I110)</x:f>
      </x:c>
      <x:c r="H123" s="583" t="str">
        <x:f>IF($A123="","",'醫師模式規則輸入'!$J110)</x:f>
      </x:c>
      <x:c r="I123" s="583" t="str">
        <x:f>IF($A123="","",'醫師模式規則輸入'!$K110)</x:f>
      </x:c>
      <x:c r="J123" s="579" t="str">
        <x:f>IF($A123="","",'醫師模式規則輸入'!$A110)</x:f>
      </x:c>
      <x:c r="K123" s="579" t="str">
        <x:f>IF($A123="","",'醫師模式規則輸入'!$Q110)</x:f>
      </x:c>
      <x:c r="L123" s="579" t="str">
        <x:f>IF($A123="","",COUNTIFS('模式能力要求輸入'!$B$7:$B$306,$A123))</x:f>
      </x:c>
      <x:c r="M123" s="579" t="str">
        <x:f>IF($A123="","",COUNTIFS('模式能力要求輸入'!$B$7:$B$306,$A123,'模式能力要求輸入'!$R$7:$R$306,"可發布"))</x:f>
      </x:c>
      <x:c r="N123" s="579" t="str">
        <x:f>IF($A123="","",COUNTIFS('模式能力要求輸入'!$B$7:$B$306,$A123,'模式能力要求輸入'!$E$7:$E$306,"主跟診",'模式能力要求輸入'!$F$7:$F$306,"必備",'模式能力要求輸入'!$R$7:$R$306,"可發布"))</x:f>
      </x:c>
      <x:c r="O123" s="579" t="str">
        <x:f>IF($A123="","",'醫師模式規則輸入'!$T110)</x:f>
      </x:c>
      <x:c r="P123" s="579" t="str">
        <x:f>IF($A123="","",IF(COUNTIFS($A$7:$A$169,$A123)&gt;1,"模式代碼重複",IF('醫師模式規則輸入'!$U110="可匯入模式清單","可進入排班建檔",'醫師模式規則輸入'!$U110)))</x:f>
      </x:c>
      <x:c r="Q123" s="579" t="str">
        <x:f>IF(OR($P123="可進入排班建檔",$P123="可供試行排班"),$A123,"")</x:f>
      </x:c>
    </x:row>
    <x:row r="124">
      <x:c r="A124" s="579" t="str">
        <x:f>IF('醫師模式規則輸入'!$D111="","",'醫師模式規則輸入'!$D111)</x:f>
      </x:c>
      <x:c r="B124" s="579" t="str">
        <x:f>IF($A124="","",'醫師模式規則輸入'!$B111)</x:f>
      </x:c>
      <x:c r="C124" s="579" t="str">
        <x:f>IF($A124="","",'醫師模式規則輸入'!$E111)</x:f>
      </x:c>
      <x:c r="D124" s="579" t="str">
        <x:f>IF($A124="","",'醫師模式規則輸入'!$F111)</x:f>
      </x:c>
      <x:c r="E124" s="579" t="str">
        <x:f>IF($A124="","",'醫師模式規則輸入'!$G111)</x:f>
      </x:c>
      <x:c r="F124" s="583" t="str">
        <x:f>IF($A124="","",'醫師模式規則輸入'!$H111)</x:f>
      </x:c>
      <x:c r="G124" s="583" t="str">
        <x:f>IF($A124="","",'醫師模式規則輸入'!$I111)</x:f>
      </x:c>
      <x:c r="H124" s="583" t="str">
        <x:f>IF($A124="","",'醫師模式規則輸入'!$J111)</x:f>
      </x:c>
      <x:c r="I124" s="583" t="str">
        <x:f>IF($A124="","",'醫師模式規則輸入'!$K111)</x:f>
      </x:c>
      <x:c r="J124" s="579" t="str">
        <x:f>IF($A124="","",'醫師模式規則輸入'!$A111)</x:f>
      </x:c>
      <x:c r="K124" s="579" t="str">
        <x:f>IF($A124="","",'醫師模式規則輸入'!$Q111)</x:f>
      </x:c>
      <x:c r="L124" s="579" t="str">
        <x:f>IF($A124="","",COUNTIFS('模式能力要求輸入'!$B$7:$B$306,$A124))</x:f>
      </x:c>
      <x:c r="M124" s="579" t="str">
        <x:f>IF($A124="","",COUNTIFS('模式能力要求輸入'!$B$7:$B$306,$A124,'模式能力要求輸入'!$R$7:$R$306,"可發布"))</x:f>
      </x:c>
      <x:c r="N124" s="579" t="str">
        <x:f>IF($A124="","",COUNTIFS('模式能力要求輸入'!$B$7:$B$306,$A124,'模式能力要求輸入'!$E$7:$E$306,"主跟診",'模式能力要求輸入'!$F$7:$F$306,"必備",'模式能力要求輸入'!$R$7:$R$306,"可發布"))</x:f>
      </x:c>
      <x:c r="O124" s="579" t="str">
        <x:f>IF($A124="","",'醫師模式規則輸入'!$T111)</x:f>
      </x:c>
      <x:c r="P124" s="579" t="str">
        <x:f>IF($A124="","",IF(COUNTIFS($A$7:$A$169,$A124)&gt;1,"模式代碼重複",IF('醫師模式規則輸入'!$U111="可匯入模式清單","可進入排班建檔",'醫師模式規則輸入'!$U111)))</x:f>
      </x:c>
      <x:c r="Q124" s="579" t="str">
        <x:f>IF(OR($P124="可進入排班建檔",$P124="可供試行排班"),$A124,"")</x:f>
      </x:c>
    </x:row>
    <x:row r="125">
      <x:c r="A125" s="579" t="str">
        <x:f>IF('醫師模式規則輸入'!$D112="","",'醫師模式規則輸入'!$D112)</x:f>
      </x:c>
      <x:c r="B125" s="579" t="str">
        <x:f>IF($A125="","",'醫師模式規則輸入'!$B112)</x:f>
      </x:c>
      <x:c r="C125" s="579" t="str">
        <x:f>IF($A125="","",'醫師模式規則輸入'!$E112)</x:f>
      </x:c>
      <x:c r="D125" s="579" t="str">
        <x:f>IF($A125="","",'醫師模式規則輸入'!$F112)</x:f>
      </x:c>
      <x:c r="E125" s="579" t="str">
        <x:f>IF($A125="","",'醫師模式規則輸入'!$G112)</x:f>
      </x:c>
      <x:c r="F125" s="583" t="str">
        <x:f>IF($A125="","",'醫師模式規則輸入'!$H112)</x:f>
      </x:c>
      <x:c r="G125" s="583" t="str">
        <x:f>IF($A125="","",'醫師模式規則輸入'!$I112)</x:f>
      </x:c>
      <x:c r="H125" s="583" t="str">
        <x:f>IF($A125="","",'醫師模式規則輸入'!$J112)</x:f>
      </x:c>
      <x:c r="I125" s="583" t="str">
        <x:f>IF($A125="","",'醫師模式規則輸入'!$K112)</x:f>
      </x:c>
      <x:c r="J125" s="579" t="str">
        <x:f>IF($A125="","",'醫師模式規則輸入'!$A112)</x:f>
      </x:c>
      <x:c r="K125" s="579" t="str">
        <x:f>IF($A125="","",'醫師模式規則輸入'!$Q112)</x:f>
      </x:c>
      <x:c r="L125" s="579" t="str">
        <x:f>IF($A125="","",COUNTIFS('模式能力要求輸入'!$B$7:$B$306,$A125))</x:f>
      </x:c>
      <x:c r="M125" s="579" t="str">
        <x:f>IF($A125="","",COUNTIFS('模式能力要求輸入'!$B$7:$B$306,$A125,'模式能力要求輸入'!$R$7:$R$306,"可發布"))</x:f>
      </x:c>
      <x:c r="N125" s="579" t="str">
        <x:f>IF($A125="","",COUNTIFS('模式能力要求輸入'!$B$7:$B$306,$A125,'模式能力要求輸入'!$E$7:$E$306,"主跟診",'模式能力要求輸入'!$F$7:$F$306,"必備",'模式能力要求輸入'!$R$7:$R$306,"可發布"))</x:f>
      </x:c>
      <x:c r="O125" s="579" t="str">
        <x:f>IF($A125="","",'醫師模式規則輸入'!$T112)</x:f>
      </x:c>
      <x:c r="P125" s="579" t="str">
        <x:f>IF($A125="","",IF(COUNTIFS($A$7:$A$169,$A125)&gt;1,"模式代碼重複",IF('醫師模式規則輸入'!$U112="可匯入模式清單","可進入排班建檔",'醫師模式規則輸入'!$U112)))</x:f>
      </x:c>
      <x:c r="Q125" s="579" t="str">
        <x:f>IF(OR($P125="可進入排班建檔",$P125="可供試行排班"),$A125,"")</x:f>
      </x:c>
    </x:row>
    <x:row r="126">
      <x:c r="A126" s="579" t="str">
        <x:f>IF('醫師模式規則輸入'!$D113="","",'醫師模式規則輸入'!$D113)</x:f>
      </x:c>
      <x:c r="B126" s="579" t="str">
        <x:f>IF($A126="","",'醫師模式規則輸入'!$B113)</x:f>
      </x:c>
      <x:c r="C126" s="579" t="str">
        <x:f>IF($A126="","",'醫師模式規則輸入'!$E113)</x:f>
      </x:c>
      <x:c r="D126" s="579" t="str">
        <x:f>IF($A126="","",'醫師模式規則輸入'!$F113)</x:f>
      </x:c>
      <x:c r="E126" s="579" t="str">
        <x:f>IF($A126="","",'醫師模式規則輸入'!$G113)</x:f>
      </x:c>
      <x:c r="F126" s="583" t="str">
        <x:f>IF($A126="","",'醫師模式規則輸入'!$H113)</x:f>
      </x:c>
      <x:c r="G126" s="583" t="str">
        <x:f>IF($A126="","",'醫師模式規則輸入'!$I113)</x:f>
      </x:c>
      <x:c r="H126" s="583" t="str">
        <x:f>IF($A126="","",'醫師模式規則輸入'!$J113)</x:f>
      </x:c>
      <x:c r="I126" s="583" t="str">
        <x:f>IF($A126="","",'醫師模式規則輸入'!$K113)</x:f>
      </x:c>
      <x:c r="J126" s="579" t="str">
        <x:f>IF($A126="","",'醫師模式規則輸入'!$A113)</x:f>
      </x:c>
      <x:c r="K126" s="579" t="str">
        <x:f>IF($A126="","",'醫師模式規則輸入'!$Q113)</x:f>
      </x:c>
      <x:c r="L126" s="579" t="str">
        <x:f>IF($A126="","",COUNTIFS('模式能力要求輸入'!$B$7:$B$306,$A126))</x:f>
      </x:c>
      <x:c r="M126" s="579" t="str">
        <x:f>IF($A126="","",COUNTIFS('模式能力要求輸入'!$B$7:$B$306,$A126,'模式能力要求輸入'!$R$7:$R$306,"可發布"))</x:f>
      </x:c>
      <x:c r="N126" s="579" t="str">
        <x:f>IF($A126="","",COUNTIFS('模式能力要求輸入'!$B$7:$B$306,$A126,'模式能力要求輸入'!$E$7:$E$306,"主跟診",'模式能力要求輸入'!$F$7:$F$306,"必備",'模式能力要求輸入'!$R$7:$R$306,"可發布"))</x:f>
      </x:c>
      <x:c r="O126" s="579" t="str">
        <x:f>IF($A126="","",'醫師模式規則輸入'!$T113)</x:f>
      </x:c>
      <x:c r="P126" s="579" t="str">
        <x:f>IF($A126="","",IF(COUNTIFS($A$7:$A$169,$A126)&gt;1,"模式代碼重複",IF('醫師模式規則輸入'!$U113="可匯入模式清單","可進入排班建檔",'醫師模式規則輸入'!$U113)))</x:f>
      </x:c>
      <x:c r="Q126" s="579" t="str">
        <x:f>IF(OR($P126="可進入排班建檔",$P126="可供試行排班"),$A126,"")</x:f>
      </x:c>
    </x:row>
    <x:row r="127">
      <x:c r="A127" s="579" t="str">
        <x:f>IF('醫師模式規則輸入'!$D114="","",'醫師模式規則輸入'!$D114)</x:f>
      </x:c>
      <x:c r="B127" s="579" t="str">
        <x:f>IF($A127="","",'醫師模式規則輸入'!$B114)</x:f>
      </x:c>
      <x:c r="C127" s="579" t="str">
        <x:f>IF($A127="","",'醫師模式規則輸入'!$E114)</x:f>
      </x:c>
      <x:c r="D127" s="579" t="str">
        <x:f>IF($A127="","",'醫師模式規則輸入'!$F114)</x:f>
      </x:c>
      <x:c r="E127" s="579" t="str">
        <x:f>IF($A127="","",'醫師模式規則輸入'!$G114)</x:f>
      </x:c>
      <x:c r="F127" s="583" t="str">
        <x:f>IF($A127="","",'醫師模式規則輸入'!$H114)</x:f>
      </x:c>
      <x:c r="G127" s="583" t="str">
        <x:f>IF($A127="","",'醫師模式規則輸入'!$I114)</x:f>
      </x:c>
      <x:c r="H127" s="583" t="str">
        <x:f>IF($A127="","",'醫師模式規則輸入'!$J114)</x:f>
      </x:c>
      <x:c r="I127" s="583" t="str">
        <x:f>IF($A127="","",'醫師模式規則輸入'!$K114)</x:f>
      </x:c>
      <x:c r="J127" s="579" t="str">
        <x:f>IF($A127="","",'醫師模式規則輸入'!$A114)</x:f>
      </x:c>
      <x:c r="K127" s="579" t="str">
        <x:f>IF($A127="","",'醫師模式規則輸入'!$Q114)</x:f>
      </x:c>
      <x:c r="L127" s="579" t="str">
        <x:f>IF($A127="","",COUNTIFS('模式能力要求輸入'!$B$7:$B$306,$A127))</x:f>
      </x:c>
      <x:c r="M127" s="579" t="str">
        <x:f>IF($A127="","",COUNTIFS('模式能力要求輸入'!$B$7:$B$306,$A127,'模式能力要求輸入'!$R$7:$R$306,"可發布"))</x:f>
      </x:c>
      <x:c r="N127" s="579" t="str">
        <x:f>IF($A127="","",COUNTIFS('模式能力要求輸入'!$B$7:$B$306,$A127,'模式能力要求輸入'!$E$7:$E$306,"主跟診",'模式能力要求輸入'!$F$7:$F$306,"必備",'模式能力要求輸入'!$R$7:$R$306,"可發布"))</x:f>
      </x:c>
      <x:c r="O127" s="579" t="str">
        <x:f>IF($A127="","",'醫師模式規則輸入'!$T114)</x:f>
      </x:c>
      <x:c r="P127" s="579" t="str">
        <x:f>IF($A127="","",IF(COUNTIFS($A$7:$A$169,$A127)&gt;1,"模式代碼重複",IF('醫師模式規則輸入'!$U114="可匯入模式清單","可進入排班建檔",'醫師模式規則輸入'!$U114)))</x:f>
      </x:c>
      <x:c r="Q127" s="579" t="str">
        <x:f>IF(OR($P127="可進入排班建檔",$P127="可供試行排班"),$A127,"")</x:f>
      </x:c>
    </x:row>
    <x:row r="128">
      <x:c r="A128" s="579" t="str">
        <x:f>IF('醫師模式規則輸入'!$D115="","",'醫師模式規則輸入'!$D115)</x:f>
      </x:c>
      <x:c r="B128" s="579" t="str">
        <x:f>IF($A128="","",'醫師模式規則輸入'!$B115)</x:f>
      </x:c>
      <x:c r="C128" s="579" t="str">
        <x:f>IF($A128="","",'醫師模式規則輸入'!$E115)</x:f>
      </x:c>
      <x:c r="D128" s="579" t="str">
        <x:f>IF($A128="","",'醫師模式規則輸入'!$F115)</x:f>
      </x:c>
      <x:c r="E128" s="579" t="str">
        <x:f>IF($A128="","",'醫師模式規則輸入'!$G115)</x:f>
      </x:c>
      <x:c r="F128" s="583" t="str">
        <x:f>IF($A128="","",'醫師模式規則輸入'!$H115)</x:f>
      </x:c>
      <x:c r="G128" s="583" t="str">
        <x:f>IF($A128="","",'醫師模式規則輸入'!$I115)</x:f>
      </x:c>
      <x:c r="H128" s="583" t="str">
        <x:f>IF($A128="","",'醫師模式規則輸入'!$J115)</x:f>
      </x:c>
      <x:c r="I128" s="583" t="str">
        <x:f>IF($A128="","",'醫師模式規則輸入'!$K115)</x:f>
      </x:c>
      <x:c r="J128" s="579" t="str">
        <x:f>IF($A128="","",'醫師模式規則輸入'!$A115)</x:f>
      </x:c>
      <x:c r="K128" s="579" t="str">
        <x:f>IF($A128="","",'醫師模式規則輸入'!$Q115)</x:f>
      </x:c>
      <x:c r="L128" s="579" t="str">
        <x:f>IF($A128="","",COUNTIFS('模式能力要求輸入'!$B$7:$B$306,$A128))</x:f>
      </x:c>
      <x:c r="M128" s="579" t="str">
        <x:f>IF($A128="","",COUNTIFS('模式能力要求輸入'!$B$7:$B$306,$A128,'模式能力要求輸入'!$R$7:$R$306,"可發布"))</x:f>
      </x:c>
      <x:c r="N128" s="579" t="str">
        <x:f>IF($A128="","",COUNTIFS('模式能力要求輸入'!$B$7:$B$306,$A128,'模式能力要求輸入'!$E$7:$E$306,"主跟診",'模式能力要求輸入'!$F$7:$F$306,"必備",'模式能力要求輸入'!$R$7:$R$306,"可發布"))</x:f>
      </x:c>
      <x:c r="O128" s="579" t="str">
        <x:f>IF($A128="","",'醫師模式規則輸入'!$T115)</x:f>
      </x:c>
      <x:c r="P128" s="579" t="str">
        <x:f>IF($A128="","",IF(COUNTIFS($A$7:$A$169,$A128)&gt;1,"模式代碼重複",IF('醫師模式規則輸入'!$U115="可匯入模式清單","可進入排班建檔",'醫師模式規則輸入'!$U115)))</x:f>
      </x:c>
      <x:c r="Q128" s="579" t="str">
        <x:f>IF(OR($P128="可進入排班建檔",$P128="可供試行排班"),$A128,"")</x:f>
      </x:c>
    </x:row>
    <x:row r="129">
      <x:c r="A129" s="579" t="str">
        <x:f>IF('醫師模式規則輸入'!$D116="","",'醫師模式規則輸入'!$D116)</x:f>
      </x:c>
      <x:c r="B129" s="579" t="str">
        <x:f>IF($A129="","",'醫師模式規則輸入'!$B116)</x:f>
      </x:c>
      <x:c r="C129" s="579" t="str">
        <x:f>IF($A129="","",'醫師模式規則輸入'!$E116)</x:f>
      </x:c>
      <x:c r="D129" s="579" t="str">
        <x:f>IF($A129="","",'醫師模式規則輸入'!$F116)</x:f>
      </x:c>
      <x:c r="E129" s="579" t="str">
        <x:f>IF($A129="","",'醫師模式規則輸入'!$G116)</x:f>
      </x:c>
      <x:c r="F129" s="583" t="str">
        <x:f>IF($A129="","",'醫師模式規則輸入'!$H116)</x:f>
      </x:c>
      <x:c r="G129" s="583" t="str">
        <x:f>IF($A129="","",'醫師模式規則輸入'!$I116)</x:f>
      </x:c>
      <x:c r="H129" s="583" t="str">
        <x:f>IF($A129="","",'醫師模式規則輸入'!$J116)</x:f>
      </x:c>
      <x:c r="I129" s="583" t="str">
        <x:f>IF($A129="","",'醫師模式規則輸入'!$K116)</x:f>
      </x:c>
      <x:c r="J129" s="579" t="str">
        <x:f>IF($A129="","",'醫師模式規則輸入'!$A116)</x:f>
      </x:c>
      <x:c r="K129" s="579" t="str">
        <x:f>IF($A129="","",'醫師模式規則輸入'!$Q116)</x:f>
      </x:c>
      <x:c r="L129" s="579" t="str">
        <x:f>IF($A129="","",COUNTIFS('模式能力要求輸入'!$B$7:$B$306,$A129))</x:f>
      </x:c>
      <x:c r="M129" s="579" t="str">
        <x:f>IF($A129="","",COUNTIFS('模式能力要求輸入'!$B$7:$B$306,$A129,'模式能力要求輸入'!$R$7:$R$306,"可發布"))</x:f>
      </x:c>
      <x:c r="N129" s="579" t="str">
        <x:f>IF($A129="","",COUNTIFS('模式能力要求輸入'!$B$7:$B$306,$A129,'模式能力要求輸入'!$E$7:$E$306,"主跟診",'模式能力要求輸入'!$F$7:$F$306,"必備",'模式能力要求輸入'!$R$7:$R$306,"可發布"))</x:f>
      </x:c>
      <x:c r="O129" s="579" t="str">
        <x:f>IF($A129="","",'醫師模式規則輸入'!$T116)</x:f>
      </x:c>
      <x:c r="P129" s="579" t="str">
        <x:f>IF($A129="","",IF(COUNTIFS($A$7:$A$169,$A129)&gt;1,"模式代碼重複",IF('醫師模式規則輸入'!$U116="可匯入模式清單","可進入排班建檔",'醫師模式規則輸入'!$U116)))</x:f>
      </x:c>
      <x:c r="Q129" s="579" t="str">
        <x:f>IF(OR($P129="可進入排班建檔",$P129="可供試行排班"),$A129,"")</x:f>
      </x:c>
    </x:row>
    <x:row r="130">
      <x:c r="A130" s="579" t="str">
        <x:f>IF('醫師模式規則輸入'!$D117="","",'醫師模式規則輸入'!$D117)</x:f>
      </x:c>
      <x:c r="B130" s="579" t="str">
        <x:f>IF($A130="","",'醫師模式規則輸入'!$B117)</x:f>
      </x:c>
      <x:c r="C130" s="579" t="str">
        <x:f>IF($A130="","",'醫師模式規則輸入'!$E117)</x:f>
      </x:c>
      <x:c r="D130" s="579" t="str">
        <x:f>IF($A130="","",'醫師模式規則輸入'!$F117)</x:f>
      </x:c>
      <x:c r="E130" s="579" t="str">
        <x:f>IF($A130="","",'醫師模式規則輸入'!$G117)</x:f>
      </x:c>
      <x:c r="F130" s="583" t="str">
        <x:f>IF($A130="","",'醫師模式規則輸入'!$H117)</x:f>
      </x:c>
      <x:c r="G130" s="583" t="str">
        <x:f>IF($A130="","",'醫師模式規則輸入'!$I117)</x:f>
      </x:c>
      <x:c r="H130" s="583" t="str">
        <x:f>IF($A130="","",'醫師模式規則輸入'!$J117)</x:f>
      </x:c>
      <x:c r="I130" s="583" t="str">
        <x:f>IF($A130="","",'醫師模式規則輸入'!$K117)</x:f>
      </x:c>
      <x:c r="J130" s="579" t="str">
        <x:f>IF($A130="","",'醫師模式規則輸入'!$A117)</x:f>
      </x:c>
      <x:c r="K130" s="579" t="str">
        <x:f>IF($A130="","",'醫師模式規則輸入'!$Q117)</x:f>
      </x:c>
      <x:c r="L130" s="579" t="str">
        <x:f>IF($A130="","",COUNTIFS('模式能力要求輸入'!$B$7:$B$306,$A130))</x:f>
      </x:c>
      <x:c r="M130" s="579" t="str">
        <x:f>IF($A130="","",COUNTIFS('模式能力要求輸入'!$B$7:$B$306,$A130,'模式能力要求輸入'!$R$7:$R$306,"可發布"))</x:f>
      </x:c>
      <x:c r="N130" s="579" t="str">
        <x:f>IF($A130="","",COUNTIFS('模式能力要求輸入'!$B$7:$B$306,$A130,'模式能力要求輸入'!$E$7:$E$306,"主跟診",'模式能力要求輸入'!$F$7:$F$306,"必備",'模式能力要求輸入'!$R$7:$R$306,"可發布"))</x:f>
      </x:c>
      <x:c r="O130" s="579" t="str">
        <x:f>IF($A130="","",'醫師模式規則輸入'!$T117)</x:f>
      </x:c>
      <x:c r="P130" s="579" t="str">
        <x:f>IF($A130="","",IF(COUNTIFS($A$7:$A$169,$A130)&gt;1,"模式代碼重複",IF('醫師模式規則輸入'!$U117="可匯入模式清單","可進入排班建檔",'醫師模式規則輸入'!$U117)))</x:f>
      </x:c>
      <x:c r="Q130" s="579" t="str">
        <x:f>IF(OR($P130="可進入排班建檔",$P130="可供試行排班"),$A130,"")</x:f>
      </x:c>
    </x:row>
    <x:row r="131">
      <x:c r="A131" s="579" t="str">
        <x:f>IF('醫師模式規則輸入'!$D118="","",'醫師模式規則輸入'!$D118)</x:f>
      </x:c>
      <x:c r="B131" s="579" t="str">
        <x:f>IF($A131="","",'醫師模式規則輸入'!$B118)</x:f>
      </x:c>
      <x:c r="C131" s="579" t="str">
        <x:f>IF($A131="","",'醫師模式規則輸入'!$E118)</x:f>
      </x:c>
      <x:c r="D131" s="579" t="str">
        <x:f>IF($A131="","",'醫師模式規則輸入'!$F118)</x:f>
      </x:c>
      <x:c r="E131" s="579" t="str">
        <x:f>IF($A131="","",'醫師模式規則輸入'!$G118)</x:f>
      </x:c>
      <x:c r="F131" s="583" t="str">
        <x:f>IF($A131="","",'醫師模式規則輸入'!$H118)</x:f>
      </x:c>
      <x:c r="G131" s="583" t="str">
        <x:f>IF($A131="","",'醫師模式規則輸入'!$I118)</x:f>
      </x:c>
      <x:c r="H131" s="583" t="str">
        <x:f>IF($A131="","",'醫師模式規則輸入'!$J118)</x:f>
      </x:c>
      <x:c r="I131" s="583" t="str">
        <x:f>IF($A131="","",'醫師模式規則輸入'!$K118)</x:f>
      </x:c>
      <x:c r="J131" s="579" t="str">
        <x:f>IF($A131="","",'醫師模式規則輸入'!$A118)</x:f>
      </x:c>
      <x:c r="K131" s="579" t="str">
        <x:f>IF($A131="","",'醫師模式規則輸入'!$Q118)</x:f>
      </x:c>
      <x:c r="L131" s="579" t="str">
        <x:f>IF($A131="","",COUNTIFS('模式能力要求輸入'!$B$7:$B$306,$A131))</x:f>
      </x:c>
      <x:c r="M131" s="579" t="str">
        <x:f>IF($A131="","",COUNTIFS('模式能力要求輸入'!$B$7:$B$306,$A131,'模式能力要求輸入'!$R$7:$R$306,"可發布"))</x:f>
      </x:c>
      <x:c r="N131" s="579" t="str">
        <x:f>IF($A131="","",COUNTIFS('模式能力要求輸入'!$B$7:$B$306,$A131,'模式能力要求輸入'!$E$7:$E$306,"主跟診",'模式能力要求輸入'!$F$7:$F$306,"必備",'模式能力要求輸入'!$R$7:$R$306,"可發布"))</x:f>
      </x:c>
      <x:c r="O131" s="579" t="str">
        <x:f>IF($A131="","",'醫師模式規則輸入'!$T118)</x:f>
      </x:c>
      <x:c r="P131" s="579" t="str">
        <x:f>IF($A131="","",IF(COUNTIFS($A$7:$A$169,$A131)&gt;1,"模式代碼重複",IF('醫師模式規則輸入'!$U118="可匯入模式清單","可進入排班建檔",'醫師模式規則輸入'!$U118)))</x:f>
      </x:c>
      <x:c r="Q131" s="579" t="str">
        <x:f>IF(OR($P131="可進入排班建檔",$P131="可供試行排班"),$A131,"")</x:f>
      </x:c>
    </x:row>
    <x:row r="132">
      <x:c r="A132" s="579" t="str">
        <x:f>IF('醫師模式規則輸入'!$D119="","",'醫師模式規則輸入'!$D119)</x:f>
      </x:c>
      <x:c r="B132" s="579" t="str">
        <x:f>IF($A132="","",'醫師模式規則輸入'!$B119)</x:f>
      </x:c>
      <x:c r="C132" s="579" t="str">
        <x:f>IF($A132="","",'醫師模式規則輸入'!$E119)</x:f>
      </x:c>
      <x:c r="D132" s="579" t="str">
        <x:f>IF($A132="","",'醫師模式規則輸入'!$F119)</x:f>
      </x:c>
      <x:c r="E132" s="579" t="str">
        <x:f>IF($A132="","",'醫師模式規則輸入'!$G119)</x:f>
      </x:c>
      <x:c r="F132" s="583" t="str">
        <x:f>IF($A132="","",'醫師模式規則輸入'!$H119)</x:f>
      </x:c>
      <x:c r="G132" s="583" t="str">
        <x:f>IF($A132="","",'醫師模式規則輸入'!$I119)</x:f>
      </x:c>
      <x:c r="H132" s="583" t="str">
        <x:f>IF($A132="","",'醫師模式規則輸入'!$J119)</x:f>
      </x:c>
      <x:c r="I132" s="583" t="str">
        <x:f>IF($A132="","",'醫師模式規則輸入'!$K119)</x:f>
      </x:c>
      <x:c r="J132" s="579" t="str">
        <x:f>IF($A132="","",'醫師模式規則輸入'!$A119)</x:f>
      </x:c>
      <x:c r="K132" s="579" t="str">
        <x:f>IF($A132="","",'醫師模式規則輸入'!$Q119)</x:f>
      </x:c>
      <x:c r="L132" s="579" t="str">
        <x:f>IF($A132="","",COUNTIFS('模式能力要求輸入'!$B$7:$B$306,$A132))</x:f>
      </x:c>
      <x:c r="M132" s="579" t="str">
        <x:f>IF($A132="","",COUNTIFS('模式能力要求輸入'!$B$7:$B$306,$A132,'模式能力要求輸入'!$R$7:$R$306,"可發布"))</x:f>
      </x:c>
      <x:c r="N132" s="579" t="str">
        <x:f>IF($A132="","",COUNTIFS('模式能力要求輸入'!$B$7:$B$306,$A132,'模式能力要求輸入'!$E$7:$E$306,"主跟診",'模式能力要求輸入'!$F$7:$F$306,"必備",'模式能力要求輸入'!$R$7:$R$306,"可發布"))</x:f>
      </x:c>
      <x:c r="O132" s="579" t="str">
        <x:f>IF($A132="","",'醫師模式規則輸入'!$T119)</x:f>
      </x:c>
      <x:c r="P132" s="579" t="str">
        <x:f>IF($A132="","",IF(COUNTIFS($A$7:$A$169,$A132)&gt;1,"模式代碼重複",IF('醫師模式規則輸入'!$U119="可匯入模式清單","可進入排班建檔",'醫師模式規則輸入'!$U119)))</x:f>
      </x:c>
      <x:c r="Q132" s="579" t="str">
        <x:f>IF(OR($P132="可進入排班建檔",$P132="可供試行排班"),$A132,"")</x:f>
      </x:c>
    </x:row>
    <x:row r="133">
      <x:c r="A133" s="579" t="str">
        <x:f>IF('醫師模式規則輸入'!$D120="","",'醫師模式規則輸入'!$D120)</x:f>
      </x:c>
      <x:c r="B133" s="579" t="str">
        <x:f>IF($A133="","",'醫師模式規則輸入'!$B120)</x:f>
      </x:c>
      <x:c r="C133" s="579" t="str">
        <x:f>IF($A133="","",'醫師模式規則輸入'!$E120)</x:f>
      </x:c>
      <x:c r="D133" s="579" t="str">
        <x:f>IF($A133="","",'醫師模式規則輸入'!$F120)</x:f>
      </x:c>
      <x:c r="E133" s="579" t="str">
        <x:f>IF($A133="","",'醫師模式規則輸入'!$G120)</x:f>
      </x:c>
      <x:c r="F133" s="583" t="str">
        <x:f>IF($A133="","",'醫師模式規則輸入'!$H120)</x:f>
      </x:c>
      <x:c r="G133" s="583" t="str">
        <x:f>IF($A133="","",'醫師模式規則輸入'!$I120)</x:f>
      </x:c>
      <x:c r="H133" s="583" t="str">
        <x:f>IF($A133="","",'醫師模式規則輸入'!$J120)</x:f>
      </x:c>
      <x:c r="I133" s="583" t="str">
        <x:f>IF($A133="","",'醫師模式規則輸入'!$K120)</x:f>
      </x:c>
      <x:c r="J133" s="579" t="str">
        <x:f>IF($A133="","",'醫師模式規則輸入'!$A120)</x:f>
      </x:c>
      <x:c r="K133" s="579" t="str">
        <x:f>IF($A133="","",'醫師模式規則輸入'!$Q120)</x:f>
      </x:c>
      <x:c r="L133" s="579" t="str">
        <x:f>IF($A133="","",COUNTIFS('模式能力要求輸入'!$B$7:$B$306,$A133))</x:f>
      </x:c>
      <x:c r="M133" s="579" t="str">
        <x:f>IF($A133="","",COUNTIFS('模式能力要求輸入'!$B$7:$B$306,$A133,'模式能力要求輸入'!$R$7:$R$306,"可發布"))</x:f>
      </x:c>
      <x:c r="N133" s="579" t="str">
        <x:f>IF($A133="","",COUNTIFS('模式能力要求輸入'!$B$7:$B$306,$A133,'模式能力要求輸入'!$E$7:$E$306,"主跟診",'模式能力要求輸入'!$F$7:$F$306,"必備",'模式能力要求輸入'!$R$7:$R$306,"可發布"))</x:f>
      </x:c>
      <x:c r="O133" s="579" t="str">
        <x:f>IF($A133="","",'醫師模式規則輸入'!$T120)</x:f>
      </x:c>
      <x:c r="P133" s="579" t="str">
        <x:f>IF($A133="","",IF(COUNTIFS($A$7:$A$169,$A133)&gt;1,"模式代碼重複",IF('醫師模式規則輸入'!$U120="可匯入模式清單","可進入排班建檔",'醫師模式規則輸入'!$U120)))</x:f>
      </x:c>
      <x:c r="Q133" s="579" t="str">
        <x:f>IF(OR($P133="可進入排班建檔",$P133="可供試行排班"),$A133,"")</x:f>
      </x:c>
    </x:row>
    <x:row r="134">
      <x:c r="A134" s="579" t="str">
        <x:f>IF('醫師模式規則輸入'!$D121="","",'醫師模式規則輸入'!$D121)</x:f>
      </x:c>
      <x:c r="B134" s="579" t="str">
        <x:f>IF($A134="","",'醫師模式規則輸入'!$B121)</x:f>
      </x:c>
      <x:c r="C134" s="579" t="str">
        <x:f>IF($A134="","",'醫師模式規則輸入'!$E121)</x:f>
      </x:c>
      <x:c r="D134" s="579" t="str">
        <x:f>IF($A134="","",'醫師模式規則輸入'!$F121)</x:f>
      </x:c>
      <x:c r="E134" s="579" t="str">
        <x:f>IF($A134="","",'醫師模式規則輸入'!$G121)</x:f>
      </x:c>
      <x:c r="F134" s="583" t="str">
        <x:f>IF($A134="","",'醫師模式規則輸入'!$H121)</x:f>
      </x:c>
      <x:c r="G134" s="583" t="str">
        <x:f>IF($A134="","",'醫師模式規則輸入'!$I121)</x:f>
      </x:c>
      <x:c r="H134" s="583" t="str">
        <x:f>IF($A134="","",'醫師模式規則輸入'!$J121)</x:f>
      </x:c>
      <x:c r="I134" s="583" t="str">
        <x:f>IF($A134="","",'醫師模式規則輸入'!$K121)</x:f>
      </x:c>
      <x:c r="J134" s="579" t="str">
        <x:f>IF($A134="","",'醫師模式規則輸入'!$A121)</x:f>
      </x:c>
      <x:c r="K134" s="579" t="str">
        <x:f>IF($A134="","",'醫師模式規則輸入'!$Q121)</x:f>
      </x:c>
      <x:c r="L134" s="579" t="str">
        <x:f>IF($A134="","",COUNTIFS('模式能力要求輸入'!$B$7:$B$306,$A134))</x:f>
      </x:c>
      <x:c r="M134" s="579" t="str">
        <x:f>IF($A134="","",COUNTIFS('模式能力要求輸入'!$B$7:$B$306,$A134,'模式能力要求輸入'!$R$7:$R$306,"可發布"))</x:f>
      </x:c>
      <x:c r="N134" s="579" t="str">
        <x:f>IF($A134="","",COUNTIFS('模式能力要求輸入'!$B$7:$B$306,$A134,'模式能力要求輸入'!$E$7:$E$306,"主跟診",'模式能力要求輸入'!$F$7:$F$306,"必備",'模式能力要求輸入'!$R$7:$R$306,"可發布"))</x:f>
      </x:c>
      <x:c r="O134" s="579" t="str">
        <x:f>IF($A134="","",'醫師模式規則輸入'!$T121)</x:f>
      </x:c>
      <x:c r="P134" s="579" t="str">
        <x:f>IF($A134="","",IF(COUNTIFS($A$7:$A$169,$A134)&gt;1,"模式代碼重複",IF('醫師模式規則輸入'!$U121="可匯入模式清單","可進入排班建檔",'醫師模式規則輸入'!$U121)))</x:f>
      </x:c>
      <x:c r="Q134" s="579" t="str">
        <x:f>IF(OR($P134="可進入排班建檔",$P134="可供試行排班"),$A134,"")</x:f>
      </x:c>
    </x:row>
    <x:row r="135">
      <x:c r="A135" s="579" t="str">
        <x:f>IF('醫師模式規則輸入'!$D122="","",'醫師模式規則輸入'!$D122)</x:f>
      </x:c>
      <x:c r="B135" s="579" t="str">
        <x:f>IF($A135="","",'醫師模式規則輸入'!$B122)</x:f>
      </x:c>
      <x:c r="C135" s="579" t="str">
        <x:f>IF($A135="","",'醫師模式規則輸入'!$E122)</x:f>
      </x:c>
      <x:c r="D135" s="579" t="str">
        <x:f>IF($A135="","",'醫師模式規則輸入'!$F122)</x:f>
      </x:c>
      <x:c r="E135" s="579" t="str">
        <x:f>IF($A135="","",'醫師模式規則輸入'!$G122)</x:f>
      </x:c>
      <x:c r="F135" s="583" t="str">
        <x:f>IF($A135="","",'醫師模式規則輸入'!$H122)</x:f>
      </x:c>
      <x:c r="G135" s="583" t="str">
        <x:f>IF($A135="","",'醫師模式規則輸入'!$I122)</x:f>
      </x:c>
      <x:c r="H135" s="583" t="str">
        <x:f>IF($A135="","",'醫師模式規則輸入'!$J122)</x:f>
      </x:c>
      <x:c r="I135" s="583" t="str">
        <x:f>IF($A135="","",'醫師模式規則輸入'!$K122)</x:f>
      </x:c>
      <x:c r="J135" s="579" t="str">
        <x:f>IF($A135="","",'醫師模式規則輸入'!$A122)</x:f>
      </x:c>
      <x:c r="K135" s="579" t="str">
        <x:f>IF($A135="","",'醫師模式規則輸入'!$Q122)</x:f>
      </x:c>
      <x:c r="L135" s="579" t="str">
        <x:f>IF($A135="","",COUNTIFS('模式能力要求輸入'!$B$7:$B$306,$A135))</x:f>
      </x:c>
      <x:c r="M135" s="579" t="str">
        <x:f>IF($A135="","",COUNTIFS('模式能力要求輸入'!$B$7:$B$306,$A135,'模式能力要求輸入'!$R$7:$R$306,"可發布"))</x:f>
      </x:c>
      <x:c r="N135" s="579" t="str">
        <x:f>IF($A135="","",COUNTIFS('模式能力要求輸入'!$B$7:$B$306,$A135,'模式能力要求輸入'!$E$7:$E$306,"主跟診",'模式能力要求輸入'!$F$7:$F$306,"必備",'模式能力要求輸入'!$R$7:$R$306,"可發布"))</x:f>
      </x:c>
      <x:c r="O135" s="579" t="str">
        <x:f>IF($A135="","",'醫師模式規則輸入'!$T122)</x:f>
      </x:c>
      <x:c r="P135" s="579" t="str">
        <x:f>IF($A135="","",IF(COUNTIFS($A$7:$A$169,$A135)&gt;1,"模式代碼重複",IF('醫師模式規則輸入'!$U122="可匯入模式清單","可進入排班建檔",'醫師模式規則輸入'!$U122)))</x:f>
      </x:c>
      <x:c r="Q135" s="579" t="str">
        <x:f>IF(OR($P135="可進入排班建檔",$P135="可供試行排班"),$A135,"")</x:f>
      </x:c>
    </x:row>
    <x:row r="136">
      <x:c r="A136" s="579" t="str">
        <x:f>IF('醫師模式規則輸入'!$D123="","",'醫師模式規則輸入'!$D123)</x:f>
      </x:c>
      <x:c r="B136" s="579" t="str">
        <x:f>IF($A136="","",'醫師模式規則輸入'!$B123)</x:f>
      </x:c>
      <x:c r="C136" s="579" t="str">
        <x:f>IF($A136="","",'醫師模式規則輸入'!$E123)</x:f>
      </x:c>
      <x:c r="D136" s="579" t="str">
        <x:f>IF($A136="","",'醫師模式規則輸入'!$F123)</x:f>
      </x:c>
      <x:c r="E136" s="579" t="str">
        <x:f>IF($A136="","",'醫師模式規則輸入'!$G123)</x:f>
      </x:c>
      <x:c r="F136" s="583" t="str">
        <x:f>IF($A136="","",'醫師模式規則輸入'!$H123)</x:f>
      </x:c>
      <x:c r="G136" s="583" t="str">
        <x:f>IF($A136="","",'醫師模式規則輸入'!$I123)</x:f>
      </x:c>
      <x:c r="H136" s="583" t="str">
        <x:f>IF($A136="","",'醫師模式規則輸入'!$J123)</x:f>
      </x:c>
      <x:c r="I136" s="583" t="str">
        <x:f>IF($A136="","",'醫師模式規則輸入'!$K123)</x:f>
      </x:c>
      <x:c r="J136" s="579" t="str">
        <x:f>IF($A136="","",'醫師模式規則輸入'!$A123)</x:f>
      </x:c>
      <x:c r="K136" s="579" t="str">
        <x:f>IF($A136="","",'醫師模式規則輸入'!$Q123)</x:f>
      </x:c>
      <x:c r="L136" s="579" t="str">
        <x:f>IF($A136="","",COUNTIFS('模式能力要求輸入'!$B$7:$B$306,$A136))</x:f>
      </x:c>
      <x:c r="M136" s="579" t="str">
        <x:f>IF($A136="","",COUNTIFS('模式能力要求輸入'!$B$7:$B$306,$A136,'模式能力要求輸入'!$R$7:$R$306,"可發布"))</x:f>
      </x:c>
      <x:c r="N136" s="579" t="str">
        <x:f>IF($A136="","",COUNTIFS('模式能力要求輸入'!$B$7:$B$306,$A136,'模式能力要求輸入'!$E$7:$E$306,"主跟診",'模式能力要求輸入'!$F$7:$F$306,"必備",'模式能力要求輸入'!$R$7:$R$306,"可發布"))</x:f>
      </x:c>
      <x:c r="O136" s="579" t="str">
        <x:f>IF($A136="","",'醫師模式規則輸入'!$T123)</x:f>
      </x:c>
      <x:c r="P136" s="579" t="str">
        <x:f>IF($A136="","",IF(COUNTIFS($A$7:$A$169,$A136)&gt;1,"模式代碼重複",IF('醫師模式規則輸入'!$U123="可匯入模式清單","可進入排班建檔",'醫師模式規則輸入'!$U123)))</x:f>
      </x:c>
      <x:c r="Q136" s="579" t="str">
        <x:f>IF(OR($P136="可進入排班建檔",$P136="可供試行排班"),$A136,"")</x:f>
      </x:c>
    </x:row>
    <x:row r="137">
      <x:c r="A137" s="579" t="str">
        <x:f>IF('醫師模式規則輸入'!$D124="","",'醫師模式規則輸入'!$D124)</x:f>
      </x:c>
      <x:c r="B137" s="579" t="str">
        <x:f>IF($A137="","",'醫師模式規則輸入'!$B124)</x:f>
      </x:c>
      <x:c r="C137" s="579" t="str">
        <x:f>IF($A137="","",'醫師模式規則輸入'!$E124)</x:f>
      </x:c>
      <x:c r="D137" s="579" t="str">
        <x:f>IF($A137="","",'醫師模式規則輸入'!$F124)</x:f>
      </x:c>
      <x:c r="E137" s="579" t="str">
        <x:f>IF($A137="","",'醫師模式規則輸入'!$G124)</x:f>
      </x:c>
      <x:c r="F137" s="583" t="str">
        <x:f>IF($A137="","",'醫師模式規則輸入'!$H124)</x:f>
      </x:c>
      <x:c r="G137" s="583" t="str">
        <x:f>IF($A137="","",'醫師模式規則輸入'!$I124)</x:f>
      </x:c>
      <x:c r="H137" s="583" t="str">
        <x:f>IF($A137="","",'醫師模式規則輸入'!$J124)</x:f>
      </x:c>
      <x:c r="I137" s="583" t="str">
        <x:f>IF($A137="","",'醫師模式規則輸入'!$K124)</x:f>
      </x:c>
      <x:c r="J137" s="579" t="str">
        <x:f>IF($A137="","",'醫師模式規則輸入'!$A124)</x:f>
      </x:c>
      <x:c r="K137" s="579" t="str">
        <x:f>IF($A137="","",'醫師模式規則輸入'!$Q124)</x:f>
      </x:c>
      <x:c r="L137" s="579" t="str">
        <x:f>IF($A137="","",COUNTIFS('模式能力要求輸入'!$B$7:$B$306,$A137))</x:f>
      </x:c>
      <x:c r="M137" s="579" t="str">
        <x:f>IF($A137="","",COUNTIFS('模式能力要求輸入'!$B$7:$B$306,$A137,'模式能力要求輸入'!$R$7:$R$306,"可發布"))</x:f>
      </x:c>
      <x:c r="N137" s="579" t="str">
        <x:f>IF($A137="","",COUNTIFS('模式能力要求輸入'!$B$7:$B$306,$A137,'模式能力要求輸入'!$E$7:$E$306,"主跟診",'模式能力要求輸入'!$F$7:$F$306,"必備",'模式能力要求輸入'!$R$7:$R$306,"可發布"))</x:f>
      </x:c>
      <x:c r="O137" s="579" t="str">
        <x:f>IF($A137="","",'醫師模式規則輸入'!$T124)</x:f>
      </x:c>
      <x:c r="P137" s="579" t="str">
        <x:f>IF($A137="","",IF(COUNTIFS($A$7:$A$169,$A137)&gt;1,"模式代碼重複",IF('醫師模式規則輸入'!$U124="可匯入模式清單","可進入排班建檔",'醫師模式規則輸入'!$U124)))</x:f>
      </x:c>
      <x:c r="Q137" s="579" t="str">
        <x:f>IF(OR($P137="可進入排班建檔",$P137="可供試行排班"),$A137,"")</x:f>
      </x:c>
    </x:row>
    <x:row r="138">
      <x:c r="A138" s="579" t="str">
        <x:f>IF('醫師模式規則輸入'!$D125="","",'醫師模式規則輸入'!$D125)</x:f>
      </x:c>
      <x:c r="B138" s="579" t="str">
        <x:f>IF($A138="","",'醫師模式規則輸入'!$B125)</x:f>
      </x:c>
      <x:c r="C138" s="579" t="str">
        <x:f>IF($A138="","",'醫師模式規則輸入'!$E125)</x:f>
      </x:c>
      <x:c r="D138" s="579" t="str">
        <x:f>IF($A138="","",'醫師模式規則輸入'!$F125)</x:f>
      </x:c>
      <x:c r="E138" s="579" t="str">
        <x:f>IF($A138="","",'醫師模式規則輸入'!$G125)</x:f>
      </x:c>
      <x:c r="F138" s="583" t="str">
        <x:f>IF($A138="","",'醫師模式規則輸入'!$H125)</x:f>
      </x:c>
      <x:c r="G138" s="583" t="str">
        <x:f>IF($A138="","",'醫師模式規則輸入'!$I125)</x:f>
      </x:c>
      <x:c r="H138" s="583" t="str">
        <x:f>IF($A138="","",'醫師模式規則輸入'!$J125)</x:f>
      </x:c>
      <x:c r="I138" s="583" t="str">
        <x:f>IF($A138="","",'醫師模式規則輸入'!$K125)</x:f>
      </x:c>
      <x:c r="J138" s="579" t="str">
        <x:f>IF($A138="","",'醫師模式規則輸入'!$A125)</x:f>
      </x:c>
      <x:c r="K138" s="579" t="str">
        <x:f>IF($A138="","",'醫師模式規則輸入'!$Q125)</x:f>
      </x:c>
      <x:c r="L138" s="579" t="str">
        <x:f>IF($A138="","",COUNTIFS('模式能力要求輸入'!$B$7:$B$306,$A138))</x:f>
      </x:c>
      <x:c r="M138" s="579" t="str">
        <x:f>IF($A138="","",COUNTIFS('模式能力要求輸入'!$B$7:$B$306,$A138,'模式能力要求輸入'!$R$7:$R$306,"可發布"))</x:f>
      </x:c>
      <x:c r="N138" s="579" t="str">
        <x:f>IF($A138="","",COUNTIFS('模式能力要求輸入'!$B$7:$B$306,$A138,'模式能力要求輸入'!$E$7:$E$306,"主跟診",'模式能力要求輸入'!$F$7:$F$306,"必備",'模式能力要求輸入'!$R$7:$R$306,"可發布"))</x:f>
      </x:c>
      <x:c r="O138" s="579" t="str">
        <x:f>IF($A138="","",'醫師模式規則輸入'!$T125)</x:f>
      </x:c>
      <x:c r="P138" s="579" t="str">
        <x:f>IF($A138="","",IF(COUNTIFS($A$7:$A$169,$A138)&gt;1,"模式代碼重複",IF('醫師模式規則輸入'!$U125="可匯入模式清單","可進入排班建檔",'醫師模式規則輸入'!$U125)))</x:f>
      </x:c>
      <x:c r="Q138" s="579" t="str">
        <x:f>IF(OR($P138="可進入排班建檔",$P138="可供試行排班"),$A138,"")</x:f>
      </x:c>
    </x:row>
    <x:row r="139">
      <x:c r="A139" s="579" t="str">
        <x:f>IF('醫師模式規則輸入'!$D126="","",'醫師模式規則輸入'!$D126)</x:f>
      </x:c>
      <x:c r="B139" s="579" t="str">
        <x:f>IF($A139="","",'醫師模式規則輸入'!$B126)</x:f>
      </x:c>
      <x:c r="C139" s="579" t="str">
        <x:f>IF($A139="","",'醫師模式規則輸入'!$E126)</x:f>
      </x:c>
      <x:c r="D139" s="579" t="str">
        <x:f>IF($A139="","",'醫師模式規則輸入'!$F126)</x:f>
      </x:c>
      <x:c r="E139" s="579" t="str">
        <x:f>IF($A139="","",'醫師模式規則輸入'!$G126)</x:f>
      </x:c>
      <x:c r="F139" s="583" t="str">
        <x:f>IF($A139="","",'醫師模式規則輸入'!$H126)</x:f>
      </x:c>
      <x:c r="G139" s="583" t="str">
        <x:f>IF($A139="","",'醫師模式規則輸入'!$I126)</x:f>
      </x:c>
      <x:c r="H139" s="583" t="str">
        <x:f>IF($A139="","",'醫師模式規則輸入'!$J126)</x:f>
      </x:c>
      <x:c r="I139" s="583" t="str">
        <x:f>IF($A139="","",'醫師模式規則輸入'!$K126)</x:f>
      </x:c>
      <x:c r="J139" s="579" t="str">
        <x:f>IF($A139="","",'醫師模式規則輸入'!$A126)</x:f>
      </x:c>
      <x:c r="K139" s="579" t="str">
        <x:f>IF($A139="","",'醫師模式規則輸入'!$Q126)</x:f>
      </x:c>
      <x:c r="L139" s="579" t="str">
        <x:f>IF($A139="","",COUNTIFS('模式能力要求輸入'!$B$7:$B$306,$A139))</x:f>
      </x:c>
      <x:c r="M139" s="579" t="str">
        <x:f>IF($A139="","",COUNTIFS('模式能力要求輸入'!$B$7:$B$306,$A139,'模式能力要求輸入'!$R$7:$R$306,"可發布"))</x:f>
      </x:c>
      <x:c r="N139" s="579" t="str">
        <x:f>IF($A139="","",COUNTIFS('模式能力要求輸入'!$B$7:$B$306,$A139,'模式能力要求輸入'!$E$7:$E$306,"主跟診",'模式能力要求輸入'!$F$7:$F$306,"必備",'模式能力要求輸入'!$R$7:$R$306,"可發布"))</x:f>
      </x:c>
      <x:c r="O139" s="579" t="str">
        <x:f>IF($A139="","",'醫師模式規則輸入'!$T126)</x:f>
      </x:c>
      <x:c r="P139" s="579" t="str">
        <x:f>IF($A139="","",IF(COUNTIFS($A$7:$A$169,$A139)&gt;1,"模式代碼重複",IF('醫師模式規則輸入'!$U126="可匯入模式清單","可進入排班建檔",'醫師模式規則輸入'!$U126)))</x:f>
      </x:c>
      <x:c r="Q139" s="579" t="str">
        <x:f>IF(OR($P139="可進入排班建檔",$P139="可供試行排班"),$A139,"")</x:f>
      </x:c>
    </x:row>
    <x:row r="140">
      <x:c r="A140" s="579" t="str">
        <x:f>IF('醫師模式規則輸入'!$D127="","",'醫師模式規則輸入'!$D127)</x:f>
      </x:c>
      <x:c r="B140" s="579" t="str">
        <x:f>IF($A140="","",'醫師模式規則輸入'!$B127)</x:f>
      </x:c>
      <x:c r="C140" s="579" t="str">
        <x:f>IF($A140="","",'醫師模式規則輸入'!$E127)</x:f>
      </x:c>
      <x:c r="D140" s="579" t="str">
        <x:f>IF($A140="","",'醫師模式規則輸入'!$F127)</x:f>
      </x:c>
      <x:c r="E140" s="579" t="str">
        <x:f>IF($A140="","",'醫師模式規則輸入'!$G127)</x:f>
      </x:c>
      <x:c r="F140" s="583" t="str">
        <x:f>IF($A140="","",'醫師模式規則輸入'!$H127)</x:f>
      </x:c>
      <x:c r="G140" s="583" t="str">
        <x:f>IF($A140="","",'醫師模式規則輸入'!$I127)</x:f>
      </x:c>
      <x:c r="H140" s="583" t="str">
        <x:f>IF($A140="","",'醫師模式規則輸入'!$J127)</x:f>
      </x:c>
      <x:c r="I140" s="583" t="str">
        <x:f>IF($A140="","",'醫師模式規則輸入'!$K127)</x:f>
      </x:c>
      <x:c r="J140" s="579" t="str">
        <x:f>IF($A140="","",'醫師模式規則輸入'!$A127)</x:f>
      </x:c>
      <x:c r="K140" s="579" t="str">
        <x:f>IF($A140="","",'醫師模式規則輸入'!$Q127)</x:f>
      </x:c>
      <x:c r="L140" s="579" t="str">
        <x:f>IF($A140="","",COUNTIFS('模式能力要求輸入'!$B$7:$B$306,$A140))</x:f>
      </x:c>
      <x:c r="M140" s="579" t="str">
        <x:f>IF($A140="","",COUNTIFS('模式能力要求輸入'!$B$7:$B$306,$A140,'模式能力要求輸入'!$R$7:$R$306,"可發布"))</x:f>
      </x:c>
      <x:c r="N140" s="579" t="str">
        <x:f>IF($A140="","",COUNTIFS('模式能力要求輸入'!$B$7:$B$306,$A140,'模式能力要求輸入'!$E$7:$E$306,"主跟診",'模式能力要求輸入'!$F$7:$F$306,"必備",'模式能力要求輸入'!$R$7:$R$306,"可發布"))</x:f>
      </x:c>
      <x:c r="O140" s="579" t="str">
        <x:f>IF($A140="","",'醫師模式規則輸入'!$T127)</x:f>
      </x:c>
      <x:c r="P140" s="579" t="str">
        <x:f>IF($A140="","",IF(COUNTIFS($A$7:$A$169,$A140)&gt;1,"模式代碼重複",IF('醫師模式規則輸入'!$U127="可匯入模式清單","可進入排班建檔",'醫師模式規則輸入'!$U127)))</x:f>
      </x:c>
      <x:c r="Q140" s="579" t="str">
        <x:f>IF(OR($P140="可進入排班建檔",$P140="可供試行排班"),$A140,"")</x:f>
      </x:c>
    </x:row>
    <x:row r="141">
      <x:c r="A141" s="579" t="str">
        <x:f>IF('醫師模式規則輸入'!$D128="","",'醫師模式規則輸入'!$D128)</x:f>
      </x:c>
      <x:c r="B141" s="579" t="str">
        <x:f>IF($A141="","",'醫師模式規則輸入'!$B128)</x:f>
      </x:c>
      <x:c r="C141" s="579" t="str">
        <x:f>IF($A141="","",'醫師模式規則輸入'!$E128)</x:f>
      </x:c>
      <x:c r="D141" s="579" t="str">
        <x:f>IF($A141="","",'醫師模式規則輸入'!$F128)</x:f>
      </x:c>
      <x:c r="E141" s="579" t="str">
        <x:f>IF($A141="","",'醫師模式規則輸入'!$G128)</x:f>
      </x:c>
      <x:c r="F141" s="583" t="str">
        <x:f>IF($A141="","",'醫師模式規則輸入'!$H128)</x:f>
      </x:c>
      <x:c r="G141" s="583" t="str">
        <x:f>IF($A141="","",'醫師模式規則輸入'!$I128)</x:f>
      </x:c>
      <x:c r="H141" s="583" t="str">
        <x:f>IF($A141="","",'醫師模式規則輸入'!$J128)</x:f>
      </x:c>
      <x:c r="I141" s="583" t="str">
        <x:f>IF($A141="","",'醫師模式規則輸入'!$K128)</x:f>
      </x:c>
      <x:c r="J141" s="579" t="str">
        <x:f>IF($A141="","",'醫師模式規則輸入'!$A128)</x:f>
      </x:c>
      <x:c r="K141" s="579" t="str">
        <x:f>IF($A141="","",'醫師模式規則輸入'!$Q128)</x:f>
      </x:c>
      <x:c r="L141" s="579" t="str">
        <x:f>IF($A141="","",COUNTIFS('模式能力要求輸入'!$B$7:$B$306,$A141))</x:f>
      </x:c>
      <x:c r="M141" s="579" t="str">
        <x:f>IF($A141="","",COUNTIFS('模式能力要求輸入'!$B$7:$B$306,$A141,'模式能力要求輸入'!$R$7:$R$306,"可發布"))</x:f>
      </x:c>
      <x:c r="N141" s="579" t="str">
        <x:f>IF($A141="","",COUNTIFS('模式能力要求輸入'!$B$7:$B$306,$A141,'模式能力要求輸入'!$E$7:$E$306,"主跟診",'模式能力要求輸入'!$F$7:$F$306,"必備",'模式能力要求輸入'!$R$7:$R$306,"可發布"))</x:f>
      </x:c>
      <x:c r="O141" s="579" t="str">
        <x:f>IF($A141="","",'醫師模式規則輸入'!$T128)</x:f>
      </x:c>
      <x:c r="P141" s="579" t="str">
        <x:f>IF($A141="","",IF(COUNTIFS($A$7:$A$169,$A141)&gt;1,"模式代碼重複",IF('醫師模式規則輸入'!$U128="可匯入模式清單","可進入排班建檔",'醫師模式規則輸入'!$U128)))</x:f>
      </x:c>
      <x:c r="Q141" s="579" t="str">
        <x:f>IF(OR($P141="可進入排班建檔",$P141="可供試行排班"),$A141,"")</x:f>
      </x:c>
    </x:row>
    <x:row r="142">
      <x:c r="A142" s="579" t="str">
        <x:f>IF('醫師模式規則輸入'!$D129="","",'醫師模式規則輸入'!$D129)</x:f>
      </x:c>
      <x:c r="B142" s="579" t="str">
        <x:f>IF($A142="","",'醫師模式規則輸入'!$B129)</x:f>
      </x:c>
      <x:c r="C142" s="579" t="str">
        <x:f>IF($A142="","",'醫師模式規則輸入'!$E129)</x:f>
      </x:c>
      <x:c r="D142" s="579" t="str">
        <x:f>IF($A142="","",'醫師模式規則輸入'!$F129)</x:f>
      </x:c>
      <x:c r="E142" s="579" t="str">
        <x:f>IF($A142="","",'醫師模式規則輸入'!$G129)</x:f>
      </x:c>
      <x:c r="F142" s="583" t="str">
        <x:f>IF($A142="","",'醫師模式規則輸入'!$H129)</x:f>
      </x:c>
      <x:c r="G142" s="583" t="str">
        <x:f>IF($A142="","",'醫師模式規則輸入'!$I129)</x:f>
      </x:c>
      <x:c r="H142" s="583" t="str">
        <x:f>IF($A142="","",'醫師模式規則輸入'!$J129)</x:f>
      </x:c>
      <x:c r="I142" s="583" t="str">
        <x:f>IF($A142="","",'醫師模式規則輸入'!$K129)</x:f>
      </x:c>
      <x:c r="J142" s="579" t="str">
        <x:f>IF($A142="","",'醫師模式規則輸入'!$A129)</x:f>
      </x:c>
      <x:c r="K142" s="579" t="str">
        <x:f>IF($A142="","",'醫師模式規則輸入'!$Q129)</x:f>
      </x:c>
      <x:c r="L142" s="579" t="str">
        <x:f>IF($A142="","",COUNTIFS('模式能力要求輸入'!$B$7:$B$306,$A142))</x:f>
      </x:c>
      <x:c r="M142" s="579" t="str">
        <x:f>IF($A142="","",COUNTIFS('模式能力要求輸入'!$B$7:$B$306,$A142,'模式能力要求輸入'!$R$7:$R$306,"可發布"))</x:f>
      </x:c>
      <x:c r="N142" s="579" t="str">
        <x:f>IF($A142="","",COUNTIFS('模式能力要求輸入'!$B$7:$B$306,$A142,'模式能力要求輸入'!$E$7:$E$306,"主跟診",'模式能力要求輸入'!$F$7:$F$306,"必備",'模式能力要求輸入'!$R$7:$R$306,"可發布"))</x:f>
      </x:c>
      <x:c r="O142" s="579" t="str">
        <x:f>IF($A142="","",'醫師模式規則輸入'!$T129)</x:f>
      </x:c>
      <x:c r="P142" s="579" t="str">
        <x:f>IF($A142="","",IF(COUNTIFS($A$7:$A$169,$A142)&gt;1,"模式代碼重複",IF('醫師模式規則輸入'!$U129="可匯入模式清單","可進入排班建檔",'醫師模式規則輸入'!$U129)))</x:f>
      </x:c>
      <x:c r="Q142" s="579" t="str">
        <x:f>IF(OR($P142="可進入排班建檔",$P142="可供試行排班"),$A142,"")</x:f>
      </x:c>
    </x:row>
    <x:row r="143">
      <x:c r="A143" s="579" t="str">
        <x:f>IF('醫師模式規則輸入'!$D130="","",'醫師模式規則輸入'!$D130)</x:f>
      </x:c>
      <x:c r="B143" s="579" t="str">
        <x:f>IF($A143="","",'醫師模式規則輸入'!$B130)</x:f>
      </x:c>
      <x:c r="C143" s="579" t="str">
        <x:f>IF($A143="","",'醫師模式規則輸入'!$E130)</x:f>
      </x:c>
      <x:c r="D143" s="579" t="str">
        <x:f>IF($A143="","",'醫師模式規則輸入'!$F130)</x:f>
      </x:c>
      <x:c r="E143" s="579" t="str">
        <x:f>IF($A143="","",'醫師模式規則輸入'!$G130)</x:f>
      </x:c>
      <x:c r="F143" s="583" t="str">
        <x:f>IF($A143="","",'醫師模式規則輸入'!$H130)</x:f>
      </x:c>
      <x:c r="G143" s="583" t="str">
        <x:f>IF($A143="","",'醫師模式規則輸入'!$I130)</x:f>
      </x:c>
      <x:c r="H143" s="583" t="str">
        <x:f>IF($A143="","",'醫師模式規則輸入'!$J130)</x:f>
      </x:c>
      <x:c r="I143" s="583" t="str">
        <x:f>IF($A143="","",'醫師模式規則輸入'!$K130)</x:f>
      </x:c>
      <x:c r="J143" s="579" t="str">
        <x:f>IF($A143="","",'醫師模式規則輸入'!$A130)</x:f>
      </x:c>
      <x:c r="K143" s="579" t="str">
        <x:f>IF($A143="","",'醫師模式規則輸入'!$Q130)</x:f>
      </x:c>
      <x:c r="L143" s="579" t="str">
        <x:f>IF($A143="","",COUNTIFS('模式能力要求輸入'!$B$7:$B$306,$A143))</x:f>
      </x:c>
      <x:c r="M143" s="579" t="str">
        <x:f>IF($A143="","",COUNTIFS('模式能力要求輸入'!$B$7:$B$306,$A143,'模式能力要求輸入'!$R$7:$R$306,"可發布"))</x:f>
      </x:c>
      <x:c r="N143" s="579" t="str">
        <x:f>IF($A143="","",COUNTIFS('模式能力要求輸入'!$B$7:$B$306,$A143,'模式能力要求輸入'!$E$7:$E$306,"主跟診",'模式能力要求輸入'!$F$7:$F$306,"必備",'模式能力要求輸入'!$R$7:$R$306,"可發布"))</x:f>
      </x:c>
      <x:c r="O143" s="579" t="str">
        <x:f>IF($A143="","",'醫師模式規則輸入'!$T130)</x:f>
      </x:c>
      <x:c r="P143" s="579" t="str">
        <x:f>IF($A143="","",IF(COUNTIFS($A$7:$A$169,$A143)&gt;1,"模式代碼重複",IF('醫師模式規則輸入'!$U130="可匯入模式清單","可進入排班建檔",'醫師模式規則輸入'!$U130)))</x:f>
      </x:c>
      <x:c r="Q143" s="579" t="str">
        <x:f>IF(OR($P143="可進入排班建檔",$P143="可供試行排班"),$A143,"")</x:f>
      </x:c>
    </x:row>
    <x:row r="144">
      <x:c r="A144" s="579" t="str">
        <x:f>IF('醫師模式規則輸入'!$D131="","",'醫師模式規則輸入'!$D131)</x:f>
      </x:c>
      <x:c r="B144" s="579" t="str">
        <x:f>IF($A144="","",'醫師模式規則輸入'!$B131)</x:f>
      </x:c>
      <x:c r="C144" s="579" t="str">
        <x:f>IF($A144="","",'醫師模式規則輸入'!$E131)</x:f>
      </x:c>
      <x:c r="D144" s="579" t="str">
        <x:f>IF($A144="","",'醫師模式規則輸入'!$F131)</x:f>
      </x:c>
      <x:c r="E144" s="579" t="str">
        <x:f>IF($A144="","",'醫師模式規則輸入'!$G131)</x:f>
      </x:c>
      <x:c r="F144" s="583" t="str">
        <x:f>IF($A144="","",'醫師模式規則輸入'!$H131)</x:f>
      </x:c>
      <x:c r="G144" s="583" t="str">
        <x:f>IF($A144="","",'醫師模式規則輸入'!$I131)</x:f>
      </x:c>
      <x:c r="H144" s="583" t="str">
        <x:f>IF($A144="","",'醫師模式規則輸入'!$J131)</x:f>
      </x:c>
      <x:c r="I144" s="583" t="str">
        <x:f>IF($A144="","",'醫師模式規則輸入'!$K131)</x:f>
      </x:c>
      <x:c r="J144" s="579" t="str">
        <x:f>IF($A144="","",'醫師模式規則輸入'!$A131)</x:f>
      </x:c>
      <x:c r="K144" s="579" t="str">
        <x:f>IF($A144="","",'醫師模式規則輸入'!$Q131)</x:f>
      </x:c>
      <x:c r="L144" s="579" t="str">
        <x:f>IF($A144="","",COUNTIFS('模式能力要求輸入'!$B$7:$B$306,$A144))</x:f>
      </x:c>
      <x:c r="M144" s="579" t="str">
        <x:f>IF($A144="","",COUNTIFS('模式能力要求輸入'!$B$7:$B$306,$A144,'模式能力要求輸入'!$R$7:$R$306,"可發布"))</x:f>
      </x:c>
      <x:c r="N144" s="579" t="str">
        <x:f>IF($A144="","",COUNTIFS('模式能力要求輸入'!$B$7:$B$306,$A144,'模式能力要求輸入'!$E$7:$E$306,"主跟診",'模式能力要求輸入'!$F$7:$F$306,"必備",'模式能力要求輸入'!$R$7:$R$306,"可發布"))</x:f>
      </x:c>
      <x:c r="O144" s="579" t="str">
        <x:f>IF($A144="","",'醫師模式規則輸入'!$T131)</x:f>
      </x:c>
      <x:c r="P144" s="579" t="str">
        <x:f>IF($A144="","",IF(COUNTIFS($A$7:$A$169,$A144)&gt;1,"模式代碼重複",IF('醫師模式規則輸入'!$U131="可匯入模式清單","可進入排班建檔",'醫師模式規則輸入'!$U131)))</x:f>
      </x:c>
      <x:c r="Q144" s="579" t="str">
        <x:f>IF(OR($P144="可進入排班建檔",$P144="可供試行排班"),$A144,"")</x:f>
      </x:c>
    </x:row>
    <x:row r="145">
      <x:c r="A145" s="579" t="str">
        <x:f>IF('醫師模式規則輸入'!$D132="","",'醫師模式規則輸入'!$D132)</x:f>
      </x:c>
      <x:c r="B145" s="579" t="str">
        <x:f>IF($A145="","",'醫師模式規則輸入'!$B132)</x:f>
      </x:c>
      <x:c r="C145" s="579" t="str">
        <x:f>IF($A145="","",'醫師模式規則輸入'!$E132)</x:f>
      </x:c>
      <x:c r="D145" s="579" t="str">
        <x:f>IF($A145="","",'醫師模式規則輸入'!$F132)</x:f>
      </x:c>
      <x:c r="E145" s="579" t="str">
        <x:f>IF($A145="","",'醫師模式規則輸入'!$G132)</x:f>
      </x:c>
      <x:c r="F145" s="583" t="str">
        <x:f>IF($A145="","",'醫師模式規則輸入'!$H132)</x:f>
      </x:c>
      <x:c r="G145" s="583" t="str">
        <x:f>IF($A145="","",'醫師模式規則輸入'!$I132)</x:f>
      </x:c>
      <x:c r="H145" s="583" t="str">
        <x:f>IF($A145="","",'醫師模式規則輸入'!$J132)</x:f>
      </x:c>
      <x:c r="I145" s="583" t="str">
        <x:f>IF($A145="","",'醫師模式規則輸入'!$K132)</x:f>
      </x:c>
      <x:c r="J145" s="579" t="str">
        <x:f>IF($A145="","",'醫師模式規則輸入'!$A132)</x:f>
      </x:c>
      <x:c r="K145" s="579" t="str">
        <x:f>IF($A145="","",'醫師模式規則輸入'!$Q132)</x:f>
      </x:c>
      <x:c r="L145" s="579" t="str">
        <x:f>IF($A145="","",COUNTIFS('模式能力要求輸入'!$B$7:$B$306,$A145))</x:f>
      </x:c>
      <x:c r="M145" s="579" t="str">
        <x:f>IF($A145="","",COUNTIFS('模式能力要求輸入'!$B$7:$B$306,$A145,'模式能力要求輸入'!$R$7:$R$306,"可發布"))</x:f>
      </x:c>
      <x:c r="N145" s="579" t="str">
        <x:f>IF($A145="","",COUNTIFS('模式能力要求輸入'!$B$7:$B$306,$A145,'模式能力要求輸入'!$E$7:$E$306,"主跟診",'模式能力要求輸入'!$F$7:$F$306,"必備",'模式能力要求輸入'!$R$7:$R$306,"可發布"))</x:f>
      </x:c>
      <x:c r="O145" s="579" t="str">
        <x:f>IF($A145="","",'醫師模式規則輸入'!$T132)</x:f>
      </x:c>
      <x:c r="P145" s="579" t="str">
        <x:f>IF($A145="","",IF(COUNTIFS($A$7:$A$169,$A145)&gt;1,"模式代碼重複",IF('醫師模式規則輸入'!$U132="可匯入模式清單","可進入排班建檔",'醫師模式規則輸入'!$U132)))</x:f>
      </x:c>
      <x:c r="Q145" s="579" t="str">
        <x:f>IF(OR($P145="可進入排班建檔",$P145="可供試行排班"),$A145,"")</x:f>
      </x:c>
    </x:row>
    <x:row r="146">
      <x:c r="A146" s="579" t="str">
        <x:f>IF('醫師模式規則輸入'!$D133="","",'醫師模式規則輸入'!$D133)</x:f>
      </x:c>
      <x:c r="B146" s="579" t="str">
        <x:f>IF($A146="","",'醫師模式規則輸入'!$B133)</x:f>
      </x:c>
      <x:c r="C146" s="579" t="str">
        <x:f>IF($A146="","",'醫師模式規則輸入'!$E133)</x:f>
      </x:c>
      <x:c r="D146" s="579" t="str">
        <x:f>IF($A146="","",'醫師模式規則輸入'!$F133)</x:f>
      </x:c>
      <x:c r="E146" s="579" t="str">
        <x:f>IF($A146="","",'醫師模式規則輸入'!$G133)</x:f>
      </x:c>
      <x:c r="F146" s="583" t="str">
        <x:f>IF($A146="","",'醫師模式規則輸入'!$H133)</x:f>
      </x:c>
      <x:c r="G146" s="583" t="str">
        <x:f>IF($A146="","",'醫師模式規則輸入'!$I133)</x:f>
      </x:c>
      <x:c r="H146" s="583" t="str">
        <x:f>IF($A146="","",'醫師模式規則輸入'!$J133)</x:f>
      </x:c>
      <x:c r="I146" s="583" t="str">
        <x:f>IF($A146="","",'醫師模式規則輸入'!$K133)</x:f>
      </x:c>
      <x:c r="J146" s="579" t="str">
        <x:f>IF($A146="","",'醫師模式規則輸入'!$A133)</x:f>
      </x:c>
      <x:c r="K146" s="579" t="str">
        <x:f>IF($A146="","",'醫師模式規則輸入'!$Q133)</x:f>
      </x:c>
      <x:c r="L146" s="579" t="str">
        <x:f>IF($A146="","",COUNTIFS('模式能力要求輸入'!$B$7:$B$306,$A146))</x:f>
      </x:c>
      <x:c r="M146" s="579" t="str">
        <x:f>IF($A146="","",COUNTIFS('模式能力要求輸入'!$B$7:$B$306,$A146,'模式能力要求輸入'!$R$7:$R$306,"可發布"))</x:f>
      </x:c>
      <x:c r="N146" s="579" t="str">
        <x:f>IF($A146="","",COUNTIFS('模式能力要求輸入'!$B$7:$B$306,$A146,'模式能力要求輸入'!$E$7:$E$306,"主跟診",'模式能力要求輸入'!$F$7:$F$306,"必備",'模式能力要求輸入'!$R$7:$R$306,"可發布"))</x:f>
      </x:c>
      <x:c r="O146" s="579" t="str">
        <x:f>IF($A146="","",'醫師模式規則輸入'!$T133)</x:f>
      </x:c>
      <x:c r="P146" s="579" t="str">
        <x:f>IF($A146="","",IF(COUNTIFS($A$7:$A$169,$A146)&gt;1,"模式代碼重複",IF('醫師模式規則輸入'!$U133="可匯入模式清單","可進入排班建檔",'醫師模式規則輸入'!$U133)))</x:f>
      </x:c>
      <x:c r="Q146" s="579" t="str">
        <x:f>IF(OR($P146="可進入排班建檔",$P146="可供試行排班"),$A146,"")</x:f>
      </x:c>
    </x:row>
    <x:row r="147">
      <x:c r="A147" s="579" t="str">
        <x:f>IF('醫師模式規則輸入'!$D134="","",'醫師模式規則輸入'!$D134)</x:f>
      </x:c>
      <x:c r="B147" s="579" t="str">
        <x:f>IF($A147="","",'醫師模式規則輸入'!$B134)</x:f>
      </x:c>
      <x:c r="C147" s="579" t="str">
        <x:f>IF($A147="","",'醫師模式規則輸入'!$E134)</x:f>
      </x:c>
      <x:c r="D147" s="579" t="str">
        <x:f>IF($A147="","",'醫師模式規則輸入'!$F134)</x:f>
      </x:c>
      <x:c r="E147" s="579" t="str">
        <x:f>IF($A147="","",'醫師模式規則輸入'!$G134)</x:f>
      </x:c>
      <x:c r="F147" s="583" t="str">
        <x:f>IF($A147="","",'醫師模式規則輸入'!$H134)</x:f>
      </x:c>
      <x:c r="G147" s="583" t="str">
        <x:f>IF($A147="","",'醫師模式規則輸入'!$I134)</x:f>
      </x:c>
      <x:c r="H147" s="583" t="str">
        <x:f>IF($A147="","",'醫師模式規則輸入'!$J134)</x:f>
      </x:c>
      <x:c r="I147" s="583" t="str">
        <x:f>IF($A147="","",'醫師模式規則輸入'!$K134)</x:f>
      </x:c>
      <x:c r="J147" s="579" t="str">
        <x:f>IF($A147="","",'醫師模式規則輸入'!$A134)</x:f>
      </x:c>
      <x:c r="K147" s="579" t="str">
        <x:f>IF($A147="","",'醫師模式規則輸入'!$Q134)</x:f>
      </x:c>
      <x:c r="L147" s="579" t="str">
        <x:f>IF($A147="","",COUNTIFS('模式能力要求輸入'!$B$7:$B$306,$A147))</x:f>
      </x:c>
      <x:c r="M147" s="579" t="str">
        <x:f>IF($A147="","",COUNTIFS('模式能力要求輸入'!$B$7:$B$306,$A147,'模式能力要求輸入'!$R$7:$R$306,"可發布"))</x:f>
      </x:c>
      <x:c r="N147" s="579" t="str">
        <x:f>IF($A147="","",COUNTIFS('模式能力要求輸入'!$B$7:$B$306,$A147,'模式能力要求輸入'!$E$7:$E$306,"主跟診",'模式能力要求輸入'!$F$7:$F$306,"必備",'模式能力要求輸入'!$R$7:$R$306,"可發布"))</x:f>
      </x:c>
      <x:c r="O147" s="579" t="str">
        <x:f>IF($A147="","",'醫師模式規則輸入'!$T134)</x:f>
      </x:c>
      <x:c r="P147" s="579" t="str">
        <x:f>IF($A147="","",IF(COUNTIFS($A$7:$A$169,$A147)&gt;1,"模式代碼重複",IF('醫師模式規則輸入'!$U134="可匯入模式清單","可進入排班建檔",'醫師模式規則輸入'!$U134)))</x:f>
      </x:c>
      <x:c r="Q147" s="579" t="str">
        <x:f>IF(OR($P147="可進入排班建檔",$P147="可供試行排班"),$A147,"")</x:f>
      </x:c>
    </x:row>
    <x:row r="148">
      <x:c r="A148" s="579" t="str">
        <x:f>IF('醫師模式規則輸入'!$D135="","",'醫師模式規則輸入'!$D135)</x:f>
      </x:c>
      <x:c r="B148" s="579" t="str">
        <x:f>IF($A148="","",'醫師模式規則輸入'!$B135)</x:f>
      </x:c>
      <x:c r="C148" s="579" t="str">
        <x:f>IF($A148="","",'醫師模式規則輸入'!$E135)</x:f>
      </x:c>
      <x:c r="D148" s="579" t="str">
        <x:f>IF($A148="","",'醫師模式規則輸入'!$F135)</x:f>
      </x:c>
      <x:c r="E148" s="579" t="str">
        <x:f>IF($A148="","",'醫師模式規則輸入'!$G135)</x:f>
      </x:c>
      <x:c r="F148" s="583" t="str">
        <x:f>IF($A148="","",'醫師模式規則輸入'!$H135)</x:f>
      </x:c>
      <x:c r="G148" s="583" t="str">
        <x:f>IF($A148="","",'醫師模式規則輸入'!$I135)</x:f>
      </x:c>
      <x:c r="H148" s="583" t="str">
        <x:f>IF($A148="","",'醫師模式規則輸入'!$J135)</x:f>
      </x:c>
      <x:c r="I148" s="583" t="str">
        <x:f>IF($A148="","",'醫師模式規則輸入'!$K135)</x:f>
      </x:c>
      <x:c r="J148" s="579" t="str">
        <x:f>IF($A148="","",'醫師模式規則輸入'!$A135)</x:f>
      </x:c>
      <x:c r="K148" s="579" t="str">
        <x:f>IF($A148="","",'醫師模式規則輸入'!$Q135)</x:f>
      </x:c>
      <x:c r="L148" s="579" t="str">
        <x:f>IF($A148="","",COUNTIFS('模式能力要求輸入'!$B$7:$B$306,$A148))</x:f>
      </x:c>
      <x:c r="M148" s="579" t="str">
        <x:f>IF($A148="","",COUNTIFS('模式能力要求輸入'!$B$7:$B$306,$A148,'模式能力要求輸入'!$R$7:$R$306,"可發布"))</x:f>
      </x:c>
      <x:c r="N148" s="579" t="str">
        <x:f>IF($A148="","",COUNTIFS('模式能力要求輸入'!$B$7:$B$306,$A148,'模式能力要求輸入'!$E$7:$E$306,"主跟診",'模式能力要求輸入'!$F$7:$F$306,"必備",'模式能力要求輸入'!$R$7:$R$306,"可發布"))</x:f>
      </x:c>
      <x:c r="O148" s="579" t="str">
        <x:f>IF($A148="","",'醫師模式規則輸入'!$T135)</x:f>
      </x:c>
      <x:c r="P148" s="579" t="str">
        <x:f>IF($A148="","",IF(COUNTIFS($A$7:$A$169,$A148)&gt;1,"模式代碼重複",IF('醫師模式規則輸入'!$U135="可匯入模式清單","可進入排班建檔",'醫師模式規則輸入'!$U135)))</x:f>
      </x:c>
      <x:c r="Q148" s="579" t="str">
        <x:f>IF(OR($P148="可進入排班建檔",$P148="可供試行排班"),$A148,"")</x:f>
      </x:c>
    </x:row>
    <x:row r="149">
      <x:c r="A149" s="579" t="str">
        <x:f>IF('醫師模式規則輸入'!$D136="","",'醫師模式規則輸入'!$D136)</x:f>
      </x:c>
      <x:c r="B149" s="579" t="str">
        <x:f>IF($A149="","",'醫師模式規則輸入'!$B136)</x:f>
      </x:c>
      <x:c r="C149" s="579" t="str">
        <x:f>IF($A149="","",'醫師模式規則輸入'!$E136)</x:f>
      </x:c>
      <x:c r="D149" s="579" t="str">
        <x:f>IF($A149="","",'醫師模式規則輸入'!$F136)</x:f>
      </x:c>
      <x:c r="E149" s="579" t="str">
        <x:f>IF($A149="","",'醫師模式規則輸入'!$G136)</x:f>
      </x:c>
      <x:c r="F149" s="583" t="str">
        <x:f>IF($A149="","",'醫師模式規則輸入'!$H136)</x:f>
      </x:c>
      <x:c r="G149" s="583" t="str">
        <x:f>IF($A149="","",'醫師模式規則輸入'!$I136)</x:f>
      </x:c>
      <x:c r="H149" s="583" t="str">
        <x:f>IF($A149="","",'醫師模式規則輸入'!$J136)</x:f>
      </x:c>
      <x:c r="I149" s="583" t="str">
        <x:f>IF($A149="","",'醫師模式規則輸入'!$K136)</x:f>
      </x:c>
      <x:c r="J149" s="579" t="str">
        <x:f>IF($A149="","",'醫師模式規則輸入'!$A136)</x:f>
      </x:c>
      <x:c r="K149" s="579" t="str">
        <x:f>IF($A149="","",'醫師模式規則輸入'!$Q136)</x:f>
      </x:c>
      <x:c r="L149" s="579" t="str">
        <x:f>IF($A149="","",COUNTIFS('模式能力要求輸入'!$B$7:$B$306,$A149))</x:f>
      </x:c>
      <x:c r="M149" s="579" t="str">
        <x:f>IF($A149="","",COUNTIFS('模式能力要求輸入'!$B$7:$B$306,$A149,'模式能力要求輸入'!$R$7:$R$306,"可發布"))</x:f>
      </x:c>
      <x:c r="N149" s="579" t="str">
        <x:f>IF($A149="","",COUNTIFS('模式能力要求輸入'!$B$7:$B$306,$A149,'模式能力要求輸入'!$E$7:$E$306,"主跟診",'模式能力要求輸入'!$F$7:$F$306,"必備",'模式能力要求輸入'!$R$7:$R$306,"可發布"))</x:f>
      </x:c>
      <x:c r="O149" s="579" t="str">
        <x:f>IF($A149="","",'醫師模式規則輸入'!$T136)</x:f>
      </x:c>
      <x:c r="P149" s="579" t="str">
        <x:f>IF($A149="","",IF(COUNTIFS($A$7:$A$169,$A149)&gt;1,"模式代碼重複",IF('醫師模式規則輸入'!$U136="可匯入模式清單","可進入排班建檔",'醫師模式規則輸入'!$U136)))</x:f>
      </x:c>
      <x:c r="Q149" s="579" t="str">
        <x:f>IF(OR($P149="可進入排班建檔",$P149="可供試行排班"),$A149,"")</x:f>
      </x:c>
    </x:row>
    <x:row r="150">
      <x:c r="A150" s="579" t="str">
        <x:f>IF('醫師模式規則輸入'!$D137="","",'醫師模式規則輸入'!$D137)</x:f>
      </x:c>
      <x:c r="B150" s="579" t="str">
        <x:f>IF($A150="","",'醫師模式規則輸入'!$B137)</x:f>
      </x:c>
      <x:c r="C150" s="579" t="str">
        <x:f>IF($A150="","",'醫師模式規則輸入'!$E137)</x:f>
      </x:c>
      <x:c r="D150" s="579" t="str">
        <x:f>IF($A150="","",'醫師模式規則輸入'!$F137)</x:f>
      </x:c>
      <x:c r="E150" s="579" t="str">
        <x:f>IF($A150="","",'醫師模式規則輸入'!$G137)</x:f>
      </x:c>
      <x:c r="F150" s="583" t="str">
        <x:f>IF($A150="","",'醫師模式規則輸入'!$H137)</x:f>
      </x:c>
      <x:c r="G150" s="583" t="str">
        <x:f>IF($A150="","",'醫師模式規則輸入'!$I137)</x:f>
      </x:c>
      <x:c r="H150" s="583" t="str">
        <x:f>IF($A150="","",'醫師模式規則輸入'!$J137)</x:f>
      </x:c>
      <x:c r="I150" s="583" t="str">
        <x:f>IF($A150="","",'醫師模式規則輸入'!$K137)</x:f>
      </x:c>
      <x:c r="J150" s="579" t="str">
        <x:f>IF($A150="","",'醫師模式規則輸入'!$A137)</x:f>
      </x:c>
      <x:c r="K150" s="579" t="str">
        <x:f>IF($A150="","",'醫師模式規則輸入'!$Q137)</x:f>
      </x:c>
      <x:c r="L150" s="579" t="str">
        <x:f>IF($A150="","",COUNTIFS('模式能力要求輸入'!$B$7:$B$306,$A150))</x:f>
      </x:c>
      <x:c r="M150" s="579" t="str">
        <x:f>IF($A150="","",COUNTIFS('模式能力要求輸入'!$B$7:$B$306,$A150,'模式能力要求輸入'!$R$7:$R$306,"可發布"))</x:f>
      </x:c>
      <x:c r="N150" s="579" t="str">
        <x:f>IF($A150="","",COUNTIFS('模式能力要求輸入'!$B$7:$B$306,$A150,'模式能力要求輸入'!$E$7:$E$306,"主跟診",'模式能力要求輸入'!$F$7:$F$306,"必備",'模式能力要求輸入'!$R$7:$R$306,"可發布"))</x:f>
      </x:c>
      <x:c r="O150" s="579" t="str">
        <x:f>IF($A150="","",'醫師模式規則輸入'!$T137)</x:f>
      </x:c>
      <x:c r="P150" s="579" t="str">
        <x:f>IF($A150="","",IF(COUNTIFS($A$7:$A$169,$A150)&gt;1,"模式代碼重複",IF('醫師模式規則輸入'!$U137="可匯入模式清單","可進入排班建檔",'醫師模式規則輸入'!$U137)))</x:f>
      </x:c>
      <x:c r="Q150" s="579" t="str">
        <x:f>IF(OR($P150="可進入排班建檔",$P150="可供試行排班"),$A150,"")</x:f>
      </x:c>
    </x:row>
    <x:row r="151">
      <x:c r="A151" s="579" t="str">
        <x:f>IF('醫師模式規則輸入'!$D138="","",'醫師模式規則輸入'!$D138)</x:f>
      </x:c>
      <x:c r="B151" s="579" t="str">
        <x:f>IF($A151="","",'醫師模式規則輸入'!$B138)</x:f>
      </x:c>
      <x:c r="C151" s="579" t="str">
        <x:f>IF($A151="","",'醫師模式規則輸入'!$E138)</x:f>
      </x:c>
      <x:c r="D151" s="579" t="str">
        <x:f>IF($A151="","",'醫師模式規則輸入'!$F138)</x:f>
      </x:c>
      <x:c r="E151" s="579" t="str">
        <x:f>IF($A151="","",'醫師模式規則輸入'!$G138)</x:f>
      </x:c>
      <x:c r="F151" s="583" t="str">
        <x:f>IF($A151="","",'醫師模式規則輸入'!$H138)</x:f>
      </x:c>
      <x:c r="G151" s="583" t="str">
        <x:f>IF($A151="","",'醫師模式規則輸入'!$I138)</x:f>
      </x:c>
      <x:c r="H151" s="583" t="str">
        <x:f>IF($A151="","",'醫師模式規則輸入'!$J138)</x:f>
      </x:c>
      <x:c r="I151" s="583" t="str">
        <x:f>IF($A151="","",'醫師模式規則輸入'!$K138)</x:f>
      </x:c>
      <x:c r="J151" s="579" t="str">
        <x:f>IF($A151="","",'醫師模式規則輸入'!$A138)</x:f>
      </x:c>
      <x:c r="K151" s="579" t="str">
        <x:f>IF($A151="","",'醫師模式規則輸入'!$Q138)</x:f>
      </x:c>
      <x:c r="L151" s="579" t="str">
        <x:f>IF($A151="","",COUNTIFS('模式能力要求輸入'!$B$7:$B$306,$A151))</x:f>
      </x:c>
      <x:c r="M151" s="579" t="str">
        <x:f>IF($A151="","",COUNTIFS('模式能力要求輸入'!$B$7:$B$306,$A151,'模式能力要求輸入'!$R$7:$R$306,"可發布"))</x:f>
      </x:c>
      <x:c r="N151" s="579" t="str">
        <x:f>IF($A151="","",COUNTIFS('模式能力要求輸入'!$B$7:$B$306,$A151,'模式能力要求輸入'!$E$7:$E$306,"主跟診",'模式能力要求輸入'!$F$7:$F$306,"必備",'模式能力要求輸入'!$R$7:$R$306,"可發布"))</x:f>
      </x:c>
      <x:c r="O151" s="579" t="str">
        <x:f>IF($A151="","",'醫師模式規則輸入'!$T138)</x:f>
      </x:c>
      <x:c r="P151" s="579" t="str">
        <x:f>IF($A151="","",IF(COUNTIFS($A$7:$A$169,$A151)&gt;1,"模式代碼重複",IF('醫師模式規則輸入'!$U138="可匯入模式清單","可進入排班建檔",'醫師模式規則輸入'!$U138)))</x:f>
      </x:c>
      <x:c r="Q151" s="579" t="str">
        <x:f>IF(OR($P151="可進入排班建檔",$P151="可供試行排班"),$A151,"")</x:f>
      </x:c>
    </x:row>
    <x:row r="152">
      <x:c r="A152" s="579" t="str">
        <x:f>IF('醫師模式規則輸入'!$D139="","",'醫師模式規則輸入'!$D139)</x:f>
      </x:c>
      <x:c r="B152" s="579" t="str">
        <x:f>IF($A152="","",'醫師模式規則輸入'!$B139)</x:f>
      </x:c>
      <x:c r="C152" s="579" t="str">
        <x:f>IF($A152="","",'醫師模式規則輸入'!$E139)</x:f>
      </x:c>
      <x:c r="D152" s="579" t="str">
        <x:f>IF($A152="","",'醫師模式規則輸入'!$F139)</x:f>
      </x:c>
      <x:c r="E152" s="579" t="str">
        <x:f>IF($A152="","",'醫師模式規則輸入'!$G139)</x:f>
      </x:c>
      <x:c r="F152" s="583" t="str">
        <x:f>IF($A152="","",'醫師模式規則輸入'!$H139)</x:f>
      </x:c>
      <x:c r="G152" s="583" t="str">
        <x:f>IF($A152="","",'醫師模式規則輸入'!$I139)</x:f>
      </x:c>
      <x:c r="H152" s="583" t="str">
        <x:f>IF($A152="","",'醫師模式規則輸入'!$J139)</x:f>
      </x:c>
      <x:c r="I152" s="583" t="str">
        <x:f>IF($A152="","",'醫師模式規則輸入'!$K139)</x:f>
      </x:c>
      <x:c r="J152" s="579" t="str">
        <x:f>IF($A152="","",'醫師模式規則輸入'!$A139)</x:f>
      </x:c>
      <x:c r="K152" s="579" t="str">
        <x:f>IF($A152="","",'醫師模式規則輸入'!$Q139)</x:f>
      </x:c>
      <x:c r="L152" s="579" t="str">
        <x:f>IF($A152="","",COUNTIFS('模式能力要求輸入'!$B$7:$B$306,$A152))</x:f>
      </x:c>
      <x:c r="M152" s="579" t="str">
        <x:f>IF($A152="","",COUNTIFS('模式能力要求輸入'!$B$7:$B$306,$A152,'模式能力要求輸入'!$R$7:$R$306,"可發布"))</x:f>
      </x:c>
      <x:c r="N152" s="579" t="str">
        <x:f>IF($A152="","",COUNTIFS('模式能力要求輸入'!$B$7:$B$306,$A152,'模式能力要求輸入'!$E$7:$E$306,"主跟診",'模式能力要求輸入'!$F$7:$F$306,"必備",'模式能力要求輸入'!$R$7:$R$306,"可發布"))</x:f>
      </x:c>
      <x:c r="O152" s="579" t="str">
        <x:f>IF($A152="","",'醫師模式規則輸入'!$T139)</x:f>
      </x:c>
      <x:c r="P152" s="579" t="str">
        <x:f>IF($A152="","",IF(COUNTIFS($A$7:$A$169,$A152)&gt;1,"模式代碼重複",IF('醫師模式規則輸入'!$U139="可匯入模式清單","可進入排班建檔",'醫師模式規則輸入'!$U139)))</x:f>
      </x:c>
      <x:c r="Q152" s="579" t="str">
        <x:f>IF(OR($P152="可進入排班建檔",$P152="可供試行排班"),$A152,"")</x:f>
      </x:c>
    </x:row>
    <x:row r="153">
      <x:c r="A153" s="579" t="str">
        <x:f>IF('醫師模式規則輸入'!$D140="","",'醫師模式規則輸入'!$D140)</x:f>
      </x:c>
      <x:c r="B153" s="579" t="str">
        <x:f>IF($A153="","",'醫師模式規則輸入'!$B140)</x:f>
      </x:c>
      <x:c r="C153" s="579" t="str">
        <x:f>IF($A153="","",'醫師模式規則輸入'!$E140)</x:f>
      </x:c>
      <x:c r="D153" s="579" t="str">
        <x:f>IF($A153="","",'醫師模式規則輸入'!$F140)</x:f>
      </x:c>
      <x:c r="E153" s="579" t="str">
        <x:f>IF($A153="","",'醫師模式規則輸入'!$G140)</x:f>
      </x:c>
      <x:c r="F153" s="583" t="str">
        <x:f>IF($A153="","",'醫師模式規則輸入'!$H140)</x:f>
      </x:c>
      <x:c r="G153" s="583" t="str">
        <x:f>IF($A153="","",'醫師模式規則輸入'!$I140)</x:f>
      </x:c>
      <x:c r="H153" s="583" t="str">
        <x:f>IF($A153="","",'醫師模式規則輸入'!$J140)</x:f>
      </x:c>
      <x:c r="I153" s="583" t="str">
        <x:f>IF($A153="","",'醫師模式規則輸入'!$K140)</x:f>
      </x:c>
      <x:c r="J153" s="579" t="str">
        <x:f>IF($A153="","",'醫師模式規則輸入'!$A140)</x:f>
      </x:c>
      <x:c r="K153" s="579" t="str">
        <x:f>IF($A153="","",'醫師模式規則輸入'!$Q140)</x:f>
      </x:c>
      <x:c r="L153" s="579" t="str">
        <x:f>IF($A153="","",COUNTIFS('模式能力要求輸入'!$B$7:$B$306,$A153))</x:f>
      </x:c>
      <x:c r="M153" s="579" t="str">
        <x:f>IF($A153="","",COUNTIFS('模式能力要求輸入'!$B$7:$B$306,$A153,'模式能力要求輸入'!$R$7:$R$306,"可發布"))</x:f>
      </x:c>
      <x:c r="N153" s="579" t="str">
        <x:f>IF($A153="","",COUNTIFS('模式能力要求輸入'!$B$7:$B$306,$A153,'模式能力要求輸入'!$E$7:$E$306,"主跟診",'模式能力要求輸入'!$F$7:$F$306,"必備",'模式能力要求輸入'!$R$7:$R$306,"可發布"))</x:f>
      </x:c>
      <x:c r="O153" s="579" t="str">
        <x:f>IF($A153="","",'醫師模式規則輸入'!$T140)</x:f>
      </x:c>
      <x:c r="P153" s="579" t="str">
        <x:f>IF($A153="","",IF(COUNTIFS($A$7:$A$169,$A153)&gt;1,"模式代碼重複",IF('醫師模式規則輸入'!$U140="可匯入模式清單","可進入排班建檔",'醫師模式規則輸入'!$U140)))</x:f>
      </x:c>
      <x:c r="Q153" s="579" t="str">
        <x:f>IF(OR($P153="可進入排班建檔",$P153="可供試行排班"),$A153,"")</x:f>
      </x:c>
    </x:row>
    <x:row r="154">
      <x:c r="A154" s="579" t="str">
        <x:f>IF('醫師模式規則輸入'!$D141="","",'醫師模式規則輸入'!$D141)</x:f>
      </x:c>
      <x:c r="B154" s="579" t="str">
        <x:f>IF($A154="","",'醫師模式規則輸入'!$B141)</x:f>
      </x:c>
      <x:c r="C154" s="579" t="str">
        <x:f>IF($A154="","",'醫師模式規則輸入'!$E141)</x:f>
      </x:c>
      <x:c r="D154" s="579" t="str">
        <x:f>IF($A154="","",'醫師模式規則輸入'!$F141)</x:f>
      </x:c>
      <x:c r="E154" s="579" t="str">
        <x:f>IF($A154="","",'醫師模式規則輸入'!$G141)</x:f>
      </x:c>
      <x:c r="F154" s="583" t="str">
        <x:f>IF($A154="","",'醫師模式規則輸入'!$H141)</x:f>
      </x:c>
      <x:c r="G154" s="583" t="str">
        <x:f>IF($A154="","",'醫師模式規則輸入'!$I141)</x:f>
      </x:c>
      <x:c r="H154" s="583" t="str">
        <x:f>IF($A154="","",'醫師模式規則輸入'!$J141)</x:f>
      </x:c>
      <x:c r="I154" s="583" t="str">
        <x:f>IF($A154="","",'醫師模式規則輸入'!$K141)</x:f>
      </x:c>
      <x:c r="J154" s="579" t="str">
        <x:f>IF($A154="","",'醫師模式規則輸入'!$A141)</x:f>
      </x:c>
      <x:c r="K154" s="579" t="str">
        <x:f>IF($A154="","",'醫師模式規則輸入'!$Q141)</x:f>
      </x:c>
      <x:c r="L154" s="579" t="str">
        <x:f>IF($A154="","",COUNTIFS('模式能力要求輸入'!$B$7:$B$306,$A154))</x:f>
      </x:c>
      <x:c r="M154" s="579" t="str">
        <x:f>IF($A154="","",COUNTIFS('模式能力要求輸入'!$B$7:$B$306,$A154,'模式能力要求輸入'!$R$7:$R$306,"可發布"))</x:f>
      </x:c>
      <x:c r="N154" s="579" t="str">
        <x:f>IF($A154="","",COUNTIFS('模式能力要求輸入'!$B$7:$B$306,$A154,'模式能力要求輸入'!$E$7:$E$306,"主跟診",'模式能力要求輸入'!$F$7:$F$306,"必備",'模式能力要求輸入'!$R$7:$R$306,"可發布"))</x:f>
      </x:c>
      <x:c r="O154" s="579" t="str">
        <x:f>IF($A154="","",'醫師模式規則輸入'!$T141)</x:f>
      </x:c>
      <x:c r="P154" s="579" t="str">
        <x:f>IF($A154="","",IF(COUNTIFS($A$7:$A$169,$A154)&gt;1,"模式代碼重複",IF('醫師模式規則輸入'!$U141="可匯入模式清單","可進入排班建檔",'醫師模式規則輸入'!$U141)))</x:f>
      </x:c>
      <x:c r="Q154" s="579" t="str">
        <x:f>IF(OR($P154="可進入排班建檔",$P154="可供試行排班"),$A154,"")</x:f>
      </x:c>
    </x:row>
    <x:row r="155">
      <x:c r="A155" s="579" t="str">
        <x:f>IF('醫師模式規則輸入'!$D142="","",'醫師模式規則輸入'!$D142)</x:f>
      </x:c>
      <x:c r="B155" s="579" t="str">
        <x:f>IF($A155="","",'醫師模式規則輸入'!$B142)</x:f>
      </x:c>
      <x:c r="C155" s="579" t="str">
        <x:f>IF($A155="","",'醫師模式規則輸入'!$E142)</x:f>
      </x:c>
      <x:c r="D155" s="579" t="str">
        <x:f>IF($A155="","",'醫師模式規則輸入'!$F142)</x:f>
      </x:c>
      <x:c r="E155" s="579" t="str">
        <x:f>IF($A155="","",'醫師模式規則輸入'!$G142)</x:f>
      </x:c>
      <x:c r="F155" s="583" t="str">
        <x:f>IF($A155="","",'醫師模式規則輸入'!$H142)</x:f>
      </x:c>
      <x:c r="G155" s="583" t="str">
        <x:f>IF($A155="","",'醫師模式規則輸入'!$I142)</x:f>
      </x:c>
      <x:c r="H155" s="583" t="str">
        <x:f>IF($A155="","",'醫師模式規則輸入'!$J142)</x:f>
      </x:c>
      <x:c r="I155" s="583" t="str">
        <x:f>IF($A155="","",'醫師模式規則輸入'!$K142)</x:f>
      </x:c>
      <x:c r="J155" s="579" t="str">
        <x:f>IF($A155="","",'醫師模式規則輸入'!$A142)</x:f>
      </x:c>
      <x:c r="K155" s="579" t="str">
        <x:f>IF($A155="","",'醫師模式規則輸入'!$Q142)</x:f>
      </x:c>
      <x:c r="L155" s="579" t="str">
        <x:f>IF($A155="","",COUNTIFS('模式能力要求輸入'!$B$7:$B$306,$A155))</x:f>
      </x:c>
      <x:c r="M155" s="579" t="str">
        <x:f>IF($A155="","",COUNTIFS('模式能力要求輸入'!$B$7:$B$306,$A155,'模式能力要求輸入'!$R$7:$R$306,"可發布"))</x:f>
      </x:c>
      <x:c r="N155" s="579" t="str">
        <x:f>IF($A155="","",COUNTIFS('模式能力要求輸入'!$B$7:$B$306,$A155,'模式能力要求輸入'!$E$7:$E$306,"主跟診",'模式能力要求輸入'!$F$7:$F$306,"必備",'模式能力要求輸入'!$R$7:$R$306,"可發布"))</x:f>
      </x:c>
      <x:c r="O155" s="579" t="str">
        <x:f>IF($A155="","",'醫師模式規則輸入'!$T142)</x:f>
      </x:c>
      <x:c r="P155" s="579" t="str">
        <x:f>IF($A155="","",IF(COUNTIFS($A$7:$A$169,$A155)&gt;1,"模式代碼重複",IF('醫師模式規則輸入'!$U142="可匯入模式清單","可進入排班建檔",'醫師模式規則輸入'!$U142)))</x:f>
      </x:c>
      <x:c r="Q155" s="579" t="str">
        <x:f>IF(OR($P155="可進入排班建檔",$P155="可供試行排班"),$A155,"")</x:f>
      </x:c>
    </x:row>
    <x:row r="156">
      <x:c r="A156" s="579" t="str">
        <x:f>IF('醫師模式規則輸入'!$D143="","",'醫師模式規則輸入'!$D143)</x:f>
      </x:c>
      <x:c r="B156" s="579" t="str">
        <x:f>IF($A156="","",'醫師模式規則輸入'!$B143)</x:f>
      </x:c>
      <x:c r="C156" s="579" t="str">
        <x:f>IF($A156="","",'醫師模式規則輸入'!$E143)</x:f>
      </x:c>
      <x:c r="D156" s="579" t="str">
        <x:f>IF($A156="","",'醫師模式規則輸入'!$F143)</x:f>
      </x:c>
      <x:c r="E156" s="579" t="str">
        <x:f>IF($A156="","",'醫師模式規則輸入'!$G143)</x:f>
      </x:c>
      <x:c r="F156" s="583" t="str">
        <x:f>IF($A156="","",'醫師模式規則輸入'!$H143)</x:f>
      </x:c>
      <x:c r="G156" s="583" t="str">
        <x:f>IF($A156="","",'醫師模式規則輸入'!$I143)</x:f>
      </x:c>
      <x:c r="H156" s="583" t="str">
        <x:f>IF($A156="","",'醫師模式規則輸入'!$J143)</x:f>
      </x:c>
      <x:c r="I156" s="583" t="str">
        <x:f>IF($A156="","",'醫師模式規則輸入'!$K143)</x:f>
      </x:c>
      <x:c r="J156" s="579" t="str">
        <x:f>IF($A156="","",'醫師模式規則輸入'!$A143)</x:f>
      </x:c>
      <x:c r="K156" s="579" t="str">
        <x:f>IF($A156="","",'醫師模式規則輸入'!$Q143)</x:f>
      </x:c>
      <x:c r="L156" s="579" t="str">
        <x:f>IF($A156="","",COUNTIFS('模式能力要求輸入'!$B$7:$B$306,$A156))</x:f>
      </x:c>
      <x:c r="M156" s="579" t="str">
        <x:f>IF($A156="","",COUNTIFS('模式能力要求輸入'!$B$7:$B$306,$A156,'模式能力要求輸入'!$R$7:$R$306,"可發布"))</x:f>
      </x:c>
      <x:c r="N156" s="579" t="str">
        <x:f>IF($A156="","",COUNTIFS('模式能力要求輸入'!$B$7:$B$306,$A156,'模式能力要求輸入'!$E$7:$E$306,"主跟診",'模式能力要求輸入'!$F$7:$F$306,"必備",'模式能力要求輸入'!$R$7:$R$306,"可發布"))</x:f>
      </x:c>
      <x:c r="O156" s="579" t="str">
        <x:f>IF($A156="","",'醫師模式規則輸入'!$T143)</x:f>
      </x:c>
      <x:c r="P156" s="579" t="str">
        <x:f>IF($A156="","",IF(COUNTIFS($A$7:$A$169,$A156)&gt;1,"模式代碼重複",IF('醫師模式規則輸入'!$U143="可匯入模式清單","可進入排班建檔",'醫師模式規則輸入'!$U143)))</x:f>
      </x:c>
      <x:c r="Q156" s="579" t="str">
        <x:f>IF(OR($P156="可進入排班建檔",$P156="可供試行排班"),$A156,"")</x:f>
      </x:c>
    </x:row>
    <x:row r="157">
      <x:c r="A157" s="579" t="str">
        <x:f>IF('醫師模式規則輸入'!$D144="","",'醫師模式規則輸入'!$D144)</x:f>
      </x:c>
      <x:c r="B157" s="579" t="str">
        <x:f>IF($A157="","",'醫師模式規則輸入'!$B144)</x:f>
      </x:c>
      <x:c r="C157" s="579" t="str">
        <x:f>IF($A157="","",'醫師模式規則輸入'!$E144)</x:f>
      </x:c>
      <x:c r="D157" s="579" t="str">
        <x:f>IF($A157="","",'醫師模式規則輸入'!$F144)</x:f>
      </x:c>
      <x:c r="E157" s="579" t="str">
        <x:f>IF($A157="","",'醫師模式規則輸入'!$G144)</x:f>
      </x:c>
      <x:c r="F157" s="583" t="str">
        <x:f>IF($A157="","",'醫師模式規則輸入'!$H144)</x:f>
      </x:c>
      <x:c r="G157" s="583" t="str">
        <x:f>IF($A157="","",'醫師模式規則輸入'!$I144)</x:f>
      </x:c>
      <x:c r="H157" s="583" t="str">
        <x:f>IF($A157="","",'醫師模式規則輸入'!$J144)</x:f>
      </x:c>
      <x:c r="I157" s="583" t="str">
        <x:f>IF($A157="","",'醫師模式規則輸入'!$K144)</x:f>
      </x:c>
      <x:c r="J157" s="579" t="str">
        <x:f>IF($A157="","",'醫師模式規則輸入'!$A144)</x:f>
      </x:c>
      <x:c r="K157" s="579" t="str">
        <x:f>IF($A157="","",'醫師模式規則輸入'!$Q144)</x:f>
      </x:c>
      <x:c r="L157" s="579" t="str">
        <x:f>IF($A157="","",COUNTIFS('模式能力要求輸入'!$B$7:$B$306,$A157))</x:f>
      </x:c>
      <x:c r="M157" s="579" t="str">
        <x:f>IF($A157="","",COUNTIFS('模式能力要求輸入'!$B$7:$B$306,$A157,'模式能力要求輸入'!$R$7:$R$306,"可發布"))</x:f>
      </x:c>
      <x:c r="N157" s="579" t="str">
        <x:f>IF($A157="","",COUNTIFS('模式能力要求輸入'!$B$7:$B$306,$A157,'模式能力要求輸入'!$E$7:$E$306,"主跟診",'模式能力要求輸入'!$F$7:$F$306,"必備",'模式能力要求輸入'!$R$7:$R$306,"可發布"))</x:f>
      </x:c>
      <x:c r="O157" s="579" t="str">
        <x:f>IF($A157="","",'醫師模式規則輸入'!$T144)</x:f>
      </x:c>
      <x:c r="P157" s="579" t="str">
        <x:f>IF($A157="","",IF(COUNTIFS($A$7:$A$169,$A157)&gt;1,"模式代碼重複",IF('醫師模式規則輸入'!$U144="可匯入模式清單","可進入排班建檔",'醫師模式規則輸入'!$U144)))</x:f>
      </x:c>
      <x:c r="Q157" s="579" t="str">
        <x:f>IF(OR($P157="可進入排班建檔",$P157="可供試行排班"),$A157,"")</x:f>
      </x:c>
    </x:row>
    <x:row r="158">
      <x:c r="A158" s="579" t="str">
        <x:f>IF('醫師模式規則輸入'!$D145="","",'醫師模式規則輸入'!$D145)</x:f>
      </x:c>
      <x:c r="B158" s="579" t="str">
        <x:f>IF($A158="","",'醫師模式規則輸入'!$B145)</x:f>
      </x:c>
      <x:c r="C158" s="579" t="str">
        <x:f>IF($A158="","",'醫師模式規則輸入'!$E145)</x:f>
      </x:c>
      <x:c r="D158" s="579" t="str">
        <x:f>IF($A158="","",'醫師模式規則輸入'!$F145)</x:f>
      </x:c>
      <x:c r="E158" s="579" t="str">
        <x:f>IF($A158="","",'醫師模式規則輸入'!$G145)</x:f>
      </x:c>
      <x:c r="F158" s="583" t="str">
        <x:f>IF($A158="","",'醫師模式規則輸入'!$H145)</x:f>
      </x:c>
      <x:c r="G158" s="583" t="str">
        <x:f>IF($A158="","",'醫師模式規則輸入'!$I145)</x:f>
      </x:c>
      <x:c r="H158" s="583" t="str">
        <x:f>IF($A158="","",'醫師模式規則輸入'!$J145)</x:f>
      </x:c>
      <x:c r="I158" s="583" t="str">
        <x:f>IF($A158="","",'醫師模式規則輸入'!$K145)</x:f>
      </x:c>
      <x:c r="J158" s="579" t="str">
        <x:f>IF($A158="","",'醫師模式規則輸入'!$A145)</x:f>
      </x:c>
      <x:c r="K158" s="579" t="str">
        <x:f>IF($A158="","",'醫師模式規則輸入'!$Q145)</x:f>
      </x:c>
      <x:c r="L158" s="579" t="str">
        <x:f>IF($A158="","",COUNTIFS('模式能力要求輸入'!$B$7:$B$306,$A158))</x:f>
      </x:c>
      <x:c r="M158" s="579" t="str">
        <x:f>IF($A158="","",COUNTIFS('模式能力要求輸入'!$B$7:$B$306,$A158,'模式能力要求輸入'!$R$7:$R$306,"可發布"))</x:f>
      </x:c>
      <x:c r="N158" s="579" t="str">
        <x:f>IF($A158="","",COUNTIFS('模式能力要求輸入'!$B$7:$B$306,$A158,'模式能力要求輸入'!$E$7:$E$306,"主跟診",'模式能力要求輸入'!$F$7:$F$306,"必備",'模式能力要求輸入'!$R$7:$R$306,"可發布"))</x:f>
      </x:c>
      <x:c r="O158" s="579" t="str">
        <x:f>IF($A158="","",'醫師模式規則輸入'!$T145)</x:f>
      </x:c>
      <x:c r="P158" s="579" t="str">
        <x:f>IF($A158="","",IF(COUNTIFS($A$7:$A$169,$A158)&gt;1,"模式代碼重複",IF('醫師模式規則輸入'!$U145="可匯入模式清單","可進入排班建檔",'醫師模式規則輸入'!$U145)))</x:f>
      </x:c>
      <x:c r="Q158" s="579" t="str">
        <x:f>IF(OR($P158="可進入排班建檔",$P158="可供試行排班"),$A158,"")</x:f>
      </x:c>
    </x:row>
    <x:row r="159">
      <x:c r="A159" s="579" t="str">
        <x:f>IF('醫師模式規則輸入'!$D146="","",'醫師模式規則輸入'!$D146)</x:f>
      </x:c>
      <x:c r="B159" s="579" t="str">
        <x:f>IF($A159="","",'醫師模式規則輸入'!$B146)</x:f>
      </x:c>
      <x:c r="C159" s="579" t="str">
        <x:f>IF($A159="","",'醫師模式規則輸入'!$E146)</x:f>
      </x:c>
      <x:c r="D159" s="579" t="str">
        <x:f>IF($A159="","",'醫師模式規則輸入'!$F146)</x:f>
      </x:c>
      <x:c r="E159" s="579" t="str">
        <x:f>IF($A159="","",'醫師模式規則輸入'!$G146)</x:f>
      </x:c>
      <x:c r="F159" s="583" t="str">
        <x:f>IF($A159="","",'醫師模式規則輸入'!$H146)</x:f>
      </x:c>
      <x:c r="G159" s="583" t="str">
        <x:f>IF($A159="","",'醫師模式規則輸入'!$I146)</x:f>
      </x:c>
      <x:c r="H159" s="583" t="str">
        <x:f>IF($A159="","",'醫師模式規則輸入'!$J146)</x:f>
      </x:c>
      <x:c r="I159" s="583" t="str">
        <x:f>IF($A159="","",'醫師模式規則輸入'!$K146)</x:f>
      </x:c>
      <x:c r="J159" s="579" t="str">
        <x:f>IF($A159="","",'醫師模式規則輸入'!$A146)</x:f>
      </x:c>
      <x:c r="K159" s="579" t="str">
        <x:f>IF($A159="","",'醫師模式規則輸入'!$Q146)</x:f>
      </x:c>
      <x:c r="L159" s="579" t="str">
        <x:f>IF($A159="","",COUNTIFS('模式能力要求輸入'!$B$7:$B$306,$A159))</x:f>
      </x:c>
      <x:c r="M159" s="579" t="str">
        <x:f>IF($A159="","",COUNTIFS('模式能力要求輸入'!$B$7:$B$306,$A159,'模式能力要求輸入'!$R$7:$R$306,"可發布"))</x:f>
      </x:c>
      <x:c r="N159" s="579" t="str">
        <x:f>IF($A159="","",COUNTIFS('模式能力要求輸入'!$B$7:$B$306,$A159,'模式能力要求輸入'!$E$7:$E$306,"主跟診",'模式能力要求輸入'!$F$7:$F$306,"必備",'模式能力要求輸入'!$R$7:$R$306,"可發布"))</x:f>
      </x:c>
      <x:c r="O159" s="579" t="str">
        <x:f>IF($A159="","",'醫師模式規則輸入'!$T146)</x:f>
      </x:c>
      <x:c r="P159" s="579" t="str">
        <x:f>IF($A159="","",IF(COUNTIFS($A$7:$A$169,$A159)&gt;1,"模式代碼重複",IF('醫師模式規則輸入'!$U146="可匯入模式清單","可進入排班建檔",'醫師模式規則輸入'!$U146)))</x:f>
      </x:c>
      <x:c r="Q159" s="579" t="str">
        <x:f>IF(OR($P159="可進入排班建檔",$P159="可供試行排班"),$A159,"")</x:f>
      </x:c>
    </x:row>
    <x:row r="160">
      <x:c r="A160" s="579" t="str">
        <x:f>IF('醫師模式規則輸入'!$D147="","",'醫師模式規則輸入'!$D147)</x:f>
      </x:c>
      <x:c r="B160" s="579" t="str">
        <x:f>IF($A160="","",'醫師模式規則輸入'!$B147)</x:f>
      </x:c>
      <x:c r="C160" s="579" t="str">
        <x:f>IF($A160="","",'醫師模式規則輸入'!$E147)</x:f>
      </x:c>
      <x:c r="D160" s="579" t="str">
        <x:f>IF($A160="","",'醫師模式規則輸入'!$F147)</x:f>
      </x:c>
      <x:c r="E160" s="579" t="str">
        <x:f>IF($A160="","",'醫師模式規則輸入'!$G147)</x:f>
      </x:c>
      <x:c r="F160" s="583" t="str">
        <x:f>IF($A160="","",'醫師模式規則輸入'!$H147)</x:f>
      </x:c>
      <x:c r="G160" s="583" t="str">
        <x:f>IF($A160="","",'醫師模式規則輸入'!$I147)</x:f>
      </x:c>
      <x:c r="H160" s="583" t="str">
        <x:f>IF($A160="","",'醫師模式規則輸入'!$J147)</x:f>
      </x:c>
      <x:c r="I160" s="583" t="str">
        <x:f>IF($A160="","",'醫師模式規則輸入'!$K147)</x:f>
      </x:c>
      <x:c r="J160" s="579" t="str">
        <x:f>IF($A160="","",'醫師模式規則輸入'!$A147)</x:f>
      </x:c>
      <x:c r="K160" s="579" t="str">
        <x:f>IF($A160="","",'醫師模式規則輸入'!$Q147)</x:f>
      </x:c>
      <x:c r="L160" s="579" t="str">
        <x:f>IF($A160="","",COUNTIFS('模式能力要求輸入'!$B$7:$B$306,$A160))</x:f>
      </x:c>
      <x:c r="M160" s="579" t="str">
        <x:f>IF($A160="","",COUNTIFS('模式能力要求輸入'!$B$7:$B$306,$A160,'模式能力要求輸入'!$R$7:$R$306,"可發布"))</x:f>
      </x:c>
      <x:c r="N160" s="579" t="str">
        <x:f>IF($A160="","",COUNTIFS('模式能力要求輸入'!$B$7:$B$306,$A160,'模式能力要求輸入'!$E$7:$E$306,"主跟診",'模式能力要求輸入'!$F$7:$F$306,"必備",'模式能力要求輸入'!$R$7:$R$306,"可發布"))</x:f>
      </x:c>
      <x:c r="O160" s="579" t="str">
        <x:f>IF($A160="","",'醫師模式規則輸入'!$T147)</x:f>
      </x:c>
      <x:c r="P160" s="579" t="str">
        <x:f>IF($A160="","",IF(COUNTIFS($A$7:$A$169,$A160)&gt;1,"模式代碼重複",IF('醫師模式規則輸入'!$U147="可匯入模式清單","可進入排班建檔",'醫師模式規則輸入'!$U147)))</x:f>
      </x:c>
      <x:c r="Q160" s="579" t="str">
        <x:f>IF(OR($P160="可進入排班建檔",$P160="可供試行排班"),$A160,"")</x:f>
      </x:c>
    </x:row>
    <x:row r="161">
      <x:c r="A161" s="579" t="str">
        <x:f>IF('醫師模式規則輸入'!$D148="","",'醫師模式規則輸入'!$D148)</x:f>
      </x:c>
      <x:c r="B161" s="579" t="str">
        <x:f>IF($A161="","",'醫師模式規則輸入'!$B148)</x:f>
      </x:c>
      <x:c r="C161" s="579" t="str">
        <x:f>IF($A161="","",'醫師模式規則輸入'!$E148)</x:f>
      </x:c>
      <x:c r="D161" s="579" t="str">
        <x:f>IF($A161="","",'醫師模式規則輸入'!$F148)</x:f>
      </x:c>
      <x:c r="E161" s="579" t="str">
        <x:f>IF($A161="","",'醫師模式規則輸入'!$G148)</x:f>
      </x:c>
      <x:c r="F161" s="583" t="str">
        <x:f>IF($A161="","",'醫師模式規則輸入'!$H148)</x:f>
      </x:c>
      <x:c r="G161" s="583" t="str">
        <x:f>IF($A161="","",'醫師模式規則輸入'!$I148)</x:f>
      </x:c>
      <x:c r="H161" s="583" t="str">
        <x:f>IF($A161="","",'醫師模式規則輸入'!$J148)</x:f>
      </x:c>
      <x:c r="I161" s="583" t="str">
        <x:f>IF($A161="","",'醫師模式規則輸入'!$K148)</x:f>
      </x:c>
      <x:c r="J161" s="579" t="str">
        <x:f>IF($A161="","",'醫師模式規則輸入'!$A148)</x:f>
      </x:c>
      <x:c r="K161" s="579" t="str">
        <x:f>IF($A161="","",'醫師模式規則輸入'!$Q148)</x:f>
      </x:c>
      <x:c r="L161" s="579" t="str">
        <x:f>IF($A161="","",COUNTIFS('模式能力要求輸入'!$B$7:$B$306,$A161))</x:f>
      </x:c>
      <x:c r="M161" s="579" t="str">
        <x:f>IF($A161="","",COUNTIFS('模式能力要求輸入'!$B$7:$B$306,$A161,'模式能力要求輸入'!$R$7:$R$306,"可發布"))</x:f>
      </x:c>
      <x:c r="N161" s="579" t="str">
        <x:f>IF($A161="","",COUNTIFS('模式能力要求輸入'!$B$7:$B$306,$A161,'模式能力要求輸入'!$E$7:$E$306,"主跟診",'模式能力要求輸入'!$F$7:$F$306,"必備",'模式能力要求輸入'!$R$7:$R$306,"可發布"))</x:f>
      </x:c>
      <x:c r="O161" s="579" t="str">
        <x:f>IF($A161="","",'醫師模式規則輸入'!$T148)</x:f>
      </x:c>
      <x:c r="P161" s="579" t="str">
        <x:f>IF($A161="","",IF(COUNTIFS($A$7:$A$169,$A161)&gt;1,"模式代碼重複",IF('醫師模式規則輸入'!$U148="可匯入模式清單","可進入排班建檔",'醫師模式規則輸入'!$U148)))</x:f>
      </x:c>
      <x:c r="Q161" s="579" t="str">
        <x:f>IF(OR($P161="可進入排班建檔",$P161="可供試行排班"),$A161,"")</x:f>
      </x:c>
    </x:row>
    <x:row r="162">
      <x:c r="A162" s="579" t="str">
        <x:f>IF('醫師模式規則輸入'!$D149="","",'醫師模式規則輸入'!$D149)</x:f>
      </x:c>
      <x:c r="B162" s="579" t="str">
        <x:f>IF($A162="","",'醫師模式規則輸入'!$B149)</x:f>
      </x:c>
      <x:c r="C162" s="579" t="str">
        <x:f>IF($A162="","",'醫師模式規則輸入'!$E149)</x:f>
      </x:c>
      <x:c r="D162" s="579" t="str">
        <x:f>IF($A162="","",'醫師模式規則輸入'!$F149)</x:f>
      </x:c>
      <x:c r="E162" s="579" t="str">
        <x:f>IF($A162="","",'醫師模式規則輸入'!$G149)</x:f>
      </x:c>
      <x:c r="F162" s="583" t="str">
        <x:f>IF($A162="","",'醫師模式規則輸入'!$H149)</x:f>
      </x:c>
      <x:c r="G162" s="583" t="str">
        <x:f>IF($A162="","",'醫師模式規則輸入'!$I149)</x:f>
      </x:c>
      <x:c r="H162" s="583" t="str">
        <x:f>IF($A162="","",'醫師模式規則輸入'!$J149)</x:f>
      </x:c>
      <x:c r="I162" s="583" t="str">
        <x:f>IF($A162="","",'醫師模式規則輸入'!$K149)</x:f>
      </x:c>
      <x:c r="J162" s="579" t="str">
        <x:f>IF($A162="","",'醫師模式規則輸入'!$A149)</x:f>
      </x:c>
      <x:c r="K162" s="579" t="str">
        <x:f>IF($A162="","",'醫師模式規則輸入'!$Q149)</x:f>
      </x:c>
      <x:c r="L162" s="579" t="str">
        <x:f>IF($A162="","",COUNTIFS('模式能力要求輸入'!$B$7:$B$306,$A162))</x:f>
      </x:c>
      <x:c r="M162" s="579" t="str">
        <x:f>IF($A162="","",COUNTIFS('模式能力要求輸入'!$B$7:$B$306,$A162,'模式能力要求輸入'!$R$7:$R$306,"可發布"))</x:f>
      </x:c>
      <x:c r="N162" s="579" t="str">
        <x:f>IF($A162="","",COUNTIFS('模式能力要求輸入'!$B$7:$B$306,$A162,'模式能力要求輸入'!$E$7:$E$306,"主跟診",'模式能力要求輸入'!$F$7:$F$306,"必備",'模式能力要求輸入'!$R$7:$R$306,"可發布"))</x:f>
      </x:c>
      <x:c r="O162" s="579" t="str">
        <x:f>IF($A162="","",'醫師模式規則輸入'!$T149)</x:f>
      </x:c>
      <x:c r="P162" s="579" t="str">
        <x:f>IF($A162="","",IF(COUNTIFS($A$7:$A$169,$A162)&gt;1,"模式代碼重複",IF('醫師模式規則輸入'!$U149="可匯入模式清單","可進入排班建檔",'醫師模式規則輸入'!$U149)))</x:f>
      </x:c>
      <x:c r="Q162" s="579" t="str">
        <x:f>IF(OR($P162="可進入排班建檔",$P162="可供試行排班"),$A162,"")</x:f>
      </x:c>
    </x:row>
    <x:row r="163">
      <x:c r="A163" s="579" t="str">
        <x:f>IF('醫師模式規則輸入'!$D150="","",'醫師模式規則輸入'!$D150)</x:f>
      </x:c>
      <x:c r="B163" s="579" t="str">
        <x:f>IF($A163="","",'醫師模式規則輸入'!$B150)</x:f>
      </x:c>
      <x:c r="C163" s="579" t="str">
        <x:f>IF($A163="","",'醫師模式規則輸入'!$E150)</x:f>
      </x:c>
      <x:c r="D163" s="579" t="str">
        <x:f>IF($A163="","",'醫師模式規則輸入'!$F150)</x:f>
      </x:c>
      <x:c r="E163" s="579" t="str">
        <x:f>IF($A163="","",'醫師模式規則輸入'!$G150)</x:f>
      </x:c>
      <x:c r="F163" s="583" t="str">
        <x:f>IF($A163="","",'醫師模式規則輸入'!$H150)</x:f>
      </x:c>
      <x:c r="G163" s="583" t="str">
        <x:f>IF($A163="","",'醫師模式規則輸入'!$I150)</x:f>
      </x:c>
      <x:c r="H163" s="583" t="str">
        <x:f>IF($A163="","",'醫師模式規則輸入'!$J150)</x:f>
      </x:c>
      <x:c r="I163" s="583" t="str">
        <x:f>IF($A163="","",'醫師模式規則輸入'!$K150)</x:f>
      </x:c>
      <x:c r="J163" s="579" t="str">
        <x:f>IF($A163="","",'醫師模式規則輸入'!$A150)</x:f>
      </x:c>
      <x:c r="K163" s="579" t="str">
        <x:f>IF($A163="","",'醫師模式規則輸入'!$Q150)</x:f>
      </x:c>
      <x:c r="L163" s="579" t="str">
        <x:f>IF($A163="","",COUNTIFS('模式能力要求輸入'!$B$7:$B$306,$A163))</x:f>
      </x:c>
      <x:c r="M163" s="579" t="str">
        <x:f>IF($A163="","",COUNTIFS('模式能力要求輸入'!$B$7:$B$306,$A163,'模式能力要求輸入'!$R$7:$R$306,"可發布"))</x:f>
      </x:c>
      <x:c r="N163" s="579" t="str">
        <x:f>IF($A163="","",COUNTIFS('模式能力要求輸入'!$B$7:$B$306,$A163,'模式能力要求輸入'!$E$7:$E$306,"主跟診",'模式能力要求輸入'!$F$7:$F$306,"必備",'模式能力要求輸入'!$R$7:$R$306,"可發布"))</x:f>
      </x:c>
      <x:c r="O163" s="579" t="str">
        <x:f>IF($A163="","",'醫師模式規則輸入'!$T150)</x:f>
      </x:c>
      <x:c r="P163" s="579" t="str">
        <x:f>IF($A163="","",IF(COUNTIFS($A$7:$A$169,$A163)&gt;1,"模式代碼重複",IF('醫師模式規則輸入'!$U150="可匯入模式清單","可進入排班建檔",'醫師模式規則輸入'!$U150)))</x:f>
      </x:c>
      <x:c r="Q163" s="579" t="str">
        <x:f>IF(OR($P163="可進入排班建檔",$P163="可供試行排班"),$A163,"")</x:f>
      </x:c>
    </x:row>
    <x:row r="164">
      <x:c r="A164" s="579" t="str">
        <x:f>IF('醫師模式規則輸入'!$D151="","",'醫師模式規則輸入'!$D151)</x:f>
      </x:c>
      <x:c r="B164" s="579" t="str">
        <x:f>IF($A164="","",'醫師模式規則輸入'!$B151)</x:f>
      </x:c>
      <x:c r="C164" s="579" t="str">
        <x:f>IF($A164="","",'醫師模式規則輸入'!$E151)</x:f>
      </x:c>
      <x:c r="D164" s="579" t="str">
        <x:f>IF($A164="","",'醫師模式規則輸入'!$F151)</x:f>
      </x:c>
      <x:c r="E164" s="579" t="str">
        <x:f>IF($A164="","",'醫師模式規則輸入'!$G151)</x:f>
      </x:c>
      <x:c r="F164" s="583" t="str">
        <x:f>IF($A164="","",'醫師模式規則輸入'!$H151)</x:f>
      </x:c>
      <x:c r="G164" s="583" t="str">
        <x:f>IF($A164="","",'醫師模式規則輸入'!$I151)</x:f>
      </x:c>
      <x:c r="H164" s="583" t="str">
        <x:f>IF($A164="","",'醫師模式規則輸入'!$J151)</x:f>
      </x:c>
      <x:c r="I164" s="583" t="str">
        <x:f>IF($A164="","",'醫師模式規則輸入'!$K151)</x:f>
      </x:c>
      <x:c r="J164" s="579" t="str">
        <x:f>IF($A164="","",'醫師模式規則輸入'!$A151)</x:f>
      </x:c>
      <x:c r="K164" s="579" t="str">
        <x:f>IF($A164="","",'醫師模式規則輸入'!$Q151)</x:f>
      </x:c>
      <x:c r="L164" s="579" t="str">
        <x:f>IF($A164="","",COUNTIFS('模式能力要求輸入'!$B$7:$B$306,$A164))</x:f>
      </x:c>
      <x:c r="M164" s="579" t="str">
        <x:f>IF($A164="","",COUNTIFS('模式能力要求輸入'!$B$7:$B$306,$A164,'模式能力要求輸入'!$R$7:$R$306,"可發布"))</x:f>
      </x:c>
      <x:c r="N164" s="579" t="str">
        <x:f>IF($A164="","",COUNTIFS('模式能力要求輸入'!$B$7:$B$306,$A164,'模式能力要求輸入'!$E$7:$E$306,"主跟診",'模式能力要求輸入'!$F$7:$F$306,"必備",'模式能力要求輸入'!$R$7:$R$306,"可發布"))</x:f>
      </x:c>
      <x:c r="O164" s="579" t="str">
        <x:f>IF($A164="","",'醫師模式規則輸入'!$T151)</x:f>
      </x:c>
      <x:c r="P164" s="579" t="str">
        <x:f>IF($A164="","",IF(COUNTIFS($A$7:$A$169,$A164)&gt;1,"模式代碼重複",IF('醫師模式規則輸入'!$U151="可匯入模式清單","可進入排班建檔",'醫師模式規則輸入'!$U151)))</x:f>
      </x:c>
      <x:c r="Q164" s="579" t="str">
        <x:f>IF(OR($P164="可進入排班建檔",$P164="可供試行排班"),$A164,"")</x:f>
      </x:c>
    </x:row>
    <x:row r="165">
      <x:c r="A165" s="579" t="str">
        <x:f>IF('醫師模式規則輸入'!$D152="","",'醫師模式規則輸入'!$D152)</x:f>
      </x:c>
      <x:c r="B165" s="579" t="str">
        <x:f>IF($A165="","",'醫師模式規則輸入'!$B152)</x:f>
      </x:c>
      <x:c r="C165" s="579" t="str">
        <x:f>IF($A165="","",'醫師模式規則輸入'!$E152)</x:f>
      </x:c>
      <x:c r="D165" s="579" t="str">
        <x:f>IF($A165="","",'醫師模式規則輸入'!$F152)</x:f>
      </x:c>
      <x:c r="E165" s="579" t="str">
        <x:f>IF($A165="","",'醫師模式規則輸入'!$G152)</x:f>
      </x:c>
      <x:c r="F165" s="583" t="str">
        <x:f>IF($A165="","",'醫師模式規則輸入'!$H152)</x:f>
      </x:c>
      <x:c r="G165" s="583" t="str">
        <x:f>IF($A165="","",'醫師模式規則輸入'!$I152)</x:f>
      </x:c>
      <x:c r="H165" s="583" t="str">
        <x:f>IF($A165="","",'醫師模式規則輸入'!$J152)</x:f>
      </x:c>
      <x:c r="I165" s="583" t="str">
        <x:f>IF($A165="","",'醫師模式規則輸入'!$K152)</x:f>
      </x:c>
      <x:c r="J165" s="579" t="str">
        <x:f>IF($A165="","",'醫師模式規則輸入'!$A152)</x:f>
      </x:c>
      <x:c r="K165" s="579" t="str">
        <x:f>IF($A165="","",'醫師模式規則輸入'!$Q152)</x:f>
      </x:c>
      <x:c r="L165" s="579" t="str">
        <x:f>IF($A165="","",COUNTIFS('模式能力要求輸入'!$B$7:$B$306,$A165))</x:f>
      </x:c>
      <x:c r="M165" s="579" t="str">
        <x:f>IF($A165="","",COUNTIFS('模式能力要求輸入'!$B$7:$B$306,$A165,'模式能力要求輸入'!$R$7:$R$306,"可發布"))</x:f>
      </x:c>
      <x:c r="N165" s="579" t="str">
        <x:f>IF($A165="","",COUNTIFS('模式能力要求輸入'!$B$7:$B$306,$A165,'模式能力要求輸入'!$E$7:$E$306,"主跟診",'模式能力要求輸入'!$F$7:$F$306,"必備",'模式能力要求輸入'!$R$7:$R$306,"可發布"))</x:f>
      </x:c>
      <x:c r="O165" s="579" t="str">
        <x:f>IF($A165="","",'醫師模式規則輸入'!$T152)</x:f>
      </x:c>
      <x:c r="P165" s="579" t="str">
        <x:f>IF($A165="","",IF(COUNTIFS($A$7:$A$169,$A165)&gt;1,"模式代碼重複",IF('醫師模式規則輸入'!$U152="可匯入模式清單","可進入排班建檔",'醫師模式規則輸入'!$U152)))</x:f>
      </x:c>
      <x:c r="Q165" s="579" t="str">
        <x:f>IF(OR($P165="可進入排班建檔",$P165="可供試行排班"),$A165,"")</x:f>
      </x:c>
    </x:row>
    <x:row r="166">
      <x:c r="A166" s="579" t="str">
        <x:f>IF('醫師模式規則輸入'!$D153="","",'醫師模式規則輸入'!$D153)</x:f>
      </x:c>
      <x:c r="B166" s="579" t="str">
        <x:f>IF($A166="","",'醫師模式規則輸入'!$B153)</x:f>
      </x:c>
      <x:c r="C166" s="579" t="str">
        <x:f>IF($A166="","",'醫師模式規則輸入'!$E153)</x:f>
      </x:c>
      <x:c r="D166" s="579" t="str">
        <x:f>IF($A166="","",'醫師模式規則輸入'!$F153)</x:f>
      </x:c>
      <x:c r="E166" s="579" t="str">
        <x:f>IF($A166="","",'醫師模式規則輸入'!$G153)</x:f>
      </x:c>
      <x:c r="F166" s="583" t="str">
        <x:f>IF($A166="","",'醫師模式規則輸入'!$H153)</x:f>
      </x:c>
      <x:c r="G166" s="583" t="str">
        <x:f>IF($A166="","",'醫師模式規則輸入'!$I153)</x:f>
      </x:c>
      <x:c r="H166" s="583" t="str">
        <x:f>IF($A166="","",'醫師模式規則輸入'!$J153)</x:f>
      </x:c>
      <x:c r="I166" s="583" t="str">
        <x:f>IF($A166="","",'醫師模式規則輸入'!$K153)</x:f>
      </x:c>
      <x:c r="J166" s="579" t="str">
        <x:f>IF($A166="","",'醫師模式規則輸入'!$A153)</x:f>
      </x:c>
      <x:c r="K166" s="579" t="str">
        <x:f>IF($A166="","",'醫師模式規則輸入'!$Q153)</x:f>
      </x:c>
      <x:c r="L166" s="579" t="str">
        <x:f>IF($A166="","",COUNTIFS('模式能力要求輸入'!$B$7:$B$306,$A166))</x:f>
      </x:c>
      <x:c r="M166" s="579" t="str">
        <x:f>IF($A166="","",COUNTIFS('模式能力要求輸入'!$B$7:$B$306,$A166,'模式能力要求輸入'!$R$7:$R$306,"可發布"))</x:f>
      </x:c>
      <x:c r="N166" s="579" t="str">
        <x:f>IF($A166="","",COUNTIFS('模式能力要求輸入'!$B$7:$B$306,$A166,'模式能力要求輸入'!$E$7:$E$306,"主跟診",'模式能力要求輸入'!$F$7:$F$306,"必備",'模式能力要求輸入'!$R$7:$R$306,"可發布"))</x:f>
      </x:c>
      <x:c r="O166" s="579" t="str">
        <x:f>IF($A166="","",'醫師模式規則輸入'!$T153)</x:f>
      </x:c>
      <x:c r="P166" s="579" t="str">
        <x:f>IF($A166="","",IF(COUNTIFS($A$7:$A$169,$A166)&gt;1,"模式代碼重複",IF('醫師模式規則輸入'!$U153="可匯入模式清單","可進入排班建檔",'醫師模式規則輸入'!$U153)))</x:f>
      </x:c>
      <x:c r="Q166" s="579" t="str">
        <x:f>IF(OR($P166="可進入排班建檔",$P166="可供試行排班"),$A166,"")</x:f>
      </x:c>
    </x:row>
    <x:row r="167">
      <x:c r="A167" s="579" t="str">
        <x:f>IF('醫師模式規則輸入'!$D154="","",'醫師模式規則輸入'!$D154)</x:f>
      </x:c>
      <x:c r="B167" s="579" t="str">
        <x:f>IF($A167="","",'醫師模式規則輸入'!$B154)</x:f>
      </x:c>
      <x:c r="C167" s="579" t="str">
        <x:f>IF($A167="","",'醫師模式規則輸入'!$E154)</x:f>
      </x:c>
      <x:c r="D167" s="579" t="str">
        <x:f>IF($A167="","",'醫師模式規則輸入'!$F154)</x:f>
      </x:c>
      <x:c r="E167" s="579" t="str">
        <x:f>IF($A167="","",'醫師模式規則輸入'!$G154)</x:f>
      </x:c>
      <x:c r="F167" s="583" t="str">
        <x:f>IF($A167="","",'醫師模式規則輸入'!$H154)</x:f>
      </x:c>
      <x:c r="G167" s="583" t="str">
        <x:f>IF($A167="","",'醫師模式規則輸入'!$I154)</x:f>
      </x:c>
      <x:c r="H167" s="583" t="str">
        <x:f>IF($A167="","",'醫師模式規則輸入'!$J154)</x:f>
      </x:c>
      <x:c r="I167" s="583" t="str">
        <x:f>IF($A167="","",'醫師模式規則輸入'!$K154)</x:f>
      </x:c>
      <x:c r="J167" s="579" t="str">
        <x:f>IF($A167="","",'醫師模式規則輸入'!$A154)</x:f>
      </x:c>
      <x:c r="K167" s="579" t="str">
        <x:f>IF($A167="","",'醫師模式規則輸入'!$Q154)</x:f>
      </x:c>
      <x:c r="L167" s="579" t="str">
        <x:f>IF($A167="","",COUNTIFS('模式能力要求輸入'!$B$7:$B$306,$A167))</x:f>
      </x:c>
      <x:c r="M167" s="579" t="str">
        <x:f>IF($A167="","",COUNTIFS('模式能力要求輸入'!$B$7:$B$306,$A167,'模式能力要求輸入'!$R$7:$R$306,"可發布"))</x:f>
      </x:c>
      <x:c r="N167" s="579" t="str">
        <x:f>IF($A167="","",COUNTIFS('模式能力要求輸入'!$B$7:$B$306,$A167,'模式能力要求輸入'!$E$7:$E$306,"主跟診",'模式能力要求輸入'!$F$7:$F$306,"必備",'模式能力要求輸入'!$R$7:$R$306,"可發布"))</x:f>
      </x:c>
      <x:c r="O167" s="579" t="str">
        <x:f>IF($A167="","",'醫師模式規則輸入'!$T154)</x:f>
      </x:c>
      <x:c r="P167" s="579" t="str">
        <x:f>IF($A167="","",IF(COUNTIFS($A$7:$A$169,$A167)&gt;1,"模式代碼重複",IF('醫師模式規則輸入'!$U154="可匯入模式清單","可進入排班建檔",'醫師模式規則輸入'!$U154)))</x:f>
      </x:c>
      <x:c r="Q167" s="579" t="str">
        <x:f>IF(OR($P167="可進入排班建檔",$P167="可供試行排班"),$A167,"")</x:f>
      </x:c>
    </x:row>
    <x:row r="168">
      <x:c r="A168" s="579" t="str">
        <x:f>IF('醫師模式規則輸入'!$D155="","",'醫師模式規則輸入'!$D155)</x:f>
      </x:c>
      <x:c r="B168" s="579" t="str">
        <x:f>IF($A168="","",'醫師模式規則輸入'!$B155)</x:f>
      </x:c>
      <x:c r="C168" s="579" t="str">
        <x:f>IF($A168="","",'醫師模式規則輸入'!$E155)</x:f>
      </x:c>
      <x:c r="D168" s="579" t="str">
        <x:f>IF($A168="","",'醫師模式規則輸入'!$F155)</x:f>
      </x:c>
      <x:c r="E168" s="579" t="str">
        <x:f>IF($A168="","",'醫師模式規則輸入'!$G155)</x:f>
      </x:c>
      <x:c r="F168" s="583" t="str">
        <x:f>IF($A168="","",'醫師模式規則輸入'!$H155)</x:f>
      </x:c>
      <x:c r="G168" s="583" t="str">
        <x:f>IF($A168="","",'醫師模式規則輸入'!$I155)</x:f>
      </x:c>
      <x:c r="H168" s="583" t="str">
        <x:f>IF($A168="","",'醫師模式規則輸入'!$J155)</x:f>
      </x:c>
      <x:c r="I168" s="583" t="str">
        <x:f>IF($A168="","",'醫師模式規則輸入'!$K155)</x:f>
      </x:c>
      <x:c r="J168" s="579" t="str">
        <x:f>IF($A168="","",'醫師模式規則輸入'!$A155)</x:f>
      </x:c>
      <x:c r="K168" s="579" t="str">
        <x:f>IF($A168="","",'醫師模式規則輸入'!$Q155)</x:f>
      </x:c>
      <x:c r="L168" s="579" t="str">
        <x:f>IF($A168="","",COUNTIFS('模式能力要求輸入'!$B$7:$B$306,$A168))</x:f>
      </x:c>
      <x:c r="M168" s="579" t="str">
        <x:f>IF($A168="","",COUNTIFS('模式能力要求輸入'!$B$7:$B$306,$A168,'模式能力要求輸入'!$R$7:$R$306,"可發布"))</x:f>
      </x:c>
      <x:c r="N168" s="579" t="str">
        <x:f>IF($A168="","",COUNTIFS('模式能力要求輸入'!$B$7:$B$306,$A168,'模式能力要求輸入'!$E$7:$E$306,"主跟診",'模式能力要求輸入'!$F$7:$F$306,"必備",'模式能力要求輸入'!$R$7:$R$306,"可發布"))</x:f>
      </x:c>
      <x:c r="O168" s="579" t="str">
        <x:f>IF($A168="","",'醫師模式規則輸入'!$T155)</x:f>
      </x:c>
      <x:c r="P168" s="579" t="str">
        <x:f>IF($A168="","",IF(COUNTIFS($A$7:$A$169,$A168)&gt;1,"模式代碼重複",IF('醫師模式規則輸入'!$U155="可匯入模式清單","可進入排班建檔",'醫師模式規則輸入'!$U155)))</x:f>
      </x:c>
      <x:c r="Q168" s="579" t="str">
        <x:f>IF(OR($P168="可進入排班建檔",$P168="可供試行排班"),$A168,"")</x:f>
      </x:c>
    </x:row>
    <x:row r="169">
      <x:c r="A169" s="579" t="str">
        <x:f>IF('醫師模式規則輸入'!$D156="","",'醫師模式規則輸入'!$D156)</x:f>
      </x:c>
      <x:c r="B169" s="579" t="str">
        <x:f>IF($A169="","",'醫師模式規則輸入'!$B156)</x:f>
      </x:c>
      <x:c r="C169" s="579" t="str">
        <x:f>IF($A169="","",'醫師模式規則輸入'!$E156)</x:f>
      </x:c>
      <x:c r="D169" s="579" t="str">
        <x:f>IF($A169="","",'醫師模式規則輸入'!$F156)</x:f>
      </x:c>
      <x:c r="E169" s="579" t="str">
        <x:f>IF($A169="","",'醫師模式規則輸入'!$G156)</x:f>
      </x:c>
      <x:c r="F169" s="583" t="str">
        <x:f>IF($A169="","",'醫師模式規則輸入'!$H156)</x:f>
      </x:c>
      <x:c r="G169" s="583" t="str">
        <x:f>IF($A169="","",'醫師模式規則輸入'!$I156)</x:f>
      </x:c>
      <x:c r="H169" s="583" t="str">
        <x:f>IF($A169="","",'醫師模式規則輸入'!$J156)</x:f>
      </x:c>
      <x:c r="I169" s="583" t="str">
        <x:f>IF($A169="","",'醫師模式規則輸入'!$K156)</x:f>
      </x:c>
      <x:c r="J169" s="579" t="str">
        <x:f>IF($A169="","",'醫師模式規則輸入'!$A156)</x:f>
      </x:c>
      <x:c r="K169" s="579" t="str">
        <x:f>IF($A169="","",'醫師模式規則輸入'!$Q156)</x:f>
      </x:c>
      <x:c r="L169" s="579" t="str">
        <x:f>IF($A169="","",COUNTIFS('模式能力要求輸入'!$B$7:$B$306,$A169))</x:f>
      </x:c>
      <x:c r="M169" s="579" t="str">
        <x:f>IF($A169="","",COUNTIFS('模式能力要求輸入'!$B$7:$B$306,$A169,'模式能力要求輸入'!$R$7:$R$306,"可發布"))</x:f>
      </x:c>
      <x:c r="N169" s="579" t="str">
        <x:f>IF($A169="","",COUNTIFS('模式能力要求輸入'!$B$7:$B$306,$A169,'模式能力要求輸入'!$E$7:$E$306,"主跟診",'模式能力要求輸入'!$F$7:$F$306,"必備",'模式能力要求輸入'!$R$7:$R$306,"可發布"))</x:f>
      </x:c>
      <x:c r="O169" s="579" t="str">
        <x:f>IF($A169="","",'醫師模式規則輸入'!$T156)</x:f>
      </x:c>
      <x:c r="P169" s="579" t="str">
        <x:f>IF($A169="","",IF(COUNTIFS($A$7:$A$169,$A169)&gt;1,"模式代碼重複",IF('醫師模式規則輸入'!$U156="可匯入模式清單","可進入排班建檔",'醫師模式規則輸入'!$U156)))</x:f>
      </x:c>
      <x:c r="Q169" s="579" t="str">
        <x:f>IF(OR($P169="可進入排班建檔",$P169="可供試行排班"),$A169,"")</x:f>
      </x:c>
    </x:row>
  </x:sheetData>
  <x:mergeCells>
    <x:mergeCell ref="A2:Q2"/>
    <x:mergeCell ref="A4:Q4"/>
  </x:mergeCells>
  <x:conditionalFormatting sqref="P7:P169">
    <x:cfRule type="containsText" dxfId="181" priority="1" operator="containsText" text="可"/>
    <x:cfRule type="containsText" dxfId="182" priority="2" operator="containsText" text="未"/>
    <x:cfRule type="containsText" dxfId="183" priority="3" operator="containsText" text="重複"/>
  </x:conditionalFormatting>
  <x:pageMargins left="0.7" right="0.7" top="0.75" bottom="0.75" header="0.3" footer="0.3"/>
  <x:tableParts count="1">
    <x:tablePart xmlns:r="http://schemas.openxmlformats.org/officeDocument/2006/relationships" r:id="R486b01aa40224ebf"/>
  </x:tableParts>
</x:worksheet>
</file>